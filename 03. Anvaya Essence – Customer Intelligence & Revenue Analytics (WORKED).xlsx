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DA Professional\Self Executed\10. Sattva Bites Co. Customer Insights — Demographics, Purchase Behavior &amp; Retention Analysis\"/>
    </mc:Choice>
  </mc:AlternateContent>
  <xr:revisionPtr revIDLastSave="0" documentId="13_ncr:1_{6B06BBD8-33C1-404A-B83B-764D1367BEBC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Marketing_df1" sheetId="1" r:id="rId1"/>
    <sheet name="Marketing_df2" sheetId="2" r:id="rId2"/>
    <sheet name="Merged_df1&amp;2" sheetId="3" r:id="rId3"/>
    <sheet name="Table" sheetId="9" r:id="rId4"/>
    <sheet name="KPIs" sheetId="10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0" l="1"/>
  <c r="L2" i="10"/>
  <c r="T2241" i="9"/>
  <c r="Q2241" i="9"/>
  <c r="M2241" i="9"/>
  <c r="K2241" i="9"/>
  <c r="H2241" i="9"/>
  <c r="H2241" i="9" a="1"/>
  <c r="D2241" i="9"/>
  <c r="T2240" i="9"/>
  <c r="Q2240" i="9"/>
  <c r="M2240" i="9"/>
  <c r="K2240" i="9"/>
  <c r="H2240" i="9"/>
  <c r="H2240" i="9" a="1"/>
  <c r="D2240" i="9"/>
  <c r="T2239" i="9"/>
  <c r="Q2239" i="9"/>
  <c r="M2239" i="9"/>
  <c r="K2239" i="9"/>
  <c r="H2239" i="9"/>
  <c r="H2239" i="9" a="1"/>
  <c r="D2239" i="9"/>
  <c r="T2238" i="9"/>
  <c r="Q2238" i="9"/>
  <c r="M2238" i="9"/>
  <c r="K2238" i="9"/>
  <c r="H2238" i="9"/>
  <c r="H2238" i="9" a="1"/>
  <c r="D2238" i="9"/>
  <c r="T2237" i="9"/>
  <c r="Q2237" i="9"/>
  <c r="M2237" i="9"/>
  <c r="K2237" i="9"/>
  <c r="H2237" i="9"/>
  <c r="H2237" i="9" a="1"/>
  <c r="D2237" i="9"/>
  <c r="T2236" i="9"/>
  <c r="Q2236" i="9"/>
  <c r="M2236" i="9"/>
  <c r="K2236" i="9"/>
  <c r="H2236" i="9"/>
  <c r="H2236" i="9" a="1"/>
  <c r="D2236" i="9"/>
  <c r="T2235" i="9"/>
  <c r="Q2235" i="9"/>
  <c r="M2235" i="9"/>
  <c r="K2235" i="9"/>
  <c r="H2235" i="9"/>
  <c r="H2235" i="9" a="1"/>
  <c r="D2235" i="9"/>
  <c r="T2234" i="9"/>
  <c r="Q2234" i="9"/>
  <c r="M2234" i="9"/>
  <c r="K2234" i="9"/>
  <c r="H2234" i="9"/>
  <c r="H2234" i="9" a="1"/>
  <c r="D2234" i="9"/>
  <c r="T2233" i="9"/>
  <c r="Q2233" i="9"/>
  <c r="M2233" i="9"/>
  <c r="K2233" i="9"/>
  <c r="H2233" i="9"/>
  <c r="H2233" i="9" a="1"/>
  <c r="D2233" i="9"/>
  <c r="T2232" i="9"/>
  <c r="Q2232" i="9"/>
  <c r="M2232" i="9"/>
  <c r="K2232" i="9"/>
  <c r="H2232" i="9"/>
  <c r="H2232" i="9" a="1"/>
  <c r="D2232" i="9"/>
  <c r="T2231" i="9"/>
  <c r="Q2231" i="9"/>
  <c r="M2231" i="9"/>
  <c r="K2231" i="9"/>
  <c r="H2231" i="9"/>
  <c r="H2231" i="9" a="1"/>
  <c r="D2231" i="9"/>
  <c r="T2230" i="9"/>
  <c r="Q2230" i="9"/>
  <c r="M2230" i="9"/>
  <c r="K2230" i="9"/>
  <c r="H2230" i="9"/>
  <c r="H2230" i="9" a="1"/>
  <c r="D2230" i="9"/>
  <c r="T2229" i="9"/>
  <c r="Q2229" i="9"/>
  <c r="M2229" i="9"/>
  <c r="K2229" i="9"/>
  <c r="H2229" i="9"/>
  <c r="H2229" i="9" a="1"/>
  <c r="D2229" i="9"/>
  <c r="T2228" i="9"/>
  <c r="Q2228" i="9"/>
  <c r="M2228" i="9"/>
  <c r="K2228" i="9"/>
  <c r="H2228" i="9"/>
  <c r="H2228" i="9" a="1"/>
  <c r="D2228" i="9"/>
  <c r="T2227" i="9"/>
  <c r="Q2227" i="9"/>
  <c r="M2227" i="9"/>
  <c r="K2227" i="9"/>
  <c r="H2227" i="9"/>
  <c r="H2227" i="9" a="1"/>
  <c r="D2227" i="9"/>
  <c r="T2226" i="9"/>
  <c r="Q2226" i="9"/>
  <c r="M2226" i="9"/>
  <c r="K2226" i="9"/>
  <c r="H2226" i="9"/>
  <c r="H2226" i="9" a="1"/>
  <c r="D2226" i="9"/>
  <c r="T2225" i="9"/>
  <c r="Q2225" i="9"/>
  <c r="M2225" i="9"/>
  <c r="K2225" i="9"/>
  <c r="H2225" i="9"/>
  <c r="H2225" i="9" a="1"/>
  <c r="D2225" i="9"/>
  <c r="T2224" i="9"/>
  <c r="Q2224" i="9"/>
  <c r="M2224" i="9"/>
  <c r="K2224" i="9"/>
  <c r="H2224" i="9"/>
  <c r="H2224" i="9" a="1"/>
  <c r="D2224" i="9"/>
  <c r="T2223" i="9"/>
  <c r="Q2223" i="9"/>
  <c r="M2223" i="9"/>
  <c r="K2223" i="9"/>
  <c r="H2223" i="9"/>
  <c r="H2223" i="9" a="1"/>
  <c r="D2223" i="9"/>
  <c r="T2222" i="9"/>
  <c r="Q2222" i="9"/>
  <c r="M2222" i="9"/>
  <c r="K2222" i="9"/>
  <c r="H2222" i="9"/>
  <c r="H2222" i="9" a="1"/>
  <c r="D2222" i="9"/>
  <c r="T2221" i="9"/>
  <c r="Q2221" i="9"/>
  <c r="M2221" i="9"/>
  <c r="K2221" i="9"/>
  <c r="H2221" i="9"/>
  <c r="H2221" i="9" a="1"/>
  <c r="D2221" i="9"/>
  <c r="T2220" i="9"/>
  <c r="Q2220" i="9"/>
  <c r="M2220" i="9"/>
  <c r="K2220" i="9"/>
  <c r="H2220" i="9"/>
  <c r="H2220" i="9" a="1"/>
  <c r="D2220" i="9"/>
  <c r="T2219" i="9"/>
  <c r="Q2219" i="9"/>
  <c r="M2219" i="9"/>
  <c r="K2219" i="9"/>
  <c r="H2219" i="9"/>
  <c r="H2219" i="9" a="1"/>
  <c r="D2219" i="9"/>
  <c r="T2218" i="9"/>
  <c r="Q2218" i="9"/>
  <c r="M2218" i="9"/>
  <c r="K2218" i="9"/>
  <c r="H2218" i="9"/>
  <c r="H2218" i="9" a="1"/>
  <c r="D2218" i="9"/>
  <c r="T2217" i="9"/>
  <c r="Q2217" i="9"/>
  <c r="M2217" i="9"/>
  <c r="K2217" i="9"/>
  <c r="H2217" i="9"/>
  <c r="H2217" i="9" a="1"/>
  <c r="D2217" i="9"/>
  <c r="T2216" i="9"/>
  <c r="Q2216" i="9"/>
  <c r="M2216" i="9"/>
  <c r="K2216" i="9"/>
  <c r="H2216" i="9"/>
  <c r="H2216" i="9" a="1"/>
  <c r="D2216" i="9"/>
  <c r="T2215" i="9"/>
  <c r="Q2215" i="9"/>
  <c r="M2215" i="9"/>
  <c r="K2215" i="9"/>
  <c r="H2215" i="9"/>
  <c r="H2215" i="9" a="1"/>
  <c r="D2215" i="9"/>
  <c r="T2214" i="9"/>
  <c r="Q2214" i="9"/>
  <c r="M2214" i="9"/>
  <c r="K2214" i="9"/>
  <c r="H2214" i="9"/>
  <c r="H2214" i="9" a="1"/>
  <c r="D2214" i="9"/>
  <c r="T2213" i="9"/>
  <c r="Q2213" i="9"/>
  <c r="M2213" i="9"/>
  <c r="K2213" i="9"/>
  <c r="H2213" i="9"/>
  <c r="H2213" i="9" a="1"/>
  <c r="D2213" i="9"/>
  <c r="T2212" i="9"/>
  <c r="Q2212" i="9"/>
  <c r="M2212" i="9"/>
  <c r="K2212" i="9"/>
  <c r="H2212" i="9"/>
  <c r="H2212" i="9" a="1"/>
  <c r="D2212" i="9"/>
  <c r="T2211" i="9"/>
  <c r="Q2211" i="9"/>
  <c r="M2211" i="9"/>
  <c r="K2211" i="9"/>
  <c r="H2211" i="9"/>
  <c r="H2211" i="9" a="1"/>
  <c r="D2211" i="9"/>
  <c r="T2210" i="9"/>
  <c r="Q2210" i="9"/>
  <c r="M2210" i="9"/>
  <c r="K2210" i="9"/>
  <c r="H2210" i="9"/>
  <c r="H2210" i="9" a="1"/>
  <c r="D2210" i="9"/>
  <c r="T2209" i="9"/>
  <c r="Q2209" i="9"/>
  <c r="M2209" i="9"/>
  <c r="K2209" i="9"/>
  <c r="H2209" i="9"/>
  <c r="H2209" i="9" a="1"/>
  <c r="D2209" i="9"/>
  <c r="T2208" i="9"/>
  <c r="Q2208" i="9"/>
  <c r="M2208" i="9"/>
  <c r="K2208" i="9"/>
  <c r="H2208" i="9"/>
  <c r="H2208" i="9" a="1"/>
  <c r="D2208" i="9"/>
  <c r="T2207" i="9"/>
  <c r="Q2207" i="9"/>
  <c r="M2207" i="9"/>
  <c r="K2207" i="9"/>
  <c r="H2207" i="9"/>
  <c r="H2207" i="9" a="1"/>
  <c r="D2207" i="9"/>
  <c r="T2206" i="9"/>
  <c r="Q2206" i="9"/>
  <c r="M2206" i="9"/>
  <c r="K2206" i="9"/>
  <c r="H2206" i="9"/>
  <c r="H2206" i="9" a="1"/>
  <c r="D2206" i="9"/>
  <c r="T2205" i="9"/>
  <c r="Q2205" i="9"/>
  <c r="M2205" i="9"/>
  <c r="K2205" i="9"/>
  <c r="H2205" i="9"/>
  <c r="H2205" i="9" a="1"/>
  <c r="D2205" i="9"/>
  <c r="T2204" i="9"/>
  <c r="Q2204" i="9"/>
  <c r="M2204" i="9"/>
  <c r="K2204" i="9"/>
  <c r="H2204" i="9"/>
  <c r="H2204" i="9" a="1"/>
  <c r="D2204" i="9"/>
  <c r="T2203" i="9"/>
  <c r="Q2203" i="9"/>
  <c r="M2203" i="9"/>
  <c r="K2203" i="9"/>
  <c r="H2203" i="9"/>
  <c r="H2203" i="9" a="1"/>
  <c r="D2203" i="9"/>
  <c r="T2202" i="9"/>
  <c r="Q2202" i="9"/>
  <c r="M2202" i="9"/>
  <c r="K2202" i="9"/>
  <c r="H2202" i="9"/>
  <c r="H2202" i="9" a="1"/>
  <c r="D2202" i="9"/>
  <c r="T2201" i="9"/>
  <c r="Q2201" i="9"/>
  <c r="M2201" i="9"/>
  <c r="K2201" i="9"/>
  <c r="H2201" i="9"/>
  <c r="H2201" i="9" a="1"/>
  <c r="D2201" i="9"/>
  <c r="T2200" i="9"/>
  <c r="Q2200" i="9"/>
  <c r="M2200" i="9"/>
  <c r="K2200" i="9"/>
  <c r="H2200" i="9"/>
  <c r="H2200" i="9" a="1"/>
  <c r="D2200" i="9"/>
  <c r="T2199" i="9"/>
  <c r="Q2199" i="9"/>
  <c r="M2199" i="9"/>
  <c r="K2199" i="9"/>
  <c r="H2199" i="9"/>
  <c r="H2199" i="9" a="1"/>
  <c r="D2199" i="9"/>
  <c r="T2198" i="9"/>
  <c r="Q2198" i="9"/>
  <c r="M2198" i="9"/>
  <c r="K2198" i="9"/>
  <c r="H2198" i="9"/>
  <c r="H2198" i="9" a="1"/>
  <c r="D2198" i="9"/>
  <c r="T2197" i="9"/>
  <c r="Q2197" i="9"/>
  <c r="M2197" i="9"/>
  <c r="K2197" i="9"/>
  <c r="H2197" i="9"/>
  <c r="H2197" i="9" a="1"/>
  <c r="D2197" i="9"/>
  <c r="T2196" i="9"/>
  <c r="Q2196" i="9"/>
  <c r="M2196" i="9"/>
  <c r="K2196" i="9"/>
  <c r="H2196" i="9"/>
  <c r="H2196" i="9" a="1"/>
  <c r="D2196" i="9"/>
  <c r="T2195" i="9"/>
  <c r="Q2195" i="9"/>
  <c r="M2195" i="9"/>
  <c r="K2195" i="9"/>
  <c r="H2195" i="9"/>
  <c r="H2195" i="9" a="1"/>
  <c r="D2195" i="9"/>
  <c r="T2194" i="9"/>
  <c r="Q2194" i="9"/>
  <c r="M2194" i="9"/>
  <c r="K2194" i="9"/>
  <c r="H2194" i="9"/>
  <c r="H2194" i="9" a="1"/>
  <c r="D2194" i="9"/>
  <c r="T2193" i="9"/>
  <c r="Q2193" i="9"/>
  <c r="M2193" i="9"/>
  <c r="K2193" i="9"/>
  <c r="H2193" i="9"/>
  <c r="H2193" i="9" a="1"/>
  <c r="D2193" i="9"/>
  <c r="T2192" i="9"/>
  <c r="Q2192" i="9"/>
  <c r="M2192" i="9"/>
  <c r="K2192" i="9"/>
  <c r="H2192" i="9"/>
  <c r="H2192" i="9" a="1"/>
  <c r="D2192" i="9"/>
  <c r="T2191" i="9"/>
  <c r="Q2191" i="9"/>
  <c r="M2191" i="9"/>
  <c r="K2191" i="9"/>
  <c r="H2191" i="9"/>
  <c r="H2191" i="9" a="1"/>
  <c r="D2191" i="9"/>
  <c r="T2190" i="9"/>
  <c r="Q2190" i="9"/>
  <c r="M2190" i="9"/>
  <c r="K2190" i="9"/>
  <c r="H2190" i="9"/>
  <c r="H2190" i="9" a="1"/>
  <c r="D2190" i="9"/>
  <c r="T2189" i="9"/>
  <c r="Q2189" i="9"/>
  <c r="M2189" i="9"/>
  <c r="K2189" i="9"/>
  <c r="H2189" i="9"/>
  <c r="H2189" i="9" a="1"/>
  <c r="D2189" i="9"/>
  <c r="T2188" i="9"/>
  <c r="Q2188" i="9"/>
  <c r="M2188" i="9"/>
  <c r="K2188" i="9"/>
  <c r="H2188" i="9"/>
  <c r="H2188" i="9" a="1"/>
  <c r="D2188" i="9"/>
  <c r="T2187" i="9"/>
  <c r="Q2187" i="9"/>
  <c r="M2187" i="9"/>
  <c r="K2187" i="9"/>
  <c r="H2187" i="9"/>
  <c r="H2187" i="9" a="1"/>
  <c r="D2187" i="9"/>
  <c r="T2186" i="9"/>
  <c r="Q2186" i="9"/>
  <c r="M2186" i="9"/>
  <c r="K2186" i="9"/>
  <c r="H2186" i="9"/>
  <c r="H2186" i="9" a="1"/>
  <c r="D2186" i="9"/>
  <c r="T2185" i="9"/>
  <c r="Q2185" i="9"/>
  <c r="M2185" i="9"/>
  <c r="K2185" i="9"/>
  <c r="H2185" i="9"/>
  <c r="H2185" i="9" a="1"/>
  <c r="D2185" i="9"/>
  <c r="T2184" i="9"/>
  <c r="Q2184" i="9"/>
  <c r="M2184" i="9"/>
  <c r="K2184" i="9"/>
  <c r="H2184" i="9"/>
  <c r="H2184" i="9" a="1"/>
  <c r="D2184" i="9"/>
  <c r="T2183" i="9"/>
  <c r="Q2183" i="9"/>
  <c r="M2183" i="9"/>
  <c r="K2183" i="9"/>
  <c r="H2183" i="9"/>
  <c r="H2183" i="9" a="1"/>
  <c r="D2183" i="9"/>
  <c r="T2182" i="9"/>
  <c r="Q2182" i="9"/>
  <c r="M2182" i="9"/>
  <c r="K2182" i="9"/>
  <c r="H2182" i="9"/>
  <c r="H2182" i="9" a="1"/>
  <c r="D2182" i="9"/>
  <c r="T2181" i="9"/>
  <c r="Q2181" i="9"/>
  <c r="M2181" i="9"/>
  <c r="K2181" i="9"/>
  <c r="H2181" i="9"/>
  <c r="H2181" i="9" a="1"/>
  <c r="D2181" i="9"/>
  <c r="T2180" i="9"/>
  <c r="Q2180" i="9"/>
  <c r="M2180" i="9"/>
  <c r="K2180" i="9"/>
  <c r="H2180" i="9"/>
  <c r="H2180" i="9" a="1"/>
  <c r="D2180" i="9"/>
  <c r="T2179" i="9"/>
  <c r="Q2179" i="9"/>
  <c r="M2179" i="9"/>
  <c r="K2179" i="9"/>
  <c r="H2179" i="9"/>
  <c r="H2179" i="9" a="1"/>
  <c r="D2179" i="9"/>
  <c r="T2178" i="9"/>
  <c r="Q2178" i="9"/>
  <c r="M2178" i="9"/>
  <c r="K2178" i="9"/>
  <c r="H2178" i="9"/>
  <c r="H2178" i="9" a="1"/>
  <c r="D2178" i="9"/>
  <c r="T2177" i="9"/>
  <c r="Q2177" i="9"/>
  <c r="M2177" i="9"/>
  <c r="K2177" i="9"/>
  <c r="H2177" i="9"/>
  <c r="H2177" i="9" a="1"/>
  <c r="D2177" i="9"/>
  <c r="T2176" i="9"/>
  <c r="Q2176" i="9"/>
  <c r="M2176" i="9"/>
  <c r="K2176" i="9"/>
  <c r="H2176" i="9"/>
  <c r="H2176" i="9" a="1"/>
  <c r="D2176" i="9"/>
  <c r="T2175" i="9"/>
  <c r="Q2175" i="9"/>
  <c r="M2175" i="9"/>
  <c r="K2175" i="9"/>
  <c r="H2175" i="9"/>
  <c r="H2175" i="9" a="1"/>
  <c r="D2175" i="9"/>
  <c r="T2174" i="9"/>
  <c r="Q2174" i="9"/>
  <c r="M2174" i="9"/>
  <c r="K2174" i="9"/>
  <c r="H2174" i="9"/>
  <c r="H2174" i="9" a="1"/>
  <c r="D2174" i="9"/>
  <c r="T2173" i="9"/>
  <c r="Q2173" i="9"/>
  <c r="M2173" i="9"/>
  <c r="K2173" i="9"/>
  <c r="H2173" i="9"/>
  <c r="H2173" i="9" a="1"/>
  <c r="D2173" i="9"/>
  <c r="T2172" i="9"/>
  <c r="Q2172" i="9"/>
  <c r="M2172" i="9"/>
  <c r="K2172" i="9"/>
  <c r="H2172" i="9"/>
  <c r="H2172" i="9" a="1"/>
  <c r="D2172" i="9"/>
  <c r="T2171" i="9"/>
  <c r="Q2171" i="9"/>
  <c r="M2171" i="9"/>
  <c r="K2171" i="9"/>
  <c r="H2171" i="9"/>
  <c r="H2171" i="9" a="1"/>
  <c r="D2171" i="9"/>
  <c r="T2170" i="9"/>
  <c r="Q2170" i="9"/>
  <c r="M2170" i="9"/>
  <c r="K2170" i="9"/>
  <c r="H2170" i="9"/>
  <c r="H2170" i="9" a="1"/>
  <c r="D2170" i="9"/>
  <c r="T2169" i="9"/>
  <c r="Q2169" i="9"/>
  <c r="M2169" i="9"/>
  <c r="K2169" i="9"/>
  <c r="H2169" i="9"/>
  <c r="H2169" i="9" a="1"/>
  <c r="D2169" i="9"/>
  <c r="T2168" i="9"/>
  <c r="Q2168" i="9"/>
  <c r="M2168" i="9"/>
  <c r="K2168" i="9"/>
  <c r="H2168" i="9"/>
  <c r="H2168" i="9" a="1"/>
  <c r="D2168" i="9"/>
  <c r="T2167" i="9"/>
  <c r="Q2167" i="9"/>
  <c r="M2167" i="9"/>
  <c r="K2167" i="9"/>
  <c r="H2167" i="9"/>
  <c r="H2167" i="9" a="1"/>
  <c r="D2167" i="9"/>
  <c r="T2166" i="9"/>
  <c r="Q2166" i="9"/>
  <c r="M2166" i="9"/>
  <c r="K2166" i="9"/>
  <c r="H2166" i="9"/>
  <c r="H2166" i="9" a="1"/>
  <c r="D2166" i="9"/>
  <c r="T2165" i="9"/>
  <c r="Q2165" i="9"/>
  <c r="M2165" i="9"/>
  <c r="K2165" i="9"/>
  <c r="H2165" i="9"/>
  <c r="H2165" i="9" a="1"/>
  <c r="D2165" i="9"/>
  <c r="T2164" i="9"/>
  <c r="Q2164" i="9"/>
  <c r="M2164" i="9"/>
  <c r="K2164" i="9"/>
  <c r="H2164" i="9"/>
  <c r="H2164" i="9" a="1"/>
  <c r="D2164" i="9"/>
  <c r="T2163" i="9"/>
  <c r="Q2163" i="9"/>
  <c r="M2163" i="9"/>
  <c r="K2163" i="9"/>
  <c r="H2163" i="9"/>
  <c r="H2163" i="9" a="1"/>
  <c r="D2163" i="9"/>
  <c r="T2162" i="9"/>
  <c r="Q2162" i="9"/>
  <c r="M2162" i="9"/>
  <c r="K2162" i="9"/>
  <c r="H2162" i="9"/>
  <c r="H2162" i="9" a="1"/>
  <c r="D2162" i="9"/>
  <c r="T2161" i="9"/>
  <c r="Q2161" i="9"/>
  <c r="M2161" i="9"/>
  <c r="K2161" i="9"/>
  <c r="H2161" i="9"/>
  <c r="H2161" i="9" a="1"/>
  <c r="D2161" i="9"/>
  <c r="T2160" i="9"/>
  <c r="Q2160" i="9"/>
  <c r="M2160" i="9"/>
  <c r="K2160" i="9"/>
  <c r="H2160" i="9"/>
  <c r="H2160" i="9" a="1"/>
  <c r="D2160" i="9"/>
  <c r="T2159" i="9"/>
  <c r="Q2159" i="9"/>
  <c r="M2159" i="9"/>
  <c r="K2159" i="9"/>
  <c r="H2159" i="9"/>
  <c r="H2159" i="9" a="1"/>
  <c r="D2159" i="9"/>
  <c r="T2158" i="9"/>
  <c r="Q2158" i="9"/>
  <c r="M2158" i="9"/>
  <c r="K2158" i="9"/>
  <c r="H2158" i="9"/>
  <c r="H2158" i="9" a="1"/>
  <c r="D2158" i="9"/>
  <c r="T2157" i="9"/>
  <c r="Q2157" i="9"/>
  <c r="M2157" i="9"/>
  <c r="K2157" i="9"/>
  <c r="H2157" i="9"/>
  <c r="H2157" i="9" a="1"/>
  <c r="D2157" i="9"/>
  <c r="T2156" i="9"/>
  <c r="Q2156" i="9"/>
  <c r="M2156" i="9"/>
  <c r="K2156" i="9"/>
  <c r="H2156" i="9"/>
  <c r="H2156" i="9" a="1"/>
  <c r="D2156" i="9"/>
  <c r="T2155" i="9"/>
  <c r="Q2155" i="9"/>
  <c r="M2155" i="9"/>
  <c r="K2155" i="9"/>
  <c r="H2155" i="9"/>
  <c r="H2155" i="9" a="1"/>
  <c r="D2155" i="9"/>
  <c r="T2154" i="9"/>
  <c r="Q2154" i="9"/>
  <c r="M2154" i="9"/>
  <c r="K2154" i="9"/>
  <c r="H2154" i="9"/>
  <c r="H2154" i="9" a="1"/>
  <c r="D2154" i="9"/>
  <c r="T2153" i="9"/>
  <c r="Q2153" i="9"/>
  <c r="M2153" i="9"/>
  <c r="K2153" i="9"/>
  <c r="H2153" i="9"/>
  <c r="H2153" i="9" a="1"/>
  <c r="D2153" i="9"/>
  <c r="T2152" i="9"/>
  <c r="Q2152" i="9"/>
  <c r="M2152" i="9"/>
  <c r="K2152" i="9"/>
  <c r="H2152" i="9"/>
  <c r="H2152" i="9" a="1"/>
  <c r="D2152" i="9"/>
  <c r="T2151" i="9"/>
  <c r="Q2151" i="9"/>
  <c r="M2151" i="9"/>
  <c r="K2151" i="9"/>
  <c r="H2151" i="9"/>
  <c r="H2151" i="9" a="1"/>
  <c r="D2151" i="9"/>
  <c r="T2150" i="9"/>
  <c r="Q2150" i="9"/>
  <c r="M2150" i="9"/>
  <c r="K2150" i="9"/>
  <c r="H2150" i="9"/>
  <c r="H2150" i="9" a="1"/>
  <c r="D2150" i="9"/>
  <c r="T2149" i="9"/>
  <c r="Q2149" i="9"/>
  <c r="M2149" i="9"/>
  <c r="K2149" i="9"/>
  <c r="H2149" i="9"/>
  <c r="H2149" i="9" a="1"/>
  <c r="D2149" i="9"/>
  <c r="T2148" i="9"/>
  <c r="Q2148" i="9"/>
  <c r="M2148" i="9"/>
  <c r="K2148" i="9"/>
  <c r="H2148" i="9"/>
  <c r="H2148" i="9" a="1"/>
  <c r="D2148" i="9"/>
  <c r="T2147" i="9"/>
  <c r="Q2147" i="9"/>
  <c r="M2147" i="9"/>
  <c r="K2147" i="9"/>
  <c r="H2147" i="9"/>
  <c r="H2147" i="9" a="1"/>
  <c r="D2147" i="9"/>
  <c r="T2146" i="9"/>
  <c r="Q2146" i="9"/>
  <c r="M2146" i="9"/>
  <c r="K2146" i="9"/>
  <c r="H2146" i="9"/>
  <c r="H2146" i="9" a="1"/>
  <c r="D2146" i="9"/>
  <c r="T2145" i="9"/>
  <c r="Q2145" i="9"/>
  <c r="M2145" i="9"/>
  <c r="K2145" i="9"/>
  <c r="H2145" i="9"/>
  <c r="H2145" i="9" a="1"/>
  <c r="D2145" i="9"/>
  <c r="T2144" i="9"/>
  <c r="Q2144" i="9"/>
  <c r="M2144" i="9"/>
  <c r="K2144" i="9"/>
  <c r="H2144" i="9"/>
  <c r="H2144" i="9" a="1"/>
  <c r="D2144" i="9"/>
  <c r="T2143" i="9"/>
  <c r="Q2143" i="9"/>
  <c r="M2143" i="9"/>
  <c r="K2143" i="9"/>
  <c r="H2143" i="9"/>
  <c r="H2143" i="9" a="1"/>
  <c r="D2143" i="9"/>
  <c r="T2142" i="9"/>
  <c r="Q2142" i="9"/>
  <c r="M2142" i="9"/>
  <c r="K2142" i="9"/>
  <c r="H2142" i="9"/>
  <c r="H2142" i="9" a="1"/>
  <c r="D2142" i="9"/>
  <c r="T2141" i="9"/>
  <c r="Q2141" i="9"/>
  <c r="M2141" i="9"/>
  <c r="K2141" i="9"/>
  <c r="H2141" i="9"/>
  <c r="H2141" i="9" a="1"/>
  <c r="D2141" i="9"/>
  <c r="T2140" i="9"/>
  <c r="Q2140" i="9"/>
  <c r="M2140" i="9"/>
  <c r="K2140" i="9"/>
  <c r="H2140" i="9"/>
  <c r="H2140" i="9" a="1"/>
  <c r="D2140" i="9"/>
  <c r="T2139" i="9"/>
  <c r="Q2139" i="9"/>
  <c r="M2139" i="9"/>
  <c r="K2139" i="9"/>
  <c r="H2139" i="9"/>
  <c r="H2139" i="9" a="1"/>
  <c r="D2139" i="9"/>
  <c r="T2138" i="9"/>
  <c r="Q2138" i="9"/>
  <c r="M2138" i="9"/>
  <c r="K2138" i="9"/>
  <c r="H2138" i="9"/>
  <c r="H2138" i="9" a="1"/>
  <c r="D2138" i="9"/>
  <c r="T2137" i="9"/>
  <c r="Q2137" i="9"/>
  <c r="M2137" i="9"/>
  <c r="K2137" i="9"/>
  <c r="H2137" i="9"/>
  <c r="H2137" i="9" a="1"/>
  <c r="D2137" i="9"/>
  <c r="T2136" i="9"/>
  <c r="Q2136" i="9"/>
  <c r="M2136" i="9"/>
  <c r="K2136" i="9"/>
  <c r="H2136" i="9"/>
  <c r="H2136" i="9" a="1"/>
  <c r="D2136" i="9"/>
  <c r="T2135" i="9"/>
  <c r="Q2135" i="9"/>
  <c r="M2135" i="9"/>
  <c r="K2135" i="9"/>
  <c r="H2135" i="9"/>
  <c r="H2135" i="9" a="1"/>
  <c r="D2135" i="9"/>
  <c r="T2134" i="9"/>
  <c r="Q2134" i="9"/>
  <c r="M2134" i="9"/>
  <c r="K2134" i="9"/>
  <c r="H2134" i="9"/>
  <c r="H2134" i="9" a="1"/>
  <c r="D2134" i="9"/>
  <c r="T2133" i="9"/>
  <c r="Q2133" i="9"/>
  <c r="M2133" i="9"/>
  <c r="K2133" i="9"/>
  <c r="H2133" i="9"/>
  <c r="H2133" i="9" a="1"/>
  <c r="D2133" i="9"/>
  <c r="T2132" i="9"/>
  <c r="Q2132" i="9"/>
  <c r="M2132" i="9"/>
  <c r="K2132" i="9"/>
  <c r="H2132" i="9"/>
  <c r="H2132" i="9" a="1"/>
  <c r="D2132" i="9"/>
  <c r="T2131" i="9"/>
  <c r="Q2131" i="9"/>
  <c r="M2131" i="9"/>
  <c r="K2131" i="9"/>
  <c r="H2131" i="9"/>
  <c r="H2131" i="9" a="1"/>
  <c r="D2131" i="9"/>
  <c r="T2130" i="9"/>
  <c r="Q2130" i="9"/>
  <c r="M2130" i="9"/>
  <c r="K2130" i="9"/>
  <c r="H2130" i="9"/>
  <c r="H2130" i="9" a="1"/>
  <c r="D2130" i="9"/>
  <c r="T2129" i="9"/>
  <c r="Q2129" i="9"/>
  <c r="M2129" i="9"/>
  <c r="K2129" i="9"/>
  <c r="H2129" i="9"/>
  <c r="H2129" i="9" a="1"/>
  <c r="D2129" i="9"/>
  <c r="T2128" i="9"/>
  <c r="Q2128" i="9"/>
  <c r="M2128" i="9"/>
  <c r="K2128" i="9"/>
  <c r="H2128" i="9"/>
  <c r="H2128" i="9" a="1"/>
  <c r="D2128" i="9"/>
  <c r="T2127" i="9"/>
  <c r="Q2127" i="9"/>
  <c r="M2127" i="9"/>
  <c r="K2127" i="9"/>
  <c r="H2127" i="9"/>
  <c r="H2127" i="9" a="1"/>
  <c r="D2127" i="9"/>
  <c r="T2126" i="9"/>
  <c r="Q2126" i="9"/>
  <c r="M2126" i="9"/>
  <c r="K2126" i="9"/>
  <c r="H2126" i="9"/>
  <c r="H2126" i="9" a="1"/>
  <c r="D2126" i="9"/>
  <c r="T2125" i="9"/>
  <c r="Q2125" i="9"/>
  <c r="M2125" i="9"/>
  <c r="K2125" i="9"/>
  <c r="H2125" i="9"/>
  <c r="H2125" i="9" a="1"/>
  <c r="D2125" i="9"/>
  <c r="T2124" i="9"/>
  <c r="Q2124" i="9"/>
  <c r="M2124" i="9"/>
  <c r="K2124" i="9"/>
  <c r="H2124" i="9"/>
  <c r="H2124" i="9" a="1"/>
  <c r="D2124" i="9"/>
  <c r="T2123" i="9"/>
  <c r="Q2123" i="9"/>
  <c r="M2123" i="9"/>
  <c r="K2123" i="9"/>
  <c r="H2123" i="9"/>
  <c r="H2123" i="9" a="1"/>
  <c r="D2123" i="9"/>
  <c r="T2122" i="9"/>
  <c r="Q2122" i="9"/>
  <c r="M2122" i="9"/>
  <c r="K2122" i="9"/>
  <c r="H2122" i="9"/>
  <c r="H2122" i="9" a="1"/>
  <c r="D2122" i="9"/>
  <c r="T2121" i="9"/>
  <c r="Q2121" i="9"/>
  <c r="M2121" i="9"/>
  <c r="K2121" i="9"/>
  <c r="H2121" i="9"/>
  <c r="H2121" i="9" a="1"/>
  <c r="D2121" i="9"/>
  <c r="T2120" i="9"/>
  <c r="Q2120" i="9"/>
  <c r="M2120" i="9"/>
  <c r="K2120" i="9"/>
  <c r="H2120" i="9"/>
  <c r="H2120" i="9" a="1"/>
  <c r="D2120" i="9"/>
  <c r="T2119" i="9"/>
  <c r="Q2119" i="9"/>
  <c r="M2119" i="9"/>
  <c r="K2119" i="9"/>
  <c r="H2119" i="9"/>
  <c r="H2119" i="9" a="1"/>
  <c r="D2119" i="9"/>
  <c r="T2118" i="9"/>
  <c r="Q2118" i="9"/>
  <c r="M2118" i="9"/>
  <c r="K2118" i="9"/>
  <c r="H2118" i="9"/>
  <c r="H2118" i="9" a="1"/>
  <c r="D2118" i="9"/>
  <c r="T2117" i="9"/>
  <c r="Q2117" i="9"/>
  <c r="M2117" i="9"/>
  <c r="K2117" i="9"/>
  <c r="H2117" i="9"/>
  <c r="H2117" i="9" a="1"/>
  <c r="D2117" i="9"/>
  <c r="T2116" i="9"/>
  <c r="Q2116" i="9"/>
  <c r="M2116" i="9"/>
  <c r="K2116" i="9"/>
  <c r="H2116" i="9"/>
  <c r="H2116" i="9" a="1"/>
  <c r="D2116" i="9"/>
  <c r="T2115" i="9"/>
  <c r="Q2115" i="9"/>
  <c r="M2115" i="9"/>
  <c r="K2115" i="9"/>
  <c r="H2115" i="9"/>
  <c r="H2115" i="9" a="1"/>
  <c r="D2115" i="9"/>
  <c r="T2114" i="9"/>
  <c r="Q2114" i="9"/>
  <c r="M2114" i="9"/>
  <c r="K2114" i="9"/>
  <c r="H2114" i="9"/>
  <c r="H2114" i="9" a="1"/>
  <c r="D2114" i="9"/>
  <c r="T2113" i="9"/>
  <c r="Q2113" i="9"/>
  <c r="M2113" i="9"/>
  <c r="K2113" i="9"/>
  <c r="H2113" i="9"/>
  <c r="H2113" i="9" a="1"/>
  <c r="D2113" i="9"/>
  <c r="T2112" i="9"/>
  <c r="Q2112" i="9"/>
  <c r="M2112" i="9"/>
  <c r="K2112" i="9"/>
  <c r="H2112" i="9"/>
  <c r="H2112" i="9" a="1"/>
  <c r="D2112" i="9"/>
  <c r="T2111" i="9"/>
  <c r="Q2111" i="9"/>
  <c r="M2111" i="9"/>
  <c r="K2111" i="9"/>
  <c r="H2111" i="9"/>
  <c r="H2111" i="9" a="1"/>
  <c r="D2111" i="9"/>
  <c r="T2110" i="9"/>
  <c r="Q2110" i="9"/>
  <c r="M2110" i="9"/>
  <c r="K2110" i="9"/>
  <c r="H2110" i="9"/>
  <c r="H2110" i="9" a="1"/>
  <c r="D2110" i="9"/>
  <c r="T2109" i="9"/>
  <c r="Q2109" i="9"/>
  <c r="M2109" i="9"/>
  <c r="K2109" i="9"/>
  <c r="H2109" i="9"/>
  <c r="H2109" i="9" a="1"/>
  <c r="D2109" i="9"/>
  <c r="T2108" i="9"/>
  <c r="Q2108" i="9"/>
  <c r="M2108" i="9"/>
  <c r="K2108" i="9"/>
  <c r="H2108" i="9"/>
  <c r="H2108" i="9" a="1"/>
  <c r="D2108" i="9"/>
  <c r="T2107" i="9"/>
  <c r="Q2107" i="9"/>
  <c r="M2107" i="9"/>
  <c r="K2107" i="9"/>
  <c r="H2107" i="9"/>
  <c r="H2107" i="9" a="1"/>
  <c r="D2107" i="9"/>
  <c r="T2106" i="9"/>
  <c r="Q2106" i="9"/>
  <c r="M2106" i="9"/>
  <c r="K2106" i="9"/>
  <c r="H2106" i="9"/>
  <c r="H2106" i="9" a="1"/>
  <c r="D2106" i="9"/>
  <c r="T2105" i="9"/>
  <c r="Q2105" i="9"/>
  <c r="M2105" i="9"/>
  <c r="K2105" i="9"/>
  <c r="H2105" i="9"/>
  <c r="H2105" i="9" a="1"/>
  <c r="D2105" i="9"/>
  <c r="T2104" i="9"/>
  <c r="Q2104" i="9"/>
  <c r="M2104" i="9"/>
  <c r="K2104" i="9"/>
  <c r="H2104" i="9"/>
  <c r="H2104" i="9" a="1"/>
  <c r="D2104" i="9"/>
  <c r="T2103" i="9"/>
  <c r="Q2103" i="9"/>
  <c r="M2103" i="9"/>
  <c r="K2103" i="9"/>
  <c r="H2103" i="9"/>
  <c r="H2103" i="9" a="1"/>
  <c r="D2103" i="9"/>
  <c r="T2102" i="9"/>
  <c r="Q2102" i="9"/>
  <c r="M2102" i="9"/>
  <c r="K2102" i="9"/>
  <c r="H2102" i="9"/>
  <c r="H2102" i="9" a="1"/>
  <c r="D2102" i="9"/>
  <c r="T2101" i="9"/>
  <c r="Q2101" i="9"/>
  <c r="M2101" i="9"/>
  <c r="K2101" i="9"/>
  <c r="H2101" i="9"/>
  <c r="H2101" i="9" a="1"/>
  <c r="D2101" i="9"/>
  <c r="T2100" i="9"/>
  <c r="Q2100" i="9"/>
  <c r="M2100" i="9"/>
  <c r="K2100" i="9"/>
  <c r="H2100" i="9"/>
  <c r="H2100" i="9" a="1"/>
  <c r="D2100" i="9"/>
  <c r="T2099" i="9"/>
  <c r="Q2099" i="9"/>
  <c r="M2099" i="9"/>
  <c r="K2099" i="9"/>
  <c r="H2099" i="9"/>
  <c r="H2099" i="9" a="1"/>
  <c r="D2099" i="9"/>
  <c r="T2098" i="9"/>
  <c r="Q2098" i="9"/>
  <c r="M2098" i="9"/>
  <c r="K2098" i="9"/>
  <c r="H2098" i="9"/>
  <c r="H2098" i="9" a="1"/>
  <c r="D2098" i="9"/>
  <c r="T2097" i="9"/>
  <c r="Q2097" i="9"/>
  <c r="M2097" i="9"/>
  <c r="K2097" i="9"/>
  <c r="H2097" i="9"/>
  <c r="H2097" i="9" a="1"/>
  <c r="D2097" i="9"/>
  <c r="T2096" i="9"/>
  <c r="Q2096" i="9"/>
  <c r="M2096" i="9"/>
  <c r="K2096" i="9"/>
  <c r="H2096" i="9"/>
  <c r="H2096" i="9" a="1"/>
  <c r="D2096" i="9"/>
  <c r="T2095" i="9"/>
  <c r="Q2095" i="9"/>
  <c r="M2095" i="9"/>
  <c r="K2095" i="9"/>
  <c r="H2095" i="9"/>
  <c r="H2095" i="9" a="1"/>
  <c r="D2095" i="9"/>
  <c r="T2094" i="9"/>
  <c r="Q2094" i="9"/>
  <c r="M2094" i="9"/>
  <c r="K2094" i="9"/>
  <c r="H2094" i="9"/>
  <c r="H2094" i="9" a="1"/>
  <c r="D2094" i="9"/>
  <c r="T2093" i="9"/>
  <c r="Q2093" i="9"/>
  <c r="M2093" i="9"/>
  <c r="K2093" i="9"/>
  <c r="H2093" i="9"/>
  <c r="H2093" i="9" a="1"/>
  <c r="D2093" i="9"/>
  <c r="T2092" i="9"/>
  <c r="Q2092" i="9"/>
  <c r="M2092" i="9"/>
  <c r="K2092" i="9"/>
  <c r="H2092" i="9"/>
  <c r="H2092" i="9" a="1"/>
  <c r="D2092" i="9"/>
  <c r="T2091" i="9"/>
  <c r="Q2091" i="9"/>
  <c r="M2091" i="9"/>
  <c r="K2091" i="9"/>
  <c r="H2091" i="9"/>
  <c r="H2091" i="9" a="1"/>
  <c r="D2091" i="9"/>
  <c r="T2090" i="9"/>
  <c r="Q2090" i="9"/>
  <c r="M2090" i="9"/>
  <c r="K2090" i="9"/>
  <c r="H2090" i="9"/>
  <c r="H2090" i="9" a="1"/>
  <c r="D2090" i="9"/>
  <c r="T2089" i="9"/>
  <c r="Q2089" i="9"/>
  <c r="M2089" i="9"/>
  <c r="K2089" i="9"/>
  <c r="H2089" i="9"/>
  <c r="H2089" i="9" a="1"/>
  <c r="D2089" i="9"/>
  <c r="T2088" i="9"/>
  <c r="Q2088" i="9"/>
  <c r="M2088" i="9"/>
  <c r="K2088" i="9"/>
  <c r="H2088" i="9"/>
  <c r="H2088" i="9" a="1"/>
  <c r="D2088" i="9"/>
  <c r="T2087" i="9"/>
  <c r="Q2087" i="9"/>
  <c r="M2087" i="9"/>
  <c r="K2087" i="9"/>
  <c r="H2087" i="9"/>
  <c r="H2087" i="9" a="1"/>
  <c r="D2087" i="9"/>
  <c r="T2086" i="9"/>
  <c r="Q2086" i="9"/>
  <c r="M2086" i="9"/>
  <c r="K2086" i="9"/>
  <c r="H2086" i="9"/>
  <c r="H2086" i="9" a="1"/>
  <c r="D2086" i="9"/>
  <c r="T2085" i="9"/>
  <c r="Q2085" i="9"/>
  <c r="M2085" i="9"/>
  <c r="K2085" i="9"/>
  <c r="H2085" i="9"/>
  <c r="H2085" i="9" a="1"/>
  <c r="D2085" i="9"/>
  <c r="T2084" i="9"/>
  <c r="Q2084" i="9"/>
  <c r="M2084" i="9"/>
  <c r="K2084" i="9"/>
  <c r="H2084" i="9"/>
  <c r="H2084" i="9" a="1"/>
  <c r="D2084" i="9"/>
  <c r="T2083" i="9"/>
  <c r="Q2083" i="9"/>
  <c r="M2083" i="9"/>
  <c r="K2083" i="9"/>
  <c r="H2083" i="9"/>
  <c r="H2083" i="9" a="1"/>
  <c r="D2083" i="9"/>
  <c r="T2082" i="9"/>
  <c r="Q2082" i="9"/>
  <c r="M2082" i="9"/>
  <c r="K2082" i="9"/>
  <c r="H2082" i="9"/>
  <c r="H2082" i="9" a="1"/>
  <c r="D2082" i="9"/>
  <c r="T2081" i="9"/>
  <c r="Q2081" i="9"/>
  <c r="M2081" i="9"/>
  <c r="K2081" i="9"/>
  <c r="H2081" i="9"/>
  <c r="H2081" i="9" a="1"/>
  <c r="D2081" i="9"/>
  <c r="T2080" i="9"/>
  <c r="Q2080" i="9"/>
  <c r="M2080" i="9"/>
  <c r="K2080" i="9"/>
  <c r="H2080" i="9"/>
  <c r="H2080" i="9" a="1"/>
  <c r="D2080" i="9"/>
  <c r="T2079" i="9"/>
  <c r="Q2079" i="9"/>
  <c r="M2079" i="9"/>
  <c r="K2079" i="9"/>
  <c r="H2079" i="9"/>
  <c r="H2079" i="9" a="1"/>
  <c r="D2079" i="9"/>
  <c r="T2078" i="9"/>
  <c r="Q2078" i="9"/>
  <c r="M2078" i="9"/>
  <c r="K2078" i="9"/>
  <c r="H2078" i="9"/>
  <c r="H2078" i="9" a="1"/>
  <c r="D2078" i="9"/>
  <c r="T2077" i="9"/>
  <c r="Q2077" i="9"/>
  <c r="M2077" i="9"/>
  <c r="K2077" i="9"/>
  <c r="H2077" i="9"/>
  <c r="H2077" i="9" a="1"/>
  <c r="D2077" i="9"/>
  <c r="T2076" i="9"/>
  <c r="Q2076" i="9"/>
  <c r="M2076" i="9"/>
  <c r="K2076" i="9"/>
  <c r="H2076" i="9"/>
  <c r="H2076" i="9" a="1"/>
  <c r="D2076" i="9"/>
  <c r="T2075" i="9"/>
  <c r="Q2075" i="9"/>
  <c r="M2075" i="9"/>
  <c r="K2075" i="9"/>
  <c r="H2075" i="9"/>
  <c r="H2075" i="9" a="1"/>
  <c r="D2075" i="9"/>
  <c r="T2074" i="9"/>
  <c r="Q2074" i="9"/>
  <c r="M2074" i="9"/>
  <c r="K2074" i="9"/>
  <c r="H2074" i="9"/>
  <c r="H2074" i="9" a="1"/>
  <c r="D2074" i="9"/>
  <c r="T2073" i="9"/>
  <c r="Q2073" i="9"/>
  <c r="M2073" i="9"/>
  <c r="K2073" i="9"/>
  <c r="H2073" i="9"/>
  <c r="H2073" i="9" a="1"/>
  <c r="D2073" i="9"/>
  <c r="T2072" i="9"/>
  <c r="Q2072" i="9"/>
  <c r="M2072" i="9"/>
  <c r="K2072" i="9"/>
  <c r="H2072" i="9"/>
  <c r="H2072" i="9" a="1"/>
  <c r="D2072" i="9"/>
  <c r="T2071" i="9"/>
  <c r="Q2071" i="9"/>
  <c r="M2071" i="9"/>
  <c r="K2071" i="9"/>
  <c r="H2071" i="9"/>
  <c r="H2071" i="9" a="1"/>
  <c r="D2071" i="9"/>
  <c r="T2070" i="9"/>
  <c r="Q2070" i="9"/>
  <c r="M2070" i="9"/>
  <c r="K2070" i="9"/>
  <c r="H2070" i="9"/>
  <c r="H2070" i="9" a="1"/>
  <c r="D2070" i="9"/>
  <c r="T2069" i="9"/>
  <c r="Q2069" i="9"/>
  <c r="M2069" i="9"/>
  <c r="K2069" i="9"/>
  <c r="H2069" i="9"/>
  <c r="H2069" i="9" a="1"/>
  <c r="D2069" i="9"/>
  <c r="T2068" i="9"/>
  <c r="Q2068" i="9"/>
  <c r="M2068" i="9"/>
  <c r="K2068" i="9"/>
  <c r="H2068" i="9"/>
  <c r="H2068" i="9" a="1"/>
  <c r="D2068" i="9"/>
  <c r="T2067" i="9"/>
  <c r="Q2067" i="9"/>
  <c r="M2067" i="9"/>
  <c r="K2067" i="9"/>
  <c r="H2067" i="9"/>
  <c r="H2067" i="9" a="1"/>
  <c r="D2067" i="9"/>
  <c r="T2066" i="9"/>
  <c r="Q2066" i="9"/>
  <c r="M2066" i="9"/>
  <c r="K2066" i="9"/>
  <c r="H2066" i="9"/>
  <c r="H2066" i="9" a="1"/>
  <c r="D2066" i="9"/>
  <c r="T2065" i="9"/>
  <c r="Q2065" i="9"/>
  <c r="M2065" i="9"/>
  <c r="K2065" i="9"/>
  <c r="H2065" i="9"/>
  <c r="H2065" i="9" a="1"/>
  <c r="D2065" i="9"/>
  <c r="T2064" i="9"/>
  <c r="Q2064" i="9"/>
  <c r="M2064" i="9"/>
  <c r="K2064" i="9"/>
  <c r="H2064" i="9"/>
  <c r="H2064" i="9" a="1"/>
  <c r="D2064" i="9"/>
  <c r="T2063" i="9"/>
  <c r="Q2063" i="9"/>
  <c r="M2063" i="9"/>
  <c r="K2063" i="9"/>
  <c r="H2063" i="9"/>
  <c r="H2063" i="9" a="1"/>
  <c r="D2063" i="9"/>
  <c r="T2062" i="9"/>
  <c r="Q2062" i="9"/>
  <c r="M2062" i="9"/>
  <c r="K2062" i="9"/>
  <c r="H2062" i="9"/>
  <c r="H2062" i="9" a="1"/>
  <c r="D2062" i="9"/>
  <c r="T2061" i="9"/>
  <c r="Q2061" i="9"/>
  <c r="M2061" i="9"/>
  <c r="K2061" i="9"/>
  <c r="H2061" i="9"/>
  <c r="H2061" i="9" a="1"/>
  <c r="D2061" i="9"/>
  <c r="T2060" i="9"/>
  <c r="Q2060" i="9"/>
  <c r="M2060" i="9"/>
  <c r="K2060" i="9"/>
  <c r="H2060" i="9"/>
  <c r="H2060" i="9" a="1"/>
  <c r="D2060" i="9"/>
  <c r="T2059" i="9"/>
  <c r="Q2059" i="9"/>
  <c r="M2059" i="9"/>
  <c r="K2059" i="9"/>
  <c r="H2059" i="9"/>
  <c r="H2059" i="9" a="1"/>
  <c r="D2059" i="9"/>
  <c r="T2058" i="9"/>
  <c r="Q2058" i="9"/>
  <c r="M2058" i="9"/>
  <c r="K2058" i="9"/>
  <c r="H2058" i="9"/>
  <c r="H2058" i="9" a="1"/>
  <c r="D2058" i="9"/>
  <c r="T2057" i="9"/>
  <c r="Q2057" i="9"/>
  <c r="M2057" i="9"/>
  <c r="K2057" i="9"/>
  <c r="H2057" i="9"/>
  <c r="H2057" i="9" a="1"/>
  <c r="D2057" i="9"/>
  <c r="T2056" i="9"/>
  <c r="Q2056" i="9"/>
  <c r="M2056" i="9"/>
  <c r="K2056" i="9"/>
  <c r="H2056" i="9"/>
  <c r="H2056" i="9" a="1"/>
  <c r="D2056" i="9"/>
  <c r="T2055" i="9"/>
  <c r="Q2055" i="9"/>
  <c r="M2055" i="9"/>
  <c r="K2055" i="9"/>
  <c r="H2055" i="9"/>
  <c r="H2055" i="9" a="1"/>
  <c r="D2055" i="9"/>
  <c r="T2054" i="9"/>
  <c r="Q2054" i="9"/>
  <c r="M2054" i="9"/>
  <c r="K2054" i="9"/>
  <c r="H2054" i="9"/>
  <c r="H2054" i="9" a="1"/>
  <c r="D2054" i="9"/>
  <c r="T2053" i="9"/>
  <c r="Q2053" i="9"/>
  <c r="M2053" i="9"/>
  <c r="K2053" i="9"/>
  <c r="H2053" i="9"/>
  <c r="H2053" i="9" a="1"/>
  <c r="D2053" i="9"/>
  <c r="T2052" i="9"/>
  <c r="Q2052" i="9"/>
  <c r="M2052" i="9"/>
  <c r="K2052" i="9"/>
  <c r="H2052" i="9"/>
  <c r="H2052" i="9" a="1"/>
  <c r="D2052" i="9"/>
  <c r="T2051" i="9"/>
  <c r="Q2051" i="9"/>
  <c r="M2051" i="9"/>
  <c r="K2051" i="9"/>
  <c r="H2051" i="9"/>
  <c r="H2051" i="9" a="1"/>
  <c r="D2051" i="9"/>
  <c r="T2050" i="9"/>
  <c r="Q2050" i="9"/>
  <c r="M2050" i="9"/>
  <c r="K2050" i="9"/>
  <c r="H2050" i="9"/>
  <c r="H2050" i="9" a="1"/>
  <c r="D2050" i="9"/>
  <c r="T2049" i="9"/>
  <c r="Q2049" i="9"/>
  <c r="M2049" i="9"/>
  <c r="K2049" i="9"/>
  <c r="H2049" i="9"/>
  <c r="H2049" i="9" a="1"/>
  <c r="D2049" i="9"/>
  <c r="T2048" i="9"/>
  <c r="Q2048" i="9"/>
  <c r="M2048" i="9"/>
  <c r="K2048" i="9"/>
  <c r="H2048" i="9"/>
  <c r="H2048" i="9" a="1"/>
  <c r="D2048" i="9"/>
  <c r="T2047" i="9"/>
  <c r="Q2047" i="9"/>
  <c r="M2047" i="9"/>
  <c r="K2047" i="9"/>
  <c r="H2047" i="9"/>
  <c r="H2047" i="9" a="1"/>
  <c r="D2047" i="9"/>
  <c r="T2046" i="9"/>
  <c r="Q2046" i="9"/>
  <c r="M2046" i="9"/>
  <c r="K2046" i="9"/>
  <c r="H2046" i="9"/>
  <c r="H2046" i="9" a="1"/>
  <c r="D2046" i="9"/>
  <c r="T2045" i="9"/>
  <c r="Q2045" i="9"/>
  <c r="M2045" i="9"/>
  <c r="K2045" i="9"/>
  <c r="H2045" i="9"/>
  <c r="H2045" i="9" a="1"/>
  <c r="D2045" i="9"/>
  <c r="T2044" i="9"/>
  <c r="Q2044" i="9"/>
  <c r="M2044" i="9"/>
  <c r="K2044" i="9"/>
  <c r="H2044" i="9"/>
  <c r="H2044" i="9" a="1"/>
  <c r="D2044" i="9"/>
  <c r="T2043" i="9"/>
  <c r="Q2043" i="9"/>
  <c r="M2043" i="9"/>
  <c r="K2043" i="9"/>
  <c r="H2043" i="9"/>
  <c r="H2043" i="9" a="1"/>
  <c r="D2043" i="9"/>
  <c r="T2042" i="9"/>
  <c r="Q2042" i="9"/>
  <c r="M2042" i="9"/>
  <c r="K2042" i="9"/>
  <c r="H2042" i="9"/>
  <c r="H2042" i="9" a="1"/>
  <c r="D2042" i="9"/>
  <c r="T2041" i="9"/>
  <c r="Q2041" i="9"/>
  <c r="M2041" i="9"/>
  <c r="K2041" i="9"/>
  <c r="H2041" i="9"/>
  <c r="H2041" i="9" a="1"/>
  <c r="D2041" i="9"/>
  <c r="T2040" i="9"/>
  <c r="Q2040" i="9"/>
  <c r="M2040" i="9"/>
  <c r="K2040" i="9"/>
  <c r="H2040" i="9"/>
  <c r="H2040" i="9" a="1"/>
  <c r="D2040" i="9"/>
  <c r="T2039" i="9"/>
  <c r="Q2039" i="9"/>
  <c r="M2039" i="9"/>
  <c r="K2039" i="9"/>
  <c r="H2039" i="9"/>
  <c r="H2039" i="9" a="1"/>
  <c r="D2039" i="9"/>
  <c r="T2038" i="9"/>
  <c r="Q2038" i="9"/>
  <c r="M2038" i="9"/>
  <c r="K2038" i="9"/>
  <c r="H2038" i="9"/>
  <c r="H2038" i="9" a="1"/>
  <c r="D2038" i="9"/>
  <c r="T2037" i="9"/>
  <c r="Q2037" i="9"/>
  <c r="M2037" i="9"/>
  <c r="K2037" i="9"/>
  <c r="H2037" i="9"/>
  <c r="H2037" i="9" a="1"/>
  <c r="D2037" i="9"/>
  <c r="T2036" i="9"/>
  <c r="Q2036" i="9"/>
  <c r="M2036" i="9"/>
  <c r="K2036" i="9"/>
  <c r="H2036" i="9"/>
  <c r="H2036" i="9" a="1"/>
  <c r="D2036" i="9"/>
  <c r="T2035" i="9"/>
  <c r="Q2035" i="9"/>
  <c r="M2035" i="9"/>
  <c r="K2035" i="9"/>
  <c r="H2035" i="9"/>
  <c r="H2035" i="9" a="1"/>
  <c r="D2035" i="9"/>
  <c r="T2034" i="9"/>
  <c r="Q2034" i="9"/>
  <c r="M2034" i="9"/>
  <c r="K2034" i="9"/>
  <c r="H2034" i="9"/>
  <c r="H2034" i="9" a="1"/>
  <c r="D2034" i="9"/>
  <c r="T2033" i="9"/>
  <c r="Q2033" i="9"/>
  <c r="M2033" i="9"/>
  <c r="K2033" i="9"/>
  <c r="H2033" i="9"/>
  <c r="H2033" i="9" a="1"/>
  <c r="D2033" i="9"/>
  <c r="T2032" i="9"/>
  <c r="Q2032" i="9"/>
  <c r="M2032" i="9"/>
  <c r="K2032" i="9"/>
  <c r="H2032" i="9"/>
  <c r="H2032" i="9" a="1"/>
  <c r="D2032" i="9"/>
  <c r="T2031" i="9"/>
  <c r="Q2031" i="9"/>
  <c r="M2031" i="9"/>
  <c r="K2031" i="9"/>
  <c r="H2031" i="9"/>
  <c r="H2031" i="9" a="1"/>
  <c r="D2031" i="9"/>
  <c r="T2030" i="9"/>
  <c r="Q2030" i="9"/>
  <c r="M2030" i="9"/>
  <c r="K2030" i="9"/>
  <c r="H2030" i="9"/>
  <c r="H2030" i="9" a="1"/>
  <c r="D2030" i="9"/>
  <c r="T2029" i="9"/>
  <c r="Q2029" i="9"/>
  <c r="M2029" i="9"/>
  <c r="K2029" i="9"/>
  <c r="H2029" i="9"/>
  <c r="H2029" i="9" a="1"/>
  <c r="D2029" i="9"/>
  <c r="T2028" i="9"/>
  <c r="Q2028" i="9"/>
  <c r="M2028" i="9"/>
  <c r="K2028" i="9"/>
  <c r="H2028" i="9"/>
  <c r="H2028" i="9" a="1"/>
  <c r="D2028" i="9"/>
  <c r="T2027" i="9"/>
  <c r="Q2027" i="9"/>
  <c r="M2027" i="9"/>
  <c r="K2027" i="9"/>
  <c r="H2027" i="9"/>
  <c r="H2027" i="9" a="1"/>
  <c r="D2027" i="9"/>
  <c r="T2026" i="9"/>
  <c r="Q2026" i="9"/>
  <c r="M2026" i="9"/>
  <c r="K2026" i="9"/>
  <c r="H2026" i="9"/>
  <c r="H2026" i="9" a="1"/>
  <c r="D2026" i="9"/>
  <c r="T2025" i="9"/>
  <c r="Q2025" i="9"/>
  <c r="M2025" i="9"/>
  <c r="K2025" i="9"/>
  <c r="H2025" i="9"/>
  <c r="H2025" i="9" a="1"/>
  <c r="D2025" i="9"/>
  <c r="T2024" i="9"/>
  <c r="Q2024" i="9"/>
  <c r="M2024" i="9"/>
  <c r="K2024" i="9"/>
  <c r="H2024" i="9"/>
  <c r="H2024" i="9" a="1"/>
  <c r="D2024" i="9"/>
  <c r="T2023" i="9"/>
  <c r="Q2023" i="9"/>
  <c r="M2023" i="9"/>
  <c r="K2023" i="9"/>
  <c r="H2023" i="9"/>
  <c r="H2023" i="9" a="1"/>
  <c r="D2023" i="9"/>
  <c r="T2022" i="9"/>
  <c r="Q2022" i="9"/>
  <c r="M2022" i="9"/>
  <c r="K2022" i="9"/>
  <c r="H2022" i="9"/>
  <c r="H2022" i="9" a="1"/>
  <c r="D2022" i="9"/>
  <c r="T2021" i="9"/>
  <c r="Q2021" i="9"/>
  <c r="M2021" i="9"/>
  <c r="K2021" i="9"/>
  <c r="H2021" i="9"/>
  <c r="H2021" i="9" a="1"/>
  <c r="D2021" i="9"/>
  <c r="T2020" i="9"/>
  <c r="Q2020" i="9"/>
  <c r="M2020" i="9"/>
  <c r="K2020" i="9"/>
  <c r="H2020" i="9"/>
  <c r="H2020" i="9" a="1"/>
  <c r="D2020" i="9"/>
  <c r="T2019" i="9"/>
  <c r="Q2019" i="9"/>
  <c r="M2019" i="9"/>
  <c r="K2019" i="9"/>
  <c r="H2019" i="9"/>
  <c r="H2019" i="9" a="1"/>
  <c r="D2019" i="9"/>
  <c r="T2018" i="9"/>
  <c r="Q2018" i="9"/>
  <c r="M2018" i="9"/>
  <c r="K2018" i="9"/>
  <c r="H2018" i="9"/>
  <c r="H2018" i="9" a="1"/>
  <c r="D2018" i="9"/>
  <c r="T2017" i="9"/>
  <c r="Q2017" i="9"/>
  <c r="M2017" i="9"/>
  <c r="K2017" i="9"/>
  <c r="H2017" i="9"/>
  <c r="H2017" i="9" a="1"/>
  <c r="D2017" i="9"/>
  <c r="T2016" i="9"/>
  <c r="Q2016" i="9"/>
  <c r="M2016" i="9"/>
  <c r="K2016" i="9"/>
  <c r="H2016" i="9"/>
  <c r="H2016" i="9" a="1"/>
  <c r="D2016" i="9"/>
  <c r="T2015" i="9"/>
  <c r="Q2015" i="9"/>
  <c r="M2015" i="9"/>
  <c r="K2015" i="9"/>
  <c r="H2015" i="9"/>
  <c r="H2015" i="9" a="1"/>
  <c r="D2015" i="9"/>
  <c r="T2014" i="9"/>
  <c r="Q2014" i="9"/>
  <c r="M2014" i="9"/>
  <c r="K2014" i="9"/>
  <c r="H2014" i="9"/>
  <c r="H2014" i="9" a="1"/>
  <c r="D2014" i="9"/>
  <c r="T2013" i="9"/>
  <c r="Q2013" i="9"/>
  <c r="M2013" i="9"/>
  <c r="K2013" i="9"/>
  <c r="H2013" i="9"/>
  <c r="H2013" i="9" a="1"/>
  <c r="D2013" i="9"/>
  <c r="T2012" i="9"/>
  <c r="Q2012" i="9"/>
  <c r="M2012" i="9"/>
  <c r="K2012" i="9"/>
  <c r="H2012" i="9"/>
  <c r="H2012" i="9" a="1"/>
  <c r="D2012" i="9"/>
  <c r="T2011" i="9"/>
  <c r="Q2011" i="9"/>
  <c r="M2011" i="9"/>
  <c r="K2011" i="9"/>
  <c r="H2011" i="9"/>
  <c r="H2011" i="9" a="1"/>
  <c r="D2011" i="9"/>
  <c r="T2010" i="9"/>
  <c r="Q2010" i="9"/>
  <c r="M2010" i="9"/>
  <c r="K2010" i="9"/>
  <c r="H2010" i="9"/>
  <c r="H2010" i="9" a="1"/>
  <c r="D2010" i="9"/>
  <c r="T2009" i="9"/>
  <c r="Q2009" i="9"/>
  <c r="M2009" i="9"/>
  <c r="K2009" i="9"/>
  <c r="H2009" i="9"/>
  <c r="H2009" i="9" a="1"/>
  <c r="D2009" i="9"/>
  <c r="T2008" i="9"/>
  <c r="Q2008" i="9"/>
  <c r="M2008" i="9"/>
  <c r="K2008" i="9"/>
  <c r="H2008" i="9"/>
  <c r="H2008" i="9" a="1"/>
  <c r="D2008" i="9"/>
  <c r="T2007" i="9"/>
  <c r="Q2007" i="9"/>
  <c r="M2007" i="9"/>
  <c r="K2007" i="9"/>
  <c r="H2007" i="9"/>
  <c r="H2007" i="9" a="1"/>
  <c r="D2007" i="9"/>
  <c r="T2006" i="9"/>
  <c r="Q2006" i="9"/>
  <c r="M2006" i="9"/>
  <c r="K2006" i="9"/>
  <c r="H2006" i="9"/>
  <c r="H2006" i="9" a="1"/>
  <c r="D2006" i="9"/>
  <c r="T2005" i="9"/>
  <c r="Q2005" i="9"/>
  <c r="M2005" i="9"/>
  <c r="K2005" i="9"/>
  <c r="H2005" i="9"/>
  <c r="H2005" i="9" a="1"/>
  <c r="D2005" i="9"/>
  <c r="T2004" i="9"/>
  <c r="Q2004" i="9"/>
  <c r="M2004" i="9"/>
  <c r="K2004" i="9"/>
  <c r="H2004" i="9"/>
  <c r="H2004" i="9" a="1"/>
  <c r="D2004" i="9"/>
  <c r="T2003" i="9"/>
  <c r="Q2003" i="9"/>
  <c r="M2003" i="9"/>
  <c r="K2003" i="9"/>
  <c r="H2003" i="9"/>
  <c r="H2003" i="9" a="1"/>
  <c r="D2003" i="9"/>
  <c r="T2002" i="9"/>
  <c r="Q2002" i="9"/>
  <c r="M2002" i="9"/>
  <c r="K2002" i="9"/>
  <c r="H2002" i="9"/>
  <c r="H2002" i="9" a="1"/>
  <c r="D2002" i="9"/>
  <c r="T2001" i="9"/>
  <c r="Q2001" i="9"/>
  <c r="M2001" i="9"/>
  <c r="K2001" i="9"/>
  <c r="H2001" i="9"/>
  <c r="H2001" i="9" a="1"/>
  <c r="D2001" i="9"/>
  <c r="T2000" i="9"/>
  <c r="Q2000" i="9"/>
  <c r="M2000" i="9"/>
  <c r="K2000" i="9"/>
  <c r="H2000" i="9"/>
  <c r="H2000" i="9" a="1"/>
  <c r="D2000" i="9"/>
  <c r="T1999" i="9"/>
  <c r="Q1999" i="9"/>
  <c r="M1999" i="9"/>
  <c r="K1999" i="9"/>
  <c r="H1999" i="9"/>
  <c r="H1999" i="9" a="1"/>
  <c r="D1999" i="9"/>
  <c r="T1998" i="9"/>
  <c r="Q1998" i="9"/>
  <c r="M1998" i="9"/>
  <c r="K1998" i="9"/>
  <c r="H1998" i="9"/>
  <c r="H1998" i="9" a="1"/>
  <c r="D1998" i="9"/>
  <c r="T1997" i="9"/>
  <c r="Q1997" i="9"/>
  <c r="M1997" i="9"/>
  <c r="K1997" i="9"/>
  <c r="H1997" i="9"/>
  <c r="H1997" i="9" a="1"/>
  <c r="D1997" i="9"/>
  <c r="T1996" i="9"/>
  <c r="Q1996" i="9"/>
  <c r="M1996" i="9"/>
  <c r="K1996" i="9"/>
  <c r="H1996" i="9"/>
  <c r="H1996" i="9" a="1"/>
  <c r="D1996" i="9"/>
  <c r="T1995" i="9"/>
  <c r="Q1995" i="9"/>
  <c r="M1995" i="9"/>
  <c r="K1995" i="9"/>
  <c r="H1995" i="9"/>
  <c r="H1995" i="9" a="1"/>
  <c r="D1995" i="9"/>
  <c r="T1994" i="9"/>
  <c r="Q1994" i="9"/>
  <c r="M1994" i="9"/>
  <c r="K1994" i="9"/>
  <c r="H1994" i="9"/>
  <c r="H1994" i="9" a="1"/>
  <c r="D1994" i="9"/>
  <c r="T1993" i="9"/>
  <c r="Q1993" i="9"/>
  <c r="M1993" i="9"/>
  <c r="K1993" i="9"/>
  <c r="H1993" i="9"/>
  <c r="H1993" i="9" a="1"/>
  <c r="D1993" i="9"/>
  <c r="T1992" i="9"/>
  <c r="Q1992" i="9"/>
  <c r="M1992" i="9"/>
  <c r="K1992" i="9"/>
  <c r="H1992" i="9"/>
  <c r="H1992" i="9" a="1"/>
  <c r="D1992" i="9"/>
  <c r="T1991" i="9"/>
  <c r="Q1991" i="9"/>
  <c r="M1991" i="9"/>
  <c r="K1991" i="9"/>
  <c r="H1991" i="9"/>
  <c r="H1991" i="9" a="1"/>
  <c r="D1991" i="9"/>
  <c r="T1990" i="9"/>
  <c r="Q1990" i="9"/>
  <c r="M1990" i="9"/>
  <c r="K1990" i="9"/>
  <c r="H1990" i="9"/>
  <c r="H1990" i="9" a="1"/>
  <c r="D1990" i="9"/>
  <c r="T1989" i="9"/>
  <c r="Q1989" i="9"/>
  <c r="M1989" i="9"/>
  <c r="K1989" i="9"/>
  <c r="H1989" i="9"/>
  <c r="H1989" i="9" a="1"/>
  <c r="D1989" i="9"/>
  <c r="T1988" i="9"/>
  <c r="Q1988" i="9"/>
  <c r="M1988" i="9"/>
  <c r="K1988" i="9"/>
  <c r="H1988" i="9"/>
  <c r="H1988" i="9" a="1"/>
  <c r="D1988" i="9"/>
  <c r="T1987" i="9"/>
  <c r="Q1987" i="9"/>
  <c r="M1987" i="9"/>
  <c r="K1987" i="9"/>
  <c r="H1987" i="9"/>
  <c r="H1987" i="9" a="1"/>
  <c r="D1987" i="9"/>
  <c r="T1986" i="9"/>
  <c r="Q1986" i="9"/>
  <c r="M1986" i="9"/>
  <c r="K1986" i="9"/>
  <c r="H1986" i="9"/>
  <c r="H1986" i="9" a="1"/>
  <c r="D1986" i="9"/>
  <c r="T1985" i="9"/>
  <c r="Q1985" i="9"/>
  <c r="M1985" i="9"/>
  <c r="K1985" i="9"/>
  <c r="H1985" i="9"/>
  <c r="H1985" i="9" a="1"/>
  <c r="D1985" i="9"/>
  <c r="T1984" i="9"/>
  <c r="Q1984" i="9"/>
  <c r="M1984" i="9"/>
  <c r="K1984" i="9"/>
  <c r="H1984" i="9"/>
  <c r="H1984" i="9" a="1"/>
  <c r="D1984" i="9"/>
  <c r="T1983" i="9"/>
  <c r="Q1983" i="9"/>
  <c r="M1983" i="9"/>
  <c r="K1983" i="9"/>
  <c r="H1983" i="9"/>
  <c r="H1983" i="9" a="1"/>
  <c r="D1983" i="9"/>
  <c r="T1982" i="9"/>
  <c r="Q1982" i="9"/>
  <c r="M1982" i="9"/>
  <c r="K1982" i="9"/>
  <c r="H1982" i="9"/>
  <c r="H1982" i="9" a="1"/>
  <c r="D1982" i="9"/>
  <c r="T1981" i="9"/>
  <c r="Q1981" i="9"/>
  <c r="M1981" i="9"/>
  <c r="K1981" i="9"/>
  <c r="H1981" i="9"/>
  <c r="H1981" i="9" a="1"/>
  <c r="D1981" i="9"/>
  <c r="T1980" i="9"/>
  <c r="Q1980" i="9"/>
  <c r="M1980" i="9"/>
  <c r="K1980" i="9"/>
  <c r="H1980" i="9"/>
  <c r="H1980" i="9" a="1"/>
  <c r="D1980" i="9"/>
  <c r="T1979" i="9"/>
  <c r="Q1979" i="9"/>
  <c r="M1979" i="9"/>
  <c r="K1979" i="9"/>
  <c r="H1979" i="9"/>
  <c r="H1979" i="9" a="1"/>
  <c r="D1979" i="9"/>
  <c r="T1978" i="9"/>
  <c r="Q1978" i="9"/>
  <c r="M1978" i="9"/>
  <c r="K1978" i="9"/>
  <c r="H1978" i="9"/>
  <c r="H1978" i="9" a="1"/>
  <c r="D1978" i="9"/>
  <c r="T1977" i="9"/>
  <c r="Q1977" i="9"/>
  <c r="M1977" i="9"/>
  <c r="K1977" i="9"/>
  <c r="H1977" i="9"/>
  <c r="H1977" i="9" a="1"/>
  <c r="D1977" i="9"/>
  <c r="T1976" i="9"/>
  <c r="Q1976" i="9"/>
  <c r="M1976" i="9"/>
  <c r="K1976" i="9"/>
  <c r="H1976" i="9"/>
  <c r="H1976" i="9" a="1"/>
  <c r="D1976" i="9"/>
  <c r="T1975" i="9"/>
  <c r="Q1975" i="9"/>
  <c r="M1975" i="9"/>
  <c r="K1975" i="9"/>
  <c r="H1975" i="9"/>
  <c r="H1975" i="9" a="1"/>
  <c r="D1975" i="9"/>
  <c r="T1974" i="9"/>
  <c r="Q1974" i="9"/>
  <c r="M1974" i="9"/>
  <c r="K1974" i="9"/>
  <c r="H1974" i="9"/>
  <c r="H1974" i="9" a="1"/>
  <c r="D1974" i="9"/>
  <c r="T1973" i="9"/>
  <c r="Q1973" i="9"/>
  <c r="M1973" i="9"/>
  <c r="K1973" i="9"/>
  <c r="H1973" i="9"/>
  <c r="H1973" i="9" a="1"/>
  <c r="D1973" i="9"/>
  <c r="T1972" i="9"/>
  <c r="Q1972" i="9"/>
  <c r="M1972" i="9"/>
  <c r="K1972" i="9"/>
  <c r="H1972" i="9"/>
  <c r="H1972" i="9" a="1"/>
  <c r="D1972" i="9"/>
  <c r="T1971" i="9"/>
  <c r="Q1971" i="9"/>
  <c r="M1971" i="9"/>
  <c r="K1971" i="9"/>
  <c r="H1971" i="9"/>
  <c r="H1971" i="9" a="1"/>
  <c r="D1971" i="9"/>
  <c r="T1970" i="9"/>
  <c r="Q1970" i="9"/>
  <c r="M1970" i="9"/>
  <c r="K1970" i="9"/>
  <c r="H1970" i="9"/>
  <c r="H1970" i="9" a="1"/>
  <c r="D1970" i="9"/>
  <c r="T1969" i="9"/>
  <c r="Q1969" i="9"/>
  <c r="M1969" i="9"/>
  <c r="K1969" i="9"/>
  <c r="H1969" i="9"/>
  <c r="H1969" i="9" a="1"/>
  <c r="D1969" i="9"/>
  <c r="T1968" i="9"/>
  <c r="Q1968" i="9"/>
  <c r="M1968" i="9"/>
  <c r="K1968" i="9"/>
  <c r="H1968" i="9"/>
  <c r="H1968" i="9" a="1"/>
  <c r="D1968" i="9"/>
  <c r="T1967" i="9"/>
  <c r="Q1967" i="9"/>
  <c r="M1967" i="9"/>
  <c r="K1967" i="9"/>
  <c r="H1967" i="9"/>
  <c r="H1967" i="9" a="1"/>
  <c r="D1967" i="9"/>
  <c r="T1966" i="9"/>
  <c r="Q1966" i="9"/>
  <c r="M1966" i="9"/>
  <c r="K1966" i="9"/>
  <c r="H1966" i="9"/>
  <c r="H1966" i="9" a="1"/>
  <c r="D1966" i="9"/>
  <c r="T1965" i="9"/>
  <c r="Q1965" i="9"/>
  <c r="M1965" i="9"/>
  <c r="K1965" i="9"/>
  <c r="H1965" i="9"/>
  <c r="H1965" i="9" a="1"/>
  <c r="D1965" i="9"/>
  <c r="T1964" i="9"/>
  <c r="Q1964" i="9"/>
  <c r="M1964" i="9"/>
  <c r="K1964" i="9"/>
  <c r="H1964" i="9"/>
  <c r="H1964" i="9" a="1"/>
  <c r="D1964" i="9"/>
  <c r="T1963" i="9"/>
  <c r="Q1963" i="9"/>
  <c r="M1963" i="9"/>
  <c r="K1963" i="9"/>
  <c r="H1963" i="9"/>
  <c r="H1963" i="9" a="1"/>
  <c r="D1963" i="9"/>
  <c r="T1962" i="9"/>
  <c r="Q1962" i="9"/>
  <c r="M1962" i="9"/>
  <c r="K1962" i="9"/>
  <c r="H1962" i="9"/>
  <c r="H1962" i="9" a="1"/>
  <c r="D1962" i="9"/>
  <c r="T1961" i="9"/>
  <c r="Q1961" i="9"/>
  <c r="M1961" i="9"/>
  <c r="K1961" i="9"/>
  <c r="H1961" i="9"/>
  <c r="H1961" i="9" a="1"/>
  <c r="D1961" i="9"/>
  <c r="T1960" i="9"/>
  <c r="Q1960" i="9"/>
  <c r="M1960" i="9"/>
  <c r="K1960" i="9"/>
  <c r="H1960" i="9"/>
  <c r="H1960" i="9" a="1"/>
  <c r="D1960" i="9"/>
  <c r="T1959" i="9"/>
  <c r="Q1959" i="9"/>
  <c r="M1959" i="9"/>
  <c r="K1959" i="9"/>
  <c r="H1959" i="9"/>
  <c r="H1959" i="9" a="1"/>
  <c r="D1959" i="9"/>
  <c r="T1958" i="9"/>
  <c r="Q1958" i="9"/>
  <c r="M1958" i="9"/>
  <c r="K1958" i="9"/>
  <c r="H1958" i="9"/>
  <c r="H1958" i="9" a="1"/>
  <c r="D1958" i="9"/>
  <c r="T1957" i="9"/>
  <c r="Q1957" i="9"/>
  <c r="M1957" i="9"/>
  <c r="K1957" i="9"/>
  <c r="H1957" i="9"/>
  <c r="H1957" i="9" a="1"/>
  <c r="D1957" i="9"/>
  <c r="T1956" i="9"/>
  <c r="Q1956" i="9"/>
  <c r="M1956" i="9"/>
  <c r="K1956" i="9"/>
  <c r="H1956" i="9"/>
  <c r="H1956" i="9" a="1"/>
  <c r="D1956" i="9"/>
  <c r="T1955" i="9"/>
  <c r="Q1955" i="9"/>
  <c r="M1955" i="9"/>
  <c r="K1955" i="9"/>
  <c r="H1955" i="9"/>
  <c r="H1955" i="9" a="1"/>
  <c r="D1955" i="9"/>
  <c r="T1954" i="9"/>
  <c r="Q1954" i="9"/>
  <c r="M1954" i="9"/>
  <c r="K1954" i="9"/>
  <c r="H1954" i="9"/>
  <c r="H1954" i="9" a="1"/>
  <c r="D1954" i="9"/>
  <c r="T1953" i="9"/>
  <c r="Q1953" i="9"/>
  <c r="M1953" i="9"/>
  <c r="K1953" i="9"/>
  <c r="H1953" i="9"/>
  <c r="H1953" i="9" a="1"/>
  <c r="D1953" i="9"/>
  <c r="T1952" i="9"/>
  <c r="Q1952" i="9"/>
  <c r="M1952" i="9"/>
  <c r="K1952" i="9"/>
  <c r="H1952" i="9"/>
  <c r="H1952" i="9" a="1"/>
  <c r="D1952" i="9"/>
  <c r="T1951" i="9"/>
  <c r="Q1951" i="9"/>
  <c r="M1951" i="9"/>
  <c r="K1951" i="9"/>
  <c r="H1951" i="9"/>
  <c r="H1951" i="9" a="1"/>
  <c r="D1951" i="9"/>
  <c r="T1950" i="9"/>
  <c r="Q1950" i="9"/>
  <c r="M1950" i="9"/>
  <c r="K1950" i="9"/>
  <c r="H1950" i="9"/>
  <c r="H1950" i="9" a="1"/>
  <c r="D1950" i="9"/>
  <c r="T1949" i="9"/>
  <c r="Q1949" i="9"/>
  <c r="M1949" i="9"/>
  <c r="K1949" i="9"/>
  <c r="H1949" i="9"/>
  <c r="H1949" i="9" a="1"/>
  <c r="D1949" i="9"/>
  <c r="T1948" i="9"/>
  <c r="Q1948" i="9"/>
  <c r="M1948" i="9"/>
  <c r="K1948" i="9"/>
  <c r="H1948" i="9"/>
  <c r="H1948" i="9" a="1"/>
  <c r="D1948" i="9"/>
  <c r="T1947" i="9"/>
  <c r="Q1947" i="9"/>
  <c r="M1947" i="9"/>
  <c r="K1947" i="9"/>
  <c r="H1947" i="9"/>
  <c r="H1947" i="9" a="1"/>
  <c r="D1947" i="9"/>
  <c r="T1946" i="9"/>
  <c r="Q1946" i="9"/>
  <c r="M1946" i="9"/>
  <c r="K1946" i="9"/>
  <c r="H1946" i="9"/>
  <c r="H1946" i="9" a="1"/>
  <c r="D1946" i="9"/>
  <c r="T1945" i="9"/>
  <c r="Q1945" i="9"/>
  <c r="M1945" i="9"/>
  <c r="K1945" i="9"/>
  <c r="H1945" i="9"/>
  <c r="H1945" i="9" a="1"/>
  <c r="D1945" i="9"/>
  <c r="T1944" i="9"/>
  <c r="Q1944" i="9"/>
  <c r="M1944" i="9"/>
  <c r="K1944" i="9"/>
  <c r="H1944" i="9"/>
  <c r="H1944" i="9" a="1"/>
  <c r="D1944" i="9"/>
  <c r="T1943" i="9"/>
  <c r="Q1943" i="9"/>
  <c r="M1943" i="9"/>
  <c r="K1943" i="9"/>
  <c r="H1943" i="9"/>
  <c r="H1943" i="9" a="1"/>
  <c r="D1943" i="9"/>
  <c r="T1942" i="9"/>
  <c r="Q1942" i="9"/>
  <c r="M1942" i="9"/>
  <c r="K1942" i="9"/>
  <c r="H1942" i="9"/>
  <c r="H1942" i="9" a="1"/>
  <c r="D1942" i="9"/>
  <c r="T1941" i="9"/>
  <c r="Q1941" i="9"/>
  <c r="M1941" i="9"/>
  <c r="K1941" i="9"/>
  <c r="H1941" i="9"/>
  <c r="H1941" i="9" a="1"/>
  <c r="D1941" i="9"/>
  <c r="T1940" i="9"/>
  <c r="Q1940" i="9"/>
  <c r="M1940" i="9"/>
  <c r="K1940" i="9"/>
  <c r="H1940" i="9"/>
  <c r="H1940" i="9" a="1"/>
  <c r="D1940" i="9"/>
  <c r="T1939" i="9"/>
  <c r="Q1939" i="9"/>
  <c r="M1939" i="9"/>
  <c r="K1939" i="9"/>
  <c r="H1939" i="9"/>
  <c r="H1939" i="9" a="1"/>
  <c r="D1939" i="9"/>
  <c r="T1938" i="9"/>
  <c r="Q1938" i="9"/>
  <c r="M1938" i="9"/>
  <c r="K1938" i="9"/>
  <c r="H1938" i="9"/>
  <c r="H1938" i="9" a="1"/>
  <c r="D1938" i="9"/>
  <c r="T1937" i="9"/>
  <c r="Q1937" i="9"/>
  <c r="M1937" i="9"/>
  <c r="K1937" i="9"/>
  <c r="H1937" i="9"/>
  <c r="H1937" i="9" a="1"/>
  <c r="D1937" i="9"/>
  <c r="T1936" i="9"/>
  <c r="Q1936" i="9"/>
  <c r="M1936" i="9"/>
  <c r="K1936" i="9"/>
  <c r="H1936" i="9"/>
  <c r="H1936" i="9" a="1"/>
  <c r="D1936" i="9"/>
  <c r="T1935" i="9"/>
  <c r="Q1935" i="9"/>
  <c r="M1935" i="9"/>
  <c r="K1935" i="9"/>
  <c r="H1935" i="9"/>
  <c r="H1935" i="9" a="1"/>
  <c r="D1935" i="9"/>
  <c r="T1934" i="9"/>
  <c r="Q1934" i="9"/>
  <c r="M1934" i="9"/>
  <c r="K1934" i="9"/>
  <c r="H1934" i="9"/>
  <c r="H1934" i="9" a="1"/>
  <c r="D1934" i="9"/>
  <c r="T1933" i="9"/>
  <c r="Q1933" i="9"/>
  <c r="M1933" i="9"/>
  <c r="K1933" i="9"/>
  <c r="H1933" i="9"/>
  <c r="H1933" i="9" a="1"/>
  <c r="D1933" i="9"/>
  <c r="T1932" i="9"/>
  <c r="Q1932" i="9"/>
  <c r="M1932" i="9"/>
  <c r="K1932" i="9"/>
  <c r="H1932" i="9"/>
  <c r="H1932" i="9" a="1"/>
  <c r="D1932" i="9"/>
  <c r="T1931" i="9"/>
  <c r="Q1931" i="9"/>
  <c r="M1931" i="9"/>
  <c r="K1931" i="9"/>
  <c r="H1931" i="9"/>
  <c r="H1931" i="9" a="1"/>
  <c r="D1931" i="9"/>
  <c r="T1930" i="9"/>
  <c r="Q1930" i="9"/>
  <c r="M1930" i="9"/>
  <c r="K1930" i="9"/>
  <c r="H1930" i="9"/>
  <c r="H1930" i="9" a="1"/>
  <c r="D1930" i="9"/>
  <c r="T1929" i="9"/>
  <c r="Q1929" i="9"/>
  <c r="M1929" i="9"/>
  <c r="K1929" i="9"/>
  <c r="H1929" i="9"/>
  <c r="H1929" i="9" a="1"/>
  <c r="D1929" i="9"/>
  <c r="T1928" i="9"/>
  <c r="Q1928" i="9"/>
  <c r="M1928" i="9"/>
  <c r="K1928" i="9"/>
  <c r="H1928" i="9"/>
  <c r="H1928" i="9" a="1"/>
  <c r="D1928" i="9"/>
  <c r="T1927" i="9"/>
  <c r="Q1927" i="9"/>
  <c r="M1927" i="9"/>
  <c r="K1927" i="9"/>
  <c r="H1927" i="9"/>
  <c r="H1927" i="9" a="1"/>
  <c r="D1927" i="9"/>
  <c r="T1926" i="9"/>
  <c r="Q1926" i="9"/>
  <c r="M1926" i="9"/>
  <c r="K1926" i="9"/>
  <c r="H1926" i="9"/>
  <c r="H1926" i="9" a="1"/>
  <c r="D1926" i="9"/>
  <c r="T1925" i="9"/>
  <c r="Q1925" i="9"/>
  <c r="M1925" i="9"/>
  <c r="K1925" i="9"/>
  <c r="H1925" i="9"/>
  <c r="H1925" i="9" a="1"/>
  <c r="D1925" i="9"/>
  <c r="T1924" i="9"/>
  <c r="Q1924" i="9"/>
  <c r="M1924" i="9"/>
  <c r="K1924" i="9"/>
  <c r="H1924" i="9"/>
  <c r="H1924" i="9" a="1"/>
  <c r="D1924" i="9"/>
  <c r="T1923" i="9"/>
  <c r="Q1923" i="9"/>
  <c r="M1923" i="9"/>
  <c r="K1923" i="9"/>
  <c r="H1923" i="9"/>
  <c r="H1923" i="9" a="1"/>
  <c r="D1923" i="9"/>
  <c r="T1922" i="9"/>
  <c r="Q1922" i="9"/>
  <c r="M1922" i="9"/>
  <c r="K1922" i="9"/>
  <c r="H1922" i="9"/>
  <c r="H1922" i="9" a="1"/>
  <c r="D1922" i="9"/>
  <c r="T1921" i="9"/>
  <c r="Q1921" i="9"/>
  <c r="M1921" i="9"/>
  <c r="K1921" i="9"/>
  <c r="H1921" i="9"/>
  <c r="H1921" i="9" a="1"/>
  <c r="D1921" i="9"/>
  <c r="T1920" i="9"/>
  <c r="Q1920" i="9"/>
  <c r="M1920" i="9"/>
  <c r="K1920" i="9"/>
  <c r="H1920" i="9"/>
  <c r="H1920" i="9" a="1"/>
  <c r="D1920" i="9"/>
  <c r="T1919" i="9"/>
  <c r="Q1919" i="9"/>
  <c r="M1919" i="9"/>
  <c r="K1919" i="9"/>
  <c r="H1919" i="9"/>
  <c r="H1919" i="9" a="1"/>
  <c r="D1919" i="9"/>
  <c r="T1918" i="9"/>
  <c r="Q1918" i="9"/>
  <c r="M1918" i="9"/>
  <c r="K1918" i="9"/>
  <c r="H1918" i="9"/>
  <c r="H1918" i="9" a="1"/>
  <c r="D1918" i="9"/>
  <c r="T1917" i="9"/>
  <c r="Q1917" i="9"/>
  <c r="M1917" i="9"/>
  <c r="K1917" i="9"/>
  <c r="H1917" i="9"/>
  <c r="H1917" i="9" a="1"/>
  <c r="D1917" i="9"/>
  <c r="T1916" i="9"/>
  <c r="Q1916" i="9"/>
  <c r="M1916" i="9"/>
  <c r="K1916" i="9"/>
  <c r="H1916" i="9"/>
  <c r="H1916" i="9" a="1"/>
  <c r="D1916" i="9"/>
  <c r="T1915" i="9"/>
  <c r="Q1915" i="9"/>
  <c r="M1915" i="9"/>
  <c r="K1915" i="9"/>
  <c r="H1915" i="9"/>
  <c r="H1915" i="9" a="1"/>
  <c r="D1915" i="9"/>
  <c r="T1914" i="9"/>
  <c r="Q1914" i="9"/>
  <c r="M1914" i="9"/>
  <c r="K1914" i="9"/>
  <c r="H1914" i="9"/>
  <c r="H1914" i="9" a="1"/>
  <c r="D1914" i="9"/>
  <c r="T1913" i="9"/>
  <c r="Q1913" i="9"/>
  <c r="M1913" i="9"/>
  <c r="K1913" i="9"/>
  <c r="H1913" i="9"/>
  <c r="H1913" i="9" a="1"/>
  <c r="D1913" i="9"/>
  <c r="T1912" i="9"/>
  <c r="Q1912" i="9"/>
  <c r="M1912" i="9"/>
  <c r="K1912" i="9"/>
  <c r="H1912" i="9"/>
  <c r="H1912" i="9" a="1"/>
  <c r="D1912" i="9"/>
  <c r="T1911" i="9"/>
  <c r="Q1911" i="9"/>
  <c r="M1911" i="9"/>
  <c r="K1911" i="9"/>
  <c r="H1911" i="9"/>
  <c r="H1911" i="9" a="1"/>
  <c r="D1911" i="9"/>
  <c r="T1910" i="9"/>
  <c r="Q1910" i="9"/>
  <c r="M1910" i="9"/>
  <c r="K1910" i="9"/>
  <c r="H1910" i="9"/>
  <c r="H1910" i="9" a="1"/>
  <c r="D1910" i="9"/>
  <c r="T1909" i="9"/>
  <c r="Q1909" i="9"/>
  <c r="M1909" i="9"/>
  <c r="K1909" i="9"/>
  <c r="H1909" i="9"/>
  <c r="H1909" i="9" a="1"/>
  <c r="D1909" i="9"/>
  <c r="T1908" i="9"/>
  <c r="Q1908" i="9"/>
  <c r="M1908" i="9"/>
  <c r="K1908" i="9"/>
  <c r="H1908" i="9"/>
  <c r="H1908" i="9" a="1"/>
  <c r="D1908" i="9"/>
  <c r="T1907" i="9"/>
  <c r="Q1907" i="9"/>
  <c r="M1907" i="9"/>
  <c r="K1907" i="9"/>
  <c r="H1907" i="9"/>
  <c r="H1907" i="9" a="1"/>
  <c r="D1907" i="9"/>
  <c r="T1906" i="9"/>
  <c r="Q1906" i="9"/>
  <c r="M1906" i="9"/>
  <c r="K1906" i="9"/>
  <c r="H1906" i="9"/>
  <c r="H1906" i="9" a="1"/>
  <c r="D1906" i="9"/>
  <c r="T1905" i="9"/>
  <c r="Q1905" i="9"/>
  <c r="M1905" i="9"/>
  <c r="K1905" i="9"/>
  <c r="H1905" i="9"/>
  <c r="H1905" i="9" a="1"/>
  <c r="D1905" i="9"/>
  <c r="T1904" i="9"/>
  <c r="Q1904" i="9"/>
  <c r="M1904" i="9"/>
  <c r="K1904" i="9"/>
  <c r="H1904" i="9"/>
  <c r="H1904" i="9" a="1"/>
  <c r="D1904" i="9"/>
  <c r="T1903" i="9"/>
  <c r="Q1903" i="9"/>
  <c r="M1903" i="9"/>
  <c r="K1903" i="9"/>
  <c r="H1903" i="9"/>
  <c r="H1903" i="9" a="1"/>
  <c r="D1903" i="9"/>
  <c r="T1902" i="9"/>
  <c r="Q1902" i="9"/>
  <c r="M1902" i="9"/>
  <c r="K1902" i="9"/>
  <c r="H1902" i="9"/>
  <c r="H1902" i="9" a="1"/>
  <c r="D1902" i="9"/>
  <c r="T1901" i="9"/>
  <c r="Q1901" i="9"/>
  <c r="M1901" i="9"/>
  <c r="K1901" i="9"/>
  <c r="H1901" i="9"/>
  <c r="H1901" i="9" a="1"/>
  <c r="D1901" i="9"/>
  <c r="T1900" i="9"/>
  <c r="Q1900" i="9"/>
  <c r="M1900" i="9"/>
  <c r="K1900" i="9"/>
  <c r="H1900" i="9"/>
  <c r="H1900" i="9" a="1"/>
  <c r="D1900" i="9"/>
  <c r="T1899" i="9"/>
  <c r="Q1899" i="9"/>
  <c r="M1899" i="9"/>
  <c r="K1899" i="9"/>
  <c r="H1899" i="9"/>
  <c r="H1899" i="9" a="1"/>
  <c r="D1899" i="9"/>
  <c r="T1898" i="9"/>
  <c r="Q1898" i="9"/>
  <c r="M1898" i="9"/>
  <c r="K1898" i="9"/>
  <c r="H1898" i="9"/>
  <c r="H1898" i="9" a="1"/>
  <c r="D1898" i="9"/>
  <c r="T1897" i="9"/>
  <c r="Q1897" i="9"/>
  <c r="M1897" i="9"/>
  <c r="K1897" i="9"/>
  <c r="H1897" i="9"/>
  <c r="H1897" i="9" a="1"/>
  <c r="D1897" i="9"/>
  <c r="T1896" i="9"/>
  <c r="Q1896" i="9"/>
  <c r="M1896" i="9"/>
  <c r="K1896" i="9"/>
  <c r="H1896" i="9"/>
  <c r="H1896" i="9" a="1"/>
  <c r="D1896" i="9"/>
  <c r="T1895" i="9"/>
  <c r="Q1895" i="9"/>
  <c r="M1895" i="9"/>
  <c r="K1895" i="9"/>
  <c r="H1895" i="9"/>
  <c r="H1895" i="9" a="1"/>
  <c r="D1895" i="9"/>
  <c r="T1894" i="9"/>
  <c r="Q1894" i="9"/>
  <c r="M1894" i="9"/>
  <c r="K1894" i="9"/>
  <c r="H1894" i="9"/>
  <c r="H1894" i="9" a="1"/>
  <c r="D1894" i="9"/>
  <c r="T1893" i="9"/>
  <c r="Q1893" i="9"/>
  <c r="M1893" i="9"/>
  <c r="K1893" i="9"/>
  <c r="H1893" i="9"/>
  <c r="H1893" i="9" a="1"/>
  <c r="D1893" i="9"/>
  <c r="T1892" i="9"/>
  <c r="Q1892" i="9"/>
  <c r="M1892" i="9"/>
  <c r="K1892" i="9"/>
  <c r="H1892" i="9"/>
  <c r="H1892" i="9" a="1"/>
  <c r="D1892" i="9"/>
  <c r="T1891" i="9"/>
  <c r="Q1891" i="9"/>
  <c r="M1891" i="9"/>
  <c r="K1891" i="9"/>
  <c r="H1891" i="9"/>
  <c r="H1891" i="9" a="1"/>
  <c r="D1891" i="9"/>
  <c r="T1890" i="9"/>
  <c r="Q1890" i="9"/>
  <c r="M1890" i="9"/>
  <c r="K1890" i="9"/>
  <c r="H1890" i="9"/>
  <c r="H1890" i="9" a="1"/>
  <c r="D1890" i="9"/>
  <c r="T1889" i="9"/>
  <c r="Q1889" i="9"/>
  <c r="M1889" i="9"/>
  <c r="K1889" i="9"/>
  <c r="H1889" i="9"/>
  <c r="H1889" i="9" a="1"/>
  <c r="D1889" i="9"/>
  <c r="T1888" i="9"/>
  <c r="Q1888" i="9"/>
  <c r="M1888" i="9"/>
  <c r="K1888" i="9"/>
  <c r="H1888" i="9"/>
  <c r="H1888" i="9" a="1"/>
  <c r="D1888" i="9"/>
  <c r="T1887" i="9"/>
  <c r="Q1887" i="9"/>
  <c r="M1887" i="9"/>
  <c r="K1887" i="9"/>
  <c r="H1887" i="9"/>
  <c r="H1887" i="9" a="1"/>
  <c r="D1887" i="9"/>
  <c r="T1886" i="9"/>
  <c r="Q1886" i="9"/>
  <c r="M1886" i="9"/>
  <c r="K1886" i="9"/>
  <c r="H1886" i="9"/>
  <c r="H1886" i="9" a="1"/>
  <c r="D1886" i="9"/>
  <c r="T1885" i="9"/>
  <c r="Q1885" i="9"/>
  <c r="M1885" i="9"/>
  <c r="K1885" i="9"/>
  <c r="H1885" i="9"/>
  <c r="H1885" i="9" a="1"/>
  <c r="D1885" i="9"/>
  <c r="T1884" i="9"/>
  <c r="Q1884" i="9"/>
  <c r="M1884" i="9"/>
  <c r="K1884" i="9"/>
  <c r="H1884" i="9"/>
  <c r="H1884" i="9" a="1"/>
  <c r="D1884" i="9"/>
  <c r="T1883" i="9"/>
  <c r="Q1883" i="9"/>
  <c r="M1883" i="9"/>
  <c r="K1883" i="9"/>
  <c r="H1883" i="9"/>
  <c r="H1883" i="9" a="1"/>
  <c r="D1883" i="9"/>
  <c r="T1882" i="9"/>
  <c r="Q1882" i="9"/>
  <c r="M1882" i="9"/>
  <c r="K1882" i="9"/>
  <c r="H1882" i="9"/>
  <c r="H1882" i="9" a="1"/>
  <c r="D1882" i="9"/>
  <c r="T1881" i="9"/>
  <c r="Q1881" i="9"/>
  <c r="M1881" i="9"/>
  <c r="K1881" i="9"/>
  <c r="H1881" i="9"/>
  <c r="H1881" i="9" a="1"/>
  <c r="D1881" i="9"/>
  <c r="T1880" i="9"/>
  <c r="Q1880" i="9"/>
  <c r="M1880" i="9"/>
  <c r="K1880" i="9"/>
  <c r="H1880" i="9"/>
  <c r="H1880" i="9" a="1"/>
  <c r="D1880" i="9"/>
  <c r="T1879" i="9"/>
  <c r="Q1879" i="9"/>
  <c r="M1879" i="9"/>
  <c r="K1879" i="9"/>
  <c r="H1879" i="9"/>
  <c r="H1879" i="9" a="1"/>
  <c r="D1879" i="9"/>
  <c r="T1878" i="9"/>
  <c r="Q1878" i="9"/>
  <c r="M1878" i="9"/>
  <c r="K1878" i="9"/>
  <c r="H1878" i="9"/>
  <c r="H1878" i="9" a="1"/>
  <c r="D1878" i="9"/>
  <c r="T1877" i="9"/>
  <c r="Q1877" i="9"/>
  <c r="M1877" i="9"/>
  <c r="K1877" i="9"/>
  <c r="H1877" i="9"/>
  <c r="H1877" i="9" a="1"/>
  <c r="D1877" i="9"/>
  <c r="T1876" i="9"/>
  <c r="Q1876" i="9"/>
  <c r="M1876" i="9"/>
  <c r="K1876" i="9"/>
  <c r="H1876" i="9"/>
  <c r="H1876" i="9" a="1"/>
  <c r="D1876" i="9"/>
  <c r="T1875" i="9"/>
  <c r="Q1875" i="9"/>
  <c r="M1875" i="9"/>
  <c r="K1875" i="9"/>
  <c r="H1875" i="9"/>
  <c r="H1875" i="9" a="1"/>
  <c r="D1875" i="9"/>
  <c r="T1874" i="9"/>
  <c r="Q1874" i="9"/>
  <c r="M1874" i="9"/>
  <c r="K1874" i="9"/>
  <c r="H1874" i="9"/>
  <c r="H1874" i="9" a="1"/>
  <c r="D1874" i="9"/>
  <c r="T1873" i="9"/>
  <c r="Q1873" i="9"/>
  <c r="M1873" i="9"/>
  <c r="K1873" i="9"/>
  <c r="H1873" i="9"/>
  <c r="H1873" i="9" a="1"/>
  <c r="D1873" i="9"/>
  <c r="T1872" i="9"/>
  <c r="Q1872" i="9"/>
  <c r="M1872" i="9"/>
  <c r="K1872" i="9"/>
  <c r="H1872" i="9"/>
  <c r="H1872" i="9" a="1"/>
  <c r="D1872" i="9"/>
  <c r="T1871" i="9"/>
  <c r="Q1871" i="9"/>
  <c r="M1871" i="9"/>
  <c r="K1871" i="9"/>
  <c r="H1871" i="9"/>
  <c r="H1871" i="9" a="1"/>
  <c r="D1871" i="9"/>
  <c r="T1870" i="9"/>
  <c r="Q1870" i="9"/>
  <c r="M1870" i="9"/>
  <c r="K1870" i="9"/>
  <c r="H1870" i="9"/>
  <c r="H1870" i="9" a="1"/>
  <c r="D1870" i="9"/>
  <c r="T1869" i="9"/>
  <c r="Q1869" i="9"/>
  <c r="M1869" i="9"/>
  <c r="K1869" i="9"/>
  <c r="H1869" i="9"/>
  <c r="H1869" i="9" a="1"/>
  <c r="D1869" i="9"/>
  <c r="T1868" i="9"/>
  <c r="Q1868" i="9"/>
  <c r="M1868" i="9"/>
  <c r="K1868" i="9"/>
  <c r="H1868" i="9"/>
  <c r="H1868" i="9" a="1"/>
  <c r="D1868" i="9"/>
  <c r="T1867" i="9"/>
  <c r="Q1867" i="9"/>
  <c r="M1867" i="9"/>
  <c r="K1867" i="9"/>
  <c r="H1867" i="9"/>
  <c r="H1867" i="9" a="1"/>
  <c r="D1867" i="9"/>
  <c r="T1866" i="9"/>
  <c r="Q1866" i="9"/>
  <c r="M1866" i="9"/>
  <c r="K1866" i="9"/>
  <c r="H1866" i="9"/>
  <c r="H1866" i="9" a="1"/>
  <c r="D1866" i="9"/>
  <c r="T1865" i="9"/>
  <c r="Q1865" i="9"/>
  <c r="M1865" i="9"/>
  <c r="K1865" i="9"/>
  <c r="H1865" i="9"/>
  <c r="H1865" i="9" a="1"/>
  <c r="D1865" i="9"/>
  <c r="T1864" i="9"/>
  <c r="Q1864" i="9"/>
  <c r="M1864" i="9"/>
  <c r="K1864" i="9"/>
  <c r="H1864" i="9"/>
  <c r="H1864" i="9" a="1"/>
  <c r="D1864" i="9"/>
  <c r="T1863" i="9"/>
  <c r="Q1863" i="9"/>
  <c r="M1863" i="9"/>
  <c r="K1863" i="9"/>
  <c r="H1863" i="9"/>
  <c r="H1863" i="9" a="1"/>
  <c r="D1863" i="9"/>
  <c r="T1862" i="9"/>
  <c r="Q1862" i="9"/>
  <c r="M1862" i="9"/>
  <c r="K1862" i="9"/>
  <c r="H1862" i="9"/>
  <c r="H1862" i="9" a="1"/>
  <c r="D1862" i="9"/>
  <c r="T1861" i="9"/>
  <c r="Q1861" i="9"/>
  <c r="M1861" i="9"/>
  <c r="K1861" i="9"/>
  <c r="H1861" i="9"/>
  <c r="H1861" i="9" a="1"/>
  <c r="D1861" i="9"/>
  <c r="T1860" i="9"/>
  <c r="Q1860" i="9"/>
  <c r="M1860" i="9"/>
  <c r="K1860" i="9"/>
  <c r="H1860" i="9"/>
  <c r="H1860" i="9" a="1"/>
  <c r="D1860" i="9"/>
  <c r="T1859" i="9"/>
  <c r="Q1859" i="9"/>
  <c r="M1859" i="9"/>
  <c r="K1859" i="9"/>
  <c r="H1859" i="9"/>
  <c r="H1859" i="9" a="1"/>
  <c r="D1859" i="9"/>
  <c r="T1858" i="9"/>
  <c r="Q1858" i="9"/>
  <c r="M1858" i="9"/>
  <c r="K1858" i="9"/>
  <c r="H1858" i="9"/>
  <c r="H1858" i="9" a="1"/>
  <c r="D1858" i="9"/>
  <c r="T1857" i="9"/>
  <c r="Q1857" i="9"/>
  <c r="M1857" i="9"/>
  <c r="K1857" i="9"/>
  <c r="H1857" i="9"/>
  <c r="H1857" i="9" a="1"/>
  <c r="D1857" i="9"/>
  <c r="T1856" i="9"/>
  <c r="Q1856" i="9"/>
  <c r="M1856" i="9"/>
  <c r="K1856" i="9"/>
  <c r="H1856" i="9"/>
  <c r="H1856" i="9" a="1"/>
  <c r="D1856" i="9"/>
  <c r="T1855" i="9"/>
  <c r="Q1855" i="9"/>
  <c r="M1855" i="9"/>
  <c r="K1855" i="9"/>
  <c r="H1855" i="9"/>
  <c r="H1855" i="9" a="1"/>
  <c r="D1855" i="9"/>
  <c r="T1854" i="9"/>
  <c r="Q1854" i="9"/>
  <c r="M1854" i="9"/>
  <c r="K1854" i="9"/>
  <c r="H1854" i="9"/>
  <c r="H1854" i="9" a="1"/>
  <c r="D1854" i="9"/>
  <c r="T1853" i="9"/>
  <c r="Q1853" i="9"/>
  <c r="M1853" i="9"/>
  <c r="K1853" i="9"/>
  <c r="H1853" i="9"/>
  <c r="H1853" i="9" a="1"/>
  <c r="D1853" i="9"/>
  <c r="T1852" i="9"/>
  <c r="Q1852" i="9"/>
  <c r="M1852" i="9"/>
  <c r="K1852" i="9"/>
  <c r="H1852" i="9"/>
  <c r="H1852" i="9" a="1"/>
  <c r="D1852" i="9"/>
  <c r="T1851" i="9"/>
  <c r="Q1851" i="9"/>
  <c r="M1851" i="9"/>
  <c r="K1851" i="9"/>
  <c r="H1851" i="9"/>
  <c r="H1851" i="9" a="1"/>
  <c r="D1851" i="9"/>
  <c r="T1850" i="9"/>
  <c r="Q1850" i="9"/>
  <c r="M1850" i="9"/>
  <c r="K1850" i="9"/>
  <c r="H1850" i="9"/>
  <c r="H1850" i="9" a="1"/>
  <c r="D1850" i="9"/>
  <c r="T1849" i="9"/>
  <c r="Q1849" i="9"/>
  <c r="M1849" i="9"/>
  <c r="K1849" i="9"/>
  <c r="H1849" i="9"/>
  <c r="H1849" i="9" a="1"/>
  <c r="D1849" i="9"/>
  <c r="T1848" i="9"/>
  <c r="Q1848" i="9"/>
  <c r="M1848" i="9"/>
  <c r="K1848" i="9"/>
  <c r="H1848" i="9"/>
  <c r="H1848" i="9" a="1"/>
  <c r="D1848" i="9"/>
  <c r="T1847" i="9"/>
  <c r="Q1847" i="9"/>
  <c r="M1847" i="9"/>
  <c r="K1847" i="9"/>
  <c r="H1847" i="9"/>
  <c r="H1847" i="9" a="1"/>
  <c r="D1847" i="9"/>
  <c r="T1846" i="9"/>
  <c r="Q1846" i="9"/>
  <c r="M1846" i="9"/>
  <c r="K1846" i="9"/>
  <c r="H1846" i="9"/>
  <c r="H1846" i="9" a="1"/>
  <c r="D1846" i="9"/>
  <c r="T1845" i="9"/>
  <c r="Q1845" i="9"/>
  <c r="M1845" i="9"/>
  <c r="K1845" i="9"/>
  <c r="H1845" i="9"/>
  <c r="H1845" i="9" a="1"/>
  <c r="D1845" i="9"/>
  <c r="T1844" i="9"/>
  <c r="Q1844" i="9"/>
  <c r="M1844" i="9"/>
  <c r="K1844" i="9"/>
  <c r="H1844" i="9"/>
  <c r="H1844" i="9" a="1"/>
  <c r="D1844" i="9"/>
  <c r="T1843" i="9"/>
  <c r="Q1843" i="9"/>
  <c r="M1843" i="9"/>
  <c r="K1843" i="9"/>
  <c r="H1843" i="9"/>
  <c r="H1843" i="9" a="1"/>
  <c r="D1843" i="9"/>
  <c r="T1842" i="9"/>
  <c r="Q1842" i="9"/>
  <c r="M1842" i="9"/>
  <c r="K1842" i="9"/>
  <c r="H1842" i="9"/>
  <c r="H1842" i="9" a="1"/>
  <c r="D1842" i="9"/>
  <c r="T1841" i="9"/>
  <c r="Q1841" i="9"/>
  <c r="M1841" i="9"/>
  <c r="K1841" i="9"/>
  <c r="H1841" i="9"/>
  <c r="H1841" i="9" a="1"/>
  <c r="D1841" i="9"/>
  <c r="T1840" i="9"/>
  <c r="Q1840" i="9"/>
  <c r="M1840" i="9"/>
  <c r="K1840" i="9"/>
  <c r="H1840" i="9"/>
  <c r="H1840" i="9" a="1"/>
  <c r="D1840" i="9"/>
  <c r="T1839" i="9"/>
  <c r="Q1839" i="9"/>
  <c r="M1839" i="9"/>
  <c r="K1839" i="9"/>
  <c r="H1839" i="9"/>
  <c r="H1839" i="9" a="1"/>
  <c r="D1839" i="9"/>
  <c r="T1838" i="9"/>
  <c r="Q1838" i="9"/>
  <c r="M1838" i="9"/>
  <c r="K1838" i="9"/>
  <c r="H1838" i="9"/>
  <c r="H1838" i="9" a="1"/>
  <c r="D1838" i="9"/>
  <c r="T1837" i="9"/>
  <c r="Q1837" i="9"/>
  <c r="M1837" i="9"/>
  <c r="K1837" i="9"/>
  <c r="H1837" i="9"/>
  <c r="H1837" i="9" a="1"/>
  <c r="D1837" i="9"/>
  <c r="T1836" i="9"/>
  <c r="Q1836" i="9"/>
  <c r="M1836" i="9"/>
  <c r="K1836" i="9"/>
  <c r="H1836" i="9"/>
  <c r="H1836" i="9" a="1"/>
  <c r="D1836" i="9"/>
  <c r="T1835" i="9"/>
  <c r="Q1835" i="9"/>
  <c r="M1835" i="9"/>
  <c r="K1835" i="9"/>
  <c r="H1835" i="9"/>
  <c r="H1835" i="9" a="1"/>
  <c r="D1835" i="9"/>
  <c r="T1834" i="9"/>
  <c r="Q1834" i="9"/>
  <c r="M1834" i="9"/>
  <c r="K1834" i="9"/>
  <c r="H1834" i="9"/>
  <c r="H1834" i="9" a="1"/>
  <c r="D1834" i="9"/>
  <c r="T1833" i="9"/>
  <c r="Q1833" i="9"/>
  <c r="M1833" i="9"/>
  <c r="K1833" i="9"/>
  <c r="H1833" i="9"/>
  <c r="H1833" i="9" a="1"/>
  <c r="D1833" i="9"/>
  <c r="T1832" i="9"/>
  <c r="Q1832" i="9"/>
  <c r="M1832" i="9"/>
  <c r="K1832" i="9"/>
  <c r="H1832" i="9"/>
  <c r="H1832" i="9" a="1"/>
  <c r="D1832" i="9"/>
  <c r="T1831" i="9"/>
  <c r="Q1831" i="9"/>
  <c r="M1831" i="9"/>
  <c r="K1831" i="9"/>
  <c r="H1831" i="9"/>
  <c r="H1831" i="9" a="1"/>
  <c r="D1831" i="9"/>
  <c r="T1830" i="9"/>
  <c r="Q1830" i="9"/>
  <c r="M1830" i="9"/>
  <c r="K1830" i="9"/>
  <c r="H1830" i="9"/>
  <c r="H1830" i="9" a="1"/>
  <c r="D1830" i="9"/>
  <c r="T1829" i="9"/>
  <c r="Q1829" i="9"/>
  <c r="M1829" i="9"/>
  <c r="K1829" i="9"/>
  <c r="H1829" i="9"/>
  <c r="H1829" i="9" a="1"/>
  <c r="D1829" i="9"/>
  <c r="T1828" i="9"/>
  <c r="Q1828" i="9"/>
  <c r="M1828" i="9"/>
  <c r="K1828" i="9"/>
  <c r="H1828" i="9"/>
  <c r="H1828" i="9" a="1"/>
  <c r="D1828" i="9"/>
  <c r="T1827" i="9"/>
  <c r="Q1827" i="9"/>
  <c r="M1827" i="9"/>
  <c r="K1827" i="9"/>
  <c r="H1827" i="9"/>
  <c r="H1827" i="9" a="1"/>
  <c r="D1827" i="9"/>
  <c r="T1826" i="9"/>
  <c r="Q1826" i="9"/>
  <c r="M1826" i="9"/>
  <c r="K1826" i="9"/>
  <c r="H1826" i="9"/>
  <c r="H1826" i="9" a="1"/>
  <c r="D1826" i="9"/>
  <c r="T1825" i="9"/>
  <c r="Q1825" i="9"/>
  <c r="M1825" i="9"/>
  <c r="K1825" i="9"/>
  <c r="H1825" i="9"/>
  <c r="H1825" i="9" a="1"/>
  <c r="D1825" i="9"/>
  <c r="T1824" i="9"/>
  <c r="Q1824" i="9"/>
  <c r="M1824" i="9"/>
  <c r="K1824" i="9"/>
  <c r="H1824" i="9"/>
  <c r="H1824" i="9" a="1"/>
  <c r="D1824" i="9"/>
  <c r="T1823" i="9"/>
  <c r="Q1823" i="9"/>
  <c r="M1823" i="9"/>
  <c r="K1823" i="9"/>
  <c r="H1823" i="9"/>
  <c r="H1823" i="9" a="1"/>
  <c r="D1823" i="9"/>
  <c r="T1822" i="9"/>
  <c r="Q1822" i="9"/>
  <c r="M1822" i="9"/>
  <c r="K1822" i="9"/>
  <c r="H1822" i="9"/>
  <c r="H1822" i="9" a="1"/>
  <c r="D1822" i="9"/>
  <c r="T1821" i="9"/>
  <c r="Q1821" i="9"/>
  <c r="M1821" i="9"/>
  <c r="K1821" i="9"/>
  <c r="H1821" i="9"/>
  <c r="H1821" i="9" a="1"/>
  <c r="D1821" i="9"/>
  <c r="T1820" i="9"/>
  <c r="Q1820" i="9"/>
  <c r="M1820" i="9"/>
  <c r="K1820" i="9"/>
  <c r="H1820" i="9"/>
  <c r="H1820" i="9" a="1"/>
  <c r="D1820" i="9"/>
  <c r="T1819" i="9"/>
  <c r="Q1819" i="9"/>
  <c r="M1819" i="9"/>
  <c r="K1819" i="9"/>
  <c r="H1819" i="9"/>
  <c r="H1819" i="9" a="1"/>
  <c r="D1819" i="9"/>
  <c r="T1818" i="9"/>
  <c r="Q1818" i="9"/>
  <c r="M1818" i="9"/>
  <c r="K1818" i="9"/>
  <c r="H1818" i="9"/>
  <c r="H1818" i="9" a="1"/>
  <c r="D1818" i="9"/>
  <c r="T1817" i="9"/>
  <c r="Q1817" i="9"/>
  <c r="M1817" i="9"/>
  <c r="K1817" i="9"/>
  <c r="H1817" i="9"/>
  <c r="H1817" i="9" a="1"/>
  <c r="D1817" i="9"/>
  <c r="T1816" i="9"/>
  <c r="Q1816" i="9"/>
  <c r="M1816" i="9"/>
  <c r="K1816" i="9"/>
  <c r="H1816" i="9"/>
  <c r="H1816" i="9" a="1"/>
  <c r="D1816" i="9"/>
  <c r="T1815" i="9"/>
  <c r="Q1815" i="9"/>
  <c r="M1815" i="9"/>
  <c r="K1815" i="9"/>
  <c r="H1815" i="9"/>
  <c r="H1815" i="9" a="1"/>
  <c r="D1815" i="9"/>
  <c r="T1814" i="9"/>
  <c r="Q1814" i="9"/>
  <c r="M1814" i="9"/>
  <c r="K1814" i="9"/>
  <c r="H1814" i="9"/>
  <c r="H1814" i="9" a="1"/>
  <c r="D1814" i="9"/>
  <c r="T1813" i="9"/>
  <c r="Q1813" i="9"/>
  <c r="M1813" i="9"/>
  <c r="K1813" i="9"/>
  <c r="H1813" i="9"/>
  <c r="H1813" i="9" a="1"/>
  <c r="D1813" i="9"/>
  <c r="T1812" i="9"/>
  <c r="Q1812" i="9"/>
  <c r="M1812" i="9"/>
  <c r="K1812" i="9"/>
  <c r="H1812" i="9"/>
  <c r="H1812" i="9" a="1"/>
  <c r="D1812" i="9"/>
  <c r="T1811" i="9"/>
  <c r="Q1811" i="9"/>
  <c r="M1811" i="9"/>
  <c r="K1811" i="9"/>
  <c r="H1811" i="9"/>
  <c r="H1811" i="9" a="1"/>
  <c r="D1811" i="9"/>
  <c r="T1810" i="9"/>
  <c r="Q1810" i="9"/>
  <c r="M1810" i="9"/>
  <c r="K1810" i="9"/>
  <c r="H1810" i="9"/>
  <c r="H1810" i="9" a="1"/>
  <c r="D1810" i="9"/>
  <c r="T1809" i="9"/>
  <c r="Q1809" i="9"/>
  <c r="M1809" i="9"/>
  <c r="K1809" i="9"/>
  <c r="H1809" i="9"/>
  <c r="H1809" i="9" a="1"/>
  <c r="D1809" i="9"/>
  <c r="T1808" i="9"/>
  <c r="Q1808" i="9"/>
  <c r="M1808" i="9"/>
  <c r="K1808" i="9"/>
  <c r="H1808" i="9"/>
  <c r="H1808" i="9" a="1"/>
  <c r="D1808" i="9"/>
  <c r="T1807" i="9"/>
  <c r="Q1807" i="9"/>
  <c r="M1807" i="9"/>
  <c r="K1807" i="9"/>
  <c r="H1807" i="9"/>
  <c r="H1807" i="9" a="1"/>
  <c r="D1807" i="9"/>
  <c r="T1806" i="9"/>
  <c r="Q1806" i="9"/>
  <c r="M1806" i="9"/>
  <c r="K1806" i="9"/>
  <c r="H1806" i="9"/>
  <c r="H1806" i="9" a="1"/>
  <c r="D1806" i="9"/>
  <c r="T1805" i="9"/>
  <c r="Q1805" i="9"/>
  <c r="M1805" i="9"/>
  <c r="K1805" i="9"/>
  <c r="H1805" i="9"/>
  <c r="H1805" i="9" a="1"/>
  <c r="D1805" i="9"/>
  <c r="T1804" i="9"/>
  <c r="Q1804" i="9"/>
  <c r="M1804" i="9"/>
  <c r="K1804" i="9"/>
  <c r="H1804" i="9"/>
  <c r="H1804" i="9" a="1"/>
  <c r="D1804" i="9"/>
  <c r="T1803" i="9"/>
  <c r="Q1803" i="9"/>
  <c r="M1803" i="9"/>
  <c r="K1803" i="9"/>
  <c r="H1803" i="9"/>
  <c r="H1803" i="9" a="1"/>
  <c r="D1803" i="9"/>
  <c r="T1802" i="9"/>
  <c r="Q1802" i="9"/>
  <c r="M1802" i="9"/>
  <c r="K1802" i="9"/>
  <c r="H1802" i="9"/>
  <c r="H1802" i="9" a="1"/>
  <c r="D1802" i="9"/>
  <c r="T1801" i="9"/>
  <c r="Q1801" i="9"/>
  <c r="M1801" i="9"/>
  <c r="K1801" i="9"/>
  <c r="H1801" i="9"/>
  <c r="H1801" i="9" a="1"/>
  <c r="D1801" i="9"/>
  <c r="T1800" i="9"/>
  <c r="Q1800" i="9"/>
  <c r="M1800" i="9"/>
  <c r="K1800" i="9"/>
  <c r="H1800" i="9"/>
  <c r="H1800" i="9" a="1"/>
  <c r="D1800" i="9"/>
  <c r="T1799" i="9"/>
  <c r="Q1799" i="9"/>
  <c r="M1799" i="9"/>
  <c r="K1799" i="9"/>
  <c r="H1799" i="9"/>
  <c r="H1799" i="9" a="1"/>
  <c r="D1799" i="9"/>
  <c r="T1798" i="9"/>
  <c r="Q1798" i="9"/>
  <c r="M1798" i="9"/>
  <c r="K1798" i="9"/>
  <c r="H1798" i="9"/>
  <c r="H1798" i="9" a="1"/>
  <c r="D1798" i="9"/>
  <c r="T1797" i="9"/>
  <c r="Q1797" i="9"/>
  <c r="M1797" i="9"/>
  <c r="K1797" i="9"/>
  <c r="H1797" i="9"/>
  <c r="H1797" i="9" a="1"/>
  <c r="D1797" i="9"/>
  <c r="T1796" i="9"/>
  <c r="Q1796" i="9"/>
  <c r="M1796" i="9"/>
  <c r="K1796" i="9"/>
  <c r="H1796" i="9"/>
  <c r="H1796" i="9" a="1"/>
  <c r="D1796" i="9"/>
  <c r="T1795" i="9"/>
  <c r="Q1795" i="9"/>
  <c r="M1795" i="9"/>
  <c r="K1795" i="9"/>
  <c r="H1795" i="9"/>
  <c r="H1795" i="9" a="1"/>
  <c r="D1795" i="9"/>
  <c r="T1794" i="9"/>
  <c r="Q1794" i="9"/>
  <c r="M1794" i="9"/>
  <c r="K1794" i="9"/>
  <c r="H1794" i="9"/>
  <c r="H1794" i="9" a="1"/>
  <c r="D1794" i="9"/>
  <c r="T1793" i="9"/>
  <c r="Q1793" i="9"/>
  <c r="M1793" i="9"/>
  <c r="K1793" i="9"/>
  <c r="H1793" i="9"/>
  <c r="H1793" i="9" a="1"/>
  <c r="D1793" i="9"/>
  <c r="T1792" i="9"/>
  <c r="Q1792" i="9"/>
  <c r="M1792" i="9"/>
  <c r="K1792" i="9"/>
  <c r="H1792" i="9"/>
  <c r="H1792" i="9" a="1"/>
  <c r="D1792" i="9"/>
  <c r="T1791" i="9"/>
  <c r="Q1791" i="9"/>
  <c r="M1791" i="9"/>
  <c r="K1791" i="9"/>
  <c r="H1791" i="9"/>
  <c r="H1791" i="9" a="1"/>
  <c r="D1791" i="9"/>
  <c r="T1790" i="9"/>
  <c r="Q1790" i="9"/>
  <c r="M1790" i="9"/>
  <c r="K1790" i="9"/>
  <c r="H1790" i="9"/>
  <c r="H1790" i="9" a="1"/>
  <c r="D1790" i="9"/>
  <c r="T1789" i="9"/>
  <c r="Q1789" i="9"/>
  <c r="M1789" i="9"/>
  <c r="K1789" i="9"/>
  <c r="H1789" i="9"/>
  <c r="H1789" i="9" a="1"/>
  <c r="D1789" i="9"/>
  <c r="T1788" i="9"/>
  <c r="Q1788" i="9"/>
  <c r="M1788" i="9"/>
  <c r="K1788" i="9"/>
  <c r="H1788" i="9"/>
  <c r="H1788" i="9" a="1"/>
  <c r="D1788" i="9"/>
  <c r="T1787" i="9"/>
  <c r="Q1787" i="9"/>
  <c r="M1787" i="9"/>
  <c r="K1787" i="9"/>
  <c r="H1787" i="9"/>
  <c r="H1787" i="9" a="1"/>
  <c r="D1787" i="9"/>
  <c r="T1786" i="9"/>
  <c r="Q1786" i="9"/>
  <c r="M1786" i="9"/>
  <c r="K1786" i="9"/>
  <c r="H1786" i="9"/>
  <c r="H1786" i="9" a="1"/>
  <c r="D1786" i="9"/>
  <c r="T1785" i="9"/>
  <c r="Q1785" i="9"/>
  <c r="M1785" i="9"/>
  <c r="K1785" i="9"/>
  <c r="H1785" i="9"/>
  <c r="H1785" i="9" a="1"/>
  <c r="D1785" i="9"/>
  <c r="T1784" i="9"/>
  <c r="Q1784" i="9"/>
  <c r="M1784" i="9"/>
  <c r="K1784" i="9"/>
  <c r="H1784" i="9"/>
  <c r="H1784" i="9" a="1"/>
  <c r="D1784" i="9"/>
  <c r="T1783" i="9"/>
  <c r="Q1783" i="9"/>
  <c r="M1783" i="9"/>
  <c r="K1783" i="9"/>
  <c r="H1783" i="9"/>
  <c r="H1783" i="9" a="1"/>
  <c r="D1783" i="9"/>
  <c r="T1782" i="9"/>
  <c r="Q1782" i="9"/>
  <c r="M1782" i="9"/>
  <c r="K1782" i="9"/>
  <c r="H1782" i="9"/>
  <c r="H1782" i="9" a="1"/>
  <c r="D1782" i="9"/>
  <c r="T1781" i="9"/>
  <c r="Q1781" i="9"/>
  <c r="M1781" i="9"/>
  <c r="K1781" i="9"/>
  <c r="H1781" i="9"/>
  <c r="H1781" i="9" a="1"/>
  <c r="D1781" i="9"/>
  <c r="T1780" i="9"/>
  <c r="Q1780" i="9"/>
  <c r="M1780" i="9"/>
  <c r="K1780" i="9"/>
  <c r="H1780" i="9"/>
  <c r="H1780" i="9" a="1"/>
  <c r="D1780" i="9"/>
  <c r="T1779" i="9"/>
  <c r="Q1779" i="9"/>
  <c r="M1779" i="9"/>
  <c r="K1779" i="9"/>
  <c r="H1779" i="9"/>
  <c r="H1779" i="9" a="1"/>
  <c r="D1779" i="9"/>
  <c r="T1778" i="9"/>
  <c r="Q1778" i="9"/>
  <c r="M1778" i="9"/>
  <c r="K1778" i="9"/>
  <c r="H1778" i="9"/>
  <c r="H1778" i="9" a="1"/>
  <c r="D1778" i="9"/>
  <c r="T1777" i="9"/>
  <c r="Q1777" i="9"/>
  <c r="M1777" i="9"/>
  <c r="K1777" i="9"/>
  <c r="H1777" i="9"/>
  <c r="H1777" i="9" a="1"/>
  <c r="D1777" i="9"/>
  <c r="T1776" i="9"/>
  <c r="Q1776" i="9"/>
  <c r="M1776" i="9"/>
  <c r="K1776" i="9"/>
  <c r="H1776" i="9"/>
  <c r="H1776" i="9" a="1"/>
  <c r="D1776" i="9"/>
  <c r="T1775" i="9"/>
  <c r="Q1775" i="9"/>
  <c r="M1775" i="9"/>
  <c r="K1775" i="9"/>
  <c r="H1775" i="9"/>
  <c r="H1775" i="9" a="1"/>
  <c r="D1775" i="9"/>
  <c r="T1774" i="9"/>
  <c r="Q1774" i="9"/>
  <c r="M1774" i="9"/>
  <c r="K1774" i="9"/>
  <c r="H1774" i="9"/>
  <c r="H1774" i="9" a="1"/>
  <c r="D1774" i="9"/>
  <c r="T1773" i="9"/>
  <c r="Q1773" i="9"/>
  <c r="M1773" i="9"/>
  <c r="K1773" i="9"/>
  <c r="H1773" i="9"/>
  <c r="H1773" i="9" a="1"/>
  <c r="D1773" i="9"/>
  <c r="T1772" i="9"/>
  <c r="Q1772" i="9"/>
  <c r="M1772" i="9"/>
  <c r="K1772" i="9"/>
  <c r="H1772" i="9"/>
  <c r="H1772" i="9" a="1"/>
  <c r="D1772" i="9"/>
  <c r="T1771" i="9"/>
  <c r="Q1771" i="9"/>
  <c r="M1771" i="9"/>
  <c r="K1771" i="9"/>
  <c r="H1771" i="9"/>
  <c r="H1771" i="9" a="1"/>
  <c r="D1771" i="9"/>
  <c r="T1770" i="9"/>
  <c r="Q1770" i="9"/>
  <c r="M1770" i="9"/>
  <c r="K1770" i="9"/>
  <c r="H1770" i="9"/>
  <c r="H1770" i="9" a="1"/>
  <c r="D1770" i="9"/>
  <c r="T1769" i="9"/>
  <c r="Q1769" i="9"/>
  <c r="M1769" i="9"/>
  <c r="K1769" i="9"/>
  <c r="H1769" i="9"/>
  <c r="H1769" i="9" a="1"/>
  <c r="D1769" i="9"/>
  <c r="T1768" i="9"/>
  <c r="Q1768" i="9"/>
  <c r="M1768" i="9"/>
  <c r="K1768" i="9"/>
  <c r="H1768" i="9"/>
  <c r="H1768" i="9" a="1"/>
  <c r="D1768" i="9"/>
  <c r="T1767" i="9"/>
  <c r="Q1767" i="9"/>
  <c r="M1767" i="9"/>
  <c r="K1767" i="9"/>
  <c r="H1767" i="9"/>
  <c r="H1767" i="9" a="1"/>
  <c r="D1767" i="9"/>
  <c r="T1766" i="9"/>
  <c r="Q1766" i="9"/>
  <c r="M1766" i="9"/>
  <c r="K1766" i="9"/>
  <c r="H1766" i="9"/>
  <c r="H1766" i="9" a="1"/>
  <c r="D1766" i="9"/>
  <c r="T1765" i="9"/>
  <c r="Q1765" i="9"/>
  <c r="M1765" i="9"/>
  <c r="K1765" i="9"/>
  <c r="H1765" i="9"/>
  <c r="H1765" i="9" a="1"/>
  <c r="D1765" i="9"/>
  <c r="T1764" i="9"/>
  <c r="Q1764" i="9"/>
  <c r="M1764" i="9"/>
  <c r="K1764" i="9"/>
  <c r="H1764" i="9"/>
  <c r="H1764" i="9" a="1"/>
  <c r="D1764" i="9"/>
  <c r="T1763" i="9"/>
  <c r="Q1763" i="9"/>
  <c r="M1763" i="9"/>
  <c r="K1763" i="9"/>
  <c r="H1763" i="9"/>
  <c r="H1763" i="9" a="1"/>
  <c r="D1763" i="9"/>
  <c r="T1762" i="9"/>
  <c r="Q1762" i="9"/>
  <c r="M1762" i="9"/>
  <c r="K1762" i="9"/>
  <c r="H1762" i="9"/>
  <c r="H1762" i="9" a="1"/>
  <c r="D1762" i="9"/>
  <c r="T1761" i="9"/>
  <c r="Q1761" i="9"/>
  <c r="M1761" i="9"/>
  <c r="K1761" i="9"/>
  <c r="H1761" i="9"/>
  <c r="H1761" i="9" a="1"/>
  <c r="D1761" i="9"/>
  <c r="T1760" i="9"/>
  <c r="Q1760" i="9"/>
  <c r="M1760" i="9"/>
  <c r="K1760" i="9"/>
  <c r="H1760" i="9"/>
  <c r="H1760" i="9" a="1"/>
  <c r="D1760" i="9"/>
  <c r="T1759" i="9"/>
  <c r="Q1759" i="9"/>
  <c r="M1759" i="9"/>
  <c r="K1759" i="9"/>
  <c r="H1759" i="9"/>
  <c r="H1759" i="9" a="1"/>
  <c r="D1759" i="9"/>
  <c r="T1758" i="9"/>
  <c r="Q1758" i="9"/>
  <c r="M1758" i="9"/>
  <c r="K1758" i="9"/>
  <c r="H1758" i="9"/>
  <c r="H1758" i="9" a="1"/>
  <c r="D1758" i="9"/>
  <c r="T1757" i="9"/>
  <c r="Q1757" i="9"/>
  <c r="M1757" i="9"/>
  <c r="K1757" i="9"/>
  <c r="H1757" i="9"/>
  <c r="H1757" i="9" a="1"/>
  <c r="D1757" i="9"/>
  <c r="T1756" i="9"/>
  <c r="Q1756" i="9"/>
  <c r="M1756" i="9"/>
  <c r="K1756" i="9"/>
  <c r="H1756" i="9"/>
  <c r="H1756" i="9" a="1"/>
  <c r="D1756" i="9"/>
  <c r="T1755" i="9"/>
  <c r="Q1755" i="9"/>
  <c r="M1755" i="9"/>
  <c r="K1755" i="9"/>
  <c r="H1755" i="9"/>
  <c r="H1755" i="9" a="1"/>
  <c r="D1755" i="9"/>
  <c r="T1754" i="9"/>
  <c r="Q1754" i="9"/>
  <c r="M1754" i="9"/>
  <c r="K1754" i="9"/>
  <c r="H1754" i="9"/>
  <c r="H1754" i="9" a="1"/>
  <c r="D1754" i="9"/>
  <c r="T1753" i="9"/>
  <c r="Q1753" i="9"/>
  <c r="M1753" i="9"/>
  <c r="K1753" i="9"/>
  <c r="H1753" i="9"/>
  <c r="H1753" i="9" a="1"/>
  <c r="D1753" i="9"/>
  <c r="T1752" i="9"/>
  <c r="Q1752" i="9"/>
  <c r="M1752" i="9"/>
  <c r="K1752" i="9"/>
  <c r="H1752" i="9"/>
  <c r="H1752" i="9" a="1"/>
  <c r="D1752" i="9"/>
  <c r="T1751" i="9"/>
  <c r="Q1751" i="9"/>
  <c r="M1751" i="9"/>
  <c r="K1751" i="9"/>
  <c r="H1751" i="9"/>
  <c r="H1751" i="9" a="1"/>
  <c r="D1751" i="9"/>
  <c r="T1750" i="9"/>
  <c r="Q1750" i="9"/>
  <c r="M1750" i="9"/>
  <c r="K1750" i="9"/>
  <c r="H1750" i="9"/>
  <c r="H1750" i="9" a="1"/>
  <c r="D1750" i="9"/>
  <c r="T1749" i="9"/>
  <c r="Q1749" i="9"/>
  <c r="M1749" i="9"/>
  <c r="K1749" i="9"/>
  <c r="H1749" i="9"/>
  <c r="H1749" i="9" a="1"/>
  <c r="D1749" i="9"/>
  <c r="T1748" i="9"/>
  <c r="Q1748" i="9"/>
  <c r="M1748" i="9"/>
  <c r="K1748" i="9"/>
  <c r="H1748" i="9"/>
  <c r="H1748" i="9" a="1"/>
  <c r="D1748" i="9"/>
  <c r="T1747" i="9"/>
  <c r="Q1747" i="9"/>
  <c r="M1747" i="9"/>
  <c r="K1747" i="9"/>
  <c r="H1747" i="9"/>
  <c r="H1747" i="9" a="1"/>
  <c r="D1747" i="9"/>
  <c r="T1746" i="9"/>
  <c r="Q1746" i="9"/>
  <c r="M1746" i="9"/>
  <c r="K1746" i="9"/>
  <c r="H1746" i="9"/>
  <c r="H1746" i="9" a="1"/>
  <c r="D1746" i="9"/>
  <c r="T1745" i="9"/>
  <c r="Q1745" i="9"/>
  <c r="M1745" i="9"/>
  <c r="K1745" i="9"/>
  <c r="H1745" i="9"/>
  <c r="H1745" i="9" a="1"/>
  <c r="D1745" i="9"/>
  <c r="T1744" i="9"/>
  <c r="Q1744" i="9"/>
  <c r="M1744" i="9"/>
  <c r="K1744" i="9"/>
  <c r="H1744" i="9"/>
  <c r="H1744" i="9" a="1"/>
  <c r="D1744" i="9"/>
  <c r="T1743" i="9"/>
  <c r="Q1743" i="9"/>
  <c r="M1743" i="9"/>
  <c r="K1743" i="9"/>
  <c r="H1743" i="9"/>
  <c r="H1743" i="9" a="1"/>
  <c r="D1743" i="9"/>
  <c r="T1742" i="9"/>
  <c r="Q1742" i="9"/>
  <c r="M1742" i="9"/>
  <c r="K1742" i="9"/>
  <c r="H1742" i="9"/>
  <c r="H1742" i="9" a="1"/>
  <c r="D1742" i="9"/>
  <c r="T1741" i="9"/>
  <c r="Q1741" i="9"/>
  <c r="M1741" i="9"/>
  <c r="K1741" i="9"/>
  <c r="H1741" i="9"/>
  <c r="H1741" i="9" a="1"/>
  <c r="D1741" i="9"/>
  <c r="T1740" i="9"/>
  <c r="Q1740" i="9"/>
  <c r="M1740" i="9"/>
  <c r="K1740" i="9"/>
  <c r="H1740" i="9"/>
  <c r="H1740" i="9" a="1"/>
  <c r="D1740" i="9"/>
  <c r="T1739" i="9"/>
  <c r="Q1739" i="9"/>
  <c r="M1739" i="9"/>
  <c r="K1739" i="9"/>
  <c r="H1739" i="9"/>
  <c r="H1739" i="9" a="1"/>
  <c r="D1739" i="9"/>
  <c r="T1738" i="9"/>
  <c r="Q1738" i="9"/>
  <c r="M1738" i="9"/>
  <c r="K1738" i="9"/>
  <c r="H1738" i="9"/>
  <c r="H1738" i="9" a="1"/>
  <c r="D1738" i="9"/>
  <c r="T1737" i="9"/>
  <c r="Q1737" i="9"/>
  <c r="M1737" i="9"/>
  <c r="K1737" i="9"/>
  <c r="H1737" i="9"/>
  <c r="H1737" i="9" a="1"/>
  <c r="D1737" i="9"/>
  <c r="T1736" i="9"/>
  <c r="Q1736" i="9"/>
  <c r="M1736" i="9"/>
  <c r="K1736" i="9"/>
  <c r="H1736" i="9"/>
  <c r="H1736" i="9" a="1"/>
  <c r="D1736" i="9"/>
  <c r="T1735" i="9"/>
  <c r="Q1735" i="9"/>
  <c r="M1735" i="9"/>
  <c r="K1735" i="9"/>
  <c r="H1735" i="9"/>
  <c r="H1735" i="9" a="1"/>
  <c r="D1735" i="9"/>
  <c r="T1734" i="9"/>
  <c r="Q1734" i="9"/>
  <c r="M1734" i="9"/>
  <c r="K1734" i="9"/>
  <c r="H1734" i="9"/>
  <c r="H1734" i="9" a="1"/>
  <c r="D1734" i="9"/>
  <c r="T1733" i="9"/>
  <c r="Q1733" i="9"/>
  <c r="M1733" i="9"/>
  <c r="K1733" i="9"/>
  <c r="H1733" i="9"/>
  <c r="H1733" i="9" a="1"/>
  <c r="D1733" i="9"/>
  <c r="T1732" i="9"/>
  <c r="Q1732" i="9"/>
  <c r="M1732" i="9"/>
  <c r="K1732" i="9"/>
  <c r="H1732" i="9"/>
  <c r="H1732" i="9" a="1"/>
  <c r="D1732" i="9"/>
  <c r="T1731" i="9"/>
  <c r="Q1731" i="9"/>
  <c r="M1731" i="9"/>
  <c r="K1731" i="9"/>
  <c r="H1731" i="9"/>
  <c r="H1731" i="9" a="1"/>
  <c r="D1731" i="9"/>
  <c r="T1730" i="9"/>
  <c r="Q1730" i="9"/>
  <c r="M1730" i="9"/>
  <c r="K1730" i="9"/>
  <c r="H1730" i="9"/>
  <c r="H1730" i="9" a="1"/>
  <c r="D1730" i="9"/>
  <c r="T1729" i="9"/>
  <c r="Q1729" i="9"/>
  <c r="M1729" i="9"/>
  <c r="K1729" i="9"/>
  <c r="H1729" i="9"/>
  <c r="H1729" i="9" a="1"/>
  <c r="D1729" i="9"/>
  <c r="T1728" i="9"/>
  <c r="Q1728" i="9"/>
  <c r="M1728" i="9"/>
  <c r="K1728" i="9"/>
  <c r="H1728" i="9"/>
  <c r="H1728" i="9" a="1"/>
  <c r="D1728" i="9"/>
  <c r="T1727" i="9"/>
  <c r="Q1727" i="9"/>
  <c r="M1727" i="9"/>
  <c r="K1727" i="9"/>
  <c r="H1727" i="9"/>
  <c r="H1727" i="9" a="1"/>
  <c r="D1727" i="9"/>
  <c r="T1726" i="9"/>
  <c r="Q1726" i="9"/>
  <c r="M1726" i="9"/>
  <c r="K1726" i="9"/>
  <c r="H1726" i="9"/>
  <c r="H1726" i="9" a="1"/>
  <c r="D1726" i="9"/>
  <c r="T1725" i="9"/>
  <c r="Q1725" i="9"/>
  <c r="M1725" i="9"/>
  <c r="K1725" i="9"/>
  <c r="H1725" i="9"/>
  <c r="H1725" i="9" a="1"/>
  <c r="D1725" i="9"/>
  <c r="T1724" i="9"/>
  <c r="Q1724" i="9"/>
  <c r="M1724" i="9"/>
  <c r="K1724" i="9"/>
  <c r="H1724" i="9"/>
  <c r="H1724" i="9" a="1"/>
  <c r="D1724" i="9"/>
  <c r="T1723" i="9"/>
  <c r="Q1723" i="9"/>
  <c r="M1723" i="9"/>
  <c r="K1723" i="9"/>
  <c r="H1723" i="9"/>
  <c r="H1723" i="9" a="1"/>
  <c r="D1723" i="9"/>
  <c r="T1722" i="9"/>
  <c r="Q1722" i="9"/>
  <c r="M1722" i="9"/>
  <c r="K1722" i="9"/>
  <c r="H1722" i="9"/>
  <c r="H1722" i="9" a="1"/>
  <c r="D1722" i="9"/>
  <c r="T1721" i="9"/>
  <c r="Q1721" i="9"/>
  <c r="M1721" i="9"/>
  <c r="K1721" i="9"/>
  <c r="H1721" i="9"/>
  <c r="H1721" i="9" a="1"/>
  <c r="D1721" i="9"/>
  <c r="T1720" i="9"/>
  <c r="Q1720" i="9"/>
  <c r="M1720" i="9"/>
  <c r="K1720" i="9"/>
  <c r="H1720" i="9"/>
  <c r="H1720" i="9" a="1"/>
  <c r="D1720" i="9"/>
  <c r="T1719" i="9"/>
  <c r="Q1719" i="9"/>
  <c r="M1719" i="9"/>
  <c r="K1719" i="9"/>
  <c r="H1719" i="9"/>
  <c r="H1719" i="9" a="1"/>
  <c r="D1719" i="9"/>
  <c r="T1718" i="9"/>
  <c r="Q1718" i="9"/>
  <c r="M1718" i="9"/>
  <c r="K1718" i="9"/>
  <c r="H1718" i="9"/>
  <c r="H1718" i="9" a="1"/>
  <c r="D1718" i="9"/>
  <c r="T1717" i="9"/>
  <c r="Q1717" i="9"/>
  <c r="M1717" i="9"/>
  <c r="K1717" i="9"/>
  <c r="H1717" i="9"/>
  <c r="H1717" i="9" a="1"/>
  <c r="D1717" i="9"/>
  <c r="T1716" i="9"/>
  <c r="Q1716" i="9"/>
  <c r="M1716" i="9"/>
  <c r="K1716" i="9"/>
  <c r="H1716" i="9"/>
  <c r="H1716" i="9" a="1"/>
  <c r="D1716" i="9"/>
  <c r="T1715" i="9"/>
  <c r="Q1715" i="9"/>
  <c r="M1715" i="9"/>
  <c r="K1715" i="9"/>
  <c r="H1715" i="9"/>
  <c r="H1715" i="9" a="1"/>
  <c r="D1715" i="9"/>
  <c r="T1714" i="9"/>
  <c r="Q1714" i="9"/>
  <c r="M1714" i="9"/>
  <c r="K1714" i="9"/>
  <c r="H1714" i="9"/>
  <c r="H1714" i="9" a="1"/>
  <c r="D1714" i="9"/>
  <c r="T1713" i="9"/>
  <c r="Q1713" i="9"/>
  <c r="M1713" i="9"/>
  <c r="K1713" i="9"/>
  <c r="H1713" i="9"/>
  <c r="H1713" i="9" a="1"/>
  <c r="D1713" i="9"/>
  <c r="T1712" i="9"/>
  <c r="Q1712" i="9"/>
  <c r="M1712" i="9"/>
  <c r="K1712" i="9"/>
  <c r="H1712" i="9"/>
  <c r="H1712" i="9" a="1"/>
  <c r="D1712" i="9"/>
  <c r="T1711" i="9"/>
  <c r="Q1711" i="9"/>
  <c r="M1711" i="9"/>
  <c r="K1711" i="9"/>
  <c r="H1711" i="9"/>
  <c r="H1711" i="9" a="1"/>
  <c r="D1711" i="9"/>
  <c r="T1710" i="9"/>
  <c r="Q1710" i="9"/>
  <c r="M1710" i="9"/>
  <c r="K1710" i="9"/>
  <c r="H1710" i="9"/>
  <c r="H1710" i="9" a="1"/>
  <c r="D1710" i="9"/>
  <c r="T1709" i="9"/>
  <c r="Q1709" i="9"/>
  <c r="M1709" i="9"/>
  <c r="K1709" i="9"/>
  <c r="H1709" i="9"/>
  <c r="H1709" i="9" a="1"/>
  <c r="D1709" i="9"/>
  <c r="T1708" i="9"/>
  <c r="Q1708" i="9"/>
  <c r="M1708" i="9"/>
  <c r="K1708" i="9"/>
  <c r="H1708" i="9"/>
  <c r="H1708" i="9" a="1"/>
  <c r="D1708" i="9"/>
  <c r="T1707" i="9"/>
  <c r="Q1707" i="9"/>
  <c r="M1707" i="9"/>
  <c r="K1707" i="9"/>
  <c r="H1707" i="9"/>
  <c r="H1707" i="9" a="1"/>
  <c r="D1707" i="9"/>
  <c r="T1706" i="9"/>
  <c r="Q1706" i="9"/>
  <c r="M1706" i="9"/>
  <c r="K1706" i="9"/>
  <c r="H1706" i="9"/>
  <c r="H1706" i="9" a="1"/>
  <c r="D1706" i="9"/>
  <c r="T1705" i="9"/>
  <c r="Q1705" i="9"/>
  <c r="M1705" i="9"/>
  <c r="K1705" i="9"/>
  <c r="H1705" i="9"/>
  <c r="H1705" i="9" a="1"/>
  <c r="D1705" i="9"/>
  <c r="T1704" i="9"/>
  <c r="Q1704" i="9"/>
  <c r="M1704" i="9"/>
  <c r="K1704" i="9"/>
  <c r="H1704" i="9"/>
  <c r="H1704" i="9" a="1"/>
  <c r="D1704" i="9"/>
  <c r="T1703" i="9"/>
  <c r="Q1703" i="9"/>
  <c r="M1703" i="9"/>
  <c r="K1703" i="9"/>
  <c r="H1703" i="9"/>
  <c r="H1703" i="9" a="1"/>
  <c r="D1703" i="9"/>
  <c r="T1702" i="9"/>
  <c r="Q1702" i="9"/>
  <c r="M1702" i="9"/>
  <c r="K1702" i="9"/>
  <c r="H1702" i="9"/>
  <c r="H1702" i="9" a="1"/>
  <c r="D1702" i="9"/>
  <c r="T1701" i="9"/>
  <c r="Q1701" i="9"/>
  <c r="M1701" i="9"/>
  <c r="K1701" i="9"/>
  <c r="H1701" i="9"/>
  <c r="H1701" i="9" a="1"/>
  <c r="D1701" i="9"/>
  <c r="T1700" i="9"/>
  <c r="Q1700" i="9"/>
  <c r="M1700" i="9"/>
  <c r="K1700" i="9"/>
  <c r="H1700" i="9"/>
  <c r="H1700" i="9" a="1"/>
  <c r="D1700" i="9"/>
  <c r="T1699" i="9"/>
  <c r="Q1699" i="9"/>
  <c r="M1699" i="9"/>
  <c r="K1699" i="9"/>
  <c r="H1699" i="9"/>
  <c r="H1699" i="9" a="1"/>
  <c r="D1699" i="9"/>
  <c r="T1698" i="9"/>
  <c r="Q1698" i="9"/>
  <c r="M1698" i="9"/>
  <c r="K1698" i="9"/>
  <c r="H1698" i="9"/>
  <c r="H1698" i="9" a="1"/>
  <c r="D1698" i="9"/>
  <c r="T1697" i="9"/>
  <c r="Q1697" i="9"/>
  <c r="M1697" i="9"/>
  <c r="K1697" i="9"/>
  <c r="H1697" i="9"/>
  <c r="H1697" i="9" a="1"/>
  <c r="D1697" i="9"/>
  <c r="T1696" i="9"/>
  <c r="Q1696" i="9"/>
  <c r="M1696" i="9"/>
  <c r="K1696" i="9"/>
  <c r="H1696" i="9"/>
  <c r="H1696" i="9" a="1"/>
  <c r="D1696" i="9"/>
  <c r="T1695" i="9"/>
  <c r="Q1695" i="9"/>
  <c r="M1695" i="9"/>
  <c r="K1695" i="9"/>
  <c r="H1695" i="9"/>
  <c r="H1695" i="9" a="1"/>
  <c r="D1695" i="9"/>
  <c r="T1694" i="9"/>
  <c r="Q1694" i="9"/>
  <c r="M1694" i="9"/>
  <c r="K1694" i="9"/>
  <c r="H1694" i="9"/>
  <c r="H1694" i="9" a="1"/>
  <c r="D1694" i="9"/>
  <c r="T1693" i="9"/>
  <c r="Q1693" i="9"/>
  <c r="M1693" i="9"/>
  <c r="K1693" i="9"/>
  <c r="H1693" i="9"/>
  <c r="H1693" i="9" a="1"/>
  <c r="D1693" i="9"/>
  <c r="T1692" i="9"/>
  <c r="Q1692" i="9"/>
  <c r="M1692" i="9"/>
  <c r="K1692" i="9"/>
  <c r="H1692" i="9"/>
  <c r="H1692" i="9" a="1"/>
  <c r="D1692" i="9"/>
  <c r="T1691" i="9"/>
  <c r="Q1691" i="9"/>
  <c r="M1691" i="9"/>
  <c r="K1691" i="9"/>
  <c r="H1691" i="9"/>
  <c r="H1691" i="9" a="1"/>
  <c r="D1691" i="9"/>
  <c r="T1690" i="9"/>
  <c r="Q1690" i="9"/>
  <c r="M1690" i="9"/>
  <c r="K1690" i="9"/>
  <c r="H1690" i="9"/>
  <c r="H1690" i="9" a="1"/>
  <c r="D1690" i="9"/>
  <c r="T1689" i="9"/>
  <c r="Q1689" i="9"/>
  <c r="M1689" i="9"/>
  <c r="K1689" i="9"/>
  <c r="H1689" i="9"/>
  <c r="H1689" i="9" a="1"/>
  <c r="D1689" i="9"/>
  <c r="T1688" i="9"/>
  <c r="Q1688" i="9"/>
  <c r="M1688" i="9"/>
  <c r="K1688" i="9"/>
  <c r="H1688" i="9"/>
  <c r="H1688" i="9" a="1"/>
  <c r="D1688" i="9"/>
  <c r="T1687" i="9"/>
  <c r="Q1687" i="9"/>
  <c r="M1687" i="9"/>
  <c r="K1687" i="9"/>
  <c r="H1687" i="9"/>
  <c r="H1687" i="9" a="1"/>
  <c r="D1687" i="9"/>
  <c r="T1686" i="9"/>
  <c r="Q1686" i="9"/>
  <c r="M1686" i="9"/>
  <c r="K1686" i="9"/>
  <c r="H1686" i="9"/>
  <c r="H1686" i="9" a="1"/>
  <c r="D1686" i="9"/>
  <c r="T1685" i="9"/>
  <c r="Q1685" i="9"/>
  <c r="M1685" i="9"/>
  <c r="K1685" i="9"/>
  <c r="H1685" i="9"/>
  <c r="H1685" i="9" a="1"/>
  <c r="D1685" i="9"/>
  <c r="T1684" i="9"/>
  <c r="Q1684" i="9"/>
  <c r="M1684" i="9"/>
  <c r="K1684" i="9"/>
  <c r="H1684" i="9"/>
  <c r="H1684" i="9" a="1"/>
  <c r="D1684" i="9"/>
  <c r="T1683" i="9"/>
  <c r="Q1683" i="9"/>
  <c r="M1683" i="9"/>
  <c r="K1683" i="9"/>
  <c r="H1683" i="9"/>
  <c r="H1683" i="9" a="1"/>
  <c r="D1683" i="9"/>
  <c r="T1682" i="9"/>
  <c r="Q1682" i="9"/>
  <c r="M1682" i="9"/>
  <c r="K1682" i="9"/>
  <c r="H1682" i="9"/>
  <c r="H1682" i="9" a="1"/>
  <c r="D1682" i="9"/>
  <c r="T1681" i="9"/>
  <c r="Q1681" i="9"/>
  <c r="M1681" i="9"/>
  <c r="K1681" i="9"/>
  <c r="H1681" i="9"/>
  <c r="H1681" i="9" a="1"/>
  <c r="D1681" i="9"/>
  <c r="T1680" i="9"/>
  <c r="Q1680" i="9"/>
  <c r="M1680" i="9"/>
  <c r="K1680" i="9"/>
  <c r="H1680" i="9"/>
  <c r="H1680" i="9" a="1"/>
  <c r="D1680" i="9"/>
  <c r="T1679" i="9"/>
  <c r="Q1679" i="9"/>
  <c r="M1679" i="9"/>
  <c r="K1679" i="9"/>
  <c r="H1679" i="9"/>
  <c r="H1679" i="9" a="1"/>
  <c r="D1679" i="9"/>
  <c r="T1678" i="9"/>
  <c r="Q1678" i="9"/>
  <c r="M1678" i="9"/>
  <c r="K1678" i="9"/>
  <c r="H1678" i="9"/>
  <c r="H1678" i="9" a="1"/>
  <c r="D1678" i="9"/>
  <c r="T1677" i="9"/>
  <c r="Q1677" i="9"/>
  <c r="M1677" i="9"/>
  <c r="K1677" i="9"/>
  <c r="H1677" i="9"/>
  <c r="H1677" i="9" a="1"/>
  <c r="D1677" i="9"/>
  <c r="T1676" i="9"/>
  <c r="Q1676" i="9"/>
  <c r="M1676" i="9"/>
  <c r="K1676" i="9"/>
  <c r="H1676" i="9"/>
  <c r="H1676" i="9" a="1"/>
  <c r="D1676" i="9"/>
  <c r="T1675" i="9"/>
  <c r="Q1675" i="9"/>
  <c r="M1675" i="9"/>
  <c r="K1675" i="9"/>
  <c r="H1675" i="9"/>
  <c r="H1675" i="9" a="1"/>
  <c r="D1675" i="9"/>
  <c r="T1674" i="9"/>
  <c r="Q1674" i="9"/>
  <c r="M1674" i="9"/>
  <c r="K1674" i="9"/>
  <c r="H1674" i="9"/>
  <c r="H1674" i="9" a="1"/>
  <c r="D1674" i="9"/>
  <c r="T1673" i="9"/>
  <c r="Q1673" i="9"/>
  <c r="M1673" i="9"/>
  <c r="K1673" i="9"/>
  <c r="H1673" i="9"/>
  <c r="H1673" i="9" a="1"/>
  <c r="D1673" i="9"/>
  <c r="T1672" i="9"/>
  <c r="Q1672" i="9"/>
  <c r="M1672" i="9"/>
  <c r="K1672" i="9"/>
  <c r="H1672" i="9"/>
  <c r="H1672" i="9" a="1"/>
  <c r="D1672" i="9"/>
  <c r="T1671" i="9"/>
  <c r="Q1671" i="9"/>
  <c r="M1671" i="9"/>
  <c r="K1671" i="9"/>
  <c r="H1671" i="9"/>
  <c r="H1671" i="9" a="1"/>
  <c r="D1671" i="9"/>
  <c r="T1670" i="9"/>
  <c r="Q1670" i="9"/>
  <c r="M1670" i="9"/>
  <c r="K1670" i="9"/>
  <c r="H1670" i="9"/>
  <c r="H1670" i="9" a="1"/>
  <c r="D1670" i="9"/>
  <c r="T1669" i="9"/>
  <c r="Q1669" i="9"/>
  <c r="M1669" i="9"/>
  <c r="K1669" i="9"/>
  <c r="H1669" i="9"/>
  <c r="H1669" i="9" a="1"/>
  <c r="D1669" i="9"/>
  <c r="T1668" i="9"/>
  <c r="Q1668" i="9"/>
  <c r="M1668" i="9"/>
  <c r="K1668" i="9"/>
  <c r="H1668" i="9"/>
  <c r="H1668" i="9" a="1"/>
  <c r="D1668" i="9"/>
  <c r="T1667" i="9"/>
  <c r="Q1667" i="9"/>
  <c r="M1667" i="9"/>
  <c r="K1667" i="9"/>
  <c r="H1667" i="9"/>
  <c r="H1667" i="9" a="1"/>
  <c r="D1667" i="9"/>
  <c r="T1666" i="9"/>
  <c r="Q1666" i="9"/>
  <c r="M1666" i="9"/>
  <c r="K1666" i="9"/>
  <c r="H1666" i="9"/>
  <c r="H1666" i="9" a="1"/>
  <c r="D1666" i="9"/>
  <c r="T1665" i="9"/>
  <c r="Q1665" i="9"/>
  <c r="M1665" i="9"/>
  <c r="K1665" i="9"/>
  <c r="H1665" i="9"/>
  <c r="H1665" i="9" a="1"/>
  <c r="D1665" i="9"/>
  <c r="T1664" i="9"/>
  <c r="Q1664" i="9"/>
  <c r="M1664" i="9"/>
  <c r="K1664" i="9"/>
  <c r="H1664" i="9"/>
  <c r="H1664" i="9" a="1"/>
  <c r="D1664" i="9"/>
  <c r="T1663" i="9"/>
  <c r="Q1663" i="9"/>
  <c r="M1663" i="9"/>
  <c r="K1663" i="9"/>
  <c r="H1663" i="9"/>
  <c r="H1663" i="9" a="1"/>
  <c r="D1663" i="9"/>
  <c r="T1662" i="9"/>
  <c r="Q1662" i="9"/>
  <c r="M1662" i="9"/>
  <c r="K1662" i="9"/>
  <c r="H1662" i="9"/>
  <c r="H1662" i="9" a="1"/>
  <c r="D1662" i="9"/>
  <c r="T1661" i="9"/>
  <c r="Q1661" i="9"/>
  <c r="M1661" i="9"/>
  <c r="K1661" i="9"/>
  <c r="H1661" i="9"/>
  <c r="H1661" i="9" a="1"/>
  <c r="D1661" i="9"/>
  <c r="T1660" i="9"/>
  <c r="Q1660" i="9"/>
  <c r="M1660" i="9"/>
  <c r="K1660" i="9"/>
  <c r="H1660" i="9"/>
  <c r="H1660" i="9" a="1"/>
  <c r="D1660" i="9"/>
  <c r="T1659" i="9"/>
  <c r="Q1659" i="9"/>
  <c r="M1659" i="9"/>
  <c r="K1659" i="9"/>
  <c r="H1659" i="9"/>
  <c r="H1659" i="9" a="1"/>
  <c r="D1659" i="9"/>
  <c r="T1658" i="9"/>
  <c r="Q1658" i="9"/>
  <c r="M1658" i="9"/>
  <c r="K1658" i="9"/>
  <c r="H1658" i="9"/>
  <c r="H1658" i="9" a="1"/>
  <c r="D1658" i="9"/>
  <c r="T1657" i="9"/>
  <c r="Q1657" i="9"/>
  <c r="M1657" i="9"/>
  <c r="K1657" i="9"/>
  <c r="H1657" i="9"/>
  <c r="H1657" i="9" a="1"/>
  <c r="D1657" i="9"/>
  <c r="T1656" i="9"/>
  <c r="Q1656" i="9"/>
  <c r="M1656" i="9"/>
  <c r="K1656" i="9"/>
  <c r="H1656" i="9"/>
  <c r="H1656" i="9" a="1"/>
  <c r="D1656" i="9"/>
  <c r="T1655" i="9"/>
  <c r="Q1655" i="9"/>
  <c r="M1655" i="9"/>
  <c r="K1655" i="9"/>
  <c r="H1655" i="9"/>
  <c r="H1655" i="9" a="1"/>
  <c r="D1655" i="9"/>
  <c r="T1654" i="9"/>
  <c r="Q1654" i="9"/>
  <c r="M1654" i="9"/>
  <c r="K1654" i="9"/>
  <c r="H1654" i="9"/>
  <c r="H1654" i="9" a="1"/>
  <c r="D1654" i="9"/>
  <c r="T1653" i="9"/>
  <c r="Q1653" i="9"/>
  <c r="M1653" i="9"/>
  <c r="K1653" i="9"/>
  <c r="H1653" i="9"/>
  <c r="H1653" i="9" a="1"/>
  <c r="D1653" i="9"/>
  <c r="T1652" i="9"/>
  <c r="Q1652" i="9"/>
  <c r="M1652" i="9"/>
  <c r="K1652" i="9"/>
  <c r="H1652" i="9"/>
  <c r="H1652" i="9" a="1"/>
  <c r="D1652" i="9"/>
  <c r="T1651" i="9"/>
  <c r="Q1651" i="9"/>
  <c r="M1651" i="9"/>
  <c r="K1651" i="9"/>
  <c r="H1651" i="9"/>
  <c r="H1651" i="9" a="1"/>
  <c r="D1651" i="9"/>
  <c r="T1650" i="9"/>
  <c r="Q1650" i="9"/>
  <c r="M1650" i="9"/>
  <c r="K1650" i="9"/>
  <c r="H1650" i="9"/>
  <c r="H1650" i="9" a="1"/>
  <c r="D1650" i="9"/>
  <c r="T1649" i="9"/>
  <c r="Q1649" i="9"/>
  <c r="M1649" i="9"/>
  <c r="K1649" i="9"/>
  <c r="H1649" i="9"/>
  <c r="H1649" i="9" a="1"/>
  <c r="D1649" i="9"/>
  <c r="T1648" i="9"/>
  <c r="Q1648" i="9"/>
  <c r="M1648" i="9"/>
  <c r="K1648" i="9"/>
  <c r="H1648" i="9"/>
  <c r="H1648" i="9" a="1"/>
  <c r="D1648" i="9"/>
  <c r="T1647" i="9"/>
  <c r="Q1647" i="9"/>
  <c r="M1647" i="9"/>
  <c r="K1647" i="9"/>
  <c r="H1647" i="9"/>
  <c r="H1647" i="9" a="1"/>
  <c r="D1647" i="9"/>
  <c r="T1646" i="9"/>
  <c r="Q1646" i="9"/>
  <c r="M1646" i="9"/>
  <c r="K1646" i="9"/>
  <c r="H1646" i="9"/>
  <c r="H1646" i="9" a="1"/>
  <c r="D1646" i="9"/>
  <c r="T1645" i="9"/>
  <c r="Q1645" i="9"/>
  <c r="M1645" i="9"/>
  <c r="K1645" i="9"/>
  <c r="H1645" i="9"/>
  <c r="H1645" i="9" a="1"/>
  <c r="D1645" i="9"/>
  <c r="T1644" i="9"/>
  <c r="Q1644" i="9"/>
  <c r="M1644" i="9"/>
  <c r="K1644" i="9"/>
  <c r="H1644" i="9"/>
  <c r="H1644" i="9" a="1"/>
  <c r="D1644" i="9"/>
  <c r="T1643" i="9"/>
  <c r="Q1643" i="9"/>
  <c r="M1643" i="9"/>
  <c r="K1643" i="9"/>
  <c r="H1643" i="9"/>
  <c r="H1643" i="9" a="1"/>
  <c r="D1643" i="9"/>
  <c r="T1642" i="9"/>
  <c r="Q1642" i="9"/>
  <c r="M1642" i="9"/>
  <c r="K1642" i="9"/>
  <c r="H1642" i="9"/>
  <c r="H1642" i="9" a="1"/>
  <c r="D1642" i="9"/>
  <c r="T1641" i="9"/>
  <c r="Q1641" i="9"/>
  <c r="M1641" i="9"/>
  <c r="K1641" i="9"/>
  <c r="H1641" i="9"/>
  <c r="H1641" i="9" a="1"/>
  <c r="D1641" i="9"/>
  <c r="T1640" i="9"/>
  <c r="Q1640" i="9"/>
  <c r="M1640" i="9"/>
  <c r="K1640" i="9"/>
  <c r="H1640" i="9"/>
  <c r="H1640" i="9" a="1"/>
  <c r="D1640" i="9"/>
  <c r="T1639" i="9"/>
  <c r="Q1639" i="9"/>
  <c r="M1639" i="9"/>
  <c r="K1639" i="9"/>
  <c r="H1639" i="9"/>
  <c r="H1639" i="9" a="1"/>
  <c r="D1639" i="9"/>
  <c r="T1638" i="9"/>
  <c r="Q1638" i="9"/>
  <c r="M1638" i="9"/>
  <c r="K1638" i="9"/>
  <c r="H1638" i="9"/>
  <c r="H1638" i="9" a="1"/>
  <c r="D1638" i="9"/>
  <c r="T1637" i="9"/>
  <c r="Q1637" i="9"/>
  <c r="M1637" i="9"/>
  <c r="K1637" i="9"/>
  <c r="H1637" i="9"/>
  <c r="H1637" i="9" a="1"/>
  <c r="D1637" i="9"/>
  <c r="T1636" i="9"/>
  <c r="Q1636" i="9"/>
  <c r="M1636" i="9"/>
  <c r="K1636" i="9"/>
  <c r="H1636" i="9"/>
  <c r="H1636" i="9" a="1"/>
  <c r="D1636" i="9"/>
  <c r="T1635" i="9"/>
  <c r="Q1635" i="9"/>
  <c r="M1635" i="9"/>
  <c r="K1635" i="9"/>
  <c r="H1635" i="9"/>
  <c r="H1635" i="9" a="1"/>
  <c r="D1635" i="9"/>
  <c r="T1634" i="9"/>
  <c r="Q1634" i="9"/>
  <c r="M1634" i="9"/>
  <c r="K1634" i="9"/>
  <c r="H1634" i="9"/>
  <c r="H1634" i="9" a="1"/>
  <c r="D1634" i="9"/>
  <c r="T1633" i="9"/>
  <c r="Q1633" i="9"/>
  <c r="M1633" i="9"/>
  <c r="K1633" i="9"/>
  <c r="H1633" i="9"/>
  <c r="H1633" i="9" a="1"/>
  <c r="D1633" i="9"/>
  <c r="T1632" i="9"/>
  <c r="Q1632" i="9"/>
  <c r="M1632" i="9"/>
  <c r="K1632" i="9"/>
  <c r="H1632" i="9"/>
  <c r="H1632" i="9" a="1"/>
  <c r="D1632" i="9"/>
  <c r="T1631" i="9"/>
  <c r="Q1631" i="9"/>
  <c r="M1631" i="9"/>
  <c r="K1631" i="9"/>
  <c r="H1631" i="9"/>
  <c r="H1631" i="9" a="1"/>
  <c r="D1631" i="9"/>
  <c r="T1630" i="9"/>
  <c r="Q1630" i="9"/>
  <c r="M1630" i="9"/>
  <c r="K1630" i="9"/>
  <c r="H1630" i="9"/>
  <c r="H1630" i="9" a="1"/>
  <c r="D1630" i="9"/>
  <c r="T1629" i="9"/>
  <c r="Q1629" i="9"/>
  <c r="M1629" i="9"/>
  <c r="K1629" i="9"/>
  <c r="H1629" i="9"/>
  <c r="H1629" i="9" a="1"/>
  <c r="D1629" i="9"/>
  <c r="T1628" i="9"/>
  <c r="Q1628" i="9"/>
  <c r="M1628" i="9"/>
  <c r="K1628" i="9"/>
  <c r="H1628" i="9"/>
  <c r="H1628" i="9" a="1"/>
  <c r="D1628" i="9"/>
  <c r="T1627" i="9"/>
  <c r="Q1627" i="9"/>
  <c r="M1627" i="9"/>
  <c r="K1627" i="9"/>
  <c r="H1627" i="9"/>
  <c r="H1627" i="9" a="1"/>
  <c r="D1627" i="9"/>
  <c r="T1626" i="9"/>
  <c r="Q1626" i="9"/>
  <c r="M1626" i="9"/>
  <c r="K1626" i="9"/>
  <c r="H1626" i="9"/>
  <c r="H1626" i="9" a="1"/>
  <c r="D1626" i="9"/>
  <c r="T1625" i="9"/>
  <c r="Q1625" i="9"/>
  <c r="M1625" i="9"/>
  <c r="K1625" i="9"/>
  <c r="H1625" i="9"/>
  <c r="H1625" i="9" a="1"/>
  <c r="D1625" i="9"/>
  <c r="T1624" i="9"/>
  <c r="Q1624" i="9"/>
  <c r="M1624" i="9"/>
  <c r="K1624" i="9"/>
  <c r="H1624" i="9"/>
  <c r="H1624" i="9" a="1"/>
  <c r="D1624" i="9"/>
  <c r="T1623" i="9"/>
  <c r="Q1623" i="9"/>
  <c r="M1623" i="9"/>
  <c r="K1623" i="9"/>
  <c r="H1623" i="9"/>
  <c r="H1623" i="9" a="1"/>
  <c r="D1623" i="9"/>
  <c r="T1622" i="9"/>
  <c r="Q1622" i="9"/>
  <c r="M1622" i="9"/>
  <c r="K1622" i="9"/>
  <c r="H1622" i="9"/>
  <c r="H1622" i="9" a="1"/>
  <c r="D1622" i="9"/>
  <c r="T1621" i="9"/>
  <c r="Q1621" i="9"/>
  <c r="M1621" i="9"/>
  <c r="K1621" i="9"/>
  <c r="H1621" i="9"/>
  <c r="H1621" i="9" a="1"/>
  <c r="D1621" i="9"/>
  <c r="T1620" i="9"/>
  <c r="Q1620" i="9"/>
  <c r="M1620" i="9"/>
  <c r="K1620" i="9"/>
  <c r="H1620" i="9"/>
  <c r="H1620" i="9" a="1"/>
  <c r="D1620" i="9"/>
  <c r="T1619" i="9"/>
  <c r="Q1619" i="9"/>
  <c r="M1619" i="9"/>
  <c r="K1619" i="9"/>
  <c r="H1619" i="9"/>
  <c r="H1619" i="9" a="1"/>
  <c r="D1619" i="9"/>
  <c r="T1618" i="9"/>
  <c r="Q1618" i="9"/>
  <c r="M1618" i="9"/>
  <c r="K1618" i="9"/>
  <c r="H1618" i="9"/>
  <c r="H1618" i="9" a="1"/>
  <c r="D1618" i="9"/>
  <c r="T1617" i="9"/>
  <c r="Q1617" i="9"/>
  <c r="M1617" i="9"/>
  <c r="K1617" i="9"/>
  <c r="H1617" i="9"/>
  <c r="H1617" i="9" a="1"/>
  <c r="D1617" i="9"/>
  <c r="T1616" i="9"/>
  <c r="Q1616" i="9"/>
  <c r="M1616" i="9"/>
  <c r="K1616" i="9"/>
  <c r="H1616" i="9"/>
  <c r="H1616" i="9" a="1"/>
  <c r="D1616" i="9"/>
  <c r="T1615" i="9"/>
  <c r="Q1615" i="9"/>
  <c r="M1615" i="9"/>
  <c r="K1615" i="9"/>
  <c r="H1615" i="9"/>
  <c r="H1615" i="9" a="1"/>
  <c r="D1615" i="9"/>
  <c r="T1614" i="9"/>
  <c r="Q1614" i="9"/>
  <c r="M1614" i="9"/>
  <c r="K1614" i="9"/>
  <c r="H1614" i="9"/>
  <c r="H1614" i="9" a="1"/>
  <c r="D1614" i="9"/>
  <c r="T1613" i="9"/>
  <c r="Q1613" i="9"/>
  <c r="M1613" i="9"/>
  <c r="K1613" i="9"/>
  <c r="H1613" i="9"/>
  <c r="H1613" i="9" a="1"/>
  <c r="D1613" i="9"/>
  <c r="T1612" i="9"/>
  <c r="Q1612" i="9"/>
  <c r="M1612" i="9"/>
  <c r="K1612" i="9"/>
  <c r="H1612" i="9"/>
  <c r="H1612" i="9" a="1"/>
  <c r="D1612" i="9"/>
  <c r="T1611" i="9"/>
  <c r="Q1611" i="9"/>
  <c r="M1611" i="9"/>
  <c r="K1611" i="9"/>
  <c r="H1611" i="9"/>
  <c r="H1611" i="9" a="1"/>
  <c r="D1611" i="9"/>
  <c r="T1610" i="9"/>
  <c r="Q1610" i="9"/>
  <c r="M1610" i="9"/>
  <c r="K1610" i="9"/>
  <c r="H1610" i="9"/>
  <c r="H1610" i="9" a="1"/>
  <c r="D1610" i="9"/>
  <c r="T1609" i="9"/>
  <c r="Q1609" i="9"/>
  <c r="M1609" i="9"/>
  <c r="K1609" i="9"/>
  <c r="H1609" i="9"/>
  <c r="H1609" i="9" a="1"/>
  <c r="D1609" i="9"/>
  <c r="T1608" i="9"/>
  <c r="Q1608" i="9"/>
  <c r="M1608" i="9"/>
  <c r="K1608" i="9"/>
  <c r="H1608" i="9"/>
  <c r="H1608" i="9" a="1"/>
  <c r="D1608" i="9"/>
  <c r="T1607" i="9"/>
  <c r="Q1607" i="9"/>
  <c r="M1607" i="9"/>
  <c r="K1607" i="9"/>
  <c r="H1607" i="9"/>
  <c r="H1607" i="9" a="1"/>
  <c r="D1607" i="9"/>
  <c r="T1606" i="9"/>
  <c r="Q1606" i="9"/>
  <c r="M1606" i="9"/>
  <c r="K1606" i="9"/>
  <c r="H1606" i="9"/>
  <c r="H1606" i="9" a="1"/>
  <c r="D1606" i="9"/>
  <c r="T1605" i="9"/>
  <c r="Q1605" i="9"/>
  <c r="M1605" i="9"/>
  <c r="K1605" i="9"/>
  <c r="H1605" i="9"/>
  <c r="H1605" i="9" a="1"/>
  <c r="D1605" i="9"/>
  <c r="T1604" i="9"/>
  <c r="Q1604" i="9"/>
  <c r="M1604" i="9"/>
  <c r="K1604" i="9"/>
  <c r="H1604" i="9"/>
  <c r="H1604" i="9" a="1"/>
  <c r="D1604" i="9"/>
  <c r="T1603" i="9"/>
  <c r="Q1603" i="9"/>
  <c r="M1603" i="9"/>
  <c r="K1603" i="9"/>
  <c r="H1603" i="9"/>
  <c r="H1603" i="9" a="1"/>
  <c r="D1603" i="9"/>
  <c r="T1602" i="9"/>
  <c r="Q1602" i="9"/>
  <c r="M1602" i="9"/>
  <c r="K1602" i="9"/>
  <c r="H1602" i="9"/>
  <c r="H1602" i="9" a="1"/>
  <c r="D1602" i="9"/>
  <c r="T1601" i="9"/>
  <c r="Q1601" i="9"/>
  <c r="M1601" i="9"/>
  <c r="K1601" i="9"/>
  <c r="H1601" i="9"/>
  <c r="H1601" i="9" a="1"/>
  <c r="D1601" i="9"/>
  <c r="T1600" i="9"/>
  <c r="Q1600" i="9"/>
  <c r="M1600" i="9"/>
  <c r="K1600" i="9"/>
  <c r="H1600" i="9"/>
  <c r="H1600" i="9" a="1"/>
  <c r="D1600" i="9"/>
  <c r="T1599" i="9"/>
  <c r="Q1599" i="9"/>
  <c r="M1599" i="9"/>
  <c r="K1599" i="9"/>
  <c r="H1599" i="9"/>
  <c r="H1599" i="9" a="1"/>
  <c r="D1599" i="9"/>
  <c r="T1598" i="9"/>
  <c r="Q1598" i="9"/>
  <c r="M1598" i="9"/>
  <c r="K1598" i="9"/>
  <c r="H1598" i="9"/>
  <c r="H1598" i="9" a="1"/>
  <c r="D1598" i="9"/>
  <c r="T1597" i="9"/>
  <c r="Q1597" i="9"/>
  <c r="M1597" i="9"/>
  <c r="K1597" i="9"/>
  <c r="H1597" i="9"/>
  <c r="H1597" i="9" a="1"/>
  <c r="D1597" i="9"/>
  <c r="T1596" i="9"/>
  <c r="Q1596" i="9"/>
  <c r="M1596" i="9"/>
  <c r="K1596" i="9"/>
  <c r="H1596" i="9"/>
  <c r="H1596" i="9" a="1"/>
  <c r="D1596" i="9"/>
  <c r="T1595" i="9"/>
  <c r="Q1595" i="9"/>
  <c r="M1595" i="9"/>
  <c r="K1595" i="9"/>
  <c r="H1595" i="9"/>
  <c r="H1595" i="9" a="1"/>
  <c r="D1595" i="9"/>
  <c r="T1594" i="9"/>
  <c r="Q1594" i="9"/>
  <c r="M1594" i="9"/>
  <c r="K1594" i="9"/>
  <c r="H1594" i="9"/>
  <c r="H1594" i="9" a="1"/>
  <c r="D1594" i="9"/>
  <c r="T1593" i="9"/>
  <c r="Q1593" i="9"/>
  <c r="M1593" i="9"/>
  <c r="K1593" i="9"/>
  <c r="H1593" i="9"/>
  <c r="H1593" i="9" a="1"/>
  <c r="D1593" i="9"/>
  <c r="T1592" i="9"/>
  <c r="Q1592" i="9"/>
  <c r="M1592" i="9"/>
  <c r="K1592" i="9"/>
  <c r="H1592" i="9"/>
  <c r="H1592" i="9" a="1"/>
  <c r="D1592" i="9"/>
  <c r="T1591" i="9"/>
  <c r="Q1591" i="9"/>
  <c r="M1591" i="9"/>
  <c r="K1591" i="9"/>
  <c r="H1591" i="9"/>
  <c r="H1591" i="9" a="1"/>
  <c r="D1591" i="9"/>
  <c r="T1590" i="9"/>
  <c r="Q1590" i="9"/>
  <c r="M1590" i="9"/>
  <c r="K1590" i="9"/>
  <c r="H1590" i="9"/>
  <c r="H1590" i="9" a="1"/>
  <c r="D1590" i="9"/>
  <c r="T1589" i="9"/>
  <c r="Q1589" i="9"/>
  <c r="M1589" i="9"/>
  <c r="K1589" i="9"/>
  <c r="H1589" i="9"/>
  <c r="H1589" i="9" a="1"/>
  <c r="D1589" i="9"/>
  <c r="T1588" i="9"/>
  <c r="Q1588" i="9"/>
  <c r="M1588" i="9"/>
  <c r="K1588" i="9"/>
  <c r="H1588" i="9"/>
  <c r="H1588" i="9" a="1"/>
  <c r="D1588" i="9"/>
  <c r="T1587" i="9"/>
  <c r="Q1587" i="9"/>
  <c r="M1587" i="9"/>
  <c r="K1587" i="9"/>
  <c r="H1587" i="9"/>
  <c r="H1587" i="9" a="1"/>
  <c r="D1587" i="9"/>
  <c r="T1586" i="9"/>
  <c r="Q1586" i="9"/>
  <c r="M1586" i="9"/>
  <c r="K1586" i="9"/>
  <c r="H1586" i="9"/>
  <c r="H1586" i="9" a="1"/>
  <c r="D1586" i="9"/>
  <c r="T1585" i="9"/>
  <c r="Q1585" i="9"/>
  <c r="M1585" i="9"/>
  <c r="K1585" i="9"/>
  <c r="H1585" i="9"/>
  <c r="H1585" i="9" a="1"/>
  <c r="D1585" i="9"/>
  <c r="T1584" i="9"/>
  <c r="Q1584" i="9"/>
  <c r="M1584" i="9"/>
  <c r="K1584" i="9"/>
  <c r="H1584" i="9"/>
  <c r="H1584" i="9" a="1"/>
  <c r="D1584" i="9"/>
  <c r="T1583" i="9"/>
  <c r="Q1583" i="9"/>
  <c r="M1583" i="9"/>
  <c r="K1583" i="9"/>
  <c r="H1583" i="9"/>
  <c r="H1583" i="9" a="1"/>
  <c r="D1583" i="9"/>
  <c r="T1582" i="9"/>
  <c r="Q1582" i="9"/>
  <c r="M1582" i="9"/>
  <c r="K1582" i="9"/>
  <c r="H1582" i="9"/>
  <c r="H1582" i="9" a="1"/>
  <c r="D1582" i="9"/>
  <c r="T1581" i="9"/>
  <c r="Q1581" i="9"/>
  <c r="M1581" i="9"/>
  <c r="K1581" i="9"/>
  <c r="H1581" i="9"/>
  <c r="H1581" i="9" a="1"/>
  <c r="D1581" i="9"/>
  <c r="T1580" i="9"/>
  <c r="Q1580" i="9"/>
  <c r="M1580" i="9"/>
  <c r="K1580" i="9"/>
  <c r="H1580" i="9"/>
  <c r="H1580" i="9" a="1"/>
  <c r="D1580" i="9"/>
  <c r="T1579" i="9"/>
  <c r="Q1579" i="9"/>
  <c r="M1579" i="9"/>
  <c r="K1579" i="9"/>
  <c r="H1579" i="9"/>
  <c r="H1579" i="9" a="1"/>
  <c r="D1579" i="9"/>
  <c r="T1578" i="9"/>
  <c r="Q1578" i="9"/>
  <c r="M1578" i="9"/>
  <c r="K1578" i="9"/>
  <c r="H1578" i="9"/>
  <c r="H1578" i="9" a="1"/>
  <c r="D1578" i="9"/>
  <c r="T1577" i="9"/>
  <c r="Q1577" i="9"/>
  <c r="M1577" i="9"/>
  <c r="K1577" i="9"/>
  <c r="H1577" i="9"/>
  <c r="H1577" i="9" a="1"/>
  <c r="D1577" i="9"/>
  <c r="T1576" i="9"/>
  <c r="Q1576" i="9"/>
  <c r="M1576" i="9"/>
  <c r="K1576" i="9"/>
  <c r="H1576" i="9"/>
  <c r="H1576" i="9" a="1"/>
  <c r="D1576" i="9"/>
  <c r="T1575" i="9"/>
  <c r="Q1575" i="9"/>
  <c r="M1575" i="9"/>
  <c r="K1575" i="9"/>
  <c r="H1575" i="9"/>
  <c r="H1575" i="9" a="1"/>
  <c r="D1575" i="9"/>
  <c r="T1574" i="9"/>
  <c r="Q1574" i="9"/>
  <c r="M1574" i="9"/>
  <c r="K1574" i="9"/>
  <c r="H1574" i="9"/>
  <c r="H1574" i="9" a="1"/>
  <c r="D1574" i="9"/>
  <c r="T1573" i="9"/>
  <c r="Q1573" i="9"/>
  <c r="M1573" i="9"/>
  <c r="K1573" i="9"/>
  <c r="H1573" i="9"/>
  <c r="H1573" i="9" a="1"/>
  <c r="D1573" i="9"/>
  <c r="T1572" i="9"/>
  <c r="Q1572" i="9"/>
  <c r="M1572" i="9"/>
  <c r="K1572" i="9"/>
  <c r="H1572" i="9"/>
  <c r="H1572" i="9" a="1"/>
  <c r="D1572" i="9"/>
  <c r="T1571" i="9"/>
  <c r="Q1571" i="9"/>
  <c r="M1571" i="9"/>
  <c r="K1571" i="9"/>
  <c r="H1571" i="9"/>
  <c r="H1571" i="9" a="1"/>
  <c r="D1571" i="9"/>
  <c r="T1570" i="9"/>
  <c r="Q1570" i="9"/>
  <c r="M1570" i="9"/>
  <c r="K1570" i="9"/>
  <c r="H1570" i="9"/>
  <c r="H1570" i="9" a="1"/>
  <c r="D1570" i="9"/>
  <c r="T1569" i="9"/>
  <c r="Q1569" i="9"/>
  <c r="M1569" i="9"/>
  <c r="K1569" i="9"/>
  <c r="H1569" i="9"/>
  <c r="H1569" i="9" a="1"/>
  <c r="D1569" i="9"/>
  <c r="T1568" i="9"/>
  <c r="Q1568" i="9"/>
  <c r="M1568" i="9"/>
  <c r="K1568" i="9"/>
  <c r="H1568" i="9"/>
  <c r="H1568" i="9" a="1"/>
  <c r="D1568" i="9"/>
  <c r="T1567" i="9"/>
  <c r="Q1567" i="9"/>
  <c r="M1567" i="9"/>
  <c r="K1567" i="9"/>
  <c r="H1567" i="9"/>
  <c r="H1567" i="9" a="1"/>
  <c r="D1567" i="9"/>
  <c r="T1566" i="9"/>
  <c r="Q1566" i="9"/>
  <c r="M1566" i="9"/>
  <c r="K1566" i="9"/>
  <c r="H1566" i="9"/>
  <c r="H1566" i="9" a="1"/>
  <c r="D1566" i="9"/>
  <c r="T1565" i="9"/>
  <c r="Q1565" i="9"/>
  <c r="M1565" i="9"/>
  <c r="K1565" i="9"/>
  <c r="H1565" i="9"/>
  <c r="H1565" i="9" a="1"/>
  <c r="D1565" i="9"/>
  <c r="T1564" i="9"/>
  <c r="Q1564" i="9"/>
  <c r="M1564" i="9"/>
  <c r="K1564" i="9"/>
  <c r="H1564" i="9"/>
  <c r="H1564" i="9" a="1"/>
  <c r="D1564" i="9"/>
  <c r="T1563" i="9"/>
  <c r="Q1563" i="9"/>
  <c r="M1563" i="9"/>
  <c r="K1563" i="9"/>
  <c r="H1563" i="9"/>
  <c r="H1563" i="9" a="1"/>
  <c r="D1563" i="9"/>
  <c r="T1562" i="9"/>
  <c r="Q1562" i="9"/>
  <c r="M1562" i="9"/>
  <c r="K1562" i="9"/>
  <c r="H1562" i="9"/>
  <c r="H1562" i="9" a="1"/>
  <c r="D1562" i="9"/>
  <c r="T1561" i="9"/>
  <c r="Q1561" i="9"/>
  <c r="M1561" i="9"/>
  <c r="K1561" i="9"/>
  <c r="H1561" i="9"/>
  <c r="H1561" i="9" a="1"/>
  <c r="D1561" i="9"/>
  <c r="T1560" i="9"/>
  <c r="Q1560" i="9"/>
  <c r="M1560" i="9"/>
  <c r="K1560" i="9"/>
  <c r="H1560" i="9"/>
  <c r="H1560" i="9" a="1"/>
  <c r="D1560" i="9"/>
  <c r="T1559" i="9"/>
  <c r="Q1559" i="9"/>
  <c r="M1559" i="9"/>
  <c r="K1559" i="9"/>
  <c r="H1559" i="9"/>
  <c r="H1559" i="9" a="1"/>
  <c r="D1559" i="9"/>
  <c r="T1558" i="9"/>
  <c r="Q1558" i="9"/>
  <c r="M1558" i="9"/>
  <c r="K1558" i="9"/>
  <c r="H1558" i="9"/>
  <c r="H1558" i="9" a="1"/>
  <c r="D1558" i="9"/>
  <c r="T1557" i="9"/>
  <c r="Q1557" i="9"/>
  <c r="M1557" i="9"/>
  <c r="K1557" i="9"/>
  <c r="H1557" i="9"/>
  <c r="H1557" i="9" a="1"/>
  <c r="D1557" i="9"/>
  <c r="T1556" i="9"/>
  <c r="Q1556" i="9"/>
  <c r="M1556" i="9"/>
  <c r="K1556" i="9"/>
  <c r="H1556" i="9"/>
  <c r="H1556" i="9" a="1"/>
  <c r="D1556" i="9"/>
  <c r="T1555" i="9"/>
  <c r="Q1555" i="9"/>
  <c r="M1555" i="9"/>
  <c r="K1555" i="9"/>
  <c r="H1555" i="9"/>
  <c r="H1555" i="9" a="1"/>
  <c r="D1555" i="9"/>
  <c r="T1554" i="9"/>
  <c r="Q1554" i="9"/>
  <c r="M1554" i="9"/>
  <c r="K1554" i="9"/>
  <c r="H1554" i="9"/>
  <c r="H1554" i="9" a="1"/>
  <c r="D1554" i="9"/>
  <c r="T1553" i="9"/>
  <c r="Q1553" i="9"/>
  <c r="M1553" i="9"/>
  <c r="K1553" i="9"/>
  <c r="H1553" i="9"/>
  <c r="H1553" i="9" a="1"/>
  <c r="D1553" i="9"/>
  <c r="T1552" i="9"/>
  <c r="Q1552" i="9"/>
  <c r="M1552" i="9"/>
  <c r="K1552" i="9"/>
  <c r="H1552" i="9"/>
  <c r="H1552" i="9" a="1"/>
  <c r="D1552" i="9"/>
  <c r="T1551" i="9"/>
  <c r="Q1551" i="9"/>
  <c r="M1551" i="9"/>
  <c r="K1551" i="9"/>
  <c r="H1551" i="9"/>
  <c r="H1551" i="9" a="1"/>
  <c r="D1551" i="9"/>
  <c r="T1550" i="9"/>
  <c r="Q1550" i="9"/>
  <c r="M1550" i="9"/>
  <c r="K1550" i="9"/>
  <c r="H1550" i="9"/>
  <c r="H1550" i="9" a="1"/>
  <c r="D1550" i="9"/>
  <c r="T1549" i="9"/>
  <c r="Q1549" i="9"/>
  <c r="M1549" i="9"/>
  <c r="K1549" i="9"/>
  <c r="H1549" i="9"/>
  <c r="H1549" i="9" a="1"/>
  <c r="D1549" i="9"/>
  <c r="T1548" i="9"/>
  <c r="Q1548" i="9"/>
  <c r="M1548" i="9"/>
  <c r="K1548" i="9"/>
  <c r="H1548" i="9"/>
  <c r="H1548" i="9" a="1"/>
  <c r="D1548" i="9"/>
  <c r="T1547" i="9"/>
  <c r="Q1547" i="9"/>
  <c r="M1547" i="9"/>
  <c r="K1547" i="9"/>
  <c r="H1547" i="9"/>
  <c r="H1547" i="9" a="1"/>
  <c r="D1547" i="9"/>
  <c r="T1546" i="9"/>
  <c r="Q1546" i="9"/>
  <c r="M1546" i="9"/>
  <c r="K1546" i="9"/>
  <c r="H1546" i="9"/>
  <c r="H1546" i="9" a="1"/>
  <c r="D1546" i="9"/>
  <c r="T1545" i="9"/>
  <c r="Q1545" i="9"/>
  <c r="M1545" i="9"/>
  <c r="K1545" i="9"/>
  <c r="H1545" i="9"/>
  <c r="H1545" i="9" a="1"/>
  <c r="D1545" i="9"/>
  <c r="T1544" i="9"/>
  <c r="Q1544" i="9"/>
  <c r="M1544" i="9"/>
  <c r="K1544" i="9"/>
  <c r="H1544" i="9"/>
  <c r="H1544" i="9" a="1"/>
  <c r="D1544" i="9"/>
  <c r="T1543" i="9"/>
  <c r="Q1543" i="9"/>
  <c r="M1543" i="9"/>
  <c r="K1543" i="9"/>
  <c r="H1543" i="9"/>
  <c r="H1543" i="9" a="1"/>
  <c r="D1543" i="9"/>
  <c r="T1542" i="9"/>
  <c r="Q1542" i="9"/>
  <c r="M1542" i="9"/>
  <c r="K1542" i="9"/>
  <c r="H1542" i="9"/>
  <c r="H1542" i="9" a="1"/>
  <c r="D1542" i="9"/>
  <c r="T1541" i="9"/>
  <c r="Q1541" i="9"/>
  <c r="M1541" i="9"/>
  <c r="K1541" i="9"/>
  <c r="H1541" i="9"/>
  <c r="H1541" i="9" a="1"/>
  <c r="D1541" i="9"/>
  <c r="T1540" i="9"/>
  <c r="Q1540" i="9"/>
  <c r="M1540" i="9"/>
  <c r="K1540" i="9"/>
  <c r="H1540" i="9"/>
  <c r="H1540" i="9" a="1"/>
  <c r="D1540" i="9"/>
  <c r="T1539" i="9"/>
  <c r="Q1539" i="9"/>
  <c r="M1539" i="9"/>
  <c r="K1539" i="9"/>
  <c r="H1539" i="9"/>
  <c r="H1539" i="9" a="1"/>
  <c r="D1539" i="9"/>
  <c r="T1538" i="9"/>
  <c r="Q1538" i="9"/>
  <c r="M1538" i="9"/>
  <c r="K1538" i="9"/>
  <c r="H1538" i="9"/>
  <c r="H1538" i="9" a="1"/>
  <c r="D1538" i="9"/>
  <c r="T1537" i="9"/>
  <c r="Q1537" i="9"/>
  <c r="M1537" i="9"/>
  <c r="K1537" i="9"/>
  <c r="H1537" i="9"/>
  <c r="H1537" i="9" a="1"/>
  <c r="D1537" i="9"/>
  <c r="T1536" i="9"/>
  <c r="Q1536" i="9"/>
  <c r="M1536" i="9"/>
  <c r="K1536" i="9"/>
  <c r="H1536" i="9"/>
  <c r="H1536" i="9" a="1"/>
  <c r="D1536" i="9"/>
  <c r="T1535" i="9"/>
  <c r="Q1535" i="9"/>
  <c r="M1535" i="9"/>
  <c r="K1535" i="9"/>
  <c r="H1535" i="9"/>
  <c r="H1535" i="9" a="1"/>
  <c r="D1535" i="9"/>
  <c r="T1534" i="9"/>
  <c r="Q1534" i="9"/>
  <c r="M1534" i="9"/>
  <c r="K1534" i="9"/>
  <c r="H1534" i="9"/>
  <c r="H1534" i="9" a="1"/>
  <c r="D1534" i="9"/>
  <c r="T1533" i="9"/>
  <c r="Q1533" i="9"/>
  <c r="M1533" i="9"/>
  <c r="K1533" i="9"/>
  <c r="H1533" i="9"/>
  <c r="H1533" i="9" a="1"/>
  <c r="D1533" i="9"/>
  <c r="T1532" i="9"/>
  <c r="Q1532" i="9"/>
  <c r="M1532" i="9"/>
  <c r="K1532" i="9"/>
  <c r="H1532" i="9"/>
  <c r="H1532" i="9" a="1"/>
  <c r="D1532" i="9"/>
  <c r="T1531" i="9"/>
  <c r="Q1531" i="9"/>
  <c r="M1531" i="9"/>
  <c r="K1531" i="9"/>
  <c r="H1531" i="9"/>
  <c r="H1531" i="9" a="1"/>
  <c r="D1531" i="9"/>
  <c r="T1530" i="9"/>
  <c r="Q1530" i="9"/>
  <c r="M1530" i="9"/>
  <c r="K1530" i="9"/>
  <c r="H1530" i="9"/>
  <c r="H1530" i="9" a="1"/>
  <c r="D1530" i="9"/>
  <c r="T1529" i="9"/>
  <c r="Q1529" i="9"/>
  <c r="M1529" i="9"/>
  <c r="K1529" i="9"/>
  <c r="H1529" i="9"/>
  <c r="H1529" i="9" a="1"/>
  <c r="D1529" i="9"/>
  <c r="T1528" i="9"/>
  <c r="Q1528" i="9"/>
  <c r="M1528" i="9"/>
  <c r="K1528" i="9"/>
  <c r="H1528" i="9"/>
  <c r="H1528" i="9" a="1"/>
  <c r="D1528" i="9"/>
  <c r="T1527" i="9"/>
  <c r="Q1527" i="9"/>
  <c r="M1527" i="9"/>
  <c r="K1527" i="9"/>
  <c r="H1527" i="9"/>
  <c r="H1527" i="9" a="1"/>
  <c r="D1527" i="9"/>
  <c r="T1526" i="9"/>
  <c r="Q1526" i="9"/>
  <c r="M1526" i="9"/>
  <c r="K1526" i="9"/>
  <c r="H1526" i="9"/>
  <c r="H1526" i="9" a="1"/>
  <c r="D1526" i="9"/>
  <c r="T1525" i="9"/>
  <c r="Q1525" i="9"/>
  <c r="M1525" i="9"/>
  <c r="K1525" i="9"/>
  <c r="H1525" i="9"/>
  <c r="H1525" i="9" a="1"/>
  <c r="D1525" i="9"/>
  <c r="T1524" i="9"/>
  <c r="Q1524" i="9"/>
  <c r="M1524" i="9"/>
  <c r="K1524" i="9"/>
  <c r="H1524" i="9"/>
  <c r="H1524" i="9" a="1"/>
  <c r="D1524" i="9"/>
  <c r="T1523" i="9"/>
  <c r="Q1523" i="9"/>
  <c r="M1523" i="9"/>
  <c r="K1523" i="9"/>
  <c r="H1523" i="9"/>
  <c r="H1523" i="9" a="1"/>
  <c r="D1523" i="9"/>
  <c r="T1522" i="9"/>
  <c r="Q1522" i="9"/>
  <c r="M1522" i="9"/>
  <c r="K1522" i="9"/>
  <c r="H1522" i="9"/>
  <c r="H1522" i="9" a="1"/>
  <c r="D1522" i="9"/>
  <c r="T1521" i="9"/>
  <c r="Q1521" i="9"/>
  <c r="M1521" i="9"/>
  <c r="K1521" i="9"/>
  <c r="H1521" i="9"/>
  <c r="H1521" i="9" a="1"/>
  <c r="D1521" i="9"/>
  <c r="T1520" i="9"/>
  <c r="Q1520" i="9"/>
  <c r="M1520" i="9"/>
  <c r="K1520" i="9"/>
  <c r="H1520" i="9"/>
  <c r="H1520" i="9" a="1"/>
  <c r="D1520" i="9"/>
  <c r="T1519" i="9"/>
  <c r="Q1519" i="9"/>
  <c r="M1519" i="9"/>
  <c r="K1519" i="9"/>
  <c r="H1519" i="9"/>
  <c r="H1519" i="9" a="1"/>
  <c r="D1519" i="9"/>
  <c r="T1518" i="9"/>
  <c r="Q1518" i="9"/>
  <c r="M1518" i="9"/>
  <c r="K1518" i="9"/>
  <c r="H1518" i="9"/>
  <c r="H1518" i="9" a="1"/>
  <c r="D1518" i="9"/>
  <c r="T1517" i="9"/>
  <c r="Q1517" i="9"/>
  <c r="M1517" i="9"/>
  <c r="K1517" i="9"/>
  <c r="H1517" i="9"/>
  <c r="H1517" i="9" a="1"/>
  <c r="D1517" i="9"/>
  <c r="T1516" i="9"/>
  <c r="Q1516" i="9"/>
  <c r="M1516" i="9"/>
  <c r="K1516" i="9"/>
  <c r="H1516" i="9"/>
  <c r="H1516" i="9" a="1"/>
  <c r="D1516" i="9"/>
  <c r="T1515" i="9"/>
  <c r="Q1515" i="9"/>
  <c r="M1515" i="9"/>
  <c r="K1515" i="9"/>
  <c r="H1515" i="9"/>
  <c r="H1515" i="9" a="1"/>
  <c r="D1515" i="9"/>
  <c r="T1514" i="9"/>
  <c r="Q1514" i="9"/>
  <c r="M1514" i="9"/>
  <c r="K1514" i="9"/>
  <c r="H1514" i="9"/>
  <c r="H1514" i="9" a="1"/>
  <c r="D1514" i="9"/>
  <c r="T1513" i="9"/>
  <c r="Q1513" i="9"/>
  <c r="M1513" i="9"/>
  <c r="K1513" i="9"/>
  <c r="H1513" i="9"/>
  <c r="H1513" i="9" a="1"/>
  <c r="D1513" i="9"/>
  <c r="T1512" i="9"/>
  <c r="Q1512" i="9"/>
  <c r="M1512" i="9"/>
  <c r="K1512" i="9"/>
  <c r="H1512" i="9"/>
  <c r="H1512" i="9" a="1"/>
  <c r="D1512" i="9"/>
  <c r="T1511" i="9"/>
  <c r="Q1511" i="9"/>
  <c r="M1511" i="9"/>
  <c r="K1511" i="9"/>
  <c r="H1511" i="9"/>
  <c r="H1511" i="9" a="1"/>
  <c r="D1511" i="9"/>
  <c r="T1510" i="9"/>
  <c r="Q1510" i="9"/>
  <c r="M1510" i="9"/>
  <c r="K1510" i="9"/>
  <c r="H1510" i="9"/>
  <c r="H1510" i="9" a="1"/>
  <c r="D1510" i="9"/>
  <c r="T1509" i="9"/>
  <c r="Q1509" i="9"/>
  <c r="M1509" i="9"/>
  <c r="K1509" i="9"/>
  <c r="H1509" i="9"/>
  <c r="H1509" i="9" a="1"/>
  <c r="D1509" i="9"/>
  <c r="T1508" i="9"/>
  <c r="Q1508" i="9"/>
  <c r="M1508" i="9"/>
  <c r="K1508" i="9"/>
  <c r="H1508" i="9"/>
  <c r="H1508" i="9" a="1"/>
  <c r="D1508" i="9"/>
  <c r="T1507" i="9"/>
  <c r="Q1507" i="9"/>
  <c r="M1507" i="9"/>
  <c r="K1507" i="9"/>
  <c r="H1507" i="9"/>
  <c r="H1507" i="9" a="1"/>
  <c r="D1507" i="9"/>
  <c r="T1506" i="9"/>
  <c r="Q1506" i="9"/>
  <c r="M1506" i="9"/>
  <c r="K1506" i="9"/>
  <c r="H1506" i="9"/>
  <c r="H1506" i="9" a="1"/>
  <c r="D1506" i="9"/>
  <c r="T1505" i="9"/>
  <c r="Q1505" i="9"/>
  <c r="M1505" i="9"/>
  <c r="K1505" i="9"/>
  <c r="H1505" i="9"/>
  <c r="H1505" i="9" a="1"/>
  <c r="D1505" i="9"/>
  <c r="T1504" i="9"/>
  <c r="Q1504" i="9"/>
  <c r="M1504" i="9"/>
  <c r="K1504" i="9"/>
  <c r="H1504" i="9"/>
  <c r="H1504" i="9" a="1"/>
  <c r="D1504" i="9"/>
  <c r="T1503" i="9"/>
  <c r="Q1503" i="9"/>
  <c r="M1503" i="9"/>
  <c r="K1503" i="9"/>
  <c r="H1503" i="9"/>
  <c r="H1503" i="9" a="1"/>
  <c r="D1503" i="9"/>
  <c r="T1502" i="9"/>
  <c r="Q1502" i="9"/>
  <c r="M1502" i="9"/>
  <c r="K1502" i="9"/>
  <c r="H1502" i="9"/>
  <c r="H1502" i="9" a="1"/>
  <c r="D1502" i="9"/>
  <c r="T1501" i="9"/>
  <c r="Q1501" i="9"/>
  <c r="M1501" i="9"/>
  <c r="K1501" i="9"/>
  <c r="H1501" i="9"/>
  <c r="H1501" i="9" a="1"/>
  <c r="D1501" i="9"/>
  <c r="T1500" i="9"/>
  <c r="Q1500" i="9"/>
  <c r="M1500" i="9"/>
  <c r="K1500" i="9"/>
  <c r="H1500" i="9"/>
  <c r="H1500" i="9" a="1"/>
  <c r="D1500" i="9"/>
  <c r="T1499" i="9"/>
  <c r="Q1499" i="9"/>
  <c r="M1499" i="9"/>
  <c r="K1499" i="9"/>
  <c r="H1499" i="9"/>
  <c r="H1499" i="9" a="1"/>
  <c r="D1499" i="9"/>
  <c r="T1498" i="9"/>
  <c r="Q1498" i="9"/>
  <c r="M1498" i="9"/>
  <c r="K1498" i="9"/>
  <c r="H1498" i="9"/>
  <c r="H1498" i="9" a="1"/>
  <c r="D1498" i="9"/>
  <c r="T1497" i="9"/>
  <c r="Q1497" i="9"/>
  <c r="M1497" i="9"/>
  <c r="K1497" i="9"/>
  <c r="H1497" i="9"/>
  <c r="H1497" i="9" a="1"/>
  <c r="D1497" i="9"/>
  <c r="T1496" i="9"/>
  <c r="Q1496" i="9"/>
  <c r="M1496" i="9"/>
  <c r="K1496" i="9"/>
  <c r="H1496" i="9"/>
  <c r="H1496" i="9" a="1"/>
  <c r="D1496" i="9"/>
  <c r="T1495" i="9"/>
  <c r="Q1495" i="9"/>
  <c r="M1495" i="9"/>
  <c r="K1495" i="9"/>
  <c r="H1495" i="9"/>
  <c r="H1495" i="9" a="1"/>
  <c r="D1495" i="9"/>
  <c r="T1494" i="9"/>
  <c r="Q1494" i="9"/>
  <c r="M1494" i="9"/>
  <c r="K1494" i="9"/>
  <c r="H1494" i="9"/>
  <c r="H1494" i="9" a="1"/>
  <c r="D1494" i="9"/>
  <c r="T1493" i="9"/>
  <c r="Q1493" i="9"/>
  <c r="M1493" i="9"/>
  <c r="K1493" i="9"/>
  <c r="H1493" i="9"/>
  <c r="H1493" i="9" a="1"/>
  <c r="D1493" i="9"/>
  <c r="T1492" i="9"/>
  <c r="Q1492" i="9"/>
  <c r="M1492" i="9"/>
  <c r="K1492" i="9"/>
  <c r="H1492" i="9"/>
  <c r="H1492" i="9" a="1"/>
  <c r="D1492" i="9"/>
  <c r="T1491" i="9"/>
  <c r="Q1491" i="9"/>
  <c r="M1491" i="9"/>
  <c r="K1491" i="9"/>
  <c r="H1491" i="9"/>
  <c r="H1491" i="9" a="1"/>
  <c r="D1491" i="9"/>
  <c r="T1490" i="9"/>
  <c r="Q1490" i="9"/>
  <c r="M1490" i="9"/>
  <c r="K1490" i="9"/>
  <c r="H1490" i="9"/>
  <c r="H1490" i="9" a="1"/>
  <c r="D1490" i="9"/>
  <c r="T1489" i="9"/>
  <c r="Q1489" i="9"/>
  <c r="M1489" i="9"/>
  <c r="K1489" i="9"/>
  <c r="H1489" i="9"/>
  <c r="H1489" i="9" a="1"/>
  <c r="D1489" i="9"/>
  <c r="T1488" i="9"/>
  <c r="Q1488" i="9"/>
  <c r="M1488" i="9"/>
  <c r="K1488" i="9"/>
  <c r="H1488" i="9"/>
  <c r="H1488" i="9" a="1"/>
  <c r="D1488" i="9"/>
  <c r="T1487" i="9"/>
  <c r="Q1487" i="9"/>
  <c r="M1487" i="9"/>
  <c r="K1487" i="9"/>
  <c r="H1487" i="9"/>
  <c r="H1487" i="9" a="1"/>
  <c r="D1487" i="9"/>
  <c r="T1486" i="9"/>
  <c r="Q1486" i="9"/>
  <c r="M1486" i="9"/>
  <c r="K1486" i="9"/>
  <c r="H1486" i="9"/>
  <c r="H1486" i="9" a="1"/>
  <c r="D1486" i="9"/>
  <c r="T1485" i="9"/>
  <c r="Q1485" i="9"/>
  <c r="M1485" i="9"/>
  <c r="K1485" i="9"/>
  <c r="H1485" i="9"/>
  <c r="H1485" i="9" a="1"/>
  <c r="D1485" i="9"/>
  <c r="T1484" i="9"/>
  <c r="Q1484" i="9"/>
  <c r="M1484" i="9"/>
  <c r="K1484" i="9"/>
  <c r="H1484" i="9"/>
  <c r="H1484" i="9" a="1"/>
  <c r="D1484" i="9"/>
  <c r="T1483" i="9"/>
  <c r="Q1483" i="9"/>
  <c r="M1483" i="9"/>
  <c r="K1483" i="9"/>
  <c r="H1483" i="9"/>
  <c r="H1483" i="9" a="1"/>
  <c r="D1483" i="9"/>
  <c r="T1482" i="9"/>
  <c r="Q1482" i="9"/>
  <c r="M1482" i="9"/>
  <c r="K1482" i="9"/>
  <c r="H1482" i="9"/>
  <c r="H1482" i="9" a="1"/>
  <c r="D1482" i="9"/>
  <c r="T1481" i="9"/>
  <c r="Q1481" i="9"/>
  <c r="M1481" i="9"/>
  <c r="K1481" i="9"/>
  <c r="H1481" i="9"/>
  <c r="H1481" i="9" a="1"/>
  <c r="D1481" i="9"/>
  <c r="T1480" i="9"/>
  <c r="Q1480" i="9"/>
  <c r="M1480" i="9"/>
  <c r="K1480" i="9"/>
  <c r="H1480" i="9"/>
  <c r="H1480" i="9" a="1"/>
  <c r="D1480" i="9"/>
  <c r="T1479" i="9"/>
  <c r="Q1479" i="9"/>
  <c r="M1479" i="9"/>
  <c r="K1479" i="9"/>
  <c r="H1479" i="9"/>
  <c r="H1479" i="9" a="1"/>
  <c r="D1479" i="9"/>
  <c r="T1478" i="9"/>
  <c r="Q1478" i="9"/>
  <c r="M1478" i="9"/>
  <c r="K1478" i="9"/>
  <c r="H1478" i="9"/>
  <c r="H1478" i="9" a="1"/>
  <c r="D1478" i="9"/>
  <c r="T1477" i="9"/>
  <c r="Q1477" i="9"/>
  <c r="M1477" i="9"/>
  <c r="K1477" i="9"/>
  <c r="H1477" i="9"/>
  <c r="H1477" i="9" a="1"/>
  <c r="D1477" i="9"/>
  <c r="T1476" i="9"/>
  <c r="Q1476" i="9"/>
  <c r="M1476" i="9"/>
  <c r="K1476" i="9"/>
  <c r="H1476" i="9"/>
  <c r="H1476" i="9" a="1"/>
  <c r="D1476" i="9"/>
  <c r="T1475" i="9"/>
  <c r="Q1475" i="9"/>
  <c r="M1475" i="9"/>
  <c r="K1475" i="9"/>
  <c r="H1475" i="9"/>
  <c r="H1475" i="9" a="1"/>
  <c r="D1475" i="9"/>
  <c r="T1474" i="9"/>
  <c r="Q1474" i="9"/>
  <c r="M1474" i="9"/>
  <c r="K1474" i="9"/>
  <c r="H1474" i="9"/>
  <c r="H1474" i="9" a="1"/>
  <c r="D1474" i="9"/>
  <c r="T1473" i="9"/>
  <c r="Q1473" i="9"/>
  <c r="M1473" i="9"/>
  <c r="K1473" i="9"/>
  <c r="H1473" i="9"/>
  <c r="H1473" i="9" a="1"/>
  <c r="D1473" i="9"/>
  <c r="T1472" i="9"/>
  <c r="Q1472" i="9"/>
  <c r="M1472" i="9"/>
  <c r="K1472" i="9"/>
  <c r="H1472" i="9"/>
  <c r="H1472" i="9" a="1"/>
  <c r="D1472" i="9"/>
  <c r="T1471" i="9"/>
  <c r="Q1471" i="9"/>
  <c r="M1471" i="9"/>
  <c r="K1471" i="9"/>
  <c r="H1471" i="9"/>
  <c r="H1471" i="9" a="1"/>
  <c r="D1471" i="9"/>
  <c r="T1470" i="9"/>
  <c r="Q1470" i="9"/>
  <c r="M1470" i="9"/>
  <c r="K1470" i="9"/>
  <c r="H1470" i="9"/>
  <c r="H1470" i="9" a="1"/>
  <c r="D1470" i="9"/>
  <c r="T1469" i="9"/>
  <c r="Q1469" i="9"/>
  <c r="M1469" i="9"/>
  <c r="K1469" i="9"/>
  <c r="H1469" i="9"/>
  <c r="H1469" i="9" a="1"/>
  <c r="D1469" i="9"/>
  <c r="T1468" i="9"/>
  <c r="Q1468" i="9"/>
  <c r="M1468" i="9"/>
  <c r="K1468" i="9"/>
  <c r="H1468" i="9"/>
  <c r="H1468" i="9" a="1"/>
  <c r="D1468" i="9"/>
  <c r="T1467" i="9"/>
  <c r="Q1467" i="9"/>
  <c r="M1467" i="9"/>
  <c r="K1467" i="9"/>
  <c r="H1467" i="9"/>
  <c r="H1467" i="9" a="1"/>
  <c r="D1467" i="9"/>
  <c r="T1466" i="9"/>
  <c r="Q1466" i="9"/>
  <c r="M1466" i="9"/>
  <c r="K1466" i="9"/>
  <c r="H1466" i="9"/>
  <c r="H1466" i="9" a="1"/>
  <c r="D1466" i="9"/>
  <c r="T1465" i="9"/>
  <c r="Q1465" i="9"/>
  <c r="M1465" i="9"/>
  <c r="K1465" i="9"/>
  <c r="H1465" i="9"/>
  <c r="H1465" i="9" a="1"/>
  <c r="D1465" i="9"/>
  <c r="T1464" i="9"/>
  <c r="Q1464" i="9"/>
  <c r="M1464" i="9"/>
  <c r="K1464" i="9"/>
  <c r="H1464" i="9"/>
  <c r="H1464" i="9" a="1"/>
  <c r="D1464" i="9"/>
  <c r="T1463" i="9"/>
  <c r="Q1463" i="9"/>
  <c r="M1463" i="9"/>
  <c r="K1463" i="9"/>
  <c r="H1463" i="9"/>
  <c r="H1463" i="9" a="1"/>
  <c r="D1463" i="9"/>
  <c r="T1462" i="9"/>
  <c r="Q1462" i="9"/>
  <c r="M1462" i="9"/>
  <c r="K1462" i="9"/>
  <c r="H1462" i="9"/>
  <c r="H1462" i="9" a="1"/>
  <c r="D1462" i="9"/>
  <c r="T1461" i="9"/>
  <c r="Q1461" i="9"/>
  <c r="M1461" i="9"/>
  <c r="K1461" i="9"/>
  <c r="H1461" i="9"/>
  <c r="H1461" i="9" a="1"/>
  <c r="D1461" i="9"/>
  <c r="T1460" i="9"/>
  <c r="Q1460" i="9"/>
  <c r="M1460" i="9"/>
  <c r="K1460" i="9"/>
  <c r="H1460" i="9"/>
  <c r="H1460" i="9" a="1"/>
  <c r="D1460" i="9"/>
  <c r="T1459" i="9"/>
  <c r="Q1459" i="9"/>
  <c r="M1459" i="9"/>
  <c r="K1459" i="9"/>
  <c r="H1459" i="9"/>
  <c r="H1459" i="9" a="1"/>
  <c r="D1459" i="9"/>
  <c r="T1458" i="9"/>
  <c r="Q1458" i="9"/>
  <c r="M1458" i="9"/>
  <c r="K1458" i="9"/>
  <c r="H1458" i="9"/>
  <c r="H1458" i="9" a="1"/>
  <c r="D1458" i="9"/>
  <c r="T1457" i="9"/>
  <c r="Q1457" i="9"/>
  <c r="M1457" i="9"/>
  <c r="K1457" i="9"/>
  <c r="H1457" i="9"/>
  <c r="H1457" i="9" a="1"/>
  <c r="D1457" i="9"/>
  <c r="T1456" i="9"/>
  <c r="Q1456" i="9"/>
  <c r="M1456" i="9"/>
  <c r="K1456" i="9"/>
  <c r="H1456" i="9"/>
  <c r="H1456" i="9" a="1"/>
  <c r="D1456" i="9"/>
  <c r="T1455" i="9"/>
  <c r="Q1455" i="9"/>
  <c r="M1455" i="9"/>
  <c r="K1455" i="9"/>
  <c r="H1455" i="9"/>
  <c r="H1455" i="9" a="1"/>
  <c r="D1455" i="9"/>
  <c r="T1454" i="9"/>
  <c r="Q1454" i="9"/>
  <c r="M1454" i="9"/>
  <c r="K1454" i="9"/>
  <c r="H1454" i="9"/>
  <c r="H1454" i="9" a="1"/>
  <c r="D1454" i="9"/>
  <c r="T1453" i="9"/>
  <c r="Q1453" i="9"/>
  <c r="M1453" i="9"/>
  <c r="K1453" i="9"/>
  <c r="H1453" i="9"/>
  <c r="H1453" i="9" a="1"/>
  <c r="D1453" i="9"/>
  <c r="T1452" i="9"/>
  <c r="Q1452" i="9"/>
  <c r="M1452" i="9"/>
  <c r="K1452" i="9"/>
  <c r="H1452" i="9"/>
  <c r="H1452" i="9" a="1"/>
  <c r="D1452" i="9"/>
  <c r="T1451" i="9"/>
  <c r="Q1451" i="9"/>
  <c r="M1451" i="9"/>
  <c r="K1451" i="9"/>
  <c r="H1451" i="9"/>
  <c r="H1451" i="9" a="1"/>
  <c r="D1451" i="9"/>
  <c r="T1450" i="9"/>
  <c r="Q1450" i="9"/>
  <c r="M1450" i="9"/>
  <c r="K1450" i="9"/>
  <c r="H1450" i="9"/>
  <c r="H1450" i="9" a="1"/>
  <c r="D1450" i="9"/>
  <c r="T1449" i="9"/>
  <c r="Q1449" i="9"/>
  <c r="M1449" i="9"/>
  <c r="K1449" i="9"/>
  <c r="H1449" i="9"/>
  <c r="H1449" i="9" a="1"/>
  <c r="D1449" i="9"/>
  <c r="T1448" i="9"/>
  <c r="Q1448" i="9"/>
  <c r="M1448" i="9"/>
  <c r="K1448" i="9"/>
  <c r="H1448" i="9"/>
  <c r="H1448" i="9" a="1"/>
  <c r="D1448" i="9"/>
  <c r="T1447" i="9"/>
  <c r="Q1447" i="9"/>
  <c r="M1447" i="9"/>
  <c r="K1447" i="9"/>
  <c r="H1447" i="9"/>
  <c r="H1447" i="9" a="1"/>
  <c r="D1447" i="9"/>
  <c r="T1446" i="9"/>
  <c r="Q1446" i="9"/>
  <c r="M1446" i="9"/>
  <c r="K1446" i="9"/>
  <c r="H1446" i="9"/>
  <c r="H1446" i="9" a="1"/>
  <c r="D1446" i="9"/>
  <c r="T1445" i="9"/>
  <c r="Q1445" i="9"/>
  <c r="M1445" i="9"/>
  <c r="K1445" i="9"/>
  <c r="H1445" i="9"/>
  <c r="H1445" i="9" a="1"/>
  <c r="D1445" i="9"/>
  <c r="T1444" i="9"/>
  <c r="Q1444" i="9"/>
  <c r="M1444" i="9"/>
  <c r="K1444" i="9"/>
  <c r="H1444" i="9"/>
  <c r="H1444" i="9" a="1"/>
  <c r="D1444" i="9"/>
  <c r="T1443" i="9"/>
  <c r="Q1443" i="9"/>
  <c r="M1443" i="9"/>
  <c r="K1443" i="9"/>
  <c r="H1443" i="9"/>
  <c r="H1443" i="9" a="1"/>
  <c r="D1443" i="9"/>
  <c r="T1442" i="9"/>
  <c r="Q1442" i="9"/>
  <c r="M1442" i="9"/>
  <c r="K1442" i="9"/>
  <c r="H1442" i="9"/>
  <c r="H1442" i="9" a="1"/>
  <c r="D1442" i="9"/>
  <c r="T1441" i="9"/>
  <c r="Q1441" i="9"/>
  <c r="M1441" i="9"/>
  <c r="K1441" i="9"/>
  <c r="H1441" i="9"/>
  <c r="H1441" i="9" a="1"/>
  <c r="D1441" i="9"/>
  <c r="T1440" i="9"/>
  <c r="Q1440" i="9"/>
  <c r="M1440" i="9"/>
  <c r="K1440" i="9"/>
  <c r="H1440" i="9"/>
  <c r="H1440" i="9" a="1"/>
  <c r="D1440" i="9"/>
  <c r="T1439" i="9"/>
  <c r="Q1439" i="9"/>
  <c r="M1439" i="9"/>
  <c r="K1439" i="9"/>
  <c r="H1439" i="9"/>
  <c r="H1439" i="9" a="1"/>
  <c r="D1439" i="9"/>
  <c r="T1438" i="9"/>
  <c r="Q1438" i="9"/>
  <c r="M1438" i="9"/>
  <c r="K1438" i="9"/>
  <c r="H1438" i="9"/>
  <c r="H1438" i="9" a="1"/>
  <c r="D1438" i="9"/>
  <c r="T1437" i="9"/>
  <c r="Q1437" i="9"/>
  <c r="M1437" i="9"/>
  <c r="K1437" i="9"/>
  <c r="H1437" i="9"/>
  <c r="H1437" i="9" a="1"/>
  <c r="D1437" i="9"/>
  <c r="T1436" i="9"/>
  <c r="Q1436" i="9"/>
  <c r="M1436" i="9"/>
  <c r="K1436" i="9"/>
  <c r="H1436" i="9"/>
  <c r="H1436" i="9" a="1"/>
  <c r="D1436" i="9"/>
  <c r="T1435" i="9"/>
  <c r="Q1435" i="9"/>
  <c r="M1435" i="9"/>
  <c r="K1435" i="9"/>
  <c r="H1435" i="9"/>
  <c r="H1435" i="9" a="1"/>
  <c r="D1435" i="9"/>
  <c r="T1434" i="9"/>
  <c r="Q1434" i="9"/>
  <c r="M1434" i="9"/>
  <c r="K1434" i="9"/>
  <c r="H1434" i="9"/>
  <c r="H1434" i="9" a="1"/>
  <c r="D1434" i="9"/>
  <c r="T1433" i="9"/>
  <c r="Q1433" i="9"/>
  <c r="M1433" i="9"/>
  <c r="K1433" i="9"/>
  <c r="H1433" i="9"/>
  <c r="H1433" i="9" a="1"/>
  <c r="D1433" i="9"/>
  <c r="T1432" i="9"/>
  <c r="Q1432" i="9"/>
  <c r="M1432" i="9"/>
  <c r="K1432" i="9"/>
  <c r="H1432" i="9"/>
  <c r="H1432" i="9" a="1"/>
  <c r="D1432" i="9"/>
  <c r="T1431" i="9"/>
  <c r="Q1431" i="9"/>
  <c r="M1431" i="9"/>
  <c r="K1431" i="9"/>
  <c r="H1431" i="9"/>
  <c r="H1431" i="9" a="1"/>
  <c r="D1431" i="9"/>
  <c r="T1430" i="9"/>
  <c r="Q1430" i="9"/>
  <c r="M1430" i="9"/>
  <c r="K1430" i="9"/>
  <c r="H1430" i="9"/>
  <c r="H1430" i="9" a="1"/>
  <c r="D1430" i="9"/>
  <c r="T1429" i="9"/>
  <c r="Q1429" i="9"/>
  <c r="M1429" i="9"/>
  <c r="K1429" i="9"/>
  <c r="H1429" i="9"/>
  <c r="H1429" i="9" a="1"/>
  <c r="D1429" i="9"/>
  <c r="T1428" i="9"/>
  <c r="Q1428" i="9"/>
  <c r="M1428" i="9"/>
  <c r="K1428" i="9"/>
  <c r="H1428" i="9"/>
  <c r="H1428" i="9" a="1"/>
  <c r="D1428" i="9"/>
  <c r="T1427" i="9"/>
  <c r="Q1427" i="9"/>
  <c r="M1427" i="9"/>
  <c r="K1427" i="9"/>
  <c r="H1427" i="9"/>
  <c r="H1427" i="9" a="1"/>
  <c r="D1427" i="9"/>
  <c r="T1426" i="9"/>
  <c r="Q1426" i="9"/>
  <c r="M1426" i="9"/>
  <c r="K1426" i="9"/>
  <c r="H1426" i="9"/>
  <c r="H1426" i="9" a="1"/>
  <c r="D1426" i="9"/>
  <c r="T1425" i="9"/>
  <c r="Q1425" i="9"/>
  <c r="M1425" i="9"/>
  <c r="K1425" i="9"/>
  <c r="H1425" i="9"/>
  <c r="H1425" i="9" a="1"/>
  <c r="D1425" i="9"/>
  <c r="T1424" i="9"/>
  <c r="Q1424" i="9"/>
  <c r="M1424" i="9"/>
  <c r="K1424" i="9"/>
  <c r="H1424" i="9"/>
  <c r="H1424" i="9" a="1"/>
  <c r="D1424" i="9"/>
  <c r="T1423" i="9"/>
  <c r="Q1423" i="9"/>
  <c r="M1423" i="9"/>
  <c r="K1423" i="9"/>
  <c r="H1423" i="9"/>
  <c r="H1423" i="9" a="1"/>
  <c r="D1423" i="9"/>
  <c r="T1422" i="9"/>
  <c r="Q1422" i="9"/>
  <c r="M1422" i="9"/>
  <c r="K1422" i="9"/>
  <c r="H1422" i="9"/>
  <c r="H1422" i="9" a="1"/>
  <c r="D1422" i="9"/>
  <c r="T1421" i="9"/>
  <c r="Q1421" i="9"/>
  <c r="M1421" i="9"/>
  <c r="K1421" i="9"/>
  <c r="H1421" i="9"/>
  <c r="H1421" i="9" a="1"/>
  <c r="D1421" i="9"/>
  <c r="T1420" i="9"/>
  <c r="Q1420" i="9"/>
  <c r="M1420" i="9"/>
  <c r="K1420" i="9"/>
  <c r="H1420" i="9"/>
  <c r="H1420" i="9" a="1"/>
  <c r="D1420" i="9"/>
  <c r="T1419" i="9"/>
  <c r="Q1419" i="9"/>
  <c r="M1419" i="9"/>
  <c r="K1419" i="9"/>
  <c r="H1419" i="9"/>
  <c r="H1419" i="9" a="1"/>
  <c r="D1419" i="9"/>
  <c r="T1418" i="9"/>
  <c r="Q1418" i="9"/>
  <c r="M1418" i="9"/>
  <c r="K1418" i="9"/>
  <c r="H1418" i="9"/>
  <c r="H1418" i="9" a="1"/>
  <c r="D1418" i="9"/>
  <c r="T1417" i="9"/>
  <c r="Q1417" i="9"/>
  <c r="M1417" i="9"/>
  <c r="K1417" i="9"/>
  <c r="H1417" i="9"/>
  <c r="H1417" i="9" a="1"/>
  <c r="D1417" i="9"/>
  <c r="T1416" i="9"/>
  <c r="Q1416" i="9"/>
  <c r="M1416" i="9"/>
  <c r="K1416" i="9"/>
  <c r="H1416" i="9"/>
  <c r="H1416" i="9" a="1"/>
  <c r="D1416" i="9"/>
  <c r="T1415" i="9"/>
  <c r="Q1415" i="9"/>
  <c r="M1415" i="9"/>
  <c r="K1415" i="9"/>
  <c r="H1415" i="9"/>
  <c r="H1415" i="9" a="1"/>
  <c r="D1415" i="9"/>
  <c r="T1414" i="9"/>
  <c r="Q1414" i="9"/>
  <c r="M1414" i="9"/>
  <c r="K1414" i="9"/>
  <c r="H1414" i="9"/>
  <c r="H1414" i="9" a="1"/>
  <c r="D1414" i="9"/>
  <c r="T1413" i="9"/>
  <c r="Q1413" i="9"/>
  <c r="M1413" i="9"/>
  <c r="K1413" i="9"/>
  <c r="H1413" i="9"/>
  <c r="H1413" i="9" a="1"/>
  <c r="D1413" i="9"/>
  <c r="T1412" i="9"/>
  <c r="Q1412" i="9"/>
  <c r="M1412" i="9"/>
  <c r="K1412" i="9"/>
  <c r="H1412" i="9"/>
  <c r="H1412" i="9" a="1"/>
  <c r="D1412" i="9"/>
  <c r="T1411" i="9"/>
  <c r="Q1411" i="9"/>
  <c r="M1411" i="9"/>
  <c r="K1411" i="9"/>
  <c r="H1411" i="9"/>
  <c r="H1411" i="9" a="1"/>
  <c r="D1411" i="9"/>
  <c r="T1410" i="9"/>
  <c r="Q1410" i="9"/>
  <c r="M1410" i="9"/>
  <c r="K1410" i="9"/>
  <c r="H1410" i="9"/>
  <c r="H1410" i="9" a="1"/>
  <c r="D1410" i="9"/>
  <c r="T1409" i="9"/>
  <c r="Q1409" i="9"/>
  <c r="M1409" i="9"/>
  <c r="K1409" i="9"/>
  <c r="H1409" i="9"/>
  <c r="H1409" i="9" a="1"/>
  <c r="D1409" i="9"/>
  <c r="T1408" i="9"/>
  <c r="Q1408" i="9"/>
  <c r="M1408" i="9"/>
  <c r="K1408" i="9"/>
  <c r="H1408" i="9"/>
  <c r="H1408" i="9" a="1"/>
  <c r="D1408" i="9"/>
  <c r="T1407" i="9"/>
  <c r="Q1407" i="9"/>
  <c r="M1407" i="9"/>
  <c r="K1407" i="9"/>
  <c r="H1407" i="9"/>
  <c r="H1407" i="9" a="1"/>
  <c r="D1407" i="9"/>
  <c r="T1406" i="9"/>
  <c r="Q1406" i="9"/>
  <c r="M1406" i="9"/>
  <c r="K1406" i="9"/>
  <c r="H1406" i="9"/>
  <c r="H1406" i="9" a="1"/>
  <c r="D1406" i="9"/>
  <c r="T1405" i="9"/>
  <c r="Q1405" i="9"/>
  <c r="M1405" i="9"/>
  <c r="K1405" i="9"/>
  <c r="H1405" i="9"/>
  <c r="H1405" i="9" a="1"/>
  <c r="D1405" i="9"/>
  <c r="T1404" i="9"/>
  <c r="Q1404" i="9"/>
  <c r="M1404" i="9"/>
  <c r="K1404" i="9"/>
  <c r="H1404" i="9"/>
  <c r="H1404" i="9" a="1"/>
  <c r="D1404" i="9"/>
  <c r="T1403" i="9"/>
  <c r="Q1403" i="9"/>
  <c r="M1403" i="9"/>
  <c r="K1403" i="9"/>
  <c r="H1403" i="9"/>
  <c r="H1403" i="9" a="1"/>
  <c r="D1403" i="9"/>
  <c r="T1402" i="9"/>
  <c r="Q1402" i="9"/>
  <c r="M1402" i="9"/>
  <c r="K1402" i="9"/>
  <c r="H1402" i="9"/>
  <c r="H1402" i="9" a="1"/>
  <c r="D1402" i="9"/>
  <c r="T1401" i="9"/>
  <c r="Q1401" i="9"/>
  <c r="M1401" i="9"/>
  <c r="K1401" i="9"/>
  <c r="H1401" i="9"/>
  <c r="H1401" i="9" a="1"/>
  <c r="D1401" i="9"/>
  <c r="T1400" i="9"/>
  <c r="Q1400" i="9"/>
  <c r="M1400" i="9"/>
  <c r="K1400" i="9"/>
  <c r="H1400" i="9"/>
  <c r="H1400" i="9" a="1"/>
  <c r="D1400" i="9"/>
  <c r="T1399" i="9"/>
  <c r="Q1399" i="9"/>
  <c r="M1399" i="9"/>
  <c r="K1399" i="9"/>
  <c r="H1399" i="9"/>
  <c r="H1399" i="9" a="1"/>
  <c r="D1399" i="9"/>
  <c r="T1398" i="9"/>
  <c r="Q1398" i="9"/>
  <c r="M1398" i="9"/>
  <c r="K1398" i="9"/>
  <c r="H1398" i="9"/>
  <c r="H1398" i="9" a="1"/>
  <c r="D1398" i="9"/>
  <c r="T1397" i="9"/>
  <c r="Q1397" i="9"/>
  <c r="M1397" i="9"/>
  <c r="K1397" i="9"/>
  <c r="H1397" i="9"/>
  <c r="H1397" i="9" a="1"/>
  <c r="D1397" i="9"/>
  <c r="T1396" i="9"/>
  <c r="Q1396" i="9"/>
  <c r="M1396" i="9"/>
  <c r="K1396" i="9"/>
  <c r="H1396" i="9"/>
  <c r="H1396" i="9" a="1"/>
  <c r="D1396" i="9"/>
  <c r="T1395" i="9"/>
  <c r="Q1395" i="9"/>
  <c r="M1395" i="9"/>
  <c r="K1395" i="9"/>
  <c r="H1395" i="9"/>
  <c r="H1395" i="9" a="1"/>
  <c r="D1395" i="9"/>
  <c r="T1394" i="9"/>
  <c r="Q1394" i="9"/>
  <c r="M1394" i="9"/>
  <c r="K1394" i="9"/>
  <c r="H1394" i="9"/>
  <c r="H1394" i="9" a="1"/>
  <c r="D1394" i="9"/>
  <c r="T1393" i="9"/>
  <c r="Q1393" i="9"/>
  <c r="M1393" i="9"/>
  <c r="K1393" i="9"/>
  <c r="H1393" i="9"/>
  <c r="H1393" i="9" a="1"/>
  <c r="D1393" i="9"/>
  <c r="T1392" i="9"/>
  <c r="Q1392" i="9"/>
  <c r="M1392" i="9"/>
  <c r="K1392" i="9"/>
  <c r="H1392" i="9"/>
  <c r="H1392" i="9" a="1"/>
  <c r="D1392" i="9"/>
  <c r="T1391" i="9"/>
  <c r="Q1391" i="9"/>
  <c r="M1391" i="9"/>
  <c r="K1391" i="9"/>
  <c r="H1391" i="9"/>
  <c r="H1391" i="9" a="1"/>
  <c r="D1391" i="9"/>
  <c r="T1390" i="9"/>
  <c r="Q1390" i="9"/>
  <c r="M1390" i="9"/>
  <c r="K1390" i="9"/>
  <c r="H1390" i="9"/>
  <c r="H1390" i="9" a="1"/>
  <c r="D1390" i="9"/>
  <c r="T1389" i="9"/>
  <c r="Q1389" i="9"/>
  <c r="M1389" i="9"/>
  <c r="K1389" i="9"/>
  <c r="H1389" i="9"/>
  <c r="H1389" i="9" a="1"/>
  <c r="D1389" i="9"/>
  <c r="T1388" i="9"/>
  <c r="Q1388" i="9"/>
  <c r="M1388" i="9"/>
  <c r="K1388" i="9"/>
  <c r="H1388" i="9"/>
  <c r="H1388" i="9" a="1"/>
  <c r="D1388" i="9"/>
  <c r="T1387" i="9"/>
  <c r="Q1387" i="9"/>
  <c r="M1387" i="9"/>
  <c r="K1387" i="9"/>
  <c r="H1387" i="9"/>
  <c r="H1387" i="9" a="1"/>
  <c r="D1387" i="9"/>
  <c r="T1386" i="9"/>
  <c r="Q1386" i="9"/>
  <c r="M1386" i="9"/>
  <c r="K1386" i="9"/>
  <c r="H1386" i="9"/>
  <c r="H1386" i="9" a="1"/>
  <c r="D1386" i="9"/>
  <c r="T1385" i="9"/>
  <c r="Q1385" i="9"/>
  <c r="M1385" i="9"/>
  <c r="K1385" i="9"/>
  <c r="H1385" i="9"/>
  <c r="H1385" i="9" a="1"/>
  <c r="D1385" i="9"/>
  <c r="T1384" i="9"/>
  <c r="Q1384" i="9"/>
  <c r="M1384" i="9"/>
  <c r="K1384" i="9"/>
  <c r="H1384" i="9"/>
  <c r="H1384" i="9" a="1"/>
  <c r="D1384" i="9"/>
  <c r="T1383" i="9"/>
  <c r="Q1383" i="9"/>
  <c r="M1383" i="9"/>
  <c r="K1383" i="9"/>
  <c r="H1383" i="9"/>
  <c r="H1383" i="9" a="1"/>
  <c r="D1383" i="9"/>
  <c r="T1382" i="9"/>
  <c r="Q1382" i="9"/>
  <c r="M1382" i="9"/>
  <c r="K1382" i="9"/>
  <c r="H1382" i="9"/>
  <c r="H1382" i="9" a="1"/>
  <c r="D1382" i="9"/>
  <c r="T1381" i="9"/>
  <c r="Q1381" i="9"/>
  <c r="M1381" i="9"/>
  <c r="K1381" i="9"/>
  <c r="H1381" i="9"/>
  <c r="H1381" i="9" a="1"/>
  <c r="D1381" i="9"/>
  <c r="T1380" i="9"/>
  <c r="Q1380" i="9"/>
  <c r="M1380" i="9"/>
  <c r="K1380" i="9"/>
  <c r="H1380" i="9"/>
  <c r="H1380" i="9" a="1"/>
  <c r="D1380" i="9"/>
  <c r="T1379" i="9"/>
  <c r="Q1379" i="9"/>
  <c r="M1379" i="9"/>
  <c r="K1379" i="9"/>
  <c r="H1379" i="9"/>
  <c r="H1379" i="9" a="1"/>
  <c r="D1379" i="9"/>
  <c r="T1378" i="9"/>
  <c r="Q1378" i="9"/>
  <c r="M1378" i="9"/>
  <c r="K1378" i="9"/>
  <c r="H1378" i="9"/>
  <c r="H1378" i="9" a="1"/>
  <c r="D1378" i="9"/>
  <c r="T1377" i="9"/>
  <c r="Q1377" i="9"/>
  <c r="M1377" i="9"/>
  <c r="K1377" i="9"/>
  <c r="H1377" i="9"/>
  <c r="H1377" i="9" a="1"/>
  <c r="D1377" i="9"/>
  <c r="T1376" i="9"/>
  <c r="Q1376" i="9"/>
  <c r="M1376" i="9"/>
  <c r="K1376" i="9"/>
  <c r="H1376" i="9"/>
  <c r="H1376" i="9" a="1"/>
  <c r="D1376" i="9"/>
  <c r="T1375" i="9"/>
  <c r="Q1375" i="9"/>
  <c r="M1375" i="9"/>
  <c r="K1375" i="9"/>
  <c r="H1375" i="9"/>
  <c r="H1375" i="9" a="1"/>
  <c r="D1375" i="9"/>
  <c r="T1374" i="9"/>
  <c r="Q1374" i="9"/>
  <c r="M1374" i="9"/>
  <c r="K1374" i="9"/>
  <c r="H1374" i="9"/>
  <c r="H1374" i="9" a="1"/>
  <c r="D1374" i="9"/>
  <c r="T1373" i="9"/>
  <c r="Q1373" i="9"/>
  <c r="M1373" i="9"/>
  <c r="K1373" i="9"/>
  <c r="H1373" i="9"/>
  <c r="H1373" i="9" a="1"/>
  <c r="D1373" i="9"/>
  <c r="T1372" i="9"/>
  <c r="Q1372" i="9"/>
  <c r="M1372" i="9"/>
  <c r="K1372" i="9"/>
  <c r="H1372" i="9"/>
  <c r="H1372" i="9" a="1"/>
  <c r="D1372" i="9"/>
  <c r="T1371" i="9"/>
  <c r="Q1371" i="9"/>
  <c r="M1371" i="9"/>
  <c r="K1371" i="9"/>
  <c r="H1371" i="9"/>
  <c r="H1371" i="9" a="1"/>
  <c r="D1371" i="9"/>
  <c r="T1370" i="9"/>
  <c r="Q1370" i="9"/>
  <c r="M1370" i="9"/>
  <c r="K1370" i="9"/>
  <c r="H1370" i="9"/>
  <c r="H1370" i="9" a="1"/>
  <c r="D1370" i="9"/>
  <c r="T1369" i="9"/>
  <c r="Q1369" i="9"/>
  <c r="M1369" i="9"/>
  <c r="K1369" i="9"/>
  <c r="H1369" i="9"/>
  <c r="H1369" i="9" a="1"/>
  <c r="D1369" i="9"/>
  <c r="T1368" i="9"/>
  <c r="Q1368" i="9"/>
  <c r="M1368" i="9"/>
  <c r="K1368" i="9"/>
  <c r="H1368" i="9"/>
  <c r="H1368" i="9" a="1"/>
  <c r="D1368" i="9"/>
  <c r="T1367" i="9"/>
  <c r="Q1367" i="9"/>
  <c r="M1367" i="9"/>
  <c r="K1367" i="9"/>
  <c r="H1367" i="9"/>
  <c r="H1367" i="9" a="1"/>
  <c r="D1367" i="9"/>
  <c r="T1366" i="9"/>
  <c r="Q1366" i="9"/>
  <c r="M1366" i="9"/>
  <c r="K1366" i="9"/>
  <c r="H1366" i="9"/>
  <c r="H1366" i="9" a="1"/>
  <c r="D1366" i="9"/>
  <c r="T1365" i="9"/>
  <c r="Q1365" i="9"/>
  <c r="M1365" i="9"/>
  <c r="K1365" i="9"/>
  <c r="H1365" i="9"/>
  <c r="H1365" i="9" a="1"/>
  <c r="D1365" i="9"/>
  <c r="T1364" i="9"/>
  <c r="Q1364" i="9"/>
  <c r="M1364" i="9"/>
  <c r="K1364" i="9"/>
  <c r="H1364" i="9"/>
  <c r="H1364" i="9" a="1"/>
  <c r="D1364" i="9"/>
  <c r="T1363" i="9"/>
  <c r="Q1363" i="9"/>
  <c r="M1363" i="9"/>
  <c r="K1363" i="9"/>
  <c r="H1363" i="9"/>
  <c r="H1363" i="9" a="1"/>
  <c r="D1363" i="9"/>
  <c r="T1362" i="9"/>
  <c r="Q1362" i="9"/>
  <c r="M1362" i="9"/>
  <c r="K1362" i="9"/>
  <c r="H1362" i="9"/>
  <c r="H1362" i="9" a="1"/>
  <c r="D1362" i="9"/>
  <c r="T1361" i="9"/>
  <c r="Q1361" i="9"/>
  <c r="M1361" i="9"/>
  <c r="K1361" i="9"/>
  <c r="H1361" i="9"/>
  <c r="H1361" i="9" a="1"/>
  <c r="D1361" i="9"/>
  <c r="T1360" i="9"/>
  <c r="Q1360" i="9"/>
  <c r="M1360" i="9"/>
  <c r="K1360" i="9"/>
  <c r="H1360" i="9"/>
  <c r="H1360" i="9" a="1"/>
  <c r="D1360" i="9"/>
  <c r="T1359" i="9"/>
  <c r="Q1359" i="9"/>
  <c r="M1359" i="9"/>
  <c r="K1359" i="9"/>
  <c r="H1359" i="9"/>
  <c r="H1359" i="9" a="1"/>
  <c r="D1359" i="9"/>
  <c r="T1358" i="9"/>
  <c r="Q1358" i="9"/>
  <c r="M1358" i="9"/>
  <c r="K1358" i="9"/>
  <c r="H1358" i="9"/>
  <c r="H1358" i="9" a="1"/>
  <c r="D1358" i="9"/>
  <c r="T1357" i="9"/>
  <c r="Q1357" i="9"/>
  <c r="M1357" i="9"/>
  <c r="K1357" i="9"/>
  <c r="H1357" i="9"/>
  <c r="H1357" i="9" a="1"/>
  <c r="D1357" i="9"/>
  <c r="T1356" i="9"/>
  <c r="Q1356" i="9"/>
  <c r="M1356" i="9"/>
  <c r="K1356" i="9"/>
  <c r="H1356" i="9"/>
  <c r="H1356" i="9" a="1"/>
  <c r="D1356" i="9"/>
  <c r="T1355" i="9"/>
  <c r="Q1355" i="9"/>
  <c r="M1355" i="9"/>
  <c r="K1355" i="9"/>
  <c r="H1355" i="9"/>
  <c r="H1355" i="9" a="1"/>
  <c r="D1355" i="9"/>
  <c r="T1354" i="9"/>
  <c r="Q1354" i="9"/>
  <c r="M1354" i="9"/>
  <c r="K1354" i="9"/>
  <c r="H1354" i="9"/>
  <c r="H1354" i="9" a="1"/>
  <c r="D1354" i="9"/>
  <c r="T1353" i="9"/>
  <c r="Q1353" i="9"/>
  <c r="M1353" i="9"/>
  <c r="K1353" i="9"/>
  <c r="H1353" i="9"/>
  <c r="H1353" i="9" a="1"/>
  <c r="D1353" i="9"/>
  <c r="T1352" i="9"/>
  <c r="Q1352" i="9"/>
  <c r="M1352" i="9"/>
  <c r="K1352" i="9"/>
  <c r="H1352" i="9"/>
  <c r="H1352" i="9" a="1"/>
  <c r="D1352" i="9"/>
  <c r="T1351" i="9"/>
  <c r="Q1351" i="9"/>
  <c r="M1351" i="9"/>
  <c r="K1351" i="9"/>
  <c r="H1351" i="9"/>
  <c r="H1351" i="9" a="1"/>
  <c r="D1351" i="9"/>
  <c r="T1350" i="9"/>
  <c r="Q1350" i="9"/>
  <c r="M1350" i="9"/>
  <c r="K1350" i="9"/>
  <c r="H1350" i="9"/>
  <c r="H1350" i="9" a="1"/>
  <c r="D1350" i="9"/>
  <c r="T1349" i="9"/>
  <c r="Q1349" i="9"/>
  <c r="M1349" i="9"/>
  <c r="K1349" i="9"/>
  <c r="H1349" i="9"/>
  <c r="H1349" i="9" a="1"/>
  <c r="D1349" i="9"/>
  <c r="T1348" i="9"/>
  <c r="Q1348" i="9"/>
  <c r="M1348" i="9"/>
  <c r="K1348" i="9"/>
  <c r="H1348" i="9"/>
  <c r="H1348" i="9" a="1"/>
  <c r="D1348" i="9"/>
  <c r="T1347" i="9"/>
  <c r="Q1347" i="9"/>
  <c r="M1347" i="9"/>
  <c r="K1347" i="9"/>
  <c r="H1347" i="9"/>
  <c r="H1347" i="9" a="1"/>
  <c r="D1347" i="9"/>
  <c r="T1346" i="9"/>
  <c r="Q1346" i="9"/>
  <c r="M1346" i="9"/>
  <c r="K1346" i="9"/>
  <c r="H1346" i="9"/>
  <c r="H1346" i="9" a="1"/>
  <c r="D1346" i="9"/>
  <c r="T1345" i="9"/>
  <c r="Q1345" i="9"/>
  <c r="M1345" i="9"/>
  <c r="K1345" i="9"/>
  <c r="H1345" i="9"/>
  <c r="H1345" i="9" a="1"/>
  <c r="D1345" i="9"/>
  <c r="T1344" i="9"/>
  <c r="Q1344" i="9"/>
  <c r="M1344" i="9"/>
  <c r="K1344" i="9"/>
  <c r="H1344" i="9"/>
  <c r="H1344" i="9" a="1"/>
  <c r="D1344" i="9"/>
  <c r="T1343" i="9"/>
  <c r="Q1343" i="9"/>
  <c r="M1343" i="9"/>
  <c r="K1343" i="9"/>
  <c r="H1343" i="9"/>
  <c r="H1343" i="9" a="1"/>
  <c r="D1343" i="9"/>
  <c r="T1342" i="9"/>
  <c r="Q1342" i="9"/>
  <c r="M1342" i="9"/>
  <c r="K1342" i="9"/>
  <c r="H1342" i="9"/>
  <c r="H1342" i="9" a="1"/>
  <c r="D1342" i="9"/>
  <c r="T1341" i="9"/>
  <c r="Q1341" i="9"/>
  <c r="M1341" i="9"/>
  <c r="K1341" i="9"/>
  <c r="H1341" i="9"/>
  <c r="H1341" i="9" a="1"/>
  <c r="D1341" i="9"/>
  <c r="T1340" i="9"/>
  <c r="Q1340" i="9"/>
  <c r="M1340" i="9"/>
  <c r="K1340" i="9"/>
  <c r="H1340" i="9"/>
  <c r="H1340" i="9" a="1"/>
  <c r="D1340" i="9"/>
  <c r="T1339" i="9"/>
  <c r="Q1339" i="9"/>
  <c r="M1339" i="9"/>
  <c r="K1339" i="9"/>
  <c r="H1339" i="9"/>
  <c r="H1339" i="9" a="1"/>
  <c r="D1339" i="9"/>
  <c r="T1338" i="9"/>
  <c r="Q1338" i="9"/>
  <c r="M1338" i="9"/>
  <c r="K1338" i="9"/>
  <c r="H1338" i="9"/>
  <c r="H1338" i="9" a="1"/>
  <c r="D1338" i="9"/>
  <c r="T1337" i="9"/>
  <c r="Q1337" i="9"/>
  <c r="M1337" i="9"/>
  <c r="K1337" i="9"/>
  <c r="H1337" i="9"/>
  <c r="H1337" i="9" a="1"/>
  <c r="D1337" i="9"/>
  <c r="T1336" i="9"/>
  <c r="Q1336" i="9"/>
  <c r="M1336" i="9"/>
  <c r="K1336" i="9"/>
  <c r="H1336" i="9"/>
  <c r="H1336" i="9" a="1"/>
  <c r="D1336" i="9"/>
  <c r="T1335" i="9"/>
  <c r="Q1335" i="9"/>
  <c r="M1335" i="9"/>
  <c r="K1335" i="9"/>
  <c r="H1335" i="9"/>
  <c r="H1335" i="9" a="1"/>
  <c r="D1335" i="9"/>
  <c r="T1334" i="9"/>
  <c r="Q1334" i="9"/>
  <c r="M1334" i="9"/>
  <c r="K1334" i="9"/>
  <c r="H1334" i="9"/>
  <c r="H1334" i="9" a="1"/>
  <c r="D1334" i="9"/>
  <c r="T1333" i="9"/>
  <c r="Q1333" i="9"/>
  <c r="M1333" i="9"/>
  <c r="K1333" i="9"/>
  <c r="H1333" i="9"/>
  <c r="H1333" i="9" a="1"/>
  <c r="D1333" i="9"/>
  <c r="T1332" i="9"/>
  <c r="Q1332" i="9"/>
  <c r="M1332" i="9"/>
  <c r="K1332" i="9"/>
  <c r="H1332" i="9"/>
  <c r="H1332" i="9" a="1"/>
  <c r="D1332" i="9"/>
  <c r="T1331" i="9"/>
  <c r="Q1331" i="9"/>
  <c r="M1331" i="9"/>
  <c r="K1331" i="9"/>
  <c r="H1331" i="9"/>
  <c r="H1331" i="9" a="1"/>
  <c r="D1331" i="9"/>
  <c r="T1330" i="9"/>
  <c r="Q1330" i="9"/>
  <c r="M1330" i="9"/>
  <c r="K1330" i="9"/>
  <c r="H1330" i="9"/>
  <c r="H1330" i="9" a="1"/>
  <c r="D1330" i="9"/>
  <c r="T1329" i="9"/>
  <c r="Q1329" i="9"/>
  <c r="M1329" i="9"/>
  <c r="K1329" i="9"/>
  <c r="H1329" i="9"/>
  <c r="H1329" i="9" a="1"/>
  <c r="D1329" i="9"/>
  <c r="T1328" i="9"/>
  <c r="Q1328" i="9"/>
  <c r="M1328" i="9"/>
  <c r="K1328" i="9"/>
  <c r="H1328" i="9"/>
  <c r="H1328" i="9" a="1"/>
  <c r="D1328" i="9"/>
  <c r="T1327" i="9"/>
  <c r="Q1327" i="9"/>
  <c r="M1327" i="9"/>
  <c r="K1327" i="9"/>
  <c r="H1327" i="9"/>
  <c r="H1327" i="9" a="1"/>
  <c r="D1327" i="9"/>
  <c r="T1326" i="9"/>
  <c r="Q1326" i="9"/>
  <c r="M1326" i="9"/>
  <c r="K1326" i="9"/>
  <c r="H1326" i="9"/>
  <c r="H1326" i="9" a="1"/>
  <c r="D1326" i="9"/>
  <c r="T1325" i="9"/>
  <c r="Q1325" i="9"/>
  <c r="M1325" i="9"/>
  <c r="K1325" i="9"/>
  <c r="H1325" i="9"/>
  <c r="H1325" i="9" a="1"/>
  <c r="D1325" i="9"/>
  <c r="T1324" i="9"/>
  <c r="Q1324" i="9"/>
  <c r="M1324" i="9"/>
  <c r="K1324" i="9"/>
  <c r="H1324" i="9"/>
  <c r="H1324" i="9" a="1"/>
  <c r="D1324" i="9"/>
  <c r="T1323" i="9"/>
  <c r="Q1323" i="9"/>
  <c r="M1323" i="9"/>
  <c r="K1323" i="9"/>
  <c r="H1323" i="9"/>
  <c r="H1323" i="9" a="1"/>
  <c r="D1323" i="9"/>
  <c r="T1322" i="9"/>
  <c r="Q1322" i="9"/>
  <c r="M1322" i="9"/>
  <c r="K1322" i="9"/>
  <c r="H1322" i="9"/>
  <c r="H1322" i="9" a="1"/>
  <c r="D1322" i="9"/>
  <c r="T1321" i="9"/>
  <c r="Q1321" i="9"/>
  <c r="M1321" i="9"/>
  <c r="K1321" i="9"/>
  <c r="H1321" i="9"/>
  <c r="H1321" i="9" a="1"/>
  <c r="D1321" i="9"/>
  <c r="T1320" i="9"/>
  <c r="Q1320" i="9"/>
  <c r="M1320" i="9"/>
  <c r="K1320" i="9"/>
  <c r="H1320" i="9"/>
  <c r="H1320" i="9" a="1"/>
  <c r="D1320" i="9"/>
  <c r="T1319" i="9"/>
  <c r="Q1319" i="9"/>
  <c r="M1319" i="9"/>
  <c r="K1319" i="9"/>
  <c r="H1319" i="9"/>
  <c r="H1319" i="9" a="1"/>
  <c r="D1319" i="9"/>
  <c r="T1318" i="9"/>
  <c r="Q1318" i="9"/>
  <c r="M1318" i="9"/>
  <c r="K1318" i="9"/>
  <c r="H1318" i="9"/>
  <c r="H1318" i="9" a="1"/>
  <c r="D1318" i="9"/>
  <c r="T1317" i="9"/>
  <c r="Q1317" i="9"/>
  <c r="M1317" i="9"/>
  <c r="K1317" i="9"/>
  <c r="H1317" i="9"/>
  <c r="H1317" i="9" a="1"/>
  <c r="D1317" i="9"/>
  <c r="T1316" i="9"/>
  <c r="Q1316" i="9"/>
  <c r="M1316" i="9"/>
  <c r="K1316" i="9"/>
  <c r="H1316" i="9"/>
  <c r="H1316" i="9" a="1"/>
  <c r="D1316" i="9"/>
  <c r="T1315" i="9"/>
  <c r="Q1315" i="9"/>
  <c r="M1315" i="9"/>
  <c r="K1315" i="9"/>
  <c r="H1315" i="9"/>
  <c r="H1315" i="9" a="1"/>
  <c r="D1315" i="9"/>
  <c r="T1314" i="9"/>
  <c r="Q1314" i="9"/>
  <c r="M1314" i="9"/>
  <c r="K1314" i="9"/>
  <c r="H1314" i="9"/>
  <c r="H1314" i="9" a="1"/>
  <c r="D1314" i="9"/>
  <c r="T1313" i="9"/>
  <c r="Q1313" i="9"/>
  <c r="M1313" i="9"/>
  <c r="K1313" i="9"/>
  <c r="H1313" i="9"/>
  <c r="H1313" i="9" a="1"/>
  <c r="D1313" i="9"/>
  <c r="T1312" i="9"/>
  <c r="Q1312" i="9"/>
  <c r="M1312" i="9"/>
  <c r="K1312" i="9"/>
  <c r="H1312" i="9"/>
  <c r="H1312" i="9" a="1"/>
  <c r="D1312" i="9"/>
  <c r="T1311" i="9"/>
  <c r="Q1311" i="9"/>
  <c r="M1311" i="9"/>
  <c r="K1311" i="9"/>
  <c r="H1311" i="9"/>
  <c r="H1311" i="9" a="1"/>
  <c r="D1311" i="9"/>
  <c r="T1310" i="9"/>
  <c r="Q1310" i="9"/>
  <c r="M1310" i="9"/>
  <c r="K1310" i="9"/>
  <c r="H1310" i="9"/>
  <c r="H1310" i="9" a="1"/>
  <c r="D1310" i="9"/>
  <c r="T1309" i="9"/>
  <c r="Q1309" i="9"/>
  <c r="M1309" i="9"/>
  <c r="K1309" i="9"/>
  <c r="H1309" i="9"/>
  <c r="H1309" i="9" a="1"/>
  <c r="D1309" i="9"/>
  <c r="T1308" i="9"/>
  <c r="Q1308" i="9"/>
  <c r="M1308" i="9"/>
  <c r="K1308" i="9"/>
  <c r="H1308" i="9"/>
  <c r="H1308" i="9" a="1"/>
  <c r="D1308" i="9"/>
  <c r="T1307" i="9"/>
  <c r="Q1307" i="9"/>
  <c r="M1307" i="9"/>
  <c r="K1307" i="9"/>
  <c r="H1307" i="9"/>
  <c r="H1307" i="9" a="1"/>
  <c r="D1307" i="9"/>
  <c r="T1306" i="9"/>
  <c r="Q1306" i="9"/>
  <c r="M1306" i="9"/>
  <c r="K1306" i="9"/>
  <c r="H1306" i="9"/>
  <c r="H1306" i="9" a="1"/>
  <c r="D1306" i="9"/>
  <c r="T1305" i="9"/>
  <c r="Q1305" i="9"/>
  <c r="M1305" i="9"/>
  <c r="K1305" i="9"/>
  <c r="H1305" i="9"/>
  <c r="H1305" i="9" a="1"/>
  <c r="D1305" i="9"/>
  <c r="T1304" i="9"/>
  <c r="Q1304" i="9"/>
  <c r="M1304" i="9"/>
  <c r="K1304" i="9"/>
  <c r="H1304" i="9"/>
  <c r="H1304" i="9" a="1"/>
  <c r="D1304" i="9"/>
  <c r="T1303" i="9"/>
  <c r="Q1303" i="9"/>
  <c r="M1303" i="9"/>
  <c r="K1303" i="9"/>
  <c r="H1303" i="9"/>
  <c r="H1303" i="9" a="1"/>
  <c r="D1303" i="9"/>
  <c r="T1302" i="9"/>
  <c r="Q1302" i="9"/>
  <c r="M1302" i="9"/>
  <c r="K1302" i="9"/>
  <c r="H1302" i="9"/>
  <c r="H1302" i="9" a="1"/>
  <c r="D1302" i="9"/>
  <c r="T1301" i="9"/>
  <c r="Q1301" i="9"/>
  <c r="M1301" i="9"/>
  <c r="K1301" i="9"/>
  <c r="H1301" i="9"/>
  <c r="H1301" i="9" a="1"/>
  <c r="D1301" i="9"/>
  <c r="T1300" i="9"/>
  <c r="Q1300" i="9"/>
  <c r="M1300" i="9"/>
  <c r="K1300" i="9"/>
  <c r="H1300" i="9"/>
  <c r="H1300" i="9" a="1"/>
  <c r="D1300" i="9"/>
  <c r="T1299" i="9"/>
  <c r="Q1299" i="9"/>
  <c r="M1299" i="9"/>
  <c r="K1299" i="9"/>
  <c r="H1299" i="9"/>
  <c r="H1299" i="9" a="1"/>
  <c r="D1299" i="9"/>
  <c r="T1298" i="9"/>
  <c r="Q1298" i="9"/>
  <c r="M1298" i="9"/>
  <c r="K1298" i="9"/>
  <c r="H1298" i="9"/>
  <c r="H1298" i="9" a="1"/>
  <c r="D1298" i="9"/>
  <c r="T1297" i="9"/>
  <c r="Q1297" i="9"/>
  <c r="M1297" i="9"/>
  <c r="K1297" i="9"/>
  <c r="H1297" i="9"/>
  <c r="H1297" i="9" a="1"/>
  <c r="D1297" i="9"/>
  <c r="T1296" i="9"/>
  <c r="Q1296" i="9"/>
  <c r="M1296" i="9"/>
  <c r="K1296" i="9"/>
  <c r="H1296" i="9"/>
  <c r="H1296" i="9" a="1"/>
  <c r="D1296" i="9"/>
  <c r="T1295" i="9"/>
  <c r="Q1295" i="9"/>
  <c r="M1295" i="9"/>
  <c r="K1295" i="9"/>
  <c r="H1295" i="9"/>
  <c r="H1295" i="9" a="1"/>
  <c r="D1295" i="9"/>
  <c r="T1294" i="9"/>
  <c r="Q1294" i="9"/>
  <c r="M1294" i="9"/>
  <c r="K1294" i="9"/>
  <c r="H1294" i="9"/>
  <c r="H1294" i="9" a="1"/>
  <c r="D1294" i="9"/>
  <c r="T1293" i="9"/>
  <c r="Q1293" i="9"/>
  <c r="M1293" i="9"/>
  <c r="K1293" i="9"/>
  <c r="H1293" i="9"/>
  <c r="H1293" i="9" a="1"/>
  <c r="D1293" i="9"/>
  <c r="T1292" i="9"/>
  <c r="Q1292" i="9"/>
  <c r="M1292" i="9"/>
  <c r="K1292" i="9"/>
  <c r="H1292" i="9"/>
  <c r="H1292" i="9" a="1"/>
  <c r="D1292" i="9"/>
  <c r="T1291" i="9"/>
  <c r="Q1291" i="9"/>
  <c r="M1291" i="9"/>
  <c r="K1291" i="9"/>
  <c r="H1291" i="9"/>
  <c r="H1291" i="9" a="1"/>
  <c r="D1291" i="9"/>
  <c r="T1290" i="9"/>
  <c r="Q1290" i="9"/>
  <c r="M1290" i="9"/>
  <c r="K1290" i="9"/>
  <c r="H1290" i="9"/>
  <c r="H1290" i="9" a="1"/>
  <c r="D1290" i="9"/>
  <c r="T1289" i="9"/>
  <c r="Q1289" i="9"/>
  <c r="M1289" i="9"/>
  <c r="K1289" i="9"/>
  <c r="H1289" i="9"/>
  <c r="H1289" i="9" a="1"/>
  <c r="D1289" i="9"/>
  <c r="T1288" i="9"/>
  <c r="Q1288" i="9"/>
  <c r="M1288" i="9"/>
  <c r="K1288" i="9"/>
  <c r="H1288" i="9"/>
  <c r="H1288" i="9" a="1"/>
  <c r="D1288" i="9"/>
  <c r="T1287" i="9"/>
  <c r="Q1287" i="9"/>
  <c r="M1287" i="9"/>
  <c r="K1287" i="9"/>
  <c r="H1287" i="9"/>
  <c r="H1287" i="9" a="1"/>
  <c r="D1287" i="9"/>
  <c r="T1286" i="9"/>
  <c r="Q1286" i="9"/>
  <c r="M1286" i="9"/>
  <c r="K1286" i="9"/>
  <c r="H1286" i="9"/>
  <c r="H1286" i="9" a="1"/>
  <c r="D1286" i="9"/>
  <c r="T1285" i="9"/>
  <c r="Q1285" i="9"/>
  <c r="M1285" i="9"/>
  <c r="K1285" i="9"/>
  <c r="H1285" i="9"/>
  <c r="H1285" i="9" a="1"/>
  <c r="D1285" i="9"/>
  <c r="T1284" i="9"/>
  <c r="Q1284" i="9"/>
  <c r="M1284" i="9"/>
  <c r="K1284" i="9"/>
  <c r="H1284" i="9"/>
  <c r="H1284" i="9" a="1"/>
  <c r="D1284" i="9"/>
  <c r="T1283" i="9"/>
  <c r="Q1283" i="9"/>
  <c r="M1283" i="9"/>
  <c r="K1283" i="9"/>
  <c r="H1283" i="9"/>
  <c r="H1283" i="9" a="1"/>
  <c r="D1283" i="9"/>
  <c r="T1282" i="9"/>
  <c r="Q1282" i="9"/>
  <c r="M1282" i="9"/>
  <c r="K1282" i="9"/>
  <c r="H1282" i="9"/>
  <c r="H1282" i="9" a="1"/>
  <c r="D1282" i="9"/>
  <c r="T1281" i="9"/>
  <c r="Q1281" i="9"/>
  <c r="M1281" i="9"/>
  <c r="K1281" i="9"/>
  <c r="H1281" i="9"/>
  <c r="H1281" i="9" a="1"/>
  <c r="D1281" i="9"/>
  <c r="T1280" i="9"/>
  <c r="Q1280" i="9"/>
  <c r="M1280" i="9"/>
  <c r="K1280" i="9"/>
  <c r="H1280" i="9"/>
  <c r="H1280" i="9" a="1"/>
  <c r="D1280" i="9"/>
  <c r="T1279" i="9"/>
  <c r="Q1279" i="9"/>
  <c r="M1279" i="9"/>
  <c r="K1279" i="9"/>
  <c r="H1279" i="9"/>
  <c r="H1279" i="9" a="1"/>
  <c r="D1279" i="9"/>
  <c r="T1278" i="9"/>
  <c r="Q1278" i="9"/>
  <c r="M1278" i="9"/>
  <c r="K1278" i="9"/>
  <c r="H1278" i="9"/>
  <c r="H1278" i="9" a="1"/>
  <c r="D1278" i="9"/>
  <c r="T1277" i="9"/>
  <c r="Q1277" i="9"/>
  <c r="M1277" i="9"/>
  <c r="K1277" i="9"/>
  <c r="H1277" i="9"/>
  <c r="H1277" i="9" a="1"/>
  <c r="D1277" i="9"/>
  <c r="T1276" i="9"/>
  <c r="Q1276" i="9"/>
  <c r="M1276" i="9"/>
  <c r="K1276" i="9"/>
  <c r="H1276" i="9"/>
  <c r="H1276" i="9" a="1"/>
  <c r="D1276" i="9"/>
  <c r="T1275" i="9"/>
  <c r="Q1275" i="9"/>
  <c r="M1275" i="9"/>
  <c r="K1275" i="9"/>
  <c r="H1275" i="9"/>
  <c r="H1275" i="9" a="1"/>
  <c r="D1275" i="9"/>
  <c r="T1274" i="9"/>
  <c r="Q1274" i="9"/>
  <c r="M1274" i="9"/>
  <c r="K1274" i="9"/>
  <c r="H1274" i="9"/>
  <c r="H1274" i="9" a="1"/>
  <c r="D1274" i="9"/>
  <c r="T1273" i="9"/>
  <c r="Q1273" i="9"/>
  <c r="M1273" i="9"/>
  <c r="K1273" i="9"/>
  <c r="H1273" i="9"/>
  <c r="H1273" i="9" a="1"/>
  <c r="D1273" i="9"/>
  <c r="T1272" i="9"/>
  <c r="Q1272" i="9"/>
  <c r="M1272" i="9"/>
  <c r="K1272" i="9"/>
  <c r="H1272" i="9"/>
  <c r="H1272" i="9" a="1"/>
  <c r="D1272" i="9"/>
  <c r="T1271" i="9"/>
  <c r="Q1271" i="9"/>
  <c r="M1271" i="9"/>
  <c r="K1271" i="9"/>
  <c r="H1271" i="9"/>
  <c r="H1271" i="9" a="1"/>
  <c r="D1271" i="9"/>
  <c r="T1270" i="9"/>
  <c r="Q1270" i="9"/>
  <c r="M1270" i="9"/>
  <c r="K1270" i="9"/>
  <c r="H1270" i="9"/>
  <c r="H1270" i="9" a="1"/>
  <c r="D1270" i="9"/>
  <c r="T1269" i="9"/>
  <c r="Q1269" i="9"/>
  <c r="M1269" i="9"/>
  <c r="K1269" i="9"/>
  <c r="H1269" i="9"/>
  <c r="H1269" i="9" a="1"/>
  <c r="D1269" i="9"/>
  <c r="T1268" i="9"/>
  <c r="Q1268" i="9"/>
  <c r="M1268" i="9"/>
  <c r="K1268" i="9"/>
  <c r="H1268" i="9"/>
  <c r="H1268" i="9" a="1"/>
  <c r="D1268" i="9"/>
  <c r="T1267" i="9"/>
  <c r="Q1267" i="9"/>
  <c r="M1267" i="9"/>
  <c r="K1267" i="9"/>
  <c r="H1267" i="9"/>
  <c r="H1267" i="9" a="1"/>
  <c r="D1267" i="9"/>
  <c r="T1266" i="9"/>
  <c r="Q1266" i="9"/>
  <c r="M1266" i="9"/>
  <c r="K1266" i="9"/>
  <c r="H1266" i="9"/>
  <c r="H1266" i="9" a="1"/>
  <c r="D1266" i="9"/>
  <c r="T1265" i="9"/>
  <c r="Q1265" i="9"/>
  <c r="M1265" i="9"/>
  <c r="K1265" i="9"/>
  <c r="H1265" i="9"/>
  <c r="H1265" i="9" a="1"/>
  <c r="D1265" i="9"/>
  <c r="T1264" i="9"/>
  <c r="Q1264" i="9"/>
  <c r="M1264" i="9"/>
  <c r="K1264" i="9"/>
  <c r="H1264" i="9"/>
  <c r="H1264" i="9" a="1"/>
  <c r="D1264" i="9"/>
  <c r="T1263" i="9"/>
  <c r="Q1263" i="9"/>
  <c r="M1263" i="9"/>
  <c r="K1263" i="9"/>
  <c r="H1263" i="9"/>
  <c r="H1263" i="9" a="1"/>
  <c r="D1263" i="9"/>
  <c r="T1262" i="9"/>
  <c r="Q1262" i="9"/>
  <c r="M1262" i="9"/>
  <c r="K1262" i="9"/>
  <c r="H1262" i="9"/>
  <c r="H1262" i="9" a="1"/>
  <c r="D1262" i="9"/>
  <c r="T1261" i="9"/>
  <c r="Q1261" i="9"/>
  <c r="M1261" i="9"/>
  <c r="K1261" i="9"/>
  <c r="H1261" i="9"/>
  <c r="H1261" i="9" a="1"/>
  <c r="D1261" i="9"/>
  <c r="T1260" i="9"/>
  <c r="Q1260" i="9"/>
  <c r="M1260" i="9"/>
  <c r="K1260" i="9"/>
  <c r="H1260" i="9"/>
  <c r="H1260" i="9" a="1"/>
  <c r="D1260" i="9"/>
  <c r="T1259" i="9"/>
  <c r="Q1259" i="9"/>
  <c r="M1259" i="9"/>
  <c r="K1259" i="9"/>
  <c r="H1259" i="9"/>
  <c r="H1259" i="9" a="1"/>
  <c r="D1259" i="9"/>
  <c r="T1258" i="9"/>
  <c r="Q1258" i="9"/>
  <c r="M1258" i="9"/>
  <c r="K1258" i="9"/>
  <c r="H1258" i="9"/>
  <c r="H1258" i="9" a="1"/>
  <c r="D1258" i="9"/>
  <c r="T1257" i="9"/>
  <c r="Q1257" i="9"/>
  <c r="M1257" i="9"/>
  <c r="K1257" i="9"/>
  <c r="H1257" i="9"/>
  <c r="H1257" i="9" a="1"/>
  <c r="D1257" i="9"/>
  <c r="T1256" i="9"/>
  <c r="Q1256" i="9"/>
  <c r="M1256" i="9"/>
  <c r="K1256" i="9"/>
  <c r="H1256" i="9"/>
  <c r="H1256" i="9" a="1"/>
  <c r="D1256" i="9"/>
  <c r="T1255" i="9"/>
  <c r="Q1255" i="9"/>
  <c r="M1255" i="9"/>
  <c r="K1255" i="9"/>
  <c r="H1255" i="9"/>
  <c r="H1255" i="9" a="1"/>
  <c r="D1255" i="9"/>
  <c r="T1254" i="9"/>
  <c r="Q1254" i="9"/>
  <c r="M1254" i="9"/>
  <c r="K1254" i="9"/>
  <c r="H1254" i="9"/>
  <c r="H1254" i="9" a="1"/>
  <c r="D1254" i="9"/>
  <c r="T1253" i="9"/>
  <c r="Q1253" i="9"/>
  <c r="M1253" i="9"/>
  <c r="K1253" i="9"/>
  <c r="H1253" i="9"/>
  <c r="H1253" i="9" a="1"/>
  <c r="D1253" i="9"/>
  <c r="T1252" i="9"/>
  <c r="Q1252" i="9"/>
  <c r="M1252" i="9"/>
  <c r="K1252" i="9"/>
  <c r="H1252" i="9"/>
  <c r="H1252" i="9" a="1"/>
  <c r="D1252" i="9"/>
  <c r="T1251" i="9"/>
  <c r="Q1251" i="9"/>
  <c r="M1251" i="9"/>
  <c r="K1251" i="9"/>
  <c r="H1251" i="9"/>
  <c r="H1251" i="9" a="1"/>
  <c r="D1251" i="9"/>
  <c r="T1250" i="9"/>
  <c r="Q1250" i="9"/>
  <c r="M1250" i="9"/>
  <c r="K1250" i="9"/>
  <c r="H1250" i="9"/>
  <c r="H1250" i="9" a="1"/>
  <c r="D1250" i="9"/>
  <c r="T1249" i="9"/>
  <c r="Q1249" i="9"/>
  <c r="M1249" i="9"/>
  <c r="K1249" i="9"/>
  <c r="H1249" i="9"/>
  <c r="H1249" i="9" a="1"/>
  <c r="D1249" i="9"/>
  <c r="T1248" i="9"/>
  <c r="Q1248" i="9"/>
  <c r="M1248" i="9"/>
  <c r="K1248" i="9"/>
  <c r="H1248" i="9"/>
  <c r="H1248" i="9" a="1"/>
  <c r="D1248" i="9"/>
  <c r="T1247" i="9"/>
  <c r="Q1247" i="9"/>
  <c r="M1247" i="9"/>
  <c r="K1247" i="9"/>
  <c r="H1247" i="9"/>
  <c r="H1247" i="9" a="1"/>
  <c r="D1247" i="9"/>
  <c r="T1246" i="9"/>
  <c r="Q1246" i="9"/>
  <c r="M1246" i="9"/>
  <c r="K1246" i="9"/>
  <c r="H1246" i="9"/>
  <c r="H1246" i="9" a="1"/>
  <c r="D1246" i="9"/>
  <c r="T1245" i="9"/>
  <c r="Q1245" i="9"/>
  <c r="M1245" i="9"/>
  <c r="K1245" i="9"/>
  <c r="H1245" i="9"/>
  <c r="H1245" i="9" a="1"/>
  <c r="D1245" i="9"/>
  <c r="T1244" i="9"/>
  <c r="Q1244" i="9"/>
  <c r="M1244" i="9"/>
  <c r="K1244" i="9"/>
  <c r="H1244" i="9"/>
  <c r="H1244" i="9" a="1"/>
  <c r="D1244" i="9"/>
  <c r="T1243" i="9"/>
  <c r="Q1243" i="9"/>
  <c r="M1243" i="9"/>
  <c r="K1243" i="9"/>
  <c r="H1243" i="9"/>
  <c r="H1243" i="9" a="1"/>
  <c r="D1243" i="9"/>
  <c r="T1242" i="9"/>
  <c r="Q1242" i="9"/>
  <c r="M1242" i="9"/>
  <c r="K1242" i="9"/>
  <c r="H1242" i="9"/>
  <c r="H1242" i="9" a="1"/>
  <c r="D1242" i="9"/>
  <c r="T1241" i="9"/>
  <c r="Q1241" i="9"/>
  <c r="M1241" i="9"/>
  <c r="K1241" i="9"/>
  <c r="H1241" i="9"/>
  <c r="H1241" i="9" a="1"/>
  <c r="D1241" i="9"/>
  <c r="T1240" i="9"/>
  <c r="Q1240" i="9"/>
  <c r="M1240" i="9"/>
  <c r="K1240" i="9"/>
  <c r="H1240" i="9"/>
  <c r="H1240" i="9" a="1"/>
  <c r="D1240" i="9"/>
  <c r="T1239" i="9"/>
  <c r="Q1239" i="9"/>
  <c r="M1239" i="9"/>
  <c r="K1239" i="9"/>
  <c r="H1239" i="9"/>
  <c r="H1239" i="9" a="1"/>
  <c r="D1239" i="9"/>
  <c r="T1238" i="9"/>
  <c r="Q1238" i="9"/>
  <c r="M1238" i="9"/>
  <c r="K1238" i="9"/>
  <c r="H1238" i="9"/>
  <c r="H1238" i="9" a="1"/>
  <c r="D1238" i="9"/>
  <c r="T1237" i="9"/>
  <c r="Q1237" i="9"/>
  <c r="M1237" i="9"/>
  <c r="K1237" i="9"/>
  <c r="H1237" i="9"/>
  <c r="H1237" i="9" a="1"/>
  <c r="D1237" i="9"/>
  <c r="T1236" i="9"/>
  <c r="Q1236" i="9"/>
  <c r="M1236" i="9"/>
  <c r="K1236" i="9"/>
  <c r="H1236" i="9"/>
  <c r="H1236" i="9" a="1"/>
  <c r="D1236" i="9"/>
  <c r="T1235" i="9"/>
  <c r="Q1235" i="9"/>
  <c r="M1235" i="9"/>
  <c r="K1235" i="9"/>
  <c r="H1235" i="9"/>
  <c r="H1235" i="9" a="1"/>
  <c r="D1235" i="9"/>
  <c r="T1234" i="9"/>
  <c r="Q1234" i="9"/>
  <c r="M1234" i="9"/>
  <c r="K1234" i="9"/>
  <c r="H1234" i="9"/>
  <c r="H1234" i="9" a="1"/>
  <c r="D1234" i="9"/>
  <c r="T1233" i="9"/>
  <c r="Q1233" i="9"/>
  <c r="M1233" i="9"/>
  <c r="K1233" i="9"/>
  <c r="H1233" i="9"/>
  <c r="H1233" i="9" a="1"/>
  <c r="D1233" i="9"/>
  <c r="T1232" i="9"/>
  <c r="Q1232" i="9"/>
  <c r="M1232" i="9"/>
  <c r="K1232" i="9"/>
  <c r="H1232" i="9"/>
  <c r="H1232" i="9" a="1"/>
  <c r="D1232" i="9"/>
  <c r="T1231" i="9"/>
  <c r="Q1231" i="9"/>
  <c r="M1231" i="9"/>
  <c r="K1231" i="9"/>
  <c r="H1231" i="9"/>
  <c r="H1231" i="9" a="1"/>
  <c r="D1231" i="9"/>
  <c r="T1230" i="9"/>
  <c r="Q1230" i="9"/>
  <c r="M1230" i="9"/>
  <c r="K1230" i="9"/>
  <c r="H1230" i="9"/>
  <c r="H1230" i="9" a="1"/>
  <c r="D1230" i="9"/>
  <c r="T1229" i="9"/>
  <c r="Q1229" i="9"/>
  <c r="M1229" i="9"/>
  <c r="K1229" i="9"/>
  <c r="H1229" i="9"/>
  <c r="H1229" i="9" a="1"/>
  <c r="D1229" i="9"/>
  <c r="T1228" i="9"/>
  <c r="Q1228" i="9"/>
  <c r="M1228" i="9"/>
  <c r="K1228" i="9"/>
  <c r="H1228" i="9"/>
  <c r="H1228" i="9" a="1"/>
  <c r="D1228" i="9"/>
  <c r="T1227" i="9"/>
  <c r="Q1227" i="9"/>
  <c r="M1227" i="9"/>
  <c r="K1227" i="9"/>
  <c r="H1227" i="9"/>
  <c r="H1227" i="9" a="1"/>
  <c r="D1227" i="9"/>
  <c r="T1226" i="9"/>
  <c r="Q1226" i="9"/>
  <c r="M1226" i="9"/>
  <c r="K1226" i="9"/>
  <c r="H1226" i="9"/>
  <c r="H1226" i="9" a="1"/>
  <c r="D1226" i="9"/>
  <c r="T1225" i="9"/>
  <c r="Q1225" i="9"/>
  <c r="M1225" i="9"/>
  <c r="K1225" i="9"/>
  <c r="H1225" i="9"/>
  <c r="H1225" i="9" a="1"/>
  <c r="D1225" i="9"/>
  <c r="T1224" i="9"/>
  <c r="Q1224" i="9"/>
  <c r="M1224" i="9"/>
  <c r="K1224" i="9"/>
  <c r="H1224" i="9"/>
  <c r="H1224" i="9" a="1"/>
  <c r="D1224" i="9"/>
  <c r="T1223" i="9"/>
  <c r="Q1223" i="9"/>
  <c r="M1223" i="9"/>
  <c r="K1223" i="9"/>
  <c r="H1223" i="9"/>
  <c r="H1223" i="9" a="1"/>
  <c r="D1223" i="9"/>
  <c r="T1222" i="9"/>
  <c r="Q1222" i="9"/>
  <c r="M1222" i="9"/>
  <c r="K1222" i="9"/>
  <c r="H1222" i="9"/>
  <c r="H1222" i="9" a="1"/>
  <c r="D1222" i="9"/>
  <c r="T1221" i="9"/>
  <c r="Q1221" i="9"/>
  <c r="M1221" i="9"/>
  <c r="K1221" i="9"/>
  <c r="H1221" i="9"/>
  <c r="H1221" i="9" a="1"/>
  <c r="D1221" i="9"/>
  <c r="T1220" i="9"/>
  <c r="Q1220" i="9"/>
  <c r="M1220" i="9"/>
  <c r="K1220" i="9"/>
  <c r="H1220" i="9"/>
  <c r="H1220" i="9" a="1"/>
  <c r="D1220" i="9"/>
  <c r="T1219" i="9"/>
  <c r="Q1219" i="9"/>
  <c r="M1219" i="9"/>
  <c r="K1219" i="9"/>
  <c r="H1219" i="9"/>
  <c r="H1219" i="9" a="1"/>
  <c r="D1219" i="9"/>
  <c r="T1218" i="9"/>
  <c r="Q1218" i="9"/>
  <c r="M1218" i="9"/>
  <c r="K1218" i="9"/>
  <c r="H1218" i="9"/>
  <c r="H1218" i="9" a="1"/>
  <c r="D1218" i="9"/>
  <c r="T1217" i="9"/>
  <c r="Q1217" i="9"/>
  <c r="M1217" i="9"/>
  <c r="K1217" i="9"/>
  <c r="H1217" i="9"/>
  <c r="H1217" i="9" a="1"/>
  <c r="D1217" i="9"/>
  <c r="T1216" i="9"/>
  <c r="Q1216" i="9"/>
  <c r="M1216" i="9"/>
  <c r="K1216" i="9"/>
  <c r="H1216" i="9"/>
  <c r="H1216" i="9" a="1"/>
  <c r="D1216" i="9"/>
  <c r="T1215" i="9"/>
  <c r="Q1215" i="9"/>
  <c r="M1215" i="9"/>
  <c r="K1215" i="9"/>
  <c r="H1215" i="9"/>
  <c r="H1215" i="9" a="1"/>
  <c r="D1215" i="9"/>
  <c r="T1214" i="9"/>
  <c r="Q1214" i="9"/>
  <c r="M1214" i="9"/>
  <c r="K1214" i="9"/>
  <c r="H1214" i="9"/>
  <c r="H1214" i="9" a="1"/>
  <c r="D1214" i="9"/>
  <c r="T1213" i="9"/>
  <c r="Q1213" i="9"/>
  <c r="M1213" i="9"/>
  <c r="K1213" i="9"/>
  <c r="H1213" i="9"/>
  <c r="H1213" i="9" a="1"/>
  <c r="D1213" i="9"/>
  <c r="T1212" i="9"/>
  <c r="Q1212" i="9"/>
  <c r="M1212" i="9"/>
  <c r="K1212" i="9"/>
  <c r="H1212" i="9"/>
  <c r="H1212" i="9" a="1"/>
  <c r="D1212" i="9"/>
  <c r="T1211" i="9"/>
  <c r="Q1211" i="9"/>
  <c r="M1211" i="9"/>
  <c r="K1211" i="9"/>
  <c r="H1211" i="9"/>
  <c r="H1211" i="9" a="1"/>
  <c r="D1211" i="9"/>
  <c r="T1210" i="9"/>
  <c r="Q1210" i="9"/>
  <c r="M1210" i="9"/>
  <c r="K1210" i="9"/>
  <c r="H1210" i="9"/>
  <c r="H1210" i="9" a="1"/>
  <c r="D1210" i="9"/>
  <c r="T1209" i="9"/>
  <c r="Q1209" i="9"/>
  <c r="M1209" i="9"/>
  <c r="K1209" i="9"/>
  <c r="H1209" i="9"/>
  <c r="H1209" i="9" a="1"/>
  <c r="D1209" i="9"/>
  <c r="T1208" i="9"/>
  <c r="Q1208" i="9"/>
  <c r="M1208" i="9"/>
  <c r="K1208" i="9"/>
  <c r="H1208" i="9"/>
  <c r="H1208" i="9" a="1"/>
  <c r="D1208" i="9"/>
  <c r="T1207" i="9"/>
  <c r="Q1207" i="9"/>
  <c r="M1207" i="9"/>
  <c r="K1207" i="9"/>
  <c r="H1207" i="9"/>
  <c r="H1207" i="9" a="1"/>
  <c r="D1207" i="9"/>
  <c r="T1206" i="9"/>
  <c r="Q1206" i="9"/>
  <c r="M1206" i="9"/>
  <c r="K1206" i="9"/>
  <c r="H1206" i="9"/>
  <c r="H1206" i="9" a="1"/>
  <c r="D1206" i="9"/>
  <c r="T1205" i="9"/>
  <c r="Q1205" i="9"/>
  <c r="M1205" i="9"/>
  <c r="K1205" i="9"/>
  <c r="H1205" i="9"/>
  <c r="H1205" i="9" a="1"/>
  <c r="D1205" i="9"/>
  <c r="T1204" i="9"/>
  <c r="Q1204" i="9"/>
  <c r="M1204" i="9"/>
  <c r="K1204" i="9"/>
  <c r="H1204" i="9"/>
  <c r="H1204" i="9" a="1"/>
  <c r="D1204" i="9"/>
  <c r="T1203" i="9"/>
  <c r="Q1203" i="9"/>
  <c r="M1203" i="9"/>
  <c r="K1203" i="9"/>
  <c r="H1203" i="9"/>
  <c r="H1203" i="9" a="1"/>
  <c r="D1203" i="9"/>
  <c r="T1202" i="9"/>
  <c r="Q1202" i="9"/>
  <c r="M1202" i="9"/>
  <c r="K1202" i="9"/>
  <c r="H1202" i="9"/>
  <c r="H1202" i="9" a="1"/>
  <c r="D1202" i="9"/>
  <c r="T1201" i="9"/>
  <c r="Q1201" i="9"/>
  <c r="M1201" i="9"/>
  <c r="K1201" i="9"/>
  <c r="H1201" i="9"/>
  <c r="H1201" i="9" a="1"/>
  <c r="D1201" i="9"/>
  <c r="T1200" i="9"/>
  <c r="Q1200" i="9"/>
  <c r="M1200" i="9"/>
  <c r="K1200" i="9"/>
  <c r="H1200" i="9"/>
  <c r="H1200" i="9" a="1"/>
  <c r="D1200" i="9"/>
  <c r="T1199" i="9"/>
  <c r="Q1199" i="9"/>
  <c r="M1199" i="9"/>
  <c r="K1199" i="9"/>
  <c r="H1199" i="9"/>
  <c r="H1199" i="9" a="1"/>
  <c r="D1199" i="9"/>
  <c r="T1198" i="9"/>
  <c r="Q1198" i="9"/>
  <c r="M1198" i="9"/>
  <c r="K1198" i="9"/>
  <c r="H1198" i="9"/>
  <c r="H1198" i="9" a="1"/>
  <c r="D1198" i="9"/>
  <c r="T1197" i="9"/>
  <c r="Q1197" i="9"/>
  <c r="M1197" i="9"/>
  <c r="K1197" i="9"/>
  <c r="H1197" i="9"/>
  <c r="H1197" i="9" a="1"/>
  <c r="D1197" i="9"/>
  <c r="T1196" i="9"/>
  <c r="Q1196" i="9"/>
  <c r="M1196" i="9"/>
  <c r="K1196" i="9"/>
  <c r="H1196" i="9"/>
  <c r="H1196" i="9" a="1"/>
  <c r="D1196" i="9"/>
  <c r="T1195" i="9"/>
  <c r="Q1195" i="9"/>
  <c r="M1195" i="9"/>
  <c r="K1195" i="9"/>
  <c r="H1195" i="9"/>
  <c r="H1195" i="9" a="1"/>
  <c r="D1195" i="9"/>
  <c r="T1194" i="9"/>
  <c r="Q1194" i="9"/>
  <c r="M1194" i="9"/>
  <c r="K1194" i="9"/>
  <c r="H1194" i="9"/>
  <c r="H1194" i="9" a="1"/>
  <c r="D1194" i="9"/>
  <c r="T1193" i="9"/>
  <c r="Q1193" i="9"/>
  <c r="M1193" i="9"/>
  <c r="K1193" i="9"/>
  <c r="H1193" i="9"/>
  <c r="H1193" i="9" a="1"/>
  <c r="D1193" i="9"/>
  <c r="T1192" i="9"/>
  <c r="Q1192" i="9"/>
  <c r="M1192" i="9"/>
  <c r="K1192" i="9"/>
  <c r="H1192" i="9"/>
  <c r="H1192" i="9" a="1"/>
  <c r="D1192" i="9"/>
  <c r="T1191" i="9"/>
  <c r="Q1191" i="9"/>
  <c r="M1191" i="9"/>
  <c r="K1191" i="9"/>
  <c r="H1191" i="9"/>
  <c r="H1191" i="9" a="1"/>
  <c r="D1191" i="9"/>
  <c r="T1190" i="9"/>
  <c r="Q1190" i="9"/>
  <c r="M1190" i="9"/>
  <c r="K1190" i="9"/>
  <c r="H1190" i="9"/>
  <c r="H1190" i="9" a="1"/>
  <c r="D1190" i="9"/>
  <c r="T1189" i="9"/>
  <c r="Q1189" i="9"/>
  <c r="M1189" i="9"/>
  <c r="K1189" i="9"/>
  <c r="H1189" i="9"/>
  <c r="H1189" i="9" a="1"/>
  <c r="D1189" i="9"/>
  <c r="T1188" i="9"/>
  <c r="Q1188" i="9"/>
  <c r="M1188" i="9"/>
  <c r="K1188" i="9"/>
  <c r="H1188" i="9"/>
  <c r="H1188" i="9" a="1"/>
  <c r="D1188" i="9"/>
  <c r="T1187" i="9"/>
  <c r="Q1187" i="9"/>
  <c r="M1187" i="9"/>
  <c r="K1187" i="9"/>
  <c r="H1187" i="9"/>
  <c r="H1187" i="9" a="1"/>
  <c r="D1187" i="9"/>
  <c r="T1186" i="9"/>
  <c r="Q1186" i="9"/>
  <c r="M1186" i="9"/>
  <c r="K1186" i="9"/>
  <c r="H1186" i="9"/>
  <c r="H1186" i="9" a="1"/>
  <c r="D1186" i="9"/>
  <c r="T1185" i="9"/>
  <c r="Q1185" i="9"/>
  <c r="M1185" i="9"/>
  <c r="K1185" i="9"/>
  <c r="H1185" i="9"/>
  <c r="H1185" i="9" a="1"/>
  <c r="D1185" i="9"/>
  <c r="T1184" i="9"/>
  <c r="Q1184" i="9"/>
  <c r="M1184" i="9"/>
  <c r="K1184" i="9"/>
  <c r="H1184" i="9"/>
  <c r="H1184" i="9" a="1"/>
  <c r="D1184" i="9"/>
  <c r="T1183" i="9"/>
  <c r="Q1183" i="9"/>
  <c r="M1183" i="9"/>
  <c r="K1183" i="9"/>
  <c r="H1183" i="9"/>
  <c r="H1183" i="9" a="1"/>
  <c r="D1183" i="9"/>
  <c r="T1182" i="9"/>
  <c r="Q1182" i="9"/>
  <c r="M1182" i="9"/>
  <c r="K1182" i="9"/>
  <c r="H1182" i="9"/>
  <c r="H1182" i="9" a="1"/>
  <c r="D1182" i="9"/>
  <c r="T1181" i="9"/>
  <c r="Q1181" i="9"/>
  <c r="M1181" i="9"/>
  <c r="K1181" i="9"/>
  <c r="H1181" i="9"/>
  <c r="H1181" i="9" a="1"/>
  <c r="D1181" i="9"/>
  <c r="T1180" i="9"/>
  <c r="Q1180" i="9"/>
  <c r="M1180" i="9"/>
  <c r="K1180" i="9"/>
  <c r="H1180" i="9"/>
  <c r="H1180" i="9" a="1"/>
  <c r="D1180" i="9"/>
  <c r="T1179" i="9"/>
  <c r="Q1179" i="9"/>
  <c r="M1179" i="9"/>
  <c r="K1179" i="9"/>
  <c r="H1179" i="9"/>
  <c r="H1179" i="9" a="1"/>
  <c r="D1179" i="9"/>
  <c r="T1178" i="9"/>
  <c r="Q1178" i="9"/>
  <c r="M1178" i="9"/>
  <c r="K1178" i="9"/>
  <c r="H1178" i="9"/>
  <c r="H1178" i="9" a="1"/>
  <c r="D1178" i="9"/>
  <c r="T1177" i="9"/>
  <c r="Q1177" i="9"/>
  <c r="M1177" i="9"/>
  <c r="K1177" i="9"/>
  <c r="H1177" i="9"/>
  <c r="H1177" i="9" a="1"/>
  <c r="D1177" i="9"/>
  <c r="T1176" i="9"/>
  <c r="Q1176" i="9"/>
  <c r="M1176" i="9"/>
  <c r="K1176" i="9"/>
  <c r="H1176" i="9"/>
  <c r="H1176" i="9" a="1"/>
  <c r="D1176" i="9"/>
  <c r="T1175" i="9"/>
  <c r="Q1175" i="9"/>
  <c r="M1175" i="9"/>
  <c r="K1175" i="9"/>
  <c r="H1175" i="9"/>
  <c r="H1175" i="9" a="1"/>
  <c r="D1175" i="9"/>
  <c r="T1174" i="9"/>
  <c r="Q1174" i="9"/>
  <c r="M1174" i="9"/>
  <c r="K1174" i="9"/>
  <c r="H1174" i="9"/>
  <c r="H1174" i="9" a="1"/>
  <c r="D1174" i="9"/>
  <c r="T1173" i="9"/>
  <c r="Q1173" i="9"/>
  <c r="M1173" i="9"/>
  <c r="K1173" i="9"/>
  <c r="H1173" i="9"/>
  <c r="H1173" i="9" a="1"/>
  <c r="D1173" i="9"/>
  <c r="T1172" i="9"/>
  <c r="Q1172" i="9"/>
  <c r="M1172" i="9"/>
  <c r="K1172" i="9"/>
  <c r="H1172" i="9"/>
  <c r="H1172" i="9" a="1"/>
  <c r="D1172" i="9"/>
  <c r="T1171" i="9"/>
  <c r="Q1171" i="9"/>
  <c r="M1171" i="9"/>
  <c r="K1171" i="9"/>
  <c r="H1171" i="9"/>
  <c r="H1171" i="9" a="1"/>
  <c r="D1171" i="9"/>
  <c r="T1170" i="9"/>
  <c r="Q1170" i="9"/>
  <c r="M1170" i="9"/>
  <c r="K1170" i="9"/>
  <c r="H1170" i="9"/>
  <c r="H1170" i="9" a="1"/>
  <c r="D1170" i="9"/>
  <c r="T1169" i="9"/>
  <c r="Q1169" i="9"/>
  <c r="M1169" i="9"/>
  <c r="K1169" i="9"/>
  <c r="H1169" i="9"/>
  <c r="H1169" i="9" a="1"/>
  <c r="D1169" i="9"/>
  <c r="T1168" i="9"/>
  <c r="Q1168" i="9"/>
  <c r="M1168" i="9"/>
  <c r="K1168" i="9"/>
  <c r="H1168" i="9"/>
  <c r="H1168" i="9" a="1"/>
  <c r="D1168" i="9"/>
  <c r="T1167" i="9"/>
  <c r="Q1167" i="9"/>
  <c r="M1167" i="9"/>
  <c r="K1167" i="9"/>
  <c r="H1167" i="9"/>
  <c r="H1167" i="9" a="1"/>
  <c r="D1167" i="9"/>
  <c r="T1166" i="9"/>
  <c r="Q1166" i="9"/>
  <c r="M1166" i="9"/>
  <c r="K1166" i="9"/>
  <c r="H1166" i="9"/>
  <c r="H1166" i="9" a="1"/>
  <c r="D1166" i="9"/>
  <c r="T1165" i="9"/>
  <c r="Q1165" i="9"/>
  <c r="M1165" i="9"/>
  <c r="K1165" i="9"/>
  <c r="H1165" i="9"/>
  <c r="H1165" i="9" a="1"/>
  <c r="D1165" i="9"/>
  <c r="T1164" i="9"/>
  <c r="Q1164" i="9"/>
  <c r="M1164" i="9"/>
  <c r="K1164" i="9"/>
  <c r="H1164" i="9"/>
  <c r="H1164" i="9" a="1"/>
  <c r="D1164" i="9"/>
  <c r="T1163" i="9"/>
  <c r="Q1163" i="9"/>
  <c r="M1163" i="9"/>
  <c r="K1163" i="9"/>
  <c r="H1163" i="9"/>
  <c r="H1163" i="9" a="1"/>
  <c r="D1163" i="9"/>
  <c r="T1162" i="9"/>
  <c r="Q1162" i="9"/>
  <c r="M1162" i="9"/>
  <c r="K1162" i="9"/>
  <c r="H1162" i="9"/>
  <c r="H1162" i="9" a="1"/>
  <c r="D1162" i="9"/>
  <c r="T1161" i="9"/>
  <c r="Q1161" i="9"/>
  <c r="M1161" i="9"/>
  <c r="K1161" i="9"/>
  <c r="H1161" i="9"/>
  <c r="H1161" i="9" a="1"/>
  <c r="D1161" i="9"/>
  <c r="T1160" i="9"/>
  <c r="Q1160" i="9"/>
  <c r="M1160" i="9"/>
  <c r="K1160" i="9"/>
  <c r="H1160" i="9"/>
  <c r="H1160" i="9" a="1"/>
  <c r="D1160" i="9"/>
  <c r="T1159" i="9"/>
  <c r="Q1159" i="9"/>
  <c r="M1159" i="9"/>
  <c r="K1159" i="9"/>
  <c r="H1159" i="9"/>
  <c r="H1159" i="9" a="1"/>
  <c r="D1159" i="9"/>
  <c r="T1158" i="9"/>
  <c r="Q1158" i="9"/>
  <c r="M1158" i="9"/>
  <c r="K1158" i="9"/>
  <c r="H1158" i="9"/>
  <c r="H1158" i="9" a="1"/>
  <c r="D1158" i="9"/>
  <c r="T1157" i="9"/>
  <c r="Q1157" i="9"/>
  <c r="M1157" i="9"/>
  <c r="K1157" i="9"/>
  <c r="H1157" i="9"/>
  <c r="H1157" i="9" a="1"/>
  <c r="D1157" i="9"/>
  <c r="T1156" i="9"/>
  <c r="Q1156" i="9"/>
  <c r="M1156" i="9"/>
  <c r="K1156" i="9"/>
  <c r="H1156" i="9"/>
  <c r="H1156" i="9" a="1"/>
  <c r="D1156" i="9"/>
  <c r="T1155" i="9"/>
  <c r="Q1155" i="9"/>
  <c r="M1155" i="9"/>
  <c r="K1155" i="9"/>
  <c r="H1155" i="9"/>
  <c r="H1155" i="9" a="1"/>
  <c r="D1155" i="9"/>
  <c r="T1154" i="9"/>
  <c r="Q1154" i="9"/>
  <c r="M1154" i="9"/>
  <c r="K1154" i="9"/>
  <c r="H1154" i="9"/>
  <c r="H1154" i="9" a="1"/>
  <c r="D1154" i="9"/>
  <c r="T1153" i="9"/>
  <c r="Q1153" i="9"/>
  <c r="M1153" i="9"/>
  <c r="K1153" i="9"/>
  <c r="H1153" i="9"/>
  <c r="H1153" i="9" a="1"/>
  <c r="D1153" i="9"/>
  <c r="T1152" i="9"/>
  <c r="Q1152" i="9"/>
  <c r="M1152" i="9"/>
  <c r="K1152" i="9"/>
  <c r="H1152" i="9"/>
  <c r="H1152" i="9" a="1"/>
  <c r="D1152" i="9"/>
  <c r="T1151" i="9"/>
  <c r="Q1151" i="9"/>
  <c r="M1151" i="9"/>
  <c r="K1151" i="9"/>
  <c r="H1151" i="9"/>
  <c r="H1151" i="9" a="1"/>
  <c r="D1151" i="9"/>
  <c r="T1150" i="9"/>
  <c r="Q1150" i="9"/>
  <c r="M1150" i="9"/>
  <c r="K1150" i="9"/>
  <c r="H1150" i="9"/>
  <c r="H1150" i="9" a="1"/>
  <c r="D1150" i="9"/>
  <c r="T1149" i="9"/>
  <c r="Q1149" i="9"/>
  <c r="M1149" i="9"/>
  <c r="K1149" i="9"/>
  <c r="H1149" i="9"/>
  <c r="H1149" i="9" a="1"/>
  <c r="D1149" i="9"/>
  <c r="T1148" i="9"/>
  <c r="Q1148" i="9"/>
  <c r="M1148" i="9"/>
  <c r="K1148" i="9"/>
  <c r="H1148" i="9"/>
  <c r="H1148" i="9" a="1"/>
  <c r="D1148" i="9"/>
  <c r="T1147" i="9"/>
  <c r="Q1147" i="9"/>
  <c r="M1147" i="9"/>
  <c r="K1147" i="9"/>
  <c r="H1147" i="9"/>
  <c r="H1147" i="9" a="1"/>
  <c r="D1147" i="9"/>
  <c r="T1146" i="9"/>
  <c r="Q1146" i="9"/>
  <c r="M1146" i="9"/>
  <c r="K1146" i="9"/>
  <c r="H1146" i="9"/>
  <c r="H1146" i="9" a="1"/>
  <c r="D1146" i="9"/>
  <c r="T1145" i="9"/>
  <c r="Q1145" i="9"/>
  <c r="M1145" i="9"/>
  <c r="K1145" i="9"/>
  <c r="H1145" i="9"/>
  <c r="H1145" i="9" a="1"/>
  <c r="D1145" i="9"/>
  <c r="T1144" i="9"/>
  <c r="Q1144" i="9"/>
  <c r="M1144" i="9"/>
  <c r="K1144" i="9"/>
  <c r="H1144" i="9"/>
  <c r="H1144" i="9" a="1"/>
  <c r="D1144" i="9"/>
  <c r="T1143" i="9"/>
  <c r="Q1143" i="9"/>
  <c r="M1143" i="9"/>
  <c r="K1143" i="9"/>
  <c r="H1143" i="9"/>
  <c r="H1143" i="9" a="1"/>
  <c r="D1143" i="9"/>
  <c r="T1142" i="9"/>
  <c r="Q1142" i="9"/>
  <c r="M1142" i="9"/>
  <c r="K1142" i="9"/>
  <c r="H1142" i="9"/>
  <c r="H1142" i="9" a="1"/>
  <c r="D1142" i="9"/>
  <c r="T1141" i="9"/>
  <c r="Q1141" i="9"/>
  <c r="M1141" i="9"/>
  <c r="K1141" i="9"/>
  <c r="H1141" i="9"/>
  <c r="H1141" i="9" a="1"/>
  <c r="D1141" i="9"/>
  <c r="T1140" i="9"/>
  <c r="Q1140" i="9"/>
  <c r="M1140" i="9"/>
  <c r="K1140" i="9"/>
  <c r="H1140" i="9"/>
  <c r="H1140" i="9" a="1"/>
  <c r="D1140" i="9"/>
  <c r="T1139" i="9"/>
  <c r="Q1139" i="9"/>
  <c r="M1139" i="9"/>
  <c r="K1139" i="9"/>
  <c r="H1139" i="9"/>
  <c r="H1139" i="9" a="1"/>
  <c r="D1139" i="9"/>
  <c r="T1138" i="9"/>
  <c r="Q1138" i="9"/>
  <c r="M1138" i="9"/>
  <c r="K1138" i="9"/>
  <c r="H1138" i="9"/>
  <c r="H1138" i="9" a="1"/>
  <c r="D1138" i="9"/>
  <c r="T1137" i="9"/>
  <c r="Q1137" i="9"/>
  <c r="M1137" i="9"/>
  <c r="K1137" i="9"/>
  <c r="H1137" i="9"/>
  <c r="H1137" i="9" a="1"/>
  <c r="D1137" i="9"/>
  <c r="T1136" i="9"/>
  <c r="Q1136" i="9"/>
  <c r="M1136" i="9"/>
  <c r="K1136" i="9"/>
  <c r="H1136" i="9"/>
  <c r="H1136" i="9" a="1"/>
  <c r="D1136" i="9"/>
  <c r="T1135" i="9"/>
  <c r="Q1135" i="9"/>
  <c r="M1135" i="9"/>
  <c r="K1135" i="9"/>
  <c r="H1135" i="9"/>
  <c r="H1135" i="9" a="1"/>
  <c r="D1135" i="9"/>
  <c r="T1134" i="9"/>
  <c r="Q1134" i="9"/>
  <c r="M1134" i="9"/>
  <c r="K1134" i="9"/>
  <c r="H1134" i="9"/>
  <c r="H1134" i="9" a="1"/>
  <c r="D1134" i="9"/>
  <c r="T1133" i="9"/>
  <c r="Q1133" i="9"/>
  <c r="M1133" i="9"/>
  <c r="K1133" i="9"/>
  <c r="H1133" i="9"/>
  <c r="H1133" i="9" a="1"/>
  <c r="D1133" i="9"/>
  <c r="T1132" i="9"/>
  <c r="Q1132" i="9"/>
  <c r="M1132" i="9"/>
  <c r="K1132" i="9"/>
  <c r="H1132" i="9"/>
  <c r="H1132" i="9" a="1"/>
  <c r="D1132" i="9"/>
  <c r="T1131" i="9"/>
  <c r="Q1131" i="9"/>
  <c r="M1131" i="9"/>
  <c r="K1131" i="9"/>
  <c r="H1131" i="9"/>
  <c r="H1131" i="9" a="1"/>
  <c r="D1131" i="9"/>
  <c r="T1130" i="9"/>
  <c r="Q1130" i="9"/>
  <c r="M1130" i="9"/>
  <c r="K1130" i="9"/>
  <c r="H1130" i="9"/>
  <c r="H1130" i="9" a="1"/>
  <c r="D1130" i="9"/>
  <c r="T1129" i="9"/>
  <c r="Q1129" i="9"/>
  <c r="M1129" i="9"/>
  <c r="K1129" i="9"/>
  <c r="H1129" i="9"/>
  <c r="H1129" i="9" a="1"/>
  <c r="D1129" i="9"/>
  <c r="T1128" i="9"/>
  <c r="Q1128" i="9"/>
  <c r="M1128" i="9"/>
  <c r="K1128" i="9"/>
  <c r="H1128" i="9"/>
  <c r="H1128" i="9" a="1"/>
  <c r="D1128" i="9"/>
  <c r="T1127" i="9"/>
  <c r="Q1127" i="9"/>
  <c r="M1127" i="9"/>
  <c r="K1127" i="9"/>
  <c r="H1127" i="9"/>
  <c r="H1127" i="9" a="1"/>
  <c r="D1127" i="9"/>
  <c r="T1126" i="9"/>
  <c r="Q1126" i="9"/>
  <c r="M1126" i="9"/>
  <c r="K1126" i="9"/>
  <c r="H1126" i="9"/>
  <c r="H1126" i="9" a="1"/>
  <c r="D1126" i="9"/>
  <c r="T1125" i="9"/>
  <c r="Q1125" i="9"/>
  <c r="M1125" i="9"/>
  <c r="K1125" i="9"/>
  <c r="H1125" i="9"/>
  <c r="H1125" i="9" a="1"/>
  <c r="D1125" i="9"/>
  <c r="T1124" i="9"/>
  <c r="Q1124" i="9"/>
  <c r="M1124" i="9"/>
  <c r="K1124" i="9"/>
  <c r="H1124" i="9"/>
  <c r="H1124" i="9" a="1"/>
  <c r="D1124" i="9"/>
  <c r="T1123" i="9"/>
  <c r="Q1123" i="9"/>
  <c r="M1123" i="9"/>
  <c r="K1123" i="9"/>
  <c r="H1123" i="9"/>
  <c r="H1123" i="9" a="1"/>
  <c r="D1123" i="9"/>
  <c r="T1122" i="9"/>
  <c r="Q1122" i="9"/>
  <c r="M1122" i="9"/>
  <c r="K1122" i="9"/>
  <c r="H1122" i="9"/>
  <c r="H1122" i="9" a="1"/>
  <c r="D1122" i="9"/>
  <c r="T1121" i="9"/>
  <c r="Q1121" i="9"/>
  <c r="M1121" i="9"/>
  <c r="K1121" i="9"/>
  <c r="H1121" i="9"/>
  <c r="H1121" i="9" a="1"/>
  <c r="D1121" i="9"/>
  <c r="T1120" i="9"/>
  <c r="Q1120" i="9"/>
  <c r="M1120" i="9"/>
  <c r="K1120" i="9"/>
  <c r="H1120" i="9"/>
  <c r="H1120" i="9" a="1"/>
  <c r="D1120" i="9"/>
  <c r="T1119" i="9"/>
  <c r="Q1119" i="9"/>
  <c r="M1119" i="9"/>
  <c r="K1119" i="9"/>
  <c r="H1119" i="9"/>
  <c r="H1119" i="9" a="1"/>
  <c r="D1119" i="9"/>
  <c r="T1118" i="9"/>
  <c r="Q1118" i="9"/>
  <c r="M1118" i="9"/>
  <c r="K1118" i="9"/>
  <c r="H1118" i="9"/>
  <c r="H1118" i="9" a="1"/>
  <c r="D1118" i="9"/>
  <c r="T1117" i="9"/>
  <c r="Q1117" i="9"/>
  <c r="M1117" i="9"/>
  <c r="K1117" i="9"/>
  <c r="H1117" i="9"/>
  <c r="H1117" i="9" a="1"/>
  <c r="D1117" i="9"/>
  <c r="T1116" i="9"/>
  <c r="Q1116" i="9"/>
  <c r="M1116" i="9"/>
  <c r="K1116" i="9"/>
  <c r="H1116" i="9"/>
  <c r="H1116" i="9" a="1"/>
  <c r="D1116" i="9"/>
  <c r="T1115" i="9"/>
  <c r="Q1115" i="9"/>
  <c r="M1115" i="9"/>
  <c r="K1115" i="9"/>
  <c r="H1115" i="9"/>
  <c r="H1115" i="9" a="1"/>
  <c r="D1115" i="9"/>
  <c r="T1114" i="9"/>
  <c r="Q1114" i="9"/>
  <c r="M1114" i="9"/>
  <c r="K1114" i="9"/>
  <c r="H1114" i="9"/>
  <c r="H1114" i="9" a="1"/>
  <c r="D1114" i="9"/>
  <c r="T1113" i="9"/>
  <c r="Q1113" i="9"/>
  <c r="M1113" i="9"/>
  <c r="K1113" i="9"/>
  <c r="H1113" i="9"/>
  <c r="H1113" i="9" a="1"/>
  <c r="D1113" i="9"/>
  <c r="T1112" i="9"/>
  <c r="Q1112" i="9"/>
  <c r="M1112" i="9"/>
  <c r="K1112" i="9"/>
  <c r="H1112" i="9"/>
  <c r="H1112" i="9" a="1"/>
  <c r="D1112" i="9"/>
  <c r="T1111" i="9"/>
  <c r="Q1111" i="9"/>
  <c r="M1111" i="9"/>
  <c r="K1111" i="9"/>
  <c r="H1111" i="9"/>
  <c r="H1111" i="9" a="1"/>
  <c r="D1111" i="9"/>
  <c r="T1110" i="9"/>
  <c r="Q1110" i="9"/>
  <c r="M1110" i="9"/>
  <c r="K1110" i="9"/>
  <c r="H1110" i="9"/>
  <c r="H1110" i="9" a="1"/>
  <c r="D1110" i="9"/>
  <c r="T1109" i="9"/>
  <c r="Q1109" i="9"/>
  <c r="M1109" i="9"/>
  <c r="K1109" i="9"/>
  <c r="H1109" i="9"/>
  <c r="H1109" i="9" a="1"/>
  <c r="D1109" i="9"/>
  <c r="T1108" i="9"/>
  <c r="Q1108" i="9"/>
  <c r="M1108" i="9"/>
  <c r="K1108" i="9"/>
  <c r="H1108" i="9"/>
  <c r="H1108" i="9" a="1"/>
  <c r="D1108" i="9"/>
  <c r="T1107" i="9"/>
  <c r="Q1107" i="9"/>
  <c r="M1107" i="9"/>
  <c r="K1107" i="9"/>
  <c r="H1107" i="9"/>
  <c r="H1107" i="9" a="1"/>
  <c r="D1107" i="9"/>
  <c r="T1106" i="9"/>
  <c r="Q1106" i="9"/>
  <c r="M1106" i="9"/>
  <c r="K1106" i="9"/>
  <c r="H1106" i="9"/>
  <c r="H1106" i="9" a="1"/>
  <c r="D1106" i="9"/>
  <c r="T1105" i="9"/>
  <c r="Q1105" i="9"/>
  <c r="M1105" i="9"/>
  <c r="K1105" i="9"/>
  <c r="H1105" i="9"/>
  <c r="H1105" i="9" a="1"/>
  <c r="D1105" i="9"/>
  <c r="T1104" i="9"/>
  <c r="Q1104" i="9"/>
  <c r="M1104" i="9"/>
  <c r="K1104" i="9"/>
  <c r="H1104" i="9"/>
  <c r="H1104" i="9" a="1"/>
  <c r="D1104" i="9"/>
  <c r="T1103" i="9"/>
  <c r="Q1103" i="9"/>
  <c r="M1103" i="9"/>
  <c r="K1103" i="9"/>
  <c r="H1103" i="9"/>
  <c r="H1103" i="9" a="1"/>
  <c r="D1103" i="9"/>
  <c r="T1102" i="9"/>
  <c r="Q1102" i="9"/>
  <c r="M1102" i="9"/>
  <c r="K1102" i="9"/>
  <c r="H1102" i="9"/>
  <c r="H1102" i="9" a="1"/>
  <c r="D1102" i="9"/>
  <c r="T1101" i="9"/>
  <c r="Q1101" i="9"/>
  <c r="M1101" i="9"/>
  <c r="K1101" i="9"/>
  <c r="H1101" i="9"/>
  <c r="H1101" i="9" a="1"/>
  <c r="D1101" i="9"/>
  <c r="T1100" i="9"/>
  <c r="Q1100" i="9"/>
  <c r="M1100" i="9"/>
  <c r="K1100" i="9"/>
  <c r="H1100" i="9"/>
  <c r="H1100" i="9" a="1"/>
  <c r="D1100" i="9"/>
  <c r="T1099" i="9"/>
  <c r="Q1099" i="9"/>
  <c r="M1099" i="9"/>
  <c r="K1099" i="9"/>
  <c r="H1099" i="9"/>
  <c r="H1099" i="9" a="1"/>
  <c r="D1099" i="9"/>
  <c r="T1098" i="9"/>
  <c r="Q1098" i="9"/>
  <c r="M1098" i="9"/>
  <c r="K1098" i="9"/>
  <c r="H1098" i="9"/>
  <c r="H1098" i="9" a="1"/>
  <c r="D1098" i="9"/>
  <c r="T1097" i="9"/>
  <c r="Q1097" i="9"/>
  <c r="M1097" i="9"/>
  <c r="K1097" i="9"/>
  <c r="H1097" i="9"/>
  <c r="H1097" i="9" a="1"/>
  <c r="D1097" i="9"/>
  <c r="T1096" i="9"/>
  <c r="Q1096" i="9"/>
  <c r="M1096" i="9"/>
  <c r="K1096" i="9"/>
  <c r="H1096" i="9"/>
  <c r="H1096" i="9" a="1"/>
  <c r="D1096" i="9"/>
  <c r="T1095" i="9"/>
  <c r="Q1095" i="9"/>
  <c r="M1095" i="9"/>
  <c r="K1095" i="9"/>
  <c r="H1095" i="9"/>
  <c r="H1095" i="9" a="1"/>
  <c r="D1095" i="9"/>
  <c r="T1094" i="9"/>
  <c r="Q1094" i="9"/>
  <c r="M1094" i="9"/>
  <c r="K1094" i="9"/>
  <c r="H1094" i="9"/>
  <c r="H1094" i="9" a="1"/>
  <c r="D1094" i="9"/>
  <c r="T1093" i="9"/>
  <c r="Q1093" i="9"/>
  <c r="M1093" i="9"/>
  <c r="K1093" i="9"/>
  <c r="H1093" i="9"/>
  <c r="H1093" i="9" a="1"/>
  <c r="D1093" i="9"/>
  <c r="T1092" i="9"/>
  <c r="Q1092" i="9"/>
  <c r="M1092" i="9"/>
  <c r="K1092" i="9"/>
  <c r="H1092" i="9"/>
  <c r="H1092" i="9" a="1"/>
  <c r="D1092" i="9"/>
  <c r="T1091" i="9"/>
  <c r="Q1091" i="9"/>
  <c r="M1091" i="9"/>
  <c r="K1091" i="9"/>
  <c r="H1091" i="9"/>
  <c r="H1091" i="9" a="1"/>
  <c r="D1091" i="9"/>
  <c r="T1090" i="9"/>
  <c r="Q1090" i="9"/>
  <c r="M1090" i="9"/>
  <c r="K1090" i="9"/>
  <c r="H1090" i="9"/>
  <c r="H1090" i="9" a="1"/>
  <c r="D1090" i="9"/>
  <c r="T1089" i="9"/>
  <c r="Q1089" i="9"/>
  <c r="M1089" i="9"/>
  <c r="K1089" i="9"/>
  <c r="H1089" i="9"/>
  <c r="H1089" i="9" a="1"/>
  <c r="D1089" i="9"/>
  <c r="T1088" i="9"/>
  <c r="Q1088" i="9"/>
  <c r="M1088" i="9"/>
  <c r="K1088" i="9"/>
  <c r="H1088" i="9"/>
  <c r="H1088" i="9" a="1"/>
  <c r="D1088" i="9"/>
  <c r="T1087" i="9"/>
  <c r="Q1087" i="9"/>
  <c r="M1087" i="9"/>
  <c r="K1087" i="9"/>
  <c r="H1087" i="9"/>
  <c r="H1087" i="9" a="1"/>
  <c r="D1087" i="9"/>
  <c r="T1086" i="9"/>
  <c r="Q1086" i="9"/>
  <c r="M1086" i="9"/>
  <c r="K1086" i="9"/>
  <c r="H1086" i="9"/>
  <c r="H1086" i="9" a="1"/>
  <c r="D1086" i="9"/>
  <c r="T1085" i="9"/>
  <c r="Q1085" i="9"/>
  <c r="M1085" i="9"/>
  <c r="K1085" i="9"/>
  <c r="H1085" i="9"/>
  <c r="H1085" i="9" a="1"/>
  <c r="D1085" i="9"/>
  <c r="T1084" i="9"/>
  <c r="Q1084" i="9"/>
  <c r="M1084" i="9"/>
  <c r="K1084" i="9"/>
  <c r="H1084" i="9"/>
  <c r="H1084" i="9" a="1"/>
  <c r="D1084" i="9"/>
  <c r="T1083" i="9"/>
  <c r="Q1083" i="9"/>
  <c r="M1083" i="9"/>
  <c r="K1083" i="9"/>
  <c r="H1083" i="9"/>
  <c r="H1083" i="9" a="1"/>
  <c r="D1083" i="9"/>
  <c r="T1082" i="9"/>
  <c r="Q1082" i="9"/>
  <c r="M1082" i="9"/>
  <c r="K1082" i="9"/>
  <c r="H1082" i="9"/>
  <c r="H1082" i="9" a="1"/>
  <c r="D1082" i="9"/>
  <c r="T1081" i="9"/>
  <c r="Q1081" i="9"/>
  <c r="M1081" i="9"/>
  <c r="K1081" i="9"/>
  <c r="H1081" i="9"/>
  <c r="H1081" i="9" a="1"/>
  <c r="D1081" i="9"/>
  <c r="T1080" i="9"/>
  <c r="Q1080" i="9"/>
  <c r="M1080" i="9"/>
  <c r="K1080" i="9"/>
  <c r="H1080" i="9"/>
  <c r="H1080" i="9" a="1"/>
  <c r="D1080" i="9"/>
  <c r="T1079" i="9"/>
  <c r="Q1079" i="9"/>
  <c r="M1079" i="9"/>
  <c r="K1079" i="9"/>
  <c r="H1079" i="9"/>
  <c r="H1079" i="9" a="1"/>
  <c r="D1079" i="9"/>
  <c r="T1078" i="9"/>
  <c r="Q1078" i="9"/>
  <c r="M1078" i="9"/>
  <c r="K1078" i="9"/>
  <c r="H1078" i="9"/>
  <c r="H1078" i="9" a="1"/>
  <c r="D1078" i="9"/>
  <c r="T1077" i="9"/>
  <c r="Q1077" i="9"/>
  <c r="M1077" i="9"/>
  <c r="K1077" i="9"/>
  <c r="H1077" i="9"/>
  <c r="H1077" i="9" a="1"/>
  <c r="D1077" i="9"/>
  <c r="T1076" i="9"/>
  <c r="Q1076" i="9"/>
  <c r="M1076" i="9"/>
  <c r="K1076" i="9"/>
  <c r="H1076" i="9"/>
  <c r="H1076" i="9" a="1"/>
  <c r="D1076" i="9"/>
  <c r="T1075" i="9"/>
  <c r="Q1075" i="9"/>
  <c r="M1075" i="9"/>
  <c r="K1075" i="9"/>
  <c r="H1075" i="9"/>
  <c r="H1075" i="9" a="1"/>
  <c r="D1075" i="9"/>
  <c r="T1074" i="9"/>
  <c r="Q1074" i="9"/>
  <c r="M1074" i="9"/>
  <c r="K1074" i="9"/>
  <c r="H1074" i="9"/>
  <c r="H1074" i="9" a="1"/>
  <c r="D1074" i="9"/>
  <c r="T1073" i="9"/>
  <c r="Q1073" i="9"/>
  <c r="M1073" i="9"/>
  <c r="K1073" i="9"/>
  <c r="H1073" i="9"/>
  <c r="H1073" i="9" a="1"/>
  <c r="D1073" i="9"/>
  <c r="T1072" i="9"/>
  <c r="Q1072" i="9"/>
  <c r="M1072" i="9"/>
  <c r="K1072" i="9"/>
  <c r="H1072" i="9"/>
  <c r="H1072" i="9" a="1"/>
  <c r="D1072" i="9"/>
  <c r="T1071" i="9"/>
  <c r="Q1071" i="9"/>
  <c r="M1071" i="9"/>
  <c r="K1071" i="9"/>
  <c r="H1071" i="9"/>
  <c r="H1071" i="9" a="1"/>
  <c r="D1071" i="9"/>
  <c r="T1070" i="9"/>
  <c r="Q1070" i="9"/>
  <c r="M1070" i="9"/>
  <c r="K1070" i="9"/>
  <c r="H1070" i="9"/>
  <c r="H1070" i="9" a="1"/>
  <c r="D1070" i="9"/>
  <c r="T1069" i="9"/>
  <c r="Q1069" i="9"/>
  <c r="M1069" i="9"/>
  <c r="K1069" i="9"/>
  <c r="H1069" i="9"/>
  <c r="H1069" i="9" a="1"/>
  <c r="D1069" i="9"/>
  <c r="T1068" i="9"/>
  <c r="Q1068" i="9"/>
  <c r="M1068" i="9"/>
  <c r="K1068" i="9"/>
  <c r="H1068" i="9"/>
  <c r="H1068" i="9" a="1"/>
  <c r="D1068" i="9"/>
  <c r="T1067" i="9"/>
  <c r="Q1067" i="9"/>
  <c r="M1067" i="9"/>
  <c r="K1067" i="9"/>
  <c r="H1067" i="9"/>
  <c r="H1067" i="9" a="1"/>
  <c r="D1067" i="9"/>
  <c r="T1066" i="9"/>
  <c r="Q1066" i="9"/>
  <c r="M1066" i="9"/>
  <c r="K1066" i="9"/>
  <c r="H1066" i="9"/>
  <c r="H1066" i="9" a="1"/>
  <c r="D1066" i="9"/>
  <c r="T1065" i="9"/>
  <c r="Q1065" i="9"/>
  <c r="M1065" i="9"/>
  <c r="K1065" i="9"/>
  <c r="H1065" i="9"/>
  <c r="H1065" i="9" a="1"/>
  <c r="D1065" i="9"/>
  <c r="T1064" i="9"/>
  <c r="Q1064" i="9"/>
  <c r="M1064" i="9"/>
  <c r="K1064" i="9"/>
  <c r="H1064" i="9"/>
  <c r="H1064" i="9" a="1"/>
  <c r="D1064" i="9"/>
  <c r="T1063" i="9"/>
  <c r="Q1063" i="9"/>
  <c r="M1063" i="9"/>
  <c r="K1063" i="9"/>
  <c r="H1063" i="9"/>
  <c r="H1063" i="9" a="1"/>
  <c r="D1063" i="9"/>
  <c r="T1062" i="9"/>
  <c r="Q1062" i="9"/>
  <c r="M1062" i="9"/>
  <c r="K1062" i="9"/>
  <c r="H1062" i="9"/>
  <c r="H1062" i="9" a="1"/>
  <c r="D1062" i="9"/>
  <c r="T1061" i="9"/>
  <c r="Q1061" i="9"/>
  <c r="M1061" i="9"/>
  <c r="K1061" i="9"/>
  <c r="H1061" i="9"/>
  <c r="H1061" i="9" a="1"/>
  <c r="D1061" i="9"/>
  <c r="T1060" i="9"/>
  <c r="Q1060" i="9"/>
  <c r="M1060" i="9"/>
  <c r="K1060" i="9"/>
  <c r="H1060" i="9"/>
  <c r="H1060" i="9" a="1"/>
  <c r="D1060" i="9"/>
  <c r="T1059" i="9"/>
  <c r="Q1059" i="9"/>
  <c r="M1059" i="9"/>
  <c r="K1059" i="9"/>
  <c r="H1059" i="9"/>
  <c r="H1059" i="9" a="1"/>
  <c r="D1059" i="9"/>
  <c r="T1058" i="9"/>
  <c r="Q1058" i="9"/>
  <c r="M1058" i="9"/>
  <c r="K1058" i="9"/>
  <c r="H1058" i="9"/>
  <c r="H1058" i="9" a="1"/>
  <c r="D1058" i="9"/>
  <c r="T1057" i="9"/>
  <c r="Q1057" i="9"/>
  <c r="M1057" i="9"/>
  <c r="K1057" i="9"/>
  <c r="H1057" i="9"/>
  <c r="H1057" i="9" a="1"/>
  <c r="D1057" i="9"/>
  <c r="T1056" i="9"/>
  <c r="Q1056" i="9"/>
  <c r="M1056" i="9"/>
  <c r="K1056" i="9"/>
  <c r="H1056" i="9"/>
  <c r="H1056" i="9" a="1"/>
  <c r="D1056" i="9"/>
  <c r="T1055" i="9"/>
  <c r="Q1055" i="9"/>
  <c r="M1055" i="9"/>
  <c r="K1055" i="9"/>
  <c r="H1055" i="9"/>
  <c r="H1055" i="9" a="1"/>
  <c r="D1055" i="9"/>
  <c r="T1054" i="9"/>
  <c r="Q1054" i="9"/>
  <c r="M1054" i="9"/>
  <c r="K1054" i="9"/>
  <c r="H1054" i="9"/>
  <c r="H1054" i="9" a="1"/>
  <c r="D1054" i="9"/>
  <c r="T1053" i="9"/>
  <c r="Q1053" i="9"/>
  <c r="M1053" i="9"/>
  <c r="K1053" i="9"/>
  <c r="H1053" i="9"/>
  <c r="H1053" i="9" a="1"/>
  <c r="D1053" i="9"/>
  <c r="T1052" i="9"/>
  <c r="Q1052" i="9"/>
  <c r="M1052" i="9"/>
  <c r="K1052" i="9"/>
  <c r="H1052" i="9"/>
  <c r="H1052" i="9" a="1"/>
  <c r="D1052" i="9"/>
  <c r="T1051" i="9"/>
  <c r="Q1051" i="9"/>
  <c r="M1051" i="9"/>
  <c r="K1051" i="9"/>
  <c r="H1051" i="9"/>
  <c r="H1051" i="9" a="1"/>
  <c r="D1051" i="9"/>
  <c r="T1050" i="9"/>
  <c r="Q1050" i="9"/>
  <c r="M1050" i="9"/>
  <c r="K1050" i="9"/>
  <c r="H1050" i="9"/>
  <c r="H1050" i="9" a="1"/>
  <c r="D1050" i="9"/>
  <c r="T1049" i="9"/>
  <c r="Q1049" i="9"/>
  <c r="M1049" i="9"/>
  <c r="K1049" i="9"/>
  <c r="H1049" i="9"/>
  <c r="H1049" i="9" a="1"/>
  <c r="D1049" i="9"/>
  <c r="T1048" i="9"/>
  <c r="Q1048" i="9"/>
  <c r="M1048" i="9"/>
  <c r="K1048" i="9"/>
  <c r="H1048" i="9"/>
  <c r="H1048" i="9" a="1"/>
  <c r="D1048" i="9"/>
  <c r="T1047" i="9"/>
  <c r="Q1047" i="9"/>
  <c r="M1047" i="9"/>
  <c r="K1047" i="9"/>
  <c r="H1047" i="9"/>
  <c r="H1047" i="9" a="1"/>
  <c r="D1047" i="9"/>
  <c r="T1046" i="9"/>
  <c r="Q1046" i="9"/>
  <c r="M1046" i="9"/>
  <c r="K1046" i="9"/>
  <c r="H1046" i="9"/>
  <c r="H1046" i="9" a="1"/>
  <c r="D1046" i="9"/>
  <c r="T1045" i="9"/>
  <c r="Q1045" i="9"/>
  <c r="M1045" i="9"/>
  <c r="K1045" i="9"/>
  <c r="H1045" i="9"/>
  <c r="H1045" i="9" a="1"/>
  <c r="D1045" i="9"/>
  <c r="T1044" i="9"/>
  <c r="Q1044" i="9"/>
  <c r="M1044" i="9"/>
  <c r="K1044" i="9"/>
  <c r="H1044" i="9"/>
  <c r="H1044" i="9" a="1"/>
  <c r="D1044" i="9"/>
  <c r="T1043" i="9"/>
  <c r="Q1043" i="9"/>
  <c r="M1043" i="9"/>
  <c r="K1043" i="9"/>
  <c r="H1043" i="9"/>
  <c r="H1043" i="9" a="1"/>
  <c r="D1043" i="9"/>
  <c r="T1042" i="9"/>
  <c r="Q1042" i="9"/>
  <c r="M1042" i="9"/>
  <c r="K1042" i="9"/>
  <c r="H1042" i="9"/>
  <c r="H1042" i="9" a="1"/>
  <c r="D1042" i="9"/>
  <c r="T1041" i="9"/>
  <c r="Q1041" i="9"/>
  <c r="M1041" i="9"/>
  <c r="K1041" i="9"/>
  <c r="H1041" i="9"/>
  <c r="H1041" i="9" a="1"/>
  <c r="D1041" i="9"/>
  <c r="T1040" i="9"/>
  <c r="Q1040" i="9"/>
  <c r="M1040" i="9"/>
  <c r="K1040" i="9"/>
  <c r="H1040" i="9"/>
  <c r="H1040" i="9" a="1"/>
  <c r="D1040" i="9"/>
  <c r="T1039" i="9"/>
  <c r="Q1039" i="9"/>
  <c r="M1039" i="9"/>
  <c r="K1039" i="9"/>
  <c r="H1039" i="9"/>
  <c r="H1039" i="9" a="1"/>
  <c r="D1039" i="9"/>
  <c r="T1038" i="9"/>
  <c r="Q1038" i="9"/>
  <c r="M1038" i="9"/>
  <c r="K1038" i="9"/>
  <c r="H1038" i="9"/>
  <c r="H1038" i="9" a="1"/>
  <c r="D1038" i="9"/>
  <c r="T1037" i="9"/>
  <c r="Q1037" i="9"/>
  <c r="M1037" i="9"/>
  <c r="K1037" i="9"/>
  <c r="H1037" i="9"/>
  <c r="H1037" i="9" a="1"/>
  <c r="D1037" i="9"/>
  <c r="T1036" i="9"/>
  <c r="Q1036" i="9"/>
  <c r="M1036" i="9"/>
  <c r="K1036" i="9"/>
  <c r="H1036" i="9"/>
  <c r="H1036" i="9" a="1"/>
  <c r="D1036" i="9"/>
  <c r="T1035" i="9"/>
  <c r="Q1035" i="9"/>
  <c r="M1035" i="9"/>
  <c r="K1035" i="9"/>
  <c r="H1035" i="9"/>
  <c r="H1035" i="9" a="1"/>
  <c r="D1035" i="9"/>
  <c r="T1034" i="9"/>
  <c r="Q1034" i="9"/>
  <c r="M1034" i="9"/>
  <c r="K1034" i="9"/>
  <c r="H1034" i="9"/>
  <c r="H1034" i="9" a="1"/>
  <c r="D1034" i="9"/>
  <c r="T1033" i="9"/>
  <c r="Q1033" i="9"/>
  <c r="M1033" i="9"/>
  <c r="K1033" i="9"/>
  <c r="H1033" i="9"/>
  <c r="H1033" i="9" a="1"/>
  <c r="D1033" i="9"/>
  <c r="T1032" i="9"/>
  <c r="Q1032" i="9"/>
  <c r="M1032" i="9"/>
  <c r="K1032" i="9"/>
  <c r="H1032" i="9"/>
  <c r="H1032" i="9" a="1"/>
  <c r="D1032" i="9"/>
  <c r="T1031" i="9"/>
  <c r="Q1031" i="9"/>
  <c r="M1031" i="9"/>
  <c r="K1031" i="9"/>
  <c r="H1031" i="9"/>
  <c r="H1031" i="9" a="1"/>
  <c r="D1031" i="9"/>
  <c r="T1030" i="9"/>
  <c r="Q1030" i="9"/>
  <c r="M1030" i="9"/>
  <c r="K1030" i="9"/>
  <c r="H1030" i="9"/>
  <c r="H1030" i="9" a="1"/>
  <c r="D1030" i="9"/>
  <c r="T1029" i="9"/>
  <c r="Q1029" i="9"/>
  <c r="M1029" i="9"/>
  <c r="K1029" i="9"/>
  <c r="H1029" i="9"/>
  <c r="H1029" i="9" a="1"/>
  <c r="D1029" i="9"/>
  <c r="T1028" i="9"/>
  <c r="Q1028" i="9"/>
  <c r="M1028" i="9"/>
  <c r="K1028" i="9"/>
  <c r="H1028" i="9"/>
  <c r="H1028" i="9" a="1"/>
  <c r="D1028" i="9"/>
  <c r="T1027" i="9"/>
  <c r="Q1027" i="9"/>
  <c r="M1027" i="9"/>
  <c r="K1027" i="9"/>
  <c r="H1027" i="9"/>
  <c r="H1027" i="9" a="1"/>
  <c r="D1027" i="9"/>
  <c r="T1026" i="9"/>
  <c r="Q1026" i="9"/>
  <c r="M1026" i="9"/>
  <c r="K1026" i="9"/>
  <c r="H1026" i="9"/>
  <c r="H1026" i="9" a="1"/>
  <c r="D1026" i="9"/>
  <c r="T1025" i="9"/>
  <c r="Q1025" i="9"/>
  <c r="M1025" i="9"/>
  <c r="K1025" i="9"/>
  <c r="H1025" i="9"/>
  <c r="H1025" i="9" a="1"/>
  <c r="D1025" i="9"/>
  <c r="T1024" i="9"/>
  <c r="Q1024" i="9"/>
  <c r="M1024" i="9"/>
  <c r="K1024" i="9"/>
  <c r="H1024" i="9"/>
  <c r="H1024" i="9" a="1"/>
  <c r="D1024" i="9"/>
  <c r="T1023" i="9"/>
  <c r="Q1023" i="9"/>
  <c r="M1023" i="9"/>
  <c r="K1023" i="9"/>
  <c r="H1023" i="9"/>
  <c r="H1023" i="9" a="1"/>
  <c r="D1023" i="9"/>
  <c r="T1022" i="9"/>
  <c r="Q1022" i="9"/>
  <c r="M1022" i="9"/>
  <c r="K1022" i="9"/>
  <c r="H1022" i="9"/>
  <c r="H1022" i="9" a="1"/>
  <c r="D1022" i="9"/>
  <c r="T1021" i="9"/>
  <c r="Q1021" i="9"/>
  <c r="M1021" i="9"/>
  <c r="K1021" i="9"/>
  <c r="H1021" i="9"/>
  <c r="H1021" i="9" a="1"/>
  <c r="D1021" i="9"/>
  <c r="T1020" i="9"/>
  <c r="Q1020" i="9"/>
  <c r="M1020" i="9"/>
  <c r="K1020" i="9"/>
  <c r="H1020" i="9"/>
  <c r="H1020" i="9" a="1"/>
  <c r="D1020" i="9"/>
  <c r="T1019" i="9"/>
  <c r="Q1019" i="9"/>
  <c r="M1019" i="9"/>
  <c r="K1019" i="9"/>
  <c r="H1019" i="9"/>
  <c r="H1019" i="9" a="1"/>
  <c r="D1019" i="9"/>
  <c r="T1018" i="9"/>
  <c r="Q1018" i="9"/>
  <c r="M1018" i="9"/>
  <c r="K1018" i="9"/>
  <c r="H1018" i="9"/>
  <c r="H1018" i="9" a="1"/>
  <c r="D1018" i="9"/>
  <c r="T1017" i="9"/>
  <c r="Q1017" i="9"/>
  <c r="M1017" i="9"/>
  <c r="K1017" i="9"/>
  <c r="H1017" i="9"/>
  <c r="H1017" i="9" a="1"/>
  <c r="D1017" i="9"/>
  <c r="T1016" i="9"/>
  <c r="Q1016" i="9"/>
  <c r="M1016" i="9"/>
  <c r="K1016" i="9"/>
  <c r="H1016" i="9"/>
  <c r="H1016" i="9" a="1"/>
  <c r="D1016" i="9"/>
  <c r="T1015" i="9"/>
  <c r="Q1015" i="9"/>
  <c r="M1015" i="9"/>
  <c r="K1015" i="9"/>
  <c r="H1015" i="9"/>
  <c r="H1015" i="9" a="1"/>
  <c r="D1015" i="9"/>
  <c r="T1014" i="9"/>
  <c r="Q1014" i="9"/>
  <c r="M1014" i="9"/>
  <c r="K1014" i="9"/>
  <c r="H1014" i="9"/>
  <c r="H1014" i="9" a="1"/>
  <c r="D1014" i="9"/>
  <c r="T1013" i="9"/>
  <c r="Q1013" i="9"/>
  <c r="M1013" i="9"/>
  <c r="K1013" i="9"/>
  <c r="H1013" i="9"/>
  <c r="H1013" i="9" a="1"/>
  <c r="D1013" i="9"/>
  <c r="T1012" i="9"/>
  <c r="Q1012" i="9"/>
  <c r="M1012" i="9"/>
  <c r="K1012" i="9"/>
  <c r="H1012" i="9"/>
  <c r="H1012" i="9" a="1"/>
  <c r="D1012" i="9"/>
  <c r="T1011" i="9"/>
  <c r="Q1011" i="9"/>
  <c r="M1011" i="9"/>
  <c r="K1011" i="9"/>
  <c r="H1011" i="9"/>
  <c r="H1011" i="9" a="1"/>
  <c r="D1011" i="9"/>
  <c r="T1010" i="9"/>
  <c r="Q1010" i="9"/>
  <c r="M1010" i="9"/>
  <c r="K1010" i="9"/>
  <c r="H1010" i="9"/>
  <c r="H1010" i="9" a="1"/>
  <c r="D1010" i="9"/>
  <c r="T1009" i="9"/>
  <c r="Q1009" i="9"/>
  <c r="M1009" i="9"/>
  <c r="K1009" i="9"/>
  <c r="H1009" i="9"/>
  <c r="H1009" i="9" a="1"/>
  <c r="D1009" i="9"/>
  <c r="T1008" i="9"/>
  <c r="Q1008" i="9"/>
  <c r="M1008" i="9"/>
  <c r="K1008" i="9"/>
  <c r="H1008" i="9"/>
  <c r="H1008" i="9" a="1"/>
  <c r="D1008" i="9"/>
  <c r="T1007" i="9"/>
  <c r="Q1007" i="9"/>
  <c r="M1007" i="9"/>
  <c r="K1007" i="9"/>
  <c r="H1007" i="9"/>
  <c r="H1007" i="9" a="1"/>
  <c r="D1007" i="9"/>
  <c r="T1006" i="9"/>
  <c r="Q1006" i="9"/>
  <c r="M1006" i="9"/>
  <c r="K1006" i="9"/>
  <c r="H1006" i="9"/>
  <c r="H1006" i="9" a="1"/>
  <c r="D1006" i="9"/>
  <c r="T1005" i="9"/>
  <c r="Q1005" i="9"/>
  <c r="M1005" i="9"/>
  <c r="K1005" i="9"/>
  <c r="H1005" i="9"/>
  <c r="H1005" i="9" a="1"/>
  <c r="D1005" i="9"/>
  <c r="T1004" i="9"/>
  <c r="Q1004" i="9"/>
  <c r="M1004" i="9"/>
  <c r="K1004" i="9"/>
  <c r="H1004" i="9"/>
  <c r="H1004" i="9" a="1"/>
  <c r="D1004" i="9"/>
  <c r="T1003" i="9"/>
  <c r="Q1003" i="9"/>
  <c r="M1003" i="9"/>
  <c r="K1003" i="9"/>
  <c r="H1003" i="9"/>
  <c r="H1003" i="9" a="1"/>
  <c r="D1003" i="9"/>
  <c r="T1002" i="9"/>
  <c r="Q1002" i="9"/>
  <c r="M1002" i="9"/>
  <c r="K1002" i="9"/>
  <c r="H1002" i="9"/>
  <c r="H1002" i="9" a="1"/>
  <c r="D1002" i="9"/>
  <c r="T1001" i="9"/>
  <c r="Q1001" i="9"/>
  <c r="M1001" i="9"/>
  <c r="K1001" i="9"/>
  <c r="H1001" i="9"/>
  <c r="H1001" i="9" a="1"/>
  <c r="D1001" i="9"/>
  <c r="T1000" i="9"/>
  <c r="Q1000" i="9"/>
  <c r="M1000" i="9"/>
  <c r="K1000" i="9"/>
  <c r="H1000" i="9"/>
  <c r="H1000" i="9" a="1"/>
  <c r="D1000" i="9"/>
  <c r="T999" i="9"/>
  <c r="Q999" i="9"/>
  <c r="M999" i="9"/>
  <c r="K999" i="9"/>
  <c r="H999" i="9"/>
  <c r="H999" i="9" a="1"/>
  <c r="D999" i="9"/>
  <c r="T998" i="9"/>
  <c r="Q998" i="9"/>
  <c r="M998" i="9"/>
  <c r="K998" i="9"/>
  <c r="H998" i="9"/>
  <c r="H998" i="9" a="1"/>
  <c r="D998" i="9"/>
  <c r="T997" i="9"/>
  <c r="Q997" i="9"/>
  <c r="M997" i="9"/>
  <c r="K997" i="9"/>
  <c r="H997" i="9"/>
  <c r="H997" i="9" a="1"/>
  <c r="D997" i="9"/>
  <c r="T996" i="9"/>
  <c r="Q996" i="9"/>
  <c r="M996" i="9"/>
  <c r="K996" i="9"/>
  <c r="H996" i="9"/>
  <c r="H996" i="9" a="1"/>
  <c r="D996" i="9"/>
  <c r="T995" i="9"/>
  <c r="Q995" i="9"/>
  <c r="M995" i="9"/>
  <c r="K995" i="9"/>
  <c r="H995" i="9"/>
  <c r="H995" i="9" a="1"/>
  <c r="D995" i="9"/>
  <c r="T994" i="9"/>
  <c r="Q994" i="9"/>
  <c r="M994" i="9"/>
  <c r="K994" i="9"/>
  <c r="H994" i="9"/>
  <c r="H994" i="9" a="1"/>
  <c r="D994" i="9"/>
  <c r="T993" i="9"/>
  <c r="Q993" i="9"/>
  <c r="M993" i="9"/>
  <c r="K993" i="9"/>
  <c r="H993" i="9"/>
  <c r="H993" i="9" a="1"/>
  <c r="D993" i="9"/>
  <c r="T992" i="9"/>
  <c r="Q992" i="9"/>
  <c r="M992" i="9"/>
  <c r="K992" i="9"/>
  <c r="H992" i="9"/>
  <c r="H992" i="9" a="1"/>
  <c r="D992" i="9"/>
  <c r="T991" i="9"/>
  <c r="Q991" i="9"/>
  <c r="M991" i="9"/>
  <c r="K991" i="9"/>
  <c r="H991" i="9"/>
  <c r="H991" i="9" a="1"/>
  <c r="D991" i="9"/>
  <c r="T990" i="9"/>
  <c r="Q990" i="9"/>
  <c r="M990" i="9"/>
  <c r="K990" i="9"/>
  <c r="H990" i="9"/>
  <c r="H990" i="9" a="1"/>
  <c r="D990" i="9"/>
  <c r="T989" i="9"/>
  <c r="Q989" i="9"/>
  <c r="M989" i="9"/>
  <c r="K989" i="9"/>
  <c r="H989" i="9"/>
  <c r="H989" i="9" a="1"/>
  <c r="D989" i="9"/>
  <c r="T988" i="9"/>
  <c r="Q988" i="9"/>
  <c r="M988" i="9"/>
  <c r="K988" i="9"/>
  <c r="H988" i="9"/>
  <c r="H988" i="9" a="1"/>
  <c r="D988" i="9"/>
  <c r="T987" i="9"/>
  <c r="Q987" i="9"/>
  <c r="M987" i="9"/>
  <c r="K987" i="9"/>
  <c r="H987" i="9"/>
  <c r="H987" i="9" a="1"/>
  <c r="D987" i="9"/>
  <c r="T986" i="9"/>
  <c r="Q986" i="9"/>
  <c r="M986" i="9"/>
  <c r="K986" i="9"/>
  <c r="H986" i="9"/>
  <c r="H986" i="9" a="1"/>
  <c r="D986" i="9"/>
  <c r="T985" i="9"/>
  <c r="Q985" i="9"/>
  <c r="M985" i="9"/>
  <c r="K985" i="9"/>
  <c r="H985" i="9"/>
  <c r="H985" i="9" a="1"/>
  <c r="D985" i="9"/>
  <c r="T984" i="9"/>
  <c r="Q984" i="9"/>
  <c r="M984" i="9"/>
  <c r="K984" i="9"/>
  <c r="H984" i="9"/>
  <c r="H984" i="9" a="1"/>
  <c r="D984" i="9"/>
  <c r="T983" i="9"/>
  <c r="Q983" i="9"/>
  <c r="M983" i="9"/>
  <c r="K983" i="9"/>
  <c r="H983" i="9"/>
  <c r="H983" i="9" a="1"/>
  <c r="D983" i="9"/>
  <c r="T982" i="9"/>
  <c r="Q982" i="9"/>
  <c r="M982" i="9"/>
  <c r="K982" i="9"/>
  <c r="H982" i="9"/>
  <c r="H982" i="9" a="1"/>
  <c r="D982" i="9"/>
  <c r="T981" i="9"/>
  <c r="Q981" i="9"/>
  <c r="M981" i="9"/>
  <c r="K981" i="9"/>
  <c r="H981" i="9"/>
  <c r="H981" i="9" a="1"/>
  <c r="D981" i="9"/>
  <c r="T980" i="9"/>
  <c r="Q980" i="9"/>
  <c r="M980" i="9"/>
  <c r="K980" i="9"/>
  <c r="H980" i="9"/>
  <c r="H980" i="9" a="1"/>
  <c r="D980" i="9"/>
  <c r="T979" i="9"/>
  <c r="Q979" i="9"/>
  <c r="M979" i="9"/>
  <c r="K979" i="9"/>
  <c r="H979" i="9"/>
  <c r="H979" i="9" a="1"/>
  <c r="D979" i="9"/>
  <c r="T978" i="9"/>
  <c r="Q978" i="9"/>
  <c r="M978" i="9"/>
  <c r="K978" i="9"/>
  <c r="H978" i="9"/>
  <c r="H978" i="9" a="1"/>
  <c r="D978" i="9"/>
  <c r="T977" i="9"/>
  <c r="Q977" i="9"/>
  <c r="M977" i="9"/>
  <c r="K977" i="9"/>
  <c r="H977" i="9"/>
  <c r="H977" i="9" a="1"/>
  <c r="D977" i="9"/>
  <c r="T976" i="9"/>
  <c r="Q976" i="9"/>
  <c r="M976" i="9"/>
  <c r="K976" i="9"/>
  <c r="H976" i="9"/>
  <c r="H976" i="9" a="1"/>
  <c r="D976" i="9"/>
  <c r="T975" i="9"/>
  <c r="Q975" i="9"/>
  <c r="M975" i="9"/>
  <c r="K975" i="9"/>
  <c r="H975" i="9"/>
  <c r="H975" i="9" a="1"/>
  <c r="D975" i="9"/>
  <c r="T974" i="9"/>
  <c r="Q974" i="9"/>
  <c r="M974" i="9"/>
  <c r="K974" i="9"/>
  <c r="H974" i="9"/>
  <c r="H974" i="9" a="1"/>
  <c r="D974" i="9"/>
  <c r="T973" i="9"/>
  <c r="Q973" i="9"/>
  <c r="M973" i="9"/>
  <c r="K973" i="9"/>
  <c r="H973" i="9"/>
  <c r="H973" i="9" a="1"/>
  <c r="D973" i="9"/>
  <c r="T972" i="9"/>
  <c r="Q972" i="9"/>
  <c r="M972" i="9"/>
  <c r="K972" i="9"/>
  <c r="H972" i="9"/>
  <c r="H972" i="9" a="1"/>
  <c r="D972" i="9"/>
  <c r="T971" i="9"/>
  <c r="Q971" i="9"/>
  <c r="M971" i="9"/>
  <c r="K971" i="9"/>
  <c r="H971" i="9"/>
  <c r="H971" i="9" a="1"/>
  <c r="D971" i="9"/>
  <c r="T970" i="9"/>
  <c r="Q970" i="9"/>
  <c r="M970" i="9"/>
  <c r="K970" i="9"/>
  <c r="H970" i="9"/>
  <c r="H970" i="9" a="1"/>
  <c r="D970" i="9"/>
  <c r="T969" i="9"/>
  <c r="Q969" i="9"/>
  <c r="M969" i="9"/>
  <c r="K969" i="9"/>
  <c r="H969" i="9"/>
  <c r="H969" i="9" a="1"/>
  <c r="D969" i="9"/>
  <c r="T968" i="9"/>
  <c r="Q968" i="9"/>
  <c r="M968" i="9"/>
  <c r="K968" i="9"/>
  <c r="H968" i="9"/>
  <c r="H968" i="9" a="1"/>
  <c r="D968" i="9"/>
  <c r="T967" i="9"/>
  <c r="Q967" i="9"/>
  <c r="M967" i="9"/>
  <c r="K967" i="9"/>
  <c r="H967" i="9"/>
  <c r="H967" i="9" a="1"/>
  <c r="D967" i="9"/>
  <c r="T966" i="9"/>
  <c r="Q966" i="9"/>
  <c r="M966" i="9"/>
  <c r="K966" i="9"/>
  <c r="H966" i="9"/>
  <c r="H966" i="9" a="1"/>
  <c r="D966" i="9"/>
  <c r="T965" i="9"/>
  <c r="Q965" i="9"/>
  <c r="M965" i="9"/>
  <c r="K965" i="9"/>
  <c r="H965" i="9"/>
  <c r="H965" i="9" a="1"/>
  <c r="D965" i="9"/>
  <c r="T964" i="9"/>
  <c r="Q964" i="9"/>
  <c r="M964" i="9"/>
  <c r="K964" i="9"/>
  <c r="H964" i="9"/>
  <c r="H964" i="9" a="1"/>
  <c r="D964" i="9"/>
  <c r="T963" i="9"/>
  <c r="Q963" i="9"/>
  <c r="M963" i="9"/>
  <c r="K963" i="9"/>
  <c r="H963" i="9"/>
  <c r="H963" i="9" a="1"/>
  <c r="D963" i="9"/>
  <c r="T962" i="9"/>
  <c r="Q962" i="9"/>
  <c r="M962" i="9"/>
  <c r="K962" i="9"/>
  <c r="H962" i="9"/>
  <c r="H962" i="9" a="1"/>
  <c r="D962" i="9"/>
  <c r="T961" i="9"/>
  <c r="Q961" i="9"/>
  <c r="M961" i="9"/>
  <c r="K961" i="9"/>
  <c r="H961" i="9"/>
  <c r="H961" i="9" a="1"/>
  <c r="D961" i="9"/>
  <c r="T960" i="9"/>
  <c r="Q960" i="9"/>
  <c r="M960" i="9"/>
  <c r="K960" i="9"/>
  <c r="H960" i="9"/>
  <c r="H960" i="9" a="1"/>
  <c r="D960" i="9"/>
  <c r="T959" i="9"/>
  <c r="Q959" i="9"/>
  <c r="M959" i="9"/>
  <c r="K959" i="9"/>
  <c r="H959" i="9"/>
  <c r="H959" i="9" a="1"/>
  <c r="D959" i="9"/>
  <c r="T958" i="9"/>
  <c r="Q958" i="9"/>
  <c r="M958" i="9"/>
  <c r="K958" i="9"/>
  <c r="H958" i="9"/>
  <c r="H958" i="9" a="1"/>
  <c r="D958" i="9"/>
  <c r="T957" i="9"/>
  <c r="Q957" i="9"/>
  <c r="M957" i="9"/>
  <c r="K957" i="9"/>
  <c r="H957" i="9"/>
  <c r="H957" i="9" a="1"/>
  <c r="D957" i="9"/>
  <c r="T956" i="9"/>
  <c r="Q956" i="9"/>
  <c r="M956" i="9"/>
  <c r="K956" i="9"/>
  <c r="H956" i="9"/>
  <c r="H956" i="9" a="1"/>
  <c r="D956" i="9"/>
  <c r="T955" i="9"/>
  <c r="Q955" i="9"/>
  <c r="M955" i="9"/>
  <c r="K955" i="9"/>
  <c r="H955" i="9"/>
  <c r="H955" i="9" a="1"/>
  <c r="D955" i="9"/>
  <c r="T954" i="9"/>
  <c r="Q954" i="9"/>
  <c r="M954" i="9"/>
  <c r="K954" i="9"/>
  <c r="H954" i="9"/>
  <c r="H954" i="9" a="1"/>
  <c r="D954" i="9"/>
  <c r="T953" i="9"/>
  <c r="Q953" i="9"/>
  <c r="M953" i="9"/>
  <c r="K953" i="9"/>
  <c r="H953" i="9"/>
  <c r="H953" i="9" a="1"/>
  <c r="D953" i="9"/>
  <c r="T952" i="9"/>
  <c r="Q952" i="9"/>
  <c r="M952" i="9"/>
  <c r="K952" i="9"/>
  <c r="H952" i="9"/>
  <c r="H952" i="9" a="1"/>
  <c r="D952" i="9"/>
  <c r="T951" i="9"/>
  <c r="Q951" i="9"/>
  <c r="M951" i="9"/>
  <c r="K951" i="9"/>
  <c r="H951" i="9"/>
  <c r="H951" i="9" a="1"/>
  <c r="D951" i="9"/>
  <c r="T950" i="9"/>
  <c r="Q950" i="9"/>
  <c r="M950" i="9"/>
  <c r="K950" i="9"/>
  <c r="H950" i="9"/>
  <c r="H950" i="9" a="1"/>
  <c r="D950" i="9"/>
  <c r="T949" i="9"/>
  <c r="Q949" i="9"/>
  <c r="M949" i="9"/>
  <c r="K949" i="9"/>
  <c r="H949" i="9"/>
  <c r="H949" i="9" a="1"/>
  <c r="D949" i="9"/>
  <c r="T948" i="9"/>
  <c r="Q948" i="9"/>
  <c r="M948" i="9"/>
  <c r="K948" i="9"/>
  <c r="H948" i="9"/>
  <c r="H948" i="9" a="1"/>
  <c r="D948" i="9"/>
  <c r="T947" i="9"/>
  <c r="Q947" i="9"/>
  <c r="M947" i="9"/>
  <c r="K947" i="9"/>
  <c r="H947" i="9"/>
  <c r="H947" i="9" a="1"/>
  <c r="D947" i="9"/>
  <c r="T946" i="9"/>
  <c r="Q946" i="9"/>
  <c r="M946" i="9"/>
  <c r="K946" i="9"/>
  <c r="H946" i="9"/>
  <c r="H946" i="9" a="1"/>
  <c r="D946" i="9"/>
  <c r="T945" i="9"/>
  <c r="Q945" i="9"/>
  <c r="M945" i="9"/>
  <c r="K945" i="9"/>
  <c r="H945" i="9"/>
  <c r="H945" i="9" a="1"/>
  <c r="D945" i="9"/>
  <c r="T944" i="9"/>
  <c r="Q944" i="9"/>
  <c r="M944" i="9"/>
  <c r="K944" i="9"/>
  <c r="H944" i="9"/>
  <c r="H944" i="9" a="1"/>
  <c r="D944" i="9"/>
  <c r="T943" i="9"/>
  <c r="Q943" i="9"/>
  <c r="M943" i="9"/>
  <c r="K943" i="9"/>
  <c r="H943" i="9"/>
  <c r="H943" i="9" a="1"/>
  <c r="D943" i="9"/>
  <c r="T942" i="9"/>
  <c r="Q942" i="9"/>
  <c r="M942" i="9"/>
  <c r="K942" i="9"/>
  <c r="H942" i="9"/>
  <c r="H942" i="9" a="1"/>
  <c r="D942" i="9"/>
  <c r="T941" i="9"/>
  <c r="Q941" i="9"/>
  <c r="M941" i="9"/>
  <c r="K941" i="9"/>
  <c r="H941" i="9"/>
  <c r="H941" i="9" a="1"/>
  <c r="D941" i="9"/>
  <c r="T940" i="9"/>
  <c r="Q940" i="9"/>
  <c r="M940" i="9"/>
  <c r="K940" i="9"/>
  <c r="H940" i="9"/>
  <c r="H940" i="9" a="1"/>
  <c r="D940" i="9"/>
  <c r="T939" i="9"/>
  <c r="Q939" i="9"/>
  <c r="M939" i="9"/>
  <c r="K939" i="9"/>
  <c r="H939" i="9"/>
  <c r="H939" i="9" a="1"/>
  <c r="D939" i="9"/>
  <c r="T938" i="9"/>
  <c r="Q938" i="9"/>
  <c r="M938" i="9"/>
  <c r="K938" i="9"/>
  <c r="H938" i="9"/>
  <c r="H938" i="9" a="1"/>
  <c r="D938" i="9"/>
  <c r="T937" i="9"/>
  <c r="Q937" i="9"/>
  <c r="M937" i="9"/>
  <c r="K937" i="9"/>
  <c r="H937" i="9"/>
  <c r="H937" i="9" a="1"/>
  <c r="D937" i="9"/>
  <c r="T936" i="9"/>
  <c r="Q936" i="9"/>
  <c r="M936" i="9"/>
  <c r="K936" i="9"/>
  <c r="H936" i="9"/>
  <c r="H936" i="9" a="1"/>
  <c r="D936" i="9"/>
  <c r="T935" i="9"/>
  <c r="Q935" i="9"/>
  <c r="M935" i="9"/>
  <c r="K935" i="9"/>
  <c r="H935" i="9"/>
  <c r="H935" i="9" a="1"/>
  <c r="D935" i="9"/>
  <c r="T934" i="9"/>
  <c r="Q934" i="9"/>
  <c r="M934" i="9"/>
  <c r="K934" i="9"/>
  <c r="H934" i="9"/>
  <c r="H934" i="9" a="1"/>
  <c r="D934" i="9"/>
  <c r="T933" i="9"/>
  <c r="Q933" i="9"/>
  <c r="M933" i="9"/>
  <c r="K933" i="9"/>
  <c r="H933" i="9"/>
  <c r="H933" i="9" a="1"/>
  <c r="D933" i="9"/>
  <c r="T932" i="9"/>
  <c r="Q932" i="9"/>
  <c r="M932" i="9"/>
  <c r="K932" i="9"/>
  <c r="H932" i="9"/>
  <c r="H932" i="9" a="1"/>
  <c r="D932" i="9"/>
  <c r="T931" i="9"/>
  <c r="Q931" i="9"/>
  <c r="M931" i="9"/>
  <c r="K931" i="9"/>
  <c r="H931" i="9"/>
  <c r="H931" i="9" a="1"/>
  <c r="D931" i="9"/>
  <c r="T930" i="9"/>
  <c r="Q930" i="9"/>
  <c r="M930" i="9"/>
  <c r="K930" i="9"/>
  <c r="H930" i="9"/>
  <c r="H930" i="9" a="1"/>
  <c r="D930" i="9"/>
  <c r="T929" i="9"/>
  <c r="Q929" i="9"/>
  <c r="M929" i="9"/>
  <c r="K929" i="9"/>
  <c r="H929" i="9"/>
  <c r="H929" i="9" a="1"/>
  <c r="D929" i="9"/>
  <c r="T928" i="9"/>
  <c r="Q928" i="9"/>
  <c r="M928" i="9"/>
  <c r="K928" i="9"/>
  <c r="H928" i="9"/>
  <c r="H928" i="9" a="1"/>
  <c r="D928" i="9"/>
  <c r="T927" i="9"/>
  <c r="Q927" i="9"/>
  <c r="M927" i="9"/>
  <c r="K927" i="9"/>
  <c r="H927" i="9"/>
  <c r="H927" i="9" a="1"/>
  <c r="D927" i="9"/>
  <c r="T926" i="9"/>
  <c r="Q926" i="9"/>
  <c r="M926" i="9"/>
  <c r="K926" i="9"/>
  <c r="H926" i="9"/>
  <c r="H926" i="9" a="1"/>
  <c r="D926" i="9"/>
  <c r="T925" i="9"/>
  <c r="Q925" i="9"/>
  <c r="M925" i="9"/>
  <c r="K925" i="9"/>
  <c r="H925" i="9"/>
  <c r="H925" i="9" a="1"/>
  <c r="D925" i="9"/>
  <c r="T924" i="9"/>
  <c r="Q924" i="9"/>
  <c r="M924" i="9"/>
  <c r="K924" i="9"/>
  <c r="H924" i="9"/>
  <c r="H924" i="9" a="1"/>
  <c r="D924" i="9"/>
  <c r="T923" i="9"/>
  <c r="Q923" i="9"/>
  <c r="M923" i="9"/>
  <c r="K923" i="9"/>
  <c r="H923" i="9"/>
  <c r="H923" i="9" a="1"/>
  <c r="D923" i="9"/>
  <c r="T922" i="9"/>
  <c r="Q922" i="9"/>
  <c r="M922" i="9"/>
  <c r="K922" i="9"/>
  <c r="H922" i="9"/>
  <c r="H922" i="9" a="1"/>
  <c r="D922" i="9"/>
  <c r="T921" i="9"/>
  <c r="Q921" i="9"/>
  <c r="M921" i="9"/>
  <c r="K921" i="9"/>
  <c r="H921" i="9"/>
  <c r="H921" i="9" a="1"/>
  <c r="D921" i="9"/>
  <c r="T920" i="9"/>
  <c r="Q920" i="9"/>
  <c r="M920" i="9"/>
  <c r="K920" i="9"/>
  <c r="H920" i="9"/>
  <c r="H920" i="9" a="1"/>
  <c r="D920" i="9"/>
  <c r="T919" i="9"/>
  <c r="Q919" i="9"/>
  <c r="M919" i="9"/>
  <c r="K919" i="9"/>
  <c r="H919" i="9"/>
  <c r="H919" i="9" a="1"/>
  <c r="D919" i="9"/>
  <c r="T918" i="9"/>
  <c r="Q918" i="9"/>
  <c r="M918" i="9"/>
  <c r="K918" i="9"/>
  <c r="H918" i="9"/>
  <c r="H918" i="9" a="1"/>
  <c r="D918" i="9"/>
  <c r="T917" i="9"/>
  <c r="Q917" i="9"/>
  <c r="M917" i="9"/>
  <c r="K917" i="9"/>
  <c r="H917" i="9"/>
  <c r="H917" i="9" a="1"/>
  <c r="D917" i="9"/>
  <c r="T916" i="9"/>
  <c r="Q916" i="9"/>
  <c r="M916" i="9"/>
  <c r="K916" i="9"/>
  <c r="H916" i="9"/>
  <c r="H916" i="9" a="1"/>
  <c r="D916" i="9"/>
  <c r="T915" i="9"/>
  <c r="Q915" i="9"/>
  <c r="M915" i="9"/>
  <c r="K915" i="9"/>
  <c r="H915" i="9"/>
  <c r="H915" i="9" a="1"/>
  <c r="D915" i="9"/>
  <c r="T914" i="9"/>
  <c r="Q914" i="9"/>
  <c r="M914" i="9"/>
  <c r="K914" i="9"/>
  <c r="H914" i="9"/>
  <c r="H914" i="9" a="1"/>
  <c r="D914" i="9"/>
  <c r="T913" i="9"/>
  <c r="Q913" i="9"/>
  <c r="M913" i="9"/>
  <c r="K913" i="9"/>
  <c r="H913" i="9"/>
  <c r="H913" i="9" a="1"/>
  <c r="D913" i="9"/>
  <c r="T912" i="9"/>
  <c r="Q912" i="9"/>
  <c r="M912" i="9"/>
  <c r="K912" i="9"/>
  <c r="H912" i="9"/>
  <c r="H912" i="9" a="1"/>
  <c r="D912" i="9"/>
  <c r="T911" i="9"/>
  <c r="Q911" i="9"/>
  <c r="M911" i="9"/>
  <c r="K911" i="9"/>
  <c r="H911" i="9"/>
  <c r="H911" i="9" a="1"/>
  <c r="D911" i="9"/>
  <c r="T910" i="9"/>
  <c r="Q910" i="9"/>
  <c r="M910" i="9"/>
  <c r="K910" i="9"/>
  <c r="H910" i="9"/>
  <c r="H910" i="9" a="1"/>
  <c r="D910" i="9"/>
  <c r="T909" i="9"/>
  <c r="Q909" i="9"/>
  <c r="M909" i="9"/>
  <c r="K909" i="9"/>
  <c r="H909" i="9"/>
  <c r="H909" i="9" a="1"/>
  <c r="D909" i="9"/>
  <c r="T908" i="9"/>
  <c r="Q908" i="9"/>
  <c r="M908" i="9"/>
  <c r="K908" i="9"/>
  <c r="H908" i="9"/>
  <c r="H908" i="9" a="1"/>
  <c r="D908" i="9"/>
  <c r="T907" i="9"/>
  <c r="Q907" i="9"/>
  <c r="M907" i="9"/>
  <c r="K907" i="9"/>
  <c r="H907" i="9"/>
  <c r="H907" i="9" a="1"/>
  <c r="D907" i="9"/>
  <c r="T906" i="9"/>
  <c r="Q906" i="9"/>
  <c r="M906" i="9"/>
  <c r="K906" i="9"/>
  <c r="H906" i="9"/>
  <c r="H906" i="9" a="1"/>
  <c r="D906" i="9"/>
  <c r="T905" i="9"/>
  <c r="Q905" i="9"/>
  <c r="M905" i="9"/>
  <c r="K905" i="9"/>
  <c r="H905" i="9"/>
  <c r="H905" i="9" a="1"/>
  <c r="D905" i="9"/>
  <c r="T904" i="9"/>
  <c r="Q904" i="9"/>
  <c r="M904" i="9"/>
  <c r="K904" i="9"/>
  <c r="H904" i="9"/>
  <c r="H904" i="9" a="1"/>
  <c r="D904" i="9"/>
  <c r="T903" i="9"/>
  <c r="Q903" i="9"/>
  <c r="M903" i="9"/>
  <c r="K903" i="9"/>
  <c r="H903" i="9"/>
  <c r="H903" i="9" a="1"/>
  <c r="D903" i="9"/>
  <c r="T902" i="9"/>
  <c r="Q902" i="9"/>
  <c r="M902" i="9"/>
  <c r="K902" i="9"/>
  <c r="H902" i="9"/>
  <c r="H902" i="9" a="1"/>
  <c r="D902" i="9"/>
  <c r="T901" i="9"/>
  <c r="Q901" i="9"/>
  <c r="M901" i="9"/>
  <c r="K901" i="9"/>
  <c r="H901" i="9"/>
  <c r="H901" i="9" a="1"/>
  <c r="D901" i="9"/>
  <c r="T900" i="9"/>
  <c r="Q900" i="9"/>
  <c r="M900" i="9"/>
  <c r="K900" i="9"/>
  <c r="H900" i="9"/>
  <c r="H900" i="9" a="1"/>
  <c r="D900" i="9"/>
  <c r="T899" i="9"/>
  <c r="Q899" i="9"/>
  <c r="M899" i="9"/>
  <c r="K899" i="9"/>
  <c r="H899" i="9"/>
  <c r="H899" i="9" a="1"/>
  <c r="D899" i="9"/>
  <c r="T898" i="9"/>
  <c r="Q898" i="9"/>
  <c r="M898" i="9"/>
  <c r="K898" i="9"/>
  <c r="H898" i="9"/>
  <c r="H898" i="9" a="1"/>
  <c r="D898" i="9"/>
  <c r="T897" i="9"/>
  <c r="Q897" i="9"/>
  <c r="M897" i="9"/>
  <c r="K897" i="9"/>
  <c r="H897" i="9"/>
  <c r="H897" i="9" a="1"/>
  <c r="D897" i="9"/>
  <c r="T896" i="9"/>
  <c r="Q896" i="9"/>
  <c r="M896" i="9"/>
  <c r="K896" i="9"/>
  <c r="H896" i="9"/>
  <c r="H896" i="9" a="1"/>
  <c r="D896" i="9"/>
  <c r="T895" i="9"/>
  <c r="Q895" i="9"/>
  <c r="M895" i="9"/>
  <c r="K895" i="9"/>
  <c r="H895" i="9"/>
  <c r="H895" i="9" a="1"/>
  <c r="D895" i="9"/>
  <c r="T894" i="9"/>
  <c r="Q894" i="9"/>
  <c r="M894" i="9"/>
  <c r="K894" i="9"/>
  <c r="H894" i="9"/>
  <c r="H894" i="9" a="1"/>
  <c r="D894" i="9"/>
  <c r="T893" i="9"/>
  <c r="Q893" i="9"/>
  <c r="M893" i="9"/>
  <c r="K893" i="9"/>
  <c r="H893" i="9"/>
  <c r="H893" i="9" a="1"/>
  <c r="D893" i="9"/>
  <c r="T892" i="9"/>
  <c r="Q892" i="9"/>
  <c r="M892" i="9"/>
  <c r="K892" i="9"/>
  <c r="H892" i="9"/>
  <c r="H892" i="9" a="1"/>
  <c r="D892" i="9"/>
  <c r="T891" i="9"/>
  <c r="Q891" i="9"/>
  <c r="M891" i="9"/>
  <c r="K891" i="9"/>
  <c r="H891" i="9"/>
  <c r="H891" i="9" a="1"/>
  <c r="D891" i="9"/>
  <c r="T890" i="9"/>
  <c r="Q890" i="9"/>
  <c r="M890" i="9"/>
  <c r="K890" i="9"/>
  <c r="H890" i="9"/>
  <c r="H890" i="9" a="1"/>
  <c r="D890" i="9"/>
  <c r="T889" i="9"/>
  <c r="Q889" i="9"/>
  <c r="M889" i="9"/>
  <c r="K889" i="9"/>
  <c r="H889" i="9"/>
  <c r="H889" i="9" a="1"/>
  <c r="D889" i="9"/>
  <c r="T888" i="9"/>
  <c r="Q888" i="9"/>
  <c r="M888" i="9"/>
  <c r="K888" i="9"/>
  <c r="H888" i="9"/>
  <c r="H888" i="9" a="1"/>
  <c r="D888" i="9"/>
  <c r="T887" i="9"/>
  <c r="Q887" i="9"/>
  <c r="M887" i="9"/>
  <c r="K887" i="9"/>
  <c r="H887" i="9"/>
  <c r="H887" i="9" a="1"/>
  <c r="D887" i="9"/>
  <c r="T886" i="9"/>
  <c r="Q886" i="9"/>
  <c r="M886" i="9"/>
  <c r="K886" i="9"/>
  <c r="H886" i="9"/>
  <c r="H886" i="9" a="1"/>
  <c r="D886" i="9"/>
  <c r="T885" i="9"/>
  <c r="Q885" i="9"/>
  <c r="M885" i="9"/>
  <c r="K885" i="9"/>
  <c r="H885" i="9"/>
  <c r="H885" i="9" a="1"/>
  <c r="D885" i="9"/>
  <c r="T884" i="9"/>
  <c r="Q884" i="9"/>
  <c r="M884" i="9"/>
  <c r="K884" i="9"/>
  <c r="H884" i="9"/>
  <c r="H884" i="9" a="1"/>
  <c r="D884" i="9"/>
  <c r="T883" i="9"/>
  <c r="Q883" i="9"/>
  <c r="M883" i="9"/>
  <c r="K883" i="9"/>
  <c r="H883" i="9"/>
  <c r="H883" i="9" a="1"/>
  <c r="D883" i="9"/>
  <c r="T882" i="9"/>
  <c r="Q882" i="9"/>
  <c r="M882" i="9"/>
  <c r="K882" i="9"/>
  <c r="H882" i="9"/>
  <c r="H882" i="9" a="1"/>
  <c r="D882" i="9"/>
  <c r="T881" i="9"/>
  <c r="Q881" i="9"/>
  <c r="M881" i="9"/>
  <c r="K881" i="9"/>
  <c r="H881" i="9"/>
  <c r="H881" i="9" a="1"/>
  <c r="D881" i="9"/>
  <c r="T880" i="9"/>
  <c r="Q880" i="9"/>
  <c r="M880" i="9"/>
  <c r="K880" i="9"/>
  <c r="H880" i="9"/>
  <c r="H880" i="9" a="1"/>
  <c r="D880" i="9"/>
  <c r="T879" i="9"/>
  <c r="Q879" i="9"/>
  <c r="M879" i="9"/>
  <c r="K879" i="9"/>
  <c r="H879" i="9"/>
  <c r="H879" i="9" a="1"/>
  <c r="D879" i="9"/>
  <c r="T878" i="9"/>
  <c r="Q878" i="9"/>
  <c r="M878" i="9"/>
  <c r="K878" i="9"/>
  <c r="H878" i="9"/>
  <c r="H878" i="9" a="1"/>
  <c r="D878" i="9"/>
  <c r="T877" i="9"/>
  <c r="Q877" i="9"/>
  <c r="M877" i="9"/>
  <c r="K877" i="9"/>
  <c r="H877" i="9"/>
  <c r="H877" i="9" a="1"/>
  <c r="D877" i="9"/>
  <c r="T876" i="9"/>
  <c r="Q876" i="9"/>
  <c r="M876" i="9"/>
  <c r="K876" i="9"/>
  <c r="H876" i="9"/>
  <c r="H876" i="9" a="1"/>
  <c r="D876" i="9"/>
  <c r="T875" i="9"/>
  <c r="Q875" i="9"/>
  <c r="M875" i="9"/>
  <c r="K875" i="9"/>
  <c r="H875" i="9"/>
  <c r="H875" i="9" a="1"/>
  <c r="D875" i="9"/>
  <c r="T874" i="9"/>
  <c r="Q874" i="9"/>
  <c r="M874" i="9"/>
  <c r="K874" i="9"/>
  <c r="H874" i="9"/>
  <c r="H874" i="9" a="1"/>
  <c r="D874" i="9"/>
  <c r="T873" i="9"/>
  <c r="Q873" i="9"/>
  <c r="M873" i="9"/>
  <c r="K873" i="9"/>
  <c r="H873" i="9"/>
  <c r="H873" i="9" a="1"/>
  <c r="D873" i="9"/>
  <c r="T872" i="9"/>
  <c r="Q872" i="9"/>
  <c r="M872" i="9"/>
  <c r="K872" i="9"/>
  <c r="H872" i="9"/>
  <c r="H872" i="9" a="1"/>
  <c r="D872" i="9"/>
  <c r="T871" i="9"/>
  <c r="Q871" i="9"/>
  <c r="M871" i="9"/>
  <c r="K871" i="9"/>
  <c r="H871" i="9"/>
  <c r="H871" i="9" a="1"/>
  <c r="D871" i="9"/>
  <c r="T870" i="9"/>
  <c r="Q870" i="9"/>
  <c r="M870" i="9"/>
  <c r="K870" i="9"/>
  <c r="H870" i="9"/>
  <c r="H870" i="9" a="1"/>
  <c r="D870" i="9"/>
  <c r="T869" i="9"/>
  <c r="Q869" i="9"/>
  <c r="M869" i="9"/>
  <c r="K869" i="9"/>
  <c r="H869" i="9"/>
  <c r="H869" i="9" a="1"/>
  <c r="D869" i="9"/>
  <c r="T868" i="9"/>
  <c r="Q868" i="9"/>
  <c r="M868" i="9"/>
  <c r="K868" i="9"/>
  <c r="H868" i="9"/>
  <c r="H868" i="9" a="1"/>
  <c r="D868" i="9"/>
  <c r="T867" i="9"/>
  <c r="Q867" i="9"/>
  <c r="M867" i="9"/>
  <c r="K867" i="9"/>
  <c r="H867" i="9"/>
  <c r="H867" i="9" a="1"/>
  <c r="D867" i="9"/>
  <c r="T866" i="9"/>
  <c r="Q866" i="9"/>
  <c r="M866" i="9"/>
  <c r="K866" i="9"/>
  <c r="H866" i="9"/>
  <c r="H866" i="9" a="1"/>
  <c r="D866" i="9"/>
  <c r="T865" i="9"/>
  <c r="Q865" i="9"/>
  <c r="M865" i="9"/>
  <c r="K865" i="9"/>
  <c r="H865" i="9"/>
  <c r="H865" i="9" a="1"/>
  <c r="D865" i="9"/>
  <c r="T864" i="9"/>
  <c r="Q864" i="9"/>
  <c r="M864" i="9"/>
  <c r="K864" i="9"/>
  <c r="H864" i="9"/>
  <c r="H864" i="9" a="1"/>
  <c r="D864" i="9"/>
  <c r="T863" i="9"/>
  <c r="Q863" i="9"/>
  <c r="M863" i="9"/>
  <c r="K863" i="9"/>
  <c r="H863" i="9"/>
  <c r="H863" i="9" a="1"/>
  <c r="D863" i="9"/>
  <c r="T862" i="9"/>
  <c r="Q862" i="9"/>
  <c r="M862" i="9"/>
  <c r="K862" i="9"/>
  <c r="H862" i="9"/>
  <c r="H862" i="9" a="1"/>
  <c r="D862" i="9"/>
  <c r="T861" i="9"/>
  <c r="Q861" i="9"/>
  <c r="M861" i="9"/>
  <c r="K861" i="9"/>
  <c r="H861" i="9"/>
  <c r="H861" i="9" a="1"/>
  <c r="D861" i="9"/>
  <c r="T860" i="9"/>
  <c r="Q860" i="9"/>
  <c r="M860" i="9"/>
  <c r="K860" i="9"/>
  <c r="H860" i="9"/>
  <c r="H860" i="9" a="1"/>
  <c r="D860" i="9"/>
  <c r="T859" i="9"/>
  <c r="Q859" i="9"/>
  <c r="M859" i="9"/>
  <c r="K859" i="9"/>
  <c r="H859" i="9"/>
  <c r="H859" i="9" a="1"/>
  <c r="D859" i="9"/>
  <c r="T858" i="9"/>
  <c r="Q858" i="9"/>
  <c r="M858" i="9"/>
  <c r="K858" i="9"/>
  <c r="H858" i="9"/>
  <c r="H858" i="9" a="1"/>
  <c r="D858" i="9"/>
  <c r="T857" i="9"/>
  <c r="Q857" i="9"/>
  <c r="M857" i="9"/>
  <c r="K857" i="9"/>
  <c r="H857" i="9"/>
  <c r="H857" i="9" a="1"/>
  <c r="D857" i="9"/>
  <c r="T856" i="9"/>
  <c r="Q856" i="9"/>
  <c r="M856" i="9"/>
  <c r="K856" i="9"/>
  <c r="H856" i="9"/>
  <c r="H856" i="9" a="1"/>
  <c r="D856" i="9"/>
  <c r="T855" i="9"/>
  <c r="Q855" i="9"/>
  <c r="M855" i="9"/>
  <c r="K855" i="9"/>
  <c r="H855" i="9"/>
  <c r="H855" i="9" a="1"/>
  <c r="D855" i="9"/>
  <c r="T854" i="9"/>
  <c r="Q854" i="9"/>
  <c r="M854" i="9"/>
  <c r="K854" i="9"/>
  <c r="H854" i="9"/>
  <c r="H854" i="9" a="1"/>
  <c r="D854" i="9"/>
  <c r="T853" i="9"/>
  <c r="Q853" i="9"/>
  <c r="M853" i="9"/>
  <c r="K853" i="9"/>
  <c r="H853" i="9"/>
  <c r="H853" i="9" a="1"/>
  <c r="D853" i="9"/>
  <c r="T852" i="9"/>
  <c r="Q852" i="9"/>
  <c r="M852" i="9"/>
  <c r="K852" i="9"/>
  <c r="H852" i="9"/>
  <c r="H852" i="9" a="1"/>
  <c r="D852" i="9"/>
  <c r="T851" i="9"/>
  <c r="Q851" i="9"/>
  <c r="M851" i="9"/>
  <c r="K851" i="9"/>
  <c r="H851" i="9"/>
  <c r="H851" i="9" a="1"/>
  <c r="D851" i="9"/>
  <c r="T850" i="9"/>
  <c r="Q850" i="9"/>
  <c r="M850" i="9"/>
  <c r="K850" i="9"/>
  <c r="H850" i="9"/>
  <c r="H850" i="9" a="1"/>
  <c r="D850" i="9"/>
  <c r="T849" i="9"/>
  <c r="Q849" i="9"/>
  <c r="M849" i="9"/>
  <c r="K849" i="9"/>
  <c r="H849" i="9"/>
  <c r="H849" i="9" a="1"/>
  <c r="D849" i="9"/>
  <c r="T848" i="9"/>
  <c r="Q848" i="9"/>
  <c r="M848" i="9"/>
  <c r="K848" i="9"/>
  <c r="H848" i="9"/>
  <c r="H848" i="9" a="1"/>
  <c r="D848" i="9"/>
  <c r="T847" i="9"/>
  <c r="Q847" i="9"/>
  <c r="M847" i="9"/>
  <c r="K847" i="9"/>
  <c r="H847" i="9"/>
  <c r="H847" i="9" a="1"/>
  <c r="D847" i="9"/>
  <c r="T846" i="9"/>
  <c r="Q846" i="9"/>
  <c r="M846" i="9"/>
  <c r="K846" i="9"/>
  <c r="H846" i="9"/>
  <c r="H846" i="9" a="1"/>
  <c r="D846" i="9"/>
  <c r="T845" i="9"/>
  <c r="Q845" i="9"/>
  <c r="M845" i="9"/>
  <c r="K845" i="9"/>
  <c r="H845" i="9"/>
  <c r="H845" i="9" a="1"/>
  <c r="D845" i="9"/>
  <c r="T844" i="9"/>
  <c r="Q844" i="9"/>
  <c r="M844" i="9"/>
  <c r="K844" i="9"/>
  <c r="H844" i="9"/>
  <c r="H844" i="9" a="1"/>
  <c r="D844" i="9"/>
  <c r="T843" i="9"/>
  <c r="Q843" i="9"/>
  <c r="M843" i="9"/>
  <c r="K843" i="9"/>
  <c r="H843" i="9"/>
  <c r="H843" i="9" a="1"/>
  <c r="D843" i="9"/>
  <c r="T842" i="9"/>
  <c r="Q842" i="9"/>
  <c r="M842" i="9"/>
  <c r="K842" i="9"/>
  <c r="H842" i="9"/>
  <c r="H842" i="9" a="1"/>
  <c r="D842" i="9"/>
  <c r="T841" i="9"/>
  <c r="Q841" i="9"/>
  <c r="M841" i="9"/>
  <c r="K841" i="9"/>
  <c r="H841" i="9"/>
  <c r="H841" i="9" a="1"/>
  <c r="D841" i="9"/>
  <c r="T840" i="9"/>
  <c r="Q840" i="9"/>
  <c r="M840" i="9"/>
  <c r="K840" i="9"/>
  <c r="H840" i="9"/>
  <c r="H840" i="9" a="1"/>
  <c r="D840" i="9"/>
  <c r="T839" i="9"/>
  <c r="Q839" i="9"/>
  <c r="M839" i="9"/>
  <c r="K839" i="9"/>
  <c r="H839" i="9"/>
  <c r="H839" i="9" a="1"/>
  <c r="D839" i="9"/>
  <c r="T838" i="9"/>
  <c r="Q838" i="9"/>
  <c r="M838" i="9"/>
  <c r="K838" i="9"/>
  <c r="H838" i="9"/>
  <c r="H838" i="9" a="1"/>
  <c r="D838" i="9"/>
  <c r="T837" i="9"/>
  <c r="Q837" i="9"/>
  <c r="M837" i="9"/>
  <c r="K837" i="9"/>
  <c r="H837" i="9"/>
  <c r="H837" i="9" a="1"/>
  <c r="D837" i="9"/>
  <c r="T836" i="9"/>
  <c r="Q836" i="9"/>
  <c r="M836" i="9"/>
  <c r="K836" i="9"/>
  <c r="H836" i="9"/>
  <c r="H836" i="9" a="1"/>
  <c r="D836" i="9"/>
  <c r="T835" i="9"/>
  <c r="Q835" i="9"/>
  <c r="M835" i="9"/>
  <c r="K835" i="9"/>
  <c r="H835" i="9"/>
  <c r="H835" i="9" a="1"/>
  <c r="D835" i="9"/>
  <c r="T834" i="9"/>
  <c r="Q834" i="9"/>
  <c r="M834" i="9"/>
  <c r="K834" i="9"/>
  <c r="H834" i="9"/>
  <c r="H834" i="9" a="1"/>
  <c r="D834" i="9"/>
  <c r="T833" i="9"/>
  <c r="Q833" i="9"/>
  <c r="M833" i="9"/>
  <c r="K833" i="9"/>
  <c r="H833" i="9"/>
  <c r="H833" i="9" a="1"/>
  <c r="D833" i="9"/>
  <c r="T832" i="9"/>
  <c r="Q832" i="9"/>
  <c r="M832" i="9"/>
  <c r="K832" i="9"/>
  <c r="H832" i="9"/>
  <c r="H832" i="9" a="1"/>
  <c r="D832" i="9"/>
  <c r="T831" i="9"/>
  <c r="Q831" i="9"/>
  <c r="M831" i="9"/>
  <c r="K831" i="9"/>
  <c r="H831" i="9"/>
  <c r="H831" i="9" a="1"/>
  <c r="D831" i="9"/>
  <c r="T830" i="9"/>
  <c r="Q830" i="9"/>
  <c r="M830" i="9"/>
  <c r="K830" i="9"/>
  <c r="H830" i="9"/>
  <c r="H830" i="9" a="1"/>
  <c r="D830" i="9"/>
  <c r="T829" i="9"/>
  <c r="Q829" i="9"/>
  <c r="M829" i="9"/>
  <c r="K829" i="9"/>
  <c r="H829" i="9"/>
  <c r="H829" i="9" a="1"/>
  <c r="D829" i="9"/>
  <c r="T828" i="9"/>
  <c r="Q828" i="9"/>
  <c r="M828" i="9"/>
  <c r="K828" i="9"/>
  <c r="H828" i="9"/>
  <c r="H828" i="9" a="1"/>
  <c r="D828" i="9"/>
  <c r="T827" i="9"/>
  <c r="Q827" i="9"/>
  <c r="M827" i="9"/>
  <c r="K827" i="9"/>
  <c r="H827" i="9"/>
  <c r="H827" i="9" a="1"/>
  <c r="D827" i="9"/>
  <c r="T826" i="9"/>
  <c r="Q826" i="9"/>
  <c r="M826" i="9"/>
  <c r="K826" i="9"/>
  <c r="H826" i="9"/>
  <c r="H826" i="9" a="1"/>
  <c r="D826" i="9"/>
  <c r="T825" i="9"/>
  <c r="Q825" i="9"/>
  <c r="M825" i="9"/>
  <c r="K825" i="9"/>
  <c r="H825" i="9"/>
  <c r="H825" i="9" a="1"/>
  <c r="D825" i="9"/>
  <c r="T824" i="9"/>
  <c r="Q824" i="9"/>
  <c r="M824" i="9"/>
  <c r="K824" i="9"/>
  <c r="H824" i="9"/>
  <c r="H824" i="9" a="1"/>
  <c r="D824" i="9"/>
  <c r="T823" i="9"/>
  <c r="Q823" i="9"/>
  <c r="M823" i="9"/>
  <c r="K823" i="9"/>
  <c r="H823" i="9"/>
  <c r="H823" i="9" a="1"/>
  <c r="D823" i="9"/>
  <c r="T822" i="9"/>
  <c r="Q822" i="9"/>
  <c r="M822" i="9"/>
  <c r="K822" i="9"/>
  <c r="H822" i="9"/>
  <c r="H822" i="9" a="1"/>
  <c r="D822" i="9"/>
  <c r="T821" i="9"/>
  <c r="Q821" i="9"/>
  <c r="M821" i="9"/>
  <c r="K821" i="9"/>
  <c r="H821" i="9"/>
  <c r="H821" i="9" a="1"/>
  <c r="D821" i="9"/>
  <c r="T820" i="9"/>
  <c r="Q820" i="9"/>
  <c r="M820" i="9"/>
  <c r="K820" i="9"/>
  <c r="H820" i="9"/>
  <c r="H820" i="9" a="1"/>
  <c r="D820" i="9"/>
  <c r="T819" i="9"/>
  <c r="Q819" i="9"/>
  <c r="M819" i="9"/>
  <c r="K819" i="9"/>
  <c r="H819" i="9"/>
  <c r="H819" i="9" a="1"/>
  <c r="D819" i="9"/>
  <c r="T818" i="9"/>
  <c r="Q818" i="9"/>
  <c r="M818" i="9"/>
  <c r="K818" i="9"/>
  <c r="H818" i="9"/>
  <c r="H818" i="9" a="1"/>
  <c r="D818" i="9"/>
  <c r="T817" i="9"/>
  <c r="Q817" i="9"/>
  <c r="M817" i="9"/>
  <c r="K817" i="9"/>
  <c r="H817" i="9"/>
  <c r="H817" i="9" a="1"/>
  <c r="D817" i="9"/>
  <c r="T816" i="9"/>
  <c r="Q816" i="9"/>
  <c r="M816" i="9"/>
  <c r="K816" i="9"/>
  <c r="H816" i="9"/>
  <c r="H816" i="9" a="1"/>
  <c r="D816" i="9"/>
  <c r="T815" i="9"/>
  <c r="Q815" i="9"/>
  <c r="M815" i="9"/>
  <c r="K815" i="9"/>
  <c r="H815" i="9"/>
  <c r="H815" i="9" a="1"/>
  <c r="D815" i="9"/>
  <c r="T814" i="9"/>
  <c r="Q814" i="9"/>
  <c r="M814" i="9"/>
  <c r="K814" i="9"/>
  <c r="H814" i="9"/>
  <c r="H814" i="9" a="1"/>
  <c r="D814" i="9"/>
  <c r="T813" i="9"/>
  <c r="Q813" i="9"/>
  <c r="M813" i="9"/>
  <c r="K813" i="9"/>
  <c r="H813" i="9"/>
  <c r="H813" i="9" a="1"/>
  <c r="D813" i="9"/>
  <c r="T812" i="9"/>
  <c r="Q812" i="9"/>
  <c r="M812" i="9"/>
  <c r="K812" i="9"/>
  <c r="H812" i="9"/>
  <c r="H812" i="9" a="1"/>
  <c r="D812" i="9"/>
  <c r="T811" i="9"/>
  <c r="Q811" i="9"/>
  <c r="M811" i="9"/>
  <c r="K811" i="9"/>
  <c r="H811" i="9"/>
  <c r="H811" i="9" a="1"/>
  <c r="D811" i="9"/>
  <c r="T810" i="9"/>
  <c r="Q810" i="9"/>
  <c r="M810" i="9"/>
  <c r="K810" i="9"/>
  <c r="H810" i="9"/>
  <c r="H810" i="9" a="1"/>
  <c r="D810" i="9"/>
  <c r="T809" i="9"/>
  <c r="Q809" i="9"/>
  <c r="M809" i="9"/>
  <c r="K809" i="9"/>
  <c r="H809" i="9"/>
  <c r="H809" i="9" a="1"/>
  <c r="D809" i="9"/>
  <c r="T808" i="9"/>
  <c r="Q808" i="9"/>
  <c r="M808" i="9"/>
  <c r="K808" i="9"/>
  <c r="H808" i="9"/>
  <c r="H808" i="9" a="1"/>
  <c r="D808" i="9"/>
  <c r="T807" i="9"/>
  <c r="Q807" i="9"/>
  <c r="M807" i="9"/>
  <c r="K807" i="9"/>
  <c r="H807" i="9"/>
  <c r="H807" i="9" a="1"/>
  <c r="D807" i="9"/>
  <c r="T806" i="9"/>
  <c r="Q806" i="9"/>
  <c r="M806" i="9"/>
  <c r="K806" i="9"/>
  <c r="H806" i="9"/>
  <c r="H806" i="9" a="1"/>
  <c r="D806" i="9"/>
  <c r="T805" i="9"/>
  <c r="Q805" i="9"/>
  <c r="M805" i="9"/>
  <c r="K805" i="9"/>
  <c r="H805" i="9"/>
  <c r="H805" i="9" a="1"/>
  <c r="D805" i="9"/>
  <c r="T804" i="9"/>
  <c r="Q804" i="9"/>
  <c r="M804" i="9"/>
  <c r="K804" i="9"/>
  <c r="H804" i="9"/>
  <c r="H804" i="9" a="1"/>
  <c r="D804" i="9"/>
  <c r="T803" i="9"/>
  <c r="Q803" i="9"/>
  <c r="M803" i="9"/>
  <c r="K803" i="9"/>
  <c r="H803" i="9"/>
  <c r="H803" i="9" a="1"/>
  <c r="D803" i="9"/>
  <c r="T802" i="9"/>
  <c r="Q802" i="9"/>
  <c r="M802" i="9"/>
  <c r="K802" i="9"/>
  <c r="H802" i="9"/>
  <c r="H802" i="9" a="1"/>
  <c r="D802" i="9"/>
  <c r="T801" i="9"/>
  <c r="Q801" i="9"/>
  <c r="M801" i="9"/>
  <c r="K801" i="9"/>
  <c r="H801" i="9"/>
  <c r="H801" i="9" a="1"/>
  <c r="D801" i="9"/>
  <c r="T800" i="9"/>
  <c r="Q800" i="9"/>
  <c r="M800" i="9"/>
  <c r="K800" i="9"/>
  <c r="H800" i="9"/>
  <c r="H800" i="9" a="1"/>
  <c r="D800" i="9"/>
  <c r="T799" i="9"/>
  <c r="Q799" i="9"/>
  <c r="M799" i="9"/>
  <c r="K799" i="9"/>
  <c r="H799" i="9"/>
  <c r="H799" i="9" a="1"/>
  <c r="D799" i="9"/>
  <c r="T798" i="9"/>
  <c r="Q798" i="9"/>
  <c r="M798" i="9"/>
  <c r="K798" i="9"/>
  <c r="H798" i="9"/>
  <c r="H798" i="9" a="1"/>
  <c r="D798" i="9"/>
  <c r="T797" i="9"/>
  <c r="Q797" i="9"/>
  <c r="M797" i="9"/>
  <c r="K797" i="9"/>
  <c r="H797" i="9"/>
  <c r="H797" i="9" a="1"/>
  <c r="D797" i="9"/>
  <c r="T796" i="9"/>
  <c r="Q796" i="9"/>
  <c r="M796" i="9"/>
  <c r="K796" i="9"/>
  <c r="H796" i="9"/>
  <c r="H796" i="9" a="1"/>
  <c r="D796" i="9"/>
  <c r="T795" i="9"/>
  <c r="Q795" i="9"/>
  <c r="M795" i="9"/>
  <c r="K795" i="9"/>
  <c r="H795" i="9"/>
  <c r="H795" i="9" a="1"/>
  <c r="D795" i="9"/>
  <c r="T794" i="9"/>
  <c r="Q794" i="9"/>
  <c r="M794" i="9"/>
  <c r="K794" i="9"/>
  <c r="H794" i="9"/>
  <c r="H794" i="9" a="1"/>
  <c r="D794" i="9"/>
  <c r="T793" i="9"/>
  <c r="Q793" i="9"/>
  <c r="M793" i="9"/>
  <c r="K793" i="9"/>
  <c r="H793" i="9"/>
  <c r="H793" i="9" a="1"/>
  <c r="D793" i="9"/>
  <c r="T792" i="9"/>
  <c r="Q792" i="9"/>
  <c r="M792" i="9"/>
  <c r="K792" i="9"/>
  <c r="H792" i="9"/>
  <c r="H792" i="9" a="1"/>
  <c r="D792" i="9"/>
  <c r="T791" i="9"/>
  <c r="Q791" i="9"/>
  <c r="M791" i="9"/>
  <c r="K791" i="9"/>
  <c r="H791" i="9"/>
  <c r="H791" i="9" a="1"/>
  <c r="D791" i="9"/>
  <c r="T790" i="9"/>
  <c r="Q790" i="9"/>
  <c r="M790" i="9"/>
  <c r="K790" i="9"/>
  <c r="H790" i="9"/>
  <c r="H790" i="9" a="1"/>
  <c r="D790" i="9"/>
  <c r="T789" i="9"/>
  <c r="Q789" i="9"/>
  <c r="M789" i="9"/>
  <c r="K789" i="9"/>
  <c r="H789" i="9"/>
  <c r="H789" i="9" a="1"/>
  <c r="D789" i="9"/>
  <c r="T788" i="9"/>
  <c r="Q788" i="9"/>
  <c r="M788" i="9"/>
  <c r="K788" i="9"/>
  <c r="H788" i="9"/>
  <c r="H788" i="9" a="1"/>
  <c r="D788" i="9"/>
  <c r="T787" i="9"/>
  <c r="Q787" i="9"/>
  <c r="M787" i="9"/>
  <c r="K787" i="9"/>
  <c r="H787" i="9"/>
  <c r="H787" i="9" a="1"/>
  <c r="D787" i="9"/>
  <c r="T786" i="9"/>
  <c r="Q786" i="9"/>
  <c r="M786" i="9"/>
  <c r="K786" i="9"/>
  <c r="H786" i="9"/>
  <c r="H786" i="9" a="1"/>
  <c r="D786" i="9"/>
  <c r="T785" i="9"/>
  <c r="Q785" i="9"/>
  <c r="M785" i="9"/>
  <c r="K785" i="9"/>
  <c r="H785" i="9"/>
  <c r="H785" i="9" a="1"/>
  <c r="D785" i="9"/>
  <c r="T784" i="9"/>
  <c r="Q784" i="9"/>
  <c r="M784" i="9"/>
  <c r="K784" i="9"/>
  <c r="H784" i="9"/>
  <c r="H784" i="9" a="1"/>
  <c r="D784" i="9"/>
  <c r="T783" i="9"/>
  <c r="Q783" i="9"/>
  <c r="M783" i="9"/>
  <c r="K783" i="9"/>
  <c r="H783" i="9"/>
  <c r="H783" i="9" a="1"/>
  <c r="D783" i="9"/>
  <c r="T782" i="9"/>
  <c r="Q782" i="9"/>
  <c r="M782" i="9"/>
  <c r="K782" i="9"/>
  <c r="H782" i="9"/>
  <c r="H782" i="9" a="1"/>
  <c r="D782" i="9"/>
  <c r="T781" i="9"/>
  <c r="Q781" i="9"/>
  <c r="M781" i="9"/>
  <c r="K781" i="9"/>
  <c r="H781" i="9"/>
  <c r="H781" i="9" a="1"/>
  <c r="D781" i="9"/>
  <c r="T780" i="9"/>
  <c r="Q780" i="9"/>
  <c r="M780" i="9"/>
  <c r="K780" i="9"/>
  <c r="H780" i="9"/>
  <c r="H780" i="9" a="1"/>
  <c r="D780" i="9"/>
  <c r="T779" i="9"/>
  <c r="Q779" i="9"/>
  <c r="M779" i="9"/>
  <c r="K779" i="9"/>
  <c r="H779" i="9"/>
  <c r="H779" i="9" a="1"/>
  <c r="D779" i="9"/>
  <c r="T778" i="9"/>
  <c r="Q778" i="9"/>
  <c r="M778" i="9"/>
  <c r="K778" i="9"/>
  <c r="H778" i="9"/>
  <c r="H778" i="9" a="1"/>
  <c r="D778" i="9"/>
  <c r="T777" i="9"/>
  <c r="Q777" i="9"/>
  <c r="M777" i="9"/>
  <c r="K777" i="9"/>
  <c r="H777" i="9"/>
  <c r="H777" i="9" a="1"/>
  <c r="D777" i="9"/>
  <c r="T776" i="9"/>
  <c r="Q776" i="9"/>
  <c r="M776" i="9"/>
  <c r="K776" i="9"/>
  <c r="H776" i="9"/>
  <c r="H776" i="9" a="1"/>
  <c r="D776" i="9"/>
  <c r="T775" i="9"/>
  <c r="Q775" i="9"/>
  <c r="M775" i="9"/>
  <c r="K775" i="9"/>
  <c r="H775" i="9"/>
  <c r="H775" i="9" a="1"/>
  <c r="D775" i="9"/>
  <c r="T774" i="9"/>
  <c r="Q774" i="9"/>
  <c r="M774" i="9"/>
  <c r="K774" i="9"/>
  <c r="H774" i="9"/>
  <c r="H774" i="9" a="1"/>
  <c r="D774" i="9"/>
  <c r="T773" i="9"/>
  <c r="Q773" i="9"/>
  <c r="M773" i="9"/>
  <c r="K773" i="9"/>
  <c r="H773" i="9"/>
  <c r="H773" i="9" a="1"/>
  <c r="D773" i="9"/>
  <c r="T772" i="9"/>
  <c r="Q772" i="9"/>
  <c r="M772" i="9"/>
  <c r="K772" i="9"/>
  <c r="H772" i="9"/>
  <c r="H772" i="9" a="1"/>
  <c r="D772" i="9"/>
  <c r="T771" i="9"/>
  <c r="Q771" i="9"/>
  <c r="M771" i="9"/>
  <c r="K771" i="9"/>
  <c r="H771" i="9"/>
  <c r="H771" i="9" a="1"/>
  <c r="D771" i="9"/>
  <c r="T770" i="9"/>
  <c r="Q770" i="9"/>
  <c r="M770" i="9"/>
  <c r="K770" i="9"/>
  <c r="H770" i="9"/>
  <c r="H770" i="9" a="1"/>
  <c r="D770" i="9"/>
  <c r="T769" i="9"/>
  <c r="Q769" i="9"/>
  <c r="M769" i="9"/>
  <c r="K769" i="9"/>
  <c r="H769" i="9"/>
  <c r="H769" i="9" a="1"/>
  <c r="D769" i="9"/>
  <c r="T768" i="9"/>
  <c r="Q768" i="9"/>
  <c r="M768" i="9"/>
  <c r="K768" i="9"/>
  <c r="H768" i="9"/>
  <c r="H768" i="9" a="1"/>
  <c r="D768" i="9"/>
  <c r="T767" i="9"/>
  <c r="Q767" i="9"/>
  <c r="M767" i="9"/>
  <c r="K767" i="9"/>
  <c r="H767" i="9"/>
  <c r="H767" i="9" a="1"/>
  <c r="D767" i="9"/>
  <c r="T766" i="9"/>
  <c r="Q766" i="9"/>
  <c r="M766" i="9"/>
  <c r="K766" i="9"/>
  <c r="H766" i="9"/>
  <c r="H766" i="9" a="1"/>
  <c r="D766" i="9"/>
  <c r="T765" i="9"/>
  <c r="Q765" i="9"/>
  <c r="M765" i="9"/>
  <c r="K765" i="9"/>
  <c r="H765" i="9"/>
  <c r="H765" i="9" a="1"/>
  <c r="D765" i="9"/>
  <c r="T764" i="9"/>
  <c r="Q764" i="9"/>
  <c r="M764" i="9"/>
  <c r="K764" i="9"/>
  <c r="H764" i="9"/>
  <c r="H764" i="9" a="1"/>
  <c r="D764" i="9"/>
  <c r="T763" i="9"/>
  <c r="Q763" i="9"/>
  <c r="M763" i="9"/>
  <c r="K763" i="9"/>
  <c r="H763" i="9"/>
  <c r="H763" i="9" a="1"/>
  <c r="D763" i="9"/>
  <c r="T762" i="9"/>
  <c r="Q762" i="9"/>
  <c r="M762" i="9"/>
  <c r="K762" i="9"/>
  <c r="H762" i="9"/>
  <c r="H762" i="9" a="1"/>
  <c r="D762" i="9"/>
  <c r="T761" i="9"/>
  <c r="Q761" i="9"/>
  <c r="M761" i="9"/>
  <c r="K761" i="9"/>
  <c r="H761" i="9"/>
  <c r="H761" i="9" a="1"/>
  <c r="D761" i="9"/>
  <c r="T760" i="9"/>
  <c r="Q760" i="9"/>
  <c r="M760" i="9"/>
  <c r="K760" i="9"/>
  <c r="H760" i="9"/>
  <c r="H760" i="9" a="1"/>
  <c r="D760" i="9"/>
  <c r="T759" i="9"/>
  <c r="Q759" i="9"/>
  <c r="M759" i="9"/>
  <c r="K759" i="9"/>
  <c r="H759" i="9"/>
  <c r="H759" i="9" a="1"/>
  <c r="D759" i="9"/>
  <c r="T758" i="9"/>
  <c r="Q758" i="9"/>
  <c r="M758" i="9"/>
  <c r="K758" i="9"/>
  <c r="H758" i="9"/>
  <c r="H758" i="9" a="1"/>
  <c r="D758" i="9"/>
  <c r="T757" i="9"/>
  <c r="Q757" i="9"/>
  <c r="M757" i="9"/>
  <c r="K757" i="9"/>
  <c r="H757" i="9"/>
  <c r="H757" i="9" a="1"/>
  <c r="D757" i="9"/>
  <c r="T756" i="9"/>
  <c r="Q756" i="9"/>
  <c r="M756" i="9"/>
  <c r="K756" i="9"/>
  <c r="H756" i="9"/>
  <c r="H756" i="9" a="1"/>
  <c r="D756" i="9"/>
  <c r="T755" i="9"/>
  <c r="Q755" i="9"/>
  <c r="M755" i="9"/>
  <c r="K755" i="9"/>
  <c r="H755" i="9"/>
  <c r="H755" i="9" a="1"/>
  <c r="D755" i="9"/>
  <c r="T754" i="9"/>
  <c r="Q754" i="9"/>
  <c r="M754" i="9"/>
  <c r="K754" i="9"/>
  <c r="H754" i="9"/>
  <c r="H754" i="9" a="1"/>
  <c r="D754" i="9"/>
  <c r="T753" i="9"/>
  <c r="Q753" i="9"/>
  <c r="M753" i="9"/>
  <c r="K753" i="9"/>
  <c r="H753" i="9"/>
  <c r="H753" i="9" a="1"/>
  <c r="D753" i="9"/>
  <c r="T752" i="9"/>
  <c r="Q752" i="9"/>
  <c r="M752" i="9"/>
  <c r="K752" i="9"/>
  <c r="H752" i="9"/>
  <c r="H752" i="9" a="1"/>
  <c r="D752" i="9"/>
  <c r="T751" i="9"/>
  <c r="Q751" i="9"/>
  <c r="M751" i="9"/>
  <c r="K751" i="9"/>
  <c r="H751" i="9"/>
  <c r="H751" i="9" a="1"/>
  <c r="D751" i="9"/>
  <c r="T750" i="9"/>
  <c r="Q750" i="9"/>
  <c r="M750" i="9"/>
  <c r="K750" i="9"/>
  <c r="H750" i="9"/>
  <c r="H750" i="9" a="1"/>
  <c r="D750" i="9"/>
  <c r="T749" i="9"/>
  <c r="Q749" i="9"/>
  <c r="M749" i="9"/>
  <c r="K749" i="9"/>
  <c r="H749" i="9"/>
  <c r="H749" i="9" a="1"/>
  <c r="D749" i="9"/>
  <c r="T748" i="9"/>
  <c r="Q748" i="9"/>
  <c r="M748" i="9"/>
  <c r="K748" i="9"/>
  <c r="H748" i="9"/>
  <c r="H748" i="9" a="1"/>
  <c r="D748" i="9"/>
  <c r="T747" i="9"/>
  <c r="Q747" i="9"/>
  <c r="M747" i="9"/>
  <c r="K747" i="9"/>
  <c r="H747" i="9"/>
  <c r="H747" i="9" a="1"/>
  <c r="D747" i="9"/>
  <c r="T746" i="9"/>
  <c r="Q746" i="9"/>
  <c r="M746" i="9"/>
  <c r="K746" i="9"/>
  <c r="H746" i="9"/>
  <c r="H746" i="9" a="1"/>
  <c r="D746" i="9"/>
  <c r="T745" i="9"/>
  <c r="Q745" i="9"/>
  <c r="M745" i="9"/>
  <c r="K745" i="9"/>
  <c r="H745" i="9"/>
  <c r="H745" i="9" a="1"/>
  <c r="D745" i="9"/>
  <c r="T744" i="9"/>
  <c r="Q744" i="9"/>
  <c r="M744" i="9"/>
  <c r="K744" i="9"/>
  <c r="H744" i="9"/>
  <c r="H744" i="9" a="1"/>
  <c r="D744" i="9"/>
  <c r="T743" i="9"/>
  <c r="Q743" i="9"/>
  <c r="M743" i="9"/>
  <c r="K743" i="9"/>
  <c r="H743" i="9"/>
  <c r="H743" i="9" a="1"/>
  <c r="D743" i="9"/>
  <c r="T742" i="9"/>
  <c r="Q742" i="9"/>
  <c r="M742" i="9"/>
  <c r="K742" i="9"/>
  <c r="H742" i="9"/>
  <c r="H742" i="9" a="1"/>
  <c r="D742" i="9"/>
  <c r="T741" i="9"/>
  <c r="Q741" i="9"/>
  <c r="M741" i="9"/>
  <c r="K741" i="9"/>
  <c r="H741" i="9"/>
  <c r="H741" i="9" a="1"/>
  <c r="D741" i="9"/>
  <c r="T740" i="9"/>
  <c r="Q740" i="9"/>
  <c r="M740" i="9"/>
  <c r="K740" i="9"/>
  <c r="H740" i="9"/>
  <c r="H740" i="9" a="1"/>
  <c r="D740" i="9"/>
  <c r="T739" i="9"/>
  <c r="Q739" i="9"/>
  <c r="M739" i="9"/>
  <c r="K739" i="9"/>
  <c r="H739" i="9"/>
  <c r="H739" i="9" a="1"/>
  <c r="D739" i="9"/>
  <c r="T738" i="9"/>
  <c r="Q738" i="9"/>
  <c r="M738" i="9"/>
  <c r="K738" i="9"/>
  <c r="H738" i="9"/>
  <c r="H738" i="9" a="1"/>
  <c r="D738" i="9"/>
  <c r="T737" i="9"/>
  <c r="Q737" i="9"/>
  <c r="M737" i="9"/>
  <c r="K737" i="9"/>
  <c r="H737" i="9"/>
  <c r="H737" i="9" a="1"/>
  <c r="D737" i="9"/>
  <c r="T736" i="9"/>
  <c r="Q736" i="9"/>
  <c r="M736" i="9"/>
  <c r="K736" i="9"/>
  <c r="H736" i="9"/>
  <c r="H736" i="9" a="1"/>
  <c r="D736" i="9"/>
  <c r="T735" i="9"/>
  <c r="Q735" i="9"/>
  <c r="M735" i="9"/>
  <c r="K735" i="9"/>
  <c r="H735" i="9"/>
  <c r="H735" i="9" a="1"/>
  <c r="D735" i="9"/>
  <c r="T734" i="9"/>
  <c r="Q734" i="9"/>
  <c r="M734" i="9"/>
  <c r="K734" i="9"/>
  <c r="H734" i="9"/>
  <c r="H734" i="9" a="1"/>
  <c r="D734" i="9"/>
  <c r="T733" i="9"/>
  <c r="Q733" i="9"/>
  <c r="M733" i="9"/>
  <c r="K733" i="9"/>
  <c r="H733" i="9"/>
  <c r="H733" i="9" a="1"/>
  <c r="D733" i="9"/>
  <c r="T732" i="9"/>
  <c r="Q732" i="9"/>
  <c r="M732" i="9"/>
  <c r="K732" i="9"/>
  <c r="H732" i="9"/>
  <c r="H732" i="9" a="1"/>
  <c r="D732" i="9"/>
  <c r="T731" i="9"/>
  <c r="Q731" i="9"/>
  <c r="M731" i="9"/>
  <c r="K731" i="9"/>
  <c r="H731" i="9"/>
  <c r="H731" i="9" a="1"/>
  <c r="D731" i="9"/>
  <c r="T730" i="9"/>
  <c r="Q730" i="9"/>
  <c r="M730" i="9"/>
  <c r="K730" i="9"/>
  <c r="H730" i="9"/>
  <c r="H730" i="9" a="1"/>
  <c r="D730" i="9"/>
  <c r="T729" i="9"/>
  <c r="Q729" i="9"/>
  <c r="M729" i="9"/>
  <c r="K729" i="9"/>
  <c r="H729" i="9"/>
  <c r="H729" i="9" a="1"/>
  <c r="D729" i="9"/>
  <c r="T728" i="9"/>
  <c r="Q728" i="9"/>
  <c r="M728" i="9"/>
  <c r="K728" i="9"/>
  <c r="H728" i="9"/>
  <c r="H728" i="9" a="1"/>
  <c r="D728" i="9"/>
  <c r="T727" i="9"/>
  <c r="Q727" i="9"/>
  <c r="M727" i="9"/>
  <c r="K727" i="9"/>
  <c r="H727" i="9"/>
  <c r="H727" i="9" a="1"/>
  <c r="D727" i="9"/>
  <c r="T726" i="9"/>
  <c r="Q726" i="9"/>
  <c r="M726" i="9"/>
  <c r="K726" i="9"/>
  <c r="H726" i="9"/>
  <c r="H726" i="9" a="1"/>
  <c r="D726" i="9"/>
  <c r="T725" i="9"/>
  <c r="Q725" i="9"/>
  <c r="M725" i="9"/>
  <c r="K725" i="9"/>
  <c r="H725" i="9"/>
  <c r="H725" i="9" a="1"/>
  <c r="D725" i="9"/>
  <c r="T724" i="9"/>
  <c r="Q724" i="9"/>
  <c r="M724" i="9"/>
  <c r="K724" i="9"/>
  <c r="H724" i="9"/>
  <c r="H724" i="9" a="1"/>
  <c r="D724" i="9"/>
  <c r="T723" i="9"/>
  <c r="Q723" i="9"/>
  <c r="M723" i="9"/>
  <c r="K723" i="9"/>
  <c r="H723" i="9"/>
  <c r="H723" i="9" a="1"/>
  <c r="D723" i="9"/>
  <c r="T722" i="9"/>
  <c r="Q722" i="9"/>
  <c r="M722" i="9"/>
  <c r="K722" i="9"/>
  <c r="H722" i="9"/>
  <c r="H722" i="9" a="1"/>
  <c r="D722" i="9"/>
  <c r="T721" i="9"/>
  <c r="Q721" i="9"/>
  <c r="M721" i="9"/>
  <c r="K721" i="9"/>
  <c r="H721" i="9"/>
  <c r="H721" i="9" a="1"/>
  <c r="D721" i="9"/>
  <c r="T720" i="9"/>
  <c r="Q720" i="9"/>
  <c r="M720" i="9"/>
  <c r="K720" i="9"/>
  <c r="H720" i="9"/>
  <c r="H720" i="9" a="1"/>
  <c r="D720" i="9"/>
  <c r="T719" i="9"/>
  <c r="Q719" i="9"/>
  <c r="M719" i="9"/>
  <c r="K719" i="9"/>
  <c r="H719" i="9"/>
  <c r="H719" i="9" a="1"/>
  <c r="D719" i="9"/>
  <c r="T718" i="9"/>
  <c r="Q718" i="9"/>
  <c r="M718" i="9"/>
  <c r="K718" i="9"/>
  <c r="H718" i="9"/>
  <c r="H718" i="9" a="1"/>
  <c r="D718" i="9"/>
  <c r="T717" i="9"/>
  <c r="Q717" i="9"/>
  <c r="M717" i="9"/>
  <c r="K717" i="9"/>
  <c r="H717" i="9"/>
  <c r="H717" i="9" a="1"/>
  <c r="D717" i="9"/>
  <c r="T716" i="9"/>
  <c r="Q716" i="9"/>
  <c r="M716" i="9"/>
  <c r="K716" i="9"/>
  <c r="H716" i="9"/>
  <c r="H716" i="9" a="1"/>
  <c r="D716" i="9"/>
  <c r="T715" i="9"/>
  <c r="Q715" i="9"/>
  <c r="M715" i="9"/>
  <c r="K715" i="9"/>
  <c r="H715" i="9"/>
  <c r="H715" i="9" a="1"/>
  <c r="D715" i="9"/>
  <c r="T714" i="9"/>
  <c r="Q714" i="9"/>
  <c r="M714" i="9"/>
  <c r="K714" i="9"/>
  <c r="H714" i="9"/>
  <c r="H714" i="9" a="1"/>
  <c r="D714" i="9"/>
  <c r="T713" i="9"/>
  <c r="Q713" i="9"/>
  <c r="M713" i="9"/>
  <c r="K713" i="9"/>
  <c r="H713" i="9"/>
  <c r="H713" i="9" a="1"/>
  <c r="D713" i="9"/>
  <c r="T712" i="9"/>
  <c r="Q712" i="9"/>
  <c r="M712" i="9"/>
  <c r="K712" i="9"/>
  <c r="H712" i="9"/>
  <c r="H712" i="9" a="1"/>
  <c r="D712" i="9"/>
  <c r="T711" i="9"/>
  <c r="Q711" i="9"/>
  <c r="M711" i="9"/>
  <c r="K711" i="9"/>
  <c r="H711" i="9"/>
  <c r="H711" i="9" a="1"/>
  <c r="D711" i="9"/>
  <c r="T710" i="9"/>
  <c r="Q710" i="9"/>
  <c r="M710" i="9"/>
  <c r="K710" i="9"/>
  <c r="H710" i="9"/>
  <c r="H710" i="9" a="1"/>
  <c r="D710" i="9"/>
  <c r="T709" i="9"/>
  <c r="Q709" i="9"/>
  <c r="M709" i="9"/>
  <c r="K709" i="9"/>
  <c r="H709" i="9"/>
  <c r="H709" i="9" a="1"/>
  <c r="D709" i="9"/>
  <c r="T708" i="9"/>
  <c r="Q708" i="9"/>
  <c r="M708" i="9"/>
  <c r="K708" i="9"/>
  <c r="H708" i="9"/>
  <c r="H708" i="9" a="1"/>
  <c r="D708" i="9"/>
  <c r="T707" i="9"/>
  <c r="Q707" i="9"/>
  <c r="M707" i="9"/>
  <c r="K707" i="9"/>
  <c r="H707" i="9"/>
  <c r="H707" i="9" a="1"/>
  <c r="D707" i="9"/>
  <c r="T706" i="9"/>
  <c r="Q706" i="9"/>
  <c r="M706" i="9"/>
  <c r="K706" i="9"/>
  <c r="H706" i="9"/>
  <c r="H706" i="9" a="1"/>
  <c r="D706" i="9"/>
  <c r="T705" i="9"/>
  <c r="Q705" i="9"/>
  <c r="M705" i="9"/>
  <c r="K705" i="9"/>
  <c r="H705" i="9"/>
  <c r="H705" i="9" a="1"/>
  <c r="D705" i="9"/>
  <c r="T704" i="9"/>
  <c r="Q704" i="9"/>
  <c r="M704" i="9"/>
  <c r="K704" i="9"/>
  <c r="H704" i="9"/>
  <c r="H704" i="9" a="1"/>
  <c r="D704" i="9"/>
  <c r="T703" i="9"/>
  <c r="Q703" i="9"/>
  <c r="M703" i="9"/>
  <c r="K703" i="9"/>
  <c r="H703" i="9"/>
  <c r="H703" i="9" a="1"/>
  <c r="D703" i="9"/>
  <c r="T702" i="9"/>
  <c r="Q702" i="9"/>
  <c r="M702" i="9"/>
  <c r="K702" i="9"/>
  <c r="H702" i="9"/>
  <c r="H702" i="9" a="1"/>
  <c r="D702" i="9"/>
  <c r="T701" i="9"/>
  <c r="Q701" i="9"/>
  <c r="M701" i="9"/>
  <c r="K701" i="9"/>
  <c r="H701" i="9"/>
  <c r="H701" i="9" a="1"/>
  <c r="D701" i="9"/>
  <c r="T700" i="9"/>
  <c r="Q700" i="9"/>
  <c r="M700" i="9"/>
  <c r="K700" i="9"/>
  <c r="H700" i="9"/>
  <c r="H700" i="9" a="1"/>
  <c r="D700" i="9"/>
  <c r="T699" i="9"/>
  <c r="Q699" i="9"/>
  <c r="M699" i="9"/>
  <c r="K699" i="9"/>
  <c r="H699" i="9"/>
  <c r="H699" i="9" a="1"/>
  <c r="D699" i="9"/>
  <c r="T698" i="9"/>
  <c r="Q698" i="9"/>
  <c r="M698" i="9"/>
  <c r="K698" i="9"/>
  <c r="H698" i="9"/>
  <c r="H698" i="9" a="1"/>
  <c r="D698" i="9"/>
  <c r="T697" i="9"/>
  <c r="Q697" i="9"/>
  <c r="M697" i="9"/>
  <c r="K697" i="9"/>
  <c r="H697" i="9"/>
  <c r="H697" i="9" a="1"/>
  <c r="D697" i="9"/>
  <c r="T696" i="9"/>
  <c r="Q696" i="9"/>
  <c r="M696" i="9"/>
  <c r="K696" i="9"/>
  <c r="H696" i="9"/>
  <c r="H696" i="9" a="1"/>
  <c r="D696" i="9"/>
  <c r="T695" i="9"/>
  <c r="Q695" i="9"/>
  <c r="M695" i="9"/>
  <c r="K695" i="9"/>
  <c r="H695" i="9"/>
  <c r="H695" i="9" a="1"/>
  <c r="D695" i="9"/>
  <c r="T694" i="9"/>
  <c r="Q694" i="9"/>
  <c r="M694" i="9"/>
  <c r="K694" i="9"/>
  <c r="H694" i="9"/>
  <c r="H694" i="9" a="1"/>
  <c r="D694" i="9"/>
  <c r="T693" i="9"/>
  <c r="Q693" i="9"/>
  <c r="M693" i="9"/>
  <c r="K693" i="9"/>
  <c r="H693" i="9"/>
  <c r="H693" i="9" a="1"/>
  <c r="D693" i="9"/>
  <c r="T692" i="9"/>
  <c r="Q692" i="9"/>
  <c r="M692" i="9"/>
  <c r="K692" i="9"/>
  <c r="H692" i="9"/>
  <c r="H692" i="9" a="1"/>
  <c r="D692" i="9"/>
  <c r="T691" i="9"/>
  <c r="Q691" i="9"/>
  <c r="M691" i="9"/>
  <c r="K691" i="9"/>
  <c r="H691" i="9"/>
  <c r="H691" i="9" a="1"/>
  <c r="D691" i="9"/>
  <c r="T690" i="9"/>
  <c r="Q690" i="9"/>
  <c r="M690" i="9"/>
  <c r="K690" i="9"/>
  <c r="H690" i="9"/>
  <c r="H690" i="9" a="1"/>
  <c r="D690" i="9"/>
  <c r="T689" i="9"/>
  <c r="Q689" i="9"/>
  <c r="M689" i="9"/>
  <c r="K689" i="9"/>
  <c r="H689" i="9"/>
  <c r="H689" i="9" a="1"/>
  <c r="D689" i="9"/>
  <c r="T688" i="9"/>
  <c r="Q688" i="9"/>
  <c r="M688" i="9"/>
  <c r="K688" i="9"/>
  <c r="H688" i="9"/>
  <c r="H688" i="9" a="1"/>
  <c r="D688" i="9"/>
  <c r="T687" i="9"/>
  <c r="Q687" i="9"/>
  <c r="M687" i="9"/>
  <c r="K687" i="9"/>
  <c r="H687" i="9"/>
  <c r="H687" i="9" a="1"/>
  <c r="D687" i="9"/>
  <c r="T686" i="9"/>
  <c r="Q686" i="9"/>
  <c r="M686" i="9"/>
  <c r="K686" i="9"/>
  <c r="H686" i="9"/>
  <c r="H686" i="9" a="1"/>
  <c r="D686" i="9"/>
  <c r="T685" i="9"/>
  <c r="Q685" i="9"/>
  <c r="M685" i="9"/>
  <c r="K685" i="9"/>
  <c r="H685" i="9"/>
  <c r="H685" i="9" a="1"/>
  <c r="D685" i="9"/>
  <c r="T684" i="9"/>
  <c r="Q684" i="9"/>
  <c r="M684" i="9"/>
  <c r="K684" i="9"/>
  <c r="H684" i="9"/>
  <c r="H684" i="9" a="1"/>
  <c r="D684" i="9"/>
  <c r="T683" i="9"/>
  <c r="Q683" i="9"/>
  <c r="M683" i="9"/>
  <c r="K683" i="9"/>
  <c r="H683" i="9"/>
  <c r="H683" i="9" a="1"/>
  <c r="D683" i="9"/>
  <c r="T682" i="9"/>
  <c r="Q682" i="9"/>
  <c r="M682" i="9"/>
  <c r="K682" i="9"/>
  <c r="H682" i="9"/>
  <c r="H682" i="9" a="1"/>
  <c r="D682" i="9"/>
  <c r="T681" i="9"/>
  <c r="Q681" i="9"/>
  <c r="M681" i="9"/>
  <c r="K681" i="9"/>
  <c r="H681" i="9"/>
  <c r="H681" i="9" a="1"/>
  <c r="D681" i="9"/>
  <c r="T680" i="9"/>
  <c r="Q680" i="9"/>
  <c r="M680" i="9"/>
  <c r="K680" i="9"/>
  <c r="H680" i="9"/>
  <c r="H680" i="9" a="1"/>
  <c r="D680" i="9"/>
  <c r="T679" i="9"/>
  <c r="Q679" i="9"/>
  <c r="M679" i="9"/>
  <c r="K679" i="9"/>
  <c r="H679" i="9"/>
  <c r="H679" i="9" a="1"/>
  <c r="D679" i="9"/>
  <c r="T678" i="9"/>
  <c r="Q678" i="9"/>
  <c r="M678" i="9"/>
  <c r="K678" i="9"/>
  <c r="H678" i="9"/>
  <c r="H678" i="9" a="1"/>
  <c r="D678" i="9"/>
  <c r="T677" i="9"/>
  <c r="Q677" i="9"/>
  <c r="M677" i="9"/>
  <c r="K677" i="9"/>
  <c r="H677" i="9"/>
  <c r="H677" i="9" a="1"/>
  <c r="D677" i="9"/>
  <c r="T676" i="9"/>
  <c r="Q676" i="9"/>
  <c r="M676" i="9"/>
  <c r="K676" i="9"/>
  <c r="H676" i="9"/>
  <c r="H676" i="9" a="1"/>
  <c r="D676" i="9"/>
  <c r="T675" i="9"/>
  <c r="Q675" i="9"/>
  <c r="M675" i="9"/>
  <c r="K675" i="9"/>
  <c r="H675" i="9"/>
  <c r="H675" i="9" a="1"/>
  <c r="D675" i="9"/>
  <c r="T674" i="9"/>
  <c r="Q674" i="9"/>
  <c r="M674" i="9"/>
  <c r="K674" i="9"/>
  <c r="H674" i="9"/>
  <c r="H674" i="9" a="1"/>
  <c r="D674" i="9"/>
  <c r="T673" i="9"/>
  <c r="Q673" i="9"/>
  <c r="M673" i="9"/>
  <c r="K673" i="9"/>
  <c r="H673" i="9"/>
  <c r="H673" i="9" a="1"/>
  <c r="D673" i="9"/>
  <c r="T672" i="9"/>
  <c r="Q672" i="9"/>
  <c r="M672" i="9"/>
  <c r="K672" i="9"/>
  <c r="H672" i="9"/>
  <c r="H672" i="9" a="1"/>
  <c r="D672" i="9"/>
  <c r="T671" i="9"/>
  <c r="Q671" i="9"/>
  <c r="M671" i="9"/>
  <c r="K671" i="9"/>
  <c r="H671" i="9"/>
  <c r="H671" i="9" a="1"/>
  <c r="D671" i="9"/>
  <c r="T670" i="9"/>
  <c r="Q670" i="9"/>
  <c r="M670" i="9"/>
  <c r="K670" i="9"/>
  <c r="H670" i="9"/>
  <c r="H670" i="9" a="1"/>
  <c r="D670" i="9"/>
  <c r="T669" i="9"/>
  <c r="Q669" i="9"/>
  <c r="M669" i="9"/>
  <c r="K669" i="9"/>
  <c r="H669" i="9"/>
  <c r="H669" i="9" a="1"/>
  <c r="D669" i="9"/>
  <c r="T668" i="9"/>
  <c r="Q668" i="9"/>
  <c r="M668" i="9"/>
  <c r="K668" i="9"/>
  <c r="H668" i="9"/>
  <c r="H668" i="9" a="1"/>
  <c r="D668" i="9"/>
  <c r="T667" i="9"/>
  <c r="Q667" i="9"/>
  <c r="M667" i="9"/>
  <c r="K667" i="9"/>
  <c r="H667" i="9"/>
  <c r="H667" i="9" a="1"/>
  <c r="D667" i="9"/>
  <c r="T666" i="9"/>
  <c r="Q666" i="9"/>
  <c r="M666" i="9"/>
  <c r="K666" i="9"/>
  <c r="H666" i="9"/>
  <c r="H666" i="9" a="1"/>
  <c r="D666" i="9"/>
  <c r="T665" i="9"/>
  <c r="Q665" i="9"/>
  <c r="M665" i="9"/>
  <c r="K665" i="9"/>
  <c r="H665" i="9"/>
  <c r="H665" i="9" a="1"/>
  <c r="D665" i="9"/>
  <c r="T664" i="9"/>
  <c r="Q664" i="9"/>
  <c r="M664" i="9"/>
  <c r="K664" i="9"/>
  <c r="H664" i="9"/>
  <c r="H664" i="9" a="1"/>
  <c r="D664" i="9"/>
  <c r="T663" i="9"/>
  <c r="Q663" i="9"/>
  <c r="M663" i="9"/>
  <c r="K663" i="9"/>
  <c r="H663" i="9"/>
  <c r="H663" i="9" a="1"/>
  <c r="D663" i="9"/>
  <c r="T662" i="9"/>
  <c r="Q662" i="9"/>
  <c r="M662" i="9"/>
  <c r="K662" i="9"/>
  <c r="H662" i="9"/>
  <c r="H662" i="9" a="1"/>
  <c r="D662" i="9"/>
  <c r="T661" i="9"/>
  <c r="Q661" i="9"/>
  <c r="M661" i="9"/>
  <c r="K661" i="9"/>
  <c r="H661" i="9"/>
  <c r="H661" i="9" a="1"/>
  <c r="D661" i="9"/>
  <c r="T660" i="9"/>
  <c r="Q660" i="9"/>
  <c r="M660" i="9"/>
  <c r="K660" i="9"/>
  <c r="H660" i="9"/>
  <c r="H660" i="9" a="1"/>
  <c r="D660" i="9"/>
  <c r="T659" i="9"/>
  <c r="Q659" i="9"/>
  <c r="M659" i="9"/>
  <c r="K659" i="9"/>
  <c r="H659" i="9"/>
  <c r="H659" i="9" a="1"/>
  <c r="D659" i="9"/>
  <c r="T658" i="9"/>
  <c r="Q658" i="9"/>
  <c r="M658" i="9"/>
  <c r="K658" i="9"/>
  <c r="H658" i="9"/>
  <c r="H658" i="9" a="1"/>
  <c r="D658" i="9"/>
  <c r="T657" i="9"/>
  <c r="Q657" i="9"/>
  <c r="M657" i="9"/>
  <c r="K657" i="9"/>
  <c r="H657" i="9"/>
  <c r="H657" i="9" a="1"/>
  <c r="D657" i="9"/>
  <c r="T656" i="9"/>
  <c r="Q656" i="9"/>
  <c r="M656" i="9"/>
  <c r="K656" i="9"/>
  <c r="H656" i="9"/>
  <c r="H656" i="9" a="1"/>
  <c r="D656" i="9"/>
  <c r="T655" i="9"/>
  <c r="Q655" i="9"/>
  <c r="M655" i="9"/>
  <c r="K655" i="9"/>
  <c r="H655" i="9"/>
  <c r="H655" i="9" a="1"/>
  <c r="D655" i="9"/>
  <c r="T654" i="9"/>
  <c r="Q654" i="9"/>
  <c r="M654" i="9"/>
  <c r="K654" i="9"/>
  <c r="H654" i="9"/>
  <c r="H654" i="9" a="1"/>
  <c r="D654" i="9"/>
  <c r="T653" i="9"/>
  <c r="Q653" i="9"/>
  <c r="M653" i="9"/>
  <c r="K653" i="9"/>
  <c r="H653" i="9"/>
  <c r="H653" i="9" a="1"/>
  <c r="D653" i="9"/>
  <c r="T652" i="9"/>
  <c r="Q652" i="9"/>
  <c r="M652" i="9"/>
  <c r="K652" i="9"/>
  <c r="H652" i="9"/>
  <c r="H652" i="9" a="1"/>
  <c r="D652" i="9"/>
  <c r="T651" i="9"/>
  <c r="Q651" i="9"/>
  <c r="M651" i="9"/>
  <c r="K651" i="9"/>
  <c r="H651" i="9"/>
  <c r="H651" i="9" a="1"/>
  <c r="D651" i="9"/>
  <c r="T650" i="9"/>
  <c r="Q650" i="9"/>
  <c r="M650" i="9"/>
  <c r="K650" i="9"/>
  <c r="H650" i="9"/>
  <c r="H650" i="9" a="1"/>
  <c r="D650" i="9"/>
  <c r="T649" i="9"/>
  <c r="Q649" i="9"/>
  <c r="M649" i="9"/>
  <c r="K649" i="9"/>
  <c r="H649" i="9"/>
  <c r="H649" i="9" a="1"/>
  <c r="D649" i="9"/>
  <c r="T648" i="9"/>
  <c r="Q648" i="9"/>
  <c r="M648" i="9"/>
  <c r="K648" i="9"/>
  <c r="H648" i="9"/>
  <c r="H648" i="9" a="1"/>
  <c r="D648" i="9"/>
  <c r="T647" i="9"/>
  <c r="Q647" i="9"/>
  <c r="M647" i="9"/>
  <c r="K647" i="9"/>
  <c r="H647" i="9"/>
  <c r="H647" i="9" a="1"/>
  <c r="D647" i="9"/>
  <c r="T646" i="9"/>
  <c r="Q646" i="9"/>
  <c r="M646" i="9"/>
  <c r="K646" i="9"/>
  <c r="H646" i="9"/>
  <c r="H646" i="9" a="1"/>
  <c r="D646" i="9"/>
  <c r="T645" i="9"/>
  <c r="Q645" i="9"/>
  <c r="M645" i="9"/>
  <c r="K645" i="9"/>
  <c r="H645" i="9"/>
  <c r="H645" i="9" a="1"/>
  <c r="D645" i="9"/>
  <c r="T644" i="9"/>
  <c r="Q644" i="9"/>
  <c r="M644" i="9"/>
  <c r="K644" i="9"/>
  <c r="H644" i="9"/>
  <c r="H644" i="9" a="1"/>
  <c r="D644" i="9"/>
  <c r="T643" i="9"/>
  <c r="Q643" i="9"/>
  <c r="M643" i="9"/>
  <c r="K643" i="9"/>
  <c r="H643" i="9"/>
  <c r="H643" i="9" a="1"/>
  <c r="D643" i="9"/>
  <c r="T642" i="9"/>
  <c r="Q642" i="9"/>
  <c r="M642" i="9"/>
  <c r="K642" i="9"/>
  <c r="H642" i="9"/>
  <c r="H642" i="9" a="1"/>
  <c r="D642" i="9"/>
  <c r="T641" i="9"/>
  <c r="Q641" i="9"/>
  <c r="M641" i="9"/>
  <c r="K641" i="9"/>
  <c r="H641" i="9"/>
  <c r="H641" i="9" a="1"/>
  <c r="D641" i="9"/>
  <c r="T640" i="9"/>
  <c r="Q640" i="9"/>
  <c r="M640" i="9"/>
  <c r="K640" i="9"/>
  <c r="H640" i="9"/>
  <c r="H640" i="9" a="1"/>
  <c r="D640" i="9"/>
  <c r="T639" i="9"/>
  <c r="Q639" i="9"/>
  <c r="M639" i="9"/>
  <c r="K639" i="9"/>
  <c r="H639" i="9"/>
  <c r="H639" i="9" a="1"/>
  <c r="D639" i="9"/>
  <c r="T638" i="9"/>
  <c r="Q638" i="9"/>
  <c r="M638" i="9"/>
  <c r="K638" i="9"/>
  <c r="H638" i="9"/>
  <c r="H638" i="9" a="1"/>
  <c r="D638" i="9"/>
  <c r="T637" i="9"/>
  <c r="Q637" i="9"/>
  <c r="M637" i="9"/>
  <c r="K637" i="9"/>
  <c r="H637" i="9"/>
  <c r="H637" i="9" a="1"/>
  <c r="D637" i="9"/>
  <c r="T636" i="9"/>
  <c r="Q636" i="9"/>
  <c r="M636" i="9"/>
  <c r="K636" i="9"/>
  <c r="H636" i="9"/>
  <c r="H636" i="9" a="1"/>
  <c r="D636" i="9"/>
  <c r="T635" i="9"/>
  <c r="Q635" i="9"/>
  <c r="M635" i="9"/>
  <c r="K635" i="9"/>
  <c r="H635" i="9"/>
  <c r="H635" i="9" a="1"/>
  <c r="D635" i="9"/>
  <c r="T634" i="9"/>
  <c r="Q634" i="9"/>
  <c r="M634" i="9"/>
  <c r="K634" i="9"/>
  <c r="H634" i="9"/>
  <c r="H634" i="9" a="1"/>
  <c r="D634" i="9"/>
  <c r="T633" i="9"/>
  <c r="Q633" i="9"/>
  <c r="M633" i="9"/>
  <c r="K633" i="9"/>
  <c r="H633" i="9"/>
  <c r="H633" i="9" a="1"/>
  <c r="D633" i="9"/>
  <c r="T632" i="9"/>
  <c r="Q632" i="9"/>
  <c r="M632" i="9"/>
  <c r="K632" i="9"/>
  <c r="H632" i="9"/>
  <c r="H632" i="9" a="1"/>
  <c r="D632" i="9"/>
  <c r="T631" i="9"/>
  <c r="Q631" i="9"/>
  <c r="M631" i="9"/>
  <c r="K631" i="9"/>
  <c r="H631" i="9"/>
  <c r="H631" i="9" a="1"/>
  <c r="D631" i="9"/>
  <c r="T630" i="9"/>
  <c r="Q630" i="9"/>
  <c r="M630" i="9"/>
  <c r="K630" i="9"/>
  <c r="H630" i="9"/>
  <c r="H630" i="9" a="1"/>
  <c r="D630" i="9"/>
  <c r="T629" i="9"/>
  <c r="Q629" i="9"/>
  <c r="M629" i="9"/>
  <c r="K629" i="9"/>
  <c r="H629" i="9"/>
  <c r="H629" i="9" a="1"/>
  <c r="D629" i="9"/>
  <c r="T628" i="9"/>
  <c r="Q628" i="9"/>
  <c r="M628" i="9"/>
  <c r="K628" i="9"/>
  <c r="H628" i="9"/>
  <c r="H628" i="9" a="1"/>
  <c r="D628" i="9"/>
  <c r="T627" i="9"/>
  <c r="Q627" i="9"/>
  <c r="M627" i="9"/>
  <c r="K627" i="9"/>
  <c r="H627" i="9"/>
  <c r="H627" i="9" a="1"/>
  <c r="D627" i="9"/>
  <c r="T626" i="9"/>
  <c r="Q626" i="9"/>
  <c r="M626" i="9"/>
  <c r="K626" i="9"/>
  <c r="H626" i="9"/>
  <c r="H626" i="9" a="1"/>
  <c r="D626" i="9"/>
  <c r="T625" i="9"/>
  <c r="Q625" i="9"/>
  <c r="M625" i="9"/>
  <c r="K625" i="9"/>
  <c r="H625" i="9"/>
  <c r="H625" i="9" a="1"/>
  <c r="D625" i="9"/>
  <c r="T624" i="9"/>
  <c r="Q624" i="9"/>
  <c r="M624" i="9"/>
  <c r="K624" i="9"/>
  <c r="H624" i="9"/>
  <c r="H624" i="9" a="1"/>
  <c r="D624" i="9"/>
  <c r="T623" i="9"/>
  <c r="Q623" i="9"/>
  <c r="M623" i="9"/>
  <c r="K623" i="9"/>
  <c r="H623" i="9"/>
  <c r="H623" i="9" a="1"/>
  <c r="D623" i="9"/>
  <c r="T622" i="9"/>
  <c r="Q622" i="9"/>
  <c r="M622" i="9"/>
  <c r="K622" i="9"/>
  <c r="H622" i="9"/>
  <c r="H622" i="9" a="1"/>
  <c r="D622" i="9"/>
  <c r="T621" i="9"/>
  <c r="Q621" i="9"/>
  <c r="M621" i="9"/>
  <c r="K621" i="9"/>
  <c r="H621" i="9"/>
  <c r="H621" i="9" a="1"/>
  <c r="D621" i="9"/>
  <c r="T620" i="9"/>
  <c r="Q620" i="9"/>
  <c r="M620" i="9"/>
  <c r="K620" i="9"/>
  <c r="H620" i="9"/>
  <c r="H620" i="9" a="1"/>
  <c r="D620" i="9"/>
  <c r="T619" i="9"/>
  <c r="Q619" i="9"/>
  <c r="M619" i="9"/>
  <c r="K619" i="9"/>
  <c r="H619" i="9"/>
  <c r="H619" i="9" a="1"/>
  <c r="D619" i="9"/>
  <c r="T618" i="9"/>
  <c r="Q618" i="9"/>
  <c r="M618" i="9"/>
  <c r="K618" i="9"/>
  <c r="H618" i="9"/>
  <c r="H618" i="9" a="1"/>
  <c r="D618" i="9"/>
  <c r="T617" i="9"/>
  <c r="Q617" i="9"/>
  <c r="M617" i="9"/>
  <c r="K617" i="9"/>
  <c r="H617" i="9"/>
  <c r="H617" i="9" a="1"/>
  <c r="D617" i="9"/>
  <c r="T616" i="9"/>
  <c r="Q616" i="9"/>
  <c r="M616" i="9"/>
  <c r="K616" i="9"/>
  <c r="H616" i="9"/>
  <c r="H616" i="9" a="1"/>
  <c r="D616" i="9"/>
  <c r="T615" i="9"/>
  <c r="Q615" i="9"/>
  <c r="M615" i="9"/>
  <c r="K615" i="9"/>
  <c r="H615" i="9"/>
  <c r="H615" i="9" a="1"/>
  <c r="D615" i="9"/>
  <c r="T614" i="9"/>
  <c r="Q614" i="9"/>
  <c r="M614" i="9"/>
  <c r="K614" i="9"/>
  <c r="H614" i="9"/>
  <c r="H614" i="9" a="1"/>
  <c r="D614" i="9"/>
  <c r="T613" i="9"/>
  <c r="Q613" i="9"/>
  <c r="M613" i="9"/>
  <c r="K613" i="9"/>
  <c r="H613" i="9"/>
  <c r="H613" i="9" a="1"/>
  <c r="D613" i="9"/>
  <c r="T612" i="9"/>
  <c r="Q612" i="9"/>
  <c r="M612" i="9"/>
  <c r="K612" i="9"/>
  <c r="H612" i="9"/>
  <c r="H612" i="9" a="1"/>
  <c r="D612" i="9"/>
  <c r="T611" i="9"/>
  <c r="Q611" i="9"/>
  <c r="M611" i="9"/>
  <c r="K611" i="9"/>
  <c r="H611" i="9"/>
  <c r="H611" i="9" a="1"/>
  <c r="D611" i="9"/>
  <c r="T610" i="9"/>
  <c r="Q610" i="9"/>
  <c r="M610" i="9"/>
  <c r="K610" i="9"/>
  <c r="H610" i="9"/>
  <c r="H610" i="9" a="1"/>
  <c r="D610" i="9"/>
  <c r="T609" i="9"/>
  <c r="Q609" i="9"/>
  <c r="M609" i="9"/>
  <c r="K609" i="9"/>
  <c r="H609" i="9"/>
  <c r="H609" i="9" a="1"/>
  <c r="D609" i="9"/>
  <c r="T608" i="9"/>
  <c r="Q608" i="9"/>
  <c r="M608" i="9"/>
  <c r="K608" i="9"/>
  <c r="H608" i="9"/>
  <c r="H608" i="9" a="1"/>
  <c r="D608" i="9"/>
  <c r="T607" i="9"/>
  <c r="Q607" i="9"/>
  <c r="M607" i="9"/>
  <c r="K607" i="9"/>
  <c r="H607" i="9"/>
  <c r="H607" i="9" a="1"/>
  <c r="D607" i="9"/>
  <c r="T606" i="9"/>
  <c r="Q606" i="9"/>
  <c r="M606" i="9"/>
  <c r="K606" i="9"/>
  <c r="H606" i="9"/>
  <c r="H606" i="9" a="1"/>
  <c r="D606" i="9"/>
  <c r="T605" i="9"/>
  <c r="Q605" i="9"/>
  <c r="M605" i="9"/>
  <c r="K605" i="9"/>
  <c r="H605" i="9"/>
  <c r="H605" i="9" a="1"/>
  <c r="D605" i="9"/>
  <c r="T604" i="9"/>
  <c r="Q604" i="9"/>
  <c r="M604" i="9"/>
  <c r="K604" i="9"/>
  <c r="H604" i="9"/>
  <c r="H604" i="9" a="1"/>
  <c r="D604" i="9"/>
  <c r="T603" i="9"/>
  <c r="Q603" i="9"/>
  <c r="M603" i="9"/>
  <c r="K603" i="9"/>
  <c r="H603" i="9"/>
  <c r="H603" i="9" a="1"/>
  <c r="D603" i="9"/>
  <c r="T602" i="9"/>
  <c r="Q602" i="9"/>
  <c r="M602" i="9"/>
  <c r="K602" i="9"/>
  <c r="H602" i="9"/>
  <c r="H602" i="9" a="1"/>
  <c r="D602" i="9"/>
  <c r="T601" i="9"/>
  <c r="Q601" i="9"/>
  <c r="M601" i="9"/>
  <c r="K601" i="9"/>
  <c r="H601" i="9"/>
  <c r="H601" i="9" a="1"/>
  <c r="D601" i="9"/>
  <c r="T600" i="9"/>
  <c r="Q600" i="9"/>
  <c r="M600" i="9"/>
  <c r="K600" i="9"/>
  <c r="H600" i="9"/>
  <c r="H600" i="9" a="1"/>
  <c r="D600" i="9"/>
  <c r="T599" i="9"/>
  <c r="Q599" i="9"/>
  <c r="M599" i="9"/>
  <c r="K599" i="9"/>
  <c r="H599" i="9"/>
  <c r="H599" i="9" a="1"/>
  <c r="D599" i="9"/>
  <c r="T598" i="9"/>
  <c r="Q598" i="9"/>
  <c r="M598" i="9"/>
  <c r="K598" i="9"/>
  <c r="H598" i="9"/>
  <c r="H598" i="9" a="1"/>
  <c r="D598" i="9"/>
  <c r="T597" i="9"/>
  <c r="Q597" i="9"/>
  <c r="M597" i="9"/>
  <c r="K597" i="9"/>
  <c r="H597" i="9"/>
  <c r="H597" i="9" a="1"/>
  <c r="D597" i="9"/>
  <c r="T596" i="9"/>
  <c r="Q596" i="9"/>
  <c r="M596" i="9"/>
  <c r="K596" i="9"/>
  <c r="H596" i="9"/>
  <c r="H596" i="9" a="1"/>
  <c r="D596" i="9"/>
  <c r="T595" i="9"/>
  <c r="Q595" i="9"/>
  <c r="M595" i="9"/>
  <c r="K595" i="9"/>
  <c r="H595" i="9"/>
  <c r="H595" i="9" a="1"/>
  <c r="D595" i="9"/>
  <c r="T594" i="9"/>
  <c r="Q594" i="9"/>
  <c r="M594" i="9"/>
  <c r="K594" i="9"/>
  <c r="H594" i="9"/>
  <c r="H594" i="9" a="1"/>
  <c r="D594" i="9"/>
  <c r="T593" i="9"/>
  <c r="Q593" i="9"/>
  <c r="M593" i="9"/>
  <c r="K593" i="9"/>
  <c r="H593" i="9"/>
  <c r="H593" i="9" a="1"/>
  <c r="D593" i="9"/>
  <c r="T592" i="9"/>
  <c r="Q592" i="9"/>
  <c r="M592" i="9"/>
  <c r="K592" i="9"/>
  <c r="H592" i="9"/>
  <c r="H592" i="9" a="1"/>
  <c r="D592" i="9"/>
  <c r="T591" i="9"/>
  <c r="Q591" i="9"/>
  <c r="M591" i="9"/>
  <c r="K591" i="9"/>
  <c r="H591" i="9"/>
  <c r="H591" i="9" a="1"/>
  <c r="D591" i="9"/>
  <c r="T590" i="9"/>
  <c r="Q590" i="9"/>
  <c r="M590" i="9"/>
  <c r="K590" i="9"/>
  <c r="H590" i="9"/>
  <c r="H590" i="9" a="1"/>
  <c r="D590" i="9"/>
  <c r="T589" i="9"/>
  <c r="Q589" i="9"/>
  <c r="M589" i="9"/>
  <c r="K589" i="9"/>
  <c r="H589" i="9"/>
  <c r="H589" i="9" a="1"/>
  <c r="D589" i="9"/>
  <c r="T588" i="9"/>
  <c r="Q588" i="9"/>
  <c r="M588" i="9"/>
  <c r="K588" i="9"/>
  <c r="H588" i="9"/>
  <c r="H588" i="9" a="1"/>
  <c r="D588" i="9"/>
  <c r="T587" i="9"/>
  <c r="Q587" i="9"/>
  <c r="M587" i="9"/>
  <c r="K587" i="9"/>
  <c r="H587" i="9"/>
  <c r="H587" i="9" a="1"/>
  <c r="D587" i="9"/>
  <c r="T586" i="9"/>
  <c r="Q586" i="9"/>
  <c r="M586" i="9"/>
  <c r="K586" i="9"/>
  <c r="H586" i="9"/>
  <c r="H586" i="9" a="1"/>
  <c r="D586" i="9"/>
  <c r="T585" i="9"/>
  <c r="Q585" i="9"/>
  <c r="M585" i="9"/>
  <c r="K585" i="9"/>
  <c r="H585" i="9"/>
  <c r="H585" i="9" a="1"/>
  <c r="D585" i="9"/>
  <c r="T584" i="9"/>
  <c r="Q584" i="9"/>
  <c r="M584" i="9"/>
  <c r="K584" i="9"/>
  <c r="H584" i="9"/>
  <c r="H584" i="9" a="1"/>
  <c r="D584" i="9"/>
  <c r="T583" i="9"/>
  <c r="Q583" i="9"/>
  <c r="M583" i="9"/>
  <c r="K583" i="9"/>
  <c r="H583" i="9"/>
  <c r="H583" i="9" a="1"/>
  <c r="D583" i="9"/>
  <c r="T582" i="9"/>
  <c r="Q582" i="9"/>
  <c r="M582" i="9"/>
  <c r="K582" i="9"/>
  <c r="H582" i="9"/>
  <c r="H582" i="9" a="1"/>
  <c r="D582" i="9"/>
  <c r="T581" i="9"/>
  <c r="Q581" i="9"/>
  <c r="M581" i="9"/>
  <c r="K581" i="9"/>
  <c r="H581" i="9"/>
  <c r="H581" i="9" a="1"/>
  <c r="D581" i="9"/>
  <c r="T580" i="9"/>
  <c r="Q580" i="9"/>
  <c r="M580" i="9"/>
  <c r="K580" i="9"/>
  <c r="H580" i="9"/>
  <c r="H580" i="9" a="1"/>
  <c r="D580" i="9"/>
  <c r="T579" i="9"/>
  <c r="Q579" i="9"/>
  <c r="M579" i="9"/>
  <c r="K579" i="9"/>
  <c r="H579" i="9"/>
  <c r="H579" i="9" a="1"/>
  <c r="D579" i="9"/>
  <c r="T578" i="9"/>
  <c r="Q578" i="9"/>
  <c r="M578" i="9"/>
  <c r="K578" i="9"/>
  <c r="H578" i="9"/>
  <c r="H578" i="9" a="1"/>
  <c r="D578" i="9"/>
  <c r="T577" i="9"/>
  <c r="Q577" i="9"/>
  <c r="M577" i="9"/>
  <c r="K577" i="9"/>
  <c r="H577" i="9"/>
  <c r="H577" i="9" a="1"/>
  <c r="D577" i="9"/>
  <c r="T576" i="9"/>
  <c r="Q576" i="9"/>
  <c r="M576" i="9"/>
  <c r="K576" i="9"/>
  <c r="H576" i="9"/>
  <c r="H576" i="9" a="1"/>
  <c r="D576" i="9"/>
  <c r="T575" i="9"/>
  <c r="Q575" i="9"/>
  <c r="M575" i="9"/>
  <c r="K575" i="9"/>
  <c r="H575" i="9"/>
  <c r="H575" i="9" a="1"/>
  <c r="D575" i="9"/>
  <c r="T574" i="9"/>
  <c r="Q574" i="9"/>
  <c r="M574" i="9"/>
  <c r="K574" i="9"/>
  <c r="H574" i="9"/>
  <c r="H574" i="9" a="1"/>
  <c r="D574" i="9"/>
  <c r="T573" i="9"/>
  <c r="Q573" i="9"/>
  <c r="M573" i="9"/>
  <c r="K573" i="9"/>
  <c r="H573" i="9"/>
  <c r="H573" i="9" a="1"/>
  <c r="D573" i="9"/>
  <c r="T572" i="9"/>
  <c r="Q572" i="9"/>
  <c r="M572" i="9"/>
  <c r="K572" i="9"/>
  <c r="H572" i="9"/>
  <c r="H572" i="9" a="1"/>
  <c r="D572" i="9"/>
  <c r="T571" i="9"/>
  <c r="Q571" i="9"/>
  <c r="M571" i="9"/>
  <c r="K571" i="9"/>
  <c r="H571" i="9"/>
  <c r="H571" i="9" a="1"/>
  <c r="D571" i="9"/>
  <c r="T570" i="9"/>
  <c r="Q570" i="9"/>
  <c r="M570" i="9"/>
  <c r="K570" i="9"/>
  <c r="H570" i="9"/>
  <c r="H570" i="9" a="1"/>
  <c r="D570" i="9"/>
  <c r="T569" i="9"/>
  <c r="Q569" i="9"/>
  <c r="M569" i="9"/>
  <c r="K569" i="9"/>
  <c r="H569" i="9"/>
  <c r="H569" i="9" a="1"/>
  <c r="D569" i="9"/>
  <c r="T568" i="9"/>
  <c r="Q568" i="9"/>
  <c r="M568" i="9"/>
  <c r="K568" i="9"/>
  <c r="H568" i="9"/>
  <c r="H568" i="9" a="1"/>
  <c r="D568" i="9"/>
  <c r="T567" i="9"/>
  <c r="Q567" i="9"/>
  <c r="M567" i="9"/>
  <c r="K567" i="9"/>
  <c r="H567" i="9"/>
  <c r="H567" i="9" a="1"/>
  <c r="D567" i="9"/>
  <c r="T566" i="9"/>
  <c r="Q566" i="9"/>
  <c r="M566" i="9"/>
  <c r="K566" i="9"/>
  <c r="H566" i="9"/>
  <c r="H566" i="9" a="1"/>
  <c r="D566" i="9"/>
  <c r="T565" i="9"/>
  <c r="Q565" i="9"/>
  <c r="M565" i="9"/>
  <c r="K565" i="9"/>
  <c r="H565" i="9"/>
  <c r="H565" i="9" a="1"/>
  <c r="D565" i="9"/>
  <c r="T564" i="9"/>
  <c r="Q564" i="9"/>
  <c r="M564" i="9"/>
  <c r="K564" i="9"/>
  <c r="H564" i="9"/>
  <c r="H564" i="9" a="1"/>
  <c r="D564" i="9"/>
  <c r="T563" i="9"/>
  <c r="Q563" i="9"/>
  <c r="M563" i="9"/>
  <c r="K563" i="9"/>
  <c r="H563" i="9"/>
  <c r="H563" i="9" a="1"/>
  <c r="D563" i="9"/>
  <c r="T562" i="9"/>
  <c r="Q562" i="9"/>
  <c r="M562" i="9"/>
  <c r="K562" i="9"/>
  <c r="H562" i="9"/>
  <c r="H562" i="9" a="1"/>
  <c r="D562" i="9"/>
  <c r="T561" i="9"/>
  <c r="Q561" i="9"/>
  <c r="M561" i="9"/>
  <c r="K561" i="9"/>
  <c r="H561" i="9"/>
  <c r="H561" i="9" a="1"/>
  <c r="D561" i="9"/>
  <c r="T560" i="9"/>
  <c r="Q560" i="9"/>
  <c r="M560" i="9"/>
  <c r="K560" i="9"/>
  <c r="H560" i="9"/>
  <c r="H560" i="9" a="1"/>
  <c r="D560" i="9"/>
  <c r="T559" i="9"/>
  <c r="Q559" i="9"/>
  <c r="M559" i="9"/>
  <c r="K559" i="9"/>
  <c r="H559" i="9"/>
  <c r="H559" i="9" a="1"/>
  <c r="D559" i="9"/>
  <c r="T558" i="9"/>
  <c r="Q558" i="9"/>
  <c r="M558" i="9"/>
  <c r="K558" i="9"/>
  <c r="H558" i="9"/>
  <c r="H558" i="9" a="1"/>
  <c r="D558" i="9"/>
  <c r="T557" i="9"/>
  <c r="Q557" i="9"/>
  <c r="M557" i="9"/>
  <c r="K557" i="9"/>
  <c r="H557" i="9"/>
  <c r="H557" i="9" a="1"/>
  <c r="D557" i="9"/>
  <c r="T556" i="9"/>
  <c r="Q556" i="9"/>
  <c r="M556" i="9"/>
  <c r="K556" i="9"/>
  <c r="H556" i="9"/>
  <c r="H556" i="9" a="1"/>
  <c r="D556" i="9"/>
  <c r="T555" i="9"/>
  <c r="Q555" i="9"/>
  <c r="M555" i="9"/>
  <c r="K555" i="9"/>
  <c r="H555" i="9"/>
  <c r="H555" i="9" a="1"/>
  <c r="D555" i="9"/>
  <c r="T554" i="9"/>
  <c r="Q554" i="9"/>
  <c r="M554" i="9"/>
  <c r="K554" i="9"/>
  <c r="H554" i="9"/>
  <c r="H554" i="9" a="1"/>
  <c r="D554" i="9"/>
  <c r="T553" i="9"/>
  <c r="Q553" i="9"/>
  <c r="M553" i="9"/>
  <c r="K553" i="9"/>
  <c r="H553" i="9"/>
  <c r="H553" i="9" a="1"/>
  <c r="D553" i="9"/>
  <c r="T552" i="9"/>
  <c r="Q552" i="9"/>
  <c r="M552" i="9"/>
  <c r="K552" i="9"/>
  <c r="H552" i="9"/>
  <c r="H552" i="9" a="1"/>
  <c r="D552" i="9"/>
  <c r="T551" i="9"/>
  <c r="Q551" i="9"/>
  <c r="M551" i="9"/>
  <c r="K551" i="9"/>
  <c r="H551" i="9"/>
  <c r="H551" i="9" a="1"/>
  <c r="D551" i="9"/>
  <c r="T550" i="9"/>
  <c r="Q550" i="9"/>
  <c r="M550" i="9"/>
  <c r="K550" i="9"/>
  <c r="H550" i="9"/>
  <c r="H550" i="9" a="1"/>
  <c r="D550" i="9"/>
  <c r="T549" i="9"/>
  <c r="Q549" i="9"/>
  <c r="M549" i="9"/>
  <c r="K549" i="9"/>
  <c r="H549" i="9"/>
  <c r="H549" i="9" a="1"/>
  <c r="D549" i="9"/>
  <c r="T548" i="9"/>
  <c r="Q548" i="9"/>
  <c r="M548" i="9"/>
  <c r="K548" i="9"/>
  <c r="H548" i="9"/>
  <c r="H548" i="9" a="1"/>
  <c r="D548" i="9"/>
  <c r="T547" i="9"/>
  <c r="Q547" i="9"/>
  <c r="M547" i="9"/>
  <c r="K547" i="9"/>
  <c r="H547" i="9"/>
  <c r="H547" i="9" a="1"/>
  <c r="D547" i="9"/>
  <c r="T546" i="9"/>
  <c r="Q546" i="9"/>
  <c r="M546" i="9"/>
  <c r="K546" i="9"/>
  <c r="H546" i="9"/>
  <c r="H546" i="9" a="1"/>
  <c r="D546" i="9"/>
  <c r="T545" i="9"/>
  <c r="Q545" i="9"/>
  <c r="M545" i="9"/>
  <c r="K545" i="9"/>
  <c r="H545" i="9"/>
  <c r="H545" i="9" a="1"/>
  <c r="D545" i="9"/>
  <c r="T544" i="9"/>
  <c r="Q544" i="9"/>
  <c r="M544" i="9"/>
  <c r="K544" i="9"/>
  <c r="H544" i="9"/>
  <c r="H544" i="9" a="1"/>
  <c r="D544" i="9"/>
  <c r="T543" i="9"/>
  <c r="Q543" i="9"/>
  <c r="M543" i="9"/>
  <c r="K543" i="9"/>
  <c r="H543" i="9"/>
  <c r="H543" i="9" a="1"/>
  <c r="D543" i="9"/>
  <c r="T542" i="9"/>
  <c r="Q542" i="9"/>
  <c r="M542" i="9"/>
  <c r="K542" i="9"/>
  <c r="H542" i="9"/>
  <c r="H542" i="9" a="1"/>
  <c r="D542" i="9"/>
  <c r="T541" i="9"/>
  <c r="Q541" i="9"/>
  <c r="M541" i="9"/>
  <c r="K541" i="9"/>
  <c r="H541" i="9"/>
  <c r="H541" i="9" a="1"/>
  <c r="D541" i="9"/>
  <c r="T540" i="9"/>
  <c r="Q540" i="9"/>
  <c r="M540" i="9"/>
  <c r="K540" i="9"/>
  <c r="H540" i="9"/>
  <c r="H540" i="9" a="1"/>
  <c r="D540" i="9"/>
  <c r="T539" i="9"/>
  <c r="Q539" i="9"/>
  <c r="M539" i="9"/>
  <c r="K539" i="9"/>
  <c r="H539" i="9"/>
  <c r="H539" i="9" a="1"/>
  <c r="D539" i="9"/>
  <c r="T538" i="9"/>
  <c r="Q538" i="9"/>
  <c r="M538" i="9"/>
  <c r="K538" i="9"/>
  <c r="H538" i="9"/>
  <c r="H538" i="9" a="1"/>
  <c r="D538" i="9"/>
  <c r="T537" i="9"/>
  <c r="Q537" i="9"/>
  <c r="M537" i="9"/>
  <c r="K537" i="9"/>
  <c r="H537" i="9"/>
  <c r="H537" i="9" a="1"/>
  <c r="D537" i="9"/>
  <c r="T536" i="9"/>
  <c r="Q536" i="9"/>
  <c r="M536" i="9"/>
  <c r="K536" i="9"/>
  <c r="H536" i="9"/>
  <c r="H536" i="9" a="1"/>
  <c r="D536" i="9"/>
  <c r="T535" i="9"/>
  <c r="Q535" i="9"/>
  <c r="M535" i="9"/>
  <c r="K535" i="9"/>
  <c r="H535" i="9"/>
  <c r="H535" i="9" a="1"/>
  <c r="D535" i="9"/>
  <c r="T534" i="9"/>
  <c r="Q534" i="9"/>
  <c r="M534" i="9"/>
  <c r="K534" i="9"/>
  <c r="H534" i="9"/>
  <c r="H534" i="9" a="1"/>
  <c r="D534" i="9"/>
  <c r="T533" i="9"/>
  <c r="Q533" i="9"/>
  <c r="M533" i="9"/>
  <c r="K533" i="9"/>
  <c r="H533" i="9"/>
  <c r="H533" i="9" a="1"/>
  <c r="D533" i="9"/>
  <c r="T532" i="9"/>
  <c r="Q532" i="9"/>
  <c r="M532" i="9"/>
  <c r="K532" i="9"/>
  <c r="H532" i="9"/>
  <c r="H532" i="9" a="1"/>
  <c r="D532" i="9"/>
  <c r="T531" i="9"/>
  <c r="Q531" i="9"/>
  <c r="M531" i="9"/>
  <c r="K531" i="9"/>
  <c r="H531" i="9"/>
  <c r="H531" i="9" a="1"/>
  <c r="D531" i="9"/>
  <c r="T530" i="9"/>
  <c r="Q530" i="9"/>
  <c r="M530" i="9"/>
  <c r="K530" i="9"/>
  <c r="H530" i="9"/>
  <c r="H530" i="9" a="1"/>
  <c r="D530" i="9"/>
  <c r="T529" i="9"/>
  <c r="Q529" i="9"/>
  <c r="M529" i="9"/>
  <c r="K529" i="9"/>
  <c r="H529" i="9"/>
  <c r="H529" i="9" a="1"/>
  <c r="D529" i="9"/>
  <c r="T528" i="9"/>
  <c r="Q528" i="9"/>
  <c r="M528" i="9"/>
  <c r="K528" i="9"/>
  <c r="H528" i="9"/>
  <c r="H528" i="9" a="1"/>
  <c r="D528" i="9"/>
  <c r="T527" i="9"/>
  <c r="Q527" i="9"/>
  <c r="M527" i="9"/>
  <c r="K527" i="9"/>
  <c r="H527" i="9"/>
  <c r="H527" i="9" a="1"/>
  <c r="D527" i="9"/>
  <c r="T526" i="9"/>
  <c r="Q526" i="9"/>
  <c r="M526" i="9"/>
  <c r="K526" i="9"/>
  <c r="H526" i="9"/>
  <c r="H526" i="9" a="1"/>
  <c r="D526" i="9"/>
  <c r="T525" i="9"/>
  <c r="Q525" i="9"/>
  <c r="M525" i="9"/>
  <c r="K525" i="9"/>
  <c r="H525" i="9"/>
  <c r="H525" i="9" a="1"/>
  <c r="D525" i="9"/>
  <c r="T524" i="9"/>
  <c r="Q524" i="9"/>
  <c r="M524" i="9"/>
  <c r="K524" i="9"/>
  <c r="H524" i="9"/>
  <c r="H524" i="9" a="1"/>
  <c r="D524" i="9"/>
  <c r="T523" i="9"/>
  <c r="Q523" i="9"/>
  <c r="M523" i="9"/>
  <c r="K523" i="9"/>
  <c r="H523" i="9"/>
  <c r="H523" i="9" a="1"/>
  <c r="D523" i="9"/>
  <c r="T522" i="9"/>
  <c r="Q522" i="9"/>
  <c r="M522" i="9"/>
  <c r="K522" i="9"/>
  <c r="H522" i="9"/>
  <c r="H522" i="9" a="1"/>
  <c r="D522" i="9"/>
  <c r="T521" i="9"/>
  <c r="Q521" i="9"/>
  <c r="M521" i="9"/>
  <c r="K521" i="9"/>
  <c r="H521" i="9"/>
  <c r="H521" i="9" a="1"/>
  <c r="D521" i="9"/>
  <c r="T520" i="9"/>
  <c r="Q520" i="9"/>
  <c r="M520" i="9"/>
  <c r="K520" i="9"/>
  <c r="H520" i="9"/>
  <c r="H520" i="9" a="1"/>
  <c r="D520" i="9"/>
  <c r="T519" i="9"/>
  <c r="Q519" i="9"/>
  <c r="M519" i="9"/>
  <c r="K519" i="9"/>
  <c r="H519" i="9"/>
  <c r="H519" i="9" a="1"/>
  <c r="D519" i="9"/>
  <c r="T518" i="9"/>
  <c r="Q518" i="9"/>
  <c r="M518" i="9"/>
  <c r="K518" i="9"/>
  <c r="H518" i="9"/>
  <c r="H518" i="9" a="1"/>
  <c r="D518" i="9"/>
  <c r="T517" i="9"/>
  <c r="Q517" i="9"/>
  <c r="M517" i="9"/>
  <c r="K517" i="9"/>
  <c r="H517" i="9"/>
  <c r="H517" i="9" a="1"/>
  <c r="D517" i="9"/>
  <c r="T516" i="9"/>
  <c r="Q516" i="9"/>
  <c r="M516" i="9"/>
  <c r="K516" i="9"/>
  <c r="H516" i="9"/>
  <c r="H516" i="9" a="1"/>
  <c r="D516" i="9"/>
  <c r="T515" i="9"/>
  <c r="Q515" i="9"/>
  <c r="M515" i="9"/>
  <c r="K515" i="9"/>
  <c r="H515" i="9"/>
  <c r="H515" i="9" a="1"/>
  <c r="D515" i="9"/>
  <c r="T514" i="9"/>
  <c r="Q514" i="9"/>
  <c r="M514" i="9"/>
  <c r="K514" i="9"/>
  <c r="H514" i="9"/>
  <c r="H514" i="9" a="1"/>
  <c r="D514" i="9"/>
  <c r="T513" i="9"/>
  <c r="Q513" i="9"/>
  <c r="M513" i="9"/>
  <c r="K513" i="9"/>
  <c r="H513" i="9"/>
  <c r="H513" i="9" a="1"/>
  <c r="D513" i="9"/>
  <c r="T512" i="9"/>
  <c r="Q512" i="9"/>
  <c r="M512" i="9"/>
  <c r="K512" i="9"/>
  <c r="H512" i="9"/>
  <c r="H512" i="9" a="1"/>
  <c r="D512" i="9"/>
  <c r="T511" i="9"/>
  <c r="Q511" i="9"/>
  <c r="M511" i="9"/>
  <c r="K511" i="9"/>
  <c r="H511" i="9"/>
  <c r="H511" i="9" a="1"/>
  <c r="D511" i="9"/>
  <c r="T510" i="9"/>
  <c r="Q510" i="9"/>
  <c r="M510" i="9"/>
  <c r="K510" i="9"/>
  <c r="H510" i="9"/>
  <c r="H510" i="9" a="1"/>
  <c r="D510" i="9"/>
  <c r="T509" i="9"/>
  <c r="Q509" i="9"/>
  <c r="M509" i="9"/>
  <c r="K509" i="9"/>
  <c r="H509" i="9"/>
  <c r="H509" i="9" a="1"/>
  <c r="D509" i="9"/>
  <c r="T508" i="9"/>
  <c r="Q508" i="9"/>
  <c r="M508" i="9"/>
  <c r="K508" i="9"/>
  <c r="H508" i="9"/>
  <c r="H508" i="9" a="1"/>
  <c r="D508" i="9"/>
  <c r="T507" i="9"/>
  <c r="Q507" i="9"/>
  <c r="M507" i="9"/>
  <c r="K507" i="9"/>
  <c r="H507" i="9"/>
  <c r="H507" i="9" a="1"/>
  <c r="D507" i="9"/>
  <c r="T506" i="9"/>
  <c r="Q506" i="9"/>
  <c r="M506" i="9"/>
  <c r="K506" i="9"/>
  <c r="H506" i="9"/>
  <c r="H506" i="9" a="1"/>
  <c r="D506" i="9"/>
  <c r="T505" i="9"/>
  <c r="Q505" i="9"/>
  <c r="M505" i="9"/>
  <c r="K505" i="9"/>
  <c r="H505" i="9"/>
  <c r="H505" i="9" a="1"/>
  <c r="D505" i="9"/>
  <c r="T504" i="9"/>
  <c r="Q504" i="9"/>
  <c r="M504" i="9"/>
  <c r="K504" i="9"/>
  <c r="H504" i="9"/>
  <c r="H504" i="9" a="1"/>
  <c r="D504" i="9"/>
  <c r="T503" i="9"/>
  <c r="Q503" i="9"/>
  <c r="M503" i="9"/>
  <c r="K503" i="9"/>
  <c r="H503" i="9"/>
  <c r="H503" i="9" a="1"/>
  <c r="D503" i="9"/>
  <c r="T502" i="9"/>
  <c r="Q502" i="9"/>
  <c r="M502" i="9"/>
  <c r="K502" i="9"/>
  <c r="H502" i="9"/>
  <c r="H502" i="9" a="1"/>
  <c r="D502" i="9"/>
  <c r="T501" i="9"/>
  <c r="Q501" i="9"/>
  <c r="M501" i="9"/>
  <c r="K501" i="9"/>
  <c r="H501" i="9"/>
  <c r="H501" i="9" a="1"/>
  <c r="D501" i="9"/>
  <c r="T500" i="9"/>
  <c r="Q500" i="9"/>
  <c r="M500" i="9"/>
  <c r="K500" i="9"/>
  <c r="H500" i="9"/>
  <c r="H500" i="9" a="1"/>
  <c r="D500" i="9"/>
  <c r="T499" i="9"/>
  <c r="Q499" i="9"/>
  <c r="M499" i="9"/>
  <c r="K499" i="9"/>
  <c r="H499" i="9"/>
  <c r="H499" i="9" a="1"/>
  <c r="D499" i="9"/>
  <c r="T498" i="9"/>
  <c r="Q498" i="9"/>
  <c r="M498" i="9"/>
  <c r="K498" i="9"/>
  <c r="H498" i="9"/>
  <c r="H498" i="9" a="1"/>
  <c r="D498" i="9"/>
  <c r="T497" i="9"/>
  <c r="Q497" i="9"/>
  <c r="M497" i="9"/>
  <c r="K497" i="9"/>
  <c r="H497" i="9"/>
  <c r="H497" i="9" a="1"/>
  <c r="D497" i="9"/>
  <c r="T496" i="9"/>
  <c r="Q496" i="9"/>
  <c r="M496" i="9"/>
  <c r="K496" i="9"/>
  <c r="H496" i="9"/>
  <c r="H496" i="9" a="1"/>
  <c r="D496" i="9"/>
  <c r="T495" i="9"/>
  <c r="Q495" i="9"/>
  <c r="M495" i="9"/>
  <c r="K495" i="9"/>
  <c r="H495" i="9"/>
  <c r="H495" i="9" a="1"/>
  <c r="D495" i="9"/>
  <c r="T494" i="9"/>
  <c r="Q494" i="9"/>
  <c r="M494" i="9"/>
  <c r="K494" i="9"/>
  <c r="H494" i="9"/>
  <c r="H494" i="9" a="1"/>
  <c r="D494" i="9"/>
  <c r="T493" i="9"/>
  <c r="Q493" i="9"/>
  <c r="M493" i="9"/>
  <c r="K493" i="9"/>
  <c r="H493" i="9"/>
  <c r="H493" i="9" a="1"/>
  <c r="D493" i="9"/>
  <c r="T492" i="9"/>
  <c r="Q492" i="9"/>
  <c r="M492" i="9"/>
  <c r="K492" i="9"/>
  <c r="H492" i="9"/>
  <c r="H492" i="9" a="1"/>
  <c r="D492" i="9"/>
  <c r="T491" i="9"/>
  <c r="Q491" i="9"/>
  <c r="M491" i="9"/>
  <c r="K491" i="9"/>
  <c r="H491" i="9"/>
  <c r="H491" i="9" a="1"/>
  <c r="D491" i="9"/>
  <c r="T490" i="9"/>
  <c r="Q490" i="9"/>
  <c r="M490" i="9"/>
  <c r="K490" i="9"/>
  <c r="H490" i="9"/>
  <c r="H490" i="9" a="1"/>
  <c r="D490" i="9"/>
  <c r="T489" i="9"/>
  <c r="Q489" i="9"/>
  <c r="M489" i="9"/>
  <c r="K489" i="9"/>
  <c r="H489" i="9"/>
  <c r="H489" i="9" a="1"/>
  <c r="D489" i="9"/>
  <c r="T488" i="9"/>
  <c r="Q488" i="9"/>
  <c r="M488" i="9"/>
  <c r="K488" i="9"/>
  <c r="H488" i="9"/>
  <c r="H488" i="9" a="1"/>
  <c r="D488" i="9"/>
  <c r="T487" i="9"/>
  <c r="Q487" i="9"/>
  <c r="M487" i="9"/>
  <c r="K487" i="9"/>
  <c r="H487" i="9"/>
  <c r="H487" i="9" a="1"/>
  <c r="D487" i="9"/>
  <c r="T486" i="9"/>
  <c r="Q486" i="9"/>
  <c r="M486" i="9"/>
  <c r="K486" i="9"/>
  <c r="H486" i="9"/>
  <c r="H486" i="9" a="1"/>
  <c r="D486" i="9"/>
  <c r="T485" i="9"/>
  <c r="Q485" i="9"/>
  <c r="M485" i="9"/>
  <c r="K485" i="9"/>
  <c r="H485" i="9"/>
  <c r="H485" i="9" a="1"/>
  <c r="D485" i="9"/>
  <c r="T484" i="9"/>
  <c r="Q484" i="9"/>
  <c r="M484" i="9"/>
  <c r="K484" i="9"/>
  <c r="H484" i="9"/>
  <c r="H484" i="9" a="1"/>
  <c r="D484" i="9"/>
  <c r="T483" i="9"/>
  <c r="Q483" i="9"/>
  <c r="M483" i="9"/>
  <c r="K483" i="9"/>
  <c r="H483" i="9"/>
  <c r="H483" i="9" a="1"/>
  <c r="D483" i="9"/>
  <c r="T482" i="9"/>
  <c r="Q482" i="9"/>
  <c r="M482" i="9"/>
  <c r="K482" i="9"/>
  <c r="H482" i="9"/>
  <c r="H482" i="9" a="1"/>
  <c r="D482" i="9"/>
  <c r="T481" i="9"/>
  <c r="Q481" i="9"/>
  <c r="M481" i="9"/>
  <c r="K481" i="9"/>
  <c r="H481" i="9"/>
  <c r="H481" i="9" a="1"/>
  <c r="D481" i="9"/>
  <c r="T480" i="9"/>
  <c r="Q480" i="9"/>
  <c r="M480" i="9"/>
  <c r="K480" i="9"/>
  <c r="H480" i="9"/>
  <c r="H480" i="9" a="1"/>
  <c r="D480" i="9"/>
  <c r="T479" i="9"/>
  <c r="Q479" i="9"/>
  <c r="M479" i="9"/>
  <c r="K479" i="9"/>
  <c r="H479" i="9"/>
  <c r="H479" i="9" a="1"/>
  <c r="D479" i="9"/>
  <c r="T478" i="9"/>
  <c r="Q478" i="9"/>
  <c r="M478" i="9"/>
  <c r="K478" i="9"/>
  <c r="H478" i="9"/>
  <c r="H478" i="9" a="1"/>
  <c r="D478" i="9"/>
  <c r="T477" i="9"/>
  <c r="Q477" i="9"/>
  <c r="M477" i="9"/>
  <c r="K477" i="9"/>
  <c r="H477" i="9"/>
  <c r="H477" i="9" a="1"/>
  <c r="D477" i="9"/>
  <c r="T476" i="9"/>
  <c r="Q476" i="9"/>
  <c r="M476" i="9"/>
  <c r="K476" i="9"/>
  <c r="H476" i="9"/>
  <c r="H476" i="9" a="1"/>
  <c r="D476" i="9"/>
  <c r="T475" i="9"/>
  <c r="Q475" i="9"/>
  <c r="M475" i="9"/>
  <c r="K475" i="9"/>
  <c r="H475" i="9"/>
  <c r="H475" i="9" a="1"/>
  <c r="D475" i="9"/>
  <c r="T474" i="9"/>
  <c r="Q474" i="9"/>
  <c r="M474" i="9"/>
  <c r="K474" i="9"/>
  <c r="H474" i="9"/>
  <c r="H474" i="9" a="1"/>
  <c r="D474" i="9"/>
  <c r="T473" i="9"/>
  <c r="Q473" i="9"/>
  <c r="M473" i="9"/>
  <c r="K473" i="9"/>
  <c r="H473" i="9"/>
  <c r="H473" i="9" a="1"/>
  <c r="D473" i="9"/>
  <c r="T472" i="9"/>
  <c r="Q472" i="9"/>
  <c r="M472" i="9"/>
  <c r="K472" i="9"/>
  <c r="H472" i="9"/>
  <c r="H472" i="9" a="1"/>
  <c r="D472" i="9"/>
  <c r="T471" i="9"/>
  <c r="Q471" i="9"/>
  <c r="M471" i="9"/>
  <c r="K471" i="9"/>
  <c r="H471" i="9"/>
  <c r="H471" i="9" a="1"/>
  <c r="D471" i="9"/>
  <c r="T470" i="9"/>
  <c r="Q470" i="9"/>
  <c r="M470" i="9"/>
  <c r="K470" i="9"/>
  <c r="H470" i="9"/>
  <c r="H470" i="9" a="1"/>
  <c r="D470" i="9"/>
  <c r="T469" i="9"/>
  <c r="Q469" i="9"/>
  <c r="M469" i="9"/>
  <c r="K469" i="9"/>
  <c r="H469" i="9"/>
  <c r="H469" i="9" a="1"/>
  <c r="D469" i="9"/>
  <c r="T468" i="9"/>
  <c r="Q468" i="9"/>
  <c r="M468" i="9"/>
  <c r="K468" i="9"/>
  <c r="H468" i="9"/>
  <c r="H468" i="9" a="1"/>
  <c r="D468" i="9"/>
  <c r="T467" i="9"/>
  <c r="Q467" i="9"/>
  <c r="M467" i="9"/>
  <c r="K467" i="9"/>
  <c r="H467" i="9"/>
  <c r="H467" i="9" a="1"/>
  <c r="D467" i="9"/>
  <c r="T466" i="9"/>
  <c r="Q466" i="9"/>
  <c r="M466" i="9"/>
  <c r="K466" i="9"/>
  <c r="H466" i="9"/>
  <c r="H466" i="9" a="1"/>
  <c r="D466" i="9"/>
  <c r="T465" i="9"/>
  <c r="Q465" i="9"/>
  <c r="M465" i="9"/>
  <c r="K465" i="9"/>
  <c r="H465" i="9"/>
  <c r="H465" i="9" a="1"/>
  <c r="D465" i="9"/>
  <c r="T464" i="9"/>
  <c r="Q464" i="9"/>
  <c r="M464" i="9"/>
  <c r="K464" i="9"/>
  <c r="H464" i="9"/>
  <c r="H464" i="9" a="1"/>
  <c r="D464" i="9"/>
  <c r="T463" i="9"/>
  <c r="Q463" i="9"/>
  <c r="M463" i="9"/>
  <c r="K463" i="9"/>
  <c r="H463" i="9"/>
  <c r="H463" i="9" a="1"/>
  <c r="D463" i="9"/>
  <c r="T462" i="9"/>
  <c r="Q462" i="9"/>
  <c r="M462" i="9"/>
  <c r="K462" i="9"/>
  <c r="H462" i="9"/>
  <c r="H462" i="9" a="1"/>
  <c r="D462" i="9"/>
  <c r="T461" i="9"/>
  <c r="Q461" i="9"/>
  <c r="M461" i="9"/>
  <c r="K461" i="9"/>
  <c r="H461" i="9"/>
  <c r="H461" i="9" a="1"/>
  <c r="D461" i="9"/>
  <c r="T460" i="9"/>
  <c r="Q460" i="9"/>
  <c r="M460" i="9"/>
  <c r="K460" i="9"/>
  <c r="H460" i="9"/>
  <c r="H460" i="9" a="1"/>
  <c r="D460" i="9"/>
  <c r="T459" i="9"/>
  <c r="Q459" i="9"/>
  <c r="M459" i="9"/>
  <c r="K459" i="9"/>
  <c r="H459" i="9"/>
  <c r="H459" i="9" a="1"/>
  <c r="D459" i="9"/>
  <c r="T458" i="9"/>
  <c r="Q458" i="9"/>
  <c r="M458" i="9"/>
  <c r="K458" i="9"/>
  <c r="H458" i="9"/>
  <c r="H458" i="9" a="1"/>
  <c r="D458" i="9"/>
  <c r="T457" i="9"/>
  <c r="Q457" i="9"/>
  <c r="M457" i="9"/>
  <c r="K457" i="9"/>
  <c r="H457" i="9"/>
  <c r="H457" i="9" a="1"/>
  <c r="D457" i="9"/>
  <c r="T456" i="9"/>
  <c r="Q456" i="9"/>
  <c r="M456" i="9"/>
  <c r="K456" i="9"/>
  <c r="H456" i="9"/>
  <c r="H456" i="9" a="1"/>
  <c r="D456" i="9"/>
  <c r="T455" i="9"/>
  <c r="Q455" i="9"/>
  <c r="M455" i="9"/>
  <c r="K455" i="9"/>
  <c r="H455" i="9"/>
  <c r="H455" i="9" a="1"/>
  <c r="D455" i="9"/>
  <c r="T454" i="9"/>
  <c r="Q454" i="9"/>
  <c r="M454" i="9"/>
  <c r="K454" i="9"/>
  <c r="H454" i="9"/>
  <c r="H454" i="9" a="1"/>
  <c r="D454" i="9"/>
  <c r="T453" i="9"/>
  <c r="Q453" i="9"/>
  <c r="M453" i="9"/>
  <c r="K453" i="9"/>
  <c r="H453" i="9"/>
  <c r="H453" i="9" a="1"/>
  <c r="D453" i="9"/>
  <c r="T452" i="9"/>
  <c r="Q452" i="9"/>
  <c r="M452" i="9"/>
  <c r="K452" i="9"/>
  <c r="H452" i="9"/>
  <c r="H452" i="9" a="1"/>
  <c r="D452" i="9"/>
  <c r="T451" i="9"/>
  <c r="Q451" i="9"/>
  <c r="M451" i="9"/>
  <c r="K451" i="9"/>
  <c r="H451" i="9"/>
  <c r="H451" i="9" a="1"/>
  <c r="D451" i="9"/>
  <c r="T450" i="9"/>
  <c r="Q450" i="9"/>
  <c r="M450" i="9"/>
  <c r="K450" i="9"/>
  <c r="H450" i="9"/>
  <c r="H450" i="9" a="1"/>
  <c r="D450" i="9"/>
  <c r="T449" i="9"/>
  <c r="Q449" i="9"/>
  <c r="M449" i="9"/>
  <c r="K449" i="9"/>
  <c r="H449" i="9"/>
  <c r="H449" i="9" a="1"/>
  <c r="D449" i="9"/>
  <c r="T448" i="9"/>
  <c r="Q448" i="9"/>
  <c r="M448" i="9"/>
  <c r="K448" i="9"/>
  <c r="H448" i="9"/>
  <c r="H448" i="9" a="1"/>
  <c r="D448" i="9"/>
  <c r="T447" i="9"/>
  <c r="Q447" i="9"/>
  <c r="M447" i="9"/>
  <c r="K447" i="9"/>
  <c r="H447" i="9"/>
  <c r="H447" i="9" a="1"/>
  <c r="D447" i="9"/>
  <c r="T446" i="9"/>
  <c r="Q446" i="9"/>
  <c r="M446" i="9"/>
  <c r="K446" i="9"/>
  <c r="H446" i="9"/>
  <c r="H446" i="9" a="1"/>
  <c r="D446" i="9"/>
  <c r="T445" i="9"/>
  <c r="Q445" i="9"/>
  <c r="M445" i="9"/>
  <c r="K445" i="9"/>
  <c r="H445" i="9"/>
  <c r="H445" i="9" a="1"/>
  <c r="D445" i="9"/>
  <c r="T444" i="9"/>
  <c r="Q444" i="9"/>
  <c r="M444" i="9"/>
  <c r="K444" i="9"/>
  <c r="H444" i="9"/>
  <c r="H444" i="9" a="1"/>
  <c r="D444" i="9"/>
  <c r="T443" i="9"/>
  <c r="Q443" i="9"/>
  <c r="M443" i="9"/>
  <c r="K443" i="9"/>
  <c r="H443" i="9"/>
  <c r="H443" i="9" a="1"/>
  <c r="D443" i="9"/>
  <c r="T442" i="9"/>
  <c r="Q442" i="9"/>
  <c r="M442" i="9"/>
  <c r="K442" i="9"/>
  <c r="H442" i="9"/>
  <c r="H442" i="9" a="1"/>
  <c r="D442" i="9"/>
  <c r="T441" i="9"/>
  <c r="Q441" i="9"/>
  <c r="M441" i="9"/>
  <c r="K441" i="9"/>
  <c r="H441" i="9"/>
  <c r="H441" i="9" a="1"/>
  <c r="D441" i="9"/>
  <c r="T440" i="9"/>
  <c r="Q440" i="9"/>
  <c r="M440" i="9"/>
  <c r="K440" i="9"/>
  <c r="H440" i="9"/>
  <c r="H440" i="9" a="1"/>
  <c r="D440" i="9"/>
  <c r="T439" i="9"/>
  <c r="Q439" i="9"/>
  <c r="M439" i="9"/>
  <c r="K439" i="9"/>
  <c r="H439" i="9"/>
  <c r="H439" i="9" a="1"/>
  <c r="D439" i="9"/>
  <c r="T438" i="9"/>
  <c r="Q438" i="9"/>
  <c r="M438" i="9"/>
  <c r="K438" i="9"/>
  <c r="H438" i="9"/>
  <c r="H438" i="9" a="1"/>
  <c r="D438" i="9"/>
  <c r="T437" i="9"/>
  <c r="Q437" i="9"/>
  <c r="M437" i="9"/>
  <c r="K437" i="9"/>
  <c r="H437" i="9"/>
  <c r="H437" i="9" a="1"/>
  <c r="D437" i="9"/>
  <c r="T436" i="9"/>
  <c r="Q436" i="9"/>
  <c r="M436" i="9"/>
  <c r="K436" i="9"/>
  <c r="H436" i="9"/>
  <c r="H436" i="9" a="1"/>
  <c r="D436" i="9"/>
  <c r="T435" i="9"/>
  <c r="Q435" i="9"/>
  <c r="M435" i="9"/>
  <c r="K435" i="9"/>
  <c r="H435" i="9"/>
  <c r="H435" i="9" a="1"/>
  <c r="D435" i="9"/>
  <c r="T434" i="9"/>
  <c r="Q434" i="9"/>
  <c r="M434" i="9"/>
  <c r="K434" i="9"/>
  <c r="H434" i="9"/>
  <c r="H434" i="9" a="1"/>
  <c r="D434" i="9"/>
  <c r="T433" i="9"/>
  <c r="Q433" i="9"/>
  <c r="M433" i="9"/>
  <c r="K433" i="9"/>
  <c r="H433" i="9"/>
  <c r="H433" i="9" a="1"/>
  <c r="D433" i="9"/>
  <c r="T432" i="9"/>
  <c r="Q432" i="9"/>
  <c r="M432" i="9"/>
  <c r="K432" i="9"/>
  <c r="H432" i="9"/>
  <c r="H432" i="9" a="1"/>
  <c r="D432" i="9"/>
  <c r="T431" i="9"/>
  <c r="Q431" i="9"/>
  <c r="M431" i="9"/>
  <c r="K431" i="9"/>
  <c r="H431" i="9"/>
  <c r="H431" i="9" a="1"/>
  <c r="D431" i="9"/>
  <c r="T430" i="9"/>
  <c r="Q430" i="9"/>
  <c r="M430" i="9"/>
  <c r="K430" i="9"/>
  <c r="H430" i="9"/>
  <c r="H430" i="9" a="1"/>
  <c r="D430" i="9"/>
  <c r="T429" i="9"/>
  <c r="Q429" i="9"/>
  <c r="M429" i="9"/>
  <c r="K429" i="9"/>
  <c r="H429" i="9"/>
  <c r="H429" i="9" a="1"/>
  <c r="D429" i="9"/>
  <c r="T428" i="9"/>
  <c r="Q428" i="9"/>
  <c r="M428" i="9"/>
  <c r="K428" i="9"/>
  <c r="H428" i="9"/>
  <c r="H428" i="9" a="1"/>
  <c r="D428" i="9"/>
  <c r="T427" i="9"/>
  <c r="Q427" i="9"/>
  <c r="M427" i="9"/>
  <c r="K427" i="9"/>
  <c r="H427" i="9"/>
  <c r="H427" i="9" a="1"/>
  <c r="D427" i="9"/>
  <c r="T426" i="9"/>
  <c r="Q426" i="9"/>
  <c r="M426" i="9"/>
  <c r="K426" i="9"/>
  <c r="H426" i="9"/>
  <c r="H426" i="9" a="1"/>
  <c r="D426" i="9"/>
  <c r="T425" i="9"/>
  <c r="Q425" i="9"/>
  <c r="M425" i="9"/>
  <c r="K425" i="9"/>
  <c r="H425" i="9"/>
  <c r="H425" i="9" a="1"/>
  <c r="D425" i="9"/>
  <c r="T424" i="9"/>
  <c r="Q424" i="9"/>
  <c r="M424" i="9"/>
  <c r="K424" i="9"/>
  <c r="H424" i="9"/>
  <c r="H424" i="9" a="1"/>
  <c r="D424" i="9"/>
  <c r="T423" i="9"/>
  <c r="Q423" i="9"/>
  <c r="M423" i="9"/>
  <c r="K423" i="9"/>
  <c r="H423" i="9"/>
  <c r="H423" i="9" a="1"/>
  <c r="D423" i="9"/>
  <c r="T422" i="9"/>
  <c r="Q422" i="9"/>
  <c r="M422" i="9"/>
  <c r="K422" i="9"/>
  <c r="H422" i="9"/>
  <c r="H422" i="9" a="1"/>
  <c r="D422" i="9"/>
  <c r="T421" i="9"/>
  <c r="Q421" i="9"/>
  <c r="M421" i="9"/>
  <c r="K421" i="9"/>
  <c r="H421" i="9"/>
  <c r="H421" i="9" a="1"/>
  <c r="D421" i="9"/>
  <c r="T420" i="9"/>
  <c r="Q420" i="9"/>
  <c r="M420" i="9"/>
  <c r="K420" i="9"/>
  <c r="H420" i="9"/>
  <c r="H420" i="9" a="1"/>
  <c r="D420" i="9"/>
  <c r="T419" i="9"/>
  <c r="Q419" i="9"/>
  <c r="M419" i="9"/>
  <c r="K419" i="9"/>
  <c r="H419" i="9"/>
  <c r="H419" i="9" a="1"/>
  <c r="D419" i="9"/>
  <c r="T418" i="9"/>
  <c r="Q418" i="9"/>
  <c r="M418" i="9"/>
  <c r="K418" i="9"/>
  <c r="H418" i="9"/>
  <c r="H418" i="9" a="1"/>
  <c r="D418" i="9"/>
  <c r="T417" i="9"/>
  <c r="Q417" i="9"/>
  <c r="M417" i="9"/>
  <c r="K417" i="9"/>
  <c r="H417" i="9"/>
  <c r="H417" i="9" a="1"/>
  <c r="D417" i="9"/>
  <c r="T416" i="9"/>
  <c r="Q416" i="9"/>
  <c r="M416" i="9"/>
  <c r="K416" i="9"/>
  <c r="H416" i="9"/>
  <c r="H416" i="9" a="1"/>
  <c r="D416" i="9"/>
  <c r="T415" i="9"/>
  <c r="Q415" i="9"/>
  <c r="M415" i="9"/>
  <c r="K415" i="9"/>
  <c r="H415" i="9"/>
  <c r="H415" i="9" a="1"/>
  <c r="D415" i="9"/>
  <c r="T414" i="9"/>
  <c r="Q414" i="9"/>
  <c r="M414" i="9"/>
  <c r="K414" i="9"/>
  <c r="H414" i="9"/>
  <c r="H414" i="9" a="1"/>
  <c r="D414" i="9"/>
  <c r="T413" i="9"/>
  <c r="Q413" i="9"/>
  <c r="M413" i="9"/>
  <c r="K413" i="9"/>
  <c r="H413" i="9"/>
  <c r="H413" i="9" a="1"/>
  <c r="D413" i="9"/>
  <c r="T412" i="9"/>
  <c r="Q412" i="9"/>
  <c r="M412" i="9"/>
  <c r="K412" i="9"/>
  <c r="H412" i="9"/>
  <c r="H412" i="9" a="1"/>
  <c r="D412" i="9"/>
  <c r="T411" i="9"/>
  <c r="Q411" i="9"/>
  <c r="M411" i="9"/>
  <c r="K411" i="9"/>
  <c r="H411" i="9"/>
  <c r="H411" i="9" a="1"/>
  <c r="D411" i="9"/>
  <c r="T410" i="9"/>
  <c r="Q410" i="9"/>
  <c r="M410" i="9"/>
  <c r="K410" i="9"/>
  <c r="H410" i="9"/>
  <c r="H410" i="9" a="1"/>
  <c r="D410" i="9"/>
  <c r="T409" i="9"/>
  <c r="Q409" i="9"/>
  <c r="M409" i="9"/>
  <c r="K409" i="9"/>
  <c r="H409" i="9"/>
  <c r="H409" i="9" a="1"/>
  <c r="D409" i="9"/>
  <c r="T408" i="9"/>
  <c r="Q408" i="9"/>
  <c r="M408" i="9"/>
  <c r="K408" i="9"/>
  <c r="H408" i="9"/>
  <c r="H408" i="9" a="1"/>
  <c r="D408" i="9"/>
  <c r="T407" i="9"/>
  <c r="Q407" i="9"/>
  <c r="M407" i="9"/>
  <c r="K407" i="9"/>
  <c r="H407" i="9"/>
  <c r="H407" i="9" a="1"/>
  <c r="D407" i="9"/>
  <c r="T406" i="9"/>
  <c r="Q406" i="9"/>
  <c r="M406" i="9"/>
  <c r="K406" i="9"/>
  <c r="H406" i="9"/>
  <c r="H406" i="9" a="1"/>
  <c r="D406" i="9"/>
  <c r="T405" i="9"/>
  <c r="Q405" i="9"/>
  <c r="M405" i="9"/>
  <c r="K405" i="9"/>
  <c r="H405" i="9"/>
  <c r="H405" i="9" a="1"/>
  <c r="D405" i="9"/>
  <c r="T404" i="9"/>
  <c r="Q404" i="9"/>
  <c r="M404" i="9"/>
  <c r="K404" i="9"/>
  <c r="H404" i="9"/>
  <c r="H404" i="9" a="1"/>
  <c r="D404" i="9"/>
  <c r="T403" i="9"/>
  <c r="Q403" i="9"/>
  <c r="M403" i="9"/>
  <c r="K403" i="9"/>
  <c r="H403" i="9"/>
  <c r="H403" i="9" a="1"/>
  <c r="D403" i="9"/>
  <c r="T402" i="9"/>
  <c r="Q402" i="9"/>
  <c r="M402" i="9"/>
  <c r="K402" i="9"/>
  <c r="H402" i="9"/>
  <c r="H402" i="9" a="1"/>
  <c r="D402" i="9"/>
  <c r="T401" i="9"/>
  <c r="Q401" i="9"/>
  <c r="M401" i="9"/>
  <c r="K401" i="9"/>
  <c r="H401" i="9"/>
  <c r="H401" i="9" a="1"/>
  <c r="D401" i="9"/>
  <c r="T400" i="9"/>
  <c r="Q400" i="9"/>
  <c r="M400" i="9"/>
  <c r="K400" i="9"/>
  <c r="H400" i="9"/>
  <c r="H400" i="9" a="1"/>
  <c r="D400" i="9"/>
  <c r="T399" i="9"/>
  <c r="Q399" i="9"/>
  <c r="M399" i="9"/>
  <c r="K399" i="9"/>
  <c r="H399" i="9"/>
  <c r="H399" i="9" a="1"/>
  <c r="D399" i="9"/>
  <c r="T398" i="9"/>
  <c r="Q398" i="9"/>
  <c r="M398" i="9"/>
  <c r="K398" i="9"/>
  <c r="H398" i="9"/>
  <c r="H398" i="9" a="1"/>
  <c r="D398" i="9"/>
  <c r="T397" i="9"/>
  <c r="Q397" i="9"/>
  <c r="M397" i="9"/>
  <c r="K397" i="9"/>
  <c r="H397" i="9"/>
  <c r="H397" i="9" a="1"/>
  <c r="D397" i="9"/>
  <c r="T396" i="9"/>
  <c r="Q396" i="9"/>
  <c r="M396" i="9"/>
  <c r="K396" i="9"/>
  <c r="H396" i="9"/>
  <c r="H396" i="9" a="1"/>
  <c r="D396" i="9"/>
  <c r="T395" i="9"/>
  <c r="Q395" i="9"/>
  <c r="M395" i="9"/>
  <c r="K395" i="9"/>
  <c r="H395" i="9"/>
  <c r="H395" i="9" a="1"/>
  <c r="D395" i="9"/>
  <c r="T394" i="9"/>
  <c r="Q394" i="9"/>
  <c r="M394" i="9"/>
  <c r="K394" i="9"/>
  <c r="H394" i="9"/>
  <c r="H394" i="9" a="1"/>
  <c r="D394" i="9"/>
  <c r="T393" i="9"/>
  <c r="Q393" i="9"/>
  <c r="M393" i="9"/>
  <c r="K393" i="9"/>
  <c r="H393" i="9"/>
  <c r="H393" i="9" a="1"/>
  <c r="D393" i="9"/>
  <c r="T392" i="9"/>
  <c r="Q392" i="9"/>
  <c r="M392" i="9"/>
  <c r="K392" i="9"/>
  <c r="H392" i="9"/>
  <c r="H392" i="9" a="1"/>
  <c r="D392" i="9"/>
  <c r="T391" i="9"/>
  <c r="Q391" i="9"/>
  <c r="M391" i="9"/>
  <c r="K391" i="9"/>
  <c r="H391" i="9"/>
  <c r="H391" i="9" a="1"/>
  <c r="D391" i="9"/>
  <c r="T390" i="9"/>
  <c r="Q390" i="9"/>
  <c r="M390" i="9"/>
  <c r="K390" i="9"/>
  <c r="H390" i="9"/>
  <c r="H390" i="9" a="1"/>
  <c r="D390" i="9"/>
  <c r="T389" i="9"/>
  <c r="Q389" i="9"/>
  <c r="M389" i="9"/>
  <c r="K389" i="9"/>
  <c r="H389" i="9"/>
  <c r="H389" i="9" a="1"/>
  <c r="D389" i="9"/>
  <c r="T388" i="9"/>
  <c r="Q388" i="9"/>
  <c r="M388" i="9"/>
  <c r="K388" i="9"/>
  <c r="H388" i="9"/>
  <c r="H388" i="9" a="1"/>
  <c r="D388" i="9"/>
  <c r="T387" i="9"/>
  <c r="Q387" i="9"/>
  <c r="M387" i="9"/>
  <c r="K387" i="9"/>
  <c r="H387" i="9"/>
  <c r="H387" i="9" a="1"/>
  <c r="D387" i="9"/>
  <c r="T386" i="9"/>
  <c r="Q386" i="9"/>
  <c r="M386" i="9"/>
  <c r="K386" i="9"/>
  <c r="H386" i="9"/>
  <c r="H386" i="9" a="1"/>
  <c r="D386" i="9"/>
  <c r="T385" i="9"/>
  <c r="Q385" i="9"/>
  <c r="M385" i="9"/>
  <c r="K385" i="9"/>
  <c r="H385" i="9"/>
  <c r="H385" i="9" a="1"/>
  <c r="D385" i="9"/>
  <c r="T384" i="9"/>
  <c r="Q384" i="9"/>
  <c r="M384" i="9"/>
  <c r="K384" i="9"/>
  <c r="H384" i="9"/>
  <c r="H384" i="9" a="1"/>
  <c r="D384" i="9"/>
  <c r="T383" i="9"/>
  <c r="Q383" i="9"/>
  <c r="M383" i="9"/>
  <c r="K383" i="9"/>
  <c r="H383" i="9"/>
  <c r="H383" i="9" a="1"/>
  <c r="D383" i="9"/>
  <c r="T382" i="9"/>
  <c r="Q382" i="9"/>
  <c r="M382" i="9"/>
  <c r="K382" i="9"/>
  <c r="H382" i="9"/>
  <c r="H382" i="9" a="1"/>
  <c r="D382" i="9"/>
  <c r="T381" i="9"/>
  <c r="Q381" i="9"/>
  <c r="M381" i="9"/>
  <c r="K381" i="9"/>
  <c r="H381" i="9"/>
  <c r="H381" i="9" a="1"/>
  <c r="D381" i="9"/>
  <c r="T380" i="9"/>
  <c r="Q380" i="9"/>
  <c r="M380" i="9"/>
  <c r="K380" i="9"/>
  <c r="H380" i="9"/>
  <c r="H380" i="9" a="1"/>
  <c r="D380" i="9"/>
  <c r="T379" i="9"/>
  <c r="Q379" i="9"/>
  <c r="M379" i="9"/>
  <c r="K379" i="9"/>
  <c r="H379" i="9"/>
  <c r="H379" i="9" a="1"/>
  <c r="D379" i="9"/>
  <c r="T378" i="9"/>
  <c r="Q378" i="9"/>
  <c r="M378" i="9"/>
  <c r="K378" i="9"/>
  <c r="H378" i="9"/>
  <c r="H378" i="9" a="1"/>
  <c r="D378" i="9"/>
  <c r="T377" i="9"/>
  <c r="Q377" i="9"/>
  <c r="M377" i="9"/>
  <c r="K377" i="9"/>
  <c r="H377" i="9"/>
  <c r="H377" i="9" a="1"/>
  <c r="D377" i="9"/>
  <c r="T376" i="9"/>
  <c r="Q376" i="9"/>
  <c r="M376" i="9"/>
  <c r="K376" i="9"/>
  <c r="H376" i="9"/>
  <c r="H376" i="9" a="1"/>
  <c r="D376" i="9"/>
  <c r="T375" i="9"/>
  <c r="Q375" i="9"/>
  <c r="M375" i="9"/>
  <c r="K375" i="9"/>
  <c r="H375" i="9"/>
  <c r="H375" i="9" a="1"/>
  <c r="D375" i="9"/>
  <c r="T374" i="9"/>
  <c r="Q374" i="9"/>
  <c r="M374" i="9"/>
  <c r="K374" i="9"/>
  <c r="H374" i="9"/>
  <c r="H374" i="9" a="1"/>
  <c r="D374" i="9"/>
  <c r="T373" i="9"/>
  <c r="Q373" i="9"/>
  <c r="M373" i="9"/>
  <c r="K373" i="9"/>
  <c r="H373" i="9"/>
  <c r="H373" i="9" a="1"/>
  <c r="D373" i="9"/>
  <c r="T372" i="9"/>
  <c r="Q372" i="9"/>
  <c r="M372" i="9"/>
  <c r="K372" i="9"/>
  <c r="H372" i="9"/>
  <c r="H372" i="9" a="1"/>
  <c r="D372" i="9"/>
  <c r="T371" i="9"/>
  <c r="Q371" i="9"/>
  <c r="M371" i="9"/>
  <c r="K371" i="9"/>
  <c r="H371" i="9"/>
  <c r="H371" i="9" a="1"/>
  <c r="D371" i="9"/>
  <c r="T370" i="9"/>
  <c r="Q370" i="9"/>
  <c r="M370" i="9"/>
  <c r="K370" i="9"/>
  <c r="H370" i="9"/>
  <c r="H370" i="9" a="1"/>
  <c r="D370" i="9"/>
  <c r="T369" i="9"/>
  <c r="Q369" i="9"/>
  <c r="M369" i="9"/>
  <c r="K369" i="9"/>
  <c r="H369" i="9"/>
  <c r="H369" i="9" a="1"/>
  <c r="D369" i="9"/>
  <c r="T368" i="9"/>
  <c r="Q368" i="9"/>
  <c r="M368" i="9"/>
  <c r="K368" i="9"/>
  <c r="H368" i="9"/>
  <c r="H368" i="9" a="1"/>
  <c r="D368" i="9"/>
  <c r="T367" i="9"/>
  <c r="Q367" i="9"/>
  <c r="M367" i="9"/>
  <c r="K367" i="9"/>
  <c r="H367" i="9"/>
  <c r="H367" i="9" a="1"/>
  <c r="D367" i="9"/>
  <c r="T366" i="9"/>
  <c r="Q366" i="9"/>
  <c r="M366" i="9"/>
  <c r="K366" i="9"/>
  <c r="H366" i="9"/>
  <c r="H366" i="9" a="1"/>
  <c r="D366" i="9"/>
  <c r="T365" i="9"/>
  <c r="Q365" i="9"/>
  <c r="M365" i="9"/>
  <c r="K365" i="9"/>
  <c r="H365" i="9"/>
  <c r="H365" i="9" a="1"/>
  <c r="D365" i="9"/>
  <c r="T364" i="9"/>
  <c r="Q364" i="9"/>
  <c r="M364" i="9"/>
  <c r="K364" i="9"/>
  <c r="H364" i="9"/>
  <c r="H364" i="9" a="1"/>
  <c r="D364" i="9"/>
  <c r="T363" i="9"/>
  <c r="Q363" i="9"/>
  <c r="M363" i="9"/>
  <c r="K363" i="9"/>
  <c r="H363" i="9"/>
  <c r="H363" i="9" a="1"/>
  <c r="D363" i="9"/>
  <c r="T362" i="9"/>
  <c r="Q362" i="9"/>
  <c r="M362" i="9"/>
  <c r="K362" i="9"/>
  <c r="H362" i="9"/>
  <c r="H362" i="9" a="1"/>
  <c r="D362" i="9"/>
  <c r="T361" i="9"/>
  <c r="Q361" i="9"/>
  <c r="M361" i="9"/>
  <c r="K361" i="9"/>
  <c r="H361" i="9"/>
  <c r="H361" i="9" a="1"/>
  <c r="D361" i="9"/>
  <c r="T360" i="9"/>
  <c r="Q360" i="9"/>
  <c r="M360" i="9"/>
  <c r="K360" i="9"/>
  <c r="H360" i="9"/>
  <c r="H360" i="9" a="1"/>
  <c r="D360" i="9"/>
  <c r="T359" i="9"/>
  <c r="Q359" i="9"/>
  <c r="M359" i="9"/>
  <c r="K359" i="9"/>
  <c r="H359" i="9"/>
  <c r="H359" i="9" a="1"/>
  <c r="D359" i="9"/>
  <c r="T358" i="9"/>
  <c r="Q358" i="9"/>
  <c r="M358" i="9"/>
  <c r="K358" i="9"/>
  <c r="H358" i="9"/>
  <c r="H358" i="9" a="1"/>
  <c r="D358" i="9"/>
  <c r="T357" i="9"/>
  <c r="Q357" i="9"/>
  <c r="M357" i="9"/>
  <c r="K357" i="9"/>
  <c r="H357" i="9"/>
  <c r="H357" i="9" a="1"/>
  <c r="D357" i="9"/>
  <c r="T356" i="9"/>
  <c r="Q356" i="9"/>
  <c r="M356" i="9"/>
  <c r="K356" i="9"/>
  <c r="H356" i="9"/>
  <c r="H356" i="9" a="1"/>
  <c r="D356" i="9"/>
  <c r="T355" i="9"/>
  <c r="Q355" i="9"/>
  <c r="M355" i="9"/>
  <c r="K355" i="9"/>
  <c r="H355" i="9"/>
  <c r="H355" i="9" a="1"/>
  <c r="D355" i="9"/>
  <c r="T354" i="9"/>
  <c r="Q354" i="9"/>
  <c r="M354" i="9"/>
  <c r="K354" i="9"/>
  <c r="H354" i="9"/>
  <c r="H354" i="9" a="1"/>
  <c r="D354" i="9"/>
  <c r="T353" i="9"/>
  <c r="Q353" i="9"/>
  <c r="M353" i="9"/>
  <c r="K353" i="9"/>
  <c r="H353" i="9"/>
  <c r="H353" i="9" a="1"/>
  <c r="D353" i="9"/>
  <c r="T352" i="9"/>
  <c r="Q352" i="9"/>
  <c r="M352" i="9"/>
  <c r="K352" i="9"/>
  <c r="H352" i="9"/>
  <c r="H352" i="9" a="1"/>
  <c r="D352" i="9"/>
  <c r="T351" i="9"/>
  <c r="Q351" i="9"/>
  <c r="M351" i="9"/>
  <c r="K351" i="9"/>
  <c r="H351" i="9"/>
  <c r="H351" i="9" a="1"/>
  <c r="D351" i="9"/>
  <c r="T350" i="9"/>
  <c r="Q350" i="9"/>
  <c r="M350" i="9"/>
  <c r="K350" i="9"/>
  <c r="H350" i="9"/>
  <c r="H350" i="9" a="1"/>
  <c r="D350" i="9"/>
  <c r="T349" i="9"/>
  <c r="Q349" i="9"/>
  <c r="M349" i="9"/>
  <c r="K349" i="9"/>
  <c r="H349" i="9"/>
  <c r="H349" i="9" a="1"/>
  <c r="D349" i="9"/>
  <c r="T348" i="9"/>
  <c r="Q348" i="9"/>
  <c r="M348" i="9"/>
  <c r="K348" i="9"/>
  <c r="H348" i="9"/>
  <c r="H348" i="9" a="1"/>
  <c r="D348" i="9"/>
  <c r="T347" i="9"/>
  <c r="Q347" i="9"/>
  <c r="M347" i="9"/>
  <c r="K347" i="9"/>
  <c r="H347" i="9"/>
  <c r="H347" i="9" a="1"/>
  <c r="D347" i="9"/>
  <c r="T346" i="9"/>
  <c r="Q346" i="9"/>
  <c r="M346" i="9"/>
  <c r="K346" i="9"/>
  <c r="H346" i="9"/>
  <c r="H346" i="9" a="1"/>
  <c r="D346" i="9"/>
  <c r="T345" i="9"/>
  <c r="Q345" i="9"/>
  <c r="M345" i="9"/>
  <c r="K345" i="9"/>
  <c r="H345" i="9"/>
  <c r="H345" i="9" a="1"/>
  <c r="D345" i="9"/>
  <c r="T344" i="9"/>
  <c r="Q344" i="9"/>
  <c r="M344" i="9"/>
  <c r="K344" i="9"/>
  <c r="H344" i="9"/>
  <c r="H344" i="9" a="1"/>
  <c r="D344" i="9"/>
  <c r="T343" i="9"/>
  <c r="Q343" i="9"/>
  <c r="M343" i="9"/>
  <c r="K343" i="9"/>
  <c r="H343" i="9"/>
  <c r="H343" i="9" a="1"/>
  <c r="D343" i="9"/>
  <c r="T342" i="9"/>
  <c r="Q342" i="9"/>
  <c r="M342" i="9"/>
  <c r="K342" i="9"/>
  <c r="H342" i="9"/>
  <c r="H342" i="9" a="1"/>
  <c r="D342" i="9"/>
  <c r="T341" i="9"/>
  <c r="Q341" i="9"/>
  <c r="M341" i="9"/>
  <c r="K341" i="9"/>
  <c r="H341" i="9"/>
  <c r="H341" i="9" a="1"/>
  <c r="D341" i="9"/>
  <c r="T340" i="9"/>
  <c r="Q340" i="9"/>
  <c r="M340" i="9"/>
  <c r="K340" i="9"/>
  <c r="H340" i="9"/>
  <c r="H340" i="9" a="1"/>
  <c r="D340" i="9"/>
  <c r="T339" i="9"/>
  <c r="Q339" i="9"/>
  <c r="M339" i="9"/>
  <c r="K339" i="9"/>
  <c r="H339" i="9"/>
  <c r="H339" i="9" a="1"/>
  <c r="D339" i="9"/>
  <c r="T338" i="9"/>
  <c r="Q338" i="9"/>
  <c r="M338" i="9"/>
  <c r="K338" i="9"/>
  <c r="H338" i="9"/>
  <c r="H338" i="9" a="1"/>
  <c r="D338" i="9"/>
  <c r="T337" i="9"/>
  <c r="Q337" i="9"/>
  <c r="M337" i="9"/>
  <c r="K337" i="9"/>
  <c r="H337" i="9"/>
  <c r="H337" i="9" a="1"/>
  <c r="D337" i="9"/>
  <c r="T336" i="9"/>
  <c r="Q336" i="9"/>
  <c r="M336" i="9"/>
  <c r="K336" i="9"/>
  <c r="H336" i="9"/>
  <c r="H336" i="9" a="1"/>
  <c r="D336" i="9"/>
  <c r="T335" i="9"/>
  <c r="Q335" i="9"/>
  <c r="M335" i="9"/>
  <c r="K335" i="9"/>
  <c r="H335" i="9"/>
  <c r="H335" i="9" a="1"/>
  <c r="D335" i="9"/>
  <c r="T334" i="9"/>
  <c r="Q334" i="9"/>
  <c r="M334" i="9"/>
  <c r="K334" i="9"/>
  <c r="H334" i="9"/>
  <c r="H334" i="9" a="1"/>
  <c r="D334" i="9"/>
  <c r="T333" i="9"/>
  <c r="Q333" i="9"/>
  <c r="M333" i="9"/>
  <c r="K333" i="9"/>
  <c r="H333" i="9"/>
  <c r="H333" i="9" a="1"/>
  <c r="D333" i="9"/>
  <c r="T332" i="9"/>
  <c r="Q332" i="9"/>
  <c r="M332" i="9"/>
  <c r="K332" i="9"/>
  <c r="H332" i="9"/>
  <c r="H332" i="9" a="1"/>
  <c r="D332" i="9"/>
  <c r="T331" i="9"/>
  <c r="Q331" i="9"/>
  <c r="M331" i="9"/>
  <c r="K331" i="9"/>
  <c r="H331" i="9"/>
  <c r="H331" i="9" a="1"/>
  <c r="D331" i="9"/>
  <c r="T330" i="9"/>
  <c r="Q330" i="9"/>
  <c r="M330" i="9"/>
  <c r="K330" i="9"/>
  <c r="H330" i="9"/>
  <c r="H330" i="9" a="1"/>
  <c r="D330" i="9"/>
  <c r="T329" i="9"/>
  <c r="Q329" i="9"/>
  <c r="M329" i="9"/>
  <c r="K329" i="9"/>
  <c r="H329" i="9"/>
  <c r="H329" i="9" a="1"/>
  <c r="D329" i="9"/>
  <c r="T328" i="9"/>
  <c r="Q328" i="9"/>
  <c r="M328" i="9"/>
  <c r="K328" i="9"/>
  <c r="H328" i="9"/>
  <c r="H328" i="9" a="1"/>
  <c r="D328" i="9"/>
  <c r="T327" i="9"/>
  <c r="Q327" i="9"/>
  <c r="M327" i="9"/>
  <c r="K327" i="9"/>
  <c r="H327" i="9"/>
  <c r="H327" i="9" a="1"/>
  <c r="D327" i="9"/>
  <c r="T326" i="9"/>
  <c r="Q326" i="9"/>
  <c r="M326" i="9"/>
  <c r="K326" i="9"/>
  <c r="H326" i="9"/>
  <c r="H326" i="9" a="1"/>
  <c r="D326" i="9"/>
  <c r="T325" i="9"/>
  <c r="Q325" i="9"/>
  <c r="M325" i="9"/>
  <c r="K325" i="9"/>
  <c r="H325" i="9"/>
  <c r="H325" i="9" a="1"/>
  <c r="D325" i="9"/>
  <c r="T324" i="9"/>
  <c r="Q324" i="9"/>
  <c r="M324" i="9"/>
  <c r="K324" i="9"/>
  <c r="H324" i="9"/>
  <c r="H324" i="9" a="1"/>
  <c r="D324" i="9"/>
  <c r="T323" i="9"/>
  <c r="Q323" i="9"/>
  <c r="M323" i="9"/>
  <c r="K323" i="9"/>
  <c r="H323" i="9"/>
  <c r="H323" i="9" a="1"/>
  <c r="D323" i="9"/>
  <c r="T322" i="9"/>
  <c r="Q322" i="9"/>
  <c r="M322" i="9"/>
  <c r="K322" i="9"/>
  <c r="H322" i="9"/>
  <c r="H322" i="9" a="1"/>
  <c r="D322" i="9"/>
  <c r="T321" i="9"/>
  <c r="Q321" i="9"/>
  <c r="M321" i="9"/>
  <c r="K321" i="9"/>
  <c r="H321" i="9"/>
  <c r="H321" i="9" a="1"/>
  <c r="D321" i="9"/>
  <c r="T320" i="9"/>
  <c r="Q320" i="9"/>
  <c r="M320" i="9"/>
  <c r="K320" i="9"/>
  <c r="H320" i="9"/>
  <c r="H320" i="9" a="1"/>
  <c r="D320" i="9"/>
  <c r="T319" i="9"/>
  <c r="Q319" i="9"/>
  <c r="M319" i="9"/>
  <c r="K319" i="9"/>
  <c r="H319" i="9"/>
  <c r="H319" i="9" a="1"/>
  <c r="D319" i="9"/>
  <c r="T318" i="9"/>
  <c r="Q318" i="9"/>
  <c r="M318" i="9"/>
  <c r="K318" i="9"/>
  <c r="H318" i="9"/>
  <c r="H318" i="9" a="1"/>
  <c r="D318" i="9"/>
  <c r="T317" i="9"/>
  <c r="Q317" i="9"/>
  <c r="M317" i="9"/>
  <c r="K317" i="9"/>
  <c r="H317" i="9"/>
  <c r="H317" i="9" a="1"/>
  <c r="D317" i="9"/>
  <c r="T316" i="9"/>
  <c r="Q316" i="9"/>
  <c r="M316" i="9"/>
  <c r="K316" i="9"/>
  <c r="H316" i="9"/>
  <c r="H316" i="9" a="1"/>
  <c r="D316" i="9"/>
  <c r="T315" i="9"/>
  <c r="Q315" i="9"/>
  <c r="M315" i="9"/>
  <c r="K315" i="9"/>
  <c r="H315" i="9"/>
  <c r="H315" i="9" a="1"/>
  <c r="D315" i="9"/>
  <c r="T314" i="9"/>
  <c r="Q314" i="9"/>
  <c r="M314" i="9"/>
  <c r="K314" i="9"/>
  <c r="H314" i="9"/>
  <c r="H314" i="9" a="1"/>
  <c r="D314" i="9"/>
  <c r="T313" i="9"/>
  <c r="Q313" i="9"/>
  <c r="M313" i="9"/>
  <c r="K313" i="9"/>
  <c r="H313" i="9"/>
  <c r="H313" i="9" a="1"/>
  <c r="D313" i="9"/>
  <c r="T312" i="9"/>
  <c r="Q312" i="9"/>
  <c r="M312" i="9"/>
  <c r="K312" i="9"/>
  <c r="H312" i="9"/>
  <c r="H312" i="9" a="1"/>
  <c r="D312" i="9"/>
  <c r="T311" i="9"/>
  <c r="Q311" i="9"/>
  <c r="M311" i="9"/>
  <c r="K311" i="9"/>
  <c r="H311" i="9"/>
  <c r="H311" i="9" a="1"/>
  <c r="D311" i="9"/>
  <c r="T310" i="9"/>
  <c r="Q310" i="9"/>
  <c r="M310" i="9"/>
  <c r="K310" i="9"/>
  <c r="H310" i="9"/>
  <c r="H310" i="9" a="1"/>
  <c r="D310" i="9"/>
  <c r="T309" i="9"/>
  <c r="Q309" i="9"/>
  <c r="M309" i="9"/>
  <c r="K309" i="9"/>
  <c r="H309" i="9"/>
  <c r="H309" i="9" a="1"/>
  <c r="D309" i="9"/>
  <c r="T308" i="9"/>
  <c r="Q308" i="9"/>
  <c r="M308" i="9"/>
  <c r="K308" i="9"/>
  <c r="H308" i="9"/>
  <c r="H308" i="9" a="1"/>
  <c r="D308" i="9"/>
  <c r="T307" i="9"/>
  <c r="Q307" i="9"/>
  <c r="M307" i="9"/>
  <c r="K307" i="9"/>
  <c r="H307" i="9"/>
  <c r="H307" i="9" a="1"/>
  <c r="D307" i="9"/>
  <c r="T306" i="9"/>
  <c r="Q306" i="9"/>
  <c r="M306" i="9"/>
  <c r="K306" i="9"/>
  <c r="H306" i="9"/>
  <c r="H306" i="9" a="1"/>
  <c r="D306" i="9"/>
  <c r="T305" i="9"/>
  <c r="Q305" i="9"/>
  <c r="M305" i="9"/>
  <c r="K305" i="9"/>
  <c r="H305" i="9"/>
  <c r="H305" i="9" a="1"/>
  <c r="D305" i="9"/>
  <c r="T304" i="9"/>
  <c r="Q304" i="9"/>
  <c r="M304" i="9"/>
  <c r="K304" i="9"/>
  <c r="H304" i="9"/>
  <c r="H304" i="9" a="1"/>
  <c r="D304" i="9"/>
  <c r="T303" i="9"/>
  <c r="Q303" i="9"/>
  <c r="M303" i="9"/>
  <c r="K303" i="9"/>
  <c r="H303" i="9"/>
  <c r="H303" i="9" a="1"/>
  <c r="D303" i="9"/>
  <c r="T302" i="9"/>
  <c r="Q302" i="9"/>
  <c r="M302" i="9"/>
  <c r="K302" i="9"/>
  <c r="H302" i="9"/>
  <c r="H302" i="9" a="1"/>
  <c r="D302" i="9"/>
  <c r="T301" i="9"/>
  <c r="Q301" i="9"/>
  <c r="M301" i="9"/>
  <c r="K301" i="9"/>
  <c r="H301" i="9"/>
  <c r="H301" i="9" a="1"/>
  <c r="D301" i="9"/>
  <c r="T300" i="9"/>
  <c r="Q300" i="9"/>
  <c r="M300" i="9"/>
  <c r="K300" i="9"/>
  <c r="H300" i="9"/>
  <c r="H300" i="9" a="1"/>
  <c r="D300" i="9"/>
  <c r="T299" i="9"/>
  <c r="Q299" i="9"/>
  <c r="M299" i="9"/>
  <c r="K299" i="9"/>
  <c r="H299" i="9"/>
  <c r="H299" i="9" a="1"/>
  <c r="D299" i="9"/>
  <c r="T298" i="9"/>
  <c r="Q298" i="9"/>
  <c r="M298" i="9"/>
  <c r="K298" i="9"/>
  <c r="H298" i="9"/>
  <c r="H298" i="9" a="1"/>
  <c r="D298" i="9"/>
  <c r="T297" i="9"/>
  <c r="Q297" i="9"/>
  <c r="M297" i="9"/>
  <c r="K297" i="9"/>
  <c r="H297" i="9"/>
  <c r="H297" i="9" a="1"/>
  <c r="D297" i="9"/>
  <c r="T296" i="9"/>
  <c r="Q296" i="9"/>
  <c r="M296" i="9"/>
  <c r="K296" i="9"/>
  <c r="H296" i="9"/>
  <c r="H296" i="9" a="1"/>
  <c r="D296" i="9"/>
  <c r="T295" i="9"/>
  <c r="Q295" i="9"/>
  <c r="M295" i="9"/>
  <c r="K295" i="9"/>
  <c r="H295" i="9"/>
  <c r="H295" i="9" a="1"/>
  <c r="D295" i="9"/>
  <c r="T294" i="9"/>
  <c r="Q294" i="9"/>
  <c r="M294" i="9"/>
  <c r="K294" i="9"/>
  <c r="H294" i="9"/>
  <c r="H294" i="9" a="1"/>
  <c r="D294" i="9"/>
  <c r="T293" i="9"/>
  <c r="Q293" i="9"/>
  <c r="M293" i="9"/>
  <c r="K293" i="9"/>
  <c r="H293" i="9"/>
  <c r="H293" i="9" a="1"/>
  <c r="D293" i="9"/>
  <c r="T292" i="9"/>
  <c r="Q292" i="9"/>
  <c r="M292" i="9"/>
  <c r="K292" i="9"/>
  <c r="H292" i="9"/>
  <c r="H292" i="9" a="1"/>
  <c r="D292" i="9"/>
  <c r="T291" i="9"/>
  <c r="Q291" i="9"/>
  <c r="M291" i="9"/>
  <c r="K291" i="9"/>
  <c r="H291" i="9"/>
  <c r="H291" i="9" a="1"/>
  <c r="D291" i="9"/>
  <c r="T290" i="9"/>
  <c r="Q290" i="9"/>
  <c r="M290" i="9"/>
  <c r="K290" i="9"/>
  <c r="H290" i="9"/>
  <c r="H290" i="9" a="1"/>
  <c r="D290" i="9"/>
  <c r="T289" i="9"/>
  <c r="Q289" i="9"/>
  <c r="M289" i="9"/>
  <c r="K289" i="9"/>
  <c r="H289" i="9"/>
  <c r="H289" i="9" a="1"/>
  <c r="D289" i="9"/>
  <c r="T288" i="9"/>
  <c r="Q288" i="9"/>
  <c r="M288" i="9"/>
  <c r="K288" i="9"/>
  <c r="H288" i="9"/>
  <c r="H288" i="9" a="1"/>
  <c r="D288" i="9"/>
  <c r="T287" i="9"/>
  <c r="Q287" i="9"/>
  <c r="M287" i="9"/>
  <c r="K287" i="9"/>
  <c r="H287" i="9"/>
  <c r="H287" i="9" a="1"/>
  <c r="D287" i="9"/>
  <c r="T286" i="9"/>
  <c r="Q286" i="9"/>
  <c r="M286" i="9"/>
  <c r="K286" i="9"/>
  <c r="H286" i="9"/>
  <c r="H286" i="9" a="1"/>
  <c r="D286" i="9"/>
  <c r="T285" i="9"/>
  <c r="Q285" i="9"/>
  <c r="M285" i="9"/>
  <c r="K285" i="9"/>
  <c r="H285" i="9"/>
  <c r="H285" i="9" a="1"/>
  <c r="D285" i="9"/>
  <c r="T284" i="9"/>
  <c r="Q284" i="9"/>
  <c r="M284" i="9"/>
  <c r="K284" i="9"/>
  <c r="H284" i="9"/>
  <c r="H284" i="9" a="1"/>
  <c r="D284" i="9"/>
  <c r="T283" i="9"/>
  <c r="Q283" i="9"/>
  <c r="M283" i="9"/>
  <c r="K283" i="9"/>
  <c r="H283" i="9"/>
  <c r="H283" i="9" a="1"/>
  <c r="D283" i="9"/>
  <c r="T282" i="9"/>
  <c r="Q282" i="9"/>
  <c r="M282" i="9"/>
  <c r="K282" i="9"/>
  <c r="H282" i="9"/>
  <c r="H282" i="9" a="1"/>
  <c r="D282" i="9"/>
  <c r="T281" i="9"/>
  <c r="Q281" i="9"/>
  <c r="M281" i="9"/>
  <c r="K281" i="9"/>
  <c r="H281" i="9"/>
  <c r="H281" i="9" a="1"/>
  <c r="D281" i="9"/>
  <c r="T280" i="9"/>
  <c r="Q280" i="9"/>
  <c r="M280" i="9"/>
  <c r="K280" i="9"/>
  <c r="H280" i="9"/>
  <c r="H280" i="9" a="1"/>
  <c r="D280" i="9"/>
  <c r="T279" i="9"/>
  <c r="Q279" i="9"/>
  <c r="M279" i="9"/>
  <c r="K279" i="9"/>
  <c r="H279" i="9"/>
  <c r="H279" i="9" a="1"/>
  <c r="D279" i="9"/>
  <c r="T278" i="9"/>
  <c r="Q278" i="9"/>
  <c r="M278" i="9"/>
  <c r="K278" i="9"/>
  <c r="H278" i="9"/>
  <c r="H278" i="9" a="1"/>
  <c r="D278" i="9"/>
  <c r="T277" i="9"/>
  <c r="Q277" i="9"/>
  <c r="M277" i="9"/>
  <c r="K277" i="9"/>
  <c r="H277" i="9"/>
  <c r="H277" i="9" a="1"/>
  <c r="D277" i="9"/>
  <c r="T276" i="9"/>
  <c r="Q276" i="9"/>
  <c r="M276" i="9"/>
  <c r="K276" i="9"/>
  <c r="H276" i="9"/>
  <c r="H276" i="9" a="1"/>
  <c r="D276" i="9"/>
  <c r="T275" i="9"/>
  <c r="Q275" i="9"/>
  <c r="M275" i="9"/>
  <c r="K275" i="9"/>
  <c r="H275" i="9"/>
  <c r="H275" i="9" a="1"/>
  <c r="D275" i="9"/>
  <c r="T274" i="9"/>
  <c r="Q274" i="9"/>
  <c r="M274" i="9"/>
  <c r="K274" i="9"/>
  <c r="H274" i="9"/>
  <c r="H274" i="9" a="1"/>
  <c r="D274" i="9"/>
  <c r="T273" i="9"/>
  <c r="Q273" i="9"/>
  <c r="M273" i="9"/>
  <c r="K273" i="9"/>
  <c r="H273" i="9"/>
  <c r="H273" i="9" a="1"/>
  <c r="D273" i="9"/>
  <c r="T272" i="9"/>
  <c r="Q272" i="9"/>
  <c r="M272" i="9"/>
  <c r="K272" i="9"/>
  <c r="H272" i="9"/>
  <c r="H272" i="9" a="1"/>
  <c r="D272" i="9"/>
  <c r="T271" i="9"/>
  <c r="Q271" i="9"/>
  <c r="M271" i="9"/>
  <c r="K271" i="9"/>
  <c r="H271" i="9"/>
  <c r="H271" i="9" a="1"/>
  <c r="D271" i="9"/>
  <c r="T270" i="9"/>
  <c r="Q270" i="9"/>
  <c r="M270" i="9"/>
  <c r="K270" i="9"/>
  <c r="H270" i="9"/>
  <c r="H270" i="9" a="1"/>
  <c r="D270" i="9"/>
  <c r="T269" i="9"/>
  <c r="Q269" i="9"/>
  <c r="M269" i="9"/>
  <c r="K269" i="9"/>
  <c r="H269" i="9"/>
  <c r="H269" i="9" a="1"/>
  <c r="D269" i="9"/>
  <c r="T268" i="9"/>
  <c r="Q268" i="9"/>
  <c r="M268" i="9"/>
  <c r="K268" i="9"/>
  <c r="H268" i="9"/>
  <c r="H268" i="9" a="1"/>
  <c r="D268" i="9"/>
  <c r="T267" i="9"/>
  <c r="Q267" i="9"/>
  <c r="M267" i="9"/>
  <c r="K267" i="9"/>
  <c r="H267" i="9"/>
  <c r="H267" i="9" a="1"/>
  <c r="D267" i="9"/>
  <c r="T266" i="9"/>
  <c r="Q266" i="9"/>
  <c r="M266" i="9"/>
  <c r="K266" i="9"/>
  <c r="H266" i="9"/>
  <c r="H266" i="9" a="1"/>
  <c r="D266" i="9"/>
  <c r="T265" i="9"/>
  <c r="Q265" i="9"/>
  <c r="M265" i="9"/>
  <c r="K265" i="9"/>
  <c r="H265" i="9"/>
  <c r="H265" i="9" a="1"/>
  <c r="D265" i="9"/>
  <c r="T264" i="9"/>
  <c r="Q264" i="9"/>
  <c r="M264" i="9"/>
  <c r="K264" i="9"/>
  <c r="H264" i="9"/>
  <c r="H264" i="9" a="1"/>
  <c r="D264" i="9"/>
  <c r="T263" i="9"/>
  <c r="Q263" i="9"/>
  <c r="M263" i="9"/>
  <c r="K263" i="9"/>
  <c r="H263" i="9"/>
  <c r="H263" i="9" a="1"/>
  <c r="D263" i="9"/>
  <c r="T262" i="9"/>
  <c r="Q262" i="9"/>
  <c r="M262" i="9"/>
  <c r="K262" i="9"/>
  <c r="H262" i="9"/>
  <c r="H262" i="9" a="1"/>
  <c r="D262" i="9"/>
  <c r="T261" i="9"/>
  <c r="Q261" i="9"/>
  <c r="M261" i="9"/>
  <c r="K261" i="9"/>
  <c r="H261" i="9"/>
  <c r="H261" i="9" a="1"/>
  <c r="D261" i="9"/>
  <c r="T260" i="9"/>
  <c r="Q260" i="9"/>
  <c r="M260" i="9"/>
  <c r="K260" i="9"/>
  <c r="H260" i="9"/>
  <c r="H260" i="9" a="1"/>
  <c r="D260" i="9"/>
  <c r="T259" i="9"/>
  <c r="Q259" i="9"/>
  <c r="M259" i="9"/>
  <c r="K259" i="9"/>
  <c r="H259" i="9"/>
  <c r="H259" i="9" a="1"/>
  <c r="D259" i="9"/>
  <c r="T258" i="9"/>
  <c r="Q258" i="9"/>
  <c r="M258" i="9"/>
  <c r="K258" i="9"/>
  <c r="H258" i="9"/>
  <c r="H258" i="9" a="1"/>
  <c r="D258" i="9"/>
  <c r="T257" i="9"/>
  <c r="Q257" i="9"/>
  <c r="M257" i="9"/>
  <c r="K257" i="9"/>
  <c r="H257" i="9"/>
  <c r="H257" i="9" a="1"/>
  <c r="D257" i="9"/>
  <c r="T256" i="9"/>
  <c r="Q256" i="9"/>
  <c r="M256" i="9"/>
  <c r="K256" i="9"/>
  <c r="H256" i="9"/>
  <c r="H256" i="9" a="1"/>
  <c r="D256" i="9"/>
  <c r="T255" i="9"/>
  <c r="Q255" i="9"/>
  <c r="M255" i="9"/>
  <c r="K255" i="9"/>
  <c r="H255" i="9"/>
  <c r="H255" i="9" a="1"/>
  <c r="D255" i="9"/>
  <c r="T254" i="9"/>
  <c r="Q254" i="9"/>
  <c r="M254" i="9"/>
  <c r="K254" i="9"/>
  <c r="H254" i="9"/>
  <c r="H254" i="9" a="1"/>
  <c r="D254" i="9"/>
  <c r="T253" i="9"/>
  <c r="Q253" i="9"/>
  <c r="M253" i="9"/>
  <c r="K253" i="9"/>
  <c r="H253" i="9"/>
  <c r="H253" i="9" a="1"/>
  <c r="D253" i="9"/>
  <c r="T252" i="9"/>
  <c r="Q252" i="9"/>
  <c r="M252" i="9"/>
  <c r="K252" i="9"/>
  <c r="H252" i="9"/>
  <c r="H252" i="9" a="1"/>
  <c r="D252" i="9"/>
  <c r="T251" i="9"/>
  <c r="Q251" i="9"/>
  <c r="M251" i="9"/>
  <c r="K251" i="9"/>
  <c r="H251" i="9"/>
  <c r="H251" i="9" a="1"/>
  <c r="D251" i="9"/>
  <c r="T250" i="9"/>
  <c r="Q250" i="9"/>
  <c r="M250" i="9"/>
  <c r="K250" i="9"/>
  <c r="H250" i="9"/>
  <c r="H250" i="9" a="1"/>
  <c r="D250" i="9"/>
  <c r="T249" i="9"/>
  <c r="Q249" i="9"/>
  <c r="M249" i="9"/>
  <c r="K249" i="9"/>
  <c r="H249" i="9"/>
  <c r="H249" i="9" a="1"/>
  <c r="D249" i="9"/>
  <c r="T248" i="9"/>
  <c r="Q248" i="9"/>
  <c r="M248" i="9"/>
  <c r="K248" i="9"/>
  <c r="H248" i="9"/>
  <c r="H248" i="9" a="1"/>
  <c r="D248" i="9"/>
  <c r="T247" i="9"/>
  <c r="Q247" i="9"/>
  <c r="M247" i="9"/>
  <c r="K247" i="9"/>
  <c r="H247" i="9"/>
  <c r="H247" i="9" a="1"/>
  <c r="D247" i="9"/>
  <c r="T246" i="9"/>
  <c r="Q246" i="9"/>
  <c r="M246" i="9"/>
  <c r="K246" i="9"/>
  <c r="H246" i="9"/>
  <c r="H246" i="9" a="1"/>
  <c r="D246" i="9"/>
  <c r="T245" i="9"/>
  <c r="Q245" i="9"/>
  <c r="M245" i="9"/>
  <c r="K245" i="9"/>
  <c r="H245" i="9"/>
  <c r="H245" i="9" a="1"/>
  <c r="D245" i="9"/>
  <c r="T244" i="9"/>
  <c r="Q244" i="9"/>
  <c r="M244" i="9"/>
  <c r="K244" i="9"/>
  <c r="H244" i="9"/>
  <c r="H244" i="9" a="1"/>
  <c r="D244" i="9"/>
  <c r="T243" i="9"/>
  <c r="Q243" i="9"/>
  <c r="M243" i="9"/>
  <c r="K243" i="9"/>
  <c r="H243" i="9"/>
  <c r="H243" i="9" a="1"/>
  <c r="D243" i="9"/>
  <c r="T242" i="9"/>
  <c r="Q242" i="9"/>
  <c r="M242" i="9"/>
  <c r="K242" i="9"/>
  <c r="H242" i="9"/>
  <c r="H242" i="9" a="1"/>
  <c r="D242" i="9"/>
  <c r="T241" i="9"/>
  <c r="Q241" i="9"/>
  <c r="M241" i="9"/>
  <c r="K241" i="9"/>
  <c r="H241" i="9"/>
  <c r="H241" i="9" a="1"/>
  <c r="D241" i="9"/>
  <c r="T240" i="9"/>
  <c r="Q240" i="9"/>
  <c r="M240" i="9"/>
  <c r="K240" i="9"/>
  <c r="H240" i="9"/>
  <c r="H240" i="9" a="1"/>
  <c r="D240" i="9"/>
  <c r="T239" i="9"/>
  <c r="Q239" i="9"/>
  <c r="M239" i="9"/>
  <c r="K239" i="9"/>
  <c r="H239" i="9"/>
  <c r="H239" i="9" a="1"/>
  <c r="D239" i="9"/>
  <c r="T238" i="9"/>
  <c r="Q238" i="9"/>
  <c r="M238" i="9"/>
  <c r="K238" i="9"/>
  <c r="H238" i="9"/>
  <c r="H238" i="9" a="1"/>
  <c r="D238" i="9"/>
  <c r="T237" i="9"/>
  <c r="Q237" i="9"/>
  <c r="M237" i="9"/>
  <c r="K237" i="9"/>
  <c r="H237" i="9"/>
  <c r="H237" i="9" a="1"/>
  <c r="D237" i="9"/>
  <c r="T236" i="9"/>
  <c r="Q236" i="9"/>
  <c r="M236" i="9"/>
  <c r="K236" i="9"/>
  <c r="H236" i="9"/>
  <c r="H236" i="9" a="1"/>
  <c r="D236" i="9"/>
  <c r="T235" i="9"/>
  <c r="Q235" i="9"/>
  <c r="M235" i="9"/>
  <c r="K235" i="9"/>
  <c r="H235" i="9"/>
  <c r="H235" i="9" a="1"/>
  <c r="D235" i="9"/>
  <c r="T234" i="9"/>
  <c r="Q234" i="9"/>
  <c r="M234" i="9"/>
  <c r="K234" i="9"/>
  <c r="H234" i="9"/>
  <c r="H234" i="9" a="1"/>
  <c r="D234" i="9"/>
  <c r="T233" i="9"/>
  <c r="Q233" i="9"/>
  <c r="M233" i="9"/>
  <c r="K233" i="9"/>
  <c r="H233" i="9"/>
  <c r="H233" i="9" a="1"/>
  <c r="D233" i="9"/>
  <c r="T232" i="9"/>
  <c r="Q232" i="9"/>
  <c r="M232" i="9"/>
  <c r="K232" i="9"/>
  <c r="H232" i="9"/>
  <c r="H232" i="9" a="1"/>
  <c r="D232" i="9"/>
  <c r="T231" i="9"/>
  <c r="Q231" i="9"/>
  <c r="M231" i="9"/>
  <c r="K231" i="9"/>
  <c r="H231" i="9"/>
  <c r="H231" i="9" a="1"/>
  <c r="D231" i="9"/>
  <c r="T230" i="9"/>
  <c r="Q230" i="9"/>
  <c r="M230" i="9"/>
  <c r="K230" i="9"/>
  <c r="H230" i="9"/>
  <c r="H230" i="9" a="1"/>
  <c r="D230" i="9"/>
  <c r="T229" i="9"/>
  <c r="Q229" i="9"/>
  <c r="M229" i="9"/>
  <c r="K229" i="9"/>
  <c r="H229" i="9"/>
  <c r="H229" i="9" a="1"/>
  <c r="D229" i="9"/>
  <c r="T228" i="9"/>
  <c r="Q228" i="9"/>
  <c r="M228" i="9"/>
  <c r="K228" i="9"/>
  <c r="H228" i="9"/>
  <c r="H228" i="9" a="1"/>
  <c r="D228" i="9"/>
  <c r="T227" i="9"/>
  <c r="Q227" i="9"/>
  <c r="M227" i="9"/>
  <c r="K227" i="9"/>
  <c r="H227" i="9"/>
  <c r="H227" i="9" a="1"/>
  <c r="D227" i="9"/>
  <c r="T226" i="9"/>
  <c r="Q226" i="9"/>
  <c r="M226" i="9"/>
  <c r="K226" i="9"/>
  <c r="H226" i="9"/>
  <c r="H226" i="9" a="1"/>
  <c r="D226" i="9"/>
  <c r="T225" i="9"/>
  <c r="Q225" i="9"/>
  <c r="M225" i="9"/>
  <c r="K225" i="9"/>
  <c r="H225" i="9"/>
  <c r="H225" i="9" a="1"/>
  <c r="D225" i="9"/>
  <c r="T224" i="9"/>
  <c r="Q224" i="9"/>
  <c r="M224" i="9"/>
  <c r="K224" i="9"/>
  <c r="H224" i="9"/>
  <c r="H224" i="9" a="1"/>
  <c r="D224" i="9"/>
  <c r="T223" i="9"/>
  <c r="Q223" i="9"/>
  <c r="M223" i="9"/>
  <c r="K223" i="9"/>
  <c r="H223" i="9"/>
  <c r="H223" i="9" a="1"/>
  <c r="D223" i="9"/>
  <c r="T222" i="9"/>
  <c r="Q222" i="9"/>
  <c r="M222" i="9"/>
  <c r="K222" i="9"/>
  <c r="H222" i="9"/>
  <c r="H222" i="9" a="1"/>
  <c r="D222" i="9"/>
  <c r="T221" i="9"/>
  <c r="Q221" i="9"/>
  <c r="M221" i="9"/>
  <c r="K221" i="9"/>
  <c r="H221" i="9"/>
  <c r="H221" i="9" a="1"/>
  <c r="D221" i="9"/>
  <c r="T220" i="9"/>
  <c r="Q220" i="9"/>
  <c r="M220" i="9"/>
  <c r="K220" i="9"/>
  <c r="H220" i="9"/>
  <c r="H220" i="9" a="1"/>
  <c r="D220" i="9"/>
  <c r="T219" i="9"/>
  <c r="Q219" i="9"/>
  <c r="M219" i="9"/>
  <c r="K219" i="9"/>
  <c r="H219" i="9"/>
  <c r="H219" i="9" a="1"/>
  <c r="D219" i="9"/>
  <c r="T218" i="9"/>
  <c r="Q218" i="9"/>
  <c r="M218" i="9"/>
  <c r="K218" i="9"/>
  <c r="H218" i="9"/>
  <c r="H218" i="9" a="1"/>
  <c r="D218" i="9"/>
  <c r="T217" i="9"/>
  <c r="Q217" i="9"/>
  <c r="M217" i="9"/>
  <c r="K217" i="9"/>
  <c r="H217" i="9"/>
  <c r="H217" i="9" a="1"/>
  <c r="D217" i="9"/>
  <c r="T216" i="9"/>
  <c r="Q216" i="9"/>
  <c r="M216" i="9"/>
  <c r="K216" i="9"/>
  <c r="H216" i="9"/>
  <c r="H216" i="9" a="1"/>
  <c r="D216" i="9"/>
  <c r="T215" i="9"/>
  <c r="Q215" i="9"/>
  <c r="M215" i="9"/>
  <c r="K215" i="9"/>
  <c r="H215" i="9"/>
  <c r="H215" i="9" a="1"/>
  <c r="D215" i="9"/>
  <c r="T214" i="9"/>
  <c r="Q214" i="9"/>
  <c r="M214" i="9"/>
  <c r="K214" i="9"/>
  <c r="H214" i="9"/>
  <c r="H214" i="9" a="1"/>
  <c r="D214" i="9"/>
  <c r="T213" i="9"/>
  <c r="Q213" i="9"/>
  <c r="M213" i="9"/>
  <c r="K213" i="9"/>
  <c r="H213" i="9"/>
  <c r="H213" i="9" a="1"/>
  <c r="D213" i="9"/>
  <c r="T212" i="9"/>
  <c r="Q212" i="9"/>
  <c r="M212" i="9"/>
  <c r="K212" i="9"/>
  <c r="H212" i="9"/>
  <c r="H212" i="9" a="1"/>
  <c r="D212" i="9"/>
  <c r="T211" i="9"/>
  <c r="Q211" i="9"/>
  <c r="M211" i="9"/>
  <c r="K211" i="9"/>
  <c r="H211" i="9"/>
  <c r="H211" i="9" a="1"/>
  <c r="D211" i="9"/>
  <c r="T210" i="9"/>
  <c r="Q210" i="9"/>
  <c r="M210" i="9"/>
  <c r="K210" i="9"/>
  <c r="H210" i="9"/>
  <c r="H210" i="9" a="1"/>
  <c r="D210" i="9"/>
  <c r="T209" i="9"/>
  <c r="Q209" i="9"/>
  <c r="M209" i="9"/>
  <c r="K209" i="9"/>
  <c r="H209" i="9"/>
  <c r="H209" i="9" a="1"/>
  <c r="D209" i="9"/>
  <c r="T208" i="9"/>
  <c r="Q208" i="9"/>
  <c r="M208" i="9"/>
  <c r="K208" i="9"/>
  <c r="H208" i="9"/>
  <c r="H208" i="9" a="1"/>
  <c r="D208" i="9"/>
  <c r="T207" i="9"/>
  <c r="Q207" i="9"/>
  <c r="M207" i="9"/>
  <c r="K207" i="9"/>
  <c r="H207" i="9"/>
  <c r="H207" i="9" a="1"/>
  <c r="D207" i="9"/>
  <c r="T206" i="9"/>
  <c r="Q206" i="9"/>
  <c r="M206" i="9"/>
  <c r="K206" i="9"/>
  <c r="H206" i="9"/>
  <c r="H206" i="9" a="1"/>
  <c r="D206" i="9"/>
  <c r="T205" i="9"/>
  <c r="Q205" i="9"/>
  <c r="M205" i="9"/>
  <c r="K205" i="9"/>
  <c r="H205" i="9"/>
  <c r="H205" i="9" a="1"/>
  <c r="D205" i="9"/>
  <c r="T204" i="9"/>
  <c r="Q204" i="9"/>
  <c r="M204" i="9"/>
  <c r="K204" i="9"/>
  <c r="H204" i="9"/>
  <c r="H204" i="9" a="1"/>
  <c r="D204" i="9"/>
  <c r="T203" i="9"/>
  <c r="Q203" i="9"/>
  <c r="M203" i="9"/>
  <c r="K203" i="9"/>
  <c r="H203" i="9"/>
  <c r="H203" i="9" a="1"/>
  <c r="D203" i="9"/>
  <c r="T202" i="9"/>
  <c r="Q202" i="9"/>
  <c r="M202" i="9"/>
  <c r="K202" i="9"/>
  <c r="H202" i="9"/>
  <c r="H202" i="9" a="1"/>
  <c r="D202" i="9"/>
  <c r="T201" i="9"/>
  <c r="Q201" i="9"/>
  <c r="M201" i="9"/>
  <c r="K201" i="9"/>
  <c r="H201" i="9"/>
  <c r="H201" i="9" a="1"/>
  <c r="D201" i="9"/>
  <c r="T200" i="9"/>
  <c r="Q200" i="9"/>
  <c r="M200" i="9"/>
  <c r="K200" i="9"/>
  <c r="H200" i="9"/>
  <c r="H200" i="9" a="1"/>
  <c r="D200" i="9"/>
  <c r="T199" i="9"/>
  <c r="Q199" i="9"/>
  <c r="M199" i="9"/>
  <c r="K199" i="9"/>
  <c r="H199" i="9"/>
  <c r="H199" i="9" a="1"/>
  <c r="D199" i="9"/>
  <c r="T198" i="9"/>
  <c r="Q198" i="9"/>
  <c r="M198" i="9"/>
  <c r="K198" i="9"/>
  <c r="H198" i="9"/>
  <c r="H198" i="9" a="1"/>
  <c r="D198" i="9"/>
  <c r="T197" i="9"/>
  <c r="Q197" i="9"/>
  <c r="M197" i="9"/>
  <c r="K197" i="9"/>
  <c r="H197" i="9"/>
  <c r="H197" i="9" a="1"/>
  <c r="D197" i="9"/>
  <c r="T196" i="9"/>
  <c r="Q196" i="9"/>
  <c r="M196" i="9"/>
  <c r="K196" i="9"/>
  <c r="H196" i="9"/>
  <c r="H196" i="9" a="1"/>
  <c r="D196" i="9"/>
  <c r="T195" i="9"/>
  <c r="Q195" i="9"/>
  <c r="M195" i="9"/>
  <c r="K195" i="9"/>
  <c r="H195" i="9"/>
  <c r="H195" i="9" a="1"/>
  <c r="D195" i="9"/>
  <c r="T194" i="9"/>
  <c r="Q194" i="9"/>
  <c r="M194" i="9"/>
  <c r="K194" i="9"/>
  <c r="H194" i="9"/>
  <c r="H194" i="9" a="1"/>
  <c r="D194" i="9"/>
  <c r="T193" i="9"/>
  <c r="Q193" i="9"/>
  <c r="M193" i="9"/>
  <c r="K193" i="9"/>
  <c r="H193" i="9"/>
  <c r="H193" i="9" a="1"/>
  <c r="D193" i="9"/>
  <c r="T192" i="9"/>
  <c r="Q192" i="9"/>
  <c r="M192" i="9"/>
  <c r="K192" i="9"/>
  <c r="H192" i="9"/>
  <c r="H192" i="9" a="1"/>
  <c r="D192" i="9"/>
  <c r="T191" i="9"/>
  <c r="Q191" i="9"/>
  <c r="M191" i="9"/>
  <c r="K191" i="9"/>
  <c r="H191" i="9"/>
  <c r="H191" i="9" a="1"/>
  <c r="D191" i="9"/>
  <c r="T190" i="9"/>
  <c r="Q190" i="9"/>
  <c r="M190" i="9"/>
  <c r="K190" i="9"/>
  <c r="H190" i="9"/>
  <c r="H190" i="9" a="1"/>
  <c r="D190" i="9"/>
  <c r="T189" i="9"/>
  <c r="Q189" i="9"/>
  <c r="M189" i="9"/>
  <c r="K189" i="9"/>
  <c r="H189" i="9"/>
  <c r="H189" i="9" a="1"/>
  <c r="D189" i="9"/>
  <c r="T188" i="9"/>
  <c r="Q188" i="9"/>
  <c r="M188" i="9"/>
  <c r="K188" i="9"/>
  <c r="H188" i="9"/>
  <c r="H188" i="9" a="1"/>
  <c r="D188" i="9"/>
  <c r="T187" i="9"/>
  <c r="Q187" i="9"/>
  <c r="M187" i="9"/>
  <c r="K187" i="9"/>
  <c r="H187" i="9"/>
  <c r="H187" i="9" a="1"/>
  <c r="D187" i="9"/>
  <c r="T186" i="9"/>
  <c r="Q186" i="9"/>
  <c r="M186" i="9"/>
  <c r="K186" i="9"/>
  <c r="H186" i="9"/>
  <c r="H186" i="9" a="1"/>
  <c r="D186" i="9"/>
  <c r="T185" i="9"/>
  <c r="Q185" i="9"/>
  <c r="M185" i="9"/>
  <c r="K185" i="9"/>
  <c r="H185" i="9"/>
  <c r="H185" i="9" a="1"/>
  <c r="D185" i="9"/>
  <c r="T184" i="9"/>
  <c r="Q184" i="9"/>
  <c r="M184" i="9"/>
  <c r="K184" i="9"/>
  <c r="H184" i="9"/>
  <c r="H184" i="9" a="1"/>
  <c r="D184" i="9"/>
  <c r="T183" i="9"/>
  <c r="Q183" i="9"/>
  <c r="M183" i="9"/>
  <c r="K183" i="9"/>
  <c r="H183" i="9"/>
  <c r="H183" i="9" a="1"/>
  <c r="D183" i="9"/>
  <c r="T182" i="9"/>
  <c r="Q182" i="9"/>
  <c r="M182" i="9"/>
  <c r="K182" i="9"/>
  <c r="H182" i="9"/>
  <c r="H182" i="9" a="1"/>
  <c r="D182" i="9"/>
  <c r="T181" i="9"/>
  <c r="Q181" i="9"/>
  <c r="M181" i="9"/>
  <c r="K181" i="9"/>
  <c r="H181" i="9"/>
  <c r="H181" i="9" a="1"/>
  <c r="D181" i="9"/>
  <c r="T180" i="9"/>
  <c r="Q180" i="9"/>
  <c r="M180" i="9"/>
  <c r="K180" i="9"/>
  <c r="H180" i="9"/>
  <c r="H180" i="9" a="1"/>
  <c r="D180" i="9"/>
  <c r="T179" i="9"/>
  <c r="Q179" i="9"/>
  <c r="M179" i="9"/>
  <c r="K179" i="9"/>
  <c r="H179" i="9"/>
  <c r="H179" i="9" a="1"/>
  <c r="D179" i="9"/>
  <c r="T178" i="9"/>
  <c r="Q178" i="9"/>
  <c r="M178" i="9"/>
  <c r="K178" i="9"/>
  <c r="H178" i="9"/>
  <c r="H178" i="9" a="1"/>
  <c r="D178" i="9"/>
  <c r="T177" i="9"/>
  <c r="Q177" i="9"/>
  <c r="M177" i="9"/>
  <c r="K177" i="9"/>
  <c r="H177" i="9"/>
  <c r="H177" i="9" a="1"/>
  <c r="D177" i="9"/>
  <c r="T176" i="9"/>
  <c r="Q176" i="9"/>
  <c r="M176" i="9"/>
  <c r="K176" i="9"/>
  <c r="H176" i="9"/>
  <c r="H176" i="9" a="1"/>
  <c r="D176" i="9"/>
  <c r="T175" i="9"/>
  <c r="Q175" i="9"/>
  <c r="M175" i="9"/>
  <c r="K175" i="9"/>
  <c r="H175" i="9"/>
  <c r="H175" i="9" a="1"/>
  <c r="D175" i="9"/>
  <c r="T174" i="9"/>
  <c r="Q174" i="9"/>
  <c r="M174" i="9"/>
  <c r="K174" i="9"/>
  <c r="H174" i="9"/>
  <c r="H174" i="9" a="1"/>
  <c r="D174" i="9"/>
  <c r="T173" i="9"/>
  <c r="Q173" i="9"/>
  <c r="M173" i="9"/>
  <c r="K173" i="9"/>
  <c r="H173" i="9"/>
  <c r="H173" i="9" a="1"/>
  <c r="D173" i="9"/>
  <c r="T172" i="9"/>
  <c r="Q172" i="9"/>
  <c r="M172" i="9"/>
  <c r="K172" i="9"/>
  <c r="H172" i="9"/>
  <c r="H172" i="9" a="1"/>
  <c r="D172" i="9"/>
  <c r="T171" i="9"/>
  <c r="Q171" i="9"/>
  <c r="M171" i="9"/>
  <c r="K171" i="9"/>
  <c r="H171" i="9"/>
  <c r="H171" i="9" a="1"/>
  <c r="D171" i="9"/>
  <c r="T170" i="9"/>
  <c r="Q170" i="9"/>
  <c r="M170" i="9"/>
  <c r="K170" i="9"/>
  <c r="H170" i="9"/>
  <c r="H170" i="9" a="1"/>
  <c r="D170" i="9"/>
  <c r="T169" i="9"/>
  <c r="Q169" i="9"/>
  <c r="M169" i="9"/>
  <c r="K169" i="9"/>
  <c r="H169" i="9"/>
  <c r="H169" i="9" a="1"/>
  <c r="D169" i="9"/>
  <c r="T168" i="9"/>
  <c r="Q168" i="9"/>
  <c r="M168" i="9"/>
  <c r="K168" i="9"/>
  <c r="H168" i="9"/>
  <c r="H168" i="9" a="1"/>
  <c r="D168" i="9"/>
  <c r="T167" i="9"/>
  <c r="Q167" i="9"/>
  <c r="M167" i="9"/>
  <c r="K167" i="9"/>
  <c r="H167" i="9"/>
  <c r="H167" i="9" a="1"/>
  <c r="D167" i="9"/>
  <c r="T166" i="9"/>
  <c r="Q166" i="9"/>
  <c r="M166" i="9"/>
  <c r="K166" i="9"/>
  <c r="H166" i="9"/>
  <c r="H166" i="9" a="1"/>
  <c r="D166" i="9"/>
  <c r="T165" i="9"/>
  <c r="Q165" i="9"/>
  <c r="M165" i="9"/>
  <c r="K165" i="9"/>
  <c r="H165" i="9"/>
  <c r="H165" i="9" a="1"/>
  <c r="D165" i="9"/>
  <c r="T164" i="9"/>
  <c r="Q164" i="9"/>
  <c r="M164" i="9"/>
  <c r="K164" i="9"/>
  <c r="H164" i="9"/>
  <c r="H164" i="9" a="1"/>
  <c r="D164" i="9"/>
  <c r="T163" i="9"/>
  <c r="Q163" i="9"/>
  <c r="M163" i="9"/>
  <c r="K163" i="9"/>
  <c r="H163" i="9"/>
  <c r="H163" i="9" a="1"/>
  <c r="D163" i="9"/>
  <c r="T162" i="9"/>
  <c r="Q162" i="9"/>
  <c r="M162" i="9"/>
  <c r="K162" i="9"/>
  <c r="H162" i="9"/>
  <c r="H162" i="9" a="1"/>
  <c r="D162" i="9"/>
  <c r="T161" i="9"/>
  <c r="Q161" i="9"/>
  <c r="M161" i="9"/>
  <c r="K161" i="9"/>
  <c r="H161" i="9"/>
  <c r="H161" i="9" a="1"/>
  <c r="D161" i="9"/>
  <c r="T160" i="9"/>
  <c r="Q160" i="9"/>
  <c r="M160" i="9"/>
  <c r="K160" i="9"/>
  <c r="H160" i="9"/>
  <c r="H160" i="9" a="1"/>
  <c r="D160" i="9"/>
  <c r="T159" i="9"/>
  <c r="Q159" i="9"/>
  <c r="M159" i="9"/>
  <c r="K159" i="9"/>
  <c r="H159" i="9"/>
  <c r="H159" i="9" a="1"/>
  <c r="D159" i="9"/>
  <c r="T158" i="9"/>
  <c r="Q158" i="9"/>
  <c r="M158" i="9"/>
  <c r="K158" i="9"/>
  <c r="H158" i="9"/>
  <c r="H158" i="9" a="1"/>
  <c r="D158" i="9"/>
  <c r="T157" i="9"/>
  <c r="Q157" i="9"/>
  <c r="M157" i="9"/>
  <c r="K157" i="9"/>
  <c r="H157" i="9"/>
  <c r="H157" i="9" a="1"/>
  <c r="D157" i="9"/>
  <c r="T156" i="9"/>
  <c r="Q156" i="9"/>
  <c r="M156" i="9"/>
  <c r="K156" i="9"/>
  <c r="H156" i="9"/>
  <c r="H156" i="9" a="1"/>
  <c r="D156" i="9"/>
  <c r="T155" i="9"/>
  <c r="Q155" i="9"/>
  <c r="M155" i="9"/>
  <c r="K155" i="9"/>
  <c r="H155" i="9"/>
  <c r="H155" i="9" a="1"/>
  <c r="D155" i="9"/>
  <c r="T154" i="9"/>
  <c r="Q154" i="9"/>
  <c r="M154" i="9"/>
  <c r="K154" i="9"/>
  <c r="H154" i="9"/>
  <c r="H154" i="9" a="1"/>
  <c r="D154" i="9"/>
  <c r="T153" i="9"/>
  <c r="Q153" i="9"/>
  <c r="M153" i="9"/>
  <c r="K153" i="9"/>
  <c r="H153" i="9"/>
  <c r="H153" i="9" a="1"/>
  <c r="D153" i="9"/>
  <c r="T152" i="9"/>
  <c r="Q152" i="9"/>
  <c r="M152" i="9"/>
  <c r="K152" i="9"/>
  <c r="H152" i="9"/>
  <c r="H152" i="9" a="1"/>
  <c r="D152" i="9"/>
  <c r="T151" i="9"/>
  <c r="Q151" i="9"/>
  <c r="M151" i="9"/>
  <c r="K151" i="9"/>
  <c r="H151" i="9"/>
  <c r="H151" i="9" a="1"/>
  <c r="D151" i="9"/>
  <c r="T150" i="9"/>
  <c r="Q150" i="9"/>
  <c r="M150" i="9"/>
  <c r="K150" i="9"/>
  <c r="H150" i="9"/>
  <c r="H150" i="9" a="1"/>
  <c r="D150" i="9"/>
  <c r="T149" i="9"/>
  <c r="Q149" i="9"/>
  <c r="M149" i="9"/>
  <c r="K149" i="9"/>
  <c r="H149" i="9"/>
  <c r="H149" i="9" a="1"/>
  <c r="D149" i="9"/>
  <c r="T148" i="9"/>
  <c r="Q148" i="9"/>
  <c r="M148" i="9"/>
  <c r="K148" i="9"/>
  <c r="H148" i="9"/>
  <c r="H148" i="9" a="1"/>
  <c r="D148" i="9"/>
  <c r="T147" i="9"/>
  <c r="Q147" i="9"/>
  <c r="M147" i="9"/>
  <c r="K147" i="9"/>
  <c r="H147" i="9"/>
  <c r="H147" i="9" a="1"/>
  <c r="D147" i="9"/>
  <c r="T146" i="9"/>
  <c r="Q146" i="9"/>
  <c r="M146" i="9"/>
  <c r="K146" i="9"/>
  <c r="H146" i="9"/>
  <c r="H146" i="9" a="1"/>
  <c r="D146" i="9"/>
  <c r="T145" i="9"/>
  <c r="Q145" i="9"/>
  <c r="M145" i="9"/>
  <c r="K145" i="9"/>
  <c r="H145" i="9"/>
  <c r="H145" i="9" a="1"/>
  <c r="D145" i="9"/>
  <c r="T144" i="9"/>
  <c r="Q144" i="9"/>
  <c r="M144" i="9"/>
  <c r="K144" i="9"/>
  <c r="H144" i="9"/>
  <c r="H144" i="9" a="1"/>
  <c r="D144" i="9"/>
  <c r="T143" i="9"/>
  <c r="Q143" i="9"/>
  <c r="M143" i="9"/>
  <c r="K143" i="9"/>
  <c r="H143" i="9"/>
  <c r="H143" i="9" a="1"/>
  <c r="D143" i="9"/>
  <c r="T142" i="9"/>
  <c r="Q142" i="9"/>
  <c r="M142" i="9"/>
  <c r="K142" i="9"/>
  <c r="H142" i="9"/>
  <c r="H142" i="9" a="1"/>
  <c r="D142" i="9"/>
  <c r="T141" i="9"/>
  <c r="Q141" i="9"/>
  <c r="M141" i="9"/>
  <c r="K141" i="9"/>
  <c r="H141" i="9"/>
  <c r="H141" i="9" a="1"/>
  <c r="D141" i="9"/>
  <c r="T140" i="9"/>
  <c r="Q140" i="9"/>
  <c r="M140" i="9"/>
  <c r="K140" i="9"/>
  <c r="H140" i="9"/>
  <c r="H140" i="9" a="1"/>
  <c r="D140" i="9"/>
  <c r="T139" i="9"/>
  <c r="Q139" i="9"/>
  <c r="M139" i="9"/>
  <c r="K139" i="9"/>
  <c r="H139" i="9"/>
  <c r="H139" i="9" a="1"/>
  <c r="D139" i="9"/>
  <c r="T138" i="9"/>
  <c r="Q138" i="9"/>
  <c r="M138" i="9"/>
  <c r="K138" i="9"/>
  <c r="H138" i="9"/>
  <c r="H138" i="9" a="1"/>
  <c r="D138" i="9"/>
  <c r="T137" i="9"/>
  <c r="Q137" i="9"/>
  <c r="M137" i="9"/>
  <c r="K137" i="9"/>
  <c r="H137" i="9"/>
  <c r="H137" i="9" a="1"/>
  <c r="D137" i="9"/>
  <c r="T136" i="9"/>
  <c r="Q136" i="9"/>
  <c r="M136" i="9"/>
  <c r="K136" i="9"/>
  <c r="H136" i="9"/>
  <c r="H136" i="9" a="1"/>
  <c r="D136" i="9"/>
  <c r="T135" i="9"/>
  <c r="Q135" i="9"/>
  <c r="M135" i="9"/>
  <c r="K135" i="9"/>
  <c r="H135" i="9"/>
  <c r="H135" i="9" a="1"/>
  <c r="D135" i="9"/>
  <c r="T134" i="9"/>
  <c r="Q134" i="9"/>
  <c r="M134" i="9"/>
  <c r="K134" i="9"/>
  <c r="H134" i="9"/>
  <c r="H134" i="9" a="1"/>
  <c r="D134" i="9"/>
  <c r="T133" i="9"/>
  <c r="Q133" i="9"/>
  <c r="M133" i="9"/>
  <c r="K133" i="9"/>
  <c r="H133" i="9"/>
  <c r="H133" i="9" a="1"/>
  <c r="D133" i="9"/>
  <c r="T132" i="9"/>
  <c r="Q132" i="9"/>
  <c r="M132" i="9"/>
  <c r="K132" i="9"/>
  <c r="H132" i="9"/>
  <c r="H132" i="9" a="1"/>
  <c r="D132" i="9"/>
  <c r="T131" i="9"/>
  <c r="Q131" i="9"/>
  <c r="M131" i="9"/>
  <c r="K131" i="9"/>
  <c r="H131" i="9"/>
  <c r="H131" i="9" a="1"/>
  <c r="D131" i="9"/>
  <c r="T130" i="9"/>
  <c r="Q130" i="9"/>
  <c r="M130" i="9"/>
  <c r="K130" i="9"/>
  <c r="H130" i="9"/>
  <c r="H130" i="9" a="1"/>
  <c r="D130" i="9"/>
  <c r="T129" i="9"/>
  <c r="Q129" i="9"/>
  <c r="M129" i="9"/>
  <c r="K129" i="9"/>
  <c r="H129" i="9"/>
  <c r="H129" i="9" a="1"/>
  <c r="D129" i="9"/>
  <c r="T128" i="9"/>
  <c r="Q128" i="9"/>
  <c r="M128" i="9"/>
  <c r="K128" i="9"/>
  <c r="H128" i="9"/>
  <c r="H128" i="9" a="1"/>
  <c r="D128" i="9"/>
  <c r="T127" i="9"/>
  <c r="Q127" i="9"/>
  <c r="M127" i="9"/>
  <c r="K127" i="9"/>
  <c r="H127" i="9"/>
  <c r="H127" i="9" a="1"/>
  <c r="D127" i="9"/>
  <c r="T126" i="9"/>
  <c r="Q126" i="9"/>
  <c r="M126" i="9"/>
  <c r="K126" i="9"/>
  <c r="H126" i="9"/>
  <c r="H126" i="9" a="1"/>
  <c r="D126" i="9"/>
  <c r="T125" i="9"/>
  <c r="Q125" i="9"/>
  <c r="M125" i="9"/>
  <c r="K125" i="9"/>
  <c r="H125" i="9"/>
  <c r="H125" i="9" a="1"/>
  <c r="D125" i="9"/>
  <c r="T124" i="9"/>
  <c r="Q124" i="9"/>
  <c r="M124" i="9"/>
  <c r="K124" i="9"/>
  <c r="H124" i="9"/>
  <c r="H124" i="9" a="1"/>
  <c r="D124" i="9"/>
  <c r="T123" i="9"/>
  <c r="Q123" i="9"/>
  <c r="M123" i="9"/>
  <c r="K123" i="9"/>
  <c r="H123" i="9"/>
  <c r="H123" i="9" a="1"/>
  <c r="D123" i="9"/>
  <c r="T122" i="9"/>
  <c r="Q122" i="9"/>
  <c r="M122" i="9"/>
  <c r="K122" i="9"/>
  <c r="H122" i="9"/>
  <c r="H122" i="9" a="1"/>
  <c r="D122" i="9"/>
  <c r="T121" i="9"/>
  <c r="Q121" i="9"/>
  <c r="M121" i="9"/>
  <c r="K121" i="9"/>
  <c r="H121" i="9"/>
  <c r="H121" i="9" a="1"/>
  <c r="D121" i="9"/>
  <c r="T120" i="9"/>
  <c r="Q120" i="9"/>
  <c r="M120" i="9"/>
  <c r="K120" i="9"/>
  <c r="H120" i="9"/>
  <c r="H120" i="9" a="1"/>
  <c r="D120" i="9"/>
  <c r="T119" i="9"/>
  <c r="Q119" i="9"/>
  <c r="M119" i="9"/>
  <c r="K119" i="9"/>
  <c r="H119" i="9"/>
  <c r="H119" i="9" a="1"/>
  <c r="D119" i="9"/>
  <c r="T118" i="9"/>
  <c r="Q118" i="9"/>
  <c r="M118" i="9"/>
  <c r="K118" i="9"/>
  <c r="H118" i="9"/>
  <c r="H118" i="9" a="1"/>
  <c r="D118" i="9"/>
  <c r="T117" i="9"/>
  <c r="Q117" i="9"/>
  <c r="M117" i="9"/>
  <c r="K117" i="9"/>
  <c r="H117" i="9"/>
  <c r="H117" i="9" a="1"/>
  <c r="D117" i="9"/>
  <c r="T116" i="9"/>
  <c r="Q116" i="9"/>
  <c r="M116" i="9"/>
  <c r="K116" i="9"/>
  <c r="H116" i="9"/>
  <c r="H116" i="9" a="1"/>
  <c r="D116" i="9"/>
  <c r="T115" i="9"/>
  <c r="Q115" i="9"/>
  <c r="M115" i="9"/>
  <c r="K115" i="9"/>
  <c r="H115" i="9"/>
  <c r="H115" i="9" a="1"/>
  <c r="D115" i="9"/>
  <c r="T114" i="9"/>
  <c r="Q114" i="9"/>
  <c r="M114" i="9"/>
  <c r="K114" i="9"/>
  <c r="H114" i="9"/>
  <c r="H114" i="9" a="1"/>
  <c r="D114" i="9"/>
  <c r="T113" i="9"/>
  <c r="Q113" i="9"/>
  <c r="M113" i="9"/>
  <c r="K113" i="9"/>
  <c r="H113" i="9"/>
  <c r="H113" i="9" a="1"/>
  <c r="D113" i="9"/>
  <c r="T112" i="9"/>
  <c r="Q112" i="9"/>
  <c r="M112" i="9"/>
  <c r="K112" i="9"/>
  <c r="H112" i="9"/>
  <c r="H112" i="9" a="1"/>
  <c r="D112" i="9"/>
  <c r="T111" i="9"/>
  <c r="Q111" i="9"/>
  <c r="M111" i="9"/>
  <c r="K111" i="9"/>
  <c r="H111" i="9"/>
  <c r="H111" i="9" a="1"/>
  <c r="D111" i="9"/>
  <c r="T110" i="9"/>
  <c r="Q110" i="9"/>
  <c r="M110" i="9"/>
  <c r="K110" i="9"/>
  <c r="H110" i="9"/>
  <c r="H110" i="9" a="1"/>
  <c r="D110" i="9"/>
  <c r="T109" i="9"/>
  <c r="Q109" i="9"/>
  <c r="M109" i="9"/>
  <c r="K109" i="9"/>
  <c r="H109" i="9"/>
  <c r="H109" i="9" a="1"/>
  <c r="D109" i="9"/>
  <c r="T108" i="9"/>
  <c r="Q108" i="9"/>
  <c r="M108" i="9"/>
  <c r="K108" i="9"/>
  <c r="H108" i="9"/>
  <c r="H108" i="9" a="1"/>
  <c r="D108" i="9"/>
  <c r="T107" i="9"/>
  <c r="Q107" i="9"/>
  <c r="M107" i="9"/>
  <c r="K107" i="9"/>
  <c r="H107" i="9"/>
  <c r="H107" i="9" a="1"/>
  <c r="D107" i="9"/>
  <c r="T106" i="9"/>
  <c r="Q106" i="9"/>
  <c r="M106" i="9"/>
  <c r="K106" i="9"/>
  <c r="H106" i="9"/>
  <c r="H106" i="9" a="1"/>
  <c r="D106" i="9"/>
  <c r="T105" i="9"/>
  <c r="Q105" i="9"/>
  <c r="M105" i="9"/>
  <c r="K105" i="9"/>
  <c r="H105" i="9"/>
  <c r="H105" i="9" a="1"/>
  <c r="D105" i="9"/>
  <c r="T104" i="9"/>
  <c r="Q104" i="9"/>
  <c r="M104" i="9"/>
  <c r="K104" i="9"/>
  <c r="H104" i="9"/>
  <c r="H104" i="9" a="1"/>
  <c r="D104" i="9"/>
  <c r="T103" i="9"/>
  <c r="Q103" i="9"/>
  <c r="M103" i="9"/>
  <c r="K103" i="9"/>
  <c r="H103" i="9"/>
  <c r="H103" i="9" a="1"/>
  <c r="D103" i="9"/>
  <c r="T102" i="9"/>
  <c r="Q102" i="9"/>
  <c r="M102" i="9"/>
  <c r="K102" i="9"/>
  <c r="H102" i="9"/>
  <c r="H102" i="9" a="1"/>
  <c r="D102" i="9"/>
  <c r="T101" i="9"/>
  <c r="Q101" i="9"/>
  <c r="M101" i="9"/>
  <c r="K101" i="9"/>
  <c r="H101" i="9"/>
  <c r="H101" i="9" a="1"/>
  <c r="D101" i="9"/>
  <c r="T100" i="9"/>
  <c r="Q100" i="9"/>
  <c r="M100" i="9"/>
  <c r="K100" i="9"/>
  <c r="H100" i="9"/>
  <c r="H100" i="9" a="1"/>
  <c r="D100" i="9"/>
  <c r="T99" i="9"/>
  <c r="Q99" i="9"/>
  <c r="M99" i="9"/>
  <c r="K99" i="9"/>
  <c r="H99" i="9"/>
  <c r="H99" i="9" a="1"/>
  <c r="D99" i="9"/>
  <c r="T98" i="9"/>
  <c r="Q98" i="9"/>
  <c r="M98" i="9"/>
  <c r="K98" i="9"/>
  <c r="H98" i="9"/>
  <c r="H98" i="9" a="1"/>
  <c r="D98" i="9"/>
  <c r="T97" i="9"/>
  <c r="Q97" i="9"/>
  <c r="M97" i="9"/>
  <c r="K97" i="9"/>
  <c r="H97" i="9"/>
  <c r="H97" i="9" a="1"/>
  <c r="D97" i="9"/>
  <c r="T96" i="9"/>
  <c r="Q96" i="9"/>
  <c r="M96" i="9"/>
  <c r="K96" i="9"/>
  <c r="H96" i="9"/>
  <c r="H96" i="9" a="1"/>
  <c r="D96" i="9"/>
  <c r="T95" i="9"/>
  <c r="Q95" i="9"/>
  <c r="M95" i="9"/>
  <c r="K95" i="9"/>
  <c r="H95" i="9"/>
  <c r="H95" i="9" a="1"/>
  <c r="D95" i="9"/>
  <c r="T94" i="9"/>
  <c r="Q94" i="9"/>
  <c r="M94" i="9"/>
  <c r="K94" i="9"/>
  <c r="H94" i="9"/>
  <c r="H94" i="9" a="1"/>
  <c r="D94" i="9"/>
  <c r="T93" i="9"/>
  <c r="Q93" i="9"/>
  <c r="M93" i="9"/>
  <c r="K93" i="9"/>
  <c r="H93" i="9"/>
  <c r="H93" i="9" a="1"/>
  <c r="D93" i="9"/>
  <c r="T92" i="9"/>
  <c r="Q92" i="9"/>
  <c r="M92" i="9"/>
  <c r="K92" i="9"/>
  <c r="H92" i="9"/>
  <c r="H92" i="9" a="1"/>
  <c r="D92" i="9"/>
  <c r="T91" i="9"/>
  <c r="Q91" i="9"/>
  <c r="M91" i="9"/>
  <c r="K91" i="9"/>
  <c r="H91" i="9"/>
  <c r="H91" i="9" a="1"/>
  <c r="D91" i="9"/>
  <c r="T90" i="9"/>
  <c r="Q90" i="9"/>
  <c r="M90" i="9"/>
  <c r="K90" i="9"/>
  <c r="H90" i="9"/>
  <c r="H90" i="9" a="1"/>
  <c r="D90" i="9"/>
  <c r="T89" i="9"/>
  <c r="Q89" i="9"/>
  <c r="M89" i="9"/>
  <c r="K89" i="9"/>
  <c r="H89" i="9"/>
  <c r="H89" i="9" a="1"/>
  <c r="D89" i="9"/>
  <c r="T88" i="9"/>
  <c r="Q88" i="9"/>
  <c r="M88" i="9"/>
  <c r="K88" i="9"/>
  <c r="H88" i="9"/>
  <c r="H88" i="9" a="1"/>
  <c r="D88" i="9"/>
  <c r="T87" i="9"/>
  <c r="Q87" i="9"/>
  <c r="M87" i="9"/>
  <c r="K87" i="9"/>
  <c r="H87" i="9"/>
  <c r="H87" i="9" a="1"/>
  <c r="D87" i="9"/>
  <c r="T86" i="9"/>
  <c r="Q86" i="9"/>
  <c r="M86" i="9"/>
  <c r="K86" i="9"/>
  <c r="H86" i="9"/>
  <c r="H86" i="9" a="1"/>
  <c r="D86" i="9"/>
  <c r="T85" i="9"/>
  <c r="Q85" i="9"/>
  <c r="M85" i="9"/>
  <c r="K85" i="9"/>
  <c r="H85" i="9"/>
  <c r="H85" i="9" a="1"/>
  <c r="D85" i="9"/>
  <c r="T84" i="9"/>
  <c r="Q84" i="9"/>
  <c r="M84" i="9"/>
  <c r="K84" i="9"/>
  <c r="H84" i="9"/>
  <c r="H84" i="9" a="1"/>
  <c r="D84" i="9"/>
  <c r="T83" i="9"/>
  <c r="Q83" i="9"/>
  <c r="M83" i="9"/>
  <c r="K83" i="9"/>
  <c r="H83" i="9"/>
  <c r="H83" i="9" a="1"/>
  <c r="D83" i="9"/>
  <c r="T82" i="9"/>
  <c r="Q82" i="9"/>
  <c r="M82" i="9"/>
  <c r="K82" i="9"/>
  <c r="H82" i="9"/>
  <c r="H82" i="9" a="1"/>
  <c r="D82" i="9"/>
  <c r="T81" i="9"/>
  <c r="Q81" i="9"/>
  <c r="M81" i="9"/>
  <c r="K81" i="9"/>
  <c r="H81" i="9"/>
  <c r="H81" i="9" a="1"/>
  <c r="D81" i="9"/>
  <c r="T80" i="9"/>
  <c r="Q80" i="9"/>
  <c r="M80" i="9"/>
  <c r="K80" i="9"/>
  <c r="H80" i="9"/>
  <c r="H80" i="9" a="1"/>
  <c r="D80" i="9"/>
  <c r="T79" i="9"/>
  <c r="Q79" i="9"/>
  <c r="M79" i="9"/>
  <c r="K79" i="9"/>
  <c r="H79" i="9"/>
  <c r="H79" i="9" a="1"/>
  <c r="D79" i="9"/>
  <c r="T78" i="9"/>
  <c r="Q78" i="9"/>
  <c r="M78" i="9"/>
  <c r="K78" i="9"/>
  <c r="H78" i="9"/>
  <c r="H78" i="9" a="1"/>
  <c r="D78" i="9"/>
  <c r="T77" i="9"/>
  <c r="Q77" i="9"/>
  <c r="M77" i="9"/>
  <c r="K77" i="9"/>
  <c r="H77" i="9"/>
  <c r="H77" i="9" a="1"/>
  <c r="D77" i="9"/>
  <c r="T76" i="9"/>
  <c r="Q76" i="9"/>
  <c r="M76" i="9"/>
  <c r="K76" i="9"/>
  <c r="H76" i="9"/>
  <c r="H76" i="9" a="1"/>
  <c r="D76" i="9"/>
  <c r="T75" i="9"/>
  <c r="Q75" i="9"/>
  <c r="M75" i="9"/>
  <c r="K75" i="9"/>
  <c r="H75" i="9"/>
  <c r="H75" i="9" a="1"/>
  <c r="D75" i="9"/>
  <c r="T74" i="9"/>
  <c r="Q74" i="9"/>
  <c r="M74" i="9"/>
  <c r="K74" i="9"/>
  <c r="H74" i="9"/>
  <c r="H74" i="9" a="1"/>
  <c r="D74" i="9"/>
  <c r="T73" i="9"/>
  <c r="Q73" i="9"/>
  <c r="M73" i="9"/>
  <c r="K73" i="9"/>
  <c r="H73" i="9"/>
  <c r="H73" i="9" a="1"/>
  <c r="D73" i="9"/>
  <c r="T72" i="9"/>
  <c r="Q72" i="9"/>
  <c r="M72" i="9"/>
  <c r="K72" i="9"/>
  <c r="H72" i="9"/>
  <c r="H72" i="9" a="1"/>
  <c r="D72" i="9"/>
  <c r="T71" i="9"/>
  <c r="Q71" i="9"/>
  <c r="M71" i="9"/>
  <c r="K71" i="9"/>
  <c r="H71" i="9"/>
  <c r="H71" i="9" a="1"/>
  <c r="D71" i="9"/>
  <c r="T70" i="9"/>
  <c r="Q70" i="9"/>
  <c r="M70" i="9"/>
  <c r="K70" i="9"/>
  <c r="H70" i="9"/>
  <c r="H70" i="9" a="1"/>
  <c r="D70" i="9"/>
  <c r="T69" i="9"/>
  <c r="Q69" i="9"/>
  <c r="M69" i="9"/>
  <c r="K69" i="9"/>
  <c r="H69" i="9"/>
  <c r="H69" i="9" a="1"/>
  <c r="D69" i="9"/>
  <c r="T68" i="9"/>
  <c r="Q68" i="9"/>
  <c r="M68" i="9"/>
  <c r="K68" i="9"/>
  <c r="H68" i="9"/>
  <c r="H68" i="9" a="1"/>
  <c r="D68" i="9"/>
  <c r="T67" i="9"/>
  <c r="Q67" i="9"/>
  <c r="M67" i="9"/>
  <c r="K67" i="9"/>
  <c r="H67" i="9"/>
  <c r="H67" i="9" a="1"/>
  <c r="D67" i="9"/>
  <c r="T66" i="9"/>
  <c r="Q66" i="9"/>
  <c r="M66" i="9"/>
  <c r="K66" i="9"/>
  <c r="H66" i="9"/>
  <c r="H66" i="9" a="1"/>
  <c r="D66" i="9"/>
  <c r="T65" i="9"/>
  <c r="Q65" i="9"/>
  <c r="M65" i="9"/>
  <c r="K65" i="9"/>
  <c r="H65" i="9"/>
  <c r="H65" i="9" a="1"/>
  <c r="D65" i="9"/>
  <c r="T64" i="9"/>
  <c r="Q64" i="9"/>
  <c r="M64" i="9"/>
  <c r="K64" i="9"/>
  <c r="H64" i="9"/>
  <c r="H64" i="9" a="1"/>
  <c r="D64" i="9"/>
  <c r="T63" i="9"/>
  <c r="Q63" i="9"/>
  <c r="M63" i="9"/>
  <c r="K63" i="9"/>
  <c r="H63" i="9"/>
  <c r="H63" i="9" a="1"/>
  <c r="D63" i="9"/>
  <c r="T62" i="9"/>
  <c r="Q62" i="9"/>
  <c r="M62" i="9"/>
  <c r="K62" i="9"/>
  <c r="H62" i="9"/>
  <c r="H62" i="9" a="1"/>
  <c r="D62" i="9"/>
  <c r="T61" i="9"/>
  <c r="Q61" i="9"/>
  <c r="M61" i="9"/>
  <c r="K61" i="9"/>
  <c r="H61" i="9"/>
  <c r="H61" i="9" a="1"/>
  <c r="D61" i="9"/>
  <c r="T60" i="9"/>
  <c r="Q60" i="9"/>
  <c r="M60" i="9"/>
  <c r="K60" i="9"/>
  <c r="H60" i="9"/>
  <c r="H60" i="9" a="1"/>
  <c r="D60" i="9"/>
  <c r="T59" i="9"/>
  <c r="Q59" i="9"/>
  <c r="M59" i="9"/>
  <c r="K59" i="9"/>
  <c r="H59" i="9"/>
  <c r="H59" i="9" a="1"/>
  <c r="D59" i="9"/>
  <c r="T58" i="9"/>
  <c r="Q58" i="9"/>
  <c r="M58" i="9"/>
  <c r="K58" i="9"/>
  <c r="H58" i="9"/>
  <c r="H58" i="9" a="1"/>
  <c r="D58" i="9"/>
  <c r="T57" i="9"/>
  <c r="Q57" i="9"/>
  <c r="M57" i="9"/>
  <c r="K57" i="9"/>
  <c r="H57" i="9"/>
  <c r="H57" i="9" a="1"/>
  <c r="D57" i="9"/>
  <c r="T56" i="9"/>
  <c r="Q56" i="9"/>
  <c r="M56" i="9"/>
  <c r="K56" i="9"/>
  <c r="H56" i="9"/>
  <c r="H56" i="9" a="1"/>
  <c r="D56" i="9"/>
  <c r="T55" i="9"/>
  <c r="Q55" i="9"/>
  <c r="M55" i="9"/>
  <c r="K55" i="9"/>
  <c r="H55" i="9"/>
  <c r="H55" i="9" a="1"/>
  <c r="D55" i="9"/>
  <c r="T54" i="9"/>
  <c r="Q54" i="9"/>
  <c r="M54" i="9"/>
  <c r="K54" i="9"/>
  <c r="H54" i="9"/>
  <c r="H54" i="9" a="1"/>
  <c r="D54" i="9"/>
  <c r="T53" i="9"/>
  <c r="Q53" i="9"/>
  <c r="M53" i="9"/>
  <c r="K53" i="9"/>
  <c r="H53" i="9"/>
  <c r="H53" i="9" a="1"/>
  <c r="D53" i="9"/>
  <c r="T52" i="9"/>
  <c r="Q52" i="9"/>
  <c r="M52" i="9"/>
  <c r="K52" i="9"/>
  <c r="H52" i="9"/>
  <c r="H52" i="9" a="1"/>
  <c r="D52" i="9"/>
  <c r="T51" i="9"/>
  <c r="Q51" i="9"/>
  <c r="M51" i="9"/>
  <c r="K51" i="9"/>
  <c r="H51" i="9"/>
  <c r="H51" i="9" a="1"/>
  <c r="D51" i="9"/>
  <c r="T50" i="9"/>
  <c r="Q50" i="9"/>
  <c r="M50" i="9"/>
  <c r="K50" i="9"/>
  <c r="H50" i="9"/>
  <c r="H50" i="9" a="1"/>
  <c r="D50" i="9"/>
  <c r="T49" i="9"/>
  <c r="Q49" i="9"/>
  <c r="M49" i="9"/>
  <c r="K49" i="9"/>
  <c r="H49" i="9"/>
  <c r="H49" i="9" a="1"/>
  <c r="D49" i="9"/>
  <c r="T48" i="9"/>
  <c r="Q48" i="9"/>
  <c r="M48" i="9"/>
  <c r="K48" i="9"/>
  <c r="H48" i="9"/>
  <c r="H48" i="9" a="1"/>
  <c r="D48" i="9"/>
  <c r="T47" i="9"/>
  <c r="Q47" i="9"/>
  <c r="M47" i="9"/>
  <c r="K47" i="9"/>
  <c r="H47" i="9"/>
  <c r="H47" i="9" a="1"/>
  <c r="D47" i="9"/>
  <c r="T46" i="9"/>
  <c r="Q46" i="9"/>
  <c r="M46" i="9"/>
  <c r="K46" i="9"/>
  <c r="H46" i="9"/>
  <c r="H46" i="9" a="1"/>
  <c r="D46" i="9"/>
  <c r="T45" i="9"/>
  <c r="Q45" i="9"/>
  <c r="M45" i="9"/>
  <c r="K45" i="9"/>
  <c r="H45" i="9"/>
  <c r="H45" i="9" a="1"/>
  <c r="D45" i="9"/>
  <c r="T44" i="9"/>
  <c r="Q44" i="9"/>
  <c r="M44" i="9"/>
  <c r="K44" i="9"/>
  <c r="H44" i="9"/>
  <c r="H44" i="9" a="1"/>
  <c r="D44" i="9"/>
  <c r="T43" i="9"/>
  <c r="Q43" i="9"/>
  <c r="M43" i="9"/>
  <c r="K43" i="9"/>
  <c r="H43" i="9"/>
  <c r="H43" i="9" a="1"/>
  <c r="D43" i="9"/>
  <c r="T42" i="9"/>
  <c r="Q42" i="9"/>
  <c r="M42" i="9"/>
  <c r="K42" i="9"/>
  <c r="H42" i="9"/>
  <c r="H42" i="9" a="1"/>
  <c r="D42" i="9"/>
  <c r="T41" i="9"/>
  <c r="Q41" i="9"/>
  <c r="M41" i="9"/>
  <c r="K41" i="9"/>
  <c r="H41" i="9"/>
  <c r="H41" i="9" a="1"/>
  <c r="D41" i="9"/>
  <c r="T40" i="9"/>
  <c r="Q40" i="9"/>
  <c r="M40" i="9"/>
  <c r="K40" i="9"/>
  <c r="H40" i="9"/>
  <c r="H40" i="9" a="1"/>
  <c r="D40" i="9"/>
  <c r="T39" i="9"/>
  <c r="Q39" i="9"/>
  <c r="M39" i="9"/>
  <c r="K39" i="9"/>
  <c r="H39" i="9"/>
  <c r="H39" i="9" a="1"/>
  <c r="D39" i="9"/>
  <c r="T38" i="9"/>
  <c r="Q38" i="9"/>
  <c r="M38" i="9"/>
  <c r="K38" i="9"/>
  <c r="H38" i="9"/>
  <c r="H38" i="9" a="1"/>
  <c r="D38" i="9"/>
  <c r="T37" i="9"/>
  <c r="Q37" i="9"/>
  <c r="M37" i="9"/>
  <c r="K37" i="9"/>
  <c r="H37" i="9"/>
  <c r="H37" i="9" a="1"/>
  <c r="D37" i="9"/>
  <c r="T36" i="9"/>
  <c r="Q36" i="9"/>
  <c r="M36" i="9"/>
  <c r="K36" i="9"/>
  <c r="H36" i="9"/>
  <c r="H36" i="9" a="1"/>
  <c r="D36" i="9"/>
  <c r="T35" i="9"/>
  <c r="Q35" i="9"/>
  <c r="M35" i="9"/>
  <c r="K35" i="9"/>
  <c r="H35" i="9"/>
  <c r="H35" i="9" a="1"/>
  <c r="D35" i="9"/>
  <c r="T34" i="9"/>
  <c r="Q34" i="9"/>
  <c r="M34" i="9"/>
  <c r="K34" i="9"/>
  <c r="H34" i="9"/>
  <c r="H34" i="9" a="1"/>
  <c r="D34" i="9"/>
  <c r="T33" i="9"/>
  <c r="Q33" i="9"/>
  <c r="M33" i="9"/>
  <c r="K33" i="9"/>
  <c r="H33" i="9"/>
  <c r="H33" i="9" a="1"/>
  <c r="D33" i="9"/>
  <c r="T32" i="9"/>
  <c r="Q32" i="9"/>
  <c r="M32" i="9"/>
  <c r="K32" i="9"/>
  <c r="H32" i="9"/>
  <c r="H32" i="9" a="1"/>
  <c r="D32" i="9"/>
  <c r="T31" i="9"/>
  <c r="Q31" i="9"/>
  <c r="M31" i="9"/>
  <c r="K31" i="9"/>
  <c r="H31" i="9"/>
  <c r="H31" i="9" a="1"/>
  <c r="D31" i="9"/>
  <c r="T30" i="9"/>
  <c r="Q30" i="9"/>
  <c r="M30" i="9"/>
  <c r="K30" i="9"/>
  <c r="H30" i="9"/>
  <c r="H30" i="9" a="1"/>
  <c r="D30" i="9"/>
  <c r="T29" i="9"/>
  <c r="Q29" i="9"/>
  <c r="M29" i="9"/>
  <c r="K29" i="9"/>
  <c r="H29" i="9"/>
  <c r="H29" i="9" a="1"/>
  <c r="D29" i="9"/>
  <c r="T28" i="9"/>
  <c r="Q28" i="9"/>
  <c r="M28" i="9"/>
  <c r="K28" i="9"/>
  <c r="H28" i="9"/>
  <c r="H28" i="9" a="1"/>
  <c r="D28" i="9"/>
  <c r="T27" i="9"/>
  <c r="Q27" i="9"/>
  <c r="M27" i="9"/>
  <c r="K27" i="9"/>
  <c r="H27" i="9"/>
  <c r="H27" i="9" a="1"/>
  <c r="D27" i="9"/>
  <c r="T26" i="9"/>
  <c r="Q26" i="9"/>
  <c r="M26" i="9"/>
  <c r="K26" i="9"/>
  <c r="H26" i="9"/>
  <c r="H26" i="9" a="1"/>
  <c r="D26" i="9"/>
  <c r="T25" i="9"/>
  <c r="Q25" i="9"/>
  <c r="M25" i="9"/>
  <c r="K25" i="9"/>
  <c r="H25" i="9"/>
  <c r="H25" i="9" a="1"/>
  <c r="D25" i="9"/>
  <c r="T24" i="9"/>
  <c r="Q24" i="9"/>
  <c r="M24" i="9"/>
  <c r="K24" i="9"/>
  <c r="H24" i="9"/>
  <c r="H24" i="9" a="1"/>
  <c r="D24" i="9"/>
  <c r="T23" i="9"/>
  <c r="Q23" i="9"/>
  <c r="M23" i="9"/>
  <c r="K23" i="9"/>
  <c r="H23" i="9"/>
  <c r="H23" i="9" a="1"/>
  <c r="D23" i="9"/>
  <c r="T22" i="9"/>
  <c r="Q22" i="9"/>
  <c r="M22" i="9"/>
  <c r="K22" i="9"/>
  <c r="H22" i="9"/>
  <c r="H22" i="9" a="1"/>
  <c r="D22" i="9"/>
  <c r="T21" i="9"/>
  <c r="Q21" i="9"/>
  <c r="M21" i="9"/>
  <c r="K21" i="9"/>
  <c r="H21" i="9"/>
  <c r="H21" i="9" a="1"/>
  <c r="D21" i="9"/>
  <c r="T20" i="9"/>
  <c r="Q20" i="9"/>
  <c r="M20" i="9"/>
  <c r="K20" i="9"/>
  <c r="H20" i="9"/>
  <c r="H20" i="9" a="1"/>
  <c r="D20" i="9"/>
  <c r="T19" i="9"/>
  <c r="Q19" i="9"/>
  <c r="M19" i="9"/>
  <c r="K19" i="9"/>
  <c r="H19" i="9"/>
  <c r="H19" i="9" a="1"/>
  <c r="D19" i="9"/>
  <c r="T18" i="9"/>
  <c r="Q18" i="9"/>
  <c r="M18" i="9"/>
  <c r="K18" i="9"/>
  <c r="H18" i="9"/>
  <c r="H18" i="9" a="1"/>
  <c r="D18" i="9"/>
  <c r="T17" i="9"/>
  <c r="Q17" i="9"/>
  <c r="M17" i="9"/>
  <c r="K17" i="9"/>
  <c r="H17" i="9"/>
  <c r="H17" i="9" a="1"/>
  <c r="D17" i="9"/>
  <c r="T16" i="9"/>
  <c r="Q16" i="9"/>
  <c r="M16" i="9"/>
  <c r="K16" i="9"/>
  <c r="H16" i="9"/>
  <c r="H16" i="9" a="1"/>
  <c r="D16" i="9"/>
  <c r="T15" i="9"/>
  <c r="Q15" i="9"/>
  <c r="M15" i="9"/>
  <c r="K15" i="9"/>
  <c r="H15" i="9"/>
  <c r="H15" i="9" a="1"/>
  <c r="D15" i="9"/>
  <c r="T14" i="9"/>
  <c r="Q14" i="9"/>
  <c r="M14" i="9"/>
  <c r="K14" i="9"/>
  <c r="H14" i="9"/>
  <c r="H14" i="9" a="1"/>
  <c r="D14" i="9"/>
  <c r="T13" i="9"/>
  <c r="Q13" i="9"/>
  <c r="M13" i="9"/>
  <c r="K13" i="9"/>
  <c r="H13" i="9"/>
  <c r="H13" i="9" a="1"/>
  <c r="D13" i="9"/>
  <c r="T12" i="9"/>
  <c r="Q12" i="9"/>
  <c r="M12" i="9"/>
  <c r="K12" i="9"/>
  <c r="H12" i="9"/>
  <c r="H12" i="9" a="1"/>
  <c r="D12" i="9"/>
  <c r="T11" i="9"/>
  <c r="Q11" i="9"/>
  <c r="M11" i="9"/>
  <c r="K11" i="9"/>
  <c r="H11" i="9"/>
  <c r="H11" i="9" a="1"/>
  <c r="D11" i="9"/>
  <c r="T10" i="9"/>
  <c r="Q10" i="9"/>
  <c r="M10" i="9"/>
  <c r="K10" i="9"/>
  <c r="H10" i="9"/>
  <c r="H10" i="9" a="1"/>
  <c r="D10" i="9"/>
  <c r="T9" i="9"/>
  <c r="Q9" i="9"/>
  <c r="M9" i="9"/>
  <c r="K9" i="9"/>
  <c r="H9" i="9"/>
  <c r="H9" i="9" a="1"/>
  <c r="D9" i="9"/>
  <c r="T8" i="9"/>
  <c r="Q8" i="9"/>
  <c r="M8" i="9"/>
  <c r="K8" i="9"/>
  <c r="H8" i="9"/>
  <c r="H8" i="9" a="1"/>
  <c r="D8" i="9"/>
  <c r="T7" i="9"/>
  <c r="Q7" i="9"/>
  <c r="M7" i="9"/>
  <c r="K7" i="9"/>
  <c r="H7" i="9"/>
  <c r="H7" i="9" a="1"/>
  <c r="D7" i="9"/>
  <c r="T6" i="9"/>
  <c r="Q6" i="9"/>
  <c r="M6" i="9"/>
  <c r="K6" i="9"/>
  <c r="H6" i="9"/>
  <c r="H6" i="9" a="1"/>
  <c r="D6" i="9"/>
  <c r="T5" i="9"/>
  <c r="Q5" i="9"/>
  <c r="M5" i="9"/>
  <c r="K5" i="9"/>
  <c r="H5" i="9"/>
  <c r="H5" i="9" a="1"/>
  <c r="D5" i="9"/>
  <c r="T4" i="9"/>
  <c r="Q4" i="9"/>
  <c r="M4" i="9"/>
  <c r="K4" i="9"/>
  <c r="H4" i="9"/>
  <c r="H4" i="9" a="1"/>
  <c r="D4" i="9"/>
  <c r="T3" i="9"/>
  <c r="Q3" i="9"/>
  <c r="M3" i="9"/>
  <c r="K3" i="9"/>
  <c r="H3" i="9"/>
  <c r="H3" i="9" a="1"/>
  <c r="D3" i="9"/>
  <c r="T2" i="9"/>
  <c r="Q2" i="9"/>
  <c r="M2" i="9"/>
  <c r="K2" i="9"/>
  <c r="H2" i="9"/>
  <c r="H2" i="9" a="1"/>
  <c r="D2" i="9"/>
  <c r="O2241" i="3"/>
  <c r="N2241" i="3"/>
  <c r="M2241" i="3"/>
  <c r="L2241" i="3"/>
  <c r="I2241" i="3"/>
  <c r="O2240" i="3"/>
  <c r="N2240" i="3"/>
  <c r="M2240" i="3"/>
  <c r="L2240" i="3"/>
  <c r="I2240" i="3"/>
  <c r="O2239" i="3"/>
  <c r="N2239" i="3"/>
  <c r="M2239" i="3"/>
  <c r="L2239" i="3"/>
  <c r="I2239" i="3"/>
  <c r="O2238" i="3"/>
  <c r="N2238" i="3"/>
  <c r="M2238" i="3"/>
  <c r="L2238" i="3"/>
  <c r="I2238" i="3"/>
  <c r="O2237" i="3"/>
  <c r="N2237" i="3"/>
  <c r="M2237" i="3"/>
  <c r="L2237" i="3"/>
  <c r="I2237" i="3"/>
  <c r="O2236" i="3"/>
  <c r="N2236" i="3"/>
  <c r="M2236" i="3"/>
  <c r="L2236" i="3"/>
  <c r="I2236" i="3"/>
  <c r="O2235" i="3"/>
  <c r="N2235" i="3"/>
  <c r="M2235" i="3"/>
  <c r="L2235" i="3"/>
  <c r="I2235" i="3"/>
  <c r="O2234" i="3"/>
  <c r="N2234" i="3"/>
  <c r="M2234" i="3"/>
  <c r="L2234" i="3"/>
  <c r="I2234" i="3"/>
  <c r="O2233" i="3"/>
  <c r="N2233" i="3"/>
  <c r="M2233" i="3"/>
  <c r="L2233" i="3"/>
  <c r="I2233" i="3"/>
  <c r="O2232" i="3"/>
  <c r="N2232" i="3"/>
  <c r="M2232" i="3"/>
  <c r="L2232" i="3"/>
  <c r="I2232" i="3"/>
  <c r="O2231" i="3"/>
  <c r="N2231" i="3"/>
  <c r="M2231" i="3"/>
  <c r="L2231" i="3"/>
  <c r="I2231" i="3"/>
  <c r="O2230" i="3"/>
  <c r="N2230" i="3"/>
  <c r="M2230" i="3"/>
  <c r="L2230" i="3"/>
  <c r="I2230" i="3"/>
  <c r="O2229" i="3"/>
  <c r="N2229" i="3"/>
  <c r="M2229" i="3"/>
  <c r="L2229" i="3"/>
  <c r="I2229" i="3"/>
  <c r="O2228" i="3"/>
  <c r="N2228" i="3"/>
  <c r="M2228" i="3"/>
  <c r="L2228" i="3"/>
  <c r="I2228" i="3"/>
  <c r="O2227" i="3"/>
  <c r="N2227" i="3"/>
  <c r="M2227" i="3"/>
  <c r="L2227" i="3"/>
  <c r="I2227" i="3"/>
  <c r="O2226" i="3"/>
  <c r="N2226" i="3"/>
  <c r="M2226" i="3"/>
  <c r="L2226" i="3"/>
  <c r="I2226" i="3"/>
  <c r="O2225" i="3"/>
  <c r="N2225" i="3"/>
  <c r="M2225" i="3"/>
  <c r="L2225" i="3"/>
  <c r="I2225" i="3"/>
  <c r="O2224" i="3"/>
  <c r="N2224" i="3"/>
  <c r="M2224" i="3"/>
  <c r="L2224" i="3"/>
  <c r="I2224" i="3"/>
  <c r="O2223" i="3"/>
  <c r="N2223" i="3"/>
  <c r="M2223" i="3"/>
  <c r="L2223" i="3"/>
  <c r="I2223" i="3"/>
  <c r="O2222" i="3"/>
  <c r="N2222" i="3"/>
  <c r="M2222" i="3"/>
  <c r="L2222" i="3"/>
  <c r="I2222" i="3"/>
  <c r="O2221" i="3"/>
  <c r="N2221" i="3"/>
  <c r="M2221" i="3"/>
  <c r="L2221" i="3"/>
  <c r="I2221" i="3"/>
  <c r="O2220" i="3"/>
  <c r="N2220" i="3"/>
  <c r="M2220" i="3"/>
  <c r="L2220" i="3"/>
  <c r="I2220" i="3"/>
  <c r="O2219" i="3"/>
  <c r="N2219" i="3"/>
  <c r="M2219" i="3"/>
  <c r="L2219" i="3"/>
  <c r="I2219" i="3"/>
  <c r="O2218" i="3"/>
  <c r="N2218" i="3"/>
  <c r="M2218" i="3"/>
  <c r="L2218" i="3"/>
  <c r="I2218" i="3"/>
  <c r="O2217" i="3"/>
  <c r="N2217" i="3"/>
  <c r="M2217" i="3"/>
  <c r="L2217" i="3"/>
  <c r="I2217" i="3"/>
  <c r="O2216" i="3"/>
  <c r="N2216" i="3"/>
  <c r="M2216" i="3"/>
  <c r="L2216" i="3"/>
  <c r="I2216" i="3"/>
  <c r="O2215" i="3"/>
  <c r="N2215" i="3"/>
  <c r="M2215" i="3"/>
  <c r="L2215" i="3"/>
  <c r="I2215" i="3"/>
  <c r="O2214" i="3"/>
  <c r="N2214" i="3"/>
  <c r="M2214" i="3"/>
  <c r="L2214" i="3"/>
  <c r="I2214" i="3"/>
  <c r="O2213" i="3"/>
  <c r="N2213" i="3"/>
  <c r="M2213" i="3"/>
  <c r="L2213" i="3"/>
  <c r="I2213" i="3"/>
  <c r="O2212" i="3"/>
  <c r="N2212" i="3"/>
  <c r="M2212" i="3"/>
  <c r="L2212" i="3"/>
  <c r="I2212" i="3"/>
  <c r="O2211" i="3"/>
  <c r="N2211" i="3"/>
  <c r="M2211" i="3"/>
  <c r="L2211" i="3"/>
  <c r="I2211" i="3"/>
  <c r="O2210" i="3"/>
  <c r="N2210" i="3"/>
  <c r="M2210" i="3"/>
  <c r="L2210" i="3"/>
  <c r="I2210" i="3"/>
  <c r="O2209" i="3"/>
  <c r="N2209" i="3"/>
  <c r="M2209" i="3"/>
  <c r="L2209" i="3"/>
  <c r="I2209" i="3"/>
  <c r="O2208" i="3"/>
  <c r="N2208" i="3"/>
  <c r="M2208" i="3"/>
  <c r="L2208" i="3"/>
  <c r="I2208" i="3"/>
  <c r="O2207" i="3"/>
  <c r="N2207" i="3"/>
  <c r="M2207" i="3"/>
  <c r="L2207" i="3"/>
  <c r="I2207" i="3"/>
  <c r="O2206" i="3"/>
  <c r="N2206" i="3"/>
  <c r="M2206" i="3"/>
  <c r="L2206" i="3"/>
  <c r="I2206" i="3"/>
  <c r="O2205" i="3"/>
  <c r="N2205" i="3"/>
  <c r="M2205" i="3"/>
  <c r="L2205" i="3"/>
  <c r="I2205" i="3"/>
  <c r="O2204" i="3"/>
  <c r="N2204" i="3"/>
  <c r="M2204" i="3"/>
  <c r="L2204" i="3"/>
  <c r="I2204" i="3"/>
  <c r="O2203" i="3"/>
  <c r="N2203" i="3"/>
  <c r="M2203" i="3"/>
  <c r="L2203" i="3"/>
  <c r="I2203" i="3"/>
  <c r="O2202" i="3"/>
  <c r="N2202" i="3"/>
  <c r="M2202" i="3"/>
  <c r="L2202" i="3"/>
  <c r="I2202" i="3"/>
  <c r="O2201" i="3"/>
  <c r="N2201" i="3"/>
  <c r="M2201" i="3"/>
  <c r="L2201" i="3"/>
  <c r="I2201" i="3"/>
  <c r="O2200" i="3"/>
  <c r="N2200" i="3"/>
  <c r="M2200" i="3"/>
  <c r="L2200" i="3"/>
  <c r="I2200" i="3"/>
  <c r="O2199" i="3"/>
  <c r="N2199" i="3"/>
  <c r="M2199" i="3"/>
  <c r="L2199" i="3"/>
  <c r="I2199" i="3"/>
  <c r="O2198" i="3"/>
  <c r="N2198" i="3"/>
  <c r="M2198" i="3"/>
  <c r="L2198" i="3"/>
  <c r="I2198" i="3"/>
  <c r="O2197" i="3"/>
  <c r="N2197" i="3"/>
  <c r="M2197" i="3"/>
  <c r="L2197" i="3"/>
  <c r="I2197" i="3"/>
  <c r="O2196" i="3"/>
  <c r="N2196" i="3"/>
  <c r="M2196" i="3"/>
  <c r="L2196" i="3"/>
  <c r="I2196" i="3"/>
  <c r="O2195" i="3"/>
  <c r="N2195" i="3"/>
  <c r="M2195" i="3"/>
  <c r="L2195" i="3"/>
  <c r="I2195" i="3"/>
  <c r="O2194" i="3"/>
  <c r="N2194" i="3"/>
  <c r="M2194" i="3"/>
  <c r="L2194" i="3"/>
  <c r="I2194" i="3"/>
  <c r="O2193" i="3"/>
  <c r="N2193" i="3"/>
  <c r="M2193" i="3"/>
  <c r="L2193" i="3"/>
  <c r="I2193" i="3"/>
  <c r="O2192" i="3"/>
  <c r="N2192" i="3"/>
  <c r="M2192" i="3"/>
  <c r="L2192" i="3"/>
  <c r="I2192" i="3"/>
  <c r="O2191" i="3"/>
  <c r="N2191" i="3"/>
  <c r="M2191" i="3"/>
  <c r="L2191" i="3"/>
  <c r="I2191" i="3"/>
  <c r="O2190" i="3"/>
  <c r="N2190" i="3"/>
  <c r="M2190" i="3"/>
  <c r="L2190" i="3"/>
  <c r="I2190" i="3"/>
  <c r="O2189" i="3"/>
  <c r="N2189" i="3"/>
  <c r="M2189" i="3"/>
  <c r="L2189" i="3"/>
  <c r="I2189" i="3"/>
  <c r="O2188" i="3"/>
  <c r="N2188" i="3"/>
  <c r="M2188" i="3"/>
  <c r="L2188" i="3"/>
  <c r="I2188" i="3"/>
  <c r="O2187" i="3"/>
  <c r="N2187" i="3"/>
  <c r="M2187" i="3"/>
  <c r="L2187" i="3"/>
  <c r="I2187" i="3"/>
  <c r="O2186" i="3"/>
  <c r="N2186" i="3"/>
  <c r="M2186" i="3"/>
  <c r="L2186" i="3"/>
  <c r="I2186" i="3"/>
  <c r="O2185" i="3"/>
  <c r="N2185" i="3"/>
  <c r="M2185" i="3"/>
  <c r="L2185" i="3"/>
  <c r="I2185" i="3"/>
  <c r="O2184" i="3"/>
  <c r="N2184" i="3"/>
  <c r="M2184" i="3"/>
  <c r="L2184" i="3"/>
  <c r="I2184" i="3"/>
  <c r="O2183" i="3"/>
  <c r="N2183" i="3"/>
  <c r="M2183" i="3"/>
  <c r="L2183" i="3"/>
  <c r="I2183" i="3"/>
  <c r="O2182" i="3"/>
  <c r="N2182" i="3"/>
  <c r="M2182" i="3"/>
  <c r="L2182" i="3"/>
  <c r="I2182" i="3"/>
  <c r="O2181" i="3"/>
  <c r="N2181" i="3"/>
  <c r="M2181" i="3"/>
  <c r="L2181" i="3"/>
  <c r="I2181" i="3"/>
  <c r="O2180" i="3"/>
  <c r="N2180" i="3"/>
  <c r="M2180" i="3"/>
  <c r="L2180" i="3"/>
  <c r="I2180" i="3"/>
  <c r="O2179" i="3"/>
  <c r="N2179" i="3"/>
  <c r="M2179" i="3"/>
  <c r="L2179" i="3"/>
  <c r="I2179" i="3"/>
  <c r="O2178" i="3"/>
  <c r="N2178" i="3"/>
  <c r="M2178" i="3"/>
  <c r="L2178" i="3"/>
  <c r="I2178" i="3"/>
  <c r="O2177" i="3"/>
  <c r="N2177" i="3"/>
  <c r="M2177" i="3"/>
  <c r="L2177" i="3"/>
  <c r="I2177" i="3"/>
  <c r="O2176" i="3"/>
  <c r="N2176" i="3"/>
  <c r="M2176" i="3"/>
  <c r="L2176" i="3"/>
  <c r="I2176" i="3"/>
  <c r="O2175" i="3"/>
  <c r="N2175" i="3"/>
  <c r="M2175" i="3"/>
  <c r="L2175" i="3"/>
  <c r="I2175" i="3"/>
  <c r="O2174" i="3"/>
  <c r="N2174" i="3"/>
  <c r="M2174" i="3"/>
  <c r="L2174" i="3"/>
  <c r="I2174" i="3"/>
  <c r="O2173" i="3"/>
  <c r="N2173" i="3"/>
  <c r="M2173" i="3"/>
  <c r="L2173" i="3"/>
  <c r="I2173" i="3"/>
  <c r="O2172" i="3"/>
  <c r="N2172" i="3"/>
  <c r="M2172" i="3"/>
  <c r="L2172" i="3"/>
  <c r="I2172" i="3"/>
  <c r="O2171" i="3"/>
  <c r="N2171" i="3"/>
  <c r="M2171" i="3"/>
  <c r="L2171" i="3"/>
  <c r="I2171" i="3"/>
  <c r="O2170" i="3"/>
  <c r="N2170" i="3"/>
  <c r="M2170" i="3"/>
  <c r="L2170" i="3"/>
  <c r="I2170" i="3"/>
  <c r="O2169" i="3"/>
  <c r="N2169" i="3"/>
  <c r="M2169" i="3"/>
  <c r="L2169" i="3"/>
  <c r="I2169" i="3"/>
  <c r="O2168" i="3"/>
  <c r="N2168" i="3"/>
  <c r="M2168" i="3"/>
  <c r="L2168" i="3"/>
  <c r="I2168" i="3"/>
  <c r="O2167" i="3"/>
  <c r="N2167" i="3"/>
  <c r="M2167" i="3"/>
  <c r="L2167" i="3"/>
  <c r="I2167" i="3"/>
  <c r="O2166" i="3"/>
  <c r="N2166" i="3"/>
  <c r="M2166" i="3"/>
  <c r="L2166" i="3"/>
  <c r="I2166" i="3"/>
  <c r="O2165" i="3"/>
  <c r="N2165" i="3"/>
  <c r="M2165" i="3"/>
  <c r="L2165" i="3"/>
  <c r="I2165" i="3"/>
  <c r="O2164" i="3"/>
  <c r="N2164" i="3"/>
  <c r="M2164" i="3"/>
  <c r="L2164" i="3"/>
  <c r="I2164" i="3"/>
  <c r="O2163" i="3"/>
  <c r="N2163" i="3"/>
  <c r="M2163" i="3"/>
  <c r="L2163" i="3"/>
  <c r="I2163" i="3"/>
  <c r="O2162" i="3"/>
  <c r="N2162" i="3"/>
  <c r="M2162" i="3"/>
  <c r="L2162" i="3"/>
  <c r="I2162" i="3"/>
  <c r="O2161" i="3"/>
  <c r="N2161" i="3"/>
  <c r="M2161" i="3"/>
  <c r="L2161" i="3"/>
  <c r="I2161" i="3"/>
  <c r="O2160" i="3"/>
  <c r="N2160" i="3"/>
  <c r="M2160" i="3"/>
  <c r="L2160" i="3"/>
  <c r="I2160" i="3"/>
  <c r="O2159" i="3"/>
  <c r="N2159" i="3"/>
  <c r="M2159" i="3"/>
  <c r="L2159" i="3"/>
  <c r="I2159" i="3"/>
  <c r="O2158" i="3"/>
  <c r="N2158" i="3"/>
  <c r="M2158" i="3"/>
  <c r="L2158" i="3"/>
  <c r="I2158" i="3"/>
  <c r="O2157" i="3"/>
  <c r="N2157" i="3"/>
  <c r="M2157" i="3"/>
  <c r="L2157" i="3"/>
  <c r="I2157" i="3"/>
  <c r="O2156" i="3"/>
  <c r="N2156" i="3"/>
  <c r="M2156" i="3"/>
  <c r="L2156" i="3"/>
  <c r="I2156" i="3"/>
  <c r="O2155" i="3"/>
  <c r="N2155" i="3"/>
  <c r="M2155" i="3"/>
  <c r="L2155" i="3"/>
  <c r="I2155" i="3"/>
  <c r="O2154" i="3"/>
  <c r="N2154" i="3"/>
  <c r="M2154" i="3"/>
  <c r="L2154" i="3"/>
  <c r="I2154" i="3"/>
  <c r="O2153" i="3"/>
  <c r="N2153" i="3"/>
  <c r="M2153" i="3"/>
  <c r="L2153" i="3"/>
  <c r="I2153" i="3"/>
  <c r="O2152" i="3"/>
  <c r="N2152" i="3"/>
  <c r="M2152" i="3"/>
  <c r="L2152" i="3"/>
  <c r="I2152" i="3"/>
  <c r="O2151" i="3"/>
  <c r="N2151" i="3"/>
  <c r="M2151" i="3"/>
  <c r="L2151" i="3"/>
  <c r="I2151" i="3"/>
  <c r="O2150" i="3"/>
  <c r="N2150" i="3"/>
  <c r="M2150" i="3"/>
  <c r="L2150" i="3"/>
  <c r="I2150" i="3"/>
  <c r="O2149" i="3"/>
  <c r="N2149" i="3"/>
  <c r="M2149" i="3"/>
  <c r="L2149" i="3"/>
  <c r="I2149" i="3"/>
  <c r="O2148" i="3"/>
  <c r="N2148" i="3"/>
  <c r="M2148" i="3"/>
  <c r="L2148" i="3"/>
  <c r="I2148" i="3"/>
  <c r="O2147" i="3"/>
  <c r="N2147" i="3"/>
  <c r="M2147" i="3"/>
  <c r="L2147" i="3"/>
  <c r="I2147" i="3"/>
  <c r="O2146" i="3"/>
  <c r="N2146" i="3"/>
  <c r="M2146" i="3"/>
  <c r="L2146" i="3"/>
  <c r="I2146" i="3"/>
  <c r="O2145" i="3"/>
  <c r="N2145" i="3"/>
  <c r="M2145" i="3"/>
  <c r="L2145" i="3"/>
  <c r="I2145" i="3"/>
  <c r="O2144" i="3"/>
  <c r="N2144" i="3"/>
  <c r="M2144" i="3"/>
  <c r="L2144" i="3"/>
  <c r="I2144" i="3"/>
  <c r="O2143" i="3"/>
  <c r="N2143" i="3"/>
  <c r="M2143" i="3"/>
  <c r="L2143" i="3"/>
  <c r="I2143" i="3"/>
  <c r="O2142" i="3"/>
  <c r="N2142" i="3"/>
  <c r="M2142" i="3"/>
  <c r="L2142" i="3"/>
  <c r="I2142" i="3"/>
  <c r="O2141" i="3"/>
  <c r="N2141" i="3"/>
  <c r="M2141" i="3"/>
  <c r="L2141" i="3"/>
  <c r="I2141" i="3"/>
  <c r="O2140" i="3"/>
  <c r="N2140" i="3"/>
  <c r="M2140" i="3"/>
  <c r="L2140" i="3"/>
  <c r="I2140" i="3"/>
  <c r="O2139" i="3"/>
  <c r="N2139" i="3"/>
  <c r="M2139" i="3"/>
  <c r="L2139" i="3"/>
  <c r="I2139" i="3"/>
  <c r="O2138" i="3"/>
  <c r="N2138" i="3"/>
  <c r="M2138" i="3"/>
  <c r="L2138" i="3"/>
  <c r="I2138" i="3"/>
  <c r="O2137" i="3"/>
  <c r="N2137" i="3"/>
  <c r="M2137" i="3"/>
  <c r="L2137" i="3"/>
  <c r="I2137" i="3"/>
  <c r="O2136" i="3"/>
  <c r="N2136" i="3"/>
  <c r="M2136" i="3"/>
  <c r="L2136" i="3"/>
  <c r="I2136" i="3"/>
  <c r="O2135" i="3"/>
  <c r="N2135" i="3"/>
  <c r="M2135" i="3"/>
  <c r="L2135" i="3"/>
  <c r="I2135" i="3"/>
  <c r="O2134" i="3"/>
  <c r="N2134" i="3"/>
  <c r="M2134" i="3"/>
  <c r="L2134" i="3"/>
  <c r="I2134" i="3"/>
  <c r="O2133" i="3"/>
  <c r="N2133" i="3"/>
  <c r="M2133" i="3"/>
  <c r="L2133" i="3"/>
  <c r="I2133" i="3"/>
  <c r="O2132" i="3"/>
  <c r="N2132" i="3"/>
  <c r="M2132" i="3"/>
  <c r="L2132" i="3"/>
  <c r="I2132" i="3"/>
  <c r="O2131" i="3"/>
  <c r="N2131" i="3"/>
  <c r="M2131" i="3"/>
  <c r="L2131" i="3"/>
  <c r="I2131" i="3"/>
  <c r="O2130" i="3"/>
  <c r="N2130" i="3"/>
  <c r="M2130" i="3"/>
  <c r="L2130" i="3"/>
  <c r="I2130" i="3"/>
  <c r="O2129" i="3"/>
  <c r="N2129" i="3"/>
  <c r="M2129" i="3"/>
  <c r="L2129" i="3"/>
  <c r="I2129" i="3"/>
  <c r="O2128" i="3"/>
  <c r="N2128" i="3"/>
  <c r="M2128" i="3"/>
  <c r="L2128" i="3"/>
  <c r="I2128" i="3"/>
  <c r="O2127" i="3"/>
  <c r="N2127" i="3"/>
  <c r="M2127" i="3"/>
  <c r="L2127" i="3"/>
  <c r="I2127" i="3"/>
  <c r="O2126" i="3"/>
  <c r="N2126" i="3"/>
  <c r="M2126" i="3"/>
  <c r="L2126" i="3"/>
  <c r="I2126" i="3"/>
  <c r="O2125" i="3"/>
  <c r="N2125" i="3"/>
  <c r="M2125" i="3"/>
  <c r="L2125" i="3"/>
  <c r="I2125" i="3"/>
  <c r="O2124" i="3"/>
  <c r="N2124" i="3"/>
  <c r="M2124" i="3"/>
  <c r="L2124" i="3"/>
  <c r="I2124" i="3"/>
  <c r="O2123" i="3"/>
  <c r="N2123" i="3"/>
  <c r="M2123" i="3"/>
  <c r="L2123" i="3"/>
  <c r="I2123" i="3"/>
  <c r="O2122" i="3"/>
  <c r="N2122" i="3"/>
  <c r="M2122" i="3"/>
  <c r="L2122" i="3"/>
  <c r="I2122" i="3"/>
  <c r="O2121" i="3"/>
  <c r="N2121" i="3"/>
  <c r="M2121" i="3"/>
  <c r="L2121" i="3"/>
  <c r="I2121" i="3"/>
  <c r="O2120" i="3"/>
  <c r="N2120" i="3"/>
  <c r="M2120" i="3"/>
  <c r="L2120" i="3"/>
  <c r="I2120" i="3"/>
  <c r="O2119" i="3"/>
  <c r="N2119" i="3"/>
  <c r="M2119" i="3"/>
  <c r="L2119" i="3"/>
  <c r="I2119" i="3"/>
  <c r="O2118" i="3"/>
  <c r="N2118" i="3"/>
  <c r="M2118" i="3"/>
  <c r="L2118" i="3"/>
  <c r="I2118" i="3"/>
  <c r="O2117" i="3"/>
  <c r="N2117" i="3"/>
  <c r="M2117" i="3"/>
  <c r="L2117" i="3"/>
  <c r="I2117" i="3"/>
  <c r="O2116" i="3"/>
  <c r="N2116" i="3"/>
  <c r="M2116" i="3"/>
  <c r="L2116" i="3"/>
  <c r="I2116" i="3"/>
  <c r="O2115" i="3"/>
  <c r="N2115" i="3"/>
  <c r="M2115" i="3"/>
  <c r="L2115" i="3"/>
  <c r="I2115" i="3"/>
  <c r="O2114" i="3"/>
  <c r="N2114" i="3"/>
  <c r="M2114" i="3"/>
  <c r="L2114" i="3"/>
  <c r="I2114" i="3"/>
  <c r="O2113" i="3"/>
  <c r="N2113" i="3"/>
  <c r="M2113" i="3"/>
  <c r="L2113" i="3"/>
  <c r="I2113" i="3"/>
  <c r="O2112" i="3"/>
  <c r="N2112" i="3"/>
  <c r="M2112" i="3"/>
  <c r="L2112" i="3"/>
  <c r="I2112" i="3"/>
  <c r="O2111" i="3"/>
  <c r="N2111" i="3"/>
  <c r="M2111" i="3"/>
  <c r="L2111" i="3"/>
  <c r="I2111" i="3"/>
  <c r="O2110" i="3"/>
  <c r="N2110" i="3"/>
  <c r="M2110" i="3"/>
  <c r="L2110" i="3"/>
  <c r="I2110" i="3"/>
  <c r="O2109" i="3"/>
  <c r="N2109" i="3"/>
  <c r="M2109" i="3"/>
  <c r="L2109" i="3"/>
  <c r="I2109" i="3"/>
  <c r="O2108" i="3"/>
  <c r="N2108" i="3"/>
  <c r="M2108" i="3"/>
  <c r="L2108" i="3"/>
  <c r="I2108" i="3"/>
  <c r="O2107" i="3"/>
  <c r="N2107" i="3"/>
  <c r="M2107" i="3"/>
  <c r="L2107" i="3"/>
  <c r="I2107" i="3"/>
  <c r="O2106" i="3"/>
  <c r="N2106" i="3"/>
  <c r="M2106" i="3"/>
  <c r="L2106" i="3"/>
  <c r="I2106" i="3"/>
  <c r="O2105" i="3"/>
  <c r="N2105" i="3"/>
  <c r="M2105" i="3"/>
  <c r="L2105" i="3"/>
  <c r="I2105" i="3"/>
  <c r="O2104" i="3"/>
  <c r="N2104" i="3"/>
  <c r="M2104" i="3"/>
  <c r="L2104" i="3"/>
  <c r="I2104" i="3"/>
  <c r="O2103" i="3"/>
  <c r="N2103" i="3"/>
  <c r="M2103" i="3"/>
  <c r="L2103" i="3"/>
  <c r="I2103" i="3"/>
  <c r="O2102" i="3"/>
  <c r="N2102" i="3"/>
  <c r="M2102" i="3"/>
  <c r="L2102" i="3"/>
  <c r="I2102" i="3"/>
  <c r="O2101" i="3"/>
  <c r="N2101" i="3"/>
  <c r="M2101" i="3"/>
  <c r="L2101" i="3"/>
  <c r="I2101" i="3"/>
  <c r="O2100" i="3"/>
  <c r="N2100" i="3"/>
  <c r="M2100" i="3"/>
  <c r="L2100" i="3"/>
  <c r="I2100" i="3"/>
  <c r="O2099" i="3"/>
  <c r="N2099" i="3"/>
  <c r="M2099" i="3"/>
  <c r="L2099" i="3"/>
  <c r="I2099" i="3"/>
  <c r="O2098" i="3"/>
  <c r="N2098" i="3"/>
  <c r="M2098" i="3"/>
  <c r="L2098" i="3"/>
  <c r="I2098" i="3"/>
  <c r="O2097" i="3"/>
  <c r="N2097" i="3"/>
  <c r="M2097" i="3"/>
  <c r="L2097" i="3"/>
  <c r="I2097" i="3"/>
  <c r="O2096" i="3"/>
  <c r="N2096" i="3"/>
  <c r="M2096" i="3"/>
  <c r="L2096" i="3"/>
  <c r="I2096" i="3"/>
  <c r="O2095" i="3"/>
  <c r="N2095" i="3"/>
  <c r="M2095" i="3"/>
  <c r="L2095" i="3"/>
  <c r="I2095" i="3"/>
  <c r="O2094" i="3"/>
  <c r="N2094" i="3"/>
  <c r="M2094" i="3"/>
  <c r="L2094" i="3"/>
  <c r="I2094" i="3"/>
  <c r="O2093" i="3"/>
  <c r="N2093" i="3"/>
  <c r="M2093" i="3"/>
  <c r="L2093" i="3"/>
  <c r="I2093" i="3"/>
  <c r="O2092" i="3"/>
  <c r="N2092" i="3"/>
  <c r="M2092" i="3"/>
  <c r="L2092" i="3"/>
  <c r="I2092" i="3"/>
  <c r="O2091" i="3"/>
  <c r="N2091" i="3"/>
  <c r="M2091" i="3"/>
  <c r="L2091" i="3"/>
  <c r="I2091" i="3"/>
  <c r="O2090" i="3"/>
  <c r="N2090" i="3"/>
  <c r="M2090" i="3"/>
  <c r="L2090" i="3"/>
  <c r="I2090" i="3"/>
  <c r="O2089" i="3"/>
  <c r="N2089" i="3"/>
  <c r="M2089" i="3"/>
  <c r="L2089" i="3"/>
  <c r="I2089" i="3"/>
  <c r="O2088" i="3"/>
  <c r="N2088" i="3"/>
  <c r="M2088" i="3"/>
  <c r="L2088" i="3"/>
  <c r="I2088" i="3"/>
  <c r="O2087" i="3"/>
  <c r="N2087" i="3"/>
  <c r="M2087" i="3"/>
  <c r="L2087" i="3"/>
  <c r="I2087" i="3"/>
  <c r="O2086" i="3"/>
  <c r="N2086" i="3"/>
  <c r="M2086" i="3"/>
  <c r="L2086" i="3"/>
  <c r="I2086" i="3"/>
  <c r="O2085" i="3"/>
  <c r="N2085" i="3"/>
  <c r="M2085" i="3"/>
  <c r="L2085" i="3"/>
  <c r="I2085" i="3"/>
  <c r="O2084" i="3"/>
  <c r="N2084" i="3"/>
  <c r="M2084" i="3"/>
  <c r="L2084" i="3"/>
  <c r="I2084" i="3"/>
  <c r="O2083" i="3"/>
  <c r="N2083" i="3"/>
  <c r="M2083" i="3"/>
  <c r="L2083" i="3"/>
  <c r="I2083" i="3"/>
  <c r="O2082" i="3"/>
  <c r="N2082" i="3"/>
  <c r="M2082" i="3"/>
  <c r="L2082" i="3"/>
  <c r="I2082" i="3"/>
  <c r="O2081" i="3"/>
  <c r="N2081" i="3"/>
  <c r="M2081" i="3"/>
  <c r="L2081" i="3"/>
  <c r="I2081" i="3"/>
  <c r="O2080" i="3"/>
  <c r="N2080" i="3"/>
  <c r="M2080" i="3"/>
  <c r="L2080" i="3"/>
  <c r="I2080" i="3"/>
  <c r="O2079" i="3"/>
  <c r="N2079" i="3"/>
  <c r="M2079" i="3"/>
  <c r="L2079" i="3"/>
  <c r="I2079" i="3"/>
  <c r="O2078" i="3"/>
  <c r="N2078" i="3"/>
  <c r="M2078" i="3"/>
  <c r="L2078" i="3"/>
  <c r="I2078" i="3"/>
  <c r="O2077" i="3"/>
  <c r="N2077" i="3"/>
  <c r="M2077" i="3"/>
  <c r="L2077" i="3"/>
  <c r="I2077" i="3"/>
  <c r="O2076" i="3"/>
  <c r="N2076" i="3"/>
  <c r="M2076" i="3"/>
  <c r="L2076" i="3"/>
  <c r="I2076" i="3"/>
  <c r="O2075" i="3"/>
  <c r="N2075" i="3"/>
  <c r="M2075" i="3"/>
  <c r="L2075" i="3"/>
  <c r="I2075" i="3"/>
  <c r="O2074" i="3"/>
  <c r="N2074" i="3"/>
  <c r="M2074" i="3"/>
  <c r="L2074" i="3"/>
  <c r="I2074" i="3"/>
  <c r="O2073" i="3"/>
  <c r="N2073" i="3"/>
  <c r="M2073" i="3"/>
  <c r="L2073" i="3"/>
  <c r="I2073" i="3"/>
  <c r="O2072" i="3"/>
  <c r="N2072" i="3"/>
  <c r="M2072" i="3"/>
  <c r="L2072" i="3"/>
  <c r="I2072" i="3"/>
  <c r="O2071" i="3"/>
  <c r="N2071" i="3"/>
  <c r="M2071" i="3"/>
  <c r="L2071" i="3"/>
  <c r="I2071" i="3"/>
  <c r="O2070" i="3"/>
  <c r="N2070" i="3"/>
  <c r="M2070" i="3"/>
  <c r="L2070" i="3"/>
  <c r="I2070" i="3"/>
  <c r="O2069" i="3"/>
  <c r="N2069" i="3"/>
  <c r="M2069" i="3"/>
  <c r="L2069" i="3"/>
  <c r="I2069" i="3"/>
  <c r="O2068" i="3"/>
  <c r="N2068" i="3"/>
  <c r="M2068" i="3"/>
  <c r="L2068" i="3"/>
  <c r="I2068" i="3"/>
  <c r="O2067" i="3"/>
  <c r="N2067" i="3"/>
  <c r="M2067" i="3"/>
  <c r="L2067" i="3"/>
  <c r="I2067" i="3"/>
  <c r="O2066" i="3"/>
  <c r="N2066" i="3"/>
  <c r="M2066" i="3"/>
  <c r="L2066" i="3"/>
  <c r="I2066" i="3"/>
  <c r="O2065" i="3"/>
  <c r="N2065" i="3"/>
  <c r="M2065" i="3"/>
  <c r="L2065" i="3"/>
  <c r="I2065" i="3"/>
  <c r="O2064" i="3"/>
  <c r="N2064" i="3"/>
  <c r="M2064" i="3"/>
  <c r="L2064" i="3"/>
  <c r="I2064" i="3"/>
  <c r="O2063" i="3"/>
  <c r="N2063" i="3"/>
  <c r="M2063" i="3"/>
  <c r="L2063" i="3"/>
  <c r="I2063" i="3"/>
  <c r="O2062" i="3"/>
  <c r="N2062" i="3"/>
  <c r="M2062" i="3"/>
  <c r="L2062" i="3"/>
  <c r="I2062" i="3"/>
  <c r="O2061" i="3"/>
  <c r="N2061" i="3"/>
  <c r="M2061" i="3"/>
  <c r="L2061" i="3"/>
  <c r="I2061" i="3"/>
  <c r="O2060" i="3"/>
  <c r="N2060" i="3"/>
  <c r="M2060" i="3"/>
  <c r="L2060" i="3"/>
  <c r="I2060" i="3"/>
  <c r="O2059" i="3"/>
  <c r="N2059" i="3"/>
  <c r="M2059" i="3"/>
  <c r="L2059" i="3"/>
  <c r="I2059" i="3"/>
  <c r="O2058" i="3"/>
  <c r="N2058" i="3"/>
  <c r="M2058" i="3"/>
  <c r="L2058" i="3"/>
  <c r="I2058" i="3"/>
  <c r="O2057" i="3"/>
  <c r="N2057" i="3"/>
  <c r="M2057" i="3"/>
  <c r="L2057" i="3"/>
  <c r="I2057" i="3"/>
  <c r="O2056" i="3"/>
  <c r="N2056" i="3"/>
  <c r="M2056" i="3"/>
  <c r="L2056" i="3"/>
  <c r="I2056" i="3"/>
  <c r="O2055" i="3"/>
  <c r="N2055" i="3"/>
  <c r="M2055" i="3"/>
  <c r="L2055" i="3"/>
  <c r="I2055" i="3"/>
  <c r="O2054" i="3"/>
  <c r="N2054" i="3"/>
  <c r="M2054" i="3"/>
  <c r="L2054" i="3"/>
  <c r="I2054" i="3"/>
  <c r="O2053" i="3"/>
  <c r="N2053" i="3"/>
  <c r="M2053" i="3"/>
  <c r="L2053" i="3"/>
  <c r="I2053" i="3"/>
  <c r="O2052" i="3"/>
  <c r="N2052" i="3"/>
  <c r="M2052" i="3"/>
  <c r="L2052" i="3"/>
  <c r="I2052" i="3"/>
  <c r="O2051" i="3"/>
  <c r="N2051" i="3"/>
  <c r="M2051" i="3"/>
  <c r="L2051" i="3"/>
  <c r="I2051" i="3"/>
  <c r="O2050" i="3"/>
  <c r="N2050" i="3"/>
  <c r="M2050" i="3"/>
  <c r="L2050" i="3"/>
  <c r="I2050" i="3"/>
  <c r="O2049" i="3"/>
  <c r="N2049" i="3"/>
  <c r="M2049" i="3"/>
  <c r="L2049" i="3"/>
  <c r="I2049" i="3"/>
  <c r="O2048" i="3"/>
  <c r="N2048" i="3"/>
  <c r="M2048" i="3"/>
  <c r="L2048" i="3"/>
  <c r="I2048" i="3"/>
  <c r="O2047" i="3"/>
  <c r="N2047" i="3"/>
  <c r="M2047" i="3"/>
  <c r="L2047" i="3"/>
  <c r="I2047" i="3"/>
  <c r="O2046" i="3"/>
  <c r="N2046" i="3"/>
  <c r="M2046" i="3"/>
  <c r="L2046" i="3"/>
  <c r="I2046" i="3"/>
  <c r="O2045" i="3"/>
  <c r="N2045" i="3"/>
  <c r="M2045" i="3"/>
  <c r="L2045" i="3"/>
  <c r="I2045" i="3"/>
  <c r="O2044" i="3"/>
  <c r="N2044" i="3"/>
  <c r="M2044" i="3"/>
  <c r="L2044" i="3"/>
  <c r="I2044" i="3"/>
  <c r="O2043" i="3"/>
  <c r="N2043" i="3"/>
  <c r="M2043" i="3"/>
  <c r="L2043" i="3"/>
  <c r="I2043" i="3"/>
  <c r="O2042" i="3"/>
  <c r="N2042" i="3"/>
  <c r="M2042" i="3"/>
  <c r="L2042" i="3"/>
  <c r="I2042" i="3"/>
  <c r="O2041" i="3"/>
  <c r="N2041" i="3"/>
  <c r="M2041" i="3"/>
  <c r="L2041" i="3"/>
  <c r="I2041" i="3"/>
  <c r="O2040" i="3"/>
  <c r="N2040" i="3"/>
  <c r="M2040" i="3"/>
  <c r="L2040" i="3"/>
  <c r="I2040" i="3"/>
  <c r="O2039" i="3"/>
  <c r="N2039" i="3"/>
  <c r="M2039" i="3"/>
  <c r="L2039" i="3"/>
  <c r="I2039" i="3"/>
  <c r="O2038" i="3"/>
  <c r="N2038" i="3"/>
  <c r="M2038" i="3"/>
  <c r="L2038" i="3"/>
  <c r="I2038" i="3"/>
  <c r="O2037" i="3"/>
  <c r="N2037" i="3"/>
  <c r="M2037" i="3"/>
  <c r="L2037" i="3"/>
  <c r="I2037" i="3"/>
  <c r="O2036" i="3"/>
  <c r="N2036" i="3"/>
  <c r="M2036" i="3"/>
  <c r="L2036" i="3"/>
  <c r="I2036" i="3"/>
  <c r="O2035" i="3"/>
  <c r="N2035" i="3"/>
  <c r="M2035" i="3"/>
  <c r="L2035" i="3"/>
  <c r="I2035" i="3"/>
  <c r="O2034" i="3"/>
  <c r="N2034" i="3"/>
  <c r="M2034" i="3"/>
  <c r="L2034" i="3"/>
  <c r="I2034" i="3"/>
  <c r="O2033" i="3"/>
  <c r="N2033" i="3"/>
  <c r="M2033" i="3"/>
  <c r="L2033" i="3"/>
  <c r="I2033" i="3"/>
  <c r="O2032" i="3"/>
  <c r="N2032" i="3"/>
  <c r="M2032" i="3"/>
  <c r="L2032" i="3"/>
  <c r="I2032" i="3"/>
  <c r="O2031" i="3"/>
  <c r="N2031" i="3"/>
  <c r="M2031" i="3"/>
  <c r="L2031" i="3"/>
  <c r="I2031" i="3"/>
  <c r="O2030" i="3"/>
  <c r="N2030" i="3"/>
  <c r="M2030" i="3"/>
  <c r="L2030" i="3"/>
  <c r="I2030" i="3"/>
  <c r="O2029" i="3"/>
  <c r="N2029" i="3"/>
  <c r="M2029" i="3"/>
  <c r="L2029" i="3"/>
  <c r="I2029" i="3"/>
  <c r="O2028" i="3"/>
  <c r="N2028" i="3"/>
  <c r="M2028" i="3"/>
  <c r="L2028" i="3"/>
  <c r="I2028" i="3"/>
  <c r="O2027" i="3"/>
  <c r="N2027" i="3"/>
  <c r="M2027" i="3"/>
  <c r="L2027" i="3"/>
  <c r="I2027" i="3"/>
  <c r="O2026" i="3"/>
  <c r="N2026" i="3"/>
  <c r="M2026" i="3"/>
  <c r="L2026" i="3"/>
  <c r="I2026" i="3"/>
  <c r="O2025" i="3"/>
  <c r="N2025" i="3"/>
  <c r="M2025" i="3"/>
  <c r="L2025" i="3"/>
  <c r="I2025" i="3"/>
  <c r="O2024" i="3"/>
  <c r="N2024" i="3"/>
  <c r="M2024" i="3"/>
  <c r="L2024" i="3"/>
  <c r="I2024" i="3"/>
  <c r="O2023" i="3"/>
  <c r="N2023" i="3"/>
  <c r="M2023" i="3"/>
  <c r="L2023" i="3"/>
  <c r="I2023" i="3"/>
  <c r="O2022" i="3"/>
  <c r="N2022" i="3"/>
  <c r="M2022" i="3"/>
  <c r="L2022" i="3"/>
  <c r="I2022" i="3"/>
  <c r="O2021" i="3"/>
  <c r="N2021" i="3"/>
  <c r="M2021" i="3"/>
  <c r="L2021" i="3"/>
  <c r="I2021" i="3"/>
  <c r="O2020" i="3"/>
  <c r="N2020" i="3"/>
  <c r="M2020" i="3"/>
  <c r="L2020" i="3"/>
  <c r="I2020" i="3"/>
  <c r="O2019" i="3"/>
  <c r="N2019" i="3"/>
  <c r="M2019" i="3"/>
  <c r="L2019" i="3"/>
  <c r="I2019" i="3"/>
  <c r="O2018" i="3"/>
  <c r="N2018" i="3"/>
  <c r="M2018" i="3"/>
  <c r="L2018" i="3"/>
  <c r="I2018" i="3"/>
  <c r="O2017" i="3"/>
  <c r="N2017" i="3"/>
  <c r="M2017" i="3"/>
  <c r="L2017" i="3"/>
  <c r="I2017" i="3"/>
  <c r="O2016" i="3"/>
  <c r="N2016" i="3"/>
  <c r="M2016" i="3"/>
  <c r="L2016" i="3"/>
  <c r="I2016" i="3"/>
  <c r="O2015" i="3"/>
  <c r="N2015" i="3"/>
  <c r="M2015" i="3"/>
  <c r="L2015" i="3"/>
  <c r="I2015" i="3"/>
  <c r="O2014" i="3"/>
  <c r="N2014" i="3"/>
  <c r="M2014" i="3"/>
  <c r="L2014" i="3"/>
  <c r="I2014" i="3"/>
  <c r="O2013" i="3"/>
  <c r="N2013" i="3"/>
  <c r="M2013" i="3"/>
  <c r="L2013" i="3"/>
  <c r="I2013" i="3"/>
  <c r="O2012" i="3"/>
  <c r="N2012" i="3"/>
  <c r="M2012" i="3"/>
  <c r="L2012" i="3"/>
  <c r="I2012" i="3"/>
  <c r="O2011" i="3"/>
  <c r="N2011" i="3"/>
  <c r="M2011" i="3"/>
  <c r="L2011" i="3"/>
  <c r="I2011" i="3"/>
  <c r="O2010" i="3"/>
  <c r="N2010" i="3"/>
  <c r="M2010" i="3"/>
  <c r="L2010" i="3"/>
  <c r="I2010" i="3"/>
  <c r="O2009" i="3"/>
  <c r="N2009" i="3"/>
  <c r="M2009" i="3"/>
  <c r="L2009" i="3"/>
  <c r="I2009" i="3"/>
  <c r="O2008" i="3"/>
  <c r="N2008" i="3"/>
  <c r="M2008" i="3"/>
  <c r="L2008" i="3"/>
  <c r="I2008" i="3"/>
  <c r="O2007" i="3"/>
  <c r="N2007" i="3"/>
  <c r="M2007" i="3"/>
  <c r="L2007" i="3"/>
  <c r="I2007" i="3"/>
  <c r="O2006" i="3"/>
  <c r="N2006" i="3"/>
  <c r="M2006" i="3"/>
  <c r="L2006" i="3"/>
  <c r="I2006" i="3"/>
  <c r="O2005" i="3"/>
  <c r="N2005" i="3"/>
  <c r="M2005" i="3"/>
  <c r="L2005" i="3"/>
  <c r="I2005" i="3"/>
  <c r="O2004" i="3"/>
  <c r="N2004" i="3"/>
  <c r="M2004" i="3"/>
  <c r="L2004" i="3"/>
  <c r="I2004" i="3"/>
  <c r="O2003" i="3"/>
  <c r="N2003" i="3"/>
  <c r="M2003" i="3"/>
  <c r="L2003" i="3"/>
  <c r="I2003" i="3"/>
  <c r="O2002" i="3"/>
  <c r="N2002" i="3"/>
  <c r="M2002" i="3"/>
  <c r="L2002" i="3"/>
  <c r="I2002" i="3"/>
  <c r="O2001" i="3"/>
  <c r="N2001" i="3"/>
  <c r="M2001" i="3"/>
  <c r="L2001" i="3"/>
  <c r="I2001" i="3"/>
  <c r="O2000" i="3"/>
  <c r="N2000" i="3"/>
  <c r="M2000" i="3"/>
  <c r="L2000" i="3"/>
  <c r="I2000" i="3"/>
  <c r="O1999" i="3"/>
  <c r="N1999" i="3"/>
  <c r="M1999" i="3"/>
  <c r="L1999" i="3"/>
  <c r="I1999" i="3"/>
  <c r="O1998" i="3"/>
  <c r="N1998" i="3"/>
  <c r="M1998" i="3"/>
  <c r="L1998" i="3"/>
  <c r="I1998" i="3"/>
  <c r="O1997" i="3"/>
  <c r="N1997" i="3"/>
  <c r="M1997" i="3"/>
  <c r="L1997" i="3"/>
  <c r="I1997" i="3"/>
  <c r="O1996" i="3"/>
  <c r="N1996" i="3"/>
  <c r="M1996" i="3"/>
  <c r="L1996" i="3"/>
  <c r="I1996" i="3"/>
  <c r="O1995" i="3"/>
  <c r="N1995" i="3"/>
  <c r="M1995" i="3"/>
  <c r="L1995" i="3"/>
  <c r="I1995" i="3"/>
  <c r="O1994" i="3"/>
  <c r="N1994" i="3"/>
  <c r="M1994" i="3"/>
  <c r="L1994" i="3"/>
  <c r="I1994" i="3"/>
  <c r="O1993" i="3"/>
  <c r="N1993" i="3"/>
  <c r="M1993" i="3"/>
  <c r="L1993" i="3"/>
  <c r="I1993" i="3"/>
  <c r="O1992" i="3"/>
  <c r="N1992" i="3"/>
  <c r="M1992" i="3"/>
  <c r="L1992" i="3"/>
  <c r="I1992" i="3"/>
  <c r="O1991" i="3"/>
  <c r="N1991" i="3"/>
  <c r="M1991" i="3"/>
  <c r="L1991" i="3"/>
  <c r="I1991" i="3"/>
  <c r="O1990" i="3"/>
  <c r="N1990" i="3"/>
  <c r="M1990" i="3"/>
  <c r="L1990" i="3"/>
  <c r="I1990" i="3"/>
  <c r="O1989" i="3"/>
  <c r="N1989" i="3"/>
  <c r="M1989" i="3"/>
  <c r="L1989" i="3"/>
  <c r="I1989" i="3"/>
  <c r="O1988" i="3"/>
  <c r="N1988" i="3"/>
  <c r="M1988" i="3"/>
  <c r="L1988" i="3"/>
  <c r="I1988" i="3"/>
  <c r="O1987" i="3"/>
  <c r="N1987" i="3"/>
  <c r="M1987" i="3"/>
  <c r="L1987" i="3"/>
  <c r="I1987" i="3"/>
  <c r="O1986" i="3"/>
  <c r="N1986" i="3"/>
  <c r="M1986" i="3"/>
  <c r="L1986" i="3"/>
  <c r="I1986" i="3"/>
  <c r="O1985" i="3"/>
  <c r="N1985" i="3"/>
  <c r="M1985" i="3"/>
  <c r="L1985" i="3"/>
  <c r="I1985" i="3"/>
  <c r="O1984" i="3"/>
  <c r="N1984" i="3"/>
  <c r="M1984" i="3"/>
  <c r="L1984" i="3"/>
  <c r="I1984" i="3"/>
  <c r="O1983" i="3"/>
  <c r="N1983" i="3"/>
  <c r="M1983" i="3"/>
  <c r="L1983" i="3"/>
  <c r="I1983" i="3"/>
  <c r="O1982" i="3"/>
  <c r="N1982" i="3"/>
  <c r="M1982" i="3"/>
  <c r="L1982" i="3"/>
  <c r="I1982" i="3"/>
  <c r="O1981" i="3"/>
  <c r="N1981" i="3"/>
  <c r="M1981" i="3"/>
  <c r="L1981" i="3"/>
  <c r="I1981" i="3"/>
  <c r="O1980" i="3"/>
  <c r="N1980" i="3"/>
  <c r="M1980" i="3"/>
  <c r="L1980" i="3"/>
  <c r="I1980" i="3"/>
  <c r="O1979" i="3"/>
  <c r="N1979" i="3"/>
  <c r="M1979" i="3"/>
  <c r="L1979" i="3"/>
  <c r="I1979" i="3"/>
  <c r="O1978" i="3"/>
  <c r="N1978" i="3"/>
  <c r="M1978" i="3"/>
  <c r="L1978" i="3"/>
  <c r="I1978" i="3"/>
  <c r="O1977" i="3"/>
  <c r="N1977" i="3"/>
  <c r="M1977" i="3"/>
  <c r="L1977" i="3"/>
  <c r="I1977" i="3"/>
  <c r="O1976" i="3"/>
  <c r="N1976" i="3"/>
  <c r="M1976" i="3"/>
  <c r="L1976" i="3"/>
  <c r="I1976" i="3"/>
  <c r="O1975" i="3"/>
  <c r="N1975" i="3"/>
  <c r="M1975" i="3"/>
  <c r="L1975" i="3"/>
  <c r="I1975" i="3"/>
  <c r="O1974" i="3"/>
  <c r="N1974" i="3"/>
  <c r="M1974" i="3"/>
  <c r="L1974" i="3"/>
  <c r="I1974" i="3"/>
  <c r="O1973" i="3"/>
  <c r="N1973" i="3"/>
  <c r="M1973" i="3"/>
  <c r="L1973" i="3"/>
  <c r="I1973" i="3"/>
  <c r="O1972" i="3"/>
  <c r="N1972" i="3"/>
  <c r="M1972" i="3"/>
  <c r="L1972" i="3"/>
  <c r="I1972" i="3"/>
  <c r="O1971" i="3"/>
  <c r="N1971" i="3"/>
  <c r="M1971" i="3"/>
  <c r="L1971" i="3"/>
  <c r="I1971" i="3"/>
  <c r="O1970" i="3"/>
  <c r="N1970" i="3"/>
  <c r="M1970" i="3"/>
  <c r="L1970" i="3"/>
  <c r="I1970" i="3"/>
  <c r="O1969" i="3"/>
  <c r="N1969" i="3"/>
  <c r="M1969" i="3"/>
  <c r="L1969" i="3"/>
  <c r="I1969" i="3"/>
  <c r="O1968" i="3"/>
  <c r="N1968" i="3"/>
  <c r="M1968" i="3"/>
  <c r="L1968" i="3"/>
  <c r="I1968" i="3"/>
  <c r="O1967" i="3"/>
  <c r="N1967" i="3"/>
  <c r="M1967" i="3"/>
  <c r="L1967" i="3"/>
  <c r="I1967" i="3"/>
  <c r="O1966" i="3"/>
  <c r="N1966" i="3"/>
  <c r="M1966" i="3"/>
  <c r="L1966" i="3"/>
  <c r="I1966" i="3"/>
  <c r="O1965" i="3"/>
  <c r="N1965" i="3"/>
  <c r="M1965" i="3"/>
  <c r="L1965" i="3"/>
  <c r="I1965" i="3"/>
  <c r="O1964" i="3"/>
  <c r="N1964" i="3"/>
  <c r="M1964" i="3"/>
  <c r="L1964" i="3"/>
  <c r="I1964" i="3"/>
  <c r="O1963" i="3"/>
  <c r="N1963" i="3"/>
  <c r="M1963" i="3"/>
  <c r="L1963" i="3"/>
  <c r="I1963" i="3"/>
  <c r="O1962" i="3"/>
  <c r="N1962" i="3"/>
  <c r="M1962" i="3"/>
  <c r="L1962" i="3"/>
  <c r="I1962" i="3"/>
  <c r="O1961" i="3"/>
  <c r="N1961" i="3"/>
  <c r="M1961" i="3"/>
  <c r="L1961" i="3"/>
  <c r="I1961" i="3"/>
  <c r="O1960" i="3"/>
  <c r="N1960" i="3"/>
  <c r="M1960" i="3"/>
  <c r="L1960" i="3"/>
  <c r="I1960" i="3"/>
  <c r="O1959" i="3"/>
  <c r="N1959" i="3"/>
  <c r="M1959" i="3"/>
  <c r="L1959" i="3"/>
  <c r="I1959" i="3"/>
  <c r="O1958" i="3"/>
  <c r="N1958" i="3"/>
  <c r="M1958" i="3"/>
  <c r="L1958" i="3"/>
  <c r="I1958" i="3"/>
  <c r="O1957" i="3"/>
  <c r="N1957" i="3"/>
  <c r="M1957" i="3"/>
  <c r="L1957" i="3"/>
  <c r="I1957" i="3"/>
  <c r="O1956" i="3"/>
  <c r="N1956" i="3"/>
  <c r="M1956" i="3"/>
  <c r="L1956" i="3"/>
  <c r="I1956" i="3"/>
  <c r="O1955" i="3"/>
  <c r="N1955" i="3"/>
  <c r="M1955" i="3"/>
  <c r="L1955" i="3"/>
  <c r="I1955" i="3"/>
  <c r="O1954" i="3"/>
  <c r="N1954" i="3"/>
  <c r="M1954" i="3"/>
  <c r="L1954" i="3"/>
  <c r="I1954" i="3"/>
  <c r="O1953" i="3"/>
  <c r="N1953" i="3"/>
  <c r="M1953" i="3"/>
  <c r="L1953" i="3"/>
  <c r="I1953" i="3"/>
  <c r="O1952" i="3"/>
  <c r="N1952" i="3"/>
  <c r="M1952" i="3"/>
  <c r="L1952" i="3"/>
  <c r="I1952" i="3"/>
  <c r="O1951" i="3"/>
  <c r="N1951" i="3"/>
  <c r="M1951" i="3"/>
  <c r="L1951" i="3"/>
  <c r="I1951" i="3"/>
  <c r="O1950" i="3"/>
  <c r="N1950" i="3"/>
  <c r="M1950" i="3"/>
  <c r="L1950" i="3"/>
  <c r="I1950" i="3"/>
  <c r="O1949" i="3"/>
  <c r="N1949" i="3"/>
  <c r="M1949" i="3"/>
  <c r="L1949" i="3"/>
  <c r="I1949" i="3"/>
  <c r="O1948" i="3"/>
  <c r="N1948" i="3"/>
  <c r="M1948" i="3"/>
  <c r="L1948" i="3"/>
  <c r="I1948" i="3"/>
  <c r="O1947" i="3"/>
  <c r="N1947" i="3"/>
  <c r="M1947" i="3"/>
  <c r="L1947" i="3"/>
  <c r="I1947" i="3"/>
  <c r="O1946" i="3"/>
  <c r="N1946" i="3"/>
  <c r="M1946" i="3"/>
  <c r="L1946" i="3"/>
  <c r="I1946" i="3"/>
  <c r="O1945" i="3"/>
  <c r="N1945" i="3"/>
  <c r="M1945" i="3"/>
  <c r="L1945" i="3"/>
  <c r="I1945" i="3"/>
  <c r="O1944" i="3"/>
  <c r="N1944" i="3"/>
  <c r="M1944" i="3"/>
  <c r="L1944" i="3"/>
  <c r="I1944" i="3"/>
  <c r="O1943" i="3"/>
  <c r="N1943" i="3"/>
  <c r="M1943" i="3"/>
  <c r="L1943" i="3"/>
  <c r="I1943" i="3"/>
  <c r="O1942" i="3"/>
  <c r="N1942" i="3"/>
  <c r="M1942" i="3"/>
  <c r="L1942" i="3"/>
  <c r="I1942" i="3"/>
  <c r="O1941" i="3"/>
  <c r="N1941" i="3"/>
  <c r="M1941" i="3"/>
  <c r="L1941" i="3"/>
  <c r="I1941" i="3"/>
  <c r="O1940" i="3"/>
  <c r="N1940" i="3"/>
  <c r="M1940" i="3"/>
  <c r="L1940" i="3"/>
  <c r="I1940" i="3"/>
  <c r="O1939" i="3"/>
  <c r="N1939" i="3"/>
  <c r="M1939" i="3"/>
  <c r="L1939" i="3"/>
  <c r="I1939" i="3"/>
  <c r="O1938" i="3"/>
  <c r="N1938" i="3"/>
  <c r="M1938" i="3"/>
  <c r="L1938" i="3"/>
  <c r="I1938" i="3"/>
  <c r="O1937" i="3"/>
  <c r="N1937" i="3"/>
  <c r="M1937" i="3"/>
  <c r="L1937" i="3"/>
  <c r="I1937" i="3"/>
  <c r="O1936" i="3"/>
  <c r="N1936" i="3"/>
  <c r="M1936" i="3"/>
  <c r="L1936" i="3"/>
  <c r="I1936" i="3"/>
  <c r="O1935" i="3"/>
  <c r="N1935" i="3"/>
  <c r="M1935" i="3"/>
  <c r="L1935" i="3"/>
  <c r="I1935" i="3"/>
  <c r="O1934" i="3"/>
  <c r="N1934" i="3"/>
  <c r="M1934" i="3"/>
  <c r="L1934" i="3"/>
  <c r="I1934" i="3"/>
  <c r="O1933" i="3"/>
  <c r="N1933" i="3"/>
  <c r="M1933" i="3"/>
  <c r="L1933" i="3"/>
  <c r="I1933" i="3"/>
  <c r="O1932" i="3"/>
  <c r="N1932" i="3"/>
  <c r="M1932" i="3"/>
  <c r="L1932" i="3"/>
  <c r="I1932" i="3"/>
  <c r="O1931" i="3"/>
  <c r="N1931" i="3"/>
  <c r="M1931" i="3"/>
  <c r="L1931" i="3"/>
  <c r="I1931" i="3"/>
  <c r="O1930" i="3"/>
  <c r="N1930" i="3"/>
  <c r="M1930" i="3"/>
  <c r="L1930" i="3"/>
  <c r="I1930" i="3"/>
  <c r="O1929" i="3"/>
  <c r="N1929" i="3"/>
  <c r="M1929" i="3"/>
  <c r="L1929" i="3"/>
  <c r="I1929" i="3"/>
  <c r="O1928" i="3"/>
  <c r="N1928" i="3"/>
  <c r="M1928" i="3"/>
  <c r="L1928" i="3"/>
  <c r="I1928" i="3"/>
  <c r="O1927" i="3"/>
  <c r="N1927" i="3"/>
  <c r="M1927" i="3"/>
  <c r="L1927" i="3"/>
  <c r="I1927" i="3"/>
  <c r="O1926" i="3"/>
  <c r="N1926" i="3"/>
  <c r="M1926" i="3"/>
  <c r="L1926" i="3"/>
  <c r="I1926" i="3"/>
  <c r="O1925" i="3"/>
  <c r="N1925" i="3"/>
  <c r="M1925" i="3"/>
  <c r="L1925" i="3"/>
  <c r="I1925" i="3"/>
  <c r="O1924" i="3"/>
  <c r="N1924" i="3"/>
  <c r="M1924" i="3"/>
  <c r="L1924" i="3"/>
  <c r="I1924" i="3"/>
  <c r="O1923" i="3"/>
  <c r="N1923" i="3"/>
  <c r="M1923" i="3"/>
  <c r="L1923" i="3"/>
  <c r="I1923" i="3"/>
  <c r="O1922" i="3"/>
  <c r="N1922" i="3"/>
  <c r="M1922" i="3"/>
  <c r="L1922" i="3"/>
  <c r="I1922" i="3"/>
  <c r="O1921" i="3"/>
  <c r="N1921" i="3"/>
  <c r="M1921" i="3"/>
  <c r="L1921" i="3"/>
  <c r="I1921" i="3"/>
  <c r="O1920" i="3"/>
  <c r="N1920" i="3"/>
  <c r="M1920" i="3"/>
  <c r="L1920" i="3"/>
  <c r="I1920" i="3"/>
  <c r="O1919" i="3"/>
  <c r="N1919" i="3"/>
  <c r="M1919" i="3"/>
  <c r="L1919" i="3"/>
  <c r="I1919" i="3"/>
  <c r="O1918" i="3"/>
  <c r="N1918" i="3"/>
  <c r="M1918" i="3"/>
  <c r="L1918" i="3"/>
  <c r="I1918" i="3"/>
  <c r="O1917" i="3"/>
  <c r="N1917" i="3"/>
  <c r="M1917" i="3"/>
  <c r="L1917" i="3"/>
  <c r="I1917" i="3"/>
  <c r="O1916" i="3"/>
  <c r="N1916" i="3"/>
  <c r="M1916" i="3"/>
  <c r="L1916" i="3"/>
  <c r="I1916" i="3"/>
  <c r="O1915" i="3"/>
  <c r="N1915" i="3"/>
  <c r="M1915" i="3"/>
  <c r="L1915" i="3"/>
  <c r="I1915" i="3"/>
  <c r="O1914" i="3"/>
  <c r="N1914" i="3"/>
  <c r="M1914" i="3"/>
  <c r="L1914" i="3"/>
  <c r="I1914" i="3"/>
  <c r="O1913" i="3"/>
  <c r="N1913" i="3"/>
  <c r="M1913" i="3"/>
  <c r="L1913" i="3"/>
  <c r="I1913" i="3"/>
  <c r="O1912" i="3"/>
  <c r="N1912" i="3"/>
  <c r="M1912" i="3"/>
  <c r="L1912" i="3"/>
  <c r="I1912" i="3"/>
  <c r="O1911" i="3"/>
  <c r="N1911" i="3"/>
  <c r="M1911" i="3"/>
  <c r="L1911" i="3"/>
  <c r="I1911" i="3"/>
  <c r="O1910" i="3"/>
  <c r="N1910" i="3"/>
  <c r="M1910" i="3"/>
  <c r="L1910" i="3"/>
  <c r="I1910" i="3"/>
  <c r="O1909" i="3"/>
  <c r="N1909" i="3"/>
  <c r="M1909" i="3"/>
  <c r="L1909" i="3"/>
  <c r="I1909" i="3"/>
  <c r="O1908" i="3"/>
  <c r="N1908" i="3"/>
  <c r="M1908" i="3"/>
  <c r="L1908" i="3"/>
  <c r="I1908" i="3"/>
  <c r="O1907" i="3"/>
  <c r="N1907" i="3"/>
  <c r="M1907" i="3"/>
  <c r="L1907" i="3"/>
  <c r="I1907" i="3"/>
  <c r="O1906" i="3"/>
  <c r="N1906" i="3"/>
  <c r="M1906" i="3"/>
  <c r="L1906" i="3"/>
  <c r="I1906" i="3"/>
  <c r="O1905" i="3"/>
  <c r="N1905" i="3"/>
  <c r="M1905" i="3"/>
  <c r="L1905" i="3"/>
  <c r="I1905" i="3"/>
  <c r="O1904" i="3"/>
  <c r="N1904" i="3"/>
  <c r="M1904" i="3"/>
  <c r="L1904" i="3"/>
  <c r="I1904" i="3"/>
  <c r="O1903" i="3"/>
  <c r="N1903" i="3"/>
  <c r="M1903" i="3"/>
  <c r="L1903" i="3"/>
  <c r="I1903" i="3"/>
  <c r="O1902" i="3"/>
  <c r="N1902" i="3"/>
  <c r="M1902" i="3"/>
  <c r="L1902" i="3"/>
  <c r="I1902" i="3"/>
  <c r="O1901" i="3"/>
  <c r="N1901" i="3"/>
  <c r="M1901" i="3"/>
  <c r="L1901" i="3"/>
  <c r="I1901" i="3"/>
  <c r="O1900" i="3"/>
  <c r="N1900" i="3"/>
  <c r="M1900" i="3"/>
  <c r="L1900" i="3"/>
  <c r="I1900" i="3"/>
  <c r="O1899" i="3"/>
  <c r="N1899" i="3"/>
  <c r="M1899" i="3"/>
  <c r="L1899" i="3"/>
  <c r="I1899" i="3"/>
  <c r="O1898" i="3"/>
  <c r="N1898" i="3"/>
  <c r="M1898" i="3"/>
  <c r="L1898" i="3"/>
  <c r="I1898" i="3"/>
  <c r="O1897" i="3"/>
  <c r="N1897" i="3"/>
  <c r="M1897" i="3"/>
  <c r="L1897" i="3"/>
  <c r="I1897" i="3"/>
  <c r="O1896" i="3"/>
  <c r="N1896" i="3"/>
  <c r="M1896" i="3"/>
  <c r="L1896" i="3"/>
  <c r="I1896" i="3"/>
  <c r="O1895" i="3"/>
  <c r="N1895" i="3"/>
  <c r="M1895" i="3"/>
  <c r="L1895" i="3"/>
  <c r="I1895" i="3"/>
  <c r="O1894" i="3"/>
  <c r="N1894" i="3"/>
  <c r="M1894" i="3"/>
  <c r="L1894" i="3"/>
  <c r="I1894" i="3"/>
  <c r="O1893" i="3"/>
  <c r="N1893" i="3"/>
  <c r="M1893" i="3"/>
  <c r="L1893" i="3"/>
  <c r="I1893" i="3"/>
  <c r="O1892" i="3"/>
  <c r="N1892" i="3"/>
  <c r="M1892" i="3"/>
  <c r="L1892" i="3"/>
  <c r="I1892" i="3"/>
  <c r="O1891" i="3"/>
  <c r="N1891" i="3"/>
  <c r="M1891" i="3"/>
  <c r="L1891" i="3"/>
  <c r="I1891" i="3"/>
  <c r="O1890" i="3"/>
  <c r="N1890" i="3"/>
  <c r="M1890" i="3"/>
  <c r="L1890" i="3"/>
  <c r="I1890" i="3"/>
  <c r="O1889" i="3"/>
  <c r="N1889" i="3"/>
  <c r="M1889" i="3"/>
  <c r="L1889" i="3"/>
  <c r="I1889" i="3"/>
  <c r="O1888" i="3"/>
  <c r="N1888" i="3"/>
  <c r="M1888" i="3"/>
  <c r="L1888" i="3"/>
  <c r="I1888" i="3"/>
  <c r="O1887" i="3"/>
  <c r="N1887" i="3"/>
  <c r="M1887" i="3"/>
  <c r="L1887" i="3"/>
  <c r="I1887" i="3"/>
  <c r="O1886" i="3"/>
  <c r="N1886" i="3"/>
  <c r="M1886" i="3"/>
  <c r="L1886" i="3"/>
  <c r="I1886" i="3"/>
  <c r="O1885" i="3"/>
  <c r="N1885" i="3"/>
  <c r="M1885" i="3"/>
  <c r="L1885" i="3"/>
  <c r="I1885" i="3"/>
  <c r="O1884" i="3"/>
  <c r="N1884" i="3"/>
  <c r="M1884" i="3"/>
  <c r="L1884" i="3"/>
  <c r="I1884" i="3"/>
  <c r="O1883" i="3"/>
  <c r="N1883" i="3"/>
  <c r="M1883" i="3"/>
  <c r="L1883" i="3"/>
  <c r="I1883" i="3"/>
  <c r="O1882" i="3"/>
  <c r="N1882" i="3"/>
  <c r="M1882" i="3"/>
  <c r="L1882" i="3"/>
  <c r="I1882" i="3"/>
  <c r="O1881" i="3"/>
  <c r="N1881" i="3"/>
  <c r="M1881" i="3"/>
  <c r="L1881" i="3"/>
  <c r="I1881" i="3"/>
  <c r="O1880" i="3"/>
  <c r="N1880" i="3"/>
  <c r="M1880" i="3"/>
  <c r="L1880" i="3"/>
  <c r="I1880" i="3"/>
  <c r="O1879" i="3"/>
  <c r="N1879" i="3"/>
  <c r="M1879" i="3"/>
  <c r="L1879" i="3"/>
  <c r="I1879" i="3"/>
  <c r="O1878" i="3"/>
  <c r="N1878" i="3"/>
  <c r="M1878" i="3"/>
  <c r="L1878" i="3"/>
  <c r="I1878" i="3"/>
  <c r="O1877" i="3"/>
  <c r="N1877" i="3"/>
  <c r="M1877" i="3"/>
  <c r="L1877" i="3"/>
  <c r="I1877" i="3"/>
  <c r="O1876" i="3"/>
  <c r="N1876" i="3"/>
  <c r="M1876" i="3"/>
  <c r="L1876" i="3"/>
  <c r="I1876" i="3"/>
  <c r="O1875" i="3"/>
  <c r="N1875" i="3"/>
  <c r="M1875" i="3"/>
  <c r="L1875" i="3"/>
  <c r="I1875" i="3"/>
  <c r="O1874" i="3"/>
  <c r="N1874" i="3"/>
  <c r="M1874" i="3"/>
  <c r="L1874" i="3"/>
  <c r="I1874" i="3"/>
  <c r="O1873" i="3"/>
  <c r="N1873" i="3"/>
  <c r="M1873" i="3"/>
  <c r="L1873" i="3"/>
  <c r="I1873" i="3"/>
  <c r="O1872" i="3"/>
  <c r="N1872" i="3"/>
  <c r="M1872" i="3"/>
  <c r="L1872" i="3"/>
  <c r="I1872" i="3"/>
  <c r="O1871" i="3"/>
  <c r="N1871" i="3"/>
  <c r="M1871" i="3"/>
  <c r="L1871" i="3"/>
  <c r="I1871" i="3"/>
  <c r="O1870" i="3"/>
  <c r="N1870" i="3"/>
  <c r="M1870" i="3"/>
  <c r="L1870" i="3"/>
  <c r="I1870" i="3"/>
  <c r="O1869" i="3"/>
  <c r="N1869" i="3"/>
  <c r="M1869" i="3"/>
  <c r="L1869" i="3"/>
  <c r="I1869" i="3"/>
  <c r="O1868" i="3"/>
  <c r="N1868" i="3"/>
  <c r="M1868" i="3"/>
  <c r="L1868" i="3"/>
  <c r="I1868" i="3"/>
  <c r="O1867" i="3"/>
  <c r="N1867" i="3"/>
  <c r="M1867" i="3"/>
  <c r="L1867" i="3"/>
  <c r="I1867" i="3"/>
  <c r="O1866" i="3"/>
  <c r="N1866" i="3"/>
  <c r="M1866" i="3"/>
  <c r="L1866" i="3"/>
  <c r="I1866" i="3"/>
  <c r="O1865" i="3"/>
  <c r="N1865" i="3"/>
  <c r="M1865" i="3"/>
  <c r="L1865" i="3"/>
  <c r="I1865" i="3"/>
  <c r="O1864" i="3"/>
  <c r="N1864" i="3"/>
  <c r="M1864" i="3"/>
  <c r="L1864" i="3"/>
  <c r="I1864" i="3"/>
  <c r="O1863" i="3"/>
  <c r="N1863" i="3"/>
  <c r="M1863" i="3"/>
  <c r="L1863" i="3"/>
  <c r="I1863" i="3"/>
  <c r="O1862" i="3"/>
  <c r="N1862" i="3"/>
  <c r="M1862" i="3"/>
  <c r="L1862" i="3"/>
  <c r="I1862" i="3"/>
  <c r="O1861" i="3"/>
  <c r="N1861" i="3"/>
  <c r="M1861" i="3"/>
  <c r="L1861" i="3"/>
  <c r="I1861" i="3"/>
  <c r="O1860" i="3"/>
  <c r="N1860" i="3"/>
  <c r="M1860" i="3"/>
  <c r="L1860" i="3"/>
  <c r="I1860" i="3"/>
  <c r="O1859" i="3"/>
  <c r="N1859" i="3"/>
  <c r="M1859" i="3"/>
  <c r="L1859" i="3"/>
  <c r="I1859" i="3"/>
  <c r="O1858" i="3"/>
  <c r="N1858" i="3"/>
  <c r="M1858" i="3"/>
  <c r="L1858" i="3"/>
  <c r="I1858" i="3"/>
  <c r="O1857" i="3"/>
  <c r="N1857" i="3"/>
  <c r="M1857" i="3"/>
  <c r="L1857" i="3"/>
  <c r="I1857" i="3"/>
  <c r="O1856" i="3"/>
  <c r="N1856" i="3"/>
  <c r="M1856" i="3"/>
  <c r="L1856" i="3"/>
  <c r="I1856" i="3"/>
  <c r="O1855" i="3"/>
  <c r="N1855" i="3"/>
  <c r="M1855" i="3"/>
  <c r="L1855" i="3"/>
  <c r="I1855" i="3"/>
  <c r="O1854" i="3"/>
  <c r="N1854" i="3"/>
  <c r="M1854" i="3"/>
  <c r="L1854" i="3"/>
  <c r="I1854" i="3"/>
  <c r="O1853" i="3"/>
  <c r="N1853" i="3"/>
  <c r="M1853" i="3"/>
  <c r="L1853" i="3"/>
  <c r="I1853" i="3"/>
  <c r="O1852" i="3"/>
  <c r="N1852" i="3"/>
  <c r="M1852" i="3"/>
  <c r="L1852" i="3"/>
  <c r="I1852" i="3"/>
  <c r="O1851" i="3"/>
  <c r="N1851" i="3"/>
  <c r="M1851" i="3"/>
  <c r="L1851" i="3"/>
  <c r="I1851" i="3"/>
  <c r="O1850" i="3"/>
  <c r="N1850" i="3"/>
  <c r="M1850" i="3"/>
  <c r="L1850" i="3"/>
  <c r="I1850" i="3"/>
  <c r="O1849" i="3"/>
  <c r="N1849" i="3"/>
  <c r="M1849" i="3"/>
  <c r="L1849" i="3"/>
  <c r="I1849" i="3"/>
  <c r="O1848" i="3"/>
  <c r="N1848" i="3"/>
  <c r="M1848" i="3"/>
  <c r="L1848" i="3"/>
  <c r="I1848" i="3"/>
  <c r="O1847" i="3"/>
  <c r="N1847" i="3"/>
  <c r="M1847" i="3"/>
  <c r="L1847" i="3"/>
  <c r="I1847" i="3"/>
  <c r="O1846" i="3"/>
  <c r="N1846" i="3"/>
  <c r="M1846" i="3"/>
  <c r="L1846" i="3"/>
  <c r="I1846" i="3"/>
  <c r="O1845" i="3"/>
  <c r="N1845" i="3"/>
  <c r="M1845" i="3"/>
  <c r="L1845" i="3"/>
  <c r="I1845" i="3"/>
  <c r="O1844" i="3"/>
  <c r="N1844" i="3"/>
  <c r="M1844" i="3"/>
  <c r="L1844" i="3"/>
  <c r="I1844" i="3"/>
  <c r="O1843" i="3"/>
  <c r="N1843" i="3"/>
  <c r="M1843" i="3"/>
  <c r="L1843" i="3"/>
  <c r="I1843" i="3"/>
  <c r="O1842" i="3"/>
  <c r="N1842" i="3"/>
  <c r="M1842" i="3"/>
  <c r="L1842" i="3"/>
  <c r="I1842" i="3"/>
  <c r="O1841" i="3"/>
  <c r="N1841" i="3"/>
  <c r="M1841" i="3"/>
  <c r="L1841" i="3"/>
  <c r="I1841" i="3"/>
  <c r="O1840" i="3"/>
  <c r="N1840" i="3"/>
  <c r="M1840" i="3"/>
  <c r="L1840" i="3"/>
  <c r="I1840" i="3"/>
  <c r="O1839" i="3"/>
  <c r="N1839" i="3"/>
  <c r="M1839" i="3"/>
  <c r="L1839" i="3"/>
  <c r="I1839" i="3"/>
  <c r="O1838" i="3"/>
  <c r="N1838" i="3"/>
  <c r="M1838" i="3"/>
  <c r="L1838" i="3"/>
  <c r="I1838" i="3"/>
  <c r="O1837" i="3"/>
  <c r="N1837" i="3"/>
  <c r="M1837" i="3"/>
  <c r="L1837" i="3"/>
  <c r="I1837" i="3"/>
  <c r="O1836" i="3"/>
  <c r="N1836" i="3"/>
  <c r="M1836" i="3"/>
  <c r="L1836" i="3"/>
  <c r="I1836" i="3"/>
  <c r="O1835" i="3"/>
  <c r="N1835" i="3"/>
  <c r="M1835" i="3"/>
  <c r="L1835" i="3"/>
  <c r="I1835" i="3"/>
  <c r="O1834" i="3"/>
  <c r="N1834" i="3"/>
  <c r="M1834" i="3"/>
  <c r="L1834" i="3"/>
  <c r="I1834" i="3"/>
  <c r="O1833" i="3"/>
  <c r="N1833" i="3"/>
  <c r="M1833" i="3"/>
  <c r="L1833" i="3"/>
  <c r="I1833" i="3"/>
  <c r="O1832" i="3"/>
  <c r="N1832" i="3"/>
  <c r="M1832" i="3"/>
  <c r="L1832" i="3"/>
  <c r="I1832" i="3"/>
  <c r="O1831" i="3"/>
  <c r="N1831" i="3"/>
  <c r="M1831" i="3"/>
  <c r="L1831" i="3"/>
  <c r="I1831" i="3"/>
  <c r="O1830" i="3"/>
  <c r="N1830" i="3"/>
  <c r="M1830" i="3"/>
  <c r="L1830" i="3"/>
  <c r="I1830" i="3"/>
  <c r="O1829" i="3"/>
  <c r="N1829" i="3"/>
  <c r="M1829" i="3"/>
  <c r="L1829" i="3"/>
  <c r="I1829" i="3"/>
  <c r="O1828" i="3"/>
  <c r="N1828" i="3"/>
  <c r="M1828" i="3"/>
  <c r="L1828" i="3"/>
  <c r="I1828" i="3"/>
  <c r="O1827" i="3"/>
  <c r="N1827" i="3"/>
  <c r="M1827" i="3"/>
  <c r="L1827" i="3"/>
  <c r="I1827" i="3"/>
  <c r="O1826" i="3"/>
  <c r="N1826" i="3"/>
  <c r="M1826" i="3"/>
  <c r="L1826" i="3"/>
  <c r="I1826" i="3"/>
  <c r="O1825" i="3"/>
  <c r="N1825" i="3"/>
  <c r="M1825" i="3"/>
  <c r="L1825" i="3"/>
  <c r="I1825" i="3"/>
  <c r="O1824" i="3"/>
  <c r="N1824" i="3"/>
  <c r="M1824" i="3"/>
  <c r="L1824" i="3"/>
  <c r="I1824" i="3"/>
  <c r="O1823" i="3"/>
  <c r="N1823" i="3"/>
  <c r="M1823" i="3"/>
  <c r="L1823" i="3"/>
  <c r="I1823" i="3"/>
  <c r="O1822" i="3"/>
  <c r="N1822" i="3"/>
  <c r="M1822" i="3"/>
  <c r="L1822" i="3"/>
  <c r="I1822" i="3"/>
  <c r="O1821" i="3"/>
  <c r="N1821" i="3"/>
  <c r="M1821" i="3"/>
  <c r="L1821" i="3"/>
  <c r="I1821" i="3"/>
  <c r="O1820" i="3"/>
  <c r="N1820" i="3"/>
  <c r="M1820" i="3"/>
  <c r="L1820" i="3"/>
  <c r="I1820" i="3"/>
  <c r="O1819" i="3"/>
  <c r="N1819" i="3"/>
  <c r="M1819" i="3"/>
  <c r="L1819" i="3"/>
  <c r="I1819" i="3"/>
  <c r="O1818" i="3"/>
  <c r="N1818" i="3"/>
  <c r="M1818" i="3"/>
  <c r="L1818" i="3"/>
  <c r="I1818" i="3"/>
  <c r="O1817" i="3"/>
  <c r="N1817" i="3"/>
  <c r="M1817" i="3"/>
  <c r="L1817" i="3"/>
  <c r="I1817" i="3"/>
  <c r="O1816" i="3"/>
  <c r="N1816" i="3"/>
  <c r="M1816" i="3"/>
  <c r="L1816" i="3"/>
  <c r="I1816" i="3"/>
  <c r="O1815" i="3"/>
  <c r="N1815" i="3"/>
  <c r="M1815" i="3"/>
  <c r="L1815" i="3"/>
  <c r="I1815" i="3"/>
  <c r="O1814" i="3"/>
  <c r="N1814" i="3"/>
  <c r="M1814" i="3"/>
  <c r="L1814" i="3"/>
  <c r="I1814" i="3"/>
  <c r="O1813" i="3"/>
  <c r="N1813" i="3"/>
  <c r="M1813" i="3"/>
  <c r="L1813" i="3"/>
  <c r="I1813" i="3"/>
  <c r="O1812" i="3"/>
  <c r="N1812" i="3"/>
  <c r="M1812" i="3"/>
  <c r="L1812" i="3"/>
  <c r="I1812" i="3"/>
  <c r="O1811" i="3"/>
  <c r="N1811" i="3"/>
  <c r="M1811" i="3"/>
  <c r="L1811" i="3"/>
  <c r="I1811" i="3"/>
  <c r="O1810" i="3"/>
  <c r="N1810" i="3"/>
  <c r="M1810" i="3"/>
  <c r="L1810" i="3"/>
  <c r="I1810" i="3"/>
  <c r="O1809" i="3"/>
  <c r="N1809" i="3"/>
  <c r="M1809" i="3"/>
  <c r="L1809" i="3"/>
  <c r="I1809" i="3"/>
  <c r="O1808" i="3"/>
  <c r="N1808" i="3"/>
  <c r="M1808" i="3"/>
  <c r="L1808" i="3"/>
  <c r="I1808" i="3"/>
  <c r="O1807" i="3"/>
  <c r="N1807" i="3"/>
  <c r="M1807" i="3"/>
  <c r="L1807" i="3"/>
  <c r="I1807" i="3"/>
  <c r="O1806" i="3"/>
  <c r="N1806" i="3"/>
  <c r="M1806" i="3"/>
  <c r="L1806" i="3"/>
  <c r="I1806" i="3"/>
  <c r="O1805" i="3"/>
  <c r="N1805" i="3"/>
  <c r="M1805" i="3"/>
  <c r="L1805" i="3"/>
  <c r="I1805" i="3"/>
  <c r="O1804" i="3"/>
  <c r="N1804" i="3"/>
  <c r="M1804" i="3"/>
  <c r="L1804" i="3"/>
  <c r="I1804" i="3"/>
  <c r="O1803" i="3"/>
  <c r="N1803" i="3"/>
  <c r="M1803" i="3"/>
  <c r="L1803" i="3"/>
  <c r="I1803" i="3"/>
  <c r="O1802" i="3"/>
  <c r="N1802" i="3"/>
  <c r="M1802" i="3"/>
  <c r="L1802" i="3"/>
  <c r="I1802" i="3"/>
  <c r="O1801" i="3"/>
  <c r="N1801" i="3"/>
  <c r="M1801" i="3"/>
  <c r="L1801" i="3"/>
  <c r="I1801" i="3"/>
  <c r="O1800" i="3"/>
  <c r="N1800" i="3"/>
  <c r="M1800" i="3"/>
  <c r="L1800" i="3"/>
  <c r="I1800" i="3"/>
  <c r="O1799" i="3"/>
  <c r="N1799" i="3"/>
  <c r="M1799" i="3"/>
  <c r="L1799" i="3"/>
  <c r="I1799" i="3"/>
  <c r="O1798" i="3"/>
  <c r="N1798" i="3"/>
  <c r="M1798" i="3"/>
  <c r="L1798" i="3"/>
  <c r="I1798" i="3"/>
  <c r="O1797" i="3"/>
  <c r="N1797" i="3"/>
  <c r="M1797" i="3"/>
  <c r="L1797" i="3"/>
  <c r="I1797" i="3"/>
  <c r="O1796" i="3"/>
  <c r="N1796" i="3"/>
  <c r="M1796" i="3"/>
  <c r="L1796" i="3"/>
  <c r="I1796" i="3"/>
  <c r="O1795" i="3"/>
  <c r="N1795" i="3"/>
  <c r="M1795" i="3"/>
  <c r="L1795" i="3"/>
  <c r="I1795" i="3"/>
  <c r="O1794" i="3"/>
  <c r="N1794" i="3"/>
  <c r="M1794" i="3"/>
  <c r="L1794" i="3"/>
  <c r="I1794" i="3"/>
  <c r="O1793" i="3"/>
  <c r="N1793" i="3"/>
  <c r="M1793" i="3"/>
  <c r="L1793" i="3"/>
  <c r="I1793" i="3"/>
  <c r="O1792" i="3"/>
  <c r="N1792" i="3"/>
  <c r="M1792" i="3"/>
  <c r="L1792" i="3"/>
  <c r="I1792" i="3"/>
  <c r="O1791" i="3"/>
  <c r="N1791" i="3"/>
  <c r="M1791" i="3"/>
  <c r="L1791" i="3"/>
  <c r="I1791" i="3"/>
  <c r="O1790" i="3"/>
  <c r="N1790" i="3"/>
  <c r="M1790" i="3"/>
  <c r="L1790" i="3"/>
  <c r="I1790" i="3"/>
  <c r="O1789" i="3"/>
  <c r="N1789" i="3"/>
  <c r="M1789" i="3"/>
  <c r="L1789" i="3"/>
  <c r="I1789" i="3"/>
  <c r="O1788" i="3"/>
  <c r="N1788" i="3"/>
  <c r="M1788" i="3"/>
  <c r="L1788" i="3"/>
  <c r="I1788" i="3"/>
  <c r="O1787" i="3"/>
  <c r="N1787" i="3"/>
  <c r="M1787" i="3"/>
  <c r="L1787" i="3"/>
  <c r="I1787" i="3"/>
  <c r="O1786" i="3"/>
  <c r="N1786" i="3"/>
  <c r="M1786" i="3"/>
  <c r="L1786" i="3"/>
  <c r="I1786" i="3"/>
  <c r="O1785" i="3"/>
  <c r="N1785" i="3"/>
  <c r="M1785" i="3"/>
  <c r="L1785" i="3"/>
  <c r="I1785" i="3"/>
  <c r="O1784" i="3"/>
  <c r="N1784" i="3"/>
  <c r="M1784" i="3"/>
  <c r="L1784" i="3"/>
  <c r="I1784" i="3"/>
  <c r="O1783" i="3"/>
  <c r="N1783" i="3"/>
  <c r="M1783" i="3"/>
  <c r="L1783" i="3"/>
  <c r="I1783" i="3"/>
  <c r="O1782" i="3"/>
  <c r="N1782" i="3"/>
  <c r="M1782" i="3"/>
  <c r="L1782" i="3"/>
  <c r="I1782" i="3"/>
  <c r="O1781" i="3"/>
  <c r="N1781" i="3"/>
  <c r="M1781" i="3"/>
  <c r="L1781" i="3"/>
  <c r="I1781" i="3"/>
  <c r="O1780" i="3"/>
  <c r="N1780" i="3"/>
  <c r="M1780" i="3"/>
  <c r="L1780" i="3"/>
  <c r="I1780" i="3"/>
  <c r="O1779" i="3"/>
  <c r="N1779" i="3"/>
  <c r="M1779" i="3"/>
  <c r="L1779" i="3"/>
  <c r="I1779" i="3"/>
  <c r="O1778" i="3"/>
  <c r="N1778" i="3"/>
  <c r="M1778" i="3"/>
  <c r="L1778" i="3"/>
  <c r="I1778" i="3"/>
  <c r="O1777" i="3"/>
  <c r="N1777" i="3"/>
  <c r="M1777" i="3"/>
  <c r="L1777" i="3"/>
  <c r="I1777" i="3"/>
  <c r="O1776" i="3"/>
  <c r="N1776" i="3"/>
  <c r="M1776" i="3"/>
  <c r="L1776" i="3"/>
  <c r="I1776" i="3"/>
  <c r="O1775" i="3"/>
  <c r="N1775" i="3"/>
  <c r="M1775" i="3"/>
  <c r="L1775" i="3"/>
  <c r="I1775" i="3"/>
  <c r="O1774" i="3"/>
  <c r="N1774" i="3"/>
  <c r="M1774" i="3"/>
  <c r="L1774" i="3"/>
  <c r="I1774" i="3"/>
  <c r="O1773" i="3"/>
  <c r="N1773" i="3"/>
  <c r="M1773" i="3"/>
  <c r="L1773" i="3"/>
  <c r="I1773" i="3"/>
  <c r="O1772" i="3"/>
  <c r="N1772" i="3"/>
  <c r="M1772" i="3"/>
  <c r="L1772" i="3"/>
  <c r="I1772" i="3"/>
  <c r="O1771" i="3"/>
  <c r="N1771" i="3"/>
  <c r="M1771" i="3"/>
  <c r="L1771" i="3"/>
  <c r="I1771" i="3"/>
  <c r="O1770" i="3"/>
  <c r="N1770" i="3"/>
  <c r="M1770" i="3"/>
  <c r="L1770" i="3"/>
  <c r="I1770" i="3"/>
  <c r="O1769" i="3"/>
  <c r="N1769" i="3"/>
  <c r="M1769" i="3"/>
  <c r="L1769" i="3"/>
  <c r="I1769" i="3"/>
  <c r="O1768" i="3"/>
  <c r="N1768" i="3"/>
  <c r="M1768" i="3"/>
  <c r="L1768" i="3"/>
  <c r="I1768" i="3"/>
  <c r="O1767" i="3"/>
  <c r="N1767" i="3"/>
  <c r="M1767" i="3"/>
  <c r="L1767" i="3"/>
  <c r="I1767" i="3"/>
  <c r="O1766" i="3"/>
  <c r="N1766" i="3"/>
  <c r="M1766" i="3"/>
  <c r="L1766" i="3"/>
  <c r="I1766" i="3"/>
  <c r="O1765" i="3"/>
  <c r="N1765" i="3"/>
  <c r="M1765" i="3"/>
  <c r="L1765" i="3"/>
  <c r="I1765" i="3"/>
  <c r="O1764" i="3"/>
  <c r="N1764" i="3"/>
  <c r="M1764" i="3"/>
  <c r="L1764" i="3"/>
  <c r="I1764" i="3"/>
  <c r="O1763" i="3"/>
  <c r="N1763" i="3"/>
  <c r="M1763" i="3"/>
  <c r="L1763" i="3"/>
  <c r="I1763" i="3"/>
  <c r="O1762" i="3"/>
  <c r="N1762" i="3"/>
  <c r="M1762" i="3"/>
  <c r="L1762" i="3"/>
  <c r="I1762" i="3"/>
  <c r="O1761" i="3"/>
  <c r="N1761" i="3"/>
  <c r="M1761" i="3"/>
  <c r="L1761" i="3"/>
  <c r="I1761" i="3"/>
  <c r="O1760" i="3"/>
  <c r="N1760" i="3"/>
  <c r="M1760" i="3"/>
  <c r="L1760" i="3"/>
  <c r="I1760" i="3"/>
  <c r="O1759" i="3"/>
  <c r="N1759" i="3"/>
  <c r="M1759" i="3"/>
  <c r="L1759" i="3"/>
  <c r="I1759" i="3"/>
  <c r="O1758" i="3"/>
  <c r="N1758" i="3"/>
  <c r="M1758" i="3"/>
  <c r="L1758" i="3"/>
  <c r="I1758" i="3"/>
  <c r="O1757" i="3"/>
  <c r="N1757" i="3"/>
  <c r="M1757" i="3"/>
  <c r="L1757" i="3"/>
  <c r="I1757" i="3"/>
  <c r="O1756" i="3"/>
  <c r="N1756" i="3"/>
  <c r="M1756" i="3"/>
  <c r="L1756" i="3"/>
  <c r="I1756" i="3"/>
  <c r="O1755" i="3"/>
  <c r="N1755" i="3"/>
  <c r="M1755" i="3"/>
  <c r="L1755" i="3"/>
  <c r="I1755" i="3"/>
  <c r="O1754" i="3"/>
  <c r="N1754" i="3"/>
  <c r="M1754" i="3"/>
  <c r="L1754" i="3"/>
  <c r="I1754" i="3"/>
  <c r="O1753" i="3"/>
  <c r="N1753" i="3"/>
  <c r="M1753" i="3"/>
  <c r="L1753" i="3"/>
  <c r="I1753" i="3"/>
  <c r="O1752" i="3"/>
  <c r="N1752" i="3"/>
  <c r="M1752" i="3"/>
  <c r="L1752" i="3"/>
  <c r="I1752" i="3"/>
  <c r="O1751" i="3"/>
  <c r="N1751" i="3"/>
  <c r="M1751" i="3"/>
  <c r="L1751" i="3"/>
  <c r="I1751" i="3"/>
  <c r="O1750" i="3"/>
  <c r="N1750" i="3"/>
  <c r="M1750" i="3"/>
  <c r="L1750" i="3"/>
  <c r="I1750" i="3"/>
  <c r="O1749" i="3"/>
  <c r="N1749" i="3"/>
  <c r="M1749" i="3"/>
  <c r="L1749" i="3"/>
  <c r="I1749" i="3"/>
  <c r="O1748" i="3"/>
  <c r="N1748" i="3"/>
  <c r="M1748" i="3"/>
  <c r="L1748" i="3"/>
  <c r="I1748" i="3"/>
  <c r="O1747" i="3"/>
  <c r="N1747" i="3"/>
  <c r="M1747" i="3"/>
  <c r="L1747" i="3"/>
  <c r="I1747" i="3"/>
  <c r="O1746" i="3"/>
  <c r="N1746" i="3"/>
  <c r="M1746" i="3"/>
  <c r="L1746" i="3"/>
  <c r="I1746" i="3"/>
  <c r="O1745" i="3"/>
  <c r="N1745" i="3"/>
  <c r="M1745" i="3"/>
  <c r="L1745" i="3"/>
  <c r="I1745" i="3"/>
  <c r="O1744" i="3"/>
  <c r="N1744" i="3"/>
  <c r="M1744" i="3"/>
  <c r="L1744" i="3"/>
  <c r="I1744" i="3"/>
  <c r="O1743" i="3"/>
  <c r="N1743" i="3"/>
  <c r="M1743" i="3"/>
  <c r="L1743" i="3"/>
  <c r="I1743" i="3"/>
  <c r="O1742" i="3"/>
  <c r="N1742" i="3"/>
  <c r="M1742" i="3"/>
  <c r="L1742" i="3"/>
  <c r="I1742" i="3"/>
  <c r="O1741" i="3"/>
  <c r="N1741" i="3"/>
  <c r="M1741" i="3"/>
  <c r="L1741" i="3"/>
  <c r="I1741" i="3"/>
  <c r="O1740" i="3"/>
  <c r="N1740" i="3"/>
  <c r="M1740" i="3"/>
  <c r="L1740" i="3"/>
  <c r="I1740" i="3"/>
  <c r="O1739" i="3"/>
  <c r="N1739" i="3"/>
  <c r="M1739" i="3"/>
  <c r="L1739" i="3"/>
  <c r="I1739" i="3"/>
  <c r="O1738" i="3"/>
  <c r="N1738" i="3"/>
  <c r="M1738" i="3"/>
  <c r="L1738" i="3"/>
  <c r="I1738" i="3"/>
  <c r="O1737" i="3"/>
  <c r="N1737" i="3"/>
  <c r="M1737" i="3"/>
  <c r="L1737" i="3"/>
  <c r="I1737" i="3"/>
  <c r="O1736" i="3"/>
  <c r="N1736" i="3"/>
  <c r="M1736" i="3"/>
  <c r="L1736" i="3"/>
  <c r="I1736" i="3"/>
  <c r="O1735" i="3"/>
  <c r="N1735" i="3"/>
  <c r="M1735" i="3"/>
  <c r="L1735" i="3"/>
  <c r="I1735" i="3"/>
  <c r="O1734" i="3"/>
  <c r="N1734" i="3"/>
  <c r="M1734" i="3"/>
  <c r="L1734" i="3"/>
  <c r="I1734" i="3"/>
  <c r="O1733" i="3"/>
  <c r="N1733" i="3"/>
  <c r="M1733" i="3"/>
  <c r="L1733" i="3"/>
  <c r="I1733" i="3"/>
  <c r="O1732" i="3"/>
  <c r="N1732" i="3"/>
  <c r="M1732" i="3"/>
  <c r="L1732" i="3"/>
  <c r="I1732" i="3"/>
  <c r="O1731" i="3"/>
  <c r="N1731" i="3"/>
  <c r="M1731" i="3"/>
  <c r="L1731" i="3"/>
  <c r="I1731" i="3"/>
  <c r="O1730" i="3"/>
  <c r="N1730" i="3"/>
  <c r="M1730" i="3"/>
  <c r="L1730" i="3"/>
  <c r="I1730" i="3"/>
  <c r="O1729" i="3"/>
  <c r="N1729" i="3"/>
  <c r="M1729" i="3"/>
  <c r="L1729" i="3"/>
  <c r="I1729" i="3"/>
  <c r="O1728" i="3"/>
  <c r="N1728" i="3"/>
  <c r="M1728" i="3"/>
  <c r="L1728" i="3"/>
  <c r="I1728" i="3"/>
  <c r="O1727" i="3"/>
  <c r="N1727" i="3"/>
  <c r="M1727" i="3"/>
  <c r="L1727" i="3"/>
  <c r="I1727" i="3"/>
  <c r="O1726" i="3"/>
  <c r="N1726" i="3"/>
  <c r="M1726" i="3"/>
  <c r="L1726" i="3"/>
  <c r="I1726" i="3"/>
  <c r="O1725" i="3"/>
  <c r="N1725" i="3"/>
  <c r="M1725" i="3"/>
  <c r="L1725" i="3"/>
  <c r="I1725" i="3"/>
  <c r="O1724" i="3"/>
  <c r="N1724" i="3"/>
  <c r="M1724" i="3"/>
  <c r="L1724" i="3"/>
  <c r="I1724" i="3"/>
  <c r="O1723" i="3"/>
  <c r="N1723" i="3"/>
  <c r="M1723" i="3"/>
  <c r="L1723" i="3"/>
  <c r="I1723" i="3"/>
  <c r="O1722" i="3"/>
  <c r="N1722" i="3"/>
  <c r="M1722" i="3"/>
  <c r="L1722" i="3"/>
  <c r="I1722" i="3"/>
  <c r="O1721" i="3"/>
  <c r="N1721" i="3"/>
  <c r="M1721" i="3"/>
  <c r="L1721" i="3"/>
  <c r="I1721" i="3"/>
  <c r="O1720" i="3"/>
  <c r="N1720" i="3"/>
  <c r="M1720" i="3"/>
  <c r="L1720" i="3"/>
  <c r="I1720" i="3"/>
  <c r="O1719" i="3"/>
  <c r="N1719" i="3"/>
  <c r="M1719" i="3"/>
  <c r="L1719" i="3"/>
  <c r="I1719" i="3"/>
  <c r="O1718" i="3"/>
  <c r="N1718" i="3"/>
  <c r="M1718" i="3"/>
  <c r="L1718" i="3"/>
  <c r="I1718" i="3"/>
  <c r="O1717" i="3"/>
  <c r="N1717" i="3"/>
  <c r="M1717" i="3"/>
  <c r="L1717" i="3"/>
  <c r="I1717" i="3"/>
  <c r="O1716" i="3"/>
  <c r="N1716" i="3"/>
  <c r="M1716" i="3"/>
  <c r="L1716" i="3"/>
  <c r="I1716" i="3"/>
  <c r="O1715" i="3"/>
  <c r="N1715" i="3"/>
  <c r="M1715" i="3"/>
  <c r="L1715" i="3"/>
  <c r="I1715" i="3"/>
  <c r="O1714" i="3"/>
  <c r="N1714" i="3"/>
  <c r="M1714" i="3"/>
  <c r="L1714" i="3"/>
  <c r="I1714" i="3"/>
  <c r="O1713" i="3"/>
  <c r="N1713" i="3"/>
  <c r="M1713" i="3"/>
  <c r="L1713" i="3"/>
  <c r="I1713" i="3"/>
  <c r="O1712" i="3"/>
  <c r="N1712" i="3"/>
  <c r="M1712" i="3"/>
  <c r="L1712" i="3"/>
  <c r="I1712" i="3"/>
  <c r="O1711" i="3"/>
  <c r="N1711" i="3"/>
  <c r="M1711" i="3"/>
  <c r="L1711" i="3"/>
  <c r="I1711" i="3"/>
  <c r="O1710" i="3"/>
  <c r="N1710" i="3"/>
  <c r="M1710" i="3"/>
  <c r="L1710" i="3"/>
  <c r="I1710" i="3"/>
  <c r="O1709" i="3"/>
  <c r="N1709" i="3"/>
  <c r="M1709" i="3"/>
  <c r="L1709" i="3"/>
  <c r="I1709" i="3"/>
  <c r="O1708" i="3"/>
  <c r="N1708" i="3"/>
  <c r="M1708" i="3"/>
  <c r="L1708" i="3"/>
  <c r="I1708" i="3"/>
  <c r="O1707" i="3"/>
  <c r="N1707" i="3"/>
  <c r="M1707" i="3"/>
  <c r="L1707" i="3"/>
  <c r="I1707" i="3"/>
  <c r="O1706" i="3"/>
  <c r="N1706" i="3"/>
  <c r="M1706" i="3"/>
  <c r="L1706" i="3"/>
  <c r="I1706" i="3"/>
  <c r="O1705" i="3"/>
  <c r="N1705" i="3"/>
  <c r="M1705" i="3"/>
  <c r="L1705" i="3"/>
  <c r="I1705" i="3"/>
  <c r="O1704" i="3"/>
  <c r="N1704" i="3"/>
  <c r="M1704" i="3"/>
  <c r="L1704" i="3"/>
  <c r="I1704" i="3"/>
  <c r="O1703" i="3"/>
  <c r="N1703" i="3"/>
  <c r="M1703" i="3"/>
  <c r="L1703" i="3"/>
  <c r="I1703" i="3"/>
  <c r="O1702" i="3"/>
  <c r="N1702" i="3"/>
  <c r="M1702" i="3"/>
  <c r="L1702" i="3"/>
  <c r="I1702" i="3"/>
  <c r="O1701" i="3"/>
  <c r="N1701" i="3"/>
  <c r="M1701" i="3"/>
  <c r="L1701" i="3"/>
  <c r="I1701" i="3"/>
  <c r="O1700" i="3"/>
  <c r="N1700" i="3"/>
  <c r="M1700" i="3"/>
  <c r="L1700" i="3"/>
  <c r="I1700" i="3"/>
  <c r="O1699" i="3"/>
  <c r="N1699" i="3"/>
  <c r="M1699" i="3"/>
  <c r="L1699" i="3"/>
  <c r="I1699" i="3"/>
  <c r="O1698" i="3"/>
  <c r="N1698" i="3"/>
  <c r="M1698" i="3"/>
  <c r="L1698" i="3"/>
  <c r="I1698" i="3"/>
  <c r="O1697" i="3"/>
  <c r="N1697" i="3"/>
  <c r="M1697" i="3"/>
  <c r="L1697" i="3"/>
  <c r="I1697" i="3"/>
  <c r="O1696" i="3"/>
  <c r="N1696" i="3"/>
  <c r="M1696" i="3"/>
  <c r="L1696" i="3"/>
  <c r="I1696" i="3"/>
  <c r="O1695" i="3"/>
  <c r="N1695" i="3"/>
  <c r="M1695" i="3"/>
  <c r="L1695" i="3"/>
  <c r="I1695" i="3"/>
  <c r="O1694" i="3"/>
  <c r="N1694" i="3"/>
  <c r="M1694" i="3"/>
  <c r="L1694" i="3"/>
  <c r="I1694" i="3"/>
  <c r="O1693" i="3"/>
  <c r="N1693" i="3"/>
  <c r="M1693" i="3"/>
  <c r="L1693" i="3"/>
  <c r="I1693" i="3"/>
  <c r="O1692" i="3"/>
  <c r="N1692" i="3"/>
  <c r="M1692" i="3"/>
  <c r="L1692" i="3"/>
  <c r="I1692" i="3"/>
  <c r="O1691" i="3"/>
  <c r="N1691" i="3"/>
  <c r="M1691" i="3"/>
  <c r="L1691" i="3"/>
  <c r="I1691" i="3"/>
  <c r="O1690" i="3"/>
  <c r="N1690" i="3"/>
  <c r="M1690" i="3"/>
  <c r="L1690" i="3"/>
  <c r="I1690" i="3"/>
  <c r="O1689" i="3"/>
  <c r="N1689" i="3"/>
  <c r="M1689" i="3"/>
  <c r="L1689" i="3"/>
  <c r="I1689" i="3"/>
  <c r="O1688" i="3"/>
  <c r="N1688" i="3"/>
  <c r="M1688" i="3"/>
  <c r="L1688" i="3"/>
  <c r="I1688" i="3"/>
  <c r="O1687" i="3"/>
  <c r="N1687" i="3"/>
  <c r="M1687" i="3"/>
  <c r="L1687" i="3"/>
  <c r="I1687" i="3"/>
  <c r="O1686" i="3"/>
  <c r="N1686" i="3"/>
  <c r="M1686" i="3"/>
  <c r="L1686" i="3"/>
  <c r="I1686" i="3"/>
  <c r="O1685" i="3"/>
  <c r="N1685" i="3"/>
  <c r="M1685" i="3"/>
  <c r="L1685" i="3"/>
  <c r="I1685" i="3"/>
  <c r="O1684" i="3"/>
  <c r="N1684" i="3"/>
  <c r="M1684" i="3"/>
  <c r="L1684" i="3"/>
  <c r="I1684" i="3"/>
  <c r="O1683" i="3"/>
  <c r="N1683" i="3"/>
  <c r="M1683" i="3"/>
  <c r="L1683" i="3"/>
  <c r="I1683" i="3"/>
  <c r="O1682" i="3"/>
  <c r="N1682" i="3"/>
  <c r="M1682" i="3"/>
  <c r="L1682" i="3"/>
  <c r="I1682" i="3"/>
  <c r="O1681" i="3"/>
  <c r="N1681" i="3"/>
  <c r="M1681" i="3"/>
  <c r="L1681" i="3"/>
  <c r="I1681" i="3"/>
  <c r="O1680" i="3"/>
  <c r="N1680" i="3"/>
  <c r="M1680" i="3"/>
  <c r="L1680" i="3"/>
  <c r="I1680" i="3"/>
  <c r="O1679" i="3"/>
  <c r="N1679" i="3"/>
  <c r="M1679" i="3"/>
  <c r="L1679" i="3"/>
  <c r="I1679" i="3"/>
  <c r="O1678" i="3"/>
  <c r="N1678" i="3"/>
  <c r="M1678" i="3"/>
  <c r="L1678" i="3"/>
  <c r="I1678" i="3"/>
  <c r="O1677" i="3"/>
  <c r="N1677" i="3"/>
  <c r="M1677" i="3"/>
  <c r="L1677" i="3"/>
  <c r="I1677" i="3"/>
  <c r="O1676" i="3"/>
  <c r="N1676" i="3"/>
  <c r="M1676" i="3"/>
  <c r="L1676" i="3"/>
  <c r="I1676" i="3"/>
  <c r="O1675" i="3"/>
  <c r="N1675" i="3"/>
  <c r="M1675" i="3"/>
  <c r="L1675" i="3"/>
  <c r="I1675" i="3"/>
  <c r="O1674" i="3"/>
  <c r="N1674" i="3"/>
  <c r="M1674" i="3"/>
  <c r="L1674" i="3"/>
  <c r="I1674" i="3"/>
  <c r="O1673" i="3"/>
  <c r="N1673" i="3"/>
  <c r="M1673" i="3"/>
  <c r="L1673" i="3"/>
  <c r="I1673" i="3"/>
  <c r="O1672" i="3"/>
  <c r="N1672" i="3"/>
  <c r="M1672" i="3"/>
  <c r="L1672" i="3"/>
  <c r="I1672" i="3"/>
  <c r="O1671" i="3"/>
  <c r="N1671" i="3"/>
  <c r="M1671" i="3"/>
  <c r="L1671" i="3"/>
  <c r="I1671" i="3"/>
  <c r="O1670" i="3"/>
  <c r="N1670" i="3"/>
  <c r="M1670" i="3"/>
  <c r="L1670" i="3"/>
  <c r="I1670" i="3"/>
  <c r="O1669" i="3"/>
  <c r="N1669" i="3"/>
  <c r="M1669" i="3"/>
  <c r="L1669" i="3"/>
  <c r="I1669" i="3"/>
  <c r="O1668" i="3"/>
  <c r="N1668" i="3"/>
  <c r="M1668" i="3"/>
  <c r="L1668" i="3"/>
  <c r="I1668" i="3"/>
  <c r="O1667" i="3"/>
  <c r="N1667" i="3"/>
  <c r="M1667" i="3"/>
  <c r="L1667" i="3"/>
  <c r="I1667" i="3"/>
  <c r="O1666" i="3"/>
  <c r="N1666" i="3"/>
  <c r="M1666" i="3"/>
  <c r="L1666" i="3"/>
  <c r="I1666" i="3"/>
  <c r="O1665" i="3"/>
  <c r="N1665" i="3"/>
  <c r="M1665" i="3"/>
  <c r="L1665" i="3"/>
  <c r="I1665" i="3"/>
  <c r="O1664" i="3"/>
  <c r="N1664" i="3"/>
  <c r="M1664" i="3"/>
  <c r="L1664" i="3"/>
  <c r="I1664" i="3"/>
  <c r="O1663" i="3"/>
  <c r="N1663" i="3"/>
  <c r="M1663" i="3"/>
  <c r="L1663" i="3"/>
  <c r="I1663" i="3"/>
  <c r="O1662" i="3"/>
  <c r="N1662" i="3"/>
  <c r="M1662" i="3"/>
  <c r="L1662" i="3"/>
  <c r="I1662" i="3"/>
  <c r="O1661" i="3"/>
  <c r="N1661" i="3"/>
  <c r="M1661" i="3"/>
  <c r="L1661" i="3"/>
  <c r="I1661" i="3"/>
  <c r="O1660" i="3"/>
  <c r="N1660" i="3"/>
  <c r="M1660" i="3"/>
  <c r="L1660" i="3"/>
  <c r="I1660" i="3"/>
  <c r="O1659" i="3"/>
  <c r="N1659" i="3"/>
  <c r="M1659" i="3"/>
  <c r="L1659" i="3"/>
  <c r="I1659" i="3"/>
  <c r="O1658" i="3"/>
  <c r="N1658" i="3"/>
  <c r="M1658" i="3"/>
  <c r="L1658" i="3"/>
  <c r="I1658" i="3"/>
  <c r="O1657" i="3"/>
  <c r="N1657" i="3"/>
  <c r="M1657" i="3"/>
  <c r="L1657" i="3"/>
  <c r="I1657" i="3"/>
  <c r="O1656" i="3"/>
  <c r="N1656" i="3"/>
  <c r="M1656" i="3"/>
  <c r="L1656" i="3"/>
  <c r="I1656" i="3"/>
  <c r="O1655" i="3"/>
  <c r="N1655" i="3"/>
  <c r="M1655" i="3"/>
  <c r="L1655" i="3"/>
  <c r="I1655" i="3"/>
  <c r="O1654" i="3"/>
  <c r="N1654" i="3"/>
  <c r="M1654" i="3"/>
  <c r="L1654" i="3"/>
  <c r="I1654" i="3"/>
  <c r="O1653" i="3"/>
  <c r="N1653" i="3"/>
  <c r="M1653" i="3"/>
  <c r="L1653" i="3"/>
  <c r="I1653" i="3"/>
  <c r="O1652" i="3"/>
  <c r="N1652" i="3"/>
  <c r="M1652" i="3"/>
  <c r="L1652" i="3"/>
  <c r="I1652" i="3"/>
  <c r="O1651" i="3"/>
  <c r="N1651" i="3"/>
  <c r="M1651" i="3"/>
  <c r="L1651" i="3"/>
  <c r="I1651" i="3"/>
  <c r="O1650" i="3"/>
  <c r="N1650" i="3"/>
  <c r="M1650" i="3"/>
  <c r="L1650" i="3"/>
  <c r="I1650" i="3"/>
  <c r="O1649" i="3"/>
  <c r="N1649" i="3"/>
  <c r="M1649" i="3"/>
  <c r="L1649" i="3"/>
  <c r="I1649" i="3"/>
  <c r="O1648" i="3"/>
  <c r="N1648" i="3"/>
  <c r="M1648" i="3"/>
  <c r="L1648" i="3"/>
  <c r="I1648" i="3"/>
  <c r="O1647" i="3"/>
  <c r="N1647" i="3"/>
  <c r="M1647" i="3"/>
  <c r="L1647" i="3"/>
  <c r="I1647" i="3"/>
  <c r="O1646" i="3"/>
  <c r="N1646" i="3"/>
  <c r="M1646" i="3"/>
  <c r="L1646" i="3"/>
  <c r="I1646" i="3"/>
  <c r="O1645" i="3"/>
  <c r="N1645" i="3"/>
  <c r="M1645" i="3"/>
  <c r="L1645" i="3"/>
  <c r="I1645" i="3"/>
  <c r="O1644" i="3"/>
  <c r="N1644" i="3"/>
  <c r="M1644" i="3"/>
  <c r="L1644" i="3"/>
  <c r="I1644" i="3"/>
  <c r="O1643" i="3"/>
  <c r="N1643" i="3"/>
  <c r="M1643" i="3"/>
  <c r="L1643" i="3"/>
  <c r="I1643" i="3"/>
  <c r="O1642" i="3"/>
  <c r="N1642" i="3"/>
  <c r="M1642" i="3"/>
  <c r="L1642" i="3"/>
  <c r="I1642" i="3"/>
  <c r="O1641" i="3"/>
  <c r="N1641" i="3"/>
  <c r="M1641" i="3"/>
  <c r="L1641" i="3"/>
  <c r="I1641" i="3"/>
  <c r="O1640" i="3"/>
  <c r="N1640" i="3"/>
  <c r="M1640" i="3"/>
  <c r="L1640" i="3"/>
  <c r="I1640" i="3"/>
  <c r="O1639" i="3"/>
  <c r="N1639" i="3"/>
  <c r="M1639" i="3"/>
  <c r="L1639" i="3"/>
  <c r="I1639" i="3"/>
  <c r="O1638" i="3"/>
  <c r="N1638" i="3"/>
  <c r="M1638" i="3"/>
  <c r="L1638" i="3"/>
  <c r="I1638" i="3"/>
  <c r="O1637" i="3"/>
  <c r="N1637" i="3"/>
  <c r="M1637" i="3"/>
  <c r="L1637" i="3"/>
  <c r="I1637" i="3"/>
  <c r="O1636" i="3"/>
  <c r="N1636" i="3"/>
  <c r="M1636" i="3"/>
  <c r="L1636" i="3"/>
  <c r="I1636" i="3"/>
  <c r="O1635" i="3"/>
  <c r="N1635" i="3"/>
  <c r="M1635" i="3"/>
  <c r="L1635" i="3"/>
  <c r="I1635" i="3"/>
  <c r="O1634" i="3"/>
  <c r="N1634" i="3"/>
  <c r="M1634" i="3"/>
  <c r="L1634" i="3"/>
  <c r="I1634" i="3"/>
  <c r="O1633" i="3"/>
  <c r="N1633" i="3"/>
  <c r="M1633" i="3"/>
  <c r="L1633" i="3"/>
  <c r="I1633" i="3"/>
  <c r="O1632" i="3"/>
  <c r="N1632" i="3"/>
  <c r="M1632" i="3"/>
  <c r="L1632" i="3"/>
  <c r="I1632" i="3"/>
  <c r="O1631" i="3"/>
  <c r="N1631" i="3"/>
  <c r="M1631" i="3"/>
  <c r="L1631" i="3"/>
  <c r="I1631" i="3"/>
  <c r="O1630" i="3"/>
  <c r="N1630" i="3"/>
  <c r="M1630" i="3"/>
  <c r="L1630" i="3"/>
  <c r="I1630" i="3"/>
  <c r="O1629" i="3"/>
  <c r="N1629" i="3"/>
  <c r="M1629" i="3"/>
  <c r="L1629" i="3"/>
  <c r="I1629" i="3"/>
  <c r="O1628" i="3"/>
  <c r="N1628" i="3"/>
  <c r="M1628" i="3"/>
  <c r="L1628" i="3"/>
  <c r="I1628" i="3"/>
  <c r="O1627" i="3"/>
  <c r="N1627" i="3"/>
  <c r="M1627" i="3"/>
  <c r="L1627" i="3"/>
  <c r="I1627" i="3"/>
  <c r="O1626" i="3"/>
  <c r="N1626" i="3"/>
  <c r="M1626" i="3"/>
  <c r="L1626" i="3"/>
  <c r="I1626" i="3"/>
  <c r="O1625" i="3"/>
  <c r="N1625" i="3"/>
  <c r="M1625" i="3"/>
  <c r="L1625" i="3"/>
  <c r="I1625" i="3"/>
  <c r="O1624" i="3"/>
  <c r="N1624" i="3"/>
  <c r="M1624" i="3"/>
  <c r="L1624" i="3"/>
  <c r="I1624" i="3"/>
  <c r="O1623" i="3"/>
  <c r="N1623" i="3"/>
  <c r="M1623" i="3"/>
  <c r="L1623" i="3"/>
  <c r="I1623" i="3"/>
  <c r="O1622" i="3"/>
  <c r="N1622" i="3"/>
  <c r="M1622" i="3"/>
  <c r="L1622" i="3"/>
  <c r="I1622" i="3"/>
  <c r="O1621" i="3"/>
  <c r="N1621" i="3"/>
  <c r="M1621" i="3"/>
  <c r="L1621" i="3"/>
  <c r="I1621" i="3"/>
  <c r="O1620" i="3"/>
  <c r="N1620" i="3"/>
  <c r="M1620" i="3"/>
  <c r="L1620" i="3"/>
  <c r="I1620" i="3"/>
  <c r="O1619" i="3"/>
  <c r="N1619" i="3"/>
  <c r="M1619" i="3"/>
  <c r="L1619" i="3"/>
  <c r="I1619" i="3"/>
  <c r="O1618" i="3"/>
  <c r="N1618" i="3"/>
  <c r="M1618" i="3"/>
  <c r="L1618" i="3"/>
  <c r="I1618" i="3"/>
  <c r="O1617" i="3"/>
  <c r="N1617" i="3"/>
  <c r="M1617" i="3"/>
  <c r="L1617" i="3"/>
  <c r="I1617" i="3"/>
  <c r="O1616" i="3"/>
  <c r="N1616" i="3"/>
  <c r="M1616" i="3"/>
  <c r="L1616" i="3"/>
  <c r="I1616" i="3"/>
  <c r="O1615" i="3"/>
  <c r="N1615" i="3"/>
  <c r="M1615" i="3"/>
  <c r="L1615" i="3"/>
  <c r="I1615" i="3"/>
  <c r="O1614" i="3"/>
  <c r="N1614" i="3"/>
  <c r="M1614" i="3"/>
  <c r="L1614" i="3"/>
  <c r="I1614" i="3"/>
  <c r="O1613" i="3"/>
  <c r="N1613" i="3"/>
  <c r="M1613" i="3"/>
  <c r="L1613" i="3"/>
  <c r="I1613" i="3"/>
  <c r="O1612" i="3"/>
  <c r="N1612" i="3"/>
  <c r="M1612" i="3"/>
  <c r="L1612" i="3"/>
  <c r="I1612" i="3"/>
  <c r="O1611" i="3"/>
  <c r="N1611" i="3"/>
  <c r="M1611" i="3"/>
  <c r="L1611" i="3"/>
  <c r="I1611" i="3"/>
  <c r="O1610" i="3"/>
  <c r="N1610" i="3"/>
  <c r="M1610" i="3"/>
  <c r="L1610" i="3"/>
  <c r="I1610" i="3"/>
  <c r="O1609" i="3"/>
  <c r="N1609" i="3"/>
  <c r="M1609" i="3"/>
  <c r="L1609" i="3"/>
  <c r="I1609" i="3"/>
  <c r="O1608" i="3"/>
  <c r="N1608" i="3"/>
  <c r="M1608" i="3"/>
  <c r="L1608" i="3"/>
  <c r="I1608" i="3"/>
  <c r="O1607" i="3"/>
  <c r="N1607" i="3"/>
  <c r="M1607" i="3"/>
  <c r="L1607" i="3"/>
  <c r="I1607" i="3"/>
  <c r="O1606" i="3"/>
  <c r="N1606" i="3"/>
  <c r="M1606" i="3"/>
  <c r="L1606" i="3"/>
  <c r="I1606" i="3"/>
  <c r="O1605" i="3"/>
  <c r="N1605" i="3"/>
  <c r="M1605" i="3"/>
  <c r="L1605" i="3"/>
  <c r="I1605" i="3"/>
  <c r="O1604" i="3"/>
  <c r="N1604" i="3"/>
  <c r="M1604" i="3"/>
  <c r="L1604" i="3"/>
  <c r="I1604" i="3"/>
  <c r="O1603" i="3"/>
  <c r="N1603" i="3"/>
  <c r="M1603" i="3"/>
  <c r="L1603" i="3"/>
  <c r="I1603" i="3"/>
  <c r="O1602" i="3"/>
  <c r="N1602" i="3"/>
  <c r="M1602" i="3"/>
  <c r="L1602" i="3"/>
  <c r="I1602" i="3"/>
  <c r="O1601" i="3"/>
  <c r="N1601" i="3"/>
  <c r="M1601" i="3"/>
  <c r="L1601" i="3"/>
  <c r="I1601" i="3"/>
  <c r="O1600" i="3"/>
  <c r="N1600" i="3"/>
  <c r="M1600" i="3"/>
  <c r="L1600" i="3"/>
  <c r="I1600" i="3"/>
  <c r="O1599" i="3"/>
  <c r="N1599" i="3"/>
  <c r="M1599" i="3"/>
  <c r="L1599" i="3"/>
  <c r="I1599" i="3"/>
  <c r="O1598" i="3"/>
  <c r="N1598" i="3"/>
  <c r="M1598" i="3"/>
  <c r="L1598" i="3"/>
  <c r="I1598" i="3"/>
  <c r="O1597" i="3"/>
  <c r="N1597" i="3"/>
  <c r="M1597" i="3"/>
  <c r="L1597" i="3"/>
  <c r="I1597" i="3"/>
  <c r="O1596" i="3"/>
  <c r="N1596" i="3"/>
  <c r="M1596" i="3"/>
  <c r="L1596" i="3"/>
  <c r="I1596" i="3"/>
  <c r="O1595" i="3"/>
  <c r="N1595" i="3"/>
  <c r="M1595" i="3"/>
  <c r="L1595" i="3"/>
  <c r="I1595" i="3"/>
  <c r="O1594" i="3"/>
  <c r="N1594" i="3"/>
  <c r="M1594" i="3"/>
  <c r="L1594" i="3"/>
  <c r="I1594" i="3"/>
  <c r="O1593" i="3"/>
  <c r="N1593" i="3"/>
  <c r="M1593" i="3"/>
  <c r="L1593" i="3"/>
  <c r="I1593" i="3"/>
  <c r="O1592" i="3"/>
  <c r="N1592" i="3"/>
  <c r="M1592" i="3"/>
  <c r="L1592" i="3"/>
  <c r="I1592" i="3"/>
  <c r="O1591" i="3"/>
  <c r="N1591" i="3"/>
  <c r="M1591" i="3"/>
  <c r="L1591" i="3"/>
  <c r="I1591" i="3"/>
  <c r="O1590" i="3"/>
  <c r="N1590" i="3"/>
  <c r="M1590" i="3"/>
  <c r="L1590" i="3"/>
  <c r="I1590" i="3"/>
  <c r="O1589" i="3"/>
  <c r="N1589" i="3"/>
  <c r="M1589" i="3"/>
  <c r="L1589" i="3"/>
  <c r="I1589" i="3"/>
  <c r="O1588" i="3"/>
  <c r="N1588" i="3"/>
  <c r="M1588" i="3"/>
  <c r="L1588" i="3"/>
  <c r="I1588" i="3"/>
  <c r="O1587" i="3"/>
  <c r="N1587" i="3"/>
  <c r="M1587" i="3"/>
  <c r="L1587" i="3"/>
  <c r="I1587" i="3"/>
  <c r="O1586" i="3"/>
  <c r="N1586" i="3"/>
  <c r="M1586" i="3"/>
  <c r="L1586" i="3"/>
  <c r="I1586" i="3"/>
  <c r="O1585" i="3"/>
  <c r="N1585" i="3"/>
  <c r="M1585" i="3"/>
  <c r="L1585" i="3"/>
  <c r="I1585" i="3"/>
  <c r="O1584" i="3"/>
  <c r="N1584" i="3"/>
  <c r="M1584" i="3"/>
  <c r="L1584" i="3"/>
  <c r="I1584" i="3"/>
  <c r="O1583" i="3"/>
  <c r="N1583" i="3"/>
  <c r="M1583" i="3"/>
  <c r="L1583" i="3"/>
  <c r="I1583" i="3"/>
  <c r="O1582" i="3"/>
  <c r="N1582" i="3"/>
  <c r="M1582" i="3"/>
  <c r="L1582" i="3"/>
  <c r="I1582" i="3"/>
  <c r="O1581" i="3"/>
  <c r="N1581" i="3"/>
  <c r="M1581" i="3"/>
  <c r="L1581" i="3"/>
  <c r="I1581" i="3"/>
  <c r="O1580" i="3"/>
  <c r="N1580" i="3"/>
  <c r="M1580" i="3"/>
  <c r="L1580" i="3"/>
  <c r="I1580" i="3"/>
  <c r="O1579" i="3"/>
  <c r="N1579" i="3"/>
  <c r="M1579" i="3"/>
  <c r="L1579" i="3"/>
  <c r="I1579" i="3"/>
  <c r="O1578" i="3"/>
  <c r="N1578" i="3"/>
  <c r="M1578" i="3"/>
  <c r="L1578" i="3"/>
  <c r="I1578" i="3"/>
  <c r="O1577" i="3"/>
  <c r="N1577" i="3"/>
  <c r="M1577" i="3"/>
  <c r="L1577" i="3"/>
  <c r="I1577" i="3"/>
  <c r="O1576" i="3"/>
  <c r="N1576" i="3"/>
  <c r="M1576" i="3"/>
  <c r="L1576" i="3"/>
  <c r="I1576" i="3"/>
  <c r="O1575" i="3"/>
  <c r="N1575" i="3"/>
  <c r="M1575" i="3"/>
  <c r="L1575" i="3"/>
  <c r="I1575" i="3"/>
  <c r="O1574" i="3"/>
  <c r="N1574" i="3"/>
  <c r="M1574" i="3"/>
  <c r="L1574" i="3"/>
  <c r="I1574" i="3"/>
  <c r="O1573" i="3"/>
  <c r="N1573" i="3"/>
  <c r="M1573" i="3"/>
  <c r="L1573" i="3"/>
  <c r="I1573" i="3"/>
  <c r="O1572" i="3"/>
  <c r="N1572" i="3"/>
  <c r="M1572" i="3"/>
  <c r="L1572" i="3"/>
  <c r="I1572" i="3"/>
  <c r="O1571" i="3"/>
  <c r="N1571" i="3"/>
  <c r="M1571" i="3"/>
  <c r="L1571" i="3"/>
  <c r="I1571" i="3"/>
  <c r="O1570" i="3"/>
  <c r="N1570" i="3"/>
  <c r="M1570" i="3"/>
  <c r="L1570" i="3"/>
  <c r="I1570" i="3"/>
  <c r="O1569" i="3"/>
  <c r="N1569" i="3"/>
  <c r="M1569" i="3"/>
  <c r="L1569" i="3"/>
  <c r="I1569" i="3"/>
  <c r="O1568" i="3"/>
  <c r="N1568" i="3"/>
  <c r="M1568" i="3"/>
  <c r="L1568" i="3"/>
  <c r="I1568" i="3"/>
  <c r="O1567" i="3"/>
  <c r="N1567" i="3"/>
  <c r="M1567" i="3"/>
  <c r="L1567" i="3"/>
  <c r="I1567" i="3"/>
  <c r="O1566" i="3"/>
  <c r="N1566" i="3"/>
  <c r="M1566" i="3"/>
  <c r="L1566" i="3"/>
  <c r="I1566" i="3"/>
  <c r="O1565" i="3"/>
  <c r="N1565" i="3"/>
  <c r="M1565" i="3"/>
  <c r="L1565" i="3"/>
  <c r="I1565" i="3"/>
  <c r="O1564" i="3"/>
  <c r="N1564" i="3"/>
  <c r="M1564" i="3"/>
  <c r="L1564" i="3"/>
  <c r="I1564" i="3"/>
  <c r="O1563" i="3"/>
  <c r="N1563" i="3"/>
  <c r="M1563" i="3"/>
  <c r="L1563" i="3"/>
  <c r="I1563" i="3"/>
  <c r="O1562" i="3"/>
  <c r="N1562" i="3"/>
  <c r="M1562" i="3"/>
  <c r="L1562" i="3"/>
  <c r="I1562" i="3"/>
  <c r="O1561" i="3"/>
  <c r="N1561" i="3"/>
  <c r="M1561" i="3"/>
  <c r="L1561" i="3"/>
  <c r="I1561" i="3"/>
  <c r="O1560" i="3"/>
  <c r="N1560" i="3"/>
  <c r="M1560" i="3"/>
  <c r="L1560" i="3"/>
  <c r="I1560" i="3"/>
  <c r="O1559" i="3"/>
  <c r="N1559" i="3"/>
  <c r="M1559" i="3"/>
  <c r="L1559" i="3"/>
  <c r="I1559" i="3"/>
  <c r="O1558" i="3"/>
  <c r="N1558" i="3"/>
  <c r="M1558" i="3"/>
  <c r="L1558" i="3"/>
  <c r="I1558" i="3"/>
  <c r="O1557" i="3"/>
  <c r="N1557" i="3"/>
  <c r="M1557" i="3"/>
  <c r="L1557" i="3"/>
  <c r="I1557" i="3"/>
  <c r="O1556" i="3"/>
  <c r="N1556" i="3"/>
  <c r="M1556" i="3"/>
  <c r="L1556" i="3"/>
  <c r="I1556" i="3"/>
  <c r="O1555" i="3"/>
  <c r="N1555" i="3"/>
  <c r="M1555" i="3"/>
  <c r="L1555" i="3"/>
  <c r="I1555" i="3"/>
  <c r="O1554" i="3"/>
  <c r="N1554" i="3"/>
  <c r="M1554" i="3"/>
  <c r="L1554" i="3"/>
  <c r="I1554" i="3"/>
  <c r="O1553" i="3"/>
  <c r="N1553" i="3"/>
  <c r="M1553" i="3"/>
  <c r="L1553" i="3"/>
  <c r="I1553" i="3"/>
  <c r="O1552" i="3"/>
  <c r="N1552" i="3"/>
  <c r="M1552" i="3"/>
  <c r="L1552" i="3"/>
  <c r="I1552" i="3"/>
  <c r="O1551" i="3"/>
  <c r="N1551" i="3"/>
  <c r="M1551" i="3"/>
  <c r="L1551" i="3"/>
  <c r="I1551" i="3"/>
  <c r="O1550" i="3"/>
  <c r="N1550" i="3"/>
  <c r="M1550" i="3"/>
  <c r="L1550" i="3"/>
  <c r="I1550" i="3"/>
  <c r="O1549" i="3"/>
  <c r="N1549" i="3"/>
  <c r="M1549" i="3"/>
  <c r="L1549" i="3"/>
  <c r="I1549" i="3"/>
  <c r="O1548" i="3"/>
  <c r="N1548" i="3"/>
  <c r="M1548" i="3"/>
  <c r="L1548" i="3"/>
  <c r="I1548" i="3"/>
  <c r="O1547" i="3"/>
  <c r="N1547" i="3"/>
  <c r="M1547" i="3"/>
  <c r="L1547" i="3"/>
  <c r="I1547" i="3"/>
  <c r="O1546" i="3"/>
  <c r="N1546" i="3"/>
  <c r="M1546" i="3"/>
  <c r="L1546" i="3"/>
  <c r="I1546" i="3"/>
  <c r="O1545" i="3"/>
  <c r="N1545" i="3"/>
  <c r="M1545" i="3"/>
  <c r="L1545" i="3"/>
  <c r="I1545" i="3"/>
  <c r="O1544" i="3"/>
  <c r="N1544" i="3"/>
  <c r="M1544" i="3"/>
  <c r="L1544" i="3"/>
  <c r="I1544" i="3"/>
  <c r="O1543" i="3"/>
  <c r="N1543" i="3"/>
  <c r="M1543" i="3"/>
  <c r="L1543" i="3"/>
  <c r="I1543" i="3"/>
  <c r="O1542" i="3"/>
  <c r="N1542" i="3"/>
  <c r="M1542" i="3"/>
  <c r="L1542" i="3"/>
  <c r="I1542" i="3"/>
  <c r="O1541" i="3"/>
  <c r="N1541" i="3"/>
  <c r="M1541" i="3"/>
  <c r="L1541" i="3"/>
  <c r="I1541" i="3"/>
  <c r="O1540" i="3"/>
  <c r="N1540" i="3"/>
  <c r="M1540" i="3"/>
  <c r="L1540" i="3"/>
  <c r="I1540" i="3"/>
  <c r="O1539" i="3"/>
  <c r="N1539" i="3"/>
  <c r="M1539" i="3"/>
  <c r="L1539" i="3"/>
  <c r="I1539" i="3"/>
  <c r="O1538" i="3"/>
  <c r="N1538" i="3"/>
  <c r="M1538" i="3"/>
  <c r="L1538" i="3"/>
  <c r="I1538" i="3"/>
  <c r="O1537" i="3"/>
  <c r="N1537" i="3"/>
  <c r="M1537" i="3"/>
  <c r="L1537" i="3"/>
  <c r="I1537" i="3"/>
  <c r="O1536" i="3"/>
  <c r="N1536" i="3"/>
  <c r="M1536" i="3"/>
  <c r="L1536" i="3"/>
  <c r="I1536" i="3"/>
  <c r="O1535" i="3"/>
  <c r="N1535" i="3"/>
  <c r="M1535" i="3"/>
  <c r="L1535" i="3"/>
  <c r="I1535" i="3"/>
  <c r="O1534" i="3"/>
  <c r="N1534" i="3"/>
  <c r="M1534" i="3"/>
  <c r="L1534" i="3"/>
  <c r="I1534" i="3"/>
  <c r="O1533" i="3"/>
  <c r="N1533" i="3"/>
  <c r="M1533" i="3"/>
  <c r="L1533" i="3"/>
  <c r="I1533" i="3"/>
  <c r="O1532" i="3"/>
  <c r="N1532" i="3"/>
  <c r="M1532" i="3"/>
  <c r="L1532" i="3"/>
  <c r="I1532" i="3"/>
  <c r="O1531" i="3"/>
  <c r="N1531" i="3"/>
  <c r="M1531" i="3"/>
  <c r="L1531" i="3"/>
  <c r="I1531" i="3"/>
  <c r="O1530" i="3"/>
  <c r="N1530" i="3"/>
  <c r="M1530" i="3"/>
  <c r="L1530" i="3"/>
  <c r="I1530" i="3"/>
  <c r="O1529" i="3"/>
  <c r="N1529" i="3"/>
  <c r="M1529" i="3"/>
  <c r="L1529" i="3"/>
  <c r="I1529" i="3"/>
  <c r="O1528" i="3"/>
  <c r="N1528" i="3"/>
  <c r="M1528" i="3"/>
  <c r="L1528" i="3"/>
  <c r="I1528" i="3"/>
  <c r="O1527" i="3"/>
  <c r="N1527" i="3"/>
  <c r="M1527" i="3"/>
  <c r="L1527" i="3"/>
  <c r="I1527" i="3"/>
  <c r="O1526" i="3"/>
  <c r="N1526" i="3"/>
  <c r="M1526" i="3"/>
  <c r="L1526" i="3"/>
  <c r="I1526" i="3"/>
  <c r="O1525" i="3"/>
  <c r="N1525" i="3"/>
  <c r="M1525" i="3"/>
  <c r="L1525" i="3"/>
  <c r="I1525" i="3"/>
  <c r="O1524" i="3"/>
  <c r="N1524" i="3"/>
  <c r="M1524" i="3"/>
  <c r="L1524" i="3"/>
  <c r="I1524" i="3"/>
  <c r="O1523" i="3"/>
  <c r="N1523" i="3"/>
  <c r="M1523" i="3"/>
  <c r="L1523" i="3"/>
  <c r="I1523" i="3"/>
  <c r="O1522" i="3"/>
  <c r="N1522" i="3"/>
  <c r="M1522" i="3"/>
  <c r="L1522" i="3"/>
  <c r="I1522" i="3"/>
  <c r="O1521" i="3"/>
  <c r="N1521" i="3"/>
  <c r="M1521" i="3"/>
  <c r="L1521" i="3"/>
  <c r="I1521" i="3"/>
  <c r="O1520" i="3"/>
  <c r="N1520" i="3"/>
  <c r="M1520" i="3"/>
  <c r="L1520" i="3"/>
  <c r="I1520" i="3"/>
  <c r="O1519" i="3"/>
  <c r="N1519" i="3"/>
  <c r="M1519" i="3"/>
  <c r="L1519" i="3"/>
  <c r="I1519" i="3"/>
  <c r="O1518" i="3"/>
  <c r="N1518" i="3"/>
  <c r="M1518" i="3"/>
  <c r="L1518" i="3"/>
  <c r="I1518" i="3"/>
  <c r="O1517" i="3"/>
  <c r="N1517" i="3"/>
  <c r="M1517" i="3"/>
  <c r="L1517" i="3"/>
  <c r="I1517" i="3"/>
  <c r="O1516" i="3"/>
  <c r="N1516" i="3"/>
  <c r="M1516" i="3"/>
  <c r="L1516" i="3"/>
  <c r="I1516" i="3"/>
  <c r="O1515" i="3"/>
  <c r="N1515" i="3"/>
  <c r="M1515" i="3"/>
  <c r="L1515" i="3"/>
  <c r="I1515" i="3"/>
  <c r="O1514" i="3"/>
  <c r="N1514" i="3"/>
  <c r="M1514" i="3"/>
  <c r="L1514" i="3"/>
  <c r="I1514" i="3"/>
  <c r="O1513" i="3"/>
  <c r="N1513" i="3"/>
  <c r="M1513" i="3"/>
  <c r="L1513" i="3"/>
  <c r="I1513" i="3"/>
  <c r="O1512" i="3"/>
  <c r="N1512" i="3"/>
  <c r="M1512" i="3"/>
  <c r="L1512" i="3"/>
  <c r="I1512" i="3"/>
  <c r="O1511" i="3"/>
  <c r="N1511" i="3"/>
  <c r="M1511" i="3"/>
  <c r="L1511" i="3"/>
  <c r="I1511" i="3"/>
  <c r="O1510" i="3"/>
  <c r="N1510" i="3"/>
  <c r="M1510" i="3"/>
  <c r="L1510" i="3"/>
  <c r="I1510" i="3"/>
  <c r="O1509" i="3"/>
  <c r="N1509" i="3"/>
  <c r="M1509" i="3"/>
  <c r="L1509" i="3"/>
  <c r="I1509" i="3"/>
  <c r="O1508" i="3"/>
  <c r="N1508" i="3"/>
  <c r="M1508" i="3"/>
  <c r="L1508" i="3"/>
  <c r="I1508" i="3"/>
  <c r="O1507" i="3"/>
  <c r="N1507" i="3"/>
  <c r="M1507" i="3"/>
  <c r="L1507" i="3"/>
  <c r="I1507" i="3"/>
  <c r="O1506" i="3"/>
  <c r="N1506" i="3"/>
  <c r="M1506" i="3"/>
  <c r="L1506" i="3"/>
  <c r="I1506" i="3"/>
  <c r="O1505" i="3"/>
  <c r="N1505" i="3"/>
  <c r="M1505" i="3"/>
  <c r="L1505" i="3"/>
  <c r="I1505" i="3"/>
  <c r="O1504" i="3"/>
  <c r="N1504" i="3"/>
  <c r="M1504" i="3"/>
  <c r="L1504" i="3"/>
  <c r="I1504" i="3"/>
  <c r="O1503" i="3"/>
  <c r="N1503" i="3"/>
  <c r="M1503" i="3"/>
  <c r="L1503" i="3"/>
  <c r="I1503" i="3"/>
  <c r="O1502" i="3"/>
  <c r="N1502" i="3"/>
  <c r="M1502" i="3"/>
  <c r="L1502" i="3"/>
  <c r="I1502" i="3"/>
  <c r="O1501" i="3"/>
  <c r="N1501" i="3"/>
  <c r="M1501" i="3"/>
  <c r="L1501" i="3"/>
  <c r="I1501" i="3"/>
  <c r="O1500" i="3"/>
  <c r="N1500" i="3"/>
  <c r="M1500" i="3"/>
  <c r="L1500" i="3"/>
  <c r="I1500" i="3"/>
  <c r="O1499" i="3"/>
  <c r="N1499" i="3"/>
  <c r="M1499" i="3"/>
  <c r="L1499" i="3"/>
  <c r="I1499" i="3"/>
  <c r="O1498" i="3"/>
  <c r="N1498" i="3"/>
  <c r="M1498" i="3"/>
  <c r="L1498" i="3"/>
  <c r="I1498" i="3"/>
  <c r="O1497" i="3"/>
  <c r="N1497" i="3"/>
  <c r="M1497" i="3"/>
  <c r="L1497" i="3"/>
  <c r="I1497" i="3"/>
  <c r="O1496" i="3"/>
  <c r="N1496" i="3"/>
  <c r="M1496" i="3"/>
  <c r="L1496" i="3"/>
  <c r="I1496" i="3"/>
  <c r="O1495" i="3"/>
  <c r="N1495" i="3"/>
  <c r="M1495" i="3"/>
  <c r="L1495" i="3"/>
  <c r="I1495" i="3"/>
  <c r="O1494" i="3"/>
  <c r="N1494" i="3"/>
  <c r="M1494" i="3"/>
  <c r="L1494" i="3"/>
  <c r="I1494" i="3"/>
  <c r="O1493" i="3"/>
  <c r="N1493" i="3"/>
  <c r="M1493" i="3"/>
  <c r="L1493" i="3"/>
  <c r="I1493" i="3"/>
  <c r="O1492" i="3"/>
  <c r="N1492" i="3"/>
  <c r="M1492" i="3"/>
  <c r="L1492" i="3"/>
  <c r="I1492" i="3"/>
  <c r="O1491" i="3"/>
  <c r="N1491" i="3"/>
  <c r="M1491" i="3"/>
  <c r="L1491" i="3"/>
  <c r="I1491" i="3"/>
  <c r="O1490" i="3"/>
  <c r="N1490" i="3"/>
  <c r="M1490" i="3"/>
  <c r="L1490" i="3"/>
  <c r="I1490" i="3"/>
  <c r="O1489" i="3"/>
  <c r="N1489" i="3"/>
  <c r="M1489" i="3"/>
  <c r="L1489" i="3"/>
  <c r="I1489" i="3"/>
  <c r="O1488" i="3"/>
  <c r="N1488" i="3"/>
  <c r="M1488" i="3"/>
  <c r="L1488" i="3"/>
  <c r="I1488" i="3"/>
  <c r="O1487" i="3"/>
  <c r="N1487" i="3"/>
  <c r="M1487" i="3"/>
  <c r="L1487" i="3"/>
  <c r="I1487" i="3"/>
  <c r="O1486" i="3"/>
  <c r="N1486" i="3"/>
  <c r="M1486" i="3"/>
  <c r="L1486" i="3"/>
  <c r="I1486" i="3"/>
  <c r="O1485" i="3"/>
  <c r="N1485" i="3"/>
  <c r="M1485" i="3"/>
  <c r="L1485" i="3"/>
  <c r="I1485" i="3"/>
  <c r="O1484" i="3"/>
  <c r="N1484" i="3"/>
  <c r="M1484" i="3"/>
  <c r="L1484" i="3"/>
  <c r="I1484" i="3"/>
  <c r="O1483" i="3"/>
  <c r="N1483" i="3"/>
  <c r="M1483" i="3"/>
  <c r="L1483" i="3"/>
  <c r="I1483" i="3"/>
  <c r="O1482" i="3"/>
  <c r="N1482" i="3"/>
  <c r="M1482" i="3"/>
  <c r="L1482" i="3"/>
  <c r="I1482" i="3"/>
  <c r="O1481" i="3"/>
  <c r="N1481" i="3"/>
  <c r="M1481" i="3"/>
  <c r="L1481" i="3"/>
  <c r="I1481" i="3"/>
  <c r="O1480" i="3"/>
  <c r="N1480" i="3"/>
  <c r="M1480" i="3"/>
  <c r="L1480" i="3"/>
  <c r="I1480" i="3"/>
  <c r="O1479" i="3"/>
  <c r="N1479" i="3"/>
  <c r="M1479" i="3"/>
  <c r="L1479" i="3"/>
  <c r="I1479" i="3"/>
  <c r="O1478" i="3"/>
  <c r="N1478" i="3"/>
  <c r="M1478" i="3"/>
  <c r="L1478" i="3"/>
  <c r="I1478" i="3"/>
  <c r="O1477" i="3"/>
  <c r="N1477" i="3"/>
  <c r="M1477" i="3"/>
  <c r="L1477" i="3"/>
  <c r="I1477" i="3"/>
  <c r="O1476" i="3"/>
  <c r="N1476" i="3"/>
  <c r="M1476" i="3"/>
  <c r="L1476" i="3"/>
  <c r="I1476" i="3"/>
  <c r="O1475" i="3"/>
  <c r="N1475" i="3"/>
  <c r="M1475" i="3"/>
  <c r="L1475" i="3"/>
  <c r="I1475" i="3"/>
  <c r="O1474" i="3"/>
  <c r="N1474" i="3"/>
  <c r="M1474" i="3"/>
  <c r="L1474" i="3"/>
  <c r="I1474" i="3"/>
  <c r="O1473" i="3"/>
  <c r="N1473" i="3"/>
  <c r="M1473" i="3"/>
  <c r="L1473" i="3"/>
  <c r="I1473" i="3"/>
  <c r="O1472" i="3"/>
  <c r="N1472" i="3"/>
  <c r="M1472" i="3"/>
  <c r="L1472" i="3"/>
  <c r="I1472" i="3"/>
  <c r="O1471" i="3"/>
  <c r="N1471" i="3"/>
  <c r="M1471" i="3"/>
  <c r="L1471" i="3"/>
  <c r="I1471" i="3"/>
  <c r="O1470" i="3"/>
  <c r="N1470" i="3"/>
  <c r="M1470" i="3"/>
  <c r="L1470" i="3"/>
  <c r="I1470" i="3"/>
  <c r="O1469" i="3"/>
  <c r="N1469" i="3"/>
  <c r="M1469" i="3"/>
  <c r="L1469" i="3"/>
  <c r="I1469" i="3"/>
  <c r="O1468" i="3"/>
  <c r="N1468" i="3"/>
  <c r="M1468" i="3"/>
  <c r="L1468" i="3"/>
  <c r="I1468" i="3"/>
  <c r="O1467" i="3"/>
  <c r="N1467" i="3"/>
  <c r="M1467" i="3"/>
  <c r="L1467" i="3"/>
  <c r="I1467" i="3"/>
  <c r="O1466" i="3"/>
  <c r="N1466" i="3"/>
  <c r="M1466" i="3"/>
  <c r="L1466" i="3"/>
  <c r="I1466" i="3"/>
  <c r="O1465" i="3"/>
  <c r="N1465" i="3"/>
  <c r="M1465" i="3"/>
  <c r="L1465" i="3"/>
  <c r="I1465" i="3"/>
  <c r="O1464" i="3"/>
  <c r="N1464" i="3"/>
  <c r="M1464" i="3"/>
  <c r="L1464" i="3"/>
  <c r="I1464" i="3"/>
  <c r="O1463" i="3"/>
  <c r="N1463" i="3"/>
  <c r="M1463" i="3"/>
  <c r="L1463" i="3"/>
  <c r="I1463" i="3"/>
  <c r="O1462" i="3"/>
  <c r="N1462" i="3"/>
  <c r="M1462" i="3"/>
  <c r="L1462" i="3"/>
  <c r="I1462" i="3"/>
  <c r="O1461" i="3"/>
  <c r="N1461" i="3"/>
  <c r="M1461" i="3"/>
  <c r="L1461" i="3"/>
  <c r="I1461" i="3"/>
  <c r="O1460" i="3"/>
  <c r="N1460" i="3"/>
  <c r="M1460" i="3"/>
  <c r="L1460" i="3"/>
  <c r="I1460" i="3"/>
  <c r="O1459" i="3"/>
  <c r="N1459" i="3"/>
  <c r="M1459" i="3"/>
  <c r="L1459" i="3"/>
  <c r="I1459" i="3"/>
  <c r="O1458" i="3"/>
  <c r="N1458" i="3"/>
  <c r="M1458" i="3"/>
  <c r="L1458" i="3"/>
  <c r="I1458" i="3"/>
  <c r="O1457" i="3"/>
  <c r="N1457" i="3"/>
  <c r="M1457" i="3"/>
  <c r="L1457" i="3"/>
  <c r="I1457" i="3"/>
  <c r="O1456" i="3"/>
  <c r="N1456" i="3"/>
  <c r="M1456" i="3"/>
  <c r="L1456" i="3"/>
  <c r="I1456" i="3"/>
  <c r="O1455" i="3"/>
  <c r="N1455" i="3"/>
  <c r="M1455" i="3"/>
  <c r="L1455" i="3"/>
  <c r="I1455" i="3"/>
  <c r="O1454" i="3"/>
  <c r="N1454" i="3"/>
  <c r="M1454" i="3"/>
  <c r="L1454" i="3"/>
  <c r="I1454" i="3"/>
  <c r="O1453" i="3"/>
  <c r="N1453" i="3"/>
  <c r="M1453" i="3"/>
  <c r="L1453" i="3"/>
  <c r="I1453" i="3"/>
  <c r="O1452" i="3"/>
  <c r="N1452" i="3"/>
  <c r="M1452" i="3"/>
  <c r="L1452" i="3"/>
  <c r="I1452" i="3"/>
  <c r="O1451" i="3"/>
  <c r="N1451" i="3"/>
  <c r="M1451" i="3"/>
  <c r="L1451" i="3"/>
  <c r="I1451" i="3"/>
  <c r="O1450" i="3"/>
  <c r="N1450" i="3"/>
  <c r="M1450" i="3"/>
  <c r="L1450" i="3"/>
  <c r="I1450" i="3"/>
  <c r="O1449" i="3"/>
  <c r="N1449" i="3"/>
  <c r="M1449" i="3"/>
  <c r="L1449" i="3"/>
  <c r="I1449" i="3"/>
  <c r="O1448" i="3"/>
  <c r="N1448" i="3"/>
  <c r="M1448" i="3"/>
  <c r="L1448" i="3"/>
  <c r="I1448" i="3"/>
  <c r="O1447" i="3"/>
  <c r="N1447" i="3"/>
  <c r="M1447" i="3"/>
  <c r="L1447" i="3"/>
  <c r="I1447" i="3"/>
  <c r="O1446" i="3"/>
  <c r="N1446" i="3"/>
  <c r="M1446" i="3"/>
  <c r="L1446" i="3"/>
  <c r="I1446" i="3"/>
  <c r="O1445" i="3"/>
  <c r="N1445" i="3"/>
  <c r="M1445" i="3"/>
  <c r="L1445" i="3"/>
  <c r="I1445" i="3"/>
  <c r="O1444" i="3"/>
  <c r="N1444" i="3"/>
  <c r="M1444" i="3"/>
  <c r="L1444" i="3"/>
  <c r="I1444" i="3"/>
  <c r="O1443" i="3"/>
  <c r="N1443" i="3"/>
  <c r="M1443" i="3"/>
  <c r="L1443" i="3"/>
  <c r="I1443" i="3"/>
  <c r="O1442" i="3"/>
  <c r="N1442" i="3"/>
  <c r="M1442" i="3"/>
  <c r="L1442" i="3"/>
  <c r="I1442" i="3"/>
  <c r="O1441" i="3"/>
  <c r="N1441" i="3"/>
  <c r="M1441" i="3"/>
  <c r="L1441" i="3"/>
  <c r="I1441" i="3"/>
  <c r="O1440" i="3"/>
  <c r="N1440" i="3"/>
  <c r="M1440" i="3"/>
  <c r="L1440" i="3"/>
  <c r="I1440" i="3"/>
  <c r="O1439" i="3"/>
  <c r="N1439" i="3"/>
  <c r="M1439" i="3"/>
  <c r="L1439" i="3"/>
  <c r="I1439" i="3"/>
  <c r="O1438" i="3"/>
  <c r="N1438" i="3"/>
  <c r="M1438" i="3"/>
  <c r="L1438" i="3"/>
  <c r="I1438" i="3"/>
  <c r="O1437" i="3"/>
  <c r="N1437" i="3"/>
  <c r="M1437" i="3"/>
  <c r="L1437" i="3"/>
  <c r="I1437" i="3"/>
  <c r="O1436" i="3"/>
  <c r="N1436" i="3"/>
  <c r="M1436" i="3"/>
  <c r="L1436" i="3"/>
  <c r="I1436" i="3"/>
  <c r="O1435" i="3"/>
  <c r="N1435" i="3"/>
  <c r="M1435" i="3"/>
  <c r="L1435" i="3"/>
  <c r="I1435" i="3"/>
  <c r="O1434" i="3"/>
  <c r="N1434" i="3"/>
  <c r="M1434" i="3"/>
  <c r="L1434" i="3"/>
  <c r="I1434" i="3"/>
  <c r="O1433" i="3"/>
  <c r="N1433" i="3"/>
  <c r="M1433" i="3"/>
  <c r="L1433" i="3"/>
  <c r="I1433" i="3"/>
  <c r="O1432" i="3"/>
  <c r="N1432" i="3"/>
  <c r="M1432" i="3"/>
  <c r="L1432" i="3"/>
  <c r="I1432" i="3"/>
  <c r="O1431" i="3"/>
  <c r="N1431" i="3"/>
  <c r="M1431" i="3"/>
  <c r="L1431" i="3"/>
  <c r="I1431" i="3"/>
  <c r="O1430" i="3"/>
  <c r="N1430" i="3"/>
  <c r="M1430" i="3"/>
  <c r="L1430" i="3"/>
  <c r="I1430" i="3"/>
  <c r="O1429" i="3"/>
  <c r="N1429" i="3"/>
  <c r="M1429" i="3"/>
  <c r="L1429" i="3"/>
  <c r="I1429" i="3"/>
  <c r="O1428" i="3"/>
  <c r="N1428" i="3"/>
  <c r="M1428" i="3"/>
  <c r="L1428" i="3"/>
  <c r="I1428" i="3"/>
  <c r="O1427" i="3"/>
  <c r="N1427" i="3"/>
  <c r="M1427" i="3"/>
  <c r="L1427" i="3"/>
  <c r="I1427" i="3"/>
  <c r="O1426" i="3"/>
  <c r="N1426" i="3"/>
  <c r="M1426" i="3"/>
  <c r="L1426" i="3"/>
  <c r="I1426" i="3"/>
  <c r="O1425" i="3"/>
  <c r="N1425" i="3"/>
  <c r="M1425" i="3"/>
  <c r="L1425" i="3"/>
  <c r="I1425" i="3"/>
  <c r="O1424" i="3"/>
  <c r="N1424" i="3"/>
  <c r="M1424" i="3"/>
  <c r="L1424" i="3"/>
  <c r="I1424" i="3"/>
  <c r="O1423" i="3"/>
  <c r="N1423" i="3"/>
  <c r="M1423" i="3"/>
  <c r="L1423" i="3"/>
  <c r="I1423" i="3"/>
  <c r="O1422" i="3"/>
  <c r="N1422" i="3"/>
  <c r="M1422" i="3"/>
  <c r="L1422" i="3"/>
  <c r="I1422" i="3"/>
  <c r="O1421" i="3"/>
  <c r="N1421" i="3"/>
  <c r="M1421" i="3"/>
  <c r="L1421" i="3"/>
  <c r="I1421" i="3"/>
  <c r="O1420" i="3"/>
  <c r="N1420" i="3"/>
  <c r="M1420" i="3"/>
  <c r="L1420" i="3"/>
  <c r="I1420" i="3"/>
  <c r="O1419" i="3"/>
  <c r="N1419" i="3"/>
  <c r="M1419" i="3"/>
  <c r="L1419" i="3"/>
  <c r="I1419" i="3"/>
  <c r="O1418" i="3"/>
  <c r="N1418" i="3"/>
  <c r="M1418" i="3"/>
  <c r="L1418" i="3"/>
  <c r="I1418" i="3"/>
  <c r="O1417" i="3"/>
  <c r="N1417" i="3"/>
  <c r="M1417" i="3"/>
  <c r="L1417" i="3"/>
  <c r="I1417" i="3"/>
  <c r="O1416" i="3"/>
  <c r="N1416" i="3"/>
  <c r="M1416" i="3"/>
  <c r="L1416" i="3"/>
  <c r="I1416" i="3"/>
  <c r="O1415" i="3"/>
  <c r="N1415" i="3"/>
  <c r="M1415" i="3"/>
  <c r="L1415" i="3"/>
  <c r="I1415" i="3"/>
  <c r="O1414" i="3"/>
  <c r="N1414" i="3"/>
  <c r="M1414" i="3"/>
  <c r="L1414" i="3"/>
  <c r="I1414" i="3"/>
  <c r="O1413" i="3"/>
  <c r="N1413" i="3"/>
  <c r="M1413" i="3"/>
  <c r="L1413" i="3"/>
  <c r="I1413" i="3"/>
  <c r="O1412" i="3"/>
  <c r="N1412" i="3"/>
  <c r="M1412" i="3"/>
  <c r="L1412" i="3"/>
  <c r="I1412" i="3"/>
  <c r="O1411" i="3"/>
  <c r="N1411" i="3"/>
  <c r="M1411" i="3"/>
  <c r="L1411" i="3"/>
  <c r="I1411" i="3"/>
  <c r="O1410" i="3"/>
  <c r="N1410" i="3"/>
  <c r="M1410" i="3"/>
  <c r="L1410" i="3"/>
  <c r="I1410" i="3"/>
  <c r="O1409" i="3"/>
  <c r="N1409" i="3"/>
  <c r="M1409" i="3"/>
  <c r="L1409" i="3"/>
  <c r="I1409" i="3"/>
  <c r="O1408" i="3"/>
  <c r="N1408" i="3"/>
  <c r="M1408" i="3"/>
  <c r="L1408" i="3"/>
  <c r="I1408" i="3"/>
  <c r="O1407" i="3"/>
  <c r="N1407" i="3"/>
  <c r="M1407" i="3"/>
  <c r="L1407" i="3"/>
  <c r="I1407" i="3"/>
  <c r="O1406" i="3"/>
  <c r="N1406" i="3"/>
  <c r="M1406" i="3"/>
  <c r="L1406" i="3"/>
  <c r="I1406" i="3"/>
  <c r="O1405" i="3"/>
  <c r="N1405" i="3"/>
  <c r="M1405" i="3"/>
  <c r="L1405" i="3"/>
  <c r="I1405" i="3"/>
  <c r="O1404" i="3"/>
  <c r="N1404" i="3"/>
  <c r="M1404" i="3"/>
  <c r="L1404" i="3"/>
  <c r="I1404" i="3"/>
  <c r="O1403" i="3"/>
  <c r="N1403" i="3"/>
  <c r="M1403" i="3"/>
  <c r="L1403" i="3"/>
  <c r="I1403" i="3"/>
  <c r="O1402" i="3"/>
  <c r="N1402" i="3"/>
  <c r="M1402" i="3"/>
  <c r="L1402" i="3"/>
  <c r="I1402" i="3"/>
  <c r="O1401" i="3"/>
  <c r="N1401" i="3"/>
  <c r="M1401" i="3"/>
  <c r="L1401" i="3"/>
  <c r="I1401" i="3"/>
  <c r="O1400" i="3"/>
  <c r="N1400" i="3"/>
  <c r="M1400" i="3"/>
  <c r="L1400" i="3"/>
  <c r="I1400" i="3"/>
  <c r="O1399" i="3"/>
  <c r="N1399" i="3"/>
  <c r="M1399" i="3"/>
  <c r="L1399" i="3"/>
  <c r="I1399" i="3"/>
  <c r="O1398" i="3"/>
  <c r="N1398" i="3"/>
  <c r="M1398" i="3"/>
  <c r="L1398" i="3"/>
  <c r="I1398" i="3"/>
  <c r="O1397" i="3"/>
  <c r="N1397" i="3"/>
  <c r="M1397" i="3"/>
  <c r="L1397" i="3"/>
  <c r="I1397" i="3"/>
  <c r="O1396" i="3"/>
  <c r="N1396" i="3"/>
  <c r="M1396" i="3"/>
  <c r="L1396" i="3"/>
  <c r="I1396" i="3"/>
  <c r="O1395" i="3"/>
  <c r="N1395" i="3"/>
  <c r="M1395" i="3"/>
  <c r="L1395" i="3"/>
  <c r="I1395" i="3"/>
  <c r="O1394" i="3"/>
  <c r="N1394" i="3"/>
  <c r="M1394" i="3"/>
  <c r="L1394" i="3"/>
  <c r="I1394" i="3"/>
  <c r="O1393" i="3"/>
  <c r="N1393" i="3"/>
  <c r="M1393" i="3"/>
  <c r="L1393" i="3"/>
  <c r="I1393" i="3"/>
  <c r="O1392" i="3"/>
  <c r="N1392" i="3"/>
  <c r="M1392" i="3"/>
  <c r="L1392" i="3"/>
  <c r="I1392" i="3"/>
  <c r="O1391" i="3"/>
  <c r="N1391" i="3"/>
  <c r="M1391" i="3"/>
  <c r="L1391" i="3"/>
  <c r="I1391" i="3"/>
  <c r="O1390" i="3"/>
  <c r="N1390" i="3"/>
  <c r="M1390" i="3"/>
  <c r="L1390" i="3"/>
  <c r="I1390" i="3"/>
  <c r="O1389" i="3"/>
  <c r="N1389" i="3"/>
  <c r="M1389" i="3"/>
  <c r="L1389" i="3"/>
  <c r="I1389" i="3"/>
  <c r="O1388" i="3"/>
  <c r="N1388" i="3"/>
  <c r="M1388" i="3"/>
  <c r="L1388" i="3"/>
  <c r="I1388" i="3"/>
  <c r="O1387" i="3"/>
  <c r="N1387" i="3"/>
  <c r="M1387" i="3"/>
  <c r="L1387" i="3"/>
  <c r="I1387" i="3"/>
  <c r="O1386" i="3"/>
  <c r="N1386" i="3"/>
  <c r="M1386" i="3"/>
  <c r="L1386" i="3"/>
  <c r="I1386" i="3"/>
  <c r="O1385" i="3"/>
  <c r="N1385" i="3"/>
  <c r="M1385" i="3"/>
  <c r="L1385" i="3"/>
  <c r="I1385" i="3"/>
  <c r="O1384" i="3"/>
  <c r="N1384" i="3"/>
  <c r="M1384" i="3"/>
  <c r="L1384" i="3"/>
  <c r="I1384" i="3"/>
  <c r="O1383" i="3"/>
  <c r="N1383" i="3"/>
  <c r="M1383" i="3"/>
  <c r="L1383" i="3"/>
  <c r="I1383" i="3"/>
  <c r="O1382" i="3"/>
  <c r="N1382" i="3"/>
  <c r="M1382" i="3"/>
  <c r="L1382" i="3"/>
  <c r="I1382" i="3"/>
  <c r="O1381" i="3"/>
  <c r="N1381" i="3"/>
  <c r="M1381" i="3"/>
  <c r="L1381" i="3"/>
  <c r="I1381" i="3"/>
  <c r="O1380" i="3"/>
  <c r="N1380" i="3"/>
  <c r="M1380" i="3"/>
  <c r="L1380" i="3"/>
  <c r="I1380" i="3"/>
  <c r="O1379" i="3"/>
  <c r="N1379" i="3"/>
  <c r="M1379" i="3"/>
  <c r="L1379" i="3"/>
  <c r="I1379" i="3"/>
  <c r="O1378" i="3"/>
  <c r="N1378" i="3"/>
  <c r="M1378" i="3"/>
  <c r="L1378" i="3"/>
  <c r="I1378" i="3"/>
  <c r="O1377" i="3"/>
  <c r="N1377" i="3"/>
  <c r="M1377" i="3"/>
  <c r="L1377" i="3"/>
  <c r="I1377" i="3"/>
  <c r="O1376" i="3"/>
  <c r="N1376" i="3"/>
  <c r="M1376" i="3"/>
  <c r="L1376" i="3"/>
  <c r="I1376" i="3"/>
  <c r="O1375" i="3"/>
  <c r="N1375" i="3"/>
  <c r="M1375" i="3"/>
  <c r="L1375" i="3"/>
  <c r="I1375" i="3"/>
  <c r="O1374" i="3"/>
  <c r="N1374" i="3"/>
  <c r="M1374" i="3"/>
  <c r="L1374" i="3"/>
  <c r="I1374" i="3"/>
  <c r="O1373" i="3"/>
  <c r="N1373" i="3"/>
  <c r="M1373" i="3"/>
  <c r="L1373" i="3"/>
  <c r="I1373" i="3"/>
  <c r="O1372" i="3"/>
  <c r="N1372" i="3"/>
  <c r="M1372" i="3"/>
  <c r="L1372" i="3"/>
  <c r="I1372" i="3"/>
  <c r="O1371" i="3"/>
  <c r="N1371" i="3"/>
  <c r="M1371" i="3"/>
  <c r="L1371" i="3"/>
  <c r="I1371" i="3"/>
  <c r="O1370" i="3"/>
  <c r="N1370" i="3"/>
  <c r="M1370" i="3"/>
  <c r="L1370" i="3"/>
  <c r="I1370" i="3"/>
  <c r="O1369" i="3"/>
  <c r="N1369" i="3"/>
  <c r="M1369" i="3"/>
  <c r="L1369" i="3"/>
  <c r="I1369" i="3"/>
  <c r="O1368" i="3"/>
  <c r="N1368" i="3"/>
  <c r="M1368" i="3"/>
  <c r="L1368" i="3"/>
  <c r="I1368" i="3"/>
  <c r="O1367" i="3"/>
  <c r="N1367" i="3"/>
  <c r="M1367" i="3"/>
  <c r="L1367" i="3"/>
  <c r="I1367" i="3"/>
  <c r="O1366" i="3"/>
  <c r="N1366" i="3"/>
  <c r="M1366" i="3"/>
  <c r="L1366" i="3"/>
  <c r="I1366" i="3"/>
  <c r="O1365" i="3"/>
  <c r="N1365" i="3"/>
  <c r="M1365" i="3"/>
  <c r="L1365" i="3"/>
  <c r="I1365" i="3"/>
  <c r="O1364" i="3"/>
  <c r="N1364" i="3"/>
  <c r="M1364" i="3"/>
  <c r="L1364" i="3"/>
  <c r="I1364" i="3"/>
  <c r="O1363" i="3"/>
  <c r="N1363" i="3"/>
  <c r="M1363" i="3"/>
  <c r="L1363" i="3"/>
  <c r="I1363" i="3"/>
  <c r="O1362" i="3"/>
  <c r="N1362" i="3"/>
  <c r="M1362" i="3"/>
  <c r="L1362" i="3"/>
  <c r="I1362" i="3"/>
  <c r="O1361" i="3"/>
  <c r="N1361" i="3"/>
  <c r="M1361" i="3"/>
  <c r="L1361" i="3"/>
  <c r="I1361" i="3"/>
  <c r="O1360" i="3"/>
  <c r="N1360" i="3"/>
  <c r="M1360" i="3"/>
  <c r="L1360" i="3"/>
  <c r="I1360" i="3"/>
  <c r="O1359" i="3"/>
  <c r="N1359" i="3"/>
  <c r="M1359" i="3"/>
  <c r="L1359" i="3"/>
  <c r="I1359" i="3"/>
  <c r="O1358" i="3"/>
  <c r="N1358" i="3"/>
  <c r="M1358" i="3"/>
  <c r="L1358" i="3"/>
  <c r="I1358" i="3"/>
  <c r="O1357" i="3"/>
  <c r="N1357" i="3"/>
  <c r="M1357" i="3"/>
  <c r="L1357" i="3"/>
  <c r="I1357" i="3"/>
  <c r="O1356" i="3"/>
  <c r="N1356" i="3"/>
  <c r="M1356" i="3"/>
  <c r="L1356" i="3"/>
  <c r="I1356" i="3"/>
  <c r="O1355" i="3"/>
  <c r="N1355" i="3"/>
  <c r="M1355" i="3"/>
  <c r="L1355" i="3"/>
  <c r="I1355" i="3"/>
  <c r="O1354" i="3"/>
  <c r="N1354" i="3"/>
  <c r="M1354" i="3"/>
  <c r="L1354" i="3"/>
  <c r="I1354" i="3"/>
  <c r="O1353" i="3"/>
  <c r="N1353" i="3"/>
  <c r="M1353" i="3"/>
  <c r="L1353" i="3"/>
  <c r="I1353" i="3"/>
  <c r="O1352" i="3"/>
  <c r="N1352" i="3"/>
  <c r="M1352" i="3"/>
  <c r="L1352" i="3"/>
  <c r="I1352" i="3"/>
  <c r="O1351" i="3"/>
  <c r="N1351" i="3"/>
  <c r="M1351" i="3"/>
  <c r="L1351" i="3"/>
  <c r="I1351" i="3"/>
  <c r="O1350" i="3"/>
  <c r="N1350" i="3"/>
  <c r="M1350" i="3"/>
  <c r="L1350" i="3"/>
  <c r="I1350" i="3"/>
  <c r="O1349" i="3"/>
  <c r="N1349" i="3"/>
  <c r="M1349" i="3"/>
  <c r="L1349" i="3"/>
  <c r="I1349" i="3"/>
  <c r="O1348" i="3"/>
  <c r="N1348" i="3"/>
  <c r="M1348" i="3"/>
  <c r="L1348" i="3"/>
  <c r="I1348" i="3"/>
  <c r="O1347" i="3"/>
  <c r="N1347" i="3"/>
  <c r="M1347" i="3"/>
  <c r="L1347" i="3"/>
  <c r="I1347" i="3"/>
  <c r="O1346" i="3"/>
  <c r="N1346" i="3"/>
  <c r="M1346" i="3"/>
  <c r="L1346" i="3"/>
  <c r="I1346" i="3"/>
  <c r="O1345" i="3"/>
  <c r="N1345" i="3"/>
  <c r="M1345" i="3"/>
  <c r="L1345" i="3"/>
  <c r="I1345" i="3"/>
  <c r="O1344" i="3"/>
  <c r="N1344" i="3"/>
  <c r="M1344" i="3"/>
  <c r="L1344" i="3"/>
  <c r="I1344" i="3"/>
  <c r="O1343" i="3"/>
  <c r="N1343" i="3"/>
  <c r="M1343" i="3"/>
  <c r="L1343" i="3"/>
  <c r="I1343" i="3"/>
  <c r="O1342" i="3"/>
  <c r="N1342" i="3"/>
  <c r="M1342" i="3"/>
  <c r="L1342" i="3"/>
  <c r="I1342" i="3"/>
  <c r="O1341" i="3"/>
  <c r="N1341" i="3"/>
  <c r="M1341" i="3"/>
  <c r="L1341" i="3"/>
  <c r="I1341" i="3"/>
  <c r="O1340" i="3"/>
  <c r="N1340" i="3"/>
  <c r="M1340" i="3"/>
  <c r="L1340" i="3"/>
  <c r="I1340" i="3"/>
  <c r="O1339" i="3"/>
  <c r="N1339" i="3"/>
  <c r="M1339" i="3"/>
  <c r="L1339" i="3"/>
  <c r="I1339" i="3"/>
  <c r="O1338" i="3"/>
  <c r="N1338" i="3"/>
  <c r="M1338" i="3"/>
  <c r="L1338" i="3"/>
  <c r="I1338" i="3"/>
  <c r="O1337" i="3"/>
  <c r="N1337" i="3"/>
  <c r="M1337" i="3"/>
  <c r="L1337" i="3"/>
  <c r="I1337" i="3"/>
  <c r="O1336" i="3"/>
  <c r="N1336" i="3"/>
  <c r="M1336" i="3"/>
  <c r="L1336" i="3"/>
  <c r="I1336" i="3"/>
  <c r="O1335" i="3"/>
  <c r="N1335" i="3"/>
  <c r="M1335" i="3"/>
  <c r="L1335" i="3"/>
  <c r="I1335" i="3"/>
  <c r="O1334" i="3"/>
  <c r="N1334" i="3"/>
  <c r="M1334" i="3"/>
  <c r="L1334" i="3"/>
  <c r="I1334" i="3"/>
  <c r="O1333" i="3"/>
  <c r="N1333" i="3"/>
  <c r="M1333" i="3"/>
  <c r="L1333" i="3"/>
  <c r="I1333" i="3"/>
  <c r="O1332" i="3"/>
  <c r="N1332" i="3"/>
  <c r="M1332" i="3"/>
  <c r="L1332" i="3"/>
  <c r="I1332" i="3"/>
  <c r="O1331" i="3"/>
  <c r="N1331" i="3"/>
  <c r="M1331" i="3"/>
  <c r="L1331" i="3"/>
  <c r="I1331" i="3"/>
  <c r="O1330" i="3"/>
  <c r="N1330" i="3"/>
  <c r="M1330" i="3"/>
  <c r="L1330" i="3"/>
  <c r="I1330" i="3"/>
  <c r="O1329" i="3"/>
  <c r="N1329" i="3"/>
  <c r="M1329" i="3"/>
  <c r="L1329" i="3"/>
  <c r="I1329" i="3"/>
  <c r="O1328" i="3"/>
  <c r="N1328" i="3"/>
  <c r="M1328" i="3"/>
  <c r="L1328" i="3"/>
  <c r="I1328" i="3"/>
  <c r="O1327" i="3"/>
  <c r="N1327" i="3"/>
  <c r="M1327" i="3"/>
  <c r="L1327" i="3"/>
  <c r="I1327" i="3"/>
  <c r="O1326" i="3"/>
  <c r="N1326" i="3"/>
  <c r="M1326" i="3"/>
  <c r="L1326" i="3"/>
  <c r="I1326" i="3"/>
  <c r="O1325" i="3"/>
  <c r="N1325" i="3"/>
  <c r="M1325" i="3"/>
  <c r="L1325" i="3"/>
  <c r="I1325" i="3"/>
  <c r="O1324" i="3"/>
  <c r="N1324" i="3"/>
  <c r="M1324" i="3"/>
  <c r="L1324" i="3"/>
  <c r="I1324" i="3"/>
  <c r="O1323" i="3"/>
  <c r="N1323" i="3"/>
  <c r="M1323" i="3"/>
  <c r="L1323" i="3"/>
  <c r="I1323" i="3"/>
  <c r="O1322" i="3"/>
  <c r="N1322" i="3"/>
  <c r="M1322" i="3"/>
  <c r="L1322" i="3"/>
  <c r="I1322" i="3"/>
  <c r="O1321" i="3"/>
  <c r="N1321" i="3"/>
  <c r="M1321" i="3"/>
  <c r="L1321" i="3"/>
  <c r="I1321" i="3"/>
  <c r="O1320" i="3"/>
  <c r="N1320" i="3"/>
  <c r="M1320" i="3"/>
  <c r="L1320" i="3"/>
  <c r="I1320" i="3"/>
  <c r="O1319" i="3"/>
  <c r="N1319" i="3"/>
  <c r="M1319" i="3"/>
  <c r="L1319" i="3"/>
  <c r="I1319" i="3"/>
  <c r="O1318" i="3"/>
  <c r="N1318" i="3"/>
  <c r="M1318" i="3"/>
  <c r="L1318" i="3"/>
  <c r="I1318" i="3"/>
  <c r="O1317" i="3"/>
  <c r="N1317" i="3"/>
  <c r="M1317" i="3"/>
  <c r="L1317" i="3"/>
  <c r="I1317" i="3"/>
  <c r="O1316" i="3"/>
  <c r="N1316" i="3"/>
  <c r="M1316" i="3"/>
  <c r="L1316" i="3"/>
  <c r="I1316" i="3"/>
  <c r="O1315" i="3"/>
  <c r="N1315" i="3"/>
  <c r="M1315" i="3"/>
  <c r="L1315" i="3"/>
  <c r="I1315" i="3"/>
  <c r="O1314" i="3"/>
  <c r="N1314" i="3"/>
  <c r="M1314" i="3"/>
  <c r="L1314" i="3"/>
  <c r="I1314" i="3"/>
  <c r="O1313" i="3"/>
  <c r="N1313" i="3"/>
  <c r="M1313" i="3"/>
  <c r="L1313" i="3"/>
  <c r="I1313" i="3"/>
  <c r="O1312" i="3"/>
  <c r="N1312" i="3"/>
  <c r="M1312" i="3"/>
  <c r="L1312" i="3"/>
  <c r="I1312" i="3"/>
  <c r="O1311" i="3"/>
  <c r="N1311" i="3"/>
  <c r="M1311" i="3"/>
  <c r="L1311" i="3"/>
  <c r="I1311" i="3"/>
  <c r="O1310" i="3"/>
  <c r="N1310" i="3"/>
  <c r="M1310" i="3"/>
  <c r="L1310" i="3"/>
  <c r="I1310" i="3"/>
  <c r="O1309" i="3"/>
  <c r="N1309" i="3"/>
  <c r="M1309" i="3"/>
  <c r="L1309" i="3"/>
  <c r="I1309" i="3"/>
  <c r="O1308" i="3"/>
  <c r="N1308" i="3"/>
  <c r="M1308" i="3"/>
  <c r="L1308" i="3"/>
  <c r="I1308" i="3"/>
  <c r="O1307" i="3"/>
  <c r="N1307" i="3"/>
  <c r="M1307" i="3"/>
  <c r="L1307" i="3"/>
  <c r="I1307" i="3"/>
  <c r="O1306" i="3"/>
  <c r="N1306" i="3"/>
  <c r="M1306" i="3"/>
  <c r="L1306" i="3"/>
  <c r="I1306" i="3"/>
  <c r="O1305" i="3"/>
  <c r="N1305" i="3"/>
  <c r="M1305" i="3"/>
  <c r="L1305" i="3"/>
  <c r="I1305" i="3"/>
  <c r="O1304" i="3"/>
  <c r="N1304" i="3"/>
  <c r="M1304" i="3"/>
  <c r="L1304" i="3"/>
  <c r="I1304" i="3"/>
  <c r="O1303" i="3"/>
  <c r="N1303" i="3"/>
  <c r="M1303" i="3"/>
  <c r="L1303" i="3"/>
  <c r="I1303" i="3"/>
  <c r="O1302" i="3"/>
  <c r="N1302" i="3"/>
  <c r="M1302" i="3"/>
  <c r="L1302" i="3"/>
  <c r="I1302" i="3"/>
  <c r="O1301" i="3"/>
  <c r="N1301" i="3"/>
  <c r="M1301" i="3"/>
  <c r="L1301" i="3"/>
  <c r="I1301" i="3"/>
  <c r="O1300" i="3"/>
  <c r="N1300" i="3"/>
  <c r="M1300" i="3"/>
  <c r="L1300" i="3"/>
  <c r="I1300" i="3"/>
  <c r="O1299" i="3"/>
  <c r="N1299" i="3"/>
  <c r="M1299" i="3"/>
  <c r="L1299" i="3"/>
  <c r="I1299" i="3"/>
  <c r="O1298" i="3"/>
  <c r="N1298" i="3"/>
  <c r="M1298" i="3"/>
  <c r="L1298" i="3"/>
  <c r="I1298" i="3"/>
  <c r="O1297" i="3"/>
  <c r="N1297" i="3"/>
  <c r="M1297" i="3"/>
  <c r="L1297" i="3"/>
  <c r="I1297" i="3"/>
  <c r="O1296" i="3"/>
  <c r="N1296" i="3"/>
  <c r="M1296" i="3"/>
  <c r="L1296" i="3"/>
  <c r="I1296" i="3"/>
  <c r="O1295" i="3"/>
  <c r="N1295" i="3"/>
  <c r="M1295" i="3"/>
  <c r="L1295" i="3"/>
  <c r="I1295" i="3"/>
  <c r="O1294" i="3"/>
  <c r="N1294" i="3"/>
  <c r="M1294" i="3"/>
  <c r="L1294" i="3"/>
  <c r="I1294" i="3"/>
  <c r="O1293" i="3"/>
  <c r="N1293" i="3"/>
  <c r="M1293" i="3"/>
  <c r="L1293" i="3"/>
  <c r="I1293" i="3"/>
  <c r="O1292" i="3"/>
  <c r="N1292" i="3"/>
  <c r="M1292" i="3"/>
  <c r="L1292" i="3"/>
  <c r="I1292" i="3"/>
  <c r="O1291" i="3"/>
  <c r="N1291" i="3"/>
  <c r="M1291" i="3"/>
  <c r="L1291" i="3"/>
  <c r="I1291" i="3"/>
  <c r="O1290" i="3"/>
  <c r="N1290" i="3"/>
  <c r="M1290" i="3"/>
  <c r="L1290" i="3"/>
  <c r="I1290" i="3"/>
  <c r="O1289" i="3"/>
  <c r="N1289" i="3"/>
  <c r="M1289" i="3"/>
  <c r="L1289" i="3"/>
  <c r="I1289" i="3"/>
  <c r="O1288" i="3"/>
  <c r="N1288" i="3"/>
  <c r="M1288" i="3"/>
  <c r="L1288" i="3"/>
  <c r="I1288" i="3"/>
  <c r="O1287" i="3"/>
  <c r="N1287" i="3"/>
  <c r="M1287" i="3"/>
  <c r="L1287" i="3"/>
  <c r="I1287" i="3"/>
  <c r="O1286" i="3"/>
  <c r="N1286" i="3"/>
  <c r="M1286" i="3"/>
  <c r="L1286" i="3"/>
  <c r="I1286" i="3"/>
  <c r="O1285" i="3"/>
  <c r="N1285" i="3"/>
  <c r="M1285" i="3"/>
  <c r="L1285" i="3"/>
  <c r="I1285" i="3"/>
  <c r="O1284" i="3"/>
  <c r="N1284" i="3"/>
  <c r="M1284" i="3"/>
  <c r="L1284" i="3"/>
  <c r="I1284" i="3"/>
  <c r="O1283" i="3"/>
  <c r="N1283" i="3"/>
  <c r="M1283" i="3"/>
  <c r="L1283" i="3"/>
  <c r="I1283" i="3"/>
  <c r="O1282" i="3"/>
  <c r="N1282" i="3"/>
  <c r="M1282" i="3"/>
  <c r="L1282" i="3"/>
  <c r="I1282" i="3"/>
  <c r="O1281" i="3"/>
  <c r="N1281" i="3"/>
  <c r="M1281" i="3"/>
  <c r="L1281" i="3"/>
  <c r="I1281" i="3"/>
  <c r="O1280" i="3"/>
  <c r="N1280" i="3"/>
  <c r="M1280" i="3"/>
  <c r="L1280" i="3"/>
  <c r="I1280" i="3"/>
  <c r="O1279" i="3"/>
  <c r="N1279" i="3"/>
  <c r="M1279" i="3"/>
  <c r="L1279" i="3"/>
  <c r="I1279" i="3"/>
  <c r="O1278" i="3"/>
  <c r="N1278" i="3"/>
  <c r="M1278" i="3"/>
  <c r="L1278" i="3"/>
  <c r="I1278" i="3"/>
  <c r="O1277" i="3"/>
  <c r="N1277" i="3"/>
  <c r="M1277" i="3"/>
  <c r="L1277" i="3"/>
  <c r="I1277" i="3"/>
  <c r="O1276" i="3"/>
  <c r="N1276" i="3"/>
  <c r="M1276" i="3"/>
  <c r="L1276" i="3"/>
  <c r="I1276" i="3"/>
  <c r="O1275" i="3"/>
  <c r="N1275" i="3"/>
  <c r="M1275" i="3"/>
  <c r="L1275" i="3"/>
  <c r="I1275" i="3"/>
  <c r="O1274" i="3"/>
  <c r="N1274" i="3"/>
  <c r="M1274" i="3"/>
  <c r="L1274" i="3"/>
  <c r="I1274" i="3"/>
  <c r="O1273" i="3"/>
  <c r="N1273" i="3"/>
  <c r="M1273" i="3"/>
  <c r="L1273" i="3"/>
  <c r="I1273" i="3"/>
  <c r="O1272" i="3"/>
  <c r="N1272" i="3"/>
  <c r="M1272" i="3"/>
  <c r="L1272" i="3"/>
  <c r="I1272" i="3"/>
  <c r="O1271" i="3"/>
  <c r="N1271" i="3"/>
  <c r="M1271" i="3"/>
  <c r="L1271" i="3"/>
  <c r="I1271" i="3"/>
  <c r="O1270" i="3"/>
  <c r="N1270" i="3"/>
  <c r="M1270" i="3"/>
  <c r="L1270" i="3"/>
  <c r="I1270" i="3"/>
  <c r="O1269" i="3"/>
  <c r="N1269" i="3"/>
  <c r="M1269" i="3"/>
  <c r="L1269" i="3"/>
  <c r="I1269" i="3"/>
  <c r="O1268" i="3"/>
  <c r="N1268" i="3"/>
  <c r="M1268" i="3"/>
  <c r="L1268" i="3"/>
  <c r="I1268" i="3"/>
  <c r="O1267" i="3"/>
  <c r="N1267" i="3"/>
  <c r="M1267" i="3"/>
  <c r="L1267" i="3"/>
  <c r="I1267" i="3"/>
  <c r="O1266" i="3"/>
  <c r="N1266" i="3"/>
  <c r="M1266" i="3"/>
  <c r="L1266" i="3"/>
  <c r="I1266" i="3"/>
  <c r="O1265" i="3"/>
  <c r="N1265" i="3"/>
  <c r="M1265" i="3"/>
  <c r="L1265" i="3"/>
  <c r="I1265" i="3"/>
  <c r="O1264" i="3"/>
  <c r="N1264" i="3"/>
  <c r="M1264" i="3"/>
  <c r="L1264" i="3"/>
  <c r="I1264" i="3"/>
  <c r="O1263" i="3"/>
  <c r="N1263" i="3"/>
  <c r="M1263" i="3"/>
  <c r="L1263" i="3"/>
  <c r="I1263" i="3"/>
  <c r="O1262" i="3"/>
  <c r="N1262" i="3"/>
  <c r="M1262" i="3"/>
  <c r="L1262" i="3"/>
  <c r="I1262" i="3"/>
  <c r="O1261" i="3"/>
  <c r="N1261" i="3"/>
  <c r="M1261" i="3"/>
  <c r="L1261" i="3"/>
  <c r="I1261" i="3"/>
  <c r="O1260" i="3"/>
  <c r="N1260" i="3"/>
  <c r="M1260" i="3"/>
  <c r="L1260" i="3"/>
  <c r="I1260" i="3"/>
  <c r="O1259" i="3"/>
  <c r="N1259" i="3"/>
  <c r="M1259" i="3"/>
  <c r="L1259" i="3"/>
  <c r="I1259" i="3"/>
  <c r="O1258" i="3"/>
  <c r="N1258" i="3"/>
  <c r="M1258" i="3"/>
  <c r="L1258" i="3"/>
  <c r="I1258" i="3"/>
  <c r="O1257" i="3"/>
  <c r="N1257" i="3"/>
  <c r="M1257" i="3"/>
  <c r="L1257" i="3"/>
  <c r="I1257" i="3"/>
  <c r="O1256" i="3"/>
  <c r="N1256" i="3"/>
  <c r="M1256" i="3"/>
  <c r="L1256" i="3"/>
  <c r="I1256" i="3"/>
  <c r="O1255" i="3"/>
  <c r="N1255" i="3"/>
  <c r="M1255" i="3"/>
  <c r="L1255" i="3"/>
  <c r="I1255" i="3"/>
  <c r="O1254" i="3"/>
  <c r="N1254" i="3"/>
  <c r="M1254" i="3"/>
  <c r="L1254" i="3"/>
  <c r="I1254" i="3"/>
  <c r="O1253" i="3"/>
  <c r="N1253" i="3"/>
  <c r="M1253" i="3"/>
  <c r="L1253" i="3"/>
  <c r="I1253" i="3"/>
  <c r="O1252" i="3"/>
  <c r="N1252" i="3"/>
  <c r="M1252" i="3"/>
  <c r="L1252" i="3"/>
  <c r="I1252" i="3"/>
  <c r="O1251" i="3"/>
  <c r="N1251" i="3"/>
  <c r="M1251" i="3"/>
  <c r="L1251" i="3"/>
  <c r="I1251" i="3"/>
  <c r="O1250" i="3"/>
  <c r="N1250" i="3"/>
  <c r="M1250" i="3"/>
  <c r="L1250" i="3"/>
  <c r="I1250" i="3"/>
  <c r="O1249" i="3"/>
  <c r="N1249" i="3"/>
  <c r="M1249" i="3"/>
  <c r="L1249" i="3"/>
  <c r="I1249" i="3"/>
  <c r="O1248" i="3"/>
  <c r="N1248" i="3"/>
  <c r="M1248" i="3"/>
  <c r="L1248" i="3"/>
  <c r="I1248" i="3"/>
  <c r="O1247" i="3"/>
  <c r="N1247" i="3"/>
  <c r="M1247" i="3"/>
  <c r="L1247" i="3"/>
  <c r="I1247" i="3"/>
  <c r="O1246" i="3"/>
  <c r="N1246" i="3"/>
  <c r="M1246" i="3"/>
  <c r="L1246" i="3"/>
  <c r="I1246" i="3"/>
  <c r="O1245" i="3"/>
  <c r="N1245" i="3"/>
  <c r="M1245" i="3"/>
  <c r="L1245" i="3"/>
  <c r="I1245" i="3"/>
  <c r="O1244" i="3"/>
  <c r="N1244" i="3"/>
  <c r="M1244" i="3"/>
  <c r="L1244" i="3"/>
  <c r="I1244" i="3"/>
  <c r="O1243" i="3"/>
  <c r="N1243" i="3"/>
  <c r="M1243" i="3"/>
  <c r="L1243" i="3"/>
  <c r="I1243" i="3"/>
  <c r="O1242" i="3"/>
  <c r="N1242" i="3"/>
  <c r="M1242" i="3"/>
  <c r="L1242" i="3"/>
  <c r="I1242" i="3"/>
  <c r="O1241" i="3"/>
  <c r="N1241" i="3"/>
  <c r="M1241" i="3"/>
  <c r="L1241" i="3"/>
  <c r="I1241" i="3"/>
  <c r="O1240" i="3"/>
  <c r="N1240" i="3"/>
  <c r="M1240" i="3"/>
  <c r="L1240" i="3"/>
  <c r="I1240" i="3"/>
  <c r="O1239" i="3"/>
  <c r="N1239" i="3"/>
  <c r="M1239" i="3"/>
  <c r="L1239" i="3"/>
  <c r="I1239" i="3"/>
  <c r="O1238" i="3"/>
  <c r="N1238" i="3"/>
  <c r="M1238" i="3"/>
  <c r="L1238" i="3"/>
  <c r="I1238" i="3"/>
  <c r="O1237" i="3"/>
  <c r="N1237" i="3"/>
  <c r="M1237" i="3"/>
  <c r="L1237" i="3"/>
  <c r="I1237" i="3"/>
  <c r="O1236" i="3"/>
  <c r="N1236" i="3"/>
  <c r="M1236" i="3"/>
  <c r="L1236" i="3"/>
  <c r="I1236" i="3"/>
  <c r="O1235" i="3"/>
  <c r="N1235" i="3"/>
  <c r="M1235" i="3"/>
  <c r="L1235" i="3"/>
  <c r="I1235" i="3"/>
  <c r="O1234" i="3"/>
  <c r="N1234" i="3"/>
  <c r="M1234" i="3"/>
  <c r="L1234" i="3"/>
  <c r="I1234" i="3"/>
  <c r="O1233" i="3"/>
  <c r="N1233" i="3"/>
  <c r="M1233" i="3"/>
  <c r="L1233" i="3"/>
  <c r="I1233" i="3"/>
  <c r="O1232" i="3"/>
  <c r="N1232" i="3"/>
  <c r="M1232" i="3"/>
  <c r="L1232" i="3"/>
  <c r="I1232" i="3"/>
  <c r="O1231" i="3"/>
  <c r="N1231" i="3"/>
  <c r="M1231" i="3"/>
  <c r="L1231" i="3"/>
  <c r="I1231" i="3"/>
  <c r="O1230" i="3"/>
  <c r="N1230" i="3"/>
  <c r="M1230" i="3"/>
  <c r="L1230" i="3"/>
  <c r="I1230" i="3"/>
  <c r="O1229" i="3"/>
  <c r="N1229" i="3"/>
  <c r="M1229" i="3"/>
  <c r="L1229" i="3"/>
  <c r="I1229" i="3"/>
  <c r="O1228" i="3"/>
  <c r="N1228" i="3"/>
  <c r="M1228" i="3"/>
  <c r="L1228" i="3"/>
  <c r="I1228" i="3"/>
  <c r="O1227" i="3"/>
  <c r="N1227" i="3"/>
  <c r="M1227" i="3"/>
  <c r="L1227" i="3"/>
  <c r="I1227" i="3"/>
  <c r="O1226" i="3"/>
  <c r="N1226" i="3"/>
  <c r="M1226" i="3"/>
  <c r="L1226" i="3"/>
  <c r="I1226" i="3"/>
  <c r="O1225" i="3"/>
  <c r="N1225" i="3"/>
  <c r="M1225" i="3"/>
  <c r="L1225" i="3"/>
  <c r="I1225" i="3"/>
  <c r="O1224" i="3"/>
  <c r="N1224" i="3"/>
  <c r="M1224" i="3"/>
  <c r="L1224" i="3"/>
  <c r="I1224" i="3"/>
  <c r="O1223" i="3"/>
  <c r="N1223" i="3"/>
  <c r="M1223" i="3"/>
  <c r="L1223" i="3"/>
  <c r="I1223" i="3"/>
  <c r="O1222" i="3"/>
  <c r="N1222" i="3"/>
  <c r="M1222" i="3"/>
  <c r="L1222" i="3"/>
  <c r="I1222" i="3"/>
  <c r="O1221" i="3"/>
  <c r="N1221" i="3"/>
  <c r="M1221" i="3"/>
  <c r="L1221" i="3"/>
  <c r="I1221" i="3"/>
  <c r="O1220" i="3"/>
  <c r="N1220" i="3"/>
  <c r="M1220" i="3"/>
  <c r="L1220" i="3"/>
  <c r="I1220" i="3"/>
  <c r="O1219" i="3"/>
  <c r="N1219" i="3"/>
  <c r="M1219" i="3"/>
  <c r="L1219" i="3"/>
  <c r="I1219" i="3"/>
  <c r="O1218" i="3"/>
  <c r="N1218" i="3"/>
  <c r="M1218" i="3"/>
  <c r="L1218" i="3"/>
  <c r="I1218" i="3"/>
  <c r="O1217" i="3"/>
  <c r="N1217" i="3"/>
  <c r="M1217" i="3"/>
  <c r="L1217" i="3"/>
  <c r="I1217" i="3"/>
  <c r="O1216" i="3"/>
  <c r="N1216" i="3"/>
  <c r="M1216" i="3"/>
  <c r="L1216" i="3"/>
  <c r="I1216" i="3"/>
  <c r="O1215" i="3"/>
  <c r="N1215" i="3"/>
  <c r="M1215" i="3"/>
  <c r="L1215" i="3"/>
  <c r="I1215" i="3"/>
  <c r="O1214" i="3"/>
  <c r="N1214" i="3"/>
  <c r="M1214" i="3"/>
  <c r="L1214" i="3"/>
  <c r="I1214" i="3"/>
  <c r="O1213" i="3"/>
  <c r="N1213" i="3"/>
  <c r="M1213" i="3"/>
  <c r="L1213" i="3"/>
  <c r="I1213" i="3"/>
  <c r="O1212" i="3"/>
  <c r="N1212" i="3"/>
  <c r="M1212" i="3"/>
  <c r="L1212" i="3"/>
  <c r="I1212" i="3"/>
  <c r="O1211" i="3"/>
  <c r="N1211" i="3"/>
  <c r="M1211" i="3"/>
  <c r="L1211" i="3"/>
  <c r="I1211" i="3"/>
  <c r="O1210" i="3"/>
  <c r="N1210" i="3"/>
  <c r="M1210" i="3"/>
  <c r="L1210" i="3"/>
  <c r="I1210" i="3"/>
  <c r="O1209" i="3"/>
  <c r="N1209" i="3"/>
  <c r="M1209" i="3"/>
  <c r="L1209" i="3"/>
  <c r="I1209" i="3"/>
  <c r="O1208" i="3"/>
  <c r="N1208" i="3"/>
  <c r="M1208" i="3"/>
  <c r="L1208" i="3"/>
  <c r="I1208" i="3"/>
  <c r="O1207" i="3"/>
  <c r="N1207" i="3"/>
  <c r="M1207" i="3"/>
  <c r="L1207" i="3"/>
  <c r="I1207" i="3"/>
  <c r="O1206" i="3"/>
  <c r="N1206" i="3"/>
  <c r="M1206" i="3"/>
  <c r="L1206" i="3"/>
  <c r="I1206" i="3"/>
  <c r="O1205" i="3"/>
  <c r="N1205" i="3"/>
  <c r="M1205" i="3"/>
  <c r="L1205" i="3"/>
  <c r="I1205" i="3"/>
  <c r="O1204" i="3"/>
  <c r="N1204" i="3"/>
  <c r="M1204" i="3"/>
  <c r="L1204" i="3"/>
  <c r="I1204" i="3"/>
  <c r="O1203" i="3"/>
  <c r="N1203" i="3"/>
  <c r="M1203" i="3"/>
  <c r="L1203" i="3"/>
  <c r="I1203" i="3"/>
  <c r="O1202" i="3"/>
  <c r="N1202" i="3"/>
  <c r="M1202" i="3"/>
  <c r="L1202" i="3"/>
  <c r="I1202" i="3"/>
  <c r="O1201" i="3"/>
  <c r="N1201" i="3"/>
  <c r="M1201" i="3"/>
  <c r="L1201" i="3"/>
  <c r="I1201" i="3"/>
  <c r="O1200" i="3"/>
  <c r="N1200" i="3"/>
  <c r="M1200" i="3"/>
  <c r="L1200" i="3"/>
  <c r="I1200" i="3"/>
  <c r="O1199" i="3"/>
  <c r="N1199" i="3"/>
  <c r="M1199" i="3"/>
  <c r="L1199" i="3"/>
  <c r="I1199" i="3"/>
  <c r="O1198" i="3"/>
  <c r="N1198" i="3"/>
  <c r="M1198" i="3"/>
  <c r="L1198" i="3"/>
  <c r="I1198" i="3"/>
  <c r="O1197" i="3"/>
  <c r="N1197" i="3"/>
  <c r="M1197" i="3"/>
  <c r="L1197" i="3"/>
  <c r="I1197" i="3"/>
  <c r="O1196" i="3"/>
  <c r="N1196" i="3"/>
  <c r="M1196" i="3"/>
  <c r="L1196" i="3"/>
  <c r="I1196" i="3"/>
  <c r="O1195" i="3"/>
  <c r="N1195" i="3"/>
  <c r="M1195" i="3"/>
  <c r="L1195" i="3"/>
  <c r="I1195" i="3"/>
  <c r="O1194" i="3"/>
  <c r="N1194" i="3"/>
  <c r="M1194" i="3"/>
  <c r="L1194" i="3"/>
  <c r="I1194" i="3"/>
  <c r="O1193" i="3"/>
  <c r="N1193" i="3"/>
  <c r="M1193" i="3"/>
  <c r="L1193" i="3"/>
  <c r="I1193" i="3"/>
  <c r="O1192" i="3"/>
  <c r="N1192" i="3"/>
  <c r="M1192" i="3"/>
  <c r="L1192" i="3"/>
  <c r="I1192" i="3"/>
  <c r="O1191" i="3"/>
  <c r="N1191" i="3"/>
  <c r="M1191" i="3"/>
  <c r="L1191" i="3"/>
  <c r="I1191" i="3"/>
  <c r="O1190" i="3"/>
  <c r="N1190" i="3"/>
  <c r="M1190" i="3"/>
  <c r="L1190" i="3"/>
  <c r="I1190" i="3"/>
  <c r="O1189" i="3"/>
  <c r="N1189" i="3"/>
  <c r="M1189" i="3"/>
  <c r="L1189" i="3"/>
  <c r="I1189" i="3"/>
  <c r="O1188" i="3"/>
  <c r="N1188" i="3"/>
  <c r="M1188" i="3"/>
  <c r="L1188" i="3"/>
  <c r="I1188" i="3"/>
  <c r="O1187" i="3"/>
  <c r="N1187" i="3"/>
  <c r="M1187" i="3"/>
  <c r="L1187" i="3"/>
  <c r="I1187" i="3"/>
  <c r="O1186" i="3"/>
  <c r="N1186" i="3"/>
  <c r="M1186" i="3"/>
  <c r="L1186" i="3"/>
  <c r="I1186" i="3"/>
  <c r="O1185" i="3"/>
  <c r="N1185" i="3"/>
  <c r="M1185" i="3"/>
  <c r="L1185" i="3"/>
  <c r="I1185" i="3"/>
  <c r="O1184" i="3"/>
  <c r="N1184" i="3"/>
  <c r="M1184" i="3"/>
  <c r="L1184" i="3"/>
  <c r="I1184" i="3"/>
  <c r="O1183" i="3"/>
  <c r="N1183" i="3"/>
  <c r="M1183" i="3"/>
  <c r="L1183" i="3"/>
  <c r="I1183" i="3"/>
  <c r="O1182" i="3"/>
  <c r="N1182" i="3"/>
  <c r="M1182" i="3"/>
  <c r="L1182" i="3"/>
  <c r="I1182" i="3"/>
  <c r="O1181" i="3"/>
  <c r="N1181" i="3"/>
  <c r="M1181" i="3"/>
  <c r="L1181" i="3"/>
  <c r="I1181" i="3"/>
  <c r="O1180" i="3"/>
  <c r="N1180" i="3"/>
  <c r="M1180" i="3"/>
  <c r="L1180" i="3"/>
  <c r="I1180" i="3"/>
  <c r="O1179" i="3"/>
  <c r="N1179" i="3"/>
  <c r="M1179" i="3"/>
  <c r="L1179" i="3"/>
  <c r="I1179" i="3"/>
  <c r="O1178" i="3"/>
  <c r="N1178" i="3"/>
  <c r="M1178" i="3"/>
  <c r="L1178" i="3"/>
  <c r="I1178" i="3"/>
  <c r="O1177" i="3"/>
  <c r="N1177" i="3"/>
  <c r="M1177" i="3"/>
  <c r="L1177" i="3"/>
  <c r="I1177" i="3"/>
  <c r="O1176" i="3"/>
  <c r="N1176" i="3"/>
  <c r="M1176" i="3"/>
  <c r="L1176" i="3"/>
  <c r="I1176" i="3"/>
  <c r="O1175" i="3"/>
  <c r="N1175" i="3"/>
  <c r="M1175" i="3"/>
  <c r="L1175" i="3"/>
  <c r="I1175" i="3"/>
  <c r="O1174" i="3"/>
  <c r="N1174" i="3"/>
  <c r="M1174" i="3"/>
  <c r="L1174" i="3"/>
  <c r="I1174" i="3"/>
  <c r="O1173" i="3"/>
  <c r="N1173" i="3"/>
  <c r="M1173" i="3"/>
  <c r="L1173" i="3"/>
  <c r="I1173" i="3"/>
  <c r="O1172" i="3"/>
  <c r="N1172" i="3"/>
  <c r="M1172" i="3"/>
  <c r="L1172" i="3"/>
  <c r="I1172" i="3"/>
  <c r="O1171" i="3"/>
  <c r="N1171" i="3"/>
  <c r="M1171" i="3"/>
  <c r="L1171" i="3"/>
  <c r="I1171" i="3"/>
  <c r="O1170" i="3"/>
  <c r="N1170" i="3"/>
  <c r="M1170" i="3"/>
  <c r="L1170" i="3"/>
  <c r="I1170" i="3"/>
  <c r="O1169" i="3"/>
  <c r="N1169" i="3"/>
  <c r="M1169" i="3"/>
  <c r="L1169" i="3"/>
  <c r="I1169" i="3"/>
  <c r="O1168" i="3"/>
  <c r="N1168" i="3"/>
  <c r="M1168" i="3"/>
  <c r="L1168" i="3"/>
  <c r="I1168" i="3"/>
  <c r="O1167" i="3"/>
  <c r="N1167" i="3"/>
  <c r="M1167" i="3"/>
  <c r="L1167" i="3"/>
  <c r="I1167" i="3"/>
  <c r="O1166" i="3"/>
  <c r="N1166" i="3"/>
  <c r="M1166" i="3"/>
  <c r="L1166" i="3"/>
  <c r="I1166" i="3"/>
  <c r="O1165" i="3"/>
  <c r="N1165" i="3"/>
  <c r="M1165" i="3"/>
  <c r="L1165" i="3"/>
  <c r="I1165" i="3"/>
  <c r="O1164" i="3"/>
  <c r="N1164" i="3"/>
  <c r="M1164" i="3"/>
  <c r="L1164" i="3"/>
  <c r="I1164" i="3"/>
  <c r="O1163" i="3"/>
  <c r="N1163" i="3"/>
  <c r="M1163" i="3"/>
  <c r="L1163" i="3"/>
  <c r="I1163" i="3"/>
  <c r="O1162" i="3"/>
  <c r="N1162" i="3"/>
  <c r="M1162" i="3"/>
  <c r="L1162" i="3"/>
  <c r="I1162" i="3"/>
  <c r="O1161" i="3"/>
  <c r="N1161" i="3"/>
  <c r="M1161" i="3"/>
  <c r="L1161" i="3"/>
  <c r="I1161" i="3"/>
  <c r="O1160" i="3"/>
  <c r="N1160" i="3"/>
  <c r="M1160" i="3"/>
  <c r="L1160" i="3"/>
  <c r="I1160" i="3"/>
  <c r="O1159" i="3"/>
  <c r="N1159" i="3"/>
  <c r="M1159" i="3"/>
  <c r="L1159" i="3"/>
  <c r="I1159" i="3"/>
  <c r="O1158" i="3"/>
  <c r="N1158" i="3"/>
  <c r="M1158" i="3"/>
  <c r="L1158" i="3"/>
  <c r="I1158" i="3"/>
  <c r="O1157" i="3"/>
  <c r="N1157" i="3"/>
  <c r="M1157" i="3"/>
  <c r="L1157" i="3"/>
  <c r="I1157" i="3"/>
  <c r="O1156" i="3"/>
  <c r="N1156" i="3"/>
  <c r="M1156" i="3"/>
  <c r="L1156" i="3"/>
  <c r="I1156" i="3"/>
  <c r="O1155" i="3"/>
  <c r="N1155" i="3"/>
  <c r="M1155" i="3"/>
  <c r="L1155" i="3"/>
  <c r="I1155" i="3"/>
  <c r="O1154" i="3"/>
  <c r="N1154" i="3"/>
  <c r="M1154" i="3"/>
  <c r="L1154" i="3"/>
  <c r="I1154" i="3"/>
  <c r="O1153" i="3"/>
  <c r="N1153" i="3"/>
  <c r="M1153" i="3"/>
  <c r="L1153" i="3"/>
  <c r="I1153" i="3"/>
  <c r="O1152" i="3"/>
  <c r="N1152" i="3"/>
  <c r="M1152" i="3"/>
  <c r="L1152" i="3"/>
  <c r="I1152" i="3"/>
  <c r="O1151" i="3"/>
  <c r="N1151" i="3"/>
  <c r="M1151" i="3"/>
  <c r="L1151" i="3"/>
  <c r="I1151" i="3"/>
  <c r="O1150" i="3"/>
  <c r="N1150" i="3"/>
  <c r="M1150" i="3"/>
  <c r="L1150" i="3"/>
  <c r="I1150" i="3"/>
  <c r="O1149" i="3"/>
  <c r="N1149" i="3"/>
  <c r="M1149" i="3"/>
  <c r="L1149" i="3"/>
  <c r="I1149" i="3"/>
  <c r="O1148" i="3"/>
  <c r="N1148" i="3"/>
  <c r="M1148" i="3"/>
  <c r="L1148" i="3"/>
  <c r="I1148" i="3"/>
  <c r="O1147" i="3"/>
  <c r="N1147" i="3"/>
  <c r="M1147" i="3"/>
  <c r="L1147" i="3"/>
  <c r="I1147" i="3"/>
  <c r="O1146" i="3"/>
  <c r="N1146" i="3"/>
  <c r="M1146" i="3"/>
  <c r="L1146" i="3"/>
  <c r="I1146" i="3"/>
  <c r="O1145" i="3"/>
  <c r="N1145" i="3"/>
  <c r="M1145" i="3"/>
  <c r="L1145" i="3"/>
  <c r="I1145" i="3"/>
  <c r="O1144" i="3"/>
  <c r="N1144" i="3"/>
  <c r="M1144" i="3"/>
  <c r="L1144" i="3"/>
  <c r="I1144" i="3"/>
  <c r="O1143" i="3"/>
  <c r="N1143" i="3"/>
  <c r="M1143" i="3"/>
  <c r="L1143" i="3"/>
  <c r="I1143" i="3"/>
  <c r="O1142" i="3"/>
  <c r="N1142" i="3"/>
  <c r="M1142" i="3"/>
  <c r="L1142" i="3"/>
  <c r="I1142" i="3"/>
  <c r="O1141" i="3"/>
  <c r="N1141" i="3"/>
  <c r="M1141" i="3"/>
  <c r="L1141" i="3"/>
  <c r="I1141" i="3"/>
  <c r="O1140" i="3"/>
  <c r="N1140" i="3"/>
  <c r="M1140" i="3"/>
  <c r="L1140" i="3"/>
  <c r="I1140" i="3"/>
  <c r="O1139" i="3"/>
  <c r="N1139" i="3"/>
  <c r="M1139" i="3"/>
  <c r="L1139" i="3"/>
  <c r="I1139" i="3"/>
  <c r="O1138" i="3"/>
  <c r="N1138" i="3"/>
  <c r="M1138" i="3"/>
  <c r="L1138" i="3"/>
  <c r="I1138" i="3"/>
  <c r="O1137" i="3"/>
  <c r="N1137" i="3"/>
  <c r="M1137" i="3"/>
  <c r="L1137" i="3"/>
  <c r="I1137" i="3"/>
  <c r="O1136" i="3"/>
  <c r="N1136" i="3"/>
  <c r="M1136" i="3"/>
  <c r="L1136" i="3"/>
  <c r="I1136" i="3"/>
  <c r="O1135" i="3"/>
  <c r="N1135" i="3"/>
  <c r="M1135" i="3"/>
  <c r="L1135" i="3"/>
  <c r="I1135" i="3"/>
  <c r="O1134" i="3"/>
  <c r="N1134" i="3"/>
  <c r="M1134" i="3"/>
  <c r="L1134" i="3"/>
  <c r="I1134" i="3"/>
  <c r="O1133" i="3"/>
  <c r="N1133" i="3"/>
  <c r="M1133" i="3"/>
  <c r="L1133" i="3"/>
  <c r="I1133" i="3"/>
  <c r="O1132" i="3"/>
  <c r="N1132" i="3"/>
  <c r="M1132" i="3"/>
  <c r="L1132" i="3"/>
  <c r="I1132" i="3"/>
  <c r="O1131" i="3"/>
  <c r="N1131" i="3"/>
  <c r="M1131" i="3"/>
  <c r="L1131" i="3"/>
  <c r="I1131" i="3"/>
  <c r="O1130" i="3"/>
  <c r="N1130" i="3"/>
  <c r="M1130" i="3"/>
  <c r="L1130" i="3"/>
  <c r="I1130" i="3"/>
  <c r="O1129" i="3"/>
  <c r="N1129" i="3"/>
  <c r="M1129" i="3"/>
  <c r="L1129" i="3"/>
  <c r="I1129" i="3"/>
  <c r="O1128" i="3"/>
  <c r="N1128" i="3"/>
  <c r="M1128" i="3"/>
  <c r="L1128" i="3"/>
  <c r="I1128" i="3"/>
  <c r="O1127" i="3"/>
  <c r="N1127" i="3"/>
  <c r="M1127" i="3"/>
  <c r="L1127" i="3"/>
  <c r="I1127" i="3"/>
  <c r="O1126" i="3"/>
  <c r="N1126" i="3"/>
  <c r="M1126" i="3"/>
  <c r="L1126" i="3"/>
  <c r="I1126" i="3"/>
  <c r="O1125" i="3"/>
  <c r="N1125" i="3"/>
  <c r="M1125" i="3"/>
  <c r="L1125" i="3"/>
  <c r="I1125" i="3"/>
  <c r="O1124" i="3"/>
  <c r="N1124" i="3"/>
  <c r="M1124" i="3"/>
  <c r="L1124" i="3"/>
  <c r="I1124" i="3"/>
  <c r="O1123" i="3"/>
  <c r="N1123" i="3"/>
  <c r="M1123" i="3"/>
  <c r="L1123" i="3"/>
  <c r="I1123" i="3"/>
  <c r="O1122" i="3"/>
  <c r="N1122" i="3"/>
  <c r="M1122" i="3"/>
  <c r="L1122" i="3"/>
  <c r="I1122" i="3"/>
  <c r="O1121" i="3"/>
  <c r="N1121" i="3"/>
  <c r="M1121" i="3"/>
  <c r="L1121" i="3"/>
  <c r="I1121" i="3"/>
  <c r="O1120" i="3"/>
  <c r="N1120" i="3"/>
  <c r="M1120" i="3"/>
  <c r="L1120" i="3"/>
  <c r="I1120" i="3"/>
  <c r="O1119" i="3"/>
  <c r="N1119" i="3"/>
  <c r="M1119" i="3"/>
  <c r="L1119" i="3"/>
  <c r="I1119" i="3"/>
  <c r="O1118" i="3"/>
  <c r="N1118" i="3"/>
  <c r="M1118" i="3"/>
  <c r="L1118" i="3"/>
  <c r="I1118" i="3"/>
  <c r="O1117" i="3"/>
  <c r="N1117" i="3"/>
  <c r="M1117" i="3"/>
  <c r="L1117" i="3"/>
  <c r="I1117" i="3"/>
  <c r="O1116" i="3"/>
  <c r="N1116" i="3"/>
  <c r="M1116" i="3"/>
  <c r="L1116" i="3"/>
  <c r="I1116" i="3"/>
  <c r="O1115" i="3"/>
  <c r="N1115" i="3"/>
  <c r="M1115" i="3"/>
  <c r="L1115" i="3"/>
  <c r="I1115" i="3"/>
  <c r="O1114" i="3"/>
  <c r="N1114" i="3"/>
  <c r="M1114" i="3"/>
  <c r="L1114" i="3"/>
  <c r="I1114" i="3"/>
  <c r="O1113" i="3"/>
  <c r="N1113" i="3"/>
  <c r="M1113" i="3"/>
  <c r="L1113" i="3"/>
  <c r="I1113" i="3"/>
  <c r="O1112" i="3"/>
  <c r="N1112" i="3"/>
  <c r="M1112" i="3"/>
  <c r="L1112" i="3"/>
  <c r="I1112" i="3"/>
  <c r="O1111" i="3"/>
  <c r="N1111" i="3"/>
  <c r="M1111" i="3"/>
  <c r="L1111" i="3"/>
  <c r="I1111" i="3"/>
  <c r="O1110" i="3"/>
  <c r="N1110" i="3"/>
  <c r="M1110" i="3"/>
  <c r="L1110" i="3"/>
  <c r="I1110" i="3"/>
  <c r="O1109" i="3"/>
  <c r="N1109" i="3"/>
  <c r="M1109" i="3"/>
  <c r="L1109" i="3"/>
  <c r="I1109" i="3"/>
  <c r="O1108" i="3"/>
  <c r="N1108" i="3"/>
  <c r="M1108" i="3"/>
  <c r="L1108" i="3"/>
  <c r="I1108" i="3"/>
  <c r="O1107" i="3"/>
  <c r="N1107" i="3"/>
  <c r="M1107" i="3"/>
  <c r="L1107" i="3"/>
  <c r="I1107" i="3"/>
  <c r="O1106" i="3"/>
  <c r="N1106" i="3"/>
  <c r="M1106" i="3"/>
  <c r="L1106" i="3"/>
  <c r="I1106" i="3"/>
  <c r="O1105" i="3"/>
  <c r="N1105" i="3"/>
  <c r="M1105" i="3"/>
  <c r="L1105" i="3"/>
  <c r="I1105" i="3"/>
  <c r="O1104" i="3"/>
  <c r="N1104" i="3"/>
  <c r="M1104" i="3"/>
  <c r="L1104" i="3"/>
  <c r="I1104" i="3"/>
  <c r="O1103" i="3"/>
  <c r="N1103" i="3"/>
  <c r="M1103" i="3"/>
  <c r="L1103" i="3"/>
  <c r="I1103" i="3"/>
  <c r="O1102" i="3"/>
  <c r="N1102" i="3"/>
  <c r="M1102" i="3"/>
  <c r="L1102" i="3"/>
  <c r="I1102" i="3"/>
  <c r="O1101" i="3"/>
  <c r="N1101" i="3"/>
  <c r="M1101" i="3"/>
  <c r="L1101" i="3"/>
  <c r="I1101" i="3"/>
  <c r="O1100" i="3"/>
  <c r="N1100" i="3"/>
  <c r="M1100" i="3"/>
  <c r="L1100" i="3"/>
  <c r="I1100" i="3"/>
  <c r="O1099" i="3"/>
  <c r="N1099" i="3"/>
  <c r="M1099" i="3"/>
  <c r="L1099" i="3"/>
  <c r="I1099" i="3"/>
  <c r="O1098" i="3"/>
  <c r="N1098" i="3"/>
  <c r="M1098" i="3"/>
  <c r="L1098" i="3"/>
  <c r="I1098" i="3"/>
  <c r="O1097" i="3"/>
  <c r="N1097" i="3"/>
  <c r="M1097" i="3"/>
  <c r="L1097" i="3"/>
  <c r="I1097" i="3"/>
  <c r="O1096" i="3"/>
  <c r="N1096" i="3"/>
  <c r="M1096" i="3"/>
  <c r="L1096" i="3"/>
  <c r="I1096" i="3"/>
  <c r="O1095" i="3"/>
  <c r="N1095" i="3"/>
  <c r="M1095" i="3"/>
  <c r="L1095" i="3"/>
  <c r="I1095" i="3"/>
  <c r="O1094" i="3"/>
  <c r="N1094" i="3"/>
  <c r="M1094" i="3"/>
  <c r="L1094" i="3"/>
  <c r="I1094" i="3"/>
  <c r="O1093" i="3"/>
  <c r="N1093" i="3"/>
  <c r="M1093" i="3"/>
  <c r="L1093" i="3"/>
  <c r="I1093" i="3"/>
  <c r="O1092" i="3"/>
  <c r="N1092" i="3"/>
  <c r="M1092" i="3"/>
  <c r="L1092" i="3"/>
  <c r="I1092" i="3"/>
  <c r="O1091" i="3"/>
  <c r="N1091" i="3"/>
  <c r="M1091" i="3"/>
  <c r="L1091" i="3"/>
  <c r="I1091" i="3"/>
  <c r="O1090" i="3"/>
  <c r="N1090" i="3"/>
  <c r="M1090" i="3"/>
  <c r="L1090" i="3"/>
  <c r="I1090" i="3"/>
  <c r="O1089" i="3"/>
  <c r="N1089" i="3"/>
  <c r="M1089" i="3"/>
  <c r="L1089" i="3"/>
  <c r="I1089" i="3"/>
  <c r="O1088" i="3"/>
  <c r="N1088" i="3"/>
  <c r="M1088" i="3"/>
  <c r="L1088" i="3"/>
  <c r="I1088" i="3"/>
  <c r="O1087" i="3"/>
  <c r="N1087" i="3"/>
  <c r="M1087" i="3"/>
  <c r="L1087" i="3"/>
  <c r="I1087" i="3"/>
  <c r="O1086" i="3"/>
  <c r="N1086" i="3"/>
  <c r="M1086" i="3"/>
  <c r="L1086" i="3"/>
  <c r="I1086" i="3"/>
  <c r="O1085" i="3"/>
  <c r="N1085" i="3"/>
  <c r="M1085" i="3"/>
  <c r="L1085" i="3"/>
  <c r="I1085" i="3"/>
  <c r="O1084" i="3"/>
  <c r="N1084" i="3"/>
  <c r="M1084" i="3"/>
  <c r="L1084" i="3"/>
  <c r="I1084" i="3"/>
  <c r="O1083" i="3"/>
  <c r="N1083" i="3"/>
  <c r="M1083" i="3"/>
  <c r="L1083" i="3"/>
  <c r="I1083" i="3"/>
  <c r="O1082" i="3"/>
  <c r="N1082" i="3"/>
  <c r="M1082" i="3"/>
  <c r="L1082" i="3"/>
  <c r="I1082" i="3"/>
  <c r="O1081" i="3"/>
  <c r="N1081" i="3"/>
  <c r="M1081" i="3"/>
  <c r="L1081" i="3"/>
  <c r="I1081" i="3"/>
  <c r="O1080" i="3"/>
  <c r="N1080" i="3"/>
  <c r="M1080" i="3"/>
  <c r="L1080" i="3"/>
  <c r="I1080" i="3"/>
  <c r="O1079" i="3"/>
  <c r="N1079" i="3"/>
  <c r="M1079" i="3"/>
  <c r="L1079" i="3"/>
  <c r="I1079" i="3"/>
  <c r="O1078" i="3"/>
  <c r="N1078" i="3"/>
  <c r="M1078" i="3"/>
  <c r="L1078" i="3"/>
  <c r="I1078" i="3"/>
  <c r="O1077" i="3"/>
  <c r="N1077" i="3"/>
  <c r="M1077" i="3"/>
  <c r="L1077" i="3"/>
  <c r="I1077" i="3"/>
  <c r="O1076" i="3"/>
  <c r="N1076" i="3"/>
  <c r="M1076" i="3"/>
  <c r="L1076" i="3"/>
  <c r="I1076" i="3"/>
  <c r="O1075" i="3"/>
  <c r="N1075" i="3"/>
  <c r="M1075" i="3"/>
  <c r="L1075" i="3"/>
  <c r="I1075" i="3"/>
  <c r="O1074" i="3"/>
  <c r="N1074" i="3"/>
  <c r="M1074" i="3"/>
  <c r="L1074" i="3"/>
  <c r="I1074" i="3"/>
  <c r="O1073" i="3"/>
  <c r="N1073" i="3"/>
  <c r="M1073" i="3"/>
  <c r="L1073" i="3"/>
  <c r="I1073" i="3"/>
  <c r="O1072" i="3"/>
  <c r="N1072" i="3"/>
  <c r="M1072" i="3"/>
  <c r="L1072" i="3"/>
  <c r="I1072" i="3"/>
  <c r="O1071" i="3"/>
  <c r="N1071" i="3"/>
  <c r="M1071" i="3"/>
  <c r="L1071" i="3"/>
  <c r="I1071" i="3"/>
  <c r="O1070" i="3"/>
  <c r="N1070" i="3"/>
  <c r="M1070" i="3"/>
  <c r="L1070" i="3"/>
  <c r="I1070" i="3"/>
  <c r="O1069" i="3"/>
  <c r="N1069" i="3"/>
  <c r="M1069" i="3"/>
  <c r="L1069" i="3"/>
  <c r="I1069" i="3"/>
  <c r="O1068" i="3"/>
  <c r="N1068" i="3"/>
  <c r="M1068" i="3"/>
  <c r="L1068" i="3"/>
  <c r="I1068" i="3"/>
  <c r="O1067" i="3"/>
  <c r="N1067" i="3"/>
  <c r="M1067" i="3"/>
  <c r="L1067" i="3"/>
  <c r="I1067" i="3"/>
  <c r="O1066" i="3"/>
  <c r="N1066" i="3"/>
  <c r="M1066" i="3"/>
  <c r="L1066" i="3"/>
  <c r="I1066" i="3"/>
  <c r="O1065" i="3"/>
  <c r="N1065" i="3"/>
  <c r="M1065" i="3"/>
  <c r="L1065" i="3"/>
  <c r="I1065" i="3"/>
  <c r="O1064" i="3"/>
  <c r="N1064" i="3"/>
  <c r="M1064" i="3"/>
  <c r="L1064" i="3"/>
  <c r="I1064" i="3"/>
  <c r="O1063" i="3"/>
  <c r="N1063" i="3"/>
  <c r="M1063" i="3"/>
  <c r="L1063" i="3"/>
  <c r="I1063" i="3"/>
  <c r="O1062" i="3"/>
  <c r="N1062" i="3"/>
  <c r="M1062" i="3"/>
  <c r="L1062" i="3"/>
  <c r="I1062" i="3"/>
  <c r="O1061" i="3"/>
  <c r="N1061" i="3"/>
  <c r="M1061" i="3"/>
  <c r="L1061" i="3"/>
  <c r="I1061" i="3"/>
  <c r="O1060" i="3"/>
  <c r="N1060" i="3"/>
  <c r="M1060" i="3"/>
  <c r="L1060" i="3"/>
  <c r="I1060" i="3"/>
  <c r="O1059" i="3"/>
  <c r="N1059" i="3"/>
  <c r="M1059" i="3"/>
  <c r="L1059" i="3"/>
  <c r="I1059" i="3"/>
  <c r="O1058" i="3"/>
  <c r="N1058" i="3"/>
  <c r="M1058" i="3"/>
  <c r="L1058" i="3"/>
  <c r="I1058" i="3"/>
  <c r="O1057" i="3"/>
  <c r="N1057" i="3"/>
  <c r="M1057" i="3"/>
  <c r="L1057" i="3"/>
  <c r="I1057" i="3"/>
  <c r="O1056" i="3"/>
  <c r="N1056" i="3"/>
  <c r="M1056" i="3"/>
  <c r="L1056" i="3"/>
  <c r="I1056" i="3"/>
  <c r="O1055" i="3"/>
  <c r="N1055" i="3"/>
  <c r="M1055" i="3"/>
  <c r="L1055" i="3"/>
  <c r="I1055" i="3"/>
  <c r="O1054" i="3"/>
  <c r="N1054" i="3"/>
  <c r="M1054" i="3"/>
  <c r="L1054" i="3"/>
  <c r="I1054" i="3"/>
  <c r="O1053" i="3"/>
  <c r="N1053" i="3"/>
  <c r="M1053" i="3"/>
  <c r="L1053" i="3"/>
  <c r="I1053" i="3"/>
  <c r="O1052" i="3"/>
  <c r="N1052" i="3"/>
  <c r="M1052" i="3"/>
  <c r="L1052" i="3"/>
  <c r="I1052" i="3"/>
  <c r="O1051" i="3"/>
  <c r="N1051" i="3"/>
  <c r="M1051" i="3"/>
  <c r="L1051" i="3"/>
  <c r="I1051" i="3"/>
  <c r="O1050" i="3"/>
  <c r="N1050" i="3"/>
  <c r="M1050" i="3"/>
  <c r="L1050" i="3"/>
  <c r="I1050" i="3"/>
  <c r="O1049" i="3"/>
  <c r="N1049" i="3"/>
  <c r="M1049" i="3"/>
  <c r="L1049" i="3"/>
  <c r="I1049" i="3"/>
  <c r="O1048" i="3"/>
  <c r="N1048" i="3"/>
  <c r="M1048" i="3"/>
  <c r="L1048" i="3"/>
  <c r="I1048" i="3"/>
  <c r="O1047" i="3"/>
  <c r="N1047" i="3"/>
  <c r="M1047" i="3"/>
  <c r="L1047" i="3"/>
  <c r="I1047" i="3"/>
  <c r="O1046" i="3"/>
  <c r="N1046" i="3"/>
  <c r="M1046" i="3"/>
  <c r="L1046" i="3"/>
  <c r="I1046" i="3"/>
  <c r="O1045" i="3"/>
  <c r="N1045" i="3"/>
  <c r="M1045" i="3"/>
  <c r="L1045" i="3"/>
  <c r="I1045" i="3"/>
  <c r="O1044" i="3"/>
  <c r="N1044" i="3"/>
  <c r="M1044" i="3"/>
  <c r="L1044" i="3"/>
  <c r="I1044" i="3"/>
  <c r="O1043" i="3"/>
  <c r="N1043" i="3"/>
  <c r="M1043" i="3"/>
  <c r="L1043" i="3"/>
  <c r="I1043" i="3"/>
  <c r="O1042" i="3"/>
  <c r="N1042" i="3"/>
  <c r="M1042" i="3"/>
  <c r="L1042" i="3"/>
  <c r="I1042" i="3"/>
  <c r="O1041" i="3"/>
  <c r="N1041" i="3"/>
  <c r="M1041" i="3"/>
  <c r="L1041" i="3"/>
  <c r="I1041" i="3"/>
  <c r="O1040" i="3"/>
  <c r="N1040" i="3"/>
  <c r="M1040" i="3"/>
  <c r="L1040" i="3"/>
  <c r="I1040" i="3"/>
  <c r="O1039" i="3"/>
  <c r="N1039" i="3"/>
  <c r="M1039" i="3"/>
  <c r="L1039" i="3"/>
  <c r="I1039" i="3"/>
  <c r="O1038" i="3"/>
  <c r="N1038" i="3"/>
  <c r="M1038" i="3"/>
  <c r="L1038" i="3"/>
  <c r="I1038" i="3"/>
  <c r="O1037" i="3"/>
  <c r="N1037" i="3"/>
  <c r="M1037" i="3"/>
  <c r="L1037" i="3"/>
  <c r="I1037" i="3"/>
  <c r="O1036" i="3"/>
  <c r="N1036" i="3"/>
  <c r="M1036" i="3"/>
  <c r="L1036" i="3"/>
  <c r="I1036" i="3"/>
  <c r="O1035" i="3"/>
  <c r="N1035" i="3"/>
  <c r="M1035" i="3"/>
  <c r="L1035" i="3"/>
  <c r="I1035" i="3"/>
  <c r="O1034" i="3"/>
  <c r="N1034" i="3"/>
  <c r="M1034" i="3"/>
  <c r="L1034" i="3"/>
  <c r="I1034" i="3"/>
  <c r="O1033" i="3"/>
  <c r="N1033" i="3"/>
  <c r="M1033" i="3"/>
  <c r="L1033" i="3"/>
  <c r="I1033" i="3"/>
  <c r="O1032" i="3"/>
  <c r="N1032" i="3"/>
  <c r="M1032" i="3"/>
  <c r="L1032" i="3"/>
  <c r="I1032" i="3"/>
  <c r="O1031" i="3"/>
  <c r="N1031" i="3"/>
  <c r="M1031" i="3"/>
  <c r="L1031" i="3"/>
  <c r="I1031" i="3"/>
  <c r="O1030" i="3"/>
  <c r="N1030" i="3"/>
  <c r="M1030" i="3"/>
  <c r="L1030" i="3"/>
  <c r="I1030" i="3"/>
  <c r="O1029" i="3"/>
  <c r="N1029" i="3"/>
  <c r="M1029" i="3"/>
  <c r="L1029" i="3"/>
  <c r="I1029" i="3"/>
  <c r="O1028" i="3"/>
  <c r="N1028" i="3"/>
  <c r="M1028" i="3"/>
  <c r="L1028" i="3"/>
  <c r="I1028" i="3"/>
  <c r="O1027" i="3"/>
  <c r="N1027" i="3"/>
  <c r="M1027" i="3"/>
  <c r="L1027" i="3"/>
  <c r="I1027" i="3"/>
  <c r="O1026" i="3"/>
  <c r="N1026" i="3"/>
  <c r="M1026" i="3"/>
  <c r="L1026" i="3"/>
  <c r="I1026" i="3"/>
  <c r="O1025" i="3"/>
  <c r="N1025" i="3"/>
  <c r="M1025" i="3"/>
  <c r="L1025" i="3"/>
  <c r="I1025" i="3"/>
  <c r="O1024" i="3"/>
  <c r="N1024" i="3"/>
  <c r="M1024" i="3"/>
  <c r="L1024" i="3"/>
  <c r="I1024" i="3"/>
  <c r="O1023" i="3"/>
  <c r="N1023" i="3"/>
  <c r="M1023" i="3"/>
  <c r="L1023" i="3"/>
  <c r="I1023" i="3"/>
  <c r="O1022" i="3"/>
  <c r="N1022" i="3"/>
  <c r="M1022" i="3"/>
  <c r="L1022" i="3"/>
  <c r="I1022" i="3"/>
  <c r="O1021" i="3"/>
  <c r="N1021" i="3"/>
  <c r="M1021" i="3"/>
  <c r="L1021" i="3"/>
  <c r="I1021" i="3"/>
  <c r="O1020" i="3"/>
  <c r="N1020" i="3"/>
  <c r="M1020" i="3"/>
  <c r="L1020" i="3"/>
  <c r="I1020" i="3"/>
  <c r="O1019" i="3"/>
  <c r="N1019" i="3"/>
  <c r="M1019" i="3"/>
  <c r="L1019" i="3"/>
  <c r="I1019" i="3"/>
  <c r="O1018" i="3"/>
  <c r="N1018" i="3"/>
  <c r="M1018" i="3"/>
  <c r="L1018" i="3"/>
  <c r="I1018" i="3"/>
  <c r="O1017" i="3"/>
  <c r="N1017" i="3"/>
  <c r="M1017" i="3"/>
  <c r="L1017" i="3"/>
  <c r="I1017" i="3"/>
  <c r="O1016" i="3"/>
  <c r="N1016" i="3"/>
  <c r="M1016" i="3"/>
  <c r="L1016" i="3"/>
  <c r="I1016" i="3"/>
  <c r="O1015" i="3"/>
  <c r="N1015" i="3"/>
  <c r="M1015" i="3"/>
  <c r="L1015" i="3"/>
  <c r="I1015" i="3"/>
  <c r="O1014" i="3"/>
  <c r="N1014" i="3"/>
  <c r="M1014" i="3"/>
  <c r="L1014" i="3"/>
  <c r="I1014" i="3"/>
  <c r="O1013" i="3"/>
  <c r="N1013" i="3"/>
  <c r="M1013" i="3"/>
  <c r="L1013" i="3"/>
  <c r="I1013" i="3"/>
  <c r="O1012" i="3"/>
  <c r="N1012" i="3"/>
  <c r="M1012" i="3"/>
  <c r="L1012" i="3"/>
  <c r="I1012" i="3"/>
  <c r="O1011" i="3"/>
  <c r="N1011" i="3"/>
  <c r="M1011" i="3"/>
  <c r="L1011" i="3"/>
  <c r="I1011" i="3"/>
  <c r="O1010" i="3"/>
  <c r="N1010" i="3"/>
  <c r="M1010" i="3"/>
  <c r="L1010" i="3"/>
  <c r="I1010" i="3"/>
  <c r="O1009" i="3"/>
  <c r="N1009" i="3"/>
  <c r="M1009" i="3"/>
  <c r="L1009" i="3"/>
  <c r="I1009" i="3"/>
  <c r="O1008" i="3"/>
  <c r="N1008" i="3"/>
  <c r="M1008" i="3"/>
  <c r="L1008" i="3"/>
  <c r="I1008" i="3"/>
  <c r="O1007" i="3"/>
  <c r="N1007" i="3"/>
  <c r="M1007" i="3"/>
  <c r="L1007" i="3"/>
  <c r="I1007" i="3"/>
  <c r="O1006" i="3"/>
  <c r="N1006" i="3"/>
  <c r="M1006" i="3"/>
  <c r="L1006" i="3"/>
  <c r="I1006" i="3"/>
  <c r="O1005" i="3"/>
  <c r="N1005" i="3"/>
  <c r="M1005" i="3"/>
  <c r="L1005" i="3"/>
  <c r="I1005" i="3"/>
  <c r="O1004" i="3"/>
  <c r="N1004" i="3"/>
  <c r="M1004" i="3"/>
  <c r="L1004" i="3"/>
  <c r="I1004" i="3"/>
  <c r="O1003" i="3"/>
  <c r="N1003" i="3"/>
  <c r="M1003" i="3"/>
  <c r="L1003" i="3"/>
  <c r="I1003" i="3"/>
  <c r="O1002" i="3"/>
  <c r="N1002" i="3"/>
  <c r="M1002" i="3"/>
  <c r="L1002" i="3"/>
  <c r="I1002" i="3"/>
  <c r="O1001" i="3"/>
  <c r="N1001" i="3"/>
  <c r="M1001" i="3"/>
  <c r="L1001" i="3"/>
  <c r="I1001" i="3"/>
  <c r="O1000" i="3"/>
  <c r="N1000" i="3"/>
  <c r="M1000" i="3"/>
  <c r="L1000" i="3"/>
  <c r="I1000" i="3"/>
  <c r="O999" i="3"/>
  <c r="N999" i="3"/>
  <c r="M999" i="3"/>
  <c r="L999" i="3"/>
  <c r="I999" i="3"/>
  <c r="O998" i="3"/>
  <c r="N998" i="3"/>
  <c r="M998" i="3"/>
  <c r="L998" i="3"/>
  <c r="I998" i="3"/>
  <c r="O997" i="3"/>
  <c r="N997" i="3"/>
  <c r="M997" i="3"/>
  <c r="L997" i="3"/>
  <c r="I997" i="3"/>
  <c r="O996" i="3"/>
  <c r="N996" i="3"/>
  <c r="M996" i="3"/>
  <c r="L996" i="3"/>
  <c r="I996" i="3"/>
  <c r="O995" i="3"/>
  <c r="N995" i="3"/>
  <c r="M995" i="3"/>
  <c r="L995" i="3"/>
  <c r="I995" i="3"/>
  <c r="O994" i="3"/>
  <c r="N994" i="3"/>
  <c r="M994" i="3"/>
  <c r="L994" i="3"/>
  <c r="I994" i="3"/>
  <c r="O993" i="3"/>
  <c r="N993" i="3"/>
  <c r="M993" i="3"/>
  <c r="L993" i="3"/>
  <c r="I993" i="3"/>
  <c r="O992" i="3"/>
  <c r="N992" i="3"/>
  <c r="M992" i="3"/>
  <c r="L992" i="3"/>
  <c r="I992" i="3"/>
  <c r="O991" i="3"/>
  <c r="N991" i="3"/>
  <c r="M991" i="3"/>
  <c r="L991" i="3"/>
  <c r="I991" i="3"/>
  <c r="O990" i="3"/>
  <c r="N990" i="3"/>
  <c r="M990" i="3"/>
  <c r="L990" i="3"/>
  <c r="I990" i="3"/>
  <c r="O989" i="3"/>
  <c r="N989" i="3"/>
  <c r="M989" i="3"/>
  <c r="L989" i="3"/>
  <c r="I989" i="3"/>
  <c r="O988" i="3"/>
  <c r="N988" i="3"/>
  <c r="M988" i="3"/>
  <c r="L988" i="3"/>
  <c r="I988" i="3"/>
  <c r="O987" i="3"/>
  <c r="N987" i="3"/>
  <c r="M987" i="3"/>
  <c r="L987" i="3"/>
  <c r="I987" i="3"/>
  <c r="O986" i="3"/>
  <c r="N986" i="3"/>
  <c r="M986" i="3"/>
  <c r="L986" i="3"/>
  <c r="I986" i="3"/>
  <c r="O985" i="3"/>
  <c r="N985" i="3"/>
  <c r="M985" i="3"/>
  <c r="L985" i="3"/>
  <c r="I985" i="3"/>
  <c r="O984" i="3"/>
  <c r="N984" i="3"/>
  <c r="M984" i="3"/>
  <c r="L984" i="3"/>
  <c r="I984" i="3"/>
  <c r="O983" i="3"/>
  <c r="N983" i="3"/>
  <c r="M983" i="3"/>
  <c r="L983" i="3"/>
  <c r="I983" i="3"/>
  <c r="O982" i="3"/>
  <c r="N982" i="3"/>
  <c r="M982" i="3"/>
  <c r="L982" i="3"/>
  <c r="I982" i="3"/>
  <c r="O981" i="3"/>
  <c r="N981" i="3"/>
  <c r="M981" i="3"/>
  <c r="L981" i="3"/>
  <c r="I981" i="3"/>
  <c r="O980" i="3"/>
  <c r="N980" i="3"/>
  <c r="M980" i="3"/>
  <c r="L980" i="3"/>
  <c r="I980" i="3"/>
  <c r="O979" i="3"/>
  <c r="N979" i="3"/>
  <c r="M979" i="3"/>
  <c r="L979" i="3"/>
  <c r="I979" i="3"/>
  <c r="O978" i="3"/>
  <c r="N978" i="3"/>
  <c r="M978" i="3"/>
  <c r="L978" i="3"/>
  <c r="I978" i="3"/>
  <c r="O977" i="3"/>
  <c r="N977" i="3"/>
  <c r="M977" i="3"/>
  <c r="L977" i="3"/>
  <c r="I977" i="3"/>
  <c r="O976" i="3"/>
  <c r="N976" i="3"/>
  <c r="M976" i="3"/>
  <c r="L976" i="3"/>
  <c r="I976" i="3"/>
  <c r="O975" i="3"/>
  <c r="N975" i="3"/>
  <c r="M975" i="3"/>
  <c r="L975" i="3"/>
  <c r="I975" i="3"/>
  <c r="O974" i="3"/>
  <c r="N974" i="3"/>
  <c r="M974" i="3"/>
  <c r="L974" i="3"/>
  <c r="I974" i="3"/>
  <c r="O973" i="3"/>
  <c r="N973" i="3"/>
  <c r="M973" i="3"/>
  <c r="L973" i="3"/>
  <c r="I973" i="3"/>
  <c r="O972" i="3"/>
  <c r="N972" i="3"/>
  <c r="M972" i="3"/>
  <c r="L972" i="3"/>
  <c r="I972" i="3"/>
  <c r="O971" i="3"/>
  <c r="N971" i="3"/>
  <c r="M971" i="3"/>
  <c r="L971" i="3"/>
  <c r="I971" i="3"/>
  <c r="O970" i="3"/>
  <c r="N970" i="3"/>
  <c r="M970" i="3"/>
  <c r="L970" i="3"/>
  <c r="I970" i="3"/>
  <c r="O969" i="3"/>
  <c r="N969" i="3"/>
  <c r="M969" i="3"/>
  <c r="L969" i="3"/>
  <c r="I969" i="3"/>
  <c r="O968" i="3"/>
  <c r="N968" i="3"/>
  <c r="M968" i="3"/>
  <c r="L968" i="3"/>
  <c r="I968" i="3"/>
  <c r="O967" i="3"/>
  <c r="N967" i="3"/>
  <c r="M967" i="3"/>
  <c r="L967" i="3"/>
  <c r="I967" i="3"/>
  <c r="O966" i="3"/>
  <c r="N966" i="3"/>
  <c r="M966" i="3"/>
  <c r="L966" i="3"/>
  <c r="I966" i="3"/>
  <c r="O965" i="3"/>
  <c r="N965" i="3"/>
  <c r="M965" i="3"/>
  <c r="L965" i="3"/>
  <c r="I965" i="3"/>
  <c r="O964" i="3"/>
  <c r="N964" i="3"/>
  <c r="M964" i="3"/>
  <c r="L964" i="3"/>
  <c r="I964" i="3"/>
  <c r="O963" i="3"/>
  <c r="N963" i="3"/>
  <c r="M963" i="3"/>
  <c r="L963" i="3"/>
  <c r="I963" i="3"/>
  <c r="O962" i="3"/>
  <c r="N962" i="3"/>
  <c r="M962" i="3"/>
  <c r="L962" i="3"/>
  <c r="I962" i="3"/>
  <c r="O961" i="3"/>
  <c r="N961" i="3"/>
  <c r="M961" i="3"/>
  <c r="L961" i="3"/>
  <c r="I961" i="3"/>
  <c r="O960" i="3"/>
  <c r="N960" i="3"/>
  <c r="M960" i="3"/>
  <c r="L960" i="3"/>
  <c r="I960" i="3"/>
  <c r="O959" i="3"/>
  <c r="N959" i="3"/>
  <c r="M959" i="3"/>
  <c r="L959" i="3"/>
  <c r="I959" i="3"/>
  <c r="O958" i="3"/>
  <c r="N958" i="3"/>
  <c r="M958" i="3"/>
  <c r="L958" i="3"/>
  <c r="I958" i="3"/>
  <c r="O957" i="3"/>
  <c r="N957" i="3"/>
  <c r="M957" i="3"/>
  <c r="L957" i="3"/>
  <c r="I957" i="3"/>
  <c r="O956" i="3"/>
  <c r="N956" i="3"/>
  <c r="M956" i="3"/>
  <c r="L956" i="3"/>
  <c r="I956" i="3"/>
  <c r="O955" i="3"/>
  <c r="N955" i="3"/>
  <c r="M955" i="3"/>
  <c r="L955" i="3"/>
  <c r="I955" i="3"/>
  <c r="O954" i="3"/>
  <c r="N954" i="3"/>
  <c r="M954" i="3"/>
  <c r="L954" i="3"/>
  <c r="I954" i="3"/>
  <c r="O953" i="3"/>
  <c r="N953" i="3"/>
  <c r="M953" i="3"/>
  <c r="L953" i="3"/>
  <c r="I953" i="3"/>
  <c r="O952" i="3"/>
  <c r="N952" i="3"/>
  <c r="M952" i="3"/>
  <c r="L952" i="3"/>
  <c r="I952" i="3"/>
  <c r="O951" i="3"/>
  <c r="N951" i="3"/>
  <c r="M951" i="3"/>
  <c r="L951" i="3"/>
  <c r="I951" i="3"/>
  <c r="O950" i="3"/>
  <c r="N950" i="3"/>
  <c r="M950" i="3"/>
  <c r="L950" i="3"/>
  <c r="I950" i="3"/>
  <c r="O949" i="3"/>
  <c r="N949" i="3"/>
  <c r="M949" i="3"/>
  <c r="L949" i="3"/>
  <c r="I949" i="3"/>
  <c r="O948" i="3"/>
  <c r="N948" i="3"/>
  <c r="M948" i="3"/>
  <c r="L948" i="3"/>
  <c r="I948" i="3"/>
  <c r="O947" i="3"/>
  <c r="N947" i="3"/>
  <c r="M947" i="3"/>
  <c r="L947" i="3"/>
  <c r="I947" i="3"/>
  <c r="O946" i="3"/>
  <c r="N946" i="3"/>
  <c r="M946" i="3"/>
  <c r="L946" i="3"/>
  <c r="I946" i="3"/>
  <c r="O945" i="3"/>
  <c r="N945" i="3"/>
  <c r="M945" i="3"/>
  <c r="L945" i="3"/>
  <c r="I945" i="3"/>
  <c r="O944" i="3"/>
  <c r="N944" i="3"/>
  <c r="M944" i="3"/>
  <c r="L944" i="3"/>
  <c r="I944" i="3"/>
  <c r="O943" i="3"/>
  <c r="N943" i="3"/>
  <c r="M943" i="3"/>
  <c r="L943" i="3"/>
  <c r="I943" i="3"/>
  <c r="O942" i="3"/>
  <c r="N942" i="3"/>
  <c r="M942" i="3"/>
  <c r="L942" i="3"/>
  <c r="I942" i="3"/>
  <c r="O941" i="3"/>
  <c r="N941" i="3"/>
  <c r="M941" i="3"/>
  <c r="L941" i="3"/>
  <c r="I941" i="3"/>
  <c r="O940" i="3"/>
  <c r="N940" i="3"/>
  <c r="M940" i="3"/>
  <c r="L940" i="3"/>
  <c r="I940" i="3"/>
  <c r="O939" i="3"/>
  <c r="N939" i="3"/>
  <c r="M939" i="3"/>
  <c r="L939" i="3"/>
  <c r="I939" i="3"/>
  <c r="O938" i="3"/>
  <c r="N938" i="3"/>
  <c r="M938" i="3"/>
  <c r="L938" i="3"/>
  <c r="I938" i="3"/>
  <c r="O937" i="3"/>
  <c r="N937" i="3"/>
  <c r="M937" i="3"/>
  <c r="L937" i="3"/>
  <c r="I937" i="3"/>
  <c r="O936" i="3"/>
  <c r="N936" i="3"/>
  <c r="M936" i="3"/>
  <c r="L936" i="3"/>
  <c r="I936" i="3"/>
  <c r="O935" i="3"/>
  <c r="N935" i="3"/>
  <c r="M935" i="3"/>
  <c r="L935" i="3"/>
  <c r="I935" i="3"/>
  <c r="O934" i="3"/>
  <c r="N934" i="3"/>
  <c r="M934" i="3"/>
  <c r="L934" i="3"/>
  <c r="I934" i="3"/>
  <c r="O933" i="3"/>
  <c r="N933" i="3"/>
  <c r="M933" i="3"/>
  <c r="L933" i="3"/>
  <c r="I933" i="3"/>
  <c r="O932" i="3"/>
  <c r="N932" i="3"/>
  <c r="M932" i="3"/>
  <c r="L932" i="3"/>
  <c r="I932" i="3"/>
  <c r="O931" i="3"/>
  <c r="N931" i="3"/>
  <c r="M931" i="3"/>
  <c r="L931" i="3"/>
  <c r="I931" i="3"/>
  <c r="O930" i="3"/>
  <c r="N930" i="3"/>
  <c r="M930" i="3"/>
  <c r="L930" i="3"/>
  <c r="I930" i="3"/>
  <c r="O929" i="3"/>
  <c r="N929" i="3"/>
  <c r="M929" i="3"/>
  <c r="L929" i="3"/>
  <c r="I929" i="3"/>
  <c r="O928" i="3"/>
  <c r="N928" i="3"/>
  <c r="M928" i="3"/>
  <c r="L928" i="3"/>
  <c r="I928" i="3"/>
  <c r="O927" i="3"/>
  <c r="N927" i="3"/>
  <c r="M927" i="3"/>
  <c r="L927" i="3"/>
  <c r="I927" i="3"/>
  <c r="O926" i="3"/>
  <c r="N926" i="3"/>
  <c r="M926" i="3"/>
  <c r="L926" i="3"/>
  <c r="I926" i="3"/>
  <c r="O925" i="3"/>
  <c r="N925" i="3"/>
  <c r="M925" i="3"/>
  <c r="L925" i="3"/>
  <c r="I925" i="3"/>
  <c r="O924" i="3"/>
  <c r="N924" i="3"/>
  <c r="M924" i="3"/>
  <c r="L924" i="3"/>
  <c r="I924" i="3"/>
  <c r="O923" i="3"/>
  <c r="N923" i="3"/>
  <c r="M923" i="3"/>
  <c r="L923" i="3"/>
  <c r="I923" i="3"/>
  <c r="O922" i="3"/>
  <c r="N922" i="3"/>
  <c r="M922" i="3"/>
  <c r="L922" i="3"/>
  <c r="I922" i="3"/>
  <c r="O921" i="3"/>
  <c r="N921" i="3"/>
  <c r="M921" i="3"/>
  <c r="L921" i="3"/>
  <c r="I921" i="3"/>
  <c r="O920" i="3"/>
  <c r="N920" i="3"/>
  <c r="M920" i="3"/>
  <c r="L920" i="3"/>
  <c r="I920" i="3"/>
  <c r="O919" i="3"/>
  <c r="N919" i="3"/>
  <c r="M919" i="3"/>
  <c r="L919" i="3"/>
  <c r="I919" i="3"/>
  <c r="O918" i="3"/>
  <c r="N918" i="3"/>
  <c r="M918" i="3"/>
  <c r="L918" i="3"/>
  <c r="I918" i="3"/>
  <c r="O917" i="3"/>
  <c r="N917" i="3"/>
  <c r="M917" i="3"/>
  <c r="L917" i="3"/>
  <c r="I917" i="3"/>
  <c r="O916" i="3"/>
  <c r="N916" i="3"/>
  <c r="M916" i="3"/>
  <c r="L916" i="3"/>
  <c r="I916" i="3"/>
  <c r="O915" i="3"/>
  <c r="N915" i="3"/>
  <c r="M915" i="3"/>
  <c r="L915" i="3"/>
  <c r="I915" i="3"/>
  <c r="O914" i="3"/>
  <c r="N914" i="3"/>
  <c r="M914" i="3"/>
  <c r="L914" i="3"/>
  <c r="I914" i="3"/>
  <c r="O913" i="3"/>
  <c r="N913" i="3"/>
  <c r="M913" i="3"/>
  <c r="L913" i="3"/>
  <c r="I913" i="3"/>
  <c r="O912" i="3"/>
  <c r="N912" i="3"/>
  <c r="M912" i="3"/>
  <c r="L912" i="3"/>
  <c r="I912" i="3"/>
  <c r="O911" i="3"/>
  <c r="N911" i="3"/>
  <c r="M911" i="3"/>
  <c r="L911" i="3"/>
  <c r="I911" i="3"/>
  <c r="O910" i="3"/>
  <c r="N910" i="3"/>
  <c r="M910" i="3"/>
  <c r="L910" i="3"/>
  <c r="I910" i="3"/>
  <c r="O909" i="3"/>
  <c r="N909" i="3"/>
  <c r="M909" i="3"/>
  <c r="L909" i="3"/>
  <c r="I909" i="3"/>
  <c r="O908" i="3"/>
  <c r="N908" i="3"/>
  <c r="M908" i="3"/>
  <c r="L908" i="3"/>
  <c r="I908" i="3"/>
  <c r="O907" i="3"/>
  <c r="N907" i="3"/>
  <c r="M907" i="3"/>
  <c r="L907" i="3"/>
  <c r="I907" i="3"/>
  <c r="O906" i="3"/>
  <c r="N906" i="3"/>
  <c r="M906" i="3"/>
  <c r="L906" i="3"/>
  <c r="I906" i="3"/>
  <c r="O905" i="3"/>
  <c r="N905" i="3"/>
  <c r="M905" i="3"/>
  <c r="L905" i="3"/>
  <c r="I905" i="3"/>
  <c r="O904" i="3"/>
  <c r="N904" i="3"/>
  <c r="M904" i="3"/>
  <c r="L904" i="3"/>
  <c r="I904" i="3"/>
  <c r="O903" i="3"/>
  <c r="N903" i="3"/>
  <c r="M903" i="3"/>
  <c r="L903" i="3"/>
  <c r="I903" i="3"/>
  <c r="O902" i="3"/>
  <c r="N902" i="3"/>
  <c r="M902" i="3"/>
  <c r="L902" i="3"/>
  <c r="I902" i="3"/>
  <c r="O901" i="3"/>
  <c r="N901" i="3"/>
  <c r="M901" i="3"/>
  <c r="L901" i="3"/>
  <c r="I901" i="3"/>
  <c r="O900" i="3"/>
  <c r="N900" i="3"/>
  <c r="M900" i="3"/>
  <c r="L900" i="3"/>
  <c r="I900" i="3"/>
  <c r="O899" i="3"/>
  <c r="N899" i="3"/>
  <c r="M899" i="3"/>
  <c r="L899" i="3"/>
  <c r="I899" i="3"/>
  <c r="O898" i="3"/>
  <c r="N898" i="3"/>
  <c r="M898" i="3"/>
  <c r="L898" i="3"/>
  <c r="I898" i="3"/>
  <c r="O897" i="3"/>
  <c r="N897" i="3"/>
  <c r="M897" i="3"/>
  <c r="L897" i="3"/>
  <c r="I897" i="3"/>
  <c r="O896" i="3"/>
  <c r="N896" i="3"/>
  <c r="M896" i="3"/>
  <c r="L896" i="3"/>
  <c r="I896" i="3"/>
  <c r="O895" i="3"/>
  <c r="N895" i="3"/>
  <c r="M895" i="3"/>
  <c r="L895" i="3"/>
  <c r="I895" i="3"/>
  <c r="O894" i="3"/>
  <c r="N894" i="3"/>
  <c r="M894" i="3"/>
  <c r="L894" i="3"/>
  <c r="I894" i="3"/>
  <c r="O893" i="3"/>
  <c r="N893" i="3"/>
  <c r="M893" i="3"/>
  <c r="L893" i="3"/>
  <c r="I893" i="3"/>
  <c r="O892" i="3"/>
  <c r="N892" i="3"/>
  <c r="M892" i="3"/>
  <c r="L892" i="3"/>
  <c r="I892" i="3"/>
  <c r="O891" i="3"/>
  <c r="N891" i="3"/>
  <c r="M891" i="3"/>
  <c r="L891" i="3"/>
  <c r="I891" i="3"/>
  <c r="O890" i="3"/>
  <c r="N890" i="3"/>
  <c r="M890" i="3"/>
  <c r="L890" i="3"/>
  <c r="I890" i="3"/>
  <c r="O889" i="3"/>
  <c r="N889" i="3"/>
  <c r="M889" i="3"/>
  <c r="L889" i="3"/>
  <c r="I889" i="3"/>
  <c r="O888" i="3"/>
  <c r="N888" i="3"/>
  <c r="M888" i="3"/>
  <c r="L888" i="3"/>
  <c r="I888" i="3"/>
  <c r="O887" i="3"/>
  <c r="N887" i="3"/>
  <c r="M887" i="3"/>
  <c r="L887" i="3"/>
  <c r="I887" i="3"/>
  <c r="O886" i="3"/>
  <c r="N886" i="3"/>
  <c r="M886" i="3"/>
  <c r="L886" i="3"/>
  <c r="I886" i="3"/>
  <c r="O885" i="3"/>
  <c r="N885" i="3"/>
  <c r="M885" i="3"/>
  <c r="L885" i="3"/>
  <c r="I885" i="3"/>
  <c r="O884" i="3"/>
  <c r="N884" i="3"/>
  <c r="M884" i="3"/>
  <c r="L884" i="3"/>
  <c r="I884" i="3"/>
  <c r="O883" i="3"/>
  <c r="N883" i="3"/>
  <c r="M883" i="3"/>
  <c r="L883" i="3"/>
  <c r="I883" i="3"/>
  <c r="O882" i="3"/>
  <c r="N882" i="3"/>
  <c r="M882" i="3"/>
  <c r="L882" i="3"/>
  <c r="I882" i="3"/>
  <c r="O881" i="3"/>
  <c r="N881" i="3"/>
  <c r="M881" i="3"/>
  <c r="L881" i="3"/>
  <c r="I881" i="3"/>
  <c r="O880" i="3"/>
  <c r="N880" i="3"/>
  <c r="M880" i="3"/>
  <c r="L880" i="3"/>
  <c r="I880" i="3"/>
  <c r="O879" i="3"/>
  <c r="N879" i="3"/>
  <c r="M879" i="3"/>
  <c r="L879" i="3"/>
  <c r="I879" i="3"/>
  <c r="O878" i="3"/>
  <c r="N878" i="3"/>
  <c r="M878" i="3"/>
  <c r="L878" i="3"/>
  <c r="I878" i="3"/>
  <c r="O877" i="3"/>
  <c r="N877" i="3"/>
  <c r="M877" i="3"/>
  <c r="L877" i="3"/>
  <c r="I877" i="3"/>
  <c r="O876" i="3"/>
  <c r="N876" i="3"/>
  <c r="M876" i="3"/>
  <c r="L876" i="3"/>
  <c r="I876" i="3"/>
  <c r="O875" i="3"/>
  <c r="N875" i="3"/>
  <c r="M875" i="3"/>
  <c r="L875" i="3"/>
  <c r="I875" i="3"/>
  <c r="O874" i="3"/>
  <c r="N874" i="3"/>
  <c r="M874" i="3"/>
  <c r="L874" i="3"/>
  <c r="I874" i="3"/>
  <c r="O873" i="3"/>
  <c r="N873" i="3"/>
  <c r="M873" i="3"/>
  <c r="L873" i="3"/>
  <c r="I873" i="3"/>
  <c r="O872" i="3"/>
  <c r="N872" i="3"/>
  <c r="M872" i="3"/>
  <c r="L872" i="3"/>
  <c r="I872" i="3"/>
  <c r="O871" i="3"/>
  <c r="N871" i="3"/>
  <c r="M871" i="3"/>
  <c r="L871" i="3"/>
  <c r="I871" i="3"/>
  <c r="O870" i="3"/>
  <c r="N870" i="3"/>
  <c r="M870" i="3"/>
  <c r="L870" i="3"/>
  <c r="I870" i="3"/>
  <c r="O869" i="3"/>
  <c r="N869" i="3"/>
  <c r="M869" i="3"/>
  <c r="L869" i="3"/>
  <c r="I869" i="3"/>
  <c r="O868" i="3"/>
  <c r="N868" i="3"/>
  <c r="M868" i="3"/>
  <c r="L868" i="3"/>
  <c r="I868" i="3"/>
  <c r="O867" i="3"/>
  <c r="N867" i="3"/>
  <c r="M867" i="3"/>
  <c r="L867" i="3"/>
  <c r="I867" i="3"/>
  <c r="O866" i="3"/>
  <c r="N866" i="3"/>
  <c r="M866" i="3"/>
  <c r="L866" i="3"/>
  <c r="I866" i="3"/>
  <c r="O865" i="3"/>
  <c r="N865" i="3"/>
  <c r="M865" i="3"/>
  <c r="L865" i="3"/>
  <c r="I865" i="3"/>
  <c r="O864" i="3"/>
  <c r="N864" i="3"/>
  <c r="M864" i="3"/>
  <c r="L864" i="3"/>
  <c r="I864" i="3"/>
  <c r="O863" i="3"/>
  <c r="N863" i="3"/>
  <c r="M863" i="3"/>
  <c r="L863" i="3"/>
  <c r="I863" i="3"/>
  <c r="O862" i="3"/>
  <c r="N862" i="3"/>
  <c r="M862" i="3"/>
  <c r="L862" i="3"/>
  <c r="I862" i="3"/>
  <c r="O861" i="3"/>
  <c r="N861" i="3"/>
  <c r="M861" i="3"/>
  <c r="L861" i="3"/>
  <c r="I861" i="3"/>
  <c r="O860" i="3"/>
  <c r="N860" i="3"/>
  <c r="M860" i="3"/>
  <c r="L860" i="3"/>
  <c r="I860" i="3"/>
  <c r="O859" i="3"/>
  <c r="N859" i="3"/>
  <c r="M859" i="3"/>
  <c r="L859" i="3"/>
  <c r="I859" i="3"/>
  <c r="O858" i="3"/>
  <c r="N858" i="3"/>
  <c r="M858" i="3"/>
  <c r="L858" i="3"/>
  <c r="I858" i="3"/>
  <c r="O857" i="3"/>
  <c r="N857" i="3"/>
  <c r="M857" i="3"/>
  <c r="L857" i="3"/>
  <c r="I857" i="3"/>
  <c r="O856" i="3"/>
  <c r="N856" i="3"/>
  <c r="M856" i="3"/>
  <c r="L856" i="3"/>
  <c r="I856" i="3"/>
  <c r="O855" i="3"/>
  <c r="N855" i="3"/>
  <c r="M855" i="3"/>
  <c r="L855" i="3"/>
  <c r="I855" i="3"/>
  <c r="O854" i="3"/>
  <c r="N854" i="3"/>
  <c r="M854" i="3"/>
  <c r="L854" i="3"/>
  <c r="I854" i="3"/>
  <c r="O853" i="3"/>
  <c r="N853" i="3"/>
  <c r="M853" i="3"/>
  <c r="L853" i="3"/>
  <c r="I853" i="3"/>
  <c r="O852" i="3"/>
  <c r="N852" i="3"/>
  <c r="M852" i="3"/>
  <c r="L852" i="3"/>
  <c r="I852" i="3"/>
  <c r="O851" i="3"/>
  <c r="N851" i="3"/>
  <c r="M851" i="3"/>
  <c r="L851" i="3"/>
  <c r="I851" i="3"/>
  <c r="O850" i="3"/>
  <c r="N850" i="3"/>
  <c r="M850" i="3"/>
  <c r="L850" i="3"/>
  <c r="I850" i="3"/>
  <c r="O849" i="3"/>
  <c r="N849" i="3"/>
  <c r="M849" i="3"/>
  <c r="L849" i="3"/>
  <c r="I849" i="3"/>
  <c r="O848" i="3"/>
  <c r="N848" i="3"/>
  <c r="M848" i="3"/>
  <c r="L848" i="3"/>
  <c r="I848" i="3"/>
  <c r="O847" i="3"/>
  <c r="N847" i="3"/>
  <c r="M847" i="3"/>
  <c r="L847" i="3"/>
  <c r="I847" i="3"/>
  <c r="O846" i="3"/>
  <c r="N846" i="3"/>
  <c r="M846" i="3"/>
  <c r="L846" i="3"/>
  <c r="I846" i="3"/>
  <c r="O845" i="3"/>
  <c r="N845" i="3"/>
  <c r="M845" i="3"/>
  <c r="L845" i="3"/>
  <c r="I845" i="3"/>
  <c r="O844" i="3"/>
  <c r="N844" i="3"/>
  <c r="M844" i="3"/>
  <c r="L844" i="3"/>
  <c r="I844" i="3"/>
  <c r="O843" i="3"/>
  <c r="N843" i="3"/>
  <c r="M843" i="3"/>
  <c r="L843" i="3"/>
  <c r="I843" i="3"/>
  <c r="O842" i="3"/>
  <c r="N842" i="3"/>
  <c r="M842" i="3"/>
  <c r="L842" i="3"/>
  <c r="I842" i="3"/>
  <c r="O841" i="3"/>
  <c r="N841" i="3"/>
  <c r="M841" i="3"/>
  <c r="L841" i="3"/>
  <c r="I841" i="3"/>
  <c r="O840" i="3"/>
  <c r="N840" i="3"/>
  <c r="M840" i="3"/>
  <c r="L840" i="3"/>
  <c r="I840" i="3"/>
  <c r="O839" i="3"/>
  <c r="N839" i="3"/>
  <c r="M839" i="3"/>
  <c r="L839" i="3"/>
  <c r="I839" i="3"/>
  <c r="O838" i="3"/>
  <c r="N838" i="3"/>
  <c r="M838" i="3"/>
  <c r="L838" i="3"/>
  <c r="I838" i="3"/>
  <c r="O837" i="3"/>
  <c r="N837" i="3"/>
  <c r="M837" i="3"/>
  <c r="L837" i="3"/>
  <c r="I837" i="3"/>
  <c r="O836" i="3"/>
  <c r="N836" i="3"/>
  <c r="M836" i="3"/>
  <c r="L836" i="3"/>
  <c r="I836" i="3"/>
  <c r="O835" i="3"/>
  <c r="N835" i="3"/>
  <c r="M835" i="3"/>
  <c r="L835" i="3"/>
  <c r="I835" i="3"/>
  <c r="O834" i="3"/>
  <c r="N834" i="3"/>
  <c r="M834" i="3"/>
  <c r="L834" i="3"/>
  <c r="I834" i="3"/>
  <c r="O833" i="3"/>
  <c r="N833" i="3"/>
  <c r="M833" i="3"/>
  <c r="L833" i="3"/>
  <c r="I833" i="3"/>
  <c r="O832" i="3"/>
  <c r="N832" i="3"/>
  <c r="M832" i="3"/>
  <c r="L832" i="3"/>
  <c r="I832" i="3"/>
  <c r="O831" i="3"/>
  <c r="N831" i="3"/>
  <c r="M831" i="3"/>
  <c r="L831" i="3"/>
  <c r="I831" i="3"/>
  <c r="O830" i="3"/>
  <c r="N830" i="3"/>
  <c r="M830" i="3"/>
  <c r="L830" i="3"/>
  <c r="I830" i="3"/>
  <c r="O829" i="3"/>
  <c r="N829" i="3"/>
  <c r="M829" i="3"/>
  <c r="L829" i="3"/>
  <c r="I829" i="3"/>
  <c r="O828" i="3"/>
  <c r="N828" i="3"/>
  <c r="M828" i="3"/>
  <c r="L828" i="3"/>
  <c r="I828" i="3"/>
  <c r="O827" i="3"/>
  <c r="N827" i="3"/>
  <c r="M827" i="3"/>
  <c r="L827" i="3"/>
  <c r="I827" i="3"/>
  <c r="O826" i="3"/>
  <c r="N826" i="3"/>
  <c r="M826" i="3"/>
  <c r="L826" i="3"/>
  <c r="I826" i="3"/>
  <c r="O825" i="3"/>
  <c r="N825" i="3"/>
  <c r="M825" i="3"/>
  <c r="L825" i="3"/>
  <c r="I825" i="3"/>
  <c r="O824" i="3"/>
  <c r="N824" i="3"/>
  <c r="M824" i="3"/>
  <c r="L824" i="3"/>
  <c r="I824" i="3"/>
  <c r="O823" i="3"/>
  <c r="N823" i="3"/>
  <c r="M823" i="3"/>
  <c r="L823" i="3"/>
  <c r="I823" i="3"/>
  <c r="O822" i="3"/>
  <c r="N822" i="3"/>
  <c r="M822" i="3"/>
  <c r="L822" i="3"/>
  <c r="I822" i="3"/>
  <c r="O821" i="3"/>
  <c r="N821" i="3"/>
  <c r="M821" i="3"/>
  <c r="L821" i="3"/>
  <c r="I821" i="3"/>
  <c r="O820" i="3"/>
  <c r="N820" i="3"/>
  <c r="M820" i="3"/>
  <c r="L820" i="3"/>
  <c r="I820" i="3"/>
  <c r="O819" i="3"/>
  <c r="N819" i="3"/>
  <c r="M819" i="3"/>
  <c r="L819" i="3"/>
  <c r="I819" i="3"/>
  <c r="O818" i="3"/>
  <c r="N818" i="3"/>
  <c r="M818" i="3"/>
  <c r="L818" i="3"/>
  <c r="I818" i="3"/>
  <c r="O817" i="3"/>
  <c r="N817" i="3"/>
  <c r="M817" i="3"/>
  <c r="L817" i="3"/>
  <c r="I817" i="3"/>
  <c r="O816" i="3"/>
  <c r="N816" i="3"/>
  <c r="M816" i="3"/>
  <c r="L816" i="3"/>
  <c r="I816" i="3"/>
  <c r="O815" i="3"/>
  <c r="N815" i="3"/>
  <c r="M815" i="3"/>
  <c r="L815" i="3"/>
  <c r="I815" i="3"/>
  <c r="O814" i="3"/>
  <c r="N814" i="3"/>
  <c r="M814" i="3"/>
  <c r="L814" i="3"/>
  <c r="I814" i="3"/>
  <c r="O813" i="3"/>
  <c r="N813" i="3"/>
  <c r="M813" i="3"/>
  <c r="L813" i="3"/>
  <c r="I813" i="3"/>
  <c r="O812" i="3"/>
  <c r="N812" i="3"/>
  <c r="M812" i="3"/>
  <c r="L812" i="3"/>
  <c r="I812" i="3"/>
  <c r="O811" i="3"/>
  <c r="N811" i="3"/>
  <c r="M811" i="3"/>
  <c r="L811" i="3"/>
  <c r="I811" i="3"/>
  <c r="O810" i="3"/>
  <c r="N810" i="3"/>
  <c r="M810" i="3"/>
  <c r="L810" i="3"/>
  <c r="I810" i="3"/>
  <c r="O809" i="3"/>
  <c r="N809" i="3"/>
  <c r="M809" i="3"/>
  <c r="L809" i="3"/>
  <c r="I809" i="3"/>
  <c r="O808" i="3"/>
  <c r="N808" i="3"/>
  <c r="M808" i="3"/>
  <c r="L808" i="3"/>
  <c r="I808" i="3"/>
  <c r="O807" i="3"/>
  <c r="N807" i="3"/>
  <c r="M807" i="3"/>
  <c r="L807" i="3"/>
  <c r="I807" i="3"/>
  <c r="O806" i="3"/>
  <c r="N806" i="3"/>
  <c r="M806" i="3"/>
  <c r="L806" i="3"/>
  <c r="I806" i="3"/>
  <c r="O805" i="3"/>
  <c r="N805" i="3"/>
  <c r="M805" i="3"/>
  <c r="L805" i="3"/>
  <c r="I805" i="3"/>
  <c r="O804" i="3"/>
  <c r="N804" i="3"/>
  <c r="M804" i="3"/>
  <c r="L804" i="3"/>
  <c r="I804" i="3"/>
  <c r="O803" i="3"/>
  <c r="N803" i="3"/>
  <c r="M803" i="3"/>
  <c r="L803" i="3"/>
  <c r="I803" i="3"/>
  <c r="O802" i="3"/>
  <c r="N802" i="3"/>
  <c r="M802" i="3"/>
  <c r="L802" i="3"/>
  <c r="I802" i="3"/>
  <c r="O801" i="3"/>
  <c r="N801" i="3"/>
  <c r="M801" i="3"/>
  <c r="L801" i="3"/>
  <c r="I801" i="3"/>
  <c r="O800" i="3"/>
  <c r="N800" i="3"/>
  <c r="M800" i="3"/>
  <c r="L800" i="3"/>
  <c r="I800" i="3"/>
  <c r="O799" i="3"/>
  <c r="N799" i="3"/>
  <c r="M799" i="3"/>
  <c r="L799" i="3"/>
  <c r="I799" i="3"/>
  <c r="O798" i="3"/>
  <c r="N798" i="3"/>
  <c r="M798" i="3"/>
  <c r="L798" i="3"/>
  <c r="I798" i="3"/>
  <c r="O797" i="3"/>
  <c r="N797" i="3"/>
  <c r="M797" i="3"/>
  <c r="L797" i="3"/>
  <c r="I797" i="3"/>
  <c r="O796" i="3"/>
  <c r="N796" i="3"/>
  <c r="M796" i="3"/>
  <c r="L796" i="3"/>
  <c r="I796" i="3"/>
  <c r="O795" i="3"/>
  <c r="N795" i="3"/>
  <c r="M795" i="3"/>
  <c r="L795" i="3"/>
  <c r="I795" i="3"/>
  <c r="O794" i="3"/>
  <c r="N794" i="3"/>
  <c r="M794" i="3"/>
  <c r="L794" i="3"/>
  <c r="I794" i="3"/>
  <c r="O793" i="3"/>
  <c r="N793" i="3"/>
  <c r="M793" i="3"/>
  <c r="L793" i="3"/>
  <c r="I793" i="3"/>
  <c r="O792" i="3"/>
  <c r="N792" i="3"/>
  <c r="M792" i="3"/>
  <c r="L792" i="3"/>
  <c r="I792" i="3"/>
  <c r="O791" i="3"/>
  <c r="N791" i="3"/>
  <c r="M791" i="3"/>
  <c r="L791" i="3"/>
  <c r="I791" i="3"/>
  <c r="O790" i="3"/>
  <c r="N790" i="3"/>
  <c r="M790" i="3"/>
  <c r="L790" i="3"/>
  <c r="I790" i="3"/>
  <c r="O789" i="3"/>
  <c r="N789" i="3"/>
  <c r="M789" i="3"/>
  <c r="L789" i="3"/>
  <c r="I789" i="3"/>
  <c r="O788" i="3"/>
  <c r="N788" i="3"/>
  <c r="M788" i="3"/>
  <c r="L788" i="3"/>
  <c r="I788" i="3"/>
  <c r="O787" i="3"/>
  <c r="N787" i="3"/>
  <c r="M787" i="3"/>
  <c r="L787" i="3"/>
  <c r="I787" i="3"/>
  <c r="O786" i="3"/>
  <c r="N786" i="3"/>
  <c r="M786" i="3"/>
  <c r="L786" i="3"/>
  <c r="I786" i="3"/>
  <c r="O785" i="3"/>
  <c r="N785" i="3"/>
  <c r="M785" i="3"/>
  <c r="L785" i="3"/>
  <c r="I785" i="3"/>
  <c r="O784" i="3"/>
  <c r="N784" i="3"/>
  <c r="M784" i="3"/>
  <c r="L784" i="3"/>
  <c r="I784" i="3"/>
  <c r="O783" i="3"/>
  <c r="N783" i="3"/>
  <c r="M783" i="3"/>
  <c r="L783" i="3"/>
  <c r="I783" i="3"/>
  <c r="O782" i="3"/>
  <c r="N782" i="3"/>
  <c r="M782" i="3"/>
  <c r="L782" i="3"/>
  <c r="I782" i="3"/>
  <c r="O781" i="3"/>
  <c r="N781" i="3"/>
  <c r="M781" i="3"/>
  <c r="L781" i="3"/>
  <c r="I781" i="3"/>
  <c r="O780" i="3"/>
  <c r="N780" i="3"/>
  <c r="M780" i="3"/>
  <c r="L780" i="3"/>
  <c r="I780" i="3"/>
  <c r="O779" i="3"/>
  <c r="N779" i="3"/>
  <c r="M779" i="3"/>
  <c r="L779" i="3"/>
  <c r="I779" i="3"/>
  <c r="O778" i="3"/>
  <c r="N778" i="3"/>
  <c r="M778" i="3"/>
  <c r="L778" i="3"/>
  <c r="I778" i="3"/>
  <c r="O777" i="3"/>
  <c r="N777" i="3"/>
  <c r="M777" i="3"/>
  <c r="L777" i="3"/>
  <c r="I777" i="3"/>
  <c r="O776" i="3"/>
  <c r="N776" i="3"/>
  <c r="M776" i="3"/>
  <c r="L776" i="3"/>
  <c r="I776" i="3"/>
  <c r="O775" i="3"/>
  <c r="N775" i="3"/>
  <c r="M775" i="3"/>
  <c r="L775" i="3"/>
  <c r="I775" i="3"/>
  <c r="O774" i="3"/>
  <c r="N774" i="3"/>
  <c r="M774" i="3"/>
  <c r="L774" i="3"/>
  <c r="I774" i="3"/>
  <c r="O773" i="3"/>
  <c r="N773" i="3"/>
  <c r="M773" i="3"/>
  <c r="L773" i="3"/>
  <c r="I773" i="3"/>
  <c r="O772" i="3"/>
  <c r="N772" i="3"/>
  <c r="M772" i="3"/>
  <c r="L772" i="3"/>
  <c r="I772" i="3"/>
  <c r="O771" i="3"/>
  <c r="N771" i="3"/>
  <c r="M771" i="3"/>
  <c r="L771" i="3"/>
  <c r="I771" i="3"/>
  <c r="O770" i="3"/>
  <c r="N770" i="3"/>
  <c r="M770" i="3"/>
  <c r="L770" i="3"/>
  <c r="I770" i="3"/>
  <c r="O769" i="3"/>
  <c r="N769" i="3"/>
  <c r="M769" i="3"/>
  <c r="L769" i="3"/>
  <c r="I769" i="3"/>
  <c r="O768" i="3"/>
  <c r="N768" i="3"/>
  <c r="M768" i="3"/>
  <c r="L768" i="3"/>
  <c r="I768" i="3"/>
  <c r="O767" i="3"/>
  <c r="N767" i="3"/>
  <c r="M767" i="3"/>
  <c r="L767" i="3"/>
  <c r="I767" i="3"/>
  <c r="O766" i="3"/>
  <c r="N766" i="3"/>
  <c r="M766" i="3"/>
  <c r="L766" i="3"/>
  <c r="I766" i="3"/>
  <c r="O765" i="3"/>
  <c r="N765" i="3"/>
  <c r="M765" i="3"/>
  <c r="L765" i="3"/>
  <c r="I765" i="3"/>
  <c r="O764" i="3"/>
  <c r="N764" i="3"/>
  <c r="M764" i="3"/>
  <c r="L764" i="3"/>
  <c r="I764" i="3"/>
  <c r="O763" i="3"/>
  <c r="N763" i="3"/>
  <c r="M763" i="3"/>
  <c r="L763" i="3"/>
  <c r="I763" i="3"/>
  <c r="O762" i="3"/>
  <c r="N762" i="3"/>
  <c r="M762" i="3"/>
  <c r="L762" i="3"/>
  <c r="I762" i="3"/>
  <c r="O761" i="3"/>
  <c r="N761" i="3"/>
  <c r="M761" i="3"/>
  <c r="L761" i="3"/>
  <c r="I761" i="3"/>
  <c r="O760" i="3"/>
  <c r="N760" i="3"/>
  <c r="M760" i="3"/>
  <c r="L760" i="3"/>
  <c r="I760" i="3"/>
  <c r="O759" i="3"/>
  <c r="N759" i="3"/>
  <c r="M759" i="3"/>
  <c r="L759" i="3"/>
  <c r="I759" i="3"/>
  <c r="O758" i="3"/>
  <c r="N758" i="3"/>
  <c r="M758" i="3"/>
  <c r="L758" i="3"/>
  <c r="I758" i="3"/>
  <c r="O757" i="3"/>
  <c r="N757" i="3"/>
  <c r="M757" i="3"/>
  <c r="L757" i="3"/>
  <c r="I757" i="3"/>
  <c r="O756" i="3"/>
  <c r="N756" i="3"/>
  <c r="M756" i="3"/>
  <c r="L756" i="3"/>
  <c r="I756" i="3"/>
  <c r="O755" i="3"/>
  <c r="N755" i="3"/>
  <c r="M755" i="3"/>
  <c r="L755" i="3"/>
  <c r="I755" i="3"/>
  <c r="O754" i="3"/>
  <c r="N754" i="3"/>
  <c r="M754" i="3"/>
  <c r="L754" i="3"/>
  <c r="I754" i="3"/>
  <c r="O753" i="3"/>
  <c r="N753" i="3"/>
  <c r="M753" i="3"/>
  <c r="L753" i="3"/>
  <c r="I753" i="3"/>
  <c r="O752" i="3"/>
  <c r="N752" i="3"/>
  <c r="M752" i="3"/>
  <c r="L752" i="3"/>
  <c r="I752" i="3"/>
  <c r="O751" i="3"/>
  <c r="N751" i="3"/>
  <c r="M751" i="3"/>
  <c r="L751" i="3"/>
  <c r="I751" i="3"/>
  <c r="O750" i="3"/>
  <c r="N750" i="3"/>
  <c r="M750" i="3"/>
  <c r="L750" i="3"/>
  <c r="I750" i="3"/>
  <c r="O749" i="3"/>
  <c r="N749" i="3"/>
  <c r="M749" i="3"/>
  <c r="L749" i="3"/>
  <c r="I749" i="3"/>
  <c r="O748" i="3"/>
  <c r="N748" i="3"/>
  <c r="M748" i="3"/>
  <c r="L748" i="3"/>
  <c r="I748" i="3"/>
  <c r="O747" i="3"/>
  <c r="N747" i="3"/>
  <c r="M747" i="3"/>
  <c r="L747" i="3"/>
  <c r="I747" i="3"/>
  <c r="O746" i="3"/>
  <c r="N746" i="3"/>
  <c r="M746" i="3"/>
  <c r="L746" i="3"/>
  <c r="I746" i="3"/>
  <c r="O745" i="3"/>
  <c r="N745" i="3"/>
  <c r="M745" i="3"/>
  <c r="L745" i="3"/>
  <c r="I745" i="3"/>
  <c r="O744" i="3"/>
  <c r="N744" i="3"/>
  <c r="M744" i="3"/>
  <c r="L744" i="3"/>
  <c r="I744" i="3"/>
  <c r="O743" i="3"/>
  <c r="N743" i="3"/>
  <c r="M743" i="3"/>
  <c r="L743" i="3"/>
  <c r="I743" i="3"/>
  <c r="O742" i="3"/>
  <c r="N742" i="3"/>
  <c r="M742" i="3"/>
  <c r="L742" i="3"/>
  <c r="I742" i="3"/>
  <c r="O741" i="3"/>
  <c r="N741" i="3"/>
  <c r="M741" i="3"/>
  <c r="L741" i="3"/>
  <c r="I741" i="3"/>
  <c r="O740" i="3"/>
  <c r="N740" i="3"/>
  <c r="M740" i="3"/>
  <c r="L740" i="3"/>
  <c r="I740" i="3"/>
  <c r="O739" i="3"/>
  <c r="N739" i="3"/>
  <c r="M739" i="3"/>
  <c r="L739" i="3"/>
  <c r="I739" i="3"/>
  <c r="O738" i="3"/>
  <c r="N738" i="3"/>
  <c r="M738" i="3"/>
  <c r="L738" i="3"/>
  <c r="I738" i="3"/>
  <c r="O737" i="3"/>
  <c r="N737" i="3"/>
  <c r="M737" i="3"/>
  <c r="L737" i="3"/>
  <c r="I737" i="3"/>
  <c r="O736" i="3"/>
  <c r="N736" i="3"/>
  <c r="M736" i="3"/>
  <c r="L736" i="3"/>
  <c r="I736" i="3"/>
  <c r="O735" i="3"/>
  <c r="N735" i="3"/>
  <c r="M735" i="3"/>
  <c r="L735" i="3"/>
  <c r="I735" i="3"/>
  <c r="O734" i="3"/>
  <c r="N734" i="3"/>
  <c r="M734" i="3"/>
  <c r="L734" i="3"/>
  <c r="I734" i="3"/>
  <c r="O733" i="3"/>
  <c r="N733" i="3"/>
  <c r="M733" i="3"/>
  <c r="L733" i="3"/>
  <c r="I733" i="3"/>
  <c r="O732" i="3"/>
  <c r="N732" i="3"/>
  <c r="M732" i="3"/>
  <c r="L732" i="3"/>
  <c r="I732" i="3"/>
  <c r="O731" i="3"/>
  <c r="N731" i="3"/>
  <c r="M731" i="3"/>
  <c r="L731" i="3"/>
  <c r="I731" i="3"/>
  <c r="O730" i="3"/>
  <c r="N730" i="3"/>
  <c r="M730" i="3"/>
  <c r="L730" i="3"/>
  <c r="I730" i="3"/>
  <c r="O729" i="3"/>
  <c r="N729" i="3"/>
  <c r="M729" i="3"/>
  <c r="L729" i="3"/>
  <c r="I729" i="3"/>
  <c r="O728" i="3"/>
  <c r="N728" i="3"/>
  <c r="M728" i="3"/>
  <c r="L728" i="3"/>
  <c r="I728" i="3"/>
  <c r="O727" i="3"/>
  <c r="N727" i="3"/>
  <c r="M727" i="3"/>
  <c r="L727" i="3"/>
  <c r="I727" i="3"/>
  <c r="O726" i="3"/>
  <c r="N726" i="3"/>
  <c r="M726" i="3"/>
  <c r="L726" i="3"/>
  <c r="I726" i="3"/>
  <c r="O725" i="3"/>
  <c r="N725" i="3"/>
  <c r="M725" i="3"/>
  <c r="L725" i="3"/>
  <c r="I725" i="3"/>
  <c r="O724" i="3"/>
  <c r="N724" i="3"/>
  <c r="M724" i="3"/>
  <c r="L724" i="3"/>
  <c r="I724" i="3"/>
  <c r="O723" i="3"/>
  <c r="N723" i="3"/>
  <c r="M723" i="3"/>
  <c r="L723" i="3"/>
  <c r="I723" i="3"/>
  <c r="O722" i="3"/>
  <c r="N722" i="3"/>
  <c r="M722" i="3"/>
  <c r="L722" i="3"/>
  <c r="I722" i="3"/>
  <c r="O721" i="3"/>
  <c r="N721" i="3"/>
  <c r="M721" i="3"/>
  <c r="L721" i="3"/>
  <c r="I721" i="3"/>
  <c r="O720" i="3"/>
  <c r="N720" i="3"/>
  <c r="M720" i="3"/>
  <c r="L720" i="3"/>
  <c r="I720" i="3"/>
  <c r="O719" i="3"/>
  <c r="N719" i="3"/>
  <c r="M719" i="3"/>
  <c r="L719" i="3"/>
  <c r="I719" i="3"/>
  <c r="O718" i="3"/>
  <c r="N718" i="3"/>
  <c r="M718" i="3"/>
  <c r="L718" i="3"/>
  <c r="I718" i="3"/>
  <c r="O717" i="3"/>
  <c r="N717" i="3"/>
  <c r="M717" i="3"/>
  <c r="L717" i="3"/>
  <c r="I717" i="3"/>
  <c r="O716" i="3"/>
  <c r="N716" i="3"/>
  <c r="M716" i="3"/>
  <c r="L716" i="3"/>
  <c r="I716" i="3"/>
  <c r="O715" i="3"/>
  <c r="N715" i="3"/>
  <c r="M715" i="3"/>
  <c r="L715" i="3"/>
  <c r="I715" i="3"/>
  <c r="O714" i="3"/>
  <c r="N714" i="3"/>
  <c r="M714" i="3"/>
  <c r="L714" i="3"/>
  <c r="I714" i="3"/>
  <c r="O713" i="3"/>
  <c r="N713" i="3"/>
  <c r="M713" i="3"/>
  <c r="L713" i="3"/>
  <c r="I713" i="3"/>
  <c r="O712" i="3"/>
  <c r="N712" i="3"/>
  <c r="M712" i="3"/>
  <c r="L712" i="3"/>
  <c r="I712" i="3"/>
  <c r="O711" i="3"/>
  <c r="N711" i="3"/>
  <c r="M711" i="3"/>
  <c r="L711" i="3"/>
  <c r="I711" i="3"/>
  <c r="O710" i="3"/>
  <c r="N710" i="3"/>
  <c r="M710" i="3"/>
  <c r="L710" i="3"/>
  <c r="I710" i="3"/>
  <c r="O709" i="3"/>
  <c r="N709" i="3"/>
  <c r="M709" i="3"/>
  <c r="L709" i="3"/>
  <c r="I709" i="3"/>
  <c r="O708" i="3"/>
  <c r="N708" i="3"/>
  <c r="M708" i="3"/>
  <c r="L708" i="3"/>
  <c r="I708" i="3"/>
  <c r="O707" i="3"/>
  <c r="N707" i="3"/>
  <c r="M707" i="3"/>
  <c r="L707" i="3"/>
  <c r="I707" i="3"/>
  <c r="O706" i="3"/>
  <c r="N706" i="3"/>
  <c r="M706" i="3"/>
  <c r="L706" i="3"/>
  <c r="I706" i="3"/>
  <c r="O705" i="3"/>
  <c r="N705" i="3"/>
  <c r="M705" i="3"/>
  <c r="L705" i="3"/>
  <c r="I705" i="3"/>
  <c r="O704" i="3"/>
  <c r="N704" i="3"/>
  <c r="M704" i="3"/>
  <c r="L704" i="3"/>
  <c r="I704" i="3"/>
  <c r="O703" i="3"/>
  <c r="N703" i="3"/>
  <c r="M703" i="3"/>
  <c r="L703" i="3"/>
  <c r="I703" i="3"/>
  <c r="O702" i="3"/>
  <c r="N702" i="3"/>
  <c r="M702" i="3"/>
  <c r="L702" i="3"/>
  <c r="I702" i="3"/>
  <c r="O701" i="3"/>
  <c r="N701" i="3"/>
  <c r="M701" i="3"/>
  <c r="L701" i="3"/>
  <c r="I701" i="3"/>
  <c r="O700" i="3"/>
  <c r="N700" i="3"/>
  <c r="M700" i="3"/>
  <c r="L700" i="3"/>
  <c r="I700" i="3"/>
  <c r="O699" i="3"/>
  <c r="N699" i="3"/>
  <c r="M699" i="3"/>
  <c r="L699" i="3"/>
  <c r="I699" i="3"/>
  <c r="O698" i="3"/>
  <c r="N698" i="3"/>
  <c r="M698" i="3"/>
  <c r="L698" i="3"/>
  <c r="I698" i="3"/>
  <c r="O697" i="3"/>
  <c r="N697" i="3"/>
  <c r="M697" i="3"/>
  <c r="L697" i="3"/>
  <c r="I697" i="3"/>
  <c r="O696" i="3"/>
  <c r="N696" i="3"/>
  <c r="M696" i="3"/>
  <c r="L696" i="3"/>
  <c r="I696" i="3"/>
  <c r="O695" i="3"/>
  <c r="N695" i="3"/>
  <c r="M695" i="3"/>
  <c r="L695" i="3"/>
  <c r="I695" i="3"/>
  <c r="O694" i="3"/>
  <c r="N694" i="3"/>
  <c r="M694" i="3"/>
  <c r="L694" i="3"/>
  <c r="I694" i="3"/>
  <c r="O693" i="3"/>
  <c r="N693" i="3"/>
  <c r="M693" i="3"/>
  <c r="L693" i="3"/>
  <c r="I693" i="3"/>
  <c r="O692" i="3"/>
  <c r="N692" i="3"/>
  <c r="M692" i="3"/>
  <c r="L692" i="3"/>
  <c r="I692" i="3"/>
  <c r="O691" i="3"/>
  <c r="N691" i="3"/>
  <c r="M691" i="3"/>
  <c r="L691" i="3"/>
  <c r="I691" i="3"/>
  <c r="O690" i="3"/>
  <c r="N690" i="3"/>
  <c r="M690" i="3"/>
  <c r="L690" i="3"/>
  <c r="I690" i="3"/>
  <c r="O689" i="3"/>
  <c r="N689" i="3"/>
  <c r="M689" i="3"/>
  <c r="L689" i="3"/>
  <c r="I689" i="3"/>
  <c r="O688" i="3"/>
  <c r="N688" i="3"/>
  <c r="M688" i="3"/>
  <c r="L688" i="3"/>
  <c r="I688" i="3"/>
  <c r="O687" i="3"/>
  <c r="N687" i="3"/>
  <c r="M687" i="3"/>
  <c r="L687" i="3"/>
  <c r="I687" i="3"/>
  <c r="O686" i="3"/>
  <c r="N686" i="3"/>
  <c r="M686" i="3"/>
  <c r="L686" i="3"/>
  <c r="I686" i="3"/>
  <c r="O685" i="3"/>
  <c r="N685" i="3"/>
  <c r="M685" i="3"/>
  <c r="L685" i="3"/>
  <c r="I685" i="3"/>
  <c r="O684" i="3"/>
  <c r="N684" i="3"/>
  <c r="M684" i="3"/>
  <c r="L684" i="3"/>
  <c r="I684" i="3"/>
  <c r="O683" i="3"/>
  <c r="N683" i="3"/>
  <c r="M683" i="3"/>
  <c r="L683" i="3"/>
  <c r="I683" i="3"/>
  <c r="O682" i="3"/>
  <c r="N682" i="3"/>
  <c r="M682" i="3"/>
  <c r="L682" i="3"/>
  <c r="I682" i="3"/>
  <c r="O681" i="3"/>
  <c r="N681" i="3"/>
  <c r="M681" i="3"/>
  <c r="L681" i="3"/>
  <c r="I681" i="3"/>
  <c r="O680" i="3"/>
  <c r="N680" i="3"/>
  <c r="M680" i="3"/>
  <c r="L680" i="3"/>
  <c r="I680" i="3"/>
  <c r="O679" i="3"/>
  <c r="N679" i="3"/>
  <c r="M679" i="3"/>
  <c r="L679" i="3"/>
  <c r="I679" i="3"/>
  <c r="O678" i="3"/>
  <c r="N678" i="3"/>
  <c r="M678" i="3"/>
  <c r="L678" i="3"/>
  <c r="I678" i="3"/>
  <c r="O677" i="3"/>
  <c r="N677" i="3"/>
  <c r="M677" i="3"/>
  <c r="L677" i="3"/>
  <c r="I677" i="3"/>
  <c r="O676" i="3"/>
  <c r="N676" i="3"/>
  <c r="M676" i="3"/>
  <c r="L676" i="3"/>
  <c r="I676" i="3"/>
  <c r="O675" i="3"/>
  <c r="N675" i="3"/>
  <c r="M675" i="3"/>
  <c r="L675" i="3"/>
  <c r="I675" i="3"/>
  <c r="O674" i="3"/>
  <c r="N674" i="3"/>
  <c r="M674" i="3"/>
  <c r="L674" i="3"/>
  <c r="I674" i="3"/>
  <c r="O673" i="3"/>
  <c r="N673" i="3"/>
  <c r="M673" i="3"/>
  <c r="L673" i="3"/>
  <c r="I673" i="3"/>
  <c r="O672" i="3"/>
  <c r="N672" i="3"/>
  <c r="M672" i="3"/>
  <c r="L672" i="3"/>
  <c r="I672" i="3"/>
  <c r="O671" i="3"/>
  <c r="N671" i="3"/>
  <c r="M671" i="3"/>
  <c r="L671" i="3"/>
  <c r="I671" i="3"/>
  <c r="O670" i="3"/>
  <c r="N670" i="3"/>
  <c r="M670" i="3"/>
  <c r="L670" i="3"/>
  <c r="I670" i="3"/>
  <c r="O669" i="3"/>
  <c r="N669" i="3"/>
  <c r="M669" i="3"/>
  <c r="L669" i="3"/>
  <c r="I669" i="3"/>
  <c r="O668" i="3"/>
  <c r="N668" i="3"/>
  <c r="M668" i="3"/>
  <c r="L668" i="3"/>
  <c r="I668" i="3"/>
  <c r="O667" i="3"/>
  <c r="N667" i="3"/>
  <c r="M667" i="3"/>
  <c r="L667" i="3"/>
  <c r="I667" i="3"/>
  <c r="O666" i="3"/>
  <c r="N666" i="3"/>
  <c r="M666" i="3"/>
  <c r="L666" i="3"/>
  <c r="I666" i="3"/>
  <c r="O665" i="3"/>
  <c r="N665" i="3"/>
  <c r="M665" i="3"/>
  <c r="L665" i="3"/>
  <c r="I665" i="3"/>
  <c r="O664" i="3"/>
  <c r="N664" i="3"/>
  <c r="M664" i="3"/>
  <c r="L664" i="3"/>
  <c r="I664" i="3"/>
  <c r="O663" i="3"/>
  <c r="N663" i="3"/>
  <c r="M663" i="3"/>
  <c r="L663" i="3"/>
  <c r="I663" i="3"/>
  <c r="O662" i="3"/>
  <c r="N662" i="3"/>
  <c r="M662" i="3"/>
  <c r="L662" i="3"/>
  <c r="I662" i="3"/>
  <c r="O661" i="3"/>
  <c r="N661" i="3"/>
  <c r="M661" i="3"/>
  <c r="L661" i="3"/>
  <c r="I661" i="3"/>
  <c r="O660" i="3"/>
  <c r="N660" i="3"/>
  <c r="M660" i="3"/>
  <c r="L660" i="3"/>
  <c r="I660" i="3"/>
  <c r="O659" i="3"/>
  <c r="N659" i="3"/>
  <c r="M659" i="3"/>
  <c r="L659" i="3"/>
  <c r="I659" i="3"/>
  <c r="O658" i="3"/>
  <c r="N658" i="3"/>
  <c r="M658" i="3"/>
  <c r="L658" i="3"/>
  <c r="I658" i="3"/>
  <c r="O657" i="3"/>
  <c r="N657" i="3"/>
  <c r="M657" i="3"/>
  <c r="L657" i="3"/>
  <c r="I657" i="3"/>
  <c r="O656" i="3"/>
  <c r="N656" i="3"/>
  <c r="M656" i="3"/>
  <c r="L656" i="3"/>
  <c r="I656" i="3"/>
  <c r="O655" i="3"/>
  <c r="N655" i="3"/>
  <c r="M655" i="3"/>
  <c r="L655" i="3"/>
  <c r="I655" i="3"/>
  <c r="O654" i="3"/>
  <c r="N654" i="3"/>
  <c r="M654" i="3"/>
  <c r="L654" i="3"/>
  <c r="I654" i="3"/>
  <c r="O653" i="3"/>
  <c r="N653" i="3"/>
  <c r="M653" i="3"/>
  <c r="L653" i="3"/>
  <c r="I653" i="3"/>
  <c r="O652" i="3"/>
  <c r="N652" i="3"/>
  <c r="M652" i="3"/>
  <c r="L652" i="3"/>
  <c r="I652" i="3"/>
  <c r="O651" i="3"/>
  <c r="N651" i="3"/>
  <c r="M651" i="3"/>
  <c r="L651" i="3"/>
  <c r="I651" i="3"/>
  <c r="O650" i="3"/>
  <c r="N650" i="3"/>
  <c r="M650" i="3"/>
  <c r="L650" i="3"/>
  <c r="I650" i="3"/>
  <c r="O649" i="3"/>
  <c r="N649" i="3"/>
  <c r="M649" i="3"/>
  <c r="L649" i="3"/>
  <c r="I649" i="3"/>
  <c r="O648" i="3"/>
  <c r="N648" i="3"/>
  <c r="M648" i="3"/>
  <c r="L648" i="3"/>
  <c r="I648" i="3"/>
  <c r="O647" i="3"/>
  <c r="N647" i="3"/>
  <c r="M647" i="3"/>
  <c r="L647" i="3"/>
  <c r="I647" i="3"/>
  <c r="O646" i="3"/>
  <c r="N646" i="3"/>
  <c r="M646" i="3"/>
  <c r="L646" i="3"/>
  <c r="I646" i="3"/>
  <c r="O645" i="3"/>
  <c r="N645" i="3"/>
  <c r="M645" i="3"/>
  <c r="L645" i="3"/>
  <c r="I645" i="3"/>
  <c r="O644" i="3"/>
  <c r="N644" i="3"/>
  <c r="M644" i="3"/>
  <c r="L644" i="3"/>
  <c r="I644" i="3"/>
  <c r="O643" i="3"/>
  <c r="N643" i="3"/>
  <c r="M643" i="3"/>
  <c r="L643" i="3"/>
  <c r="I643" i="3"/>
  <c r="O642" i="3"/>
  <c r="N642" i="3"/>
  <c r="M642" i="3"/>
  <c r="L642" i="3"/>
  <c r="I642" i="3"/>
  <c r="O641" i="3"/>
  <c r="N641" i="3"/>
  <c r="M641" i="3"/>
  <c r="L641" i="3"/>
  <c r="I641" i="3"/>
  <c r="O640" i="3"/>
  <c r="N640" i="3"/>
  <c r="M640" i="3"/>
  <c r="L640" i="3"/>
  <c r="I640" i="3"/>
  <c r="O639" i="3"/>
  <c r="N639" i="3"/>
  <c r="M639" i="3"/>
  <c r="L639" i="3"/>
  <c r="I639" i="3"/>
  <c r="O638" i="3"/>
  <c r="N638" i="3"/>
  <c r="M638" i="3"/>
  <c r="L638" i="3"/>
  <c r="I638" i="3"/>
  <c r="O637" i="3"/>
  <c r="N637" i="3"/>
  <c r="M637" i="3"/>
  <c r="L637" i="3"/>
  <c r="I637" i="3"/>
  <c r="O636" i="3"/>
  <c r="N636" i="3"/>
  <c r="M636" i="3"/>
  <c r="L636" i="3"/>
  <c r="I636" i="3"/>
  <c r="O635" i="3"/>
  <c r="N635" i="3"/>
  <c r="M635" i="3"/>
  <c r="L635" i="3"/>
  <c r="I635" i="3"/>
  <c r="O634" i="3"/>
  <c r="N634" i="3"/>
  <c r="M634" i="3"/>
  <c r="L634" i="3"/>
  <c r="I634" i="3"/>
  <c r="O633" i="3"/>
  <c r="N633" i="3"/>
  <c r="M633" i="3"/>
  <c r="L633" i="3"/>
  <c r="I633" i="3"/>
  <c r="O632" i="3"/>
  <c r="N632" i="3"/>
  <c r="M632" i="3"/>
  <c r="L632" i="3"/>
  <c r="I632" i="3"/>
  <c r="O631" i="3"/>
  <c r="N631" i="3"/>
  <c r="M631" i="3"/>
  <c r="L631" i="3"/>
  <c r="I631" i="3"/>
  <c r="O630" i="3"/>
  <c r="N630" i="3"/>
  <c r="M630" i="3"/>
  <c r="L630" i="3"/>
  <c r="I630" i="3"/>
  <c r="O629" i="3"/>
  <c r="N629" i="3"/>
  <c r="M629" i="3"/>
  <c r="L629" i="3"/>
  <c r="I629" i="3"/>
  <c r="O628" i="3"/>
  <c r="N628" i="3"/>
  <c r="M628" i="3"/>
  <c r="L628" i="3"/>
  <c r="I628" i="3"/>
  <c r="O627" i="3"/>
  <c r="N627" i="3"/>
  <c r="M627" i="3"/>
  <c r="L627" i="3"/>
  <c r="I627" i="3"/>
  <c r="O626" i="3"/>
  <c r="N626" i="3"/>
  <c r="M626" i="3"/>
  <c r="L626" i="3"/>
  <c r="I626" i="3"/>
  <c r="O625" i="3"/>
  <c r="N625" i="3"/>
  <c r="M625" i="3"/>
  <c r="L625" i="3"/>
  <c r="I625" i="3"/>
  <c r="O624" i="3"/>
  <c r="N624" i="3"/>
  <c r="M624" i="3"/>
  <c r="L624" i="3"/>
  <c r="I624" i="3"/>
  <c r="O623" i="3"/>
  <c r="N623" i="3"/>
  <c r="M623" i="3"/>
  <c r="L623" i="3"/>
  <c r="I623" i="3"/>
  <c r="O622" i="3"/>
  <c r="N622" i="3"/>
  <c r="M622" i="3"/>
  <c r="L622" i="3"/>
  <c r="I622" i="3"/>
  <c r="O621" i="3"/>
  <c r="N621" i="3"/>
  <c r="M621" i="3"/>
  <c r="L621" i="3"/>
  <c r="I621" i="3"/>
  <c r="O620" i="3"/>
  <c r="N620" i="3"/>
  <c r="M620" i="3"/>
  <c r="L620" i="3"/>
  <c r="I620" i="3"/>
  <c r="O619" i="3"/>
  <c r="N619" i="3"/>
  <c r="M619" i="3"/>
  <c r="L619" i="3"/>
  <c r="I619" i="3"/>
  <c r="O618" i="3"/>
  <c r="N618" i="3"/>
  <c r="M618" i="3"/>
  <c r="L618" i="3"/>
  <c r="I618" i="3"/>
  <c r="O617" i="3"/>
  <c r="N617" i="3"/>
  <c r="M617" i="3"/>
  <c r="L617" i="3"/>
  <c r="I617" i="3"/>
  <c r="O616" i="3"/>
  <c r="N616" i="3"/>
  <c r="M616" i="3"/>
  <c r="L616" i="3"/>
  <c r="I616" i="3"/>
  <c r="O615" i="3"/>
  <c r="N615" i="3"/>
  <c r="M615" i="3"/>
  <c r="L615" i="3"/>
  <c r="I615" i="3"/>
  <c r="O614" i="3"/>
  <c r="N614" i="3"/>
  <c r="M614" i="3"/>
  <c r="L614" i="3"/>
  <c r="I614" i="3"/>
  <c r="O613" i="3"/>
  <c r="N613" i="3"/>
  <c r="M613" i="3"/>
  <c r="L613" i="3"/>
  <c r="I613" i="3"/>
  <c r="O612" i="3"/>
  <c r="N612" i="3"/>
  <c r="M612" i="3"/>
  <c r="L612" i="3"/>
  <c r="I612" i="3"/>
  <c r="O611" i="3"/>
  <c r="N611" i="3"/>
  <c r="M611" i="3"/>
  <c r="L611" i="3"/>
  <c r="I611" i="3"/>
  <c r="O610" i="3"/>
  <c r="N610" i="3"/>
  <c r="M610" i="3"/>
  <c r="L610" i="3"/>
  <c r="I610" i="3"/>
  <c r="O609" i="3"/>
  <c r="N609" i="3"/>
  <c r="M609" i="3"/>
  <c r="L609" i="3"/>
  <c r="I609" i="3"/>
  <c r="O608" i="3"/>
  <c r="N608" i="3"/>
  <c r="M608" i="3"/>
  <c r="L608" i="3"/>
  <c r="I608" i="3"/>
  <c r="O607" i="3"/>
  <c r="N607" i="3"/>
  <c r="M607" i="3"/>
  <c r="L607" i="3"/>
  <c r="I607" i="3"/>
  <c r="O606" i="3"/>
  <c r="N606" i="3"/>
  <c r="M606" i="3"/>
  <c r="L606" i="3"/>
  <c r="I606" i="3"/>
  <c r="O605" i="3"/>
  <c r="N605" i="3"/>
  <c r="M605" i="3"/>
  <c r="L605" i="3"/>
  <c r="I605" i="3"/>
  <c r="O604" i="3"/>
  <c r="N604" i="3"/>
  <c r="M604" i="3"/>
  <c r="L604" i="3"/>
  <c r="I604" i="3"/>
  <c r="O603" i="3"/>
  <c r="N603" i="3"/>
  <c r="M603" i="3"/>
  <c r="L603" i="3"/>
  <c r="I603" i="3"/>
  <c r="O602" i="3"/>
  <c r="N602" i="3"/>
  <c r="M602" i="3"/>
  <c r="L602" i="3"/>
  <c r="I602" i="3"/>
  <c r="O601" i="3"/>
  <c r="N601" i="3"/>
  <c r="M601" i="3"/>
  <c r="L601" i="3"/>
  <c r="I601" i="3"/>
  <c r="O600" i="3"/>
  <c r="N600" i="3"/>
  <c r="M600" i="3"/>
  <c r="L600" i="3"/>
  <c r="I600" i="3"/>
  <c r="O599" i="3"/>
  <c r="N599" i="3"/>
  <c r="M599" i="3"/>
  <c r="L599" i="3"/>
  <c r="I599" i="3"/>
  <c r="O598" i="3"/>
  <c r="N598" i="3"/>
  <c r="M598" i="3"/>
  <c r="L598" i="3"/>
  <c r="I598" i="3"/>
  <c r="O597" i="3"/>
  <c r="N597" i="3"/>
  <c r="M597" i="3"/>
  <c r="L597" i="3"/>
  <c r="I597" i="3"/>
  <c r="O596" i="3"/>
  <c r="N596" i="3"/>
  <c r="M596" i="3"/>
  <c r="L596" i="3"/>
  <c r="I596" i="3"/>
  <c r="O595" i="3"/>
  <c r="N595" i="3"/>
  <c r="M595" i="3"/>
  <c r="L595" i="3"/>
  <c r="I595" i="3"/>
  <c r="O594" i="3"/>
  <c r="N594" i="3"/>
  <c r="M594" i="3"/>
  <c r="L594" i="3"/>
  <c r="I594" i="3"/>
  <c r="O593" i="3"/>
  <c r="N593" i="3"/>
  <c r="M593" i="3"/>
  <c r="L593" i="3"/>
  <c r="I593" i="3"/>
  <c r="O592" i="3"/>
  <c r="N592" i="3"/>
  <c r="M592" i="3"/>
  <c r="L592" i="3"/>
  <c r="I592" i="3"/>
  <c r="O591" i="3"/>
  <c r="N591" i="3"/>
  <c r="M591" i="3"/>
  <c r="L591" i="3"/>
  <c r="I591" i="3"/>
  <c r="O590" i="3"/>
  <c r="N590" i="3"/>
  <c r="M590" i="3"/>
  <c r="L590" i="3"/>
  <c r="I590" i="3"/>
  <c r="O589" i="3"/>
  <c r="N589" i="3"/>
  <c r="M589" i="3"/>
  <c r="L589" i="3"/>
  <c r="I589" i="3"/>
  <c r="O588" i="3"/>
  <c r="N588" i="3"/>
  <c r="M588" i="3"/>
  <c r="L588" i="3"/>
  <c r="I588" i="3"/>
  <c r="O587" i="3"/>
  <c r="N587" i="3"/>
  <c r="M587" i="3"/>
  <c r="L587" i="3"/>
  <c r="I587" i="3"/>
  <c r="O586" i="3"/>
  <c r="N586" i="3"/>
  <c r="M586" i="3"/>
  <c r="L586" i="3"/>
  <c r="I586" i="3"/>
  <c r="O585" i="3"/>
  <c r="N585" i="3"/>
  <c r="M585" i="3"/>
  <c r="L585" i="3"/>
  <c r="I585" i="3"/>
  <c r="O584" i="3"/>
  <c r="N584" i="3"/>
  <c r="M584" i="3"/>
  <c r="L584" i="3"/>
  <c r="I584" i="3"/>
  <c r="O583" i="3"/>
  <c r="N583" i="3"/>
  <c r="M583" i="3"/>
  <c r="L583" i="3"/>
  <c r="I583" i="3"/>
  <c r="O582" i="3"/>
  <c r="N582" i="3"/>
  <c r="M582" i="3"/>
  <c r="L582" i="3"/>
  <c r="I582" i="3"/>
  <c r="O581" i="3"/>
  <c r="N581" i="3"/>
  <c r="M581" i="3"/>
  <c r="L581" i="3"/>
  <c r="I581" i="3"/>
  <c r="O580" i="3"/>
  <c r="N580" i="3"/>
  <c r="M580" i="3"/>
  <c r="L580" i="3"/>
  <c r="I580" i="3"/>
  <c r="O579" i="3"/>
  <c r="N579" i="3"/>
  <c r="M579" i="3"/>
  <c r="L579" i="3"/>
  <c r="I579" i="3"/>
  <c r="O578" i="3"/>
  <c r="N578" i="3"/>
  <c r="M578" i="3"/>
  <c r="L578" i="3"/>
  <c r="I578" i="3"/>
  <c r="O577" i="3"/>
  <c r="N577" i="3"/>
  <c r="M577" i="3"/>
  <c r="L577" i="3"/>
  <c r="I577" i="3"/>
  <c r="O576" i="3"/>
  <c r="N576" i="3"/>
  <c r="M576" i="3"/>
  <c r="L576" i="3"/>
  <c r="I576" i="3"/>
  <c r="O575" i="3"/>
  <c r="N575" i="3"/>
  <c r="M575" i="3"/>
  <c r="L575" i="3"/>
  <c r="I575" i="3"/>
  <c r="O574" i="3"/>
  <c r="N574" i="3"/>
  <c r="M574" i="3"/>
  <c r="L574" i="3"/>
  <c r="I574" i="3"/>
  <c r="O573" i="3"/>
  <c r="N573" i="3"/>
  <c r="M573" i="3"/>
  <c r="L573" i="3"/>
  <c r="I573" i="3"/>
  <c r="O572" i="3"/>
  <c r="N572" i="3"/>
  <c r="M572" i="3"/>
  <c r="L572" i="3"/>
  <c r="I572" i="3"/>
  <c r="O571" i="3"/>
  <c r="N571" i="3"/>
  <c r="M571" i="3"/>
  <c r="L571" i="3"/>
  <c r="I571" i="3"/>
  <c r="O570" i="3"/>
  <c r="N570" i="3"/>
  <c r="M570" i="3"/>
  <c r="L570" i="3"/>
  <c r="I570" i="3"/>
  <c r="O569" i="3"/>
  <c r="N569" i="3"/>
  <c r="M569" i="3"/>
  <c r="L569" i="3"/>
  <c r="I569" i="3"/>
  <c r="O568" i="3"/>
  <c r="N568" i="3"/>
  <c r="M568" i="3"/>
  <c r="L568" i="3"/>
  <c r="I568" i="3"/>
  <c r="O567" i="3"/>
  <c r="N567" i="3"/>
  <c r="M567" i="3"/>
  <c r="L567" i="3"/>
  <c r="I567" i="3"/>
  <c r="O566" i="3"/>
  <c r="N566" i="3"/>
  <c r="M566" i="3"/>
  <c r="L566" i="3"/>
  <c r="I566" i="3"/>
  <c r="O565" i="3"/>
  <c r="N565" i="3"/>
  <c r="M565" i="3"/>
  <c r="L565" i="3"/>
  <c r="I565" i="3"/>
  <c r="O564" i="3"/>
  <c r="N564" i="3"/>
  <c r="M564" i="3"/>
  <c r="L564" i="3"/>
  <c r="I564" i="3"/>
  <c r="O563" i="3"/>
  <c r="N563" i="3"/>
  <c r="M563" i="3"/>
  <c r="L563" i="3"/>
  <c r="I563" i="3"/>
  <c r="O562" i="3"/>
  <c r="N562" i="3"/>
  <c r="M562" i="3"/>
  <c r="L562" i="3"/>
  <c r="I562" i="3"/>
  <c r="O561" i="3"/>
  <c r="N561" i="3"/>
  <c r="M561" i="3"/>
  <c r="L561" i="3"/>
  <c r="I561" i="3"/>
  <c r="O560" i="3"/>
  <c r="N560" i="3"/>
  <c r="M560" i="3"/>
  <c r="L560" i="3"/>
  <c r="I560" i="3"/>
  <c r="O559" i="3"/>
  <c r="N559" i="3"/>
  <c r="M559" i="3"/>
  <c r="L559" i="3"/>
  <c r="I559" i="3"/>
  <c r="O558" i="3"/>
  <c r="N558" i="3"/>
  <c r="M558" i="3"/>
  <c r="L558" i="3"/>
  <c r="I558" i="3"/>
  <c r="O557" i="3"/>
  <c r="N557" i="3"/>
  <c r="M557" i="3"/>
  <c r="L557" i="3"/>
  <c r="I557" i="3"/>
  <c r="O556" i="3"/>
  <c r="N556" i="3"/>
  <c r="M556" i="3"/>
  <c r="L556" i="3"/>
  <c r="I556" i="3"/>
  <c r="O555" i="3"/>
  <c r="N555" i="3"/>
  <c r="M555" i="3"/>
  <c r="L555" i="3"/>
  <c r="I555" i="3"/>
  <c r="O554" i="3"/>
  <c r="N554" i="3"/>
  <c r="M554" i="3"/>
  <c r="L554" i="3"/>
  <c r="I554" i="3"/>
  <c r="O553" i="3"/>
  <c r="N553" i="3"/>
  <c r="M553" i="3"/>
  <c r="L553" i="3"/>
  <c r="I553" i="3"/>
  <c r="O552" i="3"/>
  <c r="N552" i="3"/>
  <c r="M552" i="3"/>
  <c r="L552" i="3"/>
  <c r="I552" i="3"/>
  <c r="O551" i="3"/>
  <c r="N551" i="3"/>
  <c r="M551" i="3"/>
  <c r="L551" i="3"/>
  <c r="I551" i="3"/>
  <c r="O550" i="3"/>
  <c r="N550" i="3"/>
  <c r="M550" i="3"/>
  <c r="L550" i="3"/>
  <c r="I550" i="3"/>
  <c r="O549" i="3"/>
  <c r="N549" i="3"/>
  <c r="M549" i="3"/>
  <c r="L549" i="3"/>
  <c r="I549" i="3"/>
  <c r="O548" i="3"/>
  <c r="N548" i="3"/>
  <c r="M548" i="3"/>
  <c r="L548" i="3"/>
  <c r="I548" i="3"/>
  <c r="O547" i="3"/>
  <c r="N547" i="3"/>
  <c r="M547" i="3"/>
  <c r="L547" i="3"/>
  <c r="I547" i="3"/>
  <c r="O546" i="3"/>
  <c r="N546" i="3"/>
  <c r="M546" i="3"/>
  <c r="L546" i="3"/>
  <c r="I546" i="3"/>
  <c r="O545" i="3"/>
  <c r="N545" i="3"/>
  <c r="M545" i="3"/>
  <c r="L545" i="3"/>
  <c r="I545" i="3"/>
  <c r="O544" i="3"/>
  <c r="N544" i="3"/>
  <c r="M544" i="3"/>
  <c r="L544" i="3"/>
  <c r="I544" i="3"/>
  <c r="O543" i="3"/>
  <c r="N543" i="3"/>
  <c r="M543" i="3"/>
  <c r="L543" i="3"/>
  <c r="I543" i="3"/>
  <c r="O542" i="3"/>
  <c r="N542" i="3"/>
  <c r="M542" i="3"/>
  <c r="L542" i="3"/>
  <c r="I542" i="3"/>
  <c r="O541" i="3"/>
  <c r="N541" i="3"/>
  <c r="M541" i="3"/>
  <c r="L541" i="3"/>
  <c r="I541" i="3"/>
  <c r="O540" i="3"/>
  <c r="N540" i="3"/>
  <c r="M540" i="3"/>
  <c r="L540" i="3"/>
  <c r="I540" i="3"/>
  <c r="O539" i="3"/>
  <c r="N539" i="3"/>
  <c r="M539" i="3"/>
  <c r="L539" i="3"/>
  <c r="I539" i="3"/>
  <c r="O538" i="3"/>
  <c r="N538" i="3"/>
  <c r="M538" i="3"/>
  <c r="L538" i="3"/>
  <c r="I538" i="3"/>
  <c r="O537" i="3"/>
  <c r="N537" i="3"/>
  <c r="M537" i="3"/>
  <c r="L537" i="3"/>
  <c r="I537" i="3"/>
  <c r="O536" i="3"/>
  <c r="N536" i="3"/>
  <c r="M536" i="3"/>
  <c r="L536" i="3"/>
  <c r="I536" i="3"/>
  <c r="O535" i="3"/>
  <c r="N535" i="3"/>
  <c r="M535" i="3"/>
  <c r="L535" i="3"/>
  <c r="I535" i="3"/>
  <c r="O534" i="3"/>
  <c r="N534" i="3"/>
  <c r="M534" i="3"/>
  <c r="L534" i="3"/>
  <c r="I534" i="3"/>
  <c r="O533" i="3"/>
  <c r="N533" i="3"/>
  <c r="M533" i="3"/>
  <c r="L533" i="3"/>
  <c r="I533" i="3"/>
  <c r="O532" i="3"/>
  <c r="N532" i="3"/>
  <c r="M532" i="3"/>
  <c r="L532" i="3"/>
  <c r="I532" i="3"/>
  <c r="O531" i="3"/>
  <c r="N531" i="3"/>
  <c r="M531" i="3"/>
  <c r="L531" i="3"/>
  <c r="I531" i="3"/>
  <c r="O530" i="3"/>
  <c r="N530" i="3"/>
  <c r="M530" i="3"/>
  <c r="L530" i="3"/>
  <c r="I530" i="3"/>
  <c r="O529" i="3"/>
  <c r="N529" i="3"/>
  <c r="M529" i="3"/>
  <c r="L529" i="3"/>
  <c r="I529" i="3"/>
  <c r="O528" i="3"/>
  <c r="N528" i="3"/>
  <c r="M528" i="3"/>
  <c r="L528" i="3"/>
  <c r="I528" i="3"/>
  <c r="O527" i="3"/>
  <c r="N527" i="3"/>
  <c r="M527" i="3"/>
  <c r="L527" i="3"/>
  <c r="I527" i="3"/>
  <c r="O526" i="3"/>
  <c r="N526" i="3"/>
  <c r="M526" i="3"/>
  <c r="L526" i="3"/>
  <c r="I526" i="3"/>
  <c r="O525" i="3"/>
  <c r="N525" i="3"/>
  <c r="M525" i="3"/>
  <c r="L525" i="3"/>
  <c r="I525" i="3"/>
  <c r="O524" i="3"/>
  <c r="N524" i="3"/>
  <c r="M524" i="3"/>
  <c r="L524" i="3"/>
  <c r="I524" i="3"/>
  <c r="O523" i="3"/>
  <c r="N523" i="3"/>
  <c r="M523" i="3"/>
  <c r="L523" i="3"/>
  <c r="I523" i="3"/>
  <c r="O522" i="3"/>
  <c r="N522" i="3"/>
  <c r="M522" i="3"/>
  <c r="L522" i="3"/>
  <c r="I522" i="3"/>
  <c r="O521" i="3"/>
  <c r="N521" i="3"/>
  <c r="M521" i="3"/>
  <c r="L521" i="3"/>
  <c r="I521" i="3"/>
  <c r="O520" i="3"/>
  <c r="N520" i="3"/>
  <c r="M520" i="3"/>
  <c r="L520" i="3"/>
  <c r="I520" i="3"/>
  <c r="O519" i="3"/>
  <c r="N519" i="3"/>
  <c r="M519" i="3"/>
  <c r="L519" i="3"/>
  <c r="I519" i="3"/>
  <c r="O518" i="3"/>
  <c r="N518" i="3"/>
  <c r="M518" i="3"/>
  <c r="L518" i="3"/>
  <c r="I518" i="3"/>
  <c r="O517" i="3"/>
  <c r="N517" i="3"/>
  <c r="M517" i="3"/>
  <c r="L517" i="3"/>
  <c r="I517" i="3"/>
  <c r="O516" i="3"/>
  <c r="N516" i="3"/>
  <c r="M516" i="3"/>
  <c r="L516" i="3"/>
  <c r="I516" i="3"/>
  <c r="O515" i="3"/>
  <c r="N515" i="3"/>
  <c r="M515" i="3"/>
  <c r="L515" i="3"/>
  <c r="I515" i="3"/>
  <c r="O514" i="3"/>
  <c r="N514" i="3"/>
  <c r="M514" i="3"/>
  <c r="L514" i="3"/>
  <c r="I514" i="3"/>
  <c r="O513" i="3"/>
  <c r="N513" i="3"/>
  <c r="M513" i="3"/>
  <c r="L513" i="3"/>
  <c r="I513" i="3"/>
  <c r="O512" i="3"/>
  <c r="N512" i="3"/>
  <c r="M512" i="3"/>
  <c r="L512" i="3"/>
  <c r="I512" i="3"/>
  <c r="O511" i="3"/>
  <c r="N511" i="3"/>
  <c r="M511" i="3"/>
  <c r="L511" i="3"/>
  <c r="I511" i="3"/>
  <c r="O510" i="3"/>
  <c r="N510" i="3"/>
  <c r="M510" i="3"/>
  <c r="L510" i="3"/>
  <c r="I510" i="3"/>
  <c r="O509" i="3"/>
  <c r="N509" i="3"/>
  <c r="M509" i="3"/>
  <c r="L509" i="3"/>
  <c r="I509" i="3"/>
  <c r="O508" i="3"/>
  <c r="N508" i="3"/>
  <c r="M508" i="3"/>
  <c r="L508" i="3"/>
  <c r="I508" i="3"/>
  <c r="O507" i="3"/>
  <c r="N507" i="3"/>
  <c r="M507" i="3"/>
  <c r="L507" i="3"/>
  <c r="I507" i="3"/>
  <c r="O506" i="3"/>
  <c r="N506" i="3"/>
  <c r="M506" i="3"/>
  <c r="L506" i="3"/>
  <c r="I506" i="3"/>
  <c r="O505" i="3"/>
  <c r="N505" i="3"/>
  <c r="M505" i="3"/>
  <c r="L505" i="3"/>
  <c r="I505" i="3"/>
  <c r="O504" i="3"/>
  <c r="N504" i="3"/>
  <c r="M504" i="3"/>
  <c r="L504" i="3"/>
  <c r="I504" i="3"/>
  <c r="O503" i="3"/>
  <c r="N503" i="3"/>
  <c r="M503" i="3"/>
  <c r="L503" i="3"/>
  <c r="I503" i="3"/>
  <c r="O502" i="3"/>
  <c r="N502" i="3"/>
  <c r="M502" i="3"/>
  <c r="L502" i="3"/>
  <c r="I502" i="3"/>
  <c r="O501" i="3"/>
  <c r="N501" i="3"/>
  <c r="M501" i="3"/>
  <c r="L501" i="3"/>
  <c r="I501" i="3"/>
  <c r="O500" i="3"/>
  <c r="N500" i="3"/>
  <c r="M500" i="3"/>
  <c r="L500" i="3"/>
  <c r="I500" i="3"/>
  <c r="O499" i="3"/>
  <c r="N499" i="3"/>
  <c r="M499" i="3"/>
  <c r="L499" i="3"/>
  <c r="I499" i="3"/>
  <c r="O498" i="3"/>
  <c r="N498" i="3"/>
  <c r="M498" i="3"/>
  <c r="L498" i="3"/>
  <c r="I498" i="3"/>
  <c r="O497" i="3"/>
  <c r="N497" i="3"/>
  <c r="M497" i="3"/>
  <c r="L497" i="3"/>
  <c r="I497" i="3"/>
  <c r="O496" i="3"/>
  <c r="N496" i="3"/>
  <c r="M496" i="3"/>
  <c r="L496" i="3"/>
  <c r="I496" i="3"/>
  <c r="O495" i="3"/>
  <c r="N495" i="3"/>
  <c r="M495" i="3"/>
  <c r="L495" i="3"/>
  <c r="I495" i="3"/>
  <c r="O494" i="3"/>
  <c r="N494" i="3"/>
  <c r="M494" i="3"/>
  <c r="L494" i="3"/>
  <c r="I494" i="3"/>
  <c r="O493" i="3"/>
  <c r="N493" i="3"/>
  <c r="M493" i="3"/>
  <c r="L493" i="3"/>
  <c r="I493" i="3"/>
  <c r="O492" i="3"/>
  <c r="N492" i="3"/>
  <c r="M492" i="3"/>
  <c r="L492" i="3"/>
  <c r="I492" i="3"/>
  <c r="O491" i="3"/>
  <c r="N491" i="3"/>
  <c r="M491" i="3"/>
  <c r="L491" i="3"/>
  <c r="I491" i="3"/>
  <c r="O490" i="3"/>
  <c r="N490" i="3"/>
  <c r="M490" i="3"/>
  <c r="L490" i="3"/>
  <c r="I490" i="3"/>
  <c r="O489" i="3"/>
  <c r="N489" i="3"/>
  <c r="M489" i="3"/>
  <c r="L489" i="3"/>
  <c r="I489" i="3"/>
  <c r="O488" i="3"/>
  <c r="N488" i="3"/>
  <c r="M488" i="3"/>
  <c r="L488" i="3"/>
  <c r="I488" i="3"/>
  <c r="O487" i="3"/>
  <c r="N487" i="3"/>
  <c r="M487" i="3"/>
  <c r="L487" i="3"/>
  <c r="I487" i="3"/>
  <c r="O486" i="3"/>
  <c r="N486" i="3"/>
  <c r="M486" i="3"/>
  <c r="L486" i="3"/>
  <c r="I486" i="3"/>
  <c r="O485" i="3"/>
  <c r="N485" i="3"/>
  <c r="M485" i="3"/>
  <c r="L485" i="3"/>
  <c r="I485" i="3"/>
  <c r="O484" i="3"/>
  <c r="N484" i="3"/>
  <c r="M484" i="3"/>
  <c r="L484" i="3"/>
  <c r="I484" i="3"/>
  <c r="O483" i="3"/>
  <c r="N483" i="3"/>
  <c r="M483" i="3"/>
  <c r="L483" i="3"/>
  <c r="I483" i="3"/>
  <c r="O482" i="3"/>
  <c r="N482" i="3"/>
  <c r="M482" i="3"/>
  <c r="L482" i="3"/>
  <c r="I482" i="3"/>
  <c r="O481" i="3"/>
  <c r="N481" i="3"/>
  <c r="M481" i="3"/>
  <c r="L481" i="3"/>
  <c r="I481" i="3"/>
  <c r="O480" i="3"/>
  <c r="N480" i="3"/>
  <c r="M480" i="3"/>
  <c r="L480" i="3"/>
  <c r="I480" i="3"/>
  <c r="O479" i="3"/>
  <c r="N479" i="3"/>
  <c r="M479" i="3"/>
  <c r="L479" i="3"/>
  <c r="I479" i="3"/>
  <c r="O478" i="3"/>
  <c r="N478" i="3"/>
  <c r="M478" i="3"/>
  <c r="L478" i="3"/>
  <c r="I478" i="3"/>
  <c r="O477" i="3"/>
  <c r="N477" i="3"/>
  <c r="M477" i="3"/>
  <c r="L477" i="3"/>
  <c r="I477" i="3"/>
  <c r="O476" i="3"/>
  <c r="N476" i="3"/>
  <c r="M476" i="3"/>
  <c r="L476" i="3"/>
  <c r="I476" i="3"/>
  <c r="O475" i="3"/>
  <c r="N475" i="3"/>
  <c r="M475" i="3"/>
  <c r="L475" i="3"/>
  <c r="I475" i="3"/>
  <c r="O474" i="3"/>
  <c r="N474" i="3"/>
  <c r="M474" i="3"/>
  <c r="L474" i="3"/>
  <c r="I474" i="3"/>
  <c r="O473" i="3"/>
  <c r="N473" i="3"/>
  <c r="M473" i="3"/>
  <c r="L473" i="3"/>
  <c r="I473" i="3"/>
  <c r="O472" i="3"/>
  <c r="N472" i="3"/>
  <c r="M472" i="3"/>
  <c r="L472" i="3"/>
  <c r="I472" i="3"/>
  <c r="O471" i="3"/>
  <c r="N471" i="3"/>
  <c r="M471" i="3"/>
  <c r="L471" i="3"/>
  <c r="I471" i="3"/>
  <c r="O470" i="3"/>
  <c r="N470" i="3"/>
  <c r="M470" i="3"/>
  <c r="L470" i="3"/>
  <c r="I470" i="3"/>
  <c r="O469" i="3"/>
  <c r="N469" i="3"/>
  <c r="M469" i="3"/>
  <c r="L469" i="3"/>
  <c r="I469" i="3"/>
  <c r="O468" i="3"/>
  <c r="N468" i="3"/>
  <c r="M468" i="3"/>
  <c r="L468" i="3"/>
  <c r="I468" i="3"/>
  <c r="O467" i="3"/>
  <c r="N467" i="3"/>
  <c r="M467" i="3"/>
  <c r="L467" i="3"/>
  <c r="I467" i="3"/>
  <c r="O466" i="3"/>
  <c r="N466" i="3"/>
  <c r="M466" i="3"/>
  <c r="L466" i="3"/>
  <c r="I466" i="3"/>
  <c r="O465" i="3"/>
  <c r="N465" i="3"/>
  <c r="M465" i="3"/>
  <c r="L465" i="3"/>
  <c r="I465" i="3"/>
  <c r="O464" i="3"/>
  <c r="N464" i="3"/>
  <c r="M464" i="3"/>
  <c r="L464" i="3"/>
  <c r="I464" i="3"/>
  <c r="O463" i="3"/>
  <c r="N463" i="3"/>
  <c r="M463" i="3"/>
  <c r="L463" i="3"/>
  <c r="I463" i="3"/>
  <c r="O462" i="3"/>
  <c r="N462" i="3"/>
  <c r="M462" i="3"/>
  <c r="L462" i="3"/>
  <c r="I462" i="3"/>
  <c r="O461" i="3"/>
  <c r="N461" i="3"/>
  <c r="M461" i="3"/>
  <c r="L461" i="3"/>
  <c r="I461" i="3"/>
  <c r="O460" i="3"/>
  <c r="N460" i="3"/>
  <c r="M460" i="3"/>
  <c r="L460" i="3"/>
  <c r="I460" i="3"/>
  <c r="O459" i="3"/>
  <c r="N459" i="3"/>
  <c r="M459" i="3"/>
  <c r="L459" i="3"/>
  <c r="I459" i="3"/>
  <c r="O458" i="3"/>
  <c r="N458" i="3"/>
  <c r="M458" i="3"/>
  <c r="L458" i="3"/>
  <c r="I458" i="3"/>
  <c r="O457" i="3"/>
  <c r="N457" i="3"/>
  <c r="M457" i="3"/>
  <c r="L457" i="3"/>
  <c r="I457" i="3"/>
  <c r="O456" i="3"/>
  <c r="N456" i="3"/>
  <c r="M456" i="3"/>
  <c r="L456" i="3"/>
  <c r="I456" i="3"/>
  <c r="O455" i="3"/>
  <c r="N455" i="3"/>
  <c r="M455" i="3"/>
  <c r="L455" i="3"/>
  <c r="I455" i="3"/>
  <c r="O454" i="3"/>
  <c r="N454" i="3"/>
  <c r="M454" i="3"/>
  <c r="L454" i="3"/>
  <c r="I454" i="3"/>
  <c r="O453" i="3"/>
  <c r="N453" i="3"/>
  <c r="M453" i="3"/>
  <c r="L453" i="3"/>
  <c r="I453" i="3"/>
  <c r="O452" i="3"/>
  <c r="N452" i="3"/>
  <c r="M452" i="3"/>
  <c r="L452" i="3"/>
  <c r="I452" i="3"/>
  <c r="O451" i="3"/>
  <c r="N451" i="3"/>
  <c r="M451" i="3"/>
  <c r="L451" i="3"/>
  <c r="I451" i="3"/>
  <c r="O450" i="3"/>
  <c r="N450" i="3"/>
  <c r="M450" i="3"/>
  <c r="L450" i="3"/>
  <c r="I450" i="3"/>
  <c r="O449" i="3"/>
  <c r="N449" i="3"/>
  <c r="M449" i="3"/>
  <c r="L449" i="3"/>
  <c r="I449" i="3"/>
  <c r="O448" i="3"/>
  <c r="N448" i="3"/>
  <c r="M448" i="3"/>
  <c r="L448" i="3"/>
  <c r="I448" i="3"/>
  <c r="O447" i="3"/>
  <c r="N447" i="3"/>
  <c r="M447" i="3"/>
  <c r="L447" i="3"/>
  <c r="I447" i="3"/>
  <c r="O446" i="3"/>
  <c r="N446" i="3"/>
  <c r="M446" i="3"/>
  <c r="L446" i="3"/>
  <c r="I446" i="3"/>
  <c r="O445" i="3"/>
  <c r="N445" i="3"/>
  <c r="M445" i="3"/>
  <c r="L445" i="3"/>
  <c r="I445" i="3"/>
  <c r="O444" i="3"/>
  <c r="N444" i="3"/>
  <c r="M444" i="3"/>
  <c r="L444" i="3"/>
  <c r="I444" i="3"/>
  <c r="O443" i="3"/>
  <c r="N443" i="3"/>
  <c r="M443" i="3"/>
  <c r="L443" i="3"/>
  <c r="I443" i="3"/>
  <c r="O442" i="3"/>
  <c r="N442" i="3"/>
  <c r="M442" i="3"/>
  <c r="L442" i="3"/>
  <c r="I442" i="3"/>
  <c r="O441" i="3"/>
  <c r="N441" i="3"/>
  <c r="M441" i="3"/>
  <c r="L441" i="3"/>
  <c r="I441" i="3"/>
  <c r="O440" i="3"/>
  <c r="N440" i="3"/>
  <c r="M440" i="3"/>
  <c r="L440" i="3"/>
  <c r="I440" i="3"/>
  <c r="O439" i="3"/>
  <c r="N439" i="3"/>
  <c r="M439" i="3"/>
  <c r="L439" i="3"/>
  <c r="I439" i="3"/>
  <c r="O438" i="3"/>
  <c r="N438" i="3"/>
  <c r="M438" i="3"/>
  <c r="L438" i="3"/>
  <c r="I438" i="3"/>
  <c r="O437" i="3"/>
  <c r="N437" i="3"/>
  <c r="M437" i="3"/>
  <c r="L437" i="3"/>
  <c r="I437" i="3"/>
  <c r="O436" i="3"/>
  <c r="N436" i="3"/>
  <c r="M436" i="3"/>
  <c r="L436" i="3"/>
  <c r="I436" i="3"/>
  <c r="O435" i="3"/>
  <c r="N435" i="3"/>
  <c r="M435" i="3"/>
  <c r="L435" i="3"/>
  <c r="I435" i="3"/>
  <c r="O434" i="3"/>
  <c r="N434" i="3"/>
  <c r="M434" i="3"/>
  <c r="L434" i="3"/>
  <c r="I434" i="3"/>
  <c r="O433" i="3"/>
  <c r="N433" i="3"/>
  <c r="M433" i="3"/>
  <c r="L433" i="3"/>
  <c r="I433" i="3"/>
  <c r="O432" i="3"/>
  <c r="N432" i="3"/>
  <c r="M432" i="3"/>
  <c r="L432" i="3"/>
  <c r="I432" i="3"/>
  <c r="O431" i="3"/>
  <c r="N431" i="3"/>
  <c r="M431" i="3"/>
  <c r="L431" i="3"/>
  <c r="I431" i="3"/>
  <c r="O430" i="3"/>
  <c r="N430" i="3"/>
  <c r="M430" i="3"/>
  <c r="L430" i="3"/>
  <c r="I430" i="3"/>
  <c r="O429" i="3"/>
  <c r="N429" i="3"/>
  <c r="M429" i="3"/>
  <c r="L429" i="3"/>
  <c r="I429" i="3"/>
  <c r="O428" i="3"/>
  <c r="N428" i="3"/>
  <c r="M428" i="3"/>
  <c r="L428" i="3"/>
  <c r="I428" i="3"/>
  <c r="O427" i="3"/>
  <c r="N427" i="3"/>
  <c r="M427" i="3"/>
  <c r="L427" i="3"/>
  <c r="I427" i="3"/>
  <c r="O426" i="3"/>
  <c r="N426" i="3"/>
  <c r="M426" i="3"/>
  <c r="L426" i="3"/>
  <c r="I426" i="3"/>
  <c r="O425" i="3"/>
  <c r="N425" i="3"/>
  <c r="M425" i="3"/>
  <c r="L425" i="3"/>
  <c r="I425" i="3"/>
  <c r="O424" i="3"/>
  <c r="N424" i="3"/>
  <c r="M424" i="3"/>
  <c r="L424" i="3"/>
  <c r="I424" i="3"/>
  <c r="O423" i="3"/>
  <c r="N423" i="3"/>
  <c r="M423" i="3"/>
  <c r="L423" i="3"/>
  <c r="I423" i="3"/>
  <c r="O422" i="3"/>
  <c r="N422" i="3"/>
  <c r="M422" i="3"/>
  <c r="L422" i="3"/>
  <c r="I422" i="3"/>
  <c r="O421" i="3"/>
  <c r="N421" i="3"/>
  <c r="M421" i="3"/>
  <c r="L421" i="3"/>
  <c r="I421" i="3"/>
  <c r="O420" i="3"/>
  <c r="N420" i="3"/>
  <c r="M420" i="3"/>
  <c r="L420" i="3"/>
  <c r="I420" i="3"/>
  <c r="O419" i="3"/>
  <c r="N419" i="3"/>
  <c r="M419" i="3"/>
  <c r="L419" i="3"/>
  <c r="I419" i="3"/>
  <c r="O418" i="3"/>
  <c r="N418" i="3"/>
  <c r="M418" i="3"/>
  <c r="L418" i="3"/>
  <c r="I418" i="3"/>
  <c r="O417" i="3"/>
  <c r="N417" i="3"/>
  <c r="M417" i="3"/>
  <c r="L417" i="3"/>
  <c r="I417" i="3"/>
  <c r="O416" i="3"/>
  <c r="N416" i="3"/>
  <c r="M416" i="3"/>
  <c r="L416" i="3"/>
  <c r="I416" i="3"/>
  <c r="O415" i="3"/>
  <c r="N415" i="3"/>
  <c r="M415" i="3"/>
  <c r="L415" i="3"/>
  <c r="I415" i="3"/>
  <c r="O414" i="3"/>
  <c r="N414" i="3"/>
  <c r="M414" i="3"/>
  <c r="L414" i="3"/>
  <c r="I414" i="3"/>
  <c r="O413" i="3"/>
  <c r="N413" i="3"/>
  <c r="M413" i="3"/>
  <c r="L413" i="3"/>
  <c r="I413" i="3"/>
  <c r="O412" i="3"/>
  <c r="N412" i="3"/>
  <c r="M412" i="3"/>
  <c r="L412" i="3"/>
  <c r="I412" i="3"/>
  <c r="O411" i="3"/>
  <c r="N411" i="3"/>
  <c r="M411" i="3"/>
  <c r="L411" i="3"/>
  <c r="I411" i="3"/>
  <c r="O410" i="3"/>
  <c r="N410" i="3"/>
  <c r="M410" i="3"/>
  <c r="L410" i="3"/>
  <c r="I410" i="3"/>
  <c r="O409" i="3"/>
  <c r="N409" i="3"/>
  <c r="M409" i="3"/>
  <c r="L409" i="3"/>
  <c r="I409" i="3"/>
  <c r="O408" i="3"/>
  <c r="N408" i="3"/>
  <c r="M408" i="3"/>
  <c r="L408" i="3"/>
  <c r="I408" i="3"/>
  <c r="O407" i="3"/>
  <c r="N407" i="3"/>
  <c r="M407" i="3"/>
  <c r="L407" i="3"/>
  <c r="I407" i="3"/>
  <c r="O406" i="3"/>
  <c r="N406" i="3"/>
  <c r="M406" i="3"/>
  <c r="L406" i="3"/>
  <c r="I406" i="3"/>
  <c r="O405" i="3"/>
  <c r="N405" i="3"/>
  <c r="M405" i="3"/>
  <c r="L405" i="3"/>
  <c r="I405" i="3"/>
  <c r="O404" i="3"/>
  <c r="N404" i="3"/>
  <c r="M404" i="3"/>
  <c r="L404" i="3"/>
  <c r="I404" i="3"/>
  <c r="O403" i="3"/>
  <c r="N403" i="3"/>
  <c r="M403" i="3"/>
  <c r="L403" i="3"/>
  <c r="I403" i="3"/>
  <c r="O402" i="3"/>
  <c r="N402" i="3"/>
  <c r="M402" i="3"/>
  <c r="L402" i="3"/>
  <c r="I402" i="3"/>
  <c r="O401" i="3"/>
  <c r="N401" i="3"/>
  <c r="M401" i="3"/>
  <c r="L401" i="3"/>
  <c r="I401" i="3"/>
  <c r="O400" i="3"/>
  <c r="N400" i="3"/>
  <c r="M400" i="3"/>
  <c r="L400" i="3"/>
  <c r="I400" i="3"/>
  <c r="O399" i="3"/>
  <c r="N399" i="3"/>
  <c r="M399" i="3"/>
  <c r="L399" i="3"/>
  <c r="I399" i="3"/>
  <c r="O398" i="3"/>
  <c r="N398" i="3"/>
  <c r="M398" i="3"/>
  <c r="L398" i="3"/>
  <c r="I398" i="3"/>
  <c r="O397" i="3"/>
  <c r="N397" i="3"/>
  <c r="M397" i="3"/>
  <c r="L397" i="3"/>
  <c r="I397" i="3"/>
  <c r="O396" i="3"/>
  <c r="N396" i="3"/>
  <c r="M396" i="3"/>
  <c r="L396" i="3"/>
  <c r="I396" i="3"/>
  <c r="O395" i="3"/>
  <c r="N395" i="3"/>
  <c r="M395" i="3"/>
  <c r="L395" i="3"/>
  <c r="I395" i="3"/>
  <c r="O394" i="3"/>
  <c r="N394" i="3"/>
  <c r="M394" i="3"/>
  <c r="L394" i="3"/>
  <c r="I394" i="3"/>
  <c r="O393" i="3"/>
  <c r="N393" i="3"/>
  <c r="M393" i="3"/>
  <c r="L393" i="3"/>
  <c r="I393" i="3"/>
  <c r="O392" i="3"/>
  <c r="N392" i="3"/>
  <c r="M392" i="3"/>
  <c r="L392" i="3"/>
  <c r="I392" i="3"/>
  <c r="O391" i="3"/>
  <c r="N391" i="3"/>
  <c r="M391" i="3"/>
  <c r="L391" i="3"/>
  <c r="I391" i="3"/>
  <c r="O390" i="3"/>
  <c r="N390" i="3"/>
  <c r="M390" i="3"/>
  <c r="L390" i="3"/>
  <c r="I390" i="3"/>
  <c r="O389" i="3"/>
  <c r="N389" i="3"/>
  <c r="M389" i="3"/>
  <c r="L389" i="3"/>
  <c r="I389" i="3"/>
  <c r="O388" i="3"/>
  <c r="N388" i="3"/>
  <c r="M388" i="3"/>
  <c r="L388" i="3"/>
  <c r="I388" i="3"/>
  <c r="O387" i="3"/>
  <c r="N387" i="3"/>
  <c r="M387" i="3"/>
  <c r="L387" i="3"/>
  <c r="I387" i="3"/>
  <c r="O386" i="3"/>
  <c r="N386" i="3"/>
  <c r="M386" i="3"/>
  <c r="L386" i="3"/>
  <c r="I386" i="3"/>
  <c r="O385" i="3"/>
  <c r="N385" i="3"/>
  <c r="M385" i="3"/>
  <c r="L385" i="3"/>
  <c r="I385" i="3"/>
  <c r="O384" i="3"/>
  <c r="N384" i="3"/>
  <c r="M384" i="3"/>
  <c r="L384" i="3"/>
  <c r="I384" i="3"/>
  <c r="O383" i="3"/>
  <c r="N383" i="3"/>
  <c r="M383" i="3"/>
  <c r="L383" i="3"/>
  <c r="I383" i="3"/>
  <c r="O382" i="3"/>
  <c r="N382" i="3"/>
  <c r="M382" i="3"/>
  <c r="L382" i="3"/>
  <c r="I382" i="3"/>
  <c r="O381" i="3"/>
  <c r="N381" i="3"/>
  <c r="M381" i="3"/>
  <c r="L381" i="3"/>
  <c r="I381" i="3"/>
  <c r="O380" i="3"/>
  <c r="N380" i="3"/>
  <c r="M380" i="3"/>
  <c r="L380" i="3"/>
  <c r="I380" i="3"/>
  <c r="O379" i="3"/>
  <c r="N379" i="3"/>
  <c r="M379" i="3"/>
  <c r="L379" i="3"/>
  <c r="I379" i="3"/>
  <c r="O378" i="3"/>
  <c r="N378" i="3"/>
  <c r="M378" i="3"/>
  <c r="L378" i="3"/>
  <c r="I378" i="3"/>
  <c r="O377" i="3"/>
  <c r="N377" i="3"/>
  <c r="M377" i="3"/>
  <c r="L377" i="3"/>
  <c r="I377" i="3"/>
  <c r="O376" i="3"/>
  <c r="N376" i="3"/>
  <c r="M376" i="3"/>
  <c r="L376" i="3"/>
  <c r="I376" i="3"/>
  <c r="O375" i="3"/>
  <c r="N375" i="3"/>
  <c r="M375" i="3"/>
  <c r="L375" i="3"/>
  <c r="I375" i="3"/>
  <c r="O374" i="3"/>
  <c r="N374" i="3"/>
  <c r="M374" i="3"/>
  <c r="L374" i="3"/>
  <c r="I374" i="3"/>
  <c r="O373" i="3"/>
  <c r="N373" i="3"/>
  <c r="M373" i="3"/>
  <c r="L373" i="3"/>
  <c r="I373" i="3"/>
  <c r="O372" i="3"/>
  <c r="N372" i="3"/>
  <c r="M372" i="3"/>
  <c r="L372" i="3"/>
  <c r="I372" i="3"/>
  <c r="O371" i="3"/>
  <c r="N371" i="3"/>
  <c r="M371" i="3"/>
  <c r="L371" i="3"/>
  <c r="I371" i="3"/>
  <c r="O370" i="3"/>
  <c r="N370" i="3"/>
  <c r="M370" i="3"/>
  <c r="L370" i="3"/>
  <c r="I370" i="3"/>
  <c r="O369" i="3"/>
  <c r="N369" i="3"/>
  <c r="M369" i="3"/>
  <c r="L369" i="3"/>
  <c r="I369" i="3"/>
  <c r="O368" i="3"/>
  <c r="N368" i="3"/>
  <c r="M368" i="3"/>
  <c r="L368" i="3"/>
  <c r="I368" i="3"/>
  <c r="O367" i="3"/>
  <c r="N367" i="3"/>
  <c r="M367" i="3"/>
  <c r="L367" i="3"/>
  <c r="I367" i="3"/>
  <c r="O366" i="3"/>
  <c r="N366" i="3"/>
  <c r="M366" i="3"/>
  <c r="L366" i="3"/>
  <c r="I366" i="3"/>
  <c r="O365" i="3"/>
  <c r="N365" i="3"/>
  <c r="M365" i="3"/>
  <c r="L365" i="3"/>
  <c r="I365" i="3"/>
  <c r="O364" i="3"/>
  <c r="N364" i="3"/>
  <c r="M364" i="3"/>
  <c r="L364" i="3"/>
  <c r="I364" i="3"/>
  <c r="O363" i="3"/>
  <c r="N363" i="3"/>
  <c r="M363" i="3"/>
  <c r="L363" i="3"/>
  <c r="I363" i="3"/>
  <c r="O362" i="3"/>
  <c r="N362" i="3"/>
  <c r="M362" i="3"/>
  <c r="L362" i="3"/>
  <c r="I362" i="3"/>
  <c r="O361" i="3"/>
  <c r="N361" i="3"/>
  <c r="M361" i="3"/>
  <c r="L361" i="3"/>
  <c r="I361" i="3"/>
  <c r="O360" i="3"/>
  <c r="N360" i="3"/>
  <c r="M360" i="3"/>
  <c r="L360" i="3"/>
  <c r="I360" i="3"/>
  <c r="O359" i="3"/>
  <c r="N359" i="3"/>
  <c r="M359" i="3"/>
  <c r="L359" i="3"/>
  <c r="I359" i="3"/>
  <c r="O358" i="3"/>
  <c r="N358" i="3"/>
  <c r="M358" i="3"/>
  <c r="L358" i="3"/>
  <c r="I358" i="3"/>
  <c r="O357" i="3"/>
  <c r="N357" i="3"/>
  <c r="M357" i="3"/>
  <c r="L357" i="3"/>
  <c r="I357" i="3"/>
  <c r="O356" i="3"/>
  <c r="N356" i="3"/>
  <c r="M356" i="3"/>
  <c r="L356" i="3"/>
  <c r="I356" i="3"/>
  <c r="O355" i="3"/>
  <c r="N355" i="3"/>
  <c r="M355" i="3"/>
  <c r="L355" i="3"/>
  <c r="I355" i="3"/>
  <c r="O354" i="3"/>
  <c r="N354" i="3"/>
  <c r="M354" i="3"/>
  <c r="L354" i="3"/>
  <c r="I354" i="3"/>
  <c r="O353" i="3"/>
  <c r="N353" i="3"/>
  <c r="M353" i="3"/>
  <c r="L353" i="3"/>
  <c r="I353" i="3"/>
  <c r="O352" i="3"/>
  <c r="N352" i="3"/>
  <c r="M352" i="3"/>
  <c r="L352" i="3"/>
  <c r="I352" i="3"/>
  <c r="O351" i="3"/>
  <c r="N351" i="3"/>
  <c r="M351" i="3"/>
  <c r="L351" i="3"/>
  <c r="I351" i="3"/>
  <c r="O350" i="3"/>
  <c r="N350" i="3"/>
  <c r="M350" i="3"/>
  <c r="L350" i="3"/>
  <c r="I350" i="3"/>
  <c r="O349" i="3"/>
  <c r="N349" i="3"/>
  <c r="M349" i="3"/>
  <c r="L349" i="3"/>
  <c r="I349" i="3"/>
  <c r="O348" i="3"/>
  <c r="N348" i="3"/>
  <c r="M348" i="3"/>
  <c r="L348" i="3"/>
  <c r="I348" i="3"/>
  <c r="O347" i="3"/>
  <c r="N347" i="3"/>
  <c r="M347" i="3"/>
  <c r="L347" i="3"/>
  <c r="I347" i="3"/>
  <c r="O346" i="3"/>
  <c r="N346" i="3"/>
  <c r="M346" i="3"/>
  <c r="L346" i="3"/>
  <c r="I346" i="3"/>
  <c r="O345" i="3"/>
  <c r="N345" i="3"/>
  <c r="M345" i="3"/>
  <c r="L345" i="3"/>
  <c r="I345" i="3"/>
  <c r="O344" i="3"/>
  <c r="N344" i="3"/>
  <c r="M344" i="3"/>
  <c r="L344" i="3"/>
  <c r="I344" i="3"/>
  <c r="O343" i="3"/>
  <c r="N343" i="3"/>
  <c r="M343" i="3"/>
  <c r="L343" i="3"/>
  <c r="I343" i="3"/>
  <c r="O342" i="3"/>
  <c r="N342" i="3"/>
  <c r="M342" i="3"/>
  <c r="L342" i="3"/>
  <c r="I342" i="3"/>
  <c r="O341" i="3"/>
  <c r="N341" i="3"/>
  <c r="M341" i="3"/>
  <c r="L341" i="3"/>
  <c r="I341" i="3"/>
  <c r="O340" i="3"/>
  <c r="N340" i="3"/>
  <c r="M340" i="3"/>
  <c r="L340" i="3"/>
  <c r="I340" i="3"/>
  <c r="O339" i="3"/>
  <c r="N339" i="3"/>
  <c r="M339" i="3"/>
  <c r="L339" i="3"/>
  <c r="I339" i="3"/>
  <c r="O338" i="3"/>
  <c r="N338" i="3"/>
  <c r="M338" i="3"/>
  <c r="L338" i="3"/>
  <c r="I338" i="3"/>
  <c r="O337" i="3"/>
  <c r="N337" i="3"/>
  <c r="M337" i="3"/>
  <c r="L337" i="3"/>
  <c r="I337" i="3"/>
  <c r="O336" i="3"/>
  <c r="N336" i="3"/>
  <c r="M336" i="3"/>
  <c r="L336" i="3"/>
  <c r="I336" i="3"/>
  <c r="O335" i="3"/>
  <c r="N335" i="3"/>
  <c r="M335" i="3"/>
  <c r="L335" i="3"/>
  <c r="I335" i="3"/>
  <c r="O334" i="3"/>
  <c r="N334" i="3"/>
  <c r="M334" i="3"/>
  <c r="L334" i="3"/>
  <c r="I334" i="3"/>
  <c r="O333" i="3"/>
  <c r="N333" i="3"/>
  <c r="M333" i="3"/>
  <c r="L333" i="3"/>
  <c r="I333" i="3"/>
  <c r="O332" i="3"/>
  <c r="N332" i="3"/>
  <c r="M332" i="3"/>
  <c r="L332" i="3"/>
  <c r="I332" i="3"/>
  <c r="O331" i="3"/>
  <c r="N331" i="3"/>
  <c r="M331" i="3"/>
  <c r="L331" i="3"/>
  <c r="I331" i="3"/>
  <c r="O330" i="3"/>
  <c r="N330" i="3"/>
  <c r="M330" i="3"/>
  <c r="L330" i="3"/>
  <c r="I330" i="3"/>
  <c r="O329" i="3"/>
  <c r="N329" i="3"/>
  <c r="M329" i="3"/>
  <c r="L329" i="3"/>
  <c r="I329" i="3"/>
  <c r="O328" i="3"/>
  <c r="N328" i="3"/>
  <c r="M328" i="3"/>
  <c r="L328" i="3"/>
  <c r="I328" i="3"/>
  <c r="O327" i="3"/>
  <c r="N327" i="3"/>
  <c r="M327" i="3"/>
  <c r="L327" i="3"/>
  <c r="I327" i="3"/>
  <c r="O326" i="3"/>
  <c r="N326" i="3"/>
  <c r="M326" i="3"/>
  <c r="L326" i="3"/>
  <c r="I326" i="3"/>
  <c r="O325" i="3"/>
  <c r="N325" i="3"/>
  <c r="M325" i="3"/>
  <c r="L325" i="3"/>
  <c r="I325" i="3"/>
  <c r="O324" i="3"/>
  <c r="N324" i="3"/>
  <c r="M324" i="3"/>
  <c r="L324" i="3"/>
  <c r="I324" i="3"/>
  <c r="O323" i="3"/>
  <c r="N323" i="3"/>
  <c r="M323" i="3"/>
  <c r="L323" i="3"/>
  <c r="I323" i="3"/>
  <c r="O322" i="3"/>
  <c r="N322" i="3"/>
  <c r="M322" i="3"/>
  <c r="L322" i="3"/>
  <c r="I322" i="3"/>
  <c r="O321" i="3"/>
  <c r="N321" i="3"/>
  <c r="M321" i="3"/>
  <c r="L321" i="3"/>
  <c r="I321" i="3"/>
  <c r="O320" i="3"/>
  <c r="N320" i="3"/>
  <c r="M320" i="3"/>
  <c r="L320" i="3"/>
  <c r="I320" i="3"/>
  <c r="O319" i="3"/>
  <c r="N319" i="3"/>
  <c r="M319" i="3"/>
  <c r="L319" i="3"/>
  <c r="I319" i="3"/>
  <c r="O318" i="3"/>
  <c r="N318" i="3"/>
  <c r="M318" i="3"/>
  <c r="L318" i="3"/>
  <c r="I318" i="3"/>
  <c r="O317" i="3"/>
  <c r="N317" i="3"/>
  <c r="M317" i="3"/>
  <c r="L317" i="3"/>
  <c r="I317" i="3"/>
  <c r="O316" i="3"/>
  <c r="N316" i="3"/>
  <c r="M316" i="3"/>
  <c r="L316" i="3"/>
  <c r="I316" i="3"/>
  <c r="O315" i="3"/>
  <c r="N315" i="3"/>
  <c r="M315" i="3"/>
  <c r="L315" i="3"/>
  <c r="I315" i="3"/>
  <c r="O314" i="3"/>
  <c r="N314" i="3"/>
  <c r="M314" i="3"/>
  <c r="L314" i="3"/>
  <c r="I314" i="3"/>
  <c r="O313" i="3"/>
  <c r="N313" i="3"/>
  <c r="M313" i="3"/>
  <c r="L313" i="3"/>
  <c r="I313" i="3"/>
  <c r="O312" i="3"/>
  <c r="N312" i="3"/>
  <c r="M312" i="3"/>
  <c r="L312" i="3"/>
  <c r="I312" i="3"/>
  <c r="O311" i="3"/>
  <c r="N311" i="3"/>
  <c r="M311" i="3"/>
  <c r="L311" i="3"/>
  <c r="I311" i="3"/>
  <c r="O310" i="3"/>
  <c r="N310" i="3"/>
  <c r="M310" i="3"/>
  <c r="L310" i="3"/>
  <c r="I310" i="3"/>
  <c r="O309" i="3"/>
  <c r="N309" i="3"/>
  <c r="M309" i="3"/>
  <c r="L309" i="3"/>
  <c r="I309" i="3"/>
  <c r="O308" i="3"/>
  <c r="N308" i="3"/>
  <c r="M308" i="3"/>
  <c r="L308" i="3"/>
  <c r="I308" i="3"/>
  <c r="O307" i="3"/>
  <c r="N307" i="3"/>
  <c r="M307" i="3"/>
  <c r="L307" i="3"/>
  <c r="I307" i="3"/>
  <c r="O306" i="3"/>
  <c r="N306" i="3"/>
  <c r="M306" i="3"/>
  <c r="L306" i="3"/>
  <c r="I306" i="3"/>
  <c r="O305" i="3"/>
  <c r="N305" i="3"/>
  <c r="M305" i="3"/>
  <c r="L305" i="3"/>
  <c r="I305" i="3"/>
  <c r="O304" i="3"/>
  <c r="N304" i="3"/>
  <c r="M304" i="3"/>
  <c r="L304" i="3"/>
  <c r="I304" i="3"/>
  <c r="O303" i="3"/>
  <c r="N303" i="3"/>
  <c r="M303" i="3"/>
  <c r="L303" i="3"/>
  <c r="I303" i="3"/>
  <c r="O302" i="3"/>
  <c r="N302" i="3"/>
  <c r="M302" i="3"/>
  <c r="L302" i="3"/>
  <c r="I302" i="3"/>
  <c r="O301" i="3"/>
  <c r="N301" i="3"/>
  <c r="M301" i="3"/>
  <c r="L301" i="3"/>
  <c r="I301" i="3"/>
  <c r="O300" i="3"/>
  <c r="N300" i="3"/>
  <c r="M300" i="3"/>
  <c r="L300" i="3"/>
  <c r="I300" i="3"/>
  <c r="O299" i="3"/>
  <c r="N299" i="3"/>
  <c r="M299" i="3"/>
  <c r="L299" i="3"/>
  <c r="I299" i="3"/>
  <c r="O298" i="3"/>
  <c r="N298" i="3"/>
  <c r="M298" i="3"/>
  <c r="L298" i="3"/>
  <c r="I298" i="3"/>
  <c r="O297" i="3"/>
  <c r="N297" i="3"/>
  <c r="M297" i="3"/>
  <c r="L297" i="3"/>
  <c r="I297" i="3"/>
  <c r="O296" i="3"/>
  <c r="N296" i="3"/>
  <c r="M296" i="3"/>
  <c r="L296" i="3"/>
  <c r="I296" i="3"/>
  <c r="O295" i="3"/>
  <c r="N295" i="3"/>
  <c r="M295" i="3"/>
  <c r="L295" i="3"/>
  <c r="I295" i="3"/>
  <c r="O294" i="3"/>
  <c r="N294" i="3"/>
  <c r="M294" i="3"/>
  <c r="L294" i="3"/>
  <c r="I294" i="3"/>
  <c r="O293" i="3"/>
  <c r="N293" i="3"/>
  <c r="M293" i="3"/>
  <c r="L293" i="3"/>
  <c r="I293" i="3"/>
  <c r="O292" i="3"/>
  <c r="N292" i="3"/>
  <c r="M292" i="3"/>
  <c r="L292" i="3"/>
  <c r="I292" i="3"/>
  <c r="O291" i="3"/>
  <c r="N291" i="3"/>
  <c r="M291" i="3"/>
  <c r="L291" i="3"/>
  <c r="I291" i="3"/>
  <c r="O290" i="3"/>
  <c r="N290" i="3"/>
  <c r="M290" i="3"/>
  <c r="L290" i="3"/>
  <c r="I290" i="3"/>
  <c r="O289" i="3"/>
  <c r="N289" i="3"/>
  <c r="M289" i="3"/>
  <c r="L289" i="3"/>
  <c r="I289" i="3"/>
  <c r="O288" i="3"/>
  <c r="N288" i="3"/>
  <c r="M288" i="3"/>
  <c r="L288" i="3"/>
  <c r="I288" i="3"/>
  <c r="O287" i="3"/>
  <c r="N287" i="3"/>
  <c r="M287" i="3"/>
  <c r="L287" i="3"/>
  <c r="I287" i="3"/>
  <c r="O286" i="3"/>
  <c r="N286" i="3"/>
  <c r="M286" i="3"/>
  <c r="L286" i="3"/>
  <c r="I286" i="3"/>
  <c r="O285" i="3"/>
  <c r="N285" i="3"/>
  <c r="M285" i="3"/>
  <c r="L285" i="3"/>
  <c r="I285" i="3"/>
  <c r="O284" i="3"/>
  <c r="N284" i="3"/>
  <c r="M284" i="3"/>
  <c r="L284" i="3"/>
  <c r="I284" i="3"/>
  <c r="O283" i="3"/>
  <c r="N283" i="3"/>
  <c r="M283" i="3"/>
  <c r="L283" i="3"/>
  <c r="I283" i="3"/>
  <c r="O282" i="3"/>
  <c r="N282" i="3"/>
  <c r="M282" i="3"/>
  <c r="L282" i="3"/>
  <c r="I282" i="3"/>
  <c r="O281" i="3"/>
  <c r="N281" i="3"/>
  <c r="M281" i="3"/>
  <c r="L281" i="3"/>
  <c r="I281" i="3"/>
  <c r="O280" i="3"/>
  <c r="N280" i="3"/>
  <c r="M280" i="3"/>
  <c r="L280" i="3"/>
  <c r="I280" i="3"/>
  <c r="O279" i="3"/>
  <c r="N279" i="3"/>
  <c r="M279" i="3"/>
  <c r="L279" i="3"/>
  <c r="I279" i="3"/>
  <c r="O278" i="3"/>
  <c r="N278" i="3"/>
  <c r="M278" i="3"/>
  <c r="L278" i="3"/>
  <c r="I278" i="3"/>
  <c r="O277" i="3"/>
  <c r="N277" i="3"/>
  <c r="M277" i="3"/>
  <c r="L277" i="3"/>
  <c r="I277" i="3"/>
  <c r="O276" i="3"/>
  <c r="N276" i="3"/>
  <c r="M276" i="3"/>
  <c r="L276" i="3"/>
  <c r="I276" i="3"/>
  <c r="O275" i="3"/>
  <c r="N275" i="3"/>
  <c r="M275" i="3"/>
  <c r="L275" i="3"/>
  <c r="I275" i="3"/>
  <c r="O274" i="3"/>
  <c r="N274" i="3"/>
  <c r="M274" i="3"/>
  <c r="L274" i="3"/>
  <c r="I274" i="3"/>
  <c r="O273" i="3"/>
  <c r="N273" i="3"/>
  <c r="M273" i="3"/>
  <c r="L273" i="3"/>
  <c r="I273" i="3"/>
  <c r="O272" i="3"/>
  <c r="N272" i="3"/>
  <c r="M272" i="3"/>
  <c r="L272" i="3"/>
  <c r="I272" i="3"/>
  <c r="O271" i="3"/>
  <c r="N271" i="3"/>
  <c r="M271" i="3"/>
  <c r="L271" i="3"/>
  <c r="I271" i="3"/>
  <c r="O270" i="3"/>
  <c r="N270" i="3"/>
  <c r="M270" i="3"/>
  <c r="L270" i="3"/>
  <c r="I270" i="3"/>
  <c r="O269" i="3"/>
  <c r="N269" i="3"/>
  <c r="M269" i="3"/>
  <c r="L269" i="3"/>
  <c r="I269" i="3"/>
  <c r="O268" i="3"/>
  <c r="N268" i="3"/>
  <c r="M268" i="3"/>
  <c r="L268" i="3"/>
  <c r="I268" i="3"/>
  <c r="O267" i="3"/>
  <c r="N267" i="3"/>
  <c r="M267" i="3"/>
  <c r="L267" i="3"/>
  <c r="I267" i="3"/>
  <c r="O266" i="3"/>
  <c r="N266" i="3"/>
  <c r="M266" i="3"/>
  <c r="L266" i="3"/>
  <c r="I266" i="3"/>
  <c r="O265" i="3"/>
  <c r="N265" i="3"/>
  <c r="M265" i="3"/>
  <c r="L265" i="3"/>
  <c r="I265" i="3"/>
  <c r="O264" i="3"/>
  <c r="N264" i="3"/>
  <c r="M264" i="3"/>
  <c r="L264" i="3"/>
  <c r="I264" i="3"/>
  <c r="O263" i="3"/>
  <c r="N263" i="3"/>
  <c r="M263" i="3"/>
  <c r="L263" i="3"/>
  <c r="I263" i="3"/>
  <c r="O262" i="3"/>
  <c r="N262" i="3"/>
  <c r="M262" i="3"/>
  <c r="L262" i="3"/>
  <c r="I262" i="3"/>
  <c r="O261" i="3"/>
  <c r="N261" i="3"/>
  <c r="M261" i="3"/>
  <c r="L261" i="3"/>
  <c r="I261" i="3"/>
  <c r="O260" i="3"/>
  <c r="N260" i="3"/>
  <c r="M260" i="3"/>
  <c r="L260" i="3"/>
  <c r="I260" i="3"/>
  <c r="O259" i="3"/>
  <c r="N259" i="3"/>
  <c r="M259" i="3"/>
  <c r="L259" i="3"/>
  <c r="I259" i="3"/>
  <c r="O258" i="3"/>
  <c r="N258" i="3"/>
  <c r="M258" i="3"/>
  <c r="L258" i="3"/>
  <c r="I258" i="3"/>
  <c r="O257" i="3"/>
  <c r="N257" i="3"/>
  <c r="M257" i="3"/>
  <c r="L257" i="3"/>
  <c r="I257" i="3"/>
  <c r="O256" i="3"/>
  <c r="N256" i="3"/>
  <c r="M256" i="3"/>
  <c r="L256" i="3"/>
  <c r="I256" i="3"/>
  <c r="O255" i="3"/>
  <c r="N255" i="3"/>
  <c r="M255" i="3"/>
  <c r="L255" i="3"/>
  <c r="I255" i="3"/>
  <c r="O254" i="3"/>
  <c r="N254" i="3"/>
  <c r="M254" i="3"/>
  <c r="L254" i="3"/>
  <c r="I254" i="3"/>
  <c r="O253" i="3"/>
  <c r="N253" i="3"/>
  <c r="M253" i="3"/>
  <c r="L253" i="3"/>
  <c r="I253" i="3"/>
  <c r="O252" i="3"/>
  <c r="N252" i="3"/>
  <c r="M252" i="3"/>
  <c r="L252" i="3"/>
  <c r="I252" i="3"/>
  <c r="O251" i="3"/>
  <c r="N251" i="3"/>
  <c r="M251" i="3"/>
  <c r="L251" i="3"/>
  <c r="I251" i="3"/>
  <c r="O250" i="3"/>
  <c r="N250" i="3"/>
  <c r="M250" i="3"/>
  <c r="L250" i="3"/>
  <c r="I250" i="3"/>
  <c r="O249" i="3"/>
  <c r="N249" i="3"/>
  <c r="M249" i="3"/>
  <c r="L249" i="3"/>
  <c r="I249" i="3"/>
  <c r="O248" i="3"/>
  <c r="N248" i="3"/>
  <c r="M248" i="3"/>
  <c r="L248" i="3"/>
  <c r="I248" i="3"/>
  <c r="O247" i="3"/>
  <c r="N247" i="3"/>
  <c r="M247" i="3"/>
  <c r="L247" i="3"/>
  <c r="I247" i="3"/>
  <c r="O246" i="3"/>
  <c r="N246" i="3"/>
  <c r="M246" i="3"/>
  <c r="L246" i="3"/>
  <c r="I246" i="3"/>
  <c r="O245" i="3"/>
  <c r="N245" i="3"/>
  <c r="M245" i="3"/>
  <c r="L245" i="3"/>
  <c r="I245" i="3"/>
  <c r="O244" i="3"/>
  <c r="N244" i="3"/>
  <c r="M244" i="3"/>
  <c r="L244" i="3"/>
  <c r="I244" i="3"/>
  <c r="O243" i="3"/>
  <c r="N243" i="3"/>
  <c r="M243" i="3"/>
  <c r="L243" i="3"/>
  <c r="I243" i="3"/>
  <c r="O242" i="3"/>
  <c r="N242" i="3"/>
  <c r="M242" i="3"/>
  <c r="L242" i="3"/>
  <c r="I242" i="3"/>
  <c r="O241" i="3"/>
  <c r="N241" i="3"/>
  <c r="M241" i="3"/>
  <c r="L241" i="3"/>
  <c r="I241" i="3"/>
  <c r="O240" i="3"/>
  <c r="N240" i="3"/>
  <c r="M240" i="3"/>
  <c r="L240" i="3"/>
  <c r="I240" i="3"/>
  <c r="O239" i="3"/>
  <c r="N239" i="3"/>
  <c r="M239" i="3"/>
  <c r="L239" i="3"/>
  <c r="I239" i="3"/>
  <c r="O238" i="3"/>
  <c r="N238" i="3"/>
  <c r="M238" i="3"/>
  <c r="L238" i="3"/>
  <c r="I238" i="3"/>
  <c r="O237" i="3"/>
  <c r="N237" i="3"/>
  <c r="M237" i="3"/>
  <c r="L237" i="3"/>
  <c r="I237" i="3"/>
  <c r="O236" i="3"/>
  <c r="N236" i="3"/>
  <c r="M236" i="3"/>
  <c r="L236" i="3"/>
  <c r="I236" i="3"/>
  <c r="O235" i="3"/>
  <c r="N235" i="3"/>
  <c r="M235" i="3"/>
  <c r="L235" i="3"/>
  <c r="I235" i="3"/>
  <c r="O234" i="3"/>
  <c r="N234" i="3"/>
  <c r="M234" i="3"/>
  <c r="L234" i="3"/>
  <c r="I234" i="3"/>
  <c r="O233" i="3"/>
  <c r="N233" i="3"/>
  <c r="M233" i="3"/>
  <c r="L233" i="3"/>
  <c r="I233" i="3"/>
  <c r="O232" i="3"/>
  <c r="N232" i="3"/>
  <c r="M232" i="3"/>
  <c r="L232" i="3"/>
  <c r="I232" i="3"/>
  <c r="O231" i="3"/>
  <c r="N231" i="3"/>
  <c r="M231" i="3"/>
  <c r="L231" i="3"/>
  <c r="I231" i="3"/>
  <c r="O230" i="3"/>
  <c r="N230" i="3"/>
  <c r="M230" i="3"/>
  <c r="L230" i="3"/>
  <c r="I230" i="3"/>
  <c r="O229" i="3"/>
  <c r="N229" i="3"/>
  <c r="M229" i="3"/>
  <c r="L229" i="3"/>
  <c r="I229" i="3"/>
  <c r="O228" i="3"/>
  <c r="N228" i="3"/>
  <c r="M228" i="3"/>
  <c r="L228" i="3"/>
  <c r="I228" i="3"/>
  <c r="O227" i="3"/>
  <c r="N227" i="3"/>
  <c r="M227" i="3"/>
  <c r="L227" i="3"/>
  <c r="I227" i="3"/>
  <c r="O226" i="3"/>
  <c r="N226" i="3"/>
  <c r="M226" i="3"/>
  <c r="L226" i="3"/>
  <c r="I226" i="3"/>
  <c r="O225" i="3"/>
  <c r="N225" i="3"/>
  <c r="M225" i="3"/>
  <c r="L225" i="3"/>
  <c r="I225" i="3"/>
  <c r="O224" i="3"/>
  <c r="N224" i="3"/>
  <c r="M224" i="3"/>
  <c r="L224" i="3"/>
  <c r="I224" i="3"/>
  <c r="O223" i="3"/>
  <c r="N223" i="3"/>
  <c r="M223" i="3"/>
  <c r="L223" i="3"/>
  <c r="I223" i="3"/>
  <c r="O222" i="3"/>
  <c r="N222" i="3"/>
  <c r="M222" i="3"/>
  <c r="L222" i="3"/>
  <c r="I222" i="3"/>
  <c r="O221" i="3"/>
  <c r="N221" i="3"/>
  <c r="M221" i="3"/>
  <c r="L221" i="3"/>
  <c r="I221" i="3"/>
  <c r="O220" i="3"/>
  <c r="N220" i="3"/>
  <c r="M220" i="3"/>
  <c r="L220" i="3"/>
  <c r="I220" i="3"/>
  <c r="O219" i="3"/>
  <c r="N219" i="3"/>
  <c r="M219" i="3"/>
  <c r="L219" i="3"/>
  <c r="I219" i="3"/>
  <c r="O218" i="3"/>
  <c r="N218" i="3"/>
  <c r="M218" i="3"/>
  <c r="L218" i="3"/>
  <c r="I218" i="3"/>
  <c r="O217" i="3"/>
  <c r="N217" i="3"/>
  <c r="M217" i="3"/>
  <c r="L217" i="3"/>
  <c r="I217" i="3"/>
  <c r="O216" i="3"/>
  <c r="N216" i="3"/>
  <c r="M216" i="3"/>
  <c r="L216" i="3"/>
  <c r="I216" i="3"/>
  <c r="O215" i="3"/>
  <c r="N215" i="3"/>
  <c r="M215" i="3"/>
  <c r="L215" i="3"/>
  <c r="I215" i="3"/>
  <c r="O214" i="3"/>
  <c r="N214" i="3"/>
  <c r="M214" i="3"/>
  <c r="L214" i="3"/>
  <c r="I214" i="3"/>
  <c r="O213" i="3"/>
  <c r="N213" i="3"/>
  <c r="M213" i="3"/>
  <c r="L213" i="3"/>
  <c r="I213" i="3"/>
  <c r="O212" i="3"/>
  <c r="N212" i="3"/>
  <c r="M212" i="3"/>
  <c r="L212" i="3"/>
  <c r="I212" i="3"/>
  <c r="O211" i="3"/>
  <c r="N211" i="3"/>
  <c r="M211" i="3"/>
  <c r="L211" i="3"/>
  <c r="I211" i="3"/>
  <c r="O210" i="3"/>
  <c r="N210" i="3"/>
  <c r="M210" i="3"/>
  <c r="L210" i="3"/>
  <c r="I210" i="3"/>
  <c r="O209" i="3"/>
  <c r="N209" i="3"/>
  <c r="M209" i="3"/>
  <c r="L209" i="3"/>
  <c r="I209" i="3"/>
  <c r="O208" i="3"/>
  <c r="N208" i="3"/>
  <c r="M208" i="3"/>
  <c r="L208" i="3"/>
  <c r="I208" i="3"/>
  <c r="O207" i="3"/>
  <c r="N207" i="3"/>
  <c r="M207" i="3"/>
  <c r="L207" i="3"/>
  <c r="I207" i="3"/>
  <c r="O206" i="3"/>
  <c r="N206" i="3"/>
  <c r="M206" i="3"/>
  <c r="L206" i="3"/>
  <c r="I206" i="3"/>
  <c r="O205" i="3"/>
  <c r="N205" i="3"/>
  <c r="M205" i="3"/>
  <c r="L205" i="3"/>
  <c r="I205" i="3"/>
  <c r="O204" i="3"/>
  <c r="N204" i="3"/>
  <c r="M204" i="3"/>
  <c r="L204" i="3"/>
  <c r="I204" i="3"/>
  <c r="O203" i="3"/>
  <c r="N203" i="3"/>
  <c r="M203" i="3"/>
  <c r="L203" i="3"/>
  <c r="I203" i="3"/>
  <c r="O202" i="3"/>
  <c r="N202" i="3"/>
  <c r="M202" i="3"/>
  <c r="L202" i="3"/>
  <c r="I202" i="3"/>
  <c r="O201" i="3"/>
  <c r="N201" i="3"/>
  <c r="M201" i="3"/>
  <c r="L201" i="3"/>
  <c r="I201" i="3"/>
  <c r="O200" i="3"/>
  <c r="N200" i="3"/>
  <c r="M200" i="3"/>
  <c r="L200" i="3"/>
  <c r="I200" i="3"/>
  <c r="O199" i="3"/>
  <c r="N199" i="3"/>
  <c r="M199" i="3"/>
  <c r="L199" i="3"/>
  <c r="I199" i="3"/>
  <c r="O198" i="3"/>
  <c r="N198" i="3"/>
  <c r="M198" i="3"/>
  <c r="L198" i="3"/>
  <c r="I198" i="3"/>
  <c r="O197" i="3"/>
  <c r="N197" i="3"/>
  <c r="M197" i="3"/>
  <c r="L197" i="3"/>
  <c r="I197" i="3"/>
  <c r="O196" i="3"/>
  <c r="N196" i="3"/>
  <c r="M196" i="3"/>
  <c r="L196" i="3"/>
  <c r="I196" i="3"/>
  <c r="O195" i="3"/>
  <c r="N195" i="3"/>
  <c r="M195" i="3"/>
  <c r="L195" i="3"/>
  <c r="I195" i="3"/>
  <c r="O194" i="3"/>
  <c r="N194" i="3"/>
  <c r="M194" i="3"/>
  <c r="L194" i="3"/>
  <c r="I194" i="3"/>
  <c r="O193" i="3"/>
  <c r="N193" i="3"/>
  <c r="M193" i="3"/>
  <c r="L193" i="3"/>
  <c r="I193" i="3"/>
  <c r="O192" i="3"/>
  <c r="N192" i="3"/>
  <c r="M192" i="3"/>
  <c r="L192" i="3"/>
  <c r="I192" i="3"/>
  <c r="O191" i="3"/>
  <c r="N191" i="3"/>
  <c r="M191" i="3"/>
  <c r="L191" i="3"/>
  <c r="I191" i="3"/>
  <c r="O190" i="3"/>
  <c r="N190" i="3"/>
  <c r="M190" i="3"/>
  <c r="L190" i="3"/>
  <c r="I190" i="3"/>
  <c r="O189" i="3"/>
  <c r="N189" i="3"/>
  <c r="M189" i="3"/>
  <c r="L189" i="3"/>
  <c r="I189" i="3"/>
  <c r="O188" i="3"/>
  <c r="N188" i="3"/>
  <c r="M188" i="3"/>
  <c r="L188" i="3"/>
  <c r="I188" i="3"/>
  <c r="O187" i="3"/>
  <c r="N187" i="3"/>
  <c r="M187" i="3"/>
  <c r="L187" i="3"/>
  <c r="I187" i="3"/>
  <c r="O186" i="3"/>
  <c r="N186" i="3"/>
  <c r="M186" i="3"/>
  <c r="L186" i="3"/>
  <c r="I186" i="3"/>
  <c r="O185" i="3"/>
  <c r="N185" i="3"/>
  <c r="M185" i="3"/>
  <c r="L185" i="3"/>
  <c r="I185" i="3"/>
  <c r="O184" i="3"/>
  <c r="N184" i="3"/>
  <c r="M184" i="3"/>
  <c r="L184" i="3"/>
  <c r="I184" i="3"/>
  <c r="O183" i="3"/>
  <c r="N183" i="3"/>
  <c r="M183" i="3"/>
  <c r="L183" i="3"/>
  <c r="I183" i="3"/>
  <c r="O182" i="3"/>
  <c r="N182" i="3"/>
  <c r="M182" i="3"/>
  <c r="L182" i="3"/>
  <c r="I182" i="3"/>
  <c r="O181" i="3"/>
  <c r="N181" i="3"/>
  <c r="M181" i="3"/>
  <c r="L181" i="3"/>
  <c r="I181" i="3"/>
  <c r="O180" i="3"/>
  <c r="N180" i="3"/>
  <c r="M180" i="3"/>
  <c r="L180" i="3"/>
  <c r="I180" i="3"/>
  <c r="O179" i="3"/>
  <c r="N179" i="3"/>
  <c r="M179" i="3"/>
  <c r="L179" i="3"/>
  <c r="I179" i="3"/>
  <c r="O178" i="3"/>
  <c r="N178" i="3"/>
  <c r="M178" i="3"/>
  <c r="L178" i="3"/>
  <c r="I178" i="3"/>
  <c r="O177" i="3"/>
  <c r="N177" i="3"/>
  <c r="M177" i="3"/>
  <c r="L177" i="3"/>
  <c r="I177" i="3"/>
  <c r="O176" i="3"/>
  <c r="N176" i="3"/>
  <c r="M176" i="3"/>
  <c r="L176" i="3"/>
  <c r="I176" i="3"/>
  <c r="O175" i="3"/>
  <c r="N175" i="3"/>
  <c r="M175" i="3"/>
  <c r="L175" i="3"/>
  <c r="I175" i="3"/>
  <c r="O174" i="3"/>
  <c r="N174" i="3"/>
  <c r="M174" i="3"/>
  <c r="L174" i="3"/>
  <c r="I174" i="3"/>
  <c r="O173" i="3"/>
  <c r="N173" i="3"/>
  <c r="M173" i="3"/>
  <c r="L173" i="3"/>
  <c r="I173" i="3"/>
  <c r="O172" i="3"/>
  <c r="N172" i="3"/>
  <c r="M172" i="3"/>
  <c r="L172" i="3"/>
  <c r="I172" i="3"/>
  <c r="O171" i="3"/>
  <c r="N171" i="3"/>
  <c r="M171" i="3"/>
  <c r="L171" i="3"/>
  <c r="I171" i="3"/>
  <c r="O170" i="3"/>
  <c r="N170" i="3"/>
  <c r="M170" i="3"/>
  <c r="L170" i="3"/>
  <c r="I170" i="3"/>
  <c r="O169" i="3"/>
  <c r="N169" i="3"/>
  <c r="M169" i="3"/>
  <c r="L169" i="3"/>
  <c r="I169" i="3"/>
  <c r="O168" i="3"/>
  <c r="N168" i="3"/>
  <c r="M168" i="3"/>
  <c r="L168" i="3"/>
  <c r="I168" i="3"/>
  <c r="O167" i="3"/>
  <c r="N167" i="3"/>
  <c r="M167" i="3"/>
  <c r="L167" i="3"/>
  <c r="I167" i="3"/>
  <c r="O166" i="3"/>
  <c r="N166" i="3"/>
  <c r="M166" i="3"/>
  <c r="L166" i="3"/>
  <c r="I166" i="3"/>
  <c r="O165" i="3"/>
  <c r="N165" i="3"/>
  <c r="M165" i="3"/>
  <c r="L165" i="3"/>
  <c r="I165" i="3"/>
  <c r="O164" i="3"/>
  <c r="N164" i="3"/>
  <c r="M164" i="3"/>
  <c r="L164" i="3"/>
  <c r="I164" i="3"/>
  <c r="O163" i="3"/>
  <c r="N163" i="3"/>
  <c r="M163" i="3"/>
  <c r="L163" i="3"/>
  <c r="I163" i="3"/>
  <c r="O162" i="3"/>
  <c r="N162" i="3"/>
  <c r="M162" i="3"/>
  <c r="L162" i="3"/>
  <c r="I162" i="3"/>
  <c r="O161" i="3"/>
  <c r="N161" i="3"/>
  <c r="M161" i="3"/>
  <c r="L161" i="3"/>
  <c r="I161" i="3"/>
  <c r="O160" i="3"/>
  <c r="N160" i="3"/>
  <c r="M160" i="3"/>
  <c r="L160" i="3"/>
  <c r="I160" i="3"/>
  <c r="O159" i="3"/>
  <c r="N159" i="3"/>
  <c r="M159" i="3"/>
  <c r="L159" i="3"/>
  <c r="I159" i="3"/>
  <c r="O158" i="3"/>
  <c r="N158" i="3"/>
  <c r="M158" i="3"/>
  <c r="L158" i="3"/>
  <c r="I158" i="3"/>
  <c r="O157" i="3"/>
  <c r="N157" i="3"/>
  <c r="M157" i="3"/>
  <c r="L157" i="3"/>
  <c r="I157" i="3"/>
  <c r="O156" i="3"/>
  <c r="N156" i="3"/>
  <c r="M156" i="3"/>
  <c r="L156" i="3"/>
  <c r="I156" i="3"/>
  <c r="O155" i="3"/>
  <c r="N155" i="3"/>
  <c r="M155" i="3"/>
  <c r="L155" i="3"/>
  <c r="I155" i="3"/>
  <c r="O154" i="3"/>
  <c r="N154" i="3"/>
  <c r="M154" i="3"/>
  <c r="L154" i="3"/>
  <c r="I154" i="3"/>
  <c r="O153" i="3"/>
  <c r="N153" i="3"/>
  <c r="M153" i="3"/>
  <c r="L153" i="3"/>
  <c r="I153" i="3"/>
  <c r="O152" i="3"/>
  <c r="N152" i="3"/>
  <c r="M152" i="3"/>
  <c r="L152" i="3"/>
  <c r="I152" i="3"/>
  <c r="O151" i="3"/>
  <c r="N151" i="3"/>
  <c r="M151" i="3"/>
  <c r="L151" i="3"/>
  <c r="I151" i="3"/>
  <c r="O150" i="3"/>
  <c r="N150" i="3"/>
  <c r="M150" i="3"/>
  <c r="L150" i="3"/>
  <c r="I150" i="3"/>
  <c r="O149" i="3"/>
  <c r="N149" i="3"/>
  <c r="M149" i="3"/>
  <c r="L149" i="3"/>
  <c r="I149" i="3"/>
  <c r="O148" i="3"/>
  <c r="N148" i="3"/>
  <c r="M148" i="3"/>
  <c r="L148" i="3"/>
  <c r="I148" i="3"/>
  <c r="O147" i="3"/>
  <c r="N147" i="3"/>
  <c r="M147" i="3"/>
  <c r="L147" i="3"/>
  <c r="I147" i="3"/>
  <c r="O146" i="3"/>
  <c r="N146" i="3"/>
  <c r="M146" i="3"/>
  <c r="L146" i="3"/>
  <c r="I146" i="3"/>
  <c r="O145" i="3"/>
  <c r="N145" i="3"/>
  <c r="M145" i="3"/>
  <c r="L145" i="3"/>
  <c r="I145" i="3"/>
  <c r="O144" i="3"/>
  <c r="N144" i="3"/>
  <c r="M144" i="3"/>
  <c r="L144" i="3"/>
  <c r="I144" i="3"/>
  <c r="O143" i="3"/>
  <c r="N143" i="3"/>
  <c r="M143" i="3"/>
  <c r="L143" i="3"/>
  <c r="I143" i="3"/>
  <c r="O142" i="3"/>
  <c r="N142" i="3"/>
  <c r="M142" i="3"/>
  <c r="L142" i="3"/>
  <c r="I142" i="3"/>
  <c r="O141" i="3"/>
  <c r="N141" i="3"/>
  <c r="M141" i="3"/>
  <c r="L141" i="3"/>
  <c r="I141" i="3"/>
  <c r="O140" i="3"/>
  <c r="N140" i="3"/>
  <c r="M140" i="3"/>
  <c r="L140" i="3"/>
  <c r="I140" i="3"/>
  <c r="O139" i="3"/>
  <c r="N139" i="3"/>
  <c r="M139" i="3"/>
  <c r="L139" i="3"/>
  <c r="I139" i="3"/>
  <c r="O138" i="3"/>
  <c r="N138" i="3"/>
  <c r="M138" i="3"/>
  <c r="L138" i="3"/>
  <c r="I138" i="3"/>
  <c r="O137" i="3"/>
  <c r="N137" i="3"/>
  <c r="M137" i="3"/>
  <c r="L137" i="3"/>
  <c r="I137" i="3"/>
  <c r="O136" i="3"/>
  <c r="N136" i="3"/>
  <c r="M136" i="3"/>
  <c r="L136" i="3"/>
  <c r="I136" i="3"/>
  <c r="O135" i="3"/>
  <c r="N135" i="3"/>
  <c r="M135" i="3"/>
  <c r="L135" i="3"/>
  <c r="I135" i="3"/>
  <c r="O134" i="3"/>
  <c r="N134" i="3"/>
  <c r="M134" i="3"/>
  <c r="L134" i="3"/>
  <c r="I134" i="3"/>
  <c r="O133" i="3"/>
  <c r="N133" i="3"/>
  <c r="M133" i="3"/>
  <c r="L133" i="3"/>
  <c r="I133" i="3"/>
  <c r="O132" i="3"/>
  <c r="N132" i="3"/>
  <c r="M132" i="3"/>
  <c r="L132" i="3"/>
  <c r="I132" i="3"/>
  <c r="O131" i="3"/>
  <c r="N131" i="3"/>
  <c r="M131" i="3"/>
  <c r="L131" i="3"/>
  <c r="I131" i="3"/>
  <c r="O130" i="3"/>
  <c r="N130" i="3"/>
  <c r="M130" i="3"/>
  <c r="L130" i="3"/>
  <c r="I130" i="3"/>
  <c r="O129" i="3"/>
  <c r="N129" i="3"/>
  <c r="M129" i="3"/>
  <c r="L129" i="3"/>
  <c r="I129" i="3"/>
  <c r="O128" i="3"/>
  <c r="N128" i="3"/>
  <c r="M128" i="3"/>
  <c r="L128" i="3"/>
  <c r="I128" i="3"/>
  <c r="O127" i="3"/>
  <c r="N127" i="3"/>
  <c r="M127" i="3"/>
  <c r="L127" i="3"/>
  <c r="I127" i="3"/>
  <c r="O126" i="3"/>
  <c r="N126" i="3"/>
  <c r="M126" i="3"/>
  <c r="L126" i="3"/>
  <c r="I126" i="3"/>
  <c r="O125" i="3"/>
  <c r="N125" i="3"/>
  <c r="M125" i="3"/>
  <c r="L125" i="3"/>
  <c r="I125" i="3"/>
  <c r="O124" i="3"/>
  <c r="N124" i="3"/>
  <c r="M124" i="3"/>
  <c r="L124" i="3"/>
  <c r="I124" i="3"/>
  <c r="O123" i="3"/>
  <c r="N123" i="3"/>
  <c r="M123" i="3"/>
  <c r="L123" i="3"/>
  <c r="I123" i="3"/>
  <c r="O122" i="3"/>
  <c r="N122" i="3"/>
  <c r="M122" i="3"/>
  <c r="L122" i="3"/>
  <c r="I122" i="3"/>
  <c r="O121" i="3"/>
  <c r="N121" i="3"/>
  <c r="M121" i="3"/>
  <c r="L121" i="3"/>
  <c r="I121" i="3"/>
  <c r="O120" i="3"/>
  <c r="N120" i="3"/>
  <c r="M120" i="3"/>
  <c r="L120" i="3"/>
  <c r="I120" i="3"/>
  <c r="O119" i="3"/>
  <c r="N119" i="3"/>
  <c r="M119" i="3"/>
  <c r="L119" i="3"/>
  <c r="I119" i="3"/>
  <c r="O118" i="3"/>
  <c r="N118" i="3"/>
  <c r="M118" i="3"/>
  <c r="L118" i="3"/>
  <c r="I118" i="3"/>
  <c r="O117" i="3"/>
  <c r="N117" i="3"/>
  <c r="M117" i="3"/>
  <c r="L117" i="3"/>
  <c r="I117" i="3"/>
  <c r="O116" i="3"/>
  <c r="N116" i="3"/>
  <c r="M116" i="3"/>
  <c r="L116" i="3"/>
  <c r="I116" i="3"/>
  <c r="O115" i="3"/>
  <c r="N115" i="3"/>
  <c r="M115" i="3"/>
  <c r="L115" i="3"/>
  <c r="I115" i="3"/>
  <c r="O114" i="3"/>
  <c r="N114" i="3"/>
  <c r="M114" i="3"/>
  <c r="L114" i="3"/>
  <c r="I114" i="3"/>
  <c r="O113" i="3"/>
  <c r="N113" i="3"/>
  <c r="M113" i="3"/>
  <c r="L113" i="3"/>
  <c r="I113" i="3"/>
  <c r="O112" i="3"/>
  <c r="N112" i="3"/>
  <c r="M112" i="3"/>
  <c r="L112" i="3"/>
  <c r="I112" i="3"/>
  <c r="O111" i="3"/>
  <c r="N111" i="3"/>
  <c r="M111" i="3"/>
  <c r="L111" i="3"/>
  <c r="I111" i="3"/>
  <c r="O110" i="3"/>
  <c r="N110" i="3"/>
  <c r="M110" i="3"/>
  <c r="L110" i="3"/>
  <c r="I110" i="3"/>
  <c r="O109" i="3"/>
  <c r="N109" i="3"/>
  <c r="M109" i="3"/>
  <c r="L109" i="3"/>
  <c r="I109" i="3"/>
  <c r="O108" i="3"/>
  <c r="N108" i="3"/>
  <c r="M108" i="3"/>
  <c r="L108" i="3"/>
  <c r="I108" i="3"/>
  <c r="O107" i="3"/>
  <c r="N107" i="3"/>
  <c r="M107" i="3"/>
  <c r="L107" i="3"/>
  <c r="I107" i="3"/>
  <c r="O106" i="3"/>
  <c r="N106" i="3"/>
  <c r="M106" i="3"/>
  <c r="L106" i="3"/>
  <c r="I106" i="3"/>
  <c r="O105" i="3"/>
  <c r="N105" i="3"/>
  <c r="M105" i="3"/>
  <c r="L105" i="3"/>
  <c r="I105" i="3"/>
  <c r="O104" i="3"/>
  <c r="N104" i="3"/>
  <c r="M104" i="3"/>
  <c r="L104" i="3"/>
  <c r="I104" i="3"/>
  <c r="O103" i="3"/>
  <c r="N103" i="3"/>
  <c r="M103" i="3"/>
  <c r="L103" i="3"/>
  <c r="I103" i="3"/>
  <c r="O102" i="3"/>
  <c r="N102" i="3"/>
  <c r="M102" i="3"/>
  <c r="L102" i="3"/>
  <c r="I102" i="3"/>
  <c r="O101" i="3"/>
  <c r="N101" i="3"/>
  <c r="M101" i="3"/>
  <c r="L101" i="3"/>
  <c r="I101" i="3"/>
  <c r="O100" i="3"/>
  <c r="N100" i="3"/>
  <c r="M100" i="3"/>
  <c r="L100" i="3"/>
  <c r="I100" i="3"/>
  <c r="O99" i="3"/>
  <c r="N99" i="3"/>
  <c r="M99" i="3"/>
  <c r="L99" i="3"/>
  <c r="I99" i="3"/>
  <c r="O98" i="3"/>
  <c r="N98" i="3"/>
  <c r="M98" i="3"/>
  <c r="L98" i="3"/>
  <c r="I98" i="3"/>
  <c r="O97" i="3"/>
  <c r="N97" i="3"/>
  <c r="M97" i="3"/>
  <c r="L97" i="3"/>
  <c r="I97" i="3"/>
  <c r="O96" i="3"/>
  <c r="N96" i="3"/>
  <c r="M96" i="3"/>
  <c r="L96" i="3"/>
  <c r="I96" i="3"/>
  <c r="O95" i="3"/>
  <c r="N95" i="3"/>
  <c r="M95" i="3"/>
  <c r="L95" i="3"/>
  <c r="I95" i="3"/>
  <c r="O94" i="3"/>
  <c r="N94" i="3"/>
  <c r="M94" i="3"/>
  <c r="L94" i="3"/>
  <c r="I94" i="3"/>
  <c r="O93" i="3"/>
  <c r="N93" i="3"/>
  <c r="M93" i="3"/>
  <c r="L93" i="3"/>
  <c r="I93" i="3"/>
  <c r="O92" i="3"/>
  <c r="N92" i="3"/>
  <c r="M92" i="3"/>
  <c r="L92" i="3"/>
  <c r="I92" i="3"/>
  <c r="O91" i="3"/>
  <c r="N91" i="3"/>
  <c r="M91" i="3"/>
  <c r="L91" i="3"/>
  <c r="I91" i="3"/>
  <c r="O90" i="3"/>
  <c r="N90" i="3"/>
  <c r="M90" i="3"/>
  <c r="L90" i="3"/>
  <c r="I90" i="3"/>
  <c r="O89" i="3"/>
  <c r="N89" i="3"/>
  <c r="M89" i="3"/>
  <c r="L89" i="3"/>
  <c r="I89" i="3"/>
  <c r="O88" i="3"/>
  <c r="N88" i="3"/>
  <c r="M88" i="3"/>
  <c r="L88" i="3"/>
  <c r="I88" i="3"/>
  <c r="O87" i="3"/>
  <c r="N87" i="3"/>
  <c r="M87" i="3"/>
  <c r="L87" i="3"/>
  <c r="I87" i="3"/>
  <c r="O86" i="3"/>
  <c r="N86" i="3"/>
  <c r="M86" i="3"/>
  <c r="L86" i="3"/>
  <c r="I86" i="3"/>
  <c r="O85" i="3"/>
  <c r="N85" i="3"/>
  <c r="M85" i="3"/>
  <c r="L85" i="3"/>
  <c r="I85" i="3"/>
  <c r="O84" i="3"/>
  <c r="N84" i="3"/>
  <c r="M84" i="3"/>
  <c r="L84" i="3"/>
  <c r="I84" i="3"/>
  <c r="O83" i="3"/>
  <c r="N83" i="3"/>
  <c r="M83" i="3"/>
  <c r="L83" i="3"/>
  <c r="I83" i="3"/>
  <c r="O82" i="3"/>
  <c r="N82" i="3"/>
  <c r="M82" i="3"/>
  <c r="L82" i="3"/>
  <c r="I82" i="3"/>
  <c r="O81" i="3"/>
  <c r="N81" i="3"/>
  <c r="M81" i="3"/>
  <c r="L81" i="3"/>
  <c r="I81" i="3"/>
  <c r="O80" i="3"/>
  <c r="N80" i="3"/>
  <c r="M80" i="3"/>
  <c r="L80" i="3"/>
  <c r="I80" i="3"/>
  <c r="O79" i="3"/>
  <c r="N79" i="3"/>
  <c r="M79" i="3"/>
  <c r="L79" i="3"/>
  <c r="I79" i="3"/>
  <c r="O78" i="3"/>
  <c r="N78" i="3"/>
  <c r="M78" i="3"/>
  <c r="L78" i="3"/>
  <c r="I78" i="3"/>
  <c r="O77" i="3"/>
  <c r="N77" i="3"/>
  <c r="M77" i="3"/>
  <c r="L77" i="3"/>
  <c r="I77" i="3"/>
  <c r="O76" i="3"/>
  <c r="N76" i="3"/>
  <c r="M76" i="3"/>
  <c r="L76" i="3"/>
  <c r="I76" i="3"/>
  <c r="O75" i="3"/>
  <c r="N75" i="3"/>
  <c r="M75" i="3"/>
  <c r="L75" i="3"/>
  <c r="I75" i="3"/>
  <c r="O74" i="3"/>
  <c r="N74" i="3"/>
  <c r="M74" i="3"/>
  <c r="L74" i="3"/>
  <c r="I74" i="3"/>
  <c r="O73" i="3"/>
  <c r="N73" i="3"/>
  <c r="M73" i="3"/>
  <c r="L73" i="3"/>
  <c r="I73" i="3"/>
  <c r="O72" i="3"/>
  <c r="N72" i="3"/>
  <c r="M72" i="3"/>
  <c r="L72" i="3"/>
  <c r="I72" i="3"/>
  <c r="O71" i="3"/>
  <c r="N71" i="3"/>
  <c r="M71" i="3"/>
  <c r="L71" i="3"/>
  <c r="I71" i="3"/>
  <c r="O70" i="3"/>
  <c r="N70" i="3"/>
  <c r="M70" i="3"/>
  <c r="L70" i="3"/>
  <c r="I70" i="3"/>
  <c r="O69" i="3"/>
  <c r="N69" i="3"/>
  <c r="M69" i="3"/>
  <c r="L69" i="3"/>
  <c r="I69" i="3"/>
  <c r="O68" i="3"/>
  <c r="N68" i="3"/>
  <c r="M68" i="3"/>
  <c r="L68" i="3"/>
  <c r="I68" i="3"/>
  <c r="O67" i="3"/>
  <c r="N67" i="3"/>
  <c r="M67" i="3"/>
  <c r="L67" i="3"/>
  <c r="I67" i="3"/>
  <c r="O66" i="3"/>
  <c r="N66" i="3"/>
  <c r="M66" i="3"/>
  <c r="L66" i="3"/>
  <c r="I66" i="3"/>
  <c r="O65" i="3"/>
  <c r="N65" i="3"/>
  <c r="M65" i="3"/>
  <c r="L65" i="3"/>
  <c r="I65" i="3"/>
  <c r="O64" i="3"/>
  <c r="N64" i="3"/>
  <c r="M64" i="3"/>
  <c r="L64" i="3"/>
  <c r="I64" i="3"/>
  <c r="O63" i="3"/>
  <c r="N63" i="3"/>
  <c r="M63" i="3"/>
  <c r="L63" i="3"/>
  <c r="I63" i="3"/>
  <c r="O62" i="3"/>
  <c r="N62" i="3"/>
  <c r="M62" i="3"/>
  <c r="L62" i="3"/>
  <c r="I62" i="3"/>
  <c r="O61" i="3"/>
  <c r="N61" i="3"/>
  <c r="M61" i="3"/>
  <c r="L61" i="3"/>
  <c r="I61" i="3"/>
  <c r="O60" i="3"/>
  <c r="N60" i="3"/>
  <c r="M60" i="3"/>
  <c r="L60" i="3"/>
  <c r="I60" i="3"/>
  <c r="O59" i="3"/>
  <c r="N59" i="3"/>
  <c r="M59" i="3"/>
  <c r="L59" i="3"/>
  <c r="I59" i="3"/>
  <c r="O58" i="3"/>
  <c r="N58" i="3"/>
  <c r="M58" i="3"/>
  <c r="L58" i="3"/>
  <c r="I58" i="3"/>
  <c r="O57" i="3"/>
  <c r="N57" i="3"/>
  <c r="M57" i="3"/>
  <c r="L57" i="3"/>
  <c r="I57" i="3"/>
  <c r="O56" i="3"/>
  <c r="N56" i="3"/>
  <c r="M56" i="3"/>
  <c r="L56" i="3"/>
  <c r="I56" i="3"/>
  <c r="O55" i="3"/>
  <c r="N55" i="3"/>
  <c r="M55" i="3"/>
  <c r="L55" i="3"/>
  <c r="I55" i="3"/>
  <c r="O54" i="3"/>
  <c r="N54" i="3"/>
  <c r="M54" i="3"/>
  <c r="L54" i="3"/>
  <c r="I54" i="3"/>
  <c r="O53" i="3"/>
  <c r="N53" i="3"/>
  <c r="M53" i="3"/>
  <c r="L53" i="3"/>
  <c r="I53" i="3"/>
  <c r="O52" i="3"/>
  <c r="N52" i="3"/>
  <c r="M52" i="3"/>
  <c r="L52" i="3"/>
  <c r="I52" i="3"/>
  <c r="O51" i="3"/>
  <c r="N51" i="3"/>
  <c r="M51" i="3"/>
  <c r="L51" i="3"/>
  <c r="I51" i="3"/>
  <c r="O50" i="3"/>
  <c r="N50" i="3"/>
  <c r="M50" i="3"/>
  <c r="L50" i="3"/>
  <c r="I50" i="3"/>
  <c r="O49" i="3"/>
  <c r="N49" i="3"/>
  <c r="M49" i="3"/>
  <c r="L49" i="3"/>
  <c r="I49" i="3"/>
  <c r="O48" i="3"/>
  <c r="N48" i="3"/>
  <c r="M48" i="3"/>
  <c r="L48" i="3"/>
  <c r="I48" i="3"/>
  <c r="O47" i="3"/>
  <c r="N47" i="3"/>
  <c r="M47" i="3"/>
  <c r="L47" i="3"/>
  <c r="I47" i="3"/>
  <c r="O46" i="3"/>
  <c r="N46" i="3"/>
  <c r="M46" i="3"/>
  <c r="L46" i="3"/>
  <c r="I46" i="3"/>
  <c r="O45" i="3"/>
  <c r="N45" i="3"/>
  <c r="M45" i="3"/>
  <c r="L45" i="3"/>
  <c r="I45" i="3"/>
  <c r="O44" i="3"/>
  <c r="N44" i="3"/>
  <c r="M44" i="3"/>
  <c r="L44" i="3"/>
  <c r="I44" i="3"/>
  <c r="O43" i="3"/>
  <c r="N43" i="3"/>
  <c r="M43" i="3"/>
  <c r="L43" i="3"/>
  <c r="I43" i="3"/>
  <c r="O42" i="3"/>
  <c r="N42" i="3"/>
  <c r="M42" i="3"/>
  <c r="L42" i="3"/>
  <c r="I42" i="3"/>
  <c r="O41" i="3"/>
  <c r="N41" i="3"/>
  <c r="M41" i="3"/>
  <c r="L41" i="3"/>
  <c r="I41" i="3"/>
  <c r="O40" i="3"/>
  <c r="N40" i="3"/>
  <c r="M40" i="3"/>
  <c r="L40" i="3"/>
  <c r="I40" i="3"/>
  <c r="O39" i="3"/>
  <c r="N39" i="3"/>
  <c r="M39" i="3"/>
  <c r="L39" i="3"/>
  <c r="I39" i="3"/>
  <c r="O38" i="3"/>
  <c r="N38" i="3"/>
  <c r="M38" i="3"/>
  <c r="L38" i="3"/>
  <c r="I38" i="3"/>
  <c r="O37" i="3"/>
  <c r="N37" i="3"/>
  <c r="M37" i="3"/>
  <c r="L37" i="3"/>
  <c r="I37" i="3"/>
  <c r="O36" i="3"/>
  <c r="N36" i="3"/>
  <c r="M36" i="3"/>
  <c r="L36" i="3"/>
  <c r="I36" i="3"/>
  <c r="O35" i="3"/>
  <c r="N35" i="3"/>
  <c r="M35" i="3"/>
  <c r="L35" i="3"/>
  <c r="I35" i="3"/>
  <c r="O34" i="3"/>
  <c r="N34" i="3"/>
  <c r="M34" i="3"/>
  <c r="L34" i="3"/>
  <c r="I34" i="3"/>
  <c r="O33" i="3"/>
  <c r="N33" i="3"/>
  <c r="M33" i="3"/>
  <c r="L33" i="3"/>
  <c r="I33" i="3"/>
  <c r="O32" i="3"/>
  <c r="N32" i="3"/>
  <c r="M32" i="3"/>
  <c r="L32" i="3"/>
  <c r="I32" i="3"/>
  <c r="O31" i="3"/>
  <c r="N31" i="3"/>
  <c r="M31" i="3"/>
  <c r="L31" i="3"/>
  <c r="I31" i="3"/>
  <c r="O30" i="3"/>
  <c r="N30" i="3"/>
  <c r="M30" i="3"/>
  <c r="L30" i="3"/>
  <c r="I30" i="3"/>
  <c r="O29" i="3"/>
  <c r="N29" i="3"/>
  <c r="M29" i="3"/>
  <c r="L29" i="3"/>
  <c r="I29" i="3"/>
  <c r="O28" i="3"/>
  <c r="N28" i="3"/>
  <c r="M28" i="3"/>
  <c r="L28" i="3"/>
  <c r="I28" i="3"/>
  <c r="O27" i="3"/>
  <c r="N27" i="3"/>
  <c r="M27" i="3"/>
  <c r="L27" i="3"/>
  <c r="I27" i="3"/>
  <c r="O26" i="3"/>
  <c r="N26" i="3"/>
  <c r="M26" i="3"/>
  <c r="L26" i="3"/>
  <c r="I26" i="3"/>
  <c r="O25" i="3"/>
  <c r="N25" i="3"/>
  <c r="M25" i="3"/>
  <c r="L25" i="3"/>
  <c r="I25" i="3"/>
  <c r="O24" i="3"/>
  <c r="N24" i="3"/>
  <c r="M24" i="3"/>
  <c r="L24" i="3"/>
  <c r="I24" i="3"/>
  <c r="O23" i="3"/>
  <c r="N23" i="3"/>
  <c r="M23" i="3"/>
  <c r="L23" i="3"/>
  <c r="I23" i="3"/>
  <c r="O22" i="3"/>
  <c r="N22" i="3"/>
  <c r="M22" i="3"/>
  <c r="L22" i="3"/>
  <c r="I22" i="3"/>
  <c r="O21" i="3"/>
  <c r="N21" i="3"/>
  <c r="M21" i="3"/>
  <c r="L21" i="3"/>
  <c r="I21" i="3"/>
  <c r="O20" i="3"/>
  <c r="N20" i="3"/>
  <c r="M20" i="3"/>
  <c r="L20" i="3"/>
  <c r="I20" i="3"/>
  <c r="O19" i="3"/>
  <c r="N19" i="3"/>
  <c r="M19" i="3"/>
  <c r="L19" i="3"/>
  <c r="I19" i="3"/>
  <c r="O18" i="3"/>
  <c r="N18" i="3"/>
  <c r="M18" i="3"/>
  <c r="L18" i="3"/>
  <c r="I18" i="3"/>
  <c r="O17" i="3"/>
  <c r="N17" i="3"/>
  <c r="M17" i="3"/>
  <c r="L17" i="3"/>
  <c r="I17" i="3"/>
  <c r="O16" i="3"/>
  <c r="N16" i="3"/>
  <c r="M16" i="3"/>
  <c r="L16" i="3"/>
  <c r="I16" i="3"/>
  <c r="O15" i="3"/>
  <c r="N15" i="3"/>
  <c r="M15" i="3"/>
  <c r="L15" i="3"/>
  <c r="I15" i="3"/>
  <c r="O14" i="3"/>
  <c r="N14" i="3"/>
  <c r="M14" i="3"/>
  <c r="L14" i="3"/>
  <c r="I14" i="3"/>
  <c r="O13" i="3"/>
  <c r="N13" i="3"/>
  <c r="M13" i="3"/>
  <c r="L13" i="3"/>
  <c r="I13" i="3"/>
  <c r="O12" i="3"/>
  <c r="N12" i="3"/>
  <c r="M12" i="3"/>
  <c r="L12" i="3"/>
  <c r="I12" i="3"/>
  <c r="O11" i="3"/>
  <c r="N11" i="3"/>
  <c r="M11" i="3"/>
  <c r="L11" i="3"/>
  <c r="I11" i="3"/>
  <c r="O10" i="3"/>
  <c r="N10" i="3"/>
  <c r="M10" i="3"/>
  <c r="L10" i="3"/>
  <c r="I10" i="3"/>
  <c r="O9" i="3"/>
  <c r="N9" i="3"/>
  <c r="M9" i="3"/>
  <c r="L9" i="3"/>
  <c r="I9" i="3"/>
  <c r="O8" i="3"/>
  <c r="N8" i="3"/>
  <c r="M8" i="3"/>
  <c r="L8" i="3"/>
  <c r="I8" i="3"/>
  <c r="O7" i="3"/>
  <c r="N7" i="3"/>
  <c r="M7" i="3"/>
  <c r="L7" i="3"/>
  <c r="I7" i="3"/>
  <c r="O6" i="3"/>
  <c r="N6" i="3"/>
  <c r="M6" i="3"/>
  <c r="L6" i="3"/>
  <c r="I6" i="3"/>
  <c r="O5" i="3"/>
  <c r="N5" i="3"/>
  <c r="M5" i="3"/>
  <c r="L5" i="3"/>
  <c r="I5" i="3"/>
  <c r="O4" i="3"/>
  <c r="N4" i="3"/>
  <c r="M4" i="3"/>
  <c r="L4" i="3"/>
  <c r="I4" i="3"/>
  <c r="O3" i="3"/>
  <c r="N3" i="3"/>
  <c r="M3" i="3"/>
  <c r="L3" i="3"/>
  <c r="I3" i="3"/>
  <c r="O2" i="3"/>
  <c r="N2" i="3"/>
  <c r="M2" i="3"/>
  <c r="L2" i="3"/>
  <c r="I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<sst xmlns="http://schemas.openxmlformats.org/spreadsheetml/2006/main" count="13681" uniqueCount="86">
  <si>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</si>
  <si>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</si>
  <si>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</si>
  <si>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</si>
  <si>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</si>
  <si>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</si>
  <si>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</si>
  <si>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</si>
  <si>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</si>
  <si>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</si>
  <si>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</si>
  <si>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</si>
  <si>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</si>
  <si>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</si>
  <si>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</si>
  <si>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</si>
  <si>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</si>
  <si>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</si>
  <si>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</si>
  <si>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</si>
  <si>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</si>
  <si>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</si>
  <si>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MntFruits</t>
  </si>
  <si>
    <t>MntSweetProducts</t>
  </si>
  <si>
    <t>NumWebPurchases</t>
  </si>
  <si>
    <t>NumStorePurchases</t>
  </si>
  <si>
    <t>Total_Kidshome</t>
  </si>
  <si>
    <t>Sl No.</t>
  </si>
  <si>
    <t>Age</t>
  </si>
  <si>
    <t>Tenure</t>
  </si>
  <si>
    <t>Income_Segment</t>
  </si>
  <si>
    <t>Grand Total</t>
  </si>
  <si>
    <t>Low</t>
  </si>
  <si>
    <t>Medium</t>
  </si>
  <si>
    <t>High</t>
  </si>
  <si>
    <t>Very High</t>
  </si>
  <si>
    <t>Income Segment</t>
  </si>
  <si>
    <t>Total Revenue</t>
  </si>
  <si>
    <t>Total_Purchases</t>
  </si>
  <si>
    <t>Total WebPurchases</t>
  </si>
  <si>
    <t>Total StorePurchases</t>
  </si>
  <si>
    <t>MntTotal_Spent</t>
  </si>
  <si>
    <t>Total_Childrenhome</t>
  </si>
  <si>
    <t>29-38</t>
  </si>
  <si>
    <t>39-48</t>
  </si>
  <si>
    <t>49-58</t>
  </si>
  <si>
    <t>59-68</t>
  </si>
  <si>
    <t>69-78</t>
  </si>
  <si>
    <t>79-88</t>
  </si>
  <si>
    <t>Age Group</t>
  </si>
  <si>
    <t>Marital Status</t>
  </si>
  <si>
    <t>Customer Count</t>
  </si>
  <si>
    <t>Total Children</t>
  </si>
  <si>
    <t>Total Purchases</t>
  </si>
  <si>
    <t>Purchase Volume</t>
  </si>
  <si>
    <t>Active Customers</t>
  </si>
  <si>
    <t>Avg. Recency (Days)</t>
  </si>
  <si>
    <t>Purchases by Age Group</t>
  </si>
  <si>
    <t>Average Income</t>
  </si>
  <si>
    <t>Total Income</t>
  </si>
  <si>
    <t>Recency Count (Days)</t>
  </si>
  <si>
    <t>Recency Count (Days) by Age Group</t>
  </si>
  <si>
    <t>Total &amp; Average Income by Age Group</t>
  </si>
  <si>
    <t>Customer Count by Marital Status</t>
  </si>
  <si>
    <t>Average Spend</t>
  </si>
  <si>
    <t>Customer Count by Income Segment</t>
  </si>
  <si>
    <t>Total Revenue by Income Segment</t>
  </si>
  <si>
    <t>Average Customer Spend by Income Segment</t>
  </si>
  <si>
    <t>Average Customer Spend by Children Count</t>
  </si>
  <si>
    <t>Total Purchases (Channelwise) by Income Segment</t>
  </si>
  <si>
    <t>Total Revenue by Age Group</t>
  </si>
  <si>
    <t>Total Purchases (Channelwise) by Marital Status</t>
  </si>
  <si>
    <t>Total Purchases (Channelwise) by Education Qualification</t>
  </si>
  <si>
    <t>Income Segment Distribution by Children Count</t>
  </si>
  <si>
    <t>Customer Income Segment Count</t>
  </si>
  <si>
    <t>Income Segment Distribution by Education Qualification</t>
  </si>
  <si>
    <t>Education Level</t>
  </si>
  <si>
    <t>Average Customer Spend by Education Level</t>
  </si>
  <si>
    <t>Average Customer Spend by Marital Status</t>
  </si>
  <si>
    <t>Total Revenue by Education Level</t>
  </si>
  <si>
    <t>Average Amount Spend</t>
  </si>
  <si>
    <t>Total Customer Spend</t>
  </si>
  <si>
    <t>Sum of NumWebPurchases</t>
  </si>
  <si>
    <t>Sum of NumStorePurchases</t>
  </si>
  <si>
    <t>% of Online Sales</t>
  </si>
  <si>
    <t>% of Offline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</si>
</sst>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d\-m\-yyyy"/>
    <numFmt numFmtId="166" formatCode="#,&quot;K&quot;"/>
    <numFmt numFmtId="167" formatCode="#,##0&quot;%&quot;"/>
  </numFmts>
  <fonts count="9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000000"/>
      <name val="Aptos"/>
    </font>
    <font>
      <strike/>
      <sz val="12"/>
      <color rgb="FF000000"/>
      <name val="Aptos"/>
    </font>
    <font>
      <sz val="14"/>
      <color rgb="FF000000"/>
      <name val="-webkit-standard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2" borderId="0" xfId="0" applyFont="1" applyFill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/>
    </xf>
    <xf numFmtId="2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" formatCode="0"/>
    </dxf>
    <dxf>
      <numFmt numFmtId="166" formatCode="#,&quot;K&quot;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#,&quot;K&quot;"/>
    </dxf>
    <dxf>
      <numFmt numFmtId="1" formatCode="0"/>
    </dxf>
    <dxf>
      <numFmt numFmtId="1" formatCode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-mm\-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 Chakraborty" refreshedDate="45844.792215277776" createdVersion="8" refreshedVersion="8" minRefreshableVersion="3" recordCount="2240" xr:uid="{97D46DB2-F4D0-2C4F-9EB6-0578359A5392}">
  <cacheSource type="worksheet">
    <worksheetSource name="Table"/>
  </cacheSource>
  <cacheFields count="20">
    <cacheField name="Sl No." numFmtId="0">
      <sharedItems containsSemiMixedTypes="0" containsString="0" containsNumber="1" containsInteger="1" minValue="0" maxValue="2239"/>
    </cacheField>
    <cacheField name="ID" numFmtId="0">
      <sharedItems containsSemiMixedTypes="0" containsString="0" containsNumber="1" containsInteger="1" minValue="0" maxValue="11191" count="2240">
        <n v="5524"/>
        <n v="2174"/>
        <n v="4141"/>
        <n v="6182"/>
        <n v="5324"/>
        <n v="7446"/>
        <n v="965"/>
        <n v="6177"/>
        <n v="4855"/>
        <n v="5899"/>
        <n v="1994"/>
        <n v="387"/>
        <n v="2125"/>
        <n v="8180"/>
        <n v="2569"/>
        <n v="2114"/>
        <n v="9736"/>
        <n v="4939"/>
        <n v="6565"/>
        <n v="2278"/>
        <n v="9360"/>
        <n v="5376"/>
        <n v="1993"/>
        <n v="4047"/>
        <n v="1409"/>
        <n v="7892"/>
        <n v="2404"/>
        <n v="5255"/>
        <n v="9422"/>
        <n v="1966"/>
        <n v="6864"/>
        <n v="3033"/>
        <n v="5710"/>
        <n v="7373"/>
        <n v="8755"/>
        <n v="10738"/>
        <n v="4339"/>
        <n v="10755"/>
        <n v="8595"/>
        <n v="2968"/>
        <n v="8601"/>
        <n v="503"/>
        <n v="8430"/>
        <n v="7281"/>
        <n v="2139"/>
        <n v="1371"/>
        <n v="9909"/>
        <n v="7286"/>
        <n v="7244"/>
        <n v="6566"/>
        <n v="8614"/>
        <n v="4114"/>
        <n v="1331"/>
        <n v="2225"/>
        <n v="9381"/>
        <n v="6260"/>
        <n v="10383"/>
        <n v="7437"/>
        <n v="8557"/>
        <n v="8375"/>
        <n v="6853"/>
        <n v="3076"/>
        <n v="1012"/>
        <n v="6518"/>
        <n v="4137"/>
        <n v="8082"/>
        <n v="1386"/>
        <n v="9369"/>
        <n v="4477"/>
        <n v="1357"/>
        <n v="1402"/>
        <n v="10629"/>
        <n v="6312"/>
        <n v="8132"/>
        <n v="1050"/>
        <n v="5846"/>
        <n v="1859"/>
        <n v="7503"/>
        <n v="10401"/>
        <n v="1618"/>
        <n v="3332"/>
        <n v="2261"/>
        <n v="5346"/>
        <n v="4119"/>
        <n v="535"/>
        <n v="5268"/>
        <n v="273"/>
        <n v="4452"/>
        <n v="8504"/>
        <n v="771"/>
        <n v="8996"/>
        <n v="9235"/>
        <n v="5798"/>
        <n v="11178"/>
        <n v="2230"/>
        <n v="7516"/>
        <n v="7247"/>
        <n v="11100"/>
        <n v="4646"/>
        <n v="3037"/>
        <n v="1473"/>
        <n v="1016"/>
        <n v="4518"/>
        <n v="9370"/>
        <n v="8908"/>
        <n v="8373"/>
        <n v="7533"/>
        <n v="2683"/>
        <n v="3629"/>
        <n v="10991"/>
        <n v="5077"/>
        <n v="7431"/>
        <n v="3267"/>
        <n v="999"/>
        <n v="9215"/>
        <n v="2286"/>
        <n v="1592"/>
        <n v="367"/>
        <n v="5234"/>
        <n v="9862"/>
        <n v="9805"/>
        <n v="6205"/>
        <n v="8442"/>
        <n v="7386"/>
        <n v="7215"/>
        <n v="1491"/>
        <n v="11071"/>
        <n v="3381"/>
        <n v="8268"/>
        <n v="11051"/>
        <n v="8026"/>
        <n v="433"/>
        <n v="9597"/>
        <n v="1295"/>
        <n v="5290"/>
        <n v="1685"/>
        <n v="5342"/>
        <n v="9579"/>
        <n v="7660"/>
        <n v="1461"/>
        <n v="821"/>
        <n v="11084"/>
        <n v="8690"/>
        <n v="2937"/>
        <n v="9701"/>
        <n v="9949"/>
        <n v="10837"/>
        <n v="3120"/>
        <n v="5885"/>
        <n v="4050"/>
        <n v="3830"/>
        <n v="7987"/>
        <n v="7798"/>
        <n v="92"/>
        <n v="7055"/>
        <n v="10240"/>
        <n v="3025"/>
        <n v="9283"/>
        <n v="9970"/>
        <n v="2730"/>
        <n v="2795"/>
        <n v="9260"/>
        <n v="8182"/>
        <n v="10095"/>
        <n v="8475"/>
        <n v="4370"/>
        <n v="10573"/>
        <n v="3712"/>
        <n v="6637"/>
        <n v="3152"/>
        <n v="5610"/>
        <n v="6460"/>
        <n v="1349"/>
        <n v="1880"/>
        <n v="641"/>
        <n v="8717"/>
        <n v="10314"/>
        <n v="10854"/>
        <n v="10492"/>
        <n v="6935"/>
        <n v="7698"/>
        <n v="3559"/>
        <n v="10562"/>
        <n v="10796"/>
        <n v="2563"/>
        <n v="3518"/>
        <n v="5823"/>
        <n v="3934"/>
        <n v="6982"/>
        <n v="6431"/>
        <n v="9733"/>
        <n v="5602"/>
        <n v="7829"/>
        <n v="1324"/>
        <n v="326"/>
        <n v="7224"/>
        <n v="6999"/>
        <n v="9938"/>
        <n v="6422"/>
        <n v="3182"/>
        <n v="7300"/>
        <n v="10424"/>
        <n v="8727"/>
        <n v="2798"/>
        <n v="1030"/>
        <n v="624"/>
        <n v="5176"/>
        <n v="5552"/>
        <n v="868"/>
        <n v="380"/>
        <n v="2677"/>
        <n v="6521"/>
        <n v="6927"/>
        <n v="2877"/>
        <n v="0"/>
        <n v="1584"/>
        <n v="7264"/>
        <n v="6274"/>
        <n v="1377"/>
        <n v="454"/>
        <n v="1755"/>
        <n v="2075"/>
        <n v="4785"/>
        <n v="9076"/>
        <n v="7079"/>
        <n v="4653"/>
        <n v="7375"/>
        <n v="709"/>
        <n v="460"/>
        <n v="3726"/>
        <n v="6798"/>
        <n v="5341"/>
        <n v="1606"/>
        <n v="9617"/>
        <n v="3233"/>
        <n v="89"/>
        <n v="2936"/>
        <n v="9449"/>
        <n v="7297"/>
        <n v="11004"/>
        <n v="313"/>
        <n v="9940"/>
        <n v="10735"/>
        <n v="9529"/>
        <n v="6439"/>
        <n v="7411"/>
        <n v="2176"/>
        <n v="9265"/>
        <n v="8867"/>
        <n v="8932"/>
        <n v="10236"/>
        <n v="6340"/>
        <n v="10089"/>
        <n v="2227"/>
        <n v="10992"/>
        <n v="5304"/>
        <n v="309"/>
        <n v="3406"/>
        <n v="2661"/>
        <n v="3153"/>
        <n v="10264"/>
        <n v="1184"/>
        <n v="4200"/>
        <n v="9396"/>
        <n v="2387"/>
        <n v="6690"/>
        <n v="1225"/>
        <n v="9703"/>
        <n v="291"/>
        <n v="4557"/>
        <n v="2379"/>
        <n v="5726"/>
        <n v="3066"/>
        <n v="6336"/>
        <n v="10967"/>
        <n v="2304"/>
        <n v="3445"/>
        <n v="7828"/>
        <n v="3762"/>
        <n v="4391"/>
        <n v="4669"/>
        <n v="10144"/>
        <n v="8652"/>
        <n v="1672"/>
        <n v="8962"/>
        <n v="9974"/>
        <n v="10983"/>
        <n v="8148"/>
        <n v="10102"/>
        <n v="4697"/>
        <n v="9262"/>
        <n v="7254"/>
        <n v="4543"/>
        <n v="4927"/>
        <n v="10451"/>
        <n v="2926"/>
        <n v="2874"/>
        <n v="9738"/>
        <n v="7119"/>
        <n v="3924"/>
        <n v="5827"/>
        <n v="5596"/>
        <n v="10812"/>
        <n v="1717"/>
        <n v="9491"/>
        <n v="9274"/>
        <n v="6609"/>
        <n v="6963"/>
        <n v="4440"/>
        <n v="1379"/>
        <n v="10032"/>
        <n v="2826"/>
        <n v="2437"/>
        <n v="6320"/>
        <n v="3050"/>
        <n v="231"/>
        <n v="2392"/>
        <n v="9478"/>
        <n v="113"/>
        <n v="2863"/>
        <n v="1802"/>
        <n v="520"/>
        <n v="8275"/>
        <n v="9750"/>
        <n v="2607"/>
        <n v="7214"/>
        <n v="5835"/>
        <n v="3896"/>
        <n v="10350"/>
        <n v="7786"/>
        <n v="2861"/>
        <n v="663"/>
        <n v="10675"/>
        <n v="2521"/>
        <n v="9592"/>
        <n v="10151"/>
        <n v="7381"/>
        <n v="4099"/>
        <n v="9560"/>
        <n v="1150"/>
        <n v="10172"/>
        <n v="11191"/>
        <n v="9707"/>
        <n v="6245"/>
        <n v="8234"/>
        <n v="1411"/>
        <n v="8553"/>
        <n v="1826"/>
        <n v="8842"/>
        <n v="11030"/>
        <n v="2579"/>
        <n v="175"/>
        <n v="9185"/>
        <n v="11056"/>
        <n v="9365"/>
        <n v="6201"/>
        <n v="2061"/>
        <n v="6184"/>
        <n v="6142"/>
        <n v="4107"/>
        <n v="7274"/>
        <n v="9336"/>
        <n v="2958"/>
        <n v="933"/>
        <n v="5837"/>
        <n v="10704"/>
        <n v="5125"/>
        <n v="4432"/>
        <n v="5955"/>
        <n v="2928"/>
        <n v="5680"/>
        <n v="10313"/>
        <n v="2557"/>
        <n v="1245"/>
        <n v="1519"/>
        <n v="10703"/>
        <n v="1726"/>
        <n v="4459"/>
        <n v="1729"/>
        <n v="1517"/>
        <n v="2098"/>
        <n v="9543"/>
        <n v="6878"/>
        <n v="3310"/>
        <n v="2724"/>
        <n v="948"/>
        <n v="6720"/>
        <n v="6202"/>
        <n v="2066"/>
        <n v="9799"/>
        <n v="8318"/>
        <n v="5642"/>
        <n v="2669"/>
        <n v="455"/>
        <n v="7683"/>
        <n v="3428"/>
        <n v="7414"/>
        <n v="6354"/>
        <n v="798"/>
        <n v="8213"/>
        <n v="2488"/>
        <n v="9999"/>
        <n v="7617"/>
        <n v="615"/>
        <n v="2552"/>
        <n v="194"/>
        <n v="3645"/>
        <n v="8890"/>
        <n v="5049"/>
        <n v="9973"/>
        <n v="7301"/>
        <n v="10882"/>
        <n v="7030"/>
        <n v="7422"/>
        <n v="3523"/>
        <n v="7106"/>
        <n v="6504"/>
        <n v="5067"/>
        <n v="4216"/>
        <n v="8581"/>
        <n v="5929"/>
        <n v="3129"/>
        <n v="6528"/>
        <n v="1361"/>
        <n v="6932"/>
        <n v="7284"/>
        <n v="1340"/>
        <n v="8746"/>
        <n v="5987"/>
        <n v="3767"/>
        <n v="3725"/>
        <n v="4324"/>
        <n v="238"/>
        <n v="6694"/>
        <n v="498"/>
        <n v="9347"/>
        <n v="9699"/>
        <n v="10664"/>
        <n v="5455"/>
        <n v="456"/>
        <n v="5012"/>
        <n v="7495"/>
        <n v="5029"/>
        <n v="10642"/>
        <n v="2106"/>
        <n v="10364"/>
        <n v="5954"/>
        <n v="1137"/>
        <n v="2541"/>
        <n v="1142"/>
        <n v="2276"/>
        <n v="2807"/>
        <n v="6471"/>
        <n v="6131"/>
        <n v="6233"/>
        <n v="4148"/>
        <n v="4947"/>
        <n v="3225"/>
        <n v="7540"/>
        <n v="10648"/>
        <n v="1992"/>
        <n v="7851"/>
        <n v="8594"/>
        <n v="7059"/>
        <n v="2815"/>
        <n v="2416"/>
        <n v="7999"/>
        <n v="9213"/>
        <n v="9697"/>
        <n v="3916"/>
        <n v="2021"/>
        <n v="1581"/>
        <n v="564"/>
        <n v="6619"/>
        <n v="9081"/>
        <n v="178"/>
        <n v="916"/>
        <n v="5512"/>
        <n v="8970"/>
        <n v="10581"/>
        <n v="5300"/>
        <n v="5154"/>
        <n v="8346"/>
        <n v="1676"/>
        <n v="9286"/>
        <n v="2426"/>
        <n v="5172"/>
        <n v="5562"/>
        <n v="3436"/>
        <n v="3921"/>
        <n v="3403"/>
        <n v="22"/>
        <n v="10965"/>
        <n v="9426"/>
        <n v="6605"/>
        <n v="3136"/>
        <n v="8737"/>
        <n v="11088"/>
        <n v="716"/>
        <n v="466"/>
        <n v="9135"/>
        <n v="10623"/>
        <n v="8151"/>
        <n v="5140"/>
        <n v="10160"/>
        <n v="4945"/>
        <n v="10584"/>
        <n v="6071"/>
        <n v="3386"/>
        <n v="8939"/>
        <n v="9925"/>
        <n v="4320"/>
        <n v="5389"/>
        <n v="6036"/>
        <n v="182"/>
        <n v="203"/>
        <n v="11025"/>
        <n v="10203"/>
        <n v="4607"/>
        <n v="3711"/>
        <n v="3696"/>
        <n v="2532"/>
        <n v="9214"/>
        <n v="4943"/>
        <n v="35"/>
        <n v="2258"/>
        <n v="4322"/>
        <n v="713"/>
        <n v="4702"/>
        <n v="3281"/>
        <n v="702"/>
        <n v="2004"/>
        <n v="4769"/>
        <n v="4437"/>
        <n v="8724"/>
        <n v="10741"/>
        <n v="1991"/>
        <n v="6931"/>
        <n v="11096"/>
        <n v="304"/>
        <n v="3665"/>
        <n v="10591"/>
        <n v="5036"/>
        <n v="5547"/>
        <n v="7822"/>
        <n v="8541"/>
        <n v="10955"/>
        <n v="4368"/>
        <n v="9671"/>
        <n v="2256"/>
        <n v="4279"/>
        <n v="5371"/>
        <n v="9240"/>
        <n v="9460"/>
        <n v="9504"/>
        <n v="8692"/>
        <n v="448"/>
        <n v="8314"/>
        <n v="8420"/>
        <n v="3174"/>
        <n v="7685"/>
        <n v="3179"/>
        <n v="9780"/>
        <n v="10681"/>
        <n v="10232"/>
        <n v="4184"/>
        <n v="9120"/>
        <n v="891"/>
        <n v="10381"/>
        <n v="3525"/>
        <n v="6818"/>
        <n v="3526"/>
        <n v="8181"/>
        <n v="1029"/>
        <n v="7369"/>
        <n v="2574"/>
        <n v="8159"/>
        <n v="1160"/>
        <n v="10242"/>
        <n v="5253"/>
        <n v="5966"/>
        <n v="5314"/>
        <n v="5081"/>
        <n v="5123"/>
        <n v="5756"/>
        <n v="8036"/>
        <n v="9058"/>
        <n v="5057"/>
        <n v="254"/>
        <n v="4179"/>
        <n v="3710"/>
        <n v="7627"/>
        <n v="4501"/>
        <n v="6424"/>
        <n v="3075"/>
        <n v="4992"/>
        <n v="5252"/>
        <n v="7444"/>
        <n v="6919"/>
        <n v="3537"/>
        <n v="10277"/>
        <n v="2453"/>
        <n v="7972"/>
        <n v="895"/>
        <n v="1177"/>
        <n v="7141"/>
        <n v="7232"/>
        <n v="8477"/>
        <n v="2457"/>
        <n v="988"/>
        <n v="7930"/>
        <n v="4587"/>
        <n v="6682"/>
        <n v="6222"/>
        <n v="10299"/>
        <n v="3083"/>
        <n v="8953"/>
        <n v="1503"/>
        <n v="8650"/>
        <n v="10862"/>
        <n v="2782"/>
        <n v="6941"/>
        <n v="10972"/>
        <n v="10708"/>
        <n v="6583"/>
        <n v="3641"/>
        <n v="10156"/>
        <n v="4299"/>
        <n v="3469"/>
        <n v="5063"/>
        <n v="10727"/>
        <n v="9624"/>
        <n v="5156"/>
        <n v="4376"/>
        <n v="8923"/>
        <n v="8461"/>
        <n v="6945"/>
        <n v="944"/>
        <n v="1907"/>
        <n v="701"/>
        <n v="3856"/>
        <n v="4149"/>
        <n v="2131"/>
        <n v="2942"/>
        <n v="1173"/>
        <n v="4381"/>
        <n v="4611"/>
        <n v="3376"/>
        <n v="4679"/>
        <n v="10928"/>
        <n v="4248"/>
        <n v="6728"/>
        <n v="6661"/>
        <n v="4725"/>
        <n v="3277"/>
        <n v="5555"/>
        <n v="2564"/>
        <n v="946"/>
        <n v="3867"/>
        <n v="6940"/>
        <n v="55"/>
        <n v="7093"/>
        <n v="5084"/>
        <n v="1777"/>
        <n v="8162"/>
        <n v="10826"/>
        <n v="8754"/>
        <n v="1987"/>
        <n v="11007"/>
        <n v="7426"/>
        <n v="9153"/>
        <n v="10379"/>
        <n v="9204"/>
        <n v="3197"/>
        <n v="2920"/>
        <n v="6961"/>
        <n v="4673"/>
        <n v="9937"/>
        <n v="8779"/>
        <n v="9596"/>
        <n v="2891"/>
        <n v="4910"/>
        <n v="75"/>
        <n v="10120"/>
        <n v="6327"/>
        <n v="10142"/>
        <n v="9826"/>
        <n v="1501"/>
        <n v="10767"/>
        <n v="7279"/>
        <n v="7230"/>
        <n v="143"/>
        <n v="450"/>
        <n v="9316"/>
        <n v="6379"/>
        <n v="9239"/>
        <n v="8315"/>
        <n v="2868"/>
        <n v="10888"/>
        <n v="1277"/>
        <n v="9977"/>
        <n v="10196"/>
        <n v="6384"/>
        <n v="8029"/>
        <n v="968"/>
        <n v="6988"/>
        <n v="4472"/>
        <n v="6991"/>
        <n v="3336"/>
        <n v="4301"/>
        <n v="1940"/>
        <n v="1272"/>
        <n v="1388"/>
        <n v="1044"/>
        <n v="6969"/>
        <n v="10479"/>
        <n v="3619"/>
        <n v="1715"/>
        <n v="10159"/>
        <n v="1463"/>
        <n v="5114"/>
        <n v="4990"/>
        <n v="4329"/>
        <n v="10936"/>
        <n v="4692"/>
        <n v="7212"/>
        <n v="6086"/>
        <n v="437"/>
        <n v="11171"/>
        <n v="11101"/>
        <n v="5329"/>
        <n v="610"/>
        <n v="9384"/>
        <n v="5956"/>
        <n v="10430"/>
        <n v="7875"/>
        <n v="7072"/>
        <n v="6255"/>
        <n v="6516"/>
        <n v="5564"/>
        <n v="5682"/>
        <n v="7458"/>
        <n v="5237"/>
        <n v="7761"/>
        <n v="5278"/>
        <n v="3560"/>
        <n v="7235"/>
        <n v="10548"/>
        <n v="2281"/>
        <n v="4073"/>
        <n v="6974"/>
        <n v="7938"/>
        <n v="7094"/>
        <n v="3667"/>
        <n v="7723"/>
        <n v="3870"/>
        <n v="4012"/>
        <n v="5909"/>
        <n v="10470"/>
        <n v="6488"/>
        <n v="10270"/>
        <n v="6887"/>
        <n v="6406"/>
        <n v="7573"/>
        <n v="4508"/>
        <n v="221"/>
        <n v="5331"/>
        <n v="1911"/>
        <n v="20"/>
        <n v="8786"/>
        <n v="10582"/>
        <n v="1915"/>
        <n v="8897"/>
        <n v="2371"/>
        <n v="4303"/>
        <n v="6825"/>
        <n v="1072"/>
        <n v="4964"/>
        <n v="2461"/>
        <n v="10736"/>
        <n v="3194"/>
        <n v="10839"/>
        <n v="49"/>
        <n v="4290"/>
        <n v="10219"/>
        <n v="4211"/>
        <n v="1135"/>
        <n v="6299"/>
        <n v="10846"/>
        <n v="347"/>
        <n v="6543"/>
        <n v="10446"/>
        <n v="3479"/>
        <n v="11075"/>
        <n v="4442"/>
        <n v="199"/>
        <n v="6722"/>
        <n v="796"/>
        <n v="3749"/>
        <n v="8523"/>
        <n v="310"/>
        <n v="8629"/>
        <n v="236"/>
        <n v="9930"/>
        <n v="3483"/>
        <n v="4599"/>
        <n v="7326"/>
        <n v="7352"/>
        <n v="2350"/>
        <n v="9145"/>
        <n v="2964"/>
        <n v="5585"/>
        <n v="9687"/>
        <n v="3732"/>
        <n v="6303"/>
        <n v="11176"/>
        <n v="2986"/>
        <n v="7462"/>
        <n v="3900"/>
        <n v="7034"/>
        <n v="9493"/>
        <n v="1143"/>
        <n v="1"/>
        <n v="3855"/>
        <n v="5536"/>
        <n v="5989"/>
        <n v="9499"/>
        <n v="6768"/>
        <n v="2150"/>
        <n v="6646"/>
        <n v="4887"/>
        <n v="8560"/>
        <n v="3321"/>
        <n v="11003"/>
        <n v="10402"/>
        <n v="9904"/>
        <n v="6141"/>
        <n v="5687"/>
        <n v="10856"/>
        <n v="5121"/>
        <n v="4186"/>
        <n v="368"/>
        <n v="3312"/>
        <n v="11121"/>
        <n v="5332"/>
        <n v="5848"/>
        <n v="10343"/>
        <n v="5935"/>
        <n v="2895"/>
        <n v="10262"/>
        <n v="7848"/>
        <n v="9477"/>
        <n v="4856"/>
        <n v="7186"/>
        <n v="5794"/>
        <n v="1456"/>
        <n v="4877"/>
        <n v="425"/>
        <n v="3007"/>
        <n v="1031"/>
        <n v="4297"/>
        <n v="807"/>
        <n v="9553"/>
        <n v="4271"/>
        <n v="4120"/>
        <n v="2036"/>
        <n v="115"/>
        <n v="4259"/>
        <n v="8687"/>
        <n v="2447"/>
        <n v="10140"/>
        <n v="9353"/>
        <n v="3623"/>
        <n v="738"/>
        <n v="7631"/>
        <n v="4789"/>
        <n v="773"/>
        <n v="10602"/>
        <n v="1446"/>
        <n v="3270"/>
        <n v="8443"/>
        <n v="9653"/>
        <n v="8916"/>
        <n v="8017"/>
        <n v="5830"/>
        <n v="4597"/>
        <n v="7023"/>
        <n v="8086"/>
        <n v="8825"/>
        <n v="2930"/>
        <n v="1928"/>
        <n v="7108"/>
        <n v="10925"/>
        <n v="9960"/>
        <n v="8800"/>
        <n v="9224"/>
        <n v="5519"/>
        <n v="5046"/>
        <n v="7037"/>
        <n v="905"/>
        <n v="8624"/>
        <n v="8945"/>
        <n v="6445"/>
        <n v="2727"/>
        <n v="6404"/>
        <n v="11074"/>
        <n v="10150"/>
        <n v="1968"/>
        <n v="6534"/>
        <n v="9485"/>
        <n v="7053"/>
        <n v="4654"/>
        <n v="9760"/>
        <n v="1048"/>
        <n v="10619"/>
        <n v="9308"/>
        <n v="10505"/>
        <n v="8362"/>
        <n v="2625"/>
        <n v="4637"/>
        <n v="9972"/>
        <n v="4483"/>
        <n v="4487"/>
        <n v="4988"/>
        <n v="8931"/>
        <n v="5871"/>
        <n v="2008"/>
        <n v="3139"/>
        <n v="10037"/>
        <n v="10673"/>
        <n v="5303"/>
        <n v="538"/>
        <n v="7922"/>
        <n v="5692"/>
        <n v="4843"/>
        <n v="6383"/>
        <n v="1628"/>
        <n v="1204"/>
        <n v="3673"/>
        <n v="760"/>
        <n v="8957"/>
        <n v="4128"/>
        <n v="6810"/>
        <n v="5386"/>
        <n v="8700"/>
        <n v="3202"/>
        <n v="1328"/>
        <n v="8405"/>
        <n v="6515"/>
        <n v="2882"/>
        <n v="7574"/>
        <n v="6387"/>
        <n v="5320"/>
        <n v="5048"/>
        <n v="8146"/>
        <n v="10031"/>
        <n v="5748"/>
        <n v="2134"/>
        <n v="1523"/>
        <n v="9665"/>
        <n v="4640"/>
        <n v="3635"/>
        <n v="3547"/>
        <n v="2456"/>
        <n v="5633"/>
        <n v="7801"/>
        <n v="10489"/>
        <n v="7011"/>
        <n v="2620"/>
        <n v="3933"/>
        <n v="10981"/>
        <n v="1734"/>
        <n v="10995"/>
        <n v="6357"/>
        <n v="9209"/>
        <n v="10286"/>
        <n v="2611"/>
        <n v="1600"/>
        <n v="3308"/>
        <n v="5407"/>
        <n v="2166"/>
        <n v="3955"/>
        <n v="6634"/>
        <n v="3056"/>
        <n v="5718"/>
        <n v="6872"/>
        <n v="8164"/>
        <n v="4580"/>
        <n v="9305"/>
        <n v="453"/>
        <n v="8545"/>
        <n v="9850"/>
        <n v="7378"/>
        <n v="7646"/>
        <n v="1640"/>
        <n v="5184"/>
        <n v="8492"/>
        <n v="11188"/>
        <n v="1212"/>
        <n v="9097"/>
        <n v="10473"/>
        <n v="7962"/>
        <n v="9984"/>
        <n v="5527"/>
        <n v="6374"/>
        <n v="7453"/>
        <n v="8952"/>
        <n v="241"/>
        <n v="8975"/>
        <n v="6119"/>
        <n v="5236"/>
        <n v="5723"/>
        <n v="1710"/>
        <n v="1970"/>
        <n v="5313"/>
        <n v="10634"/>
        <n v="7010"/>
        <n v="8562"/>
        <n v="3158"/>
        <n v="4436"/>
        <n v="5287"/>
        <n v="2445"/>
        <n v="6059"/>
        <n v="4550"/>
        <n v="4240"/>
        <n v="8911"/>
        <n v="3706"/>
        <n v="3628"/>
        <n v="10175"/>
        <n v="8985"/>
        <n v="5204"/>
        <n v="9220"/>
        <n v="9888"/>
        <n v="5263"/>
        <n v="1020"/>
        <n v="9503"/>
        <n v="10613"/>
        <n v="67"/>
        <n v="6019"/>
        <n v="5863"/>
        <n v="3717"/>
        <n v="6730"/>
        <n v="10749"/>
        <n v="4998"/>
        <n v="6287"/>
        <n v="5985"/>
        <n v="4754"/>
        <n v="4002"/>
        <n v="8870"/>
        <n v="966"/>
        <n v="4767"/>
        <n v="9725"/>
        <n v="4475"/>
        <n v="5740"/>
        <n v="5731"/>
        <n v="7290"/>
        <n v="3846"/>
        <n v="8104"/>
        <n v="4507"/>
        <n v="11013"/>
        <n v="4491"/>
        <n v="3759"/>
        <n v="1162"/>
        <n v="2055"/>
        <n v="10766"/>
        <n v="4415"/>
        <n v="3005"/>
        <n v="2223"/>
        <n v="4817"/>
        <n v="2875"/>
        <n v="10536"/>
        <n v="11112"/>
        <n v="3807"/>
        <n v="9197"/>
        <n v="10832"/>
        <n v="6421"/>
        <n v="4207"/>
        <n v="577"/>
        <n v="10855"/>
        <n v="3081"/>
        <n v="3535"/>
        <n v="247"/>
        <n v="8707"/>
        <n v="9523"/>
        <n v="6072"/>
        <n v="6295"/>
        <n v="10914"/>
        <n v="1509"/>
        <n v="5577"/>
        <n v="7348"/>
        <n v="1127"/>
        <n v="1833"/>
        <n v="4944"/>
        <n v="9080"/>
        <n v="6466"/>
        <n v="9964"/>
        <n v="4790"/>
        <n v="10245"/>
        <n v="1109"/>
        <n v="6001"/>
        <n v="5538"/>
        <n v="10552"/>
        <n v="1545"/>
        <n v="7409"/>
        <n v="4444"/>
        <n v="146"/>
        <n v="6271"/>
        <n v="10065"/>
        <n v="4741"/>
        <n v="246"/>
        <n v="375"/>
        <n v="1524"/>
        <n v="10022"/>
        <n v="7451"/>
        <n v="11010"/>
        <n v="4356"/>
        <n v="3885"/>
        <n v="1175"/>
        <n v="880"/>
        <n v="2320"/>
        <n v="850"/>
        <n v="4713"/>
        <n v="675"/>
        <n v="5025"/>
        <n v="2308"/>
        <n v="5995"/>
        <n v="6749"/>
        <n v="1010"/>
        <n v="8977"/>
        <n v="4756"/>
        <n v="3412"/>
        <n v="606"/>
        <n v="5961"/>
        <n v="2975"/>
        <n v="2894"/>
        <n v="7613"/>
        <n v="10542"/>
        <n v="8015"/>
        <n v="10617"/>
        <n v="11166"/>
        <n v="849"/>
        <n v="523"/>
        <n v="4066"/>
        <n v="8414"/>
        <n v="819"/>
        <n v="4961"/>
        <n v="749"/>
        <n v="5430"/>
        <n v="7755"/>
        <n v="10525"/>
        <n v="1453"/>
        <n v="8310"/>
        <n v="10710"/>
        <n v="5031"/>
        <n v="2613"/>
        <n v="213"/>
        <n v="967"/>
        <n v="1077"/>
        <n v="7959"/>
        <n v="640"/>
        <n v="4252"/>
        <n v="8432"/>
        <n v="6218"/>
        <n v="6905"/>
        <n v="5922"/>
        <n v="3598"/>
        <n v="6116"/>
        <n v="6263"/>
        <n v="10486"/>
        <n v="2410"/>
        <n v="193"/>
        <n v="3363"/>
        <n v="8278"/>
        <n v="10660"/>
        <n v="8686"/>
        <n v="1604"/>
        <n v="5907"/>
        <n v="10669"/>
        <n v="2918"/>
        <n v="5735"/>
        <n v="359"/>
        <n v="8387"/>
        <n v="1829"/>
        <n v="3839"/>
        <n v="9392"/>
        <n v="2292"/>
        <n v="10466"/>
        <n v="9855"/>
        <n v="4088"/>
        <n v="5231"/>
        <n v="590"/>
        <n v="8732"/>
        <n v="2315"/>
        <n v="3515"/>
        <n v="2245"/>
        <n v="6283"/>
        <n v="2246"/>
        <n v="6606"/>
        <n v="5545"/>
        <n v="7342"/>
        <n v="837"/>
        <n v="9500"/>
        <n v="3602"/>
        <n v="234"/>
        <n v="2995"/>
        <n v="1118"/>
        <n v="7789"/>
        <n v="3068"/>
        <n v="8955"/>
        <n v="945"/>
        <n v="5644"/>
        <n v="7192"/>
        <n v="2324"/>
        <n v="697"/>
        <n v="3439"/>
        <n v="1506"/>
        <n v="232"/>
        <n v="8876"/>
        <n v="4500"/>
        <n v="9739"/>
        <n v="10395"/>
        <n v="1176"/>
        <n v="1627"/>
        <n v="938"/>
        <n v="2740"/>
        <n v="257"/>
        <n v="4058"/>
        <n v="7736"/>
        <n v="8210"/>
        <n v="833"/>
        <n v="6230"/>
        <n v="7325"/>
        <n v="1307"/>
        <n v="1502"/>
        <n v="6211"/>
        <n v="843"/>
        <n v="4174"/>
        <n v="9757"/>
        <n v="6918"/>
        <n v="286"/>
        <n v="11086"/>
        <n v="1921"/>
        <n v="4138"/>
        <n v="7718"/>
        <n v="1291"/>
        <n v="6862"/>
        <n v="4136"/>
        <n v="803"/>
        <n v="4298"/>
        <n v="10833"/>
        <n v="9606"/>
        <n v="8534"/>
        <n v="5153"/>
        <n v="961"/>
        <n v="5011"/>
        <n v="6653"/>
        <n v="9094"/>
        <n v="810"/>
        <n v="5493"/>
        <n v="2147"/>
        <n v="5107"/>
        <n v="3979"/>
        <n v="6049"/>
        <n v="8147"/>
        <n v="1857"/>
        <n v="3910"/>
        <n v="5207"/>
        <n v="11114"/>
        <n v="5429"/>
        <n v="9400"/>
        <n v="1740"/>
        <n v="7488"/>
        <n v="195"/>
        <n v="635"/>
        <n v="7527"/>
        <n v="10319"/>
        <n v="2296"/>
        <n v="10637"/>
        <n v="2931"/>
        <n v="907"/>
        <n v="3698"/>
        <n v="9516"/>
        <n v="679"/>
        <n v="7384"/>
        <n v="5043"/>
        <n v="5267"/>
        <n v="339"/>
        <n v="2516"/>
        <n v="9010"/>
        <n v="378"/>
        <n v="4808"/>
        <n v="5068"/>
        <n v="7628"/>
        <n v="7128"/>
        <n v="2811"/>
        <n v="3551"/>
        <n v="1663"/>
        <n v="5543"/>
        <n v="1577"/>
        <n v="10641"/>
        <n v="5336"/>
        <n v="6024"/>
        <n v="1878"/>
        <n v="3099"/>
        <n v="6055"/>
        <n v="5841"/>
        <n v="3972"/>
        <n v="4394"/>
        <n v="5758"/>
        <n v="6658"/>
        <n v="4603"/>
        <n v="8427"/>
        <n v="10260"/>
        <n v="7143"/>
        <n v="8789"/>
        <n v="6197"/>
        <n v="4554"/>
        <n v="4937"/>
        <n v="1920"/>
        <n v="8749"/>
        <n v="1650"/>
        <n v="10377"/>
        <n v="9206"/>
        <n v="10971"/>
        <n v="6398"/>
        <n v="9212"/>
        <n v="7937"/>
        <n v="839"/>
        <n v="4246"/>
        <n v="158"/>
        <n v="4832"/>
        <n v="5621"/>
        <n v="1945"/>
        <n v="5147"/>
        <n v="2535"/>
        <n v="11039"/>
        <n v="9495"/>
        <n v="9635"/>
        <n v="2173"/>
        <n v="942"/>
        <n v="9386"/>
        <n v="5510"/>
        <n v="873"/>
        <n v="2253"/>
        <n v="5181"/>
        <n v="979"/>
        <n v="10390"/>
        <n v="4698"/>
        <n v="7793"/>
        <n v="1745"/>
        <n v="10590"/>
        <n v="5080"/>
        <n v="8369"/>
        <n v="5232"/>
        <n v="2407"/>
        <n v="3834"/>
        <n v="7912"/>
        <n v="7712"/>
        <n v="1065"/>
        <n v="7275"/>
        <n v="1343"/>
        <n v="1384"/>
        <n v="9967"/>
        <n v="6181"/>
        <n v="10507"/>
        <n v="2674"/>
        <n v="2698"/>
        <n v="3231"/>
        <n v="4096"/>
        <n v="10476"/>
        <n v="5948"/>
        <n v="9140"/>
        <n v="10258"/>
        <n v="5675"/>
        <n v="4743"/>
        <n v="8805"/>
        <n v="1542"/>
        <n v="6770"/>
        <n v="8773"/>
        <n v="10475"/>
        <n v="10420"/>
        <n v="7514"/>
        <n v="2902"/>
        <n v="4345"/>
        <n v="793"/>
        <n v="10909"/>
        <n v="3769"/>
        <n v="8702"/>
        <n v="4791"/>
        <n v="2963"/>
        <n v="8216"/>
        <n v="8140"/>
        <n v="10146"/>
        <n v="5289"/>
        <n v="2587"/>
        <n v="4405"/>
        <n v="8663"/>
        <n v="2589"/>
        <n v="3421"/>
        <n v="10490"/>
        <n v="4094"/>
        <n v="9958"/>
        <n v="2534"/>
        <n v="4188"/>
        <n v="6613"/>
        <n v="10827"/>
        <n v="5491"/>
        <n v="8402"/>
        <n v="8783"/>
        <n v="10010"/>
        <n v="618"/>
        <n v="9121"/>
        <n v="361"/>
        <n v="4310"/>
        <n v="2678"/>
        <n v="6376"/>
        <n v="524"/>
        <n v="10341"/>
        <n v="5654"/>
        <n v="4098"/>
        <n v="5824"/>
        <n v="7000"/>
        <n v="2561"/>
        <n v="5229"/>
        <n v="4086"/>
        <n v="2428"/>
        <n v="8254"/>
        <n v="2836"/>
        <n v="8418"/>
        <n v="1362"/>
        <n v="7152"/>
        <n v="10033"/>
        <n v="9349"/>
        <n v="274"/>
        <n v="3388"/>
        <n v="922"/>
        <n v="8588"/>
        <n v="2518"/>
        <n v="574"/>
        <n v="3220"/>
        <n v="5967"/>
        <n v="1183"/>
        <n v="6856"/>
        <n v="4530"/>
        <n v="1553"/>
        <n v="4682"/>
        <n v="8204"/>
        <n v="5221"/>
        <n v="1232"/>
        <n v="1927"/>
        <n v="5788"/>
        <n v="6652"/>
        <n v="6246"/>
        <n v="5975"/>
        <n v="6875"/>
        <n v="4399"/>
        <n v="4042"/>
        <n v="2157"/>
        <n v="10133"/>
        <n v="2525"/>
        <n v="8233"/>
        <n v="9483"/>
        <n v="2945"/>
        <n v="10403"/>
        <n v="5074"/>
        <n v="10524"/>
        <n v="4690"/>
        <n v="7521"/>
        <n v="7196"/>
        <n v="4406"/>
        <n v="9672"/>
        <n v="4864"/>
        <n v="4706"/>
        <n v="4070"/>
        <n v="25"/>
        <n v="3697"/>
        <n v="217"/>
        <n v="4220"/>
        <n v="5286"/>
        <n v="9559"/>
        <n v="2849"/>
        <n v="7787"/>
        <n v="3102"/>
        <n v="5868"/>
        <n v="8370"/>
        <n v="9988"/>
        <n v="2939"/>
        <n v="5529"/>
        <n v="9743"/>
        <n v="5763"/>
        <n v="3478"/>
        <n v="7494"/>
        <n v="1763"/>
        <n v="7250"/>
        <n v="2005"/>
        <n v="10770"/>
        <n v="6885"/>
        <n v="2072"/>
        <n v="9463"/>
        <n v="6318"/>
        <n v="4093"/>
        <n v="5751"/>
        <n v="3340"/>
        <n v="3594"/>
        <n v="3584"/>
        <n v="3643"/>
        <n v="851"/>
        <n v="7706"/>
        <n v="3967"/>
        <n v="10128"/>
        <n v="486"/>
        <n v="9"/>
        <n v="9451"/>
        <n v="9264"/>
        <n v="3865"/>
        <n v="2853"/>
        <n v="1490"/>
        <n v="6310"/>
        <n v="10380"/>
        <n v="3887"/>
        <n v="4278"/>
        <n v="8643"/>
        <n v="1998"/>
        <n v="10795"/>
        <n v="11110"/>
        <n v="2408"/>
        <n v="202"/>
        <n v="7998"/>
        <n v="830"/>
        <n v="3536"/>
        <n v="6050"/>
        <n v="125"/>
        <n v="3463"/>
        <n v="2804"/>
        <n v="3745"/>
        <n v="9771"/>
        <n v="451"/>
        <n v="10530"/>
        <n v="1079"/>
        <n v="8920"/>
        <n v="6678"/>
        <n v="3852"/>
        <n v="528"/>
        <n v="73"/>
        <n v="5589"/>
        <n v="10212"/>
        <n v="6365"/>
        <n v="5636"/>
        <n v="591"/>
        <n v="2217"/>
        <n v="2544"/>
        <n v="7725"/>
        <n v="8091"/>
        <n v="7321"/>
        <n v="5462"/>
        <n v="7791"/>
        <n v="955"/>
        <n v="4037"/>
        <n v="6642"/>
        <n v="2793"/>
        <n v="5424"/>
        <n v="879"/>
        <n v="9530"/>
        <n v="4828"/>
        <n v="10699"/>
        <n v="1497"/>
        <n v="7476"/>
        <n v="4390"/>
        <n v="10478"/>
        <n v="1081"/>
        <n v="4261"/>
        <n v="9916"/>
        <n v="5350"/>
        <n v="8135"/>
        <n v="8685"/>
        <n v="4967"/>
        <n v="2130"/>
        <n v="9298"/>
        <n v="8175"/>
        <n v="6257"/>
        <n v="3790"/>
        <n v="9952"/>
        <n v="3503"/>
        <n v="5223"/>
        <n v="4608"/>
        <n v="1626"/>
        <n v="4764"/>
        <n v="2471"/>
        <n v="5892"/>
        <n v="2612"/>
        <n v="4971"/>
        <n v="5185"/>
        <n v="10069"/>
        <n v="2262"/>
        <n v="1131"/>
        <n v="1041"/>
        <n v="24"/>
        <n v="3409"/>
        <n v="7022"/>
        <n v="7943"/>
        <n v="5272"/>
        <n v="5453"/>
        <n v="2565"/>
        <n v="800"/>
        <n v="11092"/>
        <n v="5062"/>
        <n v="8969"/>
        <n v="4656"/>
        <n v="4480"/>
        <n v="9971"/>
        <n v="6729"/>
        <n v="1773"/>
        <n v="9242"/>
        <n v="1764"/>
        <n v="6215"/>
        <n v="10099"/>
        <n v="5423"/>
        <n v="940"/>
        <n v="3011"/>
        <n v="3298"/>
        <n v="8286"/>
        <n v="9668"/>
        <n v="5120"/>
        <n v="6097"/>
        <n v="7019"/>
        <n v="7408"/>
        <n v="8041"/>
        <n v="252"/>
        <n v="9986"/>
        <n v="3276"/>
        <n v="3859"/>
        <n v="3570"/>
        <n v="3783"/>
        <n v="10207"/>
        <n v="10906"/>
        <n v="3427"/>
        <n v="5209"/>
        <n v="10711"/>
        <n v="10785"/>
        <n v="2814"/>
        <n v="6866"/>
        <n v="1665"/>
        <n v="6575"/>
        <n v="3829"/>
        <n v="3091"/>
        <n v="10141"/>
        <n v="5177"/>
        <n v="7005"/>
        <n v="6409"/>
        <n v="7485"/>
        <n v="8079"/>
        <n v="8395"/>
        <n v="10352"/>
        <n v="4931"/>
        <n v="13"/>
        <n v="1834"/>
        <n v="2285"/>
        <n v="2295"/>
        <n v="1378"/>
        <n v="2781"/>
        <n v="1165"/>
        <n v="1404"/>
        <n v="6457"/>
        <n v="2639"/>
        <n v="8299"/>
        <n v="6437"/>
        <n v="6912"/>
        <n v="7327"/>
        <n v="5299"/>
        <n v="4127"/>
        <n v="8143"/>
        <n v="1964"/>
        <n v="3690"/>
        <n v="3433"/>
        <n v="3389"/>
        <n v="4712"/>
        <n v="1170"/>
        <n v="6347"/>
        <n v="4065"/>
        <n v="8230"/>
        <n v="1215"/>
        <n v="5939"/>
        <n v="2156"/>
        <n v="7788"/>
        <n v="10323"/>
        <n v="7947"/>
        <n v="1891"/>
        <n v="2570"/>
        <n v="9256"/>
        <n v="295"/>
        <n v="7397"/>
        <n v="6349"/>
        <n v="10790"/>
        <n v="10398"/>
        <n v="2431"/>
        <n v="550"/>
        <n v="1890"/>
        <n v="10742"/>
        <n v="10356"/>
        <n v="4676"/>
        <n v="8852"/>
        <n v="3565"/>
        <n v="5294"/>
        <n v="1958"/>
        <n v="7349"/>
        <n v="8799"/>
        <n v="1351"/>
        <n v="1045"/>
        <n v="7732"/>
        <n v="8070"/>
        <n v="477"/>
        <n v="7832"/>
        <n v="2202"/>
        <n v="7396"/>
        <n v="4055"/>
        <n v="10340"/>
        <n v="10091"/>
        <n v="7629"/>
        <n v="10640"/>
        <n v="3498"/>
        <n v="6742"/>
        <n v="1172"/>
        <n v="569"/>
        <n v="4686"/>
        <n v="1381"/>
        <n v="2634"/>
        <n v="10905"/>
        <n v="1744"/>
        <n v="1000"/>
        <n v="3828"/>
        <n v="8605"/>
        <n v="10304"/>
        <n v="4351"/>
        <n v="10129"/>
        <n v="2499"/>
        <n v="10092"/>
        <n v="7500"/>
        <n v="5796"/>
        <n v="10556"/>
        <n v="1064"/>
        <n v="48"/>
        <n v="7610"/>
        <n v="263"/>
        <n v="10814"/>
        <n v="9710"/>
        <n v="9292"/>
        <n v="10250"/>
        <n v="7881"/>
        <n v="5847"/>
        <n v="737"/>
        <n v="3571"/>
        <n v="7807"/>
        <n v="3878"/>
        <n v="5092"/>
        <n v="2154"/>
        <n v="5394"/>
        <n v="3798"/>
        <n v="3524"/>
        <n v="5247"/>
        <n v="5883"/>
        <n v="2118"/>
        <n v="8812"/>
        <n v="6616"/>
        <n v="2797"/>
        <n v="4328"/>
        <n v="9167"/>
        <n v="10560"/>
        <n v="2631"/>
        <n v="8312"/>
        <n v="5534"/>
        <n v="5093"/>
        <n v="7592"/>
        <n v="8895"/>
        <n v="8584"/>
        <n v="2694"/>
        <n v="8910"/>
        <n v="7433"/>
        <n v="164"/>
        <n v="10477"/>
        <n v="2681"/>
        <n v="5150"/>
        <n v="5283"/>
        <n v="9645"/>
        <n v="10678"/>
        <n v="7261"/>
        <n v="9648"/>
        <n v="2870"/>
        <n v="8008"/>
        <n v="1513"/>
        <n v="6173"/>
        <n v="1419"/>
        <n v="9150"/>
        <n v="7960"/>
        <n v="1250"/>
        <n v="9905"/>
        <n v="10691"/>
        <n v="7002"/>
        <n v="2952"/>
        <n v="8439"/>
        <n v="762"/>
        <n v="2831"/>
        <n v="6977"/>
        <n v="6289"/>
        <n v="4168"/>
        <n v="8397"/>
        <n v="9284"/>
        <n v="6237"/>
        <n v="3130"/>
        <n v="1619"/>
        <n v="1990"/>
        <n v="5513"/>
        <n v="269"/>
        <n v="8093"/>
        <n v="10513"/>
        <n v="10177"/>
        <n v="2549"/>
        <n v="5782"/>
        <n v="10057"/>
        <n v="10307"/>
        <n v="8566"/>
        <n v="2415"/>
        <n v="5684"/>
        <n v="8334"/>
        <n v="9166"/>
        <n v="1440"/>
        <n v="78"/>
        <n v="5441"/>
        <n v="5302"/>
        <n v="4687"/>
        <n v="1087"/>
        <n v="6859"/>
        <n v="9860"/>
        <n v="7129"/>
        <n v="5866"/>
        <n v="10521"/>
        <n v="7393"/>
        <n v="7849"/>
        <n v="332"/>
        <n v="9847"/>
        <n v="531"/>
        <n v="9576"/>
        <n v="6906"/>
        <n v="7419"/>
        <n v="3170"/>
        <n v="8527"/>
        <n v="7872"/>
        <n v="9931"/>
        <n v="10595"/>
        <n v="4609"/>
        <n v="5010"/>
        <n v="4427"/>
        <n v="11148"/>
        <n v="1168"/>
        <n v="9595"/>
        <n v="10163"/>
        <n v="2886"/>
        <n v="6710"/>
        <n v="5316"/>
        <n v="9029"/>
        <n v="521"/>
        <n v="1459"/>
        <n v="10241"/>
        <n v="1630"/>
        <n v="3254"/>
        <n v="9064"/>
        <n v="3678"/>
        <n v="4227"/>
        <n v="9467"/>
        <n v="8486"/>
        <n v="2186"/>
        <n v="3286"/>
        <n v="8602"/>
        <n v="3722"/>
        <n v="6715"/>
        <n v="4796"/>
        <n v="9612"/>
        <n v="3766"/>
        <n v="1399"/>
        <n v="1570"/>
        <n v="3426"/>
        <n v="3074"/>
        <n v="8341"/>
        <n v="5180"/>
        <n v="6461"/>
        <n v="7679"/>
        <n v="10702"/>
        <n v="7505"/>
        <n v="5113"/>
        <n v="10858"/>
        <n v="2961"/>
        <n v="2747"/>
        <n v="3010"/>
        <n v="5790"/>
        <n v="6892"/>
        <n v="1743"/>
        <n v="3578"/>
        <n v="8462"/>
        <n v="5558"/>
        <n v="4619"/>
        <n v="8780"/>
        <n v="10789"/>
        <n v="10779"/>
        <n v="5896"/>
        <n v="2337"/>
        <n v="10951"/>
        <n v="544"/>
        <n v="17"/>
        <n v="10680"/>
        <n v="3265"/>
        <n v="5623"/>
        <n v="5832"/>
        <n v="5544"/>
        <n v="6417"/>
        <n v="5831"/>
        <n v="7101"/>
        <n v="10176"/>
        <n v="2326"/>
        <n v="4385"/>
        <n v="2929"/>
        <n v="10686"/>
        <n v="2546"/>
        <n v="3283"/>
        <n v="3138"/>
        <n v="4994"/>
        <n v="7966"/>
        <n v="3112"/>
        <n v="10872"/>
        <n v="2181"/>
        <n v="1867"/>
        <n v="1518"/>
        <n v="5734"/>
        <n v="2878"/>
        <n v="1458"/>
        <n v="7007"/>
        <n v="6200"/>
        <n v="1403"/>
        <n v="4827"/>
        <n v="6250"/>
        <n v="9291"/>
        <n v="2478"/>
        <n v="1139"/>
        <n v="5138"/>
        <n v="5393"/>
        <n v="10413"/>
        <n v="5015"/>
        <n v="10868"/>
        <n v="10676"/>
        <n v="2495"/>
        <n v="7842"/>
        <n v="9955"/>
        <n v="6663"/>
        <n v="2162"/>
        <n v="3434"/>
        <n v="7919"/>
        <n v="5626"/>
        <n v="6428"/>
        <n v="8514"/>
        <n v="10448"/>
        <n v="2109"/>
        <n v="7530"/>
        <n v="8925"/>
        <n v="3009"/>
        <n v="6355"/>
        <n v="3517"/>
        <n v="1158"/>
        <n v="6203"/>
        <n v="7165"/>
        <n v="3595"/>
        <n v="8537"/>
        <n v="4331"/>
        <n v="6281"/>
        <n v="4338"/>
        <n v="2452"/>
        <n v="9507"/>
        <n v="8360"/>
        <n v="10311"/>
        <n v="5117"/>
        <n v="4867"/>
        <n v="9289"/>
        <n v="10913"/>
        <n v="3032"/>
        <n v="8524"/>
        <n v="3334"/>
        <n v="4470"/>
        <n v="1406"/>
        <n v="8619"/>
        <n v="10821"/>
        <n v="4552"/>
        <n v="898"/>
        <n v="9797"/>
        <n v="10949"/>
        <n v="8212"/>
        <n v="6248"/>
        <n v="10164"/>
        <n v="4547"/>
        <n v="6815"/>
        <n v="4122"/>
        <n v="10841"/>
        <n v="5370"/>
        <n v="176"/>
        <n v="4860"/>
        <n v="10757"/>
        <n v="4023"/>
        <n v="6679"/>
        <n v="9923"/>
        <n v="7181"/>
        <n v="3599"/>
        <n v="405"/>
        <n v="6870"/>
        <n v="832"/>
        <n v="2002"/>
        <n v="3657"/>
        <n v="500"/>
        <n v="1951"/>
        <n v="3262"/>
        <n v="4102"/>
        <n v="7042"/>
        <n v="10598"/>
        <n v="255"/>
        <n v="2375"/>
        <n v="9829"/>
        <n v="6214"/>
        <n v="4954"/>
        <n v="7861"/>
        <n v="4837"/>
        <n v="9423"/>
        <n v="4198"/>
        <n v="153"/>
        <n v="9323"/>
        <n v="10001"/>
        <n v="3945"/>
        <n v="3799"/>
        <n v="8625"/>
        <n v="3491"/>
        <n v="983"/>
        <n v="9119"/>
        <n v="4786"/>
        <n v="5872"/>
        <n v="6568"/>
        <n v="5628"/>
        <n v="5631"/>
        <n v="4974"/>
        <n v="8416"/>
        <n v="5454"/>
        <n v="4095"/>
        <n v="5474"/>
        <n v="4268"/>
        <n v="10701"/>
        <n v="3507"/>
        <n v="2079"/>
        <n v="626"/>
        <n v="4426"/>
        <n v="2591"/>
        <n v="10509"/>
        <n v="6382"/>
        <n v="6673"/>
        <n v="7441"/>
        <n v="1071"/>
        <n v="10061"/>
        <n v="7187"/>
        <n v="8775"/>
        <n v="1612"/>
        <n v="2345"/>
        <n v="322"/>
        <n v="10897"/>
        <n v="123"/>
        <n v="6103"/>
        <n v="7899"/>
        <n v="10500"/>
        <n v="1655"/>
        <n v="2406"/>
        <n v="2712"/>
        <n v="5517"/>
        <n v="10643"/>
        <n v="2254"/>
        <n v="10281"/>
        <n v="6958"/>
        <n v="954"/>
        <n v="5079"/>
        <n v="10339"/>
        <n v="4643"/>
        <n v="3117"/>
        <n v="6497"/>
        <n v="5396"/>
        <n v="5250"/>
        <n v="1052"/>
        <n v="2802"/>
        <n v="6343"/>
        <n v="6507"/>
        <n v="7901"/>
        <n v="4865"/>
        <n v="2686"/>
        <n v="3107"/>
        <n v="7734"/>
        <n v="1146"/>
        <n v="11031"/>
        <n v="7428"/>
        <n v="975"/>
        <n v="1103"/>
        <n v="3422"/>
        <n v="1055"/>
        <n v="6544"/>
        <n v="1241"/>
        <n v="2909"/>
        <n v="5802"/>
        <n v="1407"/>
        <n v="6183"/>
        <n v="340"/>
        <n v="5991"/>
        <n v="3104"/>
        <n v="9729"/>
        <n v="1008"/>
        <n v="11091"/>
        <n v="3969"/>
        <n v="1916"/>
        <n v="9907"/>
        <n v="87"/>
        <n v="8659"/>
        <n v="6262"/>
        <n v="6147"/>
        <n v="8832"/>
        <n v="10067"/>
        <n v="7532"/>
        <n v="4915"/>
        <n v="2115"/>
        <n v="2088"/>
        <n v="2493"/>
        <n v="6292"/>
        <n v="1631"/>
        <n v="10104"/>
        <n v="3006"/>
        <n v="3919"/>
        <n v="11181"/>
        <n v="642"/>
        <n v="4369"/>
        <n v="10127"/>
        <n v="271"/>
        <n v="4973"/>
        <n v="2948"/>
        <n v="2715"/>
        <n v="10432"/>
        <n v="9216"/>
        <n v="7124"/>
        <n v="9727"/>
        <n v="5136"/>
        <n v="9790"/>
        <n v="1818"/>
        <n v="1100"/>
        <n v="7873"/>
        <n v="10609"/>
        <n v="6950"/>
        <n v="7233"/>
        <n v="9481"/>
        <n v="7699"/>
        <n v="2711"/>
        <n v="8933"/>
        <n v="8726"/>
        <n v="1515"/>
        <n v="5186"/>
        <n v="10157"/>
        <n v="5667"/>
        <n v="902"/>
        <n v="977"/>
        <n v="7313"/>
        <n v="7600"/>
        <n v="9706"/>
        <n v="2429"/>
        <n v="3520"/>
        <n v="10394"/>
        <n v="4548"/>
        <n v="9362"/>
        <n v="3968"/>
        <n v="4084"/>
        <n v="6721"/>
        <n v="2829"/>
        <n v="1772"/>
        <n v="1544"/>
        <n v="492"/>
        <n v="4377"/>
        <n v="4541"/>
        <n v="1321"/>
        <n v="8858"/>
        <n v="3266"/>
        <n v="11187"/>
        <n v="8207"/>
        <n v="9723"/>
        <n v="2666"/>
        <n v="5721"/>
        <n v="10652"/>
        <n v="1646"/>
        <n v="4418"/>
        <n v="2656"/>
        <n v="7990"/>
        <n v="8722"/>
        <n v="7118"/>
        <n v="2980"/>
        <n v="1839"/>
        <n v="10722"/>
        <n v="2632"/>
        <n v="9014"/>
        <n v="7620"/>
        <n v="10968"/>
        <n v="11133"/>
        <n v="2736"/>
        <n v="1876"/>
        <n v="5959"/>
        <n v="1092"/>
        <n v="4333"/>
        <n v="3850"/>
        <n v="6168"/>
        <n v="607"/>
        <n v="10469"/>
        <n v="6983"/>
        <n v="3661"/>
        <n v="9303"/>
        <n v="692"/>
        <n v="736"/>
        <n v="9589"/>
        <n v="4838"/>
        <n v="9246"/>
        <n v="6261"/>
        <n v="7366"/>
        <n v="10659"/>
        <n v="1448"/>
        <n v="4286"/>
        <n v="4749"/>
        <n v="4478"/>
        <n v="4201"/>
        <n v="8720"/>
        <n v="10084"/>
        <n v="7004"/>
        <n v="9817"/>
        <n v="8080"/>
        <n v="9432"/>
        <n v="8372"/>
        <n v="10870"/>
        <n v="4001"/>
        <n v="7270"/>
        <n v="8235"/>
        <n v="9405"/>
      </sharedItems>
    </cacheField>
    <cacheField name="Year_Birth" numFmtId="0">
      <sharedItems containsSemiMixedTypes="0" containsString="0" containsNumber="1" containsInteger="1" minValue="1893" maxValue="1996"/>
    </cacheField>
    <cacheField name="Age" numFmtId="0">
      <sharedItems containsSemiMixedTypes="0" containsString="0" containsNumber="1" containsInteger="1" minValue="29" maxValue="132" count="59">
        <n v="68"/>
        <n v="71"/>
        <n v="60"/>
        <n v="41"/>
        <n v="44"/>
        <n v="58"/>
        <n v="54"/>
        <n v="40"/>
        <n v="51"/>
        <n v="75"/>
        <n v="42"/>
        <n v="49"/>
        <n v="66"/>
        <n v="73"/>
        <n v="38"/>
        <n v="79"/>
        <n v="45"/>
        <n v="76"/>
        <n v="43"/>
        <n v="46"/>
        <n v="74"/>
        <n v="56"/>
        <n v="39"/>
        <n v="36"/>
        <n v="62"/>
        <n v="55"/>
        <n v="52"/>
        <n v="82"/>
        <n v="50"/>
        <n v="29"/>
        <n v="57"/>
        <n v="61"/>
        <n v="48"/>
        <n v="47"/>
        <n v="70"/>
        <n v="59"/>
        <n v="37"/>
        <n v="77"/>
        <n v="67"/>
        <n v="53"/>
        <n v="65"/>
        <n v="80"/>
        <n v="34"/>
        <n v="63"/>
        <n v="72"/>
        <n v="64"/>
        <n v="69"/>
        <n v="33"/>
        <n v="125"/>
        <n v="132"/>
        <n v="35"/>
        <n v="78"/>
        <n v="126"/>
        <n v="32"/>
        <n v="31"/>
        <n v="84"/>
        <n v="81"/>
        <n v="30"/>
        <n v="85"/>
      </sharedItems>
      <fieldGroup base="3">
        <rangePr startNum="29" endNum="132" groupInterval="10"/>
        <groupItems count="13">
          <s v="&lt;29"/>
          <s v="29-38"/>
          <s v="39-48"/>
          <s v="49-58"/>
          <s v="59-68"/>
          <s v="69-78"/>
          <s v="79-88"/>
          <s v="89-98"/>
          <s v="99-108"/>
          <s v="109-118"/>
          <s v="119-128"/>
          <s v="129-138"/>
          <s v="&gt;139"/>
        </groupItems>
      </fieldGroup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 count="8">
        <s v="Single"/>
        <s v="Together"/>
        <s v="Married"/>
        <s v="Divorced"/>
        <s v="Widow"/>
        <s v="Alone"/>
        <s v="Absurd"/>
        <s v="YOLO"/>
      </sharedItems>
    </cacheField>
    <cacheField name="Income" numFmtId="0">
      <sharedItems containsSemiMixedTypes="0" containsString="0" containsNumber="1" containsInteger="1" minValue="1730" maxValue="666666"/>
    </cacheField>
    <cacheField name="Income_Segment" numFmtId="0">
      <sharedItems count="4">
        <s v="Medium"/>
        <s v="Low"/>
        <s v="High"/>
        <s v="Very High"/>
      </sharedItems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Total_Childrenhome" numFmtId="0">
      <sharedItems containsSemiMixedTypes="0" containsString="0" containsNumber="1" containsInteger="1" minValue="0" maxValue="3" count="4">
        <n v="0"/>
        <n v="2"/>
        <n v="1"/>
        <n v="3"/>
      </sharedItems>
    </cacheField>
    <cacheField name="Dt_Customer" numFmtId="0">
      <sharedItems containsSemiMixedTypes="0" containsNonDate="0" containsDate="1" containsString="0" minDate="2012-07-30T00:00:00" maxDate="2014-06-30T00:00:00"/>
    </cacheField>
    <cacheField name="Tenure" numFmtId="0">
      <sharedItems/>
    </cacheField>
    <cacheField name="Recency" numFmtId="0">
      <sharedItems containsSemiMixedTypes="0" containsString="0" containsNumber="1" containsInteger="1" minValue="0" maxValue="99"/>
    </cacheField>
    <cacheField name="MntFruits" numFmtId="0">
      <sharedItems containsSemiMixedTypes="0" containsString="0" containsNumber="1" containsInteger="1" minValue="0" maxValue="199"/>
    </cacheField>
    <cacheField name="MntSweetProducts" numFmtId="0">
      <sharedItems containsSemiMixedTypes="0" containsString="0" containsNumber="1" containsInteger="1" minValue="0" maxValue="263"/>
    </cacheField>
    <cacheField name="MntTotal_Spent" numFmtId="0">
      <sharedItems containsSemiMixedTypes="0" containsString="0" containsNumber="1" containsInteger="1" minValue="0" maxValue="378"/>
    </cacheField>
    <cacheField name="NumWebPurchases" numFmtId="0">
      <sharedItems containsSemiMixedTypes="0" containsString="0" containsNumber="1" containsInteger="1" minValue="0" maxValue="27"/>
    </cacheField>
    <cacheField name="NumStorePurchases" numFmtId="0">
      <sharedItems containsSemiMixedTypes="0" containsString="0" containsNumber="1" containsInteger="1" minValue="0" maxValue="13"/>
    </cacheField>
    <cacheField name="Total_Purchases" numFmtId="0">
      <sharedItems containsSemiMixedTypes="0" containsString="0" containsNumber="1" containsInteger="1" minValue="0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0"/>
    <x v="0"/>
    <n v="1957"/>
    <x v="0"/>
    <x v="0"/>
    <x v="0"/>
    <n v="58138"/>
    <x v="0"/>
    <n v="0"/>
    <n v="0"/>
    <x v="0"/>
    <d v="2012-09-04T00:00:00"/>
    <s v="12 years, 10 months"/>
    <n v="58"/>
    <n v="88"/>
    <n v="88"/>
    <n v="176"/>
    <n v="8"/>
    <n v="4"/>
    <n v="12"/>
  </r>
  <r>
    <n v="1"/>
    <x v="1"/>
    <n v="1954"/>
    <x v="1"/>
    <x v="0"/>
    <x v="0"/>
    <n v="46344"/>
    <x v="0"/>
    <n v="1"/>
    <n v="1"/>
    <x v="1"/>
    <d v="2014-03-08T00:00:00"/>
    <s v="11 years, 3 months"/>
    <n v="38"/>
    <n v="1"/>
    <n v="1"/>
    <n v="2"/>
    <n v="1"/>
    <n v="2"/>
    <n v="3"/>
  </r>
  <r>
    <n v="2"/>
    <x v="2"/>
    <n v="1965"/>
    <x v="2"/>
    <x v="0"/>
    <x v="1"/>
    <n v="71613"/>
    <x v="0"/>
    <n v="0"/>
    <n v="0"/>
    <x v="0"/>
    <d v="2013-08-21T00:00:00"/>
    <s v="11 years, 10 months"/>
    <n v="26"/>
    <n v="49"/>
    <n v="21"/>
    <n v="70"/>
    <n v="8"/>
    <n v="10"/>
    <n v="18"/>
  </r>
  <r>
    <n v="3"/>
    <x v="3"/>
    <n v="1984"/>
    <x v="3"/>
    <x v="0"/>
    <x v="1"/>
    <n v="26646"/>
    <x v="0"/>
    <n v="1"/>
    <n v="0"/>
    <x v="2"/>
    <d v="2014-02-10T00:00:00"/>
    <s v="11 years, 4 months"/>
    <n v="26"/>
    <n v="4"/>
    <n v="3"/>
    <n v="7"/>
    <n v="2"/>
    <n v="4"/>
    <n v="6"/>
  </r>
  <r>
    <n v="4"/>
    <x v="4"/>
    <n v="1981"/>
    <x v="4"/>
    <x v="1"/>
    <x v="2"/>
    <n v="58293"/>
    <x v="0"/>
    <n v="1"/>
    <n v="0"/>
    <x v="2"/>
    <d v="2014-01-19T00:00:00"/>
    <s v="11 years, 5 months"/>
    <n v="94"/>
    <n v="43"/>
    <n v="27"/>
    <n v="70"/>
    <n v="5"/>
    <n v="6"/>
    <n v="11"/>
  </r>
  <r>
    <n v="5"/>
    <x v="5"/>
    <n v="1967"/>
    <x v="5"/>
    <x v="2"/>
    <x v="1"/>
    <n v="62513"/>
    <x v="0"/>
    <n v="0"/>
    <n v="1"/>
    <x v="2"/>
    <d v="2013-09-09T00:00:00"/>
    <s v="11 years, 9 months"/>
    <n v="16"/>
    <n v="42"/>
    <n v="42"/>
    <n v="84"/>
    <n v="6"/>
    <n v="10"/>
    <n v="16"/>
  </r>
  <r>
    <n v="6"/>
    <x v="6"/>
    <n v="1971"/>
    <x v="6"/>
    <x v="0"/>
    <x v="3"/>
    <n v="55635"/>
    <x v="0"/>
    <n v="0"/>
    <n v="1"/>
    <x v="2"/>
    <d v="2012-11-13T00:00:00"/>
    <s v="12 years, 7 months"/>
    <n v="34"/>
    <n v="65"/>
    <n v="49"/>
    <n v="114"/>
    <n v="7"/>
    <n v="7"/>
    <n v="14"/>
  </r>
  <r>
    <n v="7"/>
    <x v="7"/>
    <n v="1985"/>
    <x v="7"/>
    <x v="1"/>
    <x v="2"/>
    <n v="33454"/>
    <x v="0"/>
    <n v="1"/>
    <n v="0"/>
    <x v="2"/>
    <d v="2013-05-08T00:00:00"/>
    <s v="12 years, 1 months"/>
    <n v="32"/>
    <n v="10"/>
    <n v="1"/>
    <n v="11"/>
    <n v="4"/>
    <n v="4"/>
    <n v="8"/>
  </r>
  <r>
    <n v="8"/>
    <x v="8"/>
    <n v="1974"/>
    <x v="8"/>
    <x v="1"/>
    <x v="1"/>
    <n v="30351"/>
    <x v="0"/>
    <n v="1"/>
    <n v="0"/>
    <x v="2"/>
    <d v="2013-06-06T00:00:00"/>
    <s v="12 years, 1 months"/>
    <n v="19"/>
    <n v="0"/>
    <n v="3"/>
    <n v="3"/>
    <n v="3"/>
    <n v="2"/>
    <n v="5"/>
  </r>
  <r>
    <n v="9"/>
    <x v="9"/>
    <n v="1950"/>
    <x v="9"/>
    <x v="1"/>
    <x v="1"/>
    <n v="5648"/>
    <x v="1"/>
    <n v="1"/>
    <n v="1"/>
    <x v="1"/>
    <d v="2014-03-13T00:00:00"/>
    <s v="11 years, 3 months"/>
    <n v="68"/>
    <n v="0"/>
    <n v="1"/>
    <n v="1"/>
    <n v="1"/>
    <n v="0"/>
    <n v="1"/>
  </r>
  <r>
    <n v="10"/>
    <x v="10"/>
    <n v="1983"/>
    <x v="10"/>
    <x v="0"/>
    <x v="2"/>
    <n v="51371"/>
    <x v="0"/>
    <n v="1"/>
    <n v="0"/>
    <x v="2"/>
    <d v="2013-11-15T00:00:00"/>
    <s v="11 years, 7 months"/>
    <n v="11"/>
    <n v="5"/>
    <n v="2"/>
    <n v="7"/>
    <n v="1"/>
    <n v="2"/>
    <n v="3"/>
  </r>
  <r>
    <n v="11"/>
    <x v="11"/>
    <n v="1976"/>
    <x v="11"/>
    <x v="3"/>
    <x v="2"/>
    <n v="7500"/>
    <x v="1"/>
    <n v="0"/>
    <n v="0"/>
    <x v="0"/>
    <d v="2012-11-13T00:00:00"/>
    <s v="12 years, 7 months"/>
    <n v="59"/>
    <n v="16"/>
    <n v="1"/>
    <n v="17"/>
    <n v="2"/>
    <n v="3"/>
    <n v="5"/>
  </r>
  <r>
    <n v="12"/>
    <x v="12"/>
    <n v="1959"/>
    <x v="12"/>
    <x v="0"/>
    <x v="3"/>
    <n v="63033"/>
    <x v="0"/>
    <n v="0"/>
    <n v="0"/>
    <x v="0"/>
    <d v="2013-11-15T00:00:00"/>
    <s v="11 years, 7 months"/>
    <n v="82"/>
    <n v="61"/>
    <n v="112"/>
    <n v="173"/>
    <n v="3"/>
    <n v="8"/>
    <n v="11"/>
  </r>
  <r>
    <n v="13"/>
    <x v="13"/>
    <n v="1952"/>
    <x v="13"/>
    <x v="2"/>
    <x v="3"/>
    <n v="59354"/>
    <x v="0"/>
    <n v="1"/>
    <n v="1"/>
    <x v="1"/>
    <d v="2013-11-15T00:00:00"/>
    <s v="11 years, 7 months"/>
    <n v="53"/>
    <n v="2"/>
    <n v="5"/>
    <n v="7"/>
    <n v="6"/>
    <n v="5"/>
    <n v="11"/>
  </r>
  <r>
    <n v="14"/>
    <x v="14"/>
    <n v="1987"/>
    <x v="14"/>
    <x v="0"/>
    <x v="2"/>
    <n v="17323"/>
    <x v="1"/>
    <n v="0"/>
    <n v="0"/>
    <x v="0"/>
    <d v="2012-10-10T00:00:00"/>
    <s v="12 years, 8 months"/>
    <n v="38"/>
    <n v="14"/>
    <n v="1"/>
    <n v="15"/>
    <n v="1"/>
    <n v="3"/>
    <n v="4"/>
  </r>
  <r>
    <n v="15"/>
    <x v="15"/>
    <n v="1946"/>
    <x v="15"/>
    <x v="1"/>
    <x v="0"/>
    <n v="82800"/>
    <x v="2"/>
    <n v="0"/>
    <n v="0"/>
    <x v="0"/>
    <d v="2012-11-24T00:00:00"/>
    <s v="12 years, 7 months"/>
    <n v="23"/>
    <n v="22"/>
    <n v="68"/>
    <n v="90"/>
    <n v="7"/>
    <n v="12"/>
    <n v="19"/>
  </r>
  <r>
    <n v="16"/>
    <x v="16"/>
    <n v="1980"/>
    <x v="16"/>
    <x v="0"/>
    <x v="2"/>
    <n v="41850"/>
    <x v="0"/>
    <n v="1"/>
    <n v="1"/>
    <x v="1"/>
    <d v="2012-12-24T00:00:00"/>
    <s v="12 years, 6 months"/>
    <n v="51"/>
    <n v="5"/>
    <n v="13"/>
    <n v="18"/>
    <n v="3"/>
    <n v="3"/>
    <n v="6"/>
  </r>
  <r>
    <n v="17"/>
    <x v="17"/>
    <n v="1946"/>
    <x v="15"/>
    <x v="0"/>
    <x v="1"/>
    <n v="37760"/>
    <x v="0"/>
    <n v="0"/>
    <n v="0"/>
    <x v="0"/>
    <d v="2012-08-31T00:00:00"/>
    <s v="12 years, 10 months"/>
    <n v="20"/>
    <n v="5"/>
    <n v="12"/>
    <n v="17"/>
    <n v="4"/>
    <n v="6"/>
    <n v="10"/>
  </r>
  <r>
    <n v="18"/>
    <x v="18"/>
    <n v="1949"/>
    <x v="17"/>
    <x v="2"/>
    <x v="2"/>
    <n v="76995"/>
    <x v="2"/>
    <n v="0"/>
    <n v="1"/>
    <x v="2"/>
    <d v="2013-03-28T00:00:00"/>
    <s v="12 years, 3 months"/>
    <n v="91"/>
    <n v="80"/>
    <n v="16"/>
    <n v="96"/>
    <n v="11"/>
    <n v="9"/>
    <n v="20"/>
  </r>
  <r>
    <n v="19"/>
    <x v="19"/>
    <n v="1985"/>
    <x v="7"/>
    <x v="4"/>
    <x v="0"/>
    <n v="33812"/>
    <x v="0"/>
    <n v="1"/>
    <n v="0"/>
    <x v="2"/>
    <d v="2012-11-03T00:00:00"/>
    <s v="12 years, 8 months"/>
    <n v="86"/>
    <n v="17"/>
    <n v="24"/>
    <n v="41"/>
    <n v="2"/>
    <n v="3"/>
    <n v="5"/>
  </r>
  <r>
    <n v="20"/>
    <x v="20"/>
    <n v="1982"/>
    <x v="18"/>
    <x v="0"/>
    <x v="2"/>
    <n v="37040"/>
    <x v="0"/>
    <n v="0"/>
    <n v="0"/>
    <x v="0"/>
    <d v="2012-08-08T00:00:00"/>
    <s v="12 years, 10 months"/>
    <n v="41"/>
    <n v="2"/>
    <n v="38"/>
    <n v="40"/>
    <n v="4"/>
    <n v="5"/>
    <n v="9"/>
  </r>
  <r>
    <n v="21"/>
    <x v="21"/>
    <n v="1979"/>
    <x v="19"/>
    <x v="0"/>
    <x v="2"/>
    <n v="2447"/>
    <x v="1"/>
    <n v="1"/>
    <n v="0"/>
    <x v="2"/>
    <d v="2013-01-06T00:00:00"/>
    <s v="12 years, 6 months"/>
    <n v="42"/>
    <n v="1"/>
    <n v="1"/>
    <n v="2"/>
    <n v="0"/>
    <n v="0"/>
    <n v="0"/>
  </r>
  <r>
    <n v="22"/>
    <x v="22"/>
    <n v="1949"/>
    <x v="17"/>
    <x v="1"/>
    <x v="2"/>
    <n v="58607"/>
    <x v="0"/>
    <n v="0"/>
    <n v="1"/>
    <x v="2"/>
    <d v="2012-12-23T00:00:00"/>
    <s v="12 years, 6 months"/>
    <n v="63"/>
    <n v="0"/>
    <n v="0"/>
    <n v="0"/>
    <n v="2"/>
    <n v="9"/>
    <n v="11"/>
  </r>
  <r>
    <n v="23"/>
    <x v="23"/>
    <n v="1954"/>
    <x v="1"/>
    <x v="1"/>
    <x v="2"/>
    <n v="65324"/>
    <x v="0"/>
    <n v="0"/>
    <n v="1"/>
    <x v="2"/>
    <d v="2014-01-11T00:00:00"/>
    <s v="11 years, 5 months"/>
    <n v="0"/>
    <n v="0"/>
    <n v="32"/>
    <n v="32"/>
    <n v="6"/>
    <n v="9"/>
    <n v="15"/>
  </r>
  <r>
    <n v="24"/>
    <x v="24"/>
    <n v="1951"/>
    <x v="20"/>
    <x v="0"/>
    <x v="1"/>
    <n v="40689"/>
    <x v="0"/>
    <n v="0"/>
    <n v="1"/>
    <x v="2"/>
    <d v="2013-03-18T00:00:00"/>
    <s v="12 years, 3 months"/>
    <n v="69"/>
    <n v="3"/>
    <n v="6"/>
    <n v="9"/>
    <n v="7"/>
    <n v="5"/>
    <n v="12"/>
  </r>
  <r>
    <n v="25"/>
    <x v="25"/>
    <n v="1969"/>
    <x v="21"/>
    <x v="0"/>
    <x v="0"/>
    <n v="18589"/>
    <x v="1"/>
    <n v="0"/>
    <n v="0"/>
    <x v="0"/>
    <d v="2013-01-02T00:00:00"/>
    <s v="12 years, 6 months"/>
    <n v="89"/>
    <n v="4"/>
    <n v="12"/>
    <n v="16"/>
    <n v="2"/>
    <n v="3"/>
    <n v="5"/>
  </r>
  <r>
    <n v="26"/>
    <x v="26"/>
    <n v="1976"/>
    <x v="11"/>
    <x v="0"/>
    <x v="2"/>
    <n v="53359"/>
    <x v="0"/>
    <n v="1"/>
    <n v="1"/>
    <x v="1"/>
    <d v="2013-05-27T00:00:00"/>
    <s v="12 years, 1 months"/>
    <n v="4"/>
    <n v="4"/>
    <n v="6"/>
    <n v="10"/>
    <n v="5"/>
    <n v="4"/>
    <n v="9"/>
  </r>
  <r>
    <n v="27"/>
    <x v="27"/>
    <n v="1986"/>
    <x v="22"/>
    <x v="0"/>
    <x v="0"/>
    <n v="51371"/>
    <x v="0"/>
    <n v="1"/>
    <n v="0"/>
    <x v="2"/>
    <d v="2013-02-20T00:00:00"/>
    <s v="12 years, 4 months"/>
    <n v="19"/>
    <n v="1"/>
    <n v="263"/>
    <n v="264"/>
    <n v="27"/>
    <n v="0"/>
    <n v="27"/>
  </r>
  <r>
    <n v="28"/>
    <x v="28"/>
    <n v="1989"/>
    <x v="23"/>
    <x v="0"/>
    <x v="2"/>
    <n v="38360"/>
    <x v="0"/>
    <n v="1"/>
    <n v="0"/>
    <x v="2"/>
    <d v="2013-05-31T00:00:00"/>
    <s v="12 years, 1 months"/>
    <n v="26"/>
    <n v="2"/>
    <n v="21"/>
    <n v="23"/>
    <n v="2"/>
    <n v="4"/>
    <n v="6"/>
  </r>
  <r>
    <n v="29"/>
    <x v="29"/>
    <n v="1965"/>
    <x v="2"/>
    <x v="1"/>
    <x v="2"/>
    <n v="84618"/>
    <x v="2"/>
    <n v="0"/>
    <n v="0"/>
    <x v="0"/>
    <d v="2013-11-22T00:00:00"/>
    <s v="11 years, 7 months"/>
    <n v="96"/>
    <n v="100"/>
    <n v="66"/>
    <n v="166"/>
    <n v="6"/>
    <n v="10"/>
    <n v="16"/>
  </r>
  <r>
    <n v="30"/>
    <x v="30"/>
    <n v="1989"/>
    <x v="23"/>
    <x v="2"/>
    <x v="3"/>
    <n v="10979"/>
    <x v="1"/>
    <n v="0"/>
    <n v="0"/>
    <x v="0"/>
    <d v="2014-05-22T00:00:00"/>
    <s v="11 years, 1 months"/>
    <n v="34"/>
    <n v="4"/>
    <n v="2"/>
    <n v="6"/>
    <n v="3"/>
    <n v="3"/>
    <n v="6"/>
  </r>
  <r>
    <n v="31"/>
    <x v="31"/>
    <n v="1963"/>
    <x v="24"/>
    <x v="2"/>
    <x v="1"/>
    <n v="38620"/>
    <x v="0"/>
    <n v="0"/>
    <n v="0"/>
    <x v="0"/>
    <d v="2013-05-11T00:00:00"/>
    <s v="12 years, 1 months"/>
    <n v="56"/>
    <n v="17"/>
    <n v="22"/>
    <n v="39"/>
    <n v="2"/>
    <n v="3"/>
    <n v="5"/>
  </r>
  <r>
    <n v="32"/>
    <x v="32"/>
    <n v="1970"/>
    <x v="25"/>
    <x v="0"/>
    <x v="1"/>
    <n v="40548"/>
    <x v="0"/>
    <n v="0"/>
    <n v="1"/>
    <x v="2"/>
    <d v="2012-10-10T00:00:00"/>
    <s v="12 years, 8 months"/>
    <n v="31"/>
    <n v="0"/>
    <n v="0"/>
    <n v="0"/>
    <n v="2"/>
    <n v="4"/>
    <n v="6"/>
  </r>
  <r>
    <n v="33"/>
    <x v="33"/>
    <n v="1952"/>
    <x v="13"/>
    <x v="1"/>
    <x v="3"/>
    <n v="46610"/>
    <x v="0"/>
    <n v="0"/>
    <n v="2"/>
    <x v="1"/>
    <d v="2012-10-29T00:00:00"/>
    <s v="12 years, 8 months"/>
    <n v="8"/>
    <n v="12"/>
    <n v="22"/>
    <n v="34"/>
    <n v="4"/>
    <n v="6"/>
    <n v="10"/>
  </r>
  <r>
    <n v="34"/>
    <x v="34"/>
    <n v="1946"/>
    <x v="15"/>
    <x v="2"/>
    <x v="2"/>
    <n v="68657"/>
    <x v="0"/>
    <n v="0"/>
    <n v="0"/>
    <x v="0"/>
    <d v="2013-02-20T00:00:00"/>
    <s v="12 years, 4 months"/>
    <n v="4"/>
    <n v="34"/>
    <n v="68"/>
    <n v="102"/>
    <n v="3"/>
    <n v="9"/>
    <n v="12"/>
  </r>
  <r>
    <n v="35"/>
    <x v="35"/>
    <n v="1951"/>
    <x v="20"/>
    <x v="2"/>
    <x v="0"/>
    <n v="49389"/>
    <x v="0"/>
    <n v="1"/>
    <n v="1"/>
    <x v="1"/>
    <d v="2013-08-29T00:00:00"/>
    <s v="11 years, 10 months"/>
    <n v="55"/>
    <n v="0"/>
    <n v="1"/>
    <n v="1"/>
    <n v="2"/>
    <n v="3"/>
    <n v="5"/>
  </r>
  <r>
    <n v="36"/>
    <x v="36"/>
    <n v="1970"/>
    <x v="25"/>
    <x v="1"/>
    <x v="2"/>
    <n v="67353"/>
    <x v="0"/>
    <n v="0"/>
    <n v="1"/>
    <x v="2"/>
    <d v="2013-12-31T00:00:00"/>
    <s v="11 years, 6 months"/>
    <n v="37"/>
    <n v="17"/>
    <n v="8"/>
    <n v="25"/>
    <n v="5"/>
    <n v="12"/>
    <n v="17"/>
  </r>
  <r>
    <n v="37"/>
    <x v="37"/>
    <n v="1976"/>
    <x v="11"/>
    <x v="4"/>
    <x v="2"/>
    <n v="23718"/>
    <x v="1"/>
    <n v="1"/>
    <n v="0"/>
    <x v="2"/>
    <d v="2013-09-02T00:00:00"/>
    <s v="11 years, 10 months"/>
    <n v="76"/>
    <n v="3"/>
    <n v="7"/>
    <n v="10"/>
    <n v="3"/>
    <n v="2"/>
    <n v="5"/>
  </r>
  <r>
    <n v="38"/>
    <x v="38"/>
    <n v="1973"/>
    <x v="26"/>
    <x v="0"/>
    <x v="4"/>
    <n v="42429"/>
    <x v="0"/>
    <n v="0"/>
    <n v="1"/>
    <x v="2"/>
    <d v="2014-02-11T00:00:00"/>
    <s v="11 years, 4 months"/>
    <n v="99"/>
    <n v="0"/>
    <n v="0"/>
    <n v="0"/>
    <n v="1"/>
    <n v="3"/>
    <n v="4"/>
  </r>
  <r>
    <n v="39"/>
    <x v="39"/>
    <n v="1943"/>
    <x v="27"/>
    <x v="1"/>
    <x v="3"/>
    <n v="48948"/>
    <x v="0"/>
    <n v="0"/>
    <n v="0"/>
    <x v="0"/>
    <d v="2013-02-01T00:00:00"/>
    <s v="12 years, 5 months"/>
    <n v="53"/>
    <n v="8"/>
    <n v="49"/>
    <n v="57"/>
    <n v="7"/>
    <n v="5"/>
    <n v="12"/>
  </r>
  <r>
    <n v="40"/>
    <x v="40"/>
    <n v="1980"/>
    <x v="16"/>
    <x v="0"/>
    <x v="2"/>
    <n v="80011"/>
    <x v="2"/>
    <n v="0"/>
    <n v="1"/>
    <x v="2"/>
    <d v="2013-04-29T00:00:00"/>
    <s v="12 years, 2 months"/>
    <n v="3"/>
    <n v="76"/>
    <n v="178"/>
    <n v="254"/>
    <n v="8"/>
    <n v="5"/>
    <n v="13"/>
  </r>
  <r>
    <n v="41"/>
    <x v="41"/>
    <n v="1985"/>
    <x v="7"/>
    <x v="2"/>
    <x v="2"/>
    <n v="20559"/>
    <x v="1"/>
    <n v="1"/>
    <n v="0"/>
    <x v="2"/>
    <d v="2013-03-12T00:00:00"/>
    <s v="12 years, 3 months"/>
    <n v="88"/>
    <n v="1"/>
    <n v="0"/>
    <n v="1"/>
    <n v="2"/>
    <n v="3"/>
    <n v="5"/>
  </r>
  <r>
    <n v="42"/>
    <x v="42"/>
    <n v="1957"/>
    <x v="0"/>
    <x v="0"/>
    <x v="1"/>
    <n v="21994"/>
    <x v="1"/>
    <n v="0"/>
    <n v="1"/>
    <x v="2"/>
    <d v="2012-12-24T00:00:00"/>
    <s v="12 years, 6 months"/>
    <n v="4"/>
    <n v="0"/>
    <n v="1"/>
    <n v="1"/>
    <n v="0"/>
    <n v="3"/>
    <n v="3"/>
  </r>
  <r>
    <n v="43"/>
    <x v="43"/>
    <n v="1959"/>
    <x v="12"/>
    <x v="1"/>
    <x v="0"/>
    <n v="51371"/>
    <x v="0"/>
    <n v="0"/>
    <n v="0"/>
    <x v="0"/>
    <d v="2013-11-05T00:00:00"/>
    <s v="11 years, 8 months"/>
    <n v="80"/>
    <n v="11"/>
    <n v="2"/>
    <n v="13"/>
    <n v="1"/>
    <n v="4"/>
    <n v="5"/>
  </r>
  <r>
    <n v="44"/>
    <x v="44"/>
    <n v="1975"/>
    <x v="28"/>
    <x v="2"/>
    <x v="2"/>
    <n v="7500"/>
    <x v="1"/>
    <n v="1"/>
    <n v="0"/>
    <x v="2"/>
    <d v="2013-10-02T00:00:00"/>
    <s v="11 years, 9 months"/>
    <n v="19"/>
    <n v="1"/>
    <n v="2"/>
    <n v="3"/>
    <n v="2"/>
    <n v="3"/>
    <n v="5"/>
  </r>
  <r>
    <n v="45"/>
    <x v="45"/>
    <n v="1976"/>
    <x v="11"/>
    <x v="0"/>
    <x v="0"/>
    <n v="79941"/>
    <x v="2"/>
    <n v="0"/>
    <n v="0"/>
    <x v="0"/>
    <d v="2014-06-28T00:00:00"/>
    <s v="11 years, 0 months"/>
    <n v="72"/>
    <n v="164"/>
    <n v="30"/>
    <n v="194"/>
    <n v="2"/>
    <n v="9"/>
    <n v="11"/>
  </r>
  <r>
    <n v="46"/>
    <x v="46"/>
    <n v="1996"/>
    <x v="29"/>
    <x v="4"/>
    <x v="2"/>
    <n v="7500"/>
    <x v="1"/>
    <n v="0"/>
    <n v="0"/>
    <x v="0"/>
    <d v="2012-11-09T00:00:00"/>
    <s v="12 years, 7 months"/>
    <n v="24"/>
    <n v="18"/>
    <n v="22"/>
    <n v="40"/>
    <n v="3"/>
    <n v="3"/>
    <n v="6"/>
  </r>
  <r>
    <n v="47"/>
    <x v="47"/>
    <n v="1968"/>
    <x v="30"/>
    <x v="0"/>
    <x v="1"/>
    <n v="41728"/>
    <x v="0"/>
    <n v="1"/>
    <n v="0"/>
    <x v="2"/>
    <d v="2013-05-24T00:00:00"/>
    <s v="12 years, 1 months"/>
    <n v="92"/>
    <n v="6"/>
    <n v="5"/>
    <n v="11"/>
    <n v="2"/>
    <n v="2"/>
    <n v="4"/>
  </r>
  <r>
    <n v="48"/>
    <x v="48"/>
    <n v="1951"/>
    <x v="20"/>
    <x v="0"/>
    <x v="0"/>
    <n v="51371"/>
    <x v="0"/>
    <n v="2"/>
    <n v="1"/>
    <x v="3"/>
    <d v="2014-01-01T00:00:00"/>
    <s v="11 years, 6 months"/>
    <n v="96"/>
    <n v="5"/>
    <n v="10"/>
    <n v="15"/>
    <n v="2"/>
    <n v="4"/>
    <n v="6"/>
  </r>
  <r>
    <n v="49"/>
    <x v="49"/>
    <n v="1954"/>
    <x v="1"/>
    <x v="1"/>
    <x v="2"/>
    <n v="72550"/>
    <x v="0"/>
    <n v="1"/>
    <n v="1"/>
    <x v="1"/>
    <d v="2012-11-08T00:00:00"/>
    <s v="12 years, 7 months"/>
    <n v="39"/>
    <n v="50"/>
    <n v="38"/>
    <n v="88"/>
    <n v="5"/>
    <n v="12"/>
    <n v="17"/>
  </r>
  <r>
    <n v="50"/>
    <x v="50"/>
    <n v="1957"/>
    <x v="0"/>
    <x v="0"/>
    <x v="4"/>
    <n v="65486"/>
    <x v="0"/>
    <n v="0"/>
    <n v="1"/>
    <x v="2"/>
    <d v="2014-05-12T00:00:00"/>
    <s v="11 years, 1 months"/>
    <n v="29"/>
    <n v="19"/>
    <n v="67"/>
    <n v="86"/>
    <n v="4"/>
    <n v="10"/>
    <n v="14"/>
  </r>
  <r>
    <n v="51"/>
    <x v="51"/>
    <n v="1964"/>
    <x v="31"/>
    <x v="2"/>
    <x v="2"/>
    <n v="79143"/>
    <x v="2"/>
    <n v="0"/>
    <n v="0"/>
    <x v="0"/>
    <d v="2012-08-11T00:00:00"/>
    <s v="12 years, 10 months"/>
    <n v="2"/>
    <n v="37"/>
    <n v="167"/>
    <n v="204"/>
    <n v="6"/>
    <n v="13"/>
    <n v="19"/>
  </r>
  <r>
    <n v="52"/>
    <x v="52"/>
    <n v="1977"/>
    <x v="32"/>
    <x v="0"/>
    <x v="0"/>
    <n v="35790"/>
    <x v="0"/>
    <n v="1"/>
    <n v="0"/>
    <x v="2"/>
    <d v="2013-01-02T00:00:00"/>
    <s v="12 years, 6 months"/>
    <n v="54"/>
    <n v="6"/>
    <n v="1"/>
    <n v="7"/>
    <n v="2"/>
    <n v="3"/>
    <n v="5"/>
  </r>
  <r>
    <n v="53"/>
    <x v="53"/>
    <n v="1977"/>
    <x v="32"/>
    <x v="0"/>
    <x v="3"/>
    <n v="82582"/>
    <x v="2"/>
    <n v="0"/>
    <n v="0"/>
    <x v="0"/>
    <d v="2014-06-07T00:00:00"/>
    <s v="11 years, 0 months"/>
    <n v="54"/>
    <n v="120"/>
    <n v="40"/>
    <n v="160"/>
    <n v="4"/>
    <n v="7"/>
    <n v="11"/>
  </r>
  <r>
    <n v="54"/>
    <x v="54"/>
    <n v="1978"/>
    <x v="33"/>
    <x v="0"/>
    <x v="2"/>
    <n v="66373"/>
    <x v="0"/>
    <n v="1"/>
    <n v="1"/>
    <x v="1"/>
    <d v="2013-06-12T00:00:00"/>
    <s v="12 years, 0 months"/>
    <n v="57"/>
    <n v="9"/>
    <n v="24"/>
    <n v="33"/>
    <n v="4"/>
    <n v="10"/>
    <n v="14"/>
  </r>
  <r>
    <n v="55"/>
    <x v="55"/>
    <n v="1955"/>
    <x v="34"/>
    <x v="2"/>
    <x v="1"/>
    <n v="82384"/>
    <x v="2"/>
    <n v="0"/>
    <n v="0"/>
    <x v="0"/>
    <d v="2012-11-19T00:00:00"/>
    <s v="12 years, 7 months"/>
    <n v="55"/>
    <n v="51"/>
    <n v="120"/>
    <n v="171"/>
    <n v="3"/>
    <n v="13"/>
    <n v="16"/>
  </r>
  <r>
    <n v="56"/>
    <x v="56"/>
    <n v="1966"/>
    <x v="35"/>
    <x v="0"/>
    <x v="3"/>
    <n v="70287"/>
    <x v="0"/>
    <n v="0"/>
    <n v="0"/>
    <x v="0"/>
    <d v="2013-04-02T00:00:00"/>
    <s v="12 years, 3 months"/>
    <n v="30"/>
    <n v="35"/>
    <n v="120"/>
    <n v="155"/>
    <n v="5"/>
    <n v="10"/>
    <n v="15"/>
  </r>
  <r>
    <n v="57"/>
    <x v="57"/>
    <n v="1988"/>
    <x v="36"/>
    <x v="0"/>
    <x v="0"/>
    <n v="27938"/>
    <x v="0"/>
    <n v="1"/>
    <n v="0"/>
    <x v="2"/>
    <d v="2014-04-28T00:00:00"/>
    <s v="11 years, 2 months"/>
    <n v="31"/>
    <n v="0"/>
    <n v="1"/>
    <n v="1"/>
    <n v="1"/>
    <n v="4"/>
    <n v="5"/>
  </r>
  <r>
    <n v="58"/>
    <x v="58"/>
    <n v="1982"/>
    <x v="18"/>
    <x v="0"/>
    <x v="0"/>
    <n v="51371"/>
    <x v="0"/>
    <n v="1"/>
    <n v="0"/>
    <x v="2"/>
    <d v="2013-06-17T00:00:00"/>
    <s v="12 years, 0 months"/>
    <n v="57"/>
    <n v="3"/>
    <n v="2"/>
    <n v="5"/>
    <n v="2"/>
    <n v="3"/>
    <n v="5"/>
  </r>
  <r>
    <n v="59"/>
    <x v="59"/>
    <n v="1968"/>
    <x v="30"/>
    <x v="1"/>
    <x v="2"/>
    <n v="55954"/>
    <x v="0"/>
    <n v="0"/>
    <n v="1"/>
    <x v="2"/>
    <d v="2014-03-03T00:00:00"/>
    <s v="11 years, 4 months"/>
    <n v="63"/>
    <n v="0"/>
    <n v="0"/>
    <n v="0"/>
    <n v="8"/>
    <n v="6"/>
    <n v="14"/>
  </r>
  <r>
    <n v="60"/>
    <x v="60"/>
    <n v="1982"/>
    <x v="18"/>
    <x v="2"/>
    <x v="0"/>
    <n v="75777"/>
    <x v="2"/>
    <n v="0"/>
    <n v="0"/>
    <x v="0"/>
    <d v="2013-07-04T00:00:00"/>
    <s v="12 years, 0 months"/>
    <n v="12"/>
    <n v="26"/>
    <n v="13"/>
    <n v="39"/>
    <n v="3"/>
    <n v="11"/>
    <n v="14"/>
  </r>
  <r>
    <n v="61"/>
    <x v="61"/>
    <n v="1975"/>
    <x v="28"/>
    <x v="0"/>
    <x v="1"/>
    <n v="66653"/>
    <x v="0"/>
    <n v="1"/>
    <n v="1"/>
    <x v="1"/>
    <d v="2012-09-07T00:00:00"/>
    <s v="12 years, 9 months"/>
    <n v="18"/>
    <n v="18"/>
    <n v="18"/>
    <n v="36"/>
    <n v="4"/>
    <n v="12"/>
    <n v="16"/>
  </r>
  <r>
    <n v="62"/>
    <x v="62"/>
    <n v="1952"/>
    <x v="13"/>
    <x v="0"/>
    <x v="0"/>
    <n v="61823"/>
    <x v="0"/>
    <n v="0"/>
    <n v="1"/>
    <x v="2"/>
    <d v="2013-02-18T00:00:00"/>
    <s v="12 years, 4 months"/>
    <n v="26"/>
    <n v="7"/>
    <n v="14"/>
    <n v="21"/>
    <n v="8"/>
    <n v="10"/>
    <n v="18"/>
  </r>
  <r>
    <n v="63"/>
    <x v="63"/>
    <n v="1951"/>
    <x v="20"/>
    <x v="1"/>
    <x v="4"/>
    <n v="67680"/>
    <x v="0"/>
    <n v="0"/>
    <n v="1"/>
    <x v="2"/>
    <d v="2013-06-11T00:00:00"/>
    <s v="12 years, 0 months"/>
    <n v="8"/>
    <n v="0"/>
    <n v="6"/>
    <n v="6"/>
    <n v="7"/>
    <n v="8"/>
    <n v="15"/>
  </r>
  <r>
    <n v="64"/>
    <x v="64"/>
    <n v="1948"/>
    <x v="37"/>
    <x v="0"/>
    <x v="1"/>
    <n v="70666"/>
    <x v="0"/>
    <n v="0"/>
    <n v="0"/>
    <x v="0"/>
    <d v="2013-12-06T00:00:00"/>
    <s v="11 years, 7 months"/>
    <n v="29"/>
    <n v="40"/>
    <n v="122"/>
    <n v="162"/>
    <n v="7"/>
    <n v="4"/>
    <n v="11"/>
  </r>
  <r>
    <n v="65"/>
    <x v="65"/>
    <n v="1971"/>
    <x v="6"/>
    <x v="0"/>
    <x v="2"/>
    <n v="25721"/>
    <x v="0"/>
    <n v="1"/>
    <n v="0"/>
    <x v="2"/>
    <d v="2013-05-21T00:00:00"/>
    <s v="12 years, 1 months"/>
    <n v="75"/>
    <n v="3"/>
    <n v="6"/>
    <n v="9"/>
    <n v="1"/>
    <n v="2"/>
    <n v="3"/>
  </r>
  <r>
    <n v="66"/>
    <x v="66"/>
    <n v="1967"/>
    <x v="5"/>
    <x v="0"/>
    <x v="1"/>
    <n v="32474"/>
    <x v="0"/>
    <n v="1"/>
    <n v="1"/>
    <x v="1"/>
    <d v="2014-05-11T00:00:00"/>
    <s v="11 years, 1 months"/>
    <n v="0"/>
    <n v="0"/>
    <n v="0"/>
    <n v="0"/>
    <n v="1"/>
    <n v="2"/>
    <n v="3"/>
  </r>
  <r>
    <n v="67"/>
    <x v="67"/>
    <n v="1979"/>
    <x v="19"/>
    <x v="4"/>
    <x v="0"/>
    <n v="88194"/>
    <x v="2"/>
    <n v="0"/>
    <n v="1"/>
    <x v="2"/>
    <d v="2014-03-19T00:00:00"/>
    <s v="11 years, 3 months"/>
    <n v="19"/>
    <n v="14"/>
    <n v="24"/>
    <n v="38"/>
    <n v="11"/>
    <n v="10"/>
    <n v="21"/>
  </r>
  <r>
    <n v="68"/>
    <x v="68"/>
    <n v="1958"/>
    <x v="38"/>
    <x v="0"/>
    <x v="1"/>
    <n v="69096"/>
    <x v="0"/>
    <n v="0"/>
    <n v="1"/>
    <x v="2"/>
    <d v="2013-09-27T00:00:00"/>
    <s v="11 years, 9 months"/>
    <n v="4"/>
    <n v="49"/>
    <n v="82"/>
    <n v="131"/>
    <n v="5"/>
    <n v="10"/>
    <n v="15"/>
  </r>
  <r>
    <n v="69"/>
    <x v="69"/>
    <n v="1970"/>
    <x v="25"/>
    <x v="0"/>
    <x v="1"/>
    <n v="74854"/>
    <x v="0"/>
    <n v="1"/>
    <n v="2"/>
    <x v="3"/>
    <d v="2013-04-08T00:00:00"/>
    <s v="12 years, 2 months"/>
    <n v="90"/>
    <n v="59"/>
    <n v="29"/>
    <n v="88"/>
    <n v="2"/>
    <n v="5"/>
    <n v="7"/>
  </r>
  <r>
    <n v="70"/>
    <x v="70"/>
    <n v="1954"/>
    <x v="1"/>
    <x v="2"/>
    <x v="2"/>
    <n v="66991"/>
    <x v="0"/>
    <n v="0"/>
    <n v="0"/>
    <x v="0"/>
    <d v="2012-09-11T00:00:00"/>
    <s v="12 years, 9 months"/>
    <n v="1"/>
    <n v="36"/>
    <n v="60"/>
    <n v="96"/>
    <n v="4"/>
    <n v="6"/>
    <n v="10"/>
  </r>
  <r>
    <n v="71"/>
    <x v="71"/>
    <n v="1973"/>
    <x v="26"/>
    <x v="4"/>
    <x v="2"/>
    <n v="51371"/>
    <x v="0"/>
    <n v="1"/>
    <n v="0"/>
    <x v="2"/>
    <d v="2012-09-14T00:00:00"/>
    <s v="12 years, 9 months"/>
    <n v="25"/>
    <n v="3"/>
    <n v="4"/>
    <n v="7"/>
    <n v="3"/>
    <n v="3"/>
    <n v="6"/>
  </r>
  <r>
    <n v="72"/>
    <x v="72"/>
    <n v="1959"/>
    <x v="12"/>
    <x v="0"/>
    <x v="2"/>
    <n v="65031"/>
    <x v="0"/>
    <n v="0"/>
    <n v="1"/>
    <x v="2"/>
    <d v="2013-03-17T00:00:00"/>
    <s v="12 years, 3 months"/>
    <n v="29"/>
    <n v="107"/>
    <n v="37"/>
    <n v="144"/>
    <n v="10"/>
    <n v="13"/>
    <n v="23"/>
  </r>
  <r>
    <n v="73"/>
    <x v="73"/>
    <n v="1975"/>
    <x v="28"/>
    <x v="1"/>
    <x v="2"/>
    <n v="60631"/>
    <x v="0"/>
    <n v="1"/>
    <n v="1"/>
    <x v="1"/>
    <d v="2013-04-05T00:00:00"/>
    <s v="12 years, 3 months"/>
    <n v="88"/>
    <n v="6"/>
    <n v="6"/>
    <n v="12"/>
    <n v="9"/>
    <n v="8"/>
    <n v="17"/>
  </r>
  <r>
    <n v="74"/>
    <x v="74"/>
    <n v="1952"/>
    <x v="13"/>
    <x v="0"/>
    <x v="2"/>
    <n v="28332"/>
    <x v="0"/>
    <n v="0"/>
    <n v="0"/>
    <x v="0"/>
    <d v="2014-04-30T00:00:00"/>
    <s v="11 years, 2 months"/>
    <n v="58"/>
    <n v="10"/>
    <n v="15"/>
    <n v="25"/>
    <n v="2"/>
    <n v="4"/>
    <n v="6"/>
  </r>
  <r>
    <n v="75"/>
    <x v="75"/>
    <n v="1977"/>
    <x v="32"/>
    <x v="0"/>
    <x v="3"/>
    <n v="40246"/>
    <x v="0"/>
    <n v="1"/>
    <n v="0"/>
    <x v="2"/>
    <d v="2012-12-19T00:00:00"/>
    <s v="12 years, 6 months"/>
    <n v="68"/>
    <n v="1"/>
    <n v="1"/>
    <n v="2"/>
    <n v="1"/>
    <n v="2"/>
    <n v="3"/>
  </r>
  <r>
    <n v="76"/>
    <x v="76"/>
    <n v="1972"/>
    <x v="39"/>
    <x v="2"/>
    <x v="2"/>
    <n v="75251"/>
    <x v="2"/>
    <n v="0"/>
    <n v="0"/>
    <x v="0"/>
    <d v="2012-08-27T00:00:00"/>
    <s v="12 years, 10 months"/>
    <n v="34"/>
    <n v="111"/>
    <n v="18"/>
    <n v="129"/>
    <n v="7"/>
    <n v="5"/>
    <n v="12"/>
  </r>
  <r>
    <n v="77"/>
    <x v="77"/>
    <n v="1976"/>
    <x v="11"/>
    <x v="0"/>
    <x v="0"/>
    <n v="75825"/>
    <x v="2"/>
    <n v="0"/>
    <n v="0"/>
    <x v="0"/>
    <d v="2012-10-12T00:00:00"/>
    <s v="12 years, 8 months"/>
    <n v="40"/>
    <n v="105"/>
    <n v="105"/>
    <n v="210"/>
    <n v="5"/>
    <n v="9"/>
    <n v="14"/>
  </r>
  <r>
    <n v="78"/>
    <x v="78"/>
    <n v="1976"/>
    <x v="11"/>
    <x v="4"/>
    <x v="1"/>
    <n v="26326"/>
    <x v="0"/>
    <n v="0"/>
    <n v="0"/>
    <x v="0"/>
    <d v="2013-09-04T00:00:00"/>
    <s v="11 years, 10 months"/>
    <n v="12"/>
    <n v="0"/>
    <n v="3"/>
    <n v="3"/>
    <n v="0"/>
    <n v="3"/>
    <n v="3"/>
  </r>
  <r>
    <n v="79"/>
    <x v="79"/>
    <n v="1965"/>
    <x v="2"/>
    <x v="0"/>
    <x v="1"/>
    <n v="56046"/>
    <x v="0"/>
    <n v="0"/>
    <n v="0"/>
    <x v="0"/>
    <d v="2013-01-02T00:00:00"/>
    <s v="12 years, 6 months"/>
    <n v="9"/>
    <n v="0"/>
    <n v="0"/>
    <n v="0"/>
    <n v="10"/>
    <n v="8"/>
    <n v="18"/>
  </r>
  <r>
    <n v="80"/>
    <x v="80"/>
    <n v="1985"/>
    <x v="7"/>
    <x v="0"/>
    <x v="0"/>
    <n v="29760"/>
    <x v="0"/>
    <n v="1"/>
    <n v="0"/>
    <x v="2"/>
    <d v="2012-08-29T00:00:00"/>
    <s v="12 years, 10 months"/>
    <n v="87"/>
    <n v="4"/>
    <n v="5"/>
    <n v="9"/>
    <n v="3"/>
    <n v="4"/>
    <n v="7"/>
  </r>
  <r>
    <n v="81"/>
    <x v="81"/>
    <n v="1969"/>
    <x v="21"/>
    <x v="0"/>
    <x v="2"/>
    <n v="26304"/>
    <x v="0"/>
    <n v="1"/>
    <n v="0"/>
    <x v="2"/>
    <d v="2013-06-23T00:00:00"/>
    <s v="12 years, 0 months"/>
    <n v="5"/>
    <n v="1"/>
    <n v="0"/>
    <n v="1"/>
    <n v="1"/>
    <n v="2"/>
    <n v="3"/>
  </r>
  <r>
    <n v="82"/>
    <x v="82"/>
    <n v="1973"/>
    <x v="26"/>
    <x v="4"/>
    <x v="2"/>
    <n v="23559"/>
    <x v="1"/>
    <n v="1"/>
    <n v="0"/>
    <x v="2"/>
    <d v="2013-07-03T00:00:00"/>
    <s v="12 years, 0 months"/>
    <n v="87"/>
    <n v="5"/>
    <n v="0"/>
    <n v="5"/>
    <n v="3"/>
    <n v="3"/>
    <n v="6"/>
  </r>
  <r>
    <n v="83"/>
    <x v="83"/>
    <n v="1963"/>
    <x v="24"/>
    <x v="2"/>
    <x v="1"/>
    <n v="38620"/>
    <x v="0"/>
    <n v="0"/>
    <n v="0"/>
    <x v="0"/>
    <d v="2013-05-11T00:00:00"/>
    <s v="12 years, 1 months"/>
    <n v="56"/>
    <n v="17"/>
    <n v="22"/>
    <n v="39"/>
    <n v="2"/>
    <n v="3"/>
    <n v="5"/>
  </r>
  <r>
    <n v="84"/>
    <x v="84"/>
    <n v="1987"/>
    <x v="14"/>
    <x v="0"/>
    <x v="3"/>
    <n v="81361"/>
    <x v="2"/>
    <n v="0"/>
    <n v="0"/>
    <x v="0"/>
    <d v="2014-02-25T00:00:00"/>
    <s v="11 years, 4 months"/>
    <n v="18"/>
    <n v="23"/>
    <n v="65"/>
    <n v="88"/>
    <n v="3"/>
    <n v="13"/>
    <n v="16"/>
  </r>
  <r>
    <n v="85"/>
    <x v="85"/>
    <n v="1960"/>
    <x v="40"/>
    <x v="0"/>
    <x v="2"/>
    <n v="29440"/>
    <x v="0"/>
    <n v="1"/>
    <n v="1"/>
    <x v="1"/>
    <d v="2013-08-11T00:00:00"/>
    <s v="11 years, 10 months"/>
    <n v="95"/>
    <n v="8"/>
    <n v="4"/>
    <n v="12"/>
    <n v="1"/>
    <n v="4"/>
    <n v="5"/>
  </r>
  <r>
    <n v="86"/>
    <x v="86"/>
    <n v="1970"/>
    <x v="25"/>
    <x v="2"/>
    <x v="2"/>
    <n v="36138"/>
    <x v="0"/>
    <n v="1"/>
    <n v="1"/>
    <x v="1"/>
    <d v="2013-07-16T00:00:00"/>
    <s v="11 years, 11 months"/>
    <n v="48"/>
    <n v="0"/>
    <n v="0"/>
    <n v="0"/>
    <n v="3"/>
    <n v="4"/>
    <n v="7"/>
  </r>
  <r>
    <n v="87"/>
    <x v="87"/>
    <n v="1957"/>
    <x v="0"/>
    <x v="0"/>
    <x v="0"/>
    <n v="50388"/>
    <x v="0"/>
    <n v="0"/>
    <n v="1"/>
    <x v="2"/>
    <d v="2014-05-28T00:00:00"/>
    <s v="11 years, 1 months"/>
    <n v="3"/>
    <n v="6"/>
    <n v="3"/>
    <n v="9"/>
    <n v="6"/>
    <n v="6"/>
    <n v="12"/>
  </r>
  <r>
    <n v="88"/>
    <x v="88"/>
    <n v="1973"/>
    <x v="26"/>
    <x v="0"/>
    <x v="2"/>
    <n v="79593"/>
    <x v="2"/>
    <n v="0"/>
    <n v="0"/>
    <x v="0"/>
    <d v="2014-05-12T00:00:00"/>
    <s v="11 years, 1 months"/>
    <n v="70"/>
    <n v="60"/>
    <n v="133"/>
    <n v="193"/>
    <n v="5"/>
    <n v="7"/>
    <n v="12"/>
  </r>
  <r>
    <n v="89"/>
    <x v="89"/>
    <n v="1967"/>
    <x v="5"/>
    <x v="0"/>
    <x v="1"/>
    <n v="54178"/>
    <x v="0"/>
    <n v="0"/>
    <n v="1"/>
    <x v="2"/>
    <d v="2014-01-21T00:00:00"/>
    <s v="11 years, 5 months"/>
    <n v="79"/>
    <n v="9"/>
    <n v="0"/>
    <n v="9"/>
    <n v="2"/>
    <n v="5"/>
    <n v="7"/>
  </r>
  <r>
    <n v="90"/>
    <x v="90"/>
    <n v="1957"/>
    <x v="0"/>
    <x v="1"/>
    <x v="2"/>
    <n v="51371"/>
    <x v="0"/>
    <n v="2"/>
    <n v="1"/>
    <x v="3"/>
    <d v="2012-11-19T00:00:00"/>
    <s v="12 years, 7 months"/>
    <n v="4"/>
    <n v="42"/>
    <n v="37"/>
    <n v="79"/>
    <n v="7"/>
    <n v="8"/>
    <n v="15"/>
  </r>
  <r>
    <n v="91"/>
    <x v="91"/>
    <n v="1957"/>
    <x v="0"/>
    <x v="0"/>
    <x v="0"/>
    <n v="51371"/>
    <x v="0"/>
    <n v="1"/>
    <n v="1"/>
    <x v="1"/>
    <d v="2014-05-27T00:00:00"/>
    <s v="11 years, 1 months"/>
    <n v="45"/>
    <n v="0"/>
    <n v="0"/>
    <n v="0"/>
    <n v="1"/>
    <n v="2"/>
    <n v="3"/>
  </r>
  <r>
    <n v="92"/>
    <x v="92"/>
    <n v="1973"/>
    <x v="26"/>
    <x v="2"/>
    <x v="1"/>
    <n v="51371"/>
    <x v="0"/>
    <n v="0"/>
    <n v="0"/>
    <x v="0"/>
    <d v="2013-11-23T00:00:00"/>
    <s v="11 years, 7 months"/>
    <n v="87"/>
    <n v="37"/>
    <n v="28"/>
    <n v="65"/>
    <n v="2"/>
    <n v="8"/>
    <n v="10"/>
  </r>
  <r>
    <n v="93"/>
    <x v="93"/>
    <n v="1972"/>
    <x v="39"/>
    <x v="2"/>
    <x v="0"/>
    <n v="42394"/>
    <x v="0"/>
    <n v="1"/>
    <n v="0"/>
    <x v="2"/>
    <d v="2014-03-23T00:00:00"/>
    <s v="11 years, 3 months"/>
    <n v="69"/>
    <n v="2"/>
    <n v="1"/>
    <n v="3"/>
    <n v="1"/>
    <n v="3"/>
    <n v="4"/>
  </r>
  <r>
    <n v="94"/>
    <x v="94"/>
    <n v="1970"/>
    <x v="25"/>
    <x v="1"/>
    <x v="2"/>
    <n v="23626"/>
    <x v="1"/>
    <n v="1"/>
    <n v="0"/>
    <x v="2"/>
    <d v="2014-05-24T00:00:00"/>
    <s v="11 years, 1 months"/>
    <n v="84"/>
    <n v="2"/>
    <n v="0"/>
    <n v="2"/>
    <n v="3"/>
    <n v="3"/>
    <n v="6"/>
  </r>
  <r>
    <n v="95"/>
    <x v="95"/>
    <n v="1983"/>
    <x v="10"/>
    <x v="0"/>
    <x v="2"/>
    <n v="30096"/>
    <x v="0"/>
    <n v="1"/>
    <n v="0"/>
    <x v="2"/>
    <d v="2014-05-22T00:00:00"/>
    <s v="11 years, 1 months"/>
    <n v="30"/>
    <n v="3"/>
    <n v="5"/>
    <n v="8"/>
    <n v="2"/>
    <n v="3"/>
    <n v="5"/>
  </r>
  <r>
    <n v="96"/>
    <x v="96"/>
    <n v="1960"/>
    <x v="40"/>
    <x v="0"/>
    <x v="4"/>
    <n v="47916"/>
    <x v="0"/>
    <n v="0"/>
    <n v="1"/>
    <x v="2"/>
    <d v="2012-11-22T00:00:00"/>
    <s v="12 years, 7 months"/>
    <n v="72"/>
    <n v="0"/>
    <n v="0"/>
    <n v="0"/>
    <n v="7"/>
    <n v="6"/>
    <n v="13"/>
  </r>
  <r>
    <n v="97"/>
    <x v="97"/>
    <n v="1972"/>
    <x v="39"/>
    <x v="0"/>
    <x v="3"/>
    <n v="51813"/>
    <x v="0"/>
    <n v="1"/>
    <n v="1"/>
    <x v="1"/>
    <d v="2013-04-11T00:00:00"/>
    <s v="12 years, 2 months"/>
    <n v="37"/>
    <n v="2"/>
    <n v="1"/>
    <n v="3"/>
    <n v="2"/>
    <n v="3"/>
    <n v="5"/>
  </r>
  <r>
    <n v="98"/>
    <x v="98"/>
    <n v="1951"/>
    <x v="20"/>
    <x v="4"/>
    <x v="2"/>
    <n v="78497"/>
    <x v="2"/>
    <n v="0"/>
    <n v="0"/>
    <x v="0"/>
    <d v="2013-12-01T00:00:00"/>
    <s v="11 years, 7 months"/>
    <n v="44"/>
    <n v="26"/>
    <n v="0"/>
    <n v="26"/>
    <n v="5"/>
    <n v="12"/>
    <n v="17"/>
  </r>
  <r>
    <n v="99"/>
    <x v="99"/>
    <n v="1983"/>
    <x v="10"/>
    <x v="1"/>
    <x v="2"/>
    <n v="50150"/>
    <x v="0"/>
    <n v="0"/>
    <n v="0"/>
    <x v="0"/>
    <d v="2013-06-20T00:00:00"/>
    <s v="12 years, 0 months"/>
    <n v="32"/>
    <n v="46"/>
    <n v="61"/>
    <n v="107"/>
    <n v="5"/>
    <n v="7"/>
    <n v="12"/>
  </r>
  <r>
    <n v="100"/>
    <x v="100"/>
    <n v="1960"/>
    <x v="40"/>
    <x v="4"/>
    <x v="0"/>
    <n v="47823"/>
    <x v="0"/>
    <n v="0"/>
    <n v="1"/>
    <x v="2"/>
    <d v="2013-07-23T00:00:00"/>
    <s v="11 years, 11 months"/>
    <n v="0"/>
    <n v="1"/>
    <n v="1"/>
    <n v="2"/>
    <n v="2"/>
    <n v="3"/>
    <n v="5"/>
  </r>
  <r>
    <n v="101"/>
    <x v="101"/>
    <n v="1959"/>
    <x v="12"/>
    <x v="1"/>
    <x v="0"/>
    <n v="34554"/>
    <x v="0"/>
    <n v="0"/>
    <n v="1"/>
    <x v="2"/>
    <d v="2014-03-30T00:00:00"/>
    <s v="11 years, 3 months"/>
    <n v="43"/>
    <n v="1"/>
    <n v="0"/>
    <n v="1"/>
    <n v="2"/>
    <n v="3"/>
    <n v="5"/>
  </r>
  <r>
    <n v="102"/>
    <x v="102"/>
    <n v="1979"/>
    <x v="19"/>
    <x v="0"/>
    <x v="1"/>
    <n v="85693"/>
    <x v="2"/>
    <n v="0"/>
    <n v="1"/>
    <x v="2"/>
    <d v="2013-04-20T00:00:00"/>
    <s v="12 years, 2 months"/>
    <n v="59"/>
    <n v="172"/>
    <n v="132"/>
    <n v="304"/>
    <n v="9"/>
    <n v="11"/>
    <n v="20"/>
  </r>
  <r>
    <n v="103"/>
    <x v="103"/>
    <n v="1945"/>
    <x v="41"/>
    <x v="1"/>
    <x v="2"/>
    <n v="65846"/>
    <x v="0"/>
    <n v="0"/>
    <n v="0"/>
    <x v="0"/>
    <d v="2013-05-17T00:00:00"/>
    <s v="12 years, 1 months"/>
    <n v="68"/>
    <n v="81"/>
    <n v="40"/>
    <n v="121"/>
    <n v="6"/>
    <n v="6"/>
    <n v="12"/>
  </r>
  <r>
    <n v="104"/>
    <x v="104"/>
    <n v="1959"/>
    <x v="12"/>
    <x v="0"/>
    <x v="2"/>
    <n v="87195"/>
    <x v="2"/>
    <n v="0"/>
    <n v="0"/>
    <x v="0"/>
    <d v="2014-05-08T00:00:00"/>
    <s v="11 years, 1 months"/>
    <n v="35"/>
    <n v="76"/>
    <n v="26"/>
    <n v="102"/>
    <n v="3"/>
    <n v="5"/>
    <n v="8"/>
  </r>
  <r>
    <n v="105"/>
    <x v="105"/>
    <n v="1979"/>
    <x v="19"/>
    <x v="3"/>
    <x v="1"/>
    <n v="24594"/>
    <x v="1"/>
    <n v="1"/>
    <n v="0"/>
    <x v="2"/>
    <d v="2013-12-10T00:00:00"/>
    <s v="11 years, 6 months"/>
    <n v="94"/>
    <n v="3"/>
    <n v="0"/>
    <n v="3"/>
    <n v="1"/>
    <n v="3"/>
    <n v="4"/>
  </r>
  <r>
    <n v="106"/>
    <x v="106"/>
    <n v="1964"/>
    <x v="31"/>
    <x v="0"/>
    <x v="2"/>
    <n v="49096"/>
    <x v="0"/>
    <n v="1"/>
    <n v="1"/>
    <x v="1"/>
    <d v="2013-09-24T00:00:00"/>
    <s v="11 years, 9 months"/>
    <n v="15"/>
    <n v="1"/>
    <n v="1"/>
    <n v="2"/>
    <n v="4"/>
    <n v="4"/>
    <n v="8"/>
  </r>
  <r>
    <n v="107"/>
    <x v="107"/>
    <n v="1969"/>
    <x v="21"/>
    <x v="0"/>
    <x v="2"/>
    <n v="52413"/>
    <x v="0"/>
    <n v="0"/>
    <n v="2"/>
    <x v="1"/>
    <d v="2013-02-02T00:00:00"/>
    <s v="12 years, 5 months"/>
    <n v="56"/>
    <n v="106"/>
    <n v="98"/>
    <n v="204"/>
    <n v="6"/>
    <n v="12"/>
    <n v="18"/>
  </r>
  <r>
    <n v="108"/>
    <x v="108"/>
    <n v="1978"/>
    <x v="33"/>
    <x v="0"/>
    <x v="0"/>
    <n v="38557"/>
    <x v="0"/>
    <n v="1"/>
    <n v="0"/>
    <x v="2"/>
    <d v="2012-12-19T00:00:00"/>
    <s v="12 years, 6 months"/>
    <n v="17"/>
    <n v="3"/>
    <n v="4"/>
    <n v="7"/>
    <n v="3"/>
    <n v="3"/>
    <n v="6"/>
  </r>
  <r>
    <n v="109"/>
    <x v="109"/>
    <n v="1960"/>
    <x v="40"/>
    <x v="2"/>
    <x v="2"/>
    <n v="89058"/>
    <x v="2"/>
    <n v="0"/>
    <n v="0"/>
    <x v="0"/>
    <d v="2012-12-07T00:00:00"/>
    <s v="12 years, 6 months"/>
    <n v="18"/>
    <n v="194"/>
    <n v="22"/>
    <n v="216"/>
    <n v="5"/>
    <n v="4"/>
    <n v="9"/>
  </r>
  <r>
    <n v="110"/>
    <x v="110"/>
    <n v="1979"/>
    <x v="19"/>
    <x v="0"/>
    <x v="1"/>
    <n v="77298"/>
    <x v="2"/>
    <n v="0"/>
    <n v="1"/>
    <x v="2"/>
    <d v="2013-11-02T00:00:00"/>
    <s v="11 years, 8 months"/>
    <n v="46"/>
    <n v="115"/>
    <n v="35"/>
    <n v="150"/>
    <n v="6"/>
    <n v="11"/>
    <n v="17"/>
  </r>
  <r>
    <n v="111"/>
    <x v="111"/>
    <n v="1991"/>
    <x v="42"/>
    <x v="1"/>
    <x v="0"/>
    <n v="68126"/>
    <x v="0"/>
    <n v="0"/>
    <n v="0"/>
    <x v="0"/>
    <d v="2012-11-10T00:00:00"/>
    <s v="12 years, 7 months"/>
    <n v="40"/>
    <n v="17"/>
    <n v="51"/>
    <n v="68"/>
    <n v="7"/>
    <n v="5"/>
    <n v="12"/>
  </r>
  <r>
    <n v="112"/>
    <x v="112"/>
    <n v="1963"/>
    <x v="24"/>
    <x v="2"/>
    <x v="1"/>
    <n v="57288"/>
    <x v="0"/>
    <n v="0"/>
    <n v="1"/>
    <x v="2"/>
    <d v="2014-06-25T00:00:00"/>
    <s v="11 years, 0 months"/>
    <n v="27"/>
    <n v="0"/>
    <n v="0"/>
    <n v="0"/>
    <n v="8"/>
    <n v="8"/>
    <n v="16"/>
  </r>
  <r>
    <n v="113"/>
    <x v="113"/>
    <n v="1991"/>
    <x v="42"/>
    <x v="0"/>
    <x v="0"/>
    <n v="86037"/>
    <x v="2"/>
    <n v="0"/>
    <n v="0"/>
    <x v="0"/>
    <d v="2013-01-02T00:00:00"/>
    <s v="12 years, 6 months"/>
    <n v="95"/>
    <n v="44"/>
    <n v="20"/>
    <n v="64"/>
    <n v="6"/>
    <n v="11"/>
    <n v="17"/>
  </r>
  <r>
    <n v="114"/>
    <x v="114"/>
    <n v="1980"/>
    <x v="16"/>
    <x v="1"/>
    <x v="2"/>
    <n v="43974"/>
    <x v="0"/>
    <n v="1"/>
    <n v="0"/>
    <x v="2"/>
    <d v="2012-12-12T00:00:00"/>
    <s v="12 years, 6 months"/>
    <n v="19"/>
    <n v="0"/>
    <n v="0"/>
    <n v="0"/>
    <n v="6"/>
    <n v="6"/>
    <n v="12"/>
  </r>
  <r>
    <n v="115"/>
    <x v="115"/>
    <n v="1962"/>
    <x v="43"/>
    <x v="0"/>
    <x v="0"/>
    <n v="50785"/>
    <x v="0"/>
    <n v="1"/>
    <n v="1"/>
    <x v="1"/>
    <d v="2013-09-10T00:00:00"/>
    <s v="11 years, 9 months"/>
    <n v="27"/>
    <n v="1"/>
    <n v="1"/>
    <n v="2"/>
    <n v="2"/>
    <n v="3"/>
    <n v="5"/>
  </r>
  <r>
    <n v="116"/>
    <x v="116"/>
    <n v="1970"/>
    <x v="25"/>
    <x v="0"/>
    <x v="2"/>
    <n v="90765"/>
    <x v="2"/>
    <n v="0"/>
    <n v="0"/>
    <x v="0"/>
    <d v="2014-01-24T00:00:00"/>
    <s v="11 years, 5 months"/>
    <n v="25"/>
    <n v="99"/>
    <n v="82"/>
    <n v="181"/>
    <n v="4"/>
    <n v="5"/>
    <n v="9"/>
  </r>
  <r>
    <n v="117"/>
    <x v="117"/>
    <n v="1978"/>
    <x v="33"/>
    <x v="4"/>
    <x v="2"/>
    <n v="36550"/>
    <x v="0"/>
    <n v="1"/>
    <n v="0"/>
    <x v="2"/>
    <d v="2013-02-19T00:00:00"/>
    <s v="12 years, 4 months"/>
    <n v="74"/>
    <n v="90"/>
    <n v="103"/>
    <n v="193"/>
    <n v="9"/>
    <n v="5"/>
    <n v="14"/>
  </r>
  <r>
    <n v="118"/>
    <x v="118"/>
    <n v="1967"/>
    <x v="5"/>
    <x v="4"/>
    <x v="1"/>
    <n v="30753"/>
    <x v="0"/>
    <n v="1"/>
    <n v="1"/>
    <x v="1"/>
    <d v="2013-07-11T00:00:00"/>
    <s v="11 years, 11 months"/>
    <n v="85"/>
    <n v="5"/>
    <n v="9"/>
    <n v="14"/>
    <n v="1"/>
    <n v="3"/>
    <n v="4"/>
  </r>
  <r>
    <n v="119"/>
    <x v="119"/>
    <n v="1969"/>
    <x v="21"/>
    <x v="0"/>
    <x v="1"/>
    <n v="21918"/>
    <x v="1"/>
    <n v="1"/>
    <n v="0"/>
    <x v="2"/>
    <d v="2013-11-14T00:00:00"/>
    <s v="11 years, 7 months"/>
    <n v="37"/>
    <n v="6"/>
    <n v="5"/>
    <n v="11"/>
    <n v="2"/>
    <n v="3"/>
    <n v="5"/>
  </r>
  <r>
    <n v="120"/>
    <x v="120"/>
    <n v="1953"/>
    <x v="44"/>
    <x v="2"/>
    <x v="1"/>
    <n v="56129"/>
    <x v="0"/>
    <n v="0"/>
    <n v="1"/>
    <x v="2"/>
    <d v="2013-06-20T00:00:00"/>
    <s v="12 years, 0 months"/>
    <n v="65"/>
    <n v="48"/>
    <n v="72"/>
    <n v="120"/>
    <n v="6"/>
    <n v="10"/>
    <n v="16"/>
  </r>
  <r>
    <n v="121"/>
    <x v="121"/>
    <n v="1967"/>
    <x v="5"/>
    <x v="2"/>
    <x v="0"/>
    <n v="32557"/>
    <x v="0"/>
    <n v="1"/>
    <n v="0"/>
    <x v="2"/>
    <d v="2014-02-24T00:00:00"/>
    <s v="11 years, 4 months"/>
    <n v="13"/>
    <n v="3"/>
    <n v="4"/>
    <n v="7"/>
    <n v="2"/>
    <n v="3"/>
    <n v="5"/>
  </r>
  <r>
    <n v="122"/>
    <x v="122"/>
    <n v="1985"/>
    <x v="7"/>
    <x v="2"/>
    <x v="2"/>
    <n v="19510"/>
    <x v="1"/>
    <n v="2"/>
    <n v="0"/>
    <x v="1"/>
    <d v="2013-09-04T00:00:00"/>
    <s v="11 years, 10 months"/>
    <n v="63"/>
    <n v="0"/>
    <n v="4"/>
    <n v="4"/>
    <n v="1"/>
    <n v="3"/>
    <n v="4"/>
  </r>
  <r>
    <n v="123"/>
    <x v="123"/>
    <n v="1976"/>
    <x v="11"/>
    <x v="0"/>
    <x v="3"/>
    <n v="30992"/>
    <x v="0"/>
    <n v="1"/>
    <n v="0"/>
    <x v="2"/>
    <d v="2013-04-22T00:00:00"/>
    <s v="12 years, 2 months"/>
    <n v="83"/>
    <n v="0"/>
    <n v="3"/>
    <n v="3"/>
    <n v="1"/>
    <n v="3"/>
    <n v="4"/>
  </r>
  <r>
    <n v="124"/>
    <x v="124"/>
    <n v="1983"/>
    <x v="10"/>
    <x v="0"/>
    <x v="0"/>
    <n v="101970"/>
    <x v="2"/>
    <n v="0"/>
    <n v="0"/>
    <x v="0"/>
    <d v="2013-03-12T00:00:00"/>
    <s v="12 years, 3 months"/>
    <n v="69"/>
    <n v="27"/>
    <n v="72"/>
    <n v="99"/>
    <n v="6"/>
    <n v="13"/>
    <n v="19"/>
  </r>
  <r>
    <n v="125"/>
    <x v="125"/>
    <n v="1965"/>
    <x v="2"/>
    <x v="4"/>
    <x v="1"/>
    <n v="71488"/>
    <x v="0"/>
    <n v="0"/>
    <n v="0"/>
    <x v="0"/>
    <d v="2013-02-18T00:00:00"/>
    <s v="12 years, 4 months"/>
    <n v="87"/>
    <n v="33"/>
    <n v="28"/>
    <n v="61"/>
    <n v="3"/>
    <n v="7"/>
    <n v="10"/>
  </r>
  <r>
    <n v="126"/>
    <x v="126"/>
    <n v="1984"/>
    <x v="3"/>
    <x v="0"/>
    <x v="0"/>
    <n v="79607"/>
    <x v="2"/>
    <n v="0"/>
    <n v="0"/>
    <x v="0"/>
    <d v="2013-04-21T00:00:00"/>
    <s v="12 years, 2 months"/>
    <n v="37"/>
    <n v="133"/>
    <n v="0"/>
    <n v="133"/>
    <n v="3"/>
    <n v="6"/>
    <n v="9"/>
  </r>
  <r>
    <n v="127"/>
    <x v="127"/>
    <n v="1953"/>
    <x v="44"/>
    <x v="2"/>
    <x v="2"/>
    <n v="54348"/>
    <x v="0"/>
    <n v="1"/>
    <n v="1"/>
    <x v="1"/>
    <d v="2014-06-08T00:00:00"/>
    <s v="11 years, 0 months"/>
    <n v="51"/>
    <n v="0"/>
    <n v="0"/>
    <n v="0"/>
    <n v="2"/>
    <n v="4"/>
    <n v="6"/>
  </r>
  <r>
    <n v="128"/>
    <x v="128"/>
    <n v="1961"/>
    <x v="45"/>
    <x v="1"/>
    <x v="2"/>
    <n v="51371"/>
    <x v="0"/>
    <n v="0"/>
    <n v="1"/>
    <x v="2"/>
    <d v="2013-07-11T00:00:00"/>
    <s v="11 years, 11 months"/>
    <n v="23"/>
    <n v="0"/>
    <n v="0"/>
    <n v="0"/>
    <n v="6"/>
    <n v="7"/>
    <n v="13"/>
  </r>
  <r>
    <n v="129"/>
    <x v="129"/>
    <n v="1956"/>
    <x v="46"/>
    <x v="1"/>
    <x v="1"/>
    <n v="77376"/>
    <x v="2"/>
    <n v="1"/>
    <n v="1"/>
    <x v="1"/>
    <d v="2014-05-10T00:00:00"/>
    <s v="11 years, 1 months"/>
    <n v="72"/>
    <n v="19"/>
    <n v="12"/>
    <n v="31"/>
    <n v="6"/>
    <n v="10"/>
    <n v="16"/>
  </r>
  <r>
    <n v="130"/>
    <x v="130"/>
    <n v="1952"/>
    <x v="13"/>
    <x v="0"/>
    <x v="2"/>
    <n v="62998"/>
    <x v="0"/>
    <n v="0"/>
    <n v="1"/>
    <x v="2"/>
    <d v="2013-09-30T00:00:00"/>
    <s v="11 years, 9 months"/>
    <n v="10"/>
    <n v="58"/>
    <n v="89"/>
    <n v="147"/>
    <n v="5"/>
    <n v="5"/>
    <n v="10"/>
  </r>
  <r>
    <n v="131"/>
    <x v="131"/>
    <n v="1958"/>
    <x v="38"/>
    <x v="2"/>
    <x v="5"/>
    <n v="61331"/>
    <x v="0"/>
    <n v="1"/>
    <n v="1"/>
    <x v="1"/>
    <d v="2013-03-10T00:00:00"/>
    <s v="12 years, 3 months"/>
    <n v="42"/>
    <n v="5"/>
    <n v="5"/>
    <n v="10"/>
    <n v="11"/>
    <n v="6"/>
    <n v="17"/>
  </r>
  <r>
    <n v="132"/>
    <x v="132"/>
    <n v="1969"/>
    <x v="21"/>
    <x v="0"/>
    <x v="2"/>
    <n v="73448"/>
    <x v="0"/>
    <n v="0"/>
    <n v="0"/>
    <x v="0"/>
    <d v="2014-02-10T00:00:00"/>
    <s v="11 years, 4 months"/>
    <n v="10"/>
    <n v="106"/>
    <n v="41"/>
    <n v="147"/>
    <n v="7"/>
    <n v="9"/>
    <n v="16"/>
  </r>
  <r>
    <n v="133"/>
    <x v="133"/>
    <n v="1963"/>
    <x v="24"/>
    <x v="0"/>
    <x v="2"/>
    <n v="51371"/>
    <x v="0"/>
    <n v="0"/>
    <n v="1"/>
    <x v="2"/>
    <d v="2013-08-11T00:00:00"/>
    <s v="11 years, 10 months"/>
    <n v="96"/>
    <n v="65"/>
    <n v="71"/>
    <n v="136"/>
    <n v="6"/>
    <n v="7"/>
    <n v="13"/>
  </r>
  <r>
    <n v="134"/>
    <x v="134"/>
    <n v="1964"/>
    <x v="31"/>
    <x v="1"/>
    <x v="2"/>
    <n v="41551"/>
    <x v="0"/>
    <n v="1"/>
    <n v="1"/>
    <x v="1"/>
    <d v="2013-08-14T00:00:00"/>
    <s v="11 years, 10 months"/>
    <n v="51"/>
    <n v="0"/>
    <n v="0"/>
    <n v="0"/>
    <n v="5"/>
    <n v="5"/>
    <n v="10"/>
  </r>
  <r>
    <n v="135"/>
    <x v="135"/>
    <n v="1967"/>
    <x v="5"/>
    <x v="1"/>
    <x v="1"/>
    <n v="62981"/>
    <x v="0"/>
    <n v="0"/>
    <n v="0"/>
    <x v="0"/>
    <d v="2013-03-17T00:00:00"/>
    <s v="12 years, 3 months"/>
    <n v="21"/>
    <n v="14"/>
    <n v="44"/>
    <n v="58"/>
    <n v="4"/>
    <n v="13"/>
    <n v="17"/>
  </r>
  <r>
    <n v="136"/>
    <x v="136"/>
    <n v="1976"/>
    <x v="11"/>
    <x v="3"/>
    <x v="3"/>
    <n v="9548"/>
    <x v="1"/>
    <n v="1"/>
    <n v="0"/>
    <x v="2"/>
    <d v="2012-08-08T00:00:00"/>
    <s v="12 years, 10 months"/>
    <n v="31"/>
    <n v="1"/>
    <n v="6"/>
    <n v="7"/>
    <n v="1"/>
    <n v="3"/>
    <n v="4"/>
  </r>
  <r>
    <n v="137"/>
    <x v="137"/>
    <n v="1959"/>
    <x v="12"/>
    <x v="1"/>
    <x v="2"/>
    <n v="33762"/>
    <x v="0"/>
    <n v="2"/>
    <n v="1"/>
    <x v="3"/>
    <d v="2013-07-07T00:00:00"/>
    <s v="11 years, 11 months"/>
    <n v="61"/>
    <n v="1"/>
    <n v="0"/>
    <n v="1"/>
    <n v="2"/>
    <n v="2"/>
    <n v="4"/>
  </r>
  <r>
    <n v="138"/>
    <x v="138"/>
    <n v="1973"/>
    <x v="26"/>
    <x v="1"/>
    <x v="5"/>
    <n v="35860"/>
    <x v="0"/>
    <n v="1"/>
    <n v="1"/>
    <x v="1"/>
    <d v="2014-05-19T00:00:00"/>
    <s v="11 years, 1 months"/>
    <n v="37"/>
    <n v="0"/>
    <n v="2"/>
    <n v="2"/>
    <n v="1"/>
    <n v="2"/>
    <n v="3"/>
  </r>
  <r>
    <n v="139"/>
    <x v="139"/>
    <n v="1965"/>
    <x v="2"/>
    <x v="1"/>
    <x v="3"/>
    <n v="36921"/>
    <x v="0"/>
    <n v="1"/>
    <n v="1"/>
    <x v="1"/>
    <d v="2013-07-28T00:00:00"/>
    <s v="11 years, 11 months"/>
    <n v="74"/>
    <n v="1"/>
    <n v="1"/>
    <n v="2"/>
    <n v="2"/>
    <n v="3"/>
    <n v="5"/>
  </r>
  <r>
    <n v="140"/>
    <x v="140"/>
    <n v="1992"/>
    <x v="47"/>
    <x v="2"/>
    <x v="0"/>
    <n v="92859"/>
    <x v="2"/>
    <n v="0"/>
    <n v="0"/>
    <x v="0"/>
    <d v="2012-10-19T00:00:00"/>
    <s v="12 years, 8 months"/>
    <n v="46"/>
    <n v="61"/>
    <n v="61"/>
    <n v="122"/>
    <n v="5"/>
    <n v="12"/>
    <n v="17"/>
  </r>
  <r>
    <n v="141"/>
    <x v="141"/>
    <n v="1976"/>
    <x v="11"/>
    <x v="2"/>
    <x v="1"/>
    <n v="65104"/>
    <x v="0"/>
    <n v="0"/>
    <n v="1"/>
    <x v="2"/>
    <d v="2013-11-14T00:00:00"/>
    <s v="11 years, 7 months"/>
    <n v="4"/>
    <n v="0"/>
    <n v="20"/>
    <n v="20"/>
    <n v="3"/>
    <n v="7"/>
    <n v="10"/>
  </r>
  <r>
    <n v="142"/>
    <x v="142"/>
    <n v="1962"/>
    <x v="43"/>
    <x v="0"/>
    <x v="2"/>
    <n v="86111"/>
    <x v="2"/>
    <n v="0"/>
    <n v="0"/>
    <x v="0"/>
    <d v="2013-04-19T00:00:00"/>
    <s v="12 years, 2 months"/>
    <n v="73"/>
    <n v="28"/>
    <n v="40"/>
    <n v="68"/>
    <n v="5"/>
    <n v="10"/>
    <n v="15"/>
  </r>
  <r>
    <n v="143"/>
    <x v="143"/>
    <n v="1974"/>
    <x v="8"/>
    <x v="1"/>
    <x v="0"/>
    <n v="68352"/>
    <x v="0"/>
    <n v="0"/>
    <n v="1"/>
    <x v="2"/>
    <d v="2013-08-28T00:00:00"/>
    <s v="11 years, 10 months"/>
    <n v="47"/>
    <n v="16"/>
    <n v="33"/>
    <n v="49"/>
    <n v="8"/>
    <n v="9"/>
    <n v="17"/>
  </r>
  <r>
    <n v="144"/>
    <x v="144"/>
    <n v="1988"/>
    <x v="36"/>
    <x v="0"/>
    <x v="1"/>
    <n v="41883"/>
    <x v="0"/>
    <n v="1"/>
    <n v="0"/>
    <x v="2"/>
    <d v="2013-03-19T00:00:00"/>
    <s v="12 years, 3 months"/>
    <n v="13"/>
    <n v="34"/>
    <n v="16"/>
    <n v="50"/>
    <n v="4"/>
    <n v="3"/>
    <n v="7"/>
  </r>
  <r>
    <n v="145"/>
    <x v="145"/>
    <n v="1976"/>
    <x v="11"/>
    <x v="0"/>
    <x v="2"/>
    <n v="59809"/>
    <x v="0"/>
    <n v="0"/>
    <n v="2"/>
    <x v="1"/>
    <d v="2012-10-18T00:00:00"/>
    <s v="12 years, 8 months"/>
    <n v="36"/>
    <n v="16"/>
    <n v="41"/>
    <n v="57"/>
    <n v="3"/>
    <n v="6"/>
    <n v="9"/>
  </r>
  <r>
    <n v="146"/>
    <x v="146"/>
    <n v="1975"/>
    <x v="28"/>
    <x v="0"/>
    <x v="2"/>
    <n v="23957"/>
    <x v="1"/>
    <n v="1"/>
    <n v="0"/>
    <x v="2"/>
    <d v="2012-10-28T00:00:00"/>
    <s v="12 years, 8 months"/>
    <n v="47"/>
    <n v="1"/>
    <n v="11"/>
    <n v="12"/>
    <n v="2"/>
    <n v="3"/>
    <n v="5"/>
  </r>
  <r>
    <n v="147"/>
    <x v="147"/>
    <n v="1981"/>
    <x v="4"/>
    <x v="0"/>
    <x v="1"/>
    <n v="38547"/>
    <x v="0"/>
    <n v="1"/>
    <n v="0"/>
    <x v="2"/>
    <d v="2013-08-28T00:00:00"/>
    <s v="11 years, 10 months"/>
    <n v="49"/>
    <n v="1"/>
    <n v="1"/>
    <n v="2"/>
    <n v="1"/>
    <n v="2"/>
    <n v="3"/>
  </r>
  <r>
    <n v="148"/>
    <x v="148"/>
    <n v="1973"/>
    <x v="26"/>
    <x v="4"/>
    <x v="2"/>
    <n v="35688"/>
    <x v="0"/>
    <n v="2"/>
    <n v="1"/>
    <x v="3"/>
    <d v="2012-08-22T00:00:00"/>
    <s v="12 years, 10 months"/>
    <n v="94"/>
    <n v="3"/>
    <n v="1"/>
    <n v="4"/>
    <n v="4"/>
    <n v="4"/>
    <n v="8"/>
  </r>
  <r>
    <n v="149"/>
    <x v="149"/>
    <n v="1966"/>
    <x v="35"/>
    <x v="2"/>
    <x v="2"/>
    <n v="49605"/>
    <x v="0"/>
    <n v="0"/>
    <n v="0"/>
    <x v="0"/>
    <d v="2014-06-21T00:00:00"/>
    <s v="11 years, 0 months"/>
    <n v="65"/>
    <n v="16"/>
    <n v="20"/>
    <n v="36"/>
    <n v="2"/>
    <n v="4"/>
    <n v="6"/>
  </r>
  <r>
    <n v="150"/>
    <x v="150"/>
    <n v="1953"/>
    <x v="44"/>
    <x v="2"/>
    <x v="2"/>
    <n v="59354"/>
    <x v="0"/>
    <n v="0"/>
    <n v="2"/>
    <x v="1"/>
    <d v="2014-04-24T00:00:00"/>
    <s v="11 years, 2 months"/>
    <n v="59"/>
    <n v="21"/>
    <n v="13"/>
    <n v="34"/>
    <n v="4"/>
    <n v="7"/>
    <n v="11"/>
  </r>
  <r>
    <n v="151"/>
    <x v="151"/>
    <n v="1969"/>
    <x v="21"/>
    <x v="0"/>
    <x v="2"/>
    <n v="65747"/>
    <x v="0"/>
    <n v="0"/>
    <n v="1"/>
    <x v="2"/>
    <d v="2014-03-07T00:00:00"/>
    <s v="11 years, 3 months"/>
    <n v="96"/>
    <n v="17"/>
    <n v="13"/>
    <n v="30"/>
    <n v="8"/>
    <n v="6"/>
    <n v="14"/>
  </r>
  <r>
    <n v="152"/>
    <x v="152"/>
    <n v="1972"/>
    <x v="39"/>
    <x v="4"/>
    <x v="1"/>
    <n v="46344"/>
    <x v="0"/>
    <n v="0"/>
    <n v="1"/>
    <x v="2"/>
    <d v="2012-12-14T00:00:00"/>
    <s v="12 years, 6 months"/>
    <n v="28"/>
    <n v="20"/>
    <n v="20"/>
    <n v="40"/>
    <n v="7"/>
    <n v="5"/>
    <n v="12"/>
  </r>
  <r>
    <n v="153"/>
    <x v="153"/>
    <n v="1988"/>
    <x v="36"/>
    <x v="0"/>
    <x v="5"/>
    <n v="34176"/>
    <x v="0"/>
    <n v="1"/>
    <n v="0"/>
    <x v="2"/>
    <d v="2014-05-12T00:00:00"/>
    <s v="11 years, 1 months"/>
    <n v="12"/>
    <n v="7"/>
    <n v="14"/>
    <n v="21"/>
    <n v="3"/>
    <n v="4"/>
    <n v="7"/>
  </r>
  <r>
    <n v="154"/>
    <x v="154"/>
    <n v="1952"/>
    <x v="13"/>
    <x v="1"/>
    <x v="1"/>
    <n v="61010"/>
    <x v="0"/>
    <n v="0"/>
    <n v="1"/>
    <x v="2"/>
    <d v="2012-10-09T00:00:00"/>
    <s v="12 years, 8 months"/>
    <n v="57"/>
    <n v="0"/>
    <n v="0"/>
    <n v="0"/>
    <n v="8"/>
    <n v="11"/>
    <n v="19"/>
  </r>
  <r>
    <n v="155"/>
    <x v="155"/>
    <n v="1949"/>
    <x v="17"/>
    <x v="0"/>
    <x v="1"/>
    <n v="69372"/>
    <x v="0"/>
    <n v="0"/>
    <n v="0"/>
    <x v="0"/>
    <d v="2013-02-19T00:00:00"/>
    <s v="12 years, 4 months"/>
    <n v="10"/>
    <n v="26"/>
    <n v="13"/>
    <n v="39"/>
    <n v="10"/>
    <n v="6"/>
    <n v="16"/>
  </r>
  <r>
    <n v="156"/>
    <x v="156"/>
    <n v="1958"/>
    <x v="38"/>
    <x v="0"/>
    <x v="0"/>
    <n v="49967"/>
    <x v="0"/>
    <n v="0"/>
    <n v="1"/>
    <x v="2"/>
    <d v="2013-07-08T00:00:00"/>
    <s v="11 years, 11 months"/>
    <n v="4"/>
    <n v="6"/>
    <n v="12"/>
    <n v="18"/>
    <n v="6"/>
    <n v="5"/>
    <n v="11"/>
  </r>
  <r>
    <n v="157"/>
    <x v="157"/>
    <n v="1978"/>
    <x v="33"/>
    <x v="0"/>
    <x v="0"/>
    <n v="60199"/>
    <x v="0"/>
    <n v="1"/>
    <n v="2"/>
    <x v="3"/>
    <d v="2013-09-12T00:00:00"/>
    <s v="11 years, 9 months"/>
    <n v="49"/>
    <n v="1"/>
    <n v="0"/>
    <n v="1"/>
    <n v="0"/>
    <n v="3"/>
    <n v="3"/>
  </r>
  <r>
    <n v="158"/>
    <x v="158"/>
    <n v="1977"/>
    <x v="32"/>
    <x v="0"/>
    <x v="1"/>
    <n v="55375"/>
    <x v="0"/>
    <n v="0"/>
    <n v="1"/>
    <x v="2"/>
    <d v="2013-10-17T00:00:00"/>
    <s v="11 years, 8 months"/>
    <n v="3"/>
    <n v="11"/>
    <n v="28"/>
    <n v="39"/>
    <n v="1"/>
    <n v="6"/>
    <n v="7"/>
  </r>
  <r>
    <n v="159"/>
    <x v="159"/>
    <n v="1955"/>
    <x v="34"/>
    <x v="0"/>
    <x v="0"/>
    <n v="80317"/>
    <x v="2"/>
    <n v="0"/>
    <n v="0"/>
    <x v="0"/>
    <d v="2013-08-20T00:00:00"/>
    <s v="11 years, 10 months"/>
    <n v="64"/>
    <n v="11"/>
    <n v="91"/>
    <n v="102"/>
    <n v="3"/>
    <n v="10"/>
    <n v="13"/>
  </r>
  <r>
    <n v="160"/>
    <x v="160"/>
    <n v="1958"/>
    <x v="38"/>
    <x v="2"/>
    <x v="0"/>
    <n v="30523"/>
    <x v="0"/>
    <n v="2"/>
    <n v="1"/>
    <x v="3"/>
    <d v="2013-07-01T00:00:00"/>
    <s v="12 years, 0 months"/>
    <n v="0"/>
    <n v="0"/>
    <n v="0"/>
    <n v="0"/>
    <n v="1"/>
    <n v="2"/>
    <n v="3"/>
  </r>
  <r>
    <n v="161"/>
    <x v="161"/>
    <n v="1945"/>
    <x v="41"/>
    <x v="1"/>
    <x v="2"/>
    <n v="70356"/>
    <x v="0"/>
    <n v="0"/>
    <n v="0"/>
    <x v="0"/>
    <d v="2012-11-05T00:00:00"/>
    <s v="12 years, 8 months"/>
    <n v="20"/>
    <n v="16"/>
    <n v="16"/>
    <n v="32"/>
    <n v="10"/>
    <n v="9"/>
    <n v="19"/>
  </r>
  <r>
    <n v="162"/>
    <x v="162"/>
    <n v="1984"/>
    <x v="3"/>
    <x v="0"/>
    <x v="2"/>
    <n v="23228"/>
    <x v="1"/>
    <n v="1"/>
    <n v="0"/>
    <x v="2"/>
    <d v="2014-01-05T00:00:00"/>
    <s v="11 years, 6 months"/>
    <n v="91"/>
    <n v="3"/>
    <n v="4"/>
    <n v="7"/>
    <n v="3"/>
    <n v="4"/>
    <n v="7"/>
  </r>
  <r>
    <n v="163"/>
    <x v="163"/>
    <n v="1975"/>
    <x v="28"/>
    <x v="1"/>
    <x v="3"/>
    <n v="74165"/>
    <x v="0"/>
    <n v="0"/>
    <n v="0"/>
    <x v="0"/>
    <d v="2013-05-01T00:00:00"/>
    <s v="12 years, 2 months"/>
    <n v="9"/>
    <n v="12"/>
    <n v="12"/>
    <n v="24"/>
    <n v="5"/>
    <n v="10"/>
    <n v="15"/>
  </r>
  <r>
    <n v="164"/>
    <x v="164"/>
    <n v="1973"/>
    <x v="26"/>
    <x v="1"/>
    <x v="2"/>
    <n v="157243"/>
    <x v="3"/>
    <n v="0"/>
    <n v="1"/>
    <x v="2"/>
    <d v="2014-03-01T00:00:00"/>
    <s v="11 years, 4 months"/>
    <n v="98"/>
    <n v="2"/>
    <n v="2"/>
    <n v="4"/>
    <n v="0"/>
    <n v="0"/>
    <n v="0"/>
  </r>
  <r>
    <n v="165"/>
    <x v="165"/>
    <n v="1966"/>
    <x v="35"/>
    <x v="0"/>
    <x v="1"/>
    <n v="43482"/>
    <x v="0"/>
    <n v="2"/>
    <n v="1"/>
    <x v="3"/>
    <d v="2013-11-13T00:00:00"/>
    <s v="11 years, 7 months"/>
    <n v="83"/>
    <n v="1"/>
    <n v="3"/>
    <n v="4"/>
    <n v="2"/>
    <n v="4"/>
    <n v="6"/>
  </r>
  <r>
    <n v="166"/>
    <x v="166"/>
    <n v="1953"/>
    <x v="44"/>
    <x v="0"/>
    <x v="3"/>
    <n v="62551"/>
    <x v="0"/>
    <n v="0"/>
    <n v="0"/>
    <x v="0"/>
    <d v="2013-11-18T00:00:00"/>
    <s v="11 years, 7 months"/>
    <n v="27"/>
    <n v="16"/>
    <n v="21"/>
    <n v="37"/>
    <n v="6"/>
    <n v="4"/>
    <n v="10"/>
  </r>
  <r>
    <n v="167"/>
    <x v="167"/>
    <n v="1959"/>
    <x v="12"/>
    <x v="0"/>
    <x v="3"/>
    <n v="52332"/>
    <x v="0"/>
    <n v="0"/>
    <n v="0"/>
    <x v="0"/>
    <d v="2013-08-28T00:00:00"/>
    <s v="11 years, 10 months"/>
    <n v="63"/>
    <n v="5"/>
    <n v="0"/>
    <n v="5"/>
    <n v="3"/>
    <n v="6"/>
    <n v="9"/>
  </r>
  <r>
    <n v="168"/>
    <x v="168"/>
    <n v="1988"/>
    <x v="36"/>
    <x v="0"/>
    <x v="0"/>
    <n v="66951"/>
    <x v="0"/>
    <n v="0"/>
    <n v="0"/>
    <x v="0"/>
    <d v="2013-11-02T00:00:00"/>
    <s v="11 years, 8 months"/>
    <n v="46"/>
    <n v="162"/>
    <n v="76"/>
    <n v="238"/>
    <n v="3"/>
    <n v="7"/>
    <n v="10"/>
  </r>
  <r>
    <n v="169"/>
    <x v="169"/>
    <n v="1957"/>
    <x v="0"/>
    <x v="0"/>
    <x v="1"/>
    <n v="26091"/>
    <x v="0"/>
    <n v="1"/>
    <n v="1"/>
    <x v="1"/>
    <d v="2014-02-25T00:00:00"/>
    <s v="11 years, 4 months"/>
    <n v="84"/>
    <n v="10"/>
    <n v="17"/>
    <n v="27"/>
    <n v="2"/>
    <n v="3"/>
    <n v="5"/>
  </r>
  <r>
    <n v="170"/>
    <x v="170"/>
    <n v="1965"/>
    <x v="2"/>
    <x v="0"/>
    <x v="1"/>
    <n v="33456"/>
    <x v="0"/>
    <n v="1"/>
    <n v="1"/>
    <x v="1"/>
    <d v="2014-04-21T00:00:00"/>
    <s v="11 years, 2 months"/>
    <n v="58"/>
    <n v="3"/>
    <n v="1"/>
    <n v="4"/>
    <n v="1"/>
    <n v="3"/>
    <n v="4"/>
  </r>
  <r>
    <n v="171"/>
    <x v="171"/>
    <n v="1982"/>
    <x v="18"/>
    <x v="0"/>
    <x v="2"/>
    <n v="28718"/>
    <x v="0"/>
    <n v="1"/>
    <n v="0"/>
    <x v="2"/>
    <d v="2013-07-13T00:00:00"/>
    <s v="11 years, 11 months"/>
    <n v="78"/>
    <n v="4"/>
    <n v="8"/>
    <n v="12"/>
    <n v="2"/>
    <n v="3"/>
    <n v="5"/>
  </r>
  <r>
    <n v="172"/>
    <x v="172"/>
    <n v="1970"/>
    <x v="25"/>
    <x v="0"/>
    <x v="2"/>
    <n v="50447"/>
    <x v="0"/>
    <n v="2"/>
    <n v="0"/>
    <x v="1"/>
    <d v="2014-04-21T00:00:00"/>
    <s v="11 years, 2 months"/>
    <n v="4"/>
    <n v="7"/>
    <n v="3"/>
    <n v="10"/>
    <n v="3"/>
    <n v="3"/>
    <n v="6"/>
  </r>
  <r>
    <n v="173"/>
    <x v="173"/>
    <n v="1959"/>
    <x v="12"/>
    <x v="1"/>
    <x v="1"/>
    <n v="53537"/>
    <x v="0"/>
    <n v="1"/>
    <n v="1"/>
    <x v="1"/>
    <d v="2014-01-30T00:00:00"/>
    <s v="11 years, 5 months"/>
    <n v="17"/>
    <n v="0"/>
    <n v="0"/>
    <n v="0"/>
    <n v="2"/>
    <n v="3"/>
    <n v="5"/>
  </r>
  <r>
    <n v="174"/>
    <x v="174"/>
    <n v="1967"/>
    <x v="5"/>
    <x v="0"/>
    <x v="0"/>
    <n v="52074"/>
    <x v="0"/>
    <n v="0"/>
    <n v="1"/>
    <x v="2"/>
    <d v="2014-04-04T00:00:00"/>
    <s v="11 years, 3 months"/>
    <n v="77"/>
    <n v="0"/>
    <n v="0"/>
    <n v="0"/>
    <n v="2"/>
    <n v="2"/>
    <n v="4"/>
  </r>
  <r>
    <n v="175"/>
    <x v="175"/>
    <n v="1975"/>
    <x v="28"/>
    <x v="1"/>
    <x v="2"/>
    <n v="80427"/>
    <x v="2"/>
    <n v="0"/>
    <n v="1"/>
    <x v="2"/>
    <d v="2012-09-12T00:00:00"/>
    <s v="12 years, 9 months"/>
    <n v="56"/>
    <n v="71"/>
    <n v="71"/>
    <n v="142"/>
    <n v="11"/>
    <n v="8"/>
    <n v="19"/>
  </r>
  <r>
    <n v="176"/>
    <x v="176"/>
    <n v="1948"/>
    <x v="37"/>
    <x v="1"/>
    <x v="2"/>
    <n v="83837"/>
    <x v="2"/>
    <n v="0"/>
    <n v="0"/>
    <x v="0"/>
    <d v="2012-12-16T00:00:00"/>
    <s v="12 years, 6 months"/>
    <n v="79"/>
    <n v="66"/>
    <n v="89"/>
    <n v="155"/>
    <n v="9"/>
    <n v="5"/>
    <n v="14"/>
  </r>
  <r>
    <n v="177"/>
    <x v="177"/>
    <n v="1970"/>
    <x v="25"/>
    <x v="1"/>
    <x v="2"/>
    <n v="38853"/>
    <x v="0"/>
    <n v="1"/>
    <n v="1"/>
    <x v="1"/>
    <d v="2014-05-23T00:00:00"/>
    <s v="11 years, 1 months"/>
    <n v="90"/>
    <n v="0"/>
    <n v="0"/>
    <n v="0"/>
    <n v="2"/>
    <n v="3"/>
    <n v="5"/>
  </r>
  <r>
    <n v="178"/>
    <x v="178"/>
    <n v="1959"/>
    <x v="12"/>
    <x v="0"/>
    <x v="1"/>
    <n v="38285"/>
    <x v="0"/>
    <n v="2"/>
    <n v="1"/>
    <x v="3"/>
    <d v="2014-06-24T00:00:00"/>
    <s v="11 years, 0 months"/>
    <n v="96"/>
    <n v="0"/>
    <n v="0"/>
    <n v="0"/>
    <n v="0"/>
    <n v="3"/>
    <n v="3"/>
  </r>
  <r>
    <n v="179"/>
    <x v="179"/>
    <n v="1951"/>
    <x v="20"/>
    <x v="4"/>
    <x v="2"/>
    <n v="78497"/>
    <x v="2"/>
    <n v="0"/>
    <n v="0"/>
    <x v="0"/>
    <d v="2013-12-01T00:00:00"/>
    <s v="11 years, 7 months"/>
    <n v="44"/>
    <n v="26"/>
    <n v="0"/>
    <n v="26"/>
    <n v="5"/>
    <n v="12"/>
    <n v="17"/>
  </r>
  <r>
    <n v="180"/>
    <x v="180"/>
    <n v="1976"/>
    <x v="11"/>
    <x v="1"/>
    <x v="2"/>
    <n v="51650"/>
    <x v="0"/>
    <n v="0"/>
    <n v="1"/>
    <x v="2"/>
    <d v="2014-05-11T00:00:00"/>
    <s v="11 years, 1 months"/>
    <n v="81"/>
    <n v="3"/>
    <n v="5"/>
    <n v="8"/>
    <n v="4"/>
    <n v="4"/>
    <n v="8"/>
  </r>
  <r>
    <n v="181"/>
    <x v="181"/>
    <n v="1988"/>
    <x v="36"/>
    <x v="4"/>
    <x v="2"/>
    <n v="16248"/>
    <x v="1"/>
    <n v="1"/>
    <n v="0"/>
    <x v="2"/>
    <d v="2014-05-10T00:00:00"/>
    <s v="11 years, 1 months"/>
    <n v="77"/>
    <n v="11"/>
    <n v="12"/>
    <n v="23"/>
    <n v="2"/>
    <n v="3"/>
    <n v="5"/>
  </r>
  <r>
    <n v="182"/>
    <x v="182"/>
    <n v="1946"/>
    <x v="15"/>
    <x v="2"/>
    <x v="2"/>
    <n v="66835"/>
    <x v="0"/>
    <n v="0"/>
    <n v="0"/>
    <x v="0"/>
    <d v="2013-09-28T00:00:00"/>
    <s v="11 years, 9 months"/>
    <n v="21"/>
    <n v="26"/>
    <n v="17"/>
    <n v="43"/>
    <n v="6"/>
    <n v="13"/>
    <n v="19"/>
  </r>
  <r>
    <n v="183"/>
    <x v="183"/>
    <n v="1984"/>
    <x v="3"/>
    <x v="2"/>
    <x v="2"/>
    <n v="30477"/>
    <x v="0"/>
    <n v="1"/>
    <n v="0"/>
    <x v="2"/>
    <d v="2014-01-22T00:00:00"/>
    <s v="11 years, 5 months"/>
    <n v="16"/>
    <n v="1"/>
    <n v="0"/>
    <n v="1"/>
    <n v="1"/>
    <n v="3"/>
    <n v="4"/>
  </r>
  <r>
    <n v="184"/>
    <x v="184"/>
    <n v="1961"/>
    <x v="45"/>
    <x v="3"/>
    <x v="2"/>
    <n v="28249"/>
    <x v="0"/>
    <n v="0"/>
    <n v="0"/>
    <x v="0"/>
    <d v="2014-06-15T00:00:00"/>
    <s v="11 years, 0 months"/>
    <n v="80"/>
    <n v="9"/>
    <n v="14"/>
    <n v="23"/>
    <n v="2"/>
    <n v="3"/>
    <n v="5"/>
  </r>
  <r>
    <n v="185"/>
    <x v="185"/>
    <n v="1983"/>
    <x v="10"/>
    <x v="0"/>
    <x v="2"/>
    <n v="25271"/>
    <x v="0"/>
    <n v="1"/>
    <n v="0"/>
    <x v="2"/>
    <d v="2012-12-05T00:00:00"/>
    <s v="12 years, 7 months"/>
    <n v="45"/>
    <n v="1"/>
    <n v="4"/>
    <n v="5"/>
    <n v="1"/>
    <n v="2"/>
    <n v="3"/>
  </r>
  <r>
    <n v="186"/>
    <x v="186"/>
    <n v="1970"/>
    <x v="25"/>
    <x v="1"/>
    <x v="0"/>
    <n v="32303"/>
    <x v="0"/>
    <n v="0"/>
    <n v="1"/>
    <x v="2"/>
    <d v="2014-03-08T00:00:00"/>
    <s v="11 years, 3 months"/>
    <n v="63"/>
    <n v="0"/>
    <n v="0"/>
    <n v="0"/>
    <n v="1"/>
    <n v="4"/>
    <n v="5"/>
  </r>
  <r>
    <n v="187"/>
    <x v="187"/>
    <n v="1966"/>
    <x v="35"/>
    <x v="0"/>
    <x v="2"/>
    <n v="61286"/>
    <x v="0"/>
    <n v="0"/>
    <n v="1"/>
    <x v="2"/>
    <d v="2013-08-02T00:00:00"/>
    <s v="11 years, 11 months"/>
    <n v="34"/>
    <n v="0"/>
    <n v="9"/>
    <n v="9"/>
    <n v="7"/>
    <n v="8"/>
    <n v="15"/>
  </r>
  <r>
    <n v="188"/>
    <x v="188"/>
    <n v="1976"/>
    <x v="11"/>
    <x v="0"/>
    <x v="2"/>
    <n v="74068"/>
    <x v="0"/>
    <n v="0"/>
    <n v="0"/>
    <x v="0"/>
    <d v="2013-03-19T00:00:00"/>
    <s v="12 years, 3 months"/>
    <n v="14"/>
    <n v="30"/>
    <n v="76"/>
    <n v="106"/>
    <n v="4"/>
    <n v="9"/>
    <n v="13"/>
  </r>
  <r>
    <n v="189"/>
    <x v="189"/>
    <n v="1964"/>
    <x v="31"/>
    <x v="1"/>
    <x v="2"/>
    <n v="45759"/>
    <x v="0"/>
    <n v="1"/>
    <n v="1"/>
    <x v="1"/>
    <d v="2013-02-23T00:00:00"/>
    <s v="12 years, 4 months"/>
    <n v="13"/>
    <n v="1"/>
    <n v="0"/>
    <n v="1"/>
    <n v="2"/>
    <n v="3"/>
    <n v="5"/>
  </r>
  <r>
    <n v="190"/>
    <x v="190"/>
    <n v="1978"/>
    <x v="33"/>
    <x v="3"/>
    <x v="1"/>
    <n v="24882"/>
    <x v="1"/>
    <n v="1"/>
    <n v="0"/>
    <x v="2"/>
    <d v="2012-09-09T00:00:00"/>
    <s v="12 years, 9 months"/>
    <n v="52"/>
    <n v="4"/>
    <n v="0"/>
    <n v="4"/>
    <n v="1"/>
    <n v="2"/>
    <n v="3"/>
  </r>
  <r>
    <n v="191"/>
    <x v="191"/>
    <n v="1989"/>
    <x v="23"/>
    <x v="1"/>
    <x v="1"/>
    <n v="66973"/>
    <x v="0"/>
    <n v="0"/>
    <n v="0"/>
    <x v="0"/>
    <d v="2013-05-17T00:00:00"/>
    <s v="12 years, 1 months"/>
    <n v="98"/>
    <n v="22"/>
    <n v="113"/>
    <n v="135"/>
    <n v="8"/>
    <n v="12"/>
    <n v="20"/>
  </r>
  <r>
    <n v="192"/>
    <x v="192"/>
    <n v="1900"/>
    <x v="48"/>
    <x v="4"/>
    <x v="3"/>
    <n v="36640"/>
    <x v="0"/>
    <n v="1"/>
    <n v="0"/>
    <x v="2"/>
    <d v="2013-09-26T00:00:00"/>
    <s v="11 years, 9 months"/>
    <n v="99"/>
    <n v="6"/>
    <n v="4"/>
    <n v="10"/>
    <n v="2"/>
    <n v="2"/>
    <n v="4"/>
  </r>
  <r>
    <n v="193"/>
    <x v="193"/>
    <n v="1988"/>
    <x v="36"/>
    <x v="0"/>
    <x v="2"/>
    <n v="38872"/>
    <x v="0"/>
    <n v="1"/>
    <n v="0"/>
    <x v="2"/>
    <d v="2013-05-30T00:00:00"/>
    <s v="12 years, 1 months"/>
    <n v="93"/>
    <n v="3"/>
    <n v="19"/>
    <n v="22"/>
    <n v="3"/>
    <n v="3"/>
    <n v="6"/>
  </r>
  <r>
    <n v="194"/>
    <x v="194"/>
    <n v="1973"/>
    <x v="26"/>
    <x v="0"/>
    <x v="2"/>
    <n v="51148"/>
    <x v="0"/>
    <n v="1"/>
    <n v="1"/>
    <x v="1"/>
    <d v="2013-02-18T00:00:00"/>
    <s v="12 years, 4 months"/>
    <n v="38"/>
    <n v="6"/>
    <n v="9"/>
    <n v="15"/>
    <n v="5"/>
    <n v="6"/>
    <n v="11"/>
  </r>
  <r>
    <n v="195"/>
    <x v="195"/>
    <n v="1977"/>
    <x v="32"/>
    <x v="0"/>
    <x v="2"/>
    <n v="31353"/>
    <x v="0"/>
    <n v="1"/>
    <n v="1"/>
    <x v="1"/>
    <d v="2013-12-29T00:00:00"/>
    <s v="11 years, 6 months"/>
    <n v="24"/>
    <n v="0"/>
    <n v="1"/>
    <n v="1"/>
    <n v="1"/>
    <n v="2"/>
    <n v="3"/>
  </r>
  <r>
    <n v="196"/>
    <x v="196"/>
    <n v="1980"/>
    <x v="16"/>
    <x v="2"/>
    <x v="2"/>
    <n v="69661"/>
    <x v="0"/>
    <n v="0"/>
    <n v="0"/>
    <x v="0"/>
    <d v="2014-05-13T00:00:00"/>
    <s v="11 years, 1 months"/>
    <n v="80"/>
    <n v="16"/>
    <n v="16"/>
    <n v="32"/>
    <n v="7"/>
    <n v="12"/>
    <n v="19"/>
  </r>
  <r>
    <n v="197"/>
    <x v="197"/>
    <n v="1954"/>
    <x v="1"/>
    <x v="0"/>
    <x v="2"/>
    <n v="80067"/>
    <x v="2"/>
    <n v="0"/>
    <n v="0"/>
    <x v="0"/>
    <d v="2013-09-19T00:00:00"/>
    <s v="11 years, 9 months"/>
    <n v="82"/>
    <n v="17"/>
    <n v="173"/>
    <n v="190"/>
    <n v="4"/>
    <n v="6"/>
    <n v="10"/>
  </r>
  <r>
    <n v="198"/>
    <x v="198"/>
    <n v="1954"/>
    <x v="1"/>
    <x v="0"/>
    <x v="2"/>
    <n v="86718"/>
    <x v="2"/>
    <n v="0"/>
    <n v="0"/>
    <x v="0"/>
    <d v="2013-01-17T00:00:00"/>
    <s v="12 years, 5 months"/>
    <n v="20"/>
    <n v="189"/>
    <n v="33"/>
    <n v="222"/>
    <n v="5"/>
    <n v="5"/>
    <n v="10"/>
  </r>
  <r>
    <n v="199"/>
    <x v="199"/>
    <n v="1973"/>
    <x v="26"/>
    <x v="1"/>
    <x v="0"/>
    <n v="46854"/>
    <x v="0"/>
    <n v="1"/>
    <n v="1"/>
    <x v="1"/>
    <d v="2014-03-31T00:00:00"/>
    <s v="11 years, 3 months"/>
    <n v="81"/>
    <n v="1"/>
    <n v="1"/>
    <n v="2"/>
    <n v="5"/>
    <n v="3"/>
    <n v="8"/>
  </r>
  <r>
    <n v="200"/>
    <x v="200"/>
    <n v="1952"/>
    <x v="13"/>
    <x v="0"/>
    <x v="3"/>
    <n v="69142"/>
    <x v="0"/>
    <n v="0"/>
    <n v="1"/>
    <x v="2"/>
    <d v="2014-06-29T00:00:00"/>
    <s v="11 years, 0 months"/>
    <n v="50"/>
    <n v="4"/>
    <n v="4"/>
    <n v="8"/>
    <n v="8"/>
    <n v="7"/>
    <n v="15"/>
  </r>
  <r>
    <n v="201"/>
    <x v="201"/>
    <n v="1968"/>
    <x v="30"/>
    <x v="0"/>
    <x v="0"/>
    <n v="75922"/>
    <x v="2"/>
    <n v="0"/>
    <n v="0"/>
    <x v="0"/>
    <d v="2013-12-09T00:00:00"/>
    <s v="11 years, 6 months"/>
    <n v="60"/>
    <n v="138"/>
    <n v="23"/>
    <n v="161"/>
    <n v="4"/>
    <n v="9"/>
    <n v="13"/>
  </r>
  <r>
    <n v="202"/>
    <x v="202"/>
    <n v="1978"/>
    <x v="33"/>
    <x v="0"/>
    <x v="3"/>
    <n v="63693"/>
    <x v="0"/>
    <n v="0"/>
    <n v="1"/>
    <x v="2"/>
    <d v="2013-10-14T00:00:00"/>
    <s v="11 years, 8 months"/>
    <n v="63"/>
    <n v="43"/>
    <n v="87"/>
    <n v="130"/>
    <n v="11"/>
    <n v="9"/>
    <n v="20"/>
  </r>
  <r>
    <n v="203"/>
    <x v="203"/>
    <n v="1977"/>
    <x v="32"/>
    <x v="1"/>
    <x v="1"/>
    <n v="102160"/>
    <x v="2"/>
    <n v="0"/>
    <n v="0"/>
    <x v="0"/>
    <d v="2012-11-02T00:00:00"/>
    <s v="12 years, 8 months"/>
    <n v="54"/>
    <n v="29"/>
    <n v="176"/>
    <n v="205"/>
    <n v="7"/>
    <n v="10"/>
    <n v="17"/>
  </r>
  <r>
    <n v="204"/>
    <x v="204"/>
    <n v="1965"/>
    <x v="2"/>
    <x v="1"/>
    <x v="0"/>
    <n v="40637"/>
    <x v="0"/>
    <n v="1"/>
    <n v="1"/>
    <x v="1"/>
    <d v="2013-07-17T00:00:00"/>
    <s v="11 years, 11 months"/>
    <n v="72"/>
    <n v="0"/>
    <n v="0"/>
    <n v="0"/>
    <n v="1"/>
    <n v="3"/>
    <n v="4"/>
  </r>
  <r>
    <n v="205"/>
    <x v="205"/>
    <n v="1984"/>
    <x v="3"/>
    <x v="2"/>
    <x v="0"/>
    <n v="18890"/>
    <x v="1"/>
    <n v="0"/>
    <n v="0"/>
    <x v="0"/>
    <d v="2012-11-10T00:00:00"/>
    <s v="12 years, 7 months"/>
    <n v="5"/>
    <n v="4"/>
    <n v="2"/>
    <n v="6"/>
    <n v="0"/>
    <n v="2"/>
    <n v="2"/>
  </r>
  <r>
    <n v="206"/>
    <x v="206"/>
    <n v="1988"/>
    <x v="36"/>
    <x v="0"/>
    <x v="1"/>
    <n v="29604"/>
    <x v="0"/>
    <n v="1"/>
    <n v="0"/>
    <x v="2"/>
    <d v="2013-12-08T00:00:00"/>
    <s v="11 years, 6 months"/>
    <n v="88"/>
    <n v="6"/>
    <n v="6"/>
    <n v="12"/>
    <n v="1"/>
    <n v="3"/>
    <n v="4"/>
  </r>
  <r>
    <n v="207"/>
    <x v="207"/>
    <n v="1963"/>
    <x v="24"/>
    <x v="2"/>
    <x v="3"/>
    <n v="48721"/>
    <x v="0"/>
    <n v="1"/>
    <n v="1"/>
    <x v="1"/>
    <d v="2013-05-13T00:00:00"/>
    <s v="12 years, 1 months"/>
    <n v="50"/>
    <n v="18"/>
    <n v="13"/>
    <n v="31"/>
    <n v="4"/>
    <n v="5"/>
    <n v="9"/>
  </r>
  <r>
    <n v="208"/>
    <x v="208"/>
    <n v="1966"/>
    <x v="35"/>
    <x v="0"/>
    <x v="2"/>
    <n v="44794"/>
    <x v="0"/>
    <n v="0"/>
    <n v="1"/>
    <x v="2"/>
    <d v="2014-06-08T00:00:00"/>
    <s v="11 years, 0 months"/>
    <n v="99"/>
    <n v="0"/>
    <n v="0"/>
    <n v="0"/>
    <n v="2"/>
    <n v="3"/>
    <n v="5"/>
  </r>
  <r>
    <n v="209"/>
    <x v="209"/>
    <n v="1954"/>
    <x v="1"/>
    <x v="0"/>
    <x v="3"/>
    <n v="64497"/>
    <x v="0"/>
    <n v="0"/>
    <n v="1"/>
    <x v="2"/>
    <d v="2012-09-10T00:00:00"/>
    <s v="12 years, 9 months"/>
    <n v="17"/>
    <n v="48"/>
    <n v="32"/>
    <n v="80"/>
    <n v="11"/>
    <n v="9"/>
    <n v="20"/>
  </r>
  <r>
    <n v="210"/>
    <x v="210"/>
    <n v="1956"/>
    <x v="46"/>
    <x v="0"/>
    <x v="1"/>
    <n v="46097"/>
    <x v="0"/>
    <n v="0"/>
    <n v="1"/>
    <x v="2"/>
    <d v="2013-03-31T00:00:00"/>
    <s v="12 years, 3 months"/>
    <n v="11"/>
    <n v="24"/>
    <n v="4"/>
    <n v="28"/>
    <n v="3"/>
    <n v="6"/>
    <n v="9"/>
  </r>
  <r>
    <n v="211"/>
    <x v="211"/>
    <n v="1954"/>
    <x v="1"/>
    <x v="0"/>
    <x v="1"/>
    <n v="77972"/>
    <x v="2"/>
    <n v="0"/>
    <n v="0"/>
    <x v="0"/>
    <d v="2014-03-18T00:00:00"/>
    <s v="11 years, 3 months"/>
    <n v="18"/>
    <n v="22"/>
    <n v="102"/>
    <n v="124"/>
    <n v="4"/>
    <n v="9"/>
    <n v="13"/>
  </r>
  <r>
    <n v="212"/>
    <x v="212"/>
    <n v="1968"/>
    <x v="30"/>
    <x v="1"/>
    <x v="2"/>
    <n v="44377"/>
    <x v="0"/>
    <n v="1"/>
    <n v="1"/>
    <x v="1"/>
    <d v="2012-10-05T00:00:00"/>
    <s v="12 years, 9 months"/>
    <n v="70"/>
    <n v="0"/>
    <n v="0"/>
    <n v="0"/>
    <n v="5"/>
    <n v="5"/>
    <n v="10"/>
  </r>
  <r>
    <n v="213"/>
    <x v="213"/>
    <n v="1974"/>
    <x v="8"/>
    <x v="2"/>
    <x v="1"/>
    <n v="46014"/>
    <x v="0"/>
    <n v="1"/>
    <n v="1"/>
    <x v="1"/>
    <d v="2013-01-21T00:00:00"/>
    <s v="12 years, 5 months"/>
    <n v="21"/>
    <n v="0"/>
    <n v="9"/>
    <n v="9"/>
    <n v="7"/>
    <n v="8"/>
    <n v="15"/>
  </r>
  <r>
    <n v="214"/>
    <x v="214"/>
    <n v="1985"/>
    <x v="7"/>
    <x v="0"/>
    <x v="2"/>
    <n v="70951"/>
    <x v="0"/>
    <n v="0"/>
    <n v="0"/>
    <x v="0"/>
    <d v="2013-05-04T00:00:00"/>
    <s v="12 years, 2 months"/>
    <n v="66"/>
    <n v="10"/>
    <n v="87"/>
    <n v="97"/>
    <n v="3"/>
    <n v="9"/>
    <n v="12"/>
  </r>
  <r>
    <n v="215"/>
    <x v="215"/>
    <n v="1977"/>
    <x v="32"/>
    <x v="0"/>
    <x v="2"/>
    <n v="41443"/>
    <x v="0"/>
    <n v="1"/>
    <n v="0"/>
    <x v="2"/>
    <d v="2014-04-01T00:00:00"/>
    <s v="11 years, 3 months"/>
    <n v="79"/>
    <n v="7"/>
    <n v="19"/>
    <n v="26"/>
    <n v="8"/>
    <n v="5"/>
    <n v="13"/>
  </r>
  <r>
    <n v="216"/>
    <x v="216"/>
    <n v="1978"/>
    <x v="33"/>
    <x v="4"/>
    <x v="0"/>
    <n v="52195"/>
    <x v="0"/>
    <n v="2"/>
    <n v="1"/>
    <x v="3"/>
    <d v="2014-05-12T00:00:00"/>
    <s v="11 years, 1 months"/>
    <n v="2"/>
    <n v="0"/>
    <n v="0"/>
    <n v="0"/>
    <n v="1"/>
    <n v="2"/>
    <n v="3"/>
  </r>
  <r>
    <n v="217"/>
    <x v="217"/>
    <n v="1948"/>
    <x v="37"/>
    <x v="2"/>
    <x v="2"/>
    <n v="83790"/>
    <x v="2"/>
    <n v="0"/>
    <n v="0"/>
    <x v="0"/>
    <d v="2013-11-15T00:00:00"/>
    <s v="11 years, 7 months"/>
    <n v="81"/>
    <n v="16"/>
    <n v="48"/>
    <n v="64"/>
    <n v="8"/>
    <n v="6"/>
    <n v="14"/>
  </r>
  <r>
    <n v="218"/>
    <x v="218"/>
    <n v="1954"/>
    <x v="1"/>
    <x v="2"/>
    <x v="4"/>
    <n v="44551"/>
    <x v="0"/>
    <n v="0"/>
    <n v="1"/>
    <x v="2"/>
    <d v="2013-08-31T00:00:00"/>
    <s v="11 years, 10 months"/>
    <n v="24"/>
    <n v="4"/>
    <n v="0"/>
    <n v="4"/>
    <n v="4"/>
    <n v="5"/>
    <n v="9"/>
  </r>
  <r>
    <n v="219"/>
    <x v="219"/>
    <n v="1980"/>
    <x v="16"/>
    <x v="0"/>
    <x v="1"/>
    <n v="69508"/>
    <x v="0"/>
    <n v="1"/>
    <n v="0"/>
    <x v="2"/>
    <d v="2012-11-14T00:00:00"/>
    <s v="12 years, 7 months"/>
    <n v="48"/>
    <n v="32"/>
    <n v="32"/>
    <n v="64"/>
    <n v="11"/>
    <n v="11"/>
    <n v="22"/>
  </r>
  <r>
    <n v="220"/>
    <x v="220"/>
    <n v="1988"/>
    <x v="36"/>
    <x v="4"/>
    <x v="1"/>
    <n v="45204"/>
    <x v="0"/>
    <n v="1"/>
    <n v="0"/>
    <x v="2"/>
    <d v="2014-04-11T00:00:00"/>
    <s v="11 years, 2 months"/>
    <n v="93"/>
    <n v="11"/>
    <n v="1"/>
    <n v="12"/>
    <n v="1"/>
    <n v="4"/>
    <n v="5"/>
  </r>
  <r>
    <n v="221"/>
    <x v="221"/>
    <n v="1969"/>
    <x v="21"/>
    <x v="0"/>
    <x v="2"/>
    <n v="72460"/>
    <x v="0"/>
    <n v="0"/>
    <n v="0"/>
    <x v="0"/>
    <d v="2013-11-14T00:00:00"/>
    <s v="11 years, 7 months"/>
    <n v="56"/>
    <n v="10"/>
    <n v="30"/>
    <n v="40"/>
    <n v="3"/>
    <n v="7"/>
    <n v="10"/>
  </r>
  <r>
    <n v="222"/>
    <x v="222"/>
    <n v="1970"/>
    <x v="25"/>
    <x v="1"/>
    <x v="1"/>
    <n v="77622"/>
    <x v="2"/>
    <n v="0"/>
    <n v="2"/>
    <x v="1"/>
    <d v="2014-04-14T00:00:00"/>
    <s v="11 years, 2 months"/>
    <n v="3"/>
    <n v="7"/>
    <n v="0"/>
    <n v="7"/>
    <n v="6"/>
    <n v="11"/>
    <n v="17"/>
  </r>
  <r>
    <n v="223"/>
    <x v="223"/>
    <n v="1980"/>
    <x v="16"/>
    <x v="1"/>
    <x v="2"/>
    <n v="30732"/>
    <x v="0"/>
    <n v="1"/>
    <n v="0"/>
    <x v="2"/>
    <d v="2013-01-05T00:00:00"/>
    <s v="12 years, 6 months"/>
    <n v="44"/>
    <n v="1"/>
    <n v="1"/>
    <n v="2"/>
    <n v="4"/>
    <n v="4"/>
    <n v="8"/>
  </r>
  <r>
    <n v="224"/>
    <x v="224"/>
    <n v="1962"/>
    <x v="43"/>
    <x v="0"/>
    <x v="3"/>
    <n v="63887"/>
    <x v="0"/>
    <n v="0"/>
    <n v="1"/>
    <x v="2"/>
    <d v="2012-09-08T00:00:00"/>
    <s v="12 years, 9 months"/>
    <n v="38"/>
    <n v="23"/>
    <n v="11"/>
    <n v="34"/>
    <n v="9"/>
    <n v="12"/>
    <n v="21"/>
  </r>
  <r>
    <n v="225"/>
    <x v="225"/>
    <n v="1978"/>
    <x v="33"/>
    <x v="0"/>
    <x v="1"/>
    <n v="42011"/>
    <x v="0"/>
    <n v="1"/>
    <n v="0"/>
    <x v="2"/>
    <d v="2013-03-26T00:00:00"/>
    <s v="12 years, 3 months"/>
    <n v="46"/>
    <n v="0"/>
    <n v="1"/>
    <n v="1"/>
    <n v="3"/>
    <n v="4"/>
    <n v="7"/>
  </r>
  <r>
    <n v="226"/>
    <x v="226"/>
    <n v="1976"/>
    <x v="11"/>
    <x v="0"/>
    <x v="1"/>
    <n v="51369"/>
    <x v="0"/>
    <n v="0"/>
    <n v="1"/>
    <x v="2"/>
    <d v="2012-10-25T00:00:00"/>
    <s v="12 years, 8 months"/>
    <n v="84"/>
    <n v="7"/>
    <n v="11"/>
    <n v="18"/>
    <n v="8"/>
    <n v="4"/>
    <n v="12"/>
  </r>
  <r>
    <n v="227"/>
    <x v="227"/>
    <n v="1952"/>
    <x v="13"/>
    <x v="0"/>
    <x v="3"/>
    <n v="51537"/>
    <x v="0"/>
    <n v="0"/>
    <n v="1"/>
    <x v="2"/>
    <d v="2012-12-09T00:00:00"/>
    <s v="12 years, 6 months"/>
    <n v="27"/>
    <n v="20"/>
    <n v="0"/>
    <n v="20"/>
    <n v="2"/>
    <n v="11"/>
    <n v="13"/>
  </r>
  <r>
    <n v="228"/>
    <x v="228"/>
    <n v="1972"/>
    <x v="39"/>
    <x v="1"/>
    <x v="2"/>
    <n v="79930"/>
    <x v="2"/>
    <n v="0"/>
    <n v="0"/>
    <x v="0"/>
    <d v="2012-08-08T00:00:00"/>
    <s v="12 years, 10 months"/>
    <n v="72"/>
    <n v="86"/>
    <n v="51"/>
    <n v="137"/>
    <n v="3"/>
    <n v="8"/>
    <n v="11"/>
  </r>
  <r>
    <n v="229"/>
    <x v="229"/>
    <n v="1986"/>
    <x v="22"/>
    <x v="1"/>
    <x v="1"/>
    <n v="34320"/>
    <x v="0"/>
    <n v="1"/>
    <n v="0"/>
    <x v="2"/>
    <d v="2014-02-16T00:00:00"/>
    <s v="11 years, 4 months"/>
    <n v="66"/>
    <n v="1"/>
    <n v="0"/>
    <n v="1"/>
    <n v="1"/>
    <n v="2"/>
    <n v="3"/>
  </r>
  <r>
    <n v="230"/>
    <x v="230"/>
    <n v="1966"/>
    <x v="35"/>
    <x v="0"/>
    <x v="0"/>
    <n v="37070"/>
    <x v="0"/>
    <n v="1"/>
    <n v="1"/>
    <x v="1"/>
    <d v="2013-03-20T00:00:00"/>
    <s v="12 years, 3 months"/>
    <n v="30"/>
    <n v="7"/>
    <n v="15"/>
    <n v="22"/>
    <n v="5"/>
    <n v="8"/>
    <n v="13"/>
  </r>
  <r>
    <n v="231"/>
    <x v="231"/>
    <n v="1962"/>
    <x v="43"/>
    <x v="4"/>
    <x v="3"/>
    <n v="81975"/>
    <x v="2"/>
    <n v="0"/>
    <n v="1"/>
    <x v="2"/>
    <d v="2013-01-05T00:00:00"/>
    <s v="12 years, 6 months"/>
    <n v="2"/>
    <n v="76"/>
    <n v="138"/>
    <n v="214"/>
    <n v="6"/>
    <n v="4"/>
    <n v="10"/>
  </r>
  <r>
    <n v="232"/>
    <x v="232"/>
    <n v="1971"/>
    <x v="6"/>
    <x v="0"/>
    <x v="1"/>
    <n v="38590"/>
    <x v="0"/>
    <n v="1"/>
    <n v="0"/>
    <x v="2"/>
    <d v="2013-05-15T00:00:00"/>
    <s v="12 years, 1 months"/>
    <n v="65"/>
    <n v="1"/>
    <n v="3"/>
    <n v="4"/>
    <n v="1"/>
    <n v="2"/>
    <n v="3"/>
  </r>
  <r>
    <n v="233"/>
    <x v="233"/>
    <n v="1951"/>
    <x v="20"/>
    <x v="0"/>
    <x v="0"/>
    <n v="15033"/>
    <x v="1"/>
    <n v="0"/>
    <n v="0"/>
    <x v="0"/>
    <d v="2014-04-16T00:00:00"/>
    <s v="11 years, 2 months"/>
    <n v="37"/>
    <n v="4"/>
    <n v="0"/>
    <n v="4"/>
    <n v="1"/>
    <n v="3"/>
    <n v="4"/>
  </r>
  <r>
    <n v="234"/>
    <x v="234"/>
    <n v="1965"/>
    <x v="2"/>
    <x v="1"/>
    <x v="2"/>
    <n v="62745"/>
    <x v="0"/>
    <n v="0"/>
    <n v="1"/>
    <x v="2"/>
    <d v="2013-03-23T00:00:00"/>
    <s v="12 years, 3 months"/>
    <n v="89"/>
    <n v="21"/>
    <n v="10"/>
    <n v="31"/>
    <n v="7"/>
    <n v="11"/>
    <n v="18"/>
  </r>
  <r>
    <n v="235"/>
    <x v="235"/>
    <n v="1975"/>
    <x v="28"/>
    <x v="4"/>
    <x v="2"/>
    <n v="22212"/>
    <x v="1"/>
    <n v="1"/>
    <n v="0"/>
    <x v="2"/>
    <d v="2013-12-09T00:00:00"/>
    <s v="11 years, 6 months"/>
    <n v="49"/>
    <n v="9"/>
    <n v="8"/>
    <n v="17"/>
    <n v="2"/>
    <n v="4"/>
    <n v="6"/>
  </r>
  <r>
    <n v="236"/>
    <x v="236"/>
    <n v="1982"/>
    <x v="18"/>
    <x v="2"/>
    <x v="1"/>
    <n v="23661"/>
    <x v="1"/>
    <n v="1"/>
    <n v="0"/>
    <x v="2"/>
    <d v="2013-12-04T00:00:00"/>
    <s v="11 years, 7 months"/>
    <n v="46"/>
    <n v="0"/>
    <n v="0"/>
    <n v="0"/>
    <n v="1"/>
    <n v="3"/>
    <n v="4"/>
  </r>
  <r>
    <n v="237"/>
    <x v="237"/>
    <n v="1958"/>
    <x v="38"/>
    <x v="1"/>
    <x v="0"/>
    <n v="79761"/>
    <x v="2"/>
    <n v="0"/>
    <n v="1"/>
    <x v="2"/>
    <d v="2013-10-04T00:00:00"/>
    <s v="11 years, 9 months"/>
    <n v="32"/>
    <n v="5"/>
    <n v="35"/>
    <n v="40"/>
    <n v="5"/>
    <n v="11"/>
    <n v="16"/>
  </r>
  <r>
    <n v="238"/>
    <x v="238"/>
    <n v="1973"/>
    <x v="26"/>
    <x v="0"/>
    <x v="0"/>
    <n v="7500"/>
    <x v="1"/>
    <n v="1"/>
    <n v="0"/>
    <x v="2"/>
    <d v="2013-12-26T00:00:00"/>
    <s v="11 years, 6 months"/>
    <n v="54"/>
    <n v="3"/>
    <n v="7"/>
    <n v="10"/>
    <n v="3"/>
    <n v="3"/>
    <n v="6"/>
  </r>
  <r>
    <n v="239"/>
    <x v="239"/>
    <n v="1893"/>
    <x v="49"/>
    <x v="4"/>
    <x v="0"/>
    <n v="60182"/>
    <x v="0"/>
    <n v="0"/>
    <n v="1"/>
    <x v="2"/>
    <d v="2014-05-17T00:00:00"/>
    <s v="11 years, 1 months"/>
    <n v="23"/>
    <n v="0"/>
    <n v="0"/>
    <n v="0"/>
    <n v="1"/>
    <n v="2"/>
    <n v="3"/>
  </r>
  <r>
    <n v="240"/>
    <x v="240"/>
    <n v="1968"/>
    <x v="30"/>
    <x v="0"/>
    <x v="4"/>
    <n v="73455"/>
    <x v="0"/>
    <n v="0"/>
    <n v="0"/>
    <x v="0"/>
    <d v="2013-10-28T00:00:00"/>
    <s v="11 years, 8 months"/>
    <n v="98"/>
    <n v="61"/>
    <n v="163"/>
    <n v="224"/>
    <n v="6"/>
    <n v="10"/>
    <n v="16"/>
  </r>
  <r>
    <n v="241"/>
    <x v="241"/>
    <n v="1958"/>
    <x v="38"/>
    <x v="0"/>
    <x v="1"/>
    <n v="64961"/>
    <x v="0"/>
    <n v="0"/>
    <n v="1"/>
    <x v="2"/>
    <d v="2012-12-23T00:00:00"/>
    <s v="12 years, 6 months"/>
    <n v="97"/>
    <n v="114"/>
    <n v="124"/>
    <n v="238"/>
    <n v="6"/>
    <n v="4"/>
    <n v="10"/>
  </r>
  <r>
    <n v="242"/>
    <x v="242"/>
    <n v="1971"/>
    <x v="6"/>
    <x v="0"/>
    <x v="0"/>
    <n v="22804"/>
    <x v="1"/>
    <n v="1"/>
    <n v="0"/>
    <x v="2"/>
    <d v="2013-07-31T00:00:00"/>
    <s v="11 years, 11 months"/>
    <n v="75"/>
    <n v="1"/>
    <n v="1"/>
    <n v="2"/>
    <n v="2"/>
    <n v="2"/>
    <n v="4"/>
  </r>
  <r>
    <n v="243"/>
    <x v="243"/>
    <n v="1990"/>
    <x v="50"/>
    <x v="0"/>
    <x v="2"/>
    <n v="73687"/>
    <x v="0"/>
    <n v="0"/>
    <n v="0"/>
    <x v="0"/>
    <d v="2013-11-28T00:00:00"/>
    <s v="11 years, 7 months"/>
    <n v="8"/>
    <n v="153"/>
    <n v="13"/>
    <n v="166"/>
    <n v="3"/>
    <n v="9"/>
    <n v="12"/>
  </r>
  <r>
    <n v="244"/>
    <x v="244"/>
    <n v="1958"/>
    <x v="38"/>
    <x v="0"/>
    <x v="2"/>
    <n v="61074"/>
    <x v="0"/>
    <n v="0"/>
    <n v="1"/>
    <x v="2"/>
    <d v="2012-08-17T00:00:00"/>
    <s v="12 years, 10 months"/>
    <n v="37"/>
    <n v="0"/>
    <n v="28"/>
    <n v="28"/>
    <n v="11"/>
    <n v="8"/>
    <n v="19"/>
  </r>
  <r>
    <n v="245"/>
    <x v="245"/>
    <n v="1964"/>
    <x v="31"/>
    <x v="1"/>
    <x v="2"/>
    <n v="31686"/>
    <x v="0"/>
    <n v="1"/>
    <n v="1"/>
    <x v="1"/>
    <d v="2014-06-05T00:00:00"/>
    <s v="11 years, 1 months"/>
    <n v="31"/>
    <n v="0"/>
    <n v="0"/>
    <n v="0"/>
    <n v="1"/>
    <n v="3"/>
    <n v="4"/>
  </r>
  <r>
    <n v="246"/>
    <x v="246"/>
    <n v="1972"/>
    <x v="39"/>
    <x v="0"/>
    <x v="2"/>
    <n v="80134"/>
    <x v="2"/>
    <n v="1"/>
    <n v="0"/>
    <x v="2"/>
    <d v="2013-05-20T00:00:00"/>
    <s v="12 years, 1 months"/>
    <n v="40"/>
    <n v="16"/>
    <n v="0"/>
    <n v="16"/>
    <n v="5"/>
    <n v="6"/>
    <n v="11"/>
  </r>
  <r>
    <n v="247"/>
    <x v="247"/>
    <n v="1953"/>
    <x v="44"/>
    <x v="0"/>
    <x v="2"/>
    <n v="75027"/>
    <x v="2"/>
    <n v="0"/>
    <n v="1"/>
    <x v="2"/>
    <d v="2013-01-09T00:00:00"/>
    <s v="12 years, 5 months"/>
    <n v="74"/>
    <n v="64"/>
    <n v="12"/>
    <n v="76"/>
    <n v="9"/>
    <n v="6"/>
    <n v="15"/>
  </r>
  <r>
    <n v="248"/>
    <x v="248"/>
    <n v="1988"/>
    <x v="36"/>
    <x v="1"/>
    <x v="2"/>
    <n v="67546"/>
    <x v="0"/>
    <n v="0"/>
    <n v="0"/>
    <x v="0"/>
    <d v="2012-08-31T00:00:00"/>
    <s v="12 years, 10 months"/>
    <n v="90"/>
    <n v="134"/>
    <n v="38"/>
    <n v="172"/>
    <n v="4"/>
    <n v="5"/>
    <n v="9"/>
  </r>
  <r>
    <n v="249"/>
    <x v="249"/>
    <n v="1969"/>
    <x v="21"/>
    <x v="2"/>
    <x v="1"/>
    <n v="65176"/>
    <x v="0"/>
    <n v="0"/>
    <n v="1"/>
    <x v="2"/>
    <d v="2012-10-29T00:00:00"/>
    <s v="12 years, 8 months"/>
    <n v="57"/>
    <n v="28"/>
    <n v="70"/>
    <n v="98"/>
    <n v="9"/>
    <n v="6"/>
    <n v="15"/>
  </r>
  <r>
    <n v="250"/>
    <x v="250"/>
    <n v="1975"/>
    <x v="28"/>
    <x v="2"/>
    <x v="0"/>
    <n v="31160"/>
    <x v="0"/>
    <n v="1"/>
    <n v="0"/>
    <x v="2"/>
    <d v="2013-09-16T00:00:00"/>
    <s v="11 years, 9 months"/>
    <n v="59"/>
    <n v="3"/>
    <n v="1"/>
    <n v="4"/>
    <n v="2"/>
    <n v="3"/>
    <n v="5"/>
  </r>
  <r>
    <n v="251"/>
    <x v="251"/>
    <n v="1985"/>
    <x v="7"/>
    <x v="0"/>
    <x v="0"/>
    <n v="29938"/>
    <x v="0"/>
    <n v="1"/>
    <n v="0"/>
    <x v="2"/>
    <d v="2013-10-27T00:00:00"/>
    <s v="11 years, 8 months"/>
    <n v="52"/>
    <n v="3"/>
    <n v="2"/>
    <n v="5"/>
    <n v="1"/>
    <n v="3"/>
    <n v="4"/>
  </r>
  <r>
    <n v="252"/>
    <x v="252"/>
    <n v="1974"/>
    <x v="8"/>
    <x v="0"/>
    <x v="3"/>
    <n v="102692"/>
    <x v="2"/>
    <n v="0"/>
    <n v="0"/>
    <x v="0"/>
    <d v="2013-04-05T00:00:00"/>
    <s v="12 years, 3 months"/>
    <n v="5"/>
    <n v="148"/>
    <n v="172"/>
    <n v="320"/>
    <n v="6"/>
    <n v="13"/>
    <n v="19"/>
  </r>
  <r>
    <n v="253"/>
    <x v="253"/>
    <n v="1958"/>
    <x v="38"/>
    <x v="4"/>
    <x v="1"/>
    <n v="26490"/>
    <x v="0"/>
    <n v="0"/>
    <n v="0"/>
    <x v="0"/>
    <d v="2012-09-22T00:00:00"/>
    <s v="12 years, 9 months"/>
    <n v="92"/>
    <n v="47"/>
    <n v="20"/>
    <n v="67"/>
    <n v="3"/>
    <n v="5"/>
    <n v="8"/>
  </r>
  <r>
    <n v="254"/>
    <x v="254"/>
    <n v="1967"/>
    <x v="5"/>
    <x v="0"/>
    <x v="1"/>
    <n v="75702"/>
    <x v="2"/>
    <n v="1"/>
    <n v="1"/>
    <x v="1"/>
    <d v="2012-08-29T00:00:00"/>
    <s v="12 years, 10 months"/>
    <n v="77"/>
    <n v="28"/>
    <n v="42"/>
    <n v="70"/>
    <n v="4"/>
    <n v="11"/>
    <n v="15"/>
  </r>
  <r>
    <n v="255"/>
    <x v="255"/>
    <n v="1974"/>
    <x v="8"/>
    <x v="1"/>
    <x v="0"/>
    <n v="30899"/>
    <x v="0"/>
    <n v="1"/>
    <n v="0"/>
    <x v="2"/>
    <d v="2012-10-13T00:00:00"/>
    <s v="12 years, 8 months"/>
    <n v="35"/>
    <n v="0"/>
    <n v="0"/>
    <n v="0"/>
    <n v="1"/>
    <n v="3"/>
    <n v="4"/>
  </r>
  <r>
    <n v="256"/>
    <x v="256"/>
    <n v="1961"/>
    <x v="45"/>
    <x v="1"/>
    <x v="1"/>
    <n v="63342"/>
    <x v="0"/>
    <n v="0"/>
    <n v="1"/>
    <x v="2"/>
    <d v="2012-10-16T00:00:00"/>
    <s v="12 years, 8 months"/>
    <n v="48"/>
    <n v="21"/>
    <n v="10"/>
    <n v="31"/>
    <n v="8"/>
    <n v="5"/>
    <n v="13"/>
  </r>
  <r>
    <n v="257"/>
    <x v="257"/>
    <n v="1964"/>
    <x v="31"/>
    <x v="0"/>
    <x v="0"/>
    <n v="45989"/>
    <x v="0"/>
    <n v="0"/>
    <n v="1"/>
    <x v="2"/>
    <d v="2012-10-22T00:00:00"/>
    <s v="12 years, 8 months"/>
    <n v="97"/>
    <n v="33"/>
    <n v="24"/>
    <n v="57"/>
    <n v="3"/>
    <n v="7"/>
    <n v="10"/>
  </r>
  <r>
    <n v="258"/>
    <x v="258"/>
    <n v="1964"/>
    <x v="31"/>
    <x v="0"/>
    <x v="0"/>
    <n v="18701"/>
    <x v="1"/>
    <n v="1"/>
    <n v="1"/>
    <x v="1"/>
    <d v="2013-06-04T00:00:00"/>
    <s v="12 years, 1 months"/>
    <n v="95"/>
    <n v="4"/>
    <n v="6"/>
    <n v="10"/>
    <n v="2"/>
    <n v="4"/>
    <n v="6"/>
  </r>
  <r>
    <n v="259"/>
    <x v="259"/>
    <n v="1957"/>
    <x v="0"/>
    <x v="1"/>
    <x v="0"/>
    <n v="40737"/>
    <x v="0"/>
    <n v="2"/>
    <n v="1"/>
    <x v="3"/>
    <d v="2013-12-08T00:00:00"/>
    <s v="11 years, 6 months"/>
    <n v="24"/>
    <n v="0"/>
    <n v="0"/>
    <n v="0"/>
    <n v="1"/>
    <n v="2"/>
    <n v="3"/>
  </r>
  <r>
    <n v="260"/>
    <x v="260"/>
    <n v="1979"/>
    <x v="19"/>
    <x v="0"/>
    <x v="3"/>
    <n v="15287"/>
    <x v="1"/>
    <n v="1"/>
    <n v="0"/>
    <x v="2"/>
    <d v="2012-10-10T00:00:00"/>
    <s v="12 years, 8 months"/>
    <n v="60"/>
    <n v="2"/>
    <n v="3"/>
    <n v="5"/>
    <n v="1"/>
    <n v="2"/>
    <n v="3"/>
  </r>
  <r>
    <n v="261"/>
    <x v="261"/>
    <n v="1968"/>
    <x v="30"/>
    <x v="1"/>
    <x v="3"/>
    <n v="69674"/>
    <x v="0"/>
    <n v="0"/>
    <n v="2"/>
    <x v="1"/>
    <d v="2013-05-22T00:00:00"/>
    <s v="12 years, 1 months"/>
    <n v="46"/>
    <n v="41"/>
    <n v="0"/>
    <n v="41"/>
    <n v="10"/>
    <n v="10"/>
    <n v="20"/>
  </r>
  <r>
    <n v="262"/>
    <x v="262"/>
    <n v="1970"/>
    <x v="25"/>
    <x v="2"/>
    <x v="2"/>
    <n v="44159"/>
    <x v="0"/>
    <n v="1"/>
    <n v="0"/>
    <x v="2"/>
    <d v="2014-06-17T00:00:00"/>
    <s v="11 years, 0 months"/>
    <n v="85"/>
    <n v="2"/>
    <n v="13"/>
    <n v="15"/>
    <n v="4"/>
    <n v="6"/>
    <n v="10"/>
  </r>
  <r>
    <n v="263"/>
    <x v="263"/>
    <n v="1978"/>
    <x v="33"/>
    <x v="1"/>
    <x v="2"/>
    <n v="37717"/>
    <x v="0"/>
    <n v="1"/>
    <n v="0"/>
    <x v="2"/>
    <d v="2012-11-23T00:00:00"/>
    <s v="12 years, 7 months"/>
    <n v="31"/>
    <n v="0"/>
    <n v="1"/>
    <n v="1"/>
    <n v="1"/>
    <n v="2"/>
    <n v="3"/>
  </r>
  <r>
    <n v="264"/>
    <x v="264"/>
    <n v="1952"/>
    <x v="13"/>
    <x v="2"/>
    <x v="1"/>
    <n v="43776"/>
    <x v="0"/>
    <n v="1"/>
    <n v="1"/>
    <x v="1"/>
    <d v="2013-02-03T00:00:00"/>
    <s v="12 years, 5 months"/>
    <n v="9"/>
    <n v="2"/>
    <n v="2"/>
    <n v="4"/>
    <n v="5"/>
    <n v="4"/>
    <n v="9"/>
  </r>
  <r>
    <n v="265"/>
    <x v="265"/>
    <n v="1966"/>
    <x v="35"/>
    <x v="2"/>
    <x v="2"/>
    <n v="38179"/>
    <x v="0"/>
    <n v="1"/>
    <n v="1"/>
    <x v="1"/>
    <d v="2013-03-14T00:00:00"/>
    <s v="12 years, 3 months"/>
    <n v="30"/>
    <n v="4"/>
    <n v="2"/>
    <n v="6"/>
    <n v="3"/>
    <n v="3"/>
    <n v="6"/>
  </r>
  <r>
    <n v="266"/>
    <x v="266"/>
    <n v="1963"/>
    <x v="24"/>
    <x v="0"/>
    <x v="2"/>
    <n v="80124"/>
    <x v="2"/>
    <n v="0"/>
    <n v="0"/>
    <x v="0"/>
    <d v="2014-06-26T00:00:00"/>
    <s v="11 years, 0 months"/>
    <n v="47"/>
    <n v="84"/>
    <n v="84"/>
    <n v="168"/>
    <n v="3"/>
    <n v="8"/>
    <n v="11"/>
  </r>
  <r>
    <n v="267"/>
    <x v="267"/>
    <n v="1970"/>
    <x v="25"/>
    <x v="1"/>
    <x v="2"/>
    <n v="38097"/>
    <x v="0"/>
    <n v="1"/>
    <n v="1"/>
    <x v="1"/>
    <d v="2012-10-15T00:00:00"/>
    <s v="12 years, 8 months"/>
    <n v="70"/>
    <n v="2"/>
    <n v="1"/>
    <n v="3"/>
    <n v="3"/>
    <n v="2"/>
    <n v="5"/>
  </r>
  <r>
    <n v="268"/>
    <x v="268"/>
    <n v="1970"/>
    <x v="25"/>
    <x v="0"/>
    <x v="2"/>
    <n v="72940"/>
    <x v="0"/>
    <n v="0"/>
    <n v="0"/>
    <x v="0"/>
    <d v="2013-06-19T00:00:00"/>
    <s v="12 years, 0 months"/>
    <n v="13"/>
    <n v="74"/>
    <n v="149"/>
    <n v="223"/>
    <n v="3"/>
    <n v="6"/>
    <n v="9"/>
  </r>
  <r>
    <n v="269"/>
    <x v="269"/>
    <n v="1970"/>
    <x v="25"/>
    <x v="0"/>
    <x v="1"/>
    <n v="22070"/>
    <x v="1"/>
    <n v="1"/>
    <n v="0"/>
    <x v="2"/>
    <d v="2013-10-04T00:00:00"/>
    <s v="11 years, 9 months"/>
    <n v="11"/>
    <n v="7"/>
    <n v="2"/>
    <n v="9"/>
    <n v="2"/>
    <n v="2"/>
    <n v="4"/>
  </r>
  <r>
    <n v="270"/>
    <x v="270"/>
    <n v="1953"/>
    <x v="44"/>
    <x v="0"/>
    <x v="0"/>
    <n v="69267"/>
    <x v="0"/>
    <n v="0"/>
    <n v="0"/>
    <x v="0"/>
    <d v="2012-09-22T00:00:00"/>
    <s v="12 years, 9 months"/>
    <n v="31"/>
    <n v="44"/>
    <n v="73"/>
    <n v="117"/>
    <n v="3"/>
    <n v="5"/>
    <n v="8"/>
  </r>
  <r>
    <n v="271"/>
    <x v="271"/>
    <n v="1983"/>
    <x v="10"/>
    <x v="2"/>
    <x v="0"/>
    <n v="31788"/>
    <x v="0"/>
    <n v="1"/>
    <n v="0"/>
    <x v="2"/>
    <d v="2014-03-20T00:00:00"/>
    <s v="11 years, 3 months"/>
    <n v="15"/>
    <n v="7"/>
    <n v="8"/>
    <n v="15"/>
    <n v="3"/>
    <n v="4"/>
    <n v="7"/>
  </r>
  <r>
    <n v="272"/>
    <x v="272"/>
    <n v="1975"/>
    <x v="28"/>
    <x v="1"/>
    <x v="1"/>
    <n v="61905"/>
    <x v="0"/>
    <n v="0"/>
    <n v="1"/>
    <x v="2"/>
    <d v="2014-02-04T00:00:00"/>
    <s v="11 years, 5 months"/>
    <n v="2"/>
    <n v="0"/>
    <n v="2"/>
    <n v="2"/>
    <n v="4"/>
    <n v="4"/>
    <n v="8"/>
  </r>
  <r>
    <n v="273"/>
    <x v="273"/>
    <n v="1960"/>
    <x v="40"/>
    <x v="0"/>
    <x v="2"/>
    <n v="29315"/>
    <x v="0"/>
    <n v="1"/>
    <n v="1"/>
    <x v="1"/>
    <d v="2014-04-06T00:00:00"/>
    <s v="11 years, 3 months"/>
    <n v="55"/>
    <n v="2"/>
    <n v="7"/>
    <n v="9"/>
    <n v="2"/>
    <n v="4"/>
    <n v="6"/>
  </r>
  <r>
    <n v="274"/>
    <x v="274"/>
    <n v="1963"/>
    <x v="24"/>
    <x v="0"/>
    <x v="3"/>
    <n v="33378"/>
    <x v="0"/>
    <n v="1"/>
    <n v="1"/>
    <x v="1"/>
    <d v="2013-02-06T00:00:00"/>
    <s v="12 years, 5 months"/>
    <n v="38"/>
    <n v="6"/>
    <n v="7"/>
    <n v="13"/>
    <n v="2"/>
    <n v="4"/>
    <n v="6"/>
  </r>
  <r>
    <n v="275"/>
    <x v="275"/>
    <n v="1963"/>
    <x v="24"/>
    <x v="1"/>
    <x v="1"/>
    <n v="66313"/>
    <x v="0"/>
    <n v="0"/>
    <n v="1"/>
    <x v="2"/>
    <d v="2013-09-16T00:00:00"/>
    <s v="11 years, 9 months"/>
    <n v="86"/>
    <n v="7"/>
    <n v="22"/>
    <n v="29"/>
    <n v="6"/>
    <n v="12"/>
    <n v="18"/>
  </r>
  <r>
    <n v="276"/>
    <x v="276"/>
    <n v="1956"/>
    <x v="46"/>
    <x v="0"/>
    <x v="0"/>
    <n v="60714"/>
    <x v="0"/>
    <n v="0"/>
    <n v="0"/>
    <x v="0"/>
    <d v="2013-01-17T00:00:00"/>
    <s v="12 years, 5 months"/>
    <n v="56"/>
    <n v="162"/>
    <n v="92"/>
    <n v="254"/>
    <n v="7"/>
    <n v="10"/>
    <n v="17"/>
  </r>
  <r>
    <n v="277"/>
    <x v="277"/>
    <n v="1981"/>
    <x v="4"/>
    <x v="2"/>
    <x v="1"/>
    <n v="77882"/>
    <x v="2"/>
    <n v="0"/>
    <n v="0"/>
    <x v="0"/>
    <d v="2014-04-30T00:00:00"/>
    <s v="11 years, 2 months"/>
    <n v="29"/>
    <n v="129"/>
    <n v="22"/>
    <n v="151"/>
    <n v="3"/>
    <n v="5"/>
    <n v="8"/>
  </r>
  <r>
    <n v="278"/>
    <x v="278"/>
    <n v="1986"/>
    <x v="22"/>
    <x v="1"/>
    <x v="0"/>
    <n v="69867"/>
    <x v="0"/>
    <n v="0"/>
    <n v="0"/>
    <x v="0"/>
    <d v="2013-04-02T00:00:00"/>
    <s v="12 years, 3 months"/>
    <n v="30"/>
    <n v="0"/>
    <n v="130"/>
    <n v="130"/>
    <n v="3"/>
    <n v="8"/>
    <n v="11"/>
  </r>
  <r>
    <n v="279"/>
    <x v="279"/>
    <n v="1968"/>
    <x v="30"/>
    <x v="2"/>
    <x v="3"/>
    <n v="63841"/>
    <x v="0"/>
    <n v="0"/>
    <n v="1"/>
    <x v="2"/>
    <d v="2013-04-21T00:00:00"/>
    <s v="12 years, 2 months"/>
    <n v="64"/>
    <n v="15"/>
    <n v="7"/>
    <n v="22"/>
    <n v="9"/>
    <n v="9"/>
    <n v="18"/>
  </r>
  <r>
    <n v="280"/>
    <x v="280"/>
    <n v="1981"/>
    <x v="4"/>
    <x v="3"/>
    <x v="2"/>
    <n v="24480"/>
    <x v="1"/>
    <n v="1"/>
    <n v="0"/>
    <x v="2"/>
    <d v="2013-02-11T00:00:00"/>
    <s v="12 years, 4 months"/>
    <n v="46"/>
    <n v="19"/>
    <n v="25"/>
    <n v="44"/>
    <n v="3"/>
    <n v="4"/>
    <n v="7"/>
  </r>
  <r>
    <n v="281"/>
    <x v="281"/>
    <n v="1976"/>
    <x v="11"/>
    <x v="0"/>
    <x v="1"/>
    <n v="51369"/>
    <x v="0"/>
    <n v="0"/>
    <n v="1"/>
    <x v="2"/>
    <d v="2012-10-25T00:00:00"/>
    <s v="12 years, 8 months"/>
    <n v="84"/>
    <n v="7"/>
    <n v="11"/>
    <n v="18"/>
    <n v="8"/>
    <n v="4"/>
    <n v="12"/>
  </r>
  <r>
    <n v="282"/>
    <x v="282"/>
    <n v="1946"/>
    <x v="15"/>
    <x v="0"/>
    <x v="1"/>
    <n v="37760"/>
    <x v="0"/>
    <n v="0"/>
    <n v="0"/>
    <x v="0"/>
    <d v="2012-08-31T00:00:00"/>
    <s v="12 years, 10 months"/>
    <n v="20"/>
    <n v="5"/>
    <n v="12"/>
    <n v="17"/>
    <n v="4"/>
    <n v="6"/>
    <n v="10"/>
  </r>
  <r>
    <n v="283"/>
    <x v="283"/>
    <n v="1974"/>
    <x v="8"/>
    <x v="1"/>
    <x v="1"/>
    <n v="65640"/>
    <x v="0"/>
    <n v="0"/>
    <n v="1"/>
    <x v="2"/>
    <d v="2014-03-01T00:00:00"/>
    <s v="11 years, 4 months"/>
    <n v="74"/>
    <n v="7"/>
    <n v="15"/>
    <n v="22"/>
    <n v="5"/>
    <n v="8"/>
    <n v="13"/>
  </r>
  <r>
    <n v="284"/>
    <x v="284"/>
    <n v="1975"/>
    <x v="28"/>
    <x v="2"/>
    <x v="2"/>
    <n v="44319"/>
    <x v="0"/>
    <n v="1"/>
    <n v="1"/>
    <x v="1"/>
    <d v="2014-04-17T00:00:00"/>
    <s v="11 years, 2 months"/>
    <n v="18"/>
    <n v="0"/>
    <n v="0"/>
    <n v="0"/>
    <n v="2"/>
    <n v="3"/>
    <n v="5"/>
  </r>
  <r>
    <n v="285"/>
    <x v="285"/>
    <n v="1974"/>
    <x v="8"/>
    <x v="0"/>
    <x v="2"/>
    <n v="30631"/>
    <x v="0"/>
    <n v="1"/>
    <n v="0"/>
    <x v="2"/>
    <d v="2013-07-12T00:00:00"/>
    <s v="11 years, 11 months"/>
    <n v="75"/>
    <n v="6"/>
    <n v="5"/>
    <n v="11"/>
    <n v="3"/>
    <n v="2"/>
    <n v="5"/>
  </r>
  <r>
    <n v="286"/>
    <x v="286"/>
    <n v="1952"/>
    <x v="13"/>
    <x v="0"/>
    <x v="1"/>
    <n v="75278"/>
    <x v="2"/>
    <n v="0"/>
    <n v="0"/>
    <x v="0"/>
    <d v="2013-01-29T00:00:00"/>
    <s v="12 years, 5 months"/>
    <n v="17"/>
    <n v="98"/>
    <n v="74"/>
    <n v="172"/>
    <n v="6"/>
    <n v="13"/>
    <n v="19"/>
  </r>
  <r>
    <n v="287"/>
    <x v="287"/>
    <n v="1956"/>
    <x v="46"/>
    <x v="2"/>
    <x v="1"/>
    <n v="50898"/>
    <x v="0"/>
    <n v="1"/>
    <n v="1"/>
    <x v="1"/>
    <d v="2013-01-08T00:00:00"/>
    <s v="12 years, 5 months"/>
    <n v="88"/>
    <n v="28"/>
    <n v="114"/>
    <n v="142"/>
    <n v="6"/>
    <n v="12"/>
    <n v="18"/>
  </r>
  <r>
    <n v="288"/>
    <x v="288"/>
    <n v="1966"/>
    <x v="35"/>
    <x v="0"/>
    <x v="4"/>
    <n v="79946"/>
    <x v="2"/>
    <n v="0"/>
    <n v="0"/>
    <x v="0"/>
    <d v="2014-05-12T00:00:00"/>
    <s v="11 years, 1 months"/>
    <n v="19"/>
    <n v="183"/>
    <n v="141"/>
    <n v="324"/>
    <n v="5"/>
    <n v="5"/>
    <n v="10"/>
  </r>
  <r>
    <n v="289"/>
    <x v="289"/>
    <n v="1949"/>
    <x v="17"/>
    <x v="2"/>
    <x v="3"/>
    <n v="35416"/>
    <x v="0"/>
    <n v="0"/>
    <n v="0"/>
    <x v="0"/>
    <d v="2013-06-13T00:00:00"/>
    <s v="12 years, 0 months"/>
    <n v="62"/>
    <n v="3"/>
    <n v="3"/>
    <n v="6"/>
    <n v="7"/>
    <n v="5"/>
    <n v="12"/>
  </r>
  <r>
    <n v="290"/>
    <x v="290"/>
    <n v="1984"/>
    <x v="3"/>
    <x v="4"/>
    <x v="1"/>
    <n v="32414"/>
    <x v="0"/>
    <n v="0"/>
    <n v="0"/>
    <x v="0"/>
    <d v="2013-07-04T00:00:00"/>
    <s v="12 years, 0 months"/>
    <n v="11"/>
    <n v="6"/>
    <n v="9"/>
    <n v="15"/>
    <n v="1"/>
    <n v="3"/>
    <n v="4"/>
  </r>
  <r>
    <n v="291"/>
    <x v="291"/>
    <n v="1969"/>
    <x v="21"/>
    <x v="0"/>
    <x v="1"/>
    <n v="38361"/>
    <x v="0"/>
    <n v="1"/>
    <n v="0"/>
    <x v="2"/>
    <d v="2013-12-27T00:00:00"/>
    <s v="11 years, 6 months"/>
    <n v="74"/>
    <n v="0"/>
    <n v="8"/>
    <n v="8"/>
    <n v="3"/>
    <n v="3"/>
    <n v="6"/>
  </r>
  <r>
    <n v="292"/>
    <x v="292"/>
    <n v="1980"/>
    <x v="16"/>
    <x v="0"/>
    <x v="2"/>
    <n v="82497"/>
    <x v="2"/>
    <n v="0"/>
    <n v="0"/>
    <x v="0"/>
    <d v="2012-10-31T00:00:00"/>
    <s v="12 years, 8 months"/>
    <n v="32"/>
    <n v="129"/>
    <n v="21"/>
    <n v="150"/>
    <n v="2"/>
    <n v="9"/>
    <n v="11"/>
  </r>
  <r>
    <n v="293"/>
    <x v="293"/>
    <n v="1971"/>
    <x v="6"/>
    <x v="0"/>
    <x v="1"/>
    <n v="16626"/>
    <x v="1"/>
    <n v="2"/>
    <n v="0"/>
    <x v="1"/>
    <d v="2014-01-15T00:00:00"/>
    <s v="11 years, 5 months"/>
    <n v="76"/>
    <n v="3"/>
    <n v="1"/>
    <n v="4"/>
    <n v="3"/>
    <n v="3"/>
    <n v="6"/>
  </r>
  <r>
    <n v="294"/>
    <x v="294"/>
    <n v="1965"/>
    <x v="2"/>
    <x v="0"/>
    <x v="1"/>
    <n v="29672"/>
    <x v="0"/>
    <n v="1"/>
    <n v="1"/>
    <x v="1"/>
    <d v="2013-03-12T00:00:00"/>
    <s v="12 years, 3 months"/>
    <n v="6"/>
    <n v="1"/>
    <n v="4"/>
    <n v="5"/>
    <n v="0"/>
    <n v="3"/>
    <n v="3"/>
  </r>
  <r>
    <n v="295"/>
    <x v="295"/>
    <n v="1952"/>
    <x v="13"/>
    <x v="2"/>
    <x v="1"/>
    <n v="55951"/>
    <x v="0"/>
    <n v="0"/>
    <n v="1"/>
    <x v="2"/>
    <d v="2012-08-23T00:00:00"/>
    <s v="12 years, 10 months"/>
    <n v="62"/>
    <n v="0"/>
    <n v="13"/>
    <n v="13"/>
    <n v="3"/>
    <n v="11"/>
    <n v="14"/>
  </r>
  <r>
    <n v="296"/>
    <x v="296"/>
    <n v="1988"/>
    <x v="36"/>
    <x v="4"/>
    <x v="3"/>
    <n v="35388"/>
    <x v="0"/>
    <n v="1"/>
    <n v="0"/>
    <x v="2"/>
    <d v="2013-03-07T00:00:00"/>
    <s v="12 years, 3 months"/>
    <n v="20"/>
    <n v="4"/>
    <n v="3"/>
    <n v="7"/>
    <n v="1"/>
    <n v="3"/>
    <n v="4"/>
  </r>
  <r>
    <n v="297"/>
    <x v="297"/>
    <n v="1986"/>
    <x v="22"/>
    <x v="2"/>
    <x v="1"/>
    <n v="42386"/>
    <x v="0"/>
    <n v="1"/>
    <n v="0"/>
    <x v="2"/>
    <d v="2013-01-13T00:00:00"/>
    <s v="12 years, 5 months"/>
    <n v="43"/>
    <n v="4"/>
    <n v="4"/>
    <n v="8"/>
    <n v="3"/>
    <n v="3"/>
    <n v="6"/>
  </r>
  <r>
    <n v="298"/>
    <x v="298"/>
    <n v="1982"/>
    <x v="18"/>
    <x v="0"/>
    <x v="0"/>
    <n v="68627"/>
    <x v="0"/>
    <n v="0"/>
    <n v="0"/>
    <x v="0"/>
    <d v="2013-01-12T00:00:00"/>
    <s v="12 years, 5 months"/>
    <n v="45"/>
    <n v="15"/>
    <n v="54"/>
    <n v="69"/>
    <n v="2"/>
    <n v="6"/>
    <n v="8"/>
  </r>
  <r>
    <n v="299"/>
    <x v="299"/>
    <n v="1965"/>
    <x v="2"/>
    <x v="1"/>
    <x v="3"/>
    <n v="57912"/>
    <x v="0"/>
    <n v="0"/>
    <n v="1"/>
    <x v="2"/>
    <d v="2014-03-17T00:00:00"/>
    <s v="11 years, 3 months"/>
    <n v="34"/>
    <n v="0"/>
    <n v="0"/>
    <n v="0"/>
    <n v="8"/>
    <n v="12"/>
    <n v="20"/>
  </r>
  <r>
    <n v="300"/>
    <x v="300"/>
    <n v="1958"/>
    <x v="38"/>
    <x v="0"/>
    <x v="3"/>
    <n v="35246"/>
    <x v="0"/>
    <n v="1"/>
    <n v="1"/>
    <x v="1"/>
    <d v="2014-04-16T00:00:00"/>
    <s v="11 years, 2 months"/>
    <n v="53"/>
    <n v="0"/>
    <n v="2"/>
    <n v="2"/>
    <n v="3"/>
    <n v="3"/>
    <n v="6"/>
  </r>
  <r>
    <n v="301"/>
    <x v="301"/>
    <n v="1956"/>
    <x v="46"/>
    <x v="4"/>
    <x v="1"/>
    <n v="58821"/>
    <x v="0"/>
    <n v="0"/>
    <n v="1"/>
    <x v="2"/>
    <d v="2013-10-12T00:00:00"/>
    <s v="11 years, 8 months"/>
    <n v="44"/>
    <n v="14"/>
    <n v="0"/>
    <n v="14"/>
    <n v="9"/>
    <n v="9"/>
    <n v="18"/>
  </r>
  <r>
    <n v="302"/>
    <x v="302"/>
    <n v="1978"/>
    <x v="33"/>
    <x v="1"/>
    <x v="2"/>
    <n v="46377"/>
    <x v="0"/>
    <n v="1"/>
    <n v="0"/>
    <x v="2"/>
    <d v="2014-03-01T00:00:00"/>
    <s v="11 years, 4 months"/>
    <n v="89"/>
    <n v="0"/>
    <n v="3"/>
    <n v="3"/>
    <n v="2"/>
    <n v="3"/>
    <n v="5"/>
  </r>
  <r>
    <n v="303"/>
    <x v="303"/>
    <n v="1988"/>
    <x v="36"/>
    <x v="0"/>
    <x v="0"/>
    <n v="39747"/>
    <x v="0"/>
    <n v="1"/>
    <n v="0"/>
    <x v="2"/>
    <d v="2014-04-13T00:00:00"/>
    <s v="11 years, 2 months"/>
    <n v="43"/>
    <n v="15"/>
    <n v="13"/>
    <n v="28"/>
    <n v="5"/>
    <n v="4"/>
    <n v="9"/>
  </r>
  <r>
    <n v="304"/>
    <x v="304"/>
    <n v="1984"/>
    <x v="3"/>
    <x v="0"/>
    <x v="1"/>
    <n v="23976"/>
    <x v="1"/>
    <n v="1"/>
    <n v="0"/>
    <x v="2"/>
    <d v="2013-12-27T00:00:00"/>
    <s v="11 years, 6 months"/>
    <n v="68"/>
    <n v="1"/>
    <n v="3"/>
    <n v="4"/>
    <n v="3"/>
    <n v="3"/>
    <n v="6"/>
  </r>
  <r>
    <n v="305"/>
    <x v="305"/>
    <n v="1961"/>
    <x v="45"/>
    <x v="2"/>
    <x v="2"/>
    <n v="80950"/>
    <x v="2"/>
    <n v="0"/>
    <n v="0"/>
    <x v="0"/>
    <d v="2013-03-28T00:00:00"/>
    <s v="12 years, 3 months"/>
    <n v="44"/>
    <n v="147"/>
    <n v="147"/>
    <n v="294"/>
    <n v="6"/>
    <n v="9"/>
    <n v="15"/>
  </r>
  <r>
    <n v="306"/>
    <x v="306"/>
    <n v="1966"/>
    <x v="35"/>
    <x v="0"/>
    <x v="4"/>
    <n v="27038"/>
    <x v="0"/>
    <n v="0"/>
    <n v="0"/>
    <x v="0"/>
    <d v="2012-09-18T00:00:00"/>
    <s v="12 years, 9 months"/>
    <n v="64"/>
    <n v="26"/>
    <n v="23"/>
    <n v="49"/>
    <n v="3"/>
    <n v="3"/>
    <n v="6"/>
  </r>
  <r>
    <n v="307"/>
    <x v="307"/>
    <n v="1947"/>
    <x v="51"/>
    <x v="0"/>
    <x v="0"/>
    <n v="77457"/>
    <x v="2"/>
    <n v="0"/>
    <n v="0"/>
    <x v="0"/>
    <d v="2014-03-05T00:00:00"/>
    <s v="11 years, 4 months"/>
    <n v="85"/>
    <n v="11"/>
    <n v="45"/>
    <n v="56"/>
    <n v="2"/>
    <n v="10"/>
    <n v="12"/>
  </r>
  <r>
    <n v="308"/>
    <x v="308"/>
    <n v="1964"/>
    <x v="31"/>
    <x v="2"/>
    <x v="2"/>
    <n v="64100"/>
    <x v="0"/>
    <n v="0"/>
    <n v="1"/>
    <x v="2"/>
    <d v="2013-09-10T00:00:00"/>
    <s v="11 years, 9 months"/>
    <n v="93"/>
    <n v="0"/>
    <n v="0"/>
    <n v="0"/>
    <n v="8"/>
    <n v="6"/>
    <n v="14"/>
  </r>
  <r>
    <n v="309"/>
    <x v="309"/>
    <n v="1992"/>
    <x v="47"/>
    <x v="2"/>
    <x v="1"/>
    <n v="42670"/>
    <x v="0"/>
    <n v="0"/>
    <n v="0"/>
    <x v="0"/>
    <d v="2013-04-27T00:00:00"/>
    <s v="12 years, 2 months"/>
    <n v="12"/>
    <n v="2"/>
    <n v="4"/>
    <n v="6"/>
    <n v="4"/>
    <n v="4"/>
    <n v="8"/>
  </r>
  <r>
    <n v="310"/>
    <x v="310"/>
    <n v="1976"/>
    <x v="11"/>
    <x v="0"/>
    <x v="3"/>
    <n v="12571"/>
    <x v="1"/>
    <n v="1"/>
    <n v="0"/>
    <x v="2"/>
    <d v="2014-01-18T00:00:00"/>
    <s v="11 years, 5 months"/>
    <n v="86"/>
    <n v="5"/>
    <n v="12"/>
    <n v="17"/>
    <n v="3"/>
    <n v="3"/>
    <n v="6"/>
  </r>
  <r>
    <n v="311"/>
    <x v="311"/>
    <n v="1967"/>
    <x v="5"/>
    <x v="0"/>
    <x v="2"/>
    <n v="22574"/>
    <x v="1"/>
    <n v="2"/>
    <n v="1"/>
    <x v="3"/>
    <d v="2013-10-28T00:00:00"/>
    <s v="11 years, 8 months"/>
    <n v="28"/>
    <n v="0"/>
    <n v="0"/>
    <n v="0"/>
    <n v="2"/>
    <n v="3"/>
    <n v="5"/>
  </r>
  <r>
    <n v="312"/>
    <x v="312"/>
    <n v="1989"/>
    <x v="23"/>
    <x v="0"/>
    <x v="2"/>
    <n v="51371"/>
    <x v="0"/>
    <n v="0"/>
    <n v="0"/>
    <x v="0"/>
    <d v="2013-06-03T00:00:00"/>
    <s v="12 years, 1 months"/>
    <n v="69"/>
    <n v="138"/>
    <n v="30"/>
    <n v="168"/>
    <n v="6"/>
    <n v="12"/>
    <n v="18"/>
  </r>
  <r>
    <n v="313"/>
    <x v="313"/>
    <n v="1976"/>
    <x v="11"/>
    <x v="2"/>
    <x v="0"/>
    <n v="70893"/>
    <x v="0"/>
    <n v="0"/>
    <n v="0"/>
    <x v="0"/>
    <d v="2013-02-06T00:00:00"/>
    <s v="12 years, 5 months"/>
    <n v="42"/>
    <n v="44"/>
    <n v="44"/>
    <n v="88"/>
    <n v="6"/>
    <n v="10"/>
    <n v="16"/>
  </r>
  <r>
    <n v="314"/>
    <x v="314"/>
    <n v="1966"/>
    <x v="35"/>
    <x v="0"/>
    <x v="2"/>
    <n v="54198"/>
    <x v="0"/>
    <n v="1"/>
    <n v="1"/>
    <x v="1"/>
    <d v="2013-12-17T00:00:00"/>
    <s v="11 years, 6 months"/>
    <n v="13"/>
    <n v="0"/>
    <n v="2"/>
    <n v="2"/>
    <n v="3"/>
    <n v="6"/>
    <n v="9"/>
  </r>
  <r>
    <n v="315"/>
    <x v="315"/>
    <n v="1956"/>
    <x v="46"/>
    <x v="2"/>
    <x v="1"/>
    <n v="28839"/>
    <x v="0"/>
    <n v="1"/>
    <n v="1"/>
    <x v="1"/>
    <d v="2014-03-11T00:00:00"/>
    <s v="11 years, 3 months"/>
    <n v="86"/>
    <n v="0"/>
    <n v="0"/>
    <n v="0"/>
    <n v="2"/>
    <n v="3"/>
    <n v="5"/>
  </r>
  <r>
    <n v="316"/>
    <x v="316"/>
    <n v="1972"/>
    <x v="39"/>
    <x v="0"/>
    <x v="2"/>
    <n v="40321"/>
    <x v="0"/>
    <n v="1"/>
    <n v="1"/>
    <x v="1"/>
    <d v="2013-07-29T00:00:00"/>
    <s v="11 years, 11 months"/>
    <n v="59"/>
    <n v="4"/>
    <n v="0"/>
    <n v="4"/>
    <n v="3"/>
    <n v="3"/>
    <n v="6"/>
  </r>
  <r>
    <n v="317"/>
    <x v="317"/>
    <n v="1985"/>
    <x v="7"/>
    <x v="0"/>
    <x v="0"/>
    <n v="66503"/>
    <x v="0"/>
    <n v="1"/>
    <n v="0"/>
    <x v="2"/>
    <d v="2012-08-14T00:00:00"/>
    <s v="12 years, 10 months"/>
    <n v="30"/>
    <n v="64"/>
    <n v="3"/>
    <n v="67"/>
    <n v="4"/>
    <n v="6"/>
    <n v="10"/>
  </r>
  <r>
    <n v="318"/>
    <x v="318"/>
    <n v="1951"/>
    <x v="20"/>
    <x v="0"/>
    <x v="2"/>
    <n v="30833"/>
    <x v="0"/>
    <n v="1"/>
    <n v="1"/>
    <x v="1"/>
    <d v="2013-07-16T00:00:00"/>
    <s v="11 years, 11 months"/>
    <n v="33"/>
    <n v="0"/>
    <n v="1"/>
    <n v="1"/>
    <n v="1"/>
    <n v="3"/>
    <n v="4"/>
  </r>
  <r>
    <n v="319"/>
    <x v="319"/>
    <n v="1970"/>
    <x v="25"/>
    <x v="0"/>
    <x v="0"/>
    <n v="51371"/>
    <x v="0"/>
    <n v="1"/>
    <n v="2"/>
    <x v="3"/>
    <d v="2013-08-23T00:00:00"/>
    <s v="11 years, 10 months"/>
    <n v="67"/>
    <n v="20"/>
    <n v="50"/>
    <n v="70"/>
    <n v="2"/>
    <n v="10"/>
    <n v="12"/>
  </r>
  <r>
    <n v="320"/>
    <x v="320"/>
    <n v="1971"/>
    <x v="6"/>
    <x v="0"/>
    <x v="2"/>
    <n v="64795"/>
    <x v="0"/>
    <n v="0"/>
    <n v="1"/>
    <x v="2"/>
    <d v="2013-01-17T00:00:00"/>
    <s v="12 years, 5 months"/>
    <n v="23"/>
    <n v="5"/>
    <n v="29"/>
    <n v="34"/>
    <n v="3"/>
    <n v="12"/>
    <n v="15"/>
  </r>
  <r>
    <n v="321"/>
    <x v="321"/>
    <n v="1974"/>
    <x v="8"/>
    <x v="0"/>
    <x v="2"/>
    <n v="34421"/>
    <x v="0"/>
    <n v="1"/>
    <n v="0"/>
    <x v="2"/>
    <d v="2013-07-01T00:00:00"/>
    <s v="12 years, 0 months"/>
    <n v="81"/>
    <n v="3"/>
    <n v="2"/>
    <n v="5"/>
    <n v="1"/>
    <n v="2"/>
    <n v="3"/>
  </r>
  <r>
    <n v="322"/>
    <x v="322"/>
    <n v="1965"/>
    <x v="2"/>
    <x v="1"/>
    <x v="3"/>
    <n v="47025"/>
    <x v="0"/>
    <n v="1"/>
    <n v="1"/>
    <x v="1"/>
    <d v="2014-02-09T00:00:00"/>
    <s v="11 years, 4 months"/>
    <n v="6"/>
    <n v="0"/>
    <n v="0"/>
    <n v="0"/>
    <n v="1"/>
    <n v="2"/>
    <n v="3"/>
  </r>
  <r>
    <n v="323"/>
    <x v="323"/>
    <n v="1961"/>
    <x v="45"/>
    <x v="1"/>
    <x v="3"/>
    <n v="64325"/>
    <x v="0"/>
    <n v="0"/>
    <n v="1"/>
    <x v="2"/>
    <d v="2013-02-07T00:00:00"/>
    <s v="12 years, 4 months"/>
    <n v="41"/>
    <n v="60"/>
    <n v="12"/>
    <n v="72"/>
    <n v="10"/>
    <n v="5"/>
    <n v="15"/>
  </r>
  <r>
    <n v="324"/>
    <x v="324"/>
    <n v="1953"/>
    <x v="44"/>
    <x v="0"/>
    <x v="0"/>
    <n v="40464"/>
    <x v="0"/>
    <n v="0"/>
    <n v="1"/>
    <x v="2"/>
    <d v="2013-01-11T00:00:00"/>
    <s v="12 years, 5 months"/>
    <n v="78"/>
    <n v="17"/>
    <n v="23"/>
    <n v="40"/>
    <n v="8"/>
    <n v="8"/>
    <n v="16"/>
  </r>
  <r>
    <n v="325"/>
    <x v="325"/>
    <n v="1957"/>
    <x v="0"/>
    <x v="0"/>
    <x v="2"/>
    <n v="62187"/>
    <x v="0"/>
    <n v="0"/>
    <n v="0"/>
    <x v="0"/>
    <d v="2013-07-05T00:00:00"/>
    <s v="12 years, 0 months"/>
    <n v="49"/>
    <n v="0"/>
    <n v="45"/>
    <n v="45"/>
    <n v="4"/>
    <n v="5"/>
    <n v="9"/>
  </r>
  <r>
    <n v="326"/>
    <x v="326"/>
    <n v="1976"/>
    <x v="11"/>
    <x v="1"/>
    <x v="3"/>
    <n v="14849"/>
    <x v="1"/>
    <n v="1"/>
    <n v="0"/>
    <x v="2"/>
    <d v="2013-07-02T00:00:00"/>
    <s v="12 years, 0 months"/>
    <n v="39"/>
    <n v="2"/>
    <n v="2"/>
    <n v="4"/>
    <n v="2"/>
    <n v="4"/>
    <n v="6"/>
  </r>
  <r>
    <n v="327"/>
    <x v="327"/>
    <n v="1984"/>
    <x v="3"/>
    <x v="0"/>
    <x v="2"/>
    <n v="27255"/>
    <x v="0"/>
    <n v="1"/>
    <n v="0"/>
    <x v="2"/>
    <d v="2013-11-07T00:00:00"/>
    <s v="11 years, 7 months"/>
    <n v="3"/>
    <n v="1"/>
    <n v="1"/>
    <n v="2"/>
    <n v="1"/>
    <n v="3"/>
    <n v="4"/>
  </r>
  <r>
    <n v="328"/>
    <x v="328"/>
    <n v="1950"/>
    <x v="9"/>
    <x v="1"/>
    <x v="2"/>
    <n v="54432"/>
    <x v="0"/>
    <n v="2"/>
    <n v="1"/>
    <x v="3"/>
    <d v="2013-05-09T00:00:00"/>
    <s v="12 years, 1 months"/>
    <n v="37"/>
    <n v="0"/>
    <n v="0"/>
    <n v="0"/>
    <n v="1"/>
    <n v="3"/>
    <n v="4"/>
  </r>
  <r>
    <n v="329"/>
    <x v="329"/>
    <n v="1986"/>
    <x v="22"/>
    <x v="1"/>
    <x v="0"/>
    <n v="29999"/>
    <x v="0"/>
    <n v="1"/>
    <n v="0"/>
    <x v="2"/>
    <d v="2013-02-13T00:00:00"/>
    <s v="12 years, 4 months"/>
    <n v="22"/>
    <n v="7"/>
    <n v="5"/>
    <n v="12"/>
    <n v="3"/>
    <n v="4"/>
    <n v="7"/>
  </r>
  <r>
    <n v="330"/>
    <x v="330"/>
    <n v="1983"/>
    <x v="10"/>
    <x v="0"/>
    <x v="0"/>
    <n v="24072"/>
    <x v="1"/>
    <n v="1"/>
    <n v="0"/>
    <x v="2"/>
    <d v="2013-04-16T00:00:00"/>
    <s v="12 years, 2 months"/>
    <n v="79"/>
    <n v="1"/>
    <n v="0"/>
    <n v="1"/>
    <n v="1"/>
    <n v="2"/>
    <n v="3"/>
  </r>
  <r>
    <n v="331"/>
    <x v="331"/>
    <n v="1989"/>
    <x v="23"/>
    <x v="1"/>
    <x v="0"/>
    <n v="33996"/>
    <x v="0"/>
    <n v="0"/>
    <n v="0"/>
    <x v="0"/>
    <d v="2013-09-11T00:00:00"/>
    <s v="11 years, 9 months"/>
    <n v="46"/>
    <n v="2"/>
    <n v="0"/>
    <n v="2"/>
    <n v="1"/>
    <n v="3"/>
    <n v="4"/>
  </r>
  <r>
    <n v="332"/>
    <x v="332"/>
    <n v="1956"/>
    <x v="46"/>
    <x v="1"/>
    <x v="2"/>
    <n v="66334"/>
    <x v="0"/>
    <n v="0"/>
    <n v="1"/>
    <x v="2"/>
    <d v="2013-04-03T00:00:00"/>
    <s v="12 years, 3 months"/>
    <n v="82"/>
    <n v="11"/>
    <n v="0"/>
    <n v="11"/>
    <n v="9"/>
    <n v="5"/>
    <n v="14"/>
  </r>
  <r>
    <n v="333"/>
    <x v="333"/>
    <n v="1971"/>
    <x v="6"/>
    <x v="2"/>
    <x v="2"/>
    <n v="35178"/>
    <x v="0"/>
    <n v="1"/>
    <n v="0"/>
    <x v="2"/>
    <d v="2013-01-10T00:00:00"/>
    <s v="12 years, 5 months"/>
    <n v="10"/>
    <n v="1"/>
    <n v="2"/>
    <n v="3"/>
    <n v="1"/>
    <n v="2"/>
    <n v="3"/>
  </r>
  <r>
    <n v="334"/>
    <x v="334"/>
    <n v="1983"/>
    <x v="10"/>
    <x v="0"/>
    <x v="1"/>
    <n v="22010"/>
    <x v="1"/>
    <n v="1"/>
    <n v="0"/>
    <x v="2"/>
    <d v="2013-06-30T00:00:00"/>
    <s v="12 years, 0 months"/>
    <n v="51"/>
    <n v="2"/>
    <n v="0"/>
    <n v="2"/>
    <n v="2"/>
    <n v="3"/>
    <n v="5"/>
  </r>
  <r>
    <n v="335"/>
    <x v="335"/>
    <n v="1960"/>
    <x v="40"/>
    <x v="0"/>
    <x v="3"/>
    <n v="62204"/>
    <x v="0"/>
    <n v="0"/>
    <n v="2"/>
    <x v="1"/>
    <d v="2012-09-12T00:00:00"/>
    <s v="12 years, 9 months"/>
    <n v="38"/>
    <n v="46"/>
    <n v="46"/>
    <n v="92"/>
    <n v="4"/>
    <n v="12"/>
    <n v="16"/>
  </r>
  <r>
    <n v="336"/>
    <x v="336"/>
    <n v="1968"/>
    <x v="30"/>
    <x v="0"/>
    <x v="3"/>
    <n v="75693"/>
    <x v="2"/>
    <n v="0"/>
    <n v="0"/>
    <x v="0"/>
    <d v="2012-12-06T00:00:00"/>
    <s v="12 years, 7 months"/>
    <n v="10"/>
    <n v="153"/>
    <n v="97"/>
    <n v="250"/>
    <n v="11"/>
    <n v="6"/>
    <n v="17"/>
  </r>
  <r>
    <n v="337"/>
    <x v="337"/>
    <n v="1972"/>
    <x v="39"/>
    <x v="0"/>
    <x v="2"/>
    <n v="30675"/>
    <x v="0"/>
    <n v="1"/>
    <n v="0"/>
    <x v="2"/>
    <d v="2012-11-12T00:00:00"/>
    <s v="12 years, 7 months"/>
    <n v="14"/>
    <n v="2"/>
    <n v="2"/>
    <n v="4"/>
    <n v="1"/>
    <n v="3"/>
    <n v="4"/>
  </r>
  <r>
    <n v="338"/>
    <x v="338"/>
    <n v="1965"/>
    <x v="2"/>
    <x v="0"/>
    <x v="1"/>
    <n v="83003"/>
    <x v="2"/>
    <n v="0"/>
    <n v="0"/>
    <x v="0"/>
    <d v="2013-03-03T00:00:00"/>
    <s v="12 years, 4 months"/>
    <n v="18"/>
    <n v="61"/>
    <n v="25"/>
    <n v="86"/>
    <n v="7"/>
    <n v="8"/>
    <n v="15"/>
  </r>
  <r>
    <n v="339"/>
    <x v="339"/>
    <n v="1899"/>
    <x v="52"/>
    <x v="1"/>
    <x v="1"/>
    <n v="83532"/>
    <x v="2"/>
    <n v="0"/>
    <n v="0"/>
    <x v="0"/>
    <d v="2013-09-26T00:00:00"/>
    <s v="11 years, 9 months"/>
    <n v="36"/>
    <n v="144"/>
    <n v="64"/>
    <n v="208"/>
    <n v="4"/>
    <n v="4"/>
    <n v="8"/>
  </r>
  <r>
    <n v="340"/>
    <x v="340"/>
    <n v="1988"/>
    <x v="36"/>
    <x v="0"/>
    <x v="0"/>
    <n v="68655"/>
    <x v="0"/>
    <n v="0"/>
    <n v="0"/>
    <x v="0"/>
    <d v="2012-08-10T00:00:00"/>
    <s v="12 years, 10 months"/>
    <n v="95"/>
    <n v="19"/>
    <n v="118"/>
    <n v="137"/>
    <n v="4"/>
    <n v="11"/>
    <n v="15"/>
  </r>
  <r>
    <n v="341"/>
    <x v="341"/>
    <n v="1986"/>
    <x v="22"/>
    <x v="0"/>
    <x v="3"/>
    <n v="41411"/>
    <x v="0"/>
    <n v="0"/>
    <n v="0"/>
    <x v="0"/>
    <d v="2013-12-07T00:00:00"/>
    <s v="11 years, 6 months"/>
    <n v="11"/>
    <n v="32"/>
    <n v="3"/>
    <n v="35"/>
    <n v="2"/>
    <n v="4"/>
    <n v="6"/>
  </r>
  <r>
    <n v="342"/>
    <x v="342"/>
    <n v="1969"/>
    <x v="21"/>
    <x v="1"/>
    <x v="2"/>
    <n v="55212"/>
    <x v="0"/>
    <n v="0"/>
    <n v="1"/>
    <x v="2"/>
    <d v="2012-11-23T00:00:00"/>
    <s v="12 years, 7 months"/>
    <n v="65"/>
    <n v="0"/>
    <n v="0"/>
    <n v="0"/>
    <n v="4"/>
    <n v="11"/>
    <n v="15"/>
  </r>
  <r>
    <n v="343"/>
    <x v="343"/>
    <n v="1950"/>
    <x v="9"/>
    <x v="1"/>
    <x v="1"/>
    <n v="59292"/>
    <x v="0"/>
    <n v="0"/>
    <n v="1"/>
    <x v="2"/>
    <d v="2013-06-13T00:00:00"/>
    <s v="12 years, 0 months"/>
    <n v="71"/>
    <n v="14"/>
    <n v="14"/>
    <n v="28"/>
    <n v="3"/>
    <n v="8"/>
    <n v="11"/>
  </r>
  <r>
    <n v="344"/>
    <x v="344"/>
    <n v="1973"/>
    <x v="26"/>
    <x v="3"/>
    <x v="1"/>
    <n v="27190"/>
    <x v="0"/>
    <n v="1"/>
    <n v="0"/>
    <x v="2"/>
    <d v="2013-08-15T00:00:00"/>
    <s v="11 years, 10 months"/>
    <n v="13"/>
    <n v="6"/>
    <n v="1"/>
    <n v="7"/>
    <n v="1"/>
    <n v="2"/>
    <n v="3"/>
  </r>
  <r>
    <n v="345"/>
    <x v="345"/>
    <n v="1952"/>
    <x v="13"/>
    <x v="0"/>
    <x v="3"/>
    <n v="82623"/>
    <x v="2"/>
    <n v="0"/>
    <n v="0"/>
    <x v="0"/>
    <d v="2013-11-10T00:00:00"/>
    <s v="11 years, 7 months"/>
    <n v="58"/>
    <n v="34"/>
    <n v="153"/>
    <n v="187"/>
    <n v="2"/>
    <n v="4"/>
    <n v="6"/>
  </r>
  <r>
    <n v="346"/>
    <x v="346"/>
    <n v="1965"/>
    <x v="2"/>
    <x v="0"/>
    <x v="2"/>
    <n v="44300"/>
    <x v="0"/>
    <n v="1"/>
    <n v="1"/>
    <x v="1"/>
    <d v="2013-06-23T00:00:00"/>
    <s v="12 years, 0 months"/>
    <n v="65"/>
    <n v="0"/>
    <n v="0"/>
    <n v="0"/>
    <n v="1"/>
    <n v="3"/>
    <n v="4"/>
  </r>
  <r>
    <n v="347"/>
    <x v="347"/>
    <n v="1970"/>
    <x v="25"/>
    <x v="0"/>
    <x v="3"/>
    <n v="84835"/>
    <x v="2"/>
    <n v="0"/>
    <n v="0"/>
    <x v="0"/>
    <d v="2014-06-16T00:00:00"/>
    <s v="11 years, 0 months"/>
    <n v="0"/>
    <n v="104"/>
    <n v="189"/>
    <n v="293"/>
    <n v="4"/>
    <n v="6"/>
    <n v="10"/>
  </r>
  <r>
    <n v="348"/>
    <x v="348"/>
    <n v="1971"/>
    <x v="6"/>
    <x v="0"/>
    <x v="4"/>
    <n v="30372"/>
    <x v="0"/>
    <n v="1"/>
    <n v="1"/>
    <x v="1"/>
    <d v="2012-12-25T00:00:00"/>
    <s v="12 years, 6 months"/>
    <n v="33"/>
    <n v="0"/>
    <n v="3"/>
    <n v="3"/>
    <n v="2"/>
    <n v="3"/>
    <n v="5"/>
  </r>
  <r>
    <n v="349"/>
    <x v="349"/>
    <n v="1976"/>
    <x v="11"/>
    <x v="2"/>
    <x v="2"/>
    <n v="33181"/>
    <x v="0"/>
    <n v="1"/>
    <n v="0"/>
    <x v="2"/>
    <d v="2014-01-03T00:00:00"/>
    <s v="11 years, 6 months"/>
    <n v="90"/>
    <n v="0"/>
    <n v="0"/>
    <n v="0"/>
    <n v="1"/>
    <n v="2"/>
    <n v="3"/>
  </r>
  <r>
    <n v="350"/>
    <x v="350"/>
    <n v="1957"/>
    <x v="0"/>
    <x v="0"/>
    <x v="2"/>
    <n v="71113"/>
    <x v="0"/>
    <n v="0"/>
    <n v="1"/>
    <x v="2"/>
    <d v="2013-12-17T00:00:00"/>
    <s v="11 years, 6 months"/>
    <n v="95"/>
    <n v="33"/>
    <n v="33"/>
    <n v="66"/>
    <n v="6"/>
    <n v="9"/>
    <n v="15"/>
  </r>
  <r>
    <n v="351"/>
    <x v="351"/>
    <n v="1986"/>
    <x v="22"/>
    <x v="0"/>
    <x v="2"/>
    <n v="71952"/>
    <x v="0"/>
    <n v="1"/>
    <n v="0"/>
    <x v="2"/>
    <d v="2013-01-10T00:00:00"/>
    <s v="12 years, 5 months"/>
    <n v="93"/>
    <n v="80"/>
    <n v="107"/>
    <n v="187"/>
    <n v="8"/>
    <n v="8"/>
    <n v="16"/>
  </r>
  <r>
    <n v="352"/>
    <x v="352"/>
    <n v="1966"/>
    <x v="35"/>
    <x v="1"/>
    <x v="0"/>
    <n v="69759"/>
    <x v="0"/>
    <n v="0"/>
    <n v="0"/>
    <x v="0"/>
    <d v="2013-10-28T00:00:00"/>
    <s v="11 years, 8 months"/>
    <n v="38"/>
    <n v="20"/>
    <n v="30"/>
    <n v="50"/>
    <n v="4"/>
    <n v="5"/>
    <n v="9"/>
  </r>
  <r>
    <n v="353"/>
    <x v="353"/>
    <n v="1974"/>
    <x v="8"/>
    <x v="0"/>
    <x v="2"/>
    <n v="72099"/>
    <x v="0"/>
    <n v="0"/>
    <n v="0"/>
    <x v="0"/>
    <d v="2012-10-27T00:00:00"/>
    <s v="12 years, 8 months"/>
    <n v="18"/>
    <n v="91"/>
    <n v="0"/>
    <n v="91"/>
    <n v="3"/>
    <n v="10"/>
    <n v="13"/>
  </r>
  <r>
    <n v="354"/>
    <x v="354"/>
    <n v="1976"/>
    <x v="11"/>
    <x v="1"/>
    <x v="0"/>
    <n v="60000"/>
    <x v="0"/>
    <n v="0"/>
    <n v="1"/>
    <x v="2"/>
    <d v="2012-12-22T00:00:00"/>
    <s v="12 years, 6 months"/>
    <n v="57"/>
    <n v="0"/>
    <n v="0"/>
    <n v="0"/>
    <n v="11"/>
    <n v="5"/>
    <n v="16"/>
  </r>
  <r>
    <n v="355"/>
    <x v="355"/>
    <n v="1978"/>
    <x v="33"/>
    <x v="0"/>
    <x v="0"/>
    <n v="38643"/>
    <x v="0"/>
    <n v="1"/>
    <n v="1"/>
    <x v="1"/>
    <d v="2013-11-29T00:00:00"/>
    <s v="11 years, 7 months"/>
    <n v="45"/>
    <n v="2"/>
    <n v="1"/>
    <n v="3"/>
    <n v="2"/>
    <n v="3"/>
    <n v="5"/>
  </r>
  <r>
    <n v="356"/>
    <x v="356"/>
    <n v="1955"/>
    <x v="34"/>
    <x v="0"/>
    <x v="2"/>
    <n v="50737"/>
    <x v="0"/>
    <n v="0"/>
    <n v="1"/>
    <x v="2"/>
    <d v="2013-05-11T00:00:00"/>
    <s v="12 years, 1 months"/>
    <n v="61"/>
    <n v="0"/>
    <n v="0"/>
    <n v="0"/>
    <n v="2"/>
    <n v="4"/>
    <n v="6"/>
  </r>
  <r>
    <n v="357"/>
    <x v="357"/>
    <n v="1969"/>
    <x v="21"/>
    <x v="1"/>
    <x v="2"/>
    <n v="68462"/>
    <x v="0"/>
    <n v="0"/>
    <n v="0"/>
    <x v="0"/>
    <d v="2012-12-12T00:00:00"/>
    <s v="12 years, 6 months"/>
    <n v="6"/>
    <n v="64"/>
    <n v="128"/>
    <n v="192"/>
    <n v="3"/>
    <n v="8"/>
    <n v="11"/>
  </r>
  <r>
    <n v="358"/>
    <x v="358"/>
    <n v="1943"/>
    <x v="27"/>
    <x v="2"/>
    <x v="2"/>
    <n v="65073"/>
    <x v="0"/>
    <n v="0"/>
    <n v="0"/>
    <x v="0"/>
    <d v="2013-08-20T00:00:00"/>
    <s v="11 years, 10 months"/>
    <n v="65"/>
    <n v="17"/>
    <n v="0"/>
    <n v="17"/>
    <n v="5"/>
    <n v="5"/>
    <n v="10"/>
  </r>
  <r>
    <n v="359"/>
    <x v="359"/>
    <n v="1948"/>
    <x v="37"/>
    <x v="1"/>
    <x v="1"/>
    <n v="46681"/>
    <x v="0"/>
    <n v="0"/>
    <n v="2"/>
    <x v="1"/>
    <d v="2013-10-08T00:00:00"/>
    <s v="11 years, 8 months"/>
    <n v="52"/>
    <n v="15"/>
    <n v="19"/>
    <n v="34"/>
    <n v="4"/>
    <n v="4"/>
    <n v="8"/>
  </r>
  <r>
    <n v="360"/>
    <x v="360"/>
    <n v="1957"/>
    <x v="0"/>
    <x v="0"/>
    <x v="2"/>
    <n v="78618"/>
    <x v="2"/>
    <n v="0"/>
    <n v="0"/>
    <x v="0"/>
    <d v="2012-09-28T00:00:00"/>
    <s v="12 years, 9 months"/>
    <n v="87"/>
    <n v="163"/>
    <n v="163"/>
    <n v="326"/>
    <n v="4"/>
    <n v="10"/>
    <n v="14"/>
  </r>
  <r>
    <n v="361"/>
    <x v="361"/>
    <n v="1969"/>
    <x v="21"/>
    <x v="1"/>
    <x v="4"/>
    <n v="62187"/>
    <x v="0"/>
    <n v="0"/>
    <n v="1"/>
    <x v="2"/>
    <d v="2014-03-22T00:00:00"/>
    <s v="11 years, 3 months"/>
    <n v="38"/>
    <n v="0"/>
    <n v="0"/>
    <n v="0"/>
    <n v="6"/>
    <n v="10"/>
    <n v="16"/>
  </r>
  <r>
    <n v="362"/>
    <x v="362"/>
    <n v="1978"/>
    <x v="33"/>
    <x v="0"/>
    <x v="2"/>
    <n v="28442"/>
    <x v="0"/>
    <n v="2"/>
    <n v="0"/>
    <x v="1"/>
    <d v="2014-02-24T00:00:00"/>
    <s v="11 years, 4 months"/>
    <n v="53"/>
    <n v="3"/>
    <n v="8"/>
    <n v="11"/>
    <n v="2"/>
    <n v="4"/>
    <n v="6"/>
  </r>
  <r>
    <n v="363"/>
    <x v="363"/>
    <n v="1978"/>
    <x v="33"/>
    <x v="1"/>
    <x v="2"/>
    <n v="37717"/>
    <x v="0"/>
    <n v="1"/>
    <n v="0"/>
    <x v="2"/>
    <d v="2012-11-23T00:00:00"/>
    <s v="12 years, 7 months"/>
    <n v="31"/>
    <n v="0"/>
    <n v="1"/>
    <n v="1"/>
    <n v="1"/>
    <n v="2"/>
    <n v="3"/>
  </r>
  <r>
    <n v="364"/>
    <x v="364"/>
    <n v="1967"/>
    <x v="5"/>
    <x v="0"/>
    <x v="2"/>
    <n v="51479"/>
    <x v="0"/>
    <n v="1"/>
    <n v="1"/>
    <x v="1"/>
    <d v="2012-12-28T00:00:00"/>
    <s v="12 years, 6 months"/>
    <n v="67"/>
    <n v="8"/>
    <n v="8"/>
    <n v="16"/>
    <n v="6"/>
    <n v="6"/>
    <n v="12"/>
  </r>
  <r>
    <n v="365"/>
    <x v="365"/>
    <n v="1969"/>
    <x v="21"/>
    <x v="0"/>
    <x v="0"/>
    <n v="54803"/>
    <x v="0"/>
    <n v="0"/>
    <n v="1"/>
    <x v="2"/>
    <d v="2012-08-21T00:00:00"/>
    <s v="12 years, 10 months"/>
    <n v="65"/>
    <n v="0"/>
    <n v="27"/>
    <n v="27"/>
    <n v="6"/>
    <n v="9"/>
    <n v="15"/>
  </r>
  <r>
    <n v="366"/>
    <x v="366"/>
    <n v="1960"/>
    <x v="40"/>
    <x v="0"/>
    <x v="2"/>
    <n v="79530"/>
    <x v="2"/>
    <n v="0"/>
    <n v="0"/>
    <x v="0"/>
    <d v="2013-05-17T00:00:00"/>
    <s v="12 years, 1 months"/>
    <n v="64"/>
    <n v="0"/>
    <n v="42"/>
    <n v="42"/>
    <n v="4"/>
    <n v="11"/>
    <n v="15"/>
  </r>
  <r>
    <n v="367"/>
    <x v="367"/>
    <n v="1976"/>
    <x v="11"/>
    <x v="0"/>
    <x v="3"/>
    <n v="31615"/>
    <x v="0"/>
    <n v="1"/>
    <n v="0"/>
    <x v="2"/>
    <d v="2013-03-16T00:00:00"/>
    <s v="12 years, 3 months"/>
    <n v="82"/>
    <n v="3"/>
    <n v="11"/>
    <n v="14"/>
    <n v="2"/>
    <n v="3"/>
    <n v="5"/>
  </r>
  <r>
    <n v="368"/>
    <x v="368"/>
    <n v="1962"/>
    <x v="43"/>
    <x v="0"/>
    <x v="1"/>
    <n v="72025"/>
    <x v="0"/>
    <n v="0"/>
    <n v="0"/>
    <x v="0"/>
    <d v="2012-11-17T00:00:00"/>
    <s v="12 years, 7 months"/>
    <n v="27"/>
    <n v="33"/>
    <n v="133"/>
    <n v="166"/>
    <n v="4"/>
    <n v="8"/>
    <n v="12"/>
  </r>
  <r>
    <n v="369"/>
    <x v="369"/>
    <n v="1975"/>
    <x v="28"/>
    <x v="1"/>
    <x v="0"/>
    <n v="52614"/>
    <x v="0"/>
    <n v="0"/>
    <n v="1"/>
    <x v="2"/>
    <d v="2012-12-01T00:00:00"/>
    <s v="12 years, 7 months"/>
    <n v="63"/>
    <n v="0"/>
    <n v="9"/>
    <n v="9"/>
    <n v="2"/>
    <n v="8"/>
    <n v="10"/>
  </r>
  <r>
    <n v="370"/>
    <x v="370"/>
    <n v="1984"/>
    <x v="3"/>
    <x v="4"/>
    <x v="2"/>
    <n v="35684"/>
    <x v="0"/>
    <n v="1"/>
    <n v="0"/>
    <x v="2"/>
    <d v="2014-04-22T00:00:00"/>
    <s v="11 years, 2 months"/>
    <n v="66"/>
    <n v="4"/>
    <n v="6"/>
    <n v="10"/>
    <n v="1"/>
    <n v="3"/>
    <n v="4"/>
  </r>
  <r>
    <n v="371"/>
    <x v="371"/>
    <n v="1975"/>
    <x v="28"/>
    <x v="0"/>
    <x v="2"/>
    <n v="48178"/>
    <x v="0"/>
    <n v="1"/>
    <n v="1"/>
    <x v="1"/>
    <d v="2012-10-28T00:00:00"/>
    <s v="12 years, 8 months"/>
    <n v="69"/>
    <n v="4"/>
    <n v="2"/>
    <n v="6"/>
    <n v="5"/>
    <n v="4"/>
    <n v="9"/>
  </r>
  <r>
    <n v="372"/>
    <x v="372"/>
    <n v="1970"/>
    <x v="25"/>
    <x v="2"/>
    <x v="0"/>
    <n v="29548"/>
    <x v="0"/>
    <n v="1"/>
    <n v="0"/>
    <x v="2"/>
    <d v="2013-08-29T00:00:00"/>
    <s v="11 years, 10 months"/>
    <n v="52"/>
    <n v="1"/>
    <n v="1"/>
    <n v="2"/>
    <n v="1"/>
    <n v="2"/>
    <n v="3"/>
  </r>
  <r>
    <n v="373"/>
    <x v="373"/>
    <n v="1966"/>
    <x v="35"/>
    <x v="0"/>
    <x v="0"/>
    <n v="63810"/>
    <x v="0"/>
    <n v="0"/>
    <n v="1"/>
    <x v="2"/>
    <d v="2012-11-11T00:00:00"/>
    <s v="12 years, 7 months"/>
    <n v="45"/>
    <n v="12"/>
    <n v="12"/>
    <n v="24"/>
    <n v="4"/>
    <n v="12"/>
    <n v="16"/>
  </r>
  <r>
    <n v="374"/>
    <x v="374"/>
    <n v="1972"/>
    <x v="39"/>
    <x v="1"/>
    <x v="0"/>
    <n v="38578"/>
    <x v="0"/>
    <n v="1"/>
    <n v="1"/>
    <x v="1"/>
    <d v="2013-06-22T00:00:00"/>
    <s v="12 years, 0 months"/>
    <n v="2"/>
    <n v="4"/>
    <n v="3"/>
    <n v="7"/>
    <n v="3"/>
    <n v="3"/>
    <n v="6"/>
  </r>
  <r>
    <n v="375"/>
    <x v="375"/>
    <n v="1975"/>
    <x v="28"/>
    <x v="2"/>
    <x v="0"/>
    <n v="46098"/>
    <x v="0"/>
    <n v="1"/>
    <n v="1"/>
    <x v="1"/>
    <d v="2012-08-18T00:00:00"/>
    <s v="12 years, 10 months"/>
    <n v="86"/>
    <n v="0"/>
    <n v="0"/>
    <n v="0"/>
    <n v="3"/>
    <n v="2"/>
    <n v="5"/>
  </r>
  <r>
    <n v="376"/>
    <x v="376"/>
    <n v="1970"/>
    <x v="25"/>
    <x v="0"/>
    <x v="0"/>
    <n v="22585"/>
    <x v="1"/>
    <n v="0"/>
    <n v="0"/>
    <x v="0"/>
    <d v="2013-03-18T00:00:00"/>
    <s v="12 years, 3 months"/>
    <n v="23"/>
    <n v="9"/>
    <n v="2"/>
    <n v="11"/>
    <n v="1"/>
    <n v="2"/>
    <n v="3"/>
  </r>
  <r>
    <n v="377"/>
    <x v="377"/>
    <n v="1989"/>
    <x v="23"/>
    <x v="0"/>
    <x v="0"/>
    <n v="30279"/>
    <x v="0"/>
    <n v="1"/>
    <n v="0"/>
    <x v="2"/>
    <d v="2012-12-30T00:00:00"/>
    <s v="12 years, 6 months"/>
    <n v="13"/>
    <n v="4"/>
    <n v="4"/>
    <n v="8"/>
    <n v="1"/>
    <n v="3"/>
    <n v="4"/>
  </r>
  <r>
    <n v="378"/>
    <x v="378"/>
    <n v="1961"/>
    <x v="45"/>
    <x v="1"/>
    <x v="1"/>
    <n v="66426"/>
    <x v="0"/>
    <n v="0"/>
    <n v="1"/>
    <x v="2"/>
    <d v="2013-10-02T00:00:00"/>
    <s v="11 years, 9 months"/>
    <n v="14"/>
    <n v="24"/>
    <n v="24"/>
    <n v="48"/>
    <n v="3"/>
    <n v="10"/>
    <n v="13"/>
  </r>
  <r>
    <n v="379"/>
    <x v="379"/>
    <n v="1969"/>
    <x v="21"/>
    <x v="0"/>
    <x v="0"/>
    <n v="30822"/>
    <x v="0"/>
    <n v="1"/>
    <n v="0"/>
    <x v="2"/>
    <d v="2013-06-14T00:00:00"/>
    <s v="12 years, 0 months"/>
    <n v="92"/>
    <n v="9"/>
    <n v="12"/>
    <n v="21"/>
    <n v="1"/>
    <n v="3"/>
    <n v="4"/>
  </r>
  <r>
    <n v="380"/>
    <x v="380"/>
    <n v="1969"/>
    <x v="21"/>
    <x v="1"/>
    <x v="2"/>
    <n v="33581"/>
    <x v="0"/>
    <n v="2"/>
    <n v="0"/>
    <x v="1"/>
    <d v="2013-01-08T00:00:00"/>
    <s v="12 years, 5 months"/>
    <n v="38"/>
    <n v="0"/>
    <n v="0"/>
    <n v="0"/>
    <n v="1"/>
    <n v="2"/>
    <n v="3"/>
  </r>
  <r>
    <n v="381"/>
    <x v="381"/>
    <n v="1985"/>
    <x v="7"/>
    <x v="0"/>
    <x v="2"/>
    <n v="19986"/>
    <x v="1"/>
    <n v="1"/>
    <n v="0"/>
    <x v="2"/>
    <d v="2013-11-14T00:00:00"/>
    <s v="11 years, 7 months"/>
    <n v="74"/>
    <n v="6"/>
    <n v="2"/>
    <n v="8"/>
    <n v="0"/>
    <n v="3"/>
    <n v="3"/>
  </r>
  <r>
    <n v="382"/>
    <x v="382"/>
    <n v="1954"/>
    <x v="1"/>
    <x v="0"/>
    <x v="4"/>
    <n v="27421"/>
    <x v="0"/>
    <n v="0"/>
    <n v="0"/>
    <x v="0"/>
    <d v="2012-12-12T00:00:00"/>
    <s v="12 years, 6 months"/>
    <n v="14"/>
    <n v="12"/>
    <n v="40"/>
    <n v="52"/>
    <n v="4"/>
    <n v="6"/>
    <n v="10"/>
  </r>
  <r>
    <n v="383"/>
    <x v="383"/>
    <n v="1973"/>
    <x v="26"/>
    <x v="4"/>
    <x v="2"/>
    <n v="35688"/>
    <x v="0"/>
    <n v="2"/>
    <n v="1"/>
    <x v="3"/>
    <d v="2012-08-22T00:00:00"/>
    <s v="12 years, 10 months"/>
    <n v="94"/>
    <n v="3"/>
    <n v="1"/>
    <n v="4"/>
    <n v="4"/>
    <n v="4"/>
    <n v="8"/>
  </r>
  <r>
    <n v="384"/>
    <x v="384"/>
    <n v="1981"/>
    <x v="4"/>
    <x v="2"/>
    <x v="0"/>
    <n v="36143"/>
    <x v="0"/>
    <n v="1"/>
    <n v="0"/>
    <x v="2"/>
    <d v="2014-03-30T00:00:00"/>
    <s v="11 years, 3 months"/>
    <n v="33"/>
    <n v="0"/>
    <n v="0"/>
    <n v="0"/>
    <n v="0"/>
    <n v="2"/>
    <n v="2"/>
  </r>
  <r>
    <n v="385"/>
    <x v="385"/>
    <n v="1971"/>
    <x v="6"/>
    <x v="0"/>
    <x v="0"/>
    <n v="10245"/>
    <x v="1"/>
    <n v="1"/>
    <n v="0"/>
    <x v="2"/>
    <d v="2013-05-15T00:00:00"/>
    <s v="12 years, 1 months"/>
    <n v="32"/>
    <n v="7"/>
    <n v="4"/>
    <n v="11"/>
    <n v="1"/>
    <n v="2"/>
    <n v="3"/>
  </r>
  <r>
    <n v="386"/>
    <x v="386"/>
    <n v="1968"/>
    <x v="30"/>
    <x v="2"/>
    <x v="1"/>
    <n v="43795"/>
    <x v="0"/>
    <n v="0"/>
    <n v="1"/>
    <x v="2"/>
    <d v="2013-10-16T00:00:00"/>
    <s v="11 years, 8 months"/>
    <n v="11"/>
    <n v="11"/>
    <n v="3"/>
    <n v="14"/>
    <n v="7"/>
    <n v="4"/>
    <n v="11"/>
  </r>
  <r>
    <n v="387"/>
    <x v="387"/>
    <n v="1960"/>
    <x v="40"/>
    <x v="0"/>
    <x v="1"/>
    <n v="63381"/>
    <x v="0"/>
    <n v="0"/>
    <n v="1"/>
    <x v="2"/>
    <d v="2012-10-05T00:00:00"/>
    <s v="12 years, 9 months"/>
    <n v="78"/>
    <n v="50"/>
    <n v="50"/>
    <n v="100"/>
    <n v="4"/>
    <n v="13"/>
    <n v="17"/>
  </r>
  <r>
    <n v="388"/>
    <x v="388"/>
    <n v="1949"/>
    <x v="17"/>
    <x v="0"/>
    <x v="1"/>
    <n v="38823"/>
    <x v="0"/>
    <n v="0"/>
    <n v="1"/>
    <x v="2"/>
    <d v="2012-08-30T00:00:00"/>
    <s v="12 years, 10 months"/>
    <n v="56"/>
    <n v="0"/>
    <n v="8"/>
    <n v="8"/>
    <n v="2"/>
    <n v="3"/>
    <n v="5"/>
  </r>
  <r>
    <n v="389"/>
    <x v="389"/>
    <n v="1968"/>
    <x v="30"/>
    <x v="1"/>
    <x v="3"/>
    <n v="83664"/>
    <x v="2"/>
    <n v="1"/>
    <n v="1"/>
    <x v="1"/>
    <d v="2013-05-08T00:00:00"/>
    <s v="12 years, 1 months"/>
    <n v="57"/>
    <n v="21"/>
    <n v="21"/>
    <n v="42"/>
    <n v="2"/>
    <n v="12"/>
    <n v="14"/>
  </r>
  <r>
    <n v="390"/>
    <x v="390"/>
    <n v="1979"/>
    <x v="19"/>
    <x v="0"/>
    <x v="1"/>
    <n v="90300"/>
    <x v="2"/>
    <n v="0"/>
    <n v="0"/>
    <x v="0"/>
    <d v="2014-01-03T00:00:00"/>
    <s v="11 years, 6 months"/>
    <n v="7"/>
    <n v="134"/>
    <n v="134"/>
    <n v="268"/>
    <n v="5"/>
    <n v="8"/>
    <n v="13"/>
  </r>
  <r>
    <n v="391"/>
    <x v="391"/>
    <n v="1979"/>
    <x v="19"/>
    <x v="2"/>
    <x v="1"/>
    <n v="62499"/>
    <x v="0"/>
    <n v="1"/>
    <n v="0"/>
    <x v="2"/>
    <d v="2013-12-09T00:00:00"/>
    <s v="11 years, 6 months"/>
    <n v="0"/>
    <n v="4"/>
    <n v="13"/>
    <n v="17"/>
    <n v="3"/>
    <n v="6"/>
    <n v="9"/>
  </r>
  <r>
    <n v="392"/>
    <x v="392"/>
    <n v="1993"/>
    <x v="53"/>
    <x v="0"/>
    <x v="0"/>
    <n v="74293"/>
    <x v="0"/>
    <n v="0"/>
    <n v="0"/>
    <x v="0"/>
    <d v="2014-05-04T00:00:00"/>
    <s v="11 years, 2 months"/>
    <n v="66"/>
    <n v="152"/>
    <n v="91"/>
    <n v="243"/>
    <n v="5"/>
    <n v="6"/>
    <n v="11"/>
  </r>
  <r>
    <n v="393"/>
    <x v="393"/>
    <n v="1946"/>
    <x v="15"/>
    <x v="1"/>
    <x v="2"/>
    <n v="51012"/>
    <x v="0"/>
    <n v="0"/>
    <n v="0"/>
    <x v="0"/>
    <d v="2013-04-18T00:00:00"/>
    <s v="12 years, 2 months"/>
    <n v="86"/>
    <n v="9"/>
    <n v="9"/>
    <n v="18"/>
    <n v="4"/>
    <n v="4"/>
    <n v="8"/>
  </r>
  <r>
    <n v="394"/>
    <x v="394"/>
    <n v="1968"/>
    <x v="30"/>
    <x v="2"/>
    <x v="2"/>
    <n v="70777"/>
    <x v="0"/>
    <n v="0"/>
    <n v="1"/>
    <x v="2"/>
    <d v="2014-02-25T00:00:00"/>
    <s v="11 years, 4 months"/>
    <n v="80"/>
    <n v="35"/>
    <n v="7"/>
    <n v="42"/>
    <n v="5"/>
    <n v="12"/>
    <n v="17"/>
  </r>
  <r>
    <n v="395"/>
    <x v="395"/>
    <n v="1991"/>
    <x v="42"/>
    <x v="1"/>
    <x v="1"/>
    <n v="68682"/>
    <x v="0"/>
    <n v="0"/>
    <n v="0"/>
    <x v="0"/>
    <d v="2013-10-06T00:00:00"/>
    <s v="11 years, 9 months"/>
    <n v="56"/>
    <n v="0"/>
    <n v="30"/>
    <n v="30"/>
    <n v="4"/>
    <n v="10"/>
    <n v="14"/>
  </r>
  <r>
    <n v="396"/>
    <x v="396"/>
    <n v="1971"/>
    <x v="6"/>
    <x v="0"/>
    <x v="2"/>
    <n v="43824"/>
    <x v="0"/>
    <n v="1"/>
    <n v="1"/>
    <x v="1"/>
    <d v="2012-09-15T00:00:00"/>
    <s v="12 years, 9 months"/>
    <n v="18"/>
    <n v="1"/>
    <n v="3"/>
    <n v="4"/>
    <n v="3"/>
    <n v="4"/>
    <n v="7"/>
  </r>
  <r>
    <n v="397"/>
    <x v="397"/>
    <n v="1984"/>
    <x v="3"/>
    <x v="0"/>
    <x v="1"/>
    <n v="15345"/>
    <x v="1"/>
    <n v="1"/>
    <n v="0"/>
    <x v="2"/>
    <d v="2012-08-31T00:00:00"/>
    <s v="12 years, 10 months"/>
    <n v="51"/>
    <n v="2"/>
    <n v="2"/>
    <n v="4"/>
    <n v="1"/>
    <n v="2"/>
    <n v="3"/>
  </r>
  <r>
    <n v="398"/>
    <x v="398"/>
    <n v="1987"/>
    <x v="14"/>
    <x v="0"/>
    <x v="0"/>
    <n v="23442"/>
    <x v="1"/>
    <n v="1"/>
    <n v="0"/>
    <x v="2"/>
    <d v="2012-12-24T00:00:00"/>
    <s v="12 years, 6 months"/>
    <n v="71"/>
    <n v="0"/>
    <n v="6"/>
    <n v="6"/>
    <n v="1"/>
    <n v="3"/>
    <n v="4"/>
  </r>
  <r>
    <n v="399"/>
    <x v="399"/>
    <n v="1980"/>
    <x v="16"/>
    <x v="4"/>
    <x v="1"/>
    <n v="14515"/>
    <x v="1"/>
    <n v="1"/>
    <n v="0"/>
    <x v="2"/>
    <d v="2012-11-09T00:00:00"/>
    <s v="12 years, 7 months"/>
    <n v="71"/>
    <n v="4"/>
    <n v="36"/>
    <n v="40"/>
    <n v="2"/>
    <n v="3"/>
    <n v="5"/>
  </r>
  <r>
    <n v="400"/>
    <x v="400"/>
    <n v="1956"/>
    <x v="46"/>
    <x v="4"/>
    <x v="3"/>
    <n v="31395"/>
    <x v="0"/>
    <n v="1"/>
    <n v="1"/>
    <x v="1"/>
    <d v="2013-03-23T00:00:00"/>
    <s v="12 years, 3 months"/>
    <n v="80"/>
    <n v="1"/>
    <n v="8"/>
    <n v="9"/>
    <n v="2"/>
    <n v="3"/>
    <n v="5"/>
  </r>
  <r>
    <n v="401"/>
    <x v="401"/>
    <n v="1965"/>
    <x v="2"/>
    <x v="0"/>
    <x v="1"/>
    <n v="75276"/>
    <x v="2"/>
    <n v="0"/>
    <n v="0"/>
    <x v="0"/>
    <d v="2012-09-27T00:00:00"/>
    <s v="12 years, 9 months"/>
    <n v="2"/>
    <n v="105"/>
    <n v="42"/>
    <n v="147"/>
    <n v="9"/>
    <n v="9"/>
    <n v="18"/>
  </r>
  <r>
    <n v="402"/>
    <x v="402"/>
    <n v="1974"/>
    <x v="8"/>
    <x v="0"/>
    <x v="0"/>
    <n v="42373"/>
    <x v="0"/>
    <n v="1"/>
    <n v="1"/>
    <x v="1"/>
    <d v="2013-08-15T00:00:00"/>
    <s v="11 years, 10 months"/>
    <n v="83"/>
    <n v="5"/>
    <n v="8"/>
    <n v="13"/>
    <n v="2"/>
    <n v="5"/>
    <n v="7"/>
  </r>
  <r>
    <n v="403"/>
    <x v="403"/>
    <n v="1960"/>
    <x v="40"/>
    <x v="0"/>
    <x v="1"/>
    <n v="30507"/>
    <x v="0"/>
    <n v="0"/>
    <n v="0"/>
    <x v="0"/>
    <d v="2013-03-11T00:00:00"/>
    <s v="12 years, 3 months"/>
    <n v="29"/>
    <n v="36"/>
    <n v="20"/>
    <n v="56"/>
    <n v="5"/>
    <n v="4"/>
    <n v="9"/>
  </r>
  <r>
    <n v="404"/>
    <x v="404"/>
    <n v="1955"/>
    <x v="34"/>
    <x v="1"/>
    <x v="0"/>
    <n v="55521"/>
    <x v="0"/>
    <n v="1"/>
    <n v="2"/>
    <x v="3"/>
    <d v="2013-10-22T00:00:00"/>
    <s v="11 years, 8 months"/>
    <n v="11"/>
    <n v="0"/>
    <n v="0"/>
    <n v="0"/>
    <n v="6"/>
    <n v="6"/>
    <n v="12"/>
  </r>
  <r>
    <n v="405"/>
    <x v="405"/>
    <n v="1965"/>
    <x v="2"/>
    <x v="0"/>
    <x v="2"/>
    <n v="48006"/>
    <x v="0"/>
    <n v="1"/>
    <n v="1"/>
    <x v="1"/>
    <d v="2014-06-09T00:00:00"/>
    <s v="11 years, 0 months"/>
    <n v="55"/>
    <n v="0"/>
    <n v="2"/>
    <n v="2"/>
    <n v="1"/>
    <n v="3"/>
    <n v="4"/>
  </r>
  <r>
    <n v="406"/>
    <x v="406"/>
    <n v="1972"/>
    <x v="39"/>
    <x v="1"/>
    <x v="0"/>
    <n v="27213"/>
    <x v="0"/>
    <n v="1"/>
    <n v="0"/>
    <x v="2"/>
    <d v="2012-08-30T00:00:00"/>
    <s v="12 years, 10 months"/>
    <n v="19"/>
    <n v="3"/>
    <n v="9"/>
    <n v="12"/>
    <n v="2"/>
    <n v="4"/>
    <n v="6"/>
  </r>
  <r>
    <n v="407"/>
    <x v="407"/>
    <n v="1971"/>
    <x v="6"/>
    <x v="1"/>
    <x v="3"/>
    <n v="65808"/>
    <x v="0"/>
    <n v="1"/>
    <n v="1"/>
    <x v="1"/>
    <d v="2014-05-30T00:00:00"/>
    <s v="11 years, 1 months"/>
    <n v="1"/>
    <n v="7"/>
    <n v="7"/>
    <n v="14"/>
    <n v="5"/>
    <n v="5"/>
    <n v="10"/>
  </r>
  <r>
    <n v="408"/>
    <x v="408"/>
    <n v="1974"/>
    <x v="8"/>
    <x v="1"/>
    <x v="1"/>
    <n v="30351"/>
    <x v="0"/>
    <n v="1"/>
    <n v="0"/>
    <x v="2"/>
    <d v="2013-06-06T00:00:00"/>
    <s v="12 years, 1 months"/>
    <n v="19"/>
    <n v="0"/>
    <n v="3"/>
    <n v="3"/>
    <n v="3"/>
    <n v="2"/>
    <n v="5"/>
  </r>
  <r>
    <n v="409"/>
    <x v="409"/>
    <n v="1963"/>
    <x v="24"/>
    <x v="0"/>
    <x v="2"/>
    <n v="50437"/>
    <x v="0"/>
    <n v="0"/>
    <n v="2"/>
    <x v="1"/>
    <d v="2012-10-17T00:00:00"/>
    <s v="12 years, 8 months"/>
    <n v="28"/>
    <n v="9"/>
    <n v="9"/>
    <n v="18"/>
    <n v="7"/>
    <n v="8"/>
    <n v="15"/>
  </r>
  <r>
    <n v="410"/>
    <x v="410"/>
    <n v="1982"/>
    <x v="18"/>
    <x v="4"/>
    <x v="0"/>
    <n v="23616"/>
    <x v="1"/>
    <n v="1"/>
    <n v="0"/>
    <x v="2"/>
    <d v="2012-11-17T00:00:00"/>
    <s v="12 years, 7 months"/>
    <n v="76"/>
    <n v="22"/>
    <n v="7"/>
    <n v="29"/>
    <n v="3"/>
    <n v="3"/>
    <n v="6"/>
  </r>
  <r>
    <n v="411"/>
    <x v="411"/>
    <n v="1976"/>
    <x v="11"/>
    <x v="0"/>
    <x v="2"/>
    <n v="53858"/>
    <x v="0"/>
    <n v="0"/>
    <n v="1"/>
    <x v="2"/>
    <d v="2012-11-09T00:00:00"/>
    <s v="12 years, 7 months"/>
    <n v="50"/>
    <n v="53"/>
    <n v="150"/>
    <n v="203"/>
    <n v="4"/>
    <n v="6"/>
    <n v="10"/>
  </r>
  <r>
    <n v="412"/>
    <x v="412"/>
    <n v="1955"/>
    <x v="34"/>
    <x v="1"/>
    <x v="2"/>
    <n v="66465"/>
    <x v="0"/>
    <n v="0"/>
    <n v="1"/>
    <x v="2"/>
    <d v="2013-03-30T00:00:00"/>
    <s v="12 years, 3 months"/>
    <n v="1"/>
    <n v="0"/>
    <n v="29"/>
    <n v="29"/>
    <n v="11"/>
    <n v="12"/>
    <n v="23"/>
  </r>
  <r>
    <n v="413"/>
    <x v="413"/>
    <n v="1987"/>
    <x v="14"/>
    <x v="0"/>
    <x v="0"/>
    <n v="46923"/>
    <x v="0"/>
    <n v="1"/>
    <n v="0"/>
    <x v="2"/>
    <d v="2012-08-22T00:00:00"/>
    <s v="12 years, 10 months"/>
    <n v="90"/>
    <n v="44"/>
    <n v="78"/>
    <n v="122"/>
    <n v="5"/>
    <n v="7"/>
    <n v="12"/>
  </r>
  <r>
    <n v="414"/>
    <x v="414"/>
    <n v="1962"/>
    <x v="43"/>
    <x v="0"/>
    <x v="1"/>
    <n v="75072"/>
    <x v="2"/>
    <n v="0"/>
    <n v="1"/>
    <x v="2"/>
    <d v="2013-01-23T00:00:00"/>
    <s v="12 years, 5 months"/>
    <n v="83"/>
    <n v="34"/>
    <n v="22"/>
    <n v="56"/>
    <n v="5"/>
    <n v="8"/>
    <n v="13"/>
  </r>
  <r>
    <n v="415"/>
    <x v="415"/>
    <n v="1943"/>
    <x v="27"/>
    <x v="1"/>
    <x v="2"/>
    <n v="75865"/>
    <x v="2"/>
    <n v="0"/>
    <n v="0"/>
    <x v="0"/>
    <d v="2014-03-31T00:00:00"/>
    <s v="11 years, 3 months"/>
    <n v="73"/>
    <n v="0"/>
    <n v="0"/>
    <n v="0"/>
    <n v="3"/>
    <n v="10"/>
    <n v="13"/>
  </r>
  <r>
    <n v="416"/>
    <x v="416"/>
    <n v="1975"/>
    <x v="28"/>
    <x v="4"/>
    <x v="1"/>
    <n v="19789"/>
    <x v="1"/>
    <n v="1"/>
    <n v="0"/>
    <x v="2"/>
    <d v="2013-11-20T00:00:00"/>
    <s v="11 years, 7 months"/>
    <n v="24"/>
    <n v="5"/>
    <n v="6"/>
    <n v="11"/>
    <n v="2"/>
    <n v="3"/>
    <n v="5"/>
  </r>
  <r>
    <n v="417"/>
    <x v="417"/>
    <n v="1994"/>
    <x v="54"/>
    <x v="0"/>
    <x v="1"/>
    <n v="80134"/>
    <x v="2"/>
    <n v="0"/>
    <n v="0"/>
    <x v="0"/>
    <d v="2014-02-14T00:00:00"/>
    <s v="11 years, 4 months"/>
    <n v="11"/>
    <n v="26"/>
    <n v="26"/>
    <n v="52"/>
    <n v="2"/>
    <n v="11"/>
    <n v="13"/>
  </r>
  <r>
    <n v="418"/>
    <x v="418"/>
    <n v="1981"/>
    <x v="4"/>
    <x v="0"/>
    <x v="0"/>
    <n v="91065"/>
    <x v="2"/>
    <n v="0"/>
    <n v="0"/>
    <x v="0"/>
    <d v="2013-02-22T00:00:00"/>
    <s v="12 years, 4 months"/>
    <n v="33"/>
    <n v="114"/>
    <n v="137"/>
    <n v="251"/>
    <n v="7"/>
    <n v="9"/>
    <n v="16"/>
  </r>
  <r>
    <n v="419"/>
    <x v="419"/>
    <n v="1971"/>
    <x v="6"/>
    <x v="2"/>
    <x v="2"/>
    <n v="49505"/>
    <x v="0"/>
    <n v="1"/>
    <n v="1"/>
    <x v="1"/>
    <d v="2013-03-05T00:00:00"/>
    <s v="12 years, 4 months"/>
    <n v="4"/>
    <n v="0"/>
    <n v="0"/>
    <n v="0"/>
    <n v="10"/>
    <n v="8"/>
    <n v="18"/>
  </r>
  <r>
    <n v="420"/>
    <x v="420"/>
    <n v="1973"/>
    <x v="26"/>
    <x v="1"/>
    <x v="2"/>
    <n v="37401"/>
    <x v="0"/>
    <n v="1"/>
    <n v="0"/>
    <x v="2"/>
    <d v="2014-05-06T00:00:00"/>
    <s v="11 years, 2 months"/>
    <n v="14"/>
    <n v="3"/>
    <n v="1"/>
    <n v="4"/>
    <n v="2"/>
    <n v="3"/>
    <n v="5"/>
  </r>
  <r>
    <n v="421"/>
    <x v="421"/>
    <n v="1983"/>
    <x v="10"/>
    <x v="0"/>
    <x v="2"/>
    <n v="30096"/>
    <x v="0"/>
    <n v="1"/>
    <n v="0"/>
    <x v="2"/>
    <d v="2014-05-22T00:00:00"/>
    <s v="11 years, 1 months"/>
    <n v="30"/>
    <n v="3"/>
    <n v="5"/>
    <n v="8"/>
    <n v="2"/>
    <n v="3"/>
    <n v="5"/>
  </r>
  <r>
    <n v="422"/>
    <x v="422"/>
    <n v="1982"/>
    <x v="18"/>
    <x v="2"/>
    <x v="1"/>
    <n v="18492"/>
    <x v="1"/>
    <n v="1"/>
    <n v="0"/>
    <x v="2"/>
    <d v="2014-06-05T00:00:00"/>
    <s v="11 years, 1 months"/>
    <n v="75"/>
    <n v="2"/>
    <n v="1"/>
    <n v="3"/>
    <n v="1"/>
    <n v="2"/>
    <n v="3"/>
  </r>
  <r>
    <n v="423"/>
    <x v="423"/>
    <n v="1974"/>
    <x v="8"/>
    <x v="2"/>
    <x v="2"/>
    <n v="82584"/>
    <x v="2"/>
    <n v="0"/>
    <n v="0"/>
    <x v="0"/>
    <d v="2013-06-04T00:00:00"/>
    <s v="12 years, 1 months"/>
    <n v="26"/>
    <n v="68"/>
    <n v="91"/>
    <n v="159"/>
    <n v="3"/>
    <n v="8"/>
    <n v="11"/>
  </r>
  <r>
    <n v="424"/>
    <x v="424"/>
    <n v="1941"/>
    <x v="55"/>
    <x v="1"/>
    <x v="2"/>
    <n v="93027"/>
    <x v="2"/>
    <n v="0"/>
    <n v="0"/>
    <x v="0"/>
    <d v="2013-04-13T00:00:00"/>
    <s v="12 years, 2 months"/>
    <n v="77"/>
    <n v="42"/>
    <n v="0"/>
    <n v="42"/>
    <n v="7"/>
    <n v="5"/>
    <n v="12"/>
  </r>
  <r>
    <n v="425"/>
    <x v="425"/>
    <n v="1953"/>
    <x v="44"/>
    <x v="0"/>
    <x v="2"/>
    <n v="48686"/>
    <x v="0"/>
    <n v="1"/>
    <n v="2"/>
    <x v="3"/>
    <d v="2013-12-04T00:00:00"/>
    <s v="11 years, 7 months"/>
    <n v="8"/>
    <n v="0"/>
    <n v="0"/>
    <n v="0"/>
    <n v="1"/>
    <n v="2"/>
    <n v="3"/>
  </r>
  <r>
    <n v="426"/>
    <x v="426"/>
    <n v="1986"/>
    <x v="22"/>
    <x v="0"/>
    <x v="2"/>
    <n v="92910"/>
    <x v="2"/>
    <n v="0"/>
    <n v="0"/>
    <x v="0"/>
    <d v="2014-04-24T00:00:00"/>
    <s v="11 years, 2 months"/>
    <n v="42"/>
    <n v="137"/>
    <n v="103"/>
    <n v="240"/>
    <n v="6"/>
    <n v="13"/>
    <n v="19"/>
  </r>
  <r>
    <n v="427"/>
    <x v="427"/>
    <n v="1989"/>
    <x v="23"/>
    <x v="0"/>
    <x v="2"/>
    <n v="75433"/>
    <x v="2"/>
    <n v="1"/>
    <n v="0"/>
    <x v="2"/>
    <d v="2014-04-05T00:00:00"/>
    <s v="11 years, 3 months"/>
    <n v="28"/>
    <n v="0"/>
    <n v="34"/>
    <n v="34"/>
    <n v="2"/>
    <n v="10"/>
    <n v="12"/>
  </r>
  <r>
    <n v="428"/>
    <x v="428"/>
    <n v="1989"/>
    <x v="23"/>
    <x v="4"/>
    <x v="1"/>
    <n v="10404"/>
    <x v="1"/>
    <n v="1"/>
    <n v="0"/>
    <x v="2"/>
    <d v="2014-05-04T00:00:00"/>
    <s v="11 years, 2 months"/>
    <n v="52"/>
    <n v="2"/>
    <n v="6"/>
    <n v="8"/>
    <n v="1"/>
    <n v="4"/>
    <n v="5"/>
  </r>
  <r>
    <n v="429"/>
    <x v="429"/>
    <n v="1968"/>
    <x v="30"/>
    <x v="0"/>
    <x v="2"/>
    <n v="61314"/>
    <x v="0"/>
    <n v="0"/>
    <n v="1"/>
    <x v="2"/>
    <d v="2013-04-25T00:00:00"/>
    <s v="12 years, 2 months"/>
    <n v="1"/>
    <n v="0"/>
    <n v="172"/>
    <n v="172"/>
    <n v="5"/>
    <n v="12"/>
    <n v="17"/>
  </r>
  <r>
    <n v="430"/>
    <x v="430"/>
    <n v="1961"/>
    <x v="45"/>
    <x v="1"/>
    <x v="0"/>
    <n v="84865"/>
    <x v="2"/>
    <n v="0"/>
    <n v="0"/>
    <x v="0"/>
    <d v="2013-05-09T00:00:00"/>
    <s v="12 years, 1 months"/>
    <n v="1"/>
    <n v="16"/>
    <n v="16"/>
    <n v="32"/>
    <n v="2"/>
    <n v="9"/>
    <n v="11"/>
  </r>
  <r>
    <n v="431"/>
    <x v="431"/>
    <n v="1989"/>
    <x v="23"/>
    <x v="0"/>
    <x v="2"/>
    <n v="42387"/>
    <x v="0"/>
    <n v="1"/>
    <n v="0"/>
    <x v="2"/>
    <d v="2012-10-29T00:00:00"/>
    <s v="12 years, 8 months"/>
    <n v="42"/>
    <n v="0"/>
    <n v="4"/>
    <n v="4"/>
    <n v="8"/>
    <n v="7"/>
    <n v="15"/>
  </r>
  <r>
    <n v="432"/>
    <x v="432"/>
    <n v="1967"/>
    <x v="5"/>
    <x v="4"/>
    <x v="1"/>
    <n v="67309"/>
    <x v="0"/>
    <n v="1"/>
    <n v="1"/>
    <x v="1"/>
    <d v="2013-01-23T00:00:00"/>
    <s v="12 years, 5 months"/>
    <n v="76"/>
    <n v="47"/>
    <n v="95"/>
    <n v="142"/>
    <n v="9"/>
    <n v="9"/>
    <n v="18"/>
  </r>
  <r>
    <n v="433"/>
    <x v="433"/>
    <n v="1964"/>
    <x v="31"/>
    <x v="0"/>
    <x v="2"/>
    <n v="75236"/>
    <x v="2"/>
    <n v="0"/>
    <n v="1"/>
    <x v="2"/>
    <d v="2013-11-25T00:00:00"/>
    <s v="11 years, 7 months"/>
    <n v="27"/>
    <n v="66"/>
    <n v="38"/>
    <n v="104"/>
    <n v="8"/>
    <n v="13"/>
    <n v="21"/>
  </r>
  <r>
    <n v="434"/>
    <x v="434"/>
    <n v="1970"/>
    <x v="25"/>
    <x v="0"/>
    <x v="0"/>
    <n v="30015"/>
    <x v="0"/>
    <n v="1"/>
    <n v="0"/>
    <x v="2"/>
    <d v="2014-02-02T00:00:00"/>
    <s v="11 years, 5 months"/>
    <n v="28"/>
    <n v="0"/>
    <n v="3"/>
    <n v="3"/>
    <n v="1"/>
    <n v="4"/>
    <n v="5"/>
  </r>
  <r>
    <n v="435"/>
    <x v="435"/>
    <n v="1956"/>
    <x v="46"/>
    <x v="2"/>
    <x v="1"/>
    <n v="50943"/>
    <x v="0"/>
    <n v="0"/>
    <n v="1"/>
    <x v="2"/>
    <d v="2013-06-21T00:00:00"/>
    <s v="12 years, 0 months"/>
    <n v="49"/>
    <n v="0"/>
    <n v="0"/>
    <n v="0"/>
    <n v="1"/>
    <n v="3"/>
    <n v="4"/>
  </r>
  <r>
    <n v="436"/>
    <x v="436"/>
    <n v="1966"/>
    <x v="35"/>
    <x v="0"/>
    <x v="3"/>
    <n v="67272"/>
    <x v="0"/>
    <n v="0"/>
    <n v="1"/>
    <x v="2"/>
    <d v="2013-12-21T00:00:00"/>
    <s v="11 years, 6 months"/>
    <n v="12"/>
    <n v="35"/>
    <n v="28"/>
    <n v="63"/>
    <n v="6"/>
    <n v="12"/>
    <n v="18"/>
  </r>
  <r>
    <n v="437"/>
    <x v="437"/>
    <n v="1949"/>
    <x v="17"/>
    <x v="2"/>
    <x v="4"/>
    <n v="51529"/>
    <x v="0"/>
    <n v="0"/>
    <n v="1"/>
    <x v="2"/>
    <d v="2013-09-07T00:00:00"/>
    <s v="11 years, 9 months"/>
    <n v="14"/>
    <n v="4"/>
    <n v="0"/>
    <n v="4"/>
    <n v="9"/>
    <n v="5"/>
    <n v="14"/>
  </r>
  <r>
    <n v="438"/>
    <x v="438"/>
    <n v="1971"/>
    <x v="6"/>
    <x v="1"/>
    <x v="2"/>
    <n v="32011"/>
    <x v="0"/>
    <n v="1"/>
    <n v="0"/>
    <x v="2"/>
    <d v="2013-08-22T00:00:00"/>
    <s v="11 years, 10 months"/>
    <n v="89"/>
    <n v="0"/>
    <n v="1"/>
    <n v="1"/>
    <n v="2"/>
    <n v="4"/>
    <n v="6"/>
  </r>
  <r>
    <n v="439"/>
    <x v="439"/>
    <n v="1986"/>
    <x v="22"/>
    <x v="4"/>
    <x v="2"/>
    <n v="7500"/>
    <x v="1"/>
    <n v="1"/>
    <n v="0"/>
    <x v="2"/>
    <d v="2013-02-07T00:00:00"/>
    <s v="12 years, 4 months"/>
    <n v="96"/>
    <n v="11"/>
    <n v="6"/>
    <n v="17"/>
    <n v="2"/>
    <n v="3"/>
    <n v="5"/>
  </r>
  <r>
    <n v="440"/>
    <x v="440"/>
    <n v="1989"/>
    <x v="23"/>
    <x v="0"/>
    <x v="2"/>
    <n v="28691"/>
    <x v="0"/>
    <n v="1"/>
    <n v="0"/>
    <x v="2"/>
    <d v="2013-07-04T00:00:00"/>
    <s v="12 years, 0 months"/>
    <n v="56"/>
    <n v="4"/>
    <n v="0"/>
    <n v="4"/>
    <n v="1"/>
    <n v="3"/>
    <n v="4"/>
  </r>
  <r>
    <n v="441"/>
    <x v="441"/>
    <n v="1948"/>
    <x v="37"/>
    <x v="1"/>
    <x v="2"/>
    <n v="56223"/>
    <x v="0"/>
    <n v="0"/>
    <n v="1"/>
    <x v="2"/>
    <d v="2013-12-20T00:00:00"/>
    <s v="11 years, 6 months"/>
    <n v="72"/>
    <n v="28"/>
    <n v="0"/>
    <n v="28"/>
    <n v="2"/>
    <n v="5"/>
    <n v="7"/>
  </r>
  <r>
    <n v="442"/>
    <x v="442"/>
    <n v="1946"/>
    <x v="15"/>
    <x v="0"/>
    <x v="2"/>
    <n v="18100"/>
    <x v="1"/>
    <n v="0"/>
    <n v="0"/>
    <x v="0"/>
    <d v="2013-08-06T00:00:00"/>
    <s v="11 years, 11 months"/>
    <n v="14"/>
    <n v="1"/>
    <n v="3"/>
    <n v="4"/>
    <n v="0"/>
    <n v="3"/>
    <n v="3"/>
  </r>
  <r>
    <n v="443"/>
    <x v="443"/>
    <n v="1989"/>
    <x v="23"/>
    <x v="0"/>
    <x v="0"/>
    <n v="30279"/>
    <x v="0"/>
    <n v="1"/>
    <n v="0"/>
    <x v="2"/>
    <d v="2012-12-30T00:00:00"/>
    <s v="12 years, 6 months"/>
    <n v="13"/>
    <n v="4"/>
    <n v="4"/>
    <n v="8"/>
    <n v="1"/>
    <n v="3"/>
    <n v="4"/>
  </r>
  <r>
    <n v="444"/>
    <x v="444"/>
    <n v="1974"/>
    <x v="8"/>
    <x v="4"/>
    <x v="2"/>
    <n v="20130"/>
    <x v="1"/>
    <n v="0"/>
    <n v="0"/>
    <x v="0"/>
    <d v="2014-03-17T00:00:00"/>
    <s v="11 years, 3 months"/>
    <n v="99"/>
    <n v="6"/>
    <n v="6"/>
    <n v="12"/>
    <n v="1"/>
    <n v="3"/>
    <n v="4"/>
  </r>
  <r>
    <n v="445"/>
    <x v="445"/>
    <n v="1959"/>
    <x v="12"/>
    <x v="0"/>
    <x v="3"/>
    <n v="23295"/>
    <x v="1"/>
    <n v="0"/>
    <n v="0"/>
    <x v="0"/>
    <d v="2013-07-13T00:00:00"/>
    <s v="11 years, 11 months"/>
    <n v="72"/>
    <n v="0"/>
    <n v="12"/>
    <n v="12"/>
    <n v="1"/>
    <n v="2"/>
    <n v="3"/>
  </r>
  <r>
    <n v="446"/>
    <x v="446"/>
    <n v="1972"/>
    <x v="39"/>
    <x v="2"/>
    <x v="3"/>
    <n v="42618"/>
    <x v="0"/>
    <n v="1"/>
    <n v="0"/>
    <x v="2"/>
    <d v="2013-10-09T00:00:00"/>
    <s v="11 years, 8 months"/>
    <n v="92"/>
    <n v="14"/>
    <n v="5"/>
    <n v="19"/>
    <n v="5"/>
    <n v="4"/>
    <n v="9"/>
  </r>
  <r>
    <n v="447"/>
    <x v="447"/>
    <n v="1964"/>
    <x v="31"/>
    <x v="0"/>
    <x v="0"/>
    <n v="81246"/>
    <x v="2"/>
    <n v="0"/>
    <n v="0"/>
    <x v="0"/>
    <d v="2013-12-29T00:00:00"/>
    <s v="11 years, 6 months"/>
    <n v="87"/>
    <n v="190"/>
    <n v="156"/>
    <n v="346"/>
    <n v="4"/>
    <n v="7"/>
    <n v="11"/>
  </r>
  <r>
    <n v="448"/>
    <x v="448"/>
    <n v="1976"/>
    <x v="11"/>
    <x v="0"/>
    <x v="2"/>
    <n v="24027"/>
    <x v="1"/>
    <n v="1"/>
    <n v="0"/>
    <x v="2"/>
    <d v="2013-06-09T00:00:00"/>
    <s v="12 years, 0 months"/>
    <n v="7"/>
    <n v="7"/>
    <n v="0"/>
    <n v="7"/>
    <n v="2"/>
    <n v="3"/>
    <n v="5"/>
  </r>
  <r>
    <n v="449"/>
    <x v="449"/>
    <n v="1953"/>
    <x v="44"/>
    <x v="1"/>
    <x v="2"/>
    <n v="55707"/>
    <x v="0"/>
    <n v="0"/>
    <n v="1"/>
    <x v="2"/>
    <d v="2013-12-22T00:00:00"/>
    <s v="11 years, 6 months"/>
    <n v="91"/>
    <n v="7"/>
    <n v="66"/>
    <n v="73"/>
    <n v="3"/>
    <n v="9"/>
    <n v="12"/>
  </r>
  <r>
    <n v="450"/>
    <x v="450"/>
    <n v="1955"/>
    <x v="34"/>
    <x v="0"/>
    <x v="0"/>
    <n v="57959"/>
    <x v="0"/>
    <n v="0"/>
    <n v="1"/>
    <x v="2"/>
    <d v="2013-05-02T00:00:00"/>
    <s v="12 years, 2 months"/>
    <n v="71"/>
    <n v="16"/>
    <n v="24"/>
    <n v="40"/>
    <n v="4"/>
    <n v="11"/>
    <n v="15"/>
  </r>
  <r>
    <n v="451"/>
    <x v="451"/>
    <n v="1969"/>
    <x v="21"/>
    <x v="0"/>
    <x v="2"/>
    <n v="56796"/>
    <x v="0"/>
    <n v="0"/>
    <n v="1"/>
    <x v="2"/>
    <d v="2013-02-16T00:00:00"/>
    <s v="12 years, 4 months"/>
    <n v="24"/>
    <n v="38"/>
    <n v="47"/>
    <n v="85"/>
    <n v="8"/>
    <n v="7"/>
    <n v="15"/>
  </r>
  <r>
    <n v="452"/>
    <x v="452"/>
    <n v="1971"/>
    <x v="6"/>
    <x v="2"/>
    <x v="0"/>
    <n v="36230"/>
    <x v="0"/>
    <n v="1"/>
    <n v="0"/>
    <x v="2"/>
    <d v="2013-10-17T00:00:00"/>
    <s v="11 years, 8 months"/>
    <n v="17"/>
    <n v="2"/>
    <n v="2"/>
    <n v="4"/>
    <n v="2"/>
    <n v="4"/>
    <n v="6"/>
  </r>
  <r>
    <n v="453"/>
    <x v="453"/>
    <n v="1980"/>
    <x v="16"/>
    <x v="4"/>
    <x v="2"/>
    <n v="70829"/>
    <x v="0"/>
    <n v="1"/>
    <n v="1"/>
    <x v="1"/>
    <d v="2013-12-01T00:00:00"/>
    <s v="11 years, 7 months"/>
    <n v="87"/>
    <n v="70"/>
    <n v="19"/>
    <n v="89"/>
    <n v="4"/>
    <n v="8"/>
    <n v="12"/>
  </r>
  <r>
    <n v="454"/>
    <x v="454"/>
    <n v="1976"/>
    <x v="11"/>
    <x v="0"/>
    <x v="2"/>
    <n v="65991"/>
    <x v="0"/>
    <n v="0"/>
    <n v="1"/>
    <x v="2"/>
    <d v="2012-09-07T00:00:00"/>
    <s v="12 years, 9 months"/>
    <n v="21"/>
    <n v="19"/>
    <n v="47"/>
    <n v="66"/>
    <n v="9"/>
    <n v="10"/>
    <n v="19"/>
  </r>
  <r>
    <n v="455"/>
    <x v="455"/>
    <n v="1972"/>
    <x v="39"/>
    <x v="0"/>
    <x v="2"/>
    <n v="38988"/>
    <x v="0"/>
    <n v="1"/>
    <n v="2"/>
    <x v="3"/>
    <d v="2012-08-20T00:00:00"/>
    <s v="12 years, 10 months"/>
    <n v="90"/>
    <n v="24"/>
    <n v="3"/>
    <n v="27"/>
    <n v="5"/>
    <n v="6"/>
    <n v="11"/>
  </r>
  <r>
    <n v="456"/>
    <x v="456"/>
    <n v="1966"/>
    <x v="35"/>
    <x v="4"/>
    <x v="0"/>
    <n v="89572"/>
    <x v="2"/>
    <n v="0"/>
    <n v="0"/>
    <x v="0"/>
    <d v="2012-09-15T00:00:00"/>
    <s v="12 years, 9 months"/>
    <n v="44"/>
    <n v="24"/>
    <n v="194"/>
    <n v="218"/>
    <n v="7"/>
    <n v="9"/>
    <n v="16"/>
  </r>
  <r>
    <n v="457"/>
    <x v="457"/>
    <n v="1984"/>
    <x v="3"/>
    <x v="2"/>
    <x v="2"/>
    <n v="42207"/>
    <x v="0"/>
    <n v="1"/>
    <n v="0"/>
    <x v="2"/>
    <d v="2013-04-01T00:00:00"/>
    <s v="12 years, 3 months"/>
    <n v="71"/>
    <n v="11"/>
    <n v="17"/>
    <n v="28"/>
    <n v="4"/>
    <n v="5"/>
    <n v="9"/>
  </r>
  <r>
    <n v="458"/>
    <x v="458"/>
    <n v="1952"/>
    <x v="13"/>
    <x v="0"/>
    <x v="2"/>
    <n v="50300"/>
    <x v="0"/>
    <n v="0"/>
    <n v="1"/>
    <x v="2"/>
    <d v="2014-05-25T00:00:00"/>
    <s v="11 years, 1 months"/>
    <n v="52"/>
    <n v="15"/>
    <n v="23"/>
    <n v="38"/>
    <n v="2"/>
    <n v="8"/>
    <n v="10"/>
  </r>
  <r>
    <n v="459"/>
    <x v="459"/>
    <n v="1982"/>
    <x v="18"/>
    <x v="4"/>
    <x v="1"/>
    <n v="66664"/>
    <x v="0"/>
    <n v="0"/>
    <n v="0"/>
    <x v="0"/>
    <d v="2012-09-25T00:00:00"/>
    <s v="12 years, 9 months"/>
    <n v="78"/>
    <n v="96"/>
    <n v="96"/>
    <n v="192"/>
    <n v="5"/>
    <n v="6"/>
    <n v="11"/>
  </r>
  <r>
    <n v="460"/>
    <x v="460"/>
    <n v="1964"/>
    <x v="31"/>
    <x v="0"/>
    <x v="2"/>
    <n v="60597"/>
    <x v="0"/>
    <n v="0"/>
    <n v="1"/>
    <x v="2"/>
    <d v="2014-01-01T00:00:00"/>
    <s v="11 years, 6 months"/>
    <n v="2"/>
    <n v="0"/>
    <n v="16"/>
    <n v="16"/>
    <n v="2"/>
    <n v="8"/>
    <n v="10"/>
  </r>
  <r>
    <n v="461"/>
    <x v="461"/>
    <n v="1949"/>
    <x v="17"/>
    <x v="0"/>
    <x v="4"/>
    <n v="70165"/>
    <x v="0"/>
    <n v="0"/>
    <n v="0"/>
    <x v="0"/>
    <d v="2013-09-22T00:00:00"/>
    <s v="11 years, 9 months"/>
    <n v="60"/>
    <n v="0"/>
    <n v="191"/>
    <n v="191"/>
    <n v="3"/>
    <n v="11"/>
    <n v="14"/>
  </r>
  <r>
    <n v="462"/>
    <x v="462"/>
    <n v="1958"/>
    <x v="38"/>
    <x v="1"/>
    <x v="4"/>
    <n v="50520"/>
    <x v="0"/>
    <n v="0"/>
    <n v="1"/>
    <x v="2"/>
    <d v="2014-01-28T00:00:00"/>
    <s v="11 years, 5 months"/>
    <n v="25"/>
    <n v="0"/>
    <n v="1"/>
    <n v="1"/>
    <n v="3"/>
    <n v="3"/>
    <n v="6"/>
  </r>
  <r>
    <n v="463"/>
    <x v="463"/>
    <n v="1963"/>
    <x v="24"/>
    <x v="0"/>
    <x v="2"/>
    <n v="80124"/>
    <x v="2"/>
    <n v="0"/>
    <n v="0"/>
    <x v="0"/>
    <d v="2014-06-26T00:00:00"/>
    <s v="11 years, 0 months"/>
    <n v="47"/>
    <n v="84"/>
    <n v="84"/>
    <n v="168"/>
    <n v="3"/>
    <n v="8"/>
    <n v="11"/>
  </r>
  <r>
    <n v="464"/>
    <x v="464"/>
    <n v="1975"/>
    <x v="28"/>
    <x v="0"/>
    <x v="2"/>
    <n v="33183"/>
    <x v="0"/>
    <n v="1"/>
    <n v="0"/>
    <x v="2"/>
    <d v="2014-02-24T00:00:00"/>
    <s v="11 years, 4 months"/>
    <n v="46"/>
    <n v="5"/>
    <n v="15"/>
    <n v="20"/>
    <n v="4"/>
    <n v="3"/>
    <n v="7"/>
  </r>
  <r>
    <n v="465"/>
    <x v="465"/>
    <n v="1969"/>
    <x v="21"/>
    <x v="1"/>
    <x v="0"/>
    <n v="66582"/>
    <x v="0"/>
    <n v="0"/>
    <n v="0"/>
    <x v="0"/>
    <d v="2014-03-03T00:00:00"/>
    <s v="11 years, 4 months"/>
    <n v="83"/>
    <n v="25"/>
    <n v="38"/>
    <n v="63"/>
    <n v="2"/>
    <n v="9"/>
    <n v="11"/>
  </r>
  <r>
    <n v="466"/>
    <x v="466"/>
    <n v="1955"/>
    <x v="34"/>
    <x v="1"/>
    <x v="1"/>
    <n v="75261"/>
    <x v="2"/>
    <n v="0"/>
    <n v="0"/>
    <x v="0"/>
    <d v="2013-04-23T00:00:00"/>
    <s v="12 years, 2 months"/>
    <n v="17"/>
    <n v="17"/>
    <n v="34"/>
    <n v="51"/>
    <n v="5"/>
    <n v="5"/>
    <n v="10"/>
  </r>
  <r>
    <n v="467"/>
    <x v="467"/>
    <n v="1970"/>
    <x v="25"/>
    <x v="0"/>
    <x v="4"/>
    <n v="31880"/>
    <x v="0"/>
    <n v="1"/>
    <n v="0"/>
    <x v="2"/>
    <d v="2012-10-31T00:00:00"/>
    <s v="12 years, 8 months"/>
    <n v="13"/>
    <n v="1"/>
    <n v="0"/>
    <n v="1"/>
    <n v="1"/>
    <n v="2"/>
    <n v="3"/>
  </r>
  <r>
    <n v="468"/>
    <x v="468"/>
    <n v="1951"/>
    <x v="20"/>
    <x v="0"/>
    <x v="2"/>
    <n v="53790"/>
    <x v="0"/>
    <n v="0"/>
    <n v="2"/>
    <x v="1"/>
    <d v="2014-03-06T00:00:00"/>
    <s v="11 years, 4 months"/>
    <n v="86"/>
    <n v="42"/>
    <n v="5"/>
    <n v="47"/>
    <n v="7"/>
    <n v="8"/>
    <n v="15"/>
  </r>
  <r>
    <n v="469"/>
    <x v="469"/>
    <n v="1971"/>
    <x v="6"/>
    <x v="1"/>
    <x v="1"/>
    <n v="49269"/>
    <x v="0"/>
    <n v="1"/>
    <n v="0"/>
    <x v="2"/>
    <d v="2012-08-15T00:00:00"/>
    <s v="12 years, 10 months"/>
    <n v="92"/>
    <n v="8"/>
    <n v="8"/>
    <n v="16"/>
    <n v="7"/>
    <n v="12"/>
    <n v="19"/>
  </r>
  <r>
    <n v="470"/>
    <x v="470"/>
    <n v="1975"/>
    <x v="28"/>
    <x v="0"/>
    <x v="2"/>
    <n v="61456"/>
    <x v="0"/>
    <n v="0"/>
    <n v="1"/>
    <x v="2"/>
    <d v="2013-03-27T00:00:00"/>
    <s v="12 years, 3 months"/>
    <n v="47"/>
    <n v="76"/>
    <n v="192"/>
    <n v="268"/>
    <n v="6"/>
    <n v="13"/>
    <n v="19"/>
  </r>
  <r>
    <n v="471"/>
    <x v="471"/>
    <n v="1980"/>
    <x v="16"/>
    <x v="0"/>
    <x v="2"/>
    <n v="37406"/>
    <x v="0"/>
    <n v="1"/>
    <n v="0"/>
    <x v="2"/>
    <d v="2013-10-10T00:00:00"/>
    <s v="11 years, 8 months"/>
    <n v="18"/>
    <n v="0"/>
    <n v="2"/>
    <n v="2"/>
    <n v="1"/>
    <n v="2"/>
    <n v="3"/>
  </r>
  <r>
    <n v="472"/>
    <x v="472"/>
    <n v="1981"/>
    <x v="4"/>
    <x v="1"/>
    <x v="1"/>
    <n v="56937"/>
    <x v="0"/>
    <n v="1"/>
    <n v="0"/>
    <x v="2"/>
    <d v="2012-08-04T00:00:00"/>
    <s v="12 years, 11 months"/>
    <n v="81"/>
    <n v="8"/>
    <n v="8"/>
    <n v="16"/>
    <n v="8"/>
    <n v="9"/>
    <n v="17"/>
  </r>
  <r>
    <n v="473"/>
    <x v="473"/>
    <n v="1978"/>
    <x v="33"/>
    <x v="0"/>
    <x v="2"/>
    <n v="38415"/>
    <x v="0"/>
    <n v="1"/>
    <n v="1"/>
    <x v="1"/>
    <d v="2013-01-02T00:00:00"/>
    <s v="12 years, 6 months"/>
    <n v="91"/>
    <n v="1"/>
    <n v="0"/>
    <n v="1"/>
    <n v="1"/>
    <n v="3"/>
    <n v="4"/>
  </r>
  <r>
    <n v="474"/>
    <x v="474"/>
    <n v="1988"/>
    <x v="36"/>
    <x v="0"/>
    <x v="0"/>
    <n v="20518"/>
    <x v="1"/>
    <n v="1"/>
    <n v="0"/>
    <x v="2"/>
    <d v="2014-05-18T00:00:00"/>
    <s v="11 years, 1 months"/>
    <n v="58"/>
    <n v="1"/>
    <n v="1"/>
    <n v="2"/>
    <n v="1"/>
    <n v="2"/>
    <n v="3"/>
  </r>
  <r>
    <n v="475"/>
    <x v="475"/>
    <n v="1956"/>
    <x v="46"/>
    <x v="0"/>
    <x v="2"/>
    <n v="62503"/>
    <x v="0"/>
    <n v="0"/>
    <n v="1"/>
    <x v="2"/>
    <d v="2013-02-18T00:00:00"/>
    <s v="12 years, 4 months"/>
    <n v="40"/>
    <n v="0"/>
    <n v="75"/>
    <n v="75"/>
    <n v="8"/>
    <n v="11"/>
    <n v="19"/>
  </r>
  <r>
    <n v="476"/>
    <x v="476"/>
    <n v="1972"/>
    <x v="39"/>
    <x v="1"/>
    <x v="0"/>
    <n v="41644"/>
    <x v="0"/>
    <n v="1"/>
    <n v="1"/>
    <x v="1"/>
    <d v="2014-05-09T00:00:00"/>
    <s v="11 years, 1 months"/>
    <n v="67"/>
    <n v="3"/>
    <n v="0"/>
    <n v="3"/>
    <n v="1"/>
    <n v="3"/>
    <n v="4"/>
  </r>
  <r>
    <n v="477"/>
    <x v="477"/>
    <n v="1977"/>
    <x v="32"/>
    <x v="2"/>
    <x v="2"/>
    <n v="55842"/>
    <x v="0"/>
    <n v="0"/>
    <n v="1"/>
    <x v="2"/>
    <d v="2014-05-23T00:00:00"/>
    <s v="11 years, 1 months"/>
    <n v="19"/>
    <n v="0"/>
    <n v="4"/>
    <n v="4"/>
    <n v="7"/>
    <n v="8"/>
    <n v="15"/>
  </r>
  <r>
    <n v="478"/>
    <x v="478"/>
    <n v="1972"/>
    <x v="39"/>
    <x v="1"/>
    <x v="2"/>
    <n v="62010"/>
    <x v="0"/>
    <n v="0"/>
    <n v="1"/>
    <x v="2"/>
    <d v="2012-10-23T00:00:00"/>
    <s v="12 years, 8 months"/>
    <n v="93"/>
    <n v="22"/>
    <n v="0"/>
    <n v="22"/>
    <n v="6"/>
    <n v="7"/>
    <n v="13"/>
  </r>
  <r>
    <n v="479"/>
    <x v="479"/>
    <n v="1977"/>
    <x v="32"/>
    <x v="0"/>
    <x v="2"/>
    <n v="41124"/>
    <x v="0"/>
    <n v="1"/>
    <n v="0"/>
    <x v="2"/>
    <d v="2012-10-31T00:00:00"/>
    <s v="12 years, 8 months"/>
    <n v="41"/>
    <n v="7"/>
    <n v="0"/>
    <n v="7"/>
    <n v="7"/>
    <n v="4"/>
    <n v="11"/>
  </r>
  <r>
    <n v="480"/>
    <x v="480"/>
    <n v="1973"/>
    <x v="26"/>
    <x v="2"/>
    <x v="2"/>
    <n v="38961"/>
    <x v="0"/>
    <n v="1"/>
    <n v="0"/>
    <x v="2"/>
    <d v="2013-12-30T00:00:00"/>
    <s v="11 years, 6 months"/>
    <n v="60"/>
    <n v="7"/>
    <n v="1"/>
    <n v="8"/>
    <n v="2"/>
    <n v="2"/>
    <n v="4"/>
  </r>
  <r>
    <n v="481"/>
    <x v="481"/>
    <n v="1972"/>
    <x v="39"/>
    <x v="2"/>
    <x v="3"/>
    <n v="37760"/>
    <x v="0"/>
    <n v="1"/>
    <n v="0"/>
    <x v="2"/>
    <d v="2013-08-11T00:00:00"/>
    <s v="11 years, 10 months"/>
    <n v="54"/>
    <n v="3"/>
    <n v="10"/>
    <n v="13"/>
    <n v="2"/>
    <n v="3"/>
    <n v="5"/>
  </r>
  <r>
    <n v="482"/>
    <x v="482"/>
    <n v="1974"/>
    <x v="8"/>
    <x v="0"/>
    <x v="0"/>
    <n v="32233"/>
    <x v="0"/>
    <n v="1"/>
    <n v="0"/>
    <x v="2"/>
    <d v="2012-08-19T00:00:00"/>
    <s v="12 years, 10 months"/>
    <n v="26"/>
    <n v="15"/>
    <n v="11"/>
    <n v="26"/>
    <n v="6"/>
    <n v="2"/>
    <n v="8"/>
  </r>
  <r>
    <n v="483"/>
    <x v="483"/>
    <n v="1975"/>
    <x v="28"/>
    <x v="0"/>
    <x v="2"/>
    <n v="43057"/>
    <x v="0"/>
    <n v="0"/>
    <n v="1"/>
    <x v="2"/>
    <d v="2013-10-30T00:00:00"/>
    <s v="11 years, 8 months"/>
    <n v="30"/>
    <n v="2"/>
    <n v="2"/>
    <n v="4"/>
    <n v="4"/>
    <n v="5"/>
    <n v="9"/>
  </r>
  <r>
    <n v="484"/>
    <x v="484"/>
    <n v="1960"/>
    <x v="40"/>
    <x v="2"/>
    <x v="1"/>
    <n v="83151"/>
    <x v="2"/>
    <n v="0"/>
    <n v="0"/>
    <x v="0"/>
    <d v="2012-10-10T00:00:00"/>
    <s v="12 years, 8 months"/>
    <n v="93"/>
    <n v="28"/>
    <n v="74"/>
    <n v="102"/>
    <n v="5"/>
    <n v="4"/>
    <n v="9"/>
  </r>
  <r>
    <n v="485"/>
    <x v="485"/>
    <n v="1964"/>
    <x v="31"/>
    <x v="1"/>
    <x v="3"/>
    <n v="78825"/>
    <x v="2"/>
    <n v="0"/>
    <n v="0"/>
    <x v="0"/>
    <d v="2012-09-14T00:00:00"/>
    <s v="12 years, 9 months"/>
    <n v="35"/>
    <n v="74"/>
    <n v="37"/>
    <n v="111"/>
    <n v="5"/>
    <n v="13"/>
    <n v="18"/>
  </r>
  <r>
    <n v="486"/>
    <x v="486"/>
    <n v="1976"/>
    <x v="11"/>
    <x v="2"/>
    <x v="1"/>
    <n v="65104"/>
    <x v="0"/>
    <n v="0"/>
    <n v="1"/>
    <x v="2"/>
    <d v="2013-11-14T00:00:00"/>
    <s v="11 years, 7 months"/>
    <n v="4"/>
    <n v="0"/>
    <n v="20"/>
    <n v="20"/>
    <n v="3"/>
    <n v="7"/>
    <n v="10"/>
  </r>
  <r>
    <n v="487"/>
    <x v="487"/>
    <n v="1974"/>
    <x v="8"/>
    <x v="0"/>
    <x v="2"/>
    <n v="60093"/>
    <x v="0"/>
    <n v="0"/>
    <n v="1"/>
    <x v="2"/>
    <d v="2013-06-26T00:00:00"/>
    <s v="12 years, 0 months"/>
    <n v="92"/>
    <n v="12"/>
    <n v="6"/>
    <n v="18"/>
    <n v="7"/>
    <n v="10"/>
    <n v="17"/>
  </r>
  <r>
    <n v="488"/>
    <x v="488"/>
    <n v="1969"/>
    <x v="21"/>
    <x v="0"/>
    <x v="2"/>
    <n v="14045"/>
    <x v="1"/>
    <n v="1"/>
    <n v="0"/>
    <x v="2"/>
    <d v="2014-01-26T00:00:00"/>
    <s v="11 years, 5 months"/>
    <n v="24"/>
    <n v="0"/>
    <n v="1"/>
    <n v="1"/>
    <n v="1"/>
    <n v="3"/>
    <n v="4"/>
  </r>
  <r>
    <n v="489"/>
    <x v="489"/>
    <n v="1952"/>
    <x v="13"/>
    <x v="4"/>
    <x v="4"/>
    <n v="28457"/>
    <x v="0"/>
    <n v="0"/>
    <n v="0"/>
    <x v="0"/>
    <d v="2012-10-28T00:00:00"/>
    <s v="12 years, 8 months"/>
    <n v="96"/>
    <n v="1"/>
    <n v="29"/>
    <n v="30"/>
    <n v="4"/>
    <n v="4"/>
    <n v="8"/>
  </r>
  <r>
    <n v="490"/>
    <x v="490"/>
    <n v="1958"/>
    <x v="38"/>
    <x v="1"/>
    <x v="1"/>
    <n v="78952"/>
    <x v="2"/>
    <n v="0"/>
    <n v="1"/>
    <x v="2"/>
    <d v="2012-09-24T00:00:00"/>
    <s v="12 years, 9 months"/>
    <n v="11"/>
    <n v="19"/>
    <n v="76"/>
    <n v="95"/>
    <n v="2"/>
    <n v="12"/>
    <n v="14"/>
  </r>
  <r>
    <n v="491"/>
    <x v="491"/>
    <n v="1976"/>
    <x v="11"/>
    <x v="0"/>
    <x v="3"/>
    <n v="46310"/>
    <x v="0"/>
    <n v="1"/>
    <n v="0"/>
    <x v="2"/>
    <d v="2012-12-03T00:00:00"/>
    <s v="12 years, 7 months"/>
    <n v="99"/>
    <n v="2"/>
    <n v="5"/>
    <n v="7"/>
    <n v="6"/>
    <n v="5"/>
    <n v="11"/>
  </r>
  <r>
    <n v="492"/>
    <x v="492"/>
    <n v="1955"/>
    <x v="34"/>
    <x v="0"/>
    <x v="1"/>
    <n v="76005"/>
    <x v="2"/>
    <n v="0"/>
    <n v="0"/>
    <x v="0"/>
    <d v="2013-02-22T00:00:00"/>
    <s v="12 years, 4 months"/>
    <n v="72"/>
    <n v="20"/>
    <n v="50"/>
    <n v="70"/>
    <n v="3"/>
    <n v="13"/>
    <n v="16"/>
  </r>
  <r>
    <n v="493"/>
    <x v="493"/>
    <n v="1964"/>
    <x v="31"/>
    <x v="2"/>
    <x v="0"/>
    <n v="58308"/>
    <x v="0"/>
    <n v="0"/>
    <n v="1"/>
    <x v="2"/>
    <d v="2013-01-12T00:00:00"/>
    <s v="12 years, 5 months"/>
    <n v="77"/>
    <n v="0"/>
    <n v="0"/>
    <n v="0"/>
    <n v="2"/>
    <n v="3"/>
    <n v="5"/>
  </r>
  <r>
    <n v="494"/>
    <x v="494"/>
    <n v="1944"/>
    <x v="56"/>
    <x v="1"/>
    <x v="3"/>
    <n v="55614"/>
    <x v="0"/>
    <n v="0"/>
    <n v="0"/>
    <x v="0"/>
    <d v="2013-11-27T00:00:00"/>
    <s v="11 years, 7 months"/>
    <n v="85"/>
    <n v="13"/>
    <n v="0"/>
    <n v="13"/>
    <n v="9"/>
    <n v="6"/>
    <n v="15"/>
  </r>
  <r>
    <n v="495"/>
    <x v="495"/>
    <n v="1962"/>
    <x v="43"/>
    <x v="2"/>
    <x v="3"/>
    <n v="59432"/>
    <x v="0"/>
    <n v="0"/>
    <n v="1"/>
    <x v="2"/>
    <d v="2013-04-13T00:00:00"/>
    <s v="12 years, 2 months"/>
    <n v="88"/>
    <n v="25"/>
    <n v="19"/>
    <n v="44"/>
    <n v="5"/>
    <n v="11"/>
    <n v="16"/>
  </r>
  <r>
    <n v="496"/>
    <x v="496"/>
    <n v="1978"/>
    <x v="33"/>
    <x v="0"/>
    <x v="3"/>
    <n v="55563"/>
    <x v="0"/>
    <n v="0"/>
    <n v="1"/>
    <x v="2"/>
    <d v="2014-04-05T00:00:00"/>
    <s v="11 years, 3 months"/>
    <n v="22"/>
    <n v="1"/>
    <n v="0"/>
    <n v="1"/>
    <n v="2"/>
    <n v="3"/>
    <n v="5"/>
  </r>
  <r>
    <n v="497"/>
    <x v="497"/>
    <n v="1971"/>
    <x v="6"/>
    <x v="1"/>
    <x v="1"/>
    <n v="78642"/>
    <x v="2"/>
    <n v="0"/>
    <n v="1"/>
    <x v="2"/>
    <d v="2013-04-21T00:00:00"/>
    <s v="12 years, 2 months"/>
    <n v="83"/>
    <n v="0"/>
    <n v="35"/>
    <n v="35"/>
    <n v="4"/>
    <n v="4"/>
    <n v="8"/>
  </r>
  <r>
    <n v="498"/>
    <x v="498"/>
    <n v="1949"/>
    <x v="17"/>
    <x v="1"/>
    <x v="1"/>
    <n v="67911"/>
    <x v="0"/>
    <n v="0"/>
    <n v="1"/>
    <x v="2"/>
    <d v="2014-05-22T00:00:00"/>
    <s v="11 years, 1 months"/>
    <n v="63"/>
    <n v="0"/>
    <n v="28"/>
    <n v="28"/>
    <n v="6"/>
    <n v="11"/>
    <n v="17"/>
  </r>
  <r>
    <n v="499"/>
    <x v="499"/>
    <n v="1944"/>
    <x v="56"/>
    <x v="0"/>
    <x v="2"/>
    <n v="65275"/>
    <x v="0"/>
    <n v="0"/>
    <n v="0"/>
    <x v="0"/>
    <d v="2013-04-03T00:00:00"/>
    <s v="12 years, 3 months"/>
    <n v="9"/>
    <n v="14"/>
    <n v="14"/>
    <n v="28"/>
    <n v="4"/>
    <n v="13"/>
    <n v="17"/>
  </r>
  <r>
    <n v="500"/>
    <x v="500"/>
    <n v="1950"/>
    <x v="9"/>
    <x v="0"/>
    <x v="1"/>
    <n v="27203"/>
    <x v="0"/>
    <n v="1"/>
    <n v="1"/>
    <x v="1"/>
    <d v="2012-08-06T00:00:00"/>
    <s v="12 years, 11 months"/>
    <n v="92"/>
    <n v="2"/>
    <n v="0"/>
    <n v="2"/>
    <n v="1"/>
    <n v="2"/>
    <n v="3"/>
  </r>
  <r>
    <n v="501"/>
    <x v="501"/>
    <n v="1961"/>
    <x v="45"/>
    <x v="2"/>
    <x v="1"/>
    <n v="48330"/>
    <x v="0"/>
    <n v="0"/>
    <n v="1"/>
    <x v="2"/>
    <d v="2013-11-15T00:00:00"/>
    <s v="11 years, 7 months"/>
    <n v="2"/>
    <n v="0"/>
    <n v="0"/>
    <n v="0"/>
    <n v="1"/>
    <n v="3"/>
    <n v="4"/>
  </r>
  <r>
    <n v="502"/>
    <x v="502"/>
    <n v="1990"/>
    <x v="50"/>
    <x v="3"/>
    <x v="2"/>
    <n v="24279"/>
    <x v="1"/>
    <n v="0"/>
    <n v="0"/>
    <x v="0"/>
    <d v="2012-12-29T00:00:00"/>
    <s v="12 years, 6 months"/>
    <n v="6"/>
    <n v="36"/>
    <n v="62"/>
    <n v="98"/>
    <n v="4"/>
    <n v="3"/>
    <n v="7"/>
  </r>
  <r>
    <n v="503"/>
    <x v="503"/>
    <n v="1985"/>
    <x v="7"/>
    <x v="1"/>
    <x v="2"/>
    <n v="64355"/>
    <x v="0"/>
    <n v="1"/>
    <n v="0"/>
    <x v="2"/>
    <d v="2012-08-24T00:00:00"/>
    <s v="12 years, 10 months"/>
    <n v="66"/>
    <n v="0"/>
    <n v="38"/>
    <n v="38"/>
    <n v="4"/>
    <n v="12"/>
    <n v="16"/>
  </r>
  <r>
    <n v="504"/>
    <x v="504"/>
    <n v="1956"/>
    <x v="46"/>
    <x v="2"/>
    <x v="1"/>
    <n v="50943"/>
    <x v="0"/>
    <n v="0"/>
    <n v="1"/>
    <x v="2"/>
    <d v="2013-06-21T00:00:00"/>
    <s v="12 years, 0 months"/>
    <n v="49"/>
    <n v="0"/>
    <n v="0"/>
    <n v="0"/>
    <n v="1"/>
    <n v="3"/>
    <n v="4"/>
  </r>
  <r>
    <n v="505"/>
    <x v="505"/>
    <n v="1953"/>
    <x v="44"/>
    <x v="0"/>
    <x v="4"/>
    <n v="53653"/>
    <x v="0"/>
    <n v="0"/>
    <n v="0"/>
    <x v="0"/>
    <d v="2012-11-07T00:00:00"/>
    <s v="12 years, 7 months"/>
    <n v="29"/>
    <n v="10"/>
    <n v="10"/>
    <n v="20"/>
    <n v="10"/>
    <n v="12"/>
    <n v="22"/>
  </r>
  <r>
    <n v="506"/>
    <x v="506"/>
    <n v="1976"/>
    <x v="11"/>
    <x v="0"/>
    <x v="2"/>
    <n v="65665"/>
    <x v="0"/>
    <n v="0"/>
    <n v="1"/>
    <x v="2"/>
    <d v="2013-12-02T00:00:00"/>
    <s v="11 years, 7 months"/>
    <n v="77"/>
    <n v="162"/>
    <n v="36"/>
    <n v="198"/>
    <n v="5"/>
    <n v="8"/>
    <n v="13"/>
  </r>
  <r>
    <n v="507"/>
    <x v="507"/>
    <n v="1989"/>
    <x v="23"/>
    <x v="0"/>
    <x v="0"/>
    <n v="81217"/>
    <x v="2"/>
    <n v="0"/>
    <n v="0"/>
    <x v="0"/>
    <d v="2013-07-19T00:00:00"/>
    <s v="11 years, 11 months"/>
    <n v="77"/>
    <n v="70"/>
    <n v="40"/>
    <n v="110"/>
    <n v="3"/>
    <n v="11"/>
    <n v="14"/>
  </r>
  <r>
    <n v="508"/>
    <x v="508"/>
    <n v="1992"/>
    <x v="47"/>
    <x v="0"/>
    <x v="2"/>
    <n v="34935"/>
    <x v="0"/>
    <n v="0"/>
    <n v="0"/>
    <x v="0"/>
    <d v="2013-06-21T00:00:00"/>
    <s v="12 years, 0 months"/>
    <n v="71"/>
    <n v="4"/>
    <n v="10"/>
    <n v="14"/>
    <n v="2"/>
    <n v="4"/>
    <n v="6"/>
  </r>
  <r>
    <n v="509"/>
    <x v="509"/>
    <n v="1959"/>
    <x v="12"/>
    <x v="0"/>
    <x v="3"/>
    <n v="61250"/>
    <x v="0"/>
    <n v="0"/>
    <n v="1"/>
    <x v="2"/>
    <d v="2012-12-16T00:00:00"/>
    <s v="12 years, 6 months"/>
    <n v="49"/>
    <n v="138"/>
    <n v="26"/>
    <n v="164"/>
    <n v="5"/>
    <n v="12"/>
    <n v="17"/>
  </r>
  <r>
    <n v="510"/>
    <x v="510"/>
    <n v="1981"/>
    <x v="4"/>
    <x v="1"/>
    <x v="1"/>
    <n v="39665"/>
    <x v="0"/>
    <n v="1"/>
    <n v="0"/>
    <x v="2"/>
    <d v="2013-05-25T00:00:00"/>
    <s v="12 years, 1 months"/>
    <n v="97"/>
    <n v="1"/>
    <n v="1"/>
    <n v="2"/>
    <n v="4"/>
    <n v="3"/>
    <n v="7"/>
  </r>
  <r>
    <n v="511"/>
    <x v="511"/>
    <n v="1979"/>
    <x v="19"/>
    <x v="0"/>
    <x v="0"/>
    <n v="60152"/>
    <x v="0"/>
    <n v="0"/>
    <n v="1"/>
    <x v="2"/>
    <d v="2013-03-28T00:00:00"/>
    <s v="12 years, 3 months"/>
    <n v="6"/>
    <n v="83"/>
    <n v="58"/>
    <n v="141"/>
    <n v="6"/>
    <n v="12"/>
    <n v="18"/>
  </r>
  <r>
    <n v="512"/>
    <x v="512"/>
    <n v="1964"/>
    <x v="31"/>
    <x v="0"/>
    <x v="2"/>
    <n v="48920"/>
    <x v="0"/>
    <n v="0"/>
    <n v="2"/>
    <x v="1"/>
    <d v="2013-10-20T00:00:00"/>
    <s v="11 years, 8 months"/>
    <n v="93"/>
    <n v="17"/>
    <n v="10"/>
    <n v="27"/>
    <n v="6"/>
    <n v="5"/>
    <n v="11"/>
  </r>
  <r>
    <n v="513"/>
    <x v="513"/>
    <n v="1959"/>
    <x v="12"/>
    <x v="2"/>
    <x v="1"/>
    <n v="89120"/>
    <x v="2"/>
    <n v="0"/>
    <n v="0"/>
    <x v="0"/>
    <d v="2014-03-17T00:00:00"/>
    <s v="11 years, 3 months"/>
    <n v="78"/>
    <n v="92"/>
    <n v="129"/>
    <n v="221"/>
    <n v="5"/>
    <n v="7"/>
    <n v="12"/>
  </r>
  <r>
    <n v="514"/>
    <x v="514"/>
    <n v="1946"/>
    <x v="15"/>
    <x v="1"/>
    <x v="1"/>
    <n v="44124"/>
    <x v="0"/>
    <n v="0"/>
    <n v="1"/>
    <x v="2"/>
    <d v="2013-05-11T00:00:00"/>
    <s v="12 years, 1 months"/>
    <n v="62"/>
    <n v="0"/>
    <n v="6"/>
    <n v="6"/>
    <n v="6"/>
    <n v="5"/>
    <n v="11"/>
  </r>
  <r>
    <n v="515"/>
    <x v="515"/>
    <n v="1975"/>
    <x v="28"/>
    <x v="2"/>
    <x v="0"/>
    <n v="81169"/>
    <x v="2"/>
    <n v="0"/>
    <n v="0"/>
    <x v="0"/>
    <d v="2013-04-14T00:00:00"/>
    <s v="12 years, 2 months"/>
    <n v="47"/>
    <n v="20"/>
    <n v="61"/>
    <n v="81"/>
    <n v="5"/>
    <n v="9"/>
    <n v="14"/>
  </r>
  <r>
    <n v="516"/>
    <x v="516"/>
    <n v="1961"/>
    <x v="45"/>
    <x v="0"/>
    <x v="2"/>
    <n v="36443"/>
    <x v="0"/>
    <n v="1"/>
    <n v="1"/>
    <x v="1"/>
    <d v="2013-02-03T00:00:00"/>
    <s v="12 years, 5 months"/>
    <n v="9"/>
    <n v="0"/>
    <n v="3"/>
    <n v="3"/>
    <n v="3"/>
    <n v="3"/>
    <n v="6"/>
  </r>
  <r>
    <n v="517"/>
    <x v="517"/>
    <n v="1990"/>
    <x v="50"/>
    <x v="0"/>
    <x v="0"/>
    <n v="26095"/>
    <x v="0"/>
    <n v="1"/>
    <n v="0"/>
    <x v="2"/>
    <d v="2013-06-30T00:00:00"/>
    <s v="12 years, 0 months"/>
    <n v="77"/>
    <n v="7"/>
    <n v="1"/>
    <n v="8"/>
    <n v="1"/>
    <n v="3"/>
    <n v="4"/>
  </r>
  <r>
    <n v="518"/>
    <x v="518"/>
    <n v="1959"/>
    <x v="12"/>
    <x v="0"/>
    <x v="1"/>
    <n v="71367"/>
    <x v="0"/>
    <n v="0"/>
    <n v="0"/>
    <x v="0"/>
    <d v="2013-08-23T00:00:00"/>
    <s v="11 years, 10 months"/>
    <n v="24"/>
    <n v="23"/>
    <n v="21"/>
    <n v="44"/>
    <n v="4"/>
    <n v="7"/>
    <n v="11"/>
  </r>
  <r>
    <n v="519"/>
    <x v="519"/>
    <n v="1944"/>
    <x v="56"/>
    <x v="2"/>
    <x v="2"/>
    <n v="80184"/>
    <x v="2"/>
    <n v="0"/>
    <n v="0"/>
    <x v="0"/>
    <d v="2014-03-01T00:00:00"/>
    <s v="11 years, 4 months"/>
    <n v="19"/>
    <n v="134"/>
    <n v="38"/>
    <n v="172"/>
    <n v="6"/>
    <n v="10"/>
    <n v="16"/>
  </r>
  <r>
    <n v="520"/>
    <x v="520"/>
    <n v="1965"/>
    <x v="2"/>
    <x v="0"/>
    <x v="3"/>
    <n v="30630"/>
    <x v="0"/>
    <n v="1"/>
    <n v="1"/>
    <x v="1"/>
    <d v="2014-01-27T00:00:00"/>
    <s v="11 years, 5 months"/>
    <n v="67"/>
    <n v="1"/>
    <n v="0"/>
    <n v="1"/>
    <n v="2"/>
    <n v="3"/>
    <n v="5"/>
  </r>
  <r>
    <n v="521"/>
    <x v="521"/>
    <n v="1987"/>
    <x v="14"/>
    <x v="2"/>
    <x v="0"/>
    <n v="73454"/>
    <x v="0"/>
    <n v="0"/>
    <n v="0"/>
    <x v="0"/>
    <d v="2014-03-01T00:00:00"/>
    <s v="11 years, 4 months"/>
    <n v="95"/>
    <n v="73"/>
    <n v="14"/>
    <n v="87"/>
    <n v="2"/>
    <n v="6"/>
    <n v="8"/>
  </r>
  <r>
    <n v="522"/>
    <x v="522"/>
    <n v="1991"/>
    <x v="42"/>
    <x v="0"/>
    <x v="2"/>
    <n v="42691"/>
    <x v="0"/>
    <n v="0"/>
    <n v="0"/>
    <x v="0"/>
    <d v="2013-08-16T00:00:00"/>
    <s v="11 years, 10 months"/>
    <n v="48"/>
    <n v="2"/>
    <n v="17"/>
    <n v="19"/>
    <n v="5"/>
    <n v="6"/>
    <n v="11"/>
  </r>
  <r>
    <n v="523"/>
    <x v="523"/>
    <n v="1953"/>
    <x v="44"/>
    <x v="0"/>
    <x v="2"/>
    <n v="70503"/>
    <x v="0"/>
    <n v="0"/>
    <n v="0"/>
    <x v="0"/>
    <d v="2012-09-30T00:00:00"/>
    <s v="12 years, 9 months"/>
    <n v="73"/>
    <n v="33"/>
    <n v="33"/>
    <n v="66"/>
    <n v="2"/>
    <n v="9"/>
    <n v="11"/>
  </r>
  <r>
    <n v="524"/>
    <x v="524"/>
    <n v="1987"/>
    <x v="14"/>
    <x v="0"/>
    <x v="2"/>
    <n v="25545"/>
    <x v="0"/>
    <n v="1"/>
    <n v="0"/>
    <x v="2"/>
    <d v="2012-09-08T00:00:00"/>
    <s v="12 years, 9 months"/>
    <n v="35"/>
    <n v="1"/>
    <n v="12"/>
    <n v="13"/>
    <n v="2"/>
    <n v="3"/>
    <n v="5"/>
  </r>
  <r>
    <n v="525"/>
    <x v="525"/>
    <n v="1986"/>
    <x v="22"/>
    <x v="0"/>
    <x v="2"/>
    <n v="32880"/>
    <x v="0"/>
    <n v="1"/>
    <n v="0"/>
    <x v="2"/>
    <d v="2012-12-04T00:00:00"/>
    <s v="12 years, 7 months"/>
    <n v="76"/>
    <n v="4"/>
    <n v="6"/>
    <n v="10"/>
    <n v="1"/>
    <n v="3"/>
    <n v="4"/>
  </r>
  <r>
    <n v="526"/>
    <x v="526"/>
    <n v="1958"/>
    <x v="38"/>
    <x v="1"/>
    <x v="1"/>
    <n v="77863"/>
    <x v="2"/>
    <n v="0"/>
    <n v="0"/>
    <x v="0"/>
    <d v="2013-11-27T00:00:00"/>
    <s v="11 years, 7 months"/>
    <n v="20"/>
    <n v="38"/>
    <n v="25"/>
    <n v="63"/>
    <n v="4"/>
    <n v="10"/>
    <n v="14"/>
  </r>
  <r>
    <n v="527"/>
    <x v="527"/>
    <n v="1977"/>
    <x v="32"/>
    <x v="2"/>
    <x v="2"/>
    <n v="50353"/>
    <x v="0"/>
    <n v="0"/>
    <n v="0"/>
    <x v="0"/>
    <d v="2014-06-08T00:00:00"/>
    <s v="11 years, 0 months"/>
    <n v="72"/>
    <n v="15"/>
    <n v="31"/>
    <n v="46"/>
    <n v="4"/>
    <n v="6"/>
    <n v="10"/>
  </r>
  <r>
    <n v="528"/>
    <x v="528"/>
    <n v="1964"/>
    <x v="31"/>
    <x v="0"/>
    <x v="0"/>
    <n v="61839"/>
    <x v="0"/>
    <n v="0"/>
    <n v="0"/>
    <x v="0"/>
    <d v="2012-08-12T00:00:00"/>
    <s v="12 years, 10 months"/>
    <n v="20"/>
    <n v="155"/>
    <n v="17"/>
    <n v="172"/>
    <n v="4"/>
    <n v="4"/>
    <n v="8"/>
  </r>
  <r>
    <n v="529"/>
    <x v="529"/>
    <n v="1960"/>
    <x v="40"/>
    <x v="1"/>
    <x v="2"/>
    <n v="49154"/>
    <x v="0"/>
    <n v="1"/>
    <n v="1"/>
    <x v="1"/>
    <d v="2013-11-03T00:00:00"/>
    <s v="11 years, 8 months"/>
    <n v="69"/>
    <n v="10"/>
    <n v="27"/>
    <n v="37"/>
    <n v="4"/>
    <n v="8"/>
    <n v="12"/>
  </r>
  <r>
    <n v="530"/>
    <x v="530"/>
    <n v="1975"/>
    <x v="28"/>
    <x v="4"/>
    <x v="4"/>
    <n v="47682"/>
    <x v="0"/>
    <n v="0"/>
    <n v="1"/>
    <x v="2"/>
    <d v="2013-02-15T00:00:00"/>
    <s v="12 years, 4 months"/>
    <n v="80"/>
    <n v="61"/>
    <n v="57"/>
    <n v="118"/>
    <n v="4"/>
    <n v="8"/>
    <n v="12"/>
  </r>
  <r>
    <n v="531"/>
    <x v="531"/>
    <n v="1969"/>
    <x v="21"/>
    <x v="0"/>
    <x v="0"/>
    <n v="72679"/>
    <x v="0"/>
    <n v="0"/>
    <n v="1"/>
    <x v="2"/>
    <d v="2013-09-18T00:00:00"/>
    <s v="11 years, 9 months"/>
    <n v="65"/>
    <n v="54"/>
    <n v="54"/>
    <n v="108"/>
    <n v="4"/>
    <n v="5"/>
    <n v="9"/>
  </r>
  <r>
    <n v="532"/>
    <x v="532"/>
    <n v="1977"/>
    <x v="32"/>
    <x v="2"/>
    <x v="1"/>
    <n v="57954"/>
    <x v="0"/>
    <n v="1"/>
    <n v="1"/>
    <x v="1"/>
    <d v="2014-06-18T00:00:00"/>
    <s v="11 years, 0 months"/>
    <n v="52"/>
    <n v="4"/>
    <n v="0"/>
    <n v="4"/>
    <n v="8"/>
    <n v="6"/>
    <n v="14"/>
  </r>
  <r>
    <n v="533"/>
    <x v="533"/>
    <n v="1962"/>
    <x v="43"/>
    <x v="0"/>
    <x v="2"/>
    <n v="65316"/>
    <x v="0"/>
    <n v="1"/>
    <n v="1"/>
    <x v="1"/>
    <d v="2013-04-24T00:00:00"/>
    <s v="12 years, 2 months"/>
    <n v="65"/>
    <n v="6"/>
    <n v="9"/>
    <n v="15"/>
    <n v="3"/>
    <n v="5"/>
    <n v="8"/>
  </r>
  <r>
    <n v="534"/>
    <x v="534"/>
    <n v="1982"/>
    <x v="18"/>
    <x v="0"/>
    <x v="0"/>
    <n v="28567"/>
    <x v="0"/>
    <n v="1"/>
    <n v="0"/>
    <x v="2"/>
    <d v="2013-06-17T00:00:00"/>
    <s v="12 years, 0 months"/>
    <n v="57"/>
    <n v="3"/>
    <n v="2"/>
    <n v="5"/>
    <n v="2"/>
    <n v="3"/>
    <n v="5"/>
  </r>
  <r>
    <n v="535"/>
    <x v="535"/>
    <n v="1951"/>
    <x v="20"/>
    <x v="2"/>
    <x v="1"/>
    <n v="47352"/>
    <x v="0"/>
    <n v="0"/>
    <n v="1"/>
    <x v="2"/>
    <d v="2013-04-11T00:00:00"/>
    <s v="12 years, 2 months"/>
    <n v="70"/>
    <n v="12"/>
    <n v="0"/>
    <n v="12"/>
    <n v="6"/>
    <n v="5"/>
    <n v="11"/>
  </r>
  <r>
    <n v="536"/>
    <x v="536"/>
    <n v="1967"/>
    <x v="5"/>
    <x v="0"/>
    <x v="1"/>
    <n v="44931"/>
    <x v="0"/>
    <n v="0"/>
    <n v="1"/>
    <x v="2"/>
    <d v="2014-01-18T00:00:00"/>
    <s v="11 years, 5 months"/>
    <n v="0"/>
    <n v="0"/>
    <n v="0"/>
    <n v="0"/>
    <n v="2"/>
    <n v="3"/>
    <n v="5"/>
  </r>
  <r>
    <n v="537"/>
    <x v="537"/>
    <n v="1967"/>
    <x v="5"/>
    <x v="0"/>
    <x v="3"/>
    <n v="76982"/>
    <x v="2"/>
    <n v="0"/>
    <n v="0"/>
    <x v="0"/>
    <d v="2014-02-15T00:00:00"/>
    <s v="11 years, 4 months"/>
    <n v="19"/>
    <n v="151"/>
    <n v="60"/>
    <n v="211"/>
    <n v="8"/>
    <n v="4"/>
    <n v="12"/>
  </r>
  <r>
    <n v="538"/>
    <x v="538"/>
    <n v="1952"/>
    <x v="13"/>
    <x v="4"/>
    <x v="1"/>
    <n v="57247"/>
    <x v="0"/>
    <n v="0"/>
    <n v="1"/>
    <x v="2"/>
    <d v="2013-08-08T00:00:00"/>
    <s v="11 years, 10 months"/>
    <n v="50"/>
    <n v="4"/>
    <n v="54"/>
    <n v="58"/>
    <n v="2"/>
    <n v="7"/>
    <n v="9"/>
  </r>
  <r>
    <n v="539"/>
    <x v="539"/>
    <n v="1981"/>
    <x v="4"/>
    <x v="2"/>
    <x v="0"/>
    <n v="22944"/>
    <x v="1"/>
    <n v="1"/>
    <n v="0"/>
    <x v="2"/>
    <d v="2013-12-23T00:00:00"/>
    <s v="11 years, 6 months"/>
    <n v="67"/>
    <n v="3"/>
    <n v="5"/>
    <n v="8"/>
    <n v="3"/>
    <n v="3"/>
    <n v="6"/>
  </r>
  <r>
    <n v="540"/>
    <x v="540"/>
    <n v="1977"/>
    <x v="32"/>
    <x v="4"/>
    <x v="1"/>
    <n v="25315"/>
    <x v="0"/>
    <n v="1"/>
    <n v="0"/>
    <x v="2"/>
    <d v="2013-11-07T00:00:00"/>
    <s v="11 years, 7 months"/>
    <n v="46"/>
    <n v="9"/>
    <n v="3"/>
    <n v="12"/>
    <n v="3"/>
    <n v="3"/>
    <n v="6"/>
  </r>
  <r>
    <n v="541"/>
    <x v="541"/>
    <n v="1969"/>
    <x v="21"/>
    <x v="0"/>
    <x v="4"/>
    <n v="43638"/>
    <x v="0"/>
    <n v="0"/>
    <n v="1"/>
    <x v="2"/>
    <d v="2012-08-06T00:00:00"/>
    <s v="12 years, 11 months"/>
    <n v="37"/>
    <n v="10"/>
    <n v="19"/>
    <n v="29"/>
    <n v="4"/>
    <n v="4"/>
    <n v="8"/>
  </r>
  <r>
    <n v="542"/>
    <x v="542"/>
    <n v="1984"/>
    <x v="3"/>
    <x v="1"/>
    <x v="0"/>
    <n v="42710"/>
    <x v="0"/>
    <n v="1"/>
    <n v="0"/>
    <x v="2"/>
    <d v="2012-11-28T00:00:00"/>
    <s v="12 years, 7 months"/>
    <n v="38"/>
    <n v="3"/>
    <n v="3"/>
    <n v="6"/>
    <n v="4"/>
    <n v="3"/>
    <n v="7"/>
  </r>
  <r>
    <n v="543"/>
    <x v="543"/>
    <n v="1982"/>
    <x v="18"/>
    <x v="1"/>
    <x v="2"/>
    <n v="84169"/>
    <x v="2"/>
    <n v="0"/>
    <n v="0"/>
    <x v="0"/>
    <d v="2013-08-07T00:00:00"/>
    <s v="11 years, 10 months"/>
    <n v="9"/>
    <n v="19"/>
    <n v="19"/>
    <n v="38"/>
    <n v="7"/>
    <n v="6"/>
    <n v="13"/>
  </r>
  <r>
    <n v="544"/>
    <x v="544"/>
    <n v="1976"/>
    <x v="11"/>
    <x v="0"/>
    <x v="1"/>
    <n v="54058"/>
    <x v="0"/>
    <n v="0"/>
    <n v="1"/>
    <x v="2"/>
    <d v="2013-06-04T00:00:00"/>
    <s v="12 years, 1 months"/>
    <n v="56"/>
    <n v="18"/>
    <n v="108"/>
    <n v="126"/>
    <n v="4"/>
    <n v="8"/>
    <n v="12"/>
  </r>
  <r>
    <n v="545"/>
    <x v="545"/>
    <n v="1990"/>
    <x v="50"/>
    <x v="4"/>
    <x v="2"/>
    <n v="24683"/>
    <x v="1"/>
    <n v="1"/>
    <n v="0"/>
    <x v="2"/>
    <d v="2014-03-08T00:00:00"/>
    <s v="11 years, 3 months"/>
    <n v="98"/>
    <n v="4"/>
    <n v="7"/>
    <n v="11"/>
    <n v="2"/>
    <n v="4"/>
    <n v="6"/>
  </r>
  <r>
    <n v="546"/>
    <x v="546"/>
    <n v="1964"/>
    <x v="31"/>
    <x v="0"/>
    <x v="4"/>
    <n v="85620"/>
    <x v="2"/>
    <n v="0"/>
    <n v="0"/>
    <x v="0"/>
    <d v="2014-01-07T00:00:00"/>
    <s v="11 years, 5 months"/>
    <n v="68"/>
    <n v="46"/>
    <n v="107"/>
    <n v="153"/>
    <n v="3"/>
    <n v="4"/>
    <n v="7"/>
  </r>
  <r>
    <n v="547"/>
    <x v="547"/>
    <n v="1980"/>
    <x v="16"/>
    <x v="0"/>
    <x v="2"/>
    <n v="47850"/>
    <x v="0"/>
    <n v="1"/>
    <n v="0"/>
    <x v="2"/>
    <d v="2013-12-03T00:00:00"/>
    <s v="11 years, 7 months"/>
    <n v="72"/>
    <n v="7"/>
    <n v="12"/>
    <n v="19"/>
    <n v="3"/>
    <n v="4"/>
    <n v="7"/>
  </r>
  <r>
    <n v="548"/>
    <x v="548"/>
    <n v="1968"/>
    <x v="30"/>
    <x v="0"/>
    <x v="2"/>
    <n v="19514"/>
    <x v="1"/>
    <n v="1"/>
    <n v="1"/>
    <x v="1"/>
    <d v="2014-01-26T00:00:00"/>
    <s v="11 years, 5 months"/>
    <n v="47"/>
    <n v="3"/>
    <n v="1"/>
    <n v="4"/>
    <n v="3"/>
    <n v="2"/>
    <n v="5"/>
  </r>
  <r>
    <n v="549"/>
    <x v="549"/>
    <n v="1973"/>
    <x v="26"/>
    <x v="2"/>
    <x v="2"/>
    <n v="27159"/>
    <x v="0"/>
    <n v="1"/>
    <n v="1"/>
    <x v="1"/>
    <d v="2014-03-29T00:00:00"/>
    <s v="11 years, 3 months"/>
    <n v="33"/>
    <n v="0"/>
    <n v="0"/>
    <n v="0"/>
    <n v="1"/>
    <n v="3"/>
    <n v="4"/>
  </r>
  <r>
    <n v="550"/>
    <x v="550"/>
    <n v="1963"/>
    <x v="24"/>
    <x v="4"/>
    <x v="0"/>
    <n v="39548"/>
    <x v="0"/>
    <n v="1"/>
    <n v="1"/>
    <x v="1"/>
    <d v="2014-03-31T00:00:00"/>
    <s v="11 years, 3 months"/>
    <n v="87"/>
    <n v="4"/>
    <n v="4"/>
    <n v="8"/>
    <n v="1"/>
    <n v="3"/>
    <n v="4"/>
  </r>
  <r>
    <n v="551"/>
    <x v="551"/>
    <n v="1989"/>
    <x v="23"/>
    <x v="0"/>
    <x v="0"/>
    <n v="21474"/>
    <x v="1"/>
    <n v="1"/>
    <n v="0"/>
    <x v="2"/>
    <d v="2014-04-08T00:00:00"/>
    <s v="11 years, 2 months"/>
    <n v="0"/>
    <n v="16"/>
    <n v="0"/>
    <n v="16"/>
    <n v="3"/>
    <n v="2"/>
    <n v="5"/>
  </r>
  <r>
    <n v="552"/>
    <x v="552"/>
    <n v="1971"/>
    <x v="6"/>
    <x v="1"/>
    <x v="0"/>
    <n v="60504"/>
    <x v="0"/>
    <n v="0"/>
    <n v="1"/>
    <x v="2"/>
    <d v="2014-02-07T00:00:00"/>
    <s v="11 years, 4 months"/>
    <n v="73"/>
    <n v="0"/>
    <n v="4"/>
    <n v="4"/>
    <n v="6"/>
    <n v="8"/>
    <n v="14"/>
  </r>
  <r>
    <n v="553"/>
    <x v="553"/>
    <n v="1963"/>
    <x v="24"/>
    <x v="0"/>
    <x v="2"/>
    <n v="22419"/>
    <x v="1"/>
    <n v="0"/>
    <n v="0"/>
    <x v="0"/>
    <d v="2013-04-18T00:00:00"/>
    <s v="12 years, 2 months"/>
    <n v="74"/>
    <n v="3"/>
    <n v="21"/>
    <n v="24"/>
    <n v="3"/>
    <n v="2"/>
    <n v="5"/>
  </r>
  <r>
    <n v="554"/>
    <x v="554"/>
    <n v="1949"/>
    <x v="17"/>
    <x v="2"/>
    <x v="2"/>
    <n v="81698"/>
    <x v="2"/>
    <n v="0"/>
    <n v="0"/>
    <x v="0"/>
    <d v="2013-11-06T00:00:00"/>
    <s v="11 years, 8 months"/>
    <n v="4"/>
    <n v="28"/>
    <n v="123"/>
    <n v="151"/>
    <n v="3"/>
    <n v="13"/>
    <n v="16"/>
  </r>
  <r>
    <n v="555"/>
    <x v="555"/>
    <n v="1952"/>
    <x v="13"/>
    <x v="0"/>
    <x v="1"/>
    <n v="43462"/>
    <x v="0"/>
    <n v="1"/>
    <n v="1"/>
    <x v="1"/>
    <d v="2012-09-12T00:00:00"/>
    <s v="12 years, 9 months"/>
    <n v="50"/>
    <n v="17"/>
    <n v="6"/>
    <n v="23"/>
    <n v="4"/>
    <n v="5"/>
    <n v="9"/>
  </r>
  <r>
    <n v="556"/>
    <x v="556"/>
    <n v="1978"/>
    <x v="33"/>
    <x v="1"/>
    <x v="0"/>
    <n v="54880"/>
    <x v="0"/>
    <n v="1"/>
    <n v="0"/>
    <x v="2"/>
    <d v="2013-03-01T00:00:00"/>
    <s v="12 years, 4 months"/>
    <n v="57"/>
    <n v="85"/>
    <n v="45"/>
    <n v="130"/>
    <n v="6"/>
    <n v="11"/>
    <n v="17"/>
  </r>
  <r>
    <n v="557"/>
    <x v="557"/>
    <n v="1982"/>
    <x v="18"/>
    <x v="0"/>
    <x v="2"/>
    <n v="79908"/>
    <x v="2"/>
    <n v="0"/>
    <n v="0"/>
    <x v="0"/>
    <d v="2013-04-05T00:00:00"/>
    <s v="12 years, 3 months"/>
    <n v="30"/>
    <n v="129"/>
    <n v="185"/>
    <n v="314"/>
    <n v="5"/>
    <n v="7"/>
    <n v="12"/>
  </r>
  <r>
    <n v="558"/>
    <x v="558"/>
    <n v="1970"/>
    <x v="25"/>
    <x v="4"/>
    <x v="2"/>
    <n v="15315"/>
    <x v="1"/>
    <n v="0"/>
    <n v="0"/>
    <x v="0"/>
    <d v="2013-08-03T00:00:00"/>
    <s v="11 years, 11 months"/>
    <n v="27"/>
    <n v="4"/>
    <n v="8"/>
    <n v="12"/>
    <n v="2"/>
    <n v="4"/>
    <n v="6"/>
  </r>
  <r>
    <n v="559"/>
    <x v="559"/>
    <n v="1959"/>
    <x v="12"/>
    <x v="0"/>
    <x v="1"/>
    <n v="87771"/>
    <x v="2"/>
    <n v="0"/>
    <n v="1"/>
    <x v="2"/>
    <d v="2013-05-22T00:00:00"/>
    <s v="12 years, 1 months"/>
    <n v="61"/>
    <n v="38"/>
    <n v="57"/>
    <n v="95"/>
    <n v="5"/>
    <n v="4"/>
    <n v="9"/>
  </r>
  <r>
    <n v="560"/>
    <x v="560"/>
    <n v="1978"/>
    <x v="33"/>
    <x v="0"/>
    <x v="2"/>
    <n v="33039"/>
    <x v="0"/>
    <n v="1"/>
    <n v="0"/>
    <x v="2"/>
    <d v="2013-09-09T00:00:00"/>
    <s v="11 years, 9 months"/>
    <n v="4"/>
    <n v="8"/>
    <n v="8"/>
    <n v="16"/>
    <n v="2"/>
    <n v="4"/>
    <n v="6"/>
  </r>
  <r>
    <n v="561"/>
    <x v="561"/>
    <n v="1980"/>
    <x v="16"/>
    <x v="0"/>
    <x v="0"/>
    <n v="81741"/>
    <x v="2"/>
    <n v="0"/>
    <n v="0"/>
    <x v="0"/>
    <d v="2013-06-16T00:00:00"/>
    <s v="12 years, 0 months"/>
    <n v="75"/>
    <n v="153"/>
    <n v="134"/>
    <n v="287"/>
    <n v="6"/>
    <n v="7"/>
    <n v="13"/>
  </r>
  <r>
    <n v="562"/>
    <x v="562"/>
    <n v="1971"/>
    <x v="6"/>
    <x v="2"/>
    <x v="1"/>
    <n v="71499"/>
    <x v="0"/>
    <n v="0"/>
    <n v="1"/>
    <x v="2"/>
    <d v="2013-06-25T00:00:00"/>
    <s v="12 years, 0 months"/>
    <n v="12"/>
    <n v="25"/>
    <n v="0"/>
    <n v="25"/>
    <n v="8"/>
    <n v="13"/>
    <n v="21"/>
  </r>
  <r>
    <n v="563"/>
    <x v="563"/>
    <n v="1970"/>
    <x v="25"/>
    <x v="4"/>
    <x v="2"/>
    <n v="62466"/>
    <x v="0"/>
    <n v="0"/>
    <n v="1"/>
    <x v="2"/>
    <d v="2014-01-15T00:00:00"/>
    <s v="11 years, 5 months"/>
    <n v="13"/>
    <n v="129"/>
    <n v="121"/>
    <n v="250"/>
    <n v="6"/>
    <n v="12"/>
    <n v="18"/>
  </r>
  <r>
    <n v="564"/>
    <x v="564"/>
    <n v="1963"/>
    <x v="24"/>
    <x v="1"/>
    <x v="3"/>
    <n v="48799"/>
    <x v="0"/>
    <n v="0"/>
    <n v="1"/>
    <x v="2"/>
    <d v="2013-11-05T00:00:00"/>
    <s v="11 years, 8 months"/>
    <n v="9"/>
    <n v="18"/>
    <n v="6"/>
    <n v="24"/>
    <n v="3"/>
    <n v="7"/>
    <n v="10"/>
  </r>
  <r>
    <n v="565"/>
    <x v="565"/>
    <n v="1950"/>
    <x v="9"/>
    <x v="1"/>
    <x v="1"/>
    <n v="52157"/>
    <x v="0"/>
    <n v="0"/>
    <n v="1"/>
    <x v="2"/>
    <d v="2014-06-07T00:00:00"/>
    <s v="11 years, 0 months"/>
    <n v="48"/>
    <n v="2"/>
    <n v="2"/>
    <n v="4"/>
    <n v="3"/>
    <n v="5"/>
    <n v="8"/>
  </r>
  <r>
    <n v="566"/>
    <x v="566"/>
    <n v="1962"/>
    <x v="43"/>
    <x v="0"/>
    <x v="0"/>
    <n v="66565"/>
    <x v="0"/>
    <n v="0"/>
    <n v="1"/>
    <x v="2"/>
    <d v="2012-12-05T00:00:00"/>
    <s v="12 years, 7 months"/>
    <n v="80"/>
    <n v="10"/>
    <n v="40"/>
    <n v="50"/>
    <n v="4"/>
    <n v="9"/>
    <n v="13"/>
  </r>
  <r>
    <n v="567"/>
    <x v="567"/>
    <n v="1951"/>
    <x v="20"/>
    <x v="2"/>
    <x v="1"/>
    <n v="29298"/>
    <x v="0"/>
    <n v="1"/>
    <n v="1"/>
    <x v="1"/>
    <d v="2013-09-07T00:00:00"/>
    <s v="11 years, 9 months"/>
    <n v="60"/>
    <n v="0"/>
    <n v="0"/>
    <n v="0"/>
    <n v="1"/>
    <n v="2"/>
    <n v="3"/>
  </r>
  <r>
    <n v="568"/>
    <x v="568"/>
    <n v="1979"/>
    <x v="19"/>
    <x v="0"/>
    <x v="0"/>
    <n v="47691"/>
    <x v="0"/>
    <n v="0"/>
    <n v="1"/>
    <x v="2"/>
    <d v="2013-07-05T00:00:00"/>
    <s v="12 years, 0 months"/>
    <n v="43"/>
    <n v="0"/>
    <n v="0"/>
    <n v="0"/>
    <n v="1"/>
    <n v="2"/>
    <n v="3"/>
  </r>
  <r>
    <n v="569"/>
    <x v="569"/>
    <n v="1970"/>
    <x v="25"/>
    <x v="0"/>
    <x v="1"/>
    <n v="38200"/>
    <x v="0"/>
    <n v="1"/>
    <n v="1"/>
    <x v="1"/>
    <d v="2012-12-07T00:00:00"/>
    <s v="12 years, 6 months"/>
    <n v="19"/>
    <n v="0"/>
    <n v="0"/>
    <n v="0"/>
    <n v="1"/>
    <n v="2"/>
    <n v="3"/>
  </r>
  <r>
    <n v="570"/>
    <x v="570"/>
    <n v="1974"/>
    <x v="8"/>
    <x v="0"/>
    <x v="2"/>
    <n v="44989"/>
    <x v="0"/>
    <n v="0"/>
    <n v="1"/>
    <x v="2"/>
    <d v="2012-09-12T00:00:00"/>
    <s v="12 years, 9 months"/>
    <n v="26"/>
    <n v="0"/>
    <n v="10"/>
    <n v="10"/>
    <n v="5"/>
    <n v="5"/>
    <n v="10"/>
  </r>
  <r>
    <n v="571"/>
    <x v="571"/>
    <n v="1968"/>
    <x v="30"/>
    <x v="1"/>
    <x v="2"/>
    <n v="38443"/>
    <x v="0"/>
    <n v="1"/>
    <n v="1"/>
    <x v="1"/>
    <d v="2014-01-27T00:00:00"/>
    <s v="11 years, 5 months"/>
    <n v="58"/>
    <n v="0"/>
    <n v="0"/>
    <n v="0"/>
    <n v="1"/>
    <n v="3"/>
    <n v="4"/>
  </r>
  <r>
    <n v="572"/>
    <x v="572"/>
    <n v="1978"/>
    <x v="33"/>
    <x v="4"/>
    <x v="0"/>
    <n v="38593"/>
    <x v="0"/>
    <n v="1"/>
    <n v="0"/>
    <x v="2"/>
    <d v="2013-09-13T00:00:00"/>
    <s v="11 years, 9 months"/>
    <n v="42"/>
    <n v="12"/>
    <n v="24"/>
    <n v="36"/>
    <n v="4"/>
    <n v="3"/>
    <n v="7"/>
  </r>
  <r>
    <n v="573"/>
    <x v="573"/>
    <n v="1970"/>
    <x v="25"/>
    <x v="1"/>
    <x v="1"/>
    <n v="64413"/>
    <x v="0"/>
    <n v="0"/>
    <n v="1"/>
    <x v="2"/>
    <d v="2013-08-01T00:00:00"/>
    <s v="11 years, 11 months"/>
    <n v="27"/>
    <n v="5"/>
    <n v="10"/>
    <n v="15"/>
    <n v="5"/>
    <n v="5"/>
    <n v="10"/>
  </r>
  <r>
    <n v="574"/>
    <x v="574"/>
    <n v="1981"/>
    <x v="4"/>
    <x v="2"/>
    <x v="2"/>
    <n v="36959"/>
    <x v="0"/>
    <n v="1"/>
    <n v="0"/>
    <x v="2"/>
    <d v="2013-10-02T00:00:00"/>
    <s v="11 years, 9 months"/>
    <n v="56"/>
    <n v="6"/>
    <n v="0"/>
    <n v="6"/>
    <n v="2"/>
    <n v="3"/>
    <n v="5"/>
  </r>
  <r>
    <n v="575"/>
    <x v="575"/>
    <n v="1977"/>
    <x v="32"/>
    <x v="1"/>
    <x v="2"/>
    <n v="61996"/>
    <x v="0"/>
    <n v="0"/>
    <n v="1"/>
    <x v="2"/>
    <d v="2013-01-31T00:00:00"/>
    <s v="12 years, 5 months"/>
    <n v="27"/>
    <n v="12"/>
    <n v="0"/>
    <n v="12"/>
    <n v="6"/>
    <n v="8"/>
    <n v="14"/>
  </r>
  <r>
    <n v="576"/>
    <x v="576"/>
    <n v="1968"/>
    <x v="30"/>
    <x v="0"/>
    <x v="2"/>
    <n v="51287"/>
    <x v="0"/>
    <n v="1"/>
    <n v="1"/>
    <x v="1"/>
    <d v="2014-04-01T00:00:00"/>
    <s v="11 years, 3 months"/>
    <n v="10"/>
    <n v="0"/>
    <n v="0"/>
    <n v="0"/>
    <n v="4"/>
    <n v="3"/>
    <n v="7"/>
  </r>
  <r>
    <n v="577"/>
    <x v="577"/>
    <n v="1970"/>
    <x v="25"/>
    <x v="0"/>
    <x v="2"/>
    <n v="13260"/>
    <x v="1"/>
    <n v="1"/>
    <n v="1"/>
    <x v="1"/>
    <d v="2013-08-23T00:00:00"/>
    <s v="11 years, 10 months"/>
    <n v="48"/>
    <n v="4"/>
    <n v="2"/>
    <n v="6"/>
    <n v="3"/>
    <n v="3"/>
    <n v="6"/>
  </r>
  <r>
    <n v="578"/>
    <x v="578"/>
    <n v="1966"/>
    <x v="35"/>
    <x v="1"/>
    <x v="1"/>
    <n v="47472"/>
    <x v="0"/>
    <n v="1"/>
    <n v="1"/>
    <x v="1"/>
    <d v="2013-09-16T00:00:00"/>
    <s v="11 years, 9 months"/>
    <n v="39"/>
    <n v="0"/>
    <n v="0"/>
    <n v="0"/>
    <n v="2"/>
    <n v="4"/>
    <n v="6"/>
  </r>
  <r>
    <n v="579"/>
    <x v="579"/>
    <n v="1956"/>
    <x v="46"/>
    <x v="2"/>
    <x v="1"/>
    <n v="54603"/>
    <x v="0"/>
    <n v="1"/>
    <n v="1"/>
    <x v="1"/>
    <d v="2013-07-09T00:00:00"/>
    <s v="11 years, 11 months"/>
    <n v="85"/>
    <n v="13"/>
    <n v="2"/>
    <n v="15"/>
    <n v="4"/>
    <n v="4"/>
    <n v="8"/>
  </r>
  <r>
    <n v="580"/>
    <x v="580"/>
    <n v="1974"/>
    <x v="8"/>
    <x v="1"/>
    <x v="2"/>
    <n v="45207"/>
    <x v="0"/>
    <n v="1"/>
    <n v="1"/>
    <x v="1"/>
    <d v="2012-11-10T00:00:00"/>
    <s v="12 years, 7 months"/>
    <n v="64"/>
    <n v="0"/>
    <n v="0"/>
    <n v="0"/>
    <n v="3"/>
    <n v="6"/>
    <n v="9"/>
  </r>
  <r>
    <n v="581"/>
    <x v="581"/>
    <n v="1951"/>
    <x v="20"/>
    <x v="0"/>
    <x v="1"/>
    <n v="40689"/>
    <x v="0"/>
    <n v="0"/>
    <n v="1"/>
    <x v="2"/>
    <d v="2013-03-18T00:00:00"/>
    <s v="12 years, 3 months"/>
    <n v="69"/>
    <n v="3"/>
    <n v="6"/>
    <n v="9"/>
    <n v="7"/>
    <n v="5"/>
    <n v="12"/>
  </r>
  <r>
    <n v="582"/>
    <x v="582"/>
    <n v="1967"/>
    <x v="5"/>
    <x v="4"/>
    <x v="1"/>
    <n v="47821"/>
    <x v="0"/>
    <n v="1"/>
    <n v="1"/>
    <x v="1"/>
    <d v="2013-10-20T00:00:00"/>
    <s v="11 years, 8 months"/>
    <n v="54"/>
    <n v="0"/>
    <n v="6"/>
    <n v="6"/>
    <n v="1"/>
    <n v="3"/>
    <n v="4"/>
  </r>
  <r>
    <n v="583"/>
    <x v="583"/>
    <n v="1951"/>
    <x v="20"/>
    <x v="2"/>
    <x v="2"/>
    <n v="27450"/>
    <x v="0"/>
    <n v="0"/>
    <n v="0"/>
    <x v="0"/>
    <d v="2013-04-15T00:00:00"/>
    <s v="12 years, 2 months"/>
    <n v="57"/>
    <n v="12"/>
    <n v="11"/>
    <n v="23"/>
    <n v="2"/>
    <n v="3"/>
    <n v="5"/>
  </r>
  <r>
    <n v="584"/>
    <x v="584"/>
    <n v="1983"/>
    <x v="10"/>
    <x v="0"/>
    <x v="1"/>
    <n v="39453"/>
    <x v="0"/>
    <n v="1"/>
    <n v="0"/>
    <x v="2"/>
    <d v="2014-04-03T00:00:00"/>
    <s v="11 years, 3 months"/>
    <n v="64"/>
    <n v="0"/>
    <n v="0"/>
    <n v="0"/>
    <n v="2"/>
    <n v="3"/>
    <n v="5"/>
  </r>
  <r>
    <n v="585"/>
    <x v="585"/>
    <n v="1971"/>
    <x v="6"/>
    <x v="4"/>
    <x v="1"/>
    <n v="26850"/>
    <x v="0"/>
    <n v="1"/>
    <n v="1"/>
    <x v="1"/>
    <d v="2014-04-18T00:00:00"/>
    <s v="11 years, 2 months"/>
    <n v="10"/>
    <n v="1"/>
    <n v="2"/>
    <n v="3"/>
    <n v="2"/>
    <n v="4"/>
    <n v="6"/>
  </r>
  <r>
    <n v="586"/>
    <x v="586"/>
    <n v="1955"/>
    <x v="34"/>
    <x v="0"/>
    <x v="4"/>
    <n v="79800"/>
    <x v="2"/>
    <n v="0"/>
    <n v="0"/>
    <x v="0"/>
    <d v="2012-09-23T00:00:00"/>
    <s v="12 years, 9 months"/>
    <n v="65"/>
    <n v="21"/>
    <n v="0"/>
    <n v="21"/>
    <n v="5"/>
    <n v="5"/>
    <n v="10"/>
  </r>
  <r>
    <n v="587"/>
    <x v="587"/>
    <n v="1961"/>
    <x v="45"/>
    <x v="2"/>
    <x v="2"/>
    <n v="61794"/>
    <x v="0"/>
    <n v="0"/>
    <n v="1"/>
    <x v="2"/>
    <d v="2013-09-14T00:00:00"/>
    <s v="11 years, 9 months"/>
    <n v="74"/>
    <n v="47"/>
    <n v="47"/>
    <n v="94"/>
    <n v="4"/>
    <n v="10"/>
    <n v="14"/>
  </r>
  <r>
    <n v="588"/>
    <x v="588"/>
    <n v="1955"/>
    <x v="34"/>
    <x v="0"/>
    <x v="1"/>
    <n v="53863"/>
    <x v="0"/>
    <n v="0"/>
    <n v="1"/>
    <x v="2"/>
    <d v="2014-05-17T00:00:00"/>
    <s v="11 years, 1 months"/>
    <n v="4"/>
    <n v="4"/>
    <n v="4"/>
    <n v="8"/>
    <n v="7"/>
    <n v="7"/>
    <n v="14"/>
  </r>
  <r>
    <n v="589"/>
    <x v="589"/>
    <n v="1959"/>
    <x v="12"/>
    <x v="0"/>
    <x v="1"/>
    <n v="24221"/>
    <x v="1"/>
    <n v="0"/>
    <n v="0"/>
    <x v="0"/>
    <d v="2013-08-20T00:00:00"/>
    <s v="11 years, 10 months"/>
    <n v="94"/>
    <n v="9"/>
    <n v="5"/>
    <n v="14"/>
    <n v="1"/>
    <n v="3"/>
    <n v="4"/>
  </r>
  <r>
    <n v="590"/>
    <x v="590"/>
    <n v="1984"/>
    <x v="3"/>
    <x v="1"/>
    <x v="0"/>
    <n v="39684"/>
    <x v="0"/>
    <n v="1"/>
    <n v="0"/>
    <x v="2"/>
    <d v="2012-10-12T00:00:00"/>
    <s v="12 years, 8 months"/>
    <n v="41"/>
    <n v="0"/>
    <n v="4"/>
    <n v="4"/>
    <n v="2"/>
    <n v="2"/>
    <n v="4"/>
  </r>
  <r>
    <n v="591"/>
    <x v="591"/>
    <n v="1975"/>
    <x v="28"/>
    <x v="2"/>
    <x v="2"/>
    <n v="92163"/>
    <x v="2"/>
    <n v="0"/>
    <n v="0"/>
    <x v="0"/>
    <d v="2012-12-12T00:00:00"/>
    <s v="12 years, 6 months"/>
    <n v="25"/>
    <n v="183"/>
    <n v="163"/>
    <n v="346"/>
    <n v="5"/>
    <n v="5"/>
    <n v="10"/>
  </r>
  <r>
    <n v="592"/>
    <x v="592"/>
    <n v="1965"/>
    <x v="2"/>
    <x v="2"/>
    <x v="0"/>
    <n v="69882"/>
    <x v="0"/>
    <n v="0"/>
    <n v="0"/>
    <x v="0"/>
    <d v="2013-11-10T00:00:00"/>
    <s v="11 years, 7 months"/>
    <n v="94"/>
    <n v="127"/>
    <n v="127"/>
    <n v="254"/>
    <n v="3"/>
    <n v="9"/>
    <n v="12"/>
  </r>
  <r>
    <n v="593"/>
    <x v="593"/>
    <n v="1977"/>
    <x v="32"/>
    <x v="0"/>
    <x v="1"/>
    <n v="33178"/>
    <x v="0"/>
    <n v="1"/>
    <n v="0"/>
    <x v="2"/>
    <d v="2014-01-30T00:00:00"/>
    <s v="11 years, 5 months"/>
    <n v="9"/>
    <n v="6"/>
    <n v="2"/>
    <n v="8"/>
    <n v="1"/>
    <n v="3"/>
    <n v="4"/>
  </r>
  <r>
    <n v="594"/>
    <x v="594"/>
    <n v="1972"/>
    <x v="39"/>
    <x v="1"/>
    <x v="2"/>
    <n v="59973"/>
    <x v="0"/>
    <n v="0"/>
    <n v="0"/>
    <x v="0"/>
    <d v="2013-09-11T00:00:00"/>
    <s v="11 years, 9 months"/>
    <n v="47"/>
    <n v="30"/>
    <n v="34"/>
    <n v="64"/>
    <n v="3"/>
    <n v="7"/>
    <n v="10"/>
  </r>
  <r>
    <n v="595"/>
    <x v="595"/>
    <n v="1975"/>
    <x v="28"/>
    <x v="2"/>
    <x v="1"/>
    <n v="17459"/>
    <x v="1"/>
    <n v="1"/>
    <n v="0"/>
    <x v="2"/>
    <d v="2013-09-19T00:00:00"/>
    <s v="11 years, 9 months"/>
    <n v="12"/>
    <n v="4"/>
    <n v="10"/>
    <n v="14"/>
    <n v="3"/>
    <n v="2"/>
    <n v="5"/>
  </r>
  <r>
    <n v="596"/>
    <x v="596"/>
    <n v="1969"/>
    <x v="21"/>
    <x v="0"/>
    <x v="3"/>
    <n v="23910"/>
    <x v="1"/>
    <n v="1"/>
    <n v="0"/>
    <x v="2"/>
    <d v="2012-10-26T00:00:00"/>
    <s v="12 years, 8 months"/>
    <n v="80"/>
    <n v="12"/>
    <n v="1"/>
    <n v="13"/>
    <n v="2"/>
    <n v="3"/>
    <n v="5"/>
  </r>
  <r>
    <n v="597"/>
    <x v="597"/>
    <n v="1969"/>
    <x v="21"/>
    <x v="2"/>
    <x v="2"/>
    <n v="42169"/>
    <x v="0"/>
    <n v="1"/>
    <n v="1"/>
    <x v="1"/>
    <d v="2013-10-19T00:00:00"/>
    <s v="11 years, 8 months"/>
    <n v="20"/>
    <n v="0"/>
    <n v="0"/>
    <n v="0"/>
    <n v="1"/>
    <n v="3"/>
    <n v="4"/>
  </r>
  <r>
    <n v="598"/>
    <x v="598"/>
    <n v="1978"/>
    <x v="33"/>
    <x v="4"/>
    <x v="2"/>
    <n v="26224"/>
    <x v="0"/>
    <n v="1"/>
    <n v="0"/>
    <x v="2"/>
    <d v="2013-06-04T00:00:00"/>
    <s v="12 years, 1 months"/>
    <n v="39"/>
    <n v="7"/>
    <n v="9"/>
    <n v="16"/>
    <n v="2"/>
    <n v="3"/>
    <n v="5"/>
  </r>
  <r>
    <n v="599"/>
    <x v="599"/>
    <n v="1981"/>
    <x v="4"/>
    <x v="0"/>
    <x v="1"/>
    <n v="31089"/>
    <x v="0"/>
    <n v="1"/>
    <n v="0"/>
    <x v="2"/>
    <d v="2012-08-17T00:00:00"/>
    <s v="12 years, 10 months"/>
    <n v="57"/>
    <n v="3"/>
    <n v="8"/>
    <n v="11"/>
    <n v="3"/>
    <n v="4"/>
    <n v="7"/>
  </r>
  <r>
    <n v="600"/>
    <x v="600"/>
    <n v="1961"/>
    <x v="45"/>
    <x v="0"/>
    <x v="0"/>
    <n v="30081"/>
    <x v="0"/>
    <n v="0"/>
    <n v="1"/>
    <x v="2"/>
    <d v="2013-02-21T00:00:00"/>
    <s v="12 years, 4 months"/>
    <n v="27"/>
    <n v="0"/>
    <n v="0"/>
    <n v="0"/>
    <n v="1"/>
    <n v="3"/>
    <n v="4"/>
  </r>
  <r>
    <n v="601"/>
    <x v="601"/>
    <n v="1960"/>
    <x v="40"/>
    <x v="0"/>
    <x v="1"/>
    <n v="62807"/>
    <x v="0"/>
    <n v="0"/>
    <n v="1"/>
    <x v="2"/>
    <d v="2012-08-31T00:00:00"/>
    <s v="12 years, 10 months"/>
    <n v="83"/>
    <n v="28"/>
    <n v="21"/>
    <n v="49"/>
    <n v="5"/>
    <n v="12"/>
    <n v="17"/>
  </r>
  <r>
    <n v="602"/>
    <x v="602"/>
    <n v="1955"/>
    <x v="34"/>
    <x v="0"/>
    <x v="0"/>
    <n v="72906"/>
    <x v="0"/>
    <n v="0"/>
    <n v="0"/>
    <x v="0"/>
    <d v="2013-09-17T00:00:00"/>
    <s v="11 years, 9 months"/>
    <n v="79"/>
    <n v="32"/>
    <n v="75"/>
    <n v="107"/>
    <n v="3"/>
    <n v="9"/>
    <n v="12"/>
  </r>
  <r>
    <n v="603"/>
    <x v="603"/>
    <n v="1948"/>
    <x v="37"/>
    <x v="1"/>
    <x v="2"/>
    <n v="61467"/>
    <x v="0"/>
    <n v="0"/>
    <n v="2"/>
    <x v="1"/>
    <d v="2012-12-09T00:00:00"/>
    <s v="12 years, 6 months"/>
    <n v="69"/>
    <n v="16"/>
    <n v="5"/>
    <n v="21"/>
    <n v="5"/>
    <n v="10"/>
    <n v="15"/>
  </r>
  <r>
    <n v="604"/>
    <x v="604"/>
    <n v="1966"/>
    <x v="35"/>
    <x v="2"/>
    <x v="1"/>
    <n v="49618"/>
    <x v="0"/>
    <n v="1"/>
    <n v="1"/>
    <x v="1"/>
    <d v="2013-01-26T00:00:00"/>
    <s v="12 years, 5 months"/>
    <n v="77"/>
    <n v="3"/>
    <n v="2"/>
    <n v="5"/>
    <n v="3"/>
    <n v="3"/>
    <n v="6"/>
  </r>
  <r>
    <n v="605"/>
    <x v="605"/>
    <n v="1986"/>
    <x v="22"/>
    <x v="2"/>
    <x v="0"/>
    <n v="21888"/>
    <x v="1"/>
    <n v="1"/>
    <n v="0"/>
    <x v="2"/>
    <d v="2012-12-29T00:00:00"/>
    <s v="12 years, 6 months"/>
    <n v="15"/>
    <n v="10"/>
    <n v="3"/>
    <n v="13"/>
    <n v="5"/>
    <n v="2"/>
    <n v="7"/>
  </r>
  <r>
    <n v="606"/>
    <x v="606"/>
    <n v="1973"/>
    <x v="26"/>
    <x v="0"/>
    <x v="4"/>
    <n v="42429"/>
    <x v="0"/>
    <n v="0"/>
    <n v="1"/>
    <x v="2"/>
    <d v="2014-02-11T00:00:00"/>
    <s v="11 years, 4 months"/>
    <n v="99"/>
    <n v="0"/>
    <n v="0"/>
    <n v="0"/>
    <n v="1"/>
    <n v="3"/>
    <n v="4"/>
  </r>
  <r>
    <n v="607"/>
    <x v="607"/>
    <n v="1956"/>
    <x v="46"/>
    <x v="0"/>
    <x v="3"/>
    <n v="26150"/>
    <x v="0"/>
    <n v="2"/>
    <n v="1"/>
    <x v="3"/>
    <d v="2013-03-11T00:00:00"/>
    <s v="12 years, 3 months"/>
    <n v="61"/>
    <n v="1"/>
    <n v="5"/>
    <n v="6"/>
    <n v="1"/>
    <n v="3"/>
    <n v="4"/>
  </r>
  <r>
    <n v="608"/>
    <x v="608"/>
    <n v="1975"/>
    <x v="28"/>
    <x v="3"/>
    <x v="2"/>
    <n v="30801"/>
    <x v="0"/>
    <n v="0"/>
    <n v="1"/>
    <x v="2"/>
    <d v="2012-10-26T00:00:00"/>
    <s v="12 years, 8 months"/>
    <n v="23"/>
    <n v="4"/>
    <n v="2"/>
    <n v="6"/>
    <n v="1"/>
    <n v="3"/>
    <n v="4"/>
  </r>
  <r>
    <n v="609"/>
    <x v="609"/>
    <n v="1965"/>
    <x v="2"/>
    <x v="0"/>
    <x v="2"/>
    <n v="81168"/>
    <x v="2"/>
    <n v="0"/>
    <n v="0"/>
    <x v="0"/>
    <d v="2014-05-07T00:00:00"/>
    <s v="11 years, 1 months"/>
    <n v="84"/>
    <n v="0"/>
    <n v="22"/>
    <n v="22"/>
    <n v="6"/>
    <n v="7"/>
    <n v="13"/>
  </r>
  <r>
    <n v="610"/>
    <x v="610"/>
    <n v="1969"/>
    <x v="21"/>
    <x v="2"/>
    <x v="0"/>
    <n v="26877"/>
    <x v="0"/>
    <n v="0"/>
    <n v="0"/>
    <x v="0"/>
    <d v="2013-08-19T00:00:00"/>
    <s v="11 years, 10 months"/>
    <n v="74"/>
    <n v="13"/>
    <n v="18"/>
    <n v="31"/>
    <n v="3"/>
    <n v="6"/>
    <n v="9"/>
  </r>
  <r>
    <n v="611"/>
    <x v="611"/>
    <n v="1944"/>
    <x v="56"/>
    <x v="2"/>
    <x v="4"/>
    <n v="45006"/>
    <x v="0"/>
    <n v="0"/>
    <n v="0"/>
    <x v="0"/>
    <d v="2013-07-18T00:00:00"/>
    <s v="11 years, 11 months"/>
    <n v="90"/>
    <n v="25"/>
    <n v="0"/>
    <n v="25"/>
    <n v="3"/>
    <n v="7"/>
    <n v="10"/>
  </r>
  <r>
    <n v="612"/>
    <x v="612"/>
    <n v="1973"/>
    <x v="26"/>
    <x v="3"/>
    <x v="2"/>
    <n v="18978"/>
    <x v="1"/>
    <n v="1"/>
    <n v="0"/>
    <x v="2"/>
    <d v="2012-12-11T00:00:00"/>
    <s v="12 years, 6 months"/>
    <n v="41"/>
    <n v="8"/>
    <n v="7"/>
    <n v="15"/>
    <n v="1"/>
    <n v="3"/>
    <n v="4"/>
  </r>
  <r>
    <n v="613"/>
    <x v="613"/>
    <n v="1967"/>
    <x v="5"/>
    <x v="0"/>
    <x v="2"/>
    <n v="22574"/>
    <x v="1"/>
    <n v="2"/>
    <n v="1"/>
    <x v="3"/>
    <d v="2013-10-28T00:00:00"/>
    <s v="11 years, 8 months"/>
    <n v="28"/>
    <n v="0"/>
    <n v="0"/>
    <n v="0"/>
    <n v="2"/>
    <n v="3"/>
    <n v="5"/>
  </r>
  <r>
    <n v="614"/>
    <x v="614"/>
    <n v="1969"/>
    <x v="21"/>
    <x v="1"/>
    <x v="0"/>
    <n v="48240"/>
    <x v="0"/>
    <n v="0"/>
    <n v="0"/>
    <x v="0"/>
    <d v="2012-11-09T00:00:00"/>
    <s v="12 years, 7 months"/>
    <n v="73"/>
    <n v="91"/>
    <n v="49"/>
    <n v="140"/>
    <n v="6"/>
    <n v="13"/>
    <n v="19"/>
  </r>
  <r>
    <n v="615"/>
    <x v="615"/>
    <n v="1974"/>
    <x v="8"/>
    <x v="0"/>
    <x v="2"/>
    <n v="45837"/>
    <x v="0"/>
    <n v="1"/>
    <n v="1"/>
    <x v="1"/>
    <d v="2013-07-26T00:00:00"/>
    <s v="11 years, 11 months"/>
    <n v="88"/>
    <n v="13"/>
    <n v="17"/>
    <n v="30"/>
    <n v="6"/>
    <n v="5"/>
    <n v="11"/>
  </r>
  <r>
    <n v="616"/>
    <x v="616"/>
    <n v="1965"/>
    <x v="2"/>
    <x v="2"/>
    <x v="0"/>
    <n v="35791"/>
    <x v="0"/>
    <n v="2"/>
    <n v="1"/>
    <x v="3"/>
    <d v="2013-05-06T00:00:00"/>
    <s v="12 years, 2 months"/>
    <n v="94"/>
    <n v="0"/>
    <n v="0"/>
    <n v="0"/>
    <n v="1"/>
    <n v="3"/>
    <n v="4"/>
  </r>
  <r>
    <n v="617"/>
    <x v="617"/>
    <n v="1976"/>
    <x v="11"/>
    <x v="1"/>
    <x v="1"/>
    <n v="162397"/>
    <x v="3"/>
    <n v="1"/>
    <n v="1"/>
    <x v="1"/>
    <d v="2013-06-03T00:00:00"/>
    <s v="12 years, 1 months"/>
    <n v="31"/>
    <n v="1"/>
    <n v="1"/>
    <n v="2"/>
    <n v="0"/>
    <n v="1"/>
    <n v="1"/>
  </r>
  <r>
    <n v="618"/>
    <x v="618"/>
    <n v="1978"/>
    <x v="33"/>
    <x v="0"/>
    <x v="4"/>
    <n v="54162"/>
    <x v="0"/>
    <n v="1"/>
    <n v="1"/>
    <x v="1"/>
    <d v="2013-03-18T00:00:00"/>
    <s v="12 years, 3 months"/>
    <n v="31"/>
    <n v="6"/>
    <n v="5"/>
    <n v="11"/>
    <n v="1"/>
    <n v="3"/>
    <n v="4"/>
  </r>
  <r>
    <n v="619"/>
    <x v="619"/>
    <n v="1960"/>
    <x v="40"/>
    <x v="2"/>
    <x v="2"/>
    <n v="30522"/>
    <x v="0"/>
    <n v="0"/>
    <n v="1"/>
    <x v="2"/>
    <d v="2012-08-17T00:00:00"/>
    <s v="12 years, 10 months"/>
    <n v="6"/>
    <n v="8"/>
    <n v="11"/>
    <n v="19"/>
    <n v="1"/>
    <n v="9"/>
    <n v="10"/>
  </r>
  <r>
    <n v="620"/>
    <x v="620"/>
    <n v="1961"/>
    <x v="45"/>
    <x v="1"/>
    <x v="2"/>
    <n v="54456"/>
    <x v="0"/>
    <n v="0"/>
    <n v="1"/>
    <x v="2"/>
    <d v="2013-07-11T00:00:00"/>
    <s v="11 years, 11 months"/>
    <n v="23"/>
    <n v="0"/>
    <n v="0"/>
    <n v="0"/>
    <n v="6"/>
    <n v="7"/>
    <n v="13"/>
  </r>
  <r>
    <n v="621"/>
    <x v="621"/>
    <n v="1971"/>
    <x v="6"/>
    <x v="0"/>
    <x v="0"/>
    <n v="31632"/>
    <x v="0"/>
    <n v="0"/>
    <n v="0"/>
    <x v="0"/>
    <d v="2013-07-14T00:00:00"/>
    <s v="11 years, 11 months"/>
    <n v="92"/>
    <n v="8"/>
    <n v="15"/>
    <n v="23"/>
    <n v="2"/>
    <n v="2"/>
    <n v="4"/>
  </r>
  <r>
    <n v="622"/>
    <x v="622"/>
    <n v="1949"/>
    <x v="17"/>
    <x v="0"/>
    <x v="4"/>
    <n v="72298"/>
    <x v="0"/>
    <n v="0"/>
    <n v="0"/>
    <x v="0"/>
    <d v="2014-03-10T00:00:00"/>
    <s v="11 years, 3 months"/>
    <n v="52"/>
    <n v="35"/>
    <n v="17"/>
    <n v="52"/>
    <n v="4"/>
    <n v="6"/>
    <n v="10"/>
  </r>
  <r>
    <n v="623"/>
    <x v="623"/>
    <n v="1978"/>
    <x v="33"/>
    <x v="4"/>
    <x v="0"/>
    <n v="36975"/>
    <x v="0"/>
    <n v="1"/>
    <n v="0"/>
    <x v="2"/>
    <d v="2013-12-28T00:00:00"/>
    <s v="11 years, 6 months"/>
    <n v="50"/>
    <n v="6"/>
    <n v="4"/>
    <n v="10"/>
    <n v="1"/>
    <n v="3"/>
    <n v="4"/>
  </r>
  <r>
    <n v="624"/>
    <x v="624"/>
    <n v="1955"/>
    <x v="34"/>
    <x v="4"/>
    <x v="2"/>
    <n v="72635"/>
    <x v="0"/>
    <n v="0"/>
    <n v="0"/>
    <x v="0"/>
    <d v="2013-06-03T00:00:00"/>
    <s v="12 years, 1 months"/>
    <n v="54"/>
    <n v="22"/>
    <n v="35"/>
    <n v="57"/>
    <n v="6"/>
    <n v="6"/>
    <n v="12"/>
  </r>
  <r>
    <n v="625"/>
    <x v="625"/>
    <n v="1976"/>
    <x v="11"/>
    <x v="0"/>
    <x v="2"/>
    <n v="13624"/>
    <x v="1"/>
    <n v="1"/>
    <n v="0"/>
    <x v="2"/>
    <d v="2013-01-20T00:00:00"/>
    <s v="12 years, 5 months"/>
    <n v="93"/>
    <n v="2"/>
    <n v="1"/>
    <n v="3"/>
    <n v="2"/>
    <n v="3"/>
    <n v="5"/>
  </r>
  <r>
    <n v="626"/>
    <x v="626"/>
    <n v="1975"/>
    <x v="28"/>
    <x v="0"/>
    <x v="0"/>
    <n v="84196"/>
    <x v="2"/>
    <n v="0"/>
    <n v="1"/>
    <x v="2"/>
    <d v="2013-06-03T00:00:00"/>
    <s v="12 years, 1 months"/>
    <n v="56"/>
    <n v="63"/>
    <n v="31"/>
    <n v="94"/>
    <n v="8"/>
    <n v="7"/>
    <n v="15"/>
  </r>
  <r>
    <n v="627"/>
    <x v="627"/>
    <n v="1960"/>
    <x v="40"/>
    <x v="0"/>
    <x v="1"/>
    <n v="70971"/>
    <x v="0"/>
    <n v="0"/>
    <n v="1"/>
    <x v="2"/>
    <d v="2012-09-21T00:00:00"/>
    <s v="12 years, 9 months"/>
    <n v="28"/>
    <n v="17"/>
    <n v="125"/>
    <n v="142"/>
    <n v="11"/>
    <n v="5"/>
    <n v="16"/>
  </r>
  <r>
    <n v="628"/>
    <x v="628"/>
    <n v="1977"/>
    <x v="32"/>
    <x v="1"/>
    <x v="3"/>
    <n v="34487"/>
    <x v="0"/>
    <n v="1"/>
    <n v="1"/>
    <x v="1"/>
    <d v="2012-09-06T00:00:00"/>
    <s v="12 years, 10 months"/>
    <n v="94"/>
    <n v="18"/>
    <n v="1"/>
    <n v="19"/>
    <n v="3"/>
    <n v="3"/>
    <n v="6"/>
  </r>
  <r>
    <n v="629"/>
    <x v="629"/>
    <n v="1977"/>
    <x v="32"/>
    <x v="0"/>
    <x v="0"/>
    <n v="28769"/>
    <x v="0"/>
    <n v="1"/>
    <n v="0"/>
    <x v="2"/>
    <d v="2012-12-18T00:00:00"/>
    <s v="12 years, 6 months"/>
    <n v="76"/>
    <n v="5"/>
    <n v="3"/>
    <n v="8"/>
    <n v="4"/>
    <n v="4"/>
    <n v="8"/>
  </r>
  <r>
    <n v="630"/>
    <x v="630"/>
    <n v="1970"/>
    <x v="25"/>
    <x v="1"/>
    <x v="2"/>
    <n v="69084"/>
    <x v="0"/>
    <n v="1"/>
    <n v="0"/>
    <x v="2"/>
    <d v="2013-11-19T00:00:00"/>
    <s v="11 years, 7 months"/>
    <n v="43"/>
    <n v="107"/>
    <n v="30"/>
    <n v="137"/>
    <n v="7"/>
    <n v="13"/>
    <n v="20"/>
  </r>
  <r>
    <n v="631"/>
    <x v="631"/>
    <n v="1958"/>
    <x v="38"/>
    <x v="1"/>
    <x v="1"/>
    <n v="65488"/>
    <x v="0"/>
    <n v="0"/>
    <n v="0"/>
    <x v="0"/>
    <d v="2014-06-13T00:00:00"/>
    <s v="11 years, 0 months"/>
    <n v="46"/>
    <n v="45"/>
    <n v="18"/>
    <n v="63"/>
    <n v="3"/>
    <n v="6"/>
    <n v="9"/>
  </r>
  <r>
    <n v="632"/>
    <x v="632"/>
    <n v="1970"/>
    <x v="25"/>
    <x v="4"/>
    <x v="2"/>
    <n v="62466"/>
    <x v="0"/>
    <n v="0"/>
    <n v="1"/>
    <x v="2"/>
    <d v="2014-01-15T00:00:00"/>
    <s v="11 years, 5 months"/>
    <n v="13"/>
    <n v="129"/>
    <n v="121"/>
    <n v="250"/>
    <n v="6"/>
    <n v="12"/>
    <n v="18"/>
  </r>
  <r>
    <n v="633"/>
    <x v="633"/>
    <n v="1960"/>
    <x v="40"/>
    <x v="4"/>
    <x v="0"/>
    <n v="32218"/>
    <x v="0"/>
    <n v="0"/>
    <n v="0"/>
    <x v="0"/>
    <d v="2014-02-15T00:00:00"/>
    <s v="11 years, 4 months"/>
    <n v="27"/>
    <n v="24"/>
    <n v="1"/>
    <n v="25"/>
    <n v="2"/>
    <n v="3"/>
    <n v="5"/>
  </r>
  <r>
    <n v="634"/>
    <x v="634"/>
    <n v="1973"/>
    <x v="26"/>
    <x v="0"/>
    <x v="0"/>
    <n v="83917"/>
    <x v="2"/>
    <n v="0"/>
    <n v="0"/>
    <x v="0"/>
    <d v="2013-04-18T00:00:00"/>
    <s v="12 years, 2 months"/>
    <n v="12"/>
    <n v="22"/>
    <n v="198"/>
    <n v="220"/>
    <n v="6"/>
    <n v="7"/>
    <n v="13"/>
  </r>
  <r>
    <n v="635"/>
    <x v="635"/>
    <n v="1962"/>
    <x v="43"/>
    <x v="0"/>
    <x v="3"/>
    <n v="46102"/>
    <x v="0"/>
    <n v="2"/>
    <n v="1"/>
    <x v="3"/>
    <d v="2014-03-10T00:00:00"/>
    <s v="11 years, 3 months"/>
    <n v="3"/>
    <n v="0"/>
    <n v="0"/>
    <n v="0"/>
    <n v="1"/>
    <n v="2"/>
    <n v="3"/>
  </r>
  <r>
    <n v="636"/>
    <x v="636"/>
    <n v="1952"/>
    <x v="13"/>
    <x v="0"/>
    <x v="0"/>
    <n v="84574"/>
    <x v="2"/>
    <n v="0"/>
    <n v="0"/>
    <x v="0"/>
    <d v="2013-06-04T00:00:00"/>
    <s v="12 years, 1 months"/>
    <n v="72"/>
    <n v="20"/>
    <n v="54"/>
    <n v="74"/>
    <n v="9"/>
    <n v="11"/>
    <n v="20"/>
  </r>
  <r>
    <n v="637"/>
    <x v="637"/>
    <n v="1962"/>
    <x v="43"/>
    <x v="0"/>
    <x v="2"/>
    <n v="56181"/>
    <x v="0"/>
    <n v="0"/>
    <n v="1"/>
    <x v="2"/>
    <d v="2013-01-08T00:00:00"/>
    <s v="12 years, 5 months"/>
    <n v="6"/>
    <n v="103"/>
    <n v="44"/>
    <n v="147"/>
    <n v="4"/>
    <n v="7"/>
    <n v="11"/>
  </r>
  <r>
    <n v="638"/>
    <x v="638"/>
    <n v="1950"/>
    <x v="9"/>
    <x v="2"/>
    <x v="3"/>
    <n v="63120"/>
    <x v="0"/>
    <n v="0"/>
    <n v="1"/>
    <x v="2"/>
    <d v="2012-09-28T00:00:00"/>
    <s v="12 years, 9 months"/>
    <n v="53"/>
    <n v="69"/>
    <n v="41"/>
    <n v="110"/>
    <n v="8"/>
    <n v="9"/>
    <n v="17"/>
  </r>
  <r>
    <n v="639"/>
    <x v="639"/>
    <n v="1971"/>
    <x v="6"/>
    <x v="0"/>
    <x v="2"/>
    <n v="73691"/>
    <x v="0"/>
    <n v="0"/>
    <n v="1"/>
    <x v="2"/>
    <d v="2013-11-06T00:00:00"/>
    <s v="11 years, 8 months"/>
    <n v="58"/>
    <n v="21"/>
    <n v="43"/>
    <n v="64"/>
    <n v="6"/>
    <n v="8"/>
    <n v="14"/>
  </r>
  <r>
    <n v="640"/>
    <x v="640"/>
    <n v="1960"/>
    <x v="40"/>
    <x v="0"/>
    <x v="1"/>
    <n v="63381"/>
    <x v="0"/>
    <n v="0"/>
    <n v="1"/>
    <x v="2"/>
    <d v="2012-10-05T00:00:00"/>
    <s v="12 years, 9 months"/>
    <n v="78"/>
    <n v="50"/>
    <n v="50"/>
    <n v="100"/>
    <n v="4"/>
    <n v="13"/>
    <n v="17"/>
  </r>
  <r>
    <n v="641"/>
    <x v="641"/>
    <n v="1948"/>
    <x v="37"/>
    <x v="1"/>
    <x v="1"/>
    <n v="76140"/>
    <x v="2"/>
    <n v="0"/>
    <n v="0"/>
    <x v="0"/>
    <d v="2014-05-13T00:00:00"/>
    <s v="11 years, 1 months"/>
    <n v="57"/>
    <n v="66"/>
    <n v="0"/>
    <n v="66"/>
    <n v="5"/>
    <n v="6"/>
    <n v="11"/>
  </r>
  <r>
    <n v="642"/>
    <x v="642"/>
    <n v="1959"/>
    <x v="12"/>
    <x v="1"/>
    <x v="3"/>
    <n v="62859"/>
    <x v="0"/>
    <n v="0"/>
    <n v="1"/>
    <x v="2"/>
    <d v="2012-12-30T00:00:00"/>
    <s v="12 years, 6 months"/>
    <n v="37"/>
    <n v="89"/>
    <n v="12"/>
    <n v="101"/>
    <n v="9"/>
    <n v="6"/>
    <n v="15"/>
  </r>
  <r>
    <n v="643"/>
    <x v="643"/>
    <n v="1964"/>
    <x v="31"/>
    <x v="0"/>
    <x v="0"/>
    <n v="45906"/>
    <x v="0"/>
    <n v="0"/>
    <n v="1"/>
    <x v="2"/>
    <d v="2013-05-07T00:00:00"/>
    <s v="12 years, 1 months"/>
    <n v="20"/>
    <n v="3"/>
    <n v="3"/>
    <n v="6"/>
    <n v="5"/>
    <n v="4"/>
    <n v="9"/>
  </r>
  <r>
    <n v="644"/>
    <x v="644"/>
    <n v="1947"/>
    <x v="51"/>
    <x v="2"/>
    <x v="1"/>
    <n v="77632"/>
    <x v="2"/>
    <n v="0"/>
    <n v="0"/>
    <x v="0"/>
    <d v="2013-03-10T00:00:00"/>
    <s v="12 years, 3 months"/>
    <n v="73"/>
    <n v="105"/>
    <n v="42"/>
    <n v="147"/>
    <n v="4"/>
    <n v="6"/>
    <n v="10"/>
  </r>
  <r>
    <n v="645"/>
    <x v="645"/>
    <n v="1971"/>
    <x v="6"/>
    <x v="1"/>
    <x v="2"/>
    <n v="46463"/>
    <x v="0"/>
    <n v="1"/>
    <n v="1"/>
    <x v="1"/>
    <d v="2013-08-18T00:00:00"/>
    <s v="11 years, 10 months"/>
    <n v="56"/>
    <n v="2"/>
    <n v="11"/>
    <n v="13"/>
    <n v="3"/>
    <n v="6"/>
    <n v="9"/>
  </r>
  <r>
    <n v="646"/>
    <x v="646"/>
    <n v="1970"/>
    <x v="25"/>
    <x v="0"/>
    <x v="1"/>
    <n v="105471"/>
    <x v="2"/>
    <n v="0"/>
    <n v="0"/>
    <x v="0"/>
    <d v="2013-01-21T00:00:00"/>
    <s v="12 years, 5 months"/>
    <n v="36"/>
    <n v="181"/>
    <n v="21"/>
    <n v="202"/>
    <n v="9"/>
    <n v="13"/>
    <n v="22"/>
  </r>
  <r>
    <n v="647"/>
    <x v="647"/>
    <n v="1970"/>
    <x v="25"/>
    <x v="2"/>
    <x v="3"/>
    <n v="55282"/>
    <x v="0"/>
    <n v="1"/>
    <n v="0"/>
    <x v="2"/>
    <d v="2013-12-13T00:00:00"/>
    <s v="11 years, 6 months"/>
    <n v="9"/>
    <n v="6"/>
    <n v="4"/>
    <n v="10"/>
    <n v="3"/>
    <n v="6"/>
    <n v="9"/>
  </r>
  <r>
    <n v="648"/>
    <x v="648"/>
    <n v="1977"/>
    <x v="32"/>
    <x v="2"/>
    <x v="2"/>
    <n v="78710"/>
    <x v="2"/>
    <n v="0"/>
    <n v="1"/>
    <x v="2"/>
    <d v="2014-05-23T00:00:00"/>
    <s v="11 years, 1 months"/>
    <n v="42"/>
    <n v="0"/>
    <n v="50"/>
    <n v="50"/>
    <n v="7"/>
    <n v="12"/>
    <n v="19"/>
  </r>
  <r>
    <n v="649"/>
    <x v="649"/>
    <n v="1958"/>
    <x v="38"/>
    <x v="0"/>
    <x v="1"/>
    <n v="66886"/>
    <x v="0"/>
    <n v="0"/>
    <n v="1"/>
    <x v="2"/>
    <d v="2013-09-16T00:00:00"/>
    <s v="11 years, 9 months"/>
    <n v="28"/>
    <n v="4"/>
    <n v="31"/>
    <n v="35"/>
    <n v="7"/>
    <n v="7"/>
    <n v="14"/>
  </r>
  <r>
    <n v="650"/>
    <x v="650"/>
    <n v="1960"/>
    <x v="40"/>
    <x v="2"/>
    <x v="0"/>
    <n v="98777"/>
    <x v="2"/>
    <n v="0"/>
    <n v="0"/>
    <x v="0"/>
    <d v="2014-02-17T00:00:00"/>
    <s v="11 years, 4 months"/>
    <n v="23"/>
    <n v="19"/>
    <n v="115"/>
    <n v="134"/>
    <n v="4"/>
    <n v="9"/>
    <n v="13"/>
  </r>
  <r>
    <n v="651"/>
    <x v="651"/>
    <n v="1985"/>
    <x v="7"/>
    <x v="0"/>
    <x v="1"/>
    <n v="29103"/>
    <x v="0"/>
    <n v="1"/>
    <n v="0"/>
    <x v="2"/>
    <d v="2012-08-27T00:00:00"/>
    <s v="12 years, 10 months"/>
    <n v="38"/>
    <n v="0"/>
    <n v="3"/>
    <n v="3"/>
    <n v="1"/>
    <n v="3"/>
    <n v="4"/>
  </r>
  <r>
    <n v="652"/>
    <x v="652"/>
    <n v="1974"/>
    <x v="8"/>
    <x v="0"/>
    <x v="2"/>
    <n v="67445"/>
    <x v="0"/>
    <n v="0"/>
    <n v="1"/>
    <x v="2"/>
    <d v="2012-08-12T00:00:00"/>
    <s v="12 years, 10 months"/>
    <n v="63"/>
    <n v="80"/>
    <n v="80"/>
    <n v="160"/>
    <n v="9"/>
    <n v="12"/>
    <n v="21"/>
  </r>
  <r>
    <n v="653"/>
    <x v="653"/>
    <n v="1950"/>
    <x v="9"/>
    <x v="1"/>
    <x v="1"/>
    <n v="50616"/>
    <x v="0"/>
    <n v="0"/>
    <n v="1"/>
    <x v="2"/>
    <d v="2014-04-13T00:00:00"/>
    <s v="11 years, 2 months"/>
    <n v="71"/>
    <n v="2"/>
    <n v="1"/>
    <n v="3"/>
    <n v="1"/>
    <n v="4"/>
    <n v="5"/>
  </r>
  <r>
    <n v="654"/>
    <x v="654"/>
    <n v="1955"/>
    <x v="34"/>
    <x v="0"/>
    <x v="3"/>
    <n v="49431"/>
    <x v="0"/>
    <n v="0"/>
    <n v="1"/>
    <x v="2"/>
    <d v="2012-08-03T00:00:00"/>
    <s v="12 years, 11 months"/>
    <n v="9"/>
    <n v="3"/>
    <n v="0"/>
    <n v="3"/>
    <n v="7"/>
    <n v="5"/>
    <n v="12"/>
  </r>
  <r>
    <n v="655"/>
    <x v="655"/>
    <n v="1975"/>
    <x v="28"/>
    <x v="0"/>
    <x v="3"/>
    <n v="153924"/>
    <x v="3"/>
    <n v="0"/>
    <n v="0"/>
    <x v="0"/>
    <d v="2014-02-07T00:00:00"/>
    <s v="11 years, 4 months"/>
    <n v="81"/>
    <n v="1"/>
    <n v="1"/>
    <n v="2"/>
    <n v="0"/>
    <n v="0"/>
    <n v="0"/>
  </r>
  <r>
    <n v="656"/>
    <x v="656"/>
    <n v="1953"/>
    <x v="44"/>
    <x v="0"/>
    <x v="1"/>
    <n v="61278"/>
    <x v="0"/>
    <n v="0"/>
    <n v="1"/>
    <x v="2"/>
    <d v="2014-01-04T00:00:00"/>
    <s v="11 years, 6 months"/>
    <n v="87"/>
    <n v="3"/>
    <n v="6"/>
    <n v="9"/>
    <n v="3"/>
    <n v="4"/>
    <n v="7"/>
  </r>
  <r>
    <n v="657"/>
    <x v="657"/>
    <n v="1958"/>
    <x v="38"/>
    <x v="4"/>
    <x v="1"/>
    <n v="26490"/>
    <x v="0"/>
    <n v="0"/>
    <n v="0"/>
    <x v="0"/>
    <d v="2012-09-22T00:00:00"/>
    <s v="12 years, 9 months"/>
    <n v="92"/>
    <n v="47"/>
    <n v="20"/>
    <n v="67"/>
    <n v="3"/>
    <n v="5"/>
    <n v="8"/>
  </r>
  <r>
    <n v="658"/>
    <x v="658"/>
    <n v="1947"/>
    <x v="51"/>
    <x v="1"/>
    <x v="1"/>
    <n v="73059"/>
    <x v="0"/>
    <n v="0"/>
    <n v="1"/>
    <x v="2"/>
    <d v="2013-08-31T00:00:00"/>
    <s v="11 years, 10 months"/>
    <n v="36"/>
    <n v="112"/>
    <n v="82"/>
    <n v="194"/>
    <n v="9"/>
    <n v="13"/>
    <n v="22"/>
  </r>
  <r>
    <n v="659"/>
    <x v="659"/>
    <n v="1966"/>
    <x v="35"/>
    <x v="1"/>
    <x v="0"/>
    <n v="46734"/>
    <x v="0"/>
    <n v="1"/>
    <n v="2"/>
    <x v="3"/>
    <d v="2013-10-21T00:00:00"/>
    <s v="11 years, 8 months"/>
    <n v="86"/>
    <n v="1"/>
    <n v="1"/>
    <n v="2"/>
    <n v="3"/>
    <n v="3"/>
    <n v="6"/>
  </r>
  <r>
    <n v="660"/>
    <x v="660"/>
    <n v="1963"/>
    <x v="24"/>
    <x v="0"/>
    <x v="1"/>
    <n v="56253"/>
    <x v="0"/>
    <n v="0"/>
    <n v="1"/>
    <x v="2"/>
    <d v="2012-12-07T00:00:00"/>
    <s v="12 years, 6 months"/>
    <n v="83"/>
    <n v="0"/>
    <n v="11"/>
    <n v="11"/>
    <n v="7"/>
    <n v="9"/>
    <n v="16"/>
  </r>
  <r>
    <n v="661"/>
    <x v="661"/>
    <n v="1985"/>
    <x v="7"/>
    <x v="0"/>
    <x v="2"/>
    <n v="19986"/>
    <x v="1"/>
    <n v="1"/>
    <n v="0"/>
    <x v="2"/>
    <d v="2013-11-14T00:00:00"/>
    <s v="11 years, 7 months"/>
    <n v="74"/>
    <n v="6"/>
    <n v="2"/>
    <n v="8"/>
    <n v="0"/>
    <n v="3"/>
    <n v="3"/>
  </r>
  <r>
    <n v="662"/>
    <x v="662"/>
    <n v="1975"/>
    <x v="28"/>
    <x v="0"/>
    <x v="4"/>
    <n v="58330"/>
    <x v="0"/>
    <n v="0"/>
    <n v="1"/>
    <x v="2"/>
    <d v="2013-12-25T00:00:00"/>
    <s v="11 years, 6 months"/>
    <n v="87"/>
    <n v="53"/>
    <n v="98"/>
    <n v="151"/>
    <n v="6"/>
    <n v="13"/>
    <n v="19"/>
  </r>
  <r>
    <n v="663"/>
    <x v="663"/>
    <n v="1980"/>
    <x v="16"/>
    <x v="3"/>
    <x v="2"/>
    <n v="25965"/>
    <x v="0"/>
    <n v="0"/>
    <n v="0"/>
    <x v="0"/>
    <d v="2012-09-07T00:00:00"/>
    <s v="12 years, 9 months"/>
    <n v="29"/>
    <n v="2"/>
    <n v="7"/>
    <n v="9"/>
    <n v="2"/>
    <n v="3"/>
    <n v="5"/>
  </r>
  <r>
    <n v="664"/>
    <x v="664"/>
    <n v="1956"/>
    <x v="46"/>
    <x v="2"/>
    <x v="1"/>
    <n v="14661"/>
    <x v="1"/>
    <n v="0"/>
    <n v="0"/>
    <x v="0"/>
    <d v="2013-01-01T00:00:00"/>
    <s v="12 years, 6 months"/>
    <n v="88"/>
    <n v="1"/>
    <n v="2"/>
    <n v="3"/>
    <n v="1"/>
    <n v="3"/>
    <n v="4"/>
  </r>
  <r>
    <n v="665"/>
    <x v="665"/>
    <n v="1959"/>
    <x v="12"/>
    <x v="0"/>
    <x v="2"/>
    <n v="18690"/>
    <x v="1"/>
    <n v="0"/>
    <n v="0"/>
    <x v="0"/>
    <d v="2012-12-28T00:00:00"/>
    <s v="12 years, 6 months"/>
    <n v="77"/>
    <n v="1"/>
    <n v="4"/>
    <n v="5"/>
    <n v="1"/>
    <n v="2"/>
    <n v="3"/>
  </r>
  <r>
    <n v="666"/>
    <x v="666"/>
    <n v="1974"/>
    <x v="8"/>
    <x v="1"/>
    <x v="1"/>
    <n v="45068"/>
    <x v="0"/>
    <n v="0"/>
    <n v="1"/>
    <x v="2"/>
    <d v="2013-05-16T00:00:00"/>
    <s v="12 years, 1 months"/>
    <n v="25"/>
    <n v="0"/>
    <n v="0"/>
    <n v="0"/>
    <n v="1"/>
    <n v="2"/>
    <n v="3"/>
  </r>
  <r>
    <n v="667"/>
    <x v="667"/>
    <n v="1987"/>
    <x v="14"/>
    <x v="3"/>
    <x v="0"/>
    <n v="21063"/>
    <x v="1"/>
    <n v="1"/>
    <n v="0"/>
    <x v="2"/>
    <d v="2013-09-25T00:00:00"/>
    <s v="11 years, 9 months"/>
    <n v="34"/>
    <n v="10"/>
    <n v="3"/>
    <n v="13"/>
    <n v="2"/>
    <n v="3"/>
    <n v="5"/>
  </r>
  <r>
    <n v="668"/>
    <x v="668"/>
    <n v="1968"/>
    <x v="30"/>
    <x v="1"/>
    <x v="2"/>
    <n v="29187"/>
    <x v="0"/>
    <n v="1"/>
    <n v="0"/>
    <x v="2"/>
    <d v="2013-05-09T00:00:00"/>
    <s v="12 years, 1 months"/>
    <n v="43"/>
    <n v="0"/>
    <n v="0"/>
    <n v="0"/>
    <n v="1"/>
    <n v="3"/>
    <n v="4"/>
  </r>
  <r>
    <n v="669"/>
    <x v="669"/>
    <n v="1971"/>
    <x v="6"/>
    <x v="4"/>
    <x v="2"/>
    <n v="54690"/>
    <x v="0"/>
    <n v="1"/>
    <n v="1"/>
    <x v="1"/>
    <d v="2013-11-07T00:00:00"/>
    <s v="11 years, 7 months"/>
    <n v="76"/>
    <n v="16"/>
    <n v="9"/>
    <n v="25"/>
    <n v="3"/>
    <n v="5"/>
    <n v="8"/>
  </r>
  <r>
    <n v="670"/>
    <x v="670"/>
    <n v="1964"/>
    <x v="31"/>
    <x v="1"/>
    <x v="2"/>
    <n v="59304"/>
    <x v="0"/>
    <n v="0"/>
    <n v="1"/>
    <x v="2"/>
    <d v="2013-07-29T00:00:00"/>
    <s v="11 years, 11 months"/>
    <n v="81"/>
    <n v="61"/>
    <n v="51"/>
    <n v="112"/>
    <n v="7"/>
    <n v="10"/>
    <n v="17"/>
  </r>
  <r>
    <n v="671"/>
    <x v="671"/>
    <n v="1962"/>
    <x v="43"/>
    <x v="2"/>
    <x v="0"/>
    <n v="59247"/>
    <x v="0"/>
    <n v="0"/>
    <n v="2"/>
    <x v="1"/>
    <d v="2013-11-08T00:00:00"/>
    <s v="11 years, 7 months"/>
    <n v="87"/>
    <n v="9"/>
    <n v="14"/>
    <n v="23"/>
    <n v="5"/>
    <n v="9"/>
    <n v="14"/>
  </r>
  <r>
    <n v="672"/>
    <x v="672"/>
    <n v="1970"/>
    <x v="25"/>
    <x v="0"/>
    <x v="4"/>
    <n v="66731"/>
    <x v="0"/>
    <n v="0"/>
    <n v="1"/>
    <x v="2"/>
    <d v="2012-09-12T00:00:00"/>
    <s v="12 years, 9 months"/>
    <n v="33"/>
    <n v="159"/>
    <n v="106"/>
    <n v="265"/>
    <n v="4"/>
    <n v="6"/>
    <n v="10"/>
  </r>
  <r>
    <n v="673"/>
    <x v="673"/>
    <n v="1980"/>
    <x v="16"/>
    <x v="0"/>
    <x v="2"/>
    <n v="77353"/>
    <x v="2"/>
    <n v="0"/>
    <n v="1"/>
    <x v="2"/>
    <d v="2013-12-16T00:00:00"/>
    <s v="11 years, 6 months"/>
    <n v="38"/>
    <n v="59"/>
    <n v="101"/>
    <n v="160"/>
    <n v="6"/>
    <n v="8"/>
    <n v="14"/>
  </r>
  <r>
    <n v="674"/>
    <x v="674"/>
    <n v="1975"/>
    <x v="28"/>
    <x v="1"/>
    <x v="0"/>
    <n v="52614"/>
    <x v="0"/>
    <n v="0"/>
    <n v="1"/>
    <x v="2"/>
    <d v="2012-12-01T00:00:00"/>
    <s v="12 years, 7 months"/>
    <n v="63"/>
    <n v="0"/>
    <n v="9"/>
    <n v="9"/>
    <n v="2"/>
    <n v="8"/>
    <n v="10"/>
  </r>
  <r>
    <n v="675"/>
    <x v="675"/>
    <n v="1974"/>
    <x v="8"/>
    <x v="0"/>
    <x v="2"/>
    <n v="26751"/>
    <x v="0"/>
    <n v="2"/>
    <n v="0"/>
    <x v="1"/>
    <d v="2014-05-22T00:00:00"/>
    <s v="11 years, 1 months"/>
    <n v="26"/>
    <n v="1"/>
    <n v="3"/>
    <n v="4"/>
    <n v="1"/>
    <n v="2"/>
    <n v="3"/>
  </r>
  <r>
    <n v="676"/>
    <x v="676"/>
    <n v="1963"/>
    <x v="24"/>
    <x v="1"/>
    <x v="2"/>
    <n v="81300"/>
    <x v="2"/>
    <n v="0"/>
    <n v="1"/>
    <x v="2"/>
    <d v="2012-10-30T00:00:00"/>
    <s v="12 years, 8 months"/>
    <n v="17"/>
    <n v="12"/>
    <n v="12"/>
    <n v="24"/>
    <n v="10"/>
    <n v="5"/>
    <n v="15"/>
  </r>
  <r>
    <n v="677"/>
    <x v="677"/>
    <n v="1979"/>
    <x v="19"/>
    <x v="0"/>
    <x v="0"/>
    <n v="70337"/>
    <x v="0"/>
    <n v="0"/>
    <n v="0"/>
    <x v="0"/>
    <d v="2014-01-02T00:00:00"/>
    <s v="11 years, 6 months"/>
    <n v="75"/>
    <n v="81"/>
    <n v="43"/>
    <n v="124"/>
    <n v="2"/>
    <n v="12"/>
    <n v="14"/>
  </r>
  <r>
    <n v="678"/>
    <x v="678"/>
    <n v="1985"/>
    <x v="7"/>
    <x v="4"/>
    <x v="2"/>
    <n v="36145"/>
    <x v="0"/>
    <n v="1"/>
    <n v="0"/>
    <x v="2"/>
    <d v="2013-06-16T00:00:00"/>
    <s v="12 years, 0 months"/>
    <n v="13"/>
    <n v="4"/>
    <n v="1"/>
    <n v="5"/>
    <n v="4"/>
    <n v="3"/>
    <n v="7"/>
  </r>
  <r>
    <n v="679"/>
    <x v="679"/>
    <n v="1980"/>
    <x v="16"/>
    <x v="1"/>
    <x v="0"/>
    <n v="65295"/>
    <x v="0"/>
    <n v="0"/>
    <n v="0"/>
    <x v="0"/>
    <d v="2013-12-23T00:00:00"/>
    <s v="11 years, 6 months"/>
    <n v="19"/>
    <n v="32"/>
    <n v="110"/>
    <n v="142"/>
    <n v="3"/>
    <n v="13"/>
    <n v="16"/>
  </r>
  <r>
    <n v="680"/>
    <x v="680"/>
    <n v="1963"/>
    <x v="24"/>
    <x v="0"/>
    <x v="3"/>
    <n v="68118"/>
    <x v="0"/>
    <n v="0"/>
    <n v="1"/>
    <x v="2"/>
    <d v="2013-10-18T00:00:00"/>
    <s v="11 years, 8 months"/>
    <n v="51"/>
    <n v="23"/>
    <n v="23"/>
    <n v="46"/>
    <n v="8"/>
    <n v="4"/>
    <n v="12"/>
  </r>
  <r>
    <n v="681"/>
    <x v="681"/>
    <n v="1967"/>
    <x v="5"/>
    <x v="0"/>
    <x v="3"/>
    <n v="68743"/>
    <x v="0"/>
    <n v="0"/>
    <n v="0"/>
    <x v="0"/>
    <d v="2012-08-30T00:00:00"/>
    <s v="12 years, 10 months"/>
    <n v="81"/>
    <n v="134"/>
    <n v="134"/>
    <n v="268"/>
    <n v="11"/>
    <n v="13"/>
    <n v="24"/>
  </r>
  <r>
    <n v="682"/>
    <x v="682"/>
    <n v="1982"/>
    <x v="18"/>
    <x v="4"/>
    <x v="1"/>
    <n v="41039"/>
    <x v="0"/>
    <n v="0"/>
    <n v="0"/>
    <x v="0"/>
    <d v="2013-07-25T00:00:00"/>
    <s v="11 years, 11 months"/>
    <n v="32"/>
    <n v="11"/>
    <n v="61"/>
    <n v="72"/>
    <n v="8"/>
    <n v="5"/>
    <n v="13"/>
  </r>
  <r>
    <n v="683"/>
    <x v="683"/>
    <n v="1955"/>
    <x v="34"/>
    <x v="0"/>
    <x v="1"/>
    <n v="38946"/>
    <x v="0"/>
    <n v="0"/>
    <n v="1"/>
    <x v="2"/>
    <d v="2013-10-24T00:00:00"/>
    <s v="11 years, 8 months"/>
    <n v="84"/>
    <n v="6"/>
    <n v="6"/>
    <n v="12"/>
    <n v="3"/>
    <n v="6"/>
    <n v="9"/>
  </r>
  <r>
    <n v="684"/>
    <x v="684"/>
    <n v="1967"/>
    <x v="5"/>
    <x v="0"/>
    <x v="1"/>
    <n v="65777"/>
    <x v="0"/>
    <n v="0"/>
    <n v="0"/>
    <x v="0"/>
    <d v="2013-12-19T00:00:00"/>
    <s v="11 years, 6 months"/>
    <n v="87"/>
    <n v="32"/>
    <n v="32"/>
    <n v="64"/>
    <n v="2"/>
    <n v="6"/>
    <n v="8"/>
  </r>
  <r>
    <n v="685"/>
    <x v="685"/>
    <n v="1976"/>
    <x v="11"/>
    <x v="1"/>
    <x v="3"/>
    <n v="66476"/>
    <x v="0"/>
    <n v="0"/>
    <n v="1"/>
    <x v="2"/>
    <d v="2013-03-07T00:00:00"/>
    <s v="12 years, 3 months"/>
    <n v="99"/>
    <n v="18"/>
    <n v="48"/>
    <n v="66"/>
    <n v="5"/>
    <n v="11"/>
    <n v="16"/>
  </r>
  <r>
    <n v="686"/>
    <x v="686"/>
    <n v="1972"/>
    <x v="39"/>
    <x v="1"/>
    <x v="0"/>
    <n v="86857"/>
    <x v="2"/>
    <n v="0"/>
    <n v="0"/>
    <x v="0"/>
    <d v="2012-09-12T00:00:00"/>
    <s v="12 years, 9 months"/>
    <n v="96"/>
    <n v="102"/>
    <n v="102"/>
    <n v="204"/>
    <n v="5"/>
    <n v="10"/>
    <n v="15"/>
  </r>
  <r>
    <n v="687"/>
    <x v="687"/>
    <n v="1982"/>
    <x v="18"/>
    <x v="1"/>
    <x v="2"/>
    <n v="160803"/>
    <x v="3"/>
    <n v="0"/>
    <n v="0"/>
    <x v="0"/>
    <d v="2012-08-04T00:00:00"/>
    <s v="12 years, 11 months"/>
    <n v="21"/>
    <n v="16"/>
    <n v="3"/>
    <n v="19"/>
    <n v="0"/>
    <n v="1"/>
    <n v="1"/>
  </r>
  <r>
    <n v="688"/>
    <x v="688"/>
    <n v="1989"/>
    <x v="23"/>
    <x v="1"/>
    <x v="1"/>
    <n v="77845"/>
    <x v="2"/>
    <n v="0"/>
    <n v="0"/>
    <x v="0"/>
    <d v="2014-05-16T00:00:00"/>
    <s v="11 years, 1 months"/>
    <n v="40"/>
    <n v="40"/>
    <n v="40"/>
    <n v="80"/>
    <n v="3"/>
    <n v="12"/>
    <n v="15"/>
  </r>
  <r>
    <n v="689"/>
    <x v="689"/>
    <n v="1969"/>
    <x v="21"/>
    <x v="1"/>
    <x v="1"/>
    <n v="69476"/>
    <x v="0"/>
    <n v="0"/>
    <n v="0"/>
    <x v="0"/>
    <d v="2013-09-30T00:00:00"/>
    <s v="11 years, 9 months"/>
    <n v="3"/>
    <n v="86"/>
    <n v="9"/>
    <n v="95"/>
    <n v="4"/>
    <n v="4"/>
    <n v="8"/>
  </r>
  <r>
    <n v="690"/>
    <x v="690"/>
    <n v="1960"/>
    <x v="40"/>
    <x v="1"/>
    <x v="3"/>
    <n v="50611"/>
    <x v="0"/>
    <n v="0"/>
    <n v="1"/>
    <x v="2"/>
    <d v="2012-10-04T00:00:00"/>
    <s v="12 years, 9 months"/>
    <n v="98"/>
    <n v="0"/>
    <n v="0"/>
    <n v="0"/>
    <n v="4"/>
    <n v="7"/>
    <n v="11"/>
  </r>
  <r>
    <n v="691"/>
    <x v="691"/>
    <n v="1970"/>
    <x v="25"/>
    <x v="0"/>
    <x v="0"/>
    <n v="61209"/>
    <x v="0"/>
    <n v="0"/>
    <n v="0"/>
    <x v="0"/>
    <d v="2013-08-25T00:00:00"/>
    <s v="11 years, 10 months"/>
    <n v="73"/>
    <n v="0"/>
    <n v="49"/>
    <n v="49"/>
    <n v="5"/>
    <n v="4"/>
    <n v="9"/>
  </r>
  <r>
    <n v="692"/>
    <x v="692"/>
    <n v="1958"/>
    <x v="38"/>
    <x v="2"/>
    <x v="1"/>
    <n v="42315"/>
    <x v="0"/>
    <n v="0"/>
    <n v="1"/>
    <x v="2"/>
    <d v="2013-07-12T00:00:00"/>
    <s v="11 years, 11 months"/>
    <n v="90"/>
    <n v="15"/>
    <n v="11"/>
    <n v="26"/>
    <n v="1"/>
    <n v="4"/>
    <n v="5"/>
  </r>
  <r>
    <n v="693"/>
    <x v="693"/>
    <n v="1952"/>
    <x v="13"/>
    <x v="3"/>
    <x v="1"/>
    <n v="13084"/>
    <x v="1"/>
    <n v="0"/>
    <n v="0"/>
    <x v="0"/>
    <d v="2013-11-02T00:00:00"/>
    <s v="11 years, 8 months"/>
    <n v="29"/>
    <n v="0"/>
    <n v="7"/>
    <n v="7"/>
    <n v="1"/>
    <n v="3"/>
    <n v="4"/>
  </r>
  <r>
    <n v="694"/>
    <x v="694"/>
    <n v="1949"/>
    <x v="17"/>
    <x v="2"/>
    <x v="4"/>
    <n v="47570"/>
    <x v="0"/>
    <n v="1"/>
    <n v="1"/>
    <x v="1"/>
    <d v="2013-05-29T00:00:00"/>
    <s v="12 years, 1 months"/>
    <n v="3"/>
    <n v="1"/>
    <n v="2"/>
    <n v="3"/>
    <n v="2"/>
    <n v="2"/>
    <n v="4"/>
  </r>
  <r>
    <n v="695"/>
    <x v="695"/>
    <n v="1961"/>
    <x v="45"/>
    <x v="2"/>
    <x v="2"/>
    <n v="61923"/>
    <x v="0"/>
    <n v="0"/>
    <n v="2"/>
    <x v="1"/>
    <d v="2013-07-26T00:00:00"/>
    <s v="11 years, 11 months"/>
    <n v="94"/>
    <n v="4"/>
    <n v="3"/>
    <n v="7"/>
    <n v="2"/>
    <n v="4"/>
    <n v="6"/>
  </r>
  <r>
    <n v="696"/>
    <x v="696"/>
    <n v="1995"/>
    <x v="57"/>
    <x v="0"/>
    <x v="0"/>
    <n v="34824"/>
    <x v="0"/>
    <n v="0"/>
    <n v="0"/>
    <x v="0"/>
    <d v="2014-03-26T00:00:00"/>
    <s v="11 years, 3 months"/>
    <n v="65"/>
    <n v="2"/>
    <n v="0"/>
    <n v="2"/>
    <n v="1"/>
    <n v="2"/>
    <n v="3"/>
  </r>
  <r>
    <n v="697"/>
    <x v="697"/>
    <n v="1949"/>
    <x v="17"/>
    <x v="1"/>
    <x v="0"/>
    <n v="26518"/>
    <x v="0"/>
    <n v="1"/>
    <n v="1"/>
    <x v="1"/>
    <d v="2013-04-08T00:00:00"/>
    <s v="12 years, 2 months"/>
    <n v="33"/>
    <n v="1"/>
    <n v="3"/>
    <n v="4"/>
    <n v="2"/>
    <n v="3"/>
    <n v="5"/>
  </r>
  <r>
    <n v="698"/>
    <x v="698"/>
    <n v="1961"/>
    <x v="45"/>
    <x v="0"/>
    <x v="0"/>
    <n v="45938"/>
    <x v="0"/>
    <n v="0"/>
    <n v="0"/>
    <x v="0"/>
    <d v="2013-11-03T00:00:00"/>
    <s v="11 years, 8 months"/>
    <n v="46"/>
    <n v="11"/>
    <n v="83"/>
    <n v="94"/>
    <n v="8"/>
    <n v="6"/>
    <n v="14"/>
  </r>
  <r>
    <n v="699"/>
    <x v="699"/>
    <n v="1960"/>
    <x v="40"/>
    <x v="0"/>
    <x v="1"/>
    <n v="78468"/>
    <x v="2"/>
    <n v="0"/>
    <n v="0"/>
    <x v="0"/>
    <d v="2014-04-09T00:00:00"/>
    <s v="11 years, 2 months"/>
    <n v="29"/>
    <n v="22"/>
    <n v="22"/>
    <n v="44"/>
    <n v="10"/>
    <n v="10"/>
    <n v="20"/>
  </r>
  <r>
    <n v="700"/>
    <x v="700"/>
    <n v="1973"/>
    <x v="26"/>
    <x v="0"/>
    <x v="3"/>
    <n v="78901"/>
    <x v="2"/>
    <n v="0"/>
    <n v="1"/>
    <x v="2"/>
    <d v="2013-09-17T00:00:00"/>
    <s v="11 years, 9 months"/>
    <n v="99"/>
    <n v="11"/>
    <n v="26"/>
    <n v="37"/>
    <n v="9"/>
    <n v="5"/>
    <n v="14"/>
  </r>
  <r>
    <n v="701"/>
    <x v="701"/>
    <n v="1978"/>
    <x v="33"/>
    <x v="0"/>
    <x v="2"/>
    <n v="71427"/>
    <x v="0"/>
    <n v="2"/>
    <n v="0"/>
    <x v="1"/>
    <d v="2014-03-12T00:00:00"/>
    <s v="11 years, 3 months"/>
    <n v="26"/>
    <n v="123"/>
    <n v="64"/>
    <n v="187"/>
    <n v="8"/>
    <n v="8"/>
    <n v="16"/>
  </r>
  <r>
    <n v="702"/>
    <x v="702"/>
    <n v="1978"/>
    <x v="33"/>
    <x v="0"/>
    <x v="3"/>
    <n v="71022"/>
    <x v="0"/>
    <n v="0"/>
    <n v="1"/>
    <x v="2"/>
    <d v="2014-02-11T00:00:00"/>
    <s v="11 years, 4 months"/>
    <n v="30"/>
    <n v="12"/>
    <n v="12"/>
    <n v="24"/>
    <n v="5"/>
    <n v="11"/>
    <n v="16"/>
  </r>
  <r>
    <n v="703"/>
    <x v="703"/>
    <n v="1988"/>
    <x v="36"/>
    <x v="2"/>
    <x v="0"/>
    <n v="90247"/>
    <x v="2"/>
    <n v="0"/>
    <n v="0"/>
    <x v="0"/>
    <d v="2014-04-29T00:00:00"/>
    <s v="11 years, 2 months"/>
    <n v="27"/>
    <n v="32"/>
    <n v="16"/>
    <n v="48"/>
    <n v="3"/>
    <n v="7"/>
    <n v="10"/>
  </r>
  <r>
    <n v="704"/>
    <x v="704"/>
    <n v="1968"/>
    <x v="30"/>
    <x v="2"/>
    <x v="3"/>
    <n v="41335"/>
    <x v="0"/>
    <n v="1"/>
    <n v="0"/>
    <x v="2"/>
    <d v="2013-12-26T00:00:00"/>
    <s v="11 years, 6 months"/>
    <n v="24"/>
    <n v="19"/>
    <n v="14"/>
    <n v="33"/>
    <n v="4"/>
    <n v="4"/>
    <n v="8"/>
  </r>
  <r>
    <n v="705"/>
    <x v="705"/>
    <n v="1986"/>
    <x v="22"/>
    <x v="0"/>
    <x v="2"/>
    <n v="71952"/>
    <x v="0"/>
    <n v="1"/>
    <n v="0"/>
    <x v="2"/>
    <d v="2013-01-10T00:00:00"/>
    <s v="12 years, 5 months"/>
    <n v="93"/>
    <n v="80"/>
    <n v="107"/>
    <n v="187"/>
    <n v="8"/>
    <n v="8"/>
    <n v="16"/>
  </r>
  <r>
    <n v="706"/>
    <x v="706"/>
    <n v="1970"/>
    <x v="25"/>
    <x v="1"/>
    <x v="3"/>
    <n v="35682"/>
    <x v="0"/>
    <n v="1"/>
    <n v="0"/>
    <x v="2"/>
    <d v="2014-06-27T00:00:00"/>
    <s v="11 years, 0 months"/>
    <n v="34"/>
    <n v="0"/>
    <n v="2"/>
    <n v="2"/>
    <n v="1"/>
    <n v="3"/>
    <n v="4"/>
  </r>
  <r>
    <n v="707"/>
    <x v="707"/>
    <n v="1951"/>
    <x v="20"/>
    <x v="0"/>
    <x v="3"/>
    <n v="43185"/>
    <x v="0"/>
    <n v="0"/>
    <n v="1"/>
    <x v="2"/>
    <d v="2013-04-10T00:00:00"/>
    <s v="12 years, 2 months"/>
    <n v="88"/>
    <n v="6"/>
    <n v="6"/>
    <n v="12"/>
    <n v="9"/>
    <n v="6"/>
    <n v="15"/>
  </r>
  <r>
    <n v="708"/>
    <x v="708"/>
    <n v="1948"/>
    <x v="37"/>
    <x v="1"/>
    <x v="1"/>
    <n v="66375"/>
    <x v="0"/>
    <n v="0"/>
    <n v="1"/>
    <x v="2"/>
    <d v="2013-11-21T00:00:00"/>
    <s v="11 years, 7 months"/>
    <n v="96"/>
    <n v="0"/>
    <n v="0"/>
    <n v="0"/>
    <n v="2"/>
    <n v="5"/>
    <n v="7"/>
  </r>
  <r>
    <n v="709"/>
    <x v="709"/>
    <n v="1971"/>
    <x v="6"/>
    <x v="2"/>
    <x v="2"/>
    <n v="35178"/>
    <x v="0"/>
    <n v="1"/>
    <n v="0"/>
    <x v="2"/>
    <d v="2013-01-10T00:00:00"/>
    <s v="12 years, 5 months"/>
    <n v="10"/>
    <n v="1"/>
    <n v="2"/>
    <n v="3"/>
    <n v="1"/>
    <n v="2"/>
    <n v="3"/>
  </r>
  <r>
    <n v="710"/>
    <x v="710"/>
    <n v="1986"/>
    <x v="22"/>
    <x v="0"/>
    <x v="2"/>
    <n v="25252"/>
    <x v="0"/>
    <n v="1"/>
    <n v="0"/>
    <x v="2"/>
    <d v="2013-07-12T00:00:00"/>
    <s v="11 years, 11 months"/>
    <n v="26"/>
    <n v="3"/>
    <n v="2"/>
    <n v="5"/>
    <n v="1"/>
    <n v="2"/>
    <n v="3"/>
  </r>
  <r>
    <n v="711"/>
    <x v="711"/>
    <n v="1965"/>
    <x v="2"/>
    <x v="2"/>
    <x v="0"/>
    <n v="55250"/>
    <x v="0"/>
    <n v="0"/>
    <n v="1"/>
    <x v="2"/>
    <d v="2012-10-21T00:00:00"/>
    <s v="12 years, 8 months"/>
    <n v="49"/>
    <n v="58"/>
    <n v="0"/>
    <n v="58"/>
    <n v="7"/>
    <n v="10"/>
    <n v="17"/>
  </r>
  <r>
    <n v="712"/>
    <x v="712"/>
    <n v="1975"/>
    <x v="28"/>
    <x v="0"/>
    <x v="0"/>
    <n v="33249"/>
    <x v="0"/>
    <n v="1"/>
    <n v="0"/>
    <x v="2"/>
    <d v="2013-02-20T00:00:00"/>
    <s v="12 years, 4 months"/>
    <n v="11"/>
    <n v="10"/>
    <n v="14"/>
    <n v="24"/>
    <n v="2"/>
    <n v="3"/>
    <n v="5"/>
  </r>
  <r>
    <n v="713"/>
    <x v="713"/>
    <n v="1953"/>
    <x v="44"/>
    <x v="0"/>
    <x v="1"/>
    <n v="58398"/>
    <x v="0"/>
    <n v="0"/>
    <n v="0"/>
    <x v="0"/>
    <d v="2013-05-14T00:00:00"/>
    <s v="12 years, 1 months"/>
    <n v="44"/>
    <n v="5"/>
    <n v="21"/>
    <n v="26"/>
    <n v="5"/>
    <n v="8"/>
    <n v="13"/>
  </r>
  <r>
    <n v="714"/>
    <x v="714"/>
    <n v="1982"/>
    <x v="18"/>
    <x v="0"/>
    <x v="1"/>
    <n v="50272"/>
    <x v="0"/>
    <n v="1"/>
    <n v="0"/>
    <x v="2"/>
    <d v="2013-08-07T00:00:00"/>
    <s v="11 years, 10 months"/>
    <n v="75"/>
    <n v="13"/>
    <n v="8"/>
    <n v="21"/>
    <n v="4"/>
    <n v="5"/>
    <n v="9"/>
  </r>
  <r>
    <n v="715"/>
    <x v="715"/>
    <n v="1975"/>
    <x v="28"/>
    <x v="1"/>
    <x v="2"/>
    <n v="76618"/>
    <x v="2"/>
    <n v="0"/>
    <n v="0"/>
    <x v="0"/>
    <d v="2012-12-07T00:00:00"/>
    <s v="12 years, 6 months"/>
    <n v="64"/>
    <n v="40"/>
    <n v="160"/>
    <n v="200"/>
    <n v="3"/>
    <n v="5"/>
    <n v="8"/>
  </r>
  <r>
    <n v="716"/>
    <x v="716"/>
    <n v="1960"/>
    <x v="40"/>
    <x v="4"/>
    <x v="3"/>
    <n v="87305"/>
    <x v="2"/>
    <n v="0"/>
    <n v="0"/>
    <x v="0"/>
    <d v="2012-09-23T00:00:00"/>
    <s v="12 years, 9 months"/>
    <n v="19"/>
    <n v="25"/>
    <n v="138"/>
    <n v="163"/>
    <n v="5"/>
    <n v="8"/>
    <n v="13"/>
  </r>
  <r>
    <n v="717"/>
    <x v="717"/>
    <n v="1978"/>
    <x v="33"/>
    <x v="0"/>
    <x v="1"/>
    <n v="25851"/>
    <x v="0"/>
    <n v="1"/>
    <n v="0"/>
    <x v="2"/>
    <d v="2013-02-11T00:00:00"/>
    <s v="12 years, 4 months"/>
    <n v="45"/>
    <n v="4"/>
    <n v="5"/>
    <n v="9"/>
    <n v="2"/>
    <n v="3"/>
    <n v="5"/>
  </r>
  <r>
    <n v="718"/>
    <x v="718"/>
    <n v="1970"/>
    <x v="25"/>
    <x v="0"/>
    <x v="3"/>
    <n v="58710"/>
    <x v="0"/>
    <n v="0"/>
    <n v="1"/>
    <x v="2"/>
    <d v="2013-03-31T00:00:00"/>
    <s v="12 years, 3 months"/>
    <n v="77"/>
    <n v="81"/>
    <n v="122"/>
    <n v="203"/>
    <n v="11"/>
    <n v="9"/>
    <n v="20"/>
  </r>
  <r>
    <n v="719"/>
    <x v="719"/>
    <n v="1958"/>
    <x v="38"/>
    <x v="0"/>
    <x v="0"/>
    <n v="45160"/>
    <x v="0"/>
    <n v="1"/>
    <n v="1"/>
    <x v="1"/>
    <d v="2014-03-29T00:00:00"/>
    <s v="11 years, 3 months"/>
    <n v="9"/>
    <n v="2"/>
    <n v="0"/>
    <n v="2"/>
    <n v="1"/>
    <n v="2"/>
    <n v="3"/>
  </r>
  <r>
    <n v="720"/>
    <x v="720"/>
    <n v="1965"/>
    <x v="2"/>
    <x v="2"/>
    <x v="2"/>
    <n v="74806"/>
    <x v="0"/>
    <n v="0"/>
    <n v="1"/>
    <x v="2"/>
    <d v="2012-12-19T00:00:00"/>
    <s v="12 years, 6 months"/>
    <n v="1"/>
    <n v="9"/>
    <n v="28"/>
    <n v="37"/>
    <n v="5"/>
    <n v="5"/>
    <n v="10"/>
  </r>
  <r>
    <n v="721"/>
    <x v="721"/>
    <n v="1954"/>
    <x v="1"/>
    <x v="0"/>
    <x v="2"/>
    <n v="59111"/>
    <x v="0"/>
    <n v="0"/>
    <n v="0"/>
    <x v="0"/>
    <d v="2013-05-02T00:00:00"/>
    <s v="12 years, 2 months"/>
    <n v="90"/>
    <n v="0"/>
    <n v="28"/>
    <n v="28"/>
    <n v="11"/>
    <n v="8"/>
    <n v="19"/>
  </r>
  <r>
    <n v="722"/>
    <x v="722"/>
    <n v="1984"/>
    <x v="3"/>
    <x v="1"/>
    <x v="2"/>
    <n v="18988"/>
    <x v="1"/>
    <n v="1"/>
    <n v="0"/>
    <x v="2"/>
    <d v="2014-05-23T00:00:00"/>
    <s v="11 years, 1 months"/>
    <n v="43"/>
    <n v="0"/>
    <n v="1"/>
    <n v="1"/>
    <n v="1"/>
    <n v="3"/>
    <n v="4"/>
  </r>
  <r>
    <n v="723"/>
    <x v="723"/>
    <n v="1965"/>
    <x v="2"/>
    <x v="0"/>
    <x v="2"/>
    <n v="72190"/>
    <x v="0"/>
    <n v="0"/>
    <n v="0"/>
    <x v="0"/>
    <d v="2013-02-13T00:00:00"/>
    <s v="12 years, 4 months"/>
    <n v="79"/>
    <n v="166"/>
    <n v="166"/>
    <n v="332"/>
    <n v="5"/>
    <n v="4"/>
    <n v="9"/>
  </r>
  <r>
    <n v="724"/>
    <x v="724"/>
    <n v="1976"/>
    <x v="11"/>
    <x v="0"/>
    <x v="2"/>
    <n v="7500"/>
    <x v="1"/>
    <n v="1"/>
    <n v="0"/>
    <x v="2"/>
    <d v="2012-08-01T00:00:00"/>
    <s v="12 years, 11 months"/>
    <n v="19"/>
    <n v="0"/>
    <n v="7"/>
    <n v="7"/>
    <n v="4"/>
    <n v="2"/>
    <n v="6"/>
  </r>
  <r>
    <n v="725"/>
    <x v="725"/>
    <n v="1966"/>
    <x v="35"/>
    <x v="0"/>
    <x v="2"/>
    <n v="44794"/>
    <x v="0"/>
    <n v="0"/>
    <n v="1"/>
    <x v="2"/>
    <d v="2014-06-08T00:00:00"/>
    <s v="11 years, 0 months"/>
    <n v="99"/>
    <n v="0"/>
    <n v="0"/>
    <n v="0"/>
    <n v="2"/>
    <n v="3"/>
    <n v="5"/>
  </r>
  <r>
    <n v="726"/>
    <x v="726"/>
    <n v="1955"/>
    <x v="34"/>
    <x v="0"/>
    <x v="2"/>
    <n v="80395"/>
    <x v="2"/>
    <n v="0"/>
    <n v="0"/>
    <x v="0"/>
    <d v="2013-11-23T00:00:00"/>
    <s v="11 years, 7 months"/>
    <n v="62"/>
    <n v="25"/>
    <n v="76"/>
    <n v="101"/>
    <n v="6"/>
    <n v="12"/>
    <n v="18"/>
  </r>
  <r>
    <n v="727"/>
    <x v="727"/>
    <n v="1976"/>
    <x v="11"/>
    <x v="2"/>
    <x v="3"/>
    <n v="75012"/>
    <x v="2"/>
    <n v="0"/>
    <n v="0"/>
    <x v="0"/>
    <d v="2014-01-25T00:00:00"/>
    <s v="11 years, 5 months"/>
    <n v="41"/>
    <n v="142"/>
    <n v="58"/>
    <n v="200"/>
    <n v="3"/>
    <n v="11"/>
    <n v="14"/>
  </r>
  <r>
    <n v="728"/>
    <x v="728"/>
    <n v="1965"/>
    <x v="2"/>
    <x v="2"/>
    <x v="2"/>
    <n v="56962"/>
    <x v="0"/>
    <n v="2"/>
    <n v="1"/>
    <x v="3"/>
    <d v="2013-10-11T00:00:00"/>
    <s v="11 years, 8 months"/>
    <n v="60"/>
    <n v="3"/>
    <n v="3"/>
    <n v="6"/>
    <n v="6"/>
    <n v="5"/>
    <n v="11"/>
  </r>
  <r>
    <n v="729"/>
    <x v="729"/>
    <n v="1991"/>
    <x v="42"/>
    <x v="0"/>
    <x v="1"/>
    <n v="89891"/>
    <x v="2"/>
    <n v="0"/>
    <n v="0"/>
    <x v="0"/>
    <d v="2013-04-15T00:00:00"/>
    <s v="12 years, 2 months"/>
    <n v="17"/>
    <n v="22"/>
    <n v="28"/>
    <n v="50"/>
    <n v="11"/>
    <n v="8"/>
    <n v="19"/>
  </r>
  <r>
    <n v="730"/>
    <x v="730"/>
    <n v="1949"/>
    <x v="17"/>
    <x v="1"/>
    <x v="3"/>
    <n v="35946"/>
    <x v="0"/>
    <n v="1"/>
    <n v="1"/>
    <x v="1"/>
    <d v="2013-09-27T00:00:00"/>
    <s v="11 years, 9 months"/>
    <n v="24"/>
    <n v="0"/>
    <n v="0"/>
    <n v="0"/>
    <n v="0"/>
    <n v="3"/>
    <n v="3"/>
  </r>
  <r>
    <n v="731"/>
    <x v="731"/>
    <n v="1953"/>
    <x v="44"/>
    <x v="1"/>
    <x v="1"/>
    <n v="53593"/>
    <x v="0"/>
    <n v="1"/>
    <n v="1"/>
    <x v="1"/>
    <d v="2012-08-07T00:00:00"/>
    <s v="12 years, 10 months"/>
    <n v="60"/>
    <n v="4"/>
    <n v="0"/>
    <n v="4"/>
    <n v="7"/>
    <n v="6"/>
    <n v="13"/>
  </r>
  <r>
    <n v="732"/>
    <x v="732"/>
    <n v="1978"/>
    <x v="33"/>
    <x v="0"/>
    <x v="2"/>
    <n v="66373"/>
    <x v="0"/>
    <n v="1"/>
    <n v="1"/>
    <x v="1"/>
    <d v="2013-06-12T00:00:00"/>
    <s v="12 years, 0 months"/>
    <n v="57"/>
    <n v="9"/>
    <n v="24"/>
    <n v="33"/>
    <n v="4"/>
    <n v="10"/>
    <n v="14"/>
  </r>
  <r>
    <n v="733"/>
    <x v="733"/>
    <n v="1948"/>
    <x v="37"/>
    <x v="1"/>
    <x v="3"/>
    <n v="45072"/>
    <x v="0"/>
    <n v="1"/>
    <n v="2"/>
    <x v="3"/>
    <d v="2013-10-16T00:00:00"/>
    <s v="11 years, 8 months"/>
    <n v="74"/>
    <n v="2"/>
    <n v="2"/>
    <n v="4"/>
    <n v="6"/>
    <n v="4"/>
    <n v="10"/>
  </r>
  <r>
    <n v="734"/>
    <x v="734"/>
    <n v="1973"/>
    <x v="26"/>
    <x v="0"/>
    <x v="3"/>
    <n v="89694"/>
    <x v="2"/>
    <n v="1"/>
    <n v="1"/>
    <x v="1"/>
    <d v="2013-10-09T00:00:00"/>
    <s v="11 years, 8 months"/>
    <n v="22"/>
    <n v="28"/>
    <n v="28"/>
    <n v="56"/>
    <n v="4"/>
    <n v="4"/>
    <n v="8"/>
  </r>
  <r>
    <n v="735"/>
    <x v="735"/>
    <n v="1949"/>
    <x v="17"/>
    <x v="0"/>
    <x v="2"/>
    <n v="72025"/>
    <x v="0"/>
    <n v="0"/>
    <n v="0"/>
    <x v="0"/>
    <d v="2014-04-29T00:00:00"/>
    <s v="11 years, 2 months"/>
    <n v="46"/>
    <n v="0"/>
    <n v="50"/>
    <n v="50"/>
    <n v="4"/>
    <n v="13"/>
    <n v="17"/>
  </r>
  <r>
    <n v="736"/>
    <x v="736"/>
    <n v="1973"/>
    <x v="26"/>
    <x v="0"/>
    <x v="2"/>
    <n v="67432"/>
    <x v="0"/>
    <n v="0"/>
    <n v="1"/>
    <x v="2"/>
    <d v="2013-03-29T00:00:00"/>
    <s v="12 years, 3 months"/>
    <n v="69"/>
    <n v="79"/>
    <n v="136"/>
    <n v="215"/>
    <n v="8"/>
    <n v="4"/>
    <n v="12"/>
  </r>
  <r>
    <n v="737"/>
    <x v="737"/>
    <n v="1952"/>
    <x v="13"/>
    <x v="2"/>
    <x v="1"/>
    <n v="70545"/>
    <x v="0"/>
    <n v="0"/>
    <n v="1"/>
    <x v="2"/>
    <d v="2014-06-03T00:00:00"/>
    <s v="11 years, 1 months"/>
    <n v="29"/>
    <n v="39"/>
    <n v="18"/>
    <n v="57"/>
    <n v="4"/>
    <n v="7"/>
    <n v="11"/>
  </r>
  <r>
    <n v="738"/>
    <x v="738"/>
    <n v="1989"/>
    <x v="23"/>
    <x v="3"/>
    <x v="2"/>
    <n v="17487"/>
    <x v="1"/>
    <n v="1"/>
    <n v="0"/>
    <x v="2"/>
    <d v="2013-03-18T00:00:00"/>
    <s v="12 years, 3 months"/>
    <n v="37"/>
    <n v="0"/>
    <n v="4"/>
    <n v="4"/>
    <n v="1"/>
    <n v="2"/>
    <n v="3"/>
  </r>
  <r>
    <n v="739"/>
    <x v="739"/>
    <n v="1969"/>
    <x v="21"/>
    <x v="0"/>
    <x v="1"/>
    <n v="62882"/>
    <x v="0"/>
    <n v="0"/>
    <n v="1"/>
    <x v="2"/>
    <d v="2012-08-09T00:00:00"/>
    <s v="12 years, 10 months"/>
    <n v="26"/>
    <n v="133"/>
    <n v="24"/>
    <n v="157"/>
    <n v="7"/>
    <n v="6"/>
    <n v="13"/>
  </r>
  <r>
    <n v="740"/>
    <x v="740"/>
    <n v="1953"/>
    <x v="44"/>
    <x v="1"/>
    <x v="0"/>
    <n v="64108"/>
    <x v="0"/>
    <n v="0"/>
    <n v="1"/>
    <x v="2"/>
    <d v="2013-03-23T00:00:00"/>
    <s v="12 years, 3 months"/>
    <n v="8"/>
    <n v="10"/>
    <n v="21"/>
    <n v="31"/>
    <n v="6"/>
    <n v="11"/>
    <n v="17"/>
  </r>
  <r>
    <n v="741"/>
    <x v="741"/>
    <n v="1956"/>
    <x v="46"/>
    <x v="2"/>
    <x v="1"/>
    <n v="34941"/>
    <x v="0"/>
    <n v="1"/>
    <n v="1"/>
    <x v="1"/>
    <d v="2013-03-06T00:00:00"/>
    <s v="12 years, 4 months"/>
    <n v="26"/>
    <n v="2"/>
    <n v="3"/>
    <n v="5"/>
    <n v="3"/>
    <n v="3"/>
    <n v="6"/>
  </r>
  <r>
    <n v="742"/>
    <x v="742"/>
    <n v="1950"/>
    <x v="9"/>
    <x v="1"/>
    <x v="0"/>
    <n v="48767"/>
    <x v="0"/>
    <n v="1"/>
    <n v="2"/>
    <x v="3"/>
    <d v="2014-01-01T00:00:00"/>
    <s v="11 years, 6 months"/>
    <n v="79"/>
    <n v="1"/>
    <n v="0"/>
    <n v="1"/>
    <n v="2"/>
    <n v="3"/>
    <n v="5"/>
  </r>
  <r>
    <n v="743"/>
    <x v="743"/>
    <n v="1978"/>
    <x v="33"/>
    <x v="4"/>
    <x v="1"/>
    <n v="38702"/>
    <x v="0"/>
    <n v="1"/>
    <n v="0"/>
    <x v="2"/>
    <d v="2013-08-01T00:00:00"/>
    <s v="11 years, 11 months"/>
    <n v="71"/>
    <n v="11"/>
    <n v="8"/>
    <n v="19"/>
    <n v="3"/>
    <n v="4"/>
    <n v="7"/>
  </r>
  <r>
    <n v="744"/>
    <x v="744"/>
    <n v="1964"/>
    <x v="31"/>
    <x v="0"/>
    <x v="2"/>
    <n v="82224"/>
    <x v="2"/>
    <n v="0"/>
    <n v="0"/>
    <x v="0"/>
    <d v="2014-01-25T00:00:00"/>
    <s v="11 years, 5 months"/>
    <n v="83"/>
    <n v="26"/>
    <n v="31"/>
    <n v="57"/>
    <n v="6"/>
    <n v="5"/>
    <n v="11"/>
  </r>
  <r>
    <n v="745"/>
    <x v="745"/>
    <n v="1952"/>
    <x v="13"/>
    <x v="0"/>
    <x v="1"/>
    <n v="83844"/>
    <x v="2"/>
    <n v="0"/>
    <n v="0"/>
    <x v="0"/>
    <d v="2013-05-12T00:00:00"/>
    <s v="12 years, 1 months"/>
    <n v="57"/>
    <n v="31"/>
    <n v="31"/>
    <n v="62"/>
    <n v="4"/>
    <n v="11"/>
    <n v="15"/>
  </r>
  <r>
    <n v="746"/>
    <x v="746"/>
    <n v="1975"/>
    <x v="28"/>
    <x v="4"/>
    <x v="2"/>
    <n v="17003"/>
    <x v="1"/>
    <n v="1"/>
    <n v="0"/>
    <x v="2"/>
    <d v="2013-12-09T00:00:00"/>
    <s v="11 years, 6 months"/>
    <n v="37"/>
    <n v="5"/>
    <n v="8"/>
    <n v="13"/>
    <n v="2"/>
    <n v="4"/>
    <n v="6"/>
  </r>
  <r>
    <n v="747"/>
    <x v="747"/>
    <n v="1995"/>
    <x v="57"/>
    <x v="0"/>
    <x v="0"/>
    <n v="71163"/>
    <x v="0"/>
    <n v="0"/>
    <n v="0"/>
    <x v="0"/>
    <d v="2014-03-09T00:00:00"/>
    <s v="11 years, 3 months"/>
    <n v="30"/>
    <n v="17"/>
    <n v="106"/>
    <n v="123"/>
    <n v="3"/>
    <n v="12"/>
    <n v="15"/>
  </r>
  <r>
    <n v="748"/>
    <x v="748"/>
    <n v="1970"/>
    <x v="25"/>
    <x v="0"/>
    <x v="0"/>
    <n v="33697"/>
    <x v="0"/>
    <n v="1"/>
    <n v="0"/>
    <x v="2"/>
    <d v="2013-09-15T00:00:00"/>
    <s v="11 years, 9 months"/>
    <n v="34"/>
    <n v="3"/>
    <n v="3"/>
    <n v="6"/>
    <n v="1"/>
    <n v="2"/>
    <n v="3"/>
  </r>
  <r>
    <n v="749"/>
    <x v="749"/>
    <n v="1954"/>
    <x v="1"/>
    <x v="4"/>
    <x v="2"/>
    <n v="63564"/>
    <x v="0"/>
    <n v="0"/>
    <n v="0"/>
    <x v="0"/>
    <d v="2014-01-29T00:00:00"/>
    <s v="11 years, 5 months"/>
    <n v="0"/>
    <n v="80"/>
    <n v="34"/>
    <n v="114"/>
    <n v="10"/>
    <n v="7"/>
    <n v="17"/>
  </r>
  <r>
    <n v="750"/>
    <x v="750"/>
    <n v="1972"/>
    <x v="39"/>
    <x v="1"/>
    <x v="1"/>
    <n v="83443"/>
    <x v="2"/>
    <n v="0"/>
    <n v="0"/>
    <x v="0"/>
    <d v="2013-12-31T00:00:00"/>
    <s v="11 years, 6 months"/>
    <n v="89"/>
    <n v="42"/>
    <n v="56"/>
    <n v="98"/>
    <n v="6"/>
    <n v="5"/>
    <n v="11"/>
  </r>
  <r>
    <n v="751"/>
    <x v="751"/>
    <n v="1958"/>
    <x v="38"/>
    <x v="1"/>
    <x v="1"/>
    <n v="51518"/>
    <x v="0"/>
    <n v="0"/>
    <n v="1"/>
    <x v="2"/>
    <d v="2013-10-03T00:00:00"/>
    <s v="11 years, 9 months"/>
    <n v="92"/>
    <n v="8"/>
    <n v="4"/>
    <n v="12"/>
    <n v="3"/>
    <n v="10"/>
    <n v="13"/>
  </r>
  <r>
    <n v="752"/>
    <x v="752"/>
    <n v="1975"/>
    <x v="28"/>
    <x v="0"/>
    <x v="4"/>
    <n v="58330"/>
    <x v="0"/>
    <n v="0"/>
    <n v="1"/>
    <x v="2"/>
    <d v="2013-12-25T00:00:00"/>
    <s v="11 years, 6 months"/>
    <n v="87"/>
    <n v="53"/>
    <n v="98"/>
    <n v="151"/>
    <n v="6"/>
    <n v="13"/>
    <n v="19"/>
  </r>
  <r>
    <n v="753"/>
    <x v="753"/>
    <n v="1969"/>
    <x v="21"/>
    <x v="0"/>
    <x v="2"/>
    <n v="80952"/>
    <x v="2"/>
    <n v="0"/>
    <n v="0"/>
    <x v="0"/>
    <d v="2013-02-28T00:00:00"/>
    <s v="12 years, 4 months"/>
    <n v="20"/>
    <n v="178"/>
    <n v="27"/>
    <n v="205"/>
    <n v="8"/>
    <n v="11"/>
    <n v="19"/>
  </r>
  <r>
    <n v="754"/>
    <x v="754"/>
    <n v="1979"/>
    <x v="19"/>
    <x v="0"/>
    <x v="1"/>
    <n v="75507"/>
    <x v="2"/>
    <n v="0"/>
    <n v="0"/>
    <x v="0"/>
    <d v="2014-05-02T00:00:00"/>
    <s v="11 years, 2 months"/>
    <n v="56"/>
    <n v="93"/>
    <n v="80"/>
    <n v="173"/>
    <n v="8"/>
    <n v="6"/>
    <n v="14"/>
  </r>
  <r>
    <n v="755"/>
    <x v="755"/>
    <n v="1978"/>
    <x v="33"/>
    <x v="4"/>
    <x v="1"/>
    <n v="63855"/>
    <x v="0"/>
    <n v="0"/>
    <n v="0"/>
    <x v="0"/>
    <d v="2013-02-09T00:00:00"/>
    <s v="12 years, 4 months"/>
    <n v="28"/>
    <n v="35"/>
    <n v="116"/>
    <n v="151"/>
    <n v="7"/>
    <n v="13"/>
    <n v="20"/>
  </r>
  <r>
    <n v="756"/>
    <x v="756"/>
    <n v="1972"/>
    <x v="39"/>
    <x v="1"/>
    <x v="1"/>
    <n v="62220"/>
    <x v="0"/>
    <n v="0"/>
    <n v="1"/>
    <x v="2"/>
    <d v="2012-08-11T00:00:00"/>
    <s v="12 years, 10 months"/>
    <n v="55"/>
    <n v="12"/>
    <n v="12"/>
    <n v="24"/>
    <n v="7"/>
    <n v="5"/>
    <n v="12"/>
  </r>
  <r>
    <n v="757"/>
    <x v="757"/>
    <n v="1964"/>
    <x v="31"/>
    <x v="0"/>
    <x v="2"/>
    <n v="58512"/>
    <x v="0"/>
    <n v="0"/>
    <n v="1"/>
    <x v="2"/>
    <d v="2013-09-19T00:00:00"/>
    <s v="11 years, 9 months"/>
    <n v="25"/>
    <n v="10"/>
    <n v="0"/>
    <n v="10"/>
    <n v="3"/>
    <n v="8"/>
    <n v="11"/>
  </r>
  <r>
    <n v="758"/>
    <x v="758"/>
    <n v="1979"/>
    <x v="19"/>
    <x v="2"/>
    <x v="2"/>
    <n v="40662"/>
    <x v="0"/>
    <n v="1"/>
    <n v="0"/>
    <x v="2"/>
    <d v="2013-03-15T00:00:00"/>
    <s v="12 years, 3 months"/>
    <n v="0"/>
    <n v="2"/>
    <n v="4"/>
    <n v="6"/>
    <n v="2"/>
    <n v="3"/>
    <n v="5"/>
  </r>
  <r>
    <n v="759"/>
    <x v="759"/>
    <n v="1959"/>
    <x v="12"/>
    <x v="1"/>
    <x v="2"/>
    <n v="38829"/>
    <x v="0"/>
    <n v="0"/>
    <n v="1"/>
    <x v="2"/>
    <d v="2014-04-06T00:00:00"/>
    <s v="11 years, 3 months"/>
    <n v="86"/>
    <n v="0"/>
    <n v="0"/>
    <n v="0"/>
    <n v="3"/>
    <n v="2"/>
    <n v="5"/>
  </r>
  <r>
    <n v="760"/>
    <x v="760"/>
    <n v="1981"/>
    <x v="4"/>
    <x v="4"/>
    <x v="2"/>
    <n v="35523"/>
    <x v="0"/>
    <n v="1"/>
    <n v="0"/>
    <x v="2"/>
    <d v="2013-10-03T00:00:00"/>
    <s v="11 years, 9 months"/>
    <n v="8"/>
    <n v="5"/>
    <n v="5"/>
    <n v="10"/>
    <n v="3"/>
    <n v="3"/>
    <n v="6"/>
  </r>
  <r>
    <n v="761"/>
    <x v="761"/>
    <n v="1967"/>
    <x v="5"/>
    <x v="0"/>
    <x v="0"/>
    <n v="79146"/>
    <x v="2"/>
    <n v="1"/>
    <n v="1"/>
    <x v="1"/>
    <d v="2014-04-24T00:00:00"/>
    <s v="11 years, 2 months"/>
    <n v="33"/>
    <n v="16"/>
    <n v="43"/>
    <n v="59"/>
    <n v="8"/>
    <n v="8"/>
    <n v="16"/>
  </r>
  <r>
    <n v="762"/>
    <x v="762"/>
    <n v="1988"/>
    <x v="36"/>
    <x v="2"/>
    <x v="2"/>
    <n v="78285"/>
    <x v="2"/>
    <n v="0"/>
    <n v="0"/>
    <x v="0"/>
    <d v="2013-10-28T00:00:00"/>
    <s v="11 years, 8 months"/>
    <n v="13"/>
    <n v="107"/>
    <n v="67"/>
    <n v="174"/>
    <n v="6"/>
    <n v="10"/>
    <n v="16"/>
  </r>
  <r>
    <n v="763"/>
    <x v="763"/>
    <n v="1978"/>
    <x v="33"/>
    <x v="1"/>
    <x v="0"/>
    <n v="31626"/>
    <x v="0"/>
    <n v="1"/>
    <n v="0"/>
    <x v="2"/>
    <d v="2013-05-10T00:00:00"/>
    <s v="12 years, 1 months"/>
    <n v="12"/>
    <n v="1"/>
    <n v="1"/>
    <n v="2"/>
    <n v="2"/>
    <n v="2"/>
    <n v="4"/>
  </r>
  <r>
    <n v="764"/>
    <x v="764"/>
    <n v="1952"/>
    <x v="13"/>
    <x v="0"/>
    <x v="0"/>
    <n v="75127"/>
    <x v="2"/>
    <n v="0"/>
    <n v="0"/>
    <x v="0"/>
    <d v="2014-05-22T00:00:00"/>
    <s v="11 years, 1 months"/>
    <n v="92"/>
    <n v="35"/>
    <n v="17"/>
    <n v="52"/>
    <n v="2"/>
    <n v="5"/>
    <n v="7"/>
  </r>
  <r>
    <n v="765"/>
    <x v="765"/>
    <n v="1955"/>
    <x v="34"/>
    <x v="0"/>
    <x v="2"/>
    <n v="48726"/>
    <x v="0"/>
    <n v="0"/>
    <n v="1"/>
    <x v="2"/>
    <d v="2013-04-27T00:00:00"/>
    <s v="12 years, 2 months"/>
    <n v="90"/>
    <n v="3"/>
    <n v="0"/>
    <n v="3"/>
    <n v="3"/>
    <n v="4"/>
    <n v="7"/>
  </r>
  <r>
    <n v="766"/>
    <x v="766"/>
    <n v="1977"/>
    <x v="32"/>
    <x v="0"/>
    <x v="2"/>
    <n v="74985"/>
    <x v="0"/>
    <n v="0"/>
    <n v="0"/>
    <x v="0"/>
    <d v="2012-09-11T00:00:00"/>
    <s v="12 years, 9 months"/>
    <n v="8"/>
    <n v="51"/>
    <n v="0"/>
    <n v="51"/>
    <n v="3"/>
    <n v="7"/>
    <n v="10"/>
  </r>
  <r>
    <n v="767"/>
    <x v="767"/>
    <n v="1987"/>
    <x v="14"/>
    <x v="0"/>
    <x v="1"/>
    <n v="67430"/>
    <x v="0"/>
    <n v="0"/>
    <n v="0"/>
    <x v="0"/>
    <d v="2012-09-05T00:00:00"/>
    <s v="12 years, 10 months"/>
    <n v="6"/>
    <n v="97"/>
    <n v="133"/>
    <n v="230"/>
    <n v="11"/>
    <n v="12"/>
    <n v="23"/>
  </r>
  <r>
    <n v="768"/>
    <x v="768"/>
    <n v="1965"/>
    <x v="2"/>
    <x v="4"/>
    <x v="2"/>
    <n v="46891"/>
    <x v="0"/>
    <n v="0"/>
    <n v="1"/>
    <x v="2"/>
    <d v="2013-09-01T00:00:00"/>
    <s v="11 years, 10 months"/>
    <n v="91"/>
    <n v="12"/>
    <n v="15"/>
    <n v="27"/>
    <n v="2"/>
    <n v="4"/>
    <n v="6"/>
  </r>
  <r>
    <n v="769"/>
    <x v="769"/>
    <n v="1956"/>
    <x v="46"/>
    <x v="2"/>
    <x v="2"/>
    <n v="62058"/>
    <x v="0"/>
    <n v="0"/>
    <n v="1"/>
    <x v="2"/>
    <d v="2013-05-26T00:00:00"/>
    <s v="12 years, 1 months"/>
    <n v="52"/>
    <n v="7"/>
    <n v="0"/>
    <n v="7"/>
    <n v="6"/>
    <n v="7"/>
    <n v="13"/>
  </r>
  <r>
    <n v="770"/>
    <x v="770"/>
    <n v="1979"/>
    <x v="19"/>
    <x v="0"/>
    <x v="2"/>
    <n v="72063"/>
    <x v="0"/>
    <n v="0"/>
    <n v="1"/>
    <x v="2"/>
    <d v="2013-07-03T00:00:00"/>
    <s v="12 years, 0 months"/>
    <n v="3"/>
    <n v="32"/>
    <n v="32"/>
    <n v="64"/>
    <n v="5"/>
    <n v="12"/>
    <n v="17"/>
  </r>
  <r>
    <n v="771"/>
    <x v="771"/>
    <n v="1951"/>
    <x v="20"/>
    <x v="1"/>
    <x v="2"/>
    <n v="78939"/>
    <x v="2"/>
    <n v="0"/>
    <n v="0"/>
    <x v="0"/>
    <d v="2013-12-12T00:00:00"/>
    <s v="11 years, 6 months"/>
    <n v="57"/>
    <n v="115"/>
    <n v="0"/>
    <n v="115"/>
    <n v="8"/>
    <n v="6"/>
    <n v="14"/>
  </r>
  <r>
    <n v="772"/>
    <x v="772"/>
    <n v="1965"/>
    <x v="2"/>
    <x v="0"/>
    <x v="0"/>
    <n v="42720"/>
    <x v="0"/>
    <n v="1"/>
    <n v="1"/>
    <x v="1"/>
    <d v="2013-04-24T00:00:00"/>
    <s v="12 years, 2 months"/>
    <n v="9"/>
    <n v="5"/>
    <n v="26"/>
    <n v="31"/>
    <n v="7"/>
    <n v="7"/>
    <n v="14"/>
  </r>
  <r>
    <n v="773"/>
    <x v="773"/>
    <n v="1972"/>
    <x v="39"/>
    <x v="0"/>
    <x v="2"/>
    <n v="33622"/>
    <x v="0"/>
    <n v="1"/>
    <n v="1"/>
    <x v="1"/>
    <d v="2013-04-13T00:00:00"/>
    <s v="12 years, 2 months"/>
    <n v="22"/>
    <n v="1"/>
    <n v="4"/>
    <n v="5"/>
    <n v="2"/>
    <n v="4"/>
    <n v="6"/>
  </r>
  <r>
    <n v="774"/>
    <x v="774"/>
    <n v="1957"/>
    <x v="0"/>
    <x v="1"/>
    <x v="1"/>
    <n v="6835"/>
    <x v="1"/>
    <n v="0"/>
    <n v="1"/>
    <x v="2"/>
    <d v="2012-12-08T00:00:00"/>
    <s v="12 years, 6 months"/>
    <n v="76"/>
    <n v="2"/>
    <n v="2"/>
    <n v="4"/>
    <n v="0"/>
    <n v="1"/>
    <n v="1"/>
  </r>
  <r>
    <n v="775"/>
    <x v="775"/>
    <n v="1953"/>
    <x v="44"/>
    <x v="0"/>
    <x v="1"/>
    <n v="41452"/>
    <x v="0"/>
    <n v="1"/>
    <n v="1"/>
    <x v="1"/>
    <d v="2013-03-06T00:00:00"/>
    <s v="12 years, 4 months"/>
    <n v="86"/>
    <n v="0"/>
    <n v="0"/>
    <n v="0"/>
    <n v="1"/>
    <n v="2"/>
    <n v="3"/>
  </r>
  <r>
    <n v="776"/>
    <x v="776"/>
    <n v="1965"/>
    <x v="2"/>
    <x v="1"/>
    <x v="0"/>
    <n v="40760"/>
    <x v="0"/>
    <n v="0"/>
    <n v="1"/>
    <x v="2"/>
    <d v="2013-08-30T00:00:00"/>
    <s v="11 years, 10 months"/>
    <n v="64"/>
    <n v="0"/>
    <n v="0"/>
    <n v="0"/>
    <n v="2"/>
    <n v="3"/>
    <n v="5"/>
  </r>
  <r>
    <n v="777"/>
    <x v="777"/>
    <n v="1958"/>
    <x v="38"/>
    <x v="1"/>
    <x v="1"/>
    <n v="74250"/>
    <x v="0"/>
    <n v="0"/>
    <n v="0"/>
    <x v="0"/>
    <d v="2014-01-26T00:00:00"/>
    <s v="11 years, 5 months"/>
    <n v="90"/>
    <n v="11"/>
    <n v="0"/>
    <n v="11"/>
    <n v="2"/>
    <n v="4"/>
    <n v="6"/>
  </r>
  <r>
    <n v="778"/>
    <x v="778"/>
    <n v="1955"/>
    <x v="34"/>
    <x v="2"/>
    <x v="0"/>
    <n v="51124"/>
    <x v="0"/>
    <n v="1"/>
    <n v="1"/>
    <x v="1"/>
    <d v="2013-12-18T00:00:00"/>
    <s v="11 years, 6 months"/>
    <n v="79"/>
    <n v="1"/>
    <n v="1"/>
    <n v="2"/>
    <n v="1"/>
    <n v="3"/>
    <n v="4"/>
  </r>
  <r>
    <n v="779"/>
    <x v="779"/>
    <n v="1971"/>
    <x v="6"/>
    <x v="0"/>
    <x v="0"/>
    <n v="72258"/>
    <x v="0"/>
    <n v="0"/>
    <n v="1"/>
    <x v="2"/>
    <d v="2013-09-12T00:00:00"/>
    <s v="11 years, 9 months"/>
    <n v="28"/>
    <n v="0"/>
    <n v="120"/>
    <n v="120"/>
    <n v="6"/>
    <n v="5"/>
    <n v="11"/>
  </r>
  <r>
    <n v="780"/>
    <x v="780"/>
    <n v="1974"/>
    <x v="8"/>
    <x v="1"/>
    <x v="0"/>
    <n v="71466"/>
    <x v="0"/>
    <n v="0"/>
    <n v="0"/>
    <x v="0"/>
    <d v="2014-04-05T00:00:00"/>
    <s v="11 years, 3 months"/>
    <n v="86"/>
    <n v="12"/>
    <n v="182"/>
    <n v="194"/>
    <n v="4"/>
    <n v="10"/>
    <n v="14"/>
  </r>
  <r>
    <n v="781"/>
    <x v="781"/>
    <n v="1976"/>
    <x v="11"/>
    <x v="0"/>
    <x v="1"/>
    <n v="36283"/>
    <x v="0"/>
    <n v="1"/>
    <n v="1"/>
    <x v="1"/>
    <d v="2014-04-14T00:00:00"/>
    <s v="11 years, 2 months"/>
    <n v="42"/>
    <n v="5"/>
    <n v="0"/>
    <n v="5"/>
    <n v="1"/>
    <n v="3"/>
    <n v="4"/>
  </r>
  <r>
    <n v="782"/>
    <x v="782"/>
    <n v="1970"/>
    <x v="25"/>
    <x v="0"/>
    <x v="0"/>
    <n v="20587"/>
    <x v="1"/>
    <n v="1"/>
    <n v="0"/>
    <x v="2"/>
    <d v="2014-05-11T00:00:00"/>
    <s v="11 years, 1 months"/>
    <n v="39"/>
    <n v="3"/>
    <n v="1"/>
    <n v="4"/>
    <n v="1"/>
    <n v="2"/>
    <n v="3"/>
  </r>
  <r>
    <n v="783"/>
    <x v="783"/>
    <n v="1972"/>
    <x v="39"/>
    <x v="0"/>
    <x v="2"/>
    <n v="30467"/>
    <x v="0"/>
    <n v="1"/>
    <n v="0"/>
    <x v="2"/>
    <d v="2014-03-19T00:00:00"/>
    <s v="11 years, 3 months"/>
    <n v="8"/>
    <n v="3"/>
    <n v="5"/>
    <n v="8"/>
    <n v="1"/>
    <n v="2"/>
    <n v="3"/>
  </r>
  <r>
    <n v="784"/>
    <x v="784"/>
    <n v="1972"/>
    <x v="39"/>
    <x v="0"/>
    <x v="1"/>
    <n v="31590"/>
    <x v="0"/>
    <n v="1"/>
    <n v="0"/>
    <x v="2"/>
    <d v="2013-06-18T00:00:00"/>
    <s v="12 years, 0 months"/>
    <n v="40"/>
    <n v="2"/>
    <n v="6"/>
    <n v="8"/>
    <n v="1"/>
    <n v="3"/>
    <n v="4"/>
  </r>
  <r>
    <n v="785"/>
    <x v="785"/>
    <n v="1986"/>
    <x v="22"/>
    <x v="3"/>
    <x v="2"/>
    <n v="20425"/>
    <x v="1"/>
    <n v="1"/>
    <n v="0"/>
    <x v="2"/>
    <d v="2012-10-29T00:00:00"/>
    <s v="12 years, 8 months"/>
    <n v="5"/>
    <n v="12"/>
    <n v="16"/>
    <n v="28"/>
    <n v="2"/>
    <n v="3"/>
    <n v="5"/>
  </r>
  <r>
    <n v="786"/>
    <x v="786"/>
    <n v="1960"/>
    <x v="40"/>
    <x v="2"/>
    <x v="1"/>
    <n v="17144"/>
    <x v="1"/>
    <n v="1"/>
    <n v="1"/>
    <x v="1"/>
    <d v="2014-02-15T00:00:00"/>
    <s v="11 years, 4 months"/>
    <n v="96"/>
    <n v="2"/>
    <n v="2"/>
    <n v="4"/>
    <n v="3"/>
    <n v="4"/>
    <n v="7"/>
  </r>
  <r>
    <n v="787"/>
    <x v="787"/>
    <n v="1968"/>
    <x v="30"/>
    <x v="1"/>
    <x v="3"/>
    <n v="42564"/>
    <x v="0"/>
    <n v="0"/>
    <n v="1"/>
    <x v="2"/>
    <d v="2013-01-02T00:00:00"/>
    <s v="12 years, 6 months"/>
    <n v="28"/>
    <n v="48"/>
    <n v="18"/>
    <n v="66"/>
    <n v="6"/>
    <n v="4"/>
    <n v="10"/>
  </r>
  <r>
    <n v="788"/>
    <x v="788"/>
    <n v="1978"/>
    <x v="33"/>
    <x v="2"/>
    <x v="2"/>
    <n v="43783"/>
    <x v="0"/>
    <n v="1"/>
    <n v="0"/>
    <x v="2"/>
    <d v="2014-05-29T00:00:00"/>
    <s v="11 years, 1 months"/>
    <n v="22"/>
    <n v="9"/>
    <n v="4"/>
    <n v="13"/>
    <n v="7"/>
    <n v="8"/>
    <n v="15"/>
  </r>
  <r>
    <n v="789"/>
    <x v="789"/>
    <n v="1976"/>
    <x v="11"/>
    <x v="0"/>
    <x v="3"/>
    <n v="40780"/>
    <x v="0"/>
    <n v="0"/>
    <n v="1"/>
    <x v="2"/>
    <d v="2012-09-08T00:00:00"/>
    <s v="12 years, 9 months"/>
    <n v="30"/>
    <n v="27"/>
    <n v="3"/>
    <n v="30"/>
    <n v="7"/>
    <n v="5"/>
    <n v="12"/>
  </r>
  <r>
    <n v="790"/>
    <x v="790"/>
    <n v="1945"/>
    <x v="41"/>
    <x v="2"/>
    <x v="1"/>
    <n v="62847"/>
    <x v="0"/>
    <n v="0"/>
    <n v="0"/>
    <x v="0"/>
    <d v="2013-01-15T00:00:00"/>
    <s v="12 years, 5 months"/>
    <n v="45"/>
    <n v="168"/>
    <n v="76"/>
    <n v="244"/>
    <n v="3"/>
    <n v="4"/>
    <n v="7"/>
  </r>
  <r>
    <n v="791"/>
    <x v="791"/>
    <n v="1957"/>
    <x v="0"/>
    <x v="1"/>
    <x v="2"/>
    <n v="82017"/>
    <x v="2"/>
    <n v="0"/>
    <n v="0"/>
    <x v="0"/>
    <d v="2012-11-07T00:00:00"/>
    <s v="12 years, 7 months"/>
    <n v="58"/>
    <n v="23"/>
    <n v="23"/>
    <n v="46"/>
    <n v="5"/>
    <n v="7"/>
    <n v="12"/>
  </r>
  <r>
    <n v="792"/>
    <x v="792"/>
    <n v="1950"/>
    <x v="9"/>
    <x v="0"/>
    <x v="0"/>
    <n v="16813"/>
    <x v="1"/>
    <n v="0"/>
    <n v="0"/>
    <x v="0"/>
    <d v="2013-07-19T00:00:00"/>
    <s v="11 years, 11 months"/>
    <n v="49"/>
    <n v="8"/>
    <n v="2"/>
    <n v="10"/>
    <n v="2"/>
    <n v="3"/>
    <n v="5"/>
  </r>
  <r>
    <n v="793"/>
    <x v="793"/>
    <n v="1978"/>
    <x v="33"/>
    <x v="0"/>
    <x v="2"/>
    <n v="51267"/>
    <x v="0"/>
    <n v="1"/>
    <n v="1"/>
    <x v="1"/>
    <d v="2013-10-29T00:00:00"/>
    <s v="11 years, 8 months"/>
    <n v="37"/>
    <n v="2"/>
    <n v="2"/>
    <n v="4"/>
    <n v="3"/>
    <n v="5"/>
    <n v="8"/>
  </r>
  <r>
    <n v="794"/>
    <x v="794"/>
    <n v="1961"/>
    <x v="45"/>
    <x v="0"/>
    <x v="0"/>
    <n v="46524"/>
    <x v="0"/>
    <n v="0"/>
    <n v="1"/>
    <x v="2"/>
    <d v="2013-04-05T00:00:00"/>
    <s v="12 years, 3 months"/>
    <n v="70"/>
    <n v="19"/>
    <n v="14"/>
    <n v="33"/>
    <n v="1"/>
    <n v="5"/>
    <n v="6"/>
  </r>
  <r>
    <n v="795"/>
    <x v="795"/>
    <n v="1962"/>
    <x v="43"/>
    <x v="2"/>
    <x v="0"/>
    <n v="45183"/>
    <x v="0"/>
    <n v="0"/>
    <n v="0"/>
    <x v="0"/>
    <d v="2013-01-20T00:00:00"/>
    <s v="12 years, 5 months"/>
    <n v="33"/>
    <n v="3"/>
    <n v="9"/>
    <n v="12"/>
    <n v="4"/>
    <n v="7"/>
    <n v="11"/>
  </r>
  <r>
    <n v="796"/>
    <x v="796"/>
    <n v="1954"/>
    <x v="1"/>
    <x v="1"/>
    <x v="2"/>
    <n v="70421"/>
    <x v="0"/>
    <n v="0"/>
    <n v="1"/>
    <x v="2"/>
    <d v="2014-06-28T00:00:00"/>
    <s v="11 years, 0 months"/>
    <n v="98"/>
    <n v="28"/>
    <n v="14"/>
    <n v="42"/>
    <n v="10"/>
    <n v="7"/>
    <n v="17"/>
  </r>
  <r>
    <n v="797"/>
    <x v="797"/>
    <n v="1965"/>
    <x v="2"/>
    <x v="4"/>
    <x v="3"/>
    <n v="60161"/>
    <x v="0"/>
    <n v="0"/>
    <n v="1"/>
    <x v="2"/>
    <d v="2012-10-23T00:00:00"/>
    <s v="12 years, 8 months"/>
    <n v="17"/>
    <n v="44"/>
    <n v="8"/>
    <n v="52"/>
    <n v="11"/>
    <n v="8"/>
    <n v="19"/>
  </r>
  <r>
    <n v="798"/>
    <x v="798"/>
    <n v="1973"/>
    <x v="26"/>
    <x v="0"/>
    <x v="1"/>
    <n v="73926"/>
    <x v="0"/>
    <n v="0"/>
    <n v="0"/>
    <x v="0"/>
    <d v="2013-03-02T00:00:00"/>
    <s v="12 years, 4 months"/>
    <n v="54"/>
    <n v="91"/>
    <n v="91"/>
    <n v="182"/>
    <n v="6"/>
    <n v="12"/>
    <n v="18"/>
  </r>
  <r>
    <n v="799"/>
    <x v="799"/>
    <n v="1968"/>
    <x v="30"/>
    <x v="0"/>
    <x v="2"/>
    <n v="19329"/>
    <x v="1"/>
    <n v="1"/>
    <n v="0"/>
    <x v="2"/>
    <d v="2013-12-14T00:00:00"/>
    <s v="11 years, 6 months"/>
    <n v="39"/>
    <n v="1"/>
    <n v="2"/>
    <n v="3"/>
    <n v="4"/>
    <n v="3"/>
    <n v="7"/>
  </r>
  <r>
    <n v="800"/>
    <x v="800"/>
    <n v="1970"/>
    <x v="25"/>
    <x v="2"/>
    <x v="2"/>
    <n v="61872"/>
    <x v="0"/>
    <n v="0"/>
    <n v="1"/>
    <x v="2"/>
    <d v="2013-12-13T00:00:00"/>
    <s v="11 years, 6 months"/>
    <n v="81"/>
    <n v="5"/>
    <n v="27"/>
    <n v="32"/>
    <n v="4"/>
    <n v="9"/>
    <n v="13"/>
  </r>
  <r>
    <n v="801"/>
    <x v="801"/>
    <n v="1956"/>
    <x v="46"/>
    <x v="0"/>
    <x v="4"/>
    <n v="46984"/>
    <x v="0"/>
    <n v="1"/>
    <n v="1"/>
    <x v="1"/>
    <d v="2013-03-26T00:00:00"/>
    <s v="12 years, 3 months"/>
    <n v="71"/>
    <n v="1"/>
    <n v="1"/>
    <n v="2"/>
    <n v="1"/>
    <n v="3"/>
    <n v="4"/>
  </r>
  <r>
    <n v="802"/>
    <x v="802"/>
    <n v="1951"/>
    <x v="20"/>
    <x v="0"/>
    <x v="2"/>
    <n v="34838"/>
    <x v="0"/>
    <n v="1"/>
    <n v="1"/>
    <x v="1"/>
    <d v="2013-01-19T00:00:00"/>
    <s v="12 years, 5 months"/>
    <n v="62"/>
    <n v="23"/>
    <n v="14"/>
    <n v="37"/>
    <n v="2"/>
    <n v="4"/>
    <n v="6"/>
  </r>
  <r>
    <n v="803"/>
    <x v="803"/>
    <n v="1944"/>
    <x v="56"/>
    <x v="1"/>
    <x v="0"/>
    <n v="82716"/>
    <x v="2"/>
    <n v="0"/>
    <n v="0"/>
    <x v="0"/>
    <d v="2013-11-05T00:00:00"/>
    <s v="11 years, 8 months"/>
    <n v="8"/>
    <n v="148"/>
    <n v="148"/>
    <n v="296"/>
    <n v="6"/>
    <n v="13"/>
    <n v="19"/>
  </r>
  <r>
    <n v="804"/>
    <x v="804"/>
    <n v="1958"/>
    <x v="38"/>
    <x v="0"/>
    <x v="2"/>
    <n v="48192"/>
    <x v="0"/>
    <n v="0"/>
    <n v="0"/>
    <x v="0"/>
    <d v="2013-04-06T00:00:00"/>
    <s v="12 years, 3 months"/>
    <n v="76"/>
    <n v="43"/>
    <n v="58"/>
    <n v="101"/>
    <n v="2"/>
    <n v="12"/>
    <n v="14"/>
  </r>
  <r>
    <n v="805"/>
    <x v="805"/>
    <n v="1976"/>
    <x v="11"/>
    <x v="2"/>
    <x v="2"/>
    <n v="49681"/>
    <x v="0"/>
    <n v="0"/>
    <n v="2"/>
    <x v="1"/>
    <d v="2013-11-04T00:00:00"/>
    <s v="11 years, 8 months"/>
    <n v="66"/>
    <n v="0"/>
    <n v="0"/>
    <n v="0"/>
    <n v="7"/>
    <n v="7"/>
    <n v="14"/>
  </r>
  <r>
    <n v="806"/>
    <x v="806"/>
    <n v="1971"/>
    <x v="6"/>
    <x v="2"/>
    <x v="2"/>
    <n v="56850"/>
    <x v="0"/>
    <n v="0"/>
    <n v="1"/>
    <x v="2"/>
    <d v="2014-03-23T00:00:00"/>
    <s v="11 years, 3 months"/>
    <n v="83"/>
    <n v="1"/>
    <n v="7"/>
    <n v="8"/>
    <n v="1"/>
    <n v="3"/>
    <n v="4"/>
  </r>
  <r>
    <n v="807"/>
    <x v="807"/>
    <n v="1957"/>
    <x v="0"/>
    <x v="0"/>
    <x v="2"/>
    <n v="55267"/>
    <x v="0"/>
    <n v="0"/>
    <n v="1"/>
    <x v="2"/>
    <d v="2013-10-21T00:00:00"/>
    <s v="11 years, 8 months"/>
    <n v="28"/>
    <n v="28"/>
    <n v="3"/>
    <n v="31"/>
    <n v="3"/>
    <n v="6"/>
    <n v="9"/>
  </r>
  <r>
    <n v="808"/>
    <x v="808"/>
    <n v="1972"/>
    <x v="39"/>
    <x v="0"/>
    <x v="2"/>
    <n v="59666"/>
    <x v="0"/>
    <n v="1"/>
    <n v="1"/>
    <x v="1"/>
    <d v="2013-03-22T00:00:00"/>
    <s v="12 years, 3 months"/>
    <n v="87"/>
    <n v="53"/>
    <n v="17"/>
    <n v="70"/>
    <n v="3"/>
    <n v="8"/>
    <n v="11"/>
  </r>
  <r>
    <n v="809"/>
    <x v="809"/>
    <n v="1972"/>
    <x v="39"/>
    <x v="0"/>
    <x v="0"/>
    <n v="72504"/>
    <x v="0"/>
    <n v="0"/>
    <n v="1"/>
    <x v="2"/>
    <d v="2013-04-06T00:00:00"/>
    <s v="12 years, 3 months"/>
    <n v="43"/>
    <n v="26"/>
    <n v="161"/>
    <n v="187"/>
    <n v="5"/>
    <n v="6"/>
    <n v="11"/>
  </r>
  <r>
    <n v="810"/>
    <x v="810"/>
    <n v="1981"/>
    <x v="4"/>
    <x v="0"/>
    <x v="2"/>
    <n v="26872"/>
    <x v="0"/>
    <n v="0"/>
    <n v="0"/>
    <x v="0"/>
    <d v="2013-10-16T00:00:00"/>
    <s v="11 years, 8 months"/>
    <n v="0"/>
    <n v="10"/>
    <n v="16"/>
    <n v="26"/>
    <n v="1"/>
    <n v="2"/>
    <n v="3"/>
  </r>
  <r>
    <n v="811"/>
    <x v="811"/>
    <n v="1972"/>
    <x v="39"/>
    <x v="0"/>
    <x v="0"/>
    <n v="21359"/>
    <x v="1"/>
    <n v="1"/>
    <n v="0"/>
    <x v="2"/>
    <d v="2013-04-20T00:00:00"/>
    <s v="12 years, 2 months"/>
    <n v="1"/>
    <n v="2"/>
    <n v="1"/>
    <n v="3"/>
    <n v="2"/>
    <n v="3"/>
    <n v="5"/>
  </r>
  <r>
    <n v="812"/>
    <x v="812"/>
    <n v="1975"/>
    <x v="28"/>
    <x v="0"/>
    <x v="0"/>
    <n v="73170"/>
    <x v="0"/>
    <n v="0"/>
    <n v="0"/>
    <x v="0"/>
    <d v="2014-05-31T00:00:00"/>
    <s v="11 years, 1 months"/>
    <n v="1"/>
    <n v="174"/>
    <n v="30"/>
    <n v="204"/>
    <n v="5"/>
    <n v="6"/>
    <n v="11"/>
  </r>
  <r>
    <n v="813"/>
    <x v="813"/>
    <n v="1955"/>
    <x v="34"/>
    <x v="2"/>
    <x v="2"/>
    <n v="52750"/>
    <x v="0"/>
    <n v="0"/>
    <n v="1"/>
    <x v="2"/>
    <d v="2013-02-04T00:00:00"/>
    <s v="12 years, 5 months"/>
    <n v="72"/>
    <n v="0"/>
    <n v="69"/>
    <n v="69"/>
    <n v="5"/>
    <n v="9"/>
    <n v="14"/>
  </r>
  <r>
    <n v="814"/>
    <x v="814"/>
    <n v="1986"/>
    <x v="22"/>
    <x v="1"/>
    <x v="1"/>
    <n v="91820"/>
    <x v="2"/>
    <n v="0"/>
    <n v="0"/>
    <x v="0"/>
    <d v="2013-11-23T00:00:00"/>
    <s v="11 years, 7 months"/>
    <n v="72"/>
    <n v="73"/>
    <n v="161"/>
    <n v="234"/>
    <n v="5"/>
    <n v="12"/>
    <n v="17"/>
  </r>
  <r>
    <n v="815"/>
    <x v="815"/>
    <n v="1970"/>
    <x v="25"/>
    <x v="1"/>
    <x v="1"/>
    <n v="65968"/>
    <x v="0"/>
    <n v="0"/>
    <n v="1"/>
    <x v="2"/>
    <d v="2014-05-12T00:00:00"/>
    <s v="11 years, 1 months"/>
    <n v="12"/>
    <n v="9"/>
    <n v="4"/>
    <n v="13"/>
    <n v="5"/>
    <n v="7"/>
    <n v="12"/>
  </r>
  <r>
    <n v="816"/>
    <x v="816"/>
    <n v="1976"/>
    <x v="11"/>
    <x v="0"/>
    <x v="2"/>
    <n v="30772"/>
    <x v="0"/>
    <n v="1"/>
    <n v="1"/>
    <x v="1"/>
    <d v="2014-03-12T00:00:00"/>
    <s v="11 years, 3 months"/>
    <n v="89"/>
    <n v="2"/>
    <n v="1"/>
    <n v="3"/>
    <n v="1"/>
    <n v="2"/>
    <n v="3"/>
  </r>
  <r>
    <n v="817"/>
    <x v="817"/>
    <n v="1954"/>
    <x v="1"/>
    <x v="0"/>
    <x v="0"/>
    <n v="22507"/>
    <x v="1"/>
    <n v="0"/>
    <n v="0"/>
    <x v="0"/>
    <d v="2012-11-24T00:00:00"/>
    <s v="12 years, 7 months"/>
    <n v="67"/>
    <n v="0"/>
    <n v="157"/>
    <n v="157"/>
    <n v="10"/>
    <n v="4"/>
    <n v="14"/>
  </r>
  <r>
    <n v="818"/>
    <x v="818"/>
    <n v="1972"/>
    <x v="39"/>
    <x v="0"/>
    <x v="2"/>
    <n v="65685"/>
    <x v="0"/>
    <n v="0"/>
    <n v="1"/>
    <x v="2"/>
    <d v="2014-03-29T00:00:00"/>
    <s v="11 years, 3 months"/>
    <n v="54"/>
    <n v="14"/>
    <n v="7"/>
    <n v="21"/>
    <n v="9"/>
    <n v="9"/>
    <n v="18"/>
  </r>
  <r>
    <n v="819"/>
    <x v="819"/>
    <n v="1978"/>
    <x v="33"/>
    <x v="4"/>
    <x v="2"/>
    <n v="25804"/>
    <x v="0"/>
    <n v="1"/>
    <n v="0"/>
    <x v="2"/>
    <d v="2013-09-01T00:00:00"/>
    <s v="11 years, 10 months"/>
    <n v="34"/>
    <n v="7"/>
    <n v="6"/>
    <n v="13"/>
    <n v="2"/>
    <n v="3"/>
    <n v="5"/>
  </r>
  <r>
    <n v="820"/>
    <x v="820"/>
    <n v="1980"/>
    <x v="16"/>
    <x v="1"/>
    <x v="0"/>
    <n v="76412"/>
    <x v="2"/>
    <n v="0"/>
    <n v="0"/>
    <x v="0"/>
    <d v="2013-05-05T00:00:00"/>
    <s v="12 years, 2 months"/>
    <n v="15"/>
    <n v="53"/>
    <n v="71"/>
    <n v="124"/>
    <n v="5"/>
    <n v="8"/>
    <n v="13"/>
  </r>
  <r>
    <n v="821"/>
    <x v="821"/>
    <n v="1972"/>
    <x v="39"/>
    <x v="0"/>
    <x v="2"/>
    <n v="22063"/>
    <x v="1"/>
    <n v="1"/>
    <n v="0"/>
    <x v="2"/>
    <d v="2013-08-08T00:00:00"/>
    <s v="11 years, 10 months"/>
    <n v="43"/>
    <n v="10"/>
    <n v="11"/>
    <n v="21"/>
    <n v="2"/>
    <n v="3"/>
    <n v="5"/>
  </r>
  <r>
    <n v="822"/>
    <x v="822"/>
    <n v="1961"/>
    <x v="45"/>
    <x v="0"/>
    <x v="0"/>
    <n v="57091"/>
    <x v="0"/>
    <n v="0"/>
    <n v="0"/>
    <x v="0"/>
    <d v="2014-06-15T00:00:00"/>
    <s v="11 years, 0 months"/>
    <n v="0"/>
    <n v="5"/>
    <n v="0"/>
    <n v="5"/>
    <n v="7"/>
    <n v="7"/>
    <n v="14"/>
  </r>
  <r>
    <n v="823"/>
    <x v="823"/>
    <n v="1963"/>
    <x v="24"/>
    <x v="0"/>
    <x v="2"/>
    <n v="22419"/>
    <x v="1"/>
    <n v="0"/>
    <n v="0"/>
    <x v="0"/>
    <d v="2013-04-18T00:00:00"/>
    <s v="12 years, 2 months"/>
    <n v="74"/>
    <n v="3"/>
    <n v="21"/>
    <n v="24"/>
    <n v="3"/>
    <n v="2"/>
    <n v="5"/>
  </r>
  <r>
    <n v="824"/>
    <x v="824"/>
    <n v="1959"/>
    <x v="12"/>
    <x v="0"/>
    <x v="1"/>
    <n v="87771"/>
    <x v="2"/>
    <n v="0"/>
    <n v="1"/>
    <x v="2"/>
    <d v="2013-05-22T00:00:00"/>
    <s v="12 years, 1 months"/>
    <n v="61"/>
    <n v="38"/>
    <n v="57"/>
    <n v="95"/>
    <n v="5"/>
    <n v="4"/>
    <n v="9"/>
  </r>
  <r>
    <n v="825"/>
    <x v="825"/>
    <n v="1959"/>
    <x v="12"/>
    <x v="4"/>
    <x v="3"/>
    <n v="78353"/>
    <x v="2"/>
    <n v="0"/>
    <n v="1"/>
    <x v="2"/>
    <d v="2013-04-16T00:00:00"/>
    <s v="12 years, 2 months"/>
    <n v="51"/>
    <n v="122"/>
    <n v="153"/>
    <n v="275"/>
    <n v="10"/>
    <n v="11"/>
    <n v="21"/>
  </r>
  <r>
    <n v="826"/>
    <x v="826"/>
    <n v="1954"/>
    <x v="1"/>
    <x v="0"/>
    <x v="2"/>
    <n v="93404"/>
    <x v="2"/>
    <n v="1"/>
    <n v="2"/>
    <x v="3"/>
    <d v="2013-05-07T00:00:00"/>
    <s v="12 years, 1 months"/>
    <n v="97"/>
    <n v="15"/>
    <n v="0"/>
    <n v="15"/>
    <n v="3"/>
    <n v="7"/>
    <n v="10"/>
  </r>
  <r>
    <n v="827"/>
    <x v="827"/>
    <n v="1962"/>
    <x v="43"/>
    <x v="0"/>
    <x v="3"/>
    <n v="37859"/>
    <x v="0"/>
    <n v="1"/>
    <n v="2"/>
    <x v="3"/>
    <d v="2013-01-12T00:00:00"/>
    <s v="12 years, 5 months"/>
    <n v="75"/>
    <n v="1"/>
    <n v="1"/>
    <n v="2"/>
    <n v="1"/>
    <n v="3"/>
    <n v="4"/>
  </r>
  <r>
    <n v="828"/>
    <x v="828"/>
    <n v="1958"/>
    <x v="38"/>
    <x v="1"/>
    <x v="4"/>
    <n v="80995"/>
    <x v="2"/>
    <n v="0"/>
    <n v="1"/>
    <x v="2"/>
    <d v="2013-05-11T00:00:00"/>
    <s v="12 years, 1 months"/>
    <n v="83"/>
    <n v="28"/>
    <n v="56"/>
    <n v="84"/>
    <n v="8"/>
    <n v="4"/>
    <n v="12"/>
  </r>
  <r>
    <n v="829"/>
    <x v="829"/>
    <n v="1984"/>
    <x v="3"/>
    <x v="0"/>
    <x v="1"/>
    <n v="16529"/>
    <x v="1"/>
    <n v="1"/>
    <n v="0"/>
    <x v="2"/>
    <d v="2014-03-01T00:00:00"/>
    <s v="11 years, 4 months"/>
    <n v="23"/>
    <n v="0"/>
    <n v="0"/>
    <n v="0"/>
    <n v="1"/>
    <n v="3"/>
    <n v="4"/>
  </r>
  <r>
    <n v="830"/>
    <x v="830"/>
    <n v="1976"/>
    <x v="11"/>
    <x v="1"/>
    <x v="3"/>
    <n v="55412"/>
    <x v="0"/>
    <n v="1"/>
    <n v="1"/>
    <x v="1"/>
    <d v="2013-11-22T00:00:00"/>
    <s v="11 years, 7 months"/>
    <n v="65"/>
    <n v="5"/>
    <n v="1"/>
    <n v="6"/>
    <n v="2"/>
    <n v="3"/>
    <n v="5"/>
  </r>
  <r>
    <n v="831"/>
    <x v="831"/>
    <n v="1992"/>
    <x v="47"/>
    <x v="0"/>
    <x v="0"/>
    <n v="48789"/>
    <x v="0"/>
    <n v="0"/>
    <n v="0"/>
    <x v="0"/>
    <d v="2012-09-10T00:00:00"/>
    <s v="12 years, 9 months"/>
    <n v="94"/>
    <n v="16"/>
    <n v="5"/>
    <n v="21"/>
    <n v="6"/>
    <n v="7"/>
    <n v="13"/>
  </r>
  <r>
    <n v="832"/>
    <x v="832"/>
    <n v="1967"/>
    <x v="5"/>
    <x v="1"/>
    <x v="1"/>
    <n v="56575"/>
    <x v="0"/>
    <n v="0"/>
    <n v="2"/>
    <x v="1"/>
    <d v="2013-05-05T00:00:00"/>
    <s v="12 years, 2 months"/>
    <n v="42"/>
    <n v="5"/>
    <n v="16"/>
    <n v="21"/>
    <n v="7"/>
    <n v="7"/>
    <n v="14"/>
  </r>
  <r>
    <n v="833"/>
    <x v="833"/>
    <n v="1980"/>
    <x v="16"/>
    <x v="4"/>
    <x v="1"/>
    <n v="25130"/>
    <x v="0"/>
    <n v="1"/>
    <n v="0"/>
    <x v="2"/>
    <d v="2013-10-02T00:00:00"/>
    <s v="11 years, 9 months"/>
    <n v="10"/>
    <n v="5"/>
    <n v="18"/>
    <n v="23"/>
    <n v="2"/>
    <n v="3"/>
    <n v="5"/>
  </r>
  <r>
    <n v="834"/>
    <x v="834"/>
    <n v="1967"/>
    <x v="5"/>
    <x v="0"/>
    <x v="2"/>
    <n v="35441"/>
    <x v="0"/>
    <n v="1"/>
    <n v="1"/>
    <x v="1"/>
    <d v="2013-02-14T00:00:00"/>
    <s v="12 years, 4 months"/>
    <n v="94"/>
    <n v="1"/>
    <n v="1"/>
    <n v="2"/>
    <n v="1"/>
    <n v="3"/>
    <n v="4"/>
  </r>
  <r>
    <n v="835"/>
    <x v="835"/>
    <n v="1956"/>
    <x v="46"/>
    <x v="0"/>
    <x v="2"/>
    <n v="71391"/>
    <x v="0"/>
    <n v="0"/>
    <n v="1"/>
    <x v="2"/>
    <d v="2013-03-29T00:00:00"/>
    <s v="12 years, 3 months"/>
    <n v="50"/>
    <n v="123"/>
    <n v="123"/>
    <n v="246"/>
    <n v="6"/>
    <n v="12"/>
    <n v="18"/>
  </r>
  <r>
    <n v="836"/>
    <x v="836"/>
    <n v="1972"/>
    <x v="39"/>
    <x v="2"/>
    <x v="0"/>
    <n v="49494"/>
    <x v="0"/>
    <n v="1"/>
    <n v="0"/>
    <x v="2"/>
    <d v="2013-04-25T00:00:00"/>
    <s v="12 years, 2 months"/>
    <n v="46"/>
    <n v="9"/>
    <n v="6"/>
    <n v="15"/>
    <n v="6"/>
    <n v="5"/>
    <n v="11"/>
  </r>
  <r>
    <n v="837"/>
    <x v="837"/>
    <n v="1980"/>
    <x v="16"/>
    <x v="0"/>
    <x v="3"/>
    <n v="81702"/>
    <x v="2"/>
    <n v="0"/>
    <n v="0"/>
    <x v="0"/>
    <d v="2012-09-23T00:00:00"/>
    <s v="12 years, 9 months"/>
    <n v="98"/>
    <n v="50"/>
    <n v="31"/>
    <n v="81"/>
    <n v="7"/>
    <n v="12"/>
    <n v="19"/>
  </r>
  <r>
    <n v="838"/>
    <x v="838"/>
    <n v="1980"/>
    <x v="16"/>
    <x v="4"/>
    <x v="0"/>
    <n v="45889"/>
    <x v="0"/>
    <n v="0"/>
    <n v="1"/>
    <x v="2"/>
    <d v="2013-07-02T00:00:00"/>
    <s v="12 years, 0 months"/>
    <n v="42"/>
    <n v="0"/>
    <n v="1"/>
    <n v="1"/>
    <n v="1"/>
    <n v="3"/>
    <n v="4"/>
  </r>
  <r>
    <n v="839"/>
    <x v="839"/>
    <n v="1977"/>
    <x v="32"/>
    <x v="0"/>
    <x v="0"/>
    <n v="56628"/>
    <x v="0"/>
    <n v="0"/>
    <n v="1"/>
    <x v="2"/>
    <d v="2014-03-21T00:00:00"/>
    <s v="11 years, 3 months"/>
    <n v="30"/>
    <n v="5"/>
    <n v="17"/>
    <n v="22"/>
    <n v="7"/>
    <n v="5"/>
    <n v="12"/>
  </r>
  <r>
    <n v="840"/>
    <x v="840"/>
    <n v="1950"/>
    <x v="9"/>
    <x v="0"/>
    <x v="1"/>
    <n v="34026"/>
    <x v="0"/>
    <n v="1"/>
    <n v="1"/>
    <x v="1"/>
    <d v="2013-08-05T00:00:00"/>
    <s v="11 years, 11 months"/>
    <n v="11"/>
    <n v="6"/>
    <n v="8"/>
    <n v="14"/>
    <n v="2"/>
    <n v="3"/>
    <n v="5"/>
  </r>
  <r>
    <n v="841"/>
    <x v="841"/>
    <n v="1974"/>
    <x v="8"/>
    <x v="0"/>
    <x v="2"/>
    <n v="40049"/>
    <x v="0"/>
    <n v="0"/>
    <n v="1"/>
    <x v="2"/>
    <d v="2012-11-29T00:00:00"/>
    <s v="12 years, 7 months"/>
    <n v="61"/>
    <n v="65"/>
    <n v="44"/>
    <n v="109"/>
    <n v="3"/>
    <n v="6"/>
    <n v="9"/>
  </r>
  <r>
    <n v="842"/>
    <x v="842"/>
    <n v="1988"/>
    <x v="36"/>
    <x v="0"/>
    <x v="0"/>
    <n v="34176"/>
    <x v="0"/>
    <n v="1"/>
    <n v="0"/>
    <x v="2"/>
    <d v="2014-05-12T00:00:00"/>
    <s v="11 years, 1 months"/>
    <n v="12"/>
    <n v="7"/>
    <n v="14"/>
    <n v="21"/>
    <n v="3"/>
    <n v="4"/>
    <n v="7"/>
  </r>
  <r>
    <n v="843"/>
    <x v="843"/>
    <n v="1981"/>
    <x v="4"/>
    <x v="0"/>
    <x v="2"/>
    <n v="19419"/>
    <x v="1"/>
    <n v="1"/>
    <n v="0"/>
    <x v="2"/>
    <d v="2012-11-10T00:00:00"/>
    <s v="12 years, 7 months"/>
    <n v="76"/>
    <n v="14"/>
    <n v="3"/>
    <n v="17"/>
    <n v="4"/>
    <n v="3"/>
    <n v="7"/>
  </r>
  <r>
    <n v="844"/>
    <x v="844"/>
    <n v="1960"/>
    <x v="40"/>
    <x v="4"/>
    <x v="2"/>
    <n v="82504"/>
    <x v="2"/>
    <n v="0"/>
    <n v="0"/>
    <x v="0"/>
    <d v="2013-07-27T00:00:00"/>
    <s v="11 years, 11 months"/>
    <n v="2"/>
    <n v="50"/>
    <n v="35"/>
    <n v="85"/>
    <n v="3"/>
    <n v="7"/>
    <n v="10"/>
  </r>
  <r>
    <n v="845"/>
    <x v="845"/>
    <n v="1970"/>
    <x v="25"/>
    <x v="0"/>
    <x v="1"/>
    <n v="81205"/>
    <x v="2"/>
    <n v="0"/>
    <n v="0"/>
    <x v="0"/>
    <d v="2014-01-13T00:00:00"/>
    <s v="11 years, 5 months"/>
    <n v="43"/>
    <n v="74"/>
    <n v="55"/>
    <n v="129"/>
    <n v="5"/>
    <n v="7"/>
    <n v="12"/>
  </r>
  <r>
    <n v="846"/>
    <x v="846"/>
    <n v="1991"/>
    <x v="42"/>
    <x v="4"/>
    <x v="0"/>
    <n v="61618"/>
    <x v="0"/>
    <n v="0"/>
    <n v="0"/>
    <x v="0"/>
    <d v="2012-09-29T00:00:00"/>
    <s v="12 years, 9 months"/>
    <n v="27"/>
    <n v="91"/>
    <n v="45"/>
    <n v="136"/>
    <n v="3"/>
    <n v="8"/>
    <n v="11"/>
  </r>
  <r>
    <n v="847"/>
    <x v="847"/>
    <n v="1956"/>
    <x v="46"/>
    <x v="2"/>
    <x v="0"/>
    <n v="55284"/>
    <x v="0"/>
    <n v="0"/>
    <n v="1"/>
    <x v="2"/>
    <d v="2012-12-24T00:00:00"/>
    <s v="12 years, 6 months"/>
    <n v="60"/>
    <n v="7"/>
    <n v="7"/>
    <n v="14"/>
    <n v="7"/>
    <n v="8"/>
    <n v="15"/>
  </r>
  <r>
    <n v="848"/>
    <x v="848"/>
    <n v="1963"/>
    <x v="24"/>
    <x v="0"/>
    <x v="0"/>
    <n v="49980"/>
    <x v="0"/>
    <n v="0"/>
    <n v="1"/>
    <x v="2"/>
    <d v="2013-10-23T00:00:00"/>
    <s v="11 years, 8 months"/>
    <n v="79"/>
    <n v="1"/>
    <n v="9"/>
    <n v="10"/>
    <n v="3"/>
    <n v="5"/>
    <n v="8"/>
  </r>
  <r>
    <n v="849"/>
    <x v="849"/>
    <n v="1980"/>
    <x v="16"/>
    <x v="0"/>
    <x v="2"/>
    <n v="15072"/>
    <x v="1"/>
    <n v="2"/>
    <n v="0"/>
    <x v="1"/>
    <d v="2013-05-10T00:00:00"/>
    <s v="12 years, 1 months"/>
    <n v="96"/>
    <n v="2"/>
    <n v="10"/>
    <n v="12"/>
    <n v="3"/>
    <n v="3"/>
    <n v="6"/>
  </r>
  <r>
    <n v="850"/>
    <x v="850"/>
    <n v="1974"/>
    <x v="8"/>
    <x v="0"/>
    <x v="0"/>
    <n v="49166"/>
    <x v="0"/>
    <n v="0"/>
    <n v="1"/>
    <x v="2"/>
    <d v="2013-06-13T00:00:00"/>
    <s v="12 years, 0 months"/>
    <n v="17"/>
    <n v="2"/>
    <n v="0"/>
    <n v="2"/>
    <n v="5"/>
    <n v="3"/>
    <n v="8"/>
  </r>
  <r>
    <n v="851"/>
    <x v="851"/>
    <n v="1954"/>
    <x v="1"/>
    <x v="1"/>
    <x v="2"/>
    <n v="65324"/>
    <x v="0"/>
    <n v="0"/>
    <n v="1"/>
    <x v="2"/>
    <d v="2014-01-11T00:00:00"/>
    <s v="11 years, 5 months"/>
    <n v="0"/>
    <n v="0"/>
    <n v="32"/>
    <n v="32"/>
    <n v="6"/>
    <n v="9"/>
    <n v="15"/>
  </r>
  <r>
    <n v="852"/>
    <x v="852"/>
    <n v="1957"/>
    <x v="0"/>
    <x v="4"/>
    <x v="2"/>
    <n v="82347"/>
    <x v="2"/>
    <n v="0"/>
    <n v="0"/>
    <x v="0"/>
    <d v="2012-11-06T00:00:00"/>
    <s v="12 years, 8 months"/>
    <n v="38"/>
    <n v="54"/>
    <n v="133"/>
    <n v="187"/>
    <n v="7"/>
    <n v="10"/>
    <n v="17"/>
  </r>
  <r>
    <n v="853"/>
    <x v="853"/>
    <n v="1966"/>
    <x v="35"/>
    <x v="1"/>
    <x v="1"/>
    <n v="30843"/>
    <x v="0"/>
    <n v="1"/>
    <n v="1"/>
    <x v="1"/>
    <d v="2014-05-26T00:00:00"/>
    <s v="11 years, 1 months"/>
    <n v="43"/>
    <n v="0"/>
    <n v="0"/>
    <n v="0"/>
    <n v="1"/>
    <n v="2"/>
    <n v="3"/>
  </r>
  <r>
    <n v="854"/>
    <x v="854"/>
    <n v="1974"/>
    <x v="8"/>
    <x v="1"/>
    <x v="2"/>
    <n v="46374"/>
    <x v="0"/>
    <n v="0"/>
    <n v="1"/>
    <x v="2"/>
    <d v="2014-03-17T00:00:00"/>
    <s v="11 years, 3 months"/>
    <n v="1"/>
    <n v="0"/>
    <n v="0"/>
    <n v="0"/>
    <n v="7"/>
    <n v="7"/>
    <n v="14"/>
  </r>
  <r>
    <n v="855"/>
    <x v="855"/>
    <n v="1979"/>
    <x v="19"/>
    <x v="0"/>
    <x v="0"/>
    <n v="60474"/>
    <x v="0"/>
    <n v="0"/>
    <n v="1"/>
    <x v="2"/>
    <d v="2013-04-01T00:00:00"/>
    <s v="12 years, 3 months"/>
    <n v="25"/>
    <n v="199"/>
    <n v="9"/>
    <n v="208"/>
    <n v="10"/>
    <n v="12"/>
    <n v="22"/>
  </r>
  <r>
    <n v="856"/>
    <x v="856"/>
    <n v="1973"/>
    <x v="26"/>
    <x v="2"/>
    <x v="2"/>
    <n v="38576"/>
    <x v="0"/>
    <n v="0"/>
    <n v="1"/>
    <x v="2"/>
    <d v="2014-03-04T00:00:00"/>
    <s v="11 years, 4 months"/>
    <n v="2"/>
    <n v="0"/>
    <n v="0"/>
    <n v="0"/>
    <n v="1"/>
    <n v="3"/>
    <n v="4"/>
  </r>
  <r>
    <n v="857"/>
    <x v="857"/>
    <n v="1985"/>
    <x v="7"/>
    <x v="0"/>
    <x v="2"/>
    <n v="55357"/>
    <x v="0"/>
    <n v="2"/>
    <n v="0"/>
    <x v="1"/>
    <d v="2013-02-19T00:00:00"/>
    <s v="12 years, 4 months"/>
    <n v="66"/>
    <n v="64"/>
    <n v="25"/>
    <n v="89"/>
    <n v="6"/>
    <n v="11"/>
    <n v="17"/>
  </r>
  <r>
    <n v="858"/>
    <x v="858"/>
    <n v="1966"/>
    <x v="35"/>
    <x v="0"/>
    <x v="1"/>
    <n v="37758"/>
    <x v="0"/>
    <n v="1"/>
    <n v="1"/>
    <x v="1"/>
    <d v="2012-10-04T00:00:00"/>
    <s v="12 years, 9 months"/>
    <n v="49"/>
    <n v="2"/>
    <n v="0"/>
    <n v="2"/>
    <n v="1"/>
    <n v="3"/>
    <n v="4"/>
  </r>
  <r>
    <n v="859"/>
    <x v="859"/>
    <n v="1989"/>
    <x v="23"/>
    <x v="4"/>
    <x v="2"/>
    <n v="85710"/>
    <x v="2"/>
    <n v="0"/>
    <n v="0"/>
    <x v="0"/>
    <d v="2013-05-05T00:00:00"/>
    <s v="12 years, 2 months"/>
    <n v="5"/>
    <n v="20"/>
    <n v="30"/>
    <n v="50"/>
    <n v="6"/>
    <n v="10"/>
    <n v="16"/>
  </r>
  <r>
    <n v="860"/>
    <x v="860"/>
    <n v="1969"/>
    <x v="21"/>
    <x v="0"/>
    <x v="1"/>
    <n v="23228"/>
    <x v="1"/>
    <n v="1"/>
    <n v="0"/>
    <x v="2"/>
    <d v="2014-01-26T00:00:00"/>
    <s v="11 years, 5 months"/>
    <n v="71"/>
    <n v="2"/>
    <n v="1"/>
    <n v="3"/>
    <n v="2"/>
    <n v="3"/>
    <n v="5"/>
  </r>
  <r>
    <n v="861"/>
    <x v="861"/>
    <n v="1969"/>
    <x v="21"/>
    <x v="2"/>
    <x v="1"/>
    <n v="44602"/>
    <x v="0"/>
    <n v="1"/>
    <n v="1"/>
    <x v="1"/>
    <d v="2014-02-15T00:00:00"/>
    <s v="11 years, 4 months"/>
    <n v="35"/>
    <n v="2"/>
    <n v="0"/>
    <n v="2"/>
    <n v="6"/>
    <n v="4"/>
    <n v="10"/>
  </r>
  <r>
    <n v="862"/>
    <x v="862"/>
    <n v="1987"/>
    <x v="14"/>
    <x v="0"/>
    <x v="2"/>
    <n v="7500"/>
    <x v="1"/>
    <n v="0"/>
    <n v="0"/>
    <x v="0"/>
    <d v="2013-01-09T00:00:00"/>
    <s v="12 years, 5 months"/>
    <n v="94"/>
    <n v="2"/>
    <n v="1"/>
    <n v="3"/>
    <n v="0"/>
    <n v="3"/>
    <n v="3"/>
  </r>
  <r>
    <n v="863"/>
    <x v="863"/>
    <n v="1989"/>
    <x v="23"/>
    <x v="4"/>
    <x v="1"/>
    <n v="38683"/>
    <x v="0"/>
    <n v="1"/>
    <n v="0"/>
    <x v="2"/>
    <d v="2012-10-04T00:00:00"/>
    <s v="12 years, 9 months"/>
    <n v="80"/>
    <n v="35"/>
    <n v="41"/>
    <n v="76"/>
    <n v="4"/>
    <n v="6"/>
    <n v="10"/>
  </r>
  <r>
    <n v="864"/>
    <x v="864"/>
    <n v="1975"/>
    <x v="28"/>
    <x v="4"/>
    <x v="0"/>
    <n v="49514"/>
    <x v="0"/>
    <n v="1"/>
    <n v="0"/>
    <x v="2"/>
    <d v="2013-12-17T00:00:00"/>
    <s v="11 years, 6 months"/>
    <n v="61"/>
    <n v="39"/>
    <n v="13"/>
    <n v="52"/>
    <n v="6"/>
    <n v="4"/>
    <n v="10"/>
  </r>
  <r>
    <n v="865"/>
    <x v="865"/>
    <n v="1973"/>
    <x v="26"/>
    <x v="1"/>
    <x v="1"/>
    <n v="57906"/>
    <x v="0"/>
    <n v="0"/>
    <n v="1"/>
    <x v="2"/>
    <d v="2013-06-11T00:00:00"/>
    <s v="12 years, 0 months"/>
    <n v="29"/>
    <n v="11"/>
    <n v="3"/>
    <n v="14"/>
    <n v="4"/>
    <n v="8"/>
    <n v="12"/>
  </r>
  <r>
    <n v="866"/>
    <x v="866"/>
    <n v="1966"/>
    <x v="35"/>
    <x v="2"/>
    <x v="0"/>
    <n v="43456"/>
    <x v="0"/>
    <n v="0"/>
    <n v="1"/>
    <x v="2"/>
    <d v="2013-03-26T00:00:00"/>
    <s v="12 years, 3 months"/>
    <n v="0"/>
    <n v="11"/>
    <n v="7"/>
    <n v="18"/>
    <n v="5"/>
    <n v="8"/>
    <n v="13"/>
  </r>
  <r>
    <n v="867"/>
    <x v="867"/>
    <n v="1986"/>
    <x v="22"/>
    <x v="2"/>
    <x v="0"/>
    <n v="19485"/>
    <x v="1"/>
    <n v="2"/>
    <n v="0"/>
    <x v="1"/>
    <d v="2013-09-24T00:00:00"/>
    <s v="11 years, 9 months"/>
    <n v="80"/>
    <n v="0"/>
    <n v="0"/>
    <n v="0"/>
    <n v="1"/>
    <n v="2"/>
    <n v="3"/>
  </r>
  <r>
    <n v="868"/>
    <x v="868"/>
    <n v="1978"/>
    <x v="33"/>
    <x v="0"/>
    <x v="1"/>
    <n v="53172"/>
    <x v="0"/>
    <n v="0"/>
    <n v="1"/>
    <x v="2"/>
    <d v="2013-05-06T00:00:00"/>
    <s v="12 years, 2 months"/>
    <n v="54"/>
    <n v="62"/>
    <n v="20"/>
    <n v="82"/>
    <n v="2"/>
    <n v="8"/>
    <n v="10"/>
  </r>
  <r>
    <n v="869"/>
    <x v="869"/>
    <n v="1979"/>
    <x v="19"/>
    <x v="0"/>
    <x v="1"/>
    <n v="30545"/>
    <x v="0"/>
    <n v="1"/>
    <n v="0"/>
    <x v="2"/>
    <d v="2012-10-17T00:00:00"/>
    <s v="12 years, 8 months"/>
    <n v="71"/>
    <n v="12"/>
    <n v="7"/>
    <n v="19"/>
    <n v="2"/>
    <n v="3"/>
    <n v="5"/>
  </r>
  <r>
    <n v="870"/>
    <x v="870"/>
    <n v="1983"/>
    <x v="10"/>
    <x v="1"/>
    <x v="1"/>
    <n v="70123"/>
    <x v="0"/>
    <n v="0"/>
    <n v="0"/>
    <x v="0"/>
    <d v="2013-09-28T00:00:00"/>
    <s v="11 years, 9 months"/>
    <n v="27"/>
    <n v="0"/>
    <n v="0"/>
    <n v="0"/>
    <n v="5"/>
    <n v="4"/>
    <n v="9"/>
  </r>
  <r>
    <n v="871"/>
    <x v="871"/>
    <n v="1959"/>
    <x v="12"/>
    <x v="0"/>
    <x v="0"/>
    <n v="62450"/>
    <x v="0"/>
    <n v="0"/>
    <n v="1"/>
    <x v="2"/>
    <d v="2014-01-06T00:00:00"/>
    <s v="11 years, 6 months"/>
    <n v="61"/>
    <n v="47"/>
    <n v="66"/>
    <n v="113"/>
    <n v="5"/>
    <n v="4"/>
    <n v="9"/>
  </r>
  <r>
    <n v="872"/>
    <x v="872"/>
    <n v="1976"/>
    <x v="11"/>
    <x v="0"/>
    <x v="1"/>
    <n v="21675"/>
    <x v="1"/>
    <n v="1"/>
    <n v="0"/>
    <x v="2"/>
    <d v="2014-06-11T00:00:00"/>
    <s v="11 years, 0 months"/>
    <n v="55"/>
    <n v="0"/>
    <n v="4"/>
    <n v="4"/>
    <n v="4"/>
    <n v="3"/>
    <n v="7"/>
  </r>
  <r>
    <n v="873"/>
    <x v="873"/>
    <n v="1981"/>
    <x v="4"/>
    <x v="4"/>
    <x v="0"/>
    <n v="42395"/>
    <x v="0"/>
    <n v="1"/>
    <n v="1"/>
    <x v="1"/>
    <d v="2014-04-04T00:00:00"/>
    <s v="11 years, 3 months"/>
    <n v="35"/>
    <n v="13"/>
    <n v="15"/>
    <n v="28"/>
    <n v="3"/>
    <n v="4"/>
    <n v="7"/>
  </r>
  <r>
    <n v="874"/>
    <x v="874"/>
    <n v="1978"/>
    <x v="33"/>
    <x v="2"/>
    <x v="1"/>
    <n v="61346"/>
    <x v="0"/>
    <n v="1"/>
    <n v="0"/>
    <x v="2"/>
    <d v="2013-10-06T00:00:00"/>
    <s v="11 years, 9 months"/>
    <n v="34"/>
    <n v="58"/>
    <n v="16"/>
    <n v="74"/>
    <n v="5"/>
    <n v="10"/>
    <n v="15"/>
  </r>
  <r>
    <n v="875"/>
    <x v="875"/>
    <n v="1953"/>
    <x v="44"/>
    <x v="0"/>
    <x v="1"/>
    <n v="80812"/>
    <x v="2"/>
    <n v="0"/>
    <n v="0"/>
    <x v="0"/>
    <d v="2013-09-17T00:00:00"/>
    <s v="11 years, 9 months"/>
    <n v="95"/>
    <n v="22"/>
    <n v="143"/>
    <n v="165"/>
    <n v="4"/>
    <n v="5"/>
    <n v="9"/>
  </r>
  <r>
    <n v="876"/>
    <x v="876"/>
    <n v="1971"/>
    <x v="6"/>
    <x v="2"/>
    <x v="3"/>
    <n v="42835"/>
    <x v="0"/>
    <n v="1"/>
    <n v="1"/>
    <x v="1"/>
    <d v="2013-06-30T00:00:00"/>
    <s v="12 years, 0 months"/>
    <n v="64"/>
    <n v="4"/>
    <n v="9"/>
    <n v="13"/>
    <n v="6"/>
    <n v="4"/>
    <n v="10"/>
  </r>
  <r>
    <n v="877"/>
    <x v="877"/>
    <n v="1983"/>
    <x v="10"/>
    <x v="0"/>
    <x v="2"/>
    <n v="39922"/>
    <x v="0"/>
    <n v="1"/>
    <n v="0"/>
    <x v="2"/>
    <d v="2013-02-14T00:00:00"/>
    <s v="12 years, 4 months"/>
    <n v="30"/>
    <n v="12"/>
    <n v="1"/>
    <n v="13"/>
    <n v="3"/>
    <n v="4"/>
    <n v="7"/>
  </r>
  <r>
    <n v="878"/>
    <x v="878"/>
    <n v="1956"/>
    <x v="46"/>
    <x v="2"/>
    <x v="0"/>
    <n v="86424"/>
    <x v="2"/>
    <n v="0"/>
    <n v="0"/>
    <x v="0"/>
    <d v="2014-04-05T00:00:00"/>
    <s v="11 years, 3 months"/>
    <n v="12"/>
    <n v="68"/>
    <n v="45"/>
    <n v="113"/>
    <n v="6"/>
    <n v="12"/>
    <n v="18"/>
  </r>
  <r>
    <n v="879"/>
    <x v="879"/>
    <n v="1978"/>
    <x v="33"/>
    <x v="4"/>
    <x v="1"/>
    <n v="17117"/>
    <x v="1"/>
    <n v="1"/>
    <n v="0"/>
    <x v="2"/>
    <d v="2013-01-17T00:00:00"/>
    <s v="12 years, 5 months"/>
    <n v="96"/>
    <n v="23"/>
    <n v="18"/>
    <n v="41"/>
    <n v="3"/>
    <n v="3"/>
    <n v="6"/>
  </r>
  <r>
    <n v="880"/>
    <x v="880"/>
    <n v="1972"/>
    <x v="39"/>
    <x v="0"/>
    <x v="0"/>
    <n v="24762"/>
    <x v="1"/>
    <n v="1"/>
    <n v="0"/>
    <x v="2"/>
    <d v="2014-02-10T00:00:00"/>
    <s v="11 years, 4 months"/>
    <n v="16"/>
    <n v="10"/>
    <n v="15"/>
    <n v="25"/>
    <n v="3"/>
    <n v="2"/>
    <n v="5"/>
  </r>
  <r>
    <n v="881"/>
    <x v="881"/>
    <n v="1975"/>
    <x v="28"/>
    <x v="0"/>
    <x v="2"/>
    <n v="35797"/>
    <x v="0"/>
    <n v="0"/>
    <n v="1"/>
    <x v="2"/>
    <d v="2012-10-16T00:00:00"/>
    <s v="12 years, 8 months"/>
    <n v="16"/>
    <n v="1"/>
    <n v="1"/>
    <n v="2"/>
    <n v="2"/>
    <n v="3"/>
    <n v="5"/>
  </r>
  <r>
    <n v="882"/>
    <x v="882"/>
    <n v="1975"/>
    <x v="28"/>
    <x v="0"/>
    <x v="3"/>
    <n v="36627"/>
    <x v="0"/>
    <n v="2"/>
    <n v="0"/>
    <x v="1"/>
    <d v="2013-07-23T00:00:00"/>
    <s v="11 years, 11 months"/>
    <n v="78"/>
    <n v="1"/>
    <n v="0"/>
    <n v="1"/>
    <n v="0"/>
    <n v="3"/>
    <n v="3"/>
  </r>
  <r>
    <n v="883"/>
    <x v="883"/>
    <n v="1981"/>
    <x v="4"/>
    <x v="4"/>
    <x v="2"/>
    <n v="51111"/>
    <x v="0"/>
    <n v="1"/>
    <n v="1"/>
    <x v="1"/>
    <d v="2014-06-19T00:00:00"/>
    <s v="11 years, 0 months"/>
    <n v="83"/>
    <n v="0"/>
    <n v="5"/>
    <n v="5"/>
    <n v="2"/>
    <n v="3"/>
    <n v="5"/>
  </r>
  <r>
    <n v="884"/>
    <x v="884"/>
    <n v="1972"/>
    <x v="39"/>
    <x v="1"/>
    <x v="0"/>
    <n v="86857"/>
    <x v="2"/>
    <n v="0"/>
    <n v="0"/>
    <x v="0"/>
    <d v="2012-09-12T00:00:00"/>
    <s v="12 years, 9 months"/>
    <n v="96"/>
    <n v="102"/>
    <n v="102"/>
    <n v="204"/>
    <n v="5"/>
    <n v="10"/>
    <n v="15"/>
  </r>
  <r>
    <n v="885"/>
    <x v="885"/>
    <n v="1970"/>
    <x v="25"/>
    <x v="1"/>
    <x v="1"/>
    <n v="82072"/>
    <x v="2"/>
    <n v="0"/>
    <n v="0"/>
    <x v="0"/>
    <d v="2013-07-02T00:00:00"/>
    <s v="12 years, 0 months"/>
    <n v="67"/>
    <n v="55"/>
    <n v="92"/>
    <n v="147"/>
    <n v="3"/>
    <n v="13"/>
    <n v="16"/>
  </r>
  <r>
    <n v="886"/>
    <x v="886"/>
    <n v="1953"/>
    <x v="44"/>
    <x v="1"/>
    <x v="0"/>
    <n v="46231"/>
    <x v="0"/>
    <n v="2"/>
    <n v="1"/>
    <x v="3"/>
    <d v="2012-11-26T00:00:00"/>
    <s v="12 years, 7 months"/>
    <n v="87"/>
    <n v="2"/>
    <n v="5"/>
    <n v="7"/>
    <n v="6"/>
    <n v="4"/>
    <n v="10"/>
  </r>
  <r>
    <n v="887"/>
    <x v="887"/>
    <n v="1959"/>
    <x v="12"/>
    <x v="0"/>
    <x v="2"/>
    <n v="42243"/>
    <x v="0"/>
    <n v="1"/>
    <n v="1"/>
    <x v="1"/>
    <d v="2013-12-11T00:00:00"/>
    <s v="11 years, 6 months"/>
    <n v="34"/>
    <n v="0"/>
    <n v="0"/>
    <n v="0"/>
    <n v="2"/>
    <n v="3"/>
    <n v="5"/>
  </r>
  <r>
    <n v="888"/>
    <x v="888"/>
    <n v="1962"/>
    <x v="43"/>
    <x v="0"/>
    <x v="1"/>
    <n v="51195"/>
    <x v="0"/>
    <n v="1"/>
    <n v="1"/>
    <x v="1"/>
    <d v="2013-04-01T00:00:00"/>
    <s v="12 years, 3 months"/>
    <n v="46"/>
    <n v="14"/>
    <n v="24"/>
    <n v="38"/>
    <n v="9"/>
    <n v="5"/>
    <n v="14"/>
  </r>
  <r>
    <n v="889"/>
    <x v="889"/>
    <n v="1978"/>
    <x v="33"/>
    <x v="2"/>
    <x v="0"/>
    <n v="68092"/>
    <x v="0"/>
    <n v="0"/>
    <n v="0"/>
    <x v="0"/>
    <d v="2013-12-16T00:00:00"/>
    <s v="11 years, 6 months"/>
    <n v="7"/>
    <n v="60"/>
    <n v="36"/>
    <n v="96"/>
    <n v="2"/>
    <n v="10"/>
    <n v="12"/>
  </r>
  <r>
    <n v="890"/>
    <x v="890"/>
    <n v="1973"/>
    <x v="26"/>
    <x v="0"/>
    <x v="2"/>
    <n v="31814"/>
    <x v="0"/>
    <n v="1"/>
    <n v="0"/>
    <x v="2"/>
    <d v="2013-02-09T00:00:00"/>
    <s v="12 years, 4 months"/>
    <n v="73"/>
    <n v="3"/>
    <n v="1"/>
    <n v="4"/>
    <n v="2"/>
    <n v="3"/>
    <n v="5"/>
  </r>
  <r>
    <n v="891"/>
    <x v="891"/>
    <n v="1965"/>
    <x v="2"/>
    <x v="2"/>
    <x v="4"/>
    <n v="51390"/>
    <x v="0"/>
    <n v="1"/>
    <n v="1"/>
    <x v="1"/>
    <d v="2012-09-08T00:00:00"/>
    <s v="12 years, 9 months"/>
    <n v="54"/>
    <n v="20"/>
    <n v="2"/>
    <n v="22"/>
    <n v="5"/>
    <n v="5"/>
    <n v="10"/>
  </r>
  <r>
    <n v="892"/>
    <x v="892"/>
    <n v="1983"/>
    <x v="10"/>
    <x v="0"/>
    <x v="2"/>
    <n v="76630"/>
    <x v="2"/>
    <n v="0"/>
    <n v="0"/>
    <x v="0"/>
    <d v="2014-01-14T00:00:00"/>
    <s v="11 years, 5 months"/>
    <n v="93"/>
    <n v="31"/>
    <n v="56"/>
    <n v="87"/>
    <n v="3"/>
    <n v="11"/>
    <n v="14"/>
  </r>
  <r>
    <n v="893"/>
    <x v="893"/>
    <n v="1991"/>
    <x v="42"/>
    <x v="3"/>
    <x v="0"/>
    <n v="26868"/>
    <x v="0"/>
    <n v="1"/>
    <n v="0"/>
    <x v="2"/>
    <d v="2014-04-30T00:00:00"/>
    <s v="11 years, 2 months"/>
    <n v="52"/>
    <n v="0"/>
    <n v="3"/>
    <n v="3"/>
    <n v="1"/>
    <n v="2"/>
    <n v="3"/>
  </r>
  <r>
    <n v="894"/>
    <x v="894"/>
    <n v="1943"/>
    <x v="27"/>
    <x v="1"/>
    <x v="3"/>
    <n v="48948"/>
    <x v="0"/>
    <n v="0"/>
    <n v="0"/>
    <x v="0"/>
    <d v="2013-02-01T00:00:00"/>
    <s v="12 years, 5 months"/>
    <n v="53"/>
    <n v="8"/>
    <n v="49"/>
    <n v="57"/>
    <n v="7"/>
    <n v="5"/>
    <n v="12"/>
  </r>
  <r>
    <n v="895"/>
    <x v="895"/>
    <n v="1972"/>
    <x v="39"/>
    <x v="1"/>
    <x v="0"/>
    <n v="55260"/>
    <x v="0"/>
    <n v="0"/>
    <n v="1"/>
    <x v="2"/>
    <d v="2012-12-12T00:00:00"/>
    <s v="12 years, 6 months"/>
    <n v="81"/>
    <n v="8"/>
    <n v="0"/>
    <n v="8"/>
    <n v="8"/>
    <n v="5"/>
    <n v="13"/>
  </r>
  <r>
    <n v="896"/>
    <x v="896"/>
    <n v="1956"/>
    <x v="46"/>
    <x v="0"/>
    <x v="1"/>
    <n v="64090"/>
    <x v="0"/>
    <n v="0"/>
    <n v="1"/>
    <x v="2"/>
    <d v="2013-08-07T00:00:00"/>
    <s v="11 years, 10 months"/>
    <n v="8"/>
    <n v="58"/>
    <n v="51"/>
    <n v="109"/>
    <n v="6"/>
    <n v="4"/>
    <n v="10"/>
  </r>
  <r>
    <n v="897"/>
    <x v="897"/>
    <n v="1958"/>
    <x v="38"/>
    <x v="0"/>
    <x v="3"/>
    <n v="78331"/>
    <x v="2"/>
    <n v="0"/>
    <n v="1"/>
    <x v="2"/>
    <d v="2014-01-23T00:00:00"/>
    <s v="11 years, 5 months"/>
    <n v="97"/>
    <n v="138"/>
    <n v="169"/>
    <n v="307"/>
    <n v="10"/>
    <n v="7"/>
    <n v="17"/>
  </r>
  <r>
    <n v="898"/>
    <x v="898"/>
    <n v="1974"/>
    <x v="8"/>
    <x v="1"/>
    <x v="2"/>
    <n v="37087"/>
    <x v="0"/>
    <n v="1"/>
    <n v="0"/>
    <x v="2"/>
    <d v="2013-08-11T00:00:00"/>
    <s v="11 years, 10 months"/>
    <n v="50"/>
    <n v="55"/>
    <n v="0"/>
    <n v="55"/>
    <n v="4"/>
    <n v="8"/>
    <n v="12"/>
  </r>
  <r>
    <n v="899"/>
    <x v="899"/>
    <n v="1986"/>
    <x v="22"/>
    <x v="0"/>
    <x v="3"/>
    <n v="21846"/>
    <x v="1"/>
    <n v="1"/>
    <n v="0"/>
    <x v="2"/>
    <d v="2013-10-22T00:00:00"/>
    <s v="11 years, 8 months"/>
    <n v="38"/>
    <n v="17"/>
    <n v="10"/>
    <n v="27"/>
    <n v="4"/>
    <n v="3"/>
    <n v="7"/>
  </r>
  <r>
    <n v="900"/>
    <x v="900"/>
    <n v="1958"/>
    <x v="38"/>
    <x v="0"/>
    <x v="2"/>
    <n v="81320"/>
    <x v="2"/>
    <n v="0"/>
    <n v="0"/>
    <x v="0"/>
    <d v="2013-02-06T00:00:00"/>
    <s v="12 years, 5 months"/>
    <n v="61"/>
    <n v="33"/>
    <n v="103"/>
    <n v="136"/>
    <n v="4"/>
    <n v="10"/>
    <n v="14"/>
  </r>
  <r>
    <n v="901"/>
    <x v="901"/>
    <n v="1970"/>
    <x v="25"/>
    <x v="0"/>
    <x v="3"/>
    <n v="54137"/>
    <x v="0"/>
    <n v="0"/>
    <n v="1"/>
    <x v="2"/>
    <d v="2013-08-16T00:00:00"/>
    <s v="11 years, 10 months"/>
    <n v="46"/>
    <n v="0"/>
    <n v="1"/>
    <n v="1"/>
    <n v="4"/>
    <n v="4"/>
    <n v="8"/>
  </r>
  <r>
    <n v="902"/>
    <x v="902"/>
    <n v="1967"/>
    <x v="5"/>
    <x v="0"/>
    <x v="1"/>
    <n v="66825"/>
    <x v="0"/>
    <n v="0"/>
    <n v="0"/>
    <x v="0"/>
    <d v="2013-07-14T00:00:00"/>
    <s v="11 years, 11 months"/>
    <n v="73"/>
    <n v="101"/>
    <n v="40"/>
    <n v="141"/>
    <n v="4"/>
    <n v="6"/>
    <n v="10"/>
  </r>
  <r>
    <n v="903"/>
    <x v="903"/>
    <n v="1973"/>
    <x v="26"/>
    <x v="0"/>
    <x v="1"/>
    <n v="57100"/>
    <x v="0"/>
    <n v="0"/>
    <n v="0"/>
    <x v="0"/>
    <d v="2013-12-04T00:00:00"/>
    <s v="11 years, 7 months"/>
    <n v="19"/>
    <n v="21"/>
    <n v="3"/>
    <n v="24"/>
    <n v="3"/>
    <n v="6"/>
    <n v="9"/>
  </r>
  <r>
    <n v="904"/>
    <x v="904"/>
    <n v="1969"/>
    <x v="21"/>
    <x v="0"/>
    <x v="1"/>
    <n v="58917"/>
    <x v="0"/>
    <n v="1"/>
    <n v="2"/>
    <x v="3"/>
    <d v="2013-03-24T00:00:00"/>
    <s v="12 years, 3 months"/>
    <n v="10"/>
    <n v="7"/>
    <n v="7"/>
    <n v="14"/>
    <n v="4"/>
    <n v="6"/>
    <n v="10"/>
  </r>
  <r>
    <n v="905"/>
    <x v="905"/>
    <n v="1977"/>
    <x v="32"/>
    <x v="0"/>
    <x v="0"/>
    <n v="85072"/>
    <x v="2"/>
    <n v="0"/>
    <n v="0"/>
    <x v="0"/>
    <d v="2014-04-09T00:00:00"/>
    <s v="11 years, 2 months"/>
    <n v="94"/>
    <n v="92"/>
    <n v="11"/>
    <n v="103"/>
    <n v="3"/>
    <n v="10"/>
    <n v="13"/>
  </r>
  <r>
    <n v="906"/>
    <x v="906"/>
    <n v="1961"/>
    <x v="45"/>
    <x v="0"/>
    <x v="0"/>
    <n v="86429"/>
    <x v="2"/>
    <n v="0"/>
    <n v="0"/>
    <x v="0"/>
    <d v="2013-11-21T00:00:00"/>
    <s v="11 years, 7 months"/>
    <n v="10"/>
    <n v="28"/>
    <n v="18"/>
    <n v="46"/>
    <n v="7"/>
    <n v="7"/>
    <n v="14"/>
  </r>
  <r>
    <n v="907"/>
    <x v="907"/>
    <n v="1971"/>
    <x v="6"/>
    <x v="0"/>
    <x v="4"/>
    <n v="45684"/>
    <x v="0"/>
    <n v="1"/>
    <n v="0"/>
    <x v="2"/>
    <d v="2013-12-02T00:00:00"/>
    <s v="11 years, 7 months"/>
    <n v="37"/>
    <n v="1"/>
    <n v="0"/>
    <n v="1"/>
    <n v="1"/>
    <n v="2"/>
    <n v="3"/>
  </r>
  <r>
    <n v="908"/>
    <x v="908"/>
    <n v="1974"/>
    <x v="8"/>
    <x v="0"/>
    <x v="1"/>
    <n v="47889"/>
    <x v="0"/>
    <n v="1"/>
    <n v="0"/>
    <x v="2"/>
    <d v="2014-01-04T00:00:00"/>
    <s v="11 years, 6 months"/>
    <n v="94"/>
    <n v="0"/>
    <n v="5"/>
    <n v="5"/>
    <n v="2"/>
    <n v="3"/>
    <n v="5"/>
  </r>
  <r>
    <n v="909"/>
    <x v="909"/>
    <n v="1986"/>
    <x v="22"/>
    <x v="1"/>
    <x v="2"/>
    <n v="45921"/>
    <x v="0"/>
    <n v="0"/>
    <n v="0"/>
    <x v="0"/>
    <d v="2014-03-10T00:00:00"/>
    <s v="11 years, 3 months"/>
    <n v="23"/>
    <n v="9"/>
    <n v="3"/>
    <n v="12"/>
    <n v="2"/>
    <n v="6"/>
    <n v="8"/>
  </r>
  <r>
    <n v="910"/>
    <x v="910"/>
    <n v="1966"/>
    <x v="35"/>
    <x v="1"/>
    <x v="0"/>
    <n v="78420"/>
    <x v="2"/>
    <n v="0"/>
    <n v="0"/>
    <x v="0"/>
    <d v="2013-06-29T00:00:00"/>
    <s v="12 years, 0 months"/>
    <n v="75"/>
    <n v="28"/>
    <n v="28"/>
    <n v="56"/>
    <n v="3"/>
    <n v="8"/>
    <n v="11"/>
  </r>
  <r>
    <n v="911"/>
    <x v="911"/>
    <n v="1992"/>
    <x v="47"/>
    <x v="0"/>
    <x v="1"/>
    <n v="75114"/>
    <x v="2"/>
    <n v="0"/>
    <n v="0"/>
    <x v="0"/>
    <d v="2013-11-07T00:00:00"/>
    <s v="11 years, 7 months"/>
    <n v="40"/>
    <n v="12"/>
    <n v="60"/>
    <n v="72"/>
    <n v="3"/>
    <n v="5"/>
    <n v="8"/>
  </r>
  <r>
    <n v="912"/>
    <x v="912"/>
    <n v="1963"/>
    <x v="24"/>
    <x v="1"/>
    <x v="4"/>
    <n v="52278"/>
    <x v="0"/>
    <n v="0"/>
    <n v="1"/>
    <x v="2"/>
    <d v="2013-01-25T00:00:00"/>
    <s v="12 years, 5 months"/>
    <n v="24"/>
    <n v="0"/>
    <n v="0"/>
    <n v="0"/>
    <n v="10"/>
    <n v="10"/>
    <n v="20"/>
  </r>
  <r>
    <n v="913"/>
    <x v="913"/>
    <n v="1972"/>
    <x v="39"/>
    <x v="2"/>
    <x v="2"/>
    <n v="35641"/>
    <x v="0"/>
    <n v="1"/>
    <n v="0"/>
    <x v="2"/>
    <d v="2013-07-14T00:00:00"/>
    <s v="11 years, 11 months"/>
    <n v="11"/>
    <n v="3"/>
    <n v="9"/>
    <n v="12"/>
    <n v="3"/>
    <n v="4"/>
    <n v="7"/>
  </r>
  <r>
    <n v="914"/>
    <x v="914"/>
    <n v="1994"/>
    <x v="54"/>
    <x v="0"/>
    <x v="0"/>
    <n v="95529"/>
    <x v="2"/>
    <n v="0"/>
    <n v="0"/>
    <x v="0"/>
    <d v="2012-12-03T00:00:00"/>
    <s v="12 years, 7 months"/>
    <n v="29"/>
    <n v="29"/>
    <n v="27"/>
    <n v="56"/>
    <n v="7"/>
    <n v="7"/>
    <n v="14"/>
  </r>
  <r>
    <n v="915"/>
    <x v="915"/>
    <n v="1954"/>
    <x v="1"/>
    <x v="0"/>
    <x v="2"/>
    <n v="62820"/>
    <x v="0"/>
    <n v="0"/>
    <n v="0"/>
    <x v="0"/>
    <d v="2013-05-11T00:00:00"/>
    <s v="12 years, 1 months"/>
    <n v="51"/>
    <n v="61"/>
    <n v="61"/>
    <n v="122"/>
    <n v="3"/>
    <n v="6"/>
    <n v="9"/>
  </r>
  <r>
    <n v="916"/>
    <x v="916"/>
    <n v="1960"/>
    <x v="40"/>
    <x v="2"/>
    <x v="1"/>
    <n v="73113"/>
    <x v="0"/>
    <n v="0"/>
    <n v="0"/>
    <x v="0"/>
    <d v="2013-12-26T00:00:00"/>
    <s v="11 years, 6 months"/>
    <n v="86"/>
    <n v="19"/>
    <n v="9"/>
    <n v="28"/>
    <n v="3"/>
    <n v="7"/>
    <n v="10"/>
  </r>
  <r>
    <n v="917"/>
    <x v="917"/>
    <n v="1982"/>
    <x v="18"/>
    <x v="1"/>
    <x v="2"/>
    <n v="84169"/>
    <x v="2"/>
    <n v="0"/>
    <n v="0"/>
    <x v="0"/>
    <d v="2013-08-07T00:00:00"/>
    <s v="11 years, 10 months"/>
    <n v="9"/>
    <n v="19"/>
    <n v="19"/>
    <n v="38"/>
    <n v="7"/>
    <n v="6"/>
    <n v="13"/>
  </r>
  <r>
    <n v="918"/>
    <x v="918"/>
    <n v="1954"/>
    <x v="1"/>
    <x v="4"/>
    <x v="0"/>
    <n v="42607"/>
    <x v="0"/>
    <n v="0"/>
    <n v="1"/>
    <x v="2"/>
    <d v="2013-11-17T00:00:00"/>
    <s v="11 years, 7 months"/>
    <n v="30"/>
    <n v="29"/>
    <n v="32"/>
    <n v="61"/>
    <n v="3"/>
    <n v="7"/>
    <n v="10"/>
  </r>
  <r>
    <n v="919"/>
    <x v="919"/>
    <n v="1954"/>
    <x v="1"/>
    <x v="1"/>
    <x v="0"/>
    <n v="74637"/>
    <x v="0"/>
    <n v="0"/>
    <n v="0"/>
    <x v="0"/>
    <d v="2013-05-18T00:00:00"/>
    <s v="12 years, 1 months"/>
    <n v="73"/>
    <n v="64"/>
    <n v="0"/>
    <n v="64"/>
    <n v="6"/>
    <n v="9"/>
    <n v="15"/>
  </r>
  <r>
    <n v="920"/>
    <x v="920"/>
    <n v="1955"/>
    <x v="34"/>
    <x v="1"/>
    <x v="1"/>
    <n v="46015"/>
    <x v="0"/>
    <n v="1"/>
    <n v="1"/>
    <x v="1"/>
    <d v="2014-04-13T00:00:00"/>
    <s v="11 years, 2 months"/>
    <n v="25"/>
    <n v="0"/>
    <n v="0"/>
    <n v="0"/>
    <n v="1"/>
    <n v="3"/>
    <n v="4"/>
  </r>
  <r>
    <n v="921"/>
    <x v="921"/>
    <n v="1993"/>
    <x v="53"/>
    <x v="0"/>
    <x v="0"/>
    <n v="72354"/>
    <x v="0"/>
    <n v="0"/>
    <n v="0"/>
    <x v="0"/>
    <d v="2013-04-17T00:00:00"/>
    <s v="12 years, 2 months"/>
    <n v="67"/>
    <n v="26"/>
    <n v="12"/>
    <n v="38"/>
    <n v="2"/>
    <n v="6"/>
    <n v="8"/>
  </r>
  <r>
    <n v="922"/>
    <x v="922"/>
    <n v="1969"/>
    <x v="21"/>
    <x v="2"/>
    <x v="0"/>
    <n v="39858"/>
    <x v="0"/>
    <n v="1"/>
    <n v="0"/>
    <x v="2"/>
    <d v="2013-01-24T00:00:00"/>
    <s v="12 years, 5 months"/>
    <n v="67"/>
    <n v="20"/>
    <n v="7"/>
    <n v="27"/>
    <n v="2"/>
    <n v="4"/>
    <n v="6"/>
  </r>
  <r>
    <n v="923"/>
    <x v="923"/>
    <n v="1948"/>
    <x v="37"/>
    <x v="1"/>
    <x v="2"/>
    <n v="34469"/>
    <x v="0"/>
    <n v="1"/>
    <n v="1"/>
    <x v="1"/>
    <d v="2014-05-04T00:00:00"/>
    <s v="11 years, 2 months"/>
    <n v="58"/>
    <n v="6"/>
    <n v="5"/>
    <n v="11"/>
    <n v="1"/>
    <n v="4"/>
    <n v="5"/>
  </r>
  <r>
    <n v="924"/>
    <x v="924"/>
    <n v="1986"/>
    <x v="22"/>
    <x v="0"/>
    <x v="1"/>
    <n v="83033"/>
    <x v="2"/>
    <n v="1"/>
    <n v="0"/>
    <x v="2"/>
    <d v="2014-05-18T00:00:00"/>
    <s v="11 years, 1 months"/>
    <n v="82"/>
    <n v="99"/>
    <n v="149"/>
    <n v="248"/>
    <n v="11"/>
    <n v="10"/>
    <n v="21"/>
  </r>
  <r>
    <n v="925"/>
    <x v="925"/>
    <n v="1979"/>
    <x v="19"/>
    <x v="2"/>
    <x v="1"/>
    <n v="24401"/>
    <x v="1"/>
    <n v="0"/>
    <n v="0"/>
    <x v="0"/>
    <d v="2012-08-31T00:00:00"/>
    <s v="12 years, 10 months"/>
    <n v="98"/>
    <n v="28"/>
    <n v="24"/>
    <n v="52"/>
    <n v="6"/>
    <n v="6"/>
    <n v="12"/>
  </r>
  <r>
    <n v="926"/>
    <x v="926"/>
    <n v="1978"/>
    <x v="33"/>
    <x v="0"/>
    <x v="2"/>
    <n v="77583"/>
    <x v="2"/>
    <n v="0"/>
    <n v="0"/>
    <x v="0"/>
    <d v="2014-02-10T00:00:00"/>
    <s v="11 years, 4 months"/>
    <n v="93"/>
    <n v="23"/>
    <n v="12"/>
    <n v="35"/>
    <n v="4"/>
    <n v="9"/>
    <n v="13"/>
  </r>
  <r>
    <n v="927"/>
    <x v="927"/>
    <n v="1982"/>
    <x v="18"/>
    <x v="4"/>
    <x v="0"/>
    <n v="74116"/>
    <x v="0"/>
    <n v="0"/>
    <n v="0"/>
    <x v="0"/>
    <d v="2013-12-30T00:00:00"/>
    <s v="11 years, 6 months"/>
    <n v="53"/>
    <n v="111"/>
    <n v="55"/>
    <n v="166"/>
    <n v="4"/>
    <n v="10"/>
    <n v="14"/>
  </r>
  <r>
    <n v="928"/>
    <x v="928"/>
    <n v="1993"/>
    <x v="53"/>
    <x v="0"/>
    <x v="0"/>
    <n v="74293"/>
    <x v="0"/>
    <n v="0"/>
    <n v="0"/>
    <x v="0"/>
    <d v="2014-05-04T00:00:00"/>
    <s v="11 years, 2 months"/>
    <n v="66"/>
    <n v="152"/>
    <n v="91"/>
    <n v="243"/>
    <n v="5"/>
    <n v="6"/>
    <n v="11"/>
  </r>
  <r>
    <n v="929"/>
    <x v="929"/>
    <n v="1976"/>
    <x v="11"/>
    <x v="1"/>
    <x v="2"/>
    <n v="68397"/>
    <x v="0"/>
    <n v="0"/>
    <n v="1"/>
    <x v="2"/>
    <d v="2013-11-17T00:00:00"/>
    <s v="11 years, 7 months"/>
    <n v="6"/>
    <n v="80"/>
    <n v="13"/>
    <n v="93"/>
    <n v="6"/>
    <n v="5"/>
    <n v="11"/>
  </r>
  <r>
    <n v="930"/>
    <x v="930"/>
    <n v="1974"/>
    <x v="8"/>
    <x v="1"/>
    <x v="1"/>
    <n v="79632"/>
    <x v="2"/>
    <n v="0"/>
    <n v="0"/>
    <x v="0"/>
    <d v="2014-04-08T00:00:00"/>
    <s v="11 years, 2 months"/>
    <n v="42"/>
    <n v="0"/>
    <n v="21"/>
    <n v="21"/>
    <n v="6"/>
    <n v="9"/>
    <n v="15"/>
  </r>
  <r>
    <n v="931"/>
    <x v="931"/>
    <n v="1989"/>
    <x v="23"/>
    <x v="0"/>
    <x v="0"/>
    <n v="46107"/>
    <x v="0"/>
    <n v="1"/>
    <n v="0"/>
    <x v="2"/>
    <d v="2014-02-10T00:00:00"/>
    <s v="11 years, 4 months"/>
    <n v="78"/>
    <n v="9"/>
    <n v="9"/>
    <n v="18"/>
    <n v="1"/>
    <n v="4"/>
    <n v="5"/>
  </r>
  <r>
    <n v="932"/>
    <x v="932"/>
    <n v="1951"/>
    <x v="20"/>
    <x v="1"/>
    <x v="0"/>
    <n v="64950"/>
    <x v="0"/>
    <n v="0"/>
    <n v="1"/>
    <x v="2"/>
    <d v="2012-08-12T00:00:00"/>
    <s v="12 years, 10 months"/>
    <n v="29"/>
    <n v="0"/>
    <n v="0"/>
    <n v="0"/>
    <n v="11"/>
    <n v="10"/>
    <n v="21"/>
  </r>
  <r>
    <n v="933"/>
    <x v="933"/>
    <n v="1989"/>
    <x v="23"/>
    <x v="3"/>
    <x v="2"/>
    <n v="25443"/>
    <x v="0"/>
    <n v="1"/>
    <n v="0"/>
    <x v="2"/>
    <d v="2012-12-22T00:00:00"/>
    <s v="12 years, 6 months"/>
    <n v="82"/>
    <n v="4"/>
    <n v="9"/>
    <n v="13"/>
    <n v="1"/>
    <n v="3"/>
    <n v="4"/>
  </r>
  <r>
    <n v="934"/>
    <x v="934"/>
    <n v="1952"/>
    <x v="13"/>
    <x v="0"/>
    <x v="0"/>
    <n v="75127"/>
    <x v="2"/>
    <n v="0"/>
    <n v="0"/>
    <x v="0"/>
    <d v="2014-05-22T00:00:00"/>
    <s v="11 years, 1 months"/>
    <n v="92"/>
    <n v="35"/>
    <n v="17"/>
    <n v="52"/>
    <n v="2"/>
    <n v="5"/>
    <n v="7"/>
  </r>
  <r>
    <n v="935"/>
    <x v="935"/>
    <n v="1971"/>
    <x v="6"/>
    <x v="1"/>
    <x v="1"/>
    <n v="32892"/>
    <x v="0"/>
    <n v="1"/>
    <n v="0"/>
    <x v="2"/>
    <d v="2014-05-25T00:00:00"/>
    <s v="11 years, 1 months"/>
    <n v="78"/>
    <n v="0"/>
    <n v="1"/>
    <n v="1"/>
    <n v="3"/>
    <n v="3"/>
    <n v="6"/>
  </r>
  <r>
    <n v="936"/>
    <x v="936"/>
    <n v="1971"/>
    <x v="6"/>
    <x v="0"/>
    <x v="1"/>
    <n v="71796"/>
    <x v="0"/>
    <n v="0"/>
    <n v="0"/>
    <x v="0"/>
    <d v="2013-10-24T00:00:00"/>
    <s v="11 years, 8 months"/>
    <n v="54"/>
    <n v="21"/>
    <n v="75"/>
    <n v="96"/>
    <n v="9"/>
    <n v="4"/>
    <n v="13"/>
  </r>
  <r>
    <n v="937"/>
    <x v="937"/>
    <n v="1970"/>
    <x v="25"/>
    <x v="1"/>
    <x v="2"/>
    <n v="67536"/>
    <x v="0"/>
    <n v="0"/>
    <n v="1"/>
    <x v="2"/>
    <d v="2013-05-22T00:00:00"/>
    <s v="12 years, 1 months"/>
    <n v="45"/>
    <n v="0"/>
    <n v="71"/>
    <n v="71"/>
    <n v="11"/>
    <n v="11"/>
    <n v="22"/>
  </r>
  <r>
    <n v="938"/>
    <x v="938"/>
    <n v="1971"/>
    <x v="6"/>
    <x v="0"/>
    <x v="0"/>
    <n v="55239"/>
    <x v="0"/>
    <n v="0"/>
    <n v="1"/>
    <x v="2"/>
    <d v="2013-07-14T00:00:00"/>
    <s v="11 years, 11 months"/>
    <n v="59"/>
    <n v="17"/>
    <n v="24"/>
    <n v="41"/>
    <n v="7"/>
    <n v="11"/>
    <n v="18"/>
  </r>
  <r>
    <n v="939"/>
    <x v="939"/>
    <n v="1975"/>
    <x v="28"/>
    <x v="1"/>
    <x v="3"/>
    <n v="60554"/>
    <x v="0"/>
    <n v="1"/>
    <n v="0"/>
    <x v="2"/>
    <d v="2013-08-09T00:00:00"/>
    <s v="11 years, 10 months"/>
    <n v="8"/>
    <n v="7"/>
    <n v="15"/>
    <n v="22"/>
    <n v="8"/>
    <n v="9"/>
    <n v="17"/>
  </r>
  <r>
    <n v="940"/>
    <x v="940"/>
    <n v="1952"/>
    <x v="13"/>
    <x v="4"/>
    <x v="0"/>
    <n v="64831"/>
    <x v="0"/>
    <n v="1"/>
    <n v="1"/>
    <x v="1"/>
    <d v="2013-06-10T00:00:00"/>
    <s v="12 years, 0 months"/>
    <n v="51"/>
    <n v="86"/>
    <n v="86"/>
    <n v="172"/>
    <n v="6"/>
    <n v="5"/>
    <n v="11"/>
  </r>
  <r>
    <n v="941"/>
    <x v="941"/>
    <n v="1962"/>
    <x v="43"/>
    <x v="1"/>
    <x v="1"/>
    <n v="56067"/>
    <x v="0"/>
    <n v="0"/>
    <n v="1"/>
    <x v="2"/>
    <d v="2013-07-20T00:00:00"/>
    <s v="11 years, 11 months"/>
    <n v="51"/>
    <n v="12"/>
    <n v="6"/>
    <n v="18"/>
    <n v="7"/>
    <n v="7"/>
    <n v="14"/>
  </r>
  <r>
    <n v="942"/>
    <x v="942"/>
    <n v="1983"/>
    <x v="10"/>
    <x v="0"/>
    <x v="3"/>
    <n v="82025"/>
    <x v="2"/>
    <n v="0"/>
    <n v="0"/>
    <x v="0"/>
    <d v="2013-05-28T00:00:00"/>
    <s v="12 years, 1 months"/>
    <n v="76"/>
    <n v="98"/>
    <n v="70"/>
    <n v="168"/>
    <n v="3"/>
    <n v="6"/>
    <n v="9"/>
  </r>
  <r>
    <n v="943"/>
    <x v="943"/>
    <n v="1953"/>
    <x v="44"/>
    <x v="0"/>
    <x v="1"/>
    <n v="94384"/>
    <x v="2"/>
    <n v="0"/>
    <n v="0"/>
    <x v="0"/>
    <d v="2013-03-04T00:00:00"/>
    <s v="12 years, 4 months"/>
    <n v="62"/>
    <n v="24"/>
    <n v="45"/>
    <n v="69"/>
    <n v="5"/>
    <n v="5"/>
    <n v="10"/>
  </r>
  <r>
    <n v="944"/>
    <x v="944"/>
    <n v="1986"/>
    <x v="22"/>
    <x v="3"/>
    <x v="0"/>
    <n v="14906"/>
    <x v="1"/>
    <n v="0"/>
    <n v="0"/>
    <x v="0"/>
    <d v="2012-12-22T00:00:00"/>
    <s v="12 years, 6 months"/>
    <n v="86"/>
    <n v="7"/>
    <n v="16"/>
    <n v="23"/>
    <n v="2"/>
    <n v="3"/>
    <n v="5"/>
  </r>
  <r>
    <n v="945"/>
    <x v="945"/>
    <n v="1987"/>
    <x v="14"/>
    <x v="1"/>
    <x v="2"/>
    <n v="51563"/>
    <x v="0"/>
    <n v="0"/>
    <n v="0"/>
    <x v="0"/>
    <d v="2012-10-01T00:00:00"/>
    <s v="12 years, 9 months"/>
    <n v="60"/>
    <n v="0"/>
    <n v="0"/>
    <n v="0"/>
    <n v="4"/>
    <n v="10"/>
    <n v="14"/>
  </r>
  <r>
    <n v="946"/>
    <x v="946"/>
    <n v="1982"/>
    <x v="18"/>
    <x v="4"/>
    <x v="2"/>
    <n v="57937"/>
    <x v="0"/>
    <n v="0"/>
    <n v="1"/>
    <x v="2"/>
    <d v="2014-02-16T00:00:00"/>
    <s v="11 years, 4 months"/>
    <n v="56"/>
    <n v="42"/>
    <n v="48"/>
    <n v="90"/>
    <n v="4"/>
    <n v="9"/>
    <n v="13"/>
  </r>
  <r>
    <n v="947"/>
    <x v="947"/>
    <n v="1979"/>
    <x v="19"/>
    <x v="0"/>
    <x v="3"/>
    <n v="68274"/>
    <x v="0"/>
    <n v="1"/>
    <n v="1"/>
    <x v="1"/>
    <d v="2013-09-30T00:00:00"/>
    <s v="11 years, 9 months"/>
    <n v="83"/>
    <n v="25"/>
    <n v="25"/>
    <n v="50"/>
    <n v="4"/>
    <n v="5"/>
    <n v="9"/>
  </r>
  <r>
    <n v="948"/>
    <x v="948"/>
    <n v="1977"/>
    <x v="32"/>
    <x v="0"/>
    <x v="1"/>
    <n v="39771"/>
    <x v="0"/>
    <n v="1"/>
    <n v="0"/>
    <x v="2"/>
    <d v="2013-12-06T00:00:00"/>
    <s v="11 years, 7 months"/>
    <n v="92"/>
    <n v="2"/>
    <n v="8"/>
    <n v="10"/>
    <n v="2"/>
    <n v="3"/>
    <n v="5"/>
  </r>
  <r>
    <n v="949"/>
    <x v="949"/>
    <n v="1975"/>
    <x v="28"/>
    <x v="4"/>
    <x v="3"/>
    <n v="67893"/>
    <x v="0"/>
    <n v="0"/>
    <n v="1"/>
    <x v="2"/>
    <d v="2012-10-01T00:00:00"/>
    <s v="12 years, 9 months"/>
    <n v="31"/>
    <n v="28"/>
    <n v="18"/>
    <n v="46"/>
    <n v="3"/>
    <n v="9"/>
    <n v="12"/>
  </r>
  <r>
    <n v="950"/>
    <x v="950"/>
    <n v="1979"/>
    <x v="19"/>
    <x v="1"/>
    <x v="1"/>
    <n v="27922"/>
    <x v="0"/>
    <n v="1"/>
    <n v="0"/>
    <x v="2"/>
    <d v="2014-05-10T00:00:00"/>
    <s v="11 years, 1 months"/>
    <n v="80"/>
    <n v="0"/>
    <n v="4"/>
    <n v="4"/>
    <n v="2"/>
    <n v="3"/>
    <n v="5"/>
  </r>
  <r>
    <n v="951"/>
    <x v="951"/>
    <n v="1976"/>
    <x v="11"/>
    <x v="1"/>
    <x v="1"/>
    <n v="52190"/>
    <x v="0"/>
    <n v="1"/>
    <n v="1"/>
    <x v="1"/>
    <d v="2014-05-08T00:00:00"/>
    <s v="11 years, 1 months"/>
    <n v="39"/>
    <n v="0"/>
    <n v="0"/>
    <n v="0"/>
    <n v="2"/>
    <n v="3"/>
    <n v="5"/>
  </r>
  <r>
    <n v="952"/>
    <x v="952"/>
    <n v="1973"/>
    <x v="26"/>
    <x v="2"/>
    <x v="3"/>
    <n v="44051"/>
    <x v="0"/>
    <n v="1"/>
    <n v="1"/>
    <x v="1"/>
    <d v="2013-01-29T00:00:00"/>
    <s v="12 years, 5 months"/>
    <n v="20"/>
    <n v="7"/>
    <n v="3"/>
    <n v="10"/>
    <n v="3"/>
    <n v="4"/>
    <n v="7"/>
  </r>
  <r>
    <n v="953"/>
    <x v="953"/>
    <n v="1971"/>
    <x v="6"/>
    <x v="1"/>
    <x v="0"/>
    <n v="42767"/>
    <x v="0"/>
    <n v="2"/>
    <n v="0"/>
    <x v="1"/>
    <d v="2013-05-11T00:00:00"/>
    <s v="12 years, 1 months"/>
    <n v="53"/>
    <n v="6"/>
    <n v="5"/>
    <n v="11"/>
    <n v="3"/>
    <n v="2"/>
    <n v="5"/>
  </r>
  <r>
    <n v="954"/>
    <x v="954"/>
    <n v="1976"/>
    <x v="11"/>
    <x v="2"/>
    <x v="1"/>
    <n v="46106"/>
    <x v="0"/>
    <n v="1"/>
    <n v="1"/>
    <x v="1"/>
    <d v="2014-05-11T00:00:00"/>
    <s v="11 years, 1 months"/>
    <n v="84"/>
    <n v="0"/>
    <n v="0"/>
    <n v="0"/>
    <n v="1"/>
    <n v="2"/>
    <n v="3"/>
  </r>
  <r>
    <n v="955"/>
    <x v="955"/>
    <n v="1976"/>
    <x v="11"/>
    <x v="1"/>
    <x v="2"/>
    <n v="16927"/>
    <x v="1"/>
    <n v="1"/>
    <n v="1"/>
    <x v="1"/>
    <d v="2013-02-10T00:00:00"/>
    <s v="12 years, 4 months"/>
    <n v="50"/>
    <n v="2"/>
    <n v="1"/>
    <n v="3"/>
    <n v="3"/>
    <n v="4"/>
    <n v="7"/>
  </r>
  <r>
    <n v="956"/>
    <x v="956"/>
    <n v="1965"/>
    <x v="2"/>
    <x v="0"/>
    <x v="2"/>
    <n v="59754"/>
    <x v="0"/>
    <n v="0"/>
    <n v="1"/>
    <x v="2"/>
    <d v="2012-12-01T00:00:00"/>
    <s v="12 years, 7 months"/>
    <n v="96"/>
    <n v="27"/>
    <n v="146"/>
    <n v="173"/>
    <n v="5"/>
    <n v="6"/>
    <n v="11"/>
  </r>
  <r>
    <n v="957"/>
    <x v="957"/>
    <n v="1952"/>
    <x v="13"/>
    <x v="0"/>
    <x v="0"/>
    <n v="53700"/>
    <x v="0"/>
    <n v="0"/>
    <n v="1"/>
    <x v="2"/>
    <d v="2012-08-17T00:00:00"/>
    <s v="12 years, 10 months"/>
    <n v="94"/>
    <n v="5"/>
    <n v="41"/>
    <n v="46"/>
    <n v="5"/>
    <n v="8"/>
    <n v="13"/>
  </r>
  <r>
    <n v="958"/>
    <x v="958"/>
    <n v="1973"/>
    <x v="26"/>
    <x v="0"/>
    <x v="2"/>
    <n v="59041"/>
    <x v="0"/>
    <n v="1"/>
    <n v="1"/>
    <x v="1"/>
    <d v="2014-05-07T00:00:00"/>
    <s v="11 years, 1 months"/>
    <n v="25"/>
    <n v="2"/>
    <n v="2"/>
    <n v="4"/>
    <n v="2"/>
    <n v="4"/>
    <n v="6"/>
  </r>
  <r>
    <n v="959"/>
    <x v="959"/>
    <n v="1957"/>
    <x v="0"/>
    <x v="1"/>
    <x v="3"/>
    <n v="54237"/>
    <x v="0"/>
    <n v="0"/>
    <n v="1"/>
    <x v="2"/>
    <d v="2013-04-27T00:00:00"/>
    <s v="12 years, 2 months"/>
    <n v="48"/>
    <n v="3"/>
    <n v="0"/>
    <n v="3"/>
    <n v="5"/>
    <n v="5"/>
    <n v="10"/>
  </r>
  <r>
    <n v="960"/>
    <x v="960"/>
    <n v="1967"/>
    <x v="5"/>
    <x v="0"/>
    <x v="3"/>
    <n v="70647"/>
    <x v="0"/>
    <n v="0"/>
    <n v="1"/>
    <x v="2"/>
    <d v="2012-09-21T00:00:00"/>
    <s v="12 years, 9 months"/>
    <n v="65"/>
    <n v="85"/>
    <n v="123"/>
    <n v="208"/>
    <n v="4"/>
    <n v="13"/>
    <n v="17"/>
  </r>
  <r>
    <n v="961"/>
    <x v="961"/>
    <n v="1962"/>
    <x v="43"/>
    <x v="1"/>
    <x v="0"/>
    <n v="52597"/>
    <x v="0"/>
    <n v="0"/>
    <n v="1"/>
    <x v="2"/>
    <d v="2014-05-07T00:00:00"/>
    <s v="11 years, 1 months"/>
    <n v="69"/>
    <n v="0"/>
    <n v="0"/>
    <n v="0"/>
    <n v="6"/>
    <n v="8"/>
    <n v="14"/>
  </r>
  <r>
    <n v="962"/>
    <x v="962"/>
    <n v="1969"/>
    <x v="21"/>
    <x v="2"/>
    <x v="1"/>
    <n v="41021"/>
    <x v="0"/>
    <n v="1"/>
    <n v="0"/>
    <x v="2"/>
    <d v="2012-12-30T00:00:00"/>
    <s v="12 years, 6 months"/>
    <n v="12"/>
    <n v="7"/>
    <n v="16"/>
    <n v="23"/>
    <n v="2"/>
    <n v="3"/>
    <n v="5"/>
  </r>
  <r>
    <n v="963"/>
    <x v="963"/>
    <n v="1975"/>
    <x v="28"/>
    <x v="1"/>
    <x v="2"/>
    <n v="40233"/>
    <x v="0"/>
    <n v="0"/>
    <n v="1"/>
    <x v="2"/>
    <d v="2013-10-14T00:00:00"/>
    <s v="11 years, 8 months"/>
    <n v="84"/>
    <n v="4"/>
    <n v="17"/>
    <n v="21"/>
    <n v="2"/>
    <n v="5"/>
    <n v="7"/>
  </r>
  <r>
    <n v="964"/>
    <x v="964"/>
    <n v="1980"/>
    <x v="16"/>
    <x v="0"/>
    <x v="2"/>
    <n v="50183"/>
    <x v="0"/>
    <n v="1"/>
    <n v="1"/>
    <x v="1"/>
    <d v="2014-06-25T00:00:00"/>
    <s v="11 years, 0 months"/>
    <n v="47"/>
    <n v="12"/>
    <n v="10"/>
    <n v="22"/>
    <n v="3"/>
    <n v="6"/>
    <n v="9"/>
  </r>
  <r>
    <n v="965"/>
    <x v="965"/>
    <n v="1959"/>
    <x v="12"/>
    <x v="0"/>
    <x v="1"/>
    <n v="54753"/>
    <x v="0"/>
    <n v="0"/>
    <n v="1"/>
    <x v="2"/>
    <d v="2013-09-12T00:00:00"/>
    <s v="11 years, 9 months"/>
    <n v="87"/>
    <n v="107"/>
    <n v="59"/>
    <n v="166"/>
    <n v="5"/>
    <n v="11"/>
    <n v="16"/>
  </r>
  <r>
    <n v="966"/>
    <x v="966"/>
    <n v="1973"/>
    <x v="26"/>
    <x v="0"/>
    <x v="2"/>
    <n v="92955"/>
    <x v="2"/>
    <n v="0"/>
    <n v="0"/>
    <x v="0"/>
    <d v="2013-08-19T00:00:00"/>
    <s v="11 years, 10 months"/>
    <n v="35"/>
    <n v="21"/>
    <n v="24"/>
    <n v="45"/>
    <n v="6"/>
    <n v="9"/>
    <n v="15"/>
  </r>
  <r>
    <n v="967"/>
    <x v="967"/>
    <n v="1973"/>
    <x v="26"/>
    <x v="0"/>
    <x v="2"/>
    <n v="33471"/>
    <x v="0"/>
    <n v="1"/>
    <n v="0"/>
    <x v="2"/>
    <d v="2012-10-12T00:00:00"/>
    <s v="12 years, 8 months"/>
    <n v="47"/>
    <n v="2"/>
    <n v="9"/>
    <n v="11"/>
    <n v="3"/>
    <n v="4"/>
    <n v="7"/>
  </r>
  <r>
    <n v="968"/>
    <x v="968"/>
    <n v="1974"/>
    <x v="8"/>
    <x v="1"/>
    <x v="2"/>
    <n v="34596"/>
    <x v="0"/>
    <n v="1"/>
    <n v="0"/>
    <x v="2"/>
    <d v="2013-04-13T00:00:00"/>
    <s v="12 years, 2 months"/>
    <n v="48"/>
    <n v="0"/>
    <n v="0"/>
    <n v="0"/>
    <n v="1"/>
    <n v="2"/>
    <n v="3"/>
  </r>
  <r>
    <n v="969"/>
    <x v="969"/>
    <n v="1980"/>
    <x v="16"/>
    <x v="0"/>
    <x v="1"/>
    <n v="44010"/>
    <x v="0"/>
    <n v="1"/>
    <n v="0"/>
    <x v="2"/>
    <d v="2012-10-13T00:00:00"/>
    <s v="12 years, 8 months"/>
    <n v="46"/>
    <n v="36"/>
    <n v="72"/>
    <n v="108"/>
    <n v="10"/>
    <n v="6"/>
    <n v="16"/>
  </r>
  <r>
    <n v="970"/>
    <x v="970"/>
    <n v="1988"/>
    <x v="36"/>
    <x v="0"/>
    <x v="2"/>
    <n v="84219"/>
    <x v="2"/>
    <n v="0"/>
    <n v="0"/>
    <x v="0"/>
    <d v="2014-02-02T00:00:00"/>
    <s v="11 years, 5 months"/>
    <n v="27"/>
    <n v="137"/>
    <n v="137"/>
    <n v="274"/>
    <n v="3"/>
    <n v="10"/>
    <n v="13"/>
  </r>
  <r>
    <n v="971"/>
    <x v="971"/>
    <n v="1968"/>
    <x v="30"/>
    <x v="1"/>
    <x v="1"/>
    <n v="40706"/>
    <x v="0"/>
    <n v="2"/>
    <n v="1"/>
    <x v="3"/>
    <d v="2013-01-17T00:00:00"/>
    <s v="12 years, 5 months"/>
    <n v="37"/>
    <n v="0"/>
    <n v="2"/>
    <n v="2"/>
    <n v="3"/>
    <n v="4"/>
    <n v="7"/>
  </r>
  <r>
    <n v="972"/>
    <x v="972"/>
    <n v="1988"/>
    <x v="36"/>
    <x v="4"/>
    <x v="2"/>
    <n v="15716"/>
    <x v="1"/>
    <n v="1"/>
    <n v="0"/>
    <x v="2"/>
    <d v="2012-11-12T00:00:00"/>
    <s v="12 years, 7 months"/>
    <n v="8"/>
    <n v="5"/>
    <n v="7"/>
    <n v="12"/>
    <n v="3"/>
    <n v="4"/>
    <n v="7"/>
  </r>
  <r>
    <n v="973"/>
    <x v="973"/>
    <n v="1959"/>
    <x v="12"/>
    <x v="4"/>
    <x v="3"/>
    <n v="59052"/>
    <x v="0"/>
    <n v="0"/>
    <n v="1"/>
    <x v="2"/>
    <d v="2013-11-17T00:00:00"/>
    <s v="11 years, 7 months"/>
    <n v="29"/>
    <n v="35"/>
    <n v="57"/>
    <n v="92"/>
    <n v="7"/>
    <n v="7"/>
    <n v="14"/>
  </r>
  <r>
    <n v="974"/>
    <x v="974"/>
    <n v="1971"/>
    <x v="6"/>
    <x v="2"/>
    <x v="1"/>
    <n v="80573"/>
    <x v="2"/>
    <n v="0"/>
    <n v="0"/>
    <x v="0"/>
    <d v="2012-10-14T00:00:00"/>
    <s v="12 years, 8 months"/>
    <n v="85"/>
    <n v="138"/>
    <n v="92"/>
    <n v="230"/>
    <n v="4"/>
    <n v="13"/>
    <n v="17"/>
  </r>
  <r>
    <n v="975"/>
    <x v="975"/>
    <n v="1962"/>
    <x v="43"/>
    <x v="0"/>
    <x v="2"/>
    <n v="83715"/>
    <x v="2"/>
    <n v="0"/>
    <n v="0"/>
    <x v="0"/>
    <d v="2014-02-03T00:00:00"/>
    <s v="11 years, 5 months"/>
    <n v="2"/>
    <n v="8"/>
    <n v="35"/>
    <n v="43"/>
    <n v="2"/>
    <n v="13"/>
    <n v="15"/>
  </r>
  <r>
    <n v="976"/>
    <x v="976"/>
    <n v="1959"/>
    <x v="12"/>
    <x v="2"/>
    <x v="1"/>
    <n v="82576"/>
    <x v="2"/>
    <n v="0"/>
    <n v="0"/>
    <x v="0"/>
    <d v="2012-08-01T00:00:00"/>
    <s v="12 years, 11 months"/>
    <n v="66"/>
    <n v="55"/>
    <n v="18"/>
    <n v="73"/>
    <n v="2"/>
    <n v="12"/>
    <n v="14"/>
  </r>
  <r>
    <n v="977"/>
    <x v="977"/>
    <n v="1965"/>
    <x v="2"/>
    <x v="2"/>
    <x v="2"/>
    <n v="56962"/>
    <x v="0"/>
    <n v="2"/>
    <n v="1"/>
    <x v="3"/>
    <d v="2013-10-11T00:00:00"/>
    <s v="11 years, 8 months"/>
    <n v="60"/>
    <n v="3"/>
    <n v="3"/>
    <n v="6"/>
    <n v="6"/>
    <n v="5"/>
    <n v="11"/>
  </r>
  <r>
    <n v="978"/>
    <x v="978"/>
    <n v="1952"/>
    <x v="13"/>
    <x v="0"/>
    <x v="2"/>
    <n v="35704"/>
    <x v="0"/>
    <n v="1"/>
    <n v="1"/>
    <x v="1"/>
    <d v="2014-01-03T00:00:00"/>
    <s v="11 years, 6 months"/>
    <n v="54"/>
    <n v="9"/>
    <n v="11"/>
    <n v="20"/>
    <n v="2"/>
    <n v="4"/>
    <n v="6"/>
  </r>
  <r>
    <n v="979"/>
    <x v="979"/>
    <n v="1954"/>
    <x v="1"/>
    <x v="0"/>
    <x v="1"/>
    <n v="53103"/>
    <x v="0"/>
    <n v="0"/>
    <n v="1"/>
    <x v="2"/>
    <d v="2013-09-12T00:00:00"/>
    <s v="11 years, 9 months"/>
    <n v="70"/>
    <n v="17"/>
    <n v="0"/>
    <n v="17"/>
    <n v="10"/>
    <n v="7"/>
    <n v="17"/>
  </r>
  <r>
    <n v="980"/>
    <x v="980"/>
    <n v="1960"/>
    <x v="40"/>
    <x v="4"/>
    <x v="4"/>
    <n v="46779"/>
    <x v="0"/>
    <n v="1"/>
    <n v="1"/>
    <x v="1"/>
    <d v="2013-07-12T00:00:00"/>
    <s v="11 years, 11 months"/>
    <n v="55"/>
    <n v="1"/>
    <n v="0"/>
    <n v="1"/>
    <n v="0"/>
    <n v="2"/>
    <n v="2"/>
  </r>
  <r>
    <n v="981"/>
    <x v="981"/>
    <n v="1965"/>
    <x v="2"/>
    <x v="0"/>
    <x v="3"/>
    <n v="4861"/>
    <x v="1"/>
    <n v="0"/>
    <n v="0"/>
    <x v="0"/>
    <d v="2014-06-22T00:00:00"/>
    <s v="11 years, 0 months"/>
    <n v="20"/>
    <n v="1"/>
    <n v="0"/>
    <n v="1"/>
    <n v="0"/>
    <n v="0"/>
    <n v="0"/>
  </r>
  <r>
    <n v="982"/>
    <x v="982"/>
    <n v="1979"/>
    <x v="19"/>
    <x v="2"/>
    <x v="3"/>
    <n v="33462"/>
    <x v="0"/>
    <n v="1"/>
    <n v="0"/>
    <x v="2"/>
    <d v="2013-08-07T00:00:00"/>
    <s v="11 years, 10 months"/>
    <n v="78"/>
    <n v="3"/>
    <n v="0"/>
    <n v="3"/>
    <n v="2"/>
    <n v="3"/>
    <n v="5"/>
  </r>
  <r>
    <n v="983"/>
    <x v="983"/>
    <n v="1978"/>
    <x v="33"/>
    <x v="0"/>
    <x v="3"/>
    <n v="63693"/>
    <x v="0"/>
    <n v="0"/>
    <n v="1"/>
    <x v="2"/>
    <d v="2013-10-14T00:00:00"/>
    <s v="11 years, 8 months"/>
    <n v="63"/>
    <n v="43"/>
    <n v="87"/>
    <n v="130"/>
    <n v="11"/>
    <n v="9"/>
    <n v="20"/>
  </r>
  <r>
    <n v="984"/>
    <x v="984"/>
    <n v="1950"/>
    <x v="9"/>
    <x v="0"/>
    <x v="2"/>
    <n v="80763"/>
    <x v="2"/>
    <n v="0"/>
    <n v="0"/>
    <x v="0"/>
    <d v="2013-08-15T00:00:00"/>
    <s v="11 years, 10 months"/>
    <n v="17"/>
    <n v="168"/>
    <n v="42"/>
    <n v="210"/>
    <n v="5"/>
    <n v="6"/>
    <n v="11"/>
  </r>
  <r>
    <n v="985"/>
    <x v="985"/>
    <n v="1974"/>
    <x v="8"/>
    <x v="1"/>
    <x v="2"/>
    <n v="65352"/>
    <x v="0"/>
    <n v="0"/>
    <n v="1"/>
    <x v="2"/>
    <d v="2013-08-21T00:00:00"/>
    <s v="11 years, 10 months"/>
    <n v="43"/>
    <n v="3"/>
    <n v="7"/>
    <n v="10"/>
    <n v="4"/>
    <n v="8"/>
    <n v="12"/>
  </r>
  <r>
    <n v="986"/>
    <x v="986"/>
    <n v="1978"/>
    <x v="33"/>
    <x v="1"/>
    <x v="2"/>
    <n v="82170"/>
    <x v="2"/>
    <n v="0"/>
    <n v="0"/>
    <x v="0"/>
    <d v="2013-11-25T00:00:00"/>
    <s v="11 years, 7 months"/>
    <n v="13"/>
    <n v="93"/>
    <n v="55"/>
    <n v="148"/>
    <n v="5"/>
    <n v="7"/>
    <n v="12"/>
  </r>
  <r>
    <n v="987"/>
    <x v="987"/>
    <n v="1969"/>
    <x v="21"/>
    <x v="0"/>
    <x v="2"/>
    <n v="75759"/>
    <x v="2"/>
    <n v="0"/>
    <n v="0"/>
    <x v="0"/>
    <d v="2013-10-25T00:00:00"/>
    <s v="11 years, 8 months"/>
    <n v="46"/>
    <n v="22"/>
    <n v="91"/>
    <n v="113"/>
    <n v="9"/>
    <n v="9"/>
    <n v="18"/>
  </r>
  <r>
    <n v="988"/>
    <x v="988"/>
    <n v="1976"/>
    <x v="11"/>
    <x v="4"/>
    <x v="0"/>
    <n v="79689"/>
    <x v="2"/>
    <n v="0"/>
    <n v="0"/>
    <x v="0"/>
    <d v="2013-05-12T00:00:00"/>
    <s v="12 years, 1 months"/>
    <n v="65"/>
    <n v="26"/>
    <n v="37"/>
    <n v="63"/>
    <n v="4"/>
    <n v="13"/>
    <n v="17"/>
  </r>
  <r>
    <n v="989"/>
    <x v="989"/>
    <n v="1956"/>
    <x v="46"/>
    <x v="1"/>
    <x v="4"/>
    <n v="35340"/>
    <x v="0"/>
    <n v="1"/>
    <n v="1"/>
    <x v="1"/>
    <d v="2014-06-29T00:00:00"/>
    <s v="11 years, 0 months"/>
    <n v="1"/>
    <n v="0"/>
    <n v="1"/>
    <n v="1"/>
    <n v="2"/>
    <n v="3"/>
    <n v="5"/>
  </r>
  <r>
    <n v="990"/>
    <x v="990"/>
    <n v="1954"/>
    <x v="1"/>
    <x v="0"/>
    <x v="3"/>
    <n v="85683"/>
    <x v="2"/>
    <n v="0"/>
    <n v="0"/>
    <x v="0"/>
    <d v="2014-03-21T00:00:00"/>
    <s v="11 years, 3 months"/>
    <n v="6"/>
    <n v="17"/>
    <n v="69"/>
    <n v="86"/>
    <n v="2"/>
    <n v="10"/>
    <n v="12"/>
  </r>
  <r>
    <n v="991"/>
    <x v="991"/>
    <n v="1972"/>
    <x v="39"/>
    <x v="4"/>
    <x v="2"/>
    <n v="24884"/>
    <x v="1"/>
    <n v="1"/>
    <n v="0"/>
    <x v="2"/>
    <d v="2012-11-29T00:00:00"/>
    <s v="12 years, 7 months"/>
    <n v="32"/>
    <n v="6"/>
    <n v="0"/>
    <n v="6"/>
    <n v="0"/>
    <n v="3"/>
    <n v="3"/>
  </r>
  <r>
    <n v="992"/>
    <x v="992"/>
    <n v="1981"/>
    <x v="4"/>
    <x v="2"/>
    <x v="1"/>
    <n v="42021"/>
    <x v="0"/>
    <n v="1"/>
    <n v="0"/>
    <x v="2"/>
    <d v="2012-08-31T00:00:00"/>
    <s v="12 years, 10 months"/>
    <n v="34"/>
    <n v="5"/>
    <n v="5"/>
    <n v="10"/>
    <n v="10"/>
    <n v="6"/>
    <n v="16"/>
  </r>
  <r>
    <n v="993"/>
    <x v="993"/>
    <n v="1989"/>
    <x v="23"/>
    <x v="0"/>
    <x v="0"/>
    <n v="64449"/>
    <x v="0"/>
    <n v="1"/>
    <n v="0"/>
    <x v="2"/>
    <d v="2014-02-18T00:00:00"/>
    <s v="11 years, 4 months"/>
    <n v="70"/>
    <n v="63"/>
    <n v="35"/>
    <n v="98"/>
    <n v="5"/>
    <n v="12"/>
    <n v="17"/>
  </r>
  <r>
    <n v="994"/>
    <x v="994"/>
    <n v="1954"/>
    <x v="1"/>
    <x v="0"/>
    <x v="3"/>
    <n v="64587"/>
    <x v="0"/>
    <n v="1"/>
    <n v="1"/>
    <x v="1"/>
    <d v="2014-06-22T00:00:00"/>
    <s v="11 years, 0 months"/>
    <n v="49"/>
    <n v="0"/>
    <n v="6"/>
    <n v="6"/>
    <n v="1"/>
    <n v="4"/>
    <n v="5"/>
  </r>
  <r>
    <n v="995"/>
    <x v="995"/>
    <n v="1995"/>
    <x v="57"/>
    <x v="0"/>
    <x v="0"/>
    <n v="34824"/>
    <x v="0"/>
    <n v="0"/>
    <n v="0"/>
    <x v="0"/>
    <d v="2014-03-26T00:00:00"/>
    <s v="11 years, 3 months"/>
    <n v="65"/>
    <n v="2"/>
    <n v="0"/>
    <n v="2"/>
    <n v="1"/>
    <n v="2"/>
    <n v="3"/>
  </r>
  <r>
    <n v="996"/>
    <x v="996"/>
    <n v="1978"/>
    <x v="33"/>
    <x v="0"/>
    <x v="1"/>
    <n v="75437"/>
    <x v="2"/>
    <n v="0"/>
    <n v="0"/>
    <x v="0"/>
    <d v="2013-11-09T00:00:00"/>
    <s v="11 years, 7 months"/>
    <n v="25"/>
    <n v="0"/>
    <n v="58"/>
    <n v="58"/>
    <n v="8"/>
    <n v="10"/>
    <n v="18"/>
  </r>
  <r>
    <n v="997"/>
    <x v="997"/>
    <n v="1957"/>
    <x v="0"/>
    <x v="0"/>
    <x v="1"/>
    <n v="26091"/>
    <x v="0"/>
    <n v="1"/>
    <n v="1"/>
    <x v="1"/>
    <d v="2014-02-25T00:00:00"/>
    <s v="11 years, 4 months"/>
    <n v="84"/>
    <n v="10"/>
    <n v="17"/>
    <n v="27"/>
    <n v="2"/>
    <n v="3"/>
    <n v="5"/>
  </r>
  <r>
    <n v="998"/>
    <x v="998"/>
    <n v="1973"/>
    <x v="26"/>
    <x v="0"/>
    <x v="2"/>
    <n v="52845"/>
    <x v="0"/>
    <n v="1"/>
    <n v="0"/>
    <x v="2"/>
    <d v="2013-08-13T00:00:00"/>
    <s v="11 years, 10 months"/>
    <n v="7"/>
    <n v="25"/>
    <n v="41"/>
    <n v="66"/>
    <n v="8"/>
    <n v="6"/>
    <n v="14"/>
  </r>
  <r>
    <n v="999"/>
    <x v="999"/>
    <n v="1956"/>
    <x v="46"/>
    <x v="0"/>
    <x v="3"/>
    <n v="46086"/>
    <x v="0"/>
    <n v="0"/>
    <n v="1"/>
    <x v="2"/>
    <d v="2013-11-03T00:00:00"/>
    <s v="11 years, 8 months"/>
    <n v="34"/>
    <n v="8"/>
    <n v="2"/>
    <n v="10"/>
    <n v="3"/>
    <n v="8"/>
    <n v="11"/>
  </r>
  <r>
    <n v="1000"/>
    <x v="1000"/>
    <n v="1956"/>
    <x v="46"/>
    <x v="1"/>
    <x v="4"/>
    <n v="78028"/>
    <x v="2"/>
    <n v="0"/>
    <n v="1"/>
    <x v="2"/>
    <d v="2012-09-10T00:00:00"/>
    <s v="12 years, 9 months"/>
    <n v="38"/>
    <n v="19"/>
    <n v="0"/>
    <n v="19"/>
    <n v="6"/>
    <n v="9"/>
    <n v="15"/>
  </r>
  <r>
    <n v="1001"/>
    <x v="1001"/>
    <n v="1987"/>
    <x v="14"/>
    <x v="1"/>
    <x v="0"/>
    <n v="95169"/>
    <x v="2"/>
    <n v="0"/>
    <n v="0"/>
    <x v="0"/>
    <d v="2013-10-09T00:00:00"/>
    <s v="11 years, 8 months"/>
    <n v="1"/>
    <n v="21"/>
    <n v="20"/>
    <n v="41"/>
    <n v="4"/>
    <n v="4"/>
    <n v="8"/>
  </r>
  <r>
    <n v="1002"/>
    <x v="1002"/>
    <n v="1981"/>
    <x v="4"/>
    <x v="4"/>
    <x v="2"/>
    <n v="56337"/>
    <x v="0"/>
    <n v="1"/>
    <n v="1"/>
    <x v="1"/>
    <d v="2013-03-27T00:00:00"/>
    <s v="12 years, 3 months"/>
    <n v="25"/>
    <n v="16"/>
    <n v="5"/>
    <n v="21"/>
    <n v="8"/>
    <n v="4"/>
    <n v="12"/>
  </r>
  <r>
    <n v="1003"/>
    <x v="1003"/>
    <n v="1987"/>
    <x v="14"/>
    <x v="0"/>
    <x v="1"/>
    <n v="22434"/>
    <x v="1"/>
    <n v="1"/>
    <n v="0"/>
    <x v="2"/>
    <d v="2013-02-13T00:00:00"/>
    <s v="12 years, 4 months"/>
    <n v="25"/>
    <n v="12"/>
    <n v="13"/>
    <n v="25"/>
    <n v="2"/>
    <n v="3"/>
    <n v="5"/>
  </r>
  <r>
    <n v="1004"/>
    <x v="1004"/>
    <n v="1954"/>
    <x v="1"/>
    <x v="1"/>
    <x v="2"/>
    <n v="36930"/>
    <x v="0"/>
    <n v="0"/>
    <n v="1"/>
    <x v="2"/>
    <d v="2013-05-17T00:00:00"/>
    <s v="12 years, 1 months"/>
    <n v="50"/>
    <n v="2"/>
    <n v="2"/>
    <n v="4"/>
    <n v="5"/>
    <n v="4"/>
    <n v="9"/>
  </r>
  <r>
    <n v="1005"/>
    <x v="1005"/>
    <n v="1954"/>
    <x v="1"/>
    <x v="0"/>
    <x v="0"/>
    <n v="36130"/>
    <x v="0"/>
    <n v="0"/>
    <n v="1"/>
    <x v="2"/>
    <d v="2013-02-02T00:00:00"/>
    <s v="12 years, 5 months"/>
    <n v="46"/>
    <n v="43"/>
    <n v="56"/>
    <n v="99"/>
    <n v="3"/>
    <n v="4"/>
    <n v="7"/>
  </r>
  <r>
    <n v="1006"/>
    <x v="1006"/>
    <n v="1953"/>
    <x v="44"/>
    <x v="2"/>
    <x v="2"/>
    <n v="65569"/>
    <x v="0"/>
    <n v="0"/>
    <n v="1"/>
    <x v="2"/>
    <d v="2012-11-05T00:00:00"/>
    <s v="12 years, 8 months"/>
    <n v="96"/>
    <n v="46"/>
    <n v="38"/>
    <n v="84"/>
    <n v="6"/>
    <n v="10"/>
    <n v="16"/>
  </r>
  <r>
    <n v="1007"/>
    <x v="1007"/>
    <n v="1952"/>
    <x v="13"/>
    <x v="0"/>
    <x v="1"/>
    <n v="83844"/>
    <x v="2"/>
    <n v="0"/>
    <n v="0"/>
    <x v="0"/>
    <d v="2013-05-12T00:00:00"/>
    <s v="12 years, 1 months"/>
    <n v="57"/>
    <n v="31"/>
    <n v="31"/>
    <n v="62"/>
    <n v="4"/>
    <n v="11"/>
    <n v="15"/>
  </r>
  <r>
    <n v="1008"/>
    <x v="1008"/>
    <n v="1968"/>
    <x v="30"/>
    <x v="0"/>
    <x v="2"/>
    <n v="19514"/>
    <x v="1"/>
    <n v="1"/>
    <n v="1"/>
    <x v="1"/>
    <d v="2014-01-26T00:00:00"/>
    <s v="11 years, 5 months"/>
    <n v="47"/>
    <n v="3"/>
    <n v="1"/>
    <n v="4"/>
    <n v="3"/>
    <n v="2"/>
    <n v="5"/>
  </r>
  <r>
    <n v="1009"/>
    <x v="1009"/>
    <n v="1963"/>
    <x v="24"/>
    <x v="1"/>
    <x v="0"/>
    <n v="36736"/>
    <x v="0"/>
    <n v="1"/>
    <n v="1"/>
    <x v="1"/>
    <d v="2013-05-10T00:00:00"/>
    <s v="12 years, 1 months"/>
    <n v="52"/>
    <n v="0"/>
    <n v="0"/>
    <n v="0"/>
    <n v="1"/>
    <n v="2"/>
    <n v="3"/>
  </r>
  <r>
    <n v="1010"/>
    <x v="1010"/>
    <n v="1979"/>
    <x v="19"/>
    <x v="0"/>
    <x v="1"/>
    <n v="77568"/>
    <x v="2"/>
    <n v="0"/>
    <n v="1"/>
    <x v="2"/>
    <d v="2012-08-25T00:00:00"/>
    <s v="12 years, 10 months"/>
    <n v="30"/>
    <n v="0"/>
    <n v="178"/>
    <n v="178"/>
    <n v="10"/>
    <n v="8"/>
    <n v="18"/>
  </r>
  <r>
    <n v="1011"/>
    <x v="1011"/>
    <n v="1976"/>
    <x v="11"/>
    <x v="1"/>
    <x v="1"/>
    <n v="49187"/>
    <x v="0"/>
    <n v="0"/>
    <n v="1"/>
    <x v="2"/>
    <d v="2014-01-11T00:00:00"/>
    <s v="11 years, 5 months"/>
    <n v="63"/>
    <n v="1"/>
    <n v="1"/>
    <n v="2"/>
    <n v="1"/>
    <n v="5"/>
    <n v="6"/>
  </r>
  <r>
    <n v="1012"/>
    <x v="1012"/>
    <n v="1978"/>
    <x v="33"/>
    <x v="0"/>
    <x v="0"/>
    <n v="30168"/>
    <x v="0"/>
    <n v="1"/>
    <n v="0"/>
    <x v="2"/>
    <d v="2013-03-07T00:00:00"/>
    <s v="12 years, 3 months"/>
    <n v="51"/>
    <n v="20"/>
    <n v="12"/>
    <n v="32"/>
    <n v="6"/>
    <n v="4"/>
    <n v="10"/>
  </r>
  <r>
    <n v="1013"/>
    <x v="1013"/>
    <n v="1968"/>
    <x v="30"/>
    <x v="2"/>
    <x v="1"/>
    <n v="34053"/>
    <x v="0"/>
    <n v="0"/>
    <n v="1"/>
    <x v="2"/>
    <d v="2012-09-10T00:00:00"/>
    <s v="12 years, 9 months"/>
    <n v="14"/>
    <n v="0"/>
    <n v="0"/>
    <n v="0"/>
    <n v="3"/>
    <n v="3"/>
    <n v="6"/>
  </r>
  <r>
    <n v="1014"/>
    <x v="1014"/>
    <n v="1971"/>
    <x v="6"/>
    <x v="2"/>
    <x v="2"/>
    <n v="38196"/>
    <x v="0"/>
    <n v="1"/>
    <n v="1"/>
    <x v="1"/>
    <d v="2014-04-18T00:00:00"/>
    <s v="11 years, 2 months"/>
    <n v="20"/>
    <n v="0"/>
    <n v="0"/>
    <n v="0"/>
    <n v="2"/>
    <n v="4"/>
    <n v="6"/>
  </r>
  <r>
    <n v="1015"/>
    <x v="1015"/>
    <n v="1951"/>
    <x v="20"/>
    <x v="2"/>
    <x v="2"/>
    <n v="59412"/>
    <x v="0"/>
    <n v="0"/>
    <n v="0"/>
    <x v="0"/>
    <d v="2014-04-19T00:00:00"/>
    <s v="11 years, 2 months"/>
    <n v="56"/>
    <n v="67"/>
    <n v="43"/>
    <n v="110"/>
    <n v="4"/>
    <n v="8"/>
    <n v="12"/>
  </r>
  <r>
    <n v="1016"/>
    <x v="1016"/>
    <n v="1965"/>
    <x v="2"/>
    <x v="4"/>
    <x v="2"/>
    <n v="70924"/>
    <x v="0"/>
    <n v="0"/>
    <n v="0"/>
    <x v="0"/>
    <d v="2014-04-07T00:00:00"/>
    <s v="11 years, 2 months"/>
    <n v="41"/>
    <n v="114"/>
    <n v="152"/>
    <n v="266"/>
    <n v="6"/>
    <n v="7"/>
    <n v="13"/>
  </r>
  <r>
    <n v="1017"/>
    <x v="1017"/>
    <n v="1969"/>
    <x v="21"/>
    <x v="0"/>
    <x v="1"/>
    <n v="54165"/>
    <x v="0"/>
    <n v="0"/>
    <n v="0"/>
    <x v="0"/>
    <d v="2013-05-28T00:00:00"/>
    <s v="12 years, 1 months"/>
    <n v="72"/>
    <n v="4"/>
    <n v="6"/>
    <n v="10"/>
    <n v="2"/>
    <n v="7"/>
    <n v="9"/>
  </r>
  <r>
    <n v="1018"/>
    <x v="1018"/>
    <n v="1973"/>
    <x v="26"/>
    <x v="0"/>
    <x v="2"/>
    <n v="32300"/>
    <x v="0"/>
    <n v="1"/>
    <n v="0"/>
    <x v="2"/>
    <d v="2013-01-03T00:00:00"/>
    <s v="12 years, 6 months"/>
    <n v="1"/>
    <n v="3"/>
    <n v="5"/>
    <n v="8"/>
    <n v="1"/>
    <n v="3"/>
    <n v="4"/>
  </r>
  <r>
    <n v="1019"/>
    <x v="1019"/>
    <n v="1976"/>
    <x v="11"/>
    <x v="0"/>
    <x v="0"/>
    <n v="20180"/>
    <x v="1"/>
    <n v="0"/>
    <n v="0"/>
    <x v="0"/>
    <d v="2013-02-20T00:00:00"/>
    <s v="12 years, 4 months"/>
    <n v="27"/>
    <n v="42"/>
    <n v="20"/>
    <n v="62"/>
    <n v="2"/>
    <n v="4"/>
    <n v="6"/>
  </r>
  <r>
    <n v="1020"/>
    <x v="1020"/>
    <n v="1973"/>
    <x v="26"/>
    <x v="0"/>
    <x v="2"/>
    <n v="34961"/>
    <x v="0"/>
    <n v="1"/>
    <n v="0"/>
    <x v="2"/>
    <d v="2014-06-19T00:00:00"/>
    <s v="11 years, 0 months"/>
    <n v="77"/>
    <n v="2"/>
    <n v="1"/>
    <n v="3"/>
    <n v="3"/>
    <n v="3"/>
    <n v="6"/>
  </r>
  <r>
    <n v="1021"/>
    <x v="1021"/>
    <n v="1974"/>
    <x v="8"/>
    <x v="1"/>
    <x v="1"/>
    <n v="28440"/>
    <x v="0"/>
    <n v="1"/>
    <n v="0"/>
    <x v="2"/>
    <d v="2013-07-07T00:00:00"/>
    <s v="11 years, 11 months"/>
    <n v="87"/>
    <n v="1"/>
    <n v="0"/>
    <n v="1"/>
    <n v="2"/>
    <n v="3"/>
    <n v="5"/>
  </r>
  <r>
    <n v="1022"/>
    <x v="1022"/>
    <n v="1953"/>
    <x v="44"/>
    <x v="1"/>
    <x v="1"/>
    <n v="64504"/>
    <x v="0"/>
    <n v="1"/>
    <n v="2"/>
    <x v="3"/>
    <d v="2013-03-04T00:00:00"/>
    <s v="12 years, 4 months"/>
    <n v="81"/>
    <n v="36"/>
    <n v="0"/>
    <n v="36"/>
    <n v="11"/>
    <n v="4"/>
    <n v="15"/>
  </r>
  <r>
    <n v="1023"/>
    <x v="1023"/>
    <n v="1966"/>
    <x v="35"/>
    <x v="2"/>
    <x v="1"/>
    <n v="33564"/>
    <x v="0"/>
    <n v="0"/>
    <n v="1"/>
    <x v="2"/>
    <d v="2014-06-24T00:00:00"/>
    <s v="11 years, 0 months"/>
    <n v="51"/>
    <n v="0"/>
    <n v="0"/>
    <n v="0"/>
    <n v="1"/>
    <n v="3"/>
    <n v="4"/>
  </r>
  <r>
    <n v="1024"/>
    <x v="1024"/>
    <n v="1978"/>
    <x v="33"/>
    <x v="0"/>
    <x v="2"/>
    <n v="17345"/>
    <x v="1"/>
    <n v="1"/>
    <n v="0"/>
    <x v="2"/>
    <d v="2012-11-03T00:00:00"/>
    <s v="12 years, 8 months"/>
    <n v="79"/>
    <n v="9"/>
    <n v="0"/>
    <n v="9"/>
    <n v="2"/>
    <n v="2"/>
    <n v="4"/>
  </r>
  <r>
    <n v="1025"/>
    <x v="1025"/>
    <n v="1967"/>
    <x v="5"/>
    <x v="1"/>
    <x v="2"/>
    <n v="56320"/>
    <x v="0"/>
    <n v="0"/>
    <n v="1"/>
    <x v="2"/>
    <d v="2013-04-08T00:00:00"/>
    <s v="12 years, 2 months"/>
    <n v="11"/>
    <n v="53"/>
    <n v="77"/>
    <n v="130"/>
    <n v="5"/>
    <n v="9"/>
    <n v="14"/>
  </r>
  <r>
    <n v="1026"/>
    <x v="1026"/>
    <n v="1978"/>
    <x v="33"/>
    <x v="0"/>
    <x v="0"/>
    <n v="28647"/>
    <x v="0"/>
    <n v="1"/>
    <n v="0"/>
    <x v="2"/>
    <d v="2013-08-21T00:00:00"/>
    <s v="11 years, 10 months"/>
    <n v="54"/>
    <n v="8"/>
    <n v="12"/>
    <n v="20"/>
    <n v="2"/>
    <n v="2"/>
    <n v="4"/>
  </r>
  <r>
    <n v="1027"/>
    <x v="1027"/>
    <n v="1987"/>
    <x v="14"/>
    <x v="3"/>
    <x v="0"/>
    <n v="15038"/>
    <x v="1"/>
    <n v="1"/>
    <n v="0"/>
    <x v="2"/>
    <d v="2013-01-29T00:00:00"/>
    <s v="12 years, 5 months"/>
    <n v="93"/>
    <n v="8"/>
    <n v="12"/>
    <n v="20"/>
    <n v="2"/>
    <n v="2"/>
    <n v="4"/>
  </r>
  <r>
    <n v="1028"/>
    <x v="1028"/>
    <n v="1958"/>
    <x v="38"/>
    <x v="1"/>
    <x v="3"/>
    <n v="32173"/>
    <x v="0"/>
    <n v="0"/>
    <n v="1"/>
    <x v="2"/>
    <d v="2013-08-01T00:00:00"/>
    <s v="11 years, 11 months"/>
    <n v="0"/>
    <n v="0"/>
    <n v="0"/>
    <n v="0"/>
    <n v="1"/>
    <n v="3"/>
    <n v="4"/>
  </r>
  <r>
    <n v="1029"/>
    <x v="1029"/>
    <n v="1964"/>
    <x v="31"/>
    <x v="4"/>
    <x v="1"/>
    <n v="68316"/>
    <x v="0"/>
    <n v="0"/>
    <n v="1"/>
    <x v="2"/>
    <d v="2012-11-04T00:00:00"/>
    <s v="12 years, 8 months"/>
    <n v="54"/>
    <n v="80"/>
    <n v="11"/>
    <n v="91"/>
    <n v="10"/>
    <n v="10"/>
    <n v="20"/>
  </r>
  <r>
    <n v="1030"/>
    <x v="1030"/>
    <n v="1971"/>
    <x v="6"/>
    <x v="0"/>
    <x v="1"/>
    <n v="74538"/>
    <x v="0"/>
    <n v="0"/>
    <n v="0"/>
    <x v="0"/>
    <d v="2013-06-29T00:00:00"/>
    <s v="12 years, 0 months"/>
    <n v="21"/>
    <n v="98"/>
    <n v="112"/>
    <n v="210"/>
    <n v="8"/>
    <n v="5"/>
    <n v="13"/>
  </r>
  <r>
    <n v="1031"/>
    <x v="1031"/>
    <n v="1971"/>
    <x v="6"/>
    <x v="0"/>
    <x v="0"/>
    <n v="91700"/>
    <x v="2"/>
    <n v="0"/>
    <n v="0"/>
    <x v="0"/>
    <d v="2013-01-17T00:00:00"/>
    <s v="12 years, 5 months"/>
    <n v="58"/>
    <n v="172"/>
    <n v="115"/>
    <n v="287"/>
    <n v="8"/>
    <n v="5"/>
    <n v="13"/>
  </r>
  <r>
    <n v="1032"/>
    <x v="1032"/>
    <n v="1969"/>
    <x v="21"/>
    <x v="0"/>
    <x v="1"/>
    <n v="68695"/>
    <x v="0"/>
    <n v="0"/>
    <n v="0"/>
    <x v="0"/>
    <d v="2014-06-25T00:00:00"/>
    <s v="11 years, 0 months"/>
    <n v="3"/>
    <n v="81"/>
    <n v="50"/>
    <n v="131"/>
    <n v="4"/>
    <n v="7"/>
    <n v="11"/>
  </r>
  <r>
    <n v="1033"/>
    <x v="1033"/>
    <n v="1977"/>
    <x v="32"/>
    <x v="4"/>
    <x v="2"/>
    <n v="31056"/>
    <x v="0"/>
    <n v="1"/>
    <n v="0"/>
    <x v="2"/>
    <d v="2013-01-22T00:00:00"/>
    <s v="12 years, 5 months"/>
    <n v="99"/>
    <n v="10"/>
    <n v="8"/>
    <n v="18"/>
    <n v="1"/>
    <n v="3"/>
    <n v="4"/>
  </r>
  <r>
    <n v="1034"/>
    <x v="1034"/>
    <n v="1973"/>
    <x v="26"/>
    <x v="0"/>
    <x v="2"/>
    <n v="79593"/>
    <x v="2"/>
    <n v="0"/>
    <n v="0"/>
    <x v="0"/>
    <d v="2014-05-12T00:00:00"/>
    <s v="11 years, 1 months"/>
    <n v="70"/>
    <n v="60"/>
    <n v="133"/>
    <n v="193"/>
    <n v="5"/>
    <n v="7"/>
    <n v="12"/>
  </r>
  <r>
    <n v="1035"/>
    <x v="1035"/>
    <n v="1980"/>
    <x v="16"/>
    <x v="0"/>
    <x v="0"/>
    <n v="28071"/>
    <x v="0"/>
    <n v="0"/>
    <n v="0"/>
    <x v="0"/>
    <d v="2012-08-29T00:00:00"/>
    <s v="12 years, 10 months"/>
    <n v="65"/>
    <n v="33"/>
    <n v="26"/>
    <n v="59"/>
    <n v="5"/>
    <n v="5"/>
    <n v="10"/>
  </r>
  <r>
    <n v="1036"/>
    <x v="1036"/>
    <n v="1958"/>
    <x v="38"/>
    <x v="1"/>
    <x v="1"/>
    <n v="37334"/>
    <x v="0"/>
    <n v="1"/>
    <n v="1"/>
    <x v="1"/>
    <d v="2014-02-26T00:00:00"/>
    <s v="11 years, 4 months"/>
    <n v="44"/>
    <n v="1"/>
    <n v="2"/>
    <n v="3"/>
    <n v="3"/>
    <n v="4"/>
    <n v="7"/>
  </r>
  <r>
    <n v="1037"/>
    <x v="1037"/>
    <n v="1972"/>
    <x v="39"/>
    <x v="2"/>
    <x v="0"/>
    <n v="46423"/>
    <x v="0"/>
    <n v="1"/>
    <n v="1"/>
    <x v="1"/>
    <d v="2013-09-18T00:00:00"/>
    <s v="11 years, 9 months"/>
    <n v="6"/>
    <n v="0"/>
    <n v="0"/>
    <n v="0"/>
    <n v="2"/>
    <n v="4"/>
    <n v="6"/>
  </r>
  <r>
    <n v="1038"/>
    <x v="1038"/>
    <n v="1971"/>
    <x v="6"/>
    <x v="1"/>
    <x v="2"/>
    <n v="37126"/>
    <x v="0"/>
    <n v="1"/>
    <n v="0"/>
    <x v="2"/>
    <d v="2014-03-30T00:00:00"/>
    <s v="11 years, 3 months"/>
    <n v="9"/>
    <n v="3"/>
    <n v="4"/>
    <n v="7"/>
    <n v="1"/>
    <n v="2"/>
    <n v="3"/>
  </r>
  <r>
    <n v="1039"/>
    <x v="1039"/>
    <n v="1953"/>
    <x v="44"/>
    <x v="0"/>
    <x v="2"/>
    <n v="47703"/>
    <x v="0"/>
    <n v="0"/>
    <n v="1"/>
    <x v="2"/>
    <d v="2013-05-29T00:00:00"/>
    <s v="12 years, 1 months"/>
    <n v="95"/>
    <n v="0"/>
    <n v="26"/>
    <n v="26"/>
    <n v="6"/>
    <n v="8"/>
    <n v="14"/>
  </r>
  <r>
    <n v="1040"/>
    <x v="1040"/>
    <n v="1959"/>
    <x v="12"/>
    <x v="0"/>
    <x v="2"/>
    <n v="61180"/>
    <x v="0"/>
    <n v="0"/>
    <n v="1"/>
    <x v="2"/>
    <d v="2014-04-23T00:00:00"/>
    <s v="11 years, 2 months"/>
    <n v="70"/>
    <n v="24"/>
    <n v="24"/>
    <n v="48"/>
    <n v="5"/>
    <n v="6"/>
    <n v="11"/>
  </r>
  <r>
    <n v="1041"/>
    <x v="1041"/>
    <n v="1954"/>
    <x v="1"/>
    <x v="0"/>
    <x v="2"/>
    <n v="38998"/>
    <x v="0"/>
    <n v="1"/>
    <n v="1"/>
    <x v="1"/>
    <d v="2012-11-03T00:00:00"/>
    <s v="12 years, 8 months"/>
    <n v="92"/>
    <n v="1"/>
    <n v="0"/>
    <n v="1"/>
    <n v="2"/>
    <n v="3"/>
    <n v="5"/>
  </r>
  <r>
    <n v="1042"/>
    <x v="1042"/>
    <n v="1991"/>
    <x v="42"/>
    <x v="0"/>
    <x v="0"/>
    <n v="8028"/>
    <x v="1"/>
    <n v="0"/>
    <n v="0"/>
    <x v="0"/>
    <d v="2012-09-18T00:00:00"/>
    <s v="12 years, 9 months"/>
    <n v="62"/>
    <n v="18"/>
    <n v="12"/>
    <n v="30"/>
    <n v="0"/>
    <n v="0"/>
    <n v="0"/>
  </r>
  <r>
    <n v="1043"/>
    <x v="1043"/>
    <n v="1962"/>
    <x v="43"/>
    <x v="0"/>
    <x v="1"/>
    <n v="76081"/>
    <x v="2"/>
    <n v="0"/>
    <n v="0"/>
    <x v="0"/>
    <d v="2014-05-23T00:00:00"/>
    <s v="11 years, 1 months"/>
    <n v="85"/>
    <n v="30"/>
    <n v="33"/>
    <n v="63"/>
    <n v="4"/>
    <n v="4"/>
    <n v="8"/>
  </r>
  <r>
    <n v="1044"/>
    <x v="1044"/>
    <n v="1986"/>
    <x v="22"/>
    <x v="0"/>
    <x v="1"/>
    <n v="34728"/>
    <x v="0"/>
    <n v="1"/>
    <n v="0"/>
    <x v="2"/>
    <d v="2013-07-30T00:00:00"/>
    <s v="11 years, 11 months"/>
    <n v="2"/>
    <n v="0"/>
    <n v="0"/>
    <n v="0"/>
    <n v="1"/>
    <n v="2"/>
    <n v="3"/>
  </r>
  <r>
    <n v="1045"/>
    <x v="1045"/>
    <n v="1965"/>
    <x v="2"/>
    <x v="2"/>
    <x v="0"/>
    <n v="33168"/>
    <x v="0"/>
    <n v="0"/>
    <n v="1"/>
    <x v="2"/>
    <d v="2012-10-13T00:00:00"/>
    <s v="12 years, 8 months"/>
    <n v="0"/>
    <n v="1"/>
    <n v="1"/>
    <n v="2"/>
    <n v="2"/>
    <n v="4"/>
    <n v="6"/>
  </r>
  <r>
    <n v="1046"/>
    <x v="1046"/>
    <n v="1966"/>
    <x v="35"/>
    <x v="2"/>
    <x v="2"/>
    <n v="33585"/>
    <x v="0"/>
    <n v="0"/>
    <n v="1"/>
    <x v="2"/>
    <d v="2013-09-25T00:00:00"/>
    <s v="11 years, 9 months"/>
    <n v="91"/>
    <n v="11"/>
    <n v="6"/>
    <n v="17"/>
    <n v="2"/>
    <n v="4"/>
    <n v="6"/>
  </r>
  <r>
    <n v="1047"/>
    <x v="1047"/>
    <n v="1960"/>
    <x v="40"/>
    <x v="1"/>
    <x v="2"/>
    <n v="77037"/>
    <x v="2"/>
    <n v="0"/>
    <n v="1"/>
    <x v="2"/>
    <d v="2013-10-13T00:00:00"/>
    <s v="11 years, 8 months"/>
    <n v="3"/>
    <n v="96"/>
    <n v="53"/>
    <n v="149"/>
    <n v="7"/>
    <n v="12"/>
    <n v="19"/>
  </r>
  <r>
    <n v="1048"/>
    <x v="1048"/>
    <n v="1984"/>
    <x v="3"/>
    <x v="0"/>
    <x v="1"/>
    <n v="35196"/>
    <x v="0"/>
    <n v="1"/>
    <n v="0"/>
    <x v="2"/>
    <d v="2012-11-13T00:00:00"/>
    <s v="12 years, 7 months"/>
    <n v="68"/>
    <n v="12"/>
    <n v="39"/>
    <n v="51"/>
    <n v="6"/>
    <n v="5"/>
    <n v="11"/>
  </r>
  <r>
    <n v="1049"/>
    <x v="1049"/>
    <n v="1966"/>
    <x v="35"/>
    <x v="0"/>
    <x v="2"/>
    <n v="44529"/>
    <x v="0"/>
    <n v="0"/>
    <n v="1"/>
    <x v="2"/>
    <d v="2013-07-05T00:00:00"/>
    <s v="12 years, 0 months"/>
    <n v="98"/>
    <n v="13"/>
    <n v="6"/>
    <n v="19"/>
    <n v="6"/>
    <n v="11"/>
    <n v="17"/>
  </r>
  <r>
    <n v="1050"/>
    <x v="1050"/>
    <n v="1965"/>
    <x v="2"/>
    <x v="4"/>
    <x v="2"/>
    <n v="70924"/>
    <x v="0"/>
    <n v="0"/>
    <n v="0"/>
    <x v="0"/>
    <d v="2014-04-07T00:00:00"/>
    <s v="11 years, 2 months"/>
    <n v="41"/>
    <n v="114"/>
    <n v="152"/>
    <n v="266"/>
    <n v="6"/>
    <n v="7"/>
    <n v="13"/>
  </r>
  <r>
    <n v="1051"/>
    <x v="1051"/>
    <n v="1966"/>
    <x v="35"/>
    <x v="1"/>
    <x v="1"/>
    <n v="28764"/>
    <x v="0"/>
    <n v="1"/>
    <n v="1"/>
    <x v="1"/>
    <d v="2014-06-05T00:00:00"/>
    <s v="11 years, 1 months"/>
    <n v="16"/>
    <n v="0"/>
    <n v="0"/>
    <n v="0"/>
    <n v="1"/>
    <n v="2"/>
    <n v="3"/>
  </r>
  <r>
    <n v="1052"/>
    <x v="1052"/>
    <n v="1949"/>
    <x v="17"/>
    <x v="1"/>
    <x v="2"/>
    <n v="69098"/>
    <x v="0"/>
    <n v="0"/>
    <n v="0"/>
    <x v="0"/>
    <d v="2013-02-16T00:00:00"/>
    <s v="12 years, 4 months"/>
    <n v="82"/>
    <n v="22"/>
    <n v="0"/>
    <n v="22"/>
    <n v="7"/>
    <n v="9"/>
    <n v="16"/>
  </r>
  <r>
    <n v="1053"/>
    <x v="1053"/>
    <n v="1970"/>
    <x v="25"/>
    <x v="4"/>
    <x v="3"/>
    <n v="25959"/>
    <x v="0"/>
    <n v="1"/>
    <n v="1"/>
    <x v="1"/>
    <d v="2013-02-14T00:00:00"/>
    <s v="12 years, 4 months"/>
    <n v="1"/>
    <n v="2"/>
    <n v="5"/>
    <n v="7"/>
    <n v="1"/>
    <n v="2"/>
    <n v="3"/>
  </r>
  <r>
    <n v="1054"/>
    <x v="1054"/>
    <n v="1983"/>
    <x v="10"/>
    <x v="2"/>
    <x v="2"/>
    <n v="27100"/>
    <x v="0"/>
    <n v="1"/>
    <n v="0"/>
    <x v="2"/>
    <d v="2013-04-05T00:00:00"/>
    <s v="12 years, 3 months"/>
    <n v="64"/>
    <n v="0"/>
    <n v="0"/>
    <n v="0"/>
    <n v="1"/>
    <n v="3"/>
    <n v="4"/>
  </r>
  <r>
    <n v="1055"/>
    <x v="1055"/>
    <n v="1985"/>
    <x v="7"/>
    <x v="0"/>
    <x v="0"/>
    <n v="70596"/>
    <x v="0"/>
    <n v="0"/>
    <n v="0"/>
    <x v="0"/>
    <d v="2012-10-05T00:00:00"/>
    <s v="12 years, 9 months"/>
    <n v="68"/>
    <n v="44"/>
    <n v="0"/>
    <n v="44"/>
    <n v="3"/>
    <n v="12"/>
    <n v="15"/>
  </r>
  <r>
    <n v="1056"/>
    <x v="1056"/>
    <n v="1974"/>
    <x v="8"/>
    <x v="0"/>
    <x v="2"/>
    <n v="42557"/>
    <x v="0"/>
    <n v="0"/>
    <n v="1"/>
    <x v="2"/>
    <d v="2012-08-29T00:00:00"/>
    <s v="12 years, 10 months"/>
    <n v="98"/>
    <n v="5"/>
    <n v="5"/>
    <n v="10"/>
    <n v="6"/>
    <n v="4"/>
    <n v="10"/>
  </r>
  <r>
    <n v="1057"/>
    <x v="1057"/>
    <n v="1951"/>
    <x v="20"/>
    <x v="1"/>
    <x v="2"/>
    <n v="53312"/>
    <x v="0"/>
    <n v="0"/>
    <n v="0"/>
    <x v="0"/>
    <d v="2013-08-09T00:00:00"/>
    <s v="11 years, 10 months"/>
    <n v="32"/>
    <n v="0"/>
    <n v="0"/>
    <n v="0"/>
    <n v="5"/>
    <n v="5"/>
    <n v="10"/>
  </r>
  <r>
    <n v="1058"/>
    <x v="1058"/>
    <n v="1952"/>
    <x v="13"/>
    <x v="0"/>
    <x v="0"/>
    <n v="72228"/>
    <x v="0"/>
    <n v="0"/>
    <n v="0"/>
    <x v="0"/>
    <d v="2012-11-27T00:00:00"/>
    <s v="12 years, 7 months"/>
    <n v="87"/>
    <n v="28"/>
    <n v="14"/>
    <n v="42"/>
    <n v="6"/>
    <n v="8"/>
    <n v="14"/>
  </r>
  <r>
    <n v="1059"/>
    <x v="1059"/>
    <n v="1987"/>
    <x v="14"/>
    <x v="0"/>
    <x v="1"/>
    <n v="67605"/>
    <x v="0"/>
    <n v="0"/>
    <n v="0"/>
    <x v="0"/>
    <d v="2013-03-31T00:00:00"/>
    <s v="12 years, 3 months"/>
    <n v="84"/>
    <n v="28"/>
    <n v="54"/>
    <n v="82"/>
    <n v="2"/>
    <n v="6"/>
    <n v="8"/>
  </r>
  <r>
    <n v="1060"/>
    <x v="1060"/>
    <n v="1949"/>
    <x v="17"/>
    <x v="2"/>
    <x v="2"/>
    <n v="62845"/>
    <x v="0"/>
    <n v="1"/>
    <n v="1"/>
    <x v="1"/>
    <d v="2012-10-01T00:00:00"/>
    <s v="12 years, 9 months"/>
    <n v="3"/>
    <n v="0"/>
    <n v="0"/>
    <n v="0"/>
    <n v="3"/>
    <n v="10"/>
    <n v="13"/>
  </r>
  <r>
    <n v="1061"/>
    <x v="1061"/>
    <n v="1958"/>
    <x v="38"/>
    <x v="0"/>
    <x v="1"/>
    <n v="65196"/>
    <x v="0"/>
    <n v="0"/>
    <n v="2"/>
    <x v="1"/>
    <d v="2013-07-25T00:00:00"/>
    <s v="11 years, 11 months"/>
    <n v="34"/>
    <n v="19"/>
    <n v="0"/>
    <n v="19"/>
    <n v="7"/>
    <n v="11"/>
    <n v="18"/>
  </r>
  <r>
    <n v="1062"/>
    <x v="1062"/>
    <n v="1987"/>
    <x v="14"/>
    <x v="1"/>
    <x v="0"/>
    <n v="42000"/>
    <x v="0"/>
    <n v="0"/>
    <n v="0"/>
    <x v="0"/>
    <d v="2013-01-10T00:00:00"/>
    <s v="12 years, 5 months"/>
    <n v="23"/>
    <n v="83"/>
    <n v="59"/>
    <n v="142"/>
    <n v="5"/>
    <n v="11"/>
    <n v="16"/>
  </r>
  <r>
    <n v="1063"/>
    <x v="1063"/>
    <n v="1973"/>
    <x v="26"/>
    <x v="1"/>
    <x v="3"/>
    <n v="35860"/>
    <x v="0"/>
    <n v="1"/>
    <n v="1"/>
    <x v="1"/>
    <d v="2014-05-19T00:00:00"/>
    <s v="11 years, 1 months"/>
    <n v="37"/>
    <n v="0"/>
    <n v="2"/>
    <n v="2"/>
    <n v="1"/>
    <n v="2"/>
    <n v="3"/>
  </r>
  <r>
    <n v="1064"/>
    <x v="1064"/>
    <n v="1964"/>
    <x v="31"/>
    <x v="1"/>
    <x v="2"/>
    <n v="65526"/>
    <x v="0"/>
    <n v="0"/>
    <n v="1"/>
    <x v="2"/>
    <d v="2014-04-11T00:00:00"/>
    <s v="11 years, 2 months"/>
    <n v="22"/>
    <n v="19"/>
    <n v="0"/>
    <n v="19"/>
    <n v="4"/>
    <n v="8"/>
    <n v="12"/>
  </r>
  <r>
    <n v="1065"/>
    <x v="1065"/>
    <n v="1961"/>
    <x v="45"/>
    <x v="0"/>
    <x v="2"/>
    <n v="16860"/>
    <x v="1"/>
    <n v="1"/>
    <n v="1"/>
    <x v="1"/>
    <d v="2012-09-12T00:00:00"/>
    <s v="12 years, 9 months"/>
    <n v="19"/>
    <n v="4"/>
    <n v="3"/>
    <n v="7"/>
    <n v="1"/>
    <n v="3"/>
    <n v="4"/>
  </r>
  <r>
    <n v="1066"/>
    <x v="1066"/>
    <n v="1992"/>
    <x v="47"/>
    <x v="0"/>
    <x v="0"/>
    <n v="83528"/>
    <x v="2"/>
    <n v="0"/>
    <n v="0"/>
    <x v="0"/>
    <d v="2014-05-01T00:00:00"/>
    <s v="11 years, 2 months"/>
    <n v="7"/>
    <n v="117"/>
    <n v="44"/>
    <n v="161"/>
    <n v="4"/>
    <n v="8"/>
    <n v="12"/>
  </r>
  <r>
    <n v="1067"/>
    <x v="1067"/>
    <n v="1965"/>
    <x v="2"/>
    <x v="4"/>
    <x v="3"/>
    <n v="64176"/>
    <x v="0"/>
    <n v="0"/>
    <n v="1"/>
    <x v="2"/>
    <d v="2012-08-03T00:00:00"/>
    <s v="12 years, 11 months"/>
    <n v="52"/>
    <n v="33"/>
    <n v="116"/>
    <n v="149"/>
    <n v="8"/>
    <n v="8"/>
    <n v="16"/>
  </r>
  <r>
    <n v="1068"/>
    <x v="1068"/>
    <n v="1956"/>
    <x v="46"/>
    <x v="0"/>
    <x v="3"/>
    <n v="22304"/>
    <x v="1"/>
    <n v="0"/>
    <n v="0"/>
    <x v="0"/>
    <d v="2012-08-04T00:00:00"/>
    <s v="12 years, 11 months"/>
    <n v="91"/>
    <n v="2"/>
    <n v="4"/>
    <n v="6"/>
    <n v="1"/>
    <n v="2"/>
    <n v="3"/>
  </r>
  <r>
    <n v="1069"/>
    <x v="1069"/>
    <n v="1978"/>
    <x v="33"/>
    <x v="0"/>
    <x v="2"/>
    <n v="67023"/>
    <x v="0"/>
    <n v="0"/>
    <n v="0"/>
    <x v="0"/>
    <d v="2014-03-04T00:00:00"/>
    <s v="11 years, 4 months"/>
    <n v="93"/>
    <n v="44"/>
    <n v="8"/>
    <n v="52"/>
    <n v="3"/>
    <n v="13"/>
    <n v="16"/>
  </r>
  <r>
    <n v="1070"/>
    <x v="1070"/>
    <n v="1971"/>
    <x v="6"/>
    <x v="1"/>
    <x v="1"/>
    <n v="32892"/>
    <x v="0"/>
    <n v="1"/>
    <n v="0"/>
    <x v="2"/>
    <d v="2014-05-25T00:00:00"/>
    <s v="11 years, 1 months"/>
    <n v="78"/>
    <n v="0"/>
    <n v="1"/>
    <n v="1"/>
    <n v="3"/>
    <n v="3"/>
    <n v="6"/>
  </r>
  <r>
    <n v="1071"/>
    <x v="1071"/>
    <n v="1966"/>
    <x v="35"/>
    <x v="0"/>
    <x v="1"/>
    <n v="70713"/>
    <x v="0"/>
    <n v="0"/>
    <n v="1"/>
    <x v="2"/>
    <d v="2012-12-03T00:00:00"/>
    <s v="12 years, 7 months"/>
    <n v="23"/>
    <n v="114"/>
    <n v="76"/>
    <n v="190"/>
    <n v="5"/>
    <n v="8"/>
    <n v="13"/>
  </r>
  <r>
    <n v="1072"/>
    <x v="1072"/>
    <n v="1955"/>
    <x v="34"/>
    <x v="0"/>
    <x v="1"/>
    <n v="59925"/>
    <x v="0"/>
    <n v="0"/>
    <n v="1"/>
    <x v="2"/>
    <d v="2012-11-30T00:00:00"/>
    <s v="12 years, 7 months"/>
    <n v="83"/>
    <n v="21"/>
    <n v="21"/>
    <n v="42"/>
    <n v="9"/>
    <n v="9"/>
    <n v="18"/>
  </r>
  <r>
    <n v="1073"/>
    <x v="1073"/>
    <n v="1953"/>
    <x v="44"/>
    <x v="0"/>
    <x v="2"/>
    <n v="39722"/>
    <x v="0"/>
    <n v="0"/>
    <n v="1"/>
    <x v="2"/>
    <d v="2014-02-24T00:00:00"/>
    <s v="11 years, 4 months"/>
    <n v="92"/>
    <n v="0"/>
    <n v="0"/>
    <n v="0"/>
    <n v="2"/>
    <n v="3"/>
    <n v="5"/>
  </r>
  <r>
    <n v="1074"/>
    <x v="1074"/>
    <n v="1958"/>
    <x v="38"/>
    <x v="0"/>
    <x v="1"/>
    <n v="46610"/>
    <x v="0"/>
    <n v="0"/>
    <n v="0"/>
    <x v="0"/>
    <d v="2013-07-18T00:00:00"/>
    <s v="11 years, 11 months"/>
    <n v="4"/>
    <n v="10"/>
    <n v="10"/>
    <n v="20"/>
    <n v="6"/>
    <n v="6"/>
    <n v="12"/>
  </r>
  <r>
    <n v="1075"/>
    <x v="1075"/>
    <n v="1961"/>
    <x v="45"/>
    <x v="0"/>
    <x v="1"/>
    <n v="88347"/>
    <x v="2"/>
    <n v="0"/>
    <n v="0"/>
    <x v="0"/>
    <d v="2013-07-03T00:00:00"/>
    <s v="12 years, 0 months"/>
    <n v="32"/>
    <n v="178"/>
    <n v="138"/>
    <n v="316"/>
    <n v="4"/>
    <n v="9"/>
    <n v="13"/>
  </r>
  <r>
    <n v="1076"/>
    <x v="1076"/>
    <n v="1981"/>
    <x v="4"/>
    <x v="1"/>
    <x v="2"/>
    <n v="87171"/>
    <x v="2"/>
    <n v="0"/>
    <n v="0"/>
    <x v="0"/>
    <d v="2013-05-01T00:00:00"/>
    <s v="12 years, 2 months"/>
    <n v="27"/>
    <n v="44"/>
    <n v="44"/>
    <n v="88"/>
    <n v="6"/>
    <n v="11"/>
    <n v="17"/>
  </r>
  <r>
    <n v="1077"/>
    <x v="1077"/>
    <n v="1976"/>
    <x v="11"/>
    <x v="4"/>
    <x v="1"/>
    <n v="26907"/>
    <x v="0"/>
    <n v="1"/>
    <n v="1"/>
    <x v="1"/>
    <d v="2013-08-20T00:00:00"/>
    <s v="11 years, 10 months"/>
    <n v="10"/>
    <n v="1"/>
    <n v="3"/>
    <n v="4"/>
    <n v="1"/>
    <n v="3"/>
    <n v="4"/>
  </r>
  <r>
    <n v="1078"/>
    <x v="1078"/>
    <n v="1968"/>
    <x v="30"/>
    <x v="2"/>
    <x v="0"/>
    <n v="50014"/>
    <x v="0"/>
    <n v="1"/>
    <n v="0"/>
    <x v="2"/>
    <d v="2014-01-22T00:00:00"/>
    <s v="11 years, 5 months"/>
    <n v="9"/>
    <n v="14"/>
    <n v="10"/>
    <n v="24"/>
    <n v="4"/>
    <n v="8"/>
    <n v="12"/>
  </r>
  <r>
    <n v="1079"/>
    <x v="1079"/>
    <n v="1978"/>
    <x v="33"/>
    <x v="1"/>
    <x v="2"/>
    <n v="41014"/>
    <x v="0"/>
    <n v="1"/>
    <n v="0"/>
    <x v="2"/>
    <d v="2013-04-22T00:00:00"/>
    <s v="12 years, 2 months"/>
    <n v="65"/>
    <n v="2"/>
    <n v="0"/>
    <n v="2"/>
    <n v="1"/>
    <n v="2"/>
    <n v="3"/>
  </r>
  <r>
    <n v="1080"/>
    <x v="1080"/>
    <n v="1965"/>
    <x v="2"/>
    <x v="0"/>
    <x v="0"/>
    <n v="66294"/>
    <x v="0"/>
    <n v="0"/>
    <n v="0"/>
    <x v="0"/>
    <d v="2014-03-17T00:00:00"/>
    <s v="11 years, 3 months"/>
    <n v="68"/>
    <n v="108"/>
    <n v="92"/>
    <n v="200"/>
    <n v="4"/>
    <n v="5"/>
    <n v="9"/>
  </r>
  <r>
    <n v="1081"/>
    <x v="1081"/>
    <n v="1971"/>
    <x v="6"/>
    <x v="0"/>
    <x v="2"/>
    <n v="36715"/>
    <x v="0"/>
    <n v="1"/>
    <n v="0"/>
    <x v="2"/>
    <d v="2012-11-17T00:00:00"/>
    <s v="12 years, 7 months"/>
    <n v="16"/>
    <n v="10"/>
    <n v="13"/>
    <n v="23"/>
    <n v="7"/>
    <n v="4"/>
    <n v="11"/>
  </r>
  <r>
    <n v="1082"/>
    <x v="1082"/>
    <n v="1956"/>
    <x v="46"/>
    <x v="0"/>
    <x v="2"/>
    <n v="79456"/>
    <x v="2"/>
    <n v="0"/>
    <n v="0"/>
    <x v="0"/>
    <d v="2012-08-22T00:00:00"/>
    <s v="12 years, 10 months"/>
    <n v="12"/>
    <n v="42"/>
    <n v="83"/>
    <n v="125"/>
    <n v="5"/>
    <n v="4"/>
    <n v="9"/>
  </r>
  <r>
    <n v="1083"/>
    <x v="1083"/>
    <n v="1982"/>
    <x v="18"/>
    <x v="0"/>
    <x v="1"/>
    <n v="40479"/>
    <x v="0"/>
    <n v="1"/>
    <n v="0"/>
    <x v="2"/>
    <d v="2013-08-17T00:00:00"/>
    <s v="11 years, 10 months"/>
    <n v="95"/>
    <n v="0"/>
    <n v="0"/>
    <n v="0"/>
    <n v="0"/>
    <n v="3"/>
    <n v="3"/>
  </r>
  <r>
    <n v="1084"/>
    <x v="1084"/>
    <n v="1970"/>
    <x v="25"/>
    <x v="2"/>
    <x v="0"/>
    <n v="75345"/>
    <x v="2"/>
    <n v="0"/>
    <n v="0"/>
    <x v="0"/>
    <d v="2013-02-02T00:00:00"/>
    <s v="12 years, 5 months"/>
    <n v="16"/>
    <n v="57"/>
    <n v="38"/>
    <n v="95"/>
    <n v="5"/>
    <n v="6"/>
    <n v="11"/>
  </r>
  <r>
    <n v="1085"/>
    <x v="1085"/>
    <n v="1977"/>
    <x v="32"/>
    <x v="0"/>
    <x v="2"/>
    <n v="54233"/>
    <x v="0"/>
    <n v="0"/>
    <n v="1"/>
    <x v="2"/>
    <d v="2013-02-04T00:00:00"/>
    <s v="12 years, 5 months"/>
    <n v="46"/>
    <n v="8"/>
    <n v="0"/>
    <n v="8"/>
    <n v="11"/>
    <n v="5"/>
    <n v="16"/>
  </r>
  <r>
    <n v="1086"/>
    <x v="1086"/>
    <n v="1970"/>
    <x v="25"/>
    <x v="0"/>
    <x v="0"/>
    <n v="24163"/>
    <x v="1"/>
    <n v="1"/>
    <n v="1"/>
    <x v="1"/>
    <d v="2013-10-12T00:00:00"/>
    <s v="11 years, 8 months"/>
    <n v="3"/>
    <n v="1"/>
    <n v="1"/>
    <n v="2"/>
    <n v="1"/>
    <n v="3"/>
    <n v="4"/>
  </r>
  <r>
    <n v="1087"/>
    <x v="1087"/>
    <n v="1958"/>
    <x v="38"/>
    <x v="1"/>
    <x v="1"/>
    <n v="84460"/>
    <x v="2"/>
    <n v="0"/>
    <n v="0"/>
    <x v="0"/>
    <d v="2013-01-04T00:00:00"/>
    <s v="12 years, 6 months"/>
    <n v="80"/>
    <n v="27"/>
    <n v="54"/>
    <n v="81"/>
    <n v="9"/>
    <n v="4"/>
    <n v="13"/>
  </r>
  <r>
    <n v="1088"/>
    <x v="1088"/>
    <n v="1983"/>
    <x v="10"/>
    <x v="0"/>
    <x v="1"/>
    <n v="43776"/>
    <x v="0"/>
    <n v="1"/>
    <n v="0"/>
    <x v="2"/>
    <d v="2014-05-03T00:00:00"/>
    <s v="11 years, 2 months"/>
    <n v="77"/>
    <n v="0"/>
    <n v="1"/>
    <n v="1"/>
    <n v="1"/>
    <n v="2"/>
    <n v="3"/>
  </r>
  <r>
    <n v="1089"/>
    <x v="1089"/>
    <n v="1958"/>
    <x v="38"/>
    <x v="1"/>
    <x v="0"/>
    <n v="71691"/>
    <x v="0"/>
    <n v="0"/>
    <n v="0"/>
    <x v="0"/>
    <d v="2014-03-17T00:00:00"/>
    <s v="11 years, 3 months"/>
    <n v="0"/>
    <n v="130"/>
    <n v="32"/>
    <n v="162"/>
    <n v="4"/>
    <n v="5"/>
    <n v="9"/>
  </r>
  <r>
    <n v="1090"/>
    <x v="1090"/>
    <n v="1973"/>
    <x v="26"/>
    <x v="1"/>
    <x v="2"/>
    <n v="85844"/>
    <x v="2"/>
    <n v="0"/>
    <n v="0"/>
    <x v="0"/>
    <d v="2014-05-29T00:00:00"/>
    <s v="11 years, 1 months"/>
    <n v="62"/>
    <n v="19"/>
    <n v="95"/>
    <n v="114"/>
    <n v="6"/>
    <n v="7"/>
    <n v="13"/>
  </r>
  <r>
    <n v="1091"/>
    <x v="1091"/>
    <n v="1974"/>
    <x v="8"/>
    <x v="1"/>
    <x v="0"/>
    <n v="39190"/>
    <x v="0"/>
    <n v="1"/>
    <n v="0"/>
    <x v="2"/>
    <d v="2014-04-26T00:00:00"/>
    <s v="11 years, 2 months"/>
    <n v="91"/>
    <n v="8"/>
    <n v="8"/>
    <n v="16"/>
    <n v="2"/>
    <n v="4"/>
    <n v="6"/>
  </r>
  <r>
    <n v="1092"/>
    <x v="1092"/>
    <n v="1959"/>
    <x v="12"/>
    <x v="0"/>
    <x v="1"/>
    <n v="71367"/>
    <x v="0"/>
    <n v="0"/>
    <n v="0"/>
    <x v="0"/>
    <d v="2013-08-23T00:00:00"/>
    <s v="11 years, 10 months"/>
    <n v="24"/>
    <n v="23"/>
    <n v="21"/>
    <n v="44"/>
    <n v="4"/>
    <n v="7"/>
    <n v="11"/>
  </r>
  <r>
    <n v="1093"/>
    <x v="1093"/>
    <n v="1972"/>
    <x v="39"/>
    <x v="1"/>
    <x v="0"/>
    <n v="38578"/>
    <x v="0"/>
    <n v="1"/>
    <n v="1"/>
    <x v="1"/>
    <d v="2013-06-22T00:00:00"/>
    <s v="12 years, 0 months"/>
    <n v="2"/>
    <n v="4"/>
    <n v="3"/>
    <n v="7"/>
    <n v="3"/>
    <n v="3"/>
    <n v="6"/>
  </r>
  <r>
    <n v="1094"/>
    <x v="1094"/>
    <n v="1965"/>
    <x v="2"/>
    <x v="1"/>
    <x v="2"/>
    <n v="57236"/>
    <x v="0"/>
    <n v="1"/>
    <n v="1"/>
    <x v="1"/>
    <d v="2014-03-12T00:00:00"/>
    <s v="11 years, 3 months"/>
    <n v="22"/>
    <n v="0"/>
    <n v="1"/>
    <n v="1"/>
    <n v="2"/>
    <n v="4"/>
    <n v="6"/>
  </r>
  <r>
    <n v="1095"/>
    <x v="1095"/>
    <n v="1979"/>
    <x v="19"/>
    <x v="0"/>
    <x v="0"/>
    <n v="61825"/>
    <x v="0"/>
    <n v="0"/>
    <n v="1"/>
    <x v="2"/>
    <d v="2013-08-07T00:00:00"/>
    <s v="11 years, 10 months"/>
    <n v="56"/>
    <n v="50"/>
    <n v="30"/>
    <n v="80"/>
    <n v="4"/>
    <n v="8"/>
    <n v="12"/>
  </r>
  <r>
    <n v="1096"/>
    <x v="1096"/>
    <n v="1958"/>
    <x v="38"/>
    <x v="0"/>
    <x v="3"/>
    <n v="79803"/>
    <x v="2"/>
    <n v="0"/>
    <n v="1"/>
    <x v="2"/>
    <d v="2014-06-02T00:00:00"/>
    <s v="11 years, 1 months"/>
    <n v="54"/>
    <n v="8"/>
    <n v="16"/>
    <n v="24"/>
    <n v="4"/>
    <n v="5"/>
    <n v="9"/>
  </r>
  <r>
    <n v="1097"/>
    <x v="1097"/>
    <n v="1986"/>
    <x v="22"/>
    <x v="4"/>
    <x v="0"/>
    <n v="80910"/>
    <x v="2"/>
    <n v="0"/>
    <n v="0"/>
    <x v="0"/>
    <d v="2012-10-31T00:00:00"/>
    <s v="12 years, 8 months"/>
    <n v="71"/>
    <n v="80"/>
    <n v="39"/>
    <n v="119"/>
    <n v="3"/>
    <n v="8"/>
    <n v="11"/>
  </r>
  <r>
    <n v="1098"/>
    <x v="1098"/>
    <n v="1982"/>
    <x v="18"/>
    <x v="2"/>
    <x v="1"/>
    <n v="27590"/>
    <x v="0"/>
    <n v="1"/>
    <n v="0"/>
    <x v="2"/>
    <d v="2013-04-23T00:00:00"/>
    <s v="12 years, 2 months"/>
    <n v="38"/>
    <n v="0"/>
    <n v="0"/>
    <n v="0"/>
    <n v="1"/>
    <n v="2"/>
    <n v="3"/>
  </r>
  <r>
    <n v="1099"/>
    <x v="1099"/>
    <n v="1979"/>
    <x v="19"/>
    <x v="0"/>
    <x v="2"/>
    <n v="56775"/>
    <x v="0"/>
    <n v="0"/>
    <n v="1"/>
    <x v="2"/>
    <d v="2013-01-02T00:00:00"/>
    <s v="12 years, 6 months"/>
    <n v="62"/>
    <n v="35"/>
    <n v="35"/>
    <n v="70"/>
    <n v="5"/>
    <n v="10"/>
    <n v="15"/>
  </r>
  <r>
    <n v="1100"/>
    <x v="1100"/>
    <n v="1975"/>
    <x v="28"/>
    <x v="0"/>
    <x v="3"/>
    <n v="83829"/>
    <x v="2"/>
    <n v="0"/>
    <n v="0"/>
    <x v="0"/>
    <d v="2013-10-08T00:00:00"/>
    <s v="11 years, 8 months"/>
    <n v="78"/>
    <n v="161"/>
    <n v="161"/>
    <n v="322"/>
    <n v="4"/>
    <n v="6"/>
    <n v="10"/>
  </r>
  <r>
    <n v="1101"/>
    <x v="1101"/>
    <n v="1979"/>
    <x v="19"/>
    <x v="4"/>
    <x v="2"/>
    <n v="54210"/>
    <x v="0"/>
    <n v="0"/>
    <n v="1"/>
    <x v="2"/>
    <d v="2013-05-20T00:00:00"/>
    <s v="12 years, 1 months"/>
    <n v="18"/>
    <n v="54"/>
    <n v="9"/>
    <n v="63"/>
    <n v="4"/>
    <n v="7"/>
    <n v="11"/>
  </r>
  <r>
    <n v="1102"/>
    <x v="1102"/>
    <n v="1986"/>
    <x v="22"/>
    <x v="0"/>
    <x v="2"/>
    <n v="38508"/>
    <x v="0"/>
    <n v="1"/>
    <n v="0"/>
    <x v="2"/>
    <d v="2013-08-02T00:00:00"/>
    <s v="11 years, 11 months"/>
    <n v="95"/>
    <n v="19"/>
    <n v="19"/>
    <n v="38"/>
    <n v="7"/>
    <n v="5"/>
    <n v="12"/>
  </r>
  <r>
    <n v="1103"/>
    <x v="1103"/>
    <n v="1970"/>
    <x v="25"/>
    <x v="0"/>
    <x v="1"/>
    <n v="53187"/>
    <x v="0"/>
    <n v="1"/>
    <n v="0"/>
    <x v="2"/>
    <d v="2013-10-26T00:00:00"/>
    <s v="11 years, 8 months"/>
    <n v="66"/>
    <n v="2"/>
    <n v="7"/>
    <n v="9"/>
    <n v="4"/>
    <n v="6"/>
    <n v="10"/>
  </r>
  <r>
    <n v="1104"/>
    <x v="1104"/>
    <n v="1972"/>
    <x v="39"/>
    <x v="0"/>
    <x v="2"/>
    <n v="30023"/>
    <x v="0"/>
    <n v="1"/>
    <n v="0"/>
    <x v="2"/>
    <d v="2014-03-24T00:00:00"/>
    <s v="11 years, 3 months"/>
    <n v="28"/>
    <n v="0"/>
    <n v="6"/>
    <n v="6"/>
    <n v="2"/>
    <n v="3"/>
    <n v="5"/>
  </r>
  <r>
    <n v="1105"/>
    <x v="1105"/>
    <n v="1960"/>
    <x v="40"/>
    <x v="1"/>
    <x v="0"/>
    <n v="76045"/>
    <x v="2"/>
    <n v="0"/>
    <n v="0"/>
    <x v="0"/>
    <d v="2013-11-15T00:00:00"/>
    <s v="11 years, 7 months"/>
    <n v="78"/>
    <n v="53"/>
    <n v="93"/>
    <n v="146"/>
    <n v="4"/>
    <n v="11"/>
    <n v="15"/>
  </r>
  <r>
    <n v="1106"/>
    <x v="1106"/>
    <n v="1952"/>
    <x v="13"/>
    <x v="1"/>
    <x v="2"/>
    <n v="50870"/>
    <x v="0"/>
    <n v="0"/>
    <n v="1"/>
    <x v="2"/>
    <d v="2014-06-19T00:00:00"/>
    <s v="11 years, 0 months"/>
    <n v="13"/>
    <n v="0"/>
    <n v="0"/>
    <n v="0"/>
    <n v="2"/>
    <n v="3"/>
    <n v="5"/>
  </r>
  <r>
    <n v="1107"/>
    <x v="1107"/>
    <n v="1970"/>
    <x v="25"/>
    <x v="4"/>
    <x v="2"/>
    <n v="15315"/>
    <x v="1"/>
    <n v="0"/>
    <n v="0"/>
    <x v="0"/>
    <d v="2013-08-03T00:00:00"/>
    <s v="11 years, 11 months"/>
    <n v="27"/>
    <n v="4"/>
    <n v="8"/>
    <n v="12"/>
    <n v="2"/>
    <n v="4"/>
    <n v="6"/>
  </r>
  <r>
    <n v="1108"/>
    <x v="1108"/>
    <n v="1974"/>
    <x v="8"/>
    <x v="4"/>
    <x v="2"/>
    <n v="65463"/>
    <x v="0"/>
    <n v="1"/>
    <n v="0"/>
    <x v="2"/>
    <d v="2014-01-30T00:00:00"/>
    <s v="11 years, 5 months"/>
    <n v="17"/>
    <n v="32"/>
    <n v="32"/>
    <n v="64"/>
    <n v="6"/>
    <n v="9"/>
    <n v="15"/>
  </r>
  <r>
    <n v="1109"/>
    <x v="1109"/>
    <n v="1965"/>
    <x v="2"/>
    <x v="0"/>
    <x v="2"/>
    <n v="66480"/>
    <x v="0"/>
    <n v="1"/>
    <n v="1"/>
    <x v="1"/>
    <d v="2014-05-31T00:00:00"/>
    <s v="11 years, 1 months"/>
    <n v="71"/>
    <n v="9"/>
    <n v="21"/>
    <n v="30"/>
    <n v="4"/>
    <n v="7"/>
    <n v="11"/>
  </r>
  <r>
    <n v="1110"/>
    <x v="1110"/>
    <n v="1954"/>
    <x v="1"/>
    <x v="0"/>
    <x v="3"/>
    <n v="76773"/>
    <x v="2"/>
    <n v="0"/>
    <n v="0"/>
    <x v="0"/>
    <d v="2013-02-25T00:00:00"/>
    <s v="12 years, 4 months"/>
    <n v="79"/>
    <n v="56"/>
    <n v="33"/>
    <n v="89"/>
    <n v="2"/>
    <n v="11"/>
    <n v="13"/>
  </r>
  <r>
    <n v="1111"/>
    <x v="1111"/>
    <n v="1983"/>
    <x v="10"/>
    <x v="4"/>
    <x v="0"/>
    <n v="81698"/>
    <x v="2"/>
    <n v="0"/>
    <n v="0"/>
    <x v="0"/>
    <d v="2013-03-01T00:00:00"/>
    <s v="12 years, 4 months"/>
    <n v="1"/>
    <n v="45"/>
    <n v="160"/>
    <n v="205"/>
    <n v="8"/>
    <n v="5"/>
    <n v="13"/>
  </r>
  <r>
    <n v="1112"/>
    <x v="1112"/>
    <n v="1973"/>
    <x v="26"/>
    <x v="1"/>
    <x v="0"/>
    <n v="54466"/>
    <x v="0"/>
    <n v="1"/>
    <n v="1"/>
    <x v="1"/>
    <d v="2014-02-09T00:00:00"/>
    <s v="11 years, 4 months"/>
    <n v="78"/>
    <n v="0"/>
    <n v="0"/>
    <n v="0"/>
    <n v="1"/>
    <n v="2"/>
    <n v="3"/>
  </r>
  <r>
    <n v="1113"/>
    <x v="1113"/>
    <n v="1960"/>
    <x v="40"/>
    <x v="2"/>
    <x v="0"/>
    <n v="98777"/>
    <x v="2"/>
    <n v="0"/>
    <n v="0"/>
    <x v="0"/>
    <d v="2014-02-17T00:00:00"/>
    <s v="11 years, 4 months"/>
    <n v="23"/>
    <n v="19"/>
    <n v="115"/>
    <n v="134"/>
    <n v="4"/>
    <n v="9"/>
    <n v="13"/>
  </r>
  <r>
    <n v="1114"/>
    <x v="1114"/>
    <n v="1984"/>
    <x v="3"/>
    <x v="1"/>
    <x v="0"/>
    <n v="16269"/>
    <x v="1"/>
    <n v="1"/>
    <n v="0"/>
    <x v="2"/>
    <d v="2013-08-30T00:00:00"/>
    <s v="11 years, 10 months"/>
    <n v="75"/>
    <n v="3"/>
    <n v="1"/>
    <n v="4"/>
    <n v="3"/>
    <n v="3"/>
    <n v="6"/>
  </r>
  <r>
    <n v="1115"/>
    <x v="1115"/>
    <n v="1971"/>
    <x v="6"/>
    <x v="0"/>
    <x v="1"/>
    <n v="71819"/>
    <x v="0"/>
    <n v="0"/>
    <n v="1"/>
    <x v="2"/>
    <d v="2013-08-28T00:00:00"/>
    <s v="11 years, 10 months"/>
    <n v="70"/>
    <n v="28"/>
    <n v="14"/>
    <n v="42"/>
    <n v="3"/>
    <n v="5"/>
    <n v="8"/>
  </r>
  <r>
    <n v="1116"/>
    <x v="1116"/>
    <n v="1983"/>
    <x v="10"/>
    <x v="1"/>
    <x v="2"/>
    <n v="33569"/>
    <x v="0"/>
    <n v="1"/>
    <n v="0"/>
    <x v="2"/>
    <d v="2013-10-16T00:00:00"/>
    <s v="11 years, 8 months"/>
    <n v="10"/>
    <n v="2"/>
    <n v="0"/>
    <n v="2"/>
    <n v="1"/>
    <n v="2"/>
    <n v="3"/>
  </r>
  <r>
    <n v="1117"/>
    <x v="1117"/>
    <n v="1983"/>
    <x v="10"/>
    <x v="2"/>
    <x v="2"/>
    <n v="36262"/>
    <x v="0"/>
    <n v="0"/>
    <n v="0"/>
    <x v="0"/>
    <d v="2013-09-20T00:00:00"/>
    <s v="11 years, 9 months"/>
    <n v="24"/>
    <n v="39"/>
    <n v="28"/>
    <n v="67"/>
    <n v="3"/>
    <n v="3"/>
    <n v="6"/>
  </r>
  <r>
    <n v="1118"/>
    <x v="1118"/>
    <n v="1966"/>
    <x v="35"/>
    <x v="3"/>
    <x v="1"/>
    <n v="22634"/>
    <x v="1"/>
    <n v="0"/>
    <n v="0"/>
    <x v="0"/>
    <d v="2013-01-16T00:00:00"/>
    <s v="12 years, 5 months"/>
    <n v="47"/>
    <n v="23"/>
    <n v="6"/>
    <n v="29"/>
    <n v="2"/>
    <n v="2"/>
    <n v="4"/>
  </r>
  <r>
    <n v="1119"/>
    <x v="1119"/>
    <n v="1978"/>
    <x v="33"/>
    <x v="4"/>
    <x v="2"/>
    <n v="47025"/>
    <x v="0"/>
    <n v="0"/>
    <n v="1"/>
    <x v="2"/>
    <d v="2013-09-12T00:00:00"/>
    <s v="11 years, 9 months"/>
    <n v="98"/>
    <n v="11"/>
    <n v="5"/>
    <n v="16"/>
    <n v="11"/>
    <n v="6"/>
    <n v="17"/>
  </r>
  <r>
    <n v="1120"/>
    <x v="1120"/>
    <n v="1968"/>
    <x v="30"/>
    <x v="0"/>
    <x v="0"/>
    <n v="70566"/>
    <x v="0"/>
    <n v="0"/>
    <n v="1"/>
    <x v="2"/>
    <d v="2013-10-06T00:00:00"/>
    <s v="11 years, 9 months"/>
    <n v="4"/>
    <n v="28"/>
    <n v="28"/>
    <n v="56"/>
    <n v="6"/>
    <n v="9"/>
    <n v="15"/>
  </r>
  <r>
    <n v="1121"/>
    <x v="1121"/>
    <n v="1979"/>
    <x v="19"/>
    <x v="1"/>
    <x v="2"/>
    <n v="31605"/>
    <x v="0"/>
    <n v="1"/>
    <n v="0"/>
    <x v="2"/>
    <d v="2012-11-22T00:00:00"/>
    <s v="12 years, 7 months"/>
    <n v="15"/>
    <n v="0"/>
    <n v="1"/>
    <n v="1"/>
    <n v="2"/>
    <n v="4"/>
    <n v="6"/>
  </r>
  <r>
    <n v="1122"/>
    <x v="1122"/>
    <n v="1973"/>
    <x v="26"/>
    <x v="2"/>
    <x v="3"/>
    <n v="52034"/>
    <x v="0"/>
    <n v="1"/>
    <n v="1"/>
    <x v="1"/>
    <d v="2013-05-17T00:00:00"/>
    <s v="12 years, 1 months"/>
    <n v="67"/>
    <n v="0"/>
    <n v="13"/>
    <n v="13"/>
    <n v="4"/>
    <n v="5"/>
    <n v="9"/>
  </r>
  <r>
    <n v="1123"/>
    <x v="1123"/>
    <n v="1979"/>
    <x v="19"/>
    <x v="0"/>
    <x v="0"/>
    <n v="48526"/>
    <x v="0"/>
    <n v="1"/>
    <n v="0"/>
    <x v="2"/>
    <d v="2013-12-24T00:00:00"/>
    <s v="11 years, 6 months"/>
    <n v="32"/>
    <n v="17"/>
    <n v="20"/>
    <n v="37"/>
    <n v="2"/>
    <n v="4"/>
    <n v="6"/>
  </r>
  <r>
    <n v="1124"/>
    <x v="1124"/>
    <n v="1954"/>
    <x v="1"/>
    <x v="0"/>
    <x v="2"/>
    <n v="46734"/>
    <x v="0"/>
    <n v="0"/>
    <n v="1"/>
    <x v="2"/>
    <d v="2012-11-18T00:00:00"/>
    <s v="12 years, 7 months"/>
    <n v="40"/>
    <n v="5"/>
    <n v="23"/>
    <n v="28"/>
    <n v="6"/>
    <n v="5"/>
    <n v="11"/>
  </r>
  <r>
    <n v="1125"/>
    <x v="1125"/>
    <n v="1962"/>
    <x v="43"/>
    <x v="0"/>
    <x v="3"/>
    <n v="39552"/>
    <x v="0"/>
    <n v="1"/>
    <n v="1"/>
    <x v="1"/>
    <d v="2012-12-18T00:00:00"/>
    <s v="12 years, 6 months"/>
    <n v="54"/>
    <n v="3"/>
    <n v="24"/>
    <n v="27"/>
    <n v="6"/>
    <n v="5"/>
    <n v="11"/>
  </r>
  <r>
    <n v="1126"/>
    <x v="1126"/>
    <n v="1966"/>
    <x v="35"/>
    <x v="0"/>
    <x v="0"/>
    <n v="86358"/>
    <x v="2"/>
    <n v="1"/>
    <n v="1"/>
    <x v="1"/>
    <d v="2012-08-08T00:00:00"/>
    <s v="12 years, 10 months"/>
    <n v="78"/>
    <n v="47"/>
    <n v="47"/>
    <n v="94"/>
    <n v="5"/>
    <n v="6"/>
    <n v="11"/>
  </r>
  <r>
    <n v="1127"/>
    <x v="1127"/>
    <n v="1977"/>
    <x v="32"/>
    <x v="0"/>
    <x v="1"/>
    <n v="46931"/>
    <x v="0"/>
    <n v="2"/>
    <n v="1"/>
    <x v="3"/>
    <d v="2014-04-24T00:00:00"/>
    <s v="11 years, 2 months"/>
    <n v="94"/>
    <n v="0"/>
    <n v="1"/>
    <n v="1"/>
    <n v="1"/>
    <n v="3"/>
    <n v="4"/>
  </r>
  <r>
    <n v="1128"/>
    <x v="1128"/>
    <n v="1985"/>
    <x v="7"/>
    <x v="3"/>
    <x v="0"/>
    <n v="16581"/>
    <x v="1"/>
    <n v="0"/>
    <n v="0"/>
    <x v="0"/>
    <d v="2013-01-12T00:00:00"/>
    <s v="12 years, 5 months"/>
    <n v="51"/>
    <n v="3"/>
    <n v="3"/>
    <n v="6"/>
    <n v="0"/>
    <n v="3"/>
    <n v="3"/>
  </r>
  <r>
    <n v="1129"/>
    <x v="1129"/>
    <n v="1952"/>
    <x v="13"/>
    <x v="4"/>
    <x v="3"/>
    <n v="63998"/>
    <x v="0"/>
    <n v="0"/>
    <n v="0"/>
    <x v="0"/>
    <d v="2013-12-20T00:00:00"/>
    <s v="11 years, 6 months"/>
    <n v="42"/>
    <n v="29"/>
    <n v="33"/>
    <n v="62"/>
    <n v="7"/>
    <n v="11"/>
    <n v="18"/>
  </r>
  <r>
    <n v="1130"/>
    <x v="1130"/>
    <n v="1951"/>
    <x v="20"/>
    <x v="2"/>
    <x v="2"/>
    <n v="67381"/>
    <x v="0"/>
    <n v="0"/>
    <n v="1"/>
    <x v="2"/>
    <d v="2013-01-15T00:00:00"/>
    <s v="12 years, 5 months"/>
    <n v="67"/>
    <n v="8"/>
    <n v="0"/>
    <n v="8"/>
    <n v="2"/>
    <n v="9"/>
    <n v="11"/>
  </r>
  <r>
    <n v="1131"/>
    <x v="1131"/>
    <n v="1967"/>
    <x v="5"/>
    <x v="0"/>
    <x v="0"/>
    <n v="25930"/>
    <x v="0"/>
    <n v="1"/>
    <n v="1"/>
    <x v="1"/>
    <d v="2013-10-10T00:00:00"/>
    <s v="11 years, 8 months"/>
    <n v="87"/>
    <n v="1"/>
    <n v="0"/>
    <n v="1"/>
    <n v="1"/>
    <n v="2"/>
    <n v="3"/>
  </r>
  <r>
    <n v="1132"/>
    <x v="1132"/>
    <n v="1978"/>
    <x v="33"/>
    <x v="0"/>
    <x v="2"/>
    <n v="42693"/>
    <x v="0"/>
    <n v="1"/>
    <n v="0"/>
    <x v="2"/>
    <d v="2014-06-07T00:00:00"/>
    <s v="11 years, 0 months"/>
    <n v="29"/>
    <n v="4"/>
    <n v="3"/>
    <n v="7"/>
    <n v="1"/>
    <n v="3"/>
    <n v="4"/>
  </r>
  <r>
    <n v="1133"/>
    <x v="1133"/>
    <n v="1976"/>
    <x v="11"/>
    <x v="0"/>
    <x v="1"/>
    <n v="85606"/>
    <x v="2"/>
    <n v="0"/>
    <n v="1"/>
    <x v="2"/>
    <d v="2012-11-12T00:00:00"/>
    <s v="12 years, 7 months"/>
    <n v="89"/>
    <n v="42"/>
    <n v="30"/>
    <n v="72"/>
    <n v="6"/>
    <n v="9"/>
    <n v="15"/>
  </r>
  <r>
    <n v="1134"/>
    <x v="1134"/>
    <n v="1985"/>
    <x v="7"/>
    <x v="0"/>
    <x v="0"/>
    <n v="72903"/>
    <x v="0"/>
    <n v="0"/>
    <n v="0"/>
    <x v="0"/>
    <d v="2013-10-29T00:00:00"/>
    <s v="11 years, 8 months"/>
    <n v="74"/>
    <n v="138"/>
    <n v="19"/>
    <n v="157"/>
    <n v="7"/>
    <n v="8"/>
    <n v="15"/>
  </r>
  <r>
    <n v="1135"/>
    <x v="1135"/>
    <n v="1974"/>
    <x v="8"/>
    <x v="4"/>
    <x v="1"/>
    <n v="49669"/>
    <x v="0"/>
    <n v="1"/>
    <n v="0"/>
    <x v="2"/>
    <d v="2014-05-24T00:00:00"/>
    <s v="11 years, 1 months"/>
    <n v="97"/>
    <n v="5"/>
    <n v="8"/>
    <n v="13"/>
    <n v="5"/>
    <n v="6"/>
    <n v="11"/>
  </r>
  <r>
    <n v="1136"/>
    <x v="1136"/>
    <n v="1968"/>
    <x v="30"/>
    <x v="1"/>
    <x v="2"/>
    <n v="36778"/>
    <x v="0"/>
    <n v="1"/>
    <n v="1"/>
    <x v="1"/>
    <d v="2012-08-05T00:00:00"/>
    <s v="12 years, 11 months"/>
    <n v="63"/>
    <n v="4"/>
    <n v="4"/>
    <n v="8"/>
    <n v="3"/>
    <n v="3"/>
    <n v="6"/>
  </r>
  <r>
    <n v="1137"/>
    <x v="1137"/>
    <n v="1962"/>
    <x v="43"/>
    <x v="1"/>
    <x v="3"/>
    <n v="85696"/>
    <x v="2"/>
    <n v="0"/>
    <n v="0"/>
    <x v="0"/>
    <d v="2013-05-03T00:00:00"/>
    <s v="12 years, 2 months"/>
    <n v="88"/>
    <n v="76"/>
    <n v="0"/>
    <n v="76"/>
    <n v="4"/>
    <n v="9"/>
    <n v="13"/>
  </r>
  <r>
    <n v="1138"/>
    <x v="1138"/>
    <n v="1989"/>
    <x v="23"/>
    <x v="2"/>
    <x v="3"/>
    <n v="10979"/>
    <x v="1"/>
    <n v="0"/>
    <n v="0"/>
    <x v="0"/>
    <d v="2014-05-22T00:00:00"/>
    <s v="11 years, 1 months"/>
    <n v="34"/>
    <n v="4"/>
    <n v="2"/>
    <n v="6"/>
    <n v="3"/>
    <n v="3"/>
    <n v="6"/>
  </r>
  <r>
    <n v="1139"/>
    <x v="1139"/>
    <n v="1961"/>
    <x v="45"/>
    <x v="0"/>
    <x v="2"/>
    <n v="49678"/>
    <x v="0"/>
    <n v="0"/>
    <n v="1"/>
    <x v="2"/>
    <d v="2013-02-02T00:00:00"/>
    <s v="12 years, 5 months"/>
    <n v="81"/>
    <n v="5"/>
    <n v="2"/>
    <n v="7"/>
    <n v="6"/>
    <n v="4"/>
    <n v="10"/>
  </r>
  <r>
    <n v="1140"/>
    <x v="1140"/>
    <n v="1953"/>
    <x v="44"/>
    <x v="2"/>
    <x v="1"/>
    <n v="56129"/>
    <x v="0"/>
    <n v="0"/>
    <n v="1"/>
    <x v="2"/>
    <d v="2013-06-20T00:00:00"/>
    <s v="12 years, 0 months"/>
    <n v="65"/>
    <n v="48"/>
    <n v="72"/>
    <n v="120"/>
    <n v="6"/>
    <n v="10"/>
    <n v="16"/>
  </r>
  <r>
    <n v="1141"/>
    <x v="1141"/>
    <n v="1989"/>
    <x v="23"/>
    <x v="0"/>
    <x v="2"/>
    <n v="37155"/>
    <x v="0"/>
    <n v="1"/>
    <n v="0"/>
    <x v="2"/>
    <d v="2013-01-31T00:00:00"/>
    <s v="12 years, 5 months"/>
    <n v="51"/>
    <n v="0"/>
    <n v="15"/>
    <n v="15"/>
    <n v="2"/>
    <n v="4"/>
    <n v="6"/>
  </r>
  <r>
    <n v="1142"/>
    <x v="1142"/>
    <n v="1978"/>
    <x v="33"/>
    <x v="4"/>
    <x v="3"/>
    <n v="21282"/>
    <x v="1"/>
    <n v="1"/>
    <n v="0"/>
    <x v="2"/>
    <d v="2014-05-11T00:00:00"/>
    <s v="11 years, 1 months"/>
    <n v="76"/>
    <n v="5"/>
    <n v="8"/>
    <n v="13"/>
    <n v="2"/>
    <n v="2"/>
    <n v="4"/>
  </r>
  <r>
    <n v="1143"/>
    <x v="1143"/>
    <n v="1962"/>
    <x v="43"/>
    <x v="1"/>
    <x v="0"/>
    <n v="33419"/>
    <x v="0"/>
    <n v="0"/>
    <n v="1"/>
    <x v="2"/>
    <d v="2013-08-17T00:00:00"/>
    <s v="11 years, 10 months"/>
    <n v="76"/>
    <n v="0"/>
    <n v="0"/>
    <n v="0"/>
    <n v="2"/>
    <n v="4"/>
    <n v="6"/>
  </r>
  <r>
    <n v="1144"/>
    <x v="1144"/>
    <n v="1945"/>
    <x v="41"/>
    <x v="0"/>
    <x v="4"/>
    <n v="63285"/>
    <x v="0"/>
    <n v="0"/>
    <n v="0"/>
    <x v="0"/>
    <d v="2013-11-05T00:00:00"/>
    <s v="11 years, 8 months"/>
    <n v="84"/>
    <n v="124"/>
    <n v="38"/>
    <n v="162"/>
    <n v="6"/>
    <n v="13"/>
    <n v="19"/>
  </r>
  <r>
    <n v="1145"/>
    <x v="1145"/>
    <n v="1974"/>
    <x v="8"/>
    <x v="2"/>
    <x v="1"/>
    <n v="21255"/>
    <x v="1"/>
    <n v="1"/>
    <n v="0"/>
    <x v="2"/>
    <d v="2014-01-21T00:00:00"/>
    <s v="11 years, 5 months"/>
    <n v="56"/>
    <n v="0"/>
    <n v="2"/>
    <n v="2"/>
    <n v="2"/>
    <n v="4"/>
    <n v="6"/>
  </r>
  <r>
    <n v="1146"/>
    <x v="1146"/>
    <n v="1981"/>
    <x v="4"/>
    <x v="0"/>
    <x v="1"/>
    <n v="42162"/>
    <x v="0"/>
    <n v="1"/>
    <n v="0"/>
    <x v="2"/>
    <d v="2013-11-19T00:00:00"/>
    <s v="11 years, 7 months"/>
    <n v="31"/>
    <n v="7"/>
    <n v="4"/>
    <n v="11"/>
    <n v="3"/>
    <n v="3"/>
    <n v="6"/>
  </r>
  <r>
    <n v="1147"/>
    <x v="1147"/>
    <n v="1956"/>
    <x v="46"/>
    <x v="0"/>
    <x v="1"/>
    <n v="54450"/>
    <x v="0"/>
    <n v="1"/>
    <n v="1"/>
    <x v="1"/>
    <d v="2012-09-14T00:00:00"/>
    <s v="12 years, 9 months"/>
    <n v="0"/>
    <n v="0"/>
    <n v="19"/>
    <n v="19"/>
    <n v="9"/>
    <n v="8"/>
    <n v="17"/>
  </r>
  <r>
    <n v="1148"/>
    <x v="1148"/>
    <n v="1954"/>
    <x v="1"/>
    <x v="1"/>
    <x v="2"/>
    <n v="57744"/>
    <x v="0"/>
    <n v="0"/>
    <n v="1"/>
    <x v="2"/>
    <d v="2013-11-12T00:00:00"/>
    <s v="11 years, 7 months"/>
    <n v="91"/>
    <n v="3"/>
    <n v="0"/>
    <n v="3"/>
    <n v="9"/>
    <n v="4"/>
    <n v="13"/>
  </r>
  <r>
    <n v="1149"/>
    <x v="1149"/>
    <n v="1986"/>
    <x v="22"/>
    <x v="0"/>
    <x v="0"/>
    <n v="26576"/>
    <x v="0"/>
    <n v="1"/>
    <n v="0"/>
    <x v="2"/>
    <d v="2012-10-13T00:00:00"/>
    <s v="12 years, 8 months"/>
    <n v="40"/>
    <n v="0"/>
    <n v="0"/>
    <n v="0"/>
    <n v="1"/>
    <n v="2"/>
    <n v="3"/>
  </r>
  <r>
    <n v="1150"/>
    <x v="1150"/>
    <n v="1943"/>
    <x v="27"/>
    <x v="1"/>
    <x v="4"/>
    <n v="57513"/>
    <x v="0"/>
    <n v="0"/>
    <n v="0"/>
    <x v="0"/>
    <d v="2013-07-06T00:00:00"/>
    <s v="12 years, 0 months"/>
    <n v="59"/>
    <n v="40"/>
    <n v="20"/>
    <n v="60"/>
    <n v="9"/>
    <n v="13"/>
    <n v="22"/>
  </r>
  <r>
    <n v="1151"/>
    <x v="1151"/>
    <n v="1964"/>
    <x v="31"/>
    <x v="0"/>
    <x v="1"/>
    <n v="68142"/>
    <x v="0"/>
    <n v="0"/>
    <n v="1"/>
    <x v="2"/>
    <d v="2012-08-29T00:00:00"/>
    <s v="12 years, 10 months"/>
    <n v="96"/>
    <n v="126"/>
    <n v="112"/>
    <n v="238"/>
    <n v="10"/>
    <n v="7"/>
    <n v="17"/>
  </r>
  <r>
    <n v="1152"/>
    <x v="1152"/>
    <n v="1979"/>
    <x v="19"/>
    <x v="0"/>
    <x v="2"/>
    <n v="7500"/>
    <x v="1"/>
    <n v="0"/>
    <n v="1"/>
    <x v="2"/>
    <d v="2012-08-29T00:00:00"/>
    <s v="12 years, 10 months"/>
    <n v="61"/>
    <n v="2"/>
    <n v="0"/>
    <n v="2"/>
    <n v="1"/>
    <n v="2"/>
    <n v="3"/>
  </r>
  <r>
    <n v="1153"/>
    <x v="1153"/>
    <n v="1974"/>
    <x v="8"/>
    <x v="0"/>
    <x v="1"/>
    <n v="83145"/>
    <x v="2"/>
    <n v="0"/>
    <n v="0"/>
    <x v="0"/>
    <d v="2012-09-22T00:00:00"/>
    <s v="12 years, 9 months"/>
    <n v="14"/>
    <n v="35"/>
    <n v="137"/>
    <n v="172"/>
    <n v="5"/>
    <n v="11"/>
    <n v="16"/>
  </r>
  <r>
    <n v="1154"/>
    <x v="1154"/>
    <n v="1960"/>
    <x v="40"/>
    <x v="2"/>
    <x v="2"/>
    <n v="54197"/>
    <x v="0"/>
    <n v="0"/>
    <n v="1"/>
    <x v="2"/>
    <d v="2014-04-03T00:00:00"/>
    <s v="11 years, 3 months"/>
    <n v="16"/>
    <n v="6"/>
    <n v="13"/>
    <n v="19"/>
    <n v="1"/>
    <n v="6"/>
    <n v="7"/>
  </r>
  <r>
    <n v="1155"/>
    <x v="1155"/>
    <n v="1963"/>
    <x v="24"/>
    <x v="1"/>
    <x v="0"/>
    <n v="23091"/>
    <x v="1"/>
    <n v="1"/>
    <n v="1"/>
    <x v="1"/>
    <d v="2014-05-28T00:00:00"/>
    <s v="11 years, 1 months"/>
    <n v="98"/>
    <n v="0"/>
    <n v="0"/>
    <n v="0"/>
    <n v="2"/>
    <n v="3"/>
    <n v="5"/>
  </r>
  <r>
    <n v="1156"/>
    <x v="1156"/>
    <n v="1976"/>
    <x v="11"/>
    <x v="0"/>
    <x v="2"/>
    <n v="46049"/>
    <x v="0"/>
    <n v="1"/>
    <n v="1"/>
    <x v="1"/>
    <d v="2013-07-21T00:00:00"/>
    <s v="11 years, 11 months"/>
    <n v="11"/>
    <n v="9"/>
    <n v="14"/>
    <n v="23"/>
    <n v="5"/>
    <n v="9"/>
    <n v="14"/>
  </r>
  <r>
    <n v="1157"/>
    <x v="1157"/>
    <n v="1974"/>
    <x v="8"/>
    <x v="0"/>
    <x v="1"/>
    <n v="56715"/>
    <x v="0"/>
    <n v="0"/>
    <n v="0"/>
    <x v="0"/>
    <d v="2012-12-05T00:00:00"/>
    <s v="12 years, 7 months"/>
    <n v="52"/>
    <n v="105"/>
    <n v="172"/>
    <n v="277"/>
    <n v="7"/>
    <n v="4"/>
    <n v="11"/>
  </r>
  <r>
    <n v="1158"/>
    <x v="1158"/>
    <n v="1961"/>
    <x v="45"/>
    <x v="0"/>
    <x v="2"/>
    <n v="79410"/>
    <x v="2"/>
    <n v="0"/>
    <n v="0"/>
    <x v="0"/>
    <d v="2014-05-29T00:00:00"/>
    <s v="11 years, 1 months"/>
    <n v="19"/>
    <n v="80"/>
    <n v="13"/>
    <n v="93"/>
    <n v="3"/>
    <n v="5"/>
    <n v="8"/>
  </r>
  <r>
    <n v="1159"/>
    <x v="1159"/>
    <n v="1951"/>
    <x v="20"/>
    <x v="0"/>
    <x v="2"/>
    <n v="57304"/>
    <x v="0"/>
    <n v="0"/>
    <n v="1"/>
    <x v="2"/>
    <d v="2013-03-11T00:00:00"/>
    <s v="12 years, 3 months"/>
    <n v="61"/>
    <n v="80"/>
    <n v="17"/>
    <n v="97"/>
    <n v="7"/>
    <n v="10"/>
    <n v="17"/>
  </r>
  <r>
    <n v="1160"/>
    <x v="1160"/>
    <n v="1965"/>
    <x v="2"/>
    <x v="0"/>
    <x v="2"/>
    <n v="44375"/>
    <x v="0"/>
    <n v="0"/>
    <n v="1"/>
    <x v="2"/>
    <d v="2014-03-23T00:00:00"/>
    <s v="11 years, 3 months"/>
    <n v="73"/>
    <n v="5"/>
    <n v="7"/>
    <n v="12"/>
    <n v="4"/>
    <n v="6"/>
    <n v="10"/>
  </r>
  <r>
    <n v="1161"/>
    <x v="1161"/>
    <n v="1956"/>
    <x v="46"/>
    <x v="0"/>
    <x v="1"/>
    <n v="54450"/>
    <x v="0"/>
    <n v="1"/>
    <n v="1"/>
    <x v="1"/>
    <d v="2012-09-14T00:00:00"/>
    <s v="12 years, 9 months"/>
    <n v="0"/>
    <n v="0"/>
    <n v="19"/>
    <n v="19"/>
    <n v="9"/>
    <n v="8"/>
    <n v="17"/>
  </r>
  <r>
    <n v="1162"/>
    <x v="1162"/>
    <n v="1965"/>
    <x v="2"/>
    <x v="0"/>
    <x v="2"/>
    <n v="59594"/>
    <x v="0"/>
    <n v="0"/>
    <n v="1"/>
    <x v="2"/>
    <d v="2012-10-20T00:00:00"/>
    <s v="12 years, 8 months"/>
    <n v="74"/>
    <n v="4"/>
    <n v="0"/>
    <n v="4"/>
    <n v="8"/>
    <n v="7"/>
    <n v="15"/>
  </r>
  <r>
    <n v="1163"/>
    <x v="1163"/>
    <n v="1994"/>
    <x v="54"/>
    <x v="0"/>
    <x v="1"/>
    <n v="80685"/>
    <x v="2"/>
    <n v="0"/>
    <n v="0"/>
    <x v="0"/>
    <d v="2012-08-22T00:00:00"/>
    <s v="12 years, 10 months"/>
    <n v="55"/>
    <n v="45"/>
    <n v="26"/>
    <n v="71"/>
    <n v="6"/>
    <n v="10"/>
    <n v="16"/>
  </r>
  <r>
    <n v="1164"/>
    <x v="1164"/>
    <n v="1974"/>
    <x v="8"/>
    <x v="1"/>
    <x v="2"/>
    <n v="40344"/>
    <x v="0"/>
    <n v="0"/>
    <n v="1"/>
    <x v="2"/>
    <d v="2013-10-13T00:00:00"/>
    <s v="11 years, 8 months"/>
    <n v="48"/>
    <n v="0"/>
    <n v="0"/>
    <n v="0"/>
    <n v="4"/>
    <n v="5"/>
    <n v="9"/>
  </r>
  <r>
    <n v="1165"/>
    <x v="1165"/>
    <n v="1972"/>
    <x v="39"/>
    <x v="0"/>
    <x v="2"/>
    <n v="62710"/>
    <x v="0"/>
    <n v="0"/>
    <n v="1"/>
    <x v="2"/>
    <d v="2013-05-23T00:00:00"/>
    <s v="12 years, 1 months"/>
    <n v="53"/>
    <n v="35"/>
    <n v="29"/>
    <n v="64"/>
    <n v="4"/>
    <n v="12"/>
    <n v="16"/>
  </r>
  <r>
    <n v="1166"/>
    <x v="1166"/>
    <n v="1968"/>
    <x v="30"/>
    <x v="4"/>
    <x v="2"/>
    <n v="48985"/>
    <x v="0"/>
    <n v="0"/>
    <n v="1"/>
    <x v="2"/>
    <d v="2013-07-05T00:00:00"/>
    <s v="12 years, 0 months"/>
    <n v="13"/>
    <n v="13"/>
    <n v="7"/>
    <n v="20"/>
    <n v="1"/>
    <n v="3"/>
    <n v="4"/>
  </r>
  <r>
    <n v="1167"/>
    <x v="1167"/>
    <n v="1968"/>
    <x v="30"/>
    <x v="0"/>
    <x v="1"/>
    <n v="35322"/>
    <x v="0"/>
    <n v="1"/>
    <n v="2"/>
    <x v="3"/>
    <d v="2012-08-22T00:00:00"/>
    <s v="12 years, 10 months"/>
    <n v="34"/>
    <n v="9"/>
    <n v="7"/>
    <n v="16"/>
    <n v="2"/>
    <n v="4"/>
    <n v="6"/>
  </r>
  <r>
    <n v="1168"/>
    <x v="1168"/>
    <n v="1948"/>
    <x v="37"/>
    <x v="0"/>
    <x v="2"/>
    <n v="77142"/>
    <x v="2"/>
    <n v="0"/>
    <n v="0"/>
    <x v="0"/>
    <d v="2013-05-29T00:00:00"/>
    <s v="12 years, 1 months"/>
    <n v="54"/>
    <n v="75"/>
    <n v="151"/>
    <n v="226"/>
    <n v="4"/>
    <n v="8"/>
    <n v="12"/>
  </r>
  <r>
    <n v="1169"/>
    <x v="1169"/>
    <n v="1969"/>
    <x v="21"/>
    <x v="0"/>
    <x v="0"/>
    <n v="81657"/>
    <x v="2"/>
    <n v="0"/>
    <n v="0"/>
    <x v="0"/>
    <d v="2014-01-22T00:00:00"/>
    <s v="11 years, 5 months"/>
    <n v="69"/>
    <n v="40"/>
    <n v="60"/>
    <n v="100"/>
    <n v="3"/>
    <n v="8"/>
    <n v="11"/>
  </r>
  <r>
    <n v="1170"/>
    <x v="1170"/>
    <n v="1996"/>
    <x v="29"/>
    <x v="3"/>
    <x v="2"/>
    <n v="14421"/>
    <x v="1"/>
    <n v="0"/>
    <n v="0"/>
    <x v="0"/>
    <d v="2014-02-17T00:00:00"/>
    <s v="11 years, 4 months"/>
    <n v="81"/>
    <n v="0"/>
    <n v="3"/>
    <n v="3"/>
    <n v="1"/>
    <n v="2"/>
    <n v="3"/>
  </r>
  <r>
    <n v="1171"/>
    <x v="1171"/>
    <n v="1974"/>
    <x v="8"/>
    <x v="4"/>
    <x v="2"/>
    <n v="20130"/>
    <x v="1"/>
    <n v="0"/>
    <n v="0"/>
    <x v="0"/>
    <d v="2014-03-17T00:00:00"/>
    <s v="11 years, 3 months"/>
    <n v="99"/>
    <n v="6"/>
    <n v="6"/>
    <n v="12"/>
    <n v="1"/>
    <n v="3"/>
    <n v="4"/>
  </r>
  <r>
    <n v="1172"/>
    <x v="1172"/>
    <n v="1990"/>
    <x v="50"/>
    <x v="1"/>
    <x v="2"/>
    <n v="74214"/>
    <x v="0"/>
    <n v="0"/>
    <n v="0"/>
    <x v="0"/>
    <d v="2012-08-26T00:00:00"/>
    <s v="12 years, 10 months"/>
    <n v="3"/>
    <n v="83"/>
    <n v="99"/>
    <n v="182"/>
    <n v="8"/>
    <n v="5"/>
    <n v="13"/>
  </r>
  <r>
    <n v="1173"/>
    <x v="1173"/>
    <n v="1957"/>
    <x v="0"/>
    <x v="2"/>
    <x v="2"/>
    <n v="66726"/>
    <x v="0"/>
    <n v="1"/>
    <n v="1"/>
    <x v="1"/>
    <d v="2014-01-12T00:00:00"/>
    <s v="11 years, 5 months"/>
    <n v="61"/>
    <n v="7"/>
    <n v="0"/>
    <n v="7"/>
    <n v="8"/>
    <n v="4"/>
    <n v="12"/>
  </r>
  <r>
    <n v="1174"/>
    <x v="1174"/>
    <n v="1979"/>
    <x v="19"/>
    <x v="3"/>
    <x v="1"/>
    <n v="23724"/>
    <x v="1"/>
    <n v="1"/>
    <n v="0"/>
    <x v="2"/>
    <d v="2013-01-08T00:00:00"/>
    <s v="12 years, 5 months"/>
    <n v="65"/>
    <n v="23"/>
    <n v="18"/>
    <n v="41"/>
    <n v="2"/>
    <n v="3"/>
    <n v="5"/>
  </r>
  <r>
    <n v="1175"/>
    <x v="1175"/>
    <n v="1960"/>
    <x v="40"/>
    <x v="2"/>
    <x v="2"/>
    <n v="47353"/>
    <x v="0"/>
    <n v="0"/>
    <n v="1"/>
    <x v="2"/>
    <d v="2013-11-13T00:00:00"/>
    <s v="11 years, 7 months"/>
    <n v="93"/>
    <n v="2"/>
    <n v="8"/>
    <n v="10"/>
    <n v="2"/>
    <n v="6"/>
    <n v="8"/>
  </r>
  <r>
    <n v="1176"/>
    <x v="1176"/>
    <n v="1952"/>
    <x v="13"/>
    <x v="2"/>
    <x v="2"/>
    <n v="33444"/>
    <x v="0"/>
    <n v="1"/>
    <n v="1"/>
    <x v="1"/>
    <d v="2012-11-03T00:00:00"/>
    <s v="12 years, 8 months"/>
    <n v="24"/>
    <n v="0"/>
    <n v="0"/>
    <n v="0"/>
    <n v="1"/>
    <n v="2"/>
    <n v="3"/>
  </r>
  <r>
    <n v="1177"/>
    <x v="1177"/>
    <n v="1981"/>
    <x v="4"/>
    <x v="0"/>
    <x v="2"/>
    <n v="54386"/>
    <x v="0"/>
    <n v="0"/>
    <n v="1"/>
    <x v="2"/>
    <d v="2013-05-17T00:00:00"/>
    <s v="12 years, 1 months"/>
    <n v="8"/>
    <n v="21"/>
    <n v="21"/>
    <n v="42"/>
    <n v="3"/>
    <n v="10"/>
    <n v="13"/>
  </r>
  <r>
    <n v="1178"/>
    <x v="1178"/>
    <n v="1981"/>
    <x v="4"/>
    <x v="0"/>
    <x v="3"/>
    <n v="28510"/>
    <x v="0"/>
    <n v="1"/>
    <n v="1"/>
    <x v="1"/>
    <d v="2013-04-13T00:00:00"/>
    <s v="12 years, 2 months"/>
    <n v="72"/>
    <n v="5"/>
    <n v="4"/>
    <n v="9"/>
    <n v="2"/>
    <n v="4"/>
    <n v="6"/>
  </r>
  <r>
    <n v="1179"/>
    <x v="1179"/>
    <n v="1991"/>
    <x v="42"/>
    <x v="2"/>
    <x v="0"/>
    <n v="90638"/>
    <x v="2"/>
    <n v="0"/>
    <n v="0"/>
    <x v="0"/>
    <d v="2014-02-13T00:00:00"/>
    <s v="11 years, 4 months"/>
    <n v="29"/>
    <n v="120"/>
    <n v="144"/>
    <n v="264"/>
    <n v="3"/>
    <n v="10"/>
    <n v="13"/>
  </r>
  <r>
    <n v="1180"/>
    <x v="1180"/>
    <n v="1950"/>
    <x v="9"/>
    <x v="0"/>
    <x v="1"/>
    <n v="48070"/>
    <x v="0"/>
    <n v="0"/>
    <n v="1"/>
    <x v="2"/>
    <d v="2013-01-13T00:00:00"/>
    <s v="12 years, 5 months"/>
    <n v="33"/>
    <n v="14"/>
    <n v="9"/>
    <n v="23"/>
    <n v="8"/>
    <n v="6"/>
    <n v="14"/>
  </r>
  <r>
    <n v="1181"/>
    <x v="1181"/>
    <n v="1957"/>
    <x v="0"/>
    <x v="0"/>
    <x v="2"/>
    <n v="43140"/>
    <x v="0"/>
    <n v="0"/>
    <n v="1"/>
    <x v="2"/>
    <d v="2013-01-05T00:00:00"/>
    <s v="12 years, 6 months"/>
    <n v="68"/>
    <n v="8"/>
    <n v="0"/>
    <n v="8"/>
    <n v="4"/>
    <n v="5"/>
    <n v="9"/>
  </r>
  <r>
    <n v="1182"/>
    <x v="1182"/>
    <n v="1961"/>
    <x v="45"/>
    <x v="1"/>
    <x v="3"/>
    <n v="54959"/>
    <x v="0"/>
    <n v="0"/>
    <n v="1"/>
    <x v="2"/>
    <d v="2013-01-19T00:00:00"/>
    <s v="12 years, 5 months"/>
    <n v="55"/>
    <n v="0"/>
    <n v="0"/>
    <n v="0"/>
    <n v="9"/>
    <n v="4"/>
    <n v="13"/>
  </r>
  <r>
    <n v="1183"/>
    <x v="1183"/>
    <n v="1958"/>
    <x v="38"/>
    <x v="3"/>
    <x v="0"/>
    <n v="15056"/>
    <x v="1"/>
    <n v="1"/>
    <n v="1"/>
    <x v="1"/>
    <d v="2013-05-03T00:00:00"/>
    <s v="12 years, 2 months"/>
    <n v="76"/>
    <n v="12"/>
    <n v="6"/>
    <n v="18"/>
    <n v="2"/>
    <n v="3"/>
    <n v="5"/>
  </r>
  <r>
    <n v="1184"/>
    <x v="1184"/>
    <n v="1971"/>
    <x v="6"/>
    <x v="0"/>
    <x v="0"/>
    <n v="26954"/>
    <x v="0"/>
    <n v="1"/>
    <n v="0"/>
    <x v="2"/>
    <d v="2014-05-08T00:00:00"/>
    <s v="11 years, 1 months"/>
    <n v="17"/>
    <n v="1"/>
    <n v="0"/>
    <n v="1"/>
    <n v="1"/>
    <n v="2"/>
    <n v="3"/>
  </r>
  <r>
    <n v="1185"/>
    <x v="1185"/>
    <n v="1985"/>
    <x v="7"/>
    <x v="0"/>
    <x v="0"/>
    <n v="22327"/>
    <x v="1"/>
    <n v="1"/>
    <n v="0"/>
    <x v="2"/>
    <d v="2013-08-02T00:00:00"/>
    <s v="11 years, 11 months"/>
    <n v="94"/>
    <n v="4"/>
    <n v="0"/>
    <n v="4"/>
    <n v="1"/>
    <n v="3"/>
    <n v="4"/>
  </r>
  <r>
    <n v="1186"/>
    <x v="1186"/>
    <n v="1965"/>
    <x v="2"/>
    <x v="0"/>
    <x v="2"/>
    <n v="44393"/>
    <x v="0"/>
    <n v="1"/>
    <n v="1"/>
    <x v="1"/>
    <d v="2013-08-22T00:00:00"/>
    <s v="11 years, 10 months"/>
    <n v="86"/>
    <n v="2"/>
    <n v="2"/>
    <n v="4"/>
    <n v="1"/>
    <n v="4"/>
    <n v="5"/>
  </r>
  <r>
    <n v="1187"/>
    <x v="1187"/>
    <n v="1952"/>
    <x v="13"/>
    <x v="1"/>
    <x v="0"/>
    <n v="62000"/>
    <x v="0"/>
    <n v="0"/>
    <n v="1"/>
    <x v="2"/>
    <d v="2013-08-25T00:00:00"/>
    <s v="11 years, 10 months"/>
    <n v="25"/>
    <n v="0"/>
    <n v="0"/>
    <n v="0"/>
    <n v="6"/>
    <n v="13"/>
    <n v="19"/>
  </r>
  <r>
    <n v="1188"/>
    <x v="1188"/>
    <n v="1962"/>
    <x v="43"/>
    <x v="1"/>
    <x v="1"/>
    <n v="31497"/>
    <x v="0"/>
    <n v="0"/>
    <n v="1"/>
    <x v="2"/>
    <d v="2012-12-06T00:00:00"/>
    <s v="12 years, 7 months"/>
    <n v="22"/>
    <n v="1"/>
    <n v="1"/>
    <n v="2"/>
    <n v="3"/>
    <n v="4"/>
    <n v="7"/>
  </r>
  <r>
    <n v="1189"/>
    <x v="1189"/>
    <n v="1974"/>
    <x v="8"/>
    <x v="4"/>
    <x v="2"/>
    <n v="45894"/>
    <x v="0"/>
    <n v="0"/>
    <n v="2"/>
    <x v="1"/>
    <d v="2014-02-27T00:00:00"/>
    <s v="11 years, 4 months"/>
    <n v="15"/>
    <n v="2"/>
    <n v="2"/>
    <n v="4"/>
    <n v="1"/>
    <n v="3"/>
    <n v="4"/>
  </r>
  <r>
    <n v="1190"/>
    <x v="1190"/>
    <n v="1970"/>
    <x v="25"/>
    <x v="2"/>
    <x v="3"/>
    <n v="78579"/>
    <x v="2"/>
    <n v="0"/>
    <n v="0"/>
    <x v="0"/>
    <d v="2012-12-22T00:00:00"/>
    <s v="12 years, 6 months"/>
    <n v="35"/>
    <n v="66"/>
    <n v="66"/>
    <n v="132"/>
    <n v="5"/>
    <n v="4"/>
    <n v="9"/>
  </r>
  <r>
    <n v="1191"/>
    <x v="1191"/>
    <n v="1969"/>
    <x v="21"/>
    <x v="2"/>
    <x v="4"/>
    <n v="67369"/>
    <x v="0"/>
    <n v="0"/>
    <n v="1"/>
    <x v="2"/>
    <d v="2012-11-17T00:00:00"/>
    <s v="12 years, 7 months"/>
    <n v="81"/>
    <n v="0"/>
    <n v="14"/>
    <n v="14"/>
    <n v="7"/>
    <n v="10"/>
    <n v="17"/>
  </r>
  <r>
    <n v="1192"/>
    <x v="1192"/>
    <n v="1960"/>
    <x v="40"/>
    <x v="0"/>
    <x v="3"/>
    <n v="58401"/>
    <x v="0"/>
    <n v="0"/>
    <n v="1"/>
    <x v="2"/>
    <d v="2014-04-20T00:00:00"/>
    <s v="11 years, 2 months"/>
    <n v="55"/>
    <n v="0"/>
    <n v="29"/>
    <n v="29"/>
    <n v="1"/>
    <n v="2"/>
    <n v="3"/>
  </r>
  <r>
    <n v="1193"/>
    <x v="1193"/>
    <n v="1952"/>
    <x v="13"/>
    <x v="0"/>
    <x v="0"/>
    <n v="62307"/>
    <x v="0"/>
    <n v="0"/>
    <n v="1"/>
    <x v="2"/>
    <d v="2014-02-17T00:00:00"/>
    <s v="11 years, 4 months"/>
    <n v="94"/>
    <n v="13"/>
    <n v="6"/>
    <n v="19"/>
    <n v="4"/>
    <n v="4"/>
    <n v="8"/>
  </r>
  <r>
    <n v="1194"/>
    <x v="1194"/>
    <n v="1969"/>
    <x v="21"/>
    <x v="2"/>
    <x v="2"/>
    <n v="43641"/>
    <x v="0"/>
    <n v="1"/>
    <n v="1"/>
    <x v="1"/>
    <d v="2013-04-22T00:00:00"/>
    <s v="12 years, 2 months"/>
    <n v="50"/>
    <n v="2"/>
    <n v="2"/>
    <n v="4"/>
    <n v="2"/>
    <n v="4"/>
    <n v="6"/>
  </r>
  <r>
    <n v="1195"/>
    <x v="1195"/>
    <n v="1968"/>
    <x v="30"/>
    <x v="2"/>
    <x v="3"/>
    <n v="63841"/>
    <x v="0"/>
    <n v="0"/>
    <n v="1"/>
    <x v="2"/>
    <d v="2013-04-21T00:00:00"/>
    <s v="12 years, 2 months"/>
    <n v="64"/>
    <n v="15"/>
    <n v="7"/>
    <n v="22"/>
    <n v="9"/>
    <n v="9"/>
    <n v="18"/>
  </r>
  <r>
    <n v="1196"/>
    <x v="1196"/>
    <n v="1965"/>
    <x v="2"/>
    <x v="4"/>
    <x v="2"/>
    <n v="46891"/>
    <x v="0"/>
    <n v="0"/>
    <n v="1"/>
    <x v="2"/>
    <d v="2013-09-01T00:00:00"/>
    <s v="11 years, 10 months"/>
    <n v="91"/>
    <n v="12"/>
    <n v="15"/>
    <n v="27"/>
    <n v="2"/>
    <n v="4"/>
    <n v="6"/>
  </r>
  <r>
    <n v="1197"/>
    <x v="1197"/>
    <n v="1969"/>
    <x v="21"/>
    <x v="2"/>
    <x v="2"/>
    <n v="70091"/>
    <x v="0"/>
    <n v="1"/>
    <n v="0"/>
    <x v="2"/>
    <d v="2013-03-31T00:00:00"/>
    <s v="12 years, 3 months"/>
    <n v="11"/>
    <n v="34"/>
    <n v="0"/>
    <n v="34"/>
    <n v="5"/>
    <n v="10"/>
    <n v="15"/>
  </r>
  <r>
    <n v="1198"/>
    <x v="1198"/>
    <n v="1972"/>
    <x v="39"/>
    <x v="1"/>
    <x v="2"/>
    <n v="78075"/>
    <x v="2"/>
    <n v="0"/>
    <n v="0"/>
    <x v="0"/>
    <d v="2014-04-05T00:00:00"/>
    <s v="11 years, 3 months"/>
    <n v="72"/>
    <n v="8"/>
    <n v="35"/>
    <n v="43"/>
    <n v="3"/>
    <n v="5"/>
    <n v="8"/>
  </r>
  <r>
    <n v="1199"/>
    <x v="1199"/>
    <n v="1961"/>
    <x v="45"/>
    <x v="4"/>
    <x v="4"/>
    <n v="59184"/>
    <x v="0"/>
    <n v="0"/>
    <n v="1"/>
    <x v="2"/>
    <d v="2012-09-09T00:00:00"/>
    <s v="12 years, 9 months"/>
    <n v="6"/>
    <n v="142"/>
    <n v="151"/>
    <n v="293"/>
    <n v="6"/>
    <n v="12"/>
    <n v="18"/>
  </r>
  <r>
    <n v="1200"/>
    <x v="1200"/>
    <n v="1977"/>
    <x v="32"/>
    <x v="0"/>
    <x v="2"/>
    <n v="54809"/>
    <x v="0"/>
    <n v="1"/>
    <n v="1"/>
    <x v="1"/>
    <d v="2013-09-11T00:00:00"/>
    <s v="11 years, 9 months"/>
    <n v="0"/>
    <n v="6"/>
    <n v="13"/>
    <n v="19"/>
    <n v="2"/>
    <n v="5"/>
    <n v="7"/>
  </r>
  <r>
    <n v="1201"/>
    <x v="1201"/>
    <n v="1959"/>
    <x v="12"/>
    <x v="0"/>
    <x v="2"/>
    <n v="58113"/>
    <x v="0"/>
    <n v="0"/>
    <n v="1"/>
    <x v="2"/>
    <d v="2013-01-25T00:00:00"/>
    <s v="12 years, 5 months"/>
    <n v="66"/>
    <n v="104"/>
    <n v="78"/>
    <n v="182"/>
    <n v="9"/>
    <n v="8"/>
    <n v="17"/>
  </r>
  <r>
    <n v="1202"/>
    <x v="1202"/>
    <n v="1958"/>
    <x v="38"/>
    <x v="2"/>
    <x v="2"/>
    <n v="51412"/>
    <x v="0"/>
    <n v="0"/>
    <n v="1"/>
    <x v="2"/>
    <d v="2013-12-31T00:00:00"/>
    <s v="11 years, 6 months"/>
    <n v="42"/>
    <n v="3"/>
    <n v="5"/>
    <n v="8"/>
    <n v="3"/>
    <n v="4"/>
    <n v="7"/>
  </r>
  <r>
    <n v="1203"/>
    <x v="1203"/>
    <n v="1979"/>
    <x v="19"/>
    <x v="0"/>
    <x v="3"/>
    <n v="15287"/>
    <x v="1"/>
    <n v="1"/>
    <n v="0"/>
    <x v="2"/>
    <d v="2012-10-10T00:00:00"/>
    <s v="12 years, 8 months"/>
    <n v="60"/>
    <n v="2"/>
    <n v="3"/>
    <n v="5"/>
    <n v="1"/>
    <n v="2"/>
    <n v="3"/>
  </r>
  <r>
    <n v="1204"/>
    <x v="1204"/>
    <n v="1957"/>
    <x v="0"/>
    <x v="2"/>
    <x v="1"/>
    <n v="66636"/>
    <x v="0"/>
    <n v="0"/>
    <n v="0"/>
    <x v="0"/>
    <d v="2013-08-17T00:00:00"/>
    <s v="11 years, 10 months"/>
    <n v="64"/>
    <n v="10"/>
    <n v="10"/>
    <n v="20"/>
    <n v="3"/>
    <n v="9"/>
    <n v="12"/>
  </r>
  <r>
    <n v="1205"/>
    <x v="1205"/>
    <n v="1956"/>
    <x v="46"/>
    <x v="2"/>
    <x v="2"/>
    <n v="50965"/>
    <x v="0"/>
    <n v="0"/>
    <n v="1"/>
    <x v="2"/>
    <d v="2013-02-20T00:00:00"/>
    <s v="12 years, 4 months"/>
    <n v="87"/>
    <n v="13"/>
    <n v="6"/>
    <n v="19"/>
    <n v="10"/>
    <n v="5"/>
    <n v="15"/>
  </r>
  <r>
    <n v="1206"/>
    <x v="1206"/>
    <n v="1965"/>
    <x v="2"/>
    <x v="1"/>
    <x v="2"/>
    <n v="84618"/>
    <x v="2"/>
    <n v="0"/>
    <n v="0"/>
    <x v="0"/>
    <d v="2013-11-22T00:00:00"/>
    <s v="11 years, 7 months"/>
    <n v="96"/>
    <n v="100"/>
    <n v="66"/>
    <n v="166"/>
    <n v="6"/>
    <n v="10"/>
    <n v="16"/>
  </r>
  <r>
    <n v="1207"/>
    <x v="1207"/>
    <n v="1990"/>
    <x v="50"/>
    <x v="0"/>
    <x v="2"/>
    <n v="18351"/>
    <x v="1"/>
    <n v="0"/>
    <n v="0"/>
    <x v="0"/>
    <d v="2013-10-29T00:00:00"/>
    <s v="11 years, 8 months"/>
    <n v="1"/>
    <n v="12"/>
    <n v="14"/>
    <n v="26"/>
    <n v="2"/>
    <n v="3"/>
    <n v="5"/>
  </r>
  <r>
    <n v="1208"/>
    <x v="1208"/>
    <n v="1957"/>
    <x v="0"/>
    <x v="1"/>
    <x v="1"/>
    <n v="40451"/>
    <x v="0"/>
    <n v="0"/>
    <n v="2"/>
    <x v="1"/>
    <d v="2014-02-16T00:00:00"/>
    <s v="11 years, 4 months"/>
    <n v="54"/>
    <n v="0"/>
    <n v="0"/>
    <n v="0"/>
    <n v="1"/>
    <n v="2"/>
    <n v="3"/>
  </r>
  <r>
    <n v="1209"/>
    <x v="1209"/>
    <n v="1965"/>
    <x v="2"/>
    <x v="0"/>
    <x v="1"/>
    <n v="36317"/>
    <x v="0"/>
    <n v="0"/>
    <n v="1"/>
    <x v="2"/>
    <d v="2013-05-22T00:00:00"/>
    <s v="12 years, 1 months"/>
    <n v="53"/>
    <n v="3"/>
    <n v="2"/>
    <n v="5"/>
    <n v="3"/>
    <n v="4"/>
    <n v="7"/>
  </r>
  <r>
    <n v="1210"/>
    <x v="1210"/>
    <n v="1957"/>
    <x v="0"/>
    <x v="0"/>
    <x v="1"/>
    <n v="42213"/>
    <x v="0"/>
    <n v="0"/>
    <n v="1"/>
    <x v="2"/>
    <d v="2013-10-12T00:00:00"/>
    <s v="11 years, 8 months"/>
    <n v="96"/>
    <n v="3"/>
    <n v="3"/>
    <n v="6"/>
    <n v="5"/>
    <n v="7"/>
    <n v="12"/>
  </r>
  <r>
    <n v="1211"/>
    <x v="1211"/>
    <n v="1955"/>
    <x v="34"/>
    <x v="0"/>
    <x v="1"/>
    <n v="65748"/>
    <x v="0"/>
    <n v="0"/>
    <n v="1"/>
    <x v="2"/>
    <d v="2013-04-15T00:00:00"/>
    <s v="12 years, 2 months"/>
    <n v="58"/>
    <n v="73"/>
    <n v="78"/>
    <n v="151"/>
    <n v="2"/>
    <n v="10"/>
    <n v="12"/>
  </r>
  <r>
    <n v="1212"/>
    <x v="1212"/>
    <n v="1972"/>
    <x v="39"/>
    <x v="0"/>
    <x v="1"/>
    <n v="77044"/>
    <x v="2"/>
    <n v="0"/>
    <n v="1"/>
    <x v="2"/>
    <d v="2013-10-27T00:00:00"/>
    <s v="11 years, 8 months"/>
    <n v="12"/>
    <n v="38"/>
    <n v="34"/>
    <n v="72"/>
    <n v="7"/>
    <n v="11"/>
    <n v="18"/>
  </r>
  <r>
    <n v="1213"/>
    <x v="1213"/>
    <n v="1969"/>
    <x v="21"/>
    <x v="0"/>
    <x v="1"/>
    <n v="74918"/>
    <x v="0"/>
    <n v="0"/>
    <n v="0"/>
    <x v="0"/>
    <d v="2013-03-12T00:00:00"/>
    <s v="12 years, 3 months"/>
    <n v="78"/>
    <n v="59"/>
    <n v="19"/>
    <n v="78"/>
    <n v="5"/>
    <n v="6"/>
    <n v="11"/>
  </r>
  <r>
    <n v="1214"/>
    <x v="1214"/>
    <n v="1972"/>
    <x v="39"/>
    <x v="0"/>
    <x v="2"/>
    <n v="56721"/>
    <x v="0"/>
    <n v="1"/>
    <n v="1"/>
    <x v="1"/>
    <d v="2012-10-31T00:00:00"/>
    <s v="12 years, 8 months"/>
    <n v="64"/>
    <n v="6"/>
    <n v="13"/>
    <n v="19"/>
    <n v="4"/>
    <n v="5"/>
    <n v="9"/>
  </r>
  <r>
    <n v="1215"/>
    <x v="1215"/>
    <n v="1975"/>
    <x v="28"/>
    <x v="0"/>
    <x v="0"/>
    <n v="42160"/>
    <x v="0"/>
    <n v="1"/>
    <n v="1"/>
    <x v="1"/>
    <d v="2013-06-28T00:00:00"/>
    <s v="12 years, 0 months"/>
    <n v="26"/>
    <n v="9"/>
    <n v="15"/>
    <n v="24"/>
    <n v="2"/>
    <n v="4"/>
    <n v="6"/>
  </r>
  <r>
    <n v="1216"/>
    <x v="1216"/>
    <n v="1965"/>
    <x v="2"/>
    <x v="0"/>
    <x v="0"/>
    <n v="61559"/>
    <x v="0"/>
    <n v="0"/>
    <n v="1"/>
    <x v="2"/>
    <d v="2013-07-17T00:00:00"/>
    <s v="11 years, 11 months"/>
    <n v="8"/>
    <n v="83"/>
    <n v="14"/>
    <n v="97"/>
    <n v="4"/>
    <n v="10"/>
    <n v="14"/>
  </r>
  <r>
    <n v="1217"/>
    <x v="1217"/>
    <n v="1963"/>
    <x v="24"/>
    <x v="1"/>
    <x v="1"/>
    <n v="33629"/>
    <x v="0"/>
    <n v="1"/>
    <n v="1"/>
    <x v="1"/>
    <d v="2012-08-08T00:00:00"/>
    <s v="12 years, 10 months"/>
    <n v="49"/>
    <n v="0"/>
    <n v="0"/>
    <n v="0"/>
    <n v="3"/>
    <n v="4"/>
    <n v="7"/>
  </r>
  <r>
    <n v="1218"/>
    <x v="1218"/>
    <n v="1991"/>
    <x v="42"/>
    <x v="1"/>
    <x v="1"/>
    <n v="68682"/>
    <x v="0"/>
    <n v="0"/>
    <n v="0"/>
    <x v="0"/>
    <d v="2013-10-06T00:00:00"/>
    <s v="11 years, 9 months"/>
    <n v="56"/>
    <n v="0"/>
    <n v="30"/>
    <n v="30"/>
    <n v="4"/>
    <n v="10"/>
    <n v="14"/>
  </r>
  <r>
    <n v="1219"/>
    <x v="1219"/>
    <n v="1963"/>
    <x v="24"/>
    <x v="0"/>
    <x v="0"/>
    <n v="34377"/>
    <x v="0"/>
    <n v="0"/>
    <n v="1"/>
    <x v="2"/>
    <d v="2013-01-19T00:00:00"/>
    <s v="12 years, 5 months"/>
    <n v="55"/>
    <n v="0"/>
    <n v="1"/>
    <n v="1"/>
    <n v="2"/>
    <n v="2"/>
    <n v="4"/>
  </r>
  <r>
    <n v="1220"/>
    <x v="1220"/>
    <n v="1986"/>
    <x v="22"/>
    <x v="3"/>
    <x v="0"/>
    <n v="8940"/>
    <x v="1"/>
    <n v="1"/>
    <n v="0"/>
    <x v="2"/>
    <d v="2012-08-22T00:00:00"/>
    <s v="12 years, 10 months"/>
    <n v="25"/>
    <n v="45"/>
    <n v="6"/>
    <n v="51"/>
    <n v="3"/>
    <n v="3"/>
    <n v="6"/>
  </r>
  <r>
    <n v="1221"/>
    <x v="1221"/>
    <n v="1973"/>
    <x v="26"/>
    <x v="0"/>
    <x v="2"/>
    <n v="26228"/>
    <x v="0"/>
    <n v="1"/>
    <n v="0"/>
    <x v="2"/>
    <d v="2013-09-22T00:00:00"/>
    <s v="11 years, 9 months"/>
    <n v="50"/>
    <n v="6"/>
    <n v="1"/>
    <n v="7"/>
    <n v="1"/>
    <n v="2"/>
    <n v="3"/>
  </r>
  <r>
    <n v="1222"/>
    <x v="1222"/>
    <n v="1957"/>
    <x v="0"/>
    <x v="4"/>
    <x v="3"/>
    <n v="77297"/>
    <x v="2"/>
    <n v="0"/>
    <n v="0"/>
    <x v="0"/>
    <d v="2013-01-26T00:00:00"/>
    <s v="12 years, 5 months"/>
    <n v="84"/>
    <n v="61"/>
    <n v="122"/>
    <n v="183"/>
    <n v="5"/>
    <n v="9"/>
    <n v="14"/>
  </r>
  <r>
    <n v="1223"/>
    <x v="1223"/>
    <n v="1981"/>
    <x v="4"/>
    <x v="0"/>
    <x v="2"/>
    <n v="40211"/>
    <x v="0"/>
    <n v="1"/>
    <n v="1"/>
    <x v="1"/>
    <d v="2013-07-30T00:00:00"/>
    <s v="11 years, 11 months"/>
    <n v="30"/>
    <n v="1"/>
    <n v="1"/>
    <n v="2"/>
    <n v="2"/>
    <n v="2"/>
    <n v="4"/>
  </r>
  <r>
    <n v="1224"/>
    <x v="1224"/>
    <n v="1958"/>
    <x v="38"/>
    <x v="1"/>
    <x v="4"/>
    <n v="33438"/>
    <x v="0"/>
    <n v="1"/>
    <n v="1"/>
    <x v="1"/>
    <d v="2013-09-22T00:00:00"/>
    <s v="11 years, 9 months"/>
    <n v="81"/>
    <n v="1"/>
    <n v="2"/>
    <n v="3"/>
    <n v="2"/>
    <n v="4"/>
    <n v="6"/>
  </r>
  <r>
    <n v="1225"/>
    <x v="1225"/>
    <n v="1959"/>
    <x v="12"/>
    <x v="1"/>
    <x v="2"/>
    <n v="75032"/>
    <x v="2"/>
    <n v="0"/>
    <n v="1"/>
    <x v="2"/>
    <d v="2013-04-28T00:00:00"/>
    <s v="12 years, 2 months"/>
    <n v="74"/>
    <n v="12"/>
    <n v="12"/>
    <n v="24"/>
    <n v="5"/>
    <n v="9"/>
    <n v="14"/>
  </r>
  <r>
    <n v="1226"/>
    <x v="1226"/>
    <n v="1955"/>
    <x v="34"/>
    <x v="1"/>
    <x v="0"/>
    <n v="61284"/>
    <x v="0"/>
    <n v="0"/>
    <n v="0"/>
    <x v="0"/>
    <d v="2013-10-12T00:00:00"/>
    <s v="11 years, 8 months"/>
    <n v="76"/>
    <n v="15"/>
    <n v="7"/>
    <n v="22"/>
    <n v="11"/>
    <n v="8"/>
    <n v="19"/>
  </r>
  <r>
    <n v="1227"/>
    <x v="1227"/>
    <n v="1986"/>
    <x v="22"/>
    <x v="0"/>
    <x v="2"/>
    <n v="22518"/>
    <x v="1"/>
    <n v="1"/>
    <n v="0"/>
    <x v="2"/>
    <d v="2012-10-22T00:00:00"/>
    <s v="12 years, 8 months"/>
    <n v="36"/>
    <n v="7"/>
    <n v="2"/>
    <n v="9"/>
    <n v="2"/>
    <n v="2"/>
    <n v="4"/>
  </r>
  <r>
    <n v="1228"/>
    <x v="1228"/>
    <n v="1975"/>
    <x v="28"/>
    <x v="2"/>
    <x v="2"/>
    <n v="54730"/>
    <x v="0"/>
    <n v="0"/>
    <n v="1"/>
    <x v="2"/>
    <d v="2013-08-15T00:00:00"/>
    <s v="11 years, 10 months"/>
    <n v="64"/>
    <n v="3"/>
    <n v="7"/>
    <n v="10"/>
    <n v="4"/>
    <n v="8"/>
    <n v="12"/>
  </r>
  <r>
    <n v="1229"/>
    <x v="1229"/>
    <n v="1955"/>
    <x v="34"/>
    <x v="2"/>
    <x v="2"/>
    <n v="38452"/>
    <x v="0"/>
    <n v="1"/>
    <n v="1"/>
    <x v="1"/>
    <d v="2014-03-30T00:00:00"/>
    <s v="11 years, 3 months"/>
    <n v="62"/>
    <n v="0"/>
    <n v="0"/>
    <n v="0"/>
    <n v="3"/>
    <n v="3"/>
    <n v="6"/>
  </r>
  <r>
    <n v="1230"/>
    <x v="1230"/>
    <n v="1971"/>
    <x v="6"/>
    <x v="0"/>
    <x v="3"/>
    <n v="44421"/>
    <x v="0"/>
    <n v="1"/>
    <n v="1"/>
    <x v="1"/>
    <d v="2013-02-15T00:00:00"/>
    <s v="12 years, 4 months"/>
    <n v="53"/>
    <n v="5"/>
    <n v="1"/>
    <n v="6"/>
    <n v="5"/>
    <n v="4"/>
    <n v="9"/>
  </r>
  <r>
    <n v="1231"/>
    <x v="1231"/>
    <n v="1986"/>
    <x v="22"/>
    <x v="1"/>
    <x v="1"/>
    <n v="38197"/>
    <x v="0"/>
    <n v="1"/>
    <n v="0"/>
    <x v="2"/>
    <d v="2013-06-29T00:00:00"/>
    <s v="12 years, 0 months"/>
    <n v="86"/>
    <n v="0"/>
    <n v="1"/>
    <n v="1"/>
    <n v="1"/>
    <n v="3"/>
    <n v="4"/>
  </r>
  <r>
    <n v="1232"/>
    <x v="1232"/>
    <n v="1978"/>
    <x v="33"/>
    <x v="0"/>
    <x v="3"/>
    <n v="41986"/>
    <x v="0"/>
    <n v="0"/>
    <n v="1"/>
    <x v="2"/>
    <d v="2014-02-09T00:00:00"/>
    <s v="11 years, 4 months"/>
    <n v="15"/>
    <n v="5"/>
    <n v="3"/>
    <n v="8"/>
    <n v="3"/>
    <n v="4"/>
    <n v="7"/>
  </r>
  <r>
    <n v="1233"/>
    <x v="1233"/>
    <n v="1983"/>
    <x v="10"/>
    <x v="0"/>
    <x v="1"/>
    <n v="28427"/>
    <x v="0"/>
    <n v="1"/>
    <n v="0"/>
    <x v="2"/>
    <d v="2013-03-21T00:00:00"/>
    <s v="12 years, 3 months"/>
    <n v="67"/>
    <n v="3"/>
    <n v="3"/>
    <n v="6"/>
    <n v="2"/>
    <n v="3"/>
    <n v="5"/>
  </r>
  <r>
    <n v="1234"/>
    <x v="1234"/>
    <n v="1976"/>
    <x v="11"/>
    <x v="1"/>
    <x v="1"/>
    <n v="37395"/>
    <x v="0"/>
    <n v="1"/>
    <n v="0"/>
    <x v="2"/>
    <d v="2014-05-02T00:00:00"/>
    <s v="11 years, 2 months"/>
    <n v="47"/>
    <n v="0"/>
    <n v="1"/>
    <n v="1"/>
    <n v="1"/>
    <n v="3"/>
    <n v="4"/>
  </r>
  <r>
    <n v="1235"/>
    <x v="1235"/>
    <n v="1971"/>
    <x v="6"/>
    <x v="0"/>
    <x v="2"/>
    <n v="64722"/>
    <x v="0"/>
    <n v="1"/>
    <n v="0"/>
    <x v="2"/>
    <d v="2014-05-26T00:00:00"/>
    <s v="11 years, 1 months"/>
    <n v="47"/>
    <n v="0"/>
    <n v="147"/>
    <n v="147"/>
    <n v="8"/>
    <n v="11"/>
    <n v="19"/>
  </r>
  <r>
    <n v="1236"/>
    <x v="1236"/>
    <n v="1956"/>
    <x v="46"/>
    <x v="2"/>
    <x v="1"/>
    <n v="55249"/>
    <x v="0"/>
    <n v="0"/>
    <n v="1"/>
    <x v="2"/>
    <d v="2014-04-17T00:00:00"/>
    <s v="11 years, 2 months"/>
    <n v="81"/>
    <n v="1"/>
    <n v="0"/>
    <n v="1"/>
    <n v="2"/>
    <n v="4"/>
    <n v="6"/>
  </r>
  <r>
    <n v="1237"/>
    <x v="1237"/>
    <n v="1972"/>
    <x v="39"/>
    <x v="0"/>
    <x v="1"/>
    <n v="84906"/>
    <x v="2"/>
    <n v="0"/>
    <n v="0"/>
    <x v="0"/>
    <d v="2013-10-04T00:00:00"/>
    <s v="11 years, 9 months"/>
    <n v="98"/>
    <n v="15"/>
    <n v="30"/>
    <n v="45"/>
    <n v="5"/>
    <n v="12"/>
    <n v="17"/>
  </r>
  <r>
    <n v="1238"/>
    <x v="1238"/>
    <n v="1989"/>
    <x v="23"/>
    <x v="0"/>
    <x v="2"/>
    <n v="28691"/>
    <x v="0"/>
    <n v="1"/>
    <n v="0"/>
    <x v="2"/>
    <d v="2013-07-04T00:00:00"/>
    <s v="12 years, 0 months"/>
    <n v="56"/>
    <n v="4"/>
    <n v="0"/>
    <n v="4"/>
    <n v="1"/>
    <n v="3"/>
    <n v="4"/>
  </r>
  <r>
    <n v="1239"/>
    <x v="1239"/>
    <n v="1952"/>
    <x v="13"/>
    <x v="0"/>
    <x v="0"/>
    <n v="44213"/>
    <x v="0"/>
    <n v="1"/>
    <n v="1"/>
    <x v="1"/>
    <d v="2013-11-29T00:00:00"/>
    <s v="11 years, 7 months"/>
    <n v="48"/>
    <n v="11"/>
    <n v="4"/>
    <n v="15"/>
    <n v="2"/>
    <n v="5"/>
    <n v="7"/>
  </r>
  <r>
    <n v="1240"/>
    <x v="1240"/>
    <n v="1984"/>
    <x v="3"/>
    <x v="3"/>
    <x v="0"/>
    <n v="25707"/>
    <x v="0"/>
    <n v="1"/>
    <n v="0"/>
    <x v="2"/>
    <d v="2014-01-18T00:00:00"/>
    <s v="11 years, 5 months"/>
    <n v="18"/>
    <n v="6"/>
    <n v="6"/>
    <n v="12"/>
    <n v="1"/>
    <n v="3"/>
    <n v="4"/>
  </r>
  <r>
    <n v="1241"/>
    <x v="1241"/>
    <n v="1967"/>
    <x v="5"/>
    <x v="1"/>
    <x v="2"/>
    <n v="59062"/>
    <x v="0"/>
    <n v="2"/>
    <n v="1"/>
    <x v="3"/>
    <d v="2013-10-03T00:00:00"/>
    <s v="11 years, 9 months"/>
    <n v="74"/>
    <n v="1"/>
    <n v="0"/>
    <n v="1"/>
    <n v="2"/>
    <n v="3"/>
    <n v="5"/>
  </r>
  <r>
    <n v="1242"/>
    <x v="1242"/>
    <n v="1962"/>
    <x v="43"/>
    <x v="0"/>
    <x v="0"/>
    <n v="76624"/>
    <x v="2"/>
    <n v="0"/>
    <n v="1"/>
    <x v="2"/>
    <d v="2014-05-24T00:00:00"/>
    <s v="11 years, 1 months"/>
    <n v="68"/>
    <n v="106"/>
    <n v="115"/>
    <n v="221"/>
    <n v="5"/>
    <n v="7"/>
    <n v="12"/>
  </r>
  <r>
    <n v="1243"/>
    <x v="1243"/>
    <n v="1947"/>
    <x v="51"/>
    <x v="2"/>
    <x v="1"/>
    <n v="66000"/>
    <x v="0"/>
    <n v="0"/>
    <n v="0"/>
    <x v="0"/>
    <d v="2014-04-20T00:00:00"/>
    <s v="11 years, 2 months"/>
    <n v="36"/>
    <n v="51"/>
    <n v="0"/>
    <n v="51"/>
    <n v="1"/>
    <n v="5"/>
    <n v="6"/>
  </r>
  <r>
    <n v="1244"/>
    <x v="1244"/>
    <n v="1978"/>
    <x v="33"/>
    <x v="1"/>
    <x v="1"/>
    <n v="27683"/>
    <x v="0"/>
    <n v="1"/>
    <n v="0"/>
    <x v="2"/>
    <d v="2012-08-04T00:00:00"/>
    <s v="12 years, 11 months"/>
    <n v="90"/>
    <n v="9"/>
    <n v="12"/>
    <n v="21"/>
    <n v="6"/>
    <n v="4"/>
    <n v="10"/>
  </r>
  <r>
    <n v="1245"/>
    <x v="1245"/>
    <n v="1971"/>
    <x v="6"/>
    <x v="0"/>
    <x v="3"/>
    <n v="1730"/>
    <x v="1"/>
    <n v="0"/>
    <n v="0"/>
    <x v="0"/>
    <d v="2014-05-18T00:00:00"/>
    <s v="11 years, 1 months"/>
    <n v="65"/>
    <n v="1"/>
    <n v="1"/>
    <n v="2"/>
    <n v="0"/>
    <n v="0"/>
    <n v="0"/>
  </r>
  <r>
    <n v="1246"/>
    <x v="1246"/>
    <n v="1992"/>
    <x v="47"/>
    <x v="3"/>
    <x v="0"/>
    <n v="7500"/>
    <x v="1"/>
    <n v="1"/>
    <n v="0"/>
    <x v="2"/>
    <d v="2012-12-03T00:00:00"/>
    <s v="12 years, 7 months"/>
    <n v="63"/>
    <n v="17"/>
    <n v="26"/>
    <n v="43"/>
    <n v="3"/>
    <n v="2"/>
    <n v="5"/>
  </r>
  <r>
    <n v="1247"/>
    <x v="1247"/>
    <n v="1968"/>
    <x v="30"/>
    <x v="0"/>
    <x v="1"/>
    <n v="40521"/>
    <x v="0"/>
    <n v="1"/>
    <n v="1"/>
    <x v="1"/>
    <d v="2013-04-05T00:00:00"/>
    <s v="12 years, 3 months"/>
    <n v="82"/>
    <n v="0"/>
    <n v="0"/>
    <n v="0"/>
    <n v="0"/>
    <n v="2"/>
    <n v="2"/>
  </r>
  <r>
    <n v="1248"/>
    <x v="1248"/>
    <n v="1973"/>
    <x v="26"/>
    <x v="1"/>
    <x v="1"/>
    <n v="20427"/>
    <x v="1"/>
    <n v="1"/>
    <n v="0"/>
    <x v="2"/>
    <d v="2014-03-24T00:00:00"/>
    <s v="11 years, 3 months"/>
    <n v="63"/>
    <n v="0"/>
    <n v="0"/>
    <n v="0"/>
    <n v="1"/>
    <n v="2"/>
    <n v="3"/>
  </r>
  <r>
    <n v="1249"/>
    <x v="1249"/>
    <n v="1975"/>
    <x v="28"/>
    <x v="0"/>
    <x v="2"/>
    <n v="65106"/>
    <x v="0"/>
    <n v="0"/>
    <n v="1"/>
    <x v="2"/>
    <d v="2014-05-24T00:00:00"/>
    <s v="11 years, 1 months"/>
    <n v="55"/>
    <n v="19"/>
    <n v="0"/>
    <n v="19"/>
    <n v="8"/>
    <n v="13"/>
    <n v="21"/>
  </r>
  <r>
    <n v="1250"/>
    <x v="1250"/>
    <n v="1965"/>
    <x v="2"/>
    <x v="1"/>
    <x v="2"/>
    <n v="69969"/>
    <x v="0"/>
    <n v="0"/>
    <n v="0"/>
    <x v="0"/>
    <d v="2013-08-27T00:00:00"/>
    <s v="11 years, 10 months"/>
    <n v="64"/>
    <n v="29"/>
    <n v="29"/>
    <n v="58"/>
    <n v="4"/>
    <n v="6"/>
    <n v="10"/>
  </r>
  <r>
    <n v="1251"/>
    <x v="1251"/>
    <n v="1952"/>
    <x v="13"/>
    <x v="0"/>
    <x v="2"/>
    <n v="67433"/>
    <x v="0"/>
    <n v="0"/>
    <n v="2"/>
    <x v="1"/>
    <d v="2013-07-16T00:00:00"/>
    <s v="11 years, 11 months"/>
    <n v="51"/>
    <n v="28"/>
    <n v="48"/>
    <n v="76"/>
    <n v="6"/>
    <n v="13"/>
    <n v="19"/>
  </r>
  <r>
    <n v="1252"/>
    <x v="1252"/>
    <n v="1967"/>
    <x v="5"/>
    <x v="1"/>
    <x v="2"/>
    <n v="77766"/>
    <x v="2"/>
    <n v="0"/>
    <n v="1"/>
    <x v="2"/>
    <d v="2013-02-22T00:00:00"/>
    <s v="12 years, 4 months"/>
    <n v="97"/>
    <n v="59"/>
    <n v="59"/>
    <n v="118"/>
    <n v="11"/>
    <n v="11"/>
    <n v="22"/>
  </r>
  <r>
    <n v="1253"/>
    <x v="1253"/>
    <n v="1972"/>
    <x v="39"/>
    <x v="0"/>
    <x v="2"/>
    <n v="74716"/>
    <x v="0"/>
    <n v="0"/>
    <n v="1"/>
    <x v="2"/>
    <d v="2013-09-12T00:00:00"/>
    <s v="11 years, 9 months"/>
    <n v="92"/>
    <n v="27"/>
    <n v="195"/>
    <n v="222"/>
    <n v="7"/>
    <n v="5"/>
    <n v="12"/>
  </r>
  <r>
    <n v="1254"/>
    <x v="1254"/>
    <n v="1963"/>
    <x v="24"/>
    <x v="0"/>
    <x v="3"/>
    <n v="68118"/>
    <x v="0"/>
    <n v="0"/>
    <n v="1"/>
    <x v="2"/>
    <d v="2013-10-18T00:00:00"/>
    <s v="11 years, 8 months"/>
    <n v="51"/>
    <n v="23"/>
    <n v="23"/>
    <n v="46"/>
    <n v="8"/>
    <n v="4"/>
    <n v="12"/>
  </r>
  <r>
    <n v="1255"/>
    <x v="1255"/>
    <n v="1970"/>
    <x v="25"/>
    <x v="1"/>
    <x v="2"/>
    <n v="55158"/>
    <x v="0"/>
    <n v="1"/>
    <n v="1"/>
    <x v="1"/>
    <d v="2012-07-30T00:00:00"/>
    <s v="12 years, 11 months"/>
    <n v="72"/>
    <n v="0"/>
    <n v="11"/>
    <n v="11"/>
    <n v="7"/>
    <n v="5"/>
    <n v="12"/>
  </r>
  <r>
    <n v="1256"/>
    <x v="1256"/>
    <n v="1955"/>
    <x v="34"/>
    <x v="4"/>
    <x v="2"/>
    <n v="62972"/>
    <x v="0"/>
    <n v="0"/>
    <n v="1"/>
    <x v="2"/>
    <d v="2012-08-03T00:00:00"/>
    <s v="12 years, 11 months"/>
    <n v="39"/>
    <n v="15"/>
    <n v="0"/>
    <n v="15"/>
    <n v="7"/>
    <n v="3"/>
    <n v="10"/>
  </r>
  <r>
    <n v="1257"/>
    <x v="1257"/>
    <n v="1975"/>
    <x v="28"/>
    <x v="0"/>
    <x v="2"/>
    <n v="74190"/>
    <x v="0"/>
    <n v="0"/>
    <n v="1"/>
    <x v="2"/>
    <d v="2014-05-12T00:00:00"/>
    <s v="11 years, 1 months"/>
    <n v="49"/>
    <n v="81"/>
    <n v="91"/>
    <n v="172"/>
    <n v="4"/>
    <n v="11"/>
    <n v="15"/>
  </r>
  <r>
    <n v="1258"/>
    <x v="1258"/>
    <n v="1976"/>
    <x v="11"/>
    <x v="0"/>
    <x v="2"/>
    <n v="39356"/>
    <x v="0"/>
    <n v="1"/>
    <n v="1"/>
    <x v="1"/>
    <d v="2014-03-19T00:00:00"/>
    <s v="11 years, 3 months"/>
    <n v="21"/>
    <n v="0"/>
    <n v="0"/>
    <n v="0"/>
    <n v="1"/>
    <n v="2"/>
    <n v="3"/>
  </r>
  <r>
    <n v="1259"/>
    <x v="1259"/>
    <n v="1969"/>
    <x v="21"/>
    <x v="0"/>
    <x v="1"/>
    <n v="76653"/>
    <x v="2"/>
    <n v="0"/>
    <n v="0"/>
    <x v="0"/>
    <d v="2013-08-16T00:00:00"/>
    <s v="11 years, 10 months"/>
    <n v="91"/>
    <n v="63"/>
    <n v="189"/>
    <n v="252"/>
    <n v="4"/>
    <n v="11"/>
    <n v="15"/>
  </r>
  <r>
    <n v="1260"/>
    <x v="1260"/>
    <n v="1973"/>
    <x v="26"/>
    <x v="1"/>
    <x v="3"/>
    <n v="35860"/>
    <x v="0"/>
    <n v="1"/>
    <n v="1"/>
    <x v="1"/>
    <d v="2014-05-19T00:00:00"/>
    <s v="11 years, 1 months"/>
    <n v="37"/>
    <n v="0"/>
    <n v="2"/>
    <n v="2"/>
    <n v="1"/>
    <n v="2"/>
    <n v="3"/>
  </r>
  <r>
    <n v="1261"/>
    <x v="1261"/>
    <n v="1983"/>
    <x v="10"/>
    <x v="1"/>
    <x v="3"/>
    <n v="90687"/>
    <x v="2"/>
    <n v="0"/>
    <n v="0"/>
    <x v="0"/>
    <d v="2013-05-22T00:00:00"/>
    <s v="12 years, 1 months"/>
    <n v="98"/>
    <n v="17"/>
    <n v="34"/>
    <n v="51"/>
    <n v="6"/>
    <n v="8"/>
    <n v="14"/>
  </r>
  <r>
    <n v="1262"/>
    <x v="1262"/>
    <n v="1982"/>
    <x v="18"/>
    <x v="2"/>
    <x v="1"/>
    <n v="73450"/>
    <x v="0"/>
    <n v="0"/>
    <n v="0"/>
    <x v="0"/>
    <d v="2013-12-05T00:00:00"/>
    <s v="11 years, 7 months"/>
    <n v="85"/>
    <n v="51"/>
    <n v="69"/>
    <n v="120"/>
    <n v="7"/>
    <n v="11"/>
    <n v="18"/>
  </r>
  <r>
    <n v="1263"/>
    <x v="1263"/>
    <n v="1960"/>
    <x v="40"/>
    <x v="0"/>
    <x v="2"/>
    <n v="31454"/>
    <x v="0"/>
    <n v="1"/>
    <n v="1"/>
    <x v="1"/>
    <d v="2013-07-06T00:00:00"/>
    <s v="12 years, 0 months"/>
    <n v="40"/>
    <n v="0"/>
    <n v="0"/>
    <n v="0"/>
    <n v="2"/>
    <n v="3"/>
    <n v="5"/>
  </r>
  <r>
    <n v="1264"/>
    <x v="1264"/>
    <n v="1952"/>
    <x v="13"/>
    <x v="0"/>
    <x v="0"/>
    <n v="47139"/>
    <x v="0"/>
    <n v="1"/>
    <n v="1"/>
    <x v="1"/>
    <d v="2014-03-06T00:00:00"/>
    <s v="11 years, 4 months"/>
    <n v="2"/>
    <n v="0"/>
    <n v="2"/>
    <n v="2"/>
    <n v="2"/>
    <n v="2"/>
    <n v="4"/>
  </r>
  <r>
    <n v="1265"/>
    <x v="1265"/>
    <n v="1975"/>
    <x v="28"/>
    <x v="0"/>
    <x v="3"/>
    <n v="83829"/>
    <x v="2"/>
    <n v="0"/>
    <n v="0"/>
    <x v="0"/>
    <d v="2013-10-08T00:00:00"/>
    <s v="11 years, 8 months"/>
    <n v="78"/>
    <n v="161"/>
    <n v="161"/>
    <n v="322"/>
    <n v="4"/>
    <n v="6"/>
    <n v="10"/>
  </r>
  <r>
    <n v="1266"/>
    <x v="1266"/>
    <n v="1963"/>
    <x v="24"/>
    <x v="1"/>
    <x v="2"/>
    <n v="53378"/>
    <x v="0"/>
    <n v="1"/>
    <n v="1"/>
    <x v="1"/>
    <d v="2012-09-24T00:00:00"/>
    <s v="12 years, 9 months"/>
    <n v="41"/>
    <n v="6"/>
    <n v="6"/>
    <n v="12"/>
    <n v="9"/>
    <n v="6"/>
    <n v="15"/>
  </r>
  <r>
    <n v="1267"/>
    <x v="1267"/>
    <n v="1970"/>
    <x v="25"/>
    <x v="0"/>
    <x v="1"/>
    <n v="19656"/>
    <x v="1"/>
    <n v="1"/>
    <n v="0"/>
    <x v="2"/>
    <d v="2013-02-08T00:00:00"/>
    <s v="12 years, 4 months"/>
    <n v="94"/>
    <n v="4"/>
    <n v="8"/>
    <n v="12"/>
    <n v="2"/>
    <n v="3"/>
    <n v="5"/>
  </r>
  <r>
    <n v="1268"/>
    <x v="1268"/>
    <n v="1948"/>
    <x v="37"/>
    <x v="1"/>
    <x v="2"/>
    <n v="45579"/>
    <x v="0"/>
    <n v="0"/>
    <n v="1"/>
    <x v="2"/>
    <d v="2013-08-20T00:00:00"/>
    <s v="11 years, 10 months"/>
    <n v="10"/>
    <n v="1"/>
    <n v="1"/>
    <n v="2"/>
    <n v="4"/>
    <n v="4"/>
    <n v="8"/>
  </r>
  <r>
    <n v="1269"/>
    <x v="1269"/>
    <n v="1958"/>
    <x v="38"/>
    <x v="4"/>
    <x v="0"/>
    <n v="85485"/>
    <x v="2"/>
    <n v="0"/>
    <n v="0"/>
    <x v="0"/>
    <d v="2014-06-21T00:00:00"/>
    <s v="11 years, 0 months"/>
    <n v="73"/>
    <n v="26"/>
    <n v="18"/>
    <n v="44"/>
    <n v="6"/>
    <n v="6"/>
    <n v="12"/>
  </r>
  <r>
    <n v="1270"/>
    <x v="1270"/>
    <n v="1944"/>
    <x v="56"/>
    <x v="0"/>
    <x v="2"/>
    <n v="55956"/>
    <x v="0"/>
    <n v="0"/>
    <n v="0"/>
    <x v="0"/>
    <d v="2014-04-07T00:00:00"/>
    <s v="11 years, 2 months"/>
    <n v="22"/>
    <n v="38"/>
    <n v="9"/>
    <n v="47"/>
    <n v="7"/>
    <n v="4"/>
    <n v="11"/>
  </r>
  <r>
    <n v="1271"/>
    <x v="1271"/>
    <n v="1963"/>
    <x v="24"/>
    <x v="2"/>
    <x v="0"/>
    <n v="64191"/>
    <x v="0"/>
    <n v="0"/>
    <n v="1"/>
    <x v="2"/>
    <d v="2013-01-22T00:00:00"/>
    <s v="12 years, 5 months"/>
    <n v="30"/>
    <n v="15"/>
    <n v="38"/>
    <n v="53"/>
    <n v="5"/>
    <n v="13"/>
    <n v="18"/>
  </r>
  <r>
    <n v="1272"/>
    <x v="1272"/>
    <n v="1972"/>
    <x v="39"/>
    <x v="0"/>
    <x v="0"/>
    <n v="38808"/>
    <x v="0"/>
    <n v="1"/>
    <n v="0"/>
    <x v="2"/>
    <d v="2012-08-26T00:00:00"/>
    <s v="12 years, 10 months"/>
    <n v="21"/>
    <n v="17"/>
    <n v="19"/>
    <n v="36"/>
    <n v="5"/>
    <n v="4"/>
    <n v="9"/>
  </r>
  <r>
    <n v="1273"/>
    <x v="1273"/>
    <n v="1966"/>
    <x v="35"/>
    <x v="2"/>
    <x v="2"/>
    <n v="57183"/>
    <x v="0"/>
    <n v="1"/>
    <n v="1"/>
    <x v="1"/>
    <d v="2013-03-19T00:00:00"/>
    <s v="12 years, 3 months"/>
    <n v="51"/>
    <n v="5"/>
    <n v="0"/>
    <n v="5"/>
    <n v="9"/>
    <n v="7"/>
    <n v="16"/>
  </r>
  <r>
    <n v="1274"/>
    <x v="1274"/>
    <n v="1968"/>
    <x v="30"/>
    <x v="2"/>
    <x v="3"/>
    <n v="23748"/>
    <x v="1"/>
    <n v="1"/>
    <n v="0"/>
    <x v="2"/>
    <d v="2012-11-21T00:00:00"/>
    <s v="12 years, 7 months"/>
    <n v="97"/>
    <n v="6"/>
    <n v="15"/>
    <n v="21"/>
    <n v="2"/>
    <n v="3"/>
    <n v="5"/>
  </r>
  <r>
    <n v="1275"/>
    <x v="1275"/>
    <n v="1971"/>
    <x v="6"/>
    <x v="0"/>
    <x v="2"/>
    <n v="66303"/>
    <x v="0"/>
    <n v="0"/>
    <n v="1"/>
    <x v="2"/>
    <d v="2013-02-26T00:00:00"/>
    <s v="12 years, 4 months"/>
    <n v="56"/>
    <n v="12"/>
    <n v="12"/>
    <n v="24"/>
    <n v="3"/>
    <n v="11"/>
    <n v="14"/>
  </r>
  <r>
    <n v="1276"/>
    <x v="1276"/>
    <n v="1975"/>
    <x v="28"/>
    <x v="2"/>
    <x v="2"/>
    <n v="37368"/>
    <x v="0"/>
    <n v="1"/>
    <n v="0"/>
    <x v="2"/>
    <d v="2013-12-16T00:00:00"/>
    <s v="11 years, 6 months"/>
    <n v="4"/>
    <n v="2"/>
    <n v="2"/>
    <n v="4"/>
    <n v="1"/>
    <n v="2"/>
    <n v="3"/>
  </r>
  <r>
    <n v="1277"/>
    <x v="1277"/>
    <n v="1964"/>
    <x v="31"/>
    <x v="0"/>
    <x v="2"/>
    <n v="40800"/>
    <x v="0"/>
    <n v="1"/>
    <n v="2"/>
    <x v="3"/>
    <d v="2013-01-01T00:00:00"/>
    <s v="12 years, 6 months"/>
    <n v="77"/>
    <n v="0"/>
    <n v="30"/>
    <n v="30"/>
    <n v="3"/>
    <n v="3"/>
    <n v="6"/>
  </r>
  <r>
    <n v="1278"/>
    <x v="1278"/>
    <n v="1978"/>
    <x v="33"/>
    <x v="0"/>
    <x v="3"/>
    <n v="71847"/>
    <x v="0"/>
    <n v="0"/>
    <n v="0"/>
    <x v="0"/>
    <d v="2012-09-21T00:00:00"/>
    <s v="12 years, 9 months"/>
    <n v="95"/>
    <n v="21"/>
    <n v="63"/>
    <n v="84"/>
    <n v="6"/>
    <n v="9"/>
    <n v="15"/>
  </r>
  <r>
    <n v="1279"/>
    <x v="1279"/>
    <n v="1975"/>
    <x v="28"/>
    <x v="0"/>
    <x v="2"/>
    <n v="46149"/>
    <x v="0"/>
    <n v="0"/>
    <n v="1"/>
    <x v="2"/>
    <d v="2013-11-29T00:00:00"/>
    <s v="11 years, 7 months"/>
    <n v="36"/>
    <n v="6"/>
    <n v="0"/>
    <n v="6"/>
    <n v="5"/>
    <n v="7"/>
    <n v="12"/>
  </r>
  <r>
    <n v="1280"/>
    <x v="1280"/>
    <n v="1983"/>
    <x v="10"/>
    <x v="0"/>
    <x v="1"/>
    <n v="78687"/>
    <x v="2"/>
    <n v="0"/>
    <n v="0"/>
    <x v="0"/>
    <d v="2012-08-09T00:00:00"/>
    <s v="12 years, 10 months"/>
    <n v="13"/>
    <n v="185"/>
    <n v="55"/>
    <n v="240"/>
    <n v="4"/>
    <n v="8"/>
    <n v="12"/>
  </r>
  <r>
    <n v="1281"/>
    <x v="1281"/>
    <n v="1971"/>
    <x v="6"/>
    <x v="4"/>
    <x v="3"/>
    <n v="49118"/>
    <x v="0"/>
    <n v="0"/>
    <n v="0"/>
    <x v="0"/>
    <d v="2012-08-18T00:00:00"/>
    <s v="12 years, 10 months"/>
    <n v="90"/>
    <n v="54"/>
    <n v="98"/>
    <n v="152"/>
    <n v="9"/>
    <n v="10"/>
    <n v="19"/>
  </r>
  <r>
    <n v="1282"/>
    <x v="1282"/>
    <n v="1957"/>
    <x v="0"/>
    <x v="1"/>
    <x v="2"/>
    <n v="37633"/>
    <x v="0"/>
    <n v="1"/>
    <n v="1"/>
    <x v="1"/>
    <d v="2012-09-20T00:00:00"/>
    <s v="12 years, 9 months"/>
    <n v="49"/>
    <n v="4"/>
    <n v="0"/>
    <n v="4"/>
    <n v="1"/>
    <n v="3"/>
    <n v="4"/>
  </r>
  <r>
    <n v="1283"/>
    <x v="1283"/>
    <n v="1951"/>
    <x v="20"/>
    <x v="2"/>
    <x v="1"/>
    <n v="39767"/>
    <x v="0"/>
    <n v="0"/>
    <n v="0"/>
    <x v="0"/>
    <d v="2013-07-21T00:00:00"/>
    <s v="11 years, 11 months"/>
    <n v="18"/>
    <n v="61"/>
    <n v="26"/>
    <n v="87"/>
    <n v="7"/>
    <n v="7"/>
    <n v="14"/>
  </r>
  <r>
    <n v="1284"/>
    <x v="1284"/>
    <n v="1951"/>
    <x v="20"/>
    <x v="3"/>
    <x v="2"/>
    <n v="26997"/>
    <x v="0"/>
    <n v="0"/>
    <n v="0"/>
    <x v="0"/>
    <d v="2012-11-05T00:00:00"/>
    <s v="12 years, 8 months"/>
    <n v="89"/>
    <n v="23"/>
    <n v="49"/>
    <n v="72"/>
    <n v="4"/>
    <n v="5"/>
    <n v="9"/>
  </r>
  <r>
    <n v="1285"/>
    <x v="1285"/>
    <n v="1970"/>
    <x v="25"/>
    <x v="0"/>
    <x v="3"/>
    <n v="33986"/>
    <x v="0"/>
    <n v="1"/>
    <n v="0"/>
    <x v="2"/>
    <d v="2013-03-14T00:00:00"/>
    <s v="12 years, 3 months"/>
    <n v="43"/>
    <n v="2"/>
    <n v="1"/>
    <n v="3"/>
    <n v="1"/>
    <n v="3"/>
    <n v="4"/>
  </r>
  <r>
    <n v="1286"/>
    <x v="1286"/>
    <n v="1972"/>
    <x v="39"/>
    <x v="1"/>
    <x v="2"/>
    <n v="57091"/>
    <x v="0"/>
    <n v="0"/>
    <n v="1"/>
    <x v="2"/>
    <d v="2012-11-23T00:00:00"/>
    <s v="12 years, 7 months"/>
    <n v="82"/>
    <n v="0"/>
    <n v="0"/>
    <n v="0"/>
    <n v="9"/>
    <n v="5"/>
    <n v="14"/>
  </r>
  <r>
    <n v="1287"/>
    <x v="1287"/>
    <n v="1969"/>
    <x v="21"/>
    <x v="4"/>
    <x v="2"/>
    <n v="46831"/>
    <x v="0"/>
    <n v="1"/>
    <n v="1"/>
    <x v="1"/>
    <d v="2013-06-08T00:00:00"/>
    <s v="12 years, 0 months"/>
    <n v="84"/>
    <n v="2"/>
    <n v="4"/>
    <n v="6"/>
    <n v="1"/>
    <n v="2"/>
    <n v="3"/>
  </r>
  <r>
    <n v="1288"/>
    <x v="1288"/>
    <n v="1972"/>
    <x v="39"/>
    <x v="2"/>
    <x v="2"/>
    <n v="83151"/>
    <x v="2"/>
    <n v="0"/>
    <n v="0"/>
    <x v="0"/>
    <d v="2013-02-10T00:00:00"/>
    <s v="12 years, 4 months"/>
    <n v="80"/>
    <n v="147"/>
    <n v="42"/>
    <n v="189"/>
    <n v="5"/>
    <n v="10"/>
    <n v="15"/>
  </r>
  <r>
    <n v="1289"/>
    <x v="1289"/>
    <n v="1971"/>
    <x v="6"/>
    <x v="0"/>
    <x v="2"/>
    <n v="52531"/>
    <x v="0"/>
    <n v="0"/>
    <n v="0"/>
    <x v="0"/>
    <d v="2012-12-30T00:00:00"/>
    <s v="12 years, 6 months"/>
    <n v="68"/>
    <n v="112"/>
    <n v="72"/>
    <n v="184"/>
    <n v="7"/>
    <n v="10"/>
    <n v="17"/>
  </r>
  <r>
    <n v="1290"/>
    <x v="1290"/>
    <n v="1956"/>
    <x v="46"/>
    <x v="0"/>
    <x v="2"/>
    <n v="15759"/>
    <x v="1"/>
    <n v="0"/>
    <n v="0"/>
    <x v="0"/>
    <d v="2013-09-05T00:00:00"/>
    <s v="11 years, 10 months"/>
    <n v="12"/>
    <n v="2"/>
    <n v="0"/>
    <n v="2"/>
    <n v="1"/>
    <n v="2"/>
    <n v="3"/>
  </r>
  <r>
    <n v="1291"/>
    <x v="1291"/>
    <n v="1971"/>
    <x v="6"/>
    <x v="0"/>
    <x v="0"/>
    <n v="22804"/>
    <x v="1"/>
    <n v="1"/>
    <n v="0"/>
    <x v="2"/>
    <d v="2013-07-31T00:00:00"/>
    <s v="11 years, 11 months"/>
    <n v="75"/>
    <n v="1"/>
    <n v="1"/>
    <n v="2"/>
    <n v="2"/>
    <n v="2"/>
    <n v="4"/>
  </r>
  <r>
    <n v="1292"/>
    <x v="1292"/>
    <n v="1973"/>
    <x v="26"/>
    <x v="4"/>
    <x v="2"/>
    <n v="43050"/>
    <x v="0"/>
    <n v="1"/>
    <n v="0"/>
    <x v="2"/>
    <d v="2014-03-18T00:00:00"/>
    <s v="11 years, 3 months"/>
    <n v="10"/>
    <n v="5"/>
    <n v="3"/>
    <n v="8"/>
    <n v="2"/>
    <n v="4"/>
    <n v="6"/>
  </r>
  <r>
    <n v="1293"/>
    <x v="1293"/>
    <n v="1977"/>
    <x v="32"/>
    <x v="1"/>
    <x v="0"/>
    <n v="42997"/>
    <x v="0"/>
    <n v="1"/>
    <n v="1"/>
    <x v="1"/>
    <d v="2013-12-07T00:00:00"/>
    <s v="11 years, 6 months"/>
    <n v="91"/>
    <n v="0"/>
    <n v="1"/>
    <n v="1"/>
    <n v="1"/>
    <n v="2"/>
    <n v="3"/>
  </r>
  <r>
    <n v="1294"/>
    <x v="1294"/>
    <n v="1963"/>
    <x v="24"/>
    <x v="1"/>
    <x v="0"/>
    <n v="48918"/>
    <x v="0"/>
    <n v="1"/>
    <n v="1"/>
    <x v="1"/>
    <d v="2014-04-12T00:00:00"/>
    <s v="11 years, 2 months"/>
    <n v="21"/>
    <n v="0"/>
    <n v="0"/>
    <n v="0"/>
    <n v="1"/>
    <n v="4"/>
    <n v="5"/>
  </r>
  <r>
    <n v="1295"/>
    <x v="1295"/>
    <n v="1954"/>
    <x v="1"/>
    <x v="2"/>
    <x v="1"/>
    <n v="60033"/>
    <x v="0"/>
    <n v="0"/>
    <n v="1"/>
    <x v="2"/>
    <d v="2014-03-29T00:00:00"/>
    <s v="11 years, 3 months"/>
    <n v="28"/>
    <n v="1"/>
    <n v="11"/>
    <n v="12"/>
    <n v="2"/>
    <n v="5"/>
    <n v="7"/>
  </r>
  <r>
    <n v="1296"/>
    <x v="1296"/>
    <n v="1978"/>
    <x v="33"/>
    <x v="1"/>
    <x v="1"/>
    <n v="34043"/>
    <x v="0"/>
    <n v="1"/>
    <n v="0"/>
    <x v="2"/>
    <d v="2013-10-25T00:00:00"/>
    <s v="11 years, 8 months"/>
    <n v="97"/>
    <n v="2"/>
    <n v="0"/>
    <n v="2"/>
    <n v="2"/>
    <n v="2"/>
    <n v="4"/>
  </r>
  <r>
    <n v="1297"/>
    <x v="1297"/>
    <n v="1966"/>
    <x v="35"/>
    <x v="0"/>
    <x v="1"/>
    <n v="57811"/>
    <x v="0"/>
    <n v="0"/>
    <n v="1"/>
    <x v="2"/>
    <d v="2013-06-24T00:00:00"/>
    <s v="12 years, 0 months"/>
    <n v="49"/>
    <n v="7"/>
    <n v="21"/>
    <n v="28"/>
    <n v="7"/>
    <n v="11"/>
    <n v="18"/>
  </r>
  <r>
    <n v="1298"/>
    <x v="1298"/>
    <n v="1946"/>
    <x v="15"/>
    <x v="0"/>
    <x v="2"/>
    <n v="78569"/>
    <x v="2"/>
    <n v="0"/>
    <n v="0"/>
    <x v="0"/>
    <d v="2014-02-19T00:00:00"/>
    <s v="11 years, 4 months"/>
    <n v="14"/>
    <n v="79"/>
    <n v="175"/>
    <n v="254"/>
    <n v="4"/>
    <n v="4"/>
    <n v="8"/>
  </r>
  <r>
    <n v="1299"/>
    <x v="1299"/>
    <n v="1978"/>
    <x v="33"/>
    <x v="0"/>
    <x v="0"/>
    <n v="7500"/>
    <x v="1"/>
    <n v="1"/>
    <n v="1"/>
    <x v="1"/>
    <d v="2012-12-27T00:00:00"/>
    <s v="12 years, 6 months"/>
    <n v="5"/>
    <n v="5"/>
    <n v="4"/>
    <n v="9"/>
    <n v="2"/>
    <n v="3"/>
    <n v="5"/>
  </r>
  <r>
    <n v="1300"/>
    <x v="1300"/>
    <n v="1971"/>
    <x v="6"/>
    <x v="2"/>
    <x v="1"/>
    <n v="157733"/>
    <x v="3"/>
    <n v="1"/>
    <n v="0"/>
    <x v="2"/>
    <d v="2013-06-04T00:00:00"/>
    <s v="12 years, 1 months"/>
    <n v="37"/>
    <n v="1"/>
    <n v="0"/>
    <n v="1"/>
    <n v="1"/>
    <n v="1"/>
    <n v="2"/>
  </r>
  <r>
    <n v="1301"/>
    <x v="1301"/>
    <n v="1953"/>
    <x v="44"/>
    <x v="0"/>
    <x v="1"/>
    <n v="94384"/>
    <x v="2"/>
    <n v="0"/>
    <n v="0"/>
    <x v="0"/>
    <d v="2013-03-04T00:00:00"/>
    <s v="12 years, 4 months"/>
    <n v="62"/>
    <n v="24"/>
    <n v="45"/>
    <n v="69"/>
    <n v="5"/>
    <n v="5"/>
    <n v="10"/>
  </r>
  <r>
    <n v="1302"/>
    <x v="1302"/>
    <n v="1985"/>
    <x v="7"/>
    <x v="4"/>
    <x v="2"/>
    <n v="23148"/>
    <x v="1"/>
    <n v="0"/>
    <n v="0"/>
    <x v="0"/>
    <d v="2014-02-18T00:00:00"/>
    <s v="11 years, 4 months"/>
    <n v="83"/>
    <n v="6"/>
    <n v="3"/>
    <n v="9"/>
    <n v="2"/>
    <n v="3"/>
    <n v="5"/>
  </r>
  <r>
    <n v="1303"/>
    <x v="1303"/>
    <n v="1970"/>
    <x v="25"/>
    <x v="0"/>
    <x v="3"/>
    <n v="44267"/>
    <x v="0"/>
    <n v="1"/>
    <n v="1"/>
    <x v="1"/>
    <d v="2013-02-25T00:00:00"/>
    <s v="12 years, 4 months"/>
    <n v="48"/>
    <n v="5"/>
    <n v="5"/>
    <n v="10"/>
    <n v="5"/>
    <n v="4"/>
    <n v="9"/>
  </r>
  <r>
    <n v="1304"/>
    <x v="1304"/>
    <n v="1979"/>
    <x v="19"/>
    <x v="0"/>
    <x v="2"/>
    <n v="71626"/>
    <x v="0"/>
    <n v="0"/>
    <n v="0"/>
    <x v="0"/>
    <d v="2012-11-01T00:00:00"/>
    <s v="12 years, 8 months"/>
    <n v="94"/>
    <n v="72"/>
    <n v="145"/>
    <n v="217"/>
    <n v="5"/>
    <n v="8"/>
    <n v="13"/>
  </r>
  <r>
    <n v="1305"/>
    <x v="1305"/>
    <n v="1966"/>
    <x v="35"/>
    <x v="0"/>
    <x v="1"/>
    <n v="60894"/>
    <x v="0"/>
    <n v="0"/>
    <n v="1"/>
    <x v="2"/>
    <d v="2013-06-28T00:00:00"/>
    <s v="12 years, 0 months"/>
    <n v="61"/>
    <n v="7"/>
    <n v="0"/>
    <n v="7"/>
    <n v="10"/>
    <n v="8"/>
    <n v="18"/>
  </r>
  <r>
    <n v="1306"/>
    <x v="1306"/>
    <n v="1976"/>
    <x v="11"/>
    <x v="0"/>
    <x v="1"/>
    <n v="50200"/>
    <x v="0"/>
    <n v="1"/>
    <n v="1"/>
    <x v="1"/>
    <d v="2013-04-03T00:00:00"/>
    <s v="12 years, 3 months"/>
    <n v="70"/>
    <n v="6"/>
    <n v="6"/>
    <n v="12"/>
    <n v="7"/>
    <n v="5"/>
    <n v="12"/>
  </r>
  <r>
    <n v="1307"/>
    <x v="1307"/>
    <n v="1965"/>
    <x v="2"/>
    <x v="1"/>
    <x v="2"/>
    <n v="81051"/>
    <x v="2"/>
    <n v="0"/>
    <n v="0"/>
    <x v="0"/>
    <d v="2014-05-23T00:00:00"/>
    <s v="11 years, 1 months"/>
    <n v="43"/>
    <n v="29"/>
    <n v="29"/>
    <n v="58"/>
    <n v="5"/>
    <n v="12"/>
    <n v="17"/>
  </r>
  <r>
    <n v="1308"/>
    <x v="1308"/>
    <n v="1982"/>
    <x v="18"/>
    <x v="0"/>
    <x v="2"/>
    <n v="65169"/>
    <x v="0"/>
    <n v="0"/>
    <n v="0"/>
    <x v="0"/>
    <d v="2014-01-14T00:00:00"/>
    <s v="11 years, 5 months"/>
    <n v="23"/>
    <n v="0"/>
    <n v="0"/>
    <n v="0"/>
    <n v="10"/>
    <n v="13"/>
    <n v="23"/>
  </r>
  <r>
    <n v="1309"/>
    <x v="1309"/>
    <n v="1972"/>
    <x v="39"/>
    <x v="0"/>
    <x v="1"/>
    <n v="59868"/>
    <x v="0"/>
    <n v="0"/>
    <n v="1"/>
    <x v="2"/>
    <d v="2013-07-22T00:00:00"/>
    <s v="11 years, 11 months"/>
    <n v="37"/>
    <n v="51"/>
    <n v="10"/>
    <n v="61"/>
    <n v="11"/>
    <n v="12"/>
    <n v="23"/>
  </r>
  <r>
    <n v="1310"/>
    <x v="1310"/>
    <n v="1960"/>
    <x v="40"/>
    <x v="1"/>
    <x v="2"/>
    <n v="65695"/>
    <x v="0"/>
    <n v="0"/>
    <n v="1"/>
    <x v="2"/>
    <d v="2014-01-31T00:00:00"/>
    <s v="11 years, 5 months"/>
    <n v="50"/>
    <n v="32"/>
    <n v="58"/>
    <n v="90"/>
    <n v="5"/>
    <n v="10"/>
    <n v="15"/>
  </r>
  <r>
    <n v="1311"/>
    <x v="1311"/>
    <n v="1956"/>
    <x v="46"/>
    <x v="2"/>
    <x v="0"/>
    <n v="64857"/>
    <x v="0"/>
    <n v="0"/>
    <n v="0"/>
    <x v="0"/>
    <d v="2012-11-23T00:00:00"/>
    <s v="12 years, 7 months"/>
    <n v="78"/>
    <n v="14"/>
    <n v="0"/>
    <n v="14"/>
    <n v="7"/>
    <n v="10"/>
    <n v="17"/>
  </r>
  <r>
    <n v="1312"/>
    <x v="1312"/>
    <n v="1965"/>
    <x v="2"/>
    <x v="2"/>
    <x v="1"/>
    <n v="45143"/>
    <x v="0"/>
    <n v="0"/>
    <n v="1"/>
    <x v="2"/>
    <d v="2013-08-26T00:00:00"/>
    <s v="11 years, 10 months"/>
    <n v="74"/>
    <n v="5"/>
    <n v="5"/>
    <n v="10"/>
    <n v="6"/>
    <n v="5"/>
    <n v="11"/>
  </r>
  <r>
    <n v="1313"/>
    <x v="1313"/>
    <n v="1955"/>
    <x v="34"/>
    <x v="4"/>
    <x v="1"/>
    <n v="74805"/>
    <x v="0"/>
    <n v="0"/>
    <n v="1"/>
    <x v="2"/>
    <d v="2013-11-06T00:00:00"/>
    <s v="11 years, 8 months"/>
    <n v="14"/>
    <n v="162"/>
    <n v="162"/>
    <n v="324"/>
    <n v="4"/>
    <n v="10"/>
    <n v="14"/>
  </r>
  <r>
    <n v="1314"/>
    <x v="1314"/>
    <n v="1989"/>
    <x v="23"/>
    <x v="4"/>
    <x v="2"/>
    <n v="59060"/>
    <x v="0"/>
    <n v="1"/>
    <n v="0"/>
    <x v="2"/>
    <d v="2014-01-11T00:00:00"/>
    <s v="11 years, 5 months"/>
    <n v="77"/>
    <n v="40"/>
    <n v="40"/>
    <n v="80"/>
    <n v="3"/>
    <n v="7"/>
    <n v="10"/>
  </r>
  <r>
    <n v="1315"/>
    <x v="1315"/>
    <n v="1962"/>
    <x v="43"/>
    <x v="1"/>
    <x v="0"/>
    <n v="27238"/>
    <x v="0"/>
    <n v="1"/>
    <n v="1"/>
    <x v="1"/>
    <d v="2013-04-20T00:00:00"/>
    <s v="12 years, 2 months"/>
    <n v="39"/>
    <n v="0"/>
    <n v="0"/>
    <n v="0"/>
    <n v="3"/>
    <n v="3"/>
    <n v="6"/>
  </r>
  <r>
    <n v="1316"/>
    <x v="1316"/>
    <n v="1965"/>
    <x v="2"/>
    <x v="0"/>
    <x v="1"/>
    <n v="47009"/>
    <x v="0"/>
    <n v="0"/>
    <n v="1"/>
    <x v="2"/>
    <d v="2013-10-01T00:00:00"/>
    <s v="11 years, 9 months"/>
    <n v="89"/>
    <n v="45"/>
    <n v="10"/>
    <n v="55"/>
    <n v="3"/>
    <n v="8"/>
    <n v="11"/>
  </r>
  <r>
    <n v="1317"/>
    <x v="1317"/>
    <n v="1973"/>
    <x v="26"/>
    <x v="4"/>
    <x v="2"/>
    <n v="46094"/>
    <x v="0"/>
    <n v="1"/>
    <n v="1"/>
    <x v="1"/>
    <d v="2014-06-10T00:00:00"/>
    <s v="11 years, 0 months"/>
    <n v="62"/>
    <n v="2"/>
    <n v="2"/>
    <n v="4"/>
    <n v="1"/>
    <n v="3"/>
    <n v="4"/>
  </r>
  <r>
    <n v="1318"/>
    <x v="1318"/>
    <n v="1972"/>
    <x v="39"/>
    <x v="0"/>
    <x v="2"/>
    <n v="40321"/>
    <x v="0"/>
    <n v="1"/>
    <n v="1"/>
    <x v="1"/>
    <d v="2013-07-29T00:00:00"/>
    <s v="11 years, 11 months"/>
    <n v="59"/>
    <n v="4"/>
    <n v="0"/>
    <n v="4"/>
    <n v="3"/>
    <n v="3"/>
    <n v="6"/>
  </r>
  <r>
    <n v="1319"/>
    <x v="1319"/>
    <n v="1984"/>
    <x v="3"/>
    <x v="0"/>
    <x v="1"/>
    <n v="37235"/>
    <x v="0"/>
    <n v="1"/>
    <n v="0"/>
    <x v="2"/>
    <d v="2014-02-01T00:00:00"/>
    <s v="11 years, 5 months"/>
    <n v="68"/>
    <n v="2"/>
    <n v="6"/>
    <n v="8"/>
    <n v="1"/>
    <n v="2"/>
    <n v="3"/>
  </r>
  <r>
    <n v="1320"/>
    <x v="1320"/>
    <n v="1960"/>
    <x v="40"/>
    <x v="2"/>
    <x v="2"/>
    <n v="81843"/>
    <x v="2"/>
    <n v="0"/>
    <n v="0"/>
    <x v="0"/>
    <d v="2013-04-22T00:00:00"/>
    <s v="12 years, 2 months"/>
    <n v="13"/>
    <n v="86"/>
    <n v="69"/>
    <n v="155"/>
    <n v="5"/>
    <n v="12"/>
    <n v="17"/>
  </r>
  <r>
    <n v="1321"/>
    <x v="1321"/>
    <n v="1958"/>
    <x v="38"/>
    <x v="2"/>
    <x v="1"/>
    <n v="46692"/>
    <x v="0"/>
    <n v="0"/>
    <n v="1"/>
    <x v="2"/>
    <d v="2013-06-06T00:00:00"/>
    <s v="12 years, 1 months"/>
    <n v="37"/>
    <n v="6"/>
    <n v="12"/>
    <n v="18"/>
    <n v="6"/>
    <n v="5"/>
    <n v="11"/>
  </r>
  <r>
    <n v="1322"/>
    <x v="1322"/>
    <n v="1968"/>
    <x v="30"/>
    <x v="0"/>
    <x v="1"/>
    <n v="77382"/>
    <x v="2"/>
    <n v="0"/>
    <n v="1"/>
    <x v="2"/>
    <d v="2014-01-07T00:00:00"/>
    <s v="11 years, 5 months"/>
    <n v="36"/>
    <n v="48"/>
    <n v="105"/>
    <n v="153"/>
    <n v="5"/>
    <n v="12"/>
    <n v="17"/>
  </r>
  <r>
    <n v="1323"/>
    <x v="1323"/>
    <n v="1977"/>
    <x v="32"/>
    <x v="0"/>
    <x v="0"/>
    <n v="37774"/>
    <x v="0"/>
    <n v="2"/>
    <n v="0"/>
    <x v="1"/>
    <d v="2012-09-03T00:00:00"/>
    <s v="12 years, 10 months"/>
    <n v="28"/>
    <n v="8"/>
    <n v="2"/>
    <n v="10"/>
    <n v="7"/>
    <n v="3"/>
    <n v="10"/>
  </r>
  <r>
    <n v="1324"/>
    <x v="1324"/>
    <n v="1974"/>
    <x v="8"/>
    <x v="3"/>
    <x v="2"/>
    <n v="18393"/>
    <x v="1"/>
    <n v="1"/>
    <n v="0"/>
    <x v="2"/>
    <d v="2014-03-29T00:00:00"/>
    <s v="11 years, 3 months"/>
    <n v="2"/>
    <n v="10"/>
    <n v="0"/>
    <n v="10"/>
    <n v="3"/>
    <n v="3"/>
    <n v="6"/>
  </r>
  <r>
    <n v="1325"/>
    <x v="1325"/>
    <n v="1962"/>
    <x v="43"/>
    <x v="2"/>
    <x v="2"/>
    <n v="72828"/>
    <x v="0"/>
    <n v="0"/>
    <n v="1"/>
    <x v="2"/>
    <d v="2013-02-14T00:00:00"/>
    <s v="12 years, 4 months"/>
    <n v="17"/>
    <n v="0"/>
    <n v="14"/>
    <n v="14"/>
    <n v="6"/>
    <n v="13"/>
    <n v="19"/>
  </r>
  <r>
    <n v="1326"/>
    <x v="1326"/>
    <n v="1982"/>
    <x v="18"/>
    <x v="0"/>
    <x v="2"/>
    <n v="24711"/>
    <x v="1"/>
    <n v="0"/>
    <n v="0"/>
    <x v="0"/>
    <d v="2014-04-18T00:00:00"/>
    <s v="11 years, 2 months"/>
    <n v="86"/>
    <n v="7"/>
    <n v="3"/>
    <n v="10"/>
    <n v="3"/>
    <n v="3"/>
    <n v="6"/>
  </r>
  <r>
    <n v="1327"/>
    <x v="1327"/>
    <n v="1975"/>
    <x v="28"/>
    <x v="1"/>
    <x v="2"/>
    <n v="45503"/>
    <x v="0"/>
    <n v="1"/>
    <n v="0"/>
    <x v="2"/>
    <d v="2013-09-25T00:00:00"/>
    <s v="11 years, 9 months"/>
    <n v="54"/>
    <n v="4"/>
    <n v="1"/>
    <n v="5"/>
    <n v="3"/>
    <n v="4"/>
    <n v="7"/>
  </r>
  <r>
    <n v="1328"/>
    <x v="1328"/>
    <n v="1982"/>
    <x v="18"/>
    <x v="2"/>
    <x v="0"/>
    <n v="6560"/>
    <x v="1"/>
    <n v="0"/>
    <n v="0"/>
    <x v="0"/>
    <d v="2013-12-12T00:00:00"/>
    <s v="11 years, 6 months"/>
    <n v="2"/>
    <n v="11"/>
    <n v="3"/>
    <n v="14"/>
    <n v="1"/>
    <n v="1"/>
    <n v="2"/>
  </r>
  <r>
    <n v="1329"/>
    <x v="1329"/>
    <n v="1945"/>
    <x v="41"/>
    <x v="1"/>
    <x v="1"/>
    <n v="71604"/>
    <x v="0"/>
    <n v="0"/>
    <n v="0"/>
    <x v="0"/>
    <d v="2013-11-17T00:00:00"/>
    <s v="11 years, 7 months"/>
    <n v="3"/>
    <n v="53"/>
    <n v="75"/>
    <n v="128"/>
    <n v="8"/>
    <n v="5"/>
    <n v="13"/>
  </r>
  <r>
    <n v="1330"/>
    <x v="1330"/>
    <n v="1979"/>
    <x v="19"/>
    <x v="0"/>
    <x v="2"/>
    <n v="27244"/>
    <x v="0"/>
    <n v="1"/>
    <n v="0"/>
    <x v="2"/>
    <d v="2014-03-07T00:00:00"/>
    <s v="11 years, 3 months"/>
    <n v="84"/>
    <n v="5"/>
    <n v="24"/>
    <n v="29"/>
    <n v="2"/>
    <n v="2"/>
    <n v="4"/>
  </r>
  <r>
    <n v="1331"/>
    <x v="1331"/>
    <n v="1969"/>
    <x v="21"/>
    <x v="0"/>
    <x v="2"/>
    <n v="48752"/>
    <x v="0"/>
    <n v="1"/>
    <n v="1"/>
    <x v="1"/>
    <d v="2012-12-12T00:00:00"/>
    <s v="12 years, 6 months"/>
    <n v="8"/>
    <n v="57"/>
    <n v="15"/>
    <n v="72"/>
    <n v="6"/>
    <n v="5"/>
    <n v="11"/>
  </r>
  <r>
    <n v="1332"/>
    <x v="1332"/>
    <n v="1962"/>
    <x v="43"/>
    <x v="0"/>
    <x v="2"/>
    <n v="71434"/>
    <x v="0"/>
    <n v="0"/>
    <n v="1"/>
    <x v="2"/>
    <d v="2013-09-18T00:00:00"/>
    <s v="11 years, 9 months"/>
    <n v="4"/>
    <n v="36"/>
    <n v="96"/>
    <n v="132"/>
    <n v="7"/>
    <n v="7"/>
    <n v="14"/>
  </r>
  <r>
    <n v="1333"/>
    <x v="1333"/>
    <n v="1948"/>
    <x v="37"/>
    <x v="0"/>
    <x v="0"/>
    <n v="90842"/>
    <x v="2"/>
    <n v="0"/>
    <n v="0"/>
    <x v="0"/>
    <d v="2013-07-29T00:00:00"/>
    <s v="11 years, 11 months"/>
    <n v="57"/>
    <n v="70"/>
    <n v="187"/>
    <n v="257"/>
    <n v="4"/>
    <n v="13"/>
    <n v="17"/>
  </r>
  <r>
    <n v="1334"/>
    <x v="1334"/>
    <n v="1978"/>
    <x v="33"/>
    <x v="2"/>
    <x v="2"/>
    <n v="88097"/>
    <x v="2"/>
    <n v="1"/>
    <n v="0"/>
    <x v="2"/>
    <d v="2012-08-18T00:00:00"/>
    <s v="12 years, 10 months"/>
    <n v="24"/>
    <n v="0"/>
    <n v="126"/>
    <n v="126"/>
    <n v="6"/>
    <n v="8"/>
    <n v="14"/>
  </r>
  <r>
    <n v="1335"/>
    <x v="1335"/>
    <n v="1975"/>
    <x v="28"/>
    <x v="0"/>
    <x v="2"/>
    <n v="51948"/>
    <x v="0"/>
    <n v="0"/>
    <n v="1"/>
    <x v="2"/>
    <d v="2013-09-17T00:00:00"/>
    <s v="11 years, 9 months"/>
    <n v="51"/>
    <n v="33"/>
    <n v="30"/>
    <n v="63"/>
    <n v="5"/>
    <n v="4"/>
    <n v="9"/>
  </r>
  <r>
    <n v="1336"/>
    <x v="1336"/>
    <n v="1982"/>
    <x v="18"/>
    <x v="0"/>
    <x v="1"/>
    <n v="71853"/>
    <x v="0"/>
    <n v="0"/>
    <n v="0"/>
    <x v="0"/>
    <d v="2013-05-08T00:00:00"/>
    <s v="12 years, 1 months"/>
    <n v="29"/>
    <n v="108"/>
    <n v="97"/>
    <n v="205"/>
    <n v="2"/>
    <n v="6"/>
    <n v="8"/>
  </r>
  <r>
    <n v="1337"/>
    <x v="1337"/>
    <n v="1983"/>
    <x v="10"/>
    <x v="2"/>
    <x v="2"/>
    <n v="35876"/>
    <x v="0"/>
    <n v="0"/>
    <n v="0"/>
    <x v="0"/>
    <d v="2014-04-20T00:00:00"/>
    <s v="11 years, 2 months"/>
    <n v="13"/>
    <n v="2"/>
    <n v="3"/>
    <n v="5"/>
    <n v="3"/>
    <n v="3"/>
    <n v="6"/>
  </r>
  <r>
    <n v="1338"/>
    <x v="1338"/>
    <n v="1952"/>
    <x v="13"/>
    <x v="0"/>
    <x v="4"/>
    <n v="40049"/>
    <x v="0"/>
    <n v="0"/>
    <n v="1"/>
    <x v="2"/>
    <d v="2013-10-16T00:00:00"/>
    <s v="11 years, 8 months"/>
    <n v="23"/>
    <n v="6"/>
    <n v="3"/>
    <n v="9"/>
    <n v="1"/>
    <n v="3"/>
    <n v="4"/>
  </r>
  <r>
    <n v="1339"/>
    <x v="1339"/>
    <n v="1982"/>
    <x v="18"/>
    <x v="0"/>
    <x v="0"/>
    <n v="39660"/>
    <x v="0"/>
    <n v="1"/>
    <n v="0"/>
    <x v="2"/>
    <d v="2012-08-08T00:00:00"/>
    <s v="12 years, 10 months"/>
    <n v="36"/>
    <n v="13"/>
    <n v="13"/>
    <n v="26"/>
    <n v="7"/>
    <n v="3"/>
    <n v="10"/>
  </r>
  <r>
    <n v="1340"/>
    <x v="1340"/>
    <n v="1962"/>
    <x v="43"/>
    <x v="0"/>
    <x v="1"/>
    <n v="50127"/>
    <x v="0"/>
    <n v="0"/>
    <n v="1"/>
    <x v="2"/>
    <d v="2014-05-29T00:00:00"/>
    <s v="11 years, 1 months"/>
    <n v="88"/>
    <n v="0"/>
    <n v="6"/>
    <n v="6"/>
    <n v="5"/>
    <n v="6"/>
    <n v="11"/>
  </r>
  <r>
    <n v="1341"/>
    <x v="1341"/>
    <n v="1977"/>
    <x v="32"/>
    <x v="2"/>
    <x v="2"/>
    <n v="43263"/>
    <x v="0"/>
    <n v="0"/>
    <n v="1"/>
    <x v="2"/>
    <d v="2012-11-21T00:00:00"/>
    <s v="12 years, 7 months"/>
    <n v="2"/>
    <n v="6"/>
    <n v="10"/>
    <n v="16"/>
    <n v="5"/>
    <n v="6"/>
    <n v="11"/>
  </r>
  <r>
    <n v="1342"/>
    <x v="1342"/>
    <n v="1949"/>
    <x v="17"/>
    <x v="2"/>
    <x v="2"/>
    <n v="62845"/>
    <x v="0"/>
    <n v="1"/>
    <n v="1"/>
    <x v="1"/>
    <d v="2012-10-01T00:00:00"/>
    <s v="12 years, 9 months"/>
    <n v="3"/>
    <n v="0"/>
    <n v="0"/>
    <n v="0"/>
    <n v="3"/>
    <n v="10"/>
    <n v="13"/>
  </r>
  <r>
    <n v="1343"/>
    <x v="1343"/>
    <n v="1990"/>
    <x v="50"/>
    <x v="0"/>
    <x v="2"/>
    <n v="18929"/>
    <x v="1"/>
    <n v="0"/>
    <n v="0"/>
    <x v="0"/>
    <d v="2013-02-16T00:00:00"/>
    <s v="12 years, 4 months"/>
    <n v="15"/>
    <n v="0"/>
    <n v="4"/>
    <n v="4"/>
    <n v="1"/>
    <n v="4"/>
    <n v="5"/>
  </r>
  <r>
    <n v="1344"/>
    <x v="1344"/>
    <n v="1982"/>
    <x v="18"/>
    <x v="3"/>
    <x v="0"/>
    <n v="24367"/>
    <x v="1"/>
    <n v="1"/>
    <n v="0"/>
    <x v="2"/>
    <d v="2013-03-20T00:00:00"/>
    <s v="12 years, 3 months"/>
    <n v="58"/>
    <n v="4"/>
    <n v="11"/>
    <n v="15"/>
    <n v="1"/>
    <n v="2"/>
    <n v="3"/>
  </r>
  <r>
    <n v="1345"/>
    <x v="1345"/>
    <n v="1975"/>
    <x v="28"/>
    <x v="0"/>
    <x v="0"/>
    <n v="33249"/>
    <x v="0"/>
    <n v="1"/>
    <n v="0"/>
    <x v="2"/>
    <d v="2013-02-20T00:00:00"/>
    <s v="12 years, 4 months"/>
    <n v="11"/>
    <n v="10"/>
    <n v="14"/>
    <n v="24"/>
    <n v="2"/>
    <n v="3"/>
    <n v="5"/>
  </r>
  <r>
    <n v="1346"/>
    <x v="1346"/>
    <n v="1959"/>
    <x v="12"/>
    <x v="4"/>
    <x v="2"/>
    <n v="26887"/>
    <x v="0"/>
    <n v="0"/>
    <n v="1"/>
    <x v="2"/>
    <d v="2013-02-10T00:00:00"/>
    <s v="12 years, 4 months"/>
    <n v="27"/>
    <n v="7"/>
    <n v="4"/>
    <n v="11"/>
    <n v="1"/>
    <n v="3"/>
    <n v="4"/>
  </r>
  <r>
    <n v="1347"/>
    <x v="1347"/>
    <n v="1983"/>
    <x v="10"/>
    <x v="1"/>
    <x v="2"/>
    <n v="50150"/>
    <x v="0"/>
    <n v="0"/>
    <n v="0"/>
    <x v="0"/>
    <d v="2013-06-20T00:00:00"/>
    <s v="12 years, 0 months"/>
    <n v="32"/>
    <n v="46"/>
    <n v="61"/>
    <n v="107"/>
    <n v="5"/>
    <n v="7"/>
    <n v="12"/>
  </r>
  <r>
    <n v="1348"/>
    <x v="1348"/>
    <n v="1976"/>
    <x v="11"/>
    <x v="0"/>
    <x v="1"/>
    <n v="62061"/>
    <x v="0"/>
    <n v="0"/>
    <n v="1"/>
    <x v="2"/>
    <d v="2013-08-31T00:00:00"/>
    <s v="11 years, 10 months"/>
    <n v="12"/>
    <n v="7"/>
    <n v="30"/>
    <n v="37"/>
    <n v="10"/>
    <n v="7"/>
    <n v="17"/>
  </r>
  <r>
    <n v="1349"/>
    <x v="1349"/>
    <n v="1962"/>
    <x v="43"/>
    <x v="1"/>
    <x v="3"/>
    <n v="85696"/>
    <x v="2"/>
    <n v="0"/>
    <n v="0"/>
    <x v="0"/>
    <d v="2013-05-03T00:00:00"/>
    <s v="12 years, 2 months"/>
    <n v="88"/>
    <n v="76"/>
    <n v="0"/>
    <n v="76"/>
    <n v="4"/>
    <n v="9"/>
    <n v="13"/>
  </r>
  <r>
    <n v="1350"/>
    <x v="1350"/>
    <n v="1956"/>
    <x v="46"/>
    <x v="1"/>
    <x v="1"/>
    <n v="76542"/>
    <x v="2"/>
    <n v="0"/>
    <n v="0"/>
    <x v="0"/>
    <d v="2013-03-30T00:00:00"/>
    <s v="12 years, 3 months"/>
    <n v="91"/>
    <n v="73"/>
    <n v="29"/>
    <n v="102"/>
    <n v="4"/>
    <n v="10"/>
    <n v="14"/>
  </r>
  <r>
    <n v="1351"/>
    <x v="1351"/>
    <n v="1993"/>
    <x v="53"/>
    <x v="0"/>
    <x v="0"/>
    <n v="70515"/>
    <x v="0"/>
    <n v="0"/>
    <n v="0"/>
    <x v="0"/>
    <d v="2013-10-21T00:00:00"/>
    <s v="11 years, 8 months"/>
    <n v="12"/>
    <n v="0"/>
    <n v="64"/>
    <n v="64"/>
    <n v="6"/>
    <n v="4"/>
    <n v="10"/>
  </r>
  <r>
    <n v="1352"/>
    <x v="1352"/>
    <n v="1987"/>
    <x v="14"/>
    <x v="0"/>
    <x v="1"/>
    <n v="18227"/>
    <x v="1"/>
    <n v="1"/>
    <n v="0"/>
    <x v="2"/>
    <d v="2012-11-08T00:00:00"/>
    <s v="12 years, 7 months"/>
    <n v="21"/>
    <n v="2"/>
    <n v="3"/>
    <n v="5"/>
    <n v="0"/>
    <n v="2"/>
    <n v="2"/>
  </r>
  <r>
    <n v="1353"/>
    <x v="1353"/>
    <n v="1965"/>
    <x v="2"/>
    <x v="0"/>
    <x v="2"/>
    <n v="69139"/>
    <x v="0"/>
    <n v="0"/>
    <n v="1"/>
    <x v="2"/>
    <d v="2014-01-27T00:00:00"/>
    <s v="11 years, 5 months"/>
    <n v="23"/>
    <n v="12"/>
    <n v="15"/>
    <n v="27"/>
    <n v="4"/>
    <n v="5"/>
    <n v="9"/>
  </r>
  <r>
    <n v="1354"/>
    <x v="1354"/>
    <n v="1982"/>
    <x v="18"/>
    <x v="0"/>
    <x v="2"/>
    <n v="69109"/>
    <x v="0"/>
    <n v="0"/>
    <n v="0"/>
    <x v="0"/>
    <d v="2012-11-09T00:00:00"/>
    <s v="12 years, 7 months"/>
    <n v="10"/>
    <n v="25"/>
    <n v="29"/>
    <n v="54"/>
    <n v="6"/>
    <n v="7"/>
    <n v="13"/>
  </r>
  <r>
    <n v="1355"/>
    <x v="1355"/>
    <n v="1962"/>
    <x v="43"/>
    <x v="0"/>
    <x v="0"/>
    <n v="69627"/>
    <x v="0"/>
    <n v="0"/>
    <n v="1"/>
    <x v="2"/>
    <d v="2013-03-17T00:00:00"/>
    <s v="12 years, 3 months"/>
    <n v="35"/>
    <n v="161"/>
    <n v="30"/>
    <n v="191"/>
    <n v="8"/>
    <n v="11"/>
    <n v="19"/>
  </r>
  <r>
    <n v="1356"/>
    <x v="1356"/>
    <n v="1978"/>
    <x v="33"/>
    <x v="0"/>
    <x v="2"/>
    <n v="38136"/>
    <x v="0"/>
    <n v="1"/>
    <n v="0"/>
    <x v="2"/>
    <d v="2013-04-22T00:00:00"/>
    <s v="12 years, 2 months"/>
    <n v="69"/>
    <n v="15"/>
    <n v="20"/>
    <n v="35"/>
    <n v="3"/>
    <n v="2"/>
    <n v="5"/>
  </r>
  <r>
    <n v="1357"/>
    <x v="1357"/>
    <n v="1946"/>
    <x v="15"/>
    <x v="1"/>
    <x v="0"/>
    <n v="62159"/>
    <x v="0"/>
    <n v="0"/>
    <n v="0"/>
    <x v="0"/>
    <d v="2014-04-28T00:00:00"/>
    <s v="11 years, 2 months"/>
    <n v="68"/>
    <n v="17"/>
    <n v="70"/>
    <n v="87"/>
    <n v="6"/>
    <n v="10"/>
    <n v="16"/>
  </r>
  <r>
    <n v="1358"/>
    <x v="1358"/>
    <n v="1963"/>
    <x v="24"/>
    <x v="0"/>
    <x v="0"/>
    <n v="80695"/>
    <x v="2"/>
    <n v="0"/>
    <n v="0"/>
    <x v="0"/>
    <d v="2013-12-29T00:00:00"/>
    <s v="11 years, 6 months"/>
    <n v="85"/>
    <n v="129"/>
    <n v="37"/>
    <n v="166"/>
    <n v="5"/>
    <n v="5"/>
    <n v="10"/>
  </r>
  <r>
    <n v="1359"/>
    <x v="1359"/>
    <n v="1971"/>
    <x v="6"/>
    <x v="2"/>
    <x v="0"/>
    <n v="33316"/>
    <x v="0"/>
    <n v="1"/>
    <n v="1"/>
    <x v="1"/>
    <d v="2013-10-04T00:00:00"/>
    <s v="11 years, 9 months"/>
    <n v="34"/>
    <n v="1"/>
    <n v="4"/>
    <n v="5"/>
    <n v="2"/>
    <n v="4"/>
    <n v="6"/>
  </r>
  <r>
    <n v="1360"/>
    <x v="1360"/>
    <n v="1968"/>
    <x v="30"/>
    <x v="0"/>
    <x v="1"/>
    <n v="58554"/>
    <x v="0"/>
    <n v="1"/>
    <n v="1"/>
    <x v="1"/>
    <d v="2012-09-26T00:00:00"/>
    <s v="12 years, 9 months"/>
    <n v="55"/>
    <n v="24"/>
    <n v="0"/>
    <n v="24"/>
    <n v="8"/>
    <n v="6"/>
    <n v="14"/>
  </r>
  <r>
    <n v="1361"/>
    <x v="1361"/>
    <n v="1992"/>
    <x v="47"/>
    <x v="3"/>
    <x v="2"/>
    <n v="17256"/>
    <x v="1"/>
    <n v="1"/>
    <n v="0"/>
    <x v="2"/>
    <d v="2013-11-23T00:00:00"/>
    <s v="11 years, 7 months"/>
    <n v="10"/>
    <n v="4"/>
    <n v="8"/>
    <n v="12"/>
    <n v="2"/>
    <n v="2"/>
    <n v="4"/>
  </r>
  <r>
    <n v="1362"/>
    <x v="1362"/>
    <n v="1974"/>
    <x v="8"/>
    <x v="0"/>
    <x v="3"/>
    <n v="53034"/>
    <x v="0"/>
    <n v="1"/>
    <n v="1"/>
    <x v="1"/>
    <d v="2013-05-30T00:00:00"/>
    <s v="12 years, 1 months"/>
    <n v="30"/>
    <n v="15"/>
    <n v="11"/>
    <n v="26"/>
    <n v="6"/>
    <n v="7"/>
    <n v="13"/>
  </r>
  <r>
    <n v="1363"/>
    <x v="1363"/>
    <n v="1950"/>
    <x v="9"/>
    <x v="4"/>
    <x v="1"/>
    <n v="52203"/>
    <x v="0"/>
    <n v="0"/>
    <n v="0"/>
    <x v="0"/>
    <d v="2012-07-31T00:00:00"/>
    <s v="12 years, 11 months"/>
    <n v="36"/>
    <n v="21"/>
    <n v="108"/>
    <n v="129"/>
    <n v="8"/>
    <n v="11"/>
    <n v="19"/>
  </r>
  <r>
    <n v="1364"/>
    <x v="1364"/>
    <n v="1977"/>
    <x v="32"/>
    <x v="4"/>
    <x v="3"/>
    <n v="59601"/>
    <x v="0"/>
    <n v="0"/>
    <n v="1"/>
    <x v="2"/>
    <d v="2013-07-25T00:00:00"/>
    <s v="11 years, 11 months"/>
    <n v="14"/>
    <n v="7"/>
    <n v="7"/>
    <n v="14"/>
    <n v="2"/>
    <n v="7"/>
    <n v="9"/>
  </r>
  <r>
    <n v="1365"/>
    <x v="1365"/>
    <n v="1958"/>
    <x v="38"/>
    <x v="2"/>
    <x v="0"/>
    <n v="75154"/>
    <x v="2"/>
    <n v="0"/>
    <n v="1"/>
    <x v="2"/>
    <d v="2012-09-04T00:00:00"/>
    <s v="12 years, 10 months"/>
    <n v="79"/>
    <n v="10"/>
    <n v="143"/>
    <n v="153"/>
    <n v="6"/>
    <n v="6"/>
    <n v="12"/>
  </r>
  <r>
    <n v="1366"/>
    <x v="1366"/>
    <n v="1976"/>
    <x v="11"/>
    <x v="0"/>
    <x v="0"/>
    <n v="47025"/>
    <x v="0"/>
    <n v="0"/>
    <n v="1"/>
    <x v="2"/>
    <d v="2013-11-07T00:00:00"/>
    <s v="11 years, 7 months"/>
    <n v="52"/>
    <n v="7"/>
    <n v="0"/>
    <n v="7"/>
    <n v="6"/>
    <n v="5"/>
    <n v="11"/>
  </r>
  <r>
    <n v="1367"/>
    <x v="1367"/>
    <n v="1973"/>
    <x v="26"/>
    <x v="0"/>
    <x v="2"/>
    <n v="37971"/>
    <x v="0"/>
    <n v="1"/>
    <n v="0"/>
    <x v="2"/>
    <d v="2013-11-25T00:00:00"/>
    <s v="11 years, 7 months"/>
    <n v="97"/>
    <n v="4"/>
    <n v="2"/>
    <n v="6"/>
    <n v="1"/>
    <n v="3"/>
    <n v="4"/>
  </r>
  <r>
    <n v="1368"/>
    <x v="1368"/>
    <n v="1968"/>
    <x v="30"/>
    <x v="2"/>
    <x v="3"/>
    <n v="41335"/>
    <x v="0"/>
    <n v="1"/>
    <n v="0"/>
    <x v="2"/>
    <d v="2013-12-26T00:00:00"/>
    <s v="11 years, 6 months"/>
    <n v="24"/>
    <n v="19"/>
    <n v="14"/>
    <n v="33"/>
    <n v="4"/>
    <n v="4"/>
    <n v="8"/>
  </r>
  <r>
    <n v="1369"/>
    <x v="1369"/>
    <n v="1958"/>
    <x v="38"/>
    <x v="0"/>
    <x v="2"/>
    <n v="67267"/>
    <x v="0"/>
    <n v="0"/>
    <n v="1"/>
    <x v="2"/>
    <d v="2014-05-13T00:00:00"/>
    <s v="11 years, 1 months"/>
    <n v="0"/>
    <n v="11"/>
    <n v="2"/>
    <n v="13"/>
    <n v="3"/>
    <n v="5"/>
    <n v="8"/>
  </r>
  <r>
    <n v="1370"/>
    <x v="1370"/>
    <n v="1975"/>
    <x v="28"/>
    <x v="0"/>
    <x v="0"/>
    <n v="57338"/>
    <x v="0"/>
    <n v="0"/>
    <n v="1"/>
    <x v="2"/>
    <d v="2014-04-29T00:00:00"/>
    <s v="11 years, 2 months"/>
    <n v="96"/>
    <n v="6"/>
    <n v="8"/>
    <n v="14"/>
    <n v="4"/>
    <n v="5"/>
    <n v="9"/>
  </r>
  <r>
    <n v="1371"/>
    <x v="1371"/>
    <n v="1960"/>
    <x v="40"/>
    <x v="4"/>
    <x v="1"/>
    <n v="50523"/>
    <x v="0"/>
    <n v="1"/>
    <n v="1"/>
    <x v="1"/>
    <d v="2013-12-25T00:00:00"/>
    <s v="11 years, 6 months"/>
    <n v="89"/>
    <n v="4"/>
    <n v="7"/>
    <n v="11"/>
    <n v="2"/>
    <n v="4"/>
    <n v="6"/>
  </r>
  <r>
    <n v="1372"/>
    <x v="1372"/>
    <n v="1965"/>
    <x v="2"/>
    <x v="2"/>
    <x v="0"/>
    <n v="35791"/>
    <x v="0"/>
    <n v="2"/>
    <n v="1"/>
    <x v="3"/>
    <d v="2013-05-06T00:00:00"/>
    <s v="12 years, 2 months"/>
    <n v="94"/>
    <n v="0"/>
    <n v="0"/>
    <n v="0"/>
    <n v="1"/>
    <n v="3"/>
    <n v="4"/>
  </r>
  <r>
    <n v="1373"/>
    <x v="1373"/>
    <n v="1960"/>
    <x v="40"/>
    <x v="1"/>
    <x v="3"/>
    <n v="50611"/>
    <x v="0"/>
    <n v="0"/>
    <n v="1"/>
    <x v="2"/>
    <d v="2012-10-04T00:00:00"/>
    <s v="12 years, 9 months"/>
    <n v="98"/>
    <n v="0"/>
    <n v="0"/>
    <n v="0"/>
    <n v="4"/>
    <n v="7"/>
    <n v="11"/>
  </r>
  <r>
    <n v="1374"/>
    <x v="1374"/>
    <n v="1969"/>
    <x v="21"/>
    <x v="1"/>
    <x v="2"/>
    <n v="56242"/>
    <x v="0"/>
    <n v="0"/>
    <n v="1"/>
    <x v="2"/>
    <d v="2013-03-03T00:00:00"/>
    <s v="12 years, 4 months"/>
    <n v="72"/>
    <n v="8"/>
    <n v="8"/>
    <n v="16"/>
    <n v="8"/>
    <n v="11"/>
    <n v="19"/>
  </r>
  <r>
    <n v="1375"/>
    <x v="1375"/>
    <n v="1960"/>
    <x v="40"/>
    <x v="0"/>
    <x v="0"/>
    <n v="48904"/>
    <x v="0"/>
    <n v="0"/>
    <n v="1"/>
    <x v="2"/>
    <d v="2012-12-02T00:00:00"/>
    <s v="12 years, 7 months"/>
    <n v="1"/>
    <n v="10"/>
    <n v="13"/>
    <n v="23"/>
    <n v="7"/>
    <n v="4"/>
    <n v="11"/>
  </r>
  <r>
    <n v="1376"/>
    <x v="1376"/>
    <n v="1975"/>
    <x v="28"/>
    <x v="0"/>
    <x v="0"/>
    <n v="56243"/>
    <x v="0"/>
    <n v="1"/>
    <n v="2"/>
    <x v="3"/>
    <d v="2013-12-30T00:00:00"/>
    <s v="11 years, 6 months"/>
    <n v="26"/>
    <n v="0"/>
    <n v="3"/>
    <n v="3"/>
    <n v="4"/>
    <n v="8"/>
    <n v="12"/>
  </r>
  <r>
    <n v="1377"/>
    <x v="1377"/>
    <n v="1985"/>
    <x v="7"/>
    <x v="0"/>
    <x v="2"/>
    <n v="21355"/>
    <x v="1"/>
    <n v="1"/>
    <n v="0"/>
    <x v="2"/>
    <d v="2013-08-20T00:00:00"/>
    <s v="11 years, 10 months"/>
    <n v="5"/>
    <n v="13"/>
    <n v="5"/>
    <n v="18"/>
    <n v="2"/>
    <n v="2"/>
    <n v="4"/>
  </r>
  <r>
    <n v="1378"/>
    <x v="1378"/>
    <n v="1971"/>
    <x v="6"/>
    <x v="2"/>
    <x v="1"/>
    <n v="57420"/>
    <x v="0"/>
    <n v="0"/>
    <n v="1"/>
    <x v="2"/>
    <d v="2013-06-25T00:00:00"/>
    <s v="12 years, 0 months"/>
    <n v="22"/>
    <n v="0"/>
    <n v="0"/>
    <n v="0"/>
    <n v="5"/>
    <n v="6"/>
    <n v="11"/>
  </r>
  <r>
    <n v="1379"/>
    <x v="1379"/>
    <n v="1970"/>
    <x v="25"/>
    <x v="2"/>
    <x v="1"/>
    <n v="51371"/>
    <x v="0"/>
    <n v="0"/>
    <n v="1"/>
    <x v="2"/>
    <d v="2013-04-01T00:00:00"/>
    <s v="12 years, 3 months"/>
    <n v="39"/>
    <n v="5"/>
    <n v="20"/>
    <n v="25"/>
    <n v="4"/>
    <n v="6"/>
    <n v="10"/>
  </r>
  <r>
    <n v="1380"/>
    <x v="1380"/>
    <n v="1955"/>
    <x v="34"/>
    <x v="2"/>
    <x v="3"/>
    <n v="46390"/>
    <x v="0"/>
    <n v="0"/>
    <n v="1"/>
    <x v="2"/>
    <d v="2014-05-05T00:00:00"/>
    <s v="11 years, 2 months"/>
    <n v="56"/>
    <n v="14"/>
    <n v="9"/>
    <n v="23"/>
    <n v="4"/>
    <n v="3"/>
    <n v="7"/>
  </r>
  <r>
    <n v="1381"/>
    <x v="1381"/>
    <n v="1956"/>
    <x v="46"/>
    <x v="4"/>
    <x v="1"/>
    <n v="54342"/>
    <x v="0"/>
    <n v="1"/>
    <n v="1"/>
    <x v="1"/>
    <d v="2013-07-03T00:00:00"/>
    <s v="12 years, 0 months"/>
    <n v="74"/>
    <n v="10"/>
    <n v="10"/>
    <n v="20"/>
    <n v="3"/>
    <n v="4"/>
    <n v="7"/>
  </r>
  <r>
    <n v="1382"/>
    <x v="1382"/>
    <n v="1958"/>
    <x v="38"/>
    <x v="0"/>
    <x v="1"/>
    <n v="51371"/>
    <x v="0"/>
    <n v="1"/>
    <n v="1"/>
    <x v="1"/>
    <d v="2012-09-03T00:00:00"/>
    <s v="12 years, 10 months"/>
    <n v="87"/>
    <n v="4"/>
    <n v="2"/>
    <n v="6"/>
    <n v="1"/>
    <n v="3"/>
    <n v="4"/>
  </r>
  <r>
    <n v="1383"/>
    <x v="1383"/>
    <n v="1964"/>
    <x v="31"/>
    <x v="4"/>
    <x v="0"/>
    <n v="51371"/>
    <x v="0"/>
    <n v="1"/>
    <n v="1"/>
    <x v="1"/>
    <d v="2014-01-12T00:00:00"/>
    <s v="11 years, 5 months"/>
    <n v="49"/>
    <n v="1"/>
    <n v="0"/>
    <n v="1"/>
    <n v="1"/>
    <n v="2"/>
    <n v="3"/>
  </r>
  <r>
    <n v="1384"/>
    <x v="1384"/>
    <n v="1973"/>
    <x v="26"/>
    <x v="0"/>
    <x v="2"/>
    <n v="20895"/>
    <x v="1"/>
    <n v="1"/>
    <n v="0"/>
    <x v="2"/>
    <d v="2012-10-06T00:00:00"/>
    <s v="12 years, 9 months"/>
    <n v="24"/>
    <n v="3"/>
    <n v="0"/>
    <n v="3"/>
    <n v="2"/>
    <n v="3"/>
    <n v="5"/>
  </r>
  <r>
    <n v="1385"/>
    <x v="1385"/>
    <n v="1948"/>
    <x v="37"/>
    <x v="0"/>
    <x v="2"/>
    <n v="92344"/>
    <x v="2"/>
    <n v="0"/>
    <n v="0"/>
    <x v="0"/>
    <d v="2014-01-15T00:00:00"/>
    <s v="11 years, 5 months"/>
    <n v="9"/>
    <n v="24"/>
    <n v="19"/>
    <n v="43"/>
    <n v="5"/>
    <n v="5"/>
    <n v="10"/>
  </r>
  <r>
    <n v="1386"/>
    <x v="1386"/>
    <n v="1972"/>
    <x v="39"/>
    <x v="1"/>
    <x v="1"/>
    <n v="51371"/>
    <x v="0"/>
    <n v="1"/>
    <n v="0"/>
    <x v="2"/>
    <d v="2014-03-02T00:00:00"/>
    <s v="11 years, 4 months"/>
    <n v="17"/>
    <n v="1"/>
    <n v="0"/>
    <n v="1"/>
    <n v="1"/>
    <n v="3"/>
    <n v="4"/>
  </r>
  <r>
    <n v="1387"/>
    <x v="1387"/>
    <n v="1976"/>
    <x v="11"/>
    <x v="4"/>
    <x v="1"/>
    <n v="26907"/>
    <x v="0"/>
    <n v="1"/>
    <n v="1"/>
    <x v="1"/>
    <d v="2013-08-20T00:00:00"/>
    <s v="11 years, 10 months"/>
    <n v="10"/>
    <n v="1"/>
    <n v="3"/>
    <n v="4"/>
    <n v="1"/>
    <n v="3"/>
    <n v="4"/>
  </r>
  <r>
    <n v="1388"/>
    <x v="1388"/>
    <n v="1980"/>
    <x v="16"/>
    <x v="0"/>
    <x v="1"/>
    <n v="44964"/>
    <x v="0"/>
    <n v="1"/>
    <n v="1"/>
    <x v="1"/>
    <d v="2012-12-16T00:00:00"/>
    <s v="12 years, 6 months"/>
    <n v="35"/>
    <n v="1"/>
    <n v="0"/>
    <n v="1"/>
    <n v="1"/>
    <n v="3"/>
    <n v="4"/>
  </r>
  <r>
    <n v="1389"/>
    <x v="1389"/>
    <n v="1979"/>
    <x v="19"/>
    <x v="0"/>
    <x v="1"/>
    <n v="75507"/>
    <x v="2"/>
    <n v="0"/>
    <n v="0"/>
    <x v="0"/>
    <d v="2014-05-02T00:00:00"/>
    <s v="11 years, 2 months"/>
    <n v="56"/>
    <n v="93"/>
    <n v="80"/>
    <n v="173"/>
    <n v="8"/>
    <n v="6"/>
    <n v="14"/>
  </r>
  <r>
    <n v="1390"/>
    <x v="1390"/>
    <n v="1972"/>
    <x v="39"/>
    <x v="2"/>
    <x v="2"/>
    <n v="53761"/>
    <x v="0"/>
    <n v="1"/>
    <n v="1"/>
    <x v="1"/>
    <d v="2013-10-11T00:00:00"/>
    <s v="11 years, 8 months"/>
    <n v="7"/>
    <n v="0"/>
    <n v="7"/>
    <n v="7"/>
    <n v="4"/>
    <n v="3"/>
    <n v="7"/>
  </r>
  <r>
    <n v="1391"/>
    <x v="1391"/>
    <n v="1973"/>
    <x v="26"/>
    <x v="0"/>
    <x v="1"/>
    <n v="22682"/>
    <x v="1"/>
    <n v="1"/>
    <n v="0"/>
    <x v="2"/>
    <d v="2013-10-03T00:00:00"/>
    <s v="11 years, 9 months"/>
    <n v="51"/>
    <n v="14"/>
    <n v="2"/>
    <n v="16"/>
    <n v="2"/>
    <n v="4"/>
    <n v="6"/>
  </r>
  <r>
    <n v="1392"/>
    <x v="1392"/>
    <n v="1972"/>
    <x v="39"/>
    <x v="1"/>
    <x v="1"/>
    <n v="38887"/>
    <x v="0"/>
    <n v="1"/>
    <n v="0"/>
    <x v="2"/>
    <d v="2014-03-02T00:00:00"/>
    <s v="11 years, 4 months"/>
    <n v="17"/>
    <n v="1"/>
    <n v="0"/>
    <n v="1"/>
    <n v="1"/>
    <n v="3"/>
    <n v="4"/>
  </r>
  <r>
    <n v="1393"/>
    <x v="1393"/>
    <n v="1975"/>
    <x v="28"/>
    <x v="4"/>
    <x v="0"/>
    <n v="41658"/>
    <x v="0"/>
    <n v="1"/>
    <n v="1"/>
    <x v="1"/>
    <d v="2012-11-09T00:00:00"/>
    <s v="12 years, 7 months"/>
    <n v="30"/>
    <n v="4"/>
    <n v="4"/>
    <n v="8"/>
    <n v="1"/>
    <n v="2"/>
    <n v="3"/>
  </r>
  <r>
    <n v="1394"/>
    <x v="1394"/>
    <n v="1972"/>
    <x v="39"/>
    <x v="1"/>
    <x v="2"/>
    <n v="29791"/>
    <x v="0"/>
    <n v="1"/>
    <n v="0"/>
    <x v="2"/>
    <d v="2014-05-15T00:00:00"/>
    <s v="11 years, 1 months"/>
    <n v="21"/>
    <n v="0"/>
    <n v="0"/>
    <n v="0"/>
    <n v="2"/>
    <n v="3"/>
    <n v="5"/>
  </r>
  <r>
    <n v="1395"/>
    <x v="1395"/>
    <n v="1956"/>
    <x v="46"/>
    <x v="2"/>
    <x v="2"/>
    <n v="63915"/>
    <x v="0"/>
    <n v="0"/>
    <n v="2"/>
    <x v="1"/>
    <d v="2013-07-30T00:00:00"/>
    <s v="11 years, 11 months"/>
    <n v="2"/>
    <n v="7"/>
    <n v="0"/>
    <n v="7"/>
    <n v="6"/>
    <n v="12"/>
    <n v="18"/>
  </r>
  <r>
    <n v="1396"/>
    <x v="1396"/>
    <n v="1974"/>
    <x v="8"/>
    <x v="0"/>
    <x v="3"/>
    <n v="39996"/>
    <x v="0"/>
    <n v="1"/>
    <n v="1"/>
    <x v="1"/>
    <d v="2014-05-22T00:00:00"/>
    <s v="11 years, 1 months"/>
    <n v="85"/>
    <n v="0"/>
    <n v="0"/>
    <n v="0"/>
    <n v="1"/>
    <n v="2"/>
    <n v="3"/>
  </r>
  <r>
    <n v="1397"/>
    <x v="1397"/>
    <n v="1972"/>
    <x v="39"/>
    <x v="0"/>
    <x v="3"/>
    <n v="26759"/>
    <x v="0"/>
    <n v="1"/>
    <n v="0"/>
    <x v="2"/>
    <d v="2014-02-07T00:00:00"/>
    <s v="11 years, 4 months"/>
    <n v="65"/>
    <n v="3"/>
    <n v="5"/>
    <n v="8"/>
    <n v="2"/>
    <n v="3"/>
    <n v="5"/>
  </r>
  <r>
    <n v="1398"/>
    <x v="1398"/>
    <n v="1968"/>
    <x v="30"/>
    <x v="2"/>
    <x v="3"/>
    <n v="63841"/>
    <x v="0"/>
    <n v="0"/>
    <n v="1"/>
    <x v="2"/>
    <d v="2013-04-21T00:00:00"/>
    <s v="12 years, 2 months"/>
    <n v="64"/>
    <n v="15"/>
    <n v="7"/>
    <n v="22"/>
    <n v="9"/>
    <n v="9"/>
    <n v="18"/>
  </r>
  <r>
    <n v="1399"/>
    <x v="1399"/>
    <n v="1969"/>
    <x v="21"/>
    <x v="1"/>
    <x v="2"/>
    <n v="51039"/>
    <x v="0"/>
    <n v="1"/>
    <n v="1"/>
    <x v="1"/>
    <d v="2012-12-10T00:00:00"/>
    <s v="12 years, 6 months"/>
    <n v="11"/>
    <n v="64"/>
    <n v="0"/>
    <n v="64"/>
    <n v="6"/>
    <n v="4"/>
    <n v="10"/>
  </r>
  <r>
    <n v="1400"/>
    <x v="1400"/>
    <n v="1961"/>
    <x v="45"/>
    <x v="0"/>
    <x v="2"/>
    <n v="60544"/>
    <x v="0"/>
    <n v="1"/>
    <n v="1"/>
    <x v="1"/>
    <d v="2012-08-25T00:00:00"/>
    <s v="12 years, 10 months"/>
    <n v="92"/>
    <n v="2"/>
    <n v="5"/>
    <n v="7"/>
    <n v="5"/>
    <n v="5"/>
    <n v="10"/>
  </r>
  <r>
    <n v="1401"/>
    <x v="1401"/>
    <n v="1972"/>
    <x v="39"/>
    <x v="0"/>
    <x v="2"/>
    <n v="65685"/>
    <x v="0"/>
    <n v="0"/>
    <n v="1"/>
    <x v="2"/>
    <d v="2014-03-29T00:00:00"/>
    <s v="11 years, 3 months"/>
    <n v="54"/>
    <n v="14"/>
    <n v="7"/>
    <n v="21"/>
    <n v="9"/>
    <n v="9"/>
    <n v="18"/>
  </r>
  <r>
    <n v="1402"/>
    <x v="1402"/>
    <n v="1953"/>
    <x v="44"/>
    <x v="0"/>
    <x v="2"/>
    <n v="37716"/>
    <x v="0"/>
    <n v="0"/>
    <n v="1"/>
    <x v="2"/>
    <d v="2014-04-21T00:00:00"/>
    <s v="11 years, 2 months"/>
    <n v="4"/>
    <n v="1"/>
    <n v="2"/>
    <n v="3"/>
    <n v="4"/>
    <n v="3"/>
    <n v="7"/>
  </r>
  <r>
    <n v="1403"/>
    <x v="1403"/>
    <n v="1957"/>
    <x v="0"/>
    <x v="0"/>
    <x v="0"/>
    <n v="36864"/>
    <x v="0"/>
    <n v="0"/>
    <n v="1"/>
    <x v="2"/>
    <d v="2012-08-13T00:00:00"/>
    <s v="12 years, 10 months"/>
    <n v="53"/>
    <n v="5"/>
    <n v="0"/>
    <n v="5"/>
    <n v="5"/>
    <n v="4"/>
    <n v="9"/>
  </r>
  <r>
    <n v="1404"/>
    <x v="1404"/>
    <n v="1970"/>
    <x v="25"/>
    <x v="2"/>
    <x v="2"/>
    <n v="44511"/>
    <x v="0"/>
    <n v="1"/>
    <n v="0"/>
    <x v="2"/>
    <d v="2012-10-12T00:00:00"/>
    <s v="12 years, 8 months"/>
    <n v="39"/>
    <n v="7"/>
    <n v="14"/>
    <n v="21"/>
    <n v="8"/>
    <n v="8"/>
    <n v="16"/>
  </r>
  <r>
    <n v="1405"/>
    <x v="1405"/>
    <n v="1967"/>
    <x v="5"/>
    <x v="1"/>
    <x v="2"/>
    <n v="36947"/>
    <x v="0"/>
    <n v="1"/>
    <n v="1"/>
    <x v="1"/>
    <d v="2012-08-07T00:00:00"/>
    <s v="12 years, 10 months"/>
    <n v="49"/>
    <n v="3"/>
    <n v="1"/>
    <n v="4"/>
    <n v="3"/>
    <n v="4"/>
    <n v="7"/>
  </r>
  <r>
    <n v="1406"/>
    <x v="1406"/>
    <n v="1951"/>
    <x v="20"/>
    <x v="2"/>
    <x v="1"/>
    <n v="47352"/>
    <x v="0"/>
    <n v="0"/>
    <n v="1"/>
    <x v="2"/>
    <d v="2013-04-11T00:00:00"/>
    <s v="12 years, 2 months"/>
    <n v="70"/>
    <n v="12"/>
    <n v="0"/>
    <n v="12"/>
    <n v="6"/>
    <n v="5"/>
    <n v="11"/>
  </r>
  <r>
    <n v="1407"/>
    <x v="1407"/>
    <n v="1953"/>
    <x v="44"/>
    <x v="2"/>
    <x v="2"/>
    <n v="67087"/>
    <x v="0"/>
    <n v="0"/>
    <n v="1"/>
    <x v="2"/>
    <d v="2013-12-17T00:00:00"/>
    <s v="11 years, 6 months"/>
    <n v="40"/>
    <n v="35"/>
    <n v="35"/>
    <n v="70"/>
    <n v="7"/>
    <n v="8"/>
    <n v="15"/>
  </r>
  <r>
    <n v="1408"/>
    <x v="1408"/>
    <n v="1950"/>
    <x v="9"/>
    <x v="0"/>
    <x v="2"/>
    <n v="57045"/>
    <x v="0"/>
    <n v="0"/>
    <n v="1"/>
    <x v="2"/>
    <d v="2012-09-08T00:00:00"/>
    <s v="12 years, 9 months"/>
    <n v="40"/>
    <n v="13"/>
    <n v="13"/>
    <n v="26"/>
    <n v="4"/>
    <n v="9"/>
    <n v="13"/>
  </r>
  <r>
    <n v="1409"/>
    <x v="1409"/>
    <n v="1953"/>
    <x v="44"/>
    <x v="1"/>
    <x v="3"/>
    <n v="36957"/>
    <x v="0"/>
    <n v="1"/>
    <n v="1"/>
    <x v="1"/>
    <d v="2012-09-06T00:00:00"/>
    <s v="12 years, 10 months"/>
    <n v="43"/>
    <n v="2"/>
    <n v="1"/>
    <n v="3"/>
    <n v="3"/>
    <n v="2"/>
    <n v="5"/>
  </r>
  <r>
    <n v="1410"/>
    <x v="1410"/>
    <n v="1977"/>
    <x v="32"/>
    <x v="1"/>
    <x v="2"/>
    <n v="69389"/>
    <x v="0"/>
    <n v="0"/>
    <n v="1"/>
    <x v="2"/>
    <d v="2012-09-28T00:00:00"/>
    <s v="12 years, 9 months"/>
    <n v="17"/>
    <n v="7"/>
    <n v="46"/>
    <n v="53"/>
    <n v="7"/>
    <n v="12"/>
    <n v="19"/>
  </r>
  <r>
    <n v="1411"/>
    <x v="1411"/>
    <n v="1972"/>
    <x v="39"/>
    <x v="0"/>
    <x v="2"/>
    <n v="80134"/>
    <x v="2"/>
    <n v="1"/>
    <n v="0"/>
    <x v="2"/>
    <d v="2013-05-20T00:00:00"/>
    <s v="12 years, 1 months"/>
    <n v="40"/>
    <n v="16"/>
    <n v="0"/>
    <n v="16"/>
    <n v="5"/>
    <n v="6"/>
    <n v="11"/>
  </r>
  <r>
    <n v="1412"/>
    <x v="1412"/>
    <n v="1969"/>
    <x v="21"/>
    <x v="2"/>
    <x v="2"/>
    <n v="43142"/>
    <x v="0"/>
    <n v="1"/>
    <n v="1"/>
    <x v="1"/>
    <d v="2014-02-18T00:00:00"/>
    <s v="11 years, 4 months"/>
    <n v="84"/>
    <n v="1"/>
    <n v="1"/>
    <n v="2"/>
    <n v="1"/>
    <n v="2"/>
    <n v="3"/>
  </r>
  <r>
    <n v="1413"/>
    <x v="1413"/>
    <n v="1944"/>
    <x v="56"/>
    <x v="0"/>
    <x v="2"/>
    <n v="80589"/>
    <x v="2"/>
    <n v="0"/>
    <n v="0"/>
    <x v="0"/>
    <d v="2014-01-22T00:00:00"/>
    <s v="11 years, 5 months"/>
    <n v="25"/>
    <n v="93"/>
    <n v="40"/>
    <n v="133"/>
    <n v="5"/>
    <n v="5"/>
    <n v="10"/>
  </r>
  <r>
    <n v="1414"/>
    <x v="1414"/>
    <n v="1990"/>
    <x v="50"/>
    <x v="0"/>
    <x v="0"/>
    <n v="34412"/>
    <x v="0"/>
    <n v="1"/>
    <n v="0"/>
    <x v="2"/>
    <d v="2013-02-13T00:00:00"/>
    <s v="12 years, 4 months"/>
    <n v="62"/>
    <n v="12"/>
    <n v="36"/>
    <n v="48"/>
    <n v="5"/>
    <n v="3"/>
    <n v="8"/>
  </r>
  <r>
    <n v="1415"/>
    <x v="1415"/>
    <n v="1979"/>
    <x v="19"/>
    <x v="0"/>
    <x v="0"/>
    <n v="57537"/>
    <x v="0"/>
    <n v="1"/>
    <n v="0"/>
    <x v="2"/>
    <d v="2013-06-10T00:00:00"/>
    <s v="12 years, 0 months"/>
    <n v="83"/>
    <n v="56"/>
    <n v="8"/>
    <n v="64"/>
    <n v="4"/>
    <n v="8"/>
    <n v="12"/>
  </r>
  <r>
    <n v="1416"/>
    <x v="1416"/>
    <n v="1966"/>
    <x v="35"/>
    <x v="3"/>
    <x v="1"/>
    <n v="22634"/>
    <x v="1"/>
    <n v="0"/>
    <n v="0"/>
    <x v="0"/>
    <d v="2013-01-16T00:00:00"/>
    <s v="12 years, 5 months"/>
    <n v="47"/>
    <n v="23"/>
    <n v="6"/>
    <n v="29"/>
    <n v="2"/>
    <n v="2"/>
    <n v="4"/>
  </r>
  <r>
    <n v="1417"/>
    <x v="1417"/>
    <n v="1948"/>
    <x v="37"/>
    <x v="0"/>
    <x v="1"/>
    <n v="51315"/>
    <x v="0"/>
    <n v="0"/>
    <n v="0"/>
    <x v="0"/>
    <d v="2014-02-23T00:00:00"/>
    <s v="11 years, 4 months"/>
    <n v="45"/>
    <n v="28"/>
    <n v="30"/>
    <n v="58"/>
    <n v="2"/>
    <n v="5"/>
    <n v="7"/>
  </r>
  <r>
    <n v="1418"/>
    <x v="1418"/>
    <n v="1972"/>
    <x v="39"/>
    <x v="0"/>
    <x v="2"/>
    <n v="36026"/>
    <x v="0"/>
    <n v="2"/>
    <n v="1"/>
    <x v="3"/>
    <d v="2014-03-16T00:00:00"/>
    <s v="11 years, 3 months"/>
    <n v="34"/>
    <n v="4"/>
    <n v="4"/>
    <n v="8"/>
    <n v="2"/>
    <n v="3"/>
    <n v="5"/>
  </r>
  <r>
    <n v="1419"/>
    <x v="1419"/>
    <n v="1973"/>
    <x v="26"/>
    <x v="0"/>
    <x v="2"/>
    <n v="24639"/>
    <x v="1"/>
    <n v="1"/>
    <n v="1"/>
    <x v="1"/>
    <d v="2014-01-28T00:00:00"/>
    <s v="11 years, 5 months"/>
    <n v="3"/>
    <n v="3"/>
    <n v="4"/>
    <n v="7"/>
    <n v="2"/>
    <n v="4"/>
    <n v="6"/>
  </r>
  <r>
    <n v="1420"/>
    <x v="1420"/>
    <n v="1972"/>
    <x v="39"/>
    <x v="1"/>
    <x v="1"/>
    <n v="34578"/>
    <x v="0"/>
    <n v="2"/>
    <n v="1"/>
    <x v="3"/>
    <d v="2014-04-11T00:00:00"/>
    <s v="11 years, 2 months"/>
    <n v="1"/>
    <n v="0"/>
    <n v="0"/>
    <n v="0"/>
    <n v="1"/>
    <n v="2"/>
    <n v="3"/>
  </r>
  <r>
    <n v="1421"/>
    <x v="1421"/>
    <n v="1972"/>
    <x v="39"/>
    <x v="4"/>
    <x v="0"/>
    <n v="65704"/>
    <x v="0"/>
    <n v="0"/>
    <n v="0"/>
    <x v="0"/>
    <d v="2013-10-13T00:00:00"/>
    <s v="11 years, 8 months"/>
    <n v="18"/>
    <n v="172"/>
    <n v="8"/>
    <n v="180"/>
    <n v="2"/>
    <n v="10"/>
    <n v="12"/>
  </r>
  <r>
    <n v="1422"/>
    <x v="1422"/>
    <n v="1966"/>
    <x v="35"/>
    <x v="0"/>
    <x v="0"/>
    <n v="63810"/>
    <x v="0"/>
    <n v="0"/>
    <n v="1"/>
    <x v="2"/>
    <d v="2012-11-11T00:00:00"/>
    <s v="12 years, 7 months"/>
    <n v="45"/>
    <n v="12"/>
    <n v="12"/>
    <n v="24"/>
    <n v="4"/>
    <n v="12"/>
    <n v="16"/>
  </r>
  <r>
    <n v="1423"/>
    <x v="1423"/>
    <n v="1969"/>
    <x v="21"/>
    <x v="1"/>
    <x v="1"/>
    <n v="54132"/>
    <x v="0"/>
    <n v="0"/>
    <n v="1"/>
    <x v="2"/>
    <d v="2014-02-16T00:00:00"/>
    <s v="11 years, 4 months"/>
    <n v="81"/>
    <n v="1"/>
    <n v="0"/>
    <n v="1"/>
    <n v="1"/>
    <n v="3"/>
    <n v="4"/>
  </r>
  <r>
    <n v="1424"/>
    <x v="1424"/>
    <n v="1959"/>
    <x v="12"/>
    <x v="0"/>
    <x v="2"/>
    <n v="18690"/>
    <x v="1"/>
    <n v="0"/>
    <n v="0"/>
    <x v="0"/>
    <d v="2012-12-28T00:00:00"/>
    <s v="12 years, 6 months"/>
    <n v="77"/>
    <n v="1"/>
    <n v="4"/>
    <n v="5"/>
    <n v="1"/>
    <n v="2"/>
    <n v="3"/>
  </r>
  <r>
    <n v="1425"/>
    <x v="1425"/>
    <n v="1970"/>
    <x v="25"/>
    <x v="0"/>
    <x v="2"/>
    <n v="28164"/>
    <x v="0"/>
    <n v="1"/>
    <n v="0"/>
    <x v="2"/>
    <d v="2013-05-04T00:00:00"/>
    <s v="12 years, 2 months"/>
    <n v="23"/>
    <n v="18"/>
    <n v="8"/>
    <n v="26"/>
    <n v="2"/>
    <n v="4"/>
    <n v="6"/>
  </r>
  <r>
    <n v="1426"/>
    <x v="1426"/>
    <n v="1974"/>
    <x v="8"/>
    <x v="1"/>
    <x v="2"/>
    <n v="34596"/>
    <x v="0"/>
    <n v="1"/>
    <n v="0"/>
    <x v="2"/>
    <d v="2013-04-13T00:00:00"/>
    <s v="12 years, 2 months"/>
    <n v="48"/>
    <n v="0"/>
    <n v="0"/>
    <n v="0"/>
    <n v="1"/>
    <n v="2"/>
    <n v="3"/>
  </r>
  <r>
    <n v="1427"/>
    <x v="1427"/>
    <n v="1972"/>
    <x v="39"/>
    <x v="1"/>
    <x v="2"/>
    <n v="43269"/>
    <x v="0"/>
    <n v="1"/>
    <n v="0"/>
    <x v="2"/>
    <d v="2013-09-16T00:00:00"/>
    <s v="11 years, 9 months"/>
    <n v="61"/>
    <n v="1"/>
    <n v="0"/>
    <n v="1"/>
    <n v="1"/>
    <n v="2"/>
    <n v="3"/>
  </r>
  <r>
    <n v="1428"/>
    <x v="1428"/>
    <n v="1958"/>
    <x v="38"/>
    <x v="4"/>
    <x v="0"/>
    <n v="38741"/>
    <x v="0"/>
    <n v="1"/>
    <n v="1"/>
    <x v="1"/>
    <d v="2014-03-30T00:00:00"/>
    <s v="11 years, 3 months"/>
    <n v="60"/>
    <n v="10"/>
    <n v="6"/>
    <n v="16"/>
    <n v="2"/>
    <n v="3"/>
    <n v="5"/>
  </r>
  <r>
    <n v="1429"/>
    <x v="1429"/>
    <n v="1972"/>
    <x v="39"/>
    <x v="0"/>
    <x v="0"/>
    <n v="31907"/>
    <x v="0"/>
    <n v="0"/>
    <n v="0"/>
    <x v="0"/>
    <d v="2013-03-04T00:00:00"/>
    <s v="12 years, 4 months"/>
    <n v="75"/>
    <n v="87"/>
    <n v="16"/>
    <n v="103"/>
    <n v="6"/>
    <n v="6"/>
    <n v="12"/>
  </r>
  <r>
    <n v="1430"/>
    <x v="1430"/>
    <n v="1983"/>
    <x v="10"/>
    <x v="2"/>
    <x v="2"/>
    <n v="27100"/>
    <x v="0"/>
    <n v="1"/>
    <n v="0"/>
    <x v="2"/>
    <d v="2013-04-05T00:00:00"/>
    <s v="12 years, 3 months"/>
    <n v="64"/>
    <n v="0"/>
    <n v="0"/>
    <n v="0"/>
    <n v="1"/>
    <n v="3"/>
    <n v="4"/>
  </r>
  <r>
    <n v="1431"/>
    <x v="1431"/>
    <n v="1973"/>
    <x v="26"/>
    <x v="4"/>
    <x v="3"/>
    <n v="31163"/>
    <x v="0"/>
    <n v="1"/>
    <n v="0"/>
    <x v="2"/>
    <d v="2014-02-13T00:00:00"/>
    <s v="11 years, 4 months"/>
    <n v="54"/>
    <n v="3"/>
    <n v="2"/>
    <n v="5"/>
    <n v="1"/>
    <n v="3"/>
    <n v="4"/>
  </r>
  <r>
    <n v="1432"/>
    <x v="1432"/>
    <n v="1985"/>
    <x v="7"/>
    <x v="0"/>
    <x v="2"/>
    <n v="92533"/>
    <x v="2"/>
    <n v="0"/>
    <n v="0"/>
    <x v="0"/>
    <d v="2013-12-19T00:00:00"/>
    <s v="11 years, 6 months"/>
    <n v="84"/>
    <n v="21"/>
    <n v="147"/>
    <n v="168"/>
    <n v="6"/>
    <n v="11"/>
    <n v="17"/>
  </r>
  <r>
    <n v="1433"/>
    <x v="1433"/>
    <n v="1973"/>
    <x v="26"/>
    <x v="0"/>
    <x v="0"/>
    <n v="34853"/>
    <x v="0"/>
    <n v="1"/>
    <n v="1"/>
    <x v="1"/>
    <d v="2013-12-23T00:00:00"/>
    <s v="11 years, 6 months"/>
    <n v="75"/>
    <n v="3"/>
    <n v="3"/>
    <n v="6"/>
    <n v="2"/>
    <n v="3"/>
    <n v="5"/>
  </r>
  <r>
    <n v="1434"/>
    <x v="1434"/>
    <n v="1967"/>
    <x v="5"/>
    <x v="0"/>
    <x v="3"/>
    <n v="70844"/>
    <x v="0"/>
    <n v="1"/>
    <n v="1"/>
    <x v="1"/>
    <d v="2013-10-30T00:00:00"/>
    <s v="11 years, 8 months"/>
    <n v="16"/>
    <n v="26"/>
    <n v="67"/>
    <n v="93"/>
    <n v="6"/>
    <n v="5"/>
    <n v="11"/>
  </r>
  <r>
    <n v="1435"/>
    <x v="1435"/>
    <n v="1979"/>
    <x v="19"/>
    <x v="4"/>
    <x v="2"/>
    <n v="31086"/>
    <x v="0"/>
    <n v="1"/>
    <n v="1"/>
    <x v="1"/>
    <d v="2013-05-04T00:00:00"/>
    <s v="12 years, 2 months"/>
    <n v="79"/>
    <n v="2"/>
    <n v="0"/>
    <n v="2"/>
    <n v="1"/>
    <n v="2"/>
    <n v="3"/>
  </r>
  <r>
    <n v="1436"/>
    <x v="1436"/>
    <n v="1961"/>
    <x v="45"/>
    <x v="0"/>
    <x v="2"/>
    <n v="60544"/>
    <x v="0"/>
    <n v="1"/>
    <n v="1"/>
    <x v="1"/>
    <d v="2012-08-25T00:00:00"/>
    <s v="12 years, 10 months"/>
    <n v="92"/>
    <n v="2"/>
    <n v="5"/>
    <n v="7"/>
    <n v="5"/>
    <n v="5"/>
    <n v="10"/>
  </r>
  <r>
    <n v="1437"/>
    <x v="1437"/>
    <n v="1986"/>
    <x v="22"/>
    <x v="4"/>
    <x v="1"/>
    <n v="20491"/>
    <x v="1"/>
    <n v="0"/>
    <n v="0"/>
    <x v="0"/>
    <d v="2013-01-25T00:00:00"/>
    <s v="12 years, 5 months"/>
    <n v="16"/>
    <n v="4"/>
    <n v="2"/>
    <n v="6"/>
    <n v="0"/>
    <n v="2"/>
    <n v="2"/>
  </r>
  <r>
    <n v="1438"/>
    <x v="1438"/>
    <n v="1964"/>
    <x v="31"/>
    <x v="0"/>
    <x v="2"/>
    <n v="42523"/>
    <x v="0"/>
    <n v="0"/>
    <n v="0"/>
    <x v="0"/>
    <d v="2014-04-23T00:00:00"/>
    <s v="11 years, 2 months"/>
    <n v="96"/>
    <n v="36"/>
    <n v="26"/>
    <n v="62"/>
    <n v="1"/>
    <n v="4"/>
    <n v="5"/>
  </r>
  <r>
    <n v="1439"/>
    <x v="1439"/>
    <n v="1983"/>
    <x v="10"/>
    <x v="0"/>
    <x v="2"/>
    <n v="39922"/>
    <x v="0"/>
    <n v="1"/>
    <n v="0"/>
    <x v="2"/>
    <d v="2013-02-14T00:00:00"/>
    <s v="12 years, 4 months"/>
    <n v="30"/>
    <n v="12"/>
    <n v="1"/>
    <n v="13"/>
    <n v="3"/>
    <n v="4"/>
    <n v="7"/>
  </r>
  <r>
    <n v="1440"/>
    <x v="1440"/>
    <n v="1952"/>
    <x v="13"/>
    <x v="0"/>
    <x v="1"/>
    <n v="33402"/>
    <x v="0"/>
    <n v="1"/>
    <n v="1"/>
    <x v="1"/>
    <d v="2013-07-18T00:00:00"/>
    <s v="11 years, 11 months"/>
    <n v="60"/>
    <n v="2"/>
    <n v="5"/>
    <n v="7"/>
    <n v="2"/>
    <n v="3"/>
    <n v="5"/>
  </r>
  <r>
    <n v="1441"/>
    <x v="1441"/>
    <n v="1949"/>
    <x v="17"/>
    <x v="2"/>
    <x v="2"/>
    <n v="36408"/>
    <x v="0"/>
    <n v="1"/>
    <n v="1"/>
    <x v="1"/>
    <d v="2013-09-21T00:00:00"/>
    <s v="11 years, 9 months"/>
    <n v="11"/>
    <n v="1"/>
    <n v="2"/>
    <n v="3"/>
    <n v="1"/>
    <n v="2"/>
    <n v="3"/>
  </r>
  <r>
    <n v="1442"/>
    <x v="1442"/>
    <n v="1979"/>
    <x v="19"/>
    <x v="0"/>
    <x v="1"/>
    <n v="21645"/>
    <x v="1"/>
    <n v="1"/>
    <n v="0"/>
    <x v="2"/>
    <d v="2012-09-03T00:00:00"/>
    <s v="12 years, 10 months"/>
    <n v="75"/>
    <n v="0"/>
    <n v="5"/>
    <n v="5"/>
    <n v="3"/>
    <n v="3"/>
    <n v="6"/>
  </r>
  <r>
    <n v="1443"/>
    <x v="1443"/>
    <n v="1948"/>
    <x v="37"/>
    <x v="2"/>
    <x v="4"/>
    <n v="78427"/>
    <x v="2"/>
    <n v="0"/>
    <n v="0"/>
    <x v="0"/>
    <d v="2012-10-24T00:00:00"/>
    <s v="12 years, 8 months"/>
    <n v="36"/>
    <n v="19"/>
    <n v="26"/>
    <n v="45"/>
    <n v="3"/>
    <n v="10"/>
    <n v="13"/>
  </r>
  <r>
    <n v="1444"/>
    <x v="1444"/>
    <n v="1946"/>
    <x v="15"/>
    <x v="0"/>
    <x v="1"/>
    <n v="82657"/>
    <x v="2"/>
    <n v="0"/>
    <n v="0"/>
    <x v="0"/>
    <d v="2013-09-27T00:00:00"/>
    <s v="11 years, 9 months"/>
    <n v="71"/>
    <n v="168"/>
    <n v="105"/>
    <n v="273"/>
    <n v="7"/>
    <n v="10"/>
    <n v="17"/>
  </r>
  <r>
    <n v="1445"/>
    <x v="1445"/>
    <n v="1958"/>
    <x v="38"/>
    <x v="0"/>
    <x v="2"/>
    <n v="51876"/>
    <x v="0"/>
    <n v="0"/>
    <n v="0"/>
    <x v="0"/>
    <d v="2013-10-15T00:00:00"/>
    <s v="11 years, 8 months"/>
    <n v="88"/>
    <n v="27"/>
    <n v="48"/>
    <n v="75"/>
    <n v="2"/>
    <n v="8"/>
    <n v="10"/>
  </r>
  <r>
    <n v="1446"/>
    <x v="1446"/>
    <n v="1971"/>
    <x v="6"/>
    <x v="4"/>
    <x v="2"/>
    <n v="78041"/>
    <x v="2"/>
    <n v="0"/>
    <n v="0"/>
    <x v="0"/>
    <d v="2012-12-16T00:00:00"/>
    <s v="12 years, 6 months"/>
    <n v="93"/>
    <n v="35"/>
    <n v="160"/>
    <n v="195"/>
    <n v="4"/>
    <n v="9"/>
    <n v="13"/>
  </r>
  <r>
    <n v="1447"/>
    <x v="1447"/>
    <n v="1957"/>
    <x v="0"/>
    <x v="0"/>
    <x v="2"/>
    <n v="52852"/>
    <x v="0"/>
    <n v="0"/>
    <n v="1"/>
    <x v="2"/>
    <d v="2012-12-01T00:00:00"/>
    <s v="12 years, 7 months"/>
    <n v="93"/>
    <n v="8"/>
    <n v="0"/>
    <n v="8"/>
    <n v="10"/>
    <n v="5"/>
    <n v="15"/>
  </r>
  <r>
    <n v="1448"/>
    <x v="1448"/>
    <n v="1982"/>
    <x v="18"/>
    <x v="1"/>
    <x v="1"/>
    <n v="70038"/>
    <x v="0"/>
    <n v="0"/>
    <n v="0"/>
    <x v="0"/>
    <d v="2013-10-25T00:00:00"/>
    <s v="11 years, 8 months"/>
    <n v="54"/>
    <n v="54"/>
    <n v="54"/>
    <n v="108"/>
    <n v="4"/>
    <n v="8"/>
    <n v="12"/>
  </r>
  <r>
    <n v="1449"/>
    <x v="1449"/>
    <n v="1973"/>
    <x v="26"/>
    <x v="4"/>
    <x v="1"/>
    <n v="69401"/>
    <x v="0"/>
    <n v="0"/>
    <n v="1"/>
    <x v="2"/>
    <d v="2014-03-23T00:00:00"/>
    <s v="11 years, 3 months"/>
    <n v="41"/>
    <n v="27"/>
    <n v="8"/>
    <n v="35"/>
    <n v="4"/>
    <n v="5"/>
    <n v="9"/>
  </r>
  <r>
    <n v="1450"/>
    <x v="1450"/>
    <n v="1972"/>
    <x v="39"/>
    <x v="0"/>
    <x v="1"/>
    <n v="46053"/>
    <x v="0"/>
    <n v="1"/>
    <n v="0"/>
    <x v="2"/>
    <d v="2013-02-17T00:00:00"/>
    <s v="12 years, 4 months"/>
    <n v="46"/>
    <n v="10"/>
    <n v="7"/>
    <n v="17"/>
    <n v="3"/>
    <n v="4"/>
    <n v="7"/>
  </r>
  <r>
    <n v="1451"/>
    <x v="1451"/>
    <n v="1965"/>
    <x v="2"/>
    <x v="0"/>
    <x v="2"/>
    <n v="77343"/>
    <x v="2"/>
    <n v="0"/>
    <n v="0"/>
    <x v="0"/>
    <d v="2014-06-09T00:00:00"/>
    <s v="11 years, 0 months"/>
    <n v="28"/>
    <n v="151"/>
    <n v="54"/>
    <n v="205"/>
    <n v="3"/>
    <n v="9"/>
    <n v="12"/>
  </r>
  <r>
    <n v="1452"/>
    <x v="1452"/>
    <n v="1953"/>
    <x v="44"/>
    <x v="0"/>
    <x v="0"/>
    <n v="73892"/>
    <x v="0"/>
    <n v="0"/>
    <n v="0"/>
    <x v="0"/>
    <d v="2013-11-13T00:00:00"/>
    <s v="11 years, 7 months"/>
    <n v="40"/>
    <n v="102"/>
    <n v="58"/>
    <n v="160"/>
    <n v="3"/>
    <n v="8"/>
    <n v="11"/>
  </r>
  <r>
    <n v="1453"/>
    <x v="1453"/>
    <n v="1967"/>
    <x v="5"/>
    <x v="1"/>
    <x v="0"/>
    <n v="40304"/>
    <x v="0"/>
    <n v="1"/>
    <n v="0"/>
    <x v="2"/>
    <d v="2013-09-30T00:00:00"/>
    <s v="11 years, 9 months"/>
    <n v="82"/>
    <n v="0"/>
    <n v="0"/>
    <n v="0"/>
    <n v="2"/>
    <n v="3"/>
    <n v="5"/>
  </r>
  <r>
    <n v="1454"/>
    <x v="1454"/>
    <n v="1965"/>
    <x v="2"/>
    <x v="1"/>
    <x v="1"/>
    <n v="32727"/>
    <x v="0"/>
    <n v="0"/>
    <n v="0"/>
    <x v="0"/>
    <d v="2012-08-28T00:00:00"/>
    <s v="12 years, 10 months"/>
    <n v="38"/>
    <n v="13"/>
    <n v="13"/>
    <n v="26"/>
    <n v="7"/>
    <n v="5"/>
    <n v="12"/>
  </r>
  <r>
    <n v="1455"/>
    <x v="1455"/>
    <n v="1969"/>
    <x v="21"/>
    <x v="0"/>
    <x v="1"/>
    <n v="68695"/>
    <x v="0"/>
    <n v="0"/>
    <n v="0"/>
    <x v="0"/>
    <d v="2014-06-25T00:00:00"/>
    <s v="11 years, 0 months"/>
    <n v="3"/>
    <n v="81"/>
    <n v="50"/>
    <n v="131"/>
    <n v="4"/>
    <n v="7"/>
    <n v="11"/>
  </r>
  <r>
    <n v="1456"/>
    <x v="1456"/>
    <n v="1971"/>
    <x v="6"/>
    <x v="0"/>
    <x v="3"/>
    <n v="43300"/>
    <x v="0"/>
    <n v="0"/>
    <n v="1"/>
    <x v="2"/>
    <d v="2012-10-13T00:00:00"/>
    <s v="12 years, 8 months"/>
    <n v="87"/>
    <n v="3"/>
    <n v="1"/>
    <n v="4"/>
    <n v="4"/>
    <n v="4"/>
    <n v="8"/>
  </r>
  <r>
    <n v="1457"/>
    <x v="1457"/>
    <n v="1972"/>
    <x v="39"/>
    <x v="0"/>
    <x v="1"/>
    <n v="26290"/>
    <x v="0"/>
    <n v="1"/>
    <n v="1"/>
    <x v="1"/>
    <d v="2013-01-12T00:00:00"/>
    <s v="12 years, 5 months"/>
    <n v="49"/>
    <n v="8"/>
    <n v="5"/>
    <n v="13"/>
    <n v="2"/>
    <n v="4"/>
    <n v="6"/>
  </r>
  <r>
    <n v="1458"/>
    <x v="1458"/>
    <n v="1970"/>
    <x v="25"/>
    <x v="0"/>
    <x v="0"/>
    <n v="93790"/>
    <x v="2"/>
    <n v="0"/>
    <n v="0"/>
    <x v="0"/>
    <d v="2014-02-12T00:00:00"/>
    <s v="11 years, 4 months"/>
    <n v="16"/>
    <n v="68"/>
    <n v="114"/>
    <n v="182"/>
    <n v="6"/>
    <n v="12"/>
    <n v="18"/>
  </r>
  <r>
    <n v="1459"/>
    <x v="1459"/>
    <n v="1974"/>
    <x v="8"/>
    <x v="1"/>
    <x v="2"/>
    <n v="38410"/>
    <x v="0"/>
    <n v="0"/>
    <n v="0"/>
    <x v="0"/>
    <d v="2012-09-14T00:00:00"/>
    <s v="12 years, 9 months"/>
    <n v="65"/>
    <n v="64"/>
    <n v="64"/>
    <n v="128"/>
    <n v="5"/>
    <n v="9"/>
    <n v="14"/>
  </r>
  <r>
    <n v="1460"/>
    <x v="1460"/>
    <n v="1950"/>
    <x v="9"/>
    <x v="2"/>
    <x v="4"/>
    <n v="64866"/>
    <x v="0"/>
    <n v="0"/>
    <n v="1"/>
    <x v="2"/>
    <d v="2014-01-26T00:00:00"/>
    <s v="11 years, 5 months"/>
    <n v="9"/>
    <n v="5"/>
    <n v="5"/>
    <n v="10"/>
    <n v="7"/>
    <n v="7"/>
    <n v="14"/>
  </r>
  <r>
    <n v="1461"/>
    <x v="1461"/>
    <n v="1959"/>
    <x v="12"/>
    <x v="0"/>
    <x v="1"/>
    <n v="57957"/>
    <x v="0"/>
    <n v="0"/>
    <n v="1"/>
    <x v="2"/>
    <d v="2013-08-19T00:00:00"/>
    <s v="11 years, 10 months"/>
    <n v="24"/>
    <n v="59"/>
    <n v="5"/>
    <n v="64"/>
    <n v="4"/>
    <n v="8"/>
    <n v="12"/>
  </r>
  <r>
    <n v="1462"/>
    <x v="1462"/>
    <n v="1955"/>
    <x v="34"/>
    <x v="1"/>
    <x v="1"/>
    <n v="46015"/>
    <x v="0"/>
    <n v="1"/>
    <n v="1"/>
    <x v="1"/>
    <d v="2014-04-13T00:00:00"/>
    <s v="11 years, 2 months"/>
    <n v="25"/>
    <n v="0"/>
    <n v="0"/>
    <n v="0"/>
    <n v="1"/>
    <n v="3"/>
    <n v="4"/>
  </r>
  <r>
    <n v="1463"/>
    <x v="1463"/>
    <n v="1978"/>
    <x v="33"/>
    <x v="0"/>
    <x v="1"/>
    <n v="16531"/>
    <x v="1"/>
    <n v="1"/>
    <n v="0"/>
    <x v="2"/>
    <d v="2014-06-18T00:00:00"/>
    <s v="11 years, 0 months"/>
    <n v="43"/>
    <n v="13"/>
    <n v="5"/>
    <n v="18"/>
    <n v="3"/>
    <n v="3"/>
    <n v="6"/>
  </r>
  <r>
    <n v="1464"/>
    <x v="1464"/>
    <n v="1986"/>
    <x v="22"/>
    <x v="2"/>
    <x v="2"/>
    <n v="28072"/>
    <x v="0"/>
    <n v="1"/>
    <n v="0"/>
    <x v="2"/>
    <d v="2013-07-08T00:00:00"/>
    <s v="11 years, 11 months"/>
    <n v="10"/>
    <n v="0"/>
    <n v="0"/>
    <n v="0"/>
    <n v="1"/>
    <n v="3"/>
    <n v="4"/>
  </r>
  <r>
    <n v="1465"/>
    <x v="1465"/>
    <n v="1963"/>
    <x v="24"/>
    <x v="2"/>
    <x v="3"/>
    <n v="49476"/>
    <x v="0"/>
    <n v="0"/>
    <n v="1"/>
    <x v="2"/>
    <d v="2013-06-20T00:00:00"/>
    <s v="12 years, 0 months"/>
    <n v="29"/>
    <n v="23"/>
    <n v="41"/>
    <n v="64"/>
    <n v="2"/>
    <n v="5"/>
    <n v="7"/>
  </r>
  <r>
    <n v="1466"/>
    <x v="1466"/>
    <n v="1953"/>
    <x v="44"/>
    <x v="0"/>
    <x v="2"/>
    <n v="50725"/>
    <x v="0"/>
    <n v="0"/>
    <n v="1"/>
    <x v="2"/>
    <d v="2013-02-13T00:00:00"/>
    <s v="12 years, 4 months"/>
    <n v="45"/>
    <n v="10"/>
    <n v="10"/>
    <n v="20"/>
    <n v="8"/>
    <n v="8"/>
    <n v="16"/>
  </r>
  <r>
    <n v="1467"/>
    <x v="1467"/>
    <n v="1952"/>
    <x v="13"/>
    <x v="0"/>
    <x v="1"/>
    <n v="83844"/>
    <x v="2"/>
    <n v="0"/>
    <n v="0"/>
    <x v="0"/>
    <d v="2013-05-12T00:00:00"/>
    <s v="12 years, 1 months"/>
    <n v="57"/>
    <n v="31"/>
    <n v="31"/>
    <n v="62"/>
    <n v="4"/>
    <n v="11"/>
    <n v="15"/>
  </r>
  <r>
    <n v="1468"/>
    <x v="1468"/>
    <n v="1950"/>
    <x v="9"/>
    <x v="1"/>
    <x v="2"/>
    <n v="41145"/>
    <x v="0"/>
    <n v="1"/>
    <n v="1"/>
    <x v="1"/>
    <d v="2014-02-08T00:00:00"/>
    <s v="11 years, 4 months"/>
    <n v="20"/>
    <n v="0"/>
    <n v="0"/>
    <n v="0"/>
    <n v="0"/>
    <n v="3"/>
    <n v="3"/>
  </r>
  <r>
    <n v="1469"/>
    <x v="1469"/>
    <n v="1970"/>
    <x v="25"/>
    <x v="0"/>
    <x v="1"/>
    <n v="67419"/>
    <x v="0"/>
    <n v="0"/>
    <n v="1"/>
    <x v="2"/>
    <d v="2013-01-16T00:00:00"/>
    <s v="12 years, 5 months"/>
    <n v="29"/>
    <n v="84"/>
    <n v="56"/>
    <n v="140"/>
    <n v="9"/>
    <n v="8"/>
    <n v="17"/>
  </r>
  <r>
    <n v="1470"/>
    <x v="1470"/>
    <n v="1970"/>
    <x v="25"/>
    <x v="4"/>
    <x v="2"/>
    <n v="23162"/>
    <x v="1"/>
    <n v="1"/>
    <n v="1"/>
    <x v="1"/>
    <d v="2013-12-21T00:00:00"/>
    <s v="11 years, 6 months"/>
    <n v="82"/>
    <n v="3"/>
    <n v="4"/>
    <n v="7"/>
    <n v="1"/>
    <n v="3"/>
    <n v="4"/>
  </r>
  <r>
    <n v="1471"/>
    <x v="1471"/>
    <n v="1977"/>
    <x v="32"/>
    <x v="0"/>
    <x v="2"/>
    <n v="34380"/>
    <x v="0"/>
    <n v="1"/>
    <n v="0"/>
    <x v="2"/>
    <d v="2013-05-02T00:00:00"/>
    <s v="12 years, 2 months"/>
    <n v="68"/>
    <n v="7"/>
    <n v="1"/>
    <n v="8"/>
    <n v="4"/>
    <n v="3"/>
    <n v="7"/>
  </r>
  <r>
    <n v="1472"/>
    <x v="1472"/>
    <n v="1966"/>
    <x v="35"/>
    <x v="0"/>
    <x v="0"/>
    <n v="34704"/>
    <x v="0"/>
    <n v="0"/>
    <n v="1"/>
    <x v="2"/>
    <d v="2013-04-27T00:00:00"/>
    <s v="12 years, 2 months"/>
    <n v="65"/>
    <n v="0"/>
    <n v="1"/>
    <n v="1"/>
    <n v="1"/>
    <n v="3"/>
    <n v="4"/>
  </r>
  <r>
    <n v="1473"/>
    <x v="1473"/>
    <n v="1969"/>
    <x v="21"/>
    <x v="1"/>
    <x v="2"/>
    <n v="94871"/>
    <x v="2"/>
    <n v="0"/>
    <n v="2"/>
    <x v="1"/>
    <d v="2012-09-01T00:00:00"/>
    <s v="12 years, 10 months"/>
    <n v="99"/>
    <n v="24"/>
    <n v="0"/>
    <n v="24"/>
    <n v="8"/>
    <n v="4"/>
    <n v="12"/>
  </r>
  <r>
    <n v="1474"/>
    <x v="1474"/>
    <n v="1958"/>
    <x v="38"/>
    <x v="0"/>
    <x v="2"/>
    <n v="65148"/>
    <x v="0"/>
    <n v="0"/>
    <n v="1"/>
    <x v="2"/>
    <d v="2012-11-16T00:00:00"/>
    <s v="12 years, 7 months"/>
    <n v="9"/>
    <n v="35"/>
    <n v="12"/>
    <n v="47"/>
    <n v="6"/>
    <n v="7"/>
    <n v="13"/>
  </r>
  <r>
    <n v="1475"/>
    <x v="1475"/>
    <n v="1954"/>
    <x v="1"/>
    <x v="0"/>
    <x v="1"/>
    <n v="39898"/>
    <x v="0"/>
    <n v="0"/>
    <n v="1"/>
    <x v="2"/>
    <d v="2013-02-12T00:00:00"/>
    <s v="12 years, 4 months"/>
    <n v="20"/>
    <n v="8"/>
    <n v="7"/>
    <n v="15"/>
    <n v="3"/>
    <n v="4"/>
    <n v="7"/>
  </r>
  <r>
    <n v="1476"/>
    <x v="1476"/>
    <n v="1956"/>
    <x v="46"/>
    <x v="2"/>
    <x v="0"/>
    <n v="64857"/>
    <x v="0"/>
    <n v="0"/>
    <n v="0"/>
    <x v="0"/>
    <d v="2012-11-23T00:00:00"/>
    <s v="12 years, 7 months"/>
    <n v="78"/>
    <n v="14"/>
    <n v="0"/>
    <n v="14"/>
    <n v="7"/>
    <n v="10"/>
    <n v="17"/>
  </r>
  <r>
    <n v="1477"/>
    <x v="1477"/>
    <n v="1970"/>
    <x v="25"/>
    <x v="1"/>
    <x v="2"/>
    <n v="59892"/>
    <x v="0"/>
    <n v="0"/>
    <n v="1"/>
    <x v="2"/>
    <d v="2013-11-02T00:00:00"/>
    <s v="11 years, 8 months"/>
    <n v="26"/>
    <n v="0"/>
    <n v="1"/>
    <n v="1"/>
    <n v="2"/>
    <n v="3"/>
    <n v="5"/>
  </r>
  <r>
    <n v="1478"/>
    <x v="1478"/>
    <n v="1987"/>
    <x v="14"/>
    <x v="2"/>
    <x v="0"/>
    <n v="41020"/>
    <x v="0"/>
    <n v="0"/>
    <n v="0"/>
    <x v="0"/>
    <d v="2013-10-28T00:00:00"/>
    <s v="11 years, 8 months"/>
    <n v="68"/>
    <n v="1"/>
    <n v="7"/>
    <n v="8"/>
    <n v="3"/>
    <n v="4"/>
    <n v="7"/>
  </r>
  <r>
    <n v="1479"/>
    <x v="1479"/>
    <n v="1961"/>
    <x v="45"/>
    <x v="1"/>
    <x v="2"/>
    <n v="57072"/>
    <x v="0"/>
    <n v="0"/>
    <n v="1"/>
    <x v="2"/>
    <d v="2014-01-24T00:00:00"/>
    <s v="11 years, 5 months"/>
    <n v="79"/>
    <n v="0"/>
    <n v="0"/>
    <n v="0"/>
    <n v="7"/>
    <n v="13"/>
    <n v="20"/>
  </r>
  <r>
    <n v="1480"/>
    <x v="1480"/>
    <n v="1979"/>
    <x v="19"/>
    <x v="0"/>
    <x v="0"/>
    <n v="60474"/>
    <x v="0"/>
    <n v="0"/>
    <n v="1"/>
    <x v="2"/>
    <d v="2013-04-01T00:00:00"/>
    <s v="12 years, 3 months"/>
    <n v="25"/>
    <n v="199"/>
    <n v="9"/>
    <n v="208"/>
    <n v="10"/>
    <n v="12"/>
    <n v="22"/>
  </r>
  <r>
    <n v="1481"/>
    <x v="1481"/>
    <n v="1960"/>
    <x v="40"/>
    <x v="0"/>
    <x v="1"/>
    <n v="62807"/>
    <x v="0"/>
    <n v="0"/>
    <n v="1"/>
    <x v="2"/>
    <d v="2012-08-31T00:00:00"/>
    <s v="12 years, 10 months"/>
    <n v="83"/>
    <n v="28"/>
    <n v="21"/>
    <n v="49"/>
    <n v="5"/>
    <n v="12"/>
    <n v="17"/>
  </r>
  <r>
    <n v="1482"/>
    <x v="1482"/>
    <n v="1981"/>
    <x v="4"/>
    <x v="4"/>
    <x v="1"/>
    <n v="19414"/>
    <x v="1"/>
    <n v="1"/>
    <n v="0"/>
    <x v="2"/>
    <d v="2013-10-16T00:00:00"/>
    <s v="11 years, 8 months"/>
    <n v="32"/>
    <n v="3"/>
    <n v="5"/>
    <n v="8"/>
    <n v="1"/>
    <n v="3"/>
    <n v="4"/>
  </r>
  <r>
    <n v="1483"/>
    <x v="1483"/>
    <n v="1980"/>
    <x v="16"/>
    <x v="0"/>
    <x v="2"/>
    <n v="19107"/>
    <x v="1"/>
    <n v="1"/>
    <n v="0"/>
    <x v="2"/>
    <d v="2013-08-22T00:00:00"/>
    <s v="11 years, 10 months"/>
    <n v="49"/>
    <n v="4"/>
    <n v="5"/>
    <n v="9"/>
    <n v="1"/>
    <n v="3"/>
    <n v="4"/>
  </r>
  <r>
    <n v="1484"/>
    <x v="1484"/>
    <n v="1976"/>
    <x v="11"/>
    <x v="4"/>
    <x v="1"/>
    <n v="75484"/>
    <x v="2"/>
    <n v="0"/>
    <n v="1"/>
    <x v="2"/>
    <d v="2012-08-02T00:00:00"/>
    <s v="12 years, 11 months"/>
    <n v="50"/>
    <n v="97"/>
    <n v="194"/>
    <n v="291"/>
    <n v="7"/>
    <n v="6"/>
    <n v="13"/>
  </r>
  <r>
    <n v="1485"/>
    <x v="1485"/>
    <n v="1976"/>
    <x v="11"/>
    <x v="2"/>
    <x v="0"/>
    <n v="70379"/>
    <x v="0"/>
    <n v="0"/>
    <n v="1"/>
    <x v="2"/>
    <d v="2013-03-03T00:00:00"/>
    <s v="12 years, 4 months"/>
    <n v="84"/>
    <n v="25"/>
    <n v="67"/>
    <n v="92"/>
    <n v="6"/>
    <n v="13"/>
    <n v="19"/>
  </r>
  <r>
    <n v="1486"/>
    <x v="1486"/>
    <n v="1970"/>
    <x v="25"/>
    <x v="2"/>
    <x v="1"/>
    <n v="79419"/>
    <x v="2"/>
    <n v="0"/>
    <n v="0"/>
    <x v="0"/>
    <d v="2014-06-22T00:00:00"/>
    <s v="11 years, 0 months"/>
    <n v="96"/>
    <n v="127"/>
    <n v="15"/>
    <n v="142"/>
    <n v="4"/>
    <n v="4"/>
    <n v="8"/>
  </r>
  <r>
    <n v="1487"/>
    <x v="1487"/>
    <n v="1946"/>
    <x v="15"/>
    <x v="1"/>
    <x v="1"/>
    <n v="64014"/>
    <x v="0"/>
    <n v="2"/>
    <n v="1"/>
    <x v="3"/>
    <d v="2014-06-10T00:00:00"/>
    <s v="11 years, 0 months"/>
    <n v="56"/>
    <n v="0"/>
    <n v="0"/>
    <n v="0"/>
    <n v="8"/>
    <n v="5"/>
    <n v="13"/>
  </r>
  <r>
    <n v="1488"/>
    <x v="1488"/>
    <n v="1955"/>
    <x v="34"/>
    <x v="0"/>
    <x v="2"/>
    <n v="76998"/>
    <x v="2"/>
    <n v="0"/>
    <n v="1"/>
    <x v="2"/>
    <d v="2013-01-11T00:00:00"/>
    <s v="12 years, 5 months"/>
    <n v="85"/>
    <n v="89"/>
    <n v="35"/>
    <n v="124"/>
    <n v="11"/>
    <n v="8"/>
    <n v="19"/>
  </r>
  <r>
    <n v="1489"/>
    <x v="1489"/>
    <n v="1972"/>
    <x v="39"/>
    <x v="2"/>
    <x v="1"/>
    <n v="49854"/>
    <x v="0"/>
    <n v="1"/>
    <n v="0"/>
    <x v="2"/>
    <d v="2013-11-10T00:00:00"/>
    <s v="11 years, 7 months"/>
    <n v="63"/>
    <n v="17"/>
    <n v="0"/>
    <n v="17"/>
    <n v="6"/>
    <n v="5"/>
    <n v="11"/>
  </r>
  <r>
    <n v="1490"/>
    <x v="1490"/>
    <n v="1971"/>
    <x v="6"/>
    <x v="1"/>
    <x v="2"/>
    <n v="60585"/>
    <x v="0"/>
    <n v="1"/>
    <n v="1"/>
    <x v="1"/>
    <d v="2013-06-24T00:00:00"/>
    <s v="12 years, 0 months"/>
    <n v="17"/>
    <n v="42"/>
    <n v="42"/>
    <n v="84"/>
    <n v="7"/>
    <n v="9"/>
    <n v="16"/>
  </r>
  <r>
    <n v="1491"/>
    <x v="1491"/>
    <n v="1950"/>
    <x v="9"/>
    <x v="1"/>
    <x v="3"/>
    <n v="42873"/>
    <x v="0"/>
    <n v="1"/>
    <n v="1"/>
    <x v="1"/>
    <d v="2013-01-21T00:00:00"/>
    <s v="12 years, 5 months"/>
    <n v="11"/>
    <n v="0"/>
    <n v="2"/>
    <n v="2"/>
    <n v="6"/>
    <n v="4"/>
    <n v="10"/>
  </r>
  <r>
    <n v="1492"/>
    <x v="1492"/>
    <n v="1988"/>
    <x v="36"/>
    <x v="0"/>
    <x v="1"/>
    <n v="87679"/>
    <x v="2"/>
    <n v="0"/>
    <n v="0"/>
    <x v="0"/>
    <d v="2013-07-27T00:00:00"/>
    <s v="11 years, 11 months"/>
    <n v="62"/>
    <n v="172"/>
    <n v="148"/>
    <n v="320"/>
    <n v="7"/>
    <n v="10"/>
    <n v="17"/>
  </r>
  <r>
    <n v="1493"/>
    <x v="1493"/>
    <n v="1978"/>
    <x v="33"/>
    <x v="0"/>
    <x v="1"/>
    <n v="57867"/>
    <x v="0"/>
    <n v="1"/>
    <n v="0"/>
    <x v="2"/>
    <d v="2013-10-01T00:00:00"/>
    <s v="11 years, 9 months"/>
    <n v="48"/>
    <n v="35"/>
    <n v="23"/>
    <n v="58"/>
    <n v="7"/>
    <n v="9"/>
    <n v="16"/>
  </r>
  <r>
    <n v="1494"/>
    <x v="1494"/>
    <n v="1990"/>
    <x v="50"/>
    <x v="0"/>
    <x v="2"/>
    <n v="35765"/>
    <x v="0"/>
    <n v="1"/>
    <n v="0"/>
    <x v="2"/>
    <d v="2013-12-11T00:00:00"/>
    <s v="11 years, 6 months"/>
    <n v="86"/>
    <n v="3"/>
    <n v="5"/>
    <n v="8"/>
    <n v="2"/>
    <n v="4"/>
    <n v="6"/>
  </r>
  <r>
    <n v="1495"/>
    <x v="1495"/>
    <n v="1959"/>
    <x v="12"/>
    <x v="0"/>
    <x v="2"/>
    <n v="65492"/>
    <x v="0"/>
    <n v="0"/>
    <n v="0"/>
    <x v="0"/>
    <d v="2014-01-26T00:00:00"/>
    <s v="11 years, 5 months"/>
    <n v="73"/>
    <n v="161"/>
    <n v="85"/>
    <n v="246"/>
    <n v="4"/>
    <n v="13"/>
    <n v="17"/>
  </r>
  <r>
    <n v="1496"/>
    <x v="1496"/>
    <n v="1977"/>
    <x v="32"/>
    <x v="0"/>
    <x v="3"/>
    <n v="32952"/>
    <x v="0"/>
    <n v="1"/>
    <n v="0"/>
    <x v="2"/>
    <d v="2013-12-01T00:00:00"/>
    <s v="11 years, 7 months"/>
    <n v="36"/>
    <n v="0"/>
    <n v="1"/>
    <n v="1"/>
    <n v="2"/>
    <n v="3"/>
    <n v="5"/>
  </r>
  <r>
    <n v="1497"/>
    <x v="1497"/>
    <n v="1969"/>
    <x v="21"/>
    <x v="1"/>
    <x v="1"/>
    <n v="53374"/>
    <x v="0"/>
    <n v="0"/>
    <n v="1"/>
    <x v="2"/>
    <d v="2012-08-16T00:00:00"/>
    <s v="12 years, 10 months"/>
    <n v="34"/>
    <n v="10"/>
    <n v="10"/>
    <n v="20"/>
    <n v="4"/>
    <n v="9"/>
    <n v="13"/>
  </r>
  <r>
    <n v="1498"/>
    <x v="1498"/>
    <n v="1959"/>
    <x v="12"/>
    <x v="0"/>
    <x v="1"/>
    <n v="71706"/>
    <x v="0"/>
    <n v="0"/>
    <n v="1"/>
    <x v="2"/>
    <d v="2012-11-13T00:00:00"/>
    <s v="12 years, 7 months"/>
    <n v="16"/>
    <n v="56"/>
    <n v="98"/>
    <n v="154"/>
    <n v="9"/>
    <n v="7"/>
    <n v="16"/>
  </r>
  <r>
    <n v="1499"/>
    <x v="1499"/>
    <n v="1988"/>
    <x v="36"/>
    <x v="0"/>
    <x v="2"/>
    <n v="68487"/>
    <x v="0"/>
    <n v="0"/>
    <n v="0"/>
    <x v="0"/>
    <d v="2013-01-13T00:00:00"/>
    <s v="12 years, 5 months"/>
    <n v="48"/>
    <n v="12"/>
    <n v="89"/>
    <n v="101"/>
    <n v="9"/>
    <n v="13"/>
    <n v="22"/>
  </r>
  <r>
    <n v="1500"/>
    <x v="1500"/>
    <n v="1975"/>
    <x v="28"/>
    <x v="2"/>
    <x v="1"/>
    <n v="53253"/>
    <x v="0"/>
    <n v="1"/>
    <n v="1"/>
    <x v="1"/>
    <d v="2013-02-11T00:00:00"/>
    <s v="12 years, 4 months"/>
    <n v="61"/>
    <n v="9"/>
    <n v="9"/>
    <n v="18"/>
    <n v="4"/>
    <n v="5"/>
    <n v="9"/>
  </r>
  <r>
    <n v="1501"/>
    <x v="1501"/>
    <n v="1973"/>
    <x v="26"/>
    <x v="4"/>
    <x v="3"/>
    <n v="31163"/>
    <x v="0"/>
    <n v="1"/>
    <n v="0"/>
    <x v="2"/>
    <d v="2014-02-13T00:00:00"/>
    <s v="11 years, 4 months"/>
    <n v="54"/>
    <n v="3"/>
    <n v="2"/>
    <n v="5"/>
    <n v="1"/>
    <n v="3"/>
    <n v="4"/>
  </r>
  <r>
    <n v="1502"/>
    <x v="1502"/>
    <n v="1977"/>
    <x v="32"/>
    <x v="0"/>
    <x v="2"/>
    <n v="42014"/>
    <x v="0"/>
    <n v="1"/>
    <n v="0"/>
    <x v="2"/>
    <d v="2012-08-17T00:00:00"/>
    <s v="12 years, 10 months"/>
    <n v="56"/>
    <n v="15"/>
    <n v="15"/>
    <n v="30"/>
    <n v="7"/>
    <n v="6"/>
    <n v="13"/>
  </r>
  <r>
    <n v="1503"/>
    <x v="1503"/>
    <n v="1973"/>
    <x v="26"/>
    <x v="2"/>
    <x v="2"/>
    <n v="54108"/>
    <x v="0"/>
    <n v="1"/>
    <n v="1"/>
    <x v="1"/>
    <d v="2012-11-05T00:00:00"/>
    <s v="12 years, 8 months"/>
    <n v="74"/>
    <n v="6"/>
    <n v="6"/>
    <n v="12"/>
    <n v="8"/>
    <n v="9"/>
    <n v="17"/>
  </r>
  <r>
    <n v="1504"/>
    <x v="1504"/>
    <n v="1955"/>
    <x v="34"/>
    <x v="1"/>
    <x v="0"/>
    <n v="49667"/>
    <x v="0"/>
    <n v="0"/>
    <n v="0"/>
    <x v="0"/>
    <d v="2012-08-20T00:00:00"/>
    <s v="12 years, 10 months"/>
    <n v="35"/>
    <n v="26"/>
    <n v="13"/>
    <n v="39"/>
    <n v="5"/>
    <n v="5"/>
    <n v="10"/>
  </r>
  <r>
    <n v="1505"/>
    <x v="1505"/>
    <n v="1974"/>
    <x v="8"/>
    <x v="2"/>
    <x v="2"/>
    <n v="63206"/>
    <x v="0"/>
    <n v="0"/>
    <n v="0"/>
    <x v="0"/>
    <d v="2014-03-20T00:00:00"/>
    <s v="11 years, 3 months"/>
    <n v="65"/>
    <n v="8"/>
    <n v="8"/>
    <n v="16"/>
    <n v="4"/>
    <n v="6"/>
    <n v="10"/>
  </r>
  <r>
    <n v="1506"/>
    <x v="1506"/>
    <n v="1972"/>
    <x v="39"/>
    <x v="2"/>
    <x v="2"/>
    <n v="57136"/>
    <x v="0"/>
    <n v="1"/>
    <n v="1"/>
    <x v="1"/>
    <d v="2013-07-09T00:00:00"/>
    <s v="11 years, 11 months"/>
    <n v="48"/>
    <n v="5"/>
    <n v="109"/>
    <n v="114"/>
    <n v="5"/>
    <n v="10"/>
    <n v="15"/>
  </r>
  <r>
    <n v="1507"/>
    <x v="1507"/>
    <n v="1975"/>
    <x v="28"/>
    <x v="4"/>
    <x v="1"/>
    <n v="46772"/>
    <x v="0"/>
    <n v="0"/>
    <n v="1"/>
    <x v="2"/>
    <d v="2012-11-07T00:00:00"/>
    <s v="12 years, 7 months"/>
    <n v="88"/>
    <n v="104"/>
    <n v="151"/>
    <n v="255"/>
    <n v="11"/>
    <n v="5"/>
    <n v="16"/>
  </r>
  <r>
    <n v="1508"/>
    <x v="1508"/>
    <n v="1971"/>
    <x v="6"/>
    <x v="1"/>
    <x v="2"/>
    <n v="78931"/>
    <x v="2"/>
    <n v="0"/>
    <n v="0"/>
    <x v="0"/>
    <d v="2013-10-25T00:00:00"/>
    <s v="11 years, 8 months"/>
    <n v="19"/>
    <n v="197"/>
    <n v="152"/>
    <n v="349"/>
    <n v="2"/>
    <n v="13"/>
    <n v="15"/>
  </r>
  <r>
    <n v="1509"/>
    <x v="1509"/>
    <n v="1958"/>
    <x v="38"/>
    <x v="0"/>
    <x v="1"/>
    <n v="53977"/>
    <x v="0"/>
    <n v="0"/>
    <n v="1"/>
    <x v="2"/>
    <d v="2013-06-08T00:00:00"/>
    <s v="12 years, 0 months"/>
    <n v="21"/>
    <n v="16"/>
    <n v="24"/>
    <n v="40"/>
    <n v="5"/>
    <n v="12"/>
    <n v="17"/>
  </r>
  <r>
    <n v="1510"/>
    <x v="1510"/>
    <n v="1988"/>
    <x v="36"/>
    <x v="0"/>
    <x v="2"/>
    <n v="84219"/>
    <x v="2"/>
    <n v="0"/>
    <n v="0"/>
    <x v="0"/>
    <d v="2014-02-02T00:00:00"/>
    <s v="11 years, 5 months"/>
    <n v="27"/>
    <n v="137"/>
    <n v="137"/>
    <n v="274"/>
    <n v="3"/>
    <n v="10"/>
    <n v="13"/>
  </r>
  <r>
    <n v="1511"/>
    <x v="1511"/>
    <n v="1975"/>
    <x v="28"/>
    <x v="2"/>
    <x v="0"/>
    <n v="46098"/>
    <x v="0"/>
    <n v="1"/>
    <n v="1"/>
    <x v="1"/>
    <d v="2012-08-18T00:00:00"/>
    <s v="12 years, 10 months"/>
    <n v="86"/>
    <n v="0"/>
    <n v="0"/>
    <n v="0"/>
    <n v="3"/>
    <n v="2"/>
    <n v="5"/>
  </r>
  <r>
    <n v="1512"/>
    <x v="1512"/>
    <n v="1965"/>
    <x v="2"/>
    <x v="0"/>
    <x v="2"/>
    <n v="73538"/>
    <x v="0"/>
    <n v="0"/>
    <n v="1"/>
    <x v="2"/>
    <d v="2012-11-25T00:00:00"/>
    <s v="12 years, 7 months"/>
    <n v="92"/>
    <n v="76"/>
    <n v="137"/>
    <n v="213"/>
    <n v="10"/>
    <n v="9"/>
    <n v="19"/>
  </r>
  <r>
    <n v="1513"/>
    <x v="1513"/>
    <n v="1986"/>
    <x v="22"/>
    <x v="0"/>
    <x v="2"/>
    <n v="79529"/>
    <x v="2"/>
    <n v="0"/>
    <n v="0"/>
    <x v="0"/>
    <d v="2014-04-27T00:00:00"/>
    <s v="11 years, 2 months"/>
    <n v="1"/>
    <n v="42"/>
    <n v="197"/>
    <n v="239"/>
    <n v="4"/>
    <n v="9"/>
    <n v="13"/>
  </r>
  <r>
    <n v="1514"/>
    <x v="1514"/>
    <n v="1977"/>
    <x v="32"/>
    <x v="4"/>
    <x v="1"/>
    <n v="20981"/>
    <x v="1"/>
    <n v="0"/>
    <n v="0"/>
    <x v="0"/>
    <d v="2013-04-30T00:00:00"/>
    <s v="12 years, 2 months"/>
    <n v="14"/>
    <n v="12"/>
    <n v="13"/>
    <n v="25"/>
    <n v="3"/>
    <n v="2"/>
    <n v="5"/>
  </r>
  <r>
    <n v="1515"/>
    <x v="1515"/>
    <n v="1980"/>
    <x v="16"/>
    <x v="0"/>
    <x v="0"/>
    <n v="51766"/>
    <x v="0"/>
    <n v="1"/>
    <n v="0"/>
    <x v="2"/>
    <d v="2014-03-11T00:00:00"/>
    <s v="11 years, 3 months"/>
    <n v="74"/>
    <n v="51"/>
    <n v="20"/>
    <n v="71"/>
    <n v="4"/>
    <n v="4"/>
    <n v="8"/>
  </r>
  <r>
    <n v="1516"/>
    <x v="1516"/>
    <n v="1962"/>
    <x v="43"/>
    <x v="0"/>
    <x v="2"/>
    <n v="55759"/>
    <x v="0"/>
    <n v="0"/>
    <n v="1"/>
    <x v="2"/>
    <d v="2012-11-28T00:00:00"/>
    <s v="12 years, 7 months"/>
    <n v="84"/>
    <n v="0"/>
    <n v="7"/>
    <n v="7"/>
    <n v="10"/>
    <n v="8"/>
    <n v="18"/>
  </r>
  <r>
    <n v="1517"/>
    <x v="1517"/>
    <n v="1978"/>
    <x v="33"/>
    <x v="0"/>
    <x v="2"/>
    <n v="33039"/>
    <x v="0"/>
    <n v="1"/>
    <n v="0"/>
    <x v="2"/>
    <d v="2013-09-09T00:00:00"/>
    <s v="11 years, 9 months"/>
    <n v="4"/>
    <n v="8"/>
    <n v="8"/>
    <n v="16"/>
    <n v="2"/>
    <n v="4"/>
    <n v="6"/>
  </r>
  <r>
    <n v="1518"/>
    <x v="1518"/>
    <n v="1972"/>
    <x v="39"/>
    <x v="2"/>
    <x v="2"/>
    <n v="37787"/>
    <x v="0"/>
    <n v="1"/>
    <n v="0"/>
    <x v="2"/>
    <d v="2013-09-20T00:00:00"/>
    <s v="11 years, 9 months"/>
    <n v="50"/>
    <n v="1"/>
    <n v="3"/>
    <n v="4"/>
    <n v="3"/>
    <n v="3"/>
    <n v="6"/>
  </r>
  <r>
    <n v="1519"/>
    <x v="1519"/>
    <n v="1970"/>
    <x v="25"/>
    <x v="0"/>
    <x v="0"/>
    <n v="27242"/>
    <x v="0"/>
    <n v="1"/>
    <n v="0"/>
    <x v="2"/>
    <d v="2012-11-11T00:00:00"/>
    <s v="12 years, 7 months"/>
    <n v="2"/>
    <n v="17"/>
    <n v="1"/>
    <n v="18"/>
    <n v="2"/>
    <n v="3"/>
    <n v="5"/>
  </r>
  <r>
    <n v="1520"/>
    <x v="1520"/>
    <n v="1983"/>
    <x v="10"/>
    <x v="1"/>
    <x v="0"/>
    <n v="87188"/>
    <x v="2"/>
    <n v="0"/>
    <n v="0"/>
    <x v="0"/>
    <d v="2013-06-03T00:00:00"/>
    <s v="12 years, 1 months"/>
    <n v="73"/>
    <n v="111"/>
    <n v="74"/>
    <n v="185"/>
    <n v="10"/>
    <n v="6"/>
    <n v="16"/>
  </r>
  <r>
    <n v="1521"/>
    <x v="1521"/>
    <n v="1971"/>
    <x v="6"/>
    <x v="0"/>
    <x v="1"/>
    <n v="69930"/>
    <x v="0"/>
    <n v="0"/>
    <n v="0"/>
    <x v="0"/>
    <d v="2013-05-26T00:00:00"/>
    <s v="12 years, 1 months"/>
    <n v="21"/>
    <n v="98"/>
    <n v="70"/>
    <n v="168"/>
    <n v="4"/>
    <n v="12"/>
    <n v="16"/>
  </r>
  <r>
    <n v="1522"/>
    <x v="1522"/>
    <n v="1976"/>
    <x v="11"/>
    <x v="0"/>
    <x v="0"/>
    <n v="37697"/>
    <x v="0"/>
    <n v="1"/>
    <n v="0"/>
    <x v="2"/>
    <d v="2014-02-07T00:00:00"/>
    <s v="11 years, 4 months"/>
    <n v="82"/>
    <n v="6"/>
    <n v="4"/>
    <n v="10"/>
    <n v="2"/>
    <n v="3"/>
    <n v="5"/>
  </r>
  <r>
    <n v="1523"/>
    <x v="1523"/>
    <n v="1973"/>
    <x v="26"/>
    <x v="1"/>
    <x v="2"/>
    <n v="37401"/>
    <x v="0"/>
    <n v="1"/>
    <n v="0"/>
    <x v="2"/>
    <d v="2014-05-06T00:00:00"/>
    <s v="11 years, 2 months"/>
    <n v="14"/>
    <n v="3"/>
    <n v="1"/>
    <n v="4"/>
    <n v="2"/>
    <n v="3"/>
    <n v="5"/>
  </r>
  <r>
    <n v="1524"/>
    <x v="1524"/>
    <n v="1973"/>
    <x v="26"/>
    <x v="0"/>
    <x v="0"/>
    <n v="3502"/>
    <x v="1"/>
    <n v="1"/>
    <n v="0"/>
    <x v="2"/>
    <d v="2013-04-13T00:00:00"/>
    <s v="12 years, 2 months"/>
    <n v="56"/>
    <n v="1"/>
    <n v="0"/>
    <n v="1"/>
    <n v="0"/>
    <n v="0"/>
    <n v="0"/>
  </r>
  <r>
    <n v="1525"/>
    <x v="1525"/>
    <n v="1976"/>
    <x v="11"/>
    <x v="0"/>
    <x v="2"/>
    <n v="58597"/>
    <x v="0"/>
    <n v="1"/>
    <n v="1"/>
    <x v="1"/>
    <d v="2012-11-20T00:00:00"/>
    <s v="12 years, 7 months"/>
    <n v="20"/>
    <n v="0"/>
    <n v="28"/>
    <n v="28"/>
    <n v="7"/>
    <n v="9"/>
    <n v="16"/>
  </r>
  <r>
    <n v="1526"/>
    <x v="1526"/>
    <n v="1948"/>
    <x v="37"/>
    <x v="1"/>
    <x v="4"/>
    <n v="82032"/>
    <x v="2"/>
    <n v="0"/>
    <n v="0"/>
    <x v="0"/>
    <d v="2014-04-05T00:00:00"/>
    <s v="11 years, 3 months"/>
    <n v="54"/>
    <n v="194"/>
    <n v="125"/>
    <n v="319"/>
    <n v="4"/>
    <n v="7"/>
    <n v="11"/>
  </r>
  <r>
    <n v="1527"/>
    <x v="1527"/>
    <n v="1958"/>
    <x v="38"/>
    <x v="0"/>
    <x v="1"/>
    <n v="28087"/>
    <x v="0"/>
    <n v="1"/>
    <n v="1"/>
    <x v="1"/>
    <d v="2012-12-11T00:00:00"/>
    <s v="12 years, 6 months"/>
    <n v="77"/>
    <n v="8"/>
    <n v="0"/>
    <n v="8"/>
    <n v="2"/>
    <n v="2"/>
    <n v="4"/>
  </r>
  <r>
    <n v="1528"/>
    <x v="1528"/>
    <n v="1987"/>
    <x v="14"/>
    <x v="1"/>
    <x v="0"/>
    <n v="74004"/>
    <x v="0"/>
    <n v="0"/>
    <n v="0"/>
    <x v="0"/>
    <d v="2014-02-24T00:00:00"/>
    <s v="11 years, 4 months"/>
    <n v="5"/>
    <n v="48"/>
    <n v="176"/>
    <n v="224"/>
    <n v="4"/>
    <n v="4"/>
    <n v="8"/>
  </r>
  <r>
    <n v="1529"/>
    <x v="1529"/>
    <n v="1960"/>
    <x v="40"/>
    <x v="0"/>
    <x v="1"/>
    <n v="19740"/>
    <x v="1"/>
    <n v="0"/>
    <n v="1"/>
    <x v="2"/>
    <d v="2013-03-24T00:00:00"/>
    <s v="12 years, 3 months"/>
    <n v="65"/>
    <n v="11"/>
    <n v="4"/>
    <n v="15"/>
    <n v="1"/>
    <n v="3"/>
    <n v="4"/>
  </r>
  <r>
    <n v="1530"/>
    <x v="1530"/>
    <n v="1975"/>
    <x v="28"/>
    <x v="4"/>
    <x v="2"/>
    <n v="57036"/>
    <x v="0"/>
    <n v="0"/>
    <n v="1"/>
    <x v="2"/>
    <d v="2012-12-11T00:00:00"/>
    <s v="12 years, 6 months"/>
    <n v="33"/>
    <n v="43"/>
    <n v="14"/>
    <n v="57"/>
    <n v="6"/>
    <n v="13"/>
    <n v="19"/>
  </r>
  <r>
    <n v="1531"/>
    <x v="1531"/>
    <n v="1958"/>
    <x v="38"/>
    <x v="4"/>
    <x v="1"/>
    <n v="53083"/>
    <x v="0"/>
    <n v="1"/>
    <n v="1"/>
    <x v="1"/>
    <d v="2013-05-15T00:00:00"/>
    <s v="12 years, 1 months"/>
    <n v="65"/>
    <n v="7"/>
    <n v="0"/>
    <n v="7"/>
    <n v="5"/>
    <n v="5"/>
    <n v="10"/>
  </r>
  <r>
    <n v="1532"/>
    <x v="1532"/>
    <n v="1975"/>
    <x v="28"/>
    <x v="1"/>
    <x v="2"/>
    <n v="69283"/>
    <x v="0"/>
    <n v="0"/>
    <n v="1"/>
    <x v="2"/>
    <d v="2014-06-14T00:00:00"/>
    <s v="11 years, 0 months"/>
    <n v="41"/>
    <n v="62"/>
    <n v="26"/>
    <n v="88"/>
    <n v="7"/>
    <n v="13"/>
    <n v="20"/>
  </r>
  <r>
    <n v="1533"/>
    <x v="1533"/>
    <n v="1975"/>
    <x v="28"/>
    <x v="2"/>
    <x v="0"/>
    <n v="46098"/>
    <x v="0"/>
    <n v="1"/>
    <n v="1"/>
    <x v="1"/>
    <d v="2012-08-18T00:00:00"/>
    <s v="12 years, 10 months"/>
    <n v="86"/>
    <n v="0"/>
    <n v="0"/>
    <n v="0"/>
    <n v="3"/>
    <n v="2"/>
    <n v="5"/>
  </r>
  <r>
    <n v="1534"/>
    <x v="1534"/>
    <n v="1988"/>
    <x v="36"/>
    <x v="4"/>
    <x v="2"/>
    <n v="23331"/>
    <x v="1"/>
    <n v="1"/>
    <n v="0"/>
    <x v="2"/>
    <d v="2012-09-04T00:00:00"/>
    <s v="12 years, 10 months"/>
    <n v="92"/>
    <n v="36"/>
    <n v="10"/>
    <n v="46"/>
    <n v="3"/>
    <n v="3"/>
    <n v="6"/>
  </r>
  <r>
    <n v="1535"/>
    <x v="1535"/>
    <n v="1988"/>
    <x v="36"/>
    <x v="4"/>
    <x v="0"/>
    <n v="23331"/>
    <x v="1"/>
    <n v="1"/>
    <n v="0"/>
    <x v="2"/>
    <d v="2012-10-05T00:00:00"/>
    <s v="12 years, 9 months"/>
    <n v="97"/>
    <n v="20"/>
    <n v="15"/>
    <n v="35"/>
    <n v="5"/>
    <n v="5"/>
    <n v="10"/>
  </r>
  <r>
    <n v="1536"/>
    <x v="1536"/>
    <n v="1989"/>
    <x v="23"/>
    <x v="0"/>
    <x v="0"/>
    <n v="9255"/>
    <x v="1"/>
    <n v="1"/>
    <n v="0"/>
    <x v="2"/>
    <d v="2013-12-20T00:00:00"/>
    <s v="11 years, 6 months"/>
    <n v="91"/>
    <n v="0"/>
    <n v="0"/>
    <n v="0"/>
    <n v="1"/>
    <n v="2"/>
    <n v="3"/>
  </r>
  <r>
    <n v="1537"/>
    <x v="1537"/>
    <n v="1959"/>
    <x v="12"/>
    <x v="1"/>
    <x v="4"/>
    <n v="67786"/>
    <x v="0"/>
    <n v="0"/>
    <n v="0"/>
    <x v="0"/>
    <d v="2013-12-07T00:00:00"/>
    <s v="11 years, 6 months"/>
    <n v="0"/>
    <n v="82"/>
    <n v="20"/>
    <n v="102"/>
    <n v="3"/>
    <n v="6"/>
    <n v="9"/>
  </r>
  <r>
    <n v="1538"/>
    <x v="1538"/>
    <n v="1971"/>
    <x v="6"/>
    <x v="1"/>
    <x v="2"/>
    <n v="71969"/>
    <x v="0"/>
    <n v="0"/>
    <n v="1"/>
    <x v="2"/>
    <d v="2012-10-16T00:00:00"/>
    <s v="12 years, 8 months"/>
    <n v="59"/>
    <n v="0"/>
    <n v="0"/>
    <n v="0"/>
    <n v="3"/>
    <n v="9"/>
    <n v="12"/>
  </r>
  <r>
    <n v="1539"/>
    <x v="1539"/>
    <n v="1967"/>
    <x v="5"/>
    <x v="2"/>
    <x v="0"/>
    <n v="59235"/>
    <x v="0"/>
    <n v="1"/>
    <n v="0"/>
    <x v="2"/>
    <d v="2013-01-12T00:00:00"/>
    <s v="12 years, 5 months"/>
    <n v="4"/>
    <n v="40"/>
    <n v="0"/>
    <n v="40"/>
    <n v="11"/>
    <n v="12"/>
    <n v="23"/>
  </r>
  <r>
    <n v="1540"/>
    <x v="1540"/>
    <n v="1989"/>
    <x v="23"/>
    <x v="0"/>
    <x v="1"/>
    <n v="31928"/>
    <x v="0"/>
    <n v="1"/>
    <n v="0"/>
    <x v="2"/>
    <d v="2014-03-28T00:00:00"/>
    <s v="11 years, 3 months"/>
    <n v="5"/>
    <n v="4"/>
    <n v="2"/>
    <n v="6"/>
    <n v="3"/>
    <n v="4"/>
    <n v="7"/>
  </r>
  <r>
    <n v="1541"/>
    <x v="1541"/>
    <n v="1961"/>
    <x v="45"/>
    <x v="2"/>
    <x v="1"/>
    <n v="74881"/>
    <x v="0"/>
    <n v="1"/>
    <n v="1"/>
    <x v="1"/>
    <d v="2013-03-08T00:00:00"/>
    <s v="12 years, 3 months"/>
    <n v="48"/>
    <n v="72"/>
    <n v="27"/>
    <n v="99"/>
    <n v="9"/>
    <n v="12"/>
    <n v="21"/>
  </r>
  <r>
    <n v="1542"/>
    <x v="1542"/>
    <n v="1978"/>
    <x v="33"/>
    <x v="0"/>
    <x v="2"/>
    <n v="65819"/>
    <x v="0"/>
    <n v="0"/>
    <n v="0"/>
    <x v="0"/>
    <d v="2012-11-29T00:00:00"/>
    <s v="12 years, 7 months"/>
    <n v="99"/>
    <n v="38"/>
    <n v="165"/>
    <n v="203"/>
    <n v="5"/>
    <n v="10"/>
    <n v="15"/>
  </r>
  <r>
    <n v="1543"/>
    <x v="1543"/>
    <n v="1953"/>
    <x v="44"/>
    <x v="1"/>
    <x v="0"/>
    <n v="51411"/>
    <x v="0"/>
    <n v="1"/>
    <n v="2"/>
    <x v="3"/>
    <d v="2013-05-26T00:00:00"/>
    <s v="12 years, 1 months"/>
    <n v="81"/>
    <n v="0"/>
    <n v="0"/>
    <n v="0"/>
    <n v="0"/>
    <n v="3"/>
    <n v="3"/>
  </r>
  <r>
    <n v="1544"/>
    <x v="1544"/>
    <n v="1964"/>
    <x v="31"/>
    <x v="0"/>
    <x v="3"/>
    <n v="51983"/>
    <x v="0"/>
    <n v="0"/>
    <n v="1"/>
    <x v="2"/>
    <d v="2012-08-31T00:00:00"/>
    <s v="12 years, 10 months"/>
    <n v="95"/>
    <n v="0"/>
    <n v="7"/>
    <n v="7"/>
    <n v="9"/>
    <n v="10"/>
    <n v="19"/>
  </r>
  <r>
    <n v="1545"/>
    <x v="1545"/>
    <n v="1986"/>
    <x v="22"/>
    <x v="2"/>
    <x v="1"/>
    <n v="42386"/>
    <x v="0"/>
    <n v="1"/>
    <n v="0"/>
    <x v="2"/>
    <d v="2013-01-13T00:00:00"/>
    <s v="12 years, 5 months"/>
    <n v="43"/>
    <n v="4"/>
    <n v="4"/>
    <n v="8"/>
    <n v="3"/>
    <n v="3"/>
    <n v="6"/>
  </r>
  <r>
    <n v="1546"/>
    <x v="1546"/>
    <n v="1987"/>
    <x v="14"/>
    <x v="4"/>
    <x v="2"/>
    <n v="30390"/>
    <x v="0"/>
    <n v="0"/>
    <n v="0"/>
    <x v="0"/>
    <d v="2013-09-02T00:00:00"/>
    <s v="11 years, 10 months"/>
    <n v="5"/>
    <n v="12"/>
    <n v="1"/>
    <n v="13"/>
    <n v="2"/>
    <n v="3"/>
    <n v="5"/>
  </r>
  <r>
    <n v="1547"/>
    <x v="1547"/>
    <n v="1963"/>
    <x v="24"/>
    <x v="0"/>
    <x v="0"/>
    <n v="30983"/>
    <x v="0"/>
    <n v="0"/>
    <n v="0"/>
    <x v="0"/>
    <d v="2012-11-09T00:00:00"/>
    <s v="12 years, 7 months"/>
    <n v="50"/>
    <n v="4"/>
    <n v="1"/>
    <n v="5"/>
    <n v="4"/>
    <n v="3"/>
    <n v="7"/>
  </r>
  <r>
    <n v="1548"/>
    <x v="1548"/>
    <n v="1957"/>
    <x v="0"/>
    <x v="0"/>
    <x v="4"/>
    <n v="66033"/>
    <x v="0"/>
    <n v="0"/>
    <n v="1"/>
    <x v="2"/>
    <d v="2013-01-20T00:00:00"/>
    <s v="12 years, 5 months"/>
    <n v="76"/>
    <n v="35"/>
    <n v="59"/>
    <n v="94"/>
    <n v="8"/>
    <n v="7"/>
    <n v="15"/>
  </r>
  <r>
    <n v="1549"/>
    <x v="1549"/>
    <n v="1975"/>
    <x v="28"/>
    <x v="4"/>
    <x v="2"/>
    <n v="37284"/>
    <x v="0"/>
    <n v="1"/>
    <n v="1"/>
    <x v="1"/>
    <d v="2013-03-29T00:00:00"/>
    <s v="12 years, 3 months"/>
    <n v="46"/>
    <n v="1"/>
    <n v="1"/>
    <n v="2"/>
    <n v="0"/>
    <n v="3"/>
    <n v="3"/>
  </r>
  <r>
    <n v="1550"/>
    <x v="1550"/>
    <n v="1951"/>
    <x v="20"/>
    <x v="2"/>
    <x v="3"/>
    <n v="57530"/>
    <x v="0"/>
    <n v="0"/>
    <n v="1"/>
    <x v="2"/>
    <d v="2013-10-12T00:00:00"/>
    <s v="11 years, 8 months"/>
    <n v="68"/>
    <n v="1"/>
    <n v="7"/>
    <n v="8"/>
    <n v="1"/>
    <n v="4"/>
    <n v="5"/>
  </r>
  <r>
    <n v="1551"/>
    <x v="1551"/>
    <n v="1965"/>
    <x v="2"/>
    <x v="4"/>
    <x v="2"/>
    <n v="76800"/>
    <x v="2"/>
    <n v="0"/>
    <n v="0"/>
    <x v="0"/>
    <d v="2014-03-08T00:00:00"/>
    <s v="11 years, 3 months"/>
    <n v="33"/>
    <n v="26"/>
    <n v="71"/>
    <n v="97"/>
    <n v="4"/>
    <n v="7"/>
    <n v="11"/>
  </r>
  <r>
    <n v="1552"/>
    <x v="1552"/>
    <n v="1956"/>
    <x v="46"/>
    <x v="0"/>
    <x v="2"/>
    <n v="63943"/>
    <x v="0"/>
    <n v="0"/>
    <n v="1"/>
    <x v="2"/>
    <d v="2012-09-02T00:00:00"/>
    <s v="12 years, 10 months"/>
    <n v="50"/>
    <n v="184"/>
    <n v="97"/>
    <n v="281"/>
    <n v="6"/>
    <n v="6"/>
    <n v="12"/>
  </r>
  <r>
    <n v="1553"/>
    <x v="1553"/>
    <n v="1962"/>
    <x v="43"/>
    <x v="0"/>
    <x v="1"/>
    <n v="76081"/>
    <x v="2"/>
    <n v="0"/>
    <n v="0"/>
    <x v="0"/>
    <d v="2014-05-23T00:00:00"/>
    <s v="11 years, 1 months"/>
    <n v="85"/>
    <n v="30"/>
    <n v="33"/>
    <n v="63"/>
    <n v="4"/>
    <n v="4"/>
    <n v="8"/>
  </r>
  <r>
    <n v="1554"/>
    <x v="1554"/>
    <n v="1974"/>
    <x v="8"/>
    <x v="0"/>
    <x v="2"/>
    <n v="67445"/>
    <x v="0"/>
    <n v="0"/>
    <n v="1"/>
    <x v="2"/>
    <d v="2012-08-12T00:00:00"/>
    <s v="12 years, 10 months"/>
    <n v="63"/>
    <n v="80"/>
    <n v="80"/>
    <n v="160"/>
    <n v="9"/>
    <n v="12"/>
    <n v="21"/>
  </r>
  <r>
    <n v="1555"/>
    <x v="1555"/>
    <n v="1967"/>
    <x v="5"/>
    <x v="2"/>
    <x v="2"/>
    <n v="37054"/>
    <x v="0"/>
    <n v="1"/>
    <n v="1"/>
    <x v="1"/>
    <d v="2013-09-15T00:00:00"/>
    <s v="11 years, 9 months"/>
    <n v="89"/>
    <n v="1"/>
    <n v="1"/>
    <n v="2"/>
    <n v="1"/>
    <n v="3"/>
    <n v="4"/>
  </r>
  <r>
    <n v="1556"/>
    <x v="1556"/>
    <n v="1962"/>
    <x v="43"/>
    <x v="2"/>
    <x v="1"/>
    <n v="47175"/>
    <x v="0"/>
    <n v="1"/>
    <n v="1"/>
    <x v="1"/>
    <d v="2012-10-28T00:00:00"/>
    <s v="12 years, 8 months"/>
    <n v="81"/>
    <n v="2"/>
    <n v="2"/>
    <n v="4"/>
    <n v="4"/>
    <n v="4"/>
    <n v="8"/>
  </r>
  <r>
    <n v="1557"/>
    <x v="1557"/>
    <n v="1976"/>
    <x v="11"/>
    <x v="0"/>
    <x v="3"/>
    <n v="31859"/>
    <x v="0"/>
    <n v="1"/>
    <n v="0"/>
    <x v="2"/>
    <d v="2013-06-14T00:00:00"/>
    <s v="12 years, 0 months"/>
    <n v="77"/>
    <n v="1"/>
    <n v="0"/>
    <n v="1"/>
    <n v="1"/>
    <n v="2"/>
    <n v="3"/>
  </r>
  <r>
    <n v="1558"/>
    <x v="1558"/>
    <n v="1961"/>
    <x v="45"/>
    <x v="0"/>
    <x v="3"/>
    <n v="27215"/>
    <x v="0"/>
    <n v="2"/>
    <n v="1"/>
    <x v="3"/>
    <d v="2013-01-23T00:00:00"/>
    <s v="12 years, 5 months"/>
    <n v="50"/>
    <n v="5"/>
    <n v="9"/>
    <n v="14"/>
    <n v="2"/>
    <n v="4"/>
    <n v="6"/>
  </r>
  <r>
    <n v="1559"/>
    <x v="1559"/>
    <n v="1976"/>
    <x v="11"/>
    <x v="1"/>
    <x v="3"/>
    <n v="70179"/>
    <x v="0"/>
    <n v="0"/>
    <n v="1"/>
    <x v="2"/>
    <d v="2013-07-21T00:00:00"/>
    <s v="11 years, 11 months"/>
    <n v="10"/>
    <n v="88"/>
    <n v="44"/>
    <n v="132"/>
    <n v="7"/>
    <n v="13"/>
    <n v="20"/>
  </r>
  <r>
    <n v="1560"/>
    <x v="1560"/>
    <n v="1983"/>
    <x v="10"/>
    <x v="0"/>
    <x v="2"/>
    <n v="39922"/>
    <x v="0"/>
    <n v="1"/>
    <n v="0"/>
    <x v="2"/>
    <d v="2013-02-14T00:00:00"/>
    <s v="12 years, 4 months"/>
    <n v="30"/>
    <n v="12"/>
    <n v="1"/>
    <n v="13"/>
    <n v="3"/>
    <n v="4"/>
    <n v="7"/>
  </r>
  <r>
    <n v="1561"/>
    <x v="1561"/>
    <n v="1976"/>
    <x v="11"/>
    <x v="2"/>
    <x v="2"/>
    <n v="49681"/>
    <x v="0"/>
    <n v="0"/>
    <n v="2"/>
    <x v="1"/>
    <d v="2013-11-04T00:00:00"/>
    <s v="11 years, 8 months"/>
    <n v="66"/>
    <n v="0"/>
    <n v="0"/>
    <n v="0"/>
    <n v="7"/>
    <n v="7"/>
    <n v="14"/>
  </r>
  <r>
    <n v="1562"/>
    <x v="1562"/>
    <n v="1988"/>
    <x v="36"/>
    <x v="0"/>
    <x v="2"/>
    <n v="24645"/>
    <x v="1"/>
    <n v="1"/>
    <n v="0"/>
    <x v="2"/>
    <d v="2012-11-01T00:00:00"/>
    <s v="12 years, 8 months"/>
    <n v="16"/>
    <n v="3"/>
    <n v="1"/>
    <n v="4"/>
    <n v="1"/>
    <n v="2"/>
    <n v="3"/>
  </r>
  <r>
    <n v="1563"/>
    <x v="1563"/>
    <n v="1954"/>
    <x v="1"/>
    <x v="0"/>
    <x v="3"/>
    <n v="79865"/>
    <x v="2"/>
    <n v="0"/>
    <n v="1"/>
    <x v="2"/>
    <d v="2014-06-18T00:00:00"/>
    <s v="11 years, 0 months"/>
    <n v="12"/>
    <n v="99"/>
    <n v="121"/>
    <n v="220"/>
    <n v="5"/>
    <n v="5"/>
    <n v="10"/>
  </r>
  <r>
    <n v="1564"/>
    <x v="1564"/>
    <n v="1985"/>
    <x v="7"/>
    <x v="0"/>
    <x v="2"/>
    <n v="44322"/>
    <x v="0"/>
    <n v="1"/>
    <n v="0"/>
    <x v="2"/>
    <d v="2014-06-16T00:00:00"/>
    <s v="11 years, 0 months"/>
    <n v="30"/>
    <n v="0"/>
    <n v="0"/>
    <n v="0"/>
    <n v="3"/>
    <n v="3"/>
    <n v="6"/>
  </r>
  <r>
    <n v="1565"/>
    <x v="1565"/>
    <n v="1952"/>
    <x v="13"/>
    <x v="0"/>
    <x v="0"/>
    <n v="47958"/>
    <x v="0"/>
    <n v="0"/>
    <n v="1"/>
    <x v="2"/>
    <d v="2013-01-19T00:00:00"/>
    <s v="12 years, 5 months"/>
    <n v="8"/>
    <n v="11"/>
    <n v="3"/>
    <n v="14"/>
    <n v="6"/>
    <n v="5"/>
    <n v="11"/>
  </r>
  <r>
    <n v="1566"/>
    <x v="1566"/>
    <n v="1964"/>
    <x v="31"/>
    <x v="2"/>
    <x v="0"/>
    <n v="63972"/>
    <x v="0"/>
    <n v="0"/>
    <n v="1"/>
    <x v="2"/>
    <d v="2012-12-02T00:00:00"/>
    <s v="12 years, 7 months"/>
    <n v="93"/>
    <n v="63"/>
    <n v="12"/>
    <n v="75"/>
    <n v="5"/>
    <n v="10"/>
    <n v="15"/>
  </r>
  <r>
    <n v="1567"/>
    <x v="1567"/>
    <n v="1954"/>
    <x v="1"/>
    <x v="0"/>
    <x v="1"/>
    <n v="75315"/>
    <x v="2"/>
    <n v="0"/>
    <n v="1"/>
    <x v="2"/>
    <d v="2014-04-15T00:00:00"/>
    <s v="11 years, 2 months"/>
    <n v="14"/>
    <n v="15"/>
    <n v="23"/>
    <n v="38"/>
    <n v="5"/>
    <n v="12"/>
    <n v="17"/>
  </r>
  <r>
    <n v="1568"/>
    <x v="1568"/>
    <n v="1950"/>
    <x v="9"/>
    <x v="1"/>
    <x v="2"/>
    <n v="55517"/>
    <x v="0"/>
    <n v="1"/>
    <n v="1"/>
    <x v="1"/>
    <d v="2012-09-27T00:00:00"/>
    <s v="12 years, 9 months"/>
    <n v="53"/>
    <n v="0"/>
    <n v="6"/>
    <n v="6"/>
    <n v="11"/>
    <n v="6"/>
    <n v="17"/>
  </r>
  <r>
    <n v="1569"/>
    <x v="1569"/>
    <n v="1957"/>
    <x v="0"/>
    <x v="1"/>
    <x v="2"/>
    <n v="75283"/>
    <x v="2"/>
    <n v="1"/>
    <n v="2"/>
    <x v="3"/>
    <d v="2013-03-27T00:00:00"/>
    <s v="12 years, 3 months"/>
    <n v="26"/>
    <n v="9"/>
    <n v="19"/>
    <n v="28"/>
    <n v="6"/>
    <n v="5"/>
    <n v="11"/>
  </r>
  <r>
    <n v="1570"/>
    <x v="1570"/>
    <n v="1946"/>
    <x v="15"/>
    <x v="1"/>
    <x v="0"/>
    <n v="82800"/>
    <x v="2"/>
    <n v="0"/>
    <n v="0"/>
    <x v="0"/>
    <d v="2012-11-24T00:00:00"/>
    <s v="12 years, 7 months"/>
    <n v="23"/>
    <n v="22"/>
    <n v="68"/>
    <n v="90"/>
    <n v="7"/>
    <n v="12"/>
    <n v="19"/>
  </r>
  <r>
    <n v="1571"/>
    <x v="1571"/>
    <n v="1954"/>
    <x v="1"/>
    <x v="0"/>
    <x v="2"/>
    <n v="38998"/>
    <x v="0"/>
    <n v="1"/>
    <n v="1"/>
    <x v="1"/>
    <d v="2012-11-03T00:00:00"/>
    <s v="12 years, 8 months"/>
    <n v="92"/>
    <n v="1"/>
    <n v="0"/>
    <n v="1"/>
    <n v="2"/>
    <n v="3"/>
    <n v="5"/>
  </r>
  <r>
    <n v="1572"/>
    <x v="1572"/>
    <n v="1991"/>
    <x v="42"/>
    <x v="2"/>
    <x v="0"/>
    <n v="90638"/>
    <x v="2"/>
    <n v="0"/>
    <n v="0"/>
    <x v="0"/>
    <d v="2014-02-13T00:00:00"/>
    <s v="11 years, 4 months"/>
    <n v="29"/>
    <n v="120"/>
    <n v="144"/>
    <n v="264"/>
    <n v="3"/>
    <n v="10"/>
    <n v="13"/>
  </r>
  <r>
    <n v="1573"/>
    <x v="1573"/>
    <n v="1986"/>
    <x v="22"/>
    <x v="2"/>
    <x v="2"/>
    <n v="27161"/>
    <x v="0"/>
    <n v="1"/>
    <n v="0"/>
    <x v="2"/>
    <d v="2013-10-28T00:00:00"/>
    <s v="11 years, 8 months"/>
    <n v="41"/>
    <n v="4"/>
    <n v="0"/>
    <n v="4"/>
    <n v="1"/>
    <n v="3"/>
    <n v="4"/>
  </r>
  <r>
    <n v="1574"/>
    <x v="1574"/>
    <n v="1977"/>
    <x v="32"/>
    <x v="0"/>
    <x v="2"/>
    <n v="42014"/>
    <x v="0"/>
    <n v="1"/>
    <n v="0"/>
    <x v="2"/>
    <d v="2012-08-17T00:00:00"/>
    <s v="12 years, 10 months"/>
    <n v="56"/>
    <n v="15"/>
    <n v="15"/>
    <n v="30"/>
    <n v="7"/>
    <n v="6"/>
    <n v="13"/>
  </r>
  <r>
    <n v="1575"/>
    <x v="1575"/>
    <n v="1960"/>
    <x v="40"/>
    <x v="1"/>
    <x v="1"/>
    <n v="38201"/>
    <x v="0"/>
    <n v="0"/>
    <n v="1"/>
    <x v="2"/>
    <d v="2013-03-29T00:00:00"/>
    <s v="12 years, 3 months"/>
    <n v="19"/>
    <n v="0"/>
    <n v="0"/>
    <n v="0"/>
    <n v="5"/>
    <n v="5"/>
    <n v="10"/>
  </r>
  <r>
    <n v="1576"/>
    <x v="1576"/>
    <n v="1982"/>
    <x v="18"/>
    <x v="0"/>
    <x v="1"/>
    <n v="45203"/>
    <x v="0"/>
    <n v="2"/>
    <n v="0"/>
    <x v="1"/>
    <d v="2014-03-23T00:00:00"/>
    <s v="11 years, 3 months"/>
    <n v="4"/>
    <n v="3"/>
    <n v="8"/>
    <n v="11"/>
    <n v="3"/>
    <n v="3"/>
    <n v="6"/>
  </r>
  <r>
    <n v="1577"/>
    <x v="1577"/>
    <n v="1947"/>
    <x v="51"/>
    <x v="1"/>
    <x v="1"/>
    <n v="81574"/>
    <x v="2"/>
    <n v="0"/>
    <n v="0"/>
    <x v="0"/>
    <d v="2014-04-28T00:00:00"/>
    <s v="11 years, 2 months"/>
    <n v="89"/>
    <n v="0"/>
    <n v="35"/>
    <n v="35"/>
    <n v="4"/>
    <n v="8"/>
    <n v="12"/>
  </r>
  <r>
    <n v="1578"/>
    <x v="1578"/>
    <n v="1992"/>
    <x v="47"/>
    <x v="0"/>
    <x v="2"/>
    <n v="34935"/>
    <x v="0"/>
    <n v="0"/>
    <n v="0"/>
    <x v="0"/>
    <d v="2013-06-21T00:00:00"/>
    <s v="12 years, 0 months"/>
    <n v="71"/>
    <n v="4"/>
    <n v="10"/>
    <n v="14"/>
    <n v="2"/>
    <n v="4"/>
    <n v="6"/>
  </r>
  <r>
    <n v="1579"/>
    <x v="1579"/>
    <n v="1976"/>
    <x v="11"/>
    <x v="2"/>
    <x v="0"/>
    <n v="60482"/>
    <x v="0"/>
    <n v="0"/>
    <n v="1"/>
    <x v="2"/>
    <d v="2013-01-23T00:00:00"/>
    <s v="12 years, 5 months"/>
    <n v="81"/>
    <n v="43"/>
    <n v="14"/>
    <n v="57"/>
    <n v="7"/>
    <n v="7"/>
    <n v="14"/>
  </r>
  <r>
    <n v="1580"/>
    <x v="1580"/>
    <n v="1956"/>
    <x v="46"/>
    <x v="0"/>
    <x v="1"/>
    <n v="34633"/>
    <x v="0"/>
    <n v="2"/>
    <n v="1"/>
    <x v="3"/>
    <d v="2014-01-23T00:00:00"/>
    <s v="11 years, 5 months"/>
    <n v="31"/>
    <n v="1"/>
    <n v="0"/>
    <n v="1"/>
    <n v="1"/>
    <n v="2"/>
    <n v="3"/>
  </r>
  <r>
    <n v="1581"/>
    <x v="1581"/>
    <n v="1947"/>
    <x v="51"/>
    <x v="2"/>
    <x v="1"/>
    <n v="78093"/>
    <x v="2"/>
    <n v="0"/>
    <n v="0"/>
    <x v="0"/>
    <d v="2013-12-11T00:00:00"/>
    <s v="11 years, 6 months"/>
    <n v="53"/>
    <n v="32"/>
    <n v="43"/>
    <n v="75"/>
    <n v="4"/>
    <n v="5"/>
    <n v="9"/>
  </r>
  <r>
    <n v="1582"/>
    <x v="1582"/>
    <n v="1950"/>
    <x v="9"/>
    <x v="0"/>
    <x v="3"/>
    <n v="82460"/>
    <x v="2"/>
    <n v="0"/>
    <n v="0"/>
    <x v="0"/>
    <d v="2013-12-02T00:00:00"/>
    <s v="11 years, 7 months"/>
    <n v="78"/>
    <n v="47"/>
    <n v="32"/>
    <n v="79"/>
    <n v="5"/>
    <n v="6"/>
    <n v="11"/>
  </r>
  <r>
    <n v="1583"/>
    <x v="1583"/>
    <n v="1966"/>
    <x v="35"/>
    <x v="2"/>
    <x v="1"/>
    <n v="45903"/>
    <x v="0"/>
    <n v="0"/>
    <n v="1"/>
    <x v="2"/>
    <d v="2014-04-23T00:00:00"/>
    <s v="11 years, 2 months"/>
    <n v="80"/>
    <n v="8"/>
    <n v="10"/>
    <n v="18"/>
    <n v="2"/>
    <n v="3"/>
    <n v="5"/>
  </r>
  <r>
    <n v="1584"/>
    <x v="1584"/>
    <n v="1987"/>
    <x v="14"/>
    <x v="0"/>
    <x v="3"/>
    <n v="81361"/>
    <x v="2"/>
    <n v="0"/>
    <n v="0"/>
    <x v="0"/>
    <d v="2014-02-25T00:00:00"/>
    <s v="11 years, 4 months"/>
    <n v="18"/>
    <n v="23"/>
    <n v="65"/>
    <n v="88"/>
    <n v="3"/>
    <n v="13"/>
    <n v="16"/>
  </r>
  <r>
    <n v="1585"/>
    <x v="1585"/>
    <n v="1973"/>
    <x v="26"/>
    <x v="1"/>
    <x v="3"/>
    <n v="35860"/>
    <x v="0"/>
    <n v="1"/>
    <n v="1"/>
    <x v="1"/>
    <d v="2014-05-19T00:00:00"/>
    <s v="11 years, 1 months"/>
    <n v="37"/>
    <n v="0"/>
    <n v="2"/>
    <n v="2"/>
    <n v="1"/>
    <n v="2"/>
    <n v="3"/>
  </r>
  <r>
    <n v="1586"/>
    <x v="1586"/>
    <n v="1952"/>
    <x v="13"/>
    <x v="2"/>
    <x v="1"/>
    <n v="40442"/>
    <x v="0"/>
    <n v="1"/>
    <n v="1"/>
    <x v="1"/>
    <d v="2012-08-19T00:00:00"/>
    <s v="12 years, 10 months"/>
    <n v="52"/>
    <n v="12"/>
    <n v="22"/>
    <n v="34"/>
    <n v="3"/>
    <n v="4"/>
    <n v="7"/>
  </r>
  <r>
    <n v="1587"/>
    <x v="1587"/>
    <n v="1965"/>
    <x v="2"/>
    <x v="0"/>
    <x v="2"/>
    <n v="61482"/>
    <x v="0"/>
    <n v="0"/>
    <n v="0"/>
    <x v="0"/>
    <d v="2014-06-27T00:00:00"/>
    <s v="11 years, 0 months"/>
    <n v="39"/>
    <n v="58"/>
    <n v="66"/>
    <n v="124"/>
    <n v="3"/>
    <n v="6"/>
    <n v="9"/>
  </r>
  <r>
    <n v="1588"/>
    <x v="1588"/>
    <n v="1980"/>
    <x v="16"/>
    <x v="0"/>
    <x v="2"/>
    <n v="34968"/>
    <x v="0"/>
    <n v="1"/>
    <n v="0"/>
    <x v="2"/>
    <d v="2013-04-10T00:00:00"/>
    <s v="12 years, 2 months"/>
    <n v="11"/>
    <n v="6"/>
    <n v="2"/>
    <n v="8"/>
    <n v="3"/>
    <n v="5"/>
    <n v="8"/>
  </r>
  <r>
    <n v="1589"/>
    <x v="1589"/>
    <n v="1987"/>
    <x v="14"/>
    <x v="0"/>
    <x v="2"/>
    <n v="75794"/>
    <x v="2"/>
    <n v="0"/>
    <n v="0"/>
    <x v="0"/>
    <d v="2013-12-24T00:00:00"/>
    <s v="11 years, 6 months"/>
    <n v="33"/>
    <n v="160"/>
    <n v="32"/>
    <n v="192"/>
    <n v="7"/>
    <n v="12"/>
    <n v="19"/>
  </r>
  <r>
    <n v="1590"/>
    <x v="1590"/>
    <n v="1962"/>
    <x v="43"/>
    <x v="1"/>
    <x v="1"/>
    <n v="31497"/>
    <x v="0"/>
    <n v="0"/>
    <n v="1"/>
    <x v="2"/>
    <d v="2012-12-06T00:00:00"/>
    <s v="12 years, 7 months"/>
    <n v="22"/>
    <n v="1"/>
    <n v="1"/>
    <n v="2"/>
    <n v="3"/>
    <n v="4"/>
    <n v="7"/>
  </r>
  <r>
    <n v="1591"/>
    <x v="1591"/>
    <n v="1955"/>
    <x v="34"/>
    <x v="0"/>
    <x v="2"/>
    <n v="74268"/>
    <x v="0"/>
    <n v="0"/>
    <n v="0"/>
    <x v="0"/>
    <d v="2013-02-14T00:00:00"/>
    <s v="12 years, 4 months"/>
    <n v="83"/>
    <n v="66"/>
    <n v="174"/>
    <n v="240"/>
    <n v="4"/>
    <n v="5"/>
    <n v="9"/>
  </r>
  <r>
    <n v="1592"/>
    <x v="1592"/>
    <n v="1988"/>
    <x v="36"/>
    <x v="3"/>
    <x v="1"/>
    <n v="13724"/>
    <x v="1"/>
    <n v="1"/>
    <n v="0"/>
    <x v="2"/>
    <d v="2012-08-31T00:00:00"/>
    <s v="12 years, 10 months"/>
    <n v="43"/>
    <n v="7"/>
    <n v="15"/>
    <n v="22"/>
    <n v="2"/>
    <n v="2"/>
    <n v="4"/>
  </r>
  <r>
    <n v="1593"/>
    <x v="1593"/>
    <n v="1965"/>
    <x v="2"/>
    <x v="2"/>
    <x v="1"/>
    <n v="45143"/>
    <x v="0"/>
    <n v="0"/>
    <n v="1"/>
    <x v="2"/>
    <d v="2013-08-26T00:00:00"/>
    <s v="11 years, 10 months"/>
    <n v="74"/>
    <n v="5"/>
    <n v="5"/>
    <n v="10"/>
    <n v="6"/>
    <n v="5"/>
    <n v="11"/>
  </r>
  <r>
    <n v="1594"/>
    <x v="1594"/>
    <n v="1967"/>
    <x v="5"/>
    <x v="1"/>
    <x v="0"/>
    <n v="52569"/>
    <x v="0"/>
    <n v="0"/>
    <n v="1"/>
    <x v="2"/>
    <d v="2014-04-05T00:00:00"/>
    <s v="11 years, 3 months"/>
    <n v="54"/>
    <n v="0"/>
    <n v="0"/>
    <n v="0"/>
    <n v="2"/>
    <n v="4"/>
    <n v="6"/>
  </r>
  <r>
    <n v="1595"/>
    <x v="1595"/>
    <n v="1973"/>
    <x v="26"/>
    <x v="1"/>
    <x v="0"/>
    <n v="48432"/>
    <x v="0"/>
    <n v="0"/>
    <n v="1"/>
    <x v="2"/>
    <d v="2012-10-18T00:00:00"/>
    <s v="12 years, 8 months"/>
    <n v="3"/>
    <n v="3"/>
    <n v="3"/>
    <n v="6"/>
    <n v="7"/>
    <n v="6"/>
    <n v="13"/>
  </r>
  <r>
    <n v="1596"/>
    <x v="1596"/>
    <n v="1960"/>
    <x v="40"/>
    <x v="2"/>
    <x v="1"/>
    <n v="17144"/>
    <x v="1"/>
    <n v="1"/>
    <n v="1"/>
    <x v="1"/>
    <d v="2014-02-15T00:00:00"/>
    <s v="11 years, 4 months"/>
    <n v="96"/>
    <n v="2"/>
    <n v="2"/>
    <n v="4"/>
    <n v="3"/>
    <n v="4"/>
    <n v="7"/>
  </r>
  <r>
    <n v="1597"/>
    <x v="1597"/>
    <n v="1984"/>
    <x v="3"/>
    <x v="0"/>
    <x v="0"/>
    <n v="36108"/>
    <x v="0"/>
    <n v="1"/>
    <n v="0"/>
    <x v="2"/>
    <d v="2013-10-15T00:00:00"/>
    <s v="11 years, 8 months"/>
    <n v="68"/>
    <n v="8"/>
    <n v="11"/>
    <n v="19"/>
    <n v="7"/>
    <n v="4"/>
    <n v="11"/>
  </r>
  <r>
    <n v="1598"/>
    <x v="1598"/>
    <n v="1971"/>
    <x v="6"/>
    <x v="0"/>
    <x v="2"/>
    <n v="76445"/>
    <x v="2"/>
    <n v="1"/>
    <n v="0"/>
    <x v="2"/>
    <d v="2012-09-28T00:00:00"/>
    <s v="12 years, 9 months"/>
    <n v="2"/>
    <n v="107"/>
    <n v="80"/>
    <n v="187"/>
    <n v="2"/>
    <n v="13"/>
    <n v="15"/>
  </r>
  <r>
    <n v="1599"/>
    <x v="1599"/>
    <n v="1975"/>
    <x v="28"/>
    <x v="1"/>
    <x v="2"/>
    <n v="36663"/>
    <x v="0"/>
    <n v="1"/>
    <n v="0"/>
    <x v="2"/>
    <d v="2014-04-25T00:00:00"/>
    <s v="11 years, 2 months"/>
    <n v="40"/>
    <n v="0"/>
    <n v="3"/>
    <n v="3"/>
    <n v="1"/>
    <n v="3"/>
    <n v="4"/>
  </r>
  <r>
    <n v="1600"/>
    <x v="1600"/>
    <n v="1965"/>
    <x v="2"/>
    <x v="2"/>
    <x v="2"/>
    <n v="53843"/>
    <x v="0"/>
    <n v="0"/>
    <n v="1"/>
    <x v="2"/>
    <d v="2013-06-27T00:00:00"/>
    <s v="12 years, 0 months"/>
    <n v="64"/>
    <n v="0"/>
    <n v="4"/>
    <n v="4"/>
    <n v="8"/>
    <n v="3"/>
    <n v="11"/>
  </r>
  <r>
    <n v="1601"/>
    <x v="1601"/>
    <n v="1956"/>
    <x v="46"/>
    <x v="2"/>
    <x v="2"/>
    <n v="90226"/>
    <x v="2"/>
    <n v="0"/>
    <n v="0"/>
    <x v="0"/>
    <d v="2012-09-26T00:00:00"/>
    <s v="12 years, 9 months"/>
    <n v="26"/>
    <n v="108"/>
    <n v="151"/>
    <n v="259"/>
    <n v="4"/>
    <n v="12"/>
    <n v="16"/>
  </r>
  <r>
    <n v="1602"/>
    <x v="1602"/>
    <n v="1955"/>
    <x v="34"/>
    <x v="2"/>
    <x v="3"/>
    <n v="70638"/>
    <x v="0"/>
    <n v="0"/>
    <n v="0"/>
    <x v="0"/>
    <d v="2013-06-01T00:00:00"/>
    <s v="12 years, 1 months"/>
    <n v="69"/>
    <n v="12"/>
    <n v="12"/>
    <n v="24"/>
    <n v="4"/>
    <n v="10"/>
    <n v="14"/>
  </r>
  <r>
    <n v="1603"/>
    <x v="1603"/>
    <n v="1960"/>
    <x v="40"/>
    <x v="0"/>
    <x v="1"/>
    <n v="44512"/>
    <x v="0"/>
    <n v="1"/>
    <n v="1"/>
    <x v="1"/>
    <d v="2013-08-30T00:00:00"/>
    <s v="11 years, 10 months"/>
    <n v="57"/>
    <n v="1"/>
    <n v="0"/>
    <n v="1"/>
    <n v="1"/>
    <n v="3"/>
    <n v="4"/>
  </r>
  <r>
    <n v="1604"/>
    <x v="1604"/>
    <n v="1961"/>
    <x v="45"/>
    <x v="0"/>
    <x v="2"/>
    <n v="27116"/>
    <x v="0"/>
    <n v="1"/>
    <n v="1"/>
    <x v="1"/>
    <d v="2014-03-02T00:00:00"/>
    <s v="11 years, 4 months"/>
    <n v="78"/>
    <n v="1"/>
    <n v="2"/>
    <n v="3"/>
    <n v="2"/>
    <n v="3"/>
    <n v="5"/>
  </r>
  <r>
    <n v="1605"/>
    <x v="1605"/>
    <n v="1963"/>
    <x v="24"/>
    <x v="1"/>
    <x v="2"/>
    <n v="54072"/>
    <x v="0"/>
    <n v="1"/>
    <n v="1"/>
    <x v="1"/>
    <d v="2013-07-27T00:00:00"/>
    <s v="11 years, 11 months"/>
    <n v="71"/>
    <n v="0"/>
    <n v="0"/>
    <n v="0"/>
    <n v="2"/>
    <n v="2"/>
    <n v="4"/>
  </r>
  <r>
    <n v="1606"/>
    <x v="1606"/>
    <n v="1977"/>
    <x v="32"/>
    <x v="0"/>
    <x v="2"/>
    <n v="71855"/>
    <x v="0"/>
    <n v="0"/>
    <n v="1"/>
    <x v="2"/>
    <d v="2013-01-16T00:00:00"/>
    <s v="12 years, 5 months"/>
    <n v="59"/>
    <n v="31"/>
    <n v="112"/>
    <n v="143"/>
    <n v="5"/>
    <n v="11"/>
    <n v="16"/>
  </r>
  <r>
    <n v="1607"/>
    <x v="1607"/>
    <n v="1990"/>
    <x v="50"/>
    <x v="4"/>
    <x v="0"/>
    <n v="51250"/>
    <x v="0"/>
    <n v="1"/>
    <n v="0"/>
    <x v="2"/>
    <d v="2013-03-30T00:00:00"/>
    <s v="12 years, 3 months"/>
    <n v="28"/>
    <n v="32"/>
    <n v="32"/>
    <n v="64"/>
    <n v="10"/>
    <n v="4"/>
    <n v="14"/>
  </r>
  <r>
    <n v="1608"/>
    <x v="1608"/>
    <n v="1973"/>
    <x v="26"/>
    <x v="2"/>
    <x v="2"/>
    <n v="60432"/>
    <x v="0"/>
    <n v="0"/>
    <n v="1"/>
    <x v="2"/>
    <d v="2014-03-09T00:00:00"/>
    <s v="11 years, 3 months"/>
    <n v="61"/>
    <n v="3"/>
    <n v="3"/>
    <n v="6"/>
    <n v="7"/>
    <n v="5"/>
    <n v="12"/>
  </r>
  <r>
    <n v="1609"/>
    <x v="1609"/>
    <n v="1964"/>
    <x v="31"/>
    <x v="1"/>
    <x v="2"/>
    <n v="65526"/>
    <x v="0"/>
    <n v="0"/>
    <n v="1"/>
    <x v="2"/>
    <d v="2014-04-11T00:00:00"/>
    <s v="11 years, 2 months"/>
    <n v="22"/>
    <n v="19"/>
    <n v="0"/>
    <n v="19"/>
    <n v="4"/>
    <n v="8"/>
    <n v="12"/>
  </r>
  <r>
    <n v="1610"/>
    <x v="1610"/>
    <n v="1988"/>
    <x v="36"/>
    <x v="0"/>
    <x v="0"/>
    <n v="68655"/>
    <x v="0"/>
    <n v="0"/>
    <n v="0"/>
    <x v="0"/>
    <d v="2012-08-10T00:00:00"/>
    <s v="12 years, 10 months"/>
    <n v="95"/>
    <n v="19"/>
    <n v="118"/>
    <n v="137"/>
    <n v="4"/>
    <n v="11"/>
    <n v="15"/>
  </r>
  <r>
    <n v="1611"/>
    <x v="1611"/>
    <n v="1978"/>
    <x v="33"/>
    <x v="4"/>
    <x v="2"/>
    <n v="12393"/>
    <x v="1"/>
    <n v="0"/>
    <n v="0"/>
    <x v="0"/>
    <d v="2012-12-04T00:00:00"/>
    <s v="12 years, 7 months"/>
    <n v="38"/>
    <n v="6"/>
    <n v="7"/>
    <n v="13"/>
    <n v="2"/>
    <n v="3"/>
    <n v="5"/>
  </r>
  <r>
    <n v="1612"/>
    <x v="1612"/>
    <n v="1990"/>
    <x v="50"/>
    <x v="0"/>
    <x v="0"/>
    <n v="64509"/>
    <x v="0"/>
    <n v="0"/>
    <n v="0"/>
    <x v="0"/>
    <d v="2013-08-17T00:00:00"/>
    <s v="11 years, 10 months"/>
    <n v="19"/>
    <n v="185"/>
    <n v="25"/>
    <n v="210"/>
    <n v="6"/>
    <n v="9"/>
    <n v="15"/>
  </r>
  <r>
    <n v="1613"/>
    <x v="1613"/>
    <n v="1975"/>
    <x v="28"/>
    <x v="0"/>
    <x v="0"/>
    <n v="33955"/>
    <x v="0"/>
    <n v="1"/>
    <n v="0"/>
    <x v="2"/>
    <d v="2013-08-09T00:00:00"/>
    <s v="11 years, 10 months"/>
    <n v="92"/>
    <n v="2"/>
    <n v="7"/>
    <n v="9"/>
    <n v="5"/>
    <n v="5"/>
    <n v="10"/>
  </r>
  <r>
    <n v="1614"/>
    <x v="1614"/>
    <n v="1977"/>
    <x v="32"/>
    <x v="0"/>
    <x v="2"/>
    <n v="31353"/>
    <x v="0"/>
    <n v="1"/>
    <n v="1"/>
    <x v="1"/>
    <d v="2013-12-29T00:00:00"/>
    <s v="11 years, 6 months"/>
    <n v="24"/>
    <n v="0"/>
    <n v="1"/>
    <n v="1"/>
    <n v="1"/>
    <n v="2"/>
    <n v="3"/>
  </r>
  <r>
    <n v="1615"/>
    <x v="1615"/>
    <n v="1984"/>
    <x v="3"/>
    <x v="0"/>
    <x v="2"/>
    <n v="55434"/>
    <x v="0"/>
    <n v="1"/>
    <n v="0"/>
    <x v="2"/>
    <d v="2013-10-05T00:00:00"/>
    <s v="11 years, 9 months"/>
    <n v="21"/>
    <n v="115"/>
    <n v="69"/>
    <n v="184"/>
    <n v="5"/>
    <n v="13"/>
    <n v="18"/>
  </r>
  <r>
    <n v="1616"/>
    <x v="1616"/>
    <n v="1983"/>
    <x v="10"/>
    <x v="0"/>
    <x v="1"/>
    <n v="28359"/>
    <x v="0"/>
    <n v="1"/>
    <n v="0"/>
    <x v="2"/>
    <d v="2013-10-27T00:00:00"/>
    <s v="11 years, 8 months"/>
    <n v="35"/>
    <n v="0"/>
    <n v="1"/>
    <n v="1"/>
    <n v="1"/>
    <n v="2"/>
    <n v="3"/>
  </r>
  <r>
    <n v="1617"/>
    <x v="1617"/>
    <n v="1987"/>
    <x v="14"/>
    <x v="0"/>
    <x v="0"/>
    <n v="57100"/>
    <x v="0"/>
    <n v="1"/>
    <n v="0"/>
    <x v="2"/>
    <d v="2014-05-18T00:00:00"/>
    <s v="11 years, 1 months"/>
    <n v="9"/>
    <n v="11"/>
    <n v="11"/>
    <n v="22"/>
    <n v="3"/>
    <n v="7"/>
    <n v="10"/>
  </r>
  <r>
    <n v="1618"/>
    <x v="1618"/>
    <n v="1965"/>
    <x v="2"/>
    <x v="0"/>
    <x v="2"/>
    <n v="69139"/>
    <x v="0"/>
    <n v="0"/>
    <n v="1"/>
    <x v="2"/>
    <d v="2014-01-27T00:00:00"/>
    <s v="11 years, 5 months"/>
    <n v="23"/>
    <n v="12"/>
    <n v="15"/>
    <n v="27"/>
    <n v="4"/>
    <n v="5"/>
    <n v="9"/>
  </r>
  <r>
    <n v="1619"/>
    <x v="1619"/>
    <n v="1956"/>
    <x v="46"/>
    <x v="2"/>
    <x v="2"/>
    <n v="52973"/>
    <x v="0"/>
    <n v="0"/>
    <n v="1"/>
    <x v="2"/>
    <d v="2012-11-08T00:00:00"/>
    <s v="12 years, 7 months"/>
    <n v="92"/>
    <n v="0"/>
    <n v="9"/>
    <n v="9"/>
    <n v="9"/>
    <n v="9"/>
    <n v="18"/>
  </r>
  <r>
    <n v="1620"/>
    <x v="1620"/>
    <n v="1965"/>
    <x v="2"/>
    <x v="1"/>
    <x v="1"/>
    <n v="51717"/>
    <x v="0"/>
    <n v="0"/>
    <n v="1"/>
    <x v="2"/>
    <d v="2013-08-20T00:00:00"/>
    <s v="11 years, 10 months"/>
    <n v="55"/>
    <n v="1"/>
    <n v="1"/>
    <n v="2"/>
    <n v="3"/>
    <n v="4"/>
    <n v="7"/>
  </r>
  <r>
    <n v="1621"/>
    <x v="1621"/>
    <n v="1971"/>
    <x v="6"/>
    <x v="0"/>
    <x v="2"/>
    <n v="18793"/>
    <x v="1"/>
    <n v="1"/>
    <n v="0"/>
    <x v="2"/>
    <d v="2013-01-12T00:00:00"/>
    <s v="12 years, 5 months"/>
    <n v="14"/>
    <n v="16"/>
    <n v="17"/>
    <n v="33"/>
    <n v="2"/>
    <n v="4"/>
    <n v="6"/>
  </r>
  <r>
    <n v="1622"/>
    <x v="1622"/>
    <n v="1982"/>
    <x v="18"/>
    <x v="4"/>
    <x v="1"/>
    <n v="66664"/>
    <x v="0"/>
    <n v="0"/>
    <n v="0"/>
    <x v="0"/>
    <d v="2012-09-25T00:00:00"/>
    <s v="12 years, 9 months"/>
    <n v="78"/>
    <n v="96"/>
    <n v="96"/>
    <n v="192"/>
    <n v="5"/>
    <n v="6"/>
    <n v="11"/>
  </r>
  <r>
    <n v="1623"/>
    <x v="1623"/>
    <n v="1959"/>
    <x v="12"/>
    <x v="0"/>
    <x v="0"/>
    <n v="50664"/>
    <x v="0"/>
    <n v="1"/>
    <n v="1"/>
    <x v="1"/>
    <d v="2013-01-16T00:00:00"/>
    <s v="12 years, 5 months"/>
    <n v="64"/>
    <n v="8"/>
    <n v="4"/>
    <n v="12"/>
    <n v="8"/>
    <n v="6"/>
    <n v="14"/>
  </r>
  <r>
    <n v="1624"/>
    <x v="1624"/>
    <n v="1963"/>
    <x v="24"/>
    <x v="0"/>
    <x v="1"/>
    <n v="54414"/>
    <x v="0"/>
    <n v="1"/>
    <n v="1"/>
    <x v="1"/>
    <d v="2013-01-23T00:00:00"/>
    <s v="12 years, 5 months"/>
    <n v="49"/>
    <n v="18"/>
    <n v="26"/>
    <n v="44"/>
    <n v="3"/>
    <n v="5"/>
    <n v="8"/>
  </r>
  <r>
    <n v="1625"/>
    <x v="1625"/>
    <n v="1952"/>
    <x v="13"/>
    <x v="1"/>
    <x v="2"/>
    <n v="54549"/>
    <x v="0"/>
    <n v="0"/>
    <n v="1"/>
    <x v="2"/>
    <d v="2014-03-03T00:00:00"/>
    <s v="11 years, 4 months"/>
    <n v="8"/>
    <n v="2"/>
    <n v="0"/>
    <n v="2"/>
    <n v="5"/>
    <n v="4"/>
    <n v="9"/>
  </r>
  <r>
    <n v="1626"/>
    <x v="1626"/>
    <n v="1971"/>
    <x v="6"/>
    <x v="1"/>
    <x v="4"/>
    <n v="47111"/>
    <x v="0"/>
    <n v="0"/>
    <n v="1"/>
    <x v="2"/>
    <d v="2012-09-08T00:00:00"/>
    <s v="12 years, 9 months"/>
    <n v="35"/>
    <n v="71"/>
    <n v="112"/>
    <n v="183"/>
    <n v="3"/>
    <n v="10"/>
    <n v="13"/>
  </r>
  <r>
    <n v="1627"/>
    <x v="1627"/>
    <n v="1963"/>
    <x v="24"/>
    <x v="1"/>
    <x v="3"/>
    <n v="41003"/>
    <x v="0"/>
    <n v="0"/>
    <n v="0"/>
    <x v="0"/>
    <d v="2013-03-17T00:00:00"/>
    <s v="12 years, 3 months"/>
    <n v="11"/>
    <n v="133"/>
    <n v="44"/>
    <n v="177"/>
    <n v="6"/>
    <n v="8"/>
    <n v="14"/>
  </r>
  <r>
    <n v="1628"/>
    <x v="1628"/>
    <n v="1982"/>
    <x v="18"/>
    <x v="0"/>
    <x v="1"/>
    <n v="19444"/>
    <x v="1"/>
    <n v="1"/>
    <n v="0"/>
    <x v="2"/>
    <d v="2014-02-22T00:00:00"/>
    <s v="11 years, 4 months"/>
    <n v="8"/>
    <n v="0"/>
    <n v="2"/>
    <n v="2"/>
    <n v="4"/>
    <n v="2"/>
    <n v="6"/>
  </r>
  <r>
    <n v="1629"/>
    <x v="1629"/>
    <n v="1976"/>
    <x v="11"/>
    <x v="4"/>
    <x v="1"/>
    <n v="36301"/>
    <x v="0"/>
    <n v="1"/>
    <n v="0"/>
    <x v="2"/>
    <d v="2013-10-25T00:00:00"/>
    <s v="11 years, 8 months"/>
    <n v="53"/>
    <n v="12"/>
    <n v="5"/>
    <n v="17"/>
    <n v="3"/>
    <n v="3"/>
    <n v="6"/>
  </r>
  <r>
    <n v="1630"/>
    <x v="1630"/>
    <n v="1947"/>
    <x v="51"/>
    <x v="1"/>
    <x v="1"/>
    <n v="73059"/>
    <x v="0"/>
    <n v="0"/>
    <n v="1"/>
    <x v="2"/>
    <d v="2013-08-31T00:00:00"/>
    <s v="11 years, 10 months"/>
    <n v="36"/>
    <n v="112"/>
    <n v="82"/>
    <n v="194"/>
    <n v="9"/>
    <n v="13"/>
    <n v="22"/>
  </r>
  <r>
    <n v="1631"/>
    <x v="1631"/>
    <n v="1969"/>
    <x v="21"/>
    <x v="1"/>
    <x v="1"/>
    <n v="42731"/>
    <x v="0"/>
    <n v="1"/>
    <n v="0"/>
    <x v="2"/>
    <d v="2013-10-21T00:00:00"/>
    <s v="11 years, 8 months"/>
    <n v="64"/>
    <n v="2"/>
    <n v="2"/>
    <n v="4"/>
    <n v="4"/>
    <n v="5"/>
    <n v="9"/>
  </r>
  <r>
    <n v="1632"/>
    <x v="1632"/>
    <n v="1959"/>
    <x v="12"/>
    <x v="1"/>
    <x v="2"/>
    <n v="52854"/>
    <x v="0"/>
    <n v="1"/>
    <n v="1"/>
    <x v="1"/>
    <d v="2014-03-24T00:00:00"/>
    <s v="11 years, 3 months"/>
    <n v="43"/>
    <n v="0"/>
    <n v="1"/>
    <n v="1"/>
    <n v="2"/>
    <n v="4"/>
    <n v="6"/>
  </r>
  <r>
    <n v="1633"/>
    <x v="1633"/>
    <n v="1978"/>
    <x v="33"/>
    <x v="0"/>
    <x v="1"/>
    <n v="22775"/>
    <x v="1"/>
    <n v="1"/>
    <n v="0"/>
    <x v="2"/>
    <d v="2013-06-19T00:00:00"/>
    <s v="12 years, 0 months"/>
    <n v="40"/>
    <n v="1"/>
    <n v="0"/>
    <n v="1"/>
    <n v="1"/>
    <n v="2"/>
    <n v="3"/>
  </r>
  <r>
    <n v="1634"/>
    <x v="1634"/>
    <n v="1948"/>
    <x v="37"/>
    <x v="1"/>
    <x v="1"/>
    <n v="46681"/>
    <x v="0"/>
    <n v="0"/>
    <n v="2"/>
    <x v="1"/>
    <d v="2013-10-08T00:00:00"/>
    <s v="11 years, 8 months"/>
    <n v="52"/>
    <n v="15"/>
    <n v="19"/>
    <n v="34"/>
    <n v="4"/>
    <n v="4"/>
    <n v="8"/>
  </r>
  <r>
    <n v="1635"/>
    <x v="1635"/>
    <n v="1955"/>
    <x v="34"/>
    <x v="1"/>
    <x v="2"/>
    <n v="59821"/>
    <x v="0"/>
    <n v="0"/>
    <n v="1"/>
    <x v="2"/>
    <d v="2013-04-12T00:00:00"/>
    <s v="12 years, 2 months"/>
    <n v="11"/>
    <n v="0"/>
    <n v="0"/>
    <n v="0"/>
    <n v="11"/>
    <n v="7"/>
    <n v="18"/>
  </r>
  <r>
    <n v="1636"/>
    <x v="1636"/>
    <n v="1954"/>
    <x v="1"/>
    <x v="0"/>
    <x v="3"/>
    <n v="50002"/>
    <x v="0"/>
    <n v="0"/>
    <n v="1"/>
    <x v="2"/>
    <d v="2013-06-17T00:00:00"/>
    <s v="12 years, 0 months"/>
    <n v="21"/>
    <n v="5"/>
    <n v="16"/>
    <n v="21"/>
    <n v="8"/>
    <n v="7"/>
    <n v="15"/>
  </r>
  <r>
    <n v="1637"/>
    <x v="1637"/>
    <n v="1945"/>
    <x v="41"/>
    <x v="0"/>
    <x v="2"/>
    <n v="69755"/>
    <x v="0"/>
    <n v="0"/>
    <n v="0"/>
    <x v="0"/>
    <d v="2013-10-02T00:00:00"/>
    <s v="11 years, 9 months"/>
    <n v="23"/>
    <n v="77"/>
    <n v="23"/>
    <n v="100"/>
    <n v="3"/>
    <n v="12"/>
    <n v="15"/>
  </r>
  <r>
    <n v="1638"/>
    <x v="1638"/>
    <n v="1969"/>
    <x v="21"/>
    <x v="0"/>
    <x v="2"/>
    <n v="44078"/>
    <x v="0"/>
    <n v="1"/>
    <n v="1"/>
    <x v="1"/>
    <d v="2014-06-19T00:00:00"/>
    <s v="11 years, 0 months"/>
    <n v="17"/>
    <n v="1"/>
    <n v="0"/>
    <n v="1"/>
    <n v="2"/>
    <n v="3"/>
    <n v="5"/>
  </r>
  <r>
    <n v="1639"/>
    <x v="1639"/>
    <n v="1976"/>
    <x v="11"/>
    <x v="2"/>
    <x v="1"/>
    <n v="30560"/>
    <x v="0"/>
    <n v="1"/>
    <n v="0"/>
    <x v="2"/>
    <d v="2013-06-27T00:00:00"/>
    <s v="12 years, 0 months"/>
    <n v="6"/>
    <n v="1"/>
    <n v="5"/>
    <n v="6"/>
    <n v="1"/>
    <n v="3"/>
    <n v="4"/>
  </r>
  <r>
    <n v="1640"/>
    <x v="1640"/>
    <n v="1969"/>
    <x v="21"/>
    <x v="2"/>
    <x v="1"/>
    <n v="35924"/>
    <x v="0"/>
    <n v="1"/>
    <n v="1"/>
    <x v="1"/>
    <d v="2014-03-23T00:00:00"/>
    <s v="11 years, 3 months"/>
    <n v="56"/>
    <n v="0"/>
    <n v="3"/>
    <n v="3"/>
    <n v="1"/>
    <n v="3"/>
    <n v="4"/>
  </r>
  <r>
    <n v="1641"/>
    <x v="1641"/>
    <n v="1964"/>
    <x v="31"/>
    <x v="1"/>
    <x v="3"/>
    <n v="64140"/>
    <x v="0"/>
    <n v="0"/>
    <n v="2"/>
    <x v="1"/>
    <d v="2013-09-23T00:00:00"/>
    <s v="11 years, 9 months"/>
    <n v="71"/>
    <n v="0"/>
    <n v="15"/>
    <n v="15"/>
    <n v="2"/>
    <n v="6"/>
    <n v="8"/>
  </r>
  <r>
    <n v="1642"/>
    <x v="1642"/>
    <n v="1981"/>
    <x v="4"/>
    <x v="0"/>
    <x v="1"/>
    <n v="56386"/>
    <x v="0"/>
    <n v="1"/>
    <n v="1"/>
    <x v="1"/>
    <d v="2012-10-27T00:00:00"/>
    <s v="12 years, 8 months"/>
    <n v="51"/>
    <n v="48"/>
    <n v="32"/>
    <n v="80"/>
    <n v="9"/>
    <n v="7"/>
    <n v="16"/>
  </r>
  <r>
    <n v="1643"/>
    <x v="1643"/>
    <n v="1979"/>
    <x v="19"/>
    <x v="3"/>
    <x v="1"/>
    <n v="24594"/>
    <x v="1"/>
    <n v="1"/>
    <n v="0"/>
    <x v="2"/>
    <d v="2013-12-10T00:00:00"/>
    <s v="11 years, 6 months"/>
    <n v="94"/>
    <n v="3"/>
    <n v="0"/>
    <n v="3"/>
    <n v="1"/>
    <n v="3"/>
    <n v="4"/>
  </r>
  <r>
    <n v="1644"/>
    <x v="1644"/>
    <n v="1981"/>
    <x v="4"/>
    <x v="4"/>
    <x v="1"/>
    <n v="75774"/>
    <x v="2"/>
    <n v="1"/>
    <n v="0"/>
    <x v="2"/>
    <d v="2014-05-02T00:00:00"/>
    <s v="11 years, 2 months"/>
    <n v="27"/>
    <n v="21"/>
    <n v="14"/>
    <n v="35"/>
    <n v="7"/>
    <n v="8"/>
    <n v="15"/>
  </r>
  <r>
    <n v="1645"/>
    <x v="1645"/>
    <n v="1960"/>
    <x v="40"/>
    <x v="2"/>
    <x v="3"/>
    <n v="39228"/>
    <x v="0"/>
    <n v="0"/>
    <n v="0"/>
    <x v="0"/>
    <d v="2013-05-10T00:00:00"/>
    <s v="12 years, 1 months"/>
    <n v="1"/>
    <n v="1"/>
    <n v="3"/>
    <n v="4"/>
    <n v="0"/>
    <n v="3"/>
    <n v="3"/>
  </r>
  <r>
    <n v="1646"/>
    <x v="1646"/>
    <n v="1974"/>
    <x v="8"/>
    <x v="2"/>
    <x v="2"/>
    <n v="58494"/>
    <x v="0"/>
    <n v="0"/>
    <n v="1"/>
    <x v="2"/>
    <d v="2013-12-12T00:00:00"/>
    <s v="11 years, 6 months"/>
    <n v="56"/>
    <n v="7"/>
    <n v="0"/>
    <n v="7"/>
    <n v="6"/>
    <n v="6"/>
    <n v="12"/>
  </r>
  <r>
    <n v="1647"/>
    <x v="1647"/>
    <n v="1981"/>
    <x v="4"/>
    <x v="0"/>
    <x v="0"/>
    <n v="58684"/>
    <x v="0"/>
    <n v="0"/>
    <n v="0"/>
    <x v="0"/>
    <d v="2014-06-16T00:00:00"/>
    <s v="11 years, 0 months"/>
    <n v="71"/>
    <n v="35"/>
    <n v="7"/>
    <n v="42"/>
    <n v="5"/>
    <n v="12"/>
    <n v="17"/>
  </r>
  <r>
    <n v="1648"/>
    <x v="1648"/>
    <n v="1967"/>
    <x v="5"/>
    <x v="0"/>
    <x v="3"/>
    <n v="57136"/>
    <x v="0"/>
    <n v="0"/>
    <n v="0"/>
    <x v="0"/>
    <d v="2013-05-18T00:00:00"/>
    <s v="12 years, 1 months"/>
    <n v="18"/>
    <n v="140"/>
    <n v="12"/>
    <n v="152"/>
    <n v="7"/>
    <n v="7"/>
    <n v="14"/>
  </r>
  <r>
    <n v="1649"/>
    <x v="1649"/>
    <n v="1950"/>
    <x v="9"/>
    <x v="1"/>
    <x v="4"/>
    <n v="56551"/>
    <x v="0"/>
    <n v="1"/>
    <n v="1"/>
    <x v="1"/>
    <d v="2014-05-07T00:00:00"/>
    <s v="11 years, 1 months"/>
    <n v="48"/>
    <n v="4"/>
    <n v="2"/>
    <n v="6"/>
    <n v="2"/>
    <n v="4"/>
    <n v="6"/>
  </r>
  <r>
    <n v="1650"/>
    <x v="1650"/>
    <n v="1982"/>
    <x v="18"/>
    <x v="0"/>
    <x v="2"/>
    <n v="22448"/>
    <x v="1"/>
    <n v="1"/>
    <n v="0"/>
    <x v="2"/>
    <d v="2014-02-26T00:00:00"/>
    <s v="11 years, 4 months"/>
    <n v="86"/>
    <n v="1"/>
    <n v="2"/>
    <n v="3"/>
    <n v="2"/>
    <n v="3"/>
    <n v="5"/>
  </r>
  <r>
    <n v="1651"/>
    <x v="1651"/>
    <n v="1961"/>
    <x v="45"/>
    <x v="0"/>
    <x v="0"/>
    <n v="82014"/>
    <x v="2"/>
    <n v="0"/>
    <n v="0"/>
    <x v="0"/>
    <d v="2012-08-20T00:00:00"/>
    <s v="12 years, 10 months"/>
    <n v="48"/>
    <n v="37"/>
    <n v="163"/>
    <n v="200"/>
    <n v="3"/>
    <n v="12"/>
    <n v="15"/>
  </r>
  <r>
    <n v="1652"/>
    <x v="1652"/>
    <n v="1963"/>
    <x v="24"/>
    <x v="0"/>
    <x v="4"/>
    <n v="34213"/>
    <x v="0"/>
    <n v="1"/>
    <n v="1"/>
    <x v="1"/>
    <d v="2012-09-07T00:00:00"/>
    <s v="12 years, 9 months"/>
    <n v="2"/>
    <n v="4"/>
    <n v="3"/>
    <n v="7"/>
    <n v="3"/>
    <n v="2"/>
    <n v="5"/>
  </r>
  <r>
    <n v="1653"/>
    <x v="1653"/>
    <n v="1977"/>
    <x v="32"/>
    <x v="0"/>
    <x v="1"/>
    <n v="157146"/>
    <x v="3"/>
    <n v="0"/>
    <n v="0"/>
    <x v="0"/>
    <d v="2013-04-29T00:00:00"/>
    <s v="12 years, 2 months"/>
    <n v="13"/>
    <n v="0"/>
    <n v="1"/>
    <n v="1"/>
    <n v="0"/>
    <n v="0"/>
    <n v="0"/>
  </r>
  <r>
    <n v="1654"/>
    <x v="1654"/>
    <n v="1947"/>
    <x v="51"/>
    <x v="1"/>
    <x v="4"/>
    <n v="25358"/>
    <x v="0"/>
    <n v="0"/>
    <n v="1"/>
    <x v="2"/>
    <d v="2013-07-22T00:00:00"/>
    <s v="11 years, 11 months"/>
    <n v="57"/>
    <n v="0"/>
    <n v="0"/>
    <n v="0"/>
    <n v="1"/>
    <n v="3"/>
    <n v="4"/>
  </r>
  <r>
    <n v="1655"/>
    <x v="1655"/>
    <n v="1978"/>
    <x v="33"/>
    <x v="2"/>
    <x v="0"/>
    <n v="35544"/>
    <x v="0"/>
    <n v="1"/>
    <n v="0"/>
    <x v="2"/>
    <d v="2014-03-08T00:00:00"/>
    <s v="11 years, 3 months"/>
    <n v="77"/>
    <n v="5"/>
    <n v="1"/>
    <n v="6"/>
    <n v="2"/>
    <n v="3"/>
    <n v="5"/>
  </r>
  <r>
    <n v="1656"/>
    <x v="1656"/>
    <n v="1954"/>
    <x v="1"/>
    <x v="2"/>
    <x v="1"/>
    <n v="36634"/>
    <x v="0"/>
    <n v="0"/>
    <n v="1"/>
    <x v="2"/>
    <d v="2013-05-28T00:00:00"/>
    <s v="12 years, 1 months"/>
    <n v="0"/>
    <n v="9"/>
    <n v="3"/>
    <n v="12"/>
    <n v="5"/>
    <n v="5"/>
    <n v="10"/>
  </r>
  <r>
    <n v="1657"/>
    <x v="1657"/>
    <n v="1954"/>
    <x v="1"/>
    <x v="1"/>
    <x v="2"/>
    <n v="62670"/>
    <x v="0"/>
    <n v="0"/>
    <n v="1"/>
    <x v="2"/>
    <d v="2014-02-02T00:00:00"/>
    <s v="11 years, 5 months"/>
    <n v="57"/>
    <n v="30"/>
    <n v="46"/>
    <n v="76"/>
    <n v="5"/>
    <n v="13"/>
    <n v="18"/>
  </r>
  <r>
    <n v="1658"/>
    <x v="1658"/>
    <n v="1972"/>
    <x v="39"/>
    <x v="4"/>
    <x v="1"/>
    <n v="50334"/>
    <x v="0"/>
    <n v="0"/>
    <n v="1"/>
    <x v="2"/>
    <d v="2013-07-24T00:00:00"/>
    <s v="11 years, 11 months"/>
    <n v="24"/>
    <n v="16"/>
    <n v="16"/>
    <n v="32"/>
    <n v="7"/>
    <n v="6"/>
    <n v="13"/>
  </r>
  <r>
    <n v="1659"/>
    <x v="1659"/>
    <n v="1981"/>
    <x v="4"/>
    <x v="0"/>
    <x v="0"/>
    <n v="72066"/>
    <x v="0"/>
    <n v="0"/>
    <n v="0"/>
    <x v="0"/>
    <d v="2014-06-23T00:00:00"/>
    <s v="11 years, 0 months"/>
    <n v="55"/>
    <n v="34"/>
    <n v="51"/>
    <n v="85"/>
    <n v="4"/>
    <n v="6"/>
    <n v="10"/>
  </r>
  <r>
    <n v="1660"/>
    <x v="1660"/>
    <n v="1958"/>
    <x v="38"/>
    <x v="1"/>
    <x v="0"/>
    <n v="50729"/>
    <x v="0"/>
    <n v="1"/>
    <n v="1"/>
    <x v="1"/>
    <d v="2013-05-02T00:00:00"/>
    <s v="12 years, 2 months"/>
    <n v="62"/>
    <n v="13"/>
    <n v="4"/>
    <n v="17"/>
    <n v="6"/>
    <n v="7"/>
    <n v="13"/>
  </r>
  <r>
    <n v="1661"/>
    <x v="1661"/>
    <n v="1968"/>
    <x v="30"/>
    <x v="0"/>
    <x v="1"/>
    <n v="34916"/>
    <x v="0"/>
    <n v="2"/>
    <n v="0"/>
    <x v="1"/>
    <d v="2013-05-15T00:00:00"/>
    <s v="12 years, 1 months"/>
    <n v="89"/>
    <n v="23"/>
    <n v="0"/>
    <n v="23"/>
    <n v="5"/>
    <n v="3"/>
    <n v="8"/>
  </r>
  <r>
    <n v="1662"/>
    <x v="1662"/>
    <n v="1976"/>
    <x v="11"/>
    <x v="0"/>
    <x v="3"/>
    <n v="64892"/>
    <x v="0"/>
    <n v="0"/>
    <n v="1"/>
    <x v="2"/>
    <d v="2014-05-29T00:00:00"/>
    <s v="11 years, 1 months"/>
    <n v="77"/>
    <n v="24"/>
    <n v="24"/>
    <n v="48"/>
    <n v="6"/>
    <n v="12"/>
    <n v="18"/>
  </r>
  <r>
    <n v="1663"/>
    <x v="1663"/>
    <n v="1966"/>
    <x v="35"/>
    <x v="0"/>
    <x v="0"/>
    <n v="43602"/>
    <x v="0"/>
    <n v="1"/>
    <n v="1"/>
    <x v="1"/>
    <d v="2014-01-10T00:00:00"/>
    <s v="11 years, 5 months"/>
    <n v="45"/>
    <n v="5"/>
    <n v="3"/>
    <n v="8"/>
    <n v="3"/>
    <n v="2"/>
    <n v="5"/>
  </r>
  <r>
    <n v="1664"/>
    <x v="1664"/>
    <n v="1989"/>
    <x v="23"/>
    <x v="1"/>
    <x v="0"/>
    <n v="33996"/>
    <x v="0"/>
    <n v="0"/>
    <n v="0"/>
    <x v="0"/>
    <d v="2013-09-11T00:00:00"/>
    <s v="11 years, 9 months"/>
    <n v="46"/>
    <n v="2"/>
    <n v="0"/>
    <n v="2"/>
    <n v="1"/>
    <n v="3"/>
    <n v="4"/>
  </r>
  <r>
    <n v="1665"/>
    <x v="1665"/>
    <n v="1985"/>
    <x v="7"/>
    <x v="4"/>
    <x v="0"/>
    <n v="41473"/>
    <x v="0"/>
    <n v="1"/>
    <n v="0"/>
    <x v="2"/>
    <d v="2013-06-19T00:00:00"/>
    <s v="12 years, 0 months"/>
    <n v="80"/>
    <n v="8"/>
    <n v="3"/>
    <n v="11"/>
    <n v="2"/>
    <n v="3"/>
    <n v="5"/>
  </r>
  <r>
    <n v="1666"/>
    <x v="1666"/>
    <n v="1967"/>
    <x v="5"/>
    <x v="1"/>
    <x v="2"/>
    <n v="63246"/>
    <x v="0"/>
    <n v="0"/>
    <n v="2"/>
    <x v="1"/>
    <d v="2013-08-20T00:00:00"/>
    <s v="11 years, 10 months"/>
    <n v="60"/>
    <n v="30"/>
    <n v="22"/>
    <n v="52"/>
    <n v="6"/>
    <n v="12"/>
    <n v="18"/>
  </r>
  <r>
    <n v="1667"/>
    <x v="1667"/>
    <n v="1959"/>
    <x v="12"/>
    <x v="1"/>
    <x v="2"/>
    <n v="36732"/>
    <x v="0"/>
    <n v="1"/>
    <n v="1"/>
    <x v="1"/>
    <d v="2013-12-29T00:00:00"/>
    <s v="11 years, 6 months"/>
    <n v="71"/>
    <n v="5"/>
    <n v="1"/>
    <n v="6"/>
    <n v="1"/>
    <n v="4"/>
    <n v="5"/>
  </r>
  <r>
    <n v="1668"/>
    <x v="1668"/>
    <n v="1970"/>
    <x v="25"/>
    <x v="1"/>
    <x v="2"/>
    <n v="69084"/>
    <x v="0"/>
    <n v="1"/>
    <n v="0"/>
    <x v="2"/>
    <d v="2013-11-19T00:00:00"/>
    <s v="11 years, 7 months"/>
    <n v="43"/>
    <n v="107"/>
    <n v="30"/>
    <n v="137"/>
    <n v="7"/>
    <n v="13"/>
    <n v="20"/>
  </r>
  <r>
    <n v="1669"/>
    <x v="1669"/>
    <n v="1967"/>
    <x v="5"/>
    <x v="1"/>
    <x v="2"/>
    <n v="77766"/>
    <x v="2"/>
    <n v="0"/>
    <n v="1"/>
    <x v="2"/>
    <d v="2013-02-22T00:00:00"/>
    <s v="12 years, 4 months"/>
    <n v="97"/>
    <n v="59"/>
    <n v="59"/>
    <n v="118"/>
    <n v="11"/>
    <n v="11"/>
    <n v="22"/>
  </r>
  <r>
    <n v="1670"/>
    <x v="1670"/>
    <n v="1985"/>
    <x v="7"/>
    <x v="1"/>
    <x v="0"/>
    <n v="37929"/>
    <x v="0"/>
    <n v="0"/>
    <n v="0"/>
    <x v="0"/>
    <d v="2013-07-30T00:00:00"/>
    <s v="11 years, 11 months"/>
    <n v="49"/>
    <n v="2"/>
    <n v="2"/>
    <n v="4"/>
    <n v="4"/>
    <n v="5"/>
    <n v="9"/>
  </r>
  <r>
    <n v="1671"/>
    <x v="1671"/>
    <n v="1951"/>
    <x v="20"/>
    <x v="0"/>
    <x v="1"/>
    <n v="86610"/>
    <x v="2"/>
    <n v="0"/>
    <n v="0"/>
    <x v="0"/>
    <d v="2013-09-05T00:00:00"/>
    <s v="11 years, 10 months"/>
    <n v="66"/>
    <n v="107"/>
    <n v="196"/>
    <n v="303"/>
    <n v="5"/>
    <n v="6"/>
    <n v="11"/>
  </r>
  <r>
    <n v="1672"/>
    <x v="1672"/>
    <n v="1986"/>
    <x v="22"/>
    <x v="2"/>
    <x v="2"/>
    <n v="80141"/>
    <x v="2"/>
    <n v="0"/>
    <n v="0"/>
    <x v="0"/>
    <d v="2013-01-11T00:00:00"/>
    <s v="12 years, 5 months"/>
    <n v="20"/>
    <n v="102"/>
    <n v="40"/>
    <n v="142"/>
    <n v="7"/>
    <n v="10"/>
    <n v="17"/>
  </r>
  <r>
    <n v="1673"/>
    <x v="1673"/>
    <n v="1955"/>
    <x v="34"/>
    <x v="4"/>
    <x v="2"/>
    <n v="72635"/>
    <x v="0"/>
    <n v="0"/>
    <n v="0"/>
    <x v="0"/>
    <d v="2013-06-03T00:00:00"/>
    <s v="12 years, 1 months"/>
    <n v="54"/>
    <n v="22"/>
    <n v="35"/>
    <n v="57"/>
    <n v="6"/>
    <n v="6"/>
    <n v="12"/>
  </r>
  <r>
    <n v="1674"/>
    <x v="1674"/>
    <n v="1970"/>
    <x v="25"/>
    <x v="0"/>
    <x v="2"/>
    <n v="69016"/>
    <x v="0"/>
    <n v="0"/>
    <n v="1"/>
    <x v="2"/>
    <d v="2012-11-22T00:00:00"/>
    <s v="12 years, 7 months"/>
    <n v="61"/>
    <n v="53"/>
    <n v="107"/>
    <n v="160"/>
    <n v="8"/>
    <n v="13"/>
    <n v="21"/>
  </r>
  <r>
    <n v="1675"/>
    <x v="1675"/>
    <n v="1991"/>
    <x v="42"/>
    <x v="4"/>
    <x v="1"/>
    <n v="20193"/>
    <x v="1"/>
    <n v="0"/>
    <n v="0"/>
    <x v="0"/>
    <d v="2012-11-28T00:00:00"/>
    <s v="12 years, 7 months"/>
    <n v="18"/>
    <n v="8"/>
    <n v="11"/>
    <n v="19"/>
    <n v="1"/>
    <n v="4"/>
    <n v="5"/>
  </r>
  <r>
    <n v="1676"/>
    <x v="1676"/>
    <n v="1975"/>
    <x v="28"/>
    <x v="0"/>
    <x v="2"/>
    <n v="27573"/>
    <x v="0"/>
    <n v="1"/>
    <n v="0"/>
    <x v="2"/>
    <d v="2013-03-25T00:00:00"/>
    <s v="12 years, 3 months"/>
    <n v="45"/>
    <n v="15"/>
    <n v="15"/>
    <n v="30"/>
    <n v="5"/>
    <n v="4"/>
    <n v="9"/>
  </r>
  <r>
    <n v="1677"/>
    <x v="1677"/>
    <n v="1979"/>
    <x v="19"/>
    <x v="3"/>
    <x v="0"/>
    <n v="15862"/>
    <x v="1"/>
    <n v="1"/>
    <n v="0"/>
    <x v="2"/>
    <d v="2013-06-27T00:00:00"/>
    <s v="12 years, 0 months"/>
    <n v="26"/>
    <n v="1"/>
    <n v="9"/>
    <n v="10"/>
    <n v="1"/>
    <n v="3"/>
    <n v="4"/>
  </r>
  <r>
    <n v="1678"/>
    <x v="1678"/>
    <n v="1976"/>
    <x v="11"/>
    <x v="1"/>
    <x v="2"/>
    <n v="49544"/>
    <x v="0"/>
    <n v="1"/>
    <n v="0"/>
    <x v="2"/>
    <d v="2013-02-12T00:00:00"/>
    <s v="12 years, 4 months"/>
    <n v="0"/>
    <n v="0"/>
    <n v="0"/>
    <n v="0"/>
    <n v="5"/>
    <n v="8"/>
    <n v="13"/>
  </r>
  <r>
    <n v="1679"/>
    <x v="1679"/>
    <n v="1980"/>
    <x v="16"/>
    <x v="0"/>
    <x v="2"/>
    <n v="33228"/>
    <x v="0"/>
    <n v="1"/>
    <n v="0"/>
    <x v="2"/>
    <d v="2014-01-23T00:00:00"/>
    <s v="11 years, 5 months"/>
    <n v="28"/>
    <n v="2"/>
    <n v="4"/>
    <n v="6"/>
    <n v="2"/>
    <n v="3"/>
    <n v="5"/>
  </r>
  <r>
    <n v="1680"/>
    <x v="1680"/>
    <n v="1978"/>
    <x v="33"/>
    <x v="0"/>
    <x v="1"/>
    <n v="70440"/>
    <x v="0"/>
    <n v="0"/>
    <n v="0"/>
    <x v="0"/>
    <d v="2013-10-08T00:00:00"/>
    <s v="11 years, 8 months"/>
    <n v="49"/>
    <n v="117"/>
    <n v="102"/>
    <n v="219"/>
    <n v="5"/>
    <n v="7"/>
    <n v="12"/>
  </r>
  <r>
    <n v="1681"/>
    <x v="1681"/>
    <n v="1971"/>
    <x v="6"/>
    <x v="0"/>
    <x v="1"/>
    <n v="38232"/>
    <x v="0"/>
    <n v="1"/>
    <n v="1"/>
    <x v="1"/>
    <d v="2014-01-17T00:00:00"/>
    <s v="11 years, 5 months"/>
    <n v="84"/>
    <n v="5"/>
    <n v="6"/>
    <n v="11"/>
    <n v="3"/>
    <n v="3"/>
    <n v="6"/>
  </r>
  <r>
    <n v="1682"/>
    <x v="1682"/>
    <n v="1955"/>
    <x v="34"/>
    <x v="1"/>
    <x v="2"/>
    <n v="22554"/>
    <x v="1"/>
    <n v="1"/>
    <n v="1"/>
    <x v="1"/>
    <d v="2012-11-03T00:00:00"/>
    <s v="12 years, 8 months"/>
    <n v="38"/>
    <n v="0"/>
    <n v="0"/>
    <n v="0"/>
    <n v="2"/>
    <n v="4"/>
    <n v="6"/>
  </r>
  <r>
    <n v="1683"/>
    <x v="1683"/>
    <n v="1983"/>
    <x v="10"/>
    <x v="1"/>
    <x v="2"/>
    <n v="23536"/>
    <x v="1"/>
    <n v="1"/>
    <n v="0"/>
    <x v="2"/>
    <d v="2014-06-04T00:00:00"/>
    <s v="11 years, 1 months"/>
    <n v="53"/>
    <n v="0"/>
    <n v="0"/>
    <n v="0"/>
    <n v="0"/>
    <n v="3"/>
    <n v="3"/>
  </r>
  <r>
    <n v="1684"/>
    <x v="1684"/>
    <n v="1952"/>
    <x v="13"/>
    <x v="0"/>
    <x v="2"/>
    <n v="49413"/>
    <x v="0"/>
    <n v="0"/>
    <n v="1"/>
    <x v="2"/>
    <d v="2013-10-25T00:00:00"/>
    <s v="11 years, 8 months"/>
    <n v="88"/>
    <n v="7"/>
    <n v="2"/>
    <n v="9"/>
    <n v="4"/>
    <n v="5"/>
    <n v="9"/>
  </r>
  <r>
    <n v="1685"/>
    <x v="1685"/>
    <n v="1969"/>
    <x v="21"/>
    <x v="0"/>
    <x v="2"/>
    <n v="42231"/>
    <x v="0"/>
    <n v="1"/>
    <n v="1"/>
    <x v="1"/>
    <d v="2014-03-25T00:00:00"/>
    <s v="11 years, 3 months"/>
    <n v="99"/>
    <n v="0"/>
    <n v="1"/>
    <n v="1"/>
    <n v="1"/>
    <n v="3"/>
    <n v="4"/>
  </r>
  <r>
    <n v="1686"/>
    <x v="1686"/>
    <n v="1980"/>
    <x v="16"/>
    <x v="2"/>
    <x v="3"/>
    <n v="78789"/>
    <x v="2"/>
    <n v="0"/>
    <n v="0"/>
    <x v="0"/>
    <d v="2012-08-08T00:00:00"/>
    <s v="12 years, 10 months"/>
    <n v="12"/>
    <n v="50"/>
    <n v="83"/>
    <n v="133"/>
    <n v="4"/>
    <n v="5"/>
    <n v="9"/>
  </r>
  <r>
    <n v="1687"/>
    <x v="1687"/>
    <n v="1968"/>
    <x v="30"/>
    <x v="0"/>
    <x v="1"/>
    <n v="56534"/>
    <x v="0"/>
    <n v="0"/>
    <n v="1"/>
    <x v="2"/>
    <d v="2013-07-23T00:00:00"/>
    <s v="11 years, 11 months"/>
    <n v="35"/>
    <n v="7"/>
    <n v="0"/>
    <n v="7"/>
    <n v="10"/>
    <n v="7"/>
    <n v="17"/>
  </r>
  <r>
    <n v="1688"/>
    <x v="1688"/>
    <n v="1971"/>
    <x v="6"/>
    <x v="0"/>
    <x v="0"/>
    <n v="58350"/>
    <x v="0"/>
    <n v="0"/>
    <n v="1"/>
    <x v="2"/>
    <d v="2013-01-04T00:00:00"/>
    <s v="12 years, 6 months"/>
    <n v="5"/>
    <n v="26"/>
    <n v="80"/>
    <n v="106"/>
    <n v="8"/>
    <n v="12"/>
    <n v="20"/>
  </r>
  <r>
    <n v="1689"/>
    <x v="1689"/>
    <n v="1989"/>
    <x v="23"/>
    <x v="0"/>
    <x v="0"/>
    <n v="81217"/>
    <x v="2"/>
    <n v="0"/>
    <n v="0"/>
    <x v="0"/>
    <d v="2013-07-19T00:00:00"/>
    <s v="11 years, 11 months"/>
    <n v="77"/>
    <n v="70"/>
    <n v="40"/>
    <n v="110"/>
    <n v="3"/>
    <n v="11"/>
    <n v="14"/>
  </r>
  <r>
    <n v="1690"/>
    <x v="1690"/>
    <n v="1951"/>
    <x v="20"/>
    <x v="0"/>
    <x v="0"/>
    <n v="49090"/>
    <x v="0"/>
    <n v="0"/>
    <n v="1"/>
    <x v="2"/>
    <d v="2013-07-19T00:00:00"/>
    <s v="11 years, 11 months"/>
    <n v="45"/>
    <n v="5"/>
    <n v="0"/>
    <n v="5"/>
    <n v="7"/>
    <n v="9"/>
    <n v="16"/>
  </r>
  <r>
    <n v="1691"/>
    <x v="1691"/>
    <n v="1987"/>
    <x v="14"/>
    <x v="2"/>
    <x v="3"/>
    <n v="61787"/>
    <x v="0"/>
    <n v="0"/>
    <n v="0"/>
    <x v="0"/>
    <d v="2013-07-06T00:00:00"/>
    <s v="12 years, 0 months"/>
    <n v="71"/>
    <n v="73"/>
    <n v="48"/>
    <n v="121"/>
    <n v="8"/>
    <n v="6"/>
    <n v="14"/>
  </r>
  <r>
    <n v="1692"/>
    <x v="1692"/>
    <n v="1985"/>
    <x v="7"/>
    <x v="1"/>
    <x v="2"/>
    <n v="18169"/>
    <x v="1"/>
    <n v="1"/>
    <n v="0"/>
    <x v="2"/>
    <d v="2013-02-19T00:00:00"/>
    <s v="12 years, 4 months"/>
    <n v="40"/>
    <n v="0"/>
    <n v="0"/>
    <n v="0"/>
    <n v="1"/>
    <n v="2"/>
    <n v="3"/>
  </r>
  <r>
    <n v="1693"/>
    <x v="1693"/>
    <n v="1981"/>
    <x v="4"/>
    <x v="4"/>
    <x v="0"/>
    <n v="24336"/>
    <x v="1"/>
    <n v="1"/>
    <n v="0"/>
    <x v="2"/>
    <d v="2012-08-27T00:00:00"/>
    <s v="12 years, 10 months"/>
    <n v="82"/>
    <n v="6"/>
    <n v="2"/>
    <n v="8"/>
    <n v="1"/>
    <n v="2"/>
    <n v="3"/>
  </r>
  <r>
    <n v="1694"/>
    <x v="1694"/>
    <n v="1990"/>
    <x v="50"/>
    <x v="0"/>
    <x v="2"/>
    <n v="18222"/>
    <x v="1"/>
    <n v="0"/>
    <n v="0"/>
    <x v="0"/>
    <d v="2012-12-31T00:00:00"/>
    <s v="12 years, 6 months"/>
    <n v="70"/>
    <n v="4"/>
    <n v="6"/>
    <n v="10"/>
    <n v="2"/>
    <n v="3"/>
    <n v="5"/>
  </r>
  <r>
    <n v="1695"/>
    <x v="1695"/>
    <n v="1952"/>
    <x v="13"/>
    <x v="0"/>
    <x v="3"/>
    <n v="62335"/>
    <x v="0"/>
    <n v="0"/>
    <n v="1"/>
    <x v="2"/>
    <d v="2013-05-23T00:00:00"/>
    <s v="12 years, 1 months"/>
    <n v="87"/>
    <n v="131"/>
    <n v="6"/>
    <n v="137"/>
    <n v="3"/>
    <n v="13"/>
    <n v="16"/>
  </r>
  <r>
    <n v="1696"/>
    <x v="1696"/>
    <n v="1971"/>
    <x v="6"/>
    <x v="4"/>
    <x v="1"/>
    <n v="42033"/>
    <x v="0"/>
    <n v="1"/>
    <n v="1"/>
    <x v="1"/>
    <d v="2012-09-19T00:00:00"/>
    <s v="12 years, 9 months"/>
    <n v="95"/>
    <n v="1"/>
    <n v="0"/>
    <n v="1"/>
    <n v="1"/>
    <n v="2"/>
    <n v="3"/>
  </r>
  <r>
    <n v="1697"/>
    <x v="1697"/>
    <n v="1983"/>
    <x v="10"/>
    <x v="1"/>
    <x v="2"/>
    <n v="86580"/>
    <x v="2"/>
    <n v="0"/>
    <n v="0"/>
    <x v="0"/>
    <d v="2013-02-27T00:00:00"/>
    <s v="12 years, 4 months"/>
    <n v="72"/>
    <n v="21"/>
    <n v="20"/>
    <n v="41"/>
    <n v="4"/>
    <n v="5"/>
    <n v="9"/>
  </r>
  <r>
    <n v="1698"/>
    <x v="1698"/>
    <n v="1957"/>
    <x v="0"/>
    <x v="1"/>
    <x v="3"/>
    <n v="41437"/>
    <x v="0"/>
    <n v="1"/>
    <n v="1"/>
    <x v="1"/>
    <d v="2012-09-22T00:00:00"/>
    <s v="12 years, 9 months"/>
    <n v="5"/>
    <n v="0"/>
    <n v="0"/>
    <n v="0"/>
    <n v="1"/>
    <n v="3"/>
    <n v="4"/>
  </r>
  <r>
    <n v="1699"/>
    <x v="1699"/>
    <n v="1951"/>
    <x v="20"/>
    <x v="2"/>
    <x v="4"/>
    <n v="73705"/>
    <x v="0"/>
    <n v="0"/>
    <n v="2"/>
    <x v="1"/>
    <d v="2014-03-05T00:00:00"/>
    <s v="11 years, 4 months"/>
    <n v="86"/>
    <n v="91"/>
    <n v="107"/>
    <n v="198"/>
    <n v="9"/>
    <n v="8"/>
    <n v="17"/>
  </r>
  <r>
    <n v="1700"/>
    <x v="1700"/>
    <n v="1976"/>
    <x v="11"/>
    <x v="0"/>
    <x v="2"/>
    <n v="61064"/>
    <x v="0"/>
    <n v="0"/>
    <n v="1"/>
    <x v="2"/>
    <d v="2012-08-31T00:00:00"/>
    <s v="12 years, 10 months"/>
    <n v="80"/>
    <n v="126"/>
    <n v="45"/>
    <n v="171"/>
    <n v="8"/>
    <n v="11"/>
    <n v="19"/>
  </r>
  <r>
    <n v="1701"/>
    <x v="1701"/>
    <n v="1955"/>
    <x v="34"/>
    <x v="2"/>
    <x v="2"/>
    <n v="38452"/>
    <x v="0"/>
    <n v="1"/>
    <n v="1"/>
    <x v="1"/>
    <d v="2014-03-30T00:00:00"/>
    <s v="11 years, 3 months"/>
    <n v="62"/>
    <n v="0"/>
    <n v="0"/>
    <n v="0"/>
    <n v="3"/>
    <n v="3"/>
    <n v="6"/>
  </r>
  <r>
    <n v="1702"/>
    <x v="1702"/>
    <n v="1989"/>
    <x v="23"/>
    <x v="0"/>
    <x v="0"/>
    <n v="18358"/>
    <x v="1"/>
    <n v="1"/>
    <n v="0"/>
    <x v="2"/>
    <d v="2013-11-20T00:00:00"/>
    <s v="11 years, 7 months"/>
    <n v="49"/>
    <n v="8"/>
    <n v="4"/>
    <n v="12"/>
    <n v="3"/>
    <n v="4"/>
    <n v="7"/>
  </r>
  <r>
    <n v="1703"/>
    <x v="1703"/>
    <n v="1973"/>
    <x v="26"/>
    <x v="1"/>
    <x v="1"/>
    <n v="55012"/>
    <x v="0"/>
    <n v="0"/>
    <n v="1"/>
    <x v="2"/>
    <d v="2014-03-21T00:00:00"/>
    <s v="11 years, 3 months"/>
    <n v="85"/>
    <n v="0"/>
    <n v="0"/>
    <n v="0"/>
    <n v="8"/>
    <n v="9"/>
    <n v="17"/>
  </r>
  <r>
    <n v="1704"/>
    <x v="1704"/>
    <n v="1973"/>
    <x v="26"/>
    <x v="3"/>
    <x v="1"/>
    <n v="9722"/>
    <x v="1"/>
    <n v="1"/>
    <n v="0"/>
    <x v="2"/>
    <d v="2012-10-02T00:00:00"/>
    <s v="12 years, 9 months"/>
    <n v="7"/>
    <n v="17"/>
    <n v="16"/>
    <n v="33"/>
    <n v="3"/>
    <n v="3"/>
    <n v="6"/>
  </r>
  <r>
    <n v="1705"/>
    <x v="1705"/>
    <n v="1984"/>
    <x v="3"/>
    <x v="1"/>
    <x v="2"/>
    <n v="38175"/>
    <x v="0"/>
    <n v="1"/>
    <n v="0"/>
    <x v="2"/>
    <d v="2013-09-23T00:00:00"/>
    <s v="11 years, 9 months"/>
    <n v="6"/>
    <n v="6"/>
    <n v="3"/>
    <n v="9"/>
    <n v="3"/>
    <n v="4"/>
    <n v="7"/>
  </r>
  <r>
    <n v="1706"/>
    <x v="1706"/>
    <n v="1956"/>
    <x v="46"/>
    <x v="2"/>
    <x v="1"/>
    <n v="58656"/>
    <x v="0"/>
    <n v="0"/>
    <n v="1"/>
    <x v="2"/>
    <d v="2012-09-20T00:00:00"/>
    <s v="12 years, 9 months"/>
    <n v="25"/>
    <n v="12"/>
    <n v="24"/>
    <n v="36"/>
    <n v="7"/>
    <n v="13"/>
    <n v="20"/>
  </r>
  <r>
    <n v="1707"/>
    <x v="1707"/>
    <n v="1965"/>
    <x v="2"/>
    <x v="0"/>
    <x v="1"/>
    <n v="52117"/>
    <x v="0"/>
    <n v="0"/>
    <n v="1"/>
    <x v="2"/>
    <d v="2012-08-16T00:00:00"/>
    <s v="12 years, 10 months"/>
    <n v="55"/>
    <n v="10"/>
    <n v="0"/>
    <n v="10"/>
    <n v="5"/>
    <n v="4"/>
    <n v="9"/>
  </r>
  <r>
    <n v="1708"/>
    <x v="1708"/>
    <n v="1978"/>
    <x v="33"/>
    <x v="0"/>
    <x v="2"/>
    <n v="64813"/>
    <x v="0"/>
    <n v="1"/>
    <n v="0"/>
    <x v="2"/>
    <d v="2014-01-02T00:00:00"/>
    <s v="11 years, 6 months"/>
    <n v="81"/>
    <n v="0"/>
    <n v="97"/>
    <n v="97"/>
    <n v="7"/>
    <n v="10"/>
    <n v="17"/>
  </r>
  <r>
    <n v="1709"/>
    <x v="1709"/>
    <n v="1973"/>
    <x v="26"/>
    <x v="1"/>
    <x v="2"/>
    <n v="54222"/>
    <x v="0"/>
    <n v="0"/>
    <n v="1"/>
    <x v="2"/>
    <d v="2014-03-01T00:00:00"/>
    <s v="11 years, 4 months"/>
    <n v="98"/>
    <n v="12"/>
    <n v="12"/>
    <n v="24"/>
    <n v="3"/>
    <n v="5"/>
    <n v="8"/>
  </r>
  <r>
    <n v="1710"/>
    <x v="1710"/>
    <n v="1986"/>
    <x v="22"/>
    <x v="0"/>
    <x v="2"/>
    <n v="83512"/>
    <x v="2"/>
    <n v="0"/>
    <n v="0"/>
    <x v="0"/>
    <d v="2014-06-17T00:00:00"/>
    <s v="11 years, 0 months"/>
    <n v="31"/>
    <n v="61"/>
    <n v="20"/>
    <n v="81"/>
    <n v="4"/>
    <n v="10"/>
    <n v="14"/>
  </r>
  <r>
    <n v="1711"/>
    <x v="1711"/>
    <n v="1959"/>
    <x v="12"/>
    <x v="2"/>
    <x v="2"/>
    <n v="77520"/>
    <x v="2"/>
    <n v="0"/>
    <n v="1"/>
    <x v="2"/>
    <d v="2013-08-28T00:00:00"/>
    <s v="11 years, 10 months"/>
    <n v="30"/>
    <n v="44"/>
    <n v="88"/>
    <n v="132"/>
    <n v="8"/>
    <n v="7"/>
    <n v="15"/>
  </r>
  <r>
    <n v="1712"/>
    <x v="1712"/>
    <n v="1978"/>
    <x v="33"/>
    <x v="0"/>
    <x v="1"/>
    <n v="41154"/>
    <x v="0"/>
    <n v="0"/>
    <n v="1"/>
    <x v="2"/>
    <d v="2013-04-09T00:00:00"/>
    <s v="12 years, 2 months"/>
    <n v="98"/>
    <n v="2"/>
    <n v="3"/>
    <n v="5"/>
    <n v="1"/>
    <n v="4"/>
    <n v="5"/>
  </r>
  <r>
    <n v="1713"/>
    <x v="1713"/>
    <n v="1966"/>
    <x v="35"/>
    <x v="0"/>
    <x v="2"/>
    <n v="80398"/>
    <x v="2"/>
    <n v="0"/>
    <n v="0"/>
    <x v="0"/>
    <d v="2012-11-10T00:00:00"/>
    <s v="12 years, 7 months"/>
    <n v="92"/>
    <n v="51"/>
    <n v="35"/>
    <n v="86"/>
    <n v="5"/>
    <n v="12"/>
    <n v="17"/>
  </r>
  <r>
    <n v="1714"/>
    <x v="1714"/>
    <n v="1992"/>
    <x v="47"/>
    <x v="3"/>
    <x v="0"/>
    <n v="18746"/>
    <x v="1"/>
    <n v="1"/>
    <n v="0"/>
    <x v="2"/>
    <d v="2014-05-29T00:00:00"/>
    <s v="11 years, 1 months"/>
    <n v="41"/>
    <n v="10"/>
    <n v="9"/>
    <n v="19"/>
    <n v="3"/>
    <n v="3"/>
    <n v="6"/>
  </r>
  <r>
    <n v="1715"/>
    <x v="1715"/>
    <n v="1984"/>
    <x v="3"/>
    <x v="0"/>
    <x v="1"/>
    <n v="35196"/>
    <x v="0"/>
    <n v="1"/>
    <n v="0"/>
    <x v="2"/>
    <d v="2012-11-13T00:00:00"/>
    <s v="12 years, 7 months"/>
    <n v="68"/>
    <n v="12"/>
    <n v="39"/>
    <n v="51"/>
    <n v="6"/>
    <n v="5"/>
    <n v="11"/>
  </r>
  <r>
    <n v="1716"/>
    <x v="1716"/>
    <n v="1956"/>
    <x v="46"/>
    <x v="0"/>
    <x v="0"/>
    <n v="60230"/>
    <x v="0"/>
    <n v="0"/>
    <n v="1"/>
    <x v="2"/>
    <d v="2013-05-20T00:00:00"/>
    <s v="12 years, 1 months"/>
    <n v="78"/>
    <n v="20"/>
    <n v="81"/>
    <n v="101"/>
    <n v="6"/>
    <n v="6"/>
    <n v="12"/>
  </r>
  <r>
    <n v="1717"/>
    <x v="1717"/>
    <n v="1977"/>
    <x v="32"/>
    <x v="0"/>
    <x v="2"/>
    <n v="22108"/>
    <x v="1"/>
    <n v="1"/>
    <n v="1"/>
    <x v="1"/>
    <d v="2014-05-08T00:00:00"/>
    <s v="11 years, 1 months"/>
    <n v="46"/>
    <n v="3"/>
    <n v="2"/>
    <n v="5"/>
    <n v="2"/>
    <n v="3"/>
    <n v="5"/>
  </r>
  <r>
    <n v="1718"/>
    <x v="1718"/>
    <n v="1974"/>
    <x v="8"/>
    <x v="0"/>
    <x v="1"/>
    <n v="44392"/>
    <x v="0"/>
    <n v="1"/>
    <n v="1"/>
    <x v="1"/>
    <d v="2013-09-05T00:00:00"/>
    <s v="11 years, 10 months"/>
    <n v="71"/>
    <n v="5"/>
    <n v="12"/>
    <n v="17"/>
    <n v="4"/>
    <n v="4"/>
    <n v="8"/>
  </r>
  <r>
    <n v="1719"/>
    <x v="1719"/>
    <n v="1976"/>
    <x v="11"/>
    <x v="1"/>
    <x v="2"/>
    <n v="55424"/>
    <x v="0"/>
    <n v="0"/>
    <n v="1"/>
    <x v="2"/>
    <d v="2012-11-25T00:00:00"/>
    <s v="12 years, 7 months"/>
    <n v="6"/>
    <n v="61"/>
    <n v="53"/>
    <n v="114"/>
    <n v="7"/>
    <n v="9"/>
    <n v="16"/>
  </r>
  <r>
    <n v="1720"/>
    <x v="1720"/>
    <n v="1979"/>
    <x v="19"/>
    <x v="0"/>
    <x v="2"/>
    <n v="17688"/>
    <x v="1"/>
    <n v="1"/>
    <n v="0"/>
    <x v="2"/>
    <d v="2013-01-13T00:00:00"/>
    <s v="12 years, 5 months"/>
    <n v="82"/>
    <n v="2"/>
    <n v="1"/>
    <n v="3"/>
    <n v="1"/>
    <n v="2"/>
    <n v="3"/>
  </r>
  <r>
    <n v="1721"/>
    <x v="1721"/>
    <n v="1983"/>
    <x v="10"/>
    <x v="1"/>
    <x v="2"/>
    <n v="92491"/>
    <x v="2"/>
    <n v="0"/>
    <n v="0"/>
    <x v="0"/>
    <d v="2013-05-01T00:00:00"/>
    <s v="12 years, 2 months"/>
    <n v="71"/>
    <n v="44"/>
    <n v="25"/>
    <n v="69"/>
    <n v="7"/>
    <n v="12"/>
    <n v="19"/>
  </r>
  <r>
    <n v="1722"/>
    <x v="1722"/>
    <n v="1991"/>
    <x v="42"/>
    <x v="0"/>
    <x v="0"/>
    <n v="90273"/>
    <x v="2"/>
    <n v="0"/>
    <n v="0"/>
    <x v="0"/>
    <d v="2013-12-14T00:00:00"/>
    <s v="11 years, 6 months"/>
    <n v="32"/>
    <n v="129"/>
    <n v="74"/>
    <n v="203"/>
    <n v="5"/>
    <n v="7"/>
    <n v="12"/>
  </r>
  <r>
    <n v="1723"/>
    <x v="1723"/>
    <n v="1962"/>
    <x v="43"/>
    <x v="1"/>
    <x v="4"/>
    <n v="82571"/>
    <x v="2"/>
    <n v="0"/>
    <n v="0"/>
    <x v="0"/>
    <d v="2014-04-02T00:00:00"/>
    <s v="11 years, 3 months"/>
    <n v="28"/>
    <n v="31"/>
    <n v="95"/>
    <n v="126"/>
    <n v="6"/>
    <n v="13"/>
    <n v="19"/>
  </r>
  <r>
    <n v="1724"/>
    <x v="1724"/>
    <n v="1982"/>
    <x v="18"/>
    <x v="1"/>
    <x v="0"/>
    <n v="38513"/>
    <x v="0"/>
    <n v="1"/>
    <n v="0"/>
    <x v="2"/>
    <d v="2014-01-28T00:00:00"/>
    <s v="11 years, 5 months"/>
    <n v="20"/>
    <n v="3"/>
    <n v="0"/>
    <n v="3"/>
    <n v="6"/>
    <n v="5"/>
    <n v="11"/>
  </r>
  <r>
    <n v="1725"/>
    <x v="1725"/>
    <n v="1979"/>
    <x v="19"/>
    <x v="2"/>
    <x v="0"/>
    <n v="16653"/>
    <x v="1"/>
    <n v="1"/>
    <n v="0"/>
    <x v="2"/>
    <d v="2014-04-18T00:00:00"/>
    <s v="11 years, 2 months"/>
    <n v="10"/>
    <n v="7"/>
    <n v="4"/>
    <n v="11"/>
    <n v="2"/>
    <n v="3"/>
    <n v="5"/>
  </r>
  <r>
    <n v="1726"/>
    <x v="1726"/>
    <n v="1955"/>
    <x v="34"/>
    <x v="0"/>
    <x v="1"/>
    <n v="42586"/>
    <x v="0"/>
    <n v="1"/>
    <n v="1"/>
    <x v="1"/>
    <d v="2012-10-29T00:00:00"/>
    <s v="12 years, 8 months"/>
    <n v="7"/>
    <n v="2"/>
    <n v="0"/>
    <n v="2"/>
    <n v="4"/>
    <n v="6"/>
    <n v="10"/>
  </r>
  <r>
    <n v="1727"/>
    <x v="1727"/>
    <n v="1965"/>
    <x v="2"/>
    <x v="3"/>
    <x v="0"/>
    <n v="23529"/>
    <x v="1"/>
    <n v="0"/>
    <n v="1"/>
    <x v="2"/>
    <d v="2013-01-07T00:00:00"/>
    <s v="12 years, 5 months"/>
    <n v="67"/>
    <n v="7"/>
    <n v="2"/>
    <n v="9"/>
    <n v="1"/>
    <n v="2"/>
    <n v="3"/>
  </r>
  <r>
    <n v="1728"/>
    <x v="1728"/>
    <n v="1961"/>
    <x v="45"/>
    <x v="2"/>
    <x v="1"/>
    <n v="74881"/>
    <x v="0"/>
    <n v="1"/>
    <n v="1"/>
    <x v="1"/>
    <d v="2013-03-08T00:00:00"/>
    <s v="12 years, 3 months"/>
    <n v="48"/>
    <n v="72"/>
    <n v="27"/>
    <n v="99"/>
    <n v="9"/>
    <n v="12"/>
    <n v="21"/>
  </r>
  <r>
    <n v="1729"/>
    <x v="1729"/>
    <n v="1951"/>
    <x v="20"/>
    <x v="0"/>
    <x v="2"/>
    <n v="71107"/>
    <x v="0"/>
    <n v="0"/>
    <n v="1"/>
    <x v="2"/>
    <d v="2013-02-17T00:00:00"/>
    <s v="12 years, 4 months"/>
    <n v="61"/>
    <n v="10"/>
    <n v="174"/>
    <n v="184"/>
    <n v="7"/>
    <n v="13"/>
    <n v="20"/>
  </r>
  <r>
    <n v="1730"/>
    <x v="1730"/>
    <n v="1964"/>
    <x v="31"/>
    <x v="1"/>
    <x v="1"/>
    <n v="46910"/>
    <x v="0"/>
    <n v="1"/>
    <n v="1"/>
    <x v="1"/>
    <d v="2014-03-23T00:00:00"/>
    <s v="11 years, 3 months"/>
    <n v="36"/>
    <n v="0"/>
    <n v="0"/>
    <n v="0"/>
    <n v="2"/>
    <n v="3"/>
    <n v="5"/>
  </r>
  <r>
    <n v="1731"/>
    <x v="1731"/>
    <n v="1959"/>
    <x v="12"/>
    <x v="0"/>
    <x v="2"/>
    <n v="18690"/>
    <x v="1"/>
    <n v="0"/>
    <n v="0"/>
    <x v="0"/>
    <d v="2012-12-28T00:00:00"/>
    <s v="12 years, 6 months"/>
    <n v="77"/>
    <n v="1"/>
    <n v="4"/>
    <n v="5"/>
    <n v="1"/>
    <n v="2"/>
    <n v="3"/>
  </r>
  <r>
    <n v="1732"/>
    <x v="1732"/>
    <n v="1955"/>
    <x v="34"/>
    <x v="0"/>
    <x v="3"/>
    <n v="37244"/>
    <x v="0"/>
    <n v="1"/>
    <n v="1"/>
    <x v="1"/>
    <d v="2013-04-27T00:00:00"/>
    <s v="12 years, 2 months"/>
    <n v="90"/>
    <n v="2"/>
    <n v="0"/>
    <n v="2"/>
    <n v="1"/>
    <n v="2"/>
    <n v="3"/>
  </r>
  <r>
    <n v="1733"/>
    <x v="1733"/>
    <n v="1966"/>
    <x v="35"/>
    <x v="0"/>
    <x v="1"/>
    <n v="82427"/>
    <x v="2"/>
    <n v="0"/>
    <n v="0"/>
    <x v="0"/>
    <d v="2014-03-12T00:00:00"/>
    <s v="11 years, 3 months"/>
    <n v="35"/>
    <n v="147"/>
    <n v="107"/>
    <n v="254"/>
    <n v="3"/>
    <n v="12"/>
    <n v="15"/>
  </r>
  <r>
    <n v="1734"/>
    <x v="1734"/>
    <n v="1958"/>
    <x v="38"/>
    <x v="4"/>
    <x v="0"/>
    <n v="75342"/>
    <x v="2"/>
    <n v="0"/>
    <n v="1"/>
    <x v="2"/>
    <d v="2013-05-06T00:00:00"/>
    <s v="12 years, 2 months"/>
    <n v="38"/>
    <n v="97"/>
    <n v="118"/>
    <n v="215"/>
    <n v="5"/>
    <n v="10"/>
    <n v="15"/>
  </r>
  <r>
    <n v="1735"/>
    <x v="1735"/>
    <n v="1954"/>
    <x v="1"/>
    <x v="0"/>
    <x v="3"/>
    <n v="70044"/>
    <x v="0"/>
    <n v="0"/>
    <n v="1"/>
    <x v="2"/>
    <d v="2013-02-18T00:00:00"/>
    <s v="12 years, 4 months"/>
    <n v="46"/>
    <n v="0"/>
    <n v="14"/>
    <n v="14"/>
    <n v="7"/>
    <n v="5"/>
    <n v="12"/>
  </r>
  <r>
    <n v="1736"/>
    <x v="1736"/>
    <n v="1967"/>
    <x v="5"/>
    <x v="0"/>
    <x v="0"/>
    <n v="79146"/>
    <x v="2"/>
    <n v="1"/>
    <n v="1"/>
    <x v="1"/>
    <d v="2014-04-24T00:00:00"/>
    <s v="11 years, 2 months"/>
    <n v="33"/>
    <n v="16"/>
    <n v="43"/>
    <n v="59"/>
    <n v="8"/>
    <n v="8"/>
    <n v="16"/>
  </r>
  <r>
    <n v="1737"/>
    <x v="1737"/>
    <n v="1963"/>
    <x v="24"/>
    <x v="0"/>
    <x v="2"/>
    <n v="77437"/>
    <x v="2"/>
    <n v="0"/>
    <n v="0"/>
    <x v="0"/>
    <d v="2013-11-26T00:00:00"/>
    <s v="11 years, 7 months"/>
    <n v="70"/>
    <n v="21"/>
    <n v="44"/>
    <n v="65"/>
    <n v="4"/>
    <n v="13"/>
    <n v="17"/>
  </r>
  <r>
    <n v="1738"/>
    <x v="1738"/>
    <n v="1959"/>
    <x v="12"/>
    <x v="0"/>
    <x v="2"/>
    <n v="54984"/>
    <x v="0"/>
    <n v="0"/>
    <n v="1"/>
    <x v="2"/>
    <d v="2014-05-24T00:00:00"/>
    <s v="11 years, 1 months"/>
    <n v="51"/>
    <n v="13"/>
    <n v="3"/>
    <n v="16"/>
    <n v="6"/>
    <n v="6"/>
    <n v="12"/>
  </r>
  <r>
    <n v="1739"/>
    <x v="1739"/>
    <n v="1971"/>
    <x v="6"/>
    <x v="1"/>
    <x v="2"/>
    <n v="42403"/>
    <x v="0"/>
    <n v="1"/>
    <n v="0"/>
    <x v="2"/>
    <d v="2013-12-11T00:00:00"/>
    <s v="11 years, 6 months"/>
    <n v="18"/>
    <n v="1"/>
    <n v="5"/>
    <n v="6"/>
    <n v="1"/>
    <n v="3"/>
    <n v="4"/>
  </r>
  <r>
    <n v="1740"/>
    <x v="1740"/>
    <n v="1964"/>
    <x v="31"/>
    <x v="0"/>
    <x v="1"/>
    <n v="55761"/>
    <x v="0"/>
    <n v="0"/>
    <n v="1"/>
    <x v="2"/>
    <d v="2014-04-24T00:00:00"/>
    <s v="11 years, 2 months"/>
    <n v="97"/>
    <n v="1"/>
    <n v="3"/>
    <n v="4"/>
    <n v="4"/>
    <n v="3"/>
    <n v="7"/>
  </r>
  <r>
    <n v="1741"/>
    <x v="1741"/>
    <n v="1983"/>
    <x v="10"/>
    <x v="0"/>
    <x v="1"/>
    <n v="37292"/>
    <x v="0"/>
    <n v="1"/>
    <n v="0"/>
    <x v="2"/>
    <d v="2013-04-18T00:00:00"/>
    <s v="12 years, 2 months"/>
    <n v="32"/>
    <n v="0"/>
    <n v="23"/>
    <n v="23"/>
    <n v="6"/>
    <n v="5"/>
    <n v="11"/>
  </r>
  <r>
    <n v="1742"/>
    <x v="1742"/>
    <n v="1945"/>
    <x v="41"/>
    <x v="1"/>
    <x v="0"/>
    <n v="45576"/>
    <x v="0"/>
    <n v="0"/>
    <n v="0"/>
    <x v="0"/>
    <d v="2014-05-28T00:00:00"/>
    <s v="11 years, 1 months"/>
    <n v="9"/>
    <n v="19"/>
    <n v="14"/>
    <n v="33"/>
    <n v="3"/>
    <n v="3"/>
    <n v="6"/>
  </r>
  <r>
    <n v="1743"/>
    <x v="1743"/>
    <n v="1947"/>
    <x v="51"/>
    <x v="0"/>
    <x v="1"/>
    <n v="70321"/>
    <x v="0"/>
    <n v="0"/>
    <n v="0"/>
    <x v="0"/>
    <d v="2013-01-16T00:00:00"/>
    <s v="12 years, 5 months"/>
    <n v="6"/>
    <n v="23"/>
    <n v="26"/>
    <n v="49"/>
    <n v="6"/>
    <n v="13"/>
    <n v="19"/>
  </r>
  <r>
    <n v="1744"/>
    <x v="1744"/>
    <n v="1969"/>
    <x v="21"/>
    <x v="1"/>
    <x v="3"/>
    <n v="58086"/>
    <x v="0"/>
    <n v="0"/>
    <n v="1"/>
    <x v="2"/>
    <d v="2013-01-20T00:00:00"/>
    <s v="12 years, 5 months"/>
    <n v="80"/>
    <n v="7"/>
    <n v="0"/>
    <n v="7"/>
    <n v="11"/>
    <n v="7"/>
    <n v="18"/>
  </r>
  <r>
    <n v="1745"/>
    <x v="1745"/>
    <n v="1952"/>
    <x v="13"/>
    <x v="0"/>
    <x v="2"/>
    <n v="81795"/>
    <x v="2"/>
    <n v="0"/>
    <n v="0"/>
    <x v="0"/>
    <d v="2012-10-26T00:00:00"/>
    <s v="12 years, 8 months"/>
    <n v="74"/>
    <n v="132"/>
    <n v="118"/>
    <n v="250"/>
    <n v="4"/>
    <n v="7"/>
    <n v="11"/>
  </r>
  <r>
    <n v="1746"/>
    <x v="1746"/>
    <n v="1947"/>
    <x v="51"/>
    <x v="3"/>
    <x v="1"/>
    <n v="28389"/>
    <x v="0"/>
    <n v="0"/>
    <n v="0"/>
    <x v="0"/>
    <d v="2012-11-20T00:00:00"/>
    <s v="12 years, 7 months"/>
    <n v="49"/>
    <n v="5"/>
    <n v="4"/>
    <n v="9"/>
    <n v="1"/>
    <n v="2"/>
    <n v="3"/>
  </r>
  <r>
    <n v="1747"/>
    <x v="1747"/>
    <n v="1946"/>
    <x v="15"/>
    <x v="2"/>
    <x v="2"/>
    <n v="66835"/>
    <x v="0"/>
    <n v="0"/>
    <n v="0"/>
    <x v="0"/>
    <d v="2013-09-28T00:00:00"/>
    <s v="11 years, 9 months"/>
    <n v="21"/>
    <n v="26"/>
    <n v="17"/>
    <n v="43"/>
    <n v="6"/>
    <n v="13"/>
    <n v="19"/>
  </r>
  <r>
    <n v="1748"/>
    <x v="1748"/>
    <n v="1969"/>
    <x v="21"/>
    <x v="0"/>
    <x v="3"/>
    <n v="69901"/>
    <x v="0"/>
    <n v="0"/>
    <n v="1"/>
    <x v="2"/>
    <d v="2013-05-29T00:00:00"/>
    <s v="12 years, 1 months"/>
    <n v="95"/>
    <n v="21"/>
    <n v="92"/>
    <n v="113"/>
    <n v="7"/>
    <n v="10"/>
    <n v="17"/>
  </r>
  <r>
    <n v="1749"/>
    <x v="1749"/>
    <n v="1949"/>
    <x v="17"/>
    <x v="1"/>
    <x v="2"/>
    <n v="80360"/>
    <x v="2"/>
    <n v="0"/>
    <n v="0"/>
    <x v="0"/>
    <d v="2013-03-03T00:00:00"/>
    <s v="12 years, 4 months"/>
    <n v="56"/>
    <n v="86"/>
    <n v="43"/>
    <n v="129"/>
    <n v="4"/>
    <n v="5"/>
    <n v="9"/>
  </r>
  <r>
    <n v="1750"/>
    <x v="1750"/>
    <n v="1961"/>
    <x v="45"/>
    <x v="1"/>
    <x v="1"/>
    <n v="63342"/>
    <x v="0"/>
    <n v="0"/>
    <n v="1"/>
    <x v="2"/>
    <d v="2012-10-16T00:00:00"/>
    <s v="12 years, 8 months"/>
    <n v="48"/>
    <n v="21"/>
    <n v="10"/>
    <n v="31"/>
    <n v="8"/>
    <n v="5"/>
    <n v="13"/>
  </r>
  <r>
    <n v="1751"/>
    <x v="1751"/>
    <n v="1974"/>
    <x v="8"/>
    <x v="0"/>
    <x v="2"/>
    <n v="44989"/>
    <x v="0"/>
    <n v="0"/>
    <n v="1"/>
    <x v="2"/>
    <d v="2012-09-12T00:00:00"/>
    <s v="12 years, 9 months"/>
    <n v="26"/>
    <n v="0"/>
    <n v="10"/>
    <n v="10"/>
    <n v="5"/>
    <n v="5"/>
    <n v="10"/>
  </r>
  <r>
    <n v="1752"/>
    <x v="1752"/>
    <n v="1980"/>
    <x v="16"/>
    <x v="4"/>
    <x v="0"/>
    <n v="31859"/>
    <x v="0"/>
    <n v="1"/>
    <n v="0"/>
    <x v="2"/>
    <d v="2014-02-27T00:00:00"/>
    <s v="11 years, 4 months"/>
    <n v="3"/>
    <n v="4"/>
    <n v="8"/>
    <n v="12"/>
    <n v="1"/>
    <n v="3"/>
    <n v="4"/>
  </r>
  <r>
    <n v="1753"/>
    <x v="1753"/>
    <n v="1949"/>
    <x v="17"/>
    <x v="1"/>
    <x v="4"/>
    <n v="51569"/>
    <x v="0"/>
    <n v="0"/>
    <n v="1"/>
    <x v="2"/>
    <d v="2013-02-12T00:00:00"/>
    <s v="12 years, 4 months"/>
    <n v="39"/>
    <n v="0"/>
    <n v="0"/>
    <n v="0"/>
    <n v="7"/>
    <n v="7"/>
    <n v="14"/>
  </r>
  <r>
    <n v="1754"/>
    <x v="1754"/>
    <n v="1971"/>
    <x v="6"/>
    <x v="0"/>
    <x v="4"/>
    <n v="30372"/>
    <x v="0"/>
    <n v="1"/>
    <n v="1"/>
    <x v="1"/>
    <d v="2012-12-25T00:00:00"/>
    <s v="12 years, 6 months"/>
    <n v="33"/>
    <n v="0"/>
    <n v="3"/>
    <n v="3"/>
    <n v="2"/>
    <n v="3"/>
    <n v="5"/>
  </r>
  <r>
    <n v="1755"/>
    <x v="1755"/>
    <n v="1979"/>
    <x v="19"/>
    <x v="3"/>
    <x v="0"/>
    <n v="16014"/>
    <x v="1"/>
    <n v="1"/>
    <n v="1"/>
    <x v="1"/>
    <d v="2013-03-17T00:00:00"/>
    <s v="12 years, 3 months"/>
    <n v="42"/>
    <n v="9"/>
    <n v="8"/>
    <n v="17"/>
    <n v="1"/>
    <n v="4"/>
    <n v="5"/>
  </r>
  <r>
    <n v="1756"/>
    <x v="1756"/>
    <n v="1968"/>
    <x v="30"/>
    <x v="0"/>
    <x v="2"/>
    <n v="41120"/>
    <x v="0"/>
    <n v="1"/>
    <n v="1"/>
    <x v="1"/>
    <d v="2013-11-06T00:00:00"/>
    <s v="11 years, 8 months"/>
    <n v="80"/>
    <n v="2"/>
    <n v="8"/>
    <n v="10"/>
    <n v="2"/>
    <n v="3"/>
    <n v="5"/>
  </r>
  <r>
    <n v="1757"/>
    <x v="1757"/>
    <n v="1971"/>
    <x v="6"/>
    <x v="2"/>
    <x v="0"/>
    <n v="39763"/>
    <x v="0"/>
    <n v="1"/>
    <n v="0"/>
    <x v="2"/>
    <d v="2013-08-04T00:00:00"/>
    <s v="11 years, 11 months"/>
    <n v="9"/>
    <n v="1"/>
    <n v="6"/>
    <n v="7"/>
    <n v="5"/>
    <n v="2"/>
    <n v="7"/>
  </r>
  <r>
    <n v="1758"/>
    <x v="1758"/>
    <n v="1955"/>
    <x v="34"/>
    <x v="1"/>
    <x v="2"/>
    <n v="38725"/>
    <x v="0"/>
    <n v="1"/>
    <n v="1"/>
    <x v="1"/>
    <d v="2014-05-10T00:00:00"/>
    <s v="11 years, 1 months"/>
    <n v="52"/>
    <n v="0"/>
    <n v="1"/>
    <n v="1"/>
    <n v="1"/>
    <n v="4"/>
    <n v="5"/>
  </r>
  <r>
    <n v="1759"/>
    <x v="1759"/>
    <n v="1972"/>
    <x v="39"/>
    <x v="0"/>
    <x v="2"/>
    <n v="77981"/>
    <x v="2"/>
    <n v="1"/>
    <n v="0"/>
    <x v="2"/>
    <d v="2013-05-26T00:00:00"/>
    <s v="12 years, 1 months"/>
    <n v="78"/>
    <n v="120"/>
    <n v="126"/>
    <n v="246"/>
    <n v="7"/>
    <n v="7"/>
    <n v="14"/>
  </r>
  <r>
    <n v="1760"/>
    <x v="1760"/>
    <n v="1964"/>
    <x v="31"/>
    <x v="4"/>
    <x v="2"/>
    <n v="62905"/>
    <x v="0"/>
    <n v="0"/>
    <n v="1"/>
    <x v="2"/>
    <d v="2013-09-10T00:00:00"/>
    <s v="11 years, 9 months"/>
    <n v="68"/>
    <n v="75"/>
    <n v="107"/>
    <n v="182"/>
    <n v="7"/>
    <n v="8"/>
    <n v="15"/>
  </r>
  <r>
    <n v="1761"/>
    <x v="1761"/>
    <n v="1979"/>
    <x v="19"/>
    <x v="4"/>
    <x v="3"/>
    <n v="13533"/>
    <x v="1"/>
    <n v="1"/>
    <n v="0"/>
    <x v="2"/>
    <d v="2013-03-10T00:00:00"/>
    <s v="12 years, 3 months"/>
    <n v="45"/>
    <n v="3"/>
    <n v="0"/>
    <n v="3"/>
    <n v="2"/>
    <n v="3"/>
    <n v="5"/>
  </r>
  <r>
    <n v="1762"/>
    <x v="1762"/>
    <n v="1975"/>
    <x v="28"/>
    <x v="0"/>
    <x v="1"/>
    <n v="59481"/>
    <x v="0"/>
    <n v="0"/>
    <n v="1"/>
    <x v="2"/>
    <d v="2013-10-23T00:00:00"/>
    <s v="11 years, 8 months"/>
    <n v="47"/>
    <n v="3"/>
    <n v="66"/>
    <n v="69"/>
    <n v="3"/>
    <n v="8"/>
    <n v="11"/>
  </r>
  <r>
    <n v="1763"/>
    <x v="1763"/>
    <n v="1977"/>
    <x v="32"/>
    <x v="0"/>
    <x v="2"/>
    <n v="72117"/>
    <x v="0"/>
    <n v="0"/>
    <n v="1"/>
    <x v="2"/>
    <d v="2013-08-20T00:00:00"/>
    <s v="11 years, 10 months"/>
    <n v="34"/>
    <n v="20"/>
    <n v="60"/>
    <n v="80"/>
    <n v="9"/>
    <n v="9"/>
    <n v="18"/>
  </r>
  <r>
    <n v="1764"/>
    <x v="1764"/>
    <n v="1986"/>
    <x v="22"/>
    <x v="4"/>
    <x v="2"/>
    <n v="21955"/>
    <x v="1"/>
    <n v="1"/>
    <n v="0"/>
    <x v="2"/>
    <d v="2013-09-07T00:00:00"/>
    <s v="11 years, 9 months"/>
    <n v="81"/>
    <n v="1"/>
    <n v="14"/>
    <n v="15"/>
    <n v="2"/>
    <n v="3"/>
    <n v="5"/>
  </r>
  <r>
    <n v="1765"/>
    <x v="1765"/>
    <n v="1956"/>
    <x v="46"/>
    <x v="0"/>
    <x v="2"/>
    <n v="67131"/>
    <x v="0"/>
    <n v="0"/>
    <n v="1"/>
    <x v="2"/>
    <d v="2013-03-26T00:00:00"/>
    <s v="12 years, 3 months"/>
    <n v="72"/>
    <n v="71"/>
    <n v="35"/>
    <n v="106"/>
    <n v="9"/>
    <n v="12"/>
    <n v="21"/>
  </r>
  <r>
    <n v="1766"/>
    <x v="1766"/>
    <n v="1980"/>
    <x v="16"/>
    <x v="1"/>
    <x v="0"/>
    <n v="36802"/>
    <x v="0"/>
    <n v="1"/>
    <n v="0"/>
    <x v="2"/>
    <d v="2014-06-16T00:00:00"/>
    <s v="11 years, 0 months"/>
    <n v="23"/>
    <n v="1"/>
    <n v="0"/>
    <n v="1"/>
    <n v="1"/>
    <n v="3"/>
    <n v="4"/>
  </r>
  <r>
    <n v="1767"/>
    <x v="1767"/>
    <n v="1982"/>
    <x v="18"/>
    <x v="0"/>
    <x v="1"/>
    <n v="71853"/>
    <x v="0"/>
    <n v="0"/>
    <n v="0"/>
    <x v="0"/>
    <d v="2013-05-08T00:00:00"/>
    <s v="12 years, 1 months"/>
    <n v="29"/>
    <n v="108"/>
    <n v="97"/>
    <n v="205"/>
    <n v="2"/>
    <n v="6"/>
    <n v="8"/>
  </r>
  <r>
    <n v="1768"/>
    <x v="1768"/>
    <n v="1961"/>
    <x v="45"/>
    <x v="3"/>
    <x v="2"/>
    <n v="28249"/>
    <x v="0"/>
    <n v="0"/>
    <n v="0"/>
    <x v="0"/>
    <d v="2014-06-15T00:00:00"/>
    <s v="11 years, 0 months"/>
    <n v="80"/>
    <n v="9"/>
    <n v="14"/>
    <n v="23"/>
    <n v="2"/>
    <n v="3"/>
    <n v="5"/>
  </r>
  <r>
    <n v="1769"/>
    <x v="1769"/>
    <n v="1975"/>
    <x v="28"/>
    <x v="2"/>
    <x v="2"/>
    <n v="47808"/>
    <x v="0"/>
    <n v="0"/>
    <n v="1"/>
    <x v="2"/>
    <d v="2013-10-20T00:00:00"/>
    <s v="11 years, 8 months"/>
    <n v="30"/>
    <n v="1"/>
    <n v="0"/>
    <n v="1"/>
    <n v="3"/>
    <n v="3"/>
    <n v="6"/>
  </r>
  <r>
    <n v="1770"/>
    <x v="1770"/>
    <n v="1974"/>
    <x v="8"/>
    <x v="1"/>
    <x v="3"/>
    <n v="25509"/>
    <x v="0"/>
    <n v="1"/>
    <n v="0"/>
    <x v="2"/>
    <d v="2012-09-18T00:00:00"/>
    <s v="12 years, 9 months"/>
    <n v="15"/>
    <n v="3"/>
    <n v="7"/>
    <n v="10"/>
    <n v="3"/>
    <n v="3"/>
    <n v="6"/>
  </r>
  <r>
    <n v="1771"/>
    <x v="1771"/>
    <n v="1946"/>
    <x v="15"/>
    <x v="1"/>
    <x v="2"/>
    <n v="51012"/>
    <x v="0"/>
    <n v="0"/>
    <n v="0"/>
    <x v="0"/>
    <d v="2013-04-18T00:00:00"/>
    <s v="12 years, 2 months"/>
    <n v="86"/>
    <n v="9"/>
    <n v="9"/>
    <n v="18"/>
    <n v="4"/>
    <n v="4"/>
    <n v="8"/>
  </r>
  <r>
    <n v="1772"/>
    <x v="1772"/>
    <n v="1985"/>
    <x v="7"/>
    <x v="0"/>
    <x v="0"/>
    <n v="70596"/>
    <x v="0"/>
    <n v="0"/>
    <n v="0"/>
    <x v="0"/>
    <d v="2012-10-05T00:00:00"/>
    <s v="12 years, 9 months"/>
    <n v="68"/>
    <n v="44"/>
    <n v="0"/>
    <n v="44"/>
    <n v="3"/>
    <n v="12"/>
    <n v="15"/>
  </r>
  <r>
    <n v="1773"/>
    <x v="1773"/>
    <n v="1952"/>
    <x v="13"/>
    <x v="1"/>
    <x v="1"/>
    <n v="85431"/>
    <x v="2"/>
    <n v="0"/>
    <n v="0"/>
    <x v="0"/>
    <d v="2013-06-08T00:00:00"/>
    <s v="12 years, 0 months"/>
    <n v="54"/>
    <n v="53"/>
    <n v="53"/>
    <n v="106"/>
    <n v="2"/>
    <n v="7"/>
    <n v="9"/>
  </r>
  <r>
    <n v="1774"/>
    <x v="1774"/>
    <n v="1967"/>
    <x v="5"/>
    <x v="0"/>
    <x v="2"/>
    <n v="42664"/>
    <x v="0"/>
    <n v="0"/>
    <n v="1"/>
    <x v="2"/>
    <d v="2014-03-18T00:00:00"/>
    <s v="11 years, 3 months"/>
    <n v="44"/>
    <n v="0"/>
    <n v="0"/>
    <n v="0"/>
    <n v="1"/>
    <n v="3"/>
    <n v="4"/>
  </r>
  <r>
    <n v="1775"/>
    <x v="1775"/>
    <n v="1955"/>
    <x v="34"/>
    <x v="0"/>
    <x v="1"/>
    <n v="42586"/>
    <x v="0"/>
    <n v="1"/>
    <n v="1"/>
    <x v="1"/>
    <d v="2012-10-29T00:00:00"/>
    <s v="12 years, 8 months"/>
    <n v="7"/>
    <n v="2"/>
    <n v="0"/>
    <n v="2"/>
    <n v="4"/>
    <n v="6"/>
    <n v="10"/>
  </r>
  <r>
    <n v="1776"/>
    <x v="1776"/>
    <n v="1985"/>
    <x v="7"/>
    <x v="0"/>
    <x v="0"/>
    <n v="29760"/>
    <x v="0"/>
    <n v="1"/>
    <n v="0"/>
    <x v="2"/>
    <d v="2012-08-29T00:00:00"/>
    <s v="12 years, 10 months"/>
    <n v="87"/>
    <n v="4"/>
    <n v="5"/>
    <n v="9"/>
    <n v="3"/>
    <n v="4"/>
    <n v="7"/>
  </r>
  <r>
    <n v="1777"/>
    <x v="1777"/>
    <n v="1977"/>
    <x v="32"/>
    <x v="1"/>
    <x v="2"/>
    <n v="28973"/>
    <x v="0"/>
    <n v="0"/>
    <n v="0"/>
    <x v="0"/>
    <d v="2012-10-13T00:00:00"/>
    <s v="12 years, 8 months"/>
    <n v="59"/>
    <n v="0"/>
    <n v="2"/>
    <n v="2"/>
    <n v="5"/>
    <n v="5"/>
    <n v="10"/>
  </r>
  <r>
    <n v="1778"/>
    <x v="1778"/>
    <n v="1973"/>
    <x v="26"/>
    <x v="1"/>
    <x v="1"/>
    <n v="39435"/>
    <x v="0"/>
    <n v="1"/>
    <n v="0"/>
    <x v="2"/>
    <d v="2013-08-06T00:00:00"/>
    <s v="11 years, 11 months"/>
    <n v="16"/>
    <n v="0"/>
    <n v="0"/>
    <n v="0"/>
    <n v="3"/>
    <n v="2"/>
    <n v="5"/>
  </r>
  <r>
    <n v="1779"/>
    <x v="1779"/>
    <n v="1984"/>
    <x v="3"/>
    <x v="4"/>
    <x v="2"/>
    <n v="65370"/>
    <x v="0"/>
    <n v="0"/>
    <n v="0"/>
    <x v="0"/>
    <d v="2013-08-01T00:00:00"/>
    <s v="11 years, 11 months"/>
    <n v="1"/>
    <n v="22"/>
    <n v="89"/>
    <n v="111"/>
    <n v="2"/>
    <n v="13"/>
    <n v="15"/>
  </r>
  <r>
    <n v="1780"/>
    <x v="1780"/>
    <n v="1979"/>
    <x v="19"/>
    <x v="3"/>
    <x v="0"/>
    <n v="20194"/>
    <x v="1"/>
    <n v="1"/>
    <n v="0"/>
    <x v="2"/>
    <d v="2012-12-17T00:00:00"/>
    <s v="12 years, 6 months"/>
    <n v="64"/>
    <n v="4"/>
    <n v="10"/>
    <n v="14"/>
    <n v="2"/>
    <n v="3"/>
    <n v="5"/>
  </r>
  <r>
    <n v="1781"/>
    <x v="1781"/>
    <n v="1976"/>
    <x v="11"/>
    <x v="1"/>
    <x v="0"/>
    <n v="42473"/>
    <x v="0"/>
    <n v="1"/>
    <n v="1"/>
    <x v="1"/>
    <d v="2014-02-17T00:00:00"/>
    <s v="11 years, 4 months"/>
    <n v="72"/>
    <n v="1"/>
    <n v="4"/>
    <n v="5"/>
    <n v="2"/>
    <n v="4"/>
    <n v="6"/>
  </r>
  <r>
    <n v="1782"/>
    <x v="1782"/>
    <n v="1968"/>
    <x v="30"/>
    <x v="0"/>
    <x v="2"/>
    <n v="64590"/>
    <x v="0"/>
    <n v="0"/>
    <n v="0"/>
    <x v="0"/>
    <d v="2012-10-14T00:00:00"/>
    <s v="12 years, 8 months"/>
    <n v="98"/>
    <n v="138"/>
    <n v="46"/>
    <n v="184"/>
    <n v="9"/>
    <n v="10"/>
    <n v="19"/>
  </r>
  <r>
    <n v="1783"/>
    <x v="1783"/>
    <n v="1959"/>
    <x v="12"/>
    <x v="0"/>
    <x v="1"/>
    <n v="71232"/>
    <x v="0"/>
    <n v="0"/>
    <n v="1"/>
    <x v="2"/>
    <d v="2013-11-28T00:00:00"/>
    <s v="11 years, 7 months"/>
    <n v="91"/>
    <n v="17"/>
    <n v="26"/>
    <n v="43"/>
    <n v="11"/>
    <n v="10"/>
    <n v="21"/>
  </r>
  <r>
    <n v="1784"/>
    <x v="1784"/>
    <n v="1971"/>
    <x v="6"/>
    <x v="0"/>
    <x v="1"/>
    <n v="34600"/>
    <x v="0"/>
    <n v="1"/>
    <n v="1"/>
    <x v="1"/>
    <d v="2013-01-01T00:00:00"/>
    <s v="12 years, 6 months"/>
    <n v="8"/>
    <n v="33"/>
    <n v="3"/>
    <n v="36"/>
    <n v="5"/>
    <n v="5"/>
    <n v="10"/>
  </r>
  <r>
    <n v="1785"/>
    <x v="1785"/>
    <n v="1967"/>
    <x v="5"/>
    <x v="0"/>
    <x v="0"/>
    <n v="46904"/>
    <x v="0"/>
    <n v="1"/>
    <n v="1"/>
    <x v="1"/>
    <d v="2012-11-03T00:00:00"/>
    <s v="12 years, 8 months"/>
    <n v="20"/>
    <n v="4"/>
    <n v="9"/>
    <n v="13"/>
    <n v="5"/>
    <n v="4"/>
    <n v="9"/>
  </r>
  <r>
    <n v="1786"/>
    <x v="1786"/>
    <n v="1973"/>
    <x v="26"/>
    <x v="0"/>
    <x v="2"/>
    <n v="49094"/>
    <x v="0"/>
    <n v="0"/>
    <n v="1"/>
    <x v="2"/>
    <d v="2012-09-21T00:00:00"/>
    <s v="12 years, 9 months"/>
    <n v="6"/>
    <n v="0"/>
    <n v="8"/>
    <n v="8"/>
    <n v="6"/>
    <n v="6"/>
    <n v="12"/>
  </r>
  <r>
    <n v="1787"/>
    <x v="1787"/>
    <n v="1983"/>
    <x v="10"/>
    <x v="0"/>
    <x v="1"/>
    <n v="36075"/>
    <x v="0"/>
    <n v="1"/>
    <n v="0"/>
    <x v="2"/>
    <d v="2013-12-09T00:00:00"/>
    <s v="11 years, 6 months"/>
    <n v="54"/>
    <n v="0"/>
    <n v="1"/>
    <n v="1"/>
    <n v="2"/>
    <n v="4"/>
    <n v="6"/>
  </r>
  <r>
    <n v="1788"/>
    <x v="1788"/>
    <n v="1979"/>
    <x v="19"/>
    <x v="4"/>
    <x v="1"/>
    <n v="60839"/>
    <x v="0"/>
    <n v="1"/>
    <n v="1"/>
    <x v="1"/>
    <d v="2012-08-28T00:00:00"/>
    <s v="12 years, 10 months"/>
    <n v="72"/>
    <n v="21"/>
    <n v="150"/>
    <n v="171"/>
    <n v="2"/>
    <n v="12"/>
    <n v="14"/>
  </r>
  <r>
    <n v="1789"/>
    <x v="1789"/>
    <n v="1979"/>
    <x v="19"/>
    <x v="0"/>
    <x v="1"/>
    <n v="77298"/>
    <x v="2"/>
    <n v="0"/>
    <n v="1"/>
    <x v="2"/>
    <d v="2013-11-02T00:00:00"/>
    <s v="11 years, 8 months"/>
    <n v="46"/>
    <n v="115"/>
    <n v="35"/>
    <n v="150"/>
    <n v="6"/>
    <n v="11"/>
    <n v="17"/>
  </r>
  <r>
    <n v="1790"/>
    <x v="1790"/>
    <n v="1950"/>
    <x v="9"/>
    <x v="0"/>
    <x v="1"/>
    <n v="34026"/>
    <x v="0"/>
    <n v="1"/>
    <n v="1"/>
    <x v="1"/>
    <d v="2013-08-05T00:00:00"/>
    <s v="11 years, 11 months"/>
    <n v="11"/>
    <n v="6"/>
    <n v="8"/>
    <n v="14"/>
    <n v="2"/>
    <n v="3"/>
    <n v="5"/>
  </r>
  <r>
    <n v="1791"/>
    <x v="1791"/>
    <n v="1963"/>
    <x v="24"/>
    <x v="1"/>
    <x v="0"/>
    <n v="48918"/>
    <x v="0"/>
    <n v="1"/>
    <n v="1"/>
    <x v="1"/>
    <d v="2014-04-12T00:00:00"/>
    <s v="11 years, 2 months"/>
    <n v="21"/>
    <n v="0"/>
    <n v="0"/>
    <n v="0"/>
    <n v="1"/>
    <n v="4"/>
    <n v="5"/>
  </r>
  <r>
    <n v="1792"/>
    <x v="1792"/>
    <n v="1962"/>
    <x v="43"/>
    <x v="4"/>
    <x v="1"/>
    <n v="82122"/>
    <x v="2"/>
    <n v="0"/>
    <n v="0"/>
    <x v="0"/>
    <d v="2013-08-15T00:00:00"/>
    <s v="11 years, 10 months"/>
    <n v="89"/>
    <n v="22"/>
    <n v="25"/>
    <n v="47"/>
    <n v="3"/>
    <n v="13"/>
    <n v="16"/>
  </r>
  <r>
    <n v="1793"/>
    <x v="1793"/>
    <n v="1976"/>
    <x v="11"/>
    <x v="0"/>
    <x v="0"/>
    <n v="37697"/>
    <x v="0"/>
    <n v="1"/>
    <n v="0"/>
    <x v="2"/>
    <d v="2014-02-07T00:00:00"/>
    <s v="11 years, 4 months"/>
    <n v="82"/>
    <n v="6"/>
    <n v="4"/>
    <n v="10"/>
    <n v="2"/>
    <n v="3"/>
    <n v="5"/>
  </r>
  <r>
    <n v="1794"/>
    <x v="1794"/>
    <n v="1952"/>
    <x v="13"/>
    <x v="0"/>
    <x v="1"/>
    <n v="34074"/>
    <x v="0"/>
    <n v="1"/>
    <n v="1"/>
    <x v="1"/>
    <d v="2013-07-13T00:00:00"/>
    <s v="11 years, 11 months"/>
    <n v="69"/>
    <n v="1"/>
    <n v="1"/>
    <n v="2"/>
    <n v="3"/>
    <n v="3"/>
    <n v="6"/>
  </r>
  <r>
    <n v="1795"/>
    <x v="1795"/>
    <n v="1960"/>
    <x v="40"/>
    <x v="2"/>
    <x v="2"/>
    <n v="28520"/>
    <x v="0"/>
    <n v="1"/>
    <n v="1"/>
    <x v="1"/>
    <d v="2013-06-14T00:00:00"/>
    <s v="12 years, 0 months"/>
    <n v="55"/>
    <n v="0"/>
    <n v="2"/>
    <n v="2"/>
    <n v="1"/>
    <n v="2"/>
    <n v="3"/>
  </r>
  <r>
    <n v="1796"/>
    <x v="1796"/>
    <n v="1955"/>
    <x v="34"/>
    <x v="0"/>
    <x v="0"/>
    <n v="62535"/>
    <x v="0"/>
    <n v="0"/>
    <n v="1"/>
    <x v="2"/>
    <d v="2013-10-03T00:00:00"/>
    <s v="11 years, 9 months"/>
    <n v="13"/>
    <n v="48"/>
    <n v="45"/>
    <n v="93"/>
    <n v="3"/>
    <n v="8"/>
    <n v="11"/>
  </r>
  <r>
    <n v="1797"/>
    <x v="1797"/>
    <n v="1977"/>
    <x v="32"/>
    <x v="2"/>
    <x v="0"/>
    <n v="36273"/>
    <x v="0"/>
    <n v="1"/>
    <n v="0"/>
    <x v="2"/>
    <d v="2014-04-16T00:00:00"/>
    <s v="11 years, 2 months"/>
    <n v="80"/>
    <n v="3"/>
    <n v="2"/>
    <n v="5"/>
    <n v="3"/>
    <n v="3"/>
    <n v="6"/>
  </r>
  <r>
    <n v="1798"/>
    <x v="1798"/>
    <n v="1964"/>
    <x v="31"/>
    <x v="0"/>
    <x v="1"/>
    <n v="63404"/>
    <x v="0"/>
    <n v="0"/>
    <n v="2"/>
    <x v="1"/>
    <d v="2014-06-06T00:00:00"/>
    <s v="11 years, 1 months"/>
    <n v="97"/>
    <n v="26"/>
    <n v="44"/>
    <n v="70"/>
    <n v="6"/>
    <n v="4"/>
    <n v="10"/>
  </r>
  <r>
    <n v="1799"/>
    <x v="1799"/>
    <n v="1981"/>
    <x v="4"/>
    <x v="4"/>
    <x v="1"/>
    <n v="75774"/>
    <x v="2"/>
    <n v="1"/>
    <n v="0"/>
    <x v="2"/>
    <d v="2014-05-02T00:00:00"/>
    <s v="11 years, 2 months"/>
    <n v="27"/>
    <n v="21"/>
    <n v="14"/>
    <n v="35"/>
    <n v="7"/>
    <n v="8"/>
    <n v="15"/>
  </r>
  <r>
    <n v="1800"/>
    <x v="1800"/>
    <n v="1976"/>
    <x v="11"/>
    <x v="0"/>
    <x v="1"/>
    <n v="78416"/>
    <x v="2"/>
    <n v="0"/>
    <n v="1"/>
    <x v="2"/>
    <d v="2014-06-27T00:00:00"/>
    <s v="11 years, 0 months"/>
    <n v="99"/>
    <n v="38"/>
    <n v="38"/>
    <n v="76"/>
    <n v="7"/>
    <n v="10"/>
    <n v="17"/>
  </r>
  <r>
    <n v="1801"/>
    <x v="1801"/>
    <n v="1974"/>
    <x v="8"/>
    <x v="0"/>
    <x v="1"/>
    <n v="75702"/>
    <x v="2"/>
    <n v="0"/>
    <n v="1"/>
    <x v="2"/>
    <d v="2012-10-14T00:00:00"/>
    <s v="12 years, 8 months"/>
    <n v="87"/>
    <n v="0"/>
    <n v="37"/>
    <n v="37"/>
    <n v="10"/>
    <n v="13"/>
    <n v="23"/>
  </r>
  <r>
    <n v="1802"/>
    <x v="1802"/>
    <n v="1951"/>
    <x v="20"/>
    <x v="2"/>
    <x v="1"/>
    <n v="59385"/>
    <x v="0"/>
    <n v="1"/>
    <n v="1"/>
    <x v="1"/>
    <d v="2013-04-28T00:00:00"/>
    <s v="12 years, 2 months"/>
    <n v="85"/>
    <n v="0"/>
    <n v="4"/>
    <n v="4"/>
    <n v="3"/>
    <n v="4"/>
    <n v="7"/>
  </r>
  <r>
    <n v="1803"/>
    <x v="1803"/>
    <n v="1966"/>
    <x v="35"/>
    <x v="0"/>
    <x v="0"/>
    <n v="37070"/>
    <x v="0"/>
    <n v="1"/>
    <n v="1"/>
    <x v="1"/>
    <d v="2013-03-20T00:00:00"/>
    <s v="12 years, 3 months"/>
    <n v="30"/>
    <n v="7"/>
    <n v="15"/>
    <n v="22"/>
    <n v="5"/>
    <n v="8"/>
    <n v="13"/>
  </r>
  <r>
    <n v="1804"/>
    <x v="1804"/>
    <n v="1951"/>
    <x v="20"/>
    <x v="0"/>
    <x v="2"/>
    <n v="44689"/>
    <x v="0"/>
    <n v="1"/>
    <n v="1"/>
    <x v="1"/>
    <d v="2014-01-10T00:00:00"/>
    <s v="11 years, 5 months"/>
    <n v="82"/>
    <n v="0"/>
    <n v="0"/>
    <n v="0"/>
    <n v="1"/>
    <n v="2"/>
    <n v="3"/>
  </r>
  <r>
    <n v="1805"/>
    <x v="1805"/>
    <n v="1958"/>
    <x v="38"/>
    <x v="0"/>
    <x v="1"/>
    <n v="53977"/>
    <x v="0"/>
    <n v="0"/>
    <n v="1"/>
    <x v="2"/>
    <d v="2013-06-08T00:00:00"/>
    <s v="12 years, 0 months"/>
    <n v="21"/>
    <n v="16"/>
    <n v="24"/>
    <n v="40"/>
    <n v="5"/>
    <n v="12"/>
    <n v="17"/>
  </r>
  <r>
    <n v="1806"/>
    <x v="1806"/>
    <n v="1966"/>
    <x v="35"/>
    <x v="1"/>
    <x v="0"/>
    <n v="7144"/>
    <x v="1"/>
    <n v="0"/>
    <n v="2"/>
    <x v="1"/>
    <d v="2013-12-07T00:00:00"/>
    <s v="11 years, 6 months"/>
    <n v="92"/>
    <n v="4"/>
    <n v="2"/>
    <n v="6"/>
    <n v="23"/>
    <n v="1"/>
    <n v="24"/>
  </r>
  <r>
    <n v="1807"/>
    <x v="1807"/>
    <n v="1964"/>
    <x v="31"/>
    <x v="0"/>
    <x v="0"/>
    <n v="18701"/>
    <x v="1"/>
    <n v="1"/>
    <n v="1"/>
    <x v="1"/>
    <d v="2013-06-04T00:00:00"/>
    <s v="12 years, 1 months"/>
    <n v="95"/>
    <n v="4"/>
    <n v="6"/>
    <n v="10"/>
    <n v="2"/>
    <n v="4"/>
    <n v="6"/>
  </r>
  <r>
    <n v="1808"/>
    <x v="1808"/>
    <n v="1956"/>
    <x v="46"/>
    <x v="0"/>
    <x v="2"/>
    <n v="90369"/>
    <x v="2"/>
    <n v="0"/>
    <n v="0"/>
    <x v="0"/>
    <d v="2014-04-28T00:00:00"/>
    <s v="11 years, 2 months"/>
    <n v="2"/>
    <n v="51"/>
    <n v="23"/>
    <n v="74"/>
    <n v="4"/>
    <n v="6"/>
    <n v="10"/>
  </r>
  <r>
    <n v="1809"/>
    <x v="1809"/>
    <n v="1974"/>
    <x v="8"/>
    <x v="1"/>
    <x v="0"/>
    <n v="63159"/>
    <x v="0"/>
    <n v="0"/>
    <n v="0"/>
    <x v="0"/>
    <d v="2012-11-05T00:00:00"/>
    <s v="12 years, 8 months"/>
    <n v="74"/>
    <n v="34"/>
    <n v="86"/>
    <n v="120"/>
    <n v="3"/>
    <n v="8"/>
    <n v="11"/>
  </r>
  <r>
    <n v="1810"/>
    <x v="1810"/>
    <n v="1966"/>
    <x v="35"/>
    <x v="0"/>
    <x v="1"/>
    <n v="37758"/>
    <x v="0"/>
    <n v="1"/>
    <n v="1"/>
    <x v="1"/>
    <d v="2012-10-04T00:00:00"/>
    <s v="12 years, 9 months"/>
    <n v="49"/>
    <n v="2"/>
    <n v="0"/>
    <n v="2"/>
    <n v="1"/>
    <n v="3"/>
    <n v="4"/>
  </r>
  <r>
    <n v="1811"/>
    <x v="1811"/>
    <n v="1963"/>
    <x v="24"/>
    <x v="1"/>
    <x v="0"/>
    <n v="46757"/>
    <x v="0"/>
    <n v="0"/>
    <n v="1"/>
    <x v="2"/>
    <d v="2012-11-16T00:00:00"/>
    <s v="12 years, 7 months"/>
    <n v="71"/>
    <n v="30"/>
    <n v="51"/>
    <n v="81"/>
    <n v="4"/>
    <n v="7"/>
    <n v="11"/>
  </r>
  <r>
    <n v="1812"/>
    <x v="1812"/>
    <n v="1969"/>
    <x v="21"/>
    <x v="2"/>
    <x v="2"/>
    <n v="79734"/>
    <x v="2"/>
    <n v="0"/>
    <n v="0"/>
    <x v="0"/>
    <d v="2014-06-28T00:00:00"/>
    <s v="11 years, 0 months"/>
    <n v="72"/>
    <n v="8"/>
    <n v="62"/>
    <n v="70"/>
    <n v="4"/>
    <n v="6"/>
    <n v="10"/>
  </r>
  <r>
    <n v="1813"/>
    <x v="1813"/>
    <n v="1992"/>
    <x v="47"/>
    <x v="0"/>
    <x v="1"/>
    <n v="63207"/>
    <x v="0"/>
    <n v="0"/>
    <n v="0"/>
    <x v="0"/>
    <d v="2013-01-20T00:00:00"/>
    <s v="12 years, 5 months"/>
    <n v="68"/>
    <n v="169"/>
    <n v="169"/>
    <n v="338"/>
    <n v="2"/>
    <n v="6"/>
    <n v="8"/>
  </r>
  <r>
    <n v="1814"/>
    <x v="1814"/>
    <n v="1954"/>
    <x v="1"/>
    <x v="0"/>
    <x v="3"/>
    <n v="72071"/>
    <x v="0"/>
    <n v="0"/>
    <n v="1"/>
    <x v="2"/>
    <d v="2013-02-14T00:00:00"/>
    <s v="12 years, 4 months"/>
    <n v="4"/>
    <n v="69"/>
    <n v="138"/>
    <n v="207"/>
    <n v="5"/>
    <n v="8"/>
    <n v="13"/>
  </r>
  <r>
    <n v="1815"/>
    <x v="1815"/>
    <n v="1983"/>
    <x v="10"/>
    <x v="1"/>
    <x v="1"/>
    <n v="21840"/>
    <x v="1"/>
    <n v="1"/>
    <n v="0"/>
    <x v="2"/>
    <d v="2013-07-21T00:00:00"/>
    <s v="11 years, 11 months"/>
    <n v="80"/>
    <n v="0"/>
    <n v="0"/>
    <n v="0"/>
    <n v="1"/>
    <n v="3"/>
    <n v="4"/>
  </r>
  <r>
    <n v="1816"/>
    <x v="1816"/>
    <n v="1982"/>
    <x v="18"/>
    <x v="4"/>
    <x v="1"/>
    <n v="58582"/>
    <x v="0"/>
    <n v="0"/>
    <n v="1"/>
    <x v="2"/>
    <d v="2013-09-28T00:00:00"/>
    <s v="11 years, 9 months"/>
    <n v="15"/>
    <n v="35"/>
    <n v="77"/>
    <n v="112"/>
    <n v="9"/>
    <n v="9"/>
    <n v="18"/>
  </r>
  <r>
    <n v="1817"/>
    <x v="1817"/>
    <n v="1951"/>
    <x v="20"/>
    <x v="0"/>
    <x v="0"/>
    <n v="72282"/>
    <x v="0"/>
    <n v="0"/>
    <n v="0"/>
    <x v="0"/>
    <d v="2013-07-19T00:00:00"/>
    <s v="11 years, 11 months"/>
    <n v="70"/>
    <n v="27"/>
    <n v="139"/>
    <n v="166"/>
    <n v="5"/>
    <n v="9"/>
    <n v="14"/>
  </r>
  <r>
    <n v="1818"/>
    <x v="1818"/>
    <n v="1956"/>
    <x v="46"/>
    <x v="0"/>
    <x v="2"/>
    <n v="50387"/>
    <x v="0"/>
    <n v="0"/>
    <n v="2"/>
    <x v="1"/>
    <d v="2013-08-31T00:00:00"/>
    <s v="11 years, 10 months"/>
    <n v="91"/>
    <n v="9"/>
    <n v="14"/>
    <n v="23"/>
    <n v="6"/>
    <n v="8"/>
    <n v="14"/>
  </r>
  <r>
    <n v="1819"/>
    <x v="1819"/>
    <n v="1961"/>
    <x v="45"/>
    <x v="1"/>
    <x v="1"/>
    <n v="32583"/>
    <x v="0"/>
    <n v="1"/>
    <n v="1"/>
    <x v="1"/>
    <d v="2014-06-15T00:00:00"/>
    <s v="11 years, 0 months"/>
    <n v="10"/>
    <n v="0"/>
    <n v="0"/>
    <n v="0"/>
    <n v="1"/>
    <n v="2"/>
    <n v="3"/>
  </r>
  <r>
    <n v="1820"/>
    <x v="1820"/>
    <n v="1962"/>
    <x v="43"/>
    <x v="0"/>
    <x v="1"/>
    <n v="62568"/>
    <x v="0"/>
    <n v="0"/>
    <n v="1"/>
    <x v="2"/>
    <d v="2014-04-07T00:00:00"/>
    <s v="11 years, 2 months"/>
    <n v="99"/>
    <n v="17"/>
    <n v="35"/>
    <n v="52"/>
    <n v="5"/>
    <n v="5"/>
    <n v="10"/>
  </r>
  <r>
    <n v="1821"/>
    <x v="1821"/>
    <n v="1971"/>
    <x v="6"/>
    <x v="2"/>
    <x v="3"/>
    <n v="44635"/>
    <x v="0"/>
    <n v="1"/>
    <n v="1"/>
    <x v="1"/>
    <d v="2013-10-11T00:00:00"/>
    <s v="11 years, 8 months"/>
    <n v="25"/>
    <n v="0"/>
    <n v="0"/>
    <n v="0"/>
    <n v="2"/>
    <n v="3"/>
    <n v="5"/>
  </r>
  <r>
    <n v="1822"/>
    <x v="1822"/>
    <n v="1971"/>
    <x v="6"/>
    <x v="2"/>
    <x v="0"/>
    <n v="33316"/>
    <x v="0"/>
    <n v="1"/>
    <n v="1"/>
    <x v="1"/>
    <d v="2013-10-04T00:00:00"/>
    <s v="11 years, 9 months"/>
    <n v="34"/>
    <n v="1"/>
    <n v="4"/>
    <n v="5"/>
    <n v="2"/>
    <n v="4"/>
    <n v="6"/>
  </r>
  <r>
    <n v="1823"/>
    <x v="1823"/>
    <n v="1968"/>
    <x v="30"/>
    <x v="0"/>
    <x v="2"/>
    <n v="63967"/>
    <x v="0"/>
    <n v="0"/>
    <n v="1"/>
    <x v="2"/>
    <d v="2013-08-09T00:00:00"/>
    <s v="11 years, 10 months"/>
    <n v="57"/>
    <n v="84"/>
    <n v="35"/>
    <n v="119"/>
    <n v="4"/>
    <n v="12"/>
    <n v="16"/>
  </r>
  <r>
    <n v="1824"/>
    <x v="1824"/>
    <n v="1978"/>
    <x v="33"/>
    <x v="4"/>
    <x v="1"/>
    <n v="52513"/>
    <x v="0"/>
    <n v="0"/>
    <n v="0"/>
    <x v="0"/>
    <d v="2012-09-04T00:00:00"/>
    <s v="12 years, 10 months"/>
    <n v="84"/>
    <n v="17"/>
    <n v="188"/>
    <n v="205"/>
    <n v="9"/>
    <n v="9"/>
    <n v="18"/>
  </r>
  <r>
    <n v="1825"/>
    <x v="1825"/>
    <n v="1969"/>
    <x v="21"/>
    <x v="0"/>
    <x v="2"/>
    <n v="25293"/>
    <x v="0"/>
    <n v="1"/>
    <n v="0"/>
    <x v="2"/>
    <d v="2013-09-15T00:00:00"/>
    <s v="11 years, 9 months"/>
    <n v="51"/>
    <n v="0"/>
    <n v="2"/>
    <n v="2"/>
    <n v="1"/>
    <n v="2"/>
    <n v="3"/>
  </r>
  <r>
    <n v="1826"/>
    <x v="1826"/>
    <n v="1965"/>
    <x v="2"/>
    <x v="1"/>
    <x v="4"/>
    <n v="54111"/>
    <x v="0"/>
    <n v="0"/>
    <n v="1"/>
    <x v="2"/>
    <d v="2013-08-25T00:00:00"/>
    <s v="11 years, 10 months"/>
    <n v="97"/>
    <n v="6"/>
    <n v="3"/>
    <n v="9"/>
    <n v="5"/>
    <n v="6"/>
    <n v="11"/>
  </r>
  <r>
    <n v="1827"/>
    <x v="1827"/>
    <n v="1986"/>
    <x v="22"/>
    <x v="0"/>
    <x v="1"/>
    <n v="78394"/>
    <x v="2"/>
    <n v="0"/>
    <n v="0"/>
    <x v="0"/>
    <d v="2013-02-15T00:00:00"/>
    <s v="12 years, 4 months"/>
    <n v="13"/>
    <n v="27"/>
    <n v="24"/>
    <n v="51"/>
    <n v="4"/>
    <n v="5"/>
    <n v="9"/>
  </r>
  <r>
    <n v="1828"/>
    <x v="1828"/>
    <n v="1958"/>
    <x v="38"/>
    <x v="2"/>
    <x v="2"/>
    <n v="80739"/>
    <x v="2"/>
    <n v="0"/>
    <n v="0"/>
    <x v="0"/>
    <d v="2013-05-23T00:00:00"/>
    <s v="12 years, 1 months"/>
    <n v="92"/>
    <n v="92"/>
    <n v="0"/>
    <n v="92"/>
    <n v="3"/>
    <n v="9"/>
    <n v="12"/>
  </r>
  <r>
    <n v="1829"/>
    <x v="1829"/>
    <n v="1975"/>
    <x v="28"/>
    <x v="2"/>
    <x v="1"/>
    <n v="22669"/>
    <x v="1"/>
    <n v="1"/>
    <n v="0"/>
    <x v="2"/>
    <d v="2013-05-22T00:00:00"/>
    <s v="12 years, 1 months"/>
    <n v="30"/>
    <n v="14"/>
    <n v="22"/>
    <n v="36"/>
    <n v="4"/>
    <n v="2"/>
    <n v="6"/>
  </r>
  <r>
    <n v="1830"/>
    <x v="1830"/>
    <n v="1987"/>
    <x v="14"/>
    <x v="0"/>
    <x v="0"/>
    <n v="29236"/>
    <x v="0"/>
    <n v="1"/>
    <n v="0"/>
    <x v="2"/>
    <d v="2013-10-08T00:00:00"/>
    <s v="11 years, 8 months"/>
    <n v="30"/>
    <n v="4"/>
    <n v="9"/>
    <n v="13"/>
    <n v="4"/>
    <n v="3"/>
    <n v="7"/>
  </r>
  <r>
    <n v="1831"/>
    <x v="1831"/>
    <n v="1959"/>
    <x v="12"/>
    <x v="0"/>
    <x v="1"/>
    <n v="44911"/>
    <x v="0"/>
    <n v="0"/>
    <n v="1"/>
    <x v="2"/>
    <d v="2013-03-15T00:00:00"/>
    <s v="12 years, 3 months"/>
    <n v="11"/>
    <n v="0"/>
    <n v="1"/>
    <n v="1"/>
    <n v="4"/>
    <n v="4"/>
    <n v="8"/>
  </r>
  <r>
    <n v="1832"/>
    <x v="1832"/>
    <n v="1962"/>
    <x v="43"/>
    <x v="1"/>
    <x v="2"/>
    <n v="54693"/>
    <x v="0"/>
    <n v="0"/>
    <n v="1"/>
    <x v="2"/>
    <d v="2013-02-17T00:00:00"/>
    <s v="12 years, 4 months"/>
    <n v="72"/>
    <n v="17"/>
    <n v="26"/>
    <n v="43"/>
    <n v="6"/>
    <n v="13"/>
    <n v="19"/>
  </r>
  <r>
    <n v="1833"/>
    <x v="1833"/>
    <n v="1974"/>
    <x v="8"/>
    <x v="0"/>
    <x v="1"/>
    <n v="48186"/>
    <x v="0"/>
    <n v="1"/>
    <n v="0"/>
    <x v="2"/>
    <d v="2014-03-20T00:00:00"/>
    <s v="11 years, 3 months"/>
    <n v="39"/>
    <n v="3"/>
    <n v="7"/>
    <n v="10"/>
    <n v="4"/>
    <n v="4"/>
    <n v="8"/>
  </r>
  <r>
    <n v="1834"/>
    <x v="1834"/>
    <n v="1977"/>
    <x v="32"/>
    <x v="0"/>
    <x v="2"/>
    <n v="54809"/>
    <x v="0"/>
    <n v="1"/>
    <n v="1"/>
    <x v="1"/>
    <d v="2013-09-11T00:00:00"/>
    <s v="11 years, 9 months"/>
    <n v="0"/>
    <n v="6"/>
    <n v="13"/>
    <n v="19"/>
    <n v="2"/>
    <n v="5"/>
    <n v="7"/>
  </r>
  <r>
    <n v="1835"/>
    <x v="1835"/>
    <n v="1978"/>
    <x v="33"/>
    <x v="0"/>
    <x v="1"/>
    <n v="41580"/>
    <x v="0"/>
    <n v="1"/>
    <n v="1"/>
    <x v="1"/>
    <d v="2012-12-10T00:00:00"/>
    <s v="12 years, 6 months"/>
    <n v="15"/>
    <n v="5"/>
    <n v="0"/>
    <n v="5"/>
    <n v="2"/>
    <n v="3"/>
    <n v="5"/>
  </r>
  <r>
    <n v="1836"/>
    <x v="1836"/>
    <n v="1970"/>
    <x v="25"/>
    <x v="1"/>
    <x v="2"/>
    <n v="80336"/>
    <x v="2"/>
    <n v="0"/>
    <n v="0"/>
    <x v="0"/>
    <d v="2013-09-09T00:00:00"/>
    <s v="11 years, 9 months"/>
    <n v="12"/>
    <n v="19"/>
    <n v="142"/>
    <n v="161"/>
    <n v="2"/>
    <n v="13"/>
    <n v="15"/>
  </r>
  <r>
    <n v="1837"/>
    <x v="1837"/>
    <n v="1957"/>
    <x v="0"/>
    <x v="0"/>
    <x v="2"/>
    <n v="47743"/>
    <x v="0"/>
    <n v="0"/>
    <n v="1"/>
    <x v="2"/>
    <d v="2013-03-22T00:00:00"/>
    <s v="12 years, 3 months"/>
    <n v="56"/>
    <n v="2"/>
    <n v="12"/>
    <n v="14"/>
    <n v="4"/>
    <n v="6"/>
    <n v="10"/>
  </r>
  <r>
    <n v="1838"/>
    <x v="1838"/>
    <n v="1955"/>
    <x v="34"/>
    <x v="4"/>
    <x v="2"/>
    <n v="62972"/>
    <x v="0"/>
    <n v="0"/>
    <n v="1"/>
    <x v="2"/>
    <d v="2012-08-03T00:00:00"/>
    <s v="12 years, 11 months"/>
    <n v="39"/>
    <n v="15"/>
    <n v="0"/>
    <n v="15"/>
    <n v="7"/>
    <n v="3"/>
    <n v="10"/>
  </r>
  <r>
    <n v="1839"/>
    <x v="1839"/>
    <n v="1954"/>
    <x v="1"/>
    <x v="1"/>
    <x v="3"/>
    <n v="57333"/>
    <x v="0"/>
    <n v="0"/>
    <n v="1"/>
    <x v="2"/>
    <d v="2012-09-22T00:00:00"/>
    <s v="12 years, 9 months"/>
    <n v="55"/>
    <n v="14"/>
    <n v="58"/>
    <n v="72"/>
    <n v="8"/>
    <n v="9"/>
    <n v="17"/>
  </r>
  <r>
    <n v="1840"/>
    <x v="1840"/>
    <n v="1982"/>
    <x v="18"/>
    <x v="1"/>
    <x v="1"/>
    <n v="32313"/>
    <x v="0"/>
    <n v="1"/>
    <n v="0"/>
    <x v="2"/>
    <d v="2013-02-11T00:00:00"/>
    <s v="12 years, 4 months"/>
    <n v="60"/>
    <n v="4"/>
    <n v="4"/>
    <n v="8"/>
    <n v="4"/>
    <n v="4"/>
    <n v="8"/>
  </r>
  <r>
    <n v="1841"/>
    <x v="1841"/>
    <n v="1953"/>
    <x v="44"/>
    <x v="2"/>
    <x v="4"/>
    <n v="84953"/>
    <x v="2"/>
    <n v="0"/>
    <n v="0"/>
    <x v="0"/>
    <d v="2013-06-03T00:00:00"/>
    <s v="12 years, 1 months"/>
    <n v="73"/>
    <n v="48"/>
    <n v="72"/>
    <n v="120"/>
    <n v="3"/>
    <n v="4"/>
    <n v="7"/>
  </r>
  <r>
    <n v="1842"/>
    <x v="1842"/>
    <n v="1968"/>
    <x v="30"/>
    <x v="2"/>
    <x v="3"/>
    <n v="27071"/>
    <x v="0"/>
    <n v="1"/>
    <n v="0"/>
    <x v="2"/>
    <d v="2014-04-23T00:00:00"/>
    <s v="11 years, 2 months"/>
    <n v="90"/>
    <n v="3"/>
    <n v="2"/>
    <n v="5"/>
    <n v="2"/>
    <n v="3"/>
    <n v="5"/>
  </r>
  <r>
    <n v="1843"/>
    <x v="1843"/>
    <n v="1957"/>
    <x v="0"/>
    <x v="2"/>
    <x v="1"/>
    <n v="68148"/>
    <x v="0"/>
    <n v="0"/>
    <n v="0"/>
    <x v="0"/>
    <d v="2013-08-31T00:00:00"/>
    <s v="11 years, 10 months"/>
    <n v="86"/>
    <n v="66"/>
    <n v="57"/>
    <n v="123"/>
    <n v="4"/>
    <n v="6"/>
    <n v="10"/>
  </r>
  <r>
    <n v="1844"/>
    <x v="1844"/>
    <n v="1965"/>
    <x v="2"/>
    <x v="2"/>
    <x v="1"/>
    <n v="65735"/>
    <x v="0"/>
    <n v="1"/>
    <n v="1"/>
    <x v="1"/>
    <d v="2013-12-07T00:00:00"/>
    <s v="11 years, 6 months"/>
    <n v="37"/>
    <n v="7"/>
    <n v="15"/>
    <n v="22"/>
    <n v="6"/>
    <n v="6"/>
    <n v="12"/>
  </r>
  <r>
    <n v="1845"/>
    <x v="1845"/>
    <n v="1975"/>
    <x v="28"/>
    <x v="1"/>
    <x v="2"/>
    <n v="86836"/>
    <x v="2"/>
    <n v="0"/>
    <n v="0"/>
    <x v="0"/>
    <d v="2012-09-12T00:00:00"/>
    <s v="12 years, 9 months"/>
    <n v="7"/>
    <n v="21"/>
    <n v="21"/>
    <n v="42"/>
    <n v="6"/>
    <n v="6"/>
    <n v="12"/>
  </r>
  <r>
    <n v="1846"/>
    <x v="1846"/>
    <n v="1963"/>
    <x v="24"/>
    <x v="1"/>
    <x v="2"/>
    <n v="4023"/>
    <x v="1"/>
    <n v="1"/>
    <n v="1"/>
    <x v="1"/>
    <d v="2014-06-23T00:00:00"/>
    <s v="11 years, 0 months"/>
    <n v="29"/>
    <n v="0"/>
    <n v="1"/>
    <n v="1"/>
    <n v="0"/>
    <n v="0"/>
    <n v="0"/>
  </r>
  <r>
    <n v="1847"/>
    <x v="1847"/>
    <n v="1990"/>
    <x v="50"/>
    <x v="0"/>
    <x v="2"/>
    <n v="30093"/>
    <x v="0"/>
    <n v="0"/>
    <n v="0"/>
    <x v="0"/>
    <d v="2013-07-08T00:00:00"/>
    <s v="11 years, 11 months"/>
    <n v="19"/>
    <n v="6"/>
    <n v="4"/>
    <n v="10"/>
    <n v="2"/>
    <n v="3"/>
    <n v="5"/>
  </r>
  <r>
    <n v="1848"/>
    <x v="1848"/>
    <n v="1966"/>
    <x v="35"/>
    <x v="1"/>
    <x v="2"/>
    <n v="57705"/>
    <x v="0"/>
    <n v="0"/>
    <n v="1"/>
    <x v="2"/>
    <d v="2014-01-11T00:00:00"/>
    <s v="11 years, 5 months"/>
    <n v="14"/>
    <n v="0"/>
    <n v="4"/>
    <n v="4"/>
    <n v="8"/>
    <n v="6"/>
    <n v="14"/>
  </r>
  <r>
    <n v="1849"/>
    <x v="1849"/>
    <n v="1988"/>
    <x v="36"/>
    <x v="0"/>
    <x v="0"/>
    <n v="25008"/>
    <x v="0"/>
    <n v="1"/>
    <n v="0"/>
    <x v="2"/>
    <d v="2014-02-02T00:00:00"/>
    <s v="11 years, 5 months"/>
    <n v="72"/>
    <n v="8"/>
    <n v="1"/>
    <n v="9"/>
    <n v="1"/>
    <n v="3"/>
    <n v="4"/>
  </r>
  <r>
    <n v="1850"/>
    <x v="1850"/>
    <n v="1995"/>
    <x v="57"/>
    <x v="4"/>
    <x v="0"/>
    <n v="83257"/>
    <x v="2"/>
    <n v="0"/>
    <n v="0"/>
    <x v="0"/>
    <d v="2012-09-18T00:00:00"/>
    <s v="12 years, 9 months"/>
    <n v="56"/>
    <n v="27"/>
    <n v="107"/>
    <n v="134"/>
    <n v="5"/>
    <n v="12"/>
    <n v="17"/>
  </r>
  <r>
    <n v="1851"/>
    <x v="1851"/>
    <n v="1975"/>
    <x v="28"/>
    <x v="0"/>
    <x v="1"/>
    <n v="22280"/>
    <x v="1"/>
    <n v="1"/>
    <n v="0"/>
    <x v="2"/>
    <d v="2013-05-19T00:00:00"/>
    <s v="12 years, 1 months"/>
    <n v="85"/>
    <n v="1"/>
    <n v="1"/>
    <n v="2"/>
    <n v="1"/>
    <n v="2"/>
    <n v="3"/>
  </r>
  <r>
    <n v="1852"/>
    <x v="1852"/>
    <n v="1978"/>
    <x v="33"/>
    <x v="1"/>
    <x v="2"/>
    <n v="72159"/>
    <x v="0"/>
    <n v="0"/>
    <n v="0"/>
    <x v="0"/>
    <d v="2012-10-29T00:00:00"/>
    <s v="12 years, 8 months"/>
    <n v="62"/>
    <n v="53"/>
    <n v="40"/>
    <n v="93"/>
    <n v="4"/>
    <n v="10"/>
    <n v="14"/>
  </r>
  <r>
    <n v="1853"/>
    <x v="1853"/>
    <n v="1961"/>
    <x v="45"/>
    <x v="0"/>
    <x v="1"/>
    <n v="64260"/>
    <x v="0"/>
    <n v="0"/>
    <n v="0"/>
    <x v="0"/>
    <d v="2013-01-11T00:00:00"/>
    <s v="12 years, 5 months"/>
    <n v="1"/>
    <n v="169"/>
    <n v="0"/>
    <n v="169"/>
    <n v="4"/>
    <n v="4"/>
    <n v="8"/>
  </r>
  <r>
    <n v="1854"/>
    <x v="1854"/>
    <n v="1984"/>
    <x v="3"/>
    <x v="1"/>
    <x v="0"/>
    <n v="82733"/>
    <x v="2"/>
    <n v="0"/>
    <n v="0"/>
    <x v="0"/>
    <d v="2013-09-10T00:00:00"/>
    <s v="11 years, 9 months"/>
    <n v="28"/>
    <n v="50"/>
    <n v="38"/>
    <n v="88"/>
    <n v="8"/>
    <n v="7"/>
    <n v="15"/>
  </r>
  <r>
    <n v="1855"/>
    <x v="1855"/>
    <n v="1971"/>
    <x v="6"/>
    <x v="2"/>
    <x v="3"/>
    <n v="74290"/>
    <x v="0"/>
    <n v="0"/>
    <n v="1"/>
    <x v="2"/>
    <d v="2013-08-12T00:00:00"/>
    <s v="11 years, 10 months"/>
    <n v="70"/>
    <n v="0"/>
    <n v="12"/>
    <n v="12"/>
    <n v="10"/>
    <n v="10"/>
    <n v="20"/>
  </r>
  <r>
    <n v="1856"/>
    <x v="1856"/>
    <n v="1951"/>
    <x v="20"/>
    <x v="2"/>
    <x v="0"/>
    <n v="58217"/>
    <x v="0"/>
    <n v="2"/>
    <n v="1"/>
    <x v="3"/>
    <d v="2012-11-17T00:00:00"/>
    <s v="12 years, 7 months"/>
    <n v="84"/>
    <n v="1"/>
    <n v="5"/>
    <n v="6"/>
    <n v="2"/>
    <n v="4"/>
    <n v="6"/>
  </r>
  <r>
    <n v="1857"/>
    <x v="1857"/>
    <n v="1976"/>
    <x v="11"/>
    <x v="2"/>
    <x v="1"/>
    <n v="21024"/>
    <x v="1"/>
    <n v="0"/>
    <n v="0"/>
    <x v="0"/>
    <d v="2013-07-04T00:00:00"/>
    <s v="12 years, 0 months"/>
    <n v="89"/>
    <n v="4"/>
    <n v="2"/>
    <n v="6"/>
    <n v="2"/>
    <n v="4"/>
    <n v="6"/>
  </r>
  <r>
    <n v="1858"/>
    <x v="1858"/>
    <n v="1972"/>
    <x v="39"/>
    <x v="1"/>
    <x v="2"/>
    <n v="70116"/>
    <x v="0"/>
    <n v="0"/>
    <n v="0"/>
    <x v="0"/>
    <d v="2013-01-26T00:00:00"/>
    <s v="12 years, 5 months"/>
    <n v="73"/>
    <n v="44"/>
    <n v="58"/>
    <n v="102"/>
    <n v="2"/>
    <n v="12"/>
    <n v="14"/>
  </r>
  <r>
    <n v="1859"/>
    <x v="1859"/>
    <n v="1985"/>
    <x v="7"/>
    <x v="0"/>
    <x v="1"/>
    <n v="54006"/>
    <x v="0"/>
    <n v="1"/>
    <n v="0"/>
    <x v="2"/>
    <d v="2012-09-18T00:00:00"/>
    <s v="12 years, 9 months"/>
    <n v="42"/>
    <n v="77"/>
    <n v="24"/>
    <n v="101"/>
    <n v="8"/>
    <n v="7"/>
    <n v="15"/>
  </r>
  <r>
    <n v="1860"/>
    <x v="1860"/>
    <n v="1966"/>
    <x v="35"/>
    <x v="1"/>
    <x v="2"/>
    <n v="69063"/>
    <x v="0"/>
    <n v="0"/>
    <n v="1"/>
    <x v="2"/>
    <d v="2012-11-07T00:00:00"/>
    <s v="12 years, 7 months"/>
    <n v="16"/>
    <n v="35"/>
    <n v="8"/>
    <n v="43"/>
    <n v="5"/>
    <n v="5"/>
    <n v="10"/>
  </r>
  <r>
    <n v="1861"/>
    <x v="1861"/>
    <n v="1975"/>
    <x v="28"/>
    <x v="4"/>
    <x v="3"/>
    <n v="11448"/>
    <x v="1"/>
    <n v="0"/>
    <n v="0"/>
    <x v="0"/>
    <d v="2013-12-15T00:00:00"/>
    <s v="11 years, 6 months"/>
    <n v="16"/>
    <n v="0"/>
    <n v="2"/>
    <n v="2"/>
    <n v="1"/>
    <n v="2"/>
    <n v="3"/>
  </r>
  <r>
    <n v="1862"/>
    <x v="1862"/>
    <n v="1979"/>
    <x v="19"/>
    <x v="0"/>
    <x v="0"/>
    <n v="61825"/>
    <x v="0"/>
    <n v="0"/>
    <n v="1"/>
    <x v="2"/>
    <d v="2013-08-07T00:00:00"/>
    <s v="11 years, 10 months"/>
    <n v="56"/>
    <n v="50"/>
    <n v="30"/>
    <n v="80"/>
    <n v="4"/>
    <n v="8"/>
    <n v="12"/>
  </r>
  <r>
    <n v="1863"/>
    <x v="1863"/>
    <n v="1971"/>
    <x v="6"/>
    <x v="0"/>
    <x v="2"/>
    <n v="70886"/>
    <x v="0"/>
    <n v="1"/>
    <n v="0"/>
    <x v="2"/>
    <d v="2013-10-14T00:00:00"/>
    <s v="11 years, 8 months"/>
    <n v="65"/>
    <n v="70"/>
    <n v="88"/>
    <n v="158"/>
    <n v="5"/>
    <n v="4"/>
    <n v="9"/>
  </r>
  <r>
    <n v="1864"/>
    <x v="1864"/>
    <n v="1982"/>
    <x v="18"/>
    <x v="0"/>
    <x v="2"/>
    <n v="69109"/>
    <x v="0"/>
    <n v="0"/>
    <n v="0"/>
    <x v="0"/>
    <d v="2012-11-09T00:00:00"/>
    <s v="12 years, 7 months"/>
    <n v="10"/>
    <n v="25"/>
    <n v="29"/>
    <n v="54"/>
    <n v="6"/>
    <n v="7"/>
    <n v="13"/>
  </r>
  <r>
    <n v="1865"/>
    <x v="1865"/>
    <n v="1973"/>
    <x v="26"/>
    <x v="0"/>
    <x v="4"/>
    <n v="60208"/>
    <x v="0"/>
    <n v="1"/>
    <n v="1"/>
    <x v="1"/>
    <d v="2012-10-07T00:00:00"/>
    <s v="12 years, 8 months"/>
    <n v="13"/>
    <n v="23"/>
    <n v="0"/>
    <n v="23"/>
    <n v="8"/>
    <n v="7"/>
    <n v="15"/>
  </r>
  <r>
    <n v="1866"/>
    <x v="1866"/>
    <n v="1968"/>
    <x v="30"/>
    <x v="2"/>
    <x v="1"/>
    <n v="32889"/>
    <x v="0"/>
    <n v="1"/>
    <n v="1"/>
    <x v="1"/>
    <d v="2013-09-06T00:00:00"/>
    <s v="11 years, 10 months"/>
    <n v="78"/>
    <n v="0"/>
    <n v="2"/>
    <n v="2"/>
    <n v="2"/>
    <n v="3"/>
    <n v="5"/>
  </r>
  <r>
    <n v="1867"/>
    <x v="1867"/>
    <n v="1984"/>
    <x v="3"/>
    <x v="0"/>
    <x v="0"/>
    <n v="34738"/>
    <x v="0"/>
    <n v="1"/>
    <n v="0"/>
    <x v="2"/>
    <d v="2014-05-11T00:00:00"/>
    <s v="11 years, 1 months"/>
    <n v="51"/>
    <n v="2"/>
    <n v="0"/>
    <n v="2"/>
    <n v="1"/>
    <n v="3"/>
    <n v="4"/>
  </r>
  <r>
    <n v="1868"/>
    <x v="1868"/>
    <n v="1971"/>
    <x v="6"/>
    <x v="2"/>
    <x v="1"/>
    <n v="30538"/>
    <x v="0"/>
    <n v="1"/>
    <n v="0"/>
    <x v="2"/>
    <d v="2012-10-01T00:00:00"/>
    <s v="12 years, 9 months"/>
    <n v="27"/>
    <n v="0"/>
    <n v="3"/>
    <n v="3"/>
    <n v="9"/>
    <n v="4"/>
    <n v="13"/>
  </r>
  <r>
    <n v="1869"/>
    <x v="1869"/>
    <n v="1977"/>
    <x v="32"/>
    <x v="4"/>
    <x v="1"/>
    <n v="82326"/>
    <x v="2"/>
    <n v="0"/>
    <n v="0"/>
    <x v="0"/>
    <d v="2014-03-10T00:00:00"/>
    <s v="11 years, 3 months"/>
    <n v="30"/>
    <n v="142"/>
    <n v="81"/>
    <n v="223"/>
    <n v="5"/>
    <n v="6"/>
    <n v="11"/>
  </r>
  <r>
    <n v="1870"/>
    <x v="1870"/>
    <n v="1967"/>
    <x v="5"/>
    <x v="1"/>
    <x v="3"/>
    <n v="26642"/>
    <x v="0"/>
    <n v="1"/>
    <n v="0"/>
    <x v="2"/>
    <d v="2014-03-01T00:00:00"/>
    <s v="11 years, 4 months"/>
    <n v="71"/>
    <n v="2"/>
    <n v="2"/>
    <n v="4"/>
    <n v="2"/>
    <n v="3"/>
    <n v="5"/>
  </r>
  <r>
    <n v="1871"/>
    <x v="1871"/>
    <n v="1964"/>
    <x v="31"/>
    <x v="0"/>
    <x v="3"/>
    <n v="69932"/>
    <x v="0"/>
    <n v="0"/>
    <n v="1"/>
    <x v="2"/>
    <d v="2013-06-12T00:00:00"/>
    <s v="12 years, 0 months"/>
    <n v="97"/>
    <n v="172"/>
    <n v="105"/>
    <n v="277"/>
    <n v="7"/>
    <n v="11"/>
    <n v="18"/>
  </r>
  <r>
    <n v="1872"/>
    <x v="1872"/>
    <n v="1972"/>
    <x v="39"/>
    <x v="0"/>
    <x v="0"/>
    <n v="44503"/>
    <x v="0"/>
    <n v="1"/>
    <n v="1"/>
    <x v="1"/>
    <d v="2014-04-16T00:00:00"/>
    <s v="11 years, 2 months"/>
    <n v="83"/>
    <n v="1"/>
    <n v="0"/>
    <n v="1"/>
    <n v="2"/>
    <n v="3"/>
    <n v="5"/>
  </r>
  <r>
    <n v="1873"/>
    <x v="1873"/>
    <n v="1948"/>
    <x v="37"/>
    <x v="1"/>
    <x v="0"/>
    <n v="60200"/>
    <x v="0"/>
    <n v="0"/>
    <n v="1"/>
    <x v="2"/>
    <d v="2013-01-02T00:00:00"/>
    <s v="12 years, 6 months"/>
    <n v="3"/>
    <n v="19"/>
    <n v="6"/>
    <n v="25"/>
    <n v="6"/>
    <n v="11"/>
    <n v="17"/>
  </r>
  <r>
    <n v="1874"/>
    <x v="1874"/>
    <n v="1952"/>
    <x v="13"/>
    <x v="0"/>
    <x v="3"/>
    <n v="49638"/>
    <x v="0"/>
    <n v="0"/>
    <n v="1"/>
    <x v="2"/>
    <d v="2014-04-19T00:00:00"/>
    <s v="11 years, 2 months"/>
    <n v="71"/>
    <n v="10"/>
    <n v="5"/>
    <n v="15"/>
    <n v="1"/>
    <n v="3"/>
    <n v="4"/>
  </r>
  <r>
    <n v="1875"/>
    <x v="1875"/>
    <n v="1987"/>
    <x v="14"/>
    <x v="4"/>
    <x v="0"/>
    <n v="23830"/>
    <x v="1"/>
    <n v="0"/>
    <n v="0"/>
    <x v="0"/>
    <d v="2014-02-07T00:00:00"/>
    <s v="11 years, 4 months"/>
    <n v="3"/>
    <n v="8"/>
    <n v="8"/>
    <n v="16"/>
    <n v="1"/>
    <n v="3"/>
    <n v="4"/>
  </r>
  <r>
    <n v="1876"/>
    <x v="1876"/>
    <n v="1959"/>
    <x v="12"/>
    <x v="2"/>
    <x v="4"/>
    <n v="33051"/>
    <x v="0"/>
    <n v="0"/>
    <n v="0"/>
    <x v="0"/>
    <d v="2012-08-16T00:00:00"/>
    <s v="12 years, 10 months"/>
    <n v="15"/>
    <n v="71"/>
    <n v="94"/>
    <n v="165"/>
    <n v="9"/>
    <n v="8"/>
    <n v="17"/>
  </r>
  <r>
    <n v="1877"/>
    <x v="1877"/>
    <n v="1958"/>
    <x v="38"/>
    <x v="0"/>
    <x v="2"/>
    <n v="72905"/>
    <x v="0"/>
    <n v="0"/>
    <n v="0"/>
    <x v="0"/>
    <d v="2014-01-21T00:00:00"/>
    <s v="11 years, 5 months"/>
    <n v="52"/>
    <n v="114"/>
    <n v="165"/>
    <n v="279"/>
    <n v="3"/>
    <n v="9"/>
    <n v="12"/>
  </r>
  <r>
    <n v="1878"/>
    <x v="1878"/>
    <n v="1951"/>
    <x v="20"/>
    <x v="1"/>
    <x v="1"/>
    <n v="69702"/>
    <x v="0"/>
    <n v="0"/>
    <n v="1"/>
    <x v="2"/>
    <d v="2013-02-19T00:00:00"/>
    <s v="12 years, 4 months"/>
    <n v="8"/>
    <n v="9"/>
    <n v="19"/>
    <n v="28"/>
    <n v="7"/>
    <n v="10"/>
    <n v="17"/>
  </r>
  <r>
    <n v="1879"/>
    <x v="1879"/>
    <n v="1975"/>
    <x v="28"/>
    <x v="0"/>
    <x v="3"/>
    <n v="70300"/>
    <x v="0"/>
    <n v="1"/>
    <n v="0"/>
    <x v="2"/>
    <d v="2013-07-15T00:00:00"/>
    <s v="11 years, 11 months"/>
    <n v="89"/>
    <n v="61"/>
    <n v="46"/>
    <n v="107"/>
    <n v="5"/>
    <n v="13"/>
    <n v="18"/>
  </r>
  <r>
    <n v="1880"/>
    <x v="1880"/>
    <n v="1984"/>
    <x v="3"/>
    <x v="1"/>
    <x v="2"/>
    <n v="70643"/>
    <x v="0"/>
    <n v="0"/>
    <n v="0"/>
    <x v="0"/>
    <d v="2012-10-15T00:00:00"/>
    <s v="12 years, 8 months"/>
    <n v="66"/>
    <n v="107"/>
    <n v="143"/>
    <n v="250"/>
    <n v="5"/>
    <n v="4"/>
    <n v="9"/>
  </r>
  <r>
    <n v="1881"/>
    <x v="1881"/>
    <n v="1969"/>
    <x v="21"/>
    <x v="1"/>
    <x v="2"/>
    <n v="30396"/>
    <x v="0"/>
    <n v="1"/>
    <n v="0"/>
    <x v="2"/>
    <d v="2014-04-30T00:00:00"/>
    <s v="11 years, 2 months"/>
    <n v="22"/>
    <n v="0"/>
    <n v="1"/>
    <n v="1"/>
    <n v="1"/>
    <n v="2"/>
    <n v="3"/>
  </r>
  <r>
    <n v="1882"/>
    <x v="1882"/>
    <n v="1968"/>
    <x v="30"/>
    <x v="1"/>
    <x v="3"/>
    <n v="50616"/>
    <x v="0"/>
    <n v="0"/>
    <n v="1"/>
    <x v="2"/>
    <d v="2014-04-18T00:00:00"/>
    <s v="11 years, 2 months"/>
    <n v="56"/>
    <n v="0"/>
    <n v="1"/>
    <n v="1"/>
    <n v="4"/>
    <n v="4"/>
    <n v="8"/>
  </r>
  <r>
    <n v="1883"/>
    <x v="1883"/>
    <n v="1969"/>
    <x v="21"/>
    <x v="2"/>
    <x v="0"/>
    <n v="62772"/>
    <x v="0"/>
    <n v="0"/>
    <n v="1"/>
    <x v="2"/>
    <d v="2013-05-19T00:00:00"/>
    <s v="12 years, 1 months"/>
    <n v="74"/>
    <n v="49"/>
    <n v="8"/>
    <n v="57"/>
    <n v="5"/>
    <n v="11"/>
    <n v="16"/>
  </r>
  <r>
    <n v="1884"/>
    <x v="1884"/>
    <n v="1985"/>
    <x v="7"/>
    <x v="1"/>
    <x v="0"/>
    <n v="30298"/>
    <x v="0"/>
    <n v="0"/>
    <n v="0"/>
    <x v="0"/>
    <d v="2014-05-19T00:00:00"/>
    <s v="11 years, 1 months"/>
    <n v="48"/>
    <n v="3"/>
    <n v="1"/>
    <n v="4"/>
    <n v="1"/>
    <n v="3"/>
    <n v="4"/>
  </r>
  <r>
    <n v="1885"/>
    <x v="1885"/>
    <n v="1984"/>
    <x v="3"/>
    <x v="0"/>
    <x v="0"/>
    <n v="52413"/>
    <x v="0"/>
    <n v="1"/>
    <n v="0"/>
    <x v="2"/>
    <d v="2012-11-03T00:00:00"/>
    <s v="12 years, 8 months"/>
    <n v="67"/>
    <n v="8"/>
    <n v="56"/>
    <n v="64"/>
    <n v="7"/>
    <n v="7"/>
    <n v="14"/>
  </r>
  <r>
    <n v="1886"/>
    <x v="1886"/>
    <n v="1957"/>
    <x v="0"/>
    <x v="1"/>
    <x v="2"/>
    <n v="44155"/>
    <x v="0"/>
    <n v="1"/>
    <n v="1"/>
    <x v="1"/>
    <d v="2014-01-19T00:00:00"/>
    <s v="11 years, 5 months"/>
    <n v="24"/>
    <n v="1"/>
    <n v="0"/>
    <n v="1"/>
    <n v="1"/>
    <n v="2"/>
    <n v="3"/>
  </r>
  <r>
    <n v="1887"/>
    <x v="1887"/>
    <n v="1971"/>
    <x v="6"/>
    <x v="1"/>
    <x v="3"/>
    <n v="86979"/>
    <x v="2"/>
    <n v="0"/>
    <n v="0"/>
    <x v="0"/>
    <d v="2013-11-07T00:00:00"/>
    <s v="11 years, 7 months"/>
    <n v="67"/>
    <n v="100"/>
    <n v="83"/>
    <n v="183"/>
    <n v="5"/>
    <n v="5"/>
    <n v="10"/>
  </r>
  <r>
    <n v="1888"/>
    <x v="1888"/>
    <n v="1975"/>
    <x v="28"/>
    <x v="0"/>
    <x v="1"/>
    <n v="76532"/>
    <x v="2"/>
    <n v="1"/>
    <n v="1"/>
    <x v="1"/>
    <d v="2013-09-09T00:00:00"/>
    <s v="11 years, 9 months"/>
    <n v="38"/>
    <n v="30"/>
    <n v="138"/>
    <n v="168"/>
    <n v="9"/>
    <n v="7"/>
    <n v="16"/>
  </r>
  <r>
    <n v="1889"/>
    <x v="1889"/>
    <n v="1982"/>
    <x v="18"/>
    <x v="0"/>
    <x v="2"/>
    <n v="42081"/>
    <x v="0"/>
    <n v="1"/>
    <n v="0"/>
    <x v="2"/>
    <d v="2013-02-26T00:00:00"/>
    <s v="12 years, 4 months"/>
    <n v="86"/>
    <n v="10"/>
    <n v="6"/>
    <n v="16"/>
    <n v="6"/>
    <n v="4"/>
    <n v="10"/>
  </r>
  <r>
    <n v="1890"/>
    <x v="1890"/>
    <n v="1988"/>
    <x v="36"/>
    <x v="1"/>
    <x v="2"/>
    <n v="67546"/>
    <x v="0"/>
    <n v="0"/>
    <n v="0"/>
    <x v="0"/>
    <d v="2012-08-31T00:00:00"/>
    <s v="12 years, 10 months"/>
    <n v="90"/>
    <n v="134"/>
    <n v="38"/>
    <n v="172"/>
    <n v="4"/>
    <n v="5"/>
    <n v="9"/>
  </r>
  <r>
    <n v="1891"/>
    <x v="1891"/>
    <n v="1989"/>
    <x v="23"/>
    <x v="2"/>
    <x v="1"/>
    <n v="88420"/>
    <x v="2"/>
    <n v="0"/>
    <n v="0"/>
    <x v="0"/>
    <d v="2014-05-02T00:00:00"/>
    <s v="11 years, 2 months"/>
    <n v="87"/>
    <n v="153"/>
    <n v="95"/>
    <n v="248"/>
    <n v="4"/>
    <n v="8"/>
    <n v="12"/>
  </r>
  <r>
    <n v="1892"/>
    <x v="1892"/>
    <n v="1985"/>
    <x v="7"/>
    <x v="0"/>
    <x v="2"/>
    <n v="31158"/>
    <x v="0"/>
    <n v="1"/>
    <n v="0"/>
    <x v="2"/>
    <d v="2013-01-27T00:00:00"/>
    <s v="12 years, 5 months"/>
    <n v="62"/>
    <n v="6"/>
    <n v="0"/>
    <n v="6"/>
    <n v="2"/>
    <n v="3"/>
    <n v="5"/>
  </r>
  <r>
    <n v="1893"/>
    <x v="1893"/>
    <n v="1968"/>
    <x v="30"/>
    <x v="0"/>
    <x v="3"/>
    <n v="61671"/>
    <x v="0"/>
    <n v="0"/>
    <n v="1"/>
    <x v="2"/>
    <d v="2014-06-03T00:00:00"/>
    <s v="11 years, 1 months"/>
    <n v="23"/>
    <n v="7"/>
    <n v="0"/>
    <n v="7"/>
    <n v="10"/>
    <n v="6"/>
    <n v="16"/>
  </r>
  <r>
    <n v="1894"/>
    <x v="1894"/>
    <n v="1974"/>
    <x v="8"/>
    <x v="0"/>
    <x v="0"/>
    <n v="69719"/>
    <x v="0"/>
    <n v="0"/>
    <n v="0"/>
    <x v="0"/>
    <d v="2014-05-26T00:00:00"/>
    <s v="11 years, 1 months"/>
    <n v="99"/>
    <n v="86"/>
    <n v="14"/>
    <n v="100"/>
    <n v="2"/>
    <n v="5"/>
    <n v="7"/>
  </r>
  <r>
    <n v="1895"/>
    <x v="1895"/>
    <n v="1949"/>
    <x v="17"/>
    <x v="0"/>
    <x v="3"/>
    <n v="49160"/>
    <x v="0"/>
    <n v="0"/>
    <n v="1"/>
    <x v="2"/>
    <d v="2013-10-20T00:00:00"/>
    <s v="11 years, 8 months"/>
    <n v="29"/>
    <n v="21"/>
    <n v="10"/>
    <n v="31"/>
    <n v="3"/>
    <n v="6"/>
    <n v="9"/>
  </r>
  <r>
    <n v="1896"/>
    <x v="1896"/>
    <n v="1978"/>
    <x v="33"/>
    <x v="3"/>
    <x v="1"/>
    <n v="24882"/>
    <x v="1"/>
    <n v="1"/>
    <n v="0"/>
    <x v="2"/>
    <d v="2012-09-09T00:00:00"/>
    <s v="12 years, 9 months"/>
    <n v="52"/>
    <n v="4"/>
    <n v="0"/>
    <n v="4"/>
    <n v="1"/>
    <n v="2"/>
    <n v="3"/>
  </r>
  <r>
    <n v="1897"/>
    <x v="1897"/>
    <n v="1954"/>
    <x v="1"/>
    <x v="1"/>
    <x v="0"/>
    <n v="90933"/>
    <x v="2"/>
    <n v="0"/>
    <n v="0"/>
    <x v="0"/>
    <d v="2014-03-31T00:00:00"/>
    <s v="11 years, 3 months"/>
    <n v="90"/>
    <n v="31"/>
    <n v="63"/>
    <n v="94"/>
    <n v="4"/>
    <n v="4"/>
    <n v="8"/>
  </r>
  <r>
    <n v="1898"/>
    <x v="1898"/>
    <n v="1945"/>
    <x v="41"/>
    <x v="1"/>
    <x v="0"/>
    <n v="113734"/>
    <x v="2"/>
    <n v="0"/>
    <n v="0"/>
    <x v="0"/>
    <d v="2014-05-28T00:00:00"/>
    <s v="11 years, 1 months"/>
    <n v="9"/>
    <n v="2"/>
    <n v="262"/>
    <n v="264"/>
    <n v="27"/>
    <n v="0"/>
    <n v="27"/>
  </r>
  <r>
    <n v="1899"/>
    <x v="1899"/>
    <n v="1950"/>
    <x v="9"/>
    <x v="1"/>
    <x v="1"/>
    <n v="59292"/>
    <x v="0"/>
    <n v="0"/>
    <n v="1"/>
    <x v="2"/>
    <d v="2013-06-13T00:00:00"/>
    <s v="12 years, 0 months"/>
    <n v="71"/>
    <n v="14"/>
    <n v="14"/>
    <n v="28"/>
    <n v="3"/>
    <n v="8"/>
    <n v="11"/>
  </r>
  <r>
    <n v="1900"/>
    <x v="1900"/>
    <n v="1964"/>
    <x v="31"/>
    <x v="1"/>
    <x v="2"/>
    <n v="45759"/>
    <x v="0"/>
    <n v="1"/>
    <n v="1"/>
    <x v="1"/>
    <d v="2013-02-23T00:00:00"/>
    <s v="12 years, 4 months"/>
    <n v="13"/>
    <n v="1"/>
    <n v="0"/>
    <n v="1"/>
    <n v="2"/>
    <n v="3"/>
    <n v="5"/>
  </r>
  <r>
    <n v="1901"/>
    <x v="1901"/>
    <n v="1983"/>
    <x v="10"/>
    <x v="0"/>
    <x v="0"/>
    <n v="22148"/>
    <x v="1"/>
    <n v="0"/>
    <n v="0"/>
    <x v="0"/>
    <d v="2014-04-13T00:00:00"/>
    <s v="11 years, 2 months"/>
    <n v="16"/>
    <n v="5"/>
    <n v="4"/>
    <n v="9"/>
    <n v="1"/>
    <n v="3"/>
    <n v="4"/>
  </r>
  <r>
    <n v="1902"/>
    <x v="1902"/>
    <n v="1987"/>
    <x v="14"/>
    <x v="2"/>
    <x v="2"/>
    <n v="73395"/>
    <x v="0"/>
    <n v="0"/>
    <n v="0"/>
    <x v="0"/>
    <d v="2014-03-18T00:00:00"/>
    <s v="11 years, 3 months"/>
    <n v="94"/>
    <n v="7"/>
    <n v="7"/>
    <n v="14"/>
    <n v="4"/>
    <n v="6"/>
    <n v="10"/>
  </r>
  <r>
    <n v="1903"/>
    <x v="1903"/>
    <n v="1971"/>
    <x v="6"/>
    <x v="0"/>
    <x v="3"/>
    <n v="29819"/>
    <x v="0"/>
    <n v="1"/>
    <n v="0"/>
    <x v="2"/>
    <d v="2013-10-24T00:00:00"/>
    <s v="11 years, 8 months"/>
    <n v="77"/>
    <n v="1"/>
    <n v="1"/>
    <n v="2"/>
    <n v="3"/>
    <n v="3"/>
    <n v="6"/>
  </r>
  <r>
    <n v="1904"/>
    <x v="1904"/>
    <n v="1968"/>
    <x v="30"/>
    <x v="0"/>
    <x v="2"/>
    <n v="45688"/>
    <x v="0"/>
    <n v="0"/>
    <n v="1"/>
    <x v="2"/>
    <d v="2014-01-25T00:00:00"/>
    <s v="11 years, 5 months"/>
    <n v="20"/>
    <n v="0"/>
    <n v="0"/>
    <n v="0"/>
    <n v="3"/>
    <n v="8"/>
    <n v="11"/>
  </r>
  <r>
    <n v="1905"/>
    <x v="1905"/>
    <n v="1954"/>
    <x v="1"/>
    <x v="0"/>
    <x v="2"/>
    <n v="62820"/>
    <x v="0"/>
    <n v="0"/>
    <n v="0"/>
    <x v="0"/>
    <d v="2013-05-11T00:00:00"/>
    <s v="12 years, 1 months"/>
    <n v="51"/>
    <n v="61"/>
    <n v="61"/>
    <n v="122"/>
    <n v="3"/>
    <n v="6"/>
    <n v="9"/>
  </r>
  <r>
    <n v="1906"/>
    <x v="1906"/>
    <n v="1971"/>
    <x v="6"/>
    <x v="1"/>
    <x v="2"/>
    <n v="60491"/>
    <x v="0"/>
    <n v="0"/>
    <n v="1"/>
    <x v="2"/>
    <d v="2013-09-06T00:00:00"/>
    <s v="11 years, 10 months"/>
    <n v="81"/>
    <n v="47"/>
    <n v="19"/>
    <n v="66"/>
    <n v="6"/>
    <n v="7"/>
    <n v="13"/>
  </r>
  <r>
    <n v="1907"/>
    <x v="1907"/>
    <n v="1986"/>
    <x v="22"/>
    <x v="0"/>
    <x v="1"/>
    <n v="33235"/>
    <x v="0"/>
    <n v="1"/>
    <n v="0"/>
    <x v="2"/>
    <d v="2014-02-05T00:00:00"/>
    <s v="11 years, 5 months"/>
    <n v="71"/>
    <n v="0"/>
    <n v="1"/>
    <n v="1"/>
    <n v="3"/>
    <n v="3"/>
    <n v="6"/>
  </r>
  <r>
    <n v="1908"/>
    <x v="1908"/>
    <n v="1959"/>
    <x v="12"/>
    <x v="0"/>
    <x v="2"/>
    <n v="35701"/>
    <x v="0"/>
    <n v="0"/>
    <n v="0"/>
    <x v="0"/>
    <d v="2013-03-19T00:00:00"/>
    <s v="12 years, 3 months"/>
    <n v="36"/>
    <n v="1"/>
    <n v="3"/>
    <n v="4"/>
    <n v="1"/>
    <n v="3"/>
    <n v="4"/>
  </r>
  <r>
    <n v="1909"/>
    <x v="1909"/>
    <n v="1980"/>
    <x v="16"/>
    <x v="2"/>
    <x v="2"/>
    <n v="31535"/>
    <x v="0"/>
    <n v="1"/>
    <n v="0"/>
    <x v="2"/>
    <d v="2013-09-26T00:00:00"/>
    <s v="11 years, 9 months"/>
    <n v="95"/>
    <n v="4"/>
    <n v="0"/>
    <n v="4"/>
    <n v="1"/>
    <n v="2"/>
    <n v="3"/>
  </r>
  <r>
    <n v="1910"/>
    <x v="1910"/>
    <n v="1960"/>
    <x v="40"/>
    <x v="4"/>
    <x v="1"/>
    <n v="92556"/>
    <x v="2"/>
    <n v="0"/>
    <n v="0"/>
    <x v="0"/>
    <d v="2014-04-20T00:00:00"/>
    <s v="11 years, 2 months"/>
    <n v="32"/>
    <n v="183"/>
    <n v="23"/>
    <n v="206"/>
    <n v="3"/>
    <n v="13"/>
    <n v="16"/>
  </r>
  <r>
    <n v="1911"/>
    <x v="1911"/>
    <n v="1970"/>
    <x v="25"/>
    <x v="0"/>
    <x v="0"/>
    <n v="67384"/>
    <x v="0"/>
    <n v="0"/>
    <n v="1"/>
    <x v="2"/>
    <d v="2012-11-10T00:00:00"/>
    <s v="12 years, 7 months"/>
    <n v="32"/>
    <n v="40"/>
    <n v="53"/>
    <n v="93"/>
    <n v="7"/>
    <n v="5"/>
    <n v="12"/>
  </r>
  <r>
    <n v="1912"/>
    <x v="1912"/>
    <n v="1971"/>
    <x v="6"/>
    <x v="2"/>
    <x v="1"/>
    <n v="80573"/>
    <x v="2"/>
    <n v="0"/>
    <n v="0"/>
    <x v="0"/>
    <d v="2012-10-14T00:00:00"/>
    <s v="12 years, 8 months"/>
    <n v="85"/>
    <n v="138"/>
    <n v="92"/>
    <n v="230"/>
    <n v="4"/>
    <n v="13"/>
    <n v="17"/>
  </r>
  <r>
    <n v="1913"/>
    <x v="1913"/>
    <n v="1967"/>
    <x v="5"/>
    <x v="0"/>
    <x v="2"/>
    <n v="77870"/>
    <x v="2"/>
    <n v="0"/>
    <n v="1"/>
    <x v="2"/>
    <d v="2012-08-22T00:00:00"/>
    <s v="12 years, 10 months"/>
    <n v="93"/>
    <n v="50"/>
    <n v="50"/>
    <n v="100"/>
    <n v="5"/>
    <n v="5"/>
    <n v="10"/>
  </r>
  <r>
    <n v="1914"/>
    <x v="1914"/>
    <n v="1963"/>
    <x v="24"/>
    <x v="1"/>
    <x v="4"/>
    <n v="52278"/>
    <x v="0"/>
    <n v="0"/>
    <n v="1"/>
    <x v="2"/>
    <d v="2013-01-25T00:00:00"/>
    <s v="12 years, 5 months"/>
    <n v="24"/>
    <n v="0"/>
    <n v="0"/>
    <n v="0"/>
    <n v="10"/>
    <n v="10"/>
    <n v="20"/>
  </r>
  <r>
    <n v="1915"/>
    <x v="1915"/>
    <n v="1968"/>
    <x v="30"/>
    <x v="0"/>
    <x v="0"/>
    <n v="57107"/>
    <x v="0"/>
    <n v="0"/>
    <n v="1"/>
    <x v="2"/>
    <d v="2012-08-24T00:00:00"/>
    <s v="12 years, 10 months"/>
    <n v="44"/>
    <n v="0"/>
    <n v="0"/>
    <n v="0"/>
    <n v="4"/>
    <n v="8"/>
    <n v="12"/>
  </r>
  <r>
    <n v="1916"/>
    <x v="1916"/>
    <n v="1990"/>
    <x v="50"/>
    <x v="0"/>
    <x v="2"/>
    <n v="18929"/>
    <x v="1"/>
    <n v="0"/>
    <n v="0"/>
    <x v="0"/>
    <d v="2013-02-16T00:00:00"/>
    <s v="12 years, 4 months"/>
    <n v="15"/>
    <n v="0"/>
    <n v="4"/>
    <n v="4"/>
    <n v="1"/>
    <n v="4"/>
    <n v="5"/>
  </r>
  <r>
    <n v="1917"/>
    <x v="1917"/>
    <n v="1981"/>
    <x v="4"/>
    <x v="1"/>
    <x v="0"/>
    <n v="36038"/>
    <x v="0"/>
    <n v="1"/>
    <n v="0"/>
    <x v="2"/>
    <d v="2013-05-31T00:00:00"/>
    <s v="12 years, 1 months"/>
    <n v="82"/>
    <n v="0"/>
    <n v="2"/>
    <n v="2"/>
    <n v="3"/>
    <n v="3"/>
    <n v="6"/>
  </r>
  <r>
    <n v="1918"/>
    <x v="1918"/>
    <n v="1976"/>
    <x v="11"/>
    <x v="0"/>
    <x v="0"/>
    <n v="20180"/>
    <x v="1"/>
    <n v="0"/>
    <n v="0"/>
    <x v="0"/>
    <d v="2013-02-20T00:00:00"/>
    <s v="12 years, 4 months"/>
    <n v="27"/>
    <n v="42"/>
    <n v="20"/>
    <n v="62"/>
    <n v="2"/>
    <n v="4"/>
    <n v="6"/>
  </r>
  <r>
    <n v="1919"/>
    <x v="1919"/>
    <n v="1965"/>
    <x v="2"/>
    <x v="1"/>
    <x v="1"/>
    <n v="34230"/>
    <x v="0"/>
    <n v="1"/>
    <n v="1"/>
    <x v="1"/>
    <d v="2012-12-26T00:00:00"/>
    <s v="12 years, 6 months"/>
    <n v="72"/>
    <n v="0"/>
    <n v="0"/>
    <n v="0"/>
    <n v="1"/>
    <n v="2"/>
    <n v="3"/>
  </r>
  <r>
    <n v="1920"/>
    <x v="1920"/>
    <n v="1977"/>
    <x v="32"/>
    <x v="4"/>
    <x v="0"/>
    <n v="31878"/>
    <x v="0"/>
    <n v="0"/>
    <n v="1"/>
    <x v="2"/>
    <d v="2014-06-22T00:00:00"/>
    <s v="11 years, 0 months"/>
    <n v="7"/>
    <n v="4"/>
    <n v="5"/>
    <n v="9"/>
    <n v="1"/>
    <n v="4"/>
    <n v="5"/>
  </r>
  <r>
    <n v="1921"/>
    <x v="1921"/>
    <n v="1972"/>
    <x v="39"/>
    <x v="4"/>
    <x v="2"/>
    <n v="70932"/>
    <x v="0"/>
    <n v="0"/>
    <n v="1"/>
    <x v="2"/>
    <d v="2014-01-19T00:00:00"/>
    <s v="11 years, 5 months"/>
    <n v="57"/>
    <n v="193"/>
    <n v="185"/>
    <n v="378"/>
    <n v="6"/>
    <n v="12"/>
    <n v="18"/>
  </r>
  <r>
    <n v="1922"/>
    <x v="1922"/>
    <n v="1956"/>
    <x v="46"/>
    <x v="0"/>
    <x v="0"/>
    <n v="91249"/>
    <x v="2"/>
    <n v="0"/>
    <n v="0"/>
    <x v="0"/>
    <d v="2012-10-20T00:00:00"/>
    <s v="12 years, 8 months"/>
    <n v="84"/>
    <n v="27"/>
    <n v="108"/>
    <n v="135"/>
    <n v="7"/>
    <n v="6"/>
    <n v="13"/>
  </r>
  <r>
    <n v="1923"/>
    <x v="1923"/>
    <n v="1943"/>
    <x v="27"/>
    <x v="2"/>
    <x v="0"/>
    <n v="77598"/>
    <x v="2"/>
    <n v="0"/>
    <n v="0"/>
    <x v="0"/>
    <d v="2013-10-01T00:00:00"/>
    <s v="11 years, 9 months"/>
    <n v="53"/>
    <n v="33"/>
    <n v="66"/>
    <n v="99"/>
    <n v="7"/>
    <n v="13"/>
    <n v="20"/>
  </r>
  <r>
    <n v="1924"/>
    <x v="1924"/>
    <n v="1959"/>
    <x v="12"/>
    <x v="0"/>
    <x v="0"/>
    <n v="80982"/>
    <x v="2"/>
    <n v="1"/>
    <n v="1"/>
    <x v="1"/>
    <d v="2013-01-08T00:00:00"/>
    <s v="12 years, 5 months"/>
    <n v="48"/>
    <n v="137"/>
    <n v="22"/>
    <n v="159"/>
    <n v="11"/>
    <n v="11"/>
    <n v="22"/>
  </r>
  <r>
    <n v="1925"/>
    <x v="1925"/>
    <n v="1977"/>
    <x v="32"/>
    <x v="2"/>
    <x v="2"/>
    <n v="22701"/>
    <x v="1"/>
    <n v="1"/>
    <n v="0"/>
    <x v="2"/>
    <d v="2013-09-05T00:00:00"/>
    <s v="11 years, 10 months"/>
    <n v="2"/>
    <n v="4"/>
    <n v="4"/>
    <n v="8"/>
    <n v="1"/>
    <n v="3"/>
    <n v="4"/>
  </r>
  <r>
    <n v="1926"/>
    <x v="1926"/>
    <n v="1969"/>
    <x v="21"/>
    <x v="1"/>
    <x v="2"/>
    <n v="55212"/>
    <x v="0"/>
    <n v="0"/>
    <n v="1"/>
    <x v="2"/>
    <d v="2012-11-23T00:00:00"/>
    <s v="12 years, 7 months"/>
    <n v="65"/>
    <n v="0"/>
    <n v="0"/>
    <n v="0"/>
    <n v="4"/>
    <n v="11"/>
    <n v="15"/>
  </r>
  <r>
    <n v="1927"/>
    <x v="1927"/>
    <n v="1970"/>
    <x v="25"/>
    <x v="0"/>
    <x v="2"/>
    <n v="70617"/>
    <x v="0"/>
    <n v="0"/>
    <n v="0"/>
    <x v="0"/>
    <d v="2013-06-23T00:00:00"/>
    <s v="12 years, 0 months"/>
    <n v="45"/>
    <n v="61"/>
    <n v="46"/>
    <n v="107"/>
    <n v="3"/>
    <n v="7"/>
    <n v="10"/>
  </r>
  <r>
    <n v="1928"/>
    <x v="1928"/>
    <n v="1957"/>
    <x v="0"/>
    <x v="0"/>
    <x v="0"/>
    <n v="64849"/>
    <x v="0"/>
    <n v="0"/>
    <n v="0"/>
    <x v="0"/>
    <d v="2012-11-13T00:00:00"/>
    <s v="12 years, 7 months"/>
    <n v="42"/>
    <n v="48"/>
    <n v="84"/>
    <n v="132"/>
    <n v="9"/>
    <n v="6"/>
    <n v="15"/>
  </r>
  <r>
    <n v="1929"/>
    <x v="1929"/>
    <n v="1965"/>
    <x v="2"/>
    <x v="2"/>
    <x v="2"/>
    <n v="62694"/>
    <x v="0"/>
    <n v="1"/>
    <n v="1"/>
    <x v="1"/>
    <d v="2013-06-17T00:00:00"/>
    <s v="12 years, 0 months"/>
    <n v="29"/>
    <n v="6"/>
    <n v="91"/>
    <n v="97"/>
    <n v="9"/>
    <n v="7"/>
    <n v="16"/>
  </r>
  <r>
    <n v="1930"/>
    <x v="1930"/>
    <n v="1974"/>
    <x v="8"/>
    <x v="1"/>
    <x v="2"/>
    <n v="61917"/>
    <x v="0"/>
    <n v="1"/>
    <n v="1"/>
    <x v="1"/>
    <d v="2013-11-20T00:00:00"/>
    <s v="11 years, 7 months"/>
    <n v="83"/>
    <n v="4"/>
    <n v="2"/>
    <n v="6"/>
    <n v="2"/>
    <n v="4"/>
    <n v="6"/>
  </r>
  <r>
    <n v="1931"/>
    <x v="1931"/>
    <n v="1947"/>
    <x v="51"/>
    <x v="1"/>
    <x v="2"/>
    <n v="67472"/>
    <x v="0"/>
    <n v="0"/>
    <n v="1"/>
    <x v="2"/>
    <d v="2013-09-28T00:00:00"/>
    <s v="11 years, 9 months"/>
    <n v="93"/>
    <n v="31"/>
    <n v="17"/>
    <n v="48"/>
    <n v="4"/>
    <n v="7"/>
    <n v="11"/>
  </r>
  <r>
    <n v="1932"/>
    <x v="1932"/>
    <n v="1982"/>
    <x v="18"/>
    <x v="2"/>
    <x v="2"/>
    <n v="21059"/>
    <x v="1"/>
    <n v="1"/>
    <n v="0"/>
    <x v="2"/>
    <d v="2014-01-07T00:00:00"/>
    <s v="11 years, 5 months"/>
    <n v="40"/>
    <n v="3"/>
    <n v="3"/>
    <n v="6"/>
    <n v="3"/>
    <n v="3"/>
    <n v="6"/>
  </r>
  <r>
    <n v="1933"/>
    <x v="1933"/>
    <n v="1968"/>
    <x v="30"/>
    <x v="2"/>
    <x v="2"/>
    <n v="29543"/>
    <x v="0"/>
    <n v="2"/>
    <n v="0"/>
    <x v="1"/>
    <d v="2014-04-01T00:00:00"/>
    <s v="11 years, 3 months"/>
    <n v="47"/>
    <n v="3"/>
    <n v="4"/>
    <n v="7"/>
    <n v="3"/>
    <n v="2"/>
    <n v="5"/>
  </r>
  <r>
    <n v="1934"/>
    <x v="1934"/>
    <n v="1951"/>
    <x v="20"/>
    <x v="0"/>
    <x v="2"/>
    <n v="75903"/>
    <x v="2"/>
    <n v="0"/>
    <n v="1"/>
    <x v="2"/>
    <d v="2013-04-08T00:00:00"/>
    <s v="12 years, 2 months"/>
    <n v="50"/>
    <n v="108"/>
    <n v="38"/>
    <n v="146"/>
    <n v="6"/>
    <n v="9"/>
    <n v="15"/>
  </r>
  <r>
    <n v="1935"/>
    <x v="1935"/>
    <n v="1975"/>
    <x v="28"/>
    <x v="4"/>
    <x v="1"/>
    <n v="34984"/>
    <x v="0"/>
    <n v="1"/>
    <n v="1"/>
    <x v="1"/>
    <d v="2012-09-06T00:00:00"/>
    <s v="12 years, 10 months"/>
    <n v="40"/>
    <n v="4"/>
    <n v="5"/>
    <n v="9"/>
    <n v="1"/>
    <n v="3"/>
    <n v="4"/>
  </r>
  <r>
    <n v="1936"/>
    <x v="1936"/>
    <n v="1956"/>
    <x v="46"/>
    <x v="1"/>
    <x v="0"/>
    <n v="54998"/>
    <x v="0"/>
    <n v="0"/>
    <n v="1"/>
    <x v="2"/>
    <d v="2013-03-10T00:00:00"/>
    <s v="12 years, 3 months"/>
    <n v="3"/>
    <n v="22"/>
    <n v="30"/>
    <n v="52"/>
    <n v="4"/>
    <n v="9"/>
    <n v="13"/>
  </r>
  <r>
    <n v="1937"/>
    <x v="1937"/>
    <n v="1949"/>
    <x v="17"/>
    <x v="1"/>
    <x v="4"/>
    <n v="54356"/>
    <x v="0"/>
    <n v="0"/>
    <n v="1"/>
    <x v="2"/>
    <d v="2012-11-19T00:00:00"/>
    <s v="12 years, 7 months"/>
    <n v="62"/>
    <n v="15"/>
    <n v="0"/>
    <n v="15"/>
    <n v="11"/>
    <n v="8"/>
    <n v="19"/>
  </r>
  <r>
    <n v="1938"/>
    <x v="1938"/>
    <n v="1959"/>
    <x v="12"/>
    <x v="2"/>
    <x v="2"/>
    <n v="34242"/>
    <x v="0"/>
    <n v="0"/>
    <n v="1"/>
    <x v="2"/>
    <d v="2014-03-23T00:00:00"/>
    <s v="11 years, 3 months"/>
    <n v="25"/>
    <n v="2"/>
    <n v="0"/>
    <n v="2"/>
    <n v="0"/>
    <n v="3"/>
    <n v="3"/>
  </r>
  <r>
    <n v="1939"/>
    <x v="1939"/>
    <n v="1973"/>
    <x v="26"/>
    <x v="0"/>
    <x v="2"/>
    <n v="25410"/>
    <x v="0"/>
    <n v="1"/>
    <n v="0"/>
    <x v="2"/>
    <d v="2013-08-31T00:00:00"/>
    <s v="11 years, 10 months"/>
    <n v="48"/>
    <n v="2"/>
    <n v="13"/>
    <n v="15"/>
    <n v="1"/>
    <n v="4"/>
    <n v="5"/>
  </r>
  <r>
    <n v="1940"/>
    <x v="1940"/>
    <n v="1984"/>
    <x v="3"/>
    <x v="1"/>
    <x v="2"/>
    <n v="73356"/>
    <x v="0"/>
    <n v="0"/>
    <n v="0"/>
    <x v="0"/>
    <d v="2014-02-06T00:00:00"/>
    <s v="11 years, 5 months"/>
    <n v="56"/>
    <n v="14"/>
    <n v="14"/>
    <n v="28"/>
    <n v="5"/>
    <n v="5"/>
    <n v="10"/>
  </r>
  <r>
    <n v="1941"/>
    <x v="1941"/>
    <n v="1950"/>
    <x v="9"/>
    <x v="0"/>
    <x v="1"/>
    <n v="28320"/>
    <x v="0"/>
    <n v="0"/>
    <n v="1"/>
    <x v="2"/>
    <d v="2013-01-14T00:00:00"/>
    <s v="12 years, 5 months"/>
    <n v="68"/>
    <n v="1"/>
    <n v="2"/>
    <n v="3"/>
    <n v="1"/>
    <n v="3"/>
    <n v="4"/>
  </r>
  <r>
    <n v="1942"/>
    <x v="1942"/>
    <n v="1977"/>
    <x v="32"/>
    <x v="0"/>
    <x v="0"/>
    <n v="23763"/>
    <x v="1"/>
    <n v="1"/>
    <n v="0"/>
    <x v="2"/>
    <d v="2012-08-07T00:00:00"/>
    <s v="12 years, 10 months"/>
    <n v="64"/>
    <n v="0"/>
    <n v="2"/>
    <n v="2"/>
    <n v="1"/>
    <n v="3"/>
    <n v="4"/>
  </r>
  <r>
    <n v="1943"/>
    <x v="1943"/>
    <n v="1984"/>
    <x v="3"/>
    <x v="0"/>
    <x v="2"/>
    <n v="72570"/>
    <x v="0"/>
    <n v="0"/>
    <n v="0"/>
    <x v="0"/>
    <d v="2014-04-25T00:00:00"/>
    <s v="11 years, 2 months"/>
    <n v="67"/>
    <n v="83"/>
    <n v="141"/>
    <n v="224"/>
    <n v="4"/>
    <n v="12"/>
    <n v="16"/>
  </r>
  <r>
    <n v="1944"/>
    <x v="1944"/>
    <n v="1976"/>
    <x v="11"/>
    <x v="2"/>
    <x v="2"/>
    <n v="34529"/>
    <x v="0"/>
    <n v="1"/>
    <n v="0"/>
    <x v="2"/>
    <d v="2012-09-14T00:00:00"/>
    <s v="12 years, 9 months"/>
    <n v="94"/>
    <n v="6"/>
    <n v="6"/>
    <n v="12"/>
    <n v="2"/>
    <n v="3"/>
    <n v="5"/>
  </r>
  <r>
    <n v="1945"/>
    <x v="1945"/>
    <n v="1951"/>
    <x v="20"/>
    <x v="0"/>
    <x v="4"/>
    <n v="70792"/>
    <x v="0"/>
    <n v="0"/>
    <n v="0"/>
    <x v="0"/>
    <d v="2013-02-06T00:00:00"/>
    <s v="12 years, 5 months"/>
    <n v="82"/>
    <n v="45"/>
    <n v="11"/>
    <n v="56"/>
    <n v="3"/>
    <n v="10"/>
    <n v="13"/>
  </r>
  <r>
    <n v="1946"/>
    <x v="1946"/>
    <n v="1982"/>
    <x v="18"/>
    <x v="0"/>
    <x v="2"/>
    <n v="63211"/>
    <x v="0"/>
    <n v="0"/>
    <n v="0"/>
    <x v="0"/>
    <d v="2012-11-02T00:00:00"/>
    <s v="12 years, 8 months"/>
    <n v="3"/>
    <n v="193"/>
    <n v="26"/>
    <n v="219"/>
    <n v="3"/>
    <n v="7"/>
    <n v="10"/>
  </r>
  <r>
    <n v="1947"/>
    <x v="1947"/>
    <n v="1974"/>
    <x v="8"/>
    <x v="2"/>
    <x v="2"/>
    <n v="83891"/>
    <x v="2"/>
    <n v="0"/>
    <n v="1"/>
    <x v="2"/>
    <d v="2014-06-20T00:00:00"/>
    <s v="11 years, 0 months"/>
    <n v="24"/>
    <n v="38"/>
    <n v="85"/>
    <n v="123"/>
    <n v="4"/>
    <n v="10"/>
    <n v="14"/>
  </r>
  <r>
    <n v="1948"/>
    <x v="1948"/>
    <n v="1968"/>
    <x v="30"/>
    <x v="0"/>
    <x v="0"/>
    <n v="36065"/>
    <x v="0"/>
    <n v="1"/>
    <n v="1"/>
    <x v="1"/>
    <d v="2013-03-31T00:00:00"/>
    <s v="12 years, 3 months"/>
    <n v="54"/>
    <n v="7"/>
    <n v="2"/>
    <n v="9"/>
    <n v="3"/>
    <n v="3"/>
    <n v="6"/>
  </r>
  <r>
    <n v="1949"/>
    <x v="1949"/>
    <n v="1954"/>
    <x v="1"/>
    <x v="0"/>
    <x v="1"/>
    <n v="39898"/>
    <x v="0"/>
    <n v="0"/>
    <n v="1"/>
    <x v="2"/>
    <d v="2013-02-12T00:00:00"/>
    <s v="12 years, 4 months"/>
    <n v="20"/>
    <n v="8"/>
    <n v="7"/>
    <n v="15"/>
    <n v="3"/>
    <n v="4"/>
    <n v="7"/>
  </r>
  <r>
    <n v="1950"/>
    <x v="1950"/>
    <n v="1940"/>
    <x v="58"/>
    <x v="1"/>
    <x v="0"/>
    <n v="51141"/>
    <x v="0"/>
    <n v="0"/>
    <n v="0"/>
    <x v="0"/>
    <d v="2013-07-08T00:00:00"/>
    <s v="11 years, 11 months"/>
    <n v="96"/>
    <n v="0"/>
    <n v="0"/>
    <n v="0"/>
    <n v="3"/>
    <n v="4"/>
    <n v="7"/>
  </r>
  <r>
    <n v="1951"/>
    <x v="1951"/>
    <n v="1976"/>
    <x v="11"/>
    <x v="0"/>
    <x v="2"/>
    <n v="56939"/>
    <x v="0"/>
    <n v="0"/>
    <n v="1"/>
    <x v="2"/>
    <d v="2013-09-18T00:00:00"/>
    <s v="11 years, 9 months"/>
    <n v="19"/>
    <n v="34"/>
    <n v="29"/>
    <n v="63"/>
    <n v="3"/>
    <n v="10"/>
    <n v="13"/>
  </r>
  <r>
    <n v="1952"/>
    <x v="1952"/>
    <n v="1951"/>
    <x v="20"/>
    <x v="0"/>
    <x v="0"/>
    <n v="80872"/>
    <x v="2"/>
    <n v="0"/>
    <n v="0"/>
    <x v="0"/>
    <d v="2014-05-12T00:00:00"/>
    <s v="11 years, 1 months"/>
    <n v="60"/>
    <n v="72"/>
    <n v="12"/>
    <n v="84"/>
    <n v="4"/>
    <n v="10"/>
    <n v="14"/>
  </r>
  <r>
    <n v="1953"/>
    <x v="1953"/>
    <n v="1976"/>
    <x v="11"/>
    <x v="1"/>
    <x v="1"/>
    <n v="72335"/>
    <x v="0"/>
    <n v="0"/>
    <n v="0"/>
    <x v="0"/>
    <d v="2012-08-13T00:00:00"/>
    <s v="12 years, 10 months"/>
    <n v="2"/>
    <n v="105"/>
    <n v="21"/>
    <n v="126"/>
    <n v="10"/>
    <n v="8"/>
    <n v="18"/>
  </r>
  <r>
    <n v="1954"/>
    <x v="1954"/>
    <n v="1964"/>
    <x v="31"/>
    <x v="1"/>
    <x v="0"/>
    <n v="61798"/>
    <x v="0"/>
    <n v="0"/>
    <n v="0"/>
    <x v="0"/>
    <d v="2013-11-23T00:00:00"/>
    <s v="11 years, 7 months"/>
    <n v="13"/>
    <n v="4"/>
    <n v="8"/>
    <n v="12"/>
    <n v="4"/>
    <n v="9"/>
    <n v="13"/>
  </r>
  <r>
    <n v="1955"/>
    <x v="1955"/>
    <n v="1950"/>
    <x v="9"/>
    <x v="1"/>
    <x v="4"/>
    <n v="76842"/>
    <x v="2"/>
    <n v="0"/>
    <n v="0"/>
    <x v="0"/>
    <d v="2014-05-03T00:00:00"/>
    <s v="11 years, 2 months"/>
    <n v="37"/>
    <n v="10"/>
    <n v="54"/>
    <n v="64"/>
    <n v="1"/>
    <n v="7"/>
    <n v="8"/>
  </r>
  <r>
    <n v="1956"/>
    <x v="1956"/>
    <n v="1976"/>
    <x v="11"/>
    <x v="0"/>
    <x v="1"/>
    <n v="29478"/>
    <x v="0"/>
    <n v="1"/>
    <n v="0"/>
    <x v="2"/>
    <d v="2014-01-17T00:00:00"/>
    <s v="11 years, 5 months"/>
    <n v="59"/>
    <n v="0"/>
    <n v="1"/>
    <n v="1"/>
    <n v="1"/>
    <n v="3"/>
    <n v="4"/>
  </r>
  <r>
    <n v="1957"/>
    <x v="1957"/>
    <n v="1956"/>
    <x v="46"/>
    <x v="0"/>
    <x v="0"/>
    <n v="46998"/>
    <x v="0"/>
    <n v="0"/>
    <n v="1"/>
    <x v="2"/>
    <d v="2012-10-22T00:00:00"/>
    <s v="12 years, 8 months"/>
    <n v="55"/>
    <n v="41"/>
    <n v="6"/>
    <n v="47"/>
    <n v="5"/>
    <n v="5"/>
    <n v="10"/>
  </r>
  <r>
    <n v="1958"/>
    <x v="1958"/>
    <n v="1990"/>
    <x v="50"/>
    <x v="0"/>
    <x v="0"/>
    <n v="96843"/>
    <x v="2"/>
    <n v="0"/>
    <n v="0"/>
    <x v="0"/>
    <d v="2013-04-23T00:00:00"/>
    <s v="12 years, 2 months"/>
    <n v="60"/>
    <n v="71"/>
    <n v="17"/>
    <n v="88"/>
    <n v="6"/>
    <n v="10"/>
    <n v="16"/>
  </r>
  <r>
    <n v="1959"/>
    <x v="1959"/>
    <n v="1950"/>
    <x v="9"/>
    <x v="1"/>
    <x v="4"/>
    <n v="56551"/>
    <x v="0"/>
    <n v="1"/>
    <n v="1"/>
    <x v="1"/>
    <d v="2014-05-07T00:00:00"/>
    <s v="11 years, 1 months"/>
    <n v="48"/>
    <n v="4"/>
    <n v="2"/>
    <n v="6"/>
    <n v="2"/>
    <n v="4"/>
    <n v="6"/>
  </r>
  <r>
    <n v="1960"/>
    <x v="1960"/>
    <n v="1965"/>
    <x v="2"/>
    <x v="2"/>
    <x v="2"/>
    <n v="70053"/>
    <x v="0"/>
    <n v="0"/>
    <n v="1"/>
    <x v="2"/>
    <d v="2013-07-03T00:00:00"/>
    <s v="12 years, 0 months"/>
    <n v="38"/>
    <n v="53"/>
    <n v="179"/>
    <n v="232"/>
    <n v="8"/>
    <n v="10"/>
    <n v="18"/>
  </r>
  <r>
    <n v="1961"/>
    <x v="1961"/>
    <n v="1962"/>
    <x v="43"/>
    <x v="1"/>
    <x v="4"/>
    <n v="71670"/>
    <x v="0"/>
    <n v="0"/>
    <n v="0"/>
    <x v="0"/>
    <d v="2013-07-09T00:00:00"/>
    <s v="11 years, 11 months"/>
    <n v="8"/>
    <n v="16"/>
    <n v="0"/>
    <n v="16"/>
    <n v="5"/>
    <n v="6"/>
    <n v="11"/>
  </r>
  <r>
    <n v="1962"/>
    <x v="1962"/>
    <n v="1978"/>
    <x v="33"/>
    <x v="0"/>
    <x v="2"/>
    <n v="44359"/>
    <x v="0"/>
    <n v="1"/>
    <n v="1"/>
    <x v="1"/>
    <d v="2014-06-17T00:00:00"/>
    <s v="11 years, 0 months"/>
    <n v="19"/>
    <n v="0"/>
    <n v="3"/>
    <n v="3"/>
    <n v="2"/>
    <n v="4"/>
    <n v="6"/>
  </r>
  <r>
    <n v="1963"/>
    <x v="1963"/>
    <n v="1952"/>
    <x v="13"/>
    <x v="0"/>
    <x v="0"/>
    <n v="40887"/>
    <x v="0"/>
    <n v="1"/>
    <n v="1"/>
    <x v="1"/>
    <d v="2013-05-06T00:00:00"/>
    <s v="12 years, 2 months"/>
    <n v="32"/>
    <n v="4"/>
    <n v="10"/>
    <n v="14"/>
    <n v="3"/>
    <n v="3"/>
    <n v="6"/>
  </r>
  <r>
    <n v="1964"/>
    <x v="1964"/>
    <n v="1966"/>
    <x v="35"/>
    <x v="0"/>
    <x v="3"/>
    <n v="48877"/>
    <x v="0"/>
    <n v="0"/>
    <n v="1"/>
    <x v="2"/>
    <d v="2014-01-05T00:00:00"/>
    <s v="11 years, 6 months"/>
    <n v="27"/>
    <n v="1"/>
    <n v="0"/>
    <n v="1"/>
    <n v="3"/>
    <n v="4"/>
    <n v="7"/>
  </r>
  <r>
    <n v="1965"/>
    <x v="1965"/>
    <n v="1947"/>
    <x v="51"/>
    <x v="0"/>
    <x v="1"/>
    <n v="74485"/>
    <x v="0"/>
    <n v="0"/>
    <n v="0"/>
    <x v="0"/>
    <d v="2013-08-24T00:00:00"/>
    <s v="11 years, 10 months"/>
    <n v="58"/>
    <n v="149"/>
    <n v="49"/>
    <n v="198"/>
    <n v="6"/>
    <n v="12"/>
    <n v="18"/>
  </r>
  <r>
    <n v="1966"/>
    <x v="1966"/>
    <n v="1972"/>
    <x v="39"/>
    <x v="0"/>
    <x v="1"/>
    <n v="64474"/>
    <x v="0"/>
    <n v="0"/>
    <n v="1"/>
    <x v="2"/>
    <d v="2013-10-22T00:00:00"/>
    <s v="11 years, 8 months"/>
    <n v="59"/>
    <n v="35"/>
    <n v="86"/>
    <n v="121"/>
    <n v="8"/>
    <n v="10"/>
    <n v="18"/>
  </r>
  <r>
    <n v="1967"/>
    <x v="1967"/>
    <n v="1963"/>
    <x v="24"/>
    <x v="0"/>
    <x v="1"/>
    <n v="77226"/>
    <x v="2"/>
    <n v="0"/>
    <n v="1"/>
    <x v="2"/>
    <d v="2014-02-28T00:00:00"/>
    <s v="11 years, 4 months"/>
    <n v="29"/>
    <n v="43"/>
    <n v="76"/>
    <n v="119"/>
    <n v="6"/>
    <n v="12"/>
    <n v="18"/>
  </r>
  <r>
    <n v="1968"/>
    <x v="1968"/>
    <n v="1949"/>
    <x v="17"/>
    <x v="0"/>
    <x v="4"/>
    <n v="72643"/>
    <x v="0"/>
    <n v="0"/>
    <n v="0"/>
    <x v="0"/>
    <d v="2013-02-27T00:00:00"/>
    <s v="12 years, 4 months"/>
    <n v="60"/>
    <n v="80"/>
    <n v="94"/>
    <n v="174"/>
    <n v="3"/>
    <n v="7"/>
    <n v="10"/>
  </r>
  <r>
    <n v="1969"/>
    <x v="1969"/>
    <n v="1978"/>
    <x v="33"/>
    <x v="2"/>
    <x v="1"/>
    <n v="85738"/>
    <x v="2"/>
    <n v="0"/>
    <n v="0"/>
    <x v="0"/>
    <d v="2014-01-23T00:00:00"/>
    <s v="11 years, 5 months"/>
    <n v="41"/>
    <n v="26"/>
    <n v="26"/>
    <n v="52"/>
    <n v="3"/>
    <n v="11"/>
    <n v="14"/>
  </r>
  <r>
    <n v="1970"/>
    <x v="1970"/>
    <n v="1966"/>
    <x v="35"/>
    <x v="0"/>
    <x v="3"/>
    <n v="55686"/>
    <x v="0"/>
    <n v="0"/>
    <n v="1"/>
    <x v="2"/>
    <d v="2013-02-14T00:00:00"/>
    <s v="12 years, 4 months"/>
    <n v="27"/>
    <n v="0"/>
    <n v="47"/>
    <n v="47"/>
    <n v="6"/>
    <n v="5"/>
    <n v="11"/>
  </r>
  <r>
    <n v="1971"/>
    <x v="1971"/>
    <n v="1983"/>
    <x v="10"/>
    <x v="0"/>
    <x v="0"/>
    <n v="39062"/>
    <x v="0"/>
    <n v="1"/>
    <n v="0"/>
    <x v="2"/>
    <d v="2014-03-25T00:00:00"/>
    <s v="11 years, 3 months"/>
    <n v="28"/>
    <n v="0"/>
    <n v="0"/>
    <n v="0"/>
    <n v="1"/>
    <n v="3"/>
    <n v="4"/>
  </r>
  <r>
    <n v="1972"/>
    <x v="1972"/>
    <n v="1971"/>
    <x v="6"/>
    <x v="0"/>
    <x v="1"/>
    <n v="34600"/>
    <x v="0"/>
    <n v="1"/>
    <n v="1"/>
    <x v="1"/>
    <d v="2013-01-01T00:00:00"/>
    <s v="12 years, 6 months"/>
    <n v="8"/>
    <n v="33"/>
    <n v="3"/>
    <n v="36"/>
    <n v="5"/>
    <n v="5"/>
    <n v="10"/>
  </r>
  <r>
    <n v="1973"/>
    <x v="1973"/>
    <n v="1975"/>
    <x v="28"/>
    <x v="0"/>
    <x v="2"/>
    <n v="40794"/>
    <x v="0"/>
    <n v="0"/>
    <n v="1"/>
    <x v="2"/>
    <d v="2013-04-07T00:00:00"/>
    <s v="12 years, 2 months"/>
    <n v="18"/>
    <n v="23"/>
    <n v="23"/>
    <n v="46"/>
    <n v="6"/>
    <n v="5"/>
    <n v="11"/>
  </r>
  <r>
    <n v="1974"/>
    <x v="1974"/>
    <n v="1971"/>
    <x v="6"/>
    <x v="4"/>
    <x v="2"/>
    <n v="54690"/>
    <x v="0"/>
    <n v="1"/>
    <n v="1"/>
    <x v="1"/>
    <d v="2013-11-07T00:00:00"/>
    <s v="11 years, 7 months"/>
    <n v="76"/>
    <n v="16"/>
    <n v="9"/>
    <n v="25"/>
    <n v="3"/>
    <n v="5"/>
    <n v="8"/>
  </r>
  <r>
    <n v="1975"/>
    <x v="1975"/>
    <n v="1969"/>
    <x v="21"/>
    <x v="0"/>
    <x v="2"/>
    <n v="4428"/>
    <x v="1"/>
    <n v="0"/>
    <n v="1"/>
    <x v="2"/>
    <d v="2013-10-05T00:00:00"/>
    <s v="11 years, 9 months"/>
    <n v="0"/>
    <n v="4"/>
    <n v="4"/>
    <n v="8"/>
    <n v="25"/>
    <n v="0"/>
    <n v="25"/>
  </r>
  <r>
    <n v="1976"/>
    <x v="1976"/>
    <n v="1963"/>
    <x v="24"/>
    <x v="4"/>
    <x v="2"/>
    <n v="32632"/>
    <x v="0"/>
    <n v="0"/>
    <n v="0"/>
    <x v="0"/>
    <d v="2012-08-02T00:00:00"/>
    <s v="12 years, 11 months"/>
    <n v="32"/>
    <n v="151"/>
    <n v="19"/>
    <n v="170"/>
    <n v="4"/>
    <n v="8"/>
    <n v="12"/>
  </r>
  <r>
    <n v="1977"/>
    <x v="1977"/>
    <n v="1968"/>
    <x v="30"/>
    <x v="1"/>
    <x v="0"/>
    <n v="38236"/>
    <x v="0"/>
    <n v="1"/>
    <n v="1"/>
    <x v="1"/>
    <d v="2013-09-20T00:00:00"/>
    <s v="11 years, 9 months"/>
    <n v="2"/>
    <n v="0"/>
    <n v="0"/>
    <n v="0"/>
    <n v="3"/>
    <n v="4"/>
    <n v="7"/>
  </r>
  <r>
    <n v="1978"/>
    <x v="1978"/>
    <n v="1979"/>
    <x v="19"/>
    <x v="0"/>
    <x v="2"/>
    <n v="36781"/>
    <x v="0"/>
    <n v="1"/>
    <n v="0"/>
    <x v="2"/>
    <d v="2014-04-10T00:00:00"/>
    <s v="11 years, 2 months"/>
    <n v="16"/>
    <n v="1"/>
    <n v="3"/>
    <n v="4"/>
    <n v="2"/>
    <n v="2"/>
    <n v="4"/>
  </r>
  <r>
    <n v="1979"/>
    <x v="1979"/>
    <n v="1984"/>
    <x v="3"/>
    <x v="2"/>
    <x v="0"/>
    <n v="31385"/>
    <x v="0"/>
    <n v="1"/>
    <n v="0"/>
    <x v="2"/>
    <d v="2012-12-05T00:00:00"/>
    <s v="12 years, 7 months"/>
    <n v="56"/>
    <n v="2"/>
    <n v="1"/>
    <n v="3"/>
    <n v="1"/>
    <n v="2"/>
    <n v="3"/>
  </r>
  <r>
    <n v="1980"/>
    <x v="1980"/>
    <n v="1984"/>
    <x v="3"/>
    <x v="0"/>
    <x v="2"/>
    <n v="24570"/>
    <x v="1"/>
    <n v="1"/>
    <n v="0"/>
    <x v="2"/>
    <d v="2013-02-27T00:00:00"/>
    <s v="12 years, 4 months"/>
    <n v="97"/>
    <n v="34"/>
    <n v="14"/>
    <n v="48"/>
    <n v="4"/>
    <n v="4"/>
    <n v="8"/>
  </r>
  <r>
    <n v="1981"/>
    <x v="1981"/>
    <n v="1974"/>
    <x v="8"/>
    <x v="1"/>
    <x v="3"/>
    <n v="25509"/>
    <x v="0"/>
    <n v="1"/>
    <n v="0"/>
    <x v="2"/>
    <d v="2012-09-18T00:00:00"/>
    <s v="12 years, 9 months"/>
    <n v="15"/>
    <n v="3"/>
    <n v="7"/>
    <n v="10"/>
    <n v="3"/>
    <n v="3"/>
    <n v="6"/>
  </r>
  <r>
    <n v="1982"/>
    <x v="1982"/>
    <n v="1951"/>
    <x v="20"/>
    <x v="0"/>
    <x v="2"/>
    <n v="94642"/>
    <x v="2"/>
    <n v="0"/>
    <n v="0"/>
    <x v="0"/>
    <d v="2014-02-12T00:00:00"/>
    <s v="11 years, 4 months"/>
    <n v="35"/>
    <n v="143"/>
    <n v="143"/>
    <n v="286"/>
    <n v="5"/>
    <n v="9"/>
    <n v="14"/>
  </r>
  <r>
    <n v="1983"/>
    <x v="1983"/>
    <n v="1962"/>
    <x v="43"/>
    <x v="2"/>
    <x v="2"/>
    <n v="58646"/>
    <x v="0"/>
    <n v="0"/>
    <n v="1"/>
    <x v="2"/>
    <d v="2013-06-10T00:00:00"/>
    <s v="12 years, 0 months"/>
    <n v="3"/>
    <n v="1"/>
    <n v="5"/>
    <n v="6"/>
    <n v="2"/>
    <n v="4"/>
    <n v="6"/>
  </r>
  <r>
    <n v="1984"/>
    <x v="1984"/>
    <n v="1975"/>
    <x v="28"/>
    <x v="0"/>
    <x v="0"/>
    <n v="53201"/>
    <x v="0"/>
    <n v="1"/>
    <n v="1"/>
    <x v="1"/>
    <d v="2013-02-12T00:00:00"/>
    <s v="12 years, 4 months"/>
    <n v="49"/>
    <n v="7"/>
    <n v="0"/>
    <n v="7"/>
    <n v="6"/>
    <n v="5"/>
    <n v="11"/>
  </r>
  <r>
    <n v="1985"/>
    <x v="1985"/>
    <n v="1957"/>
    <x v="0"/>
    <x v="0"/>
    <x v="1"/>
    <n v="21994"/>
    <x v="1"/>
    <n v="0"/>
    <n v="1"/>
    <x v="2"/>
    <d v="2012-12-24T00:00:00"/>
    <s v="12 years, 6 months"/>
    <n v="4"/>
    <n v="0"/>
    <n v="1"/>
    <n v="1"/>
    <n v="0"/>
    <n v="3"/>
    <n v="3"/>
  </r>
  <r>
    <n v="1986"/>
    <x v="1986"/>
    <n v="1978"/>
    <x v="33"/>
    <x v="0"/>
    <x v="2"/>
    <n v="57113"/>
    <x v="0"/>
    <n v="1"/>
    <n v="1"/>
    <x v="1"/>
    <d v="2013-02-06T00:00:00"/>
    <s v="12 years, 5 months"/>
    <n v="45"/>
    <n v="4"/>
    <n v="2"/>
    <n v="6"/>
    <n v="4"/>
    <n v="5"/>
    <n v="9"/>
  </r>
  <r>
    <n v="1987"/>
    <x v="1987"/>
    <n v="1991"/>
    <x v="42"/>
    <x v="0"/>
    <x v="2"/>
    <n v="51373"/>
    <x v="0"/>
    <n v="0"/>
    <n v="0"/>
    <x v="0"/>
    <d v="2013-06-22T00:00:00"/>
    <s v="12 years, 0 months"/>
    <n v="37"/>
    <n v="2"/>
    <n v="26"/>
    <n v="28"/>
    <n v="3"/>
    <n v="3"/>
    <n v="6"/>
  </r>
  <r>
    <n v="1988"/>
    <x v="1988"/>
    <n v="1986"/>
    <x v="22"/>
    <x v="0"/>
    <x v="2"/>
    <n v="23477"/>
    <x v="1"/>
    <n v="1"/>
    <n v="0"/>
    <x v="2"/>
    <d v="2013-10-21T00:00:00"/>
    <s v="11 years, 8 months"/>
    <n v="39"/>
    <n v="15"/>
    <n v="8"/>
    <n v="23"/>
    <n v="3"/>
    <n v="4"/>
    <n v="7"/>
  </r>
  <r>
    <n v="1989"/>
    <x v="1989"/>
    <n v="1956"/>
    <x v="46"/>
    <x v="0"/>
    <x v="2"/>
    <n v="58116"/>
    <x v="0"/>
    <n v="0"/>
    <n v="1"/>
    <x v="2"/>
    <d v="2014-04-13T00:00:00"/>
    <s v="11 years, 2 months"/>
    <n v="38"/>
    <n v="19"/>
    <n v="11"/>
    <n v="30"/>
    <n v="3"/>
    <n v="8"/>
    <n v="11"/>
  </r>
  <r>
    <n v="1990"/>
    <x v="1990"/>
    <n v="1963"/>
    <x v="24"/>
    <x v="1"/>
    <x v="3"/>
    <n v="72968"/>
    <x v="0"/>
    <n v="0"/>
    <n v="0"/>
    <x v="0"/>
    <d v="2013-12-16T00:00:00"/>
    <s v="11 years, 6 months"/>
    <n v="8"/>
    <n v="37"/>
    <n v="37"/>
    <n v="74"/>
    <n v="5"/>
    <n v="8"/>
    <n v="13"/>
  </r>
  <r>
    <n v="1991"/>
    <x v="1991"/>
    <n v="1971"/>
    <x v="6"/>
    <x v="2"/>
    <x v="2"/>
    <n v="39791"/>
    <x v="0"/>
    <n v="0"/>
    <n v="1"/>
    <x v="2"/>
    <d v="2013-03-28T00:00:00"/>
    <s v="12 years, 3 months"/>
    <n v="89"/>
    <n v="15"/>
    <n v="13"/>
    <n v="28"/>
    <n v="3"/>
    <n v="4"/>
    <n v="7"/>
  </r>
  <r>
    <n v="1992"/>
    <x v="1992"/>
    <n v="1947"/>
    <x v="51"/>
    <x v="2"/>
    <x v="0"/>
    <n v="91712"/>
    <x v="2"/>
    <n v="0"/>
    <n v="0"/>
    <x v="0"/>
    <d v="2013-10-17T00:00:00"/>
    <s v="11 years, 8 months"/>
    <n v="47"/>
    <n v="24"/>
    <n v="29"/>
    <n v="53"/>
    <n v="9"/>
    <n v="11"/>
    <n v="20"/>
  </r>
  <r>
    <n v="1993"/>
    <x v="1993"/>
    <n v="1958"/>
    <x v="38"/>
    <x v="0"/>
    <x v="0"/>
    <n v="94472"/>
    <x v="2"/>
    <n v="0"/>
    <n v="1"/>
    <x v="2"/>
    <d v="2014-04-03T00:00:00"/>
    <s v="11 years, 3 months"/>
    <n v="75"/>
    <n v="33"/>
    <n v="100"/>
    <n v="133"/>
    <n v="5"/>
    <n v="5"/>
    <n v="10"/>
  </r>
  <r>
    <n v="1994"/>
    <x v="1994"/>
    <n v="1960"/>
    <x v="40"/>
    <x v="0"/>
    <x v="1"/>
    <n v="13672"/>
    <x v="1"/>
    <n v="1"/>
    <n v="1"/>
    <x v="1"/>
    <d v="2013-04-17T00:00:00"/>
    <s v="12 years, 2 months"/>
    <n v="86"/>
    <n v="2"/>
    <n v="1"/>
    <n v="3"/>
    <n v="1"/>
    <n v="3"/>
    <n v="4"/>
  </r>
  <r>
    <n v="1995"/>
    <x v="1995"/>
    <n v="1980"/>
    <x v="16"/>
    <x v="4"/>
    <x v="2"/>
    <n v="96547"/>
    <x v="2"/>
    <n v="0"/>
    <n v="0"/>
    <x v="0"/>
    <d v="2014-05-23T00:00:00"/>
    <s v="11 years, 1 months"/>
    <n v="4"/>
    <n v="21"/>
    <n v="101"/>
    <n v="122"/>
    <n v="7"/>
    <n v="8"/>
    <n v="15"/>
  </r>
  <r>
    <n v="1996"/>
    <x v="1996"/>
    <n v="1975"/>
    <x v="28"/>
    <x v="0"/>
    <x v="2"/>
    <n v="79205"/>
    <x v="2"/>
    <n v="0"/>
    <n v="0"/>
    <x v="0"/>
    <d v="2012-08-29T00:00:00"/>
    <s v="12 years, 10 months"/>
    <n v="73"/>
    <n v="23"/>
    <n v="28"/>
    <n v="51"/>
    <n v="6"/>
    <n v="4"/>
    <n v="10"/>
  </r>
  <r>
    <n v="1997"/>
    <x v="1997"/>
    <n v="1975"/>
    <x v="28"/>
    <x v="1"/>
    <x v="1"/>
    <n v="56559"/>
    <x v="0"/>
    <n v="0"/>
    <n v="1"/>
    <x v="2"/>
    <d v="2012-12-25T00:00:00"/>
    <s v="12 years, 6 months"/>
    <n v="46"/>
    <n v="22"/>
    <n v="31"/>
    <n v="53"/>
    <n v="4"/>
    <n v="8"/>
    <n v="12"/>
  </r>
  <r>
    <n v="1998"/>
    <x v="1998"/>
    <n v="1973"/>
    <x v="26"/>
    <x v="1"/>
    <x v="2"/>
    <n v="32644"/>
    <x v="0"/>
    <n v="1"/>
    <n v="0"/>
    <x v="2"/>
    <d v="2013-01-16T00:00:00"/>
    <s v="12 years, 5 months"/>
    <n v="38"/>
    <n v="3"/>
    <n v="7"/>
    <n v="10"/>
    <n v="7"/>
    <n v="6"/>
    <n v="13"/>
  </r>
  <r>
    <n v="1999"/>
    <x v="1999"/>
    <n v="1980"/>
    <x v="16"/>
    <x v="4"/>
    <x v="0"/>
    <n v="67506"/>
    <x v="0"/>
    <n v="0"/>
    <n v="1"/>
    <x v="2"/>
    <d v="2014-01-02T00:00:00"/>
    <s v="11 years, 6 months"/>
    <n v="73"/>
    <n v="38"/>
    <n v="36"/>
    <n v="74"/>
    <n v="4"/>
    <n v="6"/>
    <n v="10"/>
  </r>
  <r>
    <n v="2000"/>
    <x v="2000"/>
    <n v="1970"/>
    <x v="25"/>
    <x v="0"/>
    <x v="0"/>
    <n v="24206"/>
    <x v="1"/>
    <n v="1"/>
    <n v="0"/>
    <x v="2"/>
    <d v="2013-03-08T00:00:00"/>
    <s v="12 years, 3 months"/>
    <n v="66"/>
    <n v="2"/>
    <n v="2"/>
    <n v="4"/>
    <n v="1"/>
    <n v="3"/>
    <n v="4"/>
  </r>
  <r>
    <n v="2001"/>
    <x v="2001"/>
    <n v="1967"/>
    <x v="5"/>
    <x v="1"/>
    <x v="3"/>
    <n v="28420"/>
    <x v="0"/>
    <n v="1"/>
    <n v="0"/>
    <x v="2"/>
    <d v="2013-12-24T00:00:00"/>
    <s v="11 years, 6 months"/>
    <n v="36"/>
    <n v="2"/>
    <n v="0"/>
    <n v="2"/>
    <n v="1"/>
    <n v="2"/>
    <n v="3"/>
  </r>
  <r>
    <n v="2002"/>
    <x v="2002"/>
    <n v="1970"/>
    <x v="25"/>
    <x v="0"/>
    <x v="2"/>
    <n v="22979"/>
    <x v="1"/>
    <n v="1"/>
    <n v="0"/>
    <x v="2"/>
    <d v="2012-09-06T00:00:00"/>
    <s v="12 years, 10 months"/>
    <n v="29"/>
    <n v="17"/>
    <n v="21"/>
    <n v="38"/>
    <n v="3"/>
    <n v="2"/>
    <n v="5"/>
  </r>
  <r>
    <n v="2003"/>
    <x v="2003"/>
    <n v="1966"/>
    <x v="35"/>
    <x v="0"/>
    <x v="0"/>
    <n v="33279"/>
    <x v="0"/>
    <n v="0"/>
    <n v="0"/>
    <x v="0"/>
    <d v="2014-06-12T00:00:00"/>
    <s v="11 years, 0 months"/>
    <n v="29"/>
    <n v="3"/>
    <n v="0"/>
    <n v="3"/>
    <n v="0"/>
    <n v="3"/>
    <n v="3"/>
  </r>
  <r>
    <n v="2004"/>
    <x v="2004"/>
    <n v="1972"/>
    <x v="39"/>
    <x v="2"/>
    <x v="0"/>
    <n v="46423"/>
    <x v="0"/>
    <n v="1"/>
    <n v="1"/>
    <x v="1"/>
    <d v="2013-09-18T00:00:00"/>
    <s v="11 years, 9 months"/>
    <n v="6"/>
    <n v="0"/>
    <n v="0"/>
    <n v="0"/>
    <n v="2"/>
    <n v="4"/>
    <n v="6"/>
  </r>
  <r>
    <n v="2005"/>
    <x v="2005"/>
    <n v="1977"/>
    <x v="32"/>
    <x v="0"/>
    <x v="2"/>
    <n v="30368"/>
    <x v="0"/>
    <n v="0"/>
    <n v="1"/>
    <x v="2"/>
    <d v="2013-11-07T00:00:00"/>
    <s v="11 years, 7 months"/>
    <n v="97"/>
    <n v="0"/>
    <n v="0"/>
    <n v="0"/>
    <n v="2"/>
    <n v="3"/>
    <n v="5"/>
  </r>
  <r>
    <n v="2006"/>
    <x v="2006"/>
    <n v="1970"/>
    <x v="25"/>
    <x v="0"/>
    <x v="2"/>
    <n v="63684"/>
    <x v="0"/>
    <n v="0"/>
    <n v="1"/>
    <x v="2"/>
    <d v="2012-11-26T00:00:00"/>
    <s v="12 years, 7 months"/>
    <n v="61"/>
    <n v="80"/>
    <n v="93"/>
    <n v="173"/>
    <n v="8"/>
    <n v="8"/>
    <n v="16"/>
  </r>
  <r>
    <n v="2007"/>
    <x v="2007"/>
    <n v="1964"/>
    <x v="31"/>
    <x v="0"/>
    <x v="3"/>
    <n v="41638"/>
    <x v="0"/>
    <n v="0"/>
    <n v="1"/>
    <x v="2"/>
    <d v="2013-02-13T00:00:00"/>
    <s v="12 years, 4 months"/>
    <n v="68"/>
    <n v="0"/>
    <n v="0"/>
    <n v="0"/>
    <n v="5"/>
    <n v="3"/>
    <n v="8"/>
  </r>
  <r>
    <n v="2008"/>
    <x v="2008"/>
    <n v="1959"/>
    <x v="12"/>
    <x v="1"/>
    <x v="3"/>
    <n v="68805"/>
    <x v="0"/>
    <n v="0"/>
    <n v="1"/>
    <x v="2"/>
    <d v="2013-09-17T00:00:00"/>
    <s v="11 years, 9 months"/>
    <n v="73"/>
    <n v="2"/>
    <n v="13"/>
    <n v="15"/>
    <n v="3"/>
    <n v="7"/>
    <n v="10"/>
  </r>
  <r>
    <n v="2009"/>
    <x v="2009"/>
    <n v="1966"/>
    <x v="35"/>
    <x v="1"/>
    <x v="1"/>
    <n v="65814"/>
    <x v="0"/>
    <n v="0"/>
    <n v="1"/>
    <x v="2"/>
    <d v="2014-03-02T00:00:00"/>
    <s v="11 years, 4 months"/>
    <n v="90"/>
    <n v="14"/>
    <n v="14"/>
    <n v="28"/>
    <n v="8"/>
    <n v="10"/>
    <n v="18"/>
  </r>
  <r>
    <n v="2010"/>
    <x v="2010"/>
    <n v="1958"/>
    <x v="38"/>
    <x v="0"/>
    <x v="3"/>
    <n v="71964"/>
    <x v="0"/>
    <n v="0"/>
    <n v="0"/>
    <x v="0"/>
    <d v="2013-05-20T00:00:00"/>
    <s v="12 years, 1 months"/>
    <n v="81"/>
    <n v="51"/>
    <n v="34"/>
    <n v="85"/>
    <n v="5"/>
    <n v="5"/>
    <n v="10"/>
  </r>
  <r>
    <n v="2011"/>
    <x v="2011"/>
    <n v="1986"/>
    <x v="22"/>
    <x v="0"/>
    <x v="0"/>
    <n v="39146"/>
    <x v="0"/>
    <n v="1"/>
    <n v="0"/>
    <x v="2"/>
    <d v="2013-02-14T00:00:00"/>
    <s v="12 years, 4 months"/>
    <n v="1"/>
    <n v="1"/>
    <n v="12"/>
    <n v="13"/>
    <n v="4"/>
    <n v="4"/>
    <n v="8"/>
  </r>
  <r>
    <n v="2012"/>
    <x v="2012"/>
    <n v="1977"/>
    <x v="32"/>
    <x v="0"/>
    <x v="1"/>
    <n v="96876"/>
    <x v="2"/>
    <n v="0"/>
    <n v="0"/>
    <x v="0"/>
    <d v="2013-08-06T00:00:00"/>
    <s v="11 years, 11 months"/>
    <n v="79"/>
    <n v="43"/>
    <n v="194"/>
    <n v="237"/>
    <n v="7"/>
    <n v="9"/>
    <n v="16"/>
  </r>
  <r>
    <n v="2013"/>
    <x v="2013"/>
    <n v="1981"/>
    <x v="4"/>
    <x v="3"/>
    <x v="2"/>
    <n v="34445"/>
    <x v="0"/>
    <n v="0"/>
    <n v="0"/>
    <x v="0"/>
    <d v="2013-01-27T00:00:00"/>
    <s v="12 years, 5 months"/>
    <n v="92"/>
    <n v="122"/>
    <n v="129"/>
    <n v="251"/>
    <n v="11"/>
    <n v="8"/>
    <n v="19"/>
  </r>
  <r>
    <n v="2014"/>
    <x v="2014"/>
    <n v="1958"/>
    <x v="38"/>
    <x v="0"/>
    <x v="0"/>
    <n v="68281"/>
    <x v="0"/>
    <n v="0"/>
    <n v="0"/>
    <x v="0"/>
    <d v="2012-08-07T00:00:00"/>
    <s v="12 years, 10 months"/>
    <n v="31"/>
    <n v="112"/>
    <n v="48"/>
    <n v="160"/>
    <n v="2"/>
    <n v="13"/>
    <n v="15"/>
  </r>
  <r>
    <n v="2015"/>
    <x v="2015"/>
    <n v="1975"/>
    <x v="28"/>
    <x v="4"/>
    <x v="2"/>
    <n v="37284"/>
    <x v="0"/>
    <n v="1"/>
    <n v="1"/>
    <x v="1"/>
    <d v="2013-03-29T00:00:00"/>
    <s v="12 years, 3 months"/>
    <n v="46"/>
    <n v="1"/>
    <n v="1"/>
    <n v="2"/>
    <n v="0"/>
    <n v="3"/>
    <n v="3"/>
  </r>
  <r>
    <n v="2016"/>
    <x v="2016"/>
    <n v="1983"/>
    <x v="10"/>
    <x v="0"/>
    <x v="2"/>
    <n v="36790"/>
    <x v="0"/>
    <n v="0"/>
    <n v="0"/>
    <x v="0"/>
    <d v="2013-03-01T00:00:00"/>
    <s v="12 years, 4 months"/>
    <n v="14"/>
    <n v="3"/>
    <n v="21"/>
    <n v="24"/>
    <n v="2"/>
    <n v="2"/>
    <n v="4"/>
  </r>
  <r>
    <n v="2017"/>
    <x v="2017"/>
    <n v="1967"/>
    <x v="5"/>
    <x v="0"/>
    <x v="1"/>
    <n v="27943"/>
    <x v="0"/>
    <n v="1"/>
    <n v="1"/>
    <x v="1"/>
    <d v="2013-04-15T00:00:00"/>
    <s v="12 years, 2 months"/>
    <n v="89"/>
    <n v="1"/>
    <n v="1"/>
    <n v="2"/>
    <n v="2"/>
    <n v="3"/>
    <n v="5"/>
  </r>
  <r>
    <n v="2018"/>
    <x v="2018"/>
    <n v="1951"/>
    <x v="20"/>
    <x v="0"/>
    <x v="3"/>
    <n v="22263"/>
    <x v="1"/>
    <n v="1"/>
    <n v="1"/>
    <x v="1"/>
    <d v="2014-03-30T00:00:00"/>
    <s v="11 years, 3 months"/>
    <n v="31"/>
    <n v="0"/>
    <n v="0"/>
    <n v="0"/>
    <n v="1"/>
    <n v="3"/>
    <n v="4"/>
  </r>
  <r>
    <n v="2019"/>
    <x v="2019"/>
    <n v="1972"/>
    <x v="39"/>
    <x v="0"/>
    <x v="1"/>
    <n v="30261"/>
    <x v="0"/>
    <n v="1"/>
    <n v="2"/>
    <x v="3"/>
    <d v="2012-09-25T00:00:00"/>
    <s v="12 years, 9 months"/>
    <n v="75"/>
    <n v="0"/>
    <n v="3"/>
    <n v="3"/>
    <n v="0"/>
    <n v="3"/>
    <n v="3"/>
  </r>
  <r>
    <n v="2020"/>
    <x v="2020"/>
    <n v="1978"/>
    <x v="33"/>
    <x v="0"/>
    <x v="1"/>
    <n v="28587"/>
    <x v="0"/>
    <n v="1"/>
    <n v="0"/>
    <x v="2"/>
    <d v="2014-02-12T00:00:00"/>
    <s v="11 years, 4 months"/>
    <n v="42"/>
    <n v="4"/>
    <n v="10"/>
    <n v="14"/>
    <n v="2"/>
    <n v="4"/>
    <n v="6"/>
  </r>
  <r>
    <n v="2021"/>
    <x v="2021"/>
    <n v="1982"/>
    <x v="18"/>
    <x v="2"/>
    <x v="2"/>
    <n v="43815"/>
    <x v="0"/>
    <n v="1"/>
    <n v="0"/>
    <x v="2"/>
    <d v="2013-04-05T00:00:00"/>
    <s v="12 years, 3 months"/>
    <n v="53"/>
    <n v="10"/>
    <n v="7"/>
    <n v="17"/>
    <n v="2"/>
    <n v="3"/>
    <n v="5"/>
  </r>
  <r>
    <n v="2022"/>
    <x v="2022"/>
    <n v="1956"/>
    <x v="46"/>
    <x v="0"/>
    <x v="2"/>
    <n v="48195"/>
    <x v="0"/>
    <n v="1"/>
    <n v="1"/>
    <x v="1"/>
    <d v="2014-01-21T00:00:00"/>
    <s v="11 years, 5 months"/>
    <n v="53"/>
    <n v="27"/>
    <n v="7"/>
    <n v="34"/>
    <n v="4"/>
    <n v="5"/>
    <n v="9"/>
  </r>
  <r>
    <n v="2023"/>
    <x v="2023"/>
    <n v="1952"/>
    <x v="13"/>
    <x v="2"/>
    <x v="2"/>
    <n v="77027"/>
    <x v="2"/>
    <n v="0"/>
    <n v="1"/>
    <x v="2"/>
    <d v="2014-02-05T00:00:00"/>
    <s v="11 years, 5 months"/>
    <n v="23"/>
    <n v="57"/>
    <n v="0"/>
    <n v="57"/>
    <n v="8"/>
    <n v="6"/>
    <n v="14"/>
  </r>
  <r>
    <n v="2024"/>
    <x v="2024"/>
    <n v="1965"/>
    <x v="2"/>
    <x v="1"/>
    <x v="2"/>
    <n v="71322"/>
    <x v="0"/>
    <n v="0"/>
    <n v="1"/>
    <x v="2"/>
    <d v="2013-02-16T00:00:00"/>
    <s v="12 years, 4 months"/>
    <n v="57"/>
    <n v="43"/>
    <n v="10"/>
    <n v="53"/>
    <n v="8"/>
    <n v="13"/>
    <n v="21"/>
  </r>
  <r>
    <n v="2025"/>
    <x v="2025"/>
    <n v="1979"/>
    <x v="19"/>
    <x v="2"/>
    <x v="2"/>
    <n v="32765"/>
    <x v="0"/>
    <n v="1"/>
    <n v="0"/>
    <x v="2"/>
    <d v="2014-02-23T00:00:00"/>
    <s v="11 years, 4 months"/>
    <n v="49"/>
    <n v="3"/>
    <n v="3"/>
    <n v="6"/>
    <n v="2"/>
    <n v="4"/>
    <n v="6"/>
  </r>
  <r>
    <n v="2026"/>
    <x v="2026"/>
    <n v="1965"/>
    <x v="2"/>
    <x v="0"/>
    <x v="1"/>
    <n v="29672"/>
    <x v="0"/>
    <n v="1"/>
    <n v="1"/>
    <x v="1"/>
    <d v="2013-03-12T00:00:00"/>
    <s v="12 years, 3 months"/>
    <n v="6"/>
    <n v="1"/>
    <n v="4"/>
    <n v="5"/>
    <n v="0"/>
    <n v="3"/>
    <n v="3"/>
  </r>
  <r>
    <n v="2027"/>
    <x v="2027"/>
    <n v="1953"/>
    <x v="44"/>
    <x v="0"/>
    <x v="3"/>
    <n v="23272"/>
    <x v="1"/>
    <n v="0"/>
    <n v="0"/>
    <x v="0"/>
    <d v="2013-10-17T00:00:00"/>
    <s v="11 years, 8 months"/>
    <n v="29"/>
    <n v="3"/>
    <n v="2"/>
    <n v="5"/>
    <n v="1"/>
    <n v="3"/>
    <n v="4"/>
  </r>
  <r>
    <n v="2028"/>
    <x v="2028"/>
    <n v="1949"/>
    <x v="17"/>
    <x v="2"/>
    <x v="1"/>
    <n v="49912"/>
    <x v="0"/>
    <n v="0"/>
    <n v="1"/>
    <x v="2"/>
    <d v="2012-09-07T00:00:00"/>
    <s v="12 years, 9 months"/>
    <n v="5"/>
    <n v="8"/>
    <n v="49"/>
    <n v="57"/>
    <n v="10"/>
    <n v="7"/>
    <n v="17"/>
  </r>
  <r>
    <n v="2029"/>
    <x v="2029"/>
    <n v="1985"/>
    <x v="7"/>
    <x v="4"/>
    <x v="1"/>
    <n v="7500"/>
    <x v="1"/>
    <n v="1"/>
    <n v="0"/>
    <x v="2"/>
    <d v="2012-08-01T00:00:00"/>
    <s v="12 years, 11 months"/>
    <n v="98"/>
    <n v="17"/>
    <n v="14"/>
    <n v="31"/>
    <n v="2"/>
    <n v="3"/>
    <n v="5"/>
  </r>
  <r>
    <n v="2030"/>
    <x v="2030"/>
    <n v="1947"/>
    <x v="51"/>
    <x v="1"/>
    <x v="4"/>
    <n v="68117"/>
    <x v="0"/>
    <n v="0"/>
    <n v="1"/>
    <x v="2"/>
    <d v="2013-03-10T00:00:00"/>
    <s v="12 years, 3 months"/>
    <n v="80"/>
    <n v="44"/>
    <n v="17"/>
    <n v="61"/>
    <n v="11"/>
    <n v="4"/>
    <n v="15"/>
  </r>
  <r>
    <n v="2031"/>
    <x v="2031"/>
    <n v="1955"/>
    <x v="34"/>
    <x v="0"/>
    <x v="2"/>
    <n v="67225"/>
    <x v="0"/>
    <n v="0"/>
    <n v="1"/>
    <x v="2"/>
    <d v="2013-11-26T00:00:00"/>
    <s v="11 years, 7 months"/>
    <n v="4"/>
    <n v="35"/>
    <n v="7"/>
    <n v="42"/>
    <n v="7"/>
    <n v="11"/>
    <n v="18"/>
  </r>
  <r>
    <n v="2032"/>
    <x v="2032"/>
    <n v="1976"/>
    <x v="11"/>
    <x v="0"/>
    <x v="2"/>
    <n v="17649"/>
    <x v="1"/>
    <n v="1"/>
    <n v="0"/>
    <x v="2"/>
    <d v="2013-11-12T00:00:00"/>
    <s v="11 years, 7 months"/>
    <n v="70"/>
    <n v="1"/>
    <n v="5"/>
    <n v="6"/>
    <n v="3"/>
    <n v="3"/>
    <n v="6"/>
  </r>
  <r>
    <n v="2033"/>
    <x v="2033"/>
    <n v="1975"/>
    <x v="28"/>
    <x v="0"/>
    <x v="1"/>
    <n v="55914"/>
    <x v="0"/>
    <n v="0"/>
    <n v="1"/>
    <x v="2"/>
    <d v="2013-04-29T00:00:00"/>
    <s v="12 years, 2 months"/>
    <n v="32"/>
    <n v="60"/>
    <n v="101"/>
    <n v="161"/>
    <n v="11"/>
    <n v="8"/>
    <n v="19"/>
  </r>
  <r>
    <n v="2034"/>
    <x v="2034"/>
    <n v="1984"/>
    <x v="3"/>
    <x v="0"/>
    <x v="2"/>
    <n v="40059"/>
    <x v="0"/>
    <n v="1"/>
    <n v="0"/>
    <x v="2"/>
    <d v="2013-09-28T00:00:00"/>
    <s v="11 years, 9 months"/>
    <n v="82"/>
    <n v="29"/>
    <n v="10"/>
    <n v="39"/>
    <n v="6"/>
    <n v="3"/>
    <n v="9"/>
  </r>
  <r>
    <n v="2035"/>
    <x v="2035"/>
    <n v="1950"/>
    <x v="9"/>
    <x v="0"/>
    <x v="1"/>
    <n v="60905"/>
    <x v="0"/>
    <n v="0"/>
    <n v="1"/>
    <x v="2"/>
    <d v="2013-12-05T00:00:00"/>
    <s v="11 years, 7 months"/>
    <n v="27"/>
    <n v="17"/>
    <n v="17"/>
    <n v="34"/>
    <n v="3"/>
    <n v="7"/>
    <n v="10"/>
  </r>
  <r>
    <n v="2036"/>
    <x v="2036"/>
    <n v="1977"/>
    <x v="32"/>
    <x v="0"/>
    <x v="2"/>
    <n v="75330"/>
    <x v="2"/>
    <n v="1"/>
    <n v="1"/>
    <x v="1"/>
    <d v="2012-10-04T00:00:00"/>
    <s v="12 years, 9 months"/>
    <n v="94"/>
    <n v="82"/>
    <n v="61"/>
    <n v="143"/>
    <n v="10"/>
    <n v="12"/>
    <n v="22"/>
  </r>
  <r>
    <n v="2037"/>
    <x v="2037"/>
    <n v="1951"/>
    <x v="20"/>
    <x v="0"/>
    <x v="0"/>
    <n v="60689"/>
    <x v="0"/>
    <n v="0"/>
    <n v="1"/>
    <x v="2"/>
    <d v="2013-06-01T00:00:00"/>
    <s v="12 years, 1 months"/>
    <n v="23"/>
    <n v="90"/>
    <n v="6"/>
    <n v="96"/>
    <n v="4"/>
    <n v="10"/>
    <n v="14"/>
  </r>
  <r>
    <n v="2038"/>
    <x v="2038"/>
    <n v="1984"/>
    <x v="3"/>
    <x v="0"/>
    <x v="2"/>
    <n v="38680"/>
    <x v="0"/>
    <n v="1"/>
    <n v="0"/>
    <x v="2"/>
    <d v="2013-03-28T00:00:00"/>
    <s v="12 years, 3 months"/>
    <n v="97"/>
    <n v="0"/>
    <n v="5"/>
    <n v="5"/>
    <n v="2"/>
    <n v="3"/>
    <n v="5"/>
  </r>
  <r>
    <n v="2039"/>
    <x v="2039"/>
    <n v="1982"/>
    <x v="18"/>
    <x v="0"/>
    <x v="1"/>
    <n v="61416"/>
    <x v="0"/>
    <n v="0"/>
    <n v="0"/>
    <x v="0"/>
    <d v="2013-02-08T00:00:00"/>
    <s v="12 years, 4 months"/>
    <n v="25"/>
    <n v="154"/>
    <n v="61"/>
    <n v="215"/>
    <n v="10"/>
    <n v="10"/>
    <n v="20"/>
  </r>
  <r>
    <n v="2040"/>
    <x v="2040"/>
    <n v="1991"/>
    <x v="42"/>
    <x v="0"/>
    <x v="0"/>
    <n v="49767"/>
    <x v="0"/>
    <n v="0"/>
    <n v="0"/>
    <x v="0"/>
    <d v="2013-05-02T00:00:00"/>
    <s v="12 years, 2 months"/>
    <n v="92"/>
    <n v="47"/>
    <n v="42"/>
    <n v="89"/>
    <n v="5"/>
    <n v="8"/>
    <n v="13"/>
  </r>
  <r>
    <n v="2041"/>
    <x v="2041"/>
    <n v="1970"/>
    <x v="25"/>
    <x v="0"/>
    <x v="0"/>
    <n v="83273"/>
    <x v="2"/>
    <n v="1"/>
    <n v="2"/>
    <x v="3"/>
    <d v="2012-09-25T00:00:00"/>
    <s v="12 years, 9 months"/>
    <n v="98"/>
    <n v="89"/>
    <n v="102"/>
    <n v="191"/>
    <n v="4"/>
    <n v="9"/>
    <n v="13"/>
  </r>
  <r>
    <n v="2042"/>
    <x v="2042"/>
    <n v="1981"/>
    <x v="4"/>
    <x v="0"/>
    <x v="2"/>
    <n v="29009"/>
    <x v="0"/>
    <n v="1"/>
    <n v="0"/>
    <x v="2"/>
    <d v="2013-11-29T00:00:00"/>
    <s v="11 years, 7 months"/>
    <n v="19"/>
    <n v="6"/>
    <n v="5"/>
    <n v="11"/>
    <n v="2"/>
    <n v="3"/>
    <n v="5"/>
  </r>
  <r>
    <n v="2043"/>
    <x v="2043"/>
    <n v="1979"/>
    <x v="19"/>
    <x v="2"/>
    <x v="2"/>
    <n v="45057"/>
    <x v="0"/>
    <n v="1"/>
    <n v="0"/>
    <x v="2"/>
    <d v="2013-12-01T00:00:00"/>
    <s v="11 years, 7 months"/>
    <n v="80"/>
    <n v="0"/>
    <n v="0"/>
    <n v="0"/>
    <n v="2"/>
    <n v="3"/>
    <n v="5"/>
  </r>
  <r>
    <n v="2044"/>
    <x v="2044"/>
    <n v="1971"/>
    <x v="6"/>
    <x v="0"/>
    <x v="2"/>
    <n v="37150"/>
    <x v="0"/>
    <n v="1"/>
    <n v="0"/>
    <x v="2"/>
    <d v="2012-09-11T00:00:00"/>
    <s v="12 years, 9 months"/>
    <n v="80"/>
    <n v="37"/>
    <n v="34"/>
    <n v="71"/>
    <n v="4"/>
    <n v="6"/>
    <n v="10"/>
  </r>
  <r>
    <n v="2045"/>
    <x v="2045"/>
    <n v="1970"/>
    <x v="25"/>
    <x v="0"/>
    <x v="0"/>
    <n v="43020"/>
    <x v="0"/>
    <n v="1"/>
    <n v="0"/>
    <x v="2"/>
    <d v="2013-11-30T00:00:00"/>
    <s v="11 years, 7 months"/>
    <n v="79"/>
    <n v="7"/>
    <n v="25"/>
    <n v="32"/>
    <n v="4"/>
    <n v="4"/>
    <n v="8"/>
  </r>
  <r>
    <n v="2046"/>
    <x v="2046"/>
    <n v="1959"/>
    <x v="12"/>
    <x v="0"/>
    <x v="2"/>
    <n v="53154"/>
    <x v="0"/>
    <n v="0"/>
    <n v="1"/>
    <x v="2"/>
    <d v="2014-06-09T00:00:00"/>
    <s v="11 years, 0 months"/>
    <n v="50"/>
    <n v="0"/>
    <n v="1"/>
    <n v="1"/>
    <n v="3"/>
    <n v="4"/>
    <n v="7"/>
  </r>
  <r>
    <n v="2047"/>
    <x v="2047"/>
    <n v="1973"/>
    <x v="26"/>
    <x v="0"/>
    <x v="2"/>
    <n v="65308"/>
    <x v="0"/>
    <n v="0"/>
    <n v="0"/>
    <x v="0"/>
    <d v="2013-09-11T00:00:00"/>
    <s v="11 years, 9 months"/>
    <n v="60"/>
    <n v="0"/>
    <n v="80"/>
    <n v="80"/>
    <n v="7"/>
    <n v="12"/>
    <n v="19"/>
  </r>
  <r>
    <n v="2048"/>
    <x v="2048"/>
    <n v="1970"/>
    <x v="25"/>
    <x v="0"/>
    <x v="0"/>
    <n v="76467"/>
    <x v="2"/>
    <n v="1"/>
    <n v="0"/>
    <x v="2"/>
    <d v="2012-08-17T00:00:00"/>
    <s v="12 years, 10 months"/>
    <n v="44"/>
    <n v="161"/>
    <n v="44"/>
    <n v="205"/>
    <n v="2"/>
    <n v="5"/>
    <n v="7"/>
  </r>
  <r>
    <n v="2049"/>
    <x v="2049"/>
    <n v="1947"/>
    <x v="51"/>
    <x v="4"/>
    <x v="2"/>
    <n v="81044"/>
    <x v="2"/>
    <n v="0"/>
    <n v="0"/>
    <x v="0"/>
    <d v="2013-12-27T00:00:00"/>
    <s v="11 years, 6 months"/>
    <n v="0"/>
    <n v="26"/>
    <n v="98"/>
    <n v="124"/>
    <n v="5"/>
    <n v="10"/>
    <n v="15"/>
  </r>
  <r>
    <n v="2050"/>
    <x v="2050"/>
    <n v="1951"/>
    <x v="20"/>
    <x v="0"/>
    <x v="2"/>
    <n v="32871"/>
    <x v="0"/>
    <n v="1"/>
    <n v="1"/>
    <x v="1"/>
    <d v="2013-03-09T00:00:00"/>
    <s v="12 years, 3 months"/>
    <n v="28"/>
    <n v="2"/>
    <n v="2"/>
    <n v="4"/>
    <n v="1"/>
    <n v="3"/>
    <n v="4"/>
  </r>
  <r>
    <n v="2051"/>
    <x v="2051"/>
    <n v="1975"/>
    <x v="28"/>
    <x v="0"/>
    <x v="0"/>
    <n v="55801"/>
    <x v="0"/>
    <n v="1"/>
    <n v="1"/>
    <x v="1"/>
    <d v="2013-09-22T00:00:00"/>
    <s v="11 years, 9 months"/>
    <n v="35"/>
    <n v="4"/>
    <n v="4"/>
    <n v="8"/>
    <n v="7"/>
    <n v="6"/>
    <n v="13"/>
  </r>
  <r>
    <n v="2052"/>
    <x v="2052"/>
    <n v="1959"/>
    <x v="12"/>
    <x v="0"/>
    <x v="4"/>
    <n v="76320"/>
    <x v="2"/>
    <n v="0"/>
    <n v="1"/>
    <x v="2"/>
    <d v="2014-06-22T00:00:00"/>
    <s v="11 years, 0 months"/>
    <n v="49"/>
    <n v="35"/>
    <n v="53"/>
    <n v="88"/>
    <n v="6"/>
    <n v="4"/>
    <n v="10"/>
  </r>
  <r>
    <n v="2053"/>
    <x v="2053"/>
    <n v="1955"/>
    <x v="34"/>
    <x v="2"/>
    <x v="0"/>
    <n v="36927"/>
    <x v="0"/>
    <n v="1"/>
    <n v="1"/>
    <x v="1"/>
    <d v="2014-06-02T00:00:00"/>
    <s v="11 years, 1 months"/>
    <n v="46"/>
    <n v="0"/>
    <n v="0"/>
    <n v="0"/>
    <n v="3"/>
    <n v="3"/>
    <n v="6"/>
  </r>
  <r>
    <n v="2054"/>
    <x v="2054"/>
    <n v="1953"/>
    <x v="44"/>
    <x v="0"/>
    <x v="1"/>
    <n v="48794"/>
    <x v="0"/>
    <n v="1"/>
    <n v="1"/>
    <x v="1"/>
    <d v="2014-06-26T00:00:00"/>
    <s v="11 years, 0 months"/>
    <n v="97"/>
    <n v="0"/>
    <n v="0"/>
    <n v="0"/>
    <n v="1"/>
    <n v="3"/>
    <n v="4"/>
  </r>
  <r>
    <n v="2055"/>
    <x v="2055"/>
    <n v="1965"/>
    <x v="2"/>
    <x v="0"/>
    <x v="0"/>
    <n v="23478"/>
    <x v="1"/>
    <n v="0"/>
    <n v="0"/>
    <x v="0"/>
    <d v="2013-03-19T00:00:00"/>
    <s v="12 years, 3 months"/>
    <n v="51"/>
    <n v="6"/>
    <n v="17"/>
    <n v="23"/>
    <n v="3"/>
    <n v="3"/>
    <n v="6"/>
  </r>
  <r>
    <n v="2056"/>
    <x v="2056"/>
    <n v="1973"/>
    <x v="26"/>
    <x v="0"/>
    <x v="3"/>
    <n v="71128"/>
    <x v="0"/>
    <n v="1"/>
    <n v="0"/>
    <x v="2"/>
    <d v="2012-10-06T00:00:00"/>
    <s v="12 years, 9 months"/>
    <n v="80"/>
    <n v="159"/>
    <n v="0"/>
    <n v="159"/>
    <n v="2"/>
    <n v="12"/>
    <n v="14"/>
  </r>
  <r>
    <n v="2057"/>
    <x v="2057"/>
    <n v="1976"/>
    <x v="11"/>
    <x v="1"/>
    <x v="3"/>
    <n v="70179"/>
    <x v="0"/>
    <n v="0"/>
    <n v="1"/>
    <x v="2"/>
    <d v="2013-07-21T00:00:00"/>
    <s v="11 years, 11 months"/>
    <n v="10"/>
    <n v="88"/>
    <n v="44"/>
    <n v="132"/>
    <n v="7"/>
    <n v="13"/>
    <n v="20"/>
  </r>
  <r>
    <n v="2058"/>
    <x v="2058"/>
    <n v="1950"/>
    <x v="9"/>
    <x v="0"/>
    <x v="2"/>
    <n v="59462"/>
    <x v="0"/>
    <n v="0"/>
    <n v="1"/>
    <x v="2"/>
    <d v="2013-01-05T00:00:00"/>
    <s v="12 years, 6 months"/>
    <n v="29"/>
    <n v="17"/>
    <n v="8"/>
    <n v="25"/>
    <n v="9"/>
    <n v="12"/>
    <n v="21"/>
  </r>
  <r>
    <n v="2059"/>
    <x v="2059"/>
    <n v="1969"/>
    <x v="21"/>
    <x v="2"/>
    <x v="1"/>
    <n v="51371"/>
    <x v="0"/>
    <n v="1"/>
    <n v="1"/>
    <x v="1"/>
    <d v="2013-05-18T00:00:00"/>
    <s v="12 years, 1 months"/>
    <n v="52"/>
    <n v="42"/>
    <n v="66"/>
    <n v="108"/>
    <n v="4"/>
    <n v="4"/>
    <n v="8"/>
  </r>
  <r>
    <n v="2060"/>
    <x v="2060"/>
    <n v="1969"/>
    <x v="21"/>
    <x v="0"/>
    <x v="1"/>
    <n v="38361"/>
    <x v="0"/>
    <n v="1"/>
    <n v="0"/>
    <x v="2"/>
    <d v="2013-12-27T00:00:00"/>
    <s v="11 years, 6 months"/>
    <n v="74"/>
    <n v="0"/>
    <n v="8"/>
    <n v="8"/>
    <n v="3"/>
    <n v="3"/>
    <n v="6"/>
  </r>
  <r>
    <n v="2061"/>
    <x v="2061"/>
    <n v="1981"/>
    <x v="4"/>
    <x v="1"/>
    <x v="0"/>
    <n v="51371"/>
    <x v="0"/>
    <n v="1"/>
    <n v="0"/>
    <x v="2"/>
    <d v="2013-05-31T00:00:00"/>
    <s v="12 years, 1 months"/>
    <n v="82"/>
    <n v="0"/>
    <n v="2"/>
    <n v="2"/>
    <n v="3"/>
    <n v="3"/>
    <n v="6"/>
  </r>
  <r>
    <n v="2062"/>
    <x v="2062"/>
    <n v="1982"/>
    <x v="18"/>
    <x v="1"/>
    <x v="1"/>
    <n v="70038"/>
    <x v="0"/>
    <n v="0"/>
    <n v="0"/>
    <x v="0"/>
    <d v="2013-10-25T00:00:00"/>
    <s v="11 years, 8 months"/>
    <n v="54"/>
    <n v="54"/>
    <n v="54"/>
    <n v="108"/>
    <n v="4"/>
    <n v="8"/>
    <n v="12"/>
  </r>
  <r>
    <n v="2063"/>
    <x v="2063"/>
    <n v="1978"/>
    <x v="33"/>
    <x v="0"/>
    <x v="1"/>
    <n v="42554"/>
    <x v="0"/>
    <n v="1"/>
    <n v="1"/>
    <x v="1"/>
    <d v="2013-01-12T00:00:00"/>
    <s v="12 years, 5 months"/>
    <n v="93"/>
    <n v="1"/>
    <n v="0"/>
    <n v="1"/>
    <n v="2"/>
    <n v="3"/>
    <n v="5"/>
  </r>
  <r>
    <n v="2064"/>
    <x v="2064"/>
    <n v="1974"/>
    <x v="8"/>
    <x v="0"/>
    <x v="2"/>
    <n v="67445"/>
    <x v="0"/>
    <n v="0"/>
    <n v="1"/>
    <x v="2"/>
    <d v="2012-08-12T00:00:00"/>
    <s v="12 years, 10 months"/>
    <n v="63"/>
    <n v="80"/>
    <n v="80"/>
    <n v="160"/>
    <n v="9"/>
    <n v="12"/>
    <n v="21"/>
  </r>
  <r>
    <n v="2065"/>
    <x v="2065"/>
    <n v="1951"/>
    <x v="20"/>
    <x v="0"/>
    <x v="4"/>
    <n v="67046"/>
    <x v="0"/>
    <n v="0"/>
    <n v="1"/>
    <x v="2"/>
    <d v="2013-01-06T00:00:00"/>
    <s v="12 years, 6 months"/>
    <n v="92"/>
    <n v="35"/>
    <n v="151"/>
    <n v="186"/>
    <n v="4"/>
    <n v="4"/>
    <n v="8"/>
  </r>
  <r>
    <n v="2066"/>
    <x v="2066"/>
    <n v="1948"/>
    <x v="37"/>
    <x v="0"/>
    <x v="2"/>
    <n v="42192"/>
    <x v="0"/>
    <n v="0"/>
    <n v="0"/>
    <x v="0"/>
    <d v="2013-09-06T00:00:00"/>
    <s v="11 years, 10 months"/>
    <n v="40"/>
    <n v="15"/>
    <n v="6"/>
    <n v="21"/>
    <n v="2"/>
    <n v="3"/>
    <n v="5"/>
  </r>
  <r>
    <n v="2067"/>
    <x v="2067"/>
    <n v="1952"/>
    <x v="13"/>
    <x v="1"/>
    <x v="2"/>
    <n v="77610"/>
    <x v="2"/>
    <n v="0"/>
    <n v="1"/>
    <x v="2"/>
    <d v="2012-10-29T00:00:00"/>
    <s v="12 years, 8 months"/>
    <n v="70"/>
    <n v="33"/>
    <n v="33"/>
    <n v="66"/>
    <n v="4"/>
    <n v="4"/>
    <n v="8"/>
  </r>
  <r>
    <n v="2068"/>
    <x v="2068"/>
    <n v="1984"/>
    <x v="3"/>
    <x v="0"/>
    <x v="2"/>
    <n v="31761"/>
    <x v="0"/>
    <n v="1"/>
    <n v="0"/>
    <x v="2"/>
    <d v="2014-04-05T00:00:00"/>
    <s v="11 years, 3 months"/>
    <n v="96"/>
    <n v="1"/>
    <n v="14"/>
    <n v="15"/>
    <n v="3"/>
    <n v="4"/>
    <n v="7"/>
  </r>
  <r>
    <n v="2069"/>
    <x v="2069"/>
    <n v="1979"/>
    <x v="19"/>
    <x v="0"/>
    <x v="1"/>
    <n v="34350"/>
    <x v="0"/>
    <n v="1"/>
    <n v="0"/>
    <x v="2"/>
    <d v="2013-10-19T00:00:00"/>
    <s v="11 years, 8 months"/>
    <n v="81"/>
    <n v="3"/>
    <n v="1"/>
    <n v="4"/>
    <n v="1"/>
    <n v="3"/>
    <n v="4"/>
  </r>
  <r>
    <n v="2070"/>
    <x v="2070"/>
    <n v="1949"/>
    <x v="17"/>
    <x v="0"/>
    <x v="1"/>
    <n v="54591"/>
    <x v="0"/>
    <n v="0"/>
    <n v="1"/>
    <x v="2"/>
    <d v="2013-08-05T00:00:00"/>
    <s v="11 years, 11 months"/>
    <n v="63"/>
    <n v="4"/>
    <n v="9"/>
    <n v="13"/>
    <n v="6"/>
    <n v="8"/>
    <n v="14"/>
  </r>
  <r>
    <n v="2071"/>
    <x v="2071"/>
    <n v="1956"/>
    <x v="46"/>
    <x v="0"/>
    <x v="2"/>
    <n v="71866"/>
    <x v="0"/>
    <n v="0"/>
    <n v="1"/>
    <x v="2"/>
    <d v="2013-12-25T00:00:00"/>
    <s v="11 years, 6 months"/>
    <n v="85"/>
    <n v="178"/>
    <n v="39"/>
    <n v="217"/>
    <n v="6"/>
    <n v="10"/>
    <n v="16"/>
  </r>
  <r>
    <n v="2072"/>
    <x v="2072"/>
    <n v="1969"/>
    <x v="21"/>
    <x v="0"/>
    <x v="2"/>
    <n v="25293"/>
    <x v="0"/>
    <n v="1"/>
    <n v="0"/>
    <x v="2"/>
    <d v="2013-09-15T00:00:00"/>
    <s v="11 years, 9 months"/>
    <n v="51"/>
    <n v="0"/>
    <n v="2"/>
    <n v="2"/>
    <n v="1"/>
    <n v="2"/>
    <n v="3"/>
  </r>
  <r>
    <n v="2073"/>
    <x v="2073"/>
    <n v="1987"/>
    <x v="14"/>
    <x v="1"/>
    <x v="0"/>
    <n v="42000"/>
    <x v="0"/>
    <n v="0"/>
    <n v="0"/>
    <x v="0"/>
    <d v="2013-01-10T00:00:00"/>
    <s v="12 years, 5 months"/>
    <n v="23"/>
    <n v="83"/>
    <n v="59"/>
    <n v="142"/>
    <n v="5"/>
    <n v="11"/>
    <n v="16"/>
  </r>
  <r>
    <n v="2074"/>
    <x v="2074"/>
    <n v="1983"/>
    <x v="10"/>
    <x v="0"/>
    <x v="2"/>
    <n v="69520"/>
    <x v="0"/>
    <n v="0"/>
    <n v="0"/>
    <x v="0"/>
    <d v="2013-07-07T00:00:00"/>
    <s v="11 years, 11 months"/>
    <n v="95"/>
    <n v="120"/>
    <n v="80"/>
    <n v="200"/>
    <n v="9"/>
    <n v="5"/>
    <n v="14"/>
  </r>
  <r>
    <n v="2075"/>
    <x v="2075"/>
    <n v="1970"/>
    <x v="25"/>
    <x v="0"/>
    <x v="3"/>
    <n v="64713"/>
    <x v="0"/>
    <n v="1"/>
    <n v="0"/>
    <x v="2"/>
    <d v="2014-02-07T00:00:00"/>
    <s v="11 years, 4 months"/>
    <n v="11"/>
    <n v="60"/>
    <n v="54"/>
    <n v="114"/>
    <n v="5"/>
    <n v="7"/>
    <n v="12"/>
  </r>
  <r>
    <n v="2076"/>
    <x v="2076"/>
    <n v="1977"/>
    <x v="32"/>
    <x v="2"/>
    <x v="2"/>
    <n v="27889"/>
    <x v="0"/>
    <n v="1"/>
    <n v="0"/>
    <x v="2"/>
    <d v="2013-07-05T00:00:00"/>
    <s v="12 years, 0 months"/>
    <n v="42"/>
    <n v="0"/>
    <n v="0"/>
    <n v="0"/>
    <n v="1"/>
    <n v="2"/>
    <n v="3"/>
  </r>
  <r>
    <n v="2077"/>
    <x v="2077"/>
    <n v="1960"/>
    <x v="40"/>
    <x v="3"/>
    <x v="4"/>
    <n v="22123"/>
    <x v="1"/>
    <n v="0"/>
    <n v="0"/>
    <x v="0"/>
    <d v="2014-03-27T00:00:00"/>
    <s v="11 years, 3 months"/>
    <n v="77"/>
    <n v="3"/>
    <n v="7"/>
    <n v="10"/>
    <n v="2"/>
    <n v="3"/>
    <n v="5"/>
  </r>
  <r>
    <n v="2078"/>
    <x v="2078"/>
    <n v="1971"/>
    <x v="6"/>
    <x v="0"/>
    <x v="2"/>
    <n v="51371"/>
    <x v="0"/>
    <n v="1"/>
    <n v="1"/>
    <x v="1"/>
    <d v="2013-03-03T00:00:00"/>
    <s v="12 years, 4 months"/>
    <n v="82"/>
    <n v="1"/>
    <n v="0"/>
    <n v="1"/>
    <n v="2"/>
    <n v="3"/>
    <n v="5"/>
  </r>
  <r>
    <n v="2079"/>
    <x v="2079"/>
    <n v="1954"/>
    <x v="1"/>
    <x v="2"/>
    <x v="1"/>
    <n v="51371"/>
    <x v="0"/>
    <n v="0"/>
    <n v="1"/>
    <x v="2"/>
    <d v="2013-06-23T00:00:00"/>
    <s v="12 years, 0 months"/>
    <n v="83"/>
    <n v="0"/>
    <n v="0"/>
    <n v="0"/>
    <n v="4"/>
    <n v="4"/>
    <n v="8"/>
  </r>
  <r>
    <n v="2080"/>
    <x v="2080"/>
    <n v="1973"/>
    <x v="26"/>
    <x v="0"/>
    <x v="2"/>
    <n v="27803"/>
    <x v="0"/>
    <n v="1"/>
    <n v="0"/>
    <x v="2"/>
    <d v="2012-08-26T00:00:00"/>
    <s v="12 years, 10 months"/>
    <n v="40"/>
    <n v="26"/>
    <n v="9"/>
    <n v="35"/>
    <n v="3"/>
    <n v="4"/>
    <n v="7"/>
  </r>
  <r>
    <n v="2081"/>
    <x v="2081"/>
    <n v="1955"/>
    <x v="34"/>
    <x v="0"/>
    <x v="0"/>
    <n v="51371"/>
    <x v="0"/>
    <n v="0"/>
    <n v="1"/>
    <x v="2"/>
    <d v="2013-10-18T00:00:00"/>
    <s v="11 years, 8 months"/>
    <n v="95"/>
    <n v="0"/>
    <n v="6"/>
    <n v="6"/>
    <n v="6"/>
    <n v="5"/>
    <n v="11"/>
  </r>
  <r>
    <n v="2082"/>
    <x v="2082"/>
    <n v="1960"/>
    <x v="40"/>
    <x v="0"/>
    <x v="2"/>
    <n v="51651"/>
    <x v="0"/>
    <n v="0"/>
    <n v="1"/>
    <x v="2"/>
    <d v="2012-11-07T00:00:00"/>
    <s v="12 years, 7 months"/>
    <n v="32"/>
    <n v="6"/>
    <n v="6"/>
    <n v="12"/>
    <n v="6"/>
    <n v="5"/>
    <n v="11"/>
  </r>
  <r>
    <n v="2083"/>
    <x v="2083"/>
    <n v="1988"/>
    <x v="36"/>
    <x v="0"/>
    <x v="2"/>
    <n v="68487"/>
    <x v="0"/>
    <n v="0"/>
    <n v="0"/>
    <x v="0"/>
    <d v="2013-01-13T00:00:00"/>
    <s v="12 years, 5 months"/>
    <n v="48"/>
    <n v="12"/>
    <n v="89"/>
    <n v="101"/>
    <n v="9"/>
    <n v="13"/>
    <n v="22"/>
  </r>
  <r>
    <n v="2084"/>
    <x v="2084"/>
    <n v="1943"/>
    <x v="27"/>
    <x v="2"/>
    <x v="4"/>
    <n v="51371"/>
    <x v="0"/>
    <n v="0"/>
    <n v="0"/>
    <x v="0"/>
    <d v="2013-10-30T00:00:00"/>
    <s v="11 years, 8 months"/>
    <n v="75"/>
    <n v="126"/>
    <n v="126"/>
    <n v="252"/>
    <n v="5"/>
    <n v="11"/>
    <n v="16"/>
  </r>
  <r>
    <n v="2085"/>
    <x v="2085"/>
    <n v="1969"/>
    <x v="21"/>
    <x v="0"/>
    <x v="2"/>
    <n v="56796"/>
    <x v="0"/>
    <n v="0"/>
    <n v="1"/>
    <x v="2"/>
    <d v="2013-02-16T00:00:00"/>
    <s v="12 years, 4 months"/>
    <n v="24"/>
    <n v="38"/>
    <n v="47"/>
    <n v="85"/>
    <n v="8"/>
    <n v="7"/>
    <n v="15"/>
  </r>
  <r>
    <n v="2086"/>
    <x v="2086"/>
    <n v="1992"/>
    <x v="47"/>
    <x v="4"/>
    <x v="2"/>
    <n v="87000"/>
    <x v="2"/>
    <n v="0"/>
    <n v="0"/>
    <x v="0"/>
    <d v="2012-12-15T00:00:00"/>
    <s v="12 years, 6 months"/>
    <n v="61"/>
    <n v="25"/>
    <n v="17"/>
    <n v="42"/>
    <n v="4"/>
    <n v="7"/>
    <n v="11"/>
  </r>
  <r>
    <n v="2087"/>
    <x v="2087"/>
    <n v="1959"/>
    <x v="12"/>
    <x v="0"/>
    <x v="2"/>
    <n v="79823"/>
    <x v="2"/>
    <n v="0"/>
    <n v="1"/>
    <x v="2"/>
    <d v="2014-03-31T00:00:00"/>
    <s v="11 years, 3 months"/>
    <n v="6"/>
    <n v="73"/>
    <n v="73"/>
    <n v="146"/>
    <n v="6"/>
    <n v="7"/>
    <n v="13"/>
  </r>
  <r>
    <n v="2088"/>
    <x v="2088"/>
    <n v="1980"/>
    <x v="16"/>
    <x v="0"/>
    <x v="0"/>
    <n v="30828"/>
    <x v="0"/>
    <n v="1"/>
    <n v="0"/>
    <x v="2"/>
    <d v="2013-10-04T00:00:00"/>
    <s v="11 years, 9 months"/>
    <n v="16"/>
    <n v="11"/>
    <n v="0"/>
    <n v="11"/>
    <n v="1"/>
    <n v="4"/>
    <n v="5"/>
  </r>
  <r>
    <n v="2089"/>
    <x v="2089"/>
    <n v="1971"/>
    <x v="6"/>
    <x v="2"/>
    <x v="2"/>
    <n v="34109"/>
    <x v="0"/>
    <n v="0"/>
    <n v="1"/>
    <x v="2"/>
    <d v="2013-11-06T00:00:00"/>
    <s v="11 years, 8 months"/>
    <n v="39"/>
    <n v="1"/>
    <n v="1"/>
    <n v="2"/>
    <n v="0"/>
    <n v="3"/>
    <n v="3"/>
  </r>
  <r>
    <n v="2090"/>
    <x v="2090"/>
    <n v="1974"/>
    <x v="8"/>
    <x v="2"/>
    <x v="3"/>
    <n v="53367"/>
    <x v="0"/>
    <n v="1"/>
    <n v="1"/>
    <x v="1"/>
    <d v="2013-08-31T00:00:00"/>
    <s v="11 years, 10 months"/>
    <n v="2"/>
    <n v="7"/>
    <n v="3"/>
    <n v="10"/>
    <n v="5"/>
    <n v="8"/>
    <n v="13"/>
  </r>
  <r>
    <n v="2091"/>
    <x v="2091"/>
    <n v="1969"/>
    <x v="21"/>
    <x v="3"/>
    <x v="1"/>
    <n v="22390"/>
    <x v="1"/>
    <n v="0"/>
    <n v="0"/>
    <x v="0"/>
    <d v="2013-10-21T00:00:00"/>
    <s v="11 years, 8 months"/>
    <n v="49"/>
    <n v="1"/>
    <n v="1"/>
    <n v="2"/>
    <n v="1"/>
    <n v="2"/>
    <n v="3"/>
  </r>
  <r>
    <n v="2092"/>
    <x v="2092"/>
    <n v="1976"/>
    <x v="11"/>
    <x v="0"/>
    <x v="1"/>
    <n v="71322"/>
    <x v="0"/>
    <n v="0"/>
    <n v="1"/>
    <x v="2"/>
    <d v="2014-05-02T00:00:00"/>
    <s v="11 years, 2 months"/>
    <n v="31"/>
    <n v="24"/>
    <n v="15"/>
    <n v="39"/>
    <n v="4"/>
    <n v="7"/>
    <n v="11"/>
  </r>
  <r>
    <n v="2093"/>
    <x v="2093"/>
    <n v="1993"/>
    <x v="53"/>
    <x v="0"/>
    <x v="6"/>
    <n v="79244"/>
    <x v="2"/>
    <n v="0"/>
    <n v="0"/>
    <x v="0"/>
    <d v="2012-12-19T00:00:00"/>
    <s v="12 years, 6 months"/>
    <n v="58"/>
    <n v="102"/>
    <n v="61"/>
    <n v="163"/>
    <n v="4"/>
    <n v="7"/>
    <n v="11"/>
  </r>
  <r>
    <n v="2094"/>
    <x v="2094"/>
    <n v="1949"/>
    <x v="17"/>
    <x v="2"/>
    <x v="1"/>
    <n v="49912"/>
    <x v="0"/>
    <n v="0"/>
    <n v="1"/>
    <x v="2"/>
    <d v="2012-09-07T00:00:00"/>
    <s v="12 years, 9 months"/>
    <n v="5"/>
    <n v="8"/>
    <n v="49"/>
    <n v="57"/>
    <n v="10"/>
    <n v="7"/>
    <n v="17"/>
  </r>
  <r>
    <n v="2095"/>
    <x v="2095"/>
    <n v="1950"/>
    <x v="9"/>
    <x v="1"/>
    <x v="2"/>
    <n v="48699"/>
    <x v="0"/>
    <n v="1"/>
    <n v="1"/>
    <x v="1"/>
    <d v="2013-05-21T00:00:00"/>
    <s v="12 years, 1 months"/>
    <n v="90"/>
    <n v="1"/>
    <n v="0"/>
    <n v="1"/>
    <n v="1"/>
    <n v="3"/>
    <n v="4"/>
  </r>
  <r>
    <n v="2096"/>
    <x v="2096"/>
    <n v="1975"/>
    <x v="28"/>
    <x v="0"/>
    <x v="1"/>
    <n v="80144"/>
    <x v="2"/>
    <n v="0"/>
    <n v="0"/>
    <x v="0"/>
    <d v="2013-09-30T00:00:00"/>
    <s v="11 years, 9 months"/>
    <n v="47"/>
    <n v="132"/>
    <n v="192"/>
    <n v="324"/>
    <n v="3"/>
    <n v="8"/>
    <n v="11"/>
  </r>
  <r>
    <n v="2097"/>
    <x v="2097"/>
    <n v="1956"/>
    <x v="46"/>
    <x v="0"/>
    <x v="0"/>
    <n v="54252"/>
    <x v="0"/>
    <n v="1"/>
    <n v="1"/>
    <x v="1"/>
    <d v="2013-05-28T00:00:00"/>
    <s v="12 years, 1 months"/>
    <n v="25"/>
    <n v="4"/>
    <n v="4"/>
    <n v="8"/>
    <n v="4"/>
    <n v="5"/>
    <n v="9"/>
  </r>
  <r>
    <n v="2098"/>
    <x v="2098"/>
    <n v="1976"/>
    <x v="11"/>
    <x v="2"/>
    <x v="2"/>
    <n v="81929"/>
    <x v="2"/>
    <n v="1"/>
    <n v="0"/>
    <x v="2"/>
    <d v="2012-09-29T00:00:00"/>
    <s v="12 years, 9 months"/>
    <n v="60"/>
    <n v="55"/>
    <n v="0"/>
    <n v="55"/>
    <n v="4"/>
    <n v="10"/>
    <n v="14"/>
  </r>
  <r>
    <n v="2099"/>
    <x v="2099"/>
    <n v="1975"/>
    <x v="28"/>
    <x v="0"/>
    <x v="2"/>
    <n v="76068"/>
    <x v="2"/>
    <n v="0"/>
    <n v="1"/>
    <x v="2"/>
    <d v="2012-11-29T00:00:00"/>
    <s v="12 years, 7 months"/>
    <n v="67"/>
    <n v="12"/>
    <n v="12"/>
    <n v="24"/>
    <n v="2"/>
    <n v="4"/>
    <n v="6"/>
  </r>
  <r>
    <n v="2100"/>
    <x v="2100"/>
    <n v="1976"/>
    <x v="11"/>
    <x v="2"/>
    <x v="2"/>
    <n v="53204"/>
    <x v="0"/>
    <n v="1"/>
    <n v="1"/>
    <x v="1"/>
    <d v="2014-03-20T00:00:00"/>
    <s v="11 years, 3 months"/>
    <n v="40"/>
    <n v="0"/>
    <n v="0"/>
    <n v="0"/>
    <n v="1"/>
    <n v="3"/>
    <n v="4"/>
  </r>
  <r>
    <n v="2101"/>
    <x v="2101"/>
    <n v="1949"/>
    <x v="17"/>
    <x v="1"/>
    <x v="1"/>
    <n v="67911"/>
    <x v="0"/>
    <n v="0"/>
    <n v="1"/>
    <x v="2"/>
    <d v="2014-05-22T00:00:00"/>
    <s v="11 years, 1 months"/>
    <n v="63"/>
    <n v="0"/>
    <n v="28"/>
    <n v="28"/>
    <n v="6"/>
    <n v="11"/>
    <n v="17"/>
  </r>
  <r>
    <n v="2102"/>
    <x v="2102"/>
    <n v="1984"/>
    <x v="3"/>
    <x v="4"/>
    <x v="2"/>
    <n v="14796"/>
    <x v="1"/>
    <n v="1"/>
    <n v="0"/>
    <x v="2"/>
    <d v="2012-09-17T00:00:00"/>
    <s v="12 years, 9 months"/>
    <n v="1"/>
    <n v="3"/>
    <n v="4"/>
    <n v="7"/>
    <n v="1"/>
    <n v="3"/>
    <n v="4"/>
  </r>
  <r>
    <n v="2103"/>
    <x v="2103"/>
    <n v="1974"/>
    <x v="8"/>
    <x v="1"/>
    <x v="2"/>
    <n v="78128"/>
    <x v="2"/>
    <n v="0"/>
    <n v="1"/>
    <x v="2"/>
    <d v="2014-02-19T00:00:00"/>
    <s v="11 years, 4 months"/>
    <n v="89"/>
    <n v="24"/>
    <n v="24"/>
    <n v="48"/>
    <n v="8"/>
    <n v="6"/>
    <n v="14"/>
  </r>
  <r>
    <n v="2104"/>
    <x v="2104"/>
    <n v="1972"/>
    <x v="39"/>
    <x v="3"/>
    <x v="2"/>
    <n v="14188"/>
    <x v="1"/>
    <n v="0"/>
    <n v="0"/>
    <x v="0"/>
    <d v="2013-02-28T00:00:00"/>
    <s v="12 years, 4 months"/>
    <n v="40"/>
    <n v="7"/>
    <n v="12"/>
    <n v="19"/>
    <n v="2"/>
    <n v="4"/>
    <n v="6"/>
  </r>
  <r>
    <n v="2105"/>
    <x v="2105"/>
    <n v="1986"/>
    <x v="22"/>
    <x v="3"/>
    <x v="2"/>
    <n v="20425"/>
    <x v="1"/>
    <n v="1"/>
    <n v="0"/>
    <x v="2"/>
    <d v="2012-10-29T00:00:00"/>
    <s v="12 years, 8 months"/>
    <n v="5"/>
    <n v="12"/>
    <n v="16"/>
    <n v="28"/>
    <n v="2"/>
    <n v="3"/>
    <n v="5"/>
  </r>
  <r>
    <n v="2106"/>
    <x v="2106"/>
    <n v="1962"/>
    <x v="43"/>
    <x v="2"/>
    <x v="2"/>
    <n v="58646"/>
    <x v="0"/>
    <n v="0"/>
    <n v="1"/>
    <x v="2"/>
    <d v="2013-06-10T00:00:00"/>
    <s v="12 years, 0 months"/>
    <n v="3"/>
    <n v="1"/>
    <n v="5"/>
    <n v="6"/>
    <n v="2"/>
    <n v="4"/>
    <n v="6"/>
  </r>
  <r>
    <n v="2107"/>
    <x v="2107"/>
    <n v="1970"/>
    <x v="25"/>
    <x v="0"/>
    <x v="3"/>
    <n v="72967"/>
    <x v="0"/>
    <n v="0"/>
    <n v="1"/>
    <x v="2"/>
    <d v="2012-12-15T00:00:00"/>
    <s v="12 years, 6 months"/>
    <n v="1"/>
    <n v="35"/>
    <n v="0"/>
    <n v="35"/>
    <n v="7"/>
    <n v="8"/>
    <n v="15"/>
  </r>
  <r>
    <n v="2108"/>
    <x v="2108"/>
    <n v="1949"/>
    <x v="17"/>
    <x v="2"/>
    <x v="2"/>
    <n v="48150"/>
    <x v="0"/>
    <n v="0"/>
    <n v="1"/>
    <x v="2"/>
    <d v="2013-06-08T00:00:00"/>
    <s v="12 years, 0 months"/>
    <n v="24"/>
    <n v="2"/>
    <n v="2"/>
    <n v="4"/>
    <n v="5"/>
    <n v="4"/>
    <n v="9"/>
  </r>
  <r>
    <n v="2109"/>
    <x v="2109"/>
    <n v="1961"/>
    <x v="45"/>
    <x v="0"/>
    <x v="0"/>
    <n v="82332"/>
    <x v="2"/>
    <n v="0"/>
    <n v="0"/>
    <x v="0"/>
    <d v="2012-09-17T00:00:00"/>
    <s v="12 years, 9 months"/>
    <n v="89"/>
    <n v="59"/>
    <n v="79"/>
    <n v="138"/>
    <n v="5"/>
    <n v="12"/>
    <n v="17"/>
  </r>
  <r>
    <n v="2110"/>
    <x v="2110"/>
    <n v="1955"/>
    <x v="34"/>
    <x v="0"/>
    <x v="4"/>
    <n v="58275"/>
    <x v="0"/>
    <n v="1"/>
    <n v="1"/>
    <x v="1"/>
    <d v="2013-06-02T00:00:00"/>
    <s v="12 years, 1 months"/>
    <n v="48"/>
    <n v="10"/>
    <n v="43"/>
    <n v="53"/>
    <n v="8"/>
    <n v="7"/>
    <n v="15"/>
  </r>
  <r>
    <n v="2111"/>
    <x v="2111"/>
    <n v="1981"/>
    <x v="4"/>
    <x v="1"/>
    <x v="1"/>
    <n v="44953"/>
    <x v="0"/>
    <n v="0"/>
    <n v="0"/>
    <x v="0"/>
    <d v="2012-12-21T00:00:00"/>
    <s v="12 years, 6 months"/>
    <n v="31"/>
    <n v="17"/>
    <n v="8"/>
    <n v="25"/>
    <n v="7"/>
    <n v="13"/>
    <n v="20"/>
  </r>
  <r>
    <n v="2112"/>
    <x v="2112"/>
    <n v="1953"/>
    <x v="44"/>
    <x v="0"/>
    <x v="1"/>
    <n v="34587"/>
    <x v="0"/>
    <n v="1"/>
    <n v="1"/>
    <x v="1"/>
    <d v="2014-05-16T00:00:00"/>
    <s v="11 years, 1 months"/>
    <n v="68"/>
    <n v="2"/>
    <n v="0"/>
    <n v="2"/>
    <n v="1"/>
    <n v="3"/>
    <n v="4"/>
  </r>
  <r>
    <n v="2113"/>
    <x v="2113"/>
    <n v="1974"/>
    <x v="8"/>
    <x v="2"/>
    <x v="1"/>
    <n v="43018"/>
    <x v="0"/>
    <n v="0"/>
    <n v="1"/>
    <x v="2"/>
    <d v="2013-11-01T00:00:00"/>
    <s v="11 years, 8 months"/>
    <n v="46"/>
    <n v="4"/>
    <n v="6"/>
    <n v="10"/>
    <n v="2"/>
    <n v="2"/>
    <n v="4"/>
  </r>
  <r>
    <n v="2114"/>
    <x v="2114"/>
    <n v="1954"/>
    <x v="1"/>
    <x v="2"/>
    <x v="2"/>
    <n v="45736"/>
    <x v="0"/>
    <n v="0"/>
    <n v="1"/>
    <x v="2"/>
    <d v="2013-07-24T00:00:00"/>
    <s v="11 years, 11 months"/>
    <n v="92"/>
    <n v="3"/>
    <n v="3"/>
    <n v="6"/>
    <n v="7"/>
    <n v="6"/>
    <n v="13"/>
  </r>
  <r>
    <n v="2115"/>
    <x v="2115"/>
    <n v="1969"/>
    <x v="21"/>
    <x v="2"/>
    <x v="1"/>
    <n v="66476"/>
    <x v="0"/>
    <n v="0"/>
    <n v="1"/>
    <x v="2"/>
    <d v="2013-12-04T00:00:00"/>
    <s v="11 years, 7 months"/>
    <n v="80"/>
    <n v="28"/>
    <n v="9"/>
    <n v="37"/>
    <n v="6"/>
    <n v="10"/>
    <n v="16"/>
  </r>
  <r>
    <n v="2116"/>
    <x v="2116"/>
    <n v="1981"/>
    <x v="4"/>
    <x v="4"/>
    <x v="2"/>
    <n v="27733"/>
    <x v="0"/>
    <n v="1"/>
    <n v="0"/>
    <x v="2"/>
    <d v="2013-08-26T00:00:00"/>
    <s v="11 years, 10 months"/>
    <n v="16"/>
    <n v="7"/>
    <n v="2"/>
    <n v="9"/>
    <n v="2"/>
    <n v="3"/>
    <n v="5"/>
  </r>
  <r>
    <n v="2117"/>
    <x v="2117"/>
    <n v="1952"/>
    <x v="13"/>
    <x v="1"/>
    <x v="1"/>
    <n v="69805"/>
    <x v="0"/>
    <n v="0"/>
    <n v="1"/>
    <x v="2"/>
    <d v="2014-01-21T00:00:00"/>
    <s v="11 years, 5 months"/>
    <n v="50"/>
    <n v="71"/>
    <n v="10"/>
    <n v="81"/>
    <n v="6"/>
    <n v="11"/>
    <n v="17"/>
  </r>
  <r>
    <n v="2118"/>
    <x v="2118"/>
    <n v="1962"/>
    <x v="43"/>
    <x v="2"/>
    <x v="0"/>
    <n v="72217"/>
    <x v="0"/>
    <n v="0"/>
    <n v="0"/>
    <x v="0"/>
    <d v="2013-04-10T00:00:00"/>
    <s v="12 years, 2 months"/>
    <n v="93"/>
    <n v="42"/>
    <n v="56"/>
    <n v="98"/>
    <n v="3"/>
    <n v="8"/>
    <n v="11"/>
  </r>
  <r>
    <n v="2119"/>
    <x v="2119"/>
    <n v="1971"/>
    <x v="6"/>
    <x v="0"/>
    <x v="3"/>
    <n v="25818"/>
    <x v="0"/>
    <n v="1"/>
    <n v="0"/>
    <x v="2"/>
    <d v="2012-10-18T00:00:00"/>
    <s v="12 years, 8 months"/>
    <n v="51"/>
    <n v="2"/>
    <n v="2"/>
    <n v="4"/>
    <n v="0"/>
    <n v="2"/>
    <n v="2"/>
  </r>
  <r>
    <n v="2120"/>
    <x v="2120"/>
    <n v="1976"/>
    <x v="11"/>
    <x v="2"/>
    <x v="1"/>
    <n v="37509"/>
    <x v="0"/>
    <n v="1"/>
    <n v="0"/>
    <x v="2"/>
    <d v="2012-09-12T00:00:00"/>
    <s v="12 years, 9 months"/>
    <n v="24"/>
    <n v="5"/>
    <n v="8"/>
    <n v="13"/>
    <n v="3"/>
    <n v="4"/>
    <n v="7"/>
  </r>
  <r>
    <n v="2121"/>
    <x v="2121"/>
    <n v="1976"/>
    <x v="11"/>
    <x v="4"/>
    <x v="1"/>
    <n v="25176"/>
    <x v="0"/>
    <n v="1"/>
    <n v="1"/>
    <x v="1"/>
    <d v="2013-08-10T00:00:00"/>
    <s v="11 years, 10 months"/>
    <n v="79"/>
    <n v="0"/>
    <n v="0"/>
    <n v="0"/>
    <n v="1"/>
    <n v="2"/>
    <n v="3"/>
  </r>
  <r>
    <n v="2122"/>
    <x v="2122"/>
    <n v="1980"/>
    <x v="16"/>
    <x v="0"/>
    <x v="2"/>
    <n v="43586"/>
    <x v="0"/>
    <n v="0"/>
    <n v="1"/>
    <x v="2"/>
    <d v="2012-08-30T00:00:00"/>
    <s v="12 years, 10 months"/>
    <n v="26"/>
    <n v="2"/>
    <n v="0"/>
    <n v="2"/>
    <n v="3"/>
    <n v="4"/>
    <n v="7"/>
  </r>
  <r>
    <n v="2123"/>
    <x v="2123"/>
    <n v="1956"/>
    <x v="46"/>
    <x v="4"/>
    <x v="2"/>
    <n v="53230"/>
    <x v="0"/>
    <n v="0"/>
    <n v="1"/>
    <x v="2"/>
    <d v="2012-08-03T00:00:00"/>
    <s v="12 years, 11 months"/>
    <n v="86"/>
    <n v="72"/>
    <n v="21"/>
    <n v="93"/>
    <n v="5"/>
    <n v="12"/>
    <n v="17"/>
  </r>
  <r>
    <n v="2124"/>
    <x v="2124"/>
    <n v="1957"/>
    <x v="0"/>
    <x v="0"/>
    <x v="1"/>
    <n v="50116"/>
    <x v="0"/>
    <n v="1"/>
    <n v="1"/>
    <x v="1"/>
    <d v="2014-06-20T00:00:00"/>
    <s v="11 years, 0 months"/>
    <n v="68"/>
    <n v="0"/>
    <n v="0"/>
    <n v="0"/>
    <n v="1"/>
    <n v="4"/>
    <n v="5"/>
  </r>
  <r>
    <n v="2125"/>
    <x v="2125"/>
    <n v="1972"/>
    <x v="39"/>
    <x v="0"/>
    <x v="1"/>
    <n v="84906"/>
    <x v="2"/>
    <n v="0"/>
    <n v="0"/>
    <x v="0"/>
    <d v="2013-10-04T00:00:00"/>
    <s v="11 years, 9 months"/>
    <n v="98"/>
    <n v="15"/>
    <n v="30"/>
    <n v="45"/>
    <n v="5"/>
    <n v="12"/>
    <n v="17"/>
  </r>
  <r>
    <n v="2126"/>
    <x v="2126"/>
    <n v="1966"/>
    <x v="35"/>
    <x v="0"/>
    <x v="2"/>
    <n v="61286"/>
    <x v="0"/>
    <n v="0"/>
    <n v="1"/>
    <x v="2"/>
    <d v="2013-08-02T00:00:00"/>
    <s v="11 years, 11 months"/>
    <n v="34"/>
    <n v="0"/>
    <n v="9"/>
    <n v="9"/>
    <n v="7"/>
    <n v="8"/>
    <n v="15"/>
  </r>
  <r>
    <n v="2127"/>
    <x v="2127"/>
    <n v="1986"/>
    <x v="22"/>
    <x v="1"/>
    <x v="2"/>
    <n v="82333"/>
    <x v="2"/>
    <n v="0"/>
    <n v="0"/>
    <x v="0"/>
    <d v="2013-03-30T00:00:00"/>
    <s v="12 years, 3 months"/>
    <n v="60"/>
    <n v="0"/>
    <n v="89"/>
    <n v="89"/>
    <n v="4"/>
    <n v="10"/>
    <n v="14"/>
  </r>
  <r>
    <n v="2128"/>
    <x v="2128"/>
    <n v="1965"/>
    <x v="2"/>
    <x v="1"/>
    <x v="1"/>
    <n v="65220"/>
    <x v="0"/>
    <n v="0"/>
    <n v="0"/>
    <x v="0"/>
    <d v="2012-09-03T00:00:00"/>
    <s v="12 years, 10 months"/>
    <n v="3"/>
    <n v="63"/>
    <n v="25"/>
    <n v="88"/>
    <n v="8"/>
    <n v="7"/>
    <n v="15"/>
  </r>
  <r>
    <n v="2129"/>
    <x v="2129"/>
    <n v="1974"/>
    <x v="8"/>
    <x v="0"/>
    <x v="1"/>
    <n v="33590"/>
    <x v="0"/>
    <n v="2"/>
    <n v="1"/>
    <x v="3"/>
    <d v="2013-11-03T00:00:00"/>
    <s v="11 years, 8 months"/>
    <n v="65"/>
    <n v="0"/>
    <n v="0"/>
    <n v="0"/>
    <n v="1"/>
    <n v="2"/>
    <n v="3"/>
  </r>
  <r>
    <n v="2130"/>
    <x v="2130"/>
    <n v="1976"/>
    <x v="11"/>
    <x v="0"/>
    <x v="3"/>
    <n v="30992"/>
    <x v="0"/>
    <n v="1"/>
    <n v="0"/>
    <x v="2"/>
    <d v="2013-04-22T00:00:00"/>
    <s v="12 years, 2 months"/>
    <n v="83"/>
    <n v="0"/>
    <n v="3"/>
    <n v="3"/>
    <n v="1"/>
    <n v="3"/>
    <n v="4"/>
  </r>
  <r>
    <n v="2131"/>
    <x v="2131"/>
    <n v="1976"/>
    <x v="11"/>
    <x v="2"/>
    <x v="0"/>
    <n v="72309"/>
    <x v="0"/>
    <n v="0"/>
    <n v="0"/>
    <x v="0"/>
    <d v="2013-03-11T00:00:00"/>
    <s v="12 years, 3 months"/>
    <n v="64"/>
    <n v="0"/>
    <n v="38"/>
    <n v="38"/>
    <n v="5"/>
    <n v="8"/>
    <n v="13"/>
  </r>
  <r>
    <n v="2132"/>
    <x v="2132"/>
    <n v="1949"/>
    <x v="17"/>
    <x v="1"/>
    <x v="2"/>
    <n v="156924"/>
    <x v="3"/>
    <n v="0"/>
    <n v="0"/>
    <x v="0"/>
    <d v="2013-08-29T00:00:00"/>
    <s v="11 years, 10 months"/>
    <n v="85"/>
    <n v="1"/>
    <n v="1"/>
    <n v="2"/>
    <n v="0"/>
    <n v="0"/>
    <n v="0"/>
  </r>
  <r>
    <n v="2133"/>
    <x v="2133"/>
    <n v="1980"/>
    <x v="16"/>
    <x v="3"/>
    <x v="2"/>
    <n v="16005"/>
    <x v="1"/>
    <n v="1"/>
    <n v="0"/>
    <x v="2"/>
    <d v="2012-08-14T00:00:00"/>
    <s v="12 years, 10 months"/>
    <n v="69"/>
    <n v="3"/>
    <n v="30"/>
    <n v="33"/>
    <n v="2"/>
    <n v="2"/>
    <n v="4"/>
  </r>
  <r>
    <n v="2134"/>
    <x v="2134"/>
    <n v="1957"/>
    <x v="0"/>
    <x v="2"/>
    <x v="6"/>
    <n v="65487"/>
    <x v="0"/>
    <n v="0"/>
    <n v="0"/>
    <x v="0"/>
    <d v="2014-01-10T00:00:00"/>
    <s v="11 years, 5 months"/>
    <n v="48"/>
    <n v="67"/>
    <n v="0"/>
    <n v="67"/>
    <n v="3"/>
    <n v="6"/>
    <n v="9"/>
  </r>
  <r>
    <n v="2135"/>
    <x v="2135"/>
    <n v="1965"/>
    <x v="2"/>
    <x v="0"/>
    <x v="2"/>
    <n v="58692"/>
    <x v="0"/>
    <n v="0"/>
    <n v="1"/>
    <x v="2"/>
    <d v="2014-04-06T00:00:00"/>
    <s v="11 years, 3 months"/>
    <n v="21"/>
    <n v="11"/>
    <n v="7"/>
    <n v="18"/>
    <n v="8"/>
    <n v="4"/>
    <n v="12"/>
  </r>
  <r>
    <n v="2136"/>
    <x v="2136"/>
    <n v="1969"/>
    <x v="21"/>
    <x v="0"/>
    <x v="4"/>
    <n v="40590"/>
    <x v="0"/>
    <n v="1"/>
    <n v="1"/>
    <x v="1"/>
    <d v="2013-10-02T00:00:00"/>
    <s v="11 years, 9 months"/>
    <n v="30"/>
    <n v="0"/>
    <n v="11"/>
    <n v="11"/>
    <n v="3"/>
    <n v="3"/>
    <n v="6"/>
  </r>
  <r>
    <n v="2137"/>
    <x v="2137"/>
    <n v="1970"/>
    <x v="25"/>
    <x v="0"/>
    <x v="0"/>
    <n v="20587"/>
    <x v="1"/>
    <n v="1"/>
    <n v="0"/>
    <x v="2"/>
    <d v="2014-05-11T00:00:00"/>
    <s v="11 years, 1 months"/>
    <n v="39"/>
    <n v="3"/>
    <n v="1"/>
    <n v="4"/>
    <n v="1"/>
    <n v="2"/>
    <n v="3"/>
  </r>
  <r>
    <n v="2138"/>
    <x v="2138"/>
    <n v="1954"/>
    <x v="1"/>
    <x v="2"/>
    <x v="3"/>
    <n v="62637"/>
    <x v="0"/>
    <n v="0"/>
    <n v="1"/>
    <x v="2"/>
    <d v="2014-03-01T00:00:00"/>
    <s v="11 years, 4 months"/>
    <n v="76"/>
    <n v="12"/>
    <n v="12"/>
    <n v="24"/>
    <n v="2"/>
    <n v="5"/>
    <n v="7"/>
  </r>
  <r>
    <n v="2139"/>
    <x v="2139"/>
    <n v="1966"/>
    <x v="35"/>
    <x v="2"/>
    <x v="3"/>
    <n v="29435"/>
    <x v="0"/>
    <n v="1"/>
    <n v="1"/>
    <x v="1"/>
    <d v="2012-08-06T00:00:00"/>
    <s v="12 years, 11 months"/>
    <n v="11"/>
    <n v="3"/>
    <n v="2"/>
    <n v="5"/>
    <n v="3"/>
    <n v="2"/>
    <n v="5"/>
  </r>
  <r>
    <n v="2140"/>
    <x v="2140"/>
    <n v="1974"/>
    <x v="8"/>
    <x v="0"/>
    <x v="3"/>
    <n v="19346"/>
    <x v="1"/>
    <n v="1"/>
    <n v="0"/>
    <x v="2"/>
    <d v="2014-01-30T00:00:00"/>
    <s v="11 years, 5 months"/>
    <n v="26"/>
    <n v="0"/>
    <n v="6"/>
    <n v="6"/>
    <n v="1"/>
    <n v="3"/>
    <n v="4"/>
  </r>
  <r>
    <n v="2141"/>
    <x v="2141"/>
    <n v="1971"/>
    <x v="6"/>
    <x v="0"/>
    <x v="2"/>
    <n v="35788"/>
    <x v="0"/>
    <n v="1"/>
    <n v="1"/>
    <x v="1"/>
    <d v="2014-01-23T00:00:00"/>
    <s v="11 years, 5 months"/>
    <n v="34"/>
    <n v="2"/>
    <n v="1"/>
    <n v="3"/>
    <n v="2"/>
    <n v="3"/>
    <n v="5"/>
  </r>
  <r>
    <n v="2142"/>
    <x v="2142"/>
    <n v="1968"/>
    <x v="30"/>
    <x v="0"/>
    <x v="3"/>
    <n v="36997"/>
    <x v="0"/>
    <n v="1"/>
    <n v="1"/>
    <x v="1"/>
    <d v="2013-02-01T00:00:00"/>
    <s v="12 years, 5 months"/>
    <n v="72"/>
    <n v="4"/>
    <n v="0"/>
    <n v="4"/>
    <n v="2"/>
    <n v="4"/>
    <n v="6"/>
  </r>
  <r>
    <n v="2143"/>
    <x v="2143"/>
    <n v="1957"/>
    <x v="0"/>
    <x v="0"/>
    <x v="2"/>
    <n v="23539"/>
    <x v="1"/>
    <n v="0"/>
    <n v="0"/>
    <x v="0"/>
    <d v="2014-02-28T00:00:00"/>
    <s v="11 years, 4 months"/>
    <n v="13"/>
    <n v="24"/>
    <n v="1"/>
    <n v="25"/>
    <n v="2"/>
    <n v="4"/>
    <n v="6"/>
  </r>
  <r>
    <n v="2144"/>
    <x v="2144"/>
    <n v="1973"/>
    <x v="26"/>
    <x v="0"/>
    <x v="0"/>
    <n v="65333"/>
    <x v="0"/>
    <n v="0"/>
    <n v="1"/>
    <x v="2"/>
    <d v="2014-01-17T00:00:00"/>
    <s v="11 years, 5 months"/>
    <n v="58"/>
    <n v="7"/>
    <n v="15"/>
    <n v="22"/>
    <n v="9"/>
    <n v="8"/>
    <n v="17"/>
  </r>
  <r>
    <n v="2145"/>
    <x v="2145"/>
    <n v="1957"/>
    <x v="0"/>
    <x v="0"/>
    <x v="0"/>
    <n v="78499"/>
    <x v="2"/>
    <n v="0"/>
    <n v="0"/>
    <x v="0"/>
    <d v="2013-11-23T00:00:00"/>
    <s v="11 years, 7 months"/>
    <n v="12"/>
    <n v="72"/>
    <n v="36"/>
    <n v="108"/>
    <n v="11"/>
    <n v="4"/>
    <n v="15"/>
  </r>
  <r>
    <n v="2146"/>
    <x v="2146"/>
    <n v="1971"/>
    <x v="6"/>
    <x v="1"/>
    <x v="1"/>
    <n v="29732"/>
    <x v="0"/>
    <n v="1"/>
    <n v="0"/>
    <x v="2"/>
    <d v="2014-03-25T00:00:00"/>
    <s v="11 years, 3 months"/>
    <n v="23"/>
    <n v="0"/>
    <n v="1"/>
    <n v="1"/>
    <n v="2"/>
    <n v="2"/>
    <n v="4"/>
  </r>
  <r>
    <n v="2147"/>
    <x v="2147"/>
    <n v="1960"/>
    <x v="40"/>
    <x v="2"/>
    <x v="1"/>
    <n v="41275"/>
    <x v="0"/>
    <n v="1"/>
    <n v="2"/>
    <x v="3"/>
    <d v="2014-03-24T00:00:00"/>
    <s v="11 years, 3 months"/>
    <n v="33"/>
    <n v="4"/>
    <n v="2"/>
    <n v="6"/>
    <n v="3"/>
    <n v="3"/>
    <n v="6"/>
  </r>
  <r>
    <n v="2148"/>
    <x v="2148"/>
    <n v="1973"/>
    <x v="26"/>
    <x v="1"/>
    <x v="1"/>
    <n v="63516"/>
    <x v="0"/>
    <n v="1"/>
    <n v="1"/>
    <x v="1"/>
    <d v="2013-07-06T00:00:00"/>
    <s v="12 years, 0 months"/>
    <n v="30"/>
    <n v="11"/>
    <n v="14"/>
    <n v="25"/>
    <n v="4"/>
    <n v="7"/>
    <n v="11"/>
  </r>
  <r>
    <n v="2149"/>
    <x v="2149"/>
    <n v="1962"/>
    <x v="43"/>
    <x v="1"/>
    <x v="2"/>
    <n v="42769"/>
    <x v="0"/>
    <n v="0"/>
    <n v="1"/>
    <x v="2"/>
    <d v="2013-10-12T00:00:00"/>
    <s v="11 years, 8 months"/>
    <n v="15"/>
    <n v="0"/>
    <n v="1"/>
    <n v="1"/>
    <n v="1"/>
    <n v="4"/>
    <n v="5"/>
  </r>
  <r>
    <n v="2150"/>
    <x v="2150"/>
    <n v="1958"/>
    <x v="38"/>
    <x v="2"/>
    <x v="2"/>
    <n v="49572"/>
    <x v="0"/>
    <n v="1"/>
    <n v="1"/>
    <x v="1"/>
    <d v="2013-12-15T00:00:00"/>
    <s v="11 years, 6 months"/>
    <n v="25"/>
    <n v="1"/>
    <n v="1"/>
    <n v="2"/>
    <n v="2"/>
    <n v="3"/>
    <n v="5"/>
  </r>
  <r>
    <n v="2151"/>
    <x v="2151"/>
    <n v="1972"/>
    <x v="39"/>
    <x v="0"/>
    <x v="2"/>
    <n v="69209"/>
    <x v="0"/>
    <n v="0"/>
    <n v="0"/>
    <x v="0"/>
    <d v="2012-09-17T00:00:00"/>
    <s v="12 years, 9 months"/>
    <n v="4"/>
    <n v="32"/>
    <n v="48"/>
    <n v="80"/>
    <n v="5"/>
    <n v="6"/>
    <n v="11"/>
  </r>
  <r>
    <n v="2152"/>
    <x v="2152"/>
    <n v="1976"/>
    <x v="11"/>
    <x v="0"/>
    <x v="2"/>
    <n v="17148"/>
    <x v="1"/>
    <n v="1"/>
    <n v="0"/>
    <x v="2"/>
    <d v="2014-01-28T00:00:00"/>
    <s v="11 years, 5 months"/>
    <n v="80"/>
    <n v="9"/>
    <n v="10"/>
    <n v="19"/>
    <n v="3"/>
    <n v="3"/>
    <n v="6"/>
  </r>
  <r>
    <n v="2153"/>
    <x v="2153"/>
    <n v="1969"/>
    <x v="21"/>
    <x v="0"/>
    <x v="4"/>
    <n v="40590"/>
    <x v="0"/>
    <n v="1"/>
    <n v="1"/>
    <x v="1"/>
    <d v="2013-10-02T00:00:00"/>
    <s v="11 years, 9 months"/>
    <n v="30"/>
    <n v="0"/>
    <n v="11"/>
    <n v="11"/>
    <n v="3"/>
    <n v="3"/>
    <n v="6"/>
  </r>
  <r>
    <n v="2154"/>
    <x v="2154"/>
    <n v="1976"/>
    <x v="11"/>
    <x v="2"/>
    <x v="1"/>
    <n v="30560"/>
    <x v="0"/>
    <n v="1"/>
    <n v="0"/>
    <x v="2"/>
    <d v="2013-06-27T00:00:00"/>
    <s v="12 years, 0 months"/>
    <n v="6"/>
    <n v="1"/>
    <n v="5"/>
    <n v="6"/>
    <n v="1"/>
    <n v="3"/>
    <n v="4"/>
  </r>
  <r>
    <n v="2155"/>
    <x v="2155"/>
    <n v="1983"/>
    <x v="10"/>
    <x v="4"/>
    <x v="2"/>
    <n v="32146"/>
    <x v="0"/>
    <n v="1"/>
    <n v="0"/>
    <x v="2"/>
    <d v="2014-05-12T00:00:00"/>
    <s v="11 years, 1 months"/>
    <n v="16"/>
    <n v="3"/>
    <n v="7"/>
    <n v="10"/>
    <n v="2"/>
    <n v="4"/>
    <n v="6"/>
  </r>
  <r>
    <n v="2156"/>
    <x v="2156"/>
    <n v="1964"/>
    <x v="31"/>
    <x v="4"/>
    <x v="3"/>
    <n v="41713"/>
    <x v="0"/>
    <n v="1"/>
    <n v="1"/>
    <x v="1"/>
    <d v="2014-04-29T00:00:00"/>
    <s v="11 years, 2 months"/>
    <n v="57"/>
    <n v="8"/>
    <n v="10"/>
    <n v="18"/>
    <n v="3"/>
    <n v="4"/>
    <n v="7"/>
  </r>
  <r>
    <n v="2157"/>
    <x v="2157"/>
    <n v="1975"/>
    <x v="28"/>
    <x v="2"/>
    <x v="1"/>
    <n v="34176"/>
    <x v="0"/>
    <n v="0"/>
    <n v="1"/>
    <x v="2"/>
    <d v="2014-01-22T00:00:00"/>
    <s v="11 years, 5 months"/>
    <n v="9"/>
    <n v="2"/>
    <n v="2"/>
    <n v="4"/>
    <n v="1"/>
    <n v="3"/>
    <n v="4"/>
  </r>
  <r>
    <n v="2158"/>
    <x v="2158"/>
    <n v="1955"/>
    <x v="34"/>
    <x v="1"/>
    <x v="2"/>
    <n v="58482"/>
    <x v="0"/>
    <n v="0"/>
    <n v="1"/>
    <x v="2"/>
    <d v="2014-03-12T00:00:00"/>
    <s v="11 years, 3 months"/>
    <n v="59"/>
    <n v="7"/>
    <n v="7"/>
    <n v="14"/>
    <n v="7"/>
    <n v="9"/>
    <n v="16"/>
  </r>
  <r>
    <n v="2159"/>
    <x v="2159"/>
    <n v="1965"/>
    <x v="2"/>
    <x v="0"/>
    <x v="0"/>
    <n v="59686"/>
    <x v="0"/>
    <n v="0"/>
    <n v="1"/>
    <x v="2"/>
    <d v="2014-01-25T00:00:00"/>
    <s v="11 years, 5 months"/>
    <n v="78"/>
    <n v="15"/>
    <n v="42"/>
    <n v="57"/>
    <n v="4"/>
    <n v="6"/>
    <n v="10"/>
  </r>
  <r>
    <n v="2160"/>
    <x v="2160"/>
    <n v="1964"/>
    <x v="31"/>
    <x v="1"/>
    <x v="2"/>
    <n v="60896"/>
    <x v="0"/>
    <n v="0"/>
    <n v="1"/>
    <x v="2"/>
    <d v="2012-10-11T00:00:00"/>
    <s v="12 years, 8 months"/>
    <n v="90"/>
    <n v="30"/>
    <n v="46"/>
    <n v="76"/>
    <n v="9"/>
    <n v="4"/>
    <n v="13"/>
  </r>
  <r>
    <n v="2161"/>
    <x v="2161"/>
    <n v="1980"/>
    <x v="16"/>
    <x v="0"/>
    <x v="1"/>
    <n v="62994"/>
    <x v="0"/>
    <n v="1"/>
    <n v="0"/>
    <x v="2"/>
    <d v="2014-03-04T00:00:00"/>
    <s v="11 years, 4 months"/>
    <n v="74"/>
    <n v="12"/>
    <n v="12"/>
    <n v="24"/>
    <n v="6"/>
    <n v="4"/>
    <n v="10"/>
  </r>
  <r>
    <n v="2162"/>
    <x v="2162"/>
    <n v="1957"/>
    <x v="0"/>
    <x v="0"/>
    <x v="1"/>
    <n v="47320"/>
    <x v="0"/>
    <n v="0"/>
    <n v="1"/>
    <x v="2"/>
    <d v="2013-08-01T00:00:00"/>
    <s v="11 years, 11 months"/>
    <n v="10"/>
    <n v="19"/>
    <n v="15"/>
    <n v="34"/>
    <n v="5"/>
    <n v="8"/>
    <n v="13"/>
  </r>
  <r>
    <n v="2163"/>
    <x v="2163"/>
    <n v="1949"/>
    <x v="17"/>
    <x v="4"/>
    <x v="4"/>
    <n v="74859"/>
    <x v="0"/>
    <n v="0"/>
    <n v="0"/>
    <x v="0"/>
    <d v="2013-06-03T00:00:00"/>
    <s v="12 years, 1 months"/>
    <n v="63"/>
    <n v="73"/>
    <n v="102"/>
    <n v="175"/>
    <n v="6"/>
    <n v="11"/>
    <n v="17"/>
  </r>
  <r>
    <n v="2164"/>
    <x v="2164"/>
    <n v="1992"/>
    <x v="47"/>
    <x v="3"/>
    <x v="0"/>
    <n v="15253"/>
    <x v="1"/>
    <n v="1"/>
    <n v="0"/>
    <x v="2"/>
    <d v="2013-10-28T00:00:00"/>
    <s v="11 years, 8 months"/>
    <n v="13"/>
    <n v="3"/>
    <n v="1"/>
    <n v="4"/>
    <n v="1"/>
    <n v="3"/>
    <n v="4"/>
  </r>
  <r>
    <n v="2165"/>
    <x v="2165"/>
    <n v="1974"/>
    <x v="8"/>
    <x v="1"/>
    <x v="0"/>
    <n v="31560"/>
    <x v="0"/>
    <n v="1"/>
    <n v="0"/>
    <x v="2"/>
    <d v="2013-06-24T00:00:00"/>
    <s v="12 years, 0 months"/>
    <n v="98"/>
    <n v="1"/>
    <n v="0"/>
    <n v="1"/>
    <n v="2"/>
    <n v="3"/>
    <n v="5"/>
  </r>
  <r>
    <n v="2166"/>
    <x v="2166"/>
    <n v="1954"/>
    <x v="1"/>
    <x v="0"/>
    <x v="3"/>
    <n v="72071"/>
    <x v="0"/>
    <n v="0"/>
    <n v="1"/>
    <x v="2"/>
    <d v="2013-02-14T00:00:00"/>
    <s v="12 years, 4 months"/>
    <n v="4"/>
    <n v="69"/>
    <n v="138"/>
    <n v="207"/>
    <n v="5"/>
    <n v="8"/>
    <n v="13"/>
  </r>
  <r>
    <n v="2167"/>
    <x v="2167"/>
    <n v="1990"/>
    <x v="50"/>
    <x v="2"/>
    <x v="0"/>
    <n v="91172"/>
    <x v="2"/>
    <n v="0"/>
    <n v="0"/>
    <x v="0"/>
    <d v="2013-03-27T00:00:00"/>
    <s v="12 years, 3 months"/>
    <n v="94"/>
    <n v="28"/>
    <n v="28"/>
    <n v="56"/>
    <n v="4"/>
    <n v="7"/>
    <n v="11"/>
  </r>
  <r>
    <n v="2168"/>
    <x v="2168"/>
    <n v="1984"/>
    <x v="3"/>
    <x v="0"/>
    <x v="2"/>
    <n v="90000"/>
    <x v="2"/>
    <n v="0"/>
    <n v="0"/>
    <x v="0"/>
    <d v="2013-12-23T00:00:00"/>
    <s v="11 years, 6 months"/>
    <n v="91"/>
    <n v="144"/>
    <n v="192"/>
    <n v="336"/>
    <n v="4"/>
    <n v="5"/>
    <n v="9"/>
  </r>
  <r>
    <n v="2169"/>
    <x v="2169"/>
    <n v="1981"/>
    <x v="4"/>
    <x v="0"/>
    <x v="0"/>
    <n v="41967"/>
    <x v="0"/>
    <n v="1"/>
    <n v="1"/>
    <x v="1"/>
    <d v="2013-11-23T00:00:00"/>
    <s v="11 years, 7 months"/>
    <n v="66"/>
    <n v="4"/>
    <n v="2"/>
    <n v="6"/>
    <n v="1"/>
    <n v="3"/>
    <n v="4"/>
  </r>
  <r>
    <n v="2170"/>
    <x v="2170"/>
    <n v="1965"/>
    <x v="2"/>
    <x v="0"/>
    <x v="0"/>
    <n v="69263"/>
    <x v="0"/>
    <n v="0"/>
    <n v="1"/>
    <x v="2"/>
    <d v="2014-03-05T00:00:00"/>
    <s v="11 years, 4 months"/>
    <n v="14"/>
    <n v="5"/>
    <n v="5"/>
    <n v="10"/>
    <n v="9"/>
    <n v="7"/>
    <n v="16"/>
  </r>
  <r>
    <n v="2171"/>
    <x v="2171"/>
    <n v="1970"/>
    <x v="25"/>
    <x v="4"/>
    <x v="3"/>
    <n v="65706"/>
    <x v="0"/>
    <n v="0"/>
    <n v="0"/>
    <x v="0"/>
    <d v="2013-06-28T00:00:00"/>
    <s v="12 years, 0 months"/>
    <n v="77"/>
    <n v="10"/>
    <n v="0"/>
    <n v="10"/>
    <n v="11"/>
    <n v="12"/>
    <n v="23"/>
  </r>
  <r>
    <n v="2172"/>
    <x v="2172"/>
    <n v="1975"/>
    <x v="28"/>
    <x v="0"/>
    <x v="1"/>
    <n v="60934"/>
    <x v="0"/>
    <n v="0"/>
    <n v="1"/>
    <x v="2"/>
    <d v="2014-01-17T00:00:00"/>
    <s v="11 years, 5 months"/>
    <n v="41"/>
    <n v="155"/>
    <n v="93"/>
    <n v="248"/>
    <n v="6"/>
    <n v="11"/>
    <n v="17"/>
  </r>
  <r>
    <n v="2173"/>
    <x v="2173"/>
    <n v="1951"/>
    <x v="20"/>
    <x v="0"/>
    <x v="2"/>
    <n v="71965"/>
    <x v="0"/>
    <n v="0"/>
    <n v="1"/>
    <x v="2"/>
    <d v="2013-07-29T00:00:00"/>
    <s v="11 years, 11 months"/>
    <n v="21"/>
    <n v="19"/>
    <n v="38"/>
    <n v="57"/>
    <n v="6"/>
    <n v="5"/>
    <n v="11"/>
  </r>
  <r>
    <n v="2174"/>
    <x v="2174"/>
    <n v="1955"/>
    <x v="34"/>
    <x v="0"/>
    <x v="2"/>
    <n v="65210"/>
    <x v="0"/>
    <n v="0"/>
    <n v="1"/>
    <x v="2"/>
    <d v="2014-03-10T00:00:00"/>
    <s v="11 years, 3 months"/>
    <n v="25"/>
    <n v="0"/>
    <n v="7"/>
    <n v="7"/>
    <n v="9"/>
    <n v="8"/>
    <n v="17"/>
  </r>
  <r>
    <n v="2175"/>
    <x v="2175"/>
    <n v="1975"/>
    <x v="28"/>
    <x v="1"/>
    <x v="2"/>
    <n v="79174"/>
    <x v="2"/>
    <n v="0"/>
    <n v="0"/>
    <x v="0"/>
    <d v="2013-01-11T00:00:00"/>
    <s v="12 years, 5 months"/>
    <n v="2"/>
    <n v="37"/>
    <n v="92"/>
    <n v="129"/>
    <n v="5"/>
    <n v="7"/>
    <n v="12"/>
  </r>
  <r>
    <n v="2176"/>
    <x v="2176"/>
    <n v="1967"/>
    <x v="5"/>
    <x v="2"/>
    <x v="3"/>
    <n v="81380"/>
    <x v="2"/>
    <n v="0"/>
    <n v="0"/>
    <x v="0"/>
    <d v="2012-12-22T00:00:00"/>
    <s v="12 years, 6 months"/>
    <n v="51"/>
    <n v="68"/>
    <n v="68"/>
    <n v="136"/>
    <n v="4"/>
    <n v="10"/>
    <n v="14"/>
  </r>
  <r>
    <n v="2177"/>
    <x v="2177"/>
    <n v="1973"/>
    <x v="26"/>
    <x v="1"/>
    <x v="7"/>
    <n v="48432"/>
    <x v="0"/>
    <n v="0"/>
    <n v="1"/>
    <x v="2"/>
    <d v="2012-10-18T00:00:00"/>
    <s v="12 years, 8 months"/>
    <n v="3"/>
    <n v="3"/>
    <n v="3"/>
    <n v="6"/>
    <n v="7"/>
    <n v="6"/>
    <n v="13"/>
  </r>
  <r>
    <n v="2178"/>
    <x v="2178"/>
    <n v="1971"/>
    <x v="6"/>
    <x v="0"/>
    <x v="2"/>
    <n v="52914"/>
    <x v="0"/>
    <n v="0"/>
    <n v="1"/>
    <x v="2"/>
    <d v="2013-01-07T00:00:00"/>
    <s v="12 years, 5 months"/>
    <n v="32"/>
    <n v="10"/>
    <n v="10"/>
    <n v="20"/>
    <n v="7"/>
    <n v="3"/>
    <n v="10"/>
  </r>
  <r>
    <n v="2179"/>
    <x v="2179"/>
    <n v="1955"/>
    <x v="34"/>
    <x v="0"/>
    <x v="1"/>
    <n v="38946"/>
    <x v="0"/>
    <n v="0"/>
    <n v="1"/>
    <x v="2"/>
    <d v="2013-10-24T00:00:00"/>
    <s v="11 years, 8 months"/>
    <n v="84"/>
    <n v="6"/>
    <n v="6"/>
    <n v="12"/>
    <n v="3"/>
    <n v="6"/>
    <n v="9"/>
  </r>
  <r>
    <n v="2180"/>
    <x v="2180"/>
    <n v="1974"/>
    <x v="8"/>
    <x v="0"/>
    <x v="2"/>
    <n v="26067"/>
    <x v="0"/>
    <n v="1"/>
    <n v="0"/>
    <x v="2"/>
    <d v="2013-11-04T00:00:00"/>
    <s v="11 years, 8 months"/>
    <n v="49"/>
    <n v="2"/>
    <n v="2"/>
    <n v="4"/>
    <n v="3"/>
    <n v="3"/>
    <n v="6"/>
  </r>
  <r>
    <n v="2181"/>
    <x v="2181"/>
    <n v="1972"/>
    <x v="39"/>
    <x v="1"/>
    <x v="2"/>
    <n v="44325"/>
    <x v="0"/>
    <n v="0"/>
    <n v="1"/>
    <x v="2"/>
    <d v="2013-03-07T00:00:00"/>
    <s v="12 years, 3 months"/>
    <n v="69"/>
    <n v="0"/>
    <n v="0"/>
    <n v="0"/>
    <n v="8"/>
    <n v="7"/>
    <n v="15"/>
  </r>
  <r>
    <n v="2182"/>
    <x v="2182"/>
    <n v="1964"/>
    <x v="31"/>
    <x v="0"/>
    <x v="2"/>
    <n v="42523"/>
    <x v="0"/>
    <n v="0"/>
    <n v="0"/>
    <x v="0"/>
    <d v="2014-04-23T00:00:00"/>
    <s v="11 years, 2 months"/>
    <n v="96"/>
    <n v="36"/>
    <n v="26"/>
    <n v="62"/>
    <n v="1"/>
    <n v="4"/>
    <n v="5"/>
  </r>
  <r>
    <n v="2183"/>
    <x v="2183"/>
    <n v="1978"/>
    <x v="33"/>
    <x v="3"/>
    <x v="0"/>
    <n v="26487"/>
    <x v="0"/>
    <n v="1"/>
    <n v="0"/>
    <x v="2"/>
    <d v="2013-05-20T00:00:00"/>
    <s v="12 years, 1 months"/>
    <n v="23"/>
    <n v="8"/>
    <n v="14"/>
    <n v="22"/>
    <n v="2"/>
    <n v="3"/>
    <n v="5"/>
  </r>
  <r>
    <n v="2184"/>
    <x v="2184"/>
    <n v="1957"/>
    <x v="0"/>
    <x v="4"/>
    <x v="2"/>
    <n v="53233"/>
    <x v="0"/>
    <n v="0"/>
    <n v="1"/>
    <x v="2"/>
    <d v="2014-03-18T00:00:00"/>
    <s v="11 years, 3 months"/>
    <n v="18"/>
    <n v="0"/>
    <n v="0"/>
    <n v="0"/>
    <n v="1"/>
    <n v="3"/>
    <n v="4"/>
  </r>
  <r>
    <n v="2185"/>
    <x v="2185"/>
    <n v="1960"/>
    <x v="40"/>
    <x v="0"/>
    <x v="2"/>
    <n v="67716"/>
    <x v="0"/>
    <n v="0"/>
    <n v="1"/>
    <x v="2"/>
    <d v="2013-01-10T00:00:00"/>
    <s v="12 years, 5 months"/>
    <n v="8"/>
    <n v="142"/>
    <n v="9"/>
    <n v="151"/>
    <n v="7"/>
    <n v="13"/>
    <n v="20"/>
  </r>
  <r>
    <n v="2186"/>
    <x v="2186"/>
    <n v="1972"/>
    <x v="39"/>
    <x v="2"/>
    <x v="2"/>
    <n v="76234"/>
    <x v="2"/>
    <n v="0"/>
    <n v="1"/>
    <x v="2"/>
    <d v="2014-02-06T00:00:00"/>
    <s v="11 years, 5 months"/>
    <n v="21"/>
    <n v="50"/>
    <n v="0"/>
    <n v="50"/>
    <n v="8"/>
    <n v="11"/>
    <n v="19"/>
  </r>
  <r>
    <n v="2187"/>
    <x v="2187"/>
    <n v="1956"/>
    <x v="46"/>
    <x v="1"/>
    <x v="2"/>
    <n v="84117"/>
    <x v="2"/>
    <n v="0"/>
    <n v="0"/>
    <x v="0"/>
    <d v="2014-05-11T00:00:00"/>
    <s v="11 years, 1 months"/>
    <n v="60"/>
    <n v="76"/>
    <n v="45"/>
    <n v="121"/>
    <n v="7"/>
    <n v="6"/>
    <n v="13"/>
  </r>
  <r>
    <n v="2188"/>
    <x v="2188"/>
    <n v="1957"/>
    <x v="0"/>
    <x v="2"/>
    <x v="1"/>
    <n v="65487"/>
    <x v="0"/>
    <n v="0"/>
    <n v="0"/>
    <x v="0"/>
    <d v="2014-01-10T00:00:00"/>
    <s v="11 years, 5 months"/>
    <n v="48"/>
    <n v="67"/>
    <n v="0"/>
    <n v="67"/>
    <n v="3"/>
    <n v="6"/>
    <n v="9"/>
  </r>
  <r>
    <n v="2189"/>
    <x v="2189"/>
    <n v="1972"/>
    <x v="39"/>
    <x v="3"/>
    <x v="2"/>
    <n v="25224"/>
    <x v="0"/>
    <n v="1"/>
    <n v="0"/>
    <x v="2"/>
    <d v="2014-03-16T00:00:00"/>
    <s v="11 years, 3 months"/>
    <n v="36"/>
    <n v="9"/>
    <n v="2"/>
    <n v="11"/>
    <n v="1"/>
    <n v="3"/>
    <n v="4"/>
  </r>
  <r>
    <n v="2190"/>
    <x v="2190"/>
    <n v="1983"/>
    <x v="10"/>
    <x v="2"/>
    <x v="0"/>
    <n v="89616"/>
    <x v="2"/>
    <n v="0"/>
    <n v="0"/>
    <x v="0"/>
    <d v="2013-02-25T00:00:00"/>
    <s v="12 years, 4 months"/>
    <n v="36"/>
    <n v="47"/>
    <n v="111"/>
    <n v="158"/>
    <n v="7"/>
    <n v="12"/>
    <n v="19"/>
  </r>
  <r>
    <n v="2191"/>
    <x v="2191"/>
    <n v="1971"/>
    <x v="6"/>
    <x v="0"/>
    <x v="3"/>
    <n v="40851"/>
    <x v="0"/>
    <n v="1"/>
    <n v="1"/>
    <x v="1"/>
    <d v="2013-02-21T00:00:00"/>
    <s v="12 years, 4 months"/>
    <n v="63"/>
    <n v="1"/>
    <n v="4"/>
    <n v="5"/>
    <n v="1"/>
    <n v="2"/>
    <n v="3"/>
  </r>
  <r>
    <n v="2192"/>
    <x v="2192"/>
    <n v="1947"/>
    <x v="51"/>
    <x v="0"/>
    <x v="2"/>
    <n v="27469"/>
    <x v="0"/>
    <n v="0"/>
    <n v="0"/>
    <x v="0"/>
    <d v="2012-08-02T00:00:00"/>
    <s v="12 years, 11 months"/>
    <n v="2"/>
    <n v="1"/>
    <n v="2"/>
    <n v="3"/>
    <n v="0"/>
    <n v="3"/>
    <n v="3"/>
  </r>
  <r>
    <n v="2193"/>
    <x v="2193"/>
    <n v="1957"/>
    <x v="0"/>
    <x v="4"/>
    <x v="2"/>
    <n v="82347"/>
    <x v="2"/>
    <n v="0"/>
    <n v="0"/>
    <x v="0"/>
    <d v="2012-11-06T00:00:00"/>
    <s v="12 years, 8 months"/>
    <n v="38"/>
    <n v="54"/>
    <n v="133"/>
    <n v="187"/>
    <n v="7"/>
    <n v="10"/>
    <n v="17"/>
  </r>
  <r>
    <n v="2194"/>
    <x v="2194"/>
    <n v="1957"/>
    <x v="0"/>
    <x v="0"/>
    <x v="2"/>
    <n v="73803"/>
    <x v="0"/>
    <n v="0"/>
    <n v="1"/>
    <x v="2"/>
    <d v="2012-08-01T00:00:00"/>
    <s v="12 years, 11 months"/>
    <n v="61"/>
    <n v="80"/>
    <n v="26"/>
    <n v="106"/>
    <n v="9"/>
    <n v="6"/>
    <n v="15"/>
  </r>
  <r>
    <n v="2195"/>
    <x v="2195"/>
    <n v="1952"/>
    <x v="13"/>
    <x v="2"/>
    <x v="0"/>
    <n v="8820"/>
    <x v="1"/>
    <n v="1"/>
    <n v="1"/>
    <x v="1"/>
    <d v="2013-03-22T00:00:00"/>
    <s v="12 years, 3 months"/>
    <n v="52"/>
    <n v="0"/>
    <n v="2"/>
    <n v="2"/>
    <n v="3"/>
    <n v="3"/>
    <n v="6"/>
  </r>
  <r>
    <n v="2196"/>
    <x v="2196"/>
    <n v="1974"/>
    <x v="8"/>
    <x v="0"/>
    <x v="0"/>
    <n v="43322"/>
    <x v="0"/>
    <n v="0"/>
    <n v="0"/>
    <x v="0"/>
    <d v="2014-04-21T00:00:00"/>
    <s v="11 years, 2 months"/>
    <n v="25"/>
    <n v="7"/>
    <n v="2"/>
    <n v="9"/>
    <n v="3"/>
    <n v="4"/>
    <n v="7"/>
  </r>
  <r>
    <n v="2197"/>
    <x v="2197"/>
    <n v="1973"/>
    <x v="26"/>
    <x v="0"/>
    <x v="1"/>
    <n v="55593"/>
    <x v="0"/>
    <n v="0"/>
    <n v="1"/>
    <x v="2"/>
    <d v="2013-08-21T00:00:00"/>
    <s v="11 years, 10 months"/>
    <n v="63"/>
    <n v="8"/>
    <n v="4"/>
    <n v="12"/>
    <n v="6"/>
    <n v="3"/>
    <n v="9"/>
  </r>
  <r>
    <n v="2198"/>
    <x v="2198"/>
    <n v="1954"/>
    <x v="1"/>
    <x v="0"/>
    <x v="2"/>
    <n v="50501"/>
    <x v="0"/>
    <n v="1"/>
    <n v="1"/>
    <x v="1"/>
    <d v="2013-06-18T00:00:00"/>
    <s v="12 years, 0 months"/>
    <n v="10"/>
    <n v="0"/>
    <n v="0"/>
    <n v="0"/>
    <n v="5"/>
    <n v="4"/>
    <n v="9"/>
  </r>
  <r>
    <n v="2199"/>
    <x v="2199"/>
    <n v="1975"/>
    <x v="28"/>
    <x v="0"/>
    <x v="2"/>
    <n v="37085"/>
    <x v="0"/>
    <n v="1"/>
    <n v="1"/>
    <x v="1"/>
    <d v="2014-06-26T00:00:00"/>
    <s v="11 years, 0 months"/>
    <n v="65"/>
    <n v="1"/>
    <n v="0"/>
    <n v="1"/>
    <n v="3"/>
    <n v="3"/>
    <n v="6"/>
  </r>
  <r>
    <n v="2200"/>
    <x v="2200"/>
    <n v="1990"/>
    <x v="50"/>
    <x v="3"/>
    <x v="0"/>
    <n v="16185"/>
    <x v="1"/>
    <n v="1"/>
    <n v="0"/>
    <x v="2"/>
    <d v="2013-08-05T00:00:00"/>
    <s v="11 years, 11 months"/>
    <n v="71"/>
    <n v="11"/>
    <n v="8"/>
    <n v="19"/>
    <n v="2"/>
    <n v="2"/>
    <n v="4"/>
  </r>
  <r>
    <n v="2201"/>
    <x v="2201"/>
    <n v="1969"/>
    <x v="21"/>
    <x v="0"/>
    <x v="0"/>
    <n v="57731"/>
    <x v="0"/>
    <n v="0"/>
    <n v="1"/>
    <x v="2"/>
    <d v="2012-11-23T00:00:00"/>
    <s v="12 years, 7 months"/>
    <n v="0"/>
    <n v="21"/>
    <n v="8"/>
    <n v="29"/>
    <n v="8"/>
    <n v="6"/>
    <n v="14"/>
  </r>
  <r>
    <n v="2202"/>
    <x v="2202"/>
    <n v="1973"/>
    <x v="26"/>
    <x v="1"/>
    <x v="7"/>
    <n v="48432"/>
    <x v="0"/>
    <n v="0"/>
    <n v="1"/>
    <x v="2"/>
    <d v="2012-10-18T00:00:00"/>
    <s v="12 years, 8 months"/>
    <n v="3"/>
    <n v="3"/>
    <n v="3"/>
    <n v="6"/>
    <n v="7"/>
    <n v="6"/>
    <n v="13"/>
  </r>
  <r>
    <n v="2203"/>
    <x v="2203"/>
    <n v="1978"/>
    <x v="33"/>
    <x v="0"/>
    <x v="2"/>
    <n v="73807"/>
    <x v="0"/>
    <n v="0"/>
    <n v="1"/>
    <x v="2"/>
    <d v="2013-01-02T00:00:00"/>
    <s v="12 years, 6 months"/>
    <n v="88"/>
    <n v="124"/>
    <n v="78"/>
    <n v="202"/>
    <n v="5"/>
    <n v="11"/>
    <n v="16"/>
  </r>
  <r>
    <n v="2204"/>
    <x v="2204"/>
    <n v="1990"/>
    <x v="50"/>
    <x v="0"/>
    <x v="2"/>
    <n v="18929"/>
    <x v="1"/>
    <n v="0"/>
    <n v="0"/>
    <x v="0"/>
    <d v="2013-02-16T00:00:00"/>
    <s v="12 years, 4 months"/>
    <n v="15"/>
    <n v="0"/>
    <n v="4"/>
    <n v="4"/>
    <n v="1"/>
    <n v="4"/>
    <n v="5"/>
  </r>
  <r>
    <n v="2205"/>
    <x v="2205"/>
    <n v="1968"/>
    <x v="30"/>
    <x v="0"/>
    <x v="0"/>
    <n v="35893"/>
    <x v="0"/>
    <n v="1"/>
    <n v="1"/>
    <x v="1"/>
    <d v="2012-10-15T00:00:00"/>
    <s v="12 years, 8 months"/>
    <n v="80"/>
    <n v="0"/>
    <n v="0"/>
    <n v="0"/>
    <n v="3"/>
    <n v="5"/>
    <n v="8"/>
  </r>
  <r>
    <n v="2206"/>
    <x v="2206"/>
    <n v="1980"/>
    <x v="16"/>
    <x v="0"/>
    <x v="2"/>
    <n v="61014"/>
    <x v="0"/>
    <n v="0"/>
    <n v="1"/>
    <x v="2"/>
    <d v="2012-08-11T00:00:00"/>
    <s v="12 years, 10 months"/>
    <n v="17"/>
    <n v="129"/>
    <n v="43"/>
    <n v="172"/>
    <n v="9"/>
    <n v="4"/>
    <n v="13"/>
  </r>
  <r>
    <n v="2207"/>
    <x v="2207"/>
    <n v="1954"/>
    <x v="1"/>
    <x v="0"/>
    <x v="1"/>
    <n v="32144"/>
    <x v="0"/>
    <n v="1"/>
    <n v="1"/>
    <x v="1"/>
    <d v="2014-03-23T00:00:00"/>
    <s v="11 years, 3 months"/>
    <n v="76"/>
    <n v="0"/>
    <n v="0"/>
    <n v="0"/>
    <n v="2"/>
    <n v="3"/>
    <n v="5"/>
  </r>
  <r>
    <n v="2208"/>
    <x v="2208"/>
    <n v="1963"/>
    <x v="24"/>
    <x v="3"/>
    <x v="1"/>
    <n v="14918"/>
    <x v="1"/>
    <n v="0"/>
    <n v="1"/>
    <x v="2"/>
    <d v="2012-12-07T00:00:00"/>
    <s v="12 years, 6 months"/>
    <n v="52"/>
    <n v="3"/>
    <n v="4"/>
    <n v="7"/>
    <n v="1"/>
    <n v="3"/>
    <n v="4"/>
  </r>
  <r>
    <n v="2209"/>
    <x v="2209"/>
    <n v="1963"/>
    <x v="24"/>
    <x v="0"/>
    <x v="3"/>
    <n v="45146"/>
    <x v="0"/>
    <n v="1"/>
    <n v="1"/>
    <x v="1"/>
    <d v="2013-07-15T00:00:00"/>
    <s v="11 years, 11 months"/>
    <n v="28"/>
    <n v="0"/>
    <n v="0"/>
    <n v="0"/>
    <n v="1"/>
    <n v="2"/>
    <n v="3"/>
  </r>
  <r>
    <n v="2210"/>
    <x v="2210"/>
    <n v="1955"/>
    <x v="34"/>
    <x v="4"/>
    <x v="3"/>
    <n v="41769"/>
    <x v="0"/>
    <n v="0"/>
    <n v="1"/>
    <x v="2"/>
    <d v="2013-02-13T00:00:00"/>
    <s v="12 years, 4 months"/>
    <n v="31"/>
    <n v="29"/>
    <n v="0"/>
    <n v="29"/>
    <n v="8"/>
    <n v="7"/>
    <n v="15"/>
  </r>
  <r>
    <n v="2211"/>
    <x v="2211"/>
    <n v="1981"/>
    <x v="4"/>
    <x v="0"/>
    <x v="1"/>
    <n v="88325"/>
    <x v="2"/>
    <n v="0"/>
    <n v="0"/>
    <x v="0"/>
    <d v="2014-02-05T00:00:00"/>
    <s v="11 years, 5 months"/>
    <n v="42"/>
    <n v="71"/>
    <n v="27"/>
    <n v="98"/>
    <n v="6"/>
    <n v="9"/>
    <n v="15"/>
  </r>
  <r>
    <n v="2212"/>
    <x v="2212"/>
    <n v="1950"/>
    <x v="9"/>
    <x v="2"/>
    <x v="3"/>
    <n v="38054"/>
    <x v="0"/>
    <n v="1"/>
    <n v="1"/>
    <x v="1"/>
    <d v="2014-05-01T00:00:00"/>
    <s v="11 years, 2 months"/>
    <n v="24"/>
    <n v="2"/>
    <n v="1"/>
    <n v="3"/>
    <n v="2"/>
    <n v="3"/>
    <n v="5"/>
  </r>
  <r>
    <n v="2213"/>
    <x v="2213"/>
    <n v="1995"/>
    <x v="57"/>
    <x v="4"/>
    <x v="0"/>
    <n v="80617"/>
    <x v="2"/>
    <n v="0"/>
    <n v="0"/>
    <x v="0"/>
    <d v="2012-10-12T00:00:00"/>
    <s v="12 years, 8 months"/>
    <n v="42"/>
    <n v="51"/>
    <n v="55"/>
    <n v="106"/>
    <n v="4"/>
    <n v="8"/>
    <n v="12"/>
  </r>
  <r>
    <n v="2214"/>
    <x v="2214"/>
    <n v="1976"/>
    <x v="11"/>
    <x v="0"/>
    <x v="2"/>
    <n v="5305"/>
    <x v="1"/>
    <n v="0"/>
    <n v="1"/>
    <x v="2"/>
    <d v="2013-07-30T00:00:00"/>
    <s v="11 years, 11 months"/>
    <n v="12"/>
    <n v="4"/>
    <n v="3"/>
    <n v="7"/>
    <n v="1"/>
    <n v="0"/>
    <n v="1"/>
  </r>
  <r>
    <n v="2215"/>
    <x v="2215"/>
    <n v="1954"/>
    <x v="1"/>
    <x v="0"/>
    <x v="1"/>
    <n v="36807"/>
    <x v="0"/>
    <n v="1"/>
    <n v="1"/>
    <x v="1"/>
    <d v="2012-12-20T00:00:00"/>
    <s v="12 years, 6 months"/>
    <n v="88"/>
    <n v="2"/>
    <n v="0"/>
    <n v="2"/>
    <n v="1"/>
    <n v="2"/>
    <n v="3"/>
  </r>
  <r>
    <n v="2216"/>
    <x v="2216"/>
    <n v="1983"/>
    <x v="10"/>
    <x v="0"/>
    <x v="1"/>
    <n v="28427"/>
    <x v="0"/>
    <n v="1"/>
    <n v="0"/>
    <x v="2"/>
    <d v="2013-03-21T00:00:00"/>
    <s v="12 years, 3 months"/>
    <n v="67"/>
    <n v="3"/>
    <n v="3"/>
    <n v="6"/>
    <n v="2"/>
    <n v="3"/>
    <n v="5"/>
  </r>
  <r>
    <n v="2217"/>
    <x v="2217"/>
    <n v="1948"/>
    <x v="37"/>
    <x v="1"/>
    <x v="4"/>
    <n v="82032"/>
    <x v="2"/>
    <n v="0"/>
    <n v="0"/>
    <x v="0"/>
    <d v="2014-04-05T00:00:00"/>
    <s v="11 years, 3 months"/>
    <n v="54"/>
    <n v="194"/>
    <n v="125"/>
    <n v="319"/>
    <n v="4"/>
    <n v="7"/>
    <n v="11"/>
  </r>
  <r>
    <n v="2218"/>
    <x v="2218"/>
    <n v="1978"/>
    <x v="33"/>
    <x v="0"/>
    <x v="1"/>
    <n v="22775"/>
    <x v="1"/>
    <n v="1"/>
    <n v="0"/>
    <x v="2"/>
    <d v="2013-06-19T00:00:00"/>
    <s v="12 years, 0 months"/>
    <n v="40"/>
    <n v="1"/>
    <n v="0"/>
    <n v="1"/>
    <n v="1"/>
    <n v="2"/>
    <n v="3"/>
  </r>
  <r>
    <n v="2219"/>
    <x v="2219"/>
    <n v="1985"/>
    <x v="7"/>
    <x v="2"/>
    <x v="1"/>
    <n v="40101"/>
    <x v="0"/>
    <n v="1"/>
    <n v="0"/>
    <x v="2"/>
    <d v="2012-10-14T00:00:00"/>
    <s v="12 years, 8 months"/>
    <n v="73"/>
    <n v="3"/>
    <n v="24"/>
    <n v="27"/>
    <n v="6"/>
    <n v="6"/>
    <n v="12"/>
  </r>
  <r>
    <n v="2220"/>
    <x v="2220"/>
    <n v="1979"/>
    <x v="19"/>
    <x v="0"/>
    <x v="2"/>
    <n v="58025"/>
    <x v="0"/>
    <n v="0"/>
    <n v="1"/>
    <x v="2"/>
    <d v="2013-11-26T00:00:00"/>
    <s v="11 years, 7 months"/>
    <n v="81"/>
    <n v="31"/>
    <n v="48"/>
    <n v="79"/>
    <n v="3"/>
    <n v="10"/>
    <n v="13"/>
  </r>
  <r>
    <n v="2221"/>
    <x v="2221"/>
    <n v="1982"/>
    <x v="18"/>
    <x v="2"/>
    <x v="0"/>
    <n v="75777"/>
    <x v="2"/>
    <n v="0"/>
    <n v="0"/>
    <x v="0"/>
    <d v="2013-07-04T00:00:00"/>
    <s v="12 years, 0 months"/>
    <n v="12"/>
    <n v="26"/>
    <n v="13"/>
    <n v="39"/>
    <n v="3"/>
    <n v="11"/>
    <n v="14"/>
  </r>
  <r>
    <n v="2222"/>
    <x v="2222"/>
    <n v="1979"/>
    <x v="19"/>
    <x v="4"/>
    <x v="1"/>
    <n v="7500"/>
    <x v="1"/>
    <n v="1"/>
    <n v="0"/>
    <x v="2"/>
    <d v="2013-05-07T00:00:00"/>
    <s v="12 years, 1 months"/>
    <n v="7"/>
    <n v="8"/>
    <n v="8"/>
    <n v="16"/>
    <n v="3"/>
    <n v="2"/>
    <n v="5"/>
  </r>
  <r>
    <n v="2223"/>
    <x v="2223"/>
    <n v="1963"/>
    <x v="24"/>
    <x v="2"/>
    <x v="2"/>
    <n v="33562"/>
    <x v="0"/>
    <n v="1"/>
    <n v="2"/>
    <x v="3"/>
    <d v="2014-06-25T00:00:00"/>
    <s v="11 years, 0 months"/>
    <n v="33"/>
    <n v="12"/>
    <n v="3"/>
    <n v="15"/>
    <n v="2"/>
    <n v="4"/>
    <n v="6"/>
  </r>
  <r>
    <n v="2224"/>
    <x v="2224"/>
    <n v="1970"/>
    <x v="25"/>
    <x v="1"/>
    <x v="0"/>
    <n v="57642"/>
    <x v="0"/>
    <n v="0"/>
    <n v="1"/>
    <x v="2"/>
    <d v="2014-01-09T00:00:00"/>
    <s v="11 years, 5 months"/>
    <n v="24"/>
    <n v="6"/>
    <n v="0"/>
    <n v="6"/>
    <n v="7"/>
    <n v="6"/>
    <n v="13"/>
  </r>
  <r>
    <n v="2225"/>
    <x v="2225"/>
    <n v="1968"/>
    <x v="30"/>
    <x v="0"/>
    <x v="1"/>
    <n v="58554"/>
    <x v="0"/>
    <n v="1"/>
    <n v="1"/>
    <x v="1"/>
    <d v="2012-09-26T00:00:00"/>
    <s v="12 years, 9 months"/>
    <n v="55"/>
    <n v="24"/>
    <n v="0"/>
    <n v="24"/>
    <n v="8"/>
    <n v="6"/>
    <n v="14"/>
  </r>
  <r>
    <n v="2226"/>
    <x v="2226"/>
    <n v="1979"/>
    <x v="19"/>
    <x v="0"/>
    <x v="2"/>
    <n v="63777"/>
    <x v="0"/>
    <n v="1"/>
    <n v="1"/>
    <x v="1"/>
    <d v="2013-03-24T00:00:00"/>
    <s v="12 years, 3 months"/>
    <n v="87"/>
    <n v="5"/>
    <n v="17"/>
    <n v="22"/>
    <n v="11"/>
    <n v="6"/>
    <n v="17"/>
  </r>
  <r>
    <n v="2227"/>
    <x v="2227"/>
    <n v="1962"/>
    <x v="43"/>
    <x v="0"/>
    <x v="0"/>
    <n v="57967"/>
    <x v="0"/>
    <n v="0"/>
    <n v="1"/>
    <x v="2"/>
    <d v="2013-03-03T00:00:00"/>
    <s v="12 years, 4 months"/>
    <n v="39"/>
    <n v="7"/>
    <n v="0"/>
    <n v="7"/>
    <n v="4"/>
    <n v="8"/>
    <n v="12"/>
  </r>
  <r>
    <n v="2228"/>
    <x v="2228"/>
    <n v="1978"/>
    <x v="33"/>
    <x v="4"/>
    <x v="1"/>
    <n v="51371"/>
    <x v="0"/>
    <n v="0"/>
    <n v="0"/>
    <x v="0"/>
    <d v="2012-08-12T00:00:00"/>
    <s v="12 years, 10 months"/>
    <n v="53"/>
    <n v="2"/>
    <n v="4"/>
    <n v="6"/>
    <n v="0"/>
    <n v="1"/>
    <n v="1"/>
  </r>
  <r>
    <n v="2229"/>
    <x v="2229"/>
    <n v="1972"/>
    <x v="39"/>
    <x v="0"/>
    <x v="2"/>
    <n v="24434"/>
    <x v="1"/>
    <n v="2"/>
    <n v="0"/>
    <x v="1"/>
    <d v="2014-05-18T00:00:00"/>
    <s v="11 years, 1 months"/>
    <n v="9"/>
    <n v="2"/>
    <n v="0"/>
    <n v="2"/>
    <n v="2"/>
    <n v="2"/>
    <n v="4"/>
  </r>
  <r>
    <n v="2230"/>
    <x v="2230"/>
    <n v="1984"/>
    <x v="3"/>
    <x v="0"/>
    <x v="0"/>
    <n v="11012"/>
    <x v="1"/>
    <n v="1"/>
    <n v="0"/>
    <x v="2"/>
    <d v="2013-03-16T00:00:00"/>
    <s v="12 years, 3 months"/>
    <n v="82"/>
    <n v="3"/>
    <n v="1"/>
    <n v="4"/>
    <n v="3"/>
    <n v="2"/>
    <n v="5"/>
  </r>
  <r>
    <n v="2231"/>
    <x v="2231"/>
    <n v="1970"/>
    <x v="25"/>
    <x v="2"/>
    <x v="0"/>
    <n v="44802"/>
    <x v="0"/>
    <n v="0"/>
    <n v="0"/>
    <x v="0"/>
    <d v="2012-08-21T00:00:00"/>
    <s v="12 years, 10 months"/>
    <n v="71"/>
    <n v="10"/>
    <n v="10"/>
    <n v="20"/>
    <n v="9"/>
    <n v="12"/>
    <n v="21"/>
  </r>
  <r>
    <n v="2232"/>
    <x v="2232"/>
    <n v="1986"/>
    <x v="22"/>
    <x v="0"/>
    <x v="0"/>
    <n v="26816"/>
    <x v="0"/>
    <n v="0"/>
    <n v="0"/>
    <x v="0"/>
    <d v="2012-08-17T00:00:00"/>
    <s v="12 years, 10 months"/>
    <n v="50"/>
    <n v="1"/>
    <n v="4"/>
    <n v="5"/>
    <n v="0"/>
    <n v="3"/>
    <n v="3"/>
  </r>
  <r>
    <n v="2233"/>
    <x v="2233"/>
    <n v="1977"/>
    <x v="32"/>
    <x v="0"/>
    <x v="1"/>
    <n v="666666"/>
    <x v="3"/>
    <n v="1"/>
    <n v="0"/>
    <x v="2"/>
    <d v="2013-06-02T00:00:00"/>
    <s v="12 years, 1 months"/>
    <n v="23"/>
    <n v="14"/>
    <n v="1"/>
    <n v="15"/>
    <n v="3"/>
    <n v="3"/>
    <n v="6"/>
  </r>
  <r>
    <n v="2234"/>
    <x v="2234"/>
    <n v="1974"/>
    <x v="8"/>
    <x v="0"/>
    <x v="2"/>
    <n v="34421"/>
    <x v="0"/>
    <n v="1"/>
    <n v="0"/>
    <x v="2"/>
    <d v="2013-07-01T00:00:00"/>
    <s v="12 years, 0 months"/>
    <n v="81"/>
    <n v="3"/>
    <n v="2"/>
    <n v="5"/>
    <n v="1"/>
    <n v="2"/>
    <n v="3"/>
  </r>
  <r>
    <n v="2235"/>
    <x v="2235"/>
    <n v="1967"/>
    <x v="5"/>
    <x v="0"/>
    <x v="2"/>
    <n v="61223"/>
    <x v="0"/>
    <n v="0"/>
    <n v="1"/>
    <x v="2"/>
    <d v="2013-06-13T00:00:00"/>
    <s v="12 years, 0 months"/>
    <n v="46"/>
    <n v="43"/>
    <n v="118"/>
    <n v="161"/>
    <n v="9"/>
    <n v="4"/>
    <n v="13"/>
  </r>
  <r>
    <n v="2236"/>
    <x v="2236"/>
    <n v="1946"/>
    <x v="15"/>
    <x v="1"/>
    <x v="1"/>
    <n v="64014"/>
    <x v="0"/>
    <n v="2"/>
    <n v="1"/>
    <x v="3"/>
    <d v="2014-06-10T00:00:00"/>
    <s v="11 years, 0 months"/>
    <n v="56"/>
    <n v="0"/>
    <n v="0"/>
    <n v="0"/>
    <n v="8"/>
    <n v="5"/>
    <n v="13"/>
  </r>
  <r>
    <n v="2237"/>
    <x v="2237"/>
    <n v="1981"/>
    <x v="4"/>
    <x v="0"/>
    <x v="3"/>
    <n v="56981"/>
    <x v="0"/>
    <n v="0"/>
    <n v="0"/>
    <x v="0"/>
    <d v="2014-01-25T00:00:00"/>
    <s v="11 years, 5 months"/>
    <n v="91"/>
    <n v="48"/>
    <n v="12"/>
    <n v="60"/>
    <n v="2"/>
    <n v="13"/>
    <n v="15"/>
  </r>
  <r>
    <n v="2238"/>
    <x v="2238"/>
    <n v="1956"/>
    <x v="46"/>
    <x v="2"/>
    <x v="1"/>
    <n v="69245"/>
    <x v="0"/>
    <n v="0"/>
    <n v="1"/>
    <x v="2"/>
    <d v="2014-01-24T00:00:00"/>
    <s v="11 years, 5 months"/>
    <n v="8"/>
    <n v="30"/>
    <n v="30"/>
    <n v="60"/>
    <n v="6"/>
    <n v="10"/>
    <n v="16"/>
  </r>
  <r>
    <n v="2239"/>
    <x v="2239"/>
    <n v="1954"/>
    <x v="1"/>
    <x v="1"/>
    <x v="2"/>
    <n v="52869"/>
    <x v="0"/>
    <n v="1"/>
    <n v="1"/>
    <x v="1"/>
    <d v="2012-10-15T00:00:00"/>
    <s v="12 years, 8 months"/>
    <n v="40"/>
    <n v="3"/>
    <n v="1"/>
    <n v="4"/>
    <n v="3"/>
    <n v="4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D396B-49E0-FB4C-95FE-F075F54B4158}" name="Purchase Volume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B1:B2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Purchase Volume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008B8-996C-4E26-8C79-2338108C4298}" name="PivotTable11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K1:K2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NumStorePurchases" fld="18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EB9A3-03B1-854B-8439-A382D30EF9ED}" name="PivotTable7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 rowHeaderCaption="Education Level">
  <location ref="A163:B169" firstHeaderRow="1" firstDataRow="1" firstDataCol="1"/>
  <pivotFields count="20">
    <pivotField showAll="0"/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" fld="16" baseField="0" baseItem="0"/>
  </dataFields>
  <formats count="1">
    <format dxfId="1">
      <pivotArea grandRow="1" outline="0" collapsedLevelsAreSubtotals="1" fieldPosition="0"/>
    </format>
  </formats>
  <chartFormats count="5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7F756-E270-084D-88A1-57EF54A3005A}" name="PivotTable5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 rowHeaderCaption="Marital Status">
  <location ref="A87:B96" firstHeaderRow="1" firstDataRow="1" firstDataCol="1"/>
  <pivotFields count="20">
    <pivotField showAll="0"/>
    <pivotField showAll="0"/>
    <pivotField showAll="0"/>
    <pivotField showAll="0"/>
    <pivotField showAll="0"/>
    <pivotField axis="axisRow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Spend" fld="16" subtotal="average" baseField="0" baseItem="0" numFmtId="1"/>
  </dataFields>
  <formats count="1">
    <format dxfId="2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5BF34-6C00-3540-B639-F177197EA9D1}" name="Total Revenue by Age Group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 rowHeaderCaption="Age Group">
  <location ref="A150:B157" firstHeaderRow="1" firstDataRow="1" firstDataCol="1"/>
  <pivotFields count="20"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h="1"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Revenue" fld="1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7D285-4FA1-A448-9E52-365DEC5A9504}" name="Customer Count by Income Segment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 rowHeaderCaption="Income Segment">
  <location ref="A113:B118" firstHeaderRow="1" firstDataRow="1" firstDataCol="1"/>
  <pivotFields count="20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stomer Count" fld="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76685-40B2-4E82-87AD-A59686F0291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Education">
  <location ref="A235:C242" firstHeaderRow="0" firstDataRow="1" firstDataCol="1"/>
  <pivotFields count="20"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h="1" x="8"/>
        <item h="1" x="9"/>
        <item h="1" x="10"/>
        <item h="1" x="11"/>
        <item h="1" x="12"/>
        <item t="default"/>
      </items>
    </pivotField>
    <pivotField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 Spend" fld="19" baseField="0" baseItem="0"/>
    <dataField name="Total Revenue" fld="16" baseField="0" baseItem="0"/>
  </dataFields>
  <formats count="1">
    <format dxfId="3">
      <pivotArea outline="0" collapsedLevelsAreSubtotals="1" fieldPosition="0"/>
    </format>
  </format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6A264-7973-6F48-BC24-C56281285B5C}" name="Customer Count by Marital Status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 rowHeaderCaption="Marital Status">
  <location ref="A63:B72" firstHeaderRow="1" firstDataRow="1" firstDataCol="1"/>
  <pivotFields count="20">
    <pivotField showAll="0"/>
    <pivotField dataField="1" showAll="0"/>
    <pivotField showAll="0"/>
    <pivotField showAll="0"/>
    <pivotField showAll="0"/>
    <pivotField axis="axisRow" showAll="0" sortType="descending">
      <items count="9">
        <item x="6"/>
        <item x="5"/>
        <item x="3"/>
        <item x="2"/>
        <item x="0"/>
        <item x="1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 v="3"/>
    </i>
    <i>
      <x v="5"/>
    </i>
    <i>
      <x v="4"/>
    </i>
    <i>
      <x v="2"/>
    </i>
    <i>
      <x v="6"/>
    </i>
    <i>
      <x v="1"/>
    </i>
    <i>
      <x v="7"/>
    </i>
    <i>
      <x/>
    </i>
    <i t="grand">
      <x/>
    </i>
  </rowItems>
  <colItems count="1">
    <i/>
  </colItems>
  <dataFields count="1">
    <dataField name="Customer Count" fld="1" subtotal="count" baseField="0" baseItem="0"/>
  </dataFields>
  <formats count="2">
    <format dxfId="5">
      <pivotArea collapsedLevelsAreSubtotals="1" fieldPosition="0">
        <references count="1">
          <reference field="5" count="0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3BFC5-20D4-41AB-B176-4B653029ECFE}" name="PivotTable34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rowHeaderCaption="Marital Status">
  <location ref="E1:F3" firstHeaderRow="1" firstDataRow="1" firstDataCol="1"/>
  <pivotFields count="20">
    <pivotField showAll="0"/>
    <pivotField dataField="1" showAll="0"/>
    <pivotField showAll="0"/>
    <pivotField showAll="0"/>
    <pivotField showAll="0"/>
    <pivotField axis="axisRow" showAll="0" sortType="descending">
      <items count="9">
        <item h="1" x="6"/>
        <item h="1" x="5"/>
        <item h="1" x="3"/>
        <item x="2"/>
        <item h="1" x="0"/>
        <item h="1" x="1"/>
        <item h="1" x="4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 v="3"/>
    </i>
    <i t="grand">
      <x/>
    </i>
  </rowItems>
  <colItems count="1">
    <i/>
  </colItems>
  <dataFields count="1">
    <dataField name="Customer Count" fld="1" subtotal="count" baseField="0" baseItem="0"/>
  </dataFields>
  <formats count="2">
    <format dxfId="7">
      <pivotArea collapsedLevelsAreSubtotals="1" fieldPosition="0">
        <references count="1">
          <reference field="5" count="0"/>
        </references>
      </pivotArea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BC7EC-664A-3045-AC8F-FFD9961F4AAB}" name="Recency Count (Days) by Age Group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rowHeaderCaption="Age Group">
  <location ref="A51:B58" firstHeaderRow="1" firstDataRow="1" firstDataCol="1"/>
  <pivotFields count="20">
    <pivotField showAll="0"/>
    <pivotField showAll="0"/>
    <pivotField showAll="0"/>
    <pivotField axis="axisRow" showAll="0" sortType="ascending">
      <items count="14">
        <item x="0"/>
        <item h="1" x="12"/>
        <item h="1" x="9"/>
        <item h="1" x="10"/>
        <item h="1" x="11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Recency Count (Days)" fld="13" subtotal="count" baseField="0" baseItem="0"/>
  </dataFields>
  <chartFormats count="4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9101E-19F1-294D-A3D4-A9E97DCC18CB}" name="Average Customer Recency (Days)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N1:N2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g. Recency (Days)" fld="13" subtotal="average" baseField="0" baseItem="0" numFmtId="1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95C14-A34E-4B65-B80C-C312BF542635}" name="PivotTable14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D1:D2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Income" fld="6" subtotal="average" baseField="0" baseItem="0" numFmtId="166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CD182-CA9C-9A47-A5FE-A193138B1200}" name="Active Customers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A1:A2" firstHeaderRow="1" firstDataRow="1" firstDataCol="0"/>
  <pivotFields count="2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ctive Customer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83B69-1D7B-9B41-BFEE-54FD0DB53954}" name="Purchases by Age Group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 rowHeaderCaption="Age Group">
  <location ref="A14:B21" firstHeaderRow="1" firstDataRow="1" firstDataCol="1"/>
  <pivotFields count="20"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h="1" x="9"/>
        <item h="1" x="10"/>
        <item h="1"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Purchases" fld="19" baseField="0" baseItem="0"/>
  </dataFields>
  <chartFormats count="4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2C66D-FF2C-459E-9807-EECF51C7956E}" name="PivotTable9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J1:J2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NumWebPurchases" fld="17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1F598-716F-1942-B211-E2DD37A60E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Education">
  <location ref="A209:B215" firstHeaderRow="1" firstDataRow="1" firstDataCol="1"/>
  <pivotFields count="20">
    <pivotField showAll="0"/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stomer Income Segment Count" fld="7" subtotal="count" baseField="0" baseItem="0"/>
  </dataFields>
  <formats count="1">
    <format dxfId="11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EF1E1-75D0-F041-AF81-2EF1CE29FC2A}" name="Total Revenue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C1:C2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Total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DC207-8D95-4947-ACEC-31C8511E401D}" name="Total Revenue by Income Segme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 rowHeaderCaption="Income Segment">
  <location ref="A122:B12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1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2E247-AE5D-1949-B20A-0A3044F9EF06}" name="Total &amp; Average Income by AGe Group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1" rowHeaderCaption="Age Group">
  <location ref="A27:B34" firstHeaderRow="1" firstDataRow="1" firstDataCol="1"/>
  <pivotFields count="20">
    <pivotField showAll="0"/>
    <pivotField showAll="0"/>
    <pivotField showAll="0"/>
    <pivotField axis="axisRow" showAll="0" sortType="ascending">
      <items count="14">
        <item x="0"/>
        <item h="1" x="12"/>
        <item x="9"/>
        <item h="1" x="10"/>
        <item h="1" x="11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Total Income" fld="6" baseField="0" baseItem="0"/>
  </dataFields>
  <formats count="2">
    <format dxfId="13">
      <pivotArea outline="0" collapsedLevelsAreSubtotals="1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A5389-2343-C447-B9A8-227EB15A49E6}" name="PivotTable4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 rowHeaderCaption="Education Level">
  <location ref="A76:B82" firstHeaderRow="1" firstDataRow="1" firstDataCol="1"/>
  <pivotFields count="20">
    <pivotField showAll="0"/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Spend" fld="16" subtotal="average" baseField="0" baseItem="0" numFmtId="1"/>
  </dataFields>
  <formats count="1">
    <format dxfId="14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FAC09-DEB8-044B-8E51-5C8B58135925}" name="Total Purchases (Channelwise) by Income Segme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Income Segment">
  <location ref="A140:C145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WebPurchases" fld="17" baseField="0" baseItem="0"/>
    <dataField name="Total StorePurchases" fld="18" baseField="0" baseItem="0"/>
  </dataFields>
  <formats count="1">
    <format dxfId="15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E545F-8B92-B349-9457-E32D90EB85E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 rowHeaderCaption="Total Children">
  <location ref="A199:B20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stomer Income Segment Count" fld="7" subtotal="count" baseField="0" baseItem="0"/>
  </dataFields>
  <formats count="1">
    <format dxfId="16">
      <pivotArea outline="0" collapsedLevelsAreSubtotals="1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0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0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0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F1750-F776-45A8-A32D-687F83E05BB0}" name="PivotTable6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I1:I2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Amount Spend" fld="16" subtotal="average" baseField="0" baseItem="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5213F-FC78-854D-A024-5EDADFDF861A}" name="Total Purchases (Channelwise) by Marital Statu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 rowHeaderCaption="Marital Status">
  <location ref="A175:C184" firstHeaderRow="0" firstDataRow="1" firstDataCol="1"/>
  <pivotFields count="20">
    <pivotField showAll="0"/>
    <pivotField showAll="0"/>
    <pivotField showAll="0"/>
    <pivotField showAll="0"/>
    <pivotField showAll="0"/>
    <pivotField axis="axisRow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WebPurchases" fld="17" baseField="0" baseItem="0"/>
    <dataField name="Total StorePurchases" fld="18" baseField="0" baseItem="0"/>
  </dataFields>
  <formats count="1">
    <format dxfId="18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33BD3-CF66-5040-9669-566EFB5A931E}" name="Total Purchases (Channelwise) by Education Qualificat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 rowHeaderCaption="Education">
  <location ref="A188:C194" firstHeaderRow="0" firstDataRow="1" firstDataCol="1"/>
  <pivotFields count="20">
    <pivotField showAll="0"/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WebPurchases" fld="17" baseField="0" baseItem="0"/>
    <dataField name="Total StorePurchases" fld="18" baseField="0" baseItem="0"/>
  </dataFields>
  <formats count="1">
    <format dxfId="19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754C1-C750-0040-BA60-DCFCF851137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8" rowHeaderCaption="Age Group">
  <location ref="A37:B44" firstHeaderRow="1" firstDataRow="1" firstDataCol="1"/>
  <pivotFields count="20">
    <pivotField showAll="0"/>
    <pivotField showAll="0"/>
    <pivotField showAll="0"/>
    <pivotField axis="axisRow" showAll="0" sortType="ascending">
      <items count="14">
        <item x="0"/>
        <item h="1" x="12"/>
        <item x="9"/>
        <item h="1" x="10"/>
        <item h="1" x="11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Income" fld="6" subtotal="average" baseField="0" baseItem="0" numFmtId="166"/>
  </dataFields>
  <formats count="1">
    <format dxfId="20">
      <pivotArea outline="0" collapsedLevelsAreSubtotals="1" fieldPosition="0"/>
    </format>
  </formats>
  <chartFormats count="13"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03145-7103-3C41-9269-C39A46F02710}" name="Average Customer Spend by  Children Count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 rowHeaderCaption="Total Children">
  <location ref="A104:B10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Spend" fld="16" subtotal="average" baseField="0" baseItem="0" numFmtId="1"/>
  </dataFields>
  <formats count="1">
    <format dxfId="21">
      <pivotArea outline="0" collapsedLevelsAreSubtotals="1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0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0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0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3C82C-2A33-B64C-A7C0-666B737D2FB3}" name="Average Customer Spend by Income Segme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 rowHeaderCaption="Income Segment">
  <location ref="A131:B136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Spend" fld="16" subtotal="average" baseField="0" baseItem="0" numFmtId="1"/>
  </dataFields>
  <formats count="1">
    <format dxfId="2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05E5F-F3D0-4309-AD6B-57FB6AF4D626}" name="PivotTable35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rowHeaderCaption="Age Group">
  <location ref="G1:H3" firstHeaderRow="1" firstDataRow="1" firstDataCol="1"/>
  <pivotFields count="20">
    <pivotField showAll="0"/>
    <pivotField showAll="0"/>
    <pivotField showAll="0"/>
    <pivotField axis="axisRow" showAll="0" sortType="descending">
      <items count="14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">
    <i>
      <x v="5"/>
    </i>
    <i t="grand">
      <x/>
    </i>
  </rowItems>
  <colItems count="1">
    <i/>
  </colItems>
  <dataFields count="1">
    <dataField name="Total Purchases" fld="19" baseField="0" baseItem="0"/>
  </dataFields>
  <chartFormats count="6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6157EB-12B5-A047-8F3C-397EE4EEA3BF}" name="Table" displayName="Table" ref="A1:T2241" totalsRowShown="0" headerRowDxfId="37">
  <autoFilter ref="A1:T2241" xr:uid="{166157EB-12B5-A047-8F3C-397EE4EEA3BF}"/>
  <tableColumns count="20">
    <tableColumn id="1" xr3:uid="{28443E6D-2F33-1546-B32F-FAE9B4358FBC}" name="Sl No." dataDxfId="36"/>
    <tableColumn id="2" xr3:uid="{F7BF3B61-F73C-F349-A4C0-CAC4B0D32066}" name="ID" dataDxfId="35"/>
    <tableColumn id="3" xr3:uid="{564A320E-B1C2-5A46-9401-4F0DD3A33E8D}" name="Year_Birth" dataDxfId="34"/>
    <tableColumn id="4" xr3:uid="{AED10488-13D0-594D-A9E0-8CF09324433A}" name="Age" dataDxfId="33">
      <calculatedColumnFormula>2025-C2</calculatedColumnFormula>
    </tableColumn>
    <tableColumn id="5" xr3:uid="{1DC37919-84E5-FA45-8C62-B63B4CBA31A8}" name="Education" dataDxfId="32"/>
    <tableColumn id="6" xr3:uid="{EC81DB82-D0EA-BD43-B7AD-C6D792E04882}" name="Marital_Status" dataDxfId="31"/>
    <tableColumn id="7" xr3:uid="{717DB2D4-34FB-794F-B240-E6D36C9E33CC}" name="Income" dataDxfId="30"/>
    <tableColumn id="8" xr3:uid="{8380112F-5161-4A44-BADA-257D4BCAB731}" name="Income_Segment" dataDxfId="29">
      <calculatedColumnFormula array="1">_xlfn.IFS(
  G2 &lt; 25000, "Low",
  AND(G2 &gt;= 25000, G2 &lt; 75000), "Medium",
  AND(G2 &gt;= 75000, G2 &lt; 150000), "High",
  G2 &gt;= 150000, "Very High"
)</calculatedColumnFormula>
    </tableColumn>
    <tableColumn id="9" xr3:uid="{22FBFC81-BF6B-644D-9DB7-BEA2A744F30A}" name="Kidhome" dataDxfId="28"/>
    <tableColumn id="10" xr3:uid="{F2E97415-24D2-0442-9D56-C7573B4BB7A4}" name="Teenhome" dataDxfId="27"/>
    <tableColumn id="11" xr3:uid="{1E4002D1-E641-CC43-B745-23336D923364}" name="Total_Childrenhome" dataDxfId="26">
      <calculatedColumnFormula>I2+J2</calculatedColumnFormula>
    </tableColumn>
    <tableColumn id="12" xr3:uid="{FB498877-E22C-EB43-8B6A-1A7C5ADF344C}" name="Dt_Customer" dataDxfId="25"/>
    <tableColumn id="13" xr3:uid="{383844E2-B198-3E42-8A70-9ED24444B2C4}" name="Tenure">
      <calculatedColumnFormula>DATEDIF(L2, TODAY(), "Y") &amp; " years, " &amp; DATEDIF(L2, TODAY(), "YM") &amp; " months"</calculatedColumnFormula>
    </tableColumn>
    <tableColumn id="14" xr3:uid="{AFF50349-7EE8-2241-B5BA-5D1874EDD159}" name="Recency" dataDxfId="24"/>
    <tableColumn id="15" xr3:uid="{A8B42B6C-ABA5-2947-B1EA-BC71D33C5DE6}" name="MntFruits"/>
    <tableColumn id="16" xr3:uid="{41CD5387-30F4-C641-A626-325FA10C836D}" name="MntSweetProducts"/>
    <tableColumn id="17" xr3:uid="{E028C05B-F375-9940-BFBF-ADBFABD74145}" name="MntTotal_Spent">
      <calculatedColumnFormula>O2+P2</calculatedColumnFormula>
    </tableColumn>
    <tableColumn id="18" xr3:uid="{5A32E4D0-E3BE-5B49-BCF5-BE0F03FCA5F7}" name="NumWebPurchases"/>
    <tableColumn id="19" xr3:uid="{4FEC90E7-322F-694A-A213-1DC596E41C42}" name="NumStorePurchases"/>
    <tableColumn id="20" xr3:uid="{E1982790-3010-884C-AC72-F2B461735F87}" name="Total_Purchases" dataDxfId="23">
      <calculatedColumnFormula>Table[[#This Row],[NumWebPurchases]]+Table[[#This Row],[NumStorePurchases]]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41"/>
  <sheetViews>
    <sheetView workbookViewId="0">
      <selection activeCell="J1" sqref="J1"/>
    </sheetView>
  </sheetViews>
  <sheetFormatPr defaultColWidth="12.6328125" defaultRowHeight="15.75" customHeight="1"/>
  <sheetData>
    <row r="1" spans="1:10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75" customHeight="1">
      <c r="A2" s="2">
        <v>0</v>
      </c>
      <c r="B2" s="2">
        <v>5524</v>
      </c>
      <c r="C2" s="2">
        <v>1957</v>
      </c>
      <c r="D2" s="3" t="s">
        <v>9</v>
      </c>
      <c r="E2" s="3" t="s">
        <v>10</v>
      </c>
      <c r="F2" s="2">
        <v>58138</v>
      </c>
      <c r="G2" s="2">
        <v>0</v>
      </c>
      <c r="H2" s="2">
        <v>0</v>
      </c>
      <c r="I2" s="4">
        <v>41156</v>
      </c>
      <c r="J2" s="2">
        <v>58</v>
      </c>
    </row>
    <row r="3" spans="1:10" ht="15.75" customHeight="1">
      <c r="A3" s="2">
        <v>1</v>
      </c>
      <c r="B3" s="2">
        <v>2174</v>
      </c>
      <c r="C3" s="2">
        <v>1954</v>
      </c>
      <c r="D3" s="3" t="s">
        <v>9</v>
      </c>
      <c r="E3" s="3" t="s">
        <v>10</v>
      </c>
      <c r="F3" s="2">
        <v>46344</v>
      </c>
      <c r="G3" s="2">
        <v>1</v>
      </c>
      <c r="H3" s="2">
        <v>1</v>
      </c>
      <c r="I3" s="4">
        <v>41706</v>
      </c>
      <c r="J3" s="2">
        <v>38</v>
      </c>
    </row>
    <row r="4" spans="1:10" ht="15.75" customHeight="1">
      <c r="A4" s="2">
        <v>2</v>
      </c>
      <c r="B4" s="2">
        <v>4141</v>
      </c>
      <c r="C4" s="2">
        <v>1965</v>
      </c>
      <c r="D4" s="3" t="s">
        <v>9</v>
      </c>
      <c r="E4" s="3" t="s">
        <v>11</v>
      </c>
      <c r="F4" s="2">
        <v>71613</v>
      </c>
      <c r="G4" s="2">
        <v>0</v>
      </c>
      <c r="H4" s="2">
        <v>0</v>
      </c>
      <c r="I4" s="4">
        <v>41507</v>
      </c>
      <c r="J4" s="2">
        <v>26</v>
      </c>
    </row>
    <row r="5" spans="1:10" ht="15.75" customHeight="1">
      <c r="A5" s="2">
        <v>3</v>
      </c>
      <c r="B5" s="2">
        <v>6182</v>
      </c>
      <c r="C5" s="2">
        <v>1984</v>
      </c>
      <c r="D5" s="3" t="s">
        <v>9</v>
      </c>
      <c r="E5" s="3" t="s">
        <v>11</v>
      </c>
      <c r="F5" s="2">
        <v>26646</v>
      </c>
      <c r="G5" s="2">
        <v>1</v>
      </c>
      <c r="H5" s="2">
        <v>0</v>
      </c>
      <c r="I5" s="4">
        <v>41680</v>
      </c>
      <c r="J5" s="2">
        <v>26</v>
      </c>
    </row>
    <row r="6" spans="1:10" ht="15.75" customHeight="1">
      <c r="A6" s="2">
        <v>4</v>
      </c>
      <c r="B6" s="2">
        <v>5324</v>
      </c>
      <c r="C6" s="2">
        <v>1981</v>
      </c>
      <c r="D6" s="3" t="s">
        <v>12</v>
      </c>
      <c r="E6" s="3" t="s">
        <v>13</v>
      </c>
      <c r="F6" s="2">
        <v>58293</v>
      </c>
      <c r="G6" s="2">
        <v>1</v>
      </c>
      <c r="H6" s="2">
        <v>0</v>
      </c>
      <c r="I6" s="4">
        <v>41658</v>
      </c>
      <c r="J6" s="2">
        <v>94</v>
      </c>
    </row>
    <row r="7" spans="1:10" ht="15.75" customHeight="1">
      <c r="A7" s="2">
        <v>5</v>
      </c>
      <c r="B7" s="2">
        <v>7446</v>
      </c>
      <c r="C7" s="2">
        <v>1967</v>
      </c>
      <c r="D7" s="3" t="s">
        <v>14</v>
      </c>
      <c r="E7" s="3" t="s">
        <v>11</v>
      </c>
      <c r="F7" s="2">
        <v>62513</v>
      </c>
      <c r="G7" s="2">
        <v>0</v>
      </c>
      <c r="H7" s="2">
        <v>1</v>
      </c>
      <c r="I7" s="4">
        <v>41526</v>
      </c>
      <c r="J7" s="2">
        <v>16</v>
      </c>
    </row>
    <row r="8" spans="1:10" ht="15.75" customHeight="1">
      <c r="A8" s="2">
        <v>6</v>
      </c>
      <c r="B8" s="2">
        <v>965</v>
      </c>
      <c r="C8" s="2">
        <v>1971</v>
      </c>
      <c r="D8" s="3" t="s">
        <v>9</v>
      </c>
      <c r="E8" s="3" t="s">
        <v>15</v>
      </c>
      <c r="F8" s="2">
        <v>55635</v>
      </c>
      <c r="G8" s="2">
        <v>0</v>
      </c>
      <c r="H8" s="2">
        <v>1</v>
      </c>
      <c r="I8" s="5">
        <v>41226</v>
      </c>
      <c r="J8" s="2">
        <v>34</v>
      </c>
    </row>
    <row r="9" spans="1:10" ht="15.75" customHeight="1">
      <c r="A9" s="2">
        <v>7</v>
      </c>
      <c r="B9" s="2">
        <v>6177</v>
      </c>
      <c r="C9" s="2">
        <v>1985</v>
      </c>
      <c r="D9" s="3" t="s">
        <v>12</v>
      </c>
      <c r="E9" s="3" t="s">
        <v>13</v>
      </c>
      <c r="F9" s="2">
        <v>33454</v>
      </c>
      <c r="G9" s="2">
        <v>1</v>
      </c>
      <c r="H9" s="2">
        <v>0</v>
      </c>
      <c r="I9" s="4">
        <v>41402</v>
      </c>
      <c r="J9" s="2">
        <v>32</v>
      </c>
    </row>
    <row r="10" spans="1:10" ht="15.75" customHeight="1">
      <c r="A10" s="2">
        <v>8</v>
      </c>
      <c r="B10" s="2">
        <v>4855</v>
      </c>
      <c r="C10" s="2">
        <v>1974</v>
      </c>
      <c r="D10" s="3" t="s">
        <v>12</v>
      </c>
      <c r="E10" s="3" t="s">
        <v>11</v>
      </c>
      <c r="F10" s="2">
        <v>30351</v>
      </c>
      <c r="G10" s="2">
        <v>1</v>
      </c>
      <c r="H10" s="2">
        <v>0</v>
      </c>
      <c r="I10" s="4">
        <v>41431</v>
      </c>
      <c r="J10" s="2">
        <v>19</v>
      </c>
    </row>
    <row r="11" spans="1:10" ht="15.75" customHeight="1">
      <c r="A11" s="2">
        <v>9</v>
      </c>
      <c r="B11" s="2">
        <v>5899</v>
      </c>
      <c r="C11" s="2">
        <v>1950</v>
      </c>
      <c r="D11" s="3" t="s">
        <v>12</v>
      </c>
      <c r="E11" s="3" t="s">
        <v>11</v>
      </c>
      <c r="F11" s="2">
        <v>5648</v>
      </c>
      <c r="G11" s="2">
        <v>1</v>
      </c>
      <c r="H11" s="2">
        <v>1</v>
      </c>
      <c r="I11" s="4">
        <v>41711</v>
      </c>
      <c r="J11" s="2">
        <v>68</v>
      </c>
    </row>
    <row r="12" spans="1:10" ht="15.75" customHeight="1">
      <c r="A12" s="2">
        <v>10</v>
      </c>
      <c r="B12" s="2">
        <v>1994</v>
      </c>
      <c r="C12" s="2">
        <v>1983</v>
      </c>
      <c r="D12" s="3" t="s">
        <v>9</v>
      </c>
      <c r="E12" s="3" t="s">
        <v>13</v>
      </c>
      <c r="F12" s="3"/>
      <c r="G12" s="2">
        <v>1</v>
      </c>
      <c r="H12" s="2">
        <v>0</v>
      </c>
      <c r="I12" s="5">
        <v>41593</v>
      </c>
      <c r="J12" s="2">
        <v>11</v>
      </c>
    </row>
    <row r="13" spans="1:10" ht="15.75" customHeight="1">
      <c r="A13" s="2">
        <v>11</v>
      </c>
      <c r="B13" s="2">
        <v>387</v>
      </c>
      <c r="C13" s="2">
        <v>1976</v>
      </c>
      <c r="D13" s="3" t="s">
        <v>16</v>
      </c>
      <c r="E13" s="3" t="s">
        <v>13</v>
      </c>
      <c r="F13" s="2">
        <v>7500</v>
      </c>
      <c r="G13" s="2">
        <v>0</v>
      </c>
      <c r="H13" s="2">
        <v>0</v>
      </c>
      <c r="I13" s="5">
        <v>41226</v>
      </c>
      <c r="J13" s="2">
        <v>59</v>
      </c>
    </row>
    <row r="14" spans="1:10" ht="15.75" customHeight="1">
      <c r="A14" s="2">
        <v>12</v>
      </c>
      <c r="B14" s="2">
        <v>2125</v>
      </c>
      <c r="C14" s="2">
        <v>1959</v>
      </c>
      <c r="D14" s="3" t="s">
        <v>9</v>
      </c>
      <c r="E14" s="3" t="s">
        <v>15</v>
      </c>
      <c r="F14" s="2">
        <v>63033</v>
      </c>
      <c r="G14" s="2">
        <v>0</v>
      </c>
      <c r="H14" s="2">
        <v>0</v>
      </c>
      <c r="I14" s="5">
        <v>41593</v>
      </c>
      <c r="J14" s="2">
        <v>82</v>
      </c>
    </row>
    <row r="15" spans="1:10" ht="15.75" customHeight="1">
      <c r="A15" s="2">
        <v>13</v>
      </c>
      <c r="B15" s="2">
        <v>8180</v>
      </c>
      <c r="C15" s="2">
        <v>1952</v>
      </c>
      <c r="D15" s="3" t="s">
        <v>14</v>
      </c>
      <c r="E15" s="3" t="s">
        <v>15</v>
      </c>
      <c r="F15" s="2">
        <v>59354</v>
      </c>
      <c r="G15" s="2">
        <v>1</v>
      </c>
      <c r="H15" s="2">
        <v>1</v>
      </c>
      <c r="I15" s="5">
        <v>41593</v>
      </c>
      <c r="J15" s="2">
        <v>53</v>
      </c>
    </row>
    <row r="16" spans="1:10" ht="15.75" customHeight="1">
      <c r="A16" s="2">
        <v>14</v>
      </c>
      <c r="B16" s="2">
        <v>2569</v>
      </c>
      <c r="C16" s="2">
        <v>1987</v>
      </c>
      <c r="D16" s="3" t="s">
        <v>9</v>
      </c>
      <c r="E16" s="3" t="s">
        <v>13</v>
      </c>
      <c r="F16" s="2">
        <v>17323</v>
      </c>
      <c r="G16" s="2">
        <v>0</v>
      </c>
      <c r="H16" s="2">
        <v>0</v>
      </c>
      <c r="I16" s="5">
        <v>41192</v>
      </c>
      <c r="J16" s="2">
        <v>38</v>
      </c>
    </row>
    <row r="17" spans="1:10" ht="15.75" customHeight="1">
      <c r="A17" s="2">
        <v>15</v>
      </c>
      <c r="B17" s="2">
        <v>2114</v>
      </c>
      <c r="C17" s="2">
        <v>1946</v>
      </c>
      <c r="D17" s="3" t="s">
        <v>12</v>
      </c>
      <c r="E17" s="3" t="s">
        <v>10</v>
      </c>
      <c r="F17" s="2">
        <v>82800</v>
      </c>
      <c r="G17" s="2">
        <v>0</v>
      </c>
      <c r="H17" s="2">
        <v>0</v>
      </c>
      <c r="I17" s="5">
        <v>41237</v>
      </c>
      <c r="J17" s="2">
        <v>23</v>
      </c>
    </row>
    <row r="18" spans="1:10" ht="15.75" customHeight="1">
      <c r="A18" s="2">
        <v>16</v>
      </c>
      <c r="B18" s="2">
        <v>9736</v>
      </c>
      <c r="C18" s="2">
        <v>1980</v>
      </c>
      <c r="D18" s="3" t="s">
        <v>9</v>
      </c>
      <c r="E18" s="3" t="s">
        <v>13</v>
      </c>
      <c r="F18" s="2">
        <v>41850</v>
      </c>
      <c r="G18" s="2">
        <v>1</v>
      </c>
      <c r="H18" s="2">
        <v>1</v>
      </c>
      <c r="I18" s="5">
        <v>41267</v>
      </c>
      <c r="J18" s="2">
        <v>51</v>
      </c>
    </row>
    <row r="19" spans="1:10" ht="15.75" customHeight="1">
      <c r="A19" s="2">
        <v>17</v>
      </c>
      <c r="B19" s="2">
        <v>4939</v>
      </c>
      <c r="C19" s="2">
        <v>1946</v>
      </c>
      <c r="D19" s="3" t="s">
        <v>9</v>
      </c>
      <c r="E19" s="3" t="s">
        <v>11</v>
      </c>
      <c r="F19" s="2">
        <v>37760</v>
      </c>
      <c r="G19" s="2">
        <v>0</v>
      </c>
      <c r="H19" s="2">
        <v>0</v>
      </c>
      <c r="I19" s="4">
        <v>41152</v>
      </c>
      <c r="J19" s="2">
        <v>20</v>
      </c>
    </row>
    <row r="20" spans="1:10" ht="15.75" customHeight="1">
      <c r="A20" s="2">
        <v>18</v>
      </c>
      <c r="B20" s="2">
        <v>6565</v>
      </c>
      <c r="C20" s="2">
        <v>1949</v>
      </c>
      <c r="D20" s="3" t="s">
        <v>14</v>
      </c>
      <c r="E20" s="3" t="s">
        <v>13</v>
      </c>
      <c r="F20" s="2">
        <v>76995</v>
      </c>
      <c r="G20" s="2">
        <v>0</v>
      </c>
      <c r="H20" s="2">
        <v>1</v>
      </c>
      <c r="I20" s="4">
        <v>41361</v>
      </c>
      <c r="J20" s="2">
        <v>91</v>
      </c>
    </row>
    <row r="21" spans="1:10" ht="15.75" customHeight="1">
      <c r="A21" s="2">
        <v>19</v>
      </c>
      <c r="B21" s="2">
        <v>2278</v>
      </c>
      <c r="C21" s="2">
        <v>1985</v>
      </c>
      <c r="D21" s="3" t="s">
        <v>17</v>
      </c>
      <c r="E21" s="3" t="s">
        <v>10</v>
      </c>
      <c r="F21" s="2">
        <v>33812</v>
      </c>
      <c r="G21" s="2">
        <v>1</v>
      </c>
      <c r="H21" s="2">
        <v>0</v>
      </c>
      <c r="I21" s="4">
        <v>41216</v>
      </c>
      <c r="J21" s="2">
        <v>86</v>
      </c>
    </row>
    <row r="22" spans="1:10" ht="15.75" customHeight="1">
      <c r="A22" s="2">
        <v>20</v>
      </c>
      <c r="B22" s="2">
        <v>9360</v>
      </c>
      <c r="C22" s="2">
        <v>1982</v>
      </c>
      <c r="D22" s="3" t="s">
        <v>9</v>
      </c>
      <c r="E22" s="3" t="s">
        <v>13</v>
      </c>
      <c r="F22" s="2">
        <v>37040</v>
      </c>
      <c r="G22" s="2">
        <v>0</v>
      </c>
      <c r="H22" s="2">
        <v>0</v>
      </c>
      <c r="I22" s="4">
        <v>41129</v>
      </c>
      <c r="J22" s="2">
        <v>41</v>
      </c>
    </row>
    <row r="23" spans="1:10" ht="15.75" customHeight="1">
      <c r="A23" s="2">
        <v>21</v>
      </c>
      <c r="B23" s="2">
        <v>5376</v>
      </c>
      <c r="C23" s="2">
        <v>1979</v>
      </c>
      <c r="D23" s="3" t="s">
        <v>9</v>
      </c>
      <c r="E23" s="3" t="s">
        <v>13</v>
      </c>
      <c r="F23" s="2">
        <v>2447</v>
      </c>
      <c r="G23" s="2">
        <v>1</v>
      </c>
      <c r="H23" s="2">
        <v>0</v>
      </c>
      <c r="I23" s="4">
        <v>41280</v>
      </c>
      <c r="J23" s="2">
        <v>42</v>
      </c>
    </row>
    <row r="24" spans="1:10" ht="15.75" customHeight="1">
      <c r="A24" s="2">
        <v>22</v>
      </c>
      <c r="B24" s="2">
        <v>1993</v>
      </c>
      <c r="C24" s="2">
        <v>1949</v>
      </c>
      <c r="D24" s="3" t="s">
        <v>12</v>
      </c>
      <c r="E24" s="3" t="s">
        <v>13</v>
      </c>
      <c r="F24" s="2">
        <v>58607</v>
      </c>
      <c r="G24" s="2">
        <v>0</v>
      </c>
      <c r="H24" s="2">
        <v>1</v>
      </c>
      <c r="I24" s="5">
        <v>41266</v>
      </c>
      <c r="J24" s="2">
        <v>63</v>
      </c>
    </row>
    <row r="25" spans="1:10" ht="15.75" customHeight="1">
      <c r="A25" s="2">
        <v>23</v>
      </c>
      <c r="B25" s="2">
        <v>4047</v>
      </c>
      <c r="C25" s="2">
        <v>1954</v>
      </c>
      <c r="D25" s="3" t="s">
        <v>12</v>
      </c>
      <c r="E25" s="3" t="s">
        <v>13</v>
      </c>
      <c r="F25" s="2">
        <v>65324</v>
      </c>
      <c r="G25" s="2">
        <v>0</v>
      </c>
      <c r="H25" s="2">
        <v>1</v>
      </c>
      <c r="I25" s="4">
        <v>41650</v>
      </c>
      <c r="J25" s="2">
        <v>0</v>
      </c>
    </row>
    <row r="26" spans="1:10" ht="15.75" customHeight="1">
      <c r="A26" s="2">
        <v>24</v>
      </c>
      <c r="B26" s="2">
        <v>1409</v>
      </c>
      <c r="C26" s="2">
        <v>1951</v>
      </c>
      <c r="D26" s="3" t="s">
        <v>9</v>
      </c>
      <c r="E26" s="3" t="s">
        <v>11</v>
      </c>
      <c r="F26" s="2">
        <v>40689</v>
      </c>
      <c r="G26" s="2">
        <v>0</v>
      </c>
      <c r="H26" s="2">
        <v>1</v>
      </c>
      <c r="I26" s="4">
        <v>41351</v>
      </c>
      <c r="J26" s="2">
        <v>69</v>
      </c>
    </row>
    <row r="27" spans="1:10" ht="15.75" customHeight="1">
      <c r="A27" s="2">
        <v>25</v>
      </c>
      <c r="B27" s="2">
        <v>7892</v>
      </c>
      <c r="C27" s="2">
        <v>1969</v>
      </c>
      <c r="D27" s="3" t="s">
        <v>9</v>
      </c>
      <c r="E27" s="3" t="s">
        <v>10</v>
      </c>
      <c r="F27" s="2">
        <v>18589</v>
      </c>
      <c r="G27" s="2">
        <v>0</v>
      </c>
      <c r="H27" s="2">
        <v>0</v>
      </c>
      <c r="I27" s="4">
        <v>41276</v>
      </c>
      <c r="J27" s="2">
        <v>89</v>
      </c>
    </row>
    <row r="28" spans="1:10" ht="15.75" customHeight="1">
      <c r="A28" s="2">
        <v>26</v>
      </c>
      <c r="B28" s="2">
        <v>2404</v>
      </c>
      <c r="C28" s="2">
        <v>1976</v>
      </c>
      <c r="D28" s="3" t="s">
        <v>9</v>
      </c>
      <c r="E28" s="3" t="s">
        <v>13</v>
      </c>
      <c r="F28" s="2">
        <v>53359</v>
      </c>
      <c r="G28" s="2">
        <v>1</v>
      </c>
      <c r="H28" s="2">
        <v>1</v>
      </c>
      <c r="I28" s="4">
        <v>41421</v>
      </c>
      <c r="J28" s="2">
        <v>4</v>
      </c>
    </row>
    <row r="29" spans="1:10" ht="15.75" customHeight="1">
      <c r="A29" s="2">
        <v>27</v>
      </c>
      <c r="B29" s="2">
        <v>5255</v>
      </c>
      <c r="C29" s="2">
        <v>1986</v>
      </c>
      <c r="D29" s="3" t="s">
        <v>9</v>
      </c>
      <c r="E29" s="3" t="s">
        <v>10</v>
      </c>
      <c r="F29" s="3"/>
      <c r="G29" s="2">
        <v>1</v>
      </c>
      <c r="H29" s="2">
        <v>0</v>
      </c>
      <c r="I29" s="4">
        <v>41325</v>
      </c>
      <c r="J29" s="2">
        <v>19</v>
      </c>
    </row>
    <row r="30" spans="1:10" ht="15.75" customHeight="1">
      <c r="A30" s="2">
        <v>28</v>
      </c>
      <c r="B30" s="2">
        <v>9422</v>
      </c>
      <c r="C30" s="2">
        <v>1989</v>
      </c>
      <c r="D30" s="3" t="s">
        <v>9</v>
      </c>
      <c r="E30" s="3" t="s">
        <v>13</v>
      </c>
      <c r="F30" s="2">
        <v>38360</v>
      </c>
      <c r="G30" s="2">
        <v>1</v>
      </c>
      <c r="H30" s="2">
        <v>0</v>
      </c>
      <c r="I30" s="4">
        <v>41425</v>
      </c>
      <c r="J30" s="2">
        <v>26</v>
      </c>
    </row>
    <row r="31" spans="1:10" ht="15.75" customHeight="1">
      <c r="A31" s="2">
        <v>29</v>
      </c>
      <c r="B31" s="2">
        <v>1966</v>
      </c>
      <c r="C31" s="2">
        <v>1965</v>
      </c>
      <c r="D31" s="3" t="s">
        <v>12</v>
      </c>
      <c r="E31" s="3" t="s">
        <v>13</v>
      </c>
      <c r="F31" s="2">
        <v>84618</v>
      </c>
      <c r="G31" s="2">
        <v>0</v>
      </c>
      <c r="H31" s="2">
        <v>0</v>
      </c>
      <c r="I31" s="5">
        <v>41600</v>
      </c>
      <c r="J31" s="2">
        <v>96</v>
      </c>
    </row>
    <row r="32" spans="1:10" ht="15.75" customHeight="1">
      <c r="A32" s="2">
        <v>30</v>
      </c>
      <c r="B32" s="2">
        <v>6864</v>
      </c>
      <c r="C32" s="2">
        <v>1989</v>
      </c>
      <c r="D32" s="3" t="s">
        <v>14</v>
      </c>
      <c r="E32" s="3" t="s">
        <v>15</v>
      </c>
      <c r="F32" s="2">
        <v>10979</v>
      </c>
      <c r="G32" s="2">
        <v>0</v>
      </c>
      <c r="H32" s="2">
        <v>0</v>
      </c>
      <c r="I32" s="4">
        <v>41781</v>
      </c>
      <c r="J32" s="2">
        <v>34</v>
      </c>
    </row>
    <row r="33" spans="1:10" ht="15.75" customHeight="1">
      <c r="A33" s="2">
        <v>31</v>
      </c>
      <c r="B33" s="2">
        <v>3033</v>
      </c>
      <c r="C33" s="2">
        <v>1963</v>
      </c>
      <c r="D33" s="3" t="s">
        <v>14</v>
      </c>
      <c r="E33" s="3" t="s">
        <v>11</v>
      </c>
      <c r="F33" s="2">
        <v>38620</v>
      </c>
      <c r="G33" s="2">
        <v>0</v>
      </c>
      <c r="H33" s="2">
        <v>0</v>
      </c>
      <c r="I33" s="4">
        <v>41405</v>
      </c>
      <c r="J33" s="2">
        <v>56</v>
      </c>
    </row>
    <row r="34" spans="1:10" ht="15.75" customHeight="1">
      <c r="A34" s="2">
        <v>32</v>
      </c>
      <c r="B34" s="2">
        <v>5710</v>
      </c>
      <c r="C34" s="2">
        <v>1970</v>
      </c>
      <c r="D34" s="3" t="s">
        <v>9</v>
      </c>
      <c r="E34" s="3" t="s">
        <v>11</v>
      </c>
      <c r="F34" s="2">
        <v>40548</v>
      </c>
      <c r="G34" s="2">
        <v>0</v>
      </c>
      <c r="H34" s="2">
        <v>1</v>
      </c>
      <c r="I34" s="5">
        <v>41192</v>
      </c>
      <c r="J34" s="2">
        <v>31</v>
      </c>
    </row>
    <row r="35" spans="1:10" ht="15.75" customHeight="1">
      <c r="A35" s="2">
        <v>33</v>
      </c>
      <c r="B35" s="2">
        <v>7373</v>
      </c>
      <c r="C35" s="2">
        <v>1952</v>
      </c>
      <c r="D35" s="3" t="s">
        <v>12</v>
      </c>
      <c r="E35" s="3" t="s">
        <v>15</v>
      </c>
      <c r="F35" s="2">
        <v>46610</v>
      </c>
      <c r="G35" s="2">
        <v>0</v>
      </c>
      <c r="H35" s="2">
        <v>2</v>
      </c>
      <c r="I35" s="5">
        <v>41211</v>
      </c>
      <c r="J35" s="2">
        <v>8</v>
      </c>
    </row>
    <row r="36" spans="1:10" ht="15.75" customHeight="1">
      <c r="A36" s="2">
        <v>34</v>
      </c>
      <c r="B36" s="2">
        <v>8755</v>
      </c>
      <c r="C36" s="2">
        <v>1946</v>
      </c>
      <c r="D36" s="3" t="s">
        <v>14</v>
      </c>
      <c r="E36" s="3" t="s">
        <v>13</v>
      </c>
      <c r="F36" s="2">
        <v>68657</v>
      </c>
      <c r="G36" s="2">
        <v>0</v>
      </c>
      <c r="H36" s="2">
        <v>0</v>
      </c>
      <c r="I36" s="4">
        <v>41325</v>
      </c>
      <c r="J36" s="2">
        <v>4</v>
      </c>
    </row>
    <row r="37" spans="1:10" ht="15.75" customHeight="1">
      <c r="A37" s="2">
        <v>35</v>
      </c>
      <c r="B37" s="2">
        <v>10738</v>
      </c>
      <c r="C37" s="2">
        <v>1951</v>
      </c>
      <c r="D37" s="3" t="s">
        <v>14</v>
      </c>
      <c r="E37" s="3" t="s">
        <v>10</v>
      </c>
      <c r="F37" s="2">
        <v>49389</v>
      </c>
      <c r="G37" s="2">
        <v>1</v>
      </c>
      <c r="H37" s="2">
        <v>1</v>
      </c>
      <c r="I37" s="4">
        <v>41515</v>
      </c>
      <c r="J37" s="2">
        <v>55</v>
      </c>
    </row>
    <row r="38" spans="1:10" ht="15.75" customHeight="1">
      <c r="A38" s="2">
        <v>36</v>
      </c>
      <c r="B38" s="2">
        <v>4339</v>
      </c>
      <c r="C38" s="2">
        <v>1970</v>
      </c>
      <c r="D38" s="3" t="s">
        <v>12</v>
      </c>
      <c r="E38" s="3" t="s">
        <v>13</v>
      </c>
      <c r="F38" s="2">
        <v>67353</v>
      </c>
      <c r="G38" s="2">
        <v>0</v>
      </c>
      <c r="H38" s="2">
        <v>1</v>
      </c>
      <c r="I38" s="5">
        <v>41639</v>
      </c>
      <c r="J38" s="2">
        <v>37</v>
      </c>
    </row>
    <row r="39" spans="1:10" ht="15.75" customHeight="1">
      <c r="A39" s="2">
        <v>37</v>
      </c>
      <c r="B39" s="2">
        <v>10755</v>
      </c>
      <c r="C39" s="2">
        <v>1976</v>
      </c>
      <c r="D39" s="3" t="s">
        <v>17</v>
      </c>
      <c r="E39" s="3" t="s">
        <v>13</v>
      </c>
      <c r="F39" s="2">
        <v>23718</v>
      </c>
      <c r="G39" s="2">
        <v>1</v>
      </c>
      <c r="H39" s="2">
        <v>0</v>
      </c>
      <c r="I39" s="4">
        <v>41519</v>
      </c>
      <c r="J39" s="2">
        <v>76</v>
      </c>
    </row>
    <row r="40" spans="1:10" ht="15.75" customHeight="1">
      <c r="A40" s="2">
        <v>38</v>
      </c>
      <c r="B40" s="2">
        <v>8595</v>
      </c>
      <c r="C40" s="2">
        <v>1973</v>
      </c>
      <c r="D40" s="3" t="s">
        <v>9</v>
      </c>
      <c r="E40" s="3" t="s">
        <v>18</v>
      </c>
      <c r="F40" s="2">
        <v>42429</v>
      </c>
      <c r="G40" s="2">
        <v>0</v>
      </c>
      <c r="H40" s="2">
        <v>1</v>
      </c>
      <c r="I40" s="4">
        <v>41681</v>
      </c>
      <c r="J40" s="2">
        <v>99</v>
      </c>
    </row>
    <row r="41" spans="1:10" ht="15.75" customHeight="1">
      <c r="A41" s="2">
        <v>39</v>
      </c>
      <c r="B41" s="2">
        <v>2968</v>
      </c>
      <c r="C41" s="2">
        <v>1943</v>
      </c>
      <c r="D41" s="3" t="s">
        <v>12</v>
      </c>
      <c r="E41" s="3" t="s">
        <v>15</v>
      </c>
      <c r="F41" s="2">
        <v>48948</v>
      </c>
      <c r="G41" s="2">
        <v>0</v>
      </c>
      <c r="H41" s="2">
        <v>0</v>
      </c>
      <c r="I41" s="4">
        <v>41306</v>
      </c>
      <c r="J41" s="2">
        <v>53</v>
      </c>
    </row>
    <row r="42" spans="1:10" ht="15.75" customHeight="1">
      <c r="A42" s="2">
        <v>40</v>
      </c>
      <c r="B42" s="2">
        <v>8601</v>
      </c>
      <c r="C42" s="2">
        <v>1980</v>
      </c>
      <c r="D42" s="3" t="s">
        <v>9</v>
      </c>
      <c r="E42" s="3" t="s">
        <v>13</v>
      </c>
      <c r="F42" s="2">
        <v>80011</v>
      </c>
      <c r="G42" s="2">
        <v>0</v>
      </c>
      <c r="H42" s="2">
        <v>1</v>
      </c>
      <c r="I42" s="4">
        <v>41393</v>
      </c>
      <c r="J42" s="2">
        <v>3</v>
      </c>
    </row>
    <row r="43" spans="1:10" ht="15.75" customHeight="1">
      <c r="A43" s="2">
        <v>41</v>
      </c>
      <c r="B43" s="2">
        <v>503</v>
      </c>
      <c r="C43" s="2">
        <v>1985</v>
      </c>
      <c r="D43" s="3" t="s">
        <v>14</v>
      </c>
      <c r="E43" s="3" t="s">
        <v>13</v>
      </c>
      <c r="F43" s="2">
        <v>20559</v>
      </c>
      <c r="G43" s="2">
        <v>1</v>
      </c>
      <c r="H43" s="2">
        <v>0</v>
      </c>
      <c r="I43" s="4">
        <v>41345</v>
      </c>
      <c r="J43" s="2">
        <v>88</v>
      </c>
    </row>
    <row r="44" spans="1:10" ht="15.75" customHeight="1">
      <c r="A44" s="2">
        <v>42</v>
      </c>
      <c r="B44" s="2">
        <v>8430</v>
      </c>
      <c r="C44" s="2">
        <v>1957</v>
      </c>
      <c r="D44" s="3" t="s">
        <v>9</v>
      </c>
      <c r="E44" s="3" t="s">
        <v>11</v>
      </c>
      <c r="F44" s="2">
        <v>21994</v>
      </c>
      <c r="G44" s="2">
        <v>0</v>
      </c>
      <c r="H44" s="2">
        <v>1</v>
      </c>
      <c r="I44" s="5">
        <v>41267</v>
      </c>
      <c r="J44" s="2">
        <v>4</v>
      </c>
    </row>
    <row r="45" spans="1:10" ht="15.75" customHeight="1">
      <c r="A45" s="2">
        <v>43</v>
      </c>
      <c r="B45" s="2">
        <v>7281</v>
      </c>
      <c r="C45" s="2">
        <v>1959</v>
      </c>
      <c r="D45" s="3" t="s">
        <v>12</v>
      </c>
      <c r="E45" s="3" t="s">
        <v>10</v>
      </c>
      <c r="F45" s="3"/>
      <c r="G45" s="2">
        <v>0</v>
      </c>
      <c r="H45" s="2">
        <v>0</v>
      </c>
      <c r="I45" s="4">
        <v>41583</v>
      </c>
      <c r="J45" s="2">
        <v>80</v>
      </c>
    </row>
    <row r="46" spans="1:10" ht="12.5">
      <c r="A46" s="2">
        <v>44</v>
      </c>
      <c r="B46" s="2">
        <v>2139</v>
      </c>
      <c r="C46" s="2">
        <v>1975</v>
      </c>
      <c r="D46" s="3" t="s">
        <v>14</v>
      </c>
      <c r="E46" s="3" t="s">
        <v>13</v>
      </c>
      <c r="F46" s="2">
        <v>7500</v>
      </c>
      <c r="G46" s="2">
        <v>1</v>
      </c>
      <c r="H46" s="2">
        <v>0</v>
      </c>
      <c r="I46" s="4">
        <v>41549</v>
      </c>
      <c r="J46" s="2">
        <v>19</v>
      </c>
    </row>
    <row r="47" spans="1:10" ht="12.5">
      <c r="A47" s="2">
        <v>45</v>
      </c>
      <c r="B47" s="2">
        <v>1371</v>
      </c>
      <c r="C47" s="2">
        <v>1976</v>
      </c>
      <c r="D47" s="3" t="s">
        <v>9</v>
      </c>
      <c r="E47" s="3" t="s">
        <v>10</v>
      </c>
      <c r="F47" s="2">
        <v>79941</v>
      </c>
      <c r="G47" s="2">
        <v>0</v>
      </c>
      <c r="H47" s="2">
        <v>0</v>
      </c>
      <c r="I47" s="4">
        <v>41818</v>
      </c>
      <c r="J47" s="2">
        <v>72</v>
      </c>
    </row>
    <row r="48" spans="1:10" ht="12.5">
      <c r="A48" s="2">
        <v>46</v>
      </c>
      <c r="B48" s="2">
        <v>9909</v>
      </c>
      <c r="C48" s="2">
        <v>1996</v>
      </c>
      <c r="D48" s="3" t="s">
        <v>17</v>
      </c>
      <c r="E48" s="3" t="s">
        <v>13</v>
      </c>
      <c r="F48" s="2">
        <v>7500</v>
      </c>
      <c r="G48" s="2">
        <v>0</v>
      </c>
      <c r="H48" s="2">
        <v>0</v>
      </c>
      <c r="I48" s="4">
        <v>41222</v>
      </c>
      <c r="J48" s="2">
        <v>24</v>
      </c>
    </row>
    <row r="49" spans="1:10" ht="12.5">
      <c r="A49" s="2">
        <v>47</v>
      </c>
      <c r="B49" s="2">
        <v>7286</v>
      </c>
      <c r="C49" s="2">
        <v>1968</v>
      </c>
      <c r="D49" s="3" t="s">
        <v>9</v>
      </c>
      <c r="E49" s="3" t="s">
        <v>11</v>
      </c>
      <c r="F49" s="2">
        <v>41728</v>
      </c>
      <c r="G49" s="2">
        <v>1</v>
      </c>
      <c r="H49" s="2">
        <v>0</v>
      </c>
      <c r="I49" s="4">
        <v>41418</v>
      </c>
      <c r="J49" s="2">
        <v>92</v>
      </c>
    </row>
    <row r="50" spans="1:10" ht="12.5">
      <c r="A50" s="2">
        <v>48</v>
      </c>
      <c r="B50" s="2">
        <v>7244</v>
      </c>
      <c r="C50" s="2">
        <v>1951</v>
      </c>
      <c r="D50" s="3" t="s">
        <v>9</v>
      </c>
      <c r="E50" s="3" t="s">
        <v>10</v>
      </c>
      <c r="F50" s="3"/>
      <c r="G50" s="2">
        <v>2</v>
      </c>
      <c r="H50" s="2">
        <v>1</v>
      </c>
      <c r="I50" s="4">
        <v>41640</v>
      </c>
      <c r="J50" s="2">
        <v>96</v>
      </c>
    </row>
    <row r="51" spans="1:10" ht="12.5">
      <c r="A51" s="2">
        <v>49</v>
      </c>
      <c r="B51" s="2">
        <v>6566</v>
      </c>
      <c r="C51" s="2">
        <v>1954</v>
      </c>
      <c r="D51" s="3" t="s">
        <v>12</v>
      </c>
      <c r="E51" s="3" t="s">
        <v>13</v>
      </c>
      <c r="F51" s="2">
        <v>72550</v>
      </c>
      <c r="G51" s="2">
        <v>1</v>
      </c>
      <c r="H51" s="2">
        <v>1</v>
      </c>
      <c r="I51" s="4">
        <v>41221</v>
      </c>
      <c r="J51" s="2">
        <v>39</v>
      </c>
    </row>
    <row r="52" spans="1:10" ht="12.5">
      <c r="A52" s="2">
        <v>50</v>
      </c>
      <c r="B52" s="2">
        <v>8614</v>
      </c>
      <c r="C52" s="2">
        <v>1957</v>
      </c>
      <c r="D52" s="3" t="s">
        <v>9</v>
      </c>
      <c r="E52" s="3" t="s">
        <v>18</v>
      </c>
      <c r="F52" s="2">
        <v>65486</v>
      </c>
      <c r="G52" s="2">
        <v>0</v>
      </c>
      <c r="H52" s="2">
        <v>1</v>
      </c>
      <c r="I52" s="4">
        <v>41771</v>
      </c>
      <c r="J52" s="2">
        <v>29</v>
      </c>
    </row>
    <row r="53" spans="1:10" ht="12.5">
      <c r="A53" s="2">
        <v>51</v>
      </c>
      <c r="B53" s="2">
        <v>4114</v>
      </c>
      <c r="C53" s="2">
        <v>1964</v>
      </c>
      <c r="D53" s="3" t="s">
        <v>14</v>
      </c>
      <c r="E53" s="3" t="s">
        <v>13</v>
      </c>
      <c r="F53" s="2">
        <v>79143</v>
      </c>
      <c r="G53" s="2">
        <v>0</v>
      </c>
      <c r="H53" s="2">
        <v>0</v>
      </c>
      <c r="I53" s="4">
        <v>41132</v>
      </c>
      <c r="J53" s="2">
        <v>2</v>
      </c>
    </row>
    <row r="54" spans="1:10" ht="12.5">
      <c r="A54" s="2">
        <v>52</v>
      </c>
      <c r="B54" s="2">
        <v>1331</v>
      </c>
      <c r="C54" s="2">
        <v>1977</v>
      </c>
      <c r="D54" s="3" t="s">
        <v>9</v>
      </c>
      <c r="E54" s="3" t="s">
        <v>10</v>
      </c>
      <c r="F54" s="2">
        <v>35790</v>
      </c>
      <c r="G54" s="2">
        <v>1</v>
      </c>
      <c r="H54" s="2">
        <v>0</v>
      </c>
      <c r="I54" s="4">
        <v>41276</v>
      </c>
      <c r="J54" s="2">
        <v>54</v>
      </c>
    </row>
    <row r="55" spans="1:10" ht="12.5">
      <c r="A55" s="2">
        <v>53</v>
      </c>
      <c r="B55" s="2">
        <v>2225</v>
      </c>
      <c r="C55" s="2">
        <v>1977</v>
      </c>
      <c r="D55" s="3" t="s">
        <v>9</v>
      </c>
      <c r="E55" s="3" t="s">
        <v>15</v>
      </c>
      <c r="F55" s="2">
        <v>82582</v>
      </c>
      <c r="G55" s="2">
        <v>0</v>
      </c>
      <c r="H55" s="2">
        <v>0</v>
      </c>
      <c r="I55" s="4">
        <v>41797</v>
      </c>
      <c r="J55" s="2">
        <v>54</v>
      </c>
    </row>
    <row r="56" spans="1:10" ht="12.5">
      <c r="A56" s="2">
        <v>54</v>
      </c>
      <c r="B56" s="2">
        <v>9381</v>
      </c>
      <c r="C56" s="2">
        <v>1978</v>
      </c>
      <c r="D56" s="3" t="s">
        <v>9</v>
      </c>
      <c r="E56" s="3" t="s">
        <v>13</v>
      </c>
      <c r="F56" s="2">
        <v>66373</v>
      </c>
      <c r="G56" s="2">
        <v>1</v>
      </c>
      <c r="H56" s="2">
        <v>1</v>
      </c>
      <c r="I56" s="4">
        <v>41437</v>
      </c>
      <c r="J56" s="2">
        <v>57</v>
      </c>
    </row>
    <row r="57" spans="1:10" ht="12.5">
      <c r="A57" s="2">
        <v>55</v>
      </c>
      <c r="B57" s="2">
        <v>6260</v>
      </c>
      <c r="C57" s="2">
        <v>1955</v>
      </c>
      <c r="D57" s="3" t="s">
        <v>14</v>
      </c>
      <c r="E57" s="3" t="s">
        <v>11</v>
      </c>
      <c r="F57" s="2">
        <v>82384</v>
      </c>
      <c r="G57" s="2">
        <v>0</v>
      </c>
      <c r="H57" s="2">
        <v>0</v>
      </c>
      <c r="I57" s="5">
        <v>41232</v>
      </c>
      <c r="J57" s="2">
        <v>55</v>
      </c>
    </row>
    <row r="58" spans="1:10" ht="12.5">
      <c r="A58" s="2">
        <v>56</v>
      </c>
      <c r="B58" s="2">
        <v>10383</v>
      </c>
      <c r="C58" s="2">
        <v>1966</v>
      </c>
      <c r="D58" s="3" t="s">
        <v>9</v>
      </c>
      <c r="E58" s="3" t="s">
        <v>15</v>
      </c>
      <c r="F58" s="2">
        <v>70287</v>
      </c>
      <c r="G58" s="2">
        <v>0</v>
      </c>
      <c r="H58" s="2">
        <v>0</v>
      </c>
      <c r="I58" s="4">
        <v>41366</v>
      </c>
      <c r="J58" s="2">
        <v>30</v>
      </c>
    </row>
    <row r="59" spans="1:10" ht="12.5">
      <c r="A59" s="2">
        <v>57</v>
      </c>
      <c r="B59" s="2">
        <v>7437</v>
      </c>
      <c r="C59" s="2">
        <v>1988</v>
      </c>
      <c r="D59" s="3" t="s">
        <v>9</v>
      </c>
      <c r="E59" s="3" t="s">
        <v>10</v>
      </c>
      <c r="F59" s="2">
        <v>27938</v>
      </c>
      <c r="G59" s="2">
        <v>1</v>
      </c>
      <c r="H59" s="2">
        <v>0</v>
      </c>
      <c r="I59" s="4">
        <v>41757</v>
      </c>
      <c r="J59" s="2">
        <v>31</v>
      </c>
    </row>
    <row r="60" spans="1:10" ht="12.5">
      <c r="A60" s="2">
        <v>58</v>
      </c>
      <c r="B60" s="2">
        <v>8557</v>
      </c>
      <c r="C60" s="2">
        <v>1982</v>
      </c>
      <c r="D60" s="3" t="s">
        <v>9</v>
      </c>
      <c r="E60" s="3" t="s">
        <v>10</v>
      </c>
      <c r="F60" s="3"/>
      <c r="G60" s="2">
        <v>1</v>
      </c>
      <c r="H60" s="2">
        <v>0</v>
      </c>
      <c r="I60" s="4">
        <v>41442</v>
      </c>
      <c r="J60" s="2">
        <v>57</v>
      </c>
    </row>
    <row r="61" spans="1:10" ht="12.5">
      <c r="A61" s="2">
        <v>59</v>
      </c>
      <c r="B61" s="2">
        <v>8375</v>
      </c>
      <c r="C61" s="2">
        <v>1968</v>
      </c>
      <c r="D61" s="3" t="s">
        <v>12</v>
      </c>
      <c r="E61" s="3" t="s">
        <v>13</v>
      </c>
      <c r="F61" s="2">
        <v>55954</v>
      </c>
      <c r="G61" s="2">
        <v>0</v>
      </c>
      <c r="H61" s="2">
        <v>1</v>
      </c>
      <c r="I61" s="4">
        <v>41701</v>
      </c>
      <c r="J61" s="2">
        <v>63</v>
      </c>
    </row>
    <row r="62" spans="1:10" ht="12.5">
      <c r="A62" s="2">
        <v>60</v>
      </c>
      <c r="B62" s="2">
        <v>6853</v>
      </c>
      <c r="C62" s="2">
        <v>1982</v>
      </c>
      <c r="D62" s="3" t="s">
        <v>14</v>
      </c>
      <c r="E62" s="3" t="s">
        <v>10</v>
      </c>
      <c r="F62" s="2">
        <v>75777</v>
      </c>
      <c r="G62" s="2">
        <v>0</v>
      </c>
      <c r="H62" s="2">
        <v>0</v>
      </c>
      <c r="I62" s="4">
        <v>41459</v>
      </c>
      <c r="J62" s="2">
        <v>12</v>
      </c>
    </row>
    <row r="63" spans="1:10" ht="12.5">
      <c r="A63" s="2">
        <v>61</v>
      </c>
      <c r="B63" s="2">
        <v>3076</v>
      </c>
      <c r="C63" s="2">
        <v>1975</v>
      </c>
      <c r="D63" s="3" t="s">
        <v>9</v>
      </c>
      <c r="E63" s="3" t="s">
        <v>11</v>
      </c>
      <c r="F63" s="2">
        <v>66653</v>
      </c>
      <c r="G63" s="2">
        <v>1</v>
      </c>
      <c r="H63" s="2">
        <v>1</v>
      </c>
      <c r="I63" s="4">
        <v>41159</v>
      </c>
      <c r="J63" s="2">
        <v>18</v>
      </c>
    </row>
    <row r="64" spans="1:10" ht="12.5">
      <c r="A64" s="2">
        <v>62</v>
      </c>
      <c r="B64" s="2">
        <v>1012</v>
      </c>
      <c r="C64" s="2">
        <v>1952</v>
      </c>
      <c r="D64" s="3" t="s">
        <v>9</v>
      </c>
      <c r="E64" s="3" t="s">
        <v>10</v>
      </c>
      <c r="F64" s="2">
        <v>61823</v>
      </c>
      <c r="G64" s="2">
        <v>0</v>
      </c>
      <c r="H64" s="2">
        <v>1</v>
      </c>
      <c r="I64" s="4">
        <v>41323</v>
      </c>
      <c r="J64" s="2">
        <v>26</v>
      </c>
    </row>
    <row r="65" spans="1:10" ht="12.5">
      <c r="A65" s="2">
        <v>63</v>
      </c>
      <c r="B65" s="2">
        <v>6518</v>
      </c>
      <c r="C65" s="2">
        <v>1951</v>
      </c>
      <c r="D65" s="3" t="s">
        <v>12</v>
      </c>
      <c r="E65" s="3" t="s">
        <v>18</v>
      </c>
      <c r="F65" s="2">
        <v>67680</v>
      </c>
      <c r="G65" s="2">
        <v>0</v>
      </c>
      <c r="H65" s="2">
        <v>1</v>
      </c>
      <c r="I65" s="4">
        <v>41436</v>
      </c>
      <c r="J65" s="2">
        <v>8</v>
      </c>
    </row>
    <row r="66" spans="1:10" ht="12.5">
      <c r="A66" s="2">
        <v>64</v>
      </c>
      <c r="B66" s="2">
        <v>4137</v>
      </c>
      <c r="C66" s="2">
        <v>1948</v>
      </c>
      <c r="D66" s="3" t="s">
        <v>9</v>
      </c>
      <c r="E66" s="3" t="s">
        <v>11</v>
      </c>
      <c r="F66" s="2">
        <v>70666</v>
      </c>
      <c r="G66" s="2">
        <v>0</v>
      </c>
      <c r="H66" s="2">
        <v>0</v>
      </c>
      <c r="I66" s="4">
        <v>41614</v>
      </c>
      <c r="J66" s="2">
        <v>29</v>
      </c>
    </row>
    <row r="67" spans="1:10" ht="12.5">
      <c r="A67" s="2">
        <v>65</v>
      </c>
      <c r="B67" s="2">
        <v>8082</v>
      </c>
      <c r="C67" s="2">
        <v>1971</v>
      </c>
      <c r="D67" s="3" t="s">
        <v>9</v>
      </c>
      <c r="E67" s="3" t="s">
        <v>13</v>
      </c>
      <c r="F67" s="2">
        <v>25721</v>
      </c>
      <c r="G67" s="2">
        <v>1</v>
      </c>
      <c r="H67" s="2">
        <v>0</v>
      </c>
      <c r="I67" s="4">
        <v>41415</v>
      </c>
      <c r="J67" s="2">
        <v>75</v>
      </c>
    </row>
    <row r="68" spans="1:10" ht="12.5">
      <c r="A68" s="2">
        <v>66</v>
      </c>
      <c r="B68" s="2">
        <v>1386</v>
      </c>
      <c r="C68" s="2">
        <v>1967</v>
      </c>
      <c r="D68" s="3" t="s">
        <v>9</v>
      </c>
      <c r="E68" s="3" t="s">
        <v>11</v>
      </c>
      <c r="F68" s="2">
        <v>32474</v>
      </c>
      <c r="G68" s="2">
        <v>1</v>
      </c>
      <c r="H68" s="2">
        <v>1</v>
      </c>
      <c r="I68" s="4">
        <v>41770</v>
      </c>
      <c r="J68" s="2">
        <v>0</v>
      </c>
    </row>
    <row r="69" spans="1:10" ht="12.5">
      <c r="A69" s="2">
        <v>67</v>
      </c>
      <c r="B69" s="2">
        <v>9369</v>
      </c>
      <c r="C69" s="2">
        <v>1979</v>
      </c>
      <c r="D69" s="3" t="s">
        <v>17</v>
      </c>
      <c r="E69" s="3" t="s">
        <v>10</v>
      </c>
      <c r="F69" s="2">
        <v>88194</v>
      </c>
      <c r="G69" s="2">
        <v>0</v>
      </c>
      <c r="H69" s="2">
        <v>1</v>
      </c>
      <c r="I69" s="4">
        <v>41717</v>
      </c>
      <c r="J69" s="2">
        <v>19</v>
      </c>
    </row>
    <row r="70" spans="1:10" ht="12.5">
      <c r="A70" s="2">
        <v>68</v>
      </c>
      <c r="B70" s="2">
        <v>4477</v>
      </c>
      <c r="C70" s="2">
        <v>1958</v>
      </c>
      <c r="D70" s="3" t="s">
        <v>9</v>
      </c>
      <c r="E70" s="3" t="s">
        <v>11</v>
      </c>
      <c r="F70" s="2">
        <v>69096</v>
      </c>
      <c r="G70" s="2">
        <v>0</v>
      </c>
      <c r="H70" s="2">
        <v>1</v>
      </c>
      <c r="I70" s="4">
        <v>41544</v>
      </c>
      <c r="J70" s="2">
        <v>4</v>
      </c>
    </row>
    <row r="71" spans="1:10" ht="12.5">
      <c r="A71" s="2">
        <v>69</v>
      </c>
      <c r="B71" s="2">
        <v>1357</v>
      </c>
      <c r="C71" s="2">
        <v>1970</v>
      </c>
      <c r="D71" s="3" t="s">
        <v>9</v>
      </c>
      <c r="E71" s="3" t="s">
        <v>11</v>
      </c>
      <c r="F71" s="2">
        <v>74854</v>
      </c>
      <c r="G71" s="2">
        <v>1</v>
      </c>
      <c r="H71" s="2">
        <v>2</v>
      </c>
      <c r="I71" s="4">
        <v>41372</v>
      </c>
      <c r="J71" s="2">
        <v>90</v>
      </c>
    </row>
    <row r="72" spans="1:10" ht="12.5">
      <c r="A72" s="2">
        <v>70</v>
      </c>
      <c r="B72" s="2">
        <v>1402</v>
      </c>
      <c r="C72" s="2">
        <v>1954</v>
      </c>
      <c r="D72" s="3" t="s">
        <v>14</v>
      </c>
      <c r="E72" s="3" t="s">
        <v>13</v>
      </c>
      <c r="F72" s="2">
        <v>66991</v>
      </c>
      <c r="G72" s="2">
        <v>0</v>
      </c>
      <c r="H72" s="2">
        <v>0</v>
      </c>
      <c r="I72" s="4">
        <v>41163</v>
      </c>
      <c r="J72" s="2">
        <v>1</v>
      </c>
    </row>
    <row r="73" spans="1:10" ht="12.5">
      <c r="A73" s="2">
        <v>71</v>
      </c>
      <c r="B73" s="2">
        <v>10629</v>
      </c>
      <c r="C73" s="2">
        <v>1973</v>
      </c>
      <c r="D73" s="3" t="s">
        <v>17</v>
      </c>
      <c r="E73" s="3" t="s">
        <v>13</v>
      </c>
      <c r="F73" s="3"/>
      <c r="G73" s="2">
        <v>1</v>
      </c>
      <c r="H73" s="2">
        <v>0</v>
      </c>
      <c r="I73" s="4">
        <v>41166</v>
      </c>
      <c r="J73" s="2">
        <v>25</v>
      </c>
    </row>
    <row r="74" spans="1:10" ht="12.5">
      <c r="A74" s="2">
        <v>72</v>
      </c>
      <c r="B74" s="2">
        <v>6312</v>
      </c>
      <c r="C74" s="2">
        <v>1959</v>
      </c>
      <c r="D74" s="3" t="s">
        <v>9</v>
      </c>
      <c r="E74" s="3" t="s">
        <v>13</v>
      </c>
      <c r="F74" s="2">
        <v>65031</v>
      </c>
      <c r="G74" s="2">
        <v>0</v>
      </c>
      <c r="H74" s="2">
        <v>1</v>
      </c>
      <c r="I74" s="4">
        <v>41350</v>
      </c>
      <c r="J74" s="2">
        <v>29</v>
      </c>
    </row>
    <row r="75" spans="1:10" ht="12.5">
      <c r="A75" s="2">
        <v>73</v>
      </c>
      <c r="B75" s="2">
        <v>8132</v>
      </c>
      <c r="C75" s="2">
        <v>1975</v>
      </c>
      <c r="D75" s="3" t="s">
        <v>12</v>
      </c>
      <c r="E75" s="3" t="s">
        <v>13</v>
      </c>
      <c r="F75" s="2">
        <v>60631</v>
      </c>
      <c r="G75" s="2">
        <v>1</v>
      </c>
      <c r="H75" s="2">
        <v>1</v>
      </c>
      <c r="I75" s="4">
        <v>41369</v>
      </c>
      <c r="J75" s="2">
        <v>88</v>
      </c>
    </row>
    <row r="76" spans="1:10" ht="12.5">
      <c r="A76" s="2">
        <v>74</v>
      </c>
      <c r="B76" s="2">
        <v>1050</v>
      </c>
      <c r="C76" s="2">
        <v>1952</v>
      </c>
      <c r="D76" s="3" t="s">
        <v>9</v>
      </c>
      <c r="E76" s="3" t="s">
        <v>13</v>
      </c>
      <c r="F76" s="2">
        <v>28332</v>
      </c>
      <c r="G76" s="2">
        <v>0</v>
      </c>
      <c r="H76" s="2">
        <v>0</v>
      </c>
      <c r="I76" s="4">
        <v>41759</v>
      </c>
      <c r="J76" s="2">
        <v>58</v>
      </c>
    </row>
    <row r="77" spans="1:10" ht="12.5">
      <c r="A77" s="2">
        <v>75</v>
      </c>
      <c r="B77" s="2">
        <v>5846</v>
      </c>
      <c r="C77" s="2">
        <v>1977</v>
      </c>
      <c r="D77" s="3" t="s">
        <v>9</v>
      </c>
      <c r="E77" s="3" t="s">
        <v>15</v>
      </c>
      <c r="F77" s="2">
        <v>40246</v>
      </c>
      <c r="G77" s="2">
        <v>1</v>
      </c>
      <c r="H77" s="2">
        <v>0</v>
      </c>
      <c r="I77" s="5">
        <v>41262</v>
      </c>
      <c r="J77" s="2">
        <v>68</v>
      </c>
    </row>
    <row r="78" spans="1:10" ht="12.5">
      <c r="A78" s="2">
        <v>76</v>
      </c>
      <c r="B78" s="2">
        <v>1859</v>
      </c>
      <c r="C78" s="2">
        <v>1972</v>
      </c>
      <c r="D78" s="3" t="s">
        <v>14</v>
      </c>
      <c r="E78" s="3" t="s">
        <v>13</v>
      </c>
      <c r="F78" s="2">
        <v>75251</v>
      </c>
      <c r="G78" s="2">
        <v>0</v>
      </c>
      <c r="H78" s="2">
        <v>0</v>
      </c>
      <c r="I78" s="4">
        <v>41148</v>
      </c>
      <c r="J78" s="2">
        <v>34</v>
      </c>
    </row>
    <row r="79" spans="1:10" ht="12.5">
      <c r="A79" s="2">
        <v>77</v>
      </c>
      <c r="B79" s="2">
        <v>7503</v>
      </c>
      <c r="C79" s="2">
        <v>1976</v>
      </c>
      <c r="D79" s="3" t="s">
        <v>9</v>
      </c>
      <c r="E79" s="3" t="s">
        <v>10</v>
      </c>
      <c r="F79" s="2">
        <v>75825</v>
      </c>
      <c r="G79" s="2">
        <v>0</v>
      </c>
      <c r="H79" s="2">
        <v>0</v>
      </c>
      <c r="I79" s="5">
        <v>41194</v>
      </c>
      <c r="J79" s="2">
        <v>40</v>
      </c>
    </row>
    <row r="80" spans="1:10" ht="12.5">
      <c r="A80" s="2">
        <v>78</v>
      </c>
      <c r="B80" s="2">
        <v>10401</v>
      </c>
      <c r="C80" s="2">
        <v>1976</v>
      </c>
      <c r="D80" s="3" t="s">
        <v>17</v>
      </c>
      <c r="E80" s="3" t="s">
        <v>11</v>
      </c>
      <c r="F80" s="2">
        <v>26326</v>
      </c>
      <c r="G80" s="2">
        <v>0</v>
      </c>
      <c r="H80" s="2">
        <v>0</v>
      </c>
      <c r="I80" s="4">
        <v>41521</v>
      </c>
      <c r="J80" s="2">
        <v>12</v>
      </c>
    </row>
    <row r="81" spans="1:10" ht="12.5">
      <c r="A81" s="2">
        <v>79</v>
      </c>
      <c r="B81" s="2">
        <v>1618</v>
      </c>
      <c r="C81" s="2">
        <v>1965</v>
      </c>
      <c r="D81" s="3" t="s">
        <v>9</v>
      </c>
      <c r="E81" s="3" t="s">
        <v>11</v>
      </c>
      <c r="F81" s="2">
        <v>56046</v>
      </c>
      <c r="G81" s="2">
        <v>0</v>
      </c>
      <c r="H81" s="2">
        <v>0</v>
      </c>
      <c r="I81" s="4">
        <v>41276</v>
      </c>
      <c r="J81" s="2">
        <v>9</v>
      </c>
    </row>
    <row r="82" spans="1:10" ht="12.5">
      <c r="A82" s="2">
        <v>80</v>
      </c>
      <c r="B82" s="2">
        <v>3332</v>
      </c>
      <c r="C82" s="2">
        <v>1985</v>
      </c>
      <c r="D82" s="3" t="s">
        <v>9</v>
      </c>
      <c r="E82" s="3" t="s">
        <v>10</v>
      </c>
      <c r="F82" s="2">
        <v>29760</v>
      </c>
      <c r="G82" s="2">
        <v>1</v>
      </c>
      <c r="H82" s="2">
        <v>0</v>
      </c>
      <c r="I82" s="4">
        <v>41150</v>
      </c>
      <c r="J82" s="2">
        <v>87</v>
      </c>
    </row>
    <row r="83" spans="1:10" ht="12.5">
      <c r="A83" s="2">
        <v>81</v>
      </c>
      <c r="B83" s="2">
        <v>2261</v>
      </c>
      <c r="C83" s="2">
        <v>1969</v>
      </c>
      <c r="D83" s="3" t="s">
        <v>9</v>
      </c>
      <c r="E83" s="3" t="s">
        <v>13</v>
      </c>
      <c r="F83" s="2">
        <v>26304</v>
      </c>
      <c r="G83" s="2">
        <v>1</v>
      </c>
      <c r="H83" s="2">
        <v>0</v>
      </c>
      <c r="I83" s="4">
        <v>41448</v>
      </c>
      <c r="J83" s="2">
        <v>5</v>
      </c>
    </row>
    <row r="84" spans="1:10" ht="12.5">
      <c r="A84" s="2">
        <v>82</v>
      </c>
      <c r="B84" s="2">
        <v>5346</v>
      </c>
      <c r="C84" s="2">
        <v>1973</v>
      </c>
      <c r="D84" s="3" t="s">
        <v>17</v>
      </c>
      <c r="E84" s="3" t="s">
        <v>13</v>
      </c>
      <c r="F84" s="2">
        <v>23559</v>
      </c>
      <c r="G84" s="2">
        <v>1</v>
      </c>
      <c r="H84" s="2">
        <v>0</v>
      </c>
      <c r="I84" s="4">
        <v>41458</v>
      </c>
      <c r="J84" s="2">
        <v>87</v>
      </c>
    </row>
    <row r="85" spans="1:10" ht="12.5">
      <c r="A85" s="2">
        <v>83</v>
      </c>
      <c r="B85" s="2">
        <v>4119</v>
      </c>
      <c r="C85" s="2">
        <v>1963</v>
      </c>
      <c r="D85" s="3" t="s">
        <v>14</v>
      </c>
      <c r="E85" s="3" t="s">
        <v>11</v>
      </c>
      <c r="F85" s="2">
        <v>38620</v>
      </c>
      <c r="G85" s="2">
        <v>0</v>
      </c>
      <c r="H85" s="2">
        <v>0</v>
      </c>
      <c r="I85" s="4">
        <v>41405</v>
      </c>
      <c r="J85" s="2">
        <v>56</v>
      </c>
    </row>
    <row r="86" spans="1:10" ht="12.5">
      <c r="A86" s="2">
        <v>84</v>
      </c>
      <c r="B86" s="2">
        <v>535</v>
      </c>
      <c r="C86" s="2">
        <v>1987</v>
      </c>
      <c r="D86" s="3" t="s">
        <v>9</v>
      </c>
      <c r="E86" s="3" t="s">
        <v>15</v>
      </c>
      <c r="F86" s="2">
        <v>81361</v>
      </c>
      <c r="G86" s="2">
        <v>0</v>
      </c>
      <c r="H86" s="2">
        <v>0</v>
      </c>
      <c r="I86" s="4">
        <v>41695</v>
      </c>
      <c r="J86" s="2">
        <v>18</v>
      </c>
    </row>
    <row r="87" spans="1:10" ht="12.5">
      <c r="A87" s="2">
        <v>85</v>
      </c>
      <c r="B87" s="2">
        <v>5268</v>
      </c>
      <c r="C87" s="2">
        <v>1960</v>
      </c>
      <c r="D87" s="3" t="s">
        <v>9</v>
      </c>
      <c r="E87" s="3" t="s">
        <v>13</v>
      </c>
      <c r="F87" s="2">
        <v>29440</v>
      </c>
      <c r="G87" s="2">
        <v>1</v>
      </c>
      <c r="H87" s="2">
        <v>1</v>
      </c>
      <c r="I87" s="4">
        <v>41497</v>
      </c>
      <c r="J87" s="2">
        <v>95</v>
      </c>
    </row>
    <row r="88" spans="1:10" ht="12.5">
      <c r="A88" s="2">
        <v>86</v>
      </c>
      <c r="B88" s="2">
        <v>273</v>
      </c>
      <c r="C88" s="2">
        <v>1970</v>
      </c>
      <c r="D88" s="3" t="s">
        <v>14</v>
      </c>
      <c r="E88" s="3" t="s">
        <v>13</v>
      </c>
      <c r="F88" s="2">
        <v>36138</v>
      </c>
      <c r="G88" s="2">
        <v>1</v>
      </c>
      <c r="H88" s="2">
        <v>1</v>
      </c>
      <c r="I88" s="4">
        <v>41471</v>
      </c>
      <c r="J88" s="2">
        <v>48</v>
      </c>
    </row>
    <row r="89" spans="1:10" ht="12.5">
      <c r="A89" s="2">
        <v>87</v>
      </c>
      <c r="B89" s="2">
        <v>4452</v>
      </c>
      <c r="C89" s="2">
        <v>1957</v>
      </c>
      <c r="D89" s="3" t="s">
        <v>9</v>
      </c>
      <c r="E89" s="3" t="s">
        <v>10</v>
      </c>
      <c r="F89" s="2">
        <v>50388</v>
      </c>
      <c r="G89" s="2">
        <v>0</v>
      </c>
      <c r="H89" s="2">
        <v>1</v>
      </c>
      <c r="I89" s="4">
        <v>41787</v>
      </c>
      <c r="J89" s="2">
        <v>3</v>
      </c>
    </row>
    <row r="90" spans="1:10" ht="12.5">
      <c r="A90" s="2">
        <v>88</v>
      </c>
      <c r="B90" s="2">
        <v>8504</v>
      </c>
      <c r="C90" s="2">
        <v>1973</v>
      </c>
      <c r="D90" s="3" t="s">
        <v>9</v>
      </c>
      <c r="E90" s="3" t="s">
        <v>13</v>
      </c>
      <c r="F90" s="2">
        <v>79593</v>
      </c>
      <c r="G90" s="2">
        <v>0</v>
      </c>
      <c r="H90" s="2">
        <v>0</v>
      </c>
      <c r="I90" s="4">
        <v>41771</v>
      </c>
      <c r="J90" s="2">
        <v>70</v>
      </c>
    </row>
    <row r="91" spans="1:10" ht="12.5">
      <c r="A91" s="2">
        <v>89</v>
      </c>
      <c r="B91" s="2">
        <v>771</v>
      </c>
      <c r="C91" s="2">
        <v>1967</v>
      </c>
      <c r="D91" s="3" t="s">
        <v>9</v>
      </c>
      <c r="E91" s="3" t="s">
        <v>11</v>
      </c>
      <c r="F91" s="2">
        <v>54178</v>
      </c>
      <c r="G91" s="2">
        <v>0</v>
      </c>
      <c r="H91" s="2">
        <v>1</v>
      </c>
      <c r="I91" s="4">
        <v>41660</v>
      </c>
      <c r="J91" s="2">
        <v>79</v>
      </c>
    </row>
    <row r="92" spans="1:10" ht="12.5">
      <c r="A92" s="2">
        <v>90</v>
      </c>
      <c r="B92" s="2">
        <v>8996</v>
      </c>
      <c r="C92" s="2">
        <v>1957</v>
      </c>
      <c r="D92" s="3" t="s">
        <v>12</v>
      </c>
      <c r="E92" s="3" t="s">
        <v>13</v>
      </c>
      <c r="F92" s="3"/>
      <c r="G92" s="2">
        <v>2</v>
      </c>
      <c r="H92" s="2">
        <v>1</v>
      </c>
      <c r="I92" s="5">
        <v>41232</v>
      </c>
      <c r="J92" s="2">
        <v>4</v>
      </c>
    </row>
    <row r="93" spans="1:10" ht="12.5">
      <c r="A93" s="2">
        <v>91</v>
      </c>
      <c r="B93" s="2">
        <v>9235</v>
      </c>
      <c r="C93" s="2">
        <v>1957</v>
      </c>
      <c r="D93" s="3" t="s">
        <v>9</v>
      </c>
      <c r="E93" s="3" t="s">
        <v>10</v>
      </c>
      <c r="F93" s="3"/>
      <c r="G93" s="2">
        <v>1</v>
      </c>
      <c r="H93" s="2">
        <v>1</v>
      </c>
      <c r="I93" s="4">
        <v>41786</v>
      </c>
      <c r="J93" s="2">
        <v>45</v>
      </c>
    </row>
    <row r="94" spans="1:10" ht="12.5">
      <c r="A94" s="2">
        <v>92</v>
      </c>
      <c r="B94" s="2">
        <v>5798</v>
      </c>
      <c r="C94" s="2">
        <v>1973</v>
      </c>
      <c r="D94" s="3" t="s">
        <v>14</v>
      </c>
      <c r="E94" s="3" t="s">
        <v>11</v>
      </c>
      <c r="F94" s="3"/>
      <c r="G94" s="2">
        <v>0</v>
      </c>
      <c r="H94" s="2">
        <v>0</v>
      </c>
      <c r="I94" s="5">
        <v>41601</v>
      </c>
      <c r="J94" s="2">
        <v>87</v>
      </c>
    </row>
    <row r="95" spans="1:10" ht="12.5">
      <c r="A95" s="2">
        <v>93</v>
      </c>
      <c r="B95" s="2">
        <v>11178</v>
      </c>
      <c r="C95" s="2">
        <v>1972</v>
      </c>
      <c r="D95" s="3" t="s">
        <v>14</v>
      </c>
      <c r="E95" s="3" t="s">
        <v>10</v>
      </c>
      <c r="F95" s="2">
        <v>42394</v>
      </c>
      <c r="G95" s="2">
        <v>1</v>
      </c>
      <c r="H95" s="2">
        <v>0</v>
      </c>
      <c r="I95" s="4">
        <v>41721</v>
      </c>
      <c r="J95" s="2">
        <v>69</v>
      </c>
    </row>
    <row r="96" spans="1:10" ht="12.5">
      <c r="A96" s="2">
        <v>94</v>
      </c>
      <c r="B96" s="2">
        <v>2230</v>
      </c>
      <c r="C96" s="2">
        <v>1970</v>
      </c>
      <c r="D96" s="3" t="s">
        <v>12</v>
      </c>
      <c r="E96" s="3" t="s">
        <v>13</v>
      </c>
      <c r="F96" s="2">
        <v>23626</v>
      </c>
      <c r="G96" s="2">
        <v>1</v>
      </c>
      <c r="H96" s="2">
        <v>0</v>
      </c>
      <c r="I96" s="4">
        <v>41783</v>
      </c>
      <c r="J96" s="2">
        <v>84</v>
      </c>
    </row>
    <row r="97" spans="1:10" ht="12.5">
      <c r="A97" s="2">
        <v>95</v>
      </c>
      <c r="B97" s="2">
        <v>7516</v>
      </c>
      <c r="C97" s="2">
        <v>1983</v>
      </c>
      <c r="D97" s="3" t="s">
        <v>9</v>
      </c>
      <c r="E97" s="3" t="s">
        <v>13</v>
      </c>
      <c r="F97" s="2">
        <v>30096</v>
      </c>
      <c r="G97" s="2">
        <v>1</v>
      </c>
      <c r="H97" s="2">
        <v>0</v>
      </c>
      <c r="I97" s="4">
        <v>41781</v>
      </c>
      <c r="J97" s="2">
        <v>30</v>
      </c>
    </row>
    <row r="98" spans="1:10" ht="12.5">
      <c r="A98" s="2">
        <v>96</v>
      </c>
      <c r="B98" s="2">
        <v>7247</v>
      </c>
      <c r="C98" s="2">
        <v>1960</v>
      </c>
      <c r="D98" s="3" t="s">
        <v>9</v>
      </c>
      <c r="E98" s="3" t="s">
        <v>18</v>
      </c>
      <c r="F98" s="2">
        <v>47916</v>
      </c>
      <c r="G98" s="2">
        <v>0</v>
      </c>
      <c r="H98" s="2">
        <v>1</v>
      </c>
      <c r="I98" s="5">
        <v>41235</v>
      </c>
      <c r="J98" s="2">
        <v>72</v>
      </c>
    </row>
    <row r="99" spans="1:10" ht="12.5">
      <c r="A99" s="2">
        <v>97</v>
      </c>
      <c r="B99" s="2">
        <v>11100</v>
      </c>
      <c r="C99" s="2">
        <v>1972</v>
      </c>
      <c r="D99" s="3" t="s">
        <v>9</v>
      </c>
      <c r="E99" s="3" t="s">
        <v>15</v>
      </c>
      <c r="F99" s="2">
        <v>51813</v>
      </c>
      <c r="G99" s="2">
        <v>1</v>
      </c>
      <c r="H99" s="2">
        <v>1</v>
      </c>
      <c r="I99" s="4">
        <v>41375</v>
      </c>
      <c r="J99" s="2">
        <v>37</v>
      </c>
    </row>
    <row r="100" spans="1:10" ht="12.5">
      <c r="A100" s="2">
        <v>98</v>
      </c>
      <c r="B100" s="2">
        <v>4646</v>
      </c>
      <c r="C100" s="2">
        <v>1951</v>
      </c>
      <c r="D100" s="3" t="s">
        <v>17</v>
      </c>
      <c r="E100" s="3" t="s">
        <v>13</v>
      </c>
      <c r="F100" s="2">
        <v>78497</v>
      </c>
      <c r="G100" s="2">
        <v>0</v>
      </c>
      <c r="H100" s="2">
        <v>0</v>
      </c>
      <c r="I100" s="4">
        <v>41609</v>
      </c>
      <c r="J100" s="2">
        <v>44</v>
      </c>
    </row>
    <row r="101" spans="1:10" ht="12.5">
      <c r="A101" s="2">
        <v>99</v>
      </c>
      <c r="B101" s="2">
        <v>3037</v>
      </c>
      <c r="C101" s="2">
        <v>1983</v>
      </c>
      <c r="D101" s="3" t="s">
        <v>12</v>
      </c>
      <c r="E101" s="3" t="s">
        <v>13</v>
      </c>
      <c r="F101" s="2">
        <v>50150</v>
      </c>
      <c r="G101" s="2">
        <v>0</v>
      </c>
      <c r="H101" s="2">
        <v>0</v>
      </c>
      <c r="I101" s="4">
        <v>41445</v>
      </c>
      <c r="J101" s="2">
        <v>32</v>
      </c>
    </row>
    <row r="102" spans="1:10" ht="12.5">
      <c r="A102" s="2">
        <v>100</v>
      </c>
      <c r="B102" s="2">
        <v>1473</v>
      </c>
      <c r="C102" s="2">
        <v>1960</v>
      </c>
      <c r="D102" s="3" t="s">
        <v>17</v>
      </c>
      <c r="E102" s="3" t="s">
        <v>10</v>
      </c>
      <c r="F102" s="2">
        <v>47823</v>
      </c>
      <c r="G102" s="2">
        <v>0</v>
      </c>
      <c r="H102" s="2">
        <v>1</v>
      </c>
      <c r="I102" s="4">
        <v>41478</v>
      </c>
      <c r="J102" s="2">
        <v>0</v>
      </c>
    </row>
    <row r="103" spans="1:10" ht="12.5">
      <c r="A103" s="2">
        <v>101</v>
      </c>
      <c r="B103" s="2">
        <v>1016</v>
      </c>
      <c r="C103" s="2">
        <v>1959</v>
      </c>
      <c r="D103" s="3" t="s">
        <v>12</v>
      </c>
      <c r="E103" s="3" t="s">
        <v>10</v>
      </c>
      <c r="F103" s="2">
        <v>34554</v>
      </c>
      <c r="G103" s="2">
        <v>0</v>
      </c>
      <c r="H103" s="2">
        <v>1</v>
      </c>
      <c r="I103" s="4">
        <v>41728</v>
      </c>
      <c r="J103" s="2">
        <v>43</v>
      </c>
    </row>
    <row r="104" spans="1:10" ht="12.5">
      <c r="A104" s="2">
        <v>102</v>
      </c>
      <c r="B104" s="2">
        <v>4518</v>
      </c>
      <c r="C104" s="2">
        <v>1979</v>
      </c>
      <c r="D104" s="3" t="s">
        <v>9</v>
      </c>
      <c r="E104" s="3" t="s">
        <v>11</v>
      </c>
      <c r="F104" s="2">
        <v>85693</v>
      </c>
      <c r="G104" s="2">
        <v>0</v>
      </c>
      <c r="H104" s="2">
        <v>1</v>
      </c>
      <c r="I104" s="4">
        <v>41384</v>
      </c>
      <c r="J104" s="2">
        <v>59</v>
      </c>
    </row>
    <row r="105" spans="1:10" ht="12.5">
      <c r="A105" s="2">
        <v>103</v>
      </c>
      <c r="B105" s="2">
        <v>9370</v>
      </c>
      <c r="C105" s="2">
        <v>1945</v>
      </c>
      <c r="D105" s="3" t="s">
        <v>12</v>
      </c>
      <c r="E105" s="3" t="s">
        <v>13</v>
      </c>
      <c r="F105" s="2">
        <v>65846</v>
      </c>
      <c r="G105" s="2">
        <v>0</v>
      </c>
      <c r="H105" s="2">
        <v>0</v>
      </c>
      <c r="I105" s="4">
        <v>41411</v>
      </c>
      <c r="J105" s="2">
        <v>68</v>
      </c>
    </row>
    <row r="106" spans="1:10" ht="12.5">
      <c r="A106" s="2">
        <v>104</v>
      </c>
      <c r="B106" s="2">
        <v>8908</v>
      </c>
      <c r="C106" s="2">
        <v>1959</v>
      </c>
      <c r="D106" s="3" t="s">
        <v>9</v>
      </c>
      <c r="E106" s="3" t="s">
        <v>13</v>
      </c>
      <c r="F106" s="2">
        <v>87195</v>
      </c>
      <c r="G106" s="2">
        <v>0</v>
      </c>
      <c r="H106" s="2">
        <v>0</v>
      </c>
      <c r="I106" s="4">
        <v>41767</v>
      </c>
      <c r="J106" s="2">
        <v>35</v>
      </c>
    </row>
    <row r="107" spans="1:10" ht="12.5">
      <c r="A107" s="2">
        <v>105</v>
      </c>
      <c r="B107" s="2">
        <v>8373</v>
      </c>
      <c r="C107" s="2">
        <v>1979</v>
      </c>
      <c r="D107" s="3" t="s">
        <v>16</v>
      </c>
      <c r="E107" s="3" t="s">
        <v>11</v>
      </c>
      <c r="F107" s="2">
        <v>24594</v>
      </c>
      <c r="G107" s="2">
        <v>1</v>
      </c>
      <c r="H107" s="2">
        <v>0</v>
      </c>
      <c r="I107" s="5">
        <v>41618</v>
      </c>
      <c r="J107" s="2">
        <v>94</v>
      </c>
    </row>
    <row r="108" spans="1:10" ht="12.5">
      <c r="A108" s="2">
        <v>106</v>
      </c>
      <c r="B108" s="2">
        <v>7533</v>
      </c>
      <c r="C108" s="2">
        <v>1964</v>
      </c>
      <c r="D108" s="3" t="s">
        <v>9</v>
      </c>
      <c r="E108" s="3" t="s">
        <v>13</v>
      </c>
      <c r="F108" s="2">
        <v>49096</v>
      </c>
      <c r="G108" s="2">
        <v>1</v>
      </c>
      <c r="H108" s="2">
        <v>1</v>
      </c>
      <c r="I108" s="4">
        <v>41541</v>
      </c>
      <c r="J108" s="2">
        <v>15</v>
      </c>
    </row>
    <row r="109" spans="1:10" ht="12.5">
      <c r="A109" s="2">
        <v>107</v>
      </c>
      <c r="B109" s="2">
        <v>2683</v>
      </c>
      <c r="C109" s="2">
        <v>1969</v>
      </c>
      <c r="D109" s="3" t="s">
        <v>9</v>
      </c>
      <c r="E109" s="3" t="s">
        <v>13</v>
      </c>
      <c r="F109" s="2">
        <v>52413</v>
      </c>
      <c r="G109" s="2">
        <v>0</v>
      </c>
      <c r="H109" s="2">
        <v>2</v>
      </c>
      <c r="I109" s="4">
        <v>41307</v>
      </c>
      <c r="J109" s="2">
        <v>56</v>
      </c>
    </row>
    <row r="110" spans="1:10" ht="12.5">
      <c r="A110" s="2">
        <v>108</v>
      </c>
      <c r="B110" s="2">
        <v>3629</v>
      </c>
      <c r="C110" s="2">
        <v>1978</v>
      </c>
      <c r="D110" s="3" t="s">
        <v>9</v>
      </c>
      <c r="E110" s="3" t="s">
        <v>10</v>
      </c>
      <c r="F110" s="2">
        <v>38557</v>
      </c>
      <c r="G110" s="2">
        <v>1</v>
      </c>
      <c r="H110" s="2">
        <v>0</v>
      </c>
      <c r="I110" s="5">
        <v>41262</v>
      </c>
      <c r="J110" s="2">
        <v>17</v>
      </c>
    </row>
    <row r="111" spans="1:10" ht="12.5">
      <c r="A111" s="2">
        <v>109</v>
      </c>
      <c r="B111" s="2">
        <v>10991</v>
      </c>
      <c r="C111" s="2">
        <v>1960</v>
      </c>
      <c r="D111" s="3" t="s">
        <v>14</v>
      </c>
      <c r="E111" s="3" t="s">
        <v>13</v>
      </c>
      <c r="F111" s="2">
        <v>89058</v>
      </c>
      <c r="G111" s="2">
        <v>0</v>
      </c>
      <c r="H111" s="2">
        <v>0</v>
      </c>
      <c r="I111" s="4">
        <v>41250</v>
      </c>
      <c r="J111" s="2">
        <v>18</v>
      </c>
    </row>
    <row r="112" spans="1:10" ht="12.5">
      <c r="A112" s="2">
        <v>110</v>
      </c>
      <c r="B112" s="2">
        <v>5077</v>
      </c>
      <c r="C112" s="2">
        <v>1979</v>
      </c>
      <c r="D112" s="3" t="s">
        <v>9</v>
      </c>
      <c r="E112" s="3" t="s">
        <v>11</v>
      </c>
      <c r="F112" s="2">
        <v>77298</v>
      </c>
      <c r="G112" s="2">
        <v>0</v>
      </c>
      <c r="H112" s="2">
        <v>1</v>
      </c>
      <c r="I112" s="4">
        <v>41580</v>
      </c>
      <c r="J112" s="2">
        <v>46</v>
      </c>
    </row>
    <row r="113" spans="1:10" ht="12.5">
      <c r="A113" s="2">
        <v>111</v>
      </c>
      <c r="B113" s="2">
        <v>7431</v>
      </c>
      <c r="C113" s="2">
        <v>1991</v>
      </c>
      <c r="D113" s="3" t="s">
        <v>12</v>
      </c>
      <c r="E113" s="3" t="s">
        <v>10</v>
      </c>
      <c r="F113" s="2">
        <v>68126</v>
      </c>
      <c r="G113" s="2">
        <v>0</v>
      </c>
      <c r="H113" s="2">
        <v>0</v>
      </c>
      <c r="I113" s="5">
        <v>41223</v>
      </c>
      <c r="J113" s="2">
        <v>40</v>
      </c>
    </row>
    <row r="114" spans="1:10" ht="12.5">
      <c r="A114" s="2">
        <v>112</v>
      </c>
      <c r="B114" s="2">
        <v>3267</v>
      </c>
      <c r="C114" s="2">
        <v>1963</v>
      </c>
      <c r="D114" s="3" t="s">
        <v>14</v>
      </c>
      <c r="E114" s="3" t="s">
        <v>11</v>
      </c>
      <c r="F114" s="2">
        <v>57288</v>
      </c>
      <c r="G114" s="2">
        <v>0</v>
      </c>
      <c r="H114" s="2">
        <v>1</v>
      </c>
      <c r="I114" s="4">
        <v>41815</v>
      </c>
      <c r="J114" s="2">
        <v>27</v>
      </c>
    </row>
    <row r="115" spans="1:10" ht="12.5">
      <c r="A115" s="2">
        <v>113</v>
      </c>
      <c r="B115" s="2">
        <v>999</v>
      </c>
      <c r="C115" s="2">
        <v>1991</v>
      </c>
      <c r="D115" s="3" t="s">
        <v>9</v>
      </c>
      <c r="E115" s="3" t="s">
        <v>10</v>
      </c>
      <c r="F115" s="2">
        <v>86037</v>
      </c>
      <c r="G115" s="2">
        <v>0</v>
      </c>
      <c r="H115" s="2">
        <v>0</v>
      </c>
      <c r="I115" s="4">
        <v>41276</v>
      </c>
      <c r="J115" s="2">
        <v>95</v>
      </c>
    </row>
    <row r="116" spans="1:10" ht="12.5">
      <c r="A116" s="2">
        <v>114</v>
      </c>
      <c r="B116" s="2">
        <v>9215</v>
      </c>
      <c r="C116" s="2">
        <v>1980</v>
      </c>
      <c r="D116" s="3" t="s">
        <v>12</v>
      </c>
      <c r="E116" s="3" t="s">
        <v>13</v>
      </c>
      <c r="F116" s="2">
        <v>43974</v>
      </c>
      <c r="G116" s="2">
        <v>1</v>
      </c>
      <c r="H116" s="2">
        <v>0</v>
      </c>
      <c r="I116" s="5">
        <v>41255</v>
      </c>
      <c r="J116" s="2">
        <v>19</v>
      </c>
    </row>
    <row r="117" spans="1:10" ht="12.5">
      <c r="A117" s="2">
        <v>115</v>
      </c>
      <c r="B117" s="2">
        <v>2286</v>
      </c>
      <c r="C117" s="2">
        <v>1962</v>
      </c>
      <c r="D117" s="3" t="s">
        <v>9</v>
      </c>
      <c r="E117" s="3" t="s">
        <v>10</v>
      </c>
      <c r="F117" s="2">
        <v>50785</v>
      </c>
      <c r="G117" s="2">
        <v>1</v>
      </c>
      <c r="H117" s="2">
        <v>1</v>
      </c>
      <c r="I117" s="4">
        <v>41527</v>
      </c>
      <c r="J117" s="2">
        <v>27</v>
      </c>
    </row>
    <row r="118" spans="1:10" ht="12.5">
      <c r="A118" s="2">
        <v>116</v>
      </c>
      <c r="B118" s="2">
        <v>1592</v>
      </c>
      <c r="C118" s="2">
        <v>1970</v>
      </c>
      <c r="D118" s="3" t="s">
        <v>9</v>
      </c>
      <c r="E118" s="3" t="s">
        <v>13</v>
      </c>
      <c r="F118" s="2">
        <v>90765</v>
      </c>
      <c r="G118" s="2">
        <v>0</v>
      </c>
      <c r="H118" s="2">
        <v>0</v>
      </c>
      <c r="I118" s="4">
        <v>41663</v>
      </c>
      <c r="J118" s="2">
        <v>25</v>
      </c>
    </row>
    <row r="119" spans="1:10" ht="12.5">
      <c r="A119" s="2">
        <v>117</v>
      </c>
      <c r="B119" s="2">
        <v>367</v>
      </c>
      <c r="C119" s="2">
        <v>1978</v>
      </c>
      <c r="D119" s="3" t="s">
        <v>17</v>
      </c>
      <c r="E119" s="3" t="s">
        <v>13</v>
      </c>
      <c r="F119" s="2">
        <v>36550</v>
      </c>
      <c r="G119" s="2">
        <v>1</v>
      </c>
      <c r="H119" s="2">
        <v>0</v>
      </c>
      <c r="I119" s="4">
        <v>41324</v>
      </c>
      <c r="J119" s="2">
        <v>74</v>
      </c>
    </row>
    <row r="120" spans="1:10" ht="12.5">
      <c r="A120" s="2">
        <v>118</v>
      </c>
      <c r="B120" s="2">
        <v>5234</v>
      </c>
      <c r="C120" s="2">
        <v>1967</v>
      </c>
      <c r="D120" s="3" t="s">
        <v>17</v>
      </c>
      <c r="E120" s="3" t="s">
        <v>11</v>
      </c>
      <c r="F120" s="2">
        <v>30753</v>
      </c>
      <c r="G120" s="2">
        <v>1</v>
      </c>
      <c r="H120" s="2">
        <v>1</v>
      </c>
      <c r="I120" s="4">
        <v>41466</v>
      </c>
      <c r="J120" s="2">
        <v>85</v>
      </c>
    </row>
    <row r="121" spans="1:10" ht="12.5">
      <c r="A121" s="2">
        <v>119</v>
      </c>
      <c r="B121" s="2">
        <v>9862</v>
      </c>
      <c r="C121" s="2">
        <v>1969</v>
      </c>
      <c r="D121" s="3" t="s">
        <v>9</v>
      </c>
      <c r="E121" s="3" t="s">
        <v>11</v>
      </c>
      <c r="F121" s="2">
        <v>21918</v>
      </c>
      <c r="G121" s="2">
        <v>1</v>
      </c>
      <c r="H121" s="2">
        <v>0</v>
      </c>
      <c r="I121" s="5">
        <v>41592</v>
      </c>
      <c r="J121" s="2">
        <v>37</v>
      </c>
    </row>
    <row r="122" spans="1:10" ht="12.5">
      <c r="A122" s="2">
        <v>120</v>
      </c>
      <c r="B122" s="2">
        <v>9805</v>
      </c>
      <c r="C122" s="2">
        <v>1953</v>
      </c>
      <c r="D122" s="3" t="s">
        <v>14</v>
      </c>
      <c r="E122" s="3" t="s">
        <v>11</v>
      </c>
      <c r="F122" s="2">
        <v>56129</v>
      </c>
      <c r="G122" s="2">
        <v>0</v>
      </c>
      <c r="H122" s="2">
        <v>1</v>
      </c>
      <c r="I122" s="4">
        <v>41445</v>
      </c>
      <c r="J122" s="2">
        <v>65</v>
      </c>
    </row>
    <row r="123" spans="1:10" ht="12.5">
      <c r="A123" s="2">
        <v>121</v>
      </c>
      <c r="B123" s="2">
        <v>6205</v>
      </c>
      <c r="C123" s="2">
        <v>1967</v>
      </c>
      <c r="D123" s="3" t="s">
        <v>14</v>
      </c>
      <c r="E123" s="3" t="s">
        <v>10</v>
      </c>
      <c r="F123" s="2">
        <v>32557</v>
      </c>
      <c r="G123" s="2">
        <v>1</v>
      </c>
      <c r="H123" s="2">
        <v>0</v>
      </c>
      <c r="I123" s="4">
        <v>41694</v>
      </c>
      <c r="J123" s="2">
        <v>13</v>
      </c>
    </row>
    <row r="124" spans="1:10" ht="12.5">
      <c r="A124" s="2">
        <v>122</v>
      </c>
      <c r="B124" s="2">
        <v>8442</v>
      </c>
      <c r="C124" s="2">
        <v>1985</v>
      </c>
      <c r="D124" s="3" t="s">
        <v>14</v>
      </c>
      <c r="E124" s="3" t="s">
        <v>13</v>
      </c>
      <c r="F124" s="2">
        <v>19510</v>
      </c>
      <c r="G124" s="2">
        <v>2</v>
      </c>
      <c r="H124" s="2">
        <v>0</v>
      </c>
      <c r="I124" s="4">
        <v>41521</v>
      </c>
      <c r="J124" s="2">
        <v>63</v>
      </c>
    </row>
    <row r="125" spans="1:10" ht="12.5">
      <c r="A125" s="2">
        <v>123</v>
      </c>
      <c r="B125" s="2">
        <v>7386</v>
      </c>
      <c r="C125" s="2">
        <v>1976</v>
      </c>
      <c r="D125" s="3" t="s">
        <v>9</v>
      </c>
      <c r="E125" s="3" t="s">
        <v>15</v>
      </c>
      <c r="F125" s="2">
        <v>30992</v>
      </c>
      <c r="G125" s="2">
        <v>1</v>
      </c>
      <c r="H125" s="2">
        <v>0</v>
      </c>
      <c r="I125" s="4">
        <v>41386</v>
      </c>
      <c r="J125" s="2">
        <v>83</v>
      </c>
    </row>
    <row r="126" spans="1:10" ht="12.5">
      <c r="A126" s="2">
        <v>124</v>
      </c>
      <c r="B126" s="2">
        <v>7215</v>
      </c>
      <c r="C126" s="2">
        <v>1983</v>
      </c>
      <c r="D126" s="3" t="s">
        <v>9</v>
      </c>
      <c r="E126" s="3" t="s">
        <v>10</v>
      </c>
      <c r="F126" s="2">
        <v>101970</v>
      </c>
      <c r="G126" s="2">
        <v>0</v>
      </c>
      <c r="H126" s="2">
        <v>0</v>
      </c>
      <c r="I126" s="4">
        <v>41345</v>
      </c>
      <c r="J126" s="2">
        <v>69</v>
      </c>
    </row>
    <row r="127" spans="1:10" ht="12.5">
      <c r="A127" s="2">
        <v>125</v>
      </c>
      <c r="B127" s="2">
        <v>1491</v>
      </c>
      <c r="C127" s="2">
        <v>1965</v>
      </c>
      <c r="D127" s="3" t="s">
        <v>17</v>
      </c>
      <c r="E127" s="3" t="s">
        <v>11</v>
      </c>
      <c r="F127" s="2">
        <v>71488</v>
      </c>
      <c r="G127" s="2">
        <v>0</v>
      </c>
      <c r="H127" s="2">
        <v>0</v>
      </c>
      <c r="I127" s="4">
        <v>41323</v>
      </c>
      <c r="J127" s="2">
        <v>87</v>
      </c>
    </row>
    <row r="128" spans="1:10" ht="12.5">
      <c r="A128" s="2">
        <v>126</v>
      </c>
      <c r="B128" s="2">
        <v>11071</v>
      </c>
      <c r="C128" s="2">
        <v>1984</v>
      </c>
      <c r="D128" s="3" t="s">
        <v>9</v>
      </c>
      <c r="E128" s="3" t="s">
        <v>10</v>
      </c>
      <c r="F128" s="2">
        <v>79607</v>
      </c>
      <c r="G128" s="2">
        <v>0</v>
      </c>
      <c r="H128" s="2">
        <v>0</v>
      </c>
      <c r="I128" s="4">
        <v>41385</v>
      </c>
      <c r="J128" s="2">
        <v>37</v>
      </c>
    </row>
    <row r="129" spans="1:10" ht="12.5">
      <c r="A129" s="2">
        <v>127</v>
      </c>
      <c r="B129" s="2">
        <v>3381</v>
      </c>
      <c r="C129" s="2">
        <v>1953</v>
      </c>
      <c r="D129" s="3" t="s">
        <v>14</v>
      </c>
      <c r="E129" s="3" t="s">
        <v>13</v>
      </c>
      <c r="F129" s="2">
        <v>54348</v>
      </c>
      <c r="G129" s="2">
        <v>1</v>
      </c>
      <c r="H129" s="2">
        <v>1</v>
      </c>
      <c r="I129" s="4">
        <v>41798</v>
      </c>
      <c r="J129" s="2">
        <v>51</v>
      </c>
    </row>
    <row r="130" spans="1:10" ht="12.5">
      <c r="A130" s="2">
        <v>128</v>
      </c>
      <c r="B130" s="2">
        <v>8268</v>
      </c>
      <c r="C130" s="2">
        <v>1961</v>
      </c>
      <c r="D130" s="3" t="s">
        <v>12</v>
      </c>
      <c r="E130" s="3" t="s">
        <v>13</v>
      </c>
      <c r="F130" s="3"/>
      <c r="G130" s="2">
        <v>0</v>
      </c>
      <c r="H130" s="2">
        <v>1</v>
      </c>
      <c r="I130" s="4">
        <v>41466</v>
      </c>
      <c r="J130" s="2">
        <v>23</v>
      </c>
    </row>
    <row r="131" spans="1:10" ht="12.5">
      <c r="A131" s="2">
        <v>129</v>
      </c>
      <c r="B131" s="2">
        <v>11051</v>
      </c>
      <c r="C131" s="2">
        <v>1956</v>
      </c>
      <c r="D131" s="3" t="s">
        <v>12</v>
      </c>
      <c r="E131" s="3" t="s">
        <v>11</v>
      </c>
      <c r="F131" s="2">
        <v>77376</v>
      </c>
      <c r="G131" s="2">
        <v>1</v>
      </c>
      <c r="H131" s="2">
        <v>1</v>
      </c>
      <c r="I131" s="4">
        <v>41769</v>
      </c>
      <c r="J131" s="2">
        <v>72</v>
      </c>
    </row>
    <row r="132" spans="1:10" ht="12.5">
      <c r="A132" s="2">
        <v>130</v>
      </c>
      <c r="B132" s="2">
        <v>8026</v>
      </c>
      <c r="C132" s="2">
        <v>1952</v>
      </c>
      <c r="D132" s="3" t="s">
        <v>9</v>
      </c>
      <c r="E132" s="3" t="s">
        <v>13</v>
      </c>
      <c r="F132" s="2">
        <v>62998</v>
      </c>
      <c r="G132" s="2">
        <v>0</v>
      </c>
      <c r="H132" s="2">
        <v>1</v>
      </c>
      <c r="I132" s="4">
        <v>41547</v>
      </c>
      <c r="J132" s="2">
        <v>10</v>
      </c>
    </row>
    <row r="133" spans="1:10" ht="12.5">
      <c r="A133" s="2">
        <v>131</v>
      </c>
      <c r="B133" s="2">
        <v>433</v>
      </c>
      <c r="C133" s="2">
        <v>1958</v>
      </c>
      <c r="D133" s="3" t="s">
        <v>14</v>
      </c>
      <c r="E133" s="3" t="s">
        <v>19</v>
      </c>
      <c r="F133" s="2">
        <v>61331</v>
      </c>
      <c r="G133" s="2">
        <v>1</v>
      </c>
      <c r="H133" s="2">
        <v>1</v>
      </c>
      <c r="I133" s="4">
        <v>41343</v>
      </c>
      <c r="J133" s="2">
        <v>42</v>
      </c>
    </row>
    <row r="134" spans="1:10" ht="12.5">
      <c r="A134" s="2">
        <v>132</v>
      </c>
      <c r="B134" s="2">
        <v>9597</v>
      </c>
      <c r="C134" s="2">
        <v>1969</v>
      </c>
      <c r="D134" s="3" t="s">
        <v>9</v>
      </c>
      <c r="E134" s="3" t="s">
        <v>13</v>
      </c>
      <c r="F134" s="2">
        <v>73448</v>
      </c>
      <c r="G134" s="2">
        <v>0</v>
      </c>
      <c r="H134" s="2">
        <v>0</v>
      </c>
      <c r="I134" s="4">
        <v>41680</v>
      </c>
      <c r="J134" s="2">
        <v>10</v>
      </c>
    </row>
    <row r="135" spans="1:10" ht="12.5">
      <c r="A135" s="2">
        <v>133</v>
      </c>
      <c r="B135" s="2">
        <v>1295</v>
      </c>
      <c r="C135" s="2">
        <v>1963</v>
      </c>
      <c r="D135" s="3" t="s">
        <v>9</v>
      </c>
      <c r="E135" s="3" t="s">
        <v>13</v>
      </c>
      <c r="F135" s="3"/>
      <c r="G135" s="2">
        <v>0</v>
      </c>
      <c r="H135" s="2">
        <v>1</v>
      </c>
      <c r="I135" s="4">
        <v>41497</v>
      </c>
      <c r="J135" s="2">
        <v>96</v>
      </c>
    </row>
    <row r="136" spans="1:10" ht="12.5">
      <c r="A136" s="2">
        <v>134</v>
      </c>
      <c r="B136" s="2">
        <v>5290</v>
      </c>
      <c r="C136" s="2">
        <v>1964</v>
      </c>
      <c r="D136" s="3" t="s">
        <v>12</v>
      </c>
      <c r="E136" s="3" t="s">
        <v>13</v>
      </c>
      <c r="F136" s="2">
        <v>41551</v>
      </c>
      <c r="G136" s="2">
        <v>1</v>
      </c>
      <c r="H136" s="2">
        <v>1</v>
      </c>
      <c r="I136" s="4">
        <v>41500</v>
      </c>
      <c r="J136" s="2">
        <v>51</v>
      </c>
    </row>
    <row r="137" spans="1:10" ht="12.5">
      <c r="A137" s="2">
        <v>135</v>
      </c>
      <c r="B137" s="2">
        <v>1685</v>
      </c>
      <c r="C137" s="2">
        <v>1967</v>
      </c>
      <c r="D137" s="3" t="s">
        <v>12</v>
      </c>
      <c r="E137" s="3" t="s">
        <v>11</v>
      </c>
      <c r="F137" s="2">
        <v>62981</v>
      </c>
      <c r="G137" s="2">
        <v>0</v>
      </c>
      <c r="H137" s="2">
        <v>0</v>
      </c>
      <c r="I137" s="4">
        <v>41350</v>
      </c>
      <c r="J137" s="2">
        <v>21</v>
      </c>
    </row>
    <row r="138" spans="1:10" ht="12.5">
      <c r="A138" s="2">
        <v>136</v>
      </c>
      <c r="B138" s="2">
        <v>5342</v>
      </c>
      <c r="C138" s="2">
        <v>1976</v>
      </c>
      <c r="D138" s="3" t="s">
        <v>16</v>
      </c>
      <c r="E138" s="3" t="s">
        <v>15</v>
      </c>
      <c r="F138" s="2">
        <v>9548</v>
      </c>
      <c r="G138" s="2">
        <v>1</v>
      </c>
      <c r="H138" s="2">
        <v>0</v>
      </c>
      <c r="I138" s="4">
        <v>41129</v>
      </c>
      <c r="J138" s="2">
        <v>31</v>
      </c>
    </row>
    <row r="139" spans="1:10" ht="12.5">
      <c r="A139" s="2">
        <v>137</v>
      </c>
      <c r="B139" s="2">
        <v>9579</v>
      </c>
      <c r="C139" s="2">
        <v>1959</v>
      </c>
      <c r="D139" s="3" t="s">
        <v>12</v>
      </c>
      <c r="E139" s="3" t="s">
        <v>13</v>
      </c>
      <c r="F139" s="2">
        <v>33762</v>
      </c>
      <c r="G139" s="2">
        <v>2</v>
      </c>
      <c r="H139" s="2">
        <v>1</v>
      </c>
      <c r="I139" s="4">
        <v>41462</v>
      </c>
      <c r="J139" s="2">
        <v>61</v>
      </c>
    </row>
    <row r="140" spans="1:10" ht="12.5">
      <c r="A140" s="2">
        <v>138</v>
      </c>
      <c r="B140" s="2">
        <v>7660</v>
      </c>
      <c r="C140" s="2">
        <v>1973</v>
      </c>
      <c r="D140" s="3" t="s">
        <v>12</v>
      </c>
      <c r="E140" s="3" t="s">
        <v>19</v>
      </c>
      <c r="F140" s="2">
        <v>35860</v>
      </c>
      <c r="G140" s="2">
        <v>1</v>
      </c>
      <c r="H140" s="2">
        <v>1</v>
      </c>
      <c r="I140" s="4">
        <v>41778</v>
      </c>
      <c r="J140" s="2">
        <v>37</v>
      </c>
    </row>
    <row r="141" spans="1:10" ht="12.5">
      <c r="A141" s="2">
        <v>139</v>
      </c>
      <c r="B141" s="2">
        <v>1461</v>
      </c>
      <c r="C141" s="2">
        <v>1965</v>
      </c>
      <c r="D141" s="3" t="s">
        <v>12</v>
      </c>
      <c r="E141" s="3" t="s">
        <v>15</v>
      </c>
      <c r="F141" s="2">
        <v>36921</v>
      </c>
      <c r="G141" s="2">
        <v>1</v>
      </c>
      <c r="H141" s="2">
        <v>1</v>
      </c>
      <c r="I141" s="4">
        <v>41483</v>
      </c>
      <c r="J141" s="2">
        <v>74</v>
      </c>
    </row>
    <row r="142" spans="1:10" ht="12.5">
      <c r="A142" s="2">
        <v>140</v>
      </c>
      <c r="B142" s="2">
        <v>821</v>
      </c>
      <c r="C142" s="2">
        <v>1992</v>
      </c>
      <c r="D142" s="3" t="s">
        <v>14</v>
      </c>
      <c r="E142" s="3" t="s">
        <v>10</v>
      </c>
      <c r="F142" s="2">
        <v>92859</v>
      </c>
      <c r="G142" s="2">
        <v>0</v>
      </c>
      <c r="H142" s="2">
        <v>0</v>
      </c>
      <c r="I142" s="5">
        <v>41201</v>
      </c>
      <c r="J142" s="2">
        <v>46</v>
      </c>
    </row>
    <row r="143" spans="1:10" ht="12.5">
      <c r="A143" s="2">
        <v>141</v>
      </c>
      <c r="B143" s="2">
        <v>11084</v>
      </c>
      <c r="C143" s="2">
        <v>1976</v>
      </c>
      <c r="D143" s="3" t="s">
        <v>14</v>
      </c>
      <c r="E143" s="3" t="s">
        <v>11</v>
      </c>
      <c r="F143" s="2">
        <v>65104</v>
      </c>
      <c r="G143" s="2">
        <v>0</v>
      </c>
      <c r="H143" s="2">
        <v>1</v>
      </c>
      <c r="I143" s="5">
        <v>41592</v>
      </c>
      <c r="J143" s="2">
        <v>4</v>
      </c>
    </row>
    <row r="144" spans="1:10" ht="12.5">
      <c r="A144" s="2">
        <v>142</v>
      </c>
      <c r="B144" s="2">
        <v>8690</v>
      </c>
      <c r="C144" s="2">
        <v>1962</v>
      </c>
      <c r="D144" s="3" t="s">
        <v>9</v>
      </c>
      <c r="E144" s="3" t="s">
        <v>13</v>
      </c>
      <c r="F144" s="2">
        <v>86111</v>
      </c>
      <c r="G144" s="2">
        <v>0</v>
      </c>
      <c r="H144" s="2">
        <v>0</v>
      </c>
      <c r="I144" s="4">
        <v>41383</v>
      </c>
      <c r="J144" s="2">
        <v>73</v>
      </c>
    </row>
    <row r="145" spans="1:10" ht="12.5">
      <c r="A145" s="2">
        <v>143</v>
      </c>
      <c r="B145" s="2">
        <v>2937</v>
      </c>
      <c r="C145" s="2">
        <v>1974</v>
      </c>
      <c r="D145" s="3" t="s">
        <v>12</v>
      </c>
      <c r="E145" s="3" t="s">
        <v>10</v>
      </c>
      <c r="F145" s="2">
        <v>68352</v>
      </c>
      <c r="G145" s="2">
        <v>0</v>
      </c>
      <c r="H145" s="2">
        <v>1</v>
      </c>
      <c r="I145" s="4">
        <v>41514</v>
      </c>
      <c r="J145" s="2">
        <v>47</v>
      </c>
    </row>
    <row r="146" spans="1:10" ht="12.5">
      <c r="A146" s="2">
        <v>144</v>
      </c>
      <c r="B146" s="2">
        <v>9701</v>
      </c>
      <c r="C146" s="2">
        <v>1988</v>
      </c>
      <c r="D146" s="3" t="s">
        <v>9</v>
      </c>
      <c r="E146" s="3" t="s">
        <v>11</v>
      </c>
      <c r="F146" s="2">
        <v>41883</v>
      </c>
      <c r="G146" s="2">
        <v>1</v>
      </c>
      <c r="H146" s="2">
        <v>0</v>
      </c>
      <c r="I146" s="4">
        <v>41352</v>
      </c>
      <c r="J146" s="2">
        <v>13</v>
      </c>
    </row>
    <row r="147" spans="1:10" ht="12.5">
      <c r="A147" s="2">
        <v>145</v>
      </c>
      <c r="B147" s="2">
        <v>9949</v>
      </c>
      <c r="C147" s="2">
        <v>1976</v>
      </c>
      <c r="D147" s="3" t="s">
        <v>9</v>
      </c>
      <c r="E147" s="3" t="s">
        <v>13</v>
      </c>
      <c r="F147" s="2">
        <v>59809</v>
      </c>
      <c r="G147" s="2">
        <v>0</v>
      </c>
      <c r="H147" s="2">
        <v>2</v>
      </c>
      <c r="I147" s="5">
        <v>41200</v>
      </c>
      <c r="J147" s="2">
        <v>36</v>
      </c>
    </row>
    <row r="148" spans="1:10" ht="12.5">
      <c r="A148" s="2">
        <v>146</v>
      </c>
      <c r="B148" s="2">
        <v>10837</v>
      </c>
      <c r="C148" s="2">
        <v>1975</v>
      </c>
      <c r="D148" s="3" t="s">
        <v>9</v>
      </c>
      <c r="E148" s="3" t="s">
        <v>13</v>
      </c>
      <c r="F148" s="2">
        <v>23957</v>
      </c>
      <c r="G148" s="2">
        <v>1</v>
      </c>
      <c r="H148" s="2">
        <v>0</v>
      </c>
      <c r="I148" s="5">
        <v>41210</v>
      </c>
      <c r="J148" s="2">
        <v>47</v>
      </c>
    </row>
    <row r="149" spans="1:10" ht="12.5">
      <c r="A149" s="2">
        <v>147</v>
      </c>
      <c r="B149" s="2">
        <v>3120</v>
      </c>
      <c r="C149" s="2">
        <v>1981</v>
      </c>
      <c r="D149" s="3" t="s">
        <v>9</v>
      </c>
      <c r="E149" s="3" t="s">
        <v>11</v>
      </c>
      <c r="F149" s="2">
        <v>38547</v>
      </c>
      <c r="G149" s="2">
        <v>1</v>
      </c>
      <c r="H149" s="2">
        <v>0</v>
      </c>
      <c r="I149" s="4">
        <v>41514</v>
      </c>
      <c r="J149" s="2">
        <v>49</v>
      </c>
    </row>
    <row r="150" spans="1:10" ht="12.5">
      <c r="A150" s="2">
        <v>148</v>
      </c>
      <c r="B150" s="2">
        <v>5885</v>
      </c>
      <c r="C150" s="2">
        <v>1973</v>
      </c>
      <c r="D150" s="3" t="s">
        <v>17</v>
      </c>
      <c r="E150" s="3" t="s">
        <v>13</v>
      </c>
      <c r="F150" s="2">
        <v>35688</v>
      </c>
      <c r="G150" s="2">
        <v>2</v>
      </c>
      <c r="H150" s="2">
        <v>1</v>
      </c>
      <c r="I150" s="4">
        <v>41143</v>
      </c>
      <c r="J150" s="2">
        <v>94</v>
      </c>
    </row>
    <row r="151" spans="1:10" ht="12.5">
      <c r="A151" s="2">
        <v>149</v>
      </c>
      <c r="B151" s="2">
        <v>4050</v>
      </c>
      <c r="C151" s="2">
        <v>1966</v>
      </c>
      <c r="D151" s="3" t="s">
        <v>14</v>
      </c>
      <c r="E151" s="3" t="s">
        <v>13</v>
      </c>
      <c r="F151" s="2">
        <v>49605</v>
      </c>
      <c r="G151" s="2">
        <v>0</v>
      </c>
      <c r="H151" s="2">
        <v>0</v>
      </c>
      <c r="I151" s="4">
        <v>41811</v>
      </c>
      <c r="J151" s="2">
        <v>65</v>
      </c>
    </row>
    <row r="152" spans="1:10" ht="12.5">
      <c r="A152" s="2">
        <v>150</v>
      </c>
      <c r="B152" s="2">
        <v>3830</v>
      </c>
      <c r="C152" s="2">
        <v>1953</v>
      </c>
      <c r="D152" s="3" t="s">
        <v>14</v>
      </c>
      <c r="E152" s="3" t="s">
        <v>13</v>
      </c>
      <c r="F152" s="2">
        <v>59354</v>
      </c>
      <c r="G152" s="2">
        <v>0</v>
      </c>
      <c r="H152" s="2">
        <v>2</v>
      </c>
      <c r="I152" s="4">
        <v>41753</v>
      </c>
      <c r="J152" s="2">
        <v>59</v>
      </c>
    </row>
    <row r="153" spans="1:10" ht="12.5">
      <c r="A153" s="2">
        <v>151</v>
      </c>
      <c r="B153" s="2">
        <v>7987</v>
      </c>
      <c r="C153" s="2">
        <v>1969</v>
      </c>
      <c r="D153" s="3" t="s">
        <v>9</v>
      </c>
      <c r="E153" s="3" t="s">
        <v>13</v>
      </c>
      <c r="F153" s="2">
        <v>65747</v>
      </c>
      <c r="G153" s="2">
        <v>0</v>
      </c>
      <c r="H153" s="2">
        <v>1</v>
      </c>
      <c r="I153" s="4">
        <v>41705</v>
      </c>
      <c r="J153" s="2">
        <v>96</v>
      </c>
    </row>
    <row r="154" spans="1:10" ht="12.5">
      <c r="A154" s="2">
        <v>152</v>
      </c>
      <c r="B154" s="2">
        <v>7798</v>
      </c>
      <c r="C154" s="2">
        <v>1972</v>
      </c>
      <c r="D154" s="3" t="s">
        <v>17</v>
      </c>
      <c r="E154" s="3" t="s">
        <v>11</v>
      </c>
      <c r="F154" s="2">
        <v>46344</v>
      </c>
      <c r="G154" s="2">
        <v>0</v>
      </c>
      <c r="H154" s="2">
        <v>1</v>
      </c>
      <c r="I154" s="5">
        <v>41257</v>
      </c>
      <c r="J154" s="2">
        <v>28</v>
      </c>
    </row>
    <row r="155" spans="1:10" ht="12.5">
      <c r="A155" s="2">
        <v>153</v>
      </c>
      <c r="B155" s="2">
        <v>92</v>
      </c>
      <c r="C155" s="2">
        <v>1988</v>
      </c>
      <c r="D155" s="3" t="s">
        <v>9</v>
      </c>
      <c r="E155" s="3" t="s">
        <v>19</v>
      </c>
      <c r="F155" s="2">
        <v>34176</v>
      </c>
      <c r="G155" s="2">
        <v>1</v>
      </c>
      <c r="H155" s="2">
        <v>0</v>
      </c>
      <c r="I155" s="4">
        <v>41771</v>
      </c>
      <c r="J155" s="2">
        <v>12</v>
      </c>
    </row>
    <row r="156" spans="1:10" ht="12.5">
      <c r="A156" s="2">
        <v>154</v>
      </c>
      <c r="B156" s="2">
        <v>7055</v>
      </c>
      <c r="C156" s="2">
        <v>1952</v>
      </c>
      <c r="D156" s="3" t="s">
        <v>12</v>
      </c>
      <c r="E156" s="3" t="s">
        <v>11</v>
      </c>
      <c r="F156" s="2">
        <v>61010</v>
      </c>
      <c r="G156" s="2">
        <v>0</v>
      </c>
      <c r="H156" s="2">
        <v>1</v>
      </c>
      <c r="I156" s="4">
        <v>41191</v>
      </c>
      <c r="J156" s="2">
        <v>57</v>
      </c>
    </row>
    <row r="157" spans="1:10" ht="12.5">
      <c r="A157" s="2">
        <v>155</v>
      </c>
      <c r="B157" s="2">
        <v>10240</v>
      </c>
      <c r="C157" s="2">
        <v>1949</v>
      </c>
      <c r="D157" s="3" t="s">
        <v>9</v>
      </c>
      <c r="E157" s="3" t="s">
        <v>11</v>
      </c>
      <c r="F157" s="2">
        <v>69372</v>
      </c>
      <c r="G157" s="2">
        <v>0</v>
      </c>
      <c r="H157" s="2">
        <v>0</v>
      </c>
      <c r="I157" s="4">
        <v>41324</v>
      </c>
      <c r="J157" s="2">
        <v>10</v>
      </c>
    </row>
    <row r="158" spans="1:10" ht="12.5">
      <c r="A158" s="2">
        <v>156</v>
      </c>
      <c r="B158" s="2">
        <v>3025</v>
      </c>
      <c r="C158" s="2">
        <v>1958</v>
      </c>
      <c r="D158" s="3" t="s">
        <v>9</v>
      </c>
      <c r="E158" s="3" t="s">
        <v>10</v>
      </c>
      <c r="F158" s="2">
        <v>49967</v>
      </c>
      <c r="G158" s="2">
        <v>0</v>
      </c>
      <c r="H158" s="2">
        <v>1</v>
      </c>
      <c r="I158" s="4">
        <v>41463</v>
      </c>
      <c r="J158" s="2">
        <v>4</v>
      </c>
    </row>
    <row r="159" spans="1:10" ht="12.5">
      <c r="A159" s="2">
        <v>157</v>
      </c>
      <c r="B159" s="2">
        <v>9283</v>
      </c>
      <c r="C159" s="2">
        <v>1978</v>
      </c>
      <c r="D159" s="3" t="s">
        <v>9</v>
      </c>
      <c r="E159" s="3" t="s">
        <v>10</v>
      </c>
      <c r="F159" s="2">
        <v>60199</v>
      </c>
      <c r="G159" s="2">
        <v>1</v>
      </c>
      <c r="H159" s="2">
        <v>2</v>
      </c>
      <c r="I159" s="4">
        <v>41529</v>
      </c>
      <c r="J159" s="2">
        <v>49</v>
      </c>
    </row>
    <row r="160" spans="1:10" ht="12.5">
      <c r="A160" s="2">
        <v>158</v>
      </c>
      <c r="B160" s="2">
        <v>9970</v>
      </c>
      <c r="C160" s="2">
        <v>1977</v>
      </c>
      <c r="D160" s="3" t="s">
        <v>9</v>
      </c>
      <c r="E160" s="3" t="s">
        <v>11</v>
      </c>
      <c r="F160" s="2">
        <v>55375</v>
      </c>
      <c r="G160" s="2">
        <v>0</v>
      </c>
      <c r="H160" s="2">
        <v>1</v>
      </c>
      <c r="I160" s="5">
        <v>41564</v>
      </c>
      <c r="J160" s="2">
        <v>3</v>
      </c>
    </row>
    <row r="161" spans="1:10" ht="12.5">
      <c r="A161" s="2">
        <v>159</v>
      </c>
      <c r="B161" s="2">
        <v>2730</v>
      </c>
      <c r="C161" s="2">
        <v>1955</v>
      </c>
      <c r="D161" s="3" t="s">
        <v>9</v>
      </c>
      <c r="E161" s="3" t="s">
        <v>10</v>
      </c>
      <c r="F161" s="2">
        <v>80317</v>
      </c>
      <c r="G161" s="2">
        <v>0</v>
      </c>
      <c r="H161" s="2">
        <v>0</v>
      </c>
      <c r="I161" s="4">
        <v>41506</v>
      </c>
      <c r="J161" s="2">
        <v>64</v>
      </c>
    </row>
    <row r="162" spans="1:10" ht="12.5">
      <c r="A162" s="2">
        <v>160</v>
      </c>
      <c r="B162" s="2">
        <v>2795</v>
      </c>
      <c r="C162" s="2">
        <v>1958</v>
      </c>
      <c r="D162" s="3" t="s">
        <v>14</v>
      </c>
      <c r="E162" s="3" t="s">
        <v>10</v>
      </c>
      <c r="F162" s="2">
        <v>30523</v>
      </c>
      <c r="G162" s="2">
        <v>2</v>
      </c>
      <c r="H162" s="2">
        <v>1</v>
      </c>
      <c r="I162" s="4">
        <v>41456</v>
      </c>
      <c r="J162" s="2">
        <v>0</v>
      </c>
    </row>
    <row r="163" spans="1:10" ht="12.5">
      <c r="A163" s="2">
        <v>161</v>
      </c>
      <c r="B163" s="2">
        <v>9260</v>
      </c>
      <c r="C163" s="2">
        <v>1945</v>
      </c>
      <c r="D163" s="3" t="s">
        <v>12</v>
      </c>
      <c r="E163" s="3" t="s">
        <v>13</v>
      </c>
      <c r="F163" s="2">
        <v>70356</v>
      </c>
      <c r="G163" s="2">
        <v>0</v>
      </c>
      <c r="H163" s="2">
        <v>0</v>
      </c>
      <c r="I163" s="4">
        <v>41218</v>
      </c>
      <c r="J163" s="2">
        <v>20</v>
      </c>
    </row>
    <row r="164" spans="1:10" ht="12.5">
      <c r="A164" s="2">
        <v>162</v>
      </c>
      <c r="B164" s="2">
        <v>8182</v>
      </c>
      <c r="C164" s="2">
        <v>1984</v>
      </c>
      <c r="D164" s="3" t="s">
        <v>9</v>
      </c>
      <c r="E164" s="3" t="s">
        <v>13</v>
      </c>
      <c r="F164" s="2">
        <v>23228</v>
      </c>
      <c r="G164" s="2">
        <v>1</v>
      </c>
      <c r="H164" s="2">
        <v>0</v>
      </c>
      <c r="I164" s="4">
        <v>41644</v>
      </c>
      <c r="J164" s="2">
        <v>91</v>
      </c>
    </row>
    <row r="165" spans="1:10" ht="12.5">
      <c r="A165" s="2">
        <v>163</v>
      </c>
      <c r="B165" s="2">
        <v>10095</v>
      </c>
      <c r="C165" s="2">
        <v>1975</v>
      </c>
      <c r="D165" s="3" t="s">
        <v>12</v>
      </c>
      <c r="E165" s="3" t="s">
        <v>15</v>
      </c>
      <c r="F165" s="2">
        <v>74165</v>
      </c>
      <c r="G165" s="2">
        <v>0</v>
      </c>
      <c r="H165" s="2">
        <v>0</v>
      </c>
      <c r="I165" s="4">
        <v>41395</v>
      </c>
      <c r="J165" s="2">
        <v>9</v>
      </c>
    </row>
    <row r="166" spans="1:10" ht="12.5">
      <c r="A166" s="2">
        <v>164</v>
      </c>
      <c r="B166" s="2">
        <v>8475</v>
      </c>
      <c r="C166" s="2">
        <v>1973</v>
      </c>
      <c r="D166" s="3" t="s">
        <v>12</v>
      </c>
      <c r="E166" s="3" t="s">
        <v>13</v>
      </c>
      <c r="F166" s="2">
        <v>157243</v>
      </c>
      <c r="G166" s="2">
        <v>0</v>
      </c>
      <c r="H166" s="2">
        <v>1</v>
      </c>
      <c r="I166" s="4">
        <v>41699</v>
      </c>
      <c r="J166" s="2">
        <v>98</v>
      </c>
    </row>
    <row r="167" spans="1:10" ht="12.5">
      <c r="A167" s="2">
        <v>165</v>
      </c>
      <c r="B167" s="2">
        <v>4370</v>
      </c>
      <c r="C167" s="2">
        <v>1966</v>
      </c>
      <c r="D167" s="3" t="s">
        <v>9</v>
      </c>
      <c r="E167" s="3" t="s">
        <v>11</v>
      </c>
      <c r="F167" s="2">
        <v>43482</v>
      </c>
      <c r="G167" s="2">
        <v>2</v>
      </c>
      <c r="H167" s="2">
        <v>1</v>
      </c>
      <c r="I167" s="5">
        <v>41591</v>
      </c>
      <c r="J167" s="2">
        <v>83</v>
      </c>
    </row>
    <row r="168" spans="1:10" ht="12.5">
      <c r="A168" s="2">
        <v>166</v>
      </c>
      <c r="B168" s="2">
        <v>10573</v>
      </c>
      <c r="C168" s="2">
        <v>1953</v>
      </c>
      <c r="D168" s="3" t="s">
        <v>9</v>
      </c>
      <c r="E168" s="3" t="s">
        <v>15</v>
      </c>
      <c r="F168" s="2">
        <v>62551</v>
      </c>
      <c r="G168" s="2">
        <v>0</v>
      </c>
      <c r="H168" s="2">
        <v>0</v>
      </c>
      <c r="I168" s="5">
        <v>41596</v>
      </c>
      <c r="J168" s="2">
        <v>27</v>
      </c>
    </row>
    <row r="169" spans="1:10" ht="12.5">
      <c r="A169" s="2">
        <v>167</v>
      </c>
      <c r="B169" s="2">
        <v>3712</v>
      </c>
      <c r="C169" s="2">
        <v>1959</v>
      </c>
      <c r="D169" s="3" t="s">
        <v>9</v>
      </c>
      <c r="E169" s="3" t="s">
        <v>15</v>
      </c>
      <c r="F169" s="2">
        <v>52332</v>
      </c>
      <c r="G169" s="2">
        <v>0</v>
      </c>
      <c r="H169" s="2">
        <v>0</v>
      </c>
      <c r="I169" s="4">
        <v>41514</v>
      </c>
      <c r="J169" s="2">
        <v>63</v>
      </c>
    </row>
    <row r="170" spans="1:10" ht="12.5">
      <c r="A170" s="2">
        <v>168</v>
      </c>
      <c r="B170" s="2">
        <v>6637</v>
      </c>
      <c r="C170" s="2">
        <v>1988</v>
      </c>
      <c r="D170" s="3" t="s">
        <v>9</v>
      </c>
      <c r="E170" s="3" t="s">
        <v>10</v>
      </c>
      <c r="F170" s="2">
        <v>66951</v>
      </c>
      <c r="G170" s="2">
        <v>0</v>
      </c>
      <c r="H170" s="2">
        <v>0</v>
      </c>
      <c r="I170" s="4">
        <v>41580</v>
      </c>
      <c r="J170" s="2">
        <v>46</v>
      </c>
    </row>
    <row r="171" spans="1:10" ht="12.5">
      <c r="A171" s="2">
        <v>169</v>
      </c>
      <c r="B171" s="2">
        <v>3152</v>
      </c>
      <c r="C171" s="2">
        <v>1957</v>
      </c>
      <c r="D171" s="3" t="s">
        <v>9</v>
      </c>
      <c r="E171" s="3" t="s">
        <v>11</v>
      </c>
      <c r="F171" s="2">
        <v>26091</v>
      </c>
      <c r="G171" s="2">
        <v>1</v>
      </c>
      <c r="H171" s="2">
        <v>1</v>
      </c>
      <c r="I171" s="4">
        <v>41695</v>
      </c>
      <c r="J171" s="2">
        <v>84</v>
      </c>
    </row>
    <row r="172" spans="1:10" ht="12.5">
      <c r="A172" s="2">
        <v>170</v>
      </c>
      <c r="B172" s="2">
        <v>5610</v>
      </c>
      <c r="C172" s="2">
        <v>1965</v>
      </c>
      <c r="D172" s="3" t="s">
        <v>9</v>
      </c>
      <c r="E172" s="3" t="s">
        <v>11</v>
      </c>
      <c r="F172" s="2">
        <v>33456</v>
      </c>
      <c r="G172" s="2">
        <v>1</v>
      </c>
      <c r="H172" s="2">
        <v>1</v>
      </c>
      <c r="I172" s="4">
        <v>41750</v>
      </c>
      <c r="J172" s="2">
        <v>58</v>
      </c>
    </row>
    <row r="173" spans="1:10" ht="12.5">
      <c r="A173" s="2">
        <v>171</v>
      </c>
      <c r="B173" s="2">
        <v>6460</v>
      </c>
      <c r="C173" s="2">
        <v>1982</v>
      </c>
      <c r="D173" s="3" t="s">
        <v>9</v>
      </c>
      <c r="E173" s="3" t="s">
        <v>13</v>
      </c>
      <c r="F173" s="2">
        <v>28718</v>
      </c>
      <c r="G173" s="2">
        <v>1</v>
      </c>
      <c r="H173" s="2">
        <v>0</v>
      </c>
      <c r="I173" s="4">
        <v>41468</v>
      </c>
      <c r="J173" s="2">
        <v>78</v>
      </c>
    </row>
    <row r="174" spans="1:10" ht="12.5">
      <c r="A174" s="2">
        <v>172</v>
      </c>
      <c r="B174" s="2">
        <v>1349</v>
      </c>
      <c r="C174" s="2">
        <v>1970</v>
      </c>
      <c r="D174" s="3" t="s">
        <v>9</v>
      </c>
      <c r="E174" s="3" t="s">
        <v>13</v>
      </c>
      <c r="F174" s="2">
        <v>50447</v>
      </c>
      <c r="G174" s="2">
        <v>2</v>
      </c>
      <c r="H174" s="2">
        <v>0</v>
      </c>
      <c r="I174" s="4">
        <v>41750</v>
      </c>
      <c r="J174" s="2">
        <v>4</v>
      </c>
    </row>
    <row r="175" spans="1:10" ht="12.5">
      <c r="A175" s="2">
        <v>173</v>
      </c>
      <c r="B175" s="2">
        <v>1880</v>
      </c>
      <c r="C175" s="2">
        <v>1959</v>
      </c>
      <c r="D175" s="3" t="s">
        <v>12</v>
      </c>
      <c r="E175" s="3" t="s">
        <v>11</v>
      </c>
      <c r="F175" s="2">
        <v>53537</v>
      </c>
      <c r="G175" s="2">
        <v>1</v>
      </c>
      <c r="H175" s="2">
        <v>1</v>
      </c>
      <c r="I175" s="4">
        <v>41669</v>
      </c>
      <c r="J175" s="2">
        <v>17</v>
      </c>
    </row>
    <row r="176" spans="1:10" ht="12.5">
      <c r="A176" s="2">
        <v>174</v>
      </c>
      <c r="B176" s="2">
        <v>641</v>
      </c>
      <c r="C176" s="2">
        <v>1967</v>
      </c>
      <c r="D176" s="3" t="s">
        <v>9</v>
      </c>
      <c r="E176" s="3" t="s">
        <v>10</v>
      </c>
      <c r="F176" s="2">
        <v>52074</v>
      </c>
      <c r="G176" s="2">
        <v>0</v>
      </c>
      <c r="H176" s="2">
        <v>1</v>
      </c>
      <c r="I176" s="4">
        <v>41733</v>
      </c>
      <c r="J176" s="2">
        <v>77</v>
      </c>
    </row>
    <row r="177" spans="1:10" ht="12.5">
      <c r="A177" s="2">
        <v>175</v>
      </c>
      <c r="B177" s="2">
        <v>8717</v>
      </c>
      <c r="C177" s="2">
        <v>1975</v>
      </c>
      <c r="D177" s="3" t="s">
        <v>12</v>
      </c>
      <c r="E177" s="3" t="s">
        <v>13</v>
      </c>
      <c r="F177" s="2">
        <v>80427</v>
      </c>
      <c r="G177" s="2">
        <v>0</v>
      </c>
      <c r="H177" s="2">
        <v>1</v>
      </c>
      <c r="I177" s="4">
        <v>41164</v>
      </c>
      <c r="J177" s="2">
        <v>56</v>
      </c>
    </row>
    <row r="178" spans="1:10" ht="12.5">
      <c r="A178" s="2">
        <v>176</v>
      </c>
      <c r="B178" s="2">
        <v>10314</v>
      </c>
      <c r="C178" s="2">
        <v>1948</v>
      </c>
      <c r="D178" s="3" t="s">
        <v>12</v>
      </c>
      <c r="E178" s="3" t="s">
        <v>13</v>
      </c>
      <c r="F178" s="2">
        <v>83837</v>
      </c>
      <c r="G178" s="2">
        <v>0</v>
      </c>
      <c r="H178" s="2">
        <v>0</v>
      </c>
      <c r="I178" s="5">
        <v>41259</v>
      </c>
      <c r="J178" s="2">
        <v>79</v>
      </c>
    </row>
    <row r="179" spans="1:10" ht="12.5">
      <c r="A179" s="2">
        <v>177</v>
      </c>
      <c r="B179" s="2">
        <v>10854</v>
      </c>
      <c r="C179" s="2">
        <v>1970</v>
      </c>
      <c r="D179" s="3" t="s">
        <v>12</v>
      </c>
      <c r="E179" s="3" t="s">
        <v>13</v>
      </c>
      <c r="F179" s="2">
        <v>38853</v>
      </c>
      <c r="G179" s="2">
        <v>1</v>
      </c>
      <c r="H179" s="2">
        <v>1</v>
      </c>
      <c r="I179" s="4">
        <v>41782</v>
      </c>
      <c r="J179" s="2">
        <v>90</v>
      </c>
    </row>
    <row r="180" spans="1:10" ht="12.5">
      <c r="A180" s="2">
        <v>178</v>
      </c>
      <c r="B180" s="2">
        <v>10492</v>
      </c>
      <c r="C180" s="2">
        <v>1959</v>
      </c>
      <c r="D180" s="3" t="s">
        <v>9</v>
      </c>
      <c r="E180" s="3" t="s">
        <v>11</v>
      </c>
      <c r="F180" s="2">
        <v>38285</v>
      </c>
      <c r="G180" s="2">
        <v>2</v>
      </c>
      <c r="H180" s="2">
        <v>1</v>
      </c>
      <c r="I180" s="4">
        <v>41814</v>
      </c>
      <c r="J180" s="2">
        <v>96</v>
      </c>
    </row>
    <row r="181" spans="1:10" ht="12.5">
      <c r="A181" s="2">
        <v>179</v>
      </c>
      <c r="B181" s="2">
        <v>6935</v>
      </c>
      <c r="C181" s="2">
        <v>1951</v>
      </c>
      <c r="D181" s="3" t="s">
        <v>17</v>
      </c>
      <c r="E181" s="3" t="s">
        <v>13</v>
      </c>
      <c r="F181" s="2">
        <v>78497</v>
      </c>
      <c r="G181" s="2">
        <v>0</v>
      </c>
      <c r="H181" s="2">
        <v>0</v>
      </c>
      <c r="I181" s="4">
        <v>41609</v>
      </c>
      <c r="J181" s="2">
        <v>44</v>
      </c>
    </row>
    <row r="182" spans="1:10" ht="12.5">
      <c r="A182" s="2">
        <v>180</v>
      </c>
      <c r="B182" s="2">
        <v>7698</v>
      </c>
      <c r="C182" s="2">
        <v>1976</v>
      </c>
      <c r="D182" s="3" t="s">
        <v>12</v>
      </c>
      <c r="E182" s="3" t="s">
        <v>13</v>
      </c>
      <c r="F182" s="2">
        <v>51650</v>
      </c>
      <c r="G182" s="2">
        <v>0</v>
      </c>
      <c r="H182" s="2">
        <v>1</v>
      </c>
      <c r="I182" s="4">
        <v>41770</v>
      </c>
      <c r="J182" s="2">
        <v>81</v>
      </c>
    </row>
    <row r="183" spans="1:10" ht="12.5">
      <c r="A183" s="2">
        <v>181</v>
      </c>
      <c r="B183" s="2">
        <v>3559</v>
      </c>
      <c r="C183" s="2">
        <v>1988</v>
      </c>
      <c r="D183" s="3" t="s">
        <v>17</v>
      </c>
      <c r="E183" s="3" t="s">
        <v>13</v>
      </c>
      <c r="F183" s="2">
        <v>16248</v>
      </c>
      <c r="G183" s="2">
        <v>1</v>
      </c>
      <c r="H183" s="2">
        <v>0</v>
      </c>
      <c r="I183" s="4">
        <v>41769</v>
      </c>
      <c r="J183" s="2">
        <v>77</v>
      </c>
    </row>
    <row r="184" spans="1:10" ht="12.5">
      <c r="A184" s="2">
        <v>182</v>
      </c>
      <c r="B184" s="2">
        <v>10562</v>
      </c>
      <c r="C184" s="2">
        <v>1946</v>
      </c>
      <c r="D184" s="3" t="s">
        <v>14</v>
      </c>
      <c r="E184" s="3" t="s">
        <v>13</v>
      </c>
      <c r="F184" s="2">
        <v>66835</v>
      </c>
      <c r="G184" s="2">
        <v>0</v>
      </c>
      <c r="H184" s="2">
        <v>0</v>
      </c>
      <c r="I184" s="4">
        <v>41545</v>
      </c>
      <c r="J184" s="2">
        <v>21</v>
      </c>
    </row>
    <row r="185" spans="1:10" ht="12.5">
      <c r="A185" s="2">
        <v>183</v>
      </c>
      <c r="B185" s="2">
        <v>10796</v>
      </c>
      <c r="C185" s="2">
        <v>1984</v>
      </c>
      <c r="D185" s="3" t="s">
        <v>14</v>
      </c>
      <c r="E185" s="3" t="s">
        <v>13</v>
      </c>
      <c r="F185" s="2">
        <v>30477</v>
      </c>
      <c r="G185" s="2">
        <v>1</v>
      </c>
      <c r="H185" s="2">
        <v>0</v>
      </c>
      <c r="I185" s="4">
        <v>41661</v>
      </c>
      <c r="J185" s="2">
        <v>16</v>
      </c>
    </row>
    <row r="186" spans="1:10" ht="12.5">
      <c r="A186" s="2">
        <v>184</v>
      </c>
      <c r="B186" s="2">
        <v>2563</v>
      </c>
      <c r="C186" s="2">
        <v>1961</v>
      </c>
      <c r="D186" s="3" t="s">
        <v>16</v>
      </c>
      <c r="E186" s="3" t="s">
        <v>13</v>
      </c>
      <c r="F186" s="2">
        <v>28249</v>
      </c>
      <c r="G186" s="2">
        <v>0</v>
      </c>
      <c r="H186" s="2">
        <v>0</v>
      </c>
      <c r="I186" s="4">
        <v>41805</v>
      </c>
      <c r="J186" s="2">
        <v>80</v>
      </c>
    </row>
    <row r="187" spans="1:10" ht="12.5">
      <c r="A187" s="2">
        <v>185</v>
      </c>
      <c r="B187" s="2">
        <v>3518</v>
      </c>
      <c r="C187" s="2">
        <v>1983</v>
      </c>
      <c r="D187" s="3" t="s">
        <v>9</v>
      </c>
      <c r="E187" s="3" t="s">
        <v>13</v>
      </c>
      <c r="F187" s="2">
        <v>25271</v>
      </c>
      <c r="G187" s="2">
        <v>1</v>
      </c>
      <c r="H187" s="2">
        <v>0</v>
      </c>
      <c r="I187" s="4">
        <v>41248</v>
      </c>
      <c r="J187" s="2">
        <v>45</v>
      </c>
    </row>
    <row r="188" spans="1:10" ht="12.5">
      <c r="A188" s="2">
        <v>186</v>
      </c>
      <c r="B188" s="2">
        <v>5823</v>
      </c>
      <c r="C188" s="2">
        <v>1970</v>
      </c>
      <c r="D188" s="3" t="s">
        <v>12</v>
      </c>
      <c r="E188" s="3" t="s">
        <v>10</v>
      </c>
      <c r="F188" s="2">
        <v>32303</v>
      </c>
      <c r="G188" s="2">
        <v>0</v>
      </c>
      <c r="H188" s="2">
        <v>1</v>
      </c>
      <c r="I188" s="4">
        <v>41706</v>
      </c>
      <c r="J188" s="2">
        <v>63</v>
      </c>
    </row>
    <row r="189" spans="1:10" ht="12.5">
      <c r="A189" s="2">
        <v>187</v>
      </c>
      <c r="B189" s="2">
        <v>3934</v>
      </c>
      <c r="C189" s="2">
        <v>1966</v>
      </c>
      <c r="D189" s="3" t="s">
        <v>9</v>
      </c>
      <c r="E189" s="3" t="s">
        <v>13</v>
      </c>
      <c r="F189" s="2">
        <v>61286</v>
      </c>
      <c r="G189" s="2">
        <v>0</v>
      </c>
      <c r="H189" s="2">
        <v>1</v>
      </c>
      <c r="I189" s="4">
        <v>41488</v>
      </c>
      <c r="J189" s="2">
        <v>34</v>
      </c>
    </row>
    <row r="190" spans="1:10" ht="12.5">
      <c r="A190" s="2">
        <v>188</v>
      </c>
      <c r="B190" s="2">
        <v>6982</v>
      </c>
      <c r="C190" s="2">
        <v>1976</v>
      </c>
      <c r="D190" s="3" t="s">
        <v>9</v>
      </c>
      <c r="E190" s="3" t="s">
        <v>13</v>
      </c>
      <c r="F190" s="2">
        <v>74068</v>
      </c>
      <c r="G190" s="2">
        <v>0</v>
      </c>
      <c r="H190" s="2">
        <v>0</v>
      </c>
      <c r="I190" s="4">
        <v>41352</v>
      </c>
      <c r="J190" s="2">
        <v>14</v>
      </c>
    </row>
    <row r="191" spans="1:10" ht="12.5">
      <c r="A191" s="2">
        <v>189</v>
      </c>
      <c r="B191" s="2">
        <v>6431</v>
      </c>
      <c r="C191" s="2">
        <v>1964</v>
      </c>
      <c r="D191" s="3" t="s">
        <v>12</v>
      </c>
      <c r="E191" s="3" t="s">
        <v>13</v>
      </c>
      <c r="F191" s="2">
        <v>45759</v>
      </c>
      <c r="G191" s="2">
        <v>1</v>
      </c>
      <c r="H191" s="2">
        <v>1</v>
      </c>
      <c r="I191" s="4">
        <v>41328</v>
      </c>
      <c r="J191" s="2">
        <v>13</v>
      </c>
    </row>
    <row r="192" spans="1:10" ht="12.5">
      <c r="A192" s="2">
        <v>190</v>
      </c>
      <c r="B192" s="2">
        <v>9733</v>
      </c>
      <c r="C192" s="2">
        <v>1978</v>
      </c>
      <c r="D192" s="3" t="s">
        <v>16</v>
      </c>
      <c r="E192" s="3" t="s">
        <v>11</v>
      </c>
      <c r="F192" s="2">
        <v>24882</v>
      </c>
      <c r="G192" s="2">
        <v>1</v>
      </c>
      <c r="H192" s="2">
        <v>0</v>
      </c>
      <c r="I192" s="4">
        <v>41161</v>
      </c>
      <c r="J192" s="2">
        <v>52</v>
      </c>
    </row>
    <row r="193" spans="1:10" ht="12.5">
      <c r="A193" s="2">
        <v>191</v>
      </c>
      <c r="B193" s="2">
        <v>5602</v>
      </c>
      <c r="C193" s="2">
        <v>1989</v>
      </c>
      <c r="D193" s="3" t="s">
        <v>12</v>
      </c>
      <c r="E193" s="3" t="s">
        <v>11</v>
      </c>
      <c r="F193" s="2">
        <v>66973</v>
      </c>
      <c r="G193" s="2">
        <v>0</v>
      </c>
      <c r="H193" s="2">
        <v>0</v>
      </c>
      <c r="I193" s="4">
        <v>41411</v>
      </c>
      <c r="J193" s="2">
        <v>98</v>
      </c>
    </row>
    <row r="194" spans="1:10" ht="12.5">
      <c r="A194" s="2">
        <v>192</v>
      </c>
      <c r="B194" s="2">
        <v>7829</v>
      </c>
      <c r="C194" s="2">
        <v>1900</v>
      </c>
      <c r="D194" s="3" t="s">
        <v>17</v>
      </c>
      <c r="E194" s="3" t="s">
        <v>15</v>
      </c>
      <c r="F194" s="2">
        <v>36640</v>
      </c>
      <c r="G194" s="2">
        <v>1</v>
      </c>
      <c r="H194" s="2">
        <v>0</v>
      </c>
      <c r="I194" s="4">
        <v>41543</v>
      </c>
      <c r="J194" s="2">
        <v>99</v>
      </c>
    </row>
    <row r="195" spans="1:10" ht="12.5">
      <c r="A195" s="2">
        <v>193</v>
      </c>
      <c r="B195" s="2">
        <v>1324</v>
      </c>
      <c r="C195" s="2">
        <v>1988</v>
      </c>
      <c r="D195" s="3" t="s">
        <v>9</v>
      </c>
      <c r="E195" s="3" t="s">
        <v>13</v>
      </c>
      <c r="F195" s="2">
        <v>38872</v>
      </c>
      <c r="G195" s="2">
        <v>1</v>
      </c>
      <c r="H195" s="2">
        <v>0</v>
      </c>
      <c r="I195" s="4">
        <v>41424</v>
      </c>
      <c r="J195" s="2">
        <v>93</v>
      </c>
    </row>
    <row r="196" spans="1:10" ht="12.5">
      <c r="A196" s="2">
        <v>194</v>
      </c>
      <c r="B196" s="2">
        <v>326</v>
      </c>
      <c r="C196" s="2">
        <v>1973</v>
      </c>
      <c r="D196" s="3" t="s">
        <v>9</v>
      </c>
      <c r="E196" s="3" t="s">
        <v>13</v>
      </c>
      <c r="F196" s="2">
        <v>51148</v>
      </c>
      <c r="G196" s="2">
        <v>1</v>
      </c>
      <c r="H196" s="2">
        <v>1</v>
      </c>
      <c r="I196" s="4">
        <v>41323</v>
      </c>
      <c r="J196" s="2">
        <v>38</v>
      </c>
    </row>
    <row r="197" spans="1:10" ht="12.5">
      <c r="A197" s="2">
        <v>195</v>
      </c>
      <c r="B197" s="2">
        <v>7224</v>
      </c>
      <c r="C197" s="2">
        <v>1977</v>
      </c>
      <c r="D197" s="3" t="s">
        <v>9</v>
      </c>
      <c r="E197" s="3" t="s">
        <v>13</v>
      </c>
      <c r="F197" s="2">
        <v>31353</v>
      </c>
      <c r="G197" s="2">
        <v>1</v>
      </c>
      <c r="H197" s="2">
        <v>1</v>
      </c>
      <c r="I197" s="5">
        <v>41637</v>
      </c>
      <c r="J197" s="2">
        <v>24</v>
      </c>
    </row>
    <row r="198" spans="1:10" ht="12.5">
      <c r="A198" s="2">
        <v>196</v>
      </c>
      <c r="B198" s="2">
        <v>6999</v>
      </c>
      <c r="C198" s="2">
        <v>1980</v>
      </c>
      <c r="D198" s="3" t="s">
        <v>14</v>
      </c>
      <c r="E198" s="3" t="s">
        <v>13</v>
      </c>
      <c r="F198" s="2">
        <v>69661</v>
      </c>
      <c r="G198" s="2">
        <v>0</v>
      </c>
      <c r="H198" s="2">
        <v>0</v>
      </c>
      <c r="I198" s="4">
        <v>41772</v>
      </c>
      <c r="J198" s="2">
        <v>80</v>
      </c>
    </row>
    <row r="199" spans="1:10" ht="12.5">
      <c r="A199" s="2">
        <v>197</v>
      </c>
      <c r="B199" s="2">
        <v>9938</v>
      </c>
      <c r="C199" s="2">
        <v>1954</v>
      </c>
      <c r="D199" s="3" t="s">
        <v>9</v>
      </c>
      <c r="E199" s="3" t="s">
        <v>13</v>
      </c>
      <c r="F199" s="2">
        <v>80067</v>
      </c>
      <c r="G199" s="2">
        <v>0</v>
      </c>
      <c r="H199" s="2">
        <v>0</v>
      </c>
      <c r="I199" s="4">
        <v>41536</v>
      </c>
      <c r="J199" s="2">
        <v>82</v>
      </c>
    </row>
    <row r="200" spans="1:10" ht="12.5">
      <c r="A200" s="2">
        <v>198</v>
      </c>
      <c r="B200" s="2">
        <v>6422</v>
      </c>
      <c r="C200" s="2">
        <v>1954</v>
      </c>
      <c r="D200" s="3" t="s">
        <v>9</v>
      </c>
      <c r="E200" s="3" t="s">
        <v>13</v>
      </c>
      <c r="F200" s="2">
        <v>86718</v>
      </c>
      <c r="G200" s="2">
        <v>0</v>
      </c>
      <c r="H200" s="2">
        <v>0</v>
      </c>
      <c r="I200" s="4">
        <v>41291</v>
      </c>
      <c r="J200" s="2">
        <v>20</v>
      </c>
    </row>
    <row r="201" spans="1:10" ht="12.5">
      <c r="A201" s="2">
        <v>199</v>
      </c>
      <c r="B201" s="2">
        <v>3182</v>
      </c>
      <c r="C201" s="2">
        <v>1973</v>
      </c>
      <c r="D201" s="3" t="s">
        <v>12</v>
      </c>
      <c r="E201" s="3" t="s">
        <v>10</v>
      </c>
      <c r="F201" s="2">
        <v>46854</v>
      </c>
      <c r="G201" s="2">
        <v>1</v>
      </c>
      <c r="H201" s="2">
        <v>1</v>
      </c>
      <c r="I201" s="4">
        <v>41729</v>
      </c>
      <c r="J201" s="2">
        <v>81</v>
      </c>
    </row>
    <row r="202" spans="1:10" ht="12.5">
      <c r="A202" s="2">
        <v>200</v>
      </c>
      <c r="B202" s="2">
        <v>7300</v>
      </c>
      <c r="C202" s="2">
        <v>1952</v>
      </c>
      <c r="D202" s="3" t="s">
        <v>9</v>
      </c>
      <c r="E202" s="3" t="s">
        <v>15</v>
      </c>
      <c r="F202" s="2">
        <v>69142</v>
      </c>
      <c r="G202" s="2">
        <v>0</v>
      </c>
      <c r="H202" s="2">
        <v>1</v>
      </c>
      <c r="I202" s="4">
        <v>41819</v>
      </c>
      <c r="J202" s="2">
        <v>50</v>
      </c>
    </row>
    <row r="203" spans="1:10" ht="12.5">
      <c r="A203" s="2">
        <v>201</v>
      </c>
      <c r="B203" s="2">
        <v>10424</v>
      </c>
      <c r="C203" s="2">
        <v>1968</v>
      </c>
      <c r="D203" s="3" t="s">
        <v>9</v>
      </c>
      <c r="E203" s="3" t="s">
        <v>10</v>
      </c>
      <c r="F203" s="2">
        <v>75922</v>
      </c>
      <c r="G203" s="2">
        <v>0</v>
      </c>
      <c r="H203" s="2">
        <v>0</v>
      </c>
      <c r="I203" s="4">
        <v>41617</v>
      </c>
      <c r="J203" s="2">
        <v>60</v>
      </c>
    </row>
    <row r="204" spans="1:10" ht="12.5">
      <c r="A204" s="2">
        <v>202</v>
      </c>
      <c r="B204" s="2">
        <v>8727</v>
      </c>
      <c r="C204" s="2">
        <v>1978</v>
      </c>
      <c r="D204" s="3" t="s">
        <v>9</v>
      </c>
      <c r="E204" s="3" t="s">
        <v>15</v>
      </c>
      <c r="F204" s="2">
        <v>63693</v>
      </c>
      <c r="G204" s="2">
        <v>0</v>
      </c>
      <c r="H204" s="2">
        <v>1</v>
      </c>
      <c r="I204" s="5">
        <v>41561</v>
      </c>
      <c r="J204" s="2">
        <v>63</v>
      </c>
    </row>
    <row r="205" spans="1:10" ht="12.5">
      <c r="A205" s="2">
        <v>203</v>
      </c>
      <c r="B205" s="2">
        <v>2798</v>
      </c>
      <c r="C205" s="2">
        <v>1977</v>
      </c>
      <c r="D205" s="3" t="s">
        <v>12</v>
      </c>
      <c r="E205" s="3" t="s">
        <v>11</v>
      </c>
      <c r="F205" s="2">
        <v>102160</v>
      </c>
      <c r="G205" s="2">
        <v>0</v>
      </c>
      <c r="H205" s="2">
        <v>0</v>
      </c>
      <c r="I205" s="4">
        <v>41215</v>
      </c>
      <c r="J205" s="2">
        <v>54</v>
      </c>
    </row>
    <row r="206" spans="1:10" ht="12.5">
      <c r="A206" s="2">
        <v>204</v>
      </c>
      <c r="B206" s="2">
        <v>1030</v>
      </c>
      <c r="C206" s="2">
        <v>1965</v>
      </c>
      <c r="D206" s="3" t="s">
        <v>12</v>
      </c>
      <c r="E206" s="3" t="s">
        <v>10</v>
      </c>
      <c r="F206" s="2">
        <v>40637</v>
      </c>
      <c r="G206" s="2">
        <v>1</v>
      </c>
      <c r="H206" s="2">
        <v>1</v>
      </c>
      <c r="I206" s="4">
        <v>41472</v>
      </c>
      <c r="J206" s="2">
        <v>72</v>
      </c>
    </row>
    <row r="207" spans="1:10" ht="12.5">
      <c r="A207" s="2">
        <v>205</v>
      </c>
      <c r="B207" s="2">
        <v>624</v>
      </c>
      <c r="C207" s="2">
        <v>1984</v>
      </c>
      <c r="D207" s="3" t="s">
        <v>14</v>
      </c>
      <c r="E207" s="3" t="s">
        <v>10</v>
      </c>
      <c r="F207" s="2">
        <v>18890</v>
      </c>
      <c r="G207" s="2">
        <v>0</v>
      </c>
      <c r="H207" s="2">
        <v>0</v>
      </c>
      <c r="I207" s="5">
        <v>41223</v>
      </c>
      <c r="J207" s="2">
        <v>5</v>
      </c>
    </row>
    <row r="208" spans="1:10" ht="12.5">
      <c r="A208" s="2">
        <v>206</v>
      </c>
      <c r="B208" s="2">
        <v>5176</v>
      </c>
      <c r="C208" s="2">
        <v>1988</v>
      </c>
      <c r="D208" s="3" t="s">
        <v>9</v>
      </c>
      <c r="E208" s="3" t="s">
        <v>11</v>
      </c>
      <c r="F208" s="2">
        <v>29604</v>
      </c>
      <c r="G208" s="2">
        <v>1</v>
      </c>
      <c r="H208" s="2">
        <v>0</v>
      </c>
      <c r="I208" s="4">
        <v>41616</v>
      </c>
      <c r="J208" s="2">
        <v>88</v>
      </c>
    </row>
    <row r="209" spans="1:10" ht="12.5">
      <c r="A209" s="2">
        <v>207</v>
      </c>
      <c r="B209" s="2">
        <v>5552</v>
      </c>
      <c r="C209" s="2">
        <v>1963</v>
      </c>
      <c r="D209" s="3" t="s">
        <v>14</v>
      </c>
      <c r="E209" s="3" t="s">
        <v>15</v>
      </c>
      <c r="F209" s="2">
        <v>48721</v>
      </c>
      <c r="G209" s="2">
        <v>1</v>
      </c>
      <c r="H209" s="2">
        <v>1</v>
      </c>
      <c r="I209" s="4">
        <v>41407</v>
      </c>
      <c r="J209" s="2">
        <v>50</v>
      </c>
    </row>
    <row r="210" spans="1:10" ht="12.5">
      <c r="A210" s="2">
        <v>208</v>
      </c>
      <c r="B210" s="2">
        <v>868</v>
      </c>
      <c r="C210" s="2">
        <v>1966</v>
      </c>
      <c r="D210" s="3" t="s">
        <v>9</v>
      </c>
      <c r="E210" s="3" t="s">
        <v>13</v>
      </c>
      <c r="F210" s="2">
        <v>44794</v>
      </c>
      <c r="G210" s="2">
        <v>0</v>
      </c>
      <c r="H210" s="2">
        <v>1</v>
      </c>
      <c r="I210" s="4">
        <v>41798</v>
      </c>
      <c r="J210" s="2">
        <v>99</v>
      </c>
    </row>
    <row r="211" spans="1:10" ht="12.5">
      <c r="A211" s="2">
        <v>209</v>
      </c>
      <c r="B211" s="2">
        <v>380</v>
      </c>
      <c r="C211" s="2">
        <v>1954</v>
      </c>
      <c r="D211" s="3" t="s">
        <v>9</v>
      </c>
      <c r="E211" s="3" t="s">
        <v>15</v>
      </c>
      <c r="F211" s="2">
        <v>64497</v>
      </c>
      <c r="G211" s="2">
        <v>0</v>
      </c>
      <c r="H211" s="2">
        <v>1</v>
      </c>
      <c r="I211" s="4">
        <v>41162</v>
      </c>
      <c r="J211" s="2">
        <v>17</v>
      </c>
    </row>
    <row r="212" spans="1:10" ht="12.5">
      <c r="A212" s="2">
        <v>210</v>
      </c>
      <c r="B212" s="2">
        <v>2677</v>
      </c>
      <c r="C212" s="2">
        <v>1956</v>
      </c>
      <c r="D212" s="3" t="s">
        <v>9</v>
      </c>
      <c r="E212" s="3" t="s">
        <v>11</v>
      </c>
      <c r="F212" s="2">
        <v>46097</v>
      </c>
      <c r="G212" s="2">
        <v>0</v>
      </c>
      <c r="H212" s="2">
        <v>1</v>
      </c>
      <c r="I212" s="4">
        <v>41364</v>
      </c>
      <c r="J212" s="2">
        <v>11</v>
      </c>
    </row>
    <row r="213" spans="1:10" ht="12.5">
      <c r="A213" s="2">
        <v>211</v>
      </c>
      <c r="B213" s="2">
        <v>6521</v>
      </c>
      <c r="C213" s="2">
        <v>1954</v>
      </c>
      <c r="D213" s="3" t="s">
        <v>9</v>
      </c>
      <c r="E213" s="3" t="s">
        <v>11</v>
      </c>
      <c r="F213" s="2">
        <v>77972</v>
      </c>
      <c r="G213" s="2">
        <v>0</v>
      </c>
      <c r="H213" s="2">
        <v>0</v>
      </c>
      <c r="I213" s="4">
        <v>41716</v>
      </c>
      <c r="J213" s="2">
        <v>18</v>
      </c>
    </row>
    <row r="214" spans="1:10" ht="12.5">
      <c r="A214" s="2">
        <v>212</v>
      </c>
      <c r="B214" s="2">
        <v>6927</v>
      </c>
      <c r="C214" s="2">
        <v>1968</v>
      </c>
      <c r="D214" s="3" t="s">
        <v>12</v>
      </c>
      <c r="E214" s="3" t="s">
        <v>13</v>
      </c>
      <c r="F214" s="2">
        <v>44377</v>
      </c>
      <c r="G214" s="2">
        <v>1</v>
      </c>
      <c r="H214" s="2">
        <v>1</v>
      </c>
      <c r="I214" s="4">
        <v>41187</v>
      </c>
      <c r="J214" s="2">
        <v>70</v>
      </c>
    </row>
    <row r="215" spans="1:10" ht="12.5">
      <c r="A215" s="2">
        <v>213</v>
      </c>
      <c r="B215" s="2">
        <v>2877</v>
      </c>
      <c r="C215" s="2">
        <v>1974</v>
      </c>
      <c r="D215" s="3" t="s">
        <v>14</v>
      </c>
      <c r="E215" s="3" t="s">
        <v>11</v>
      </c>
      <c r="F215" s="2">
        <v>46014</v>
      </c>
      <c r="G215" s="2">
        <v>1</v>
      </c>
      <c r="H215" s="2">
        <v>1</v>
      </c>
      <c r="I215" s="4">
        <v>41295</v>
      </c>
      <c r="J215" s="2">
        <v>21</v>
      </c>
    </row>
    <row r="216" spans="1:10" ht="12.5">
      <c r="A216" s="2">
        <v>214</v>
      </c>
      <c r="B216" s="2">
        <v>0</v>
      </c>
      <c r="C216" s="2">
        <v>1985</v>
      </c>
      <c r="D216" s="3" t="s">
        <v>9</v>
      </c>
      <c r="E216" s="3" t="s">
        <v>13</v>
      </c>
      <c r="F216" s="2">
        <v>70951</v>
      </c>
      <c r="G216" s="2">
        <v>0</v>
      </c>
      <c r="H216" s="2">
        <v>0</v>
      </c>
      <c r="I216" s="4">
        <v>41398</v>
      </c>
      <c r="J216" s="2">
        <v>66</v>
      </c>
    </row>
    <row r="217" spans="1:10" ht="12.5">
      <c r="A217" s="2">
        <v>215</v>
      </c>
      <c r="B217" s="2">
        <v>1584</v>
      </c>
      <c r="C217" s="2">
        <v>1977</v>
      </c>
      <c r="D217" s="3" t="s">
        <v>9</v>
      </c>
      <c r="E217" s="3" t="s">
        <v>13</v>
      </c>
      <c r="F217" s="2">
        <v>41443</v>
      </c>
      <c r="G217" s="2">
        <v>1</v>
      </c>
      <c r="H217" s="2">
        <v>0</v>
      </c>
      <c r="I217" s="4">
        <v>41730</v>
      </c>
      <c r="J217" s="2">
        <v>79</v>
      </c>
    </row>
    <row r="218" spans="1:10" ht="12.5">
      <c r="A218" s="2">
        <v>216</v>
      </c>
      <c r="B218" s="2">
        <v>7264</v>
      </c>
      <c r="C218" s="2">
        <v>1978</v>
      </c>
      <c r="D218" s="3" t="s">
        <v>17</v>
      </c>
      <c r="E218" s="3" t="s">
        <v>10</v>
      </c>
      <c r="F218" s="2">
        <v>52195</v>
      </c>
      <c r="G218" s="2">
        <v>2</v>
      </c>
      <c r="H218" s="2">
        <v>1</v>
      </c>
      <c r="I218" s="4">
        <v>41771</v>
      </c>
      <c r="J218" s="2">
        <v>2</v>
      </c>
    </row>
    <row r="219" spans="1:10" ht="12.5">
      <c r="A219" s="2">
        <v>217</v>
      </c>
      <c r="B219" s="2">
        <v>6274</v>
      </c>
      <c r="C219" s="2">
        <v>1948</v>
      </c>
      <c r="D219" s="3" t="s">
        <v>14</v>
      </c>
      <c r="E219" s="3" t="s">
        <v>13</v>
      </c>
      <c r="F219" s="2">
        <v>83790</v>
      </c>
      <c r="G219" s="2">
        <v>0</v>
      </c>
      <c r="H219" s="2">
        <v>0</v>
      </c>
      <c r="I219" s="5">
        <v>41593</v>
      </c>
      <c r="J219" s="2">
        <v>81</v>
      </c>
    </row>
    <row r="220" spans="1:10" ht="12.5">
      <c r="A220" s="2">
        <v>218</v>
      </c>
      <c r="B220" s="2">
        <v>1377</v>
      </c>
      <c r="C220" s="2">
        <v>1954</v>
      </c>
      <c r="D220" s="3" t="s">
        <v>14</v>
      </c>
      <c r="E220" s="3" t="s">
        <v>18</v>
      </c>
      <c r="F220" s="2">
        <v>44551</v>
      </c>
      <c r="G220" s="2">
        <v>0</v>
      </c>
      <c r="H220" s="2">
        <v>1</v>
      </c>
      <c r="I220" s="4">
        <v>41517</v>
      </c>
      <c r="J220" s="2">
        <v>24</v>
      </c>
    </row>
    <row r="221" spans="1:10" ht="12.5">
      <c r="A221" s="2">
        <v>219</v>
      </c>
      <c r="B221" s="2">
        <v>454</v>
      </c>
      <c r="C221" s="2">
        <v>1980</v>
      </c>
      <c r="D221" s="3" t="s">
        <v>9</v>
      </c>
      <c r="E221" s="3" t="s">
        <v>11</v>
      </c>
      <c r="F221" s="2">
        <v>69508</v>
      </c>
      <c r="G221" s="2">
        <v>1</v>
      </c>
      <c r="H221" s="2">
        <v>0</v>
      </c>
      <c r="I221" s="5">
        <v>41227</v>
      </c>
      <c r="J221" s="2">
        <v>48</v>
      </c>
    </row>
    <row r="222" spans="1:10" ht="12.5">
      <c r="A222" s="2">
        <v>220</v>
      </c>
      <c r="B222" s="2">
        <v>1755</v>
      </c>
      <c r="C222" s="2">
        <v>1988</v>
      </c>
      <c r="D222" s="3" t="s">
        <v>17</v>
      </c>
      <c r="E222" s="3" t="s">
        <v>11</v>
      </c>
      <c r="F222" s="2">
        <v>45204</v>
      </c>
      <c r="G222" s="2">
        <v>1</v>
      </c>
      <c r="H222" s="2">
        <v>0</v>
      </c>
      <c r="I222" s="4">
        <v>41740</v>
      </c>
      <c r="J222" s="2">
        <v>93</v>
      </c>
    </row>
    <row r="223" spans="1:10" ht="12.5">
      <c r="A223" s="2">
        <v>221</v>
      </c>
      <c r="B223" s="2">
        <v>2075</v>
      </c>
      <c r="C223" s="2">
        <v>1969</v>
      </c>
      <c r="D223" s="3" t="s">
        <v>9</v>
      </c>
      <c r="E223" s="3" t="s">
        <v>13</v>
      </c>
      <c r="F223" s="2">
        <v>72460</v>
      </c>
      <c r="G223" s="2">
        <v>0</v>
      </c>
      <c r="H223" s="2">
        <v>0</v>
      </c>
      <c r="I223" s="5">
        <v>41592</v>
      </c>
      <c r="J223" s="2">
        <v>56</v>
      </c>
    </row>
    <row r="224" spans="1:10" ht="12.5">
      <c r="A224" s="2">
        <v>222</v>
      </c>
      <c r="B224" s="2">
        <v>4785</v>
      </c>
      <c r="C224" s="2">
        <v>1970</v>
      </c>
      <c r="D224" s="3" t="s">
        <v>12</v>
      </c>
      <c r="E224" s="3" t="s">
        <v>11</v>
      </c>
      <c r="F224" s="2">
        <v>77622</v>
      </c>
      <c r="G224" s="2">
        <v>0</v>
      </c>
      <c r="H224" s="2">
        <v>2</v>
      </c>
      <c r="I224" s="4">
        <v>41743</v>
      </c>
      <c r="J224" s="2">
        <v>3</v>
      </c>
    </row>
    <row r="225" spans="1:10" ht="12.5">
      <c r="A225" s="2">
        <v>223</v>
      </c>
      <c r="B225" s="2">
        <v>9076</v>
      </c>
      <c r="C225" s="2">
        <v>1980</v>
      </c>
      <c r="D225" s="3" t="s">
        <v>12</v>
      </c>
      <c r="E225" s="3" t="s">
        <v>13</v>
      </c>
      <c r="F225" s="2">
        <v>30732</v>
      </c>
      <c r="G225" s="2">
        <v>1</v>
      </c>
      <c r="H225" s="2">
        <v>0</v>
      </c>
      <c r="I225" s="4">
        <v>41279</v>
      </c>
      <c r="J225" s="2">
        <v>44</v>
      </c>
    </row>
    <row r="226" spans="1:10" ht="12.5">
      <c r="A226" s="2">
        <v>224</v>
      </c>
      <c r="B226" s="2">
        <v>7079</v>
      </c>
      <c r="C226" s="2">
        <v>1962</v>
      </c>
      <c r="D226" s="3" t="s">
        <v>9</v>
      </c>
      <c r="E226" s="3" t="s">
        <v>15</v>
      </c>
      <c r="F226" s="2">
        <v>63887</v>
      </c>
      <c r="G226" s="2">
        <v>0</v>
      </c>
      <c r="H226" s="2">
        <v>1</v>
      </c>
      <c r="I226" s="4">
        <v>41160</v>
      </c>
      <c r="J226" s="2">
        <v>38</v>
      </c>
    </row>
    <row r="227" spans="1:10" ht="12.5">
      <c r="A227" s="2">
        <v>225</v>
      </c>
      <c r="B227" s="2">
        <v>4653</v>
      </c>
      <c r="C227" s="2">
        <v>1978</v>
      </c>
      <c r="D227" s="3" t="s">
        <v>9</v>
      </c>
      <c r="E227" s="3" t="s">
        <v>11</v>
      </c>
      <c r="F227" s="2">
        <v>42011</v>
      </c>
      <c r="G227" s="2">
        <v>1</v>
      </c>
      <c r="H227" s="2">
        <v>0</v>
      </c>
      <c r="I227" s="4">
        <v>41359</v>
      </c>
      <c r="J227" s="2">
        <v>46</v>
      </c>
    </row>
    <row r="228" spans="1:10" ht="12.5">
      <c r="A228" s="2">
        <v>226</v>
      </c>
      <c r="B228" s="2">
        <v>7375</v>
      </c>
      <c r="C228" s="2">
        <v>1976</v>
      </c>
      <c r="D228" s="3" t="s">
        <v>9</v>
      </c>
      <c r="E228" s="3" t="s">
        <v>11</v>
      </c>
      <c r="F228" s="2">
        <v>51369</v>
      </c>
      <c r="G228" s="2">
        <v>0</v>
      </c>
      <c r="H228" s="2">
        <v>1</v>
      </c>
      <c r="I228" s="5">
        <v>41207</v>
      </c>
      <c r="J228" s="2">
        <v>84</v>
      </c>
    </row>
    <row r="229" spans="1:10" ht="12.5">
      <c r="A229" s="2">
        <v>227</v>
      </c>
      <c r="B229" s="2">
        <v>709</v>
      </c>
      <c r="C229" s="2">
        <v>1952</v>
      </c>
      <c r="D229" s="3" t="s">
        <v>9</v>
      </c>
      <c r="E229" s="3" t="s">
        <v>15</v>
      </c>
      <c r="F229" s="2">
        <v>51537</v>
      </c>
      <c r="G229" s="2">
        <v>0</v>
      </c>
      <c r="H229" s="2">
        <v>1</v>
      </c>
      <c r="I229" s="4">
        <v>41252</v>
      </c>
      <c r="J229" s="2">
        <v>27</v>
      </c>
    </row>
    <row r="230" spans="1:10" ht="12.5">
      <c r="A230" s="2">
        <v>228</v>
      </c>
      <c r="B230" s="2">
        <v>460</v>
      </c>
      <c r="C230" s="2">
        <v>1972</v>
      </c>
      <c r="D230" s="3" t="s">
        <v>12</v>
      </c>
      <c r="E230" s="3" t="s">
        <v>13</v>
      </c>
      <c r="F230" s="2">
        <v>79930</v>
      </c>
      <c r="G230" s="2">
        <v>0</v>
      </c>
      <c r="H230" s="2">
        <v>0</v>
      </c>
      <c r="I230" s="4">
        <v>41129</v>
      </c>
      <c r="J230" s="2">
        <v>72</v>
      </c>
    </row>
    <row r="231" spans="1:10" ht="12.5">
      <c r="A231" s="2">
        <v>229</v>
      </c>
      <c r="B231" s="2">
        <v>3726</v>
      </c>
      <c r="C231" s="2">
        <v>1986</v>
      </c>
      <c r="D231" s="3" t="s">
        <v>12</v>
      </c>
      <c r="E231" s="3" t="s">
        <v>11</v>
      </c>
      <c r="F231" s="2">
        <v>34320</v>
      </c>
      <c r="G231" s="2">
        <v>1</v>
      </c>
      <c r="H231" s="2">
        <v>0</v>
      </c>
      <c r="I231" s="4">
        <v>41686</v>
      </c>
      <c r="J231" s="2">
        <v>66</v>
      </c>
    </row>
    <row r="232" spans="1:10" ht="12.5">
      <c r="A232" s="2">
        <v>230</v>
      </c>
      <c r="B232" s="2">
        <v>6798</v>
      </c>
      <c r="C232" s="2">
        <v>1966</v>
      </c>
      <c r="D232" s="3" t="s">
        <v>9</v>
      </c>
      <c r="E232" s="3" t="s">
        <v>10</v>
      </c>
      <c r="F232" s="2">
        <v>37070</v>
      </c>
      <c r="G232" s="2">
        <v>1</v>
      </c>
      <c r="H232" s="2">
        <v>1</v>
      </c>
      <c r="I232" s="4">
        <v>41353</v>
      </c>
      <c r="J232" s="2">
        <v>30</v>
      </c>
    </row>
    <row r="233" spans="1:10" ht="12.5">
      <c r="A233" s="2">
        <v>231</v>
      </c>
      <c r="B233" s="2">
        <v>5341</v>
      </c>
      <c r="C233" s="2">
        <v>1962</v>
      </c>
      <c r="D233" s="3" t="s">
        <v>17</v>
      </c>
      <c r="E233" s="3" t="s">
        <v>15</v>
      </c>
      <c r="F233" s="2">
        <v>81975</v>
      </c>
      <c r="G233" s="2">
        <v>0</v>
      </c>
      <c r="H233" s="2">
        <v>1</v>
      </c>
      <c r="I233" s="4">
        <v>41279</v>
      </c>
      <c r="J233" s="2">
        <v>2</v>
      </c>
    </row>
    <row r="234" spans="1:10" ht="12.5">
      <c r="A234" s="2">
        <v>232</v>
      </c>
      <c r="B234" s="2">
        <v>1606</v>
      </c>
      <c r="C234" s="2">
        <v>1971</v>
      </c>
      <c r="D234" s="3" t="s">
        <v>9</v>
      </c>
      <c r="E234" s="3" t="s">
        <v>11</v>
      </c>
      <c r="F234" s="2">
        <v>38590</v>
      </c>
      <c r="G234" s="2">
        <v>1</v>
      </c>
      <c r="H234" s="2">
        <v>0</v>
      </c>
      <c r="I234" s="4">
        <v>41409</v>
      </c>
      <c r="J234" s="2">
        <v>65</v>
      </c>
    </row>
    <row r="235" spans="1:10" ht="12.5">
      <c r="A235" s="2">
        <v>233</v>
      </c>
      <c r="B235" s="2">
        <v>9617</v>
      </c>
      <c r="C235" s="2">
        <v>1951</v>
      </c>
      <c r="D235" s="3" t="s">
        <v>9</v>
      </c>
      <c r="E235" s="3" t="s">
        <v>10</v>
      </c>
      <c r="F235" s="2">
        <v>15033</v>
      </c>
      <c r="G235" s="2">
        <v>0</v>
      </c>
      <c r="H235" s="2">
        <v>0</v>
      </c>
      <c r="I235" s="4">
        <v>41745</v>
      </c>
      <c r="J235" s="2">
        <v>37</v>
      </c>
    </row>
    <row r="236" spans="1:10" ht="12.5">
      <c r="A236" s="2">
        <v>234</v>
      </c>
      <c r="B236" s="2">
        <v>3233</v>
      </c>
      <c r="C236" s="2">
        <v>1965</v>
      </c>
      <c r="D236" s="3" t="s">
        <v>12</v>
      </c>
      <c r="E236" s="3" t="s">
        <v>13</v>
      </c>
      <c r="F236" s="2">
        <v>62745</v>
      </c>
      <c r="G236" s="2">
        <v>0</v>
      </c>
      <c r="H236" s="2">
        <v>1</v>
      </c>
      <c r="I236" s="4">
        <v>41356</v>
      </c>
      <c r="J236" s="2">
        <v>89</v>
      </c>
    </row>
    <row r="237" spans="1:10" ht="12.5">
      <c r="A237" s="2">
        <v>235</v>
      </c>
      <c r="B237" s="2">
        <v>89</v>
      </c>
      <c r="C237" s="2">
        <v>1975</v>
      </c>
      <c r="D237" s="3" t="s">
        <v>17</v>
      </c>
      <c r="E237" s="3" t="s">
        <v>13</v>
      </c>
      <c r="F237" s="2">
        <v>22212</v>
      </c>
      <c r="G237" s="2">
        <v>1</v>
      </c>
      <c r="H237" s="2">
        <v>0</v>
      </c>
      <c r="I237" s="4">
        <v>41617</v>
      </c>
      <c r="J237" s="2">
        <v>49</v>
      </c>
    </row>
    <row r="238" spans="1:10" ht="12.5">
      <c r="A238" s="2">
        <v>236</v>
      </c>
      <c r="B238" s="2">
        <v>2936</v>
      </c>
      <c r="C238" s="2">
        <v>1982</v>
      </c>
      <c r="D238" s="3" t="s">
        <v>14</v>
      </c>
      <c r="E238" s="3" t="s">
        <v>11</v>
      </c>
      <c r="F238" s="2">
        <v>23661</v>
      </c>
      <c r="G238" s="2">
        <v>1</v>
      </c>
      <c r="H238" s="2">
        <v>0</v>
      </c>
      <c r="I238" s="4">
        <v>41612</v>
      </c>
      <c r="J238" s="2">
        <v>46</v>
      </c>
    </row>
    <row r="239" spans="1:10" ht="12.5">
      <c r="A239" s="2">
        <v>237</v>
      </c>
      <c r="B239" s="2">
        <v>9449</v>
      </c>
      <c r="C239" s="2">
        <v>1958</v>
      </c>
      <c r="D239" s="3" t="s">
        <v>12</v>
      </c>
      <c r="E239" s="3" t="s">
        <v>10</v>
      </c>
      <c r="F239" s="2">
        <v>79761</v>
      </c>
      <c r="G239" s="2">
        <v>0</v>
      </c>
      <c r="H239" s="2">
        <v>1</v>
      </c>
      <c r="I239" s="4">
        <v>41551</v>
      </c>
      <c r="J239" s="2">
        <v>32</v>
      </c>
    </row>
    <row r="240" spans="1:10" ht="12.5">
      <c r="A240" s="2">
        <v>238</v>
      </c>
      <c r="B240" s="2">
        <v>7297</v>
      </c>
      <c r="C240" s="2">
        <v>1973</v>
      </c>
      <c r="D240" s="3" t="s">
        <v>9</v>
      </c>
      <c r="E240" s="3" t="s">
        <v>10</v>
      </c>
      <c r="F240" s="2">
        <v>7500</v>
      </c>
      <c r="G240" s="2">
        <v>1</v>
      </c>
      <c r="H240" s="2">
        <v>0</v>
      </c>
      <c r="I240" s="5">
        <v>41634</v>
      </c>
      <c r="J240" s="2">
        <v>54</v>
      </c>
    </row>
    <row r="241" spans="1:10" ht="12.5">
      <c r="A241" s="2">
        <v>239</v>
      </c>
      <c r="B241" s="2">
        <v>11004</v>
      </c>
      <c r="C241" s="2">
        <v>1893</v>
      </c>
      <c r="D241" s="3" t="s">
        <v>17</v>
      </c>
      <c r="E241" s="3" t="s">
        <v>10</v>
      </c>
      <c r="F241" s="2">
        <v>60182</v>
      </c>
      <c r="G241" s="2">
        <v>0</v>
      </c>
      <c r="H241" s="2">
        <v>1</v>
      </c>
      <c r="I241" s="4">
        <v>41776</v>
      </c>
      <c r="J241" s="2">
        <v>23</v>
      </c>
    </row>
    <row r="242" spans="1:10" ht="12.5">
      <c r="A242" s="2">
        <v>240</v>
      </c>
      <c r="B242" s="2">
        <v>313</v>
      </c>
      <c r="C242" s="2">
        <v>1968</v>
      </c>
      <c r="D242" s="3" t="s">
        <v>9</v>
      </c>
      <c r="E242" s="3" t="s">
        <v>18</v>
      </c>
      <c r="F242" s="2">
        <v>73455</v>
      </c>
      <c r="G242" s="2">
        <v>0</v>
      </c>
      <c r="H242" s="2">
        <v>0</v>
      </c>
      <c r="I242" s="5">
        <v>41575</v>
      </c>
      <c r="J242" s="2">
        <v>98</v>
      </c>
    </row>
    <row r="243" spans="1:10" ht="12.5">
      <c r="A243" s="2">
        <v>241</v>
      </c>
      <c r="B243" s="2">
        <v>9940</v>
      </c>
      <c r="C243" s="2">
        <v>1958</v>
      </c>
      <c r="D243" s="3" t="s">
        <v>9</v>
      </c>
      <c r="E243" s="3" t="s">
        <v>11</v>
      </c>
      <c r="F243" s="2">
        <v>64961</v>
      </c>
      <c r="G243" s="2">
        <v>0</v>
      </c>
      <c r="H243" s="2">
        <v>1</v>
      </c>
      <c r="I243" s="5">
        <v>41266</v>
      </c>
      <c r="J243" s="2">
        <v>97</v>
      </c>
    </row>
    <row r="244" spans="1:10" ht="12.5">
      <c r="A244" s="2">
        <v>242</v>
      </c>
      <c r="B244" s="2">
        <v>10735</v>
      </c>
      <c r="C244" s="2">
        <v>1971</v>
      </c>
      <c r="D244" s="3" t="s">
        <v>9</v>
      </c>
      <c r="E244" s="3" t="s">
        <v>10</v>
      </c>
      <c r="F244" s="2">
        <v>22804</v>
      </c>
      <c r="G244" s="2">
        <v>1</v>
      </c>
      <c r="H244" s="2">
        <v>0</v>
      </c>
      <c r="I244" s="4">
        <v>41486</v>
      </c>
      <c r="J244" s="2">
        <v>75</v>
      </c>
    </row>
    <row r="245" spans="1:10" ht="12.5">
      <c r="A245" s="2">
        <v>243</v>
      </c>
      <c r="B245" s="2">
        <v>9529</v>
      </c>
      <c r="C245" s="2">
        <v>1990</v>
      </c>
      <c r="D245" s="3" t="s">
        <v>9</v>
      </c>
      <c r="E245" s="3" t="s">
        <v>13</v>
      </c>
      <c r="F245" s="2">
        <v>73687</v>
      </c>
      <c r="G245" s="2">
        <v>0</v>
      </c>
      <c r="H245" s="2">
        <v>0</v>
      </c>
      <c r="I245" s="5">
        <v>41606</v>
      </c>
      <c r="J245" s="2">
        <v>8</v>
      </c>
    </row>
    <row r="246" spans="1:10" ht="12.5">
      <c r="A246" s="2">
        <v>244</v>
      </c>
      <c r="B246" s="2">
        <v>6439</v>
      </c>
      <c r="C246" s="2">
        <v>1958</v>
      </c>
      <c r="D246" s="3" t="s">
        <v>9</v>
      </c>
      <c r="E246" s="3" t="s">
        <v>13</v>
      </c>
      <c r="F246" s="2">
        <v>61074</v>
      </c>
      <c r="G246" s="2">
        <v>0</v>
      </c>
      <c r="H246" s="2">
        <v>1</v>
      </c>
      <c r="I246" s="4">
        <v>41138</v>
      </c>
      <c r="J246" s="2">
        <v>37</v>
      </c>
    </row>
    <row r="247" spans="1:10" ht="12.5">
      <c r="A247" s="2">
        <v>245</v>
      </c>
      <c r="B247" s="2">
        <v>7411</v>
      </c>
      <c r="C247" s="2">
        <v>1964</v>
      </c>
      <c r="D247" s="3" t="s">
        <v>12</v>
      </c>
      <c r="E247" s="3" t="s">
        <v>13</v>
      </c>
      <c r="F247" s="2">
        <v>31686</v>
      </c>
      <c r="G247" s="2">
        <v>1</v>
      </c>
      <c r="H247" s="2">
        <v>1</v>
      </c>
      <c r="I247" s="4">
        <v>41795</v>
      </c>
      <c r="J247" s="2">
        <v>31</v>
      </c>
    </row>
    <row r="248" spans="1:10" ht="12.5">
      <c r="A248" s="2">
        <v>246</v>
      </c>
      <c r="B248" s="2">
        <v>2176</v>
      </c>
      <c r="C248" s="2">
        <v>1972</v>
      </c>
      <c r="D248" s="3" t="s">
        <v>9</v>
      </c>
      <c r="E248" s="3" t="s">
        <v>13</v>
      </c>
      <c r="F248" s="2">
        <v>80134</v>
      </c>
      <c r="G248" s="2">
        <v>1</v>
      </c>
      <c r="H248" s="2">
        <v>0</v>
      </c>
      <c r="I248" s="4">
        <v>41414</v>
      </c>
      <c r="J248" s="2">
        <v>40</v>
      </c>
    </row>
    <row r="249" spans="1:10" ht="12.5">
      <c r="A249" s="2">
        <v>247</v>
      </c>
      <c r="B249" s="2">
        <v>9265</v>
      </c>
      <c r="C249" s="2">
        <v>1953</v>
      </c>
      <c r="D249" s="3" t="s">
        <v>9</v>
      </c>
      <c r="E249" s="3" t="s">
        <v>13</v>
      </c>
      <c r="F249" s="2">
        <v>75027</v>
      </c>
      <c r="G249" s="2">
        <v>0</v>
      </c>
      <c r="H249" s="2">
        <v>1</v>
      </c>
      <c r="I249" s="4">
        <v>41283</v>
      </c>
      <c r="J249" s="2">
        <v>74</v>
      </c>
    </row>
    <row r="250" spans="1:10" ht="12.5">
      <c r="A250" s="2">
        <v>248</v>
      </c>
      <c r="B250" s="2">
        <v>8867</v>
      </c>
      <c r="C250" s="2">
        <v>1988</v>
      </c>
      <c r="D250" s="3" t="s">
        <v>12</v>
      </c>
      <c r="E250" s="3" t="s">
        <v>13</v>
      </c>
      <c r="F250" s="2">
        <v>67546</v>
      </c>
      <c r="G250" s="2">
        <v>0</v>
      </c>
      <c r="H250" s="2">
        <v>0</v>
      </c>
      <c r="I250" s="4">
        <v>41152</v>
      </c>
      <c r="J250" s="2">
        <v>90</v>
      </c>
    </row>
    <row r="251" spans="1:10" ht="12.5">
      <c r="A251" s="2">
        <v>249</v>
      </c>
      <c r="B251" s="2">
        <v>8932</v>
      </c>
      <c r="C251" s="2">
        <v>1969</v>
      </c>
      <c r="D251" s="3" t="s">
        <v>14</v>
      </c>
      <c r="E251" s="3" t="s">
        <v>11</v>
      </c>
      <c r="F251" s="2">
        <v>65176</v>
      </c>
      <c r="G251" s="2">
        <v>0</v>
      </c>
      <c r="H251" s="2">
        <v>1</v>
      </c>
      <c r="I251" s="5">
        <v>41211</v>
      </c>
      <c r="J251" s="2">
        <v>57</v>
      </c>
    </row>
    <row r="252" spans="1:10" ht="12.5">
      <c r="A252" s="2">
        <v>250</v>
      </c>
      <c r="B252" s="2">
        <v>10236</v>
      </c>
      <c r="C252" s="2">
        <v>1975</v>
      </c>
      <c r="D252" s="3" t="s">
        <v>14</v>
      </c>
      <c r="E252" s="3" t="s">
        <v>10</v>
      </c>
      <c r="F252" s="2">
        <v>31160</v>
      </c>
      <c r="G252" s="2">
        <v>1</v>
      </c>
      <c r="H252" s="2">
        <v>0</v>
      </c>
      <c r="I252" s="4">
        <v>41533</v>
      </c>
      <c r="J252" s="2">
        <v>59</v>
      </c>
    </row>
    <row r="253" spans="1:10" ht="12.5">
      <c r="A253" s="2">
        <v>251</v>
      </c>
      <c r="B253" s="2">
        <v>6340</v>
      </c>
      <c r="C253" s="2">
        <v>1985</v>
      </c>
      <c r="D253" s="3" t="s">
        <v>9</v>
      </c>
      <c r="E253" s="3" t="s">
        <v>10</v>
      </c>
      <c r="F253" s="2">
        <v>29938</v>
      </c>
      <c r="G253" s="2">
        <v>1</v>
      </c>
      <c r="H253" s="2">
        <v>0</v>
      </c>
      <c r="I253" s="5">
        <v>41574</v>
      </c>
      <c r="J253" s="2">
        <v>52</v>
      </c>
    </row>
    <row r="254" spans="1:10" ht="12.5">
      <c r="A254" s="2">
        <v>252</v>
      </c>
      <c r="B254" s="2">
        <v>10089</v>
      </c>
      <c r="C254" s="2">
        <v>1974</v>
      </c>
      <c r="D254" s="3" t="s">
        <v>9</v>
      </c>
      <c r="E254" s="3" t="s">
        <v>15</v>
      </c>
      <c r="F254" s="2">
        <v>102692</v>
      </c>
      <c r="G254" s="2">
        <v>0</v>
      </c>
      <c r="H254" s="2">
        <v>0</v>
      </c>
      <c r="I254" s="4">
        <v>41369</v>
      </c>
      <c r="J254" s="2">
        <v>5</v>
      </c>
    </row>
    <row r="255" spans="1:10" ht="12.5">
      <c r="A255" s="2">
        <v>253</v>
      </c>
      <c r="B255" s="2">
        <v>2227</v>
      </c>
      <c r="C255" s="2">
        <v>1958</v>
      </c>
      <c r="D255" s="3" t="s">
        <v>17</v>
      </c>
      <c r="E255" s="3" t="s">
        <v>11</v>
      </c>
      <c r="F255" s="2">
        <v>26490</v>
      </c>
      <c r="G255" s="2">
        <v>0</v>
      </c>
      <c r="H255" s="2">
        <v>0</v>
      </c>
      <c r="I255" s="4">
        <v>41174</v>
      </c>
      <c r="J255" s="2">
        <v>92</v>
      </c>
    </row>
    <row r="256" spans="1:10" ht="12.5">
      <c r="A256" s="2">
        <v>254</v>
      </c>
      <c r="B256" s="2">
        <v>10992</v>
      </c>
      <c r="C256" s="2">
        <v>1967</v>
      </c>
      <c r="D256" s="3" t="s">
        <v>9</v>
      </c>
      <c r="E256" s="3" t="s">
        <v>11</v>
      </c>
      <c r="F256" s="2">
        <v>75702</v>
      </c>
      <c r="G256" s="2">
        <v>1</v>
      </c>
      <c r="H256" s="2">
        <v>1</v>
      </c>
      <c r="I256" s="4">
        <v>41150</v>
      </c>
      <c r="J256" s="2">
        <v>77</v>
      </c>
    </row>
    <row r="257" spans="1:10" ht="12.5">
      <c r="A257" s="2">
        <v>255</v>
      </c>
      <c r="B257" s="2">
        <v>5304</v>
      </c>
      <c r="C257" s="2">
        <v>1974</v>
      </c>
      <c r="D257" s="3" t="s">
        <v>12</v>
      </c>
      <c r="E257" s="3" t="s">
        <v>10</v>
      </c>
      <c r="F257" s="2">
        <v>30899</v>
      </c>
      <c r="G257" s="2">
        <v>1</v>
      </c>
      <c r="H257" s="2">
        <v>0</v>
      </c>
      <c r="I257" s="5">
        <v>41195</v>
      </c>
      <c r="J257" s="2">
        <v>35</v>
      </c>
    </row>
    <row r="258" spans="1:10" ht="12.5">
      <c r="A258" s="2">
        <v>256</v>
      </c>
      <c r="B258" s="2">
        <v>309</v>
      </c>
      <c r="C258" s="2">
        <v>1961</v>
      </c>
      <c r="D258" s="3" t="s">
        <v>12</v>
      </c>
      <c r="E258" s="3" t="s">
        <v>11</v>
      </c>
      <c r="F258" s="2">
        <v>63342</v>
      </c>
      <c r="G258" s="2">
        <v>0</v>
      </c>
      <c r="H258" s="2">
        <v>1</v>
      </c>
      <c r="I258" s="5">
        <v>41198</v>
      </c>
      <c r="J258" s="2">
        <v>48</v>
      </c>
    </row>
    <row r="259" spans="1:10" ht="12.5">
      <c r="A259" s="2">
        <v>257</v>
      </c>
      <c r="B259" s="2">
        <v>3406</v>
      </c>
      <c r="C259" s="2">
        <v>1964</v>
      </c>
      <c r="D259" s="3" t="s">
        <v>9</v>
      </c>
      <c r="E259" s="3" t="s">
        <v>10</v>
      </c>
      <c r="F259" s="2">
        <v>45989</v>
      </c>
      <c r="G259" s="2">
        <v>0</v>
      </c>
      <c r="H259" s="2">
        <v>1</v>
      </c>
      <c r="I259" s="5">
        <v>41204</v>
      </c>
      <c r="J259" s="2">
        <v>97</v>
      </c>
    </row>
    <row r="260" spans="1:10" ht="12.5">
      <c r="A260" s="2">
        <v>258</v>
      </c>
      <c r="B260" s="2">
        <v>2661</v>
      </c>
      <c r="C260" s="2">
        <v>1964</v>
      </c>
      <c r="D260" s="3" t="s">
        <v>9</v>
      </c>
      <c r="E260" s="3" t="s">
        <v>10</v>
      </c>
      <c r="F260" s="2">
        <v>18701</v>
      </c>
      <c r="G260" s="2">
        <v>1</v>
      </c>
      <c r="H260" s="2">
        <v>1</v>
      </c>
      <c r="I260" s="4">
        <v>41429</v>
      </c>
      <c r="J260" s="2">
        <v>95</v>
      </c>
    </row>
    <row r="261" spans="1:10" ht="12.5">
      <c r="A261" s="2">
        <v>259</v>
      </c>
      <c r="B261" s="2">
        <v>3153</v>
      </c>
      <c r="C261" s="2">
        <v>1957</v>
      </c>
      <c r="D261" s="3" t="s">
        <v>12</v>
      </c>
      <c r="E261" s="3" t="s">
        <v>10</v>
      </c>
      <c r="F261" s="2">
        <v>40737</v>
      </c>
      <c r="G261" s="2">
        <v>2</v>
      </c>
      <c r="H261" s="2">
        <v>1</v>
      </c>
      <c r="I261" s="4">
        <v>41616</v>
      </c>
      <c r="J261" s="2">
        <v>24</v>
      </c>
    </row>
    <row r="262" spans="1:10" ht="12.5">
      <c r="A262" s="2">
        <v>260</v>
      </c>
      <c r="B262" s="2">
        <v>10264</v>
      </c>
      <c r="C262" s="2">
        <v>1979</v>
      </c>
      <c r="D262" s="3" t="s">
        <v>9</v>
      </c>
      <c r="E262" s="3" t="s">
        <v>15</v>
      </c>
      <c r="F262" s="2">
        <v>15287</v>
      </c>
      <c r="G262" s="2">
        <v>1</v>
      </c>
      <c r="H262" s="2">
        <v>0</v>
      </c>
      <c r="I262" s="5">
        <v>41192</v>
      </c>
      <c r="J262" s="2">
        <v>60</v>
      </c>
    </row>
    <row r="263" spans="1:10" ht="12.5">
      <c r="A263" s="2">
        <v>261</v>
      </c>
      <c r="B263" s="2">
        <v>1184</v>
      </c>
      <c r="C263" s="2">
        <v>1968</v>
      </c>
      <c r="D263" s="3" t="s">
        <v>12</v>
      </c>
      <c r="E263" s="3" t="s">
        <v>15</v>
      </c>
      <c r="F263" s="2">
        <v>69674</v>
      </c>
      <c r="G263" s="2">
        <v>0</v>
      </c>
      <c r="H263" s="2">
        <v>2</v>
      </c>
      <c r="I263" s="4">
        <v>41416</v>
      </c>
      <c r="J263" s="2">
        <v>46</v>
      </c>
    </row>
    <row r="264" spans="1:10" ht="12.5">
      <c r="A264" s="2">
        <v>262</v>
      </c>
      <c r="B264" s="2">
        <v>4200</v>
      </c>
      <c r="C264" s="2">
        <v>1970</v>
      </c>
      <c r="D264" s="3" t="s">
        <v>14</v>
      </c>
      <c r="E264" s="3" t="s">
        <v>13</v>
      </c>
      <c r="F264" s="2">
        <v>44159</v>
      </c>
      <c r="G264" s="2">
        <v>1</v>
      </c>
      <c r="H264" s="2">
        <v>0</v>
      </c>
      <c r="I264" s="4">
        <v>41807</v>
      </c>
      <c r="J264" s="2">
        <v>85</v>
      </c>
    </row>
    <row r="265" spans="1:10" ht="12.5">
      <c r="A265" s="2">
        <v>263</v>
      </c>
      <c r="B265" s="2">
        <v>9396</v>
      </c>
      <c r="C265" s="2">
        <v>1978</v>
      </c>
      <c r="D265" s="3" t="s">
        <v>12</v>
      </c>
      <c r="E265" s="3" t="s">
        <v>13</v>
      </c>
      <c r="F265" s="2">
        <v>37717</v>
      </c>
      <c r="G265" s="2">
        <v>1</v>
      </c>
      <c r="H265" s="2">
        <v>0</v>
      </c>
      <c r="I265" s="5">
        <v>41236</v>
      </c>
      <c r="J265" s="2">
        <v>31</v>
      </c>
    </row>
    <row r="266" spans="1:10" ht="12.5">
      <c r="A266" s="2">
        <v>264</v>
      </c>
      <c r="B266" s="2">
        <v>2387</v>
      </c>
      <c r="C266" s="2">
        <v>1952</v>
      </c>
      <c r="D266" s="3" t="s">
        <v>14</v>
      </c>
      <c r="E266" s="3" t="s">
        <v>11</v>
      </c>
      <c r="F266" s="2">
        <v>43776</v>
      </c>
      <c r="G266" s="2">
        <v>1</v>
      </c>
      <c r="H266" s="2">
        <v>1</v>
      </c>
      <c r="I266" s="4">
        <v>41308</v>
      </c>
      <c r="J266" s="2">
        <v>9</v>
      </c>
    </row>
    <row r="267" spans="1:10" ht="12.5">
      <c r="A267" s="2">
        <v>265</v>
      </c>
      <c r="B267" s="2">
        <v>6690</v>
      </c>
      <c r="C267" s="2">
        <v>1966</v>
      </c>
      <c r="D267" s="3" t="s">
        <v>14</v>
      </c>
      <c r="E267" s="3" t="s">
        <v>13</v>
      </c>
      <c r="F267" s="2">
        <v>38179</v>
      </c>
      <c r="G267" s="2">
        <v>1</v>
      </c>
      <c r="H267" s="2">
        <v>1</v>
      </c>
      <c r="I267" s="4">
        <v>41347</v>
      </c>
      <c r="J267" s="2">
        <v>30</v>
      </c>
    </row>
    <row r="268" spans="1:10" ht="12.5">
      <c r="A268" s="2">
        <v>266</v>
      </c>
      <c r="B268" s="2">
        <v>1225</v>
      </c>
      <c r="C268" s="2">
        <v>1963</v>
      </c>
      <c r="D268" s="3" t="s">
        <v>9</v>
      </c>
      <c r="E268" s="3" t="s">
        <v>13</v>
      </c>
      <c r="F268" s="2">
        <v>80124</v>
      </c>
      <c r="G268" s="2">
        <v>0</v>
      </c>
      <c r="H268" s="2">
        <v>0</v>
      </c>
      <c r="I268" s="4">
        <v>41816</v>
      </c>
      <c r="J268" s="2">
        <v>47</v>
      </c>
    </row>
    <row r="269" spans="1:10" ht="12.5">
      <c r="A269" s="2">
        <v>267</v>
      </c>
      <c r="B269" s="2">
        <v>9703</v>
      </c>
      <c r="C269" s="2">
        <v>1970</v>
      </c>
      <c r="D269" s="3" t="s">
        <v>12</v>
      </c>
      <c r="E269" s="3" t="s">
        <v>13</v>
      </c>
      <c r="F269" s="2">
        <v>38097</v>
      </c>
      <c r="G269" s="2">
        <v>1</v>
      </c>
      <c r="H269" s="2">
        <v>1</v>
      </c>
      <c r="I269" s="5">
        <v>41197</v>
      </c>
      <c r="J269" s="2">
        <v>70</v>
      </c>
    </row>
    <row r="270" spans="1:10" ht="12.5">
      <c r="A270" s="2">
        <v>268</v>
      </c>
      <c r="B270" s="2">
        <v>291</v>
      </c>
      <c r="C270" s="2">
        <v>1970</v>
      </c>
      <c r="D270" s="3" t="s">
        <v>9</v>
      </c>
      <c r="E270" s="3" t="s">
        <v>13</v>
      </c>
      <c r="F270" s="2">
        <v>72940</v>
      </c>
      <c r="G270" s="2">
        <v>0</v>
      </c>
      <c r="H270" s="2">
        <v>0</v>
      </c>
      <c r="I270" s="4">
        <v>41444</v>
      </c>
      <c r="J270" s="2">
        <v>13</v>
      </c>
    </row>
    <row r="271" spans="1:10" ht="12.5">
      <c r="A271" s="2">
        <v>269</v>
      </c>
      <c r="B271" s="2">
        <v>4557</v>
      </c>
      <c r="C271" s="2">
        <v>1970</v>
      </c>
      <c r="D271" s="3" t="s">
        <v>9</v>
      </c>
      <c r="E271" s="3" t="s">
        <v>11</v>
      </c>
      <c r="F271" s="2">
        <v>22070</v>
      </c>
      <c r="G271" s="2">
        <v>1</v>
      </c>
      <c r="H271" s="2">
        <v>0</v>
      </c>
      <c r="I271" s="4">
        <v>41551</v>
      </c>
      <c r="J271" s="2">
        <v>11</v>
      </c>
    </row>
    <row r="272" spans="1:10" ht="12.5">
      <c r="A272" s="2">
        <v>270</v>
      </c>
      <c r="B272" s="2">
        <v>2379</v>
      </c>
      <c r="C272" s="2">
        <v>1953</v>
      </c>
      <c r="D272" s="3" t="s">
        <v>9</v>
      </c>
      <c r="E272" s="3" t="s">
        <v>10</v>
      </c>
      <c r="F272" s="2">
        <v>69267</v>
      </c>
      <c r="G272" s="2">
        <v>0</v>
      </c>
      <c r="H272" s="2">
        <v>0</v>
      </c>
      <c r="I272" s="4">
        <v>41174</v>
      </c>
      <c r="J272" s="2">
        <v>31</v>
      </c>
    </row>
    <row r="273" spans="1:10" ht="12.5">
      <c r="A273" s="2">
        <v>271</v>
      </c>
      <c r="B273" s="2">
        <v>5726</v>
      </c>
      <c r="C273" s="2">
        <v>1983</v>
      </c>
      <c r="D273" s="3" t="s">
        <v>14</v>
      </c>
      <c r="E273" s="3" t="s">
        <v>10</v>
      </c>
      <c r="F273" s="2">
        <v>31788</v>
      </c>
      <c r="G273" s="2">
        <v>1</v>
      </c>
      <c r="H273" s="2">
        <v>0</v>
      </c>
      <c r="I273" s="4">
        <v>41718</v>
      </c>
      <c r="J273" s="2">
        <v>15</v>
      </c>
    </row>
    <row r="274" spans="1:10" ht="12.5">
      <c r="A274" s="2">
        <v>272</v>
      </c>
      <c r="B274" s="2">
        <v>3066</v>
      </c>
      <c r="C274" s="2">
        <v>1975</v>
      </c>
      <c r="D274" s="3" t="s">
        <v>12</v>
      </c>
      <c r="E274" s="3" t="s">
        <v>11</v>
      </c>
      <c r="F274" s="2">
        <v>61905</v>
      </c>
      <c r="G274" s="2">
        <v>0</v>
      </c>
      <c r="H274" s="2">
        <v>1</v>
      </c>
      <c r="I274" s="4">
        <v>41674</v>
      </c>
      <c r="J274" s="2">
        <v>2</v>
      </c>
    </row>
    <row r="275" spans="1:10" ht="12.5">
      <c r="A275" s="2">
        <v>273</v>
      </c>
      <c r="B275" s="2">
        <v>6336</v>
      </c>
      <c r="C275" s="2">
        <v>1960</v>
      </c>
      <c r="D275" s="3" t="s">
        <v>9</v>
      </c>
      <c r="E275" s="3" t="s">
        <v>13</v>
      </c>
      <c r="F275" s="2">
        <v>29315</v>
      </c>
      <c r="G275" s="2">
        <v>1</v>
      </c>
      <c r="H275" s="2">
        <v>1</v>
      </c>
      <c r="I275" s="4">
        <v>41735</v>
      </c>
      <c r="J275" s="2">
        <v>55</v>
      </c>
    </row>
    <row r="276" spans="1:10" ht="12.5">
      <c r="A276" s="2">
        <v>274</v>
      </c>
      <c r="B276" s="2">
        <v>10967</v>
      </c>
      <c r="C276" s="2">
        <v>1963</v>
      </c>
      <c r="D276" s="3" t="s">
        <v>9</v>
      </c>
      <c r="E276" s="3" t="s">
        <v>15</v>
      </c>
      <c r="F276" s="2">
        <v>33378</v>
      </c>
      <c r="G276" s="2">
        <v>1</v>
      </c>
      <c r="H276" s="2">
        <v>1</v>
      </c>
      <c r="I276" s="4">
        <v>41311</v>
      </c>
      <c r="J276" s="2">
        <v>38</v>
      </c>
    </row>
    <row r="277" spans="1:10" ht="12.5">
      <c r="A277" s="2">
        <v>275</v>
      </c>
      <c r="B277" s="2">
        <v>2304</v>
      </c>
      <c r="C277" s="2">
        <v>1963</v>
      </c>
      <c r="D277" s="3" t="s">
        <v>12</v>
      </c>
      <c r="E277" s="3" t="s">
        <v>11</v>
      </c>
      <c r="F277" s="2">
        <v>66313</v>
      </c>
      <c r="G277" s="2">
        <v>0</v>
      </c>
      <c r="H277" s="2">
        <v>1</v>
      </c>
      <c r="I277" s="4">
        <v>41533</v>
      </c>
      <c r="J277" s="2">
        <v>86</v>
      </c>
    </row>
    <row r="278" spans="1:10" ht="12.5">
      <c r="A278" s="2">
        <v>276</v>
      </c>
      <c r="B278" s="2">
        <v>3445</v>
      </c>
      <c r="C278" s="2">
        <v>1956</v>
      </c>
      <c r="D278" s="3" t="s">
        <v>9</v>
      </c>
      <c r="E278" s="3" t="s">
        <v>10</v>
      </c>
      <c r="F278" s="2">
        <v>60714</v>
      </c>
      <c r="G278" s="2">
        <v>0</v>
      </c>
      <c r="H278" s="2">
        <v>0</v>
      </c>
      <c r="I278" s="4">
        <v>41291</v>
      </c>
      <c r="J278" s="2">
        <v>56</v>
      </c>
    </row>
    <row r="279" spans="1:10" ht="12.5">
      <c r="A279" s="2">
        <v>277</v>
      </c>
      <c r="B279" s="2">
        <v>7828</v>
      </c>
      <c r="C279" s="2">
        <v>1981</v>
      </c>
      <c r="D279" s="3" t="s">
        <v>14</v>
      </c>
      <c r="E279" s="3" t="s">
        <v>11</v>
      </c>
      <c r="F279" s="2">
        <v>77882</v>
      </c>
      <c r="G279" s="2">
        <v>0</v>
      </c>
      <c r="H279" s="2">
        <v>0</v>
      </c>
      <c r="I279" s="4">
        <v>41759</v>
      </c>
      <c r="J279" s="2">
        <v>29</v>
      </c>
    </row>
    <row r="280" spans="1:10" ht="12.5">
      <c r="A280" s="2">
        <v>278</v>
      </c>
      <c r="B280" s="2">
        <v>3762</v>
      </c>
      <c r="C280" s="2">
        <v>1986</v>
      </c>
      <c r="D280" s="3" t="s">
        <v>12</v>
      </c>
      <c r="E280" s="3" t="s">
        <v>10</v>
      </c>
      <c r="F280" s="2">
        <v>69867</v>
      </c>
      <c r="G280" s="2">
        <v>0</v>
      </c>
      <c r="H280" s="2">
        <v>0</v>
      </c>
      <c r="I280" s="4">
        <v>41366</v>
      </c>
      <c r="J280" s="2">
        <v>30</v>
      </c>
    </row>
    <row r="281" spans="1:10" ht="12.5">
      <c r="A281" s="2">
        <v>279</v>
      </c>
      <c r="B281" s="2">
        <v>4391</v>
      </c>
      <c r="C281" s="2">
        <v>1968</v>
      </c>
      <c r="D281" s="3" t="s">
        <v>14</v>
      </c>
      <c r="E281" s="3" t="s">
        <v>15</v>
      </c>
      <c r="F281" s="2">
        <v>63841</v>
      </c>
      <c r="G281" s="2">
        <v>0</v>
      </c>
      <c r="H281" s="2">
        <v>1</v>
      </c>
      <c r="I281" s="4">
        <v>41385</v>
      </c>
      <c r="J281" s="2">
        <v>64</v>
      </c>
    </row>
    <row r="282" spans="1:10" ht="12.5">
      <c r="A282" s="2">
        <v>280</v>
      </c>
      <c r="B282" s="2">
        <v>4669</v>
      </c>
      <c r="C282" s="2">
        <v>1981</v>
      </c>
      <c r="D282" s="3" t="s">
        <v>16</v>
      </c>
      <c r="E282" s="3" t="s">
        <v>13</v>
      </c>
      <c r="F282" s="2">
        <v>24480</v>
      </c>
      <c r="G282" s="2">
        <v>1</v>
      </c>
      <c r="H282" s="2">
        <v>0</v>
      </c>
      <c r="I282" s="4">
        <v>41316</v>
      </c>
      <c r="J282" s="2">
        <v>46</v>
      </c>
    </row>
    <row r="283" spans="1:10" ht="12.5">
      <c r="A283" s="2">
        <v>281</v>
      </c>
      <c r="B283" s="2">
        <v>10144</v>
      </c>
      <c r="C283" s="2">
        <v>1976</v>
      </c>
      <c r="D283" s="3" t="s">
        <v>9</v>
      </c>
      <c r="E283" s="3" t="s">
        <v>11</v>
      </c>
      <c r="F283" s="2">
        <v>51369</v>
      </c>
      <c r="G283" s="2">
        <v>0</v>
      </c>
      <c r="H283" s="2">
        <v>1</v>
      </c>
      <c r="I283" s="5">
        <v>41207</v>
      </c>
      <c r="J283" s="2">
        <v>84</v>
      </c>
    </row>
    <row r="284" spans="1:10" ht="12.5">
      <c r="A284" s="2">
        <v>282</v>
      </c>
      <c r="B284" s="2">
        <v>8652</v>
      </c>
      <c r="C284" s="2">
        <v>1946</v>
      </c>
      <c r="D284" s="3" t="s">
        <v>9</v>
      </c>
      <c r="E284" s="3" t="s">
        <v>11</v>
      </c>
      <c r="F284" s="2">
        <v>37760</v>
      </c>
      <c r="G284" s="2">
        <v>0</v>
      </c>
      <c r="H284" s="2">
        <v>0</v>
      </c>
      <c r="I284" s="4">
        <v>41152</v>
      </c>
      <c r="J284" s="2">
        <v>20</v>
      </c>
    </row>
    <row r="285" spans="1:10" ht="12.5">
      <c r="A285" s="2">
        <v>283</v>
      </c>
      <c r="B285" s="2">
        <v>1672</v>
      </c>
      <c r="C285" s="2">
        <v>1974</v>
      </c>
      <c r="D285" s="3" t="s">
        <v>12</v>
      </c>
      <c r="E285" s="3" t="s">
        <v>11</v>
      </c>
      <c r="F285" s="2">
        <v>65640</v>
      </c>
      <c r="G285" s="2">
        <v>0</v>
      </c>
      <c r="H285" s="2">
        <v>1</v>
      </c>
      <c r="I285" s="4">
        <v>41699</v>
      </c>
      <c r="J285" s="2">
        <v>74</v>
      </c>
    </row>
    <row r="286" spans="1:10" ht="12.5">
      <c r="A286" s="2">
        <v>284</v>
      </c>
      <c r="B286" s="2">
        <v>8962</v>
      </c>
      <c r="C286" s="2">
        <v>1975</v>
      </c>
      <c r="D286" s="3" t="s">
        <v>14</v>
      </c>
      <c r="E286" s="3" t="s">
        <v>13</v>
      </c>
      <c r="F286" s="2">
        <v>44319</v>
      </c>
      <c r="G286" s="2">
        <v>1</v>
      </c>
      <c r="H286" s="2">
        <v>1</v>
      </c>
      <c r="I286" s="4">
        <v>41746</v>
      </c>
      <c r="J286" s="2">
        <v>18</v>
      </c>
    </row>
    <row r="287" spans="1:10" ht="12.5">
      <c r="A287" s="2">
        <v>285</v>
      </c>
      <c r="B287" s="2">
        <v>9974</v>
      </c>
      <c r="C287" s="2">
        <v>1974</v>
      </c>
      <c r="D287" s="3" t="s">
        <v>9</v>
      </c>
      <c r="E287" s="3" t="s">
        <v>13</v>
      </c>
      <c r="F287" s="2">
        <v>30631</v>
      </c>
      <c r="G287" s="2">
        <v>1</v>
      </c>
      <c r="H287" s="2">
        <v>0</v>
      </c>
      <c r="I287" s="4">
        <v>41467</v>
      </c>
      <c r="J287" s="2">
        <v>75</v>
      </c>
    </row>
    <row r="288" spans="1:10" ht="12.5">
      <c r="A288" s="2">
        <v>286</v>
      </c>
      <c r="B288" s="2">
        <v>10983</v>
      </c>
      <c r="C288" s="2">
        <v>1952</v>
      </c>
      <c r="D288" s="3" t="s">
        <v>9</v>
      </c>
      <c r="E288" s="3" t="s">
        <v>11</v>
      </c>
      <c r="F288" s="2">
        <v>75278</v>
      </c>
      <c r="G288" s="2">
        <v>0</v>
      </c>
      <c r="H288" s="2">
        <v>0</v>
      </c>
      <c r="I288" s="4">
        <v>41303</v>
      </c>
      <c r="J288" s="2">
        <v>17</v>
      </c>
    </row>
    <row r="289" spans="1:10" ht="12.5">
      <c r="A289" s="2">
        <v>287</v>
      </c>
      <c r="B289" s="2">
        <v>8148</v>
      </c>
      <c r="C289" s="2">
        <v>1956</v>
      </c>
      <c r="D289" s="3" t="s">
        <v>14</v>
      </c>
      <c r="E289" s="3" t="s">
        <v>11</v>
      </c>
      <c r="F289" s="2">
        <v>50898</v>
      </c>
      <c r="G289" s="2">
        <v>1</v>
      </c>
      <c r="H289" s="2">
        <v>1</v>
      </c>
      <c r="I289" s="4">
        <v>41282</v>
      </c>
      <c r="J289" s="2">
        <v>88</v>
      </c>
    </row>
    <row r="290" spans="1:10" ht="12.5">
      <c r="A290" s="2">
        <v>288</v>
      </c>
      <c r="B290" s="2">
        <v>10102</v>
      </c>
      <c r="C290" s="2">
        <v>1966</v>
      </c>
      <c r="D290" s="3" t="s">
        <v>9</v>
      </c>
      <c r="E290" s="3" t="s">
        <v>18</v>
      </c>
      <c r="F290" s="2">
        <v>79946</v>
      </c>
      <c r="G290" s="2">
        <v>0</v>
      </c>
      <c r="H290" s="2">
        <v>0</v>
      </c>
      <c r="I290" s="4">
        <v>41771</v>
      </c>
      <c r="J290" s="2">
        <v>19</v>
      </c>
    </row>
    <row r="291" spans="1:10" ht="12.5">
      <c r="A291" s="2">
        <v>289</v>
      </c>
      <c r="B291" s="2">
        <v>4697</v>
      </c>
      <c r="C291" s="2">
        <v>1949</v>
      </c>
      <c r="D291" s="3" t="s">
        <v>14</v>
      </c>
      <c r="E291" s="3" t="s">
        <v>15</v>
      </c>
      <c r="F291" s="2">
        <v>35416</v>
      </c>
      <c r="G291" s="2">
        <v>0</v>
      </c>
      <c r="H291" s="2">
        <v>0</v>
      </c>
      <c r="I291" s="4">
        <v>41438</v>
      </c>
      <c r="J291" s="2">
        <v>62</v>
      </c>
    </row>
    <row r="292" spans="1:10" ht="12.5">
      <c r="A292" s="2">
        <v>290</v>
      </c>
      <c r="B292" s="2">
        <v>9262</v>
      </c>
      <c r="C292" s="2">
        <v>1984</v>
      </c>
      <c r="D292" s="3" t="s">
        <v>17</v>
      </c>
      <c r="E292" s="3" t="s">
        <v>11</v>
      </c>
      <c r="F292" s="2">
        <v>32414</v>
      </c>
      <c r="G292" s="2">
        <v>0</v>
      </c>
      <c r="H292" s="2">
        <v>0</v>
      </c>
      <c r="I292" s="4">
        <v>41459</v>
      </c>
      <c r="J292" s="2">
        <v>11</v>
      </c>
    </row>
    <row r="293" spans="1:10" ht="12.5">
      <c r="A293" s="2">
        <v>291</v>
      </c>
      <c r="B293" s="2">
        <v>7254</v>
      </c>
      <c r="C293" s="2">
        <v>1969</v>
      </c>
      <c r="D293" s="3" t="s">
        <v>9</v>
      </c>
      <c r="E293" s="3" t="s">
        <v>11</v>
      </c>
      <c r="F293" s="2">
        <v>38361</v>
      </c>
      <c r="G293" s="2">
        <v>1</v>
      </c>
      <c r="H293" s="2">
        <v>0</v>
      </c>
      <c r="I293" s="5">
        <v>41635</v>
      </c>
      <c r="J293" s="2">
        <v>74</v>
      </c>
    </row>
    <row r="294" spans="1:10" ht="12.5">
      <c r="A294" s="2">
        <v>292</v>
      </c>
      <c r="B294" s="2">
        <v>4543</v>
      </c>
      <c r="C294" s="2">
        <v>1980</v>
      </c>
      <c r="D294" s="3" t="s">
        <v>9</v>
      </c>
      <c r="E294" s="3" t="s">
        <v>13</v>
      </c>
      <c r="F294" s="2">
        <v>82497</v>
      </c>
      <c r="G294" s="2">
        <v>0</v>
      </c>
      <c r="H294" s="2">
        <v>0</v>
      </c>
      <c r="I294" s="5">
        <v>41213</v>
      </c>
      <c r="J294" s="2">
        <v>32</v>
      </c>
    </row>
    <row r="295" spans="1:10" ht="12.5">
      <c r="A295" s="2">
        <v>293</v>
      </c>
      <c r="B295" s="2">
        <v>4927</v>
      </c>
      <c r="C295" s="2">
        <v>1971</v>
      </c>
      <c r="D295" s="3" t="s">
        <v>9</v>
      </c>
      <c r="E295" s="3" t="s">
        <v>11</v>
      </c>
      <c r="F295" s="2">
        <v>16626</v>
      </c>
      <c r="G295" s="2">
        <v>2</v>
      </c>
      <c r="H295" s="2">
        <v>0</v>
      </c>
      <c r="I295" s="4">
        <v>41654</v>
      </c>
      <c r="J295" s="2">
        <v>76</v>
      </c>
    </row>
    <row r="296" spans="1:10" ht="12.5">
      <c r="A296" s="2">
        <v>294</v>
      </c>
      <c r="B296" s="2">
        <v>10451</v>
      </c>
      <c r="C296" s="2">
        <v>1965</v>
      </c>
      <c r="D296" s="3" t="s">
        <v>9</v>
      </c>
      <c r="E296" s="3" t="s">
        <v>11</v>
      </c>
      <c r="F296" s="2">
        <v>29672</v>
      </c>
      <c r="G296" s="2">
        <v>1</v>
      </c>
      <c r="H296" s="2">
        <v>1</v>
      </c>
      <c r="I296" s="4">
        <v>41345</v>
      </c>
      <c r="J296" s="2">
        <v>6</v>
      </c>
    </row>
    <row r="297" spans="1:10" ht="12.5">
      <c r="A297" s="2">
        <v>295</v>
      </c>
      <c r="B297" s="2">
        <v>2926</v>
      </c>
      <c r="C297" s="2">
        <v>1952</v>
      </c>
      <c r="D297" s="3" t="s">
        <v>14</v>
      </c>
      <c r="E297" s="3" t="s">
        <v>11</v>
      </c>
      <c r="F297" s="2">
        <v>55951</v>
      </c>
      <c r="G297" s="2">
        <v>0</v>
      </c>
      <c r="H297" s="2">
        <v>1</v>
      </c>
      <c r="I297" s="4">
        <v>41144</v>
      </c>
      <c r="J297" s="2">
        <v>62</v>
      </c>
    </row>
    <row r="298" spans="1:10" ht="12.5">
      <c r="A298" s="2">
        <v>296</v>
      </c>
      <c r="B298" s="2">
        <v>2874</v>
      </c>
      <c r="C298" s="2">
        <v>1988</v>
      </c>
      <c r="D298" s="3" t="s">
        <v>17</v>
      </c>
      <c r="E298" s="3" t="s">
        <v>15</v>
      </c>
      <c r="F298" s="2">
        <v>35388</v>
      </c>
      <c r="G298" s="2">
        <v>1</v>
      </c>
      <c r="H298" s="2">
        <v>0</v>
      </c>
      <c r="I298" s="4">
        <v>41340</v>
      </c>
      <c r="J298" s="2">
        <v>20</v>
      </c>
    </row>
    <row r="299" spans="1:10" ht="12.5">
      <c r="A299" s="2">
        <v>297</v>
      </c>
      <c r="B299" s="2">
        <v>9738</v>
      </c>
      <c r="C299" s="2">
        <v>1986</v>
      </c>
      <c r="D299" s="3" t="s">
        <v>14</v>
      </c>
      <c r="E299" s="3" t="s">
        <v>11</v>
      </c>
      <c r="F299" s="2">
        <v>42386</v>
      </c>
      <c r="G299" s="2">
        <v>1</v>
      </c>
      <c r="H299" s="2">
        <v>0</v>
      </c>
      <c r="I299" s="4">
        <v>41287</v>
      </c>
      <c r="J299" s="2">
        <v>43</v>
      </c>
    </row>
    <row r="300" spans="1:10" ht="12.5">
      <c r="A300" s="2">
        <v>298</v>
      </c>
      <c r="B300" s="2">
        <v>7119</v>
      </c>
      <c r="C300" s="2">
        <v>1982</v>
      </c>
      <c r="D300" s="3" t="s">
        <v>9</v>
      </c>
      <c r="E300" s="3" t="s">
        <v>10</v>
      </c>
      <c r="F300" s="2">
        <v>68627</v>
      </c>
      <c r="G300" s="2">
        <v>0</v>
      </c>
      <c r="H300" s="2">
        <v>0</v>
      </c>
      <c r="I300" s="4">
        <v>41286</v>
      </c>
      <c r="J300" s="2">
        <v>45</v>
      </c>
    </row>
    <row r="301" spans="1:10" ht="12.5">
      <c r="A301" s="2">
        <v>299</v>
      </c>
      <c r="B301" s="2">
        <v>3924</v>
      </c>
      <c r="C301" s="2">
        <v>1965</v>
      </c>
      <c r="D301" s="3" t="s">
        <v>12</v>
      </c>
      <c r="E301" s="3" t="s">
        <v>15</v>
      </c>
      <c r="F301" s="2">
        <v>57912</v>
      </c>
      <c r="G301" s="2">
        <v>0</v>
      </c>
      <c r="H301" s="2">
        <v>1</v>
      </c>
      <c r="I301" s="4">
        <v>41715</v>
      </c>
      <c r="J301" s="2">
        <v>34</v>
      </c>
    </row>
    <row r="302" spans="1:10" ht="12.5">
      <c r="A302" s="2">
        <v>300</v>
      </c>
      <c r="B302" s="2">
        <v>5827</v>
      </c>
      <c r="C302" s="2">
        <v>1958</v>
      </c>
      <c r="D302" s="3" t="s">
        <v>9</v>
      </c>
      <c r="E302" s="3" t="s">
        <v>15</v>
      </c>
      <c r="F302" s="2">
        <v>35246</v>
      </c>
      <c r="G302" s="2">
        <v>1</v>
      </c>
      <c r="H302" s="2">
        <v>1</v>
      </c>
      <c r="I302" s="4">
        <v>41745</v>
      </c>
      <c r="J302" s="2">
        <v>53</v>
      </c>
    </row>
    <row r="303" spans="1:10" ht="12.5">
      <c r="A303" s="2">
        <v>301</v>
      </c>
      <c r="B303" s="2">
        <v>5596</v>
      </c>
      <c r="C303" s="2">
        <v>1956</v>
      </c>
      <c r="D303" s="3" t="s">
        <v>17</v>
      </c>
      <c r="E303" s="3" t="s">
        <v>11</v>
      </c>
      <c r="F303" s="2">
        <v>58821</v>
      </c>
      <c r="G303" s="2">
        <v>0</v>
      </c>
      <c r="H303" s="2">
        <v>1</v>
      </c>
      <c r="I303" s="5">
        <v>41559</v>
      </c>
      <c r="J303" s="2">
        <v>44</v>
      </c>
    </row>
    <row r="304" spans="1:10" ht="12.5">
      <c r="A304" s="2">
        <v>302</v>
      </c>
      <c r="B304" s="2">
        <v>10812</v>
      </c>
      <c r="C304" s="2">
        <v>1978</v>
      </c>
      <c r="D304" s="3" t="s">
        <v>12</v>
      </c>
      <c r="E304" s="3" t="s">
        <v>13</v>
      </c>
      <c r="F304" s="2">
        <v>46377</v>
      </c>
      <c r="G304" s="2">
        <v>1</v>
      </c>
      <c r="H304" s="2">
        <v>0</v>
      </c>
      <c r="I304" s="4">
        <v>41699</v>
      </c>
      <c r="J304" s="2">
        <v>89</v>
      </c>
    </row>
    <row r="305" spans="1:10" ht="12.5">
      <c r="A305" s="2">
        <v>303</v>
      </c>
      <c r="B305" s="2">
        <v>1717</v>
      </c>
      <c r="C305" s="2">
        <v>1988</v>
      </c>
      <c r="D305" s="3" t="s">
        <v>9</v>
      </c>
      <c r="E305" s="3" t="s">
        <v>10</v>
      </c>
      <c r="F305" s="2">
        <v>39747</v>
      </c>
      <c r="G305" s="2">
        <v>1</v>
      </c>
      <c r="H305" s="2">
        <v>0</v>
      </c>
      <c r="I305" s="4">
        <v>41742</v>
      </c>
      <c r="J305" s="2">
        <v>43</v>
      </c>
    </row>
    <row r="306" spans="1:10" ht="12.5">
      <c r="A306" s="2">
        <v>304</v>
      </c>
      <c r="B306" s="2">
        <v>9491</v>
      </c>
      <c r="C306" s="2">
        <v>1984</v>
      </c>
      <c r="D306" s="3" t="s">
        <v>9</v>
      </c>
      <c r="E306" s="3" t="s">
        <v>11</v>
      </c>
      <c r="F306" s="2">
        <v>23976</v>
      </c>
      <c r="G306" s="2">
        <v>1</v>
      </c>
      <c r="H306" s="2">
        <v>0</v>
      </c>
      <c r="I306" s="5">
        <v>41635</v>
      </c>
      <c r="J306" s="2">
        <v>68</v>
      </c>
    </row>
    <row r="307" spans="1:10" ht="12.5">
      <c r="A307" s="2">
        <v>305</v>
      </c>
      <c r="B307" s="2">
        <v>9274</v>
      </c>
      <c r="C307" s="2">
        <v>1961</v>
      </c>
      <c r="D307" s="3" t="s">
        <v>14</v>
      </c>
      <c r="E307" s="3" t="s">
        <v>13</v>
      </c>
      <c r="F307" s="2">
        <v>80950</v>
      </c>
      <c r="G307" s="2">
        <v>0</v>
      </c>
      <c r="H307" s="2">
        <v>0</v>
      </c>
      <c r="I307" s="4">
        <v>41361</v>
      </c>
      <c r="J307" s="2">
        <v>44</v>
      </c>
    </row>
    <row r="308" spans="1:10" ht="12.5">
      <c r="A308" s="2">
        <v>306</v>
      </c>
      <c r="B308" s="2">
        <v>6609</v>
      </c>
      <c r="C308" s="2">
        <v>1966</v>
      </c>
      <c r="D308" s="3" t="s">
        <v>9</v>
      </c>
      <c r="E308" s="3" t="s">
        <v>18</v>
      </c>
      <c r="F308" s="2">
        <v>27038</v>
      </c>
      <c r="G308" s="2">
        <v>0</v>
      </c>
      <c r="H308" s="2">
        <v>0</v>
      </c>
      <c r="I308" s="4">
        <v>41170</v>
      </c>
      <c r="J308" s="2">
        <v>64</v>
      </c>
    </row>
    <row r="309" spans="1:10" ht="12.5">
      <c r="A309" s="2">
        <v>307</v>
      </c>
      <c r="B309" s="2">
        <v>6963</v>
      </c>
      <c r="C309" s="2">
        <v>1947</v>
      </c>
      <c r="D309" s="3" t="s">
        <v>9</v>
      </c>
      <c r="E309" s="3" t="s">
        <v>10</v>
      </c>
      <c r="F309" s="2">
        <v>77457</v>
      </c>
      <c r="G309" s="2">
        <v>0</v>
      </c>
      <c r="H309" s="2">
        <v>0</v>
      </c>
      <c r="I309" s="4">
        <v>41703</v>
      </c>
      <c r="J309" s="2">
        <v>85</v>
      </c>
    </row>
    <row r="310" spans="1:10" ht="12.5">
      <c r="A310" s="2">
        <v>308</v>
      </c>
      <c r="B310" s="2">
        <v>4440</v>
      </c>
      <c r="C310" s="2">
        <v>1964</v>
      </c>
      <c r="D310" s="3" t="s">
        <v>14</v>
      </c>
      <c r="E310" s="3" t="s">
        <v>13</v>
      </c>
      <c r="F310" s="2">
        <v>64100</v>
      </c>
      <c r="G310" s="2">
        <v>0</v>
      </c>
      <c r="H310" s="2">
        <v>1</v>
      </c>
      <c r="I310" s="4">
        <v>41527</v>
      </c>
      <c r="J310" s="2">
        <v>93</v>
      </c>
    </row>
    <row r="311" spans="1:10" ht="12.5">
      <c r="A311" s="2">
        <v>309</v>
      </c>
      <c r="B311" s="2">
        <v>1379</v>
      </c>
      <c r="C311" s="2">
        <v>1992</v>
      </c>
      <c r="D311" s="3" t="s">
        <v>14</v>
      </c>
      <c r="E311" s="3" t="s">
        <v>11</v>
      </c>
      <c r="F311" s="2">
        <v>42670</v>
      </c>
      <c r="G311" s="2">
        <v>0</v>
      </c>
      <c r="H311" s="2">
        <v>0</v>
      </c>
      <c r="I311" s="4">
        <v>41391</v>
      </c>
      <c r="J311" s="2">
        <v>12</v>
      </c>
    </row>
    <row r="312" spans="1:10" ht="12.5">
      <c r="A312" s="2">
        <v>310</v>
      </c>
      <c r="B312" s="2">
        <v>10032</v>
      </c>
      <c r="C312" s="2">
        <v>1976</v>
      </c>
      <c r="D312" s="3" t="s">
        <v>9</v>
      </c>
      <c r="E312" s="3" t="s">
        <v>15</v>
      </c>
      <c r="F312" s="2">
        <v>12571</v>
      </c>
      <c r="G312" s="2">
        <v>1</v>
      </c>
      <c r="H312" s="2">
        <v>0</v>
      </c>
      <c r="I312" s="4">
        <v>41657</v>
      </c>
      <c r="J312" s="2">
        <v>86</v>
      </c>
    </row>
    <row r="313" spans="1:10" ht="12.5">
      <c r="A313" s="2">
        <v>311</v>
      </c>
      <c r="B313" s="2">
        <v>2826</v>
      </c>
      <c r="C313" s="2">
        <v>1967</v>
      </c>
      <c r="D313" s="3" t="s">
        <v>9</v>
      </c>
      <c r="E313" s="3" t="s">
        <v>13</v>
      </c>
      <c r="F313" s="2">
        <v>22574</v>
      </c>
      <c r="G313" s="2">
        <v>2</v>
      </c>
      <c r="H313" s="2">
        <v>1</v>
      </c>
      <c r="I313" s="5">
        <v>41575</v>
      </c>
      <c r="J313" s="2">
        <v>28</v>
      </c>
    </row>
    <row r="314" spans="1:10" ht="12.5">
      <c r="A314" s="2">
        <v>312</v>
      </c>
      <c r="B314" s="2">
        <v>2437</v>
      </c>
      <c r="C314" s="2">
        <v>1989</v>
      </c>
      <c r="D314" s="3" t="s">
        <v>9</v>
      </c>
      <c r="E314" s="3" t="s">
        <v>13</v>
      </c>
      <c r="F314" s="3"/>
      <c r="G314" s="2">
        <v>0</v>
      </c>
      <c r="H314" s="2">
        <v>0</v>
      </c>
      <c r="I314" s="4">
        <v>41428</v>
      </c>
      <c r="J314" s="2">
        <v>69</v>
      </c>
    </row>
    <row r="315" spans="1:10" ht="12.5">
      <c r="A315" s="2">
        <v>313</v>
      </c>
      <c r="B315" s="2">
        <v>6320</v>
      </c>
      <c r="C315" s="2">
        <v>1976</v>
      </c>
      <c r="D315" s="3" t="s">
        <v>14</v>
      </c>
      <c r="E315" s="3" t="s">
        <v>10</v>
      </c>
      <c r="F315" s="2">
        <v>70893</v>
      </c>
      <c r="G315" s="2">
        <v>0</v>
      </c>
      <c r="H315" s="2">
        <v>0</v>
      </c>
      <c r="I315" s="4">
        <v>41311</v>
      </c>
      <c r="J315" s="2">
        <v>42</v>
      </c>
    </row>
    <row r="316" spans="1:10" ht="12.5">
      <c r="A316" s="2">
        <v>314</v>
      </c>
      <c r="B316" s="2">
        <v>3050</v>
      </c>
      <c r="C316" s="2">
        <v>1966</v>
      </c>
      <c r="D316" s="3" t="s">
        <v>9</v>
      </c>
      <c r="E316" s="3" t="s">
        <v>13</v>
      </c>
      <c r="F316" s="2">
        <v>54198</v>
      </c>
      <c r="G316" s="2">
        <v>1</v>
      </c>
      <c r="H316" s="2">
        <v>1</v>
      </c>
      <c r="I316" s="5">
        <v>41625</v>
      </c>
      <c r="J316" s="2">
        <v>13</v>
      </c>
    </row>
    <row r="317" spans="1:10" ht="12.5">
      <c r="A317" s="2">
        <v>315</v>
      </c>
      <c r="B317" s="2">
        <v>231</v>
      </c>
      <c r="C317" s="2">
        <v>1956</v>
      </c>
      <c r="D317" s="3" t="s">
        <v>14</v>
      </c>
      <c r="E317" s="3" t="s">
        <v>11</v>
      </c>
      <c r="F317" s="2">
        <v>28839</v>
      </c>
      <c r="G317" s="2">
        <v>1</v>
      </c>
      <c r="H317" s="2">
        <v>1</v>
      </c>
      <c r="I317" s="4">
        <v>41709</v>
      </c>
      <c r="J317" s="2">
        <v>86</v>
      </c>
    </row>
    <row r="318" spans="1:10" ht="12.5">
      <c r="A318" s="2">
        <v>316</v>
      </c>
      <c r="B318" s="2">
        <v>2392</v>
      </c>
      <c r="C318" s="2">
        <v>1972</v>
      </c>
      <c r="D318" s="3" t="s">
        <v>9</v>
      </c>
      <c r="E318" s="3" t="s">
        <v>13</v>
      </c>
      <c r="F318" s="2">
        <v>40321</v>
      </c>
      <c r="G318" s="2">
        <v>1</v>
      </c>
      <c r="H318" s="2">
        <v>1</v>
      </c>
      <c r="I318" s="4">
        <v>41484</v>
      </c>
      <c r="J318" s="2">
        <v>59</v>
      </c>
    </row>
    <row r="319" spans="1:10" ht="12.5">
      <c r="A319" s="2">
        <v>317</v>
      </c>
      <c r="B319" s="2">
        <v>9478</v>
      </c>
      <c r="C319" s="2">
        <v>1985</v>
      </c>
      <c r="D319" s="3" t="s">
        <v>9</v>
      </c>
      <c r="E319" s="3" t="s">
        <v>10</v>
      </c>
      <c r="F319" s="2">
        <v>66503</v>
      </c>
      <c r="G319" s="2">
        <v>1</v>
      </c>
      <c r="H319" s="2">
        <v>0</v>
      </c>
      <c r="I319" s="4">
        <v>41135</v>
      </c>
      <c r="J319" s="2">
        <v>30</v>
      </c>
    </row>
    <row r="320" spans="1:10" ht="12.5">
      <c r="A320" s="2">
        <v>318</v>
      </c>
      <c r="B320" s="2">
        <v>113</v>
      </c>
      <c r="C320" s="2">
        <v>1951</v>
      </c>
      <c r="D320" s="3" t="s">
        <v>9</v>
      </c>
      <c r="E320" s="3" t="s">
        <v>13</v>
      </c>
      <c r="F320" s="2">
        <v>30833</v>
      </c>
      <c r="G320" s="2">
        <v>1</v>
      </c>
      <c r="H320" s="2">
        <v>1</v>
      </c>
      <c r="I320" s="4">
        <v>41471</v>
      </c>
      <c r="J320" s="2">
        <v>33</v>
      </c>
    </row>
    <row r="321" spans="1:10" ht="12.5">
      <c r="A321" s="2">
        <v>319</v>
      </c>
      <c r="B321" s="2">
        <v>2863</v>
      </c>
      <c r="C321" s="2">
        <v>1970</v>
      </c>
      <c r="D321" s="3" t="s">
        <v>9</v>
      </c>
      <c r="E321" s="3" t="s">
        <v>10</v>
      </c>
      <c r="F321" s="3"/>
      <c r="G321" s="2">
        <v>1</v>
      </c>
      <c r="H321" s="2">
        <v>2</v>
      </c>
      <c r="I321" s="4">
        <v>41509</v>
      </c>
      <c r="J321" s="2">
        <v>67</v>
      </c>
    </row>
    <row r="322" spans="1:10" ht="12.5">
      <c r="A322" s="2">
        <v>320</v>
      </c>
      <c r="B322" s="2">
        <v>1802</v>
      </c>
      <c r="C322" s="2">
        <v>1971</v>
      </c>
      <c r="D322" s="3" t="s">
        <v>9</v>
      </c>
      <c r="E322" s="3" t="s">
        <v>13</v>
      </c>
      <c r="F322" s="2">
        <v>64795</v>
      </c>
      <c r="G322" s="2">
        <v>0</v>
      </c>
      <c r="H322" s="2">
        <v>1</v>
      </c>
      <c r="I322" s="4">
        <v>41291</v>
      </c>
      <c r="J322" s="2">
        <v>23</v>
      </c>
    </row>
    <row r="323" spans="1:10" ht="12.5">
      <c r="A323" s="2">
        <v>321</v>
      </c>
      <c r="B323" s="2">
        <v>520</v>
      </c>
      <c r="C323" s="2">
        <v>1974</v>
      </c>
      <c r="D323" s="3" t="s">
        <v>9</v>
      </c>
      <c r="E323" s="3" t="s">
        <v>13</v>
      </c>
      <c r="F323" s="2">
        <v>34421</v>
      </c>
      <c r="G323" s="2">
        <v>1</v>
      </c>
      <c r="H323" s="2">
        <v>0</v>
      </c>
      <c r="I323" s="4">
        <v>41456</v>
      </c>
      <c r="J323" s="2">
        <v>81</v>
      </c>
    </row>
    <row r="324" spans="1:10" ht="12.5">
      <c r="A324" s="2">
        <v>322</v>
      </c>
      <c r="B324" s="2">
        <v>8275</v>
      </c>
      <c r="C324" s="2">
        <v>1965</v>
      </c>
      <c r="D324" s="3" t="s">
        <v>12</v>
      </c>
      <c r="E324" s="3" t="s">
        <v>15</v>
      </c>
      <c r="F324" s="2">
        <v>47025</v>
      </c>
      <c r="G324" s="2">
        <v>1</v>
      </c>
      <c r="H324" s="2">
        <v>1</v>
      </c>
      <c r="I324" s="4">
        <v>41679</v>
      </c>
      <c r="J324" s="2">
        <v>6</v>
      </c>
    </row>
    <row r="325" spans="1:10" ht="12.5">
      <c r="A325" s="2">
        <v>323</v>
      </c>
      <c r="B325" s="2">
        <v>9750</v>
      </c>
      <c r="C325" s="2">
        <v>1961</v>
      </c>
      <c r="D325" s="3" t="s">
        <v>12</v>
      </c>
      <c r="E325" s="3" t="s">
        <v>15</v>
      </c>
      <c r="F325" s="2">
        <v>64325</v>
      </c>
      <c r="G325" s="2">
        <v>0</v>
      </c>
      <c r="H325" s="2">
        <v>1</v>
      </c>
      <c r="I325" s="4">
        <v>41312</v>
      </c>
      <c r="J325" s="2">
        <v>41</v>
      </c>
    </row>
    <row r="326" spans="1:10" ht="12.5">
      <c r="A326" s="2">
        <v>324</v>
      </c>
      <c r="B326" s="2">
        <v>2607</v>
      </c>
      <c r="C326" s="2">
        <v>1953</v>
      </c>
      <c r="D326" s="3" t="s">
        <v>9</v>
      </c>
      <c r="E326" s="3" t="s">
        <v>10</v>
      </c>
      <c r="F326" s="2">
        <v>40464</v>
      </c>
      <c r="G326" s="2">
        <v>0</v>
      </c>
      <c r="H326" s="2">
        <v>1</v>
      </c>
      <c r="I326" s="4">
        <v>41285</v>
      </c>
      <c r="J326" s="2">
        <v>78</v>
      </c>
    </row>
    <row r="327" spans="1:10" ht="12.5">
      <c r="A327" s="2">
        <v>325</v>
      </c>
      <c r="B327" s="2">
        <v>7214</v>
      </c>
      <c r="C327" s="2">
        <v>1957</v>
      </c>
      <c r="D327" s="3" t="s">
        <v>9</v>
      </c>
      <c r="E327" s="3" t="s">
        <v>13</v>
      </c>
      <c r="F327" s="2">
        <v>62187</v>
      </c>
      <c r="G327" s="2">
        <v>0</v>
      </c>
      <c r="H327" s="2">
        <v>0</v>
      </c>
      <c r="I327" s="4">
        <v>41460</v>
      </c>
      <c r="J327" s="2">
        <v>49</v>
      </c>
    </row>
    <row r="328" spans="1:10" ht="12.5">
      <c r="A328" s="2">
        <v>326</v>
      </c>
      <c r="B328" s="2">
        <v>5835</v>
      </c>
      <c r="C328" s="2">
        <v>1976</v>
      </c>
      <c r="D328" s="3" t="s">
        <v>12</v>
      </c>
      <c r="E328" s="3" t="s">
        <v>15</v>
      </c>
      <c r="F328" s="2">
        <v>14849</v>
      </c>
      <c r="G328" s="2">
        <v>1</v>
      </c>
      <c r="H328" s="2">
        <v>0</v>
      </c>
      <c r="I328" s="4">
        <v>41457</v>
      </c>
      <c r="J328" s="2">
        <v>39</v>
      </c>
    </row>
    <row r="329" spans="1:10" ht="12.5">
      <c r="A329" s="2">
        <v>327</v>
      </c>
      <c r="B329" s="2">
        <v>3896</v>
      </c>
      <c r="C329" s="2">
        <v>1984</v>
      </c>
      <c r="D329" s="3" t="s">
        <v>9</v>
      </c>
      <c r="E329" s="3" t="s">
        <v>13</v>
      </c>
      <c r="F329" s="2">
        <v>27255</v>
      </c>
      <c r="G329" s="2">
        <v>1</v>
      </c>
      <c r="H329" s="2">
        <v>0</v>
      </c>
      <c r="I329" s="4">
        <v>41585</v>
      </c>
      <c r="J329" s="2">
        <v>3</v>
      </c>
    </row>
    <row r="330" spans="1:10" ht="12.5">
      <c r="A330" s="2">
        <v>328</v>
      </c>
      <c r="B330" s="2">
        <v>10350</v>
      </c>
      <c r="C330" s="2">
        <v>1950</v>
      </c>
      <c r="D330" s="3" t="s">
        <v>12</v>
      </c>
      <c r="E330" s="3" t="s">
        <v>13</v>
      </c>
      <c r="F330" s="2">
        <v>54432</v>
      </c>
      <c r="G330" s="2">
        <v>2</v>
      </c>
      <c r="H330" s="2">
        <v>1</v>
      </c>
      <c r="I330" s="4">
        <v>41403</v>
      </c>
      <c r="J330" s="2">
        <v>37</v>
      </c>
    </row>
    <row r="331" spans="1:10" ht="12.5">
      <c r="A331" s="2">
        <v>329</v>
      </c>
      <c r="B331" s="2">
        <v>7786</v>
      </c>
      <c r="C331" s="2">
        <v>1986</v>
      </c>
      <c r="D331" s="3" t="s">
        <v>12</v>
      </c>
      <c r="E331" s="3" t="s">
        <v>10</v>
      </c>
      <c r="F331" s="2">
        <v>29999</v>
      </c>
      <c r="G331" s="2">
        <v>1</v>
      </c>
      <c r="H331" s="2">
        <v>0</v>
      </c>
      <c r="I331" s="4">
        <v>41318</v>
      </c>
      <c r="J331" s="2">
        <v>22</v>
      </c>
    </row>
    <row r="332" spans="1:10" ht="12.5">
      <c r="A332" s="2">
        <v>330</v>
      </c>
      <c r="B332" s="2">
        <v>2861</v>
      </c>
      <c r="C332" s="2">
        <v>1983</v>
      </c>
      <c r="D332" s="3" t="s">
        <v>9</v>
      </c>
      <c r="E332" s="3" t="s">
        <v>10</v>
      </c>
      <c r="F332" s="2">
        <v>24072</v>
      </c>
      <c r="G332" s="2">
        <v>1</v>
      </c>
      <c r="H332" s="2">
        <v>0</v>
      </c>
      <c r="I332" s="4">
        <v>41380</v>
      </c>
      <c r="J332" s="2">
        <v>79</v>
      </c>
    </row>
    <row r="333" spans="1:10" ht="12.5">
      <c r="A333" s="2">
        <v>331</v>
      </c>
      <c r="B333" s="2">
        <v>663</v>
      </c>
      <c r="C333" s="2">
        <v>1989</v>
      </c>
      <c r="D333" s="3" t="s">
        <v>12</v>
      </c>
      <c r="E333" s="3" t="s">
        <v>10</v>
      </c>
      <c r="F333" s="2">
        <v>33996</v>
      </c>
      <c r="G333" s="2">
        <v>0</v>
      </c>
      <c r="H333" s="2">
        <v>0</v>
      </c>
      <c r="I333" s="4">
        <v>41528</v>
      </c>
      <c r="J333" s="2">
        <v>46</v>
      </c>
    </row>
    <row r="334" spans="1:10" ht="12.5">
      <c r="A334" s="2">
        <v>332</v>
      </c>
      <c r="B334" s="2">
        <v>10675</v>
      </c>
      <c r="C334" s="2">
        <v>1956</v>
      </c>
      <c r="D334" s="3" t="s">
        <v>12</v>
      </c>
      <c r="E334" s="3" t="s">
        <v>13</v>
      </c>
      <c r="F334" s="2">
        <v>66334</v>
      </c>
      <c r="G334" s="2">
        <v>0</v>
      </c>
      <c r="H334" s="2">
        <v>1</v>
      </c>
      <c r="I334" s="4">
        <v>41367</v>
      </c>
      <c r="J334" s="2">
        <v>82</v>
      </c>
    </row>
    <row r="335" spans="1:10" ht="12.5">
      <c r="A335" s="2">
        <v>333</v>
      </c>
      <c r="B335" s="2">
        <v>2521</v>
      </c>
      <c r="C335" s="2">
        <v>1971</v>
      </c>
      <c r="D335" s="3" t="s">
        <v>14</v>
      </c>
      <c r="E335" s="3" t="s">
        <v>13</v>
      </c>
      <c r="F335" s="2">
        <v>35178</v>
      </c>
      <c r="G335" s="2">
        <v>1</v>
      </c>
      <c r="H335" s="2">
        <v>0</v>
      </c>
      <c r="I335" s="4">
        <v>41284</v>
      </c>
      <c r="J335" s="2">
        <v>10</v>
      </c>
    </row>
    <row r="336" spans="1:10" ht="12.5">
      <c r="A336" s="2">
        <v>334</v>
      </c>
      <c r="B336" s="2">
        <v>9592</v>
      </c>
      <c r="C336" s="2">
        <v>1983</v>
      </c>
      <c r="D336" s="3" t="s">
        <v>9</v>
      </c>
      <c r="E336" s="3" t="s">
        <v>11</v>
      </c>
      <c r="F336" s="2">
        <v>22010</v>
      </c>
      <c r="G336" s="2">
        <v>1</v>
      </c>
      <c r="H336" s="2">
        <v>0</v>
      </c>
      <c r="I336" s="4">
        <v>41455</v>
      </c>
      <c r="J336" s="2">
        <v>51</v>
      </c>
    </row>
    <row r="337" spans="1:10" ht="12.5">
      <c r="A337" s="2">
        <v>335</v>
      </c>
      <c r="B337" s="2">
        <v>10151</v>
      </c>
      <c r="C337" s="2">
        <v>1960</v>
      </c>
      <c r="D337" s="3" t="s">
        <v>9</v>
      </c>
      <c r="E337" s="3" t="s">
        <v>15</v>
      </c>
      <c r="F337" s="2">
        <v>62204</v>
      </c>
      <c r="G337" s="2">
        <v>0</v>
      </c>
      <c r="H337" s="2">
        <v>2</v>
      </c>
      <c r="I337" s="4">
        <v>41164</v>
      </c>
      <c r="J337" s="2">
        <v>38</v>
      </c>
    </row>
    <row r="338" spans="1:10" ht="12.5">
      <c r="A338" s="2">
        <v>336</v>
      </c>
      <c r="B338" s="2">
        <v>7381</v>
      </c>
      <c r="C338" s="2">
        <v>1968</v>
      </c>
      <c r="D338" s="3" t="s">
        <v>9</v>
      </c>
      <c r="E338" s="3" t="s">
        <v>15</v>
      </c>
      <c r="F338" s="2">
        <v>75693</v>
      </c>
      <c r="G338" s="2">
        <v>0</v>
      </c>
      <c r="H338" s="2">
        <v>0</v>
      </c>
      <c r="I338" s="4">
        <v>41249</v>
      </c>
      <c r="J338" s="2">
        <v>10</v>
      </c>
    </row>
    <row r="339" spans="1:10" ht="12.5">
      <c r="A339" s="2">
        <v>337</v>
      </c>
      <c r="B339" s="2">
        <v>4099</v>
      </c>
      <c r="C339" s="2">
        <v>1972</v>
      </c>
      <c r="D339" s="3" t="s">
        <v>9</v>
      </c>
      <c r="E339" s="3" t="s">
        <v>13</v>
      </c>
      <c r="F339" s="2">
        <v>30675</v>
      </c>
      <c r="G339" s="2">
        <v>1</v>
      </c>
      <c r="H339" s="2">
        <v>0</v>
      </c>
      <c r="I339" s="5">
        <v>41225</v>
      </c>
      <c r="J339" s="2">
        <v>14</v>
      </c>
    </row>
    <row r="340" spans="1:10" ht="12.5">
      <c r="A340" s="2">
        <v>338</v>
      </c>
      <c r="B340" s="2">
        <v>9560</v>
      </c>
      <c r="C340" s="2">
        <v>1965</v>
      </c>
      <c r="D340" s="3" t="s">
        <v>9</v>
      </c>
      <c r="E340" s="3" t="s">
        <v>11</v>
      </c>
      <c r="F340" s="2">
        <v>83003</v>
      </c>
      <c r="G340" s="2">
        <v>0</v>
      </c>
      <c r="H340" s="2">
        <v>0</v>
      </c>
      <c r="I340" s="4">
        <v>41336</v>
      </c>
      <c r="J340" s="2">
        <v>18</v>
      </c>
    </row>
    <row r="341" spans="1:10" ht="12.5">
      <c r="A341" s="2">
        <v>339</v>
      </c>
      <c r="B341" s="2">
        <v>1150</v>
      </c>
      <c r="C341" s="2">
        <v>1899</v>
      </c>
      <c r="D341" s="3" t="s">
        <v>12</v>
      </c>
      <c r="E341" s="3" t="s">
        <v>11</v>
      </c>
      <c r="F341" s="2">
        <v>83532</v>
      </c>
      <c r="G341" s="2">
        <v>0</v>
      </c>
      <c r="H341" s="2">
        <v>0</v>
      </c>
      <c r="I341" s="4">
        <v>41543</v>
      </c>
      <c r="J341" s="2">
        <v>36</v>
      </c>
    </row>
    <row r="342" spans="1:10" ht="12.5">
      <c r="A342" s="2">
        <v>340</v>
      </c>
      <c r="B342" s="2">
        <v>10172</v>
      </c>
      <c r="C342" s="2">
        <v>1988</v>
      </c>
      <c r="D342" s="3" t="s">
        <v>9</v>
      </c>
      <c r="E342" s="3" t="s">
        <v>10</v>
      </c>
      <c r="F342" s="2">
        <v>68655</v>
      </c>
      <c r="G342" s="2">
        <v>0</v>
      </c>
      <c r="H342" s="2">
        <v>0</v>
      </c>
      <c r="I342" s="4">
        <v>41131</v>
      </c>
      <c r="J342" s="2">
        <v>95</v>
      </c>
    </row>
    <row r="343" spans="1:10" ht="12.5">
      <c r="A343" s="2">
        <v>341</v>
      </c>
      <c r="B343" s="2">
        <v>11191</v>
      </c>
      <c r="C343" s="2">
        <v>1986</v>
      </c>
      <c r="D343" s="3" t="s">
        <v>9</v>
      </c>
      <c r="E343" s="3" t="s">
        <v>15</v>
      </c>
      <c r="F343" s="2">
        <v>41411</v>
      </c>
      <c r="G343" s="2">
        <v>0</v>
      </c>
      <c r="H343" s="2">
        <v>0</v>
      </c>
      <c r="I343" s="4">
        <v>41615</v>
      </c>
      <c r="J343" s="2">
        <v>11</v>
      </c>
    </row>
    <row r="344" spans="1:10" ht="12.5">
      <c r="A344" s="2">
        <v>342</v>
      </c>
      <c r="B344" s="2">
        <v>9707</v>
      </c>
      <c r="C344" s="2">
        <v>1969</v>
      </c>
      <c r="D344" s="3" t="s">
        <v>12</v>
      </c>
      <c r="E344" s="3" t="s">
        <v>13</v>
      </c>
      <c r="F344" s="2">
        <v>55212</v>
      </c>
      <c r="G344" s="2">
        <v>0</v>
      </c>
      <c r="H344" s="2">
        <v>1</v>
      </c>
      <c r="I344" s="5">
        <v>41236</v>
      </c>
      <c r="J344" s="2">
        <v>65</v>
      </c>
    </row>
    <row r="345" spans="1:10" ht="12.5">
      <c r="A345" s="2">
        <v>343</v>
      </c>
      <c r="B345" s="2">
        <v>6245</v>
      </c>
      <c r="C345" s="2">
        <v>1950</v>
      </c>
      <c r="D345" s="3" t="s">
        <v>12</v>
      </c>
      <c r="E345" s="3" t="s">
        <v>11</v>
      </c>
      <c r="F345" s="2">
        <v>59292</v>
      </c>
      <c r="G345" s="2">
        <v>0</v>
      </c>
      <c r="H345" s="2">
        <v>1</v>
      </c>
      <c r="I345" s="4">
        <v>41438</v>
      </c>
      <c r="J345" s="2">
        <v>71</v>
      </c>
    </row>
    <row r="346" spans="1:10" ht="12.5">
      <c r="A346" s="2">
        <v>344</v>
      </c>
      <c r="B346" s="2">
        <v>8234</v>
      </c>
      <c r="C346" s="2">
        <v>1973</v>
      </c>
      <c r="D346" s="3" t="s">
        <v>16</v>
      </c>
      <c r="E346" s="3" t="s">
        <v>11</v>
      </c>
      <c r="F346" s="2">
        <v>27190</v>
      </c>
      <c r="G346" s="2">
        <v>1</v>
      </c>
      <c r="H346" s="2">
        <v>0</v>
      </c>
      <c r="I346" s="4">
        <v>41501</v>
      </c>
      <c r="J346" s="2">
        <v>13</v>
      </c>
    </row>
    <row r="347" spans="1:10" ht="12.5">
      <c r="A347" s="2">
        <v>345</v>
      </c>
      <c r="B347" s="2">
        <v>1411</v>
      </c>
      <c r="C347" s="2">
        <v>1952</v>
      </c>
      <c r="D347" s="3" t="s">
        <v>9</v>
      </c>
      <c r="E347" s="3" t="s">
        <v>15</v>
      </c>
      <c r="F347" s="2">
        <v>82623</v>
      </c>
      <c r="G347" s="2">
        <v>0</v>
      </c>
      <c r="H347" s="2">
        <v>0</v>
      </c>
      <c r="I347" s="5">
        <v>41588</v>
      </c>
      <c r="J347" s="2">
        <v>58</v>
      </c>
    </row>
    <row r="348" spans="1:10" ht="12.5">
      <c r="A348" s="2">
        <v>346</v>
      </c>
      <c r="B348" s="2">
        <v>8553</v>
      </c>
      <c r="C348" s="2">
        <v>1965</v>
      </c>
      <c r="D348" s="3" t="s">
        <v>9</v>
      </c>
      <c r="E348" s="3" t="s">
        <v>13</v>
      </c>
      <c r="F348" s="2">
        <v>44300</v>
      </c>
      <c r="G348" s="2">
        <v>1</v>
      </c>
      <c r="H348" s="2">
        <v>1</v>
      </c>
      <c r="I348" s="4">
        <v>41448</v>
      </c>
      <c r="J348" s="2">
        <v>65</v>
      </c>
    </row>
    <row r="349" spans="1:10" ht="12.5">
      <c r="A349" s="2">
        <v>347</v>
      </c>
      <c r="B349" s="2">
        <v>1826</v>
      </c>
      <c r="C349" s="2">
        <v>1970</v>
      </c>
      <c r="D349" s="3" t="s">
        <v>9</v>
      </c>
      <c r="E349" s="3" t="s">
        <v>15</v>
      </c>
      <c r="F349" s="2">
        <v>84835</v>
      </c>
      <c r="G349" s="2">
        <v>0</v>
      </c>
      <c r="H349" s="2">
        <v>0</v>
      </c>
      <c r="I349" s="4">
        <v>41806</v>
      </c>
      <c r="J349" s="2">
        <v>0</v>
      </c>
    </row>
    <row r="350" spans="1:10" ht="12.5">
      <c r="A350" s="2">
        <v>348</v>
      </c>
      <c r="B350" s="2">
        <v>8842</v>
      </c>
      <c r="C350" s="2">
        <v>1971</v>
      </c>
      <c r="D350" s="3" t="s">
        <v>9</v>
      </c>
      <c r="E350" s="3" t="s">
        <v>18</v>
      </c>
      <c r="F350" s="2">
        <v>30372</v>
      </c>
      <c r="G350" s="2">
        <v>1</v>
      </c>
      <c r="H350" s="2">
        <v>1</v>
      </c>
      <c r="I350" s="5">
        <v>41268</v>
      </c>
      <c r="J350" s="2">
        <v>33</v>
      </c>
    </row>
    <row r="351" spans="1:10" ht="12.5">
      <c r="A351" s="2">
        <v>349</v>
      </c>
      <c r="B351" s="2">
        <v>11030</v>
      </c>
      <c r="C351" s="2">
        <v>1976</v>
      </c>
      <c r="D351" s="3" t="s">
        <v>14</v>
      </c>
      <c r="E351" s="3" t="s">
        <v>13</v>
      </c>
      <c r="F351" s="2">
        <v>33181</v>
      </c>
      <c r="G351" s="2">
        <v>1</v>
      </c>
      <c r="H351" s="2">
        <v>0</v>
      </c>
      <c r="I351" s="4">
        <v>41642</v>
      </c>
      <c r="J351" s="2">
        <v>90</v>
      </c>
    </row>
    <row r="352" spans="1:10" ht="12.5">
      <c r="A352" s="2">
        <v>350</v>
      </c>
      <c r="B352" s="2">
        <v>2579</v>
      </c>
      <c r="C352" s="2">
        <v>1957</v>
      </c>
      <c r="D352" s="3" t="s">
        <v>9</v>
      </c>
      <c r="E352" s="3" t="s">
        <v>13</v>
      </c>
      <c r="F352" s="2">
        <v>71113</v>
      </c>
      <c r="G352" s="2">
        <v>0</v>
      </c>
      <c r="H352" s="2">
        <v>1</v>
      </c>
      <c r="I352" s="5">
        <v>41625</v>
      </c>
      <c r="J352" s="2">
        <v>95</v>
      </c>
    </row>
    <row r="353" spans="1:10" ht="12.5">
      <c r="A353" s="2">
        <v>351</v>
      </c>
      <c r="B353" s="2">
        <v>175</v>
      </c>
      <c r="C353" s="2">
        <v>1986</v>
      </c>
      <c r="D353" s="3" t="s">
        <v>9</v>
      </c>
      <c r="E353" s="3" t="s">
        <v>13</v>
      </c>
      <c r="F353" s="2">
        <v>71952</v>
      </c>
      <c r="G353" s="2">
        <v>1</v>
      </c>
      <c r="H353" s="2">
        <v>0</v>
      </c>
      <c r="I353" s="4">
        <v>41284</v>
      </c>
      <c r="J353" s="2">
        <v>93</v>
      </c>
    </row>
    <row r="354" spans="1:10" ht="12.5">
      <c r="A354" s="2">
        <v>352</v>
      </c>
      <c r="B354" s="2">
        <v>9185</v>
      </c>
      <c r="C354" s="2">
        <v>1966</v>
      </c>
      <c r="D354" s="3" t="s">
        <v>12</v>
      </c>
      <c r="E354" s="3" t="s">
        <v>10</v>
      </c>
      <c r="F354" s="2">
        <v>69759</v>
      </c>
      <c r="G354" s="2">
        <v>0</v>
      </c>
      <c r="H354" s="2">
        <v>0</v>
      </c>
      <c r="I354" s="5">
        <v>41575</v>
      </c>
      <c r="J354" s="2">
        <v>38</v>
      </c>
    </row>
    <row r="355" spans="1:10" ht="12.5">
      <c r="A355" s="2">
        <v>353</v>
      </c>
      <c r="B355" s="2">
        <v>11056</v>
      </c>
      <c r="C355" s="2">
        <v>1974</v>
      </c>
      <c r="D355" s="3" t="s">
        <v>9</v>
      </c>
      <c r="E355" s="3" t="s">
        <v>13</v>
      </c>
      <c r="F355" s="2">
        <v>72099</v>
      </c>
      <c r="G355" s="2">
        <v>0</v>
      </c>
      <c r="H355" s="2">
        <v>0</v>
      </c>
      <c r="I355" s="5">
        <v>41209</v>
      </c>
      <c r="J355" s="2">
        <v>18</v>
      </c>
    </row>
    <row r="356" spans="1:10" ht="12.5">
      <c r="A356" s="2">
        <v>354</v>
      </c>
      <c r="B356" s="2">
        <v>9365</v>
      </c>
      <c r="C356" s="2">
        <v>1976</v>
      </c>
      <c r="D356" s="3" t="s">
        <v>12</v>
      </c>
      <c r="E356" s="3" t="s">
        <v>10</v>
      </c>
      <c r="F356" s="2">
        <v>60000</v>
      </c>
      <c r="G356" s="2">
        <v>0</v>
      </c>
      <c r="H356" s="2">
        <v>1</v>
      </c>
      <c r="I356" s="5">
        <v>41265</v>
      </c>
      <c r="J356" s="2">
        <v>57</v>
      </c>
    </row>
    <row r="357" spans="1:10" ht="12.5">
      <c r="A357" s="2">
        <v>355</v>
      </c>
      <c r="B357" s="2">
        <v>6201</v>
      </c>
      <c r="C357" s="2">
        <v>1978</v>
      </c>
      <c r="D357" s="3" t="s">
        <v>9</v>
      </c>
      <c r="E357" s="3" t="s">
        <v>10</v>
      </c>
      <c r="F357" s="2">
        <v>38643</v>
      </c>
      <c r="G357" s="2">
        <v>1</v>
      </c>
      <c r="H357" s="2">
        <v>1</v>
      </c>
      <c r="I357" s="5">
        <v>41607</v>
      </c>
      <c r="J357" s="2">
        <v>45</v>
      </c>
    </row>
    <row r="358" spans="1:10" ht="12.5">
      <c r="A358" s="2">
        <v>356</v>
      </c>
      <c r="B358" s="2">
        <v>2061</v>
      </c>
      <c r="C358" s="2">
        <v>1955</v>
      </c>
      <c r="D358" s="3" t="s">
        <v>9</v>
      </c>
      <c r="E358" s="3" t="s">
        <v>13</v>
      </c>
      <c r="F358" s="2">
        <v>50737</v>
      </c>
      <c r="G358" s="2">
        <v>0</v>
      </c>
      <c r="H358" s="2">
        <v>1</v>
      </c>
      <c r="I358" s="4">
        <v>41405</v>
      </c>
      <c r="J358" s="2">
        <v>61</v>
      </c>
    </row>
    <row r="359" spans="1:10" ht="12.5">
      <c r="A359" s="2">
        <v>357</v>
      </c>
      <c r="B359" s="2">
        <v>6184</v>
      </c>
      <c r="C359" s="2">
        <v>1969</v>
      </c>
      <c r="D359" s="3" t="s">
        <v>12</v>
      </c>
      <c r="E359" s="3" t="s">
        <v>13</v>
      </c>
      <c r="F359" s="2">
        <v>68462</v>
      </c>
      <c r="G359" s="2">
        <v>0</v>
      </c>
      <c r="H359" s="2">
        <v>0</v>
      </c>
      <c r="I359" s="5">
        <v>41255</v>
      </c>
      <c r="J359" s="2">
        <v>6</v>
      </c>
    </row>
    <row r="360" spans="1:10" ht="12.5">
      <c r="A360" s="2">
        <v>358</v>
      </c>
      <c r="B360" s="2">
        <v>6142</v>
      </c>
      <c r="C360" s="2">
        <v>1943</v>
      </c>
      <c r="D360" s="3" t="s">
        <v>14</v>
      </c>
      <c r="E360" s="3" t="s">
        <v>13</v>
      </c>
      <c r="F360" s="2">
        <v>65073</v>
      </c>
      <c r="G360" s="2">
        <v>0</v>
      </c>
      <c r="H360" s="2">
        <v>0</v>
      </c>
      <c r="I360" s="4">
        <v>41506</v>
      </c>
      <c r="J360" s="2">
        <v>65</v>
      </c>
    </row>
    <row r="361" spans="1:10" ht="12.5">
      <c r="A361" s="2">
        <v>359</v>
      </c>
      <c r="B361" s="2">
        <v>4107</v>
      </c>
      <c r="C361" s="2">
        <v>1948</v>
      </c>
      <c r="D361" s="3" t="s">
        <v>12</v>
      </c>
      <c r="E361" s="3" t="s">
        <v>11</v>
      </c>
      <c r="F361" s="2">
        <v>46681</v>
      </c>
      <c r="G361" s="2">
        <v>0</v>
      </c>
      <c r="H361" s="2">
        <v>2</v>
      </c>
      <c r="I361" s="4">
        <v>41555</v>
      </c>
      <c r="J361" s="2">
        <v>52</v>
      </c>
    </row>
    <row r="362" spans="1:10" ht="12.5">
      <c r="A362" s="2">
        <v>360</v>
      </c>
      <c r="B362" s="2">
        <v>7274</v>
      </c>
      <c r="C362" s="2">
        <v>1957</v>
      </c>
      <c r="D362" s="3" t="s">
        <v>9</v>
      </c>
      <c r="E362" s="3" t="s">
        <v>13</v>
      </c>
      <c r="F362" s="2">
        <v>78618</v>
      </c>
      <c r="G362" s="2">
        <v>0</v>
      </c>
      <c r="H362" s="2">
        <v>0</v>
      </c>
      <c r="I362" s="4">
        <v>41180</v>
      </c>
      <c r="J362" s="2">
        <v>87</v>
      </c>
    </row>
    <row r="363" spans="1:10" ht="12.5">
      <c r="A363" s="2">
        <v>361</v>
      </c>
      <c r="B363" s="2">
        <v>9336</v>
      </c>
      <c r="C363" s="2">
        <v>1969</v>
      </c>
      <c r="D363" s="3" t="s">
        <v>12</v>
      </c>
      <c r="E363" s="3" t="s">
        <v>18</v>
      </c>
      <c r="F363" s="2">
        <v>62187</v>
      </c>
      <c r="G363" s="2">
        <v>0</v>
      </c>
      <c r="H363" s="2">
        <v>1</v>
      </c>
      <c r="I363" s="4">
        <v>41720</v>
      </c>
      <c r="J363" s="2">
        <v>38</v>
      </c>
    </row>
    <row r="364" spans="1:10" ht="12.5">
      <c r="A364" s="2">
        <v>362</v>
      </c>
      <c r="B364" s="2">
        <v>2958</v>
      </c>
      <c r="C364" s="2">
        <v>1978</v>
      </c>
      <c r="D364" s="3" t="s">
        <v>9</v>
      </c>
      <c r="E364" s="3" t="s">
        <v>13</v>
      </c>
      <c r="F364" s="2">
        <v>28442</v>
      </c>
      <c r="G364" s="2">
        <v>2</v>
      </c>
      <c r="H364" s="2">
        <v>0</v>
      </c>
      <c r="I364" s="4">
        <v>41694</v>
      </c>
      <c r="J364" s="2">
        <v>53</v>
      </c>
    </row>
    <row r="365" spans="1:10" ht="12.5">
      <c r="A365" s="2">
        <v>363</v>
      </c>
      <c r="B365" s="2">
        <v>933</v>
      </c>
      <c r="C365" s="2">
        <v>1978</v>
      </c>
      <c r="D365" s="3" t="s">
        <v>12</v>
      </c>
      <c r="E365" s="3" t="s">
        <v>13</v>
      </c>
      <c r="F365" s="2">
        <v>37717</v>
      </c>
      <c r="G365" s="2">
        <v>1</v>
      </c>
      <c r="H365" s="2">
        <v>0</v>
      </c>
      <c r="I365" s="5">
        <v>41236</v>
      </c>
      <c r="J365" s="2">
        <v>31</v>
      </c>
    </row>
    <row r="366" spans="1:10" ht="12.5">
      <c r="A366" s="2">
        <v>364</v>
      </c>
      <c r="B366" s="2">
        <v>5837</v>
      </c>
      <c r="C366" s="2">
        <v>1967</v>
      </c>
      <c r="D366" s="3" t="s">
        <v>9</v>
      </c>
      <c r="E366" s="3" t="s">
        <v>13</v>
      </c>
      <c r="F366" s="2">
        <v>51479</v>
      </c>
      <c r="G366" s="2">
        <v>1</v>
      </c>
      <c r="H366" s="2">
        <v>1</v>
      </c>
      <c r="I366" s="5">
        <v>41271</v>
      </c>
      <c r="J366" s="2">
        <v>67</v>
      </c>
    </row>
    <row r="367" spans="1:10" ht="12.5">
      <c r="A367" s="2">
        <v>365</v>
      </c>
      <c r="B367" s="2">
        <v>10704</v>
      </c>
      <c r="C367" s="2">
        <v>1969</v>
      </c>
      <c r="D367" s="3" t="s">
        <v>9</v>
      </c>
      <c r="E367" s="3" t="s">
        <v>10</v>
      </c>
      <c r="F367" s="2">
        <v>54803</v>
      </c>
      <c r="G367" s="2">
        <v>0</v>
      </c>
      <c r="H367" s="2">
        <v>1</v>
      </c>
      <c r="I367" s="4">
        <v>41142</v>
      </c>
      <c r="J367" s="2">
        <v>65</v>
      </c>
    </row>
    <row r="368" spans="1:10" ht="12.5">
      <c r="A368" s="2">
        <v>366</v>
      </c>
      <c r="B368" s="2">
        <v>5125</v>
      </c>
      <c r="C368" s="2">
        <v>1960</v>
      </c>
      <c r="D368" s="3" t="s">
        <v>9</v>
      </c>
      <c r="E368" s="3" t="s">
        <v>13</v>
      </c>
      <c r="F368" s="2">
        <v>79530</v>
      </c>
      <c r="G368" s="2">
        <v>0</v>
      </c>
      <c r="H368" s="2">
        <v>0</v>
      </c>
      <c r="I368" s="4">
        <v>41411</v>
      </c>
      <c r="J368" s="2">
        <v>64</v>
      </c>
    </row>
    <row r="369" spans="1:10" ht="12.5">
      <c r="A369" s="2">
        <v>367</v>
      </c>
      <c r="B369" s="2">
        <v>4432</v>
      </c>
      <c r="C369" s="2">
        <v>1976</v>
      </c>
      <c r="D369" s="3" t="s">
        <v>9</v>
      </c>
      <c r="E369" s="3" t="s">
        <v>15</v>
      </c>
      <c r="F369" s="2">
        <v>31615</v>
      </c>
      <c r="G369" s="2">
        <v>1</v>
      </c>
      <c r="H369" s="2">
        <v>0</v>
      </c>
      <c r="I369" s="4">
        <v>41349</v>
      </c>
      <c r="J369" s="2">
        <v>82</v>
      </c>
    </row>
    <row r="370" spans="1:10" ht="12.5">
      <c r="A370" s="2">
        <v>368</v>
      </c>
      <c r="B370" s="2">
        <v>5955</v>
      </c>
      <c r="C370" s="2">
        <v>1962</v>
      </c>
      <c r="D370" s="3" t="s">
        <v>9</v>
      </c>
      <c r="E370" s="3" t="s">
        <v>11</v>
      </c>
      <c r="F370" s="2">
        <v>72025</v>
      </c>
      <c r="G370" s="2">
        <v>0</v>
      </c>
      <c r="H370" s="2">
        <v>0</v>
      </c>
      <c r="I370" s="5">
        <v>41230</v>
      </c>
      <c r="J370" s="2">
        <v>27</v>
      </c>
    </row>
    <row r="371" spans="1:10" ht="12.5">
      <c r="A371" s="2">
        <v>369</v>
      </c>
      <c r="B371" s="2">
        <v>2928</v>
      </c>
      <c r="C371" s="2">
        <v>1975</v>
      </c>
      <c r="D371" s="3" t="s">
        <v>12</v>
      </c>
      <c r="E371" s="3" t="s">
        <v>10</v>
      </c>
      <c r="F371" s="2">
        <v>52614</v>
      </c>
      <c r="G371" s="2">
        <v>0</v>
      </c>
      <c r="H371" s="2">
        <v>1</v>
      </c>
      <c r="I371" s="4">
        <v>41244</v>
      </c>
      <c r="J371" s="2">
        <v>63</v>
      </c>
    </row>
    <row r="372" spans="1:10" ht="12.5">
      <c r="A372" s="2">
        <v>370</v>
      </c>
      <c r="B372" s="2">
        <v>5680</v>
      </c>
      <c r="C372" s="2">
        <v>1984</v>
      </c>
      <c r="D372" s="3" t="s">
        <v>17</v>
      </c>
      <c r="E372" s="3" t="s">
        <v>13</v>
      </c>
      <c r="F372" s="2">
        <v>35684</v>
      </c>
      <c r="G372" s="2">
        <v>1</v>
      </c>
      <c r="H372" s="2">
        <v>0</v>
      </c>
      <c r="I372" s="4">
        <v>41751</v>
      </c>
      <c r="J372" s="2">
        <v>66</v>
      </c>
    </row>
    <row r="373" spans="1:10" ht="12.5">
      <c r="A373" s="2">
        <v>371</v>
      </c>
      <c r="B373" s="2">
        <v>10313</v>
      </c>
      <c r="C373" s="2">
        <v>1975</v>
      </c>
      <c r="D373" s="3" t="s">
        <v>9</v>
      </c>
      <c r="E373" s="3" t="s">
        <v>13</v>
      </c>
      <c r="F373" s="2">
        <v>48178</v>
      </c>
      <c r="G373" s="2">
        <v>1</v>
      </c>
      <c r="H373" s="2">
        <v>1</v>
      </c>
      <c r="I373" s="5">
        <v>41210</v>
      </c>
      <c r="J373" s="2">
        <v>69</v>
      </c>
    </row>
    <row r="374" spans="1:10" ht="12.5">
      <c r="A374" s="2">
        <v>372</v>
      </c>
      <c r="B374" s="2">
        <v>2557</v>
      </c>
      <c r="C374" s="2">
        <v>1970</v>
      </c>
      <c r="D374" s="3" t="s">
        <v>14</v>
      </c>
      <c r="E374" s="3" t="s">
        <v>10</v>
      </c>
      <c r="F374" s="2">
        <v>29548</v>
      </c>
      <c r="G374" s="2">
        <v>1</v>
      </c>
      <c r="H374" s="2">
        <v>0</v>
      </c>
      <c r="I374" s="4">
        <v>41515</v>
      </c>
      <c r="J374" s="2">
        <v>52</v>
      </c>
    </row>
    <row r="375" spans="1:10" ht="12.5">
      <c r="A375" s="2">
        <v>373</v>
      </c>
      <c r="B375" s="2">
        <v>1245</v>
      </c>
      <c r="C375" s="2">
        <v>1966</v>
      </c>
      <c r="D375" s="3" t="s">
        <v>9</v>
      </c>
      <c r="E375" s="3" t="s">
        <v>10</v>
      </c>
      <c r="F375" s="2">
        <v>63810</v>
      </c>
      <c r="G375" s="2">
        <v>0</v>
      </c>
      <c r="H375" s="2">
        <v>1</v>
      </c>
      <c r="I375" s="5">
        <v>41224</v>
      </c>
      <c r="J375" s="2">
        <v>45</v>
      </c>
    </row>
    <row r="376" spans="1:10" ht="12.5">
      <c r="A376" s="2">
        <v>374</v>
      </c>
      <c r="B376" s="2">
        <v>1519</v>
      </c>
      <c r="C376" s="2">
        <v>1972</v>
      </c>
      <c r="D376" s="3" t="s">
        <v>12</v>
      </c>
      <c r="E376" s="3" t="s">
        <v>10</v>
      </c>
      <c r="F376" s="2">
        <v>38578</v>
      </c>
      <c r="G376" s="2">
        <v>1</v>
      </c>
      <c r="H376" s="2">
        <v>1</v>
      </c>
      <c r="I376" s="4">
        <v>41447</v>
      </c>
      <c r="J376" s="2">
        <v>2</v>
      </c>
    </row>
    <row r="377" spans="1:10" ht="12.5">
      <c r="A377" s="2">
        <v>375</v>
      </c>
      <c r="B377" s="2">
        <v>10703</v>
      </c>
      <c r="C377" s="2">
        <v>1975</v>
      </c>
      <c r="D377" s="3" t="s">
        <v>14</v>
      </c>
      <c r="E377" s="3" t="s">
        <v>10</v>
      </c>
      <c r="F377" s="2">
        <v>46098</v>
      </c>
      <c r="G377" s="2">
        <v>1</v>
      </c>
      <c r="H377" s="2">
        <v>1</v>
      </c>
      <c r="I377" s="4">
        <v>41139</v>
      </c>
      <c r="J377" s="2">
        <v>86</v>
      </c>
    </row>
    <row r="378" spans="1:10" ht="12.5">
      <c r="A378" s="2">
        <v>376</v>
      </c>
      <c r="B378" s="2">
        <v>1726</v>
      </c>
      <c r="C378" s="2">
        <v>1970</v>
      </c>
      <c r="D378" s="3" t="s">
        <v>9</v>
      </c>
      <c r="E378" s="3" t="s">
        <v>10</v>
      </c>
      <c r="F378" s="2">
        <v>22585</v>
      </c>
      <c r="G378" s="2">
        <v>0</v>
      </c>
      <c r="H378" s="2">
        <v>0</v>
      </c>
      <c r="I378" s="4">
        <v>41351</v>
      </c>
      <c r="J378" s="2">
        <v>23</v>
      </c>
    </row>
    <row r="379" spans="1:10" ht="12.5">
      <c r="A379" s="2">
        <v>377</v>
      </c>
      <c r="B379" s="2">
        <v>4459</v>
      </c>
      <c r="C379" s="2">
        <v>1989</v>
      </c>
      <c r="D379" s="3" t="s">
        <v>9</v>
      </c>
      <c r="E379" s="3" t="s">
        <v>10</v>
      </c>
      <c r="F379" s="2">
        <v>30279</v>
      </c>
      <c r="G379" s="2">
        <v>1</v>
      </c>
      <c r="H379" s="2">
        <v>0</v>
      </c>
      <c r="I379" s="5">
        <v>41273</v>
      </c>
      <c r="J379" s="2">
        <v>13</v>
      </c>
    </row>
    <row r="380" spans="1:10" ht="12.5">
      <c r="A380" s="2">
        <v>378</v>
      </c>
      <c r="B380" s="2">
        <v>1729</v>
      </c>
      <c r="C380" s="2">
        <v>1961</v>
      </c>
      <c r="D380" s="3" t="s">
        <v>12</v>
      </c>
      <c r="E380" s="3" t="s">
        <v>11</v>
      </c>
      <c r="F380" s="2">
        <v>66426</v>
      </c>
      <c r="G380" s="2">
        <v>0</v>
      </c>
      <c r="H380" s="2">
        <v>1</v>
      </c>
      <c r="I380" s="4">
        <v>41549</v>
      </c>
      <c r="J380" s="2">
        <v>14</v>
      </c>
    </row>
    <row r="381" spans="1:10" ht="12.5">
      <c r="A381" s="2">
        <v>379</v>
      </c>
      <c r="B381" s="2">
        <v>1517</v>
      </c>
      <c r="C381" s="2">
        <v>1969</v>
      </c>
      <c r="D381" s="3" t="s">
        <v>9</v>
      </c>
      <c r="E381" s="3" t="s">
        <v>10</v>
      </c>
      <c r="F381" s="2">
        <v>30822</v>
      </c>
      <c r="G381" s="2">
        <v>1</v>
      </c>
      <c r="H381" s="2">
        <v>0</v>
      </c>
      <c r="I381" s="4">
        <v>41439</v>
      </c>
      <c r="J381" s="2">
        <v>92</v>
      </c>
    </row>
    <row r="382" spans="1:10" ht="12.5">
      <c r="A382" s="2">
        <v>380</v>
      </c>
      <c r="B382" s="2">
        <v>2098</v>
      </c>
      <c r="C382" s="2">
        <v>1969</v>
      </c>
      <c r="D382" s="3" t="s">
        <v>12</v>
      </c>
      <c r="E382" s="3" t="s">
        <v>13</v>
      </c>
      <c r="F382" s="2">
        <v>33581</v>
      </c>
      <c r="G382" s="2">
        <v>2</v>
      </c>
      <c r="H382" s="2">
        <v>0</v>
      </c>
      <c r="I382" s="4">
        <v>41282</v>
      </c>
      <c r="J382" s="2">
        <v>38</v>
      </c>
    </row>
    <row r="383" spans="1:10" ht="12.5">
      <c r="A383" s="2">
        <v>381</v>
      </c>
      <c r="B383" s="2">
        <v>9543</v>
      </c>
      <c r="C383" s="2">
        <v>1985</v>
      </c>
      <c r="D383" s="3" t="s">
        <v>9</v>
      </c>
      <c r="E383" s="3" t="s">
        <v>13</v>
      </c>
      <c r="F383" s="2">
        <v>19986</v>
      </c>
      <c r="G383" s="2">
        <v>1</v>
      </c>
      <c r="H383" s="2">
        <v>0</v>
      </c>
      <c r="I383" s="5">
        <v>41592</v>
      </c>
      <c r="J383" s="2">
        <v>74</v>
      </c>
    </row>
    <row r="384" spans="1:10" ht="12.5">
      <c r="A384" s="2">
        <v>382</v>
      </c>
      <c r="B384" s="2">
        <v>6878</v>
      </c>
      <c r="C384" s="2">
        <v>1954</v>
      </c>
      <c r="D384" s="3" t="s">
        <v>9</v>
      </c>
      <c r="E384" s="3" t="s">
        <v>18</v>
      </c>
      <c r="F384" s="2">
        <v>27421</v>
      </c>
      <c r="G384" s="2">
        <v>0</v>
      </c>
      <c r="H384" s="2">
        <v>0</v>
      </c>
      <c r="I384" s="5">
        <v>41255</v>
      </c>
      <c r="J384" s="2">
        <v>14</v>
      </c>
    </row>
    <row r="385" spans="1:10" ht="12.5">
      <c r="A385" s="2">
        <v>383</v>
      </c>
      <c r="B385" s="2">
        <v>3310</v>
      </c>
      <c r="C385" s="2">
        <v>1973</v>
      </c>
      <c r="D385" s="3" t="s">
        <v>17</v>
      </c>
      <c r="E385" s="3" t="s">
        <v>13</v>
      </c>
      <c r="F385" s="2">
        <v>35688</v>
      </c>
      <c r="G385" s="2">
        <v>2</v>
      </c>
      <c r="H385" s="2">
        <v>1</v>
      </c>
      <c r="I385" s="4">
        <v>41143</v>
      </c>
      <c r="J385" s="2">
        <v>94</v>
      </c>
    </row>
    <row r="386" spans="1:10" ht="12.5">
      <c r="A386" s="2">
        <v>384</v>
      </c>
      <c r="B386" s="2">
        <v>2724</v>
      </c>
      <c r="C386" s="2">
        <v>1981</v>
      </c>
      <c r="D386" s="3" t="s">
        <v>14</v>
      </c>
      <c r="E386" s="3" t="s">
        <v>10</v>
      </c>
      <c r="F386" s="2">
        <v>36143</v>
      </c>
      <c r="G386" s="2">
        <v>1</v>
      </c>
      <c r="H386" s="2">
        <v>0</v>
      </c>
      <c r="I386" s="4">
        <v>41728</v>
      </c>
      <c r="J386" s="2">
        <v>33</v>
      </c>
    </row>
    <row r="387" spans="1:10" ht="12.5">
      <c r="A387" s="2">
        <v>385</v>
      </c>
      <c r="B387" s="2">
        <v>948</v>
      </c>
      <c r="C387" s="2">
        <v>1971</v>
      </c>
      <c r="D387" s="3" t="s">
        <v>9</v>
      </c>
      <c r="E387" s="3" t="s">
        <v>10</v>
      </c>
      <c r="F387" s="2">
        <v>10245</v>
      </c>
      <c r="G387" s="2">
        <v>1</v>
      </c>
      <c r="H387" s="2">
        <v>0</v>
      </c>
      <c r="I387" s="4">
        <v>41409</v>
      </c>
      <c r="J387" s="2">
        <v>32</v>
      </c>
    </row>
    <row r="388" spans="1:10" ht="12.5">
      <c r="A388" s="2">
        <v>386</v>
      </c>
      <c r="B388" s="2">
        <v>6720</v>
      </c>
      <c r="C388" s="2">
        <v>1968</v>
      </c>
      <c r="D388" s="3" t="s">
        <v>14</v>
      </c>
      <c r="E388" s="3" t="s">
        <v>11</v>
      </c>
      <c r="F388" s="2">
        <v>43795</v>
      </c>
      <c r="G388" s="2">
        <v>0</v>
      </c>
      <c r="H388" s="2">
        <v>1</v>
      </c>
      <c r="I388" s="5">
        <v>41563</v>
      </c>
      <c r="J388" s="2">
        <v>11</v>
      </c>
    </row>
    <row r="389" spans="1:10" ht="12.5">
      <c r="A389" s="2">
        <v>387</v>
      </c>
      <c r="B389" s="2">
        <v>6202</v>
      </c>
      <c r="C389" s="2">
        <v>1960</v>
      </c>
      <c r="D389" s="3" t="s">
        <v>9</v>
      </c>
      <c r="E389" s="3" t="s">
        <v>11</v>
      </c>
      <c r="F389" s="2">
        <v>63381</v>
      </c>
      <c r="G389" s="2">
        <v>0</v>
      </c>
      <c r="H389" s="2">
        <v>1</v>
      </c>
      <c r="I389" s="4">
        <v>41187</v>
      </c>
      <c r="J389" s="2">
        <v>78</v>
      </c>
    </row>
    <row r="390" spans="1:10" ht="12.5">
      <c r="A390" s="2">
        <v>388</v>
      </c>
      <c r="B390" s="2">
        <v>2066</v>
      </c>
      <c r="C390" s="2">
        <v>1949</v>
      </c>
      <c r="D390" s="3" t="s">
        <v>9</v>
      </c>
      <c r="E390" s="3" t="s">
        <v>11</v>
      </c>
      <c r="F390" s="2">
        <v>38823</v>
      </c>
      <c r="G390" s="2">
        <v>0</v>
      </c>
      <c r="H390" s="2">
        <v>1</v>
      </c>
      <c r="I390" s="4">
        <v>41151</v>
      </c>
      <c r="J390" s="2">
        <v>56</v>
      </c>
    </row>
    <row r="391" spans="1:10" ht="12.5">
      <c r="A391" s="2">
        <v>389</v>
      </c>
      <c r="B391" s="2">
        <v>9799</v>
      </c>
      <c r="C391" s="2">
        <v>1968</v>
      </c>
      <c r="D391" s="3" t="s">
        <v>12</v>
      </c>
      <c r="E391" s="3" t="s">
        <v>15</v>
      </c>
      <c r="F391" s="2">
        <v>83664</v>
      </c>
      <c r="G391" s="2">
        <v>1</v>
      </c>
      <c r="H391" s="2">
        <v>1</v>
      </c>
      <c r="I391" s="4">
        <v>41402</v>
      </c>
      <c r="J391" s="2">
        <v>57</v>
      </c>
    </row>
    <row r="392" spans="1:10" ht="12.5">
      <c r="A392" s="2">
        <v>390</v>
      </c>
      <c r="B392" s="2">
        <v>8318</v>
      </c>
      <c r="C392" s="2">
        <v>1979</v>
      </c>
      <c r="D392" s="3" t="s">
        <v>9</v>
      </c>
      <c r="E392" s="3" t="s">
        <v>11</v>
      </c>
      <c r="F392" s="2">
        <v>90300</v>
      </c>
      <c r="G392" s="2">
        <v>0</v>
      </c>
      <c r="H392" s="2">
        <v>0</v>
      </c>
      <c r="I392" s="4">
        <v>41642</v>
      </c>
      <c r="J392" s="2">
        <v>7</v>
      </c>
    </row>
    <row r="393" spans="1:10" ht="12.5">
      <c r="A393" s="2">
        <v>391</v>
      </c>
      <c r="B393" s="2">
        <v>5642</v>
      </c>
      <c r="C393" s="2">
        <v>1979</v>
      </c>
      <c r="D393" s="3" t="s">
        <v>14</v>
      </c>
      <c r="E393" s="3" t="s">
        <v>11</v>
      </c>
      <c r="F393" s="2">
        <v>62499</v>
      </c>
      <c r="G393" s="2">
        <v>1</v>
      </c>
      <c r="H393" s="2">
        <v>0</v>
      </c>
      <c r="I393" s="4">
        <v>41617</v>
      </c>
      <c r="J393" s="2">
        <v>0</v>
      </c>
    </row>
    <row r="394" spans="1:10" ht="12.5">
      <c r="A394" s="2">
        <v>392</v>
      </c>
      <c r="B394" s="2">
        <v>2669</v>
      </c>
      <c r="C394" s="2">
        <v>1993</v>
      </c>
      <c r="D394" s="3" t="s">
        <v>9</v>
      </c>
      <c r="E394" s="3" t="s">
        <v>10</v>
      </c>
      <c r="F394" s="2">
        <v>74293</v>
      </c>
      <c r="G394" s="2">
        <v>0</v>
      </c>
      <c r="H394" s="2">
        <v>0</v>
      </c>
      <c r="I394" s="4">
        <v>41763</v>
      </c>
      <c r="J394" s="2">
        <v>66</v>
      </c>
    </row>
    <row r="395" spans="1:10" ht="12.5">
      <c r="A395" s="2">
        <v>393</v>
      </c>
      <c r="B395" s="2">
        <v>455</v>
      </c>
      <c r="C395" s="2">
        <v>1946</v>
      </c>
      <c r="D395" s="3" t="s">
        <v>12</v>
      </c>
      <c r="E395" s="3" t="s">
        <v>13</v>
      </c>
      <c r="F395" s="2">
        <v>51012</v>
      </c>
      <c r="G395" s="2">
        <v>0</v>
      </c>
      <c r="H395" s="2">
        <v>0</v>
      </c>
      <c r="I395" s="4">
        <v>41382</v>
      </c>
      <c r="J395" s="2">
        <v>86</v>
      </c>
    </row>
    <row r="396" spans="1:10" ht="12.5">
      <c r="A396" s="2">
        <v>394</v>
      </c>
      <c r="B396" s="2">
        <v>7683</v>
      </c>
      <c r="C396" s="2">
        <v>1968</v>
      </c>
      <c r="D396" s="3" t="s">
        <v>14</v>
      </c>
      <c r="E396" s="3" t="s">
        <v>13</v>
      </c>
      <c r="F396" s="2">
        <v>70777</v>
      </c>
      <c r="G396" s="2">
        <v>0</v>
      </c>
      <c r="H396" s="2">
        <v>1</v>
      </c>
      <c r="I396" s="4">
        <v>41695</v>
      </c>
      <c r="J396" s="2">
        <v>80</v>
      </c>
    </row>
    <row r="397" spans="1:10" ht="12.5">
      <c r="A397" s="2">
        <v>395</v>
      </c>
      <c r="B397" s="2">
        <v>3428</v>
      </c>
      <c r="C397" s="2">
        <v>1991</v>
      </c>
      <c r="D397" s="3" t="s">
        <v>12</v>
      </c>
      <c r="E397" s="3" t="s">
        <v>11</v>
      </c>
      <c r="F397" s="2">
        <v>68682</v>
      </c>
      <c r="G397" s="2">
        <v>0</v>
      </c>
      <c r="H397" s="2">
        <v>0</v>
      </c>
      <c r="I397" s="4">
        <v>41553</v>
      </c>
      <c r="J397" s="2">
        <v>56</v>
      </c>
    </row>
    <row r="398" spans="1:10" ht="12.5">
      <c r="A398" s="2">
        <v>396</v>
      </c>
      <c r="B398" s="2">
        <v>7414</v>
      </c>
      <c r="C398" s="2">
        <v>1971</v>
      </c>
      <c r="D398" s="3" t="s">
        <v>9</v>
      </c>
      <c r="E398" s="3" t="s">
        <v>13</v>
      </c>
      <c r="F398" s="2">
        <v>43824</v>
      </c>
      <c r="G398" s="2">
        <v>1</v>
      </c>
      <c r="H398" s="2">
        <v>1</v>
      </c>
      <c r="I398" s="4">
        <v>41167</v>
      </c>
      <c r="J398" s="2">
        <v>18</v>
      </c>
    </row>
    <row r="399" spans="1:10" ht="12.5">
      <c r="A399" s="2">
        <v>397</v>
      </c>
      <c r="B399" s="2">
        <v>6354</v>
      </c>
      <c r="C399" s="2">
        <v>1984</v>
      </c>
      <c r="D399" s="3" t="s">
        <v>9</v>
      </c>
      <c r="E399" s="3" t="s">
        <v>11</v>
      </c>
      <c r="F399" s="2">
        <v>15345</v>
      </c>
      <c r="G399" s="2">
        <v>1</v>
      </c>
      <c r="H399" s="2">
        <v>0</v>
      </c>
      <c r="I399" s="4">
        <v>41152</v>
      </c>
      <c r="J399" s="2">
        <v>51</v>
      </c>
    </row>
    <row r="400" spans="1:10" ht="12.5">
      <c r="A400" s="2">
        <v>398</v>
      </c>
      <c r="B400" s="2">
        <v>798</v>
      </c>
      <c r="C400" s="2">
        <v>1987</v>
      </c>
      <c r="D400" s="3" t="s">
        <v>9</v>
      </c>
      <c r="E400" s="3" t="s">
        <v>10</v>
      </c>
      <c r="F400" s="2">
        <v>23442</v>
      </c>
      <c r="G400" s="2">
        <v>1</v>
      </c>
      <c r="H400" s="2">
        <v>0</v>
      </c>
      <c r="I400" s="5">
        <v>41267</v>
      </c>
      <c r="J400" s="2">
        <v>71</v>
      </c>
    </row>
    <row r="401" spans="1:10" ht="12.5">
      <c r="A401" s="2">
        <v>399</v>
      </c>
      <c r="B401" s="2">
        <v>8213</v>
      </c>
      <c r="C401" s="2">
        <v>1980</v>
      </c>
      <c r="D401" s="3" t="s">
        <v>17</v>
      </c>
      <c r="E401" s="3" t="s">
        <v>11</v>
      </c>
      <c r="F401" s="2">
        <v>14515</v>
      </c>
      <c r="G401" s="2">
        <v>1</v>
      </c>
      <c r="H401" s="2">
        <v>0</v>
      </c>
      <c r="I401" s="4">
        <v>41222</v>
      </c>
      <c r="J401" s="2">
        <v>71</v>
      </c>
    </row>
    <row r="402" spans="1:10" ht="12.5">
      <c r="A402" s="2">
        <v>400</v>
      </c>
      <c r="B402" s="2">
        <v>2488</v>
      </c>
      <c r="C402" s="2">
        <v>1956</v>
      </c>
      <c r="D402" s="3" t="s">
        <v>17</v>
      </c>
      <c r="E402" s="3" t="s">
        <v>15</v>
      </c>
      <c r="F402" s="2">
        <v>31395</v>
      </c>
      <c r="G402" s="2">
        <v>1</v>
      </c>
      <c r="H402" s="2">
        <v>1</v>
      </c>
      <c r="I402" s="4">
        <v>41356</v>
      </c>
      <c r="J402" s="2">
        <v>80</v>
      </c>
    </row>
    <row r="403" spans="1:10" ht="12.5">
      <c r="A403" s="2">
        <v>401</v>
      </c>
      <c r="B403" s="2">
        <v>9999</v>
      </c>
      <c r="C403" s="2">
        <v>1965</v>
      </c>
      <c r="D403" s="3" t="s">
        <v>9</v>
      </c>
      <c r="E403" s="3" t="s">
        <v>11</v>
      </c>
      <c r="F403" s="2">
        <v>75276</v>
      </c>
      <c r="G403" s="2">
        <v>0</v>
      </c>
      <c r="H403" s="2">
        <v>0</v>
      </c>
      <c r="I403" s="4">
        <v>41179</v>
      </c>
      <c r="J403" s="2">
        <v>2</v>
      </c>
    </row>
    <row r="404" spans="1:10" ht="12.5">
      <c r="A404" s="2">
        <v>402</v>
      </c>
      <c r="B404" s="2">
        <v>7617</v>
      </c>
      <c r="C404" s="2">
        <v>1974</v>
      </c>
      <c r="D404" s="3" t="s">
        <v>9</v>
      </c>
      <c r="E404" s="3" t="s">
        <v>10</v>
      </c>
      <c r="F404" s="2">
        <v>42373</v>
      </c>
      <c r="G404" s="2">
        <v>1</v>
      </c>
      <c r="H404" s="2">
        <v>1</v>
      </c>
      <c r="I404" s="4">
        <v>41501</v>
      </c>
      <c r="J404" s="2">
        <v>83</v>
      </c>
    </row>
    <row r="405" spans="1:10" ht="12.5">
      <c r="A405" s="2">
        <v>403</v>
      </c>
      <c r="B405" s="2">
        <v>615</v>
      </c>
      <c r="C405" s="2">
        <v>1960</v>
      </c>
      <c r="D405" s="3" t="s">
        <v>9</v>
      </c>
      <c r="E405" s="3" t="s">
        <v>11</v>
      </c>
      <c r="F405" s="2">
        <v>30507</v>
      </c>
      <c r="G405" s="2">
        <v>0</v>
      </c>
      <c r="H405" s="2">
        <v>0</v>
      </c>
      <c r="I405" s="4">
        <v>41344</v>
      </c>
      <c r="J405" s="2">
        <v>29</v>
      </c>
    </row>
    <row r="406" spans="1:10" ht="12.5">
      <c r="A406" s="2">
        <v>404</v>
      </c>
      <c r="B406" s="2">
        <v>2552</v>
      </c>
      <c r="C406" s="2">
        <v>1955</v>
      </c>
      <c r="D406" s="3" t="s">
        <v>12</v>
      </c>
      <c r="E406" s="3" t="s">
        <v>10</v>
      </c>
      <c r="F406" s="2">
        <v>55521</v>
      </c>
      <c r="G406" s="2">
        <v>1</v>
      </c>
      <c r="H406" s="2">
        <v>2</v>
      </c>
      <c r="I406" s="5">
        <v>41569</v>
      </c>
      <c r="J406" s="2">
        <v>11</v>
      </c>
    </row>
    <row r="407" spans="1:10" ht="12.5">
      <c r="A407" s="2">
        <v>405</v>
      </c>
      <c r="B407" s="2">
        <v>194</v>
      </c>
      <c r="C407" s="2">
        <v>1965</v>
      </c>
      <c r="D407" s="3" t="s">
        <v>9</v>
      </c>
      <c r="E407" s="3" t="s">
        <v>13</v>
      </c>
      <c r="F407" s="2">
        <v>48006</v>
      </c>
      <c r="G407" s="2">
        <v>1</v>
      </c>
      <c r="H407" s="2">
        <v>1</v>
      </c>
      <c r="I407" s="4">
        <v>41799</v>
      </c>
      <c r="J407" s="2">
        <v>55</v>
      </c>
    </row>
    <row r="408" spans="1:10" ht="12.5">
      <c r="A408" s="2">
        <v>406</v>
      </c>
      <c r="B408" s="2">
        <v>3645</v>
      </c>
      <c r="C408" s="2">
        <v>1972</v>
      </c>
      <c r="D408" s="3" t="s">
        <v>12</v>
      </c>
      <c r="E408" s="3" t="s">
        <v>10</v>
      </c>
      <c r="F408" s="2">
        <v>27213</v>
      </c>
      <c r="G408" s="2">
        <v>1</v>
      </c>
      <c r="H408" s="2">
        <v>0</v>
      </c>
      <c r="I408" s="4">
        <v>41151</v>
      </c>
      <c r="J408" s="2">
        <v>19</v>
      </c>
    </row>
    <row r="409" spans="1:10" ht="12.5">
      <c r="A409" s="2">
        <v>407</v>
      </c>
      <c r="B409" s="2">
        <v>8890</v>
      </c>
      <c r="C409" s="2">
        <v>1971</v>
      </c>
      <c r="D409" s="3" t="s">
        <v>12</v>
      </c>
      <c r="E409" s="3" t="s">
        <v>15</v>
      </c>
      <c r="F409" s="2">
        <v>65808</v>
      </c>
      <c r="G409" s="2">
        <v>1</v>
      </c>
      <c r="H409" s="2">
        <v>1</v>
      </c>
      <c r="I409" s="4">
        <v>41789</v>
      </c>
      <c r="J409" s="2">
        <v>1</v>
      </c>
    </row>
    <row r="410" spans="1:10" ht="12.5">
      <c r="A410" s="2">
        <v>408</v>
      </c>
      <c r="B410" s="2">
        <v>5049</v>
      </c>
      <c r="C410" s="2">
        <v>1974</v>
      </c>
      <c r="D410" s="3" t="s">
        <v>12</v>
      </c>
      <c r="E410" s="3" t="s">
        <v>11</v>
      </c>
      <c r="F410" s="2">
        <v>30351</v>
      </c>
      <c r="G410" s="2">
        <v>1</v>
      </c>
      <c r="H410" s="2">
        <v>0</v>
      </c>
      <c r="I410" s="4">
        <v>41431</v>
      </c>
      <c r="J410" s="2">
        <v>19</v>
      </c>
    </row>
    <row r="411" spans="1:10" ht="12.5">
      <c r="A411" s="2">
        <v>409</v>
      </c>
      <c r="B411" s="2">
        <v>9973</v>
      </c>
      <c r="C411" s="2">
        <v>1963</v>
      </c>
      <c r="D411" s="3" t="s">
        <v>9</v>
      </c>
      <c r="E411" s="3" t="s">
        <v>13</v>
      </c>
      <c r="F411" s="2">
        <v>50437</v>
      </c>
      <c r="G411" s="2">
        <v>0</v>
      </c>
      <c r="H411" s="2">
        <v>2</v>
      </c>
      <c r="I411" s="5">
        <v>41199</v>
      </c>
      <c r="J411" s="2">
        <v>28</v>
      </c>
    </row>
    <row r="412" spans="1:10" ht="12.5">
      <c r="A412" s="2">
        <v>410</v>
      </c>
      <c r="B412" s="2">
        <v>7301</v>
      </c>
      <c r="C412" s="2">
        <v>1982</v>
      </c>
      <c r="D412" s="3" t="s">
        <v>17</v>
      </c>
      <c r="E412" s="3" t="s">
        <v>10</v>
      </c>
      <c r="F412" s="2">
        <v>23616</v>
      </c>
      <c r="G412" s="2">
        <v>1</v>
      </c>
      <c r="H412" s="2">
        <v>0</v>
      </c>
      <c r="I412" s="5">
        <v>41230</v>
      </c>
      <c r="J412" s="2">
        <v>76</v>
      </c>
    </row>
    <row r="413" spans="1:10" ht="12.5">
      <c r="A413" s="2">
        <v>411</v>
      </c>
      <c r="B413" s="2">
        <v>10882</v>
      </c>
      <c r="C413" s="2">
        <v>1976</v>
      </c>
      <c r="D413" s="3" t="s">
        <v>9</v>
      </c>
      <c r="E413" s="3" t="s">
        <v>13</v>
      </c>
      <c r="F413" s="2">
        <v>53858</v>
      </c>
      <c r="G413" s="2">
        <v>0</v>
      </c>
      <c r="H413" s="2">
        <v>1</v>
      </c>
      <c r="I413" s="4">
        <v>41222</v>
      </c>
      <c r="J413" s="2">
        <v>50</v>
      </c>
    </row>
    <row r="414" spans="1:10" ht="12.5">
      <c r="A414" s="2">
        <v>412</v>
      </c>
      <c r="B414" s="2">
        <v>7030</v>
      </c>
      <c r="C414" s="2">
        <v>1955</v>
      </c>
      <c r="D414" s="3" t="s">
        <v>12</v>
      </c>
      <c r="E414" s="3" t="s">
        <v>13</v>
      </c>
      <c r="F414" s="2">
        <v>66465</v>
      </c>
      <c r="G414" s="2">
        <v>0</v>
      </c>
      <c r="H414" s="2">
        <v>1</v>
      </c>
      <c r="I414" s="4">
        <v>41363</v>
      </c>
      <c r="J414" s="2">
        <v>1</v>
      </c>
    </row>
    <row r="415" spans="1:10" ht="12.5">
      <c r="A415" s="2">
        <v>413</v>
      </c>
      <c r="B415" s="2">
        <v>7422</v>
      </c>
      <c r="C415" s="2">
        <v>1987</v>
      </c>
      <c r="D415" s="3" t="s">
        <v>9</v>
      </c>
      <c r="E415" s="3" t="s">
        <v>10</v>
      </c>
      <c r="F415" s="2">
        <v>46923</v>
      </c>
      <c r="G415" s="2">
        <v>1</v>
      </c>
      <c r="H415" s="2">
        <v>0</v>
      </c>
      <c r="I415" s="4">
        <v>41143</v>
      </c>
      <c r="J415" s="2">
        <v>90</v>
      </c>
    </row>
    <row r="416" spans="1:10" ht="12.5">
      <c r="A416" s="2">
        <v>414</v>
      </c>
      <c r="B416" s="2">
        <v>3523</v>
      </c>
      <c r="C416" s="2">
        <v>1962</v>
      </c>
      <c r="D416" s="3" t="s">
        <v>9</v>
      </c>
      <c r="E416" s="3" t="s">
        <v>11</v>
      </c>
      <c r="F416" s="2">
        <v>75072</v>
      </c>
      <c r="G416" s="2">
        <v>0</v>
      </c>
      <c r="H416" s="2">
        <v>1</v>
      </c>
      <c r="I416" s="4">
        <v>41297</v>
      </c>
      <c r="J416" s="2">
        <v>83</v>
      </c>
    </row>
    <row r="417" spans="1:10" ht="12.5">
      <c r="A417" s="2">
        <v>415</v>
      </c>
      <c r="B417" s="2">
        <v>7106</v>
      </c>
      <c r="C417" s="2">
        <v>1943</v>
      </c>
      <c r="D417" s="3" t="s">
        <v>12</v>
      </c>
      <c r="E417" s="3" t="s">
        <v>13</v>
      </c>
      <c r="F417" s="2">
        <v>75865</v>
      </c>
      <c r="G417" s="2">
        <v>0</v>
      </c>
      <c r="H417" s="2">
        <v>0</v>
      </c>
      <c r="I417" s="4">
        <v>41729</v>
      </c>
      <c r="J417" s="2">
        <v>73</v>
      </c>
    </row>
    <row r="418" spans="1:10" ht="12.5">
      <c r="A418" s="2">
        <v>416</v>
      </c>
      <c r="B418" s="2">
        <v>6504</v>
      </c>
      <c r="C418" s="2">
        <v>1975</v>
      </c>
      <c r="D418" s="3" t="s">
        <v>17</v>
      </c>
      <c r="E418" s="3" t="s">
        <v>11</v>
      </c>
      <c r="F418" s="2">
        <v>19789</v>
      </c>
      <c r="G418" s="2">
        <v>1</v>
      </c>
      <c r="H418" s="2">
        <v>0</v>
      </c>
      <c r="I418" s="5">
        <v>41598</v>
      </c>
      <c r="J418" s="2">
        <v>24</v>
      </c>
    </row>
    <row r="419" spans="1:10" ht="12.5">
      <c r="A419" s="2">
        <v>417</v>
      </c>
      <c r="B419" s="2">
        <v>5067</v>
      </c>
      <c r="C419" s="2">
        <v>1994</v>
      </c>
      <c r="D419" s="3" t="s">
        <v>9</v>
      </c>
      <c r="E419" s="3" t="s">
        <v>11</v>
      </c>
      <c r="F419" s="2">
        <v>80134</v>
      </c>
      <c r="G419" s="2">
        <v>0</v>
      </c>
      <c r="H419" s="2">
        <v>0</v>
      </c>
      <c r="I419" s="4">
        <v>41684</v>
      </c>
      <c r="J419" s="2">
        <v>11</v>
      </c>
    </row>
    <row r="420" spans="1:10" ht="12.5">
      <c r="A420" s="2">
        <v>418</v>
      </c>
      <c r="B420" s="2">
        <v>4216</v>
      </c>
      <c r="C420" s="2">
        <v>1981</v>
      </c>
      <c r="D420" s="3" t="s">
        <v>9</v>
      </c>
      <c r="E420" s="3" t="s">
        <v>10</v>
      </c>
      <c r="F420" s="2">
        <v>91065</v>
      </c>
      <c r="G420" s="2">
        <v>0</v>
      </c>
      <c r="H420" s="2">
        <v>0</v>
      </c>
      <c r="I420" s="4">
        <v>41327</v>
      </c>
      <c r="J420" s="2">
        <v>33</v>
      </c>
    </row>
    <row r="421" spans="1:10" ht="12.5">
      <c r="A421" s="2">
        <v>419</v>
      </c>
      <c r="B421" s="2">
        <v>8581</v>
      </c>
      <c r="C421" s="2">
        <v>1971</v>
      </c>
      <c r="D421" s="3" t="s">
        <v>14</v>
      </c>
      <c r="E421" s="3" t="s">
        <v>13</v>
      </c>
      <c r="F421" s="2">
        <v>49505</v>
      </c>
      <c r="G421" s="2">
        <v>1</v>
      </c>
      <c r="H421" s="2">
        <v>1</v>
      </c>
      <c r="I421" s="4">
        <v>41338</v>
      </c>
      <c r="J421" s="2">
        <v>4</v>
      </c>
    </row>
    <row r="422" spans="1:10" ht="12.5">
      <c r="A422" s="2">
        <v>420</v>
      </c>
      <c r="B422" s="2">
        <v>5929</v>
      </c>
      <c r="C422" s="2">
        <v>1973</v>
      </c>
      <c r="D422" s="3" t="s">
        <v>12</v>
      </c>
      <c r="E422" s="3" t="s">
        <v>13</v>
      </c>
      <c r="F422" s="2">
        <v>37401</v>
      </c>
      <c r="G422" s="2">
        <v>1</v>
      </c>
      <c r="H422" s="2">
        <v>0</v>
      </c>
      <c r="I422" s="4">
        <v>41765</v>
      </c>
      <c r="J422" s="2">
        <v>14</v>
      </c>
    </row>
    <row r="423" spans="1:10" ht="12.5">
      <c r="A423" s="2">
        <v>421</v>
      </c>
      <c r="B423" s="2">
        <v>3129</v>
      </c>
      <c r="C423" s="2">
        <v>1983</v>
      </c>
      <c r="D423" s="3" t="s">
        <v>9</v>
      </c>
      <c r="E423" s="3" t="s">
        <v>13</v>
      </c>
      <c r="F423" s="2">
        <v>30096</v>
      </c>
      <c r="G423" s="2">
        <v>1</v>
      </c>
      <c r="H423" s="2">
        <v>0</v>
      </c>
      <c r="I423" s="4">
        <v>41781</v>
      </c>
      <c r="J423" s="2">
        <v>30</v>
      </c>
    </row>
    <row r="424" spans="1:10" ht="12.5">
      <c r="A424" s="2">
        <v>422</v>
      </c>
      <c r="B424" s="2">
        <v>6528</v>
      </c>
      <c r="C424" s="2">
        <v>1982</v>
      </c>
      <c r="D424" s="3" t="s">
        <v>14</v>
      </c>
      <c r="E424" s="3" t="s">
        <v>11</v>
      </c>
      <c r="F424" s="2">
        <v>18492</v>
      </c>
      <c r="G424" s="2">
        <v>1</v>
      </c>
      <c r="H424" s="2">
        <v>0</v>
      </c>
      <c r="I424" s="4">
        <v>41795</v>
      </c>
      <c r="J424" s="2">
        <v>75</v>
      </c>
    </row>
    <row r="425" spans="1:10" ht="12.5">
      <c r="A425" s="2">
        <v>423</v>
      </c>
      <c r="B425" s="2">
        <v>1361</v>
      </c>
      <c r="C425" s="2">
        <v>1974</v>
      </c>
      <c r="D425" s="3" t="s">
        <v>14</v>
      </c>
      <c r="E425" s="3" t="s">
        <v>13</v>
      </c>
      <c r="F425" s="2">
        <v>82584</v>
      </c>
      <c r="G425" s="2">
        <v>0</v>
      </c>
      <c r="H425" s="2">
        <v>0</v>
      </c>
      <c r="I425" s="4">
        <v>41429</v>
      </c>
      <c r="J425" s="2">
        <v>26</v>
      </c>
    </row>
    <row r="426" spans="1:10" ht="12.5">
      <c r="A426" s="2">
        <v>424</v>
      </c>
      <c r="B426" s="2">
        <v>6932</v>
      </c>
      <c r="C426" s="2">
        <v>1941</v>
      </c>
      <c r="D426" s="3" t="s">
        <v>12</v>
      </c>
      <c r="E426" s="3" t="s">
        <v>13</v>
      </c>
      <c r="F426" s="2">
        <v>93027</v>
      </c>
      <c r="G426" s="2">
        <v>0</v>
      </c>
      <c r="H426" s="2">
        <v>0</v>
      </c>
      <c r="I426" s="4">
        <v>41377</v>
      </c>
      <c r="J426" s="2">
        <v>77</v>
      </c>
    </row>
    <row r="427" spans="1:10" ht="12.5">
      <c r="A427" s="2">
        <v>425</v>
      </c>
      <c r="B427" s="2">
        <v>7284</v>
      </c>
      <c r="C427" s="2">
        <v>1953</v>
      </c>
      <c r="D427" s="3" t="s">
        <v>9</v>
      </c>
      <c r="E427" s="3" t="s">
        <v>13</v>
      </c>
      <c r="F427" s="2">
        <v>48686</v>
      </c>
      <c r="G427" s="2">
        <v>1</v>
      </c>
      <c r="H427" s="2">
        <v>2</v>
      </c>
      <c r="I427" s="4">
        <v>41612</v>
      </c>
      <c r="J427" s="2">
        <v>8</v>
      </c>
    </row>
    <row r="428" spans="1:10" ht="12.5">
      <c r="A428" s="2">
        <v>426</v>
      </c>
      <c r="B428" s="2">
        <v>1340</v>
      </c>
      <c r="C428" s="2">
        <v>1986</v>
      </c>
      <c r="D428" s="3" t="s">
        <v>9</v>
      </c>
      <c r="E428" s="3" t="s">
        <v>13</v>
      </c>
      <c r="F428" s="2">
        <v>92910</v>
      </c>
      <c r="G428" s="2">
        <v>0</v>
      </c>
      <c r="H428" s="2">
        <v>0</v>
      </c>
      <c r="I428" s="4">
        <v>41753</v>
      </c>
      <c r="J428" s="2">
        <v>42</v>
      </c>
    </row>
    <row r="429" spans="1:10" ht="12.5">
      <c r="A429" s="2">
        <v>427</v>
      </c>
      <c r="B429" s="2">
        <v>8746</v>
      </c>
      <c r="C429" s="2">
        <v>1989</v>
      </c>
      <c r="D429" s="3" t="s">
        <v>9</v>
      </c>
      <c r="E429" s="3" t="s">
        <v>13</v>
      </c>
      <c r="F429" s="2">
        <v>75433</v>
      </c>
      <c r="G429" s="2">
        <v>1</v>
      </c>
      <c r="H429" s="2">
        <v>0</v>
      </c>
      <c r="I429" s="4">
        <v>41734</v>
      </c>
      <c r="J429" s="2">
        <v>28</v>
      </c>
    </row>
    <row r="430" spans="1:10" ht="12.5">
      <c r="A430" s="2">
        <v>428</v>
      </c>
      <c r="B430" s="2">
        <v>5987</v>
      </c>
      <c r="C430" s="2">
        <v>1989</v>
      </c>
      <c r="D430" s="3" t="s">
        <v>17</v>
      </c>
      <c r="E430" s="3" t="s">
        <v>11</v>
      </c>
      <c r="F430" s="2">
        <v>10404</v>
      </c>
      <c r="G430" s="2">
        <v>1</v>
      </c>
      <c r="H430" s="2">
        <v>0</v>
      </c>
      <c r="I430" s="4">
        <v>41763</v>
      </c>
      <c r="J430" s="2">
        <v>52</v>
      </c>
    </row>
    <row r="431" spans="1:10" ht="12.5">
      <c r="A431" s="2">
        <v>429</v>
      </c>
      <c r="B431" s="2">
        <v>3767</v>
      </c>
      <c r="C431" s="2">
        <v>1968</v>
      </c>
      <c r="D431" s="3" t="s">
        <v>9</v>
      </c>
      <c r="E431" s="3" t="s">
        <v>13</v>
      </c>
      <c r="F431" s="2">
        <v>61314</v>
      </c>
      <c r="G431" s="2">
        <v>0</v>
      </c>
      <c r="H431" s="2">
        <v>1</v>
      </c>
      <c r="I431" s="4">
        <v>41389</v>
      </c>
      <c r="J431" s="2">
        <v>1</v>
      </c>
    </row>
    <row r="432" spans="1:10" ht="12.5">
      <c r="A432" s="2">
        <v>430</v>
      </c>
      <c r="B432" s="2">
        <v>3725</v>
      </c>
      <c r="C432" s="2">
        <v>1961</v>
      </c>
      <c r="D432" s="3" t="s">
        <v>12</v>
      </c>
      <c r="E432" s="3" t="s">
        <v>10</v>
      </c>
      <c r="F432" s="2">
        <v>84865</v>
      </c>
      <c r="G432" s="2">
        <v>0</v>
      </c>
      <c r="H432" s="2">
        <v>0</v>
      </c>
      <c r="I432" s="4">
        <v>41403</v>
      </c>
      <c r="J432" s="2">
        <v>1</v>
      </c>
    </row>
    <row r="433" spans="1:10" ht="12.5">
      <c r="A433" s="2">
        <v>431</v>
      </c>
      <c r="B433" s="2">
        <v>4324</v>
      </c>
      <c r="C433" s="2">
        <v>1989</v>
      </c>
      <c r="D433" s="3" t="s">
        <v>9</v>
      </c>
      <c r="E433" s="3" t="s">
        <v>13</v>
      </c>
      <c r="F433" s="2">
        <v>42387</v>
      </c>
      <c r="G433" s="2">
        <v>1</v>
      </c>
      <c r="H433" s="2">
        <v>0</v>
      </c>
      <c r="I433" s="5">
        <v>41211</v>
      </c>
      <c r="J433" s="2">
        <v>42</v>
      </c>
    </row>
    <row r="434" spans="1:10" ht="12.5">
      <c r="A434" s="2">
        <v>432</v>
      </c>
      <c r="B434" s="2">
        <v>238</v>
      </c>
      <c r="C434" s="2">
        <v>1967</v>
      </c>
      <c r="D434" s="3" t="s">
        <v>17</v>
      </c>
      <c r="E434" s="3" t="s">
        <v>11</v>
      </c>
      <c r="F434" s="2">
        <v>67309</v>
      </c>
      <c r="G434" s="2">
        <v>1</v>
      </c>
      <c r="H434" s="2">
        <v>1</v>
      </c>
      <c r="I434" s="4">
        <v>41297</v>
      </c>
      <c r="J434" s="2">
        <v>76</v>
      </c>
    </row>
    <row r="435" spans="1:10" ht="12.5">
      <c r="A435" s="2">
        <v>433</v>
      </c>
      <c r="B435" s="2">
        <v>6694</v>
      </c>
      <c r="C435" s="2">
        <v>1964</v>
      </c>
      <c r="D435" s="3" t="s">
        <v>9</v>
      </c>
      <c r="E435" s="3" t="s">
        <v>13</v>
      </c>
      <c r="F435" s="2">
        <v>75236</v>
      </c>
      <c r="G435" s="2">
        <v>0</v>
      </c>
      <c r="H435" s="2">
        <v>1</v>
      </c>
      <c r="I435" s="5">
        <v>41603</v>
      </c>
      <c r="J435" s="2">
        <v>27</v>
      </c>
    </row>
    <row r="436" spans="1:10" ht="12.5">
      <c r="A436" s="2">
        <v>434</v>
      </c>
      <c r="B436" s="2">
        <v>498</v>
      </c>
      <c r="C436" s="2">
        <v>1970</v>
      </c>
      <c r="D436" s="3" t="s">
        <v>9</v>
      </c>
      <c r="E436" s="3" t="s">
        <v>10</v>
      </c>
      <c r="F436" s="2">
        <v>30015</v>
      </c>
      <c r="G436" s="2">
        <v>1</v>
      </c>
      <c r="H436" s="2">
        <v>0</v>
      </c>
      <c r="I436" s="4">
        <v>41672</v>
      </c>
      <c r="J436" s="2">
        <v>28</v>
      </c>
    </row>
    <row r="437" spans="1:10" ht="12.5">
      <c r="A437" s="2">
        <v>435</v>
      </c>
      <c r="B437" s="2">
        <v>9347</v>
      </c>
      <c r="C437" s="2">
        <v>1956</v>
      </c>
      <c r="D437" s="3" t="s">
        <v>14</v>
      </c>
      <c r="E437" s="3" t="s">
        <v>11</v>
      </c>
      <c r="F437" s="2">
        <v>50943</v>
      </c>
      <c r="G437" s="2">
        <v>0</v>
      </c>
      <c r="H437" s="2">
        <v>1</v>
      </c>
      <c r="I437" s="4">
        <v>41446</v>
      </c>
      <c r="J437" s="2">
        <v>49</v>
      </c>
    </row>
    <row r="438" spans="1:10" ht="12.5">
      <c r="A438" s="2">
        <v>436</v>
      </c>
      <c r="B438" s="2">
        <v>9699</v>
      </c>
      <c r="C438" s="2">
        <v>1966</v>
      </c>
      <c r="D438" s="3" t="s">
        <v>9</v>
      </c>
      <c r="E438" s="3" t="s">
        <v>15</v>
      </c>
      <c r="F438" s="2">
        <v>67272</v>
      </c>
      <c r="G438" s="2">
        <v>0</v>
      </c>
      <c r="H438" s="2">
        <v>1</v>
      </c>
      <c r="I438" s="5">
        <v>41629</v>
      </c>
      <c r="J438" s="2">
        <v>12</v>
      </c>
    </row>
    <row r="439" spans="1:10" ht="12.5">
      <c r="A439" s="2">
        <v>437</v>
      </c>
      <c r="B439" s="2">
        <v>10664</v>
      </c>
      <c r="C439" s="2">
        <v>1949</v>
      </c>
      <c r="D439" s="3" t="s">
        <v>14</v>
      </c>
      <c r="E439" s="3" t="s">
        <v>18</v>
      </c>
      <c r="F439" s="2">
        <v>51529</v>
      </c>
      <c r="G439" s="2">
        <v>0</v>
      </c>
      <c r="H439" s="2">
        <v>1</v>
      </c>
      <c r="I439" s="4">
        <v>41524</v>
      </c>
      <c r="J439" s="2">
        <v>14</v>
      </c>
    </row>
    <row r="440" spans="1:10" ht="12.5">
      <c r="A440" s="2">
        <v>438</v>
      </c>
      <c r="B440" s="2">
        <v>5455</v>
      </c>
      <c r="C440" s="2">
        <v>1971</v>
      </c>
      <c r="D440" s="3" t="s">
        <v>12</v>
      </c>
      <c r="E440" s="3" t="s">
        <v>13</v>
      </c>
      <c r="F440" s="2">
        <v>32011</v>
      </c>
      <c r="G440" s="2">
        <v>1</v>
      </c>
      <c r="H440" s="2">
        <v>0</v>
      </c>
      <c r="I440" s="4">
        <v>41508</v>
      </c>
      <c r="J440" s="2">
        <v>89</v>
      </c>
    </row>
    <row r="441" spans="1:10" ht="12.5">
      <c r="A441" s="2">
        <v>439</v>
      </c>
      <c r="B441" s="2">
        <v>456</v>
      </c>
      <c r="C441" s="2">
        <v>1986</v>
      </c>
      <c r="D441" s="3" t="s">
        <v>17</v>
      </c>
      <c r="E441" s="3" t="s">
        <v>13</v>
      </c>
      <c r="F441" s="2">
        <v>7500</v>
      </c>
      <c r="G441" s="2">
        <v>1</v>
      </c>
      <c r="H441" s="2">
        <v>0</v>
      </c>
      <c r="I441" s="4">
        <v>41312</v>
      </c>
      <c r="J441" s="2">
        <v>96</v>
      </c>
    </row>
    <row r="442" spans="1:10" ht="12.5">
      <c r="A442" s="2">
        <v>440</v>
      </c>
      <c r="B442" s="2">
        <v>5012</v>
      </c>
      <c r="C442" s="2">
        <v>1989</v>
      </c>
      <c r="D442" s="3" t="s">
        <v>9</v>
      </c>
      <c r="E442" s="3" t="s">
        <v>13</v>
      </c>
      <c r="F442" s="2">
        <v>28691</v>
      </c>
      <c r="G442" s="2">
        <v>1</v>
      </c>
      <c r="H442" s="2">
        <v>0</v>
      </c>
      <c r="I442" s="4">
        <v>41459</v>
      </c>
      <c r="J442" s="2">
        <v>56</v>
      </c>
    </row>
    <row r="443" spans="1:10" ht="12.5">
      <c r="A443" s="2">
        <v>441</v>
      </c>
      <c r="B443" s="2">
        <v>7495</v>
      </c>
      <c r="C443" s="2">
        <v>1948</v>
      </c>
      <c r="D443" s="3" t="s">
        <v>12</v>
      </c>
      <c r="E443" s="3" t="s">
        <v>13</v>
      </c>
      <c r="F443" s="2">
        <v>56223</v>
      </c>
      <c r="G443" s="2">
        <v>0</v>
      </c>
      <c r="H443" s="2">
        <v>1</v>
      </c>
      <c r="I443" s="5">
        <v>41628</v>
      </c>
      <c r="J443" s="2">
        <v>72</v>
      </c>
    </row>
    <row r="444" spans="1:10" ht="12.5">
      <c r="A444" s="2">
        <v>442</v>
      </c>
      <c r="B444" s="2">
        <v>5029</v>
      </c>
      <c r="C444" s="2">
        <v>1946</v>
      </c>
      <c r="D444" s="3" t="s">
        <v>9</v>
      </c>
      <c r="E444" s="3" t="s">
        <v>13</v>
      </c>
      <c r="F444" s="2">
        <v>18100</v>
      </c>
      <c r="G444" s="2">
        <v>0</v>
      </c>
      <c r="H444" s="2">
        <v>0</v>
      </c>
      <c r="I444" s="4">
        <v>41492</v>
      </c>
      <c r="J444" s="2">
        <v>14</v>
      </c>
    </row>
    <row r="445" spans="1:10" ht="12.5">
      <c r="A445" s="2">
        <v>443</v>
      </c>
      <c r="B445" s="2">
        <v>10642</v>
      </c>
      <c r="C445" s="2">
        <v>1989</v>
      </c>
      <c r="D445" s="3" t="s">
        <v>9</v>
      </c>
      <c r="E445" s="3" t="s">
        <v>10</v>
      </c>
      <c r="F445" s="2">
        <v>30279</v>
      </c>
      <c r="G445" s="2">
        <v>1</v>
      </c>
      <c r="H445" s="2">
        <v>0</v>
      </c>
      <c r="I445" s="5">
        <v>41273</v>
      </c>
      <c r="J445" s="2">
        <v>13</v>
      </c>
    </row>
    <row r="446" spans="1:10" ht="12.5">
      <c r="A446" s="2">
        <v>444</v>
      </c>
      <c r="B446" s="2">
        <v>2106</v>
      </c>
      <c r="C446" s="2">
        <v>1974</v>
      </c>
      <c r="D446" s="3" t="s">
        <v>17</v>
      </c>
      <c r="E446" s="3" t="s">
        <v>13</v>
      </c>
      <c r="F446" s="2">
        <v>20130</v>
      </c>
      <c r="G446" s="2">
        <v>0</v>
      </c>
      <c r="H446" s="2">
        <v>0</v>
      </c>
      <c r="I446" s="4">
        <v>41715</v>
      </c>
      <c r="J446" s="2">
        <v>99</v>
      </c>
    </row>
    <row r="447" spans="1:10" ht="12.5">
      <c r="A447" s="2">
        <v>445</v>
      </c>
      <c r="B447" s="2">
        <v>10364</v>
      </c>
      <c r="C447" s="2">
        <v>1959</v>
      </c>
      <c r="D447" s="3" t="s">
        <v>9</v>
      </c>
      <c r="E447" s="3" t="s">
        <v>15</v>
      </c>
      <c r="F447" s="2">
        <v>23295</v>
      </c>
      <c r="G447" s="2">
        <v>0</v>
      </c>
      <c r="H447" s="2">
        <v>0</v>
      </c>
      <c r="I447" s="4">
        <v>41468</v>
      </c>
      <c r="J447" s="2">
        <v>72</v>
      </c>
    </row>
    <row r="448" spans="1:10" ht="12.5">
      <c r="A448" s="2">
        <v>446</v>
      </c>
      <c r="B448" s="2">
        <v>5954</v>
      </c>
      <c r="C448" s="2">
        <v>1972</v>
      </c>
      <c r="D448" s="3" t="s">
        <v>14</v>
      </c>
      <c r="E448" s="3" t="s">
        <v>15</v>
      </c>
      <c r="F448" s="2">
        <v>42618</v>
      </c>
      <c r="G448" s="2">
        <v>1</v>
      </c>
      <c r="H448" s="2">
        <v>0</v>
      </c>
      <c r="I448" s="4">
        <v>41556</v>
      </c>
      <c r="J448" s="2">
        <v>92</v>
      </c>
    </row>
    <row r="449" spans="1:10" ht="12.5">
      <c r="A449" s="2">
        <v>447</v>
      </c>
      <c r="B449" s="2">
        <v>1137</v>
      </c>
      <c r="C449" s="2">
        <v>1964</v>
      </c>
      <c r="D449" s="3" t="s">
        <v>9</v>
      </c>
      <c r="E449" s="3" t="s">
        <v>10</v>
      </c>
      <c r="F449" s="2">
        <v>81246</v>
      </c>
      <c r="G449" s="2">
        <v>0</v>
      </c>
      <c r="H449" s="2">
        <v>0</v>
      </c>
      <c r="I449" s="5">
        <v>41637</v>
      </c>
      <c r="J449" s="2">
        <v>87</v>
      </c>
    </row>
    <row r="450" spans="1:10" ht="12.5">
      <c r="A450" s="2">
        <v>448</v>
      </c>
      <c r="B450" s="2">
        <v>2541</v>
      </c>
      <c r="C450" s="2">
        <v>1976</v>
      </c>
      <c r="D450" s="3" t="s">
        <v>9</v>
      </c>
      <c r="E450" s="3" t="s">
        <v>13</v>
      </c>
      <c r="F450" s="2">
        <v>24027</v>
      </c>
      <c r="G450" s="2">
        <v>1</v>
      </c>
      <c r="H450" s="2">
        <v>0</v>
      </c>
      <c r="I450" s="4">
        <v>41434</v>
      </c>
      <c r="J450" s="2">
        <v>7</v>
      </c>
    </row>
    <row r="451" spans="1:10" ht="12.5">
      <c r="A451" s="2">
        <v>449</v>
      </c>
      <c r="B451" s="2">
        <v>1142</v>
      </c>
      <c r="C451" s="2">
        <v>1953</v>
      </c>
      <c r="D451" s="3" t="s">
        <v>12</v>
      </c>
      <c r="E451" s="3" t="s">
        <v>13</v>
      </c>
      <c r="F451" s="2">
        <v>55707</v>
      </c>
      <c r="G451" s="2">
        <v>0</v>
      </c>
      <c r="H451" s="2">
        <v>1</v>
      </c>
      <c r="I451" s="5">
        <v>41630</v>
      </c>
      <c r="J451" s="2">
        <v>91</v>
      </c>
    </row>
    <row r="452" spans="1:10" ht="12.5">
      <c r="A452" s="2">
        <v>450</v>
      </c>
      <c r="B452" s="2">
        <v>2276</v>
      </c>
      <c r="C452" s="2">
        <v>1955</v>
      </c>
      <c r="D452" s="3" t="s">
        <v>9</v>
      </c>
      <c r="E452" s="3" t="s">
        <v>10</v>
      </c>
      <c r="F452" s="2">
        <v>57959</v>
      </c>
      <c r="G452" s="2">
        <v>0</v>
      </c>
      <c r="H452" s="2">
        <v>1</v>
      </c>
      <c r="I452" s="4">
        <v>41396</v>
      </c>
      <c r="J452" s="2">
        <v>71</v>
      </c>
    </row>
    <row r="453" spans="1:10" ht="12.5">
      <c r="A453" s="2">
        <v>451</v>
      </c>
      <c r="B453" s="2">
        <v>2807</v>
      </c>
      <c r="C453" s="2">
        <v>1969</v>
      </c>
      <c r="D453" s="3" t="s">
        <v>9</v>
      </c>
      <c r="E453" s="3" t="s">
        <v>13</v>
      </c>
      <c r="F453" s="2">
        <v>56796</v>
      </c>
      <c r="G453" s="2">
        <v>0</v>
      </c>
      <c r="H453" s="2">
        <v>1</v>
      </c>
      <c r="I453" s="4">
        <v>41321</v>
      </c>
      <c r="J453" s="2">
        <v>24</v>
      </c>
    </row>
    <row r="454" spans="1:10" ht="12.5">
      <c r="A454" s="2">
        <v>452</v>
      </c>
      <c r="B454" s="2">
        <v>6471</v>
      </c>
      <c r="C454" s="2">
        <v>1971</v>
      </c>
      <c r="D454" s="3" t="s">
        <v>14</v>
      </c>
      <c r="E454" s="3" t="s">
        <v>10</v>
      </c>
      <c r="F454" s="2">
        <v>36230</v>
      </c>
      <c r="G454" s="2">
        <v>1</v>
      </c>
      <c r="H454" s="2">
        <v>0</v>
      </c>
      <c r="I454" s="5">
        <v>41564</v>
      </c>
      <c r="J454" s="2">
        <v>17</v>
      </c>
    </row>
    <row r="455" spans="1:10" ht="12.5">
      <c r="A455" s="2">
        <v>453</v>
      </c>
      <c r="B455" s="2">
        <v>6131</v>
      </c>
      <c r="C455" s="2">
        <v>1980</v>
      </c>
      <c r="D455" s="3" t="s">
        <v>17</v>
      </c>
      <c r="E455" s="3" t="s">
        <v>13</v>
      </c>
      <c r="F455" s="2">
        <v>70829</v>
      </c>
      <c r="G455" s="2">
        <v>1</v>
      </c>
      <c r="H455" s="2">
        <v>1</v>
      </c>
      <c r="I455" s="4">
        <v>41609</v>
      </c>
      <c r="J455" s="2">
        <v>87</v>
      </c>
    </row>
    <row r="456" spans="1:10" ht="12.5">
      <c r="A456" s="2">
        <v>454</v>
      </c>
      <c r="B456" s="2">
        <v>6233</v>
      </c>
      <c r="C456" s="2">
        <v>1976</v>
      </c>
      <c r="D456" s="3" t="s">
        <v>9</v>
      </c>
      <c r="E456" s="3" t="s">
        <v>13</v>
      </c>
      <c r="F456" s="2">
        <v>65991</v>
      </c>
      <c r="G456" s="2">
        <v>0</v>
      </c>
      <c r="H456" s="2">
        <v>1</v>
      </c>
      <c r="I456" s="4">
        <v>41159</v>
      </c>
      <c r="J456" s="2">
        <v>21</v>
      </c>
    </row>
    <row r="457" spans="1:10" ht="12.5">
      <c r="A457" s="2">
        <v>455</v>
      </c>
      <c r="B457" s="2">
        <v>4148</v>
      </c>
      <c r="C457" s="2">
        <v>1972</v>
      </c>
      <c r="D457" s="3" t="s">
        <v>9</v>
      </c>
      <c r="E457" s="3" t="s">
        <v>13</v>
      </c>
      <c r="F457" s="2">
        <v>38988</v>
      </c>
      <c r="G457" s="2">
        <v>1</v>
      </c>
      <c r="H457" s="2">
        <v>2</v>
      </c>
      <c r="I457" s="4">
        <v>41141</v>
      </c>
      <c r="J457" s="2">
        <v>90</v>
      </c>
    </row>
    <row r="458" spans="1:10" ht="12.5">
      <c r="A458" s="2">
        <v>456</v>
      </c>
      <c r="B458" s="2">
        <v>4947</v>
      </c>
      <c r="C458" s="2">
        <v>1966</v>
      </c>
      <c r="D458" s="3" t="s">
        <v>17</v>
      </c>
      <c r="E458" s="3" t="s">
        <v>10</v>
      </c>
      <c r="F458" s="2">
        <v>89572</v>
      </c>
      <c r="G458" s="2">
        <v>0</v>
      </c>
      <c r="H458" s="2">
        <v>0</v>
      </c>
      <c r="I458" s="4">
        <v>41167</v>
      </c>
      <c r="J458" s="2">
        <v>44</v>
      </c>
    </row>
    <row r="459" spans="1:10" ht="12.5">
      <c r="A459" s="2">
        <v>457</v>
      </c>
      <c r="B459" s="2">
        <v>3225</v>
      </c>
      <c r="C459" s="2">
        <v>1984</v>
      </c>
      <c r="D459" s="3" t="s">
        <v>14</v>
      </c>
      <c r="E459" s="3" t="s">
        <v>13</v>
      </c>
      <c r="F459" s="2">
        <v>42207</v>
      </c>
      <c r="G459" s="2">
        <v>1</v>
      </c>
      <c r="H459" s="2">
        <v>0</v>
      </c>
      <c r="I459" s="4">
        <v>41365</v>
      </c>
      <c r="J459" s="2">
        <v>71</v>
      </c>
    </row>
    <row r="460" spans="1:10" ht="12.5">
      <c r="A460" s="2">
        <v>458</v>
      </c>
      <c r="B460" s="2">
        <v>7540</v>
      </c>
      <c r="C460" s="2">
        <v>1952</v>
      </c>
      <c r="D460" s="3" t="s">
        <v>9</v>
      </c>
      <c r="E460" s="3" t="s">
        <v>13</v>
      </c>
      <c r="F460" s="2">
        <v>50300</v>
      </c>
      <c r="G460" s="2">
        <v>0</v>
      </c>
      <c r="H460" s="2">
        <v>1</v>
      </c>
      <c r="I460" s="4">
        <v>41784</v>
      </c>
      <c r="J460" s="2">
        <v>52</v>
      </c>
    </row>
    <row r="461" spans="1:10" ht="12.5">
      <c r="A461" s="2">
        <v>459</v>
      </c>
      <c r="B461" s="2">
        <v>10648</v>
      </c>
      <c r="C461" s="2">
        <v>1982</v>
      </c>
      <c r="D461" s="3" t="s">
        <v>17</v>
      </c>
      <c r="E461" s="3" t="s">
        <v>11</v>
      </c>
      <c r="F461" s="2">
        <v>66664</v>
      </c>
      <c r="G461" s="2">
        <v>0</v>
      </c>
      <c r="H461" s="2">
        <v>0</v>
      </c>
      <c r="I461" s="4">
        <v>41177</v>
      </c>
      <c r="J461" s="2">
        <v>78</v>
      </c>
    </row>
    <row r="462" spans="1:10" ht="12.5">
      <c r="A462" s="2">
        <v>460</v>
      </c>
      <c r="B462" s="2">
        <v>1992</v>
      </c>
      <c r="C462" s="2">
        <v>1964</v>
      </c>
      <c r="D462" s="3" t="s">
        <v>9</v>
      </c>
      <c r="E462" s="3" t="s">
        <v>13</v>
      </c>
      <c r="F462" s="2">
        <v>60597</v>
      </c>
      <c r="G462" s="2">
        <v>0</v>
      </c>
      <c r="H462" s="2">
        <v>1</v>
      </c>
      <c r="I462" s="4">
        <v>41640</v>
      </c>
      <c r="J462" s="2">
        <v>2</v>
      </c>
    </row>
    <row r="463" spans="1:10" ht="12.5">
      <c r="A463" s="2">
        <v>461</v>
      </c>
      <c r="B463" s="2">
        <v>7851</v>
      </c>
      <c r="C463" s="2">
        <v>1949</v>
      </c>
      <c r="D463" s="3" t="s">
        <v>9</v>
      </c>
      <c r="E463" s="3" t="s">
        <v>18</v>
      </c>
      <c r="F463" s="2">
        <v>70165</v>
      </c>
      <c r="G463" s="2">
        <v>0</v>
      </c>
      <c r="H463" s="2">
        <v>0</v>
      </c>
      <c r="I463" s="4">
        <v>41539</v>
      </c>
      <c r="J463" s="2">
        <v>60</v>
      </c>
    </row>
    <row r="464" spans="1:10" ht="12.5">
      <c r="A464" s="2">
        <v>462</v>
      </c>
      <c r="B464" s="2">
        <v>8594</v>
      </c>
      <c r="C464" s="2">
        <v>1958</v>
      </c>
      <c r="D464" s="3" t="s">
        <v>12</v>
      </c>
      <c r="E464" s="3" t="s">
        <v>18</v>
      </c>
      <c r="F464" s="2">
        <v>50520</v>
      </c>
      <c r="G464" s="2">
        <v>0</v>
      </c>
      <c r="H464" s="2">
        <v>1</v>
      </c>
      <c r="I464" s="4">
        <v>41667</v>
      </c>
      <c r="J464" s="2">
        <v>25</v>
      </c>
    </row>
    <row r="465" spans="1:10" ht="12.5">
      <c r="A465" s="2">
        <v>463</v>
      </c>
      <c r="B465" s="2">
        <v>7059</v>
      </c>
      <c r="C465" s="2">
        <v>1963</v>
      </c>
      <c r="D465" s="3" t="s">
        <v>9</v>
      </c>
      <c r="E465" s="3" t="s">
        <v>13</v>
      </c>
      <c r="F465" s="2">
        <v>80124</v>
      </c>
      <c r="G465" s="2">
        <v>0</v>
      </c>
      <c r="H465" s="2">
        <v>0</v>
      </c>
      <c r="I465" s="4">
        <v>41816</v>
      </c>
      <c r="J465" s="2">
        <v>47</v>
      </c>
    </row>
    <row r="466" spans="1:10" ht="12.5">
      <c r="A466" s="2">
        <v>464</v>
      </c>
      <c r="B466" s="2">
        <v>2815</v>
      </c>
      <c r="C466" s="2">
        <v>1975</v>
      </c>
      <c r="D466" s="3" t="s">
        <v>9</v>
      </c>
      <c r="E466" s="3" t="s">
        <v>13</v>
      </c>
      <c r="F466" s="2">
        <v>33183</v>
      </c>
      <c r="G466" s="2">
        <v>1</v>
      </c>
      <c r="H466" s="2">
        <v>0</v>
      </c>
      <c r="I466" s="4">
        <v>41694</v>
      </c>
      <c r="J466" s="2">
        <v>46</v>
      </c>
    </row>
    <row r="467" spans="1:10" ht="12.5">
      <c r="A467" s="2">
        <v>465</v>
      </c>
      <c r="B467" s="2">
        <v>2416</v>
      </c>
      <c r="C467" s="2">
        <v>1969</v>
      </c>
      <c r="D467" s="3" t="s">
        <v>12</v>
      </c>
      <c r="E467" s="3" t="s">
        <v>10</v>
      </c>
      <c r="F467" s="2">
        <v>66582</v>
      </c>
      <c r="G467" s="2">
        <v>0</v>
      </c>
      <c r="H467" s="2">
        <v>0</v>
      </c>
      <c r="I467" s="4">
        <v>41701</v>
      </c>
      <c r="J467" s="2">
        <v>83</v>
      </c>
    </row>
    <row r="468" spans="1:10" ht="12.5">
      <c r="A468" s="2">
        <v>466</v>
      </c>
      <c r="B468" s="2">
        <v>7999</v>
      </c>
      <c r="C468" s="2">
        <v>1955</v>
      </c>
      <c r="D468" s="3" t="s">
        <v>12</v>
      </c>
      <c r="E468" s="3" t="s">
        <v>11</v>
      </c>
      <c r="F468" s="2">
        <v>75261</v>
      </c>
      <c r="G468" s="2">
        <v>0</v>
      </c>
      <c r="H468" s="2">
        <v>0</v>
      </c>
      <c r="I468" s="4">
        <v>41387</v>
      </c>
      <c r="J468" s="2">
        <v>17</v>
      </c>
    </row>
    <row r="469" spans="1:10" ht="12.5">
      <c r="A469" s="2">
        <v>467</v>
      </c>
      <c r="B469" s="2">
        <v>9213</v>
      </c>
      <c r="C469" s="2">
        <v>1970</v>
      </c>
      <c r="D469" s="3" t="s">
        <v>9</v>
      </c>
      <c r="E469" s="3" t="s">
        <v>18</v>
      </c>
      <c r="F469" s="2">
        <v>31880</v>
      </c>
      <c r="G469" s="2">
        <v>1</v>
      </c>
      <c r="H469" s="2">
        <v>0</v>
      </c>
      <c r="I469" s="5">
        <v>41213</v>
      </c>
      <c r="J469" s="2">
        <v>13</v>
      </c>
    </row>
    <row r="470" spans="1:10" ht="12.5">
      <c r="A470" s="2">
        <v>468</v>
      </c>
      <c r="B470" s="2">
        <v>9697</v>
      </c>
      <c r="C470" s="2">
        <v>1951</v>
      </c>
      <c r="D470" s="3" t="s">
        <v>9</v>
      </c>
      <c r="E470" s="3" t="s">
        <v>13</v>
      </c>
      <c r="F470" s="2">
        <v>53790</v>
      </c>
      <c r="G470" s="2">
        <v>0</v>
      </c>
      <c r="H470" s="2">
        <v>2</v>
      </c>
      <c r="I470" s="4">
        <v>41704</v>
      </c>
      <c r="J470" s="2">
        <v>86</v>
      </c>
    </row>
    <row r="471" spans="1:10" ht="12.5">
      <c r="A471" s="2">
        <v>469</v>
      </c>
      <c r="B471" s="2">
        <v>3916</v>
      </c>
      <c r="C471" s="2">
        <v>1971</v>
      </c>
      <c r="D471" s="3" t="s">
        <v>12</v>
      </c>
      <c r="E471" s="3" t="s">
        <v>11</v>
      </c>
      <c r="F471" s="2">
        <v>49269</v>
      </c>
      <c r="G471" s="2">
        <v>1</v>
      </c>
      <c r="H471" s="2">
        <v>0</v>
      </c>
      <c r="I471" s="4">
        <v>41136</v>
      </c>
      <c r="J471" s="2">
        <v>92</v>
      </c>
    </row>
    <row r="472" spans="1:10" ht="12.5">
      <c r="A472" s="2">
        <v>470</v>
      </c>
      <c r="B472" s="2">
        <v>2021</v>
      </c>
      <c r="C472" s="2">
        <v>1975</v>
      </c>
      <c r="D472" s="3" t="s">
        <v>9</v>
      </c>
      <c r="E472" s="3" t="s">
        <v>13</v>
      </c>
      <c r="F472" s="2">
        <v>61456</v>
      </c>
      <c r="G472" s="2">
        <v>0</v>
      </c>
      <c r="H472" s="2">
        <v>1</v>
      </c>
      <c r="I472" s="4">
        <v>41360</v>
      </c>
      <c r="J472" s="2">
        <v>47</v>
      </c>
    </row>
    <row r="473" spans="1:10" ht="12.5">
      <c r="A473" s="2">
        <v>471</v>
      </c>
      <c r="B473" s="2">
        <v>1581</v>
      </c>
      <c r="C473" s="2">
        <v>1980</v>
      </c>
      <c r="D473" s="3" t="s">
        <v>9</v>
      </c>
      <c r="E473" s="3" t="s">
        <v>13</v>
      </c>
      <c r="F473" s="2">
        <v>37406</v>
      </c>
      <c r="G473" s="2">
        <v>1</v>
      </c>
      <c r="H473" s="2">
        <v>0</v>
      </c>
      <c r="I473" s="5">
        <v>41557</v>
      </c>
      <c r="J473" s="2">
        <v>18</v>
      </c>
    </row>
    <row r="474" spans="1:10" ht="12.5">
      <c r="A474" s="2">
        <v>472</v>
      </c>
      <c r="B474" s="2">
        <v>564</v>
      </c>
      <c r="C474" s="2">
        <v>1981</v>
      </c>
      <c r="D474" s="3" t="s">
        <v>12</v>
      </c>
      <c r="E474" s="3" t="s">
        <v>11</v>
      </c>
      <c r="F474" s="2">
        <v>56937</v>
      </c>
      <c r="G474" s="2">
        <v>1</v>
      </c>
      <c r="H474" s="2">
        <v>0</v>
      </c>
      <c r="I474" s="4">
        <v>41125</v>
      </c>
      <c r="J474" s="2">
        <v>81</v>
      </c>
    </row>
    <row r="475" spans="1:10" ht="12.5">
      <c r="A475" s="2">
        <v>473</v>
      </c>
      <c r="B475" s="2">
        <v>6619</v>
      </c>
      <c r="C475" s="2">
        <v>1978</v>
      </c>
      <c r="D475" s="3" t="s">
        <v>9</v>
      </c>
      <c r="E475" s="3" t="s">
        <v>13</v>
      </c>
      <c r="F475" s="2">
        <v>38415</v>
      </c>
      <c r="G475" s="2">
        <v>1</v>
      </c>
      <c r="H475" s="2">
        <v>1</v>
      </c>
      <c r="I475" s="4">
        <v>41276</v>
      </c>
      <c r="J475" s="2">
        <v>91</v>
      </c>
    </row>
    <row r="476" spans="1:10" ht="12.5">
      <c r="A476" s="2">
        <v>474</v>
      </c>
      <c r="B476" s="2">
        <v>9081</v>
      </c>
      <c r="C476" s="2">
        <v>1988</v>
      </c>
      <c r="D476" s="3" t="s">
        <v>9</v>
      </c>
      <c r="E476" s="3" t="s">
        <v>10</v>
      </c>
      <c r="F476" s="2">
        <v>20518</v>
      </c>
      <c r="G476" s="2">
        <v>1</v>
      </c>
      <c r="H476" s="2">
        <v>0</v>
      </c>
      <c r="I476" s="4">
        <v>41777</v>
      </c>
      <c r="J476" s="2">
        <v>58</v>
      </c>
    </row>
    <row r="477" spans="1:10" ht="12.5">
      <c r="A477" s="2">
        <v>475</v>
      </c>
      <c r="B477" s="2">
        <v>178</v>
      </c>
      <c r="C477" s="2">
        <v>1956</v>
      </c>
      <c r="D477" s="3" t="s">
        <v>9</v>
      </c>
      <c r="E477" s="3" t="s">
        <v>13</v>
      </c>
      <c r="F477" s="2">
        <v>62503</v>
      </c>
      <c r="G477" s="2">
        <v>0</v>
      </c>
      <c r="H477" s="2">
        <v>1</v>
      </c>
      <c r="I477" s="4">
        <v>41323</v>
      </c>
      <c r="J477" s="2">
        <v>40</v>
      </c>
    </row>
    <row r="478" spans="1:10" ht="12.5">
      <c r="A478" s="2">
        <v>476</v>
      </c>
      <c r="B478" s="2">
        <v>916</v>
      </c>
      <c r="C478" s="2">
        <v>1972</v>
      </c>
      <c r="D478" s="3" t="s">
        <v>12</v>
      </c>
      <c r="E478" s="3" t="s">
        <v>10</v>
      </c>
      <c r="F478" s="2">
        <v>41644</v>
      </c>
      <c r="G478" s="2">
        <v>1</v>
      </c>
      <c r="H478" s="2">
        <v>1</v>
      </c>
      <c r="I478" s="4">
        <v>41768</v>
      </c>
      <c r="J478" s="2">
        <v>67</v>
      </c>
    </row>
    <row r="479" spans="1:10" ht="12.5">
      <c r="A479" s="2">
        <v>477</v>
      </c>
      <c r="B479" s="2">
        <v>5512</v>
      </c>
      <c r="C479" s="2">
        <v>1977</v>
      </c>
      <c r="D479" s="3" t="s">
        <v>14</v>
      </c>
      <c r="E479" s="3" t="s">
        <v>13</v>
      </c>
      <c r="F479" s="2">
        <v>55842</v>
      </c>
      <c r="G479" s="2">
        <v>0</v>
      </c>
      <c r="H479" s="2">
        <v>1</v>
      </c>
      <c r="I479" s="4">
        <v>41782</v>
      </c>
      <c r="J479" s="2">
        <v>19</v>
      </c>
    </row>
    <row r="480" spans="1:10" ht="12.5">
      <c r="A480" s="2">
        <v>478</v>
      </c>
      <c r="B480" s="2">
        <v>8970</v>
      </c>
      <c r="C480" s="2">
        <v>1972</v>
      </c>
      <c r="D480" s="3" t="s">
        <v>12</v>
      </c>
      <c r="E480" s="3" t="s">
        <v>13</v>
      </c>
      <c r="F480" s="2">
        <v>62010</v>
      </c>
      <c r="G480" s="2">
        <v>0</v>
      </c>
      <c r="H480" s="2">
        <v>1</v>
      </c>
      <c r="I480" s="5">
        <v>41205</v>
      </c>
      <c r="J480" s="2">
        <v>93</v>
      </c>
    </row>
    <row r="481" spans="1:10" ht="12.5">
      <c r="A481" s="2">
        <v>479</v>
      </c>
      <c r="B481" s="2">
        <v>10581</v>
      </c>
      <c r="C481" s="2">
        <v>1977</v>
      </c>
      <c r="D481" s="3" t="s">
        <v>9</v>
      </c>
      <c r="E481" s="3" t="s">
        <v>13</v>
      </c>
      <c r="F481" s="2">
        <v>41124</v>
      </c>
      <c r="G481" s="2">
        <v>1</v>
      </c>
      <c r="H481" s="2">
        <v>0</v>
      </c>
      <c r="I481" s="5">
        <v>41213</v>
      </c>
      <c r="J481" s="2">
        <v>41</v>
      </c>
    </row>
    <row r="482" spans="1:10" ht="12.5">
      <c r="A482" s="2">
        <v>480</v>
      </c>
      <c r="B482" s="2">
        <v>5300</v>
      </c>
      <c r="C482" s="2">
        <v>1973</v>
      </c>
      <c r="D482" s="3" t="s">
        <v>14</v>
      </c>
      <c r="E482" s="3" t="s">
        <v>13</v>
      </c>
      <c r="F482" s="2">
        <v>38961</v>
      </c>
      <c r="G482" s="2">
        <v>1</v>
      </c>
      <c r="H482" s="2">
        <v>0</v>
      </c>
      <c r="I482" s="5">
        <v>41638</v>
      </c>
      <c r="J482" s="2">
        <v>60</v>
      </c>
    </row>
    <row r="483" spans="1:10" ht="12.5">
      <c r="A483" s="2">
        <v>481</v>
      </c>
      <c r="B483" s="2">
        <v>5154</v>
      </c>
      <c r="C483" s="2">
        <v>1972</v>
      </c>
      <c r="D483" s="3" t="s">
        <v>14</v>
      </c>
      <c r="E483" s="3" t="s">
        <v>15</v>
      </c>
      <c r="F483" s="2">
        <v>37760</v>
      </c>
      <c r="G483" s="2">
        <v>1</v>
      </c>
      <c r="H483" s="2">
        <v>0</v>
      </c>
      <c r="I483" s="4">
        <v>41497</v>
      </c>
      <c r="J483" s="2">
        <v>54</v>
      </c>
    </row>
    <row r="484" spans="1:10" ht="12.5">
      <c r="A484" s="2">
        <v>482</v>
      </c>
      <c r="B484" s="2">
        <v>8346</v>
      </c>
      <c r="C484" s="2">
        <v>1974</v>
      </c>
      <c r="D484" s="3" t="s">
        <v>9</v>
      </c>
      <c r="E484" s="3" t="s">
        <v>10</v>
      </c>
      <c r="F484" s="2">
        <v>32233</v>
      </c>
      <c r="G484" s="2">
        <v>1</v>
      </c>
      <c r="H484" s="2">
        <v>0</v>
      </c>
      <c r="I484" s="4">
        <v>41140</v>
      </c>
      <c r="J484" s="2">
        <v>26</v>
      </c>
    </row>
    <row r="485" spans="1:10" ht="12.5">
      <c r="A485" s="2">
        <v>483</v>
      </c>
      <c r="B485" s="2">
        <v>1676</v>
      </c>
      <c r="C485" s="2">
        <v>1975</v>
      </c>
      <c r="D485" s="3" t="s">
        <v>9</v>
      </c>
      <c r="E485" s="3" t="s">
        <v>13</v>
      </c>
      <c r="F485" s="2">
        <v>43057</v>
      </c>
      <c r="G485" s="2">
        <v>0</v>
      </c>
      <c r="H485" s="2">
        <v>1</v>
      </c>
      <c r="I485" s="5">
        <v>41577</v>
      </c>
      <c r="J485" s="2">
        <v>30</v>
      </c>
    </row>
    <row r="486" spans="1:10" ht="12.5">
      <c r="A486" s="2">
        <v>484</v>
      </c>
      <c r="B486" s="2">
        <v>9286</v>
      </c>
      <c r="C486" s="2">
        <v>1960</v>
      </c>
      <c r="D486" s="3" t="s">
        <v>14</v>
      </c>
      <c r="E486" s="3" t="s">
        <v>11</v>
      </c>
      <c r="F486" s="2">
        <v>83151</v>
      </c>
      <c r="G486" s="2">
        <v>0</v>
      </c>
      <c r="H486" s="2">
        <v>0</v>
      </c>
      <c r="I486" s="5">
        <v>41192</v>
      </c>
      <c r="J486" s="2">
        <v>93</v>
      </c>
    </row>
    <row r="487" spans="1:10" ht="12.5">
      <c r="A487" s="2">
        <v>485</v>
      </c>
      <c r="B487" s="2">
        <v>2426</v>
      </c>
      <c r="C487" s="2">
        <v>1964</v>
      </c>
      <c r="D487" s="3" t="s">
        <v>12</v>
      </c>
      <c r="E487" s="3" t="s">
        <v>15</v>
      </c>
      <c r="F487" s="2">
        <v>78825</v>
      </c>
      <c r="G487" s="2">
        <v>0</v>
      </c>
      <c r="H487" s="2">
        <v>0</v>
      </c>
      <c r="I487" s="4">
        <v>41166</v>
      </c>
      <c r="J487" s="2">
        <v>35</v>
      </c>
    </row>
    <row r="488" spans="1:10" ht="12.5">
      <c r="A488" s="2">
        <v>486</v>
      </c>
      <c r="B488" s="2">
        <v>5172</v>
      </c>
      <c r="C488" s="2">
        <v>1976</v>
      </c>
      <c r="D488" s="3" t="s">
        <v>14</v>
      </c>
      <c r="E488" s="3" t="s">
        <v>11</v>
      </c>
      <c r="F488" s="2">
        <v>65104</v>
      </c>
      <c r="G488" s="2">
        <v>0</v>
      </c>
      <c r="H488" s="2">
        <v>1</v>
      </c>
      <c r="I488" s="5">
        <v>41592</v>
      </c>
      <c r="J488" s="2">
        <v>4</v>
      </c>
    </row>
    <row r="489" spans="1:10" ht="12.5">
      <c r="A489" s="2">
        <v>487</v>
      </c>
      <c r="B489" s="2">
        <v>5562</v>
      </c>
      <c r="C489" s="2">
        <v>1974</v>
      </c>
      <c r="D489" s="3" t="s">
        <v>9</v>
      </c>
      <c r="E489" s="3" t="s">
        <v>13</v>
      </c>
      <c r="F489" s="2">
        <v>60093</v>
      </c>
      <c r="G489" s="2">
        <v>0</v>
      </c>
      <c r="H489" s="2">
        <v>1</v>
      </c>
      <c r="I489" s="4">
        <v>41451</v>
      </c>
      <c r="J489" s="2">
        <v>92</v>
      </c>
    </row>
    <row r="490" spans="1:10" ht="12.5">
      <c r="A490" s="2">
        <v>488</v>
      </c>
      <c r="B490" s="2">
        <v>3436</v>
      </c>
      <c r="C490" s="2">
        <v>1969</v>
      </c>
      <c r="D490" s="3" t="s">
        <v>9</v>
      </c>
      <c r="E490" s="3" t="s">
        <v>13</v>
      </c>
      <c r="F490" s="2">
        <v>14045</v>
      </c>
      <c r="G490" s="2">
        <v>1</v>
      </c>
      <c r="H490" s="2">
        <v>0</v>
      </c>
      <c r="I490" s="4">
        <v>41665</v>
      </c>
      <c r="J490" s="2">
        <v>24</v>
      </c>
    </row>
    <row r="491" spans="1:10" ht="12.5">
      <c r="A491" s="2">
        <v>489</v>
      </c>
      <c r="B491" s="2">
        <v>3921</v>
      </c>
      <c r="C491" s="2">
        <v>1952</v>
      </c>
      <c r="D491" s="3" t="s">
        <v>17</v>
      </c>
      <c r="E491" s="3" t="s">
        <v>18</v>
      </c>
      <c r="F491" s="2">
        <v>28457</v>
      </c>
      <c r="G491" s="2">
        <v>0</v>
      </c>
      <c r="H491" s="2">
        <v>0</v>
      </c>
      <c r="I491" s="5">
        <v>41210</v>
      </c>
      <c r="J491" s="2">
        <v>96</v>
      </c>
    </row>
    <row r="492" spans="1:10" ht="12.5">
      <c r="A492" s="2">
        <v>490</v>
      </c>
      <c r="B492" s="2">
        <v>3403</v>
      </c>
      <c r="C492" s="2">
        <v>1958</v>
      </c>
      <c r="D492" s="3" t="s">
        <v>12</v>
      </c>
      <c r="E492" s="3" t="s">
        <v>11</v>
      </c>
      <c r="F492" s="2">
        <v>78952</v>
      </c>
      <c r="G492" s="2">
        <v>0</v>
      </c>
      <c r="H492" s="2">
        <v>1</v>
      </c>
      <c r="I492" s="4">
        <v>41176</v>
      </c>
      <c r="J492" s="2">
        <v>11</v>
      </c>
    </row>
    <row r="493" spans="1:10" ht="12.5">
      <c r="A493" s="2">
        <v>491</v>
      </c>
      <c r="B493" s="2">
        <v>22</v>
      </c>
      <c r="C493" s="2">
        <v>1976</v>
      </c>
      <c r="D493" s="3" t="s">
        <v>9</v>
      </c>
      <c r="E493" s="3" t="s">
        <v>15</v>
      </c>
      <c r="F493" s="2">
        <v>46310</v>
      </c>
      <c r="G493" s="2">
        <v>1</v>
      </c>
      <c r="H493" s="2">
        <v>0</v>
      </c>
      <c r="I493" s="4">
        <v>41246</v>
      </c>
      <c r="J493" s="2">
        <v>99</v>
      </c>
    </row>
    <row r="494" spans="1:10" ht="12.5">
      <c r="A494" s="2">
        <v>492</v>
      </c>
      <c r="B494" s="2">
        <v>10965</v>
      </c>
      <c r="C494" s="2">
        <v>1955</v>
      </c>
      <c r="D494" s="3" t="s">
        <v>9</v>
      </c>
      <c r="E494" s="3" t="s">
        <v>11</v>
      </c>
      <c r="F494" s="2">
        <v>76005</v>
      </c>
      <c r="G494" s="2">
        <v>0</v>
      </c>
      <c r="H494" s="2">
        <v>0</v>
      </c>
      <c r="I494" s="4">
        <v>41327</v>
      </c>
      <c r="J494" s="2">
        <v>72</v>
      </c>
    </row>
    <row r="495" spans="1:10" ht="12.5">
      <c r="A495" s="2">
        <v>493</v>
      </c>
      <c r="B495" s="2">
        <v>9426</v>
      </c>
      <c r="C495" s="2">
        <v>1964</v>
      </c>
      <c r="D495" s="3" t="s">
        <v>14</v>
      </c>
      <c r="E495" s="3" t="s">
        <v>10</v>
      </c>
      <c r="F495" s="2">
        <v>58308</v>
      </c>
      <c r="G495" s="2">
        <v>0</v>
      </c>
      <c r="H495" s="2">
        <v>1</v>
      </c>
      <c r="I495" s="4">
        <v>41286</v>
      </c>
      <c r="J495" s="2">
        <v>77</v>
      </c>
    </row>
    <row r="496" spans="1:10" ht="12.5">
      <c r="A496" s="2">
        <v>494</v>
      </c>
      <c r="B496" s="2">
        <v>6605</v>
      </c>
      <c r="C496" s="2">
        <v>1944</v>
      </c>
      <c r="D496" s="3" t="s">
        <v>12</v>
      </c>
      <c r="E496" s="3" t="s">
        <v>15</v>
      </c>
      <c r="F496" s="2">
        <v>55614</v>
      </c>
      <c r="G496" s="2">
        <v>0</v>
      </c>
      <c r="H496" s="2">
        <v>0</v>
      </c>
      <c r="I496" s="5">
        <v>41605</v>
      </c>
      <c r="J496" s="2">
        <v>85</v>
      </c>
    </row>
    <row r="497" spans="1:10" ht="12.5">
      <c r="A497" s="2">
        <v>495</v>
      </c>
      <c r="B497" s="2">
        <v>3136</v>
      </c>
      <c r="C497" s="2">
        <v>1962</v>
      </c>
      <c r="D497" s="3" t="s">
        <v>14</v>
      </c>
      <c r="E497" s="3" t="s">
        <v>15</v>
      </c>
      <c r="F497" s="2">
        <v>59432</v>
      </c>
      <c r="G497" s="2">
        <v>0</v>
      </c>
      <c r="H497" s="2">
        <v>1</v>
      </c>
      <c r="I497" s="4">
        <v>41377</v>
      </c>
      <c r="J497" s="2">
        <v>88</v>
      </c>
    </row>
    <row r="498" spans="1:10" ht="12.5">
      <c r="A498" s="2">
        <v>496</v>
      </c>
      <c r="B498" s="2">
        <v>8737</v>
      </c>
      <c r="C498" s="2">
        <v>1978</v>
      </c>
      <c r="D498" s="3" t="s">
        <v>9</v>
      </c>
      <c r="E498" s="3" t="s">
        <v>15</v>
      </c>
      <c r="F498" s="2">
        <v>55563</v>
      </c>
      <c r="G498" s="2">
        <v>0</v>
      </c>
      <c r="H498" s="2">
        <v>1</v>
      </c>
      <c r="I498" s="4">
        <v>41734</v>
      </c>
      <c r="J498" s="2">
        <v>22</v>
      </c>
    </row>
    <row r="499" spans="1:10" ht="12.5">
      <c r="A499" s="2">
        <v>497</v>
      </c>
      <c r="B499" s="2">
        <v>11088</v>
      </c>
      <c r="C499" s="2">
        <v>1971</v>
      </c>
      <c r="D499" s="3" t="s">
        <v>12</v>
      </c>
      <c r="E499" s="3" t="s">
        <v>11</v>
      </c>
      <c r="F499" s="2">
        <v>78642</v>
      </c>
      <c r="G499" s="2">
        <v>0</v>
      </c>
      <c r="H499" s="2">
        <v>1</v>
      </c>
      <c r="I499" s="4">
        <v>41385</v>
      </c>
      <c r="J499" s="2">
        <v>83</v>
      </c>
    </row>
    <row r="500" spans="1:10" ht="12.5">
      <c r="A500" s="2">
        <v>498</v>
      </c>
      <c r="B500" s="2">
        <v>716</v>
      </c>
      <c r="C500" s="2">
        <v>1949</v>
      </c>
      <c r="D500" s="3" t="s">
        <v>12</v>
      </c>
      <c r="E500" s="3" t="s">
        <v>11</v>
      </c>
      <c r="F500" s="2">
        <v>67911</v>
      </c>
      <c r="G500" s="2">
        <v>0</v>
      </c>
      <c r="H500" s="2">
        <v>1</v>
      </c>
      <c r="I500" s="4">
        <v>41781</v>
      </c>
      <c r="J500" s="2">
        <v>63</v>
      </c>
    </row>
    <row r="501" spans="1:10" ht="12.5">
      <c r="A501" s="2">
        <v>499</v>
      </c>
      <c r="B501" s="2">
        <v>466</v>
      </c>
      <c r="C501" s="2">
        <v>1944</v>
      </c>
      <c r="D501" s="3" t="s">
        <v>9</v>
      </c>
      <c r="E501" s="3" t="s">
        <v>13</v>
      </c>
      <c r="F501" s="2">
        <v>65275</v>
      </c>
      <c r="G501" s="2">
        <v>0</v>
      </c>
      <c r="H501" s="2">
        <v>0</v>
      </c>
      <c r="I501" s="4">
        <v>41367</v>
      </c>
      <c r="J501" s="2">
        <v>9</v>
      </c>
    </row>
    <row r="502" spans="1:10" ht="12.5">
      <c r="A502" s="2">
        <v>500</v>
      </c>
      <c r="B502" s="2">
        <v>9135</v>
      </c>
      <c r="C502" s="2">
        <v>1950</v>
      </c>
      <c r="D502" s="3" t="s">
        <v>9</v>
      </c>
      <c r="E502" s="3" t="s">
        <v>11</v>
      </c>
      <c r="F502" s="2">
        <v>27203</v>
      </c>
      <c r="G502" s="2">
        <v>1</v>
      </c>
      <c r="H502" s="2">
        <v>1</v>
      </c>
      <c r="I502" s="4">
        <v>41127</v>
      </c>
      <c r="J502" s="2">
        <v>92</v>
      </c>
    </row>
    <row r="503" spans="1:10" ht="12.5">
      <c r="A503" s="2">
        <v>501</v>
      </c>
      <c r="B503" s="2">
        <v>10623</v>
      </c>
      <c r="C503" s="2">
        <v>1961</v>
      </c>
      <c r="D503" s="3" t="s">
        <v>14</v>
      </c>
      <c r="E503" s="3" t="s">
        <v>11</v>
      </c>
      <c r="F503" s="2">
        <v>48330</v>
      </c>
      <c r="G503" s="2">
        <v>0</v>
      </c>
      <c r="H503" s="2">
        <v>1</v>
      </c>
      <c r="I503" s="5">
        <v>41593</v>
      </c>
      <c r="J503" s="2">
        <v>2</v>
      </c>
    </row>
    <row r="504" spans="1:10" ht="12.5">
      <c r="A504" s="2">
        <v>502</v>
      </c>
      <c r="B504" s="2">
        <v>8151</v>
      </c>
      <c r="C504" s="2">
        <v>1990</v>
      </c>
      <c r="D504" s="3" t="s">
        <v>16</v>
      </c>
      <c r="E504" s="3" t="s">
        <v>13</v>
      </c>
      <c r="F504" s="2">
        <v>24279</v>
      </c>
      <c r="G504" s="2">
        <v>0</v>
      </c>
      <c r="H504" s="2">
        <v>0</v>
      </c>
      <c r="I504" s="5">
        <v>41272</v>
      </c>
      <c r="J504" s="2">
        <v>6</v>
      </c>
    </row>
    <row r="505" spans="1:10" ht="12.5">
      <c r="A505" s="2">
        <v>503</v>
      </c>
      <c r="B505" s="2">
        <v>5140</v>
      </c>
      <c r="C505" s="2">
        <v>1985</v>
      </c>
      <c r="D505" s="3" t="s">
        <v>12</v>
      </c>
      <c r="E505" s="3" t="s">
        <v>13</v>
      </c>
      <c r="F505" s="2">
        <v>64355</v>
      </c>
      <c r="G505" s="2">
        <v>1</v>
      </c>
      <c r="H505" s="2">
        <v>0</v>
      </c>
      <c r="I505" s="4">
        <v>41145</v>
      </c>
      <c r="J505" s="2">
        <v>66</v>
      </c>
    </row>
    <row r="506" spans="1:10" ht="12.5">
      <c r="A506" s="2">
        <v>504</v>
      </c>
      <c r="B506" s="2">
        <v>10160</v>
      </c>
      <c r="C506" s="2">
        <v>1956</v>
      </c>
      <c r="D506" s="3" t="s">
        <v>14</v>
      </c>
      <c r="E506" s="3" t="s">
        <v>11</v>
      </c>
      <c r="F506" s="2">
        <v>50943</v>
      </c>
      <c r="G506" s="2">
        <v>0</v>
      </c>
      <c r="H506" s="2">
        <v>1</v>
      </c>
      <c r="I506" s="4">
        <v>41446</v>
      </c>
      <c r="J506" s="2">
        <v>49</v>
      </c>
    </row>
    <row r="507" spans="1:10" ht="12.5">
      <c r="A507" s="2">
        <v>505</v>
      </c>
      <c r="B507" s="2">
        <v>4945</v>
      </c>
      <c r="C507" s="2">
        <v>1953</v>
      </c>
      <c r="D507" s="3" t="s">
        <v>9</v>
      </c>
      <c r="E507" s="3" t="s">
        <v>18</v>
      </c>
      <c r="F507" s="2">
        <v>53653</v>
      </c>
      <c r="G507" s="2">
        <v>0</v>
      </c>
      <c r="H507" s="2">
        <v>0</v>
      </c>
      <c r="I507" s="4">
        <v>41220</v>
      </c>
      <c r="J507" s="2">
        <v>29</v>
      </c>
    </row>
    <row r="508" spans="1:10" ht="12.5">
      <c r="A508" s="2">
        <v>506</v>
      </c>
      <c r="B508" s="2">
        <v>10584</v>
      </c>
      <c r="C508" s="2">
        <v>1976</v>
      </c>
      <c r="D508" s="3" t="s">
        <v>9</v>
      </c>
      <c r="E508" s="3" t="s">
        <v>13</v>
      </c>
      <c r="F508" s="2">
        <v>65665</v>
      </c>
      <c r="G508" s="2">
        <v>0</v>
      </c>
      <c r="H508" s="2">
        <v>1</v>
      </c>
      <c r="I508" s="4">
        <v>41610</v>
      </c>
      <c r="J508" s="2">
        <v>77</v>
      </c>
    </row>
    <row r="509" spans="1:10" ht="12.5">
      <c r="A509" s="2">
        <v>507</v>
      </c>
      <c r="B509" s="2">
        <v>6071</v>
      </c>
      <c r="C509" s="2">
        <v>1989</v>
      </c>
      <c r="D509" s="3" t="s">
        <v>9</v>
      </c>
      <c r="E509" s="3" t="s">
        <v>10</v>
      </c>
      <c r="F509" s="2">
        <v>81217</v>
      </c>
      <c r="G509" s="2">
        <v>0</v>
      </c>
      <c r="H509" s="2">
        <v>0</v>
      </c>
      <c r="I509" s="4">
        <v>41474</v>
      </c>
      <c r="J509" s="2">
        <v>77</v>
      </c>
    </row>
    <row r="510" spans="1:10" ht="12.5">
      <c r="A510" s="2">
        <v>508</v>
      </c>
      <c r="B510" s="2">
        <v>3386</v>
      </c>
      <c r="C510" s="2">
        <v>1992</v>
      </c>
      <c r="D510" s="3" t="s">
        <v>9</v>
      </c>
      <c r="E510" s="3" t="s">
        <v>13</v>
      </c>
      <c r="F510" s="2">
        <v>34935</v>
      </c>
      <c r="G510" s="2">
        <v>0</v>
      </c>
      <c r="H510" s="2">
        <v>0</v>
      </c>
      <c r="I510" s="4">
        <v>41446</v>
      </c>
      <c r="J510" s="2">
        <v>71</v>
      </c>
    </row>
    <row r="511" spans="1:10" ht="12.5">
      <c r="A511" s="2">
        <v>509</v>
      </c>
      <c r="B511" s="2">
        <v>8939</v>
      </c>
      <c r="C511" s="2">
        <v>1959</v>
      </c>
      <c r="D511" s="3" t="s">
        <v>9</v>
      </c>
      <c r="E511" s="3" t="s">
        <v>15</v>
      </c>
      <c r="F511" s="2">
        <v>61250</v>
      </c>
      <c r="G511" s="2">
        <v>0</v>
      </c>
      <c r="H511" s="2">
        <v>1</v>
      </c>
      <c r="I511" s="5">
        <v>41259</v>
      </c>
      <c r="J511" s="2">
        <v>49</v>
      </c>
    </row>
    <row r="512" spans="1:10" ht="12.5">
      <c r="A512" s="2">
        <v>510</v>
      </c>
      <c r="B512" s="2">
        <v>9925</v>
      </c>
      <c r="C512" s="2">
        <v>1981</v>
      </c>
      <c r="D512" s="3" t="s">
        <v>12</v>
      </c>
      <c r="E512" s="3" t="s">
        <v>11</v>
      </c>
      <c r="F512" s="2">
        <v>39665</v>
      </c>
      <c r="G512" s="2">
        <v>1</v>
      </c>
      <c r="H512" s="2">
        <v>0</v>
      </c>
      <c r="I512" s="4">
        <v>41419</v>
      </c>
      <c r="J512" s="2">
        <v>97</v>
      </c>
    </row>
    <row r="513" spans="1:10" ht="12.5">
      <c r="A513" s="2">
        <v>511</v>
      </c>
      <c r="B513" s="2">
        <v>4320</v>
      </c>
      <c r="C513" s="2">
        <v>1979</v>
      </c>
      <c r="D513" s="3" t="s">
        <v>9</v>
      </c>
      <c r="E513" s="3" t="s">
        <v>10</v>
      </c>
      <c r="F513" s="2">
        <v>60152</v>
      </c>
      <c r="G513" s="2">
        <v>0</v>
      </c>
      <c r="H513" s="2">
        <v>1</v>
      </c>
      <c r="I513" s="4">
        <v>41361</v>
      </c>
      <c r="J513" s="2">
        <v>6</v>
      </c>
    </row>
    <row r="514" spans="1:10" ht="12.5">
      <c r="A514" s="2">
        <v>512</v>
      </c>
      <c r="B514" s="2">
        <v>5389</v>
      </c>
      <c r="C514" s="2">
        <v>1964</v>
      </c>
      <c r="D514" s="3" t="s">
        <v>9</v>
      </c>
      <c r="E514" s="3" t="s">
        <v>13</v>
      </c>
      <c r="F514" s="2">
        <v>48920</v>
      </c>
      <c r="G514" s="2">
        <v>0</v>
      </c>
      <c r="H514" s="2">
        <v>2</v>
      </c>
      <c r="I514" s="5">
        <v>41567</v>
      </c>
      <c r="J514" s="2">
        <v>93</v>
      </c>
    </row>
    <row r="515" spans="1:10" ht="12.5">
      <c r="A515" s="2">
        <v>513</v>
      </c>
      <c r="B515" s="2">
        <v>6036</v>
      </c>
      <c r="C515" s="2">
        <v>1959</v>
      </c>
      <c r="D515" s="3" t="s">
        <v>14</v>
      </c>
      <c r="E515" s="3" t="s">
        <v>11</v>
      </c>
      <c r="F515" s="2">
        <v>89120</v>
      </c>
      <c r="G515" s="2">
        <v>0</v>
      </c>
      <c r="H515" s="2">
        <v>0</v>
      </c>
      <c r="I515" s="4">
        <v>41715</v>
      </c>
      <c r="J515" s="2">
        <v>78</v>
      </c>
    </row>
    <row r="516" spans="1:10" ht="12.5">
      <c r="A516" s="2">
        <v>514</v>
      </c>
      <c r="B516" s="2">
        <v>182</v>
      </c>
      <c r="C516" s="2">
        <v>1946</v>
      </c>
      <c r="D516" s="3" t="s">
        <v>12</v>
      </c>
      <c r="E516" s="3" t="s">
        <v>11</v>
      </c>
      <c r="F516" s="2">
        <v>44124</v>
      </c>
      <c r="G516" s="2">
        <v>0</v>
      </c>
      <c r="H516" s="2">
        <v>1</v>
      </c>
      <c r="I516" s="4">
        <v>41405</v>
      </c>
      <c r="J516" s="2">
        <v>62</v>
      </c>
    </row>
    <row r="517" spans="1:10" ht="12.5">
      <c r="A517" s="2">
        <v>515</v>
      </c>
      <c r="B517" s="2">
        <v>203</v>
      </c>
      <c r="C517" s="2">
        <v>1975</v>
      </c>
      <c r="D517" s="3" t="s">
        <v>14</v>
      </c>
      <c r="E517" s="3" t="s">
        <v>10</v>
      </c>
      <c r="F517" s="2">
        <v>81169</v>
      </c>
      <c r="G517" s="2">
        <v>0</v>
      </c>
      <c r="H517" s="2">
        <v>0</v>
      </c>
      <c r="I517" s="4">
        <v>41378</v>
      </c>
      <c r="J517" s="2">
        <v>47</v>
      </c>
    </row>
    <row r="518" spans="1:10" ht="12.5">
      <c r="A518" s="2">
        <v>516</v>
      </c>
      <c r="B518" s="2">
        <v>11025</v>
      </c>
      <c r="C518" s="2">
        <v>1961</v>
      </c>
      <c r="D518" s="3" t="s">
        <v>9</v>
      </c>
      <c r="E518" s="3" t="s">
        <v>13</v>
      </c>
      <c r="F518" s="2">
        <v>36443</v>
      </c>
      <c r="G518" s="2">
        <v>1</v>
      </c>
      <c r="H518" s="2">
        <v>1</v>
      </c>
      <c r="I518" s="4">
        <v>41308</v>
      </c>
      <c r="J518" s="2">
        <v>9</v>
      </c>
    </row>
    <row r="519" spans="1:10" ht="12.5">
      <c r="A519" s="2">
        <v>517</v>
      </c>
      <c r="B519" s="2">
        <v>10203</v>
      </c>
      <c r="C519" s="2">
        <v>1990</v>
      </c>
      <c r="D519" s="3" t="s">
        <v>9</v>
      </c>
      <c r="E519" s="3" t="s">
        <v>10</v>
      </c>
      <c r="F519" s="2">
        <v>26095</v>
      </c>
      <c r="G519" s="2">
        <v>1</v>
      </c>
      <c r="H519" s="2">
        <v>0</v>
      </c>
      <c r="I519" s="4">
        <v>41455</v>
      </c>
      <c r="J519" s="2">
        <v>77</v>
      </c>
    </row>
    <row r="520" spans="1:10" ht="12.5">
      <c r="A520" s="2">
        <v>518</v>
      </c>
      <c r="B520" s="2">
        <v>4607</v>
      </c>
      <c r="C520" s="2">
        <v>1959</v>
      </c>
      <c r="D520" s="3" t="s">
        <v>9</v>
      </c>
      <c r="E520" s="3" t="s">
        <v>11</v>
      </c>
      <c r="F520" s="2">
        <v>71367</v>
      </c>
      <c r="G520" s="2">
        <v>0</v>
      </c>
      <c r="H520" s="2">
        <v>0</v>
      </c>
      <c r="I520" s="4">
        <v>41509</v>
      </c>
      <c r="J520" s="2">
        <v>24</v>
      </c>
    </row>
    <row r="521" spans="1:10" ht="12.5">
      <c r="A521" s="2">
        <v>519</v>
      </c>
      <c r="B521" s="2">
        <v>3711</v>
      </c>
      <c r="C521" s="2">
        <v>1944</v>
      </c>
      <c r="D521" s="3" t="s">
        <v>14</v>
      </c>
      <c r="E521" s="3" t="s">
        <v>13</v>
      </c>
      <c r="F521" s="2">
        <v>80184</v>
      </c>
      <c r="G521" s="2">
        <v>0</v>
      </c>
      <c r="H521" s="2">
        <v>0</v>
      </c>
      <c r="I521" s="4">
        <v>41699</v>
      </c>
      <c r="J521" s="2">
        <v>19</v>
      </c>
    </row>
    <row r="522" spans="1:10" ht="12.5">
      <c r="A522" s="2">
        <v>520</v>
      </c>
      <c r="B522" s="2">
        <v>3696</v>
      </c>
      <c r="C522" s="2">
        <v>1965</v>
      </c>
      <c r="D522" s="3" t="s">
        <v>9</v>
      </c>
      <c r="E522" s="3" t="s">
        <v>15</v>
      </c>
      <c r="F522" s="2">
        <v>30630</v>
      </c>
      <c r="G522" s="2">
        <v>1</v>
      </c>
      <c r="H522" s="2">
        <v>1</v>
      </c>
      <c r="I522" s="4">
        <v>41666</v>
      </c>
      <c r="J522" s="2">
        <v>67</v>
      </c>
    </row>
    <row r="523" spans="1:10" ht="12.5">
      <c r="A523" s="2">
        <v>521</v>
      </c>
      <c r="B523" s="2">
        <v>2532</v>
      </c>
      <c r="C523" s="2">
        <v>1987</v>
      </c>
      <c r="D523" s="3" t="s">
        <v>14</v>
      </c>
      <c r="E523" s="3" t="s">
        <v>10</v>
      </c>
      <c r="F523" s="2">
        <v>73454</v>
      </c>
      <c r="G523" s="2">
        <v>0</v>
      </c>
      <c r="H523" s="2">
        <v>0</v>
      </c>
      <c r="I523" s="4">
        <v>41699</v>
      </c>
      <c r="J523" s="2">
        <v>95</v>
      </c>
    </row>
    <row r="524" spans="1:10" ht="12.5">
      <c r="A524" s="2">
        <v>522</v>
      </c>
      <c r="B524" s="2">
        <v>9214</v>
      </c>
      <c r="C524" s="2">
        <v>1991</v>
      </c>
      <c r="D524" s="3" t="s">
        <v>9</v>
      </c>
      <c r="E524" s="3" t="s">
        <v>13</v>
      </c>
      <c r="F524" s="2">
        <v>42691</v>
      </c>
      <c r="G524" s="2">
        <v>0</v>
      </c>
      <c r="H524" s="2">
        <v>0</v>
      </c>
      <c r="I524" s="4">
        <v>41502</v>
      </c>
      <c r="J524" s="2">
        <v>48</v>
      </c>
    </row>
    <row r="525" spans="1:10" ht="12.5">
      <c r="A525" s="2">
        <v>523</v>
      </c>
      <c r="B525" s="2">
        <v>4943</v>
      </c>
      <c r="C525" s="2">
        <v>1953</v>
      </c>
      <c r="D525" s="3" t="s">
        <v>9</v>
      </c>
      <c r="E525" s="3" t="s">
        <v>13</v>
      </c>
      <c r="F525" s="2">
        <v>70503</v>
      </c>
      <c r="G525" s="2">
        <v>0</v>
      </c>
      <c r="H525" s="2">
        <v>0</v>
      </c>
      <c r="I525" s="4">
        <v>41182</v>
      </c>
      <c r="J525" s="2">
        <v>73</v>
      </c>
    </row>
    <row r="526" spans="1:10" ht="12.5">
      <c r="A526" s="2">
        <v>524</v>
      </c>
      <c r="B526" s="2">
        <v>35</v>
      </c>
      <c r="C526" s="2">
        <v>1987</v>
      </c>
      <c r="D526" s="3" t="s">
        <v>9</v>
      </c>
      <c r="E526" s="3" t="s">
        <v>13</v>
      </c>
      <c r="F526" s="2">
        <v>25545</v>
      </c>
      <c r="G526" s="2">
        <v>1</v>
      </c>
      <c r="H526" s="2">
        <v>0</v>
      </c>
      <c r="I526" s="4">
        <v>41160</v>
      </c>
      <c r="J526" s="2">
        <v>35</v>
      </c>
    </row>
    <row r="527" spans="1:10" ht="12.5">
      <c r="A527" s="2">
        <v>525</v>
      </c>
      <c r="B527" s="2">
        <v>2258</v>
      </c>
      <c r="C527" s="2">
        <v>1986</v>
      </c>
      <c r="D527" s="3" t="s">
        <v>9</v>
      </c>
      <c r="E527" s="3" t="s">
        <v>13</v>
      </c>
      <c r="F527" s="2">
        <v>32880</v>
      </c>
      <c r="G527" s="2">
        <v>1</v>
      </c>
      <c r="H527" s="2">
        <v>0</v>
      </c>
      <c r="I527" s="4">
        <v>41247</v>
      </c>
      <c r="J527" s="2">
        <v>76</v>
      </c>
    </row>
    <row r="528" spans="1:10" ht="12.5">
      <c r="A528" s="2">
        <v>526</v>
      </c>
      <c r="B528" s="2">
        <v>4322</v>
      </c>
      <c r="C528" s="2">
        <v>1958</v>
      </c>
      <c r="D528" s="3" t="s">
        <v>12</v>
      </c>
      <c r="E528" s="3" t="s">
        <v>11</v>
      </c>
      <c r="F528" s="2">
        <v>77863</v>
      </c>
      <c r="G528" s="2">
        <v>0</v>
      </c>
      <c r="H528" s="2">
        <v>0</v>
      </c>
      <c r="I528" s="5">
        <v>41605</v>
      </c>
      <c r="J528" s="2">
        <v>20</v>
      </c>
    </row>
    <row r="529" spans="1:10" ht="12.5">
      <c r="A529" s="2">
        <v>527</v>
      </c>
      <c r="B529" s="2">
        <v>713</v>
      </c>
      <c r="C529" s="2">
        <v>1977</v>
      </c>
      <c r="D529" s="3" t="s">
        <v>14</v>
      </c>
      <c r="E529" s="3" t="s">
        <v>13</v>
      </c>
      <c r="F529" s="2">
        <v>50353</v>
      </c>
      <c r="G529" s="2">
        <v>0</v>
      </c>
      <c r="H529" s="2">
        <v>0</v>
      </c>
      <c r="I529" s="4">
        <v>41798</v>
      </c>
      <c r="J529" s="2">
        <v>72</v>
      </c>
    </row>
    <row r="530" spans="1:10" ht="12.5">
      <c r="A530" s="2">
        <v>528</v>
      </c>
      <c r="B530" s="2">
        <v>4702</v>
      </c>
      <c r="C530" s="2">
        <v>1964</v>
      </c>
      <c r="D530" s="3" t="s">
        <v>9</v>
      </c>
      <c r="E530" s="3" t="s">
        <v>10</v>
      </c>
      <c r="F530" s="2">
        <v>61839</v>
      </c>
      <c r="G530" s="2">
        <v>0</v>
      </c>
      <c r="H530" s="2">
        <v>0</v>
      </c>
      <c r="I530" s="4">
        <v>41133</v>
      </c>
      <c r="J530" s="2">
        <v>20</v>
      </c>
    </row>
    <row r="531" spans="1:10" ht="12.5">
      <c r="A531" s="2">
        <v>529</v>
      </c>
      <c r="B531" s="2">
        <v>3281</v>
      </c>
      <c r="C531" s="2">
        <v>1960</v>
      </c>
      <c r="D531" s="3" t="s">
        <v>12</v>
      </c>
      <c r="E531" s="3" t="s">
        <v>13</v>
      </c>
      <c r="F531" s="2">
        <v>49154</v>
      </c>
      <c r="G531" s="2">
        <v>1</v>
      </c>
      <c r="H531" s="2">
        <v>1</v>
      </c>
      <c r="I531" s="4">
        <v>41581</v>
      </c>
      <c r="J531" s="2">
        <v>69</v>
      </c>
    </row>
    <row r="532" spans="1:10" ht="12.5">
      <c r="A532" s="2">
        <v>530</v>
      </c>
      <c r="B532" s="2">
        <v>702</v>
      </c>
      <c r="C532" s="2">
        <v>1975</v>
      </c>
      <c r="D532" s="3" t="s">
        <v>17</v>
      </c>
      <c r="E532" s="3" t="s">
        <v>18</v>
      </c>
      <c r="F532" s="2">
        <v>47682</v>
      </c>
      <c r="G532" s="2">
        <v>0</v>
      </c>
      <c r="H532" s="2">
        <v>1</v>
      </c>
      <c r="I532" s="4">
        <v>41320</v>
      </c>
      <c r="J532" s="2">
        <v>80</v>
      </c>
    </row>
    <row r="533" spans="1:10" ht="12.5">
      <c r="A533" s="2">
        <v>531</v>
      </c>
      <c r="B533" s="2">
        <v>2004</v>
      </c>
      <c r="C533" s="2">
        <v>1969</v>
      </c>
      <c r="D533" s="3" t="s">
        <v>9</v>
      </c>
      <c r="E533" s="3" t="s">
        <v>10</v>
      </c>
      <c r="F533" s="2">
        <v>72679</v>
      </c>
      <c r="G533" s="2">
        <v>0</v>
      </c>
      <c r="H533" s="2">
        <v>1</v>
      </c>
      <c r="I533" s="4">
        <v>41535</v>
      </c>
      <c r="J533" s="2">
        <v>65</v>
      </c>
    </row>
    <row r="534" spans="1:10" ht="12.5">
      <c r="A534" s="2">
        <v>532</v>
      </c>
      <c r="B534" s="2">
        <v>4769</v>
      </c>
      <c r="C534" s="2">
        <v>1977</v>
      </c>
      <c r="D534" s="3" t="s">
        <v>14</v>
      </c>
      <c r="E534" s="3" t="s">
        <v>11</v>
      </c>
      <c r="F534" s="2">
        <v>57954</v>
      </c>
      <c r="G534" s="2">
        <v>1</v>
      </c>
      <c r="H534" s="2">
        <v>1</v>
      </c>
      <c r="I534" s="4">
        <v>41808</v>
      </c>
      <c r="J534" s="2">
        <v>52</v>
      </c>
    </row>
    <row r="535" spans="1:10" ht="12.5">
      <c r="A535" s="2">
        <v>533</v>
      </c>
      <c r="B535" s="2">
        <v>4437</v>
      </c>
      <c r="C535" s="2">
        <v>1962</v>
      </c>
      <c r="D535" s="3" t="s">
        <v>9</v>
      </c>
      <c r="E535" s="3" t="s">
        <v>13</v>
      </c>
      <c r="F535" s="2">
        <v>65316</v>
      </c>
      <c r="G535" s="2">
        <v>1</v>
      </c>
      <c r="H535" s="2">
        <v>1</v>
      </c>
      <c r="I535" s="4">
        <v>41388</v>
      </c>
      <c r="J535" s="2">
        <v>65</v>
      </c>
    </row>
    <row r="536" spans="1:10" ht="12.5">
      <c r="A536" s="2">
        <v>534</v>
      </c>
      <c r="B536" s="2">
        <v>8724</v>
      </c>
      <c r="C536" s="2">
        <v>1982</v>
      </c>
      <c r="D536" s="3" t="s">
        <v>9</v>
      </c>
      <c r="E536" s="3" t="s">
        <v>10</v>
      </c>
      <c r="F536" s="2">
        <v>28567</v>
      </c>
      <c r="G536" s="2">
        <v>1</v>
      </c>
      <c r="H536" s="2">
        <v>0</v>
      </c>
      <c r="I536" s="4">
        <v>41442</v>
      </c>
      <c r="J536" s="2">
        <v>57</v>
      </c>
    </row>
    <row r="537" spans="1:10" ht="12.5">
      <c r="A537" s="2">
        <v>535</v>
      </c>
      <c r="B537" s="2">
        <v>10741</v>
      </c>
      <c r="C537" s="2">
        <v>1951</v>
      </c>
      <c r="D537" s="3" t="s">
        <v>14</v>
      </c>
      <c r="E537" s="3" t="s">
        <v>11</v>
      </c>
      <c r="F537" s="2">
        <v>47352</v>
      </c>
      <c r="G537" s="2">
        <v>0</v>
      </c>
      <c r="H537" s="2">
        <v>1</v>
      </c>
      <c r="I537" s="4">
        <v>41375</v>
      </c>
      <c r="J537" s="2">
        <v>70</v>
      </c>
    </row>
    <row r="538" spans="1:10" ht="12.5">
      <c r="A538" s="2">
        <v>536</v>
      </c>
      <c r="B538" s="2">
        <v>1991</v>
      </c>
      <c r="C538" s="2">
        <v>1967</v>
      </c>
      <c r="D538" s="3" t="s">
        <v>9</v>
      </c>
      <c r="E538" s="3" t="s">
        <v>11</v>
      </c>
      <c r="F538" s="2">
        <v>44931</v>
      </c>
      <c r="G538" s="2">
        <v>0</v>
      </c>
      <c r="H538" s="2">
        <v>1</v>
      </c>
      <c r="I538" s="4">
        <v>41657</v>
      </c>
      <c r="J538" s="2">
        <v>0</v>
      </c>
    </row>
    <row r="539" spans="1:10" ht="12.5">
      <c r="A539" s="2">
        <v>537</v>
      </c>
      <c r="B539" s="2">
        <v>6931</v>
      </c>
      <c r="C539" s="2">
        <v>1967</v>
      </c>
      <c r="D539" s="3" t="s">
        <v>9</v>
      </c>
      <c r="E539" s="3" t="s">
        <v>15</v>
      </c>
      <c r="F539" s="2">
        <v>76982</v>
      </c>
      <c r="G539" s="2">
        <v>0</v>
      </c>
      <c r="H539" s="2">
        <v>0</v>
      </c>
      <c r="I539" s="4">
        <v>41685</v>
      </c>
      <c r="J539" s="2">
        <v>19</v>
      </c>
    </row>
    <row r="540" spans="1:10" ht="12.5">
      <c r="A540" s="2">
        <v>538</v>
      </c>
      <c r="B540" s="2">
        <v>11096</v>
      </c>
      <c r="C540" s="2">
        <v>1952</v>
      </c>
      <c r="D540" s="3" t="s">
        <v>17</v>
      </c>
      <c r="E540" s="3" t="s">
        <v>11</v>
      </c>
      <c r="F540" s="2">
        <v>57247</v>
      </c>
      <c r="G540" s="2">
        <v>0</v>
      </c>
      <c r="H540" s="2">
        <v>1</v>
      </c>
      <c r="I540" s="4">
        <v>41494</v>
      </c>
      <c r="J540" s="2">
        <v>50</v>
      </c>
    </row>
    <row r="541" spans="1:10" ht="12.5">
      <c r="A541" s="2">
        <v>539</v>
      </c>
      <c r="B541" s="2">
        <v>304</v>
      </c>
      <c r="C541" s="2">
        <v>1981</v>
      </c>
      <c r="D541" s="3" t="s">
        <v>14</v>
      </c>
      <c r="E541" s="3" t="s">
        <v>10</v>
      </c>
      <c r="F541" s="2">
        <v>22944</v>
      </c>
      <c r="G541" s="2">
        <v>1</v>
      </c>
      <c r="H541" s="2">
        <v>0</v>
      </c>
      <c r="I541" s="5">
        <v>41631</v>
      </c>
      <c r="J541" s="2">
        <v>67</v>
      </c>
    </row>
    <row r="542" spans="1:10" ht="12.5">
      <c r="A542" s="2">
        <v>540</v>
      </c>
      <c r="B542" s="2">
        <v>3665</v>
      </c>
      <c r="C542" s="2">
        <v>1977</v>
      </c>
      <c r="D542" s="3" t="s">
        <v>17</v>
      </c>
      <c r="E542" s="3" t="s">
        <v>11</v>
      </c>
      <c r="F542" s="2">
        <v>25315</v>
      </c>
      <c r="G542" s="2">
        <v>1</v>
      </c>
      <c r="H542" s="2">
        <v>0</v>
      </c>
      <c r="I542" s="4">
        <v>41585</v>
      </c>
      <c r="J542" s="2">
        <v>46</v>
      </c>
    </row>
    <row r="543" spans="1:10" ht="12.5">
      <c r="A543" s="2">
        <v>541</v>
      </c>
      <c r="B543" s="2">
        <v>10591</v>
      </c>
      <c r="C543" s="2">
        <v>1969</v>
      </c>
      <c r="D543" s="3" t="s">
        <v>9</v>
      </c>
      <c r="E543" s="3" t="s">
        <v>18</v>
      </c>
      <c r="F543" s="2">
        <v>43638</v>
      </c>
      <c r="G543" s="2">
        <v>0</v>
      </c>
      <c r="H543" s="2">
        <v>1</v>
      </c>
      <c r="I543" s="4">
        <v>41127</v>
      </c>
      <c r="J543" s="2">
        <v>37</v>
      </c>
    </row>
    <row r="544" spans="1:10" ht="12.5">
      <c r="A544" s="2">
        <v>542</v>
      </c>
      <c r="B544" s="2">
        <v>5036</v>
      </c>
      <c r="C544" s="2">
        <v>1984</v>
      </c>
      <c r="D544" s="3" t="s">
        <v>12</v>
      </c>
      <c r="E544" s="3" t="s">
        <v>10</v>
      </c>
      <c r="F544" s="2">
        <v>42710</v>
      </c>
      <c r="G544" s="2">
        <v>1</v>
      </c>
      <c r="H544" s="2">
        <v>0</v>
      </c>
      <c r="I544" s="5">
        <v>41241</v>
      </c>
      <c r="J544" s="2">
        <v>38</v>
      </c>
    </row>
    <row r="545" spans="1:10" ht="12.5">
      <c r="A545" s="2">
        <v>543</v>
      </c>
      <c r="B545" s="2">
        <v>5547</v>
      </c>
      <c r="C545" s="2">
        <v>1982</v>
      </c>
      <c r="D545" s="3" t="s">
        <v>12</v>
      </c>
      <c r="E545" s="3" t="s">
        <v>13</v>
      </c>
      <c r="F545" s="2">
        <v>84169</v>
      </c>
      <c r="G545" s="2">
        <v>0</v>
      </c>
      <c r="H545" s="2">
        <v>0</v>
      </c>
      <c r="I545" s="4">
        <v>41493</v>
      </c>
      <c r="J545" s="2">
        <v>9</v>
      </c>
    </row>
    <row r="546" spans="1:10" ht="12.5">
      <c r="A546" s="2">
        <v>544</v>
      </c>
      <c r="B546" s="2">
        <v>7822</v>
      </c>
      <c r="C546" s="2">
        <v>1976</v>
      </c>
      <c r="D546" s="3" t="s">
        <v>9</v>
      </c>
      <c r="E546" s="3" t="s">
        <v>11</v>
      </c>
      <c r="F546" s="2">
        <v>54058</v>
      </c>
      <c r="G546" s="2">
        <v>0</v>
      </c>
      <c r="H546" s="2">
        <v>1</v>
      </c>
      <c r="I546" s="4">
        <v>41429</v>
      </c>
      <c r="J546" s="2">
        <v>56</v>
      </c>
    </row>
    <row r="547" spans="1:10" ht="12.5">
      <c r="A547" s="2">
        <v>545</v>
      </c>
      <c r="B547" s="2">
        <v>8541</v>
      </c>
      <c r="C547" s="2">
        <v>1990</v>
      </c>
      <c r="D547" s="3" t="s">
        <v>17</v>
      </c>
      <c r="E547" s="3" t="s">
        <v>13</v>
      </c>
      <c r="F547" s="2">
        <v>24683</v>
      </c>
      <c r="G547" s="2">
        <v>1</v>
      </c>
      <c r="H547" s="2">
        <v>0</v>
      </c>
      <c r="I547" s="4">
        <v>41706</v>
      </c>
      <c r="J547" s="2">
        <v>98</v>
      </c>
    </row>
    <row r="548" spans="1:10" ht="12.5">
      <c r="A548" s="2">
        <v>546</v>
      </c>
      <c r="B548" s="2">
        <v>10955</v>
      </c>
      <c r="C548" s="2">
        <v>1964</v>
      </c>
      <c r="D548" s="3" t="s">
        <v>9</v>
      </c>
      <c r="E548" s="3" t="s">
        <v>18</v>
      </c>
      <c r="F548" s="2">
        <v>85620</v>
      </c>
      <c r="G548" s="2">
        <v>0</v>
      </c>
      <c r="H548" s="2">
        <v>0</v>
      </c>
      <c r="I548" s="4">
        <v>41646</v>
      </c>
      <c r="J548" s="2">
        <v>68</v>
      </c>
    </row>
    <row r="549" spans="1:10" ht="12.5">
      <c r="A549" s="2">
        <v>547</v>
      </c>
      <c r="B549" s="2">
        <v>4368</v>
      </c>
      <c r="C549" s="2">
        <v>1980</v>
      </c>
      <c r="D549" s="3" t="s">
        <v>9</v>
      </c>
      <c r="E549" s="3" t="s">
        <v>13</v>
      </c>
      <c r="F549" s="2">
        <v>47850</v>
      </c>
      <c r="G549" s="2">
        <v>1</v>
      </c>
      <c r="H549" s="2">
        <v>0</v>
      </c>
      <c r="I549" s="4">
        <v>41611</v>
      </c>
      <c r="J549" s="2">
        <v>72</v>
      </c>
    </row>
    <row r="550" spans="1:10" ht="12.5">
      <c r="A550" s="2">
        <v>548</v>
      </c>
      <c r="B550" s="2">
        <v>9671</v>
      </c>
      <c r="C550" s="2">
        <v>1968</v>
      </c>
      <c r="D550" s="3" t="s">
        <v>9</v>
      </c>
      <c r="E550" s="3" t="s">
        <v>13</v>
      </c>
      <c r="F550" s="2">
        <v>19514</v>
      </c>
      <c r="G550" s="2">
        <v>1</v>
      </c>
      <c r="H550" s="2">
        <v>1</v>
      </c>
      <c r="I550" s="4">
        <v>41665</v>
      </c>
      <c r="J550" s="2">
        <v>47</v>
      </c>
    </row>
    <row r="551" spans="1:10" ht="12.5">
      <c r="A551" s="2">
        <v>549</v>
      </c>
      <c r="B551" s="2">
        <v>2256</v>
      </c>
      <c r="C551" s="2">
        <v>1973</v>
      </c>
      <c r="D551" s="3" t="s">
        <v>14</v>
      </c>
      <c r="E551" s="3" t="s">
        <v>13</v>
      </c>
      <c r="F551" s="2">
        <v>27159</v>
      </c>
      <c r="G551" s="2">
        <v>1</v>
      </c>
      <c r="H551" s="2">
        <v>1</v>
      </c>
      <c r="I551" s="4">
        <v>41727</v>
      </c>
      <c r="J551" s="2">
        <v>33</v>
      </c>
    </row>
    <row r="552" spans="1:10" ht="12.5">
      <c r="A552" s="2">
        <v>550</v>
      </c>
      <c r="B552" s="2">
        <v>4279</v>
      </c>
      <c r="C552" s="2">
        <v>1963</v>
      </c>
      <c r="D552" s="3" t="s">
        <v>17</v>
      </c>
      <c r="E552" s="3" t="s">
        <v>10</v>
      </c>
      <c r="F552" s="2">
        <v>39548</v>
      </c>
      <c r="G552" s="2">
        <v>1</v>
      </c>
      <c r="H552" s="2">
        <v>1</v>
      </c>
      <c r="I552" s="4">
        <v>41729</v>
      </c>
      <c r="J552" s="2">
        <v>87</v>
      </c>
    </row>
    <row r="553" spans="1:10" ht="12.5">
      <c r="A553" s="2">
        <v>551</v>
      </c>
      <c r="B553" s="2">
        <v>5371</v>
      </c>
      <c r="C553" s="2">
        <v>1989</v>
      </c>
      <c r="D553" s="3" t="s">
        <v>9</v>
      </c>
      <c r="E553" s="3" t="s">
        <v>10</v>
      </c>
      <c r="F553" s="2">
        <v>21474</v>
      </c>
      <c r="G553" s="2">
        <v>1</v>
      </c>
      <c r="H553" s="2">
        <v>0</v>
      </c>
      <c r="I553" s="4">
        <v>41737</v>
      </c>
      <c r="J553" s="2">
        <v>0</v>
      </c>
    </row>
    <row r="554" spans="1:10" ht="12.5">
      <c r="A554" s="2">
        <v>552</v>
      </c>
      <c r="B554" s="2">
        <v>9240</v>
      </c>
      <c r="C554" s="2">
        <v>1971</v>
      </c>
      <c r="D554" s="3" t="s">
        <v>12</v>
      </c>
      <c r="E554" s="3" t="s">
        <v>10</v>
      </c>
      <c r="F554" s="2">
        <v>60504</v>
      </c>
      <c r="G554" s="2">
        <v>0</v>
      </c>
      <c r="H554" s="2">
        <v>1</v>
      </c>
      <c r="I554" s="4">
        <v>41677</v>
      </c>
      <c r="J554" s="2">
        <v>73</v>
      </c>
    </row>
    <row r="555" spans="1:10" ht="12.5">
      <c r="A555" s="2">
        <v>553</v>
      </c>
      <c r="B555" s="2">
        <v>9460</v>
      </c>
      <c r="C555" s="2">
        <v>1963</v>
      </c>
      <c r="D555" s="3" t="s">
        <v>9</v>
      </c>
      <c r="E555" s="3" t="s">
        <v>13</v>
      </c>
      <c r="F555" s="2">
        <v>22419</v>
      </c>
      <c r="G555" s="2">
        <v>0</v>
      </c>
      <c r="H555" s="2">
        <v>0</v>
      </c>
      <c r="I555" s="4">
        <v>41382</v>
      </c>
      <c r="J555" s="2">
        <v>74</v>
      </c>
    </row>
    <row r="556" spans="1:10" ht="12.5">
      <c r="A556" s="2">
        <v>554</v>
      </c>
      <c r="B556" s="2">
        <v>9504</v>
      </c>
      <c r="C556" s="2">
        <v>1949</v>
      </c>
      <c r="D556" s="3" t="s">
        <v>14</v>
      </c>
      <c r="E556" s="3" t="s">
        <v>13</v>
      </c>
      <c r="F556" s="2">
        <v>81698</v>
      </c>
      <c r="G556" s="2">
        <v>0</v>
      </c>
      <c r="H556" s="2">
        <v>0</v>
      </c>
      <c r="I556" s="4">
        <v>41584</v>
      </c>
      <c r="J556" s="2">
        <v>4</v>
      </c>
    </row>
    <row r="557" spans="1:10" ht="12.5">
      <c r="A557" s="2">
        <v>555</v>
      </c>
      <c r="B557" s="2">
        <v>8692</v>
      </c>
      <c r="C557" s="2">
        <v>1952</v>
      </c>
      <c r="D557" s="3" t="s">
        <v>9</v>
      </c>
      <c r="E557" s="3" t="s">
        <v>11</v>
      </c>
      <c r="F557" s="2">
        <v>43462</v>
      </c>
      <c r="G557" s="2">
        <v>1</v>
      </c>
      <c r="H557" s="2">
        <v>1</v>
      </c>
      <c r="I557" s="4">
        <v>41164</v>
      </c>
      <c r="J557" s="2">
        <v>50</v>
      </c>
    </row>
    <row r="558" spans="1:10" ht="12.5">
      <c r="A558" s="2">
        <v>556</v>
      </c>
      <c r="B558" s="2">
        <v>448</v>
      </c>
      <c r="C558" s="2">
        <v>1978</v>
      </c>
      <c r="D558" s="3" t="s">
        <v>12</v>
      </c>
      <c r="E558" s="3" t="s">
        <v>10</v>
      </c>
      <c r="F558" s="2">
        <v>54880</v>
      </c>
      <c r="G558" s="2">
        <v>1</v>
      </c>
      <c r="H558" s="2">
        <v>0</v>
      </c>
      <c r="I558" s="4">
        <v>41334</v>
      </c>
      <c r="J558" s="2">
        <v>57</v>
      </c>
    </row>
    <row r="559" spans="1:10" ht="12.5">
      <c r="A559" s="2">
        <v>557</v>
      </c>
      <c r="B559" s="2">
        <v>8314</v>
      </c>
      <c r="C559" s="2">
        <v>1982</v>
      </c>
      <c r="D559" s="3" t="s">
        <v>9</v>
      </c>
      <c r="E559" s="3" t="s">
        <v>13</v>
      </c>
      <c r="F559" s="2">
        <v>79908</v>
      </c>
      <c r="G559" s="2">
        <v>0</v>
      </c>
      <c r="H559" s="2">
        <v>0</v>
      </c>
      <c r="I559" s="4">
        <v>41369</v>
      </c>
      <c r="J559" s="2">
        <v>30</v>
      </c>
    </row>
    <row r="560" spans="1:10" ht="12.5">
      <c r="A560" s="2">
        <v>558</v>
      </c>
      <c r="B560" s="2">
        <v>8420</v>
      </c>
      <c r="C560" s="2">
        <v>1970</v>
      </c>
      <c r="D560" s="3" t="s">
        <v>17</v>
      </c>
      <c r="E560" s="3" t="s">
        <v>13</v>
      </c>
      <c r="F560" s="2">
        <v>15315</v>
      </c>
      <c r="G560" s="2">
        <v>0</v>
      </c>
      <c r="H560" s="2">
        <v>0</v>
      </c>
      <c r="I560" s="4">
        <v>41489</v>
      </c>
      <c r="J560" s="2">
        <v>27</v>
      </c>
    </row>
    <row r="561" spans="1:10" ht="12.5">
      <c r="A561" s="2">
        <v>559</v>
      </c>
      <c r="B561" s="2">
        <v>3174</v>
      </c>
      <c r="C561" s="2">
        <v>1959</v>
      </c>
      <c r="D561" s="3" t="s">
        <v>9</v>
      </c>
      <c r="E561" s="3" t="s">
        <v>11</v>
      </c>
      <c r="F561" s="2">
        <v>87771</v>
      </c>
      <c r="G561" s="2">
        <v>0</v>
      </c>
      <c r="H561" s="2">
        <v>1</v>
      </c>
      <c r="I561" s="4">
        <v>41416</v>
      </c>
      <c r="J561" s="2">
        <v>61</v>
      </c>
    </row>
    <row r="562" spans="1:10" ht="12.5">
      <c r="A562" s="2">
        <v>560</v>
      </c>
      <c r="B562" s="2">
        <v>7685</v>
      </c>
      <c r="C562" s="2">
        <v>1978</v>
      </c>
      <c r="D562" s="3" t="s">
        <v>9</v>
      </c>
      <c r="E562" s="3" t="s">
        <v>13</v>
      </c>
      <c r="F562" s="2">
        <v>33039</v>
      </c>
      <c r="G562" s="2">
        <v>1</v>
      </c>
      <c r="H562" s="2">
        <v>0</v>
      </c>
      <c r="I562" s="4">
        <v>41526</v>
      </c>
      <c r="J562" s="2">
        <v>4</v>
      </c>
    </row>
    <row r="563" spans="1:10" ht="12.5">
      <c r="A563" s="2">
        <v>561</v>
      </c>
      <c r="B563" s="2">
        <v>3179</v>
      </c>
      <c r="C563" s="2">
        <v>1980</v>
      </c>
      <c r="D563" s="3" t="s">
        <v>9</v>
      </c>
      <c r="E563" s="3" t="s">
        <v>10</v>
      </c>
      <c r="F563" s="2">
        <v>81741</v>
      </c>
      <c r="G563" s="2">
        <v>0</v>
      </c>
      <c r="H563" s="2">
        <v>0</v>
      </c>
      <c r="I563" s="4">
        <v>41441</v>
      </c>
      <c r="J563" s="2">
        <v>75</v>
      </c>
    </row>
    <row r="564" spans="1:10" ht="12.5">
      <c r="A564" s="2">
        <v>562</v>
      </c>
      <c r="B564" s="2">
        <v>9780</v>
      </c>
      <c r="C564" s="2">
        <v>1971</v>
      </c>
      <c r="D564" s="3" t="s">
        <v>14</v>
      </c>
      <c r="E564" s="3" t="s">
        <v>11</v>
      </c>
      <c r="F564" s="2">
        <v>71499</v>
      </c>
      <c r="G564" s="2">
        <v>0</v>
      </c>
      <c r="H564" s="2">
        <v>1</v>
      </c>
      <c r="I564" s="4">
        <v>41450</v>
      </c>
      <c r="J564" s="2">
        <v>12</v>
      </c>
    </row>
    <row r="565" spans="1:10" ht="12.5">
      <c r="A565" s="2">
        <v>563</v>
      </c>
      <c r="B565" s="2">
        <v>10681</v>
      </c>
      <c r="C565" s="2">
        <v>1970</v>
      </c>
      <c r="D565" s="3" t="s">
        <v>17</v>
      </c>
      <c r="E565" s="3" t="s">
        <v>13</v>
      </c>
      <c r="F565" s="2">
        <v>62466</v>
      </c>
      <c r="G565" s="2">
        <v>0</v>
      </c>
      <c r="H565" s="2">
        <v>1</v>
      </c>
      <c r="I565" s="4">
        <v>41654</v>
      </c>
      <c r="J565" s="2">
        <v>13</v>
      </c>
    </row>
    <row r="566" spans="1:10" ht="12.5">
      <c r="A566" s="2">
        <v>564</v>
      </c>
      <c r="B566" s="2">
        <v>10232</v>
      </c>
      <c r="C566" s="2">
        <v>1963</v>
      </c>
      <c r="D566" s="3" t="s">
        <v>12</v>
      </c>
      <c r="E566" s="3" t="s">
        <v>15</v>
      </c>
      <c r="F566" s="2">
        <v>48799</v>
      </c>
      <c r="G566" s="2">
        <v>0</v>
      </c>
      <c r="H566" s="2">
        <v>1</v>
      </c>
      <c r="I566" s="4">
        <v>41583</v>
      </c>
      <c r="J566" s="2">
        <v>9</v>
      </c>
    </row>
    <row r="567" spans="1:10" ht="12.5">
      <c r="A567" s="2">
        <v>565</v>
      </c>
      <c r="B567" s="2">
        <v>4184</v>
      </c>
      <c r="C567" s="2">
        <v>1950</v>
      </c>
      <c r="D567" s="3" t="s">
        <v>12</v>
      </c>
      <c r="E567" s="3" t="s">
        <v>11</v>
      </c>
      <c r="F567" s="2">
        <v>52157</v>
      </c>
      <c r="G567" s="2">
        <v>0</v>
      </c>
      <c r="H567" s="2">
        <v>1</v>
      </c>
      <c r="I567" s="4">
        <v>41797</v>
      </c>
      <c r="J567" s="2">
        <v>48</v>
      </c>
    </row>
    <row r="568" spans="1:10" ht="12.5">
      <c r="A568" s="2">
        <v>566</v>
      </c>
      <c r="B568" s="2">
        <v>9120</v>
      </c>
      <c r="C568" s="2">
        <v>1962</v>
      </c>
      <c r="D568" s="3" t="s">
        <v>9</v>
      </c>
      <c r="E568" s="3" t="s">
        <v>10</v>
      </c>
      <c r="F568" s="2">
        <v>66565</v>
      </c>
      <c r="G568" s="2">
        <v>0</v>
      </c>
      <c r="H568" s="2">
        <v>1</v>
      </c>
      <c r="I568" s="4">
        <v>41248</v>
      </c>
      <c r="J568" s="2">
        <v>80</v>
      </c>
    </row>
    <row r="569" spans="1:10" ht="12.5">
      <c r="A569" s="2">
        <v>567</v>
      </c>
      <c r="B569" s="2">
        <v>891</v>
      </c>
      <c r="C569" s="2">
        <v>1951</v>
      </c>
      <c r="D569" s="3" t="s">
        <v>14</v>
      </c>
      <c r="E569" s="3" t="s">
        <v>11</v>
      </c>
      <c r="F569" s="2">
        <v>29298</v>
      </c>
      <c r="G569" s="2">
        <v>1</v>
      </c>
      <c r="H569" s="2">
        <v>1</v>
      </c>
      <c r="I569" s="4">
        <v>41524</v>
      </c>
      <c r="J569" s="2">
        <v>60</v>
      </c>
    </row>
    <row r="570" spans="1:10" ht="12.5">
      <c r="A570" s="2">
        <v>568</v>
      </c>
      <c r="B570" s="2">
        <v>10381</v>
      </c>
      <c r="C570" s="2">
        <v>1979</v>
      </c>
      <c r="D570" s="3" t="s">
        <v>9</v>
      </c>
      <c r="E570" s="3" t="s">
        <v>10</v>
      </c>
      <c r="F570" s="2">
        <v>47691</v>
      </c>
      <c r="G570" s="2">
        <v>0</v>
      </c>
      <c r="H570" s="2">
        <v>1</v>
      </c>
      <c r="I570" s="4">
        <v>41460</v>
      </c>
      <c r="J570" s="2">
        <v>43</v>
      </c>
    </row>
    <row r="571" spans="1:10" ht="12.5">
      <c r="A571" s="2">
        <v>569</v>
      </c>
      <c r="B571" s="2">
        <v>3525</v>
      </c>
      <c r="C571" s="2">
        <v>1970</v>
      </c>
      <c r="D571" s="3" t="s">
        <v>9</v>
      </c>
      <c r="E571" s="3" t="s">
        <v>11</v>
      </c>
      <c r="F571" s="2">
        <v>38200</v>
      </c>
      <c r="G571" s="2">
        <v>1</v>
      </c>
      <c r="H571" s="2">
        <v>1</v>
      </c>
      <c r="I571" s="4">
        <v>41250</v>
      </c>
      <c r="J571" s="2">
        <v>19</v>
      </c>
    </row>
    <row r="572" spans="1:10" ht="12.5">
      <c r="A572" s="2">
        <v>570</v>
      </c>
      <c r="B572" s="2">
        <v>6818</v>
      </c>
      <c r="C572" s="2">
        <v>1974</v>
      </c>
      <c r="D572" s="3" t="s">
        <v>9</v>
      </c>
      <c r="E572" s="3" t="s">
        <v>13</v>
      </c>
      <c r="F572" s="2">
        <v>44989</v>
      </c>
      <c r="G572" s="2">
        <v>0</v>
      </c>
      <c r="H572" s="2">
        <v>1</v>
      </c>
      <c r="I572" s="4">
        <v>41164</v>
      </c>
      <c r="J572" s="2">
        <v>26</v>
      </c>
    </row>
    <row r="573" spans="1:10" ht="12.5">
      <c r="A573" s="2">
        <v>571</v>
      </c>
      <c r="B573" s="2">
        <v>3526</v>
      </c>
      <c r="C573" s="2">
        <v>1968</v>
      </c>
      <c r="D573" s="3" t="s">
        <v>12</v>
      </c>
      <c r="E573" s="3" t="s">
        <v>13</v>
      </c>
      <c r="F573" s="2">
        <v>38443</v>
      </c>
      <c r="G573" s="2">
        <v>1</v>
      </c>
      <c r="H573" s="2">
        <v>1</v>
      </c>
      <c r="I573" s="4">
        <v>41666</v>
      </c>
      <c r="J573" s="2">
        <v>58</v>
      </c>
    </row>
    <row r="574" spans="1:10" ht="12.5">
      <c r="A574" s="2">
        <v>572</v>
      </c>
      <c r="B574" s="2">
        <v>8181</v>
      </c>
      <c r="C574" s="2">
        <v>1978</v>
      </c>
      <c r="D574" s="3" t="s">
        <v>17</v>
      </c>
      <c r="E574" s="3" t="s">
        <v>10</v>
      </c>
      <c r="F574" s="2">
        <v>38593</v>
      </c>
      <c r="G574" s="2">
        <v>1</v>
      </c>
      <c r="H574" s="2">
        <v>0</v>
      </c>
      <c r="I574" s="4">
        <v>41530</v>
      </c>
      <c r="J574" s="2">
        <v>42</v>
      </c>
    </row>
    <row r="575" spans="1:10" ht="12.5">
      <c r="A575" s="2">
        <v>573</v>
      </c>
      <c r="B575" s="2">
        <v>1029</v>
      </c>
      <c r="C575" s="2">
        <v>1970</v>
      </c>
      <c r="D575" s="3" t="s">
        <v>12</v>
      </c>
      <c r="E575" s="3" t="s">
        <v>11</v>
      </c>
      <c r="F575" s="2">
        <v>64413</v>
      </c>
      <c r="G575" s="2">
        <v>0</v>
      </c>
      <c r="H575" s="2">
        <v>1</v>
      </c>
      <c r="I575" s="4">
        <v>41487</v>
      </c>
      <c r="J575" s="2">
        <v>27</v>
      </c>
    </row>
    <row r="576" spans="1:10" ht="12.5">
      <c r="A576" s="2">
        <v>574</v>
      </c>
      <c r="B576" s="2">
        <v>7369</v>
      </c>
      <c r="C576" s="2">
        <v>1981</v>
      </c>
      <c r="D576" s="3" t="s">
        <v>14</v>
      </c>
      <c r="E576" s="3" t="s">
        <v>13</v>
      </c>
      <c r="F576" s="2">
        <v>36959</v>
      </c>
      <c r="G576" s="2">
        <v>1</v>
      </c>
      <c r="H576" s="2">
        <v>0</v>
      </c>
      <c r="I576" s="4">
        <v>41549</v>
      </c>
      <c r="J576" s="2">
        <v>56</v>
      </c>
    </row>
    <row r="577" spans="1:10" ht="12.5">
      <c r="A577" s="2">
        <v>575</v>
      </c>
      <c r="B577" s="2">
        <v>2574</v>
      </c>
      <c r="C577" s="2">
        <v>1977</v>
      </c>
      <c r="D577" s="3" t="s">
        <v>12</v>
      </c>
      <c r="E577" s="3" t="s">
        <v>13</v>
      </c>
      <c r="F577" s="2">
        <v>61996</v>
      </c>
      <c r="G577" s="2">
        <v>0</v>
      </c>
      <c r="H577" s="2">
        <v>1</v>
      </c>
      <c r="I577" s="4">
        <v>41305</v>
      </c>
      <c r="J577" s="2">
        <v>27</v>
      </c>
    </row>
    <row r="578" spans="1:10" ht="12.5">
      <c r="A578" s="2">
        <v>576</v>
      </c>
      <c r="B578" s="2">
        <v>8159</v>
      </c>
      <c r="C578" s="2">
        <v>1968</v>
      </c>
      <c r="D578" s="3" t="s">
        <v>9</v>
      </c>
      <c r="E578" s="3" t="s">
        <v>13</v>
      </c>
      <c r="F578" s="2">
        <v>51287</v>
      </c>
      <c r="G578" s="2">
        <v>1</v>
      </c>
      <c r="H578" s="2">
        <v>1</v>
      </c>
      <c r="I578" s="4">
        <v>41730</v>
      </c>
      <c r="J578" s="2">
        <v>10</v>
      </c>
    </row>
    <row r="579" spans="1:10" ht="12.5">
      <c r="A579" s="2">
        <v>577</v>
      </c>
      <c r="B579" s="2">
        <v>1160</v>
      </c>
      <c r="C579" s="2">
        <v>1970</v>
      </c>
      <c r="D579" s="3" t="s">
        <v>9</v>
      </c>
      <c r="E579" s="3" t="s">
        <v>13</v>
      </c>
      <c r="F579" s="2">
        <v>13260</v>
      </c>
      <c r="G579" s="2">
        <v>1</v>
      </c>
      <c r="H579" s="2">
        <v>1</v>
      </c>
      <c r="I579" s="4">
        <v>41509</v>
      </c>
      <c r="J579" s="2">
        <v>48</v>
      </c>
    </row>
    <row r="580" spans="1:10" ht="12.5">
      <c r="A580" s="2">
        <v>578</v>
      </c>
      <c r="B580" s="2">
        <v>10242</v>
      </c>
      <c r="C580" s="2">
        <v>1966</v>
      </c>
      <c r="D580" s="3" t="s">
        <v>12</v>
      </c>
      <c r="E580" s="3" t="s">
        <v>11</v>
      </c>
      <c r="F580" s="2">
        <v>47472</v>
      </c>
      <c r="G580" s="2">
        <v>1</v>
      </c>
      <c r="H580" s="2">
        <v>1</v>
      </c>
      <c r="I580" s="4">
        <v>41533</v>
      </c>
      <c r="J580" s="2">
        <v>39</v>
      </c>
    </row>
    <row r="581" spans="1:10" ht="12.5">
      <c r="A581" s="2">
        <v>579</v>
      </c>
      <c r="B581" s="2">
        <v>5253</v>
      </c>
      <c r="C581" s="2">
        <v>1956</v>
      </c>
      <c r="D581" s="3" t="s">
        <v>14</v>
      </c>
      <c r="E581" s="3" t="s">
        <v>11</v>
      </c>
      <c r="F581" s="2">
        <v>54603</v>
      </c>
      <c r="G581" s="2">
        <v>1</v>
      </c>
      <c r="H581" s="2">
        <v>1</v>
      </c>
      <c r="I581" s="4">
        <v>41464</v>
      </c>
      <c r="J581" s="2">
        <v>85</v>
      </c>
    </row>
    <row r="582" spans="1:10" ht="12.5">
      <c r="A582" s="2">
        <v>580</v>
      </c>
      <c r="B582" s="2">
        <v>5966</v>
      </c>
      <c r="C582" s="2">
        <v>1974</v>
      </c>
      <c r="D582" s="3" t="s">
        <v>12</v>
      </c>
      <c r="E582" s="3" t="s">
        <v>13</v>
      </c>
      <c r="F582" s="2">
        <v>45207</v>
      </c>
      <c r="G582" s="2">
        <v>1</v>
      </c>
      <c r="H582" s="2">
        <v>1</v>
      </c>
      <c r="I582" s="5">
        <v>41223</v>
      </c>
      <c r="J582" s="2">
        <v>64</v>
      </c>
    </row>
    <row r="583" spans="1:10" ht="12.5">
      <c r="A583" s="2">
        <v>581</v>
      </c>
      <c r="B583" s="2">
        <v>5314</v>
      </c>
      <c r="C583" s="2">
        <v>1951</v>
      </c>
      <c r="D583" s="3" t="s">
        <v>9</v>
      </c>
      <c r="E583" s="3" t="s">
        <v>11</v>
      </c>
      <c r="F583" s="2">
        <v>40689</v>
      </c>
      <c r="G583" s="2">
        <v>0</v>
      </c>
      <c r="H583" s="2">
        <v>1</v>
      </c>
      <c r="I583" s="4">
        <v>41351</v>
      </c>
      <c r="J583" s="2">
        <v>69</v>
      </c>
    </row>
    <row r="584" spans="1:10" ht="12.5">
      <c r="A584" s="2">
        <v>582</v>
      </c>
      <c r="B584" s="2">
        <v>5081</v>
      </c>
      <c r="C584" s="2">
        <v>1967</v>
      </c>
      <c r="D584" s="3" t="s">
        <v>17</v>
      </c>
      <c r="E584" s="3" t="s">
        <v>11</v>
      </c>
      <c r="F584" s="2">
        <v>47821</v>
      </c>
      <c r="G584" s="2">
        <v>1</v>
      </c>
      <c r="H584" s="2">
        <v>1</v>
      </c>
      <c r="I584" s="5">
        <v>41567</v>
      </c>
      <c r="J584" s="2">
        <v>54</v>
      </c>
    </row>
    <row r="585" spans="1:10" ht="12.5">
      <c r="A585" s="2">
        <v>583</v>
      </c>
      <c r="B585" s="2">
        <v>5123</v>
      </c>
      <c r="C585" s="2">
        <v>1951</v>
      </c>
      <c r="D585" s="3" t="s">
        <v>14</v>
      </c>
      <c r="E585" s="3" t="s">
        <v>13</v>
      </c>
      <c r="F585" s="2">
        <v>27450</v>
      </c>
      <c r="G585" s="2">
        <v>0</v>
      </c>
      <c r="H585" s="2">
        <v>0</v>
      </c>
      <c r="I585" s="4">
        <v>41379</v>
      </c>
      <c r="J585" s="2">
        <v>57</v>
      </c>
    </row>
    <row r="586" spans="1:10" ht="12.5">
      <c r="A586" s="2">
        <v>584</v>
      </c>
      <c r="B586" s="2">
        <v>5756</v>
      </c>
      <c r="C586" s="2">
        <v>1983</v>
      </c>
      <c r="D586" s="3" t="s">
        <v>9</v>
      </c>
      <c r="E586" s="3" t="s">
        <v>11</v>
      </c>
      <c r="F586" s="2">
        <v>39453</v>
      </c>
      <c r="G586" s="2">
        <v>1</v>
      </c>
      <c r="H586" s="2">
        <v>0</v>
      </c>
      <c r="I586" s="4">
        <v>41732</v>
      </c>
      <c r="J586" s="2">
        <v>64</v>
      </c>
    </row>
    <row r="587" spans="1:10" ht="12.5">
      <c r="A587" s="2">
        <v>585</v>
      </c>
      <c r="B587" s="2">
        <v>8036</v>
      </c>
      <c r="C587" s="2">
        <v>1971</v>
      </c>
      <c r="D587" s="3" t="s">
        <v>17</v>
      </c>
      <c r="E587" s="3" t="s">
        <v>11</v>
      </c>
      <c r="F587" s="2">
        <v>26850</v>
      </c>
      <c r="G587" s="2">
        <v>1</v>
      </c>
      <c r="H587" s="2">
        <v>1</v>
      </c>
      <c r="I587" s="4">
        <v>41747</v>
      </c>
      <c r="J587" s="2">
        <v>10</v>
      </c>
    </row>
    <row r="588" spans="1:10" ht="12.5">
      <c r="A588" s="2">
        <v>586</v>
      </c>
      <c r="B588" s="2">
        <v>9058</v>
      </c>
      <c r="C588" s="2">
        <v>1955</v>
      </c>
      <c r="D588" s="3" t="s">
        <v>9</v>
      </c>
      <c r="E588" s="3" t="s">
        <v>18</v>
      </c>
      <c r="F588" s="2">
        <v>79800</v>
      </c>
      <c r="G588" s="2">
        <v>0</v>
      </c>
      <c r="H588" s="2">
        <v>0</v>
      </c>
      <c r="I588" s="4">
        <v>41175</v>
      </c>
      <c r="J588" s="2">
        <v>65</v>
      </c>
    </row>
    <row r="589" spans="1:10" ht="12.5">
      <c r="A589" s="2">
        <v>587</v>
      </c>
      <c r="B589" s="2">
        <v>5057</v>
      </c>
      <c r="C589" s="2">
        <v>1961</v>
      </c>
      <c r="D589" s="3" t="s">
        <v>14</v>
      </c>
      <c r="E589" s="3" t="s">
        <v>13</v>
      </c>
      <c r="F589" s="2">
        <v>61794</v>
      </c>
      <c r="G589" s="2">
        <v>0</v>
      </c>
      <c r="H589" s="2">
        <v>1</v>
      </c>
      <c r="I589" s="4">
        <v>41531</v>
      </c>
      <c r="J589" s="2">
        <v>74</v>
      </c>
    </row>
    <row r="590" spans="1:10" ht="12.5">
      <c r="A590" s="2">
        <v>588</v>
      </c>
      <c r="B590" s="2">
        <v>254</v>
      </c>
      <c r="C590" s="2">
        <v>1955</v>
      </c>
      <c r="D590" s="3" t="s">
        <v>9</v>
      </c>
      <c r="E590" s="3" t="s">
        <v>11</v>
      </c>
      <c r="F590" s="2">
        <v>53863</v>
      </c>
      <c r="G590" s="2">
        <v>0</v>
      </c>
      <c r="H590" s="2">
        <v>1</v>
      </c>
      <c r="I590" s="4">
        <v>41776</v>
      </c>
      <c r="J590" s="2">
        <v>4</v>
      </c>
    </row>
    <row r="591" spans="1:10" ht="12.5">
      <c r="A591" s="2">
        <v>589</v>
      </c>
      <c r="B591" s="2">
        <v>4179</v>
      </c>
      <c r="C591" s="2">
        <v>1959</v>
      </c>
      <c r="D591" s="3" t="s">
        <v>9</v>
      </c>
      <c r="E591" s="3" t="s">
        <v>11</v>
      </c>
      <c r="F591" s="2">
        <v>24221</v>
      </c>
      <c r="G591" s="2">
        <v>0</v>
      </c>
      <c r="H591" s="2">
        <v>0</v>
      </c>
      <c r="I591" s="4">
        <v>41506</v>
      </c>
      <c r="J591" s="2">
        <v>94</v>
      </c>
    </row>
    <row r="592" spans="1:10" ht="12.5">
      <c r="A592" s="2">
        <v>590</v>
      </c>
      <c r="B592" s="2">
        <v>3710</v>
      </c>
      <c r="C592" s="2">
        <v>1984</v>
      </c>
      <c r="D592" s="3" t="s">
        <v>12</v>
      </c>
      <c r="E592" s="3" t="s">
        <v>10</v>
      </c>
      <c r="F592" s="2">
        <v>39684</v>
      </c>
      <c r="G592" s="2">
        <v>1</v>
      </c>
      <c r="H592" s="2">
        <v>0</v>
      </c>
      <c r="I592" s="5">
        <v>41194</v>
      </c>
      <c r="J592" s="2">
        <v>41</v>
      </c>
    </row>
    <row r="593" spans="1:10" ht="12.5">
      <c r="A593" s="2">
        <v>591</v>
      </c>
      <c r="B593" s="2">
        <v>7627</v>
      </c>
      <c r="C593" s="2">
        <v>1975</v>
      </c>
      <c r="D593" s="3" t="s">
        <v>14</v>
      </c>
      <c r="E593" s="3" t="s">
        <v>13</v>
      </c>
      <c r="F593" s="2">
        <v>92163</v>
      </c>
      <c r="G593" s="2">
        <v>0</v>
      </c>
      <c r="H593" s="2">
        <v>0</v>
      </c>
      <c r="I593" s="5">
        <v>41255</v>
      </c>
      <c r="J593" s="2">
        <v>25</v>
      </c>
    </row>
    <row r="594" spans="1:10" ht="12.5">
      <c r="A594" s="2">
        <v>592</v>
      </c>
      <c r="B594" s="2">
        <v>4501</v>
      </c>
      <c r="C594" s="2">
        <v>1965</v>
      </c>
      <c r="D594" s="3" t="s">
        <v>14</v>
      </c>
      <c r="E594" s="3" t="s">
        <v>10</v>
      </c>
      <c r="F594" s="2">
        <v>69882</v>
      </c>
      <c r="G594" s="2">
        <v>0</v>
      </c>
      <c r="H594" s="2">
        <v>0</v>
      </c>
      <c r="I594" s="5">
        <v>41588</v>
      </c>
      <c r="J594" s="2">
        <v>94</v>
      </c>
    </row>
    <row r="595" spans="1:10" ht="12.5">
      <c r="A595" s="2">
        <v>593</v>
      </c>
      <c r="B595" s="2">
        <v>6424</v>
      </c>
      <c r="C595" s="2">
        <v>1977</v>
      </c>
      <c r="D595" s="3" t="s">
        <v>9</v>
      </c>
      <c r="E595" s="3" t="s">
        <v>11</v>
      </c>
      <c r="F595" s="2">
        <v>33178</v>
      </c>
      <c r="G595" s="2">
        <v>1</v>
      </c>
      <c r="H595" s="2">
        <v>0</v>
      </c>
      <c r="I595" s="4">
        <v>41669</v>
      </c>
      <c r="J595" s="2">
        <v>9</v>
      </c>
    </row>
    <row r="596" spans="1:10" ht="12.5">
      <c r="A596" s="2">
        <v>594</v>
      </c>
      <c r="B596" s="2">
        <v>3075</v>
      </c>
      <c r="C596" s="2">
        <v>1972</v>
      </c>
      <c r="D596" s="3" t="s">
        <v>12</v>
      </c>
      <c r="E596" s="3" t="s">
        <v>13</v>
      </c>
      <c r="F596" s="2">
        <v>59973</v>
      </c>
      <c r="G596" s="2">
        <v>0</v>
      </c>
      <c r="H596" s="2">
        <v>0</v>
      </c>
      <c r="I596" s="4">
        <v>41528</v>
      </c>
      <c r="J596" s="2">
        <v>47</v>
      </c>
    </row>
    <row r="597" spans="1:10" ht="12.5">
      <c r="A597" s="2">
        <v>595</v>
      </c>
      <c r="B597" s="2">
        <v>4992</v>
      </c>
      <c r="C597" s="2">
        <v>1975</v>
      </c>
      <c r="D597" s="3" t="s">
        <v>14</v>
      </c>
      <c r="E597" s="3" t="s">
        <v>11</v>
      </c>
      <c r="F597" s="2">
        <v>17459</v>
      </c>
      <c r="G597" s="2">
        <v>1</v>
      </c>
      <c r="H597" s="2">
        <v>0</v>
      </c>
      <c r="I597" s="4">
        <v>41536</v>
      </c>
      <c r="J597" s="2">
        <v>12</v>
      </c>
    </row>
    <row r="598" spans="1:10" ht="12.5">
      <c r="A598" s="2">
        <v>596</v>
      </c>
      <c r="B598" s="2">
        <v>5252</v>
      </c>
      <c r="C598" s="2">
        <v>1969</v>
      </c>
      <c r="D598" s="3" t="s">
        <v>9</v>
      </c>
      <c r="E598" s="3" t="s">
        <v>15</v>
      </c>
      <c r="F598" s="2">
        <v>23910</v>
      </c>
      <c r="G598" s="2">
        <v>1</v>
      </c>
      <c r="H598" s="2">
        <v>0</v>
      </c>
      <c r="I598" s="5">
        <v>41208</v>
      </c>
      <c r="J598" s="2">
        <v>80</v>
      </c>
    </row>
    <row r="599" spans="1:10" ht="12.5">
      <c r="A599" s="2">
        <v>597</v>
      </c>
      <c r="B599" s="2">
        <v>7444</v>
      </c>
      <c r="C599" s="2">
        <v>1969</v>
      </c>
      <c r="D599" s="3" t="s">
        <v>14</v>
      </c>
      <c r="E599" s="3" t="s">
        <v>13</v>
      </c>
      <c r="F599" s="2">
        <v>42169</v>
      </c>
      <c r="G599" s="2">
        <v>1</v>
      </c>
      <c r="H599" s="2">
        <v>1</v>
      </c>
      <c r="I599" s="5">
        <v>41566</v>
      </c>
      <c r="J599" s="2">
        <v>20</v>
      </c>
    </row>
    <row r="600" spans="1:10" ht="12.5">
      <c r="A600" s="2">
        <v>598</v>
      </c>
      <c r="B600" s="2">
        <v>6919</v>
      </c>
      <c r="C600" s="2">
        <v>1978</v>
      </c>
      <c r="D600" s="3" t="s">
        <v>17</v>
      </c>
      <c r="E600" s="3" t="s">
        <v>13</v>
      </c>
      <c r="F600" s="2">
        <v>26224</v>
      </c>
      <c r="G600" s="2">
        <v>1</v>
      </c>
      <c r="H600" s="2">
        <v>0</v>
      </c>
      <c r="I600" s="4">
        <v>41429</v>
      </c>
      <c r="J600" s="2">
        <v>39</v>
      </c>
    </row>
    <row r="601" spans="1:10" ht="12.5">
      <c r="A601" s="2">
        <v>599</v>
      </c>
      <c r="B601" s="2">
        <v>3537</v>
      </c>
      <c r="C601" s="2">
        <v>1981</v>
      </c>
      <c r="D601" s="3" t="s">
        <v>9</v>
      </c>
      <c r="E601" s="3" t="s">
        <v>11</v>
      </c>
      <c r="F601" s="2">
        <v>31089</v>
      </c>
      <c r="G601" s="2">
        <v>1</v>
      </c>
      <c r="H601" s="2">
        <v>0</v>
      </c>
      <c r="I601" s="4">
        <v>41138</v>
      </c>
      <c r="J601" s="2">
        <v>57</v>
      </c>
    </row>
    <row r="602" spans="1:10" ht="12.5">
      <c r="A602" s="2">
        <v>600</v>
      </c>
      <c r="B602" s="2">
        <v>10277</v>
      </c>
      <c r="C602" s="2">
        <v>1961</v>
      </c>
      <c r="D602" s="3" t="s">
        <v>9</v>
      </c>
      <c r="E602" s="3" t="s">
        <v>10</v>
      </c>
      <c r="F602" s="2">
        <v>30081</v>
      </c>
      <c r="G602" s="2">
        <v>0</v>
      </c>
      <c r="H602" s="2">
        <v>1</v>
      </c>
      <c r="I602" s="4">
        <v>41326</v>
      </c>
      <c r="J602" s="2">
        <v>27</v>
      </c>
    </row>
    <row r="603" spans="1:10" ht="12.5">
      <c r="A603" s="2">
        <v>601</v>
      </c>
      <c r="B603" s="2">
        <v>2453</v>
      </c>
      <c r="C603" s="2">
        <v>1960</v>
      </c>
      <c r="D603" s="3" t="s">
        <v>9</v>
      </c>
      <c r="E603" s="3" t="s">
        <v>11</v>
      </c>
      <c r="F603" s="2">
        <v>62807</v>
      </c>
      <c r="G603" s="2">
        <v>0</v>
      </c>
      <c r="H603" s="2">
        <v>1</v>
      </c>
      <c r="I603" s="4">
        <v>41152</v>
      </c>
      <c r="J603" s="2">
        <v>83</v>
      </c>
    </row>
    <row r="604" spans="1:10" ht="12.5">
      <c r="A604" s="2">
        <v>602</v>
      </c>
      <c r="B604" s="2">
        <v>7972</v>
      </c>
      <c r="C604" s="2">
        <v>1955</v>
      </c>
      <c r="D604" s="3" t="s">
        <v>9</v>
      </c>
      <c r="E604" s="3" t="s">
        <v>10</v>
      </c>
      <c r="F604" s="2">
        <v>72906</v>
      </c>
      <c r="G604" s="2">
        <v>0</v>
      </c>
      <c r="H604" s="2">
        <v>0</v>
      </c>
      <c r="I604" s="4">
        <v>41534</v>
      </c>
      <c r="J604" s="2">
        <v>79</v>
      </c>
    </row>
    <row r="605" spans="1:10" ht="12.5">
      <c r="A605" s="2">
        <v>603</v>
      </c>
      <c r="B605" s="2">
        <v>895</v>
      </c>
      <c r="C605" s="2">
        <v>1948</v>
      </c>
      <c r="D605" s="3" t="s">
        <v>12</v>
      </c>
      <c r="E605" s="3" t="s">
        <v>13</v>
      </c>
      <c r="F605" s="2">
        <v>61467</v>
      </c>
      <c r="G605" s="2">
        <v>0</v>
      </c>
      <c r="H605" s="2">
        <v>2</v>
      </c>
      <c r="I605" s="4">
        <v>41252</v>
      </c>
      <c r="J605" s="2">
        <v>69</v>
      </c>
    </row>
    <row r="606" spans="1:10" ht="12.5">
      <c r="A606" s="2">
        <v>604</v>
      </c>
      <c r="B606" s="2">
        <v>1177</v>
      </c>
      <c r="C606" s="2">
        <v>1966</v>
      </c>
      <c r="D606" s="3" t="s">
        <v>14</v>
      </c>
      <c r="E606" s="3" t="s">
        <v>11</v>
      </c>
      <c r="F606" s="2">
        <v>49618</v>
      </c>
      <c r="G606" s="2">
        <v>1</v>
      </c>
      <c r="H606" s="2">
        <v>1</v>
      </c>
      <c r="I606" s="4">
        <v>41300</v>
      </c>
      <c r="J606" s="2">
        <v>77</v>
      </c>
    </row>
    <row r="607" spans="1:10" ht="12.5">
      <c r="A607" s="2">
        <v>605</v>
      </c>
      <c r="B607" s="2">
        <v>7141</v>
      </c>
      <c r="C607" s="2">
        <v>1986</v>
      </c>
      <c r="D607" s="3" t="s">
        <v>14</v>
      </c>
      <c r="E607" s="3" t="s">
        <v>10</v>
      </c>
      <c r="F607" s="2">
        <v>21888</v>
      </c>
      <c r="G607" s="2">
        <v>1</v>
      </c>
      <c r="H607" s="2">
        <v>0</v>
      </c>
      <c r="I607" s="5">
        <v>41272</v>
      </c>
      <c r="J607" s="2">
        <v>15</v>
      </c>
    </row>
    <row r="608" spans="1:10" ht="12.5">
      <c r="A608" s="2">
        <v>606</v>
      </c>
      <c r="B608" s="2">
        <v>7232</v>
      </c>
      <c r="C608" s="2">
        <v>1973</v>
      </c>
      <c r="D608" s="3" t="s">
        <v>9</v>
      </c>
      <c r="E608" s="3" t="s">
        <v>18</v>
      </c>
      <c r="F608" s="2">
        <v>42429</v>
      </c>
      <c r="G608" s="2">
        <v>0</v>
      </c>
      <c r="H608" s="2">
        <v>1</v>
      </c>
      <c r="I608" s="4">
        <v>41681</v>
      </c>
      <c r="J608" s="2">
        <v>99</v>
      </c>
    </row>
    <row r="609" spans="1:10" ht="12.5">
      <c r="A609" s="2">
        <v>607</v>
      </c>
      <c r="B609" s="2">
        <v>8477</v>
      </c>
      <c r="C609" s="2">
        <v>1956</v>
      </c>
      <c r="D609" s="3" t="s">
        <v>9</v>
      </c>
      <c r="E609" s="3" t="s">
        <v>15</v>
      </c>
      <c r="F609" s="2">
        <v>26150</v>
      </c>
      <c r="G609" s="2">
        <v>2</v>
      </c>
      <c r="H609" s="2">
        <v>1</v>
      </c>
      <c r="I609" s="4">
        <v>41344</v>
      </c>
      <c r="J609" s="2">
        <v>61</v>
      </c>
    </row>
    <row r="610" spans="1:10" ht="12.5">
      <c r="A610" s="2">
        <v>608</v>
      </c>
      <c r="B610" s="2">
        <v>2457</v>
      </c>
      <c r="C610" s="2">
        <v>1975</v>
      </c>
      <c r="D610" s="3" t="s">
        <v>16</v>
      </c>
      <c r="E610" s="3" t="s">
        <v>13</v>
      </c>
      <c r="F610" s="2">
        <v>30801</v>
      </c>
      <c r="G610" s="2">
        <v>0</v>
      </c>
      <c r="H610" s="2">
        <v>1</v>
      </c>
      <c r="I610" s="5">
        <v>41208</v>
      </c>
      <c r="J610" s="2">
        <v>23</v>
      </c>
    </row>
    <row r="611" spans="1:10" ht="12.5">
      <c r="A611" s="2">
        <v>609</v>
      </c>
      <c r="B611" s="2">
        <v>988</v>
      </c>
      <c r="C611" s="2">
        <v>1965</v>
      </c>
      <c r="D611" s="3" t="s">
        <v>9</v>
      </c>
      <c r="E611" s="3" t="s">
        <v>13</v>
      </c>
      <c r="F611" s="2">
        <v>81168</v>
      </c>
      <c r="G611" s="2">
        <v>0</v>
      </c>
      <c r="H611" s="2">
        <v>0</v>
      </c>
      <c r="I611" s="4">
        <v>41766</v>
      </c>
      <c r="J611" s="2">
        <v>84</v>
      </c>
    </row>
    <row r="612" spans="1:10" ht="12.5">
      <c r="A612" s="2">
        <v>610</v>
      </c>
      <c r="B612" s="2">
        <v>7930</v>
      </c>
      <c r="C612" s="2">
        <v>1969</v>
      </c>
      <c r="D612" s="3" t="s">
        <v>14</v>
      </c>
      <c r="E612" s="3" t="s">
        <v>10</v>
      </c>
      <c r="F612" s="2">
        <v>26877</v>
      </c>
      <c r="G612" s="2">
        <v>0</v>
      </c>
      <c r="H612" s="2">
        <v>0</v>
      </c>
      <c r="I612" s="4">
        <v>41505</v>
      </c>
      <c r="J612" s="2">
        <v>74</v>
      </c>
    </row>
    <row r="613" spans="1:10" ht="12.5">
      <c r="A613" s="2">
        <v>611</v>
      </c>
      <c r="B613" s="2">
        <v>4587</v>
      </c>
      <c r="C613" s="2">
        <v>1944</v>
      </c>
      <c r="D613" s="3" t="s">
        <v>14</v>
      </c>
      <c r="E613" s="3" t="s">
        <v>18</v>
      </c>
      <c r="F613" s="2">
        <v>45006</v>
      </c>
      <c r="G613" s="2">
        <v>0</v>
      </c>
      <c r="H613" s="2">
        <v>0</v>
      </c>
      <c r="I613" s="4">
        <v>41473</v>
      </c>
      <c r="J613" s="2">
        <v>90</v>
      </c>
    </row>
    <row r="614" spans="1:10" ht="12.5">
      <c r="A614" s="2">
        <v>612</v>
      </c>
      <c r="B614" s="2">
        <v>6682</v>
      </c>
      <c r="C614" s="2">
        <v>1973</v>
      </c>
      <c r="D614" s="3" t="s">
        <v>16</v>
      </c>
      <c r="E614" s="3" t="s">
        <v>13</v>
      </c>
      <c r="F614" s="2">
        <v>18978</v>
      </c>
      <c r="G614" s="2">
        <v>1</v>
      </c>
      <c r="H614" s="2">
        <v>0</v>
      </c>
      <c r="I614" s="5">
        <v>41254</v>
      </c>
      <c r="J614" s="2">
        <v>41</v>
      </c>
    </row>
    <row r="615" spans="1:10" ht="12.5">
      <c r="A615" s="2">
        <v>613</v>
      </c>
      <c r="B615" s="2">
        <v>6222</v>
      </c>
      <c r="C615" s="2">
        <v>1967</v>
      </c>
      <c r="D615" s="3" t="s">
        <v>9</v>
      </c>
      <c r="E615" s="3" t="s">
        <v>13</v>
      </c>
      <c r="F615" s="2">
        <v>22574</v>
      </c>
      <c r="G615" s="2">
        <v>2</v>
      </c>
      <c r="H615" s="2">
        <v>1</v>
      </c>
      <c r="I615" s="5">
        <v>41575</v>
      </c>
      <c r="J615" s="2">
        <v>28</v>
      </c>
    </row>
    <row r="616" spans="1:10" ht="12.5">
      <c r="A616" s="2">
        <v>614</v>
      </c>
      <c r="B616" s="2">
        <v>10299</v>
      </c>
      <c r="C616" s="2">
        <v>1969</v>
      </c>
      <c r="D616" s="3" t="s">
        <v>12</v>
      </c>
      <c r="E616" s="3" t="s">
        <v>10</v>
      </c>
      <c r="F616" s="2">
        <v>48240</v>
      </c>
      <c r="G616" s="2">
        <v>0</v>
      </c>
      <c r="H616" s="2">
        <v>0</v>
      </c>
      <c r="I616" s="4">
        <v>41222</v>
      </c>
      <c r="J616" s="2">
        <v>73</v>
      </c>
    </row>
    <row r="617" spans="1:10" ht="12.5">
      <c r="A617" s="2">
        <v>615</v>
      </c>
      <c r="B617" s="2">
        <v>3083</v>
      </c>
      <c r="C617" s="2">
        <v>1974</v>
      </c>
      <c r="D617" s="3" t="s">
        <v>9</v>
      </c>
      <c r="E617" s="3" t="s">
        <v>13</v>
      </c>
      <c r="F617" s="2">
        <v>45837</v>
      </c>
      <c r="G617" s="2">
        <v>1</v>
      </c>
      <c r="H617" s="2">
        <v>1</v>
      </c>
      <c r="I617" s="4">
        <v>41481</v>
      </c>
      <c r="J617" s="2">
        <v>88</v>
      </c>
    </row>
    <row r="618" spans="1:10" ht="12.5">
      <c r="A618" s="2">
        <v>616</v>
      </c>
      <c r="B618" s="2">
        <v>8953</v>
      </c>
      <c r="C618" s="2">
        <v>1965</v>
      </c>
      <c r="D618" s="3" t="s">
        <v>14</v>
      </c>
      <c r="E618" s="3" t="s">
        <v>10</v>
      </c>
      <c r="F618" s="2">
        <v>35791</v>
      </c>
      <c r="G618" s="2">
        <v>2</v>
      </c>
      <c r="H618" s="2">
        <v>1</v>
      </c>
      <c r="I618" s="4">
        <v>41400</v>
      </c>
      <c r="J618" s="2">
        <v>94</v>
      </c>
    </row>
    <row r="619" spans="1:10" ht="12.5">
      <c r="A619" s="2">
        <v>617</v>
      </c>
      <c r="B619" s="2">
        <v>1503</v>
      </c>
      <c r="C619" s="2">
        <v>1976</v>
      </c>
      <c r="D619" s="3" t="s">
        <v>12</v>
      </c>
      <c r="E619" s="3" t="s">
        <v>11</v>
      </c>
      <c r="F619" s="2">
        <v>162397</v>
      </c>
      <c r="G619" s="2">
        <v>1</v>
      </c>
      <c r="H619" s="2">
        <v>1</v>
      </c>
      <c r="I619" s="4">
        <v>41428</v>
      </c>
      <c r="J619" s="2">
        <v>31</v>
      </c>
    </row>
    <row r="620" spans="1:10" ht="12.5">
      <c r="A620" s="2">
        <v>618</v>
      </c>
      <c r="B620" s="2">
        <v>8650</v>
      </c>
      <c r="C620" s="2">
        <v>1978</v>
      </c>
      <c r="D620" s="3" t="s">
        <v>9</v>
      </c>
      <c r="E620" s="3" t="s">
        <v>18</v>
      </c>
      <c r="F620" s="2">
        <v>54162</v>
      </c>
      <c r="G620" s="2">
        <v>1</v>
      </c>
      <c r="H620" s="2">
        <v>1</v>
      </c>
      <c r="I620" s="4">
        <v>41351</v>
      </c>
      <c r="J620" s="2">
        <v>31</v>
      </c>
    </row>
    <row r="621" spans="1:10" ht="12.5">
      <c r="A621" s="2">
        <v>619</v>
      </c>
      <c r="B621" s="2">
        <v>10862</v>
      </c>
      <c r="C621" s="2">
        <v>1960</v>
      </c>
      <c r="D621" s="3" t="s">
        <v>14</v>
      </c>
      <c r="E621" s="3" t="s">
        <v>13</v>
      </c>
      <c r="F621" s="2">
        <v>30522</v>
      </c>
      <c r="G621" s="2">
        <v>0</v>
      </c>
      <c r="H621" s="2">
        <v>1</v>
      </c>
      <c r="I621" s="4">
        <v>41138</v>
      </c>
      <c r="J621" s="2">
        <v>6</v>
      </c>
    </row>
    <row r="622" spans="1:10" ht="12.5">
      <c r="A622" s="2">
        <v>620</v>
      </c>
      <c r="B622" s="2">
        <v>2782</v>
      </c>
      <c r="C622" s="2">
        <v>1961</v>
      </c>
      <c r="D622" s="3" t="s">
        <v>12</v>
      </c>
      <c r="E622" s="3" t="s">
        <v>13</v>
      </c>
      <c r="F622" s="2">
        <v>54456</v>
      </c>
      <c r="G622" s="2">
        <v>0</v>
      </c>
      <c r="H622" s="2">
        <v>1</v>
      </c>
      <c r="I622" s="4">
        <v>41466</v>
      </c>
      <c r="J622" s="2">
        <v>23</v>
      </c>
    </row>
    <row r="623" spans="1:10" ht="12.5">
      <c r="A623" s="2">
        <v>621</v>
      </c>
      <c r="B623" s="2">
        <v>6941</v>
      </c>
      <c r="C623" s="2">
        <v>1971</v>
      </c>
      <c r="D623" s="3" t="s">
        <v>9</v>
      </c>
      <c r="E623" s="3" t="s">
        <v>10</v>
      </c>
      <c r="F623" s="2">
        <v>31632</v>
      </c>
      <c r="G623" s="2">
        <v>0</v>
      </c>
      <c r="H623" s="2">
        <v>0</v>
      </c>
      <c r="I623" s="4">
        <v>41469</v>
      </c>
      <c r="J623" s="2">
        <v>92</v>
      </c>
    </row>
    <row r="624" spans="1:10" ht="12.5">
      <c r="A624" s="2">
        <v>622</v>
      </c>
      <c r="B624" s="2">
        <v>10972</v>
      </c>
      <c r="C624" s="2">
        <v>1949</v>
      </c>
      <c r="D624" s="3" t="s">
        <v>9</v>
      </c>
      <c r="E624" s="3" t="s">
        <v>18</v>
      </c>
      <c r="F624" s="2">
        <v>72298</v>
      </c>
      <c r="G624" s="2">
        <v>0</v>
      </c>
      <c r="H624" s="2">
        <v>0</v>
      </c>
      <c r="I624" s="4">
        <v>41708</v>
      </c>
      <c r="J624" s="2">
        <v>52</v>
      </c>
    </row>
    <row r="625" spans="1:10" ht="12.5">
      <c r="A625" s="2">
        <v>623</v>
      </c>
      <c r="B625" s="2">
        <v>10708</v>
      </c>
      <c r="C625" s="2">
        <v>1978</v>
      </c>
      <c r="D625" s="3" t="s">
        <v>17</v>
      </c>
      <c r="E625" s="3" t="s">
        <v>10</v>
      </c>
      <c r="F625" s="2">
        <v>36975</v>
      </c>
      <c r="G625" s="2">
        <v>1</v>
      </c>
      <c r="H625" s="2">
        <v>0</v>
      </c>
      <c r="I625" s="5">
        <v>41636</v>
      </c>
      <c r="J625" s="2">
        <v>50</v>
      </c>
    </row>
    <row r="626" spans="1:10" ht="12.5">
      <c r="A626" s="2">
        <v>624</v>
      </c>
      <c r="B626" s="2">
        <v>6583</v>
      </c>
      <c r="C626" s="2">
        <v>1955</v>
      </c>
      <c r="D626" s="3" t="s">
        <v>17</v>
      </c>
      <c r="E626" s="3" t="s">
        <v>13</v>
      </c>
      <c r="F626" s="2">
        <v>72635</v>
      </c>
      <c r="G626" s="2">
        <v>0</v>
      </c>
      <c r="H626" s="2">
        <v>0</v>
      </c>
      <c r="I626" s="4">
        <v>41428</v>
      </c>
      <c r="J626" s="2">
        <v>54</v>
      </c>
    </row>
    <row r="627" spans="1:10" ht="12.5">
      <c r="A627" s="2">
        <v>625</v>
      </c>
      <c r="B627" s="2">
        <v>3641</v>
      </c>
      <c r="C627" s="2">
        <v>1976</v>
      </c>
      <c r="D627" s="3" t="s">
        <v>9</v>
      </c>
      <c r="E627" s="3" t="s">
        <v>13</v>
      </c>
      <c r="F627" s="2">
        <v>13624</v>
      </c>
      <c r="G627" s="2">
        <v>1</v>
      </c>
      <c r="H627" s="2">
        <v>0</v>
      </c>
      <c r="I627" s="4">
        <v>41294</v>
      </c>
      <c r="J627" s="2">
        <v>93</v>
      </c>
    </row>
    <row r="628" spans="1:10" ht="12.5">
      <c r="A628" s="2">
        <v>626</v>
      </c>
      <c r="B628" s="2">
        <v>10156</v>
      </c>
      <c r="C628" s="2">
        <v>1975</v>
      </c>
      <c r="D628" s="3" t="s">
        <v>9</v>
      </c>
      <c r="E628" s="3" t="s">
        <v>10</v>
      </c>
      <c r="F628" s="2">
        <v>84196</v>
      </c>
      <c r="G628" s="2">
        <v>0</v>
      </c>
      <c r="H628" s="2">
        <v>1</v>
      </c>
      <c r="I628" s="4">
        <v>41428</v>
      </c>
      <c r="J628" s="2">
        <v>56</v>
      </c>
    </row>
    <row r="629" spans="1:10" ht="12.5">
      <c r="A629" s="2">
        <v>627</v>
      </c>
      <c r="B629" s="2">
        <v>4299</v>
      </c>
      <c r="C629" s="2">
        <v>1960</v>
      </c>
      <c r="D629" s="3" t="s">
        <v>9</v>
      </c>
      <c r="E629" s="3" t="s">
        <v>11</v>
      </c>
      <c r="F629" s="2">
        <v>70971</v>
      </c>
      <c r="G629" s="2">
        <v>0</v>
      </c>
      <c r="H629" s="2">
        <v>1</v>
      </c>
      <c r="I629" s="4">
        <v>41173</v>
      </c>
      <c r="J629" s="2">
        <v>28</v>
      </c>
    </row>
    <row r="630" spans="1:10" ht="12.5">
      <c r="A630" s="2">
        <v>628</v>
      </c>
      <c r="B630" s="2">
        <v>3469</v>
      </c>
      <c r="C630" s="2">
        <v>1977</v>
      </c>
      <c r="D630" s="3" t="s">
        <v>12</v>
      </c>
      <c r="E630" s="3" t="s">
        <v>15</v>
      </c>
      <c r="F630" s="2">
        <v>34487</v>
      </c>
      <c r="G630" s="2">
        <v>1</v>
      </c>
      <c r="H630" s="2">
        <v>1</v>
      </c>
      <c r="I630" s="4">
        <v>41158</v>
      </c>
      <c r="J630" s="2">
        <v>94</v>
      </c>
    </row>
    <row r="631" spans="1:10" ht="12.5">
      <c r="A631" s="2">
        <v>629</v>
      </c>
      <c r="B631" s="2">
        <v>5063</v>
      </c>
      <c r="C631" s="2">
        <v>1977</v>
      </c>
      <c r="D631" s="3" t="s">
        <v>9</v>
      </c>
      <c r="E631" s="3" t="s">
        <v>10</v>
      </c>
      <c r="F631" s="2">
        <v>28769</v>
      </c>
      <c r="G631" s="2">
        <v>1</v>
      </c>
      <c r="H631" s="2">
        <v>0</v>
      </c>
      <c r="I631" s="5">
        <v>41261</v>
      </c>
      <c r="J631" s="2">
        <v>76</v>
      </c>
    </row>
    <row r="632" spans="1:10" ht="12.5">
      <c r="A632" s="2">
        <v>630</v>
      </c>
      <c r="B632" s="2">
        <v>10727</v>
      </c>
      <c r="C632" s="2">
        <v>1970</v>
      </c>
      <c r="D632" s="3" t="s">
        <v>12</v>
      </c>
      <c r="E632" s="3" t="s">
        <v>13</v>
      </c>
      <c r="F632" s="2">
        <v>69084</v>
      </c>
      <c r="G632" s="2">
        <v>1</v>
      </c>
      <c r="H632" s="2">
        <v>0</v>
      </c>
      <c r="I632" s="5">
        <v>41597</v>
      </c>
      <c r="J632" s="2">
        <v>43</v>
      </c>
    </row>
    <row r="633" spans="1:10" ht="12.5">
      <c r="A633" s="2">
        <v>631</v>
      </c>
      <c r="B633" s="2">
        <v>9624</v>
      </c>
      <c r="C633" s="2">
        <v>1958</v>
      </c>
      <c r="D633" s="3" t="s">
        <v>12</v>
      </c>
      <c r="E633" s="3" t="s">
        <v>11</v>
      </c>
      <c r="F633" s="2">
        <v>65488</v>
      </c>
      <c r="G633" s="2">
        <v>0</v>
      </c>
      <c r="H633" s="2">
        <v>0</v>
      </c>
      <c r="I633" s="4">
        <v>41803</v>
      </c>
      <c r="J633" s="2">
        <v>46</v>
      </c>
    </row>
    <row r="634" spans="1:10" ht="12.5">
      <c r="A634" s="2">
        <v>632</v>
      </c>
      <c r="B634" s="2">
        <v>5156</v>
      </c>
      <c r="C634" s="2">
        <v>1970</v>
      </c>
      <c r="D634" s="3" t="s">
        <v>17</v>
      </c>
      <c r="E634" s="3" t="s">
        <v>13</v>
      </c>
      <c r="F634" s="2">
        <v>62466</v>
      </c>
      <c r="G634" s="2">
        <v>0</v>
      </c>
      <c r="H634" s="2">
        <v>1</v>
      </c>
      <c r="I634" s="4">
        <v>41654</v>
      </c>
      <c r="J634" s="2">
        <v>13</v>
      </c>
    </row>
    <row r="635" spans="1:10" ht="12.5">
      <c r="A635" s="2">
        <v>633</v>
      </c>
      <c r="B635" s="2">
        <v>4376</v>
      </c>
      <c r="C635" s="2">
        <v>1960</v>
      </c>
      <c r="D635" s="3" t="s">
        <v>17</v>
      </c>
      <c r="E635" s="3" t="s">
        <v>10</v>
      </c>
      <c r="F635" s="2">
        <v>32218</v>
      </c>
      <c r="G635" s="2">
        <v>0</v>
      </c>
      <c r="H635" s="2">
        <v>0</v>
      </c>
      <c r="I635" s="4">
        <v>41685</v>
      </c>
      <c r="J635" s="2">
        <v>27</v>
      </c>
    </row>
    <row r="636" spans="1:10" ht="12.5">
      <c r="A636" s="2">
        <v>634</v>
      </c>
      <c r="B636" s="2">
        <v>8923</v>
      </c>
      <c r="C636" s="2">
        <v>1973</v>
      </c>
      <c r="D636" s="3" t="s">
        <v>9</v>
      </c>
      <c r="E636" s="3" t="s">
        <v>10</v>
      </c>
      <c r="F636" s="2">
        <v>83917</v>
      </c>
      <c r="G636" s="2">
        <v>0</v>
      </c>
      <c r="H636" s="2">
        <v>0</v>
      </c>
      <c r="I636" s="4">
        <v>41382</v>
      </c>
      <c r="J636" s="2">
        <v>12</v>
      </c>
    </row>
    <row r="637" spans="1:10" ht="12.5">
      <c r="A637" s="2">
        <v>635</v>
      </c>
      <c r="B637" s="2">
        <v>8461</v>
      </c>
      <c r="C637" s="2">
        <v>1962</v>
      </c>
      <c r="D637" s="3" t="s">
        <v>9</v>
      </c>
      <c r="E637" s="3" t="s">
        <v>15</v>
      </c>
      <c r="F637" s="2">
        <v>46102</v>
      </c>
      <c r="G637" s="2">
        <v>2</v>
      </c>
      <c r="H637" s="2">
        <v>1</v>
      </c>
      <c r="I637" s="4">
        <v>41708</v>
      </c>
      <c r="J637" s="2">
        <v>3</v>
      </c>
    </row>
    <row r="638" spans="1:10" ht="12.5">
      <c r="A638" s="2">
        <v>636</v>
      </c>
      <c r="B638" s="2">
        <v>6945</v>
      </c>
      <c r="C638" s="2">
        <v>1952</v>
      </c>
      <c r="D638" s="3" t="s">
        <v>9</v>
      </c>
      <c r="E638" s="3" t="s">
        <v>10</v>
      </c>
      <c r="F638" s="2">
        <v>84574</v>
      </c>
      <c r="G638" s="2">
        <v>0</v>
      </c>
      <c r="H638" s="2">
        <v>0</v>
      </c>
      <c r="I638" s="4">
        <v>41429</v>
      </c>
      <c r="J638" s="2">
        <v>72</v>
      </c>
    </row>
    <row r="639" spans="1:10" ht="12.5">
      <c r="A639" s="2">
        <v>637</v>
      </c>
      <c r="B639" s="2">
        <v>944</v>
      </c>
      <c r="C639" s="2">
        <v>1962</v>
      </c>
      <c r="D639" s="3" t="s">
        <v>9</v>
      </c>
      <c r="E639" s="3" t="s">
        <v>13</v>
      </c>
      <c r="F639" s="2">
        <v>56181</v>
      </c>
      <c r="G639" s="2">
        <v>0</v>
      </c>
      <c r="H639" s="2">
        <v>1</v>
      </c>
      <c r="I639" s="4">
        <v>41282</v>
      </c>
      <c r="J639" s="2">
        <v>6</v>
      </c>
    </row>
    <row r="640" spans="1:10" ht="12.5">
      <c r="A640" s="2">
        <v>638</v>
      </c>
      <c r="B640" s="2">
        <v>1907</v>
      </c>
      <c r="C640" s="2">
        <v>1950</v>
      </c>
      <c r="D640" s="3" t="s">
        <v>14</v>
      </c>
      <c r="E640" s="3" t="s">
        <v>15</v>
      </c>
      <c r="F640" s="2">
        <v>63120</v>
      </c>
      <c r="G640" s="2">
        <v>0</v>
      </c>
      <c r="H640" s="2">
        <v>1</v>
      </c>
      <c r="I640" s="4">
        <v>41180</v>
      </c>
      <c r="J640" s="2">
        <v>53</v>
      </c>
    </row>
    <row r="641" spans="1:10" ht="12.5">
      <c r="A641" s="2">
        <v>639</v>
      </c>
      <c r="B641" s="2">
        <v>701</v>
      </c>
      <c r="C641" s="2">
        <v>1971</v>
      </c>
      <c r="D641" s="3" t="s">
        <v>9</v>
      </c>
      <c r="E641" s="3" t="s">
        <v>13</v>
      </c>
      <c r="F641" s="2">
        <v>73691</v>
      </c>
      <c r="G641" s="2">
        <v>0</v>
      </c>
      <c r="H641" s="2">
        <v>1</v>
      </c>
      <c r="I641" s="4">
        <v>41584</v>
      </c>
      <c r="J641" s="2">
        <v>58</v>
      </c>
    </row>
    <row r="642" spans="1:10" ht="12.5">
      <c r="A642" s="2">
        <v>640</v>
      </c>
      <c r="B642" s="2">
        <v>3856</v>
      </c>
      <c r="C642" s="2">
        <v>1960</v>
      </c>
      <c r="D642" s="3" t="s">
        <v>9</v>
      </c>
      <c r="E642" s="3" t="s">
        <v>11</v>
      </c>
      <c r="F642" s="2">
        <v>63381</v>
      </c>
      <c r="G642" s="2">
        <v>0</v>
      </c>
      <c r="H642" s="2">
        <v>1</v>
      </c>
      <c r="I642" s="4">
        <v>41187</v>
      </c>
      <c r="J642" s="2">
        <v>78</v>
      </c>
    </row>
    <row r="643" spans="1:10" ht="12.5">
      <c r="A643" s="2">
        <v>641</v>
      </c>
      <c r="B643" s="2">
        <v>4149</v>
      </c>
      <c r="C643" s="2">
        <v>1948</v>
      </c>
      <c r="D643" s="3" t="s">
        <v>12</v>
      </c>
      <c r="E643" s="3" t="s">
        <v>11</v>
      </c>
      <c r="F643" s="2">
        <v>76140</v>
      </c>
      <c r="G643" s="2">
        <v>0</v>
      </c>
      <c r="H643" s="2">
        <v>0</v>
      </c>
      <c r="I643" s="4">
        <v>41772</v>
      </c>
      <c r="J643" s="2">
        <v>57</v>
      </c>
    </row>
    <row r="644" spans="1:10" ht="12.5">
      <c r="A644" s="2">
        <v>642</v>
      </c>
      <c r="B644" s="2">
        <v>2131</v>
      </c>
      <c r="C644" s="2">
        <v>1959</v>
      </c>
      <c r="D644" s="3" t="s">
        <v>12</v>
      </c>
      <c r="E644" s="3" t="s">
        <v>15</v>
      </c>
      <c r="F644" s="2">
        <v>62859</v>
      </c>
      <c r="G644" s="2">
        <v>0</v>
      </c>
      <c r="H644" s="2">
        <v>1</v>
      </c>
      <c r="I644" s="5">
        <v>41273</v>
      </c>
      <c r="J644" s="2">
        <v>37</v>
      </c>
    </row>
    <row r="645" spans="1:10" ht="12.5">
      <c r="A645" s="2">
        <v>643</v>
      </c>
      <c r="B645" s="2">
        <v>2942</v>
      </c>
      <c r="C645" s="2">
        <v>1964</v>
      </c>
      <c r="D645" s="3" t="s">
        <v>9</v>
      </c>
      <c r="E645" s="3" t="s">
        <v>10</v>
      </c>
      <c r="F645" s="2">
        <v>45906</v>
      </c>
      <c r="G645" s="2">
        <v>0</v>
      </c>
      <c r="H645" s="2">
        <v>1</v>
      </c>
      <c r="I645" s="4">
        <v>41401</v>
      </c>
      <c r="J645" s="2">
        <v>20</v>
      </c>
    </row>
    <row r="646" spans="1:10" ht="12.5">
      <c r="A646" s="2">
        <v>644</v>
      </c>
      <c r="B646" s="2">
        <v>1173</v>
      </c>
      <c r="C646" s="2">
        <v>1947</v>
      </c>
      <c r="D646" s="3" t="s">
        <v>14</v>
      </c>
      <c r="E646" s="3" t="s">
        <v>11</v>
      </c>
      <c r="F646" s="2">
        <v>77632</v>
      </c>
      <c r="G646" s="2">
        <v>0</v>
      </c>
      <c r="H646" s="2">
        <v>0</v>
      </c>
      <c r="I646" s="4">
        <v>41343</v>
      </c>
      <c r="J646" s="2">
        <v>73</v>
      </c>
    </row>
    <row r="647" spans="1:10" ht="12.5">
      <c r="A647" s="2">
        <v>645</v>
      </c>
      <c r="B647" s="2">
        <v>4381</v>
      </c>
      <c r="C647" s="2">
        <v>1971</v>
      </c>
      <c r="D647" s="3" t="s">
        <v>12</v>
      </c>
      <c r="E647" s="3" t="s">
        <v>13</v>
      </c>
      <c r="F647" s="2">
        <v>46463</v>
      </c>
      <c r="G647" s="2">
        <v>1</v>
      </c>
      <c r="H647" s="2">
        <v>1</v>
      </c>
      <c r="I647" s="4">
        <v>41504</v>
      </c>
      <c r="J647" s="2">
        <v>56</v>
      </c>
    </row>
    <row r="648" spans="1:10" ht="12.5">
      <c r="A648" s="2">
        <v>646</v>
      </c>
      <c r="B648" s="2">
        <v>4611</v>
      </c>
      <c r="C648" s="2">
        <v>1970</v>
      </c>
      <c r="D648" s="3" t="s">
        <v>9</v>
      </c>
      <c r="E648" s="3" t="s">
        <v>11</v>
      </c>
      <c r="F648" s="2">
        <v>105471</v>
      </c>
      <c r="G648" s="2">
        <v>0</v>
      </c>
      <c r="H648" s="2">
        <v>0</v>
      </c>
      <c r="I648" s="4">
        <v>41295</v>
      </c>
      <c r="J648" s="2">
        <v>36</v>
      </c>
    </row>
    <row r="649" spans="1:10" ht="12.5">
      <c r="A649" s="2">
        <v>647</v>
      </c>
      <c r="B649" s="2">
        <v>3376</v>
      </c>
      <c r="C649" s="2">
        <v>1970</v>
      </c>
      <c r="D649" s="3" t="s">
        <v>14</v>
      </c>
      <c r="E649" s="3" t="s">
        <v>15</v>
      </c>
      <c r="F649" s="2">
        <v>55282</v>
      </c>
      <c r="G649" s="2">
        <v>1</v>
      </c>
      <c r="H649" s="2">
        <v>0</v>
      </c>
      <c r="I649" s="5">
        <v>41621</v>
      </c>
      <c r="J649" s="2">
        <v>9</v>
      </c>
    </row>
    <row r="650" spans="1:10" ht="12.5">
      <c r="A650" s="2">
        <v>648</v>
      </c>
      <c r="B650" s="2">
        <v>4679</v>
      </c>
      <c r="C650" s="2">
        <v>1977</v>
      </c>
      <c r="D650" s="3" t="s">
        <v>14</v>
      </c>
      <c r="E650" s="3" t="s">
        <v>13</v>
      </c>
      <c r="F650" s="2">
        <v>78710</v>
      </c>
      <c r="G650" s="2">
        <v>0</v>
      </c>
      <c r="H650" s="2">
        <v>1</v>
      </c>
      <c r="I650" s="4">
        <v>41782</v>
      </c>
      <c r="J650" s="2">
        <v>42</v>
      </c>
    </row>
    <row r="651" spans="1:10" ht="12.5">
      <c r="A651" s="2">
        <v>649</v>
      </c>
      <c r="B651" s="2">
        <v>10928</v>
      </c>
      <c r="C651" s="2">
        <v>1958</v>
      </c>
      <c r="D651" s="3" t="s">
        <v>9</v>
      </c>
      <c r="E651" s="3" t="s">
        <v>11</v>
      </c>
      <c r="F651" s="2">
        <v>66886</v>
      </c>
      <c r="G651" s="2">
        <v>0</v>
      </c>
      <c r="H651" s="2">
        <v>1</v>
      </c>
      <c r="I651" s="4">
        <v>41533</v>
      </c>
      <c r="J651" s="2">
        <v>28</v>
      </c>
    </row>
    <row r="652" spans="1:10" ht="12.5">
      <c r="A652" s="2">
        <v>650</v>
      </c>
      <c r="B652" s="2">
        <v>4248</v>
      </c>
      <c r="C652" s="2">
        <v>1960</v>
      </c>
      <c r="D652" s="3" t="s">
        <v>14</v>
      </c>
      <c r="E652" s="3" t="s">
        <v>10</v>
      </c>
      <c r="F652" s="2">
        <v>98777</v>
      </c>
      <c r="G652" s="2">
        <v>0</v>
      </c>
      <c r="H652" s="2">
        <v>0</v>
      </c>
      <c r="I652" s="4">
        <v>41687</v>
      </c>
      <c r="J652" s="2">
        <v>23</v>
      </c>
    </row>
    <row r="653" spans="1:10" ht="12.5">
      <c r="A653" s="2">
        <v>651</v>
      </c>
      <c r="B653" s="2">
        <v>6728</v>
      </c>
      <c r="C653" s="2">
        <v>1985</v>
      </c>
      <c r="D653" s="3" t="s">
        <v>9</v>
      </c>
      <c r="E653" s="3" t="s">
        <v>11</v>
      </c>
      <c r="F653" s="2">
        <v>29103</v>
      </c>
      <c r="G653" s="2">
        <v>1</v>
      </c>
      <c r="H653" s="2">
        <v>0</v>
      </c>
      <c r="I653" s="4">
        <v>41148</v>
      </c>
      <c r="J653" s="2">
        <v>38</v>
      </c>
    </row>
    <row r="654" spans="1:10" ht="12.5">
      <c r="A654" s="2">
        <v>652</v>
      </c>
      <c r="B654" s="2">
        <v>6661</v>
      </c>
      <c r="C654" s="2">
        <v>1974</v>
      </c>
      <c r="D654" s="3" t="s">
        <v>9</v>
      </c>
      <c r="E654" s="3" t="s">
        <v>13</v>
      </c>
      <c r="F654" s="2">
        <v>67445</v>
      </c>
      <c r="G654" s="2">
        <v>0</v>
      </c>
      <c r="H654" s="2">
        <v>1</v>
      </c>
      <c r="I654" s="4">
        <v>41133</v>
      </c>
      <c r="J654" s="2">
        <v>63</v>
      </c>
    </row>
    <row r="655" spans="1:10" ht="12.5">
      <c r="A655" s="2">
        <v>653</v>
      </c>
      <c r="B655" s="2">
        <v>4725</v>
      </c>
      <c r="C655" s="2">
        <v>1950</v>
      </c>
      <c r="D655" s="3" t="s">
        <v>12</v>
      </c>
      <c r="E655" s="3" t="s">
        <v>11</v>
      </c>
      <c r="F655" s="2">
        <v>50616</v>
      </c>
      <c r="G655" s="2">
        <v>0</v>
      </c>
      <c r="H655" s="2">
        <v>1</v>
      </c>
      <c r="I655" s="4">
        <v>41742</v>
      </c>
      <c r="J655" s="2">
        <v>71</v>
      </c>
    </row>
    <row r="656" spans="1:10" ht="12.5">
      <c r="A656" s="2">
        <v>654</v>
      </c>
      <c r="B656" s="2">
        <v>3277</v>
      </c>
      <c r="C656" s="2">
        <v>1955</v>
      </c>
      <c r="D656" s="3" t="s">
        <v>9</v>
      </c>
      <c r="E656" s="3" t="s">
        <v>15</v>
      </c>
      <c r="F656" s="2">
        <v>49431</v>
      </c>
      <c r="G656" s="2">
        <v>0</v>
      </c>
      <c r="H656" s="2">
        <v>1</v>
      </c>
      <c r="I656" s="4">
        <v>41124</v>
      </c>
      <c r="J656" s="2">
        <v>9</v>
      </c>
    </row>
    <row r="657" spans="1:10" ht="12.5">
      <c r="A657" s="2">
        <v>655</v>
      </c>
      <c r="B657" s="2">
        <v>5555</v>
      </c>
      <c r="C657" s="2">
        <v>1975</v>
      </c>
      <c r="D657" s="3" t="s">
        <v>9</v>
      </c>
      <c r="E657" s="3" t="s">
        <v>15</v>
      </c>
      <c r="F657" s="2">
        <v>153924</v>
      </c>
      <c r="G657" s="2">
        <v>0</v>
      </c>
      <c r="H657" s="2">
        <v>0</v>
      </c>
      <c r="I657" s="4">
        <v>41677</v>
      </c>
      <c r="J657" s="2">
        <v>81</v>
      </c>
    </row>
    <row r="658" spans="1:10" ht="12.5">
      <c r="A658" s="2">
        <v>656</v>
      </c>
      <c r="B658" s="2">
        <v>2564</v>
      </c>
      <c r="C658" s="2">
        <v>1953</v>
      </c>
      <c r="D658" s="3" t="s">
        <v>9</v>
      </c>
      <c r="E658" s="3" t="s">
        <v>11</v>
      </c>
      <c r="F658" s="2">
        <v>61278</v>
      </c>
      <c r="G658" s="2">
        <v>0</v>
      </c>
      <c r="H658" s="2">
        <v>1</v>
      </c>
      <c r="I658" s="4">
        <v>41643</v>
      </c>
      <c r="J658" s="2">
        <v>87</v>
      </c>
    </row>
    <row r="659" spans="1:10" ht="12.5">
      <c r="A659" s="2">
        <v>657</v>
      </c>
      <c r="B659" s="2">
        <v>946</v>
      </c>
      <c r="C659" s="2">
        <v>1958</v>
      </c>
      <c r="D659" s="3" t="s">
        <v>17</v>
      </c>
      <c r="E659" s="3" t="s">
        <v>11</v>
      </c>
      <c r="F659" s="2">
        <v>26490</v>
      </c>
      <c r="G659" s="2">
        <v>0</v>
      </c>
      <c r="H659" s="2">
        <v>0</v>
      </c>
      <c r="I659" s="4">
        <v>41174</v>
      </c>
      <c r="J659" s="2">
        <v>92</v>
      </c>
    </row>
    <row r="660" spans="1:10" ht="12.5">
      <c r="A660" s="2">
        <v>658</v>
      </c>
      <c r="B660" s="2">
        <v>3867</v>
      </c>
      <c r="C660" s="2">
        <v>1947</v>
      </c>
      <c r="D660" s="3" t="s">
        <v>12</v>
      </c>
      <c r="E660" s="3" t="s">
        <v>11</v>
      </c>
      <c r="F660" s="2">
        <v>73059</v>
      </c>
      <c r="G660" s="2">
        <v>0</v>
      </c>
      <c r="H660" s="2">
        <v>1</v>
      </c>
      <c r="I660" s="4">
        <v>41517</v>
      </c>
      <c r="J660" s="2">
        <v>36</v>
      </c>
    </row>
    <row r="661" spans="1:10" ht="12.5">
      <c r="A661" s="2">
        <v>659</v>
      </c>
      <c r="B661" s="2">
        <v>6940</v>
      </c>
      <c r="C661" s="2">
        <v>1966</v>
      </c>
      <c r="D661" s="3" t="s">
        <v>12</v>
      </c>
      <c r="E661" s="3" t="s">
        <v>10</v>
      </c>
      <c r="F661" s="2">
        <v>46734</v>
      </c>
      <c r="G661" s="2">
        <v>1</v>
      </c>
      <c r="H661" s="2">
        <v>2</v>
      </c>
      <c r="I661" s="5">
        <v>41568</v>
      </c>
      <c r="J661" s="2">
        <v>86</v>
      </c>
    </row>
    <row r="662" spans="1:10" ht="12.5">
      <c r="A662" s="2">
        <v>660</v>
      </c>
      <c r="B662" s="2">
        <v>55</v>
      </c>
      <c r="C662" s="2">
        <v>1963</v>
      </c>
      <c r="D662" s="3" t="s">
        <v>9</v>
      </c>
      <c r="E662" s="3" t="s">
        <v>11</v>
      </c>
      <c r="F662" s="2">
        <v>56253</v>
      </c>
      <c r="G662" s="2">
        <v>0</v>
      </c>
      <c r="H662" s="2">
        <v>1</v>
      </c>
      <c r="I662" s="4">
        <v>41250</v>
      </c>
      <c r="J662" s="2">
        <v>83</v>
      </c>
    </row>
    <row r="663" spans="1:10" ht="12.5">
      <c r="A663" s="2">
        <v>661</v>
      </c>
      <c r="B663" s="2">
        <v>7093</v>
      </c>
      <c r="C663" s="2">
        <v>1985</v>
      </c>
      <c r="D663" s="3" t="s">
        <v>9</v>
      </c>
      <c r="E663" s="3" t="s">
        <v>13</v>
      </c>
      <c r="F663" s="2">
        <v>19986</v>
      </c>
      <c r="G663" s="2">
        <v>1</v>
      </c>
      <c r="H663" s="2">
        <v>0</v>
      </c>
      <c r="I663" s="5">
        <v>41592</v>
      </c>
      <c r="J663" s="2">
        <v>74</v>
      </c>
    </row>
    <row r="664" spans="1:10" ht="12.5">
      <c r="A664" s="2">
        <v>662</v>
      </c>
      <c r="B664" s="2">
        <v>5084</v>
      </c>
      <c r="C664" s="2">
        <v>1975</v>
      </c>
      <c r="D664" s="3" t="s">
        <v>9</v>
      </c>
      <c r="E664" s="3" t="s">
        <v>18</v>
      </c>
      <c r="F664" s="2">
        <v>58330</v>
      </c>
      <c r="G664" s="2">
        <v>0</v>
      </c>
      <c r="H664" s="2">
        <v>1</v>
      </c>
      <c r="I664" s="5">
        <v>41633</v>
      </c>
      <c r="J664" s="2">
        <v>87</v>
      </c>
    </row>
    <row r="665" spans="1:10" ht="12.5">
      <c r="A665" s="2">
        <v>663</v>
      </c>
      <c r="B665" s="2">
        <v>1777</v>
      </c>
      <c r="C665" s="2">
        <v>1980</v>
      </c>
      <c r="D665" s="3" t="s">
        <v>16</v>
      </c>
      <c r="E665" s="3" t="s">
        <v>13</v>
      </c>
      <c r="F665" s="2">
        <v>25965</v>
      </c>
      <c r="G665" s="2">
        <v>0</v>
      </c>
      <c r="H665" s="2">
        <v>0</v>
      </c>
      <c r="I665" s="4">
        <v>41159</v>
      </c>
      <c r="J665" s="2">
        <v>29</v>
      </c>
    </row>
    <row r="666" spans="1:10" ht="12.5">
      <c r="A666" s="2">
        <v>664</v>
      </c>
      <c r="B666" s="2">
        <v>8162</v>
      </c>
      <c r="C666" s="2">
        <v>1956</v>
      </c>
      <c r="D666" s="3" t="s">
        <v>14</v>
      </c>
      <c r="E666" s="3" t="s">
        <v>11</v>
      </c>
      <c r="F666" s="2">
        <v>14661</v>
      </c>
      <c r="G666" s="2">
        <v>0</v>
      </c>
      <c r="H666" s="2">
        <v>0</v>
      </c>
      <c r="I666" s="4">
        <v>41275</v>
      </c>
      <c r="J666" s="2">
        <v>88</v>
      </c>
    </row>
    <row r="667" spans="1:10" ht="12.5">
      <c r="A667" s="2">
        <v>665</v>
      </c>
      <c r="B667" s="2">
        <v>10826</v>
      </c>
      <c r="C667" s="2">
        <v>1959</v>
      </c>
      <c r="D667" s="3" t="s">
        <v>9</v>
      </c>
      <c r="E667" s="3" t="s">
        <v>13</v>
      </c>
      <c r="F667" s="2">
        <v>18690</v>
      </c>
      <c r="G667" s="2">
        <v>0</v>
      </c>
      <c r="H667" s="2">
        <v>0</v>
      </c>
      <c r="I667" s="5">
        <v>41271</v>
      </c>
      <c r="J667" s="2">
        <v>77</v>
      </c>
    </row>
    <row r="668" spans="1:10" ht="12.5">
      <c r="A668" s="2">
        <v>666</v>
      </c>
      <c r="B668" s="2">
        <v>8754</v>
      </c>
      <c r="C668" s="2">
        <v>1974</v>
      </c>
      <c r="D668" s="3" t="s">
        <v>12</v>
      </c>
      <c r="E668" s="3" t="s">
        <v>11</v>
      </c>
      <c r="F668" s="2">
        <v>45068</v>
      </c>
      <c r="G668" s="2">
        <v>0</v>
      </c>
      <c r="H668" s="2">
        <v>1</v>
      </c>
      <c r="I668" s="4">
        <v>41410</v>
      </c>
      <c r="J668" s="2">
        <v>25</v>
      </c>
    </row>
    <row r="669" spans="1:10" ht="12.5">
      <c r="A669" s="2">
        <v>667</v>
      </c>
      <c r="B669" s="2">
        <v>1987</v>
      </c>
      <c r="C669" s="2">
        <v>1987</v>
      </c>
      <c r="D669" s="3" t="s">
        <v>16</v>
      </c>
      <c r="E669" s="3" t="s">
        <v>10</v>
      </c>
      <c r="F669" s="2">
        <v>21063</v>
      </c>
      <c r="G669" s="2">
        <v>1</v>
      </c>
      <c r="H669" s="2">
        <v>0</v>
      </c>
      <c r="I669" s="4">
        <v>41542</v>
      </c>
      <c r="J669" s="2">
        <v>34</v>
      </c>
    </row>
    <row r="670" spans="1:10" ht="12.5">
      <c r="A670" s="2">
        <v>668</v>
      </c>
      <c r="B670" s="2">
        <v>11007</v>
      </c>
      <c r="C670" s="2">
        <v>1968</v>
      </c>
      <c r="D670" s="3" t="s">
        <v>12</v>
      </c>
      <c r="E670" s="3" t="s">
        <v>13</v>
      </c>
      <c r="F670" s="2">
        <v>29187</v>
      </c>
      <c r="G670" s="2">
        <v>1</v>
      </c>
      <c r="H670" s="2">
        <v>0</v>
      </c>
      <c r="I670" s="4">
        <v>41403</v>
      </c>
      <c r="J670" s="2">
        <v>43</v>
      </c>
    </row>
    <row r="671" spans="1:10" ht="12.5">
      <c r="A671" s="2">
        <v>669</v>
      </c>
      <c r="B671" s="2">
        <v>7426</v>
      </c>
      <c r="C671" s="2">
        <v>1971</v>
      </c>
      <c r="D671" s="3" t="s">
        <v>17</v>
      </c>
      <c r="E671" s="3" t="s">
        <v>13</v>
      </c>
      <c r="F671" s="2">
        <v>54690</v>
      </c>
      <c r="G671" s="2">
        <v>1</v>
      </c>
      <c r="H671" s="2">
        <v>1</v>
      </c>
      <c r="I671" s="4">
        <v>41585</v>
      </c>
      <c r="J671" s="2">
        <v>76</v>
      </c>
    </row>
    <row r="672" spans="1:10" ht="12.5">
      <c r="A672" s="2">
        <v>670</v>
      </c>
      <c r="B672" s="2">
        <v>9153</v>
      </c>
      <c r="C672" s="2">
        <v>1964</v>
      </c>
      <c r="D672" s="3" t="s">
        <v>12</v>
      </c>
      <c r="E672" s="3" t="s">
        <v>13</v>
      </c>
      <c r="F672" s="2">
        <v>59304</v>
      </c>
      <c r="G672" s="2">
        <v>0</v>
      </c>
      <c r="H672" s="2">
        <v>1</v>
      </c>
      <c r="I672" s="4">
        <v>41484</v>
      </c>
      <c r="J672" s="2">
        <v>81</v>
      </c>
    </row>
    <row r="673" spans="1:10" ht="12.5">
      <c r="A673" s="2">
        <v>671</v>
      </c>
      <c r="B673" s="2">
        <v>10379</v>
      </c>
      <c r="C673" s="2">
        <v>1962</v>
      </c>
      <c r="D673" s="3" t="s">
        <v>14</v>
      </c>
      <c r="E673" s="3" t="s">
        <v>10</v>
      </c>
      <c r="F673" s="2">
        <v>59247</v>
      </c>
      <c r="G673" s="2">
        <v>0</v>
      </c>
      <c r="H673" s="2">
        <v>2</v>
      </c>
      <c r="I673" s="4">
        <v>41586</v>
      </c>
      <c r="J673" s="2">
        <v>87</v>
      </c>
    </row>
    <row r="674" spans="1:10" ht="12.5">
      <c r="A674" s="2">
        <v>672</v>
      </c>
      <c r="B674" s="2">
        <v>9204</v>
      </c>
      <c r="C674" s="2">
        <v>1970</v>
      </c>
      <c r="D674" s="3" t="s">
        <v>9</v>
      </c>
      <c r="E674" s="3" t="s">
        <v>18</v>
      </c>
      <c r="F674" s="2">
        <v>66731</v>
      </c>
      <c r="G674" s="2">
        <v>0</v>
      </c>
      <c r="H674" s="2">
        <v>1</v>
      </c>
      <c r="I674" s="4">
        <v>41164</v>
      </c>
      <c r="J674" s="2">
        <v>33</v>
      </c>
    </row>
    <row r="675" spans="1:10" ht="12.5">
      <c r="A675" s="2">
        <v>673</v>
      </c>
      <c r="B675" s="2">
        <v>3197</v>
      </c>
      <c r="C675" s="2">
        <v>1980</v>
      </c>
      <c r="D675" s="3" t="s">
        <v>9</v>
      </c>
      <c r="E675" s="3" t="s">
        <v>13</v>
      </c>
      <c r="F675" s="2">
        <v>77353</v>
      </c>
      <c r="G675" s="2">
        <v>0</v>
      </c>
      <c r="H675" s="2">
        <v>1</v>
      </c>
      <c r="I675" s="5">
        <v>41624</v>
      </c>
      <c r="J675" s="2">
        <v>38</v>
      </c>
    </row>
    <row r="676" spans="1:10" ht="12.5">
      <c r="A676" s="2">
        <v>674</v>
      </c>
      <c r="B676" s="2">
        <v>2920</v>
      </c>
      <c r="C676" s="2">
        <v>1975</v>
      </c>
      <c r="D676" s="3" t="s">
        <v>12</v>
      </c>
      <c r="E676" s="3" t="s">
        <v>10</v>
      </c>
      <c r="F676" s="2">
        <v>52614</v>
      </c>
      <c r="G676" s="2">
        <v>0</v>
      </c>
      <c r="H676" s="2">
        <v>1</v>
      </c>
      <c r="I676" s="4">
        <v>41244</v>
      </c>
      <c r="J676" s="2">
        <v>63</v>
      </c>
    </row>
    <row r="677" spans="1:10" ht="12.5">
      <c r="A677" s="2">
        <v>675</v>
      </c>
      <c r="B677" s="2">
        <v>6961</v>
      </c>
      <c r="C677" s="2">
        <v>1974</v>
      </c>
      <c r="D677" s="3" t="s">
        <v>9</v>
      </c>
      <c r="E677" s="3" t="s">
        <v>13</v>
      </c>
      <c r="F677" s="2">
        <v>26751</v>
      </c>
      <c r="G677" s="2">
        <v>2</v>
      </c>
      <c r="H677" s="2">
        <v>0</v>
      </c>
      <c r="I677" s="4">
        <v>41781</v>
      </c>
      <c r="J677" s="2">
        <v>26</v>
      </c>
    </row>
    <row r="678" spans="1:10" ht="12.5">
      <c r="A678" s="2">
        <v>676</v>
      </c>
      <c r="B678" s="2">
        <v>4673</v>
      </c>
      <c r="C678" s="2">
        <v>1963</v>
      </c>
      <c r="D678" s="3" t="s">
        <v>12</v>
      </c>
      <c r="E678" s="3" t="s">
        <v>13</v>
      </c>
      <c r="F678" s="2">
        <v>81300</v>
      </c>
      <c r="G678" s="2">
        <v>0</v>
      </c>
      <c r="H678" s="2">
        <v>1</v>
      </c>
      <c r="I678" s="5">
        <v>41212</v>
      </c>
      <c r="J678" s="2">
        <v>17</v>
      </c>
    </row>
    <row r="679" spans="1:10" ht="12.5">
      <c r="A679" s="2">
        <v>677</v>
      </c>
      <c r="B679" s="2">
        <v>9937</v>
      </c>
      <c r="C679" s="2">
        <v>1979</v>
      </c>
      <c r="D679" s="3" t="s">
        <v>9</v>
      </c>
      <c r="E679" s="3" t="s">
        <v>10</v>
      </c>
      <c r="F679" s="2">
        <v>70337</v>
      </c>
      <c r="G679" s="2">
        <v>0</v>
      </c>
      <c r="H679" s="2">
        <v>0</v>
      </c>
      <c r="I679" s="4">
        <v>41641</v>
      </c>
      <c r="J679" s="2">
        <v>75</v>
      </c>
    </row>
    <row r="680" spans="1:10" ht="12.5">
      <c r="A680" s="2">
        <v>678</v>
      </c>
      <c r="B680" s="2">
        <v>8779</v>
      </c>
      <c r="C680" s="2">
        <v>1985</v>
      </c>
      <c r="D680" s="3" t="s">
        <v>17</v>
      </c>
      <c r="E680" s="3" t="s">
        <v>13</v>
      </c>
      <c r="F680" s="2">
        <v>36145</v>
      </c>
      <c r="G680" s="2">
        <v>1</v>
      </c>
      <c r="H680" s="2">
        <v>0</v>
      </c>
      <c r="I680" s="4">
        <v>41441</v>
      </c>
      <c r="J680" s="2">
        <v>13</v>
      </c>
    </row>
    <row r="681" spans="1:10" ht="12.5">
      <c r="A681" s="2">
        <v>679</v>
      </c>
      <c r="B681" s="2">
        <v>9596</v>
      </c>
      <c r="C681" s="2">
        <v>1980</v>
      </c>
      <c r="D681" s="3" t="s">
        <v>12</v>
      </c>
      <c r="E681" s="3" t="s">
        <v>10</v>
      </c>
      <c r="F681" s="2">
        <v>65295</v>
      </c>
      <c r="G681" s="2">
        <v>0</v>
      </c>
      <c r="H681" s="2">
        <v>0</v>
      </c>
      <c r="I681" s="5">
        <v>41631</v>
      </c>
      <c r="J681" s="2">
        <v>19</v>
      </c>
    </row>
    <row r="682" spans="1:10" ht="12.5">
      <c r="A682" s="2">
        <v>680</v>
      </c>
      <c r="B682" s="2">
        <v>2891</v>
      </c>
      <c r="C682" s="2">
        <v>1963</v>
      </c>
      <c r="D682" s="3" t="s">
        <v>9</v>
      </c>
      <c r="E682" s="3" t="s">
        <v>15</v>
      </c>
      <c r="F682" s="2">
        <v>68118</v>
      </c>
      <c r="G682" s="2">
        <v>0</v>
      </c>
      <c r="H682" s="2">
        <v>1</v>
      </c>
      <c r="I682" s="5">
        <v>41565</v>
      </c>
      <c r="J682" s="2">
        <v>51</v>
      </c>
    </row>
    <row r="683" spans="1:10" ht="12.5">
      <c r="A683" s="2">
        <v>681</v>
      </c>
      <c r="B683" s="2">
        <v>4910</v>
      </c>
      <c r="C683" s="2">
        <v>1967</v>
      </c>
      <c r="D683" s="3" t="s">
        <v>9</v>
      </c>
      <c r="E683" s="3" t="s">
        <v>15</v>
      </c>
      <c r="F683" s="2">
        <v>68743</v>
      </c>
      <c r="G683" s="2">
        <v>0</v>
      </c>
      <c r="H683" s="2">
        <v>0</v>
      </c>
      <c r="I683" s="4">
        <v>41151</v>
      </c>
      <c r="J683" s="2">
        <v>81</v>
      </c>
    </row>
    <row r="684" spans="1:10" ht="12.5">
      <c r="A684" s="2">
        <v>682</v>
      </c>
      <c r="B684" s="2">
        <v>75</v>
      </c>
      <c r="C684" s="2">
        <v>1982</v>
      </c>
      <c r="D684" s="3" t="s">
        <v>17</v>
      </c>
      <c r="E684" s="3" t="s">
        <v>11</v>
      </c>
      <c r="F684" s="2">
        <v>41039</v>
      </c>
      <c r="G684" s="2">
        <v>0</v>
      </c>
      <c r="H684" s="2">
        <v>0</v>
      </c>
      <c r="I684" s="4">
        <v>41480</v>
      </c>
      <c r="J684" s="2">
        <v>32</v>
      </c>
    </row>
    <row r="685" spans="1:10" ht="12.5">
      <c r="A685" s="2">
        <v>683</v>
      </c>
      <c r="B685" s="2">
        <v>10120</v>
      </c>
      <c r="C685" s="2">
        <v>1955</v>
      </c>
      <c r="D685" s="3" t="s">
        <v>9</v>
      </c>
      <c r="E685" s="3" t="s">
        <v>11</v>
      </c>
      <c r="F685" s="2">
        <v>38946</v>
      </c>
      <c r="G685" s="2">
        <v>0</v>
      </c>
      <c r="H685" s="2">
        <v>1</v>
      </c>
      <c r="I685" s="5">
        <v>41571</v>
      </c>
      <c r="J685" s="2">
        <v>84</v>
      </c>
    </row>
    <row r="686" spans="1:10" ht="12.5">
      <c r="A686" s="2">
        <v>684</v>
      </c>
      <c r="B686" s="2">
        <v>6327</v>
      </c>
      <c r="C686" s="2">
        <v>1967</v>
      </c>
      <c r="D686" s="3" t="s">
        <v>9</v>
      </c>
      <c r="E686" s="3" t="s">
        <v>11</v>
      </c>
      <c r="F686" s="2">
        <v>65777</v>
      </c>
      <c r="G686" s="2">
        <v>0</v>
      </c>
      <c r="H686" s="2">
        <v>0</v>
      </c>
      <c r="I686" s="5">
        <v>41627</v>
      </c>
      <c r="J686" s="2">
        <v>87</v>
      </c>
    </row>
    <row r="687" spans="1:10" ht="12.5">
      <c r="A687" s="2">
        <v>685</v>
      </c>
      <c r="B687" s="2">
        <v>10142</v>
      </c>
      <c r="C687" s="2">
        <v>1976</v>
      </c>
      <c r="D687" s="3" t="s">
        <v>12</v>
      </c>
      <c r="E687" s="3" t="s">
        <v>15</v>
      </c>
      <c r="F687" s="2">
        <v>66476</v>
      </c>
      <c r="G687" s="2">
        <v>0</v>
      </c>
      <c r="H687" s="2">
        <v>1</v>
      </c>
      <c r="I687" s="4">
        <v>41340</v>
      </c>
      <c r="J687" s="2">
        <v>99</v>
      </c>
    </row>
    <row r="688" spans="1:10" ht="12.5">
      <c r="A688" s="2">
        <v>686</v>
      </c>
      <c r="B688" s="2">
        <v>9826</v>
      </c>
      <c r="C688" s="2">
        <v>1972</v>
      </c>
      <c r="D688" s="3" t="s">
        <v>12</v>
      </c>
      <c r="E688" s="3" t="s">
        <v>10</v>
      </c>
      <c r="F688" s="2">
        <v>86857</v>
      </c>
      <c r="G688" s="2">
        <v>0</v>
      </c>
      <c r="H688" s="2">
        <v>0</v>
      </c>
      <c r="I688" s="4">
        <v>41164</v>
      </c>
      <c r="J688" s="2">
        <v>96</v>
      </c>
    </row>
    <row r="689" spans="1:10" ht="12.5">
      <c r="A689" s="2">
        <v>687</v>
      </c>
      <c r="B689" s="2">
        <v>1501</v>
      </c>
      <c r="C689" s="2">
        <v>1982</v>
      </c>
      <c r="D689" s="3" t="s">
        <v>12</v>
      </c>
      <c r="E689" s="3" t="s">
        <v>13</v>
      </c>
      <c r="F689" s="2">
        <v>160803</v>
      </c>
      <c r="G689" s="2">
        <v>0</v>
      </c>
      <c r="H689" s="2">
        <v>0</v>
      </c>
      <c r="I689" s="4">
        <v>41125</v>
      </c>
      <c r="J689" s="2">
        <v>21</v>
      </c>
    </row>
    <row r="690" spans="1:10" ht="12.5">
      <c r="A690" s="2">
        <v>688</v>
      </c>
      <c r="B690" s="2">
        <v>10767</v>
      </c>
      <c r="C690" s="2">
        <v>1989</v>
      </c>
      <c r="D690" s="3" t="s">
        <v>12</v>
      </c>
      <c r="E690" s="3" t="s">
        <v>11</v>
      </c>
      <c r="F690" s="2">
        <v>77845</v>
      </c>
      <c r="G690" s="2">
        <v>0</v>
      </c>
      <c r="H690" s="2">
        <v>0</v>
      </c>
      <c r="I690" s="4">
        <v>41775</v>
      </c>
      <c r="J690" s="2">
        <v>40</v>
      </c>
    </row>
    <row r="691" spans="1:10" ht="12.5">
      <c r="A691" s="2">
        <v>689</v>
      </c>
      <c r="B691" s="2">
        <v>7279</v>
      </c>
      <c r="C691" s="2">
        <v>1969</v>
      </c>
      <c r="D691" s="3" t="s">
        <v>12</v>
      </c>
      <c r="E691" s="3" t="s">
        <v>11</v>
      </c>
      <c r="F691" s="2">
        <v>69476</v>
      </c>
      <c r="G691" s="2">
        <v>0</v>
      </c>
      <c r="H691" s="2">
        <v>0</v>
      </c>
      <c r="I691" s="4">
        <v>41547</v>
      </c>
      <c r="J691" s="2">
        <v>3</v>
      </c>
    </row>
    <row r="692" spans="1:10" ht="12.5">
      <c r="A692" s="2">
        <v>690</v>
      </c>
      <c r="B692" s="2">
        <v>7230</v>
      </c>
      <c r="C692" s="2">
        <v>1960</v>
      </c>
      <c r="D692" s="3" t="s">
        <v>12</v>
      </c>
      <c r="E692" s="3" t="s">
        <v>15</v>
      </c>
      <c r="F692" s="2">
        <v>50611</v>
      </c>
      <c r="G692" s="2">
        <v>0</v>
      </c>
      <c r="H692" s="2">
        <v>1</v>
      </c>
      <c r="I692" s="4">
        <v>41186</v>
      </c>
      <c r="J692" s="2">
        <v>98</v>
      </c>
    </row>
    <row r="693" spans="1:10" ht="12.5">
      <c r="A693" s="2">
        <v>691</v>
      </c>
      <c r="B693" s="2">
        <v>143</v>
      </c>
      <c r="C693" s="2">
        <v>1970</v>
      </c>
      <c r="D693" s="3" t="s">
        <v>9</v>
      </c>
      <c r="E693" s="3" t="s">
        <v>10</v>
      </c>
      <c r="F693" s="2">
        <v>61209</v>
      </c>
      <c r="G693" s="2">
        <v>0</v>
      </c>
      <c r="H693" s="2">
        <v>0</v>
      </c>
      <c r="I693" s="4">
        <v>41511</v>
      </c>
      <c r="J693" s="2">
        <v>73</v>
      </c>
    </row>
    <row r="694" spans="1:10" ht="12.5">
      <c r="A694" s="2">
        <v>692</v>
      </c>
      <c r="B694" s="2">
        <v>450</v>
      </c>
      <c r="C694" s="2">
        <v>1958</v>
      </c>
      <c r="D694" s="3" t="s">
        <v>14</v>
      </c>
      <c r="E694" s="3" t="s">
        <v>11</v>
      </c>
      <c r="F694" s="2">
        <v>42315</v>
      </c>
      <c r="G694" s="2">
        <v>0</v>
      </c>
      <c r="H694" s="2">
        <v>1</v>
      </c>
      <c r="I694" s="4">
        <v>41467</v>
      </c>
      <c r="J694" s="2">
        <v>90</v>
      </c>
    </row>
    <row r="695" spans="1:10" ht="12.5">
      <c r="A695" s="2">
        <v>693</v>
      </c>
      <c r="B695" s="2">
        <v>9316</v>
      </c>
      <c r="C695" s="2">
        <v>1952</v>
      </c>
      <c r="D695" s="3" t="s">
        <v>16</v>
      </c>
      <c r="E695" s="3" t="s">
        <v>11</v>
      </c>
      <c r="F695" s="2">
        <v>13084</v>
      </c>
      <c r="G695" s="2">
        <v>0</v>
      </c>
      <c r="H695" s="2">
        <v>0</v>
      </c>
      <c r="I695" s="4">
        <v>41580</v>
      </c>
      <c r="J695" s="2">
        <v>29</v>
      </c>
    </row>
    <row r="696" spans="1:10" ht="12.5">
      <c r="A696" s="2">
        <v>694</v>
      </c>
      <c r="B696" s="2">
        <v>6379</v>
      </c>
      <c r="C696" s="2">
        <v>1949</v>
      </c>
      <c r="D696" s="3" t="s">
        <v>14</v>
      </c>
      <c r="E696" s="3" t="s">
        <v>18</v>
      </c>
      <c r="F696" s="2">
        <v>47570</v>
      </c>
      <c r="G696" s="2">
        <v>1</v>
      </c>
      <c r="H696" s="2">
        <v>1</v>
      </c>
      <c r="I696" s="4">
        <v>41423</v>
      </c>
      <c r="J696" s="2">
        <v>3</v>
      </c>
    </row>
    <row r="697" spans="1:10" ht="12.5">
      <c r="A697" s="2">
        <v>695</v>
      </c>
      <c r="B697" s="2">
        <v>9239</v>
      </c>
      <c r="C697" s="2">
        <v>1961</v>
      </c>
      <c r="D697" s="3" t="s">
        <v>14</v>
      </c>
      <c r="E697" s="3" t="s">
        <v>13</v>
      </c>
      <c r="F697" s="2">
        <v>61923</v>
      </c>
      <c r="G697" s="2">
        <v>0</v>
      </c>
      <c r="H697" s="2">
        <v>2</v>
      </c>
      <c r="I697" s="4">
        <v>41481</v>
      </c>
      <c r="J697" s="2">
        <v>94</v>
      </c>
    </row>
    <row r="698" spans="1:10" ht="12.5">
      <c r="A698" s="2">
        <v>696</v>
      </c>
      <c r="B698" s="2">
        <v>8315</v>
      </c>
      <c r="C698" s="2">
        <v>1995</v>
      </c>
      <c r="D698" s="3" t="s">
        <v>9</v>
      </c>
      <c r="E698" s="3" t="s">
        <v>10</v>
      </c>
      <c r="F698" s="2">
        <v>34824</v>
      </c>
      <c r="G698" s="2">
        <v>0</v>
      </c>
      <c r="H698" s="2">
        <v>0</v>
      </c>
      <c r="I698" s="4">
        <v>41724</v>
      </c>
      <c r="J698" s="2">
        <v>65</v>
      </c>
    </row>
    <row r="699" spans="1:10" ht="12.5">
      <c r="A699" s="2">
        <v>697</v>
      </c>
      <c r="B699" s="2">
        <v>2868</v>
      </c>
      <c r="C699" s="2">
        <v>1949</v>
      </c>
      <c r="D699" s="3" t="s">
        <v>12</v>
      </c>
      <c r="E699" s="3" t="s">
        <v>10</v>
      </c>
      <c r="F699" s="2">
        <v>26518</v>
      </c>
      <c r="G699" s="2">
        <v>1</v>
      </c>
      <c r="H699" s="2">
        <v>1</v>
      </c>
      <c r="I699" s="4">
        <v>41372</v>
      </c>
      <c r="J699" s="2">
        <v>33</v>
      </c>
    </row>
    <row r="700" spans="1:10" ht="12.5">
      <c r="A700" s="2">
        <v>698</v>
      </c>
      <c r="B700" s="2">
        <v>10888</v>
      </c>
      <c r="C700" s="2">
        <v>1961</v>
      </c>
      <c r="D700" s="3" t="s">
        <v>9</v>
      </c>
      <c r="E700" s="3" t="s">
        <v>10</v>
      </c>
      <c r="F700" s="2">
        <v>45938</v>
      </c>
      <c r="G700" s="2">
        <v>0</v>
      </c>
      <c r="H700" s="2">
        <v>0</v>
      </c>
      <c r="I700" s="4">
        <v>41581</v>
      </c>
      <c r="J700" s="2">
        <v>46</v>
      </c>
    </row>
    <row r="701" spans="1:10" ht="12.5">
      <c r="A701" s="2">
        <v>699</v>
      </c>
      <c r="B701" s="2">
        <v>1277</v>
      </c>
      <c r="C701" s="2">
        <v>1960</v>
      </c>
      <c r="D701" s="3" t="s">
        <v>9</v>
      </c>
      <c r="E701" s="3" t="s">
        <v>11</v>
      </c>
      <c r="F701" s="2">
        <v>78468</v>
      </c>
      <c r="G701" s="2">
        <v>0</v>
      </c>
      <c r="H701" s="2">
        <v>0</v>
      </c>
      <c r="I701" s="4">
        <v>41738</v>
      </c>
      <c r="J701" s="2">
        <v>29</v>
      </c>
    </row>
    <row r="702" spans="1:10" ht="12.5">
      <c r="A702" s="2">
        <v>700</v>
      </c>
      <c r="B702" s="2">
        <v>9977</v>
      </c>
      <c r="C702" s="2">
        <v>1973</v>
      </c>
      <c r="D702" s="3" t="s">
        <v>9</v>
      </c>
      <c r="E702" s="3" t="s">
        <v>15</v>
      </c>
      <c r="F702" s="2">
        <v>78901</v>
      </c>
      <c r="G702" s="2">
        <v>0</v>
      </c>
      <c r="H702" s="2">
        <v>1</v>
      </c>
      <c r="I702" s="4">
        <v>41534</v>
      </c>
      <c r="J702" s="2">
        <v>99</v>
      </c>
    </row>
    <row r="703" spans="1:10" ht="12.5">
      <c r="A703" s="2">
        <v>701</v>
      </c>
      <c r="B703" s="2">
        <v>10196</v>
      </c>
      <c r="C703" s="2">
        <v>1978</v>
      </c>
      <c r="D703" s="3" t="s">
        <v>9</v>
      </c>
      <c r="E703" s="3" t="s">
        <v>13</v>
      </c>
      <c r="F703" s="2">
        <v>71427</v>
      </c>
      <c r="G703" s="2">
        <v>2</v>
      </c>
      <c r="H703" s="2">
        <v>0</v>
      </c>
      <c r="I703" s="4">
        <v>41710</v>
      </c>
      <c r="J703" s="2">
        <v>26</v>
      </c>
    </row>
    <row r="704" spans="1:10" ht="12.5">
      <c r="A704" s="2">
        <v>702</v>
      </c>
      <c r="B704" s="2">
        <v>6384</v>
      </c>
      <c r="C704" s="2">
        <v>1978</v>
      </c>
      <c r="D704" s="3" t="s">
        <v>9</v>
      </c>
      <c r="E704" s="3" t="s">
        <v>15</v>
      </c>
      <c r="F704" s="2">
        <v>71022</v>
      </c>
      <c r="G704" s="2">
        <v>0</v>
      </c>
      <c r="H704" s="2">
        <v>1</v>
      </c>
      <c r="I704" s="4">
        <v>41681</v>
      </c>
      <c r="J704" s="2">
        <v>30</v>
      </c>
    </row>
    <row r="705" spans="1:10" ht="12.5">
      <c r="A705" s="2">
        <v>703</v>
      </c>
      <c r="B705" s="2">
        <v>8029</v>
      </c>
      <c r="C705" s="2">
        <v>1988</v>
      </c>
      <c r="D705" s="3" t="s">
        <v>14</v>
      </c>
      <c r="E705" s="3" t="s">
        <v>10</v>
      </c>
      <c r="F705" s="2">
        <v>90247</v>
      </c>
      <c r="G705" s="2">
        <v>0</v>
      </c>
      <c r="H705" s="2">
        <v>0</v>
      </c>
      <c r="I705" s="4">
        <v>41758</v>
      </c>
      <c r="J705" s="2">
        <v>27</v>
      </c>
    </row>
    <row r="706" spans="1:10" ht="12.5">
      <c r="A706" s="2">
        <v>704</v>
      </c>
      <c r="B706" s="2">
        <v>968</v>
      </c>
      <c r="C706" s="2">
        <v>1968</v>
      </c>
      <c r="D706" s="3" t="s">
        <v>14</v>
      </c>
      <c r="E706" s="3" t="s">
        <v>15</v>
      </c>
      <c r="F706" s="2">
        <v>41335</v>
      </c>
      <c r="G706" s="2">
        <v>1</v>
      </c>
      <c r="H706" s="2">
        <v>0</v>
      </c>
      <c r="I706" s="5">
        <v>41634</v>
      </c>
      <c r="J706" s="2">
        <v>24</v>
      </c>
    </row>
    <row r="707" spans="1:10" ht="12.5">
      <c r="A707" s="2">
        <v>705</v>
      </c>
      <c r="B707" s="2">
        <v>6988</v>
      </c>
      <c r="C707" s="2">
        <v>1986</v>
      </c>
      <c r="D707" s="3" t="s">
        <v>9</v>
      </c>
      <c r="E707" s="3" t="s">
        <v>13</v>
      </c>
      <c r="F707" s="2">
        <v>71952</v>
      </c>
      <c r="G707" s="2">
        <v>1</v>
      </c>
      <c r="H707" s="2">
        <v>0</v>
      </c>
      <c r="I707" s="4">
        <v>41284</v>
      </c>
      <c r="J707" s="2">
        <v>93</v>
      </c>
    </row>
    <row r="708" spans="1:10" ht="12.5">
      <c r="A708" s="2">
        <v>706</v>
      </c>
      <c r="B708" s="2">
        <v>4472</v>
      </c>
      <c r="C708" s="2">
        <v>1970</v>
      </c>
      <c r="D708" s="3" t="s">
        <v>12</v>
      </c>
      <c r="E708" s="3" t="s">
        <v>15</v>
      </c>
      <c r="F708" s="2">
        <v>35682</v>
      </c>
      <c r="G708" s="2">
        <v>1</v>
      </c>
      <c r="H708" s="2">
        <v>0</v>
      </c>
      <c r="I708" s="4">
        <v>41817</v>
      </c>
      <c r="J708" s="2">
        <v>34</v>
      </c>
    </row>
    <row r="709" spans="1:10" ht="12.5">
      <c r="A709" s="2">
        <v>707</v>
      </c>
      <c r="B709" s="2">
        <v>6991</v>
      </c>
      <c r="C709" s="2">
        <v>1951</v>
      </c>
      <c r="D709" s="3" t="s">
        <v>9</v>
      </c>
      <c r="E709" s="3" t="s">
        <v>15</v>
      </c>
      <c r="F709" s="2">
        <v>43185</v>
      </c>
      <c r="G709" s="2">
        <v>0</v>
      </c>
      <c r="H709" s="2">
        <v>1</v>
      </c>
      <c r="I709" s="4">
        <v>41374</v>
      </c>
      <c r="J709" s="2">
        <v>88</v>
      </c>
    </row>
    <row r="710" spans="1:10" ht="12.5">
      <c r="A710" s="2">
        <v>708</v>
      </c>
      <c r="B710" s="2">
        <v>3336</v>
      </c>
      <c r="C710" s="2">
        <v>1948</v>
      </c>
      <c r="D710" s="3" t="s">
        <v>12</v>
      </c>
      <c r="E710" s="3" t="s">
        <v>11</v>
      </c>
      <c r="F710" s="2">
        <v>66375</v>
      </c>
      <c r="G710" s="2">
        <v>0</v>
      </c>
      <c r="H710" s="2">
        <v>1</v>
      </c>
      <c r="I710" s="5">
        <v>41599</v>
      </c>
      <c r="J710" s="2">
        <v>96</v>
      </c>
    </row>
    <row r="711" spans="1:10" ht="12.5">
      <c r="A711" s="2">
        <v>709</v>
      </c>
      <c r="B711" s="2">
        <v>4301</v>
      </c>
      <c r="C711" s="2">
        <v>1971</v>
      </c>
      <c r="D711" s="3" t="s">
        <v>14</v>
      </c>
      <c r="E711" s="3" t="s">
        <v>13</v>
      </c>
      <c r="F711" s="2">
        <v>35178</v>
      </c>
      <c r="G711" s="2">
        <v>1</v>
      </c>
      <c r="H711" s="2">
        <v>0</v>
      </c>
      <c r="I711" s="4">
        <v>41284</v>
      </c>
      <c r="J711" s="2">
        <v>10</v>
      </c>
    </row>
    <row r="712" spans="1:10" ht="12.5">
      <c r="A712" s="2">
        <v>710</v>
      </c>
      <c r="B712" s="2">
        <v>1940</v>
      </c>
      <c r="C712" s="2">
        <v>1986</v>
      </c>
      <c r="D712" s="3" t="s">
        <v>9</v>
      </c>
      <c r="E712" s="3" t="s">
        <v>13</v>
      </c>
      <c r="F712" s="2">
        <v>25252</v>
      </c>
      <c r="G712" s="2">
        <v>1</v>
      </c>
      <c r="H712" s="2">
        <v>0</v>
      </c>
      <c r="I712" s="4">
        <v>41467</v>
      </c>
      <c r="J712" s="2">
        <v>26</v>
      </c>
    </row>
    <row r="713" spans="1:10" ht="12.5">
      <c r="A713" s="2">
        <v>711</v>
      </c>
      <c r="B713" s="2">
        <v>1272</v>
      </c>
      <c r="C713" s="2">
        <v>1965</v>
      </c>
      <c r="D713" s="3" t="s">
        <v>14</v>
      </c>
      <c r="E713" s="3" t="s">
        <v>10</v>
      </c>
      <c r="F713" s="2">
        <v>55250</v>
      </c>
      <c r="G713" s="2">
        <v>0</v>
      </c>
      <c r="H713" s="2">
        <v>1</v>
      </c>
      <c r="I713" s="5">
        <v>41203</v>
      </c>
      <c r="J713" s="2">
        <v>49</v>
      </c>
    </row>
    <row r="714" spans="1:10" ht="12.5">
      <c r="A714" s="2">
        <v>712</v>
      </c>
      <c r="B714" s="2">
        <v>1388</v>
      </c>
      <c r="C714" s="2">
        <v>1975</v>
      </c>
      <c r="D714" s="3" t="s">
        <v>9</v>
      </c>
      <c r="E714" s="3" t="s">
        <v>10</v>
      </c>
      <c r="F714" s="2">
        <v>33249</v>
      </c>
      <c r="G714" s="2">
        <v>1</v>
      </c>
      <c r="H714" s="2">
        <v>0</v>
      </c>
      <c r="I714" s="4">
        <v>41325</v>
      </c>
      <c r="J714" s="2">
        <v>11</v>
      </c>
    </row>
    <row r="715" spans="1:10" ht="12.5">
      <c r="A715" s="2">
        <v>713</v>
      </c>
      <c r="B715" s="2">
        <v>1044</v>
      </c>
      <c r="C715" s="2">
        <v>1953</v>
      </c>
      <c r="D715" s="3" t="s">
        <v>9</v>
      </c>
      <c r="E715" s="3" t="s">
        <v>11</v>
      </c>
      <c r="F715" s="2">
        <v>58398</v>
      </c>
      <c r="G715" s="2">
        <v>0</v>
      </c>
      <c r="H715" s="2">
        <v>0</v>
      </c>
      <c r="I715" s="4">
        <v>41408</v>
      </c>
      <c r="J715" s="2">
        <v>44</v>
      </c>
    </row>
    <row r="716" spans="1:10" ht="12.5">
      <c r="A716" s="2">
        <v>714</v>
      </c>
      <c r="B716" s="2">
        <v>6969</v>
      </c>
      <c r="C716" s="2">
        <v>1982</v>
      </c>
      <c r="D716" s="3" t="s">
        <v>9</v>
      </c>
      <c r="E716" s="3" t="s">
        <v>11</v>
      </c>
      <c r="F716" s="2">
        <v>50272</v>
      </c>
      <c r="G716" s="2">
        <v>1</v>
      </c>
      <c r="H716" s="2">
        <v>0</v>
      </c>
      <c r="I716" s="4">
        <v>41493</v>
      </c>
      <c r="J716" s="2">
        <v>75</v>
      </c>
    </row>
    <row r="717" spans="1:10" ht="12.5">
      <c r="A717" s="2">
        <v>715</v>
      </c>
      <c r="B717" s="2">
        <v>10479</v>
      </c>
      <c r="C717" s="2">
        <v>1975</v>
      </c>
      <c r="D717" s="3" t="s">
        <v>12</v>
      </c>
      <c r="E717" s="3" t="s">
        <v>13</v>
      </c>
      <c r="F717" s="2">
        <v>76618</v>
      </c>
      <c r="G717" s="2">
        <v>0</v>
      </c>
      <c r="H717" s="2">
        <v>0</v>
      </c>
      <c r="I717" s="4">
        <v>41250</v>
      </c>
      <c r="J717" s="2">
        <v>64</v>
      </c>
    </row>
    <row r="718" spans="1:10" ht="12.5">
      <c r="A718" s="2">
        <v>716</v>
      </c>
      <c r="B718" s="2">
        <v>3619</v>
      </c>
      <c r="C718" s="2">
        <v>1960</v>
      </c>
      <c r="D718" s="3" t="s">
        <v>17</v>
      </c>
      <c r="E718" s="3" t="s">
        <v>15</v>
      </c>
      <c r="F718" s="2">
        <v>87305</v>
      </c>
      <c r="G718" s="2">
        <v>0</v>
      </c>
      <c r="H718" s="2">
        <v>0</v>
      </c>
      <c r="I718" s="4">
        <v>41175</v>
      </c>
      <c r="J718" s="2">
        <v>19</v>
      </c>
    </row>
    <row r="719" spans="1:10" ht="12.5">
      <c r="A719" s="2">
        <v>717</v>
      </c>
      <c r="B719" s="2">
        <v>1715</v>
      </c>
      <c r="C719" s="2">
        <v>1978</v>
      </c>
      <c r="D719" s="3" t="s">
        <v>9</v>
      </c>
      <c r="E719" s="3" t="s">
        <v>11</v>
      </c>
      <c r="F719" s="2">
        <v>25851</v>
      </c>
      <c r="G719" s="2">
        <v>1</v>
      </c>
      <c r="H719" s="2">
        <v>0</v>
      </c>
      <c r="I719" s="4">
        <v>41316</v>
      </c>
      <c r="J719" s="2">
        <v>45</v>
      </c>
    </row>
    <row r="720" spans="1:10" ht="12.5">
      <c r="A720" s="2">
        <v>718</v>
      </c>
      <c r="B720" s="2">
        <v>10159</v>
      </c>
      <c r="C720" s="2">
        <v>1970</v>
      </c>
      <c r="D720" s="3" t="s">
        <v>9</v>
      </c>
      <c r="E720" s="3" t="s">
        <v>15</v>
      </c>
      <c r="F720" s="2">
        <v>58710</v>
      </c>
      <c r="G720" s="2">
        <v>0</v>
      </c>
      <c r="H720" s="2">
        <v>1</v>
      </c>
      <c r="I720" s="4">
        <v>41364</v>
      </c>
      <c r="J720" s="2">
        <v>77</v>
      </c>
    </row>
    <row r="721" spans="1:10" ht="12.5">
      <c r="A721" s="2">
        <v>719</v>
      </c>
      <c r="B721" s="2">
        <v>1463</v>
      </c>
      <c r="C721" s="2">
        <v>1958</v>
      </c>
      <c r="D721" s="3" t="s">
        <v>9</v>
      </c>
      <c r="E721" s="3" t="s">
        <v>10</v>
      </c>
      <c r="F721" s="2">
        <v>45160</v>
      </c>
      <c r="G721" s="2">
        <v>1</v>
      </c>
      <c r="H721" s="2">
        <v>1</v>
      </c>
      <c r="I721" s="4">
        <v>41727</v>
      </c>
      <c r="J721" s="2">
        <v>9</v>
      </c>
    </row>
    <row r="722" spans="1:10" ht="12.5">
      <c r="A722" s="2">
        <v>720</v>
      </c>
      <c r="B722" s="2">
        <v>5114</v>
      </c>
      <c r="C722" s="2">
        <v>1965</v>
      </c>
      <c r="D722" s="3" t="s">
        <v>14</v>
      </c>
      <c r="E722" s="3" t="s">
        <v>13</v>
      </c>
      <c r="F722" s="2">
        <v>74806</v>
      </c>
      <c r="G722" s="2">
        <v>0</v>
      </c>
      <c r="H722" s="2">
        <v>1</v>
      </c>
      <c r="I722" s="5">
        <v>41262</v>
      </c>
      <c r="J722" s="2">
        <v>1</v>
      </c>
    </row>
    <row r="723" spans="1:10" ht="12.5">
      <c r="A723" s="2">
        <v>721</v>
      </c>
      <c r="B723" s="2">
        <v>4990</v>
      </c>
      <c r="C723" s="2">
        <v>1954</v>
      </c>
      <c r="D723" s="3" t="s">
        <v>9</v>
      </c>
      <c r="E723" s="3" t="s">
        <v>13</v>
      </c>
      <c r="F723" s="2">
        <v>59111</v>
      </c>
      <c r="G723" s="2">
        <v>0</v>
      </c>
      <c r="H723" s="2">
        <v>0</v>
      </c>
      <c r="I723" s="4">
        <v>41396</v>
      </c>
      <c r="J723" s="2">
        <v>90</v>
      </c>
    </row>
    <row r="724" spans="1:10" ht="12.5">
      <c r="A724" s="2">
        <v>722</v>
      </c>
      <c r="B724" s="2">
        <v>4329</v>
      </c>
      <c r="C724" s="2">
        <v>1984</v>
      </c>
      <c r="D724" s="3" t="s">
        <v>12</v>
      </c>
      <c r="E724" s="3" t="s">
        <v>13</v>
      </c>
      <c r="F724" s="2">
        <v>18988</v>
      </c>
      <c r="G724" s="2">
        <v>1</v>
      </c>
      <c r="H724" s="2">
        <v>0</v>
      </c>
      <c r="I724" s="4">
        <v>41782</v>
      </c>
      <c r="J724" s="2">
        <v>43</v>
      </c>
    </row>
    <row r="725" spans="1:10" ht="12.5">
      <c r="A725" s="2">
        <v>723</v>
      </c>
      <c r="B725" s="2">
        <v>10936</v>
      </c>
      <c r="C725" s="2">
        <v>1965</v>
      </c>
      <c r="D725" s="3" t="s">
        <v>9</v>
      </c>
      <c r="E725" s="3" t="s">
        <v>13</v>
      </c>
      <c r="F725" s="2">
        <v>72190</v>
      </c>
      <c r="G725" s="2">
        <v>0</v>
      </c>
      <c r="H725" s="2">
        <v>0</v>
      </c>
      <c r="I725" s="4">
        <v>41318</v>
      </c>
      <c r="J725" s="2">
        <v>79</v>
      </c>
    </row>
    <row r="726" spans="1:10" ht="12.5">
      <c r="A726" s="2">
        <v>724</v>
      </c>
      <c r="B726" s="2">
        <v>4692</v>
      </c>
      <c r="C726" s="2">
        <v>1976</v>
      </c>
      <c r="D726" s="3" t="s">
        <v>9</v>
      </c>
      <c r="E726" s="3" t="s">
        <v>13</v>
      </c>
      <c r="F726" s="2">
        <v>7500</v>
      </c>
      <c r="G726" s="2">
        <v>1</v>
      </c>
      <c r="H726" s="2">
        <v>0</v>
      </c>
      <c r="I726" s="4">
        <v>41122</v>
      </c>
      <c r="J726" s="2">
        <v>19</v>
      </c>
    </row>
    <row r="727" spans="1:10" ht="12.5">
      <c r="A727" s="2">
        <v>725</v>
      </c>
      <c r="B727" s="2">
        <v>7212</v>
      </c>
      <c r="C727" s="2">
        <v>1966</v>
      </c>
      <c r="D727" s="3" t="s">
        <v>9</v>
      </c>
      <c r="E727" s="3" t="s">
        <v>13</v>
      </c>
      <c r="F727" s="2">
        <v>44794</v>
      </c>
      <c r="G727" s="2">
        <v>0</v>
      </c>
      <c r="H727" s="2">
        <v>1</v>
      </c>
      <c r="I727" s="4">
        <v>41798</v>
      </c>
      <c r="J727" s="2">
        <v>99</v>
      </c>
    </row>
    <row r="728" spans="1:10" ht="12.5">
      <c r="A728" s="2">
        <v>726</v>
      </c>
      <c r="B728" s="2">
        <v>6086</v>
      </c>
      <c r="C728" s="2">
        <v>1955</v>
      </c>
      <c r="D728" s="3" t="s">
        <v>9</v>
      </c>
      <c r="E728" s="3" t="s">
        <v>13</v>
      </c>
      <c r="F728" s="2">
        <v>80395</v>
      </c>
      <c r="G728" s="2">
        <v>0</v>
      </c>
      <c r="H728" s="2">
        <v>0</v>
      </c>
      <c r="I728" s="5">
        <v>41601</v>
      </c>
      <c r="J728" s="2">
        <v>62</v>
      </c>
    </row>
    <row r="729" spans="1:10" ht="12.5">
      <c r="A729" s="2">
        <v>727</v>
      </c>
      <c r="B729" s="2">
        <v>437</v>
      </c>
      <c r="C729" s="2">
        <v>1976</v>
      </c>
      <c r="D729" s="3" t="s">
        <v>14</v>
      </c>
      <c r="E729" s="3" t="s">
        <v>15</v>
      </c>
      <c r="F729" s="2">
        <v>75012</v>
      </c>
      <c r="G729" s="2">
        <v>0</v>
      </c>
      <c r="H729" s="2">
        <v>0</v>
      </c>
      <c r="I729" s="4">
        <v>41664</v>
      </c>
      <c r="J729" s="2">
        <v>41</v>
      </c>
    </row>
    <row r="730" spans="1:10" ht="12.5">
      <c r="A730" s="2">
        <v>728</v>
      </c>
      <c r="B730" s="2">
        <v>11171</v>
      </c>
      <c r="C730" s="2">
        <v>1965</v>
      </c>
      <c r="D730" s="3" t="s">
        <v>14</v>
      </c>
      <c r="E730" s="3" t="s">
        <v>13</v>
      </c>
      <c r="F730" s="2">
        <v>56962</v>
      </c>
      <c r="G730" s="2">
        <v>2</v>
      </c>
      <c r="H730" s="2">
        <v>1</v>
      </c>
      <c r="I730" s="5">
        <v>41558</v>
      </c>
      <c r="J730" s="2">
        <v>60</v>
      </c>
    </row>
    <row r="731" spans="1:10" ht="12.5">
      <c r="A731" s="2">
        <v>729</v>
      </c>
      <c r="B731" s="2">
        <v>11101</v>
      </c>
      <c r="C731" s="2">
        <v>1991</v>
      </c>
      <c r="D731" s="3" t="s">
        <v>9</v>
      </c>
      <c r="E731" s="3" t="s">
        <v>11</v>
      </c>
      <c r="F731" s="2">
        <v>89891</v>
      </c>
      <c r="G731" s="2">
        <v>0</v>
      </c>
      <c r="H731" s="2">
        <v>0</v>
      </c>
      <c r="I731" s="4">
        <v>41379</v>
      </c>
      <c r="J731" s="2">
        <v>17</v>
      </c>
    </row>
    <row r="732" spans="1:10" ht="12.5">
      <c r="A732" s="2">
        <v>730</v>
      </c>
      <c r="B732" s="2">
        <v>5329</v>
      </c>
      <c r="C732" s="2">
        <v>1949</v>
      </c>
      <c r="D732" s="3" t="s">
        <v>12</v>
      </c>
      <c r="E732" s="3" t="s">
        <v>15</v>
      </c>
      <c r="F732" s="2">
        <v>35946</v>
      </c>
      <c r="G732" s="2">
        <v>1</v>
      </c>
      <c r="H732" s="2">
        <v>1</v>
      </c>
      <c r="I732" s="4">
        <v>41544</v>
      </c>
      <c r="J732" s="2">
        <v>24</v>
      </c>
    </row>
    <row r="733" spans="1:10" ht="12.5">
      <c r="A733" s="2">
        <v>731</v>
      </c>
      <c r="B733" s="2">
        <v>610</v>
      </c>
      <c r="C733" s="2">
        <v>1953</v>
      </c>
      <c r="D733" s="3" t="s">
        <v>12</v>
      </c>
      <c r="E733" s="3" t="s">
        <v>11</v>
      </c>
      <c r="F733" s="2">
        <v>53593</v>
      </c>
      <c r="G733" s="2">
        <v>1</v>
      </c>
      <c r="H733" s="2">
        <v>1</v>
      </c>
      <c r="I733" s="4">
        <v>41128</v>
      </c>
      <c r="J733" s="2">
        <v>60</v>
      </c>
    </row>
    <row r="734" spans="1:10" ht="12.5">
      <c r="A734" s="2">
        <v>732</v>
      </c>
      <c r="B734" s="2">
        <v>9384</v>
      </c>
      <c r="C734" s="2">
        <v>1978</v>
      </c>
      <c r="D734" s="3" t="s">
        <v>9</v>
      </c>
      <c r="E734" s="3" t="s">
        <v>13</v>
      </c>
      <c r="F734" s="2">
        <v>66373</v>
      </c>
      <c r="G734" s="2">
        <v>1</v>
      </c>
      <c r="H734" s="2">
        <v>1</v>
      </c>
      <c r="I734" s="4">
        <v>41437</v>
      </c>
      <c r="J734" s="2">
        <v>57</v>
      </c>
    </row>
    <row r="735" spans="1:10" ht="12.5">
      <c r="A735" s="2">
        <v>733</v>
      </c>
      <c r="B735" s="2">
        <v>5956</v>
      </c>
      <c r="C735" s="2">
        <v>1948</v>
      </c>
      <c r="D735" s="3" t="s">
        <v>12</v>
      </c>
      <c r="E735" s="3" t="s">
        <v>15</v>
      </c>
      <c r="F735" s="2">
        <v>45072</v>
      </c>
      <c r="G735" s="2">
        <v>1</v>
      </c>
      <c r="H735" s="2">
        <v>2</v>
      </c>
      <c r="I735" s="5">
        <v>41563</v>
      </c>
      <c r="J735" s="2">
        <v>74</v>
      </c>
    </row>
    <row r="736" spans="1:10" ht="12.5">
      <c r="A736" s="2">
        <v>734</v>
      </c>
      <c r="B736" s="2">
        <v>10430</v>
      </c>
      <c r="C736" s="2">
        <v>1973</v>
      </c>
      <c r="D736" s="3" t="s">
        <v>9</v>
      </c>
      <c r="E736" s="3" t="s">
        <v>15</v>
      </c>
      <c r="F736" s="2">
        <v>89694</v>
      </c>
      <c r="G736" s="2">
        <v>1</v>
      </c>
      <c r="H736" s="2">
        <v>1</v>
      </c>
      <c r="I736" s="4">
        <v>41556</v>
      </c>
      <c r="J736" s="2">
        <v>22</v>
      </c>
    </row>
    <row r="737" spans="1:10" ht="12.5">
      <c r="A737" s="2">
        <v>735</v>
      </c>
      <c r="B737" s="2">
        <v>7875</v>
      </c>
      <c r="C737" s="2">
        <v>1949</v>
      </c>
      <c r="D737" s="3" t="s">
        <v>9</v>
      </c>
      <c r="E737" s="3" t="s">
        <v>13</v>
      </c>
      <c r="F737" s="2">
        <v>72025</v>
      </c>
      <c r="G737" s="2">
        <v>0</v>
      </c>
      <c r="H737" s="2">
        <v>0</v>
      </c>
      <c r="I737" s="4">
        <v>41758</v>
      </c>
      <c r="J737" s="2">
        <v>46</v>
      </c>
    </row>
    <row r="738" spans="1:10" ht="12.5">
      <c r="A738" s="2">
        <v>736</v>
      </c>
      <c r="B738" s="2">
        <v>7072</v>
      </c>
      <c r="C738" s="2">
        <v>1973</v>
      </c>
      <c r="D738" s="3" t="s">
        <v>9</v>
      </c>
      <c r="E738" s="3" t="s">
        <v>13</v>
      </c>
      <c r="F738" s="2">
        <v>67432</v>
      </c>
      <c r="G738" s="2">
        <v>0</v>
      </c>
      <c r="H738" s="2">
        <v>1</v>
      </c>
      <c r="I738" s="4">
        <v>41362</v>
      </c>
      <c r="J738" s="2">
        <v>69</v>
      </c>
    </row>
    <row r="739" spans="1:10" ht="12.5">
      <c r="A739" s="2">
        <v>737</v>
      </c>
      <c r="B739" s="2">
        <v>6255</v>
      </c>
      <c r="C739" s="2">
        <v>1952</v>
      </c>
      <c r="D739" s="3" t="s">
        <v>14</v>
      </c>
      <c r="E739" s="3" t="s">
        <v>11</v>
      </c>
      <c r="F739" s="2">
        <v>70545</v>
      </c>
      <c r="G739" s="2">
        <v>0</v>
      </c>
      <c r="H739" s="2">
        <v>1</v>
      </c>
      <c r="I739" s="4">
        <v>41793</v>
      </c>
      <c r="J739" s="2">
        <v>29</v>
      </c>
    </row>
    <row r="740" spans="1:10" ht="12.5">
      <c r="A740" s="2">
        <v>738</v>
      </c>
      <c r="B740" s="2">
        <v>6516</v>
      </c>
      <c r="C740" s="2">
        <v>1989</v>
      </c>
      <c r="D740" s="3" t="s">
        <v>16</v>
      </c>
      <c r="E740" s="3" t="s">
        <v>13</v>
      </c>
      <c r="F740" s="2">
        <v>17487</v>
      </c>
      <c r="G740" s="2">
        <v>1</v>
      </c>
      <c r="H740" s="2">
        <v>0</v>
      </c>
      <c r="I740" s="4">
        <v>41351</v>
      </c>
      <c r="J740" s="2">
        <v>37</v>
      </c>
    </row>
    <row r="741" spans="1:10" ht="12.5">
      <c r="A741" s="2">
        <v>739</v>
      </c>
      <c r="B741" s="2">
        <v>5564</v>
      </c>
      <c r="C741" s="2">
        <v>1969</v>
      </c>
      <c r="D741" s="3" t="s">
        <v>9</v>
      </c>
      <c r="E741" s="3" t="s">
        <v>11</v>
      </c>
      <c r="F741" s="2">
        <v>62882</v>
      </c>
      <c r="G741" s="2">
        <v>0</v>
      </c>
      <c r="H741" s="2">
        <v>1</v>
      </c>
      <c r="I741" s="4">
        <v>41130</v>
      </c>
      <c r="J741" s="2">
        <v>26</v>
      </c>
    </row>
    <row r="742" spans="1:10" ht="12.5">
      <c r="A742" s="2">
        <v>740</v>
      </c>
      <c r="B742" s="2">
        <v>5682</v>
      </c>
      <c r="C742" s="2">
        <v>1953</v>
      </c>
      <c r="D742" s="3" t="s">
        <v>12</v>
      </c>
      <c r="E742" s="3" t="s">
        <v>10</v>
      </c>
      <c r="F742" s="2">
        <v>64108</v>
      </c>
      <c r="G742" s="2">
        <v>0</v>
      </c>
      <c r="H742" s="2">
        <v>1</v>
      </c>
      <c r="I742" s="4">
        <v>41356</v>
      </c>
      <c r="J742" s="2">
        <v>8</v>
      </c>
    </row>
    <row r="743" spans="1:10" ht="12.5">
      <c r="A743" s="2">
        <v>741</v>
      </c>
      <c r="B743" s="2">
        <v>7458</v>
      </c>
      <c r="C743" s="2">
        <v>1956</v>
      </c>
      <c r="D743" s="3" t="s">
        <v>14</v>
      </c>
      <c r="E743" s="3" t="s">
        <v>11</v>
      </c>
      <c r="F743" s="2">
        <v>34941</v>
      </c>
      <c r="G743" s="2">
        <v>1</v>
      </c>
      <c r="H743" s="2">
        <v>1</v>
      </c>
      <c r="I743" s="4">
        <v>41339</v>
      </c>
      <c r="J743" s="2">
        <v>26</v>
      </c>
    </row>
    <row r="744" spans="1:10" ht="12.5">
      <c r="A744" s="2">
        <v>742</v>
      </c>
      <c r="B744" s="2">
        <v>5237</v>
      </c>
      <c r="C744" s="2">
        <v>1950</v>
      </c>
      <c r="D744" s="3" t="s">
        <v>12</v>
      </c>
      <c r="E744" s="3" t="s">
        <v>10</v>
      </c>
      <c r="F744" s="2">
        <v>48767</v>
      </c>
      <c r="G744" s="2">
        <v>1</v>
      </c>
      <c r="H744" s="2">
        <v>2</v>
      </c>
      <c r="I744" s="4">
        <v>41640</v>
      </c>
      <c r="J744" s="2">
        <v>79</v>
      </c>
    </row>
    <row r="745" spans="1:10" ht="12.5">
      <c r="A745" s="2">
        <v>743</v>
      </c>
      <c r="B745" s="2">
        <v>7761</v>
      </c>
      <c r="C745" s="2">
        <v>1978</v>
      </c>
      <c r="D745" s="3" t="s">
        <v>17</v>
      </c>
      <c r="E745" s="3" t="s">
        <v>11</v>
      </c>
      <c r="F745" s="2">
        <v>38702</v>
      </c>
      <c r="G745" s="2">
        <v>1</v>
      </c>
      <c r="H745" s="2">
        <v>0</v>
      </c>
      <c r="I745" s="4">
        <v>41487</v>
      </c>
      <c r="J745" s="2">
        <v>71</v>
      </c>
    </row>
    <row r="746" spans="1:10" ht="12.5">
      <c r="A746" s="2">
        <v>744</v>
      </c>
      <c r="B746" s="2">
        <v>5278</v>
      </c>
      <c r="C746" s="2">
        <v>1964</v>
      </c>
      <c r="D746" s="3" t="s">
        <v>9</v>
      </c>
      <c r="E746" s="3" t="s">
        <v>13</v>
      </c>
      <c r="F746" s="2">
        <v>82224</v>
      </c>
      <c r="G746" s="2">
        <v>0</v>
      </c>
      <c r="H746" s="2">
        <v>0</v>
      </c>
      <c r="I746" s="4">
        <v>41664</v>
      </c>
      <c r="J746" s="2">
        <v>83</v>
      </c>
    </row>
    <row r="747" spans="1:10" ht="12.5">
      <c r="A747" s="2">
        <v>745</v>
      </c>
      <c r="B747" s="2">
        <v>3560</v>
      </c>
      <c r="C747" s="2">
        <v>1952</v>
      </c>
      <c r="D747" s="3" t="s">
        <v>9</v>
      </c>
      <c r="E747" s="3" t="s">
        <v>11</v>
      </c>
      <c r="F747" s="2">
        <v>83844</v>
      </c>
      <c r="G747" s="2">
        <v>0</v>
      </c>
      <c r="H747" s="2">
        <v>0</v>
      </c>
      <c r="I747" s="4">
        <v>41406</v>
      </c>
      <c r="J747" s="2">
        <v>57</v>
      </c>
    </row>
    <row r="748" spans="1:10" ht="12.5">
      <c r="A748" s="2">
        <v>746</v>
      </c>
      <c r="B748" s="2">
        <v>7235</v>
      </c>
      <c r="C748" s="2">
        <v>1975</v>
      </c>
      <c r="D748" s="3" t="s">
        <v>17</v>
      </c>
      <c r="E748" s="3" t="s">
        <v>13</v>
      </c>
      <c r="F748" s="2">
        <v>17003</v>
      </c>
      <c r="G748" s="2">
        <v>1</v>
      </c>
      <c r="H748" s="2">
        <v>0</v>
      </c>
      <c r="I748" s="4">
        <v>41617</v>
      </c>
      <c r="J748" s="2">
        <v>37</v>
      </c>
    </row>
    <row r="749" spans="1:10" ht="12.5">
      <c r="A749" s="2">
        <v>747</v>
      </c>
      <c r="B749" s="2">
        <v>10548</v>
      </c>
      <c r="C749" s="2">
        <v>1995</v>
      </c>
      <c r="D749" s="3" t="s">
        <v>9</v>
      </c>
      <c r="E749" s="3" t="s">
        <v>10</v>
      </c>
      <c r="F749" s="2">
        <v>71163</v>
      </c>
      <c r="G749" s="2">
        <v>0</v>
      </c>
      <c r="H749" s="2">
        <v>0</v>
      </c>
      <c r="I749" s="4">
        <v>41707</v>
      </c>
      <c r="J749" s="2">
        <v>30</v>
      </c>
    </row>
    <row r="750" spans="1:10" ht="12.5">
      <c r="A750" s="2">
        <v>748</v>
      </c>
      <c r="B750" s="2">
        <v>2281</v>
      </c>
      <c r="C750" s="2">
        <v>1970</v>
      </c>
      <c r="D750" s="3" t="s">
        <v>9</v>
      </c>
      <c r="E750" s="3" t="s">
        <v>10</v>
      </c>
      <c r="F750" s="2">
        <v>33697</v>
      </c>
      <c r="G750" s="2">
        <v>1</v>
      </c>
      <c r="H750" s="2">
        <v>0</v>
      </c>
      <c r="I750" s="4">
        <v>41532</v>
      </c>
      <c r="J750" s="2">
        <v>34</v>
      </c>
    </row>
    <row r="751" spans="1:10" ht="12.5">
      <c r="A751" s="2">
        <v>749</v>
      </c>
      <c r="B751" s="2">
        <v>4073</v>
      </c>
      <c r="C751" s="2">
        <v>1954</v>
      </c>
      <c r="D751" s="3" t="s">
        <v>17</v>
      </c>
      <c r="E751" s="3" t="s">
        <v>13</v>
      </c>
      <c r="F751" s="2">
        <v>63564</v>
      </c>
      <c r="G751" s="2">
        <v>0</v>
      </c>
      <c r="H751" s="2">
        <v>0</v>
      </c>
      <c r="I751" s="4">
        <v>41668</v>
      </c>
      <c r="J751" s="2">
        <v>0</v>
      </c>
    </row>
    <row r="752" spans="1:10" ht="12.5">
      <c r="A752" s="2">
        <v>750</v>
      </c>
      <c r="B752" s="2">
        <v>6974</v>
      </c>
      <c r="C752" s="2">
        <v>1972</v>
      </c>
      <c r="D752" s="3" t="s">
        <v>12</v>
      </c>
      <c r="E752" s="3" t="s">
        <v>11</v>
      </c>
      <c r="F752" s="2">
        <v>83443</v>
      </c>
      <c r="G752" s="2">
        <v>0</v>
      </c>
      <c r="H752" s="2">
        <v>0</v>
      </c>
      <c r="I752" s="5">
        <v>41639</v>
      </c>
      <c r="J752" s="2">
        <v>89</v>
      </c>
    </row>
    <row r="753" spans="1:10" ht="12.5">
      <c r="A753" s="2">
        <v>751</v>
      </c>
      <c r="B753" s="2">
        <v>7938</v>
      </c>
      <c r="C753" s="2">
        <v>1958</v>
      </c>
      <c r="D753" s="3" t="s">
        <v>12</v>
      </c>
      <c r="E753" s="3" t="s">
        <v>11</v>
      </c>
      <c r="F753" s="2">
        <v>51518</v>
      </c>
      <c r="G753" s="2">
        <v>0</v>
      </c>
      <c r="H753" s="2">
        <v>1</v>
      </c>
      <c r="I753" s="4">
        <v>41550</v>
      </c>
      <c r="J753" s="2">
        <v>92</v>
      </c>
    </row>
    <row r="754" spans="1:10" ht="12.5">
      <c r="A754" s="2">
        <v>752</v>
      </c>
      <c r="B754" s="2">
        <v>7094</v>
      </c>
      <c r="C754" s="2">
        <v>1975</v>
      </c>
      <c r="D754" s="3" t="s">
        <v>9</v>
      </c>
      <c r="E754" s="3" t="s">
        <v>18</v>
      </c>
      <c r="F754" s="2">
        <v>58330</v>
      </c>
      <c r="G754" s="2">
        <v>0</v>
      </c>
      <c r="H754" s="2">
        <v>1</v>
      </c>
      <c r="I754" s="5">
        <v>41633</v>
      </c>
      <c r="J754" s="2">
        <v>87</v>
      </c>
    </row>
    <row r="755" spans="1:10" ht="12.5">
      <c r="A755" s="2">
        <v>753</v>
      </c>
      <c r="B755" s="2">
        <v>3667</v>
      </c>
      <c r="C755" s="2">
        <v>1969</v>
      </c>
      <c r="D755" s="3" t="s">
        <v>9</v>
      </c>
      <c r="E755" s="3" t="s">
        <v>13</v>
      </c>
      <c r="F755" s="2">
        <v>80952</v>
      </c>
      <c r="G755" s="2">
        <v>0</v>
      </c>
      <c r="H755" s="2">
        <v>0</v>
      </c>
      <c r="I755" s="4">
        <v>41333</v>
      </c>
      <c r="J755" s="2">
        <v>20</v>
      </c>
    </row>
    <row r="756" spans="1:10" ht="12.5">
      <c r="A756" s="2">
        <v>754</v>
      </c>
      <c r="B756" s="2">
        <v>7723</v>
      </c>
      <c r="C756" s="2">
        <v>1979</v>
      </c>
      <c r="D756" s="3" t="s">
        <v>9</v>
      </c>
      <c r="E756" s="3" t="s">
        <v>11</v>
      </c>
      <c r="F756" s="2">
        <v>75507</v>
      </c>
      <c r="G756" s="2">
        <v>0</v>
      </c>
      <c r="H756" s="2">
        <v>0</v>
      </c>
      <c r="I756" s="4">
        <v>41761</v>
      </c>
      <c r="J756" s="2">
        <v>56</v>
      </c>
    </row>
    <row r="757" spans="1:10" ht="12.5">
      <c r="A757" s="2">
        <v>755</v>
      </c>
      <c r="B757" s="2">
        <v>3870</v>
      </c>
      <c r="C757" s="2">
        <v>1978</v>
      </c>
      <c r="D757" s="3" t="s">
        <v>17</v>
      </c>
      <c r="E757" s="3" t="s">
        <v>11</v>
      </c>
      <c r="F757" s="2">
        <v>63855</v>
      </c>
      <c r="G757" s="2">
        <v>0</v>
      </c>
      <c r="H757" s="2">
        <v>0</v>
      </c>
      <c r="I757" s="4">
        <v>41314</v>
      </c>
      <c r="J757" s="2">
        <v>28</v>
      </c>
    </row>
    <row r="758" spans="1:10" ht="12.5">
      <c r="A758" s="2">
        <v>756</v>
      </c>
      <c r="B758" s="2">
        <v>4012</v>
      </c>
      <c r="C758" s="2">
        <v>1972</v>
      </c>
      <c r="D758" s="3" t="s">
        <v>12</v>
      </c>
      <c r="E758" s="3" t="s">
        <v>11</v>
      </c>
      <c r="F758" s="2">
        <v>62220</v>
      </c>
      <c r="G758" s="2">
        <v>0</v>
      </c>
      <c r="H758" s="2">
        <v>1</v>
      </c>
      <c r="I758" s="4">
        <v>41132</v>
      </c>
      <c r="J758" s="2">
        <v>55</v>
      </c>
    </row>
    <row r="759" spans="1:10" ht="12.5">
      <c r="A759" s="2">
        <v>757</v>
      </c>
      <c r="B759" s="2">
        <v>5909</v>
      </c>
      <c r="C759" s="2">
        <v>1964</v>
      </c>
      <c r="D759" s="3" t="s">
        <v>9</v>
      </c>
      <c r="E759" s="3" t="s">
        <v>13</v>
      </c>
      <c r="F759" s="2">
        <v>58512</v>
      </c>
      <c r="G759" s="2">
        <v>0</v>
      </c>
      <c r="H759" s="2">
        <v>1</v>
      </c>
      <c r="I759" s="4">
        <v>41536</v>
      </c>
      <c r="J759" s="2">
        <v>25</v>
      </c>
    </row>
    <row r="760" spans="1:10" ht="12.5">
      <c r="A760" s="2">
        <v>758</v>
      </c>
      <c r="B760" s="2">
        <v>10470</v>
      </c>
      <c r="C760" s="2">
        <v>1979</v>
      </c>
      <c r="D760" s="3" t="s">
        <v>14</v>
      </c>
      <c r="E760" s="3" t="s">
        <v>13</v>
      </c>
      <c r="F760" s="2">
        <v>40662</v>
      </c>
      <c r="G760" s="2">
        <v>1</v>
      </c>
      <c r="H760" s="2">
        <v>0</v>
      </c>
      <c r="I760" s="4">
        <v>41348</v>
      </c>
      <c r="J760" s="2">
        <v>0</v>
      </c>
    </row>
    <row r="761" spans="1:10" ht="12.5">
      <c r="A761" s="2">
        <v>759</v>
      </c>
      <c r="B761" s="2">
        <v>6488</v>
      </c>
      <c r="C761" s="2">
        <v>1959</v>
      </c>
      <c r="D761" s="3" t="s">
        <v>12</v>
      </c>
      <c r="E761" s="3" t="s">
        <v>13</v>
      </c>
      <c r="F761" s="2">
        <v>38829</v>
      </c>
      <c r="G761" s="2">
        <v>0</v>
      </c>
      <c r="H761" s="2">
        <v>1</v>
      </c>
      <c r="I761" s="4">
        <v>41735</v>
      </c>
      <c r="J761" s="2">
        <v>86</v>
      </c>
    </row>
    <row r="762" spans="1:10" ht="12.5">
      <c r="A762" s="2">
        <v>760</v>
      </c>
      <c r="B762" s="2">
        <v>10270</v>
      </c>
      <c r="C762" s="2">
        <v>1981</v>
      </c>
      <c r="D762" s="3" t="s">
        <v>17</v>
      </c>
      <c r="E762" s="3" t="s">
        <v>13</v>
      </c>
      <c r="F762" s="2">
        <v>35523</v>
      </c>
      <c r="G762" s="2">
        <v>1</v>
      </c>
      <c r="H762" s="2">
        <v>0</v>
      </c>
      <c r="I762" s="4">
        <v>41550</v>
      </c>
      <c r="J762" s="2">
        <v>8</v>
      </c>
    </row>
    <row r="763" spans="1:10" ht="12.5">
      <c r="A763" s="2">
        <v>761</v>
      </c>
      <c r="B763" s="2">
        <v>6887</v>
      </c>
      <c r="C763" s="2">
        <v>1967</v>
      </c>
      <c r="D763" s="3" t="s">
        <v>9</v>
      </c>
      <c r="E763" s="3" t="s">
        <v>10</v>
      </c>
      <c r="F763" s="2">
        <v>79146</v>
      </c>
      <c r="G763" s="2">
        <v>1</v>
      </c>
      <c r="H763" s="2">
        <v>1</v>
      </c>
      <c r="I763" s="4">
        <v>41753</v>
      </c>
      <c r="J763" s="2">
        <v>33</v>
      </c>
    </row>
    <row r="764" spans="1:10" ht="12.5">
      <c r="A764" s="2">
        <v>762</v>
      </c>
      <c r="B764" s="2">
        <v>6406</v>
      </c>
      <c r="C764" s="2">
        <v>1988</v>
      </c>
      <c r="D764" s="3" t="s">
        <v>14</v>
      </c>
      <c r="E764" s="3" t="s">
        <v>13</v>
      </c>
      <c r="F764" s="2">
        <v>78285</v>
      </c>
      <c r="G764" s="2">
        <v>0</v>
      </c>
      <c r="H764" s="2">
        <v>0</v>
      </c>
      <c r="I764" s="5">
        <v>41575</v>
      </c>
      <c r="J764" s="2">
        <v>13</v>
      </c>
    </row>
    <row r="765" spans="1:10" ht="12.5">
      <c r="A765" s="2">
        <v>763</v>
      </c>
      <c r="B765" s="2">
        <v>7573</v>
      </c>
      <c r="C765" s="2">
        <v>1978</v>
      </c>
      <c r="D765" s="3" t="s">
        <v>12</v>
      </c>
      <c r="E765" s="3" t="s">
        <v>10</v>
      </c>
      <c r="F765" s="2">
        <v>31626</v>
      </c>
      <c r="G765" s="2">
        <v>1</v>
      </c>
      <c r="H765" s="2">
        <v>0</v>
      </c>
      <c r="I765" s="4">
        <v>41404</v>
      </c>
      <c r="J765" s="2">
        <v>12</v>
      </c>
    </row>
    <row r="766" spans="1:10" ht="12.5">
      <c r="A766" s="2">
        <v>764</v>
      </c>
      <c r="B766" s="2">
        <v>4508</v>
      </c>
      <c r="C766" s="2">
        <v>1952</v>
      </c>
      <c r="D766" s="3" t="s">
        <v>9</v>
      </c>
      <c r="E766" s="3" t="s">
        <v>10</v>
      </c>
      <c r="F766" s="2">
        <v>75127</v>
      </c>
      <c r="G766" s="2">
        <v>0</v>
      </c>
      <c r="H766" s="2">
        <v>0</v>
      </c>
      <c r="I766" s="4">
        <v>41781</v>
      </c>
      <c r="J766" s="2">
        <v>92</v>
      </c>
    </row>
    <row r="767" spans="1:10" ht="12.5">
      <c r="A767" s="2">
        <v>765</v>
      </c>
      <c r="B767" s="2">
        <v>221</v>
      </c>
      <c r="C767" s="2">
        <v>1955</v>
      </c>
      <c r="D767" s="3" t="s">
        <v>9</v>
      </c>
      <c r="E767" s="3" t="s">
        <v>13</v>
      </c>
      <c r="F767" s="2">
        <v>48726</v>
      </c>
      <c r="G767" s="2">
        <v>0</v>
      </c>
      <c r="H767" s="2">
        <v>1</v>
      </c>
      <c r="I767" s="4">
        <v>41391</v>
      </c>
      <c r="J767" s="2">
        <v>90</v>
      </c>
    </row>
    <row r="768" spans="1:10" ht="12.5">
      <c r="A768" s="2">
        <v>766</v>
      </c>
      <c r="B768" s="2">
        <v>5331</v>
      </c>
      <c r="C768" s="2">
        <v>1977</v>
      </c>
      <c r="D768" s="3" t="s">
        <v>9</v>
      </c>
      <c r="E768" s="3" t="s">
        <v>13</v>
      </c>
      <c r="F768" s="2">
        <v>74985</v>
      </c>
      <c r="G768" s="2">
        <v>0</v>
      </c>
      <c r="H768" s="2">
        <v>0</v>
      </c>
      <c r="I768" s="4">
        <v>41163</v>
      </c>
      <c r="J768" s="2">
        <v>8</v>
      </c>
    </row>
    <row r="769" spans="1:10" ht="12.5">
      <c r="A769" s="2">
        <v>767</v>
      </c>
      <c r="B769" s="2">
        <v>1911</v>
      </c>
      <c r="C769" s="2">
        <v>1987</v>
      </c>
      <c r="D769" s="3" t="s">
        <v>9</v>
      </c>
      <c r="E769" s="3" t="s">
        <v>11</v>
      </c>
      <c r="F769" s="2">
        <v>67430</v>
      </c>
      <c r="G769" s="2">
        <v>0</v>
      </c>
      <c r="H769" s="2">
        <v>0</v>
      </c>
      <c r="I769" s="4">
        <v>41157</v>
      </c>
      <c r="J769" s="2">
        <v>6</v>
      </c>
    </row>
    <row r="770" spans="1:10" ht="12.5">
      <c r="A770" s="2">
        <v>768</v>
      </c>
      <c r="B770" s="2">
        <v>20</v>
      </c>
      <c r="C770" s="2">
        <v>1965</v>
      </c>
      <c r="D770" s="3" t="s">
        <v>17</v>
      </c>
      <c r="E770" s="3" t="s">
        <v>13</v>
      </c>
      <c r="F770" s="2">
        <v>46891</v>
      </c>
      <c r="G770" s="2">
        <v>0</v>
      </c>
      <c r="H770" s="2">
        <v>1</v>
      </c>
      <c r="I770" s="4">
        <v>41518</v>
      </c>
      <c r="J770" s="2">
        <v>91</v>
      </c>
    </row>
    <row r="771" spans="1:10" ht="12.5">
      <c r="A771" s="2">
        <v>769</v>
      </c>
      <c r="B771" s="2">
        <v>8786</v>
      </c>
      <c r="C771" s="2">
        <v>1956</v>
      </c>
      <c r="D771" s="3" t="s">
        <v>14</v>
      </c>
      <c r="E771" s="3" t="s">
        <v>13</v>
      </c>
      <c r="F771" s="2">
        <v>62058</v>
      </c>
      <c r="G771" s="2">
        <v>0</v>
      </c>
      <c r="H771" s="2">
        <v>1</v>
      </c>
      <c r="I771" s="4">
        <v>41420</v>
      </c>
      <c r="J771" s="2">
        <v>52</v>
      </c>
    </row>
    <row r="772" spans="1:10" ht="12.5">
      <c r="A772" s="2">
        <v>770</v>
      </c>
      <c r="B772" s="2">
        <v>10582</v>
      </c>
      <c r="C772" s="2">
        <v>1979</v>
      </c>
      <c r="D772" s="3" t="s">
        <v>9</v>
      </c>
      <c r="E772" s="3" t="s">
        <v>13</v>
      </c>
      <c r="F772" s="2">
        <v>72063</v>
      </c>
      <c r="G772" s="2">
        <v>0</v>
      </c>
      <c r="H772" s="2">
        <v>1</v>
      </c>
      <c r="I772" s="4">
        <v>41458</v>
      </c>
      <c r="J772" s="2">
        <v>3</v>
      </c>
    </row>
    <row r="773" spans="1:10" ht="12.5">
      <c r="A773" s="2">
        <v>771</v>
      </c>
      <c r="B773" s="2">
        <v>1915</v>
      </c>
      <c r="C773" s="2">
        <v>1951</v>
      </c>
      <c r="D773" s="3" t="s">
        <v>12</v>
      </c>
      <c r="E773" s="3" t="s">
        <v>13</v>
      </c>
      <c r="F773" s="2">
        <v>78939</v>
      </c>
      <c r="G773" s="2">
        <v>0</v>
      </c>
      <c r="H773" s="2">
        <v>0</v>
      </c>
      <c r="I773" s="5">
        <v>41620</v>
      </c>
      <c r="J773" s="2">
        <v>57</v>
      </c>
    </row>
    <row r="774" spans="1:10" ht="12.5">
      <c r="A774" s="2">
        <v>772</v>
      </c>
      <c r="B774" s="2">
        <v>8897</v>
      </c>
      <c r="C774" s="2">
        <v>1965</v>
      </c>
      <c r="D774" s="3" t="s">
        <v>9</v>
      </c>
      <c r="E774" s="3" t="s">
        <v>10</v>
      </c>
      <c r="F774" s="2">
        <v>42720</v>
      </c>
      <c r="G774" s="2">
        <v>1</v>
      </c>
      <c r="H774" s="2">
        <v>1</v>
      </c>
      <c r="I774" s="4">
        <v>41388</v>
      </c>
      <c r="J774" s="2">
        <v>9</v>
      </c>
    </row>
    <row r="775" spans="1:10" ht="12.5">
      <c r="A775" s="2">
        <v>773</v>
      </c>
      <c r="B775" s="2">
        <v>2371</v>
      </c>
      <c r="C775" s="2">
        <v>1972</v>
      </c>
      <c r="D775" s="3" t="s">
        <v>9</v>
      </c>
      <c r="E775" s="3" t="s">
        <v>13</v>
      </c>
      <c r="F775" s="2">
        <v>33622</v>
      </c>
      <c r="G775" s="2">
        <v>1</v>
      </c>
      <c r="H775" s="2">
        <v>1</v>
      </c>
      <c r="I775" s="4">
        <v>41377</v>
      </c>
      <c r="J775" s="2">
        <v>22</v>
      </c>
    </row>
    <row r="776" spans="1:10" ht="12.5">
      <c r="A776" s="2">
        <v>774</v>
      </c>
      <c r="B776" s="2">
        <v>4303</v>
      </c>
      <c r="C776" s="2">
        <v>1957</v>
      </c>
      <c r="D776" s="3" t="s">
        <v>12</v>
      </c>
      <c r="E776" s="3" t="s">
        <v>11</v>
      </c>
      <c r="F776" s="2">
        <v>6835</v>
      </c>
      <c r="G776" s="2">
        <v>0</v>
      </c>
      <c r="H776" s="2">
        <v>1</v>
      </c>
      <c r="I776" s="4">
        <v>41251</v>
      </c>
      <c r="J776" s="2">
        <v>76</v>
      </c>
    </row>
    <row r="777" spans="1:10" ht="12.5">
      <c r="A777" s="2">
        <v>775</v>
      </c>
      <c r="B777" s="2">
        <v>6825</v>
      </c>
      <c r="C777" s="2">
        <v>1953</v>
      </c>
      <c r="D777" s="3" t="s">
        <v>9</v>
      </c>
      <c r="E777" s="3" t="s">
        <v>11</v>
      </c>
      <c r="F777" s="2">
        <v>41452</v>
      </c>
      <c r="G777" s="2">
        <v>1</v>
      </c>
      <c r="H777" s="2">
        <v>1</v>
      </c>
      <c r="I777" s="4">
        <v>41339</v>
      </c>
      <c r="J777" s="2">
        <v>86</v>
      </c>
    </row>
    <row r="778" spans="1:10" ht="12.5">
      <c r="A778" s="2">
        <v>776</v>
      </c>
      <c r="B778" s="2">
        <v>1072</v>
      </c>
      <c r="C778" s="2">
        <v>1965</v>
      </c>
      <c r="D778" s="3" t="s">
        <v>12</v>
      </c>
      <c r="E778" s="3" t="s">
        <v>10</v>
      </c>
      <c r="F778" s="2">
        <v>40760</v>
      </c>
      <c r="G778" s="2">
        <v>0</v>
      </c>
      <c r="H778" s="2">
        <v>1</v>
      </c>
      <c r="I778" s="4">
        <v>41516</v>
      </c>
      <c r="J778" s="2">
        <v>64</v>
      </c>
    </row>
    <row r="779" spans="1:10" ht="12.5">
      <c r="A779" s="2">
        <v>777</v>
      </c>
      <c r="B779" s="2">
        <v>4964</v>
      </c>
      <c r="C779" s="2">
        <v>1958</v>
      </c>
      <c r="D779" s="3" t="s">
        <v>12</v>
      </c>
      <c r="E779" s="3" t="s">
        <v>11</v>
      </c>
      <c r="F779" s="2">
        <v>74250</v>
      </c>
      <c r="G779" s="2">
        <v>0</v>
      </c>
      <c r="H779" s="2">
        <v>0</v>
      </c>
      <c r="I779" s="4">
        <v>41665</v>
      </c>
      <c r="J779" s="2">
        <v>90</v>
      </c>
    </row>
    <row r="780" spans="1:10" ht="12.5">
      <c r="A780" s="2">
        <v>778</v>
      </c>
      <c r="B780" s="2">
        <v>2461</v>
      </c>
      <c r="C780" s="2">
        <v>1955</v>
      </c>
      <c r="D780" s="3" t="s">
        <v>14</v>
      </c>
      <c r="E780" s="3" t="s">
        <v>10</v>
      </c>
      <c r="F780" s="2">
        <v>51124</v>
      </c>
      <c r="G780" s="2">
        <v>1</v>
      </c>
      <c r="H780" s="2">
        <v>1</v>
      </c>
      <c r="I780" s="5">
        <v>41626</v>
      </c>
      <c r="J780" s="2">
        <v>79</v>
      </c>
    </row>
    <row r="781" spans="1:10" ht="12.5">
      <c r="A781" s="2">
        <v>779</v>
      </c>
      <c r="B781" s="2">
        <v>10736</v>
      </c>
      <c r="C781" s="2">
        <v>1971</v>
      </c>
      <c r="D781" s="3" t="s">
        <v>9</v>
      </c>
      <c r="E781" s="3" t="s">
        <v>10</v>
      </c>
      <c r="F781" s="2">
        <v>72258</v>
      </c>
      <c r="G781" s="2">
        <v>0</v>
      </c>
      <c r="H781" s="2">
        <v>1</v>
      </c>
      <c r="I781" s="4">
        <v>41529</v>
      </c>
      <c r="J781" s="2">
        <v>28</v>
      </c>
    </row>
    <row r="782" spans="1:10" ht="12.5">
      <c r="A782" s="2">
        <v>780</v>
      </c>
      <c r="B782" s="2">
        <v>3194</v>
      </c>
      <c r="C782" s="2">
        <v>1974</v>
      </c>
      <c r="D782" s="3" t="s">
        <v>12</v>
      </c>
      <c r="E782" s="3" t="s">
        <v>10</v>
      </c>
      <c r="F782" s="2">
        <v>71466</v>
      </c>
      <c r="G782" s="2">
        <v>0</v>
      </c>
      <c r="H782" s="2">
        <v>0</v>
      </c>
      <c r="I782" s="4">
        <v>41734</v>
      </c>
      <c r="J782" s="2">
        <v>86</v>
      </c>
    </row>
    <row r="783" spans="1:10" ht="12.5">
      <c r="A783" s="2">
        <v>781</v>
      </c>
      <c r="B783" s="2">
        <v>10839</v>
      </c>
      <c r="C783" s="2">
        <v>1976</v>
      </c>
      <c r="D783" s="3" t="s">
        <v>9</v>
      </c>
      <c r="E783" s="3" t="s">
        <v>11</v>
      </c>
      <c r="F783" s="2">
        <v>36283</v>
      </c>
      <c r="G783" s="2">
        <v>1</v>
      </c>
      <c r="H783" s="2">
        <v>1</v>
      </c>
      <c r="I783" s="4">
        <v>41743</v>
      </c>
      <c r="J783" s="2">
        <v>42</v>
      </c>
    </row>
    <row r="784" spans="1:10" ht="12.5">
      <c r="A784" s="2">
        <v>782</v>
      </c>
      <c r="B784" s="2">
        <v>49</v>
      </c>
      <c r="C784" s="2">
        <v>1970</v>
      </c>
      <c r="D784" s="3" t="s">
        <v>9</v>
      </c>
      <c r="E784" s="3" t="s">
        <v>10</v>
      </c>
      <c r="F784" s="2">
        <v>20587</v>
      </c>
      <c r="G784" s="2">
        <v>1</v>
      </c>
      <c r="H784" s="2">
        <v>0</v>
      </c>
      <c r="I784" s="4">
        <v>41770</v>
      </c>
      <c r="J784" s="2">
        <v>39</v>
      </c>
    </row>
    <row r="785" spans="1:10" ht="12.5">
      <c r="A785" s="2">
        <v>783</v>
      </c>
      <c r="B785" s="2">
        <v>4290</v>
      </c>
      <c r="C785" s="2">
        <v>1972</v>
      </c>
      <c r="D785" s="3" t="s">
        <v>9</v>
      </c>
      <c r="E785" s="3" t="s">
        <v>13</v>
      </c>
      <c r="F785" s="2">
        <v>30467</v>
      </c>
      <c r="G785" s="2">
        <v>1</v>
      </c>
      <c r="H785" s="2">
        <v>0</v>
      </c>
      <c r="I785" s="4">
        <v>41717</v>
      </c>
      <c r="J785" s="2">
        <v>8</v>
      </c>
    </row>
    <row r="786" spans="1:10" ht="12.5">
      <c r="A786" s="2">
        <v>784</v>
      </c>
      <c r="B786" s="2">
        <v>10219</v>
      </c>
      <c r="C786" s="2">
        <v>1972</v>
      </c>
      <c r="D786" s="3" t="s">
        <v>9</v>
      </c>
      <c r="E786" s="3" t="s">
        <v>11</v>
      </c>
      <c r="F786" s="2">
        <v>31590</v>
      </c>
      <c r="G786" s="2">
        <v>1</v>
      </c>
      <c r="H786" s="2">
        <v>0</v>
      </c>
      <c r="I786" s="4">
        <v>41443</v>
      </c>
      <c r="J786" s="2">
        <v>40</v>
      </c>
    </row>
    <row r="787" spans="1:10" ht="12.5">
      <c r="A787" s="2">
        <v>785</v>
      </c>
      <c r="B787" s="2">
        <v>4211</v>
      </c>
      <c r="C787" s="2">
        <v>1986</v>
      </c>
      <c r="D787" s="3" t="s">
        <v>16</v>
      </c>
      <c r="E787" s="3" t="s">
        <v>13</v>
      </c>
      <c r="F787" s="2">
        <v>20425</v>
      </c>
      <c r="G787" s="2">
        <v>1</v>
      </c>
      <c r="H787" s="2">
        <v>0</v>
      </c>
      <c r="I787" s="5">
        <v>41211</v>
      </c>
      <c r="J787" s="2">
        <v>5</v>
      </c>
    </row>
    <row r="788" spans="1:10" ht="12.5">
      <c r="A788" s="2">
        <v>786</v>
      </c>
      <c r="B788" s="2">
        <v>1135</v>
      </c>
      <c r="C788" s="2">
        <v>1960</v>
      </c>
      <c r="D788" s="3" t="s">
        <v>14</v>
      </c>
      <c r="E788" s="3" t="s">
        <v>11</v>
      </c>
      <c r="F788" s="2">
        <v>17144</v>
      </c>
      <c r="G788" s="2">
        <v>1</v>
      </c>
      <c r="H788" s="2">
        <v>1</v>
      </c>
      <c r="I788" s="4">
        <v>41685</v>
      </c>
      <c r="J788" s="2">
        <v>96</v>
      </c>
    </row>
    <row r="789" spans="1:10" ht="12.5">
      <c r="A789" s="2">
        <v>787</v>
      </c>
      <c r="B789" s="2">
        <v>6299</v>
      </c>
      <c r="C789" s="2">
        <v>1968</v>
      </c>
      <c r="D789" s="3" t="s">
        <v>12</v>
      </c>
      <c r="E789" s="3" t="s">
        <v>15</v>
      </c>
      <c r="F789" s="2">
        <v>42564</v>
      </c>
      <c r="G789" s="2">
        <v>0</v>
      </c>
      <c r="H789" s="2">
        <v>1</v>
      </c>
      <c r="I789" s="4">
        <v>41276</v>
      </c>
      <c r="J789" s="2">
        <v>28</v>
      </c>
    </row>
    <row r="790" spans="1:10" ht="12.5">
      <c r="A790" s="2">
        <v>788</v>
      </c>
      <c r="B790" s="2">
        <v>10846</v>
      </c>
      <c r="C790" s="2">
        <v>1978</v>
      </c>
      <c r="D790" s="3" t="s">
        <v>14</v>
      </c>
      <c r="E790" s="3" t="s">
        <v>13</v>
      </c>
      <c r="F790" s="2">
        <v>43783</v>
      </c>
      <c r="G790" s="2">
        <v>1</v>
      </c>
      <c r="H790" s="2">
        <v>0</v>
      </c>
      <c r="I790" s="4">
        <v>41788</v>
      </c>
      <c r="J790" s="2">
        <v>22</v>
      </c>
    </row>
    <row r="791" spans="1:10" ht="12.5">
      <c r="A791" s="2">
        <v>789</v>
      </c>
      <c r="B791" s="2">
        <v>347</v>
      </c>
      <c r="C791" s="2">
        <v>1976</v>
      </c>
      <c r="D791" s="3" t="s">
        <v>9</v>
      </c>
      <c r="E791" s="3" t="s">
        <v>15</v>
      </c>
      <c r="F791" s="2">
        <v>40780</v>
      </c>
      <c r="G791" s="2">
        <v>0</v>
      </c>
      <c r="H791" s="2">
        <v>1</v>
      </c>
      <c r="I791" s="4">
        <v>41160</v>
      </c>
      <c r="J791" s="2">
        <v>30</v>
      </c>
    </row>
    <row r="792" spans="1:10" ht="12.5">
      <c r="A792" s="2">
        <v>790</v>
      </c>
      <c r="B792" s="2">
        <v>6543</v>
      </c>
      <c r="C792" s="2">
        <v>1945</v>
      </c>
      <c r="D792" s="3" t="s">
        <v>14</v>
      </c>
      <c r="E792" s="3" t="s">
        <v>11</v>
      </c>
      <c r="F792" s="2">
        <v>62847</v>
      </c>
      <c r="G792" s="2">
        <v>0</v>
      </c>
      <c r="H792" s="2">
        <v>0</v>
      </c>
      <c r="I792" s="4">
        <v>41289</v>
      </c>
      <c r="J792" s="2">
        <v>45</v>
      </c>
    </row>
    <row r="793" spans="1:10" ht="12.5">
      <c r="A793" s="2">
        <v>791</v>
      </c>
      <c r="B793" s="2">
        <v>10446</v>
      </c>
      <c r="C793" s="2">
        <v>1957</v>
      </c>
      <c r="D793" s="3" t="s">
        <v>12</v>
      </c>
      <c r="E793" s="3" t="s">
        <v>13</v>
      </c>
      <c r="F793" s="2">
        <v>82017</v>
      </c>
      <c r="G793" s="2">
        <v>0</v>
      </c>
      <c r="H793" s="2">
        <v>0</v>
      </c>
      <c r="I793" s="4">
        <v>41220</v>
      </c>
      <c r="J793" s="2">
        <v>58</v>
      </c>
    </row>
    <row r="794" spans="1:10" ht="12.5">
      <c r="A794" s="2">
        <v>792</v>
      </c>
      <c r="B794" s="2">
        <v>3479</v>
      </c>
      <c r="C794" s="2">
        <v>1950</v>
      </c>
      <c r="D794" s="3" t="s">
        <v>9</v>
      </c>
      <c r="E794" s="3" t="s">
        <v>10</v>
      </c>
      <c r="F794" s="2">
        <v>16813</v>
      </c>
      <c r="G794" s="2">
        <v>0</v>
      </c>
      <c r="H794" s="2">
        <v>0</v>
      </c>
      <c r="I794" s="4">
        <v>41474</v>
      </c>
      <c r="J794" s="2">
        <v>49</v>
      </c>
    </row>
    <row r="795" spans="1:10" ht="12.5">
      <c r="A795" s="2">
        <v>793</v>
      </c>
      <c r="B795" s="2">
        <v>11075</v>
      </c>
      <c r="C795" s="2">
        <v>1978</v>
      </c>
      <c r="D795" s="3" t="s">
        <v>9</v>
      </c>
      <c r="E795" s="3" t="s">
        <v>13</v>
      </c>
      <c r="F795" s="2">
        <v>51267</v>
      </c>
      <c r="G795" s="2">
        <v>1</v>
      </c>
      <c r="H795" s="2">
        <v>1</v>
      </c>
      <c r="I795" s="5">
        <v>41576</v>
      </c>
      <c r="J795" s="2">
        <v>37</v>
      </c>
    </row>
    <row r="796" spans="1:10" ht="12.5">
      <c r="A796" s="2">
        <v>794</v>
      </c>
      <c r="B796" s="2">
        <v>4442</v>
      </c>
      <c r="C796" s="2">
        <v>1961</v>
      </c>
      <c r="D796" s="3" t="s">
        <v>9</v>
      </c>
      <c r="E796" s="3" t="s">
        <v>10</v>
      </c>
      <c r="F796" s="2">
        <v>46524</v>
      </c>
      <c r="G796" s="2">
        <v>0</v>
      </c>
      <c r="H796" s="2">
        <v>1</v>
      </c>
      <c r="I796" s="4">
        <v>41369</v>
      </c>
      <c r="J796" s="2">
        <v>70</v>
      </c>
    </row>
    <row r="797" spans="1:10" ht="12.5">
      <c r="A797" s="2">
        <v>795</v>
      </c>
      <c r="B797" s="2">
        <v>199</v>
      </c>
      <c r="C797" s="2">
        <v>1962</v>
      </c>
      <c r="D797" s="3" t="s">
        <v>14</v>
      </c>
      <c r="E797" s="3" t="s">
        <v>10</v>
      </c>
      <c r="F797" s="2">
        <v>45183</v>
      </c>
      <c r="G797" s="2">
        <v>0</v>
      </c>
      <c r="H797" s="2">
        <v>0</v>
      </c>
      <c r="I797" s="4">
        <v>41294</v>
      </c>
      <c r="J797" s="2">
        <v>33</v>
      </c>
    </row>
    <row r="798" spans="1:10" ht="12.5">
      <c r="A798" s="2">
        <v>796</v>
      </c>
      <c r="B798" s="2">
        <v>6722</v>
      </c>
      <c r="C798" s="2">
        <v>1954</v>
      </c>
      <c r="D798" s="3" t="s">
        <v>12</v>
      </c>
      <c r="E798" s="3" t="s">
        <v>13</v>
      </c>
      <c r="F798" s="2">
        <v>70421</v>
      </c>
      <c r="G798" s="2">
        <v>0</v>
      </c>
      <c r="H798" s="2">
        <v>1</v>
      </c>
      <c r="I798" s="4">
        <v>41818</v>
      </c>
      <c r="J798" s="2">
        <v>98</v>
      </c>
    </row>
    <row r="799" spans="1:10" ht="12.5">
      <c r="A799" s="2">
        <v>797</v>
      </c>
      <c r="B799" s="2">
        <v>796</v>
      </c>
      <c r="C799" s="2">
        <v>1965</v>
      </c>
      <c r="D799" s="3" t="s">
        <v>17</v>
      </c>
      <c r="E799" s="3" t="s">
        <v>15</v>
      </c>
      <c r="F799" s="2">
        <v>60161</v>
      </c>
      <c r="G799" s="2">
        <v>0</v>
      </c>
      <c r="H799" s="2">
        <v>1</v>
      </c>
      <c r="I799" s="5">
        <v>41205</v>
      </c>
      <c r="J799" s="2">
        <v>17</v>
      </c>
    </row>
    <row r="800" spans="1:10" ht="12.5">
      <c r="A800" s="2">
        <v>798</v>
      </c>
      <c r="B800" s="2">
        <v>3749</v>
      </c>
      <c r="C800" s="2">
        <v>1973</v>
      </c>
      <c r="D800" s="3" t="s">
        <v>9</v>
      </c>
      <c r="E800" s="3" t="s">
        <v>11</v>
      </c>
      <c r="F800" s="2">
        <v>73926</v>
      </c>
      <c r="G800" s="2">
        <v>0</v>
      </c>
      <c r="H800" s="2">
        <v>0</v>
      </c>
      <c r="I800" s="4">
        <v>41335</v>
      </c>
      <c r="J800" s="2">
        <v>54</v>
      </c>
    </row>
    <row r="801" spans="1:10" ht="12.5">
      <c r="A801" s="2">
        <v>799</v>
      </c>
      <c r="B801" s="2">
        <v>8523</v>
      </c>
      <c r="C801" s="2">
        <v>1968</v>
      </c>
      <c r="D801" s="3" t="s">
        <v>9</v>
      </c>
      <c r="E801" s="3" t="s">
        <v>13</v>
      </c>
      <c r="F801" s="2">
        <v>19329</v>
      </c>
      <c r="G801" s="2">
        <v>1</v>
      </c>
      <c r="H801" s="2">
        <v>0</v>
      </c>
      <c r="I801" s="5">
        <v>41622</v>
      </c>
      <c r="J801" s="2">
        <v>39</v>
      </c>
    </row>
    <row r="802" spans="1:10" ht="12.5">
      <c r="A802" s="2">
        <v>800</v>
      </c>
      <c r="B802" s="2">
        <v>310</v>
      </c>
      <c r="C802" s="2">
        <v>1970</v>
      </c>
      <c r="D802" s="3" t="s">
        <v>14</v>
      </c>
      <c r="E802" s="3" t="s">
        <v>13</v>
      </c>
      <c r="F802" s="2">
        <v>61872</v>
      </c>
      <c r="G802" s="2">
        <v>0</v>
      </c>
      <c r="H802" s="2">
        <v>1</v>
      </c>
      <c r="I802" s="5">
        <v>41621</v>
      </c>
      <c r="J802" s="2">
        <v>81</v>
      </c>
    </row>
    <row r="803" spans="1:10" ht="12.5">
      <c r="A803" s="2">
        <v>801</v>
      </c>
      <c r="B803" s="2">
        <v>8629</v>
      </c>
      <c r="C803" s="2">
        <v>1956</v>
      </c>
      <c r="D803" s="3" t="s">
        <v>9</v>
      </c>
      <c r="E803" s="3" t="s">
        <v>18</v>
      </c>
      <c r="F803" s="2">
        <v>46984</v>
      </c>
      <c r="G803" s="2">
        <v>1</v>
      </c>
      <c r="H803" s="2">
        <v>1</v>
      </c>
      <c r="I803" s="4">
        <v>41359</v>
      </c>
      <c r="J803" s="2">
        <v>71</v>
      </c>
    </row>
    <row r="804" spans="1:10" ht="12.5">
      <c r="A804" s="2">
        <v>802</v>
      </c>
      <c r="B804" s="2">
        <v>236</v>
      </c>
      <c r="C804" s="2">
        <v>1951</v>
      </c>
      <c r="D804" s="3" t="s">
        <v>9</v>
      </c>
      <c r="E804" s="3" t="s">
        <v>13</v>
      </c>
      <c r="F804" s="2">
        <v>34838</v>
      </c>
      <c r="G804" s="2">
        <v>1</v>
      </c>
      <c r="H804" s="2">
        <v>1</v>
      </c>
      <c r="I804" s="4">
        <v>41293</v>
      </c>
      <c r="J804" s="2">
        <v>62</v>
      </c>
    </row>
    <row r="805" spans="1:10" ht="12.5">
      <c r="A805" s="2">
        <v>803</v>
      </c>
      <c r="B805" s="2">
        <v>9930</v>
      </c>
      <c r="C805" s="2">
        <v>1944</v>
      </c>
      <c r="D805" s="3" t="s">
        <v>12</v>
      </c>
      <c r="E805" s="3" t="s">
        <v>10</v>
      </c>
      <c r="F805" s="2">
        <v>82716</v>
      </c>
      <c r="G805" s="2">
        <v>0</v>
      </c>
      <c r="H805" s="2">
        <v>0</v>
      </c>
      <c r="I805" s="4">
        <v>41583</v>
      </c>
      <c r="J805" s="2">
        <v>8</v>
      </c>
    </row>
    <row r="806" spans="1:10" ht="12.5">
      <c r="A806" s="2">
        <v>804</v>
      </c>
      <c r="B806" s="2">
        <v>3483</v>
      </c>
      <c r="C806" s="2">
        <v>1958</v>
      </c>
      <c r="D806" s="3" t="s">
        <v>9</v>
      </c>
      <c r="E806" s="3" t="s">
        <v>13</v>
      </c>
      <c r="F806" s="2">
        <v>48192</v>
      </c>
      <c r="G806" s="2">
        <v>0</v>
      </c>
      <c r="H806" s="2">
        <v>0</v>
      </c>
      <c r="I806" s="4">
        <v>41370</v>
      </c>
      <c r="J806" s="2">
        <v>76</v>
      </c>
    </row>
    <row r="807" spans="1:10" ht="12.5">
      <c r="A807" s="2">
        <v>805</v>
      </c>
      <c r="B807" s="2">
        <v>4599</v>
      </c>
      <c r="C807" s="2">
        <v>1976</v>
      </c>
      <c r="D807" s="3" t="s">
        <v>14</v>
      </c>
      <c r="E807" s="3" t="s">
        <v>13</v>
      </c>
      <c r="F807" s="2">
        <v>49681</v>
      </c>
      <c r="G807" s="2">
        <v>0</v>
      </c>
      <c r="H807" s="2">
        <v>2</v>
      </c>
      <c r="I807" s="4">
        <v>41582</v>
      </c>
      <c r="J807" s="2">
        <v>66</v>
      </c>
    </row>
    <row r="808" spans="1:10" ht="12.5">
      <c r="A808" s="2">
        <v>806</v>
      </c>
      <c r="B808" s="2">
        <v>7326</v>
      </c>
      <c r="C808" s="2">
        <v>1971</v>
      </c>
      <c r="D808" s="3" t="s">
        <v>14</v>
      </c>
      <c r="E808" s="3" t="s">
        <v>13</v>
      </c>
      <c r="F808" s="2">
        <v>56850</v>
      </c>
      <c r="G808" s="2">
        <v>0</v>
      </c>
      <c r="H808" s="2">
        <v>1</v>
      </c>
      <c r="I808" s="4">
        <v>41721</v>
      </c>
      <c r="J808" s="2">
        <v>83</v>
      </c>
    </row>
    <row r="809" spans="1:10" ht="12.5">
      <c r="A809" s="2">
        <v>807</v>
      </c>
      <c r="B809" s="2">
        <v>7352</v>
      </c>
      <c r="C809" s="2">
        <v>1957</v>
      </c>
      <c r="D809" s="3" t="s">
        <v>9</v>
      </c>
      <c r="E809" s="3" t="s">
        <v>13</v>
      </c>
      <c r="F809" s="2">
        <v>55267</v>
      </c>
      <c r="G809" s="2">
        <v>0</v>
      </c>
      <c r="H809" s="2">
        <v>1</v>
      </c>
      <c r="I809" s="5">
        <v>41568</v>
      </c>
      <c r="J809" s="2">
        <v>28</v>
      </c>
    </row>
    <row r="810" spans="1:10" ht="12.5">
      <c r="A810" s="2">
        <v>808</v>
      </c>
      <c r="B810" s="2">
        <v>2350</v>
      </c>
      <c r="C810" s="2">
        <v>1972</v>
      </c>
      <c r="D810" s="3" t="s">
        <v>9</v>
      </c>
      <c r="E810" s="3" t="s">
        <v>13</v>
      </c>
      <c r="F810" s="2">
        <v>59666</v>
      </c>
      <c r="G810" s="2">
        <v>1</v>
      </c>
      <c r="H810" s="2">
        <v>1</v>
      </c>
      <c r="I810" s="4">
        <v>41355</v>
      </c>
      <c r="J810" s="2">
        <v>87</v>
      </c>
    </row>
    <row r="811" spans="1:10" ht="12.5">
      <c r="A811" s="2">
        <v>809</v>
      </c>
      <c r="B811" s="2">
        <v>9145</v>
      </c>
      <c r="C811" s="2">
        <v>1972</v>
      </c>
      <c r="D811" s="3" t="s">
        <v>9</v>
      </c>
      <c r="E811" s="3" t="s">
        <v>10</v>
      </c>
      <c r="F811" s="2">
        <v>72504</v>
      </c>
      <c r="G811" s="2">
        <v>0</v>
      </c>
      <c r="H811" s="2">
        <v>1</v>
      </c>
      <c r="I811" s="4">
        <v>41370</v>
      </c>
      <c r="J811" s="2">
        <v>43</v>
      </c>
    </row>
    <row r="812" spans="1:10" ht="12.5">
      <c r="A812" s="2">
        <v>810</v>
      </c>
      <c r="B812" s="2">
        <v>2964</v>
      </c>
      <c r="C812" s="2">
        <v>1981</v>
      </c>
      <c r="D812" s="3" t="s">
        <v>9</v>
      </c>
      <c r="E812" s="3" t="s">
        <v>13</v>
      </c>
      <c r="F812" s="2">
        <v>26872</v>
      </c>
      <c r="G812" s="2">
        <v>0</v>
      </c>
      <c r="H812" s="2">
        <v>0</v>
      </c>
      <c r="I812" s="5">
        <v>41563</v>
      </c>
      <c r="J812" s="2">
        <v>0</v>
      </c>
    </row>
    <row r="813" spans="1:10" ht="12.5">
      <c r="A813" s="2">
        <v>811</v>
      </c>
      <c r="B813" s="2">
        <v>5585</v>
      </c>
      <c r="C813" s="2">
        <v>1972</v>
      </c>
      <c r="D813" s="3" t="s">
        <v>9</v>
      </c>
      <c r="E813" s="3" t="s">
        <v>10</v>
      </c>
      <c r="F813" s="2">
        <v>21359</v>
      </c>
      <c r="G813" s="2">
        <v>1</v>
      </c>
      <c r="H813" s="2">
        <v>0</v>
      </c>
      <c r="I813" s="4">
        <v>41384</v>
      </c>
      <c r="J813" s="2">
        <v>1</v>
      </c>
    </row>
    <row r="814" spans="1:10" ht="12.5">
      <c r="A814" s="2">
        <v>812</v>
      </c>
      <c r="B814" s="2">
        <v>9687</v>
      </c>
      <c r="C814" s="2">
        <v>1975</v>
      </c>
      <c r="D814" s="3" t="s">
        <v>9</v>
      </c>
      <c r="E814" s="3" t="s">
        <v>10</v>
      </c>
      <c r="F814" s="2">
        <v>73170</v>
      </c>
      <c r="G814" s="2">
        <v>0</v>
      </c>
      <c r="H814" s="2">
        <v>0</v>
      </c>
      <c r="I814" s="4">
        <v>41790</v>
      </c>
      <c r="J814" s="2">
        <v>1</v>
      </c>
    </row>
    <row r="815" spans="1:10" ht="12.5">
      <c r="A815" s="2">
        <v>813</v>
      </c>
      <c r="B815" s="2">
        <v>3732</v>
      </c>
      <c r="C815" s="2">
        <v>1955</v>
      </c>
      <c r="D815" s="3" t="s">
        <v>14</v>
      </c>
      <c r="E815" s="3" t="s">
        <v>13</v>
      </c>
      <c r="F815" s="2">
        <v>52750</v>
      </c>
      <c r="G815" s="2">
        <v>0</v>
      </c>
      <c r="H815" s="2">
        <v>1</v>
      </c>
      <c r="I815" s="4">
        <v>41309</v>
      </c>
      <c r="J815" s="2">
        <v>72</v>
      </c>
    </row>
    <row r="816" spans="1:10" ht="12.5">
      <c r="A816" s="2">
        <v>814</v>
      </c>
      <c r="B816" s="2">
        <v>6303</v>
      </c>
      <c r="C816" s="2">
        <v>1986</v>
      </c>
      <c r="D816" s="3" t="s">
        <v>12</v>
      </c>
      <c r="E816" s="3" t="s">
        <v>11</v>
      </c>
      <c r="F816" s="2">
        <v>91820</v>
      </c>
      <c r="G816" s="2">
        <v>0</v>
      </c>
      <c r="H816" s="2">
        <v>0</v>
      </c>
      <c r="I816" s="5">
        <v>41601</v>
      </c>
      <c r="J816" s="2">
        <v>72</v>
      </c>
    </row>
    <row r="817" spans="1:10" ht="12.5">
      <c r="A817" s="2">
        <v>815</v>
      </c>
      <c r="B817" s="2">
        <v>11176</v>
      </c>
      <c r="C817" s="2">
        <v>1970</v>
      </c>
      <c r="D817" s="3" t="s">
        <v>12</v>
      </c>
      <c r="E817" s="3" t="s">
        <v>11</v>
      </c>
      <c r="F817" s="2">
        <v>65968</v>
      </c>
      <c r="G817" s="2">
        <v>0</v>
      </c>
      <c r="H817" s="2">
        <v>1</v>
      </c>
      <c r="I817" s="4">
        <v>41771</v>
      </c>
      <c r="J817" s="2">
        <v>12</v>
      </c>
    </row>
    <row r="818" spans="1:10" ht="12.5">
      <c r="A818" s="2">
        <v>816</v>
      </c>
      <c r="B818" s="2">
        <v>2986</v>
      </c>
      <c r="C818" s="2">
        <v>1976</v>
      </c>
      <c r="D818" s="3" t="s">
        <v>9</v>
      </c>
      <c r="E818" s="3" t="s">
        <v>13</v>
      </c>
      <c r="F818" s="2">
        <v>30772</v>
      </c>
      <c r="G818" s="2">
        <v>1</v>
      </c>
      <c r="H818" s="2">
        <v>1</v>
      </c>
      <c r="I818" s="4">
        <v>41710</v>
      </c>
      <c r="J818" s="2">
        <v>89</v>
      </c>
    </row>
    <row r="819" spans="1:10" ht="12.5">
      <c r="A819" s="2">
        <v>817</v>
      </c>
      <c r="B819" s="2">
        <v>7462</v>
      </c>
      <c r="C819" s="2">
        <v>1954</v>
      </c>
      <c r="D819" s="3" t="s">
        <v>9</v>
      </c>
      <c r="E819" s="3" t="s">
        <v>10</v>
      </c>
      <c r="F819" s="2">
        <v>22507</v>
      </c>
      <c r="G819" s="2">
        <v>0</v>
      </c>
      <c r="H819" s="2">
        <v>0</v>
      </c>
      <c r="I819" s="5">
        <v>41237</v>
      </c>
      <c r="J819" s="2">
        <v>67</v>
      </c>
    </row>
    <row r="820" spans="1:10" ht="12.5">
      <c r="A820" s="2">
        <v>818</v>
      </c>
      <c r="B820" s="2">
        <v>3900</v>
      </c>
      <c r="C820" s="2">
        <v>1972</v>
      </c>
      <c r="D820" s="3" t="s">
        <v>9</v>
      </c>
      <c r="E820" s="3" t="s">
        <v>13</v>
      </c>
      <c r="F820" s="2">
        <v>65685</v>
      </c>
      <c r="G820" s="2">
        <v>0</v>
      </c>
      <c r="H820" s="2">
        <v>1</v>
      </c>
      <c r="I820" s="4">
        <v>41727</v>
      </c>
      <c r="J820" s="2">
        <v>54</v>
      </c>
    </row>
    <row r="821" spans="1:10" ht="12.5">
      <c r="A821" s="2">
        <v>819</v>
      </c>
      <c r="B821" s="2">
        <v>7034</v>
      </c>
      <c r="C821" s="2">
        <v>1978</v>
      </c>
      <c r="D821" s="3" t="s">
        <v>17</v>
      </c>
      <c r="E821" s="3" t="s">
        <v>13</v>
      </c>
      <c r="F821" s="2">
        <v>25804</v>
      </c>
      <c r="G821" s="2">
        <v>1</v>
      </c>
      <c r="H821" s="2">
        <v>0</v>
      </c>
      <c r="I821" s="4">
        <v>41518</v>
      </c>
      <c r="J821" s="2">
        <v>34</v>
      </c>
    </row>
    <row r="822" spans="1:10" ht="12.5">
      <c r="A822" s="2">
        <v>820</v>
      </c>
      <c r="B822" s="2">
        <v>9493</v>
      </c>
      <c r="C822" s="2">
        <v>1980</v>
      </c>
      <c r="D822" s="3" t="s">
        <v>12</v>
      </c>
      <c r="E822" s="3" t="s">
        <v>10</v>
      </c>
      <c r="F822" s="2">
        <v>76412</v>
      </c>
      <c r="G822" s="2">
        <v>0</v>
      </c>
      <c r="H822" s="2">
        <v>0</v>
      </c>
      <c r="I822" s="4">
        <v>41399</v>
      </c>
      <c r="J822" s="2">
        <v>15</v>
      </c>
    </row>
    <row r="823" spans="1:10" ht="12.5">
      <c r="A823" s="2">
        <v>821</v>
      </c>
      <c r="B823" s="2">
        <v>1143</v>
      </c>
      <c r="C823" s="2">
        <v>1972</v>
      </c>
      <c r="D823" s="3" t="s">
        <v>9</v>
      </c>
      <c r="E823" s="3" t="s">
        <v>13</v>
      </c>
      <c r="F823" s="2">
        <v>22063</v>
      </c>
      <c r="G823" s="2">
        <v>1</v>
      </c>
      <c r="H823" s="2">
        <v>0</v>
      </c>
      <c r="I823" s="4">
        <v>41494</v>
      </c>
      <c r="J823" s="2">
        <v>43</v>
      </c>
    </row>
    <row r="824" spans="1:10" ht="12.5">
      <c r="A824" s="2">
        <v>822</v>
      </c>
      <c r="B824" s="2">
        <v>1</v>
      </c>
      <c r="C824" s="2">
        <v>1961</v>
      </c>
      <c r="D824" s="3" t="s">
        <v>9</v>
      </c>
      <c r="E824" s="3" t="s">
        <v>10</v>
      </c>
      <c r="F824" s="2">
        <v>57091</v>
      </c>
      <c r="G824" s="2">
        <v>0</v>
      </c>
      <c r="H824" s="2">
        <v>0</v>
      </c>
      <c r="I824" s="4">
        <v>41805</v>
      </c>
      <c r="J824" s="2">
        <v>0</v>
      </c>
    </row>
    <row r="825" spans="1:10" ht="12.5">
      <c r="A825" s="2">
        <v>823</v>
      </c>
      <c r="B825" s="2">
        <v>3855</v>
      </c>
      <c r="C825" s="2">
        <v>1963</v>
      </c>
      <c r="D825" s="3" t="s">
        <v>9</v>
      </c>
      <c r="E825" s="3" t="s">
        <v>13</v>
      </c>
      <c r="F825" s="2">
        <v>22419</v>
      </c>
      <c r="G825" s="2">
        <v>0</v>
      </c>
      <c r="H825" s="2">
        <v>0</v>
      </c>
      <c r="I825" s="4">
        <v>41382</v>
      </c>
      <c r="J825" s="2">
        <v>74</v>
      </c>
    </row>
    <row r="826" spans="1:10" ht="12.5">
      <c r="A826" s="2">
        <v>824</v>
      </c>
      <c r="B826" s="2">
        <v>5536</v>
      </c>
      <c r="C826" s="2">
        <v>1959</v>
      </c>
      <c r="D826" s="3" t="s">
        <v>9</v>
      </c>
      <c r="E826" s="3" t="s">
        <v>11</v>
      </c>
      <c r="F826" s="2">
        <v>87771</v>
      </c>
      <c r="G826" s="2">
        <v>0</v>
      </c>
      <c r="H826" s="2">
        <v>1</v>
      </c>
      <c r="I826" s="4">
        <v>41416</v>
      </c>
      <c r="J826" s="2">
        <v>61</v>
      </c>
    </row>
    <row r="827" spans="1:10" ht="12.5">
      <c r="A827" s="2">
        <v>825</v>
      </c>
      <c r="B827" s="2">
        <v>5989</v>
      </c>
      <c r="C827" s="2">
        <v>1959</v>
      </c>
      <c r="D827" s="3" t="s">
        <v>17</v>
      </c>
      <c r="E827" s="3" t="s">
        <v>15</v>
      </c>
      <c r="F827" s="2">
        <v>78353</v>
      </c>
      <c r="G827" s="2">
        <v>0</v>
      </c>
      <c r="H827" s="2">
        <v>1</v>
      </c>
      <c r="I827" s="4">
        <v>41380</v>
      </c>
      <c r="J827" s="2">
        <v>51</v>
      </c>
    </row>
    <row r="828" spans="1:10" ht="12.5">
      <c r="A828" s="2">
        <v>826</v>
      </c>
      <c r="B828" s="2">
        <v>9499</v>
      </c>
      <c r="C828" s="2">
        <v>1954</v>
      </c>
      <c r="D828" s="3" t="s">
        <v>9</v>
      </c>
      <c r="E828" s="3" t="s">
        <v>13</v>
      </c>
      <c r="F828" s="2">
        <v>93404</v>
      </c>
      <c r="G828" s="2">
        <v>1</v>
      </c>
      <c r="H828" s="2">
        <v>2</v>
      </c>
      <c r="I828" s="4">
        <v>41401</v>
      </c>
      <c r="J828" s="2">
        <v>97</v>
      </c>
    </row>
    <row r="829" spans="1:10" ht="12.5">
      <c r="A829" s="2">
        <v>827</v>
      </c>
      <c r="B829" s="2">
        <v>6768</v>
      </c>
      <c r="C829" s="2">
        <v>1962</v>
      </c>
      <c r="D829" s="3" t="s">
        <v>9</v>
      </c>
      <c r="E829" s="3" t="s">
        <v>15</v>
      </c>
      <c r="F829" s="2">
        <v>37859</v>
      </c>
      <c r="G829" s="2">
        <v>1</v>
      </c>
      <c r="H829" s="2">
        <v>2</v>
      </c>
      <c r="I829" s="4">
        <v>41286</v>
      </c>
      <c r="J829" s="2">
        <v>75</v>
      </c>
    </row>
    <row r="830" spans="1:10" ht="12.5">
      <c r="A830" s="2">
        <v>828</v>
      </c>
      <c r="B830" s="2">
        <v>2150</v>
      </c>
      <c r="C830" s="2">
        <v>1958</v>
      </c>
      <c r="D830" s="3" t="s">
        <v>12</v>
      </c>
      <c r="E830" s="3" t="s">
        <v>18</v>
      </c>
      <c r="F830" s="2">
        <v>80995</v>
      </c>
      <c r="G830" s="2">
        <v>0</v>
      </c>
      <c r="H830" s="2">
        <v>1</v>
      </c>
      <c r="I830" s="4">
        <v>41405</v>
      </c>
      <c r="J830" s="2">
        <v>83</v>
      </c>
    </row>
    <row r="831" spans="1:10" ht="12.5">
      <c r="A831" s="2">
        <v>829</v>
      </c>
      <c r="B831" s="2">
        <v>6646</v>
      </c>
      <c r="C831" s="2">
        <v>1984</v>
      </c>
      <c r="D831" s="3" t="s">
        <v>9</v>
      </c>
      <c r="E831" s="3" t="s">
        <v>11</v>
      </c>
      <c r="F831" s="2">
        <v>16529</v>
      </c>
      <c r="G831" s="2">
        <v>1</v>
      </c>
      <c r="H831" s="2">
        <v>0</v>
      </c>
      <c r="I831" s="4">
        <v>41699</v>
      </c>
      <c r="J831" s="2">
        <v>23</v>
      </c>
    </row>
    <row r="832" spans="1:10" ht="12.5">
      <c r="A832" s="2">
        <v>830</v>
      </c>
      <c r="B832" s="2">
        <v>4887</v>
      </c>
      <c r="C832" s="2">
        <v>1976</v>
      </c>
      <c r="D832" s="3" t="s">
        <v>12</v>
      </c>
      <c r="E832" s="3" t="s">
        <v>15</v>
      </c>
      <c r="F832" s="2">
        <v>55412</v>
      </c>
      <c r="G832" s="2">
        <v>1</v>
      </c>
      <c r="H832" s="2">
        <v>1</v>
      </c>
      <c r="I832" s="5">
        <v>41600</v>
      </c>
      <c r="J832" s="2">
        <v>65</v>
      </c>
    </row>
    <row r="833" spans="1:10" ht="12.5">
      <c r="A833" s="2">
        <v>831</v>
      </c>
      <c r="B833" s="2">
        <v>8560</v>
      </c>
      <c r="C833" s="2">
        <v>1992</v>
      </c>
      <c r="D833" s="3" t="s">
        <v>9</v>
      </c>
      <c r="E833" s="3" t="s">
        <v>10</v>
      </c>
      <c r="F833" s="2">
        <v>48789</v>
      </c>
      <c r="G833" s="2">
        <v>0</v>
      </c>
      <c r="H833" s="2">
        <v>0</v>
      </c>
      <c r="I833" s="4">
        <v>41162</v>
      </c>
      <c r="J833" s="2">
        <v>94</v>
      </c>
    </row>
    <row r="834" spans="1:10" ht="12.5">
      <c r="A834" s="2">
        <v>832</v>
      </c>
      <c r="B834" s="2">
        <v>3321</v>
      </c>
      <c r="C834" s="2">
        <v>1967</v>
      </c>
      <c r="D834" s="3" t="s">
        <v>12</v>
      </c>
      <c r="E834" s="3" t="s">
        <v>11</v>
      </c>
      <c r="F834" s="2">
        <v>56575</v>
      </c>
      <c r="G834" s="2">
        <v>0</v>
      </c>
      <c r="H834" s="2">
        <v>2</v>
      </c>
      <c r="I834" s="4">
        <v>41399</v>
      </c>
      <c r="J834" s="2">
        <v>42</v>
      </c>
    </row>
    <row r="835" spans="1:10" ht="12.5">
      <c r="A835" s="2">
        <v>833</v>
      </c>
      <c r="B835" s="2">
        <v>11003</v>
      </c>
      <c r="C835" s="2">
        <v>1980</v>
      </c>
      <c r="D835" s="3" t="s">
        <v>17</v>
      </c>
      <c r="E835" s="3" t="s">
        <v>11</v>
      </c>
      <c r="F835" s="2">
        <v>25130</v>
      </c>
      <c r="G835" s="2">
        <v>1</v>
      </c>
      <c r="H835" s="2">
        <v>0</v>
      </c>
      <c r="I835" s="4">
        <v>41549</v>
      </c>
      <c r="J835" s="2">
        <v>10</v>
      </c>
    </row>
    <row r="836" spans="1:10" ht="12.5">
      <c r="A836" s="2">
        <v>834</v>
      </c>
      <c r="B836" s="2">
        <v>10402</v>
      </c>
      <c r="C836" s="2">
        <v>1967</v>
      </c>
      <c r="D836" s="3" t="s">
        <v>9</v>
      </c>
      <c r="E836" s="3" t="s">
        <v>13</v>
      </c>
      <c r="F836" s="2">
        <v>35441</v>
      </c>
      <c r="G836" s="2">
        <v>1</v>
      </c>
      <c r="H836" s="2">
        <v>1</v>
      </c>
      <c r="I836" s="4">
        <v>41319</v>
      </c>
      <c r="J836" s="2">
        <v>94</v>
      </c>
    </row>
    <row r="837" spans="1:10" ht="12.5">
      <c r="A837" s="2">
        <v>835</v>
      </c>
      <c r="B837" s="2">
        <v>9904</v>
      </c>
      <c r="C837" s="2">
        <v>1956</v>
      </c>
      <c r="D837" s="3" t="s">
        <v>9</v>
      </c>
      <c r="E837" s="3" t="s">
        <v>13</v>
      </c>
      <c r="F837" s="2">
        <v>71391</v>
      </c>
      <c r="G837" s="2">
        <v>0</v>
      </c>
      <c r="H837" s="2">
        <v>1</v>
      </c>
      <c r="I837" s="4">
        <v>41362</v>
      </c>
      <c r="J837" s="2">
        <v>50</v>
      </c>
    </row>
    <row r="838" spans="1:10" ht="12.5">
      <c r="A838" s="2">
        <v>836</v>
      </c>
      <c r="B838" s="2">
        <v>6141</v>
      </c>
      <c r="C838" s="2">
        <v>1972</v>
      </c>
      <c r="D838" s="3" t="s">
        <v>14</v>
      </c>
      <c r="E838" s="3" t="s">
        <v>10</v>
      </c>
      <c r="F838" s="2">
        <v>49494</v>
      </c>
      <c r="G838" s="2">
        <v>1</v>
      </c>
      <c r="H838" s="2">
        <v>0</v>
      </c>
      <c r="I838" s="4">
        <v>41389</v>
      </c>
      <c r="J838" s="2">
        <v>46</v>
      </c>
    </row>
    <row r="839" spans="1:10" ht="12.5">
      <c r="A839" s="2">
        <v>837</v>
      </c>
      <c r="B839" s="2">
        <v>5687</v>
      </c>
      <c r="C839" s="2">
        <v>1980</v>
      </c>
      <c r="D839" s="3" t="s">
        <v>9</v>
      </c>
      <c r="E839" s="3" t="s">
        <v>15</v>
      </c>
      <c r="F839" s="2">
        <v>81702</v>
      </c>
      <c r="G839" s="2">
        <v>0</v>
      </c>
      <c r="H839" s="2">
        <v>0</v>
      </c>
      <c r="I839" s="4">
        <v>41175</v>
      </c>
      <c r="J839" s="2">
        <v>98</v>
      </c>
    </row>
    <row r="840" spans="1:10" ht="12.5">
      <c r="A840" s="2">
        <v>838</v>
      </c>
      <c r="B840" s="2">
        <v>10856</v>
      </c>
      <c r="C840" s="2">
        <v>1980</v>
      </c>
      <c r="D840" s="3" t="s">
        <v>17</v>
      </c>
      <c r="E840" s="3" t="s">
        <v>10</v>
      </c>
      <c r="F840" s="2">
        <v>45889</v>
      </c>
      <c r="G840" s="2">
        <v>0</v>
      </c>
      <c r="H840" s="2">
        <v>1</v>
      </c>
      <c r="I840" s="4">
        <v>41457</v>
      </c>
      <c r="J840" s="2">
        <v>42</v>
      </c>
    </row>
    <row r="841" spans="1:10" ht="12.5">
      <c r="A841" s="2">
        <v>839</v>
      </c>
      <c r="B841" s="2">
        <v>5121</v>
      </c>
      <c r="C841" s="2">
        <v>1977</v>
      </c>
      <c r="D841" s="3" t="s">
        <v>9</v>
      </c>
      <c r="E841" s="3" t="s">
        <v>10</v>
      </c>
      <c r="F841" s="2">
        <v>56628</v>
      </c>
      <c r="G841" s="2">
        <v>0</v>
      </c>
      <c r="H841" s="2">
        <v>1</v>
      </c>
      <c r="I841" s="4">
        <v>41719</v>
      </c>
      <c r="J841" s="2">
        <v>30</v>
      </c>
    </row>
    <row r="842" spans="1:10" ht="12.5">
      <c r="A842" s="2">
        <v>840</v>
      </c>
      <c r="B842" s="2">
        <v>4186</v>
      </c>
      <c r="C842" s="2">
        <v>1950</v>
      </c>
      <c r="D842" s="3" t="s">
        <v>9</v>
      </c>
      <c r="E842" s="3" t="s">
        <v>11</v>
      </c>
      <c r="F842" s="2">
        <v>34026</v>
      </c>
      <c r="G842" s="2">
        <v>1</v>
      </c>
      <c r="H842" s="2">
        <v>1</v>
      </c>
      <c r="I842" s="4">
        <v>41491</v>
      </c>
      <c r="J842" s="2">
        <v>11</v>
      </c>
    </row>
    <row r="843" spans="1:10" ht="12.5">
      <c r="A843" s="2">
        <v>841</v>
      </c>
      <c r="B843" s="2">
        <v>368</v>
      </c>
      <c r="C843" s="2">
        <v>1974</v>
      </c>
      <c r="D843" s="3" t="s">
        <v>9</v>
      </c>
      <c r="E843" s="3" t="s">
        <v>13</v>
      </c>
      <c r="F843" s="2">
        <v>40049</v>
      </c>
      <c r="G843" s="2">
        <v>0</v>
      </c>
      <c r="H843" s="2">
        <v>1</v>
      </c>
      <c r="I843" s="5">
        <v>41242</v>
      </c>
      <c r="J843" s="2">
        <v>61</v>
      </c>
    </row>
    <row r="844" spans="1:10" ht="12.5">
      <c r="A844" s="2">
        <v>842</v>
      </c>
      <c r="B844" s="2">
        <v>3312</v>
      </c>
      <c r="C844" s="2">
        <v>1988</v>
      </c>
      <c r="D844" s="3" t="s">
        <v>9</v>
      </c>
      <c r="E844" s="3" t="s">
        <v>10</v>
      </c>
      <c r="F844" s="2">
        <v>34176</v>
      </c>
      <c r="G844" s="2">
        <v>1</v>
      </c>
      <c r="H844" s="2">
        <v>0</v>
      </c>
      <c r="I844" s="4">
        <v>41771</v>
      </c>
      <c r="J844" s="2">
        <v>12</v>
      </c>
    </row>
    <row r="845" spans="1:10" ht="12.5">
      <c r="A845" s="2">
        <v>843</v>
      </c>
      <c r="B845" s="2">
        <v>11121</v>
      </c>
      <c r="C845" s="2">
        <v>1981</v>
      </c>
      <c r="D845" s="3" t="s">
        <v>9</v>
      </c>
      <c r="E845" s="3" t="s">
        <v>13</v>
      </c>
      <c r="F845" s="2">
        <v>19419</v>
      </c>
      <c r="G845" s="2">
        <v>1</v>
      </c>
      <c r="H845" s="2">
        <v>0</v>
      </c>
      <c r="I845" s="5">
        <v>41223</v>
      </c>
      <c r="J845" s="2">
        <v>76</v>
      </c>
    </row>
    <row r="846" spans="1:10" ht="12.5">
      <c r="A846" s="2">
        <v>844</v>
      </c>
      <c r="B846" s="2">
        <v>5332</v>
      </c>
      <c r="C846" s="2">
        <v>1960</v>
      </c>
      <c r="D846" s="3" t="s">
        <v>17</v>
      </c>
      <c r="E846" s="3" t="s">
        <v>13</v>
      </c>
      <c r="F846" s="2">
        <v>82504</v>
      </c>
      <c r="G846" s="2">
        <v>0</v>
      </c>
      <c r="H846" s="2">
        <v>0</v>
      </c>
      <c r="I846" s="4">
        <v>41482</v>
      </c>
      <c r="J846" s="2">
        <v>2</v>
      </c>
    </row>
    <row r="847" spans="1:10" ht="12.5">
      <c r="A847" s="2">
        <v>845</v>
      </c>
      <c r="B847" s="2">
        <v>5848</v>
      </c>
      <c r="C847" s="2">
        <v>1970</v>
      </c>
      <c r="D847" s="3" t="s">
        <v>9</v>
      </c>
      <c r="E847" s="3" t="s">
        <v>11</v>
      </c>
      <c r="F847" s="2">
        <v>81205</v>
      </c>
      <c r="G847" s="2">
        <v>0</v>
      </c>
      <c r="H847" s="2">
        <v>0</v>
      </c>
      <c r="I847" s="4">
        <v>41652</v>
      </c>
      <c r="J847" s="2">
        <v>43</v>
      </c>
    </row>
    <row r="848" spans="1:10" ht="12.5">
      <c r="A848" s="2">
        <v>846</v>
      </c>
      <c r="B848" s="2">
        <v>10343</v>
      </c>
      <c r="C848" s="2">
        <v>1991</v>
      </c>
      <c r="D848" s="3" t="s">
        <v>17</v>
      </c>
      <c r="E848" s="3" t="s">
        <v>10</v>
      </c>
      <c r="F848" s="2">
        <v>61618</v>
      </c>
      <c r="G848" s="2">
        <v>0</v>
      </c>
      <c r="H848" s="2">
        <v>0</v>
      </c>
      <c r="I848" s="4">
        <v>41181</v>
      </c>
      <c r="J848" s="2">
        <v>27</v>
      </c>
    </row>
    <row r="849" spans="1:10" ht="12.5">
      <c r="A849" s="2">
        <v>847</v>
      </c>
      <c r="B849" s="2">
        <v>5935</v>
      </c>
      <c r="C849" s="2">
        <v>1956</v>
      </c>
      <c r="D849" s="3" t="s">
        <v>14</v>
      </c>
      <c r="E849" s="3" t="s">
        <v>10</v>
      </c>
      <c r="F849" s="2">
        <v>55284</v>
      </c>
      <c r="G849" s="2">
        <v>0</v>
      </c>
      <c r="H849" s="2">
        <v>1</v>
      </c>
      <c r="I849" s="5">
        <v>41267</v>
      </c>
      <c r="J849" s="2">
        <v>60</v>
      </c>
    </row>
    <row r="850" spans="1:10" ht="12.5">
      <c r="A850" s="2">
        <v>848</v>
      </c>
      <c r="B850" s="2">
        <v>2895</v>
      </c>
      <c r="C850" s="2">
        <v>1963</v>
      </c>
      <c r="D850" s="3" t="s">
        <v>9</v>
      </c>
      <c r="E850" s="3" t="s">
        <v>10</v>
      </c>
      <c r="F850" s="2">
        <v>49980</v>
      </c>
      <c r="G850" s="2">
        <v>0</v>
      </c>
      <c r="H850" s="2">
        <v>1</v>
      </c>
      <c r="I850" s="5">
        <v>41570</v>
      </c>
      <c r="J850" s="2">
        <v>79</v>
      </c>
    </row>
    <row r="851" spans="1:10" ht="12.5">
      <c r="A851" s="2">
        <v>849</v>
      </c>
      <c r="B851" s="2">
        <v>10262</v>
      </c>
      <c r="C851" s="2">
        <v>1980</v>
      </c>
      <c r="D851" s="3" t="s">
        <v>9</v>
      </c>
      <c r="E851" s="3" t="s">
        <v>13</v>
      </c>
      <c r="F851" s="2">
        <v>15072</v>
      </c>
      <c r="G851" s="2">
        <v>2</v>
      </c>
      <c r="H851" s="2">
        <v>0</v>
      </c>
      <c r="I851" s="4">
        <v>41404</v>
      </c>
      <c r="J851" s="2">
        <v>96</v>
      </c>
    </row>
    <row r="852" spans="1:10" ht="12.5">
      <c r="A852" s="2">
        <v>850</v>
      </c>
      <c r="B852" s="2">
        <v>7848</v>
      </c>
      <c r="C852" s="2">
        <v>1974</v>
      </c>
      <c r="D852" s="3" t="s">
        <v>9</v>
      </c>
      <c r="E852" s="3" t="s">
        <v>10</v>
      </c>
      <c r="F852" s="2">
        <v>49166</v>
      </c>
      <c r="G852" s="2">
        <v>0</v>
      </c>
      <c r="H852" s="2">
        <v>1</v>
      </c>
      <c r="I852" s="4">
        <v>41438</v>
      </c>
      <c r="J852" s="2">
        <v>17</v>
      </c>
    </row>
    <row r="853" spans="1:10" ht="12.5">
      <c r="A853" s="2">
        <v>851</v>
      </c>
      <c r="B853" s="2">
        <v>9477</v>
      </c>
      <c r="C853" s="2">
        <v>1954</v>
      </c>
      <c r="D853" s="3" t="s">
        <v>12</v>
      </c>
      <c r="E853" s="3" t="s">
        <v>13</v>
      </c>
      <c r="F853" s="2">
        <v>65324</v>
      </c>
      <c r="G853" s="2">
        <v>0</v>
      </c>
      <c r="H853" s="2">
        <v>1</v>
      </c>
      <c r="I853" s="4">
        <v>41650</v>
      </c>
      <c r="J853" s="2">
        <v>0</v>
      </c>
    </row>
    <row r="854" spans="1:10" ht="12.5">
      <c r="A854" s="2">
        <v>852</v>
      </c>
      <c r="B854" s="2">
        <v>4856</v>
      </c>
      <c r="C854" s="2">
        <v>1957</v>
      </c>
      <c r="D854" s="3" t="s">
        <v>17</v>
      </c>
      <c r="E854" s="3" t="s">
        <v>13</v>
      </c>
      <c r="F854" s="2">
        <v>82347</v>
      </c>
      <c r="G854" s="2">
        <v>0</v>
      </c>
      <c r="H854" s="2">
        <v>0</v>
      </c>
      <c r="I854" s="4">
        <v>41219</v>
      </c>
      <c r="J854" s="2">
        <v>38</v>
      </c>
    </row>
    <row r="855" spans="1:10" ht="12.5">
      <c r="A855" s="2">
        <v>853</v>
      </c>
      <c r="B855" s="2">
        <v>7186</v>
      </c>
      <c r="C855" s="2">
        <v>1966</v>
      </c>
      <c r="D855" s="3" t="s">
        <v>12</v>
      </c>
      <c r="E855" s="3" t="s">
        <v>11</v>
      </c>
      <c r="F855" s="2">
        <v>30843</v>
      </c>
      <c r="G855" s="2">
        <v>1</v>
      </c>
      <c r="H855" s="2">
        <v>1</v>
      </c>
      <c r="I855" s="4">
        <v>41785</v>
      </c>
      <c r="J855" s="2">
        <v>43</v>
      </c>
    </row>
    <row r="856" spans="1:10" ht="12.5">
      <c r="A856" s="2">
        <v>854</v>
      </c>
      <c r="B856" s="2">
        <v>5794</v>
      </c>
      <c r="C856" s="2">
        <v>1974</v>
      </c>
      <c r="D856" s="3" t="s">
        <v>12</v>
      </c>
      <c r="E856" s="3" t="s">
        <v>13</v>
      </c>
      <c r="F856" s="2">
        <v>46374</v>
      </c>
      <c r="G856" s="2">
        <v>0</v>
      </c>
      <c r="H856" s="2">
        <v>1</v>
      </c>
      <c r="I856" s="4">
        <v>41715</v>
      </c>
      <c r="J856" s="2">
        <v>1</v>
      </c>
    </row>
    <row r="857" spans="1:10" ht="12.5">
      <c r="A857" s="2">
        <v>855</v>
      </c>
      <c r="B857" s="2">
        <v>1456</v>
      </c>
      <c r="C857" s="2">
        <v>1979</v>
      </c>
      <c r="D857" s="3" t="s">
        <v>9</v>
      </c>
      <c r="E857" s="3" t="s">
        <v>10</v>
      </c>
      <c r="F857" s="2">
        <v>60474</v>
      </c>
      <c r="G857" s="2">
        <v>0</v>
      </c>
      <c r="H857" s="2">
        <v>1</v>
      </c>
      <c r="I857" s="4">
        <v>41365</v>
      </c>
      <c r="J857" s="2">
        <v>25</v>
      </c>
    </row>
    <row r="858" spans="1:10" ht="12.5">
      <c r="A858" s="2">
        <v>856</v>
      </c>
      <c r="B858" s="2">
        <v>4877</v>
      </c>
      <c r="C858" s="2">
        <v>1973</v>
      </c>
      <c r="D858" s="3" t="s">
        <v>14</v>
      </c>
      <c r="E858" s="3" t="s">
        <v>13</v>
      </c>
      <c r="F858" s="2">
        <v>38576</v>
      </c>
      <c r="G858" s="2">
        <v>0</v>
      </c>
      <c r="H858" s="2">
        <v>1</v>
      </c>
      <c r="I858" s="4">
        <v>41702</v>
      </c>
      <c r="J858" s="2">
        <v>2</v>
      </c>
    </row>
    <row r="859" spans="1:10" ht="12.5">
      <c r="A859" s="2">
        <v>857</v>
      </c>
      <c r="B859" s="2">
        <v>425</v>
      </c>
      <c r="C859" s="2">
        <v>1985</v>
      </c>
      <c r="D859" s="3" t="s">
        <v>9</v>
      </c>
      <c r="E859" s="3" t="s">
        <v>13</v>
      </c>
      <c r="F859" s="2">
        <v>55357</v>
      </c>
      <c r="G859" s="2">
        <v>2</v>
      </c>
      <c r="H859" s="2">
        <v>0</v>
      </c>
      <c r="I859" s="4">
        <v>41324</v>
      </c>
      <c r="J859" s="2">
        <v>66</v>
      </c>
    </row>
    <row r="860" spans="1:10" ht="12.5">
      <c r="A860" s="2">
        <v>858</v>
      </c>
      <c r="B860" s="2">
        <v>3007</v>
      </c>
      <c r="C860" s="2">
        <v>1966</v>
      </c>
      <c r="D860" s="3" t="s">
        <v>9</v>
      </c>
      <c r="E860" s="3" t="s">
        <v>11</v>
      </c>
      <c r="F860" s="2">
        <v>37758</v>
      </c>
      <c r="G860" s="2">
        <v>1</v>
      </c>
      <c r="H860" s="2">
        <v>1</v>
      </c>
      <c r="I860" s="4">
        <v>41186</v>
      </c>
      <c r="J860" s="2">
        <v>49</v>
      </c>
    </row>
    <row r="861" spans="1:10" ht="12.5">
      <c r="A861" s="2">
        <v>859</v>
      </c>
      <c r="B861" s="2">
        <v>1031</v>
      </c>
      <c r="C861" s="2">
        <v>1989</v>
      </c>
      <c r="D861" s="3" t="s">
        <v>17</v>
      </c>
      <c r="E861" s="3" t="s">
        <v>13</v>
      </c>
      <c r="F861" s="2">
        <v>85710</v>
      </c>
      <c r="G861" s="2">
        <v>0</v>
      </c>
      <c r="H861" s="2">
        <v>0</v>
      </c>
      <c r="I861" s="4">
        <v>41399</v>
      </c>
      <c r="J861" s="2">
        <v>5</v>
      </c>
    </row>
    <row r="862" spans="1:10" ht="12.5">
      <c r="A862" s="2">
        <v>860</v>
      </c>
      <c r="B862" s="2">
        <v>4297</v>
      </c>
      <c r="C862" s="2">
        <v>1969</v>
      </c>
      <c r="D862" s="3" t="s">
        <v>9</v>
      </c>
      <c r="E862" s="3" t="s">
        <v>11</v>
      </c>
      <c r="F862" s="2">
        <v>23228</v>
      </c>
      <c r="G862" s="2">
        <v>1</v>
      </c>
      <c r="H862" s="2">
        <v>0</v>
      </c>
      <c r="I862" s="4">
        <v>41665</v>
      </c>
      <c r="J862" s="2">
        <v>71</v>
      </c>
    </row>
    <row r="863" spans="1:10" ht="12.5">
      <c r="A863" s="2">
        <v>861</v>
      </c>
      <c r="B863" s="2">
        <v>807</v>
      </c>
      <c r="C863" s="2">
        <v>1969</v>
      </c>
      <c r="D863" s="3" t="s">
        <v>14</v>
      </c>
      <c r="E863" s="3" t="s">
        <v>11</v>
      </c>
      <c r="F863" s="2">
        <v>44602</v>
      </c>
      <c r="G863" s="2">
        <v>1</v>
      </c>
      <c r="H863" s="2">
        <v>1</v>
      </c>
      <c r="I863" s="4">
        <v>41685</v>
      </c>
      <c r="J863" s="2">
        <v>35</v>
      </c>
    </row>
    <row r="864" spans="1:10" ht="12.5">
      <c r="A864" s="2">
        <v>862</v>
      </c>
      <c r="B864" s="2">
        <v>9553</v>
      </c>
      <c r="C864" s="2">
        <v>1987</v>
      </c>
      <c r="D864" s="3" t="s">
        <v>9</v>
      </c>
      <c r="E864" s="3" t="s">
        <v>13</v>
      </c>
      <c r="F864" s="2">
        <v>7500</v>
      </c>
      <c r="G864" s="2">
        <v>0</v>
      </c>
      <c r="H864" s="2">
        <v>0</v>
      </c>
      <c r="I864" s="4">
        <v>41283</v>
      </c>
      <c r="J864" s="2">
        <v>94</v>
      </c>
    </row>
    <row r="865" spans="1:10" ht="12.5">
      <c r="A865" s="2">
        <v>863</v>
      </c>
      <c r="B865" s="2">
        <v>4271</v>
      </c>
      <c r="C865" s="2">
        <v>1989</v>
      </c>
      <c r="D865" s="3" t="s">
        <v>17</v>
      </c>
      <c r="E865" s="3" t="s">
        <v>11</v>
      </c>
      <c r="F865" s="2">
        <v>38683</v>
      </c>
      <c r="G865" s="2">
        <v>1</v>
      </c>
      <c r="H865" s="2">
        <v>0</v>
      </c>
      <c r="I865" s="4">
        <v>41186</v>
      </c>
      <c r="J865" s="2">
        <v>80</v>
      </c>
    </row>
    <row r="866" spans="1:10" ht="12.5">
      <c r="A866" s="2">
        <v>864</v>
      </c>
      <c r="B866" s="2">
        <v>4120</v>
      </c>
      <c r="C866" s="2">
        <v>1975</v>
      </c>
      <c r="D866" s="3" t="s">
        <v>17</v>
      </c>
      <c r="E866" s="3" t="s">
        <v>10</v>
      </c>
      <c r="F866" s="2">
        <v>49514</v>
      </c>
      <c r="G866" s="2">
        <v>1</v>
      </c>
      <c r="H866" s="2">
        <v>0</v>
      </c>
      <c r="I866" s="5">
        <v>41625</v>
      </c>
      <c r="J866" s="2">
        <v>61</v>
      </c>
    </row>
    <row r="867" spans="1:10" ht="12.5">
      <c r="A867" s="2">
        <v>865</v>
      </c>
      <c r="B867" s="2">
        <v>2036</v>
      </c>
      <c r="C867" s="2">
        <v>1973</v>
      </c>
      <c r="D867" s="3" t="s">
        <v>12</v>
      </c>
      <c r="E867" s="3" t="s">
        <v>11</v>
      </c>
      <c r="F867" s="2">
        <v>57906</v>
      </c>
      <c r="G867" s="2">
        <v>0</v>
      </c>
      <c r="H867" s="2">
        <v>1</v>
      </c>
      <c r="I867" s="4">
        <v>41436</v>
      </c>
      <c r="J867" s="2">
        <v>29</v>
      </c>
    </row>
    <row r="868" spans="1:10" ht="12.5">
      <c r="A868" s="2">
        <v>866</v>
      </c>
      <c r="B868" s="2">
        <v>115</v>
      </c>
      <c r="C868" s="2">
        <v>1966</v>
      </c>
      <c r="D868" s="3" t="s">
        <v>14</v>
      </c>
      <c r="E868" s="3" t="s">
        <v>10</v>
      </c>
      <c r="F868" s="2">
        <v>43456</v>
      </c>
      <c r="G868" s="2">
        <v>0</v>
      </c>
      <c r="H868" s="2">
        <v>1</v>
      </c>
      <c r="I868" s="4">
        <v>41359</v>
      </c>
      <c r="J868" s="2">
        <v>0</v>
      </c>
    </row>
    <row r="869" spans="1:10" ht="12.5">
      <c r="A869" s="2">
        <v>867</v>
      </c>
      <c r="B869" s="2">
        <v>4259</v>
      </c>
      <c r="C869" s="2">
        <v>1986</v>
      </c>
      <c r="D869" s="3" t="s">
        <v>14</v>
      </c>
      <c r="E869" s="3" t="s">
        <v>10</v>
      </c>
      <c r="F869" s="2">
        <v>19485</v>
      </c>
      <c r="G869" s="2">
        <v>2</v>
      </c>
      <c r="H869" s="2">
        <v>0</v>
      </c>
      <c r="I869" s="4">
        <v>41541</v>
      </c>
      <c r="J869" s="2">
        <v>80</v>
      </c>
    </row>
    <row r="870" spans="1:10" ht="12.5">
      <c r="A870" s="2">
        <v>868</v>
      </c>
      <c r="B870" s="2">
        <v>8687</v>
      </c>
      <c r="C870" s="2">
        <v>1978</v>
      </c>
      <c r="D870" s="3" t="s">
        <v>9</v>
      </c>
      <c r="E870" s="3" t="s">
        <v>11</v>
      </c>
      <c r="F870" s="2">
        <v>53172</v>
      </c>
      <c r="G870" s="2">
        <v>0</v>
      </c>
      <c r="H870" s="2">
        <v>1</v>
      </c>
      <c r="I870" s="4">
        <v>41400</v>
      </c>
      <c r="J870" s="2">
        <v>54</v>
      </c>
    </row>
    <row r="871" spans="1:10" ht="12.5">
      <c r="A871" s="2">
        <v>869</v>
      </c>
      <c r="B871" s="2">
        <v>2447</v>
      </c>
      <c r="C871" s="2">
        <v>1979</v>
      </c>
      <c r="D871" s="3" t="s">
        <v>9</v>
      </c>
      <c r="E871" s="3" t="s">
        <v>11</v>
      </c>
      <c r="F871" s="2">
        <v>30545</v>
      </c>
      <c r="G871" s="2">
        <v>1</v>
      </c>
      <c r="H871" s="2">
        <v>0</v>
      </c>
      <c r="I871" s="5">
        <v>41199</v>
      </c>
      <c r="J871" s="2">
        <v>71</v>
      </c>
    </row>
    <row r="872" spans="1:10" ht="12.5">
      <c r="A872" s="2">
        <v>870</v>
      </c>
      <c r="B872" s="2">
        <v>10140</v>
      </c>
      <c r="C872" s="2">
        <v>1983</v>
      </c>
      <c r="D872" s="3" t="s">
        <v>12</v>
      </c>
      <c r="E872" s="3" t="s">
        <v>11</v>
      </c>
      <c r="F872" s="2">
        <v>70123</v>
      </c>
      <c r="G872" s="2">
        <v>0</v>
      </c>
      <c r="H872" s="2">
        <v>0</v>
      </c>
      <c r="I872" s="4">
        <v>41545</v>
      </c>
      <c r="J872" s="2">
        <v>27</v>
      </c>
    </row>
    <row r="873" spans="1:10" ht="12.5">
      <c r="A873" s="2">
        <v>871</v>
      </c>
      <c r="B873" s="2">
        <v>9353</v>
      </c>
      <c r="C873" s="2">
        <v>1959</v>
      </c>
      <c r="D873" s="3" t="s">
        <v>9</v>
      </c>
      <c r="E873" s="3" t="s">
        <v>10</v>
      </c>
      <c r="F873" s="2">
        <v>62450</v>
      </c>
      <c r="G873" s="2">
        <v>0</v>
      </c>
      <c r="H873" s="2">
        <v>1</v>
      </c>
      <c r="I873" s="4">
        <v>41645</v>
      </c>
      <c r="J873" s="2">
        <v>61</v>
      </c>
    </row>
    <row r="874" spans="1:10" ht="12.5">
      <c r="A874" s="2">
        <v>872</v>
      </c>
      <c r="B874" s="2">
        <v>3623</v>
      </c>
      <c r="C874" s="2">
        <v>1976</v>
      </c>
      <c r="D874" s="3" t="s">
        <v>9</v>
      </c>
      <c r="E874" s="3" t="s">
        <v>11</v>
      </c>
      <c r="F874" s="2">
        <v>21675</v>
      </c>
      <c r="G874" s="2">
        <v>1</v>
      </c>
      <c r="H874" s="2">
        <v>0</v>
      </c>
      <c r="I874" s="4">
        <v>41801</v>
      </c>
      <c r="J874" s="2">
        <v>55</v>
      </c>
    </row>
    <row r="875" spans="1:10" ht="12.5">
      <c r="A875" s="2">
        <v>873</v>
      </c>
      <c r="B875" s="2">
        <v>738</v>
      </c>
      <c r="C875" s="2">
        <v>1981</v>
      </c>
      <c r="D875" s="3" t="s">
        <v>17</v>
      </c>
      <c r="E875" s="3" t="s">
        <v>10</v>
      </c>
      <c r="F875" s="2">
        <v>42395</v>
      </c>
      <c r="G875" s="2">
        <v>1</v>
      </c>
      <c r="H875" s="2">
        <v>1</v>
      </c>
      <c r="I875" s="4">
        <v>41733</v>
      </c>
      <c r="J875" s="2">
        <v>35</v>
      </c>
    </row>
    <row r="876" spans="1:10" ht="12.5">
      <c r="A876" s="2">
        <v>874</v>
      </c>
      <c r="B876" s="2">
        <v>7631</v>
      </c>
      <c r="C876" s="2">
        <v>1978</v>
      </c>
      <c r="D876" s="3" t="s">
        <v>14</v>
      </c>
      <c r="E876" s="3" t="s">
        <v>11</v>
      </c>
      <c r="F876" s="2">
        <v>61346</v>
      </c>
      <c r="G876" s="2">
        <v>1</v>
      </c>
      <c r="H876" s="2">
        <v>0</v>
      </c>
      <c r="I876" s="4">
        <v>41553</v>
      </c>
      <c r="J876" s="2">
        <v>34</v>
      </c>
    </row>
    <row r="877" spans="1:10" ht="12.5">
      <c r="A877" s="2">
        <v>875</v>
      </c>
      <c r="B877" s="2">
        <v>4789</v>
      </c>
      <c r="C877" s="2">
        <v>1953</v>
      </c>
      <c r="D877" s="3" t="s">
        <v>9</v>
      </c>
      <c r="E877" s="3" t="s">
        <v>11</v>
      </c>
      <c r="F877" s="2">
        <v>80812</v>
      </c>
      <c r="G877" s="2">
        <v>0</v>
      </c>
      <c r="H877" s="2">
        <v>0</v>
      </c>
      <c r="I877" s="4">
        <v>41534</v>
      </c>
      <c r="J877" s="2">
        <v>95</v>
      </c>
    </row>
    <row r="878" spans="1:10" ht="12.5">
      <c r="A878" s="2">
        <v>876</v>
      </c>
      <c r="B878" s="2">
        <v>773</v>
      </c>
      <c r="C878" s="2">
        <v>1971</v>
      </c>
      <c r="D878" s="3" t="s">
        <v>14</v>
      </c>
      <c r="E878" s="3" t="s">
        <v>15</v>
      </c>
      <c r="F878" s="2">
        <v>42835</v>
      </c>
      <c r="G878" s="2">
        <v>1</v>
      </c>
      <c r="H878" s="2">
        <v>1</v>
      </c>
      <c r="I878" s="4">
        <v>41455</v>
      </c>
      <c r="J878" s="2">
        <v>64</v>
      </c>
    </row>
    <row r="879" spans="1:10" ht="12.5">
      <c r="A879" s="2">
        <v>877</v>
      </c>
      <c r="B879" s="2">
        <v>10602</v>
      </c>
      <c r="C879" s="2">
        <v>1983</v>
      </c>
      <c r="D879" s="3" t="s">
        <v>9</v>
      </c>
      <c r="E879" s="3" t="s">
        <v>13</v>
      </c>
      <c r="F879" s="2">
        <v>39922</v>
      </c>
      <c r="G879" s="2">
        <v>1</v>
      </c>
      <c r="H879" s="2">
        <v>0</v>
      </c>
      <c r="I879" s="4">
        <v>41319</v>
      </c>
      <c r="J879" s="2">
        <v>30</v>
      </c>
    </row>
    <row r="880" spans="1:10" ht="12.5">
      <c r="A880" s="2">
        <v>878</v>
      </c>
      <c r="B880" s="2">
        <v>1446</v>
      </c>
      <c r="C880" s="2">
        <v>1956</v>
      </c>
      <c r="D880" s="3" t="s">
        <v>14</v>
      </c>
      <c r="E880" s="3" t="s">
        <v>10</v>
      </c>
      <c r="F880" s="2">
        <v>86424</v>
      </c>
      <c r="G880" s="2">
        <v>0</v>
      </c>
      <c r="H880" s="2">
        <v>0</v>
      </c>
      <c r="I880" s="4">
        <v>41734</v>
      </c>
      <c r="J880" s="2">
        <v>12</v>
      </c>
    </row>
    <row r="881" spans="1:10" ht="12.5">
      <c r="A881" s="2">
        <v>879</v>
      </c>
      <c r="B881" s="2">
        <v>3270</v>
      </c>
      <c r="C881" s="2">
        <v>1978</v>
      </c>
      <c r="D881" s="3" t="s">
        <v>17</v>
      </c>
      <c r="E881" s="3" t="s">
        <v>11</v>
      </c>
      <c r="F881" s="2">
        <v>17117</v>
      </c>
      <c r="G881" s="2">
        <v>1</v>
      </c>
      <c r="H881" s="2">
        <v>0</v>
      </c>
      <c r="I881" s="4">
        <v>41291</v>
      </c>
      <c r="J881" s="2">
        <v>96</v>
      </c>
    </row>
    <row r="882" spans="1:10" ht="12.5">
      <c r="A882" s="2">
        <v>880</v>
      </c>
      <c r="B882" s="2">
        <v>8443</v>
      </c>
      <c r="C882" s="2">
        <v>1972</v>
      </c>
      <c r="D882" s="3" t="s">
        <v>9</v>
      </c>
      <c r="E882" s="3" t="s">
        <v>10</v>
      </c>
      <c r="F882" s="2">
        <v>24762</v>
      </c>
      <c r="G882" s="2">
        <v>1</v>
      </c>
      <c r="H882" s="2">
        <v>0</v>
      </c>
      <c r="I882" s="4">
        <v>41680</v>
      </c>
      <c r="J882" s="2">
        <v>16</v>
      </c>
    </row>
    <row r="883" spans="1:10" ht="12.5">
      <c r="A883" s="2">
        <v>881</v>
      </c>
      <c r="B883" s="2">
        <v>9653</v>
      </c>
      <c r="C883" s="2">
        <v>1975</v>
      </c>
      <c r="D883" s="3" t="s">
        <v>9</v>
      </c>
      <c r="E883" s="3" t="s">
        <v>13</v>
      </c>
      <c r="F883" s="2">
        <v>35797</v>
      </c>
      <c r="G883" s="2">
        <v>0</v>
      </c>
      <c r="H883" s="2">
        <v>1</v>
      </c>
      <c r="I883" s="5">
        <v>41198</v>
      </c>
      <c r="J883" s="2">
        <v>16</v>
      </c>
    </row>
    <row r="884" spans="1:10" ht="12.5">
      <c r="A884" s="2">
        <v>882</v>
      </c>
      <c r="B884" s="2">
        <v>8916</v>
      </c>
      <c r="C884" s="2">
        <v>1975</v>
      </c>
      <c r="D884" s="3" t="s">
        <v>9</v>
      </c>
      <c r="E884" s="3" t="s">
        <v>15</v>
      </c>
      <c r="F884" s="2">
        <v>36627</v>
      </c>
      <c r="G884" s="2">
        <v>2</v>
      </c>
      <c r="H884" s="2">
        <v>0</v>
      </c>
      <c r="I884" s="4">
        <v>41478</v>
      </c>
      <c r="J884" s="2">
        <v>78</v>
      </c>
    </row>
    <row r="885" spans="1:10" ht="12.5">
      <c r="A885" s="2">
        <v>883</v>
      </c>
      <c r="B885" s="2">
        <v>8017</v>
      </c>
      <c r="C885" s="2">
        <v>1981</v>
      </c>
      <c r="D885" s="3" t="s">
        <v>17</v>
      </c>
      <c r="E885" s="3" t="s">
        <v>13</v>
      </c>
      <c r="F885" s="2">
        <v>51111</v>
      </c>
      <c r="G885" s="2">
        <v>1</v>
      </c>
      <c r="H885" s="2">
        <v>1</v>
      </c>
      <c r="I885" s="4">
        <v>41809</v>
      </c>
      <c r="J885" s="2">
        <v>83</v>
      </c>
    </row>
    <row r="886" spans="1:10" ht="12.5">
      <c r="A886" s="2">
        <v>884</v>
      </c>
      <c r="B886" s="2">
        <v>5830</v>
      </c>
      <c r="C886" s="2">
        <v>1972</v>
      </c>
      <c r="D886" s="3" t="s">
        <v>12</v>
      </c>
      <c r="E886" s="3" t="s">
        <v>10</v>
      </c>
      <c r="F886" s="2">
        <v>86857</v>
      </c>
      <c r="G886" s="2">
        <v>0</v>
      </c>
      <c r="H886" s="2">
        <v>0</v>
      </c>
      <c r="I886" s="4">
        <v>41164</v>
      </c>
      <c r="J886" s="2">
        <v>96</v>
      </c>
    </row>
    <row r="887" spans="1:10" ht="12.5">
      <c r="A887" s="2">
        <v>885</v>
      </c>
      <c r="B887" s="2">
        <v>4597</v>
      </c>
      <c r="C887" s="2">
        <v>1970</v>
      </c>
      <c r="D887" s="3" t="s">
        <v>12</v>
      </c>
      <c r="E887" s="3" t="s">
        <v>11</v>
      </c>
      <c r="F887" s="2">
        <v>82072</v>
      </c>
      <c r="G887" s="2">
        <v>0</v>
      </c>
      <c r="H887" s="2">
        <v>0</v>
      </c>
      <c r="I887" s="4">
        <v>41457</v>
      </c>
      <c r="J887" s="2">
        <v>67</v>
      </c>
    </row>
    <row r="888" spans="1:10" ht="12.5">
      <c r="A888" s="2">
        <v>886</v>
      </c>
      <c r="B888" s="2">
        <v>7023</v>
      </c>
      <c r="C888" s="2">
        <v>1953</v>
      </c>
      <c r="D888" s="3" t="s">
        <v>12</v>
      </c>
      <c r="E888" s="3" t="s">
        <v>10</v>
      </c>
      <c r="F888" s="2">
        <v>46231</v>
      </c>
      <c r="G888" s="2">
        <v>2</v>
      </c>
      <c r="H888" s="2">
        <v>1</v>
      </c>
      <c r="I888" s="5">
        <v>41239</v>
      </c>
      <c r="J888" s="2">
        <v>87</v>
      </c>
    </row>
    <row r="889" spans="1:10" ht="12.5">
      <c r="A889" s="2">
        <v>887</v>
      </c>
      <c r="B889" s="2">
        <v>8086</v>
      </c>
      <c r="C889" s="2">
        <v>1959</v>
      </c>
      <c r="D889" s="3" t="s">
        <v>9</v>
      </c>
      <c r="E889" s="3" t="s">
        <v>13</v>
      </c>
      <c r="F889" s="2">
        <v>42243</v>
      </c>
      <c r="G889" s="2">
        <v>1</v>
      </c>
      <c r="H889" s="2">
        <v>1</v>
      </c>
      <c r="I889" s="5">
        <v>41619</v>
      </c>
      <c r="J889" s="2">
        <v>34</v>
      </c>
    </row>
    <row r="890" spans="1:10" ht="12.5">
      <c r="A890" s="2">
        <v>888</v>
      </c>
      <c r="B890" s="2">
        <v>8825</v>
      </c>
      <c r="C890" s="2">
        <v>1962</v>
      </c>
      <c r="D890" s="3" t="s">
        <v>9</v>
      </c>
      <c r="E890" s="3" t="s">
        <v>11</v>
      </c>
      <c r="F890" s="2">
        <v>51195</v>
      </c>
      <c r="G890" s="2">
        <v>1</v>
      </c>
      <c r="H890" s="2">
        <v>1</v>
      </c>
      <c r="I890" s="4">
        <v>41365</v>
      </c>
      <c r="J890" s="2">
        <v>46</v>
      </c>
    </row>
    <row r="891" spans="1:10" ht="12.5">
      <c r="A891" s="2">
        <v>889</v>
      </c>
      <c r="B891" s="2">
        <v>2930</v>
      </c>
      <c r="C891" s="2">
        <v>1978</v>
      </c>
      <c r="D891" s="3" t="s">
        <v>14</v>
      </c>
      <c r="E891" s="3" t="s">
        <v>10</v>
      </c>
      <c r="F891" s="2">
        <v>68092</v>
      </c>
      <c r="G891" s="2">
        <v>0</v>
      </c>
      <c r="H891" s="2">
        <v>0</v>
      </c>
      <c r="I891" s="5">
        <v>41624</v>
      </c>
      <c r="J891" s="2">
        <v>7</v>
      </c>
    </row>
    <row r="892" spans="1:10" ht="12.5">
      <c r="A892" s="2">
        <v>890</v>
      </c>
      <c r="B892" s="2">
        <v>1928</v>
      </c>
      <c r="C892" s="2">
        <v>1973</v>
      </c>
      <c r="D892" s="3" t="s">
        <v>9</v>
      </c>
      <c r="E892" s="3" t="s">
        <v>13</v>
      </c>
      <c r="F892" s="2">
        <v>31814</v>
      </c>
      <c r="G892" s="2">
        <v>1</v>
      </c>
      <c r="H892" s="2">
        <v>0</v>
      </c>
      <c r="I892" s="4">
        <v>41314</v>
      </c>
      <c r="J892" s="2">
        <v>73</v>
      </c>
    </row>
    <row r="893" spans="1:10" ht="12.5">
      <c r="A893" s="2">
        <v>891</v>
      </c>
      <c r="B893" s="2">
        <v>7108</v>
      </c>
      <c r="C893" s="2">
        <v>1965</v>
      </c>
      <c r="D893" s="3" t="s">
        <v>14</v>
      </c>
      <c r="E893" s="3" t="s">
        <v>18</v>
      </c>
      <c r="F893" s="2">
        <v>51390</v>
      </c>
      <c r="G893" s="2">
        <v>1</v>
      </c>
      <c r="H893" s="2">
        <v>1</v>
      </c>
      <c r="I893" s="4">
        <v>41160</v>
      </c>
      <c r="J893" s="2">
        <v>54</v>
      </c>
    </row>
    <row r="894" spans="1:10" ht="12.5">
      <c r="A894" s="2">
        <v>892</v>
      </c>
      <c r="B894" s="2">
        <v>10925</v>
      </c>
      <c r="C894" s="2">
        <v>1983</v>
      </c>
      <c r="D894" s="3" t="s">
        <v>9</v>
      </c>
      <c r="E894" s="3" t="s">
        <v>13</v>
      </c>
      <c r="F894" s="2">
        <v>76630</v>
      </c>
      <c r="G894" s="2">
        <v>0</v>
      </c>
      <c r="H894" s="2">
        <v>0</v>
      </c>
      <c r="I894" s="4">
        <v>41653</v>
      </c>
      <c r="J894" s="2">
        <v>93</v>
      </c>
    </row>
    <row r="895" spans="1:10" ht="12.5">
      <c r="A895" s="2">
        <v>893</v>
      </c>
      <c r="B895" s="2">
        <v>9960</v>
      </c>
      <c r="C895" s="2">
        <v>1991</v>
      </c>
      <c r="D895" s="3" t="s">
        <v>16</v>
      </c>
      <c r="E895" s="3" t="s">
        <v>10</v>
      </c>
      <c r="F895" s="2">
        <v>26868</v>
      </c>
      <c r="G895" s="2">
        <v>1</v>
      </c>
      <c r="H895" s="2">
        <v>0</v>
      </c>
      <c r="I895" s="4">
        <v>41759</v>
      </c>
      <c r="J895" s="2">
        <v>52</v>
      </c>
    </row>
    <row r="896" spans="1:10" ht="12.5">
      <c r="A896" s="2">
        <v>894</v>
      </c>
      <c r="B896" s="2">
        <v>8800</v>
      </c>
      <c r="C896" s="2">
        <v>1943</v>
      </c>
      <c r="D896" s="3" t="s">
        <v>12</v>
      </c>
      <c r="E896" s="3" t="s">
        <v>15</v>
      </c>
      <c r="F896" s="2">
        <v>48948</v>
      </c>
      <c r="G896" s="2">
        <v>0</v>
      </c>
      <c r="H896" s="2">
        <v>0</v>
      </c>
      <c r="I896" s="4">
        <v>41306</v>
      </c>
      <c r="J896" s="2">
        <v>53</v>
      </c>
    </row>
    <row r="897" spans="1:10" ht="12.5">
      <c r="A897" s="2">
        <v>895</v>
      </c>
      <c r="B897" s="2">
        <v>9224</v>
      </c>
      <c r="C897" s="2">
        <v>1972</v>
      </c>
      <c r="D897" s="3" t="s">
        <v>12</v>
      </c>
      <c r="E897" s="3" t="s">
        <v>10</v>
      </c>
      <c r="F897" s="2">
        <v>55260</v>
      </c>
      <c r="G897" s="2">
        <v>0</v>
      </c>
      <c r="H897" s="2">
        <v>1</v>
      </c>
      <c r="I897" s="5">
        <v>41255</v>
      </c>
      <c r="J897" s="2">
        <v>81</v>
      </c>
    </row>
    <row r="898" spans="1:10" ht="12.5">
      <c r="A898" s="2">
        <v>896</v>
      </c>
      <c r="B898" s="2">
        <v>5519</v>
      </c>
      <c r="C898" s="2">
        <v>1956</v>
      </c>
      <c r="D898" s="3" t="s">
        <v>9</v>
      </c>
      <c r="E898" s="3" t="s">
        <v>11</v>
      </c>
      <c r="F898" s="2">
        <v>64090</v>
      </c>
      <c r="G898" s="2">
        <v>0</v>
      </c>
      <c r="H898" s="2">
        <v>1</v>
      </c>
      <c r="I898" s="4">
        <v>41493</v>
      </c>
      <c r="J898" s="2">
        <v>8</v>
      </c>
    </row>
    <row r="899" spans="1:10" ht="12.5">
      <c r="A899" s="2">
        <v>897</v>
      </c>
      <c r="B899" s="2">
        <v>5046</v>
      </c>
      <c r="C899" s="2">
        <v>1958</v>
      </c>
      <c r="D899" s="3" t="s">
        <v>9</v>
      </c>
      <c r="E899" s="3" t="s">
        <v>15</v>
      </c>
      <c r="F899" s="2">
        <v>78331</v>
      </c>
      <c r="G899" s="2">
        <v>0</v>
      </c>
      <c r="H899" s="2">
        <v>1</v>
      </c>
      <c r="I899" s="4">
        <v>41662</v>
      </c>
      <c r="J899" s="2">
        <v>97</v>
      </c>
    </row>
    <row r="900" spans="1:10" ht="12.5">
      <c r="A900" s="2">
        <v>898</v>
      </c>
      <c r="B900" s="2">
        <v>7037</v>
      </c>
      <c r="C900" s="2">
        <v>1974</v>
      </c>
      <c r="D900" s="3" t="s">
        <v>12</v>
      </c>
      <c r="E900" s="3" t="s">
        <v>13</v>
      </c>
      <c r="F900" s="2">
        <v>37087</v>
      </c>
      <c r="G900" s="2">
        <v>1</v>
      </c>
      <c r="H900" s="2">
        <v>0</v>
      </c>
      <c r="I900" s="4">
        <v>41497</v>
      </c>
      <c r="J900" s="2">
        <v>50</v>
      </c>
    </row>
    <row r="901" spans="1:10" ht="12.5">
      <c r="A901" s="2">
        <v>899</v>
      </c>
      <c r="B901" s="2">
        <v>905</v>
      </c>
      <c r="C901" s="2">
        <v>1986</v>
      </c>
      <c r="D901" s="3" t="s">
        <v>9</v>
      </c>
      <c r="E901" s="3" t="s">
        <v>15</v>
      </c>
      <c r="F901" s="2">
        <v>21846</v>
      </c>
      <c r="G901" s="2">
        <v>1</v>
      </c>
      <c r="H901" s="2">
        <v>0</v>
      </c>
      <c r="I901" s="5">
        <v>41569</v>
      </c>
      <c r="J901" s="2">
        <v>38</v>
      </c>
    </row>
    <row r="902" spans="1:10" ht="12.5">
      <c r="A902" s="2">
        <v>900</v>
      </c>
      <c r="B902" s="2">
        <v>8624</v>
      </c>
      <c r="C902" s="2">
        <v>1958</v>
      </c>
      <c r="D902" s="3" t="s">
        <v>9</v>
      </c>
      <c r="E902" s="3" t="s">
        <v>13</v>
      </c>
      <c r="F902" s="2">
        <v>81320</v>
      </c>
      <c r="G902" s="2">
        <v>0</v>
      </c>
      <c r="H902" s="2">
        <v>0</v>
      </c>
      <c r="I902" s="4">
        <v>41311</v>
      </c>
      <c r="J902" s="2">
        <v>61</v>
      </c>
    </row>
    <row r="903" spans="1:10" ht="12.5">
      <c r="A903" s="2">
        <v>901</v>
      </c>
      <c r="B903" s="2">
        <v>8945</v>
      </c>
      <c r="C903" s="2">
        <v>1970</v>
      </c>
      <c r="D903" s="3" t="s">
        <v>9</v>
      </c>
      <c r="E903" s="3" t="s">
        <v>15</v>
      </c>
      <c r="F903" s="2">
        <v>54137</v>
      </c>
      <c r="G903" s="2">
        <v>0</v>
      </c>
      <c r="H903" s="2">
        <v>1</v>
      </c>
      <c r="I903" s="4">
        <v>41502</v>
      </c>
      <c r="J903" s="2">
        <v>46</v>
      </c>
    </row>
    <row r="904" spans="1:10" ht="12.5">
      <c r="A904" s="2">
        <v>902</v>
      </c>
      <c r="B904" s="2">
        <v>6445</v>
      </c>
      <c r="C904" s="2">
        <v>1967</v>
      </c>
      <c r="D904" s="3" t="s">
        <v>9</v>
      </c>
      <c r="E904" s="3" t="s">
        <v>11</v>
      </c>
      <c r="F904" s="2">
        <v>66825</v>
      </c>
      <c r="G904" s="2">
        <v>0</v>
      </c>
      <c r="H904" s="2">
        <v>0</v>
      </c>
      <c r="I904" s="4">
        <v>41469</v>
      </c>
      <c r="J904" s="2">
        <v>73</v>
      </c>
    </row>
    <row r="905" spans="1:10" ht="12.5">
      <c r="A905" s="2">
        <v>903</v>
      </c>
      <c r="B905" s="2">
        <v>2727</v>
      </c>
      <c r="C905" s="2">
        <v>1973</v>
      </c>
      <c r="D905" s="3" t="s">
        <v>9</v>
      </c>
      <c r="E905" s="3" t="s">
        <v>11</v>
      </c>
      <c r="F905" s="2">
        <v>57100</v>
      </c>
      <c r="G905" s="2">
        <v>0</v>
      </c>
      <c r="H905" s="2">
        <v>0</v>
      </c>
      <c r="I905" s="4">
        <v>41612</v>
      </c>
      <c r="J905" s="2">
        <v>19</v>
      </c>
    </row>
    <row r="906" spans="1:10" ht="12.5">
      <c r="A906" s="2">
        <v>904</v>
      </c>
      <c r="B906" s="2">
        <v>6404</v>
      </c>
      <c r="C906" s="2">
        <v>1969</v>
      </c>
      <c r="D906" s="3" t="s">
        <v>9</v>
      </c>
      <c r="E906" s="3" t="s">
        <v>11</v>
      </c>
      <c r="F906" s="2">
        <v>58917</v>
      </c>
      <c r="G906" s="2">
        <v>1</v>
      </c>
      <c r="H906" s="2">
        <v>2</v>
      </c>
      <c r="I906" s="4">
        <v>41357</v>
      </c>
      <c r="J906" s="2">
        <v>10</v>
      </c>
    </row>
    <row r="907" spans="1:10" ht="12.5">
      <c r="A907" s="2">
        <v>905</v>
      </c>
      <c r="B907" s="2">
        <v>11074</v>
      </c>
      <c r="C907" s="2">
        <v>1977</v>
      </c>
      <c r="D907" s="3" t="s">
        <v>9</v>
      </c>
      <c r="E907" s="3" t="s">
        <v>10</v>
      </c>
      <c r="F907" s="2">
        <v>85072</v>
      </c>
      <c r="G907" s="2">
        <v>0</v>
      </c>
      <c r="H907" s="2">
        <v>0</v>
      </c>
      <c r="I907" s="4">
        <v>41738</v>
      </c>
      <c r="J907" s="2">
        <v>94</v>
      </c>
    </row>
    <row r="908" spans="1:10" ht="12.5">
      <c r="A908" s="2">
        <v>906</v>
      </c>
      <c r="B908" s="2">
        <v>10150</v>
      </c>
      <c r="C908" s="2">
        <v>1961</v>
      </c>
      <c r="D908" s="3" t="s">
        <v>9</v>
      </c>
      <c r="E908" s="3" t="s">
        <v>10</v>
      </c>
      <c r="F908" s="2">
        <v>86429</v>
      </c>
      <c r="G908" s="2">
        <v>0</v>
      </c>
      <c r="H908" s="2">
        <v>0</v>
      </c>
      <c r="I908" s="5">
        <v>41599</v>
      </c>
      <c r="J908" s="2">
        <v>10</v>
      </c>
    </row>
    <row r="909" spans="1:10" ht="12.5">
      <c r="A909" s="2">
        <v>907</v>
      </c>
      <c r="B909" s="2">
        <v>1968</v>
      </c>
      <c r="C909" s="2">
        <v>1971</v>
      </c>
      <c r="D909" s="3" t="s">
        <v>9</v>
      </c>
      <c r="E909" s="3" t="s">
        <v>18</v>
      </c>
      <c r="F909" s="2">
        <v>45684</v>
      </c>
      <c r="G909" s="2">
        <v>1</v>
      </c>
      <c r="H909" s="2">
        <v>0</v>
      </c>
      <c r="I909" s="4">
        <v>41610</v>
      </c>
      <c r="J909" s="2">
        <v>37</v>
      </c>
    </row>
    <row r="910" spans="1:10" ht="12.5">
      <c r="A910" s="2">
        <v>908</v>
      </c>
      <c r="B910" s="2">
        <v>6534</v>
      </c>
      <c r="C910" s="2">
        <v>1974</v>
      </c>
      <c r="D910" s="3" t="s">
        <v>9</v>
      </c>
      <c r="E910" s="3" t="s">
        <v>11</v>
      </c>
      <c r="F910" s="2">
        <v>47889</v>
      </c>
      <c r="G910" s="2">
        <v>1</v>
      </c>
      <c r="H910" s="2">
        <v>0</v>
      </c>
      <c r="I910" s="4">
        <v>41643</v>
      </c>
      <c r="J910" s="2">
        <v>94</v>
      </c>
    </row>
    <row r="911" spans="1:10" ht="12.5">
      <c r="A911" s="2">
        <v>909</v>
      </c>
      <c r="B911" s="2">
        <v>9485</v>
      </c>
      <c r="C911" s="2">
        <v>1986</v>
      </c>
      <c r="D911" s="3" t="s">
        <v>12</v>
      </c>
      <c r="E911" s="3" t="s">
        <v>13</v>
      </c>
      <c r="F911" s="2">
        <v>45921</v>
      </c>
      <c r="G911" s="2">
        <v>0</v>
      </c>
      <c r="H911" s="2">
        <v>0</v>
      </c>
      <c r="I911" s="4">
        <v>41708</v>
      </c>
      <c r="J911" s="2">
        <v>23</v>
      </c>
    </row>
    <row r="912" spans="1:10" ht="12.5">
      <c r="A912" s="2">
        <v>910</v>
      </c>
      <c r="B912" s="2">
        <v>7053</v>
      </c>
      <c r="C912" s="2">
        <v>1966</v>
      </c>
      <c r="D912" s="3" t="s">
        <v>12</v>
      </c>
      <c r="E912" s="3" t="s">
        <v>10</v>
      </c>
      <c r="F912" s="2">
        <v>78420</v>
      </c>
      <c r="G912" s="2">
        <v>0</v>
      </c>
      <c r="H912" s="2">
        <v>0</v>
      </c>
      <c r="I912" s="4">
        <v>41454</v>
      </c>
      <c r="J912" s="2">
        <v>75</v>
      </c>
    </row>
    <row r="913" spans="1:10" ht="12.5">
      <c r="A913" s="2">
        <v>911</v>
      </c>
      <c r="B913" s="2">
        <v>4654</v>
      </c>
      <c r="C913" s="2">
        <v>1992</v>
      </c>
      <c r="D913" s="3" t="s">
        <v>9</v>
      </c>
      <c r="E913" s="3" t="s">
        <v>11</v>
      </c>
      <c r="F913" s="2">
        <v>75114</v>
      </c>
      <c r="G913" s="2">
        <v>0</v>
      </c>
      <c r="H913" s="2">
        <v>0</v>
      </c>
      <c r="I913" s="4">
        <v>41585</v>
      </c>
      <c r="J913" s="2">
        <v>40</v>
      </c>
    </row>
    <row r="914" spans="1:10" ht="12.5">
      <c r="A914" s="2">
        <v>912</v>
      </c>
      <c r="B914" s="2">
        <v>9760</v>
      </c>
      <c r="C914" s="2">
        <v>1963</v>
      </c>
      <c r="D914" s="3" t="s">
        <v>12</v>
      </c>
      <c r="E914" s="3" t="s">
        <v>18</v>
      </c>
      <c r="F914" s="2">
        <v>52278</v>
      </c>
      <c r="G914" s="2">
        <v>0</v>
      </c>
      <c r="H914" s="2">
        <v>1</v>
      </c>
      <c r="I914" s="4">
        <v>41299</v>
      </c>
      <c r="J914" s="2">
        <v>24</v>
      </c>
    </row>
    <row r="915" spans="1:10" ht="12.5">
      <c r="A915" s="2">
        <v>913</v>
      </c>
      <c r="B915" s="2">
        <v>1048</v>
      </c>
      <c r="C915" s="2">
        <v>1972</v>
      </c>
      <c r="D915" s="3" t="s">
        <v>14</v>
      </c>
      <c r="E915" s="3" t="s">
        <v>13</v>
      </c>
      <c r="F915" s="2">
        <v>35641</v>
      </c>
      <c r="G915" s="2">
        <v>1</v>
      </c>
      <c r="H915" s="2">
        <v>0</v>
      </c>
      <c r="I915" s="4">
        <v>41469</v>
      </c>
      <c r="J915" s="2">
        <v>11</v>
      </c>
    </row>
    <row r="916" spans="1:10" ht="12.5">
      <c r="A916" s="2">
        <v>914</v>
      </c>
      <c r="B916" s="2">
        <v>10619</v>
      </c>
      <c r="C916" s="2">
        <v>1994</v>
      </c>
      <c r="D916" s="3" t="s">
        <v>9</v>
      </c>
      <c r="E916" s="3" t="s">
        <v>10</v>
      </c>
      <c r="F916" s="2">
        <v>95529</v>
      </c>
      <c r="G916" s="2">
        <v>0</v>
      </c>
      <c r="H916" s="2">
        <v>0</v>
      </c>
      <c r="I916" s="4">
        <v>41246</v>
      </c>
      <c r="J916" s="2">
        <v>29</v>
      </c>
    </row>
    <row r="917" spans="1:10" ht="12.5">
      <c r="A917" s="2">
        <v>915</v>
      </c>
      <c r="B917" s="2">
        <v>9308</v>
      </c>
      <c r="C917" s="2">
        <v>1954</v>
      </c>
      <c r="D917" s="3" t="s">
        <v>9</v>
      </c>
      <c r="E917" s="3" t="s">
        <v>13</v>
      </c>
      <c r="F917" s="2">
        <v>62820</v>
      </c>
      <c r="G917" s="2">
        <v>0</v>
      </c>
      <c r="H917" s="2">
        <v>0</v>
      </c>
      <c r="I917" s="4">
        <v>41405</v>
      </c>
      <c r="J917" s="2">
        <v>51</v>
      </c>
    </row>
    <row r="918" spans="1:10" ht="12.5">
      <c r="A918" s="2">
        <v>916</v>
      </c>
      <c r="B918" s="2">
        <v>10505</v>
      </c>
      <c r="C918" s="2">
        <v>1960</v>
      </c>
      <c r="D918" s="3" t="s">
        <v>14</v>
      </c>
      <c r="E918" s="3" t="s">
        <v>11</v>
      </c>
      <c r="F918" s="2">
        <v>73113</v>
      </c>
      <c r="G918" s="2">
        <v>0</v>
      </c>
      <c r="H918" s="2">
        <v>0</v>
      </c>
      <c r="I918" s="5">
        <v>41634</v>
      </c>
      <c r="J918" s="2">
        <v>86</v>
      </c>
    </row>
    <row r="919" spans="1:10" ht="12.5">
      <c r="A919" s="2">
        <v>917</v>
      </c>
      <c r="B919" s="2">
        <v>8362</v>
      </c>
      <c r="C919" s="2">
        <v>1982</v>
      </c>
      <c r="D919" s="3" t="s">
        <v>12</v>
      </c>
      <c r="E919" s="3" t="s">
        <v>13</v>
      </c>
      <c r="F919" s="2">
        <v>84169</v>
      </c>
      <c r="G919" s="2">
        <v>0</v>
      </c>
      <c r="H919" s="2">
        <v>0</v>
      </c>
      <c r="I919" s="4">
        <v>41493</v>
      </c>
      <c r="J919" s="2">
        <v>9</v>
      </c>
    </row>
    <row r="920" spans="1:10" ht="12.5">
      <c r="A920" s="2">
        <v>918</v>
      </c>
      <c r="B920" s="2">
        <v>2625</v>
      </c>
      <c r="C920" s="2">
        <v>1954</v>
      </c>
      <c r="D920" s="3" t="s">
        <v>17</v>
      </c>
      <c r="E920" s="3" t="s">
        <v>10</v>
      </c>
      <c r="F920" s="2">
        <v>42607</v>
      </c>
      <c r="G920" s="2">
        <v>0</v>
      </c>
      <c r="H920" s="2">
        <v>1</v>
      </c>
      <c r="I920" s="5">
        <v>41595</v>
      </c>
      <c r="J920" s="2">
        <v>30</v>
      </c>
    </row>
    <row r="921" spans="1:10" ht="12.5">
      <c r="A921" s="2">
        <v>919</v>
      </c>
      <c r="B921" s="2">
        <v>4637</v>
      </c>
      <c r="C921" s="2">
        <v>1954</v>
      </c>
      <c r="D921" s="3" t="s">
        <v>12</v>
      </c>
      <c r="E921" s="3" t="s">
        <v>10</v>
      </c>
      <c r="F921" s="2">
        <v>74637</v>
      </c>
      <c r="G921" s="2">
        <v>0</v>
      </c>
      <c r="H921" s="2">
        <v>0</v>
      </c>
      <c r="I921" s="4">
        <v>41412</v>
      </c>
      <c r="J921" s="2">
        <v>73</v>
      </c>
    </row>
    <row r="922" spans="1:10" ht="12.5">
      <c r="A922" s="2">
        <v>920</v>
      </c>
      <c r="B922" s="2">
        <v>9972</v>
      </c>
      <c r="C922" s="2">
        <v>1955</v>
      </c>
      <c r="D922" s="3" t="s">
        <v>12</v>
      </c>
      <c r="E922" s="3" t="s">
        <v>11</v>
      </c>
      <c r="F922" s="2">
        <v>46015</v>
      </c>
      <c r="G922" s="2">
        <v>1</v>
      </c>
      <c r="H922" s="2">
        <v>1</v>
      </c>
      <c r="I922" s="4">
        <v>41742</v>
      </c>
      <c r="J922" s="2">
        <v>25</v>
      </c>
    </row>
    <row r="923" spans="1:10" ht="12.5">
      <c r="A923" s="2">
        <v>921</v>
      </c>
      <c r="B923" s="2">
        <v>4483</v>
      </c>
      <c r="C923" s="2">
        <v>1993</v>
      </c>
      <c r="D923" s="3" t="s">
        <v>9</v>
      </c>
      <c r="E923" s="3" t="s">
        <v>10</v>
      </c>
      <c r="F923" s="2">
        <v>72354</v>
      </c>
      <c r="G923" s="2">
        <v>0</v>
      </c>
      <c r="H923" s="2">
        <v>0</v>
      </c>
      <c r="I923" s="4">
        <v>41381</v>
      </c>
      <c r="J923" s="2">
        <v>67</v>
      </c>
    </row>
    <row r="924" spans="1:10" ht="12.5">
      <c r="A924" s="2">
        <v>922</v>
      </c>
      <c r="B924" s="2">
        <v>4487</v>
      </c>
      <c r="C924" s="2">
        <v>1969</v>
      </c>
      <c r="D924" s="3" t="s">
        <v>14</v>
      </c>
      <c r="E924" s="3" t="s">
        <v>10</v>
      </c>
      <c r="F924" s="2">
        <v>39858</v>
      </c>
      <c r="G924" s="2">
        <v>1</v>
      </c>
      <c r="H924" s="2">
        <v>0</v>
      </c>
      <c r="I924" s="4">
        <v>41298</v>
      </c>
      <c r="J924" s="2">
        <v>67</v>
      </c>
    </row>
    <row r="925" spans="1:10" ht="12.5">
      <c r="A925" s="2">
        <v>923</v>
      </c>
      <c r="B925" s="2">
        <v>4988</v>
      </c>
      <c r="C925" s="2">
        <v>1948</v>
      </c>
      <c r="D925" s="3" t="s">
        <v>12</v>
      </c>
      <c r="E925" s="3" t="s">
        <v>13</v>
      </c>
      <c r="F925" s="2">
        <v>34469</v>
      </c>
      <c r="G925" s="2">
        <v>1</v>
      </c>
      <c r="H925" s="2">
        <v>1</v>
      </c>
      <c r="I925" s="4">
        <v>41763</v>
      </c>
      <c r="J925" s="2">
        <v>58</v>
      </c>
    </row>
    <row r="926" spans="1:10" ht="12.5">
      <c r="A926" s="2">
        <v>924</v>
      </c>
      <c r="B926" s="2">
        <v>8931</v>
      </c>
      <c r="C926" s="2">
        <v>1986</v>
      </c>
      <c r="D926" s="3" t="s">
        <v>9</v>
      </c>
      <c r="E926" s="3" t="s">
        <v>11</v>
      </c>
      <c r="F926" s="2">
        <v>83033</v>
      </c>
      <c r="G926" s="2">
        <v>1</v>
      </c>
      <c r="H926" s="2">
        <v>0</v>
      </c>
      <c r="I926" s="4">
        <v>41777</v>
      </c>
      <c r="J926" s="2">
        <v>82</v>
      </c>
    </row>
    <row r="927" spans="1:10" ht="12.5">
      <c r="A927" s="2">
        <v>925</v>
      </c>
      <c r="B927" s="2">
        <v>5871</v>
      </c>
      <c r="C927" s="2">
        <v>1979</v>
      </c>
      <c r="D927" s="3" t="s">
        <v>14</v>
      </c>
      <c r="E927" s="3" t="s">
        <v>11</v>
      </c>
      <c r="F927" s="2">
        <v>24401</v>
      </c>
      <c r="G927" s="2">
        <v>0</v>
      </c>
      <c r="H927" s="2">
        <v>0</v>
      </c>
      <c r="I927" s="4">
        <v>41152</v>
      </c>
      <c r="J927" s="2">
        <v>98</v>
      </c>
    </row>
    <row r="928" spans="1:10" ht="12.5">
      <c r="A928" s="2">
        <v>926</v>
      </c>
      <c r="B928" s="2">
        <v>2008</v>
      </c>
      <c r="C928" s="2">
        <v>1978</v>
      </c>
      <c r="D928" s="3" t="s">
        <v>9</v>
      </c>
      <c r="E928" s="3" t="s">
        <v>13</v>
      </c>
      <c r="F928" s="2">
        <v>77583</v>
      </c>
      <c r="G928" s="2">
        <v>0</v>
      </c>
      <c r="H928" s="2">
        <v>0</v>
      </c>
      <c r="I928" s="4">
        <v>41680</v>
      </c>
      <c r="J928" s="2">
        <v>93</v>
      </c>
    </row>
    <row r="929" spans="1:10" ht="12.5">
      <c r="A929" s="2">
        <v>927</v>
      </c>
      <c r="B929" s="2">
        <v>3139</v>
      </c>
      <c r="C929" s="2">
        <v>1982</v>
      </c>
      <c r="D929" s="3" t="s">
        <v>17</v>
      </c>
      <c r="E929" s="3" t="s">
        <v>10</v>
      </c>
      <c r="F929" s="2">
        <v>74116</v>
      </c>
      <c r="G929" s="2">
        <v>0</v>
      </c>
      <c r="H929" s="2">
        <v>0</v>
      </c>
      <c r="I929" s="5">
        <v>41638</v>
      </c>
      <c r="J929" s="2">
        <v>53</v>
      </c>
    </row>
    <row r="930" spans="1:10" ht="12.5">
      <c r="A930" s="2">
        <v>928</v>
      </c>
      <c r="B930" s="2">
        <v>10037</v>
      </c>
      <c r="C930" s="2">
        <v>1993</v>
      </c>
      <c r="D930" s="3" t="s">
        <v>9</v>
      </c>
      <c r="E930" s="3" t="s">
        <v>10</v>
      </c>
      <c r="F930" s="2">
        <v>74293</v>
      </c>
      <c r="G930" s="2">
        <v>0</v>
      </c>
      <c r="H930" s="2">
        <v>0</v>
      </c>
      <c r="I930" s="4">
        <v>41763</v>
      </c>
      <c r="J930" s="2">
        <v>66</v>
      </c>
    </row>
    <row r="931" spans="1:10" ht="12.5">
      <c r="A931" s="2">
        <v>929</v>
      </c>
      <c r="B931" s="2">
        <v>10673</v>
      </c>
      <c r="C931" s="2">
        <v>1976</v>
      </c>
      <c r="D931" s="3" t="s">
        <v>12</v>
      </c>
      <c r="E931" s="3" t="s">
        <v>13</v>
      </c>
      <c r="F931" s="2">
        <v>68397</v>
      </c>
      <c r="G931" s="2">
        <v>0</v>
      </c>
      <c r="H931" s="2">
        <v>1</v>
      </c>
      <c r="I931" s="5">
        <v>41595</v>
      </c>
      <c r="J931" s="2">
        <v>6</v>
      </c>
    </row>
    <row r="932" spans="1:10" ht="12.5">
      <c r="A932" s="2">
        <v>930</v>
      </c>
      <c r="B932" s="2">
        <v>5303</v>
      </c>
      <c r="C932" s="2">
        <v>1974</v>
      </c>
      <c r="D932" s="3" t="s">
        <v>12</v>
      </c>
      <c r="E932" s="3" t="s">
        <v>11</v>
      </c>
      <c r="F932" s="2">
        <v>79632</v>
      </c>
      <c r="G932" s="2">
        <v>0</v>
      </c>
      <c r="H932" s="2">
        <v>0</v>
      </c>
      <c r="I932" s="4">
        <v>41737</v>
      </c>
      <c r="J932" s="2">
        <v>42</v>
      </c>
    </row>
    <row r="933" spans="1:10" ht="12.5">
      <c r="A933" s="2">
        <v>931</v>
      </c>
      <c r="B933" s="2">
        <v>538</v>
      </c>
      <c r="C933" s="2">
        <v>1989</v>
      </c>
      <c r="D933" s="3" t="s">
        <v>9</v>
      </c>
      <c r="E933" s="3" t="s">
        <v>10</v>
      </c>
      <c r="F933" s="2">
        <v>46107</v>
      </c>
      <c r="G933" s="2">
        <v>1</v>
      </c>
      <c r="H933" s="2">
        <v>0</v>
      </c>
      <c r="I933" s="4">
        <v>41680</v>
      </c>
      <c r="J933" s="2">
        <v>78</v>
      </c>
    </row>
    <row r="934" spans="1:10" ht="12.5">
      <c r="A934" s="2">
        <v>932</v>
      </c>
      <c r="B934" s="2">
        <v>7922</v>
      </c>
      <c r="C934" s="2">
        <v>1951</v>
      </c>
      <c r="D934" s="3" t="s">
        <v>12</v>
      </c>
      <c r="E934" s="3" t="s">
        <v>10</v>
      </c>
      <c r="F934" s="2">
        <v>64950</v>
      </c>
      <c r="G934" s="2">
        <v>0</v>
      </c>
      <c r="H934" s="2">
        <v>1</v>
      </c>
      <c r="I934" s="4">
        <v>41133</v>
      </c>
      <c r="J934" s="2">
        <v>29</v>
      </c>
    </row>
    <row r="935" spans="1:10" ht="12.5">
      <c r="A935" s="2">
        <v>933</v>
      </c>
      <c r="B935" s="2">
        <v>5692</v>
      </c>
      <c r="C935" s="2">
        <v>1989</v>
      </c>
      <c r="D935" s="3" t="s">
        <v>16</v>
      </c>
      <c r="E935" s="3" t="s">
        <v>13</v>
      </c>
      <c r="F935" s="2">
        <v>25443</v>
      </c>
      <c r="G935" s="2">
        <v>1</v>
      </c>
      <c r="H935" s="2">
        <v>0</v>
      </c>
      <c r="I935" s="5">
        <v>41265</v>
      </c>
      <c r="J935" s="2">
        <v>82</v>
      </c>
    </row>
    <row r="936" spans="1:10" ht="12.5">
      <c r="A936" s="2">
        <v>934</v>
      </c>
      <c r="B936" s="2">
        <v>4843</v>
      </c>
      <c r="C936" s="2">
        <v>1952</v>
      </c>
      <c r="D936" s="3" t="s">
        <v>9</v>
      </c>
      <c r="E936" s="3" t="s">
        <v>10</v>
      </c>
      <c r="F936" s="2">
        <v>75127</v>
      </c>
      <c r="G936" s="2">
        <v>0</v>
      </c>
      <c r="H936" s="2">
        <v>0</v>
      </c>
      <c r="I936" s="4">
        <v>41781</v>
      </c>
      <c r="J936" s="2">
        <v>92</v>
      </c>
    </row>
    <row r="937" spans="1:10" ht="12.5">
      <c r="A937" s="2">
        <v>935</v>
      </c>
      <c r="B937" s="2">
        <v>6383</v>
      </c>
      <c r="C937" s="2">
        <v>1971</v>
      </c>
      <c r="D937" s="3" t="s">
        <v>12</v>
      </c>
      <c r="E937" s="3" t="s">
        <v>11</v>
      </c>
      <c r="F937" s="2">
        <v>32892</v>
      </c>
      <c r="G937" s="2">
        <v>1</v>
      </c>
      <c r="H937" s="2">
        <v>0</v>
      </c>
      <c r="I937" s="4">
        <v>41784</v>
      </c>
      <c r="J937" s="2">
        <v>78</v>
      </c>
    </row>
    <row r="938" spans="1:10" ht="12.5">
      <c r="A938" s="2">
        <v>936</v>
      </c>
      <c r="B938" s="2">
        <v>1628</v>
      </c>
      <c r="C938" s="2">
        <v>1971</v>
      </c>
      <c r="D938" s="3" t="s">
        <v>9</v>
      </c>
      <c r="E938" s="3" t="s">
        <v>11</v>
      </c>
      <c r="F938" s="2">
        <v>71796</v>
      </c>
      <c r="G938" s="2">
        <v>0</v>
      </c>
      <c r="H938" s="2">
        <v>0</v>
      </c>
      <c r="I938" s="5">
        <v>41571</v>
      </c>
      <c r="J938" s="2">
        <v>54</v>
      </c>
    </row>
    <row r="939" spans="1:10" ht="12.5">
      <c r="A939" s="2">
        <v>937</v>
      </c>
      <c r="B939" s="2">
        <v>1204</v>
      </c>
      <c r="C939" s="2">
        <v>1970</v>
      </c>
      <c r="D939" s="3" t="s">
        <v>12</v>
      </c>
      <c r="E939" s="3" t="s">
        <v>13</v>
      </c>
      <c r="F939" s="2">
        <v>67536</v>
      </c>
      <c r="G939" s="2">
        <v>0</v>
      </c>
      <c r="H939" s="2">
        <v>1</v>
      </c>
      <c r="I939" s="4">
        <v>41416</v>
      </c>
      <c r="J939" s="2">
        <v>45</v>
      </c>
    </row>
    <row r="940" spans="1:10" ht="12.5">
      <c r="A940" s="2">
        <v>938</v>
      </c>
      <c r="B940" s="2">
        <v>3673</v>
      </c>
      <c r="C940" s="2">
        <v>1971</v>
      </c>
      <c r="D940" s="3" t="s">
        <v>9</v>
      </c>
      <c r="E940" s="3" t="s">
        <v>10</v>
      </c>
      <c r="F940" s="2">
        <v>55239</v>
      </c>
      <c r="G940" s="2">
        <v>0</v>
      </c>
      <c r="H940" s="2">
        <v>1</v>
      </c>
      <c r="I940" s="4">
        <v>41469</v>
      </c>
      <c r="J940" s="2">
        <v>59</v>
      </c>
    </row>
    <row r="941" spans="1:10" ht="12.5">
      <c r="A941" s="2">
        <v>939</v>
      </c>
      <c r="B941" s="2">
        <v>760</v>
      </c>
      <c r="C941" s="2">
        <v>1975</v>
      </c>
      <c r="D941" s="3" t="s">
        <v>12</v>
      </c>
      <c r="E941" s="3" t="s">
        <v>15</v>
      </c>
      <c r="F941" s="2">
        <v>60554</v>
      </c>
      <c r="G941" s="2">
        <v>1</v>
      </c>
      <c r="H941" s="2">
        <v>0</v>
      </c>
      <c r="I941" s="4">
        <v>41495</v>
      </c>
      <c r="J941" s="2">
        <v>8</v>
      </c>
    </row>
    <row r="942" spans="1:10" ht="12.5">
      <c r="A942" s="2">
        <v>940</v>
      </c>
      <c r="B942" s="2">
        <v>8957</v>
      </c>
      <c r="C942" s="2">
        <v>1952</v>
      </c>
      <c r="D942" s="3" t="s">
        <v>17</v>
      </c>
      <c r="E942" s="3" t="s">
        <v>10</v>
      </c>
      <c r="F942" s="2">
        <v>64831</v>
      </c>
      <c r="G942" s="2">
        <v>1</v>
      </c>
      <c r="H942" s="2">
        <v>1</v>
      </c>
      <c r="I942" s="4">
        <v>41435</v>
      </c>
      <c r="J942" s="2">
        <v>51</v>
      </c>
    </row>
    <row r="943" spans="1:10" ht="12.5">
      <c r="A943" s="2">
        <v>941</v>
      </c>
      <c r="B943" s="2">
        <v>4128</v>
      </c>
      <c r="C943" s="2">
        <v>1962</v>
      </c>
      <c r="D943" s="3" t="s">
        <v>12</v>
      </c>
      <c r="E943" s="3" t="s">
        <v>11</v>
      </c>
      <c r="F943" s="2">
        <v>56067</v>
      </c>
      <c r="G943" s="2">
        <v>0</v>
      </c>
      <c r="H943" s="2">
        <v>1</v>
      </c>
      <c r="I943" s="4">
        <v>41475</v>
      </c>
      <c r="J943" s="2">
        <v>51</v>
      </c>
    </row>
    <row r="944" spans="1:10" ht="12.5">
      <c r="A944" s="2">
        <v>942</v>
      </c>
      <c r="B944" s="2">
        <v>6810</v>
      </c>
      <c r="C944" s="2">
        <v>1983</v>
      </c>
      <c r="D944" s="3" t="s">
        <v>9</v>
      </c>
      <c r="E944" s="3" t="s">
        <v>15</v>
      </c>
      <c r="F944" s="2">
        <v>82025</v>
      </c>
      <c r="G944" s="2">
        <v>0</v>
      </c>
      <c r="H944" s="2">
        <v>0</v>
      </c>
      <c r="I944" s="4">
        <v>41422</v>
      </c>
      <c r="J944" s="2">
        <v>76</v>
      </c>
    </row>
    <row r="945" spans="1:10" ht="12.5">
      <c r="A945" s="2">
        <v>943</v>
      </c>
      <c r="B945" s="2">
        <v>5386</v>
      </c>
      <c r="C945" s="2">
        <v>1953</v>
      </c>
      <c r="D945" s="3" t="s">
        <v>9</v>
      </c>
      <c r="E945" s="3" t="s">
        <v>11</v>
      </c>
      <c r="F945" s="2">
        <v>94384</v>
      </c>
      <c r="G945" s="2">
        <v>0</v>
      </c>
      <c r="H945" s="2">
        <v>0</v>
      </c>
      <c r="I945" s="4">
        <v>41337</v>
      </c>
      <c r="J945" s="2">
        <v>62</v>
      </c>
    </row>
    <row r="946" spans="1:10" ht="12.5">
      <c r="A946" s="2">
        <v>944</v>
      </c>
      <c r="B946" s="2">
        <v>8700</v>
      </c>
      <c r="C946" s="2">
        <v>1986</v>
      </c>
      <c r="D946" s="3" t="s">
        <v>16</v>
      </c>
      <c r="E946" s="3" t="s">
        <v>10</v>
      </c>
      <c r="F946" s="2">
        <v>14906</v>
      </c>
      <c r="G946" s="2">
        <v>0</v>
      </c>
      <c r="H946" s="2">
        <v>0</v>
      </c>
      <c r="I946" s="5">
        <v>41265</v>
      </c>
      <c r="J946" s="2">
        <v>86</v>
      </c>
    </row>
    <row r="947" spans="1:10" ht="12.5">
      <c r="A947" s="2">
        <v>945</v>
      </c>
      <c r="B947" s="2">
        <v>3202</v>
      </c>
      <c r="C947" s="2">
        <v>1987</v>
      </c>
      <c r="D947" s="3" t="s">
        <v>12</v>
      </c>
      <c r="E947" s="3" t="s">
        <v>13</v>
      </c>
      <c r="F947" s="2">
        <v>51563</v>
      </c>
      <c r="G947" s="2">
        <v>0</v>
      </c>
      <c r="H947" s="2">
        <v>0</v>
      </c>
      <c r="I947" s="4">
        <v>41183</v>
      </c>
      <c r="J947" s="2">
        <v>60</v>
      </c>
    </row>
    <row r="948" spans="1:10" ht="12.5">
      <c r="A948" s="2">
        <v>946</v>
      </c>
      <c r="B948" s="2">
        <v>1328</v>
      </c>
      <c r="C948" s="2">
        <v>1982</v>
      </c>
      <c r="D948" s="3" t="s">
        <v>17</v>
      </c>
      <c r="E948" s="3" t="s">
        <v>13</v>
      </c>
      <c r="F948" s="2">
        <v>57937</v>
      </c>
      <c r="G948" s="2">
        <v>0</v>
      </c>
      <c r="H948" s="2">
        <v>1</v>
      </c>
      <c r="I948" s="4">
        <v>41686</v>
      </c>
      <c r="J948" s="2">
        <v>56</v>
      </c>
    </row>
    <row r="949" spans="1:10" ht="12.5">
      <c r="A949" s="2">
        <v>947</v>
      </c>
      <c r="B949" s="2">
        <v>8405</v>
      </c>
      <c r="C949" s="2">
        <v>1979</v>
      </c>
      <c r="D949" s="3" t="s">
        <v>9</v>
      </c>
      <c r="E949" s="3" t="s">
        <v>15</v>
      </c>
      <c r="F949" s="2">
        <v>68274</v>
      </c>
      <c r="G949" s="2">
        <v>1</v>
      </c>
      <c r="H949" s="2">
        <v>1</v>
      </c>
      <c r="I949" s="4">
        <v>41547</v>
      </c>
      <c r="J949" s="2">
        <v>83</v>
      </c>
    </row>
    <row r="950" spans="1:10" ht="12.5">
      <c r="A950" s="2">
        <v>948</v>
      </c>
      <c r="B950" s="2">
        <v>6515</v>
      </c>
      <c r="C950" s="2">
        <v>1977</v>
      </c>
      <c r="D950" s="3" t="s">
        <v>9</v>
      </c>
      <c r="E950" s="3" t="s">
        <v>11</v>
      </c>
      <c r="F950" s="2">
        <v>39771</v>
      </c>
      <c r="G950" s="2">
        <v>1</v>
      </c>
      <c r="H950" s="2">
        <v>0</v>
      </c>
      <c r="I950" s="4">
        <v>41614</v>
      </c>
      <c r="J950" s="2">
        <v>92</v>
      </c>
    </row>
    <row r="951" spans="1:10" ht="12.5">
      <c r="A951" s="2">
        <v>949</v>
      </c>
      <c r="B951" s="2">
        <v>2882</v>
      </c>
      <c r="C951" s="2">
        <v>1975</v>
      </c>
      <c r="D951" s="3" t="s">
        <v>17</v>
      </c>
      <c r="E951" s="3" t="s">
        <v>15</v>
      </c>
      <c r="F951" s="2">
        <v>67893</v>
      </c>
      <c r="G951" s="2">
        <v>0</v>
      </c>
      <c r="H951" s="2">
        <v>1</v>
      </c>
      <c r="I951" s="4">
        <v>41183</v>
      </c>
      <c r="J951" s="2">
        <v>31</v>
      </c>
    </row>
    <row r="952" spans="1:10" ht="12.5">
      <c r="A952" s="2">
        <v>950</v>
      </c>
      <c r="B952" s="2">
        <v>7574</v>
      </c>
      <c r="C952" s="2">
        <v>1979</v>
      </c>
      <c r="D952" s="3" t="s">
        <v>12</v>
      </c>
      <c r="E952" s="3" t="s">
        <v>11</v>
      </c>
      <c r="F952" s="2">
        <v>27922</v>
      </c>
      <c r="G952" s="2">
        <v>1</v>
      </c>
      <c r="H952" s="2">
        <v>0</v>
      </c>
      <c r="I952" s="4">
        <v>41769</v>
      </c>
      <c r="J952" s="2">
        <v>80</v>
      </c>
    </row>
    <row r="953" spans="1:10" ht="12.5">
      <c r="A953" s="2">
        <v>951</v>
      </c>
      <c r="B953" s="2">
        <v>6387</v>
      </c>
      <c r="C953" s="2">
        <v>1976</v>
      </c>
      <c r="D953" s="3" t="s">
        <v>12</v>
      </c>
      <c r="E953" s="3" t="s">
        <v>11</v>
      </c>
      <c r="F953" s="2">
        <v>52190</v>
      </c>
      <c r="G953" s="2">
        <v>1</v>
      </c>
      <c r="H953" s="2">
        <v>1</v>
      </c>
      <c r="I953" s="4">
        <v>41767</v>
      </c>
      <c r="J953" s="2">
        <v>39</v>
      </c>
    </row>
    <row r="954" spans="1:10" ht="12.5">
      <c r="A954" s="2">
        <v>952</v>
      </c>
      <c r="B954" s="2">
        <v>5320</v>
      </c>
      <c r="C954" s="2">
        <v>1973</v>
      </c>
      <c r="D954" s="3" t="s">
        <v>14</v>
      </c>
      <c r="E954" s="3" t="s">
        <v>15</v>
      </c>
      <c r="F954" s="2">
        <v>44051</v>
      </c>
      <c r="G954" s="2">
        <v>1</v>
      </c>
      <c r="H954" s="2">
        <v>1</v>
      </c>
      <c r="I954" s="4">
        <v>41303</v>
      </c>
      <c r="J954" s="2">
        <v>20</v>
      </c>
    </row>
    <row r="955" spans="1:10" ht="12.5">
      <c r="A955" s="2">
        <v>953</v>
      </c>
      <c r="B955" s="2">
        <v>5048</v>
      </c>
      <c r="C955" s="2">
        <v>1971</v>
      </c>
      <c r="D955" s="3" t="s">
        <v>12</v>
      </c>
      <c r="E955" s="3" t="s">
        <v>10</v>
      </c>
      <c r="F955" s="2">
        <v>42767</v>
      </c>
      <c r="G955" s="2">
        <v>2</v>
      </c>
      <c r="H955" s="2">
        <v>0</v>
      </c>
      <c r="I955" s="4">
        <v>41405</v>
      </c>
      <c r="J955" s="2">
        <v>53</v>
      </c>
    </row>
    <row r="956" spans="1:10" ht="12.5">
      <c r="A956" s="2">
        <v>954</v>
      </c>
      <c r="B956" s="2">
        <v>8146</v>
      </c>
      <c r="C956" s="2">
        <v>1976</v>
      </c>
      <c r="D956" s="3" t="s">
        <v>14</v>
      </c>
      <c r="E956" s="3" t="s">
        <v>11</v>
      </c>
      <c r="F956" s="2">
        <v>46106</v>
      </c>
      <c r="G956" s="2">
        <v>1</v>
      </c>
      <c r="H956" s="2">
        <v>1</v>
      </c>
      <c r="I956" s="4">
        <v>41770</v>
      </c>
      <c r="J956" s="2">
        <v>84</v>
      </c>
    </row>
    <row r="957" spans="1:10" ht="12.5">
      <c r="A957" s="2">
        <v>955</v>
      </c>
      <c r="B957" s="2">
        <v>10031</v>
      </c>
      <c r="C957" s="2">
        <v>1976</v>
      </c>
      <c r="D957" s="3" t="s">
        <v>12</v>
      </c>
      <c r="E957" s="3" t="s">
        <v>13</v>
      </c>
      <c r="F957" s="2">
        <v>16927</v>
      </c>
      <c r="G957" s="2">
        <v>1</v>
      </c>
      <c r="H957" s="2">
        <v>1</v>
      </c>
      <c r="I957" s="4">
        <v>41315</v>
      </c>
      <c r="J957" s="2">
        <v>50</v>
      </c>
    </row>
    <row r="958" spans="1:10" ht="12.5">
      <c r="A958" s="2">
        <v>956</v>
      </c>
      <c r="B958" s="2">
        <v>5748</v>
      </c>
      <c r="C958" s="2">
        <v>1965</v>
      </c>
      <c r="D958" s="3" t="s">
        <v>9</v>
      </c>
      <c r="E958" s="3" t="s">
        <v>13</v>
      </c>
      <c r="F958" s="2">
        <v>59754</v>
      </c>
      <c r="G958" s="2">
        <v>0</v>
      </c>
      <c r="H958" s="2">
        <v>1</v>
      </c>
      <c r="I958" s="4">
        <v>41244</v>
      </c>
      <c r="J958" s="2">
        <v>96</v>
      </c>
    </row>
    <row r="959" spans="1:10" ht="12.5">
      <c r="A959" s="2">
        <v>957</v>
      </c>
      <c r="B959" s="2">
        <v>2134</v>
      </c>
      <c r="C959" s="2">
        <v>1952</v>
      </c>
      <c r="D959" s="3" t="s">
        <v>9</v>
      </c>
      <c r="E959" s="3" t="s">
        <v>10</v>
      </c>
      <c r="F959" s="2">
        <v>53700</v>
      </c>
      <c r="G959" s="2">
        <v>0</v>
      </c>
      <c r="H959" s="2">
        <v>1</v>
      </c>
      <c r="I959" s="4">
        <v>41138</v>
      </c>
      <c r="J959" s="2">
        <v>94</v>
      </c>
    </row>
    <row r="960" spans="1:10" ht="12.5">
      <c r="A960" s="2">
        <v>958</v>
      </c>
      <c r="B960" s="2">
        <v>1523</v>
      </c>
      <c r="C960" s="2">
        <v>1973</v>
      </c>
      <c r="D960" s="3" t="s">
        <v>9</v>
      </c>
      <c r="E960" s="3" t="s">
        <v>13</v>
      </c>
      <c r="F960" s="2">
        <v>59041</v>
      </c>
      <c r="G960" s="2">
        <v>1</v>
      </c>
      <c r="H960" s="2">
        <v>1</v>
      </c>
      <c r="I960" s="4">
        <v>41766</v>
      </c>
      <c r="J960" s="2">
        <v>25</v>
      </c>
    </row>
    <row r="961" spans="1:10" ht="12.5">
      <c r="A961" s="2">
        <v>959</v>
      </c>
      <c r="B961" s="2">
        <v>9665</v>
      </c>
      <c r="C961" s="2">
        <v>1957</v>
      </c>
      <c r="D961" s="3" t="s">
        <v>12</v>
      </c>
      <c r="E961" s="3" t="s">
        <v>15</v>
      </c>
      <c r="F961" s="2">
        <v>54237</v>
      </c>
      <c r="G961" s="2">
        <v>0</v>
      </c>
      <c r="H961" s="2">
        <v>1</v>
      </c>
      <c r="I961" s="4">
        <v>41391</v>
      </c>
      <c r="J961" s="2">
        <v>48</v>
      </c>
    </row>
    <row r="962" spans="1:10" ht="12.5">
      <c r="A962" s="2">
        <v>960</v>
      </c>
      <c r="B962" s="2">
        <v>4640</v>
      </c>
      <c r="C962" s="2">
        <v>1967</v>
      </c>
      <c r="D962" s="3" t="s">
        <v>9</v>
      </c>
      <c r="E962" s="3" t="s">
        <v>15</v>
      </c>
      <c r="F962" s="2">
        <v>70647</v>
      </c>
      <c r="G962" s="2">
        <v>0</v>
      </c>
      <c r="H962" s="2">
        <v>1</v>
      </c>
      <c r="I962" s="4">
        <v>41173</v>
      </c>
      <c r="J962" s="2">
        <v>65</v>
      </c>
    </row>
    <row r="963" spans="1:10" ht="12.5">
      <c r="A963" s="2">
        <v>961</v>
      </c>
      <c r="B963" s="2">
        <v>3635</v>
      </c>
      <c r="C963" s="2">
        <v>1962</v>
      </c>
      <c r="D963" s="3" t="s">
        <v>12</v>
      </c>
      <c r="E963" s="3" t="s">
        <v>10</v>
      </c>
      <c r="F963" s="2">
        <v>52597</v>
      </c>
      <c r="G963" s="2">
        <v>0</v>
      </c>
      <c r="H963" s="2">
        <v>1</v>
      </c>
      <c r="I963" s="4">
        <v>41766</v>
      </c>
      <c r="J963" s="2">
        <v>69</v>
      </c>
    </row>
    <row r="964" spans="1:10" ht="12.5">
      <c r="A964" s="2">
        <v>962</v>
      </c>
      <c r="B964" s="2">
        <v>3547</v>
      </c>
      <c r="C964" s="2">
        <v>1969</v>
      </c>
      <c r="D964" s="3" t="s">
        <v>14</v>
      </c>
      <c r="E964" s="3" t="s">
        <v>11</v>
      </c>
      <c r="F964" s="2">
        <v>41021</v>
      </c>
      <c r="G964" s="2">
        <v>1</v>
      </c>
      <c r="H964" s="2">
        <v>0</v>
      </c>
      <c r="I964" s="5">
        <v>41273</v>
      </c>
      <c r="J964" s="2">
        <v>12</v>
      </c>
    </row>
    <row r="965" spans="1:10" ht="12.5">
      <c r="A965" s="2">
        <v>963</v>
      </c>
      <c r="B965" s="2">
        <v>2456</v>
      </c>
      <c r="C965" s="2">
        <v>1975</v>
      </c>
      <c r="D965" s="3" t="s">
        <v>12</v>
      </c>
      <c r="E965" s="3" t="s">
        <v>13</v>
      </c>
      <c r="F965" s="2">
        <v>40233</v>
      </c>
      <c r="G965" s="2">
        <v>0</v>
      </c>
      <c r="H965" s="2">
        <v>1</v>
      </c>
      <c r="I965" s="5">
        <v>41561</v>
      </c>
      <c r="J965" s="2">
        <v>84</v>
      </c>
    </row>
    <row r="966" spans="1:10" ht="12.5">
      <c r="A966" s="2">
        <v>964</v>
      </c>
      <c r="B966" s="2">
        <v>5633</v>
      </c>
      <c r="C966" s="2">
        <v>1980</v>
      </c>
      <c r="D966" s="3" t="s">
        <v>9</v>
      </c>
      <c r="E966" s="3" t="s">
        <v>13</v>
      </c>
      <c r="F966" s="2">
        <v>50183</v>
      </c>
      <c r="G966" s="2">
        <v>1</v>
      </c>
      <c r="H966" s="2">
        <v>1</v>
      </c>
      <c r="I966" s="4">
        <v>41815</v>
      </c>
      <c r="J966" s="2">
        <v>47</v>
      </c>
    </row>
    <row r="967" spans="1:10" ht="12.5">
      <c r="A967" s="2">
        <v>965</v>
      </c>
      <c r="B967" s="2">
        <v>7801</v>
      </c>
      <c r="C967" s="2">
        <v>1959</v>
      </c>
      <c r="D967" s="3" t="s">
        <v>9</v>
      </c>
      <c r="E967" s="3" t="s">
        <v>11</v>
      </c>
      <c r="F967" s="2">
        <v>54753</v>
      </c>
      <c r="G967" s="2">
        <v>0</v>
      </c>
      <c r="H967" s="2">
        <v>1</v>
      </c>
      <c r="I967" s="4">
        <v>41529</v>
      </c>
      <c r="J967" s="2">
        <v>87</v>
      </c>
    </row>
    <row r="968" spans="1:10" ht="12.5">
      <c r="A968" s="2">
        <v>966</v>
      </c>
      <c r="B968" s="2">
        <v>10489</v>
      </c>
      <c r="C968" s="2">
        <v>1973</v>
      </c>
      <c r="D968" s="3" t="s">
        <v>9</v>
      </c>
      <c r="E968" s="3" t="s">
        <v>13</v>
      </c>
      <c r="F968" s="2">
        <v>92955</v>
      </c>
      <c r="G968" s="2">
        <v>0</v>
      </c>
      <c r="H968" s="2">
        <v>0</v>
      </c>
      <c r="I968" s="4">
        <v>41505</v>
      </c>
      <c r="J968" s="2">
        <v>35</v>
      </c>
    </row>
    <row r="969" spans="1:10" ht="12.5">
      <c r="A969" s="2">
        <v>967</v>
      </c>
      <c r="B969" s="2">
        <v>7011</v>
      </c>
      <c r="C969" s="2">
        <v>1973</v>
      </c>
      <c r="D969" s="3" t="s">
        <v>9</v>
      </c>
      <c r="E969" s="3" t="s">
        <v>13</v>
      </c>
      <c r="F969" s="2">
        <v>33471</v>
      </c>
      <c r="G969" s="2">
        <v>1</v>
      </c>
      <c r="H969" s="2">
        <v>0</v>
      </c>
      <c r="I969" s="5">
        <v>41194</v>
      </c>
      <c r="J969" s="2">
        <v>47</v>
      </c>
    </row>
    <row r="970" spans="1:10" ht="12.5">
      <c r="A970" s="2">
        <v>968</v>
      </c>
      <c r="B970" s="2">
        <v>2620</v>
      </c>
      <c r="C970" s="2">
        <v>1974</v>
      </c>
      <c r="D970" s="3" t="s">
        <v>12</v>
      </c>
      <c r="E970" s="3" t="s">
        <v>13</v>
      </c>
      <c r="F970" s="2">
        <v>34596</v>
      </c>
      <c r="G970" s="2">
        <v>1</v>
      </c>
      <c r="H970" s="2">
        <v>0</v>
      </c>
      <c r="I970" s="4">
        <v>41377</v>
      </c>
      <c r="J970" s="2">
        <v>48</v>
      </c>
    </row>
    <row r="971" spans="1:10" ht="12.5">
      <c r="A971" s="2">
        <v>969</v>
      </c>
      <c r="B971" s="2">
        <v>3933</v>
      </c>
      <c r="C971" s="2">
        <v>1980</v>
      </c>
      <c r="D971" s="3" t="s">
        <v>9</v>
      </c>
      <c r="E971" s="3" t="s">
        <v>11</v>
      </c>
      <c r="F971" s="2">
        <v>44010</v>
      </c>
      <c r="G971" s="2">
        <v>1</v>
      </c>
      <c r="H971" s="2">
        <v>0</v>
      </c>
      <c r="I971" s="5">
        <v>41195</v>
      </c>
      <c r="J971" s="2">
        <v>46</v>
      </c>
    </row>
    <row r="972" spans="1:10" ht="12.5">
      <c r="A972" s="2">
        <v>970</v>
      </c>
      <c r="B972" s="2">
        <v>10981</v>
      </c>
      <c r="C972" s="2">
        <v>1988</v>
      </c>
      <c r="D972" s="3" t="s">
        <v>9</v>
      </c>
      <c r="E972" s="3" t="s">
        <v>13</v>
      </c>
      <c r="F972" s="2">
        <v>84219</v>
      </c>
      <c r="G972" s="2">
        <v>0</v>
      </c>
      <c r="H972" s="2">
        <v>0</v>
      </c>
      <c r="I972" s="4">
        <v>41672</v>
      </c>
      <c r="J972" s="2">
        <v>27</v>
      </c>
    </row>
    <row r="973" spans="1:10" ht="12.5">
      <c r="A973" s="2">
        <v>971</v>
      </c>
      <c r="B973" s="2">
        <v>1734</v>
      </c>
      <c r="C973" s="2">
        <v>1968</v>
      </c>
      <c r="D973" s="3" t="s">
        <v>12</v>
      </c>
      <c r="E973" s="3" t="s">
        <v>11</v>
      </c>
      <c r="F973" s="2">
        <v>40706</v>
      </c>
      <c r="G973" s="2">
        <v>2</v>
      </c>
      <c r="H973" s="2">
        <v>1</v>
      </c>
      <c r="I973" s="4">
        <v>41291</v>
      </c>
      <c r="J973" s="2">
        <v>37</v>
      </c>
    </row>
    <row r="974" spans="1:10" ht="12.5">
      <c r="A974" s="2">
        <v>972</v>
      </c>
      <c r="B974" s="2">
        <v>10995</v>
      </c>
      <c r="C974" s="2">
        <v>1988</v>
      </c>
      <c r="D974" s="3" t="s">
        <v>17</v>
      </c>
      <c r="E974" s="3" t="s">
        <v>13</v>
      </c>
      <c r="F974" s="2">
        <v>15716</v>
      </c>
      <c r="G974" s="2">
        <v>1</v>
      </c>
      <c r="H974" s="2">
        <v>0</v>
      </c>
      <c r="I974" s="5">
        <v>41225</v>
      </c>
      <c r="J974" s="2">
        <v>8</v>
      </c>
    </row>
    <row r="975" spans="1:10" ht="12.5">
      <c r="A975" s="2">
        <v>973</v>
      </c>
      <c r="B975" s="2">
        <v>6357</v>
      </c>
      <c r="C975" s="2">
        <v>1959</v>
      </c>
      <c r="D975" s="3" t="s">
        <v>17</v>
      </c>
      <c r="E975" s="3" t="s">
        <v>15</v>
      </c>
      <c r="F975" s="2">
        <v>59052</v>
      </c>
      <c r="G975" s="2">
        <v>0</v>
      </c>
      <c r="H975" s="2">
        <v>1</v>
      </c>
      <c r="I975" s="5">
        <v>41595</v>
      </c>
      <c r="J975" s="2">
        <v>29</v>
      </c>
    </row>
    <row r="976" spans="1:10" ht="12.5">
      <c r="A976" s="2">
        <v>974</v>
      </c>
      <c r="B976" s="2">
        <v>9209</v>
      </c>
      <c r="C976" s="2">
        <v>1971</v>
      </c>
      <c r="D976" s="3" t="s">
        <v>14</v>
      </c>
      <c r="E976" s="3" t="s">
        <v>11</v>
      </c>
      <c r="F976" s="2">
        <v>80573</v>
      </c>
      <c r="G976" s="2">
        <v>0</v>
      </c>
      <c r="H976" s="2">
        <v>0</v>
      </c>
      <c r="I976" s="5">
        <v>41196</v>
      </c>
      <c r="J976" s="2">
        <v>85</v>
      </c>
    </row>
    <row r="977" spans="1:10" ht="12.5">
      <c r="A977" s="2">
        <v>975</v>
      </c>
      <c r="B977" s="2">
        <v>10286</v>
      </c>
      <c r="C977" s="2">
        <v>1962</v>
      </c>
      <c r="D977" s="3" t="s">
        <v>9</v>
      </c>
      <c r="E977" s="3" t="s">
        <v>13</v>
      </c>
      <c r="F977" s="2">
        <v>83715</v>
      </c>
      <c r="G977" s="2">
        <v>0</v>
      </c>
      <c r="H977" s="2">
        <v>0</v>
      </c>
      <c r="I977" s="4">
        <v>41673</v>
      </c>
      <c r="J977" s="2">
        <v>2</v>
      </c>
    </row>
    <row r="978" spans="1:10" ht="12.5">
      <c r="A978" s="2">
        <v>976</v>
      </c>
      <c r="B978" s="2">
        <v>2611</v>
      </c>
      <c r="C978" s="2">
        <v>1959</v>
      </c>
      <c r="D978" s="3" t="s">
        <v>14</v>
      </c>
      <c r="E978" s="3" t="s">
        <v>11</v>
      </c>
      <c r="F978" s="2">
        <v>82576</v>
      </c>
      <c r="G978" s="2">
        <v>0</v>
      </c>
      <c r="H978" s="2">
        <v>0</v>
      </c>
      <c r="I978" s="4">
        <v>41122</v>
      </c>
      <c r="J978" s="2">
        <v>66</v>
      </c>
    </row>
    <row r="979" spans="1:10" ht="12.5">
      <c r="A979" s="2">
        <v>977</v>
      </c>
      <c r="B979" s="2">
        <v>1600</v>
      </c>
      <c r="C979" s="2">
        <v>1965</v>
      </c>
      <c r="D979" s="3" t="s">
        <v>14</v>
      </c>
      <c r="E979" s="3" t="s">
        <v>13</v>
      </c>
      <c r="F979" s="2">
        <v>56962</v>
      </c>
      <c r="G979" s="2">
        <v>2</v>
      </c>
      <c r="H979" s="2">
        <v>1</v>
      </c>
      <c r="I979" s="5">
        <v>41558</v>
      </c>
      <c r="J979" s="2">
        <v>60</v>
      </c>
    </row>
    <row r="980" spans="1:10" ht="12.5">
      <c r="A980" s="2">
        <v>978</v>
      </c>
      <c r="B980" s="2">
        <v>3308</v>
      </c>
      <c r="C980" s="2">
        <v>1952</v>
      </c>
      <c r="D980" s="3" t="s">
        <v>9</v>
      </c>
      <c r="E980" s="3" t="s">
        <v>13</v>
      </c>
      <c r="F980" s="2">
        <v>35704</v>
      </c>
      <c r="G980" s="2">
        <v>1</v>
      </c>
      <c r="H980" s="2">
        <v>1</v>
      </c>
      <c r="I980" s="4">
        <v>41642</v>
      </c>
      <c r="J980" s="2">
        <v>54</v>
      </c>
    </row>
    <row r="981" spans="1:10" ht="12.5">
      <c r="A981" s="2">
        <v>979</v>
      </c>
      <c r="B981" s="2">
        <v>5407</v>
      </c>
      <c r="C981" s="2">
        <v>1954</v>
      </c>
      <c r="D981" s="3" t="s">
        <v>9</v>
      </c>
      <c r="E981" s="3" t="s">
        <v>11</v>
      </c>
      <c r="F981" s="2">
        <v>53103</v>
      </c>
      <c r="G981" s="2">
        <v>0</v>
      </c>
      <c r="H981" s="2">
        <v>1</v>
      </c>
      <c r="I981" s="4">
        <v>41529</v>
      </c>
      <c r="J981" s="2">
        <v>70</v>
      </c>
    </row>
    <row r="982" spans="1:10" ht="12.5">
      <c r="A982" s="2">
        <v>980</v>
      </c>
      <c r="B982" s="2">
        <v>2166</v>
      </c>
      <c r="C982" s="2">
        <v>1960</v>
      </c>
      <c r="D982" s="3" t="s">
        <v>17</v>
      </c>
      <c r="E982" s="3" t="s">
        <v>18</v>
      </c>
      <c r="F982" s="2">
        <v>46779</v>
      </c>
      <c r="G982" s="2">
        <v>1</v>
      </c>
      <c r="H982" s="2">
        <v>1</v>
      </c>
      <c r="I982" s="4">
        <v>41467</v>
      </c>
      <c r="J982" s="2">
        <v>55</v>
      </c>
    </row>
    <row r="983" spans="1:10" ht="12.5">
      <c r="A983" s="2">
        <v>981</v>
      </c>
      <c r="B983" s="2">
        <v>3955</v>
      </c>
      <c r="C983" s="2">
        <v>1965</v>
      </c>
      <c r="D983" s="3" t="s">
        <v>9</v>
      </c>
      <c r="E983" s="3" t="s">
        <v>15</v>
      </c>
      <c r="F983" s="2">
        <v>4861</v>
      </c>
      <c r="G983" s="2">
        <v>0</v>
      </c>
      <c r="H983" s="2">
        <v>0</v>
      </c>
      <c r="I983" s="4">
        <v>41812</v>
      </c>
      <c r="J983" s="2">
        <v>20</v>
      </c>
    </row>
    <row r="984" spans="1:10" ht="12.5">
      <c r="A984" s="2">
        <v>982</v>
      </c>
      <c r="B984" s="2">
        <v>6634</v>
      </c>
      <c r="C984" s="2">
        <v>1979</v>
      </c>
      <c r="D984" s="3" t="s">
        <v>14</v>
      </c>
      <c r="E984" s="3" t="s">
        <v>15</v>
      </c>
      <c r="F984" s="2">
        <v>33462</v>
      </c>
      <c r="G984" s="2">
        <v>1</v>
      </c>
      <c r="H984" s="2">
        <v>0</v>
      </c>
      <c r="I984" s="4">
        <v>41493</v>
      </c>
      <c r="J984" s="2">
        <v>78</v>
      </c>
    </row>
    <row r="985" spans="1:10" ht="12.5">
      <c r="A985" s="2">
        <v>983</v>
      </c>
      <c r="B985" s="2">
        <v>3056</v>
      </c>
      <c r="C985" s="2">
        <v>1978</v>
      </c>
      <c r="D985" s="3" t="s">
        <v>9</v>
      </c>
      <c r="E985" s="3" t="s">
        <v>15</v>
      </c>
      <c r="F985" s="2">
        <v>63693</v>
      </c>
      <c r="G985" s="2">
        <v>0</v>
      </c>
      <c r="H985" s="2">
        <v>1</v>
      </c>
      <c r="I985" s="5">
        <v>41561</v>
      </c>
      <c r="J985" s="2">
        <v>63</v>
      </c>
    </row>
    <row r="986" spans="1:10" ht="12.5">
      <c r="A986" s="2">
        <v>984</v>
      </c>
      <c r="B986" s="2">
        <v>5718</v>
      </c>
      <c r="C986" s="2">
        <v>1950</v>
      </c>
      <c r="D986" s="3" t="s">
        <v>9</v>
      </c>
      <c r="E986" s="3" t="s">
        <v>13</v>
      </c>
      <c r="F986" s="2">
        <v>80763</v>
      </c>
      <c r="G986" s="2">
        <v>0</v>
      </c>
      <c r="H986" s="2">
        <v>0</v>
      </c>
      <c r="I986" s="4">
        <v>41501</v>
      </c>
      <c r="J986" s="2">
        <v>17</v>
      </c>
    </row>
    <row r="987" spans="1:10" ht="12.5">
      <c r="A987" s="2">
        <v>985</v>
      </c>
      <c r="B987" s="2">
        <v>6872</v>
      </c>
      <c r="C987" s="2">
        <v>1974</v>
      </c>
      <c r="D987" s="3" t="s">
        <v>12</v>
      </c>
      <c r="E987" s="3" t="s">
        <v>13</v>
      </c>
      <c r="F987" s="2">
        <v>65352</v>
      </c>
      <c r="G987" s="2">
        <v>0</v>
      </c>
      <c r="H987" s="2">
        <v>1</v>
      </c>
      <c r="I987" s="4">
        <v>41507</v>
      </c>
      <c r="J987" s="2">
        <v>43</v>
      </c>
    </row>
    <row r="988" spans="1:10" ht="12.5">
      <c r="A988" s="2">
        <v>986</v>
      </c>
      <c r="B988" s="2">
        <v>8164</v>
      </c>
      <c r="C988" s="2">
        <v>1978</v>
      </c>
      <c r="D988" s="3" t="s">
        <v>12</v>
      </c>
      <c r="E988" s="3" t="s">
        <v>13</v>
      </c>
      <c r="F988" s="2">
        <v>82170</v>
      </c>
      <c r="G988" s="2">
        <v>0</v>
      </c>
      <c r="H988" s="2">
        <v>0</v>
      </c>
      <c r="I988" s="5">
        <v>41603</v>
      </c>
      <c r="J988" s="2">
        <v>13</v>
      </c>
    </row>
    <row r="989" spans="1:10" ht="12.5">
      <c r="A989" s="2">
        <v>987</v>
      </c>
      <c r="B989" s="2">
        <v>4580</v>
      </c>
      <c r="C989" s="2">
        <v>1969</v>
      </c>
      <c r="D989" s="3" t="s">
        <v>9</v>
      </c>
      <c r="E989" s="3" t="s">
        <v>13</v>
      </c>
      <c r="F989" s="2">
        <v>75759</v>
      </c>
      <c r="G989" s="2">
        <v>0</v>
      </c>
      <c r="H989" s="2">
        <v>0</v>
      </c>
      <c r="I989" s="5">
        <v>41572</v>
      </c>
      <c r="J989" s="2">
        <v>46</v>
      </c>
    </row>
    <row r="990" spans="1:10" ht="12.5">
      <c r="A990" s="2">
        <v>988</v>
      </c>
      <c r="B990" s="2">
        <v>9305</v>
      </c>
      <c r="C990" s="2">
        <v>1976</v>
      </c>
      <c r="D990" s="3" t="s">
        <v>17</v>
      </c>
      <c r="E990" s="3" t="s">
        <v>10</v>
      </c>
      <c r="F990" s="2">
        <v>79689</v>
      </c>
      <c r="G990" s="2">
        <v>0</v>
      </c>
      <c r="H990" s="2">
        <v>0</v>
      </c>
      <c r="I990" s="4">
        <v>41406</v>
      </c>
      <c r="J990" s="2">
        <v>65</v>
      </c>
    </row>
    <row r="991" spans="1:10" ht="12.5">
      <c r="A991" s="2">
        <v>989</v>
      </c>
      <c r="B991" s="2">
        <v>453</v>
      </c>
      <c r="C991" s="2">
        <v>1956</v>
      </c>
      <c r="D991" s="3" t="s">
        <v>12</v>
      </c>
      <c r="E991" s="3" t="s">
        <v>18</v>
      </c>
      <c r="F991" s="2">
        <v>35340</v>
      </c>
      <c r="G991" s="2">
        <v>1</v>
      </c>
      <c r="H991" s="2">
        <v>1</v>
      </c>
      <c r="I991" s="4">
        <v>41819</v>
      </c>
      <c r="J991" s="2">
        <v>1</v>
      </c>
    </row>
    <row r="992" spans="1:10" ht="12.5">
      <c r="A992" s="2">
        <v>990</v>
      </c>
      <c r="B992" s="2">
        <v>8545</v>
      </c>
      <c r="C992" s="2">
        <v>1954</v>
      </c>
      <c r="D992" s="3" t="s">
        <v>9</v>
      </c>
      <c r="E992" s="3" t="s">
        <v>15</v>
      </c>
      <c r="F992" s="2">
        <v>85683</v>
      </c>
      <c r="G992" s="2">
        <v>0</v>
      </c>
      <c r="H992" s="2">
        <v>0</v>
      </c>
      <c r="I992" s="4">
        <v>41719</v>
      </c>
      <c r="J992" s="2">
        <v>6</v>
      </c>
    </row>
    <row r="993" spans="1:10" ht="12.5">
      <c r="A993" s="2">
        <v>991</v>
      </c>
      <c r="B993" s="2">
        <v>9850</v>
      </c>
      <c r="C993" s="2">
        <v>1972</v>
      </c>
      <c r="D993" s="3" t="s">
        <v>17</v>
      </c>
      <c r="E993" s="3" t="s">
        <v>13</v>
      </c>
      <c r="F993" s="2">
        <v>24884</v>
      </c>
      <c r="G993" s="2">
        <v>1</v>
      </c>
      <c r="H993" s="2">
        <v>0</v>
      </c>
      <c r="I993" s="5">
        <v>41242</v>
      </c>
      <c r="J993" s="2">
        <v>32</v>
      </c>
    </row>
    <row r="994" spans="1:10" ht="12.5">
      <c r="A994" s="2">
        <v>992</v>
      </c>
      <c r="B994" s="2">
        <v>7378</v>
      </c>
      <c r="C994" s="2">
        <v>1981</v>
      </c>
      <c r="D994" s="3" t="s">
        <v>14</v>
      </c>
      <c r="E994" s="3" t="s">
        <v>11</v>
      </c>
      <c r="F994" s="2">
        <v>42021</v>
      </c>
      <c r="G994" s="2">
        <v>1</v>
      </c>
      <c r="H994" s="2">
        <v>0</v>
      </c>
      <c r="I994" s="4">
        <v>41152</v>
      </c>
      <c r="J994" s="2">
        <v>34</v>
      </c>
    </row>
    <row r="995" spans="1:10" ht="12.5">
      <c r="A995" s="2">
        <v>993</v>
      </c>
      <c r="B995" s="2">
        <v>7646</v>
      </c>
      <c r="C995" s="2">
        <v>1989</v>
      </c>
      <c r="D995" s="3" t="s">
        <v>9</v>
      </c>
      <c r="E995" s="3" t="s">
        <v>10</v>
      </c>
      <c r="F995" s="2">
        <v>64449</v>
      </c>
      <c r="G995" s="2">
        <v>1</v>
      </c>
      <c r="H995" s="2">
        <v>0</v>
      </c>
      <c r="I995" s="4">
        <v>41688</v>
      </c>
      <c r="J995" s="2">
        <v>70</v>
      </c>
    </row>
    <row r="996" spans="1:10" ht="12.5">
      <c r="A996" s="2">
        <v>994</v>
      </c>
      <c r="B996" s="2">
        <v>1640</v>
      </c>
      <c r="C996" s="2">
        <v>1954</v>
      </c>
      <c r="D996" s="3" t="s">
        <v>9</v>
      </c>
      <c r="E996" s="3" t="s">
        <v>15</v>
      </c>
      <c r="F996" s="2">
        <v>64587</v>
      </c>
      <c r="G996" s="2">
        <v>1</v>
      </c>
      <c r="H996" s="2">
        <v>1</v>
      </c>
      <c r="I996" s="4">
        <v>41812</v>
      </c>
      <c r="J996" s="2">
        <v>49</v>
      </c>
    </row>
    <row r="997" spans="1:10" ht="12.5">
      <c r="A997" s="2">
        <v>995</v>
      </c>
      <c r="B997" s="2">
        <v>5184</v>
      </c>
      <c r="C997" s="2">
        <v>1995</v>
      </c>
      <c r="D997" s="3" t="s">
        <v>9</v>
      </c>
      <c r="E997" s="3" t="s">
        <v>10</v>
      </c>
      <c r="F997" s="2">
        <v>34824</v>
      </c>
      <c r="G997" s="2">
        <v>0</v>
      </c>
      <c r="H997" s="2">
        <v>0</v>
      </c>
      <c r="I997" s="4">
        <v>41724</v>
      </c>
      <c r="J997" s="2">
        <v>65</v>
      </c>
    </row>
    <row r="998" spans="1:10" ht="12.5">
      <c r="A998" s="2">
        <v>996</v>
      </c>
      <c r="B998" s="2">
        <v>8492</v>
      </c>
      <c r="C998" s="2">
        <v>1978</v>
      </c>
      <c r="D998" s="3" t="s">
        <v>9</v>
      </c>
      <c r="E998" s="3" t="s">
        <v>11</v>
      </c>
      <c r="F998" s="2">
        <v>75437</v>
      </c>
      <c r="G998" s="2">
        <v>0</v>
      </c>
      <c r="H998" s="2">
        <v>0</v>
      </c>
      <c r="I998" s="4">
        <v>41587</v>
      </c>
      <c r="J998" s="2">
        <v>25</v>
      </c>
    </row>
    <row r="999" spans="1:10" ht="12.5">
      <c r="A999" s="2">
        <v>997</v>
      </c>
      <c r="B999" s="2">
        <v>11188</v>
      </c>
      <c r="C999" s="2">
        <v>1957</v>
      </c>
      <c r="D999" s="3" t="s">
        <v>9</v>
      </c>
      <c r="E999" s="3" t="s">
        <v>11</v>
      </c>
      <c r="F999" s="2">
        <v>26091</v>
      </c>
      <c r="G999" s="2">
        <v>1</v>
      </c>
      <c r="H999" s="2">
        <v>1</v>
      </c>
      <c r="I999" s="4">
        <v>41695</v>
      </c>
      <c r="J999" s="2">
        <v>84</v>
      </c>
    </row>
    <row r="1000" spans="1:10" ht="12.5">
      <c r="A1000" s="2">
        <v>998</v>
      </c>
      <c r="B1000" s="2">
        <v>1212</v>
      </c>
      <c r="C1000" s="2">
        <v>1973</v>
      </c>
      <c r="D1000" s="3" t="s">
        <v>9</v>
      </c>
      <c r="E1000" s="3" t="s">
        <v>13</v>
      </c>
      <c r="F1000" s="2">
        <v>52845</v>
      </c>
      <c r="G1000" s="2">
        <v>1</v>
      </c>
      <c r="H1000" s="2">
        <v>0</v>
      </c>
      <c r="I1000" s="4">
        <v>41499</v>
      </c>
      <c r="J1000" s="2">
        <v>7</v>
      </c>
    </row>
    <row r="1001" spans="1:10" ht="12.5">
      <c r="A1001" s="2">
        <v>999</v>
      </c>
      <c r="B1001" s="2">
        <v>9097</v>
      </c>
      <c r="C1001" s="2">
        <v>1956</v>
      </c>
      <c r="D1001" s="3" t="s">
        <v>9</v>
      </c>
      <c r="E1001" s="3" t="s">
        <v>15</v>
      </c>
      <c r="F1001" s="2">
        <v>46086</v>
      </c>
      <c r="G1001" s="2">
        <v>0</v>
      </c>
      <c r="H1001" s="2">
        <v>1</v>
      </c>
      <c r="I1001" s="4">
        <v>41581</v>
      </c>
      <c r="J1001" s="2">
        <v>34</v>
      </c>
    </row>
    <row r="1002" spans="1:10" ht="12.5">
      <c r="A1002" s="2">
        <v>1000</v>
      </c>
      <c r="B1002" s="2">
        <v>10473</v>
      </c>
      <c r="C1002" s="2">
        <v>1956</v>
      </c>
      <c r="D1002" s="3" t="s">
        <v>12</v>
      </c>
      <c r="E1002" s="3" t="s">
        <v>18</v>
      </c>
      <c r="F1002" s="2">
        <v>78028</v>
      </c>
      <c r="G1002" s="2">
        <v>0</v>
      </c>
      <c r="H1002" s="2">
        <v>1</v>
      </c>
      <c r="I1002" s="4">
        <v>41162</v>
      </c>
      <c r="J1002" s="2">
        <v>38</v>
      </c>
    </row>
    <row r="1003" spans="1:10" ht="12.5">
      <c r="A1003" s="2">
        <v>1001</v>
      </c>
      <c r="B1003" s="2">
        <v>7962</v>
      </c>
      <c r="C1003" s="2">
        <v>1987</v>
      </c>
      <c r="D1003" s="3" t="s">
        <v>12</v>
      </c>
      <c r="E1003" s="3" t="s">
        <v>10</v>
      </c>
      <c r="F1003" s="2">
        <v>95169</v>
      </c>
      <c r="G1003" s="2">
        <v>0</v>
      </c>
      <c r="H1003" s="2">
        <v>0</v>
      </c>
      <c r="I1003" s="4">
        <v>41556</v>
      </c>
      <c r="J1003" s="2">
        <v>1</v>
      </c>
    </row>
    <row r="1004" spans="1:10" ht="12.5">
      <c r="A1004" s="2">
        <v>1002</v>
      </c>
      <c r="B1004" s="2">
        <v>9984</v>
      </c>
      <c r="C1004" s="2">
        <v>1981</v>
      </c>
      <c r="D1004" s="3" t="s">
        <v>17</v>
      </c>
      <c r="E1004" s="3" t="s">
        <v>13</v>
      </c>
      <c r="F1004" s="2">
        <v>56337</v>
      </c>
      <c r="G1004" s="2">
        <v>1</v>
      </c>
      <c r="H1004" s="2">
        <v>1</v>
      </c>
      <c r="I1004" s="4">
        <v>41360</v>
      </c>
      <c r="J1004" s="2">
        <v>25</v>
      </c>
    </row>
    <row r="1005" spans="1:10" ht="12.5">
      <c r="A1005" s="2">
        <v>1003</v>
      </c>
      <c r="B1005" s="2">
        <v>5527</v>
      </c>
      <c r="C1005" s="2">
        <v>1987</v>
      </c>
      <c r="D1005" s="3" t="s">
        <v>9</v>
      </c>
      <c r="E1005" s="3" t="s">
        <v>11</v>
      </c>
      <c r="F1005" s="2">
        <v>22434</v>
      </c>
      <c r="G1005" s="2">
        <v>1</v>
      </c>
      <c r="H1005" s="2">
        <v>0</v>
      </c>
      <c r="I1005" s="4">
        <v>41318</v>
      </c>
      <c r="J1005" s="2">
        <v>25</v>
      </c>
    </row>
    <row r="1006" spans="1:10" ht="12.5">
      <c r="A1006" s="2">
        <v>1004</v>
      </c>
      <c r="B1006" s="2">
        <v>6374</v>
      </c>
      <c r="C1006" s="2">
        <v>1954</v>
      </c>
      <c r="D1006" s="3" t="s">
        <v>12</v>
      </c>
      <c r="E1006" s="3" t="s">
        <v>13</v>
      </c>
      <c r="F1006" s="2">
        <v>36930</v>
      </c>
      <c r="G1006" s="2">
        <v>0</v>
      </c>
      <c r="H1006" s="2">
        <v>1</v>
      </c>
      <c r="I1006" s="4">
        <v>41411</v>
      </c>
      <c r="J1006" s="2">
        <v>50</v>
      </c>
    </row>
    <row r="1007" spans="1:10" ht="12.5">
      <c r="A1007" s="2">
        <v>1005</v>
      </c>
      <c r="B1007" s="2">
        <v>7453</v>
      </c>
      <c r="C1007" s="2">
        <v>1954</v>
      </c>
      <c r="D1007" s="3" t="s">
        <v>9</v>
      </c>
      <c r="E1007" s="3" t="s">
        <v>10</v>
      </c>
      <c r="F1007" s="2">
        <v>36130</v>
      </c>
      <c r="G1007" s="2">
        <v>0</v>
      </c>
      <c r="H1007" s="2">
        <v>1</v>
      </c>
      <c r="I1007" s="4">
        <v>41307</v>
      </c>
      <c r="J1007" s="2">
        <v>46</v>
      </c>
    </row>
    <row r="1008" spans="1:10" ht="12.5">
      <c r="A1008" s="2">
        <v>1006</v>
      </c>
      <c r="B1008" s="2">
        <v>8952</v>
      </c>
      <c r="C1008" s="2">
        <v>1953</v>
      </c>
      <c r="D1008" s="3" t="s">
        <v>14</v>
      </c>
      <c r="E1008" s="3" t="s">
        <v>13</v>
      </c>
      <c r="F1008" s="2">
        <v>65569</v>
      </c>
      <c r="G1008" s="2">
        <v>0</v>
      </c>
      <c r="H1008" s="2">
        <v>1</v>
      </c>
      <c r="I1008" s="4">
        <v>41218</v>
      </c>
      <c r="J1008" s="2">
        <v>96</v>
      </c>
    </row>
    <row r="1009" spans="1:10" ht="12.5">
      <c r="A1009" s="2">
        <v>1007</v>
      </c>
      <c r="B1009" s="2">
        <v>241</v>
      </c>
      <c r="C1009" s="2">
        <v>1952</v>
      </c>
      <c r="D1009" s="3" t="s">
        <v>9</v>
      </c>
      <c r="E1009" s="3" t="s">
        <v>11</v>
      </c>
      <c r="F1009" s="2">
        <v>83844</v>
      </c>
      <c r="G1009" s="2">
        <v>0</v>
      </c>
      <c r="H1009" s="2">
        <v>0</v>
      </c>
      <c r="I1009" s="4">
        <v>41406</v>
      </c>
      <c r="J1009" s="2">
        <v>57</v>
      </c>
    </row>
    <row r="1010" spans="1:10" ht="12.5">
      <c r="A1010" s="2">
        <v>1008</v>
      </c>
      <c r="B1010" s="2">
        <v>8975</v>
      </c>
      <c r="C1010" s="2">
        <v>1968</v>
      </c>
      <c r="D1010" s="3" t="s">
        <v>9</v>
      </c>
      <c r="E1010" s="3" t="s">
        <v>13</v>
      </c>
      <c r="F1010" s="2">
        <v>19514</v>
      </c>
      <c r="G1010" s="2">
        <v>1</v>
      </c>
      <c r="H1010" s="2">
        <v>1</v>
      </c>
      <c r="I1010" s="4">
        <v>41665</v>
      </c>
      <c r="J1010" s="2">
        <v>47</v>
      </c>
    </row>
    <row r="1011" spans="1:10" ht="12.5">
      <c r="A1011" s="2">
        <v>1009</v>
      </c>
      <c r="B1011" s="2">
        <v>6119</v>
      </c>
      <c r="C1011" s="2">
        <v>1963</v>
      </c>
      <c r="D1011" s="3" t="s">
        <v>12</v>
      </c>
      <c r="E1011" s="3" t="s">
        <v>10</v>
      </c>
      <c r="F1011" s="2">
        <v>36736</v>
      </c>
      <c r="G1011" s="2">
        <v>1</v>
      </c>
      <c r="H1011" s="2">
        <v>1</v>
      </c>
      <c r="I1011" s="4">
        <v>41404</v>
      </c>
      <c r="J1011" s="2">
        <v>52</v>
      </c>
    </row>
    <row r="1012" spans="1:10" ht="12.5">
      <c r="A1012" s="2">
        <v>1010</v>
      </c>
      <c r="B1012" s="2">
        <v>5236</v>
      </c>
      <c r="C1012" s="2">
        <v>1979</v>
      </c>
      <c r="D1012" s="3" t="s">
        <v>9</v>
      </c>
      <c r="E1012" s="3" t="s">
        <v>11</v>
      </c>
      <c r="F1012" s="2">
        <v>77568</v>
      </c>
      <c r="G1012" s="2">
        <v>0</v>
      </c>
      <c r="H1012" s="2">
        <v>1</v>
      </c>
      <c r="I1012" s="4">
        <v>41146</v>
      </c>
      <c r="J1012" s="2">
        <v>30</v>
      </c>
    </row>
    <row r="1013" spans="1:10" ht="12.5">
      <c r="A1013" s="2">
        <v>1011</v>
      </c>
      <c r="B1013" s="2">
        <v>5723</v>
      </c>
      <c r="C1013" s="2">
        <v>1976</v>
      </c>
      <c r="D1013" s="3" t="s">
        <v>12</v>
      </c>
      <c r="E1013" s="3" t="s">
        <v>11</v>
      </c>
      <c r="F1013" s="2">
        <v>49187</v>
      </c>
      <c r="G1013" s="2">
        <v>0</v>
      </c>
      <c r="H1013" s="2">
        <v>1</v>
      </c>
      <c r="I1013" s="4">
        <v>41650</v>
      </c>
      <c r="J1013" s="2">
        <v>63</v>
      </c>
    </row>
    <row r="1014" spans="1:10" ht="12.5">
      <c r="A1014" s="2">
        <v>1012</v>
      </c>
      <c r="B1014" s="2">
        <v>1710</v>
      </c>
      <c r="C1014" s="2">
        <v>1978</v>
      </c>
      <c r="D1014" s="3" t="s">
        <v>9</v>
      </c>
      <c r="E1014" s="3" t="s">
        <v>10</v>
      </c>
      <c r="F1014" s="2">
        <v>30168</v>
      </c>
      <c r="G1014" s="2">
        <v>1</v>
      </c>
      <c r="H1014" s="2">
        <v>0</v>
      </c>
      <c r="I1014" s="4">
        <v>41340</v>
      </c>
      <c r="J1014" s="2">
        <v>51</v>
      </c>
    </row>
    <row r="1015" spans="1:10" ht="12.5">
      <c r="A1015" s="2">
        <v>1013</v>
      </c>
      <c r="B1015" s="2">
        <v>1970</v>
      </c>
      <c r="C1015" s="2">
        <v>1968</v>
      </c>
      <c r="D1015" s="3" t="s">
        <v>14</v>
      </c>
      <c r="E1015" s="3" t="s">
        <v>11</v>
      </c>
      <c r="F1015" s="2">
        <v>34053</v>
      </c>
      <c r="G1015" s="2">
        <v>0</v>
      </c>
      <c r="H1015" s="2">
        <v>1</v>
      </c>
      <c r="I1015" s="4">
        <v>41162</v>
      </c>
      <c r="J1015" s="2">
        <v>14</v>
      </c>
    </row>
    <row r="1016" spans="1:10" ht="12.5">
      <c r="A1016" s="2">
        <v>1014</v>
      </c>
      <c r="B1016" s="2">
        <v>5313</v>
      </c>
      <c r="C1016" s="2">
        <v>1971</v>
      </c>
      <c r="D1016" s="3" t="s">
        <v>14</v>
      </c>
      <c r="E1016" s="3" t="s">
        <v>13</v>
      </c>
      <c r="F1016" s="2">
        <v>38196</v>
      </c>
      <c r="G1016" s="2">
        <v>1</v>
      </c>
      <c r="H1016" s="2">
        <v>1</v>
      </c>
      <c r="I1016" s="4">
        <v>41747</v>
      </c>
      <c r="J1016" s="2">
        <v>20</v>
      </c>
    </row>
    <row r="1017" spans="1:10" ht="12.5">
      <c r="A1017" s="2">
        <v>1015</v>
      </c>
      <c r="B1017" s="2">
        <v>10634</v>
      </c>
      <c r="C1017" s="2">
        <v>1951</v>
      </c>
      <c r="D1017" s="3" t="s">
        <v>14</v>
      </c>
      <c r="E1017" s="3" t="s">
        <v>13</v>
      </c>
      <c r="F1017" s="2">
        <v>59412</v>
      </c>
      <c r="G1017" s="2">
        <v>0</v>
      </c>
      <c r="H1017" s="2">
        <v>0</v>
      </c>
      <c r="I1017" s="4">
        <v>41748</v>
      </c>
      <c r="J1017" s="2">
        <v>56</v>
      </c>
    </row>
    <row r="1018" spans="1:10" ht="12.5">
      <c r="A1018" s="2">
        <v>1016</v>
      </c>
      <c r="B1018" s="2">
        <v>7010</v>
      </c>
      <c r="C1018" s="2">
        <v>1965</v>
      </c>
      <c r="D1018" s="3" t="s">
        <v>17</v>
      </c>
      <c r="E1018" s="3" t="s">
        <v>13</v>
      </c>
      <c r="F1018" s="2">
        <v>70924</v>
      </c>
      <c r="G1018" s="2">
        <v>0</v>
      </c>
      <c r="H1018" s="2">
        <v>0</v>
      </c>
      <c r="I1018" s="4">
        <v>41736</v>
      </c>
      <c r="J1018" s="2">
        <v>41</v>
      </c>
    </row>
    <row r="1019" spans="1:10" ht="12.5">
      <c r="A1019" s="2">
        <v>1017</v>
      </c>
      <c r="B1019" s="2">
        <v>8562</v>
      </c>
      <c r="C1019" s="2">
        <v>1969</v>
      </c>
      <c r="D1019" s="3" t="s">
        <v>9</v>
      </c>
      <c r="E1019" s="3" t="s">
        <v>11</v>
      </c>
      <c r="F1019" s="2">
        <v>54165</v>
      </c>
      <c r="G1019" s="2">
        <v>0</v>
      </c>
      <c r="H1019" s="2">
        <v>0</v>
      </c>
      <c r="I1019" s="4">
        <v>41422</v>
      </c>
      <c r="J1019" s="2">
        <v>72</v>
      </c>
    </row>
    <row r="1020" spans="1:10" ht="12.5">
      <c r="A1020" s="2">
        <v>1018</v>
      </c>
      <c r="B1020" s="2">
        <v>3158</v>
      </c>
      <c r="C1020" s="2">
        <v>1973</v>
      </c>
      <c r="D1020" s="3" t="s">
        <v>9</v>
      </c>
      <c r="E1020" s="3" t="s">
        <v>13</v>
      </c>
      <c r="F1020" s="2">
        <v>32300</v>
      </c>
      <c r="G1020" s="2">
        <v>1</v>
      </c>
      <c r="H1020" s="2">
        <v>0</v>
      </c>
      <c r="I1020" s="4">
        <v>41277</v>
      </c>
      <c r="J1020" s="2">
        <v>1</v>
      </c>
    </row>
    <row r="1021" spans="1:10" ht="12.5">
      <c r="A1021" s="2">
        <v>1019</v>
      </c>
      <c r="B1021" s="2">
        <v>4436</v>
      </c>
      <c r="C1021" s="2">
        <v>1976</v>
      </c>
      <c r="D1021" s="3" t="s">
        <v>9</v>
      </c>
      <c r="E1021" s="3" t="s">
        <v>10</v>
      </c>
      <c r="F1021" s="2">
        <v>20180</v>
      </c>
      <c r="G1021" s="2">
        <v>0</v>
      </c>
      <c r="H1021" s="2">
        <v>0</v>
      </c>
      <c r="I1021" s="4">
        <v>41325</v>
      </c>
      <c r="J1021" s="2">
        <v>27</v>
      </c>
    </row>
    <row r="1022" spans="1:10" ht="12.5">
      <c r="A1022" s="2">
        <v>1020</v>
      </c>
      <c r="B1022" s="2">
        <v>5287</v>
      </c>
      <c r="C1022" s="2">
        <v>1973</v>
      </c>
      <c r="D1022" s="3" t="s">
        <v>9</v>
      </c>
      <c r="E1022" s="3" t="s">
        <v>13</v>
      </c>
      <c r="F1022" s="2">
        <v>34961</v>
      </c>
      <c r="G1022" s="2">
        <v>1</v>
      </c>
      <c r="H1022" s="2">
        <v>0</v>
      </c>
      <c r="I1022" s="4">
        <v>41809</v>
      </c>
      <c r="J1022" s="2">
        <v>77</v>
      </c>
    </row>
    <row r="1023" spans="1:10" ht="12.5">
      <c r="A1023" s="2">
        <v>1021</v>
      </c>
      <c r="B1023" s="2">
        <v>2445</v>
      </c>
      <c r="C1023" s="2">
        <v>1974</v>
      </c>
      <c r="D1023" s="3" t="s">
        <v>12</v>
      </c>
      <c r="E1023" s="3" t="s">
        <v>11</v>
      </c>
      <c r="F1023" s="2">
        <v>28440</v>
      </c>
      <c r="G1023" s="2">
        <v>1</v>
      </c>
      <c r="H1023" s="2">
        <v>0</v>
      </c>
      <c r="I1023" s="4">
        <v>41462</v>
      </c>
      <c r="J1023" s="2">
        <v>87</v>
      </c>
    </row>
    <row r="1024" spans="1:10" ht="12.5">
      <c r="A1024" s="2">
        <v>1022</v>
      </c>
      <c r="B1024" s="2">
        <v>6059</v>
      </c>
      <c r="C1024" s="2">
        <v>1953</v>
      </c>
      <c r="D1024" s="3" t="s">
        <v>12</v>
      </c>
      <c r="E1024" s="3" t="s">
        <v>11</v>
      </c>
      <c r="F1024" s="2">
        <v>64504</v>
      </c>
      <c r="G1024" s="2">
        <v>1</v>
      </c>
      <c r="H1024" s="2">
        <v>2</v>
      </c>
      <c r="I1024" s="4">
        <v>41337</v>
      </c>
      <c r="J1024" s="2">
        <v>81</v>
      </c>
    </row>
    <row r="1025" spans="1:10" ht="12.5">
      <c r="A1025" s="2">
        <v>1023</v>
      </c>
      <c r="B1025" s="2">
        <v>4550</v>
      </c>
      <c r="C1025" s="2">
        <v>1966</v>
      </c>
      <c r="D1025" s="3" t="s">
        <v>14</v>
      </c>
      <c r="E1025" s="3" t="s">
        <v>11</v>
      </c>
      <c r="F1025" s="2">
        <v>33564</v>
      </c>
      <c r="G1025" s="2">
        <v>0</v>
      </c>
      <c r="H1025" s="2">
        <v>1</v>
      </c>
      <c r="I1025" s="4">
        <v>41814</v>
      </c>
      <c r="J1025" s="2">
        <v>51</v>
      </c>
    </row>
    <row r="1026" spans="1:10" ht="12.5">
      <c r="A1026" s="2">
        <v>1024</v>
      </c>
      <c r="B1026" s="2">
        <v>4240</v>
      </c>
      <c r="C1026" s="2">
        <v>1978</v>
      </c>
      <c r="D1026" s="3" t="s">
        <v>9</v>
      </c>
      <c r="E1026" s="3" t="s">
        <v>13</v>
      </c>
      <c r="F1026" s="2">
        <v>17345</v>
      </c>
      <c r="G1026" s="2">
        <v>1</v>
      </c>
      <c r="H1026" s="2">
        <v>0</v>
      </c>
      <c r="I1026" s="4">
        <v>41216</v>
      </c>
      <c r="J1026" s="2">
        <v>79</v>
      </c>
    </row>
    <row r="1027" spans="1:10" ht="12.5">
      <c r="A1027" s="2">
        <v>1025</v>
      </c>
      <c r="B1027" s="2">
        <v>8911</v>
      </c>
      <c r="C1027" s="2">
        <v>1967</v>
      </c>
      <c r="D1027" s="3" t="s">
        <v>12</v>
      </c>
      <c r="E1027" s="3" t="s">
        <v>13</v>
      </c>
      <c r="F1027" s="2">
        <v>56320</v>
      </c>
      <c r="G1027" s="2">
        <v>0</v>
      </c>
      <c r="H1027" s="2">
        <v>1</v>
      </c>
      <c r="I1027" s="4">
        <v>41372</v>
      </c>
      <c r="J1027" s="2">
        <v>11</v>
      </c>
    </row>
    <row r="1028" spans="1:10" ht="12.5">
      <c r="A1028" s="2">
        <v>1026</v>
      </c>
      <c r="B1028" s="2">
        <v>3706</v>
      </c>
      <c r="C1028" s="2">
        <v>1978</v>
      </c>
      <c r="D1028" s="3" t="s">
        <v>9</v>
      </c>
      <c r="E1028" s="3" t="s">
        <v>10</v>
      </c>
      <c r="F1028" s="2">
        <v>28647</v>
      </c>
      <c r="G1028" s="2">
        <v>1</v>
      </c>
      <c r="H1028" s="2">
        <v>0</v>
      </c>
      <c r="I1028" s="4">
        <v>41507</v>
      </c>
      <c r="J1028" s="2">
        <v>54</v>
      </c>
    </row>
    <row r="1029" spans="1:10" ht="12.5">
      <c r="A1029" s="2">
        <v>1027</v>
      </c>
      <c r="B1029" s="2">
        <v>3628</v>
      </c>
      <c r="C1029" s="2">
        <v>1987</v>
      </c>
      <c r="D1029" s="3" t="s">
        <v>16</v>
      </c>
      <c r="E1029" s="3" t="s">
        <v>10</v>
      </c>
      <c r="F1029" s="2">
        <v>15038</v>
      </c>
      <c r="G1029" s="2">
        <v>1</v>
      </c>
      <c r="H1029" s="2">
        <v>0</v>
      </c>
      <c r="I1029" s="4">
        <v>41303</v>
      </c>
      <c r="J1029" s="2">
        <v>93</v>
      </c>
    </row>
    <row r="1030" spans="1:10" ht="12.5">
      <c r="A1030" s="2">
        <v>1028</v>
      </c>
      <c r="B1030" s="2">
        <v>10175</v>
      </c>
      <c r="C1030" s="2">
        <v>1958</v>
      </c>
      <c r="D1030" s="3" t="s">
        <v>12</v>
      </c>
      <c r="E1030" s="3" t="s">
        <v>15</v>
      </c>
      <c r="F1030" s="2">
        <v>32173</v>
      </c>
      <c r="G1030" s="2">
        <v>0</v>
      </c>
      <c r="H1030" s="2">
        <v>1</v>
      </c>
      <c r="I1030" s="4">
        <v>41487</v>
      </c>
      <c r="J1030" s="2">
        <v>0</v>
      </c>
    </row>
    <row r="1031" spans="1:10" ht="12.5">
      <c r="A1031" s="2">
        <v>1029</v>
      </c>
      <c r="B1031" s="2">
        <v>8985</v>
      </c>
      <c r="C1031" s="2">
        <v>1964</v>
      </c>
      <c r="D1031" s="3" t="s">
        <v>17</v>
      </c>
      <c r="E1031" s="3" t="s">
        <v>11</v>
      </c>
      <c r="F1031" s="2">
        <v>68316</v>
      </c>
      <c r="G1031" s="2">
        <v>0</v>
      </c>
      <c r="H1031" s="2">
        <v>1</v>
      </c>
      <c r="I1031" s="4">
        <v>41217</v>
      </c>
      <c r="J1031" s="2">
        <v>54</v>
      </c>
    </row>
    <row r="1032" spans="1:10" ht="12.5">
      <c r="A1032" s="2">
        <v>1030</v>
      </c>
      <c r="B1032" s="2">
        <v>5204</v>
      </c>
      <c r="C1032" s="2">
        <v>1971</v>
      </c>
      <c r="D1032" s="3" t="s">
        <v>9</v>
      </c>
      <c r="E1032" s="3" t="s">
        <v>11</v>
      </c>
      <c r="F1032" s="2">
        <v>74538</v>
      </c>
      <c r="G1032" s="2">
        <v>0</v>
      </c>
      <c r="H1032" s="2">
        <v>0</v>
      </c>
      <c r="I1032" s="4">
        <v>41454</v>
      </c>
      <c r="J1032" s="2">
        <v>21</v>
      </c>
    </row>
    <row r="1033" spans="1:10" ht="12.5">
      <c r="A1033" s="2">
        <v>1031</v>
      </c>
      <c r="B1033" s="2">
        <v>9220</v>
      </c>
      <c r="C1033" s="2">
        <v>1971</v>
      </c>
      <c r="D1033" s="3" t="s">
        <v>9</v>
      </c>
      <c r="E1033" s="3" t="s">
        <v>10</v>
      </c>
      <c r="F1033" s="2">
        <v>91700</v>
      </c>
      <c r="G1033" s="2">
        <v>0</v>
      </c>
      <c r="H1033" s="2">
        <v>0</v>
      </c>
      <c r="I1033" s="4">
        <v>41291</v>
      </c>
      <c r="J1033" s="2">
        <v>58</v>
      </c>
    </row>
    <row r="1034" spans="1:10" ht="12.5">
      <c r="A1034" s="2">
        <v>1032</v>
      </c>
      <c r="B1034" s="2">
        <v>9888</v>
      </c>
      <c r="C1034" s="2">
        <v>1969</v>
      </c>
      <c r="D1034" s="3" t="s">
        <v>9</v>
      </c>
      <c r="E1034" s="3" t="s">
        <v>11</v>
      </c>
      <c r="F1034" s="2">
        <v>68695</v>
      </c>
      <c r="G1034" s="2">
        <v>0</v>
      </c>
      <c r="H1034" s="2">
        <v>0</v>
      </c>
      <c r="I1034" s="4">
        <v>41815</v>
      </c>
      <c r="J1034" s="2">
        <v>3</v>
      </c>
    </row>
    <row r="1035" spans="1:10" ht="12.5">
      <c r="A1035" s="2">
        <v>1033</v>
      </c>
      <c r="B1035" s="2">
        <v>5263</v>
      </c>
      <c r="C1035" s="2">
        <v>1977</v>
      </c>
      <c r="D1035" s="3" t="s">
        <v>17</v>
      </c>
      <c r="E1035" s="3" t="s">
        <v>13</v>
      </c>
      <c r="F1035" s="2">
        <v>31056</v>
      </c>
      <c r="G1035" s="2">
        <v>1</v>
      </c>
      <c r="H1035" s="2">
        <v>0</v>
      </c>
      <c r="I1035" s="4">
        <v>41296</v>
      </c>
      <c r="J1035" s="2">
        <v>99</v>
      </c>
    </row>
    <row r="1036" spans="1:10" ht="12.5">
      <c r="A1036" s="2">
        <v>1034</v>
      </c>
      <c r="B1036" s="2">
        <v>1020</v>
      </c>
      <c r="C1036" s="2">
        <v>1973</v>
      </c>
      <c r="D1036" s="3" t="s">
        <v>9</v>
      </c>
      <c r="E1036" s="3" t="s">
        <v>13</v>
      </c>
      <c r="F1036" s="2">
        <v>79593</v>
      </c>
      <c r="G1036" s="2">
        <v>0</v>
      </c>
      <c r="H1036" s="2">
        <v>0</v>
      </c>
      <c r="I1036" s="4">
        <v>41771</v>
      </c>
      <c r="J1036" s="2">
        <v>70</v>
      </c>
    </row>
    <row r="1037" spans="1:10" ht="12.5">
      <c r="A1037" s="2">
        <v>1035</v>
      </c>
      <c r="B1037" s="2">
        <v>9503</v>
      </c>
      <c r="C1037" s="2">
        <v>1980</v>
      </c>
      <c r="D1037" s="3" t="s">
        <v>9</v>
      </c>
      <c r="E1037" s="3" t="s">
        <v>10</v>
      </c>
      <c r="F1037" s="2">
        <v>28071</v>
      </c>
      <c r="G1037" s="2">
        <v>0</v>
      </c>
      <c r="H1037" s="2">
        <v>0</v>
      </c>
      <c r="I1037" s="4">
        <v>41150</v>
      </c>
      <c r="J1037" s="2">
        <v>65</v>
      </c>
    </row>
    <row r="1038" spans="1:10" ht="12.5">
      <c r="A1038" s="2">
        <v>1036</v>
      </c>
      <c r="B1038" s="2">
        <v>10613</v>
      </c>
      <c r="C1038" s="2">
        <v>1958</v>
      </c>
      <c r="D1038" s="3" t="s">
        <v>12</v>
      </c>
      <c r="E1038" s="3" t="s">
        <v>11</v>
      </c>
      <c r="F1038" s="2">
        <v>37334</v>
      </c>
      <c r="G1038" s="2">
        <v>1</v>
      </c>
      <c r="H1038" s="2">
        <v>1</v>
      </c>
      <c r="I1038" s="4">
        <v>41696</v>
      </c>
      <c r="J1038" s="2">
        <v>44</v>
      </c>
    </row>
    <row r="1039" spans="1:10" ht="12.5">
      <c r="A1039" s="2">
        <v>1037</v>
      </c>
      <c r="B1039" s="2">
        <v>67</v>
      </c>
      <c r="C1039" s="2">
        <v>1972</v>
      </c>
      <c r="D1039" s="3" t="s">
        <v>14</v>
      </c>
      <c r="E1039" s="3" t="s">
        <v>10</v>
      </c>
      <c r="F1039" s="2">
        <v>46423</v>
      </c>
      <c r="G1039" s="2">
        <v>1</v>
      </c>
      <c r="H1039" s="2">
        <v>1</v>
      </c>
      <c r="I1039" s="4">
        <v>41535</v>
      </c>
      <c r="J1039" s="2">
        <v>6</v>
      </c>
    </row>
    <row r="1040" spans="1:10" ht="12.5">
      <c r="A1040" s="2">
        <v>1038</v>
      </c>
      <c r="B1040" s="2">
        <v>6019</v>
      </c>
      <c r="C1040" s="2">
        <v>1971</v>
      </c>
      <c r="D1040" s="3" t="s">
        <v>12</v>
      </c>
      <c r="E1040" s="3" t="s">
        <v>13</v>
      </c>
      <c r="F1040" s="2">
        <v>37126</v>
      </c>
      <c r="G1040" s="2">
        <v>1</v>
      </c>
      <c r="H1040" s="2">
        <v>0</v>
      </c>
      <c r="I1040" s="4">
        <v>41728</v>
      </c>
      <c r="J1040" s="2">
        <v>9</v>
      </c>
    </row>
    <row r="1041" spans="1:10" ht="12.5">
      <c r="A1041" s="2">
        <v>1039</v>
      </c>
      <c r="B1041" s="2">
        <v>5863</v>
      </c>
      <c r="C1041" s="2">
        <v>1953</v>
      </c>
      <c r="D1041" s="3" t="s">
        <v>9</v>
      </c>
      <c r="E1041" s="3" t="s">
        <v>13</v>
      </c>
      <c r="F1041" s="2">
        <v>47703</v>
      </c>
      <c r="G1041" s="2">
        <v>0</v>
      </c>
      <c r="H1041" s="2">
        <v>1</v>
      </c>
      <c r="I1041" s="4">
        <v>41423</v>
      </c>
      <c r="J1041" s="2">
        <v>95</v>
      </c>
    </row>
    <row r="1042" spans="1:10" ht="12.5">
      <c r="A1042" s="2">
        <v>1040</v>
      </c>
      <c r="B1042" s="2">
        <v>3717</v>
      </c>
      <c r="C1042" s="2">
        <v>1959</v>
      </c>
      <c r="D1042" s="3" t="s">
        <v>9</v>
      </c>
      <c r="E1042" s="3" t="s">
        <v>13</v>
      </c>
      <c r="F1042" s="2">
        <v>61180</v>
      </c>
      <c r="G1042" s="2">
        <v>0</v>
      </c>
      <c r="H1042" s="2">
        <v>1</v>
      </c>
      <c r="I1042" s="4">
        <v>41752</v>
      </c>
      <c r="J1042" s="2">
        <v>70</v>
      </c>
    </row>
    <row r="1043" spans="1:10" ht="12.5">
      <c r="A1043" s="2">
        <v>1041</v>
      </c>
      <c r="B1043" s="2">
        <v>6730</v>
      </c>
      <c r="C1043" s="2">
        <v>1954</v>
      </c>
      <c r="D1043" s="3" t="s">
        <v>9</v>
      </c>
      <c r="E1043" s="3" t="s">
        <v>13</v>
      </c>
      <c r="F1043" s="2">
        <v>38998</v>
      </c>
      <c r="G1043" s="2">
        <v>1</v>
      </c>
      <c r="H1043" s="2">
        <v>1</v>
      </c>
      <c r="I1043" s="4">
        <v>41216</v>
      </c>
      <c r="J1043" s="2">
        <v>92</v>
      </c>
    </row>
    <row r="1044" spans="1:10" ht="12.5">
      <c r="A1044" s="2">
        <v>1042</v>
      </c>
      <c r="B1044" s="2">
        <v>10749</v>
      </c>
      <c r="C1044" s="2">
        <v>1991</v>
      </c>
      <c r="D1044" s="3" t="s">
        <v>9</v>
      </c>
      <c r="E1044" s="3" t="s">
        <v>10</v>
      </c>
      <c r="F1044" s="2">
        <v>8028</v>
      </c>
      <c r="G1044" s="2">
        <v>0</v>
      </c>
      <c r="H1044" s="2">
        <v>0</v>
      </c>
      <c r="I1044" s="4">
        <v>41170</v>
      </c>
      <c r="J1044" s="2">
        <v>62</v>
      </c>
    </row>
    <row r="1045" spans="1:10" ht="12.5">
      <c r="A1045" s="2">
        <v>1043</v>
      </c>
      <c r="B1045" s="2">
        <v>4998</v>
      </c>
      <c r="C1045" s="2">
        <v>1962</v>
      </c>
      <c r="D1045" s="3" t="s">
        <v>9</v>
      </c>
      <c r="E1045" s="3" t="s">
        <v>11</v>
      </c>
      <c r="F1045" s="2">
        <v>76081</v>
      </c>
      <c r="G1045" s="2">
        <v>0</v>
      </c>
      <c r="H1045" s="2">
        <v>0</v>
      </c>
      <c r="I1045" s="4">
        <v>41782</v>
      </c>
      <c r="J1045" s="2">
        <v>85</v>
      </c>
    </row>
    <row r="1046" spans="1:10" ht="12.5">
      <c r="A1046" s="2">
        <v>1044</v>
      </c>
      <c r="B1046" s="2">
        <v>6287</v>
      </c>
      <c r="C1046" s="2">
        <v>1986</v>
      </c>
      <c r="D1046" s="3" t="s">
        <v>9</v>
      </c>
      <c r="E1046" s="3" t="s">
        <v>11</v>
      </c>
      <c r="F1046" s="2">
        <v>34728</v>
      </c>
      <c r="G1046" s="2">
        <v>1</v>
      </c>
      <c r="H1046" s="2">
        <v>0</v>
      </c>
      <c r="I1046" s="4">
        <v>41485</v>
      </c>
      <c r="J1046" s="2">
        <v>2</v>
      </c>
    </row>
    <row r="1047" spans="1:10" ht="12.5">
      <c r="A1047" s="2">
        <v>1045</v>
      </c>
      <c r="B1047" s="2">
        <v>5985</v>
      </c>
      <c r="C1047" s="2">
        <v>1965</v>
      </c>
      <c r="D1047" s="3" t="s">
        <v>14</v>
      </c>
      <c r="E1047" s="3" t="s">
        <v>10</v>
      </c>
      <c r="F1047" s="2">
        <v>33168</v>
      </c>
      <c r="G1047" s="2">
        <v>0</v>
      </c>
      <c r="H1047" s="2">
        <v>1</v>
      </c>
      <c r="I1047" s="5">
        <v>41195</v>
      </c>
      <c r="J1047" s="2">
        <v>0</v>
      </c>
    </row>
    <row r="1048" spans="1:10" ht="12.5">
      <c r="A1048" s="2">
        <v>1046</v>
      </c>
      <c r="B1048" s="2">
        <v>4754</v>
      </c>
      <c r="C1048" s="2">
        <v>1966</v>
      </c>
      <c r="D1048" s="3" t="s">
        <v>14</v>
      </c>
      <c r="E1048" s="3" t="s">
        <v>13</v>
      </c>
      <c r="F1048" s="2">
        <v>33585</v>
      </c>
      <c r="G1048" s="2">
        <v>0</v>
      </c>
      <c r="H1048" s="2">
        <v>1</v>
      </c>
      <c r="I1048" s="4">
        <v>41542</v>
      </c>
      <c r="J1048" s="2">
        <v>91</v>
      </c>
    </row>
    <row r="1049" spans="1:10" ht="12.5">
      <c r="A1049" s="2">
        <v>1047</v>
      </c>
      <c r="B1049" s="2">
        <v>4002</v>
      </c>
      <c r="C1049" s="2">
        <v>1960</v>
      </c>
      <c r="D1049" s="3" t="s">
        <v>12</v>
      </c>
      <c r="E1049" s="3" t="s">
        <v>13</v>
      </c>
      <c r="F1049" s="2">
        <v>77037</v>
      </c>
      <c r="G1049" s="2">
        <v>0</v>
      </c>
      <c r="H1049" s="2">
        <v>1</v>
      </c>
      <c r="I1049" s="5">
        <v>41560</v>
      </c>
      <c r="J1049" s="2">
        <v>3</v>
      </c>
    </row>
    <row r="1050" spans="1:10" ht="12.5">
      <c r="A1050" s="2">
        <v>1048</v>
      </c>
      <c r="B1050" s="2">
        <v>8870</v>
      </c>
      <c r="C1050" s="2">
        <v>1984</v>
      </c>
      <c r="D1050" s="3" t="s">
        <v>9</v>
      </c>
      <c r="E1050" s="3" t="s">
        <v>11</v>
      </c>
      <c r="F1050" s="2">
        <v>35196</v>
      </c>
      <c r="G1050" s="2">
        <v>1</v>
      </c>
      <c r="H1050" s="2">
        <v>0</v>
      </c>
      <c r="I1050" s="5">
        <v>41226</v>
      </c>
      <c r="J1050" s="2">
        <v>68</v>
      </c>
    </row>
    <row r="1051" spans="1:10" ht="12.5">
      <c r="A1051" s="2">
        <v>1049</v>
      </c>
      <c r="B1051" s="2">
        <v>966</v>
      </c>
      <c r="C1051" s="2">
        <v>1966</v>
      </c>
      <c r="D1051" s="3" t="s">
        <v>9</v>
      </c>
      <c r="E1051" s="3" t="s">
        <v>13</v>
      </c>
      <c r="F1051" s="2">
        <v>44529</v>
      </c>
      <c r="G1051" s="2">
        <v>0</v>
      </c>
      <c r="H1051" s="2">
        <v>1</v>
      </c>
      <c r="I1051" s="4">
        <v>41460</v>
      </c>
      <c r="J1051" s="2">
        <v>98</v>
      </c>
    </row>
    <row r="1052" spans="1:10" ht="12.5">
      <c r="A1052" s="2">
        <v>1050</v>
      </c>
      <c r="B1052" s="2">
        <v>4767</v>
      </c>
      <c r="C1052" s="2">
        <v>1965</v>
      </c>
      <c r="D1052" s="3" t="s">
        <v>17</v>
      </c>
      <c r="E1052" s="3" t="s">
        <v>13</v>
      </c>
      <c r="F1052" s="2">
        <v>70924</v>
      </c>
      <c r="G1052" s="2">
        <v>0</v>
      </c>
      <c r="H1052" s="2">
        <v>0</v>
      </c>
      <c r="I1052" s="4">
        <v>41736</v>
      </c>
      <c r="J1052" s="2">
        <v>41</v>
      </c>
    </row>
    <row r="1053" spans="1:10" ht="12.5">
      <c r="A1053" s="2">
        <v>1051</v>
      </c>
      <c r="B1053" s="2">
        <v>9725</v>
      </c>
      <c r="C1053" s="2">
        <v>1966</v>
      </c>
      <c r="D1053" s="3" t="s">
        <v>12</v>
      </c>
      <c r="E1053" s="3" t="s">
        <v>11</v>
      </c>
      <c r="F1053" s="2">
        <v>28764</v>
      </c>
      <c r="G1053" s="2">
        <v>1</v>
      </c>
      <c r="H1053" s="2">
        <v>1</v>
      </c>
      <c r="I1053" s="4">
        <v>41795</v>
      </c>
      <c r="J1053" s="2">
        <v>16</v>
      </c>
    </row>
    <row r="1054" spans="1:10" ht="12.5">
      <c r="A1054" s="2">
        <v>1052</v>
      </c>
      <c r="B1054" s="2">
        <v>4475</v>
      </c>
      <c r="C1054" s="2">
        <v>1949</v>
      </c>
      <c r="D1054" s="3" t="s">
        <v>12</v>
      </c>
      <c r="E1054" s="3" t="s">
        <v>13</v>
      </c>
      <c r="F1054" s="2">
        <v>69098</v>
      </c>
      <c r="G1054" s="2">
        <v>0</v>
      </c>
      <c r="H1054" s="2">
        <v>0</v>
      </c>
      <c r="I1054" s="4">
        <v>41321</v>
      </c>
      <c r="J1054" s="2">
        <v>82</v>
      </c>
    </row>
    <row r="1055" spans="1:10" ht="12.5">
      <c r="A1055" s="2">
        <v>1053</v>
      </c>
      <c r="B1055" s="2">
        <v>5740</v>
      </c>
      <c r="C1055" s="2">
        <v>1970</v>
      </c>
      <c r="D1055" s="3" t="s">
        <v>17</v>
      </c>
      <c r="E1055" s="3" t="s">
        <v>15</v>
      </c>
      <c r="F1055" s="2">
        <v>25959</v>
      </c>
      <c r="G1055" s="2">
        <v>1</v>
      </c>
      <c r="H1055" s="2">
        <v>1</v>
      </c>
      <c r="I1055" s="4">
        <v>41319</v>
      </c>
      <c r="J1055" s="2">
        <v>1</v>
      </c>
    </row>
    <row r="1056" spans="1:10" ht="12.5">
      <c r="A1056" s="2">
        <v>1054</v>
      </c>
      <c r="B1056" s="2">
        <v>5731</v>
      </c>
      <c r="C1056" s="2">
        <v>1983</v>
      </c>
      <c r="D1056" s="3" t="s">
        <v>14</v>
      </c>
      <c r="E1056" s="3" t="s">
        <v>13</v>
      </c>
      <c r="F1056" s="2">
        <v>27100</v>
      </c>
      <c r="G1056" s="2">
        <v>1</v>
      </c>
      <c r="H1056" s="2">
        <v>0</v>
      </c>
      <c r="I1056" s="4">
        <v>41369</v>
      </c>
      <c r="J1056" s="2">
        <v>64</v>
      </c>
    </row>
    <row r="1057" spans="1:10" ht="12.5">
      <c r="A1057" s="2">
        <v>1055</v>
      </c>
      <c r="B1057" s="2">
        <v>7290</v>
      </c>
      <c r="C1057" s="2">
        <v>1985</v>
      </c>
      <c r="D1057" s="3" t="s">
        <v>9</v>
      </c>
      <c r="E1057" s="3" t="s">
        <v>10</v>
      </c>
      <c r="F1057" s="2">
        <v>70596</v>
      </c>
      <c r="G1057" s="2">
        <v>0</v>
      </c>
      <c r="H1057" s="2">
        <v>0</v>
      </c>
      <c r="I1057" s="4">
        <v>41187</v>
      </c>
      <c r="J1057" s="2">
        <v>68</v>
      </c>
    </row>
    <row r="1058" spans="1:10" ht="12.5">
      <c r="A1058" s="2">
        <v>1056</v>
      </c>
      <c r="B1058" s="2">
        <v>3846</v>
      </c>
      <c r="C1058" s="2">
        <v>1974</v>
      </c>
      <c r="D1058" s="3" t="s">
        <v>9</v>
      </c>
      <c r="E1058" s="3" t="s">
        <v>13</v>
      </c>
      <c r="F1058" s="2">
        <v>42557</v>
      </c>
      <c r="G1058" s="2">
        <v>0</v>
      </c>
      <c r="H1058" s="2">
        <v>1</v>
      </c>
      <c r="I1058" s="4">
        <v>41150</v>
      </c>
      <c r="J1058" s="2">
        <v>98</v>
      </c>
    </row>
    <row r="1059" spans="1:10" ht="12.5">
      <c r="A1059" s="2">
        <v>1057</v>
      </c>
      <c r="B1059" s="2">
        <v>8104</v>
      </c>
      <c r="C1059" s="2">
        <v>1951</v>
      </c>
      <c r="D1059" s="3" t="s">
        <v>12</v>
      </c>
      <c r="E1059" s="3" t="s">
        <v>13</v>
      </c>
      <c r="F1059" s="2">
        <v>53312</v>
      </c>
      <c r="G1059" s="2">
        <v>0</v>
      </c>
      <c r="H1059" s="2">
        <v>0</v>
      </c>
      <c r="I1059" s="4">
        <v>41495</v>
      </c>
      <c r="J1059" s="2">
        <v>32</v>
      </c>
    </row>
    <row r="1060" spans="1:10" ht="12.5">
      <c r="A1060" s="2">
        <v>1058</v>
      </c>
      <c r="B1060" s="2">
        <v>4507</v>
      </c>
      <c r="C1060" s="2">
        <v>1952</v>
      </c>
      <c r="D1060" s="3" t="s">
        <v>9</v>
      </c>
      <c r="E1060" s="3" t="s">
        <v>10</v>
      </c>
      <c r="F1060" s="2">
        <v>72228</v>
      </c>
      <c r="G1060" s="2">
        <v>0</v>
      </c>
      <c r="H1060" s="2">
        <v>0</v>
      </c>
      <c r="I1060" s="5">
        <v>41240</v>
      </c>
      <c r="J1060" s="2">
        <v>87</v>
      </c>
    </row>
    <row r="1061" spans="1:10" ht="12.5">
      <c r="A1061" s="2">
        <v>1059</v>
      </c>
      <c r="B1061" s="2">
        <v>11013</v>
      </c>
      <c r="C1061" s="2">
        <v>1987</v>
      </c>
      <c r="D1061" s="3" t="s">
        <v>9</v>
      </c>
      <c r="E1061" s="3" t="s">
        <v>11</v>
      </c>
      <c r="F1061" s="2">
        <v>67605</v>
      </c>
      <c r="G1061" s="2">
        <v>0</v>
      </c>
      <c r="H1061" s="2">
        <v>0</v>
      </c>
      <c r="I1061" s="4">
        <v>41364</v>
      </c>
      <c r="J1061" s="2">
        <v>84</v>
      </c>
    </row>
    <row r="1062" spans="1:10" ht="12.5">
      <c r="A1062" s="2">
        <v>1060</v>
      </c>
      <c r="B1062" s="2">
        <v>4491</v>
      </c>
      <c r="C1062" s="2">
        <v>1949</v>
      </c>
      <c r="D1062" s="3" t="s">
        <v>14</v>
      </c>
      <c r="E1062" s="3" t="s">
        <v>13</v>
      </c>
      <c r="F1062" s="2">
        <v>62845</v>
      </c>
      <c r="G1062" s="2">
        <v>1</v>
      </c>
      <c r="H1062" s="2">
        <v>1</v>
      </c>
      <c r="I1062" s="4">
        <v>41183</v>
      </c>
      <c r="J1062" s="2">
        <v>3</v>
      </c>
    </row>
    <row r="1063" spans="1:10" ht="12.5">
      <c r="A1063" s="2">
        <v>1061</v>
      </c>
      <c r="B1063" s="2">
        <v>3759</v>
      </c>
      <c r="C1063" s="2">
        <v>1958</v>
      </c>
      <c r="D1063" s="3" t="s">
        <v>9</v>
      </c>
      <c r="E1063" s="3" t="s">
        <v>11</v>
      </c>
      <c r="F1063" s="2">
        <v>65196</v>
      </c>
      <c r="G1063" s="2">
        <v>0</v>
      </c>
      <c r="H1063" s="2">
        <v>2</v>
      </c>
      <c r="I1063" s="4">
        <v>41480</v>
      </c>
      <c r="J1063" s="2">
        <v>34</v>
      </c>
    </row>
    <row r="1064" spans="1:10" ht="12.5">
      <c r="A1064" s="2">
        <v>1062</v>
      </c>
      <c r="B1064" s="2">
        <v>1162</v>
      </c>
      <c r="C1064" s="2">
        <v>1987</v>
      </c>
      <c r="D1064" s="3" t="s">
        <v>12</v>
      </c>
      <c r="E1064" s="3" t="s">
        <v>10</v>
      </c>
      <c r="F1064" s="2">
        <v>42000</v>
      </c>
      <c r="G1064" s="2">
        <v>0</v>
      </c>
      <c r="H1064" s="2">
        <v>0</v>
      </c>
      <c r="I1064" s="4">
        <v>41284</v>
      </c>
      <c r="J1064" s="2">
        <v>23</v>
      </c>
    </row>
    <row r="1065" spans="1:10" ht="12.5">
      <c r="A1065" s="2">
        <v>1063</v>
      </c>
      <c r="B1065" s="2">
        <v>2055</v>
      </c>
      <c r="C1065" s="2">
        <v>1973</v>
      </c>
      <c r="D1065" s="3" t="s">
        <v>12</v>
      </c>
      <c r="E1065" s="3" t="s">
        <v>15</v>
      </c>
      <c r="F1065" s="2">
        <v>35860</v>
      </c>
      <c r="G1065" s="2">
        <v>1</v>
      </c>
      <c r="H1065" s="2">
        <v>1</v>
      </c>
      <c r="I1065" s="4">
        <v>41778</v>
      </c>
      <c r="J1065" s="2">
        <v>37</v>
      </c>
    </row>
    <row r="1066" spans="1:10" ht="12.5">
      <c r="A1066" s="2">
        <v>1064</v>
      </c>
      <c r="B1066" s="2">
        <v>10766</v>
      </c>
      <c r="C1066" s="2">
        <v>1964</v>
      </c>
      <c r="D1066" s="3" t="s">
        <v>12</v>
      </c>
      <c r="E1066" s="3" t="s">
        <v>13</v>
      </c>
      <c r="F1066" s="2">
        <v>65526</v>
      </c>
      <c r="G1066" s="2">
        <v>0</v>
      </c>
      <c r="H1066" s="2">
        <v>1</v>
      </c>
      <c r="I1066" s="4">
        <v>41740</v>
      </c>
      <c r="J1066" s="2">
        <v>22</v>
      </c>
    </row>
    <row r="1067" spans="1:10" ht="12.5">
      <c r="A1067" s="2">
        <v>1065</v>
      </c>
      <c r="B1067" s="2">
        <v>4415</v>
      </c>
      <c r="C1067" s="2">
        <v>1961</v>
      </c>
      <c r="D1067" s="3" t="s">
        <v>9</v>
      </c>
      <c r="E1067" s="3" t="s">
        <v>13</v>
      </c>
      <c r="F1067" s="2">
        <v>16860</v>
      </c>
      <c r="G1067" s="2">
        <v>1</v>
      </c>
      <c r="H1067" s="2">
        <v>1</v>
      </c>
      <c r="I1067" s="4">
        <v>41164</v>
      </c>
      <c r="J1067" s="2">
        <v>19</v>
      </c>
    </row>
    <row r="1068" spans="1:10" ht="12.5">
      <c r="A1068" s="2">
        <v>1066</v>
      </c>
      <c r="B1068" s="2">
        <v>3005</v>
      </c>
      <c r="C1068" s="2">
        <v>1992</v>
      </c>
      <c r="D1068" s="3" t="s">
        <v>9</v>
      </c>
      <c r="E1068" s="3" t="s">
        <v>10</v>
      </c>
      <c r="F1068" s="2">
        <v>83528</v>
      </c>
      <c r="G1068" s="2">
        <v>0</v>
      </c>
      <c r="H1068" s="2">
        <v>0</v>
      </c>
      <c r="I1068" s="4">
        <v>41760</v>
      </c>
      <c r="J1068" s="2">
        <v>7</v>
      </c>
    </row>
    <row r="1069" spans="1:10" ht="12.5">
      <c r="A1069" s="2">
        <v>1067</v>
      </c>
      <c r="B1069" s="2">
        <v>2223</v>
      </c>
      <c r="C1069" s="2">
        <v>1965</v>
      </c>
      <c r="D1069" s="3" t="s">
        <v>17</v>
      </c>
      <c r="E1069" s="3" t="s">
        <v>15</v>
      </c>
      <c r="F1069" s="2">
        <v>64176</v>
      </c>
      <c r="G1069" s="2">
        <v>0</v>
      </c>
      <c r="H1069" s="2">
        <v>1</v>
      </c>
      <c r="I1069" s="4">
        <v>41124</v>
      </c>
      <c r="J1069" s="2">
        <v>52</v>
      </c>
    </row>
    <row r="1070" spans="1:10" ht="12.5">
      <c r="A1070" s="2">
        <v>1068</v>
      </c>
      <c r="B1070" s="2">
        <v>4817</v>
      </c>
      <c r="C1070" s="2">
        <v>1956</v>
      </c>
      <c r="D1070" s="3" t="s">
        <v>9</v>
      </c>
      <c r="E1070" s="3" t="s">
        <v>15</v>
      </c>
      <c r="F1070" s="2">
        <v>22304</v>
      </c>
      <c r="G1070" s="2">
        <v>0</v>
      </c>
      <c r="H1070" s="2">
        <v>0</v>
      </c>
      <c r="I1070" s="4">
        <v>41125</v>
      </c>
      <c r="J1070" s="2">
        <v>91</v>
      </c>
    </row>
    <row r="1071" spans="1:10" ht="12.5">
      <c r="A1071" s="2">
        <v>1069</v>
      </c>
      <c r="B1071" s="2">
        <v>2875</v>
      </c>
      <c r="C1071" s="2">
        <v>1978</v>
      </c>
      <c r="D1071" s="3" t="s">
        <v>9</v>
      </c>
      <c r="E1071" s="3" t="s">
        <v>13</v>
      </c>
      <c r="F1071" s="2">
        <v>67023</v>
      </c>
      <c r="G1071" s="2">
        <v>0</v>
      </c>
      <c r="H1071" s="2">
        <v>0</v>
      </c>
      <c r="I1071" s="4">
        <v>41702</v>
      </c>
      <c r="J1071" s="2">
        <v>93</v>
      </c>
    </row>
    <row r="1072" spans="1:10" ht="12.5">
      <c r="A1072" s="2">
        <v>1070</v>
      </c>
      <c r="B1072" s="2">
        <v>10536</v>
      </c>
      <c r="C1072" s="2">
        <v>1971</v>
      </c>
      <c r="D1072" s="3" t="s">
        <v>12</v>
      </c>
      <c r="E1072" s="3" t="s">
        <v>11</v>
      </c>
      <c r="F1072" s="2">
        <v>32892</v>
      </c>
      <c r="G1072" s="2">
        <v>1</v>
      </c>
      <c r="H1072" s="2">
        <v>0</v>
      </c>
      <c r="I1072" s="4">
        <v>41784</v>
      </c>
      <c r="J1072" s="2">
        <v>78</v>
      </c>
    </row>
    <row r="1073" spans="1:10" ht="12.5">
      <c r="A1073" s="2">
        <v>1071</v>
      </c>
      <c r="B1073" s="2">
        <v>11112</v>
      </c>
      <c r="C1073" s="2">
        <v>1966</v>
      </c>
      <c r="D1073" s="3" t="s">
        <v>9</v>
      </c>
      <c r="E1073" s="3" t="s">
        <v>11</v>
      </c>
      <c r="F1073" s="2">
        <v>70713</v>
      </c>
      <c r="G1073" s="2">
        <v>0</v>
      </c>
      <c r="H1073" s="2">
        <v>1</v>
      </c>
      <c r="I1073" s="4">
        <v>41246</v>
      </c>
      <c r="J1073" s="2">
        <v>23</v>
      </c>
    </row>
    <row r="1074" spans="1:10" ht="12.5">
      <c r="A1074" s="2">
        <v>1072</v>
      </c>
      <c r="B1074" s="2">
        <v>3807</v>
      </c>
      <c r="C1074" s="2">
        <v>1955</v>
      </c>
      <c r="D1074" s="3" t="s">
        <v>9</v>
      </c>
      <c r="E1074" s="3" t="s">
        <v>11</v>
      </c>
      <c r="F1074" s="2">
        <v>59925</v>
      </c>
      <c r="G1074" s="2">
        <v>0</v>
      </c>
      <c r="H1074" s="2">
        <v>1</v>
      </c>
      <c r="I1074" s="5">
        <v>41243</v>
      </c>
      <c r="J1074" s="2">
        <v>83</v>
      </c>
    </row>
    <row r="1075" spans="1:10" ht="12.5">
      <c r="A1075" s="2">
        <v>1073</v>
      </c>
      <c r="B1075" s="2">
        <v>9197</v>
      </c>
      <c r="C1075" s="2">
        <v>1953</v>
      </c>
      <c r="D1075" s="3" t="s">
        <v>9</v>
      </c>
      <c r="E1075" s="3" t="s">
        <v>13</v>
      </c>
      <c r="F1075" s="2">
        <v>39722</v>
      </c>
      <c r="G1075" s="2">
        <v>0</v>
      </c>
      <c r="H1075" s="2">
        <v>1</v>
      </c>
      <c r="I1075" s="4">
        <v>41694</v>
      </c>
      <c r="J1075" s="2">
        <v>92</v>
      </c>
    </row>
    <row r="1076" spans="1:10" ht="12.5">
      <c r="A1076" s="2">
        <v>1074</v>
      </c>
      <c r="B1076" s="2">
        <v>10832</v>
      </c>
      <c r="C1076" s="2">
        <v>1958</v>
      </c>
      <c r="D1076" s="3" t="s">
        <v>9</v>
      </c>
      <c r="E1076" s="3" t="s">
        <v>11</v>
      </c>
      <c r="F1076" s="2">
        <v>46610</v>
      </c>
      <c r="G1076" s="2">
        <v>0</v>
      </c>
      <c r="H1076" s="2">
        <v>0</v>
      </c>
      <c r="I1076" s="4">
        <v>41473</v>
      </c>
      <c r="J1076" s="2">
        <v>4</v>
      </c>
    </row>
    <row r="1077" spans="1:10" ht="12.5">
      <c r="A1077" s="2">
        <v>1075</v>
      </c>
      <c r="B1077" s="2">
        <v>6421</v>
      </c>
      <c r="C1077" s="2">
        <v>1961</v>
      </c>
      <c r="D1077" s="3" t="s">
        <v>9</v>
      </c>
      <c r="E1077" s="3" t="s">
        <v>11</v>
      </c>
      <c r="F1077" s="2">
        <v>88347</v>
      </c>
      <c r="G1077" s="2">
        <v>0</v>
      </c>
      <c r="H1077" s="2">
        <v>0</v>
      </c>
      <c r="I1077" s="4">
        <v>41458</v>
      </c>
      <c r="J1077" s="2">
        <v>32</v>
      </c>
    </row>
    <row r="1078" spans="1:10" ht="12.5">
      <c r="A1078" s="2">
        <v>1076</v>
      </c>
      <c r="B1078" s="2">
        <v>4207</v>
      </c>
      <c r="C1078" s="2">
        <v>1981</v>
      </c>
      <c r="D1078" s="3" t="s">
        <v>12</v>
      </c>
      <c r="E1078" s="3" t="s">
        <v>13</v>
      </c>
      <c r="F1078" s="2">
        <v>87171</v>
      </c>
      <c r="G1078" s="2">
        <v>0</v>
      </c>
      <c r="H1078" s="2">
        <v>0</v>
      </c>
      <c r="I1078" s="4">
        <v>41395</v>
      </c>
      <c r="J1078" s="2">
        <v>27</v>
      </c>
    </row>
    <row r="1079" spans="1:10" ht="12.5">
      <c r="A1079" s="2">
        <v>1077</v>
      </c>
      <c r="B1079" s="2">
        <v>577</v>
      </c>
      <c r="C1079" s="2">
        <v>1976</v>
      </c>
      <c r="D1079" s="3" t="s">
        <v>17</v>
      </c>
      <c r="E1079" s="3" t="s">
        <v>11</v>
      </c>
      <c r="F1079" s="2">
        <v>26907</v>
      </c>
      <c r="G1079" s="2">
        <v>1</v>
      </c>
      <c r="H1079" s="2">
        <v>1</v>
      </c>
      <c r="I1079" s="4">
        <v>41506</v>
      </c>
      <c r="J1079" s="2">
        <v>10</v>
      </c>
    </row>
    <row r="1080" spans="1:10" ht="12.5">
      <c r="A1080" s="2">
        <v>1078</v>
      </c>
      <c r="B1080" s="2">
        <v>10855</v>
      </c>
      <c r="C1080" s="2">
        <v>1968</v>
      </c>
      <c r="D1080" s="3" t="s">
        <v>14</v>
      </c>
      <c r="E1080" s="3" t="s">
        <v>10</v>
      </c>
      <c r="F1080" s="2">
        <v>50014</v>
      </c>
      <c r="G1080" s="2">
        <v>1</v>
      </c>
      <c r="H1080" s="2">
        <v>0</v>
      </c>
      <c r="I1080" s="4">
        <v>41661</v>
      </c>
      <c r="J1080" s="2">
        <v>9</v>
      </c>
    </row>
    <row r="1081" spans="1:10" ht="12.5">
      <c r="A1081" s="2">
        <v>1079</v>
      </c>
      <c r="B1081" s="2">
        <v>3081</v>
      </c>
      <c r="C1081" s="2">
        <v>1978</v>
      </c>
      <c r="D1081" s="3" t="s">
        <v>12</v>
      </c>
      <c r="E1081" s="3" t="s">
        <v>13</v>
      </c>
      <c r="F1081" s="2">
        <v>41014</v>
      </c>
      <c r="G1081" s="2">
        <v>1</v>
      </c>
      <c r="H1081" s="2">
        <v>0</v>
      </c>
      <c r="I1081" s="4">
        <v>41386</v>
      </c>
      <c r="J1081" s="2">
        <v>65</v>
      </c>
    </row>
    <row r="1082" spans="1:10" ht="12.5">
      <c r="A1082" s="2">
        <v>1080</v>
      </c>
      <c r="B1082" s="2">
        <v>3535</v>
      </c>
      <c r="C1082" s="2">
        <v>1965</v>
      </c>
      <c r="D1082" s="3" t="s">
        <v>9</v>
      </c>
      <c r="E1082" s="3" t="s">
        <v>10</v>
      </c>
      <c r="F1082" s="2">
        <v>66294</v>
      </c>
      <c r="G1082" s="2">
        <v>0</v>
      </c>
      <c r="H1082" s="2">
        <v>0</v>
      </c>
      <c r="I1082" s="4">
        <v>41715</v>
      </c>
      <c r="J1082" s="2">
        <v>68</v>
      </c>
    </row>
    <row r="1083" spans="1:10" ht="12.5">
      <c r="A1083" s="2">
        <v>1081</v>
      </c>
      <c r="B1083" s="2">
        <v>247</v>
      </c>
      <c r="C1083" s="2">
        <v>1971</v>
      </c>
      <c r="D1083" s="3" t="s">
        <v>9</v>
      </c>
      <c r="E1083" s="3" t="s">
        <v>13</v>
      </c>
      <c r="F1083" s="2">
        <v>36715</v>
      </c>
      <c r="G1083" s="2">
        <v>1</v>
      </c>
      <c r="H1083" s="2">
        <v>0</v>
      </c>
      <c r="I1083" s="5">
        <v>41230</v>
      </c>
      <c r="J1083" s="2">
        <v>16</v>
      </c>
    </row>
    <row r="1084" spans="1:10" ht="12.5">
      <c r="A1084" s="2">
        <v>1082</v>
      </c>
      <c r="B1084" s="2">
        <v>8707</v>
      </c>
      <c r="C1084" s="2">
        <v>1956</v>
      </c>
      <c r="D1084" s="3" t="s">
        <v>9</v>
      </c>
      <c r="E1084" s="3" t="s">
        <v>13</v>
      </c>
      <c r="F1084" s="2">
        <v>79456</v>
      </c>
      <c r="G1084" s="2">
        <v>0</v>
      </c>
      <c r="H1084" s="2">
        <v>0</v>
      </c>
      <c r="I1084" s="4">
        <v>41143</v>
      </c>
      <c r="J1084" s="2">
        <v>12</v>
      </c>
    </row>
    <row r="1085" spans="1:10" ht="12.5">
      <c r="A1085" s="2">
        <v>1083</v>
      </c>
      <c r="B1085" s="2">
        <v>9523</v>
      </c>
      <c r="C1085" s="2">
        <v>1982</v>
      </c>
      <c r="D1085" s="3" t="s">
        <v>9</v>
      </c>
      <c r="E1085" s="3" t="s">
        <v>11</v>
      </c>
      <c r="F1085" s="2">
        <v>40479</v>
      </c>
      <c r="G1085" s="2">
        <v>1</v>
      </c>
      <c r="H1085" s="2">
        <v>0</v>
      </c>
      <c r="I1085" s="4">
        <v>41503</v>
      </c>
      <c r="J1085" s="2">
        <v>95</v>
      </c>
    </row>
    <row r="1086" spans="1:10" ht="12.5">
      <c r="A1086" s="2">
        <v>1084</v>
      </c>
      <c r="B1086" s="2">
        <v>6072</v>
      </c>
      <c r="C1086" s="2">
        <v>1970</v>
      </c>
      <c r="D1086" s="3" t="s">
        <v>14</v>
      </c>
      <c r="E1086" s="3" t="s">
        <v>10</v>
      </c>
      <c r="F1086" s="2">
        <v>75345</v>
      </c>
      <c r="G1086" s="2">
        <v>0</v>
      </c>
      <c r="H1086" s="2">
        <v>0</v>
      </c>
      <c r="I1086" s="4">
        <v>41307</v>
      </c>
      <c r="J1086" s="2">
        <v>16</v>
      </c>
    </row>
    <row r="1087" spans="1:10" ht="12.5">
      <c r="A1087" s="2">
        <v>1085</v>
      </c>
      <c r="B1087" s="2">
        <v>6295</v>
      </c>
      <c r="C1087" s="2">
        <v>1977</v>
      </c>
      <c r="D1087" s="3" t="s">
        <v>9</v>
      </c>
      <c r="E1087" s="3" t="s">
        <v>13</v>
      </c>
      <c r="F1087" s="2">
        <v>54233</v>
      </c>
      <c r="G1087" s="2">
        <v>0</v>
      </c>
      <c r="H1087" s="2">
        <v>1</v>
      </c>
      <c r="I1087" s="4">
        <v>41309</v>
      </c>
      <c r="J1087" s="2">
        <v>46</v>
      </c>
    </row>
    <row r="1088" spans="1:10" ht="12.5">
      <c r="A1088" s="2">
        <v>1086</v>
      </c>
      <c r="B1088" s="2">
        <v>10914</v>
      </c>
      <c r="C1088" s="2">
        <v>1970</v>
      </c>
      <c r="D1088" s="3" t="s">
        <v>9</v>
      </c>
      <c r="E1088" s="3" t="s">
        <v>10</v>
      </c>
      <c r="F1088" s="2">
        <v>24163</v>
      </c>
      <c r="G1088" s="2">
        <v>1</v>
      </c>
      <c r="H1088" s="2">
        <v>1</v>
      </c>
      <c r="I1088" s="5">
        <v>41559</v>
      </c>
      <c r="J1088" s="2">
        <v>3</v>
      </c>
    </row>
    <row r="1089" spans="1:10" ht="12.5">
      <c r="A1089" s="2">
        <v>1087</v>
      </c>
      <c r="B1089" s="2">
        <v>1509</v>
      </c>
      <c r="C1089" s="2">
        <v>1958</v>
      </c>
      <c r="D1089" s="3" t="s">
        <v>12</v>
      </c>
      <c r="E1089" s="3" t="s">
        <v>11</v>
      </c>
      <c r="F1089" s="2">
        <v>84460</v>
      </c>
      <c r="G1089" s="2">
        <v>0</v>
      </c>
      <c r="H1089" s="2">
        <v>0</v>
      </c>
      <c r="I1089" s="4">
        <v>41278</v>
      </c>
      <c r="J1089" s="2">
        <v>80</v>
      </c>
    </row>
    <row r="1090" spans="1:10" ht="12.5">
      <c r="A1090" s="2">
        <v>1088</v>
      </c>
      <c r="B1090" s="2">
        <v>5577</v>
      </c>
      <c r="C1090" s="2">
        <v>1983</v>
      </c>
      <c r="D1090" s="3" t="s">
        <v>9</v>
      </c>
      <c r="E1090" s="3" t="s">
        <v>11</v>
      </c>
      <c r="F1090" s="2">
        <v>43776</v>
      </c>
      <c r="G1090" s="2">
        <v>1</v>
      </c>
      <c r="H1090" s="2">
        <v>0</v>
      </c>
      <c r="I1090" s="4">
        <v>41762</v>
      </c>
      <c r="J1090" s="2">
        <v>77</v>
      </c>
    </row>
    <row r="1091" spans="1:10" ht="12.5">
      <c r="A1091" s="2">
        <v>1089</v>
      </c>
      <c r="B1091" s="2">
        <v>7348</v>
      </c>
      <c r="C1091" s="2">
        <v>1958</v>
      </c>
      <c r="D1091" s="3" t="s">
        <v>12</v>
      </c>
      <c r="E1091" s="3" t="s">
        <v>10</v>
      </c>
      <c r="F1091" s="2">
        <v>71691</v>
      </c>
      <c r="G1091" s="2">
        <v>0</v>
      </c>
      <c r="H1091" s="2">
        <v>0</v>
      </c>
      <c r="I1091" s="4">
        <v>41715</v>
      </c>
      <c r="J1091" s="2">
        <v>0</v>
      </c>
    </row>
    <row r="1092" spans="1:10" ht="12.5">
      <c r="A1092" s="2">
        <v>1090</v>
      </c>
      <c r="B1092" s="2">
        <v>1127</v>
      </c>
      <c r="C1092" s="2">
        <v>1973</v>
      </c>
      <c r="D1092" s="3" t="s">
        <v>12</v>
      </c>
      <c r="E1092" s="3" t="s">
        <v>13</v>
      </c>
      <c r="F1092" s="2">
        <v>85844</v>
      </c>
      <c r="G1092" s="2">
        <v>0</v>
      </c>
      <c r="H1092" s="2">
        <v>0</v>
      </c>
      <c r="I1092" s="4">
        <v>41788</v>
      </c>
      <c r="J1092" s="2">
        <v>62</v>
      </c>
    </row>
    <row r="1093" spans="1:10" ht="12.5">
      <c r="A1093" s="2">
        <v>1091</v>
      </c>
      <c r="B1093" s="2">
        <v>1833</v>
      </c>
      <c r="C1093" s="2">
        <v>1974</v>
      </c>
      <c r="D1093" s="3" t="s">
        <v>12</v>
      </c>
      <c r="E1093" s="3" t="s">
        <v>10</v>
      </c>
      <c r="F1093" s="2">
        <v>39190</v>
      </c>
      <c r="G1093" s="2">
        <v>1</v>
      </c>
      <c r="H1093" s="2">
        <v>0</v>
      </c>
      <c r="I1093" s="4">
        <v>41755</v>
      </c>
      <c r="J1093" s="2">
        <v>91</v>
      </c>
    </row>
    <row r="1094" spans="1:10" ht="12.5">
      <c r="A1094" s="2">
        <v>1092</v>
      </c>
      <c r="B1094" s="2">
        <v>4944</v>
      </c>
      <c r="C1094" s="2">
        <v>1959</v>
      </c>
      <c r="D1094" s="3" t="s">
        <v>9</v>
      </c>
      <c r="E1094" s="3" t="s">
        <v>11</v>
      </c>
      <c r="F1094" s="2">
        <v>71367</v>
      </c>
      <c r="G1094" s="2">
        <v>0</v>
      </c>
      <c r="H1094" s="2">
        <v>0</v>
      </c>
      <c r="I1094" s="4">
        <v>41509</v>
      </c>
      <c r="J1094" s="2">
        <v>24</v>
      </c>
    </row>
    <row r="1095" spans="1:10" ht="12.5">
      <c r="A1095" s="2">
        <v>1093</v>
      </c>
      <c r="B1095" s="2">
        <v>9080</v>
      </c>
      <c r="C1095" s="2">
        <v>1972</v>
      </c>
      <c r="D1095" s="3" t="s">
        <v>12</v>
      </c>
      <c r="E1095" s="3" t="s">
        <v>10</v>
      </c>
      <c r="F1095" s="2">
        <v>38578</v>
      </c>
      <c r="G1095" s="2">
        <v>1</v>
      </c>
      <c r="H1095" s="2">
        <v>1</v>
      </c>
      <c r="I1095" s="4">
        <v>41447</v>
      </c>
      <c r="J1095" s="2">
        <v>2</v>
      </c>
    </row>
    <row r="1096" spans="1:10" ht="12.5">
      <c r="A1096" s="2">
        <v>1094</v>
      </c>
      <c r="B1096" s="2">
        <v>6466</v>
      </c>
      <c r="C1096" s="2">
        <v>1965</v>
      </c>
      <c r="D1096" s="3" t="s">
        <v>12</v>
      </c>
      <c r="E1096" s="3" t="s">
        <v>13</v>
      </c>
      <c r="F1096" s="2">
        <v>57236</v>
      </c>
      <c r="G1096" s="2">
        <v>1</v>
      </c>
      <c r="H1096" s="2">
        <v>1</v>
      </c>
      <c r="I1096" s="4">
        <v>41710</v>
      </c>
      <c r="J1096" s="2">
        <v>22</v>
      </c>
    </row>
    <row r="1097" spans="1:10" ht="12.5">
      <c r="A1097" s="2">
        <v>1095</v>
      </c>
      <c r="B1097" s="2">
        <v>9964</v>
      </c>
      <c r="C1097" s="2">
        <v>1979</v>
      </c>
      <c r="D1097" s="3" t="s">
        <v>9</v>
      </c>
      <c r="E1097" s="3" t="s">
        <v>10</v>
      </c>
      <c r="F1097" s="2">
        <v>61825</v>
      </c>
      <c r="G1097" s="2">
        <v>0</v>
      </c>
      <c r="H1097" s="2">
        <v>1</v>
      </c>
      <c r="I1097" s="4">
        <v>41493</v>
      </c>
      <c r="J1097" s="2">
        <v>56</v>
      </c>
    </row>
    <row r="1098" spans="1:10" ht="12.5">
      <c r="A1098" s="2">
        <v>1096</v>
      </c>
      <c r="B1098" s="2">
        <v>4790</v>
      </c>
      <c r="C1098" s="2">
        <v>1958</v>
      </c>
      <c r="D1098" s="3" t="s">
        <v>9</v>
      </c>
      <c r="E1098" s="3" t="s">
        <v>15</v>
      </c>
      <c r="F1098" s="2">
        <v>79803</v>
      </c>
      <c r="G1098" s="2">
        <v>0</v>
      </c>
      <c r="H1098" s="2">
        <v>1</v>
      </c>
      <c r="I1098" s="4">
        <v>41792</v>
      </c>
      <c r="J1098" s="2">
        <v>54</v>
      </c>
    </row>
    <row r="1099" spans="1:10" ht="12.5">
      <c r="A1099" s="2">
        <v>1097</v>
      </c>
      <c r="B1099" s="2">
        <v>10245</v>
      </c>
      <c r="C1099" s="2">
        <v>1986</v>
      </c>
      <c r="D1099" s="3" t="s">
        <v>17</v>
      </c>
      <c r="E1099" s="3" t="s">
        <v>10</v>
      </c>
      <c r="F1099" s="2">
        <v>80910</v>
      </c>
      <c r="G1099" s="2">
        <v>0</v>
      </c>
      <c r="H1099" s="2">
        <v>0</v>
      </c>
      <c r="I1099" s="5">
        <v>41213</v>
      </c>
      <c r="J1099" s="2">
        <v>71</v>
      </c>
    </row>
    <row r="1100" spans="1:10" ht="12.5">
      <c r="A1100" s="2">
        <v>1098</v>
      </c>
      <c r="B1100" s="2">
        <v>1109</v>
      </c>
      <c r="C1100" s="2">
        <v>1982</v>
      </c>
      <c r="D1100" s="3" t="s">
        <v>14</v>
      </c>
      <c r="E1100" s="3" t="s">
        <v>11</v>
      </c>
      <c r="F1100" s="2">
        <v>27590</v>
      </c>
      <c r="G1100" s="2">
        <v>1</v>
      </c>
      <c r="H1100" s="2">
        <v>0</v>
      </c>
      <c r="I1100" s="4">
        <v>41387</v>
      </c>
      <c r="J1100" s="2">
        <v>38</v>
      </c>
    </row>
    <row r="1101" spans="1:10" ht="12.5">
      <c r="A1101" s="2">
        <v>1099</v>
      </c>
      <c r="B1101" s="2">
        <v>6001</v>
      </c>
      <c r="C1101" s="2">
        <v>1979</v>
      </c>
      <c r="D1101" s="3" t="s">
        <v>9</v>
      </c>
      <c r="E1101" s="3" t="s">
        <v>13</v>
      </c>
      <c r="F1101" s="2">
        <v>56775</v>
      </c>
      <c r="G1101" s="2">
        <v>0</v>
      </c>
      <c r="H1101" s="2">
        <v>1</v>
      </c>
      <c r="I1101" s="4">
        <v>41276</v>
      </c>
      <c r="J1101" s="2">
        <v>62</v>
      </c>
    </row>
    <row r="1102" spans="1:10" ht="12.5">
      <c r="A1102" s="2">
        <v>1100</v>
      </c>
      <c r="B1102" s="2">
        <v>5538</v>
      </c>
      <c r="C1102" s="2">
        <v>1975</v>
      </c>
      <c r="D1102" s="3" t="s">
        <v>9</v>
      </c>
      <c r="E1102" s="3" t="s">
        <v>15</v>
      </c>
      <c r="F1102" s="2">
        <v>83829</v>
      </c>
      <c r="G1102" s="2">
        <v>0</v>
      </c>
      <c r="H1102" s="2">
        <v>0</v>
      </c>
      <c r="I1102" s="4">
        <v>41555</v>
      </c>
      <c r="J1102" s="2">
        <v>78</v>
      </c>
    </row>
    <row r="1103" spans="1:10" ht="12.5">
      <c r="A1103" s="2">
        <v>1101</v>
      </c>
      <c r="B1103" s="2">
        <v>10552</v>
      </c>
      <c r="C1103" s="2">
        <v>1979</v>
      </c>
      <c r="D1103" s="3" t="s">
        <v>17</v>
      </c>
      <c r="E1103" s="3" t="s">
        <v>13</v>
      </c>
      <c r="F1103" s="2">
        <v>54210</v>
      </c>
      <c r="G1103" s="2">
        <v>0</v>
      </c>
      <c r="H1103" s="2">
        <v>1</v>
      </c>
      <c r="I1103" s="4">
        <v>41414</v>
      </c>
      <c r="J1103" s="2">
        <v>18</v>
      </c>
    </row>
    <row r="1104" spans="1:10" ht="12.5">
      <c r="A1104" s="2">
        <v>1102</v>
      </c>
      <c r="B1104" s="2">
        <v>1545</v>
      </c>
      <c r="C1104" s="2">
        <v>1986</v>
      </c>
      <c r="D1104" s="3" t="s">
        <v>9</v>
      </c>
      <c r="E1104" s="3" t="s">
        <v>13</v>
      </c>
      <c r="F1104" s="2">
        <v>38508</v>
      </c>
      <c r="G1104" s="2">
        <v>1</v>
      </c>
      <c r="H1104" s="2">
        <v>0</v>
      </c>
      <c r="I1104" s="4">
        <v>41488</v>
      </c>
      <c r="J1104" s="2">
        <v>95</v>
      </c>
    </row>
    <row r="1105" spans="1:10" ht="12.5">
      <c r="A1105" s="2">
        <v>1103</v>
      </c>
      <c r="B1105" s="2">
        <v>7409</v>
      </c>
      <c r="C1105" s="2">
        <v>1970</v>
      </c>
      <c r="D1105" s="3" t="s">
        <v>9</v>
      </c>
      <c r="E1105" s="3" t="s">
        <v>11</v>
      </c>
      <c r="F1105" s="2">
        <v>53187</v>
      </c>
      <c r="G1105" s="2">
        <v>1</v>
      </c>
      <c r="H1105" s="2">
        <v>0</v>
      </c>
      <c r="I1105" s="5">
        <v>41573</v>
      </c>
      <c r="J1105" s="2">
        <v>66</v>
      </c>
    </row>
    <row r="1106" spans="1:10" ht="12.5">
      <c r="A1106" s="2">
        <v>1104</v>
      </c>
      <c r="B1106" s="2">
        <v>4444</v>
      </c>
      <c r="C1106" s="2">
        <v>1972</v>
      </c>
      <c r="D1106" s="3" t="s">
        <v>9</v>
      </c>
      <c r="E1106" s="3" t="s">
        <v>13</v>
      </c>
      <c r="F1106" s="2">
        <v>30023</v>
      </c>
      <c r="G1106" s="2">
        <v>1</v>
      </c>
      <c r="H1106" s="2">
        <v>0</v>
      </c>
      <c r="I1106" s="4">
        <v>41722</v>
      </c>
      <c r="J1106" s="2">
        <v>28</v>
      </c>
    </row>
    <row r="1107" spans="1:10" ht="12.5">
      <c r="A1107" s="2">
        <v>1105</v>
      </c>
      <c r="B1107" s="2">
        <v>146</v>
      </c>
      <c r="C1107" s="2">
        <v>1960</v>
      </c>
      <c r="D1107" s="3" t="s">
        <v>12</v>
      </c>
      <c r="E1107" s="3" t="s">
        <v>10</v>
      </c>
      <c r="F1107" s="2">
        <v>76045</v>
      </c>
      <c r="G1107" s="2">
        <v>0</v>
      </c>
      <c r="H1107" s="2">
        <v>0</v>
      </c>
      <c r="I1107" s="5">
        <v>41593</v>
      </c>
      <c r="J1107" s="2">
        <v>78</v>
      </c>
    </row>
    <row r="1108" spans="1:10" ht="12.5">
      <c r="A1108" s="2">
        <v>1106</v>
      </c>
      <c r="B1108" s="2">
        <v>6271</v>
      </c>
      <c r="C1108" s="2">
        <v>1952</v>
      </c>
      <c r="D1108" s="3" t="s">
        <v>12</v>
      </c>
      <c r="E1108" s="3" t="s">
        <v>13</v>
      </c>
      <c r="F1108" s="2">
        <v>50870</v>
      </c>
      <c r="G1108" s="2">
        <v>0</v>
      </c>
      <c r="H1108" s="2">
        <v>1</v>
      </c>
      <c r="I1108" s="4">
        <v>41809</v>
      </c>
      <c r="J1108" s="2">
        <v>13</v>
      </c>
    </row>
    <row r="1109" spans="1:10" ht="12.5">
      <c r="A1109" s="2">
        <v>1107</v>
      </c>
      <c r="B1109" s="2">
        <v>10065</v>
      </c>
      <c r="C1109" s="2">
        <v>1970</v>
      </c>
      <c r="D1109" s="3" t="s">
        <v>17</v>
      </c>
      <c r="E1109" s="3" t="s">
        <v>13</v>
      </c>
      <c r="F1109" s="2">
        <v>15315</v>
      </c>
      <c r="G1109" s="2">
        <v>0</v>
      </c>
      <c r="H1109" s="2">
        <v>0</v>
      </c>
      <c r="I1109" s="4">
        <v>41489</v>
      </c>
      <c r="J1109" s="2">
        <v>27</v>
      </c>
    </row>
    <row r="1110" spans="1:10" ht="12.5">
      <c r="A1110" s="2">
        <v>1108</v>
      </c>
      <c r="B1110" s="2">
        <v>4741</v>
      </c>
      <c r="C1110" s="2">
        <v>1974</v>
      </c>
      <c r="D1110" s="3" t="s">
        <v>17</v>
      </c>
      <c r="E1110" s="3" t="s">
        <v>13</v>
      </c>
      <c r="F1110" s="2">
        <v>65463</v>
      </c>
      <c r="G1110" s="2">
        <v>1</v>
      </c>
      <c r="H1110" s="2">
        <v>0</v>
      </c>
      <c r="I1110" s="4">
        <v>41669</v>
      </c>
      <c r="J1110" s="2">
        <v>17</v>
      </c>
    </row>
    <row r="1111" spans="1:10" ht="12.5">
      <c r="A1111" s="2">
        <v>1109</v>
      </c>
      <c r="B1111" s="2">
        <v>246</v>
      </c>
      <c r="C1111" s="2">
        <v>1965</v>
      </c>
      <c r="D1111" s="3" t="s">
        <v>9</v>
      </c>
      <c r="E1111" s="3" t="s">
        <v>13</v>
      </c>
      <c r="F1111" s="2">
        <v>66480</v>
      </c>
      <c r="G1111" s="2">
        <v>1</v>
      </c>
      <c r="H1111" s="2">
        <v>1</v>
      </c>
      <c r="I1111" s="4">
        <v>41790</v>
      </c>
      <c r="J1111" s="2">
        <v>71</v>
      </c>
    </row>
    <row r="1112" spans="1:10" ht="12.5">
      <c r="A1112" s="2">
        <v>1110</v>
      </c>
      <c r="B1112" s="2">
        <v>375</v>
      </c>
      <c r="C1112" s="2">
        <v>1954</v>
      </c>
      <c r="D1112" s="3" t="s">
        <v>9</v>
      </c>
      <c r="E1112" s="3" t="s">
        <v>15</v>
      </c>
      <c r="F1112" s="2">
        <v>76773</v>
      </c>
      <c r="G1112" s="2">
        <v>0</v>
      </c>
      <c r="H1112" s="2">
        <v>0</v>
      </c>
      <c r="I1112" s="4">
        <v>41330</v>
      </c>
      <c r="J1112" s="2">
        <v>79</v>
      </c>
    </row>
    <row r="1113" spans="1:10" ht="12.5">
      <c r="A1113" s="2">
        <v>1111</v>
      </c>
      <c r="B1113" s="2">
        <v>1524</v>
      </c>
      <c r="C1113" s="2">
        <v>1983</v>
      </c>
      <c r="D1113" s="3" t="s">
        <v>17</v>
      </c>
      <c r="E1113" s="3" t="s">
        <v>10</v>
      </c>
      <c r="F1113" s="2">
        <v>81698</v>
      </c>
      <c r="G1113" s="2">
        <v>0</v>
      </c>
      <c r="H1113" s="2">
        <v>0</v>
      </c>
      <c r="I1113" s="4">
        <v>41334</v>
      </c>
      <c r="J1113" s="2">
        <v>1</v>
      </c>
    </row>
    <row r="1114" spans="1:10" ht="12.5">
      <c r="A1114" s="2">
        <v>1112</v>
      </c>
      <c r="B1114" s="2">
        <v>10022</v>
      </c>
      <c r="C1114" s="2">
        <v>1973</v>
      </c>
      <c r="D1114" s="3" t="s">
        <v>12</v>
      </c>
      <c r="E1114" s="3" t="s">
        <v>10</v>
      </c>
      <c r="F1114" s="2">
        <v>54466</v>
      </c>
      <c r="G1114" s="2">
        <v>1</v>
      </c>
      <c r="H1114" s="2">
        <v>1</v>
      </c>
      <c r="I1114" s="4">
        <v>41679</v>
      </c>
      <c r="J1114" s="2">
        <v>78</v>
      </c>
    </row>
    <row r="1115" spans="1:10" ht="12.5">
      <c r="A1115" s="2">
        <v>1113</v>
      </c>
      <c r="B1115" s="2">
        <v>7451</v>
      </c>
      <c r="C1115" s="2">
        <v>1960</v>
      </c>
      <c r="D1115" s="3" t="s">
        <v>14</v>
      </c>
      <c r="E1115" s="3" t="s">
        <v>10</v>
      </c>
      <c r="F1115" s="2">
        <v>98777</v>
      </c>
      <c r="G1115" s="2">
        <v>0</v>
      </c>
      <c r="H1115" s="2">
        <v>0</v>
      </c>
      <c r="I1115" s="4">
        <v>41687</v>
      </c>
      <c r="J1115" s="2">
        <v>23</v>
      </c>
    </row>
    <row r="1116" spans="1:10" ht="12.5">
      <c r="A1116" s="2">
        <v>1114</v>
      </c>
      <c r="B1116" s="2">
        <v>11010</v>
      </c>
      <c r="C1116" s="2">
        <v>1984</v>
      </c>
      <c r="D1116" s="3" t="s">
        <v>12</v>
      </c>
      <c r="E1116" s="3" t="s">
        <v>10</v>
      </c>
      <c r="F1116" s="2">
        <v>16269</v>
      </c>
      <c r="G1116" s="2">
        <v>1</v>
      </c>
      <c r="H1116" s="2">
        <v>0</v>
      </c>
      <c r="I1116" s="4">
        <v>41516</v>
      </c>
      <c r="J1116" s="2">
        <v>75</v>
      </c>
    </row>
    <row r="1117" spans="1:10" ht="12.5">
      <c r="A1117" s="2">
        <v>1115</v>
      </c>
      <c r="B1117" s="2">
        <v>4356</v>
      </c>
      <c r="C1117" s="2">
        <v>1971</v>
      </c>
      <c r="D1117" s="3" t="s">
        <v>9</v>
      </c>
      <c r="E1117" s="3" t="s">
        <v>11</v>
      </c>
      <c r="F1117" s="2">
        <v>71819</v>
      </c>
      <c r="G1117" s="2">
        <v>0</v>
      </c>
      <c r="H1117" s="2">
        <v>1</v>
      </c>
      <c r="I1117" s="4">
        <v>41514</v>
      </c>
      <c r="J1117" s="2">
        <v>70</v>
      </c>
    </row>
    <row r="1118" spans="1:10" ht="12.5">
      <c r="A1118" s="2">
        <v>1116</v>
      </c>
      <c r="B1118" s="2">
        <v>3885</v>
      </c>
      <c r="C1118" s="2">
        <v>1983</v>
      </c>
      <c r="D1118" s="3" t="s">
        <v>12</v>
      </c>
      <c r="E1118" s="3" t="s">
        <v>13</v>
      </c>
      <c r="F1118" s="2">
        <v>33569</v>
      </c>
      <c r="G1118" s="2">
        <v>1</v>
      </c>
      <c r="H1118" s="2">
        <v>0</v>
      </c>
      <c r="I1118" s="5">
        <v>41563</v>
      </c>
      <c r="J1118" s="2">
        <v>10</v>
      </c>
    </row>
    <row r="1119" spans="1:10" ht="12.5">
      <c r="A1119" s="2">
        <v>1117</v>
      </c>
      <c r="B1119" s="2">
        <v>1175</v>
      </c>
      <c r="C1119" s="2">
        <v>1983</v>
      </c>
      <c r="D1119" s="3" t="s">
        <v>14</v>
      </c>
      <c r="E1119" s="3" t="s">
        <v>13</v>
      </c>
      <c r="F1119" s="2">
        <v>36262</v>
      </c>
      <c r="G1119" s="2">
        <v>0</v>
      </c>
      <c r="H1119" s="2">
        <v>0</v>
      </c>
      <c r="I1119" s="4">
        <v>41537</v>
      </c>
      <c r="J1119" s="2">
        <v>24</v>
      </c>
    </row>
    <row r="1120" spans="1:10" ht="12.5">
      <c r="A1120" s="2">
        <v>1118</v>
      </c>
      <c r="B1120" s="2">
        <v>880</v>
      </c>
      <c r="C1120" s="2">
        <v>1966</v>
      </c>
      <c r="D1120" s="3" t="s">
        <v>16</v>
      </c>
      <c r="E1120" s="3" t="s">
        <v>11</v>
      </c>
      <c r="F1120" s="2">
        <v>22634</v>
      </c>
      <c r="G1120" s="2">
        <v>0</v>
      </c>
      <c r="H1120" s="2">
        <v>0</v>
      </c>
      <c r="I1120" s="4">
        <v>41290</v>
      </c>
      <c r="J1120" s="2">
        <v>47</v>
      </c>
    </row>
    <row r="1121" spans="1:10" ht="12.5">
      <c r="A1121" s="2">
        <v>1119</v>
      </c>
      <c r="B1121" s="2">
        <v>2320</v>
      </c>
      <c r="C1121" s="2">
        <v>1978</v>
      </c>
      <c r="D1121" s="3" t="s">
        <v>17</v>
      </c>
      <c r="E1121" s="3" t="s">
        <v>13</v>
      </c>
      <c r="F1121" s="2">
        <v>47025</v>
      </c>
      <c r="G1121" s="2">
        <v>0</v>
      </c>
      <c r="H1121" s="2">
        <v>1</v>
      </c>
      <c r="I1121" s="4">
        <v>41529</v>
      </c>
      <c r="J1121" s="2">
        <v>98</v>
      </c>
    </row>
    <row r="1122" spans="1:10" ht="12.5">
      <c r="A1122" s="2">
        <v>1120</v>
      </c>
      <c r="B1122" s="2">
        <v>850</v>
      </c>
      <c r="C1122" s="2">
        <v>1968</v>
      </c>
      <c r="D1122" s="3" t="s">
        <v>9</v>
      </c>
      <c r="E1122" s="3" t="s">
        <v>10</v>
      </c>
      <c r="F1122" s="2">
        <v>70566</v>
      </c>
      <c r="G1122" s="2">
        <v>0</v>
      </c>
      <c r="H1122" s="2">
        <v>1</v>
      </c>
      <c r="I1122" s="4">
        <v>41553</v>
      </c>
      <c r="J1122" s="2">
        <v>4</v>
      </c>
    </row>
    <row r="1123" spans="1:10" ht="12.5">
      <c r="A1123" s="2">
        <v>1121</v>
      </c>
      <c r="B1123" s="2">
        <v>4713</v>
      </c>
      <c r="C1123" s="2">
        <v>1979</v>
      </c>
      <c r="D1123" s="3" t="s">
        <v>12</v>
      </c>
      <c r="E1123" s="3" t="s">
        <v>13</v>
      </c>
      <c r="F1123" s="2">
        <v>31605</v>
      </c>
      <c r="G1123" s="2">
        <v>1</v>
      </c>
      <c r="H1123" s="2">
        <v>0</v>
      </c>
      <c r="I1123" s="5">
        <v>41235</v>
      </c>
      <c r="J1123" s="2">
        <v>15</v>
      </c>
    </row>
    <row r="1124" spans="1:10" ht="12.5">
      <c r="A1124" s="2">
        <v>1122</v>
      </c>
      <c r="B1124" s="2">
        <v>675</v>
      </c>
      <c r="C1124" s="2">
        <v>1973</v>
      </c>
      <c r="D1124" s="3" t="s">
        <v>14</v>
      </c>
      <c r="E1124" s="3" t="s">
        <v>15</v>
      </c>
      <c r="F1124" s="2">
        <v>52034</v>
      </c>
      <c r="G1124" s="2">
        <v>1</v>
      </c>
      <c r="H1124" s="2">
        <v>1</v>
      </c>
      <c r="I1124" s="4">
        <v>41411</v>
      </c>
      <c r="J1124" s="2">
        <v>67</v>
      </c>
    </row>
    <row r="1125" spans="1:10" ht="12.5">
      <c r="A1125" s="2">
        <v>1123</v>
      </c>
      <c r="B1125" s="2">
        <v>5025</v>
      </c>
      <c r="C1125" s="2">
        <v>1979</v>
      </c>
      <c r="D1125" s="3" t="s">
        <v>9</v>
      </c>
      <c r="E1125" s="3" t="s">
        <v>10</v>
      </c>
      <c r="F1125" s="2">
        <v>48526</v>
      </c>
      <c r="G1125" s="2">
        <v>1</v>
      </c>
      <c r="H1125" s="2">
        <v>0</v>
      </c>
      <c r="I1125" s="5">
        <v>41632</v>
      </c>
      <c r="J1125" s="2">
        <v>32</v>
      </c>
    </row>
    <row r="1126" spans="1:10" ht="12.5">
      <c r="A1126" s="2">
        <v>1124</v>
      </c>
      <c r="B1126" s="2">
        <v>2308</v>
      </c>
      <c r="C1126" s="2">
        <v>1954</v>
      </c>
      <c r="D1126" s="3" t="s">
        <v>9</v>
      </c>
      <c r="E1126" s="3" t="s">
        <v>13</v>
      </c>
      <c r="F1126" s="2">
        <v>46734</v>
      </c>
      <c r="G1126" s="2">
        <v>0</v>
      </c>
      <c r="H1126" s="2">
        <v>1</v>
      </c>
      <c r="I1126" s="5">
        <v>41231</v>
      </c>
      <c r="J1126" s="2">
        <v>40</v>
      </c>
    </row>
    <row r="1127" spans="1:10" ht="12.5">
      <c r="A1127" s="2">
        <v>1125</v>
      </c>
      <c r="B1127" s="2">
        <v>5995</v>
      </c>
      <c r="C1127" s="2">
        <v>1962</v>
      </c>
      <c r="D1127" s="3" t="s">
        <v>9</v>
      </c>
      <c r="E1127" s="3" t="s">
        <v>15</v>
      </c>
      <c r="F1127" s="2">
        <v>39552</v>
      </c>
      <c r="G1127" s="2">
        <v>1</v>
      </c>
      <c r="H1127" s="2">
        <v>1</v>
      </c>
      <c r="I1127" s="5">
        <v>41261</v>
      </c>
      <c r="J1127" s="2">
        <v>54</v>
      </c>
    </row>
    <row r="1128" spans="1:10" ht="12.5">
      <c r="A1128" s="2">
        <v>1126</v>
      </c>
      <c r="B1128" s="2">
        <v>6749</v>
      </c>
      <c r="C1128" s="2">
        <v>1966</v>
      </c>
      <c r="D1128" s="3" t="s">
        <v>9</v>
      </c>
      <c r="E1128" s="3" t="s">
        <v>10</v>
      </c>
      <c r="F1128" s="2">
        <v>86358</v>
      </c>
      <c r="G1128" s="2">
        <v>1</v>
      </c>
      <c r="H1128" s="2">
        <v>1</v>
      </c>
      <c r="I1128" s="4">
        <v>41129</v>
      </c>
      <c r="J1128" s="2">
        <v>78</v>
      </c>
    </row>
    <row r="1129" spans="1:10" ht="12.5">
      <c r="A1129" s="2">
        <v>1127</v>
      </c>
      <c r="B1129" s="2">
        <v>1010</v>
      </c>
      <c r="C1129" s="2">
        <v>1977</v>
      </c>
      <c r="D1129" s="3" t="s">
        <v>9</v>
      </c>
      <c r="E1129" s="3" t="s">
        <v>11</v>
      </c>
      <c r="F1129" s="2">
        <v>46931</v>
      </c>
      <c r="G1129" s="2">
        <v>2</v>
      </c>
      <c r="H1129" s="2">
        <v>1</v>
      </c>
      <c r="I1129" s="4">
        <v>41753</v>
      </c>
      <c r="J1129" s="2">
        <v>94</v>
      </c>
    </row>
    <row r="1130" spans="1:10" ht="12.5">
      <c r="A1130" s="2">
        <v>1128</v>
      </c>
      <c r="B1130" s="2">
        <v>8977</v>
      </c>
      <c r="C1130" s="2">
        <v>1985</v>
      </c>
      <c r="D1130" s="3" t="s">
        <v>16</v>
      </c>
      <c r="E1130" s="3" t="s">
        <v>10</v>
      </c>
      <c r="F1130" s="2">
        <v>16581</v>
      </c>
      <c r="G1130" s="2">
        <v>0</v>
      </c>
      <c r="H1130" s="2">
        <v>0</v>
      </c>
      <c r="I1130" s="4">
        <v>41286</v>
      </c>
      <c r="J1130" s="2">
        <v>51</v>
      </c>
    </row>
    <row r="1131" spans="1:10" ht="12.5">
      <c r="A1131" s="2">
        <v>1129</v>
      </c>
      <c r="B1131" s="2">
        <v>4756</v>
      </c>
      <c r="C1131" s="2">
        <v>1952</v>
      </c>
      <c r="D1131" s="3" t="s">
        <v>17</v>
      </c>
      <c r="E1131" s="3" t="s">
        <v>15</v>
      </c>
      <c r="F1131" s="2">
        <v>63998</v>
      </c>
      <c r="G1131" s="2">
        <v>0</v>
      </c>
      <c r="H1131" s="2">
        <v>0</v>
      </c>
      <c r="I1131" s="5">
        <v>41628</v>
      </c>
      <c r="J1131" s="2">
        <v>42</v>
      </c>
    </row>
    <row r="1132" spans="1:10" ht="12.5">
      <c r="A1132" s="2">
        <v>1130</v>
      </c>
      <c r="B1132" s="2">
        <v>3412</v>
      </c>
      <c r="C1132" s="2">
        <v>1951</v>
      </c>
      <c r="D1132" s="3" t="s">
        <v>14</v>
      </c>
      <c r="E1132" s="3" t="s">
        <v>13</v>
      </c>
      <c r="F1132" s="2">
        <v>67381</v>
      </c>
      <c r="G1132" s="2">
        <v>0</v>
      </c>
      <c r="H1132" s="2">
        <v>1</v>
      </c>
      <c r="I1132" s="4">
        <v>41289</v>
      </c>
      <c r="J1132" s="2">
        <v>67</v>
      </c>
    </row>
    <row r="1133" spans="1:10" ht="12.5">
      <c r="A1133" s="2">
        <v>1131</v>
      </c>
      <c r="B1133" s="2">
        <v>606</v>
      </c>
      <c r="C1133" s="2">
        <v>1967</v>
      </c>
      <c r="D1133" s="3" t="s">
        <v>9</v>
      </c>
      <c r="E1133" s="3" t="s">
        <v>10</v>
      </c>
      <c r="F1133" s="2">
        <v>25930</v>
      </c>
      <c r="G1133" s="2">
        <v>1</v>
      </c>
      <c r="H1133" s="2">
        <v>1</v>
      </c>
      <c r="I1133" s="5">
        <v>41557</v>
      </c>
      <c r="J1133" s="2">
        <v>87</v>
      </c>
    </row>
    <row r="1134" spans="1:10" ht="12.5">
      <c r="A1134" s="2">
        <v>1132</v>
      </c>
      <c r="B1134" s="2">
        <v>5961</v>
      </c>
      <c r="C1134" s="2">
        <v>1978</v>
      </c>
      <c r="D1134" s="3" t="s">
        <v>9</v>
      </c>
      <c r="E1134" s="3" t="s">
        <v>13</v>
      </c>
      <c r="F1134" s="2">
        <v>42693</v>
      </c>
      <c r="G1134" s="2">
        <v>1</v>
      </c>
      <c r="H1134" s="2">
        <v>0</v>
      </c>
      <c r="I1134" s="4">
        <v>41797</v>
      </c>
      <c r="J1134" s="2">
        <v>29</v>
      </c>
    </row>
    <row r="1135" spans="1:10" ht="12.5">
      <c r="A1135" s="2">
        <v>1133</v>
      </c>
      <c r="B1135" s="2">
        <v>2975</v>
      </c>
      <c r="C1135" s="2">
        <v>1976</v>
      </c>
      <c r="D1135" s="3" t="s">
        <v>9</v>
      </c>
      <c r="E1135" s="3" t="s">
        <v>11</v>
      </c>
      <c r="F1135" s="2">
        <v>85606</v>
      </c>
      <c r="G1135" s="2">
        <v>0</v>
      </c>
      <c r="H1135" s="2">
        <v>1</v>
      </c>
      <c r="I1135" s="5">
        <v>41225</v>
      </c>
      <c r="J1135" s="2">
        <v>89</v>
      </c>
    </row>
    <row r="1136" spans="1:10" ht="12.5">
      <c r="A1136" s="2">
        <v>1134</v>
      </c>
      <c r="B1136" s="2">
        <v>2894</v>
      </c>
      <c r="C1136" s="2">
        <v>1985</v>
      </c>
      <c r="D1136" s="3" t="s">
        <v>9</v>
      </c>
      <c r="E1136" s="3" t="s">
        <v>10</v>
      </c>
      <c r="F1136" s="2">
        <v>72903</v>
      </c>
      <c r="G1136" s="2">
        <v>0</v>
      </c>
      <c r="H1136" s="2">
        <v>0</v>
      </c>
      <c r="I1136" s="5">
        <v>41576</v>
      </c>
      <c r="J1136" s="2">
        <v>74</v>
      </c>
    </row>
    <row r="1137" spans="1:10" ht="12.5">
      <c r="A1137" s="2">
        <v>1135</v>
      </c>
      <c r="B1137" s="2">
        <v>7613</v>
      </c>
      <c r="C1137" s="2">
        <v>1974</v>
      </c>
      <c r="D1137" s="3" t="s">
        <v>17</v>
      </c>
      <c r="E1137" s="3" t="s">
        <v>11</v>
      </c>
      <c r="F1137" s="2">
        <v>49669</v>
      </c>
      <c r="G1137" s="2">
        <v>1</v>
      </c>
      <c r="H1137" s="2">
        <v>0</v>
      </c>
      <c r="I1137" s="4">
        <v>41783</v>
      </c>
      <c r="J1137" s="2">
        <v>97</v>
      </c>
    </row>
    <row r="1138" spans="1:10" ht="12.5">
      <c r="A1138" s="2">
        <v>1136</v>
      </c>
      <c r="B1138" s="2">
        <v>10542</v>
      </c>
      <c r="C1138" s="2">
        <v>1968</v>
      </c>
      <c r="D1138" s="3" t="s">
        <v>12</v>
      </c>
      <c r="E1138" s="3" t="s">
        <v>13</v>
      </c>
      <c r="F1138" s="2">
        <v>36778</v>
      </c>
      <c r="G1138" s="2">
        <v>1</v>
      </c>
      <c r="H1138" s="2">
        <v>1</v>
      </c>
      <c r="I1138" s="4">
        <v>41126</v>
      </c>
      <c r="J1138" s="2">
        <v>63</v>
      </c>
    </row>
    <row r="1139" spans="1:10" ht="12.5">
      <c r="A1139" s="2">
        <v>1137</v>
      </c>
      <c r="B1139" s="2">
        <v>8015</v>
      </c>
      <c r="C1139" s="2">
        <v>1962</v>
      </c>
      <c r="D1139" s="3" t="s">
        <v>12</v>
      </c>
      <c r="E1139" s="3" t="s">
        <v>15</v>
      </c>
      <c r="F1139" s="2">
        <v>85696</v>
      </c>
      <c r="G1139" s="2">
        <v>0</v>
      </c>
      <c r="H1139" s="2">
        <v>0</v>
      </c>
      <c r="I1139" s="4">
        <v>41397</v>
      </c>
      <c r="J1139" s="2">
        <v>88</v>
      </c>
    </row>
    <row r="1140" spans="1:10" ht="12.5">
      <c r="A1140" s="2">
        <v>1138</v>
      </c>
      <c r="B1140" s="2">
        <v>10617</v>
      </c>
      <c r="C1140" s="2">
        <v>1989</v>
      </c>
      <c r="D1140" s="3" t="s">
        <v>14</v>
      </c>
      <c r="E1140" s="3" t="s">
        <v>15</v>
      </c>
      <c r="F1140" s="2">
        <v>10979</v>
      </c>
      <c r="G1140" s="2">
        <v>0</v>
      </c>
      <c r="H1140" s="2">
        <v>0</v>
      </c>
      <c r="I1140" s="4">
        <v>41781</v>
      </c>
      <c r="J1140" s="2">
        <v>34</v>
      </c>
    </row>
    <row r="1141" spans="1:10" ht="12.5">
      <c r="A1141" s="2">
        <v>1139</v>
      </c>
      <c r="B1141" s="2">
        <v>11166</v>
      </c>
      <c r="C1141" s="2">
        <v>1961</v>
      </c>
      <c r="D1141" s="3" t="s">
        <v>9</v>
      </c>
      <c r="E1141" s="3" t="s">
        <v>13</v>
      </c>
      <c r="F1141" s="2">
        <v>49678</v>
      </c>
      <c r="G1141" s="2">
        <v>0</v>
      </c>
      <c r="H1141" s="2">
        <v>1</v>
      </c>
      <c r="I1141" s="4">
        <v>41307</v>
      </c>
      <c r="J1141" s="2">
        <v>81</v>
      </c>
    </row>
    <row r="1142" spans="1:10" ht="12.5">
      <c r="A1142" s="2">
        <v>1140</v>
      </c>
      <c r="B1142" s="2">
        <v>849</v>
      </c>
      <c r="C1142" s="2">
        <v>1953</v>
      </c>
      <c r="D1142" s="3" t="s">
        <v>14</v>
      </c>
      <c r="E1142" s="3" t="s">
        <v>11</v>
      </c>
      <c r="F1142" s="2">
        <v>56129</v>
      </c>
      <c r="G1142" s="2">
        <v>0</v>
      </c>
      <c r="H1142" s="2">
        <v>1</v>
      </c>
      <c r="I1142" s="4">
        <v>41445</v>
      </c>
      <c r="J1142" s="2">
        <v>65</v>
      </c>
    </row>
    <row r="1143" spans="1:10" ht="12.5">
      <c r="A1143" s="2">
        <v>1141</v>
      </c>
      <c r="B1143" s="2">
        <v>523</v>
      </c>
      <c r="C1143" s="2">
        <v>1989</v>
      </c>
      <c r="D1143" s="3" t="s">
        <v>9</v>
      </c>
      <c r="E1143" s="3" t="s">
        <v>13</v>
      </c>
      <c r="F1143" s="2">
        <v>37155</v>
      </c>
      <c r="G1143" s="2">
        <v>1</v>
      </c>
      <c r="H1143" s="2">
        <v>0</v>
      </c>
      <c r="I1143" s="4">
        <v>41305</v>
      </c>
      <c r="J1143" s="2">
        <v>51</v>
      </c>
    </row>
    <row r="1144" spans="1:10" ht="12.5">
      <c r="A1144" s="2">
        <v>1142</v>
      </c>
      <c r="B1144" s="2">
        <v>4066</v>
      </c>
      <c r="C1144" s="2">
        <v>1978</v>
      </c>
      <c r="D1144" s="3" t="s">
        <v>17</v>
      </c>
      <c r="E1144" s="3" t="s">
        <v>15</v>
      </c>
      <c r="F1144" s="2">
        <v>21282</v>
      </c>
      <c r="G1144" s="2">
        <v>1</v>
      </c>
      <c r="H1144" s="2">
        <v>0</v>
      </c>
      <c r="I1144" s="4">
        <v>41770</v>
      </c>
      <c r="J1144" s="2">
        <v>76</v>
      </c>
    </row>
    <row r="1145" spans="1:10" ht="12.5">
      <c r="A1145" s="2">
        <v>1143</v>
      </c>
      <c r="B1145" s="2">
        <v>8414</v>
      </c>
      <c r="C1145" s="2">
        <v>1962</v>
      </c>
      <c r="D1145" s="3" t="s">
        <v>12</v>
      </c>
      <c r="E1145" s="3" t="s">
        <v>10</v>
      </c>
      <c r="F1145" s="2">
        <v>33419</v>
      </c>
      <c r="G1145" s="2">
        <v>0</v>
      </c>
      <c r="H1145" s="2">
        <v>1</v>
      </c>
      <c r="I1145" s="4">
        <v>41503</v>
      </c>
      <c r="J1145" s="2">
        <v>76</v>
      </c>
    </row>
    <row r="1146" spans="1:10" ht="12.5">
      <c r="A1146" s="2">
        <v>1144</v>
      </c>
      <c r="B1146" s="2">
        <v>819</v>
      </c>
      <c r="C1146" s="2">
        <v>1945</v>
      </c>
      <c r="D1146" s="3" t="s">
        <v>9</v>
      </c>
      <c r="E1146" s="3" t="s">
        <v>18</v>
      </c>
      <c r="F1146" s="2">
        <v>63285</v>
      </c>
      <c r="G1146" s="2">
        <v>0</v>
      </c>
      <c r="H1146" s="2">
        <v>0</v>
      </c>
      <c r="I1146" s="4">
        <v>41583</v>
      </c>
      <c r="J1146" s="2">
        <v>84</v>
      </c>
    </row>
    <row r="1147" spans="1:10" ht="12.5">
      <c r="A1147" s="2">
        <v>1145</v>
      </c>
      <c r="B1147" s="2">
        <v>4961</v>
      </c>
      <c r="C1147" s="2">
        <v>1974</v>
      </c>
      <c r="D1147" s="3" t="s">
        <v>14</v>
      </c>
      <c r="E1147" s="3" t="s">
        <v>11</v>
      </c>
      <c r="F1147" s="2">
        <v>21255</v>
      </c>
      <c r="G1147" s="2">
        <v>1</v>
      </c>
      <c r="H1147" s="2">
        <v>0</v>
      </c>
      <c r="I1147" s="4">
        <v>41660</v>
      </c>
      <c r="J1147" s="2">
        <v>56</v>
      </c>
    </row>
    <row r="1148" spans="1:10" ht="12.5">
      <c r="A1148" s="2">
        <v>1146</v>
      </c>
      <c r="B1148" s="2">
        <v>749</v>
      </c>
      <c r="C1148" s="2">
        <v>1981</v>
      </c>
      <c r="D1148" s="3" t="s">
        <v>9</v>
      </c>
      <c r="E1148" s="3" t="s">
        <v>11</v>
      </c>
      <c r="F1148" s="2">
        <v>42162</v>
      </c>
      <c r="G1148" s="2">
        <v>1</v>
      </c>
      <c r="H1148" s="2">
        <v>0</v>
      </c>
      <c r="I1148" s="5">
        <v>41597</v>
      </c>
      <c r="J1148" s="2">
        <v>31</v>
      </c>
    </row>
    <row r="1149" spans="1:10" ht="12.5">
      <c r="A1149" s="2">
        <v>1147</v>
      </c>
      <c r="B1149" s="2">
        <v>5430</v>
      </c>
      <c r="C1149" s="2">
        <v>1956</v>
      </c>
      <c r="D1149" s="3" t="s">
        <v>9</v>
      </c>
      <c r="E1149" s="3" t="s">
        <v>11</v>
      </c>
      <c r="F1149" s="2">
        <v>54450</v>
      </c>
      <c r="G1149" s="2">
        <v>1</v>
      </c>
      <c r="H1149" s="2">
        <v>1</v>
      </c>
      <c r="I1149" s="4">
        <v>41166</v>
      </c>
      <c r="J1149" s="2">
        <v>0</v>
      </c>
    </row>
    <row r="1150" spans="1:10" ht="12.5">
      <c r="A1150" s="2">
        <v>1148</v>
      </c>
      <c r="B1150" s="2">
        <v>7755</v>
      </c>
      <c r="C1150" s="2">
        <v>1954</v>
      </c>
      <c r="D1150" s="3" t="s">
        <v>12</v>
      </c>
      <c r="E1150" s="3" t="s">
        <v>13</v>
      </c>
      <c r="F1150" s="2">
        <v>57744</v>
      </c>
      <c r="G1150" s="2">
        <v>0</v>
      </c>
      <c r="H1150" s="2">
        <v>1</v>
      </c>
      <c r="I1150" s="5">
        <v>41590</v>
      </c>
      <c r="J1150" s="2">
        <v>91</v>
      </c>
    </row>
    <row r="1151" spans="1:10" ht="12.5">
      <c r="A1151" s="2">
        <v>1149</v>
      </c>
      <c r="B1151" s="2">
        <v>10525</v>
      </c>
      <c r="C1151" s="2">
        <v>1986</v>
      </c>
      <c r="D1151" s="3" t="s">
        <v>9</v>
      </c>
      <c r="E1151" s="3" t="s">
        <v>10</v>
      </c>
      <c r="F1151" s="2">
        <v>26576</v>
      </c>
      <c r="G1151" s="2">
        <v>1</v>
      </c>
      <c r="H1151" s="2">
        <v>0</v>
      </c>
      <c r="I1151" s="5">
        <v>41195</v>
      </c>
      <c r="J1151" s="2">
        <v>40</v>
      </c>
    </row>
    <row r="1152" spans="1:10" ht="12.5">
      <c r="A1152" s="2">
        <v>1150</v>
      </c>
      <c r="B1152" s="2">
        <v>1453</v>
      </c>
      <c r="C1152" s="2">
        <v>1943</v>
      </c>
      <c r="D1152" s="3" t="s">
        <v>12</v>
      </c>
      <c r="E1152" s="3" t="s">
        <v>18</v>
      </c>
      <c r="F1152" s="2">
        <v>57513</v>
      </c>
      <c r="G1152" s="2">
        <v>0</v>
      </c>
      <c r="H1152" s="2">
        <v>0</v>
      </c>
      <c r="I1152" s="4">
        <v>41461</v>
      </c>
      <c r="J1152" s="2">
        <v>59</v>
      </c>
    </row>
    <row r="1153" spans="1:10" ht="12.5">
      <c r="A1153" s="2">
        <v>1151</v>
      </c>
      <c r="B1153" s="2">
        <v>8310</v>
      </c>
      <c r="C1153" s="2">
        <v>1964</v>
      </c>
      <c r="D1153" s="3" t="s">
        <v>9</v>
      </c>
      <c r="E1153" s="3" t="s">
        <v>11</v>
      </c>
      <c r="F1153" s="2">
        <v>68142</v>
      </c>
      <c r="G1153" s="2">
        <v>0</v>
      </c>
      <c r="H1153" s="2">
        <v>1</v>
      </c>
      <c r="I1153" s="4">
        <v>41150</v>
      </c>
      <c r="J1153" s="2">
        <v>96</v>
      </c>
    </row>
    <row r="1154" spans="1:10" ht="12.5">
      <c r="A1154" s="2">
        <v>1152</v>
      </c>
      <c r="B1154" s="2">
        <v>10710</v>
      </c>
      <c r="C1154" s="2">
        <v>1979</v>
      </c>
      <c r="D1154" s="3" t="s">
        <v>9</v>
      </c>
      <c r="E1154" s="3" t="s">
        <v>13</v>
      </c>
      <c r="F1154" s="2">
        <v>7500</v>
      </c>
      <c r="G1154" s="2">
        <v>0</v>
      </c>
      <c r="H1154" s="2">
        <v>1</v>
      </c>
      <c r="I1154" s="4">
        <v>41150</v>
      </c>
      <c r="J1154" s="2">
        <v>61</v>
      </c>
    </row>
    <row r="1155" spans="1:10" ht="12.5">
      <c r="A1155" s="2">
        <v>1153</v>
      </c>
      <c r="B1155" s="2">
        <v>5031</v>
      </c>
      <c r="C1155" s="2">
        <v>1974</v>
      </c>
      <c r="D1155" s="3" t="s">
        <v>9</v>
      </c>
      <c r="E1155" s="3" t="s">
        <v>11</v>
      </c>
      <c r="F1155" s="2">
        <v>83145</v>
      </c>
      <c r="G1155" s="2">
        <v>0</v>
      </c>
      <c r="H1155" s="2">
        <v>0</v>
      </c>
      <c r="I1155" s="4">
        <v>41174</v>
      </c>
      <c r="J1155" s="2">
        <v>14</v>
      </c>
    </row>
    <row r="1156" spans="1:10" ht="12.5">
      <c r="A1156" s="2">
        <v>1154</v>
      </c>
      <c r="B1156" s="2">
        <v>2613</v>
      </c>
      <c r="C1156" s="2">
        <v>1960</v>
      </c>
      <c r="D1156" s="3" t="s">
        <v>14</v>
      </c>
      <c r="E1156" s="3" t="s">
        <v>13</v>
      </c>
      <c r="F1156" s="2">
        <v>54197</v>
      </c>
      <c r="G1156" s="2">
        <v>0</v>
      </c>
      <c r="H1156" s="2">
        <v>1</v>
      </c>
      <c r="I1156" s="4">
        <v>41732</v>
      </c>
      <c r="J1156" s="2">
        <v>16</v>
      </c>
    </row>
    <row r="1157" spans="1:10" ht="12.5">
      <c r="A1157" s="2">
        <v>1155</v>
      </c>
      <c r="B1157" s="2">
        <v>213</v>
      </c>
      <c r="C1157" s="2">
        <v>1963</v>
      </c>
      <c r="D1157" s="3" t="s">
        <v>12</v>
      </c>
      <c r="E1157" s="3" t="s">
        <v>10</v>
      </c>
      <c r="F1157" s="2">
        <v>23091</v>
      </c>
      <c r="G1157" s="2">
        <v>1</v>
      </c>
      <c r="H1157" s="2">
        <v>1</v>
      </c>
      <c r="I1157" s="4">
        <v>41787</v>
      </c>
      <c r="J1157" s="2">
        <v>98</v>
      </c>
    </row>
    <row r="1158" spans="1:10" ht="12.5">
      <c r="A1158" s="2">
        <v>1156</v>
      </c>
      <c r="B1158" s="2">
        <v>967</v>
      </c>
      <c r="C1158" s="2">
        <v>1976</v>
      </c>
      <c r="D1158" s="3" t="s">
        <v>9</v>
      </c>
      <c r="E1158" s="3" t="s">
        <v>13</v>
      </c>
      <c r="F1158" s="2">
        <v>46049</v>
      </c>
      <c r="G1158" s="2">
        <v>1</v>
      </c>
      <c r="H1158" s="2">
        <v>1</v>
      </c>
      <c r="I1158" s="4">
        <v>41476</v>
      </c>
      <c r="J1158" s="2">
        <v>11</v>
      </c>
    </row>
    <row r="1159" spans="1:10" ht="12.5">
      <c r="A1159" s="2">
        <v>1157</v>
      </c>
      <c r="B1159" s="2">
        <v>1077</v>
      </c>
      <c r="C1159" s="2">
        <v>1974</v>
      </c>
      <c r="D1159" s="3" t="s">
        <v>9</v>
      </c>
      <c r="E1159" s="3" t="s">
        <v>11</v>
      </c>
      <c r="F1159" s="2">
        <v>56715</v>
      </c>
      <c r="G1159" s="2">
        <v>0</v>
      </c>
      <c r="H1159" s="2">
        <v>0</v>
      </c>
      <c r="I1159" s="4">
        <v>41248</v>
      </c>
      <c r="J1159" s="2">
        <v>52</v>
      </c>
    </row>
    <row r="1160" spans="1:10" ht="12.5">
      <c r="A1160" s="2">
        <v>1158</v>
      </c>
      <c r="B1160" s="2">
        <v>7959</v>
      </c>
      <c r="C1160" s="2">
        <v>1961</v>
      </c>
      <c r="D1160" s="3" t="s">
        <v>9</v>
      </c>
      <c r="E1160" s="3" t="s">
        <v>13</v>
      </c>
      <c r="F1160" s="2">
        <v>79410</v>
      </c>
      <c r="G1160" s="2">
        <v>0</v>
      </c>
      <c r="H1160" s="2">
        <v>0</v>
      </c>
      <c r="I1160" s="4">
        <v>41788</v>
      </c>
      <c r="J1160" s="2">
        <v>19</v>
      </c>
    </row>
    <row r="1161" spans="1:10" ht="12.5">
      <c r="A1161" s="2">
        <v>1159</v>
      </c>
      <c r="B1161" s="2">
        <v>640</v>
      </c>
      <c r="C1161" s="2">
        <v>1951</v>
      </c>
      <c r="D1161" s="3" t="s">
        <v>9</v>
      </c>
      <c r="E1161" s="3" t="s">
        <v>13</v>
      </c>
      <c r="F1161" s="2">
        <v>57304</v>
      </c>
      <c r="G1161" s="2">
        <v>0</v>
      </c>
      <c r="H1161" s="2">
        <v>1</v>
      </c>
      <c r="I1161" s="4">
        <v>41344</v>
      </c>
      <c r="J1161" s="2">
        <v>61</v>
      </c>
    </row>
    <row r="1162" spans="1:10" ht="12.5">
      <c r="A1162" s="2">
        <v>1160</v>
      </c>
      <c r="B1162" s="2">
        <v>4252</v>
      </c>
      <c r="C1162" s="2">
        <v>1965</v>
      </c>
      <c r="D1162" s="3" t="s">
        <v>9</v>
      </c>
      <c r="E1162" s="3" t="s">
        <v>13</v>
      </c>
      <c r="F1162" s="2">
        <v>44375</v>
      </c>
      <c r="G1162" s="2">
        <v>0</v>
      </c>
      <c r="H1162" s="2">
        <v>1</v>
      </c>
      <c r="I1162" s="4">
        <v>41721</v>
      </c>
      <c r="J1162" s="2">
        <v>73</v>
      </c>
    </row>
    <row r="1163" spans="1:10" ht="12.5">
      <c r="A1163" s="2">
        <v>1161</v>
      </c>
      <c r="B1163" s="2">
        <v>8432</v>
      </c>
      <c r="C1163" s="2">
        <v>1956</v>
      </c>
      <c r="D1163" s="3" t="s">
        <v>9</v>
      </c>
      <c r="E1163" s="3" t="s">
        <v>11</v>
      </c>
      <c r="F1163" s="2">
        <v>54450</v>
      </c>
      <c r="G1163" s="2">
        <v>1</v>
      </c>
      <c r="H1163" s="2">
        <v>1</v>
      </c>
      <c r="I1163" s="4">
        <v>41166</v>
      </c>
      <c r="J1163" s="2">
        <v>0</v>
      </c>
    </row>
    <row r="1164" spans="1:10" ht="12.5">
      <c r="A1164" s="2">
        <v>1162</v>
      </c>
      <c r="B1164" s="2">
        <v>6218</v>
      </c>
      <c r="C1164" s="2">
        <v>1965</v>
      </c>
      <c r="D1164" s="3" t="s">
        <v>9</v>
      </c>
      <c r="E1164" s="3" t="s">
        <v>13</v>
      </c>
      <c r="F1164" s="2">
        <v>59594</v>
      </c>
      <c r="G1164" s="2">
        <v>0</v>
      </c>
      <c r="H1164" s="2">
        <v>1</v>
      </c>
      <c r="I1164" s="5">
        <v>41202</v>
      </c>
      <c r="J1164" s="2">
        <v>74</v>
      </c>
    </row>
    <row r="1165" spans="1:10" ht="12.5">
      <c r="A1165" s="2">
        <v>1163</v>
      </c>
      <c r="B1165" s="2">
        <v>6905</v>
      </c>
      <c r="C1165" s="2">
        <v>1994</v>
      </c>
      <c r="D1165" s="3" t="s">
        <v>9</v>
      </c>
      <c r="E1165" s="3" t="s">
        <v>11</v>
      </c>
      <c r="F1165" s="2">
        <v>80685</v>
      </c>
      <c r="G1165" s="2">
        <v>0</v>
      </c>
      <c r="H1165" s="2">
        <v>0</v>
      </c>
      <c r="I1165" s="4">
        <v>41143</v>
      </c>
      <c r="J1165" s="2">
        <v>55</v>
      </c>
    </row>
    <row r="1166" spans="1:10" ht="12.5">
      <c r="A1166" s="2">
        <v>1164</v>
      </c>
      <c r="B1166" s="2">
        <v>5922</v>
      </c>
      <c r="C1166" s="2">
        <v>1974</v>
      </c>
      <c r="D1166" s="3" t="s">
        <v>12</v>
      </c>
      <c r="E1166" s="3" t="s">
        <v>13</v>
      </c>
      <c r="F1166" s="2">
        <v>40344</v>
      </c>
      <c r="G1166" s="2">
        <v>0</v>
      </c>
      <c r="H1166" s="2">
        <v>1</v>
      </c>
      <c r="I1166" s="5">
        <v>41560</v>
      </c>
      <c r="J1166" s="2">
        <v>48</v>
      </c>
    </row>
    <row r="1167" spans="1:10" ht="12.5">
      <c r="A1167" s="2">
        <v>1165</v>
      </c>
      <c r="B1167" s="2">
        <v>3598</v>
      </c>
      <c r="C1167" s="2">
        <v>1972</v>
      </c>
      <c r="D1167" s="3" t="s">
        <v>9</v>
      </c>
      <c r="E1167" s="3" t="s">
        <v>13</v>
      </c>
      <c r="F1167" s="2">
        <v>62710</v>
      </c>
      <c r="G1167" s="2">
        <v>0</v>
      </c>
      <c r="H1167" s="2">
        <v>1</v>
      </c>
      <c r="I1167" s="4">
        <v>41417</v>
      </c>
      <c r="J1167" s="2">
        <v>53</v>
      </c>
    </row>
    <row r="1168" spans="1:10" ht="12.5">
      <c r="A1168" s="2">
        <v>1166</v>
      </c>
      <c r="B1168" s="2">
        <v>6116</v>
      </c>
      <c r="C1168" s="2">
        <v>1968</v>
      </c>
      <c r="D1168" s="3" t="s">
        <v>17</v>
      </c>
      <c r="E1168" s="3" t="s">
        <v>13</v>
      </c>
      <c r="F1168" s="2">
        <v>48985</v>
      </c>
      <c r="G1168" s="2">
        <v>0</v>
      </c>
      <c r="H1168" s="2">
        <v>1</v>
      </c>
      <c r="I1168" s="4">
        <v>41460</v>
      </c>
      <c r="J1168" s="2">
        <v>13</v>
      </c>
    </row>
    <row r="1169" spans="1:10" ht="12.5">
      <c r="A1169" s="2">
        <v>1167</v>
      </c>
      <c r="B1169" s="2">
        <v>6263</v>
      </c>
      <c r="C1169" s="2">
        <v>1968</v>
      </c>
      <c r="D1169" s="3" t="s">
        <v>9</v>
      </c>
      <c r="E1169" s="3" t="s">
        <v>11</v>
      </c>
      <c r="F1169" s="2">
        <v>35322</v>
      </c>
      <c r="G1169" s="2">
        <v>1</v>
      </c>
      <c r="H1169" s="2">
        <v>2</v>
      </c>
      <c r="I1169" s="4">
        <v>41143</v>
      </c>
      <c r="J1169" s="2">
        <v>34</v>
      </c>
    </row>
    <row r="1170" spans="1:10" ht="12.5">
      <c r="A1170" s="2">
        <v>1168</v>
      </c>
      <c r="B1170" s="2">
        <v>10486</v>
      </c>
      <c r="C1170" s="2">
        <v>1948</v>
      </c>
      <c r="D1170" s="3" t="s">
        <v>9</v>
      </c>
      <c r="E1170" s="3" t="s">
        <v>13</v>
      </c>
      <c r="F1170" s="2">
        <v>77142</v>
      </c>
      <c r="G1170" s="2">
        <v>0</v>
      </c>
      <c r="H1170" s="2">
        <v>0</v>
      </c>
      <c r="I1170" s="4">
        <v>41423</v>
      </c>
      <c r="J1170" s="2">
        <v>54</v>
      </c>
    </row>
    <row r="1171" spans="1:10" ht="12.5">
      <c r="A1171" s="2">
        <v>1169</v>
      </c>
      <c r="B1171" s="2">
        <v>2410</v>
      </c>
      <c r="C1171" s="2">
        <v>1969</v>
      </c>
      <c r="D1171" s="3" t="s">
        <v>9</v>
      </c>
      <c r="E1171" s="3" t="s">
        <v>10</v>
      </c>
      <c r="F1171" s="2">
        <v>81657</v>
      </c>
      <c r="G1171" s="2">
        <v>0</v>
      </c>
      <c r="H1171" s="2">
        <v>0</v>
      </c>
      <c r="I1171" s="4">
        <v>41661</v>
      </c>
      <c r="J1171" s="2">
        <v>69</v>
      </c>
    </row>
    <row r="1172" spans="1:10" ht="12.5">
      <c r="A1172" s="2">
        <v>1170</v>
      </c>
      <c r="B1172" s="2">
        <v>193</v>
      </c>
      <c r="C1172" s="2">
        <v>1996</v>
      </c>
      <c r="D1172" s="3" t="s">
        <v>16</v>
      </c>
      <c r="E1172" s="3" t="s">
        <v>13</v>
      </c>
      <c r="F1172" s="2">
        <v>14421</v>
      </c>
      <c r="G1172" s="2">
        <v>0</v>
      </c>
      <c r="H1172" s="2">
        <v>0</v>
      </c>
      <c r="I1172" s="4">
        <v>41687</v>
      </c>
      <c r="J1172" s="2">
        <v>81</v>
      </c>
    </row>
    <row r="1173" spans="1:10" ht="12.5">
      <c r="A1173" s="2">
        <v>1171</v>
      </c>
      <c r="B1173" s="2">
        <v>3363</v>
      </c>
      <c r="C1173" s="2">
        <v>1974</v>
      </c>
      <c r="D1173" s="3" t="s">
        <v>17</v>
      </c>
      <c r="E1173" s="3" t="s">
        <v>13</v>
      </c>
      <c r="F1173" s="2">
        <v>20130</v>
      </c>
      <c r="G1173" s="2">
        <v>0</v>
      </c>
      <c r="H1173" s="2">
        <v>0</v>
      </c>
      <c r="I1173" s="4">
        <v>41715</v>
      </c>
      <c r="J1173" s="2">
        <v>99</v>
      </c>
    </row>
    <row r="1174" spans="1:10" ht="12.5">
      <c r="A1174" s="2">
        <v>1172</v>
      </c>
      <c r="B1174" s="2">
        <v>8278</v>
      </c>
      <c r="C1174" s="2">
        <v>1990</v>
      </c>
      <c r="D1174" s="3" t="s">
        <v>12</v>
      </c>
      <c r="E1174" s="3" t="s">
        <v>13</v>
      </c>
      <c r="F1174" s="2">
        <v>74214</v>
      </c>
      <c r="G1174" s="2">
        <v>0</v>
      </c>
      <c r="H1174" s="2">
        <v>0</v>
      </c>
      <c r="I1174" s="4">
        <v>41147</v>
      </c>
      <c r="J1174" s="2">
        <v>3</v>
      </c>
    </row>
    <row r="1175" spans="1:10" ht="12.5">
      <c r="A1175" s="2">
        <v>1173</v>
      </c>
      <c r="B1175" s="2">
        <v>10660</v>
      </c>
      <c r="C1175" s="2">
        <v>1957</v>
      </c>
      <c r="D1175" s="3" t="s">
        <v>14</v>
      </c>
      <c r="E1175" s="3" t="s">
        <v>13</v>
      </c>
      <c r="F1175" s="2">
        <v>66726</v>
      </c>
      <c r="G1175" s="2">
        <v>1</v>
      </c>
      <c r="H1175" s="2">
        <v>1</v>
      </c>
      <c r="I1175" s="4">
        <v>41651</v>
      </c>
      <c r="J1175" s="2">
        <v>61</v>
      </c>
    </row>
    <row r="1176" spans="1:10" ht="12.5">
      <c r="A1176" s="2">
        <v>1174</v>
      </c>
      <c r="B1176" s="2">
        <v>8686</v>
      </c>
      <c r="C1176" s="2">
        <v>1979</v>
      </c>
      <c r="D1176" s="3" t="s">
        <v>16</v>
      </c>
      <c r="E1176" s="3" t="s">
        <v>11</v>
      </c>
      <c r="F1176" s="2">
        <v>23724</v>
      </c>
      <c r="G1176" s="2">
        <v>1</v>
      </c>
      <c r="H1176" s="2">
        <v>0</v>
      </c>
      <c r="I1176" s="4">
        <v>41282</v>
      </c>
      <c r="J1176" s="2">
        <v>65</v>
      </c>
    </row>
    <row r="1177" spans="1:10" ht="12.5">
      <c r="A1177" s="2">
        <v>1175</v>
      </c>
      <c r="B1177" s="2">
        <v>1604</v>
      </c>
      <c r="C1177" s="2">
        <v>1960</v>
      </c>
      <c r="D1177" s="3" t="s">
        <v>14</v>
      </c>
      <c r="E1177" s="3" t="s">
        <v>13</v>
      </c>
      <c r="F1177" s="2">
        <v>47353</v>
      </c>
      <c r="G1177" s="2">
        <v>0</v>
      </c>
      <c r="H1177" s="2">
        <v>1</v>
      </c>
      <c r="I1177" s="5">
        <v>41591</v>
      </c>
      <c r="J1177" s="2">
        <v>93</v>
      </c>
    </row>
    <row r="1178" spans="1:10" ht="12.5">
      <c r="A1178" s="2">
        <v>1176</v>
      </c>
      <c r="B1178" s="2">
        <v>5907</v>
      </c>
      <c r="C1178" s="2">
        <v>1952</v>
      </c>
      <c r="D1178" s="3" t="s">
        <v>14</v>
      </c>
      <c r="E1178" s="3" t="s">
        <v>13</v>
      </c>
      <c r="F1178" s="2">
        <v>33444</v>
      </c>
      <c r="G1178" s="2">
        <v>1</v>
      </c>
      <c r="H1178" s="2">
        <v>1</v>
      </c>
      <c r="I1178" s="4">
        <v>41216</v>
      </c>
      <c r="J1178" s="2">
        <v>24</v>
      </c>
    </row>
    <row r="1179" spans="1:10" ht="12.5">
      <c r="A1179" s="2">
        <v>1177</v>
      </c>
      <c r="B1179" s="2">
        <v>10669</v>
      </c>
      <c r="C1179" s="2">
        <v>1981</v>
      </c>
      <c r="D1179" s="3" t="s">
        <v>9</v>
      </c>
      <c r="E1179" s="3" t="s">
        <v>13</v>
      </c>
      <c r="F1179" s="2">
        <v>54386</v>
      </c>
      <c r="G1179" s="2">
        <v>0</v>
      </c>
      <c r="H1179" s="2">
        <v>1</v>
      </c>
      <c r="I1179" s="4">
        <v>41411</v>
      </c>
      <c r="J1179" s="2">
        <v>8</v>
      </c>
    </row>
    <row r="1180" spans="1:10" ht="12.5">
      <c r="A1180" s="2">
        <v>1178</v>
      </c>
      <c r="B1180" s="2">
        <v>2918</v>
      </c>
      <c r="C1180" s="2">
        <v>1981</v>
      </c>
      <c r="D1180" s="3" t="s">
        <v>9</v>
      </c>
      <c r="E1180" s="3" t="s">
        <v>15</v>
      </c>
      <c r="F1180" s="2">
        <v>28510</v>
      </c>
      <c r="G1180" s="2">
        <v>1</v>
      </c>
      <c r="H1180" s="2">
        <v>1</v>
      </c>
      <c r="I1180" s="4">
        <v>41377</v>
      </c>
      <c r="J1180" s="2">
        <v>72</v>
      </c>
    </row>
    <row r="1181" spans="1:10" ht="12.5">
      <c r="A1181" s="2">
        <v>1179</v>
      </c>
      <c r="B1181" s="2">
        <v>5735</v>
      </c>
      <c r="C1181" s="2">
        <v>1991</v>
      </c>
      <c r="D1181" s="3" t="s">
        <v>14</v>
      </c>
      <c r="E1181" s="3" t="s">
        <v>10</v>
      </c>
      <c r="F1181" s="2">
        <v>90638</v>
      </c>
      <c r="G1181" s="2">
        <v>0</v>
      </c>
      <c r="H1181" s="2">
        <v>0</v>
      </c>
      <c r="I1181" s="4">
        <v>41683</v>
      </c>
      <c r="J1181" s="2">
        <v>29</v>
      </c>
    </row>
    <row r="1182" spans="1:10" ht="12.5">
      <c r="A1182" s="2">
        <v>1180</v>
      </c>
      <c r="B1182" s="2">
        <v>359</v>
      </c>
      <c r="C1182" s="2">
        <v>1950</v>
      </c>
      <c r="D1182" s="3" t="s">
        <v>9</v>
      </c>
      <c r="E1182" s="3" t="s">
        <v>11</v>
      </c>
      <c r="F1182" s="2">
        <v>48070</v>
      </c>
      <c r="G1182" s="2">
        <v>0</v>
      </c>
      <c r="H1182" s="2">
        <v>1</v>
      </c>
      <c r="I1182" s="4">
        <v>41287</v>
      </c>
      <c r="J1182" s="2">
        <v>33</v>
      </c>
    </row>
    <row r="1183" spans="1:10" ht="12.5">
      <c r="A1183" s="2">
        <v>1181</v>
      </c>
      <c r="B1183" s="2">
        <v>8387</v>
      </c>
      <c r="C1183" s="2">
        <v>1957</v>
      </c>
      <c r="D1183" s="3" t="s">
        <v>9</v>
      </c>
      <c r="E1183" s="3" t="s">
        <v>13</v>
      </c>
      <c r="F1183" s="2">
        <v>43140</v>
      </c>
      <c r="G1183" s="2">
        <v>0</v>
      </c>
      <c r="H1183" s="2">
        <v>1</v>
      </c>
      <c r="I1183" s="4">
        <v>41279</v>
      </c>
      <c r="J1183" s="2">
        <v>68</v>
      </c>
    </row>
    <row r="1184" spans="1:10" ht="12.5">
      <c r="A1184" s="2">
        <v>1182</v>
      </c>
      <c r="B1184" s="2">
        <v>1829</v>
      </c>
      <c r="C1184" s="2">
        <v>1961</v>
      </c>
      <c r="D1184" s="3" t="s">
        <v>12</v>
      </c>
      <c r="E1184" s="3" t="s">
        <v>15</v>
      </c>
      <c r="F1184" s="2">
        <v>54959</v>
      </c>
      <c r="G1184" s="2">
        <v>0</v>
      </c>
      <c r="H1184" s="2">
        <v>1</v>
      </c>
      <c r="I1184" s="4">
        <v>41293</v>
      </c>
      <c r="J1184" s="2">
        <v>55</v>
      </c>
    </row>
    <row r="1185" spans="1:10" ht="12.5">
      <c r="A1185" s="2">
        <v>1183</v>
      </c>
      <c r="B1185" s="2">
        <v>3839</v>
      </c>
      <c r="C1185" s="2">
        <v>1958</v>
      </c>
      <c r="D1185" s="3" t="s">
        <v>16</v>
      </c>
      <c r="E1185" s="3" t="s">
        <v>10</v>
      </c>
      <c r="F1185" s="2">
        <v>15056</v>
      </c>
      <c r="G1185" s="2">
        <v>1</v>
      </c>
      <c r="H1185" s="2">
        <v>1</v>
      </c>
      <c r="I1185" s="4">
        <v>41397</v>
      </c>
      <c r="J1185" s="2">
        <v>76</v>
      </c>
    </row>
    <row r="1186" spans="1:10" ht="12.5">
      <c r="A1186" s="2">
        <v>1184</v>
      </c>
      <c r="B1186" s="2">
        <v>9392</v>
      </c>
      <c r="C1186" s="2">
        <v>1971</v>
      </c>
      <c r="D1186" s="3" t="s">
        <v>9</v>
      </c>
      <c r="E1186" s="3" t="s">
        <v>10</v>
      </c>
      <c r="F1186" s="2">
        <v>26954</v>
      </c>
      <c r="G1186" s="2">
        <v>1</v>
      </c>
      <c r="H1186" s="2">
        <v>0</v>
      </c>
      <c r="I1186" s="4">
        <v>41767</v>
      </c>
      <c r="J1186" s="2">
        <v>17</v>
      </c>
    </row>
    <row r="1187" spans="1:10" ht="12.5">
      <c r="A1187" s="2">
        <v>1185</v>
      </c>
      <c r="B1187" s="2">
        <v>2292</v>
      </c>
      <c r="C1187" s="2">
        <v>1985</v>
      </c>
      <c r="D1187" s="3" t="s">
        <v>9</v>
      </c>
      <c r="E1187" s="3" t="s">
        <v>10</v>
      </c>
      <c r="F1187" s="2">
        <v>22327</v>
      </c>
      <c r="G1187" s="2">
        <v>1</v>
      </c>
      <c r="H1187" s="2">
        <v>0</v>
      </c>
      <c r="I1187" s="4">
        <v>41488</v>
      </c>
      <c r="J1187" s="2">
        <v>94</v>
      </c>
    </row>
    <row r="1188" spans="1:10" ht="12.5">
      <c r="A1188" s="2">
        <v>1186</v>
      </c>
      <c r="B1188" s="2">
        <v>10466</v>
      </c>
      <c r="C1188" s="2">
        <v>1965</v>
      </c>
      <c r="D1188" s="3" t="s">
        <v>9</v>
      </c>
      <c r="E1188" s="3" t="s">
        <v>13</v>
      </c>
      <c r="F1188" s="2">
        <v>44393</v>
      </c>
      <c r="G1188" s="2">
        <v>1</v>
      </c>
      <c r="H1188" s="2">
        <v>1</v>
      </c>
      <c r="I1188" s="4">
        <v>41508</v>
      </c>
      <c r="J1188" s="2">
        <v>86</v>
      </c>
    </row>
    <row r="1189" spans="1:10" ht="12.5">
      <c r="A1189" s="2">
        <v>1187</v>
      </c>
      <c r="B1189" s="2">
        <v>9855</v>
      </c>
      <c r="C1189" s="2">
        <v>1952</v>
      </c>
      <c r="D1189" s="3" t="s">
        <v>12</v>
      </c>
      <c r="E1189" s="3" t="s">
        <v>10</v>
      </c>
      <c r="F1189" s="2">
        <v>62000</v>
      </c>
      <c r="G1189" s="2">
        <v>0</v>
      </c>
      <c r="H1189" s="2">
        <v>1</v>
      </c>
      <c r="I1189" s="4">
        <v>41511</v>
      </c>
      <c r="J1189" s="2">
        <v>25</v>
      </c>
    </row>
    <row r="1190" spans="1:10" ht="12.5">
      <c r="A1190" s="2">
        <v>1188</v>
      </c>
      <c r="B1190" s="2">
        <v>4088</v>
      </c>
      <c r="C1190" s="2">
        <v>1962</v>
      </c>
      <c r="D1190" s="3" t="s">
        <v>12</v>
      </c>
      <c r="E1190" s="3" t="s">
        <v>11</v>
      </c>
      <c r="F1190" s="2">
        <v>31497</v>
      </c>
      <c r="G1190" s="2">
        <v>0</v>
      </c>
      <c r="H1190" s="2">
        <v>1</v>
      </c>
      <c r="I1190" s="4">
        <v>41249</v>
      </c>
      <c r="J1190" s="2">
        <v>22</v>
      </c>
    </row>
    <row r="1191" spans="1:10" ht="12.5">
      <c r="A1191" s="2">
        <v>1189</v>
      </c>
      <c r="B1191" s="2">
        <v>5231</v>
      </c>
      <c r="C1191" s="2">
        <v>1974</v>
      </c>
      <c r="D1191" s="3" t="s">
        <v>17</v>
      </c>
      <c r="E1191" s="3" t="s">
        <v>13</v>
      </c>
      <c r="F1191" s="2">
        <v>45894</v>
      </c>
      <c r="G1191" s="2">
        <v>0</v>
      </c>
      <c r="H1191" s="2">
        <v>2</v>
      </c>
      <c r="I1191" s="4">
        <v>41697</v>
      </c>
      <c r="J1191" s="2">
        <v>15</v>
      </c>
    </row>
    <row r="1192" spans="1:10" ht="12.5">
      <c r="A1192" s="2">
        <v>1190</v>
      </c>
      <c r="B1192" s="2">
        <v>590</v>
      </c>
      <c r="C1192" s="2">
        <v>1970</v>
      </c>
      <c r="D1192" s="3" t="s">
        <v>14</v>
      </c>
      <c r="E1192" s="3" t="s">
        <v>15</v>
      </c>
      <c r="F1192" s="2">
        <v>78579</v>
      </c>
      <c r="G1192" s="2">
        <v>0</v>
      </c>
      <c r="H1192" s="2">
        <v>0</v>
      </c>
      <c r="I1192" s="5">
        <v>41265</v>
      </c>
      <c r="J1192" s="2">
        <v>35</v>
      </c>
    </row>
    <row r="1193" spans="1:10" ht="12.5">
      <c r="A1193" s="2">
        <v>1191</v>
      </c>
      <c r="B1193" s="2">
        <v>8732</v>
      </c>
      <c r="C1193" s="2">
        <v>1969</v>
      </c>
      <c r="D1193" s="3" t="s">
        <v>14</v>
      </c>
      <c r="E1193" s="3" t="s">
        <v>18</v>
      </c>
      <c r="F1193" s="2">
        <v>67369</v>
      </c>
      <c r="G1193" s="2">
        <v>0</v>
      </c>
      <c r="H1193" s="2">
        <v>1</v>
      </c>
      <c r="I1193" s="5">
        <v>41230</v>
      </c>
      <c r="J1193" s="2">
        <v>81</v>
      </c>
    </row>
    <row r="1194" spans="1:10" ht="12.5">
      <c r="A1194" s="2">
        <v>1192</v>
      </c>
      <c r="B1194" s="2">
        <v>2315</v>
      </c>
      <c r="C1194" s="2">
        <v>1960</v>
      </c>
      <c r="D1194" s="3" t="s">
        <v>9</v>
      </c>
      <c r="E1194" s="3" t="s">
        <v>15</v>
      </c>
      <c r="F1194" s="2">
        <v>58401</v>
      </c>
      <c r="G1194" s="2">
        <v>0</v>
      </c>
      <c r="H1194" s="2">
        <v>1</v>
      </c>
      <c r="I1194" s="4">
        <v>41749</v>
      </c>
      <c r="J1194" s="2">
        <v>55</v>
      </c>
    </row>
    <row r="1195" spans="1:10" ht="12.5">
      <c r="A1195" s="2">
        <v>1193</v>
      </c>
      <c r="B1195" s="2">
        <v>3515</v>
      </c>
      <c r="C1195" s="2">
        <v>1952</v>
      </c>
      <c r="D1195" s="3" t="s">
        <v>9</v>
      </c>
      <c r="E1195" s="3" t="s">
        <v>10</v>
      </c>
      <c r="F1195" s="2">
        <v>62307</v>
      </c>
      <c r="G1195" s="2">
        <v>0</v>
      </c>
      <c r="H1195" s="2">
        <v>1</v>
      </c>
      <c r="I1195" s="4">
        <v>41687</v>
      </c>
      <c r="J1195" s="2">
        <v>94</v>
      </c>
    </row>
    <row r="1196" spans="1:10" ht="12.5">
      <c r="A1196" s="2">
        <v>1194</v>
      </c>
      <c r="B1196" s="2">
        <v>2245</v>
      </c>
      <c r="C1196" s="2">
        <v>1969</v>
      </c>
      <c r="D1196" s="3" t="s">
        <v>14</v>
      </c>
      <c r="E1196" s="3" t="s">
        <v>13</v>
      </c>
      <c r="F1196" s="2">
        <v>43641</v>
      </c>
      <c r="G1196" s="2">
        <v>1</v>
      </c>
      <c r="H1196" s="2">
        <v>1</v>
      </c>
      <c r="I1196" s="4">
        <v>41386</v>
      </c>
      <c r="J1196" s="2">
        <v>50</v>
      </c>
    </row>
    <row r="1197" spans="1:10" ht="12.5">
      <c r="A1197" s="2">
        <v>1195</v>
      </c>
      <c r="B1197" s="2">
        <v>6283</v>
      </c>
      <c r="C1197" s="2">
        <v>1968</v>
      </c>
      <c r="D1197" s="3" t="s">
        <v>14</v>
      </c>
      <c r="E1197" s="3" t="s">
        <v>15</v>
      </c>
      <c r="F1197" s="2">
        <v>63841</v>
      </c>
      <c r="G1197" s="2">
        <v>0</v>
      </c>
      <c r="H1197" s="2">
        <v>1</v>
      </c>
      <c r="I1197" s="4">
        <v>41385</v>
      </c>
      <c r="J1197" s="2">
        <v>64</v>
      </c>
    </row>
    <row r="1198" spans="1:10" ht="12.5">
      <c r="A1198" s="2">
        <v>1196</v>
      </c>
      <c r="B1198" s="2">
        <v>2246</v>
      </c>
      <c r="C1198" s="2">
        <v>1965</v>
      </c>
      <c r="D1198" s="3" t="s">
        <v>17</v>
      </c>
      <c r="E1198" s="3" t="s">
        <v>13</v>
      </c>
      <c r="F1198" s="2">
        <v>46891</v>
      </c>
      <c r="G1198" s="2">
        <v>0</v>
      </c>
      <c r="H1198" s="2">
        <v>1</v>
      </c>
      <c r="I1198" s="4">
        <v>41518</v>
      </c>
      <c r="J1198" s="2">
        <v>91</v>
      </c>
    </row>
    <row r="1199" spans="1:10" ht="12.5">
      <c r="A1199" s="2">
        <v>1197</v>
      </c>
      <c r="B1199" s="2">
        <v>6606</v>
      </c>
      <c r="C1199" s="2">
        <v>1969</v>
      </c>
      <c r="D1199" s="3" t="s">
        <v>14</v>
      </c>
      <c r="E1199" s="3" t="s">
        <v>13</v>
      </c>
      <c r="F1199" s="2">
        <v>70091</v>
      </c>
      <c r="G1199" s="2">
        <v>1</v>
      </c>
      <c r="H1199" s="2">
        <v>0</v>
      </c>
      <c r="I1199" s="4">
        <v>41364</v>
      </c>
      <c r="J1199" s="2">
        <v>11</v>
      </c>
    </row>
    <row r="1200" spans="1:10" ht="12.5">
      <c r="A1200" s="2">
        <v>1198</v>
      </c>
      <c r="B1200" s="2">
        <v>5545</v>
      </c>
      <c r="C1200" s="2">
        <v>1972</v>
      </c>
      <c r="D1200" s="3" t="s">
        <v>12</v>
      </c>
      <c r="E1200" s="3" t="s">
        <v>13</v>
      </c>
      <c r="F1200" s="2">
        <v>78075</v>
      </c>
      <c r="G1200" s="2">
        <v>0</v>
      </c>
      <c r="H1200" s="2">
        <v>0</v>
      </c>
      <c r="I1200" s="4">
        <v>41734</v>
      </c>
      <c r="J1200" s="2">
        <v>72</v>
      </c>
    </row>
    <row r="1201" spans="1:10" ht="12.5">
      <c r="A1201" s="2">
        <v>1199</v>
      </c>
      <c r="B1201" s="2">
        <v>7342</v>
      </c>
      <c r="C1201" s="2">
        <v>1961</v>
      </c>
      <c r="D1201" s="3" t="s">
        <v>17</v>
      </c>
      <c r="E1201" s="3" t="s">
        <v>18</v>
      </c>
      <c r="F1201" s="2">
        <v>59184</v>
      </c>
      <c r="G1201" s="2">
        <v>0</v>
      </c>
      <c r="H1201" s="2">
        <v>1</v>
      </c>
      <c r="I1201" s="4">
        <v>41161</v>
      </c>
      <c r="J1201" s="2">
        <v>6</v>
      </c>
    </row>
    <row r="1202" spans="1:10" ht="12.5">
      <c r="A1202" s="2">
        <v>1200</v>
      </c>
      <c r="B1202" s="2">
        <v>837</v>
      </c>
      <c r="C1202" s="2">
        <v>1977</v>
      </c>
      <c r="D1202" s="3" t="s">
        <v>9</v>
      </c>
      <c r="E1202" s="3" t="s">
        <v>13</v>
      </c>
      <c r="F1202" s="2">
        <v>54809</v>
      </c>
      <c r="G1202" s="2">
        <v>1</v>
      </c>
      <c r="H1202" s="2">
        <v>1</v>
      </c>
      <c r="I1202" s="4">
        <v>41528</v>
      </c>
      <c r="J1202" s="2">
        <v>0</v>
      </c>
    </row>
    <row r="1203" spans="1:10" ht="12.5">
      <c r="A1203" s="2">
        <v>1201</v>
      </c>
      <c r="B1203" s="2">
        <v>9500</v>
      </c>
      <c r="C1203" s="2">
        <v>1959</v>
      </c>
      <c r="D1203" s="3" t="s">
        <v>9</v>
      </c>
      <c r="E1203" s="3" t="s">
        <v>13</v>
      </c>
      <c r="F1203" s="2">
        <v>58113</v>
      </c>
      <c r="G1203" s="2">
        <v>0</v>
      </c>
      <c r="H1203" s="2">
        <v>1</v>
      </c>
      <c r="I1203" s="4">
        <v>41299</v>
      </c>
      <c r="J1203" s="2">
        <v>66</v>
      </c>
    </row>
    <row r="1204" spans="1:10" ht="12.5">
      <c r="A1204" s="2">
        <v>1202</v>
      </c>
      <c r="B1204" s="2">
        <v>3602</v>
      </c>
      <c r="C1204" s="2">
        <v>1958</v>
      </c>
      <c r="D1204" s="3" t="s">
        <v>14</v>
      </c>
      <c r="E1204" s="3" t="s">
        <v>13</v>
      </c>
      <c r="F1204" s="2">
        <v>51412</v>
      </c>
      <c r="G1204" s="2">
        <v>0</v>
      </c>
      <c r="H1204" s="2">
        <v>1</v>
      </c>
      <c r="I1204" s="5">
        <v>41639</v>
      </c>
      <c r="J1204" s="2">
        <v>42</v>
      </c>
    </row>
    <row r="1205" spans="1:10" ht="12.5">
      <c r="A1205" s="2">
        <v>1203</v>
      </c>
      <c r="B1205" s="2">
        <v>234</v>
      </c>
      <c r="C1205" s="2">
        <v>1979</v>
      </c>
      <c r="D1205" s="3" t="s">
        <v>9</v>
      </c>
      <c r="E1205" s="3" t="s">
        <v>15</v>
      </c>
      <c r="F1205" s="2">
        <v>15287</v>
      </c>
      <c r="G1205" s="2">
        <v>1</v>
      </c>
      <c r="H1205" s="2">
        <v>0</v>
      </c>
      <c r="I1205" s="5">
        <v>41192</v>
      </c>
      <c r="J1205" s="2">
        <v>60</v>
      </c>
    </row>
    <row r="1206" spans="1:10" ht="12.5">
      <c r="A1206" s="2">
        <v>1204</v>
      </c>
      <c r="B1206" s="2">
        <v>2995</v>
      </c>
      <c r="C1206" s="2">
        <v>1957</v>
      </c>
      <c r="D1206" s="3" t="s">
        <v>14</v>
      </c>
      <c r="E1206" s="3" t="s">
        <v>11</v>
      </c>
      <c r="F1206" s="2">
        <v>66636</v>
      </c>
      <c r="G1206" s="2">
        <v>0</v>
      </c>
      <c r="H1206" s="2">
        <v>0</v>
      </c>
      <c r="I1206" s="4">
        <v>41503</v>
      </c>
      <c r="J1206" s="2">
        <v>64</v>
      </c>
    </row>
    <row r="1207" spans="1:10" ht="12.5">
      <c r="A1207" s="2">
        <v>1205</v>
      </c>
      <c r="B1207" s="2">
        <v>1118</v>
      </c>
      <c r="C1207" s="2">
        <v>1956</v>
      </c>
      <c r="D1207" s="3" t="s">
        <v>14</v>
      </c>
      <c r="E1207" s="3" t="s">
        <v>13</v>
      </c>
      <c r="F1207" s="2">
        <v>50965</v>
      </c>
      <c r="G1207" s="2">
        <v>0</v>
      </c>
      <c r="H1207" s="2">
        <v>1</v>
      </c>
      <c r="I1207" s="4">
        <v>41325</v>
      </c>
      <c r="J1207" s="2">
        <v>87</v>
      </c>
    </row>
    <row r="1208" spans="1:10" ht="12.5">
      <c r="A1208" s="2">
        <v>1206</v>
      </c>
      <c r="B1208" s="2">
        <v>7789</v>
      </c>
      <c r="C1208" s="2">
        <v>1965</v>
      </c>
      <c r="D1208" s="3" t="s">
        <v>12</v>
      </c>
      <c r="E1208" s="3" t="s">
        <v>13</v>
      </c>
      <c r="F1208" s="2">
        <v>84618</v>
      </c>
      <c r="G1208" s="2">
        <v>0</v>
      </c>
      <c r="H1208" s="2">
        <v>0</v>
      </c>
      <c r="I1208" s="5">
        <v>41600</v>
      </c>
      <c r="J1208" s="2">
        <v>96</v>
      </c>
    </row>
    <row r="1209" spans="1:10" ht="12.5">
      <c r="A1209" s="2">
        <v>1207</v>
      </c>
      <c r="B1209" s="2">
        <v>3068</v>
      </c>
      <c r="C1209" s="2">
        <v>1990</v>
      </c>
      <c r="D1209" s="3" t="s">
        <v>9</v>
      </c>
      <c r="E1209" s="3" t="s">
        <v>13</v>
      </c>
      <c r="F1209" s="2">
        <v>18351</v>
      </c>
      <c r="G1209" s="2">
        <v>0</v>
      </c>
      <c r="H1209" s="2">
        <v>0</v>
      </c>
      <c r="I1209" s="5">
        <v>41576</v>
      </c>
      <c r="J1209" s="2">
        <v>1</v>
      </c>
    </row>
    <row r="1210" spans="1:10" ht="12.5">
      <c r="A1210" s="2">
        <v>1208</v>
      </c>
      <c r="B1210" s="2">
        <v>8955</v>
      </c>
      <c r="C1210" s="2">
        <v>1957</v>
      </c>
      <c r="D1210" s="3" t="s">
        <v>12</v>
      </c>
      <c r="E1210" s="3" t="s">
        <v>11</v>
      </c>
      <c r="F1210" s="2">
        <v>40451</v>
      </c>
      <c r="G1210" s="2">
        <v>0</v>
      </c>
      <c r="H1210" s="2">
        <v>2</v>
      </c>
      <c r="I1210" s="4">
        <v>41686</v>
      </c>
      <c r="J1210" s="2">
        <v>54</v>
      </c>
    </row>
    <row r="1211" spans="1:10" ht="12.5">
      <c r="A1211" s="2">
        <v>1209</v>
      </c>
      <c r="B1211" s="2">
        <v>945</v>
      </c>
      <c r="C1211" s="2">
        <v>1965</v>
      </c>
      <c r="D1211" s="3" t="s">
        <v>9</v>
      </c>
      <c r="E1211" s="3" t="s">
        <v>11</v>
      </c>
      <c r="F1211" s="2">
        <v>36317</v>
      </c>
      <c r="G1211" s="2">
        <v>0</v>
      </c>
      <c r="H1211" s="2">
        <v>1</v>
      </c>
      <c r="I1211" s="4">
        <v>41416</v>
      </c>
      <c r="J1211" s="2">
        <v>53</v>
      </c>
    </row>
    <row r="1212" spans="1:10" ht="12.5">
      <c r="A1212" s="2">
        <v>1210</v>
      </c>
      <c r="B1212" s="2">
        <v>5644</v>
      </c>
      <c r="C1212" s="2">
        <v>1957</v>
      </c>
      <c r="D1212" s="3" t="s">
        <v>9</v>
      </c>
      <c r="E1212" s="3" t="s">
        <v>11</v>
      </c>
      <c r="F1212" s="2">
        <v>42213</v>
      </c>
      <c r="G1212" s="2">
        <v>0</v>
      </c>
      <c r="H1212" s="2">
        <v>1</v>
      </c>
      <c r="I1212" s="5">
        <v>41559</v>
      </c>
      <c r="J1212" s="2">
        <v>96</v>
      </c>
    </row>
    <row r="1213" spans="1:10" ht="12.5">
      <c r="A1213" s="2">
        <v>1211</v>
      </c>
      <c r="B1213" s="2">
        <v>7192</v>
      </c>
      <c r="C1213" s="2">
        <v>1955</v>
      </c>
      <c r="D1213" s="3" t="s">
        <v>9</v>
      </c>
      <c r="E1213" s="3" t="s">
        <v>11</v>
      </c>
      <c r="F1213" s="2">
        <v>65748</v>
      </c>
      <c r="G1213" s="2">
        <v>0</v>
      </c>
      <c r="H1213" s="2">
        <v>1</v>
      </c>
      <c r="I1213" s="4">
        <v>41379</v>
      </c>
      <c r="J1213" s="2">
        <v>58</v>
      </c>
    </row>
    <row r="1214" spans="1:10" ht="12.5">
      <c r="A1214" s="2">
        <v>1212</v>
      </c>
      <c r="B1214" s="2">
        <v>2324</v>
      </c>
      <c r="C1214" s="2">
        <v>1972</v>
      </c>
      <c r="D1214" s="3" t="s">
        <v>9</v>
      </c>
      <c r="E1214" s="3" t="s">
        <v>11</v>
      </c>
      <c r="F1214" s="2">
        <v>77044</v>
      </c>
      <c r="G1214" s="2">
        <v>0</v>
      </c>
      <c r="H1214" s="2">
        <v>1</v>
      </c>
      <c r="I1214" s="5">
        <v>41574</v>
      </c>
      <c r="J1214" s="2">
        <v>12</v>
      </c>
    </row>
    <row r="1215" spans="1:10" ht="12.5">
      <c r="A1215" s="2">
        <v>1213</v>
      </c>
      <c r="B1215" s="2">
        <v>697</v>
      </c>
      <c r="C1215" s="2">
        <v>1969</v>
      </c>
      <c r="D1215" s="3" t="s">
        <v>9</v>
      </c>
      <c r="E1215" s="3" t="s">
        <v>11</v>
      </c>
      <c r="F1215" s="2">
        <v>74918</v>
      </c>
      <c r="G1215" s="2">
        <v>0</v>
      </c>
      <c r="H1215" s="2">
        <v>0</v>
      </c>
      <c r="I1215" s="4">
        <v>41345</v>
      </c>
      <c r="J1215" s="2">
        <v>78</v>
      </c>
    </row>
    <row r="1216" spans="1:10" ht="12.5">
      <c r="A1216" s="2">
        <v>1214</v>
      </c>
      <c r="B1216" s="2">
        <v>3439</v>
      </c>
      <c r="C1216" s="2">
        <v>1972</v>
      </c>
      <c r="D1216" s="3" t="s">
        <v>9</v>
      </c>
      <c r="E1216" s="3" t="s">
        <v>13</v>
      </c>
      <c r="F1216" s="2">
        <v>56721</v>
      </c>
      <c r="G1216" s="2">
        <v>1</v>
      </c>
      <c r="H1216" s="2">
        <v>1</v>
      </c>
      <c r="I1216" s="5">
        <v>41213</v>
      </c>
      <c r="J1216" s="2">
        <v>64</v>
      </c>
    </row>
    <row r="1217" spans="1:10" ht="12.5">
      <c r="A1217" s="2">
        <v>1215</v>
      </c>
      <c r="B1217" s="2">
        <v>1506</v>
      </c>
      <c r="C1217" s="2">
        <v>1975</v>
      </c>
      <c r="D1217" s="3" t="s">
        <v>9</v>
      </c>
      <c r="E1217" s="3" t="s">
        <v>10</v>
      </c>
      <c r="F1217" s="2">
        <v>42160</v>
      </c>
      <c r="G1217" s="2">
        <v>1</v>
      </c>
      <c r="H1217" s="2">
        <v>1</v>
      </c>
      <c r="I1217" s="4">
        <v>41453</v>
      </c>
      <c r="J1217" s="2">
        <v>26</v>
      </c>
    </row>
    <row r="1218" spans="1:10" ht="12.5">
      <c r="A1218" s="2">
        <v>1216</v>
      </c>
      <c r="B1218" s="2">
        <v>232</v>
      </c>
      <c r="C1218" s="2">
        <v>1965</v>
      </c>
      <c r="D1218" s="3" t="s">
        <v>9</v>
      </c>
      <c r="E1218" s="3" t="s">
        <v>10</v>
      </c>
      <c r="F1218" s="2">
        <v>61559</v>
      </c>
      <c r="G1218" s="2">
        <v>0</v>
      </c>
      <c r="H1218" s="2">
        <v>1</v>
      </c>
      <c r="I1218" s="4">
        <v>41472</v>
      </c>
      <c r="J1218" s="2">
        <v>8</v>
      </c>
    </row>
    <row r="1219" spans="1:10" ht="12.5">
      <c r="A1219" s="2">
        <v>1217</v>
      </c>
      <c r="B1219" s="2">
        <v>8876</v>
      </c>
      <c r="C1219" s="2">
        <v>1963</v>
      </c>
      <c r="D1219" s="3" t="s">
        <v>12</v>
      </c>
      <c r="E1219" s="3" t="s">
        <v>11</v>
      </c>
      <c r="F1219" s="2">
        <v>33629</v>
      </c>
      <c r="G1219" s="2">
        <v>1</v>
      </c>
      <c r="H1219" s="2">
        <v>1</v>
      </c>
      <c r="I1219" s="4">
        <v>41129</v>
      </c>
      <c r="J1219" s="2">
        <v>49</v>
      </c>
    </row>
    <row r="1220" spans="1:10" ht="12.5">
      <c r="A1220" s="2">
        <v>1218</v>
      </c>
      <c r="B1220" s="2">
        <v>4500</v>
      </c>
      <c r="C1220" s="2">
        <v>1991</v>
      </c>
      <c r="D1220" s="3" t="s">
        <v>12</v>
      </c>
      <c r="E1220" s="3" t="s">
        <v>11</v>
      </c>
      <c r="F1220" s="2">
        <v>68682</v>
      </c>
      <c r="G1220" s="2">
        <v>0</v>
      </c>
      <c r="H1220" s="2">
        <v>0</v>
      </c>
      <c r="I1220" s="4">
        <v>41553</v>
      </c>
      <c r="J1220" s="2">
        <v>56</v>
      </c>
    </row>
    <row r="1221" spans="1:10" ht="12.5">
      <c r="A1221" s="2">
        <v>1219</v>
      </c>
      <c r="B1221" s="2">
        <v>9739</v>
      </c>
      <c r="C1221" s="2">
        <v>1963</v>
      </c>
      <c r="D1221" s="3" t="s">
        <v>9</v>
      </c>
      <c r="E1221" s="3" t="s">
        <v>10</v>
      </c>
      <c r="F1221" s="2">
        <v>34377</v>
      </c>
      <c r="G1221" s="2">
        <v>0</v>
      </c>
      <c r="H1221" s="2">
        <v>1</v>
      </c>
      <c r="I1221" s="4">
        <v>41293</v>
      </c>
      <c r="J1221" s="2">
        <v>55</v>
      </c>
    </row>
    <row r="1222" spans="1:10" ht="12.5">
      <c r="A1222" s="2">
        <v>1220</v>
      </c>
      <c r="B1222" s="2">
        <v>10395</v>
      </c>
      <c r="C1222" s="2">
        <v>1986</v>
      </c>
      <c r="D1222" s="3" t="s">
        <v>16</v>
      </c>
      <c r="E1222" s="3" t="s">
        <v>10</v>
      </c>
      <c r="F1222" s="2">
        <v>8940</v>
      </c>
      <c r="G1222" s="2">
        <v>1</v>
      </c>
      <c r="H1222" s="2">
        <v>0</v>
      </c>
      <c r="I1222" s="4">
        <v>41143</v>
      </c>
      <c r="J1222" s="2">
        <v>25</v>
      </c>
    </row>
    <row r="1223" spans="1:10" ht="12.5">
      <c r="A1223" s="2">
        <v>1221</v>
      </c>
      <c r="B1223" s="2">
        <v>1176</v>
      </c>
      <c r="C1223" s="2">
        <v>1973</v>
      </c>
      <c r="D1223" s="3" t="s">
        <v>9</v>
      </c>
      <c r="E1223" s="3" t="s">
        <v>13</v>
      </c>
      <c r="F1223" s="2">
        <v>26228</v>
      </c>
      <c r="G1223" s="2">
        <v>1</v>
      </c>
      <c r="H1223" s="2">
        <v>0</v>
      </c>
      <c r="I1223" s="4">
        <v>41539</v>
      </c>
      <c r="J1223" s="2">
        <v>50</v>
      </c>
    </row>
    <row r="1224" spans="1:10" ht="12.5">
      <c r="A1224" s="2">
        <v>1222</v>
      </c>
      <c r="B1224" s="2">
        <v>1627</v>
      </c>
      <c r="C1224" s="2">
        <v>1957</v>
      </c>
      <c r="D1224" s="3" t="s">
        <v>17</v>
      </c>
      <c r="E1224" s="3" t="s">
        <v>15</v>
      </c>
      <c r="F1224" s="2">
        <v>77297</v>
      </c>
      <c r="G1224" s="2">
        <v>0</v>
      </c>
      <c r="H1224" s="2">
        <v>0</v>
      </c>
      <c r="I1224" s="4">
        <v>41300</v>
      </c>
      <c r="J1224" s="2">
        <v>84</v>
      </c>
    </row>
    <row r="1225" spans="1:10" ht="12.5">
      <c r="A1225" s="2">
        <v>1223</v>
      </c>
      <c r="B1225" s="2">
        <v>938</v>
      </c>
      <c r="C1225" s="2">
        <v>1981</v>
      </c>
      <c r="D1225" s="3" t="s">
        <v>9</v>
      </c>
      <c r="E1225" s="3" t="s">
        <v>13</v>
      </c>
      <c r="F1225" s="2">
        <v>40211</v>
      </c>
      <c r="G1225" s="2">
        <v>1</v>
      </c>
      <c r="H1225" s="2">
        <v>1</v>
      </c>
      <c r="I1225" s="4">
        <v>41485</v>
      </c>
      <c r="J1225" s="2">
        <v>30</v>
      </c>
    </row>
    <row r="1226" spans="1:10" ht="12.5">
      <c r="A1226" s="2">
        <v>1224</v>
      </c>
      <c r="B1226" s="2">
        <v>2740</v>
      </c>
      <c r="C1226" s="2">
        <v>1958</v>
      </c>
      <c r="D1226" s="3" t="s">
        <v>12</v>
      </c>
      <c r="E1226" s="3" t="s">
        <v>18</v>
      </c>
      <c r="F1226" s="2">
        <v>33438</v>
      </c>
      <c r="G1226" s="2">
        <v>1</v>
      </c>
      <c r="H1226" s="2">
        <v>1</v>
      </c>
      <c r="I1226" s="4">
        <v>41539</v>
      </c>
      <c r="J1226" s="2">
        <v>81</v>
      </c>
    </row>
    <row r="1227" spans="1:10" ht="12.5">
      <c r="A1227" s="2">
        <v>1225</v>
      </c>
      <c r="B1227" s="2">
        <v>257</v>
      </c>
      <c r="C1227" s="2">
        <v>1959</v>
      </c>
      <c r="D1227" s="3" t="s">
        <v>12</v>
      </c>
      <c r="E1227" s="3" t="s">
        <v>13</v>
      </c>
      <c r="F1227" s="2">
        <v>75032</v>
      </c>
      <c r="G1227" s="2">
        <v>0</v>
      </c>
      <c r="H1227" s="2">
        <v>1</v>
      </c>
      <c r="I1227" s="4">
        <v>41392</v>
      </c>
      <c r="J1227" s="2">
        <v>74</v>
      </c>
    </row>
    <row r="1228" spans="1:10" ht="12.5">
      <c r="A1228" s="2">
        <v>1226</v>
      </c>
      <c r="B1228" s="2">
        <v>4058</v>
      </c>
      <c r="C1228" s="2">
        <v>1955</v>
      </c>
      <c r="D1228" s="3" t="s">
        <v>12</v>
      </c>
      <c r="E1228" s="3" t="s">
        <v>10</v>
      </c>
      <c r="F1228" s="2">
        <v>61284</v>
      </c>
      <c r="G1228" s="2">
        <v>0</v>
      </c>
      <c r="H1228" s="2">
        <v>0</v>
      </c>
      <c r="I1228" s="5">
        <v>41559</v>
      </c>
      <c r="J1228" s="2">
        <v>76</v>
      </c>
    </row>
    <row r="1229" spans="1:10" ht="12.5">
      <c r="A1229" s="2">
        <v>1227</v>
      </c>
      <c r="B1229" s="2">
        <v>7736</v>
      </c>
      <c r="C1229" s="2">
        <v>1986</v>
      </c>
      <c r="D1229" s="3" t="s">
        <v>9</v>
      </c>
      <c r="E1229" s="3" t="s">
        <v>13</v>
      </c>
      <c r="F1229" s="2">
        <v>22518</v>
      </c>
      <c r="G1229" s="2">
        <v>1</v>
      </c>
      <c r="H1229" s="2">
        <v>0</v>
      </c>
      <c r="I1229" s="5">
        <v>41204</v>
      </c>
      <c r="J1229" s="2">
        <v>36</v>
      </c>
    </row>
    <row r="1230" spans="1:10" ht="12.5">
      <c r="A1230" s="2">
        <v>1228</v>
      </c>
      <c r="B1230" s="2">
        <v>8210</v>
      </c>
      <c r="C1230" s="2">
        <v>1975</v>
      </c>
      <c r="D1230" s="3" t="s">
        <v>14</v>
      </c>
      <c r="E1230" s="3" t="s">
        <v>13</v>
      </c>
      <c r="F1230" s="2">
        <v>54730</v>
      </c>
      <c r="G1230" s="2">
        <v>0</v>
      </c>
      <c r="H1230" s="2">
        <v>1</v>
      </c>
      <c r="I1230" s="4">
        <v>41501</v>
      </c>
      <c r="J1230" s="2">
        <v>64</v>
      </c>
    </row>
    <row r="1231" spans="1:10" ht="12.5">
      <c r="A1231" s="2">
        <v>1229</v>
      </c>
      <c r="B1231" s="2">
        <v>833</v>
      </c>
      <c r="C1231" s="2">
        <v>1955</v>
      </c>
      <c r="D1231" s="3" t="s">
        <v>14</v>
      </c>
      <c r="E1231" s="3" t="s">
        <v>13</v>
      </c>
      <c r="F1231" s="2">
        <v>38452</v>
      </c>
      <c r="G1231" s="2">
        <v>1</v>
      </c>
      <c r="H1231" s="2">
        <v>1</v>
      </c>
      <c r="I1231" s="4">
        <v>41728</v>
      </c>
      <c r="J1231" s="2">
        <v>62</v>
      </c>
    </row>
    <row r="1232" spans="1:10" ht="12.5">
      <c r="A1232" s="2">
        <v>1230</v>
      </c>
      <c r="B1232" s="2">
        <v>6230</v>
      </c>
      <c r="C1232" s="2">
        <v>1971</v>
      </c>
      <c r="D1232" s="3" t="s">
        <v>9</v>
      </c>
      <c r="E1232" s="3" t="s">
        <v>15</v>
      </c>
      <c r="F1232" s="2">
        <v>44421</v>
      </c>
      <c r="G1232" s="2">
        <v>1</v>
      </c>
      <c r="H1232" s="2">
        <v>1</v>
      </c>
      <c r="I1232" s="4">
        <v>41320</v>
      </c>
      <c r="J1232" s="2">
        <v>53</v>
      </c>
    </row>
    <row r="1233" spans="1:10" ht="12.5">
      <c r="A1233" s="2">
        <v>1231</v>
      </c>
      <c r="B1233" s="2">
        <v>7325</v>
      </c>
      <c r="C1233" s="2">
        <v>1986</v>
      </c>
      <c r="D1233" s="3" t="s">
        <v>12</v>
      </c>
      <c r="E1233" s="3" t="s">
        <v>11</v>
      </c>
      <c r="F1233" s="2">
        <v>38197</v>
      </c>
      <c r="G1233" s="2">
        <v>1</v>
      </c>
      <c r="H1233" s="2">
        <v>0</v>
      </c>
      <c r="I1233" s="4">
        <v>41454</v>
      </c>
      <c r="J1233" s="2">
        <v>86</v>
      </c>
    </row>
    <row r="1234" spans="1:10" ht="12.5">
      <c r="A1234" s="2">
        <v>1232</v>
      </c>
      <c r="B1234" s="2">
        <v>1307</v>
      </c>
      <c r="C1234" s="2">
        <v>1978</v>
      </c>
      <c r="D1234" s="3" t="s">
        <v>9</v>
      </c>
      <c r="E1234" s="3" t="s">
        <v>15</v>
      </c>
      <c r="F1234" s="2">
        <v>41986</v>
      </c>
      <c r="G1234" s="2">
        <v>0</v>
      </c>
      <c r="H1234" s="2">
        <v>1</v>
      </c>
      <c r="I1234" s="4">
        <v>41679</v>
      </c>
      <c r="J1234" s="2">
        <v>15</v>
      </c>
    </row>
    <row r="1235" spans="1:10" ht="12.5">
      <c r="A1235" s="2">
        <v>1233</v>
      </c>
      <c r="B1235" s="2">
        <v>1502</v>
      </c>
      <c r="C1235" s="2">
        <v>1983</v>
      </c>
      <c r="D1235" s="3" t="s">
        <v>9</v>
      </c>
      <c r="E1235" s="3" t="s">
        <v>11</v>
      </c>
      <c r="F1235" s="2">
        <v>28427</v>
      </c>
      <c r="G1235" s="2">
        <v>1</v>
      </c>
      <c r="H1235" s="2">
        <v>0</v>
      </c>
      <c r="I1235" s="4">
        <v>41354</v>
      </c>
      <c r="J1235" s="2">
        <v>67</v>
      </c>
    </row>
    <row r="1236" spans="1:10" ht="12.5">
      <c r="A1236" s="2">
        <v>1234</v>
      </c>
      <c r="B1236" s="2">
        <v>6211</v>
      </c>
      <c r="C1236" s="2">
        <v>1976</v>
      </c>
      <c r="D1236" s="3" t="s">
        <v>12</v>
      </c>
      <c r="E1236" s="3" t="s">
        <v>11</v>
      </c>
      <c r="F1236" s="2">
        <v>37395</v>
      </c>
      <c r="G1236" s="2">
        <v>1</v>
      </c>
      <c r="H1236" s="2">
        <v>0</v>
      </c>
      <c r="I1236" s="4">
        <v>41761</v>
      </c>
      <c r="J1236" s="2">
        <v>47</v>
      </c>
    </row>
    <row r="1237" spans="1:10" ht="12.5">
      <c r="A1237" s="2">
        <v>1235</v>
      </c>
      <c r="B1237" s="2">
        <v>843</v>
      </c>
      <c r="C1237" s="2">
        <v>1971</v>
      </c>
      <c r="D1237" s="3" t="s">
        <v>9</v>
      </c>
      <c r="E1237" s="3" t="s">
        <v>13</v>
      </c>
      <c r="F1237" s="2">
        <v>64722</v>
      </c>
      <c r="G1237" s="2">
        <v>1</v>
      </c>
      <c r="H1237" s="2">
        <v>0</v>
      </c>
      <c r="I1237" s="4">
        <v>41785</v>
      </c>
      <c r="J1237" s="2">
        <v>47</v>
      </c>
    </row>
    <row r="1238" spans="1:10" ht="12.5">
      <c r="A1238" s="2">
        <v>1236</v>
      </c>
      <c r="B1238" s="2">
        <v>4174</v>
      </c>
      <c r="C1238" s="2">
        <v>1956</v>
      </c>
      <c r="D1238" s="3" t="s">
        <v>14</v>
      </c>
      <c r="E1238" s="3" t="s">
        <v>11</v>
      </c>
      <c r="F1238" s="2">
        <v>55249</v>
      </c>
      <c r="G1238" s="2">
        <v>0</v>
      </c>
      <c r="H1238" s="2">
        <v>1</v>
      </c>
      <c r="I1238" s="4">
        <v>41746</v>
      </c>
      <c r="J1238" s="2">
        <v>81</v>
      </c>
    </row>
    <row r="1239" spans="1:10" ht="12.5">
      <c r="A1239" s="2">
        <v>1237</v>
      </c>
      <c r="B1239" s="2">
        <v>9757</v>
      </c>
      <c r="C1239" s="2">
        <v>1972</v>
      </c>
      <c r="D1239" s="3" t="s">
        <v>9</v>
      </c>
      <c r="E1239" s="3" t="s">
        <v>11</v>
      </c>
      <c r="F1239" s="2">
        <v>84906</v>
      </c>
      <c r="G1239" s="2">
        <v>0</v>
      </c>
      <c r="H1239" s="2">
        <v>0</v>
      </c>
      <c r="I1239" s="4">
        <v>41551</v>
      </c>
      <c r="J1239" s="2">
        <v>98</v>
      </c>
    </row>
    <row r="1240" spans="1:10" ht="12.5">
      <c r="A1240" s="2">
        <v>1238</v>
      </c>
      <c r="B1240" s="2">
        <v>6918</v>
      </c>
      <c r="C1240" s="2">
        <v>1989</v>
      </c>
      <c r="D1240" s="3" t="s">
        <v>9</v>
      </c>
      <c r="E1240" s="3" t="s">
        <v>13</v>
      </c>
      <c r="F1240" s="2">
        <v>28691</v>
      </c>
      <c r="G1240" s="2">
        <v>1</v>
      </c>
      <c r="H1240" s="2">
        <v>0</v>
      </c>
      <c r="I1240" s="4">
        <v>41459</v>
      </c>
      <c r="J1240" s="2">
        <v>56</v>
      </c>
    </row>
    <row r="1241" spans="1:10" ht="12.5">
      <c r="A1241" s="2">
        <v>1239</v>
      </c>
      <c r="B1241" s="2">
        <v>286</v>
      </c>
      <c r="C1241" s="2">
        <v>1952</v>
      </c>
      <c r="D1241" s="3" t="s">
        <v>9</v>
      </c>
      <c r="E1241" s="3" t="s">
        <v>10</v>
      </c>
      <c r="F1241" s="2">
        <v>44213</v>
      </c>
      <c r="G1241" s="2">
        <v>1</v>
      </c>
      <c r="H1241" s="2">
        <v>1</v>
      </c>
      <c r="I1241" s="5">
        <v>41607</v>
      </c>
      <c r="J1241" s="2">
        <v>48</v>
      </c>
    </row>
    <row r="1242" spans="1:10" ht="12.5">
      <c r="A1242" s="2">
        <v>1240</v>
      </c>
      <c r="B1242" s="2">
        <v>11086</v>
      </c>
      <c r="C1242" s="2">
        <v>1984</v>
      </c>
      <c r="D1242" s="3" t="s">
        <v>16</v>
      </c>
      <c r="E1242" s="3" t="s">
        <v>10</v>
      </c>
      <c r="F1242" s="2">
        <v>25707</v>
      </c>
      <c r="G1242" s="2">
        <v>1</v>
      </c>
      <c r="H1242" s="2">
        <v>0</v>
      </c>
      <c r="I1242" s="4">
        <v>41657</v>
      </c>
      <c r="J1242" s="2">
        <v>18</v>
      </c>
    </row>
    <row r="1243" spans="1:10" ht="12.5">
      <c r="A1243" s="2">
        <v>1241</v>
      </c>
      <c r="B1243" s="2">
        <v>1921</v>
      </c>
      <c r="C1243" s="2">
        <v>1967</v>
      </c>
      <c r="D1243" s="3" t="s">
        <v>12</v>
      </c>
      <c r="E1243" s="3" t="s">
        <v>13</v>
      </c>
      <c r="F1243" s="2">
        <v>59062</v>
      </c>
      <c r="G1243" s="2">
        <v>2</v>
      </c>
      <c r="H1243" s="2">
        <v>1</v>
      </c>
      <c r="I1243" s="4">
        <v>41550</v>
      </c>
      <c r="J1243" s="2">
        <v>74</v>
      </c>
    </row>
    <row r="1244" spans="1:10" ht="12.5">
      <c r="A1244" s="2">
        <v>1242</v>
      </c>
      <c r="B1244" s="2">
        <v>4138</v>
      </c>
      <c r="C1244" s="2">
        <v>1962</v>
      </c>
      <c r="D1244" s="3" t="s">
        <v>9</v>
      </c>
      <c r="E1244" s="3" t="s">
        <v>10</v>
      </c>
      <c r="F1244" s="2">
        <v>76624</v>
      </c>
      <c r="G1244" s="2">
        <v>0</v>
      </c>
      <c r="H1244" s="2">
        <v>1</v>
      </c>
      <c r="I1244" s="4">
        <v>41783</v>
      </c>
      <c r="J1244" s="2">
        <v>68</v>
      </c>
    </row>
    <row r="1245" spans="1:10" ht="12.5">
      <c r="A1245" s="2">
        <v>1243</v>
      </c>
      <c r="B1245" s="2">
        <v>7718</v>
      </c>
      <c r="C1245" s="2">
        <v>1947</v>
      </c>
      <c r="D1245" s="3" t="s">
        <v>14</v>
      </c>
      <c r="E1245" s="3" t="s">
        <v>11</v>
      </c>
      <c r="F1245" s="2">
        <v>66000</v>
      </c>
      <c r="G1245" s="2">
        <v>0</v>
      </c>
      <c r="H1245" s="2">
        <v>0</v>
      </c>
      <c r="I1245" s="4">
        <v>41749</v>
      </c>
      <c r="J1245" s="2">
        <v>36</v>
      </c>
    </row>
    <row r="1246" spans="1:10" ht="12.5">
      <c r="A1246" s="2">
        <v>1244</v>
      </c>
      <c r="B1246" s="2">
        <v>1291</v>
      </c>
      <c r="C1246" s="2">
        <v>1978</v>
      </c>
      <c r="D1246" s="3" t="s">
        <v>12</v>
      </c>
      <c r="E1246" s="3" t="s">
        <v>11</v>
      </c>
      <c r="F1246" s="2">
        <v>27683</v>
      </c>
      <c r="G1246" s="2">
        <v>1</v>
      </c>
      <c r="H1246" s="2">
        <v>0</v>
      </c>
      <c r="I1246" s="4">
        <v>41125</v>
      </c>
      <c r="J1246" s="2">
        <v>90</v>
      </c>
    </row>
    <row r="1247" spans="1:10" ht="12.5">
      <c r="A1247" s="2">
        <v>1245</v>
      </c>
      <c r="B1247" s="2">
        <v>6862</v>
      </c>
      <c r="C1247" s="2">
        <v>1971</v>
      </c>
      <c r="D1247" s="3" t="s">
        <v>9</v>
      </c>
      <c r="E1247" s="3" t="s">
        <v>15</v>
      </c>
      <c r="F1247" s="2">
        <v>1730</v>
      </c>
      <c r="G1247" s="2">
        <v>0</v>
      </c>
      <c r="H1247" s="2">
        <v>0</v>
      </c>
      <c r="I1247" s="4">
        <v>41777</v>
      </c>
      <c r="J1247" s="2">
        <v>65</v>
      </c>
    </row>
    <row r="1248" spans="1:10" ht="12.5">
      <c r="A1248" s="2">
        <v>1246</v>
      </c>
      <c r="B1248" s="2">
        <v>4136</v>
      </c>
      <c r="C1248" s="2">
        <v>1992</v>
      </c>
      <c r="D1248" s="3" t="s">
        <v>16</v>
      </c>
      <c r="E1248" s="3" t="s">
        <v>10</v>
      </c>
      <c r="F1248" s="2">
        <v>7500</v>
      </c>
      <c r="G1248" s="2">
        <v>1</v>
      </c>
      <c r="H1248" s="2">
        <v>0</v>
      </c>
      <c r="I1248" s="4">
        <v>41246</v>
      </c>
      <c r="J1248" s="2">
        <v>63</v>
      </c>
    </row>
    <row r="1249" spans="1:10" ht="12.5">
      <c r="A1249" s="2">
        <v>1247</v>
      </c>
      <c r="B1249" s="2">
        <v>803</v>
      </c>
      <c r="C1249" s="2">
        <v>1968</v>
      </c>
      <c r="D1249" s="3" t="s">
        <v>9</v>
      </c>
      <c r="E1249" s="3" t="s">
        <v>11</v>
      </c>
      <c r="F1249" s="2">
        <v>40521</v>
      </c>
      <c r="G1249" s="2">
        <v>1</v>
      </c>
      <c r="H1249" s="2">
        <v>1</v>
      </c>
      <c r="I1249" s="4">
        <v>41369</v>
      </c>
      <c r="J1249" s="2">
        <v>82</v>
      </c>
    </row>
    <row r="1250" spans="1:10" ht="12.5">
      <c r="A1250" s="2">
        <v>1248</v>
      </c>
      <c r="B1250" s="2">
        <v>4298</v>
      </c>
      <c r="C1250" s="2">
        <v>1973</v>
      </c>
      <c r="D1250" s="3" t="s">
        <v>12</v>
      </c>
      <c r="E1250" s="3" t="s">
        <v>11</v>
      </c>
      <c r="F1250" s="2">
        <v>20427</v>
      </c>
      <c r="G1250" s="2">
        <v>1</v>
      </c>
      <c r="H1250" s="2">
        <v>0</v>
      </c>
      <c r="I1250" s="4">
        <v>41722</v>
      </c>
      <c r="J1250" s="2">
        <v>63</v>
      </c>
    </row>
    <row r="1251" spans="1:10" ht="12.5">
      <c r="A1251" s="2">
        <v>1249</v>
      </c>
      <c r="B1251" s="2">
        <v>10833</v>
      </c>
      <c r="C1251" s="2">
        <v>1975</v>
      </c>
      <c r="D1251" s="3" t="s">
        <v>9</v>
      </c>
      <c r="E1251" s="3" t="s">
        <v>13</v>
      </c>
      <c r="F1251" s="2">
        <v>65106</v>
      </c>
      <c r="G1251" s="2">
        <v>0</v>
      </c>
      <c r="H1251" s="2">
        <v>1</v>
      </c>
      <c r="I1251" s="4">
        <v>41783</v>
      </c>
      <c r="J1251" s="2">
        <v>55</v>
      </c>
    </row>
    <row r="1252" spans="1:10" ht="12.5">
      <c r="A1252" s="2">
        <v>1250</v>
      </c>
      <c r="B1252" s="2">
        <v>9606</v>
      </c>
      <c r="C1252" s="2">
        <v>1965</v>
      </c>
      <c r="D1252" s="3" t="s">
        <v>12</v>
      </c>
      <c r="E1252" s="3" t="s">
        <v>13</v>
      </c>
      <c r="F1252" s="2">
        <v>69969</v>
      </c>
      <c r="G1252" s="2">
        <v>0</v>
      </c>
      <c r="H1252" s="2">
        <v>0</v>
      </c>
      <c r="I1252" s="4">
        <v>41513</v>
      </c>
      <c r="J1252" s="2">
        <v>64</v>
      </c>
    </row>
    <row r="1253" spans="1:10" ht="12.5">
      <c r="A1253" s="2">
        <v>1251</v>
      </c>
      <c r="B1253" s="2">
        <v>8534</v>
      </c>
      <c r="C1253" s="2">
        <v>1952</v>
      </c>
      <c r="D1253" s="3" t="s">
        <v>9</v>
      </c>
      <c r="E1253" s="3" t="s">
        <v>13</v>
      </c>
      <c r="F1253" s="2">
        <v>67433</v>
      </c>
      <c r="G1253" s="2">
        <v>0</v>
      </c>
      <c r="H1253" s="2">
        <v>2</v>
      </c>
      <c r="I1253" s="4">
        <v>41471</v>
      </c>
      <c r="J1253" s="2">
        <v>51</v>
      </c>
    </row>
    <row r="1254" spans="1:10" ht="12.5">
      <c r="A1254" s="2">
        <v>1252</v>
      </c>
      <c r="B1254" s="2">
        <v>5153</v>
      </c>
      <c r="C1254" s="2">
        <v>1967</v>
      </c>
      <c r="D1254" s="3" t="s">
        <v>12</v>
      </c>
      <c r="E1254" s="3" t="s">
        <v>13</v>
      </c>
      <c r="F1254" s="2">
        <v>77766</v>
      </c>
      <c r="G1254" s="2">
        <v>0</v>
      </c>
      <c r="H1254" s="2">
        <v>1</v>
      </c>
      <c r="I1254" s="4">
        <v>41327</v>
      </c>
      <c r="J1254" s="2">
        <v>97</v>
      </c>
    </row>
    <row r="1255" spans="1:10" ht="12.5">
      <c r="A1255" s="2">
        <v>1253</v>
      </c>
      <c r="B1255" s="2">
        <v>961</v>
      </c>
      <c r="C1255" s="2">
        <v>1972</v>
      </c>
      <c r="D1255" s="3" t="s">
        <v>9</v>
      </c>
      <c r="E1255" s="3" t="s">
        <v>13</v>
      </c>
      <c r="F1255" s="2">
        <v>74716</v>
      </c>
      <c r="G1255" s="2">
        <v>0</v>
      </c>
      <c r="H1255" s="2">
        <v>1</v>
      </c>
      <c r="I1255" s="4">
        <v>41529</v>
      </c>
      <c r="J1255" s="2">
        <v>92</v>
      </c>
    </row>
    <row r="1256" spans="1:10" ht="12.5">
      <c r="A1256" s="2">
        <v>1254</v>
      </c>
      <c r="B1256" s="2">
        <v>5011</v>
      </c>
      <c r="C1256" s="2">
        <v>1963</v>
      </c>
      <c r="D1256" s="3" t="s">
        <v>9</v>
      </c>
      <c r="E1256" s="3" t="s">
        <v>15</v>
      </c>
      <c r="F1256" s="2">
        <v>68118</v>
      </c>
      <c r="G1256" s="2">
        <v>0</v>
      </c>
      <c r="H1256" s="2">
        <v>1</v>
      </c>
      <c r="I1256" s="5">
        <v>41565</v>
      </c>
      <c r="J1256" s="2">
        <v>51</v>
      </c>
    </row>
    <row r="1257" spans="1:10" ht="12.5">
      <c r="A1257" s="2">
        <v>1255</v>
      </c>
      <c r="B1257" s="2">
        <v>6653</v>
      </c>
      <c r="C1257" s="2">
        <v>1970</v>
      </c>
      <c r="D1257" s="3" t="s">
        <v>12</v>
      </c>
      <c r="E1257" s="3" t="s">
        <v>13</v>
      </c>
      <c r="F1257" s="2">
        <v>55158</v>
      </c>
      <c r="G1257" s="2">
        <v>1</v>
      </c>
      <c r="H1257" s="2">
        <v>1</v>
      </c>
      <c r="I1257" s="4">
        <v>41120</v>
      </c>
      <c r="J1257" s="2">
        <v>72</v>
      </c>
    </row>
    <row r="1258" spans="1:10" ht="12.5">
      <c r="A1258" s="2">
        <v>1256</v>
      </c>
      <c r="B1258" s="2">
        <v>9094</v>
      </c>
      <c r="C1258" s="2">
        <v>1955</v>
      </c>
      <c r="D1258" s="3" t="s">
        <v>17</v>
      </c>
      <c r="E1258" s="3" t="s">
        <v>13</v>
      </c>
      <c r="F1258" s="2">
        <v>62972</v>
      </c>
      <c r="G1258" s="2">
        <v>0</v>
      </c>
      <c r="H1258" s="2">
        <v>1</v>
      </c>
      <c r="I1258" s="4">
        <v>41124</v>
      </c>
      <c r="J1258" s="2">
        <v>39</v>
      </c>
    </row>
    <row r="1259" spans="1:10" ht="12.5">
      <c r="A1259" s="2">
        <v>1257</v>
      </c>
      <c r="B1259" s="2">
        <v>810</v>
      </c>
      <c r="C1259" s="2">
        <v>1975</v>
      </c>
      <c r="D1259" s="3" t="s">
        <v>9</v>
      </c>
      <c r="E1259" s="3" t="s">
        <v>13</v>
      </c>
      <c r="F1259" s="2">
        <v>74190</v>
      </c>
      <c r="G1259" s="2">
        <v>0</v>
      </c>
      <c r="H1259" s="2">
        <v>1</v>
      </c>
      <c r="I1259" s="4">
        <v>41771</v>
      </c>
      <c r="J1259" s="2">
        <v>49</v>
      </c>
    </row>
    <row r="1260" spans="1:10" ht="12.5">
      <c r="A1260" s="2">
        <v>1258</v>
      </c>
      <c r="B1260" s="2">
        <v>5493</v>
      </c>
      <c r="C1260" s="2">
        <v>1976</v>
      </c>
      <c r="D1260" s="3" t="s">
        <v>9</v>
      </c>
      <c r="E1260" s="3" t="s">
        <v>13</v>
      </c>
      <c r="F1260" s="2">
        <v>39356</v>
      </c>
      <c r="G1260" s="2">
        <v>1</v>
      </c>
      <c r="H1260" s="2">
        <v>1</v>
      </c>
      <c r="I1260" s="4">
        <v>41717</v>
      </c>
      <c r="J1260" s="2">
        <v>21</v>
      </c>
    </row>
    <row r="1261" spans="1:10" ht="12.5">
      <c r="A1261" s="2">
        <v>1259</v>
      </c>
      <c r="B1261" s="2">
        <v>2147</v>
      </c>
      <c r="C1261" s="2">
        <v>1969</v>
      </c>
      <c r="D1261" s="3" t="s">
        <v>9</v>
      </c>
      <c r="E1261" s="3" t="s">
        <v>11</v>
      </c>
      <c r="F1261" s="2">
        <v>76653</v>
      </c>
      <c r="G1261" s="2">
        <v>0</v>
      </c>
      <c r="H1261" s="2">
        <v>0</v>
      </c>
      <c r="I1261" s="4">
        <v>41502</v>
      </c>
      <c r="J1261" s="2">
        <v>91</v>
      </c>
    </row>
    <row r="1262" spans="1:10" ht="12.5">
      <c r="A1262" s="2">
        <v>1260</v>
      </c>
      <c r="B1262" s="2">
        <v>5107</v>
      </c>
      <c r="C1262" s="2">
        <v>1973</v>
      </c>
      <c r="D1262" s="3" t="s">
        <v>12</v>
      </c>
      <c r="E1262" s="3" t="s">
        <v>15</v>
      </c>
      <c r="F1262" s="2">
        <v>35860</v>
      </c>
      <c r="G1262" s="2">
        <v>1</v>
      </c>
      <c r="H1262" s="2">
        <v>1</v>
      </c>
      <c r="I1262" s="4">
        <v>41778</v>
      </c>
      <c r="J1262" s="2">
        <v>37</v>
      </c>
    </row>
    <row r="1263" spans="1:10" ht="12.5">
      <c r="A1263" s="2">
        <v>1261</v>
      </c>
      <c r="B1263" s="2">
        <v>3979</v>
      </c>
      <c r="C1263" s="2">
        <v>1983</v>
      </c>
      <c r="D1263" s="3" t="s">
        <v>12</v>
      </c>
      <c r="E1263" s="3" t="s">
        <v>15</v>
      </c>
      <c r="F1263" s="2">
        <v>90687</v>
      </c>
      <c r="G1263" s="2">
        <v>0</v>
      </c>
      <c r="H1263" s="2">
        <v>0</v>
      </c>
      <c r="I1263" s="4">
        <v>41416</v>
      </c>
      <c r="J1263" s="2">
        <v>98</v>
      </c>
    </row>
    <row r="1264" spans="1:10" ht="12.5">
      <c r="A1264" s="2">
        <v>1262</v>
      </c>
      <c r="B1264" s="2">
        <v>6049</v>
      </c>
      <c r="C1264" s="2">
        <v>1982</v>
      </c>
      <c r="D1264" s="3" t="s">
        <v>14</v>
      </c>
      <c r="E1264" s="3" t="s">
        <v>11</v>
      </c>
      <c r="F1264" s="2">
        <v>73450</v>
      </c>
      <c r="G1264" s="2">
        <v>0</v>
      </c>
      <c r="H1264" s="2">
        <v>0</v>
      </c>
      <c r="I1264" s="4">
        <v>41613</v>
      </c>
      <c r="J1264" s="2">
        <v>85</v>
      </c>
    </row>
    <row r="1265" spans="1:10" ht="12.5">
      <c r="A1265" s="2">
        <v>1263</v>
      </c>
      <c r="B1265" s="2">
        <v>8147</v>
      </c>
      <c r="C1265" s="2">
        <v>1960</v>
      </c>
      <c r="D1265" s="3" t="s">
        <v>9</v>
      </c>
      <c r="E1265" s="3" t="s">
        <v>13</v>
      </c>
      <c r="F1265" s="2">
        <v>31454</v>
      </c>
      <c r="G1265" s="2">
        <v>1</v>
      </c>
      <c r="H1265" s="2">
        <v>1</v>
      </c>
      <c r="I1265" s="4">
        <v>41461</v>
      </c>
      <c r="J1265" s="2">
        <v>40</v>
      </c>
    </row>
    <row r="1266" spans="1:10" ht="12.5">
      <c r="A1266" s="2">
        <v>1264</v>
      </c>
      <c r="B1266" s="2">
        <v>1857</v>
      </c>
      <c r="C1266" s="2">
        <v>1952</v>
      </c>
      <c r="D1266" s="3" t="s">
        <v>9</v>
      </c>
      <c r="E1266" s="3" t="s">
        <v>10</v>
      </c>
      <c r="F1266" s="2">
        <v>47139</v>
      </c>
      <c r="G1266" s="2">
        <v>1</v>
      </c>
      <c r="H1266" s="2">
        <v>1</v>
      </c>
      <c r="I1266" s="4">
        <v>41704</v>
      </c>
      <c r="J1266" s="2">
        <v>2</v>
      </c>
    </row>
    <row r="1267" spans="1:10" ht="12.5">
      <c r="A1267" s="2">
        <v>1265</v>
      </c>
      <c r="B1267" s="2">
        <v>3910</v>
      </c>
      <c r="C1267" s="2">
        <v>1975</v>
      </c>
      <c r="D1267" s="3" t="s">
        <v>9</v>
      </c>
      <c r="E1267" s="3" t="s">
        <v>15</v>
      </c>
      <c r="F1267" s="2">
        <v>83829</v>
      </c>
      <c r="G1267" s="2">
        <v>0</v>
      </c>
      <c r="H1267" s="2">
        <v>0</v>
      </c>
      <c r="I1267" s="4">
        <v>41555</v>
      </c>
      <c r="J1267" s="2">
        <v>78</v>
      </c>
    </row>
    <row r="1268" spans="1:10" ht="12.5">
      <c r="A1268" s="2">
        <v>1266</v>
      </c>
      <c r="B1268" s="2">
        <v>5207</v>
      </c>
      <c r="C1268" s="2">
        <v>1963</v>
      </c>
      <c r="D1268" s="3" t="s">
        <v>12</v>
      </c>
      <c r="E1268" s="3" t="s">
        <v>13</v>
      </c>
      <c r="F1268" s="2">
        <v>53378</v>
      </c>
      <c r="G1268" s="2">
        <v>1</v>
      </c>
      <c r="H1268" s="2">
        <v>1</v>
      </c>
      <c r="I1268" s="4">
        <v>41176</v>
      </c>
      <c r="J1268" s="2">
        <v>41</v>
      </c>
    </row>
    <row r="1269" spans="1:10" ht="12.5">
      <c r="A1269" s="2">
        <v>1267</v>
      </c>
      <c r="B1269" s="2">
        <v>11114</v>
      </c>
      <c r="C1269" s="2">
        <v>1970</v>
      </c>
      <c r="D1269" s="3" t="s">
        <v>9</v>
      </c>
      <c r="E1269" s="3" t="s">
        <v>11</v>
      </c>
      <c r="F1269" s="2">
        <v>19656</v>
      </c>
      <c r="G1269" s="2">
        <v>1</v>
      </c>
      <c r="H1269" s="2">
        <v>0</v>
      </c>
      <c r="I1269" s="4">
        <v>41313</v>
      </c>
      <c r="J1269" s="2">
        <v>94</v>
      </c>
    </row>
    <row r="1270" spans="1:10" ht="12.5">
      <c r="A1270" s="2">
        <v>1268</v>
      </c>
      <c r="B1270" s="2">
        <v>5429</v>
      </c>
      <c r="C1270" s="2">
        <v>1948</v>
      </c>
      <c r="D1270" s="3" t="s">
        <v>12</v>
      </c>
      <c r="E1270" s="3" t="s">
        <v>13</v>
      </c>
      <c r="F1270" s="2">
        <v>45579</v>
      </c>
      <c r="G1270" s="2">
        <v>0</v>
      </c>
      <c r="H1270" s="2">
        <v>1</v>
      </c>
      <c r="I1270" s="4">
        <v>41506</v>
      </c>
      <c r="J1270" s="2">
        <v>10</v>
      </c>
    </row>
    <row r="1271" spans="1:10" ht="12.5">
      <c r="A1271" s="2">
        <v>1269</v>
      </c>
      <c r="B1271" s="2">
        <v>9400</v>
      </c>
      <c r="C1271" s="2">
        <v>1958</v>
      </c>
      <c r="D1271" s="3" t="s">
        <v>17</v>
      </c>
      <c r="E1271" s="3" t="s">
        <v>10</v>
      </c>
      <c r="F1271" s="2">
        <v>85485</v>
      </c>
      <c r="G1271" s="2">
        <v>0</v>
      </c>
      <c r="H1271" s="2">
        <v>0</v>
      </c>
      <c r="I1271" s="4">
        <v>41811</v>
      </c>
      <c r="J1271" s="2">
        <v>73</v>
      </c>
    </row>
    <row r="1272" spans="1:10" ht="12.5">
      <c r="A1272" s="2">
        <v>1270</v>
      </c>
      <c r="B1272" s="2">
        <v>1740</v>
      </c>
      <c r="C1272" s="2">
        <v>1944</v>
      </c>
      <c r="D1272" s="3" t="s">
        <v>9</v>
      </c>
      <c r="E1272" s="3" t="s">
        <v>13</v>
      </c>
      <c r="F1272" s="2">
        <v>55956</v>
      </c>
      <c r="G1272" s="2">
        <v>0</v>
      </c>
      <c r="H1272" s="2">
        <v>0</v>
      </c>
      <c r="I1272" s="4">
        <v>41736</v>
      </c>
      <c r="J1272" s="2">
        <v>22</v>
      </c>
    </row>
    <row r="1273" spans="1:10" ht="12.5">
      <c r="A1273" s="2">
        <v>1271</v>
      </c>
      <c r="B1273" s="2">
        <v>7488</v>
      </c>
      <c r="C1273" s="2">
        <v>1963</v>
      </c>
      <c r="D1273" s="3" t="s">
        <v>14</v>
      </c>
      <c r="E1273" s="3" t="s">
        <v>10</v>
      </c>
      <c r="F1273" s="2">
        <v>64191</v>
      </c>
      <c r="G1273" s="2">
        <v>0</v>
      </c>
      <c r="H1273" s="2">
        <v>1</v>
      </c>
      <c r="I1273" s="4">
        <v>41296</v>
      </c>
      <c r="J1273" s="2">
        <v>30</v>
      </c>
    </row>
    <row r="1274" spans="1:10" ht="12.5">
      <c r="A1274" s="2">
        <v>1272</v>
      </c>
      <c r="B1274" s="2">
        <v>195</v>
      </c>
      <c r="C1274" s="2">
        <v>1972</v>
      </c>
      <c r="D1274" s="3" t="s">
        <v>9</v>
      </c>
      <c r="E1274" s="3" t="s">
        <v>10</v>
      </c>
      <c r="F1274" s="2">
        <v>38808</v>
      </c>
      <c r="G1274" s="2">
        <v>1</v>
      </c>
      <c r="H1274" s="2">
        <v>0</v>
      </c>
      <c r="I1274" s="4">
        <v>41147</v>
      </c>
      <c r="J1274" s="2">
        <v>21</v>
      </c>
    </row>
    <row r="1275" spans="1:10" ht="12.5">
      <c r="A1275" s="2">
        <v>1273</v>
      </c>
      <c r="B1275" s="2">
        <v>635</v>
      </c>
      <c r="C1275" s="2">
        <v>1966</v>
      </c>
      <c r="D1275" s="3" t="s">
        <v>14</v>
      </c>
      <c r="E1275" s="3" t="s">
        <v>13</v>
      </c>
      <c r="F1275" s="2">
        <v>57183</v>
      </c>
      <c r="G1275" s="2">
        <v>1</v>
      </c>
      <c r="H1275" s="2">
        <v>1</v>
      </c>
      <c r="I1275" s="4">
        <v>41352</v>
      </c>
      <c r="J1275" s="2">
        <v>51</v>
      </c>
    </row>
    <row r="1276" spans="1:10" ht="12.5">
      <c r="A1276" s="2">
        <v>1274</v>
      </c>
      <c r="B1276" s="2">
        <v>7527</v>
      </c>
      <c r="C1276" s="2">
        <v>1968</v>
      </c>
      <c r="D1276" s="3" t="s">
        <v>14</v>
      </c>
      <c r="E1276" s="3" t="s">
        <v>15</v>
      </c>
      <c r="F1276" s="2">
        <v>23748</v>
      </c>
      <c r="G1276" s="2">
        <v>1</v>
      </c>
      <c r="H1276" s="2">
        <v>0</v>
      </c>
      <c r="I1276" s="5">
        <v>41234</v>
      </c>
      <c r="J1276" s="2">
        <v>97</v>
      </c>
    </row>
    <row r="1277" spans="1:10" ht="12.5">
      <c r="A1277" s="2">
        <v>1275</v>
      </c>
      <c r="B1277" s="2">
        <v>10319</v>
      </c>
      <c r="C1277" s="2">
        <v>1971</v>
      </c>
      <c r="D1277" s="3" t="s">
        <v>9</v>
      </c>
      <c r="E1277" s="3" t="s">
        <v>13</v>
      </c>
      <c r="F1277" s="2">
        <v>66303</v>
      </c>
      <c r="G1277" s="2">
        <v>0</v>
      </c>
      <c r="H1277" s="2">
        <v>1</v>
      </c>
      <c r="I1277" s="4">
        <v>41331</v>
      </c>
      <c r="J1277" s="2">
        <v>56</v>
      </c>
    </row>
    <row r="1278" spans="1:10" ht="12.5">
      <c r="A1278" s="2">
        <v>1276</v>
      </c>
      <c r="B1278" s="2">
        <v>2296</v>
      </c>
      <c r="C1278" s="2">
        <v>1975</v>
      </c>
      <c r="D1278" s="3" t="s">
        <v>14</v>
      </c>
      <c r="E1278" s="3" t="s">
        <v>13</v>
      </c>
      <c r="F1278" s="2">
        <v>37368</v>
      </c>
      <c r="G1278" s="2">
        <v>1</v>
      </c>
      <c r="H1278" s="2">
        <v>0</v>
      </c>
      <c r="I1278" s="5">
        <v>41624</v>
      </c>
      <c r="J1278" s="2">
        <v>4</v>
      </c>
    </row>
    <row r="1279" spans="1:10" ht="12.5">
      <c r="A1279" s="2">
        <v>1277</v>
      </c>
      <c r="B1279" s="2">
        <v>10637</v>
      </c>
      <c r="C1279" s="2">
        <v>1964</v>
      </c>
      <c r="D1279" s="3" t="s">
        <v>9</v>
      </c>
      <c r="E1279" s="3" t="s">
        <v>13</v>
      </c>
      <c r="F1279" s="2">
        <v>40800</v>
      </c>
      <c r="G1279" s="2">
        <v>1</v>
      </c>
      <c r="H1279" s="2">
        <v>2</v>
      </c>
      <c r="I1279" s="4">
        <v>41275</v>
      </c>
      <c r="J1279" s="2">
        <v>77</v>
      </c>
    </row>
    <row r="1280" spans="1:10" ht="12.5">
      <c r="A1280" s="2">
        <v>1278</v>
      </c>
      <c r="B1280" s="2">
        <v>2931</v>
      </c>
      <c r="C1280" s="2">
        <v>1978</v>
      </c>
      <c r="D1280" s="3" t="s">
        <v>9</v>
      </c>
      <c r="E1280" s="3" t="s">
        <v>15</v>
      </c>
      <c r="F1280" s="2">
        <v>71847</v>
      </c>
      <c r="G1280" s="2">
        <v>0</v>
      </c>
      <c r="H1280" s="2">
        <v>0</v>
      </c>
      <c r="I1280" s="4">
        <v>41173</v>
      </c>
      <c r="J1280" s="2">
        <v>95</v>
      </c>
    </row>
    <row r="1281" spans="1:10" ht="12.5">
      <c r="A1281" s="2">
        <v>1279</v>
      </c>
      <c r="B1281" s="2">
        <v>907</v>
      </c>
      <c r="C1281" s="2">
        <v>1975</v>
      </c>
      <c r="D1281" s="3" t="s">
        <v>9</v>
      </c>
      <c r="E1281" s="3" t="s">
        <v>13</v>
      </c>
      <c r="F1281" s="2">
        <v>46149</v>
      </c>
      <c r="G1281" s="2">
        <v>0</v>
      </c>
      <c r="H1281" s="2">
        <v>1</v>
      </c>
      <c r="I1281" s="5">
        <v>41607</v>
      </c>
      <c r="J1281" s="2">
        <v>36</v>
      </c>
    </row>
    <row r="1282" spans="1:10" ht="12.5">
      <c r="A1282" s="2">
        <v>1280</v>
      </c>
      <c r="B1282" s="2">
        <v>3698</v>
      </c>
      <c r="C1282" s="2">
        <v>1983</v>
      </c>
      <c r="D1282" s="3" t="s">
        <v>9</v>
      </c>
      <c r="E1282" s="3" t="s">
        <v>11</v>
      </c>
      <c r="F1282" s="2">
        <v>78687</v>
      </c>
      <c r="G1282" s="2">
        <v>0</v>
      </c>
      <c r="H1282" s="2">
        <v>0</v>
      </c>
      <c r="I1282" s="4">
        <v>41130</v>
      </c>
      <c r="J1282" s="2">
        <v>13</v>
      </c>
    </row>
    <row r="1283" spans="1:10" ht="12.5">
      <c r="A1283" s="2">
        <v>1281</v>
      </c>
      <c r="B1283" s="2">
        <v>9516</v>
      </c>
      <c r="C1283" s="2">
        <v>1971</v>
      </c>
      <c r="D1283" s="3" t="s">
        <v>17</v>
      </c>
      <c r="E1283" s="3" t="s">
        <v>15</v>
      </c>
      <c r="F1283" s="2">
        <v>49118</v>
      </c>
      <c r="G1283" s="2">
        <v>0</v>
      </c>
      <c r="H1283" s="2">
        <v>0</v>
      </c>
      <c r="I1283" s="4">
        <v>41139</v>
      </c>
      <c r="J1283" s="2">
        <v>90</v>
      </c>
    </row>
    <row r="1284" spans="1:10" ht="12.5">
      <c r="A1284" s="2">
        <v>1282</v>
      </c>
      <c r="B1284" s="2">
        <v>679</v>
      </c>
      <c r="C1284" s="2">
        <v>1957</v>
      </c>
      <c r="D1284" s="3" t="s">
        <v>12</v>
      </c>
      <c r="E1284" s="3" t="s">
        <v>13</v>
      </c>
      <c r="F1284" s="2">
        <v>37633</v>
      </c>
      <c r="G1284" s="2">
        <v>1</v>
      </c>
      <c r="H1284" s="2">
        <v>1</v>
      </c>
      <c r="I1284" s="4">
        <v>41172</v>
      </c>
      <c r="J1284" s="2">
        <v>49</v>
      </c>
    </row>
    <row r="1285" spans="1:10" ht="12.5">
      <c r="A1285" s="2">
        <v>1283</v>
      </c>
      <c r="B1285" s="2">
        <v>7384</v>
      </c>
      <c r="C1285" s="2">
        <v>1951</v>
      </c>
      <c r="D1285" s="3" t="s">
        <v>14</v>
      </c>
      <c r="E1285" s="3" t="s">
        <v>11</v>
      </c>
      <c r="F1285" s="2">
        <v>39767</v>
      </c>
      <c r="G1285" s="2">
        <v>0</v>
      </c>
      <c r="H1285" s="2">
        <v>0</v>
      </c>
      <c r="I1285" s="4">
        <v>41476</v>
      </c>
      <c r="J1285" s="2">
        <v>18</v>
      </c>
    </row>
    <row r="1286" spans="1:10" ht="12.5">
      <c r="A1286" s="2">
        <v>1284</v>
      </c>
      <c r="B1286" s="2">
        <v>5043</v>
      </c>
      <c r="C1286" s="2">
        <v>1951</v>
      </c>
      <c r="D1286" s="3" t="s">
        <v>16</v>
      </c>
      <c r="E1286" s="3" t="s">
        <v>13</v>
      </c>
      <c r="F1286" s="2">
        <v>26997</v>
      </c>
      <c r="G1286" s="2">
        <v>0</v>
      </c>
      <c r="H1286" s="2">
        <v>0</v>
      </c>
      <c r="I1286" s="4">
        <v>41218</v>
      </c>
      <c r="J1286" s="2">
        <v>89</v>
      </c>
    </row>
    <row r="1287" spans="1:10" ht="12.5">
      <c r="A1287" s="2">
        <v>1285</v>
      </c>
      <c r="B1287" s="2">
        <v>5267</v>
      </c>
      <c r="C1287" s="2">
        <v>1970</v>
      </c>
      <c r="D1287" s="3" t="s">
        <v>9</v>
      </c>
      <c r="E1287" s="3" t="s">
        <v>15</v>
      </c>
      <c r="F1287" s="2">
        <v>33986</v>
      </c>
      <c r="G1287" s="2">
        <v>1</v>
      </c>
      <c r="H1287" s="2">
        <v>0</v>
      </c>
      <c r="I1287" s="4">
        <v>41347</v>
      </c>
      <c r="J1287" s="2">
        <v>43</v>
      </c>
    </row>
    <row r="1288" spans="1:10" ht="12.5">
      <c r="A1288" s="2">
        <v>1286</v>
      </c>
      <c r="B1288" s="2">
        <v>339</v>
      </c>
      <c r="C1288" s="2">
        <v>1972</v>
      </c>
      <c r="D1288" s="3" t="s">
        <v>12</v>
      </c>
      <c r="E1288" s="3" t="s">
        <v>13</v>
      </c>
      <c r="F1288" s="2">
        <v>57091</v>
      </c>
      <c r="G1288" s="2">
        <v>0</v>
      </c>
      <c r="H1288" s="2">
        <v>1</v>
      </c>
      <c r="I1288" s="5">
        <v>41236</v>
      </c>
      <c r="J1288" s="2">
        <v>82</v>
      </c>
    </row>
    <row r="1289" spans="1:10" ht="12.5">
      <c r="A1289" s="2">
        <v>1287</v>
      </c>
      <c r="B1289" s="2">
        <v>2516</v>
      </c>
      <c r="C1289" s="2">
        <v>1969</v>
      </c>
      <c r="D1289" s="3" t="s">
        <v>17</v>
      </c>
      <c r="E1289" s="3" t="s">
        <v>13</v>
      </c>
      <c r="F1289" s="2">
        <v>46831</v>
      </c>
      <c r="G1289" s="2">
        <v>1</v>
      </c>
      <c r="H1289" s="2">
        <v>1</v>
      </c>
      <c r="I1289" s="4">
        <v>41433</v>
      </c>
      <c r="J1289" s="2">
        <v>84</v>
      </c>
    </row>
    <row r="1290" spans="1:10" ht="12.5">
      <c r="A1290" s="2">
        <v>1288</v>
      </c>
      <c r="B1290" s="2">
        <v>9010</v>
      </c>
      <c r="C1290" s="2">
        <v>1972</v>
      </c>
      <c r="D1290" s="3" t="s">
        <v>14</v>
      </c>
      <c r="E1290" s="3" t="s">
        <v>13</v>
      </c>
      <c r="F1290" s="2">
        <v>83151</v>
      </c>
      <c r="G1290" s="2">
        <v>0</v>
      </c>
      <c r="H1290" s="2">
        <v>0</v>
      </c>
      <c r="I1290" s="4">
        <v>41315</v>
      </c>
      <c r="J1290" s="2">
        <v>80</v>
      </c>
    </row>
    <row r="1291" spans="1:10" ht="12.5">
      <c r="A1291" s="2">
        <v>1289</v>
      </c>
      <c r="B1291" s="2">
        <v>378</v>
      </c>
      <c r="C1291" s="2">
        <v>1971</v>
      </c>
      <c r="D1291" s="3" t="s">
        <v>9</v>
      </c>
      <c r="E1291" s="3" t="s">
        <v>13</v>
      </c>
      <c r="F1291" s="2">
        <v>52531</v>
      </c>
      <c r="G1291" s="2">
        <v>0</v>
      </c>
      <c r="H1291" s="2">
        <v>0</v>
      </c>
      <c r="I1291" s="5">
        <v>41273</v>
      </c>
      <c r="J1291" s="2">
        <v>68</v>
      </c>
    </row>
    <row r="1292" spans="1:10" ht="12.5">
      <c r="A1292" s="2">
        <v>1290</v>
      </c>
      <c r="B1292" s="2">
        <v>4808</v>
      </c>
      <c r="C1292" s="2">
        <v>1956</v>
      </c>
      <c r="D1292" s="3" t="s">
        <v>9</v>
      </c>
      <c r="E1292" s="3" t="s">
        <v>13</v>
      </c>
      <c r="F1292" s="2">
        <v>15759</v>
      </c>
      <c r="G1292" s="2">
        <v>0</v>
      </c>
      <c r="H1292" s="2">
        <v>0</v>
      </c>
      <c r="I1292" s="4">
        <v>41522</v>
      </c>
      <c r="J1292" s="2">
        <v>12</v>
      </c>
    </row>
    <row r="1293" spans="1:10" ht="12.5">
      <c r="A1293" s="2">
        <v>1291</v>
      </c>
      <c r="B1293" s="2">
        <v>5068</v>
      </c>
      <c r="C1293" s="2">
        <v>1971</v>
      </c>
      <c r="D1293" s="3" t="s">
        <v>9</v>
      </c>
      <c r="E1293" s="3" t="s">
        <v>10</v>
      </c>
      <c r="F1293" s="2">
        <v>22804</v>
      </c>
      <c r="G1293" s="2">
        <v>1</v>
      </c>
      <c r="H1293" s="2">
        <v>0</v>
      </c>
      <c r="I1293" s="4">
        <v>41486</v>
      </c>
      <c r="J1293" s="2">
        <v>75</v>
      </c>
    </row>
    <row r="1294" spans="1:10" ht="12.5">
      <c r="A1294" s="2">
        <v>1292</v>
      </c>
      <c r="B1294" s="2">
        <v>7628</v>
      </c>
      <c r="C1294" s="2">
        <v>1973</v>
      </c>
      <c r="D1294" s="3" t="s">
        <v>17</v>
      </c>
      <c r="E1294" s="3" t="s">
        <v>13</v>
      </c>
      <c r="F1294" s="2">
        <v>43050</v>
      </c>
      <c r="G1294" s="2">
        <v>1</v>
      </c>
      <c r="H1294" s="2">
        <v>0</v>
      </c>
      <c r="I1294" s="4">
        <v>41716</v>
      </c>
      <c r="J1294" s="2">
        <v>10</v>
      </c>
    </row>
    <row r="1295" spans="1:10" ht="12.5">
      <c r="A1295" s="2">
        <v>1293</v>
      </c>
      <c r="B1295" s="2">
        <v>7128</v>
      </c>
      <c r="C1295" s="2">
        <v>1977</v>
      </c>
      <c r="D1295" s="3" t="s">
        <v>12</v>
      </c>
      <c r="E1295" s="3" t="s">
        <v>10</v>
      </c>
      <c r="F1295" s="2">
        <v>42997</v>
      </c>
      <c r="G1295" s="2">
        <v>1</v>
      </c>
      <c r="H1295" s="2">
        <v>1</v>
      </c>
      <c r="I1295" s="4">
        <v>41615</v>
      </c>
      <c r="J1295" s="2">
        <v>91</v>
      </c>
    </row>
    <row r="1296" spans="1:10" ht="12.5">
      <c r="A1296" s="2">
        <v>1294</v>
      </c>
      <c r="B1296" s="2">
        <v>2811</v>
      </c>
      <c r="C1296" s="2">
        <v>1963</v>
      </c>
      <c r="D1296" s="3" t="s">
        <v>12</v>
      </c>
      <c r="E1296" s="3" t="s">
        <v>10</v>
      </c>
      <c r="F1296" s="2">
        <v>48918</v>
      </c>
      <c r="G1296" s="2">
        <v>1</v>
      </c>
      <c r="H1296" s="2">
        <v>1</v>
      </c>
      <c r="I1296" s="4">
        <v>41741</v>
      </c>
      <c r="J1296" s="2">
        <v>21</v>
      </c>
    </row>
    <row r="1297" spans="1:10" ht="12.5">
      <c r="A1297" s="2">
        <v>1295</v>
      </c>
      <c r="B1297" s="2">
        <v>3551</v>
      </c>
      <c r="C1297" s="2">
        <v>1954</v>
      </c>
      <c r="D1297" s="3" t="s">
        <v>14</v>
      </c>
      <c r="E1297" s="3" t="s">
        <v>11</v>
      </c>
      <c r="F1297" s="2">
        <v>60033</v>
      </c>
      <c r="G1297" s="2">
        <v>0</v>
      </c>
      <c r="H1297" s="2">
        <v>1</v>
      </c>
      <c r="I1297" s="4">
        <v>41727</v>
      </c>
      <c r="J1297" s="2">
        <v>28</v>
      </c>
    </row>
    <row r="1298" spans="1:10" ht="12.5">
      <c r="A1298" s="2">
        <v>1296</v>
      </c>
      <c r="B1298" s="2">
        <v>1663</v>
      </c>
      <c r="C1298" s="2">
        <v>1978</v>
      </c>
      <c r="D1298" s="3" t="s">
        <v>12</v>
      </c>
      <c r="E1298" s="3" t="s">
        <v>11</v>
      </c>
      <c r="F1298" s="2">
        <v>34043</v>
      </c>
      <c r="G1298" s="2">
        <v>1</v>
      </c>
      <c r="H1298" s="2">
        <v>0</v>
      </c>
      <c r="I1298" s="5">
        <v>41572</v>
      </c>
      <c r="J1298" s="2">
        <v>97</v>
      </c>
    </row>
    <row r="1299" spans="1:10" ht="12.5">
      <c r="A1299" s="2">
        <v>1297</v>
      </c>
      <c r="B1299" s="2">
        <v>5543</v>
      </c>
      <c r="C1299" s="2">
        <v>1966</v>
      </c>
      <c r="D1299" s="3" t="s">
        <v>9</v>
      </c>
      <c r="E1299" s="3" t="s">
        <v>11</v>
      </c>
      <c r="F1299" s="2">
        <v>57811</v>
      </c>
      <c r="G1299" s="2">
        <v>0</v>
      </c>
      <c r="H1299" s="2">
        <v>1</v>
      </c>
      <c r="I1299" s="4">
        <v>41449</v>
      </c>
      <c r="J1299" s="2">
        <v>49</v>
      </c>
    </row>
    <row r="1300" spans="1:10" ht="12.5">
      <c r="A1300" s="2">
        <v>1298</v>
      </c>
      <c r="B1300" s="2">
        <v>1577</v>
      </c>
      <c r="C1300" s="2">
        <v>1946</v>
      </c>
      <c r="D1300" s="3" t="s">
        <v>9</v>
      </c>
      <c r="E1300" s="3" t="s">
        <v>13</v>
      </c>
      <c r="F1300" s="2">
        <v>78569</v>
      </c>
      <c r="G1300" s="2">
        <v>0</v>
      </c>
      <c r="H1300" s="2">
        <v>0</v>
      </c>
      <c r="I1300" s="4">
        <v>41689</v>
      </c>
      <c r="J1300" s="2">
        <v>14</v>
      </c>
    </row>
    <row r="1301" spans="1:10" ht="12.5">
      <c r="A1301" s="2">
        <v>1299</v>
      </c>
      <c r="B1301" s="2">
        <v>10641</v>
      </c>
      <c r="C1301" s="2">
        <v>1978</v>
      </c>
      <c r="D1301" s="3" t="s">
        <v>9</v>
      </c>
      <c r="E1301" s="3" t="s">
        <v>10</v>
      </c>
      <c r="F1301" s="2">
        <v>7500</v>
      </c>
      <c r="G1301" s="2">
        <v>1</v>
      </c>
      <c r="H1301" s="2">
        <v>1</v>
      </c>
      <c r="I1301" s="5">
        <v>41270</v>
      </c>
      <c r="J1301" s="2">
        <v>5</v>
      </c>
    </row>
    <row r="1302" spans="1:10" ht="12.5">
      <c r="A1302" s="2">
        <v>1300</v>
      </c>
      <c r="B1302" s="2">
        <v>5336</v>
      </c>
      <c r="C1302" s="2">
        <v>1971</v>
      </c>
      <c r="D1302" s="3" t="s">
        <v>14</v>
      </c>
      <c r="E1302" s="3" t="s">
        <v>11</v>
      </c>
      <c r="F1302" s="2">
        <v>157733</v>
      </c>
      <c r="G1302" s="2">
        <v>1</v>
      </c>
      <c r="H1302" s="2">
        <v>0</v>
      </c>
      <c r="I1302" s="4">
        <v>41429</v>
      </c>
      <c r="J1302" s="2">
        <v>37</v>
      </c>
    </row>
    <row r="1303" spans="1:10" ht="12.5">
      <c r="A1303" s="2">
        <v>1301</v>
      </c>
      <c r="B1303" s="2">
        <v>6024</v>
      </c>
      <c r="C1303" s="2">
        <v>1953</v>
      </c>
      <c r="D1303" s="3" t="s">
        <v>9</v>
      </c>
      <c r="E1303" s="3" t="s">
        <v>11</v>
      </c>
      <c r="F1303" s="2">
        <v>94384</v>
      </c>
      <c r="G1303" s="2">
        <v>0</v>
      </c>
      <c r="H1303" s="2">
        <v>0</v>
      </c>
      <c r="I1303" s="4">
        <v>41337</v>
      </c>
      <c r="J1303" s="2">
        <v>62</v>
      </c>
    </row>
    <row r="1304" spans="1:10" ht="12.5">
      <c r="A1304" s="2">
        <v>1302</v>
      </c>
      <c r="B1304" s="2">
        <v>1878</v>
      </c>
      <c r="C1304" s="2">
        <v>1985</v>
      </c>
      <c r="D1304" s="3" t="s">
        <v>17</v>
      </c>
      <c r="E1304" s="3" t="s">
        <v>13</v>
      </c>
      <c r="F1304" s="2">
        <v>23148</v>
      </c>
      <c r="G1304" s="2">
        <v>0</v>
      </c>
      <c r="H1304" s="2">
        <v>0</v>
      </c>
      <c r="I1304" s="4">
        <v>41688</v>
      </c>
      <c r="J1304" s="2">
        <v>83</v>
      </c>
    </row>
    <row r="1305" spans="1:10" ht="12.5">
      <c r="A1305" s="2">
        <v>1303</v>
      </c>
      <c r="B1305" s="2">
        <v>3099</v>
      </c>
      <c r="C1305" s="2">
        <v>1970</v>
      </c>
      <c r="D1305" s="3" t="s">
        <v>9</v>
      </c>
      <c r="E1305" s="3" t="s">
        <v>15</v>
      </c>
      <c r="F1305" s="2">
        <v>44267</v>
      </c>
      <c r="G1305" s="2">
        <v>1</v>
      </c>
      <c r="H1305" s="2">
        <v>1</v>
      </c>
      <c r="I1305" s="4">
        <v>41330</v>
      </c>
      <c r="J1305" s="2">
        <v>48</v>
      </c>
    </row>
    <row r="1306" spans="1:10" ht="12.5">
      <c r="A1306" s="2">
        <v>1304</v>
      </c>
      <c r="B1306" s="2">
        <v>6055</v>
      </c>
      <c r="C1306" s="2">
        <v>1979</v>
      </c>
      <c r="D1306" s="3" t="s">
        <v>9</v>
      </c>
      <c r="E1306" s="3" t="s">
        <v>13</v>
      </c>
      <c r="F1306" s="2">
        <v>71626</v>
      </c>
      <c r="G1306" s="2">
        <v>0</v>
      </c>
      <c r="H1306" s="2">
        <v>0</v>
      </c>
      <c r="I1306" s="4">
        <v>41214</v>
      </c>
      <c r="J1306" s="2">
        <v>94</v>
      </c>
    </row>
    <row r="1307" spans="1:10" ht="12.5">
      <c r="A1307" s="2">
        <v>1305</v>
      </c>
      <c r="B1307" s="2">
        <v>5841</v>
      </c>
      <c r="C1307" s="2">
        <v>1966</v>
      </c>
      <c r="D1307" s="3" t="s">
        <v>9</v>
      </c>
      <c r="E1307" s="3" t="s">
        <v>11</v>
      </c>
      <c r="F1307" s="2">
        <v>60894</v>
      </c>
      <c r="G1307" s="2">
        <v>0</v>
      </c>
      <c r="H1307" s="2">
        <v>1</v>
      </c>
      <c r="I1307" s="4">
        <v>41453</v>
      </c>
      <c r="J1307" s="2">
        <v>61</v>
      </c>
    </row>
    <row r="1308" spans="1:10" ht="12.5">
      <c r="A1308" s="2">
        <v>1306</v>
      </c>
      <c r="B1308" s="2">
        <v>3972</v>
      </c>
      <c r="C1308" s="2">
        <v>1976</v>
      </c>
      <c r="D1308" s="3" t="s">
        <v>9</v>
      </c>
      <c r="E1308" s="3" t="s">
        <v>11</v>
      </c>
      <c r="F1308" s="2">
        <v>50200</v>
      </c>
      <c r="G1308" s="2">
        <v>1</v>
      </c>
      <c r="H1308" s="2">
        <v>1</v>
      </c>
      <c r="I1308" s="4">
        <v>41367</v>
      </c>
      <c r="J1308" s="2">
        <v>70</v>
      </c>
    </row>
    <row r="1309" spans="1:10" ht="12.5">
      <c r="A1309" s="2">
        <v>1307</v>
      </c>
      <c r="B1309" s="2">
        <v>4394</v>
      </c>
      <c r="C1309" s="2">
        <v>1965</v>
      </c>
      <c r="D1309" s="3" t="s">
        <v>12</v>
      </c>
      <c r="E1309" s="3" t="s">
        <v>13</v>
      </c>
      <c r="F1309" s="2">
        <v>81051</v>
      </c>
      <c r="G1309" s="2">
        <v>0</v>
      </c>
      <c r="H1309" s="2">
        <v>0</v>
      </c>
      <c r="I1309" s="4">
        <v>41782</v>
      </c>
      <c r="J1309" s="2">
        <v>43</v>
      </c>
    </row>
    <row r="1310" spans="1:10" ht="12.5">
      <c r="A1310" s="2">
        <v>1308</v>
      </c>
      <c r="B1310" s="2">
        <v>5758</v>
      </c>
      <c r="C1310" s="2">
        <v>1982</v>
      </c>
      <c r="D1310" s="3" t="s">
        <v>9</v>
      </c>
      <c r="E1310" s="3" t="s">
        <v>13</v>
      </c>
      <c r="F1310" s="2">
        <v>65169</v>
      </c>
      <c r="G1310" s="2">
        <v>0</v>
      </c>
      <c r="H1310" s="2">
        <v>0</v>
      </c>
      <c r="I1310" s="4">
        <v>41653</v>
      </c>
      <c r="J1310" s="2">
        <v>23</v>
      </c>
    </row>
    <row r="1311" spans="1:10" ht="12.5">
      <c r="A1311" s="2">
        <v>1309</v>
      </c>
      <c r="B1311" s="2">
        <v>6658</v>
      </c>
      <c r="C1311" s="2">
        <v>1972</v>
      </c>
      <c r="D1311" s="3" t="s">
        <v>9</v>
      </c>
      <c r="E1311" s="3" t="s">
        <v>11</v>
      </c>
      <c r="F1311" s="2">
        <v>59868</v>
      </c>
      <c r="G1311" s="2">
        <v>0</v>
      </c>
      <c r="H1311" s="2">
        <v>1</v>
      </c>
      <c r="I1311" s="4">
        <v>41477</v>
      </c>
      <c r="J1311" s="2">
        <v>37</v>
      </c>
    </row>
    <row r="1312" spans="1:10" ht="12.5">
      <c r="A1312" s="2">
        <v>1310</v>
      </c>
      <c r="B1312" s="2">
        <v>4603</v>
      </c>
      <c r="C1312" s="2">
        <v>1960</v>
      </c>
      <c r="D1312" s="3" t="s">
        <v>12</v>
      </c>
      <c r="E1312" s="3" t="s">
        <v>13</v>
      </c>
      <c r="F1312" s="2">
        <v>65695</v>
      </c>
      <c r="G1312" s="2">
        <v>0</v>
      </c>
      <c r="H1312" s="2">
        <v>1</v>
      </c>
      <c r="I1312" s="4">
        <v>41670</v>
      </c>
      <c r="J1312" s="2">
        <v>50</v>
      </c>
    </row>
    <row r="1313" spans="1:10" ht="12.5">
      <c r="A1313" s="2">
        <v>1311</v>
      </c>
      <c r="B1313" s="2">
        <v>8427</v>
      </c>
      <c r="C1313" s="2">
        <v>1956</v>
      </c>
      <c r="D1313" s="3" t="s">
        <v>14</v>
      </c>
      <c r="E1313" s="3" t="s">
        <v>10</v>
      </c>
      <c r="F1313" s="2">
        <v>64857</v>
      </c>
      <c r="G1313" s="2">
        <v>0</v>
      </c>
      <c r="H1313" s="2">
        <v>0</v>
      </c>
      <c r="I1313" s="5">
        <v>41236</v>
      </c>
      <c r="J1313" s="2">
        <v>78</v>
      </c>
    </row>
    <row r="1314" spans="1:10" ht="12.5">
      <c r="A1314" s="2">
        <v>1312</v>
      </c>
      <c r="B1314" s="2">
        <v>10260</v>
      </c>
      <c r="C1314" s="2">
        <v>1965</v>
      </c>
      <c r="D1314" s="3" t="s">
        <v>14</v>
      </c>
      <c r="E1314" s="3" t="s">
        <v>11</v>
      </c>
      <c r="F1314" s="2">
        <v>45143</v>
      </c>
      <c r="G1314" s="2">
        <v>0</v>
      </c>
      <c r="H1314" s="2">
        <v>1</v>
      </c>
      <c r="I1314" s="4">
        <v>41512</v>
      </c>
      <c r="J1314" s="2">
        <v>74</v>
      </c>
    </row>
    <row r="1315" spans="1:10" ht="12.5">
      <c r="A1315" s="2">
        <v>1313</v>
      </c>
      <c r="B1315" s="2">
        <v>7143</v>
      </c>
      <c r="C1315" s="2">
        <v>1955</v>
      </c>
      <c r="D1315" s="3" t="s">
        <v>17</v>
      </c>
      <c r="E1315" s="3" t="s">
        <v>11</v>
      </c>
      <c r="F1315" s="2">
        <v>74805</v>
      </c>
      <c r="G1315" s="2">
        <v>0</v>
      </c>
      <c r="H1315" s="2">
        <v>1</v>
      </c>
      <c r="I1315" s="4">
        <v>41584</v>
      </c>
      <c r="J1315" s="2">
        <v>14</v>
      </c>
    </row>
    <row r="1316" spans="1:10" ht="12.5">
      <c r="A1316" s="2">
        <v>1314</v>
      </c>
      <c r="B1316" s="2">
        <v>8789</v>
      </c>
      <c r="C1316" s="2">
        <v>1989</v>
      </c>
      <c r="D1316" s="3" t="s">
        <v>17</v>
      </c>
      <c r="E1316" s="3" t="s">
        <v>13</v>
      </c>
      <c r="F1316" s="2">
        <v>59060</v>
      </c>
      <c r="G1316" s="2">
        <v>1</v>
      </c>
      <c r="H1316" s="2">
        <v>0</v>
      </c>
      <c r="I1316" s="4">
        <v>41650</v>
      </c>
      <c r="J1316" s="2">
        <v>77</v>
      </c>
    </row>
    <row r="1317" spans="1:10" ht="12.5">
      <c r="A1317" s="2">
        <v>1315</v>
      </c>
      <c r="B1317" s="2">
        <v>6197</v>
      </c>
      <c r="C1317" s="2">
        <v>1962</v>
      </c>
      <c r="D1317" s="3" t="s">
        <v>12</v>
      </c>
      <c r="E1317" s="3" t="s">
        <v>10</v>
      </c>
      <c r="F1317" s="2">
        <v>27238</v>
      </c>
      <c r="G1317" s="2">
        <v>1</v>
      </c>
      <c r="H1317" s="2">
        <v>1</v>
      </c>
      <c r="I1317" s="4">
        <v>41384</v>
      </c>
      <c r="J1317" s="2">
        <v>39</v>
      </c>
    </row>
    <row r="1318" spans="1:10" ht="12.5">
      <c r="A1318" s="2">
        <v>1316</v>
      </c>
      <c r="B1318" s="2">
        <v>4554</v>
      </c>
      <c r="C1318" s="2">
        <v>1965</v>
      </c>
      <c r="D1318" s="3" t="s">
        <v>9</v>
      </c>
      <c r="E1318" s="3" t="s">
        <v>11</v>
      </c>
      <c r="F1318" s="2">
        <v>47009</v>
      </c>
      <c r="G1318" s="2">
        <v>0</v>
      </c>
      <c r="H1318" s="2">
        <v>1</v>
      </c>
      <c r="I1318" s="4">
        <v>41548</v>
      </c>
      <c r="J1318" s="2">
        <v>89</v>
      </c>
    </row>
    <row r="1319" spans="1:10" ht="12.5">
      <c r="A1319" s="2">
        <v>1317</v>
      </c>
      <c r="B1319" s="2">
        <v>4937</v>
      </c>
      <c r="C1319" s="2">
        <v>1973</v>
      </c>
      <c r="D1319" s="3" t="s">
        <v>17</v>
      </c>
      <c r="E1319" s="3" t="s">
        <v>13</v>
      </c>
      <c r="F1319" s="2">
        <v>46094</v>
      </c>
      <c r="G1319" s="2">
        <v>1</v>
      </c>
      <c r="H1319" s="2">
        <v>1</v>
      </c>
      <c r="I1319" s="4">
        <v>41800</v>
      </c>
      <c r="J1319" s="2">
        <v>62</v>
      </c>
    </row>
    <row r="1320" spans="1:10" ht="12.5">
      <c r="A1320" s="2">
        <v>1318</v>
      </c>
      <c r="B1320" s="2">
        <v>1920</v>
      </c>
      <c r="C1320" s="2">
        <v>1972</v>
      </c>
      <c r="D1320" s="3" t="s">
        <v>9</v>
      </c>
      <c r="E1320" s="3" t="s">
        <v>13</v>
      </c>
      <c r="F1320" s="2">
        <v>40321</v>
      </c>
      <c r="G1320" s="2">
        <v>1</v>
      </c>
      <c r="H1320" s="2">
        <v>1</v>
      </c>
      <c r="I1320" s="4">
        <v>41484</v>
      </c>
      <c r="J1320" s="2">
        <v>59</v>
      </c>
    </row>
    <row r="1321" spans="1:10" ht="12.5">
      <c r="A1321" s="2">
        <v>1319</v>
      </c>
      <c r="B1321" s="2">
        <v>8749</v>
      </c>
      <c r="C1321" s="2">
        <v>1984</v>
      </c>
      <c r="D1321" s="3" t="s">
        <v>9</v>
      </c>
      <c r="E1321" s="3" t="s">
        <v>11</v>
      </c>
      <c r="F1321" s="2">
        <v>37235</v>
      </c>
      <c r="G1321" s="2">
        <v>1</v>
      </c>
      <c r="H1321" s="2">
        <v>0</v>
      </c>
      <c r="I1321" s="4">
        <v>41671</v>
      </c>
      <c r="J1321" s="2">
        <v>68</v>
      </c>
    </row>
    <row r="1322" spans="1:10" ht="12.5">
      <c r="A1322" s="2">
        <v>1320</v>
      </c>
      <c r="B1322" s="2">
        <v>1650</v>
      </c>
      <c r="C1322" s="2">
        <v>1960</v>
      </c>
      <c r="D1322" s="3" t="s">
        <v>14</v>
      </c>
      <c r="E1322" s="3" t="s">
        <v>13</v>
      </c>
      <c r="F1322" s="2">
        <v>81843</v>
      </c>
      <c r="G1322" s="2">
        <v>0</v>
      </c>
      <c r="H1322" s="2">
        <v>0</v>
      </c>
      <c r="I1322" s="4">
        <v>41386</v>
      </c>
      <c r="J1322" s="2">
        <v>13</v>
      </c>
    </row>
    <row r="1323" spans="1:10" ht="12.5">
      <c r="A1323" s="2">
        <v>1321</v>
      </c>
      <c r="B1323" s="2">
        <v>10377</v>
      </c>
      <c r="C1323" s="2">
        <v>1958</v>
      </c>
      <c r="D1323" s="3" t="s">
        <v>14</v>
      </c>
      <c r="E1323" s="3" t="s">
        <v>11</v>
      </c>
      <c r="F1323" s="2">
        <v>46692</v>
      </c>
      <c r="G1323" s="2">
        <v>0</v>
      </c>
      <c r="H1323" s="2">
        <v>1</v>
      </c>
      <c r="I1323" s="4">
        <v>41431</v>
      </c>
      <c r="J1323" s="2">
        <v>37</v>
      </c>
    </row>
    <row r="1324" spans="1:10" ht="12.5">
      <c r="A1324" s="2">
        <v>1322</v>
      </c>
      <c r="B1324" s="2">
        <v>9206</v>
      </c>
      <c r="C1324" s="2">
        <v>1968</v>
      </c>
      <c r="D1324" s="3" t="s">
        <v>9</v>
      </c>
      <c r="E1324" s="3" t="s">
        <v>11</v>
      </c>
      <c r="F1324" s="2">
        <v>77382</v>
      </c>
      <c r="G1324" s="2">
        <v>0</v>
      </c>
      <c r="H1324" s="2">
        <v>1</v>
      </c>
      <c r="I1324" s="4">
        <v>41646</v>
      </c>
      <c r="J1324" s="2">
        <v>36</v>
      </c>
    </row>
    <row r="1325" spans="1:10" ht="12.5">
      <c r="A1325" s="2">
        <v>1323</v>
      </c>
      <c r="B1325" s="2">
        <v>10971</v>
      </c>
      <c r="C1325" s="2">
        <v>1977</v>
      </c>
      <c r="D1325" s="3" t="s">
        <v>9</v>
      </c>
      <c r="E1325" s="3" t="s">
        <v>10</v>
      </c>
      <c r="F1325" s="2">
        <v>37774</v>
      </c>
      <c r="G1325" s="2">
        <v>2</v>
      </c>
      <c r="H1325" s="2">
        <v>0</v>
      </c>
      <c r="I1325" s="4">
        <v>41155</v>
      </c>
      <c r="J1325" s="2">
        <v>28</v>
      </c>
    </row>
    <row r="1326" spans="1:10" ht="12.5">
      <c r="A1326" s="2">
        <v>1324</v>
      </c>
      <c r="B1326" s="2">
        <v>6398</v>
      </c>
      <c r="C1326" s="2">
        <v>1974</v>
      </c>
      <c r="D1326" s="3" t="s">
        <v>16</v>
      </c>
      <c r="E1326" s="3" t="s">
        <v>13</v>
      </c>
      <c r="F1326" s="2">
        <v>18393</v>
      </c>
      <c r="G1326" s="2">
        <v>1</v>
      </c>
      <c r="H1326" s="2">
        <v>0</v>
      </c>
      <c r="I1326" s="4">
        <v>41727</v>
      </c>
      <c r="J1326" s="2">
        <v>2</v>
      </c>
    </row>
    <row r="1327" spans="1:10" ht="12.5">
      <c r="A1327" s="2">
        <v>1325</v>
      </c>
      <c r="B1327" s="2">
        <v>9212</v>
      </c>
      <c r="C1327" s="2">
        <v>1962</v>
      </c>
      <c r="D1327" s="3" t="s">
        <v>14</v>
      </c>
      <c r="E1327" s="3" t="s">
        <v>13</v>
      </c>
      <c r="F1327" s="2">
        <v>72828</v>
      </c>
      <c r="G1327" s="2">
        <v>0</v>
      </c>
      <c r="H1327" s="2">
        <v>1</v>
      </c>
      <c r="I1327" s="4">
        <v>41319</v>
      </c>
      <c r="J1327" s="2">
        <v>17</v>
      </c>
    </row>
    <row r="1328" spans="1:10" ht="12.5">
      <c r="A1328" s="2">
        <v>1326</v>
      </c>
      <c r="B1328" s="2">
        <v>7937</v>
      </c>
      <c r="C1328" s="2">
        <v>1982</v>
      </c>
      <c r="D1328" s="3" t="s">
        <v>9</v>
      </c>
      <c r="E1328" s="3" t="s">
        <v>13</v>
      </c>
      <c r="F1328" s="2">
        <v>24711</v>
      </c>
      <c r="G1328" s="2">
        <v>0</v>
      </c>
      <c r="H1328" s="2">
        <v>0</v>
      </c>
      <c r="I1328" s="4">
        <v>41747</v>
      </c>
      <c r="J1328" s="2">
        <v>86</v>
      </c>
    </row>
    <row r="1329" spans="1:10" ht="12.5">
      <c r="A1329" s="2">
        <v>1327</v>
      </c>
      <c r="B1329" s="2">
        <v>839</v>
      </c>
      <c r="C1329" s="2">
        <v>1975</v>
      </c>
      <c r="D1329" s="3" t="s">
        <v>12</v>
      </c>
      <c r="E1329" s="3" t="s">
        <v>13</v>
      </c>
      <c r="F1329" s="2">
        <v>45503</v>
      </c>
      <c r="G1329" s="2">
        <v>1</v>
      </c>
      <c r="H1329" s="2">
        <v>0</v>
      </c>
      <c r="I1329" s="4">
        <v>41542</v>
      </c>
      <c r="J1329" s="2">
        <v>54</v>
      </c>
    </row>
    <row r="1330" spans="1:10" ht="12.5">
      <c r="A1330" s="2">
        <v>1328</v>
      </c>
      <c r="B1330" s="2">
        <v>4246</v>
      </c>
      <c r="C1330" s="2">
        <v>1982</v>
      </c>
      <c r="D1330" s="3" t="s">
        <v>14</v>
      </c>
      <c r="E1330" s="3" t="s">
        <v>10</v>
      </c>
      <c r="F1330" s="2">
        <v>6560</v>
      </c>
      <c r="G1330" s="2">
        <v>0</v>
      </c>
      <c r="H1330" s="2">
        <v>0</v>
      </c>
      <c r="I1330" s="5">
        <v>41620</v>
      </c>
      <c r="J1330" s="2">
        <v>2</v>
      </c>
    </row>
    <row r="1331" spans="1:10" ht="12.5">
      <c r="A1331" s="2">
        <v>1329</v>
      </c>
      <c r="B1331" s="2">
        <v>158</v>
      </c>
      <c r="C1331" s="2">
        <v>1945</v>
      </c>
      <c r="D1331" s="3" t="s">
        <v>12</v>
      </c>
      <c r="E1331" s="3" t="s">
        <v>11</v>
      </c>
      <c r="F1331" s="2">
        <v>71604</v>
      </c>
      <c r="G1331" s="2">
        <v>0</v>
      </c>
      <c r="H1331" s="2">
        <v>0</v>
      </c>
      <c r="I1331" s="5">
        <v>41595</v>
      </c>
      <c r="J1331" s="2">
        <v>3</v>
      </c>
    </row>
    <row r="1332" spans="1:10" ht="12.5">
      <c r="A1332" s="2">
        <v>1330</v>
      </c>
      <c r="B1332" s="2">
        <v>4832</v>
      </c>
      <c r="C1332" s="2">
        <v>1979</v>
      </c>
      <c r="D1332" s="3" t="s">
        <v>9</v>
      </c>
      <c r="E1332" s="3" t="s">
        <v>13</v>
      </c>
      <c r="F1332" s="2">
        <v>27244</v>
      </c>
      <c r="G1332" s="2">
        <v>1</v>
      </c>
      <c r="H1332" s="2">
        <v>0</v>
      </c>
      <c r="I1332" s="4">
        <v>41705</v>
      </c>
      <c r="J1332" s="2">
        <v>84</v>
      </c>
    </row>
    <row r="1333" spans="1:10" ht="12.5">
      <c r="A1333" s="2">
        <v>1331</v>
      </c>
      <c r="B1333" s="2">
        <v>5621</v>
      </c>
      <c r="C1333" s="2">
        <v>1969</v>
      </c>
      <c r="D1333" s="3" t="s">
        <v>9</v>
      </c>
      <c r="E1333" s="3" t="s">
        <v>13</v>
      </c>
      <c r="F1333" s="2">
        <v>48752</v>
      </c>
      <c r="G1333" s="2">
        <v>1</v>
      </c>
      <c r="H1333" s="2">
        <v>1</v>
      </c>
      <c r="I1333" s="5">
        <v>41255</v>
      </c>
      <c r="J1333" s="2">
        <v>8</v>
      </c>
    </row>
    <row r="1334" spans="1:10" ht="12.5">
      <c r="A1334" s="2">
        <v>1332</v>
      </c>
      <c r="B1334" s="2">
        <v>1945</v>
      </c>
      <c r="C1334" s="2">
        <v>1962</v>
      </c>
      <c r="D1334" s="3" t="s">
        <v>9</v>
      </c>
      <c r="E1334" s="3" t="s">
        <v>13</v>
      </c>
      <c r="F1334" s="2">
        <v>71434</v>
      </c>
      <c r="G1334" s="2">
        <v>0</v>
      </c>
      <c r="H1334" s="2">
        <v>1</v>
      </c>
      <c r="I1334" s="4">
        <v>41535</v>
      </c>
      <c r="J1334" s="2">
        <v>4</v>
      </c>
    </row>
    <row r="1335" spans="1:10" ht="12.5">
      <c r="A1335" s="2">
        <v>1333</v>
      </c>
      <c r="B1335" s="2">
        <v>5147</v>
      </c>
      <c r="C1335" s="2">
        <v>1948</v>
      </c>
      <c r="D1335" s="3" t="s">
        <v>9</v>
      </c>
      <c r="E1335" s="3" t="s">
        <v>10</v>
      </c>
      <c r="F1335" s="2">
        <v>90842</v>
      </c>
      <c r="G1335" s="2">
        <v>0</v>
      </c>
      <c r="H1335" s="2">
        <v>0</v>
      </c>
      <c r="I1335" s="4">
        <v>41484</v>
      </c>
      <c r="J1335" s="2">
        <v>57</v>
      </c>
    </row>
    <row r="1336" spans="1:10" ht="12.5">
      <c r="A1336" s="2">
        <v>1334</v>
      </c>
      <c r="B1336" s="2">
        <v>2535</v>
      </c>
      <c r="C1336" s="2">
        <v>1978</v>
      </c>
      <c r="D1336" s="3" t="s">
        <v>14</v>
      </c>
      <c r="E1336" s="3" t="s">
        <v>13</v>
      </c>
      <c r="F1336" s="2">
        <v>88097</v>
      </c>
      <c r="G1336" s="2">
        <v>1</v>
      </c>
      <c r="H1336" s="2">
        <v>0</v>
      </c>
      <c r="I1336" s="4">
        <v>41139</v>
      </c>
      <c r="J1336" s="2">
        <v>24</v>
      </c>
    </row>
    <row r="1337" spans="1:10" ht="12.5">
      <c r="A1337" s="2">
        <v>1335</v>
      </c>
      <c r="B1337" s="2">
        <v>11039</v>
      </c>
      <c r="C1337" s="2">
        <v>1975</v>
      </c>
      <c r="D1337" s="3" t="s">
        <v>9</v>
      </c>
      <c r="E1337" s="3" t="s">
        <v>13</v>
      </c>
      <c r="F1337" s="2">
        <v>51948</v>
      </c>
      <c r="G1337" s="2">
        <v>0</v>
      </c>
      <c r="H1337" s="2">
        <v>1</v>
      </c>
      <c r="I1337" s="4">
        <v>41534</v>
      </c>
      <c r="J1337" s="2">
        <v>51</v>
      </c>
    </row>
    <row r="1338" spans="1:10" ht="12.5">
      <c r="A1338" s="2">
        <v>1336</v>
      </c>
      <c r="B1338" s="2">
        <v>9495</v>
      </c>
      <c r="C1338" s="2">
        <v>1982</v>
      </c>
      <c r="D1338" s="3" t="s">
        <v>9</v>
      </c>
      <c r="E1338" s="3" t="s">
        <v>11</v>
      </c>
      <c r="F1338" s="2">
        <v>71853</v>
      </c>
      <c r="G1338" s="2">
        <v>0</v>
      </c>
      <c r="H1338" s="2">
        <v>0</v>
      </c>
      <c r="I1338" s="4">
        <v>41402</v>
      </c>
      <c r="J1338" s="2">
        <v>29</v>
      </c>
    </row>
    <row r="1339" spans="1:10" ht="12.5">
      <c r="A1339" s="2">
        <v>1337</v>
      </c>
      <c r="B1339" s="2">
        <v>9635</v>
      </c>
      <c r="C1339" s="2">
        <v>1983</v>
      </c>
      <c r="D1339" s="3" t="s">
        <v>14</v>
      </c>
      <c r="E1339" s="3" t="s">
        <v>13</v>
      </c>
      <c r="F1339" s="2">
        <v>35876</v>
      </c>
      <c r="G1339" s="2">
        <v>0</v>
      </c>
      <c r="H1339" s="2">
        <v>0</v>
      </c>
      <c r="I1339" s="4">
        <v>41749</v>
      </c>
      <c r="J1339" s="2">
        <v>13</v>
      </c>
    </row>
    <row r="1340" spans="1:10" ht="12.5">
      <c r="A1340" s="2">
        <v>1338</v>
      </c>
      <c r="B1340" s="2">
        <v>2173</v>
      </c>
      <c r="C1340" s="2">
        <v>1952</v>
      </c>
      <c r="D1340" s="3" t="s">
        <v>9</v>
      </c>
      <c r="E1340" s="3" t="s">
        <v>18</v>
      </c>
      <c r="F1340" s="2">
        <v>40049</v>
      </c>
      <c r="G1340" s="2">
        <v>0</v>
      </c>
      <c r="H1340" s="2">
        <v>1</v>
      </c>
      <c r="I1340" s="5">
        <v>41563</v>
      </c>
      <c r="J1340" s="2">
        <v>23</v>
      </c>
    </row>
    <row r="1341" spans="1:10" ht="12.5">
      <c r="A1341" s="2">
        <v>1339</v>
      </c>
      <c r="B1341" s="2">
        <v>942</v>
      </c>
      <c r="C1341" s="2">
        <v>1982</v>
      </c>
      <c r="D1341" s="3" t="s">
        <v>9</v>
      </c>
      <c r="E1341" s="3" t="s">
        <v>10</v>
      </c>
      <c r="F1341" s="2">
        <v>39660</v>
      </c>
      <c r="G1341" s="2">
        <v>1</v>
      </c>
      <c r="H1341" s="2">
        <v>0</v>
      </c>
      <c r="I1341" s="4">
        <v>41129</v>
      </c>
      <c r="J1341" s="2">
        <v>36</v>
      </c>
    </row>
    <row r="1342" spans="1:10" ht="12.5">
      <c r="A1342" s="2">
        <v>1340</v>
      </c>
      <c r="B1342" s="2">
        <v>9386</v>
      </c>
      <c r="C1342" s="2">
        <v>1962</v>
      </c>
      <c r="D1342" s="3" t="s">
        <v>9</v>
      </c>
      <c r="E1342" s="3" t="s">
        <v>11</v>
      </c>
      <c r="F1342" s="2">
        <v>50127</v>
      </c>
      <c r="G1342" s="2">
        <v>0</v>
      </c>
      <c r="H1342" s="2">
        <v>1</v>
      </c>
      <c r="I1342" s="4">
        <v>41788</v>
      </c>
      <c r="J1342" s="2">
        <v>88</v>
      </c>
    </row>
    <row r="1343" spans="1:10" ht="12.5">
      <c r="A1343" s="2">
        <v>1341</v>
      </c>
      <c r="B1343" s="2">
        <v>5510</v>
      </c>
      <c r="C1343" s="2">
        <v>1977</v>
      </c>
      <c r="D1343" s="3" t="s">
        <v>14</v>
      </c>
      <c r="E1343" s="3" t="s">
        <v>13</v>
      </c>
      <c r="F1343" s="2">
        <v>43263</v>
      </c>
      <c r="G1343" s="2">
        <v>0</v>
      </c>
      <c r="H1343" s="2">
        <v>1</v>
      </c>
      <c r="I1343" s="5">
        <v>41234</v>
      </c>
      <c r="J1343" s="2">
        <v>2</v>
      </c>
    </row>
    <row r="1344" spans="1:10" ht="12.5">
      <c r="A1344" s="2">
        <v>1342</v>
      </c>
      <c r="B1344" s="2">
        <v>873</v>
      </c>
      <c r="C1344" s="2">
        <v>1949</v>
      </c>
      <c r="D1344" s="3" t="s">
        <v>14</v>
      </c>
      <c r="E1344" s="3" t="s">
        <v>13</v>
      </c>
      <c r="F1344" s="2">
        <v>62845</v>
      </c>
      <c r="G1344" s="2">
        <v>1</v>
      </c>
      <c r="H1344" s="2">
        <v>1</v>
      </c>
      <c r="I1344" s="4">
        <v>41183</v>
      </c>
      <c r="J1344" s="2">
        <v>3</v>
      </c>
    </row>
    <row r="1345" spans="1:10" ht="12.5">
      <c r="A1345" s="2">
        <v>1343</v>
      </c>
      <c r="B1345" s="2">
        <v>2253</v>
      </c>
      <c r="C1345" s="2">
        <v>1990</v>
      </c>
      <c r="D1345" s="3" t="s">
        <v>9</v>
      </c>
      <c r="E1345" s="3" t="s">
        <v>13</v>
      </c>
      <c r="F1345" s="2">
        <v>18929</v>
      </c>
      <c r="G1345" s="2">
        <v>0</v>
      </c>
      <c r="H1345" s="2">
        <v>0</v>
      </c>
      <c r="I1345" s="4">
        <v>41321</v>
      </c>
      <c r="J1345" s="2">
        <v>15</v>
      </c>
    </row>
    <row r="1346" spans="1:10" ht="12.5">
      <c r="A1346" s="2">
        <v>1344</v>
      </c>
      <c r="B1346" s="2">
        <v>5181</v>
      </c>
      <c r="C1346" s="2">
        <v>1982</v>
      </c>
      <c r="D1346" s="3" t="s">
        <v>16</v>
      </c>
      <c r="E1346" s="3" t="s">
        <v>10</v>
      </c>
      <c r="F1346" s="2">
        <v>24367</v>
      </c>
      <c r="G1346" s="2">
        <v>1</v>
      </c>
      <c r="H1346" s="2">
        <v>0</v>
      </c>
      <c r="I1346" s="4">
        <v>41353</v>
      </c>
      <c r="J1346" s="2">
        <v>58</v>
      </c>
    </row>
    <row r="1347" spans="1:10" ht="12.5">
      <c r="A1347" s="2">
        <v>1345</v>
      </c>
      <c r="B1347" s="2">
        <v>979</v>
      </c>
      <c r="C1347" s="2">
        <v>1975</v>
      </c>
      <c r="D1347" s="3" t="s">
        <v>9</v>
      </c>
      <c r="E1347" s="3" t="s">
        <v>10</v>
      </c>
      <c r="F1347" s="2">
        <v>33249</v>
      </c>
      <c r="G1347" s="2">
        <v>1</v>
      </c>
      <c r="H1347" s="2">
        <v>0</v>
      </c>
      <c r="I1347" s="4">
        <v>41325</v>
      </c>
      <c r="J1347" s="2">
        <v>11</v>
      </c>
    </row>
    <row r="1348" spans="1:10" ht="12.5">
      <c r="A1348" s="2">
        <v>1346</v>
      </c>
      <c r="B1348" s="2">
        <v>10390</v>
      </c>
      <c r="C1348" s="2">
        <v>1959</v>
      </c>
      <c r="D1348" s="3" t="s">
        <v>17</v>
      </c>
      <c r="E1348" s="3" t="s">
        <v>13</v>
      </c>
      <c r="F1348" s="2">
        <v>26887</v>
      </c>
      <c r="G1348" s="2">
        <v>0</v>
      </c>
      <c r="H1348" s="2">
        <v>1</v>
      </c>
      <c r="I1348" s="4">
        <v>41315</v>
      </c>
      <c r="J1348" s="2">
        <v>27</v>
      </c>
    </row>
    <row r="1349" spans="1:10" ht="12.5">
      <c r="A1349" s="2">
        <v>1347</v>
      </c>
      <c r="B1349" s="2">
        <v>4698</v>
      </c>
      <c r="C1349" s="2">
        <v>1983</v>
      </c>
      <c r="D1349" s="3" t="s">
        <v>12</v>
      </c>
      <c r="E1349" s="3" t="s">
        <v>13</v>
      </c>
      <c r="F1349" s="2">
        <v>50150</v>
      </c>
      <c r="G1349" s="2">
        <v>0</v>
      </c>
      <c r="H1349" s="2">
        <v>0</v>
      </c>
      <c r="I1349" s="4">
        <v>41445</v>
      </c>
      <c r="J1349" s="2">
        <v>32</v>
      </c>
    </row>
    <row r="1350" spans="1:10" ht="12.5">
      <c r="A1350" s="2">
        <v>1348</v>
      </c>
      <c r="B1350" s="2">
        <v>7793</v>
      </c>
      <c r="C1350" s="2">
        <v>1976</v>
      </c>
      <c r="D1350" s="3" t="s">
        <v>9</v>
      </c>
      <c r="E1350" s="3" t="s">
        <v>11</v>
      </c>
      <c r="F1350" s="2">
        <v>62061</v>
      </c>
      <c r="G1350" s="2">
        <v>0</v>
      </c>
      <c r="H1350" s="2">
        <v>1</v>
      </c>
      <c r="I1350" s="4">
        <v>41517</v>
      </c>
      <c r="J1350" s="2">
        <v>12</v>
      </c>
    </row>
    <row r="1351" spans="1:10" ht="12.5">
      <c r="A1351" s="2">
        <v>1349</v>
      </c>
      <c r="B1351" s="2">
        <v>1745</v>
      </c>
      <c r="C1351" s="2">
        <v>1962</v>
      </c>
      <c r="D1351" s="3" t="s">
        <v>12</v>
      </c>
      <c r="E1351" s="3" t="s">
        <v>15</v>
      </c>
      <c r="F1351" s="2">
        <v>85696</v>
      </c>
      <c r="G1351" s="2">
        <v>0</v>
      </c>
      <c r="H1351" s="2">
        <v>0</v>
      </c>
      <c r="I1351" s="4">
        <v>41397</v>
      </c>
      <c r="J1351" s="2">
        <v>88</v>
      </c>
    </row>
    <row r="1352" spans="1:10" ht="12.5">
      <c r="A1352" s="2">
        <v>1350</v>
      </c>
      <c r="B1352" s="2">
        <v>10590</v>
      </c>
      <c r="C1352" s="2">
        <v>1956</v>
      </c>
      <c r="D1352" s="3" t="s">
        <v>12</v>
      </c>
      <c r="E1352" s="3" t="s">
        <v>11</v>
      </c>
      <c r="F1352" s="2">
        <v>76542</v>
      </c>
      <c r="G1352" s="2">
        <v>0</v>
      </c>
      <c r="H1352" s="2">
        <v>0</v>
      </c>
      <c r="I1352" s="4">
        <v>41363</v>
      </c>
      <c r="J1352" s="2">
        <v>91</v>
      </c>
    </row>
    <row r="1353" spans="1:10" ht="12.5">
      <c r="A1353" s="2">
        <v>1351</v>
      </c>
      <c r="B1353" s="2">
        <v>5080</v>
      </c>
      <c r="C1353" s="2">
        <v>1993</v>
      </c>
      <c r="D1353" s="3" t="s">
        <v>9</v>
      </c>
      <c r="E1353" s="3" t="s">
        <v>10</v>
      </c>
      <c r="F1353" s="2">
        <v>70515</v>
      </c>
      <c r="G1353" s="2">
        <v>0</v>
      </c>
      <c r="H1353" s="2">
        <v>0</v>
      </c>
      <c r="I1353" s="5">
        <v>41568</v>
      </c>
      <c r="J1353" s="2">
        <v>12</v>
      </c>
    </row>
    <row r="1354" spans="1:10" ht="12.5">
      <c r="A1354" s="2">
        <v>1352</v>
      </c>
      <c r="B1354" s="2">
        <v>8369</v>
      </c>
      <c r="C1354" s="2">
        <v>1987</v>
      </c>
      <c r="D1354" s="3" t="s">
        <v>9</v>
      </c>
      <c r="E1354" s="3" t="s">
        <v>11</v>
      </c>
      <c r="F1354" s="2">
        <v>18227</v>
      </c>
      <c r="G1354" s="2">
        <v>1</v>
      </c>
      <c r="H1354" s="2">
        <v>0</v>
      </c>
      <c r="I1354" s="4">
        <v>41221</v>
      </c>
      <c r="J1354" s="2">
        <v>21</v>
      </c>
    </row>
    <row r="1355" spans="1:10" ht="12.5">
      <c r="A1355" s="2">
        <v>1353</v>
      </c>
      <c r="B1355" s="2">
        <v>5232</v>
      </c>
      <c r="C1355" s="2">
        <v>1965</v>
      </c>
      <c r="D1355" s="3" t="s">
        <v>9</v>
      </c>
      <c r="E1355" s="3" t="s">
        <v>13</v>
      </c>
      <c r="F1355" s="2">
        <v>69139</v>
      </c>
      <c r="G1355" s="2">
        <v>0</v>
      </c>
      <c r="H1355" s="2">
        <v>1</v>
      </c>
      <c r="I1355" s="4">
        <v>41666</v>
      </c>
      <c r="J1355" s="2">
        <v>23</v>
      </c>
    </row>
    <row r="1356" spans="1:10" ht="12.5">
      <c r="A1356" s="2">
        <v>1354</v>
      </c>
      <c r="B1356" s="2">
        <v>2407</v>
      </c>
      <c r="C1356" s="2">
        <v>1982</v>
      </c>
      <c r="D1356" s="3" t="s">
        <v>9</v>
      </c>
      <c r="E1356" s="3" t="s">
        <v>13</v>
      </c>
      <c r="F1356" s="2">
        <v>69109</v>
      </c>
      <c r="G1356" s="2">
        <v>0</v>
      </c>
      <c r="H1356" s="2">
        <v>0</v>
      </c>
      <c r="I1356" s="4">
        <v>41222</v>
      </c>
      <c r="J1356" s="2">
        <v>10</v>
      </c>
    </row>
    <row r="1357" spans="1:10" ht="12.5">
      <c r="A1357" s="2">
        <v>1355</v>
      </c>
      <c r="B1357" s="2">
        <v>3834</v>
      </c>
      <c r="C1357" s="2">
        <v>1962</v>
      </c>
      <c r="D1357" s="3" t="s">
        <v>9</v>
      </c>
      <c r="E1357" s="3" t="s">
        <v>10</v>
      </c>
      <c r="F1357" s="2">
        <v>69627</v>
      </c>
      <c r="G1357" s="2">
        <v>0</v>
      </c>
      <c r="H1357" s="2">
        <v>1</v>
      </c>
      <c r="I1357" s="4">
        <v>41350</v>
      </c>
      <c r="J1357" s="2">
        <v>35</v>
      </c>
    </row>
    <row r="1358" spans="1:10" ht="12.5">
      <c r="A1358" s="2">
        <v>1356</v>
      </c>
      <c r="B1358" s="2">
        <v>7912</v>
      </c>
      <c r="C1358" s="2">
        <v>1978</v>
      </c>
      <c r="D1358" s="3" t="s">
        <v>9</v>
      </c>
      <c r="E1358" s="3" t="s">
        <v>13</v>
      </c>
      <c r="F1358" s="2">
        <v>38136</v>
      </c>
      <c r="G1358" s="2">
        <v>1</v>
      </c>
      <c r="H1358" s="2">
        <v>0</v>
      </c>
      <c r="I1358" s="4">
        <v>41386</v>
      </c>
      <c r="J1358" s="2">
        <v>69</v>
      </c>
    </row>
    <row r="1359" spans="1:10" ht="12.5">
      <c r="A1359" s="2">
        <v>1357</v>
      </c>
      <c r="B1359" s="2">
        <v>7712</v>
      </c>
      <c r="C1359" s="2">
        <v>1946</v>
      </c>
      <c r="D1359" s="3" t="s">
        <v>12</v>
      </c>
      <c r="E1359" s="3" t="s">
        <v>10</v>
      </c>
      <c r="F1359" s="2">
        <v>62159</v>
      </c>
      <c r="G1359" s="2">
        <v>0</v>
      </c>
      <c r="H1359" s="2">
        <v>0</v>
      </c>
      <c r="I1359" s="4">
        <v>41757</v>
      </c>
      <c r="J1359" s="2">
        <v>68</v>
      </c>
    </row>
    <row r="1360" spans="1:10" ht="12.5">
      <c r="A1360" s="2">
        <v>1358</v>
      </c>
      <c r="B1360" s="2">
        <v>1065</v>
      </c>
      <c r="C1360" s="2">
        <v>1963</v>
      </c>
      <c r="D1360" s="3" t="s">
        <v>9</v>
      </c>
      <c r="E1360" s="3" t="s">
        <v>10</v>
      </c>
      <c r="F1360" s="2">
        <v>80695</v>
      </c>
      <c r="G1360" s="2">
        <v>0</v>
      </c>
      <c r="H1360" s="2">
        <v>0</v>
      </c>
      <c r="I1360" s="5">
        <v>41637</v>
      </c>
      <c r="J1360" s="2">
        <v>85</v>
      </c>
    </row>
    <row r="1361" spans="1:10" ht="12.5">
      <c r="A1361" s="2">
        <v>1359</v>
      </c>
      <c r="B1361" s="2">
        <v>7275</v>
      </c>
      <c r="C1361" s="2">
        <v>1971</v>
      </c>
      <c r="D1361" s="3" t="s">
        <v>14</v>
      </c>
      <c r="E1361" s="3" t="s">
        <v>10</v>
      </c>
      <c r="F1361" s="2">
        <v>33316</v>
      </c>
      <c r="G1361" s="2">
        <v>1</v>
      </c>
      <c r="H1361" s="2">
        <v>1</v>
      </c>
      <c r="I1361" s="4">
        <v>41551</v>
      </c>
      <c r="J1361" s="2">
        <v>34</v>
      </c>
    </row>
    <row r="1362" spans="1:10" ht="12.5">
      <c r="A1362" s="2">
        <v>1360</v>
      </c>
      <c r="B1362" s="2">
        <v>1343</v>
      </c>
      <c r="C1362" s="2">
        <v>1968</v>
      </c>
      <c r="D1362" s="3" t="s">
        <v>9</v>
      </c>
      <c r="E1362" s="3" t="s">
        <v>11</v>
      </c>
      <c r="F1362" s="2">
        <v>58554</v>
      </c>
      <c r="G1362" s="2">
        <v>1</v>
      </c>
      <c r="H1362" s="2">
        <v>1</v>
      </c>
      <c r="I1362" s="4">
        <v>41178</v>
      </c>
      <c r="J1362" s="2">
        <v>55</v>
      </c>
    </row>
    <row r="1363" spans="1:10" ht="12.5">
      <c r="A1363" s="2">
        <v>1361</v>
      </c>
      <c r="B1363" s="2">
        <v>1384</v>
      </c>
      <c r="C1363" s="2">
        <v>1992</v>
      </c>
      <c r="D1363" s="3" t="s">
        <v>16</v>
      </c>
      <c r="E1363" s="3" t="s">
        <v>13</v>
      </c>
      <c r="F1363" s="2">
        <v>17256</v>
      </c>
      <c r="G1363" s="2">
        <v>1</v>
      </c>
      <c r="H1363" s="2">
        <v>0</v>
      </c>
      <c r="I1363" s="5">
        <v>41601</v>
      </c>
      <c r="J1363" s="2">
        <v>10</v>
      </c>
    </row>
    <row r="1364" spans="1:10" ht="12.5">
      <c r="A1364" s="2">
        <v>1362</v>
      </c>
      <c r="B1364" s="2">
        <v>9967</v>
      </c>
      <c r="C1364" s="2">
        <v>1974</v>
      </c>
      <c r="D1364" s="3" t="s">
        <v>9</v>
      </c>
      <c r="E1364" s="3" t="s">
        <v>15</v>
      </c>
      <c r="F1364" s="2">
        <v>53034</v>
      </c>
      <c r="G1364" s="2">
        <v>1</v>
      </c>
      <c r="H1364" s="2">
        <v>1</v>
      </c>
      <c r="I1364" s="4">
        <v>41424</v>
      </c>
      <c r="J1364" s="2">
        <v>30</v>
      </c>
    </row>
    <row r="1365" spans="1:10" ht="12.5">
      <c r="A1365" s="2">
        <v>1363</v>
      </c>
      <c r="B1365" s="2">
        <v>6181</v>
      </c>
      <c r="C1365" s="2">
        <v>1950</v>
      </c>
      <c r="D1365" s="3" t="s">
        <v>17</v>
      </c>
      <c r="E1365" s="3" t="s">
        <v>11</v>
      </c>
      <c r="F1365" s="2">
        <v>52203</v>
      </c>
      <c r="G1365" s="2">
        <v>0</v>
      </c>
      <c r="H1365" s="2">
        <v>0</v>
      </c>
      <c r="I1365" s="4">
        <v>41121</v>
      </c>
      <c r="J1365" s="2">
        <v>36</v>
      </c>
    </row>
    <row r="1366" spans="1:10" ht="12.5">
      <c r="A1366" s="2">
        <v>1364</v>
      </c>
      <c r="B1366" s="2">
        <v>10507</v>
      </c>
      <c r="C1366" s="2">
        <v>1977</v>
      </c>
      <c r="D1366" s="3" t="s">
        <v>17</v>
      </c>
      <c r="E1366" s="3" t="s">
        <v>15</v>
      </c>
      <c r="F1366" s="2">
        <v>59601</v>
      </c>
      <c r="G1366" s="2">
        <v>0</v>
      </c>
      <c r="H1366" s="2">
        <v>1</v>
      </c>
      <c r="I1366" s="4">
        <v>41480</v>
      </c>
      <c r="J1366" s="2">
        <v>14</v>
      </c>
    </row>
    <row r="1367" spans="1:10" ht="12.5">
      <c r="A1367" s="2">
        <v>1365</v>
      </c>
      <c r="B1367" s="2">
        <v>2674</v>
      </c>
      <c r="C1367" s="2">
        <v>1958</v>
      </c>
      <c r="D1367" s="3" t="s">
        <v>14</v>
      </c>
      <c r="E1367" s="3" t="s">
        <v>10</v>
      </c>
      <c r="F1367" s="2">
        <v>75154</v>
      </c>
      <c r="G1367" s="2">
        <v>0</v>
      </c>
      <c r="H1367" s="2">
        <v>1</v>
      </c>
      <c r="I1367" s="4">
        <v>41156</v>
      </c>
      <c r="J1367" s="2">
        <v>79</v>
      </c>
    </row>
    <row r="1368" spans="1:10" ht="12.5">
      <c r="A1368" s="2">
        <v>1366</v>
      </c>
      <c r="B1368" s="2">
        <v>2698</v>
      </c>
      <c r="C1368" s="2">
        <v>1976</v>
      </c>
      <c r="D1368" s="3" t="s">
        <v>9</v>
      </c>
      <c r="E1368" s="3" t="s">
        <v>10</v>
      </c>
      <c r="F1368" s="2">
        <v>47025</v>
      </c>
      <c r="G1368" s="2">
        <v>0</v>
      </c>
      <c r="H1368" s="2">
        <v>1</v>
      </c>
      <c r="I1368" s="4">
        <v>41585</v>
      </c>
      <c r="J1368" s="2">
        <v>52</v>
      </c>
    </row>
    <row r="1369" spans="1:10" ht="12.5">
      <c r="A1369" s="2">
        <v>1367</v>
      </c>
      <c r="B1369" s="2">
        <v>3231</v>
      </c>
      <c r="C1369" s="2">
        <v>1973</v>
      </c>
      <c r="D1369" s="3" t="s">
        <v>9</v>
      </c>
      <c r="E1369" s="3" t="s">
        <v>13</v>
      </c>
      <c r="F1369" s="2">
        <v>37971</v>
      </c>
      <c r="G1369" s="2">
        <v>1</v>
      </c>
      <c r="H1369" s="2">
        <v>0</v>
      </c>
      <c r="I1369" s="5">
        <v>41603</v>
      </c>
      <c r="J1369" s="2">
        <v>97</v>
      </c>
    </row>
    <row r="1370" spans="1:10" ht="12.5">
      <c r="A1370" s="2">
        <v>1368</v>
      </c>
      <c r="B1370" s="2">
        <v>4096</v>
      </c>
      <c r="C1370" s="2">
        <v>1968</v>
      </c>
      <c r="D1370" s="3" t="s">
        <v>14</v>
      </c>
      <c r="E1370" s="3" t="s">
        <v>15</v>
      </c>
      <c r="F1370" s="2">
        <v>41335</v>
      </c>
      <c r="G1370" s="2">
        <v>1</v>
      </c>
      <c r="H1370" s="2">
        <v>0</v>
      </c>
      <c r="I1370" s="5">
        <v>41634</v>
      </c>
      <c r="J1370" s="2">
        <v>24</v>
      </c>
    </row>
    <row r="1371" spans="1:10" ht="12.5">
      <c r="A1371" s="2">
        <v>1369</v>
      </c>
      <c r="B1371" s="2">
        <v>10476</v>
      </c>
      <c r="C1371" s="2">
        <v>1958</v>
      </c>
      <c r="D1371" s="3" t="s">
        <v>9</v>
      </c>
      <c r="E1371" s="3" t="s">
        <v>13</v>
      </c>
      <c r="F1371" s="2">
        <v>67267</v>
      </c>
      <c r="G1371" s="2">
        <v>0</v>
      </c>
      <c r="H1371" s="2">
        <v>1</v>
      </c>
      <c r="I1371" s="4">
        <v>41772</v>
      </c>
      <c r="J1371" s="2">
        <v>0</v>
      </c>
    </row>
    <row r="1372" spans="1:10" ht="12.5">
      <c r="A1372" s="2">
        <v>1370</v>
      </c>
      <c r="B1372" s="2">
        <v>5948</v>
      </c>
      <c r="C1372" s="2">
        <v>1975</v>
      </c>
      <c r="D1372" s="3" t="s">
        <v>9</v>
      </c>
      <c r="E1372" s="3" t="s">
        <v>10</v>
      </c>
      <c r="F1372" s="2">
        <v>57338</v>
      </c>
      <c r="G1372" s="2">
        <v>0</v>
      </c>
      <c r="H1372" s="2">
        <v>1</v>
      </c>
      <c r="I1372" s="4">
        <v>41758</v>
      </c>
      <c r="J1372" s="2">
        <v>96</v>
      </c>
    </row>
    <row r="1373" spans="1:10" ht="12.5">
      <c r="A1373" s="2">
        <v>1371</v>
      </c>
      <c r="B1373" s="2">
        <v>9140</v>
      </c>
      <c r="C1373" s="2">
        <v>1960</v>
      </c>
      <c r="D1373" s="3" t="s">
        <v>17</v>
      </c>
      <c r="E1373" s="3" t="s">
        <v>11</v>
      </c>
      <c r="F1373" s="2">
        <v>50523</v>
      </c>
      <c r="G1373" s="2">
        <v>1</v>
      </c>
      <c r="H1373" s="2">
        <v>1</v>
      </c>
      <c r="I1373" s="5">
        <v>41633</v>
      </c>
      <c r="J1373" s="2">
        <v>89</v>
      </c>
    </row>
    <row r="1374" spans="1:10" ht="12.5">
      <c r="A1374" s="2">
        <v>1372</v>
      </c>
      <c r="B1374" s="2">
        <v>10258</v>
      </c>
      <c r="C1374" s="2">
        <v>1965</v>
      </c>
      <c r="D1374" s="3" t="s">
        <v>14</v>
      </c>
      <c r="E1374" s="3" t="s">
        <v>10</v>
      </c>
      <c r="F1374" s="2">
        <v>35791</v>
      </c>
      <c r="G1374" s="2">
        <v>2</v>
      </c>
      <c r="H1374" s="2">
        <v>1</v>
      </c>
      <c r="I1374" s="4">
        <v>41400</v>
      </c>
      <c r="J1374" s="2">
        <v>94</v>
      </c>
    </row>
    <row r="1375" spans="1:10" ht="12.5">
      <c r="A1375" s="2">
        <v>1373</v>
      </c>
      <c r="B1375" s="2">
        <v>5675</v>
      </c>
      <c r="C1375" s="2">
        <v>1960</v>
      </c>
      <c r="D1375" s="3" t="s">
        <v>12</v>
      </c>
      <c r="E1375" s="3" t="s">
        <v>15</v>
      </c>
      <c r="F1375" s="2">
        <v>50611</v>
      </c>
      <c r="G1375" s="2">
        <v>0</v>
      </c>
      <c r="H1375" s="2">
        <v>1</v>
      </c>
      <c r="I1375" s="4">
        <v>41186</v>
      </c>
      <c r="J1375" s="2">
        <v>98</v>
      </c>
    </row>
    <row r="1376" spans="1:10" ht="12.5">
      <c r="A1376" s="2">
        <v>1374</v>
      </c>
      <c r="B1376" s="2">
        <v>4743</v>
      </c>
      <c r="C1376" s="2">
        <v>1969</v>
      </c>
      <c r="D1376" s="3" t="s">
        <v>12</v>
      </c>
      <c r="E1376" s="3" t="s">
        <v>13</v>
      </c>
      <c r="F1376" s="2">
        <v>56242</v>
      </c>
      <c r="G1376" s="2">
        <v>0</v>
      </c>
      <c r="H1376" s="2">
        <v>1</v>
      </c>
      <c r="I1376" s="4">
        <v>41336</v>
      </c>
      <c r="J1376" s="2">
        <v>72</v>
      </c>
    </row>
    <row r="1377" spans="1:10" ht="12.5">
      <c r="A1377" s="2">
        <v>1375</v>
      </c>
      <c r="B1377" s="2">
        <v>8805</v>
      </c>
      <c r="C1377" s="2">
        <v>1960</v>
      </c>
      <c r="D1377" s="3" t="s">
        <v>9</v>
      </c>
      <c r="E1377" s="3" t="s">
        <v>10</v>
      </c>
      <c r="F1377" s="2">
        <v>48904</v>
      </c>
      <c r="G1377" s="2">
        <v>0</v>
      </c>
      <c r="H1377" s="2">
        <v>1</v>
      </c>
      <c r="I1377" s="4">
        <v>41245</v>
      </c>
      <c r="J1377" s="2">
        <v>1</v>
      </c>
    </row>
    <row r="1378" spans="1:10" ht="12.5">
      <c r="A1378" s="2">
        <v>1376</v>
      </c>
      <c r="B1378" s="2">
        <v>1542</v>
      </c>
      <c r="C1378" s="2">
        <v>1975</v>
      </c>
      <c r="D1378" s="3" t="s">
        <v>9</v>
      </c>
      <c r="E1378" s="3" t="s">
        <v>10</v>
      </c>
      <c r="F1378" s="2">
        <v>56243</v>
      </c>
      <c r="G1378" s="2">
        <v>1</v>
      </c>
      <c r="H1378" s="2">
        <v>2</v>
      </c>
      <c r="I1378" s="5">
        <v>41638</v>
      </c>
      <c r="J1378" s="2">
        <v>26</v>
      </c>
    </row>
    <row r="1379" spans="1:10" ht="12.5">
      <c r="A1379" s="2">
        <v>1377</v>
      </c>
      <c r="B1379" s="2">
        <v>6770</v>
      </c>
      <c r="C1379" s="2">
        <v>1985</v>
      </c>
      <c r="D1379" s="3" t="s">
        <v>9</v>
      </c>
      <c r="E1379" s="3" t="s">
        <v>13</v>
      </c>
      <c r="F1379" s="2">
        <v>21355</v>
      </c>
      <c r="G1379" s="2">
        <v>1</v>
      </c>
      <c r="H1379" s="2">
        <v>0</v>
      </c>
      <c r="I1379" s="4">
        <v>41506</v>
      </c>
      <c r="J1379" s="2">
        <v>5</v>
      </c>
    </row>
    <row r="1380" spans="1:10" ht="12.5">
      <c r="A1380" s="2">
        <v>1378</v>
      </c>
      <c r="B1380" s="2">
        <v>8773</v>
      </c>
      <c r="C1380" s="2">
        <v>1971</v>
      </c>
      <c r="D1380" s="3" t="s">
        <v>14</v>
      </c>
      <c r="E1380" s="3" t="s">
        <v>11</v>
      </c>
      <c r="F1380" s="2">
        <v>57420</v>
      </c>
      <c r="G1380" s="2">
        <v>0</v>
      </c>
      <c r="H1380" s="2">
        <v>1</v>
      </c>
      <c r="I1380" s="4">
        <v>41450</v>
      </c>
      <c r="J1380" s="2">
        <v>22</v>
      </c>
    </row>
    <row r="1381" spans="1:10" ht="12.5">
      <c r="A1381" s="2">
        <v>1379</v>
      </c>
      <c r="B1381" s="2">
        <v>10475</v>
      </c>
      <c r="C1381" s="2">
        <v>1970</v>
      </c>
      <c r="D1381" s="3" t="s">
        <v>14</v>
      </c>
      <c r="E1381" s="3" t="s">
        <v>11</v>
      </c>
      <c r="F1381" s="3"/>
      <c r="G1381" s="2">
        <v>0</v>
      </c>
      <c r="H1381" s="2">
        <v>1</v>
      </c>
      <c r="I1381" s="4">
        <v>41365</v>
      </c>
      <c r="J1381" s="2">
        <v>39</v>
      </c>
    </row>
    <row r="1382" spans="1:10" ht="12.5">
      <c r="A1382" s="2">
        <v>1380</v>
      </c>
      <c r="B1382" s="2">
        <v>10420</v>
      </c>
      <c r="C1382" s="2">
        <v>1955</v>
      </c>
      <c r="D1382" s="3" t="s">
        <v>14</v>
      </c>
      <c r="E1382" s="3" t="s">
        <v>15</v>
      </c>
      <c r="F1382" s="2">
        <v>46390</v>
      </c>
      <c r="G1382" s="2">
        <v>0</v>
      </c>
      <c r="H1382" s="2">
        <v>1</v>
      </c>
      <c r="I1382" s="4">
        <v>41764</v>
      </c>
      <c r="J1382" s="2">
        <v>56</v>
      </c>
    </row>
    <row r="1383" spans="1:10" ht="12.5">
      <c r="A1383" s="2">
        <v>1381</v>
      </c>
      <c r="B1383" s="2">
        <v>7514</v>
      </c>
      <c r="C1383" s="2">
        <v>1956</v>
      </c>
      <c r="D1383" s="3" t="s">
        <v>17</v>
      </c>
      <c r="E1383" s="3" t="s">
        <v>11</v>
      </c>
      <c r="F1383" s="2">
        <v>54342</v>
      </c>
      <c r="G1383" s="2">
        <v>1</v>
      </c>
      <c r="H1383" s="2">
        <v>1</v>
      </c>
      <c r="I1383" s="4">
        <v>41458</v>
      </c>
      <c r="J1383" s="2">
        <v>74</v>
      </c>
    </row>
    <row r="1384" spans="1:10" ht="12.5">
      <c r="A1384" s="2">
        <v>1382</v>
      </c>
      <c r="B1384" s="2">
        <v>2902</v>
      </c>
      <c r="C1384" s="2">
        <v>1958</v>
      </c>
      <c r="D1384" s="3" t="s">
        <v>9</v>
      </c>
      <c r="E1384" s="3" t="s">
        <v>11</v>
      </c>
      <c r="F1384" s="3"/>
      <c r="G1384" s="2">
        <v>1</v>
      </c>
      <c r="H1384" s="2">
        <v>1</v>
      </c>
      <c r="I1384" s="4">
        <v>41155</v>
      </c>
      <c r="J1384" s="2">
        <v>87</v>
      </c>
    </row>
    <row r="1385" spans="1:10" ht="12.5">
      <c r="A1385" s="2">
        <v>1383</v>
      </c>
      <c r="B1385" s="2">
        <v>4345</v>
      </c>
      <c r="C1385" s="2">
        <v>1964</v>
      </c>
      <c r="D1385" s="3" t="s">
        <v>17</v>
      </c>
      <c r="E1385" s="3" t="s">
        <v>10</v>
      </c>
      <c r="F1385" s="3"/>
      <c r="G1385" s="2">
        <v>1</v>
      </c>
      <c r="H1385" s="2">
        <v>1</v>
      </c>
      <c r="I1385" s="4">
        <v>41651</v>
      </c>
      <c r="J1385" s="2">
        <v>49</v>
      </c>
    </row>
    <row r="1386" spans="1:10" ht="12.5">
      <c r="A1386" s="2">
        <v>1384</v>
      </c>
      <c r="B1386" s="2">
        <v>793</v>
      </c>
      <c r="C1386" s="2">
        <v>1973</v>
      </c>
      <c r="D1386" s="3" t="s">
        <v>9</v>
      </c>
      <c r="E1386" s="3" t="s">
        <v>13</v>
      </c>
      <c r="F1386" s="2">
        <v>20895</v>
      </c>
      <c r="G1386" s="2">
        <v>1</v>
      </c>
      <c r="H1386" s="2">
        <v>0</v>
      </c>
      <c r="I1386" s="4">
        <v>41188</v>
      </c>
      <c r="J1386" s="2">
        <v>24</v>
      </c>
    </row>
    <row r="1387" spans="1:10" ht="12.5">
      <c r="A1387" s="2">
        <v>1385</v>
      </c>
      <c r="B1387" s="2">
        <v>10909</v>
      </c>
      <c r="C1387" s="2">
        <v>1948</v>
      </c>
      <c r="D1387" s="3" t="s">
        <v>9</v>
      </c>
      <c r="E1387" s="3" t="s">
        <v>13</v>
      </c>
      <c r="F1387" s="2">
        <v>92344</v>
      </c>
      <c r="G1387" s="2">
        <v>0</v>
      </c>
      <c r="H1387" s="2">
        <v>0</v>
      </c>
      <c r="I1387" s="4">
        <v>41654</v>
      </c>
      <c r="J1387" s="2">
        <v>9</v>
      </c>
    </row>
    <row r="1388" spans="1:10" ht="12.5">
      <c r="A1388" s="2">
        <v>1386</v>
      </c>
      <c r="B1388" s="2">
        <v>3769</v>
      </c>
      <c r="C1388" s="2">
        <v>1972</v>
      </c>
      <c r="D1388" s="3" t="s">
        <v>12</v>
      </c>
      <c r="E1388" s="3" t="s">
        <v>11</v>
      </c>
      <c r="F1388" s="3"/>
      <c r="G1388" s="2">
        <v>1</v>
      </c>
      <c r="H1388" s="2">
        <v>0</v>
      </c>
      <c r="I1388" s="4">
        <v>41700</v>
      </c>
      <c r="J1388" s="2">
        <v>17</v>
      </c>
    </row>
    <row r="1389" spans="1:10" ht="12.5">
      <c r="A1389" s="2">
        <v>1387</v>
      </c>
      <c r="B1389" s="2">
        <v>8702</v>
      </c>
      <c r="C1389" s="2">
        <v>1976</v>
      </c>
      <c r="D1389" s="3" t="s">
        <v>17</v>
      </c>
      <c r="E1389" s="3" t="s">
        <v>11</v>
      </c>
      <c r="F1389" s="2">
        <v>26907</v>
      </c>
      <c r="G1389" s="2">
        <v>1</v>
      </c>
      <c r="H1389" s="2">
        <v>1</v>
      </c>
      <c r="I1389" s="4">
        <v>41506</v>
      </c>
      <c r="J1389" s="2">
        <v>10</v>
      </c>
    </row>
    <row r="1390" spans="1:10" ht="12.5">
      <c r="A1390" s="2">
        <v>1388</v>
      </c>
      <c r="B1390" s="2">
        <v>4791</v>
      </c>
      <c r="C1390" s="2">
        <v>1980</v>
      </c>
      <c r="D1390" s="3" t="s">
        <v>9</v>
      </c>
      <c r="E1390" s="3" t="s">
        <v>11</v>
      </c>
      <c r="F1390" s="2">
        <v>44964</v>
      </c>
      <c r="G1390" s="2">
        <v>1</v>
      </c>
      <c r="H1390" s="2">
        <v>1</v>
      </c>
      <c r="I1390" s="5">
        <v>41259</v>
      </c>
      <c r="J1390" s="2">
        <v>35</v>
      </c>
    </row>
    <row r="1391" spans="1:10" ht="12.5">
      <c r="A1391" s="2">
        <v>1389</v>
      </c>
      <c r="B1391" s="2">
        <v>2963</v>
      </c>
      <c r="C1391" s="2">
        <v>1979</v>
      </c>
      <c r="D1391" s="3" t="s">
        <v>9</v>
      </c>
      <c r="E1391" s="3" t="s">
        <v>11</v>
      </c>
      <c r="F1391" s="2">
        <v>75507</v>
      </c>
      <c r="G1391" s="2">
        <v>0</v>
      </c>
      <c r="H1391" s="2">
        <v>0</v>
      </c>
      <c r="I1391" s="4">
        <v>41761</v>
      </c>
      <c r="J1391" s="2">
        <v>56</v>
      </c>
    </row>
    <row r="1392" spans="1:10" ht="12.5">
      <c r="A1392" s="2">
        <v>1390</v>
      </c>
      <c r="B1392" s="2">
        <v>8216</v>
      </c>
      <c r="C1392" s="2">
        <v>1972</v>
      </c>
      <c r="D1392" s="3" t="s">
        <v>14</v>
      </c>
      <c r="E1392" s="3" t="s">
        <v>13</v>
      </c>
      <c r="F1392" s="2">
        <v>53761</v>
      </c>
      <c r="G1392" s="2">
        <v>1</v>
      </c>
      <c r="H1392" s="2">
        <v>1</v>
      </c>
      <c r="I1392" s="5">
        <v>41558</v>
      </c>
      <c r="J1392" s="2">
        <v>7</v>
      </c>
    </row>
    <row r="1393" spans="1:10" ht="12.5">
      <c r="A1393" s="2">
        <v>1391</v>
      </c>
      <c r="B1393" s="2">
        <v>8140</v>
      </c>
      <c r="C1393" s="2">
        <v>1973</v>
      </c>
      <c r="D1393" s="3" t="s">
        <v>9</v>
      </c>
      <c r="E1393" s="3" t="s">
        <v>11</v>
      </c>
      <c r="F1393" s="2">
        <v>22682</v>
      </c>
      <c r="G1393" s="2">
        <v>1</v>
      </c>
      <c r="H1393" s="2">
        <v>0</v>
      </c>
      <c r="I1393" s="4">
        <v>41550</v>
      </c>
      <c r="J1393" s="2">
        <v>51</v>
      </c>
    </row>
    <row r="1394" spans="1:10" ht="12.5">
      <c r="A1394" s="2">
        <v>1392</v>
      </c>
      <c r="B1394" s="2">
        <v>10146</v>
      </c>
      <c r="C1394" s="2">
        <v>1972</v>
      </c>
      <c r="D1394" s="3" t="s">
        <v>12</v>
      </c>
      <c r="E1394" s="3" t="s">
        <v>11</v>
      </c>
      <c r="F1394" s="2">
        <v>38887</v>
      </c>
      <c r="G1394" s="2">
        <v>1</v>
      </c>
      <c r="H1394" s="2">
        <v>0</v>
      </c>
      <c r="I1394" s="4">
        <v>41700</v>
      </c>
      <c r="J1394" s="2">
        <v>17</v>
      </c>
    </row>
    <row r="1395" spans="1:10" ht="12.5">
      <c r="A1395" s="2">
        <v>1393</v>
      </c>
      <c r="B1395" s="2">
        <v>5289</v>
      </c>
      <c r="C1395" s="2">
        <v>1975</v>
      </c>
      <c r="D1395" s="3" t="s">
        <v>17</v>
      </c>
      <c r="E1395" s="3" t="s">
        <v>10</v>
      </c>
      <c r="F1395" s="2">
        <v>41658</v>
      </c>
      <c r="G1395" s="2">
        <v>1</v>
      </c>
      <c r="H1395" s="2">
        <v>1</v>
      </c>
      <c r="I1395" s="4">
        <v>41222</v>
      </c>
      <c r="J1395" s="2">
        <v>30</v>
      </c>
    </row>
    <row r="1396" spans="1:10" ht="12.5">
      <c r="A1396" s="2">
        <v>1394</v>
      </c>
      <c r="B1396" s="2">
        <v>2587</v>
      </c>
      <c r="C1396" s="2">
        <v>1972</v>
      </c>
      <c r="D1396" s="3" t="s">
        <v>12</v>
      </c>
      <c r="E1396" s="3" t="s">
        <v>13</v>
      </c>
      <c r="F1396" s="2">
        <v>29791</v>
      </c>
      <c r="G1396" s="2">
        <v>1</v>
      </c>
      <c r="H1396" s="2">
        <v>0</v>
      </c>
      <c r="I1396" s="4">
        <v>41774</v>
      </c>
      <c r="J1396" s="2">
        <v>21</v>
      </c>
    </row>
    <row r="1397" spans="1:10" ht="12.5">
      <c r="A1397" s="2">
        <v>1395</v>
      </c>
      <c r="B1397" s="2">
        <v>4405</v>
      </c>
      <c r="C1397" s="2">
        <v>1956</v>
      </c>
      <c r="D1397" s="3" t="s">
        <v>14</v>
      </c>
      <c r="E1397" s="3" t="s">
        <v>13</v>
      </c>
      <c r="F1397" s="2">
        <v>63915</v>
      </c>
      <c r="G1397" s="2">
        <v>0</v>
      </c>
      <c r="H1397" s="2">
        <v>2</v>
      </c>
      <c r="I1397" s="4">
        <v>41485</v>
      </c>
      <c r="J1397" s="2">
        <v>2</v>
      </c>
    </row>
    <row r="1398" spans="1:10" ht="12.5">
      <c r="A1398" s="2">
        <v>1396</v>
      </c>
      <c r="B1398" s="2">
        <v>8663</v>
      </c>
      <c r="C1398" s="2">
        <v>1974</v>
      </c>
      <c r="D1398" s="3" t="s">
        <v>9</v>
      </c>
      <c r="E1398" s="3" t="s">
        <v>15</v>
      </c>
      <c r="F1398" s="2">
        <v>39996</v>
      </c>
      <c r="G1398" s="2">
        <v>1</v>
      </c>
      <c r="H1398" s="2">
        <v>1</v>
      </c>
      <c r="I1398" s="4">
        <v>41781</v>
      </c>
      <c r="J1398" s="2">
        <v>85</v>
      </c>
    </row>
    <row r="1399" spans="1:10" ht="12.5">
      <c r="A1399" s="2">
        <v>1397</v>
      </c>
      <c r="B1399" s="2">
        <v>2589</v>
      </c>
      <c r="C1399" s="2">
        <v>1972</v>
      </c>
      <c r="D1399" s="3" t="s">
        <v>9</v>
      </c>
      <c r="E1399" s="3" t="s">
        <v>15</v>
      </c>
      <c r="F1399" s="2">
        <v>26759</v>
      </c>
      <c r="G1399" s="2">
        <v>1</v>
      </c>
      <c r="H1399" s="2">
        <v>0</v>
      </c>
      <c r="I1399" s="4">
        <v>41677</v>
      </c>
      <c r="J1399" s="2">
        <v>65</v>
      </c>
    </row>
    <row r="1400" spans="1:10" ht="12.5">
      <c r="A1400" s="2">
        <v>1398</v>
      </c>
      <c r="B1400" s="2">
        <v>3421</v>
      </c>
      <c r="C1400" s="2">
        <v>1968</v>
      </c>
      <c r="D1400" s="3" t="s">
        <v>14</v>
      </c>
      <c r="E1400" s="3" t="s">
        <v>15</v>
      </c>
      <c r="F1400" s="2">
        <v>63841</v>
      </c>
      <c r="G1400" s="2">
        <v>0</v>
      </c>
      <c r="H1400" s="2">
        <v>1</v>
      </c>
      <c r="I1400" s="4">
        <v>41385</v>
      </c>
      <c r="J1400" s="2">
        <v>64</v>
      </c>
    </row>
    <row r="1401" spans="1:10" ht="12.5">
      <c r="A1401" s="2">
        <v>1399</v>
      </c>
      <c r="B1401" s="2">
        <v>10490</v>
      </c>
      <c r="C1401" s="2">
        <v>1969</v>
      </c>
      <c r="D1401" s="3" t="s">
        <v>12</v>
      </c>
      <c r="E1401" s="3" t="s">
        <v>13</v>
      </c>
      <c r="F1401" s="2">
        <v>51039</v>
      </c>
      <c r="G1401" s="2">
        <v>1</v>
      </c>
      <c r="H1401" s="2">
        <v>1</v>
      </c>
      <c r="I1401" s="5">
        <v>41253</v>
      </c>
      <c r="J1401" s="2">
        <v>11</v>
      </c>
    </row>
    <row r="1402" spans="1:10" ht="12.5">
      <c r="A1402" s="2">
        <v>1400</v>
      </c>
      <c r="B1402" s="2">
        <v>4094</v>
      </c>
      <c r="C1402" s="2">
        <v>1961</v>
      </c>
      <c r="D1402" s="3" t="s">
        <v>9</v>
      </c>
      <c r="E1402" s="3" t="s">
        <v>13</v>
      </c>
      <c r="F1402" s="2">
        <v>60544</v>
      </c>
      <c r="G1402" s="2">
        <v>1</v>
      </c>
      <c r="H1402" s="2">
        <v>1</v>
      </c>
      <c r="I1402" s="4">
        <v>41146</v>
      </c>
      <c r="J1402" s="2">
        <v>92</v>
      </c>
    </row>
    <row r="1403" spans="1:10" ht="12.5">
      <c r="A1403" s="2">
        <v>1401</v>
      </c>
      <c r="B1403" s="2">
        <v>9958</v>
      </c>
      <c r="C1403" s="2">
        <v>1972</v>
      </c>
      <c r="D1403" s="3" t="s">
        <v>9</v>
      </c>
      <c r="E1403" s="3" t="s">
        <v>13</v>
      </c>
      <c r="F1403" s="2">
        <v>65685</v>
      </c>
      <c r="G1403" s="2">
        <v>0</v>
      </c>
      <c r="H1403" s="2">
        <v>1</v>
      </c>
      <c r="I1403" s="4">
        <v>41727</v>
      </c>
      <c r="J1403" s="2">
        <v>54</v>
      </c>
    </row>
    <row r="1404" spans="1:10" ht="12.5">
      <c r="A1404" s="2">
        <v>1402</v>
      </c>
      <c r="B1404" s="2">
        <v>2534</v>
      </c>
      <c r="C1404" s="2">
        <v>1953</v>
      </c>
      <c r="D1404" s="3" t="s">
        <v>9</v>
      </c>
      <c r="E1404" s="3" t="s">
        <v>13</v>
      </c>
      <c r="F1404" s="2">
        <v>37716</v>
      </c>
      <c r="G1404" s="2">
        <v>0</v>
      </c>
      <c r="H1404" s="2">
        <v>1</v>
      </c>
      <c r="I1404" s="4">
        <v>41750</v>
      </c>
      <c r="J1404" s="2">
        <v>4</v>
      </c>
    </row>
    <row r="1405" spans="1:10" ht="12.5">
      <c r="A1405" s="2">
        <v>1403</v>
      </c>
      <c r="B1405" s="2">
        <v>4188</v>
      </c>
      <c r="C1405" s="2">
        <v>1957</v>
      </c>
      <c r="D1405" s="3" t="s">
        <v>9</v>
      </c>
      <c r="E1405" s="3" t="s">
        <v>10</v>
      </c>
      <c r="F1405" s="2">
        <v>36864</v>
      </c>
      <c r="G1405" s="2">
        <v>0</v>
      </c>
      <c r="H1405" s="2">
        <v>1</v>
      </c>
      <c r="I1405" s="4">
        <v>41134</v>
      </c>
      <c r="J1405" s="2">
        <v>53</v>
      </c>
    </row>
    <row r="1406" spans="1:10" ht="12.5">
      <c r="A1406" s="2">
        <v>1404</v>
      </c>
      <c r="B1406" s="2">
        <v>6613</v>
      </c>
      <c r="C1406" s="2">
        <v>1970</v>
      </c>
      <c r="D1406" s="3" t="s">
        <v>14</v>
      </c>
      <c r="E1406" s="3" t="s">
        <v>13</v>
      </c>
      <c r="F1406" s="2">
        <v>44511</v>
      </c>
      <c r="G1406" s="2">
        <v>1</v>
      </c>
      <c r="H1406" s="2">
        <v>0</v>
      </c>
      <c r="I1406" s="5">
        <v>41194</v>
      </c>
      <c r="J1406" s="2">
        <v>39</v>
      </c>
    </row>
    <row r="1407" spans="1:10" ht="12.5">
      <c r="A1407" s="2">
        <v>1405</v>
      </c>
      <c r="B1407" s="2">
        <v>10827</v>
      </c>
      <c r="C1407" s="2">
        <v>1967</v>
      </c>
      <c r="D1407" s="3" t="s">
        <v>12</v>
      </c>
      <c r="E1407" s="3" t="s">
        <v>13</v>
      </c>
      <c r="F1407" s="2">
        <v>36947</v>
      </c>
      <c r="G1407" s="2">
        <v>1</v>
      </c>
      <c r="H1407" s="2">
        <v>1</v>
      </c>
      <c r="I1407" s="4">
        <v>41128</v>
      </c>
      <c r="J1407" s="2">
        <v>49</v>
      </c>
    </row>
    <row r="1408" spans="1:10" ht="12.5">
      <c r="A1408" s="2">
        <v>1406</v>
      </c>
      <c r="B1408" s="2">
        <v>5491</v>
      </c>
      <c r="C1408" s="2">
        <v>1951</v>
      </c>
      <c r="D1408" s="3" t="s">
        <v>14</v>
      </c>
      <c r="E1408" s="3" t="s">
        <v>11</v>
      </c>
      <c r="F1408" s="2">
        <v>47352</v>
      </c>
      <c r="G1408" s="2">
        <v>0</v>
      </c>
      <c r="H1408" s="2">
        <v>1</v>
      </c>
      <c r="I1408" s="4">
        <v>41375</v>
      </c>
      <c r="J1408" s="2">
        <v>70</v>
      </c>
    </row>
    <row r="1409" spans="1:10" ht="12.5">
      <c r="A1409" s="2">
        <v>1407</v>
      </c>
      <c r="B1409" s="2">
        <v>8402</v>
      </c>
      <c r="C1409" s="2">
        <v>1953</v>
      </c>
      <c r="D1409" s="3" t="s">
        <v>14</v>
      </c>
      <c r="E1409" s="3" t="s">
        <v>13</v>
      </c>
      <c r="F1409" s="2">
        <v>67087</v>
      </c>
      <c r="G1409" s="2">
        <v>0</v>
      </c>
      <c r="H1409" s="2">
        <v>1</v>
      </c>
      <c r="I1409" s="5">
        <v>41625</v>
      </c>
      <c r="J1409" s="2">
        <v>40</v>
      </c>
    </row>
    <row r="1410" spans="1:10" ht="12.5">
      <c r="A1410" s="2">
        <v>1408</v>
      </c>
      <c r="B1410" s="2">
        <v>8783</v>
      </c>
      <c r="C1410" s="2">
        <v>1950</v>
      </c>
      <c r="D1410" s="3" t="s">
        <v>9</v>
      </c>
      <c r="E1410" s="3" t="s">
        <v>13</v>
      </c>
      <c r="F1410" s="2">
        <v>57045</v>
      </c>
      <c r="G1410" s="2">
        <v>0</v>
      </c>
      <c r="H1410" s="2">
        <v>1</v>
      </c>
      <c r="I1410" s="4">
        <v>41160</v>
      </c>
      <c r="J1410" s="2">
        <v>40</v>
      </c>
    </row>
    <row r="1411" spans="1:10" ht="12.5">
      <c r="A1411" s="2">
        <v>1409</v>
      </c>
      <c r="B1411" s="2">
        <v>10010</v>
      </c>
      <c r="C1411" s="2">
        <v>1953</v>
      </c>
      <c r="D1411" s="3" t="s">
        <v>12</v>
      </c>
      <c r="E1411" s="3" t="s">
        <v>15</v>
      </c>
      <c r="F1411" s="2">
        <v>36957</v>
      </c>
      <c r="G1411" s="2">
        <v>1</v>
      </c>
      <c r="H1411" s="2">
        <v>1</v>
      </c>
      <c r="I1411" s="4">
        <v>41158</v>
      </c>
      <c r="J1411" s="2">
        <v>43</v>
      </c>
    </row>
    <row r="1412" spans="1:10" ht="12.5">
      <c r="A1412" s="2">
        <v>1410</v>
      </c>
      <c r="B1412" s="2">
        <v>618</v>
      </c>
      <c r="C1412" s="2">
        <v>1977</v>
      </c>
      <c r="D1412" s="3" t="s">
        <v>12</v>
      </c>
      <c r="E1412" s="3" t="s">
        <v>13</v>
      </c>
      <c r="F1412" s="2">
        <v>69389</v>
      </c>
      <c r="G1412" s="2">
        <v>0</v>
      </c>
      <c r="H1412" s="2">
        <v>1</v>
      </c>
      <c r="I1412" s="4">
        <v>41180</v>
      </c>
      <c r="J1412" s="2">
        <v>17</v>
      </c>
    </row>
    <row r="1413" spans="1:10" ht="12.5">
      <c r="A1413" s="2">
        <v>1411</v>
      </c>
      <c r="B1413" s="2">
        <v>9121</v>
      </c>
      <c r="C1413" s="2">
        <v>1972</v>
      </c>
      <c r="D1413" s="3" t="s">
        <v>9</v>
      </c>
      <c r="E1413" s="3" t="s">
        <v>13</v>
      </c>
      <c r="F1413" s="2">
        <v>80134</v>
      </c>
      <c r="G1413" s="2">
        <v>1</v>
      </c>
      <c r="H1413" s="2">
        <v>0</v>
      </c>
      <c r="I1413" s="4">
        <v>41414</v>
      </c>
      <c r="J1413" s="2">
        <v>40</v>
      </c>
    </row>
    <row r="1414" spans="1:10" ht="12.5">
      <c r="A1414" s="2">
        <v>1412</v>
      </c>
      <c r="B1414" s="2">
        <v>361</v>
      </c>
      <c r="C1414" s="2">
        <v>1969</v>
      </c>
      <c r="D1414" s="3" t="s">
        <v>14</v>
      </c>
      <c r="E1414" s="3" t="s">
        <v>13</v>
      </c>
      <c r="F1414" s="2">
        <v>43142</v>
      </c>
      <c r="G1414" s="2">
        <v>1</v>
      </c>
      <c r="H1414" s="2">
        <v>1</v>
      </c>
      <c r="I1414" s="4">
        <v>41688</v>
      </c>
      <c r="J1414" s="2">
        <v>84</v>
      </c>
    </row>
    <row r="1415" spans="1:10" ht="12.5">
      <c r="A1415" s="2">
        <v>1413</v>
      </c>
      <c r="B1415" s="2">
        <v>4310</v>
      </c>
      <c r="C1415" s="2">
        <v>1944</v>
      </c>
      <c r="D1415" s="3" t="s">
        <v>9</v>
      </c>
      <c r="E1415" s="3" t="s">
        <v>13</v>
      </c>
      <c r="F1415" s="2">
        <v>80589</v>
      </c>
      <c r="G1415" s="2">
        <v>0</v>
      </c>
      <c r="H1415" s="2">
        <v>0</v>
      </c>
      <c r="I1415" s="4">
        <v>41661</v>
      </c>
      <c r="J1415" s="2">
        <v>25</v>
      </c>
    </row>
    <row r="1416" spans="1:10" ht="12.5">
      <c r="A1416" s="2">
        <v>1414</v>
      </c>
      <c r="B1416" s="2">
        <v>2678</v>
      </c>
      <c r="C1416" s="2">
        <v>1990</v>
      </c>
      <c r="D1416" s="3" t="s">
        <v>9</v>
      </c>
      <c r="E1416" s="3" t="s">
        <v>10</v>
      </c>
      <c r="F1416" s="2">
        <v>34412</v>
      </c>
      <c r="G1416" s="2">
        <v>1</v>
      </c>
      <c r="H1416" s="2">
        <v>0</v>
      </c>
      <c r="I1416" s="4">
        <v>41318</v>
      </c>
      <c r="J1416" s="2">
        <v>62</v>
      </c>
    </row>
    <row r="1417" spans="1:10" ht="12.5">
      <c r="A1417" s="2">
        <v>1415</v>
      </c>
      <c r="B1417" s="2">
        <v>6376</v>
      </c>
      <c r="C1417" s="2">
        <v>1979</v>
      </c>
      <c r="D1417" s="3" t="s">
        <v>9</v>
      </c>
      <c r="E1417" s="3" t="s">
        <v>10</v>
      </c>
      <c r="F1417" s="2">
        <v>57537</v>
      </c>
      <c r="G1417" s="2">
        <v>1</v>
      </c>
      <c r="H1417" s="2">
        <v>0</v>
      </c>
      <c r="I1417" s="4">
        <v>41435</v>
      </c>
      <c r="J1417" s="2">
        <v>83</v>
      </c>
    </row>
    <row r="1418" spans="1:10" ht="12.5">
      <c r="A1418" s="2">
        <v>1416</v>
      </c>
      <c r="B1418" s="2">
        <v>524</v>
      </c>
      <c r="C1418" s="2">
        <v>1966</v>
      </c>
      <c r="D1418" s="3" t="s">
        <v>16</v>
      </c>
      <c r="E1418" s="3" t="s">
        <v>11</v>
      </c>
      <c r="F1418" s="2">
        <v>22634</v>
      </c>
      <c r="G1418" s="2">
        <v>0</v>
      </c>
      <c r="H1418" s="2">
        <v>0</v>
      </c>
      <c r="I1418" s="4">
        <v>41290</v>
      </c>
      <c r="J1418" s="2">
        <v>47</v>
      </c>
    </row>
    <row r="1419" spans="1:10" ht="12.5">
      <c r="A1419" s="2">
        <v>1417</v>
      </c>
      <c r="B1419" s="2">
        <v>10341</v>
      </c>
      <c r="C1419" s="2">
        <v>1948</v>
      </c>
      <c r="D1419" s="3" t="s">
        <v>9</v>
      </c>
      <c r="E1419" s="3" t="s">
        <v>11</v>
      </c>
      <c r="F1419" s="2">
        <v>51315</v>
      </c>
      <c r="G1419" s="2">
        <v>0</v>
      </c>
      <c r="H1419" s="2">
        <v>0</v>
      </c>
      <c r="I1419" s="4">
        <v>41693</v>
      </c>
      <c r="J1419" s="2">
        <v>45</v>
      </c>
    </row>
    <row r="1420" spans="1:10" ht="12.5">
      <c r="A1420" s="2">
        <v>1418</v>
      </c>
      <c r="B1420" s="2">
        <v>5654</v>
      </c>
      <c r="C1420" s="2">
        <v>1972</v>
      </c>
      <c r="D1420" s="3" t="s">
        <v>9</v>
      </c>
      <c r="E1420" s="3" t="s">
        <v>13</v>
      </c>
      <c r="F1420" s="2">
        <v>36026</v>
      </c>
      <c r="G1420" s="2">
        <v>2</v>
      </c>
      <c r="H1420" s="2">
        <v>1</v>
      </c>
      <c r="I1420" s="4">
        <v>41714</v>
      </c>
      <c r="J1420" s="2">
        <v>34</v>
      </c>
    </row>
    <row r="1421" spans="1:10" ht="12.5">
      <c r="A1421" s="2">
        <v>1419</v>
      </c>
      <c r="B1421" s="2">
        <v>4098</v>
      </c>
      <c r="C1421" s="2">
        <v>1973</v>
      </c>
      <c r="D1421" s="3" t="s">
        <v>9</v>
      </c>
      <c r="E1421" s="3" t="s">
        <v>13</v>
      </c>
      <c r="F1421" s="2">
        <v>24639</v>
      </c>
      <c r="G1421" s="2">
        <v>1</v>
      </c>
      <c r="H1421" s="2">
        <v>1</v>
      </c>
      <c r="I1421" s="4">
        <v>41667</v>
      </c>
      <c r="J1421" s="2">
        <v>3</v>
      </c>
    </row>
    <row r="1422" spans="1:10" ht="12.5">
      <c r="A1422" s="2">
        <v>1420</v>
      </c>
      <c r="B1422" s="2">
        <v>5824</v>
      </c>
      <c r="C1422" s="2">
        <v>1972</v>
      </c>
      <c r="D1422" s="3" t="s">
        <v>12</v>
      </c>
      <c r="E1422" s="3" t="s">
        <v>11</v>
      </c>
      <c r="F1422" s="2">
        <v>34578</v>
      </c>
      <c r="G1422" s="2">
        <v>2</v>
      </c>
      <c r="H1422" s="2">
        <v>1</v>
      </c>
      <c r="I1422" s="4">
        <v>41740</v>
      </c>
      <c r="J1422" s="2">
        <v>1</v>
      </c>
    </row>
    <row r="1423" spans="1:10" ht="12.5">
      <c r="A1423" s="2">
        <v>1421</v>
      </c>
      <c r="B1423" s="2">
        <v>7000</v>
      </c>
      <c r="C1423" s="2">
        <v>1972</v>
      </c>
      <c r="D1423" s="3" t="s">
        <v>17</v>
      </c>
      <c r="E1423" s="3" t="s">
        <v>10</v>
      </c>
      <c r="F1423" s="2">
        <v>65704</v>
      </c>
      <c r="G1423" s="2">
        <v>0</v>
      </c>
      <c r="H1423" s="2">
        <v>0</v>
      </c>
      <c r="I1423" s="5">
        <v>41560</v>
      </c>
      <c r="J1423" s="2">
        <v>18</v>
      </c>
    </row>
    <row r="1424" spans="1:10" ht="12.5">
      <c r="A1424" s="2">
        <v>1422</v>
      </c>
      <c r="B1424" s="2">
        <v>2561</v>
      </c>
      <c r="C1424" s="2">
        <v>1966</v>
      </c>
      <c r="D1424" s="3" t="s">
        <v>9</v>
      </c>
      <c r="E1424" s="3" t="s">
        <v>10</v>
      </c>
      <c r="F1424" s="2">
        <v>63810</v>
      </c>
      <c r="G1424" s="2">
        <v>0</v>
      </c>
      <c r="H1424" s="2">
        <v>1</v>
      </c>
      <c r="I1424" s="5">
        <v>41224</v>
      </c>
      <c r="J1424" s="2">
        <v>45</v>
      </c>
    </row>
    <row r="1425" spans="1:10" ht="12.5">
      <c r="A1425" s="2">
        <v>1423</v>
      </c>
      <c r="B1425" s="2">
        <v>5229</v>
      </c>
      <c r="C1425" s="2">
        <v>1969</v>
      </c>
      <c r="D1425" s="3" t="s">
        <v>12</v>
      </c>
      <c r="E1425" s="3" t="s">
        <v>11</v>
      </c>
      <c r="F1425" s="2">
        <v>54132</v>
      </c>
      <c r="G1425" s="2">
        <v>0</v>
      </c>
      <c r="H1425" s="2">
        <v>1</v>
      </c>
      <c r="I1425" s="4">
        <v>41686</v>
      </c>
      <c r="J1425" s="2">
        <v>81</v>
      </c>
    </row>
    <row r="1426" spans="1:10" ht="12.5">
      <c r="A1426" s="2">
        <v>1424</v>
      </c>
      <c r="B1426" s="2">
        <v>4086</v>
      </c>
      <c r="C1426" s="2">
        <v>1959</v>
      </c>
      <c r="D1426" s="3" t="s">
        <v>9</v>
      </c>
      <c r="E1426" s="3" t="s">
        <v>13</v>
      </c>
      <c r="F1426" s="2">
        <v>18690</v>
      </c>
      <c r="G1426" s="2">
        <v>0</v>
      </c>
      <c r="H1426" s="2">
        <v>0</v>
      </c>
      <c r="I1426" s="5">
        <v>41271</v>
      </c>
      <c r="J1426" s="2">
        <v>77</v>
      </c>
    </row>
    <row r="1427" spans="1:10" ht="12.5">
      <c r="A1427" s="2">
        <v>1425</v>
      </c>
      <c r="B1427" s="2">
        <v>2428</v>
      </c>
      <c r="C1427" s="2">
        <v>1970</v>
      </c>
      <c r="D1427" s="3" t="s">
        <v>9</v>
      </c>
      <c r="E1427" s="3" t="s">
        <v>13</v>
      </c>
      <c r="F1427" s="2">
        <v>28164</v>
      </c>
      <c r="G1427" s="2">
        <v>1</v>
      </c>
      <c r="H1427" s="2">
        <v>0</v>
      </c>
      <c r="I1427" s="4">
        <v>41398</v>
      </c>
      <c r="J1427" s="2">
        <v>23</v>
      </c>
    </row>
    <row r="1428" spans="1:10" ht="12.5">
      <c r="A1428" s="2">
        <v>1426</v>
      </c>
      <c r="B1428" s="2">
        <v>8254</v>
      </c>
      <c r="C1428" s="2">
        <v>1974</v>
      </c>
      <c r="D1428" s="3" t="s">
        <v>12</v>
      </c>
      <c r="E1428" s="3" t="s">
        <v>13</v>
      </c>
      <c r="F1428" s="2">
        <v>34596</v>
      </c>
      <c r="G1428" s="2">
        <v>1</v>
      </c>
      <c r="H1428" s="2">
        <v>0</v>
      </c>
      <c r="I1428" s="4">
        <v>41377</v>
      </c>
      <c r="J1428" s="2">
        <v>48</v>
      </c>
    </row>
    <row r="1429" spans="1:10" ht="12.5">
      <c r="A1429" s="2">
        <v>1427</v>
      </c>
      <c r="B1429" s="2">
        <v>2836</v>
      </c>
      <c r="C1429" s="2">
        <v>1972</v>
      </c>
      <c r="D1429" s="3" t="s">
        <v>12</v>
      </c>
      <c r="E1429" s="3" t="s">
        <v>13</v>
      </c>
      <c r="F1429" s="2">
        <v>43269</v>
      </c>
      <c r="G1429" s="2">
        <v>1</v>
      </c>
      <c r="H1429" s="2">
        <v>0</v>
      </c>
      <c r="I1429" s="4">
        <v>41533</v>
      </c>
      <c r="J1429" s="2">
        <v>61</v>
      </c>
    </row>
    <row r="1430" spans="1:10" ht="12.5">
      <c r="A1430" s="2">
        <v>1428</v>
      </c>
      <c r="B1430" s="2">
        <v>8418</v>
      </c>
      <c r="C1430" s="2">
        <v>1958</v>
      </c>
      <c r="D1430" s="3" t="s">
        <v>17</v>
      </c>
      <c r="E1430" s="3" t="s">
        <v>10</v>
      </c>
      <c r="F1430" s="2">
        <v>38741</v>
      </c>
      <c r="G1430" s="2">
        <v>1</v>
      </c>
      <c r="H1430" s="2">
        <v>1</v>
      </c>
      <c r="I1430" s="4">
        <v>41728</v>
      </c>
      <c r="J1430" s="2">
        <v>60</v>
      </c>
    </row>
    <row r="1431" spans="1:10" ht="12.5">
      <c r="A1431" s="2">
        <v>1429</v>
      </c>
      <c r="B1431" s="2">
        <v>1362</v>
      </c>
      <c r="C1431" s="2">
        <v>1972</v>
      </c>
      <c r="D1431" s="3" t="s">
        <v>9</v>
      </c>
      <c r="E1431" s="3" t="s">
        <v>10</v>
      </c>
      <c r="F1431" s="2">
        <v>31907</v>
      </c>
      <c r="G1431" s="2">
        <v>0</v>
      </c>
      <c r="H1431" s="2">
        <v>0</v>
      </c>
      <c r="I1431" s="4">
        <v>41337</v>
      </c>
      <c r="J1431" s="2">
        <v>75</v>
      </c>
    </row>
    <row r="1432" spans="1:10" ht="12.5">
      <c r="A1432" s="2">
        <v>1430</v>
      </c>
      <c r="B1432" s="2">
        <v>7152</v>
      </c>
      <c r="C1432" s="2">
        <v>1983</v>
      </c>
      <c r="D1432" s="3" t="s">
        <v>14</v>
      </c>
      <c r="E1432" s="3" t="s">
        <v>13</v>
      </c>
      <c r="F1432" s="2">
        <v>27100</v>
      </c>
      <c r="G1432" s="2">
        <v>1</v>
      </c>
      <c r="H1432" s="2">
        <v>0</v>
      </c>
      <c r="I1432" s="4">
        <v>41369</v>
      </c>
      <c r="J1432" s="2">
        <v>64</v>
      </c>
    </row>
    <row r="1433" spans="1:10" ht="12.5">
      <c r="A1433" s="2">
        <v>1431</v>
      </c>
      <c r="B1433" s="2">
        <v>10033</v>
      </c>
      <c r="C1433" s="2">
        <v>1973</v>
      </c>
      <c r="D1433" s="3" t="s">
        <v>17</v>
      </c>
      <c r="E1433" s="3" t="s">
        <v>15</v>
      </c>
      <c r="F1433" s="2">
        <v>31163</v>
      </c>
      <c r="G1433" s="2">
        <v>1</v>
      </c>
      <c r="H1433" s="2">
        <v>0</v>
      </c>
      <c r="I1433" s="4">
        <v>41683</v>
      </c>
      <c r="J1433" s="2">
        <v>54</v>
      </c>
    </row>
    <row r="1434" spans="1:10" ht="12.5">
      <c r="A1434" s="2">
        <v>1432</v>
      </c>
      <c r="B1434" s="2">
        <v>9349</v>
      </c>
      <c r="C1434" s="2">
        <v>1985</v>
      </c>
      <c r="D1434" s="3" t="s">
        <v>9</v>
      </c>
      <c r="E1434" s="3" t="s">
        <v>13</v>
      </c>
      <c r="F1434" s="2">
        <v>92533</v>
      </c>
      <c r="G1434" s="2">
        <v>0</v>
      </c>
      <c r="H1434" s="2">
        <v>0</v>
      </c>
      <c r="I1434" s="5">
        <v>41627</v>
      </c>
      <c r="J1434" s="2">
        <v>84</v>
      </c>
    </row>
    <row r="1435" spans="1:10" ht="12.5">
      <c r="A1435" s="2">
        <v>1433</v>
      </c>
      <c r="B1435" s="2">
        <v>274</v>
      </c>
      <c r="C1435" s="2">
        <v>1973</v>
      </c>
      <c r="D1435" s="3" t="s">
        <v>9</v>
      </c>
      <c r="E1435" s="3" t="s">
        <v>10</v>
      </c>
      <c r="F1435" s="2">
        <v>34853</v>
      </c>
      <c r="G1435" s="2">
        <v>1</v>
      </c>
      <c r="H1435" s="2">
        <v>1</v>
      </c>
      <c r="I1435" s="5">
        <v>41631</v>
      </c>
      <c r="J1435" s="2">
        <v>75</v>
      </c>
    </row>
    <row r="1436" spans="1:10" ht="12.5">
      <c r="A1436" s="2">
        <v>1434</v>
      </c>
      <c r="B1436" s="2">
        <v>3388</v>
      </c>
      <c r="C1436" s="2">
        <v>1967</v>
      </c>
      <c r="D1436" s="3" t="s">
        <v>9</v>
      </c>
      <c r="E1436" s="3" t="s">
        <v>15</v>
      </c>
      <c r="F1436" s="2">
        <v>70844</v>
      </c>
      <c r="G1436" s="2">
        <v>1</v>
      </c>
      <c r="H1436" s="2">
        <v>1</v>
      </c>
      <c r="I1436" s="5">
        <v>41577</v>
      </c>
      <c r="J1436" s="2">
        <v>16</v>
      </c>
    </row>
    <row r="1437" spans="1:10" ht="12.5">
      <c r="A1437" s="2">
        <v>1435</v>
      </c>
      <c r="B1437" s="2">
        <v>922</v>
      </c>
      <c r="C1437" s="2">
        <v>1979</v>
      </c>
      <c r="D1437" s="3" t="s">
        <v>17</v>
      </c>
      <c r="E1437" s="3" t="s">
        <v>13</v>
      </c>
      <c r="F1437" s="2">
        <v>31086</v>
      </c>
      <c r="G1437" s="2">
        <v>1</v>
      </c>
      <c r="H1437" s="2">
        <v>1</v>
      </c>
      <c r="I1437" s="4">
        <v>41398</v>
      </c>
      <c r="J1437" s="2">
        <v>79</v>
      </c>
    </row>
    <row r="1438" spans="1:10" ht="12.5">
      <c r="A1438" s="2">
        <v>1436</v>
      </c>
      <c r="B1438" s="2">
        <v>8588</v>
      </c>
      <c r="C1438" s="2">
        <v>1961</v>
      </c>
      <c r="D1438" s="3" t="s">
        <v>9</v>
      </c>
      <c r="E1438" s="3" t="s">
        <v>13</v>
      </c>
      <c r="F1438" s="2">
        <v>60544</v>
      </c>
      <c r="G1438" s="2">
        <v>1</v>
      </c>
      <c r="H1438" s="2">
        <v>1</v>
      </c>
      <c r="I1438" s="4">
        <v>41146</v>
      </c>
      <c r="J1438" s="2">
        <v>92</v>
      </c>
    </row>
    <row r="1439" spans="1:10" ht="12.5">
      <c r="A1439" s="2">
        <v>1437</v>
      </c>
      <c r="B1439" s="2">
        <v>2518</v>
      </c>
      <c r="C1439" s="2">
        <v>1986</v>
      </c>
      <c r="D1439" s="3" t="s">
        <v>17</v>
      </c>
      <c r="E1439" s="3" t="s">
        <v>11</v>
      </c>
      <c r="F1439" s="2">
        <v>20491</v>
      </c>
      <c r="G1439" s="2">
        <v>0</v>
      </c>
      <c r="H1439" s="2">
        <v>0</v>
      </c>
      <c r="I1439" s="4">
        <v>41299</v>
      </c>
      <c r="J1439" s="2">
        <v>16</v>
      </c>
    </row>
    <row r="1440" spans="1:10" ht="12.5">
      <c r="A1440" s="2">
        <v>1438</v>
      </c>
      <c r="B1440" s="2">
        <v>574</v>
      </c>
      <c r="C1440" s="2">
        <v>1964</v>
      </c>
      <c r="D1440" s="3" t="s">
        <v>9</v>
      </c>
      <c r="E1440" s="3" t="s">
        <v>13</v>
      </c>
      <c r="F1440" s="2">
        <v>42523</v>
      </c>
      <c r="G1440" s="2">
        <v>0</v>
      </c>
      <c r="H1440" s="2">
        <v>0</v>
      </c>
      <c r="I1440" s="4">
        <v>41752</v>
      </c>
      <c r="J1440" s="2">
        <v>96</v>
      </c>
    </row>
    <row r="1441" spans="1:10" ht="12.5">
      <c r="A1441" s="2">
        <v>1439</v>
      </c>
      <c r="B1441" s="2">
        <v>3220</v>
      </c>
      <c r="C1441" s="2">
        <v>1983</v>
      </c>
      <c r="D1441" s="3" t="s">
        <v>9</v>
      </c>
      <c r="E1441" s="3" t="s">
        <v>13</v>
      </c>
      <c r="F1441" s="2">
        <v>39922</v>
      </c>
      <c r="G1441" s="2">
        <v>1</v>
      </c>
      <c r="H1441" s="2">
        <v>0</v>
      </c>
      <c r="I1441" s="4">
        <v>41319</v>
      </c>
      <c r="J1441" s="2">
        <v>30</v>
      </c>
    </row>
    <row r="1442" spans="1:10" ht="12.5">
      <c r="A1442" s="2">
        <v>1440</v>
      </c>
      <c r="B1442" s="2">
        <v>5967</v>
      </c>
      <c r="C1442" s="2">
        <v>1952</v>
      </c>
      <c r="D1442" s="3" t="s">
        <v>9</v>
      </c>
      <c r="E1442" s="3" t="s">
        <v>11</v>
      </c>
      <c r="F1442" s="2">
        <v>33402</v>
      </c>
      <c r="G1442" s="2">
        <v>1</v>
      </c>
      <c r="H1442" s="2">
        <v>1</v>
      </c>
      <c r="I1442" s="4">
        <v>41473</v>
      </c>
      <c r="J1442" s="2">
        <v>60</v>
      </c>
    </row>
    <row r="1443" spans="1:10" ht="12.5">
      <c r="A1443" s="2">
        <v>1441</v>
      </c>
      <c r="B1443" s="2">
        <v>1183</v>
      </c>
      <c r="C1443" s="2">
        <v>1949</v>
      </c>
      <c r="D1443" s="3" t="s">
        <v>14</v>
      </c>
      <c r="E1443" s="3" t="s">
        <v>13</v>
      </c>
      <c r="F1443" s="2">
        <v>36408</v>
      </c>
      <c r="G1443" s="2">
        <v>1</v>
      </c>
      <c r="H1443" s="2">
        <v>1</v>
      </c>
      <c r="I1443" s="4">
        <v>41538</v>
      </c>
      <c r="J1443" s="2">
        <v>11</v>
      </c>
    </row>
    <row r="1444" spans="1:10" ht="12.5">
      <c r="A1444" s="2">
        <v>1442</v>
      </c>
      <c r="B1444" s="2">
        <v>6856</v>
      </c>
      <c r="C1444" s="2">
        <v>1979</v>
      </c>
      <c r="D1444" s="3" t="s">
        <v>9</v>
      </c>
      <c r="E1444" s="3" t="s">
        <v>11</v>
      </c>
      <c r="F1444" s="2">
        <v>21645</v>
      </c>
      <c r="G1444" s="2">
        <v>1</v>
      </c>
      <c r="H1444" s="2">
        <v>0</v>
      </c>
      <c r="I1444" s="4">
        <v>41155</v>
      </c>
      <c r="J1444" s="2">
        <v>75</v>
      </c>
    </row>
    <row r="1445" spans="1:10" ht="12.5">
      <c r="A1445" s="2">
        <v>1443</v>
      </c>
      <c r="B1445" s="2">
        <v>4530</v>
      </c>
      <c r="C1445" s="2">
        <v>1948</v>
      </c>
      <c r="D1445" s="3" t="s">
        <v>14</v>
      </c>
      <c r="E1445" s="3" t="s">
        <v>18</v>
      </c>
      <c r="F1445" s="2">
        <v>78427</v>
      </c>
      <c r="G1445" s="2">
        <v>0</v>
      </c>
      <c r="H1445" s="2">
        <v>0</v>
      </c>
      <c r="I1445" s="5">
        <v>41206</v>
      </c>
      <c r="J1445" s="2">
        <v>36</v>
      </c>
    </row>
    <row r="1446" spans="1:10" ht="12.5">
      <c r="A1446" s="2">
        <v>1444</v>
      </c>
      <c r="B1446" s="2">
        <v>1553</v>
      </c>
      <c r="C1446" s="2">
        <v>1946</v>
      </c>
      <c r="D1446" s="3" t="s">
        <v>9</v>
      </c>
      <c r="E1446" s="3" t="s">
        <v>11</v>
      </c>
      <c r="F1446" s="2">
        <v>82657</v>
      </c>
      <c r="G1446" s="2">
        <v>0</v>
      </c>
      <c r="H1446" s="2">
        <v>0</v>
      </c>
      <c r="I1446" s="4">
        <v>41544</v>
      </c>
      <c r="J1446" s="2">
        <v>71</v>
      </c>
    </row>
    <row r="1447" spans="1:10" ht="12.5">
      <c r="A1447" s="2">
        <v>1445</v>
      </c>
      <c r="B1447" s="2">
        <v>4682</v>
      </c>
      <c r="C1447" s="2">
        <v>1958</v>
      </c>
      <c r="D1447" s="3" t="s">
        <v>9</v>
      </c>
      <c r="E1447" s="3" t="s">
        <v>13</v>
      </c>
      <c r="F1447" s="2">
        <v>51876</v>
      </c>
      <c r="G1447" s="2">
        <v>0</v>
      </c>
      <c r="H1447" s="2">
        <v>0</v>
      </c>
      <c r="I1447" s="5">
        <v>41562</v>
      </c>
      <c r="J1447" s="2">
        <v>88</v>
      </c>
    </row>
    <row r="1448" spans="1:10" ht="12.5">
      <c r="A1448" s="2">
        <v>1446</v>
      </c>
      <c r="B1448" s="2">
        <v>8204</v>
      </c>
      <c r="C1448" s="2">
        <v>1971</v>
      </c>
      <c r="D1448" s="3" t="s">
        <v>17</v>
      </c>
      <c r="E1448" s="3" t="s">
        <v>13</v>
      </c>
      <c r="F1448" s="2">
        <v>78041</v>
      </c>
      <c r="G1448" s="2">
        <v>0</v>
      </c>
      <c r="H1448" s="2">
        <v>0</v>
      </c>
      <c r="I1448" s="5">
        <v>41259</v>
      </c>
      <c r="J1448" s="2">
        <v>93</v>
      </c>
    </row>
    <row r="1449" spans="1:10" ht="12.5">
      <c r="A1449" s="2">
        <v>1447</v>
      </c>
      <c r="B1449" s="2">
        <v>5221</v>
      </c>
      <c r="C1449" s="2">
        <v>1957</v>
      </c>
      <c r="D1449" s="3" t="s">
        <v>9</v>
      </c>
      <c r="E1449" s="3" t="s">
        <v>13</v>
      </c>
      <c r="F1449" s="2">
        <v>52852</v>
      </c>
      <c r="G1449" s="2">
        <v>0</v>
      </c>
      <c r="H1449" s="2">
        <v>1</v>
      </c>
      <c r="I1449" s="4">
        <v>41244</v>
      </c>
      <c r="J1449" s="2">
        <v>93</v>
      </c>
    </row>
    <row r="1450" spans="1:10" ht="12.5">
      <c r="A1450" s="2">
        <v>1448</v>
      </c>
      <c r="B1450" s="2">
        <v>1232</v>
      </c>
      <c r="C1450" s="2">
        <v>1982</v>
      </c>
      <c r="D1450" s="3" t="s">
        <v>12</v>
      </c>
      <c r="E1450" s="3" t="s">
        <v>11</v>
      </c>
      <c r="F1450" s="2">
        <v>70038</v>
      </c>
      <c r="G1450" s="2">
        <v>0</v>
      </c>
      <c r="H1450" s="2">
        <v>0</v>
      </c>
      <c r="I1450" s="5">
        <v>41572</v>
      </c>
      <c r="J1450" s="2">
        <v>54</v>
      </c>
    </row>
    <row r="1451" spans="1:10" ht="12.5">
      <c r="A1451" s="2">
        <v>1449</v>
      </c>
      <c r="B1451" s="2">
        <v>1927</v>
      </c>
      <c r="C1451" s="2">
        <v>1973</v>
      </c>
      <c r="D1451" s="3" t="s">
        <v>17</v>
      </c>
      <c r="E1451" s="3" t="s">
        <v>11</v>
      </c>
      <c r="F1451" s="2">
        <v>69401</v>
      </c>
      <c r="G1451" s="2">
        <v>0</v>
      </c>
      <c r="H1451" s="2">
        <v>1</v>
      </c>
      <c r="I1451" s="4">
        <v>41721</v>
      </c>
      <c r="J1451" s="2">
        <v>41</v>
      </c>
    </row>
    <row r="1452" spans="1:10" ht="12.5">
      <c r="A1452" s="2">
        <v>1450</v>
      </c>
      <c r="B1452" s="2">
        <v>5788</v>
      </c>
      <c r="C1452" s="2">
        <v>1972</v>
      </c>
      <c r="D1452" s="3" t="s">
        <v>9</v>
      </c>
      <c r="E1452" s="3" t="s">
        <v>11</v>
      </c>
      <c r="F1452" s="2">
        <v>46053</v>
      </c>
      <c r="G1452" s="2">
        <v>1</v>
      </c>
      <c r="H1452" s="2">
        <v>0</v>
      </c>
      <c r="I1452" s="4">
        <v>41322</v>
      </c>
      <c r="J1452" s="2">
        <v>46</v>
      </c>
    </row>
    <row r="1453" spans="1:10" ht="12.5">
      <c r="A1453" s="2">
        <v>1451</v>
      </c>
      <c r="B1453" s="2">
        <v>6652</v>
      </c>
      <c r="C1453" s="2">
        <v>1965</v>
      </c>
      <c r="D1453" s="3" t="s">
        <v>9</v>
      </c>
      <c r="E1453" s="3" t="s">
        <v>13</v>
      </c>
      <c r="F1453" s="2">
        <v>77343</v>
      </c>
      <c r="G1453" s="2">
        <v>0</v>
      </c>
      <c r="H1453" s="2">
        <v>0</v>
      </c>
      <c r="I1453" s="4">
        <v>41799</v>
      </c>
      <c r="J1453" s="2">
        <v>28</v>
      </c>
    </row>
    <row r="1454" spans="1:10" ht="12.5">
      <c r="A1454" s="2">
        <v>1452</v>
      </c>
      <c r="B1454" s="2">
        <v>6246</v>
      </c>
      <c r="C1454" s="2">
        <v>1953</v>
      </c>
      <c r="D1454" s="3" t="s">
        <v>9</v>
      </c>
      <c r="E1454" s="3" t="s">
        <v>10</v>
      </c>
      <c r="F1454" s="2">
        <v>73892</v>
      </c>
      <c r="G1454" s="2">
        <v>0</v>
      </c>
      <c r="H1454" s="2">
        <v>0</v>
      </c>
      <c r="I1454" s="5">
        <v>41591</v>
      </c>
      <c r="J1454" s="2">
        <v>40</v>
      </c>
    </row>
    <row r="1455" spans="1:10" ht="12.5">
      <c r="A1455" s="2">
        <v>1453</v>
      </c>
      <c r="B1455" s="2">
        <v>5975</v>
      </c>
      <c r="C1455" s="2">
        <v>1967</v>
      </c>
      <c r="D1455" s="3" t="s">
        <v>12</v>
      </c>
      <c r="E1455" s="3" t="s">
        <v>10</v>
      </c>
      <c r="F1455" s="2">
        <v>40304</v>
      </c>
      <c r="G1455" s="2">
        <v>1</v>
      </c>
      <c r="H1455" s="2">
        <v>0</v>
      </c>
      <c r="I1455" s="4">
        <v>41547</v>
      </c>
      <c r="J1455" s="2">
        <v>82</v>
      </c>
    </row>
    <row r="1456" spans="1:10" ht="12.5">
      <c r="A1456" s="2">
        <v>1454</v>
      </c>
      <c r="B1456" s="2">
        <v>6875</v>
      </c>
      <c r="C1456" s="2">
        <v>1965</v>
      </c>
      <c r="D1456" s="3" t="s">
        <v>12</v>
      </c>
      <c r="E1456" s="3" t="s">
        <v>11</v>
      </c>
      <c r="F1456" s="2">
        <v>32727</v>
      </c>
      <c r="G1456" s="2">
        <v>0</v>
      </c>
      <c r="H1456" s="2">
        <v>0</v>
      </c>
      <c r="I1456" s="4">
        <v>41149</v>
      </c>
      <c r="J1456" s="2">
        <v>38</v>
      </c>
    </row>
    <row r="1457" spans="1:10" ht="12.5">
      <c r="A1457" s="2">
        <v>1455</v>
      </c>
      <c r="B1457" s="2">
        <v>4399</v>
      </c>
      <c r="C1457" s="2">
        <v>1969</v>
      </c>
      <c r="D1457" s="3" t="s">
        <v>9</v>
      </c>
      <c r="E1457" s="3" t="s">
        <v>11</v>
      </c>
      <c r="F1457" s="2">
        <v>68695</v>
      </c>
      <c r="G1457" s="2">
        <v>0</v>
      </c>
      <c r="H1457" s="2">
        <v>0</v>
      </c>
      <c r="I1457" s="4">
        <v>41815</v>
      </c>
      <c r="J1457" s="2">
        <v>3</v>
      </c>
    </row>
    <row r="1458" spans="1:10" ht="12.5">
      <c r="A1458" s="2">
        <v>1456</v>
      </c>
      <c r="B1458" s="2">
        <v>4042</v>
      </c>
      <c r="C1458" s="2">
        <v>1971</v>
      </c>
      <c r="D1458" s="3" t="s">
        <v>9</v>
      </c>
      <c r="E1458" s="3" t="s">
        <v>15</v>
      </c>
      <c r="F1458" s="2">
        <v>43300</v>
      </c>
      <c r="G1458" s="2">
        <v>0</v>
      </c>
      <c r="H1458" s="2">
        <v>1</v>
      </c>
      <c r="I1458" s="5">
        <v>41195</v>
      </c>
      <c r="J1458" s="2">
        <v>87</v>
      </c>
    </row>
    <row r="1459" spans="1:10" ht="12.5">
      <c r="A1459" s="2">
        <v>1457</v>
      </c>
      <c r="B1459" s="2">
        <v>2157</v>
      </c>
      <c r="C1459" s="2">
        <v>1972</v>
      </c>
      <c r="D1459" s="3" t="s">
        <v>9</v>
      </c>
      <c r="E1459" s="3" t="s">
        <v>11</v>
      </c>
      <c r="F1459" s="2">
        <v>26290</v>
      </c>
      <c r="G1459" s="2">
        <v>1</v>
      </c>
      <c r="H1459" s="2">
        <v>1</v>
      </c>
      <c r="I1459" s="4">
        <v>41286</v>
      </c>
      <c r="J1459" s="2">
        <v>49</v>
      </c>
    </row>
    <row r="1460" spans="1:10" ht="12.5">
      <c r="A1460" s="2">
        <v>1458</v>
      </c>
      <c r="B1460" s="2">
        <v>10133</v>
      </c>
      <c r="C1460" s="2">
        <v>1970</v>
      </c>
      <c r="D1460" s="3" t="s">
        <v>9</v>
      </c>
      <c r="E1460" s="3" t="s">
        <v>10</v>
      </c>
      <c r="F1460" s="2">
        <v>93790</v>
      </c>
      <c r="G1460" s="2">
        <v>0</v>
      </c>
      <c r="H1460" s="2">
        <v>0</v>
      </c>
      <c r="I1460" s="4">
        <v>41682</v>
      </c>
      <c r="J1460" s="2">
        <v>16</v>
      </c>
    </row>
    <row r="1461" spans="1:10" ht="12.5">
      <c r="A1461" s="2">
        <v>1459</v>
      </c>
      <c r="B1461" s="2">
        <v>2525</v>
      </c>
      <c r="C1461" s="2">
        <v>1974</v>
      </c>
      <c r="D1461" s="3" t="s">
        <v>12</v>
      </c>
      <c r="E1461" s="3" t="s">
        <v>13</v>
      </c>
      <c r="F1461" s="2">
        <v>38410</v>
      </c>
      <c r="G1461" s="2">
        <v>0</v>
      </c>
      <c r="H1461" s="2">
        <v>0</v>
      </c>
      <c r="I1461" s="4">
        <v>41166</v>
      </c>
      <c r="J1461" s="2">
        <v>65</v>
      </c>
    </row>
    <row r="1462" spans="1:10" ht="12.5">
      <c r="A1462" s="2">
        <v>1460</v>
      </c>
      <c r="B1462" s="2">
        <v>8233</v>
      </c>
      <c r="C1462" s="2">
        <v>1950</v>
      </c>
      <c r="D1462" s="3" t="s">
        <v>14</v>
      </c>
      <c r="E1462" s="3" t="s">
        <v>18</v>
      </c>
      <c r="F1462" s="2">
        <v>64866</v>
      </c>
      <c r="G1462" s="2">
        <v>0</v>
      </c>
      <c r="H1462" s="2">
        <v>1</v>
      </c>
      <c r="I1462" s="4">
        <v>41665</v>
      </c>
      <c r="J1462" s="2">
        <v>9</v>
      </c>
    </row>
    <row r="1463" spans="1:10" ht="12.5">
      <c r="A1463" s="2">
        <v>1461</v>
      </c>
      <c r="B1463" s="2">
        <v>9483</v>
      </c>
      <c r="C1463" s="2">
        <v>1959</v>
      </c>
      <c r="D1463" s="3" t="s">
        <v>9</v>
      </c>
      <c r="E1463" s="3" t="s">
        <v>11</v>
      </c>
      <c r="F1463" s="2">
        <v>57957</v>
      </c>
      <c r="G1463" s="2">
        <v>0</v>
      </c>
      <c r="H1463" s="2">
        <v>1</v>
      </c>
      <c r="I1463" s="4">
        <v>41505</v>
      </c>
      <c r="J1463" s="2">
        <v>24</v>
      </c>
    </row>
    <row r="1464" spans="1:10" ht="12.5">
      <c r="A1464" s="2">
        <v>1462</v>
      </c>
      <c r="B1464" s="2">
        <v>2945</v>
      </c>
      <c r="C1464" s="2">
        <v>1955</v>
      </c>
      <c r="D1464" s="3" t="s">
        <v>12</v>
      </c>
      <c r="E1464" s="3" t="s">
        <v>11</v>
      </c>
      <c r="F1464" s="2">
        <v>46015</v>
      </c>
      <c r="G1464" s="2">
        <v>1</v>
      </c>
      <c r="H1464" s="2">
        <v>1</v>
      </c>
      <c r="I1464" s="4">
        <v>41742</v>
      </c>
      <c r="J1464" s="2">
        <v>25</v>
      </c>
    </row>
    <row r="1465" spans="1:10" ht="12.5">
      <c r="A1465" s="2">
        <v>1463</v>
      </c>
      <c r="B1465" s="2">
        <v>10403</v>
      </c>
      <c r="C1465" s="2">
        <v>1978</v>
      </c>
      <c r="D1465" s="3" t="s">
        <v>9</v>
      </c>
      <c r="E1465" s="3" t="s">
        <v>11</v>
      </c>
      <c r="F1465" s="2">
        <v>16531</v>
      </c>
      <c r="G1465" s="2">
        <v>1</v>
      </c>
      <c r="H1465" s="2">
        <v>0</v>
      </c>
      <c r="I1465" s="4">
        <v>41808</v>
      </c>
      <c r="J1465" s="2">
        <v>43</v>
      </c>
    </row>
    <row r="1466" spans="1:10" ht="12.5">
      <c r="A1466" s="2">
        <v>1464</v>
      </c>
      <c r="B1466" s="2">
        <v>5074</v>
      </c>
      <c r="C1466" s="2">
        <v>1986</v>
      </c>
      <c r="D1466" s="3" t="s">
        <v>14</v>
      </c>
      <c r="E1466" s="3" t="s">
        <v>13</v>
      </c>
      <c r="F1466" s="2">
        <v>28072</v>
      </c>
      <c r="G1466" s="2">
        <v>1</v>
      </c>
      <c r="H1466" s="2">
        <v>0</v>
      </c>
      <c r="I1466" s="4">
        <v>41463</v>
      </c>
      <c r="J1466" s="2">
        <v>10</v>
      </c>
    </row>
    <row r="1467" spans="1:10" ht="12.5">
      <c r="A1467" s="2">
        <v>1465</v>
      </c>
      <c r="B1467" s="2">
        <v>10524</v>
      </c>
      <c r="C1467" s="2">
        <v>1963</v>
      </c>
      <c r="D1467" s="3" t="s">
        <v>14</v>
      </c>
      <c r="E1467" s="3" t="s">
        <v>15</v>
      </c>
      <c r="F1467" s="2">
        <v>49476</v>
      </c>
      <c r="G1467" s="2">
        <v>0</v>
      </c>
      <c r="H1467" s="2">
        <v>1</v>
      </c>
      <c r="I1467" s="4">
        <v>41445</v>
      </c>
      <c r="J1467" s="2">
        <v>29</v>
      </c>
    </row>
    <row r="1468" spans="1:10" ht="12.5">
      <c r="A1468" s="2">
        <v>1466</v>
      </c>
      <c r="B1468" s="2">
        <v>4690</v>
      </c>
      <c r="C1468" s="2">
        <v>1953</v>
      </c>
      <c r="D1468" s="3" t="s">
        <v>9</v>
      </c>
      <c r="E1468" s="3" t="s">
        <v>13</v>
      </c>
      <c r="F1468" s="2">
        <v>50725</v>
      </c>
      <c r="G1468" s="2">
        <v>0</v>
      </c>
      <c r="H1468" s="2">
        <v>1</v>
      </c>
      <c r="I1468" s="4">
        <v>41318</v>
      </c>
      <c r="J1468" s="2">
        <v>45</v>
      </c>
    </row>
    <row r="1469" spans="1:10" ht="12.5">
      <c r="A1469" s="2">
        <v>1467</v>
      </c>
      <c r="B1469" s="2">
        <v>7521</v>
      </c>
      <c r="C1469" s="2">
        <v>1952</v>
      </c>
      <c r="D1469" s="3" t="s">
        <v>9</v>
      </c>
      <c r="E1469" s="3" t="s">
        <v>11</v>
      </c>
      <c r="F1469" s="2">
        <v>83844</v>
      </c>
      <c r="G1469" s="2">
        <v>0</v>
      </c>
      <c r="H1469" s="2">
        <v>0</v>
      </c>
      <c r="I1469" s="4">
        <v>41406</v>
      </c>
      <c r="J1469" s="2">
        <v>57</v>
      </c>
    </row>
    <row r="1470" spans="1:10" ht="12.5">
      <c r="A1470" s="2">
        <v>1468</v>
      </c>
      <c r="B1470" s="2">
        <v>7196</v>
      </c>
      <c r="C1470" s="2">
        <v>1950</v>
      </c>
      <c r="D1470" s="3" t="s">
        <v>12</v>
      </c>
      <c r="E1470" s="3" t="s">
        <v>13</v>
      </c>
      <c r="F1470" s="2">
        <v>41145</v>
      </c>
      <c r="G1470" s="2">
        <v>1</v>
      </c>
      <c r="H1470" s="2">
        <v>1</v>
      </c>
      <c r="I1470" s="4">
        <v>41678</v>
      </c>
      <c r="J1470" s="2">
        <v>20</v>
      </c>
    </row>
    <row r="1471" spans="1:10" ht="12.5">
      <c r="A1471" s="2">
        <v>1469</v>
      </c>
      <c r="B1471" s="2">
        <v>4406</v>
      </c>
      <c r="C1471" s="2">
        <v>1970</v>
      </c>
      <c r="D1471" s="3" t="s">
        <v>9</v>
      </c>
      <c r="E1471" s="3" t="s">
        <v>11</v>
      </c>
      <c r="F1471" s="2">
        <v>67419</v>
      </c>
      <c r="G1471" s="2">
        <v>0</v>
      </c>
      <c r="H1471" s="2">
        <v>1</v>
      </c>
      <c r="I1471" s="4">
        <v>41290</v>
      </c>
      <c r="J1471" s="2">
        <v>29</v>
      </c>
    </row>
    <row r="1472" spans="1:10" ht="12.5">
      <c r="A1472" s="2">
        <v>1470</v>
      </c>
      <c r="B1472" s="2">
        <v>9672</v>
      </c>
      <c r="C1472" s="2">
        <v>1970</v>
      </c>
      <c r="D1472" s="3" t="s">
        <v>17</v>
      </c>
      <c r="E1472" s="3" t="s">
        <v>13</v>
      </c>
      <c r="F1472" s="2">
        <v>23162</v>
      </c>
      <c r="G1472" s="2">
        <v>1</v>
      </c>
      <c r="H1472" s="2">
        <v>1</v>
      </c>
      <c r="I1472" s="5">
        <v>41629</v>
      </c>
      <c r="J1472" s="2">
        <v>82</v>
      </c>
    </row>
    <row r="1473" spans="1:10" ht="12.5">
      <c r="A1473" s="2">
        <v>1471</v>
      </c>
      <c r="B1473" s="2">
        <v>4864</v>
      </c>
      <c r="C1473" s="2">
        <v>1977</v>
      </c>
      <c r="D1473" s="3" t="s">
        <v>9</v>
      </c>
      <c r="E1473" s="3" t="s">
        <v>13</v>
      </c>
      <c r="F1473" s="2">
        <v>34380</v>
      </c>
      <c r="G1473" s="2">
        <v>1</v>
      </c>
      <c r="H1473" s="2">
        <v>0</v>
      </c>
      <c r="I1473" s="4">
        <v>41396</v>
      </c>
      <c r="J1473" s="2">
        <v>68</v>
      </c>
    </row>
    <row r="1474" spans="1:10" ht="12.5">
      <c r="A1474" s="2">
        <v>1472</v>
      </c>
      <c r="B1474" s="2">
        <v>4706</v>
      </c>
      <c r="C1474" s="2">
        <v>1966</v>
      </c>
      <c r="D1474" s="3" t="s">
        <v>9</v>
      </c>
      <c r="E1474" s="3" t="s">
        <v>10</v>
      </c>
      <c r="F1474" s="2">
        <v>34704</v>
      </c>
      <c r="G1474" s="2">
        <v>0</v>
      </c>
      <c r="H1474" s="2">
        <v>1</v>
      </c>
      <c r="I1474" s="4">
        <v>41391</v>
      </c>
      <c r="J1474" s="2">
        <v>65</v>
      </c>
    </row>
    <row r="1475" spans="1:10" ht="12.5">
      <c r="A1475" s="2">
        <v>1473</v>
      </c>
      <c r="B1475" s="2">
        <v>4070</v>
      </c>
      <c r="C1475" s="2">
        <v>1969</v>
      </c>
      <c r="D1475" s="3" t="s">
        <v>12</v>
      </c>
      <c r="E1475" s="3" t="s">
        <v>13</v>
      </c>
      <c r="F1475" s="2">
        <v>94871</v>
      </c>
      <c r="G1475" s="2">
        <v>0</v>
      </c>
      <c r="H1475" s="2">
        <v>2</v>
      </c>
      <c r="I1475" s="4">
        <v>41153</v>
      </c>
      <c r="J1475" s="2">
        <v>99</v>
      </c>
    </row>
    <row r="1476" spans="1:10" ht="12.5">
      <c r="A1476" s="2">
        <v>1474</v>
      </c>
      <c r="B1476" s="2">
        <v>25</v>
      </c>
      <c r="C1476" s="2">
        <v>1958</v>
      </c>
      <c r="D1476" s="3" t="s">
        <v>9</v>
      </c>
      <c r="E1476" s="3" t="s">
        <v>13</v>
      </c>
      <c r="F1476" s="2">
        <v>65148</v>
      </c>
      <c r="G1476" s="2">
        <v>0</v>
      </c>
      <c r="H1476" s="2">
        <v>1</v>
      </c>
      <c r="I1476" s="5">
        <v>41229</v>
      </c>
      <c r="J1476" s="2">
        <v>9</v>
      </c>
    </row>
    <row r="1477" spans="1:10" ht="12.5">
      <c r="A1477" s="2">
        <v>1475</v>
      </c>
      <c r="B1477" s="2">
        <v>3697</v>
      </c>
      <c r="C1477" s="2">
        <v>1954</v>
      </c>
      <c r="D1477" s="3" t="s">
        <v>9</v>
      </c>
      <c r="E1477" s="3" t="s">
        <v>11</v>
      </c>
      <c r="F1477" s="2">
        <v>39898</v>
      </c>
      <c r="G1477" s="2">
        <v>0</v>
      </c>
      <c r="H1477" s="2">
        <v>1</v>
      </c>
      <c r="I1477" s="4">
        <v>41317</v>
      </c>
      <c r="J1477" s="2">
        <v>20</v>
      </c>
    </row>
    <row r="1478" spans="1:10" ht="12.5">
      <c r="A1478" s="2">
        <v>1476</v>
      </c>
      <c r="B1478" s="2">
        <v>217</v>
      </c>
      <c r="C1478" s="2">
        <v>1956</v>
      </c>
      <c r="D1478" s="3" t="s">
        <v>14</v>
      </c>
      <c r="E1478" s="3" t="s">
        <v>10</v>
      </c>
      <c r="F1478" s="2">
        <v>64857</v>
      </c>
      <c r="G1478" s="2">
        <v>0</v>
      </c>
      <c r="H1478" s="2">
        <v>0</v>
      </c>
      <c r="I1478" s="5">
        <v>41236</v>
      </c>
      <c r="J1478" s="2">
        <v>78</v>
      </c>
    </row>
    <row r="1479" spans="1:10" ht="12.5">
      <c r="A1479" s="2">
        <v>1477</v>
      </c>
      <c r="B1479" s="2">
        <v>4220</v>
      </c>
      <c r="C1479" s="2">
        <v>1970</v>
      </c>
      <c r="D1479" s="3" t="s">
        <v>12</v>
      </c>
      <c r="E1479" s="3" t="s">
        <v>13</v>
      </c>
      <c r="F1479" s="2">
        <v>59892</v>
      </c>
      <c r="G1479" s="2">
        <v>0</v>
      </c>
      <c r="H1479" s="2">
        <v>1</v>
      </c>
      <c r="I1479" s="4">
        <v>41580</v>
      </c>
      <c r="J1479" s="2">
        <v>26</v>
      </c>
    </row>
    <row r="1480" spans="1:10" ht="12.5">
      <c r="A1480" s="2">
        <v>1478</v>
      </c>
      <c r="B1480" s="2">
        <v>5286</v>
      </c>
      <c r="C1480" s="2">
        <v>1987</v>
      </c>
      <c r="D1480" s="3" t="s">
        <v>14</v>
      </c>
      <c r="E1480" s="3" t="s">
        <v>10</v>
      </c>
      <c r="F1480" s="2">
        <v>41020</v>
      </c>
      <c r="G1480" s="2">
        <v>0</v>
      </c>
      <c r="H1480" s="2">
        <v>0</v>
      </c>
      <c r="I1480" s="5">
        <v>41575</v>
      </c>
      <c r="J1480" s="2">
        <v>68</v>
      </c>
    </row>
    <row r="1481" spans="1:10" ht="12.5">
      <c r="A1481" s="2">
        <v>1479</v>
      </c>
      <c r="B1481" s="2">
        <v>9559</v>
      </c>
      <c r="C1481" s="2">
        <v>1961</v>
      </c>
      <c r="D1481" s="3" t="s">
        <v>12</v>
      </c>
      <c r="E1481" s="3" t="s">
        <v>13</v>
      </c>
      <c r="F1481" s="2">
        <v>57072</v>
      </c>
      <c r="G1481" s="2">
        <v>0</v>
      </c>
      <c r="H1481" s="2">
        <v>1</v>
      </c>
      <c r="I1481" s="4">
        <v>41663</v>
      </c>
      <c r="J1481" s="2">
        <v>79</v>
      </c>
    </row>
    <row r="1482" spans="1:10" ht="12.5">
      <c r="A1482" s="2">
        <v>1480</v>
      </c>
      <c r="B1482" s="2">
        <v>2849</v>
      </c>
      <c r="C1482" s="2">
        <v>1979</v>
      </c>
      <c r="D1482" s="3" t="s">
        <v>9</v>
      </c>
      <c r="E1482" s="3" t="s">
        <v>10</v>
      </c>
      <c r="F1482" s="2">
        <v>60474</v>
      </c>
      <c r="G1482" s="2">
        <v>0</v>
      </c>
      <c r="H1482" s="2">
        <v>1</v>
      </c>
      <c r="I1482" s="4">
        <v>41365</v>
      </c>
      <c r="J1482" s="2">
        <v>25</v>
      </c>
    </row>
    <row r="1483" spans="1:10" ht="12.5">
      <c r="A1483" s="2">
        <v>1481</v>
      </c>
      <c r="B1483" s="2">
        <v>7787</v>
      </c>
      <c r="C1483" s="2">
        <v>1960</v>
      </c>
      <c r="D1483" s="3" t="s">
        <v>9</v>
      </c>
      <c r="E1483" s="3" t="s">
        <v>11</v>
      </c>
      <c r="F1483" s="2">
        <v>62807</v>
      </c>
      <c r="G1483" s="2">
        <v>0</v>
      </c>
      <c r="H1483" s="2">
        <v>1</v>
      </c>
      <c r="I1483" s="4">
        <v>41152</v>
      </c>
      <c r="J1483" s="2">
        <v>83</v>
      </c>
    </row>
    <row r="1484" spans="1:10" ht="12.5">
      <c r="A1484" s="2">
        <v>1482</v>
      </c>
      <c r="B1484" s="2">
        <v>3102</v>
      </c>
      <c r="C1484" s="2">
        <v>1981</v>
      </c>
      <c r="D1484" s="3" t="s">
        <v>17</v>
      </c>
      <c r="E1484" s="3" t="s">
        <v>11</v>
      </c>
      <c r="F1484" s="2">
        <v>19414</v>
      </c>
      <c r="G1484" s="2">
        <v>1</v>
      </c>
      <c r="H1484" s="2">
        <v>0</v>
      </c>
      <c r="I1484" s="5">
        <v>41563</v>
      </c>
      <c r="J1484" s="2">
        <v>32</v>
      </c>
    </row>
    <row r="1485" spans="1:10" ht="12.5">
      <c r="A1485" s="2">
        <v>1483</v>
      </c>
      <c r="B1485" s="2">
        <v>5868</v>
      </c>
      <c r="C1485" s="2">
        <v>1980</v>
      </c>
      <c r="D1485" s="3" t="s">
        <v>9</v>
      </c>
      <c r="E1485" s="3" t="s">
        <v>13</v>
      </c>
      <c r="F1485" s="2">
        <v>19107</v>
      </c>
      <c r="G1485" s="2">
        <v>1</v>
      </c>
      <c r="H1485" s="2">
        <v>0</v>
      </c>
      <c r="I1485" s="4">
        <v>41508</v>
      </c>
      <c r="J1485" s="2">
        <v>49</v>
      </c>
    </row>
    <row r="1486" spans="1:10" ht="12.5">
      <c r="A1486" s="2">
        <v>1484</v>
      </c>
      <c r="B1486" s="2">
        <v>8370</v>
      </c>
      <c r="C1486" s="2">
        <v>1976</v>
      </c>
      <c r="D1486" s="3" t="s">
        <v>17</v>
      </c>
      <c r="E1486" s="3" t="s">
        <v>11</v>
      </c>
      <c r="F1486" s="2">
        <v>75484</v>
      </c>
      <c r="G1486" s="2">
        <v>0</v>
      </c>
      <c r="H1486" s="2">
        <v>1</v>
      </c>
      <c r="I1486" s="4">
        <v>41123</v>
      </c>
      <c r="J1486" s="2">
        <v>50</v>
      </c>
    </row>
    <row r="1487" spans="1:10" ht="12.5">
      <c r="A1487" s="2">
        <v>1485</v>
      </c>
      <c r="B1487" s="2">
        <v>9988</v>
      </c>
      <c r="C1487" s="2">
        <v>1976</v>
      </c>
      <c r="D1487" s="3" t="s">
        <v>14</v>
      </c>
      <c r="E1487" s="3" t="s">
        <v>10</v>
      </c>
      <c r="F1487" s="2">
        <v>70379</v>
      </c>
      <c r="G1487" s="2">
        <v>0</v>
      </c>
      <c r="H1487" s="2">
        <v>1</v>
      </c>
      <c r="I1487" s="4">
        <v>41336</v>
      </c>
      <c r="J1487" s="2">
        <v>84</v>
      </c>
    </row>
    <row r="1488" spans="1:10" ht="12.5">
      <c r="A1488" s="2">
        <v>1486</v>
      </c>
      <c r="B1488" s="2">
        <v>2939</v>
      </c>
      <c r="C1488" s="2">
        <v>1970</v>
      </c>
      <c r="D1488" s="3" t="s">
        <v>14</v>
      </c>
      <c r="E1488" s="3" t="s">
        <v>11</v>
      </c>
      <c r="F1488" s="2">
        <v>79419</v>
      </c>
      <c r="G1488" s="2">
        <v>0</v>
      </c>
      <c r="H1488" s="2">
        <v>0</v>
      </c>
      <c r="I1488" s="4">
        <v>41812</v>
      </c>
      <c r="J1488" s="2">
        <v>96</v>
      </c>
    </row>
    <row r="1489" spans="1:10" ht="12.5">
      <c r="A1489" s="2">
        <v>1487</v>
      </c>
      <c r="B1489" s="2">
        <v>5529</v>
      </c>
      <c r="C1489" s="2">
        <v>1946</v>
      </c>
      <c r="D1489" s="3" t="s">
        <v>12</v>
      </c>
      <c r="E1489" s="3" t="s">
        <v>11</v>
      </c>
      <c r="F1489" s="2">
        <v>64014</v>
      </c>
      <c r="G1489" s="2">
        <v>2</v>
      </c>
      <c r="H1489" s="2">
        <v>1</v>
      </c>
      <c r="I1489" s="4">
        <v>41800</v>
      </c>
      <c r="J1489" s="2">
        <v>56</v>
      </c>
    </row>
    <row r="1490" spans="1:10" ht="12.5">
      <c r="A1490" s="2">
        <v>1488</v>
      </c>
      <c r="B1490" s="2">
        <v>9743</v>
      </c>
      <c r="C1490" s="2">
        <v>1955</v>
      </c>
      <c r="D1490" s="3" t="s">
        <v>9</v>
      </c>
      <c r="E1490" s="3" t="s">
        <v>13</v>
      </c>
      <c r="F1490" s="2">
        <v>76998</v>
      </c>
      <c r="G1490" s="2">
        <v>0</v>
      </c>
      <c r="H1490" s="2">
        <v>1</v>
      </c>
      <c r="I1490" s="4">
        <v>41285</v>
      </c>
      <c r="J1490" s="2">
        <v>85</v>
      </c>
    </row>
    <row r="1491" spans="1:10" ht="12.5">
      <c r="A1491" s="2">
        <v>1489</v>
      </c>
      <c r="B1491" s="2">
        <v>5763</v>
      </c>
      <c r="C1491" s="2">
        <v>1972</v>
      </c>
      <c r="D1491" s="3" t="s">
        <v>14</v>
      </c>
      <c r="E1491" s="3" t="s">
        <v>11</v>
      </c>
      <c r="F1491" s="2">
        <v>49854</v>
      </c>
      <c r="G1491" s="2">
        <v>1</v>
      </c>
      <c r="H1491" s="2">
        <v>0</v>
      </c>
      <c r="I1491" s="5">
        <v>41588</v>
      </c>
      <c r="J1491" s="2">
        <v>63</v>
      </c>
    </row>
    <row r="1492" spans="1:10" ht="12.5">
      <c r="A1492" s="2">
        <v>1490</v>
      </c>
      <c r="B1492" s="2">
        <v>3478</v>
      </c>
      <c r="C1492" s="2">
        <v>1971</v>
      </c>
      <c r="D1492" s="3" t="s">
        <v>12</v>
      </c>
      <c r="E1492" s="3" t="s">
        <v>13</v>
      </c>
      <c r="F1492" s="2">
        <v>60585</v>
      </c>
      <c r="G1492" s="2">
        <v>1</v>
      </c>
      <c r="H1492" s="2">
        <v>1</v>
      </c>
      <c r="I1492" s="4">
        <v>41449</v>
      </c>
      <c r="J1492" s="2">
        <v>17</v>
      </c>
    </row>
    <row r="1493" spans="1:10" ht="12.5">
      <c r="A1493" s="2">
        <v>1491</v>
      </c>
      <c r="B1493" s="2">
        <v>7494</v>
      </c>
      <c r="C1493" s="2">
        <v>1950</v>
      </c>
      <c r="D1493" s="3" t="s">
        <v>12</v>
      </c>
      <c r="E1493" s="3" t="s">
        <v>15</v>
      </c>
      <c r="F1493" s="2">
        <v>42873</v>
      </c>
      <c r="G1493" s="2">
        <v>1</v>
      </c>
      <c r="H1493" s="2">
        <v>1</v>
      </c>
      <c r="I1493" s="4">
        <v>41295</v>
      </c>
      <c r="J1493" s="2">
        <v>11</v>
      </c>
    </row>
    <row r="1494" spans="1:10" ht="12.5">
      <c r="A1494" s="2">
        <v>1492</v>
      </c>
      <c r="B1494" s="2">
        <v>1763</v>
      </c>
      <c r="C1494" s="2">
        <v>1988</v>
      </c>
      <c r="D1494" s="3" t="s">
        <v>9</v>
      </c>
      <c r="E1494" s="3" t="s">
        <v>11</v>
      </c>
      <c r="F1494" s="2">
        <v>87679</v>
      </c>
      <c r="G1494" s="2">
        <v>0</v>
      </c>
      <c r="H1494" s="2">
        <v>0</v>
      </c>
      <c r="I1494" s="4">
        <v>41482</v>
      </c>
      <c r="J1494" s="2">
        <v>62</v>
      </c>
    </row>
    <row r="1495" spans="1:10" ht="12.5">
      <c r="A1495" s="2">
        <v>1493</v>
      </c>
      <c r="B1495" s="2">
        <v>7250</v>
      </c>
      <c r="C1495" s="2">
        <v>1978</v>
      </c>
      <c r="D1495" s="3" t="s">
        <v>9</v>
      </c>
      <c r="E1495" s="3" t="s">
        <v>11</v>
      </c>
      <c r="F1495" s="2">
        <v>57867</v>
      </c>
      <c r="G1495" s="2">
        <v>1</v>
      </c>
      <c r="H1495" s="2">
        <v>0</v>
      </c>
      <c r="I1495" s="4">
        <v>41548</v>
      </c>
      <c r="J1495" s="2">
        <v>48</v>
      </c>
    </row>
    <row r="1496" spans="1:10" ht="12.5">
      <c r="A1496" s="2">
        <v>1494</v>
      </c>
      <c r="B1496" s="2">
        <v>2005</v>
      </c>
      <c r="C1496" s="2">
        <v>1990</v>
      </c>
      <c r="D1496" s="3" t="s">
        <v>9</v>
      </c>
      <c r="E1496" s="3" t="s">
        <v>13</v>
      </c>
      <c r="F1496" s="2">
        <v>35765</v>
      </c>
      <c r="G1496" s="2">
        <v>1</v>
      </c>
      <c r="H1496" s="2">
        <v>0</v>
      </c>
      <c r="I1496" s="5">
        <v>41619</v>
      </c>
      <c r="J1496" s="2">
        <v>86</v>
      </c>
    </row>
    <row r="1497" spans="1:10" ht="12.5">
      <c r="A1497" s="2">
        <v>1495</v>
      </c>
      <c r="B1497" s="2">
        <v>10770</v>
      </c>
      <c r="C1497" s="2">
        <v>1959</v>
      </c>
      <c r="D1497" s="3" t="s">
        <v>9</v>
      </c>
      <c r="E1497" s="3" t="s">
        <v>13</v>
      </c>
      <c r="F1497" s="2">
        <v>65492</v>
      </c>
      <c r="G1497" s="2">
        <v>0</v>
      </c>
      <c r="H1497" s="2">
        <v>0</v>
      </c>
      <c r="I1497" s="4">
        <v>41665</v>
      </c>
      <c r="J1497" s="2">
        <v>73</v>
      </c>
    </row>
    <row r="1498" spans="1:10" ht="12.5">
      <c r="A1498" s="2">
        <v>1496</v>
      </c>
      <c r="B1498" s="2">
        <v>6885</v>
      </c>
      <c r="C1498" s="2">
        <v>1977</v>
      </c>
      <c r="D1498" s="3" t="s">
        <v>9</v>
      </c>
      <c r="E1498" s="3" t="s">
        <v>15</v>
      </c>
      <c r="F1498" s="2">
        <v>32952</v>
      </c>
      <c r="G1498" s="2">
        <v>1</v>
      </c>
      <c r="H1498" s="2">
        <v>0</v>
      </c>
      <c r="I1498" s="4">
        <v>41609</v>
      </c>
      <c r="J1498" s="2">
        <v>36</v>
      </c>
    </row>
    <row r="1499" spans="1:10" ht="12.5">
      <c r="A1499" s="2">
        <v>1497</v>
      </c>
      <c r="B1499" s="2">
        <v>2072</v>
      </c>
      <c r="C1499" s="2">
        <v>1969</v>
      </c>
      <c r="D1499" s="3" t="s">
        <v>12</v>
      </c>
      <c r="E1499" s="3" t="s">
        <v>11</v>
      </c>
      <c r="F1499" s="2">
        <v>53374</v>
      </c>
      <c r="G1499" s="2">
        <v>0</v>
      </c>
      <c r="H1499" s="2">
        <v>1</v>
      </c>
      <c r="I1499" s="4">
        <v>41137</v>
      </c>
      <c r="J1499" s="2">
        <v>34</v>
      </c>
    </row>
    <row r="1500" spans="1:10" ht="12.5">
      <c r="A1500" s="2">
        <v>1498</v>
      </c>
      <c r="B1500" s="2">
        <v>9463</v>
      </c>
      <c r="C1500" s="2">
        <v>1959</v>
      </c>
      <c r="D1500" s="3" t="s">
        <v>9</v>
      </c>
      <c r="E1500" s="3" t="s">
        <v>11</v>
      </c>
      <c r="F1500" s="2">
        <v>71706</v>
      </c>
      <c r="G1500" s="2">
        <v>0</v>
      </c>
      <c r="H1500" s="2">
        <v>1</v>
      </c>
      <c r="I1500" s="5">
        <v>41226</v>
      </c>
      <c r="J1500" s="2">
        <v>16</v>
      </c>
    </row>
    <row r="1501" spans="1:10" ht="12.5">
      <c r="A1501" s="2">
        <v>1499</v>
      </c>
      <c r="B1501" s="2">
        <v>6318</v>
      </c>
      <c r="C1501" s="2">
        <v>1988</v>
      </c>
      <c r="D1501" s="3" t="s">
        <v>9</v>
      </c>
      <c r="E1501" s="3" t="s">
        <v>13</v>
      </c>
      <c r="F1501" s="2">
        <v>68487</v>
      </c>
      <c r="G1501" s="2">
        <v>0</v>
      </c>
      <c r="H1501" s="2">
        <v>0</v>
      </c>
      <c r="I1501" s="4">
        <v>41287</v>
      </c>
      <c r="J1501" s="2">
        <v>48</v>
      </c>
    </row>
    <row r="1502" spans="1:10" ht="12.5">
      <c r="A1502" s="2">
        <v>1500</v>
      </c>
      <c r="B1502" s="2">
        <v>4093</v>
      </c>
      <c r="C1502" s="2">
        <v>1975</v>
      </c>
      <c r="D1502" s="3" t="s">
        <v>14</v>
      </c>
      <c r="E1502" s="3" t="s">
        <v>11</v>
      </c>
      <c r="F1502" s="2">
        <v>53253</v>
      </c>
      <c r="G1502" s="2">
        <v>1</v>
      </c>
      <c r="H1502" s="2">
        <v>1</v>
      </c>
      <c r="I1502" s="4">
        <v>41316</v>
      </c>
      <c r="J1502" s="2">
        <v>61</v>
      </c>
    </row>
    <row r="1503" spans="1:10" ht="12.5">
      <c r="A1503" s="2">
        <v>1501</v>
      </c>
      <c r="B1503" s="2">
        <v>5751</v>
      </c>
      <c r="C1503" s="2">
        <v>1973</v>
      </c>
      <c r="D1503" s="3" t="s">
        <v>17</v>
      </c>
      <c r="E1503" s="3" t="s">
        <v>15</v>
      </c>
      <c r="F1503" s="2">
        <v>31163</v>
      </c>
      <c r="G1503" s="2">
        <v>1</v>
      </c>
      <c r="H1503" s="2">
        <v>0</v>
      </c>
      <c r="I1503" s="4">
        <v>41683</v>
      </c>
      <c r="J1503" s="2">
        <v>54</v>
      </c>
    </row>
    <row r="1504" spans="1:10" ht="12.5">
      <c r="A1504" s="2">
        <v>1502</v>
      </c>
      <c r="B1504" s="2">
        <v>3340</v>
      </c>
      <c r="C1504" s="2">
        <v>1977</v>
      </c>
      <c r="D1504" s="3" t="s">
        <v>9</v>
      </c>
      <c r="E1504" s="3" t="s">
        <v>13</v>
      </c>
      <c r="F1504" s="2">
        <v>42014</v>
      </c>
      <c r="G1504" s="2">
        <v>1</v>
      </c>
      <c r="H1504" s="2">
        <v>0</v>
      </c>
      <c r="I1504" s="4">
        <v>41138</v>
      </c>
      <c r="J1504" s="2">
        <v>56</v>
      </c>
    </row>
    <row r="1505" spans="1:10" ht="12.5">
      <c r="A1505" s="2">
        <v>1503</v>
      </c>
      <c r="B1505" s="2">
        <v>3594</v>
      </c>
      <c r="C1505" s="2">
        <v>1973</v>
      </c>
      <c r="D1505" s="3" t="s">
        <v>14</v>
      </c>
      <c r="E1505" s="3" t="s">
        <v>13</v>
      </c>
      <c r="F1505" s="2">
        <v>54108</v>
      </c>
      <c r="G1505" s="2">
        <v>1</v>
      </c>
      <c r="H1505" s="2">
        <v>1</v>
      </c>
      <c r="I1505" s="4">
        <v>41218</v>
      </c>
      <c r="J1505" s="2">
        <v>74</v>
      </c>
    </row>
    <row r="1506" spans="1:10" ht="12.5">
      <c r="A1506" s="2">
        <v>1504</v>
      </c>
      <c r="B1506" s="2">
        <v>3584</v>
      </c>
      <c r="C1506" s="2">
        <v>1955</v>
      </c>
      <c r="D1506" s="3" t="s">
        <v>12</v>
      </c>
      <c r="E1506" s="3" t="s">
        <v>10</v>
      </c>
      <c r="F1506" s="2">
        <v>49667</v>
      </c>
      <c r="G1506" s="2">
        <v>0</v>
      </c>
      <c r="H1506" s="2">
        <v>0</v>
      </c>
      <c r="I1506" s="4">
        <v>41141</v>
      </c>
      <c r="J1506" s="2">
        <v>35</v>
      </c>
    </row>
    <row r="1507" spans="1:10" ht="12.5">
      <c r="A1507" s="2">
        <v>1505</v>
      </c>
      <c r="B1507" s="2">
        <v>3643</v>
      </c>
      <c r="C1507" s="2">
        <v>1974</v>
      </c>
      <c r="D1507" s="3" t="s">
        <v>14</v>
      </c>
      <c r="E1507" s="3" t="s">
        <v>13</v>
      </c>
      <c r="F1507" s="2">
        <v>63206</v>
      </c>
      <c r="G1507" s="2">
        <v>0</v>
      </c>
      <c r="H1507" s="2">
        <v>0</v>
      </c>
      <c r="I1507" s="4">
        <v>41718</v>
      </c>
      <c r="J1507" s="2">
        <v>65</v>
      </c>
    </row>
    <row r="1508" spans="1:10" ht="12.5">
      <c r="A1508" s="2">
        <v>1506</v>
      </c>
      <c r="B1508" s="2">
        <v>851</v>
      </c>
      <c r="C1508" s="2">
        <v>1972</v>
      </c>
      <c r="D1508" s="3" t="s">
        <v>14</v>
      </c>
      <c r="E1508" s="3" t="s">
        <v>13</v>
      </c>
      <c r="F1508" s="2">
        <v>57136</v>
      </c>
      <c r="G1508" s="2">
        <v>1</v>
      </c>
      <c r="H1508" s="2">
        <v>1</v>
      </c>
      <c r="I1508" s="4">
        <v>41464</v>
      </c>
      <c r="J1508" s="2">
        <v>48</v>
      </c>
    </row>
    <row r="1509" spans="1:10" ht="12.5">
      <c r="A1509" s="2">
        <v>1507</v>
      </c>
      <c r="B1509" s="2">
        <v>7706</v>
      </c>
      <c r="C1509" s="2">
        <v>1975</v>
      </c>
      <c r="D1509" s="3" t="s">
        <v>17</v>
      </c>
      <c r="E1509" s="3" t="s">
        <v>11</v>
      </c>
      <c r="F1509" s="2">
        <v>46772</v>
      </c>
      <c r="G1509" s="2">
        <v>0</v>
      </c>
      <c r="H1509" s="2">
        <v>1</v>
      </c>
      <c r="I1509" s="4">
        <v>41220</v>
      </c>
      <c r="J1509" s="2">
        <v>88</v>
      </c>
    </row>
    <row r="1510" spans="1:10" ht="12.5">
      <c r="A1510" s="2">
        <v>1508</v>
      </c>
      <c r="B1510" s="2">
        <v>3967</v>
      </c>
      <c r="C1510" s="2">
        <v>1971</v>
      </c>
      <c r="D1510" s="3" t="s">
        <v>12</v>
      </c>
      <c r="E1510" s="3" t="s">
        <v>13</v>
      </c>
      <c r="F1510" s="2">
        <v>78931</v>
      </c>
      <c r="G1510" s="2">
        <v>0</v>
      </c>
      <c r="H1510" s="2">
        <v>0</v>
      </c>
      <c r="I1510" s="5">
        <v>41572</v>
      </c>
      <c r="J1510" s="2">
        <v>19</v>
      </c>
    </row>
    <row r="1511" spans="1:10" ht="12.5">
      <c r="A1511" s="2">
        <v>1509</v>
      </c>
      <c r="B1511" s="2">
        <v>10128</v>
      </c>
      <c r="C1511" s="2">
        <v>1958</v>
      </c>
      <c r="D1511" s="3" t="s">
        <v>9</v>
      </c>
      <c r="E1511" s="3" t="s">
        <v>11</v>
      </c>
      <c r="F1511" s="2">
        <v>53977</v>
      </c>
      <c r="G1511" s="2">
        <v>0</v>
      </c>
      <c r="H1511" s="2">
        <v>1</v>
      </c>
      <c r="I1511" s="4">
        <v>41433</v>
      </c>
      <c r="J1511" s="2">
        <v>21</v>
      </c>
    </row>
    <row r="1512" spans="1:10" ht="12.5">
      <c r="A1512" s="2">
        <v>1510</v>
      </c>
      <c r="B1512" s="2">
        <v>486</v>
      </c>
      <c r="C1512" s="2">
        <v>1988</v>
      </c>
      <c r="D1512" s="3" t="s">
        <v>9</v>
      </c>
      <c r="E1512" s="3" t="s">
        <v>13</v>
      </c>
      <c r="F1512" s="2">
        <v>84219</v>
      </c>
      <c r="G1512" s="2">
        <v>0</v>
      </c>
      <c r="H1512" s="2">
        <v>0</v>
      </c>
      <c r="I1512" s="4">
        <v>41672</v>
      </c>
      <c r="J1512" s="2">
        <v>27</v>
      </c>
    </row>
    <row r="1513" spans="1:10" ht="12.5">
      <c r="A1513" s="2">
        <v>1511</v>
      </c>
      <c r="B1513" s="2">
        <v>9</v>
      </c>
      <c r="C1513" s="2">
        <v>1975</v>
      </c>
      <c r="D1513" s="3" t="s">
        <v>14</v>
      </c>
      <c r="E1513" s="3" t="s">
        <v>10</v>
      </c>
      <c r="F1513" s="2">
        <v>46098</v>
      </c>
      <c r="G1513" s="2">
        <v>1</v>
      </c>
      <c r="H1513" s="2">
        <v>1</v>
      </c>
      <c r="I1513" s="4">
        <v>41139</v>
      </c>
      <c r="J1513" s="2">
        <v>86</v>
      </c>
    </row>
    <row r="1514" spans="1:10" ht="12.5">
      <c r="A1514" s="2">
        <v>1512</v>
      </c>
      <c r="B1514" s="2">
        <v>9451</v>
      </c>
      <c r="C1514" s="2">
        <v>1965</v>
      </c>
      <c r="D1514" s="3" t="s">
        <v>9</v>
      </c>
      <c r="E1514" s="3" t="s">
        <v>13</v>
      </c>
      <c r="F1514" s="2">
        <v>73538</v>
      </c>
      <c r="G1514" s="2">
        <v>0</v>
      </c>
      <c r="H1514" s="2">
        <v>1</v>
      </c>
      <c r="I1514" s="5">
        <v>41238</v>
      </c>
      <c r="J1514" s="2">
        <v>92</v>
      </c>
    </row>
    <row r="1515" spans="1:10" ht="12.5">
      <c r="A1515" s="2">
        <v>1513</v>
      </c>
      <c r="B1515" s="2">
        <v>9264</v>
      </c>
      <c r="C1515" s="2">
        <v>1986</v>
      </c>
      <c r="D1515" s="3" t="s">
        <v>9</v>
      </c>
      <c r="E1515" s="3" t="s">
        <v>13</v>
      </c>
      <c r="F1515" s="2">
        <v>79529</v>
      </c>
      <c r="G1515" s="2">
        <v>0</v>
      </c>
      <c r="H1515" s="2">
        <v>0</v>
      </c>
      <c r="I1515" s="4">
        <v>41756</v>
      </c>
      <c r="J1515" s="2">
        <v>1</v>
      </c>
    </row>
    <row r="1516" spans="1:10" ht="12.5">
      <c r="A1516" s="2">
        <v>1514</v>
      </c>
      <c r="B1516" s="2">
        <v>3865</v>
      </c>
      <c r="C1516" s="2">
        <v>1977</v>
      </c>
      <c r="D1516" s="3" t="s">
        <v>17</v>
      </c>
      <c r="E1516" s="3" t="s">
        <v>11</v>
      </c>
      <c r="F1516" s="2">
        <v>20981</v>
      </c>
      <c r="G1516" s="2">
        <v>0</v>
      </c>
      <c r="H1516" s="2">
        <v>0</v>
      </c>
      <c r="I1516" s="4">
        <v>41394</v>
      </c>
      <c r="J1516" s="2">
        <v>14</v>
      </c>
    </row>
    <row r="1517" spans="1:10" ht="12.5">
      <c r="A1517" s="2">
        <v>1515</v>
      </c>
      <c r="B1517" s="2">
        <v>2853</v>
      </c>
      <c r="C1517" s="2">
        <v>1980</v>
      </c>
      <c r="D1517" s="3" t="s">
        <v>9</v>
      </c>
      <c r="E1517" s="3" t="s">
        <v>10</v>
      </c>
      <c r="F1517" s="2">
        <v>51766</v>
      </c>
      <c r="G1517" s="2">
        <v>1</v>
      </c>
      <c r="H1517" s="2">
        <v>0</v>
      </c>
      <c r="I1517" s="4">
        <v>41709</v>
      </c>
      <c r="J1517" s="2">
        <v>74</v>
      </c>
    </row>
    <row r="1518" spans="1:10" ht="12.5">
      <c r="A1518" s="2">
        <v>1516</v>
      </c>
      <c r="B1518" s="2">
        <v>1490</v>
      </c>
      <c r="C1518" s="2">
        <v>1962</v>
      </c>
      <c r="D1518" s="3" t="s">
        <v>9</v>
      </c>
      <c r="E1518" s="3" t="s">
        <v>13</v>
      </c>
      <c r="F1518" s="2">
        <v>55759</v>
      </c>
      <c r="G1518" s="2">
        <v>0</v>
      </c>
      <c r="H1518" s="2">
        <v>1</v>
      </c>
      <c r="I1518" s="5">
        <v>41241</v>
      </c>
      <c r="J1518" s="2">
        <v>84</v>
      </c>
    </row>
    <row r="1519" spans="1:10" ht="12.5">
      <c r="A1519" s="2">
        <v>1517</v>
      </c>
      <c r="B1519" s="2">
        <v>6310</v>
      </c>
      <c r="C1519" s="2">
        <v>1978</v>
      </c>
      <c r="D1519" s="3" t="s">
        <v>9</v>
      </c>
      <c r="E1519" s="3" t="s">
        <v>13</v>
      </c>
      <c r="F1519" s="2">
        <v>33039</v>
      </c>
      <c r="G1519" s="2">
        <v>1</v>
      </c>
      <c r="H1519" s="2">
        <v>0</v>
      </c>
      <c r="I1519" s="4">
        <v>41526</v>
      </c>
      <c r="J1519" s="2">
        <v>4</v>
      </c>
    </row>
    <row r="1520" spans="1:10" ht="12.5">
      <c r="A1520" s="2">
        <v>1518</v>
      </c>
      <c r="B1520" s="2">
        <v>10380</v>
      </c>
      <c r="C1520" s="2">
        <v>1972</v>
      </c>
      <c r="D1520" s="3" t="s">
        <v>14</v>
      </c>
      <c r="E1520" s="3" t="s">
        <v>13</v>
      </c>
      <c r="F1520" s="2">
        <v>37787</v>
      </c>
      <c r="G1520" s="2">
        <v>1</v>
      </c>
      <c r="H1520" s="2">
        <v>0</v>
      </c>
      <c r="I1520" s="4">
        <v>41537</v>
      </c>
      <c r="J1520" s="2">
        <v>50</v>
      </c>
    </row>
    <row r="1521" spans="1:10" ht="12.5">
      <c r="A1521" s="2">
        <v>1519</v>
      </c>
      <c r="B1521" s="2">
        <v>3887</v>
      </c>
      <c r="C1521" s="2">
        <v>1970</v>
      </c>
      <c r="D1521" s="3" t="s">
        <v>9</v>
      </c>
      <c r="E1521" s="3" t="s">
        <v>10</v>
      </c>
      <c r="F1521" s="2">
        <v>27242</v>
      </c>
      <c r="G1521" s="2">
        <v>1</v>
      </c>
      <c r="H1521" s="2">
        <v>0</v>
      </c>
      <c r="I1521" s="5">
        <v>41224</v>
      </c>
      <c r="J1521" s="2">
        <v>2</v>
      </c>
    </row>
    <row r="1522" spans="1:10" ht="12.5">
      <c r="A1522" s="2">
        <v>1520</v>
      </c>
      <c r="B1522" s="2">
        <v>4278</v>
      </c>
      <c r="C1522" s="2">
        <v>1983</v>
      </c>
      <c r="D1522" s="3" t="s">
        <v>12</v>
      </c>
      <c r="E1522" s="3" t="s">
        <v>10</v>
      </c>
      <c r="F1522" s="2">
        <v>87188</v>
      </c>
      <c r="G1522" s="2">
        <v>0</v>
      </c>
      <c r="H1522" s="2">
        <v>0</v>
      </c>
      <c r="I1522" s="4">
        <v>41428</v>
      </c>
      <c r="J1522" s="2">
        <v>73</v>
      </c>
    </row>
    <row r="1523" spans="1:10" ht="12.5">
      <c r="A1523" s="2">
        <v>1521</v>
      </c>
      <c r="B1523" s="2">
        <v>8643</v>
      </c>
      <c r="C1523" s="2">
        <v>1971</v>
      </c>
      <c r="D1523" s="3" t="s">
        <v>9</v>
      </c>
      <c r="E1523" s="3" t="s">
        <v>11</v>
      </c>
      <c r="F1523" s="2">
        <v>69930</v>
      </c>
      <c r="G1523" s="2">
        <v>0</v>
      </c>
      <c r="H1523" s="2">
        <v>0</v>
      </c>
      <c r="I1523" s="4">
        <v>41420</v>
      </c>
      <c r="J1523" s="2">
        <v>21</v>
      </c>
    </row>
    <row r="1524" spans="1:10" ht="12.5">
      <c r="A1524" s="2">
        <v>1522</v>
      </c>
      <c r="B1524" s="2">
        <v>1998</v>
      </c>
      <c r="C1524" s="2">
        <v>1976</v>
      </c>
      <c r="D1524" s="3" t="s">
        <v>9</v>
      </c>
      <c r="E1524" s="3" t="s">
        <v>10</v>
      </c>
      <c r="F1524" s="2">
        <v>37697</v>
      </c>
      <c r="G1524" s="2">
        <v>1</v>
      </c>
      <c r="H1524" s="2">
        <v>0</v>
      </c>
      <c r="I1524" s="4">
        <v>41677</v>
      </c>
      <c r="J1524" s="2">
        <v>82</v>
      </c>
    </row>
    <row r="1525" spans="1:10" ht="12.5">
      <c r="A1525" s="2">
        <v>1523</v>
      </c>
      <c r="B1525" s="2">
        <v>10795</v>
      </c>
      <c r="C1525" s="2">
        <v>1973</v>
      </c>
      <c r="D1525" s="3" t="s">
        <v>12</v>
      </c>
      <c r="E1525" s="3" t="s">
        <v>13</v>
      </c>
      <c r="F1525" s="2">
        <v>37401</v>
      </c>
      <c r="G1525" s="2">
        <v>1</v>
      </c>
      <c r="H1525" s="2">
        <v>0</v>
      </c>
      <c r="I1525" s="4">
        <v>41765</v>
      </c>
      <c r="J1525" s="2">
        <v>14</v>
      </c>
    </row>
    <row r="1526" spans="1:10" ht="12.5">
      <c r="A1526" s="2">
        <v>1524</v>
      </c>
      <c r="B1526" s="2">
        <v>11110</v>
      </c>
      <c r="C1526" s="2">
        <v>1973</v>
      </c>
      <c r="D1526" s="3" t="s">
        <v>9</v>
      </c>
      <c r="E1526" s="3" t="s">
        <v>10</v>
      </c>
      <c r="F1526" s="2">
        <v>3502</v>
      </c>
      <c r="G1526" s="2">
        <v>1</v>
      </c>
      <c r="H1526" s="2">
        <v>0</v>
      </c>
      <c r="I1526" s="4">
        <v>41377</v>
      </c>
      <c r="J1526" s="2">
        <v>56</v>
      </c>
    </row>
    <row r="1527" spans="1:10" ht="12.5">
      <c r="A1527" s="2">
        <v>1525</v>
      </c>
      <c r="B1527" s="2">
        <v>2408</v>
      </c>
      <c r="C1527" s="2">
        <v>1976</v>
      </c>
      <c r="D1527" s="3" t="s">
        <v>9</v>
      </c>
      <c r="E1527" s="3" t="s">
        <v>13</v>
      </c>
      <c r="F1527" s="2">
        <v>58597</v>
      </c>
      <c r="G1527" s="2">
        <v>1</v>
      </c>
      <c r="H1527" s="2">
        <v>1</v>
      </c>
      <c r="I1527" s="5">
        <v>41233</v>
      </c>
      <c r="J1527" s="2">
        <v>20</v>
      </c>
    </row>
    <row r="1528" spans="1:10" ht="12.5">
      <c r="A1528" s="2">
        <v>1526</v>
      </c>
      <c r="B1528" s="2">
        <v>202</v>
      </c>
      <c r="C1528" s="2">
        <v>1948</v>
      </c>
      <c r="D1528" s="3" t="s">
        <v>12</v>
      </c>
      <c r="E1528" s="3" t="s">
        <v>18</v>
      </c>
      <c r="F1528" s="2">
        <v>82032</v>
      </c>
      <c r="G1528" s="2">
        <v>0</v>
      </c>
      <c r="H1528" s="2">
        <v>0</v>
      </c>
      <c r="I1528" s="4">
        <v>41734</v>
      </c>
      <c r="J1528" s="2">
        <v>54</v>
      </c>
    </row>
    <row r="1529" spans="1:10" ht="12.5">
      <c r="A1529" s="2">
        <v>1527</v>
      </c>
      <c r="B1529" s="2">
        <v>7998</v>
      </c>
      <c r="C1529" s="2">
        <v>1958</v>
      </c>
      <c r="D1529" s="3" t="s">
        <v>9</v>
      </c>
      <c r="E1529" s="3" t="s">
        <v>11</v>
      </c>
      <c r="F1529" s="2">
        <v>28087</v>
      </c>
      <c r="G1529" s="2">
        <v>1</v>
      </c>
      <c r="H1529" s="2">
        <v>1</v>
      </c>
      <c r="I1529" s="5">
        <v>41254</v>
      </c>
      <c r="J1529" s="2">
        <v>77</v>
      </c>
    </row>
    <row r="1530" spans="1:10" ht="12.5">
      <c r="A1530" s="2">
        <v>1528</v>
      </c>
      <c r="B1530" s="2">
        <v>830</v>
      </c>
      <c r="C1530" s="2">
        <v>1987</v>
      </c>
      <c r="D1530" s="3" t="s">
        <v>12</v>
      </c>
      <c r="E1530" s="3" t="s">
        <v>10</v>
      </c>
      <c r="F1530" s="2">
        <v>74004</v>
      </c>
      <c r="G1530" s="2">
        <v>0</v>
      </c>
      <c r="H1530" s="2">
        <v>0</v>
      </c>
      <c r="I1530" s="4">
        <v>41694</v>
      </c>
      <c r="J1530" s="2">
        <v>5</v>
      </c>
    </row>
    <row r="1531" spans="1:10" ht="12.5">
      <c r="A1531" s="2">
        <v>1529</v>
      </c>
      <c r="B1531" s="2">
        <v>3536</v>
      </c>
      <c r="C1531" s="2">
        <v>1960</v>
      </c>
      <c r="D1531" s="3" t="s">
        <v>9</v>
      </c>
      <c r="E1531" s="3" t="s">
        <v>11</v>
      </c>
      <c r="F1531" s="2">
        <v>19740</v>
      </c>
      <c r="G1531" s="2">
        <v>0</v>
      </c>
      <c r="H1531" s="2">
        <v>1</v>
      </c>
      <c r="I1531" s="4">
        <v>41357</v>
      </c>
      <c r="J1531" s="2">
        <v>65</v>
      </c>
    </row>
    <row r="1532" spans="1:10" ht="12.5">
      <c r="A1532" s="2">
        <v>1530</v>
      </c>
      <c r="B1532" s="2">
        <v>6050</v>
      </c>
      <c r="C1532" s="2">
        <v>1975</v>
      </c>
      <c r="D1532" s="3" t="s">
        <v>17</v>
      </c>
      <c r="E1532" s="3" t="s">
        <v>13</v>
      </c>
      <c r="F1532" s="2">
        <v>57036</v>
      </c>
      <c r="G1532" s="2">
        <v>0</v>
      </c>
      <c r="H1532" s="2">
        <v>1</v>
      </c>
      <c r="I1532" s="5">
        <v>41254</v>
      </c>
      <c r="J1532" s="2">
        <v>33</v>
      </c>
    </row>
    <row r="1533" spans="1:10" ht="12.5">
      <c r="A1533" s="2">
        <v>1531</v>
      </c>
      <c r="B1533" s="2">
        <v>125</v>
      </c>
      <c r="C1533" s="2">
        <v>1958</v>
      </c>
      <c r="D1533" s="3" t="s">
        <v>17</v>
      </c>
      <c r="E1533" s="3" t="s">
        <v>11</v>
      </c>
      <c r="F1533" s="2">
        <v>53083</v>
      </c>
      <c r="G1533" s="2">
        <v>1</v>
      </c>
      <c r="H1533" s="2">
        <v>1</v>
      </c>
      <c r="I1533" s="4">
        <v>41409</v>
      </c>
      <c r="J1533" s="2">
        <v>65</v>
      </c>
    </row>
    <row r="1534" spans="1:10" ht="12.5">
      <c r="A1534" s="2">
        <v>1532</v>
      </c>
      <c r="B1534" s="2">
        <v>3463</v>
      </c>
      <c r="C1534" s="2">
        <v>1975</v>
      </c>
      <c r="D1534" s="3" t="s">
        <v>12</v>
      </c>
      <c r="E1534" s="3" t="s">
        <v>13</v>
      </c>
      <c r="F1534" s="2">
        <v>69283</v>
      </c>
      <c r="G1534" s="2">
        <v>0</v>
      </c>
      <c r="H1534" s="2">
        <v>1</v>
      </c>
      <c r="I1534" s="4">
        <v>41804</v>
      </c>
      <c r="J1534" s="2">
        <v>41</v>
      </c>
    </row>
    <row r="1535" spans="1:10" ht="12.5">
      <c r="A1535" s="2">
        <v>1533</v>
      </c>
      <c r="B1535" s="2">
        <v>2804</v>
      </c>
      <c r="C1535" s="2">
        <v>1975</v>
      </c>
      <c r="D1535" s="3" t="s">
        <v>14</v>
      </c>
      <c r="E1535" s="3" t="s">
        <v>10</v>
      </c>
      <c r="F1535" s="2">
        <v>46098</v>
      </c>
      <c r="G1535" s="2">
        <v>1</v>
      </c>
      <c r="H1535" s="2">
        <v>1</v>
      </c>
      <c r="I1535" s="4">
        <v>41139</v>
      </c>
      <c r="J1535" s="2">
        <v>86</v>
      </c>
    </row>
    <row r="1536" spans="1:10" ht="12.5">
      <c r="A1536" s="2">
        <v>1534</v>
      </c>
      <c r="B1536" s="2">
        <v>3745</v>
      </c>
      <c r="C1536" s="2">
        <v>1988</v>
      </c>
      <c r="D1536" s="3" t="s">
        <v>17</v>
      </c>
      <c r="E1536" s="3" t="s">
        <v>13</v>
      </c>
      <c r="F1536" s="2">
        <v>23331</v>
      </c>
      <c r="G1536" s="2">
        <v>1</v>
      </c>
      <c r="H1536" s="2">
        <v>0</v>
      </c>
      <c r="I1536" s="4">
        <v>41156</v>
      </c>
      <c r="J1536" s="2">
        <v>92</v>
      </c>
    </row>
    <row r="1537" spans="1:10" ht="12.5">
      <c r="A1537" s="2">
        <v>1535</v>
      </c>
      <c r="B1537" s="2">
        <v>9771</v>
      </c>
      <c r="C1537" s="2">
        <v>1988</v>
      </c>
      <c r="D1537" s="3" t="s">
        <v>17</v>
      </c>
      <c r="E1537" s="3" t="s">
        <v>10</v>
      </c>
      <c r="F1537" s="2">
        <v>23331</v>
      </c>
      <c r="G1537" s="2">
        <v>1</v>
      </c>
      <c r="H1537" s="2">
        <v>0</v>
      </c>
      <c r="I1537" s="4">
        <v>41187</v>
      </c>
      <c r="J1537" s="2">
        <v>97</v>
      </c>
    </row>
    <row r="1538" spans="1:10" ht="12.5">
      <c r="A1538" s="2">
        <v>1536</v>
      </c>
      <c r="B1538" s="2">
        <v>451</v>
      </c>
      <c r="C1538" s="2">
        <v>1989</v>
      </c>
      <c r="D1538" s="3" t="s">
        <v>9</v>
      </c>
      <c r="E1538" s="3" t="s">
        <v>10</v>
      </c>
      <c r="F1538" s="2">
        <v>9255</v>
      </c>
      <c r="G1538" s="2">
        <v>1</v>
      </c>
      <c r="H1538" s="2">
        <v>0</v>
      </c>
      <c r="I1538" s="5">
        <v>41628</v>
      </c>
      <c r="J1538" s="2">
        <v>91</v>
      </c>
    </row>
    <row r="1539" spans="1:10" ht="12.5">
      <c r="A1539" s="2">
        <v>1537</v>
      </c>
      <c r="B1539" s="2">
        <v>10530</v>
      </c>
      <c r="C1539" s="2">
        <v>1959</v>
      </c>
      <c r="D1539" s="3" t="s">
        <v>12</v>
      </c>
      <c r="E1539" s="3" t="s">
        <v>18</v>
      </c>
      <c r="F1539" s="2">
        <v>67786</v>
      </c>
      <c r="G1539" s="2">
        <v>0</v>
      </c>
      <c r="H1539" s="2">
        <v>0</v>
      </c>
      <c r="I1539" s="4">
        <v>41615</v>
      </c>
      <c r="J1539" s="2">
        <v>0</v>
      </c>
    </row>
    <row r="1540" spans="1:10" ht="12.5">
      <c r="A1540" s="2">
        <v>1538</v>
      </c>
      <c r="B1540" s="2">
        <v>1079</v>
      </c>
      <c r="C1540" s="2">
        <v>1971</v>
      </c>
      <c r="D1540" s="3" t="s">
        <v>12</v>
      </c>
      <c r="E1540" s="3" t="s">
        <v>13</v>
      </c>
      <c r="F1540" s="2">
        <v>71969</v>
      </c>
      <c r="G1540" s="2">
        <v>0</v>
      </c>
      <c r="H1540" s="2">
        <v>1</v>
      </c>
      <c r="I1540" s="5">
        <v>41198</v>
      </c>
      <c r="J1540" s="2">
        <v>59</v>
      </c>
    </row>
    <row r="1541" spans="1:10" ht="12.5">
      <c r="A1541" s="2">
        <v>1539</v>
      </c>
      <c r="B1541" s="2">
        <v>8920</v>
      </c>
      <c r="C1541" s="2">
        <v>1967</v>
      </c>
      <c r="D1541" s="3" t="s">
        <v>14</v>
      </c>
      <c r="E1541" s="3" t="s">
        <v>10</v>
      </c>
      <c r="F1541" s="2">
        <v>59235</v>
      </c>
      <c r="G1541" s="2">
        <v>1</v>
      </c>
      <c r="H1541" s="2">
        <v>0</v>
      </c>
      <c r="I1541" s="4">
        <v>41286</v>
      </c>
      <c r="J1541" s="2">
        <v>4</v>
      </c>
    </row>
    <row r="1542" spans="1:10" ht="12.5">
      <c r="A1542" s="2">
        <v>1540</v>
      </c>
      <c r="B1542" s="2">
        <v>6678</v>
      </c>
      <c r="C1542" s="2">
        <v>1989</v>
      </c>
      <c r="D1542" s="3" t="s">
        <v>9</v>
      </c>
      <c r="E1542" s="3" t="s">
        <v>11</v>
      </c>
      <c r="F1542" s="2">
        <v>31928</v>
      </c>
      <c r="G1542" s="2">
        <v>1</v>
      </c>
      <c r="H1542" s="2">
        <v>0</v>
      </c>
      <c r="I1542" s="4">
        <v>41726</v>
      </c>
      <c r="J1542" s="2">
        <v>5</v>
      </c>
    </row>
    <row r="1543" spans="1:10" ht="12.5">
      <c r="A1543" s="2">
        <v>1541</v>
      </c>
      <c r="B1543" s="2">
        <v>3852</v>
      </c>
      <c r="C1543" s="2">
        <v>1961</v>
      </c>
      <c r="D1543" s="3" t="s">
        <v>14</v>
      </c>
      <c r="E1543" s="3" t="s">
        <v>11</v>
      </c>
      <c r="F1543" s="2">
        <v>74881</v>
      </c>
      <c r="G1543" s="2">
        <v>1</v>
      </c>
      <c r="H1543" s="2">
        <v>1</v>
      </c>
      <c r="I1543" s="4">
        <v>41341</v>
      </c>
      <c r="J1543" s="2">
        <v>48</v>
      </c>
    </row>
    <row r="1544" spans="1:10" ht="12.5">
      <c r="A1544" s="2">
        <v>1542</v>
      </c>
      <c r="B1544" s="2">
        <v>528</v>
      </c>
      <c r="C1544" s="2">
        <v>1978</v>
      </c>
      <c r="D1544" s="3" t="s">
        <v>9</v>
      </c>
      <c r="E1544" s="3" t="s">
        <v>13</v>
      </c>
      <c r="F1544" s="2">
        <v>65819</v>
      </c>
      <c r="G1544" s="2">
        <v>0</v>
      </c>
      <c r="H1544" s="2">
        <v>0</v>
      </c>
      <c r="I1544" s="5">
        <v>41242</v>
      </c>
      <c r="J1544" s="2">
        <v>99</v>
      </c>
    </row>
    <row r="1545" spans="1:10" ht="12.5">
      <c r="A1545" s="2">
        <v>1543</v>
      </c>
      <c r="B1545" s="2">
        <v>73</v>
      </c>
      <c r="C1545" s="2">
        <v>1953</v>
      </c>
      <c r="D1545" s="3" t="s">
        <v>12</v>
      </c>
      <c r="E1545" s="3" t="s">
        <v>10</v>
      </c>
      <c r="F1545" s="2">
        <v>51411</v>
      </c>
      <c r="G1545" s="2">
        <v>1</v>
      </c>
      <c r="H1545" s="2">
        <v>2</v>
      </c>
      <c r="I1545" s="4">
        <v>41420</v>
      </c>
      <c r="J1545" s="2">
        <v>81</v>
      </c>
    </row>
    <row r="1546" spans="1:10" ht="12.5">
      <c r="A1546" s="2">
        <v>1544</v>
      </c>
      <c r="B1546" s="2">
        <v>5589</v>
      </c>
      <c r="C1546" s="2">
        <v>1964</v>
      </c>
      <c r="D1546" s="3" t="s">
        <v>9</v>
      </c>
      <c r="E1546" s="3" t="s">
        <v>15</v>
      </c>
      <c r="F1546" s="2">
        <v>51983</v>
      </c>
      <c r="G1546" s="2">
        <v>0</v>
      </c>
      <c r="H1546" s="2">
        <v>1</v>
      </c>
      <c r="I1546" s="4">
        <v>41152</v>
      </c>
      <c r="J1546" s="2">
        <v>95</v>
      </c>
    </row>
    <row r="1547" spans="1:10" ht="12.5">
      <c r="A1547" s="2">
        <v>1545</v>
      </c>
      <c r="B1547" s="2">
        <v>10212</v>
      </c>
      <c r="C1547" s="2">
        <v>1986</v>
      </c>
      <c r="D1547" s="3" t="s">
        <v>14</v>
      </c>
      <c r="E1547" s="3" t="s">
        <v>11</v>
      </c>
      <c r="F1547" s="2">
        <v>42386</v>
      </c>
      <c r="G1547" s="2">
        <v>1</v>
      </c>
      <c r="H1547" s="2">
        <v>0</v>
      </c>
      <c r="I1547" s="4">
        <v>41287</v>
      </c>
      <c r="J1547" s="2">
        <v>43</v>
      </c>
    </row>
    <row r="1548" spans="1:10" ht="12.5">
      <c r="A1548" s="2">
        <v>1546</v>
      </c>
      <c r="B1548" s="2">
        <v>6365</v>
      </c>
      <c r="C1548" s="2">
        <v>1987</v>
      </c>
      <c r="D1548" s="3" t="s">
        <v>17</v>
      </c>
      <c r="E1548" s="3" t="s">
        <v>13</v>
      </c>
      <c r="F1548" s="2">
        <v>30390</v>
      </c>
      <c r="G1548" s="2">
        <v>0</v>
      </c>
      <c r="H1548" s="2">
        <v>0</v>
      </c>
      <c r="I1548" s="4">
        <v>41519</v>
      </c>
      <c r="J1548" s="2">
        <v>5</v>
      </c>
    </row>
    <row r="1549" spans="1:10" ht="12.5">
      <c r="A1549" s="2">
        <v>1547</v>
      </c>
      <c r="B1549" s="2">
        <v>5636</v>
      </c>
      <c r="C1549" s="2">
        <v>1963</v>
      </c>
      <c r="D1549" s="3" t="s">
        <v>9</v>
      </c>
      <c r="E1549" s="3" t="s">
        <v>10</v>
      </c>
      <c r="F1549" s="2">
        <v>30983</v>
      </c>
      <c r="G1549" s="2">
        <v>0</v>
      </c>
      <c r="H1549" s="2">
        <v>0</v>
      </c>
      <c r="I1549" s="4">
        <v>41222</v>
      </c>
      <c r="J1549" s="2">
        <v>50</v>
      </c>
    </row>
    <row r="1550" spans="1:10" ht="12.5">
      <c r="A1550" s="2">
        <v>1548</v>
      </c>
      <c r="B1550" s="2">
        <v>591</v>
      </c>
      <c r="C1550" s="2">
        <v>1957</v>
      </c>
      <c r="D1550" s="3" t="s">
        <v>9</v>
      </c>
      <c r="E1550" s="3" t="s">
        <v>18</v>
      </c>
      <c r="F1550" s="2">
        <v>66033</v>
      </c>
      <c r="G1550" s="2">
        <v>0</v>
      </c>
      <c r="H1550" s="2">
        <v>1</v>
      </c>
      <c r="I1550" s="4">
        <v>41294</v>
      </c>
      <c r="J1550" s="2">
        <v>76</v>
      </c>
    </row>
    <row r="1551" spans="1:10" ht="12.5">
      <c r="A1551" s="2">
        <v>1549</v>
      </c>
      <c r="B1551" s="2">
        <v>2217</v>
      </c>
      <c r="C1551" s="2">
        <v>1975</v>
      </c>
      <c r="D1551" s="3" t="s">
        <v>17</v>
      </c>
      <c r="E1551" s="3" t="s">
        <v>13</v>
      </c>
      <c r="F1551" s="2">
        <v>37284</v>
      </c>
      <c r="G1551" s="2">
        <v>1</v>
      </c>
      <c r="H1551" s="2">
        <v>1</v>
      </c>
      <c r="I1551" s="4">
        <v>41362</v>
      </c>
      <c r="J1551" s="2">
        <v>46</v>
      </c>
    </row>
    <row r="1552" spans="1:10" ht="12.5">
      <c r="A1552" s="2">
        <v>1550</v>
      </c>
      <c r="B1552" s="2">
        <v>2544</v>
      </c>
      <c r="C1552" s="2">
        <v>1951</v>
      </c>
      <c r="D1552" s="3" t="s">
        <v>14</v>
      </c>
      <c r="E1552" s="3" t="s">
        <v>15</v>
      </c>
      <c r="F1552" s="2">
        <v>57530</v>
      </c>
      <c r="G1552" s="2">
        <v>0</v>
      </c>
      <c r="H1552" s="2">
        <v>1</v>
      </c>
      <c r="I1552" s="5">
        <v>41559</v>
      </c>
      <c r="J1552" s="2">
        <v>68</v>
      </c>
    </row>
    <row r="1553" spans="1:10" ht="12.5">
      <c r="A1553" s="2">
        <v>1551</v>
      </c>
      <c r="B1553" s="2">
        <v>7725</v>
      </c>
      <c r="C1553" s="2">
        <v>1965</v>
      </c>
      <c r="D1553" s="3" t="s">
        <v>17</v>
      </c>
      <c r="E1553" s="3" t="s">
        <v>13</v>
      </c>
      <c r="F1553" s="2">
        <v>76800</v>
      </c>
      <c r="G1553" s="2">
        <v>0</v>
      </c>
      <c r="H1553" s="2">
        <v>0</v>
      </c>
      <c r="I1553" s="4">
        <v>41706</v>
      </c>
      <c r="J1553" s="2">
        <v>33</v>
      </c>
    </row>
    <row r="1554" spans="1:10" ht="12.5">
      <c r="A1554" s="2">
        <v>1552</v>
      </c>
      <c r="B1554" s="2">
        <v>8091</v>
      </c>
      <c r="C1554" s="2">
        <v>1956</v>
      </c>
      <c r="D1554" s="3" t="s">
        <v>9</v>
      </c>
      <c r="E1554" s="3" t="s">
        <v>13</v>
      </c>
      <c r="F1554" s="2">
        <v>63943</v>
      </c>
      <c r="G1554" s="2">
        <v>0</v>
      </c>
      <c r="H1554" s="2">
        <v>1</v>
      </c>
      <c r="I1554" s="4">
        <v>41154</v>
      </c>
      <c r="J1554" s="2">
        <v>50</v>
      </c>
    </row>
    <row r="1555" spans="1:10" ht="12.5">
      <c r="A1555" s="2">
        <v>1553</v>
      </c>
      <c r="B1555" s="2">
        <v>7321</v>
      </c>
      <c r="C1555" s="2">
        <v>1962</v>
      </c>
      <c r="D1555" s="3" t="s">
        <v>9</v>
      </c>
      <c r="E1555" s="3" t="s">
        <v>11</v>
      </c>
      <c r="F1555" s="2">
        <v>76081</v>
      </c>
      <c r="G1555" s="2">
        <v>0</v>
      </c>
      <c r="H1555" s="2">
        <v>0</v>
      </c>
      <c r="I1555" s="4">
        <v>41782</v>
      </c>
      <c r="J1555" s="2">
        <v>85</v>
      </c>
    </row>
    <row r="1556" spans="1:10" ht="12.5">
      <c r="A1556" s="2">
        <v>1554</v>
      </c>
      <c r="B1556" s="2">
        <v>5462</v>
      </c>
      <c r="C1556" s="2">
        <v>1974</v>
      </c>
      <c r="D1556" s="3" t="s">
        <v>9</v>
      </c>
      <c r="E1556" s="3" t="s">
        <v>13</v>
      </c>
      <c r="F1556" s="2">
        <v>67445</v>
      </c>
      <c r="G1556" s="2">
        <v>0</v>
      </c>
      <c r="H1556" s="2">
        <v>1</v>
      </c>
      <c r="I1556" s="4">
        <v>41133</v>
      </c>
      <c r="J1556" s="2">
        <v>63</v>
      </c>
    </row>
    <row r="1557" spans="1:10" ht="12.5">
      <c r="A1557" s="2">
        <v>1555</v>
      </c>
      <c r="B1557" s="2">
        <v>7791</v>
      </c>
      <c r="C1557" s="2">
        <v>1967</v>
      </c>
      <c r="D1557" s="3" t="s">
        <v>14</v>
      </c>
      <c r="E1557" s="3" t="s">
        <v>13</v>
      </c>
      <c r="F1557" s="2">
        <v>37054</v>
      </c>
      <c r="G1557" s="2">
        <v>1</v>
      </c>
      <c r="H1557" s="2">
        <v>1</v>
      </c>
      <c r="I1557" s="4">
        <v>41532</v>
      </c>
      <c r="J1557" s="2">
        <v>89</v>
      </c>
    </row>
    <row r="1558" spans="1:10" ht="12.5">
      <c r="A1558" s="2">
        <v>1556</v>
      </c>
      <c r="B1558" s="2">
        <v>955</v>
      </c>
      <c r="C1558" s="2">
        <v>1962</v>
      </c>
      <c r="D1558" s="3" t="s">
        <v>14</v>
      </c>
      <c r="E1558" s="3" t="s">
        <v>11</v>
      </c>
      <c r="F1558" s="2">
        <v>47175</v>
      </c>
      <c r="G1558" s="2">
        <v>1</v>
      </c>
      <c r="H1558" s="2">
        <v>1</v>
      </c>
      <c r="I1558" s="5">
        <v>41210</v>
      </c>
      <c r="J1558" s="2">
        <v>81</v>
      </c>
    </row>
    <row r="1559" spans="1:10" ht="12.5">
      <c r="A1559" s="2">
        <v>1557</v>
      </c>
      <c r="B1559" s="2">
        <v>4037</v>
      </c>
      <c r="C1559" s="2">
        <v>1976</v>
      </c>
      <c r="D1559" s="3" t="s">
        <v>9</v>
      </c>
      <c r="E1559" s="3" t="s">
        <v>15</v>
      </c>
      <c r="F1559" s="2">
        <v>31859</v>
      </c>
      <c r="G1559" s="2">
        <v>1</v>
      </c>
      <c r="H1559" s="2">
        <v>0</v>
      </c>
      <c r="I1559" s="4">
        <v>41439</v>
      </c>
      <c r="J1559" s="2">
        <v>77</v>
      </c>
    </row>
    <row r="1560" spans="1:10" ht="12.5">
      <c r="A1560" s="2">
        <v>1558</v>
      </c>
      <c r="B1560" s="2">
        <v>6642</v>
      </c>
      <c r="C1560" s="2">
        <v>1961</v>
      </c>
      <c r="D1560" s="3" t="s">
        <v>9</v>
      </c>
      <c r="E1560" s="3" t="s">
        <v>15</v>
      </c>
      <c r="F1560" s="2">
        <v>27215</v>
      </c>
      <c r="G1560" s="2">
        <v>2</v>
      </c>
      <c r="H1560" s="2">
        <v>1</v>
      </c>
      <c r="I1560" s="4">
        <v>41297</v>
      </c>
      <c r="J1560" s="2">
        <v>50</v>
      </c>
    </row>
    <row r="1561" spans="1:10" ht="12.5">
      <c r="A1561" s="2">
        <v>1559</v>
      </c>
      <c r="B1561" s="2">
        <v>2793</v>
      </c>
      <c r="C1561" s="2">
        <v>1976</v>
      </c>
      <c r="D1561" s="3" t="s">
        <v>12</v>
      </c>
      <c r="E1561" s="3" t="s">
        <v>15</v>
      </c>
      <c r="F1561" s="2">
        <v>70179</v>
      </c>
      <c r="G1561" s="2">
        <v>0</v>
      </c>
      <c r="H1561" s="2">
        <v>1</v>
      </c>
      <c r="I1561" s="4">
        <v>41476</v>
      </c>
      <c r="J1561" s="2">
        <v>10</v>
      </c>
    </row>
    <row r="1562" spans="1:10" ht="12.5">
      <c r="A1562" s="2">
        <v>1560</v>
      </c>
      <c r="B1562" s="2">
        <v>5424</v>
      </c>
      <c r="C1562" s="2">
        <v>1983</v>
      </c>
      <c r="D1562" s="3" t="s">
        <v>9</v>
      </c>
      <c r="E1562" s="3" t="s">
        <v>13</v>
      </c>
      <c r="F1562" s="2">
        <v>39922</v>
      </c>
      <c r="G1562" s="2">
        <v>1</v>
      </c>
      <c r="H1562" s="2">
        <v>0</v>
      </c>
      <c r="I1562" s="4">
        <v>41319</v>
      </c>
      <c r="J1562" s="2">
        <v>30</v>
      </c>
    </row>
    <row r="1563" spans="1:10" ht="12.5">
      <c r="A1563" s="2">
        <v>1561</v>
      </c>
      <c r="B1563" s="2">
        <v>879</v>
      </c>
      <c r="C1563" s="2">
        <v>1976</v>
      </c>
      <c r="D1563" s="3" t="s">
        <v>14</v>
      </c>
      <c r="E1563" s="3" t="s">
        <v>13</v>
      </c>
      <c r="F1563" s="2">
        <v>49681</v>
      </c>
      <c r="G1563" s="2">
        <v>0</v>
      </c>
      <c r="H1563" s="2">
        <v>2</v>
      </c>
      <c r="I1563" s="4">
        <v>41582</v>
      </c>
      <c r="J1563" s="2">
        <v>66</v>
      </c>
    </row>
    <row r="1564" spans="1:10" ht="12.5">
      <c r="A1564" s="2">
        <v>1562</v>
      </c>
      <c r="B1564" s="2">
        <v>9530</v>
      </c>
      <c r="C1564" s="2">
        <v>1988</v>
      </c>
      <c r="D1564" s="3" t="s">
        <v>9</v>
      </c>
      <c r="E1564" s="3" t="s">
        <v>13</v>
      </c>
      <c r="F1564" s="2">
        <v>24645</v>
      </c>
      <c r="G1564" s="2">
        <v>1</v>
      </c>
      <c r="H1564" s="2">
        <v>0</v>
      </c>
      <c r="I1564" s="4">
        <v>41214</v>
      </c>
      <c r="J1564" s="2">
        <v>16</v>
      </c>
    </row>
    <row r="1565" spans="1:10" ht="12.5">
      <c r="A1565" s="2">
        <v>1563</v>
      </c>
      <c r="B1565" s="2">
        <v>4828</v>
      </c>
      <c r="C1565" s="2">
        <v>1954</v>
      </c>
      <c r="D1565" s="3" t="s">
        <v>9</v>
      </c>
      <c r="E1565" s="3" t="s">
        <v>15</v>
      </c>
      <c r="F1565" s="2">
        <v>79865</v>
      </c>
      <c r="G1565" s="2">
        <v>0</v>
      </c>
      <c r="H1565" s="2">
        <v>1</v>
      </c>
      <c r="I1565" s="4">
        <v>41808</v>
      </c>
      <c r="J1565" s="2">
        <v>12</v>
      </c>
    </row>
    <row r="1566" spans="1:10" ht="12.5">
      <c r="A1566" s="2">
        <v>1564</v>
      </c>
      <c r="B1566" s="2">
        <v>10699</v>
      </c>
      <c r="C1566" s="2">
        <v>1985</v>
      </c>
      <c r="D1566" s="3" t="s">
        <v>9</v>
      </c>
      <c r="E1566" s="3" t="s">
        <v>13</v>
      </c>
      <c r="F1566" s="2">
        <v>44322</v>
      </c>
      <c r="G1566" s="2">
        <v>1</v>
      </c>
      <c r="H1566" s="2">
        <v>0</v>
      </c>
      <c r="I1566" s="4">
        <v>41806</v>
      </c>
      <c r="J1566" s="2">
        <v>30</v>
      </c>
    </row>
    <row r="1567" spans="1:10" ht="12.5">
      <c r="A1567" s="2">
        <v>1565</v>
      </c>
      <c r="B1567" s="2">
        <v>1497</v>
      </c>
      <c r="C1567" s="2">
        <v>1952</v>
      </c>
      <c r="D1567" s="3" t="s">
        <v>9</v>
      </c>
      <c r="E1567" s="3" t="s">
        <v>10</v>
      </c>
      <c r="F1567" s="2">
        <v>47958</v>
      </c>
      <c r="G1567" s="2">
        <v>0</v>
      </c>
      <c r="H1567" s="2">
        <v>1</v>
      </c>
      <c r="I1567" s="4">
        <v>41293</v>
      </c>
      <c r="J1567" s="2">
        <v>8</v>
      </c>
    </row>
    <row r="1568" spans="1:10" ht="12.5">
      <c r="A1568" s="2">
        <v>1566</v>
      </c>
      <c r="B1568" s="2">
        <v>7476</v>
      </c>
      <c r="C1568" s="2">
        <v>1964</v>
      </c>
      <c r="D1568" s="3" t="s">
        <v>14</v>
      </c>
      <c r="E1568" s="3" t="s">
        <v>10</v>
      </c>
      <c r="F1568" s="2">
        <v>63972</v>
      </c>
      <c r="G1568" s="2">
        <v>0</v>
      </c>
      <c r="H1568" s="2">
        <v>1</v>
      </c>
      <c r="I1568" s="4">
        <v>41245</v>
      </c>
      <c r="J1568" s="2">
        <v>93</v>
      </c>
    </row>
    <row r="1569" spans="1:10" ht="12.5">
      <c r="A1569" s="2">
        <v>1567</v>
      </c>
      <c r="B1569" s="2">
        <v>4390</v>
      </c>
      <c r="C1569" s="2">
        <v>1954</v>
      </c>
      <c r="D1569" s="3" t="s">
        <v>9</v>
      </c>
      <c r="E1569" s="3" t="s">
        <v>11</v>
      </c>
      <c r="F1569" s="2">
        <v>75315</v>
      </c>
      <c r="G1569" s="2">
        <v>0</v>
      </c>
      <c r="H1569" s="2">
        <v>1</v>
      </c>
      <c r="I1569" s="4">
        <v>41744</v>
      </c>
      <c r="J1569" s="2">
        <v>14</v>
      </c>
    </row>
    <row r="1570" spans="1:10" ht="12.5">
      <c r="A1570" s="2">
        <v>1568</v>
      </c>
      <c r="B1570" s="2">
        <v>10478</v>
      </c>
      <c r="C1570" s="2">
        <v>1950</v>
      </c>
      <c r="D1570" s="3" t="s">
        <v>12</v>
      </c>
      <c r="E1570" s="3" t="s">
        <v>13</v>
      </c>
      <c r="F1570" s="2">
        <v>55517</v>
      </c>
      <c r="G1570" s="2">
        <v>1</v>
      </c>
      <c r="H1570" s="2">
        <v>1</v>
      </c>
      <c r="I1570" s="4">
        <v>41179</v>
      </c>
      <c r="J1570" s="2">
        <v>53</v>
      </c>
    </row>
    <row r="1571" spans="1:10" ht="12.5">
      <c r="A1571" s="2">
        <v>1569</v>
      </c>
      <c r="B1571" s="2">
        <v>1081</v>
      </c>
      <c r="C1571" s="2">
        <v>1957</v>
      </c>
      <c r="D1571" s="3" t="s">
        <v>12</v>
      </c>
      <c r="E1571" s="3" t="s">
        <v>13</v>
      </c>
      <c r="F1571" s="2">
        <v>75283</v>
      </c>
      <c r="G1571" s="2">
        <v>1</v>
      </c>
      <c r="H1571" s="2">
        <v>2</v>
      </c>
      <c r="I1571" s="4">
        <v>41360</v>
      </c>
      <c r="J1571" s="2">
        <v>26</v>
      </c>
    </row>
    <row r="1572" spans="1:10" ht="12.5">
      <c r="A1572" s="2">
        <v>1570</v>
      </c>
      <c r="B1572" s="2">
        <v>4261</v>
      </c>
      <c r="C1572" s="2">
        <v>1946</v>
      </c>
      <c r="D1572" s="3" t="s">
        <v>12</v>
      </c>
      <c r="E1572" s="3" t="s">
        <v>10</v>
      </c>
      <c r="F1572" s="2">
        <v>82800</v>
      </c>
      <c r="G1572" s="2">
        <v>0</v>
      </c>
      <c r="H1572" s="2">
        <v>0</v>
      </c>
      <c r="I1572" s="5">
        <v>41237</v>
      </c>
      <c r="J1572" s="2">
        <v>23</v>
      </c>
    </row>
    <row r="1573" spans="1:10" ht="12.5">
      <c r="A1573" s="2">
        <v>1571</v>
      </c>
      <c r="B1573" s="2">
        <v>9916</v>
      </c>
      <c r="C1573" s="2">
        <v>1954</v>
      </c>
      <c r="D1573" s="3" t="s">
        <v>9</v>
      </c>
      <c r="E1573" s="3" t="s">
        <v>13</v>
      </c>
      <c r="F1573" s="2">
        <v>38998</v>
      </c>
      <c r="G1573" s="2">
        <v>1</v>
      </c>
      <c r="H1573" s="2">
        <v>1</v>
      </c>
      <c r="I1573" s="4">
        <v>41216</v>
      </c>
      <c r="J1573" s="2">
        <v>92</v>
      </c>
    </row>
    <row r="1574" spans="1:10" ht="12.5">
      <c r="A1574" s="2">
        <v>1572</v>
      </c>
      <c r="B1574" s="2">
        <v>5350</v>
      </c>
      <c r="C1574" s="2">
        <v>1991</v>
      </c>
      <c r="D1574" s="3" t="s">
        <v>14</v>
      </c>
      <c r="E1574" s="3" t="s">
        <v>10</v>
      </c>
      <c r="F1574" s="2">
        <v>90638</v>
      </c>
      <c r="G1574" s="2">
        <v>0</v>
      </c>
      <c r="H1574" s="2">
        <v>0</v>
      </c>
      <c r="I1574" s="4">
        <v>41683</v>
      </c>
      <c r="J1574" s="2">
        <v>29</v>
      </c>
    </row>
    <row r="1575" spans="1:10" ht="12.5">
      <c r="A1575" s="2">
        <v>1573</v>
      </c>
      <c r="B1575" s="2">
        <v>8135</v>
      </c>
      <c r="C1575" s="2">
        <v>1986</v>
      </c>
      <c r="D1575" s="3" t="s">
        <v>14</v>
      </c>
      <c r="E1575" s="3" t="s">
        <v>13</v>
      </c>
      <c r="F1575" s="2">
        <v>27161</v>
      </c>
      <c r="G1575" s="2">
        <v>1</v>
      </c>
      <c r="H1575" s="2">
        <v>0</v>
      </c>
      <c r="I1575" s="5">
        <v>41575</v>
      </c>
      <c r="J1575" s="2">
        <v>41</v>
      </c>
    </row>
    <row r="1576" spans="1:10" ht="12.5">
      <c r="A1576" s="2">
        <v>1574</v>
      </c>
      <c r="B1576" s="2">
        <v>8685</v>
      </c>
      <c r="C1576" s="2">
        <v>1977</v>
      </c>
      <c r="D1576" s="3" t="s">
        <v>9</v>
      </c>
      <c r="E1576" s="3" t="s">
        <v>13</v>
      </c>
      <c r="F1576" s="2">
        <v>42014</v>
      </c>
      <c r="G1576" s="2">
        <v>1</v>
      </c>
      <c r="H1576" s="2">
        <v>0</v>
      </c>
      <c r="I1576" s="4">
        <v>41138</v>
      </c>
      <c r="J1576" s="2">
        <v>56</v>
      </c>
    </row>
    <row r="1577" spans="1:10" ht="12.5">
      <c r="A1577" s="2">
        <v>1575</v>
      </c>
      <c r="B1577" s="2">
        <v>4967</v>
      </c>
      <c r="C1577" s="2">
        <v>1960</v>
      </c>
      <c r="D1577" s="3" t="s">
        <v>12</v>
      </c>
      <c r="E1577" s="3" t="s">
        <v>11</v>
      </c>
      <c r="F1577" s="2">
        <v>38201</v>
      </c>
      <c r="G1577" s="2">
        <v>0</v>
      </c>
      <c r="H1577" s="2">
        <v>1</v>
      </c>
      <c r="I1577" s="4">
        <v>41362</v>
      </c>
      <c r="J1577" s="2">
        <v>19</v>
      </c>
    </row>
    <row r="1578" spans="1:10" ht="12.5">
      <c r="A1578" s="2">
        <v>1576</v>
      </c>
      <c r="B1578" s="2">
        <v>2130</v>
      </c>
      <c r="C1578" s="2">
        <v>1982</v>
      </c>
      <c r="D1578" s="3" t="s">
        <v>9</v>
      </c>
      <c r="E1578" s="3" t="s">
        <v>11</v>
      </c>
      <c r="F1578" s="2">
        <v>45203</v>
      </c>
      <c r="G1578" s="2">
        <v>2</v>
      </c>
      <c r="H1578" s="2">
        <v>0</v>
      </c>
      <c r="I1578" s="4">
        <v>41721</v>
      </c>
      <c r="J1578" s="2">
        <v>4</v>
      </c>
    </row>
    <row r="1579" spans="1:10" ht="12.5">
      <c r="A1579" s="2">
        <v>1577</v>
      </c>
      <c r="B1579" s="2">
        <v>9298</v>
      </c>
      <c r="C1579" s="2">
        <v>1947</v>
      </c>
      <c r="D1579" s="3" t="s">
        <v>12</v>
      </c>
      <c r="E1579" s="3" t="s">
        <v>11</v>
      </c>
      <c r="F1579" s="2">
        <v>81574</v>
      </c>
      <c r="G1579" s="2">
        <v>0</v>
      </c>
      <c r="H1579" s="2">
        <v>0</v>
      </c>
      <c r="I1579" s="4">
        <v>41757</v>
      </c>
      <c r="J1579" s="2">
        <v>89</v>
      </c>
    </row>
    <row r="1580" spans="1:10" ht="12.5">
      <c r="A1580" s="2">
        <v>1578</v>
      </c>
      <c r="B1580" s="2">
        <v>8175</v>
      </c>
      <c r="C1580" s="2">
        <v>1992</v>
      </c>
      <c r="D1580" s="3" t="s">
        <v>9</v>
      </c>
      <c r="E1580" s="3" t="s">
        <v>13</v>
      </c>
      <c r="F1580" s="2">
        <v>34935</v>
      </c>
      <c r="G1580" s="2">
        <v>0</v>
      </c>
      <c r="H1580" s="2">
        <v>0</v>
      </c>
      <c r="I1580" s="4">
        <v>41446</v>
      </c>
      <c r="J1580" s="2">
        <v>71</v>
      </c>
    </row>
    <row r="1581" spans="1:10" ht="12.5">
      <c r="A1581" s="2">
        <v>1579</v>
      </c>
      <c r="B1581" s="2">
        <v>6257</v>
      </c>
      <c r="C1581" s="2">
        <v>1976</v>
      </c>
      <c r="D1581" s="3" t="s">
        <v>14</v>
      </c>
      <c r="E1581" s="3" t="s">
        <v>10</v>
      </c>
      <c r="F1581" s="2">
        <v>60482</v>
      </c>
      <c r="G1581" s="2">
        <v>0</v>
      </c>
      <c r="H1581" s="2">
        <v>1</v>
      </c>
      <c r="I1581" s="4">
        <v>41297</v>
      </c>
      <c r="J1581" s="2">
        <v>81</v>
      </c>
    </row>
    <row r="1582" spans="1:10" ht="12.5">
      <c r="A1582" s="2">
        <v>1580</v>
      </c>
      <c r="B1582" s="2">
        <v>3790</v>
      </c>
      <c r="C1582" s="2">
        <v>1956</v>
      </c>
      <c r="D1582" s="3" t="s">
        <v>9</v>
      </c>
      <c r="E1582" s="3" t="s">
        <v>11</v>
      </c>
      <c r="F1582" s="2">
        <v>34633</v>
      </c>
      <c r="G1582" s="2">
        <v>2</v>
      </c>
      <c r="H1582" s="2">
        <v>1</v>
      </c>
      <c r="I1582" s="4">
        <v>41662</v>
      </c>
      <c r="J1582" s="2">
        <v>31</v>
      </c>
    </row>
    <row r="1583" spans="1:10" ht="12.5">
      <c r="A1583" s="2">
        <v>1581</v>
      </c>
      <c r="B1583" s="2">
        <v>9952</v>
      </c>
      <c r="C1583" s="2">
        <v>1947</v>
      </c>
      <c r="D1583" s="3" t="s">
        <v>14</v>
      </c>
      <c r="E1583" s="3" t="s">
        <v>11</v>
      </c>
      <c r="F1583" s="2">
        <v>78093</v>
      </c>
      <c r="G1583" s="2">
        <v>0</v>
      </c>
      <c r="H1583" s="2">
        <v>0</v>
      </c>
      <c r="I1583" s="5">
        <v>41619</v>
      </c>
      <c r="J1583" s="2">
        <v>53</v>
      </c>
    </row>
    <row r="1584" spans="1:10" ht="12.5">
      <c r="A1584" s="2">
        <v>1582</v>
      </c>
      <c r="B1584" s="2">
        <v>3503</v>
      </c>
      <c r="C1584" s="2">
        <v>1950</v>
      </c>
      <c r="D1584" s="3" t="s">
        <v>9</v>
      </c>
      <c r="E1584" s="3" t="s">
        <v>15</v>
      </c>
      <c r="F1584" s="2">
        <v>82460</v>
      </c>
      <c r="G1584" s="2">
        <v>0</v>
      </c>
      <c r="H1584" s="2">
        <v>0</v>
      </c>
      <c r="I1584" s="4">
        <v>41610</v>
      </c>
      <c r="J1584" s="2">
        <v>78</v>
      </c>
    </row>
    <row r="1585" spans="1:10" ht="12.5">
      <c r="A1585" s="2">
        <v>1583</v>
      </c>
      <c r="B1585" s="2">
        <v>5223</v>
      </c>
      <c r="C1585" s="2">
        <v>1966</v>
      </c>
      <c r="D1585" s="3" t="s">
        <v>14</v>
      </c>
      <c r="E1585" s="3" t="s">
        <v>11</v>
      </c>
      <c r="F1585" s="2">
        <v>45903</v>
      </c>
      <c r="G1585" s="2">
        <v>0</v>
      </c>
      <c r="H1585" s="2">
        <v>1</v>
      </c>
      <c r="I1585" s="4">
        <v>41752</v>
      </c>
      <c r="J1585" s="2">
        <v>80</v>
      </c>
    </row>
    <row r="1586" spans="1:10" ht="12.5">
      <c r="A1586" s="2">
        <v>1584</v>
      </c>
      <c r="B1586" s="2">
        <v>4608</v>
      </c>
      <c r="C1586" s="2">
        <v>1987</v>
      </c>
      <c r="D1586" s="3" t="s">
        <v>9</v>
      </c>
      <c r="E1586" s="3" t="s">
        <v>15</v>
      </c>
      <c r="F1586" s="2">
        <v>81361</v>
      </c>
      <c r="G1586" s="2">
        <v>0</v>
      </c>
      <c r="H1586" s="2">
        <v>0</v>
      </c>
      <c r="I1586" s="4">
        <v>41695</v>
      </c>
      <c r="J1586" s="2">
        <v>18</v>
      </c>
    </row>
    <row r="1587" spans="1:10" ht="12.5">
      <c r="A1587" s="2">
        <v>1585</v>
      </c>
      <c r="B1587" s="2">
        <v>1626</v>
      </c>
      <c r="C1587" s="2">
        <v>1973</v>
      </c>
      <c r="D1587" s="3" t="s">
        <v>12</v>
      </c>
      <c r="E1587" s="3" t="s">
        <v>15</v>
      </c>
      <c r="F1587" s="2">
        <v>35860</v>
      </c>
      <c r="G1587" s="2">
        <v>1</v>
      </c>
      <c r="H1587" s="2">
        <v>1</v>
      </c>
      <c r="I1587" s="4">
        <v>41778</v>
      </c>
      <c r="J1587" s="2">
        <v>37</v>
      </c>
    </row>
    <row r="1588" spans="1:10" ht="12.5">
      <c r="A1588" s="2">
        <v>1586</v>
      </c>
      <c r="B1588" s="2">
        <v>4764</v>
      </c>
      <c r="C1588" s="2">
        <v>1952</v>
      </c>
      <c r="D1588" s="3" t="s">
        <v>14</v>
      </c>
      <c r="E1588" s="3" t="s">
        <v>11</v>
      </c>
      <c r="F1588" s="2">
        <v>40442</v>
      </c>
      <c r="G1588" s="2">
        <v>1</v>
      </c>
      <c r="H1588" s="2">
        <v>1</v>
      </c>
      <c r="I1588" s="4">
        <v>41140</v>
      </c>
      <c r="J1588" s="2">
        <v>52</v>
      </c>
    </row>
    <row r="1589" spans="1:10" ht="12.5">
      <c r="A1589" s="2">
        <v>1587</v>
      </c>
      <c r="B1589" s="2">
        <v>2471</v>
      </c>
      <c r="C1589" s="2">
        <v>1965</v>
      </c>
      <c r="D1589" s="3" t="s">
        <v>9</v>
      </c>
      <c r="E1589" s="3" t="s">
        <v>13</v>
      </c>
      <c r="F1589" s="2">
        <v>61482</v>
      </c>
      <c r="G1589" s="2">
        <v>0</v>
      </c>
      <c r="H1589" s="2">
        <v>0</v>
      </c>
      <c r="I1589" s="4">
        <v>41817</v>
      </c>
      <c r="J1589" s="2">
        <v>39</v>
      </c>
    </row>
    <row r="1590" spans="1:10" ht="12.5">
      <c r="A1590" s="2">
        <v>1588</v>
      </c>
      <c r="B1590" s="2">
        <v>5892</v>
      </c>
      <c r="C1590" s="2">
        <v>1980</v>
      </c>
      <c r="D1590" s="3" t="s">
        <v>9</v>
      </c>
      <c r="E1590" s="3" t="s">
        <v>13</v>
      </c>
      <c r="F1590" s="2">
        <v>34968</v>
      </c>
      <c r="G1590" s="2">
        <v>1</v>
      </c>
      <c r="H1590" s="2">
        <v>0</v>
      </c>
      <c r="I1590" s="4">
        <v>41374</v>
      </c>
      <c r="J1590" s="2">
        <v>11</v>
      </c>
    </row>
    <row r="1591" spans="1:10" ht="12.5">
      <c r="A1591" s="2">
        <v>1589</v>
      </c>
      <c r="B1591" s="2">
        <v>2612</v>
      </c>
      <c r="C1591" s="2">
        <v>1987</v>
      </c>
      <c r="D1591" s="3" t="s">
        <v>9</v>
      </c>
      <c r="E1591" s="3" t="s">
        <v>13</v>
      </c>
      <c r="F1591" s="2">
        <v>75794</v>
      </c>
      <c r="G1591" s="2">
        <v>0</v>
      </c>
      <c r="H1591" s="2">
        <v>0</v>
      </c>
      <c r="I1591" s="5">
        <v>41632</v>
      </c>
      <c r="J1591" s="2">
        <v>33</v>
      </c>
    </row>
    <row r="1592" spans="1:10" ht="12.5">
      <c r="A1592" s="2">
        <v>1590</v>
      </c>
      <c r="B1592" s="2">
        <v>4971</v>
      </c>
      <c r="C1592" s="2">
        <v>1962</v>
      </c>
      <c r="D1592" s="3" t="s">
        <v>12</v>
      </c>
      <c r="E1592" s="3" t="s">
        <v>11</v>
      </c>
      <c r="F1592" s="2">
        <v>31497</v>
      </c>
      <c r="G1592" s="2">
        <v>0</v>
      </c>
      <c r="H1592" s="2">
        <v>1</v>
      </c>
      <c r="I1592" s="4">
        <v>41249</v>
      </c>
      <c r="J1592" s="2">
        <v>22</v>
      </c>
    </row>
    <row r="1593" spans="1:10" ht="12.5">
      <c r="A1593" s="2">
        <v>1591</v>
      </c>
      <c r="B1593" s="2">
        <v>5185</v>
      </c>
      <c r="C1593" s="2">
        <v>1955</v>
      </c>
      <c r="D1593" s="3" t="s">
        <v>9</v>
      </c>
      <c r="E1593" s="3" t="s">
        <v>13</v>
      </c>
      <c r="F1593" s="2">
        <v>74268</v>
      </c>
      <c r="G1593" s="2">
        <v>0</v>
      </c>
      <c r="H1593" s="2">
        <v>0</v>
      </c>
      <c r="I1593" s="4">
        <v>41319</v>
      </c>
      <c r="J1593" s="2">
        <v>83</v>
      </c>
    </row>
    <row r="1594" spans="1:10" ht="12.5">
      <c r="A1594" s="2">
        <v>1592</v>
      </c>
      <c r="B1594" s="2">
        <v>10069</v>
      </c>
      <c r="C1594" s="2">
        <v>1988</v>
      </c>
      <c r="D1594" s="3" t="s">
        <v>16</v>
      </c>
      <c r="E1594" s="3" t="s">
        <v>11</v>
      </c>
      <c r="F1594" s="2">
        <v>13724</v>
      </c>
      <c r="G1594" s="2">
        <v>1</v>
      </c>
      <c r="H1594" s="2">
        <v>0</v>
      </c>
      <c r="I1594" s="4">
        <v>41152</v>
      </c>
      <c r="J1594" s="2">
        <v>43</v>
      </c>
    </row>
    <row r="1595" spans="1:10" ht="12.5">
      <c r="A1595" s="2">
        <v>1593</v>
      </c>
      <c r="B1595" s="2">
        <v>2262</v>
      </c>
      <c r="C1595" s="2">
        <v>1965</v>
      </c>
      <c r="D1595" s="3" t="s">
        <v>14</v>
      </c>
      <c r="E1595" s="3" t="s">
        <v>11</v>
      </c>
      <c r="F1595" s="2">
        <v>45143</v>
      </c>
      <c r="G1595" s="2">
        <v>0</v>
      </c>
      <c r="H1595" s="2">
        <v>1</v>
      </c>
      <c r="I1595" s="4">
        <v>41512</v>
      </c>
      <c r="J1595" s="2">
        <v>74</v>
      </c>
    </row>
    <row r="1596" spans="1:10" ht="12.5">
      <c r="A1596" s="2">
        <v>1594</v>
      </c>
      <c r="B1596" s="2">
        <v>1131</v>
      </c>
      <c r="C1596" s="2">
        <v>1967</v>
      </c>
      <c r="D1596" s="3" t="s">
        <v>12</v>
      </c>
      <c r="E1596" s="3" t="s">
        <v>10</v>
      </c>
      <c r="F1596" s="2">
        <v>52569</v>
      </c>
      <c r="G1596" s="2">
        <v>0</v>
      </c>
      <c r="H1596" s="2">
        <v>1</v>
      </c>
      <c r="I1596" s="4">
        <v>41734</v>
      </c>
      <c r="J1596" s="2">
        <v>54</v>
      </c>
    </row>
    <row r="1597" spans="1:10" ht="12.5">
      <c r="A1597" s="2">
        <v>1595</v>
      </c>
      <c r="B1597" s="2">
        <v>1041</v>
      </c>
      <c r="C1597" s="2">
        <v>1973</v>
      </c>
      <c r="D1597" s="3" t="s">
        <v>12</v>
      </c>
      <c r="E1597" s="3" t="s">
        <v>10</v>
      </c>
      <c r="F1597" s="2">
        <v>48432</v>
      </c>
      <c r="G1597" s="2">
        <v>0</v>
      </c>
      <c r="H1597" s="2">
        <v>1</v>
      </c>
      <c r="I1597" s="5">
        <v>41200</v>
      </c>
      <c r="J1597" s="2">
        <v>3</v>
      </c>
    </row>
    <row r="1598" spans="1:10" ht="12.5">
      <c r="A1598" s="2">
        <v>1596</v>
      </c>
      <c r="B1598" s="2">
        <v>24</v>
      </c>
      <c r="C1598" s="2">
        <v>1960</v>
      </c>
      <c r="D1598" s="3" t="s">
        <v>14</v>
      </c>
      <c r="E1598" s="3" t="s">
        <v>11</v>
      </c>
      <c r="F1598" s="2">
        <v>17144</v>
      </c>
      <c r="G1598" s="2">
        <v>1</v>
      </c>
      <c r="H1598" s="2">
        <v>1</v>
      </c>
      <c r="I1598" s="4">
        <v>41685</v>
      </c>
      <c r="J1598" s="2">
        <v>96</v>
      </c>
    </row>
    <row r="1599" spans="1:10" ht="12.5">
      <c r="A1599" s="2">
        <v>1597</v>
      </c>
      <c r="B1599" s="2">
        <v>3409</v>
      </c>
      <c r="C1599" s="2">
        <v>1984</v>
      </c>
      <c r="D1599" s="3" t="s">
        <v>9</v>
      </c>
      <c r="E1599" s="3" t="s">
        <v>10</v>
      </c>
      <c r="F1599" s="2">
        <v>36108</v>
      </c>
      <c r="G1599" s="2">
        <v>1</v>
      </c>
      <c r="H1599" s="2">
        <v>0</v>
      </c>
      <c r="I1599" s="5">
        <v>41562</v>
      </c>
      <c r="J1599" s="2">
        <v>68</v>
      </c>
    </row>
    <row r="1600" spans="1:10" ht="12.5">
      <c r="A1600" s="2">
        <v>1598</v>
      </c>
      <c r="B1600" s="2">
        <v>7022</v>
      </c>
      <c r="C1600" s="2">
        <v>1971</v>
      </c>
      <c r="D1600" s="3" t="s">
        <v>9</v>
      </c>
      <c r="E1600" s="3" t="s">
        <v>13</v>
      </c>
      <c r="F1600" s="2">
        <v>76445</v>
      </c>
      <c r="G1600" s="2">
        <v>1</v>
      </c>
      <c r="H1600" s="2">
        <v>0</v>
      </c>
      <c r="I1600" s="4">
        <v>41180</v>
      </c>
      <c r="J1600" s="2">
        <v>2</v>
      </c>
    </row>
    <row r="1601" spans="1:10" ht="12.5">
      <c r="A1601" s="2">
        <v>1599</v>
      </c>
      <c r="B1601" s="2">
        <v>7943</v>
      </c>
      <c r="C1601" s="2">
        <v>1975</v>
      </c>
      <c r="D1601" s="3" t="s">
        <v>12</v>
      </c>
      <c r="E1601" s="3" t="s">
        <v>13</v>
      </c>
      <c r="F1601" s="2">
        <v>36663</v>
      </c>
      <c r="G1601" s="2">
        <v>1</v>
      </c>
      <c r="H1601" s="2">
        <v>0</v>
      </c>
      <c r="I1601" s="4">
        <v>41754</v>
      </c>
      <c r="J1601" s="2">
        <v>40</v>
      </c>
    </row>
    <row r="1602" spans="1:10" ht="12.5">
      <c r="A1602" s="2">
        <v>1600</v>
      </c>
      <c r="B1602" s="2">
        <v>5272</v>
      </c>
      <c r="C1602" s="2">
        <v>1965</v>
      </c>
      <c r="D1602" s="3" t="s">
        <v>14</v>
      </c>
      <c r="E1602" s="3" t="s">
        <v>13</v>
      </c>
      <c r="F1602" s="2">
        <v>53843</v>
      </c>
      <c r="G1602" s="2">
        <v>0</v>
      </c>
      <c r="H1602" s="2">
        <v>1</v>
      </c>
      <c r="I1602" s="4">
        <v>41452</v>
      </c>
      <c r="J1602" s="2">
        <v>64</v>
      </c>
    </row>
    <row r="1603" spans="1:10" ht="12.5">
      <c r="A1603" s="2">
        <v>1601</v>
      </c>
      <c r="B1603" s="2">
        <v>5453</v>
      </c>
      <c r="C1603" s="2">
        <v>1956</v>
      </c>
      <c r="D1603" s="3" t="s">
        <v>14</v>
      </c>
      <c r="E1603" s="3" t="s">
        <v>13</v>
      </c>
      <c r="F1603" s="2">
        <v>90226</v>
      </c>
      <c r="G1603" s="2">
        <v>0</v>
      </c>
      <c r="H1603" s="2">
        <v>0</v>
      </c>
      <c r="I1603" s="4">
        <v>41178</v>
      </c>
      <c r="J1603" s="2">
        <v>26</v>
      </c>
    </row>
    <row r="1604" spans="1:10" ht="12.5">
      <c r="A1604" s="2">
        <v>1602</v>
      </c>
      <c r="B1604" s="2">
        <v>2565</v>
      </c>
      <c r="C1604" s="2">
        <v>1955</v>
      </c>
      <c r="D1604" s="3" t="s">
        <v>14</v>
      </c>
      <c r="E1604" s="3" t="s">
        <v>15</v>
      </c>
      <c r="F1604" s="2">
        <v>70638</v>
      </c>
      <c r="G1604" s="2">
        <v>0</v>
      </c>
      <c r="H1604" s="2">
        <v>0</v>
      </c>
      <c r="I1604" s="4">
        <v>41426</v>
      </c>
      <c r="J1604" s="2">
        <v>69</v>
      </c>
    </row>
    <row r="1605" spans="1:10" ht="12.5">
      <c r="A1605" s="2">
        <v>1603</v>
      </c>
      <c r="B1605" s="2">
        <v>800</v>
      </c>
      <c r="C1605" s="2">
        <v>1960</v>
      </c>
      <c r="D1605" s="3" t="s">
        <v>9</v>
      </c>
      <c r="E1605" s="3" t="s">
        <v>11</v>
      </c>
      <c r="F1605" s="2">
        <v>44512</v>
      </c>
      <c r="G1605" s="2">
        <v>1</v>
      </c>
      <c r="H1605" s="2">
        <v>1</v>
      </c>
      <c r="I1605" s="4">
        <v>41516</v>
      </c>
      <c r="J1605" s="2">
        <v>57</v>
      </c>
    </row>
    <row r="1606" spans="1:10" ht="12.5">
      <c r="A1606" s="2">
        <v>1604</v>
      </c>
      <c r="B1606" s="2">
        <v>11092</v>
      </c>
      <c r="C1606" s="2">
        <v>1961</v>
      </c>
      <c r="D1606" s="3" t="s">
        <v>9</v>
      </c>
      <c r="E1606" s="3" t="s">
        <v>13</v>
      </c>
      <c r="F1606" s="2">
        <v>27116</v>
      </c>
      <c r="G1606" s="2">
        <v>1</v>
      </c>
      <c r="H1606" s="2">
        <v>1</v>
      </c>
      <c r="I1606" s="4">
        <v>41700</v>
      </c>
      <c r="J1606" s="2">
        <v>78</v>
      </c>
    </row>
    <row r="1607" spans="1:10" ht="12.5">
      <c r="A1607" s="2">
        <v>1605</v>
      </c>
      <c r="B1607" s="2">
        <v>5062</v>
      </c>
      <c r="C1607" s="2">
        <v>1963</v>
      </c>
      <c r="D1607" s="3" t="s">
        <v>12</v>
      </c>
      <c r="E1607" s="3" t="s">
        <v>13</v>
      </c>
      <c r="F1607" s="2">
        <v>54072</v>
      </c>
      <c r="G1607" s="2">
        <v>1</v>
      </c>
      <c r="H1607" s="2">
        <v>1</v>
      </c>
      <c r="I1607" s="4">
        <v>41482</v>
      </c>
      <c r="J1607" s="2">
        <v>71</v>
      </c>
    </row>
    <row r="1608" spans="1:10" ht="12.5">
      <c r="A1608" s="2">
        <v>1606</v>
      </c>
      <c r="B1608" s="2">
        <v>8969</v>
      </c>
      <c r="C1608" s="2">
        <v>1977</v>
      </c>
      <c r="D1608" s="3" t="s">
        <v>9</v>
      </c>
      <c r="E1608" s="3" t="s">
        <v>13</v>
      </c>
      <c r="F1608" s="2">
        <v>71855</v>
      </c>
      <c r="G1608" s="2">
        <v>0</v>
      </c>
      <c r="H1608" s="2">
        <v>1</v>
      </c>
      <c r="I1608" s="4">
        <v>41290</v>
      </c>
      <c r="J1608" s="2">
        <v>59</v>
      </c>
    </row>
    <row r="1609" spans="1:10" ht="12.5">
      <c r="A1609" s="2">
        <v>1607</v>
      </c>
      <c r="B1609" s="2">
        <v>4656</v>
      </c>
      <c r="C1609" s="2">
        <v>1990</v>
      </c>
      <c r="D1609" s="3" t="s">
        <v>17</v>
      </c>
      <c r="E1609" s="3" t="s">
        <v>10</v>
      </c>
      <c r="F1609" s="2">
        <v>51250</v>
      </c>
      <c r="G1609" s="2">
        <v>1</v>
      </c>
      <c r="H1609" s="2">
        <v>0</v>
      </c>
      <c r="I1609" s="4">
        <v>41363</v>
      </c>
      <c r="J1609" s="2">
        <v>28</v>
      </c>
    </row>
    <row r="1610" spans="1:10" ht="12.5">
      <c r="A1610" s="2">
        <v>1608</v>
      </c>
      <c r="B1610" s="2">
        <v>4480</v>
      </c>
      <c r="C1610" s="2">
        <v>1973</v>
      </c>
      <c r="D1610" s="3" t="s">
        <v>14</v>
      </c>
      <c r="E1610" s="3" t="s">
        <v>13</v>
      </c>
      <c r="F1610" s="2">
        <v>60432</v>
      </c>
      <c r="G1610" s="2">
        <v>0</v>
      </c>
      <c r="H1610" s="2">
        <v>1</v>
      </c>
      <c r="I1610" s="4">
        <v>41707</v>
      </c>
      <c r="J1610" s="2">
        <v>61</v>
      </c>
    </row>
    <row r="1611" spans="1:10" ht="12.5">
      <c r="A1611" s="2">
        <v>1609</v>
      </c>
      <c r="B1611" s="2">
        <v>9971</v>
      </c>
      <c r="C1611" s="2">
        <v>1964</v>
      </c>
      <c r="D1611" s="3" t="s">
        <v>12</v>
      </c>
      <c r="E1611" s="3" t="s">
        <v>13</v>
      </c>
      <c r="F1611" s="2">
        <v>65526</v>
      </c>
      <c r="G1611" s="2">
        <v>0</v>
      </c>
      <c r="H1611" s="2">
        <v>1</v>
      </c>
      <c r="I1611" s="4">
        <v>41740</v>
      </c>
      <c r="J1611" s="2">
        <v>22</v>
      </c>
    </row>
    <row r="1612" spans="1:10" ht="12.5">
      <c r="A1612" s="2">
        <v>1610</v>
      </c>
      <c r="B1612" s="2">
        <v>6729</v>
      </c>
      <c r="C1612" s="2">
        <v>1988</v>
      </c>
      <c r="D1612" s="3" t="s">
        <v>9</v>
      </c>
      <c r="E1612" s="3" t="s">
        <v>10</v>
      </c>
      <c r="F1612" s="2">
        <v>68655</v>
      </c>
      <c r="G1612" s="2">
        <v>0</v>
      </c>
      <c r="H1612" s="2">
        <v>0</v>
      </c>
      <c r="I1612" s="4">
        <v>41131</v>
      </c>
      <c r="J1612" s="2">
        <v>95</v>
      </c>
    </row>
    <row r="1613" spans="1:10" ht="12.5">
      <c r="A1613" s="2">
        <v>1611</v>
      </c>
      <c r="B1613" s="2">
        <v>1773</v>
      </c>
      <c r="C1613" s="2">
        <v>1978</v>
      </c>
      <c r="D1613" s="3" t="s">
        <v>17</v>
      </c>
      <c r="E1613" s="3" t="s">
        <v>13</v>
      </c>
      <c r="F1613" s="2">
        <v>12393</v>
      </c>
      <c r="G1613" s="2">
        <v>0</v>
      </c>
      <c r="H1613" s="2">
        <v>0</v>
      </c>
      <c r="I1613" s="4">
        <v>41247</v>
      </c>
      <c r="J1613" s="2">
        <v>38</v>
      </c>
    </row>
    <row r="1614" spans="1:10" ht="12.5">
      <c r="A1614" s="2">
        <v>1612</v>
      </c>
      <c r="B1614" s="2">
        <v>9242</v>
      </c>
      <c r="C1614" s="2">
        <v>1990</v>
      </c>
      <c r="D1614" s="3" t="s">
        <v>9</v>
      </c>
      <c r="E1614" s="3" t="s">
        <v>10</v>
      </c>
      <c r="F1614" s="2">
        <v>64509</v>
      </c>
      <c r="G1614" s="2">
        <v>0</v>
      </c>
      <c r="H1614" s="2">
        <v>0</v>
      </c>
      <c r="I1614" s="4">
        <v>41503</v>
      </c>
      <c r="J1614" s="2">
        <v>19</v>
      </c>
    </row>
    <row r="1615" spans="1:10" ht="12.5">
      <c r="A1615" s="2">
        <v>1613</v>
      </c>
      <c r="B1615" s="2">
        <v>1764</v>
      </c>
      <c r="C1615" s="2">
        <v>1975</v>
      </c>
      <c r="D1615" s="3" t="s">
        <v>9</v>
      </c>
      <c r="E1615" s="3" t="s">
        <v>10</v>
      </c>
      <c r="F1615" s="2">
        <v>33955</v>
      </c>
      <c r="G1615" s="2">
        <v>1</v>
      </c>
      <c r="H1615" s="2">
        <v>0</v>
      </c>
      <c r="I1615" s="4">
        <v>41495</v>
      </c>
      <c r="J1615" s="2">
        <v>92</v>
      </c>
    </row>
    <row r="1616" spans="1:10" ht="12.5">
      <c r="A1616" s="2">
        <v>1614</v>
      </c>
      <c r="B1616" s="2">
        <v>6215</v>
      </c>
      <c r="C1616" s="2">
        <v>1977</v>
      </c>
      <c r="D1616" s="3" t="s">
        <v>9</v>
      </c>
      <c r="E1616" s="3" t="s">
        <v>13</v>
      </c>
      <c r="F1616" s="2">
        <v>31353</v>
      </c>
      <c r="G1616" s="2">
        <v>1</v>
      </c>
      <c r="H1616" s="2">
        <v>1</v>
      </c>
      <c r="I1616" s="5">
        <v>41637</v>
      </c>
      <c r="J1616" s="2">
        <v>24</v>
      </c>
    </row>
    <row r="1617" spans="1:10" ht="12.5">
      <c r="A1617" s="2">
        <v>1615</v>
      </c>
      <c r="B1617" s="2">
        <v>10099</v>
      </c>
      <c r="C1617" s="2">
        <v>1984</v>
      </c>
      <c r="D1617" s="3" t="s">
        <v>9</v>
      </c>
      <c r="E1617" s="3" t="s">
        <v>13</v>
      </c>
      <c r="F1617" s="2">
        <v>55434</v>
      </c>
      <c r="G1617" s="2">
        <v>1</v>
      </c>
      <c r="H1617" s="2">
        <v>0</v>
      </c>
      <c r="I1617" s="4">
        <v>41552</v>
      </c>
      <c r="J1617" s="2">
        <v>21</v>
      </c>
    </row>
    <row r="1618" spans="1:10" ht="12.5">
      <c r="A1618" s="2">
        <v>1616</v>
      </c>
      <c r="B1618" s="2">
        <v>5423</v>
      </c>
      <c r="C1618" s="2">
        <v>1983</v>
      </c>
      <c r="D1618" s="3" t="s">
        <v>9</v>
      </c>
      <c r="E1618" s="3" t="s">
        <v>11</v>
      </c>
      <c r="F1618" s="2">
        <v>28359</v>
      </c>
      <c r="G1618" s="2">
        <v>1</v>
      </c>
      <c r="H1618" s="2">
        <v>0</v>
      </c>
      <c r="I1618" s="5">
        <v>41574</v>
      </c>
      <c r="J1618" s="2">
        <v>35</v>
      </c>
    </row>
    <row r="1619" spans="1:10" ht="12.5">
      <c r="A1619" s="2">
        <v>1617</v>
      </c>
      <c r="B1619" s="2">
        <v>940</v>
      </c>
      <c r="C1619" s="2">
        <v>1987</v>
      </c>
      <c r="D1619" s="3" t="s">
        <v>9</v>
      </c>
      <c r="E1619" s="3" t="s">
        <v>10</v>
      </c>
      <c r="F1619" s="2">
        <v>57100</v>
      </c>
      <c r="G1619" s="2">
        <v>1</v>
      </c>
      <c r="H1619" s="2">
        <v>0</v>
      </c>
      <c r="I1619" s="4">
        <v>41777</v>
      </c>
      <c r="J1619" s="2">
        <v>9</v>
      </c>
    </row>
    <row r="1620" spans="1:10" ht="12.5">
      <c r="A1620" s="2">
        <v>1618</v>
      </c>
      <c r="B1620" s="2">
        <v>3011</v>
      </c>
      <c r="C1620" s="2">
        <v>1965</v>
      </c>
      <c r="D1620" s="3" t="s">
        <v>9</v>
      </c>
      <c r="E1620" s="3" t="s">
        <v>13</v>
      </c>
      <c r="F1620" s="2">
        <v>69139</v>
      </c>
      <c r="G1620" s="2">
        <v>0</v>
      </c>
      <c r="H1620" s="2">
        <v>1</v>
      </c>
      <c r="I1620" s="4">
        <v>41666</v>
      </c>
      <c r="J1620" s="2">
        <v>23</v>
      </c>
    </row>
    <row r="1621" spans="1:10" ht="12.5">
      <c r="A1621" s="2">
        <v>1619</v>
      </c>
      <c r="B1621" s="2">
        <v>3298</v>
      </c>
      <c r="C1621" s="2">
        <v>1956</v>
      </c>
      <c r="D1621" s="3" t="s">
        <v>14</v>
      </c>
      <c r="E1621" s="3" t="s">
        <v>13</v>
      </c>
      <c r="F1621" s="2">
        <v>52973</v>
      </c>
      <c r="G1621" s="2">
        <v>0</v>
      </c>
      <c r="H1621" s="2">
        <v>1</v>
      </c>
      <c r="I1621" s="4">
        <v>41221</v>
      </c>
      <c r="J1621" s="2">
        <v>92</v>
      </c>
    </row>
    <row r="1622" spans="1:10" ht="12.5">
      <c r="A1622" s="2">
        <v>1620</v>
      </c>
      <c r="B1622" s="2">
        <v>8286</v>
      </c>
      <c r="C1622" s="2">
        <v>1965</v>
      </c>
      <c r="D1622" s="3" t="s">
        <v>12</v>
      </c>
      <c r="E1622" s="3" t="s">
        <v>11</v>
      </c>
      <c r="F1622" s="2">
        <v>51717</v>
      </c>
      <c r="G1622" s="2">
        <v>0</v>
      </c>
      <c r="H1622" s="2">
        <v>1</v>
      </c>
      <c r="I1622" s="4">
        <v>41506</v>
      </c>
      <c r="J1622" s="2">
        <v>55</v>
      </c>
    </row>
    <row r="1623" spans="1:10" ht="12.5">
      <c r="A1623" s="2">
        <v>1621</v>
      </c>
      <c r="B1623" s="2">
        <v>9668</v>
      </c>
      <c r="C1623" s="2">
        <v>1971</v>
      </c>
      <c r="D1623" s="3" t="s">
        <v>9</v>
      </c>
      <c r="E1623" s="3" t="s">
        <v>13</v>
      </c>
      <c r="F1623" s="2">
        <v>18793</v>
      </c>
      <c r="G1623" s="2">
        <v>1</v>
      </c>
      <c r="H1623" s="2">
        <v>0</v>
      </c>
      <c r="I1623" s="4">
        <v>41286</v>
      </c>
      <c r="J1623" s="2">
        <v>14</v>
      </c>
    </row>
    <row r="1624" spans="1:10" ht="12.5">
      <c r="A1624" s="2">
        <v>1622</v>
      </c>
      <c r="B1624" s="2">
        <v>5120</v>
      </c>
      <c r="C1624" s="2">
        <v>1982</v>
      </c>
      <c r="D1624" s="3" t="s">
        <v>17</v>
      </c>
      <c r="E1624" s="3" t="s">
        <v>11</v>
      </c>
      <c r="F1624" s="2">
        <v>66664</v>
      </c>
      <c r="G1624" s="2">
        <v>0</v>
      </c>
      <c r="H1624" s="2">
        <v>0</v>
      </c>
      <c r="I1624" s="4">
        <v>41177</v>
      </c>
      <c r="J1624" s="2">
        <v>78</v>
      </c>
    </row>
    <row r="1625" spans="1:10" ht="12.5">
      <c r="A1625" s="2">
        <v>1623</v>
      </c>
      <c r="B1625" s="2">
        <v>6097</v>
      </c>
      <c r="C1625" s="2">
        <v>1959</v>
      </c>
      <c r="D1625" s="3" t="s">
        <v>9</v>
      </c>
      <c r="E1625" s="3" t="s">
        <v>10</v>
      </c>
      <c r="F1625" s="2">
        <v>50664</v>
      </c>
      <c r="G1625" s="2">
        <v>1</v>
      </c>
      <c r="H1625" s="2">
        <v>1</v>
      </c>
      <c r="I1625" s="4">
        <v>41290</v>
      </c>
      <c r="J1625" s="2">
        <v>64</v>
      </c>
    </row>
    <row r="1626" spans="1:10" ht="12.5">
      <c r="A1626" s="2">
        <v>1624</v>
      </c>
      <c r="B1626" s="2">
        <v>7019</v>
      </c>
      <c r="C1626" s="2">
        <v>1963</v>
      </c>
      <c r="D1626" s="3" t="s">
        <v>9</v>
      </c>
      <c r="E1626" s="3" t="s">
        <v>11</v>
      </c>
      <c r="F1626" s="2">
        <v>54414</v>
      </c>
      <c r="G1626" s="2">
        <v>1</v>
      </c>
      <c r="H1626" s="2">
        <v>1</v>
      </c>
      <c r="I1626" s="4">
        <v>41297</v>
      </c>
      <c r="J1626" s="2">
        <v>49</v>
      </c>
    </row>
    <row r="1627" spans="1:10" ht="12.5">
      <c r="A1627" s="2">
        <v>1625</v>
      </c>
      <c r="B1627" s="2">
        <v>7408</v>
      </c>
      <c r="C1627" s="2">
        <v>1952</v>
      </c>
      <c r="D1627" s="3" t="s">
        <v>12</v>
      </c>
      <c r="E1627" s="3" t="s">
        <v>13</v>
      </c>
      <c r="F1627" s="2">
        <v>54549</v>
      </c>
      <c r="G1627" s="2">
        <v>0</v>
      </c>
      <c r="H1627" s="2">
        <v>1</v>
      </c>
      <c r="I1627" s="4">
        <v>41701</v>
      </c>
      <c r="J1627" s="2">
        <v>8</v>
      </c>
    </row>
    <row r="1628" spans="1:10" ht="12.5">
      <c r="A1628" s="2">
        <v>1626</v>
      </c>
      <c r="B1628" s="2">
        <v>8041</v>
      </c>
      <c r="C1628" s="2">
        <v>1971</v>
      </c>
      <c r="D1628" s="3" t="s">
        <v>12</v>
      </c>
      <c r="E1628" s="3" t="s">
        <v>18</v>
      </c>
      <c r="F1628" s="2">
        <v>47111</v>
      </c>
      <c r="G1628" s="2">
        <v>0</v>
      </c>
      <c r="H1628" s="2">
        <v>1</v>
      </c>
      <c r="I1628" s="4">
        <v>41160</v>
      </c>
      <c r="J1628" s="2">
        <v>35</v>
      </c>
    </row>
    <row r="1629" spans="1:10" ht="12.5">
      <c r="A1629" s="2">
        <v>1627</v>
      </c>
      <c r="B1629" s="2">
        <v>252</v>
      </c>
      <c r="C1629" s="2">
        <v>1963</v>
      </c>
      <c r="D1629" s="3" t="s">
        <v>12</v>
      </c>
      <c r="E1629" s="3" t="s">
        <v>15</v>
      </c>
      <c r="F1629" s="2">
        <v>41003</v>
      </c>
      <c r="G1629" s="2">
        <v>0</v>
      </c>
      <c r="H1629" s="2">
        <v>0</v>
      </c>
      <c r="I1629" s="4">
        <v>41350</v>
      </c>
      <c r="J1629" s="2">
        <v>11</v>
      </c>
    </row>
    <row r="1630" spans="1:10" ht="12.5">
      <c r="A1630" s="2">
        <v>1628</v>
      </c>
      <c r="B1630" s="2">
        <v>9986</v>
      </c>
      <c r="C1630" s="2">
        <v>1982</v>
      </c>
      <c r="D1630" s="3" t="s">
        <v>9</v>
      </c>
      <c r="E1630" s="3" t="s">
        <v>11</v>
      </c>
      <c r="F1630" s="2">
        <v>19444</v>
      </c>
      <c r="G1630" s="2">
        <v>1</v>
      </c>
      <c r="H1630" s="2">
        <v>0</v>
      </c>
      <c r="I1630" s="4">
        <v>41692</v>
      </c>
      <c r="J1630" s="2">
        <v>8</v>
      </c>
    </row>
    <row r="1631" spans="1:10" ht="12.5">
      <c r="A1631" s="2">
        <v>1629</v>
      </c>
      <c r="B1631" s="2">
        <v>3276</v>
      </c>
      <c r="C1631" s="2">
        <v>1976</v>
      </c>
      <c r="D1631" s="3" t="s">
        <v>17</v>
      </c>
      <c r="E1631" s="3" t="s">
        <v>11</v>
      </c>
      <c r="F1631" s="2">
        <v>36301</v>
      </c>
      <c r="G1631" s="2">
        <v>1</v>
      </c>
      <c r="H1631" s="2">
        <v>0</v>
      </c>
      <c r="I1631" s="5">
        <v>41572</v>
      </c>
      <c r="J1631" s="2">
        <v>53</v>
      </c>
    </row>
    <row r="1632" spans="1:10" ht="12.5">
      <c r="A1632" s="2">
        <v>1630</v>
      </c>
      <c r="B1632" s="2">
        <v>3859</v>
      </c>
      <c r="C1632" s="2">
        <v>1947</v>
      </c>
      <c r="D1632" s="3" t="s">
        <v>12</v>
      </c>
      <c r="E1632" s="3" t="s">
        <v>11</v>
      </c>
      <c r="F1632" s="2">
        <v>73059</v>
      </c>
      <c r="G1632" s="2">
        <v>0</v>
      </c>
      <c r="H1632" s="2">
        <v>1</v>
      </c>
      <c r="I1632" s="4">
        <v>41517</v>
      </c>
      <c r="J1632" s="2">
        <v>36</v>
      </c>
    </row>
    <row r="1633" spans="1:10" ht="12.5">
      <c r="A1633" s="2">
        <v>1631</v>
      </c>
      <c r="B1633" s="2">
        <v>3570</v>
      </c>
      <c r="C1633" s="2">
        <v>1969</v>
      </c>
      <c r="D1633" s="3" t="s">
        <v>12</v>
      </c>
      <c r="E1633" s="3" t="s">
        <v>11</v>
      </c>
      <c r="F1633" s="2">
        <v>42731</v>
      </c>
      <c r="G1633" s="2">
        <v>1</v>
      </c>
      <c r="H1633" s="2">
        <v>0</v>
      </c>
      <c r="I1633" s="5">
        <v>41568</v>
      </c>
      <c r="J1633" s="2">
        <v>64</v>
      </c>
    </row>
    <row r="1634" spans="1:10" ht="12.5">
      <c r="A1634" s="2">
        <v>1632</v>
      </c>
      <c r="B1634" s="2">
        <v>3783</v>
      </c>
      <c r="C1634" s="2">
        <v>1959</v>
      </c>
      <c r="D1634" s="3" t="s">
        <v>12</v>
      </c>
      <c r="E1634" s="3" t="s">
        <v>13</v>
      </c>
      <c r="F1634" s="2">
        <v>52854</v>
      </c>
      <c r="G1634" s="2">
        <v>1</v>
      </c>
      <c r="H1634" s="2">
        <v>1</v>
      </c>
      <c r="I1634" s="4">
        <v>41722</v>
      </c>
      <c r="J1634" s="2">
        <v>43</v>
      </c>
    </row>
    <row r="1635" spans="1:10" ht="12.5">
      <c r="A1635" s="2">
        <v>1633</v>
      </c>
      <c r="B1635" s="2">
        <v>10207</v>
      </c>
      <c r="C1635" s="2">
        <v>1978</v>
      </c>
      <c r="D1635" s="3" t="s">
        <v>9</v>
      </c>
      <c r="E1635" s="3" t="s">
        <v>11</v>
      </c>
      <c r="F1635" s="2">
        <v>22775</v>
      </c>
      <c r="G1635" s="2">
        <v>1</v>
      </c>
      <c r="H1635" s="2">
        <v>0</v>
      </c>
      <c r="I1635" s="4">
        <v>41444</v>
      </c>
      <c r="J1635" s="2">
        <v>40</v>
      </c>
    </row>
    <row r="1636" spans="1:10" ht="12.5">
      <c r="A1636" s="2">
        <v>1634</v>
      </c>
      <c r="B1636" s="2">
        <v>10906</v>
      </c>
      <c r="C1636" s="2">
        <v>1948</v>
      </c>
      <c r="D1636" s="3" t="s">
        <v>12</v>
      </c>
      <c r="E1636" s="3" t="s">
        <v>11</v>
      </c>
      <c r="F1636" s="2">
        <v>46681</v>
      </c>
      <c r="G1636" s="2">
        <v>0</v>
      </c>
      <c r="H1636" s="2">
        <v>2</v>
      </c>
      <c r="I1636" s="4">
        <v>41555</v>
      </c>
      <c r="J1636" s="2">
        <v>52</v>
      </c>
    </row>
    <row r="1637" spans="1:10" ht="12.5">
      <c r="A1637" s="2">
        <v>1635</v>
      </c>
      <c r="B1637" s="2">
        <v>3427</v>
      </c>
      <c r="C1637" s="2">
        <v>1955</v>
      </c>
      <c r="D1637" s="3" t="s">
        <v>12</v>
      </c>
      <c r="E1637" s="3" t="s">
        <v>13</v>
      </c>
      <c r="F1637" s="2">
        <v>59821</v>
      </c>
      <c r="G1637" s="2">
        <v>0</v>
      </c>
      <c r="H1637" s="2">
        <v>1</v>
      </c>
      <c r="I1637" s="4">
        <v>41376</v>
      </c>
      <c r="J1637" s="2">
        <v>11</v>
      </c>
    </row>
    <row r="1638" spans="1:10" ht="12.5">
      <c r="A1638" s="2">
        <v>1636</v>
      </c>
      <c r="B1638" s="2">
        <v>5209</v>
      </c>
      <c r="C1638" s="2">
        <v>1954</v>
      </c>
      <c r="D1638" s="3" t="s">
        <v>9</v>
      </c>
      <c r="E1638" s="3" t="s">
        <v>15</v>
      </c>
      <c r="F1638" s="2">
        <v>50002</v>
      </c>
      <c r="G1638" s="2">
        <v>0</v>
      </c>
      <c r="H1638" s="2">
        <v>1</v>
      </c>
      <c r="I1638" s="4">
        <v>41442</v>
      </c>
      <c r="J1638" s="2">
        <v>21</v>
      </c>
    </row>
    <row r="1639" spans="1:10" ht="12.5">
      <c r="A1639" s="2">
        <v>1637</v>
      </c>
      <c r="B1639" s="2">
        <v>10711</v>
      </c>
      <c r="C1639" s="2">
        <v>1945</v>
      </c>
      <c r="D1639" s="3" t="s">
        <v>9</v>
      </c>
      <c r="E1639" s="3" t="s">
        <v>13</v>
      </c>
      <c r="F1639" s="2">
        <v>69755</v>
      </c>
      <c r="G1639" s="2">
        <v>0</v>
      </c>
      <c r="H1639" s="2">
        <v>0</v>
      </c>
      <c r="I1639" s="4">
        <v>41549</v>
      </c>
      <c r="J1639" s="2">
        <v>23</v>
      </c>
    </row>
    <row r="1640" spans="1:10" ht="12.5">
      <c r="A1640" s="2">
        <v>1638</v>
      </c>
      <c r="B1640" s="2">
        <v>10785</v>
      </c>
      <c r="C1640" s="2">
        <v>1969</v>
      </c>
      <c r="D1640" s="3" t="s">
        <v>9</v>
      </c>
      <c r="E1640" s="3" t="s">
        <v>13</v>
      </c>
      <c r="F1640" s="2">
        <v>44078</v>
      </c>
      <c r="G1640" s="2">
        <v>1</v>
      </c>
      <c r="H1640" s="2">
        <v>1</v>
      </c>
      <c r="I1640" s="4">
        <v>41809</v>
      </c>
      <c r="J1640" s="2">
        <v>17</v>
      </c>
    </row>
    <row r="1641" spans="1:10" ht="12.5">
      <c r="A1641" s="2">
        <v>1639</v>
      </c>
      <c r="B1641" s="2">
        <v>2814</v>
      </c>
      <c r="C1641" s="2">
        <v>1976</v>
      </c>
      <c r="D1641" s="3" t="s">
        <v>14</v>
      </c>
      <c r="E1641" s="3" t="s">
        <v>11</v>
      </c>
      <c r="F1641" s="2">
        <v>30560</v>
      </c>
      <c r="G1641" s="2">
        <v>1</v>
      </c>
      <c r="H1641" s="2">
        <v>0</v>
      </c>
      <c r="I1641" s="4">
        <v>41452</v>
      </c>
      <c r="J1641" s="2">
        <v>6</v>
      </c>
    </row>
    <row r="1642" spans="1:10" ht="12.5">
      <c r="A1642" s="2">
        <v>1640</v>
      </c>
      <c r="B1642" s="2">
        <v>6866</v>
      </c>
      <c r="C1642" s="2">
        <v>1969</v>
      </c>
      <c r="D1642" s="3" t="s">
        <v>14</v>
      </c>
      <c r="E1642" s="3" t="s">
        <v>11</v>
      </c>
      <c r="F1642" s="2">
        <v>35924</v>
      </c>
      <c r="G1642" s="2">
        <v>1</v>
      </c>
      <c r="H1642" s="2">
        <v>1</v>
      </c>
      <c r="I1642" s="4">
        <v>41721</v>
      </c>
      <c r="J1642" s="2">
        <v>56</v>
      </c>
    </row>
    <row r="1643" spans="1:10" ht="12.5">
      <c r="A1643" s="2">
        <v>1641</v>
      </c>
      <c r="B1643" s="2">
        <v>1665</v>
      </c>
      <c r="C1643" s="2">
        <v>1964</v>
      </c>
      <c r="D1643" s="3" t="s">
        <v>12</v>
      </c>
      <c r="E1643" s="3" t="s">
        <v>15</v>
      </c>
      <c r="F1643" s="2">
        <v>64140</v>
      </c>
      <c r="G1643" s="2">
        <v>0</v>
      </c>
      <c r="H1643" s="2">
        <v>2</v>
      </c>
      <c r="I1643" s="4">
        <v>41540</v>
      </c>
      <c r="J1643" s="2">
        <v>71</v>
      </c>
    </row>
    <row r="1644" spans="1:10" ht="12.5">
      <c r="A1644" s="2">
        <v>1642</v>
      </c>
      <c r="B1644" s="2">
        <v>6575</v>
      </c>
      <c r="C1644" s="2">
        <v>1981</v>
      </c>
      <c r="D1644" s="3" t="s">
        <v>9</v>
      </c>
      <c r="E1644" s="3" t="s">
        <v>11</v>
      </c>
      <c r="F1644" s="2">
        <v>56386</v>
      </c>
      <c r="G1644" s="2">
        <v>1</v>
      </c>
      <c r="H1644" s="2">
        <v>1</v>
      </c>
      <c r="I1644" s="5">
        <v>41209</v>
      </c>
      <c r="J1644" s="2">
        <v>51</v>
      </c>
    </row>
    <row r="1645" spans="1:10" ht="12.5">
      <c r="A1645" s="2">
        <v>1643</v>
      </c>
      <c r="B1645" s="2">
        <v>3829</v>
      </c>
      <c r="C1645" s="2">
        <v>1979</v>
      </c>
      <c r="D1645" s="3" t="s">
        <v>16</v>
      </c>
      <c r="E1645" s="3" t="s">
        <v>11</v>
      </c>
      <c r="F1645" s="2">
        <v>24594</v>
      </c>
      <c r="G1645" s="2">
        <v>1</v>
      </c>
      <c r="H1645" s="2">
        <v>0</v>
      </c>
      <c r="I1645" s="5">
        <v>41618</v>
      </c>
      <c r="J1645" s="2">
        <v>94</v>
      </c>
    </row>
    <row r="1646" spans="1:10" ht="12.5">
      <c r="A1646" s="2">
        <v>1644</v>
      </c>
      <c r="B1646" s="2">
        <v>3091</v>
      </c>
      <c r="C1646" s="2">
        <v>1981</v>
      </c>
      <c r="D1646" s="3" t="s">
        <v>17</v>
      </c>
      <c r="E1646" s="3" t="s">
        <v>11</v>
      </c>
      <c r="F1646" s="2">
        <v>75774</v>
      </c>
      <c r="G1646" s="2">
        <v>1</v>
      </c>
      <c r="H1646" s="2">
        <v>0</v>
      </c>
      <c r="I1646" s="4">
        <v>41761</v>
      </c>
      <c r="J1646" s="2">
        <v>27</v>
      </c>
    </row>
    <row r="1647" spans="1:10" ht="12.5">
      <c r="A1647" s="2">
        <v>1645</v>
      </c>
      <c r="B1647" s="2">
        <v>10141</v>
      </c>
      <c r="C1647" s="2">
        <v>1960</v>
      </c>
      <c r="D1647" s="3" t="s">
        <v>14</v>
      </c>
      <c r="E1647" s="3" t="s">
        <v>15</v>
      </c>
      <c r="F1647" s="2">
        <v>39228</v>
      </c>
      <c r="G1647" s="2">
        <v>0</v>
      </c>
      <c r="H1647" s="2">
        <v>0</v>
      </c>
      <c r="I1647" s="4">
        <v>41404</v>
      </c>
      <c r="J1647" s="2">
        <v>1</v>
      </c>
    </row>
    <row r="1648" spans="1:10" ht="12.5">
      <c r="A1648" s="2">
        <v>1646</v>
      </c>
      <c r="B1648" s="2">
        <v>5177</v>
      </c>
      <c r="C1648" s="2">
        <v>1974</v>
      </c>
      <c r="D1648" s="3" t="s">
        <v>14</v>
      </c>
      <c r="E1648" s="3" t="s">
        <v>13</v>
      </c>
      <c r="F1648" s="2">
        <v>58494</v>
      </c>
      <c r="G1648" s="2">
        <v>0</v>
      </c>
      <c r="H1648" s="2">
        <v>1</v>
      </c>
      <c r="I1648" s="5">
        <v>41620</v>
      </c>
      <c r="J1648" s="2">
        <v>56</v>
      </c>
    </row>
    <row r="1649" spans="1:10" ht="12.5">
      <c r="A1649" s="2">
        <v>1647</v>
      </c>
      <c r="B1649" s="2">
        <v>7005</v>
      </c>
      <c r="C1649" s="2">
        <v>1981</v>
      </c>
      <c r="D1649" s="3" t="s">
        <v>9</v>
      </c>
      <c r="E1649" s="3" t="s">
        <v>10</v>
      </c>
      <c r="F1649" s="2">
        <v>58684</v>
      </c>
      <c r="G1649" s="2">
        <v>0</v>
      </c>
      <c r="H1649" s="2">
        <v>0</v>
      </c>
      <c r="I1649" s="4">
        <v>41806</v>
      </c>
      <c r="J1649" s="2">
        <v>71</v>
      </c>
    </row>
    <row r="1650" spans="1:10" ht="12.5">
      <c r="A1650" s="2">
        <v>1648</v>
      </c>
      <c r="B1650" s="2">
        <v>6409</v>
      </c>
      <c r="C1650" s="2">
        <v>1967</v>
      </c>
      <c r="D1650" s="3" t="s">
        <v>9</v>
      </c>
      <c r="E1650" s="3" t="s">
        <v>15</v>
      </c>
      <c r="F1650" s="2">
        <v>57136</v>
      </c>
      <c r="G1650" s="2">
        <v>0</v>
      </c>
      <c r="H1650" s="2">
        <v>0</v>
      </c>
      <c r="I1650" s="4">
        <v>41412</v>
      </c>
      <c r="J1650" s="2">
        <v>18</v>
      </c>
    </row>
    <row r="1651" spans="1:10" ht="12.5">
      <c r="A1651" s="2">
        <v>1649</v>
      </c>
      <c r="B1651" s="2">
        <v>7485</v>
      </c>
      <c r="C1651" s="2">
        <v>1950</v>
      </c>
      <c r="D1651" s="3" t="s">
        <v>12</v>
      </c>
      <c r="E1651" s="3" t="s">
        <v>18</v>
      </c>
      <c r="F1651" s="2">
        <v>56551</v>
      </c>
      <c r="G1651" s="2">
        <v>1</v>
      </c>
      <c r="H1651" s="2">
        <v>1</v>
      </c>
      <c r="I1651" s="4">
        <v>41766</v>
      </c>
      <c r="J1651" s="2">
        <v>48</v>
      </c>
    </row>
    <row r="1652" spans="1:10" ht="12.5">
      <c r="A1652" s="2">
        <v>1650</v>
      </c>
      <c r="B1652" s="2">
        <v>8079</v>
      </c>
      <c r="C1652" s="2">
        <v>1982</v>
      </c>
      <c r="D1652" s="3" t="s">
        <v>9</v>
      </c>
      <c r="E1652" s="3" t="s">
        <v>13</v>
      </c>
      <c r="F1652" s="2">
        <v>22448</v>
      </c>
      <c r="G1652" s="2">
        <v>1</v>
      </c>
      <c r="H1652" s="2">
        <v>0</v>
      </c>
      <c r="I1652" s="4">
        <v>41696</v>
      </c>
      <c r="J1652" s="2">
        <v>86</v>
      </c>
    </row>
    <row r="1653" spans="1:10" ht="12.5">
      <c r="A1653" s="2">
        <v>1651</v>
      </c>
      <c r="B1653" s="2">
        <v>8395</v>
      </c>
      <c r="C1653" s="2">
        <v>1961</v>
      </c>
      <c r="D1653" s="3" t="s">
        <v>9</v>
      </c>
      <c r="E1653" s="3" t="s">
        <v>10</v>
      </c>
      <c r="F1653" s="2">
        <v>82014</v>
      </c>
      <c r="G1653" s="2">
        <v>0</v>
      </c>
      <c r="H1653" s="2">
        <v>0</v>
      </c>
      <c r="I1653" s="4">
        <v>41141</v>
      </c>
      <c r="J1653" s="2">
        <v>48</v>
      </c>
    </row>
    <row r="1654" spans="1:10" ht="12.5">
      <c r="A1654" s="2">
        <v>1652</v>
      </c>
      <c r="B1654" s="2">
        <v>10352</v>
      </c>
      <c r="C1654" s="2">
        <v>1963</v>
      </c>
      <c r="D1654" s="3" t="s">
        <v>9</v>
      </c>
      <c r="E1654" s="3" t="s">
        <v>18</v>
      </c>
      <c r="F1654" s="2">
        <v>34213</v>
      </c>
      <c r="G1654" s="2">
        <v>1</v>
      </c>
      <c r="H1654" s="2">
        <v>1</v>
      </c>
      <c r="I1654" s="4">
        <v>41159</v>
      </c>
      <c r="J1654" s="2">
        <v>2</v>
      </c>
    </row>
    <row r="1655" spans="1:10" ht="12.5">
      <c r="A1655" s="2">
        <v>1653</v>
      </c>
      <c r="B1655" s="2">
        <v>4931</v>
      </c>
      <c r="C1655" s="2">
        <v>1977</v>
      </c>
      <c r="D1655" s="3" t="s">
        <v>9</v>
      </c>
      <c r="E1655" s="3" t="s">
        <v>11</v>
      </c>
      <c r="F1655" s="2">
        <v>157146</v>
      </c>
      <c r="G1655" s="2">
        <v>0</v>
      </c>
      <c r="H1655" s="2">
        <v>0</v>
      </c>
      <c r="I1655" s="4">
        <v>41393</v>
      </c>
      <c r="J1655" s="2">
        <v>13</v>
      </c>
    </row>
    <row r="1656" spans="1:10" ht="12.5">
      <c r="A1656" s="2">
        <v>1654</v>
      </c>
      <c r="B1656" s="2">
        <v>13</v>
      </c>
      <c r="C1656" s="2">
        <v>1947</v>
      </c>
      <c r="D1656" s="3" t="s">
        <v>12</v>
      </c>
      <c r="E1656" s="3" t="s">
        <v>18</v>
      </c>
      <c r="F1656" s="2">
        <v>25358</v>
      </c>
      <c r="G1656" s="2">
        <v>0</v>
      </c>
      <c r="H1656" s="2">
        <v>1</v>
      </c>
      <c r="I1656" s="4">
        <v>41477</v>
      </c>
      <c r="J1656" s="2">
        <v>57</v>
      </c>
    </row>
    <row r="1657" spans="1:10" ht="12.5">
      <c r="A1657" s="2">
        <v>1655</v>
      </c>
      <c r="B1657" s="2">
        <v>1834</v>
      </c>
      <c r="C1657" s="2">
        <v>1978</v>
      </c>
      <c r="D1657" s="3" t="s">
        <v>14</v>
      </c>
      <c r="E1657" s="3" t="s">
        <v>10</v>
      </c>
      <c r="F1657" s="2">
        <v>35544</v>
      </c>
      <c r="G1657" s="2">
        <v>1</v>
      </c>
      <c r="H1657" s="2">
        <v>0</v>
      </c>
      <c r="I1657" s="4">
        <v>41706</v>
      </c>
      <c r="J1657" s="2">
        <v>77</v>
      </c>
    </row>
    <row r="1658" spans="1:10" ht="12.5">
      <c r="A1658" s="2">
        <v>1656</v>
      </c>
      <c r="B1658" s="2">
        <v>2285</v>
      </c>
      <c r="C1658" s="2">
        <v>1954</v>
      </c>
      <c r="D1658" s="3" t="s">
        <v>14</v>
      </c>
      <c r="E1658" s="3" t="s">
        <v>11</v>
      </c>
      <c r="F1658" s="2">
        <v>36634</v>
      </c>
      <c r="G1658" s="2">
        <v>0</v>
      </c>
      <c r="H1658" s="2">
        <v>1</v>
      </c>
      <c r="I1658" s="4">
        <v>41422</v>
      </c>
      <c r="J1658" s="2">
        <v>0</v>
      </c>
    </row>
    <row r="1659" spans="1:10" ht="12.5">
      <c r="A1659" s="2">
        <v>1657</v>
      </c>
      <c r="B1659" s="2">
        <v>2295</v>
      </c>
      <c r="C1659" s="2">
        <v>1954</v>
      </c>
      <c r="D1659" s="3" t="s">
        <v>12</v>
      </c>
      <c r="E1659" s="3" t="s">
        <v>13</v>
      </c>
      <c r="F1659" s="2">
        <v>62670</v>
      </c>
      <c r="G1659" s="2">
        <v>0</v>
      </c>
      <c r="H1659" s="2">
        <v>1</v>
      </c>
      <c r="I1659" s="4">
        <v>41672</v>
      </c>
      <c r="J1659" s="2">
        <v>57</v>
      </c>
    </row>
    <row r="1660" spans="1:10" ht="12.5">
      <c r="A1660" s="2">
        <v>1658</v>
      </c>
      <c r="B1660" s="2">
        <v>1378</v>
      </c>
      <c r="C1660" s="2">
        <v>1972</v>
      </c>
      <c r="D1660" s="3" t="s">
        <v>17</v>
      </c>
      <c r="E1660" s="3" t="s">
        <v>11</v>
      </c>
      <c r="F1660" s="2">
        <v>50334</v>
      </c>
      <c r="G1660" s="2">
        <v>0</v>
      </c>
      <c r="H1660" s="2">
        <v>1</v>
      </c>
      <c r="I1660" s="4">
        <v>41479</v>
      </c>
      <c r="J1660" s="2">
        <v>24</v>
      </c>
    </row>
    <row r="1661" spans="1:10" ht="12.5">
      <c r="A1661" s="2">
        <v>1659</v>
      </c>
      <c r="B1661" s="2">
        <v>2781</v>
      </c>
      <c r="C1661" s="2">
        <v>1981</v>
      </c>
      <c r="D1661" s="3" t="s">
        <v>9</v>
      </c>
      <c r="E1661" s="3" t="s">
        <v>10</v>
      </c>
      <c r="F1661" s="2">
        <v>72066</v>
      </c>
      <c r="G1661" s="2">
        <v>0</v>
      </c>
      <c r="H1661" s="2">
        <v>0</v>
      </c>
      <c r="I1661" s="4">
        <v>41813</v>
      </c>
      <c r="J1661" s="2">
        <v>55</v>
      </c>
    </row>
    <row r="1662" spans="1:10" ht="12.5">
      <c r="A1662" s="2">
        <v>1660</v>
      </c>
      <c r="B1662" s="2">
        <v>1165</v>
      </c>
      <c r="C1662" s="2">
        <v>1958</v>
      </c>
      <c r="D1662" s="3" t="s">
        <v>12</v>
      </c>
      <c r="E1662" s="3" t="s">
        <v>10</v>
      </c>
      <c r="F1662" s="2">
        <v>50729</v>
      </c>
      <c r="G1662" s="2">
        <v>1</v>
      </c>
      <c r="H1662" s="2">
        <v>1</v>
      </c>
      <c r="I1662" s="4">
        <v>41396</v>
      </c>
      <c r="J1662" s="2">
        <v>62</v>
      </c>
    </row>
    <row r="1663" spans="1:10" ht="12.5">
      <c r="A1663" s="2">
        <v>1661</v>
      </c>
      <c r="B1663" s="2">
        <v>1404</v>
      </c>
      <c r="C1663" s="2">
        <v>1968</v>
      </c>
      <c r="D1663" s="3" t="s">
        <v>9</v>
      </c>
      <c r="E1663" s="3" t="s">
        <v>11</v>
      </c>
      <c r="F1663" s="2">
        <v>34916</v>
      </c>
      <c r="G1663" s="2">
        <v>2</v>
      </c>
      <c r="H1663" s="2">
        <v>0</v>
      </c>
      <c r="I1663" s="4">
        <v>41409</v>
      </c>
      <c r="J1663" s="2">
        <v>89</v>
      </c>
    </row>
    <row r="1664" spans="1:10" ht="12.5">
      <c r="A1664" s="2">
        <v>1662</v>
      </c>
      <c r="B1664" s="2">
        <v>6457</v>
      </c>
      <c r="C1664" s="2">
        <v>1976</v>
      </c>
      <c r="D1664" s="3" t="s">
        <v>9</v>
      </c>
      <c r="E1664" s="3" t="s">
        <v>15</v>
      </c>
      <c r="F1664" s="2">
        <v>64892</v>
      </c>
      <c r="G1664" s="2">
        <v>0</v>
      </c>
      <c r="H1664" s="2">
        <v>1</v>
      </c>
      <c r="I1664" s="4">
        <v>41788</v>
      </c>
      <c r="J1664" s="2">
        <v>77</v>
      </c>
    </row>
    <row r="1665" spans="1:10" ht="12.5">
      <c r="A1665" s="2">
        <v>1663</v>
      </c>
      <c r="B1665" s="2">
        <v>2639</v>
      </c>
      <c r="C1665" s="2">
        <v>1966</v>
      </c>
      <c r="D1665" s="3" t="s">
        <v>9</v>
      </c>
      <c r="E1665" s="3" t="s">
        <v>10</v>
      </c>
      <c r="F1665" s="2">
        <v>43602</v>
      </c>
      <c r="G1665" s="2">
        <v>1</v>
      </c>
      <c r="H1665" s="2">
        <v>1</v>
      </c>
      <c r="I1665" s="4">
        <v>41649</v>
      </c>
      <c r="J1665" s="2">
        <v>45</v>
      </c>
    </row>
    <row r="1666" spans="1:10" ht="12.5">
      <c r="A1666" s="2">
        <v>1664</v>
      </c>
      <c r="B1666" s="2">
        <v>8299</v>
      </c>
      <c r="C1666" s="2">
        <v>1989</v>
      </c>
      <c r="D1666" s="3" t="s">
        <v>12</v>
      </c>
      <c r="E1666" s="3" t="s">
        <v>10</v>
      </c>
      <c r="F1666" s="2">
        <v>33996</v>
      </c>
      <c r="G1666" s="2">
        <v>0</v>
      </c>
      <c r="H1666" s="2">
        <v>0</v>
      </c>
      <c r="I1666" s="4">
        <v>41528</v>
      </c>
      <c r="J1666" s="2">
        <v>46</v>
      </c>
    </row>
    <row r="1667" spans="1:10" ht="12.5">
      <c r="A1667" s="2">
        <v>1665</v>
      </c>
      <c r="B1667" s="2">
        <v>6437</v>
      </c>
      <c r="C1667" s="2">
        <v>1985</v>
      </c>
      <c r="D1667" s="3" t="s">
        <v>17</v>
      </c>
      <c r="E1667" s="3" t="s">
        <v>10</v>
      </c>
      <c r="F1667" s="2">
        <v>41473</v>
      </c>
      <c r="G1667" s="2">
        <v>1</v>
      </c>
      <c r="H1667" s="2">
        <v>0</v>
      </c>
      <c r="I1667" s="4">
        <v>41444</v>
      </c>
      <c r="J1667" s="2">
        <v>80</v>
      </c>
    </row>
    <row r="1668" spans="1:10" ht="12.5">
      <c r="A1668" s="2">
        <v>1666</v>
      </c>
      <c r="B1668" s="2">
        <v>6912</v>
      </c>
      <c r="C1668" s="2">
        <v>1967</v>
      </c>
      <c r="D1668" s="3" t="s">
        <v>12</v>
      </c>
      <c r="E1668" s="3" t="s">
        <v>13</v>
      </c>
      <c r="F1668" s="2">
        <v>63246</v>
      </c>
      <c r="G1668" s="2">
        <v>0</v>
      </c>
      <c r="H1668" s="2">
        <v>2</v>
      </c>
      <c r="I1668" s="4">
        <v>41506</v>
      </c>
      <c r="J1668" s="2">
        <v>60</v>
      </c>
    </row>
    <row r="1669" spans="1:10" ht="12.5">
      <c r="A1669" s="2">
        <v>1667</v>
      </c>
      <c r="B1669" s="2">
        <v>7327</v>
      </c>
      <c r="C1669" s="2">
        <v>1959</v>
      </c>
      <c r="D1669" s="3" t="s">
        <v>12</v>
      </c>
      <c r="E1669" s="3" t="s">
        <v>13</v>
      </c>
      <c r="F1669" s="2">
        <v>36732</v>
      </c>
      <c r="G1669" s="2">
        <v>1</v>
      </c>
      <c r="H1669" s="2">
        <v>1</v>
      </c>
      <c r="I1669" s="5">
        <v>41637</v>
      </c>
      <c r="J1669" s="2">
        <v>71</v>
      </c>
    </row>
    <row r="1670" spans="1:10" ht="12.5">
      <c r="A1670" s="2">
        <v>1668</v>
      </c>
      <c r="B1670" s="2">
        <v>5299</v>
      </c>
      <c r="C1670" s="2">
        <v>1970</v>
      </c>
      <c r="D1670" s="3" t="s">
        <v>12</v>
      </c>
      <c r="E1670" s="3" t="s">
        <v>13</v>
      </c>
      <c r="F1670" s="2">
        <v>69084</v>
      </c>
      <c r="G1670" s="2">
        <v>1</v>
      </c>
      <c r="H1670" s="2">
        <v>0</v>
      </c>
      <c r="I1670" s="5">
        <v>41597</v>
      </c>
      <c r="J1670" s="2">
        <v>43</v>
      </c>
    </row>
    <row r="1671" spans="1:10" ht="12.5">
      <c r="A1671" s="2">
        <v>1669</v>
      </c>
      <c r="B1671" s="2">
        <v>4127</v>
      </c>
      <c r="C1671" s="2">
        <v>1967</v>
      </c>
      <c r="D1671" s="3" t="s">
        <v>12</v>
      </c>
      <c r="E1671" s="3" t="s">
        <v>13</v>
      </c>
      <c r="F1671" s="2">
        <v>77766</v>
      </c>
      <c r="G1671" s="2">
        <v>0</v>
      </c>
      <c r="H1671" s="2">
        <v>1</v>
      </c>
      <c r="I1671" s="4">
        <v>41327</v>
      </c>
      <c r="J1671" s="2">
        <v>97</v>
      </c>
    </row>
    <row r="1672" spans="1:10" ht="12.5">
      <c r="A1672" s="2">
        <v>1670</v>
      </c>
      <c r="B1672" s="2">
        <v>8143</v>
      </c>
      <c r="C1672" s="2">
        <v>1985</v>
      </c>
      <c r="D1672" s="3" t="s">
        <v>12</v>
      </c>
      <c r="E1672" s="3" t="s">
        <v>10</v>
      </c>
      <c r="F1672" s="2">
        <v>37929</v>
      </c>
      <c r="G1672" s="2">
        <v>0</v>
      </c>
      <c r="H1672" s="2">
        <v>0</v>
      </c>
      <c r="I1672" s="4">
        <v>41485</v>
      </c>
      <c r="J1672" s="2">
        <v>49</v>
      </c>
    </row>
    <row r="1673" spans="1:10" ht="12.5">
      <c r="A1673" s="2">
        <v>1671</v>
      </c>
      <c r="B1673" s="2">
        <v>1964</v>
      </c>
      <c r="C1673" s="2">
        <v>1951</v>
      </c>
      <c r="D1673" s="3" t="s">
        <v>9</v>
      </c>
      <c r="E1673" s="3" t="s">
        <v>11</v>
      </c>
      <c r="F1673" s="2">
        <v>86610</v>
      </c>
      <c r="G1673" s="2">
        <v>0</v>
      </c>
      <c r="H1673" s="2">
        <v>0</v>
      </c>
      <c r="I1673" s="4">
        <v>41522</v>
      </c>
      <c r="J1673" s="2">
        <v>66</v>
      </c>
    </row>
    <row r="1674" spans="1:10" ht="12.5">
      <c r="A1674" s="2">
        <v>1672</v>
      </c>
      <c r="B1674" s="2">
        <v>3690</v>
      </c>
      <c r="C1674" s="2">
        <v>1986</v>
      </c>
      <c r="D1674" s="3" t="s">
        <v>14</v>
      </c>
      <c r="E1674" s="3" t="s">
        <v>13</v>
      </c>
      <c r="F1674" s="2">
        <v>80141</v>
      </c>
      <c r="G1674" s="2">
        <v>0</v>
      </c>
      <c r="H1674" s="2">
        <v>0</v>
      </c>
      <c r="I1674" s="4">
        <v>41285</v>
      </c>
      <c r="J1674" s="2">
        <v>20</v>
      </c>
    </row>
    <row r="1675" spans="1:10" ht="12.5">
      <c r="A1675" s="2">
        <v>1673</v>
      </c>
      <c r="B1675" s="2">
        <v>3433</v>
      </c>
      <c r="C1675" s="2">
        <v>1955</v>
      </c>
      <c r="D1675" s="3" t="s">
        <v>17</v>
      </c>
      <c r="E1675" s="3" t="s">
        <v>13</v>
      </c>
      <c r="F1675" s="2">
        <v>72635</v>
      </c>
      <c r="G1675" s="2">
        <v>0</v>
      </c>
      <c r="H1675" s="2">
        <v>0</v>
      </c>
      <c r="I1675" s="4">
        <v>41428</v>
      </c>
      <c r="J1675" s="2">
        <v>54</v>
      </c>
    </row>
    <row r="1676" spans="1:10" ht="12.5">
      <c r="A1676" s="2">
        <v>1674</v>
      </c>
      <c r="B1676" s="2">
        <v>3389</v>
      </c>
      <c r="C1676" s="2">
        <v>1970</v>
      </c>
      <c r="D1676" s="3" t="s">
        <v>9</v>
      </c>
      <c r="E1676" s="3" t="s">
        <v>13</v>
      </c>
      <c r="F1676" s="2">
        <v>69016</v>
      </c>
      <c r="G1676" s="2">
        <v>0</v>
      </c>
      <c r="H1676" s="2">
        <v>1</v>
      </c>
      <c r="I1676" s="5">
        <v>41235</v>
      </c>
      <c r="J1676" s="2">
        <v>61</v>
      </c>
    </row>
    <row r="1677" spans="1:10" ht="12.5">
      <c r="A1677" s="2">
        <v>1675</v>
      </c>
      <c r="B1677" s="2">
        <v>4712</v>
      </c>
      <c r="C1677" s="2">
        <v>1991</v>
      </c>
      <c r="D1677" s="3" t="s">
        <v>17</v>
      </c>
      <c r="E1677" s="3" t="s">
        <v>11</v>
      </c>
      <c r="F1677" s="2">
        <v>20193</v>
      </c>
      <c r="G1677" s="2">
        <v>0</v>
      </c>
      <c r="H1677" s="2">
        <v>0</v>
      </c>
      <c r="I1677" s="5">
        <v>41241</v>
      </c>
      <c r="J1677" s="2">
        <v>18</v>
      </c>
    </row>
    <row r="1678" spans="1:10" ht="12.5">
      <c r="A1678" s="2">
        <v>1676</v>
      </c>
      <c r="B1678" s="2">
        <v>1170</v>
      </c>
      <c r="C1678" s="2">
        <v>1975</v>
      </c>
      <c r="D1678" s="3" t="s">
        <v>9</v>
      </c>
      <c r="E1678" s="3" t="s">
        <v>13</v>
      </c>
      <c r="F1678" s="2">
        <v>27573</v>
      </c>
      <c r="G1678" s="2">
        <v>1</v>
      </c>
      <c r="H1678" s="2">
        <v>0</v>
      </c>
      <c r="I1678" s="4">
        <v>41358</v>
      </c>
      <c r="J1678" s="2">
        <v>45</v>
      </c>
    </row>
    <row r="1679" spans="1:10" ht="12.5">
      <c r="A1679" s="2">
        <v>1677</v>
      </c>
      <c r="B1679" s="2">
        <v>6347</v>
      </c>
      <c r="C1679" s="2">
        <v>1979</v>
      </c>
      <c r="D1679" s="3" t="s">
        <v>16</v>
      </c>
      <c r="E1679" s="3" t="s">
        <v>10</v>
      </c>
      <c r="F1679" s="2">
        <v>15862</v>
      </c>
      <c r="G1679" s="2">
        <v>1</v>
      </c>
      <c r="H1679" s="2">
        <v>0</v>
      </c>
      <c r="I1679" s="4">
        <v>41452</v>
      </c>
      <c r="J1679" s="2">
        <v>26</v>
      </c>
    </row>
    <row r="1680" spans="1:10" ht="12.5">
      <c r="A1680" s="2">
        <v>1678</v>
      </c>
      <c r="B1680" s="2">
        <v>4065</v>
      </c>
      <c r="C1680" s="2">
        <v>1976</v>
      </c>
      <c r="D1680" s="3" t="s">
        <v>12</v>
      </c>
      <c r="E1680" s="3" t="s">
        <v>13</v>
      </c>
      <c r="F1680" s="2">
        <v>49544</v>
      </c>
      <c r="G1680" s="2">
        <v>1</v>
      </c>
      <c r="H1680" s="2">
        <v>0</v>
      </c>
      <c r="I1680" s="4">
        <v>41317</v>
      </c>
      <c r="J1680" s="2">
        <v>0</v>
      </c>
    </row>
    <row r="1681" spans="1:10" ht="12.5">
      <c r="A1681" s="2">
        <v>1679</v>
      </c>
      <c r="B1681" s="2">
        <v>8230</v>
      </c>
      <c r="C1681" s="2">
        <v>1980</v>
      </c>
      <c r="D1681" s="3" t="s">
        <v>9</v>
      </c>
      <c r="E1681" s="3" t="s">
        <v>13</v>
      </c>
      <c r="F1681" s="2">
        <v>33228</v>
      </c>
      <c r="G1681" s="2">
        <v>1</v>
      </c>
      <c r="H1681" s="2">
        <v>0</v>
      </c>
      <c r="I1681" s="4">
        <v>41662</v>
      </c>
      <c r="J1681" s="2">
        <v>28</v>
      </c>
    </row>
    <row r="1682" spans="1:10" ht="12.5">
      <c r="A1682" s="2">
        <v>1680</v>
      </c>
      <c r="B1682" s="2">
        <v>1215</v>
      </c>
      <c r="C1682" s="2">
        <v>1978</v>
      </c>
      <c r="D1682" s="3" t="s">
        <v>9</v>
      </c>
      <c r="E1682" s="3" t="s">
        <v>11</v>
      </c>
      <c r="F1682" s="2">
        <v>70440</v>
      </c>
      <c r="G1682" s="2">
        <v>0</v>
      </c>
      <c r="H1682" s="2">
        <v>0</v>
      </c>
      <c r="I1682" s="4">
        <v>41555</v>
      </c>
      <c r="J1682" s="2">
        <v>49</v>
      </c>
    </row>
    <row r="1683" spans="1:10" ht="12.5">
      <c r="A1683" s="2">
        <v>1681</v>
      </c>
      <c r="B1683" s="2">
        <v>5939</v>
      </c>
      <c r="C1683" s="2">
        <v>1971</v>
      </c>
      <c r="D1683" s="3" t="s">
        <v>9</v>
      </c>
      <c r="E1683" s="3" t="s">
        <v>11</v>
      </c>
      <c r="F1683" s="2">
        <v>38232</v>
      </c>
      <c r="G1683" s="2">
        <v>1</v>
      </c>
      <c r="H1683" s="2">
        <v>1</v>
      </c>
      <c r="I1683" s="4">
        <v>41656</v>
      </c>
      <c r="J1683" s="2">
        <v>84</v>
      </c>
    </row>
    <row r="1684" spans="1:10" ht="12.5">
      <c r="A1684" s="2">
        <v>1682</v>
      </c>
      <c r="B1684" s="2">
        <v>2156</v>
      </c>
      <c r="C1684" s="2">
        <v>1955</v>
      </c>
      <c r="D1684" s="3" t="s">
        <v>12</v>
      </c>
      <c r="E1684" s="3" t="s">
        <v>13</v>
      </c>
      <c r="F1684" s="2">
        <v>22554</v>
      </c>
      <c r="G1684" s="2">
        <v>1</v>
      </c>
      <c r="H1684" s="2">
        <v>1</v>
      </c>
      <c r="I1684" s="4">
        <v>41216</v>
      </c>
      <c r="J1684" s="2">
        <v>38</v>
      </c>
    </row>
    <row r="1685" spans="1:10" ht="12.5">
      <c r="A1685" s="2">
        <v>1683</v>
      </c>
      <c r="B1685" s="2">
        <v>7788</v>
      </c>
      <c r="C1685" s="2">
        <v>1983</v>
      </c>
      <c r="D1685" s="3" t="s">
        <v>12</v>
      </c>
      <c r="E1685" s="3" t="s">
        <v>13</v>
      </c>
      <c r="F1685" s="2">
        <v>23536</v>
      </c>
      <c r="G1685" s="2">
        <v>1</v>
      </c>
      <c r="H1685" s="2">
        <v>0</v>
      </c>
      <c r="I1685" s="4">
        <v>41794</v>
      </c>
      <c r="J1685" s="2">
        <v>53</v>
      </c>
    </row>
    <row r="1686" spans="1:10" ht="12.5">
      <c r="A1686" s="2">
        <v>1684</v>
      </c>
      <c r="B1686" s="2">
        <v>10323</v>
      </c>
      <c r="C1686" s="2">
        <v>1952</v>
      </c>
      <c r="D1686" s="3" t="s">
        <v>9</v>
      </c>
      <c r="E1686" s="3" t="s">
        <v>13</v>
      </c>
      <c r="F1686" s="2">
        <v>49413</v>
      </c>
      <c r="G1686" s="2">
        <v>0</v>
      </c>
      <c r="H1686" s="2">
        <v>1</v>
      </c>
      <c r="I1686" s="5">
        <v>41572</v>
      </c>
      <c r="J1686" s="2">
        <v>88</v>
      </c>
    </row>
    <row r="1687" spans="1:10" ht="12.5">
      <c r="A1687" s="2">
        <v>1685</v>
      </c>
      <c r="B1687" s="2">
        <v>7947</v>
      </c>
      <c r="C1687" s="2">
        <v>1969</v>
      </c>
      <c r="D1687" s="3" t="s">
        <v>9</v>
      </c>
      <c r="E1687" s="3" t="s">
        <v>13</v>
      </c>
      <c r="F1687" s="2">
        <v>42231</v>
      </c>
      <c r="G1687" s="2">
        <v>1</v>
      </c>
      <c r="H1687" s="2">
        <v>1</v>
      </c>
      <c r="I1687" s="4">
        <v>41723</v>
      </c>
      <c r="J1687" s="2">
        <v>99</v>
      </c>
    </row>
    <row r="1688" spans="1:10" ht="12.5">
      <c r="A1688" s="2">
        <v>1686</v>
      </c>
      <c r="B1688" s="2">
        <v>1891</v>
      </c>
      <c r="C1688" s="2">
        <v>1980</v>
      </c>
      <c r="D1688" s="3" t="s">
        <v>14</v>
      </c>
      <c r="E1688" s="3" t="s">
        <v>15</v>
      </c>
      <c r="F1688" s="2">
        <v>78789</v>
      </c>
      <c r="G1688" s="2">
        <v>0</v>
      </c>
      <c r="H1688" s="2">
        <v>0</v>
      </c>
      <c r="I1688" s="4">
        <v>41129</v>
      </c>
      <c r="J1688" s="2">
        <v>12</v>
      </c>
    </row>
    <row r="1689" spans="1:10" ht="12.5">
      <c r="A1689" s="2">
        <v>1687</v>
      </c>
      <c r="B1689" s="2">
        <v>2570</v>
      </c>
      <c r="C1689" s="2">
        <v>1968</v>
      </c>
      <c r="D1689" s="3" t="s">
        <v>9</v>
      </c>
      <c r="E1689" s="3" t="s">
        <v>11</v>
      </c>
      <c r="F1689" s="2">
        <v>56534</v>
      </c>
      <c r="G1689" s="2">
        <v>0</v>
      </c>
      <c r="H1689" s="2">
        <v>1</v>
      </c>
      <c r="I1689" s="4">
        <v>41478</v>
      </c>
      <c r="J1689" s="2">
        <v>35</v>
      </c>
    </row>
    <row r="1690" spans="1:10" ht="12.5">
      <c r="A1690" s="2">
        <v>1688</v>
      </c>
      <c r="B1690" s="2">
        <v>9256</v>
      </c>
      <c r="C1690" s="2">
        <v>1971</v>
      </c>
      <c r="D1690" s="3" t="s">
        <v>9</v>
      </c>
      <c r="E1690" s="3" t="s">
        <v>10</v>
      </c>
      <c r="F1690" s="2">
        <v>58350</v>
      </c>
      <c r="G1690" s="2">
        <v>0</v>
      </c>
      <c r="H1690" s="2">
        <v>1</v>
      </c>
      <c r="I1690" s="4">
        <v>41278</v>
      </c>
      <c r="J1690" s="2">
        <v>5</v>
      </c>
    </row>
    <row r="1691" spans="1:10" ht="12.5">
      <c r="A1691" s="2">
        <v>1689</v>
      </c>
      <c r="B1691" s="2">
        <v>295</v>
      </c>
      <c r="C1691" s="2">
        <v>1989</v>
      </c>
      <c r="D1691" s="3" t="s">
        <v>9</v>
      </c>
      <c r="E1691" s="3" t="s">
        <v>10</v>
      </c>
      <c r="F1691" s="2">
        <v>81217</v>
      </c>
      <c r="G1691" s="2">
        <v>0</v>
      </c>
      <c r="H1691" s="2">
        <v>0</v>
      </c>
      <c r="I1691" s="4">
        <v>41474</v>
      </c>
      <c r="J1691" s="2">
        <v>77</v>
      </c>
    </row>
    <row r="1692" spans="1:10" ht="12.5">
      <c r="A1692" s="2">
        <v>1690</v>
      </c>
      <c r="B1692" s="2">
        <v>7397</v>
      </c>
      <c r="C1692" s="2">
        <v>1951</v>
      </c>
      <c r="D1692" s="3" t="s">
        <v>9</v>
      </c>
      <c r="E1692" s="3" t="s">
        <v>10</v>
      </c>
      <c r="F1692" s="2">
        <v>49090</v>
      </c>
      <c r="G1692" s="2">
        <v>0</v>
      </c>
      <c r="H1692" s="2">
        <v>1</v>
      </c>
      <c r="I1692" s="4">
        <v>41474</v>
      </c>
      <c r="J1692" s="2">
        <v>45</v>
      </c>
    </row>
    <row r="1693" spans="1:10" ht="12.5">
      <c r="A1693" s="2">
        <v>1691</v>
      </c>
      <c r="B1693" s="2">
        <v>6349</v>
      </c>
      <c r="C1693" s="2">
        <v>1987</v>
      </c>
      <c r="D1693" s="3" t="s">
        <v>14</v>
      </c>
      <c r="E1693" s="3" t="s">
        <v>15</v>
      </c>
      <c r="F1693" s="2">
        <v>61787</v>
      </c>
      <c r="G1693" s="2">
        <v>0</v>
      </c>
      <c r="H1693" s="2">
        <v>0</v>
      </c>
      <c r="I1693" s="4">
        <v>41461</v>
      </c>
      <c r="J1693" s="2">
        <v>71</v>
      </c>
    </row>
    <row r="1694" spans="1:10" ht="12.5">
      <c r="A1694" s="2">
        <v>1692</v>
      </c>
      <c r="B1694" s="2">
        <v>10790</v>
      </c>
      <c r="C1694" s="2">
        <v>1985</v>
      </c>
      <c r="D1694" s="3" t="s">
        <v>12</v>
      </c>
      <c r="E1694" s="3" t="s">
        <v>13</v>
      </c>
      <c r="F1694" s="2">
        <v>18169</v>
      </c>
      <c r="G1694" s="2">
        <v>1</v>
      </c>
      <c r="H1694" s="2">
        <v>0</v>
      </c>
      <c r="I1694" s="4">
        <v>41324</v>
      </c>
      <c r="J1694" s="2">
        <v>40</v>
      </c>
    </row>
    <row r="1695" spans="1:10" ht="12.5">
      <c r="A1695" s="2">
        <v>1693</v>
      </c>
      <c r="B1695" s="2">
        <v>10398</v>
      </c>
      <c r="C1695" s="2">
        <v>1981</v>
      </c>
      <c r="D1695" s="3" t="s">
        <v>17</v>
      </c>
      <c r="E1695" s="3" t="s">
        <v>10</v>
      </c>
      <c r="F1695" s="2">
        <v>24336</v>
      </c>
      <c r="G1695" s="2">
        <v>1</v>
      </c>
      <c r="H1695" s="2">
        <v>0</v>
      </c>
      <c r="I1695" s="4">
        <v>41148</v>
      </c>
      <c r="J1695" s="2">
        <v>82</v>
      </c>
    </row>
    <row r="1696" spans="1:10" ht="12.5">
      <c r="A1696" s="2">
        <v>1694</v>
      </c>
      <c r="B1696" s="2">
        <v>2431</v>
      </c>
      <c r="C1696" s="2">
        <v>1990</v>
      </c>
      <c r="D1696" s="3" t="s">
        <v>9</v>
      </c>
      <c r="E1696" s="3" t="s">
        <v>13</v>
      </c>
      <c r="F1696" s="2">
        <v>18222</v>
      </c>
      <c r="G1696" s="2">
        <v>0</v>
      </c>
      <c r="H1696" s="2">
        <v>0</v>
      </c>
      <c r="I1696" s="5">
        <v>41274</v>
      </c>
      <c r="J1696" s="2">
        <v>70</v>
      </c>
    </row>
    <row r="1697" spans="1:10" ht="12.5">
      <c r="A1697" s="2">
        <v>1695</v>
      </c>
      <c r="B1697" s="2">
        <v>550</v>
      </c>
      <c r="C1697" s="2">
        <v>1952</v>
      </c>
      <c r="D1697" s="3" t="s">
        <v>9</v>
      </c>
      <c r="E1697" s="3" t="s">
        <v>15</v>
      </c>
      <c r="F1697" s="2">
        <v>62335</v>
      </c>
      <c r="G1697" s="2">
        <v>0</v>
      </c>
      <c r="H1697" s="2">
        <v>1</v>
      </c>
      <c r="I1697" s="4">
        <v>41417</v>
      </c>
      <c r="J1697" s="2">
        <v>87</v>
      </c>
    </row>
    <row r="1698" spans="1:10" ht="12.5">
      <c r="A1698" s="2">
        <v>1696</v>
      </c>
      <c r="B1698" s="2">
        <v>1890</v>
      </c>
      <c r="C1698" s="2">
        <v>1971</v>
      </c>
      <c r="D1698" s="3" t="s">
        <v>17</v>
      </c>
      <c r="E1698" s="3" t="s">
        <v>11</v>
      </c>
      <c r="F1698" s="2">
        <v>42033</v>
      </c>
      <c r="G1698" s="2">
        <v>1</v>
      </c>
      <c r="H1698" s="2">
        <v>1</v>
      </c>
      <c r="I1698" s="4">
        <v>41171</v>
      </c>
      <c r="J1698" s="2">
        <v>95</v>
      </c>
    </row>
    <row r="1699" spans="1:10" ht="12.5">
      <c r="A1699" s="2">
        <v>1697</v>
      </c>
      <c r="B1699" s="2">
        <v>10742</v>
      </c>
      <c r="C1699" s="2">
        <v>1983</v>
      </c>
      <c r="D1699" s="3" t="s">
        <v>12</v>
      </c>
      <c r="E1699" s="3" t="s">
        <v>13</v>
      </c>
      <c r="F1699" s="2">
        <v>86580</v>
      </c>
      <c r="G1699" s="2">
        <v>0</v>
      </c>
      <c r="H1699" s="2">
        <v>0</v>
      </c>
      <c r="I1699" s="4">
        <v>41332</v>
      </c>
      <c r="J1699" s="2">
        <v>72</v>
      </c>
    </row>
    <row r="1700" spans="1:10" ht="12.5">
      <c r="A1700" s="2">
        <v>1698</v>
      </c>
      <c r="B1700" s="2">
        <v>10356</v>
      </c>
      <c r="C1700" s="2">
        <v>1957</v>
      </c>
      <c r="D1700" s="3" t="s">
        <v>12</v>
      </c>
      <c r="E1700" s="3" t="s">
        <v>15</v>
      </c>
      <c r="F1700" s="2">
        <v>41437</v>
      </c>
      <c r="G1700" s="2">
        <v>1</v>
      </c>
      <c r="H1700" s="2">
        <v>1</v>
      </c>
      <c r="I1700" s="4">
        <v>41174</v>
      </c>
      <c r="J1700" s="2">
        <v>5</v>
      </c>
    </row>
    <row r="1701" spans="1:10" ht="12.5">
      <c r="A1701" s="2">
        <v>1699</v>
      </c>
      <c r="B1701" s="2">
        <v>4676</v>
      </c>
      <c r="C1701" s="2">
        <v>1951</v>
      </c>
      <c r="D1701" s="3" t="s">
        <v>14</v>
      </c>
      <c r="E1701" s="3" t="s">
        <v>18</v>
      </c>
      <c r="F1701" s="2">
        <v>73705</v>
      </c>
      <c r="G1701" s="2">
        <v>0</v>
      </c>
      <c r="H1701" s="2">
        <v>2</v>
      </c>
      <c r="I1701" s="4">
        <v>41703</v>
      </c>
      <c r="J1701" s="2">
        <v>86</v>
      </c>
    </row>
    <row r="1702" spans="1:10" ht="12.5">
      <c r="A1702" s="2">
        <v>1700</v>
      </c>
      <c r="B1702" s="2">
        <v>8852</v>
      </c>
      <c r="C1702" s="2">
        <v>1976</v>
      </c>
      <c r="D1702" s="3" t="s">
        <v>9</v>
      </c>
      <c r="E1702" s="3" t="s">
        <v>13</v>
      </c>
      <c r="F1702" s="2">
        <v>61064</v>
      </c>
      <c r="G1702" s="2">
        <v>0</v>
      </c>
      <c r="H1702" s="2">
        <v>1</v>
      </c>
      <c r="I1702" s="4">
        <v>41152</v>
      </c>
      <c r="J1702" s="2">
        <v>80</v>
      </c>
    </row>
    <row r="1703" spans="1:10" ht="12.5">
      <c r="A1703" s="2">
        <v>1701</v>
      </c>
      <c r="B1703" s="2">
        <v>3565</v>
      </c>
      <c r="C1703" s="2">
        <v>1955</v>
      </c>
      <c r="D1703" s="3" t="s">
        <v>14</v>
      </c>
      <c r="E1703" s="3" t="s">
        <v>13</v>
      </c>
      <c r="F1703" s="2">
        <v>38452</v>
      </c>
      <c r="G1703" s="2">
        <v>1</v>
      </c>
      <c r="H1703" s="2">
        <v>1</v>
      </c>
      <c r="I1703" s="4">
        <v>41728</v>
      </c>
      <c r="J1703" s="2">
        <v>62</v>
      </c>
    </row>
    <row r="1704" spans="1:10" ht="12.5">
      <c r="A1704" s="2">
        <v>1702</v>
      </c>
      <c r="B1704" s="2">
        <v>5294</v>
      </c>
      <c r="C1704" s="2">
        <v>1989</v>
      </c>
      <c r="D1704" s="3" t="s">
        <v>9</v>
      </c>
      <c r="E1704" s="3" t="s">
        <v>10</v>
      </c>
      <c r="F1704" s="2">
        <v>18358</v>
      </c>
      <c r="G1704" s="2">
        <v>1</v>
      </c>
      <c r="H1704" s="2">
        <v>0</v>
      </c>
      <c r="I1704" s="5">
        <v>41598</v>
      </c>
      <c r="J1704" s="2">
        <v>49</v>
      </c>
    </row>
    <row r="1705" spans="1:10" ht="12.5">
      <c r="A1705" s="2">
        <v>1703</v>
      </c>
      <c r="B1705" s="2">
        <v>1958</v>
      </c>
      <c r="C1705" s="2">
        <v>1973</v>
      </c>
      <c r="D1705" s="3" t="s">
        <v>12</v>
      </c>
      <c r="E1705" s="3" t="s">
        <v>11</v>
      </c>
      <c r="F1705" s="2">
        <v>55012</v>
      </c>
      <c r="G1705" s="2">
        <v>0</v>
      </c>
      <c r="H1705" s="2">
        <v>1</v>
      </c>
      <c r="I1705" s="4">
        <v>41719</v>
      </c>
      <c r="J1705" s="2">
        <v>85</v>
      </c>
    </row>
    <row r="1706" spans="1:10" ht="12.5">
      <c r="A1706" s="2">
        <v>1704</v>
      </c>
      <c r="B1706" s="2">
        <v>7349</v>
      </c>
      <c r="C1706" s="2">
        <v>1973</v>
      </c>
      <c r="D1706" s="3" t="s">
        <v>16</v>
      </c>
      <c r="E1706" s="3" t="s">
        <v>11</v>
      </c>
      <c r="F1706" s="2">
        <v>9722</v>
      </c>
      <c r="G1706" s="2">
        <v>1</v>
      </c>
      <c r="H1706" s="2">
        <v>0</v>
      </c>
      <c r="I1706" s="4">
        <v>41184</v>
      </c>
      <c r="J1706" s="2">
        <v>7</v>
      </c>
    </row>
    <row r="1707" spans="1:10" ht="12.5">
      <c r="A1707" s="2">
        <v>1705</v>
      </c>
      <c r="B1707" s="2">
        <v>8799</v>
      </c>
      <c r="C1707" s="2">
        <v>1984</v>
      </c>
      <c r="D1707" s="3" t="s">
        <v>12</v>
      </c>
      <c r="E1707" s="3" t="s">
        <v>13</v>
      </c>
      <c r="F1707" s="2">
        <v>38175</v>
      </c>
      <c r="G1707" s="2">
        <v>1</v>
      </c>
      <c r="H1707" s="2">
        <v>0</v>
      </c>
      <c r="I1707" s="4">
        <v>41540</v>
      </c>
      <c r="J1707" s="2">
        <v>6</v>
      </c>
    </row>
    <row r="1708" spans="1:10" ht="12.5">
      <c r="A1708" s="2">
        <v>1706</v>
      </c>
      <c r="B1708" s="2">
        <v>1351</v>
      </c>
      <c r="C1708" s="2">
        <v>1956</v>
      </c>
      <c r="D1708" s="3" t="s">
        <v>14</v>
      </c>
      <c r="E1708" s="3" t="s">
        <v>11</v>
      </c>
      <c r="F1708" s="2">
        <v>58656</v>
      </c>
      <c r="G1708" s="2">
        <v>0</v>
      </c>
      <c r="H1708" s="2">
        <v>1</v>
      </c>
      <c r="I1708" s="4">
        <v>41172</v>
      </c>
      <c r="J1708" s="2">
        <v>25</v>
      </c>
    </row>
    <row r="1709" spans="1:10" ht="12.5">
      <c r="A1709" s="2">
        <v>1707</v>
      </c>
      <c r="B1709" s="2">
        <v>1045</v>
      </c>
      <c r="C1709" s="2">
        <v>1965</v>
      </c>
      <c r="D1709" s="3" t="s">
        <v>9</v>
      </c>
      <c r="E1709" s="3" t="s">
        <v>11</v>
      </c>
      <c r="F1709" s="2">
        <v>52117</v>
      </c>
      <c r="G1709" s="2">
        <v>0</v>
      </c>
      <c r="H1709" s="2">
        <v>1</v>
      </c>
      <c r="I1709" s="4">
        <v>41137</v>
      </c>
      <c r="J1709" s="2">
        <v>55</v>
      </c>
    </row>
    <row r="1710" spans="1:10" ht="12.5">
      <c r="A1710" s="2">
        <v>1708</v>
      </c>
      <c r="B1710" s="2">
        <v>7732</v>
      </c>
      <c r="C1710" s="2">
        <v>1978</v>
      </c>
      <c r="D1710" s="3" t="s">
        <v>9</v>
      </c>
      <c r="E1710" s="3" t="s">
        <v>13</v>
      </c>
      <c r="F1710" s="2">
        <v>64813</v>
      </c>
      <c r="G1710" s="2">
        <v>1</v>
      </c>
      <c r="H1710" s="2">
        <v>0</v>
      </c>
      <c r="I1710" s="4">
        <v>41641</v>
      </c>
      <c r="J1710" s="2">
        <v>81</v>
      </c>
    </row>
    <row r="1711" spans="1:10" ht="12.5">
      <c r="A1711" s="2">
        <v>1709</v>
      </c>
      <c r="B1711" s="2">
        <v>8070</v>
      </c>
      <c r="C1711" s="2">
        <v>1973</v>
      </c>
      <c r="D1711" s="3" t="s">
        <v>12</v>
      </c>
      <c r="E1711" s="3" t="s">
        <v>13</v>
      </c>
      <c r="F1711" s="2">
        <v>54222</v>
      </c>
      <c r="G1711" s="2">
        <v>0</v>
      </c>
      <c r="H1711" s="2">
        <v>1</v>
      </c>
      <c r="I1711" s="4">
        <v>41699</v>
      </c>
      <c r="J1711" s="2">
        <v>98</v>
      </c>
    </row>
    <row r="1712" spans="1:10" ht="12.5">
      <c r="A1712" s="2">
        <v>1710</v>
      </c>
      <c r="B1712" s="2">
        <v>477</v>
      </c>
      <c r="C1712" s="2">
        <v>1986</v>
      </c>
      <c r="D1712" s="3" t="s">
        <v>9</v>
      </c>
      <c r="E1712" s="3" t="s">
        <v>13</v>
      </c>
      <c r="F1712" s="2">
        <v>83512</v>
      </c>
      <c r="G1712" s="2">
        <v>0</v>
      </c>
      <c r="H1712" s="2">
        <v>0</v>
      </c>
      <c r="I1712" s="4">
        <v>41807</v>
      </c>
      <c r="J1712" s="2">
        <v>31</v>
      </c>
    </row>
    <row r="1713" spans="1:10" ht="12.5">
      <c r="A1713" s="2">
        <v>1711</v>
      </c>
      <c r="B1713" s="2">
        <v>7832</v>
      </c>
      <c r="C1713" s="2">
        <v>1959</v>
      </c>
      <c r="D1713" s="3" t="s">
        <v>14</v>
      </c>
      <c r="E1713" s="3" t="s">
        <v>13</v>
      </c>
      <c r="F1713" s="2">
        <v>77520</v>
      </c>
      <c r="G1713" s="2">
        <v>0</v>
      </c>
      <c r="H1713" s="2">
        <v>1</v>
      </c>
      <c r="I1713" s="4">
        <v>41514</v>
      </c>
      <c r="J1713" s="2">
        <v>30</v>
      </c>
    </row>
    <row r="1714" spans="1:10" ht="12.5">
      <c r="A1714" s="2">
        <v>1712</v>
      </c>
      <c r="B1714" s="2">
        <v>2202</v>
      </c>
      <c r="C1714" s="2">
        <v>1978</v>
      </c>
      <c r="D1714" s="3" t="s">
        <v>9</v>
      </c>
      <c r="E1714" s="3" t="s">
        <v>11</v>
      </c>
      <c r="F1714" s="2">
        <v>41154</v>
      </c>
      <c r="G1714" s="2">
        <v>0</v>
      </c>
      <c r="H1714" s="2">
        <v>1</v>
      </c>
      <c r="I1714" s="4">
        <v>41373</v>
      </c>
      <c r="J1714" s="2">
        <v>98</v>
      </c>
    </row>
    <row r="1715" spans="1:10" ht="12.5">
      <c r="A1715" s="2">
        <v>1713</v>
      </c>
      <c r="B1715" s="2">
        <v>7396</v>
      </c>
      <c r="C1715" s="2">
        <v>1966</v>
      </c>
      <c r="D1715" s="3" t="s">
        <v>9</v>
      </c>
      <c r="E1715" s="3" t="s">
        <v>13</v>
      </c>
      <c r="F1715" s="2">
        <v>80398</v>
      </c>
      <c r="G1715" s="2">
        <v>0</v>
      </c>
      <c r="H1715" s="2">
        <v>0</v>
      </c>
      <c r="I1715" s="5">
        <v>41223</v>
      </c>
      <c r="J1715" s="2">
        <v>92</v>
      </c>
    </row>
    <row r="1716" spans="1:10" ht="12.5">
      <c r="A1716" s="2">
        <v>1714</v>
      </c>
      <c r="B1716" s="2">
        <v>4055</v>
      </c>
      <c r="C1716" s="2">
        <v>1992</v>
      </c>
      <c r="D1716" s="3" t="s">
        <v>16</v>
      </c>
      <c r="E1716" s="3" t="s">
        <v>10</v>
      </c>
      <c r="F1716" s="2">
        <v>18746</v>
      </c>
      <c r="G1716" s="2">
        <v>1</v>
      </c>
      <c r="H1716" s="2">
        <v>0</v>
      </c>
      <c r="I1716" s="4">
        <v>41788</v>
      </c>
      <c r="J1716" s="2">
        <v>41</v>
      </c>
    </row>
    <row r="1717" spans="1:10" ht="12.5">
      <c r="A1717" s="2">
        <v>1715</v>
      </c>
      <c r="B1717" s="2">
        <v>10340</v>
      </c>
      <c r="C1717" s="2">
        <v>1984</v>
      </c>
      <c r="D1717" s="3" t="s">
        <v>9</v>
      </c>
      <c r="E1717" s="3" t="s">
        <v>11</v>
      </c>
      <c r="F1717" s="2">
        <v>35196</v>
      </c>
      <c r="G1717" s="2">
        <v>1</v>
      </c>
      <c r="H1717" s="2">
        <v>0</v>
      </c>
      <c r="I1717" s="5">
        <v>41226</v>
      </c>
      <c r="J1717" s="2">
        <v>68</v>
      </c>
    </row>
    <row r="1718" spans="1:10" ht="12.5">
      <c r="A1718" s="2">
        <v>1716</v>
      </c>
      <c r="B1718" s="2">
        <v>10091</v>
      </c>
      <c r="C1718" s="2">
        <v>1956</v>
      </c>
      <c r="D1718" s="3" t="s">
        <v>9</v>
      </c>
      <c r="E1718" s="3" t="s">
        <v>10</v>
      </c>
      <c r="F1718" s="2">
        <v>60230</v>
      </c>
      <c r="G1718" s="2">
        <v>0</v>
      </c>
      <c r="H1718" s="2">
        <v>1</v>
      </c>
      <c r="I1718" s="4">
        <v>41414</v>
      </c>
      <c r="J1718" s="2">
        <v>78</v>
      </c>
    </row>
    <row r="1719" spans="1:10" ht="12.5">
      <c r="A1719" s="2">
        <v>1717</v>
      </c>
      <c r="B1719" s="2">
        <v>7629</v>
      </c>
      <c r="C1719" s="2">
        <v>1977</v>
      </c>
      <c r="D1719" s="3" t="s">
        <v>9</v>
      </c>
      <c r="E1719" s="3" t="s">
        <v>13</v>
      </c>
      <c r="F1719" s="2">
        <v>22108</v>
      </c>
      <c r="G1719" s="2">
        <v>1</v>
      </c>
      <c r="H1719" s="2">
        <v>1</v>
      </c>
      <c r="I1719" s="4">
        <v>41767</v>
      </c>
      <c r="J1719" s="2">
        <v>46</v>
      </c>
    </row>
    <row r="1720" spans="1:10" ht="12.5">
      <c r="A1720" s="2">
        <v>1718</v>
      </c>
      <c r="B1720" s="2">
        <v>10640</v>
      </c>
      <c r="C1720" s="2">
        <v>1974</v>
      </c>
      <c r="D1720" s="3" t="s">
        <v>9</v>
      </c>
      <c r="E1720" s="3" t="s">
        <v>11</v>
      </c>
      <c r="F1720" s="2">
        <v>44392</v>
      </c>
      <c r="G1720" s="2">
        <v>1</v>
      </c>
      <c r="H1720" s="2">
        <v>1</v>
      </c>
      <c r="I1720" s="4">
        <v>41522</v>
      </c>
      <c r="J1720" s="2">
        <v>71</v>
      </c>
    </row>
    <row r="1721" spans="1:10" ht="12.5">
      <c r="A1721" s="2">
        <v>1719</v>
      </c>
      <c r="B1721" s="2">
        <v>3498</v>
      </c>
      <c r="C1721" s="2">
        <v>1976</v>
      </c>
      <c r="D1721" s="3" t="s">
        <v>12</v>
      </c>
      <c r="E1721" s="3" t="s">
        <v>13</v>
      </c>
      <c r="F1721" s="2">
        <v>55424</v>
      </c>
      <c r="G1721" s="2">
        <v>0</v>
      </c>
      <c r="H1721" s="2">
        <v>1</v>
      </c>
      <c r="I1721" s="5">
        <v>41238</v>
      </c>
      <c r="J1721" s="2">
        <v>6</v>
      </c>
    </row>
    <row r="1722" spans="1:10" ht="12.5">
      <c r="A1722" s="2">
        <v>1720</v>
      </c>
      <c r="B1722" s="2">
        <v>6742</v>
      </c>
      <c r="C1722" s="2">
        <v>1979</v>
      </c>
      <c r="D1722" s="3" t="s">
        <v>9</v>
      </c>
      <c r="E1722" s="3" t="s">
        <v>13</v>
      </c>
      <c r="F1722" s="2">
        <v>17688</v>
      </c>
      <c r="G1722" s="2">
        <v>1</v>
      </c>
      <c r="H1722" s="2">
        <v>0</v>
      </c>
      <c r="I1722" s="4">
        <v>41287</v>
      </c>
      <c r="J1722" s="2">
        <v>82</v>
      </c>
    </row>
    <row r="1723" spans="1:10" ht="12.5">
      <c r="A1723" s="2">
        <v>1721</v>
      </c>
      <c r="B1723" s="2">
        <v>1172</v>
      </c>
      <c r="C1723" s="2">
        <v>1983</v>
      </c>
      <c r="D1723" s="3" t="s">
        <v>12</v>
      </c>
      <c r="E1723" s="3" t="s">
        <v>13</v>
      </c>
      <c r="F1723" s="2">
        <v>92491</v>
      </c>
      <c r="G1723" s="2">
        <v>0</v>
      </c>
      <c r="H1723" s="2">
        <v>0</v>
      </c>
      <c r="I1723" s="4">
        <v>41395</v>
      </c>
      <c r="J1723" s="2">
        <v>71</v>
      </c>
    </row>
    <row r="1724" spans="1:10" ht="12.5">
      <c r="A1724" s="2">
        <v>1722</v>
      </c>
      <c r="B1724" s="2">
        <v>569</v>
      </c>
      <c r="C1724" s="2">
        <v>1991</v>
      </c>
      <c r="D1724" s="3" t="s">
        <v>9</v>
      </c>
      <c r="E1724" s="3" t="s">
        <v>10</v>
      </c>
      <c r="F1724" s="2">
        <v>90273</v>
      </c>
      <c r="G1724" s="2">
        <v>0</v>
      </c>
      <c r="H1724" s="2">
        <v>0</v>
      </c>
      <c r="I1724" s="5">
        <v>41622</v>
      </c>
      <c r="J1724" s="2">
        <v>32</v>
      </c>
    </row>
    <row r="1725" spans="1:10" ht="12.5">
      <c r="A1725" s="2">
        <v>1723</v>
      </c>
      <c r="B1725" s="2">
        <v>4686</v>
      </c>
      <c r="C1725" s="2">
        <v>1962</v>
      </c>
      <c r="D1725" s="3" t="s">
        <v>12</v>
      </c>
      <c r="E1725" s="3" t="s">
        <v>18</v>
      </c>
      <c r="F1725" s="2">
        <v>82571</v>
      </c>
      <c r="G1725" s="2">
        <v>0</v>
      </c>
      <c r="H1725" s="2">
        <v>0</v>
      </c>
      <c r="I1725" s="4">
        <v>41731</v>
      </c>
      <c r="J1725" s="2">
        <v>28</v>
      </c>
    </row>
    <row r="1726" spans="1:10" ht="12.5">
      <c r="A1726" s="2">
        <v>1724</v>
      </c>
      <c r="B1726" s="2">
        <v>1381</v>
      </c>
      <c r="C1726" s="2">
        <v>1982</v>
      </c>
      <c r="D1726" s="3" t="s">
        <v>12</v>
      </c>
      <c r="E1726" s="3" t="s">
        <v>10</v>
      </c>
      <c r="F1726" s="2">
        <v>38513</v>
      </c>
      <c r="G1726" s="2">
        <v>1</v>
      </c>
      <c r="H1726" s="2">
        <v>0</v>
      </c>
      <c r="I1726" s="4">
        <v>41667</v>
      </c>
      <c r="J1726" s="2">
        <v>20</v>
      </c>
    </row>
    <row r="1727" spans="1:10" ht="12.5">
      <c r="A1727" s="2">
        <v>1725</v>
      </c>
      <c r="B1727" s="2">
        <v>2634</v>
      </c>
      <c r="C1727" s="2">
        <v>1979</v>
      </c>
      <c r="D1727" s="3" t="s">
        <v>14</v>
      </c>
      <c r="E1727" s="3" t="s">
        <v>10</v>
      </c>
      <c r="F1727" s="2">
        <v>16653</v>
      </c>
      <c r="G1727" s="2">
        <v>1</v>
      </c>
      <c r="H1727" s="2">
        <v>0</v>
      </c>
      <c r="I1727" s="4">
        <v>41747</v>
      </c>
      <c r="J1727" s="2">
        <v>10</v>
      </c>
    </row>
    <row r="1728" spans="1:10" ht="12.5">
      <c r="A1728" s="2">
        <v>1726</v>
      </c>
      <c r="B1728" s="2">
        <v>10905</v>
      </c>
      <c r="C1728" s="2">
        <v>1955</v>
      </c>
      <c r="D1728" s="3" t="s">
        <v>9</v>
      </c>
      <c r="E1728" s="3" t="s">
        <v>11</v>
      </c>
      <c r="F1728" s="2">
        <v>42586</v>
      </c>
      <c r="G1728" s="2">
        <v>1</v>
      </c>
      <c r="H1728" s="2">
        <v>1</v>
      </c>
      <c r="I1728" s="5">
        <v>41211</v>
      </c>
      <c r="J1728" s="2">
        <v>7</v>
      </c>
    </row>
    <row r="1729" spans="1:10" ht="12.5">
      <c r="A1729" s="2">
        <v>1727</v>
      </c>
      <c r="B1729" s="2">
        <v>1744</v>
      </c>
      <c r="C1729" s="2">
        <v>1965</v>
      </c>
      <c r="D1729" s="3" t="s">
        <v>16</v>
      </c>
      <c r="E1729" s="3" t="s">
        <v>10</v>
      </c>
      <c r="F1729" s="2">
        <v>23529</v>
      </c>
      <c r="G1729" s="2">
        <v>0</v>
      </c>
      <c r="H1729" s="2">
        <v>1</v>
      </c>
      <c r="I1729" s="4">
        <v>41281</v>
      </c>
      <c r="J1729" s="2">
        <v>67</v>
      </c>
    </row>
    <row r="1730" spans="1:10" ht="12.5">
      <c r="A1730" s="2">
        <v>1728</v>
      </c>
      <c r="B1730" s="2">
        <v>1000</v>
      </c>
      <c r="C1730" s="2">
        <v>1961</v>
      </c>
      <c r="D1730" s="3" t="s">
        <v>14</v>
      </c>
      <c r="E1730" s="3" t="s">
        <v>11</v>
      </c>
      <c r="F1730" s="2">
        <v>74881</v>
      </c>
      <c r="G1730" s="2">
        <v>1</v>
      </c>
      <c r="H1730" s="2">
        <v>1</v>
      </c>
      <c r="I1730" s="4">
        <v>41341</v>
      </c>
      <c r="J1730" s="2">
        <v>48</v>
      </c>
    </row>
    <row r="1731" spans="1:10" ht="12.5">
      <c r="A1731" s="2">
        <v>1729</v>
      </c>
      <c r="B1731" s="2">
        <v>3828</v>
      </c>
      <c r="C1731" s="2">
        <v>1951</v>
      </c>
      <c r="D1731" s="3" t="s">
        <v>9</v>
      </c>
      <c r="E1731" s="3" t="s">
        <v>13</v>
      </c>
      <c r="F1731" s="2">
        <v>71107</v>
      </c>
      <c r="G1731" s="2">
        <v>0</v>
      </c>
      <c r="H1731" s="2">
        <v>1</v>
      </c>
      <c r="I1731" s="4">
        <v>41322</v>
      </c>
      <c r="J1731" s="2">
        <v>61</v>
      </c>
    </row>
    <row r="1732" spans="1:10" ht="12.5">
      <c r="A1732" s="2">
        <v>1730</v>
      </c>
      <c r="B1732" s="2">
        <v>8605</v>
      </c>
      <c r="C1732" s="2">
        <v>1964</v>
      </c>
      <c r="D1732" s="3" t="s">
        <v>12</v>
      </c>
      <c r="E1732" s="3" t="s">
        <v>11</v>
      </c>
      <c r="F1732" s="2">
        <v>46910</v>
      </c>
      <c r="G1732" s="2">
        <v>1</v>
      </c>
      <c r="H1732" s="2">
        <v>1</v>
      </c>
      <c r="I1732" s="4">
        <v>41721</v>
      </c>
      <c r="J1732" s="2">
        <v>36</v>
      </c>
    </row>
    <row r="1733" spans="1:10" ht="12.5">
      <c r="A1733" s="2">
        <v>1731</v>
      </c>
      <c r="B1733" s="2">
        <v>10304</v>
      </c>
      <c r="C1733" s="2">
        <v>1959</v>
      </c>
      <c r="D1733" s="3" t="s">
        <v>9</v>
      </c>
      <c r="E1733" s="3" t="s">
        <v>13</v>
      </c>
      <c r="F1733" s="2">
        <v>18690</v>
      </c>
      <c r="G1733" s="2">
        <v>0</v>
      </c>
      <c r="H1733" s="2">
        <v>0</v>
      </c>
      <c r="I1733" s="5">
        <v>41271</v>
      </c>
      <c r="J1733" s="2">
        <v>77</v>
      </c>
    </row>
    <row r="1734" spans="1:10" ht="12.5">
      <c r="A1734" s="2">
        <v>1732</v>
      </c>
      <c r="B1734" s="2">
        <v>4351</v>
      </c>
      <c r="C1734" s="2">
        <v>1955</v>
      </c>
      <c r="D1734" s="3" t="s">
        <v>9</v>
      </c>
      <c r="E1734" s="3" t="s">
        <v>15</v>
      </c>
      <c r="F1734" s="2">
        <v>37244</v>
      </c>
      <c r="G1734" s="2">
        <v>1</v>
      </c>
      <c r="H1734" s="2">
        <v>1</v>
      </c>
      <c r="I1734" s="4">
        <v>41391</v>
      </c>
      <c r="J1734" s="2">
        <v>90</v>
      </c>
    </row>
    <row r="1735" spans="1:10" ht="12.5">
      <c r="A1735" s="2">
        <v>1733</v>
      </c>
      <c r="B1735" s="2">
        <v>10129</v>
      </c>
      <c r="C1735" s="2">
        <v>1966</v>
      </c>
      <c r="D1735" s="3" t="s">
        <v>9</v>
      </c>
      <c r="E1735" s="3" t="s">
        <v>11</v>
      </c>
      <c r="F1735" s="2">
        <v>82427</v>
      </c>
      <c r="G1735" s="2">
        <v>0</v>
      </c>
      <c r="H1735" s="2">
        <v>0</v>
      </c>
      <c r="I1735" s="4">
        <v>41710</v>
      </c>
      <c r="J1735" s="2">
        <v>35</v>
      </c>
    </row>
    <row r="1736" spans="1:10" ht="12.5">
      <c r="A1736" s="2">
        <v>1734</v>
      </c>
      <c r="B1736" s="2">
        <v>2499</v>
      </c>
      <c r="C1736" s="2">
        <v>1958</v>
      </c>
      <c r="D1736" s="3" t="s">
        <v>17</v>
      </c>
      <c r="E1736" s="3" t="s">
        <v>10</v>
      </c>
      <c r="F1736" s="2">
        <v>75342</v>
      </c>
      <c r="G1736" s="2">
        <v>0</v>
      </c>
      <c r="H1736" s="2">
        <v>1</v>
      </c>
      <c r="I1736" s="4">
        <v>41400</v>
      </c>
      <c r="J1736" s="2">
        <v>38</v>
      </c>
    </row>
    <row r="1737" spans="1:10" ht="12.5">
      <c r="A1737" s="2">
        <v>1735</v>
      </c>
      <c r="B1737" s="2">
        <v>10092</v>
      </c>
      <c r="C1737" s="2">
        <v>1954</v>
      </c>
      <c r="D1737" s="3" t="s">
        <v>9</v>
      </c>
      <c r="E1737" s="3" t="s">
        <v>15</v>
      </c>
      <c r="F1737" s="2">
        <v>70044</v>
      </c>
      <c r="G1737" s="2">
        <v>0</v>
      </c>
      <c r="H1737" s="2">
        <v>1</v>
      </c>
      <c r="I1737" s="4">
        <v>41323</v>
      </c>
      <c r="J1737" s="2">
        <v>46</v>
      </c>
    </row>
    <row r="1738" spans="1:10" ht="12.5">
      <c r="A1738" s="2">
        <v>1736</v>
      </c>
      <c r="B1738" s="2">
        <v>7500</v>
      </c>
      <c r="C1738" s="2">
        <v>1967</v>
      </c>
      <c r="D1738" s="3" t="s">
        <v>9</v>
      </c>
      <c r="E1738" s="3" t="s">
        <v>10</v>
      </c>
      <c r="F1738" s="2">
        <v>79146</v>
      </c>
      <c r="G1738" s="2">
        <v>1</v>
      </c>
      <c r="H1738" s="2">
        <v>1</v>
      </c>
      <c r="I1738" s="4">
        <v>41753</v>
      </c>
      <c r="J1738" s="2">
        <v>33</v>
      </c>
    </row>
    <row r="1739" spans="1:10" ht="12.5">
      <c r="A1739" s="2">
        <v>1737</v>
      </c>
      <c r="B1739" s="2">
        <v>5796</v>
      </c>
      <c r="C1739" s="2">
        <v>1963</v>
      </c>
      <c r="D1739" s="3" t="s">
        <v>9</v>
      </c>
      <c r="E1739" s="3" t="s">
        <v>13</v>
      </c>
      <c r="F1739" s="2">
        <v>77437</v>
      </c>
      <c r="G1739" s="2">
        <v>0</v>
      </c>
      <c r="H1739" s="2">
        <v>0</v>
      </c>
      <c r="I1739" s="5">
        <v>41604</v>
      </c>
      <c r="J1739" s="2">
        <v>70</v>
      </c>
    </row>
    <row r="1740" spans="1:10" ht="12.5">
      <c r="A1740" s="2">
        <v>1738</v>
      </c>
      <c r="B1740" s="2">
        <v>10556</v>
      </c>
      <c r="C1740" s="2">
        <v>1959</v>
      </c>
      <c r="D1740" s="3" t="s">
        <v>9</v>
      </c>
      <c r="E1740" s="3" t="s">
        <v>13</v>
      </c>
      <c r="F1740" s="2">
        <v>54984</v>
      </c>
      <c r="G1740" s="2">
        <v>0</v>
      </c>
      <c r="H1740" s="2">
        <v>1</v>
      </c>
      <c r="I1740" s="4">
        <v>41783</v>
      </c>
      <c r="J1740" s="2">
        <v>51</v>
      </c>
    </row>
    <row r="1741" spans="1:10" ht="12.5">
      <c r="A1741" s="2">
        <v>1739</v>
      </c>
      <c r="B1741" s="2">
        <v>1064</v>
      </c>
      <c r="C1741" s="2">
        <v>1971</v>
      </c>
      <c r="D1741" s="3" t="s">
        <v>12</v>
      </c>
      <c r="E1741" s="3" t="s">
        <v>13</v>
      </c>
      <c r="F1741" s="2">
        <v>42403</v>
      </c>
      <c r="G1741" s="2">
        <v>1</v>
      </c>
      <c r="H1741" s="2">
        <v>0</v>
      </c>
      <c r="I1741" s="5">
        <v>41619</v>
      </c>
      <c r="J1741" s="2">
        <v>18</v>
      </c>
    </row>
    <row r="1742" spans="1:10" ht="12.5">
      <c r="A1742" s="2">
        <v>1740</v>
      </c>
      <c r="B1742" s="2">
        <v>48</v>
      </c>
      <c r="C1742" s="2">
        <v>1964</v>
      </c>
      <c r="D1742" s="3" t="s">
        <v>9</v>
      </c>
      <c r="E1742" s="3" t="s">
        <v>11</v>
      </c>
      <c r="F1742" s="2">
        <v>55761</v>
      </c>
      <c r="G1742" s="2">
        <v>0</v>
      </c>
      <c r="H1742" s="2">
        <v>1</v>
      </c>
      <c r="I1742" s="4">
        <v>41753</v>
      </c>
      <c r="J1742" s="2">
        <v>97</v>
      </c>
    </row>
    <row r="1743" spans="1:10" ht="12.5">
      <c r="A1743" s="2">
        <v>1741</v>
      </c>
      <c r="B1743" s="2">
        <v>7610</v>
      </c>
      <c r="C1743" s="2">
        <v>1983</v>
      </c>
      <c r="D1743" s="3" t="s">
        <v>9</v>
      </c>
      <c r="E1743" s="3" t="s">
        <v>11</v>
      </c>
      <c r="F1743" s="2">
        <v>37292</v>
      </c>
      <c r="G1743" s="2">
        <v>1</v>
      </c>
      <c r="H1743" s="2">
        <v>0</v>
      </c>
      <c r="I1743" s="4">
        <v>41382</v>
      </c>
      <c r="J1743" s="2">
        <v>32</v>
      </c>
    </row>
    <row r="1744" spans="1:10" ht="12.5">
      <c r="A1744" s="2">
        <v>1742</v>
      </c>
      <c r="B1744" s="2">
        <v>263</v>
      </c>
      <c r="C1744" s="2">
        <v>1945</v>
      </c>
      <c r="D1744" s="3" t="s">
        <v>12</v>
      </c>
      <c r="E1744" s="3" t="s">
        <v>10</v>
      </c>
      <c r="F1744" s="2">
        <v>45576</v>
      </c>
      <c r="G1744" s="2">
        <v>0</v>
      </c>
      <c r="H1744" s="2">
        <v>0</v>
      </c>
      <c r="I1744" s="4">
        <v>41787</v>
      </c>
      <c r="J1744" s="2">
        <v>9</v>
      </c>
    </row>
    <row r="1745" spans="1:10" ht="12.5">
      <c r="A1745" s="2">
        <v>1743</v>
      </c>
      <c r="B1745" s="2">
        <v>10814</v>
      </c>
      <c r="C1745" s="2">
        <v>1947</v>
      </c>
      <c r="D1745" s="3" t="s">
        <v>9</v>
      </c>
      <c r="E1745" s="3" t="s">
        <v>11</v>
      </c>
      <c r="F1745" s="2">
        <v>70321</v>
      </c>
      <c r="G1745" s="2">
        <v>0</v>
      </c>
      <c r="H1745" s="2">
        <v>0</v>
      </c>
      <c r="I1745" s="4">
        <v>41290</v>
      </c>
      <c r="J1745" s="2">
        <v>6</v>
      </c>
    </row>
    <row r="1746" spans="1:10" ht="12.5">
      <c r="A1746" s="2">
        <v>1744</v>
      </c>
      <c r="B1746" s="2">
        <v>9710</v>
      </c>
      <c r="C1746" s="2">
        <v>1969</v>
      </c>
      <c r="D1746" s="3" t="s">
        <v>12</v>
      </c>
      <c r="E1746" s="3" t="s">
        <v>15</v>
      </c>
      <c r="F1746" s="2">
        <v>58086</v>
      </c>
      <c r="G1746" s="2">
        <v>0</v>
      </c>
      <c r="H1746" s="2">
        <v>1</v>
      </c>
      <c r="I1746" s="4">
        <v>41294</v>
      </c>
      <c r="J1746" s="2">
        <v>80</v>
      </c>
    </row>
    <row r="1747" spans="1:10" ht="12.5">
      <c r="A1747" s="2">
        <v>1745</v>
      </c>
      <c r="B1747" s="2">
        <v>9292</v>
      </c>
      <c r="C1747" s="2">
        <v>1952</v>
      </c>
      <c r="D1747" s="3" t="s">
        <v>9</v>
      </c>
      <c r="E1747" s="3" t="s">
        <v>13</v>
      </c>
      <c r="F1747" s="2">
        <v>81795</v>
      </c>
      <c r="G1747" s="2">
        <v>0</v>
      </c>
      <c r="H1747" s="2">
        <v>0</v>
      </c>
      <c r="I1747" s="5">
        <v>41208</v>
      </c>
      <c r="J1747" s="2">
        <v>74</v>
      </c>
    </row>
    <row r="1748" spans="1:10" ht="12.5">
      <c r="A1748" s="2">
        <v>1746</v>
      </c>
      <c r="B1748" s="2">
        <v>10250</v>
      </c>
      <c r="C1748" s="2">
        <v>1947</v>
      </c>
      <c r="D1748" s="3" t="s">
        <v>16</v>
      </c>
      <c r="E1748" s="3" t="s">
        <v>11</v>
      </c>
      <c r="F1748" s="2">
        <v>28389</v>
      </c>
      <c r="G1748" s="2">
        <v>0</v>
      </c>
      <c r="H1748" s="2">
        <v>0</v>
      </c>
      <c r="I1748" s="5">
        <v>41233</v>
      </c>
      <c r="J1748" s="2">
        <v>49</v>
      </c>
    </row>
    <row r="1749" spans="1:10" ht="12.5">
      <c r="A1749" s="2">
        <v>1747</v>
      </c>
      <c r="B1749" s="2">
        <v>7881</v>
      </c>
      <c r="C1749" s="2">
        <v>1946</v>
      </c>
      <c r="D1749" s="3" t="s">
        <v>14</v>
      </c>
      <c r="E1749" s="3" t="s">
        <v>13</v>
      </c>
      <c r="F1749" s="2">
        <v>66835</v>
      </c>
      <c r="G1749" s="2">
        <v>0</v>
      </c>
      <c r="H1749" s="2">
        <v>0</v>
      </c>
      <c r="I1749" s="4">
        <v>41545</v>
      </c>
      <c r="J1749" s="2">
        <v>21</v>
      </c>
    </row>
    <row r="1750" spans="1:10" ht="12.5">
      <c r="A1750" s="2">
        <v>1748</v>
      </c>
      <c r="B1750" s="2">
        <v>5847</v>
      </c>
      <c r="C1750" s="2">
        <v>1969</v>
      </c>
      <c r="D1750" s="3" t="s">
        <v>9</v>
      </c>
      <c r="E1750" s="3" t="s">
        <v>15</v>
      </c>
      <c r="F1750" s="2">
        <v>69901</v>
      </c>
      <c r="G1750" s="2">
        <v>0</v>
      </c>
      <c r="H1750" s="2">
        <v>1</v>
      </c>
      <c r="I1750" s="4">
        <v>41423</v>
      </c>
      <c r="J1750" s="2">
        <v>95</v>
      </c>
    </row>
    <row r="1751" spans="1:10" ht="12.5">
      <c r="A1751" s="2">
        <v>1749</v>
      </c>
      <c r="B1751" s="2">
        <v>737</v>
      </c>
      <c r="C1751" s="2">
        <v>1949</v>
      </c>
      <c r="D1751" s="3" t="s">
        <v>12</v>
      </c>
      <c r="E1751" s="3" t="s">
        <v>13</v>
      </c>
      <c r="F1751" s="2">
        <v>80360</v>
      </c>
      <c r="G1751" s="2">
        <v>0</v>
      </c>
      <c r="H1751" s="2">
        <v>0</v>
      </c>
      <c r="I1751" s="4">
        <v>41336</v>
      </c>
      <c r="J1751" s="2">
        <v>56</v>
      </c>
    </row>
    <row r="1752" spans="1:10" ht="12.5">
      <c r="A1752" s="2">
        <v>1750</v>
      </c>
      <c r="B1752" s="2">
        <v>3571</v>
      </c>
      <c r="C1752" s="2">
        <v>1961</v>
      </c>
      <c r="D1752" s="3" t="s">
        <v>12</v>
      </c>
      <c r="E1752" s="3" t="s">
        <v>11</v>
      </c>
      <c r="F1752" s="2">
        <v>63342</v>
      </c>
      <c r="G1752" s="2">
        <v>0</v>
      </c>
      <c r="H1752" s="2">
        <v>1</v>
      </c>
      <c r="I1752" s="5">
        <v>41198</v>
      </c>
      <c r="J1752" s="2">
        <v>48</v>
      </c>
    </row>
    <row r="1753" spans="1:10" ht="12.5">
      <c r="A1753" s="2">
        <v>1751</v>
      </c>
      <c r="B1753" s="2">
        <v>7807</v>
      </c>
      <c r="C1753" s="2">
        <v>1974</v>
      </c>
      <c r="D1753" s="3" t="s">
        <v>9</v>
      </c>
      <c r="E1753" s="3" t="s">
        <v>13</v>
      </c>
      <c r="F1753" s="2">
        <v>44989</v>
      </c>
      <c r="G1753" s="2">
        <v>0</v>
      </c>
      <c r="H1753" s="2">
        <v>1</v>
      </c>
      <c r="I1753" s="4">
        <v>41164</v>
      </c>
      <c r="J1753" s="2">
        <v>26</v>
      </c>
    </row>
    <row r="1754" spans="1:10" ht="12.5">
      <c r="A1754" s="2">
        <v>1752</v>
      </c>
      <c r="B1754" s="2">
        <v>3878</v>
      </c>
      <c r="C1754" s="2">
        <v>1980</v>
      </c>
      <c r="D1754" s="3" t="s">
        <v>17</v>
      </c>
      <c r="E1754" s="3" t="s">
        <v>10</v>
      </c>
      <c r="F1754" s="2">
        <v>31859</v>
      </c>
      <c r="G1754" s="2">
        <v>1</v>
      </c>
      <c r="H1754" s="2">
        <v>0</v>
      </c>
      <c r="I1754" s="4">
        <v>41697</v>
      </c>
      <c r="J1754" s="2">
        <v>3</v>
      </c>
    </row>
    <row r="1755" spans="1:10" ht="12.5">
      <c r="A1755" s="2">
        <v>1753</v>
      </c>
      <c r="B1755" s="2">
        <v>5092</v>
      </c>
      <c r="C1755" s="2">
        <v>1949</v>
      </c>
      <c r="D1755" s="3" t="s">
        <v>12</v>
      </c>
      <c r="E1755" s="3" t="s">
        <v>18</v>
      </c>
      <c r="F1755" s="2">
        <v>51569</v>
      </c>
      <c r="G1755" s="2">
        <v>0</v>
      </c>
      <c r="H1755" s="2">
        <v>1</v>
      </c>
      <c r="I1755" s="4">
        <v>41317</v>
      </c>
      <c r="J1755" s="2">
        <v>39</v>
      </c>
    </row>
    <row r="1756" spans="1:10" ht="12.5">
      <c r="A1756" s="2">
        <v>1754</v>
      </c>
      <c r="B1756" s="2">
        <v>2154</v>
      </c>
      <c r="C1756" s="2">
        <v>1971</v>
      </c>
      <c r="D1756" s="3" t="s">
        <v>9</v>
      </c>
      <c r="E1756" s="3" t="s">
        <v>18</v>
      </c>
      <c r="F1756" s="2">
        <v>30372</v>
      </c>
      <c r="G1756" s="2">
        <v>1</v>
      </c>
      <c r="H1756" s="2">
        <v>1</v>
      </c>
      <c r="I1756" s="5">
        <v>41268</v>
      </c>
      <c r="J1756" s="2">
        <v>33</v>
      </c>
    </row>
    <row r="1757" spans="1:10" ht="12.5">
      <c r="A1757" s="2">
        <v>1755</v>
      </c>
      <c r="B1757" s="2">
        <v>5394</v>
      </c>
      <c r="C1757" s="2">
        <v>1979</v>
      </c>
      <c r="D1757" s="3" t="s">
        <v>16</v>
      </c>
      <c r="E1757" s="3" t="s">
        <v>10</v>
      </c>
      <c r="F1757" s="2">
        <v>16014</v>
      </c>
      <c r="G1757" s="2">
        <v>1</v>
      </c>
      <c r="H1757" s="2">
        <v>1</v>
      </c>
      <c r="I1757" s="4">
        <v>41350</v>
      </c>
      <c r="J1757" s="2">
        <v>42</v>
      </c>
    </row>
    <row r="1758" spans="1:10" ht="12.5">
      <c r="A1758" s="2">
        <v>1756</v>
      </c>
      <c r="B1758" s="2">
        <v>3798</v>
      </c>
      <c r="C1758" s="2">
        <v>1968</v>
      </c>
      <c r="D1758" s="3" t="s">
        <v>9</v>
      </c>
      <c r="E1758" s="3" t="s">
        <v>13</v>
      </c>
      <c r="F1758" s="2">
        <v>41120</v>
      </c>
      <c r="G1758" s="2">
        <v>1</v>
      </c>
      <c r="H1758" s="2">
        <v>1</v>
      </c>
      <c r="I1758" s="4">
        <v>41584</v>
      </c>
      <c r="J1758" s="2">
        <v>80</v>
      </c>
    </row>
    <row r="1759" spans="1:10" ht="12.5">
      <c r="A1759" s="2">
        <v>1757</v>
      </c>
      <c r="B1759" s="2">
        <v>3524</v>
      </c>
      <c r="C1759" s="2">
        <v>1971</v>
      </c>
      <c r="D1759" s="3" t="s">
        <v>14</v>
      </c>
      <c r="E1759" s="3" t="s">
        <v>10</v>
      </c>
      <c r="F1759" s="2">
        <v>39763</v>
      </c>
      <c r="G1759" s="2">
        <v>1</v>
      </c>
      <c r="H1759" s="2">
        <v>0</v>
      </c>
      <c r="I1759" s="4">
        <v>41490</v>
      </c>
      <c r="J1759" s="2">
        <v>9</v>
      </c>
    </row>
    <row r="1760" spans="1:10" ht="12.5">
      <c r="A1760" s="2">
        <v>1758</v>
      </c>
      <c r="B1760" s="2">
        <v>5247</v>
      </c>
      <c r="C1760" s="2">
        <v>1955</v>
      </c>
      <c r="D1760" s="3" t="s">
        <v>12</v>
      </c>
      <c r="E1760" s="3" t="s">
        <v>13</v>
      </c>
      <c r="F1760" s="2">
        <v>38725</v>
      </c>
      <c r="G1760" s="2">
        <v>1</v>
      </c>
      <c r="H1760" s="2">
        <v>1</v>
      </c>
      <c r="I1760" s="4">
        <v>41769</v>
      </c>
      <c r="J1760" s="2">
        <v>52</v>
      </c>
    </row>
    <row r="1761" spans="1:10" ht="12.5">
      <c r="A1761" s="2">
        <v>1759</v>
      </c>
      <c r="B1761" s="2">
        <v>5883</v>
      </c>
      <c r="C1761" s="2">
        <v>1972</v>
      </c>
      <c r="D1761" s="3" t="s">
        <v>9</v>
      </c>
      <c r="E1761" s="3" t="s">
        <v>13</v>
      </c>
      <c r="F1761" s="2">
        <v>77981</v>
      </c>
      <c r="G1761" s="2">
        <v>1</v>
      </c>
      <c r="H1761" s="2">
        <v>0</v>
      </c>
      <c r="I1761" s="4">
        <v>41420</v>
      </c>
      <c r="J1761" s="2">
        <v>78</v>
      </c>
    </row>
    <row r="1762" spans="1:10" ht="12.5">
      <c r="A1762" s="2">
        <v>1760</v>
      </c>
      <c r="B1762" s="2">
        <v>2118</v>
      </c>
      <c r="C1762" s="2">
        <v>1964</v>
      </c>
      <c r="D1762" s="3" t="s">
        <v>17</v>
      </c>
      <c r="E1762" s="3" t="s">
        <v>13</v>
      </c>
      <c r="F1762" s="2">
        <v>62905</v>
      </c>
      <c r="G1762" s="2">
        <v>0</v>
      </c>
      <c r="H1762" s="2">
        <v>1</v>
      </c>
      <c r="I1762" s="4">
        <v>41527</v>
      </c>
      <c r="J1762" s="2">
        <v>68</v>
      </c>
    </row>
    <row r="1763" spans="1:10" ht="12.5">
      <c r="A1763" s="2">
        <v>1761</v>
      </c>
      <c r="B1763" s="2">
        <v>8812</v>
      </c>
      <c r="C1763" s="2">
        <v>1979</v>
      </c>
      <c r="D1763" s="3" t="s">
        <v>17</v>
      </c>
      <c r="E1763" s="3" t="s">
        <v>15</v>
      </c>
      <c r="F1763" s="2">
        <v>13533</v>
      </c>
      <c r="G1763" s="2">
        <v>1</v>
      </c>
      <c r="H1763" s="2">
        <v>0</v>
      </c>
      <c r="I1763" s="4">
        <v>41343</v>
      </c>
      <c r="J1763" s="2">
        <v>45</v>
      </c>
    </row>
    <row r="1764" spans="1:10" ht="12.5">
      <c r="A1764" s="2">
        <v>1762</v>
      </c>
      <c r="B1764" s="2">
        <v>6616</v>
      </c>
      <c r="C1764" s="2">
        <v>1975</v>
      </c>
      <c r="D1764" s="3" t="s">
        <v>9</v>
      </c>
      <c r="E1764" s="3" t="s">
        <v>11</v>
      </c>
      <c r="F1764" s="2">
        <v>59481</v>
      </c>
      <c r="G1764" s="2">
        <v>0</v>
      </c>
      <c r="H1764" s="2">
        <v>1</v>
      </c>
      <c r="I1764" s="5">
        <v>41570</v>
      </c>
      <c r="J1764" s="2">
        <v>47</v>
      </c>
    </row>
    <row r="1765" spans="1:10" ht="12.5">
      <c r="A1765" s="2">
        <v>1763</v>
      </c>
      <c r="B1765" s="2">
        <v>2797</v>
      </c>
      <c r="C1765" s="2">
        <v>1977</v>
      </c>
      <c r="D1765" s="3" t="s">
        <v>9</v>
      </c>
      <c r="E1765" s="3" t="s">
        <v>13</v>
      </c>
      <c r="F1765" s="2">
        <v>72117</v>
      </c>
      <c r="G1765" s="2">
        <v>0</v>
      </c>
      <c r="H1765" s="2">
        <v>1</v>
      </c>
      <c r="I1765" s="4">
        <v>41506</v>
      </c>
      <c r="J1765" s="2">
        <v>34</v>
      </c>
    </row>
    <row r="1766" spans="1:10" ht="12.5">
      <c r="A1766" s="2">
        <v>1764</v>
      </c>
      <c r="B1766" s="2">
        <v>4328</v>
      </c>
      <c r="C1766" s="2">
        <v>1986</v>
      </c>
      <c r="D1766" s="3" t="s">
        <v>17</v>
      </c>
      <c r="E1766" s="3" t="s">
        <v>13</v>
      </c>
      <c r="F1766" s="2">
        <v>21955</v>
      </c>
      <c r="G1766" s="2">
        <v>1</v>
      </c>
      <c r="H1766" s="2">
        <v>0</v>
      </c>
      <c r="I1766" s="4">
        <v>41524</v>
      </c>
      <c r="J1766" s="2">
        <v>81</v>
      </c>
    </row>
    <row r="1767" spans="1:10" ht="12.5">
      <c r="A1767" s="2">
        <v>1765</v>
      </c>
      <c r="B1767" s="2">
        <v>9167</v>
      </c>
      <c r="C1767" s="2">
        <v>1956</v>
      </c>
      <c r="D1767" s="3" t="s">
        <v>9</v>
      </c>
      <c r="E1767" s="3" t="s">
        <v>13</v>
      </c>
      <c r="F1767" s="2">
        <v>67131</v>
      </c>
      <c r="G1767" s="2">
        <v>0</v>
      </c>
      <c r="H1767" s="2">
        <v>1</v>
      </c>
      <c r="I1767" s="4">
        <v>41359</v>
      </c>
      <c r="J1767" s="2">
        <v>72</v>
      </c>
    </row>
    <row r="1768" spans="1:10" ht="12.5">
      <c r="A1768" s="2">
        <v>1766</v>
      </c>
      <c r="B1768" s="2">
        <v>10560</v>
      </c>
      <c r="C1768" s="2">
        <v>1980</v>
      </c>
      <c r="D1768" s="3" t="s">
        <v>12</v>
      </c>
      <c r="E1768" s="3" t="s">
        <v>10</v>
      </c>
      <c r="F1768" s="2">
        <v>36802</v>
      </c>
      <c r="G1768" s="2">
        <v>1</v>
      </c>
      <c r="H1768" s="2">
        <v>0</v>
      </c>
      <c r="I1768" s="4">
        <v>41806</v>
      </c>
      <c r="J1768" s="2">
        <v>23</v>
      </c>
    </row>
    <row r="1769" spans="1:10" ht="12.5">
      <c r="A1769" s="2">
        <v>1767</v>
      </c>
      <c r="B1769" s="2">
        <v>2631</v>
      </c>
      <c r="C1769" s="2">
        <v>1982</v>
      </c>
      <c r="D1769" s="3" t="s">
        <v>9</v>
      </c>
      <c r="E1769" s="3" t="s">
        <v>11</v>
      </c>
      <c r="F1769" s="2">
        <v>71853</v>
      </c>
      <c r="G1769" s="2">
        <v>0</v>
      </c>
      <c r="H1769" s="2">
        <v>0</v>
      </c>
      <c r="I1769" s="4">
        <v>41402</v>
      </c>
      <c r="J1769" s="2">
        <v>29</v>
      </c>
    </row>
    <row r="1770" spans="1:10" ht="12.5">
      <c r="A1770" s="2">
        <v>1768</v>
      </c>
      <c r="B1770" s="2">
        <v>8312</v>
      </c>
      <c r="C1770" s="2">
        <v>1961</v>
      </c>
      <c r="D1770" s="3" t="s">
        <v>16</v>
      </c>
      <c r="E1770" s="3" t="s">
        <v>13</v>
      </c>
      <c r="F1770" s="2">
        <v>28249</v>
      </c>
      <c r="G1770" s="2">
        <v>0</v>
      </c>
      <c r="H1770" s="2">
        <v>0</v>
      </c>
      <c r="I1770" s="4">
        <v>41805</v>
      </c>
      <c r="J1770" s="2">
        <v>80</v>
      </c>
    </row>
    <row r="1771" spans="1:10" ht="12.5">
      <c r="A1771" s="2">
        <v>1769</v>
      </c>
      <c r="B1771" s="2">
        <v>5534</v>
      </c>
      <c r="C1771" s="2">
        <v>1975</v>
      </c>
      <c r="D1771" s="3" t="s">
        <v>14</v>
      </c>
      <c r="E1771" s="3" t="s">
        <v>13</v>
      </c>
      <c r="F1771" s="2">
        <v>47808</v>
      </c>
      <c r="G1771" s="2">
        <v>0</v>
      </c>
      <c r="H1771" s="2">
        <v>1</v>
      </c>
      <c r="I1771" s="5">
        <v>41567</v>
      </c>
      <c r="J1771" s="2">
        <v>30</v>
      </c>
    </row>
    <row r="1772" spans="1:10" ht="12.5">
      <c r="A1772" s="2">
        <v>1770</v>
      </c>
      <c r="B1772" s="2">
        <v>5093</v>
      </c>
      <c r="C1772" s="2">
        <v>1974</v>
      </c>
      <c r="D1772" s="3" t="s">
        <v>12</v>
      </c>
      <c r="E1772" s="3" t="s">
        <v>15</v>
      </c>
      <c r="F1772" s="2">
        <v>25509</v>
      </c>
      <c r="G1772" s="2">
        <v>1</v>
      </c>
      <c r="H1772" s="2">
        <v>0</v>
      </c>
      <c r="I1772" s="4">
        <v>41170</v>
      </c>
      <c r="J1772" s="2">
        <v>15</v>
      </c>
    </row>
    <row r="1773" spans="1:10" ht="12.5">
      <c r="A1773" s="2">
        <v>1771</v>
      </c>
      <c r="B1773" s="2">
        <v>7592</v>
      </c>
      <c r="C1773" s="2">
        <v>1946</v>
      </c>
      <c r="D1773" s="3" t="s">
        <v>12</v>
      </c>
      <c r="E1773" s="3" t="s">
        <v>13</v>
      </c>
      <c r="F1773" s="2">
        <v>51012</v>
      </c>
      <c r="G1773" s="2">
        <v>0</v>
      </c>
      <c r="H1773" s="2">
        <v>0</v>
      </c>
      <c r="I1773" s="4">
        <v>41382</v>
      </c>
      <c r="J1773" s="2">
        <v>86</v>
      </c>
    </row>
    <row r="1774" spans="1:10" ht="12.5">
      <c r="A1774" s="2">
        <v>1772</v>
      </c>
      <c r="B1774" s="2">
        <v>8895</v>
      </c>
      <c r="C1774" s="2">
        <v>1985</v>
      </c>
      <c r="D1774" s="3" t="s">
        <v>9</v>
      </c>
      <c r="E1774" s="3" t="s">
        <v>10</v>
      </c>
      <c r="F1774" s="2">
        <v>70596</v>
      </c>
      <c r="G1774" s="2">
        <v>0</v>
      </c>
      <c r="H1774" s="2">
        <v>0</v>
      </c>
      <c r="I1774" s="4">
        <v>41187</v>
      </c>
      <c r="J1774" s="2">
        <v>68</v>
      </c>
    </row>
    <row r="1775" spans="1:10" ht="12.5">
      <c r="A1775" s="2">
        <v>1773</v>
      </c>
      <c r="B1775" s="2">
        <v>8584</v>
      </c>
      <c r="C1775" s="2">
        <v>1952</v>
      </c>
      <c r="D1775" s="3" t="s">
        <v>12</v>
      </c>
      <c r="E1775" s="3" t="s">
        <v>11</v>
      </c>
      <c r="F1775" s="2">
        <v>85431</v>
      </c>
      <c r="G1775" s="2">
        <v>0</v>
      </c>
      <c r="H1775" s="2">
        <v>0</v>
      </c>
      <c r="I1775" s="4">
        <v>41433</v>
      </c>
      <c r="J1775" s="2">
        <v>54</v>
      </c>
    </row>
    <row r="1776" spans="1:10" ht="12.5">
      <c r="A1776" s="2">
        <v>1774</v>
      </c>
      <c r="B1776" s="2">
        <v>2694</v>
      </c>
      <c r="C1776" s="2">
        <v>1967</v>
      </c>
      <c r="D1776" s="3" t="s">
        <v>9</v>
      </c>
      <c r="E1776" s="3" t="s">
        <v>13</v>
      </c>
      <c r="F1776" s="2">
        <v>42664</v>
      </c>
      <c r="G1776" s="2">
        <v>0</v>
      </c>
      <c r="H1776" s="2">
        <v>1</v>
      </c>
      <c r="I1776" s="4">
        <v>41716</v>
      </c>
      <c r="J1776" s="2">
        <v>44</v>
      </c>
    </row>
    <row r="1777" spans="1:10" ht="12.5">
      <c r="A1777" s="2">
        <v>1775</v>
      </c>
      <c r="B1777" s="2">
        <v>8910</v>
      </c>
      <c r="C1777" s="2">
        <v>1955</v>
      </c>
      <c r="D1777" s="3" t="s">
        <v>9</v>
      </c>
      <c r="E1777" s="3" t="s">
        <v>11</v>
      </c>
      <c r="F1777" s="2">
        <v>42586</v>
      </c>
      <c r="G1777" s="2">
        <v>1</v>
      </c>
      <c r="H1777" s="2">
        <v>1</v>
      </c>
      <c r="I1777" s="5">
        <v>41211</v>
      </c>
      <c r="J1777" s="2">
        <v>7</v>
      </c>
    </row>
    <row r="1778" spans="1:10" ht="12.5">
      <c r="A1778" s="2">
        <v>1776</v>
      </c>
      <c r="B1778" s="2">
        <v>7433</v>
      </c>
      <c r="C1778" s="2">
        <v>1985</v>
      </c>
      <c r="D1778" s="3" t="s">
        <v>9</v>
      </c>
      <c r="E1778" s="3" t="s">
        <v>10</v>
      </c>
      <c r="F1778" s="2">
        <v>29760</v>
      </c>
      <c r="G1778" s="2">
        <v>1</v>
      </c>
      <c r="H1778" s="2">
        <v>0</v>
      </c>
      <c r="I1778" s="4">
        <v>41150</v>
      </c>
      <c r="J1778" s="2">
        <v>87</v>
      </c>
    </row>
    <row r="1779" spans="1:10" ht="12.5">
      <c r="A1779" s="2">
        <v>1777</v>
      </c>
      <c r="B1779" s="2">
        <v>164</v>
      </c>
      <c r="C1779" s="2">
        <v>1977</v>
      </c>
      <c r="D1779" s="3" t="s">
        <v>12</v>
      </c>
      <c r="E1779" s="3" t="s">
        <v>13</v>
      </c>
      <c r="F1779" s="2">
        <v>28973</v>
      </c>
      <c r="G1779" s="2">
        <v>0</v>
      </c>
      <c r="H1779" s="2">
        <v>0</v>
      </c>
      <c r="I1779" s="5">
        <v>41195</v>
      </c>
      <c r="J1779" s="2">
        <v>59</v>
      </c>
    </row>
    <row r="1780" spans="1:10" ht="12.5">
      <c r="A1780" s="2">
        <v>1778</v>
      </c>
      <c r="B1780" s="2">
        <v>10477</v>
      </c>
      <c r="C1780" s="2">
        <v>1973</v>
      </c>
      <c r="D1780" s="3" t="s">
        <v>12</v>
      </c>
      <c r="E1780" s="3" t="s">
        <v>11</v>
      </c>
      <c r="F1780" s="2">
        <v>39435</v>
      </c>
      <c r="G1780" s="2">
        <v>1</v>
      </c>
      <c r="H1780" s="2">
        <v>0</v>
      </c>
      <c r="I1780" s="4">
        <v>41492</v>
      </c>
      <c r="J1780" s="2">
        <v>16</v>
      </c>
    </row>
    <row r="1781" spans="1:10" ht="12.5">
      <c r="A1781" s="2">
        <v>1779</v>
      </c>
      <c r="B1781" s="2">
        <v>2681</v>
      </c>
      <c r="C1781" s="2">
        <v>1984</v>
      </c>
      <c r="D1781" s="3" t="s">
        <v>17</v>
      </c>
      <c r="E1781" s="3" t="s">
        <v>13</v>
      </c>
      <c r="F1781" s="2">
        <v>65370</v>
      </c>
      <c r="G1781" s="2">
        <v>0</v>
      </c>
      <c r="H1781" s="2">
        <v>0</v>
      </c>
      <c r="I1781" s="4">
        <v>41487</v>
      </c>
      <c r="J1781" s="2">
        <v>1</v>
      </c>
    </row>
    <row r="1782" spans="1:10" ht="12.5">
      <c r="A1782" s="2">
        <v>1780</v>
      </c>
      <c r="B1782" s="2">
        <v>5150</v>
      </c>
      <c r="C1782" s="2">
        <v>1979</v>
      </c>
      <c r="D1782" s="3" t="s">
        <v>16</v>
      </c>
      <c r="E1782" s="3" t="s">
        <v>10</v>
      </c>
      <c r="F1782" s="2">
        <v>20194</v>
      </c>
      <c r="G1782" s="2">
        <v>1</v>
      </c>
      <c r="H1782" s="2">
        <v>0</v>
      </c>
      <c r="I1782" s="5">
        <v>41260</v>
      </c>
      <c r="J1782" s="2">
        <v>64</v>
      </c>
    </row>
    <row r="1783" spans="1:10" ht="12.5">
      <c r="A1783" s="2">
        <v>1781</v>
      </c>
      <c r="B1783" s="2">
        <v>5283</v>
      </c>
      <c r="C1783" s="2">
        <v>1976</v>
      </c>
      <c r="D1783" s="3" t="s">
        <v>12</v>
      </c>
      <c r="E1783" s="3" t="s">
        <v>10</v>
      </c>
      <c r="F1783" s="2">
        <v>42473</v>
      </c>
      <c r="G1783" s="2">
        <v>1</v>
      </c>
      <c r="H1783" s="2">
        <v>1</v>
      </c>
      <c r="I1783" s="4">
        <v>41687</v>
      </c>
      <c r="J1783" s="2">
        <v>72</v>
      </c>
    </row>
    <row r="1784" spans="1:10" ht="12.5">
      <c r="A1784" s="2">
        <v>1782</v>
      </c>
      <c r="B1784" s="2">
        <v>9645</v>
      </c>
      <c r="C1784" s="2">
        <v>1968</v>
      </c>
      <c r="D1784" s="3" t="s">
        <v>9</v>
      </c>
      <c r="E1784" s="3" t="s">
        <v>13</v>
      </c>
      <c r="F1784" s="2">
        <v>64590</v>
      </c>
      <c r="G1784" s="2">
        <v>0</v>
      </c>
      <c r="H1784" s="2">
        <v>0</v>
      </c>
      <c r="I1784" s="5">
        <v>41196</v>
      </c>
      <c r="J1784" s="2">
        <v>98</v>
      </c>
    </row>
    <row r="1785" spans="1:10" ht="12.5">
      <c r="A1785" s="2">
        <v>1783</v>
      </c>
      <c r="B1785" s="2">
        <v>10678</v>
      </c>
      <c r="C1785" s="2">
        <v>1959</v>
      </c>
      <c r="D1785" s="3" t="s">
        <v>9</v>
      </c>
      <c r="E1785" s="3" t="s">
        <v>11</v>
      </c>
      <c r="F1785" s="2">
        <v>71232</v>
      </c>
      <c r="G1785" s="2">
        <v>0</v>
      </c>
      <c r="H1785" s="2">
        <v>1</v>
      </c>
      <c r="I1785" s="5">
        <v>41606</v>
      </c>
      <c r="J1785" s="2">
        <v>91</v>
      </c>
    </row>
    <row r="1786" spans="1:10" ht="12.5">
      <c r="A1786" s="2">
        <v>1784</v>
      </c>
      <c r="B1786" s="2">
        <v>7261</v>
      </c>
      <c r="C1786" s="2">
        <v>1971</v>
      </c>
      <c r="D1786" s="3" t="s">
        <v>9</v>
      </c>
      <c r="E1786" s="3" t="s">
        <v>11</v>
      </c>
      <c r="F1786" s="2">
        <v>34600</v>
      </c>
      <c r="G1786" s="2">
        <v>1</v>
      </c>
      <c r="H1786" s="2">
        <v>1</v>
      </c>
      <c r="I1786" s="4">
        <v>41275</v>
      </c>
      <c r="J1786" s="2">
        <v>8</v>
      </c>
    </row>
    <row r="1787" spans="1:10" ht="12.5">
      <c r="A1787" s="2">
        <v>1785</v>
      </c>
      <c r="B1787" s="2">
        <v>9648</v>
      </c>
      <c r="C1787" s="2">
        <v>1967</v>
      </c>
      <c r="D1787" s="3" t="s">
        <v>9</v>
      </c>
      <c r="E1787" s="3" t="s">
        <v>10</v>
      </c>
      <c r="F1787" s="2">
        <v>46904</v>
      </c>
      <c r="G1787" s="2">
        <v>1</v>
      </c>
      <c r="H1787" s="2">
        <v>1</v>
      </c>
      <c r="I1787" s="4">
        <v>41216</v>
      </c>
      <c r="J1787" s="2">
        <v>20</v>
      </c>
    </row>
    <row r="1788" spans="1:10" ht="12.5">
      <c r="A1788" s="2">
        <v>1786</v>
      </c>
      <c r="B1788" s="2">
        <v>2870</v>
      </c>
      <c r="C1788" s="2">
        <v>1973</v>
      </c>
      <c r="D1788" s="3" t="s">
        <v>9</v>
      </c>
      <c r="E1788" s="3" t="s">
        <v>13</v>
      </c>
      <c r="F1788" s="2">
        <v>49094</v>
      </c>
      <c r="G1788" s="2">
        <v>0</v>
      </c>
      <c r="H1788" s="2">
        <v>1</v>
      </c>
      <c r="I1788" s="4">
        <v>41173</v>
      </c>
      <c r="J1788" s="2">
        <v>6</v>
      </c>
    </row>
    <row r="1789" spans="1:10" ht="12.5">
      <c r="A1789" s="2">
        <v>1787</v>
      </c>
      <c r="B1789" s="2">
        <v>8008</v>
      </c>
      <c r="C1789" s="2">
        <v>1983</v>
      </c>
      <c r="D1789" s="3" t="s">
        <v>9</v>
      </c>
      <c r="E1789" s="3" t="s">
        <v>11</v>
      </c>
      <c r="F1789" s="2">
        <v>36075</v>
      </c>
      <c r="G1789" s="2">
        <v>1</v>
      </c>
      <c r="H1789" s="2">
        <v>0</v>
      </c>
      <c r="I1789" s="4">
        <v>41617</v>
      </c>
      <c r="J1789" s="2">
        <v>54</v>
      </c>
    </row>
    <row r="1790" spans="1:10" ht="12.5">
      <c r="A1790" s="2">
        <v>1788</v>
      </c>
      <c r="B1790" s="2">
        <v>1513</v>
      </c>
      <c r="C1790" s="2">
        <v>1979</v>
      </c>
      <c r="D1790" s="3" t="s">
        <v>17</v>
      </c>
      <c r="E1790" s="3" t="s">
        <v>11</v>
      </c>
      <c r="F1790" s="2">
        <v>60839</v>
      </c>
      <c r="G1790" s="2">
        <v>1</v>
      </c>
      <c r="H1790" s="2">
        <v>1</v>
      </c>
      <c r="I1790" s="4">
        <v>41149</v>
      </c>
      <c r="J1790" s="2">
        <v>72</v>
      </c>
    </row>
    <row r="1791" spans="1:10" ht="12.5">
      <c r="A1791" s="2">
        <v>1789</v>
      </c>
      <c r="B1791" s="2">
        <v>6173</v>
      </c>
      <c r="C1791" s="2">
        <v>1979</v>
      </c>
      <c r="D1791" s="3" t="s">
        <v>9</v>
      </c>
      <c r="E1791" s="3" t="s">
        <v>11</v>
      </c>
      <c r="F1791" s="2">
        <v>77298</v>
      </c>
      <c r="G1791" s="2">
        <v>0</v>
      </c>
      <c r="H1791" s="2">
        <v>1</v>
      </c>
      <c r="I1791" s="4">
        <v>41580</v>
      </c>
      <c r="J1791" s="2">
        <v>46</v>
      </c>
    </row>
    <row r="1792" spans="1:10" ht="12.5">
      <c r="A1792" s="2">
        <v>1790</v>
      </c>
      <c r="B1792" s="2">
        <v>1419</v>
      </c>
      <c r="C1792" s="2">
        <v>1950</v>
      </c>
      <c r="D1792" s="3" t="s">
        <v>9</v>
      </c>
      <c r="E1792" s="3" t="s">
        <v>11</v>
      </c>
      <c r="F1792" s="2">
        <v>34026</v>
      </c>
      <c r="G1792" s="2">
        <v>1</v>
      </c>
      <c r="H1792" s="2">
        <v>1</v>
      </c>
      <c r="I1792" s="4">
        <v>41491</v>
      </c>
      <c r="J1792" s="2">
        <v>11</v>
      </c>
    </row>
    <row r="1793" spans="1:10" ht="12.5">
      <c r="A1793" s="2">
        <v>1791</v>
      </c>
      <c r="B1793" s="2">
        <v>9150</v>
      </c>
      <c r="C1793" s="2">
        <v>1963</v>
      </c>
      <c r="D1793" s="3" t="s">
        <v>12</v>
      </c>
      <c r="E1793" s="3" t="s">
        <v>10</v>
      </c>
      <c r="F1793" s="2">
        <v>48918</v>
      </c>
      <c r="G1793" s="2">
        <v>1</v>
      </c>
      <c r="H1793" s="2">
        <v>1</v>
      </c>
      <c r="I1793" s="4">
        <v>41741</v>
      </c>
      <c r="J1793" s="2">
        <v>21</v>
      </c>
    </row>
    <row r="1794" spans="1:10" ht="12.5">
      <c r="A1794" s="2">
        <v>1792</v>
      </c>
      <c r="B1794" s="2">
        <v>7960</v>
      </c>
      <c r="C1794" s="2">
        <v>1962</v>
      </c>
      <c r="D1794" s="3" t="s">
        <v>17</v>
      </c>
      <c r="E1794" s="3" t="s">
        <v>11</v>
      </c>
      <c r="F1794" s="2">
        <v>82122</v>
      </c>
      <c r="G1794" s="2">
        <v>0</v>
      </c>
      <c r="H1794" s="2">
        <v>0</v>
      </c>
      <c r="I1794" s="4">
        <v>41501</v>
      </c>
      <c r="J1794" s="2">
        <v>89</v>
      </c>
    </row>
    <row r="1795" spans="1:10" ht="12.5">
      <c r="A1795" s="2">
        <v>1793</v>
      </c>
      <c r="B1795" s="2">
        <v>1250</v>
      </c>
      <c r="C1795" s="2">
        <v>1976</v>
      </c>
      <c r="D1795" s="3" t="s">
        <v>9</v>
      </c>
      <c r="E1795" s="3" t="s">
        <v>10</v>
      </c>
      <c r="F1795" s="2">
        <v>37697</v>
      </c>
      <c r="G1795" s="2">
        <v>1</v>
      </c>
      <c r="H1795" s="2">
        <v>0</v>
      </c>
      <c r="I1795" s="4">
        <v>41677</v>
      </c>
      <c r="J1795" s="2">
        <v>82</v>
      </c>
    </row>
    <row r="1796" spans="1:10" ht="12.5">
      <c r="A1796" s="2">
        <v>1794</v>
      </c>
      <c r="B1796" s="2">
        <v>9905</v>
      </c>
      <c r="C1796" s="2">
        <v>1952</v>
      </c>
      <c r="D1796" s="3" t="s">
        <v>9</v>
      </c>
      <c r="E1796" s="3" t="s">
        <v>11</v>
      </c>
      <c r="F1796" s="2">
        <v>34074</v>
      </c>
      <c r="G1796" s="2">
        <v>1</v>
      </c>
      <c r="H1796" s="2">
        <v>1</v>
      </c>
      <c r="I1796" s="4">
        <v>41468</v>
      </c>
      <c r="J1796" s="2">
        <v>69</v>
      </c>
    </row>
    <row r="1797" spans="1:10" ht="12.5">
      <c r="A1797" s="2">
        <v>1795</v>
      </c>
      <c r="B1797" s="2">
        <v>10691</v>
      </c>
      <c r="C1797" s="2">
        <v>1960</v>
      </c>
      <c r="D1797" s="3" t="s">
        <v>14</v>
      </c>
      <c r="E1797" s="3" t="s">
        <v>13</v>
      </c>
      <c r="F1797" s="2">
        <v>28520</v>
      </c>
      <c r="G1797" s="2">
        <v>1</v>
      </c>
      <c r="H1797" s="2">
        <v>1</v>
      </c>
      <c r="I1797" s="4">
        <v>41439</v>
      </c>
      <c r="J1797" s="2">
        <v>55</v>
      </c>
    </row>
    <row r="1798" spans="1:10" ht="12.5">
      <c r="A1798" s="2">
        <v>1796</v>
      </c>
      <c r="B1798" s="2">
        <v>7002</v>
      </c>
      <c r="C1798" s="2">
        <v>1955</v>
      </c>
      <c r="D1798" s="3" t="s">
        <v>9</v>
      </c>
      <c r="E1798" s="3" t="s">
        <v>10</v>
      </c>
      <c r="F1798" s="2">
        <v>62535</v>
      </c>
      <c r="G1798" s="2">
        <v>0</v>
      </c>
      <c r="H1798" s="2">
        <v>1</v>
      </c>
      <c r="I1798" s="4">
        <v>41550</v>
      </c>
      <c r="J1798" s="2">
        <v>13</v>
      </c>
    </row>
    <row r="1799" spans="1:10" ht="12.5">
      <c r="A1799" s="2">
        <v>1797</v>
      </c>
      <c r="B1799" s="2">
        <v>2952</v>
      </c>
      <c r="C1799" s="2">
        <v>1977</v>
      </c>
      <c r="D1799" s="3" t="s">
        <v>14</v>
      </c>
      <c r="E1799" s="3" t="s">
        <v>10</v>
      </c>
      <c r="F1799" s="2">
        <v>36273</v>
      </c>
      <c r="G1799" s="2">
        <v>1</v>
      </c>
      <c r="H1799" s="2">
        <v>0</v>
      </c>
      <c r="I1799" s="4">
        <v>41745</v>
      </c>
      <c r="J1799" s="2">
        <v>80</v>
      </c>
    </row>
    <row r="1800" spans="1:10" ht="12.5">
      <c r="A1800" s="2">
        <v>1798</v>
      </c>
      <c r="B1800" s="2">
        <v>8439</v>
      </c>
      <c r="C1800" s="2">
        <v>1964</v>
      </c>
      <c r="D1800" s="3" t="s">
        <v>9</v>
      </c>
      <c r="E1800" s="3" t="s">
        <v>11</v>
      </c>
      <c r="F1800" s="2">
        <v>63404</v>
      </c>
      <c r="G1800" s="2">
        <v>0</v>
      </c>
      <c r="H1800" s="2">
        <v>2</v>
      </c>
      <c r="I1800" s="4">
        <v>41796</v>
      </c>
      <c r="J1800" s="2">
        <v>97</v>
      </c>
    </row>
    <row r="1801" spans="1:10" ht="12.5">
      <c r="A1801" s="2">
        <v>1799</v>
      </c>
      <c r="B1801" s="2">
        <v>762</v>
      </c>
      <c r="C1801" s="2">
        <v>1981</v>
      </c>
      <c r="D1801" s="3" t="s">
        <v>17</v>
      </c>
      <c r="E1801" s="3" t="s">
        <v>11</v>
      </c>
      <c r="F1801" s="2">
        <v>75774</v>
      </c>
      <c r="G1801" s="2">
        <v>1</v>
      </c>
      <c r="H1801" s="2">
        <v>0</v>
      </c>
      <c r="I1801" s="4">
        <v>41761</v>
      </c>
      <c r="J1801" s="2">
        <v>27</v>
      </c>
    </row>
    <row r="1802" spans="1:10" ht="12.5">
      <c r="A1802" s="2">
        <v>1800</v>
      </c>
      <c r="B1802" s="2">
        <v>2831</v>
      </c>
      <c r="C1802" s="2">
        <v>1976</v>
      </c>
      <c r="D1802" s="3" t="s">
        <v>9</v>
      </c>
      <c r="E1802" s="3" t="s">
        <v>11</v>
      </c>
      <c r="F1802" s="2">
        <v>78416</v>
      </c>
      <c r="G1802" s="2">
        <v>0</v>
      </c>
      <c r="H1802" s="2">
        <v>1</v>
      </c>
      <c r="I1802" s="4">
        <v>41817</v>
      </c>
      <c r="J1802" s="2">
        <v>99</v>
      </c>
    </row>
    <row r="1803" spans="1:10" ht="12.5">
      <c r="A1803" s="2">
        <v>1801</v>
      </c>
      <c r="B1803" s="2">
        <v>6977</v>
      </c>
      <c r="C1803" s="2">
        <v>1974</v>
      </c>
      <c r="D1803" s="3" t="s">
        <v>9</v>
      </c>
      <c r="E1803" s="3" t="s">
        <v>11</v>
      </c>
      <c r="F1803" s="2">
        <v>75702</v>
      </c>
      <c r="G1803" s="2">
        <v>0</v>
      </c>
      <c r="H1803" s="2">
        <v>1</v>
      </c>
      <c r="I1803" s="5">
        <v>41196</v>
      </c>
      <c r="J1803" s="2">
        <v>87</v>
      </c>
    </row>
    <row r="1804" spans="1:10" ht="12.5">
      <c r="A1804" s="2">
        <v>1802</v>
      </c>
      <c r="B1804" s="2">
        <v>6289</v>
      </c>
      <c r="C1804" s="2">
        <v>1951</v>
      </c>
      <c r="D1804" s="3" t="s">
        <v>14</v>
      </c>
      <c r="E1804" s="3" t="s">
        <v>11</v>
      </c>
      <c r="F1804" s="2">
        <v>59385</v>
      </c>
      <c r="G1804" s="2">
        <v>1</v>
      </c>
      <c r="H1804" s="2">
        <v>1</v>
      </c>
      <c r="I1804" s="4">
        <v>41392</v>
      </c>
      <c r="J1804" s="2">
        <v>85</v>
      </c>
    </row>
    <row r="1805" spans="1:10" ht="12.5">
      <c r="A1805" s="2">
        <v>1803</v>
      </c>
      <c r="B1805" s="2">
        <v>4168</v>
      </c>
      <c r="C1805" s="2">
        <v>1966</v>
      </c>
      <c r="D1805" s="3" t="s">
        <v>9</v>
      </c>
      <c r="E1805" s="3" t="s">
        <v>10</v>
      </c>
      <c r="F1805" s="2">
        <v>37070</v>
      </c>
      <c r="G1805" s="2">
        <v>1</v>
      </c>
      <c r="H1805" s="2">
        <v>1</v>
      </c>
      <c r="I1805" s="4">
        <v>41353</v>
      </c>
      <c r="J1805" s="2">
        <v>30</v>
      </c>
    </row>
    <row r="1806" spans="1:10" ht="12.5">
      <c r="A1806" s="2">
        <v>1804</v>
      </c>
      <c r="B1806" s="2">
        <v>8397</v>
      </c>
      <c r="C1806" s="2">
        <v>1951</v>
      </c>
      <c r="D1806" s="3" t="s">
        <v>9</v>
      </c>
      <c r="E1806" s="3" t="s">
        <v>13</v>
      </c>
      <c r="F1806" s="2">
        <v>44689</v>
      </c>
      <c r="G1806" s="2">
        <v>1</v>
      </c>
      <c r="H1806" s="2">
        <v>1</v>
      </c>
      <c r="I1806" s="4">
        <v>41649</v>
      </c>
      <c r="J1806" s="2">
        <v>82</v>
      </c>
    </row>
    <row r="1807" spans="1:10" ht="12.5">
      <c r="A1807" s="2">
        <v>1805</v>
      </c>
      <c r="B1807" s="2">
        <v>9284</v>
      </c>
      <c r="C1807" s="2">
        <v>1958</v>
      </c>
      <c r="D1807" s="3" t="s">
        <v>9</v>
      </c>
      <c r="E1807" s="3" t="s">
        <v>11</v>
      </c>
      <c r="F1807" s="2">
        <v>53977</v>
      </c>
      <c r="G1807" s="2">
        <v>0</v>
      </c>
      <c r="H1807" s="2">
        <v>1</v>
      </c>
      <c r="I1807" s="4">
        <v>41433</v>
      </c>
      <c r="J1807" s="2">
        <v>21</v>
      </c>
    </row>
    <row r="1808" spans="1:10" ht="12.5">
      <c r="A1808" s="2">
        <v>1806</v>
      </c>
      <c r="B1808" s="2">
        <v>6237</v>
      </c>
      <c r="C1808" s="2">
        <v>1966</v>
      </c>
      <c r="D1808" s="3" t="s">
        <v>12</v>
      </c>
      <c r="E1808" s="3" t="s">
        <v>10</v>
      </c>
      <c r="F1808" s="2">
        <v>7144</v>
      </c>
      <c r="G1808" s="2">
        <v>0</v>
      </c>
      <c r="H1808" s="2">
        <v>2</v>
      </c>
      <c r="I1808" s="4">
        <v>41615</v>
      </c>
      <c r="J1808" s="2">
        <v>92</v>
      </c>
    </row>
    <row r="1809" spans="1:10" ht="12.5">
      <c r="A1809" s="2">
        <v>1807</v>
      </c>
      <c r="B1809" s="2">
        <v>3130</v>
      </c>
      <c r="C1809" s="2">
        <v>1964</v>
      </c>
      <c r="D1809" s="3" t="s">
        <v>9</v>
      </c>
      <c r="E1809" s="3" t="s">
        <v>10</v>
      </c>
      <c r="F1809" s="2">
        <v>18701</v>
      </c>
      <c r="G1809" s="2">
        <v>1</v>
      </c>
      <c r="H1809" s="2">
        <v>1</v>
      </c>
      <c r="I1809" s="4">
        <v>41429</v>
      </c>
      <c r="J1809" s="2">
        <v>95</v>
      </c>
    </row>
    <row r="1810" spans="1:10" ht="12.5">
      <c r="A1810" s="2">
        <v>1808</v>
      </c>
      <c r="B1810" s="2">
        <v>1619</v>
      </c>
      <c r="C1810" s="2">
        <v>1956</v>
      </c>
      <c r="D1810" s="3" t="s">
        <v>9</v>
      </c>
      <c r="E1810" s="3" t="s">
        <v>13</v>
      </c>
      <c r="F1810" s="2">
        <v>90369</v>
      </c>
      <c r="G1810" s="2">
        <v>0</v>
      </c>
      <c r="H1810" s="2">
        <v>0</v>
      </c>
      <c r="I1810" s="4">
        <v>41757</v>
      </c>
      <c r="J1810" s="2">
        <v>2</v>
      </c>
    </row>
    <row r="1811" spans="1:10" ht="12.5">
      <c r="A1811" s="2">
        <v>1809</v>
      </c>
      <c r="B1811" s="2">
        <v>1990</v>
      </c>
      <c r="C1811" s="2">
        <v>1974</v>
      </c>
      <c r="D1811" s="3" t="s">
        <v>12</v>
      </c>
      <c r="E1811" s="3" t="s">
        <v>10</v>
      </c>
      <c r="F1811" s="2">
        <v>63159</v>
      </c>
      <c r="G1811" s="2">
        <v>0</v>
      </c>
      <c r="H1811" s="2">
        <v>0</v>
      </c>
      <c r="I1811" s="4">
        <v>41218</v>
      </c>
      <c r="J1811" s="2">
        <v>74</v>
      </c>
    </row>
    <row r="1812" spans="1:10" ht="12.5">
      <c r="A1812" s="2">
        <v>1810</v>
      </c>
      <c r="B1812" s="2">
        <v>5513</v>
      </c>
      <c r="C1812" s="2">
        <v>1966</v>
      </c>
      <c r="D1812" s="3" t="s">
        <v>9</v>
      </c>
      <c r="E1812" s="3" t="s">
        <v>11</v>
      </c>
      <c r="F1812" s="2">
        <v>37758</v>
      </c>
      <c r="G1812" s="2">
        <v>1</v>
      </c>
      <c r="H1812" s="2">
        <v>1</v>
      </c>
      <c r="I1812" s="4">
        <v>41186</v>
      </c>
      <c r="J1812" s="2">
        <v>49</v>
      </c>
    </row>
    <row r="1813" spans="1:10" ht="12.5">
      <c r="A1813" s="2">
        <v>1811</v>
      </c>
      <c r="B1813" s="2">
        <v>269</v>
      </c>
      <c r="C1813" s="2">
        <v>1963</v>
      </c>
      <c r="D1813" s="3" t="s">
        <v>12</v>
      </c>
      <c r="E1813" s="3" t="s">
        <v>10</v>
      </c>
      <c r="F1813" s="2">
        <v>46757</v>
      </c>
      <c r="G1813" s="2">
        <v>0</v>
      </c>
      <c r="H1813" s="2">
        <v>1</v>
      </c>
      <c r="I1813" s="5">
        <v>41229</v>
      </c>
      <c r="J1813" s="2">
        <v>71</v>
      </c>
    </row>
    <row r="1814" spans="1:10" ht="12.5">
      <c r="A1814" s="2">
        <v>1812</v>
      </c>
      <c r="B1814" s="2">
        <v>8093</v>
      </c>
      <c r="C1814" s="2">
        <v>1969</v>
      </c>
      <c r="D1814" s="3" t="s">
        <v>14</v>
      </c>
      <c r="E1814" s="3" t="s">
        <v>13</v>
      </c>
      <c r="F1814" s="2">
        <v>79734</v>
      </c>
      <c r="G1814" s="2">
        <v>0</v>
      </c>
      <c r="H1814" s="2">
        <v>0</v>
      </c>
      <c r="I1814" s="4">
        <v>41818</v>
      </c>
      <c r="J1814" s="2">
        <v>72</v>
      </c>
    </row>
    <row r="1815" spans="1:10" ht="12.5">
      <c r="A1815" s="2">
        <v>1813</v>
      </c>
      <c r="B1815" s="2">
        <v>10513</v>
      </c>
      <c r="C1815" s="2">
        <v>1992</v>
      </c>
      <c r="D1815" s="3" t="s">
        <v>9</v>
      </c>
      <c r="E1815" s="3" t="s">
        <v>11</v>
      </c>
      <c r="F1815" s="2">
        <v>63207</v>
      </c>
      <c r="G1815" s="2">
        <v>0</v>
      </c>
      <c r="H1815" s="2">
        <v>0</v>
      </c>
      <c r="I1815" s="4">
        <v>41294</v>
      </c>
      <c r="J1815" s="2">
        <v>68</v>
      </c>
    </row>
    <row r="1816" spans="1:10" ht="12.5">
      <c r="A1816" s="2">
        <v>1814</v>
      </c>
      <c r="B1816" s="2">
        <v>10177</v>
      </c>
      <c r="C1816" s="2">
        <v>1954</v>
      </c>
      <c r="D1816" s="3" t="s">
        <v>9</v>
      </c>
      <c r="E1816" s="3" t="s">
        <v>15</v>
      </c>
      <c r="F1816" s="2">
        <v>72071</v>
      </c>
      <c r="G1816" s="2">
        <v>0</v>
      </c>
      <c r="H1816" s="2">
        <v>1</v>
      </c>
      <c r="I1816" s="4">
        <v>41319</v>
      </c>
      <c r="J1816" s="2">
        <v>4</v>
      </c>
    </row>
    <row r="1817" spans="1:10" ht="12.5">
      <c r="A1817" s="2">
        <v>1815</v>
      </c>
      <c r="B1817" s="2">
        <v>2549</v>
      </c>
      <c r="C1817" s="2">
        <v>1983</v>
      </c>
      <c r="D1817" s="3" t="s">
        <v>12</v>
      </c>
      <c r="E1817" s="3" t="s">
        <v>11</v>
      </c>
      <c r="F1817" s="2">
        <v>21840</v>
      </c>
      <c r="G1817" s="2">
        <v>1</v>
      </c>
      <c r="H1817" s="2">
        <v>0</v>
      </c>
      <c r="I1817" s="4">
        <v>41476</v>
      </c>
      <c r="J1817" s="2">
        <v>80</v>
      </c>
    </row>
    <row r="1818" spans="1:10" ht="12.5">
      <c r="A1818" s="2">
        <v>1816</v>
      </c>
      <c r="B1818" s="2">
        <v>5782</v>
      </c>
      <c r="C1818" s="2">
        <v>1982</v>
      </c>
      <c r="D1818" s="3" t="s">
        <v>17</v>
      </c>
      <c r="E1818" s="3" t="s">
        <v>11</v>
      </c>
      <c r="F1818" s="2">
        <v>58582</v>
      </c>
      <c r="G1818" s="2">
        <v>0</v>
      </c>
      <c r="H1818" s="2">
        <v>1</v>
      </c>
      <c r="I1818" s="4">
        <v>41545</v>
      </c>
      <c r="J1818" s="2">
        <v>15</v>
      </c>
    </row>
    <row r="1819" spans="1:10" ht="12.5">
      <c r="A1819" s="2">
        <v>1817</v>
      </c>
      <c r="B1819" s="2">
        <v>10057</v>
      </c>
      <c r="C1819" s="2">
        <v>1951</v>
      </c>
      <c r="D1819" s="3" t="s">
        <v>9</v>
      </c>
      <c r="E1819" s="3" t="s">
        <v>10</v>
      </c>
      <c r="F1819" s="2">
        <v>72282</v>
      </c>
      <c r="G1819" s="2">
        <v>0</v>
      </c>
      <c r="H1819" s="2">
        <v>0</v>
      </c>
      <c r="I1819" s="4">
        <v>41474</v>
      </c>
      <c r="J1819" s="2">
        <v>70</v>
      </c>
    </row>
    <row r="1820" spans="1:10" ht="12.5">
      <c r="A1820" s="2">
        <v>1818</v>
      </c>
      <c r="B1820" s="2">
        <v>10307</v>
      </c>
      <c r="C1820" s="2">
        <v>1956</v>
      </c>
      <c r="D1820" s="3" t="s">
        <v>9</v>
      </c>
      <c r="E1820" s="3" t="s">
        <v>13</v>
      </c>
      <c r="F1820" s="2">
        <v>50387</v>
      </c>
      <c r="G1820" s="2">
        <v>0</v>
      </c>
      <c r="H1820" s="2">
        <v>2</v>
      </c>
      <c r="I1820" s="4">
        <v>41517</v>
      </c>
      <c r="J1820" s="2">
        <v>91</v>
      </c>
    </row>
    <row r="1821" spans="1:10" ht="12.5">
      <c r="A1821" s="2">
        <v>1819</v>
      </c>
      <c r="B1821" s="2">
        <v>8566</v>
      </c>
      <c r="C1821" s="2">
        <v>1961</v>
      </c>
      <c r="D1821" s="3" t="s">
        <v>12</v>
      </c>
      <c r="E1821" s="3" t="s">
        <v>11</v>
      </c>
      <c r="F1821" s="2">
        <v>32583</v>
      </c>
      <c r="G1821" s="2">
        <v>1</v>
      </c>
      <c r="H1821" s="2">
        <v>1</v>
      </c>
      <c r="I1821" s="4">
        <v>41805</v>
      </c>
      <c r="J1821" s="2">
        <v>10</v>
      </c>
    </row>
    <row r="1822" spans="1:10" ht="12.5">
      <c r="A1822" s="2">
        <v>1820</v>
      </c>
      <c r="B1822" s="2">
        <v>2415</v>
      </c>
      <c r="C1822" s="2">
        <v>1962</v>
      </c>
      <c r="D1822" s="3" t="s">
        <v>9</v>
      </c>
      <c r="E1822" s="3" t="s">
        <v>11</v>
      </c>
      <c r="F1822" s="2">
        <v>62568</v>
      </c>
      <c r="G1822" s="2">
        <v>0</v>
      </c>
      <c r="H1822" s="2">
        <v>1</v>
      </c>
      <c r="I1822" s="4">
        <v>41736</v>
      </c>
      <c r="J1822" s="2">
        <v>99</v>
      </c>
    </row>
    <row r="1823" spans="1:10" ht="12.5">
      <c r="A1823" s="2">
        <v>1821</v>
      </c>
      <c r="B1823" s="2">
        <v>5684</v>
      </c>
      <c r="C1823" s="2">
        <v>1971</v>
      </c>
      <c r="D1823" s="3" t="s">
        <v>14</v>
      </c>
      <c r="E1823" s="3" t="s">
        <v>15</v>
      </c>
      <c r="F1823" s="2">
        <v>44635</v>
      </c>
      <c r="G1823" s="2">
        <v>1</v>
      </c>
      <c r="H1823" s="2">
        <v>1</v>
      </c>
      <c r="I1823" s="5">
        <v>41558</v>
      </c>
      <c r="J1823" s="2">
        <v>25</v>
      </c>
    </row>
    <row r="1824" spans="1:10" ht="12.5">
      <c r="A1824" s="2">
        <v>1822</v>
      </c>
      <c r="B1824" s="2">
        <v>8334</v>
      </c>
      <c r="C1824" s="2">
        <v>1971</v>
      </c>
      <c r="D1824" s="3" t="s">
        <v>14</v>
      </c>
      <c r="E1824" s="3" t="s">
        <v>10</v>
      </c>
      <c r="F1824" s="2">
        <v>33316</v>
      </c>
      <c r="G1824" s="2">
        <v>1</v>
      </c>
      <c r="H1824" s="2">
        <v>1</v>
      </c>
      <c r="I1824" s="4">
        <v>41551</v>
      </c>
      <c r="J1824" s="2">
        <v>34</v>
      </c>
    </row>
    <row r="1825" spans="1:10" ht="12.5">
      <c r="A1825" s="2">
        <v>1823</v>
      </c>
      <c r="B1825" s="2">
        <v>9166</v>
      </c>
      <c r="C1825" s="2">
        <v>1968</v>
      </c>
      <c r="D1825" s="3" t="s">
        <v>9</v>
      </c>
      <c r="E1825" s="3" t="s">
        <v>13</v>
      </c>
      <c r="F1825" s="2">
        <v>63967</v>
      </c>
      <c r="G1825" s="2">
        <v>0</v>
      </c>
      <c r="H1825" s="2">
        <v>1</v>
      </c>
      <c r="I1825" s="4">
        <v>41495</v>
      </c>
      <c r="J1825" s="2">
        <v>57</v>
      </c>
    </row>
    <row r="1826" spans="1:10" ht="12.5">
      <c r="A1826" s="2">
        <v>1824</v>
      </c>
      <c r="B1826" s="2">
        <v>1440</v>
      </c>
      <c r="C1826" s="2">
        <v>1978</v>
      </c>
      <c r="D1826" s="3" t="s">
        <v>17</v>
      </c>
      <c r="E1826" s="3" t="s">
        <v>11</v>
      </c>
      <c r="F1826" s="2">
        <v>52513</v>
      </c>
      <c r="G1826" s="2">
        <v>0</v>
      </c>
      <c r="H1826" s="2">
        <v>0</v>
      </c>
      <c r="I1826" s="4">
        <v>41156</v>
      </c>
      <c r="J1826" s="2">
        <v>84</v>
      </c>
    </row>
    <row r="1827" spans="1:10" ht="12.5">
      <c r="A1827" s="2">
        <v>1825</v>
      </c>
      <c r="B1827" s="2">
        <v>78</v>
      </c>
      <c r="C1827" s="2">
        <v>1969</v>
      </c>
      <c r="D1827" s="3" t="s">
        <v>9</v>
      </c>
      <c r="E1827" s="3" t="s">
        <v>13</v>
      </c>
      <c r="F1827" s="2">
        <v>25293</v>
      </c>
      <c r="G1827" s="2">
        <v>1</v>
      </c>
      <c r="H1827" s="2">
        <v>0</v>
      </c>
      <c r="I1827" s="4">
        <v>41532</v>
      </c>
      <c r="J1827" s="2">
        <v>51</v>
      </c>
    </row>
    <row r="1828" spans="1:10" ht="12.5">
      <c r="A1828" s="2">
        <v>1826</v>
      </c>
      <c r="B1828" s="2">
        <v>5441</v>
      </c>
      <c r="C1828" s="2">
        <v>1965</v>
      </c>
      <c r="D1828" s="3" t="s">
        <v>12</v>
      </c>
      <c r="E1828" s="3" t="s">
        <v>18</v>
      </c>
      <c r="F1828" s="2">
        <v>54111</v>
      </c>
      <c r="G1828" s="2">
        <v>0</v>
      </c>
      <c r="H1828" s="2">
        <v>1</v>
      </c>
      <c r="I1828" s="4">
        <v>41511</v>
      </c>
      <c r="J1828" s="2">
        <v>97</v>
      </c>
    </row>
    <row r="1829" spans="1:10" ht="12.5">
      <c r="A1829" s="2">
        <v>1827</v>
      </c>
      <c r="B1829" s="2">
        <v>5302</v>
      </c>
      <c r="C1829" s="2">
        <v>1986</v>
      </c>
      <c r="D1829" s="3" t="s">
        <v>9</v>
      </c>
      <c r="E1829" s="3" t="s">
        <v>11</v>
      </c>
      <c r="F1829" s="2">
        <v>78394</v>
      </c>
      <c r="G1829" s="2">
        <v>0</v>
      </c>
      <c r="H1829" s="2">
        <v>0</v>
      </c>
      <c r="I1829" s="4">
        <v>41320</v>
      </c>
      <c r="J1829" s="2">
        <v>13</v>
      </c>
    </row>
    <row r="1830" spans="1:10" ht="12.5">
      <c r="A1830" s="2">
        <v>1828</v>
      </c>
      <c r="B1830" s="2">
        <v>4687</v>
      </c>
      <c r="C1830" s="2">
        <v>1958</v>
      </c>
      <c r="D1830" s="3" t="s">
        <v>14</v>
      </c>
      <c r="E1830" s="3" t="s">
        <v>13</v>
      </c>
      <c r="F1830" s="2">
        <v>80739</v>
      </c>
      <c r="G1830" s="2">
        <v>0</v>
      </c>
      <c r="H1830" s="2">
        <v>0</v>
      </c>
      <c r="I1830" s="4">
        <v>41417</v>
      </c>
      <c r="J1830" s="2">
        <v>92</v>
      </c>
    </row>
    <row r="1831" spans="1:10" ht="12.5">
      <c r="A1831" s="2">
        <v>1829</v>
      </c>
      <c r="B1831" s="2">
        <v>1087</v>
      </c>
      <c r="C1831" s="2">
        <v>1975</v>
      </c>
      <c r="D1831" s="3" t="s">
        <v>14</v>
      </c>
      <c r="E1831" s="3" t="s">
        <v>11</v>
      </c>
      <c r="F1831" s="2">
        <v>22669</v>
      </c>
      <c r="G1831" s="2">
        <v>1</v>
      </c>
      <c r="H1831" s="2">
        <v>0</v>
      </c>
      <c r="I1831" s="4">
        <v>41416</v>
      </c>
      <c r="J1831" s="2">
        <v>30</v>
      </c>
    </row>
    <row r="1832" spans="1:10" ht="12.5">
      <c r="A1832" s="2">
        <v>1830</v>
      </c>
      <c r="B1832" s="2">
        <v>6859</v>
      </c>
      <c r="C1832" s="2">
        <v>1987</v>
      </c>
      <c r="D1832" s="3" t="s">
        <v>9</v>
      </c>
      <c r="E1832" s="3" t="s">
        <v>10</v>
      </c>
      <c r="F1832" s="2">
        <v>29236</v>
      </c>
      <c r="G1832" s="2">
        <v>1</v>
      </c>
      <c r="H1832" s="2">
        <v>0</v>
      </c>
      <c r="I1832" s="4">
        <v>41555</v>
      </c>
      <c r="J1832" s="2">
        <v>30</v>
      </c>
    </row>
    <row r="1833" spans="1:10" ht="12.5">
      <c r="A1833" s="2">
        <v>1831</v>
      </c>
      <c r="B1833" s="2">
        <v>9860</v>
      </c>
      <c r="C1833" s="2">
        <v>1959</v>
      </c>
      <c r="D1833" s="3" t="s">
        <v>9</v>
      </c>
      <c r="E1833" s="3" t="s">
        <v>11</v>
      </c>
      <c r="F1833" s="2">
        <v>44911</v>
      </c>
      <c r="G1833" s="2">
        <v>0</v>
      </c>
      <c r="H1833" s="2">
        <v>1</v>
      </c>
      <c r="I1833" s="4">
        <v>41348</v>
      </c>
      <c r="J1833" s="2">
        <v>11</v>
      </c>
    </row>
    <row r="1834" spans="1:10" ht="12.5">
      <c r="A1834" s="2">
        <v>1832</v>
      </c>
      <c r="B1834" s="2">
        <v>7129</v>
      </c>
      <c r="C1834" s="2">
        <v>1962</v>
      </c>
      <c r="D1834" s="3" t="s">
        <v>12</v>
      </c>
      <c r="E1834" s="3" t="s">
        <v>13</v>
      </c>
      <c r="F1834" s="2">
        <v>54693</v>
      </c>
      <c r="G1834" s="2">
        <v>0</v>
      </c>
      <c r="H1834" s="2">
        <v>1</v>
      </c>
      <c r="I1834" s="4">
        <v>41322</v>
      </c>
      <c r="J1834" s="2">
        <v>72</v>
      </c>
    </row>
    <row r="1835" spans="1:10" ht="12.5">
      <c r="A1835" s="2">
        <v>1833</v>
      </c>
      <c r="B1835" s="2">
        <v>5866</v>
      </c>
      <c r="C1835" s="2">
        <v>1974</v>
      </c>
      <c r="D1835" s="3" t="s">
        <v>9</v>
      </c>
      <c r="E1835" s="3" t="s">
        <v>11</v>
      </c>
      <c r="F1835" s="2">
        <v>48186</v>
      </c>
      <c r="G1835" s="2">
        <v>1</v>
      </c>
      <c r="H1835" s="2">
        <v>0</v>
      </c>
      <c r="I1835" s="4">
        <v>41718</v>
      </c>
      <c r="J1835" s="2">
        <v>39</v>
      </c>
    </row>
    <row r="1836" spans="1:10" ht="12.5">
      <c r="A1836" s="2">
        <v>1834</v>
      </c>
      <c r="B1836" s="2">
        <v>10521</v>
      </c>
      <c r="C1836" s="2">
        <v>1977</v>
      </c>
      <c r="D1836" s="3" t="s">
        <v>9</v>
      </c>
      <c r="E1836" s="3" t="s">
        <v>13</v>
      </c>
      <c r="F1836" s="2">
        <v>54809</v>
      </c>
      <c r="G1836" s="2">
        <v>1</v>
      </c>
      <c r="H1836" s="2">
        <v>1</v>
      </c>
      <c r="I1836" s="4">
        <v>41528</v>
      </c>
      <c r="J1836" s="2">
        <v>0</v>
      </c>
    </row>
    <row r="1837" spans="1:10" ht="12.5">
      <c r="A1837" s="2">
        <v>1835</v>
      </c>
      <c r="B1837" s="2">
        <v>7393</v>
      </c>
      <c r="C1837" s="2">
        <v>1978</v>
      </c>
      <c r="D1837" s="3" t="s">
        <v>9</v>
      </c>
      <c r="E1837" s="3" t="s">
        <v>11</v>
      </c>
      <c r="F1837" s="2">
        <v>41580</v>
      </c>
      <c r="G1837" s="2">
        <v>1</v>
      </c>
      <c r="H1837" s="2">
        <v>1</v>
      </c>
      <c r="I1837" s="5">
        <v>41253</v>
      </c>
      <c r="J1837" s="2">
        <v>15</v>
      </c>
    </row>
    <row r="1838" spans="1:10" ht="12.5">
      <c r="A1838" s="2">
        <v>1836</v>
      </c>
      <c r="B1838" s="2">
        <v>7849</v>
      </c>
      <c r="C1838" s="2">
        <v>1970</v>
      </c>
      <c r="D1838" s="3" t="s">
        <v>12</v>
      </c>
      <c r="E1838" s="3" t="s">
        <v>13</v>
      </c>
      <c r="F1838" s="2">
        <v>80336</v>
      </c>
      <c r="G1838" s="2">
        <v>0</v>
      </c>
      <c r="H1838" s="2">
        <v>0</v>
      </c>
      <c r="I1838" s="4">
        <v>41526</v>
      </c>
      <c r="J1838" s="2">
        <v>12</v>
      </c>
    </row>
    <row r="1839" spans="1:10" ht="12.5">
      <c r="A1839" s="2">
        <v>1837</v>
      </c>
      <c r="B1839" s="2">
        <v>332</v>
      </c>
      <c r="C1839" s="2">
        <v>1957</v>
      </c>
      <c r="D1839" s="3" t="s">
        <v>9</v>
      </c>
      <c r="E1839" s="3" t="s">
        <v>13</v>
      </c>
      <c r="F1839" s="2">
        <v>47743</v>
      </c>
      <c r="G1839" s="2">
        <v>0</v>
      </c>
      <c r="H1839" s="2">
        <v>1</v>
      </c>
      <c r="I1839" s="4">
        <v>41355</v>
      </c>
      <c r="J1839" s="2">
        <v>56</v>
      </c>
    </row>
    <row r="1840" spans="1:10" ht="12.5">
      <c r="A1840" s="2">
        <v>1838</v>
      </c>
      <c r="B1840" s="2">
        <v>9847</v>
      </c>
      <c r="C1840" s="2">
        <v>1955</v>
      </c>
      <c r="D1840" s="3" t="s">
        <v>17</v>
      </c>
      <c r="E1840" s="3" t="s">
        <v>13</v>
      </c>
      <c r="F1840" s="2">
        <v>62972</v>
      </c>
      <c r="G1840" s="2">
        <v>0</v>
      </c>
      <c r="H1840" s="2">
        <v>1</v>
      </c>
      <c r="I1840" s="4">
        <v>41124</v>
      </c>
      <c r="J1840" s="2">
        <v>39</v>
      </c>
    </row>
    <row r="1841" spans="1:10" ht="12.5">
      <c r="A1841" s="2">
        <v>1839</v>
      </c>
      <c r="B1841" s="2">
        <v>531</v>
      </c>
      <c r="C1841" s="2">
        <v>1954</v>
      </c>
      <c r="D1841" s="3" t="s">
        <v>12</v>
      </c>
      <c r="E1841" s="3" t="s">
        <v>15</v>
      </c>
      <c r="F1841" s="2">
        <v>57333</v>
      </c>
      <c r="G1841" s="2">
        <v>0</v>
      </c>
      <c r="H1841" s="2">
        <v>1</v>
      </c>
      <c r="I1841" s="4">
        <v>41174</v>
      </c>
      <c r="J1841" s="2">
        <v>55</v>
      </c>
    </row>
    <row r="1842" spans="1:10" ht="12.5">
      <c r="A1842" s="2">
        <v>1840</v>
      </c>
      <c r="B1842" s="2">
        <v>9576</v>
      </c>
      <c r="C1842" s="2">
        <v>1982</v>
      </c>
      <c r="D1842" s="3" t="s">
        <v>12</v>
      </c>
      <c r="E1842" s="3" t="s">
        <v>11</v>
      </c>
      <c r="F1842" s="2">
        <v>32313</v>
      </c>
      <c r="G1842" s="2">
        <v>1</v>
      </c>
      <c r="H1842" s="2">
        <v>0</v>
      </c>
      <c r="I1842" s="4">
        <v>41316</v>
      </c>
      <c r="J1842" s="2">
        <v>60</v>
      </c>
    </row>
    <row r="1843" spans="1:10" ht="12.5">
      <c r="A1843" s="2">
        <v>1841</v>
      </c>
      <c r="B1843" s="2">
        <v>6906</v>
      </c>
      <c r="C1843" s="2">
        <v>1953</v>
      </c>
      <c r="D1843" s="3" t="s">
        <v>14</v>
      </c>
      <c r="E1843" s="3" t="s">
        <v>18</v>
      </c>
      <c r="F1843" s="2">
        <v>84953</v>
      </c>
      <c r="G1843" s="2">
        <v>0</v>
      </c>
      <c r="H1843" s="2">
        <v>0</v>
      </c>
      <c r="I1843" s="4">
        <v>41428</v>
      </c>
      <c r="J1843" s="2">
        <v>73</v>
      </c>
    </row>
    <row r="1844" spans="1:10" ht="12.5">
      <c r="A1844" s="2">
        <v>1842</v>
      </c>
      <c r="B1844" s="2">
        <v>7419</v>
      </c>
      <c r="C1844" s="2">
        <v>1968</v>
      </c>
      <c r="D1844" s="3" t="s">
        <v>14</v>
      </c>
      <c r="E1844" s="3" t="s">
        <v>15</v>
      </c>
      <c r="F1844" s="2">
        <v>27071</v>
      </c>
      <c r="G1844" s="2">
        <v>1</v>
      </c>
      <c r="H1844" s="2">
        <v>0</v>
      </c>
      <c r="I1844" s="4">
        <v>41752</v>
      </c>
      <c r="J1844" s="2">
        <v>90</v>
      </c>
    </row>
    <row r="1845" spans="1:10" ht="12.5">
      <c r="A1845" s="2">
        <v>1843</v>
      </c>
      <c r="B1845" s="2">
        <v>3170</v>
      </c>
      <c r="C1845" s="2">
        <v>1957</v>
      </c>
      <c r="D1845" s="3" t="s">
        <v>14</v>
      </c>
      <c r="E1845" s="3" t="s">
        <v>11</v>
      </c>
      <c r="F1845" s="2">
        <v>68148</v>
      </c>
      <c r="G1845" s="2">
        <v>0</v>
      </c>
      <c r="H1845" s="2">
        <v>0</v>
      </c>
      <c r="I1845" s="4">
        <v>41517</v>
      </c>
      <c r="J1845" s="2">
        <v>86</v>
      </c>
    </row>
    <row r="1846" spans="1:10" ht="12.5">
      <c r="A1846" s="2">
        <v>1844</v>
      </c>
      <c r="B1846" s="2">
        <v>8527</v>
      </c>
      <c r="C1846" s="2">
        <v>1965</v>
      </c>
      <c r="D1846" s="3" t="s">
        <v>14</v>
      </c>
      <c r="E1846" s="3" t="s">
        <v>11</v>
      </c>
      <c r="F1846" s="2">
        <v>65735</v>
      </c>
      <c r="G1846" s="2">
        <v>1</v>
      </c>
      <c r="H1846" s="2">
        <v>1</v>
      </c>
      <c r="I1846" s="4">
        <v>41615</v>
      </c>
      <c r="J1846" s="2">
        <v>37</v>
      </c>
    </row>
    <row r="1847" spans="1:10" ht="12.5">
      <c r="A1847" s="2">
        <v>1845</v>
      </c>
      <c r="B1847" s="2">
        <v>7872</v>
      </c>
      <c r="C1847" s="2">
        <v>1975</v>
      </c>
      <c r="D1847" s="3" t="s">
        <v>12</v>
      </c>
      <c r="E1847" s="3" t="s">
        <v>13</v>
      </c>
      <c r="F1847" s="2">
        <v>86836</v>
      </c>
      <c r="G1847" s="2">
        <v>0</v>
      </c>
      <c r="H1847" s="2">
        <v>0</v>
      </c>
      <c r="I1847" s="4">
        <v>41164</v>
      </c>
      <c r="J1847" s="2">
        <v>7</v>
      </c>
    </row>
    <row r="1848" spans="1:10" ht="12.5">
      <c r="A1848" s="2">
        <v>1846</v>
      </c>
      <c r="B1848" s="2">
        <v>9931</v>
      </c>
      <c r="C1848" s="2">
        <v>1963</v>
      </c>
      <c r="D1848" s="3" t="s">
        <v>12</v>
      </c>
      <c r="E1848" s="3" t="s">
        <v>13</v>
      </c>
      <c r="F1848" s="2">
        <v>4023</v>
      </c>
      <c r="G1848" s="2">
        <v>1</v>
      </c>
      <c r="H1848" s="2">
        <v>1</v>
      </c>
      <c r="I1848" s="4">
        <v>41813</v>
      </c>
      <c r="J1848" s="2">
        <v>29</v>
      </c>
    </row>
    <row r="1849" spans="1:10" ht="12.5">
      <c r="A1849" s="2">
        <v>1847</v>
      </c>
      <c r="B1849" s="2">
        <v>10595</v>
      </c>
      <c r="C1849" s="2">
        <v>1990</v>
      </c>
      <c r="D1849" s="3" t="s">
        <v>9</v>
      </c>
      <c r="E1849" s="3" t="s">
        <v>13</v>
      </c>
      <c r="F1849" s="2">
        <v>30093</v>
      </c>
      <c r="G1849" s="2">
        <v>0</v>
      </c>
      <c r="H1849" s="2">
        <v>0</v>
      </c>
      <c r="I1849" s="4">
        <v>41463</v>
      </c>
      <c r="J1849" s="2">
        <v>19</v>
      </c>
    </row>
    <row r="1850" spans="1:10" ht="12.5">
      <c r="A1850" s="2">
        <v>1848</v>
      </c>
      <c r="B1850" s="2">
        <v>4609</v>
      </c>
      <c r="C1850" s="2">
        <v>1966</v>
      </c>
      <c r="D1850" s="3" t="s">
        <v>12</v>
      </c>
      <c r="E1850" s="3" t="s">
        <v>13</v>
      </c>
      <c r="F1850" s="2">
        <v>57705</v>
      </c>
      <c r="G1850" s="2">
        <v>0</v>
      </c>
      <c r="H1850" s="2">
        <v>1</v>
      </c>
      <c r="I1850" s="4">
        <v>41650</v>
      </c>
      <c r="J1850" s="2">
        <v>14</v>
      </c>
    </row>
    <row r="1851" spans="1:10" ht="12.5">
      <c r="A1851" s="2">
        <v>1849</v>
      </c>
      <c r="B1851" s="2">
        <v>5010</v>
      </c>
      <c r="C1851" s="2">
        <v>1988</v>
      </c>
      <c r="D1851" s="3" t="s">
        <v>9</v>
      </c>
      <c r="E1851" s="3" t="s">
        <v>10</v>
      </c>
      <c r="F1851" s="2">
        <v>25008</v>
      </c>
      <c r="G1851" s="2">
        <v>1</v>
      </c>
      <c r="H1851" s="2">
        <v>0</v>
      </c>
      <c r="I1851" s="4">
        <v>41672</v>
      </c>
      <c r="J1851" s="2">
        <v>72</v>
      </c>
    </row>
    <row r="1852" spans="1:10" ht="12.5">
      <c r="A1852" s="2">
        <v>1850</v>
      </c>
      <c r="B1852" s="2">
        <v>4427</v>
      </c>
      <c r="C1852" s="2">
        <v>1995</v>
      </c>
      <c r="D1852" s="3" t="s">
        <v>17</v>
      </c>
      <c r="E1852" s="3" t="s">
        <v>10</v>
      </c>
      <c r="F1852" s="2">
        <v>83257</v>
      </c>
      <c r="G1852" s="2">
        <v>0</v>
      </c>
      <c r="H1852" s="2">
        <v>0</v>
      </c>
      <c r="I1852" s="4">
        <v>41170</v>
      </c>
      <c r="J1852" s="2">
        <v>56</v>
      </c>
    </row>
    <row r="1853" spans="1:10" ht="12.5">
      <c r="A1853" s="2">
        <v>1851</v>
      </c>
      <c r="B1853" s="2">
        <v>11148</v>
      </c>
      <c r="C1853" s="2">
        <v>1975</v>
      </c>
      <c r="D1853" s="3" t="s">
        <v>9</v>
      </c>
      <c r="E1853" s="3" t="s">
        <v>11</v>
      </c>
      <c r="F1853" s="2">
        <v>22280</v>
      </c>
      <c r="G1853" s="2">
        <v>1</v>
      </c>
      <c r="H1853" s="2">
        <v>0</v>
      </c>
      <c r="I1853" s="4">
        <v>41413</v>
      </c>
      <c r="J1853" s="2">
        <v>85</v>
      </c>
    </row>
    <row r="1854" spans="1:10" ht="12.5">
      <c r="A1854" s="2">
        <v>1852</v>
      </c>
      <c r="B1854" s="2">
        <v>1168</v>
      </c>
      <c r="C1854" s="2">
        <v>1978</v>
      </c>
      <c r="D1854" s="3" t="s">
        <v>12</v>
      </c>
      <c r="E1854" s="3" t="s">
        <v>13</v>
      </c>
      <c r="F1854" s="2">
        <v>72159</v>
      </c>
      <c r="G1854" s="2">
        <v>0</v>
      </c>
      <c r="H1854" s="2">
        <v>0</v>
      </c>
      <c r="I1854" s="5">
        <v>41211</v>
      </c>
      <c r="J1854" s="2">
        <v>62</v>
      </c>
    </row>
    <row r="1855" spans="1:10" ht="12.5">
      <c r="A1855" s="2">
        <v>1853</v>
      </c>
      <c r="B1855" s="2">
        <v>9595</v>
      </c>
      <c r="C1855" s="2">
        <v>1961</v>
      </c>
      <c r="D1855" s="3" t="s">
        <v>9</v>
      </c>
      <c r="E1855" s="3" t="s">
        <v>11</v>
      </c>
      <c r="F1855" s="2">
        <v>64260</v>
      </c>
      <c r="G1855" s="2">
        <v>0</v>
      </c>
      <c r="H1855" s="2">
        <v>0</v>
      </c>
      <c r="I1855" s="4">
        <v>41285</v>
      </c>
      <c r="J1855" s="2">
        <v>1</v>
      </c>
    </row>
    <row r="1856" spans="1:10" ht="12.5">
      <c r="A1856" s="2">
        <v>1854</v>
      </c>
      <c r="B1856" s="2">
        <v>10163</v>
      </c>
      <c r="C1856" s="2">
        <v>1984</v>
      </c>
      <c r="D1856" s="3" t="s">
        <v>12</v>
      </c>
      <c r="E1856" s="3" t="s">
        <v>10</v>
      </c>
      <c r="F1856" s="2">
        <v>82733</v>
      </c>
      <c r="G1856" s="2">
        <v>0</v>
      </c>
      <c r="H1856" s="2">
        <v>0</v>
      </c>
      <c r="I1856" s="4">
        <v>41527</v>
      </c>
      <c r="J1856" s="2">
        <v>28</v>
      </c>
    </row>
    <row r="1857" spans="1:10" ht="12.5">
      <c r="A1857" s="2">
        <v>1855</v>
      </c>
      <c r="B1857" s="2">
        <v>2886</v>
      </c>
      <c r="C1857" s="2">
        <v>1971</v>
      </c>
      <c r="D1857" s="3" t="s">
        <v>14</v>
      </c>
      <c r="E1857" s="3" t="s">
        <v>15</v>
      </c>
      <c r="F1857" s="2">
        <v>74290</v>
      </c>
      <c r="G1857" s="2">
        <v>0</v>
      </c>
      <c r="H1857" s="2">
        <v>1</v>
      </c>
      <c r="I1857" s="4">
        <v>41498</v>
      </c>
      <c r="J1857" s="2">
        <v>70</v>
      </c>
    </row>
    <row r="1858" spans="1:10" ht="12.5">
      <c r="A1858" s="2">
        <v>1856</v>
      </c>
      <c r="B1858" s="2">
        <v>6710</v>
      </c>
      <c r="C1858" s="2">
        <v>1951</v>
      </c>
      <c r="D1858" s="3" t="s">
        <v>14</v>
      </c>
      <c r="E1858" s="3" t="s">
        <v>10</v>
      </c>
      <c r="F1858" s="2">
        <v>58217</v>
      </c>
      <c r="G1858" s="2">
        <v>2</v>
      </c>
      <c r="H1858" s="2">
        <v>1</v>
      </c>
      <c r="I1858" s="5">
        <v>41230</v>
      </c>
      <c r="J1858" s="2">
        <v>84</v>
      </c>
    </row>
    <row r="1859" spans="1:10" ht="12.5">
      <c r="A1859" s="2">
        <v>1857</v>
      </c>
      <c r="B1859" s="2">
        <v>5316</v>
      </c>
      <c r="C1859" s="2">
        <v>1976</v>
      </c>
      <c r="D1859" s="3" t="s">
        <v>14</v>
      </c>
      <c r="E1859" s="3" t="s">
        <v>11</v>
      </c>
      <c r="F1859" s="2">
        <v>21024</v>
      </c>
      <c r="G1859" s="2">
        <v>0</v>
      </c>
      <c r="H1859" s="2">
        <v>0</v>
      </c>
      <c r="I1859" s="4">
        <v>41459</v>
      </c>
      <c r="J1859" s="2">
        <v>89</v>
      </c>
    </row>
    <row r="1860" spans="1:10" ht="12.5">
      <c r="A1860" s="2">
        <v>1858</v>
      </c>
      <c r="B1860" s="2">
        <v>9029</v>
      </c>
      <c r="C1860" s="2">
        <v>1972</v>
      </c>
      <c r="D1860" s="3" t="s">
        <v>12</v>
      </c>
      <c r="E1860" s="3" t="s">
        <v>13</v>
      </c>
      <c r="F1860" s="2">
        <v>70116</v>
      </c>
      <c r="G1860" s="2">
        <v>0</v>
      </c>
      <c r="H1860" s="2">
        <v>0</v>
      </c>
      <c r="I1860" s="4">
        <v>41300</v>
      </c>
      <c r="J1860" s="2">
        <v>73</v>
      </c>
    </row>
    <row r="1861" spans="1:10" ht="12.5">
      <c r="A1861" s="2">
        <v>1859</v>
      </c>
      <c r="B1861" s="2">
        <v>521</v>
      </c>
      <c r="C1861" s="2">
        <v>1985</v>
      </c>
      <c r="D1861" s="3" t="s">
        <v>9</v>
      </c>
      <c r="E1861" s="3" t="s">
        <v>11</v>
      </c>
      <c r="F1861" s="2">
        <v>54006</v>
      </c>
      <c r="G1861" s="2">
        <v>1</v>
      </c>
      <c r="H1861" s="2">
        <v>0</v>
      </c>
      <c r="I1861" s="4">
        <v>41170</v>
      </c>
      <c r="J1861" s="2">
        <v>42</v>
      </c>
    </row>
    <row r="1862" spans="1:10" ht="12.5">
      <c r="A1862" s="2">
        <v>1860</v>
      </c>
      <c r="B1862" s="2">
        <v>1459</v>
      </c>
      <c r="C1862" s="2">
        <v>1966</v>
      </c>
      <c r="D1862" s="3" t="s">
        <v>12</v>
      </c>
      <c r="E1862" s="3" t="s">
        <v>13</v>
      </c>
      <c r="F1862" s="2">
        <v>69063</v>
      </c>
      <c r="G1862" s="2">
        <v>0</v>
      </c>
      <c r="H1862" s="2">
        <v>1</v>
      </c>
      <c r="I1862" s="4">
        <v>41220</v>
      </c>
      <c r="J1862" s="2">
        <v>16</v>
      </c>
    </row>
    <row r="1863" spans="1:10" ht="12.5">
      <c r="A1863" s="2">
        <v>1861</v>
      </c>
      <c r="B1863" s="2">
        <v>10241</v>
      </c>
      <c r="C1863" s="2">
        <v>1975</v>
      </c>
      <c r="D1863" s="3" t="s">
        <v>17</v>
      </c>
      <c r="E1863" s="3" t="s">
        <v>15</v>
      </c>
      <c r="F1863" s="2">
        <v>11448</v>
      </c>
      <c r="G1863" s="2">
        <v>0</v>
      </c>
      <c r="H1863" s="2">
        <v>0</v>
      </c>
      <c r="I1863" s="5">
        <v>41623</v>
      </c>
      <c r="J1863" s="2">
        <v>16</v>
      </c>
    </row>
    <row r="1864" spans="1:10" ht="12.5">
      <c r="A1864" s="2">
        <v>1862</v>
      </c>
      <c r="B1864" s="2">
        <v>1630</v>
      </c>
      <c r="C1864" s="2">
        <v>1979</v>
      </c>
      <c r="D1864" s="3" t="s">
        <v>9</v>
      </c>
      <c r="E1864" s="3" t="s">
        <v>10</v>
      </c>
      <c r="F1864" s="2">
        <v>61825</v>
      </c>
      <c r="G1864" s="2">
        <v>0</v>
      </c>
      <c r="H1864" s="2">
        <v>1</v>
      </c>
      <c r="I1864" s="4">
        <v>41493</v>
      </c>
      <c r="J1864" s="2">
        <v>56</v>
      </c>
    </row>
    <row r="1865" spans="1:10" ht="12.5">
      <c r="A1865" s="2">
        <v>1863</v>
      </c>
      <c r="B1865" s="2">
        <v>3254</v>
      </c>
      <c r="C1865" s="2">
        <v>1971</v>
      </c>
      <c r="D1865" s="3" t="s">
        <v>9</v>
      </c>
      <c r="E1865" s="3" t="s">
        <v>13</v>
      </c>
      <c r="F1865" s="2">
        <v>70886</v>
      </c>
      <c r="G1865" s="2">
        <v>1</v>
      </c>
      <c r="H1865" s="2">
        <v>0</v>
      </c>
      <c r="I1865" s="5">
        <v>41561</v>
      </c>
      <c r="J1865" s="2">
        <v>65</v>
      </c>
    </row>
    <row r="1866" spans="1:10" ht="12.5">
      <c r="A1866" s="2">
        <v>1864</v>
      </c>
      <c r="B1866" s="2">
        <v>9064</v>
      </c>
      <c r="C1866" s="2">
        <v>1982</v>
      </c>
      <c r="D1866" s="3" t="s">
        <v>9</v>
      </c>
      <c r="E1866" s="3" t="s">
        <v>13</v>
      </c>
      <c r="F1866" s="2">
        <v>69109</v>
      </c>
      <c r="G1866" s="2">
        <v>0</v>
      </c>
      <c r="H1866" s="2">
        <v>0</v>
      </c>
      <c r="I1866" s="4">
        <v>41222</v>
      </c>
      <c r="J1866" s="2">
        <v>10</v>
      </c>
    </row>
    <row r="1867" spans="1:10" ht="12.5">
      <c r="A1867" s="2">
        <v>1865</v>
      </c>
      <c r="B1867" s="2">
        <v>3678</v>
      </c>
      <c r="C1867" s="2">
        <v>1973</v>
      </c>
      <c r="D1867" s="3" t="s">
        <v>9</v>
      </c>
      <c r="E1867" s="3" t="s">
        <v>18</v>
      </c>
      <c r="F1867" s="2">
        <v>60208</v>
      </c>
      <c r="G1867" s="2">
        <v>1</v>
      </c>
      <c r="H1867" s="2">
        <v>1</v>
      </c>
      <c r="I1867" s="4">
        <v>41189</v>
      </c>
      <c r="J1867" s="2">
        <v>13</v>
      </c>
    </row>
    <row r="1868" spans="1:10" ht="12.5">
      <c r="A1868" s="2">
        <v>1866</v>
      </c>
      <c r="B1868" s="2">
        <v>4227</v>
      </c>
      <c r="C1868" s="2">
        <v>1968</v>
      </c>
      <c r="D1868" s="3" t="s">
        <v>14</v>
      </c>
      <c r="E1868" s="3" t="s">
        <v>11</v>
      </c>
      <c r="F1868" s="2">
        <v>32889</v>
      </c>
      <c r="G1868" s="2">
        <v>1</v>
      </c>
      <c r="H1868" s="2">
        <v>1</v>
      </c>
      <c r="I1868" s="4">
        <v>41523</v>
      </c>
      <c r="J1868" s="2">
        <v>78</v>
      </c>
    </row>
    <row r="1869" spans="1:10" ht="12.5">
      <c r="A1869" s="2">
        <v>1867</v>
      </c>
      <c r="B1869" s="2">
        <v>9467</v>
      </c>
      <c r="C1869" s="2">
        <v>1984</v>
      </c>
      <c r="D1869" s="3" t="s">
        <v>9</v>
      </c>
      <c r="E1869" s="3" t="s">
        <v>10</v>
      </c>
      <c r="F1869" s="2">
        <v>34738</v>
      </c>
      <c r="G1869" s="2">
        <v>1</v>
      </c>
      <c r="H1869" s="2">
        <v>0</v>
      </c>
      <c r="I1869" s="4">
        <v>41770</v>
      </c>
      <c r="J1869" s="2">
        <v>51</v>
      </c>
    </row>
    <row r="1870" spans="1:10" ht="12.5">
      <c r="A1870" s="2">
        <v>1868</v>
      </c>
      <c r="B1870" s="2">
        <v>8486</v>
      </c>
      <c r="C1870" s="2">
        <v>1971</v>
      </c>
      <c r="D1870" s="3" t="s">
        <v>14</v>
      </c>
      <c r="E1870" s="3" t="s">
        <v>11</v>
      </c>
      <c r="F1870" s="2">
        <v>30538</v>
      </c>
      <c r="G1870" s="2">
        <v>1</v>
      </c>
      <c r="H1870" s="2">
        <v>0</v>
      </c>
      <c r="I1870" s="4">
        <v>41183</v>
      </c>
      <c r="J1870" s="2">
        <v>27</v>
      </c>
    </row>
    <row r="1871" spans="1:10" ht="12.5">
      <c r="A1871" s="2">
        <v>1869</v>
      </c>
      <c r="B1871" s="2">
        <v>2186</v>
      </c>
      <c r="C1871" s="2">
        <v>1977</v>
      </c>
      <c r="D1871" s="3" t="s">
        <v>17</v>
      </c>
      <c r="E1871" s="3" t="s">
        <v>11</v>
      </c>
      <c r="F1871" s="2">
        <v>82326</v>
      </c>
      <c r="G1871" s="2">
        <v>0</v>
      </c>
      <c r="H1871" s="2">
        <v>0</v>
      </c>
      <c r="I1871" s="4">
        <v>41708</v>
      </c>
      <c r="J1871" s="2">
        <v>30</v>
      </c>
    </row>
    <row r="1872" spans="1:10" ht="12.5">
      <c r="A1872" s="2">
        <v>1870</v>
      </c>
      <c r="B1872" s="2">
        <v>3286</v>
      </c>
      <c r="C1872" s="2">
        <v>1967</v>
      </c>
      <c r="D1872" s="3" t="s">
        <v>12</v>
      </c>
      <c r="E1872" s="3" t="s">
        <v>15</v>
      </c>
      <c r="F1872" s="2">
        <v>26642</v>
      </c>
      <c r="G1872" s="2">
        <v>1</v>
      </c>
      <c r="H1872" s="2">
        <v>0</v>
      </c>
      <c r="I1872" s="4">
        <v>41699</v>
      </c>
      <c r="J1872" s="2">
        <v>71</v>
      </c>
    </row>
    <row r="1873" spans="1:10" ht="12.5">
      <c r="A1873" s="2">
        <v>1871</v>
      </c>
      <c r="B1873" s="2">
        <v>8602</v>
      </c>
      <c r="C1873" s="2">
        <v>1964</v>
      </c>
      <c r="D1873" s="3" t="s">
        <v>9</v>
      </c>
      <c r="E1873" s="3" t="s">
        <v>15</v>
      </c>
      <c r="F1873" s="2">
        <v>69932</v>
      </c>
      <c r="G1873" s="2">
        <v>0</v>
      </c>
      <c r="H1873" s="2">
        <v>1</v>
      </c>
      <c r="I1873" s="4">
        <v>41437</v>
      </c>
      <c r="J1873" s="2">
        <v>97</v>
      </c>
    </row>
    <row r="1874" spans="1:10" ht="12.5">
      <c r="A1874" s="2">
        <v>1872</v>
      </c>
      <c r="B1874" s="2">
        <v>3722</v>
      </c>
      <c r="C1874" s="2">
        <v>1972</v>
      </c>
      <c r="D1874" s="3" t="s">
        <v>9</v>
      </c>
      <c r="E1874" s="3" t="s">
        <v>10</v>
      </c>
      <c r="F1874" s="2">
        <v>44503</v>
      </c>
      <c r="G1874" s="2">
        <v>1</v>
      </c>
      <c r="H1874" s="2">
        <v>1</v>
      </c>
      <c r="I1874" s="4">
        <v>41745</v>
      </c>
      <c r="J1874" s="2">
        <v>83</v>
      </c>
    </row>
    <row r="1875" spans="1:10" ht="12.5">
      <c r="A1875" s="2">
        <v>1873</v>
      </c>
      <c r="B1875" s="2">
        <v>6715</v>
      </c>
      <c r="C1875" s="2">
        <v>1948</v>
      </c>
      <c r="D1875" s="3" t="s">
        <v>12</v>
      </c>
      <c r="E1875" s="3" t="s">
        <v>10</v>
      </c>
      <c r="F1875" s="2">
        <v>60200</v>
      </c>
      <c r="G1875" s="2">
        <v>0</v>
      </c>
      <c r="H1875" s="2">
        <v>1</v>
      </c>
      <c r="I1875" s="4">
        <v>41276</v>
      </c>
      <c r="J1875" s="2">
        <v>3</v>
      </c>
    </row>
    <row r="1876" spans="1:10" ht="12.5">
      <c r="A1876" s="2">
        <v>1874</v>
      </c>
      <c r="B1876" s="2">
        <v>4796</v>
      </c>
      <c r="C1876" s="2">
        <v>1952</v>
      </c>
      <c r="D1876" s="3" t="s">
        <v>9</v>
      </c>
      <c r="E1876" s="3" t="s">
        <v>15</v>
      </c>
      <c r="F1876" s="2">
        <v>49638</v>
      </c>
      <c r="G1876" s="2">
        <v>0</v>
      </c>
      <c r="H1876" s="2">
        <v>1</v>
      </c>
      <c r="I1876" s="4">
        <v>41748</v>
      </c>
      <c r="J1876" s="2">
        <v>71</v>
      </c>
    </row>
    <row r="1877" spans="1:10" ht="12.5">
      <c r="A1877" s="2">
        <v>1875</v>
      </c>
      <c r="B1877" s="2">
        <v>9612</v>
      </c>
      <c r="C1877" s="2">
        <v>1987</v>
      </c>
      <c r="D1877" s="3" t="s">
        <v>17</v>
      </c>
      <c r="E1877" s="3" t="s">
        <v>10</v>
      </c>
      <c r="F1877" s="2">
        <v>23830</v>
      </c>
      <c r="G1877" s="2">
        <v>0</v>
      </c>
      <c r="H1877" s="2">
        <v>0</v>
      </c>
      <c r="I1877" s="4">
        <v>41677</v>
      </c>
      <c r="J1877" s="2">
        <v>3</v>
      </c>
    </row>
    <row r="1878" spans="1:10" ht="12.5">
      <c r="A1878" s="2">
        <v>1876</v>
      </c>
      <c r="B1878" s="2">
        <v>3766</v>
      </c>
      <c r="C1878" s="2">
        <v>1959</v>
      </c>
      <c r="D1878" s="3" t="s">
        <v>14</v>
      </c>
      <c r="E1878" s="3" t="s">
        <v>18</v>
      </c>
      <c r="F1878" s="2">
        <v>33051</v>
      </c>
      <c r="G1878" s="2">
        <v>0</v>
      </c>
      <c r="H1878" s="2">
        <v>0</v>
      </c>
      <c r="I1878" s="4">
        <v>41137</v>
      </c>
      <c r="J1878" s="2">
        <v>15</v>
      </c>
    </row>
    <row r="1879" spans="1:10" ht="12.5">
      <c r="A1879" s="2">
        <v>1877</v>
      </c>
      <c r="B1879" s="2">
        <v>1399</v>
      </c>
      <c r="C1879" s="2">
        <v>1958</v>
      </c>
      <c r="D1879" s="3" t="s">
        <v>9</v>
      </c>
      <c r="E1879" s="3" t="s">
        <v>13</v>
      </c>
      <c r="F1879" s="2">
        <v>72905</v>
      </c>
      <c r="G1879" s="2">
        <v>0</v>
      </c>
      <c r="H1879" s="2">
        <v>0</v>
      </c>
      <c r="I1879" s="4">
        <v>41660</v>
      </c>
      <c r="J1879" s="2">
        <v>52</v>
      </c>
    </row>
    <row r="1880" spans="1:10" ht="12.5">
      <c r="A1880" s="2">
        <v>1878</v>
      </c>
      <c r="B1880" s="2">
        <v>1570</v>
      </c>
      <c r="C1880" s="2">
        <v>1951</v>
      </c>
      <c r="D1880" s="3" t="s">
        <v>12</v>
      </c>
      <c r="E1880" s="3" t="s">
        <v>11</v>
      </c>
      <c r="F1880" s="2">
        <v>69702</v>
      </c>
      <c r="G1880" s="2">
        <v>0</v>
      </c>
      <c r="H1880" s="2">
        <v>1</v>
      </c>
      <c r="I1880" s="4">
        <v>41324</v>
      </c>
      <c r="J1880" s="2">
        <v>8</v>
      </c>
    </row>
    <row r="1881" spans="1:10" ht="12.5">
      <c r="A1881" s="2">
        <v>1879</v>
      </c>
      <c r="B1881" s="2">
        <v>3426</v>
      </c>
      <c r="C1881" s="2">
        <v>1975</v>
      </c>
      <c r="D1881" s="3" t="s">
        <v>9</v>
      </c>
      <c r="E1881" s="3" t="s">
        <v>15</v>
      </c>
      <c r="F1881" s="2">
        <v>70300</v>
      </c>
      <c r="G1881" s="2">
        <v>1</v>
      </c>
      <c r="H1881" s="2">
        <v>0</v>
      </c>
      <c r="I1881" s="4">
        <v>41470</v>
      </c>
      <c r="J1881" s="2">
        <v>89</v>
      </c>
    </row>
    <row r="1882" spans="1:10" ht="12.5">
      <c r="A1882" s="2">
        <v>1880</v>
      </c>
      <c r="B1882" s="2">
        <v>3074</v>
      </c>
      <c r="C1882" s="2">
        <v>1984</v>
      </c>
      <c r="D1882" s="3" t="s">
        <v>12</v>
      </c>
      <c r="E1882" s="3" t="s">
        <v>13</v>
      </c>
      <c r="F1882" s="2">
        <v>70643</v>
      </c>
      <c r="G1882" s="2">
        <v>0</v>
      </c>
      <c r="H1882" s="2">
        <v>0</v>
      </c>
      <c r="I1882" s="5">
        <v>41197</v>
      </c>
      <c r="J1882" s="2">
        <v>66</v>
      </c>
    </row>
    <row r="1883" spans="1:10" ht="12.5">
      <c r="A1883" s="2">
        <v>1881</v>
      </c>
      <c r="B1883" s="2">
        <v>8341</v>
      </c>
      <c r="C1883" s="2">
        <v>1969</v>
      </c>
      <c r="D1883" s="3" t="s">
        <v>12</v>
      </c>
      <c r="E1883" s="3" t="s">
        <v>13</v>
      </c>
      <c r="F1883" s="2">
        <v>30396</v>
      </c>
      <c r="G1883" s="2">
        <v>1</v>
      </c>
      <c r="H1883" s="2">
        <v>0</v>
      </c>
      <c r="I1883" s="4">
        <v>41759</v>
      </c>
      <c r="J1883" s="2">
        <v>22</v>
      </c>
    </row>
    <row r="1884" spans="1:10" ht="12.5">
      <c r="A1884" s="2">
        <v>1882</v>
      </c>
      <c r="B1884" s="2">
        <v>5180</v>
      </c>
      <c r="C1884" s="2">
        <v>1968</v>
      </c>
      <c r="D1884" s="3" t="s">
        <v>12</v>
      </c>
      <c r="E1884" s="3" t="s">
        <v>15</v>
      </c>
      <c r="F1884" s="2">
        <v>50616</v>
      </c>
      <c r="G1884" s="2">
        <v>0</v>
      </c>
      <c r="H1884" s="2">
        <v>1</v>
      </c>
      <c r="I1884" s="4">
        <v>41747</v>
      </c>
      <c r="J1884" s="2">
        <v>56</v>
      </c>
    </row>
    <row r="1885" spans="1:10" ht="12.5">
      <c r="A1885" s="2">
        <v>1883</v>
      </c>
      <c r="B1885" s="2">
        <v>6461</v>
      </c>
      <c r="C1885" s="2">
        <v>1969</v>
      </c>
      <c r="D1885" s="3" t="s">
        <v>14</v>
      </c>
      <c r="E1885" s="3" t="s">
        <v>10</v>
      </c>
      <c r="F1885" s="2">
        <v>62772</v>
      </c>
      <c r="G1885" s="2">
        <v>0</v>
      </c>
      <c r="H1885" s="2">
        <v>1</v>
      </c>
      <c r="I1885" s="4">
        <v>41413</v>
      </c>
      <c r="J1885" s="2">
        <v>74</v>
      </c>
    </row>
    <row r="1886" spans="1:10" ht="12.5">
      <c r="A1886" s="2">
        <v>1884</v>
      </c>
      <c r="B1886" s="2">
        <v>7679</v>
      </c>
      <c r="C1886" s="2">
        <v>1985</v>
      </c>
      <c r="D1886" s="3" t="s">
        <v>12</v>
      </c>
      <c r="E1886" s="3" t="s">
        <v>10</v>
      </c>
      <c r="F1886" s="2">
        <v>30298</v>
      </c>
      <c r="G1886" s="2">
        <v>0</v>
      </c>
      <c r="H1886" s="2">
        <v>0</v>
      </c>
      <c r="I1886" s="4">
        <v>41778</v>
      </c>
      <c r="J1886" s="2">
        <v>48</v>
      </c>
    </row>
    <row r="1887" spans="1:10" ht="12.5">
      <c r="A1887" s="2">
        <v>1885</v>
      </c>
      <c r="B1887" s="2">
        <v>10702</v>
      </c>
      <c r="C1887" s="2">
        <v>1984</v>
      </c>
      <c r="D1887" s="3" t="s">
        <v>9</v>
      </c>
      <c r="E1887" s="3" t="s">
        <v>10</v>
      </c>
      <c r="F1887" s="2">
        <v>52413</v>
      </c>
      <c r="G1887" s="2">
        <v>1</v>
      </c>
      <c r="H1887" s="2">
        <v>0</v>
      </c>
      <c r="I1887" s="4">
        <v>41216</v>
      </c>
      <c r="J1887" s="2">
        <v>67</v>
      </c>
    </row>
    <row r="1888" spans="1:10" ht="12.5">
      <c r="A1888" s="2">
        <v>1886</v>
      </c>
      <c r="B1888" s="2">
        <v>7505</v>
      </c>
      <c r="C1888" s="2">
        <v>1957</v>
      </c>
      <c r="D1888" s="3" t="s">
        <v>12</v>
      </c>
      <c r="E1888" s="3" t="s">
        <v>13</v>
      </c>
      <c r="F1888" s="2">
        <v>44155</v>
      </c>
      <c r="G1888" s="2">
        <v>1</v>
      </c>
      <c r="H1888" s="2">
        <v>1</v>
      </c>
      <c r="I1888" s="4">
        <v>41658</v>
      </c>
      <c r="J1888" s="2">
        <v>24</v>
      </c>
    </row>
    <row r="1889" spans="1:10" ht="12.5">
      <c r="A1889" s="2">
        <v>1887</v>
      </c>
      <c r="B1889" s="2">
        <v>5113</v>
      </c>
      <c r="C1889" s="2">
        <v>1971</v>
      </c>
      <c r="D1889" s="3" t="s">
        <v>12</v>
      </c>
      <c r="E1889" s="3" t="s">
        <v>15</v>
      </c>
      <c r="F1889" s="2">
        <v>86979</v>
      </c>
      <c r="G1889" s="2">
        <v>0</v>
      </c>
      <c r="H1889" s="2">
        <v>0</v>
      </c>
      <c r="I1889" s="4">
        <v>41585</v>
      </c>
      <c r="J1889" s="2">
        <v>67</v>
      </c>
    </row>
    <row r="1890" spans="1:10" ht="12.5">
      <c r="A1890" s="2">
        <v>1888</v>
      </c>
      <c r="B1890" s="2">
        <v>10858</v>
      </c>
      <c r="C1890" s="2">
        <v>1975</v>
      </c>
      <c r="D1890" s="3" t="s">
        <v>9</v>
      </c>
      <c r="E1890" s="3" t="s">
        <v>11</v>
      </c>
      <c r="F1890" s="2">
        <v>76532</v>
      </c>
      <c r="G1890" s="2">
        <v>1</v>
      </c>
      <c r="H1890" s="2">
        <v>1</v>
      </c>
      <c r="I1890" s="4">
        <v>41526</v>
      </c>
      <c r="J1890" s="2">
        <v>38</v>
      </c>
    </row>
    <row r="1891" spans="1:10" ht="12.5">
      <c r="A1891" s="2">
        <v>1889</v>
      </c>
      <c r="B1891" s="2">
        <v>2961</v>
      </c>
      <c r="C1891" s="2">
        <v>1982</v>
      </c>
      <c r="D1891" s="3" t="s">
        <v>9</v>
      </c>
      <c r="E1891" s="3" t="s">
        <v>13</v>
      </c>
      <c r="F1891" s="2">
        <v>42081</v>
      </c>
      <c r="G1891" s="2">
        <v>1</v>
      </c>
      <c r="H1891" s="2">
        <v>0</v>
      </c>
      <c r="I1891" s="4">
        <v>41331</v>
      </c>
      <c r="J1891" s="2">
        <v>86</v>
      </c>
    </row>
    <row r="1892" spans="1:10" ht="12.5">
      <c r="A1892" s="2">
        <v>1890</v>
      </c>
      <c r="B1892" s="2">
        <v>2747</v>
      </c>
      <c r="C1892" s="2">
        <v>1988</v>
      </c>
      <c r="D1892" s="3" t="s">
        <v>12</v>
      </c>
      <c r="E1892" s="3" t="s">
        <v>13</v>
      </c>
      <c r="F1892" s="2">
        <v>67546</v>
      </c>
      <c r="G1892" s="2">
        <v>0</v>
      </c>
      <c r="H1892" s="2">
        <v>0</v>
      </c>
      <c r="I1892" s="4">
        <v>41152</v>
      </c>
      <c r="J1892" s="2">
        <v>90</v>
      </c>
    </row>
    <row r="1893" spans="1:10" ht="12.5">
      <c r="A1893" s="2">
        <v>1891</v>
      </c>
      <c r="B1893" s="2">
        <v>3010</v>
      </c>
      <c r="C1893" s="2">
        <v>1989</v>
      </c>
      <c r="D1893" s="3" t="s">
        <v>14</v>
      </c>
      <c r="E1893" s="3" t="s">
        <v>11</v>
      </c>
      <c r="F1893" s="2">
        <v>88420</v>
      </c>
      <c r="G1893" s="2">
        <v>0</v>
      </c>
      <c r="H1893" s="2">
        <v>0</v>
      </c>
      <c r="I1893" s="4">
        <v>41761</v>
      </c>
      <c r="J1893" s="2">
        <v>87</v>
      </c>
    </row>
    <row r="1894" spans="1:10" ht="12.5">
      <c r="A1894" s="2">
        <v>1892</v>
      </c>
      <c r="B1894" s="2">
        <v>5790</v>
      </c>
      <c r="C1894" s="2">
        <v>1985</v>
      </c>
      <c r="D1894" s="3" t="s">
        <v>9</v>
      </c>
      <c r="E1894" s="3" t="s">
        <v>13</v>
      </c>
      <c r="F1894" s="2">
        <v>31158</v>
      </c>
      <c r="G1894" s="2">
        <v>1</v>
      </c>
      <c r="H1894" s="2">
        <v>0</v>
      </c>
      <c r="I1894" s="4">
        <v>41301</v>
      </c>
      <c r="J1894" s="2">
        <v>62</v>
      </c>
    </row>
    <row r="1895" spans="1:10" ht="12.5">
      <c r="A1895" s="2">
        <v>1893</v>
      </c>
      <c r="B1895" s="2">
        <v>6892</v>
      </c>
      <c r="C1895" s="2">
        <v>1968</v>
      </c>
      <c r="D1895" s="3" t="s">
        <v>9</v>
      </c>
      <c r="E1895" s="3" t="s">
        <v>15</v>
      </c>
      <c r="F1895" s="2">
        <v>61671</v>
      </c>
      <c r="G1895" s="2">
        <v>0</v>
      </c>
      <c r="H1895" s="2">
        <v>1</v>
      </c>
      <c r="I1895" s="4">
        <v>41793</v>
      </c>
      <c r="J1895" s="2">
        <v>23</v>
      </c>
    </row>
    <row r="1896" spans="1:10" ht="12.5">
      <c r="A1896" s="2">
        <v>1894</v>
      </c>
      <c r="B1896" s="2">
        <v>1743</v>
      </c>
      <c r="C1896" s="2">
        <v>1974</v>
      </c>
      <c r="D1896" s="3" t="s">
        <v>9</v>
      </c>
      <c r="E1896" s="3" t="s">
        <v>10</v>
      </c>
      <c r="F1896" s="2">
        <v>69719</v>
      </c>
      <c r="G1896" s="2">
        <v>0</v>
      </c>
      <c r="H1896" s="2">
        <v>0</v>
      </c>
      <c r="I1896" s="4">
        <v>41785</v>
      </c>
      <c r="J1896" s="2">
        <v>99</v>
      </c>
    </row>
    <row r="1897" spans="1:10" ht="12.5">
      <c r="A1897" s="2">
        <v>1895</v>
      </c>
      <c r="B1897" s="2">
        <v>3578</v>
      </c>
      <c r="C1897" s="2">
        <v>1949</v>
      </c>
      <c r="D1897" s="3" t="s">
        <v>9</v>
      </c>
      <c r="E1897" s="3" t="s">
        <v>15</v>
      </c>
      <c r="F1897" s="2">
        <v>49160</v>
      </c>
      <c r="G1897" s="2">
        <v>0</v>
      </c>
      <c r="H1897" s="2">
        <v>1</v>
      </c>
      <c r="I1897" s="5">
        <v>41567</v>
      </c>
      <c r="J1897" s="2">
        <v>29</v>
      </c>
    </row>
    <row r="1898" spans="1:10" ht="12.5">
      <c r="A1898" s="2">
        <v>1896</v>
      </c>
      <c r="B1898" s="2">
        <v>8462</v>
      </c>
      <c r="C1898" s="2">
        <v>1978</v>
      </c>
      <c r="D1898" s="3" t="s">
        <v>16</v>
      </c>
      <c r="E1898" s="3" t="s">
        <v>11</v>
      </c>
      <c r="F1898" s="2">
        <v>24882</v>
      </c>
      <c r="G1898" s="2">
        <v>1</v>
      </c>
      <c r="H1898" s="2">
        <v>0</v>
      </c>
      <c r="I1898" s="4">
        <v>41161</v>
      </c>
      <c r="J1898" s="2">
        <v>52</v>
      </c>
    </row>
    <row r="1899" spans="1:10" ht="12.5">
      <c r="A1899" s="2">
        <v>1897</v>
      </c>
      <c r="B1899" s="2">
        <v>5558</v>
      </c>
      <c r="C1899" s="2">
        <v>1954</v>
      </c>
      <c r="D1899" s="3" t="s">
        <v>12</v>
      </c>
      <c r="E1899" s="3" t="s">
        <v>10</v>
      </c>
      <c r="F1899" s="2">
        <v>90933</v>
      </c>
      <c r="G1899" s="2">
        <v>0</v>
      </c>
      <c r="H1899" s="2">
        <v>0</v>
      </c>
      <c r="I1899" s="4">
        <v>41729</v>
      </c>
      <c r="J1899" s="2">
        <v>90</v>
      </c>
    </row>
    <row r="1900" spans="1:10" ht="12.5">
      <c r="A1900" s="2">
        <v>1898</v>
      </c>
      <c r="B1900" s="2">
        <v>4619</v>
      </c>
      <c r="C1900" s="2">
        <v>1945</v>
      </c>
      <c r="D1900" s="3" t="s">
        <v>12</v>
      </c>
      <c r="E1900" s="3" t="s">
        <v>10</v>
      </c>
      <c r="F1900" s="2">
        <v>113734</v>
      </c>
      <c r="G1900" s="2">
        <v>0</v>
      </c>
      <c r="H1900" s="2">
        <v>0</v>
      </c>
      <c r="I1900" s="4">
        <v>41787</v>
      </c>
      <c r="J1900" s="2">
        <v>9</v>
      </c>
    </row>
    <row r="1901" spans="1:10" ht="12.5">
      <c r="A1901" s="2">
        <v>1899</v>
      </c>
      <c r="B1901" s="2">
        <v>8780</v>
      </c>
      <c r="C1901" s="2">
        <v>1950</v>
      </c>
      <c r="D1901" s="3" t="s">
        <v>12</v>
      </c>
      <c r="E1901" s="3" t="s">
        <v>11</v>
      </c>
      <c r="F1901" s="2">
        <v>59292</v>
      </c>
      <c r="G1901" s="2">
        <v>0</v>
      </c>
      <c r="H1901" s="2">
        <v>1</v>
      </c>
      <c r="I1901" s="4">
        <v>41438</v>
      </c>
      <c r="J1901" s="2">
        <v>71</v>
      </c>
    </row>
    <row r="1902" spans="1:10" ht="12.5">
      <c r="A1902" s="2">
        <v>1900</v>
      </c>
      <c r="B1902" s="2">
        <v>10789</v>
      </c>
      <c r="C1902" s="2">
        <v>1964</v>
      </c>
      <c r="D1902" s="3" t="s">
        <v>12</v>
      </c>
      <c r="E1902" s="3" t="s">
        <v>13</v>
      </c>
      <c r="F1902" s="2">
        <v>45759</v>
      </c>
      <c r="G1902" s="2">
        <v>1</v>
      </c>
      <c r="H1902" s="2">
        <v>1</v>
      </c>
      <c r="I1902" s="4">
        <v>41328</v>
      </c>
      <c r="J1902" s="2">
        <v>13</v>
      </c>
    </row>
    <row r="1903" spans="1:10" ht="12.5">
      <c r="A1903" s="2">
        <v>1901</v>
      </c>
      <c r="B1903" s="2">
        <v>10779</v>
      </c>
      <c r="C1903" s="2">
        <v>1983</v>
      </c>
      <c r="D1903" s="3" t="s">
        <v>9</v>
      </c>
      <c r="E1903" s="3" t="s">
        <v>10</v>
      </c>
      <c r="F1903" s="2">
        <v>22148</v>
      </c>
      <c r="G1903" s="2">
        <v>0</v>
      </c>
      <c r="H1903" s="2">
        <v>0</v>
      </c>
      <c r="I1903" s="4">
        <v>41742</v>
      </c>
      <c r="J1903" s="2">
        <v>16</v>
      </c>
    </row>
    <row r="1904" spans="1:10" ht="12.5">
      <c r="A1904" s="2">
        <v>1902</v>
      </c>
      <c r="B1904" s="2">
        <v>5896</v>
      </c>
      <c r="C1904" s="2">
        <v>1987</v>
      </c>
      <c r="D1904" s="3" t="s">
        <v>14</v>
      </c>
      <c r="E1904" s="3" t="s">
        <v>13</v>
      </c>
      <c r="F1904" s="2">
        <v>73395</v>
      </c>
      <c r="G1904" s="2">
        <v>0</v>
      </c>
      <c r="H1904" s="2">
        <v>0</v>
      </c>
      <c r="I1904" s="4">
        <v>41716</v>
      </c>
      <c r="J1904" s="2">
        <v>94</v>
      </c>
    </row>
    <row r="1905" spans="1:10" ht="12.5">
      <c r="A1905" s="2">
        <v>1903</v>
      </c>
      <c r="B1905" s="2">
        <v>2337</v>
      </c>
      <c r="C1905" s="2">
        <v>1971</v>
      </c>
      <c r="D1905" s="3" t="s">
        <v>9</v>
      </c>
      <c r="E1905" s="3" t="s">
        <v>15</v>
      </c>
      <c r="F1905" s="2">
        <v>29819</v>
      </c>
      <c r="G1905" s="2">
        <v>1</v>
      </c>
      <c r="H1905" s="2">
        <v>0</v>
      </c>
      <c r="I1905" s="5">
        <v>41571</v>
      </c>
      <c r="J1905" s="2">
        <v>77</v>
      </c>
    </row>
    <row r="1906" spans="1:10" ht="12.5">
      <c r="A1906" s="2">
        <v>1904</v>
      </c>
      <c r="B1906" s="2">
        <v>10951</v>
      </c>
      <c r="C1906" s="2">
        <v>1968</v>
      </c>
      <c r="D1906" s="3" t="s">
        <v>9</v>
      </c>
      <c r="E1906" s="3" t="s">
        <v>13</v>
      </c>
      <c r="F1906" s="2">
        <v>45688</v>
      </c>
      <c r="G1906" s="2">
        <v>0</v>
      </c>
      <c r="H1906" s="2">
        <v>1</v>
      </c>
      <c r="I1906" s="4">
        <v>41664</v>
      </c>
      <c r="J1906" s="2">
        <v>20</v>
      </c>
    </row>
    <row r="1907" spans="1:10" ht="12.5">
      <c r="A1907" s="2">
        <v>1905</v>
      </c>
      <c r="B1907" s="2">
        <v>544</v>
      </c>
      <c r="C1907" s="2">
        <v>1954</v>
      </c>
      <c r="D1907" s="3" t="s">
        <v>9</v>
      </c>
      <c r="E1907" s="3" t="s">
        <v>13</v>
      </c>
      <c r="F1907" s="2">
        <v>62820</v>
      </c>
      <c r="G1907" s="2">
        <v>0</v>
      </c>
      <c r="H1907" s="2">
        <v>0</v>
      </c>
      <c r="I1907" s="4">
        <v>41405</v>
      </c>
      <c r="J1907" s="2">
        <v>51</v>
      </c>
    </row>
    <row r="1908" spans="1:10" ht="12.5">
      <c r="A1908" s="2">
        <v>1906</v>
      </c>
      <c r="B1908" s="2">
        <v>17</v>
      </c>
      <c r="C1908" s="2">
        <v>1971</v>
      </c>
      <c r="D1908" s="3" t="s">
        <v>12</v>
      </c>
      <c r="E1908" s="3" t="s">
        <v>13</v>
      </c>
      <c r="F1908" s="2">
        <v>60491</v>
      </c>
      <c r="G1908" s="2">
        <v>0</v>
      </c>
      <c r="H1908" s="2">
        <v>1</v>
      </c>
      <c r="I1908" s="4">
        <v>41523</v>
      </c>
      <c r="J1908" s="2">
        <v>81</v>
      </c>
    </row>
    <row r="1909" spans="1:10" ht="12.5">
      <c r="A1909" s="2">
        <v>1907</v>
      </c>
      <c r="B1909" s="2">
        <v>10680</v>
      </c>
      <c r="C1909" s="2">
        <v>1986</v>
      </c>
      <c r="D1909" s="3" t="s">
        <v>9</v>
      </c>
      <c r="E1909" s="3" t="s">
        <v>11</v>
      </c>
      <c r="F1909" s="2">
        <v>33235</v>
      </c>
      <c r="G1909" s="2">
        <v>1</v>
      </c>
      <c r="H1909" s="2">
        <v>0</v>
      </c>
      <c r="I1909" s="4">
        <v>41675</v>
      </c>
      <c r="J1909" s="2">
        <v>71</v>
      </c>
    </row>
    <row r="1910" spans="1:10" ht="12.5">
      <c r="A1910" s="2">
        <v>1908</v>
      </c>
      <c r="B1910" s="2">
        <v>3265</v>
      </c>
      <c r="C1910" s="2">
        <v>1959</v>
      </c>
      <c r="D1910" s="3" t="s">
        <v>9</v>
      </c>
      <c r="E1910" s="3" t="s">
        <v>13</v>
      </c>
      <c r="F1910" s="2">
        <v>35701</v>
      </c>
      <c r="G1910" s="2">
        <v>0</v>
      </c>
      <c r="H1910" s="2">
        <v>0</v>
      </c>
      <c r="I1910" s="4">
        <v>41352</v>
      </c>
      <c r="J1910" s="2">
        <v>36</v>
      </c>
    </row>
    <row r="1911" spans="1:10" ht="12.5">
      <c r="A1911" s="2">
        <v>1909</v>
      </c>
      <c r="B1911" s="2">
        <v>5623</v>
      </c>
      <c r="C1911" s="2">
        <v>1980</v>
      </c>
      <c r="D1911" s="3" t="s">
        <v>14</v>
      </c>
      <c r="E1911" s="3" t="s">
        <v>13</v>
      </c>
      <c r="F1911" s="2">
        <v>31535</v>
      </c>
      <c r="G1911" s="2">
        <v>1</v>
      </c>
      <c r="H1911" s="2">
        <v>0</v>
      </c>
      <c r="I1911" s="4">
        <v>41543</v>
      </c>
      <c r="J1911" s="2">
        <v>95</v>
      </c>
    </row>
    <row r="1912" spans="1:10" ht="12.5">
      <c r="A1912" s="2">
        <v>1910</v>
      </c>
      <c r="B1912" s="2">
        <v>5832</v>
      </c>
      <c r="C1912" s="2">
        <v>1960</v>
      </c>
      <c r="D1912" s="3" t="s">
        <v>17</v>
      </c>
      <c r="E1912" s="3" t="s">
        <v>11</v>
      </c>
      <c r="F1912" s="2">
        <v>92556</v>
      </c>
      <c r="G1912" s="2">
        <v>0</v>
      </c>
      <c r="H1912" s="2">
        <v>0</v>
      </c>
      <c r="I1912" s="4">
        <v>41749</v>
      </c>
      <c r="J1912" s="2">
        <v>32</v>
      </c>
    </row>
    <row r="1913" spans="1:10" ht="12.5">
      <c r="A1913" s="2">
        <v>1911</v>
      </c>
      <c r="B1913" s="2">
        <v>5544</v>
      </c>
      <c r="C1913" s="2">
        <v>1970</v>
      </c>
      <c r="D1913" s="3" t="s">
        <v>9</v>
      </c>
      <c r="E1913" s="3" t="s">
        <v>10</v>
      </c>
      <c r="F1913" s="2">
        <v>67384</v>
      </c>
      <c r="G1913" s="2">
        <v>0</v>
      </c>
      <c r="H1913" s="2">
        <v>1</v>
      </c>
      <c r="I1913" s="5">
        <v>41223</v>
      </c>
      <c r="J1913" s="2">
        <v>32</v>
      </c>
    </row>
    <row r="1914" spans="1:10" ht="12.5">
      <c r="A1914" s="2">
        <v>1912</v>
      </c>
      <c r="B1914" s="2">
        <v>6417</v>
      </c>
      <c r="C1914" s="2">
        <v>1971</v>
      </c>
      <c r="D1914" s="3" t="s">
        <v>14</v>
      </c>
      <c r="E1914" s="3" t="s">
        <v>11</v>
      </c>
      <c r="F1914" s="2">
        <v>80573</v>
      </c>
      <c r="G1914" s="2">
        <v>0</v>
      </c>
      <c r="H1914" s="2">
        <v>0</v>
      </c>
      <c r="I1914" s="5">
        <v>41196</v>
      </c>
      <c r="J1914" s="2">
        <v>85</v>
      </c>
    </row>
    <row r="1915" spans="1:10" ht="12.5">
      <c r="A1915" s="2">
        <v>1913</v>
      </c>
      <c r="B1915" s="2">
        <v>5831</v>
      </c>
      <c r="C1915" s="2">
        <v>1967</v>
      </c>
      <c r="D1915" s="3" t="s">
        <v>9</v>
      </c>
      <c r="E1915" s="3" t="s">
        <v>13</v>
      </c>
      <c r="F1915" s="2">
        <v>77870</v>
      </c>
      <c r="G1915" s="2">
        <v>0</v>
      </c>
      <c r="H1915" s="2">
        <v>1</v>
      </c>
      <c r="I1915" s="4">
        <v>41143</v>
      </c>
      <c r="J1915" s="2">
        <v>93</v>
      </c>
    </row>
    <row r="1916" spans="1:10" ht="12.5">
      <c r="A1916" s="2">
        <v>1914</v>
      </c>
      <c r="B1916" s="2">
        <v>7101</v>
      </c>
      <c r="C1916" s="2">
        <v>1963</v>
      </c>
      <c r="D1916" s="3" t="s">
        <v>12</v>
      </c>
      <c r="E1916" s="3" t="s">
        <v>18</v>
      </c>
      <c r="F1916" s="2">
        <v>52278</v>
      </c>
      <c r="G1916" s="2">
        <v>0</v>
      </c>
      <c r="H1916" s="2">
        <v>1</v>
      </c>
      <c r="I1916" s="4">
        <v>41299</v>
      </c>
      <c r="J1916" s="2">
        <v>24</v>
      </c>
    </row>
    <row r="1917" spans="1:10" ht="12.5">
      <c r="A1917" s="2">
        <v>1915</v>
      </c>
      <c r="B1917" s="2">
        <v>10176</v>
      </c>
      <c r="C1917" s="2">
        <v>1968</v>
      </c>
      <c r="D1917" s="3" t="s">
        <v>9</v>
      </c>
      <c r="E1917" s="3" t="s">
        <v>10</v>
      </c>
      <c r="F1917" s="2">
        <v>57107</v>
      </c>
      <c r="G1917" s="2">
        <v>0</v>
      </c>
      <c r="H1917" s="2">
        <v>1</v>
      </c>
      <c r="I1917" s="4">
        <v>41145</v>
      </c>
      <c r="J1917" s="2">
        <v>44</v>
      </c>
    </row>
    <row r="1918" spans="1:10" ht="12.5">
      <c r="A1918" s="2">
        <v>1916</v>
      </c>
      <c r="B1918" s="2">
        <v>2326</v>
      </c>
      <c r="C1918" s="2">
        <v>1990</v>
      </c>
      <c r="D1918" s="3" t="s">
        <v>9</v>
      </c>
      <c r="E1918" s="3" t="s">
        <v>13</v>
      </c>
      <c r="F1918" s="2">
        <v>18929</v>
      </c>
      <c r="G1918" s="2">
        <v>0</v>
      </c>
      <c r="H1918" s="2">
        <v>0</v>
      </c>
      <c r="I1918" s="4">
        <v>41321</v>
      </c>
      <c r="J1918" s="2">
        <v>15</v>
      </c>
    </row>
    <row r="1919" spans="1:10" ht="12.5">
      <c r="A1919" s="2">
        <v>1917</v>
      </c>
      <c r="B1919" s="2">
        <v>4385</v>
      </c>
      <c r="C1919" s="2">
        <v>1981</v>
      </c>
      <c r="D1919" s="3" t="s">
        <v>12</v>
      </c>
      <c r="E1919" s="3" t="s">
        <v>10</v>
      </c>
      <c r="F1919" s="2">
        <v>36038</v>
      </c>
      <c r="G1919" s="2">
        <v>1</v>
      </c>
      <c r="H1919" s="2">
        <v>0</v>
      </c>
      <c r="I1919" s="4">
        <v>41425</v>
      </c>
      <c r="J1919" s="2">
        <v>82</v>
      </c>
    </row>
    <row r="1920" spans="1:10" ht="12.5">
      <c r="A1920" s="2">
        <v>1918</v>
      </c>
      <c r="B1920" s="2">
        <v>2929</v>
      </c>
      <c r="C1920" s="2">
        <v>1976</v>
      </c>
      <c r="D1920" s="3" t="s">
        <v>9</v>
      </c>
      <c r="E1920" s="3" t="s">
        <v>10</v>
      </c>
      <c r="F1920" s="2">
        <v>20180</v>
      </c>
      <c r="G1920" s="2">
        <v>0</v>
      </c>
      <c r="H1920" s="2">
        <v>0</v>
      </c>
      <c r="I1920" s="4">
        <v>41325</v>
      </c>
      <c r="J1920" s="2">
        <v>27</v>
      </c>
    </row>
    <row r="1921" spans="1:10" ht="12.5">
      <c r="A1921" s="2">
        <v>1919</v>
      </c>
      <c r="B1921" s="2">
        <v>10686</v>
      </c>
      <c r="C1921" s="2">
        <v>1965</v>
      </c>
      <c r="D1921" s="3" t="s">
        <v>12</v>
      </c>
      <c r="E1921" s="3" t="s">
        <v>11</v>
      </c>
      <c r="F1921" s="2">
        <v>34230</v>
      </c>
      <c r="G1921" s="2">
        <v>1</v>
      </c>
      <c r="H1921" s="2">
        <v>1</v>
      </c>
      <c r="I1921" s="5">
        <v>41269</v>
      </c>
      <c r="J1921" s="2">
        <v>72</v>
      </c>
    </row>
    <row r="1922" spans="1:10" ht="12.5">
      <c r="A1922" s="2">
        <v>1920</v>
      </c>
      <c r="B1922" s="2">
        <v>2546</v>
      </c>
      <c r="C1922" s="2">
        <v>1977</v>
      </c>
      <c r="D1922" s="3" t="s">
        <v>17</v>
      </c>
      <c r="E1922" s="3" t="s">
        <v>10</v>
      </c>
      <c r="F1922" s="2">
        <v>31878</v>
      </c>
      <c r="G1922" s="2">
        <v>0</v>
      </c>
      <c r="H1922" s="2">
        <v>1</v>
      </c>
      <c r="I1922" s="4">
        <v>41812</v>
      </c>
      <c r="J1922" s="2">
        <v>7</v>
      </c>
    </row>
    <row r="1923" spans="1:10" ht="12.5">
      <c r="A1923" s="2">
        <v>1921</v>
      </c>
      <c r="B1923" s="2">
        <v>3283</v>
      </c>
      <c r="C1923" s="2">
        <v>1972</v>
      </c>
      <c r="D1923" s="3" t="s">
        <v>17</v>
      </c>
      <c r="E1923" s="3" t="s">
        <v>13</v>
      </c>
      <c r="F1923" s="2">
        <v>70932</v>
      </c>
      <c r="G1923" s="2">
        <v>0</v>
      </c>
      <c r="H1923" s="2">
        <v>1</v>
      </c>
      <c r="I1923" s="4">
        <v>41658</v>
      </c>
      <c r="J1923" s="2">
        <v>57</v>
      </c>
    </row>
    <row r="1924" spans="1:10" ht="12.5">
      <c r="A1924" s="2">
        <v>1922</v>
      </c>
      <c r="B1924" s="2">
        <v>3138</v>
      </c>
      <c r="C1924" s="2">
        <v>1956</v>
      </c>
      <c r="D1924" s="3" t="s">
        <v>9</v>
      </c>
      <c r="E1924" s="3" t="s">
        <v>10</v>
      </c>
      <c r="F1924" s="2">
        <v>91249</v>
      </c>
      <c r="G1924" s="2">
        <v>0</v>
      </c>
      <c r="H1924" s="2">
        <v>0</v>
      </c>
      <c r="I1924" s="5">
        <v>41202</v>
      </c>
      <c r="J1924" s="2">
        <v>84</v>
      </c>
    </row>
    <row r="1925" spans="1:10" ht="12.5">
      <c r="A1925" s="2">
        <v>1923</v>
      </c>
      <c r="B1925" s="2">
        <v>4994</v>
      </c>
      <c r="C1925" s="2">
        <v>1943</v>
      </c>
      <c r="D1925" s="3" t="s">
        <v>14</v>
      </c>
      <c r="E1925" s="3" t="s">
        <v>10</v>
      </c>
      <c r="F1925" s="2">
        <v>77598</v>
      </c>
      <c r="G1925" s="2">
        <v>0</v>
      </c>
      <c r="H1925" s="2">
        <v>0</v>
      </c>
      <c r="I1925" s="4">
        <v>41548</v>
      </c>
      <c r="J1925" s="2">
        <v>53</v>
      </c>
    </row>
    <row r="1926" spans="1:10" ht="12.5">
      <c r="A1926" s="2">
        <v>1924</v>
      </c>
      <c r="B1926" s="2">
        <v>7966</v>
      </c>
      <c r="C1926" s="2">
        <v>1959</v>
      </c>
      <c r="D1926" s="3" t="s">
        <v>9</v>
      </c>
      <c r="E1926" s="3" t="s">
        <v>10</v>
      </c>
      <c r="F1926" s="2">
        <v>80982</v>
      </c>
      <c r="G1926" s="2">
        <v>1</v>
      </c>
      <c r="H1926" s="2">
        <v>1</v>
      </c>
      <c r="I1926" s="4">
        <v>41282</v>
      </c>
      <c r="J1926" s="2">
        <v>48</v>
      </c>
    </row>
    <row r="1927" spans="1:10" ht="12.5">
      <c r="A1927" s="2">
        <v>1925</v>
      </c>
      <c r="B1927" s="2">
        <v>3112</v>
      </c>
      <c r="C1927" s="2">
        <v>1977</v>
      </c>
      <c r="D1927" s="3" t="s">
        <v>14</v>
      </c>
      <c r="E1927" s="3" t="s">
        <v>13</v>
      </c>
      <c r="F1927" s="2">
        <v>22701</v>
      </c>
      <c r="G1927" s="2">
        <v>1</v>
      </c>
      <c r="H1927" s="2">
        <v>0</v>
      </c>
      <c r="I1927" s="4">
        <v>41522</v>
      </c>
      <c r="J1927" s="2">
        <v>2</v>
      </c>
    </row>
    <row r="1928" spans="1:10" ht="12.5">
      <c r="A1928" s="2">
        <v>1926</v>
      </c>
      <c r="B1928" s="2">
        <v>10872</v>
      </c>
      <c r="C1928" s="2">
        <v>1969</v>
      </c>
      <c r="D1928" s="3" t="s">
        <v>12</v>
      </c>
      <c r="E1928" s="3" t="s">
        <v>13</v>
      </c>
      <c r="F1928" s="2">
        <v>55212</v>
      </c>
      <c r="G1928" s="2">
        <v>0</v>
      </c>
      <c r="H1928" s="2">
        <v>1</v>
      </c>
      <c r="I1928" s="5">
        <v>41236</v>
      </c>
      <c r="J1928" s="2">
        <v>65</v>
      </c>
    </row>
    <row r="1929" spans="1:10" ht="12.5">
      <c r="A1929" s="2">
        <v>1927</v>
      </c>
      <c r="B1929" s="2">
        <v>2181</v>
      </c>
      <c r="C1929" s="2">
        <v>1970</v>
      </c>
      <c r="D1929" s="3" t="s">
        <v>9</v>
      </c>
      <c r="E1929" s="3" t="s">
        <v>13</v>
      </c>
      <c r="F1929" s="2">
        <v>70617</v>
      </c>
      <c r="G1929" s="2">
        <v>0</v>
      </c>
      <c r="H1929" s="2">
        <v>0</v>
      </c>
      <c r="I1929" s="4">
        <v>41448</v>
      </c>
      <c r="J1929" s="2">
        <v>45</v>
      </c>
    </row>
    <row r="1930" spans="1:10" ht="12.5">
      <c r="A1930" s="2">
        <v>1928</v>
      </c>
      <c r="B1930" s="2">
        <v>1867</v>
      </c>
      <c r="C1930" s="2">
        <v>1957</v>
      </c>
      <c r="D1930" s="3" t="s">
        <v>9</v>
      </c>
      <c r="E1930" s="3" t="s">
        <v>10</v>
      </c>
      <c r="F1930" s="2">
        <v>64849</v>
      </c>
      <c r="G1930" s="2">
        <v>0</v>
      </c>
      <c r="H1930" s="2">
        <v>0</v>
      </c>
      <c r="I1930" s="5">
        <v>41226</v>
      </c>
      <c r="J1930" s="2">
        <v>42</v>
      </c>
    </row>
    <row r="1931" spans="1:10" ht="12.5">
      <c r="A1931" s="2">
        <v>1929</v>
      </c>
      <c r="B1931" s="2">
        <v>1518</v>
      </c>
      <c r="C1931" s="2">
        <v>1965</v>
      </c>
      <c r="D1931" s="3" t="s">
        <v>14</v>
      </c>
      <c r="E1931" s="3" t="s">
        <v>13</v>
      </c>
      <c r="F1931" s="2">
        <v>62694</v>
      </c>
      <c r="G1931" s="2">
        <v>1</v>
      </c>
      <c r="H1931" s="2">
        <v>1</v>
      </c>
      <c r="I1931" s="4">
        <v>41442</v>
      </c>
      <c r="J1931" s="2">
        <v>29</v>
      </c>
    </row>
    <row r="1932" spans="1:10" ht="12.5">
      <c r="A1932" s="2">
        <v>1930</v>
      </c>
      <c r="B1932" s="2">
        <v>5734</v>
      </c>
      <c r="C1932" s="2">
        <v>1974</v>
      </c>
      <c r="D1932" s="3" t="s">
        <v>12</v>
      </c>
      <c r="E1932" s="3" t="s">
        <v>13</v>
      </c>
      <c r="F1932" s="2">
        <v>61917</v>
      </c>
      <c r="G1932" s="2">
        <v>1</v>
      </c>
      <c r="H1932" s="2">
        <v>1</v>
      </c>
      <c r="I1932" s="5">
        <v>41598</v>
      </c>
      <c r="J1932" s="2">
        <v>83</v>
      </c>
    </row>
    <row r="1933" spans="1:10" ht="12.5">
      <c r="A1933" s="2">
        <v>1931</v>
      </c>
      <c r="B1933" s="2">
        <v>2878</v>
      </c>
      <c r="C1933" s="2">
        <v>1947</v>
      </c>
      <c r="D1933" s="3" t="s">
        <v>12</v>
      </c>
      <c r="E1933" s="3" t="s">
        <v>13</v>
      </c>
      <c r="F1933" s="2">
        <v>67472</v>
      </c>
      <c r="G1933" s="2">
        <v>0</v>
      </c>
      <c r="H1933" s="2">
        <v>1</v>
      </c>
      <c r="I1933" s="4">
        <v>41545</v>
      </c>
      <c r="J1933" s="2">
        <v>93</v>
      </c>
    </row>
    <row r="1934" spans="1:10" ht="12.5">
      <c r="A1934" s="2">
        <v>1932</v>
      </c>
      <c r="B1934" s="2">
        <v>1458</v>
      </c>
      <c r="C1934" s="2">
        <v>1982</v>
      </c>
      <c r="D1934" s="3" t="s">
        <v>14</v>
      </c>
      <c r="E1934" s="3" t="s">
        <v>13</v>
      </c>
      <c r="F1934" s="2">
        <v>21059</v>
      </c>
      <c r="G1934" s="2">
        <v>1</v>
      </c>
      <c r="H1934" s="2">
        <v>0</v>
      </c>
      <c r="I1934" s="4">
        <v>41646</v>
      </c>
      <c r="J1934" s="2">
        <v>40</v>
      </c>
    </row>
    <row r="1935" spans="1:10" ht="12.5">
      <c r="A1935" s="2">
        <v>1933</v>
      </c>
      <c r="B1935" s="2">
        <v>7007</v>
      </c>
      <c r="C1935" s="2">
        <v>1968</v>
      </c>
      <c r="D1935" s="3" t="s">
        <v>14</v>
      </c>
      <c r="E1935" s="3" t="s">
        <v>13</v>
      </c>
      <c r="F1935" s="2">
        <v>29543</v>
      </c>
      <c r="G1935" s="2">
        <v>2</v>
      </c>
      <c r="H1935" s="2">
        <v>0</v>
      </c>
      <c r="I1935" s="4">
        <v>41730</v>
      </c>
      <c r="J1935" s="2">
        <v>47</v>
      </c>
    </row>
    <row r="1936" spans="1:10" ht="12.5">
      <c r="A1936" s="2">
        <v>1934</v>
      </c>
      <c r="B1936" s="2">
        <v>6200</v>
      </c>
      <c r="C1936" s="2">
        <v>1951</v>
      </c>
      <c r="D1936" s="3" t="s">
        <v>9</v>
      </c>
      <c r="E1936" s="3" t="s">
        <v>13</v>
      </c>
      <c r="F1936" s="2">
        <v>75903</v>
      </c>
      <c r="G1936" s="2">
        <v>0</v>
      </c>
      <c r="H1936" s="2">
        <v>1</v>
      </c>
      <c r="I1936" s="4">
        <v>41372</v>
      </c>
      <c r="J1936" s="2">
        <v>50</v>
      </c>
    </row>
    <row r="1937" spans="1:10" ht="12.5">
      <c r="A1937" s="2">
        <v>1935</v>
      </c>
      <c r="B1937" s="2">
        <v>1403</v>
      </c>
      <c r="C1937" s="2">
        <v>1975</v>
      </c>
      <c r="D1937" s="3" t="s">
        <v>17</v>
      </c>
      <c r="E1937" s="3" t="s">
        <v>11</v>
      </c>
      <c r="F1937" s="2">
        <v>34984</v>
      </c>
      <c r="G1937" s="2">
        <v>1</v>
      </c>
      <c r="H1937" s="2">
        <v>1</v>
      </c>
      <c r="I1937" s="4">
        <v>41158</v>
      </c>
      <c r="J1937" s="2">
        <v>40</v>
      </c>
    </row>
    <row r="1938" spans="1:10" ht="12.5">
      <c r="A1938" s="2">
        <v>1936</v>
      </c>
      <c r="B1938" s="2">
        <v>4827</v>
      </c>
      <c r="C1938" s="2">
        <v>1956</v>
      </c>
      <c r="D1938" s="3" t="s">
        <v>12</v>
      </c>
      <c r="E1938" s="3" t="s">
        <v>10</v>
      </c>
      <c r="F1938" s="2">
        <v>54998</v>
      </c>
      <c r="G1938" s="2">
        <v>0</v>
      </c>
      <c r="H1938" s="2">
        <v>1</v>
      </c>
      <c r="I1938" s="4">
        <v>41343</v>
      </c>
      <c r="J1938" s="2">
        <v>3</v>
      </c>
    </row>
    <row r="1939" spans="1:10" ht="12.5">
      <c r="A1939" s="2">
        <v>1937</v>
      </c>
      <c r="B1939" s="2">
        <v>6250</v>
      </c>
      <c r="C1939" s="2">
        <v>1949</v>
      </c>
      <c r="D1939" s="3" t="s">
        <v>12</v>
      </c>
      <c r="E1939" s="3" t="s">
        <v>18</v>
      </c>
      <c r="F1939" s="2">
        <v>54356</v>
      </c>
      <c r="G1939" s="2">
        <v>0</v>
      </c>
      <c r="H1939" s="2">
        <v>1</v>
      </c>
      <c r="I1939" s="5">
        <v>41232</v>
      </c>
      <c r="J1939" s="2">
        <v>62</v>
      </c>
    </row>
    <row r="1940" spans="1:10" ht="12.5">
      <c r="A1940" s="2">
        <v>1938</v>
      </c>
      <c r="B1940" s="2">
        <v>9291</v>
      </c>
      <c r="C1940" s="2">
        <v>1959</v>
      </c>
      <c r="D1940" s="3" t="s">
        <v>14</v>
      </c>
      <c r="E1940" s="3" t="s">
        <v>13</v>
      </c>
      <c r="F1940" s="2">
        <v>34242</v>
      </c>
      <c r="G1940" s="2">
        <v>0</v>
      </c>
      <c r="H1940" s="2">
        <v>1</v>
      </c>
      <c r="I1940" s="4">
        <v>41721</v>
      </c>
      <c r="J1940" s="2">
        <v>25</v>
      </c>
    </row>
    <row r="1941" spans="1:10" ht="12.5">
      <c r="A1941" s="2">
        <v>1939</v>
      </c>
      <c r="B1941" s="2">
        <v>2478</v>
      </c>
      <c r="C1941" s="2">
        <v>1973</v>
      </c>
      <c r="D1941" s="3" t="s">
        <v>9</v>
      </c>
      <c r="E1941" s="3" t="s">
        <v>13</v>
      </c>
      <c r="F1941" s="2">
        <v>25410</v>
      </c>
      <c r="G1941" s="2">
        <v>1</v>
      </c>
      <c r="H1941" s="2">
        <v>0</v>
      </c>
      <c r="I1941" s="4">
        <v>41517</v>
      </c>
      <c r="J1941" s="2">
        <v>48</v>
      </c>
    </row>
    <row r="1942" spans="1:10" ht="12.5">
      <c r="A1942" s="2">
        <v>1940</v>
      </c>
      <c r="B1942" s="2">
        <v>1139</v>
      </c>
      <c r="C1942" s="2">
        <v>1984</v>
      </c>
      <c r="D1942" s="3" t="s">
        <v>12</v>
      </c>
      <c r="E1942" s="3" t="s">
        <v>13</v>
      </c>
      <c r="F1942" s="2">
        <v>73356</v>
      </c>
      <c r="G1942" s="2">
        <v>0</v>
      </c>
      <c r="H1942" s="2">
        <v>0</v>
      </c>
      <c r="I1942" s="4">
        <v>41676</v>
      </c>
      <c r="J1942" s="2">
        <v>56</v>
      </c>
    </row>
    <row r="1943" spans="1:10" ht="12.5">
      <c r="A1943" s="2">
        <v>1941</v>
      </c>
      <c r="B1943" s="2">
        <v>5138</v>
      </c>
      <c r="C1943" s="2">
        <v>1950</v>
      </c>
      <c r="D1943" s="3" t="s">
        <v>9</v>
      </c>
      <c r="E1943" s="3" t="s">
        <v>11</v>
      </c>
      <c r="F1943" s="2">
        <v>28320</v>
      </c>
      <c r="G1943" s="2">
        <v>0</v>
      </c>
      <c r="H1943" s="2">
        <v>1</v>
      </c>
      <c r="I1943" s="4">
        <v>41288</v>
      </c>
      <c r="J1943" s="2">
        <v>68</v>
      </c>
    </row>
    <row r="1944" spans="1:10" ht="12.5">
      <c r="A1944" s="2">
        <v>1942</v>
      </c>
      <c r="B1944" s="2">
        <v>5393</v>
      </c>
      <c r="C1944" s="2">
        <v>1977</v>
      </c>
      <c r="D1944" s="3" t="s">
        <v>9</v>
      </c>
      <c r="E1944" s="3" t="s">
        <v>10</v>
      </c>
      <c r="F1944" s="2">
        <v>23763</v>
      </c>
      <c r="G1944" s="2">
        <v>1</v>
      </c>
      <c r="H1944" s="2">
        <v>0</v>
      </c>
      <c r="I1944" s="4">
        <v>41128</v>
      </c>
      <c r="J1944" s="2">
        <v>64</v>
      </c>
    </row>
    <row r="1945" spans="1:10" ht="12.5">
      <c r="A1945" s="2">
        <v>1943</v>
      </c>
      <c r="B1945" s="2">
        <v>10413</v>
      </c>
      <c r="C1945" s="2">
        <v>1984</v>
      </c>
      <c r="D1945" s="3" t="s">
        <v>9</v>
      </c>
      <c r="E1945" s="3" t="s">
        <v>13</v>
      </c>
      <c r="F1945" s="2">
        <v>72570</v>
      </c>
      <c r="G1945" s="2">
        <v>0</v>
      </c>
      <c r="H1945" s="2">
        <v>0</v>
      </c>
      <c r="I1945" s="4">
        <v>41754</v>
      </c>
      <c r="J1945" s="2">
        <v>67</v>
      </c>
    </row>
    <row r="1946" spans="1:10" ht="12.5">
      <c r="A1946" s="2">
        <v>1944</v>
      </c>
      <c r="B1946" s="2">
        <v>5015</v>
      </c>
      <c r="C1946" s="2">
        <v>1976</v>
      </c>
      <c r="D1946" s="3" t="s">
        <v>14</v>
      </c>
      <c r="E1946" s="3" t="s">
        <v>13</v>
      </c>
      <c r="F1946" s="2">
        <v>34529</v>
      </c>
      <c r="G1946" s="2">
        <v>1</v>
      </c>
      <c r="H1946" s="2">
        <v>0</v>
      </c>
      <c r="I1946" s="4">
        <v>41166</v>
      </c>
      <c r="J1946" s="2">
        <v>94</v>
      </c>
    </row>
    <row r="1947" spans="1:10" ht="12.5">
      <c r="A1947" s="2">
        <v>1945</v>
      </c>
      <c r="B1947" s="2">
        <v>10868</v>
      </c>
      <c r="C1947" s="2">
        <v>1951</v>
      </c>
      <c r="D1947" s="3" t="s">
        <v>9</v>
      </c>
      <c r="E1947" s="3" t="s">
        <v>18</v>
      </c>
      <c r="F1947" s="2">
        <v>70792</v>
      </c>
      <c r="G1947" s="2">
        <v>0</v>
      </c>
      <c r="H1947" s="2">
        <v>0</v>
      </c>
      <c r="I1947" s="4">
        <v>41311</v>
      </c>
      <c r="J1947" s="2">
        <v>82</v>
      </c>
    </row>
    <row r="1948" spans="1:10" ht="12.5">
      <c r="A1948" s="2">
        <v>1946</v>
      </c>
      <c r="B1948" s="2">
        <v>10676</v>
      </c>
      <c r="C1948" s="2">
        <v>1982</v>
      </c>
      <c r="D1948" s="3" t="s">
        <v>9</v>
      </c>
      <c r="E1948" s="3" t="s">
        <v>13</v>
      </c>
      <c r="F1948" s="2">
        <v>63211</v>
      </c>
      <c r="G1948" s="2">
        <v>0</v>
      </c>
      <c r="H1948" s="2">
        <v>0</v>
      </c>
      <c r="I1948" s="4">
        <v>41215</v>
      </c>
      <c r="J1948" s="2">
        <v>3</v>
      </c>
    </row>
    <row r="1949" spans="1:10" ht="12.5">
      <c r="A1949" s="2">
        <v>1947</v>
      </c>
      <c r="B1949" s="2">
        <v>2495</v>
      </c>
      <c r="C1949" s="2">
        <v>1974</v>
      </c>
      <c r="D1949" s="3" t="s">
        <v>14</v>
      </c>
      <c r="E1949" s="3" t="s">
        <v>13</v>
      </c>
      <c r="F1949" s="2">
        <v>83891</v>
      </c>
      <c r="G1949" s="2">
        <v>0</v>
      </c>
      <c r="H1949" s="2">
        <v>1</v>
      </c>
      <c r="I1949" s="4">
        <v>41810</v>
      </c>
      <c r="J1949" s="2">
        <v>24</v>
      </c>
    </row>
    <row r="1950" spans="1:10" ht="12.5">
      <c r="A1950" s="2">
        <v>1948</v>
      </c>
      <c r="B1950" s="2">
        <v>7842</v>
      </c>
      <c r="C1950" s="2">
        <v>1968</v>
      </c>
      <c r="D1950" s="3" t="s">
        <v>9</v>
      </c>
      <c r="E1950" s="3" t="s">
        <v>10</v>
      </c>
      <c r="F1950" s="2">
        <v>36065</v>
      </c>
      <c r="G1950" s="2">
        <v>1</v>
      </c>
      <c r="H1950" s="2">
        <v>1</v>
      </c>
      <c r="I1950" s="4">
        <v>41364</v>
      </c>
      <c r="J1950" s="2">
        <v>54</v>
      </c>
    </row>
    <row r="1951" spans="1:10" ht="12.5">
      <c r="A1951" s="2">
        <v>1949</v>
      </c>
      <c r="B1951" s="2">
        <v>9955</v>
      </c>
      <c r="C1951" s="2">
        <v>1954</v>
      </c>
      <c r="D1951" s="3" t="s">
        <v>9</v>
      </c>
      <c r="E1951" s="3" t="s">
        <v>11</v>
      </c>
      <c r="F1951" s="2">
        <v>39898</v>
      </c>
      <c r="G1951" s="2">
        <v>0</v>
      </c>
      <c r="H1951" s="2">
        <v>1</v>
      </c>
      <c r="I1951" s="4">
        <v>41317</v>
      </c>
      <c r="J1951" s="2">
        <v>20</v>
      </c>
    </row>
    <row r="1952" spans="1:10" ht="12.5">
      <c r="A1952" s="2">
        <v>1950</v>
      </c>
      <c r="B1952" s="2">
        <v>6663</v>
      </c>
      <c r="C1952" s="2">
        <v>1940</v>
      </c>
      <c r="D1952" s="3" t="s">
        <v>12</v>
      </c>
      <c r="E1952" s="3" t="s">
        <v>10</v>
      </c>
      <c r="F1952" s="2">
        <v>51141</v>
      </c>
      <c r="G1952" s="2">
        <v>0</v>
      </c>
      <c r="H1952" s="2">
        <v>0</v>
      </c>
      <c r="I1952" s="4">
        <v>41463</v>
      </c>
      <c r="J1952" s="2">
        <v>96</v>
      </c>
    </row>
    <row r="1953" spans="1:10" ht="12.5">
      <c r="A1953" s="2">
        <v>1951</v>
      </c>
      <c r="B1953" s="2">
        <v>2162</v>
      </c>
      <c r="C1953" s="2">
        <v>1976</v>
      </c>
      <c r="D1953" s="3" t="s">
        <v>9</v>
      </c>
      <c r="E1953" s="3" t="s">
        <v>13</v>
      </c>
      <c r="F1953" s="2">
        <v>56939</v>
      </c>
      <c r="G1953" s="2">
        <v>0</v>
      </c>
      <c r="H1953" s="2">
        <v>1</v>
      </c>
      <c r="I1953" s="4">
        <v>41535</v>
      </c>
      <c r="J1953" s="2">
        <v>19</v>
      </c>
    </row>
    <row r="1954" spans="1:10" ht="12.5">
      <c r="A1954" s="2">
        <v>1952</v>
      </c>
      <c r="B1954" s="2">
        <v>3434</v>
      </c>
      <c r="C1954" s="2">
        <v>1951</v>
      </c>
      <c r="D1954" s="3" t="s">
        <v>9</v>
      </c>
      <c r="E1954" s="3" t="s">
        <v>10</v>
      </c>
      <c r="F1954" s="2">
        <v>80872</v>
      </c>
      <c r="G1954" s="2">
        <v>0</v>
      </c>
      <c r="H1954" s="2">
        <v>0</v>
      </c>
      <c r="I1954" s="4">
        <v>41771</v>
      </c>
      <c r="J1954" s="2">
        <v>60</v>
      </c>
    </row>
    <row r="1955" spans="1:10" ht="12.5">
      <c r="A1955" s="2">
        <v>1953</v>
      </c>
      <c r="B1955" s="2">
        <v>7919</v>
      </c>
      <c r="C1955" s="2">
        <v>1976</v>
      </c>
      <c r="D1955" s="3" t="s">
        <v>12</v>
      </c>
      <c r="E1955" s="3" t="s">
        <v>11</v>
      </c>
      <c r="F1955" s="2">
        <v>72335</v>
      </c>
      <c r="G1955" s="2">
        <v>0</v>
      </c>
      <c r="H1955" s="2">
        <v>0</v>
      </c>
      <c r="I1955" s="4">
        <v>41134</v>
      </c>
      <c r="J1955" s="2">
        <v>2</v>
      </c>
    </row>
    <row r="1956" spans="1:10" ht="12.5">
      <c r="A1956" s="2">
        <v>1954</v>
      </c>
      <c r="B1956" s="2">
        <v>5626</v>
      </c>
      <c r="C1956" s="2">
        <v>1964</v>
      </c>
      <c r="D1956" s="3" t="s">
        <v>12</v>
      </c>
      <c r="E1956" s="3" t="s">
        <v>10</v>
      </c>
      <c r="F1956" s="2">
        <v>61798</v>
      </c>
      <c r="G1956" s="2">
        <v>0</v>
      </c>
      <c r="H1956" s="2">
        <v>0</v>
      </c>
      <c r="I1956" s="5">
        <v>41601</v>
      </c>
      <c r="J1956" s="2">
        <v>13</v>
      </c>
    </row>
    <row r="1957" spans="1:10" ht="12.5">
      <c r="A1957" s="2">
        <v>1955</v>
      </c>
      <c r="B1957" s="2">
        <v>6428</v>
      </c>
      <c r="C1957" s="2">
        <v>1950</v>
      </c>
      <c r="D1957" s="3" t="s">
        <v>12</v>
      </c>
      <c r="E1957" s="3" t="s">
        <v>18</v>
      </c>
      <c r="F1957" s="2">
        <v>76842</v>
      </c>
      <c r="G1957" s="2">
        <v>0</v>
      </c>
      <c r="H1957" s="2">
        <v>0</v>
      </c>
      <c r="I1957" s="4">
        <v>41762</v>
      </c>
      <c r="J1957" s="2">
        <v>37</v>
      </c>
    </row>
    <row r="1958" spans="1:10" ht="12.5">
      <c r="A1958" s="2">
        <v>1956</v>
      </c>
      <c r="B1958" s="2">
        <v>8514</v>
      </c>
      <c r="C1958" s="2">
        <v>1976</v>
      </c>
      <c r="D1958" s="3" t="s">
        <v>9</v>
      </c>
      <c r="E1958" s="3" t="s">
        <v>11</v>
      </c>
      <c r="F1958" s="2">
        <v>29478</v>
      </c>
      <c r="G1958" s="2">
        <v>1</v>
      </c>
      <c r="H1958" s="2">
        <v>0</v>
      </c>
      <c r="I1958" s="4">
        <v>41656</v>
      </c>
      <c r="J1958" s="2">
        <v>59</v>
      </c>
    </row>
    <row r="1959" spans="1:10" ht="12.5">
      <c r="A1959" s="2">
        <v>1957</v>
      </c>
      <c r="B1959" s="2">
        <v>10448</v>
      </c>
      <c r="C1959" s="2">
        <v>1956</v>
      </c>
      <c r="D1959" s="3" t="s">
        <v>9</v>
      </c>
      <c r="E1959" s="3" t="s">
        <v>10</v>
      </c>
      <c r="F1959" s="2">
        <v>46998</v>
      </c>
      <c r="G1959" s="2">
        <v>0</v>
      </c>
      <c r="H1959" s="2">
        <v>1</v>
      </c>
      <c r="I1959" s="5">
        <v>41204</v>
      </c>
      <c r="J1959" s="2">
        <v>55</v>
      </c>
    </row>
    <row r="1960" spans="1:10" ht="12.5">
      <c r="A1960" s="2">
        <v>1958</v>
      </c>
      <c r="B1960" s="2">
        <v>2109</v>
      </c>
      <c r="C1960" s="2">
        <v>1990</v>
      </c>
      <c r="D1960" s="3" t="s">
        <v>9</v>
      </c>
      <c r="E1960" s="3" t="s">
        <v>10</v>
      </c>
      <c r="F1960" s="2">
        <v>96843</v>
      </c>
      <c r="G1960" s="2">
        <v>0</v>
      </c>
      <c r="H1960" s="2">
        <v>0</v>
      </c>
      <c r="I1960" s="4">
        <v>41387</v>
      </c>
      <c r="J1960" s="2">
        <v>60</v>
      </c>
    </row>
    <row r="1961" spans="1:10" ht="12.5">
      <c r="A1961" s="2">
        <v>1959</v>
      </c>
      <c r="B1961" s="2">
        <v>7530</v>
      </c>
      <c r="C1961" s="2">
        <v>1950</v>
      </c>
      <c r="D1961" s="3" t="s">
        <v>12</v>
      </c>
      <c r="E1961" s="3" t="s">
        <v>18</v>
      </c>
      <c r="F1961" s="2">
        <v>56551</v>
      </c>
      <c r="G1961" s="2">
        <v>1</v>
      </c>
      <c r="H1961" s="2">
        <v>1</v>
      </c>
      <c r="I1961" s="4">
        <v>41766</v>
      </c>
      <c r="J1961" s="2">
        <v>48</v>
      </c>
    </row>
    <row r="1962" spans="1:10" ht="12.5">
      <c r="A1962" s="2">
        <v>1960</v>
      </c>
      <c r="B1962" s="2">
        <v>8925</v>
      </c>
      <c r="C1962" s="2">
        <v>1965</v>
      </c>
      <c r="D1962" s="3" t="s">
        <v>14</v>
      </c>
      <c r="E1962" s="3" t="s">
        <v>13</v>
      </c>
      <c r="F1962" s="2">
        <v>70053</v>
      </c>
      <c r="G1962" s="2">
        <v>0</v>
      </c>
      <c r="H1962" s="2">
        <v>1</v>
      </c>
      <c r="I1962" s="4">
        <v>41458</v>
      </c>
      <c r="J1962" s="2">
        <v>38</v>
      </c>
    </row>
    <row r="1963" spans="1:10" ht="12.5">
      <c r="A1963" s="2">
        <v>1961</v>
      </c>
      <c r="B1963" s="2">
        <v>3009</v>
      </c>
      <c r="C1963" s="2">
        <v>1962</v>
      </c>
      <c r="D1963" s="3" t="s">
        <v>12</v>
      </c>
      <c r="E1963" s="3" t="s">
        <v>18</v>
      </c>
      <c r="F1963" s="2">
        <v>71670</v>
      </c>
      <c r="G1963" s="2">
        <v>0</v>
      </c>
      <c r="H1963" s="2">
        <v>0</v>
      </c>
      <c r="I1963" s="4">
        <v>41464</v>
      </c>
      <c r="J1963" s="2">
        <v>8</v>
      </c>
    </row>
    <row r="1964" spans="1:10" ht="12.5">
      <c r="A1964" s="2">
        <v>1962</v>
      </c>
      <c r="B1964" s="2">
        <v>6355</v>
      </c>
      <c r="C1964" s="2">
        <v>1978</v>
      </c>
      <c r="D1964" s="3" t="s">
        <v>9</v>
      </c>
      <c r="E1964" s="3" t="s">
        <v>13</v>
      </c>
      <c r="F1964" s="2">
        <v>44359</v>
      </c>
      <c r="G1964" s="2">
        <v>1</v>
      </c>
      <c r="H1964" s="2">
        <v>1</v>
      </c>
      <c r="I1964" s="4">
        <v>41807</v>
      </c>
      <c r="J1964" s="2">
        <v>19</v>
      </c>
    </row>
    <row r="1965" spans="1:10" ht="12.5">
      <c r="A1965" s="2">
        <v>1963</v>
      </c>
      <c r="B1965" s="2">
        <v>3517</v>
      </c>
      <c r="C1965" s="2">
        <v>1952</v>
      </c>
      <c r="D1965" s="3" t="s">
        <v>9</v>
      </c>
      <c r="E1965" s="3" t="s">
        <v>10</v>
      </c>
      <c r="F1965" s="2">
        <v>40887</v>
      </c>
      <c r="G1965" s="2">
        <v>1</v>
      </c>
      <c r="H1965" s="2">
        <v>1</v>
      </c>
      <c r="I1965" s="4">
        <v>41400</v>
      </c>
      <c r="J1965" s="2">
        <v>32</v>
      </c>
    </row>
    <row r="1966" spans="1:10" ht="12.5">
      <c r="A1966" s="2">
        <v>1964</v>
      </c>
      <c r="B1966" s="2">
        <v>1158</v>
      </c>
      <c r="C1966" s="2">
        <v>1966</v>
      </c>
      <c r="D1966" s="3" t="s">
        <v>9</v>
      </c>
      <c r="E1966" s="3" t="s">
        <v>15</v>
      </c>
      <c r="F1966" s="2">
        <v>48877</v>
      </c>
      <c r="G1966" s="2">
        <v>0</v>
      </c>
      <c r="H1966" s="2">
        <v>1</v>
      </c>
      <c r="I1966" s="4">
        <v>41644</v>
      </c>
      <c r="J1966" s="2">
        <v>27</v>
      </c>
    </row>
    <row r="1967" spans="1:10" ht="12.5">
      <c r="A1967" s="2">
        <v>1965</v>
      </c>
      <c r="B1967" s="2">
        <v>6203</v>
      </c>
      <c r="C1967" s="2">
        <v>1947</v>
      </c>
      <c r="D1967" s="3" t="s">
        <v>9</v>
      </c>
      <c r="E1967" s="3" t="s">
        <v>11</v>
      </c>
      <c r="F1967" s="2">
        <v>74485</v>
      </c>
      <c r="G1967" s="2">
        <v>0</v>
      </c>
      <c r="H1967" s="2">
        <v>0</v>
      </c>
      <c r="I1967" s="4">
        <v>41510</v>
      </c>
      <c r="J1967" s="2">
        <v>58</v>
      </c>
    </row>
    <row r="1968" spans="1:10" ht="12.5">
      <c r="A1968" s="2">
        <v>1966</v>
      </c>
      <c r="B1968" s="2">
        <v>7165</v>
      </c>
      <c r="C1968" s="2">
        <v>1972</v>
      </c>
      <c r="D1968" s="3" t="s">
        <v>9</v>
      </c>
      <c r="E1968" s="3" t="s">
        <v>11</v>
      </c>
      <c r="F1968" s="2">
        <v>64474</v>
      </c>
      <c r="G1968" s="2">
        <v>0</v>
      </c>
      <c r="H1968" s="2">
        <v>1</v>
      </c>
      <c r="I1968" s="5">
        <v>41569</v>
      </c>
      <c r="J1968" s="2">
        <v>59</v>
      </c>
    </row>
    <row r="1969" spans="1:10" ht="12.5">
      <c r="A1969" s="2">
        <v>1967</v>
      </c>
      <c r="B1969" s="2">
        <v>3595</v>
      </c>
      <c r="C1969" s="2">
        <v>1963</v>
      </c>
      <c r="D1969" s="3" t="s">
        <v>9</v>
      </c>
      <c r="E1969" s="3" t="s">
        <v>11</v>
      </c>
      <c r="F1969" s="2">
        <v>77226</v>
      </c>
      <c r="G1969" s="2">
        <v>0</v>
      </c>
      <c r="H1969" s="2">
        <v>1</v>
      </c>
      <c r="I1969" s="4">
        <v>41698</v>
      </c>
      <c r="J1969" s="2">
        <v>29</v>
      </c>
    </row>
    <row r="1970" spans="1:10" ht="12.5">
      <c r="A1970" s="2">
        <v>1968</v>
      </c>
      <c r="B1970" s="2">
        <v>8537</v>
      </c>
      <c r="C1970" s="2">
        <v>1949</v>
      </c>
      <c r="D1970" s="3" t="s">
        <v>9</v>
      </c>
      <c r="E1970" s="3" t="s">
        <v>18</v>
      </c>
      <c r="F1970" s="2">
        <v>72643</v>
      </c>
      <c r="G1970" s="2">
        <v>0</v>
      </c>
      <c r="H1970" s="2">
        <v>0</v>
      </c>
      <c r="I1970" s="4">
        <v>41332</v>
      </c>
      <c r="J1970" s="2">
        <v>60</v>
      </c>
    </row>
    <row r="1971" spans="1:10" ht="12.5">
      <c r="A1971" s="2">
        <v>1969</v>
      </c>
      <c r="B1971" s="2">
        <v>4331</v>
      </c>
      <c r="C1971" s="2">
        <v>1978</v>
      </c>
      <c r="D1971" s="3" t="s">
        <v>14</v>
      </c>
      <c r="E1971" s="3" t="s">
        <v>11</v>
      </c>
      <c r="F1971" s="2">
        <v>85738</v>
      </c>
      <c r="G1971" s="2">
        <v>0</v>
      </c>
      <c r="H1971" s="2">
        <v>0</v>
      </c>
      <c r="I1971" s="4">
        <v>41662</v>
      </c>
      <c r="J1971" s="2">
        <v>41</v>
      </c>
    </row>
    <row r="1972" spans="1:10" ht="12.5">
      <c r="A1972" s="2">
        <v>1970</v>
      </c>
      <c r="B1972" s="2">
        <v>6281</v>
      </c>
      <c r="C1972" s="2">
        <v>1966</v>
      </c>
      <c r="D1972" s="3" t="s">
        <v>9</v>
      </c>
      <c r="E1972" s="3" t="s">
        <v>15</v>
      </c>
      <c r="F1972" s="2">
        <v>55686</v>
      </c>
      <c r="G1972" s="2">
        <v>0</v>
      </c>
      <c r="H1972" s="2">
        <v>1</v>
      </c>
      <c r="I1972" s="4">
        <v>41319</v>
      </c>
      <c r="J1972" s="2">
        <v>27</v>
      </c>
    </row>
    <row r="1973" spans="1:10" ht="12.5">
      <c r="A1973" s="2">
        <v>1971</v>
      </c>
      <c r="B1973" s="2">
        <v>4338</v>
      </c>
      <c r="C1973" s="2">
        <v>1983</v>
      </c>
      <c r="D1973" s="3" t="s">
        <v>9</v>
      </c>
      <c r="E1973" s="3" t="s">
        <v>10</v>
      </c>
      <c r="F1973" s="2">
        <v>39062</v>
      </c>
      <c r="G1973" s="2">
        <v>1</v>
      </c>
      <c r="H1973" s="2">
        <v>0</v>
      </c>
      <c r="I1973" s="4">
        <v>41723</v>
      </c>
      <c r="J1973" s="2">
        <v>28</v>
      </c>
    </row>
    <row r="1974" spans="1:10" ht="12.5">
      <c r="A1974" s="2">
        <v>1972</v>
      </c>
      <c r="B1974" s="2">
        <v>2452</v>
      </c>
      <c r="C1974" s="2">
        <v>1971</v>
      </c>
      <c r="D1974" s="3" t="s">
        <v>9</v>
      </c>
      <c r="E1974" s="3" t="s">
        <v>11</v>
      </c>
      <c r="F1974" s="2">
        <v>34600</v>
      </c>
      <c r="G1974" s="2">
        <v>1</v>
      </c>
      <c r="H1974" s="2">
        <v>1</v>
      </c>
      <c r="I1974" s="4">
        <v>41275</v>
      </c>
      <c r="J1974" s="2">
        <v>8</v>
      </c>
    </row>
    <row r="1975" spans="1:10" ht="12.5">
      <c r="A1975" s="2">
        <v>1973</v>
      </c>
      <c r="B1975" s="2">
        <v>9507</v>
      </c>
      <c r="C1975" s="2">
        <v>1975</v>
      </c>
      <c r="D1975" s="3" t="s">
        <v>9</v>
      </c>
      <c r="E1975" s="3" t="s">
        <v>13</v>
      </c>
      <c r="F1975" s="2">
        <v>40794</v>
      </c>
      <c r="G1975" s="2">
        <v>0</v>
      </c>
      <c r="H1975" s="2">
        <v>1</v>
      </c>
      <c r="I1975" s="4">
        <v>41371</v>
      </c>
      <c r="J1975" s="2">
        <v>18</v>
      </c>
    </row>
    <row r="1976" spans="1:10" ht="12.5">
      <c r="A1976" s="2">
        <v>1974</v>
      </c>
      <c r="B1976" s="2">
        <v>8360</v>
      </c>
      <c r="C1976" s="2">
        <v>1971</v>
      </c>
      <c r="D1976" s="3" t="s">
        <v>17</v>
      </c>
      <c r="E1976" s="3" t="s">
        <v>13</v>
      </c>
      <c r="F1976" s="2">
        <v>54690</v>
      </c>
      <c r="G1976" s="2">
        <v>1</v>
      </c>
      <c r="H1976" s="2">
        <v>1</v>
      </c>
      <c r="I1976" s="4">
        <v>41585</v>
      </c>
      <c r="J1976" s="2">
        <v>76</v>
      </c>
    </row>
    <row r="1977" spans="1:10" ht="12.5">
      <c r="A1977" s="2">
        <v>1975</v>
      </c>
      <c r="B1977" s="2">
        <v>10311</v>
      </c>
      <c r="C1977" s="2">
        <v>1969</v>
      </c>
      <c r="D1977" s="3" t="s">
        <v>9</v>
      </c>
      <c r="E1977" s="3" t="s">
        <v>13</v>
      </c>
      <c r="F1977" s="2">
        <v>4428</v>
      </c>
      <c r="G1977" s="2">
        <v>0</v>
      </c>
      <c r="H1977" s="2">
        <v>1</v>
      </c>
      <c r="I1977" s="4">
        <v>41552</v>
      </c>
      <c r="J1977" s="2">
        <v>0</v>
      </c>
    </row>
    <row r="1978" spans="1:10" ht="12.5">
      <c r="A1978" s="2">
        <v>1976</v>
      </c>
      <c r="B1978" s="2">
        <v>5117</v>
      </c>
      <c r="C1978" s="2">
        <v>1963</v>
      </c>
      <c r="D1978" s="3" t="s">
        <v>17</v>
      </c>
      <c r="E1978" s="3" t="s">
        <v>13</v>
      </c>
      <c r="F1978" s="2">
        <v>32632</v>
      </c>
      <c r="G1978" s="2">
        <v>0</v>
      </c>
      <c r="H1978" s="2">
        <v>0</v>
      </c>
      <c r="I1978" s="4">
        <v>41123</v>
      </c>
      <c r="J1978" s="2">
        <v>32</v>
      </c>
    </row>
    <row r="1979" spans="1:10" ht="12.5">
      <c r="A1979" s="2">
        <v>1977</v>
      </c>
      <c r="B1979" s="2">
        <v>4867</v>
      </c>
      <c r="C1979" s="2">
        <v>1968</v>
      </c>
      <c r="D1979" s="3" t="s">
        <v>12</v>
      </c>
      <c r="E1979" s="3" t="s">
        <v>10</v>
      </c>
      <c r="F1979" s="2">
        <v>38236</v>
      </c>
      <c r="G1979" s="2">
        <v>1</v>
      </c>
      <c r="H1979" s="2">
        <v>1</v>
      </c>
      <c r="I1979" s="4">
        <v>41537</v>
      </c>
      <c r="J1979" s="2">
        <v>2</v>
      </c>
    </row>
    <row r="1980" spans="1:10" ht="12.5">
      <c r="A1980" s="2">
        <v>1978</v>
      </c>
      <c r="B1980" s="2">
        <v>9289</v>
      </c>
      <c r="C1980" s="2">
        <v>1979</v>
      </c>
      <c r="D1980" s="3" t="s">
        <v>9</v>
      </c>
      <c r="E1980" s="3" t="s">
        <v>13</v>
      </c>
      <c r="F1980" s="2">
        <v>36781</v>
      </c>
      <c r="G1980" s="2">
        <v>1</v>
      </c>
      <c r="H1980" s="2">
        <v>0</v>
      </c>
      <c r="I1980" s="4">
        <v>41739</v>
      </c>
      <c r="J1980" s="2">
        <v>16</v>
      </c>
    </row>
    <row r="1981" spans="1:10" ht="12.5">
      <c r="A1981" s="2">
        <v>1979</v>
      </c>
      <c r="B1981" s="2">
        <v>10913</v>
      </c>
      <c r="C1981" s="2">
        <v>1984</v>
      </c>
      <c r="D1981" s="3" t="s">
        <v>14</v>
      </c>
      <c r="E1981" s="3" t="s">
        <v>10</v>
      </c>
      <c r="F1981" s="2">
        <v>31385</v>
      </c>
      <c r="G1981" s="2">
        <v>1</v>
      </c>
      <c r="H1981" s="2">
        <v>0</v>
      </c>
      <c r="I1981" s="4">
        <v>41248</v>
      </c>
      <c r="J1981" s="2">
        <v>56</v>
      </c>
    </row>
    <row r="1982" spans="1:10" ht="12.5">
      <c r="A1982" s="2">
        <v>1980</v>
      </c>
      <c r="B1982" s="2">
        <v>3032</v>
      </c>
      <c r="C1982" s="2">
        <v>1984</v>
      </c>
      <c r="D1982" s="3" t="s">
        <v>9</v>
      </c>
      <c r="E1982" s="3" t="s">
        <v>13</v>
      </c>
      <c r="F1982" s="2">
        <v>24570</v>
      </c>
      <c r="G1982" s="2">
        <v>1</v>
      </c>
      <c r="H1982" s="2">
        <v>0</v>
      </c>
      <c r="I1982" s="4">
        <v>41332</v>
      </c>
      <c r="J1982" s="2">
        <v>97</v>
      </c>
    </row>
    <row r="1983" spans="1:10" ht="12.5">
      <c r="A1983" s="2">
        <v>1981</v>
      </c>
      <c r="B1983" s="2">
        <v>8524</v>
      </c>
      <c r="C1983" s="2">
        <v>1974</v>
      </c>
      <c r="D1983" s="3" t="s">
        <v>12</v>
      </c>
      <c r="E1983" s="3" t="s">
        <v>15</v>
      </c>
      <c r="F1983" s="2">
        <v>25509</v>
      </c>
      <c r="G1983" s="2">
        <v>1</v>
      </c>
      <c r="H1983" s="2">
        <v>0</v>
      </c>
      <c r="I1983" s="4">
        <v>41170</v>
      </c>
      <c r="J1983" s="2">
        <v>15</v>
      </c>
    </row>
    <row r="1984" spans="1:10" ht="12.5">
      <c r="A1984" s="2">
        <v>1982</v>
      </c>
      <c r="B1984" s="2">
        <v>3334</v>
      </c>
      <c r="C1984" s="2">
        <v>1951</v>
      </c>
      <c r="D1984" s="3" t="s">
        <v>9</v>
      </c>
      <c r="E1984" s="3" t="s">
        <v>13</v>
      </c>
      <c r="F1984" s="2">
        <v>94642</v>
      </c>
      <c r="G1984" s="2">
        <v>0</v>
      </c>
      <c r="H1984" s="2">
        <v>0</v>
      </c>
      <c r="I1984" s="4">
        <v>41682</v>
      </c>
      <c r="J1984" s="2">
        <v>35</v>
      </c>
    </row>
    <row r="1985" spans="1:10" ht="12.5">
      <c r="A1985" s="2">
        <v>1983</v>
      </c>
      <c r="B1985" s="2">
        <v>4470</v>
      </c>
      <c r="C1985" s="2">
        <v>1962</v>
      </c>
      <c r="D1985" s="3" t="s">
        <v>14</v>
      </c>
      <c r="E1985" s="3" t="s">
        <v>13</v>
      </c>
      <c r="F1985" s="2">
        <v>58646</v>
      </c>
      <c r="G1985" s="2">
        <v>0</v>
      </c>
      <c r="H1985" s="2">
        <v>1</v>
      </c>
      <c r="I1985" s="4">
        <v>41435</v>
      </c>
      <c r="J1985" s="2">
        <v>3</v>
      </c>
    </row>
    <row r="1986" spans="1:10" ht="12.5">
      <c r="A1986" s="2">
        <v>1984</v>
      </c>
      <c r="B1986" s="2">
        <v>1406</v>
      </c>
      <c r="C1986" s="2">
        <v>1975</v>
      </c>
      <c r="D1986" s="3" t="s">
        <v>9</v>
      </c>
      <c r="E1986" s="3" t="s">
        <v>10</v>
      </c>
      <c r="F1986" s="2">
        <v>53201</v>
      </c>
      <c r="G1986" s="2">
        <v>1</v>
      </c>
      <c r="H1986" s="2">
        <v>1</v>
      </c>
      <c r="I1986" s="4">
        <v>41317</v>
      </c>
      <c r="J1986" s="2">
        <v>49</v>
      </c>
    </row>
    <row r="1987" spans="1:10" ht="12.5">
      <c r="A1987" s="2">
        <v>1985</v>
      </c>
      <c r="B1987" s="2">
        <v>8619</v>
      </c>
      <c r="C1987" s="2">
        <v>1957</v>
      </c>
      <c r="D1987" s="3" t="s">
        <v>9</v>
      </c>
      <c r="E1987" s="3" t="s">
        <v>11</v>
      </c>
      <c r="F1987" s="2">
        <v>21994</v>
      </c>
      <c r="G1987" s="2">
        <v>0</v>
      </c>
      <c r="H1987" s="2">
        <v>1</v>
      </c>
      <c r="I1987" s="5">
        <v>41267</v>
      </c>
      <c r="J1987" s="2">
        <v>4</v>
      </c>
    </row>
    <row r="1988" spans="1:10" ht="12.5">
      <c r="A1988" s="2">
        <v>1986</v>
      </c>
      <c r="B1988" s="2">
        <v>10821</v>
      </c>
      <c r="C1988" s="2">
        <v>1978</v>
      </c>
      <c r="D1988" s="3" t="s">
        <v>9</v>
      </c>
      <c r="E1988" s="3" t="s">
        <v>13</v>
      </c>
      <c r="F1988" s="2">
        <v>57113</v>
      </c>
      <c r="G1988" s="2">
        <v>1</v>
      </c>
      <c r="H1988" s="2">
        <v>1</v>
      </c>
      <c r="I1988" s="4">
        <v>41311</v>
      </c>
      <c r="J1988" s="2">
        <v>45</v>
      </c>
    </row>
    <row r="1989" spans="1:10" ht="12.5">
      <c r="A1989" s="2">
        <v>1987</v>
      </c>
      <c r="B1989" s="2">
        <v>4552</v>
      </c>
      <c r="C1989" s="2">
        <v>1991</v>
      </c>
      <c r="D1989" s="3" t="s">
        <v>9</v>
      </c>
      <c r="E1989" s="3" t="s">
        <v>13</v>
      </c>
      <c r="F1989" s="2">
        <v>51373</v>
      </c>
      <c r="G1989" s="2">
        <v>0</v>
      </c>
      <c r="H1989" s="2">
        <v>0</v>
      </c>
      <c r="I1989" s="4">
        <v>41447</v>
      </c>
      <c r="J1989" s="2">
        <v>37</v>
      </c>
    </row>
    <row r="1990" spans="1:10" ht="12.5">
      <c r="A1990" s="2">
        <v>1988</v>
      </c>
      <c r="B1990" s="2">
        <v>898</v>
      </c>
      <c r="C1990" s="2">
        <v>1986</v>
      </c>
      <c r="D1990" s="3" t="s">
        <v>9</v>
      </c>
      <c r="E1990" s="3" t="s">
        <v>13</v>
      </c>
      <c r="F1990" s="2">
        <v>23477</v>
      </c>
      <c r="G1990" s="2">
        <v>1</v>
      </c>
      <c r="H1990" s="2">
        <v>0</v>
      </c>
      <c r="I1990" s="5">
        <v>41568</v>
      </c>
      <c r="J1990" s="2">
        <v>39</v>
      </c>
    </row>
    <row r="1991" spans="1:10" ht="12.5">
      <c r="A1991" s="2">
        <v>1989</v>
      </c>
      <c r="B1991" s="2">
        <v>9797</v>
      </c>
      <c r="C1991" s="2">
        <v>1956</v>
      </c>
      <c r="D1991" s="3" t="s">
        <v>9</v>
      </c>
      <c r="E1991" s="3" t="s">
        <v>13</v>
      </c>
      <c r="F1991" s="2">
        <v>58116</v>
      </c>
      <c r="G1991" s="2">
        <v>0</v>
      </c>
      <c r="H1991" s="2">
        <v>1</v>
      </c>
      <c r="I1991" s="4">
        <v>41742</v>
      </c>
      <c r="J1991" s="2">
        <v>38</v>
      </c>
    </row>
    <row r="1992" spans="1:10" ht="12.5">
      <c r="A1992" s="2">
        <v>1990</v>
      </c>
      <c r="B1992" s="2">
        <v>10949</v>
      </c>
      <c r="C1992" s="2">
        <v>1963</v>
      </c>
      <c r="D1992" s="3" t="s">
        <v>12</v>
      </c>
      <c r="E1992" s="3" t="s">
        <v>15</v>
      </c>
      <c r="F1992" s="2">
        <v>72968</v>
      </c>
      <c r="G1992" s="2">
        <v>0</v>
      </c>
      <c r="H1992" s="2">
        <v>0</v>
      </c>
      <c r="I1992" s="5">
        <v>41624</v>
      </c>
      <c r="J1992" s="2">
        <v>8</v>
      </c>
    </row>
    <row r="1993" spans="1:10" ht="12.5">
      <c r="A1993" s="2">
        <v>1991</v>
      </c>
      <c r="B1993" s="2">
        <v>8212</v>
      </c>
      <c r="C1993" s="2">
        <v>1971</v>
      </c>
      <c r="D1993" s="3" t="s">
        <v>14</v>
      </c>
      <c r="E1993" s="3" t="s">
        <v>13</v>
      </c>
      <c r="F1993" s="2">
        <v>39791</v>
      </c>
      <c r="G1993" s="2">
        <v>0</v>
      </c>
      <c r="H1993" s="2">
        <v>1</v>
      </c>
      <c r="I1993" s="4">
        <v>41361</v>
      </c>
      <c r="J1993" s="2">
        <v>89</v>
      </c>
    </row>
    <row r="1994" spans="1:10" ht="12.5">
      <c r="A1994" s="2">
        <v>1992</v>
      </c>
      <c r="B1994" s="2">
        <v>6248</v>
      </c>
      <c r="C1994" s="2">
        <v>1947</v>
      </c>
      <c r="D1994" s="3" t="s">
        <v>14</v>
      </c>
      <c r="E1994" s="3" t="s">
        <v>10</v>
      </c>
      <c r="F1994" s="2">
        <v>91712</v>
      </c>
      <c r="G1994" s="2">
        <v>0</v>
      </c>
      <c r="H1994" s="2">
        <v>0</v>
      </c>
      <c r="I1994" s="5">
        <v>41564</v>
      </c>
      <c r="J1994" s="2">
        <v>47</v>
      </c>
    </row>
    <row r="1995" spans="1:10" ht="12.5">
      <c r="A1995" s="2">
        <v>1993</v>
      </c>
      <c r="B1995" s="2">
        <v>10164</v>
      </c>
      <c r="C1995" s="2">
        <v>1958</v>
      </c>
      <c r="D1995" s="3" t="s">
        <v>9</v>
      </c>
      <c r="E1995" s="3" t="s">
        <v>10</v>
      </c>
      <c r="F1995" s="2">
        <v>94472</v>
      </c>
      <c r="G1995" s="2">
        <v>0</v>
      </c>
      <c r="H1995" s="2">
        <v>1</v>
      </c>
      <c r="I1995" s="4">
        <v>41732</v>
      </c>
      <c r="J1995" s="2">
        <v>75</v>
      </c>
    </row>
    <row r="1996" spans="1:10" ht="12.5">
      <c r="A1996" s="2">
        <v>1994</v>
      </c>
      <c r="B1996" s="2">
        <v>4547</v>
      </c>
      <c r="C1996" s="2">
        <v>1960</v>
      </c>
      <c r="D1996" s="3" t="s">
        <v>9</v>
      </c>
      <c r="E1996" s="3" t="s">
        <v>11</v>
      </c>
      <c r="F1996" s="2">
        <v>13672</v>
      </c>
      <c r="G1996" s="2">
        <v>1</v>
      </c>
      <c r="H1996" s="2">
        <v>1</v>
      </c>
      <c r="I1996" s="4">
        <v>41381</v>
      </c>
      <c r="J1996" s="2">
        <v>86</v>
      </c>
    </row>
    <row r="1997" spans="1:10" ht="12.5">
      <c r="A1997" s="2">
        <v>1995</v>
      </c>
      <c r="B1997" s="2">
        <v>6815</v>
      </c>
      <c r="C1997" s="2">
        <v>1980</v>
      </c>
      <c r="D1997" s="3" t="s">
        <v>17</v>
      </c>
      <c r="E1997" s="3" t="s">
        <v>13</v>
      </c>
      <c r="F1997" s="2">
        <v>96547</v>
      </c>
      <c r="G1997" s="2">
        <v>0</v>
      </c>
      <c r="H1997" s="2">
        <v>0</v>
      </c>
      <c r="I1997" s="4">
        <v>41782</v>
      </c>
      <c r="J1997" s="2">
        <v>4</v>
      </c>
    </row>
    <row r="1998" spans="1:10" ht="12.5">
      <c r="A1998" s="2">
        <v>1996</v>
      </c>
      <c r="B1998" s="2">
        <v>4122</v>
      </c>
      <c r="C1998" s="2">
        <v>1975</v>
      </c>
      <c r="D1998" s="3" t="s">
        <v>9</v>
      </c>
      <c r="E1998" s="3" t="s">
        <v>13</v>
      </c>
      <c r="F1998" s="2">
        <v>79205</v>
      </c>
      <c r="G1998" s="2">
        <v>0</v>
      </c>
      <c r="H1998" s="2">
        <v>0</v>
      </c>
      <c r="I1998" s="4">
        <v>41150</v>
      </c>
      <c r="J1998" s="2">
        <v>73</v>
      </c>
    </row>
    <row r="1999" spans="1:10" ht="12.5">
      <c r="A1999" s="2">
        <v>1997</v>
      </c>
      <c r="B1999" s="2">
        <v>10841</v>
      </c>
      <c r="C1999" s="2">
        <v>1975</v>
      </c>
      <c r="D1999" s="3" t="s">
        <v>12</v>
      </c>
      <c r="E1999" s="3" t="s">
        <v>11</v>
      </c>
      <c r="F1999" s="2">
        <v>56559</v>
      </c>
      <c r="G1999" s="2">
        <v>0</v>
      </c>
      <c r="H1999" s="2">
        <v>1</v>
      </c>
      <c r="I1999" s="5">
        <v>41268</v>
      </c>
      <c r="J1999" s="2">
        <v>46</v>
      </c>
    </row>
    <row r="2000" spans="1:10" ht="12.5">
      <c r="A2000" s="2">
        <v>1998</v>
      </c>
      <c r="B2000" s="2">
        <v>5370</v>
      </c>
      <c r="C2000" s="2">
        <v>1973</v>
      </c>
      <c r="D2000" s="3" t="s">
        <v>12</v>
      </c>
      <c r="E2000" s="3" t="s">
        <v>13</v>
      </c>
      <c r="F2000" s="2">
        <v>32644</v>
      </c>
      <c r="G2000" s="2">
        <v>1</v>
      </c>
      <c r="H2000" s="2">
        <v>0</v>
      </c>
      <c r="I2000" s="4">
        <v>41290</v>
      </c>
      <c r="J2000" s="2">
        <v>38</v>
      </c>
    </row>
    <row r="2001" spans="1:10" ht="12.5">
      <c r="A2001" s="2">
        <v>1999</v>
      </c>
      <c r="B2001" s="2">
        <v>176</v>
      </c>
      <c r="C2001" s="2">
        <v>1980</v>
      </c>
      <c r="D2001" s="3" t="s">
        <v>17</v>
      </c>
      <c r="E2001" s="3" t="s">
        <v>10</v>
      </c>
      <c r="F2001" s="2">
        <v>67506</v>
      </c>
      <c r="G2001" s="2">
        <v>0</v>
      </c>
      <c r="H2001" s="2">
        <v>1</v>
      </c>
      <c r="I2001" s="4">
        <v>41641</v>
      </c>
      <c r="J2001" s="2">
        <v>73</v>
      </c>
    </row>
    <row r="2002" spans="1:10" ht="12.5">
      <c r="A2002" s="2">
        <v>2000</v>
      </c>
      <c r="B2002" s="2">
        <v>4860</v>
      </c>
      <c r="C2002" s="2">
        <v>1970</v>
      </c>
      <c r="D2002" s="3" t="s">
        <v>9</v>
      </c>
      <c r="E2002" s="3" t="s">
        <v>10</v>
      </c>
      <c r="F2002" s="2">
        <v>24206</v>
      </c>
      <c r="G2002" s="2">
        <v>1</v>
      </c>
      <c r="H2002" s="2">
        <v>0</v>
      </c>
      <c r="I2002" s="4">
        <v>41341</v>
      </c>
      <c r="J2002" s="2">
        <v>66</v>
      </c>
    </row>
    <row r="2003" spans="1:10" ht="12.5">
      <c r="A2003" s="2">
        <v>2001</v>
      </c>
      <c r="B2003" s="2">
        <v>10757</v>
      </c>
      <c r="C2003" s="2">
        <v>1967</v>
      </c>
      <c r="D2003" s="3" t="s">
        <v>12</v>
      </c>
      <c r="E2003" s="3" t="s">
        <v>15</v>
      </c>
      <c r="F2003" s="2">
        <v>28420</v>
      </c>
      <c r="G2003" s="2">
        <v>1</v>
      </c>
      <c r="H2003" s="2">
        <v>0</v>
      </c>
      <c r="I2003" s="5">
        <v>41632</v>
      </c>
      <c r="J2003" s="2">
        <v>36</v>
      </c>
    </row>
    <row r="2004" spans="1:10" ht="12.5">
      <c r="A2004" s="2">
        <v>2002</v>
      </c>
      <c r="B2004" s="2">
        <v>4023</v>
      </c>
      <c r="C2004" s="2">
        <v>1970</v>
      </c>
      <c r="D2004" s="3" t="s">
        <v>9</v>
      </c>
      <c r="E2004" s="3" t="s">
        <v>13</v>
      </c>
      <c r="F2004" s="2">
        <v>22979</v>
      </c>
      <c r="G2004" s="2">
        <v>1</v>
      </c>
      <c r="H2004" s="2">
        <v>0</v>
      </c>
      <c r="I2004" s="4">
        <v>41158</v>
      </c>
      <c r="J2004" s="2">
        <v>29</v>
      </c>
    </row>
    <row r="2005" spans="1:10" ht="12.5">
      <c r="A2005" s="2">
        <v>2003</v>
      </c>
      <c r="B2005" s="2">
        <v>6679</v>
      </c>
      <c r="C2005" s="2">
        <v>1966</v>
      </c>
      <c r="D2005" s="3" t="s">
        <v>9</v>
      </c>
      <c r="E2005" s="3" t="s">
        <v>10</v>
      </c>
      <c r="F2005" s="2">
        <v>33279</v>
      </c>
      <c r="G2005" s="2">
        <v>0</v>
      </c>
      <c r="H2005" s="2">
        <v>0</v>
      </c>
      <c r="I2005" s="4">
        <v>41802</v>
      </c>
      <c r="J2005" s="2">
        <v>29</v>
      </c>
    </row>
    <row r="2006" spans="1:10" ht="12.5">
      <c r="A2006" s="2">
        <v>2004</v>
      </c>
      <c r="B2006" s="2">
        <v>9923</v>
      </c>
      <c r="C2006" s="2">
        <v>1972</v>
      </c>
      <c r="D2006" s="3" t="s">
        <v>14</v>
      </c>
      <c r="E2006" s="3" t="s">
        <v>10</v>
      </c>
      <c r="F2006" s="2">
        <v>46423</v>
      </c>
      <c r="G2006" s="2">
        <v>1</v>
      </c>
      <c r="H2006" s="2">
        <v>1</v>
      </c>
      <c r="I2006" s="4">
        <v>41535</v>
      </c>
      <c r="J2006" s="2">
        <v>6</v>
      </c>
    </row>
    <row r="2007" spans="1:10" ht="12.5">
      <c r="A2007" s="2">
        <v>2005</v>
      </c>
      <c r="B2007" s="2">
        <v>7181</v>
      </c>
      <c r="C2007" s="2">
        <v>1977</v>
      </c>
      <c r="D2007" s="3" t="s">
        <v>9</v>
      </c>
      <c r="E2007" s="3" t="s">
        <v>13</v>
      </c>
      <c r="F2007" s="2">
        <v>30368</v>
      </c>
      <c r="G2007" s="2">
        <v>0</v>
      </c>
      <c r="H2007" s="2">
        <v>1</v>
      </c>
      <c r="I2007" s="4">
        <v>41585</v>
      </c>
      <c r="J2007" s="2">
        <v>97</v>
      </c>
    </row>
    <row r="2008" spans="1:10" ht="12.5">
      <c r="A2008" s="2">
        <v>2006</v>
      </c>
      <c r="B2008" s="2">
        <v>3599</v>
      </c>
      <c r="C2008" s="2">
        <v>1970</v>
      </c>
      <c r="D2008" s="3" t="s">
        <v>9</v>
      </c>
      <c r="E2008" s="3" t="s">
        <v>13</v>
      </c>
      <c r="F2008" s="2">
        <v>63684</v>
      </c>
      <c r="G2008" s="2">
        <v>0</v>
      </c>
      <c r="H2008" s="2">
        <v>1</v>
      </c>
      <c r="I2008" s="5">
        <v>41239</v>
      </c>
      <c r="J2008" s="2">
        <v>61</v>
      </c>
    </row>
    <row r="2009" spans="1:10" ht="12.5">
      <c r="A2009" s="2">
        <v>2007</v>
      </c>
      <c r="B2009" s="2">
        <v>405</v>
      </c>
      <c r="C2009" s="2">
        <v>1964</v>
      </c>
      <c r="D2009" s="3" t="s">
        <v>9</v>
      </c>
      <c r="E2009" s="3" t="s">
        <v>15</v>
      </c>
      <c r="F2009" s="2">
        <v>41638</v>
      </c>
      <c r="G2009" s="2">
        <v>0</v>
      </c>
      <c r="H2009" s="2">
        <v>1</v>
      </c>
      <c r="I2009" s="4">
        <v>41318</v>
      </c>
      <c r="J2009" s="2">
        <v>68</v>
      </c>
    </row>
    <row r="2010" spans="1:10" ht="12.5">
      <c r="A2010" s="2">
        <v>2008</v>
      </c>
      <c r="B2010" s="2">
        <v>6870</v>
      </c>
      <c r="C2010" s="2">
        <v>1959</v>
      </c>
      <c r="D2010" s="3" t="s">
        <v>12</v>
      </c>
      <c r="E2010" s="3" t="s">
        <v>15</v>
      </c>
      <c r="F2010" s="2">
        <v>68805</v>
      </c>
      <c r="G2010" s="2">
        <v>0</v>
      </c>
      <c r="H2010" s="2">
        <v>1</v>
      </c>
      <c r="I2010" s="4">
        <v>41534</v>
      </c>
      <c r="J2010" s="2">
        <v>73</v>
      </c>
    </row>
    <row r="2011" spans="1:10" ht="12.5">
      <c r="A2011" s="2">
        <v>2009</v>
      </c>
      <c r="B2011" s="2">
        <v>832</v>
      </c>
      <c r="C2011" s="2">
        <v>1966</v>
      </c>
      <c r="D2011" s="3" t="s">
        <v>12</v>
      </c>
      <c r="E2011" s="3" t="s">
        <v>11</v>
      </c>
      <c r="F2011" s="2">
        <v>65814</v>
      </c>
      <c r="G2011" s="2">
        <v>0</v>
      </c>
      <c r="H2011" s="2">
        <v>1</v>
      </c>
      <c r="I2011" s="4">
        <v>41700</v>
      </c>
      <c r="J2011" s="2">
        <v>90</v>
      </c>
    </row>
    <row r="2012" spans="1:10" ht="12.5">
      <c r="A2012" s="2">
        <v>2010</v>
      </c>
      <c r="B2012" s="2">
        <v>2002</v>
      </c>
      <c r="C2012" s="2">
        <v>1958</v>
      </c>
      <c r="D2012" s="3" t="s">
        <v>9</v>
      </c>
      <c r="E2012" s="3" t="s">
        <v>15</v>
      </c>
      <c r="F2012" s="2">
        <v>71964</v>
      </c>
      <c r="G2012" s="2">
        <v>0</v>
      </c>
      <c r="H2012" s="2">
        <v>0</v>
      </c>
      <c r="I2012" s="4">
        <v>41414</v>
      </c>
      <c r="J2012" s="2">
        <v>81</v>
      </c>
    </row>
    <row r="2013" spans="1:10" ht="12.5">
      <c r="A2013" s="2">
        <v>2011</v>
      </c>
      <c r="B2013" s="2">
        <v>3657</v>
      </c>
      <c r="C2013" s="2">
        <v>1986</v>
      </c>
      <c r="D2013" s="3" t="s">
        <v>9</v>
      </c>
      <c r="E2013" s="3" t="s">
        <v>10</v>
      </c>
      <c r="F2013" s="2">
        <v>39146</v>
      </c>
      <c r="G2013" s="2">
        <v>1</v>
      </c>
      <c r="H2013" s="2">
        <v>0</v>
      </c>
      <c r="I2013" s="4">
        <v>41319</v>
      </c>
      <c r="J2013" s="2">
        <v>1</v>
      </c>
    </row>
    <row r="2014" spans="1:10" ht="12.5">
      <c r="A2014" s="2">
        <v>2012</v>
      </c>
      <c r="B2014" s="2">
        <v>500</v>
      </c>
      <c r="C2014" s="2">
        <v>1977</v>
      </c>
      <c r="D2014" s="3" t="s">
        <v>9</v>
      </c>
      <c r="E2014" s="3" t="s">
        <v>11</v>
      </c>
      <c r="F2014" s="2">
        <v>96876</v>
      </c>
      <c r="G2014" s="2">
        <v>0</v>
      </c>
      <c r="H2014" s="2">
        <v>0</v>
      </c>
      <c r="I2014" s="4">
        <v>41492</v>
      </c>
      <c r="J2014" s="2">
        <v>79</v>
      </c>
    </row>
    <row r="2015" spans="1:10" ht="12.5">
      <c r="A2015" s="2">
        <v>2013</v>
      </c>
      <c r="B2015" s="2">
        <v>1951</v>
      </c>
      <c r="C2015" s="2">
        <v>1981</v>
      </c>
      <c r="D2015" s="3" t="s">
        <v>16</v>
      </c>
      <c r="E2015" s="3" t="s">
        <v>13</v>
      </c>
      <c r="F2015" s="2">
        <v>34445</v>
      </c>
      <c r="G2015" s="2">
        <v>0</v>
      </c>
      <c r="H2015" s="2">
        <v>0</v>
      </c>
      <c r="I2015" s="4">
        <v>41301</v>
      </c>
      <c r="J2015" s="2">
        <v>92</v>
      </c>
    </row>
    <row r="2016" spans="1:10" ht="12.5">
      <c r="A2016" s="2">
        <v>2014</v>
      </c>
      <c r="B2016" s="2">
        <v>3262</v>
      </c>
      <c r="C2016" s="2">
        <v>1958</v>
      </c>
      <c r="D2016" s="3" t="s">
        <v>9</v>
      </c>
      <c r="E2016" s="3" t="s">
        <v>10</v>
      </c>
      <c r="F2016" s="2">
        <v>68281</v>
      </c>
      <c r="G2016" s="2">
        <v>0</v>
      </c>
      <c r="H2016" s="2">
        <v>0</v>
      </c>
      <c r="I2016" s="4">
        <v>41128</v>
      </c>
      <c r="J2016" s="2">
        <v>31</v>
      </c>
    </row>
    <row r="2017" spans="1:10" ht="12.5">
      <c r="A2017" s="2">
        <v>2015</v>
      </c>
      <c r="B2017" s="2">
        <v>4102</v>
      </c>
      <c r="C2017" s="2">
        <v>1975</v>
      </c>
      <c r="D2017" s="3" t="s">
        <v>17</v>
      </c>
      <c r="E2017" s="3" t="s">
        <v>13</v>
      </c>
      <c r="F2017" s="2">
        <v>37284</v>
      </c>
      <c r="G2017" s="2">
        <v>1</v>
      </c>
      <c r="H2017" s="2">
        <v>1</v>
      </c>
      <c r="I2017" s="4">
        <v>41362</v>
      </c>
      <c r="J2017" s="2">
        <v>46</v>
      </c>
    </row>
    <row r="2018" spans="1:10" ht="12.5">
      <c r="A2018" s="2">
        <v>2016</v>
      </c>
      <c r="B2018" s="2">
        <v>7042</v>
      </c>
      <c r="C2018" s="2">
        <v>1983</v>
      </c>
      <c r="D2018" s="3" t="s">
        <v>9</v>
      </c>
      <c r="E2018" s="3" t="s">
        <v>13</v>
      </c>
      <c r="F2018" s="2">
        <v>36790</v>
      </c>
      <c r="G2018" s="2">
        <v>0</v>
      </c>
      <c r="H2018" s="2">
        <v>0</v>
      </c>
      <c r="I2018" s="4">
        <v>41334</v>
      </c>
      <c r="J2018" s="2">
        <v>14</v>
      </c>
    </row>
    <row r="2019" spans="1:10" ht="12.5">
      <c r="A2019" s="2">
        <v>2017</v>
      </c>
      <c r="B2019" s="2">
        <v>10598</v>
      </c>
      <c r="C2019" s="2">
        <v>1967</v>
      </c>
      <c r="D2019" s="3" t="s">
        <v>9</v>
      </c>
      <c r="E2019" s="3" t="s">
        <v>11</v>
      </c>
      <c r="F2019" s="2">
        <v>27943</v>
      </c>
      <c r="G2019" s="2">
        <v>1</v>
      </c>
      <c r="H2019" s="2">
        <v>1</v>
      </c>
      <c r="I2019" s="4">
        <v>41379</v>
      </c>
      <c r="J2019" s="2">
        <v>89</v>
      </c>
    </row>
    <row r="2020" spans="1:10" ht="12.5">
      <c r="A2020" s="2">
        <v>2018</v>
      </c>
      <c r="B2020" s="2">
        <v>255</v>
      </c>
      <c r="C2020" s="2">
        <v>1951</v>
      </c>
      <c r="D2020" s="3" t="s">
        <v>9</v>
      </c>
      <c r="E2020" s="3" t="s">
        <v>15</v>
      </c>
      <c r="F2020" s="2">
        <v>22263</v>
      </c>
      <c r="G2020" s="2">
        <v>1</v>
      </c>
      <c r="H2020" s="2">
        <v>1</v>
      </c>
      <c r="I2020" s="4">
        <v>41728</v>
      </c>
      <c r="J2020" s="2">
        <v>31</v>
      </c>
    </row>
    <row r="2021" spans="1:10" ht="12.5">
      <c r="A2021" s="2">
        <v>2019</v>
      </c>
      <c r="B2021" s="2">
        <v>2375</v>
      </c>
      <c r="C2021" s="2">
        <v>1972</v>
      </c>
      <c r="D2021" s="3" t="s">
        <v>9</v>
      </c>
      <c r="E2021" s="3" t="s">
        <v>11</v>
      </c>
      <c r="F2021" s="2">
        <v>30261</v>
      </c>
      <c r="G2021" s="2">
        <v>1</v>
      </c>
      <c r="H2021" s="2">
        <v>2</v>
      </c>
      <c r="I2021" s="4">
        <v>41177</v>
      </c>
      <c r="J2021" s="2">
        <v>75</v>
      </c>
    </row>
    <row r="2022" spans="1:10" ht="12.5">
      <c r="A2022" s="2">
        <v>2020</v>
      </c>
      <c r="B2022" s="2">
        <v>9829</v>
      </c>
      <c r="C2022" s="2">
        <v>1978</v>
      </c>
      <c r="D2022" s="3" t="s">
        <v>9</v>
      </c>
      <c r="E2022" s="3" t="s">
        <v>11</v>
      </c>
      <c r="F2022" s="2">
        <v>28587</v>
      </c>
      <c r="G2022" s="2">
        <v>1</v>
      </c>
      <c r="H2022" s="2">
        <v>0</v>
      </c>
      <c r="I2022" s="4">
        <v>41682</v>
      </c>
      <c r="J2022" s="2">
        <v>42</v>
      </c>
    </row>
    <row r="2023" spans="1:10" ht="12.5">
      <c r="A2023" s="2">
        <v>2021</v>
      </c>
      <c r="B2023" s="2">
        <v>6214</v>
      </c>
      <c r="C2023" s="2">
        <v>1982</v>
      </c>
      <c r="D2023" s="3" t="s">
        <v>14</v>
      </c>
      <c r="E2023" s="3" t="s">
        <v>13</v>
      </c>
      <c r="F2023" s="2">
        <v>43815</v>
      </c>
      <c r="G2023" s="2">
        <v>1</v>
      </c>
      <c r="H2023" s="2">
        <v>0</v>
      </c>
      <c r="I2023" s="4">
        <v>41369</v>
      </c>
      <c r="J2023" s="2">
        <v>53</v>
      </c>
    </row>
    <row r="2024" spans="1:10" ht="12.5">
      <c r="A2024" s="2">
        <v>2022</v>
      </c>
      <c r="B2024" s="2">
        <v>4954</v>
      </c>
      <c r="C2024" s="2">
        <v>1956</v>
      </c>
      <c r="D2024" s="3" t="s">
        <v>9</v>
      </c>
      <c r="E2024" s="3" t="s">
        <v>13</v>
      </c>
      <c r="F2024" s="2">
        <v>48195</v>
      </c>
      <c r="G2024" s="2">
        <v>1</v>
      </c>
      <c r="H2024" s="2">
        <v>1</v>
      </c>
      <c r="I2024" s="4">
        <v>41660</v>
      </c>
      <c r="J2024" s="2">
        <v>53</v>
      </c>
    </row>
    <row r="2025" spans="1:10" ht="12.5">
      <c r="A2025" s="2">
        <v>2023</v>
      </c>
      <c r="B2025" s="2">
        <v>7861</v>
      </c>
      <c r="C2025" s="2">
        <v>1952</v>
      </c>
      <c r="D2025" s="3" t="s">
        <v>14</v>
      </c>
      <c r="E2025" s="3" t="s">
        <v>13</v>
      </c>
      <c r="F2025" s="2">
        <v>77027</v>
      </c>
      <c r="G2025" s="2">
        <v>0</v>
      </c>
      <c r="H2025" s="2">
        <v>1</v>
      </c>
      <c r="I2025" s="4">
        <v>41675</v>
      </c>
      <c r="J2025" s="2">
        <v>23</v>
      </c>
    </row>
    <row r="2026" spans="1:10" ht="12.5">
      <c r="A2026" s="2">
        <v>2024</v>
      </c>
      <c r="B2026" s="2">
        <v>4837</v>
      </c>
      <c r="C2026" s="2">
        <v>1965</v>
      </c>
      <c r="D2026" s="3" t="s">
        <v>12</v>
      </c>
      <c r="E2026" s="3" t="s">
        <v>13</v>
      </c>
      <c r="F2026" s="2">
        <v>71322</v>
      </c>
      <c r="G2026" s="2">
        <v>0</v>
      </c>
      <c r="H2026" s="2">
        <v>1</v>
      </c>
      <c r="I2026" s="4">
        <v>41321</v>
      </c>
      <c r="J2026" s="2">
        <v>57</v>
      </c>
    </row>
    <row r="2027" spans="1:10" ht="12.5">
      <c r="A2027" s="2">
        <v>2025</v>
      </c>
      <c r="B2027" s="2">
        <v>9423</v>
      </c>
      <c r="C2027" s="2">
        <v>1979</v>
      </c>
      <c r="D2027" s="3" t="s">
        <v>14</v>
      </c>
      <c r="E2027" s="3" t="s">
        <v>13</v>
      </c>
      <c r="F2027" s="2">
        <v>32765</v>
      </c>
      <c r="G2027" s="2">
        <v>1</v>
      </c>
      <c r="H2027" s="2">
        <v>0</v>
      </c>
      <c r="I2027" s="4">
        <v>41693</v>
      </c>
      <c r="J2027" s="2">
        <v>49</v>
      </c>
    </row>
    <row r="2028" spans="1:10" ht="12.5">
      <c r="A2028" s="2">
        <v>2026</v>
      </c>
      <c r="B2028" s="2">
        <v>4198</v>
      </c>
      <c r="C2028" s="2">
        <v>1965</v>
      </c>
      <c r="D2028" s="3" t="s">
        <v>9</v>
      </c>
      <c r="E2028" s="3" t="s">
        <v>11</v>
      </c>
      <c r="F2028" s="2">
        <v>29672</v>
      </c>
      <c r="G2028" s="2">
        <v>1</v>
      </c>
      <c r="H2028" s="2">
        <v>1</v>
      </c>
      <c r="I2028" s="4">
        <v>41345</v>
      </c>
      <c r="J2028" s="2">
        <v>6</v>
      </c>
    </row>
    <row r="2029" spans="1:10" ht="12.5">
      <c r="A2029" s="2">
        <v>2027</v>
      </c>
      <c r="B2029" s="2">
        <v>153</v>
      </c>
      <c r="C2029" s="2">
        <v>1953</v>
      </c>
      <c r="D2029" s="3" t="s">
        <v>9</v>
      </c>
      <c r="E2029" s="3" t="s">
        <v>15</v>
      </c>
      <c r="F2029" s="2">
        <v>23272</v>
      </c>
      <c r="G2029" s="2">
        <v>0</v>
      </c>
      <c r="H2029" s="2">
        <v>0</v>
      </c>
      <c r="I2029" s="5">
        <v>41564</v>
      </c>
      <c r="J2029" s="2">
        <v>29</v>
      </c>
    </row>
    <row r="2030" spans="1:10" ht="12.5">
      <c r="A2030" s="2">
        <v>2028</v>
      </c>
      <c r="B2030" s="2">
        <v>9323</v>
      </c>
      <c r="C2030" s="2">
        <v>1949</v>
      </c>
      <c r="D2030" s="3" t="s">
        <v>14</v>
      </c>
      <c r="E2030" s="3" t="s">
        <v>11</v>
      </c>
      <c r="F2030" s="2">
        <v>49912</v>
      </c>
      <c r="G2030" s="2">
        <v>0</v>
      </c>
      <c r="H2030" s="2">
        <v>1</v>
      </c>
      <c r="I2030" s="4">
        <v>41159</v>
      </c>
      <c r="J2030" s="2">
        <v>5</v>
      </c>
    </row>
    <row r="2031" spans="1:10" ht="12.5">
      <c r="A2031" s="2">
        <v>2029</v>
      </c>
      <c r="B2031" s="2">
        <v>10001</v>
      </c>
      <c r="C2031" s="2">
        <v>1985</v>
      </c>
      <c r="D2031" s="3" t="s">
        <v>17</v>
      </c>
      <c r="E2031" s="3" t="s">
        <v>11</v>
      </c>
      <c r="F2031" s="2">
        <v>7500</v>
      </c>
      <c r="G2031" s="2">
        <v>1</v>
      </c>
      <c r="H2031" s="2">
        <v>0</v>
      </c>
      <c r="I2031" s="4">
        <v>41122</v>
      </c>
      <c r="J2031" s="2">
        <v>98</v>
      </c>
    </row>
    <row r="2032" spans="1:10" ht="12.5">
      <c r="A2032" s="2">
        <v>2030</v>
      </c>
      <c r="B2032" s="2">
        <v>3945</v>
      </c>
      <c r="C2032" s="2">
        <v>1947</v>
      </c>
      <c r="D2032" s="3" t="s">
        <v>12</v>
      </c>
      <c r="E2032" s="3" t="s">
        <v>18</v>
      </c>
      <c r="F2032" s="2">
        <v>68117</v>
      </c>
      <c r="G2032" s="2">
        <v>0</v>
      </c>
      <c r="H2032" s="2">
        <v>1</v>
      </c>
      <c r="I2032" s="4">
        <v>41343</v>
      </c>
      <c r="J2032" s="2">
        <v>80</v>
      </c>
    </row>
    <row r="2033" spans="1:10" ht="12.5">
      <c r="A2033" s="2">
        <v>2031</v>
      </c>
      <c r="B2033" s="2">
        <v>3799</v>
      </c>
      <c r="C2033" s="2">
        <v>1955</v>
      </c>
      <c r="D2033" s="3" t="s">
        <v>9</v>
      </c>
      <c r="E2033" s="3" t="s">
        <v>13</v>
      </c>
      <c r="F2033" s="2">
        <v>67225</v>
      </c>
      <c r="G2033" s="2">
        <v>0</v>
      </c>
      <c r="H2033" s="2">
        <v>1</v>
      </c>
      <c r="I2033" s="5">
        <v>41604</v>
      </c>
      <c r="J2033" s="2">
        <v>4</v>
      </c>
    </row>
    <row r="2034" spans="1:10" ht="12.5">
      <c r="A2034" s="2">
        <v>2032</v>
      </c>
      <c r="B2034" s="2">
        <v>8625</v>
      </c>
      <c r="C2034" s="2">
        <v>1976</v>
      </c>
      <c r="D2034" s="3" t="s">
        <v>9</v>
      </c>
      <c r="E2034" s="3" t="s">
        <v>13</v>
      </c>
      <c r="F2034" s="2">
        <v>17649</v>
      </c>
      <c r="G2034" s="2">
        <v>1</v>
      </c>
      <c r="H2034" s="2">
        <v>0</v>
      </c>
      <c r="I2034" s="5">
        <v>41590</v>
      </c>
      <c r="J2034" s="2">
        <v>70</v>
      </c>
    </row>
    <row r="2035" spans="1:10" ht="12.5">
      <c r="A2035" s="2">
        <v>2033</v>
      </c>
      <c r="B2035" s="2">
        <v>3491</v>
      </c>
      <c r="C2035" s="2">
        <v>1975</v>
      </c>
      <c r="D2035" s="3" t="s">
        <v>9</v>
      </c>
      <c r="E2035" s="3" t="s">
        <v>11</v>
      </c>
      <c r="F2035" s="2">
        <v>55914</v>
      </c>
      <c r="G2035" s="2">
        <v>0</v>
      </c>
      <c r="H2035" s="2">
        <v>1</v>
      </c>
      <c r="I2035" s="4">
        <v>41393</v>
      </c>
      <c r="J2035" s="2">
        <v>32</v>
      </c>
    </row>
    <row r="2036" spans="1:10" ht="12.5">
      <c r="A2036" s="2">
        <v>2034</v>
      </c>
      <c r="B2036" s="2">
        <v>983</v>
      </c>
      <c r="C2036" s="2">
        <v>1984</v>
      </c>
      <c r="D2036" s="3" t="s">
        <v>9</v>
      </c>
      <c r="E2036" s="3" t="s">
        <v>13</v>
      </c>
      <c r="F2036" s="2">
        <v>40059</v>
      </c>
      <c r="G2036" s="2">
        <v>1</v>
      </c>
      <c r="H2036" s="2">
        <v>0</v>
      </c>
      <c r="I2036" s="4">
        <v>41545</v>
      </c>
      <c r="J2036" s="2">
        <v>82</v>
      </c>
    </row>
    <row r="2037" spans="1:10" ht="12.5">
      <c r="A2037" s="2">
        <v>2035</v>
      </c>
      <c r="B2037" s="2">
        <v>9119</v>
      </c>
      <c r="C2037" s="2">
        <v>1950</v>
      </c>
      <c r="D2037" s="3" t="s">
        <v>9</v>
      </c>
      <c r="E2037" s="3" t="s">
        <v>11</v>
      </c>
      <c r="F2037" s="2">
        <v>60905</v>
      </c>
      <c r="G2037" s="2">
        <v>0</v>
      </c>
      <c r="H2037" s="2">
        <v>1</v>
      </c>
      <c r="I2037" s="4">
        <v>41613</v>
      </c>
      <c r="J2037" s="2">
        <v>27</v>
      </c>
    </row>
    <row r="2038" spans="1:10" ht="12.5">
      <c r="A2038" s="2">
        <v>2036</v>
      </c>
      <c r="B2038" s="2">
        <v>4786</v>
      </c>
      <c r="C2038" s="2">
        <v>1977</v>
      </c>
      <c r="D2038" s="3" t="s">
        <v>9</v>
      </c>
      <c r="E2038" s="3" t="s">
        <v>13</v>
      </c>
      <c r="F2038" s="2">
        <v>75330</v>
      </c>
      <c r="G2038" s="2">
        <v>1</v>
      </c>
      <c r="H2038" s="2">
        <v>1</v>
      </c>
      <c r="I2038" s="4">
        <v>41186</v>
      </c>
      <c r="J2038" s="2">
        <v>94</v>
      </c>
    </row>
    <row r="2039" spans="1:10" ht="12.5">
      <c r="A2039" s="2">
        <v>2037</v>
      </c>
      <c r="B2039" s="2">
        <v>5872</v>
      </c>
      <c r="C2039" s="2">
        <v>1951</v>
      </c>
      <c r="D2039" s="3" t="s">
        <v>9</v>
      </c>
      <c r="E2039" s="3" t="s">
        <v>10</v>
      </c>
      <c r="F2039" s="2">
        <v>60689</v>
      </c>
      <c r="G2039" s="2">
        <v>0</v>
      </c>
      <c r="H2039" s="2">
        <v>1</v>
      </c>
      <c r="I2039" s="4">
        <v>41426</v>
      </c>
      <c r="J2039" s="2">
        <v>23</v>
      </c>
    </row>
    <row r="2040" spans="1:10" ht="12.5">
      <c r="A2040" s="2">
        <v>2038</v>
      </c>
      <c r="B2040" s="2">
        <v>6568</v>
      </c>
      <c r="C2040" s="2">
        <v>1984</v>
      </c>
      <c r="D2040" s="3" t="s">
        <v>9</v>
      </c>
      <c r="E2040" s="3" t="s">
        <v>13</v>
      </c>
      <c r="F2040" s="2">
        <v>38680</v>
      </c>
      <c r="G2040" s="2">
        <v>1</v>
      </c>
      <c r="H2040" s="2">
        <v>0</v>
      </c>
      <c r="I2040" s="4">
        <v>41361</v>
      </c>
      <c r="J2040" s="2">
        <v>97</v>
      </c>
    </row>
    <row r="2041" spans="1:10" ht="12.5">
      <c r="A2041" s="2">
        <v>2039</v>
      </c>
      <c r="B2041" s="2">
        <v>5628</v>
      </c>
      <c r="C2041" s="2">
        <v>1982</v>
      </c>
      <c r="D2041" s="3" t="s">
        <v>9</v>
      </c>
      <c r="E2041" s="3" t="s">
        <v>11</v>
      </c>
      <c r="F2041" s="2">
        <v>61416</v>
      </c>
      <c r="G2041" s="2">
        <v>0</v>
      </c>
      <c r="H2041" s="2">
        <v>0</v>
      </c>
      <c r="I2041" s="4">
        <v>41313</v>
      </c>
      <c r="J2041" s="2">
        <v>25</v>
      </c>
    </row>
    <row r="2042" spans="1:10" ht="12.5">
      <c r="A2042" s="2">
        <v>2040</v>
      </c>
      <c r="B2042" s="2">
        <v>5631</v>
      </c>
      <c r="C2042" s="2">
        <v>1991</v>
      </c>
      <c r="D2042" s="3" t="s">
        <v>9</v>
      </c>
      <c r="E2042" s="3" t="s">
        <v>10</v>
      </c>
      <c r="F2042" s="2">
        <v>49767</v>
      </c>
      <c r="G2042" s="2">
        <v>0</v>
      </c>
      <c r="H2042" s="2">
        <v>0</v>
      </c>
      <c r="I2042" s="4">
        <v>41396</v>
      </c>
      <c r="J2042" s="2">
        <v>92</v>
      </c>
    </row>
    <row r="2043" spans="1:10" ht="12.5">
      <c r="A2043" s="2">
        <v>2041</v>
      </c>
      <c r="B2043" s="2">
        <v>4974</v>
      </c>
      <c r="C2043" s="2">
        <v>1970</v>
      </c>
      <c r="D2043" s="3" t="s">
        <v>9</v>
      </c>
      <c r="E2043" s="3" t="s">
        <v>10</v>
      </c>
      <c r="F2043" s="2">
        <v>83273</v>
      </c>
      <c r="G2043" s="2">
        <v>1</v>
      </c>
      <c r="H2043" s="2">
        <v>2</v>
      </c>
      <c r="I2043" s="4">
        <v>41177</v>
      </c>
      <c r="J2043" s="2">
        <v>98</v>
      </c>
    </row>
    <row r="2044" spans="1:10" ht="12.5">
      <c r="A2044" s="2">
        <v>2042</v>
      </c>
      <c r="B2044" s="2">
        <v>8416</v>
      </c>
      <c r="C2044" s="2">
        <v>1981</v>
      </c>
      <c r="D2044" s="3" t="s">
        <v>9</v>
      </c>
      <c r="E2044" s="3" t="s">
        <v>13</v>
      </c>
      <c r="F2044" s="2">
        <v>29009</v>
      </c>
      <c r="G2044" s="2">
        <v>1</v>
      </c>
      <c r="H2044" s="2">
        <v>0</v>
      </c>
      <c r="I2044" s="5">
        <v>41607</v>
      </c>
      <c r="J2044" s="2">
        <v>19</v>
      </c>
    </row>
    <row r="2045" spans="1:10" ht="12.5">
      <c r="A2045" s="2">
        <v>2043</v>
      </c>
      <c r="B2045" s="2">
        <v>5454</v>
      </c>
      <c r="C2045" s="2">
        <v>1979</v>
      </c>
      <c r="D2045" s="3" t="s">
        <v>14</v>
      </c>
      <c r="E2045" s="3" t="s">
        <v>13</v>
      </c>
      <c r="F2045" s="2">
        <v>45057</v>
      </c>
      <c r="G2045" s="2">
        <v>1</v>
      </c>
      <c r="H2045" s="2">
        <v>0</v>
      </c>
      <c r="I2045" s="4">
        <v>41609</v>
      </c>
      <c r="J2045" s="2">
        <v>80</v>
      </c>
    </row>
    <row r="2046" spans="1:10" ht="12.5">
      <c r="A2046" s="2">
        <v>2044</v>
      </c>
      <c r="B2046" s="2">
        <v>4095</v>
      </c>
      <c r="C2046" s="2">
        <v>1971</v>
      </c>
      <c r="D2046" s="3" t="s">
        <v>9</v>
      </c>
      <c r="E2046" s="3" t="s">
        <v>13</v>
      </c>
      <c r="F2046" s="2">
        <v>37150</v>
      </c>
      <c r="G2046" s="2">
        <v>1</v>
      </c>
      <c r="H2046" s="2">
        <v>0</v>
      </c>
      <c r="I2046" s="4">
        <v>41163</v>
      </c>
      <c r="J2046" s="2">
        <v>80</v>
      </c>
    </row>
    <row r="2047" spans="1:10" ht="12.5">
      <c r="A2047" s="2">
        <v>2045</v>
      </c>
      <c r="B2047" s="2">
        <v>5474</v>
      </c>
      <c r="C2047" s="2">
        <v>1970</v>
      </c>
      <c r="D2047" s="3" t="s">
        <v>9</v>
      </c>
      <c r="E2047" s="3" t="s">
        <v>10</v>
      </c>
      <c r="F2047" s="2">
        <v>43020</v>
      </c>
      <c r="G2047" s="2">
        <v>1</v>
      </c>
      <c r="H2047" s="2">
        <v>0</v>
      </c>
      <c r="I2047" s="5">
        <v>41608</v>
      </c>
      <c r="J2047" s="2">
        <v>79</v>
      </c>
    </row>
    <row r="2048" spans="1:10" ht="12.5">
      <c r="A2048" s="2">
        <v>2046</v>
      </c>
      <c r="B2048" s="2">
        <v>4268</v>
      </c>
      <c r="C2048" s="2">
        <v>1959</v>
      </c>
      <c r="D2048" s="3" t="s">
        <v>9</v>
      </c>
      <c r="E2048" s="3" t="s">
        <v>13</v>
      </c>
      <c r="F2048" s="2">
        <v>53154</v>
      </c>
      <c r="G2048" s="2">
        <v>0</v>
      </c>
      <c r="H2048" s="2">
        <v>1</v>
      </c>
      <c r="I2048" s="4">
        <v>41799</v>
      </c>
      <c r="J2048" s="2">
        <v>50</v>
      </c>
    </row>
    <row r="2049" spans="1:10" ht="12.5">
      <c r="A2049" s="2">
        <v>2047</v>
      </c>
      <c r="B2049" s="2">
        <v>10701</v>
      </c>
      <c r="C2049" s="2">
        <v>1973</v>
      </c>
      <c r="D2049" s="3" t="s">
        <v>9</v>
      </c>
      <c r="E2049" s="3" t="s">
        <v>13</v>
      </c>
      <c r="F2049" s="2">
        <v>65308</v>
      </c>
      <c r="G2049" s="2">
        <v>0</v>
      </c>
      <c r="H2049" s="2">
        <v>0</v>
      </c>
      <c r="I2049" s="4">
        <v>41528</v>
      </c>
      <c r="J2049" s="2">
        <v>60</v>
      </c>
    </row>
    <row r="2050" spans="1:10" ht="12.5">
      <c r="A2050" s="2">
        <v>2048</v>
      </c>
      <c r="B2050" s="2">
        <v>3507</v>
      </c>
      <c r="C2050" s="2">
        <v>1970</v>
      </c>
      <c r="D2050" s="3" t="s">
        <v>9</v>
      </c>
      <c r="E2050" s="3" t="s">
        <v>10</v>
      </c>
      <c r="F2050" s="2">
        <v>76467</v>
      </c>
      <c r="G2050" s="2">
        <v>1</v>
      </c>
      <c r="H2050" s="2">
        <v>0</v>
      </c>
      <c r="I2050" s="4">
        <v>41138</v>
      </c>
      <c r="J2050" s="2">
        <v>44</v>
      </c>
    </row>
    <row r="2051" spans="1:10" ht="12.5">
      <c r="A2051" s="2">
        <v>2049</v>
      </c>
      <c r="B2051" s="2">
        <v>2079</v>
      </c>
      <c r="C2051" s="2">
        <v>1947</v>
      </c>
      <c r="D2051" s="3" t="s">
        <v>17</v>
      </c>
      <c r="E2051" s="3" t="s">
        <v>13</v>
      </c>
      <c r="F2051" s="2">
        <v>81044</v>
      </c>
      <c r="G2051" s="2">
        <v>0</v>
      </c>
      <c r="H2051" s="2">
        <v>0</v>
      </c>
      <c r="I2051" s="5">
        <v>41635</v>
      </c>
      <c r="J2051" s="2">
        <v>0</v>
      </c>
    </row>
    <row r="2052" spans="1:10" ht="12.5">
      <c r="A2052" s="2">
        <v>2050</v>
      </c>
      <c r="B2052" s="2">
        <v>626</v>
      </c>
      <c r="C2052" s="2">
        <v>1951</v>
      </c>
      <c r="D2052" s="3" t="s">
        <v>9</v>
      </c>
      <c r="E2052" s="3" t="s">
        <v>13</v>
      </c>
      <c r="F2052" s="2">
        <v>32871</v>
      </c>
      <c r="G2052" s="2">
        <v>1</v>
      </c>
      <c r="H2052" s="2">
        <v>1</v>
      </c>
      <c r="I2052" s="4">
        <v>41342</v>
      </c>
      <c r="J2052" s="2">
        <v>28</v>
      </c>
    </row>
    <row r="2053" spans="1:10" ht="12.5">
      <c r="A2053" s="2">
        <v>2051</v>
      </c>
      <c r="B2053" s="2">
        <v>4426</v>
      </c>
      <c r="C2053" s="2">
        <v>1975</v>
      </c>
      <c r="D2053" s="3" t="s">
        <v>9</v>
      </c>
      <c r="E2053" s="3" t="s">
        <v>10</v>
      </c>
      <c r="F2053" s="2">
        <v>55801</v>
      </c>
      <c r="G2053" s="2">
        <v>1</v>
      </c>
      <c r="H2053" s="2">
        <v>1</v>
      </c>
      <c r="I2053" s="4">
        <v>41539</v>
      </c>
      <c r="J2053" s="2">
        <v>35</v>
      </c>
    </row>
    <row r="2054" spans="1:10" ht="12.5">
      <c r="A2054" s="2">
        <v>2052</v>
      </c>
      <c r="B2054" s="2">
        <v>2591</v>
      </c>
      <c r="C2054" s="2">
        <v>1959</v>
      </c>
      <c r="D2054" s="3" t="s">
        <v>9</v>
      </c>
      <c r="E2054" s="3" t="s">
        <v>18</v>
      </c>
      <c r="F2054" s="2">
        <v>76320</v>
      </c>
      <c r="G2054" s="2">
        <v>0</v>
      </c>
      <c r="H2054" s="2">
        <v>1</v>
      </c>
      <c r="I2054" s="4">
        <v>41812</v>
      </c>
      <c r="J2054" s="2">
        <v>49</v>
      </c>
    </row>
    <row r="2055" spans="1:10" ht="12.5">
      <c r="A2055" s="2">
        <v>2053</v>
      </c>
      <c r="B2055" s="2">
        <v>10509</v>
      </c>
      <c r="C2055" s="2">
        <v>1955</v>
      </c>
      <c r="D2055" s="3" t="s">
        <v>14</v>
      </c>
      <c r="E2055" s="3" t="s">
        <v>10</v>
      </c>
      <c r="F2055" s="2">
        <v>36927</v>
      </c>
      <c r="G2055" s="2">
        <v>1</v>
      </c>
      <c r="H2055" s="2">
        <v>1</v>
      </c>
      <c r="I2055" s="4">
        <v>41792</v>
      </c>
      <c r="J2055" s="2">
        <v>46</v>
      </c>
    </row>
    <row r="2056" spans="1:10" ht="12.5">
      <c r="A2056" s="2">
        <v>2054</v>
      </c>
      <c r="B2056" s="2">
        <v>6382</v>
      </c>
      <c r="C2056" s="2">
        <v>1953</v>
      </c>
      <c r="D2056" s="3" t="s">
        <v>9</v>
      </c>
      <c r="E2056" s="3" t="s">
        <v>11</v>
      </c>
      <c r="F2056" s="2">
        <v>48794</v>
      </c>
      <c r="G2056" s="2">
        <v>1</v>
      </c>
      <c r="H2056" s="2">
        <v>1</v>
      </c>
      <c r="I2056" s="4">
        <v>41816</v>
      </c>
      <c r="J2056" s="2">
        <v>97</v>
      </c>
    </row>
    <row r="2057" spans="1:10" ht="12.5">
      <c r="A2057" s="2">
        <v>2055</v>
      </c>
      <c r="B2057" s="2">
        <v>6673</v>
      </c>
      <c r="C2057" s="2">
        <v>1965</v>
      </c>
      <c r="D2057" s="3" t="s">
        <v>9</v>
      </c>
      <c r="E2057" s="3" t="s">
        <v>10</v>
      </c>
      <c r="F2057" s="2">
        <v>23478</v>
      </c>
      <c r="G2057" s="2">
        <v>0</v>
      </c>
      <c r="H2057" s="2">
        <v>0</v>
      </c>
      <c r="I2057" s="4">
        <v>41352</v>
      </c>
      <c r="J2057" s="2">
        <v>51</v>
      </c>
    </row>
    <row r="2058" spans="1:10" ht="12.5">
      <c r="A2058" s="2">
        <v>2056</v>
      </c>
      <c r="B2058" s="2">
        <v>7441</v>
      </c>
      <c r="C2058" s="2">
        <v>1973</v>
      </c>
      <c r="D2058" s="3" t="s">
        <v>9</v>
      </c>
      <c r="E2058" s="3" t="s">
        <v>15</v>
      </c>
      <c r="F2058" s="2">
        <v>71128</v>
      </c>
      <c r="G2058" s="2">
        <v>1</v>
      </c>
      <c r="H2058" s="2">
        <v>0</v>
      </c>
      <c r="I2058" s="4">
        <v>41188</v>
      </c>
      <c r="J2058" s="2">
        <v>80</v>
      </c>
    </row>
    <row r="2059" spans="1:10" ht="12.5">
      <c r="A2059" s="2">
        <v>2057</v>
      </c>
      <c r="B2059" s="2">
        <v>1071</v>
      </c>
      <c r="C2059" s="2">
        <v>1976</v>
      </c>
      <c r="D2059" s="3" t="s">
        <v>12</v>
      </c>
      <c r="E2059" s="3" t="s">
        <v>15</v>
      </c>
      <c r="F2059" s="2">
        <v>70179</v>
      </c>
      <c r="G2059" s="2">
        <v>0</v>
      </c>
      <c r="H2059" s="2">
        <v>1</v>
      </c>
      <c r="I2059" s="4">
        <v>41476</v>
      </c>
      <c r="J2059" s="2">
        <v>10</v>
      </c>
    </row>
    <row r="2060" spans="1:10" ht="12.5">
      <c r="A2060" s="2">
        <v>2058</v>
      </c>
      <c r="B2060" s="2">
        <v>10061</v>
      </c>
      <c r="C2060" s="2">
        <v>1950</v>
      </c>
      <c r="D2060" s="3" t="s">
        <v>9</v>
      </c>
      <c r="E2060" s="3" t="s">
        <v>13</v>
      </c>
      <c r="F2060" s="2">
        <v>59462</v>
      </c>
      <c r="G2060" s="2">
        <v>0</v>
      </c>
      <c r="H2060" s="2">
        <v>1</v>
      </c>
      <c r="I2060" s="4">
        <v>41279</v>
      </c>
      <c r="J2060" s="2">
        <v>29</v>
      </c>
    </row>
    <row r="2061" spans="1:10" ht="12.5">
      <c r="A2061" s="2">
        <v>2059</v>
      </c>
      <c r="B2061" s="2">
        <v>7187</v>
      </c>
      <c r="C2061" s="2">
        <v>1969</v>
      </c>
      <c r="D2061" s="3" t="s">
        <v>14</v>
      </c>
      <c r="E2061" s="3" t="s">
        <v>11</v>
      </c>
      <c r="F2061" s="3"/>
      <c r="G2061" s="2">
        <v>1</v>
      </c>
      <c r="H2061" s="2">
        <v>1</v>
      </c>
      <c r="I2061" s="4">
        <v>41412</v>
      </c>
      <c r="J2061" s="2">
        <v>52</v>
      </c>
    </row>
    <row r="2062" spans="1:10" ht="12.5">
      <c r="A2062" s="2">
        <v>2060</v>
      </c>
      <c r="B2062" s="2">
        <v>8775</v>
      </c>
      <c r="C2062" s="2">
        <v>1969</v>
      </c>
      <c r="D2062" s="3" t="s">
        <v>9</v>
      </c>
      <c r="E2062" s="3" t="s">
        <v>11</v>
      </c>
      <c r="F2062" s="2">
        <v>38361</v>
      </c>
      <c r="G2062" s="2">
        <v>1</v>
      </c>
      <c r="H2062" s="2">
        <v>0</v>
      </c>
      <c r="I2062" s="5">
        <v>41635</v>
      </c>
      <c r="J2062" s="2">
        <v>74</v>
      </c>
    </row>
    <row r="2063" spans="1:10" ht="12.5">
      <c r="A2063" s="2">
        <v>2061</v>
      </c>
      <c r="B2063" s="2">
        <v>1612</v>
      </c>
      <c r="C2063" s="2">
        <v>1981</v>
      </c>
      <c r="D2063" s="3" t="s">
        <v>12</v>
      </c>
      <c r="E2063" s="3" t="s">
        <v>10</v>
      </c>
      <c r="F2063" s="3"/>
      <c r="G2063" s="2">
        <v>1</v>
      </c>
      <c r="H2063" s="2">
        <v>0</v>
      </c>
      <c r="I2063" s="4">
        <v>41425</v>
      </c>
      <c r="J2063" s="2">
        <v>82</v>
      </c>
    </row>
    <row r="2064" spans="1:10" ht="12.5">
      <c r="A2064" s="2">
        <v>2062</v>
      </c>
      <c r="B2064" s="2">
        <v>2345</v>
      </c>
      <c r="C2064" s="2">
        <v>1982</v>
      </c>
      <c r="D2064" s="3" t="s">
        <v>12</v>
      </c>
      <c r="E2064" s="3" t="s">
        <v>11</v>
      </c>
      <c r="F2064" s="2">
        <v>70038</v>
      </c>
      <c r="G2064" s="2">
        <v>0</v>
      </c>
      <c r="H2064" s="2">
        <v>0</v>
      </c>
      <c r="I2064" s="5">
        <v>41572</v>
      </c>
      <c r="J2064" s="2">
        <v>54</v>
      </c>
    </row>
    <row r="2065" spans="1:10" ht="12.5">
      <c r="A2065" s="2">
        <v>2063</v>
      </c>
      <c r="B2065" s="2">
        <v>322</v>
      </c>
      <c r="C2065" s="2">
        <v>1978</v>
      </c>
      <c r="D2065" s="3" t="s">
        <v>9</v>
      </c>
      <c r="E2065" s="3" t="s">
        <v>11</v>
      </c>
      <c r="F2065" s="2">
        <v>42554</v>
      </c>
      <c r="G2065" s="2">
        <v>1</v>
      </c>
      <c r="H2065" s="2">
        <v>1</v>
      </c>
      <c r="I2065" s="4">
        <v>41286</v>
      </c>
      <c r="J2065" s="2">
        <v>93</v>
      </c>
    </row>
    <row r="2066" spans="1:10" ht="12.5">
      <c r="A2066" s="2">
        <v>2064</v>
      </c>
      <c r="B2066" s="2">
        <v>10897</v>
      </c>
      <c r="C2066" s="2">
        <v>1974</v>
      </c>
      <c r="D2066" s="3" t="s">
        <v>9</v>
      </c>
      <c r="E2066" s="3" t="s">
        <v>13</v>
      </c>
      <c r="F2066" s="2">
        <v>67445</v>
      </c>
      <c r="G2066" s="2">
        <v>0</v>
      </c>
      <c r="H2066" s="2">
        <v>1</v>
      </c>
      <c r="I2066" s="4">
        <v>41133</v>
      </c>
      <c r="J2066" s="2">
        <v>63</v>
      </c>
    </row>
    <row r="2067" spans="1:10" ht="12.5">
      <c r="A2067" s="2">
        <v>2065</v>
      </c>
      <c r="B2067" s="2">
        <v>123</v>
      </c>
      <c r="C2067" s="2">
        <v>1951</v>
      </c>
      <c r="D2067" s="3" t="s">
        <v>9</v>
      </c>
      <c r="E2067" s="3" t="s">
        <v>18</v>
      </c>
      <c r="F2067" s="2">
        <v>67046</v>
      </c>
      <c r="G2067" s="2">
        <v>0</v>
      </c>
      <c r="H2067" s="2">
        <v>1</v>
      </c>
      <c r="I2067" s="4">
        <v>41280</v>
      </c>
      <c r="J2067" s="2">
        <v>92</v>
      </c>
    </row>
    <row r="2068" spans="1:10" ht="12.5">
      <c r="A2068" s="2">
        <v>2066</v>
      </c>
      <c r="B2068" s="2">
        <v>6103</v>
      </c>
      <c r="C2068" s="2">
        <v>1948</v>
      </c>
      <c r="D2068" s="3" t="s">
        <v>9</v>
      </c>
      <c r="E2068" s="3" t="s">
        <v>13</v>
      </c>
      <c r="F2068" s="2">
        <v>42192</v>
      </c>
      <c r="G2068" s="2">
        <v>0</v>
      </c>
      <c r="H2068" s="2">
        <v>0</v>
      </c>
      <c r="I2068" s="4">
        <v>41523</v>
      </c>
      <c r="J2068" s="2">
        <v>40</v>
      </c>
    </row>
    <row r="2069" spans="1:10" ht="12.5">
      <c r="A2069" s="2">
        <v>2067</v>
      </c>
      <c r="B2069" s="2">
        <v>7899</v>
      </c>
      <c r="C2069" s="2">
        <v>1952</v>
      </c>
      <c r="D2069" s="3" t="s">
        <v>12</v>
      </c>
      <c r="E2069" s="3" t="s">
        <v>13</v>
      </c>
      <c r="F2069" s="2">
        <v>77610</v>
      </c>
      <c r="G2069" s="2">
        <v>0</v>
      </c>
      <c r="H2069" s="2">
        <v>1</v>
      </c>
      <c r="I2069" s="5">
        <v>41211</v>
      </c>
      <c r="J2069" s="2">
        <v>70</v>
      </c>
    </row>
    <row r="2070" spans="1:10" ht="12.5">
      <c r="A2070" s="2">
        <v>2068</v>
      </c>
      <c r="B2070" s="2">
        <v>10500</v>
      </c>
      <c r="C2070" s="2">
        <v>1984</v>
      </c>
      <c r="D2070" s="3" t="s">
        <v>9</v>
      </c>
      <c r="E2070" s="3" t="s">
        <v>13</v>
      </c>
      <c r="F2070" s="2">
        <v>31761</v>
      </c>
      <c r="G2070" s="2">
        <v>1</v>
      </c>
      <c r="H2070" s="2">
        <v>0</v>
      </c>
      <c r="I2070" s="4">
        <v>41734</v>
      </c>
      <c r="J2070" s="2">
        <v>96</v>
      </c>
    </row>
    <row r="2071" spans="1:10" ht="12.5">
      <c r="A2071" s="2">
        <v>2069</v>
      </c>
      <c r="B2071" s="2">
        <v>1655</v>
      </c>
      <c r="C2071" s="2">
        <v>1979</v>
      </c>
      <c r="D2071" s="3" t="s">
        <v>9</v>
      </c>
      <c r="E2071" s="3" t="s">
        <v>11</v>
      </c>
      <c r="F2071" s="2">
        <v>34350</v>
      </c>
      <c r="G2071" s="2">
        <v>1</v>
      </c>
      <c r="H2071" s="2">
        <v>0</v>
      </c>
      <c r="I2071" s="5">
        <v>41566</v>
      </c>
      <c r="J2071" s="2">
        <v>81</v>
      </c>
    </row>
    <row r="2072" spans="1:10" ht="12.5">
      <c r="A2072" s="2">
        <v>2070</v>
      </c>
      <c r="B2072" s="2">
        <v>2406</v>
      </c>
      <c r="C2072" s="2">
        <v>1949</v>
      </c>
      <c r="D2072" s="3" t="s">
        <v>9</v>
      </c>
      <c r="E2072" s="3" t="s">
        <v>11</v>
      </c>
      <c r="F2072" s="2">
        <v>54591</v>
      </c>
      <c r="G2072" s="2">
        <v>0</v>
      </c>
      <c r="H2072" s="2">
        <v>1</v>
      </c>
      <c r="I2072" s="4">
        <v>41491</v>
      </c>
      <c r="J2072" s="2">
        <v>63</v>
      </c>
    </row>
    <row r="2073" spans="1:10" ht="12.5">
      <c r="A2073" s="2">
        <v>2071</v>
      </c>
      <c r="B2073" s="2">
        <v>2712</v>
      </c>
      <c r="C2073" s="2">
        <v>1956</v>
      </c>
      <c r="D2073" s="3" t="s">
        <v>9</v>
      </c>
      <c r="E2073" s="3" t="s">
        <v>13</v>
      </c>
      <c r="F2073" s="2">
        <v>71866</v>
      </c>
      <c r="G2073" s="2">
        <v>0</v>
      </c>
      <c r="H2073" s="2">
        <v>1</v>
      </c>
      <c r="I2073" s="5">
        <v>41633</v>
      </c>
      <c r="J2073" s="2">
        <v>85</v>
      </c>
    </row>
    <row r="2074" spans="1:10" ht="12.5">
      <c r="A2074" s="2">
        <v>2072</v>
      </c>
      <c r="B2074" s="2">
        <v>5517</v>
      </c>
      <c r="C2074" s="2">
        <v>1969</v>
      </c>
      <c r="D2074" s="3" t="s">
        <v>9</v>
      </c>
      <c r="E2074" s="3" t="s">
        <v>13</v>
      </c>
      <c r="F2074" s="2">
        <v>25293</v>
      </c>
      <c r="G2074" s="2">
        <v>1</v>
      </c>
      <c r="H2074" s="2">
        <v>0</v>
      </c>
      <c r="I2074" s="4">
        <v>41532</v>
      </c>
      <c r="J2074" s="2">
        <v>51</v>
      </c>
    </row>
    <row r="2075" spans="1:10" ht="12.5">
      <c r="A2075" s="2">
        <v>2073</v>
      </c>
      <c r="B2075" s="2">
        <v>10643</v>
      </c>
      <c r="C2075" s="2">
        <v>1987</v>
      </c>
      <c r="D2075" s="3" t="s">
        <v>12</v>
      </c>
      <c r="E2075" s="3" t="s">
        <v>10</v>
      </c>
      <c r="F2075" s="2">
        <v>42000</v>
      </c>
      <c r="G2075" s="2">
        <v>0</v>
      </c>
      <c r="H2075" s="2">
        <v>0</v>
      </c>
      <c r="I2075" s="4">
        <v>41284</v>
      </c>
      <c r="J2075" s="2">
        <v>23</v>
      </c>
    </row>
    <row r="2076" spans="1:10" ht="12.5">
      <c r="A2076" s="2">
        <v>2074</v>
      </c>
      <c r="B2076" s="2">
        <v>2254</v>
      </c>
      <c r="C2076" s="2">
        <v>1983</v>
      </c>
      <c r="D2076" s="3" t="s">
        <v>9</v>
      </c>
      <c r="E2076" s="3" t="s">
        <v>13</v>
      </c>
      <c r="F2076" s="2">
        <v>69520</v>
      </c>
      <c r="G2076" s="2">
        <v>0</v>
      </c>
      <c r="H2076" s="2">
        <v>0</v>
      </c>
      <c r="I2076" s="4">
        <v>41462</v>
      </c>
      <c r="J2076" s="2">
        <v>95</v>
      </c>
    </row>
    <row r="2077" spans="1:10" ht="12.5">
      <c r="A2077" s="2">
        <v>2075</v>
      </c>
      <c r="B2077" s="2">
        <v>10281</v>
      </c>
      <c r="C2077" s="2">
        <v>1970</v>
      </c>
      <c r="D2077" s="3" t="s">
        <v>9</v>
      </c>
      <c r="E2077" s="3" t="s">
        <v>15</v>
      </c>
      <c r="F2077" s="2">
        <v>64713</v>
      </c>
      <c r="G2077" s="2">
        <v>1</v>
      </c>
      <c r="H2077" s="2">
        <v>0</v>
      </c>
      <c r="I2077" s="4">
        <v>41677</v>
      </c>
      <c r="J2077" s="2">
        <v>11</v>
      </c>
    </row>
    <row r="2078" spans="1:10" ht="12.5">
      <c r="A2078" s="2">
        <v>2076</v>
      </c>
      <c r="B2078" s="2">
        <v>6958</v>
      </c>
      <c r="C2078" s="2">
        <v>1977</v>
      </c>
      <c r="D2078" s="3" t="s">
        <v>14</v>
      </c>
      <c r="E2078" s="3" t="s">
        <v>13</v>
      </c>
      <c r="F2078" s="2">
        <v>27889</v>
      </c>
      <c r="G2078" s="2">
        <v>1</v>
      </c>
      <c r="H2078" s="2">
        <v>0</v>
      </c>
      <c r="I2078" s="4">
        <v>41460</v>
      </c>
      <c r="J2078" s="2">
        <v>42</v>
      </c>
    </row>
    <row r="2079" spans="1:10" ht="12.5">
      <c r="A2079" s="2">
        <v>2077</v>
      </c>
      <c r="B2079" s="2">
        <v>954</v>
      </c>
      <c r="C2079" s="2">
        <v>1960</v>
      </c>
      <c r="D2079" s="3" t="s">
        <v>16</v>
      </c>
      <c r="E2079" s="3" t="s">
        <v>18</v>
      </c>
      <c r="F2079" s="2">
        <v>22123</v>
      </c>
      <c r="G2079" s="2">
        <v>0</v>
      </c>
      <c r="H2079" s="2">
        <v>0</v>
      </c>
      <c r="I2079" s="4">
        <v>41725</v>
      </c>
      <c r="J2079" s="2">
        <v>77</v>
      </c>
    </row>
    <row r="2080" spans="1:10" ht="12.5">
      <c r="A2080" s="2">
        <v>2078</v>
      </c>
      <c r="B2080" s="2">
        <v>5079</v>
      </c>
      <c r="C2080" s="2">
        <v>1971</v>
      </c>
      <c r="D2080" s="3" t="s">
        <v>9</v>
      </c>
      <c r="E2080" s="3" t="s">
        <v>13</v>
      </c>
      <c r="F2080" s="3"/>
      <c r="G2080" s="2">
        <v>1</v>
      </c>
      <c r="H2080" s="2">
        <v>1</v>
      </c>
      <c r="I2080" s="4">
        <v>41336</v>
      </c>
      <c r="J2080" s="2">
        <v>82</v>
      </c>
    </row>
    <row r="2081" spans="1:10" ht="12.5">
      <c r="A2081" s="2">
        <v>2079</v>
      </c>
      <c r="B2081" s="2">
        <v>10339</v>
      </c>
      <c r="C2081" s="2">
        <v>1954</v>
      </c>
      <c r="D2081" s="3" t="s">
        <v>14</v>
      </c>
      <c r="E2081" s="3" t="s">
        <v>11</v>
      </c>
      <c r="F2081" s="3"/>
      <c r="G2081" s="2">
        <v>0</v>
      </c>
      <c r="H2081" s="2">
        <v>1</v>
      </c>
      <c r="I2081" s="4">
        <v>41448</v>
      </c>
      <c r="J2081" s="2">
        <v>83</v>
      </c>
    </row>
    <row r="2082" spans="1:10" ht="12.5">
      <c r="A2082" s="2">
        <v>2080</v>
      </c>
      <c r="B2082" s="2">
        <v>4643</v>
      </c>
      <c r="C2082" s="2">
        <v>1973</v>
      </c>
      <c r="D2082" s="3" t="s">
        <v>9</v>
      </c>
      <c r="E2082" s="3" t="s">
        <v>13</v>
      </c>
      <c r="F2082" s="2">
        <v>27803</v>
      </c>
      <c r="G2082" s="2">
        <v>1</v>
      </c>
      <c r="H2082" s="2">
        <v>0</v>
      </c>
      <c r="I2082" s="4">
        <v>41147</v>
      </c>
      <c r="J2082" s="2">
        <v>40</v>
      </c>
    </row>
    <row r="2083" spans="1:10" ht="12.5">
      <c r="A2083" s="2">
        <v>2081</v>
      </c>
      <c r="B2083" s="2">
        <v>3117</v>
      </c>
      <c r="C2083" s="2">
        <v>1955</v>
      </c>
      <c r="D2083" s="3" t="s">
        <v>9</v>
      </c>
      <c r="E2083" s="3" t="s">
        <v>10</v>
      </c>
      <c r="F2083" s="3"/>
      <c r="G2083" s="2">
        <v>0</v>
      </c>
      <c r="H2083" s="2">
        <v>1</v>
      </c>
      <c r="I2083" s="5">
        <v>41565</v>
      </c>
      <c r="J2083" s="2">
        <v>95</v>
      </c>
    </row>
    <row r="2084" spans="1:10" ht="12.5">
      <c r="A2084" s="2">
        <v>2082</v>
      </c>
      <c r="B2084" s="2">
        <v>6497</v>
      </c>
      <c r="C2084" s="2">
        <v>1960</v>
      </c>
      <c r="D2084" s="3" t="s">
        <v>9</v>
      </c>
      <c r="E2084" s="3" t="s">
        <v>13</v>
      </c>
      <c r="F2084" s="2">
        <v>51651</v>
      </c>
      <c r="G2084" s="2">
        <v>0</v>
      </c>
      <c r="H2084" s="2">
        <v>1</v>
      </c>
      <c r="I2084" s="4">
        <v>41220</v>
      </c>
      <c r="J2084" s="2">
        <v>32</v>
      </c>
    </row>
    <row r="2085" spans="1:10" ht="12.5">
      <c r="A2085" s="2">
        <v>2083</v>
      </c>
      <c r="B2085" s="2">
        <v>5396</v>
      </c>
      <c r="C2085" s="2">
        <v>1988</v>
      </c>
      <c r="D2085" s="3" t="s">
        <v>9</v>
      </c>
      <c r="E2085" s="3" t="s">
        <v>13</v>
      </c>
      <c r="F2085" s="2">
        <v>68487</v>
      </c>
      <c r="G2085" s="2">
        <v>0</v>
      </c>
      <c r="H2085" s="2">
        <v>0</v>
      </c>
      <c r="I2085" s="4">
        <v>41287</v>
      </c>
      <c r="J2085" s="2">
        <v>48</v>
      </c>
    </row>
    <row r="2086" spans="1:10" ht="12.5">
      <c r="A2086" s="2">
        <v>2084</v>
      </c>
      <c r="B2086" s="2">
        <v>5250</v>
      </c>
      <c r="C2086" s="2">
        <v>1943</v>
      </c>
      <c r="D2086" s="3" t="s">
        <v>14</v>
      </c>
      <c r="E2086" s="3" t="s">
        <v>18</v>
      </c>
      <c r="F2086" s="3"/>
      <c r="G2086" s="2">
        <v>0</v>
      </c>
      <c r="H2086" s="2">
        <v>0</v>
      </c>
      <c r="I2086" s="5">
        <v>41577</v>
      </c>
      <c r="J2086" s="2">
        <v>75</v>
      </c>
    </row>
    <row r="2087" spans="1:10" ht="12.5">
      <c r="A2087" s="2">
        <v>2085</v>
      </c>
      <c r="B2087" s="2">
        <v>1052</v>
      </c>
      <c r="C2087" s="2">
        <v>1969</v>
      </c>
      <c r="D2087" s="3" t="s">
        <v>9</v>
      </c>
      <c r="E2087" s="3" t="s">
        <v>13</v>
      </c>
      <c r="F2087" s="2">
        <v>56796</v>
      </c>
      <c r="G2087" s="2">
        <v>0</v>
      </c>
      <c r="H2087" s="2">
        <v>1</v>
      </c>
      <c r="I2087" s="4">
        <v>41321</v>
      </c>
      <c r="J2087" s="2">
        <v>24</v>
      </c>
    </row>
    <row r="2088" spans="1:10" ht="12.5">
      <c r="A2088" s="2">
        <v>2086</v>
      </c>
      <c r="B2088" s="2">
        <v>2802</v>
      </c>
      <c r="C2088" s="2">
        <v>1992</v>
      </c>
      <c r="D2088" s="3" t="s">
        <v>17</v>
      </c>
      <c r="E2088" s="3" t="s">
        <v>13</v>
      </c>
      <c r="F2088" s="2">
        <v>87000</v>
      </c>
      <c r="G2088" s="2">
        <v>0</v>
      </c>
      <c r="H2088" s="2">
        <v>0</v>
      </c>
      <c r="I2088" s="5">
        <v>41258</v>
      </c>
      <c r="J2088" s="2">
        <v>61</v>
      </c>
    </row>
    <row r="2089" spans="1:10" ht="12.5">
      <c r="A2089" s="2">
        <v>2087</v>
      </c>
      <c r="B2089" s="2">
        <v>6343</v>
      </c>
      <c r="C2089" s="2">
        <v>1959</v>
      </c>
      <c r="D2089" s="3" t="s">
        <v>9</v>
      </c>
      <c r="E2089" s="3" t="s">
        <v>13</v>
      </c>
      <c r="F2089" s="2">
        <v>79823</v>
      </c>
      <c r="G2089" s="2">
        <v>0</v>
      </c>
      <c r="H2089" s="2">
        <v>1</v>
      </c>
      <c r="I2089" s="4">
        <v>41729</v>
      </c>
      <c r="J2089" s="2">
        <v>6</v>
      </c>
    </row>
    <row r="2090" spans="1:10" ht="12.5">
      <c r="A2090" s="2">
        <v>2088</v>
      </c>
      <c r="B2090" s="2">
        <v>6507</v>
      </c>
      <c r="C2090" s="2">
        <v>1980</v>
      </c>
      <c r="D2090" s="3" t="s">
        <v>9</v>
      </c>
      <c r="E2090" s="3" t="s">
        <v>10</v>
      </c>
      <c r="F2090" s="2">
        <v>30828</v>
      </c>
      <c r="G2090" s="2">
        <v>1</v>
      </c>
      <c r="H2090" s="2">
        <v>0</v>
      </c>
      <c r="I2090" s="4">
        <v>41551</v>
      </c>
      <c r="J2090" s="2">
        <v>16</v>
      </c>
    </row>
    <row r="2091" spans="1:10" ht="12.5">
      <c r="A2091" s="2">
        <v>2089</v>
      </c>
      <c r="B2091" s="2">
        <v>7901</v>
      </c>
      <c r="C2091" s="2">
        <v>1971</v>
      </c>
      <c r="D2091" s="3" t="s">
        <v>14</v>
      </c>
      <c r="E2091" s="3" t="s">
        <v>13</v>
      </c>
      <c r="F2091" s="2">
        <v>34109</v>
      </c>
      <c r="G2091" s="2">
        <v>0</v>
      </c>
      <c r="H2091" s="2">
        <v>1</v>
      </c>
      <c r="I2091" s="4">
        <v>41584</v>
      </c>
      <c r="J2091" s="2">
        <v>39</v>
      </c>
    </row>
    <row r="2092" spans="1:10" ht="12.5">
      <c r="A2092" s="2">
        <v>2090</v>
      </c>
      <c r="B2092" s="2">
        <v>4865</v>
      </c>
      <c r="C2092" s="2">
        <v>1974</v>
      </c>
      <c r="D2092" s="3" t="s">
        <v>14</v>
      </c>
      <c r="E2092" s="3" t="s">
        <v>15</v>
      </c>
      <c r="F2092" s="2">
        <v>53367</v>
      </c>
      <c r="G2092" s="2">
        <v>1</v>
      </c>
      <c r="H2092" s="2">
        <v>1</v>
      </c>
      <c r="I2092" s="4">
        <v>41517</v>
      </c>
      <c r="J2092" s="2">
        <v>2</v>
      </c>
    </row>
    <row r="2093" spans="1:10" ht="12.5">
      <c r="A2093" s="2">
        <v>2091</v>
      </c>
      <c r="B2093" s="2">
        <v>2686</v>
      </c>
      <c r="C2093" s="2">
        <v>1969</v>
      </c>
      <c r="D2093" s="3" t="s">
        <v>16</v>
      </c>
      <c r="E2093" s="3" t="s">
        <v>11</v>
      </c>
      <c r="F2093" s="2">
        <v>22390</v>
      </c>
      <c r="G2093" s="2">
        <v>0</v>
      </c>
      <c r="H2093" s="2">
        <v>0</v>
      </c>
      <c r="I2093" s="5">
        <v>41568</v>
      </c>
      <c r="J2093" s="2">
        <v>49</v>
      </c>
    </row>
    <row r="2094" spans="1:10" ht="12.5">
      <c r="A2094" s="2">
        <v>2092</v>
      </c>
      <c r="B2094" s="2">
        <v>3107</v>
      </c>
      <c r="C2094" s="2">
        <v>1976</v>
      </c>
      <c r="D2094" s="3" t="s">
        <v>9</v>
      </c>
      <c r="E2094" s="3" t="s">
        <v>11</v>
      </c>
      <c r="F2094" s="2">
        <v>71322</v>
      </c>
      <c r="G2094" s="2">
        <v>0</v>
      </c>
      <c r="H2094" s="2">
        <v>1</v>
      </c>
      <c r="I2094" s="4">
        <v>41761</v>
      </c>
      <c r="J2094" s="2">
        <v>31</v>
      </c>
    </row>
    <row r="2095" spans="1:10" ht="12.5">
      <c r="A2095" s="2">
        <v>2093</v>
      </c>
      <c r="B2095" s="2">
        <v>7734</v>
      </c>
      <c r="C2095" s="2">
        <v>1993</v>
      </c>
      <c r="D2095" s="3" t="s">
        <v>9</v>
      </c>
      <c r="E2095" s="3" t="s">
        <v>20</v>
      </c>
      <c r="F2095" s="2">
        <v>79244</v>
      </c>
      <c r="G2095" s="2">
        <v>0</v>
      </c>
      <c r="H2095" s="2">
        <v>0</v>
      </c>
      <c r="I2095" s="5">
        <v>41262</v>
      </c>
      <c r="J2095" s="2">
        <v>58</v>
      </c>
    </row>
    <row r="2096" spans="1:10" ht="12.5">
      <c r="A2096" s="2">
        <v>2094</v>
      </c>
      <c r="B2096" s="2">
        <v>1146</v>
      </c>
      <c r="C2096" s="2">
        <v>1949</v>
      </c>
      <c r="D2096" s="3" t="s">
        <v>14</v>
      </c>
      <c r="E2096" s="3" t="s">
        <v>11</v>
      </c>
      <c r="F2096" s="2">
        <v>49912</v>
      </c>
      <c r="G2096" s="2">
        <v>0</v>
      </c>
      <c r="H2096" s="2">
        <v>1</v>
      </c>
      <c r="I2096" s="4">
        <v>41159</v>
      </c>
      <c r="J2096" s="2">
        <v>5</v>
      </c>
    </row>
    <row r="2097" spans="1:10" ht="12.5">
      <c r="A2097" s="2">
        <v>2095</v>
      </c>
      <c r="B2097" s="2">
        <v>11031</v>
      </c>
      <c r="C2097" s="2">
        <v>1950</v>
      </c>
      <c r="D2097" s="3" t="s">
        <v>12</v>
      </c>
      <c r="E2097" s="3" t="s">
        <v>13</v>
      </c>
      <c r="F2097" s="2">
        <v>48699</v>
      </c>
      <c r="G2097" s="2">
        <v>1</v>
      </c>
      <c r="H2097" s="2">
        <v>1</v>
      </c>
      <c r="I2097" s="4">
        <v>41415</v>
      </c>
      <c r="J2097" s="2">
        <v>90</v>
      </c>
    </row>
    <row r="2098" spans="1:10" ht="12.5">
      <c r="A2098" s="2">
        <v>2096</v>
      </c>
      <c r="B2098" s="2">
        <v>7428</v>
      </c>
      <c r="C2098" s="2">
        <v>1975</v>
      </c>
      <c r="D2098" s="3" t="s">
        <v>9</v>
      </c>
      <c r="E2098" s="3" t="s">
        <v>11</v>
      </c>
      <c r="F2098" s="2">
        <v>80144</v>
      </c>
      <c r="G2098" s="2">
        <v>0</v>
      </c>
      <c r="H2098" s="2">
        <v>0</v>
      </c>
      <c r="I2098" s="4">
        <v>41547</v>
      </c>
      <c r="J2098" s="2">
        <v>47</v>
      </c>
    </row>
    <row r="2099" spans="1:10" ht="12.5">
      <c r="A2099" s="2">
        <v>2097</v>
      </c>
      <c r="B2099" s="2">
        <v>975</v>
      </c>
      <c r="C2099" s="2">
        <v>1956</v>
      </c>
      <c r="D2099" s="3" t="s">
        <v>9</v>
      </c>
      <c r="E2099" s="3" t="s">
        <v>10</v>
      </c>
      <c r="F2099" s="2">
        <v>54252</v>
      </c>
      <c r="G2099" s="2">
        <v>1</v>
      </c>
      <c r="H2099" s="2">
        <v>1</v>
      </c>
      <c r="I2099" s="4">
        <v>41422</v>
      </c>
      <c r="J2099" s="2">
        <v>25</v>
      </c>
    </row>
    <row r="2100" spans="1:10" ht="12.5">
      <c r="A2100" s="2">
        <v>2098</v>
      </c>
      <c r="B2100" s="2">
        <v>1103</v>
      </c>
      <c r="C2100" s="2">
        <v>1976</v>
      </c>
      <c r="D2100" s="3" t="s">
        <v>14</v>
      </c>
      <c r="E2100" s="3" t="s">
        <v>13</v>
      </c>
      <c r="F2100" s="2">
        <v>81929</v>
      </c>
      <c r="G2100" s="2">
        <v>1</v>
      </c>
      <c r="H2100" s="2">
        <v>0</v>
      </c>
      <c r="I2100" s="4">
        <v>41181</v>
      </c>
      <c r="J2100" s="2">
        <v>60</v>
      </c>
    </row>
    <row r="2101" spans="1:10" ht="12.5">
      <c r="A2101" s="2">
        <v>2099</v>
      </c>
      <c r="B2101" s="2">
        <v>3422</v>
      </c>
      <c r="C2101" s="2">
        <v>1975</v>
      </c>
      <c r="D2101" s="3" t="s">
        <v>9</v>
      </c>
      <c r="E2101" s="3" t="s">
        <v>13</v>
      </c>
      <c r="F2101" s="2">
        <v>76068</v>
      </c>
      <c r="G2101" s="2">
        <v>0</v>
      </c>
      <c r="H2101" s="2">
        <v>1</v>
      </c>
      <c r="I2101" s="5">
        <v>41242</v>
      </c>
      <c r="J2101" s="2">
        <v>67</v>
      </c>
    </row>
    <row r="2102" spans="1:10" ht="12.5">
      <c r="A2102" s="2">
        <v>2100</v>
      </c>
      <c r="B2102" s="2">
        <v>1055</v>
      </c>
      <c r="C2102" s="2">
        <v>1976</v>
      </c>
      <c r="D2102" s="3" t="s">
        <v>14</v>
      </c>
      <c r="E2102" s="3" t="s">
        <v>13</v>
      </c>
      <c r="F2102" s="2">
        <v>53204</v>
      </c>
      <c r="G2102" s="2">
        <v>1</v>
      </c>
      <c r="H2102" s="2">
        <v>1</v>
      </c>
      <c r="I2102" s="4">
        <v>41718</v>
      </c>
      <c r="J2102" s="2">
        <v>40</v>
      </c>
    </row>
    <row r="2103" spans="1:10" ht="12.5">
      <c r="A2103" s="2">
        <v>2101</v>
      </c>
      <c r="B2103" s="2">
        <v>6544</v>
      </c>
      <c r="C2103" s="2">
        <v>1949</v>
      </c>
      <c r="D2103" s="3" t="s">
        <v>12</v>
      </c>
      <c r="E2103" s="3" t="s">
        <v>11</v>
      </c>
      <c r="F2103" s="2">
        <v>67911</v>
      </c>
      <c r="G2103" s="2">
        <v>0</v>
      </c>
      <c r="H2103" s="2">
        <v>1</v>
      </c>
      <c r="I2103" s="4">
        <v>41781</v>
      </c>
      <c r="J2103" s="2">
        <v>63</v>
      </c>
    </row>
    <row r="2104" spans="1:10" ht="12.5">
      <c r="A2104" s="2">
        <v>2102</v>
      </c>
      <c r="B2104" s="2">
        <v>1241</v>
      </c>
      <c r="C2104" s="2">
        <v>1984</v>
      </c>
      <c r="D2104" s="3" t="s">
        <v>17</v>
      </c>
      <c r="E2104" s="3" t="s">
        <v>13</v>
      </c>
      <c r="F2104" s="2">
        <v>14796</v>
      </c>
      <c r="G2104" s="2">
        <v>1</v>
      </c>
      <c r="H2104" s="2">
        <v>0</v>
      </c>
      <c r="I2104" s="4">
        <v>41169</v>
      </c>
      <c r="J2104" s="2">
        <v>1</v>
      </c>
    </row>
    <row r="2105" spans="1:10" ht="12.5">
      <c r="A2105" s="2">
        <v>2103</v>
      </c>
      <c r="B2105" s="2">
        <v>2909</v>
      </c>
      <c r="C2105" s="2">
        <v>1974</v>
      </c>
      <c r="D2105" s="3" t="s">
        <v>12</v>
      </c>
      <c r="E2105" s="3" t="s">
        <v>13</v>
      </c>
      <c r="F2105" s="2">
        <v>78128</v>
      </c>
      <c r="G2105" s="2">
        <v>0</v>
      </c>
      <c r="H2105" s="2">
        <v>1</v>
      </c>
      <c r="I2105" s="4">
        <v>41689</v>
      </c>
      <c r="J2105" s="2">
        <v>89</v>
      </c>
    </row>
    <row r="2106" spans="1:10" ht="12.5">
      <c r="A2106" s="2">
        <v>2104</v>
      </c>
      <c r="B2106" s="2">
        <v>5802</v>
      </c>
      <c r="C2106" s="2">
        <v>1972</v>
      </c>
      <c r="D2106" s="3" t="s">
        <v>16</v>
      </c>
      <c r="E2106" s="3" t="s">
        <v>13</v>
      </c>
      <c r="F2106" s="2">
        <v>14188</v>
      </c>
      <c r="G2106" s="2">
        <v>0</v>
      </c>
      <c r="H2106" s="2">
        <v>0</v>
      </c>
      <c r="I2106" s="4">
        <v>41333</v>
      </c>
      <c r="J2106" s="2">
        <v>40</v>
      </c>
    </row>
    <row r="2107" spans="1:10" ht="12.5">
      <c r="A2107" s="2">
        <v>2105</v>
      </c>
      <c r="B2107" s="2">
        <v>1407</v>
      </c>
      <c r="C2107" s="2">
        <v>1986</v>
      </c>
      <c r="D2107" s="3" t="s">
        <v>16</v>
      </c>
      <c r="E2107" s="3" t="s">
        <v>13</v>
      </c>
      <c r="F2107" s="2">
        <v>20425</v>
      </c>
      <c r="G2107" s="2">
        <v>1</v>
      </c>
      <c r="H2107" s="2">
        <v>0</v>
      </c>
      <c r="I2107" s="5">
        <v>41211</v>
      </c>
      <c r="J2107" s="2">
        <v>5</v>
      </c>
    </row>
    <row r="2108" spans="1:10" ht="12.5">
      <c r="A2108" s="2">
        <v>2106</v>
      </c>
      <c r="B2108" s="2">
        <v>6183</v>
      </c>
      <c r="C2108" s="2">
        <v>1962</v>
      </c>
      <c r="D2108" s="3" t="s">
        <v>14</v>
      </c>
      <c r="E2108" s="3" t="s">
        <v>13</v>
      </c>
      <c r="F2108" s="2">
        <v>58646</v>
      </c>
      <c r="G2108" s="2">
        <v>0</v>
      </c>
      <c r="H2108" s="2">
        <v>1</v>
      </c>
      <c r="I2108" s="4">
        <v>41435</v>
      </c>
      <c r="J2108" s="2">
        <v>3</v>
      </c>
    </row>
    <row r="2109" spans="1:10" ht="12.5">
      <c r="A2109" s="2">
        <v>2107</v>
      </c>
      <c r="B2109" s="2">
        <v>340</v>
      </c>
      <c r="C2109" s="2">
        <v>1970</v>
      </c>
      <c r="D2109" s="3" t="s">
        <v>9</v>
      </c>
      <c r="E2109" s="3" t="s">
        <v>15</v>
      </c>
      <c r="F2109" s="2">
        <v>72967</v>
      </c>
      <c r="G2109" s="2">
        <v>0</v>
      </c>
      <c r="H2109" s="2">
        <v>1</v>
      </c>
      <c r="I2109" s="5">
        <v>41258</v>
      </c>
      <c r="J2109" s="2">
        <v>1</v>
      </c>
    </row>
    <row r="2110" spans="1:10" ht="12.5">
      <c r="A2110" s="2">
        <v>2108</v>
      </c>
      <c r="B2110" s="2">
        <v>5991</v>
      </c>
      <c r="C2110" s="2">
        <v>1949</v>
      </c>
      <c r="D2110" s="3" t="s">
        <v>14</v>
      </c>
      <c r="E2110" s="3" t="s">
        <v>13</v>
      </c>
      <c r="F2110" s="2">
        <v>48150</v>
      </c>
      <c r="G2110" s="2">
        <v>0</v>
      </c>
      <c r="H2110" s="2">
        <v>1</v>
      </c>
      <c r="I2110" s="4">
        <v>41433</v>
      </c>
      <c r="J2110" s="2">
        <v>24</v>
      </c>
    </row>
    <row r="2111" spans="1:10" ht="12.5">
      <c r="A2111" s="2">
        <v>2109</v>
      </c>
      <c r="B2111" s="2">
        <v>3104</v>
      </c>
      <c r="C2111" s="2">
        <v>1961</v>
      </c>
      <c r="D2111" s="3" t="s">
        <v>9</v>
      </c>
      <c r="E2111" s="3" t="s">
        <v>10</v>
      </c>
      <c r="F2111" s="2">
        <v>82332</v>
      </c>
      <c r="G2111" s="2">
        <v>0</v>
      </c>
      <c r="H2111" s="2">
        <v>0</v>
      </c>
      <c r="I2111" s="4">
        <v>41169</v>
      </c>
      <c r="J2111" s="2">
        <v>89</v>
      </c>
    </row>
    <row r="2112" spans="1:10" ht="12.5">
      <c r="A2112" s="2">
        <v>2110</v>
      </c>
      <c r="B2112" s="2">
        <v>9729</v>
      </c>
      <c r="C2112" s="2">
        <v>1955</v>
      </c>
      <c r="D2112" s="3" t="s">
        <v>9</v>
      </c>
      <c r="E2112" s="3" t="s">
        <v>18</v>
      </c>
      <c r="F2112" s="2">
        <v>58275</v>
      </c>
      <c r="G2112" s="2">
        <v>1</v>
      </c>
      <c r="H2112" s="2">
        <v>1</v>
      </c>
      <c r="I2112" s="4">
        <v>41427</v>
      </c>
      <c r="J2112" s="2">
        <v>48</v>
      </c>
    </row>
    <row r="2113" spans="1:10" ht="12.5">
      <c r="A2113" s="2">
        <v>2111</v>
      </c>
      <c r="B2113" s="2">
        <v>1008</v>
      </c>
      <c r="C2113" s="2">
        <v>1981</v>
      </c>
      <c r="D2113" s="3" t="s">
        <v>12</v>
      </c>
      <c r="E2113" s="3" t="s">
        <v>11</v>
      </c>
      <c r="F2113" s="2">
        <v>44953</v>
      </c>
      <c r="G2113" s="2">
        <v>0</v>
      </c>
      <c r="H2113" s="2">
        <v>0</v>
      </c>
      <c r="I2113" s="5">
        <v>41264</v>
      </c>
      <c r="J2113" s="2">
        <v>31</v>
      </c>
    </row>
    <row r="2114" spans="1:10" ht="12.5">
      <c r="A2114" s="2">
        <v>2112</v>
      </c>
      <c r="B2114" s="2">
        <v>11091</v>
      </c>
      <c r="C2114" s="2">
        <v>1953</v>
      </c>
      <c r="D2114" s="3" t="s">
        <v>9</v>
      </c>
      <c r="E2114" s="3" t="s">
        <v>11</v>
      </c>
      <c r="F2114" s="2">
        <v>34587</v>
      </c>
      <c r="G2114" s="2">
        <v>1</v>
      </c>
      <c r="H2114" s="2">
        <v>1</v>
      </c>
      <c r="I2114" s="4">
        <v>41775</v>
      </c>
      <c r="J2114" s="2">
        <v>68</v>
      </c>
    </row>
    <row r="2115" spans="1:10" ht="12.5">
      <c r="A2115" s="2">
        <v>2113</v>
      </c>
      <c r="B2115" s="2">
        <v>3969</v>
      </c>
      <c r="C2115" s="2">
        <v>1974</v>
      </c>
      <c r="D2115" s="3" t="s">
        <v>14</v>
      </c>
      <c r="E2115" s="3" t="s">
        <v>11</v>
      </c>
      <c r="F2115" s="2">
        <v>43018</v>
      </c>
      <c r="G2115" s="2">
        <v>0</v>
      </c>
      <c r="H2115" s="2">
        <v>1</v>
      </c>
      <c r="I2115" s="4">
        <v>41579</v>
      </c>
      <c r="J2115" s="2">
        <v>46</v>
      </c>
    </row>
    <row r="2116" spans="1:10" ht="12.5">
      <c r="A2116" s="2">
        <v>2114</v>
      </c>
      <c r="B2116" s="2">
        <v>1916</v>
      </c>
      <c r="C2116" s="2">
        <v>1954</v>
      </c>
      <c r="D2116" s="3" t="s">
        <v>14</v>
      </c>
      <c r="E2116" s="3" t="s">
        <v>13</v>
      </c>
      <c r="F2116" s="2">
        <v>45736</v>
      </c>
      <c r="G2116" s="2">
        <v>0</v>
      </c>
      <c r="H2116" s="2">
        <v>1</v>
      </c>
      <c r="I2116" s="4">
        <v>41479</v>
      </c>
      <c r="J2116" s="2">
        <v>92</v>
      </c>
    </row>
    <row r="2117" spans="1:10" ht="12.5">
      <c r="A2117" s="2">
        <v>2115</v>
      </c>
      <c r="B2117" s="2">
        <v>9907</v>
      </c>
      <c r="C2117" s="2">
        <v>1969</v>
      </c>
      <c r="D2117" s="3" t="s">
        <v>14</v>
      </c>
      <c r="E2117" s="3" t="s">
        <v>11</v>
      </c>
      <c r="F2117" s="2">
        <v>66476</v>
      </c>
      <c r="G2117" s="2">
        <v>0</v>
      </c>
      <c r="H2117" s="2">
        <v>1</v>
      </c>
      <c r="I2117" s="4">
        <v>41612</v>
      </c>
      <c r="J2117" s="2">
        <v>80</v>
      </c>
    </row>
    <row r="2118" spans="1:10" ht="12.5">
      <c r="A2118" s="2">
        <v>2116</v>
      </c>
      <c r="B2118" s="2">
        <v>87</v>
      </c>
      <c r="C2118" s="2">
        <v>1981</v>
      </c>
      <c r="D2118" s="3" t="s">
        <v>17</v>
      </c>
      <c r="E2118" s="3" t="s">
        <v>13</v>
      </c>
      <c r="F2118" s="2">
        <v>27733</v>
      </c>
      <c r="G2118" s="2">
        <v>1</v>
      </c>
      <c r="H2118" s="2">
        <v>0</v>
      </c>
      <c r="I2118" s="4">
        <v>41512</v>
      </c>
      <c r="J2118" s="2">
        <v>16</v>
      </c>
    </row>
    <row r="2119" spans="1:10" ht="12.5">
      <c r="A2119" s="2">
        <v>2117</v>
      </c>
      <c r="B2119" s="2">
        <v>8659</v>
      </c>
      <c r="C2119" s="2">
        <v>1952</v>
      </c>
      <c r="D2119" s="3" t="s">
        <v>12</v>
      </c>
      <c r="E2119" s="3" t="s">
        <v>11</v>
      </c>
      <c r="F2119" s="2">
        <v>69805</v>
      </c>
      <c r="G2119" s="2">
        <v>0</v>
      </c>
      <c r="H2119" s="2">
        <v>1</v>
      </c>
      <c r="I2119" s="4">
        <v>41660</v>
      </c>
      <c r="J2119" s="2">
        <v>50</v>
      </c>
    </row>
    <row r="2120" spans="1:10" ht="12.5">
      <c r="A2120" s="2">
        <v>2118</v>
      </c>
      <c r="B2120" s="2">
        <v>6262</v>
      </c>
      <c r="C2120" s="2">
        <v>1962</v>
      </c>
      <c r="D2120" s="3" t="s">
        <v>14</v>
      </c>
      <c r="E2120" s="3" t="s">
        <v>10</v>
      </c>
      <c r="F2120" s="2">
        <v>72217</v>
      </c>
      <c r="G2120" s="2">
        <v>0</v>
      </c>
      <c r="H2120" s="2">
        <v>0</v>
      </c>
      <c r="I2120" s="4">
        <v>41374</v>
      </c>
      <c r="J2120" s="2">
        <v>93</v>
      </c>
    </row>
    <row r="2121" spans="1:10" ht="12.5">
      <c r="A2121" s="2">
        <v>2119</v>
      </c>
      <c r="B2121" s="2">
        <v>6147</v>
      </c>
      <c r="C2121" s="2">
        <v>1971</v>
      </c>
      <c r="D2121" s="3" t="s">
        <v>9</v>
      </c>
      <c r="E2121" s="3" t="s">
        <v>15</v>
      </c>
      <c r="F2121" s="2">
        <v>25818</v>
      </c>
      <c r="G2121" s="2">
        <v>1</v>
      </c>
      <c r="H2121" s="2">
        <v>0</v>
      </c>
      <c r="I2121" s="5">
        <v>41200</v>
      </c>
      <c r="J2121" s="2">
        <v>51</v>
      </c>
    </row>
    <row r="2122" spans="1:10" ht="12.5">
      <c r="A2122" s="2">
        <v>2120</v>
      </c>
      <c r="B2122" s="2">
        <v>8832</v>
      </c>
      <c r="C2122" s="2">
        <v>1976</v>
      </c>
      <c r="D2122" s="3" t="s">
        <v>14</v>
      </c>
      <c r="E2122" s="3" t="s">
        <v>11</v>
      </c>
      <c r="F2122" s="2">
        <v>37509</v>
      </c>
      <c r="G2122" s="2">
        <v>1</v>
      </c>
      <c r="H2122" s="2">
        <v>0</v>
      </c>
      <c r="I2122" s="4">
        <v>41164</v>
      </c>
      <c r="J2122" s="2">
        <v>24</v>
      </c>
    </row>
    <row r="2123" spans="1:10" ht="12.5">
      <c r="A2123" s="2">
        <v>2121</v>
      </c>
      <c r="B2123" s="2">
        <v>10067</v>
      </c>
      <c r="C2123" s="2">
        <v>1976</v>
      </c>
      <c r="D2123" s="3" t="s">
        <v>17</v>
      </c>
      <c r="E2123" s="3" t="s">
        <v>11</v>
      </c>
      <c r="F2123" s="2">
        <v>25176</v>
      </c>
      <c r="G2123" s="2">
        <v>1</v>
      </c>
      <c r="H2123" s="2">
        <v>1</v>
      </c>
      <c r="I2123" s="4">
        <v>41496</v>
      </c>
      <c r="J2123" s="2">
        <v>79</v>
      </c>
    </row>
    <row r="2124" spans="1:10" ht="12.5">
      <c r="A2124" s="2">
        <v>2122</v>
      </c>
      <c r="B2124" s="2">
        <v>7532</v>
      </c>
      <c r="C2124" s="2">
        <v>1980</v>
      </c>
      <c r="D2124" s="3" t="s">
        <v>9</v>
      </c>
      <c r="E2124" s="3" t="s">
        <v>13</v>
      </c>
      <c r="F2124" s="2">
        <v>43586</v>
      </c>
      <c r="G2124" s="2">
        <v>0</v>
      </c>
      <c r="H2124" s="2">
        <v>1</v>
      </c>
      <c r="I2124" s="4">
        <v>41151</v>
      </c>
      <c r="J2124" s="2">
        <v>26</v>
      </c>
    </row>
    <row r="2125" spans="1:10" ht="12.5">
      <c r="A2125" s="2">
        <v>2123</v>
      </c>
      <c r="B2125" s="2">
        <v>4915</v>
      </c>
      <c r="C2125" s="2">
        <v>1956</v>
      </c>
      <c r="D2125" s="3" t="s">
        <v>17</v>
      </c>
      <c r="E2125" s="3" t="s">
        <v>13</v>
      </c>
      <c r="F2125" s="2">
        <v>53230</v>
      </c>
      <c r="G2125" s="2">
        <v>0</v>
      </c>
      <c r="H2125" s="2">
        <v>1</v>
      </c>
      <c r="I2125" s="4">
        <v>41124</v>
      </c>
      <c r="J2125" s="2">
        <v>86</v>
      </c>
    </row>
    <row r="2126" spans="1:10" ht="12.5">
      <c r="A2126" s="2">
        <v>2124</v>
      </c>
      <c r="B2126" s="2">
        <v>2115</v>
      </c>
      <c r="C2126" s="2">
        <v>1957</v>
      </c>
      <c r="D2126" s="3" t="s">
        <v>9</v>
      </c>
      <c r="E2126" s="3" t="s">
        <v>11</v>
      </c>
      <c r="F2126" s="2">
        <v>50116</v>
      </c>
      <c r="G2126" s="2">
        <v>1</v>
      </c>
      <c r="H2126" s="2">
        <v>1</v>
      </c>
      <c r="I2126" s="4">
        <v>41810</v>
      </c>
      <c r="J2126" s="2">
        <v>68</v>
      </c>
    </row>
    <row r="2127" spans="1:10" ht="12.5">
      <c r="A2127" s="2">
        <v>2125</v>
      </c>
      <c r="B2127" s="2">
        <v>2088</v>
      </c>
      <c r="C2127" s="2">
        <v>1972</v>
      </c>
      <c r="D2127" s="3" t="s">
        <v>9</v>
      </c>
      <c r="E2127" s="3" t="s">
        <v>11</v>
      </c>
      <c r="F2127" s="2">
        <v>84906</v>
      </c>
      <c r="G2127" s="2">
        <v>0</v>
      </c>
      <c r="H2127" s="2">
        <v>0</v>
      </c>
      <c r="I2127" s="4">
        <v>41551</v>
      </c>
      <c r="J2127" s="2">
        <v>98</v>
      </c>
    </row>
    <row r="2128" spans="1:10" ht="12.5">
      <c r="A2128" s="2">
        <v>2126</v>
      </c>
      <c r="B2128" s="2">
        <v>2493</v>
      </c>
      <c r="C2128" s="2">
        <v>1966</v>
      </c>
      <c r="D2128" s="3" t="s">
        <v>9</v>
      </c>
      <c r="E2128" s="3" t="s">
        <v>13</v>
      </c>
      <c r="F2128" s="2">
        <v>61286</v>
      </c>
      <c r="G2128" s="2">
        <v>0</v>
      </c>
      <c r="H2128" s="2">
        <v>1</v>
      </c>
      <c r="I2128" s="4">
        <v>41488</v>
      </c>
      <c r="J2128" s="2">
        <v>34</v>
      </c>
    </row>
    <row r="2129" spans="1:10" ht="12.5">
      <c r="A2129" s="2">
        <v>2127</v>
      </c>
      <c r="B2129" s="2">
        <v>6292</v>
      </c>
      <c r="C2129" s="2">
        <v>1986</v>
      </c>
      <c r="D2129" s="3" t="s">
        <v>12</v>
      </c>
      <c r="E2129" s="3" t="s">
        <v>13</v>
      </c>
      <c r="F2129" s="2">
        <v>82333</v>
      </c>
      <c r="G2129" s="2">
        <v>0</v>
      </c>
      <c r="H2129" s="2">
        <v>0</v>
      </c>
      <c r="I2129" s="4">
        <v>41363</v>
      </c>
      <c r="J2129" s="2">
        <v>60</v>
      </c>
    </row>
    <row r="2130" spans="1:10" ht="12.5">
      <c r="A2130" s="2">
        <v>2128</v>
      </c>
      <c r="B2130" s="2">
        <v>1631</v>
      </c>
      <c r="C2130" s="2">
        <v>1965</v>
      </c>
      <c r="D2130" s="3" t="s">
        <v>12</v>
      </c>
      <c r="E2130" s="3" t="s">
        <v>11</v>
      </c>
      <c r="F2130" s="2">
        <v>65220</v>
      </c>
      <c r="G2130" s="2">
        <v>0</v>
      </c>
      <c r="H2130" s="2">
        <v>0</v>
      </c>
      <c r="I2130" s="4">
        <v>41155</v>
      </c>
      <c r="J2130" s="2">
        <v>3</v>
      </c>
    </row>
    <row r="2131" spans="1:10" ht="12.5">
      <c r="A2131" s="2">
        <v>2129</v>
      </c>
      <c r="B2131" s="2">
        <v>10104</v>
      </c>
      <c r="C2131" s="2">
        <v>1974</v>
      </c>
      <c r="D2131" s="3" t="s">
        <v>9</v>
      </c>
      <c r="E2131" s="3" t="s">
        <v>11</v>
      </c>
      <c r="F2131" s="2">
        <v>33590</v>
      </c>
      <c r="G2131" s="2">
        <v>2</v>
      </c>
      <c r="H2131" s="2">
        <v>1</v>
      </c>
      <c r="I2131" s="4">
        <v>41581</v>
      </c>
      <c r="J2131" s="2">
        <v>65</v>
      </c>
    </row>
    <row r="2132" spans="1:10" ht="12.5">
      <c r="A2132" s="2">
        <v>2130</v>
      </c>
      <c r="B2132" s="2">
        <v>3006</v>
      </c>
      <c r="C2132" s="2">
        <v>1976</v>
      </c>
      <c r="D2132" s="3" t="s">
        <v>9</v>
      </c>
      <c r="E2132" s="3" t="s">
        <v>15</v>
      </c>
      <c r="F2132" s="2">
        <v>30992</v>
      </c>
      <c r="G2132" s="2">
        <v>1</v>
      </c>
      <c r="H2132" s="2">
        <v>0</v>
      </c>
      <c r="I2132" s="4">
        <v>41386</v>
      </c>
      <c r="J2132" s="2">
        <v>83</v>
      </c>
    </row>
    <row r="2133" spans="1:10" ht="12.5">
      <c r="A2133" s="2">
        <v>2131</v>
      </c>
      <c r="B2133" s="2">
        <v>3919</v>
      </c>
      <c r="C2133" s="2">
        <v>1976</v>
      </c>
      <c r="D2133" s="3" t="s">
        <v>14</v>
      </c>
      <c r="E2133" s="3" t="s">
        <v>10</v>
      </c>
      <c r="F2133" s="2">
        <v>72309</v>
      </c>
      <c r="G2133" s="2">
        <v>0</v>
      </c>
      <c r="H2133" s="2">
        <v>0</v>
      </c>
      <c r="I2133" s="4">
        <v>41344</v>
      </c>
      <c r="J2133" s="2">
        <v>64</v>
      </c>
    </row>
    <row r="2134" spans="1:10" ht="12.5">
      <c r="A2134" s="2">
        <v>2132</v>
      </c>
      <c r="B2134" s="2">
        <v>11181</v>
      </c>
      <c r="C2134" s="2">
        <v>1949</v>
      </c>
      <c r="D2134" s="3" t="s">
        <v>12</v>
      </c>
      <c r="E2134" s="3" t="s">
        <v>13</v>
      </c>
      <c r="F2134" s="2">
        <v>156924</v>
      </c>
      <c r="G2134" s="2">
        <v>0</v>
      </c>
      <c r="H2134" s="2">
        <v>0</v>
      </c>
      <c r="I2134" s="4">
        <v>41515</v>
      </c>
      <c r="J2134" s="2">
        <v>85</v>
      </c>
    </row>
    <row r="2135" spans="1:10" ht="12.5">
      <c r="A2135" s="2">
        <v>2133</v>
      </c>
      <c r="B2135" s="2">
        <v>642</v>
      </c>
      <c r="C2135" s="2">
        <v>1980</v>
      </c>
      <c r="D2135" s="3" t="s">
        <v>16</v>
      </c>
      <c r="E2135" s="3" t="s">
        <v>13</v>
      </c>
      <c r="F2135" s="2">
        <v>16005</v>
      </c>
      <c r="G2135" s="2">
        <v>1</v>
      </c>
      <c r="H2135" s="2">
        <v>0</v>
      </c>
      <c r="I2135" s="4">
        <v>41135</v>
      </c>
      <c r="J2135" s="2">
        <v>69</v>
      </c>
    </row>
    <row r="2136" spans="1:10" ht="12.5">
      <c r="A2136" s="2">
        <v>2134</v>
      </c>
      <c r="B2136" s="2">
        <v>4369</v>
      </c>
      <c r="C2136" s="2">
        <v>1957</v>
      </c>
      <c r="D2136" s="3" t="s">
        <v>14</v>
      </c>
      <c r="E2136" s="3" t="s">
        <v>20</v>
      </c>
      <c r="F2136" s="2">
        <v>65487</v>
      </c>
      <c r="G2136" s="2">
        <v>0</v>
      </c>
      <c r="H2136" s="2">
        <v>0</v>
      </c>
      <c r="I2136" s="4">
        <v>41649</v>
      </c>
      <c r="J2136" s="2">
        <v>48</v>
      </c>
    </row>
    <row r="2137" spans="1:10" ht="12.5">
      <c r="A2137" s="2">
        <v>2135</v>
      </c>
      <c r="B2137" s="2">
        <v>10127</v>
      </c>
      <c r="C2137" s="2">
        <v>1965</v>
      </c>
      <c r="D2137" s="3" t="s">
        <v>9</v>
      </c>
      <c r="E2137" s="3" t="s">
        <v>13</v>
      </c>
      <c r="F2137" s="2">
        <v>58692</v>
      </c>
      <c r="G2137" s="2">
        <v>0</v>
      </c>
      <c r="H2137" s="2">
        <v>1</v>
      </c>
      <c r="I2137" s="4">
        <v>41735</v>
      </c>
      <c r="J2137" s="2">
        <v>21</v>
      </c>
    </row>
    <row r="2138" spans="1:10" ht="12.5">
      <c r="A2138" s="2">
        <v>2136</v>
      </c>
      <c r="B2138" s="2">
        <v>271</v>
      </c>
      <c r="C2138" s="2">
        <v>1969</v>
      </c>
      <c r="D2138" s="3" t="s">
        <v>9</v>
      </c>
      <c r="E2138" s="3" t="s">
        <v>18</v>
      </c>
      <c r="F2138" s="2">
        <v>40590</v>
      </c>
      <c r="G2138" s="2">
        <v>1</v>
      </c>
      <c r="H2138" s="2">
        <v>1</v>
      </c>
      <c r="I2138" s="4">
        <v>41549</v>
      </c>
      <c r="J2138" s="2">
        <v>30</v>
      </c>
    </row>
    <row r="2139" spans="1:10" ht="12.5">
      <c r="A2139" s="2">
        <v>2137</v>
      </c>
      <c r="B2139" s="2">
        <v>4973</v>
      </c>
      <c r="C2139" s="2">
        <v>1970</v>
      </c>
      <c r="D2139" s="3" t="s">
        <v>9</v>
      </c>
      <c r="E2139" s="3" t="s">
        <v>10</v>
      </c>
      <c r="F2139" s="2">
        <v>20587</v>
      </c>
      <c r="G2139" s="2">
        <v>1</v>
      </c>
      <c r="H2139" s="2">
        <v>0</v>
      </c>
      <c r="I2139" s="4">
        <v>41770</v>
      </c>
      <c r="J2139" s="2">
        <v>39</v>
      </c>
    </row>
    <row r="2140" spans="1:10" ht="12.5">
      <c r="A2140" s="2">
        <v>2138</v>
      </c>
      <c r="B2140" s="2">
        <v>2948</v>
      </c>
      <c r="C2140" s="2">
        <v>1954</v>
      </c>
      <c r="D2140" s="3" t="s">
        <v>14</v>
      </c>
      <c r="E2140" s="3" t="s">
        <v>15</v>
      </c>
      <c r="F2140" s="2">
        <v>62637</v>
      </c>
      <c r="G2140" s="2">
        <v>0</v>
      </c>
      <c r="H2140" s="2">
        <v>1</v>
      </c>
      <c r="I2140" s="4">
        <v>41699</v>
      </c>
      <c r="J2140" s="2">
        <v>76</v>
      </c>
    </row>
    <row r="2141" spans="1:10" ht="12.5">
      <c r="A2141" s="2">
        <v>2139</v>
      </c>
      <c r="B2141" s="2">
        <v>2715</v>
      </c>
      <c r="C2141" s="2">
        <v>1966</v>
      </c>
      <c r="D2141" s="3" t="s">
        <v>14</v>
      </c>
      <c r="E2141" s="3" t="s">
        <v>15</v>
      </c>
      <c r="F2141" s="2">
        <v>29435</v>
      </c>
      <c r="G2141" s="2">
        <v>1</v>
      </c>
      <c r="H2141" s="2">
        <v>1</v>
      </c>
      <c r="I2141" s="4">
        <v>41127</v>
      </c>
      <c r="J2141" s="2">
        <v>11</v>
      </c>
    </row>
    <row r="2142" spans="1:10" ht="12.5">
      <c r="A2142" s="2">
        <v>2140</v>
      </c>
      <c r="B2142" s="2">
        <v>10432</v>
      </c>
      <c r="C2142" s="2">
        <v>1974</v>
      </c>
      <c r="D2142" s="3" t="s">
        <v>9</v>
      </c>
      <c r="E2142" s="3" t="s">
        <v>15</v>
      </c>
      <c r="F2142" s="2">
        <v>19346</v>
      </c>
      <c r="G2142" s="2">
        <v>1</v>
      </c>
      <c r="H2142" s="2">
        <v>0</v>
      </c>
      <c r="I2142" s="4">
        <v>41669</v>
      </c>
      <c r="J2142" s="2">
        <v>26</v>
      </c>
    </row>
    <row r="2143" spans="1:10" ht="12.5">
      <c r="A2143" s="2">
        <v>2141</v>
      </c>
      <c r="B2143" s="2">
        <v>9216</v>
      </c>
      <c r="C2143" s="2">
        <v>1971</v>
      </c>
      <c r="D2143" s="3" t="s">
        <v>9</v>
      </c>
      <c r="E2143" s="3" t="s">
        <v>13</v>
      </c>
      <c r="F2143" s="2">
        <v>35788</v>
      </c>
      <c r="G2143" s="2">
        <v>1</v>
      </c>
      <c r="H2143" s="2">
        <v>1</v>
      </c>
      <c r="I2143" s="4">
        <v>41662</v>
      </c>
      <c r="J2143" s="2">
        <v>34</v>
      </c>
    </row>
    <row r="2144" spans="1:10" ht="12.5">
      <c r="A2144" s="2">
        <v>2142</v>
      </c>
      <c r="B2144" s="2">
        <v>7124</v>
      </c>
      <c r="C2144" s="2">
        <v>1968</v>
      </c>
      <c r="D2144" s="3" t="s">
        <v>9</v>
      </c>
      <c r="E2144" s="3" t="s">
        <v>15</v>
      </c>
      <c r="F2144" s="2">
        <v>36997</v>
      </c>
      <c r="G2144" s="2">
        <v>1</v>
      </c>
      <c r="H2144" s="2">
        <v>1</v>
      </c>
      <c r="I2144" s="4">
        <v>41306</v>
      </c>
      <c r="J2144" s="2">
        <v>72</v>
      </c>
    </row>
    <row r="2145" spans="1:10" ht="12.5">
      <c r="A2145" s="2">
        <v>2143</v>
      </c>
      <c r="B2145" s="2">
        <v>9727</v>
      </c>
      <c r="C2145" s="2">
        <v>1957</v>
      </c>
      <c r="D2145" s="3" t="s">
        <v>9</v>
      </c>
      <c r="E2145" s="3" t="s">
        <v>13</v>
      </c>
      <c r="F2145" s="2">
        <v>23539</v>
      </c>
      <c r="G2145" s="2">
        <v>0</v>
      </c>
      <c r="H2145" s="2">
        <v>0</v>
      </c>
      <c r="I2145" s="4">
        <v>41698</v>
      </c>
      <c r="J2145" s="2">
        <v>13</v>
      </c>
    </row>
    <row r="2146" spans="1:10" ht="12.5">
      <c r="A2146" s="2">
        <v>2144</v>
      </c>
      <c r="B2146" s="2">
        <v>5136</v>
      </c>
      <c r="C2146" s="2">
        <v>1973</v>
      </c>
      <c r="D2146" s="3" t="s">
        <v>9</v>
      </c>
      <c r="E2146" s="3" t="s">
        <v>10</v>
      </c>
      <c r="F2146" s="2">
        <v>65333</v>
      </c>
      <c r="G2146" s="2">
        <v>0</v>
      </c>
      <c r="H2146" s="2">
        <v>1</v>
      </c>
      <c r="I2146" s="4">
        <v>41656</v>
      </c>
      <c r="J2146" s="2">
        <v>58</v>
      </c>
    </row>
    <row r="2147" spans="1:10" ht="12.5">
      <c r="A2147" s="2">
        <v>2145</v>
      </c>
      <c r="B2147" s="2">
        <v>9790</v>
      </c>
      <c r="C2147" s="2">
        <v>1957</v>
      </c>
      <c r="D2147" s="3" t="s">
        <v>9</v>
      </c>
      <c r="E2147" s="3" t="s">
        <v>10</v>
      </c>
      <c r="F2147" s="2">
        <v>78499</v>
      </c>
      <c r="G2147" s="2">
        <v>0</v>
      </c>
      <c r="H2147" s="2">
        <v>0</v>
      </c>
      <c r="I2147" s="5">
        <v>41601</v>
      </c>
      <c r="J2147" s="2">
        <v>12</v>
      </c>
    </row>
    <row r="2148" spans="1:10" ht="12.5">
      <c r="A2148" s="2">
        <v>2146</v>
      </c>
      <c r="B2148" s="2">
        <v>1818</v>
      </c>
      <c r="C2148" s="2">
        <v>1971</v>
      </c>
      <c r="D2148" s="3" t="s">
        <v>12</v>
      </c>
      <c r="E2148" s="3" t="s">
        <v>11</v>
      </c>
      <c r="F2148" s="2">
        <v>29732</v>
      </c>
      <c r="G2148" s="2">
        <v>1</v>
      </c>
      <c r="H2148" s="2">
        <v>0</v>
      </c>
      <c r="I2148" s="4">
        <v>41723</v>
      </c>
      <c r="J2148" s="2">
        <v>23</v>
      </c>
    </row>
    <row r="2149" spans="1:10" ht="12.5">
      <c r="A2149" s="2">
        <v>2147</v>
      </c>
      <c r="B2149" s="2">
        <v>1100</v>
      </c>
      <c r="C2149" s="2">
        <v>1960</v>
      </c>
      <c r="D2149" s="3" t="s">
        <v>14</v>
      </c>
      <c r="E2149" s="3" t="s">
        <v>11</v>
      </c>
      <c r="F2149" s="2">
        <v>41275</v>
      </c>
      <c r="G2149" s="2">
        <v>1</v>
      </c>
      <c r="H2149" s="2">
        <v>2</v>
      </c>
      <c r="I2149" s="4">
        <v>41722</v>
      </c>
      <c r="J2149" s="2">
        <v>33</v>
      </c>
    </row>
    <row r="2150" spans="1:10" ht="12.5">
      <c r="A2150" s="2">
        <v>2148</v>
      </c>
      <c r="B2150" s="2">
        <v>7873</v>
      </c>
      <c r="C2150" s="2">
        <v>1973</v>
      </c>
      <c r="D2150" s="3" t="s">
        <v>12</v>
      </c>
      <c r="E2150" s="3" t="s">
        <v>11</v>
      </c>
      <c r="F2150" s="2">
        <v>63516</v>
      </c>
      <c r="G2150" s="2">
        <v>1</v>
      </c>
      <c r="H2150" s="2">
        <v>1</v>
      </c>
      <c r="I2150" s="4">
        <v>41461</v>
      </c>
      <c r="J2150" s="2">
        <v>30</v>
      </c>
    </row>
    <row r="2151" spans="1:10" ht="12.5">
      <c r="A2151" s="2">
        <v>2149</v>
      </c>
      <c r="B2151" s="2">
        <v>10609</v>
      </c>
      <c r="C2151" s="2">
        <v>1962</v>
      </c>
      <c r="D2151" s="3" t="s">
        <v>12</v>
      </c>
      <c r="E2151" s="3" t="s">
        <v>13</v>
      </c>
      <c r="F2151" s="2">
        <v>42769</v>
      </c>
      <c r="G2151" s="2">
        <v>0</v>
      </c>
      <c r="H2151" s="2">
        <v>1</v>
      </c>
      <c r="I2151" s="5">
        <v>41559</v>
      </c>
      <c r="J2151" s="2">
        <v>15</v>
      </c>
    </row>
    <row r="2152" spans="1:10" ht="12.5">
      <c r="A2152" s="2">
        <v>2150</v>
      </c>
      <c r="B2152" s="2">
        <v>6950</v>
      </c>
      <c r="C2152" s="2">
        <v>1958</v>
      </c>
      <c r="D2152" s="3" t="s">
        <v>14</v>
      </c>
      <c r="E2152" s="3" t="s">
        <v>13</v>
      </c>
      <c r="F2152" s="2">
        <v>49572</v>
      </c>
      <c r="G2152" s="2">
        <v>1</v>
      </c>
      <c r="H2152" s="2">
        <v>1</v>
      </c>
      <c r="I2152" s="5">
        <v>41623</v>
      </c>
      <c r="J2152" s="2">
        <v>25</v>
      </c>
    </row>
    <row r="2153" spans="1:10" ht="12.5">
      <c r="A2153" s="2">
        <v>2151</v>
      </c>
      <c r="B2153" s="2">
        <v>7233</v>
      </c>
      <c r="C2153" s="2">
        <v>1972</v>
      </c>
      <c r="D2153" s="3" t="s">
        <v>9</v>
      </c>
      <c r="E2153" s="3" t="s">
        <v>13</v>
      </c>
      <c r="F2153" s="2">
        <v>69209</v>
      </c>
      <c r="G2153" s="2">
        <v>0</v>
      </c>
      <c r="H2153" s="2">
        <v>0</v>
      </c>
      <c r="I2153" s="4">
        <v>41169</v>
      </c>
      <c r="J2153" s="2">
        <v>4</v>
      </c>
    </row>
    <row r="2154" spans="1:10" ht="12.5">
      <c r="A2154" s="2">
        <v>2152</v>
      </c>
      <c r="B2154" s="2">
        <v>9481</v>
      </c>
      <c r="C2154" s="2">
        <v>1976</v>
      </c>
      <c r="D2154" s="3" t="s">
        <v>9</v>
      </c>
      <c r="E2154" s="3" t="s">
        <v>13</v>
      </c>
      <c r="F2154" s="2">
        <v>17148</v>
      </c>
      <c r="G2154" s="2">
        <v>1</v>
      </c>
      <c r="H2154" s="2">
        <v>0</v>
      </c>
      <c r="I2154" s="4">
        <v>41667</v>
      </c>
      <c r="J2154" s="2">
        <v>80</v>
      </c>
    </row>
    <row r="2155" spans="1:10" ht="12.5">
      <c r="A2155" s="2">
        <v>2153</v>
      </c>
      <c r="B2155" s="2">
        <v>7699</v>
      </c>
      <c r="C2155" s="2">
        <v>1969</v>
      </c>
      <c r="D2155" s="3" t="s">
        <v>9</v>
      </c>
      <c r="E2155" s="3" t="s">
        <v>18</v>
      </c>
      <c r="F2155" s="2">
        <v>40590</v>
      </c>
      <c r="G2155" s="2">
        <v>1</v>
      </c>
      <c r="H2155" s="2">
        <v>1</v>
      </c>
      <c r="I2155" s="4">
        <v>41549</v>
      </c>
      <c r="J2155" s="2">
        <v>30</v>
      </c>
    </row>
    <row r="2156" spans="1:10" ht="12.5">
      <c r="A2156" s="2">
        <v>2154</v>
      </c>
      <c r="B2156" s="2">
        <v>2711</v>
      </c>
      <c r="C2156" s="2">
        <v>1976</v>
      </c>
      <c r="D2156" s="3" t="s">
        <v>14</v>
      </c>
      <c r="E2156" s="3" t="s">
        <v>11</v>
      </c>
      <c r="F2156" s="2">
        <v>30560</v>
      </c>
      <c r="G2156" s="2">
        <v>1</v>
      </c>
      <c r="H2156" s="2">
        <v>0</v>
      </c>
      <c r="I2156" s="4">
        <v>41452</v>
      </c>
      <c r="J2156" s="2">
        <v>6</v>
      </c>
    </row>
    <row r="2157" spans="1:10" ht="12.5">
      <c r="A2157" s="2">
        <v>2155</v>
      </c>
      <c r="B2157" s="2">
        <v>8933</v>
      </c>
      <c r="C2157" s="2">
        <v>1983</v>
      </c>
      <c r="D2157" s="3" t="s">
        <v>17</v>
      </c>
      <c r="E2157" s="3" t="s">
        <v>13</v>
      </c>
      <c r="F2157" s="2">
        <v>32146</v>
      </c>
      <c r="G2157" s="2">
        <v>1</v>
      </c>
      <c r="H2157" s="2">
        <v>0</v>
      </c>
      <c r="I2157" s="4">
        <v>41771</v>
      </c>
      <c r="J2157" s="2">
        <v>16</v>
      </c>
    </row>
    <row r="2158" spans="1:10" ht="12.5">
      <c r="A2158" s="2">
        <v>2156</v>
      </c>
      <c r="B2158" s="2">
        <v>8726</v>
      </c>
      <c r="C2158" s="2">
        <v>1964</v>
      </c>
      <c r="D2158" s="3" t="s">
        <v>17</v>
      </c>
      <c r="E2158" s="3" t="s">
        <v>15</v>
      </c>
      <c r="F2158" s="2">
        <v>41713</v>
      </c>
      <c r="G2158" s="2">
        <v>1</v>
      </c>
      <c r="H2158" s="2">
        <v>1</v>
      </c>
      <c r="I2158" s="4">
        <v>41758</v>
      </c>
      <c r="J2158" s="2">
        <v>57</v>
      </c>
    </row>
    <row r="2159" spans="1:10" ht="12.5">
      <c r="A2159" s="2">
        <v>2157</v>
      </c>
      <c r="B2159" s="2">
        <v>1515</v>
      </c>
      <c r="C2159" s="2">
        <v>1975</v>
      </c>
      <c r="D2159" s="3" t="s">
        <v>14</v>
      </c>
      <c r="E2159" s="3" t="s">
        <v>11</v>
      </c>
      <c r="F2159" s="2">
        <v>34176</v>
      </c>
      <c r="G2159" s="2">
        <v>0</v>
      </c>
      <c r="H2159" s="2">
        <v>1</v>
      </c>
      <c r="I2159" s="4">
        <v>41661</v>
      </c>
      <c r="J2159" s="2">
        <v>9</v>
      </c>
    </row>
    <row r="2160" spans="1:10" ht="12.5">
      <c r="A2160" s="2">
        <v>2158</v>
      </c>
      <c r="B2160" s="2">
        <v>5186</v>
      </c>
      <c r="C2160" s="2">
        <v>1955</v>
      </c>
      <c r="D2160" s="3" t="s">
        <v>12</v>
      </c>
      <c r="E2160" s="3" t="s">
        <v>13</v>
      </c>
      <c r="F2160" s="2">
        <v>58482</v>
      </c>
      <c r="G2160" s="2">
        <v>0</v>
      </c>
      <c r="H2160" s="2">
        <v>1</v>
      </c>
      <c r="I2160" s="4">
        <v>41710</v>
      </c>
      <c r="J2160" s="2">
        <v>59</v>
      </c>
    </row>
    <row r="2161" spans="1:10" ht="12.5">
      <c r="A2161" s="2">
        <v>2159</v>
      </c>
      <c r="B2161" s="2">
        <v>10157</v>
      </c>
      <c r="C2161" s="2">
        <v>1965</v>
      </c>
      <c r="D2161" s="3" t="s">
        <v>9</v>
      </c>
      <c r="E2161" s="3" t="s">
        <v>10</v>
      </c>
      <c r="F2161" s="2">
        <v>59686</v>
      </c>
      <c r="G2161" s="2">
        <v>0</v>
      </c>
      <c r="H2161" s="2">
        <v>1</v>
      </c>
      <c r="I2161" s="4">
        <v>41664</v>
      </c>
      <c r="J2161" s="2">
        <v>78</v>
      </c>
    </row>
    <row r="2162" spans="1:10" ht="12.5">
      <c r="A2162" s="2">
        <v>2160</v>
      </c>
      <c r="B2162" s="2">
        <v>5667</v>
      </c>
      <c r="C2162" s="2">
        <v>1964</v>
      </c>
      <c r="D2162" s="3" t="s">
        <v>12</v>
      </c>
      <c r="E2162" s="3" t="s">
        <v>13</v>
      </c>
      <c r="F2162" s="2">
        <v>60896</v>
      </c>
      <c r="G2162" s="2">
        <v>0</v>
      </c>
      <c r="H2162" s="2">
        <v>1</v>
      </c>
      <c r="I2162" s="5">
        <v>41193</v>
      </c>
      <c r="J2162" s="2">
        <v>90</v>
      </c>
    </row>
    <row r="2163" spans="1:10" ht="12.5">
      <c r="A2163" s="2">
        <v>2161</v>
      </c>
      <c r="B2163" s="2">
        <v>902</v>
      </c>
      <c r="C2163" s="2">
        <v>1980</v>
      </c>
      <c r="D2163" s="3" t="s">
        <v>9</v>
      </c>
      <c r="E2163" s="3" t="s">
        <v>11</v>
      </c>
      <c r="F2163" s="2">
        <v>62994</v>
      </c>
      <c r="G2163" s="2">
        <v>1</v>
      </c>
      <c r="H2163" s="2">
        <v>0</v>
      </c>
      <c r="I2163" s="4">
        <v>41702</v>
      </c>
      <c r="J2163" s="2">
        <v>74</v>
      </c>
    </row>
    <row r="2164" spans="1:10" ht="12.5">
      <c r="A2164" s="2">
        <v>2162</v>
      </c>
      <c r="B2164" s="2">
        <v>977</v>
      </c>
      <c r="C2164" s="2">
        <v>1957</v>
      </c>
      <c r="D2164" s="3" t="s">
        <v>9</v>
      </c>
      <c r="E2164" s="3" t="s">
        <v>11</v>
      </c>
      <c r="F2164" s="2">
        <v>47320</v>
      </c>
      <c r="G2164" s="2">
        <v>0</v>
      </c>
      <c r="H2164" s="2">
        <v>1</v>
      </c>
      <c r="I2164" s="4">
        <v>41487</v>
      </c>
      <c r="J2164" s="2">
        <v>10</v>
      </c>
    </row>
    <row r="2165" spans="1:10" ht="12.5">
      <c r="A2165" s="2">
        <v>2163</v>
      </c>
      <c r="B2165" s="2">
        <v>7313</v>
      </c>
      <c r="C2165" s="2">
        <v>1949</v>
      </c>
      <c r="D2165" s="3" t="s">
        <v>17</v>
      </c>
      <c r="E2165" s="3" t="s">
        <v>18</v>
      </c>
      <c r="F2165" s="2">
        <v>74859</v>
      </c>
      <c r="G2165" s="2">
        <v>0</v>
      </c>
      <c r="H2165" s="2">
        <v>0</v>
      </c>
      <c r="I2165" s="4">
        <v>41428</v>
      </c>
      <c r="J2165" s="2">
        <v>63</v>
      </c>
    </row>
    <row r="2166" spans="1:10" ht="12.5">
      <c r="A2166" s="2">
        <v>2164</v>
      </c>
      <c r="B2166" s="2">
        <v>7600</v>
      </c>
      <c r="C2166" s="2">
        <v>1992</v>
      </c>
      <c r="D2166" s="3" t="s">
        <v>16</v>
      </c>
      <c r="E2166" s="3" t="s">
        <v>10</v>
      </c>
      <c r="F2166" s="2">
        <v>15253</v>
      </c>
      <c r="G2166" s="2">
        <v>1</v>
      </c>
      <c r="H2166" s="2">
        <v>0</v>
      </c>
      <c r="I2166" s="5">
        <v>41575</v>
      </c>
      <c r="J2166" s="2">
        <v>13</v>
      </c>
    </row>
    <row r="2167" spans="1:10" ht="12.5">
      <c r="A2167" s="2">
        <v>2165</v>
      </c>
      <c r="B2167" s="2">
        <v>9706</v>
      </c>
      <c r="C2167" s="2">
        <v>1974</v>
      </c>
      <c r="D2167" s="3" t="s">
        <v>12</v>
      </c>
      <c r="E2167" s="3" t="s">
        <v>10</v>
      </c>
      <c r="F2167" s="2">
        <v>31560</v>
      </c>
      <c r="G2167" s="2">
        <v>1</v>
      </c>
      <c r="H2167" s="2">
        <v>0</v>
      </c>
      <c r="I2167" s="4">
        <v>41449</v>
      </c>
      <c r="J2167" s="2">
        <v>98</v>
      </c>
    </row>
    <row r="2168" spans="1:10" ht="12.5">
      <c r="A2168" s="2">
        <v>2166</v>
      </c>
      <c r="B2168" s="2">
        <v>2429</v>
      </c>
      <c r="C2168" s="2">
        <v>1954</v>
      </c>
      <c r="D2168" s="3" t="s">
        <v>9</v>
      </c>
      <c r="E2168" s="3" t="s">
        <v>15</v>
      </c>
      <c r="F2168" s="2">
        <v>72071</v>
      </c>
      <c r="G2168" s="2">
        <v>0</v>
      </c>
      <c r="H2168" s="2">
        <v>1</v>
      </c>
      <c r="I2168" s="4">
        <v>41319</v>
      </c>
      <c r="J2168" s="2">
        <v>4</v>
      </c>
    </row>
    <row r="2169" spans="1:10" ht="12.5">
      <c r="A2169" s="2">
        <v>2167</v>
      </c>
      <c r="B2169" s="2">
        <v>3520</v>
      </c>
      <c r="C2169" s="2">
        <v>1990</v>
      </c>
      <c r="D2169" s="3" t="s">
        <v>14</v>
      </c>
      <c r="E2169" s="3" t="s">
        <v>10</v>
      </c>
      <c r="F2169" s="2">
        <v>91172</v>
      </c>
      <c r="G2169" s="2">
        <v>0</v>
      </c>
      <c r="H2169" s="2">
        <v>0</v>
      </c>
      <c r="I2169" s="4">
        <v>41360</v>
      </c>
      <c r="J2169" s="2">
        <v>94</v>
      </c>
    </row>
    <row r="2170" spans="1:10" ht="12.5">
      <c r="A2170" s="2">
        <v>2168</v>
      </c>
      <c r="B2170" s="2">
        <v>10394</v>
      </c>
      <c r="C2170" s="2">
        <v>1984</v>
      </c>
      <c r="D2170" s="3" t="s">
        <v>9</v>
      </c>
      <c r="E2170" s="3" t="s">
        <v>13</v>
      </c>
      <c r="F2170" s="2">
        <v>90000</v>
      </c>
      <c r="G2170" s="2">
        <v>0</v>
      </c>
      <c r="H2170" s="2">
        <v>0</v>
      </c>
      <c r="I2170" s="5">
        <v>41631</v>
      </c>
      <c r="J2170" s="2">
        <v>91</v>
      </c>
    </row>
    <row r="2171" spans="1:10" ht="12.5">
      <c r="A2171" s="2">
        <v>2169</v>
      </c>
      <c r="B2171" s="2">
        <v>4548</v>
      </c>
      <c r="C2171" s="2">
        <v>1981</v>
      </c>
      <c r="D2171" s="3" t="s">
        <v>9</v>
      </c>
      <c r="E2171" s="3" t="s">
        <v>10</v>
      </c>
      <c r="F2171" s="2">
        <v>41967</v>
      </c>
      <c r="G2171" s="2">
        <v>1</v>
      </c>
      <c r="H2171" s="2">
        <v>1</v>
      </c>
      <c r="I2171" s="5">
        <v>41601</v>
      </c>
      <c r="J2171" s="2">
        <v>66</v>
      </c>
    </row>
    <row r="2172" spans="1:10" ht="12.5">
      <c r="A2172" s="2">
        <v>2170</v>
      </c>
      <c r="B2172" s="2">
        <v>9362</v>
      </c>
      <c r="C2172" s="2">
        <v>1965</v>
      </c>
      <c r="D2172" s="3" t="s">
        <v>9</v>
      </c>
      <c r="E2172" s="3" t="s">
        <v>10</v>
      </c>
      <c r="F2172" s="2">
        <v>69263</v>
      </c>
      <c r="G2172" s="2">
        <v>0</v>
      </c>
      <c r="H2172" s="2">
        <v>1</v>
      </c>
      <c r="I2172" s="4">
        <v>41703</v>
      </c>
      <c r="J2172" s="2">
        <v>14</v>
      </c>
    </row>
    <row r="2173" spans="1:10" ht="12.5">
      <c r="A2173" s="2">
        <v>2171</v>
      </c>
      <c r="B2173" s="2">
        <v>3968</v>
      </c>
      <c r="C2173" s="2">
        <v>1970</v>
      </c>
      <c r="D2173" s="3" t="s">
        <v>17</v>
      </c>
      <c r="E2173" s="3" t="s">
        <v>15</v>
      </c>
      <c r="F2173" s="2">
        <v>65706</v>
      </c>
      <c r="G2173" s="2">
        <v>0</v>
      </c>
      <c r="H2173" s="2">
        <v>0</v>
      </c>
      <c r="I2173" s="4">
        <v>41453</v>
      </c>
      <c r="J2173" s="2">
        <v>77</v>
      </c>
    </row>
    <row r="2174" spans="1:10" ht="12.5">
      <c r="A2174" s="2">
        <v>2172</v>
      </c>
      <c r="B2174" s="2">
        <v>4084</v>
      </c>
      <c r="C2174" s="2">
        <v>1975</v>
      </c>
      <c r="D2174" s="3" t="s">
        <v>9</v>
      </c>
      <c r="E2174" s="3" t="s">
        <v>11</v>
      </c>
      <c r="F2174" s="2">
        <v>60934</v>
      </c>
      <c r="G2174" s="2">
        <v>0</v>
      </c>
      <c r="H2174" s="2">
        <v>1</v>
      </c>
      <c r="I2174" s="4">
        <v>41656</v>
      </c>
      <c r="J2174" s="2">
        <v>41</v>
      </c>
    </row>
    <row r="2175" spans="1:10" ht="12.5">
      <c r="A2175" s="2">
        <v>2173</v>
      </c>
      <c r="B2175" s="2">
        <v>6721</v>
      </c>
      <c r="C2175" s="2">
        <v>1951</v>
      </c>
      <c r="D2175" s="3" t="s">
        <v>9</v>
      </c>
      <c r="E2175" s="3" t="s">
        <v>13</v>
      </c>
      <c r="F2175" s="2">
        <v>71965</v>
      </c>
      <c r="G2175" s="2">
        <v>0</v>
      </c>
      <c r="H2175" s="2">
        <v>1</v>
      </c>
      <c r="I2175" s="4">
        <v>41484</v>
      </c>
      <c r="J2175" s="2">
        <v>21</v>
      </c>
    </row>
    <row r="2176" spans="1:10" ht="12.5">
      <c r="A2176" s="2">
        <v>2174</v>
      </c>
      <c r="B2176" s="2">
        <v>2829</v>
      </c>
      <c r="C2176" s="2">
        <v>1955</v>
      </c>
      <c r="D2176" s="3" t="s">
        <v>9</v>
      </c>
      <c r="E2176" s="3" t="s">
        <v>13</v>
      </c>
      <c r="F2176" s="2">
        <v>65210</v>
      </c>
      <c r="G2176" s="2">
        <v>0</v>
      </c>
      <c r="H2176" s="2">
        <v>1</v>
      </c>
      <c r="I2176" s="4">
        <v>41708</v>
      </c>
      <c r="J2176" s="2">
        <v>25</v>
      </c>
    </row>
    <row r="2177" spans="1:10" ht="12.5">
      <c r="A2177" s="2">
        <v>2175</v>
      </c>
      <c r="B2177" s="2">
        <v>1772</v>
      </c>
      <c r="C2177" s="2">
        <v>1975</v>
      </c>
      <c r="D2177" s="3" t="s">
        <v>12</v>
      </c>
      <c r="E2177" s="3" t="s">
        <v>13</v>
      </c>
      <c r="F2177" s="2">
        <v>79174</v>
      </c>
      <c r="G2177" s="2">
        <v>0</v>
      </c>
      <c r="H2177" s="2">
        <v>0</v>
      </c>
      <c r="I2177" s="4">
        <v>41285</v>
      </c>
      <c r="J2177" s="2">
        <v>2</v>
      </c>
    </row>
    <row r="2178" spans="1:10" ht="12.5">
      <c r="A2178" s="2">
        <v>2176</v>
      </c>
      <c r="B2178" s="2">
        <v>1544</v>
      </c>
      <c r="C2178" s="2">
        <v>1967</v>
      </c>
      <c r="D2178" s="3" t="s">
        <v>14</v>
      </c>
      <c r="E2178" s="3" t="s">
        <v>15</v>
      </c>
      <c r="F2178" s="2">
        <v>81380</v>
      </c>
      <c r="G2178" s="2">
        <v>0</v>
      </c>
      <c r="H2178" s="2">
        <v>0</v>
      </c>
      <c r="I2178" s="5">
        <v>41265</v>
      </c>
      <c r="J2178" s="2">
        <v>51</v>
      </c>
    </row>
    <row r="2179" spans="1:10" ht="12.5">
      <c r="A2179" s="2">
        <v>2177</v>
      </c>
      <c r="B2179" s="2">
        <v>492</v>
      </c>
      <c r="C2179" s="2">
        <v>1973</v>
      </c>
      <c r="D2179" s="3" t="s">
        <v>12</v>
      </c>
      <c r="E2179" s="3" t="s">
        <v>21</v>
      </c>
      <c r="F2179" s="2">
        <v>48432</v>
      </c>
      <c r="G2179" s="2">
        <v>0</v>
      </c>
      <c r="H2179" s="2">
        <v>1</v>
      </c>
      <c r="I2179" s="5">
        <v>41200</v>
      </c>
      <c r="J2179" s="2">
        <v>3</v>
      </c>
    </row>
    <row r="2180" spans="1:10" ht="12.5">
      <c r="A2180" s="2">
        <v>2178</v>
      </c>
      <c r="B2180" s="2">
        <v>4377</v>
      </c>
      <c r="C2180" s="2">
        <v>1971</v>
      </c>
      <c r="D2180" s="3" t="s">
        <v>9</v>
      </c>
      <c r="E2180" s="3" t="s">
        <v>13</v>
      </c>
      <c r="F2180" s="2">
        <v>52914</v>
      </c>
      <c r="G2180" s="2">
        <v>0</v>
      </c>
      <c r="H2180" s="2">
        <v>1</v>
      </c>
      <c r="I2180" s="4">
        <v>41281</v>
      </c>
      <c r="J2180" s="2">
        <v>32</v>
      </c>
    </row>
    <row r="2181" spans="1:10" ht="12.5">
      <c r="A2181" s="2">
        <v>2179</v>
      </c>
      <c r="B2181" s="2">
        <v>4541</v>
      </c>
      <c r="C2181" s="2">
        <v>1955</v>
      </c>
      <c r="D2181" s="3" t="s">
        <v>9</v>
      </c>
      <c r="E2181" s="3" t="s">
        <v>11</v>
      </c>
      <c r="F2181" s="2">
        <v>38946</v>
      </c>
      <c r="G2181" s="2">
        <v>0</v>
      </c>
      <c r="H2181" s="2">
        <v>1</v>
      </c>
      <c r="I2181" s="5">
        <v>41571</v>
      </c>
      <c r="J2181" s="2">
        <v>84</v>
      </c>
    </row>
    <row r="2182" spans="1:10" ht="12.5">
      <c r="A2182" s="2">
        <v>2180</v>
      </c>
      <c r="B2182" s="2">
        <v>1321</v>
      </c>
      <c r="C2182" s="2">
        <v>1974</v>
      </c>
      <c r="D2182" s="3" t="s">
        <v>9</v>
      </c>
      <c r="E2182" s="3" t="s">
        <v>13</v>
      </c>
      <c r="F2182" s="2">
        <v>26067</v>
      </c>
      <c r="G2182" s="2">
        <v>1</v>
      </c>
      <c r="H2182" s="2">
        <v>0</v>
      </c>
      <c r="I2182" s="4">
        <v>41582</v>
      </c>
      <c r="J2182" s="2">
        <v>49</v>
      </c>
    </row>
    <row r="2183" spans="1:10" ht="12.5">
      <c r="A2183" s="2">
        <v>2181</v>
      </c>
      <c r="B2183" s="2">
        <v>8858</v>
      </c>
      <c r="C2183" s="2">
        <v>1972</v>
      </c>
      <c r="D2183" s="3" t="s">
        <v>12</v>
      </c>
      <c r="E2183" s="3" t="s">
        <v>13</v>
      </c>
      <c r="F2183" s="2">
        <v>44325</v>
      </c>
      <c r="G2183" s="2">
        <v>0</v>
      </c>
      <c r="H2183" s="2">
        <v>1</v>
      </c>
      <c r="I2183" s="4">
        <v>41340</v>
      </c>
      <c r="J2183" s="2">
        <v>69</v>
      </c>
    </row>
    <row r="2184" spans="1:10" ht="12.5">
      <c r="A2184" s="2">
        <v>2182</v>
      </c>
      <c r="B2184" s="2">
        <v>3266</v>
      </c>
      <c r="C2184" s="2">
        <v>1964</v>
      </c>
      <c r="D2184" s="3" t="s">
        <v>9</v>
      </c>
      <c r="E2184" s="3" t="s">
        <v>13</v>
      </c>
      <c r="F2184" s="2">
        <v>42523</v>
      </c>
      <c r="G2184" s="2">
        <v>0</v>
      </c>
      <c r="H2184" s="2">
        <v>0</v>
      </c>
      <c r="I2184" s="4">
        <v>41752</v>
      </c>
      <c r="J2184" s="2">
        <v>96</v>
      </c>
    </row>
    <row r="2185" spans="1:10" ht="12.5">
      <c r="A2185" s="2">
        <v>2183</v>
      </c>
      <c r="B2185" s="2">
        <v>11187</v>
      </c>
      <c r="C2185" s="2">
        <v>1978</v>
      </c>
      <c r="D2185" s="3" t="s">
        <v>16</v>
      </c>
      <c r="E2185" s="3" t="s">
        <v>10</v>
      </c>
      <c r="F2185" s="2">
        <v>26487</v>
      </c>
      <c r="G2185" s="2">
        <v>1</v>
      </c>
      <c r="H2185" s="2">
        <v>0</v>
      </c>
      <c r="I2185" s="4">
        <v>41414</v>
      </c>
      <c r="J2185" s="2">
        <v>23</v>
      </c>
    </row>
    <row r="2186" spans="1:10" ht="12.5">
      <c r="A2186" s="2">
        <v>2184</v>
      </c>
      <c r="B2186" s="2">
        <v>8207</v>
      </c>
      <c r="C2186" s="2">
        <v>1957</v>
      </c>
      <c r="D2186" s="3" t="s">
        <v>17</v>
      </c>
      <c r="E2186" s="3" t="s">
        <v>13</v>
      </c>
      <c r="F2186" s="2">
        <v>53233</v>
      </c>
      <c r="G2186" s="2">
        <v>0</v>
      </c>
      <c r="H2186" s="2">
        <v>1</v>
      </c>
      <c r="I2186" s="4">
        <v>41716</v>
      </c>
      <c r="J2186" s="2">
        <v>18</v>
      </c>
    </row>
    <row r="2187" spans="1:10" ht="12.5">
      <c r="A2187" s="2">
        <v>2185</v>
      </c>
      <c r="B2187" s="2">
        <v>9723</v>
      </c>
      <c r="C2187" s="2">
        <v>1960</v>
      </c>
      <c r="D2187" s="3" t="s">
        <v>9</v>
      </c>
      <c r="E2187" s="3" t="s">
        <v>13</v>
      </c>
      <c r="F2187" s="2">
        <v>67716</v>
      </c>
      <c r="G2187" s="2">
        <v>0</v>
      </c>
      <c r="H2187" s="2">
        <v>1</v>
      </c>
      <c r="I2187" s="4">
        <v>41284</v>
      </c>
      <c r="J2187" s="2">
        <v>8</v>
      </c>
    </row>
    <row r="2188" spans="1:10" ht="12.5">
      <c r="A2188" s="2">
        <v>2186</v>
      </c>
      <c r="B2188" s="2">
        <v>2666</v>
      </c>
      <c r="C2188" s="2">
        <v>1972</v>
      </c>
      <c r="D2188" s="3" t="s">
        <v>14</v>
      </c>
      <c r="E2188" s="3" t="s">
        <v>13</v>
      </c>
      <c r="F2188" s="2">
        <v>76234</v>
      </c>
      <c r="G2188" s="2">
        <v>0</v>
      </c>
      <c r="H2188" s="2">
        <v>1</v>
      </c>
      <c r="I2188" s="4">
        <v>41676</v>
      </c>
      <c r="J2188" s="2">
        <v>21</v>
      </c>
    </row>
    <row r="2189" spans="1:10" ht="12.5">
      <c r="A2189" s="2">
        <v>2187</v>
      </c>
      <c r="B2189" s="2">
        <v>5721</v>
      </c>
      <c r="C2189" s="2">
        <v>1956</v>
      </c>
      <c r="D2189" s="3" t="s">
        <v>12</v>
      </c>
      <c r="E2189" s="3" t="s">
        <v>13</v>
      </c>
      <c r="F2189" s="2">
        <v>84117</v>
      </c>
      <c r="G2189" s="2">
        <v>0</v>
      </c>
      <c r="H2189" s="2">
        <v>0</v>
      </c>
      <c r="I2189" s="4">
        <v>41770</v>
      </c>
      <c r="J2189" s="2">
        <v>60</v>
      </c>
    </row>
    <row r="2190" spans="1:10" ht="12.5">
      <c r="A2190" s="2">
        <v>2188</v>
      </c>
      <c r="B2190" s="2">
        <v>10652</v>
      </c>
      <c r="C2190" s="2">
        <v>1957</v>
      </c>
      <c r="D2190" s="3" t="s">
        <v>14</v>
      </c>
      <c r="E2190" s="3" t="s">
        <v>11</v>
      </c>
      <c r="F2190" s="2">
        <v>65487</v>
      </c>
      <c r="G2190" s="2">
        <v>0</v>
      </c>
      <c r="H2190" s="2">
        <v>0</v>
      </c>
      <c r="I2190" s="4">
        <v>41649</v>
      </c>
      <c r="J2190" s="2">
        <v>48</v>
      </c>
    </row>
    <row r="2191" spans="1:10" ht="12.5">
      <c r="A2191" s="2">
        <v>2189</v>
      </c>
      <c r="B2191" s="2">
        <v>1646</v>
      </c>
      <c r="C2191" s="2">
        <v>1972</v>
      </c>
      <c r="D2191" s="3" t="s">
        <v>16</v>
      </c>
      <c r="E2191" s="3" t="s">
        <v>13</v>
      </c>
      <c r="F2191" s="2">
        <v>25224</v>
      </c>
      <c r="G2191" s="2">
        <v>1</v>
      </c>
      <c r="H2191" s="2">
        <v>0</v>
      </c>
      <c r="I2191" s="4">
        <v>41714</v>
      </c>
      <c r="J2191" s="2">
        <v>36</v>
      </c>
    </row>
    <row r="2192" spans="1:10" ht="12.5">
      <c r="A2192" s="2">
        <v>2190</v>
      </c>
      <c r="B2192" s="2">
        <v>4418</v>
      </c>
      <c r="C2192" s="2">
        <v>1983</v>
      </c>
      <c r="D2192" s="3" t="s">
        <v>14</v>
      </c>
      <c r="E2192" s="3" t="s">
        <v>10</v>
      </c>
      <c r="F2192" s="2">
        <v>89616</v>
      </c>
      <c r="G2192" s="2">
        <v>0</v>
      </c>
      <c r="H2192" s="2">
        <v>0</v>
      </c>
      <c r="I2192" s="4">
        <v>41330</v>
      </c>
      <c r="J2192" s="2">
        <v>36</v>
      </c>
    </row>
    <row r="2193" spans="1:10" ht="12.5">
      <c r="A2193" s="2">
        <v>2191</v>
      </c>
      <c r="B2193" s="2">
        <v>2656</v>
      </c>
      <c r="C2193" s="2">
        <v>1971</v>
      </c>
      <c r="D2193" s="3" t="s">
        <v>9</v>
      </c>
      <c r="E2193" s="3" t="s">
        <v>15</v>
      </c>
      <c r="F2193" s="2">
        <v>40851</v>
      </c>
      <c r="G2193" s="2">
        <v>1</v>
      </c>
      <c r="H2193" s="2">
        <v>1</v>
      </c>
      <c r="I2193" s="4">
        <v>41326</v>
      </c>
      <c r="J2193" s="2">
        <v>63</v>
      </c>
    </row>
    <row r="2194" spans="1:10" ht="12.5">
      <c r="A2194" s="2">
        <v>2192</v>
      </c>
      <c r="B2194" s="2">
        <v>7990</v>
      </c>
      <c r="C2194" s="2">
        <v>1947</v>
      </c>
      <c r="D2194" s="3" t="s">
        <v>9</v>
      </c>
      <c r="E2194" s="3" t="s">
        <v>13</v>
      </c>
      <c r="F2194" s="2">
        <v>27469</v>
      </c>
      <c r="G2194" s="2">
        <v>0</v>
      </c>
      <c r="H2194" s="2">
        <v>0</v>
      </c>
      <c r="I2194" s="4">
        <v>41123</v>
      </c>
      <c r="J2194" s="2">
        <v>2</v>
      </c>
    </row>
    <row r="2195" spans="1:10" ht="12.5">
      <c r="A2195" s="2">
        <v>2193</v>
      </c>
      <c r="B2195" s="2">
        <v>8722</v>
      </c>
      <c r="C2195" s="2">
        <v>1957</v>
      </c>
      <c r="D2195" s="3" t="s">
        <v>17</v>
      </c>
      <c r="E2195" s="3" t="s">
        <v>13</v>
      </c>
      <c r="F2195" s="2">
        <v>82347</v>
      </c>
      <c r="G2195" s="2">
        <v>0</v>
      </c>
      <c r="H2195" s="2">
        <v>0</v>
      </c>
      <c r="I2195" s="4">
        <v>41219</v>
      </c>
      <c r="J2195" s="2">
        <v>38</v>
      </c>
    </row>
    <row r="2196" spans="1:10" ht="12.5">
      <c r="A2196" s="2">
        <v>2194</v>
      </c>
      <c r="B2196" s="2">
        <v>7118</v>
      </c>
      <c r="C2196" s="2">
        <v>1957</v>
      </c>
      <c r="D2196" s="3" t="s">
        <v>9</v>
      </c>
      <c r="E2196" s="3" t="s">
        <v>13</v>
      </c>
      <c r="F2196" s="2">
        <v>73803</v>
      </c>
      <c r="G2196" s="2">
        <v>0</v>
      </c>
      <c r="H2196" s="2">
        <v>1</v>
      </c>
      <c r="I2196" s="4">
        <v>41122</v>
      </c>
      <c r="J2196" s="2">
        <v>61</v>
      </c>
    </row>
    <row r="2197" spans="1:10" ht="12.5">
      <c r="A2197" s="2">
        <v>2195</v>
      </c>
      <c r="B2197" s="2">
        <v>2980</v>
      </c>
      <c r="C2197" s="2">
        <v>1952</v>
      </c>
      <c r="D2197" s="3" t="s">
        <v>14</v>
      </c>
      <c r="E2197" s="3" t="s">
        <v>10</v>
      </c>
      <c r="F2197" s="2">
        <v>8820</v>
      </c>
      <c r="G2197" s="2">
        <v>1</v>
      </c>
      <c r="H2197" s="2">
        <v>1</v>
      </c>
      <c r="I2197" s="4">
        <v>41355</v>
      </c>
      <c r="J2197" s="2">
        <v>52</v>
      </c>
    </row>
    <row r="2198" spans="1:10" ht="12.5">
      <c r="A2198" s="2">
        <v>2196</v>
      </c>
      <c r="B2198" s="2">
        <v>1839</v>
      </c>
      <c r="C2198" s="2">
        <v>1974</v>
      </c>
      <c r="D2198" s="3" t="s">
        <v>9</v>
      </c>
      <c r="E2198" s="3" t="s">
        <v>10</v>
      </c>
      <c r="F2198" s="2">
        <v>43322</v>
      </c>
      <c r="G2198" s="2">
        <v>0</v>
      </c>
      <c r="H2198" s="2">
        <v>0</v>
      </c>
      <c r="I2198" s="4">
        <v>41750</v>
      </c>
      <c r="J2198" s="2">
        <v>25</v>
      </c>
    </row>
    <row r="2199" spans="1:10" ht="12.5">
      <c r="A2199" s="2">
        <v>2197</v>
      </c>
      <c r="B2199" s="2">
        <v>10722</v>
      </c>
      <c r="C2199" s="2">
        <v>1973</v>
      </c>
      <c r="D2199" s="3" t="s">
        <v>9</v>
      </c>
      <c r="E2199" s="3" t="s">
        <v>11</v>
      </c>
      <c r="F2199" s="2">
        <v>55593</v>
      </c>
      <c r="G2199" s="2">
        <v>0</v>
      </c>
      <c r="H2199" s="2">
        <v>1</v>
      </c>
      <c r="I2199" s="4">
        <v>41507</v>
      </c>
      <c r="J2199" s="2">
        <v>63</v>
      </c>
    </row>
    <row r="2200" spans="1:10" ht="12.5">
      <c r="A2200" s="2">
        <v>2198</v>
      </c>
      <c r="B2200" s="2">
        <v>2632</v>
      </c>
      <c r="C2200" s="2">
        <v>1954</v>
      </c>
      <c r="D2200" s="3" t="s">
        <v>9</v>
      </c>
      <c r="E2200" s="3" t="s">
        <v>13</v>
      </c>
      <c r="F2200" s="2">
        <v>50501</v>
      </c>
      <c r="G2200" s="2">
        <v>1</v>
      </c>
      <c r="H2200" s="2">
        <v>1</v>
      </c>
      <c r="I2200" s="4">
        <v>41443</v>
      </c>
      <c r="J2200" s="2">
        <v>10</v>
      </c>
    </row>
    <row r="2201" spans="1:10" ht="12.5">
      <c r="A2201" s="2">
        <v>2199</v>
      </c>
      <c r="B2201" s="2">
        <v>9014</v>
      </c>
      <c r="C2201" s="2">
        <v>1975</v>
      </c>
      <c r="D2201" s="3" t="s">
        <v>9</v>
      </c>
      <c r="E2201" s="3" t="s">
        <v>13</v>
      </c>
      <c r="F2201" s="2">
        <v>37085</v>
      </c>
      <c r="G2201" s="2">
        <v>1</v>
      </c>
      <c r="H2201" s="2">
        <v>1</v>
      </c>
      <c r="I2201" s="4">
        <v>41816</v>
      </c>
      <c r="J2201" s="2">
        <v>65</v>
      </c>
    </row>
    <row r="2202" spans="1:10" ht="12.5">
      <c r="A2202" s="2">
        <v>2200</v>
      </c>
      <c r="B2202" s="2">
        <v>7620</v>
      </c>
      <c r="C2202" s="2">
        <v>1990</v>
      </c>
      <c r="D2202" s="3" t="s">
        <v>16</v>
      </c>
      <c r="E2202" s="3" t="s">
        <v>10</v>
      </c>
      <c r="F2202" s="2">
        <v>16185</v>
      </c>
      <c r="G2202" s="2">
        <v>1</v>
      </c>
      <c r="H2202" s="2">
        <v>0</v>
      </c>
      <c r="I2202" s="4">
        <v>41491</v>
      </c>
      <c r="J2202" s="2">
        <v>71</v>
      </c>
    </row>
    <row r="2203" spans="1:10" ht="12.5">
      <c r="A2203" s="2">
        <v>2201</v>
      </c>
      <c r="B2203" s="2">
        <v>10968</v>
      </c>
      <c r="C2203" s="2">
        <v>1969</v>
      </c>
      <c r="D2203" s="3" t="s">
        <v>9</v>
      </c>
      <c r="E2203" s="3" t="s">
        <v>10</v>
      </c>
      <c r="F2203" s="2">
        <v>57731</v>
      </c>
      <c r="G2203" s="2">
        <v>0</v>
      </c>
      <c r="H2203" s="2">
        <v>1</v>
      </c>
      <c r="I2203" s="5">
        <v>41236</v>
      </c>
      <c r="J2203" s="2">
        <v>0</v>
      </c>
    </row>
    <row r="2204" spans="1:10" ht="12.5">
      <c r="A2204" s="2">
        <v>2202</v>
      </c>
      <c r="B2204" s="2">
        <v>11133</v>
      </c>
      <c r="C2204" s="2">
        <v>1973</v>
      </c>
      <c r="D2204" s="3" t="s">
        <v>12</v>
      </c>
      <c r="E2204" s="3" t="s">
        <v>21</v>
      </c>
      <c r="F2204" s="2">
        <v>48432</v>
      </c>
      <c r="G2204" s="2">
        <v>0</v>
      </c>
      <c r="H2204" s="2">
        <v>1</v>
      </c>
      <c r="I2204" s="5">
        <v>41200</v>
      </c>
      <c r="J2204" s="2">
        <v>3</v>
      </c>
    </row>
    <row r="2205" spans="1:10" ht="12.5">
      <c r="A2205" s="2">
        <v>2203</v>
      </c>
      <c r="B2205" s="2">
        <v>2736</v>
      </c>
      <c r="C2205" s="2">
        <v>1978</v>
      </c>
      <c r="D2205" s="3" t="s">
        <v>9</v>
      </c>
      <c r="E2205" s="3" t="s">
        <v>13</v>
      </c>
      <c r="F2205" s="2">
        <v>73807</v>
      </c>
      <c r="G2205" s="2">
        <v>0</v>
      </c>
      <c r="H2205" s="2">
        <v>1</v>
      </c>
      <c r="I2205" s="4">
        <v>41276</v>
      </c>
      <c r="J2205" s="2">
        <v>88</v>
      </c>
    </row>
    <row r="2206" spans="1:10" ht="12.5">
      <c r="A2206" s="2">
        <v>2204</v>
      </c>
      <c r="B2206" s="2">
        <v>1876</v>
      </c>
      <c r="C2206" s="2">
        <v>1990</v>
      </c>
      <c r="D2206" s="3" t="s">
        <v>9</v>
      </c>
      <c r="E2206" s="3" t="s">
        <v>13</v>
      </c>
      <c r="F2206" s="2">
        <v>18929</v>
      </c>
      <c r="G2206" s="2">
        <v>0</v>
      </c>
      <c r="H2206" s="2">
        <v>0</v>
      </c>
      <c r="I2206" s="4">
        <v>41321</v>
      </c>
      <c r="J2206" s="2">
        <v>15</v>
      </c>
    </row>
    <row r="2207" spans="1:10" ht="12.5">
      <c r="A2207" s="2">
        <v>2205</v>
      </c>
      <c r="B2207" s="2">
        <v>5959</v>
      </c>
      <c r="C2207" s="2">
        <v>1968</v>
      </c>
      <c r="D2207" s="3" t="s">
        <v>9</v>
      </c>
      <c r="E2207" s="3" t="s">
        <v>10</v>
      </c>
      <c r="F2207" s="2">
        <v>35893</v>
      </c>
      <c r="G2207" s="2">
        <v>1</v>
      </c>
      <c r="H2207" s="2">
        <v>1</v>
      </c>
      <c r="I2207" s="5">
        <v>41197</v>
      </c>
      <c r="J2207" s="2">
        <v>80</v>
      </c>
    </row>
    <row r="2208" spans="1:10" ht="12.5">
      <c r="A2208" s="2">
        <v>2206</v>
      </c>
      <c r="B2208" s="2">
        <v>1092</v>
      </c>
      <c r="C2208" s="2">
        <v>1980</v>
      </c>
      <c r="D2208" s="3" t="s">
        <v>9</v>
      </c>
      <c r="E2208" s="3" t="s">
        <v>13</v>
      </c>
      <c r="F2208" s="2">
        <v>61014</v>
      </c>
      <c r="G2208" s="2">
        <v>0</v>
      </c>
      <c r="H2208" s="2">
        <v>1</v>
      </c>
      <c r="I2208" s="4">
        <v>41132</v>
      </c>
      <c r="J2208" s="2">
        <v>17</v>
      </c>
    </row>
    <row r="2209" spans="1:10" ht="12.5">
      <c r="A2209" s="2">
        <v>2207</v>
      </c>
      <c r="B2209" s="2">
        <v>4333</v>
      </c>
      <c r="C2209" s="2">
        <v>1954</v>
      </c>
      <c r="D2209" s="3" t="s">
        <v>9</v>
      </c>
      <c r="E2209" s="3" t="s">
        <v>11</v>
      </c>
      <c r="F2209" s="2">
        <v>32144</v>
      </c>
      <c r="G2209" s="2">
        <v>1</v>
      </c>
      <c r="H2209" s="2">
        <v>1</v>
      </c>
      <c r="I2209" s="4">
        <v>41721</v>
      </c>
      <c r="J2209" s="2">
        <v>76</v>
      </c>
    </row>
    <row r="2210" spans="1:10" ht="12.5">
      <c r="A2210" s="2">
        <v>2208</v>
      </c>
      <c r="B2210" s="2">
        <v>3850</v>
      </c>
      <c r="C2210" s="2">
        <v>1963</v>
      </c>
      <c r="D2210" s="3" t="s">
        <v>16</v>
      </c>
      <c r="E2210" s="3" t="s">
        <v>11</v>
      </c>
      <c r="F2210" s="2">
        <v>14918</v>
      </c>
      <c r="G2210" s="2">
        <v>0</v>
      </c>
      <c r="H2210" s="2">
        <v>1</v>
      </c>
      <c r="I2210" s="4">
        <v>41250</v>
      </c>
      <c r="J2210" s="2">
        <v>52</v>
      </c>
    </row>
    <row r="2211" spans="1:10" ht="12.5">
      <c r="A2211" s="2">
        <v>2209</v>
      </c>
      <c r="B2211" s="2">
        <v>6168</v>
      </c>
      <c r="C2211" s="2">
        <v>1963</v>
      </c>
      <c r="D2211" s="3" t="s">
        <v>9</v>
      </c>
      <c r="E2211" s="3" t="s">
        <v>15</v>
      </c>
      <c r="F2211" s="2">
        <v>45146</v>
      </c>
      <c r="G2211" s="2">
        <v>1</v>
      </c>
      <c r="H2211" s="2">
        <v>1</v>
      </c>
      <c r="I2211" s="4">
        <v>41470</v>
      </c>
      <c r="J2211" s="2">
        <v>28</v>
      </c>
    </row>
    <row r="2212" spans="1:10" ht="12.5">
      <c r="A2212" s="2">
        <v>2210</v>
      </c>
      <c r="B2212" s="2">
        <v>607</v>
      </c>
      <c r="C2212" s="2">
        <v>1955</v>
      </c>
      <c r="D2212" s="3" t="s">
        <v>17</v>
      </c>
      <c r="E2212" s="3" t="s">
        <v>15</v>
      </c>
      <c r="F2212" s="2">
        <v>41769</v>
      </c>
      <c r="G2212" s="2">
        <v>0</v>
      </c>
      <c r="H2212" s="2">
        <v>1</v>
      </c>
      <c r="I2212" s="4">
        <v>41318</v>
      </c>
      <c r="J2212" s="2">
        <v>31</v>
      </c>
    </row>
    <row r="2213" spans="1:10" ht="12.5">
      <c r="A2213" s="2">
        <v>2211</v>
      </c>
      <c r="B2213" s="2">
        <v>10469</v>
      </c>
      <c r="C2213" s="2">
        <v>1981</v>
      </c>
      <c r="D2213" s="3" t="s">
        <v>9</v>
      </c>
      <c r="E2213" s="3" t="s">
        <v>11</v>
      </c>
      <c r="F2213" s="2">
        <v>88325</v>
      </c>
      <c r="G2213" s="2">
        <v>0</v>
      </c>
      <c r="H2213" s="2">
        <v>0</v>
      </c>
      <c r="I2213" s="4">
        <v>41675</v>
      </c>
      <c r="J2213" s="2">
        <v>42</v>
      </c>
    </row>
    <row r="2214" spans="1:10" ht="12.5">
      <c r="A2214" s="2">
        <v>2212</v>
      </c>
      <c r="B2214" s="2">
        <v>6983</v>
      </c>
      <c r="C2214" s="2">
        <v>1950</v>
      </c>
      <c r="D2214" s="3" t="s">
        <v>14</v>
      </c>
      <c r="E2214" s="3" t="s">
        <v>15</v>
      </c>
      <c r="F2214" s="2">
        <v>38054</v>
      </c>
      <c r="G2214" s="2">
        <v>1</v>
      </c>
      <c r="H2214" s="2">
        <v>1</v>
      </c>
      <c r="I2214" s="4">
        <v>41760</v>
      </c>
      <c r="J2214" s="2">
        <v>24</v>
      </c>
    </row>
    <row r="2215" spans="1:10" ht="12.5">
      <c r="A2215" s="2">
        <v>2213</v>
      </c>
      <c r="B2215" s="2">
        <v>3661</v>
      </c>
      <c r="C2215" s="2">
        <v>1995</v>
      </c>
      <c r="D2215" s="3" t="s">
        <v>17</v>
      </c>
      <c r="E2215" s="3" t="s">
        <v>10</v>
      </c>
      <c r="F2215" s="2">
        <v>80617</v>
      </c>
      <c r="G2215" s="2">
        <v>0</v>
      </c>
      <c r="H2215" s="2">
        <v>0</v>
      </c>
      <c r="I2215" s="5">
        <v>41194</v>
      </c>
      <c r="J2215" s="2">
        <v>42</v>
      </c>
    </row>
    <row r="2216" spans="1:10" ht="12.5">
      <c r="A2216" s="2">
        <v>2214</v>
      </c>
      <c r="B2216" s="2">
        <v>9303</v>
      </c>
      <c r="C2216" s="2">
        <v>1976</v>
      </c>
      <c r="D2216" s="3" t="s">
        <v>9</v>
      </c>
      <c r="E2216" s="3" t="s">
        <v>13</v>
      </c>
      <c r="F2216" s="2">
        <v>5305</v>
      </c>
      <c r="G2216" s="2">
        <v>0</v>
      </c>
      <c r="H2216" s="2">
        <v>1</v>
      </c>
      <c r="I2216" s="4">
        <v>41485</v>
      </c>
      <c r="J2216" s="2">
        <v>12</v>
      </c>
    </row>
    <row r="2217" spans="1:10" ht="12.5">
      <c r="A2217" s="2">
        <v>2215</v>
      </c>
      <c r="B2217" s="2">
        <v>692</v>
      </c>
      <c r="C2217" s="2">
        <v>1954</v>
      </c>
      <c r="D2217" s="3" t="s">
        <v>9</v>
      </c>
      <c r="E2217" s="3" t="s">
        <v>11</v>
      </c>
      <c r="F2217" s="2">
        <v>36807</v>
      </c>
      <c r="G2217" s="2">
        <v>1</v>
      </c>
      <c r="H2217" s="2">
        <v>1</v>
      </c>
      <c r="I2217" s="5">
        <v>41263</v>
      </c>
      <c r="J2217" s="2">
        <v>88</v>
      </c>
    </row>
    <row r="2218" spans="1:10" ht="12.5">
      <c r="A2218" s="2">
        <v>2216</v>
      </c>
      <c r="B2218" s="2">
        <v>736</v>
      </c>
      <c r="C2218" s="2">
        <v>1983</v>
      </c>
      <c r="D2218" s="3" t="s">
        <v>9</v>
      </c>
      <c r="E2218" s="3" t="s">
        <v>11</v>
      </c>
      <c r="F2218" s="2">
        <v>28427</v>
      </c>
      <c r="G2218" s="2">
        <v>1</v>
      </c>
      <c r="H2218" s="2">
        <v>0</v>
      </c>
      <c r="I2218" s="4">
        <v>41354</v>
      </c>
      <c r="J2218" s="2">
        <v>67</v>
      </c>
    </row>
    <row r="2219" spans="1:10" ht="12.5">
      <c r="A2219" s="2">
        <v>2217</v>
      </c>
      <c r="B2219" s="2">
        <v>9589</v>
      </c>
      <c r="C2219" s="2">
        <v>1948</v>
      </c>
      <c r="D2219" s="3" t="s">
        <v>12</v>
      </c>
      <c r="E2219" s="3" t="s">
        <v>18</v>
      </c>
      <c r="F2219" s="2">
        <v>82032</v>
      </c>
      <c r="G2219" s="2">
        <v>0</v>
      </c>
      <c r="H2219" s="2">
        <v>0</v>
      </c>
      <c r="I2219" s="4">
        <v>41734</v>
      </c>
      <c r="J2219" s="2">
        <v>54</v>
      </c>
    </row>
    <row r="2220" spans="1:10" ht="12.5">
      <c r="A2220" s="2">
        <v>2218</v>
      </c>
      <c r="B2220" s="2">
        <v>4838</v>
      </c>
      <c r="C2220" s="2">
        <v>1978</v>
      </c>
      <c r="D2220" s="3" t="s">
        <v>9</v>
      </c>
      <c r="E2220" s="3" t="s">
        <v>11</v>
      </c>
      <c r="F2220" s="2">
        <v>22775</v>
      </c>
      <c r="G2220" s="2">
        <v>1</v>
      </c>
      <c r="H2220" s="2">
        <v>0</v>
      </c>
      <c r="I2220" s="4">
        <v>41444</v>
      </c>
      <c r="J2220" s="2">
        <v>40</v>
      </c>
    </row>
    <row r="2221" spans="1:10" ht="12.5">
      <c r="A2221" s="2">
        <v>2219</v>
      </c>
      <c r="B2221" s="2">
        <v>9246</v>
      </c>
      <c r="C2221" s="2">
        <v>1985</v>
      </c>
      <c r="D2221" s="3" t="s">
        <v>14</v>
      </c>
      <c r="E2221" s="3" t="s">
        <v>11</v>
      </c>
      <c r="F2221" s="2">
        <v>40101</v>
      </c>
      <c r="G2221" s="2">
        <v>1</v>
      </c>
      <c r="H2221" s="2">
        <v>0</v>
      </c>
      <c r="I2221" s="5">
        <v>41196</v>
      </c>
      <c r="J2221" s="2">
        <v>73</v>
      </c>
    </row>
    <row r="2222" spans="1:10" ht="12.5">
      <c r="A2222" s="2">
        <v>2220</v>
      </c>
      <c r="B2222" s="2">
        <v>6261</v>
      </c>
      <c r="C2222" s="2">
        <v>1979</v>
      </c>
      <c r="D2222" s="3" t="s">
        <v>9</v>
      </c>
      <c r="E2222" s="3" t="s">
        <v>13</v>
      </c>
      <c r="F2222" s="2">
        <v>58025</v>
      </c>
      <c r="G2222" s="2">
        <v>0</v>
      </c>
      <c r="H2222" s="2">
        <v>1</v>
      </c>
      <c r="I2222" s="5">
        <v>41604</v>
      </c>
      <c r="J2222" s="2">
        <v>81</v>
      </c>
    </row>
    <row r="2223" spans="1:10" ht="12.5">
      <c r="A2223" s="2">
        <v>2221</v>
      </c>
      <c r="B2223" s="2">
        <v>7366</v>
      </c>
      <c r="C2223" s="2">
        <v>1982</v>
      </c>
      <c r="D2223" s="3" t="s">
        <v>14</v>
      </c>
      <c r="E2223" s="3" t="s">
        <v>10</v>
      </c>
      <c r="F2223" s="2">
        <v>75777</v>
      </c>
      <c r="G2223" s="2">
        <v>0</v>
      </c>
      <c r="H2223" s="2">
        <v>0</v>
      </c>
      <c r="I2223" s="4">
        <v>41459</v>
      </c>
      <c r="J2223" s="2">
        <v>12</v>
      </c>
    </row>
    <row r="2224" spans="1:10" ht="12.5">
      <c r="A2224" s="2">
        <v>2222</v>
      </c>
      <c r="B2224" s="2">
        <v>10659</v>
      </c>
      <c r="C2224" s="2">
        <v>1979</v>
      </c>
      <c r="D2224" s="3" t="s">
        <v>17</v>
      </c>
      <c r="E2224" s="3" t="s">
        <v>11</v>
      </c>
      <c r="F2224" s="2">
        <v>7500</v>
      </c>
      <c r="G2224" s="2">
        <v>1</v>
      </c>
      <c r="H2224" s="2">
        <v>0</v>
      </c>
      <c r="I2224" s="4">
        <v>41401</v>
      </c>
      <c r="J2224" s="2">
        <v>7</v>
      </c>
    </row>
    <row r="2225" spans="1:10" ht="12.5">
      <c r="A2225" s="2">
        <v>2223</v>
      </c>
      <c r="B2225" s="2">
        <v>1448</v>
      </c>
      <c r="C2225" s="2">
        <v>1963</v>
      </c>
      <c r="D2225" s="3" t="s">
        <v>14</v>
      </c>
      <c r="E2225" s="3" t="s">
        <v>13</v>
      </c>
      <c r="F2225" s="2">
        <v>33562</v>
      </c>
      <c r="G2225" s="2">
        <v>1</v>
      </c>
      <c r="H2225" s="2">
        <v>2</v>
      </c>
      <c r="I2225" s="4">
        <v>41815</v>
      </c>
      <c r="J2225" s="2">
        <v>33</v>
      </c>
    </row>
    <row r="2226" spans="1:10" ht="12.5">
      <c r="A2226" s="2">
        <v>2224</v>
      </c>
      <c r="B2226" s="2">
        <v>4286</v>
      </c>
      <c r="C2226" s="2">
        <v>1970</v>
      </c>
      <c r="D2226" s="3" t="s">
        <v>12</v>
      </c>
      <c r="E2226" s="3" t="s">
        <v>10</v>
      </c>
      <c r="F2226" s="2">
        <v>57642</v>
      </c>
      <c r="G2226" s="2">
        <v>0</v>
      </c>
      <c r="H2226" s="2">
        <v>1</v>
      </c>
      <c r="I2226" s="4">
        <v>41648</v>
      </c>
      <c r="J2226" s="2">
        <v>24</v>
      </c>
    </row>
    <row r="2227" spans="1:10" ht="12.5">
      <c r="A2227" s="2">
        <v>2225</v>
      </c>
      <c r="B2227" s="2">
        <v>4749</v>
      </c>
      <c r="C2227" s="2">
        <v>1968</v>
      </c>
      <c r="D2227" s="3" t="s">
        <v>9</v>
      </c>
      <c r="E2227" s="3" t="s">
        <v>11</v>
      </c>
      <c r="F2227" s="2">
        <v>58554</v>
      </c>
      <c r="G2227" s="2">
        <v>1</v>
      </c>
      <c r="H2227" s="2">
        <v>1</v>
      </c>
      <c r="I2227" s="4">
        <v>41178</v>
      </c>
      <c r="J2227" s="2">
        <v>55</v>
      </c>
    </row>
    <row r="2228" spans="1:10" ht="12.5">
      <c r="A2228" s="2">
        <v>2226</v>
      </c>
      <c r="B2228" s="2">
        <v>4478</v>
      </c>
      <c r="C2228" s="2">
        <v>1979</v>
      </c>
      <c r="D2228" s="3" t="s">
        <v>9</v>
      </c>
      <c r="E2228" s="3" t="s">
        <v>13</v>
      </c>
      <c r="F2228" s="2">
        <v>63777</v>
      </c>
      <c r="G2228" s="2">
        <v>1</v>
      </c>
      <c r="H2228" s="2">
        <v>1</v>
      </c>
      <c r="I2228" s="4">
        <v>41357</v>
      </c>
      <c r="J2228" s="2">
        <v>87</v>
      </c>
    </row>
    <row r="2229" spans="1:10" ht="12.5">
      <c r="A2229" s="2">
        <v>2227</v>
      </c>
      <c r="B2229" s="2">
        <v>4201</v>
      </c>
      <c r="C2229" s="2">
        <v>1962</v>
      </c>
      <c r="D2229" s="3" t="s">
        <v>9</v>
      </c>
      <c r="E2229" s="3" t="s">
        <v>10</v>
      </c>
      <c r="F2229" s="2">
        <v>57967</v>
      </c>
      <c r="G2229" s="2">
        <v>0</v>
      </c>
      <c r="H2229" s="2">
        <v>1</v>
      </c>
      <c r="I2229" s="4">
        <v>41336</v>
      </c>
      <c r="J2229" s="2">
        <v>39</v>
      </c>
    </row>
    <row r="2230" spans="1:10" ht="12.5">
      <c r="A2230" s="2">
        <v>2228</v>
      </c>
      <c r="B2230" s="2">
        <v>8720</v>
      </c>
      <c r="C2230" s="2">
        <v>1978</v>
      </c>
      <c r="D2230" s="3" t="s">
        <v>17</v>
      </c>
      <c r="E2230" s="3" t="s">
        <v>11</v>
      </c>
      <c r="F2230" s="3"/>
      <c r="G2230" s="2">
        <v>0</v>
      </c>
      <c r="H2230" s="2">
        <v>0</v>
      </c>
      <c r="I2230" s="4">
        <v>41133</v>
      </c>
      <c r="J2230" s="2">
        <v>53</v>
      </c>
    </row>
    <row r="2231" spans="1:10" ht="12.5">
      <c r="A2231" s="2">
        <v>2229</v>
      </c>
      <c r="B2231" s="2">
        <v>10084</v>
      </c>
      <c r="C2231" s="2">
        <v>1972</v>
      </c>
      <c r="D2231" s="3" t="s">
        <v>9</v>
      </c>
      <c r="E2231" s="3" t="s">
        <v>13</v>
      </c>
      <c r="F2231" s="2">
        <v>24434</v>
      </c>
      <c r="G2231" s="2">
        <v>2</v>
      </c>
      <c r="H2231" s="2">
        <v>0</v>
      </c>
      <c r="I2231" s="4">
        <v>41777</v>
      </c>
      <c r="J2231" s="2">
        <v>9</v>
      </c>
    </row>
    <row r="2232" spans="1:10" ht="12.5">
      <c r="A2232" s="2">
        <v>2230</v>
      </c>
      <c r="B2232" s="2">
        <v>7004</v>
      </c>
      <c r="C2232" s="2">
        <v>1984</v>
      </c>
      <c r="D2232" s="3" t="s">
        <v>9</v>
      </c>
      <c r="E2232" s="3" t="s">
        <v>10</v>
      </c>
      <c r="F2232" s="2">
        <v>11012</v>
      </c>
      <c r="G2232" s="2">
        <v>1</v>
      </c>
      <c r="H2232" s="2">
        <v>0</v>
      </c>
      <c r="I2232" s="4">
        <v>41349</v>
      </c>
      <c r="J2232" s="2">
        <v>82</v>
      </c>
    </row>
    <row r="2233" spans="1:10" ht="12.5">
      <c r="A2233" s="2">
        <v>2231</v>
      </c>
      <c r="B2233" s="2">
        <v>9817</v>
      </c>
      <c r="C2233" s="2">
        <v>1970</v>
      </c>
      <c r="D2233" s="3" t="s">
        <v>14</v>
      </c>
      <c r="E2233" s="3" t="s">
        <v>10</v>
      </c>
      <c r="F2233" s="2">
        <v>44802</v>
      </c>
      <c r="G2233" s="2">
        <v>0</v>
      </c>
      <c r="H2233" s="2">
        <v>0</v>
      </c>
      <c r="I2233" s="4">
        <v>41142</v>
      </c>
      <c r="J2233" s="2">
        <v>71</v>
      </c>
    </row>
    <row r="2234" spans="1:10" ht="12.5">
      <c r="A2234" s="2">
        <v>2232</v>
      </c>
      <c r="B2234" s="2">
        <v>8080</v>
      </c>
      <c r="C2234" s="2">
        <v>1986</v>
      </c>
      <c r="D2234" s="3" t="s">
        <v>9</v>
      </c>
      <c r="E2234" s="3" t="s">
        <v>10</v>
      </c>
      <c r="F2234" s="2">
        <v>26816</v>
      </c>
      <c r="G2234" s="2">
        <v>0</v>
      </c>
      <c r="H2234" s="2">
        <v>0</v>
      </c>
      <c r="I2234" s="4">
        <v>41138</v>
      </c>
      <c r="J2234" s="2">
        <v>50</v>
      </c>
    </row>
    <row r="2235" spans="1:10" ht="12.5">
      <c r="A2235" s="2">
        <v>2233</v>
      </c>
      <c r="B2235" s="2">
        <v>9432</v>
      </c>
      <c r="C2235" s="2">
        <v>1977</v>
      </c>
      <c r="D2235" s="3" t="s">
        <v>9</v>
      </c>
      <c r="E2235" s="3" t="s">
        <v>11</v>
      </c>
      <c r="F2235" s="2">
        <v>666666</v>
      </c>
      <c r="G2235" s="2">
        <v>1</v>
      </c>
      <c r="H2235" s="2">
        <v>0</v>
      </c>
      <c r="I2235" s="4">
        <v>41427</v>
      </c>
      <c r="J2235" s="2">
        <v>23</v>
      </c>
    </row>
    <row r="2236" spans="1:10" ht="12.5">
      <c r="A2236" s="2">
        <v>2234</v>
      </c>
      <c r="B2236" s="2">
        <v>8372</v>
      </c>
      <c r="C2236" s="2">
        <v>1974</v>
      </c>
      <c r="D2236" s="3" t="s">
        <v>9</v>
      </c>
      <c r="E2236" s="3" t="s">
        <v>13</v>
      </c>
      <c r="F2236" s="2">
        <v>34421</v>
      </c>
      <c r="G2236" s="2">
        <v>1</v>
      </c>
      <c r="H2236" s="2">
        <v>0</v>
      </c>
      <c r="I2236" s="4">
        <v>41456</v>
      </c>
      <c r="J2236" s="2">
        <v>81</v>
      </c>
    </row>
    <row r="2237" spans="1:10" ht="12.5">
      <c r="A2237" s="2">
        <v>2235</v>
      </c>
      <c r="B2237" s="2">
        <v>10870</v>
      </c>
      <c r="C2237" s="2">
        <v>1967</v>
      </c>
      <c r="D2237" s="3" t="s">
        <v>9</v>
      </c>
      <c r="E2237" s="3" t="s">
        <v>13</v>
      </c>
      <c r="F2237" s="2">
        <v>61223</v>
      </c>
      <c r="G2237" s="2">
        <v>0</v>
      </c>
      <c r="H2237" s="2">
        <v>1</v>
      </c>
      <c r="I2237" s="4">
        <v>41438</v>
      </c>
      <c r="J2237" s="2">
        <v>46</v>
      </c>
    </row>
    <row r="2238" spans="1:10" ht="12.5">
      <c r="A2238" s="2">
        <v>2236</v>
      </c>
      <c r="B2238" s="2">
        <v>4001</v>
      </c>
      <c r="C2238" s="2">
        <v>1946</v>
      </c>
      <c r="D2238" s="3" t="s">
        <v>12</v>
      </c>
      <c r="E2238" s="3" t="s">
        <v>11</v>
      </c>
      <c r="F2238" s="2">
        <v>64014</v>
      </c>
      <c r="G2238" s="2">
        <v>2</v>
      </c>
      <c r="H2238" s="2">
        <v>1</v>
      </c>
      <c r="I2238" s="4">
        <v>41800</v>
      </c>
      <c r="J2238" s="2">
        <v>56</v>
      </c>
    </row>
    <row r="2239" spans="1:10" ht="12.5">
      <c r="A2239" s="2">
        <v>2237</v>
      </c>
      <c r="B2239" s="2">
        <v>7270</v>
      </c>
      <c r="C2239" s="2">
        <v>1981</v>
      </c>
      <c r="D2239" s="3" t="s">
        <v>9</v>
      </c>
      <c r="E2239" s="3" t="s">
        <v>15</v>
      </c>
      <c r="F2239" s="2">
        <v>56981</v>
      </c>
      <c r="G2239" s="2">
        <v>0</v>
      </c>
      <c r="H2239" s="2">
        <v>0</v>
      </c>
      <c r="I2239" s="4">
        <v>41664</v>
      </c>
      <c r="J2239" s="2">
        <v>91</v>
      </c>
    </row>
    <row r="2240" spans="1:10" ht="12.5">
      <c r="A2240" s="2">
        <v>2238</v>
      </c>
      <c r="B2240" s="2">
        <v>8235</v>
      </c>
      <c r="C2240" s="2">
        <v>1956</v>
      </c>
      <c r="D2240" s="3" t="s">
        <v>14</v>
      </c>
      <c r="E2240" s="3" t="s">
        <v>11</v>
      </c>
      <c r="F2240" s="2">
        <v>69245</v>
      </c>
      <c r="G2240" s="2">
        <v>0</v>
      </c>
      <c r="H2240" s="2">
        <v>1</v>
      </c>
      <c r="I2240" s="4">
        <v>41663</v>
      </c>
      <c r="J2240" s="2">
        <v>8</v>
      </c>
    </row>
    <row r="2241" spans="1:10" ht="12.5">
      <c r="A2241" s="2">
        <v>2239</v>
      </c>
      <c r="B2241" s="2">
        <v>9405</v>
      </c>
      <c r="C2241" s="2">
        <v>1954</v>
      </c>
      <c r="D2241" s="3" t="s">
        <v>12</v>
      </c>
      <c r="E2241" s="3" t="s">
        <v>13</v>
      </c>
      <c r="F2241" s="2">
        <v>52869</v>
      </c>
      <c r="G2241" s="2">
        <v>1</v>
      </c>
      <c r="H2241" s="2">
        <v>1</v>
      </c>
      <c r="I2241" s="5">
        <v>41197</v>
      </c>
      <c r="J2241" s="2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241"/>
  <sheetViews>
    <sheetView workbookViewId="0">
      <selection activeCell="H15" sqref="H15"/>
    </sheetView>
  </sheetViews>
  <sheetFormatPr defaultColWidth="12.6328125" defaultRowHeight="15.75" customHeight="1"/>
  <cols>
    <col min="4" max="4" width="15" customWidth="1"/>
    <col min="5" max="5" width="15.6328125" customWidth="1"/>
    <col min="6" max="6" width="16.36328125" customWidth="1"/>
  </cols>
  <sheetData>
    <row r="1" spans="1:6" ht="15.75" customHeight="1">
      <c r="A1" s="1"/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5.75" customHeight="1">
      <c r="A2" s="2">
        <v>1898</v>
      </c>
      <c r="B2" s="2">
        <v>4619</v>
      </c>
      <c r="C2" s="2">
        <v>2</v>
      </c>
      <c r="D2" s="2">
        <v>262</v>
      </c>
      <c r="E2" s="2">
        <v>27</v>
      </c>
      <c r="F2" s="2">
        <v>0</v>
      </c>
    </row>
    <row r="3" spans="1:6" ht="15.75" customHeight="1">
      <c r="A3" s="2">
        <v>27</v>
      </c>
      <c r="B3" s="2">
        <v>5255</v>
      </c>
      <c r="C3" s="2">
        <v>1</v>
      </c>
      <c r="D3" s="2">
        <v>263</v>
      </c>
      <c r="E3" s="2">
        <v>27</v>
      </c>
      <c r="F3" s="2">
        <v>0</v>
      </c>
    </row>
    <row r="4" spans="1:6" ht="15.75" customHeight="1">
      <c r="A4" s="2">
        <v>1975</v>
      </c>
      <c r="B4" s="2">
        <v>10311</v>
      </c>
      <c r="C4" s="2">
        <v>4</v>
      </c>
      <c r="D4" s="2">
        <v>4</v>
      </c>
      <c r="E4" s="2">
        <v>25</v>
      </c>
      <c r="F4" s="2">
        <v>0</v>
      </c>
    </row>
    <row r="5" spans="1:6" ht="15.75" customHeight="1">
      <c r="A5" s="2">
        <v>1806</v>
      </c>
      <c r="B5" s="2">
        <v>6237</v>
      </c>
      <c r="C5" s="2">
        <v>4</v>
      </c>
      <c r="D5" s="2">
        <v>2</v>
      </c>
      <c r="E5" s="2">
        <v>23</v>
      </c>
      <c r="F5" s="2">
        <v>1</v>
      </c>
    </row>
    <row r="6" spans="1:6" ht="15.75" customHeight="1">
      <c r="A6" s="2">
        <v>336</v>
      </c>
      <c r="B6" s="2">
        <v>7381</v>
      </c>
      <c r="C6" s="2">
        <v>153</v>
      </c>
      <c r="D6" s="2">
        <v>97</v>
      </c>
      <c r="E6" s="2">
        <v>11</v>
      </c>
      <c r="F6" s="2">
        <v>6</v>
      </c>
    </row>
    <row r="7" spans="1:6" ht="15.75" customHeight="1">
      <c r="A7" s="2">
        <v>1924</v>
      </c>
      <c r="B7" s="2">
        <v>7966</v>
      </c>
      <c r="C7" s="2">
        <v>137</v>
      </c>
      <c r="D7" s="2">
        <v>22</v>
      </c>
      <c r="E7" s="2">
        <v>11</v>
      </c>
      <c r="F7" s="2">
        <v>11</v>
      </c>
    </row>
    <row r="8" spans="1:6" ht="15.75" customHeight="1">
      <c r="A8" s="2">
        <v>681</v>
      </c>
      <c r="B8" s="2">
        <v>4910</v>
      </c>
      <c r="C8" s="2">
        <v>134</v>
      </c>
      <c r="D8" s="2">
        <v>134</v>
      </c>
      <c r="E8" s="2">
        <v>11</v>
      </c>
      <c r="F8" s="2">
        <v>13</v>
      </c>
    </row>
    <row r="9" spans="1:6" ht="15.75" customHeight="1">
      <c r="A9" s="2">
        <v>2013</v>
      </c>
      <c r="B9" s="2">
        <v>1951</v>
      </c>
      <c r="C9" s="2">
        <v>122</v>
      </c>
      <c r="D9" s="2">
        <v>129</v>
      </c>
      <c r="E9" s="2">
        <v>11</v>
      </c>
      <c r="F9" s="2">
        <v>8</v>
      </c>
    </row>
    <row r="10" spans="1:6" ht="15.75" customHeight="1">
      <c r="A10" s="2">
        <v>1507</v>
      </c>
      <c r="B10" s="2">
        <v>7706</v>
      </c>
      <c r="C10" s="2">
        <v>104</v>
      </c>
      <c r="D10" s="2">
        <v>151</v>
      </c>
      <c r="E10" s="2">
        <v>11</v>
      </c>
      <c r="F10" s="2">
        <v>5</v>
      </c>
    </row>
    <row r="11" spans="1:6" ht="15.75" customHeight="1">
      <c r="A11" s="2">
        <v>924</v>
      </c>
      <c r="B11" s="2">
        <v>8931</v>
      </c>
      <c r="C11" s="2">
        <v>99</v>
      </c>
      <c r="D11" s="2">
        <v>149</v>
      </c>
      <c r="E11" s="2">
        <v>11</v>
      </c>
      <c r="F11" s="2">
        <v>10</v>
      </c>
    </row>
    <row r="12" spans="1:6" ht="15.75" customHeight="1">
      <c r="A12" s="2">
        <v>767</v>
      </c>
      <c r="B12" s="2">
        <v>1911</v>
      </c>
      <c r="C12" s="2">
        <v>97</v>
      </c>
      <c r="D12" s="2">
        <v>133</v>
      </c>
      <c r="E12" s="2">
        <v>11</v>
      </c>
      <c r="F12" s="2">
        <v>12</v>
      </c>
    </row>
    <row r="13" spans="1:6" ht="15.75" customHeight="1">
      <c r="A13" s="2">
        <v>1488</v>
      </c>
      <c r="B13" s="2">
        <v>9743</v>
      </c>
      <c r="C13" s="2">
        <v>89</v>
      </c>
      <c r="D13" s="2">
        <v>35</v>
      </c>
      <c r="E13" s="2">
        <v>11</v>
      </c>
      <c r="F13" s="2">
        <v>8</v>
      </c>
    </row>
    <row r="14" spans="1:6" ht="15.75" customHeight="1">
      <c r="A14" s="2">
        <v>718</v>
      </c>
      <c r="B14" s="2">
        <v>10159</v>
      </c>
      <c r="C14" s="2">
        <v>81</v>
      </c>
      <c r="D14" s="2">
        <v>122</v>
      </c>
      <c r="E14" s="2">
        <v>11</v>
      </c>
      <c r="F14" s="2">
        <v>9</v>
      </c>
    </row>
    <row r="15" spans="1:6" ht="15.75" customHeight="1">
      <c r="A15" s="2">
        <v>18</v>
      </c>
      <c r="B15" s="2">
        <v>6565</v>
      </c>
      <c r="C15" s="2">
        <v>80</v>
      </c>
      <c r="D15" s="2">
        <v>16</v>
      </c>
      <c r="E15" s="2">
        <v>11</v>
      </c>
      <c r="F15" s="2">
        <v>9</v>
      </c>
    </row>
    <row r="16" spans="1:6" ht="15.75" customHeight="1">
      <c r="A16" s="2">
        <v>2145</v>
      </c>
      <c r="B16" s="2">
        <v>9790</v>
      </c>
      <c r="C16" s="2">
        <v>72</v>
      </c>
      <c r="D16" s="2">
        <v>36</v>
      </c>
      <c r="E16" s="2">
        <v>11</v>
      </c>
      <c r="F16" s="2">
        <v>4</v>
      </c>
    </row>
    <row r="17" spans="1:6" ht="15.75" customHeight="1">
      <c r="A17" s="2">
        <v>175</v>
      </c>
      <c r="B17" s="2">
        <v>8717</v>
      </c>
      <c r="C17" s="2">
        <v>71</v>
      </c>
      <c r="D17" s="2">
        <v>71</v>
      </c>
      <c r="E17" s="2">
        <v>11</v>
      </c>
      <c r="F17" s="2">
        <v>8</v>
      </c>
    </row>
    <row r="18" spans="1:6" ht="15.75" customHeight="1">
      <c r="A18" s="2">
        <v>2033</v>
      </c>
      <c r="B18" s="2">
        <v>3491</v>
      </c>
      <c r="C18" s="2">
        <v>60</v>
      </c>
      <c r="D18" s="2">
        <v>101</v>
      </c>
      <c r="E18" s="2">
        <v>11</v>
      </c>
      <c r="F18" s="2">
        <v>8</v>
      </c>
    </row>
    <row r="19" spans="1:6" ht="15.75" customHeight="1">
      <c r="A19" s="2">
        <v>1252</v>
      </c>
      <c r="B19" s="2">
        <v>5153</v>
      </c>
      <c r="C19" s="2">
        <v>59</v>
      </c>
      <c r="D19" s="2">
        <v>59</v>
      </c>
      <c r="E19" s="2">
        <v>11</v>
      </c>
      <c r="F19" s="2">
        <v>11</v>
      </c>
    </row>
    <row r="20" spans="1:6" ht="15.75" customHeight="1">
      <c r="A20" s="2">
        <v>1669</v>
      </c>
      <c r="B20" s="2">
        <v>4127</v>
      </c>
      <c r="C20" s="2">
        <v>59</v>
      </c>
      <c r="D20" s="2">
        <v>59</v>
      </c>
      <c r="E20" s="2">
        <v>11</v>
      </c>
      <c r="F20" s="2">
        <v>11</v>
      </c>
    </row>
    <row r="21" spans="1:6" ht="15.75" customHeight="1">
      <c r="A21" s="2">
        <v>1309</v>
      </c>
      <c r="B21" s="2">
        <v>6658</v>
      </c>
      <c r="C21" s="2">
        <v>51</v>
      </c>
      <c r="D21" s="2">
        <v>10</v>
      </c>
      <c r="E21" s="2">
        <v>11</v>
      </c>
      <c r="F21" s="2">
        <v>12</v>
      </c>
    </row>
    <row r="22" spans="1:6" ht="15.75" customHeight="1">
      <c r="A22" s="2">
        <v>209</v>
      </c>
      <c r="B22" s="2">
        <v>380</v>
      </c>
      <c r="C22" s="2">
        <v>48</v>
      </c>
      <c r="D22" s="2">
        <v>32</v>
      </c>
      <c r="E22" s="2">
        <v>11</v>
      </c>
      <c r="F22" s="2">
        <v>9</v>
      </c>
    </row>
    <row r="23" spans="1:6" ht="15.75" customHeight="1">
      <c r="A23" s="2">
        <v>797</v>
      </c>
      <c r="B23" s="2">
        <v>796</v>
      </c>
      <c r="C23" s="2">
        <v>44</v>
      </c>
      <c r="D23" s="2">
        <v>8</v>
      </c>
      <c r="E23" s="2">
        <v>11</v>
      </c>
      <c r="F23" s="2">
        <v>8</v>
      </c>
    </row>
    <row r="24" spans="1:6" ht="15.75" customHeight="1">
      <c r="A24" s="2">
        <v>2030</v>
      </c>
      <c r="B24" s="2">
        <v>3945</v>
      </c>
      <c r="C24" s="2">
        <v>44</v>
      </c>
      <c r="D24" s="2">
        <v>17</v>
      </c>
      <c r="E24" s="2">
        <v>11</v>
      </c>
      <c r="F24" s="2">
        <v>4</v>
      </c>
    </row>
    <row r="25" spans="1:6" ht="15.75" customHeight="1">
      <c r="A25" s="2">
        <v>202</v>
      </c>
      <c r="B25" s="2">
        <v>8727</v>
      </c>
      <c r="C25" s="2">
        <v>43</v>
      </c>
      <c r="D25" s="2">
        <v>87</v>
      </c>
      <c r="E25" s="2">
        <v>11</v>
      </c>
      <c r="F25" s="2">
        <v>9</v>
      </c>
    </row>
    <row r="26" spans="1:6" ht="15.75" customHeight="1">
      <c r="A26" s="2">
        <v>983</v>
      </c>
      <c r="B26" s="2">
        <v>3056</v>
      </c>
      <c r="C26" s="2">
        <v>43</v>
      </c>
      <c r="D26" s="2">
        <v>87</v>
      </c>
      <c r="E26" s="2">
        <v>11</v>
      </c>
      <c r="F26" s="2">
        <v>9</v>
      </c>
    </row>
    <row r="27" spans="1:6" ht="15.75" customHeight="1">
      <c r="A27" s="2">
        <v>1539</v>
      </c>
      <c r="B27" s="2">
        <v>8920</v>
      </c>
      <c r="C27" s="2">
        <v>40</v>
      </c>
      <c r="D27" s="2">
        <v>0</v>
      </c>
      <c r="E27" s="2">
        <v>11</v>
      </c>
      <c r="F27" s="2">
        <v>12</v>
      </c>
    </row>
    <row r="28" spans="1:6" ht="15.75" customHeight="1">
      <c r="A28" s="2">
        <v>1022</v>
      </c>
      <c r="B28" s="2">
        <v>6059</v>
      </c>
      <c r="C28" s="2">
        <v>36</v>
      </c>
      <c r="D28" s="2">
        <v>0</v>
      </c>
      <c r="E28" s="2">
        <v>11</v>
      </c>
      <c r="F28" s="2">
        <v>4</v>
      </c>
    </row>
    <row r="29" spans="1:6" ht="15.75" customHeight="1">
      <c r="A29" s="2">
        <v>219</v>
      </c>
      <c r="B29" s="2">
        <v>454</v>
      </c>
      <c r="C29" s="2">
        <v>32</v>
      </c>
      <c r="D29" s="2">
        <v>32</v>
      </c>
      <c r="E29" s="2">
        <v>11</v>
      </c>
      <c r="F29" s="2">
        <v>11</v>
      </c>
    </row>
    <row r="30" spans="1:6" ht="15.75" customHeight="1">
      <c r="A30" s="2">
        <v>729</v>
      </c>
      <c r="B30" s="2">
        <v>11101</v>
      </c>
      <c r="C30" s="2">
        <v>22</v>
      </c>
      <c r="D30" s="2">
        <v>28</v>
      </c>
      <c r="E30" s="2">
        <v>11</v>
      </c>
      <c r="F30" s="2">
        <v>8</v>
      </c>
    </row>
    <row r="31" spans="1:6" ht="15.75" customHeight="1">
      <c r="A31" s="2">
        <v>627</v>
      </c>
      <c r="B31" s="2">
        <v>4299</v>
      </c>
      <c r="C31" s="2">
        <v>17</v>
      </c>
      <c r="D31" s="2">
        <v>125</v>
      </c>
      <c r="E31" s="2">
        <v>11</v>
      </c>
      <c r="F31" s="2">
        <v>5</v>
      </c>
    </row>
    <row r="32" spans="1:6" ht="15.75" customHeight="1">
      <c r="A32" s="2">
        <v>1783</v>
      </c>
      <c r="B32" s="2">
        <v>10678</v>
      </c>
      <c r="C32" s="2">
        <v>17</v>
      </c>
      <c r="D32" s="2">
        <v>26</v>
      </c>
      <c r="E32" s="2">
        <v>11</v>
      </c>
      <c r="F32" s="2">
        <v>10</v>
      </c>
    </row>
    <row r="33" spans="1:6" ht="15.75" customHeight="1">
      <c r="A33" s="2">
        <v>1226</v>
      </c>
      <c r="B33" s="2">
        <v>4058</v>
      </c>
      <c r="C33" s="2">
        <v>15</v>
      </c>
      <c r="D33" s="2">
        <v>7</v>
      </c>
      <c r="E33" s="2">
        <v>11</v>
      </c>
      <c r="F33" s="2">
        <v>8</v>
      </c>
    </row>
    <row r="34" spans="1:6" ht="15.75" customHeight="1">
      <c r="A34" s="2">
        <v>1937</v>
      </c>
      <c r="B34" s="2">
        <v>6250</v>
      </c>
      <c r="C34" s="2">
        <v>15</v>
      </c>
      <c r="D34" s="2">
        <v>0</v>
      </c>
      <c r="E34" s="2">
        <v>11</v>
      </c>
      <c r="F34" s="2">
        <v>8</v>
      </c>
    </row>
    <row r="35" spans="1:6" ht="15.75" customHeight="1">
      <c r="A35" s="2">
        <v>67</v>
      </c>
      <c r="B35" s="2">
        <v>9369</v>
      </c>
      <c r="C35" s="2">
        <v>14</v>
      </c>
      <c r="D35" s="2">
        <v>24</v>
      </c>
      <c r="E35" s="2">
        <v>11</v>
      </c>
      <c r="F35" s="2">
        <v>10</v>
      </c>
    </row>
    <row r="36" spans="1:6" ht="15.75" customHeight="1">
      <c r="A36" s="2">
        <v>1119</v>
      </c>
      <c r="B36" s="2">
        <v>2320</v>
      </c>
      <c r="C36" s="2">
        <v>11</v>
      </c>
      <c r="D36" s="2">
        <v>5</v>
      </c>
      <c r="E36" s="2">
        <v>11</v>
      </c>
      <c r="F36" s="2">
        <v>6</v>
      </c>
    </row>
    <row r="37" spans="1:6" ht="15.75" customHeight="1">
      <c r="A37" s="2">
        <v>2171</v>
      </c>
      <c r="B37" s="2">
        <v>3968</v>
      </c>
      <c r="C37" s="2">
        <v>10</v>
      </c>
      <c r="D37" s="2">
        <v>0</v>
      </c>
      <c r="E37" s="2">
        <v>11</v>
      </c>
      <c r="F37" s="2">
        <v>12</v>
      </c>
    </row>
    <row r="38" spans="1:6" ht="15.75" customHeight="1">
      <c r="A38" s="2">
        <v>1085</v>
      </c>
      <c r="B38" s="2">
        <v>6295</v>
      </c>
      <c r="C38" s="2">
        <v>8</v>
      </c>
      <c r="D38" s="2">
        <v>0</v>
      </c>
      <c r="E38" s="2">
        <v>11</v>
      </c>
      <c r="F38" s="2">
        <v>5</v>
      </c>
    </row>
    <row r="39" spans="1:6" ht="15.75" customHeight="1">
      <c r="A39" s="2">
        <v>1744</v>
      </c>
      <c r="B39" s="2">
        <v>9710</v>
      </c>
      <c r="C39" s="2">
        <v>7</v>
      </c>
      <c r="D39" s="2">
        <v>0</v>
      </c>
      <c r="E39" s="2">
        <v>11</v>
      </c>
      <c r="F39" s="2">
        <v>7</v>
      </c>
    </row>
    <row r="40" spans="1:6" ht="15.75" customHeight="1">
      <c r="A40" s="2">
        <v>131</v>
      </c>
      <c r="B40" s="2">
        <v>433</v>
      </c>
      <c r="C40" s="2">
        <v>5</v>
      </c>
      <c r="D40" s="2">
        <v>5</v>
      </c>
      <c r="E40" s="2">
        <v>11</v>
      </c>
      <c r="F40" s="2">
        <v>6</v>
      </c>
    </row>
    <row r="41" spans="1:6" ht="15.75" customHeight="1">
      <c r="A41" s="2">
        <v>2226</v>
      </c>
      <c r="B41" s="2">
        <v>4478</v>
      </c>
      <c r="C41" s="2">
        <v>5</v>
      </c>
      <c r="D41" s="2">
        <v>17</v>
      </c>
      <c r="E41" s="2">
        <v>11</v>
      </c>
      <c r="F41" s="2">
        <v>6</v>
      </c>
    </row>
    <row r="42" spans="1:6" ht="15.75" customHeight="1">
      <c r="A42" s="2">
        <v>244</v>
      </c>
      <c r="B42" s="2">
        <v>6439</v>
      </c>
      <c r="C42" s="2">
        <v>0</v>
      </c>
      <c r="D42" s="2">
        <v>28</v>
      </c>
      <c r="E42" s="2">
        <v>11</v>
      </c>
      <c r="F42" s="2">
        <v>8</v>
      </c>
    </row>
    <row r="43" spans="1:6" ht="15.75" customHeight="1">
      <c r="A43" s="2">
        <v>354</v>
      </c>
      <c r="B43" s="2">
        <v>9365</v>
      </c>
      <c r="C43" s="2">
        <v>0</v>
      </c>
      <c r="D43" s="2">
        <v>0</v>
      </c>
      <c r="E43" s="2">
        <v>11</v>
      </c>
      <c r="F43" s="2">
        <v>5</v>
      </c>
    </row>
    <row r="44" spans="1:6" ht="15.75" customHeight="1">
      <c r="A44" s="2">
        <v>412</v>
      </c>
      <c r="B44" s="2">
        <v>7030</v>
      </c>
      <c r="C44" s="2">
        <v>0</v>
      </c>
      <c r="D44" s="2">
        <v>29</v>
      </c>
      <c r="E44" s="2">
        <v>11</v>
      </c>
      <c r="F44" s="2">
        <v>12</v>
      </c>
    </row>
    <row r="45" spans="1:6" ht="15.75" customHeight="1">
      <c r="A45" s="2">
        <v>721</v>
      </c>
      <c r="B45" s="2">
        <v>4990</v>
      </c>
      <c r="C45" s="2">
        <v>0</v>
      </c>
      <c r="D45" s="2">
        <v>28</v>
      </c>
      <c r="E45" s="2">
        <v>11</v>
      </c>
      <c r="F45" s="2">
        <v>8</v>
      </c>
    </row>
    <row r="46" spans="1:6" ht="12.5">
      <c r="A46" s="2">
        <v>932</v>
      </c>
      <c r="B46" s="2">
        <v>7922</v>
      </c>
      <c r="C46" s="2">
        <v>0</v>
      </c>
      <c r="D46" s="2">
        <v>0</v>
      </c>
      <c r="E46" s="2">
        <v>11</v>
      </c>
      <c r="F46" s="2">
        <v>10</v>
      </c>
    </row>
    <row r="47" spans="1:6" ht="12.5">
      <c r="A47" s="2">
        <v>937</v>
      </c>
      <c r="B47" s="2">
        <v>1204</v>
      </c>
      <c r="C47" s="2">
        <v>0</v>
      </c>
      <c r="D47" s="2">
        <v>71</v>
      </c>
      <c r="E47" s="2">
        <v>11</v>
      </c>
      <c r="F47" s="2">
        <v>11</v>
      </c>
    </row>
    <row r="48" spans="1:6" ht="12.5">
      <c r="A48" s="2">
        <v>1568</v>
      </c>
      <c r="B48" s="2">
        <v>10478</v>
      </c>
      <c r="C48" s="2">
        <v>0</v>
      </c>
      <c r="D48" s="2">
        <v>6</v>
      </c>
      <c r="E48" s="2">
        <v>11</v>
      </c>
      <c r="F48" s="2">
        <v>6</v>
      </c>
    </row>
    <row r="49" spans="1:6" ht="12.5">
      <c r="A49" s="2">
        <v>1635</v>
      </c>
      <c r="B49" s="2">
        <v>3427</v>
      </c>
      <c r="C49" s="2">
        <v>0</v>
      </c>
      <c r="D49" s="2">
        <v>0</v>
      </c>
      <c r="E49" s="2">
        <v>11</v>
      </c>
      <c r="F49" s="2">
        <v>7</v>
      </c>
    </row>
    <row r="50" spans="1:6" ht="12.5">
      <c r="A50" s="2">
        <v>855</v>
      </c>
      <c r="B50" s="2">
        <v>1456</v>
      </c>
      <c r="C50" s="2">
        <v>199</v>
      </c>
      <c r="D50" s="2">
        <v>9</v>
      </c>
      <c r="E50" s="2">
        <v>10</v>
      </c>
      <c r="F50" s="2">
        <v>12</v>
      </c>
    </row>
    <row r="51" spans="1:6" ht="12.5">
      <c r="A51" s="2">
        <v>1480</v>
      </c>
      <c r="B51" s="2">
        <v>2849</v>
      </c>
      <c r="C51" s="2">
        <v>199</v>
      </c>
      <c r="D51" s="2">
        <v>9</v>
      </c>
      <c r="E51" s="2">
        <v>10</v>
      </c>
      <c r="F51" s="2">
        <v>12</v>
      </c>
    </row>
    <row r="52" spans="1:6" ht="12.5">
      <c r="A52" s="2">
        <v>2039</v>
      </c>
      <c r="B52" s="2">
        <v>5628</v>
      </c>
      <c r="C52" s="2">
        <v>154</v>
      </c>
      <c r="D52" s="2">
        <v>61</v>
      </c>
      <c r="E52" s="2">
        <v>10</v>
      </c>
      <c r="F52" s="2">
        <v>10</v>
      </c>
    </row>
    <row r="53" spans="1:6" ht="12.5">
      <c r="A53" s="2">
        <v>897</v>
      </c>
      <c r="B53" s="2">
        <v>5046</v>
      </c>
      <c r="C53" s="2">
        <v>138</v>
      </c>
      <c r="D53" s="2">
        <v>169</v>
      </c>
      <c r="E53" s="2">
        <v>10</v>
      </c>
      <c r="F53" s="2">
        <v>7</v>
      </c>
    </row>
    <row r="54" spans="1:6" ht="12.5">
      <c r="A54" s="2">
        <v>1151</v>
      </c>
      <c r="B54" s="2">
        <v>8310</v>
      </c>
      <c r="C54" s="2">
        <v>126</v>
      </c>
      <c r="D54" s="2">
        <v>112</v>
      </c>
      <c r="E54" s="2">
        <v>10</v>
      </c>
      <c r="F54" s="2">
        <v>7</v>
      </c>
    </row>
    <row r="55" spans="1:6" ht="12.5">
      <c r="A55" s="2">
        <v>825</v>
      </c>
      <c r="B55" s="2">
        <v>5989</v>
      </c>
      <c r="C55" s="2">
        <v>122</v>
      </c>
      <c r="D55" s="2">
        <v>153</v>
      </c>
      <c r="E55" s="2">
        <v>10</v>
      </c>
      <c r="F55" s="2">
        <v>11</v>
      </c>
    </row>
    <row r="56" spans="1:6" ht="12.5">
      <c r="A56" s="2">
        <v>1520</v>
      </c>
      <c r="B56" s="2">
        <v>4278</v>
      </c>
      <c r="C56" s="2">
        <v>111</v>
      </c>
      <c r="D56" s="2">
        <v>74</v>
      </c>
      <c r="E56" s="2">
        <v>10</v>
      </c>
      <c r="F56" s="2">
        <v>6</v>
      </c>
    </row>
    <row r="57" spans="1:6" ht="12.5">
      <c r="A57" s="2">
        <v>72</v>
      </c>
      <c r="B57" s="2">
        <v>6312</v>
      </c>
      <c r="C57" s="2">
        <v>107</v>
      </c>
      <c r="D57" s="2">
        <v>37</v>
      </c>
      <c r="E57" s="2">
        <v>10</v>
      </c>
      <c r="F57" s="2">
        <v>13</v>
      </c>
    </row>
    <row r="58" spans="1:6" ht="12.5">
      <c r="A58" s="2">
        <v>1953</v>
      </c>
      <c r="B58" s="2">
        <v>7919</v>
      </c>
      <c r="C58" s="2">
        <v>105</v>
      </c>
      <c r="D58" s="2">
        <v>21</v>
      </c>
      <c r="E58" s="2">
        <v>10</v>
      </c>
      <c r="F58" s="2">
        <v>8</v>
      </c>
    </row>
    <row r="59" spans="1:6" ht="12.5">
      <c r="A59" s="2">
        <v>2036</v>
      </c>
      <c r="B59" s="2">
        <v>4786</v>
      </c>
      <c r="C59" s="2">
        <v>82</v>
      </c>
      <c r="D59" s="2">
        <v>61</v>
      </c>
      <c r="E59" s="2">
        <v>10</v>
      </c>
      <c r="F59" s="2">
        <v>12</v>
      </c>
    </row>
    <row r="60" spans="1:6" ht="12.5">
      <c r="A60" s="2">
        <v>749</v>
      </c>
      <c r="B60" s="2">
        <v>4073</v>
      </c>
      <c r="C60" s="2">
        <v>80</v>
      </c>
      <c r="D60" s="2">
        <v>34</v>
      </c>
      <c r="E60" s="2">
        <v>10</v>
      </c>
      <c r="F60" s="2">
        <v>7</v>
      </c>
    </row>
    <row r="61" spans="1:6" ht="12.5">
      <c r="A61" s="2">
        <v>1029</v>
      </c>
      <c r="B61" s="2">
        <v>8985</v>
      </c>
      <c r="C61" s="2">
        <v>80</v>
      </c>
      <c r="D61" s="2">
        <v>11</v>
      </c>
      <c r="E61" s="2">
        <v>10</v>
      </c>
      <c r="F61" s="2">
        <v>10</v>
      </c>
    </row>
    <row r="62" spans="1:6" ht="12.5">
      <c r="A62" s="2">
        <v>1512</v>
      </c>
      <c r="B62" s="2">
        <v>9451</v>
      </c>
      <c r="C62" s="2">
        <v>76</v>
      </c>
      <c r="D62" s="2">
        <v>137</v>
      </c>
      <c r="E62" s="2">
        <v>10</v>
      </c>
      <c r="F62" s="2">
        <v>9</v>
      </c>
    </row>
    <row r="63" spans="1:6" ht="12.5">
      <c r="A63" s="2">
        <v>323</v>
      </c>
      <c r="B63" s="2">
        <v>9750</v>
      </c>
      <c r="C63" s="2">
        <v>60</v>
      </c>
      <c r="D63" s="2">
        <v>12</v>
      </c>
      <c r="E63" s="2">
        <v>10</v>
      </c>
      <c r="F63" s="2">
        <v>5</v>
      </c>
    </row>
    <row r="64" spans="1:6" ht="12.5">
      <c r="A64" s="2">
        <v>261</v>
      </c>
      <c r="B64" s="2">
        <v>1184</v>
      </c>
      <c r="C64" s="2">
        <v>41</v>
      </c>
      <c r="D64" s="2">
        <v>0</v>
      </c>
      <c r="E64" s="2">
        <v>10</v>
      </c>
      <c r="F64" s="2">
        <v>10</v>
      </c>
    </row>
    <row r="65" spans="1:6" ht="12.5">
      <c r="A65" s="2">
        <v>969</v>
      </c>
      <c r="B65" s="2">
        <v>3933</v>
      </c>
      <c r="C65" s="2">
        <v>36</v>
      </c>
      <c r="D65" s="2">
        <v>72</v>
      </c>
      <c r="E65" s="2">
        <v>10</v>
      </c>
      <c r="F65" s="2">
        <v>6</v>
      </c>
    </row>
    <row r="66" spans="1:6" ht="12.5">
      <c r="A66" s="2">
        <v>1607</v>
      </c>
      <c r="B66" s="2">
        <v>4656</v>
      </c>
      <c r="C66" s="2">
        <v>32</v>
      </c>
      <c r="D66" s="2">
        <v>32</v>
      </c>
      <c r="E66" s="2">
        <v>10</v>
      </c>
      <c r="F66" s="2">
        <v>4</v>
      </c>
    </row>
    <row r="67" spans="1:6" ht="12.5">
      <c r="A67" s="2">
        <v>796</v>
      </c>
      <c r="B67" s="2">
        <v>6722</v>
      </c>
      <c r="C67" s="2">
        <v>28</v>
      </c>
      <c r="D67" s="2">
        <v>14</v>
      </c>
      <c r="E67" s="2">
        <v>10</v>
      </c>
      <c r="F67" s="2">
        <v>7</v>
      </c>
    </row>
    <row r="68" spans="1:6" ht="12.5">
      <c r="A68" s="2">
        <v>155</v>
      </c>
      <c r="B68" s="2">
        <v>10240</v>
      </c>
      <c r="C68" s="2">
        <v>26</v>
      </c>
      <c r="D68" s="2">
        <v>13</v>
      </c>
      <c r="E68" s="2">
        <v>10</v>
      </c>
      <c r="F68" s="2">
        <v>6</v>
      </c>
    </row>
    <row r="69" spans="1:6" ht="12.5">
      <c r="A69" s="2">
        <v>699</v>
      </c>
      <c r="B69" s="2">
        <v>1277</v>
      </c>
      <c r="C69" s="2">
        <v>22</v>
      </c>
      <c r="D69" s="2">
        <v>22</v>
      </c>
      <c r="E69" s="2">
        <v>10</v>
      </c>
      <c r="F69" s="2">
        <v>10</v>
      </c>
    </row>
    <row r="70" spans="1:6" ht="12.5">
      <c r="A70" s="2">
        <v>979</v>
      </c>
      <c r="B70" s="2">
        <v>5407</v>
      </c>
      <c r="C70" s="2">
        <v>17</v>
      </c>
      <c r="D70" s="2">
        <v>0</v>
      </c>
      <c r="E70" s="2">
        <v>10</v>
      </c>
      <c r="F70" s="2">
        <v>7</v>
      </c>
    </row>
    <row r="71" spans="1:6" ht="12.5">
      <c r="A71" s="2">
        <v>161</v>
      </c>
      <c r="B71" s="2">
        <v>9260</v>
      </c>
      <c r="C71" s="2">
        <v>16</v>
      </c>
      <c r="D71" s="2">
        <v>16</v>
      </c>
      <c r="E71" s="2">
        <v>10</v>
      </c>
      <c r="F71" s="2">
        <v>9</v>
      </c>
    </row>
    <row r="72" spans="1:6" ht="12.5">
      <c r="A72" s="2">
        <v>1205</v>
      </c>
      <c r="B72" s="2">
        <v>1118</v>
      </c>
      <c r="C72" s="2">
        <v>13</v>
      </c>
      <c r="D72" s="2">
        <v>6</v>
      </c>
      <c r="E72" s="2">
        <v>10</v>
      </c>
      <c r="F72" s="2">
        <v>5</v>
      </c>
    </row>
    <row r="73" spans="1:6" ht="12.5">
      <c r="A73" s="2">
        <v>676</v>
      </c>
      <c r="B73" s="2">
        <v>4673</v>
      </c>
      <c r="C73" s="2">
        <v>12</v>
      </c>
      <c r="D73" s="2">
        <v>12</v>
      </c>
      <c r="E73" s="2">
        <v>10</v>
      </c>
      <c r="F73" s="2">
        <v>5</v>
      </c>
    </row>
    <row r="74" spans="1:6" ht="12.5">
      <c r="A74" s="2">
        <v>505</v>
      </c>
      <c r="B74" s="2">
        <v>4945</v>
      </c>
      <c r="C74" s="2">
        <v>10</v>
      </c>
      <c r="D74" s="2">
        <v>10</v>
      </c>
      <c r="E74" s="2">
        <v>10</v>
      </c>
      <c r="F74" s="2">
        <v>12</v>
      </c>
    </row>
    <row r="75" spans="1:6" ht="12.5">
      <c r="A75" s="2">
        <v>1447</v>
      </c>
      <c r="B75" s="2">
        <v>5221</v>
      </c>
      <c r="C75" s="2">
        <v>8</v>
      </c>
      <c r="D75" s="2">
        <v>0</v>
      </c>
      <c r="E75" s="2">
        <v>10</v>
      </c>
      <c r="F75" s="2">
        <v>5</v>
      </c>
    </row>
    <row r="76" spans="1:6" ht="12.5">
      <c r="A76" s="2">
        <v>2028</v>
      </c>
      <c r="B76" s="2">
        <v>9323</v>
      </c>
      <c r="C76" s="2">
        <v>8</v>
      </c>
      <c r="D76" s="2">
        <v>49</v>
      </c>
      <c r="E76" s="2">
        <v>10</v>
      </c>
      <c r="F76" s="2">
        <v>7</v>
      </c>
    </row>
    <row r="77" spans="1:6" ht="12.5">
      <c r="A77" s="2">
        <v>2094</v>
      </c>
      <c r="B77" s="2">
        <v>1146</v>
      </c>
      <c r="C77" s="2">
        <v>8</v>
      </c>
      <c r="D77" s="2">
        <v>49</v>
      </c>
      <c r="E77" s="2">
        <v>10</v>
      </c>
      <c r="F77" s="2">
        <v>7</v>
      </c>
    </row>
    <row r="78" spans="1:6" ht="12.5">
      <c r="A78" s="2">
        <v>1305</v>
      </c>
      <c r="B78" s="2">
        <v>5841</v>
      </c>
      <c r="C78" s="2">
        <v>7</v>
      </c>
      <c r="D78" s="2">
        <v>0</v>
      </c>
      <c r="E78" s="2">
        <v>10</v>
      </c>
      <c r="F78" s="2">
        <v>8</v>
      </c>
    </row>
    <row r="79" spans="1:6" ht="12.5">
      <c r="A79" s="2">
        <v>1348</v>
      </c>
      <c r="B79" s="2">
        <v>7793</v>
      </c>
      <c r="C79" s="2">
        <v>7</v>
      </c>
      <c r="D79" s="2">
        <v>30</v>
      </c>
      <c r="E79" s="2">
        <v>10</v>
      </c>
      <c r="F79" s="2">
        <v>7</v>
      </c>
    </row>
    <row r="80" spans="1:6" ht="12.5">
      <c r="A80" s="2">
        <v>1687</v>
      </c>
      <c r="B80" s="2">
        <v>2570</v>
      </c>
      <c r="C80" s="2">
        <v>7</v>
      </c>
      <c r="D80" s="2">
        <v>0</v>
      </c>
      <c r="E80" s="2">
        <v>10</v>
      </c>
      <c r="F80" s="2">
        <v>7</v>
      </c>
    </row>
    <row r="81" spans="1:6" ht="12.5">
      <c r="A81" s="2">
        <v>1893</v>
      </c>
      <c r="B81" s="2">
        <v>6892</v>
      </c>
      <c r="C81" s="2">
        <v>7</v>
      </c>
      <c r="D81" s="2">
        <v>0</v>
      </c>
      <c r="E81" s="2">
        <v>10</v>
      </c>
      <c r="F81" s="2">
        <v>6</v>
      </c>
    </row>
    <row r="82" spans="1:6" ht="12.5">
      <c r="A82" s="2">
        <v>992</v>
      </c>
      <c r="B82" s="2">
        <v>7378</v>
      </c>
      <c r="C82" s="2">
        <v>5</v>
      </c>
      <c r="D82" s="2">
        <v>5</v>
      </c>
      <c r="E82" s="2">
        <v>10</v>
      </c>
      <c r="F82" s="2">
        <v>6</v>
      </c>
    </row>
    <row r="83" spans="1:6" ht="12.5">
      <c r="A83" s="2">
        <v>79</v>
      </c>
      <c r="B83" s="2">
        <v>1618</v>
      </c>
      <c r="C83" s="2">
        <v>0</v>
      </c>
      <c r="D83" s="2">
        <v>0</v>
      </c>
      <c r="E83" s="2">
        <v>10</v>
      </c>
      <c r="F83" s="2">
        <v>8</v>
      </c>
    </row>
    <row r="84" spans="1:6" ht="12.5">
      <c r="A84" s="2">
        <v>419</v>
      </c>
      <c r="B84" s="2">
        <v>8581</v>
      </c>
      <c r="C84" s="2">
        <v>0</v>
      </c>
      <c r="D84" s="2">
        <v>0</v>
      </c>
      <c r="E84" s="2">
        <v>10</v>
      </c>
      <c r="F84" s="2">
        <v>8</v>
      </c>
    </row>
    <row r="85" spans="1:6" ht="12.5">
      <c r="A85" s="2">
        <v>817</v>
      </c>
      <c r="B85" s="2">
        <v>7462</v>
      </c>
      <c r="C85" s="2">
        <v>0</v>
      </c>
      <c r="D85" s="2">
        <v>157</v>
      </c>
      <c r="E85" s="2">
        <v>10</v>
      </c>
      <c r="F85" s="2">
        <v>4</v>
      </c>
    </row>
    <row r="86" spans="1:6" ht="12.5">
      <c r="A86" s="2">
        <v>912</v>
      </c>
      <c r="B86" s="2">
        <v>9760</v>
      </c>
      <c r="C86" s="2">
        <v>0</v>
      </c>
      <c r="D86" s="2">
        <v>0</v>
      </c>
      <c r="E86" s="2">
        <v>10</v>
      </c>
      <c r="F86" s="2">
        <v>10</v>
      </c>
    </row>
    <row r="87" spans="1:6" ht="12.5">
      <c r="A87" s="2">
        <v>1010</v>
      </c>
      <c r="B87" s="2">
        <v>5236</v>
      </c>
      <c r="C87" s="2">
        <v>0</v>
      </c>
      <c r="D87" s="2">
        <v>178</v>
      </c>
      <c r="E87" s="2">
        <v>10</v>
      </c>
      <c r="F87" s="2">
        <v>8</v>
      </c>
    </row>
    <row r="88" spans="1:6" ht="12.5">
      <c r="A88" s="2">
        <v>1308</v>
      </c>
      <c r="B88" s="2">
        <v>5758</v>
      </c>
      <c r="C88" s="2">
        <v>0</v>
      </c>
      <c r="D88" s="2">
        <v>0</v>
      </c>
      <c r="E88" s="2">
        <v>10</v>
      </c>
      <c r="F88" s="2">
        <v>13</v>
      </c>
    </row>
    <row r="89" spans="1:6" ht="12.5">
      <c r="A89" s="2">
        <v>1516</v>
      </c>
      <c r="B89" s="2">
        <v>1490</v>
      </c>
      <c r="C89" s="2">
        <v>0</v>
      </c>
      <c r="D89" s="2">
        <v>7</v>
      </c>
      <c r="E89" s="2">
        <v>10</v>
      </c>
      <c r="F89" s="2">
        <v>8</v>
      </c>
    </row>
    <row r="90" spans="1:6" ht="12.5">
      <c r="A90" s="2">
        <v>1801</v>
      </c>
      <c r="B90" s="2">
        <v>6977</v>
      </c>
      <c r="C90" s="2">
        <v>0</v>
      </c>
      <c r="D90" s="2">
        <v>37</v>
      </c>
      <c r="E90" s="2">
        <v>10</v>
      </c>
      <c r="F90" s="2">
        <v>13</v>
      </c>
    </row>
    <row r="91" spans="1:6" ht="12.5">
      <c r="A91" s="2">
        <v>1855</v>
      </c>
      <c r="B91" s="2">
        <v>2886</v>
      </c>
      <c r="C91" s="2">
        <v>0</v>
      </c>
      <c r="D91" s="2">
        <v>12</v>
      </c>
      <c r="E91" s="2">
        <v>10</v>
      </c>
      <c r="F91" s="2">
        <v>10</v>
      </c>
    </row>
    <row r="92" spans="1:6" ht="12.5">
      <c r="A92" s="2">
        <v>1914</v>
      </c>
      <c r="B92" s="2">
        <v>7101</v>
      </c>
      <c r="C92" s="2">
        <v>0</v>
      </c>
      <c r="D92" s="2">
        <v>0</v>
      </c>
      <c r="E92" s="2">
        <v>10</v>
      </c>
      <c r="F92" s="2">
        <v>10</v>
      </c>
    </row>
    <row r="93" spans="1:6" ht="12.5">
      <c r="A93" s="2">
        <v>646</v>
      </c>
      <c r="B93" s="2">
        <v>4611</v>
      </c>
      <c r="C93" s="2">
        <v>181</v>
      </c>
      <c r="D93" s="2">
        <v>21</v>
      </c>
      <c r="E93" s="2">
        <v>9</v>
      </c>
      <c r="F93" s="2">
        <v>13</v>
      </c>
    </row>
    <row r="94" spans="1:6" ht="12.5">
      <c r="A94" s="2">
        <v>102</v>
      </c>
      <c r="B94" s="2">
        <v>4518</v>
      </c>
      <c r="C94" s="2">
        <v>172</v>
      </c>
      <c r="D94" s="2">
        <v>132</v>
      </c>
      <c r="E94" s="2">
        <v>9</v>
      </c>
      <c r="F94" s="2">
        <v>11</v>
      </c>
    </row>
    <row r="95" spans="1:6" ht="12.5">
      <c r="A95" s="2">
        <v>1782</v>
      </c>
      <c r="B95" s="2">
        <v>9645</v>
      </c>
      <c r="C95" s="2">
        <v>138</v>
      </c>
      <c r="D95" s="2">
        <v>46</v>
      </c>
      <c r="E95" s="2">
        <v>9</v>
      </c>
      <c r="F95" s="2">
        <v>10</v>
      </c>
    </row>
    <row r="96" spans="1:6" ht="12.5">
      <c r="A96" s="2">
        <v>2206</v>
      </c>
      <c r="B96" s="2">
        <v>1092</v>
      </c>
      <c r="C96" s="2">
        <v>129</v>
      </c>
      <c r="D96" s="2">
        <v>43</v>
      </c>
      <c r="E96" s="2">
        <v>9</v>
      </c>
      <c r="F96" s="2">
        <v>4</v>
      </c>
    </row>
    <row r="97" spans="1:6" ht="12.5">
      <c r="A97" s="2">
        <v>2074</v>
      </c>
      <c r="B97" s="2">
        <v>2254</v>
      </c>
      <c r="C97" s="2">
        <v>120</v>
      </c>
      <c r="D97" s="2">
        <v>80</v>
      </c>
      <c r="E97" s="2">
        <v>9</v>
      </c>
      <c r="F97" s="2">
        <v>5</v>
      </c>
    </row>
    <row r="98" spans="1:6" ht="12.5">
      <c r="A98" s="2">
        <v>658</v>
      </c>
      <c r="B98" s="2">
        <v>3867</v>
      </c>
      <c r="C98" s="2">
        <v>112</v>
      </c>
      <c r="D98" s="2">
        <v>82</v>
      </c>
      <c r="E98" s="2">
        <v>9</v>
      </c>
      <c r="F98" s="2">
        <v>13</v>
      </c>
    </row>
    <row r="99" spans="1:6" ht="12.5">
      <c r="A99" s="2">
        <v>1630</v>
      </c>
      <c r="B99" s="2">
        <v>3859</v>
      </c>
      <c r="C99" s="2">
        <v>112</v>
      </c>
      <c r="D99" s="2">
        <v>82</v>
      </c>
      <c r="E99" s="2">
        <v>9</v>
      </c>
      <c r="F99" s="2">
        <v>13</v>
      </c>
    </row>
    <row r="100" spans="1:6" ht="12.5">
      <c r="A100" s="2">
        <v>401</v>
      </c>
      <c r="B100" s="2">
        <v>9999</v>
      </c>
      <c r="C100" s="2">
        <v>105</v>
      </c>
      <c r="D100" s="2">
        <v>42</v>
      </c>
      <c r="E100" s="2">
        <v>9</v>
      </c>
      <c r="F100" s="2">
        <v>9</v>
      </c>
    </row>
    <row r="101" spans="1:6" ht="12.5">
      <c r="A101" s="2">
        <v>1201</v>
      </c>
      <c r="B101" s="2">
        <v>9500</v>
      </c>
      <c r="C101" s="2">
        <v>104</v>
      </c>
      <c r="D101" s="2">
        <v>78</v>
      </c>
      <c r="E101" s="2">
        <v>9</v>
      </c>
      <c r="F101" s="2">
        <v>8</v>
      </c>
    </row>
    <row r="102" spans="1:6" ht="12.5">
      <c r="A102" s="2">
        <v>1699</v>
      </c>
      <c r="B102" s="2">
        <v>4676</v>
      </c>
      <c r="C102" s="2">
        <v>91</v>
      </c>
      <c r="D102" s="2">
        <v>107</v>
      </c>
      <c r="E102" s="2">
        <v>9</v>
      </c>
      <c r="F102" s="2">
        <v>8</v>
      </c>
    </row>
    <row r="103" spans="1:6" ht="12.5">
      <c r="A103" s="2">
        <v>117</v>
      </c>
      <c r="B103" s="2">
        <v>367</v>
      </c>
      <c r="C103" s="2">
        <v>90</v>
      </c>
      <c r="D103" s="2">
        <v>103</v>
      </c>
      <c r="E103" s="2">
        <v>9</v>
      </c>
      <c r="F103" s="2">
        <v>5</v>
      </c>
    </row>
    <row r="104" spans="1:6" ht="12.5">
      <c r="A104" s="2">
        <v>642</v>
      </c>
      <c r="B104" s="2">
        <v>2131</v>
      </c>
      <c r="C104" s="2">
        <v>89</v>
      </c>
      <c r="D104" s="2">
        <v>12</v>
      </c>
      <c r="E104" s="2">
        <v>9</v>
      </c>
      <c r="F104" s="2">
        <v>6</v>
      </c>
    </row>
    <row r="105" spans="1:6" ht="12.5">
      <c r="A105" s="2">
        <v>1469</v>
      </c>
      <c r="B105" s="2">
        <v>4406</v>
      </c>
      <c r="C105" s="2">
        <v>84</v>
      </c>
      <c r="D105" s="2">
        <v>56</v>
      </c>
      <c r="E105" s="2">
        <v>9</v>
      </c>
      <c r="F105" s="2">
        <v>8</v>
      </c>
    </row>
    <row r="106" spans="1:6" ht="12.5">
      <c r="A106" s="2">
        <v>652</v>
      </c>
      <c r="B106" s="2">
        <v>6661</v>
      </c>
      <c r="C106" s="2">
        <v>80</v>
      </c>
      <c r="D106" s="2">
        <v>80</v>
      </c>
      <c r="E106" s="2">
        <v>9</v>
      </c>
      <c r="F106" s="2">
        <v>12</v>
      </c>
    </row>
    <row r="107" spans="1:6" ht="12.5">
      <c r="A107" s="2">
        <v>1554</v>
      </c>
      <c r="B107" s="2">
        <v>5462</v>
      </c>
      <c r="C107" s="2">
        <v>80</v>
      </c>
      <c r="D107" s="2">
        <v>80</v>
      </c>
      <c r="E107" s="2">
        <v>9</v>
      </c>
      <c r="F107" s="2">
        <v>12</v>
      </c>
    </row>
    <row r="108" spans="1:6" ht="12.5">
      <c r="A108" s="2">
        <v>2064</v>
      </c>
      <c r="B108" s="2">
        <v>10897</v>
      </c>
      <c r="C108" s="2">
        <v>80</v>
      </c>
      <c r="D108" s="2">
        <v>80</v>
      </c>
      <c r="E108" s="2">
        <v>9</v>
      </c>
      <c r="F108" s="2">
        <v>12</v>
      </c>
    </row>
    <row r="109" spans="1:6" ht="12.5">
      <c r="A109" s="2">
        <v>2194</v>
      </c>
      <c r="B109" s="2">
        <v>7118</v>
      </c>
      <c r="C109" s="2">
        <v>80</v>
      </c>
      <c r="D109" s="2">
        <v>26</v>
      </c>
      <c r="E109" s="2">
        <v>9</v>
      </c>
      <c r="F109" s="2">
        <v>6</v>
      </c>
    </row>
    <row r="110" spans="1:6" ht="12.5">
      <c r="A110" s="2">
        <v>1541</v>
      </c>
      <c r="B110" s="2">
        <v>3852</v>
      </c>
      <c r="C110" s="2">
        <v>72</v>
      </c>
      <c r="D110" s="2">
        <v>27</v>
      </c>
      <c r="E110" s="2">
        <v>9</v>
      </c>
      <c r="F110" s="2">
        <v>12</v>
      </c>
    </row>
    <row r="111" spans="1:6" ht="12.5">
      <c r="A111" s="2">
        <v>1728</v>
      </c>
      <c r="B111" s="2">
        <v>1000</v>
      </c>
      <c r="C111" s="2">
        <v>72</v>
      </c>
      <c r="D111" s="2">
        <v>27</v>
      </c>
      <c r="E111" s="2">
        <v>9</v>
      </c>
      <c r="F111" s="2">
        <v>12</v>
      </c>
    </row>
    <row r="112" spans="1:6" ht="12.5">
      <c r="A112" s="2">
        <v>1765</v>
      </c>
      <c r="B112" s="2">
        <v>9167</v>
      </c>
      <c r="C112" s="2">
        <v>71</v>
      </c>
      <c r="D112" s="2">
        <v>35</v>
      </c>
      <c r="E112" s="2">
        <v>9</v>
      </c>
      <c r="F112" s="2">
        <v>12</v>
      </c>
    </row>
    <row r="113" spans="1:6" ht="12.5">
      <c r="A113" s="2">
        <v>1876</v>
      </c>
      <c r="B113" s="2">
        <v>3766</v>
      </c>
      <c r="C113" s="2">
        <v>71</v>
      </c>
      <c r="D113" s="2">
        <v>94</v>
      </c>
      <c r="E113" s="2">
        <v>9</v>
      </c>
      <c r="F113" s="2">
        <v>8</v>
      </c>
    </row>
    <row r="114" spans="1:6" ht="12.5">
      <c r="A114" s="2">
        <v>176</v>
      </c>
      <c r="B114" s="2">
        <v>10314</v>
      </c>
      <c r="C114" s="2">
        <v>66</v>
      </c>
      <c r="D114" s="2">
        <v>89</v>
      </c>
      <c r="E114" s="2">
        <v>9</v>
      </c>
      <c r="F114" s="2">
        <v>5</v>
      </c>
    </row>
    <row r="115" spans="1:6" ht="12.5">
      <c r="A115" s="2">
        <v>247</v>
      </c>
      <c r="B115" s="2">
        <v>9265</v>
      </c>
      <c r="C115" s="2">
        <v>64</v>
      </c>
      <c r="D115" s="2">
        <v>12</v>
      </c>
      <c r="E115" s="2">
        <v>9</v>
      </c>
      <c r="F115" s="2">
        <v>6</v>
      </c>
    </row>
    <row r="116" spans="1:6" ht="12.5">
      <c r="A116" s="2">
        <v>1498</v>
      </c>
      <c r="B116" s="2">
        <v>9463</v>
      </c>
      <c r="C116" s="2">
        <v>56</v>
      </c>
      <c r="D116" s="2">
        <v>98</v>
      </c>
      <c r="E116" s="2">
        <v>9</v>
      </c>
      <c r="F116" s="2">
        <v>7</v>
      </c>
    </row>
    <row r="117" spans="1:6" ht="12.5">
      <c r="A117" s="2">
        <v>1281</v>
      </c>
      <c r="B117" s="2">
        <v>9516</v>
      </c>
      <c r="C117" s="2">
        <v>54</v>
      </c>
      <c r="D117" s="2">
        <v>98</v>
      </c>
      <c r="E117" s="2">
        <v>9</v>
      </c>
      <c r="F117" s="2">
        <v>10</v>
      </c>
    </row>
    <row r="118" spans="1:6" ht="12.5">
      <c r="A118" s="2">
        <v>1642</v>
      </c>
      <c r="B118" s="2">
        <v>6575</v>
      </c>
      <c r="C118" s="2">
        <v>48</v>
      </c>
      <c r="D118" s="2">
        <v>32</v>
      </c>
      <c r="E118" s="2">
        <v>9</v>
      </c>
      <c r="F118" s="2">
        <v>7</v>
      </c>
    </row>
    <row r="119" spans="1:6" ht="12.5">
      <c r="A119" s="2">
        <v>1928</v>
      </c>
      <c r="B119" s="2">
        <v>1867</v>
      </c>
      <c r="C119" s="2">
        <v>48</v>
      </c>
      <c r="D119" s="2">
        <v>84</v>
      </c>
      <c r="E119" s="2">
        <v>9</v>
      </c>
      <c r="F119" s="2">
        <v>6</v>
      </c>
    </row>
    <row r="120" spans="1:6" ht="12.5">
      <c r="A120" s="2">
        <v>432</v>
      </c>
      <c r="B120" s="2">
        <v>238</v>
      </c>
      <c r="C120" s="2">
        <v>47</v>
      </c>
      <c r="D120" s="2">
        <v>95</v>
      </c>
      <c r="E120" s="2">
        <v>9</v>
      </c>
      <c r="F120" s="2">
        <v>9</v>
      </c>
    </row>
    <row r="121" spans="1:6" ht="12.5">
      <c r="A121" s="2">
        <v>2235</v>
      </c>
      <c r="B121" s="2">
        <v>10870</v>
      </c>
      <c r="C121" s="2">
        <v>43</v>
      </c>
      <c r="D121" s="2">
        <v>118</v>
      </c>
      <c r="E121" s="2">
        <v>9</v>
      </c>
      <c r="F121" s="2">
        <v>4</v>
      </c>
    </row>
    <row r="122" spans="1:6" ht="12.5">
      <c r="A122" s="2">
        <v>1150</v>
      </c>
      <c r="B122" s="2">
        <v>1453</v>
      </c>
      <c r="C122" s="2">
        <v>40</v>
      </c>
      <c r="D122" s="2">
        <v>20</v>
      </c>
      <c r="E122" s="2">
        <v>9</v>
      </c>
      <c r="F122" s="2">
        <v>13</v>
      </c>
    </row>
    <row r="123" spans="1:6" ht="12.5">
      <c r="A123" s="2">
        <v>1816</v>
      </c>
      <c r="B123" s="2">
        <v>5782</v>
      </c>
      <c r="C123" s="2">
        <v>35</v>
      </c>
      <c r="D123" s="2">
        <v>77</v>
      </c>
      <c r="E123" s="2">
        <v>9</v>
      </c>
      <c r="F123" s="2">
        <v>9</v>
      </c>
    </row>
    <row r="124" spans="1:6" ht="12.5">
      <c r="A124" s="2">
        <v>1888</v>
      </c>
      <c r="B124" s="2">
        <v>10858</v>
      </c>
      <c r="C124" s="2">
        <v>30</v>
      </c>
      <c r="D124" s="2">
        <v>138</v>
      </c>
      <c r="E124" s="2">
        <v>9</v>
      </c>
      <c r="F124" s="2">
        <v>7</v>
      </c>
    </row>
    <row r="125" spans="1:6" ht="12.5">
      <c r="A125" s="2">
        <v>2160</v>
      </c>
      <c r="B125" s="2">
        <v>5667</v>
      </c>
      <c r="C125" s="2">
        <v>30</v>
      </c>
      <c r="D125" s="2">
        <v>46</v>
      </c>
      <c r="E125" s="2">
        <v>9</v>
      </c>
      <c r="F125" s="2">
        <v>4</v>
      </c>
    </row>
    <row r="126" spans="1:6" ht="12.5">
      <c r="A126" s="2">
        <v>249</v>
      </c>
      <c r="B126" s="2">
        <v>8932</v>
      </c>
      <c r="C126" s="2">
        <v>28</v>
      </c>
      <c r="D126" s="2">
        <v>70</v>
      </c>
      <c r="E126" s="2">
        <v>9</v>
      </c>
      <c r="F126" s="2">
        <v>6</v>
      </c>
    </row>
    <row r="127" spans="1:6" ht="12.5">
      <c r="A127" s="2">
        <v>1087</v>
      </c>
      <c r="B127" s="2">
        <v>1509</v>
      </c>
      <c r="C127" s="2">
        <v>27</v>
      </c>
      <c r="D127" s="2">
        <v>54</v>
      </c>
      <c r="E127" s="2">
        <v>9</v>
      </c>
      <c r="F127" s="2">
        <v>4</v>
      </c>
    </row>
    <row r="128" spans="1:6" ht="12.5">
      <c r="A128" s="2">
        <v>1992</v>
      </c>
      <c r="B128" s="2">
        <v>6248</v>
      </c>
      <c r="C128" s="2">
        <v>24</v>
      </c>
      <c r="D128" s="2">
        <v>29</v>
      </c>
      <c r="E128" s="2">
        <v>9</v>
      </c>
      <c r="F128" s="2">
        <v>11</v>
      </c>
    </row>
    <row r="129" spans="1:6" ht="12.5">
      <c r="A129" s="2">
        <v>224</v>
      </c>
      <c r="B129" s="2">
        <v>7079</v>
      </c>
      <c r="C129" s="2">
        <v>23</v>
      </c>
      <c r="D129" s="2">
        <v>11</v>
      </c>
      <c r="E129" s="2">
        <v>9</v>
      </c>
      <c r="F129" s="2">
        <v>12</v>
      </c>
    </row>
    <row r="130" spans="1:6" ht="12.5">
      <c r="A130" s="2">
        <v>987</v>
      </c>
      <c r="B130" s="2">
        <v>4580</v>
      </c>
      <c r="C130" s="2">
        <v>22</v>
      </c>
      <c r="D130" s="2">
        <v>91</v>
      </c>
      <c r="E130" s="2">
        <v>9</v>
      </c>
      <c r="F130" s="2">
        <v>9</v>
      </c>
    </row>
    <row r="131" spans="1:6" ht="12.5">
      <c r="A131" s="2">
        <v>936</v>
      </c>
      <c r="B131" s="2">
        <v>1628</v>
      </c>
      <c r="C131" s="2">
        <v>21</v>
      </c>
      <c r="D131" s="2">
        <v>75</v>
      </c>
      <c r="E131" s="2">
        <v>9</v>
      </c>
      <c r="F131" s="2">
        <v>4</v>
      </c>
    </row>
    <row r="132" spans="1:6" ht="12.5">
      <c r="A132" s="2">
        <v>1072</v>
      </c>
      <c r="B132" s="2">
        <v>3807</v>
      </c>
      <c r="C132" s="2">
        <v>21</v>
      </c>
      <c r="D132" s="2">
        <v>21</v>
      </c>
      <c r="E132" s="2">
        <v>9</v>
      </c>
      <c r="F132" s="2">
        <v>9</v>
      </c>
    </row>
    <row r="133" spans="1:6" ht="12.5">
      <c r="A133" s="2">
        <v>636</v>
      </c>
      <c r="B133" s="2">
        <v>6945</v>
      </c>
      <c r="C133" s="2">
        <v>20</v>
      </c>
      <c r="D133" s="2">
        <v>54</v>
      </c>
      <c r="E133" s="2">
        <v>9</v>
      </c>
      <c r="F133" s="2">
        <v>11</v>
      </c>
    </row>
    <row r="134" spans="1:6" ht="12.5">
      <c r="A134" s="2">
        <v>1763</v>
      </c>
      <c r="B134" s="2">
        <v>2797</v>
      </c>
      <c r="C134" s="2">
        <v>20</v>
      </c>
      <c r="D134" s="2">
        <v>60</v>
      </c>
      <c r="E134" s="2">
        <v>9</v>
      </c>
      <c r="F134" s="2">
        <v>9</v>
      </c>
    </row>
    <row r="135" spans="1:6" ht="12.5">
      <c r="A135" s="2">
        <v>454</v>
      </c>
      <c r="B135" s="2">
        <v>6233</v>
      </c>
      <c r="C135" s="2">
        <v>19</v>
      </c>
      <c r="D135" s="2">
        <v>47</v>
      </c>
      <c r="E135" s="2">
        <v>9</v>
      </c>
      <c r="F135" s="2">
        <v>10</v>
      </c>
    </row>
    <row r="136" spans="1:6" ht="12.5">
      <c r="A136" s="2">
        <v>1824</v>
      </c>
      <c r="B136" s="2">
        <v>1440</v>
      </c>
      <c r="C136" s="2">
        <v>17</v>
      </c>
      <c r="D136" s="2">
        <v>188</v>
      </c>
      <c r="E136" s="2">
        <v>9</v>
      </c>
      <c r="F136" s="2">
        <v>9</v>
      </c>
    </row>
    <row r="137" spans="1:6" ht="12.5">
      <c r="A137" s="2">
        <v>2058</v>
      </c>
      <c r="B137" s="2">
        <v>10061</v>
      </c>
      <c r="C137" s="2">
        <v>17</v>
      </c>
      <c r="D137" s="2">
        <v>8</v>
      </c>
      <c r="E137" s="2">
        <v>9</v>
      </c>
      <c r="F137" s="2">
        <v>12</v>
      </c>
    </row>
    <row r="138" spans="1:6" ht="12.5">
      <c r="A138" s="2">
        <v>279</v>
      </c>
      <c r="B138" s="2">
        <v>4391</v>
      </c>
      <c r="C138" s="2">
        <v>15</v>
      </c>
      <c r="D138" s="2">
        <v>7</v>
      </c>
      <c r="E138" s="2">
        <v>9</v>
      </c>
      <c r="F138" s="2">
        <v>9</v>
      </c>
    </row>
    <row r="139" spans="1:6" ht="12.5">
      <c r="A139" s="2">
        <v>1195</v>
      </c>
      <c r="B139" s="2">
        <v>6283</v>
      </c>
      <c r="C139" s="2">
        <v>15</v>
      </c>
      <c r="D139" s="2">
        <v>7</v>
      </c>
      <c r="E139" s="2">
        <v>9</v>
      </c>
      <c r="F139" s="2">
        <v>9</v>
      </c>
    </row>
    <row r="140" spans="1:6" ht="12.5">
      <c r="A140" s="2">
        <v>1398</v>
      </c>
      <c r="B140" s="2">
        <v>3421</v>
      </c>
      <c r="C140" s="2">
        <v>15</v>
      </c>
      <c r="D140" s="2">
        <v>7</v>
      </c>
      <c r="E140" s="2">
        <v>9</v>
      </c>
      <c r="F140" s="2">
        <v>9</v>
      </c>
    </row>
    <row r="141" spans="1:6" ht="12.5">
      <c r="A141" s="2">
        <v>301</v>
      </c>
      <c r="B141" s="2">
        <v>5596</v>
      </c>
      <c r="C141" s="2">
        <v>14</v>
      </c>
      <c r="D141" s="2">
        <v>0</v>
      </c>
      <c r="E141" s="2">
        <v>9</v>
      </c>
      <c r="F141" s="2">
        <v>9</v>
      </c>
    </row>
    <row r="142" spans="1:6" ht="12.5">
      <c r="A142" s="2">
        <v>818</v>
      </c>
      <c r="B142" s="2">
        <v>3900</v>
      </c>
      <c r="C142" s="2">
        <v>14</v>
      </c>
      <c r="D142" s="2">
        <v>7</v>
      </c>
      <c r="E142" s="2">
        <v>9</v>
      </c>
      <c r="F142" s="2">
        <v>9</v>
      </c>
    </row>
    <row r="143" spans="1:6" ht="12.5">
      <c r="A143" s="2">
        <v>888</v>
      </c>
      <c r="B143" s="2">
        <v>8825</v>
      </c>
      <c r="C143" s="2">
        <v>14</v>
      </c>
      <c r="D143" s="2">
        <v>24</v>
      </c>
      <c r="E143" s="2">
        <v>9</v>
      </c>
      <c r="F143" s="2">
        <v>5</v>
      </c>
    </row>
    <row r="144" spans="1:6" ht="12.5">
      <c r="A144" s="2">
        <v>1401</v>
      </c>
      <c r="B144" s="2">
        <v>9958</v>
      </c>
      <c r="C144" s="2">
        <v>14</v>
      </c>
      <c r="D144" s="2">
        <v>7</v>
      </c>
      <c r="E144" s="2">
        <v>9</v>
      </c>
      <c r="F144" s="2">
        <v>9</v>
      </c>
    </row>
    <row r="145" spans="1:6" ht="12.5">
      <c r="A145" s="2">
        <v>494</v>
      </c>
      <c r="B145" s="2">
        <v>6605</v>
      </c>
      <c r="C145" s="2">
        <v>13</v>
      </c>
      <c r="D145" s="2">
        <v>0</v>
      </c>
      <c r="E145" s="2">
        <v>9</v>
      </c>
      <c r="F145" s="2">
        <v>6</v>
      </c>
    </row>
    <row r="146" spans="1:6" ht="12.5">
      <c r="A146" s="2">
        <v>1499</v>
      </c>
      <c r="B146" s="2">
        <v>6318</v>
      </c>
      <c r="C146" s="2">
        <v>12</v>
      </c>
      <c r="D146" s="2">
        <v>89</v>
      </c>
      <c r="E146" s="2">
        <v>9</v>
      </c>
      <c r="F146" s="2">
        <v>13</v>
      </c>
    </row>
    <row r="147" spans="1:6" ht="12.5">
      <c r="A147" s="2">
        <v>2083</v>
      </c>
      <c r="B147" s="2">
        <v>5396</v>
      </c>
      <c r="C147" s="2">
        <v>12</v>
      </c>
      <c r="D147" s="2">
        <v>89</v>
      </c>
      <c r="E147" s="2">
        <v>9</v>
      </c>
      <c r="F147" s="2">
        <v>13</v>
      </c>
    </row>
    <row r="148" spans="1:6" ht="12.5">
      <c r="A148" s="2">
        <v>332</v>
      </c>
      <c r="B148" s="2">
        <v>10675</v>
      </c>
      <c r="C148" s="2">
        <v>11</v>
      </c>
      <c r="D148" s="2">
        <v>0</v>
      </c>
      <c r="E148" s="2">
        <v>9</v>
      </c>
      <c r="F148" s="2">
        <v>5</v>
      </c>
    </row>
    <row r="149" spans="1:6" ht="12.5">
      <c r="A149" s="2">
        <v>700</v>
      </c>
      <c r="B149" s="2">
        <v>9977</v>
      </c>
      <c r="C149" s="2">
        <v>11</v>
      </c>
      <c r="D149" s="2">
        <v>26</v>
      </c>
      <c r="E149" s="2">
        <v>9</v>
      </c>
      <c r="F149" s="2">
        <v>5</v>
      </c>
    </row>
    <row r="150" spans="1:6" ht="12.5">
      <c r="A150" s="2">
        <v>2231</v>
      </c>
      <c r="B150" s="2">
        <v>9817</v>
      </c>
      <c r="C150" s="2">
        <v>10</v>
      </c>
      <c r="D150" s="2">
        <v>10</v>
      </c>
      <c r="E150" s="2">
        <v>9</v>
      </c>
      <c r="F150" s="2">
        <v>12</v>
      </c>
    </row>
    <row r="151" spans="1:6" ht="12.5">
      <c r="A151" s="2">
        <v>2144</v>
      </c>
      <c r="B151" s="2">
        <v>5136</v>
      </c>
      <c r="C151" s="2">
        <v>7</v>
      </c>
      <c r="D151" s="2">
        <v>15</v>
      </c>
      <c r="E151" s="2">
        <v>9</v>
      </c>
      <c r="F151" s="2">
        <v>8</v>
      </c>
    </row>
    <row r="152" spans="1:6" ht="12.5">
      <c r="A152" s="2">
        <v>73</v>
      </c>
      <c r="B152" s="2">
        <v>8132</v>
      </c>
      <c r="C152" s="2">
        <v>6</v>
      </c>
      <c r="D152" s="2">
        <v>6</v>
      </c>
      <c r="E152" s="2">
        <v>9</v>
      </c>
      <c r="F152" s="2">
        <v>8</v>
      </c>
    </row>
    <row r="153" spans="1:6" ht="12.5">
      <c r="A153" s="2">
        <v>707</v>
      </c>
      <c r="B153" s="2">
        <v>6991</v>
      </c>
      <c r="C153" s="2">
        <v>6</v>
      </c>
      <c r="D153" s="2">
        <v>6</v>
      </c>
      <c r="E153" s="2">
        <v>9</v>
      </c>
      <c r="F153" s="2">
        <v>6</v>
      </c>
    </row>
    <row r="154" spans="1:6" ht="12.5">
      <c r="A154" s="2">
        <v>1266</v>
      </c>
      <c r="B154" s="2">
        <v>5207</v>
      </c>
      <c r="C154" s="2">
        <v>6</v>
      </c>
      <c r="D154" s="2">
        <v>6</v>
      </c>
      <c r="E154" s="2">
        <v>9</v>
      </c>
      <c r="F154" s="2">
        <v>6</v>
      </c>
    </row>
    <row r="155" spans="1:6" ht="12.5">
      <c r="A155" s="2">
        <v>1929</v>
      </c>
      <c r="B155" s="2">
        <v>1518</v>
      </c>
      <c r="C155" s="2">
        <v>6</v>
      </c>
      <c r="D155" s="2">
        <v>91</v>
      </c>
      <c r="E155" s="2">
        <v>9</v>
      </c>
      <c r="F155" s="2">
        <v>7</v>
      </c>
    </row>
    <row r="156" spans="1:6" ht="12.5">
      <c r="A156" s="2">
        <v>1273</v>
      </c>
      <c r="B156" s="2">
        <v>635</v>
      </c>
      <c r="C156" s="2">
        <v>5</v>
      </c>
      <c r="D156" s="2">
        <v>0</v>
      </c>
      <c r="E156" s="2">
        <v>9</v>
      </c>
      <c r="F156" s="2">
        <v>7</v>
      </c>
    </row>
    <row r="157" spans="1:6" ht="12.5">
      <c r="A157" s="2">
        <v>2170</v>
      </c>
      <c r="B157" s="2">
        <v>9362</v>
      </c>
      <c r="C157" s="2">
        <v>5</v>
      </c>
      <c r="D157" s="2">
        <v>5</v>
      </c>
      <c r="E157" s="2">
        <v>9</v>
      </c>
      <c r="F157" s="2">
        <v>7</v>
      </c>
    </row>
    <row r="158" spans="1:6" ht="12.5">
      <c r="A158" s="2">
        <v>437</v>
      </c>
      <c r="B158" s="2">
        <v>10664</v>
      </c>
      <c r="C158" s="2">
        <v>4</v>
      </c>
      <c r="D158" s="2">
        <v>0</v>
      </c>
      <c r="E158" s="2">
        <v>9</v>
      </c>
      <c r="F158" s="2">
        <v>5</v>
      </c>
    </row>
    <row r="159" spans="1:6" ht="12.5">
      <c r="A159" s="2">
        <v>1148</v>
      </c>
      <c r="B159" s="2">
        <v>7755</v>
      </c>
      <c r="C159" s="2">
        <v>3</v>
      </c>
      <c r="D159" s="2">
        <v>0</v>
      </c>
      <c r="E159" s="2">
        <v>9</v>
      </c>
      <c r="F159" s="2">
        <v>4</v>
      </c>
    </row>
    <row r="160" spans="1:6" ht="12.5">
      <c r="A160" s="2">
        <v>1147</v>
      </c>
      <c r="B160" s="2">
        <v>5430</v>
      </c>
      <c r="C160" s="2">
        <v>0</v>
      </c>
      <c r="D160" s="2">
        <v>19</v>
      </c>
      <c r="E160" s="2">
        <v>9</v>
      </c>
      <c r="F160" s="2">
        <v>8</v>
      </c>
    </row>
    <row r="161" spans="1:6" ht="12.5">
      <c r="A161" s="2">
        <v>1161</v>
      </c>
      <c r="B161" s="2">
        <v>8432</v>
      </c>
      <c r="C161" s="2">
        <v>0</v>
      </c>
      <c r="D161" s="2">
        <v>19</v>
      </c>
      <c r="E161" s="2">
        <v>9</v>
      </c>
      <c r="F161" s="2">
        <v>8</v>
      </c>
    </row>
    <row r="162" spans="1:6" ht="12.5">
      <c r="A162" s="2">
        <v>1182</v>
      </c>
      <c r="B162" s="2">
        <v>1829</v>
      </c>
      <c r="C162" s="2">
        <v>0</v>
      </c>
      <c r="D162" s="2">
        <v>0</v>
      </c>
      <c r="E162" s="2">
        <v>9</v>
      </c>
      <c r="F162" s="2">
        <v>4</v>
      </c>
    </row>
    <row r="163" spans="1:6" ht="12.5">
      <c r="A163" s="2">
        <v>1286</v>
      </c>
      <c r="B163" s="2">
        <v>339</v>
      </c>
      <c r="C163" s="2">
        <v>0</v>
      </c>
      <c r="D163" s="2">
        <v>0</v>
      </c>
      <c r="E163" s="2">
        <v>9</v>
      </c>
      <c r="F163" s="2">
        <v>5</v>
      </c>
    </row>
    <row r="164" spans="1:6" ht="12.5">
      <c r="A164" s="2">
        <v>1544</v>
      </c>
      <c r="B164" s="2">
        <v>5589</v>
      </c>
      <c r="C164" s="2">
        <v>0</v>
      </c>
      <c r="D164" s="2">
        <v>7</v>
      </c>
      <c r="E164" s="2">
        <v>9</v>
      </c>
      <c r="F164" s="2">
        <v>10</v>
      </c>
    </row>
    <row r="165" spans="1:6" ht="12.5">
      <c r="A165" s="2">
        <v>1619</v>
      </c>
      <c r="B165" s="2">
        <v>3298</v>
      </c>
      <c r="C165" s="2">
        <v>0</v>
      </c>
      <c r="D165" s="2">
        <v>9</v>
      </c>
      <c r="E165" s="2">
        <v>9</v>
      </c>
      <c r="F165" s="2">
        <v>9</v>
      </c>
    </row>
    <row r="166" spans="1:6" ht="12.5">
      <c r="A166" s="2">
        <v>1868</v>
      </c>
      <c r="B166" s="2">
        <v>8486</v>
      </c>
      <c r="C166" s="2">
        <v>0</v>
      </c>
      <c r="D166" s="2">
        <v>3</v>
      </c>
      <c r="E166" s="2">
        <v>9</v>
      </c>
      <c r="F166" s="2">
        <v>4</v>
      </c>
    </row>
    <row r="167" spans="1:6" ht="12.5">
      <c r="A167" s="2">
        <v>2174</v>
      </c>
      <c r="B167" s="2">
        <v>2829</v>
      </c>
      <c r="C167" s="2">
        <v>0</v>
      </c>
      <c r="D167" s="2">
        <v>7</v>
      </c>
      <c r="E167" s="2">
        <v>9</v>
      </c>
      <c r="F167" s="2">
        <v>8</v>
      </c>
    </row>
    <row r="168" spans="1:6" ht="12.5">
      <c r="A168" s="2">
        <v>753</v>
      </c>
      <c r="B168" s="2">
        <v>3667</v>
      </c>
      <c r="C168" s="2">
        <v>178</v>
      </c>
      <c r="D168" s="2">
        <v>27</v>
      </c>
      <c r="E168" s="2">
        <v>8</v>
      </c>
      <c r="F168" s="2">
        <v>11</v>
      </c>
    </row>
    <row r="169" spans="1:6" ht="12.5">
      <c r="A169" s="2">
        <v>1031</v>
      </c>
      <c r="B169" s="2">
        <v>9220</v>
      </c>
      <c r="C169" s="2">
        <v>172</v>
      </c>
      <c r="D169" s="2">
        <v>115</v>
      </c>
      <c r="E169" s="2">
        <v>8</v>
      </c>
      <c r="F169" s="2">
        <v>5</v>
      </c>
    </row>
    <row r="170" spans="1:6" ht="12.5">
      <c r="A170" s="2">
        <v>1355</v>
      </c>
      <c r="B170" s="2">
        <v>3834</v>
      </c>
      <c r="C170" s="2">
        <v>161</v>
      </c>
      <c r="D170" s="2">
        <v>30</v>
      </c>
      <c r="E170" s="2">
        <v>8</v>
      </c>
      <c r="F170" s="2">
        <v>11</v>
      </c>
    </row>
    <row r="171" spans="1:6" ht="12.5">
      <c r="A171" s="2">
        <v>537</v>
      </c>
      <c r="B171" s="2">
        <v>6931</v>
      </c>
      <c r="C171" s="2">
        <v>151</v>
      </c>
      <c r="D171" s="2">
        <v>60</v>
      </c>
      <c r="E171" s="2">
        <v>8</v>
      </c>
      <c r="F171" s="2">
        <v>4</v>
      </c>
    </row>
    <row r="172" spans="1:6" ht="12.5">
      <c r="A172" s="2">
        <v>1700</v>
      </c>
      <c r="B172" s="2">
        <v>8852</v>
      </c>
      <c r="C172" s="2">
        <v>126</v>
      </c>
      <c r="D172" s="2">
        <v>45</v>
      </c>
      <c r="E172" s="2">
        <v>8</v>
      </c>
      <c r="F172" s="2">
        <v>11</v>
      </c>
    </row>
    <row r="173" spans="1:6" ht="12.5">
      <c r="A173" s="2">
        <v>701</v>
      </c>
      <c r="B173" s="2">
        <v>10196</v>
      </c>
      <c r="C173" s="2">
        <v>123</v>
      </c>
      <c r="D173" s="2">
        <v>64</v>
      </c>
      <c r="E173" s="2">
        <v>8</v>
      </c>
      <c r="F173" s="2">
        <v>8</v>
      </c>
    </row>
    <row r="174" spans="1:6" ht="12.5">
      <c r="A174" s="2">
        <v>771</v>
      </c>
      <c r="B174" s="2">
        <v>1915</v>
      </c>
      <c r="C174" s="2">
        <v>115</v>
      </c>
      <c r="D174" s="2">
        <v>0</v>
      </c>
      <c r="E174" s="2">
        <v>8</v>
      </c>
      <c r="F174" s="2">
        <v>6</v>
      </c>
    </row>
    <row r="175" spans="1:6" ht="12.5">
      <c r="A175" s="2">
        <v>1030</v>
      </c>
      <c r="B175" s="2">
        <v>5204</v>
      </c>
      <c r="C175" s="2">
        <v>98</v>
      </c>
      <c r="D175" s="2">
        <v>112</v>
      </c>
      <c r="E175" s="2">
        <v>8</v>
      </c>
      <c r="F175" s="2">
        <v>5</v>
      </c>
    </row>
    <row r="176" spans="1:6" ht="12.5">
      <c r="A176" s="2">
        <v>754</v>
      </c>
      <c r="B176" s="2">
        <v>7723</v>
      </c>
      <c r="C176" s="2">
        <v>93</v>
      </c>
      <c r="D176" s="2">
        <v>80</v>
      </c>
      <c r="E176" s="2">
        <v>8</v>
      </c>
      <c r="F176" s="2">
        <v>6</v>
      </c>
    </row>
    <row r="177" spans="1:6" ht="12.5">
      <c r="A177" s="2">
        <v>1389</v>
      </c>
      <c r="B177" s="2">
        <v>2963</v>
      </c>
      <c r="C177" s="2">
        <v>93</v>
      </c>
      <c r="D177" s="2">
        <v>80</v>
      </c>
      <c r="E177" s="2">
        <v>8</v>
      </c>
      <c r="F177" s="2">
        <v>6</v>
      </c>
    </row>
    <row r="178" spans="1:6" ht="12.5">
      <c r="A178" s="2">
        <v>0</v>
      </c>
      <c r="B178" s="2">
        <v>5524</v>
      </c>
      <c r="C178" s="2">
        <v>88</v>
      </c>
      <c r="D178" s="2">
        <v>88</v>
      </c>
      <c r="E178" s="2">
        <v>8</v>
      </c>
      <c r="F178" s="2">
        <v>4</v>
      </c>
    </row>
    <row r="179" spans="1:6" ht="12.5">
      <c r="A179" s="2">
        <v>1172</v>
      </c>
      <c r="B179" s="2">
        <v>8278</v>
      </c>
      <c r="C179" s="2">
        <v>83</v>
      </c>
      <c r="D179" s="2">
        <v>99</v>
      </c>
      <c r="E179" s="2">
        <v>8</v>
      </c>
      <c r="F179" s="2">
        <v>5</v>
      </c>
    </row>
    <row r="180" spans="1:6" ht="12.5">
      <c r="A180" s="2">
        <v>351</v>
      </c>
      <c r="B180" s="2">
        <v>175</v>
      </c>
      <c r="C180" s="2">
        <v>80</v>
      </c>
      <c r="D180" s="2">
        <v>107</v>
      </c>
      <c r="E180" s="2">
        <v>8</v>
      </c>
      <c r="F180" s="2">
        <v>8</v>
      </c>
    </row>
    <row r="181" spans="1:6" ht="12.5">
      <c r="A181" s="2">
        <v>705</v>
      </c>
      <c r="B181" s="2">
        <v>6988</v>
      </c>
      <c r="C181" s="2">
        <v>80</v>
      </c>
      <c r="D181" s="2">
        <v>107</v>
      </c>
      <c r="E181" s="2">
        <v>8</v>
      </c>
      <c r="F181" s="2">
        <v>8</v>
      </c>
    </row>
    <row r="182" spans="1:6" ht="12.5">
      <c r="A182" s="2">
        <v>2006</v>
      </c>
      <c r="B182" s="2">
        <v>3599</v>
      </c>
      <c r="C182" s="2">
        <v>80</v>
      </c>
      <c r="D182" s="2">
        <v>93</v>
      </c>
      <c r="E182" s="2">
        <v>8</v>
      </c>
      <c r="F182" s="2">
        <v>8</v>
      </c>
    </row>
    <row r="183" spans="1:6" ht="12.5">
      <c r="A183" s="2">
        <v>736</v>
      </c>
      <c r="B183" s="2">
        <v>7072</v>
      </c>
      <c r="C183" s="2">
        <v>79</v>
      </c>
      <c r="D183" s="2">
        <v>136</v>
      </c>
      <c r="E183" s="2">
        <v>8</v>
      </c>
      <c r="F183" s="2">
        <v>4</v>
      </c>
    </row>
    <row r="184" spans="1:6" ht="12.5">
      <c r="A184" s="2">
        <v>1859</v>
      </c>
      <c r="B184" s="2">
        <v>521</v>
      </c>
      <c r="C184" s="2">
        <v>77</v>
      </c>
      <c r="D184" s="2">
        <v>24</v>
      </c>
      <c r="E184" s="2">
        <v>8</v>
      </c>
      <c r="F184" s="2">
        <v>7</v>
      </c>
    </row>
    <row r="185" spans="1:6" ht="12.5">
      <c r="A185" s="2">
        <v>40</v>
      </c>
      <c r="B185" s="2">
        <v>8601</v>
      </c>
      <c r="C185" s="2">
        <v>76</v>
      </c>
      <c r="D185" s="2">
        <v>178</v>
      </c>
      <c r="E185" s="2">
        <v>8</v>
      </c>
      <c r="F185" s="2">
        <v>5</v>
      </c>
    </row>
    <row r="186" spans="1:6" ht="12.5">
      <c r="A186" s="2">
        <v>1691</v>
      </c>
      <c r="B186" s="2">
        <v>6349</v>
      </c>
      <c r="C186" s="2">
        <v>73</v>
      </c>
      <c r="D186" s="2">
        <v>48</v>
      </c>
      <c r="E186" s="2">
        <v>8</v>
      </c>
      <c r="F186" s="2">
        <v>6</v>
      </c>
    </row>
    <row r="187" spans="1:6" ht="12.5">
      <c r="A187" s="2">
        <v>638</v>
      </c>
      <c r="B187" s="2">
        <v>1907</v>
      </c>
      <c r="C187" s="2">
        <v>69</v>
      </c>
      <c r="D187" s="2">
        <v>41</v>
      </c>
      <c r="E187" s="2">
        <v>8</v>
      </c>
      <c r="F187" s="2">
        <v>9</v>
      </c>
    </row>
    <row r="188" spans="1:6" ht="12.5">
      <c r="A188" s="2">
        <v>433</v>
      </c>
      <c r="B188" s="2">
        <v>6694</v>
      </c>
      <c r="C188" s="2">
        <v>66</v>
      </c>
      <c r="D188" s="2">
        <v>38</v>
      </c>
      <c r="E188" s="2">
        <v>8</v>
      </c>
      <c r="F188" s="2">
        <v>13</v>
      </c>
    </row>
    <row r="189" spans="1:6" ht="12.5">
      <c r="A189" s="2">
        <v>626</v>
      </c>
      <c r="B189" s="2">
        <v>10156</v>
      </c>
      <c r="C189" s="2">
        <v>63</v>
      </c>
      <c r="D189" s="2">
        <v>31</v>
      </c>
      <c r="E189" s="2">
        <v>8</v>
      </c>
      <c r="F189" s="2">
        <v>7</v>
      </c>
    </row>
    <row r="190" spans="1:6" ht="12.5">
      <c r="A190" s="2">
        <v>2128</v>
      </c>
      <c r="B190" s="2">
        <v>1631</v>
      </c>
      <c r="C190" s="2">
        <v>63</v>
      </c>
      <c r="D190" s="2">
        <v>25</v>
      </c>
      <c r="E190" s="2">
        <v>8</v>
      </c>
      <c r="F190" s="2">
        <v>7</v>
      </c>
    </row>
    <row r="191" spans="1:6" ht="12.5">
      <c r="A191" s="2">
        <v>2023</v>
      </c>
      <c r="B191" s="2">
        <v>7861</v>
      </c>
      <c r="C191" s="2">
        <v>57</v>
      </c>
      <c r="D191" s="2">
        <v>0</v>
      </c>
      <c r="E191" s="2">
        <v>8</v>
      </c>
      <c r="F191" s="2">
        <v>6</v>
      </c>
    </row>
    <row r="192" spans="1:6" ht="12.5">
      <c r="A192" s="2">
        <v>1329</v>
      </c>
      <c r="B192" s="2">
        <v>158</v>
      </c>
      <c r="C192" s="2">
        <v>53</v>
      </c>
      <c r="D192" s="2">
        <v>75</v>
      </c>
      <c r="E192" s="2">
        <v>8</v>
      </c>
      <c r="F192" s="2">
        <v>5</v>
      </c>
    </row>
    <row r="193" spans="1:6" ht="12.5">
      <c r="A193" s="2">
        <v>1674</v>
      </c>
      <c r="B193" s="2">
        <v>3389</v>
      </c>
      <c r="C193" s="2">
        <v>53</v>
      </c>
      <c r="D193" s="2">
        <v>107</v>
      </c>
      <c r="E193" s="2">
        <v>8</v>
      </c>
      <c r="F193" s="2">
        <v>13</v>
      </c>
    </row>
    <row r="194" spans="1:6" ht="12.5">
      <c r="A194" s="2">
        <v>1960</v>
      </c>
      <c r="B194" s="2">
        <v>8925</v>
      </c>
      <c r="C194" s="2">
        <v>53</v>
      </c>
      <c r="D194" s="2">
        <v>179</v>
      </c>
      <c r="E194" s="2">
        <v>8</v>
      </c>
      <c r="F194" s="2">
        <v>10</v>
      </c>
    </row>
    <row r="195" spans="1:6" ht="12.5">
      <c r="A195" s="2">
        <v>1854</v>
      </c>
      <c r="B195" s="2">
        <v>10163</v>
      </c>
      <c r="C195" s="2">
        <v>50</v>
      </c>
      <c r="D195" s="2">
        <v>38</v>
      </c>
      <c r="E195" s="2">
        <v>8</v>
      </c>
      <c r="F195" s="2">
        <v>7</v>
      </c>
    </row>
    <row r="196" spans="1:6" ht="12.5">
      <c r="A196" s="2">
        <v>2186</v>
      </c>
      <c r="B196" s="2">
        <v>2666</v>
      </c>
      <c r="C196" s="2">
        <v>50</v>
      </c>
      <c r="D196" s="2">
        <v>0</v>
      </c>
      <c r="E196" s="2">
        <v>8</v>
      </c>
      <c r="F196" s="2">
        <v>11</v>
      </c>
    </row>
    <row r="197" spans="1:6" ht="12.5">
      <c r="A197" s="2">
        <v>2</v>
      </c>
      <c r="B197" s="2">
        <v>4141</v>
      </c>
      <c r="C197" s="2">
        <v>49</v>
      </c>
      <c r="D197" s="2">
        <v>21</v>
      </c>
      <c r="E197" s="2">
        <v>8</v>
      </c>
      <c r="F197" s="2">
        <v>10</v>
      </c>
    </row>
    <row r="198" spans="1:6" ht="12.5">
      <c r="A198" s="2">
        <v>1111</v>
      </c>
      <c r="B198" s="2">
        <v>1524</v>
      </c>
      <c r="C198" s="2">
        <v>45</v>
      </c>
      <c r="D198" s="2">
        <v>160</v>
      </c>
      <c r="E198" s="2">
        <v>8</v>
      </c>
      <c r="F198" s="2">
        <v>5</v>
      </c>
    </row>
    <row r="199" spans="1:6" ht="12.5">
      <c r="A199" s="2">
        <v>1711</v>
      </c>
      <c r="B199" s="2">
        <v>7832</v>
      </c>
      <c r="C199" s="2">
        <v>44</v>
      </c>
      <c r="D199" s="2">
        <v>88</v>
      </c>
      <c r="E199" s="2">
        <v>8</v>
      </c>
      <c r="F199" s="2">
        <v>7</v>
      </c>
    </row>
    <row r="200" spans="1:6" ht="12.5">
      <c r="A200" s="2">
        <v>2024</v>
      </c>
      <c r="B200" s="2">
        <v>4837</v>
      </c>
      <c r="C200" s="2">
        <v>43</v>
      </c>
      <c r="D200" s="2">
        <v>10</v>
      </c>
      <c r="E200" s="2">
        <v>8</v>
      </c>
      <c r="F200" s="2">
        <v>13</v>
      </c>
    </row>
    <row r="201" spans="1:6" ht="12.5">
      <c r="A201" s="2">
        <v>451</v>
      </c>
      <c r="B201" s="2">
        <v>2807</v>
      </c>
      <c r="C201" s="2">
        <v>38</v>
      </c>
      <c r="D201" s="2">
        <v>47</v>
      </c>
      <c r="E201" s="2">
        <v>8</v>
      </c>
      <c r="F201" s="2">
        <v>7</v>
      </c>
    </row>
    <row r="202" spans="1:6" ht="12.5">
      <c r="A202" s="2">
        <v>2085</v>
      </c>
      <c r="B202" s="2">
        <v>1052</v>
      </c>
      <c r="C202" s="2">
        <v>38</v>
      </c>
      <c r="D202" s="2">
        <v>47</v>
      </c>
      <c r="E202" s="2">
        <v>8</v>
      </c>
      <c r="F202" s="2">
        <v>7</v>
      </c>
    </row>
    <row r="203" spans="1:6" ht="12.5">
      <c r="A203" s="2">
        <v>1548</v>
      </c>
      <c r="B203" s="2">
        <v>591</v>
      </c>
      <c r="C203" s="2">
        <v>35</v>
      </c>
      <c r="D203" s="2">
        <v>59</v>
      </c>
      <c r="E203" s="2">
        <v>8</v>
      </c>
      <c r="F203" s="2">
        <v>7</v>
      </c>
    </row>
    <row r="204" spans="1:6" ht="12.5">
      <c r="A204" s="2">
        <v>1966</v>
      </c>
      <c r="B204" s="2">
        <v>7165</v>
      </c>
      <c r="C204" s="2">
        <v>35</v>
      </c>
      <c r="D204" s="2">
        <v>86</v>
      </c>
      <c r="E204" s="2">
        <v>8</v>
      </c>
      <c r="F204" s="2">
        <v>10</v>
      </c>
    </row>
    <row r="205" spans="1:6" ht="12.5">
      <c r="A205" s="2">
        <v>1067</v>
      </c>
      <c r="B205" s="2">
        <v>2223</v>
      </c>
      <c r="C205" s="2">
        <v>33</v>
      </c>
      <c r="D205" s="2">
        <v>116</v>
      </c>
      <c r="E205" s="2">
        <v>8</v>
      </c>
      <c r="F205" s="2">
        <v>8</v>
      </c>
    </row>
    <row r="206" spans="1:6" ht="12.5">
      <c r="A206" s="2">
        <v>2210</v>
      </c>
      <c r="B206" s="2">
        <v>607</v>
      </c>
      <c r="C206" s="2">
        <v>29</v>
      </c>
      <c r="D206" s="2">
        <v>0</v>
      </c>
      <c r="E206" s="2">
        <v>8</v>
      </c>
      <c r="F206" s="2">
        <v>7</v>
      </c>
    </row>
    <row r="207" spans="1:6" ht="12.5">
      <c r="A207" s="2">
        <v>828</v>
      </c>
      <c r="B207" s="2">
        <v>2150</v>
      </c>
      <c r="C207" s="2">
        <v>28</v>
      </c>
      <c r="D207" s="2">
        <v>56</v>
      </c>
      <c r="E207" s="2">
        <v>8</v>
      </c>
      <c r="F207" s="2">
        <v>4</v>
      </c>
    </row>
    <row r="208" spans="1:6" ht="12.5">
      <c r="A208" s="2">
        <v>1688</v>
      </c>
      <c r="B208" s="2">
        <v>9256</v>
      </c>
      <c r="C208" s="2">
        <v>26</v>
      </c>
      <c r="D208" s="2">
        <v>80</v>
      </c>
      <c r="E208" s="2">
        <v>8</v>
      </c>
      <c r="F208" s="2">
        <v>12</v>
      </c>
    </row>
    <row r="209" spans="1:6" ht="12.5">
      <c r="A209" s="2">
        <v>562</v>
      </c>
      <c r="B209" s="2">
        <v>9780</v>
      </c>
      <c r="C209" s="2">
        <v>25</v>
      </c>
      <c r="D209" s="2">
        <v>0</v>
      </c>
      <c r="E209" s="2">
        <v>8</v>
      </c>
      <c r="F209" s="2">
        <v>13</v>
      </c>
    </row>
    <row r="210" spans="1:6" ht="12.5">
      <c r="A210" s="2">
        <v>998</v>
      </c>
      <c r="B210" s="2">
        <v>1212</v>
      </c>
      <c r="C210" s="2">
        <v>25</v>
      </c>
      <c r="D210" s="2">
        <v>41</v>
      </c>
      <c r="E210" s="2">
        <v>8</v>
      </c>
      <c r="F210" s="2">
        <v>6</v>
      </c>
    </row>
    <row r="211" spans="1:6" ht="12.5">
      <c r="A211" s="2">
        <v>1360</v>
      </c>
      <c r="B211" s="2">
        <v>1343</v>
      </c>
      <c r="C211" s="2">
        <v>24</v>
      </c>
      <c r="D211" s="2">
        <v>0</v>
      </c>
      <c r="E211" s="2">
        <v>8</v>
      </c>
      <c r="F211" s="2">
        <v>6</v>
      </c>
    </row>
    <row r="212" spans="1:6" ht="12.5">
      <c r="A212" s="2">
        <v>1473</v>
      </c>
      <c r="B212" s="2">
        <v>4070</v>
      </c>
      <c r="C212" s="2">
        <v>24</v>
      </c>
      <c r="D212" s="2">
        <v>0</v>
      </c>
      <c r="E212" s="2">
        <v>8</v>
      </c>
      <c r="F212" s="2">
        <v>4</v>
      </c>
    </row>
    <row r="213" spans="1:6" ht="12.5">
      <c r="A213" s="2">
        <v>2103</v>
      </c>
      <c r="B213" s="2">
        <v>2909</v>
      </c>
      <c r="C213" s="2">
        <v>24</v>
      </c>
      <c r="D213" s="2">
        <v>24</v>
      </c>
      <c r="E213" s="2">
        <v>8</v>
      </c>
      <c r="F213" s="2">
        <v>6</v>
      </c>
    </row>
    <row r="214" spans="1:6" ht="12.5">
      <c r="A214" s="2">
        <v>2225</v>
      </c>
      <c r="B214" s="2">
        <v>4749</v>
      </c>
      <c r="C214" s="2">
        <v>24</v>
      </c>
      <c r="D214" s="2">
        <v>0</v>
      </c>
      <c r="E214" s="2">
        <v>8</v>
      </c>
      <c r="F214" s="2">
        <v>6</v>
      </c>
    </row>
    <row r="215" spans="1:6" ht="12.5">
      <c r="A215" s="2">
        <v>680</v>
      </c>
      <c r="B215" s="2">
        <v>2891</v>
      </c>
      <c r="C215" s="2">
        <v>23</v>
      </c>
      <c r="D215" s="2">
        <v>23</v>
      </c>
      <c r="E215" s="2">
        <v>8</v>
      </c>
      <c r="F215" s="2">
        <v>4</v>
      </c>
    </row>
    <row r="216" spans="1:6" ht="12.5">
      <c r="A216" s="2">
        <v>1254</v>
      </c>
      <c r="B216" s="2">
        <v>5011</v>
      </c>
      <c r="C216" s="2">
        <v>23</v>
      </c>
      <c r="D216" s="2">
        <v>23</v>
      </c>
      <c r="E216" s="2">
        <v>8</v>
      </c>
      <c r="F216" s="2">
        <v>4</v>
      </c>
    </row>
    <row r="217" spans="1:6" ht="12.5">
      <c r="A217" s="2">
        <v>1865</v>
      </c>
      <c r="B217" s="2">
        <v>3678</v>
      </c>
      <c r="C217" s="2">
        <v>23</v>
      </c>
      <c r="D217" s="2">
        <v>0</v>
      </c>
      <c r="E217" s="2">
        <v>8</v>
      </c>
      <c r="F217" s="2">
        <v>7</v>
      </c>
    </row>
    <row r="218" spans="1:6" ht="12.5">
      <c r="A218" s="2">
        <v>191</v>
      </c>
      <c r="B218" s="2">
        <v>5602</v>
      </c>
      <c r="C218" s="2">
        <v>22</v>
      </c>
      <c r="D218" s="2">
        <v>113</v>
      </c>
      <c r="E218" s="2">
        <v>8</v>
      </c>
      <c r="F218" s="2">
        <v>12</v>
      </c>
    </row>
    <row r="219" spans="1:6" ht="12.5">
      <c r="A219" s="2">
        <v>256</v>
      </c>
      <c r="B219" s="2">
        <v>309</v>
      </c>
      <c r="C219" s="2">
        <v>21</v>
      </c>
      <c r="D219" s="2">
        <v>10</v>
      </c>
      <c r="E219" s="2">
        <v>8</v>
      </c>
      <c r="F219" s="2">
        <v>5</v>
      </c>
    </row>
    <row r="220" spans="1:6" ht="12.5">
      <c r="A220" s="2">
        <v>1363</v>
      </c>
      <c r="B220" s="2">
        <v>6181</v>
      </c>
      <c r="C220" s="2">
        <v>21</v>
      </c>
      <c r="D220" s="2">
        <v>108</v>
      </c>
      <c r="E220" s="2">
        <v>8</v>
      </c>
      <c r="F220" s="2">
        <v>11</v>
      </c>
    </row>
    <row r="221" spans="1:6" ht="12.5">
      <c r="A221" s="2">
        <v>1750</v>
      </c>
      <c r="B221" s="2">
        <v>3571</v>
      </c>
      <c r="C221" s="2">
        <v>21</v>
      </c>
      <c r="D221" s="2">
        <v>10</v>
      </c>
      <c r="E221" s="2">
        <v>8</v>
      </c>
      <c r="F221" s="2">
        <v>5</v>
      </c>
    </row>
    <row r="222" spans="1:6" ht="12.5">
      <c r="A222" s="2">
        <v>2201</v>
      </c>
      <c r="B222" s="2">
        <v>10968</v>
      </c>
      <c r="C222" s="2">
        <v>21</v>
      </c>
      <c r="D222" s="2">
        <v>8</v>
      </c>
      <c r="E222" s="2">
        <v>8</v>
      </c>
      <c r="F222" s="2">
        <v>6</v>
      </c>
    </row>
    <row r="223" spans="1:6" ht="12.5">
      <c r="A223" s="2">
        <v>1249</v>
      </c>
      <c r="B223" s="2">
        <v>10833</v>
      </c>
      <c r="C223" s="2">
        <v>19</v>
      </c>
      <c r="D223" s="2">
        <v>0</v>
      </c>
      <c r="E223" s="2">
        <v>8</v>
      </c>
      <c r="F223" s="2">
        <v>13</v>
      </c>
    </row>
    <row r="224" spans="1:6" ht="12.5">
      <c r="A224" s="2">
        <v>151</v>
      </c>
      <c r="B224" s="2">
        <v>7987</v>
      </c>
      <c r="C224" s="2">
        <v>17</v>
      </c>
      <c r="D224" s="2">
        <v>13</v>
      </c>
      <c r="E224" s="2">
        <v>8</v>
      </c>
      <c r="F224" s="2">
        <v>6</v>
      </c>
    </row>
    <row r="225" spans="1:6" ht="12.5">
      <c r="A225" s="2">
        <v>324</v>
      </c>
      <c r="B225" s="2">
        <v>2607</v>
      </c>
      <c r="C225" s="2">
        <v>17</v>
      </c>
      <c r="D225" s="2">
        <v>23</v>
      </c>
      <c r="E225" s="2">
        <v>8</v>
      </c>
      <c r="F225" s="2">
        <v>8</v>
      </c>
    </row>
    <row r="226" spans="1:6" ht="12.5">
      <c r="A226" s="2">
        <v>143</v>
      </c>
      <c r="B226" s="2">
        <v>2937</v>
      </c>
      <c r="C226" s="2">
        <v>16</v>
      </c>
      <c r="D226" s="2">
        <v>33</v>
      </c>
      <c r="E226" s="2">
        <v>8</v>
      </c>
      <c r="F226" s="2">
        <v>9</v>
      </c>
    </row>
    <row r="227" spans="1:6" ht="12.5">
      <c r="A227" s="2">
        <v>217</v>
      </c>
      <c r="B227" s="2">
        <v>6274</v>
      </c>
      <c r="C227" s="2">
        <v>16</v>
      </c>
      <c r="D227" s="2">
        <v>48</v>
      </c>
      <c r="E227" s="2">
        <v>8</v>
      </c>
      <c r="F227" s="2">
        <v>6</v>
      </c>
    </row>
    <row r="228" spans="1:6" ht="12.5">
      <c r="A228" s="2">
        <v>761</v>
      </c>
      <c r="B228" s="2">
        <v>6887</v>
      </c>
      <c r="C228" s="2">
        <v>16</v>
      </c>
      <c r="D228" s="2">
        <v>43</v>
      </c>
      <c r="E228" s="2">
        <v>8</v>
      </c>
      <c r="F228" s="2">
        <v>8</v>
      </c>
    </row>
    <row r="229" spans="1:6" ht="12.5">
      <c r="A229" s="2">
        <v>1002</v>
      </c>
      <c r="B229" s="2">
        <v>9984</v>
      </c>
      <c r="C229" s="2">
        <v>16</v>
      </c>
      <c r="D229" s="2">
        <v>5</v>
      </c>
      <c r="E229" s="2">
        <v>8</v>
      </c>
      <c r="F229" s="2">
        <v>4</v>
      </c>
    </row>
    <row r="230" spans="1:6" ht="12.5">
      <c r="A230" s="2">
        <v>1736</v>
      </c>
      <c r="B230" s="2">
        <v>7500</v>
      </c>
      <c r="C230" s="2">
        <v>16</v>
      </c>
      <c r="D230" s="2">
        <v>43</v>
      </c>
      <c r="E230" s="2">
        <v>8</v>
      </c>
      <c r="F230" s="2">
        <v>8</v>
      </c>
    </row>
    <row r="231" spans="1:6" ht="12.5">
      <c r="A231" s="2">
        <v>1180</v>
      </c>
      <c r="B231" s="2">
        <v>359</v>
      </c>
      <c r="C231" s="2">
        <v>14</v>
      </c>
      <c r="D231" s="2">
        <v>9</v>
      </c>
      <c r="E231" s="2">
        <v>8</v>
      </c>
      <c r="F231" s="2">
        <v>6</v>
      </c>
    </row>
    <row r="232" spans="1:6" ht="12.5">
      <c r="A232" s="2">
        <v>1839</v>
      </c>
      <c r="B232" s="2">
        <v>531</v>
      </c>
      <c r="C232" s="2">
        <v>14</v>
      </c>
      <c r="D232" s="2">
        <v>58</v>
      </c>
      <c r="E232" s="2">
        <v>8</v>
      </c>
      <c r="F232" s="2">
        <v>9</v>
      </c>
    </row>
    <row r="233" spans="1:6" ht="12.5">
      <c r="A233" s="2">
        <v>2009</v>
      </c>
      <c r="B233" s="2">
        <v>832</v>
      </c>
      <c r="C233" s="2">
        <v>14</v>
      </c>
      <c r="D233" s="2">
        <v>14</v>
      </c>
      <c r="E233" s="2">
        <v>8</v>
      </c>
      <c r="F233" s="2">
        <v>10</v>
      </c>
    </row>
    <row r="234" spans="1:6" ht="12.5">
      <c r="A234" s="2">
        <v>682</v>
      </c>
      <c r="B234" s="2">
        <v>75</v>
      </c>
      <c r="C234" s="2">
        <v>11</v>
      </c>
      <c r="D234" s="2">
        <v>61</v>
      </c>
      <c r="E234" s="2">
        <v>8</v>
      </c>
      <c r="F234" s="2">
        <v>5</v>
      </c>
    </row>
    <row r="235" spans="1:6" ht="12.5">
      <c r="A235" s="2">
        <v>698</v>
      </c>
      <c r="B235" s="2">
        <v>10888</v>
      </c>
      <c r="C235" s="2">
        <v>11</v>
      </c>
      <c r="D235" s="2">
        <v>83</v>
      </c>
      <c r="E235" s="2">
        <v>8</v>
      </c>
      <c r="F235" s="2">
        <v>6</v>
      </c>
    </row>
    <row r="236" spans="1:6" ht="12.5">
      <c r="A236" s="2">
        <v>2135</v>
      </c>
      <c r="B236" s="2">
        <v>10127</v>
      </c>
      <c r="C236" s="2">
        <v>11</v>
      </c>
      <c r="D236" s="2">
        <v>7</v>
      </c>
      <c r="E236" s="2">
        <v>8</v>
      </c>
      <c r="F236" s="2">
        <v>4</v>
      </c>
    </row>
    <row r="237" spans="1:6" ht="12.5">
      <c r="A237" s="2">
        <v>1466</v>
      </c>
      <c r="B237" s="2">
        <v>4690</v>
      </c>
      <c r="C237" s="2">
        <v>10</v>
      </c>
      <c r="D237" s="2">
        <v>10</v>
      </c>
      <c r="E237" s="2">
        <v>8</v>
      </c>
      <c r="F237" s="2">
        <v>8</v>
      </c>
    </row>
    <row r="238" spans="1:6" ht="12.5">
      <c r="A238" s="2">
        <v>2110</v>
      </c>
      <c r="B238" s="2">
        <v>9729</v>
      </c>
      <c r="C238" s="2">
        <v>10</v>
      </c>
      <c r="D238" s="2">
        <v>43</v>
      </c>
      <c r="E238" s="2">
        <v>8</v>
      </c>
      <c r="F238" s="2">
        <v>7</v>
      </c>
    </row>
    <row r="239" spans="1:6" ht="12.5">
      <c r="A239" s="2">
        <v>472</v>
      </c>
      <c r="B239" s="2">
        <v>564</v>
      </c>
      <c r="C239" s="2">
        <v>8</v>
      </c>
      <c r="D239" s="2">
        <v>8</v>
      </c>
      <c r="E239" s="2">
        <v>8</v>
      </c>
      <c r="F239" s="2">
        <v>9</v>
      </c>
    </row>
    <row r="240" spans="1:6" ht="12.5">
      <c r="A240" s="2">
        <v>895</v>
      </c>
      <c r="B240" s="2">
        <v>9224</v>
      </c>
      <c r="C240" s="2">
        <v>8</v>
      </c>
      <c r="D240" s="2">
        <v>0</v>
      </c>
      <c r="E240" s="2">
        <v>8</v>
      </c>
      <c r="F240" s="2">
        <v>5</v>
      </c>
    </row>
    <row r="241" spans="1:6" ht="12.5">
      <c r="A241" s="2">
        <v>1374</v>
      </c>
      <c r="B241" s="2">
        <v>4743</v>
      </c>
      <c r="C241" s="2">
        <v>8</v>
      </c>
      <c r="D241" s="2">
        <v>8</v>
      </c>
      <c r="E241" s="2">
        <v>8</v>
      </c>
      <c r="F241" s="2">
        <v>11</v>
      </c>
    </row>
    <row r="242" spans="1:6" ht="12.5">
      <c r="A242" s="2">
        <v>1623</v>
      </c>
      <c r="B242" s="2">
        <v>6097</v>
      </c>
      <c r="C242" s="2">
        <v>8</v>
      </c>
      <c r="D242" s="2">
        <v>4</v>
      </c>
      <c r="E242" s="2">
        <v>8</v>
      </c>
      <c r="F242" s="2">
        <v>6</v>
      </c>
    </row>
    <row r="243" spans="1:6" ht="12.5">
      <c r="A243" s="2">
        <v>62</v>
      </c>
      <c r="B243" s="2">
        <v>1012</v>
      </c>
      <c r="C243" s="2">
        <v>7</v>
      </c>
      <c r="D243" s="2">
        <v>14</v>
      </c>
      <c r="E243" s="2">
        <v>8</v>
      </c>
      <c r="F243" s="2">
        <v>10</v>
      </c>
    </row>
    <row r="244" spans="1:6" ht="12.5">
      <c r="A244" s="2">
        <v>215</v>
      </c>
      <c r="B244" s="2">
        <v>1584</v>
      </c>
      <c r="C244" s="2">
        <v>7</v>
      </c>
      <c r="D244" s="2">
        <v>19</v>
      </c>
      <c r="E244" s="2">
        <v>8</v>
      </c>
      <c r="F244" s="2">
        <v>5</v>
      </c>
    </row>
    <row r="245" spans="1:6" ht="12.5">
      <c r="A245" s="2">
        <v>226</v>
      </c>
      <c r="B245" s="2">
        <v>7375</v>
      </c>
      <c r="C245" s="2">
        <v>7</v>
      </c>
      <c r="D245" s="2">
        <v>11</v>
      </c>
      <c r="E245" s="2">
        <v>8</v>
      </c>
      <c r="F245" s="2">
        <v>4</v>
      </c>
    </row>
    <row r="246" spans="1:6" ht="12.5">
      <c r="A246" s="2">
        <v>281</v>
      </c>
      <c r="B246" s="2">
        <v>10144</v>
      </c>
      <c r="C246" s="2">
        <v>7</v>
      </c>
      <c r="D246" s="2">
        <v>11</v>
      </c>
      <c r="E246" s="2">
        <v>8</v>
      </c>
      <c r="F246" s="2">
        <v>4</v>
      </c>
    </row>
    <row r="247" spans="1:6" ht="12.5">
      <c r="A247" s="2">
        <v>939</v>
      </c>
      <c r="B247" s="2">
        <v>760</v>
      </c>
      <c r="C247" s="2">
        <v>7</v>
      </c>
      <c r="D247" s="2">
        <v>15</v>
      </c>
      <c r="E247" s="2">
        <v>8</v>
      </c>
      <c r="F247" s="2">
        <v>9</v>
      </c>
    </row>
    <row r="248" spans="1:6" ht="12.5">
      <c r="A248" s="2">
        <v>1173</v>
      </c>
      <c r="B248" s="2">
        <v>10660</v>
      </c>
      <c r="C248" s="2">
        <v>7</v>
      </c>
      <c r="D248" s="2">
        <v>0</v>
      </c>
      <c r="E248" s="2">
        <v>8</v>
      </c>
      <c r="F248" s="2">
        <v>4</v>
      </c>
    </row>
    <row r="249" spans="1:6" ht="12.5">
      <c r="A249" s="2">
        <v>1404</v>
      </c>
      <c r="B249" s="2">
        <v>6613</v>
      </c>
      <c r="C249" s="2">
        <v>7</v>
      </c>
      <c r="D249" s="2">
        <v>14</v>
      </c>
      <c r="E249" s="2">
        <v>8</v>
      </c>
      <c r="F249" s="2">
        <v>8</v>
      </c>
    </row>
    <row r="250" spans="1:6" ht="12.5">
      <c r="A250" s="2">
        <v>1503</v>
      </c>
      <c r="B250" s="2">
        <v>3594</v>
      </c>
      <c r="C250" s="2">
        <v>6</v>
      </c>
      <c r="D250" s="2">
        <v>6</v>
      </c>
      <c r="E250" s="2">
        <v>8</v>
      </c>
      <c r="F250" s="2">
        <v>9</v>
      </c>
    </row>
    <row r="251" spans="1:6" ht="12.5">
      <c r="A251" s="2">
        <v>1636</v>
      </c>
      <c r="B251" s="2">
        <v>5209</v>
      </c>
      <c r="C251" s="2">
        <v>5</v>
      </c>
      <c r="D251" s="2">
        <v>16</v>
      </c>
      <c r="E251" s="2">
        <v>8</v>
      </c>
      <c r="F251" s="2">
        <v>7</v>
      </c>
    </row>
    <row r="252" spans="1:6" ht="12.5">
      <c r="A252" s="2">
        <v>200</v>
      </c>
      <c r="B252" s="2">
        <v>7300</v>
      </c>
      <c r="C252" s="2">
        <v>4</v>
      </c>
      <c r="D252" s="2">
        <v>4</v>
      </c>
      <c r="E252" s="2">
        <v>8</v>
      </c>
      <c r="F252" s="2">
        <v>7</v>
      </c>
    </row>
    <row r="253" spans="1:6" ht="12.5">
      <c r="A253" s="2">
        <v>532</v>
      </c>
      <c r="B253" s="2">
        <v>4769</v>
      </c>
      <c r="C253" s="2">
        <v>4</v>
      </c>
      <c r="D253" s="2">
        <v>0</v>
      </c>
      <c r="E253" s="2">
        <v>8</v>
      </c>
      <c r="F253" s="2">
        <v>6</v>
      </c>
    </row>
    <row r="254" spans="1:6" ht="12.5">
      <c r="A254" s="2">
        <v>1162</v>
      </c>
      <c r="B254" s="2">
        <v>6218</v>
      </c>
      <c r="C254" s="2">
        <v>4</v>
      </c>
      <c r="D254" s="2">
        <v>0</v>
      </c>
      <c r="E254" s="2">
        <v>8</v>
      </c>
      <c r="F254" s="2">
        <v>7</v>
      </c>
    </row>
    <row r="255" spans="1:6" ht="12.5">
      <c r="A255" s="2">
        <v>59</v>
      </c>
      <c r="B255" s="2">
        <v>8375</v>
      </c>
      <c r="C255" s="2">
        <v>0</v>
      </c>
      <c r="D255" s="2">
        <v>0</v>
      </c>
      <c r="E255" s="2">
        <v>8</v>
      </c>
      <c r="F255" s="2">
        <v>6</v>
      </c>
    </row>
    <row r="256" spans="1:6" ht="12.5">
      <c r="A256" s="2">
        <v>112</v>
      </c>
      <c r="B256" s="2">
        <v>3267</v>
      </c>
      <c r="C256" s="2">
        <v>0</v>
      </c>
      <c r="D256" s="2">
        <v>0</v>
      </c>
      <c r="E256" s="2">
        <v>8</v>
      </c>
      <c r="F256" s="2">
        <v>8</v>
      </c>
    </row>
    <row r="257" spans="1:6" ht="12.5">
      <c r="A257" s="2">
        <v>154</v>
      </c>
      <c r="B257" s="2">
        <v>7055</v>
      </c>
      <c r="C257" s="2">
        <v>0</v>
      </c>
      <c r="D257" s="2">
        <v>0</v>
      </c>
      <c r="E257" s="2">
        <v>8</v>
      </c>
      <c r="F257" s="2">
        <v>11</v>
      </c>
    </row>
    <row r="258" spans="1:6" ht="12.5">
      <c r="A258" s="2">
        <v>299</v>
      </c>
      <c r="B258" s="2">
        <v>3924</v>
      </c>
      <c r="C258" s="2">
        <v>0</v>
      </c>
      <c r="D258" s="2">
        <v>0</v>
      </c>
      <c r="E258" s="2">
        <v>8</v>
      </c>
      <c r="F258" s="2">
        <v>12</v>
      </c>
    </row>
    <row r="259" spans="1:6" ht="12.5">
      <c r="A259" s="2">
        <v>308</v>
      </c>
      <c r="B259" s="2">
        <v>4440</v>
      </c>
      <c r="C259" s="2">
        <v>0</v>
      </c>
      <c r="D259" s="2">
        <v>0</v>
      </c>
      <c r="E259" s="2">
        <v>8</v>
      </c>
      <c r="F259" s="2">
        <v>6</v>
      </c>
    </row>
    <row r="260" spans="1:6" ht="12.5">
      <c r="A260" s="2">
        <v>431</v>
      </c>
      <c r="B260" s="2">
        <v>4324</v>
      </c>
      <c r="C260" s="2">
        <v>0</v>
      </c>
      <c r="D260" s="2">
        <v>4</v>
      </c>
      <c r="E260" s="2">
        <v>8</v>
      </c>
      <c r="F260" s="2">
        <v>7</v>
      </c>
    </row>
    <row r="261" spans="1:6" ht="12.5">
      <c r="A261" s="2">
        <v>475</v>
      </c>
      <c r="B261" s="2">
        <v>178</v>
      </c>
      <c r="C261" s="2">
        <v>0</v>
      </c>
      <c r="D261" s="2">
        <v>75</v>
      </c>
      <c r="E261" s="2">
        <v>8</v>
      </c>
      <c r="F261" s="2">
        <v>11</v>
      </c>
    </row>
    <row r="262" spans="1:6" ht="12.5">
      <c r="A262" s="2">
        <v>996</v>
      </c>
      <c r="B262" s="2">
        <v>8492</v>
      </c>
      <c r="C262" s="2">
        <v>0</v>
      </c>
      <c r="D262" s="2">
        <v>58</v>
      </c>
      <c r="E262" s="2">
        <v>8</v>
      </c>
      <c r="F262" s="2">
        <v>10</v>
      </c>
    </row>
    <row r="263" spans="1:6" ht="12.5">
      <c r="A263" s="2">
        <v>1235</v>
      </c>
      <c r="B263" s="2">
        <v>843</v>
      </c>
      <c r="C263" s="2">
        <v>0</v>
      </c>
      <c r="D263" s="2">
        <v>147</v>
      </c>
      <c r="E263" s="2">
        <v>8</v>
      </c>
      <c r="F263" s="2">
        <v>11</v>
      </c>
    </row>
    <row r="264" spans="1:6" ht="12.5">
      <c r="A264" s="2">
        <v>1487</v>
      </c>
      <c r="B264" s="2">
        <v>5529</v>
      </c>
      <c r="C264" s="2">
        <v>0</v>
      </c>
      <c r="D264" s="2">
        <v>0</v>
      </c>
      <c r="E264" s="2">
        <v>8</v>
      </c>
      <c r="F264" s="2">
        <v>5</v>
      </c>
    </row>
    <row r="265" spans="1:6" ht="12.5">
      <c r="A265" s="2">
        <v>1600</v>
      </c>
      <c r="B265" s="2">
        <v>5272</v>
      </c>
      <c r="C265" s="2">
        <v>0</v>
      </c>
      <c r="D265" s="2">
        <v>4</v>
      </c>
      <c r="E265" s="2">
        <v>8</v>
      </c>
      <c r="F265" s="2">
        <v>3</v>
      </c>
    </row>
    <row r="266" spans="1:6" ht="12.5">
      <c r="A266" s="2">
        <v>1703</v>
      </c>
      <c r="B266" s="2">
        <v>1958</v>
      </c>
      <c r="C266" s="2">
        <v>0</v>
      </c>
      <c r="D266" s="2">
        <v>0</v>
      </c>
      <c r="E266" s="2">
        <v>8</v>
      </c>
      <c r="F266" s="2">
        <v>9</v>
      </c>
    </row>
    <row r="267" spans="1:6" ht="12.5">
      <c r="A267" s="2">
        <v>1848</v>
      </c>
      <c r="B267" s="2">
        <v>4609</v>
      </c>
      <c r="C267" s="2">
        <v>0</v>
      </c>
      <c r="D267" s="2">
        <v>4</v>
      </c>
      <c r="E267" s="2">
        <v>8</v>
      </c>
      <c r="F267" s="2">
        <v>6</v>
      </c>
    </row>
    <row r="268" spans="1:6" ht="12.5">
      <c r="A268" s="2">
        <v>2181</v>
      </c>
      <c r="B268" s="2">
        <v>8858</v>
      </c>
      <c r="C268" s="2">
        <v>0</v>
      </c>
      <c r="D268" s="2">
        <v>0</v>
      </c>
      <c r="E268" s="2">
        <v>8</v>
      </c>
      <c r="F268" s="2">
        <v>7</v>
      </c>
    </row>
    <row r="269" spans="1:6" ht="12.5">
      <c r="A269" s="2">
        <v>2236</v>
      </c>
      <c r="B269" s="2">
        <v>4001</v>
      </c>
      <c r="C269" s="2">
        <v>0</v>
      </c>
      <c r="D269" s="2">
        <v>0</v>
      </c>
      <c r="E269" s="2">
        <v>8</v>
      </c>
      <c r="F269" s="2">
        <v>5</v>
      </c>
    </row>
    <row r="270" spans="1:6" ht="12.5">
      <c r="A270" s="2">
        <v>1492</v>
      </c>
      <c r="B270" s="2">
        <v>1763</v>
      </c>
      <c r="C270" s="2">
        <v>172</v>
      </c>
      <c r="D270" s="2">
        <v>148</v>
      </c>
      <c r="E270" s="2">
        <v>7</v>
      </c>
      <c r="F270" s="2">
        <v>10</v>
      </c>
    </row>
    <row r="271" spans="1:6" ht="12.5">
      <c r="A271" s="2">
        <v>1871</v>
      </c>
      <c r="B271" s="2">
        <v>8602</v>
      </c>
      <c r="C271" s="2">
        <v>172</v>
      </c>
      <c r="D271" s="2">
        <v>105</v>
      </c>
      <c r="E271" s="2">
        <v>7</v>
      </c>
      <c r="F271" s="2">
        <v>11</v>
      </c>
    </row>
    <row r="272" spans="1:6" ht="12.5">
      <c r="A272" s="2">
        <v>1444</v>
      </c>
      <c r="B272" s="2">
        <v>1553</v>
      </c>
      <c r="C272" s="2">
        <v>168</v>
      </c>
      <c r="D272" s="2">
        <v>105</v>
      </c>
      <c r="E272" s="2">
        <v>7</v>
      </c>
      <c r="F272" s="2">
        <v>10</v>
      </c>
    </row>
    <row r="273" spans="1:6" ht="12.5">
      <c r="A273" s="2">
        <v>276</v>
      </c>
      <c r="B273" s="2">
        <v>3445</v>
      </c>
      <c r="C273" s="2">
        <v>162</v>
      </c>
      <c r="D273" s="2">
        <v>92</v>
      </c>
      <c r="E273" s="2">
        <v>7</v>
      </c>
      <c r="F273" s="2">
        <v>10</v>
      </c>
    </row>
    <row r="274" spans="1:6" ht="12.5">
      <c r="A274" s="2">
        <v>1589</v>
      </c>
      <c r="B274" s="2">
        <v>2612</v>
      </c>
      <c r="C274" s="2">
        <v>160</v>
      </c>
      <c r="D274" s="2">
        <v>32</v>
      </c>
      <c r="E274" s="2">
        <v>7</v>
      </c>
      <c r="F274" s="2">
        <v>12</v>
      </c>
    </row>
    <row r="275" spans="1:6" ht="12.5">
      <c r="A275" s="2">
        <v>2185</v>
      </c>
      <c r="B275" s="2">
        <v>9723</v>
      </c>
      <c r="C275" s="2">
        <v>142</v>
      </c>
      <c r="D275" s="2">
        <v>9</v>
      </c>
      <c r="E275" s="2">
        <v>7</v>
      </c>
      <c r="F275" s="2">
        <v>13</v>
      </c>
    </row>
    <row r="276" spans="1:6" ht="12.5">
      <c r="A276" s="2">
        <v>1648</v>
      </c>
      <c r="B276" s="2">
        <v>6409</v>
      </c>
      <c r="C276" s="2">
        <v>140</v>
      </c>
      <c r="D276" s="2">
        <v>12</v>
      </c>
      <c r="E276" s="2">
        <v>7</v>
      </c>
      <c r="F276" s="2">
        <v>7</v>
      </c>
    </row>
    <row r="277" spans="1:6" ht="12.5">
      <c r="A277" s="2">
        <v>1134</v>
      </c>
      <c r="B277" s="2">
        <v>2894</v>
      </c>
      <c r="C277" s="2">
        <v>138</v>
      </c>
      <c r="D277" s="2">
        <v>19</v>
      </c>
      <c r="E277" s="2">
        <v>7</v>
      </c>
      <c r="F277" s="2">
        <v>8</v>
      </c>
    </row>
    <row r="278" spans="1:6" ht="12.5">
      <c r="A278" s="2">
        <v>739</v>
      </c>
      <c r="B278" s="2">
        <v>5564</v>
      </c>
      <c r="C278" s="2">
        <v>133</v>
      </c>
      <c r="D278" s="2">
        <v>24</v>
      </c>
      <c r="E278" s="2">
        <v>7</v>
      </c>
      <c r="F278" s="2">
        <v>6</v>
      </c>
    </row>
    <row r="279" spans="1:6" ht="12.5">
      <c r="A279" s="2">
        <v>1759</v>
      </c>
      <c r="B279" s="2">
        <v>5883</v>
      </c>
      <c r="C279" s="2">
        <v>120</v>
      </c>
      <c r="D279" s="2">
        <v>126</v>
      </c>
      <c r="E279" s="2">
        <v>7</v>
      </c>
      <c r="F279" s="2">
        <v>7</v>
      </c>
    </row>
    <row r="280" spans="1:6" ht="12.5">
      <c r="A280" s="2">
        <v>418</v>
      </c>
      <c r="B280" s="2">
        <v>4216</v>
      </c>
      <c r="C280" s="2">
        <v>114</v>
      </c>
      <c r="D280" s="2">
        <v>137</v>
      </c>
      <c r="E280" s="2">
        <v>7</v>
      </c>
      <c r="F280" s="2">
        <v>9</v>
      </c>
    </row>
    <row r="281" spans="1:6" ht="12.5">
      <c r="A281" s="2">
        <v>1289</v>
      </c>
      <c r="B281" s="2">
        <v>378</v>
      </c>
      <c r="C281" s="2">
        <v>112</v>
      </c>
      <c r="D281" s="2">
        <v>72</v>
      </c>
      <c r="E281" s="2">
        <v>7</v>
      </c>
      <c r="F281" s="2">
        <v>10</v>
      </c>
    </row>
    <row r="282" spans="1:6" ht="12.5">
      <c r="A282" s="2">
        <v>76</v>
      </c>
      <c r="B282" s="2">
        <v>1859</v>
      </c>
      <c r="C282" s="2">
        <v>111</v>
      </c>
      <c r="D282" s="2">
        <v>18</v>
      </c>
      <c r="E282" s="2">
        <v>7</v>
      </c>
      <c r="F282" s="2">
        <v>5</v>
      </c>
    </row>
    <row r="283" spans="1:6" ht="12.5">
      <c r="A283" s="2">
        <v>630</v>
      </c>
      <c r="B283" s="2">
        <v>10727</v>
      </c>
      <c r="C283" s="2">
        <v>107</v>
      </c>
      <c r="D283" s="2">
        <v>30</v>
      </c>
      <c r="E283" s="2">
        <v>7</v>
      </c>
      <c r="F283" s="2">
        <v>13</v>
      </c>
    </row>
    <row r="284" spans="1:6" ht="12.5">
      <c r="A284" s="2">
        <v>1668</v>
      </c>
      <c r="B284" s="2">
        <v>5299</v>
      </c>
      <c r="C284" s="2">
        <v>107</v>
      </c>
      <c r="D284" s="2">
        <v>30</v>
      </c>
      <c r="E284" s="2">
        <v>7</v>
      </c>
      <c r="F284" s="2">
        <v>13</v>
      </c>
    </row>
    <row r="285" spans="1:6" ht="12.5">
      <c r="A285" s="2">
        <v>132</v>
      </c>
      <c r="B285" s="2">
        <v>9597</v>
      </c>
      <c r="C285" s="2">
        <v>106</v>
      </c>
      <c r="D285" s="2">
        <v>41</v>
      </c>
      <c r="E285" s="2">
        <v>7</v>
      </c>
      <c r="F285" s="2">
        <v>9</v>
      </c>
    </row>
    <row r="286" spans="1:6" ht="12.5">
      <c r="A286" s="2">
        <v>1157</v>
      </c>
      <c r="B286" s="2">
        <v>1077</v>
      </c>
      <c r="C286" s="2">
        <v>105</v>
      </c>
      <c r="D286" s="2">
        <v>172</v>
      </c>
      <c r="E286" s="2">
        <v>7</v>
      </c>
      <c r="F286" s="2">
        <v>4</v>
      </c>
    </row>
    <row r="287" spans="1:6" ht="12.5">
      <c r="A287" s="2">
        <v>1672</v>
      </c>
      <c r="B287" s="2">
        <v>3690</v>
      </c>
      <c r="C287" s="2">
        <v>102</v>
      </c>
      <c r="D287" s="2">
        <v>40</v>
      </c>
      <c r="E287" s="2">
        <v>7</v>
      </c>
      <c r="F287" s="2">
        <v>10</v>
      </c>
    </row>
    <row r="288" spans="1:6" ht="12.5">
      <c r="A288" s="2">
        <v>1484</v>
      </c>
      <c r="B288" s="2">
        <v>8370</v>
      </c>
      <c r="C288" s="2">
        <v>97</v>
      </c>
      <c r="D288" s="2">
        <v>194</v>
      </c>
      <c r="E288" s="2">
        <v>7</v>
      </c>
      <c r="F288" s="2">
        <v>6</v>
      </c>
    </row>
    <row r="289" spans="1:6" ht="12.5">
      <c r="A289" s="2">
        <v>1047</v>
      </c>
      <c r="B289" s="2">
        <v>4002</v>
      </c>
      <c r="C289" s="2">
        <v>96</v>
      </c>
      <c r="D289" s="2">
        <v>53</v>
      </c>
      <c r="E289" s="2">
        <v>7</v>
      </c>
      <c r="F289" s="2">
        <v>12</v>
      </c>
    </row>
    <row r="290" spans="1:6" ht="12.5">
      <c r="A290" s="2">
        <v>1559</v>
      </c>
      <c r="B290" s="2">
        <v>2793</v>
      </c>
      <c r="C290" s="2">
        <v>88</v>
      </c>
      <c r="D290" s="2">
        <v>44</v>
      </c>
      <c r="E290" s="2">
        <v>7</v>
      </c>
      <c r="F290" s="2">
        <v>13</v>
      </c>
    </row>
    <row r="291" spans="1:6" ht="12.5">
      <c r="A291" s="2">
        <v>2057</v>
      </c>
      <c r="B291" s="2">
        <v>1071</v>
      </c>
      <c r="C291" s="2">
        <v>88</v>
      </c>
      <c r="D291" s="2">
        <v>44</v>
      </c>
      <c r="E291" s="2">
        <v>7</v>
      </c>
      <c r="F291" s="2">
        <v>13</v>
      </c>
    </row>
    <row r="292" spans="1:6" ht="12.5">
      <c r="A292" s="2">
        <v>1159</v>
      </c>
      <c r="B292" s="2">
        <v>640</v>
      </c>
      <c r="C292" s="2">
        <v>80</v>
      </c>
      <c r="D292" s="2">
        <v>17</v>
      </c>
      <c r="E292" s="2">
        <v>7</v>
      </c>
      <c r="F292" s="2">
        <v>10</v>
      </c>
    </row>
    <row r="293" spans="1:6" ht="12.5">
      <c r="A293" s="2">
        <v>2187</v>
      </c>
      <c r="B293" s="2">
        <v>5721</v>
      </c>
      <c r="C293" s="2">
        <v>76</v>
      </c>
      <c r="D293" s="2">
        <v>45</v>
      </c>
      <c r="E293" s="2">
        <v>7</v>
      </c>
      <c r="F293" s="2">
        <v>6</v>
      </c>
    </row>
    <row r="294" spans="1:6" ht="12.5">
      <c r="A294" s="2">
        <v>1760</v>
      </c>
      <c r="B294" s="2">
        <v>2118</v>
      </c>
      <c r="C294" s="2">
        <v>75</v>
      </c>
      <c r="D294" s="2">
        <v>107</v>
      </c>
      <c r="E294" s="2">
        <v>7</v>
      </c>
      <c r="F294" s="2">
        <v>8</v>
      </c>
    </row>
    <row r="295" spans="1:6" ht="12.5">
      <c r="A295" s="2">
        <v>6</v>
      </c>
      <c r="B295" s="2">
        <v>965</v>
      </c>
      <c r="C295" s="2">
        <v>65</v>
      </c>
      <c r="D295" s="2">
        <v>49</v>
      </c>
      <c r="E295" s="2">
        <v>7</v>
      </c>
      <c r="F295" s="2">
        <v>7</v>
      </c>
    </row>
    <row r="296" spans="1:6" ht="12.5">
      <c r="A296" s="2">
        <v>1532</v>
      </c>
      <c r="B296" s="2">
        <v>3463</v>
      </c>
      <c r="C296" s="2">
        <v>62</v>
      </c>
      <c r="D296" s="2">
        <v>26</v>
      </c>
      <c r="E296" s="2">
        <v>7</v>
      </c>
      <c r="F296" s="2">
        <v>13</v>
      </c>
    </row>
    <row r="297" spans="1:6" ht="12.5">
      <c r="A297" s="2">
        <v>338</v>
      </c>
      <c r="B297" s="2">
        <v>9560</v>
      </c>
      <c r="C297" s="2">
        <v>61</v>
      </c>
      <c r="D297" s="2">
        <v>25</v>
      </c>
      <c r="E297" s="2">
        <v>7</v>
      </c>
      <c r="F297" s="2">
        <v>8</v>
      </c>
    </row>
    <row r="298" spans="1:6" ht="12.5">
      <c r="A298" s="2">
        <v>670</v>
      </c>
      <c r="B298" s="2">
        <v>9153</v>
      </c>
      <c r="C298" s="2">
        <v>61</v>
      </c>
      <c r="D298" s="2">
        <v>51</v>
      </c>
      <c r="E298" s="2">
        <v>7</v>
      </c>
      <c r="F298" s="2">
        <v>10</v>
      </c>
    </row>
    <row r="299" spans="1:6" ht="12.5">
      <c r="A299" s="2">
        <v>1283</v>
      </c>
      <c r="B299" s="2">
        <v>7384</v>
      </c>
      <c r="C299" s="2">
        <v>61</v>
      </c>
      <c r="D299" s="2">
        <v>26</v>
      </c>
      <c r="E299" s="2">
        <v>7</v>
      </c>
      <c r="F299" s="2">
        <v>7</v>
      </c>
    </row>
    <row r="300" spans="1:6" ht="12.5">
      <c r="A300" s="2">
        <v>1719</v>
      </c>
      <c r="B300" s="2">
        <v>3498</v>
      </c>
      <c r="C300" s="2">
        <v>61</v>
      </c>
      <c r="D300" s="2">
        <v>53</v>
      </c>
      <c r="E300" s="2">
        <v>7</v>
      </c>
      <c r="F300" s="2">
        <v>9</v>
      </c>
    </row>
    <row r="301" spans="1:6" ht="12.5">
      <c r="A301" s="2">
        <v>711</v>
      </c>
      <c r="B301" s="2">
        <v>1272</v>
      </c>
      <c r="C301" s="2">
        <v>58</v>
      </c>
      <c r="D301" s="2">
        <v>0</v>
      </c>
      <c r="E301" s="2">
        <v>7</v>
      </c>
      <c r="F301" s="2">
        <v>10</v>
      </c>
    </row>
    <row r="302" spans="1:6" ht="12.5">
      <c r="A302" s="2">
        <v>852</v>
      </c>
      <c r="B302" s="2">
        <v>4856</v>
      </c>
      <c r="C302" s="2">
        <v>54</v>
      </c>
      <c r="D302" s="2">
        <v>133</v>
      </c>
      <c r="E302" s="2">
        <v>7</v>
      </c>
      <c r="F302" s="2">
        <v>10</v>
      </c>
    </row>
    <row r="303" spans="1:6" ht="12.5">
      <c r="A303" s="2">
        <v>2193</v>
      </c>
      <c r="B303" s="2">
        <v>8722</v>
      </c>
      <c r="C303" s="2">
        <v>54</v>
      </c>
      <c r="D303" s="2">
        <v>133</v>
      </c>
      <c r="E303" s="2">
        <v>7</v>
      </c>
      <c r="F303" s="2">
        <v>10</v>
      </c>
    </row>
    <row r="304" spans="1:6" ht="12.5">
      <c r="A304" s="2">
        <v>1262</v>
      </c>
      <c r="B304" s="2">
        <v>6049</v>
      </c>
      <c r="C304" s="2">
        <v>51</v>
      </c>
      <c r="D304" s="2">
        <v>69</v>
      </c>
      <c r="E304" s="2">
        <v>7</v>
      </c>
      <c r="F304" s="2">
        <v>11</v>
      </c>
    </row>
    <row r="305" spans="1:6" ht="12.5">
      <c r="A305" s="2">
        <v>837</v>
      </c>
      <c r="B305" s="2">
        <v>5687</v>
      </c>
      <c r="C305" s="2">
        <v>50</v>
      </c>
      <c r="D305" s="2">
        <v>31</v>
      </c>
      <c r="E305" s="2">
        <v>7</v>
      </c>
      <c r="F305" s="2">
        <v>12</v>
      </c>
    </row>
    <row r="306" spans="1:6" ht="12.5">
      <c r="A306" s="2">
        <v>2190</v>
      </c>
      <c r="B306" s="2">
        <v>4418</v>
      </c>
      <c r="C306" s="2">
        <v>47</v>
      </c>
      <c r="D306" s="2">
        <v>111</v>
      </c>
      <c r="E306" s="2">
        <v>7</v>
      </c>
      <c r="F306" s="2">
        <v>12</v>
      </c>
    </row>
    <row r="307" spans="1:6" ht="12.5">
      <c r="A307" s="2">
        <v>1721</v>
      </c>
      <c r="B307" s="2">
        <v>1172</v>
      </c>
      <c r="C307" s="2">
        <v>44</v>
      </c>
      <c r="D307" s="2">
        <v>25</v>
      </c>
      <c r="E307" s="2">
        <v>7</v>
      </c>
      <c r="F307" s="2">
        <v>12</v>
      </c>
    </row>
    <row r="308" spans="1:6" ht="12.5">
      <c r="A308" s="2">
        <v>1579</v>
      </c>
      <c r="B308" s="2">
        <v>6257</v>
      </c>
      <c r="C308" s="2">
        <v>43</v>
      </c>
      <c r="D308" s="2">
        <v>14</v>
      </c>
      <c r="E308" s="2">
        <v>7</v>
      </c>
      <c r="F308" s="2">
        <v>7</v>
      </c>
    </row>
    <row r="309" spans="1:6" ht="12.5">
      <c r="A309" s="2">
        <v>2012</v>
      </c>
      <c r="B309" s="2">
        <v>500</v>
      </c>
      <c r="C309" s="2">
        <v>43</v>
      </c>
      <c r="D309" s="2">
        <v>194</v>
      </c>
      <c r="E309" s="2">
        <v>7</v>
      </c>
      <c r="F309" s="2">
        <v>9</v>
      </c>
    </row>
    <row r="310" spans="1:6" ht="12.5">
      <c r="A310" s="2">
        <v>90</v>
      </c>
      <c r="B310" s="2">
        <v>8996</v>
      </c>
      <c r="C310" s="2">
        <v>42</v>
      </c>
      <c r="D310" s="2">
        <v>37</v>
      </c>
      <c r="E310" s="2">
        <v>7</v>
      </c>
      <c r="F310" s="2">
        <v>8</v>
      </c>
    </row>
    <row r="311" spans="1:6" ht="12.5">
      <c r="A311" s="2">
        <v>424</v>
      </c>
      <c r="B311" s="2">
        <v>6932</v>
      </c>
      <c r="C311" s="2">
        <v>42</v>
      </c>
      <c r="D311" s="2">
        <v>0</v>
      </c>
      <c r="E311" s="2">
        <v>7</v>
      </c>
      <c r="F311" s="2">
        <v>5</v>
      </c>
    </row>
    <row r="312" spans="1:6" ht="12.5">
      <c r="A312" s="2">
        <v>468</v>
      </c>
      <c r="B312" s="2">
        <v>9697</v>
      </c>
      <c r="C312" s="2">
        <v>42</v>
      </c>
      <c r="D312" s="2">
        <v>5</v>
      </c>
      <c r="E312" s="2">
        <v>7</v>
      </c>
      <c r="F312" s="2">
        <v>8</v>
      </c>
    </row>
    <row r="313" spans="1:6" ht="12.5">
      <c r="A313" s="2">
        <v>1490</v>
      </c>
      <c r="B313" s="2">
        <v>3478</v>
      </c>
      <c r="C313" s="2">
        <v>42</v>
      </c>
      <c r="D313" s="2">
        <v>42</v>
      </c>
      <c r="E313" s="2">
        <v>7</v>
      </c>
      <c r="F313" s="2">
        <v>9</v>
      </c>
    </row>
    <row r="314" spans="1:6" ht="12.5">
      <c r="A314" s="2">
        <v>64</v>
      </c>
      <c r="B314" s="2">
        <v>4137</v>
      </c>
      <c r="C314" s="2">
        <v>40</v>
      </c>
      <c r="D314" s="2">
        <v>122</v>
      </c>
      <c r="E314" s="2">
        <v>7</v>
      </c>
      <c r="F314" s="2">
        <v>4</v>
      </c>
    </row>
    <row r="315" spans="1:6" ht="12.5">
      <c r="A315" s="2">
        <v>1911</v>
      </c>
      <c r="B315" s="2">
        <v>5544</v>
      </c>
      <c r="C315" s="2">
        <v>40</v>
      </c>
      <c r="D315" s="2">
        <v>53</v>
      </c>
      <c r="E315" s="2">
        <v>7</v>
      </c>
      <c r="F315" s="2">
        <v>5</v>
      </c>
    </row>
    <row r="316" spans="1:6" ht="12.5">
      <c r="A316" s="2">
        <v>1212</v>
      </c>
      <c r="B316" s="2">
        <v>2324</v>
      </c>
      <c r="C316" s="2">
        <v>38</v>
      </c>
      <c r="D316" s="2">
        <v>34</v>
      </c>
      <c r="E316" s="2">
        <v>7</v>
      </c>
      <c r="F316" s="2">
        <v>11</v>
      </c>
    </row>
    <row r="317" spans="1:6" ht="12.5">
      <c r="A317" s="2">
        <v>1270</v>
      </c>
      <c r="B317" s="2">
        <v>1740</v>
      </c>
      <c r="C317" s="2">
        <v>38</v>
      </c>
      <c r="D317" s="2">
        <v>9</v>
      </c>
      <c r="E317" s="2">
        <v>7</v>
      </c>
      <c r="F317" s="2">
        <v>4</v>
      </c>
    </row>
    <row r="318" spans="1:6" ht="12.5">
      <c r="A318" s="2">
        <v>1800</v>
      </c>
      <c r="B318" s="2">
        <v>2831</v>
      </c>
      <c r="C318" s="2">
        <v>38</v>
      </c>
      <c r="D318" s="2">
        <v>38</v>
      </c>
      <c r="E318" s="2">
        <v>7</v>
      </c>
      <c r="F318" s="2">
        <v>10</v>
      </c>
    </row>
    <row r="319" spans="1:6" ht="12.5">
      <c r="A319" s="2">
        <v>1332</v>
      </c>
      <c r="B319" s="2">
        <v>1945</v>
      </c>
      <c r="C319" s="2">
        <v>36</v>
      </c>
      <c r="D319" s="2">
        <v>96</v>
      </c>
      <c r="E319" s="2">
        <v>7</v>
      </c>
      <c r="F319" s="2">
        <v>7</v>
      </c>
    </row>
    <row r="320" spans="1:6" ht="12.5">
      <c r="A320" s="2">
        <v>755</v>
      </c>
      <c r="B320" s="2">
        <v>3870</v>
      </c>
      <c r="C320" s="2">
        <v>35</v>
      </c>
      <c r="D320" s="2">
        <v>116</v>
      </c>
      <c r="E320" s="2">
        <v>7</v>
      </c>
      <c r="F320" s="2">
        <v>13</v>
      </c>
    </row>
    <row r="321" spans="1:6" ht="12.5">
      <c r="A321" s="2">
        <v>973</v>
      </c>
      <c r="B321" s="2">
        <v>6357</v>
      </c>
      <c r="C321" s="2">
        <v>35</v>
      </c>
      <c r="D321" s="2">
        <v>57</v>
      </c>
      <c r="E321" s="2">
        <v>7</v>
      </c>
      <c r="F321" s="2">
        <v>7</v>
      </c>
    </row>
    <row r="322" spans="1:6" ht="12.5">
      <c r="A322" s="2">
        <v>1407</v>
      </c>
      <c r="B322" s="2">
        <v>8402</v>
      </c>
      <c r="C322" s="2">
        <v>35</v>
      </c>
      <c r="D322" s="2">
        <v>35</v>
      </c>
      <c r="E322" s="2">
        <v>7</v>
      </c>
      <c r="F322" s="2">
        <v>8</v>
      </c>
    </row>
    <row r="323" spans="1:6" ht="12.5">
      <c r="A323" s="2">
        <v>1493</v>
      </c>
      <c r="B323" s="2">
        <v>7250</v>
      </c>
      <c r="C323" s="2">
        <v>35</v>
      </c>
      <c r="D323" s="2">
        <v>23</v>
      </c>
      <c r="E323" s="2">
        <v>7</v>
      </c>
      <c r="F323" s="2">
        <v>9</v>
      </c>
    </row>
    <row r="324" spans="1:6" ht="12.5">
      <c r="A324" s="2">
        <v>2031</v>
      </c>
      <c r="B324" s="2">
        <v>3799</v>
      </c>
      <c r="C324" s="2">
        <v>35</v>
      </c>
      <c r="D324" s="2">
        <v>7</v>
      </c>
      <c r="E324" s="2">
        <v>7</v>
      </c>
      <c r="F324" s="2">
        <v>11</v>
      </c>
    </row>
    <row r="325" spans="1:6" ht="12.5">
      <c r="A325" s="2">
        <v>2107</v>
      </c>
      <c r="B325" s="2">
        <v>340</v>
      </c>
      <c r="C325" s="2">
        <v>35</v>
      </c>
      <c r="D325" s="2">
        <v>0</v>
      </c>
      <c r="E325" s="2">
        <v>7</v>
      </c>
      <c r="F325" s="2">
        <v>8</v>
      </c>
    </row>
    <row r="326" spans="1:6" ht="12.5">
      <c r="A326" s="2">
        <v>1923</v>
      </c>
      <c r="B326" s="2">
        <v>4994</v>
      </c>
      <c r="C326" s="2">
        <v>33</v>
      </c>
      <c r="D326" s="2">
        <v>66</v>
      </c>
      <c r="E326" s="2">
        <v>7</v>
      </c>
      <c r="F326" s="2">
        <v>13</v>
      </c>
    </row>
    <row r="327" spans="1:6" ht="12.5">
      <c r="A327" s="2">
        <v>203</v>
      </c>
      <c r="B327" s="2">
        <v>2798</v>
      </c>
      <c r="C327" s="2">
        <v>29</v>
      </c>
      <c r="D327" s="2">
        <v>176</v>
      </c>
      <c r="E327" s="2">
        <v>7</v>
      </c>
      <c r="F327" s="2">
        <v>10</v>
      </c>
    </row>
    <row r="328" spans="1:6" ht="12.5">
      <c r="A328" s="2">
        <v>914</v>
      </c>
      <c r="B328" s="2">
        <v>10619</v>
      </c>
      <c r="C328" s="2">
        <v>29</v>
      </c>
      <c r="D328" s="2">
        <v>27</v>
      </c>
      <c r="E328" s="2">
        <v>7</v>
      </c>
      <c r="F328" s="2">
        <v>7</v>
      </c>
    </row>
    <row r="329" spans="1:6" ht="12.5">
      <c r="A329" s="2">
        <v>1129</v>
      </c>
      <c r="B329" s="2">
        <v>4756</v>
      </c>
      <c r="C329" s="2">
        <v>29</v>
      </c>
      <c r="D329" s="2">
        <v>33</v>
      </c>
      <c r="E329" s="2">
        <v>7</v>
      </c>
      <c r="F329" s="2">
        <v>11</v>
      </c>
    </row>
    <row r="330" spans="1:6" ht="12.5">
      <c r="A330" s="2">
        <v>906</v>
      </c>
      <c r="B330" s="2">
        <v>10150</v>
      </c>
      <c r="C330" s="2">
        <v>28</v>
      </c>
      <c r="D330" s="2">
        <v>18</v>
      </c>
      <c r="E330" s="2">
        <v>7</v>
      </c>
      <c r="F330" s="2">
        <v>7</v>
      </c>
    </row>
    <row r="331" spans="1:6" ht="12.5">
      <c r="A331" s="2">
        <v>789</v>
      </c>
      <c r="B331" s="2">
        <v>347</v>
      </c>
      <c r="C331" s="2">
        <v>27</v>
      </c>
      <c r="D331" s="2">
        <v>3</v>
      </c>
      <c r="E331" s="2">
        <v>7</v>
      </c>
      <c r="F331" s="2">
        <v>5</v>
      </c>
    </row>
    <row r="332" spans="1:6" ht="12.5">
      <c r="A332" s="2">
        <v>1253</v>
      </c>
      <c r="B332" s="2">
        <v>961</v>
      </c>
      <c r="C332" s="2">
        <v>27</v>
      </c>
      <c r="D332" s="2">
        <v>195</v>
      </c>
      <c r="E332" s="2">
        <v>7</v>
      </c>
      <c r="F332" s="2">
        <v>5</v>
      </c>
    </row>
    <row r="333" spans="1:6" ht="12.5">
      <c r="A333" s="2">
        <v>1922</v>
      </c>
      <c r="B333" s="2">
        <v>3138</v>
      </c>
      <c r="C333" s="2">
        <v>27</v>
      </c>
      <c r="D333" s="2">
        <v>108</v>
      </c>
      <c r="E333" s="2">
        <v>7</v>
      </c>
      <c r="F333" s="2">
        <v>6</v>
      </c>
    </row>
    <row r="334" spans="1:6" ht="12.5">
      <c r="A334" s="2">
        <v>456</v>
      </c>
      <c r="B334" s="2">
        <v>4947</v>
      </c>
      <c r="C334" s="2">
        <v>24</v>
      </c>
      <c r="D334" s="2">
        <v>194</v>
      </c>
      <c r="E334" s="2">
        <v>7</v>
      </c>
      <c r="F334" s="2">
        <v>9</v>
      </c>
    </row>
    <row r="335" spans="1:6" ht="12.5">
      <c r="A335" s="2">
        <v>15</v>
      </c>
      <c r="B335" s="2">
        <v>2114</v>
      </c>
      <c r="C335" s="2">
        <v>22</v>
      </c>
      <c r="D335" s="2">
        <v>68</v>
      </c>
      <c r="E335" s="2">
        <v>7</v>
      </c>
      <c r="F335" s="2">
        <v>12</v>
      </c>
    </row>
    <row r="336" spans="1:6" ht="12.5">
      <c r="A336" s="2">
        <v>1052</v>
      </c>
      <c r="B336" s="2">
        <v>4475</v>
      </c>
      <c r="C336" s="2">
        <v>22</v>
      </c>
      <c r="D336" s="2">
        <v>0</v>
      </c>
      <c r="E336" s="2">
        <v>7</v>
      </c>
      <c r="F336" s="2">
        <v>9</v>
      </c>
    </row>
    <row r="337" spans="1:6" ht="12.5">
      <c r="A337" s="2">
        <v>1570</v>
      </c>
      <c r="B337" s="2">
        <v>4261</v>
      </c>
      <c r="C337" s="2">
        <v>22</v>
      </c>
      <c r="D337" s="2">
        <v>68</v>
      </c>
      <c r="E337" s="2">
        <v>7</v>
      </c>
      <c r="F337" s="2">
        <v>12</v>
      </c>
    </row>
    <row r="338" spans="1:6" ht="12.5">
      <c r="A338" s="2">
        <v>234</v>
      </c>
      <c r="B338" s="2">
        <v>3233</v>
      </c>
      <c r="C338" s="2">
        <v>21</v>
      </c>
      <c r="D338" s="2">
        <v>10</v>
      </c>
      <c r="E338" s="2">
        <v>7</v>
      </c>
      <c r="F338" s="2">
        <v>11</v>
      </c>
    </row>
    <row r="339" spans="1:6" ht="12.5">
      <c r="A339" s="2">
        <v>1644</v>
      </c>
      <c r="B339" s="2">
        <v>3091</v>
      </c>
      <c r="C339" s="2">
        <v>21</v>
      </c>
      <c r="D339" s="2">
        <v>14</v>
      </c>
      <c r="E339" s="2">
        <v>7</v>
      </c>
      <c r="F339" s="2">
        <v>8</v>
      </c>
    </row>
    <row r="340" spans="1:6" ht="12.5">
      <c r="A340" s="2">
        <v>1748</v>
      </c>
      <c r="B340" s="2">
        <v>5847</v>
      </c>
      <c r="C340" s="2">
        <v>21</v>
      </c>
      <c r="D340" s="2">
        <v>92</v>
      </c>
      <c r="E340" s="2">
        <v>7</v>
      </c>
      <c r="F340" s="2">
        <v>10</v>
      </c>
    </row>
    <row r="341" spans="1:6" ht="12.5">
      <c r="A341" s="2">
        <v>1799</v>
      </c>
      <c r="B341" s="2">
        <v>762</v>
      </c>
      <c r="C341" s="2">
        <v>21</v>
      </c>
      <c r="D341" s="2">
        <v>14</v>
      </c>
      <c r="E341" s="2">
        <v>7</v>
      </c>
      <c r="F341" s="2">
        <v>8</v>
      </c>
    </row>
    <row r="342" spans="1:6" ht="12.5">
      <c r="A342" s="2">
        <v>1995</v>
      </c>
      <c r="B342" s="2">
        <v>6815</v>
      </c>
      <c r="C342" s="2">
        <v>21</v>
      </c>
      <c r="D342" s="2">
        <v>101</v>
      </c>
      <c r="E342" s="2">
        <v>7</v>
      </c>
      <c r="F342" s="2">
        <v>8</v>
      </c>
    </row>
    <row r="343" spans="1:6" ht="12.5">
      <c r="A343" s="2">
        <v>152</v>
      </c>
      <c r="B343" s="2">
        <v>7798</v>
      </c>
      <c r="C343" s="2">
        <v>20</v>
      </c>
      <c r="D343" s="2">
        <v>20</v>
      </c>
      <c r="E343" s="2">
        <v>7</v>
      </c>
      <c r="F343" s="2">
        <v>5</v>
      </c>
    </row>
    <row r="344" spans="1:6" ht="12.5">
      <c r="A344" s="2">
        <v>543</v>
      </c>
      <c r="B344" s="2">
        <v>5547</v>
      </c>
      <c r="C344" s="2">
        <v>19</v>
      </c>
      <c r="D344" s="2">
        <v>19</v>
      </c>
      <c r="E344" s="2">
        <v>7</v>
      </c>
      <c r="F344" s="2">
        <v>6</v>
      </c>
    </row>
    <row r="345" spans="1:6" ht="12.5">
      <c r="A345" s="2">
        <v>917</v>
      </c>
      <c r="B345" s="2">
        <v>8362</v>
      </c>
      <c r="C345" s="2">
        <v>19</v>
      </c>
      <c r="D345" s="2">
        <v>19</v>
      </c>
      <c r="E345" s="2">
        <v>7</v>
      </c>
      <c r="F345" s="2">
        <v>6</v>
      </c>
    </row>
    <row r="346" spans="1:6" ht="12.5">
      <c r="A346" s="2">
        <v>1061</v>
      </c>
      <c r="B346" s="2">
        <v>3759</v>
      </c>
      <c r="C346" s="2">
        <v>19</v>
      </c>
      <c r="D346" s="2">
        <v>0</v>
      </c>
      <c r="E346" s="2">
        <v>7</v>
      </c>
      <c r="F346" s="2">
        <v>11</v>
      </c>
    </row>
    <row r="347" spans="1:6" ht="12.5">
      <c r="A347" s="2">
        <v>1102</v>
      </c>
      <c r="B347" s="2">
        <v>1545</v>
      </c>
      <c r="C347" s="2">
        <v>19</v>
      </c>
      <c r="D347" s="2">
        <v>19</v>
      </c>
      <c r="E347" s="2">
        <v>7</v>
      </c>
      <c r="F347" s="2">
        <v>5</v>
      </c>
    </row>
    <row r="348" spans="1:6" ht="12.5">
      <c r="A348" s="2">
        <v>111</v>
      </c>
      <c r="B348" s="2">
        <v>7431</v>
      </c>
      <c r="C348" s="2">
        <v>17</v>
      </c>
      <c r="D348" s="2">
        <v>51</v>
      </c>
      <c r="E348" s="2">
        <v>7</v>
      </c>
      <c r="F348" s="2">
        <v>5</v>
      </c>
    </row>
    <row r="349" spans="1:6" ht="12.5">
      <c r="A349" s="2">
        <v>938</v>
      </c>
      <c r="B349" s="2">
        <v>3673</v>
      </c>
      <c r="C349" s="2">
        <v>17</v>
      </c>
      <c r="D349" s="2">
        <v>24</v>
      </c>
      <c r="E349" s="2">
        <v>7</v>
      </c>
      <c r="F349" s="2">
        <v>11</v>
      </c>
    </row>
    <row r="350" spans="1:6" ht="12.5">
      <c r="A350" s="2">
        <v>2111</v>
      </c>
      <c r="B350" s="2">
        <v>1008</v>
      </c>
      <c r="C350" s="2">
        <v>17</v>
      </c>
      <c r="D350" s="2">
        <v>8</v>
      </c>
      <c r="E350" s="2">
        <v>7</v>
      </c>
      <c r="F350" s="2">
        <v>13</v>
      </c>
    </row>
    <row r="351" spans="1:6" ht="12.5">
      <c r="A351" s="2">
        <v>196</v>
      </c>
      <c r="B351" s="2">
        <v>6999</v>
      </c>
      <c r="C351" s="2">
        <v>16</v>
      </c>
      <c r="D351" s="2">
        <v>16</v>
      </c>
      <c r="E351" s="2">
        <v>7</v>
      </c>
      <c r="F351" s="2">
        <v>12</v>
      </c>
    </row>
    <row r="352" spans="1:6" ht="12.5">
      <c r="A352" s="2">
        <v>1658</v>
      </c>
      <c r="B352" s="2">
        <v>1378</v>
      </c>
      <c r="C352" s="2">
        <v>16</v>
      </c>
      <c r="D352" s="2">
        <v>16</v>
      </c>
      <c r="E352" s="2">
        <v>7</v>
      </c>
      <c r="F352" s="2">
        <v>6</v>
      </c>
    </row>
    <row r="353" spans="1:6" ht="12.5">
      <c r="A353" s="2">
        <v>1256</v>
      </c>
      <c r="B353" s="2">
        <v>9094</v>
      </c>
      <c r="C353" s="2">
        <v>15</v>
      </c>
      <c r="D353" s="2">
        <v>0</v>
      </c>
      <c r="E353" s="2">
        <v>7</v>
      </c>
      <c r="F353" s="2">
        <v>3</v>
      </c>
    </row>
    <row r="354" spans="1:6" ht="12.5">
      <c r="A354" s="2">
        <v>1502</v>
      </c>
      <c r="B354" s="2">
        <v>3340</v>
      </c>
      <c r="C354" s="2">
        <v>15</v>
      </c>
      <c r="D354" s="2">
        <v>15</v>
      </c>
      <c r="E354" s="2">
        <v>7</v>
      </c>
      <c r="F354" s="2">
        <v>6</v>
      </c>
    </row>
    <row r="355" spans="1:6" ht="12.5">
      <c r="A355" s="2">
        <v>1574</v>
      </c>
      <c r="B355" s="2">
        <v>8685</v>
      </c>
      <c r="C355" s="2">
        <v>15</v>
      </c>
      <c r="D355" s="2">
        <v>15</v>
      </c>
      <c r="E355" s="2">
        <v>7</v>
      </c>
      <c r="F355" s="2">
        <v>6</v>
      </c>
    </row>
    <row r="356" spans="1:6" ht="12.5">
      <c r="A356" s="2">
        <v>1838</v>
      </c>
      <c r="B356" s="2">
        <v>9847</v>
      </c>
      <c r="C356" s="2">
        <v>15</v>
      </c>
      <c r="D356" s="2">
        <v>0</v>
      </c>
      <c r="E356" s="2">
        <v>7</v>
      </c>
      <c r="F356" s="2">
        <v>3</v>
      </c>
    </row>
    <row r="357" spans="1:6" ht="12.5">
      <c r="A357" s="2">
        <v>1311</v>
      </c>
      <c r="B357" s="2">
        <v>8427</v>
      </c>
      <c r="C357" s="2">
        <v>14</v>
      </c>
      <c r="D357" s="2">
        <v>0</v>
      </c>
      <c r="E357" s="2">
        <v>7</v>
      </c>
      <c r="F357" s="2">
        <v>10</v>
      </c>
    </row>
    <row r="358" spans="1:6" ht="12.5">
      <c r="A358" s="2">
        <v>1476</v>
      </c>
      <c r="B358" s="2">
        <v>217</v>
      </c>
      <c r="C358" s="2">
        <v>14</v>
      </c>
      <c r="D358" s="2">
        <v>0</v>
      </c>
      <c r="E358" s="2">
        <v>7</v>
      </c>
      <c r="F358" s="2">
        <v>10</v>
      </c>
    </row>
    <row r="359" spans="1:6" ht="12.5">
      <c r="A359" s="2">
        <v>1339</v>
      </c>
      <c r="B359" s="2">
        <v>942</v>
      </c>
      <c r="C359" s="2">
        <v>13</v>
      </c>
      <c r="D359" s="2">
        <v>13</v>
      </c>
      <c r="E359" s="2">
        <v>7</v>
      </c>
      <c r="F359" s="2">
        <v>3</v>
      </c>
    </row>
    <row r="360" spans="1:6" ht="12.5">
      <c r="A360" s="2">
        <v>1454</v>
      </c>
      <c r="B360" s="2">
        <v>6875</v>
      </c>
      <c r="C360" s="2">
        <v>13</v>
      </c>
      <c r="D360" s="2">
        <v>13</v>
      </c>
      <c r="E360" s="2">
        <v>7</v>
      </c>
      <c r="F360" s="2">
        <v>5</v>
      </c>
    </row>
    <row r="361" spans="1:6" ht="12.5">
      <c r="A361" s="2">
        <v>487</v>
      </c>
      <c r="B361" s="2">
        <v>5562</v>
      </c>
      <c r="C361" s="2">
        <v>12</v>
      </c>
      <c r="D361" s="2">
        <v>6</v>
      </c>
      <c r="E361" s="2">
        <v>7</v>
      </c>
      <c r="F361" s="2">
        <v>10</v>
      </c>
    </row>
    <row r="362" spans="1:6" ht="12.5">
      <c r="A362" s="2">
        <v>756</v>
      </c>
      <c r="B362" s="2">
        <v>4012</v>
      </c>
      <c r="C362" s="2">
        <v>12</v>
      </c>
      <c r="D362" s="2">
        <v>12</v>
      </c>
      <c r="E362" s="2">
        <v>7</v>
      </c>
      <c r="F362" s="2">
        <v>5</v>
      </c>
    </row>
    <row r="363" spans="1:6" ht="12.5">
      <c r="A363" s="2">
        <v>941</v>
      </c>
      <c r="B363" s="2">
        <v>4128</v>
      </c>
      <c r="C363" s="2">
        <v>12</v>
      </c>
      <c r="D363" s="2">
        <v>6</v>
      </c>
      <c r="E363" s="2">
        <v>7</v>
      </c>
      <c r="F363" s="2">
        <v>7</v>
      </c>
    </row>
    <row r="364" spans="1:6" ht="12.5">
      <c r="A364" s="2">
        <v>1706</v>
      </c>
      <c r="B364" s="2">
        <v>1351</v>
      </c>
      <c r="C364" s="2">
        <v>12</v>
      </c>
      <c r="D364" s="2">
        <v>24</v>
      </c>
      <c r="E364" s="2">
        <v>7</v>
      </c>
      <c r="F364" s="2">
        <v>13</v>
      </c>
    </row>
    <row r="365" spans="1:6" ht="12.5">
      <c r="A365" s="2">
        <v>386</v>
      </c>
      <c r="B365" s="2">
        <v>6720</v>
      </c>
      <c r="C365" s="2">
        <v>11</v>
      </c>
      <c r="D365" s="2">
        <v>3</v>
      </c>
      <c r="E365" s="2">
        <v>7</v>
      </c>
      <c r="F365" s="2">
        <v>4</v>
      </c>
    </row>
    <row r="366" spans="1:6" ht="12.5">
      <c r="A366" s="2">
        <v>1081</v>
      </c>
      <c r="B366" s="2">
        <v>247</v>
      </c>
      <c r="C366" s="2">
        <v>10</v>
      </c>
      <c r="D366" s="2">
        <v>13</v>
      </c>
      <c r="E366" s="2">
        <v>7</v>
      </c>
      <c r="F366" s="2">
        <v>4</v>
      </c>
    </row>
    <row r="367" spans="1:6" ht="12.5">
      <c r="A367" s="2">
        <v>1375</v>
      </c>
      <c r="B367" s="2">
        <v>8805</v>
      </c>
      <c r="C367" s="2">
        <v>10</v>
      </c>
      <c r="D367" s="2">
        <v>13</v>
      </c>
      <c r="E367" s="2">
        <v>7</v>
      </c>
      <c r="F367" s="2">
        <v>4</v>
      </c>
    </row>
    <row r="368" spans="1:6" ht="12.5">
      <c r="A368" s="2">
        <v>1729</v>
      </c>
      <c r="B368" s="2">
        <v>3828</v>
      </c>
      <c r="C368" s="2">
        <v>10</v>
      </c>
      <c r="D368" s="2">
        <v>174</v>
      </c>
      <c r="E368" s="2">
        <v>7</v>
      </c>
      <c r="F368" s="2">
        <v>13</v>
      </c>
    </row>
    <row r="369" spans="1:6" ht="12.5">
      <c r="A369" s="2">
        <v>2178</v>
      </c>
      <c r="B369" s="2">
        <v>4377</v>
      </c>
      <c r="C369" s="2">
        <v>10</v>
      </c>
      <c r="D369" s="2">
        <v>10</v>
      </c>
      <c r="E369" s="2">
        <v>7</v>
      </c>
      <c r="F369" s="2">
        <v>3</v>
      </c>
    </row>
    <row r="370" spans="1:6" ht="12.5">
      <c r="A370" s="2">
        <v>409</v>
      </c>
      <c r="B370" s="2">
        <v>9973</v>
      </c>
      <c r="C370" s="2">
        <v>9</v>
      </c>
      <c r="D370" s="2">
        <v>9</v>
      </c>
      <c r="E370" s="2">
        <v>7</v>
      </c>
      <c r="F370" s="2">
        <v>8</v>
      </c>
    </row>
    <row r="371" spans="1:6" ht="12.5">
      <c r="A371" s="2">
        <v>788</v>
      </c>
      <c r="B371" s="2">
        <v>10846</v>
      </c>
      <c r="C371" s="2">
        <v>9</v>
      </c>
      <c r="D371" s="2">
        <v>4</v>
      </c>
      <c r="E371" s="2">
        <v>7</v>
      </c>
      <c r="F371" s="2">
        <v>8</v>
      </c>
    </row>
    <row r="372" spans="1:6" ht="12.5">
      <c r="A372" s="2">
        <v>1878</v>
      </c>
      <c r="B372" s="2">
        <v>1570</v>
      </c>
      <c r="C372" s="2">
        <v>9</v>
      </c>
      <c r="D372" s="2">
        <v>19</v>
      </c>
      <c r="E372" s="2">
        <v>7</v>
      </c>
      <c r="F372" s="2">
        <v>10</v>
      </c>
    </row>
    <row r="373" spans="1:6" ht="12.5">
      <c r="A373" s="2">
        <v>39</v>
      </c>
      <c r="B373" s="2">
        <v>2968</v>
      </c>
      <c r="C373" s="2">
        <v>8</v>
      </c>
      <c r="D373" s="2">
        <v>49</v>
      </c>
      <c r="E373" s="2">
        <v>7</v>
      </c>
      <c r="F373" s="2">
        <v>5</v>
      </c>
    </row>
    <row r="374" spans="1:6" ht="12.5">
      <c r="A374" s="2">
        <v>469</v>
      </c>
      <c r="B374" s="2">
        <v>3916</v>
      </c>
      <c r="C374" s="2">
        <v>8</v>
      </c>
      <c r="D374" s="2">
        <v>8</v>
      </c>
      <c r="E374" s="2">
        <v>7</v>
      </c>
      <c r="F374" s="2">
        <v>12</v>
      </c>
    </row>
    <row r="375" spans="1:6" ht="12.5">
      <c r="A375" s="2">
        <v>894</v>
      </c>
      <c r="B375" s="2">
        <v>8800</v>
      </c>
      <c r="C375" s="2">
        <v>8</v>
      </c>
      <c r="D375" s="2">
        <v>49</v>
      </c>
      <c r="E375" s="2">
        <v>7</v>
      </c>
      <c r="F375" s="2">
        <v>5</v>
      </c>
    </row>
    <row r="376" spans="1:6" ht="12.5">
      <c r="A376" s="2">
        <v>1323</v>
      </c>
      <c r="B376" s="2">
        <v>10971</v>
      </c>
      <c r="C376" s="2">
        <v>8</v>
      </c>
      <c r="D376" s="2">
        <v>2</v>
      </c>
      <c r="E376" s="2">
        <v>7</v>
      </c>
      <c r="F376" s="2">
        <v>3</v>
      </c>
    </row>
    <row r="377" spans="1:6" ht="12.5">
      <c r="A377" s="2">
        <v>1597</v>
      </c>
      <c r="B377" s="2">
        <v>3409</v>
      </c>
      <c r="C377" s="2">
        <v>8</v>
      </c>
      <c r="D377" s="2">
        <v>11</v>
      </c>
      <c r="E377" s="2">
        <v>7</v>
      </c>
      <c r="F377" s="2">
        <v>4</v>
      </c>
    </row>
    <row r="378" spans="1:6" ht="12.5">
      <c r="A378" s="2">
        <v>1885</v>
      </c>
      <c r="B378" s="2">
        <v>10702</v>
      </c>
      <c r="C378" s="2">
        <v>8</v>
      </c>
      <c r="D378" s="2">
        <v>56</v>
      </c>
      <c r="E378" s="2">
        <v>7</v>
      </c>
      <c r="F378" s="2">
        <v>7</v>
      </c>
    </row>
    <row r="379" spans="1:6" ht="12.5">
      <c r="A379" s="2">
        <v>479</v>
      </c>
      <c r="B379" s="2">
        <v>10581</v>
      </c>
      <c r="C379" s="2">
        <v>7</v>
      </c>
      <c r="D379" s="2">
        <v>0</v>
      </c>
      <c r="E379" s="2">
        <v>7</v>
      </c>
      <c r="F379" s="2">
        <v>4</v>
      </c>
    </row>
    <row r="380" spans="1:6" ht="12.5">
      <c r="A380" s="2">
        <v>847</v>
      </c>
      <c r="B380" s="2">
        <v>5935</v>
      </c>
      <c r="C380" s="2">
        <v>7</v>
      </c>
      <c r="D380" s="2">
        <v>7</v>
      </c>
      <c r="E380" s="2">
        <v>7</v>
      </c>
      <c r="F380" s="2">
        <v>8</v>
      </c>
    </row>
    <row r="381" spans="1:6" ht="12.5">
      <c r="A381" s="2">
        <v>1297</v>
      </c>
      <c r="B381" s="2">
        <v>5543</v>
      </c>
      <c r="C381" s="2">
        <v>7</v>
      </c>
      <c r="D381" s="2">
        <v>21</v>
      </c>
      <c r="E381" s="2">
        <v>7</v>
      </c>
      <c r="F381" s="2">
        <v>11</v>
      </c>
    </row>
    <row r="382" spans="1:6" ht="12.5">
      <c r="A382" s="2">
        <v>1410</v>
      </c>
      <c r="B382" s="2">
        <v>618</v>
      </c>
      <c r="C382" s="2">
        <v>7</v>
      </c>
      <c r="D382" s="2">
        <v>46</v>
      </c>
      <c r="E382" s="2">
        <v>7</v>
      </c>
      <c r="F382" s="2">
        <v>12</v>
      </c>
    </row>
    <row r="383" spans="1:6" ht="12.5">
      <c r="A383" s="2">
        <v>2158</v>
      </c>
      <c r="B383" s="2">
        <v>5186</v>
      </c>
      <c r="C383" s="2">
        <v>7</v>
      </c>
      <c r="D383" s="2">
        <v>7</v>
      </c>
      <c r="E383" s="2">
        <v>7</v>
      </c>
      <c r="F383" s="2">
        <v>9</v>
      </c>
    </row>
    <row r="384" spans="1:6" ht="12.5">
      <c r="A384" s="2">
        <v>1306</v>
      </c>
      <c r="B384" s="2">
        <v>3972</v>
      </c>
      <c r="C384" s="2">
        <v>6</v>
      </c>
      <c r="D384" s="2">
        <v>6</v>
      </c>
      <c r="E384" s="2">
        <v>7</v>
      </c>
      <c r="F384" s="2">
        <v>5</v>
      </c>
    </row>
    <row r="385" spans="1:6" ht="12.5">
      <c r="A385" s="2">
        <v>2224</v>
      </c>
      <c r="B385" s="2">
        <v>4286</v>
      </c>
      <c r="C385" s="2">
        <v>6</v>
      </c>
      <c r="D385" s="2">
        <v>0</v>
      </c>
      <c r="E385" s="2">
        <v>7</v>
      </c>
      <c r="F385" s="2">
        <v>6</v>
      </c>
    </row>
    <row r="386" spans="1:6" ht="12.5">
      <c r="A386" s="2">
        <v>772</v>
      </c>
      <c r="B386" s="2">
        <v>8897</v>
      </c>
      <c r="C386" s="2">
        <v>5</v>
      </c>
      <c r="D386" s="2">
        <v>26</v>
      </c>
      <c r="E386" s="2">
        <v>7</v>
      </c>
      <c r="F386" s="2">
        <v>7</v>
      </c>
    </row>
    <row r="387" spans="1:6" ht="12.5">
      <c r="A387" s="2">
        <v>822</v>
      </c>
      <c r="B387" s="2">
        <v>1</v>
      </c>
      <c r="C387" s="2">
        <v>5</v>
      </c>
      <c r="D387" s="2">
        <v>0</v>
      </c>
      <c r="E387" s="2">
        <v>7</v>
      </c>
      <c r="F387" s="2">
        <v>7</v>
      </c>
    </row>
    <row r="388" spans="1:6" ht="12.5">
      <c r="A388" s="2">
        <v>832</v>
      </c>
      <c r="B388" s="2">
        <v>3321</v>
      </c>
      <c r="C388" s="2">
        <v>5</v>
      </c>
      <c r="D388" s="2">
        <v>16</v>
      </c>
      <c r="E388" s="2">
        <v>7</v>
      </c>
      <c r="F388" s="2">
        <v>7</v>
      </c>
    </row>
    <row r="389" spans="1:6" ht="12.5">
      <c r="A389" s="2">
        <v>839</v>
      </c>
      <c r="B389" s="2">
        <v>5121</v>
      </c>
      <c r="C389" s="2">
        <v>5</v>
      </c>
      <c r="D389" s="2">
        <v>17</v>
      </c>
      <c r="E389" s="2">
        <v>7</v>
      </c>
      <c r="F389" s="2">
        <v>5</v>
      </c>
    </row>
    <row r="390" spans="1:6" ht="12.5">
      <c r="A390" s="2">
        <v>1460</v>
      </c>
      <c r="B390" s="2">
        <v>8233</v>
      </c>
      <c r="C390" s="2">
        <v>5</v>
      </c>
      <c r="D390" s="2">
        <v>5</v>
      </c>
      <c r="E390" s="2">
        <v>7</v>
      </c>
      <c r="F390" s="2">
        <v>7</v>
      </c>
    </row>
    <row r="391" spans="1:6" ht="12.5">
      <c r="A391" s="2">
        <v>1690</v>
      </c>
      <c r="B391" s="2">
        <v>7397</v>
      </c>
      <c r="C391" s="2">
        <v>5</v>
      </c>
      <c r="D391" s="2">
        <v>0</v>
      </c>
      <c r="E391" s="2">
        <v>7</v>
      </c>
      <c r="F391" s="2">
        <v>9</v>
      </c>
    </row>
    <row r="392" spans="1:6" ht="12.5">
      <c r="A392" s="2">
        <v>588</v>
      </c>
      <c r="B392" s="2">
        <v>254</v>
      </c>
      <c r="C392" s="2">
        <v>4</v>
      </c>
      <c r="D392" s="2">
        <v>4</v>
      </c>
      <c r="E392" s="2">
        <v>7</v>
      </c>
      <c r="F392" s="2">
        <v>7</v>
      </c>
    </row>
    <row r="393" spans="1:6" ht="12.5">
      <c r="A393" s="2">
        <v>649</v>
      </c>
      <c r="B393" s="2">
        <v>10928</v>
      </c>
      <c r="C393" s="2">
        <v>4</v>
      </c>
      <c r="D393" s="2">
        <v>31</v>
      </c>
      <c r="E393" s="2">
        <v>7</v>
      </c>
      <c r="F393" s="2">
        <v>7</v>
      </c>
    </row>
    <row r="394" spans="1:6" ht="12.5">
      <c r="A394" s="2">
        <v>731</v>
      </c>
      <c r="B394" s="2">
        <v>610</v>
      </c>
      <c r="C394" s="2">
        <v>4</v>
      </c>
      <c r="D394" s="2">
        <v>0</v>
      </c>
      <c r="E394" s="2">
        <v>7</v>
      </c>
      <c r="F394" s="2">
        <v>6</v>
      </c>
    </row>
    <row r="395" spans="1:6" ht="12.5">
      <c r="A395" s="2">
        <v>2051</v>
      </c>
      <c r="B395" s="2">
        <v>4426</v>
      </c>
      <c r="C395" s="2">
        <v>4</v>
      </c>
      <c r="D395" s="2">
        <v>4</v>
      </c>
      <c r="E395" s="2">
        <v>7</v>
      </c>
      <c r="F395" s="2">
        <v>6</v>
      </c>
    </row>
    <row r="396" spans="1:6" ht="12.5">
      <c r="A396" s="2">
        <v>24</v>
      </c>
      <c r="B396" s="2">
        <v>1409</v>
      </c>
      <c r="C396" s="2">
        <v>3</v>
      </c>
      <c r="D396" s="2">
        <v>6</v>
      </c>
      <c r="E396" s="2">
        <v>7</v>
      </c>
      <c r="F396" s="2">
        <v>5</v>
      </c>
    </row>
    <row r="397" spans="1:6" ht="12.5">
      <c r="A397" s="2">
        <v>289</v>
      </c>
      <c r="B397" s="2">
        <v>4697</v>
      </c>
      <c r="C397" s="2">
        <v>3</v>
      </c>
      <c r="D397" s="2">
        <v>3</v>
      </c>
      <c r="E397" s="2">
        <v>7</v>
      </c>
      <c r="F397" s="2">
        <v>5</v>
      </c>
    </row>
    <row r="398" spans="1:6" ht="12.5">
      <c r="A398" s="2">
        <v>581</v>
      </c>
      <c r="B398" s="2">
        <v>5314</v>
      </c>
      <c r="C398" s="2">
        <v>3</v>
      </c>
      <c r="D398" s="2">
        <v>6</v>
      </c>
      <c r="E398" s="2">
        <v>7</v>
      </c>
      <c r="F398" s="2">
        <v>5</v>
      </c>
    </row>
    <row r="399" spans="1:6" ht="12.5">
      <c r="A399" s="2">
        <v>654</v>
      </c>
      <c r="B399" s="2">
        <v>3277</v>
      </c>
      <c r="C399" s="2">
        <v>3</v>
      </c>
      <c r="D399" s="2">
        <v>0</v>
      </c>
      <c r="E399" s="2">
        <v>7</v>
      </c>
      <c r="F399" s="2">
        <v>5</v>
      </c>
    </row>
    <row r="400" spans="1:6" ht="12.5">
      <c r="A400" s="2">
        <v>1595</v>
      </c>
      <c r="B400" s="2">
        <v>1041</v>
      </c>
      <c r="C400" s="2">
        <v>3</v>
      </c>
      <c r="D400" s="2">
        <v>3</v>
      </c>
      <c r="E400" s="2">
        <v>7</v>
      </c>
      <c r="F400" s="2">
        <v>6</v>
      </c>
    </row>
    <row r="401" spans="1:6" ht="12.5">
      <c r="A401" s="2">
        <v>1608</v>
      </c>
      <c r="B401" s="2">
        <v>4480</v>
      </c>
      <c r="C401" s="2">
        <v>3</v>
      </c>
      <c r="D401" s="2">
        <v>3</v>
      </c>
      <c r="E401" s="2">
        <v>7</v>
      </c>
      <c r="F401" s="2">
        <v>5</v>
      </c>
    </row>
    <row r="402" spans="1:6" ht="12.5">
      <c r="A402" s="2">
        <v>1998</v>
      </c>
      <c r="B402" s="2">
        <v>5370</v>
      </c>
      <c r="C402" s="2">
        <v>3</v>
      </c>
      <c r="D402" s="2">
        <v>7</v>
      </c>
      <c r="E402" s="2">
        <v>7</v>
      </c>
      <c r="F402" s="2">
        <v>6</v>
      </c>
    </row>
    <row r="403" spans="1:6" ht="12.5">
      <c r="A403" s="2">
        <v>2114</v>
      </c>
      <c r="B403" s="2">
        <v>1916</v>
      </c>
      <c r="C403" s="2">
        <v>3</v>
      </c>
      <c r="D403" s="2">
        <v>3</v>
      </c>
      <c r="E403" s="2">
        <v>7</v>
      </c>
      <c r="F403" s="2">
        <v>6</v>
      </c>
    </row>
    <row r="404" spans="1:6" ht="12.5">
      <c r="A404" s="2">
        <v>2177</v>
      </c>
      <c r="B404" s="2">
        <v>492</v>
      </c>
      <c r="C404" s="2">
        <v>3</v>
      </c>
      <c r="D404" s="2">
        <v>3</v>
      </c>
      <c r="E404" s="2">
        <v>7</v>
      </c>
      <c r="F404" s="2">
        <v>6</v>
      </c>
    </row>
    <row r="405" spans="1:6" ht="12.5">
      <c r="A405" s="2">
        <v>2202</v>
      </c>
      <c r="B405" s="2">
        <v>11133</v>
      </c>
      <c r="C405" s="2">
        <v>3</v>
      </c>
      <c r="D405" s="2">
        <v>3</v>
      </c>
      <c r="E405" s="2">
        <v>7</v>
      </c>
      <c r="F405" s="2">
        <v>6</v>
      </c>
    </row>
    <row r="406" spans="1:6" ht="12.5">
      <c r="A406" s="2">
        <v>63</v>
      </c>
      <c r="B406" s="2">
        <v>6518</v>
      </c>
      <c r="C406" s="2">
        <v>0</v>
      </c>
      <c r="D406" s="2">
        <v>6</v>
      </c>
      <c r="E406" s="2">
        <v>7</v>
      </c>
      <c r="F406" s="2">
        <v>8</v>
      </c>
    </row>
    <row r="407" spans="1:6" ht="12.5">
      <c r="A407" s="2">
        <v>96</v>
      </c>
      <c r="B407" s="2">
        <v>7247</v>
      </c>
      <c r="C407" s="2">
        <v>0</v>
      </c>
      <c r="D407" s="2">
        <v>0</v>
      </c>
      <c r="E407" s="2">
        <v>7</v>
      </c>
      <c r="F407" s="2">
        <v>6</v>
      </c>
    </row>
    <row r="408" spans="1:6" ht="12.5">
      <c r="A408" s="2">
        <v>187</v>
      </c>
      <c r="B408" s="2">
        <v>3934</v>
      </c>
      <c r="C408" s="2">
        <v>0</v>
      </c>
      <c r="D408" s="2">
        <v>9</v>
      </c>
      <c r="E408" s="2">
        <v>7</v>
      </c>
      <c r="F408" s="2">
        <v>8</v>
      </c>
    </row>
    <row r="409" spans="1:6" ht="12.5">
      <c r="A409" s="2">
        <v>213</v>
      </c>
      <c r="B409" s="2">
        <v>2877</v>
      </c>
      <c r="C409" s="2">
        <v>0</v>
      </c>
      <c r="D409" s="2">
        <v>9</v>
      </c>
      <c r="E409" s="2">
        <v>7</v>
      </c>
      <c r="F409" s="2">
        <v>8</v>
      </c>
    </row>
    <row r="410" spans="1:6" ht="12.5">
      <c r="A410" s="2">
        <v>477</v>
      </c>
      <c r="B410" s="2">
        <v>5512</v>
      </c>
      <c r="C410" s="2">
        <v>0</v>
      </c>
      <c r="D410" s="2">
        <v>4</v>
      </c>
      <c r="E410" s="2">
        <v>7</v>
      </c>
      <c r="F410" s="2">
        <v>8</v>
      </c>
    </row>
    <row r="411" spans="1:6" ht="12.5">
      <c r="A411" s="2">
        <v>648</v>
      </c>
      <c r="B411" s="2">
        <v>4679</v>
      </c>
      <c r="C411" s="2">
        <v>0</v>
      </c>
      <c r="D411" s="2">
        <v>50</v>
      </c>
      <c r="E411" s="2">
        <v>7</v>
      </c>
      <c r="F411" s="2">
        <v>12</v>
      </c>
    </row>
    <row r="412" spans="1:6" ht="12.5">
      <c r="A412" s="2">
        <v>660</v>
      </c>
      <c r="B412" s="2">
        <v>55</v>
      </c>
      <c r="C412" s="2">
        <v>0</v>
      </c>
      <c r="D412" s="2">
        <v>11</v>
      </c>
      <c r="E412" s="2">
        <v>7</v>
      </c>
      <c r="F412" s="2">
        <v>9</v>
      </c>
    </row>
    <row r="413" spans="1:6" ht="12.5">
      <c r="A413" s="2">
        <v>805</v>
      </c>
      <c r="B413" s="2">
        <v>4599</v>
      </c>
      <c r="C413" s="2">
        <v>0</v>
      </c>
      <c r="D413" s="2">
        <v>0</v>
      </c>
      <c r="E413" s="2">
        <v>7</v>
      </c>
      <c r="F413" s="2">
        <v>7</v>
      </c>
    </row>
    <row r="414" spans="1:6" ht="12.5">
      <c r="A414" s="2">
        <v>854</v>
      </c>
      <c r="B414" s="2">
        <v>5794</v>
      </c>
      <c r="C414" s="2">
        <v>0</v>
      </c>
      <c r="D414" s="2">
        <v>0</v>
      </c>
      <c r="E414" s="2">
        <v>7</v>
      </c>
      <c r="F414" s="2">
        <v>7</v>
      </c>
    </row>
    <row r="415" spans="1:6" ht="12.5">
      <c r="A415" s="2">
        <v>1191</v>
      </c>
      <c r="B415" s="2">
        <v>8732</v>
      </c>
      <c r="C415" s="2">
        <v>0</v>
      </c>
      <c r="D415" s="2">
        <v>14</v>
      </c>
      <c r="E415" s="2">
        <v>7</v>
      </c>
      <c r="F415" s="2">
        <v>10</v>
      </c>
    </row>
    <row r="416" spans="1:6" ht="12.5">
      <c r="A416" s="2">
        <v>1255</v>
      </c>
      <c r="B416" s="2">
        <v>6653</v>
      </c>
      <c r="C416" s="2">
        <v>0</v>
      </c>
      <c r="D416" s="2">
        <v>11</v>
      </c>
      <c r="E416" s="2">
        <v>7</v>
      </c>
      <c r="F416" s="2">
        <v>5</v>
      </c>
    </row>
    <row r="417" spans="1:6" ht="12.5">
      <c r="A417" s="2">
        <v>1479</v>
      </c>
      <c r="B417" s="2">
        <v>9559</v>
      </c>
      <c r="C417" s="2">
        <v>0</v>
      </c>
      <c r="D417" s="2">
        <v>0</v>
      </c>
      <c r="E417" s="2">
        <v>7</v>
      </c>
      <c r="F417" s="2">
        <v>13</v>
      </c>
    </row>
    <row r="418" spans="1:6" ht="12.5">
      <c r="A418" s="2">
        <v>1525</v>
      </c>
      <c r="B418" s="2">
        <v>2408</v>
      </c>
      <c r="C418" s="2">
        <v>0</v>
      </c>
      <c r="D418" s="2">
        <v>28</v>
      </c>
      <c r="E418" s="2">
        <v>7</v>
      </c>
      <c r="F418" s="2">
        <v>9</v>
      </c>
    </row>
    <row r="419" spans="1:6" ht="12.5">
      <c r="A419" s="2">
        <v>1561</v>
      </c>
      <c r="B419" s="2">
        <v>879</v>
      </c>
      <c r="C419" s="2">
        <v>0</v>
      </c>
      <c r="D419" s="2">
        <v>0</v>
      </c>
      <c r="E419" s="2">
        <v>7</v>
      </c>
      <c r="F419" s="2">
        <v>7</v>
      </c>
    </row>
    <row r="420" spans="1:6" ht="12.5">
      <c r="A420" s="2">
        <v>1708</v>
      </c>
      <c r="B420" s="2">
        <v>7732</v>
      </c>
      <c r="C420" s="2">
        <v>0</v>
      </c>
      <c r="D420" s="2">
        <v>97</v>
      </c>
      <c r="E420" s="2">
        <v>7</v>
      </c>
      <c r="F420" s="2">
        <v>10</v>
      </c>
    </row>
    <row r="421" spans="1:6" ht="12.5">
      <c r="A421" s="2">
        <v>1735</v>
      </c>
      <c r="B421" s="2">
        <v>10092</v>
      </c>
      <c r="C421" s="2">
        <v>0</v>
      </c>
      <c r="D421" s="2">
        <v>14</v>
      </c>
      <c r="E421" s="2">
        <v>7</v>
      </c>
      <c r="F421" s="2">
        <v>5</v>
      </c>
    </row>
    <row r="422" spans="1:6" ht="12.5">
      <c r="A422" s="2">
        <v>1753</v>
      </c>
      <c r="B422" s="2">
        <v>5092</v>
      </c>
      <c r="C422" s="2">
        <v>0</v>
      </c>
      <c r="D422" s="2">
        <v>0</v>
      </c>
      <c r="E422" s="2">
        <v>7</v>
      </c>
      <c r="F422" s="2">
        <v>7</v>
      </c>
    </row>
    <row r="423" spans="1:6" ht="12.5">
      <c r="A423" s="2">
        <v>2047</v>
      </c>
      <c r="B423" s="2">
        <v>10701</v>
      </c>
      <c r="C423" s="2">
        <v>0</v>
      </c>
      <c r="D423" s="2">
        <v>80</v>
      </c>
      <c r="E423" s="2">
        <v>7</v>
      </c>
      <c r="F423" s="2">
        <v>12</v>
      </c>
    </row>
    <row r="424" spans="1:6" ht="12.5">
      <c r="A424" s="2">
        <v>2126</v>
      </c>
      <c r="B424" s="2">
        <v>2493</v>
      </c>
      <c r="C424" s="2">
        <v>0</v>
      </c>
      <c r="D424" s="2">
        <v>9</v>
      </c>
      <c r="E424" s="2">
        <v>7</v>
      </c>
      <c r="F424" s="2">
        <v>8</v>
      </c>
    </row>
    <row r="425" spans="1:6" ht="12.5">
      <c r="A425" s="2">
        <v>1921</v>
      </c>
      <c r="B425" s="2">
        <v>3283</v>
      </c>
      <c r="C425" s="2">
        <v>193</v>
      </c>
      <c r="D425" s="2">
        <v>185</v>
      </c>
      <c r="E425" s="2">
        <v>6</v>
      </c>
      <c r="F425" s="2">
        <v>12</v>
      </c>
    </row>
    <row r="426" spans="1:6" ht="12.5">
      <c r="A426" s="2">
        <v>1612</v>
      </c>
      <c r="B426" s="2">
        <v>9242</v>
      </c>
      <c r="C426" s="2">
        <v>185</v>
      </c>
      <c r="D426" s="2">
        <v>25</v>
      </c>
      <c r="E426" s="2">
        <v>6</v>
      </c>
      <c r="F426" s="2">
        <v>9</v>
      </c>
    </row>
    <row r="427" spans="1:6" ht="12.5">
      <c r="A427" s="2">
        <v>1552</v>
      </c>
      <c r="B427" s="2">
        <v>8091</v>
      </c>
      <c r="C427" s="2">
        <v>184</v>
      </c>
      <c r="D427" s="2">
        <v>97</v>
      </c>
      <c r="E427" s="2">
        <v>6</v>
      </c>
      <c r="F427" s="2">
        <v>6</v>
      </c>
    </row>
    <row r="428" spans="1:6" ht="12.5">
      <c r="A428" s="2">
        <v>2071</v>
      </c>
      <c r="B428" s="2">
        <v>2712</v>
      </c>
      <c r="C428" s="2">
        <v>178</v>
      </c>
      <c r="D428" s="2">
        <v>39</v>
      </c>
      <c r="E428" s="2">
        <v>6</v>
      </c>
      <c r="F428" s="2">
        <v>10</v>
      </c>
    </row>
    <row r="429" spans="1:6" ht="12.5">
      <c r="A429" s="2">
        <v>2172</v>
      </c>
      <c r="B429" s="2">
        <v>4084</v>
      </c>
      <c r="C429" s="2">
        <v>155</v>
      </c>
      <c r="D429" s="2">
        <v>93</v>
      </c>
      <c r="E429" s="2">
        <v>6</v>
      </c>
      <c r="F429" s="2">
        <v>11</v>
      </c>
    </row>
    <row r="430" spans="1:6" ht="12.5">
      <c r="A430" s="2">
        <v>561</v>
      </c>
      <c r="B430" s="2">
        <v>3179</v>
      </c>
      <c r="C430" s="2">
        <v>153</v>
      </c>
      <c r="D430" s="2">
        <v>134</v>
      </c>
      <c r="E430" s="2">
        <v>6</v>
      </c>
      <c r="F430" s="2">
        <v>7</v>
      </c>
    </row>
    <row r="431" spans="1:6" ht="12.5">
      <c r="A431" s="2">
        <v>1965</v>
      </c>
      <c r="B431" s="2">
        <v>6203</v>
      </c>
      <c r="C431" s="2">
        <v>149</v>
      </c>
      <c r="D431" s="2">
        <v>49</v>
      </c>
      <c r="E431" s="2">
        <v>6</v>
      </c>
      <c r="F431" s="2">
        <v>12</v>
      </c>
    </row>
    <row r="432" spans="1:6" ht="12.5">
      <c r="A432" s="2">
        <v>252</v>
      </c>
      <c r="B432" s="2">
        <v>10089</v>
      </c>
      <c r="C432" s="2">
        <v>148</v>
      </c>
      <c r="D432" s="2">
        <v>172</v>
      </c>
      <c r="E432" s="2">
        <v>6</v>
      </c>
      <c r="F432" s="2">
        <v>13</v>
      </c>
    </row>
    <row r="433" spans="1:6" ht="12.5">
      <c r="A433" s="2">
        <v>803</v>
      </c>
      <c r="B433" s="2">
        <v>9930</v>
      </c>
      <c r="C433" s="2">
        <v>148</v>
      </c>
      <c r="D433" s="2">
        <v>148</v>
      </c>
      <c r="E433" s="2">
        <v>6</v>
      </c>
      <c r="F433" s="2">
        <v>13</v>
      </c>
    </row>
    <row r="434" spans="1:6" ht="12.5">
      <c r="A434" s="2">
        <v>305</v>
      </c>
      <c r="B434" s="2">
        <v>9274</v>
      </c>
      <c r="C434" s="2">
        <v>147</v>
      </c>
      <c r="D434" s="2">
        <v>147</v>
      </c>
      <c r="E434" s="2">
        <v>6</v>
      </c>
      <c r="F434" s="2">
        <v>9</v>
      </c>
    </row>
    <row r="435" spans="1:6" ht="12.5">
      <c r="A435" s="2">
        <v>1199</v>
      </c>
      <c r="B435" s="2">
        <v>7342</v>
      </c>
      <c r="C435" s="2">
        <v>142</v>
      </c>
      <c r="D435" s="2">
        <v>151</v>
      </c>
      <c r="E435" s="2">
        <v>6</v>
      </c>
      <c r="F435" s="2">
        <v>12</v>
      </c>
    </row>
    <row r="436" spans="1:6" ht="12.5">
      <c r="A436" s="2">
        <v>312</v>
      </c>
      <c r="B436" s="2">
        <v>2437</v>
      </c>
      <c r="C436" s="2">
        <v>138</v>
      </c>
      <c r="D436" s="2">
        <v>30</v>
      </c>
      <c r="E436" s="2">
        <v>6</v>
      </c>
      <c r="F436" s="2">
        <v>12</v>
      </c>
    </row>
    <row r="437" spans="1:6" ht="12.5">
      <c r="A437" s="2">
        <v>426</v>
      </c>
      <c r="B437" s="2">
        <v>1340</v>
      </c>
      <c r="C437" s="2">
        <v>137</v>
      </c>
      <c r="D437" s="2">
        <v>103</v>
      </c>
      <c r="E437" s="2">
        <v>6</v>
      </c>
      <c r="F437" s="2">
        <v>13</v>
      </c>
    </row>
    <row r="438" spans="1:6" ht="12.5">
      <c r="A438" s="2">
        <v>519</v>
      </c>
      <c r="B438" s="2">
        <v>3711</v>
      </c>
      <c r="C438" s="2">
        <v>134</v>
      </c>
      <c r="D438" s="2">
        <v>38</v>
      </c>
      <c r="E438" s="2">
        <v>6</v>
      </c>
      <c r="F438" s="2">
        <v>10</v>
      </c>
    </row>
    <row r="439" spans="1:6" ht="12.5">
      <c r="A439" s="2">
        <v>1627</v>
      </c>
      <c r="B439" s="2">
        <v>252</v>
      </c>
      <c r="C439" s="2">
        <v>133</v>
      </c>
      <c r="D439" s="2">
        <v>44</v>
      </c>
      <c r="E439" s="2">
        <v>6</v>
      </c>
      <c r="F439" s="2">
        <v>8</v>
      </c>
    </row>
    <row r="440" spans="1:6" ht="12.5">
      <c r="A440" s="2">
        <v>563</v>
      </c>
      <c r="B440" s="2">
        <v>10681</v>
      </c>
      <c r="C440" s="2">
        <v>129</v>
      </c>
      <c r="D440" s="2">
        <v>121</v>
      </c>
      <c r="E440" s="2">
        <v>6</v>
      </c>
      <c r="F440" s="2">
        <v>12</v>
      </c>
    </row>
    <row r="441" spans="1:6" ht="12.5">
      <c r="A441" s="2">
        <v>632</v>
      </c>
      <c r="B441" s="2">
        <v>5156</v>
      </c>
      <c r="C441" s="2">
        <v>129</v>
      </c>
      <c r="D441" s="2">
        <v>121</v>
      </c>
      <c r="E441" s="2">
        <v>6</v>
      </c>
      <c r="F441" s="2">
        <v>12</v>
      </c>
    </row>
    <row r="442" spans="1:6" ht="12.5">
      <c r="A442" s="2">
        <v>1144</v>
      </c>
      <c r="B442" s="2">
        <v>819</v>
      </c>
      <c r="C442" s="2">
        <v>124</v>
      </c>
      <c r="D442" s="2">
        <v>38</v>
      </c>
      <c r="E442" s="2">
        <v>6</v>
      </c>
      <c r="F442" s="2">
        <v>13</v>
      </c>
    </row>
    <row r="443" spans="1:6" ht="12.5">
      <c r="A443" s="2">
        <v>835</v>
      </c>
      <c r="B443" s="2">
        <v>9904</v>
      </c>
      <c r="C443" s="2">
        <v>123</v>
      </c>
      <c r="D443" s="2">
        <v>123</v>
      </c>
      <c r="E443" s="2">
        <v>6</v>
      </c>
      <c r="F443" s="2">
        <v>12</v>
      </c>
    </row>
    <row r="444" spans="1:6" ht="12.5">
      <c r="A444" s="2">
        <v>110</v>
      </c>
      <c r="B444" s="2">
        <v>5077</v>
      </c>
      <c r="C444" s="2">
        <v>115</v>
      </c>
      <c r="D444" s="2">
        <v>35</v>
      </c>
      <c r="E444" s="2">
        <v>6</v>
      </c>
      <c r="F444" s="2">
        <v>11</v>
      </c>
    </row>
    <row r="445" spans="1:6" ht="12.5">
      <c r="A445" s="2">
        <v>1789</v>
      </c>
      <c r="B445" s="2">
        <v>6173</v>
      </c>
      <c r="C445" s="2">
        <v>115</v>
      </c>
      <c r="D445" s="2">
        <v>35</v>
      </c>
      <c r="E445" s="2">
        <v>6</v>
      </c>
      <c r="F445" s="2">
        <v>11</v>
      </c>
    </row>
    <row r="446" spans="1:6" ht="12.5">
      <c r="A446" s="2">
        <v>241</v>
      </c>
      <c r="B446" s="2">
        <v>9940</v>
      </c>
      <c r="C446" s="2">
        <v>114</v>
      </c>
      <c r="D446" s="2">
        <v>124</v>
      </c>
      <c r="E446" s="2">
        <v>6</v>
      </c>
      <c r="F446" s="2">
        <v>4</v>
      </c>
    </row>
    <row r="447" spans="1:6" ht="12.5">
      <c r="A447" s="2">
        <v>1016</v>
      </c>
      <c r="B447" s="2">
        <v>7010</v>
      </c>
      <c r="C447" s="2">
        <v>114</v>
      </c>
      <c r="D447" s="2">
        <v>152</v>
      </c>
      <c r="E447" s="2">
        <v>6</v>
      </c>
      <c r="F447" s="2">
        <v>7</v>
      </c>
    </row>
    <row r="448" spans="1:6" ht="12.5">
      <c r="A448" s="2">
        <v>1050</v>
      </c>
      <c r="B448" s="2">
        <v>4767</v>
      </c>
      <c r="C448" s="2">
        <v>114</v>
      </c>
      <c r="D448" s="2">
        <v>152</v>
      </c>
      <c r="E448" s="2">
        <v>6</v>
      </c>
      <c r="F448" s="2">
        <v>7</v>
      </c>
    </row>
    <row r="449" spans="1:6" ht="12.5">
      <c r="A449" s="2">
        <v>1934</v>
      </c>
      <c r="B449" s="2">
        <v>6200</v>
      </c>
      <c r="C449" s="2">
        <v>108</v>
      </c>
      <c r="D449" s="2">
        <v>38</v>
      </c>
      <c r="E449" s="2">
        <v>6</v>
      </c>
      <c r="F449" s="2">
        <v>9</v>
      </c>
    </row>
    <row r="450" spans="1:6" ht="12.5">
      <c r="A450" s="2">
        <v>762</v>
      </c>
      <c r="B450" s="2">
        <v>6406</v>
      </c>
      <c r="C450" s="2">
        <v>107</v>
      </c>
      <c r="D450" s="2">
        <v>67</v>
      </c>
      <c r="E450" s="2">
        <v>6</v>
      </c>
      <c r="F450" s="2">
        <v>10</v>
      </c>
    </row>
    <row r="451" spans="1:6" ht="12.5">
      <c r="A451" s="2">
        <v>107</v>
      </c>
      <c r="B451" s="2">
        <v>2683</v>
      </c>
      <c r="C451" s="2">
        <v>106</v>
      </c>
      <c r="D451" s="2">
        <v>98</v>
      </c>
      <c r="E451" s="2">
        <v>6</v>
      </c>
      <c r="F451" s="2">
        <v>12</v>
      </c>
    </row>
    <row r="452" spans="1:6" ht="12.5">
      <c r="A452" s="2">
        <v>29</v>
      </c>
      <c r="B452" s="2">
        <v>1966</v>
      </c>
      <c r="C452" s="2">
        <v>100</v>
      </c>
      <c r="D452" s="2">
        <v>66</v>
      </c>
      <c r="E452" s="2">
        <v>6</v>
      </c>
      <c r="F452" s="2">
        <v>10</v>
      </c>
    </row>
    <row r="453" spans="1:6" ht="12.5">
      <c r="A453" s="2">
        <v>1206</v>
      </c>
      <c r="B453" s="2">
        <v>7789</v>
      </c>
      <c r="C453" s="2">
        <v>100</v>
      </c>
      <c r="D453" s="2">
        <v>66</v>
      </c>
      <c r="E453" s="2">
        <v>6</v>
      </c>
      <c r="F453" s="2">
        <v>10</v>
      </c>
    </row>
    <row r="454" spans="1:6" ht="12.5">
      <c r="A454" s="2">
        <v>286</v>
      </c>
      <c r="B454" s="2">
        <v>10983</v>
      </c>
      <c r="C454" s="2">
        <v>98</v>
      </c>
      <c r="D454" s="2">
        <v>74</v>
      </c>
      <c r="E454" s="2">
        <v>6</v>
      </c>
      <c r="F454" s="2">
        <v>13</v>
      </c>
    </row>
    <row r="455" spans="1:6" ht="12.5">
      <c r="A455" s="2">
        <v>614</v>
      </c>
      <c r="B455" s="2">
        <v>10299</v>
      </c>
      <c r="C455" s="2">
        <v>91</v>
      </c>
      <c r="D455" s="2">
        <v>49</v>
      </c>
      <c r="E455" s="2">
        <v>6</v>
      </c>
      <c r="F455" s="2">
        <v>13</v>
      </c>
    </row>
    <row r="456" spans="1:6" ht="12.5">
      <c r="A456" s="2">
        <v>798</v>
      </c>
      <c r="B456" s="2">
        <v>3749</v>
      </c>
      <c r="C456" s="2">
        <v>91</v>
      </c>
      <c r="D456" s="2">
        <v>91</v>
      </c>
      <c r="E456" s="2">
        <v>6</v>
      </c>
      <c r="F456" s="2">
        <v>12</v>
      </c>
    </row>
    <row r="457" spans="1:6" ht="12.5">
      <c r="A457" s="2">
        <v>1429</v>
      </c>
      <c r="B457" s="2">
        <v>1362</v>
      </c>
      <c r="C457" s="2">
        <v>87</v>
      </c>
      <c r="D457" s="2">
        <v>16</v>
      </c>
      <c r="E457" s="2">
        <v>6</v>
      </c>
      <c r="F457" s="2">
        <v>6</v>
      </c>
    </row>
    <row r="458" spans="1:6" ht="12.5">
      <c r="A458" s="2">
        <v>940</v>
      </c>
      <c r="B458" s="2">
        <v>8957</v>
      </c>
      <c r="C458" s="2">
        <v>86</v>
      </c>
      <c r="D458" s="2">
        <v>86</v>
      </c>
      <c r="E458" s="2">
        <v>6</v>
      </c>
      <c r="F458" s="2">
        <v>5</v>
      </c>
    </row>
    <row r="459" spans="1:6" ht="12.5">
      <c r="A459" s="2">
        <v>556</v>
      </c>
      <c r="B459" s="2">
        <v>448</v>
      </c>
      <c r="C459" s="2">
        <v>85</v>
      </c>
      <c r="D459" s="2">
        <v>45</v>
      </c>
      <c r="E459" s="2">
        <v>6</v>
      </c>
      <c r="F459" s="2">
        <v>11</v>
      </c>
    </row>
    <row r="460" spans="1:6" ht="12.5">
      <c r="A460" s="2">
        <v>511</v>
      </c>
      <c r="B460" s="2">
        <v>4320</v>
      </c>
      <c r="C460" s="2">
        <v>83</v>
      </c>
      <c r="D460" s="2">
        <v>58</v>
      </c>
      <c r="E460" s="2">
        <v>6</v>
      </c>
      <c r="F460" s="2">
        <v>12</v>
      </c>
    </row>
    <row r="461" spans="1:6" ht="12.5">
      <c r="A461" s="2">
        <v>103</v>
      </c>
      <c r="B461" s="2">
        <v>9370</v>
      </c>
      <c r="C461" s="2">
        <v>81</v>
      </c>
      <c r="D461" s="2">
        <v>40</v>
      </c>
      <c r="E461" s="2">
        <v>6</v>
      </c>
      <c r="F461" s="2">
        <v>6</v>
      </c>
    </row>
    <row r="462" spans="1:6" ht="12.5">
      <c r="A462" s="2">
        <v>929</v>
      </c>
      <c r="B462" s="2">
        <v>10673</v>
      </c>
      <c r="C462" s="2">
        <v>80</v>
      </c>
      <c r="D462" s="2">
        <v>13</v>
      </c>
      <c r="E462" s="2">
        <v>6</v>
      </c>
      <c r="F462" s="2">
        <v>5</v>
      </c>
    </row>
    <row r="463" spans="1:6" ht="12.5">
      <c r="A463" s="2">
        <v>231</v>
      </c>
      <c r="B463" s="2">
        <v>5341</v>
      </c>
      <c r="C463" s="2">
        <v>76</v>
      </c>
      <c r="D463" s="2">
        <v>138</v>
      </c>
      <c r="E463" s="2">
        <v>6</v>
      </c>
      <c r="F463" s="2">
        <v>4</v>
      </c>
    </row>
    <row r="464" spans="1:6" ht="12.5">
      <c r="A464" s="2">
        <v>470</v>
      </c>
      <c r="B464" s="2">
        <v>2021</v>
      </c>
      <c r="C464" s="2">
        <v>76</v>
      </c>
      <c r="D464" s="2">
        <v>192</v>
      </c>
      <c r="E464" s="2">
        <v>6</v>
      </c>
      <c r="F464" s="2">
        <v>13</v>
      </c>
    </row>
    <row r="465" spans="1:6" ht="12.5">
      <c r="A465" s="2">
        <v>2087</v>
      </c>
      <c r="B465" s="2">
        <v>6343</v>
      </c>
      <c r="C465" s="2">
        <v>73</v>
      </c>
      <c r="D465" s="2">
        <v>73</v>
      </c>
      <c r="E465" s="2">
        <v>6</v>
      </c>
      <c r="F465" s="2">
        <v>7</v>
      </c>
    </row>
    <row r="466" spans="1:6" ht="12.5">
      <c r="A466" s="2">
        <v>2163</v>
      </c>
      <c r="B466" s="2">
        <v>7313</v>
      </c>
      <c r="C466" s="2">
        <v>73</v>
      </c>
      <c r="D466" s="2">
        <v>102</v>
      </c>
      <c r="E466" s="2">
        <v>6</v>
      </c>
      <c r="F466" s="2">
        <v>11</v>
      </c>
    </row>
    <row r="467" spans="1:6" ht="12.5">
      <c r="A467" s="2">
        <v>1958</v>
      </c>
      <c r="B467" s="2">
        <v>2109</v>
      </c>
      <c r="C467" s="2">
        <v>71</v>
      </c>
      <c r="D467" s="2">
        <v>17</v>
      </c>
      <c r="E467" s="2">
        <v>6</v>
      </c>
      <c r="F467" s="2">
        <v>10</v>
      </c>
    </row>
    <row r="468" spans="1:6" ht="12.5">
      <c r="A468" s="2">
        <v>2117</v>
      </c>
      <c r="B468" s="2">
        <v>8659</v>
      </c>
      <c r="C468" s="2">
        <v>71</v>
      </c>
      <c r="D468" s="2">
        <v>10</v>
      </c>
      <c r="E468" s="2">
        <v>6</v>
      </c>
      <c r="F468" s="2">
        <v>11</v>
      </c>
    </row>
    <row r="469" spans="1:6" ht="12.5">
      <c r="A469" s="2">
        <v>2211</v>
      </c>
      <c r="B469" s="2">
        <v>10469</v>
      </c>
      <c r="C469" s="2">
        <v>71</v>
      </c>
      <c r="D469" s="2">
        <v>27</v>
      </c>
      <c r="E469" s="2">
        <v>6</v>
      </c>
      <c r="F469" s="2">
        <v>9</v>
      </c>
    </row>
    <row r="470" spans="1:6" ht="12.5">
      <c r="A470" s="2">
        <v>878</v>
      </c>
      <c r="B470" s="2">
        <v>1446</v>
      </c>
      <c r="C470" s="2">
        <v>68</v>
      </c>
      <c r="D470" s="2">
        <v>45</v>
      </c>
      <c r="E470" s="2">
        <v>6</v>
      </c>
      <c r="F470" s="2">
        <v>12</v>
      </c>
    </row>
    <row r="471" spans="1:6" ht="12.5">
      <c r="A471" s="2">
        <v>1458</v>
      </c>
      <c r="B471" s="2">
        <v>10133</v>
      </c>
      <c r="C471" s="2">
        <v>68</v>
      </c>
      <c r="D471" s="2">
        <v>114</v>
      </c>
      <c r="E471" s="2">
        <v>6</v>
      </c>
      <c r="F471" s="2">
        <v>12</v>
      </c>
    </row>
    <row r="472" spans="1:6" ht="12.5">
      <c r="A472" s="2">
        <v>133</v>
      </c>
      <c r="B472" s="2">
        <v>1295</v>
      </c>
      <c r="C472" s="2">
        <v>65</v>
      </c>
      <c r="D472" s="2">
        <v>71</v>
      </c>
      <c r="E472" s="2">
        <v>6</v>
      </c>
      <c r="F472" s="2">
        <v>7</v>
      </c>
    </row>
    <row r="473" spans="1:6" ht="12.5">
      <c r="A473" s="2">
        <v>857</v>
      </c>
      <c r="B473" s="2">
        <v>425</v>
      </c>
      <c r="C473" s="2">
        <v>64</v>
      </c>
      <c r="D473" s="2">
        <v>25</v>
      </c>
      <c r="E473" s="2">
        <v>6</v>
      </c>
      <c r="F473" s="2">
        <v>11</v>
      </c>
    </row>
    <row r="474" spans="1:6" ht="12.5">
      <c r="A474" s="2">
        <v>919</v>
      </c>
      <c r="B474" s="2">
        <v>4637</v>
      </c>
      <c r="C474" s="2">
        <v>64</v>
      </c>
      <c r="D474" s="2">
        <v>0</v>
      </c>
      <c r="E474" s="2">
        <v>6</v>
      </c>
      <c r="F474" s="2">
        <v>9</v>
      </c>
    </row>
    <row r="475" spans="1:6" ht="12.5">
      <c r="A475" s="2">
        <v>1399</v>
      </c>
      <c r="B475" s="2">
        <v>10490</v>
      </c>
      <c r="C475" s="2">
        <v>64</v>
      </c>
      <c r="D475" s="2">
        <v>0</v>
      </c>
      <c r="E475" s="2">
        <v>6</v>
      </c>
      <c r="F475" s="2">
        <v>4</v>
      </c>
    </row>
    <row r="476" spans="1:6" ht="12.5">
      <c r="A476" s="2">
        <v>240</v>
      </c>
      <c r="B476" s="2">
        <v>313</v>
      </c>
      <c r="C476" s="2">
        <v>61</v>
      </c>
      <c r="D476" s="2">
        <v>163</v>
      </c>
      <c r="E476" s="2">
        <v>6</v>
      </c>
      <c r="F476" s="2">
        <v>10</v>
      </c>
    </row>
    <row r="477" spans="1:6" ht="12.5">
      <c r="A477" s="2">
        <v>673</v>
      </c>
      <c r="B477" s="2">
        <v>3197</v>
      </c>
      <c r="C477" s="2">
        <v>59</v>
      </c>
      <c r="D477" s="2">
        <v>101</v>
      </c>
      <c r="E477" s="2">
        <v>6</v>
      </c>
      <c r="F477" s="2">
        <v>8</v>
      </c>
    </row>
    <row r="478" spans="1:6" ht="12.5">
      <c r="A478" s="2">
        <v>896</v>
      </c>
      <c r="B478" s="2">
        <v>5519</v>
      </c>
      <c r="C478" s="2">
        <v>58</v>
      </c>
      <c r="D478" s="2">
        <v>51</v>
      </c>
      <c r="E478" s="2">
        <v>6</v>
      </c>
      <c r="F478" s="2">
        <v>4</v>
      </c>
    </row>
    <row r="479" spans="1:6" ht="12.5">
      <c r="A479" s="2">
        <v>1331</v>
      </c>
      <c r="B479" s="2">
        <v>5621</v>
      </c>
      <c r="C479" s="2">
        <v>57</v>
      </c>
      <c r="D479" s="2">
        <v>15</v>
      </c>
      <c r="E479" s="2">
        <v>6</v>
      </c>
      <c r="F479" s="2">
        <v>5</v>
      </c>
    </row>
    <row r="480" spans="1:6" ht="12.5">
      <c r="A480" s="2">
        <v>662</v>
      </c>
      <c r="B480" s="2">
        <v>5084</v>
      </c>
      <c r="C480" s="2">
        <v>53</v>
      </c>
      <c r="D480" s="2">
        <v>98</v>
      </c>
      <c r="E480" s="2">
        <v>6</v>
      </c>
      <c r="F480" s="2">
        <v>13</v>
      </c>
    </row>
    <row r="481" spans="1:6" ht="12.5">
      <c r="A481" s="2">
        <v>752</v>
      </c>
      <c r="B481" s="2">
        <v>7094</v>
      </c>
      <c r="C481" s="2">
        <v>53</v>
      </c>
      <c r="D481" s="2">
        <v>98</v>
      </c>
      <c r="E481" s="2">
        <v>6</v>
      </c>
      <c r="F481" s="2">
        <v>13</v>
      </c>
    </row>
    <row r="482" spans="1:6" ht="12.5">
      <c r="A482" s="2">
        <v>120</v>
      </c>
      <c r="B482" s="2">
        <v>9805</v>
      </c>
      <c r="C482" s="2">
        <v>48</v>
      </c>
      <c r="D482" s="2">
        <v>72</v>
      </c>
      <c r="E482" s="2">
        <v>6</v>
      </c>
      <c r="F482" s="2">
        <v>10</v>
      </c>
    </row>
    <row r="483" spans="1:6" ht="12.5">
      <c r="A483" s="2">
        <v>787</v>
      </c>
      <c r="B483" s="2">
        <v>6299</v>
      </c>
      <c r="C483" s="2">
        <v>48</v>
      </c>
      <c r="D483" s="2">
        <v>18</v>
      </c>
      <c r="E483" s="2">
        <v>6</v>
      </c>
      <c r="F483" s="2">
        <v>4</v>
      </c>
    </row>
    <row r="484" spans="1:6" ht="12.5">
      <c r="A484" s="2">
        <v>1140</v>
      </c>
      <c r="B484" s="2">
        <v>849</v>
      </c>
      <c r="C484" s="2">
        <v>48</v>
      </c>
      <c r="D484" s="2">
        <v>72</v>
      </c>
      <c r="E484" s="2">
        <v>6</v>
      </c>
      <c r="F484" s="2">
        <v>10</v>
      </c>
    </row>
    <row r="485" spans="1:6" ht="12.5">
      <c r="A485" s="2">
        <v>1906</v>
      </c>
      <c r="B485" s="2">
        <v>17</v>
      </c>
      <c r="C485" s="2">
        <v>47</v>
      </c>
      <c r="D485" s="2">
        <v>19</v>
      </c>
      <c r="E485" s="2">
        <v>6</v>
      </c>
      <c r="F485" s="2">
        <v>7</v>
      </c>
    </row>
    <row r="486" spans="1:6" ht="12.5">
      <c r="A486" s="2">
        <v>1006</v>
      </c>
      <c r="B486" s="2">
        <v>8952</v>
      </c>
      <c r="C486" s="2">
        <v>46</v>
      </c>
      <c r="D486" s="2">
        <v>38</v>
      </c>
      <c r="E486" s="2">
        <v>6</v>
      </c>
      <c r="F486" s="2">
        <v>10</v>
      </c>
    </row>
    <row r="487" spans="1:6" ht="12.5">
      <c r="A487" s="2">
        <v>1163</v>
      </c>
      <c r="B487" s="2">
        <v>6905</v>
      </c>
      <c r="C487" s="2">
        <v>45</v>
      </c>
      <c r="D487" s="2">
        <v>26</v>
      </c>
      <c r="E487" s="2">
        <v>6</v>
      </c>
      <c r="F487" s="2">
        <v>10</v>
      </c>
    </row>
    <row r="488" spans="1:6" ht="12.5">
      <c r="A488" s="2">
        <v>113</v>
      </c>
      <c r="B488" s="2">
        <v>999</v>
      </c>
      <c r="C488" s="2">
        <v>44</v>
      </c>
      <c r="D488" s="2">
        <v>20</v>
      </c>
      <c r="E488" s="2">
        <v>6</v>
      </c>
      <c r="F488" s="2">
        <v>11</v>
      </c>
    </row>
    <row r="489" spans="1:6" ht="12.5">
      <c r="A489" s="2">
        <v>313</v>
      </c>
      <c r="B489" s="2">
        <v>6320</v>
      </c>
      <c r="C489" s="2">
        <v>44</v>
      </c>
      <c r="D489" s="2">
        <v>44</v>
      </c>
      <c r="E489" s="2">
        <v>6</v>
      </c>
      <c r="F489" s="2">
        <v>10</v>
      </c>
    </row>
    <row r="490" spans="1:6" ht="12.5">
      <c r="A490" s="2">
        <v>1076</v>
      </c>
      <c r="B490" s="2">
        <v>4207</v>
      </c>
      <c r="C490" s="2">
        <v>44</v>
      </c>
      <c r="D490" s="2">
        <v>44</v>
      </c>
      <c r="E490" s="2">
        <v>6</v>
      </c>
      <c r="F490" s="2">
        <v>11</v>
      </c>
    </row>
    <row r="491" spans="1:6" ht="12.5">
      <c r="A491" s="2">
        <v>1530</v>
      </c>
      <c r="B491" s="2">
        <v>6050</v>
      </c>
      <c r="C491" s="2">
        <v>43</v>
      </c>
      <c r="D491" s="2">
        <v>14</v>
      </c>
      <c r="E491" s="2">
        <v>6</v>
      </c>
      <c r="F491" s="2">
        <v>13</v>
      </c>
    </row>
    <row r="492" spans="1:6" ht="12.5">
      <c r="A492" s="2">
        <v>1967</v>
      </c>
      <c r="B492" s="2">
        <v>3595</v>
      </c>
      <c r="C492" s="2">
        <v>43</v>
      </c>
      <c r="D492" s="2">
        <v>76</v>
      </c>
      <c r="E492" s="2">
        <v>6</v>
      </c>
      <c r="F492" s="2">
        <v>12</v>
      </c>
    </row>
    <row r="493" spans="1:6" ht="12.5">
      <c r="A493" s="2">
        <v>5</v>
      </c>
      <c r="B493" s="2">
        <v>7446</v>
      </c>
      <c r="C493" s="2">
        <v>42</v>
      </c>
      <c r="D493" s="2">
        <v>42</v>
      </c>
      <c r="E493" s="2">
        <v>6</v>
      </c>
      <c r="F493" s="2">
        <v>10</v>
      </c>
    </row>
    <row r="494" spans="1:6" ht="12.5">
      <c r="A494" s="2">
        <v>750</v>
      </c>
      <c r="B494" s="2">
        <v>6974</v>
      </c>
      <c r="C494" s="2">
        <v>42</v>
      </c>
      <c r="D494" s="2">
        <v>56</v>
      </c>
      <c r="E494" s="2">
        <v>6</v>
      </c>
      <c r="F494" s="2">
        <v>5</v>
      </c>
    </row>
    <row r="495" spans="1:6" ht="12.5">
      <c r="A495" s="2">
        <v>1133</v>
      </c>
      <c r="B495" s="2">
        <v>2975</v>
      </c>
      <c r="C495" s="2">
        <v>42</v>
      </c>
      <c r="D495" s="2">
        <v>30</v>
      </c>
      <c r="E495" s="2">
        <v>6</v>
      </c>
      <c r="F495" s="2">
        <v>9</v>
      </c>
    </row>
    <row r="496" spans="1:6" ht="12.5">
      <c r="A496" s="2">
        <v>864</v>
      </c>
      <c r="B496" s="2">
        <v>4120</v>
      </c>
      <c r="C496" s="2">
        <v>39</v>
      </c>
      <c r="D496" s="2">
        <v>13</v>
      </c>
      <c r="E496" s="2">
        <v>6</v>
      </c>
      <c r="F496" s="2">
        <v>4</v>
      </c>
    </row>
    <row r="497" spans="1:6" ht="12.5">
      <c r="A497" s="2">
        <v>51</v>
      </c>
      <c r="B497" s="2">
        <v>4114</v>
      </c>
      <c r="C497" s="2">
        <v>37</v>
      </c>
      <c r="D497" s="2">
        <v>167</v>
      </c>
      <c r="E497" s="2">
        <v>6</v>
      </c>
      <c r="F497" s="2">
        <v>13</v>
      </c>
    </row>
    <row r="498" spans="1:6" ht="12.5">
      <c r="A498" s="2">
        <v>436</v>
      </c>
      <c r="B498" s="2">
        <v>9699</v>
      </c>
      <c r="C498" s="2">
        <v>35</v>
      </c>
      <c r="D498" s="2">
        <v>28</v>
      </c>
      <c r="E498" s="2">
        <v>6</v>
      </c>
      <c r="F498" s="2">
        <v>12</v>
      </c>
    </row>
    <row r="499" spans="1:6" ht="12.5">
      <c r="A499" s="2">
        <v>1474</v>
      </c>
      <c r="B499" s="2">
        <v>25</v>
      </c>
      <c r="C499" s="2">
        <v>35</v>
      </c>
      <c r="D499" s="2">
        <v>12</v>
      </c>
      <c r="E499" s="2">
        <v>6</v>
      </c>
      <c r="F499" s="2">
        <v>7</v>
      </c>
    </row>
    <row r="500" spans="1:6" ht="12.5">
      <c r="A500" s="2">
        <v>2052</v>
      </c>
      <c r="B500" s="2">
        <v>2591</v>
      </c>
      <c r="C500" s="2">
        <v>35</v>
      </c>
      <c r="D500" s="2">
        <v>53</v>
      </c>
      <c r="E500" s="2">
        <v>6</v>
      </c>
      <c r="F500" s="2">
        <v>4</v>
      </c>
    </row>
    <row r="501" spans="1:6" ht="12.5">
      <c r="A501" s="2">
        <v>350</v>
      </c>
      <c r="B501" s="2">
        <v>2579</v>
      </c>
      <c r="C501" s="2">
        <v>33</v>
      </c>
      <c r="D501" s="2">
        <v>33</v>
      </c>
      <c r="E501" s="2">
        <v>6</v>
      </c>
      <c r="F501" s="2">
        <v>9</v>
      </c>
    </row>
    <row r="502" spans="1:6" ht="12.5">
      <c r="A502" s="2">
        <v>1108</v>
      </c>
      <c r="B502" s="2">
        <v>4741</v>
      </c>
      <c r="C502" s="2">
        <v>32</v>
      </c>
      <c r="D502" s="2">
        <v>32</v>
      </c>
      <c r="E502" s="2">
        <v>6</v>
      </c>
      <c r="F502" s="2">
        <v>9</v>
      </c>
    </row>
    <row r="503" spans="1:6" ht="12.5">
      <c r="A503" s="2">
        <v>1723</v>
      </c>
      <c r="B503" s="2">
        <v>4686</v>
      </c>
      <c r="C503" s="2">
        <v>31</v>
      </c>
      <c r="D503" s="2">
        <v>95</v>
      </c>
      <c r="E503" s="2">
        <v>6</v>
      </c>
      <c r="F503" s="2">
        <v>13</v>
      </c>
    </row>
    <row r="504" spans="1:6" ht="12.5">
      <c r="A504" s="2">
        <v>1666</v>
      </c>
      <c r="B504" s="2">
        <v>6912</v>
      </c>
      <c r="C504" s="2">
        <v>30</v>
      </c>
      <c r="D504" s="2">
        <v>22</v>
      </c>
      <c r="E504" s="2">
        <v>6</v>
      </c>
      <c r="F504" s="2">
        <v>12</v>
      </c>
    </row>
    <row r="505" spans="1:6" ht="12.5">
      <c r="A505" s="2">
        <v>2238</v>
      </c>
      <c r="B505" s="2">
        <v>8235</v>
      </c>
      <c r="C505" s="2">
        <v>30</v>
      </c>
      <c r="D505" s="2">
        <v>30</v>
      </c>
      <c r="E505" s="2">
        <v>6</v>
      </c>
      <c r="F505" s="2">
        <v>10</v>
      </c>
    </row>
    <row r="506" spans="1:6" ht="12.5">
      <c r="A506" s="2">
        <v>2034</v>
      </c>
      <c r="B506" s="2">
        <v>983</v>
      </c>
      <c r="C506" s="2">
        <v>29</v>
      </c>
      <c r="D506" s="2">
        <v>10</v>
      </c>
      <c r="E506" s="2">
        <v>6</v>
      </c>
      <c r="F506" s="2">
        <v>3</v>
      </c>
    </row>
    <row r="507" spans="1:6" ht="12.5">
      <c r="A507" s="2">
        <v>287</v>
      </c>
      <c r="B507" s="2">
        <v>8148</v>
      </c>
      <c r="C507" s="2">
        <v>28</v>
      </c>
      <c r="D507" s="2">
        <v>114</v>
      </c>
      <c r="E507" s="2">
        <v>6</v>
      </c>
      <c r="F507" s="2">
        <v>12</v>
      </c>
    </row>
    <row r="508" spans="1:6" ht="12.5">
      <c r="A508" s="2">
        <v>925</v>
      </c>
      <c r="B508" s="2">
        <v>5871</v>
      </c>
      <c r="C508" s="2">
        <v>28</v>
      </c>
      <c r="D508" s="2">
        <v>24</v>
      </c>
      <c r="E508" s="2">
        <v>6</v>
      </c>
      <c r="F508" s="2">
        <v>6</v>
      </c>
    </row>
    <row r="509" spans="1:6" ht="12.5">
      <c r="A509" s="2">
        <v>1058</v>
      </c>
      <c r="B509" s="2">
        <v>4507</v>
      </c>
      <c r="C509" s="2">
        <v>28</v>
      </c>
      <c r="D509" s="2">
        <v>14</v>
      </c>
      <c r="E509" s="2">
        <v>6</v>
      </c>
      <c r="F509" s="2">
        <v>8</v>
      </c>
    </row>
    <row r="510" spans="1:6" ht="12.5">
      <c r="A510" s="2">
        <v>1120</v>
      </c>
      <c r="B510" s="2">
        <v>850</v>
      </c>
      <c r="C510" s="2">
        <v>28</v>
      </c>
      <c r="D510" s="2">
        <v>28</v>
      </c>
      <c r="E510" s="2">
        <v>6</v>
      </c>
      <c r="F510" s="2">
        <v>9</v>
      </c>
    </row>
    <row r="511" spans="1:6" ht="12.5">
      <c r="A511" s="2">
        <v>1251</v>
      </c>
      <c r="B511" s="2">
        <v>8534</v>
      </c>
      <c r="C511" s="2">
        <v>28</v>
      </c>
      <c r="D511" s="2">
        <v>48</v>
      </c>
      <c r="E511" s="2">
        <v>6</v>
      </c>
      <c r="F511" s="2">
        <v>13</v>
      </c>
    </row>
    <row r="512" spans="1:6" ht="12.5">
      <c r="A512" s="2">
        <v>2115</v>
      </c>
      <c r="B512" s="2">
        <v>9907</v>
      </c>
      <c r="C512" s="2">
        <v>28</v>
      </c>
      <c r="D512" s="2">
        <v>9</v>
      </c>
      <c r="E512" s="2">
        <v>6</v>
      </c>
      <c r="F512" s="2">
        <v>10</v>
      </c>
    </row>
    <row r="513" spans="1:6" ht="12.5">
      <c r="A513" s="2">
        <v>124</v>
      </c>
      <c r="B513" s="2">
        <v>7215</v>
      </c>
      <c r="C513" s="2">
        <v>27</v>
      </c>
      <c r="D513" s="2">
        <v>72</v>
      </c>
      <c r="E513" s="2">
        <v>6</v>
      </c>
      <c r="F513" s="2">
        <v>13</v>
      </c>
    </row>
    <row r="514" spans="1:6" ht="12.5">
      <c r="A514" s="2">
        <v>182</v>
      </c>
      <c r="B514" s="2">
        <v>10562</v>
      </c>
      <c r="C514" s="2">
        <v>26</v>
      </c>
      <c r="D514" s="2">
        <v>17</v>
      </c>
      <c r="E514" s="2">
        <v>6</v>
      </c>
      <c r="F514" s="2">
        <v>13</v>
      </c>
    </row>
    <row r="515" spans="1:6" ht="12.5">
      <c r="A515" s="2">
        <v>744</v>
      </c>
      <c r="B515" s="2">
        <v>5278</v>
      </c>
      <c r="C515" s="2">
        <v>26</v>
      </c>
      <c r="D515" s="2">
        <v>31</v>
      </c>
      <c r="E515" s="2">
        <v>6</v>
      </c>
      <c r="F515" s="2">
        <v>5</v>
      </c>
    </row>
    <row r="516" spans="1:6" ht="12.5">
      <c r="A516" s="2">
        <v>1269</v>
      </c>
      <c r="B516" s="2">
        <v>9400</v>
      </c>
      <c r="C516" s="2">
        <v>26</v>
      </c>
      <c r="D516" s="2">
        <v>18</v>
      </c>
      <c r="E516" s="2">
        <v>6</v>
      </c>
      <c r="F516" s="2">
        <v>6</v>
      </c>
    </row>
    <row r="517" spans="1:6" ht="12.5">
      <c r="A517" s="2">
        <v>1434</v>
      </c>
      <c r="B517" s="2">
        <v>3388</v>
      </c>
      <c r="C517" s="2">
        <v>26</v>
      </c>
      <c r="D517" s="2">
        <v>67</v>
      </c>
      <c r="E517" s="2">
        <v>6</v>
      </c>
      <c r="F517" s="2">
        <v>5</v>
      </c>
    </row>
    <row r="518" spans="1:6" ht="12.5">
      <c r="A518" s="2">
        <v>1747</v>
      </c>
      <c r="B518" s="2">
        <v>7881</v>
      </c>
      <c r="C518" s="2">
        <v>26</v>
      </c>
      <c r="D518" s="2">
        <v>17</v>
      </c>
      <c r="E518" s="2">
        <v>6</v>
      </c>
      <c r="F518" s="2">
        <v>13</v>
      </c>
    </row>
    <row r="519" spans="1:6" ht="12.5">
      <c r="A519" s="2">
        <v>1798</v>
      </c>
      <c r="B519" s="2">
        <v>8439</v>
      </c>
      <c r="C519" s="2">
        <v>26</v>
      </c>
      <c r="D519" s="2">
        <v>44</v>
      </c>
      <c r="E519" s="2">
        <v>6</v>
      </c>
      <c r="F519" s="2">
        <v>4</v>
      </c>
    </row>
    <row r="520" spans="1:6" ht="12.5">
      <c r="A520" s="2">
        <v>726</v>
      </c>
      <c r="B520" s="2">
        <v>6086</v>
      </c>
      <c r="C520" s="2">
        <v>25</v>
      </c>
      <c r="D520" s="2">
        <v>76</v>
      </c>
      <c r="E520" s="2">
        <v>6</v>
      </c>
      <c r="F520" s="2">
        <v>12</v>
      </c>
    </row>
    <row r="521" spans="1:6" ht="12.5">
      <c r="A521" s="2">
        <v>1354</v>
      </c>
      <c r="B521" s="2">
        <v>2407</v>
      </c>
      <c r="C521" s="2">
        <v>25</v>
      </c>
      <c r="D521" s="2">
        <v>29</v>
      </c>
      <c r="E521" s="2">
        <v>6</v>
      </c>
      <c r="F521" s="2">
        <v>7</v>
      </c>
    </row>
    <row r="522" spans="1:6" ht="12.5">
      <c r="A522" s="2">
        <v>1485</v>
      </c>
      <c r="B522" s="2">
        <v>9988</v>
      </c>
      <c r="C522" s="2">
        <v>25</v>
      </c>
      <c r="D522" s="2">
        <v>67</v>
      </c>
      <c r="E522" s="2">
        <v>6</v>
      </c>
      <c r="F522" s="2">
        <v>13</v>
      </c>
    </row>
    <row r="523" spans="1:6" ht="12.5">
      <c r="A523" s="2">
        <v>1864</v>
      </c>
      <c r="B523" s="2">
        <v>9064</v>
      </c>
      <c r="C523" s="2">
        <v>25</v>
      </c>
      <c r="D523" s="2">
        <v>29</v>
      </c>
      <c r="E523" s="2">
        <v>6</v>
      </c>
      <c r="F523" s="2">
        <v>7</v>
      </c>
    </row>
    <row r="524" spans="1:6" ht="12.5">
      <c r="A524" s="2">
        <v>1662</v>
      </c>
      <c r="B524" s="2">
        <v>6457</v>
      </c>
      <c r="C524" s="2">
        <v>24</v>
      </c>
      <c r="D524" s="2">
        <v>24</v>
      </c>
      <c r="E524" s="2">
        <v>6</v>
      </c>
      <c r="F524" s="2">
        <v>12</v>
      </c>
    </row>
    <row r="525" spans="1:6" ht="12.5">
      <c r="A525" s="2">
        <v>1743</v>
      </c>
      <c r="B525" s="2">
        <v>10814</v>
      </c>
      <c r="C525" s="2">
        <v>23</v>
      </c>
      <c r="D525" s="2">
        <v>26</v>
      </c>
      <c r="E525" s="2">
        <v>6</v>
      </c>
      <c r="F525" s="2">
        <v>13</v>
      </c>
    </row>
    <row r="526" spans="1:6" ht="12.5">
      <c r="A526" s="2">
        <v>1973</v>
      </c>
      <c r="B526" s="2">
        <v>9507</v>
      </c>
      <c r="C526" s="2">
        <v>23</v>
      </c>
      <c r="D526" s="2">
        <v>23</v>
      </c>
      <c r="E526" s="2">
        <v>6</v>
      </c>
      <c r="F526" s="2">
        <v>5</v>
      </c>
    </row>
    <row r="527" spans="1:6" ht="12.5">
      <c r="A527" s="2">
        <v>1996</v>
      </c>
      <c r="B527" s="2">
        <v>4122</v>
      </c>
      <c r="C527" s="2">
        <v>23</v>
      </c>
      <c r="D527" s="2">
        <v>28</v>
      </c>
      <c r="E527" s="2">
        <v>6</v>
      </c>
      <c r="F527" s="2">
        <v>4</v>
      </c>
    </row>
    <row r="528" spans="1:6" ht="12.5">
      <c r="A528" s="2">
        <v>478</v>
      </c>
      <c r="B528" s="2">
        <v>8970</v>
      </c>
      <c r="C528" s="2">
        <v>22</v>
      </c>
      <c r="D528" s="2">
        <v>0</v>
      </c>
      <c r="E528" s="2">
        <v>6</v>
      </c>
      <c r="F528" s="2">
        <v>7</v>
      </c>
    </row>
    <row r="529" spans="1:6" ht="12.5">
      <c r="A529" s="2">
        <v>624</v>
      </c>
      <c r="B529" s="2">
        <v>6583</v>
      </c>
      <c r="C529" s="2">
        <v>22</v>
      </c>
      <c r="D529" s="2">
        <v>35</v>
      </c>
      <c r="E529" s="2">
        <v>6</v>
      </c>
      <c r="F529" s="2">
        <v>6</v>
      </c>
    </row>
    <row r="530" spans="1:6" ht="12.5">
      <c r="A530" s="2">
        <v>634</v>
      </c>
      <c r="B530" s="2">
        <v>8923</v>
      </c>
      <c r="C530" s="2">
        <v>22</v>
      </c>
      <c r="D530" s="2">
        <v>198</v>
      </c>
      <c r="E530" s="2">
        <v>6</v>
      </c>
      <c r="F530" s="2">
        <v>7</v>
      </c>
    </row>
    <row r="531" spans="1:6" ht="12.5">
      <c r="A531" s="2">
        <v>1673</v>
      </c>
      <c r="B531" s="2">
        <v>3433</v>
      </c>
      <c r="C531" s="2">
        <v>22</v>
      </c>
      <c r="D531" s="2">
        <v>35</v>
      </c>
      <c r="E531" s="2">
        <v>6</v>
      </c>
      <c r="F531" s="2">
        <v>6</v>
      </c>
    </row>
    <row r="532" spans="1:6" ht="12.5">
      <c r="A532" s="2">
        <v>639</v>
      </c>
      <c r="B532" s="2">
        <v>701</v>
      </c>
      <c r="C532" s="2">
        <v>21</v>
      </c>
      <c r="D532" s="2">
        <v>43</v>
      </c>
      <c r="E532" s="2">
        <v>6</v>
      </c>
      <c r="F532" s="2">
        <v>8</v>
      </c>
    </row>
    <row r="533" spans="1:6" ht="12.5">
      <c r="A533" s="2">
        <v>966</v>
      </c>
      <c r="B533" s="2">
        <v>10489</v>
      </c>
      <c r="C533" s="2">
        <v>21</v>
      </c>
      <c r="D533" s="2">
        <v>24</v>
      </c>
      <c r="E533" s="2">
        <v>6</v>
      </c>
      <c r="F533" s="2">
        <v>9</v>
      </c>
    </row>
    <row r="534" spans="1:6" ht="12.5">
      <c r="A534" s="2">
        <v>1278</v>
      </c>
      <c r="B534" s="2">
        <v>2931</v>
      </c>
      <c r="C534" s="2">
        <v>21</v>
      </c>
      <c r="D534" s="2">
        <v>63</v>
      </c>
      <c r="E534" s="2">
        <v>6</v>
      </c>
      <c r="F534" s="2">
        <v>9</v>
      </c>
    </row>
    <row r="535" spans="1:6" ht="12.5">
      <c r="A535" s="2">
        <v>1432</v>
      </c>
      <c r="B535" s="2">
        <v>9349</v>
      </c>
      <c r="C535" s="2">
        <v>21</v>
      </c>
      <c r="D535" s="2">
        <v>147</v>
      </c>
      <c r="E535" s="2">
        <v>6</v>
      </c>
      <c r="F535" s="2">
        <v>11</v>
      </c>
    </row>
    <row r="536" spans="1:6" ht="12.5">
      <c r="A536" s="2">
        <v>1845</v>
      </c>
      <c r="B536" s="2">
        <v>7872</v>
      </c>
      <c r="C536" s="2">
        <v>21</v>
      </c>
      <c r="D536" s="2">
        <v>21</v>
      </c>
      <c r="E536" s="2">
        <v>6</v>
      </c>
      <c r="F536" s="2">
        <v>6</v>
      </c>
    </row>
    <row r="537" spans="1:6" ht="12.5">
      <c r="A537" s="2">
        <v>859</v>
      </c>
      <c r="B537" s="2">
        <v>1031</v>
      </c>
      <c r="C537" s="2">
        <v>20</v>
      </c>
      <c r="D537" s="2">
        <v>30</v>
      </c>
      <c r="E537" s="2">
        <v>6</v>
      </c>
      <c r="F537" s="2">
        <v>10</v>
      </c>
    </row>
    <row r="538" spans="1:6" ht="12.5">
      <c r="A538" s="2">
        <v>1012</v>
      </c>
      <c r="B538" s="2">
        <v>1710</v>
      </c>
      <c r="C538" s="2">
        <v>20</v>
      </c>
      <c r="D538" s="2">
        <v>12</v>
      </c>
      <c r="E538" s="2">
        <v>6</v>
      </c>
      <c r="F538" s="2">
        <v>4</v>
      </c>
    </row>
    <row r="539" spans="1:6" ht="12.5">
      <c r="A539" s="2">
        <v>1716</v>
      </c>
      <c r="B539" s="2">
        <v>10091</v>
      </c>
      <c r="C539" s="2">
        <v>20</v>
      </c>
      <c r="D539" s="2">
        <v>81</v>
      </c>
      <c r="E539" s="2">
        <v>6</v>
      </c>
      <c r="F539" s="2">
        <v>6</v>
      </c>
    </row>
    <row r="540" spans="1:6" ht="12.5">
      <c r="A540" s="2">
        <v>129</v>
      </c>
      <c r="B540" s="2">
        <v>11051</v>
      </c>
      <c r="C540" s="2">
        <v>19</v>
      </c>
      <c r="D540" s="2">
        <v>12</v>
      </c>
      <c r="E540" s="2">
        <v>6</v>
      </c>
      <c r="F540" s="2">
        <v>10</v>
      </c>
    </row>
    <row r="541" spans="1:6" ht="12.5">
      <c r="A541" s="2">
        <v>1000</v>
      </c>
      <c r="B541" s="2">
        <v>10473</v>
      </c>
      <c r="C541" s="2">
        <v>19</v>
      </c>
      <c r="D541" s="2">
        <v>0</v>
      </c>
      <c r="E541" s="2">
        <v>6</v>
      </c>
      <c r="F541" s="2">
        <v>9</v>
      </c>
    </row>
    <row r="542" spans="1:6" ht="12.5">
      <c r="A542" s="2">
        <v>1090</v>
      </c>
      <c r="B542" s="2">
        <v>1127</v>
      </c>
      <c r="C542" s="2">
        <v>19</v>
      </c>
      <c r="D542" s="2">
        <v>95</v>
      </c>
      <c r="E542" s="2">
        <v>6</v>
      </c>
      <c r="F542" s="2">
        <v>7</v>
      </c>
    </row>
    <row r="543" spans="1:6" ht="12.5">
      <c r="A543" s="2">
        <v>1873</v>
      </c>
      <c r="B543" s="2">
        <v>6715</v>
      </c>
      <c r="C543" s="2">
        <v>19</v>
      </c>
      <c r="D543" s="2">
        <v>6</v>
      </c>
      <c r="E543" s="2">
        <v>6</v>
      </c>
      <c r="F543" s="2">
        <v>11</v>
      </c>
    </row>
    <row r="544" spans="1:6" ht="12.5">
      <c r="A544" s="2">
        <v>2173</v>
      </c>
      <c r="B544" s="2">
        <v>6721</v>
      </c>
      <c r="C544" s="2">
        <v>19</v>
      </c>
      <c r="D544" s="2">
        <v>38</v>
      </c>
      <c r="E544" s="2">
        <v>6</v>
      </c>
      <c r="F544" s="2">
        <v>5</v>
      </c>
    </row>
    <row r="545" spans="1:6" ht="12.5">
      <c r="A545" s="2">
        <v>512</v>
      </c>
      <c r="B545" s="2">
        <v>5389</v>
      </c>
      <c r="C545" s="2">
        <v>17</v>
      </c>
      <c r="D545" s="2">
        <v>10</v>
      </c>
      <c r="E545" s="2">
        <v>6</v>
      </c>
      <c r="F545" s="2">
        <v>5</v>
      </c>
    </row>
    <row r="546" spans="1:6" ht="12.5">
      <c r="A546" s="2">
        <v>1261</v>
      </c>
      <c r="B546" s="2">
        <v>3979</v>
      </c>
      <c r="C546" s="2">
        <v>17</v>
      </c>
      <c r="D546" s="2">
        <v>34</v>
      </c>
      <c r="E546" s="2">
        <v>6</v>
      </c>
      <c r="F546" s="2">
        <v>8</v>
      </c>
    </row>
    <row r="547" spans="1:6" ht="12.5">
      <c r="A547" s="2">
        <v>1357</v>
      </c>
      <c r="B547" s="2">
        <v>7712</v>
      </c>
      <c r="C547" s="2">
        <v>17</v>
      </c>
      <c r="D547" s="2">
        <v>70</v>
      </c>
      <c r="E547" s="2">
        <v>6</v>
      </c>
      <c r="F547" s="2">
        <v>10</v>
      </c>
    </row>
    <row r="548" spans="1:6" ht="12.5">
      <c r="A548" s="2">
        <v>1489</v>
      </c>
      <c r="B548" s="2">
        <v>5763</v>
      </c>
      <c r="C548" s="2">
        <v>17</v>
      </c>
      <c r="D548" s="2">
        <v>0</v>
      </c>
      <c r="E548" s="2">
        <v>6</v>
      </c>
      <c r="F548" s="2">
        <v>5</v>
      </c>
    </row>
    <row r="549" spans="1:6" ht="12.5">
      <c r="A549" s="2">
        <v>1832</v>
      </c>
      <c r="B549" s="2">
        <v>7129</v>
      </c>
      <c r="C549" s="2">
        <v>17</v>
      </c>
      <c r="D549" s="2">
        <v>26</v>
      </c>
      <c r="E549" s="2">
        <v>6</v>
      </c>
      <c r="F549" s="2">
        <v>13</v>
      </c>
    </row>
    <row r="550" spans="1:6" ht="12.5">
      <c r="A550" s="2">
        <v>166</v>
      </c>
      <c r="B550" s="2">
        <v>10573</v>
      </c>
      <c r="C550" s="2">
        <v>16</v>
      </c>
      <c r="D550" s="2">
        <v>21</v>
      </c>
      <c r="E550" s="2">
        <v>6</v>
      </c>
      <c r="F550" s="2">
        <v>4</v>
      </c>
    </row>
    <row r="551" spans="1:6" ht="12.5">
      <c r="A551" s="2">
        <v>831</v>
      </c>
      <c r="B551" s="2">
        <v>8560</v>
      </c>
      <c r="C551" s="2">
        <v>16</v>
      </c>
      <c r="D551" s="2">
        <v>5</v>
      </c>
      <c r="E551" s="2">
        <v>6</v>
      </c>
      <c r="F551" s="2">
        <v>7</v>
      </c>
    </row>
    <row r="552" spans="1:6" ht="12.5">
      <c r="A552" s="2">
        <v>482</v>
      </c>
      <c r="B552" s="2">
        <v>8346</v>
      </c>
      <c r="C552" s="2">
        <v>15</v>
      </c>
      <c r="D552" s="2">
        <v>11</v>
      </c>
      <c r="E552" s="2">
        <v>6</v>
      </c>
      <c r="F552" s="2">
        <v>2</v>
      </c>
    </row>
    <row r="553" spans="1:6" ht="12.5">
      <c r="A553" s="2">
        <v>1362</v>
      </c>
      <c r="B553" s="2">
        <v>9967</v>
      </c>
      <c r="C553" s="2">
        <v>15</v>
      </c>
      <c r="D553" s="2">
        <v>11</v>
      </c>
      <c r="E553" s="2">
        <v>6</v>
      </c>
      <c r="F553" s="2">
        <v>7</v>
      </c>
    </row>
    <row r="554" spans="1:6" ht="12.5">
      <c r="A554" s="2">
        <v>615</v>
      </c>
      <c r="B554" s="2">
        <v>3083</v>
      </c>
      <c r="C554" s="2">
        <v>13</v>
      </c>
      <c r="D554" s="2">
        <v>17</v>
      </c>
      <c r="E554" s="2">
        <v>6</v>
      </c>
      <c r="F554" s="2">
        <v>5</v>
      </c>
    </row>
    <row r="555" spans="1:6" ht="12.5">
      <c r="A555" s="2">
        <v>1049</v>
      </c>
      <c r="B555" s="2">
        <v>966</v>
      </c>
      <c r="C555" s="2">
        <v>13</v>
      </c>
      <c r="D555" s="2">
        <v>6</v>
      </c>
      <c r="E555" s="2">
        <v>6</v>
      </c>
      <c r="F555" s="2">
        <v>11</v>
      </c>
    </row>
    <row r="556" spans="1:6" ht="12.5">
      <c r="A556" s="2">
        <v>1660</v>
      </c>
      <c r="B556" s="2">
        <v>1165</v>
      </c>
      <c r="C556" s="2">
        <v>13</v>
      </c>
      <c r="D556" s="2">
        <v>4</v>
      </c>
      <c r="E556" s="2">
        <v>6</v>
      </c>
      <c r="F556" s="2">
        <v>7</v>
      </c>
    </row>
    <row r="557" spans="1:6" ht="12.5">
      <c r="A557" s="2">
        <v>1738</v>
      </c>
      <c r="B557" s="2">
        <v>10556</v>
      </c>
      <c r="C557" s="2">
        <v>13</v>
      </c>
      <c r="D557" s="2">
        <v>3</v>
      </c>
      <c r="E557" s="2">
        <v>6</v>
      </c>
      <c r="F557" s="2">
        <v>6</v>
      </c>
    </row>
    <row r="558" spans="1:6" ht="12.5">
      <c r="A558" s="2">
        <v>535</v>
      </c>
      <c r="B558" s="2">
        <v>10741</v>
      </c>
      <c r="C558" s="2">
        <v>12</v>
      </c>
      <c r="D558" s="2">
        <v>0</v>
      </c>
      <c r="E558" s="2">
        <v>6</v>
      </c>
      <c r="F558" s="2">
        <v>5</v>
      </c>
    </row>
    <row r="559" spans="1:6" ht="12.5">
      <c r="A559" s="2">
        <v>575</v>
      </c>
      <c r="B559" s="2">
        <v>2574</v>
      </c>
      <c r="C559" s="2">
        <v>12</v>
      </c>
      <c r="D559" s="2">
        <v>0</v>
      </c>
      <c r="E559" s="2">
        <v>6</v>
      </c>
      <c r="F559" s="2">
        <v>8</v>
      </c>
    </row>
    <row r="560" spans="1:6" ht="12.5">
      <c r="A560" s="2">
        <v>1048</v>
      </c>
      <c r="B560" s="2">
        <v>8870</v>
      </c>
      <c r="C560" s="2">
        <v>12</v>
      </c>
      <c r="D560" s="2">
        <v>39</v>
      </c>
      <c r="E560" s="2">
        <v>6</v>
      </c>
      <c r="F560" s="2">
        <v>5</v>
      </c>
    </row>
    <row r="561" spans="1:6" ht="12.5">
      <c r="A561" s="2">
        <v>1406</v>
      </c>
      <c r="B561" s="2">
        <v>5491</v>
      </c>
      <c r="C561" s="2">
        <v>12</v>
      </c>
      <c r="D561" s="2">
        <v>0</v>
      </c>
      <c r="E561" s="2">
        <v>6</v>
      </c>
      <c r="F561" s="2">
        <v>5</v>
      </c>
    </row>
    <row r="562" spans="1:6" ht="12.5">
      <c r="A562" s="2">
        <v>1715</v>
      </c>
      <c r="B562" s="2">
        <v>10340</v>
      </c>
      <c r="C562" s="2">
        <v>12</v>
      </c>
      <c r="D562" s="2">
        <v>39</v>
      </c>
      <c r="E562" s="2">
        <v>6</v>
      </c>
      <c r="F562" s="2">
        <v>5</v>
      </c>
    </row>
    <row r="563" spans="1:6" ht="12.5">
      <c r="A563" s="2">
        <v>2161</v>
      </c>
      <c r="B563" s="2">
        <v>902</v>
      </c>
      <c r="C563" s="2">
        <v>12</v>
      </c>
      <c r="D563" s="2">
        <v>12</v>
      </c>
      <c r="E563" s="2">
        <v>6</v>
      </c>
      <c r="F563" s="2">
        <v>4</v>
      </c>
    </row>
    <row r="564" spans="1:6" ht="12.5">
      <c r="A564" s="2">
        <v>1565</v>
      </c>
      <c r="B564" s="2">
        <v>1497</v>
      </c>
      <c r="C564" s="2">
        <v>11</v>
      </c>
      <c r="D564" s="2">
        <v>3</v>
      </c>
      <c r="E564" s="2">
        <v>6</v>
      </c>
      <c r="F564" s="2">
        <v>5</v>
      </c>
    </row>
    <row r="565" spans="1:6" ht="12.5">
      <c r="A565" s="2">
        <v>740</v>
      </c>
      <c r="B565" s="2">
        <v>5682</v>
      </c>
      <c r="C565" s="2">
        <v>10</v>
      </c>
      <c r="D565" s="2">
        <v>21</v>
      </c>
      <c r="E565" s="2">
        <v>6</v>
      </c>
      <c r="F565" s="2">
        <v>11</v>
      </c>
    </row>
    <row r="566" spans="1:6" ht="12.5">
      <c r="A566" s="2">
        <v>1074</v>
      </c>
      <c r="B566" s="2">
        <v>10832</v>
      </c>
      <c r="C566" s="2">
        <v>10</v>
      </c>
      <c r="D566" s="2">
        <v>10</v>
      </c>
      <c r="E566" s="2">
        <v>6</v>
      </c>
      <c r="F566" s="2">
        <v>6</v>
      </c>
    </row>
    <row r="567" spans="1:6" ht="12.5">
      <c r="A567" s="2">
        <v>1365</v>
      </c>
      <c r="B567" s="2">
        <v>2674</v>
      </c>
      <c r="C567" s="2">
        <v>10</v>
      </c>
      <c r="D567" s="2">
        <v>143</v>
      </c>
      <c r="E567" s="2">
        <v>6</v>
      </c>
      <c r="F567" s="2">
        <v>6</v>
      </c>
    </row>
    <row r="568" spans="1:6" ht="12.5">
      <c r="A568" s="2">
        <v>1889</v>
      </c>
      <c r="B568" s="2">
        <v>2961</v>
      </c>
      <c r="C568" s="2">
        <v>10</v>
      </c>
      <c r="D568" s="2">
        <v>6</v>
      </c>
      <c r="E568" s="2">
        <v>6</v>
      </c>
      <c r="F568" s="2">
        <v>4</v>
      </c>
    </row>
    <row r="569" spans="1:6" ht="12.5">
      <c r="A569" s="2">
        <v>836</v>
      </c>
      <c r="B569" s="2">
        <v>6141</v>
      </c>
      <c r="C569" s="2">
        <v>9</v>
      </c>
      <c r="D569" s="2">
        <v>6</v>
      </c>
      <c r="E569" s="2">
        <v>6</v>
      </c>
      <c r="F569" s="2">
        <v>5</v>
      </c>
    </row>
    <row r="570" spans="1:6" ht="12.5">
      <c r="A570" s="2">
        <v>1244</v>
      </c>
      <c r="B570" s="2">
        <v>1291</v>
      </c>
      <c r="C570" s="2">
        <v>9</v>
      </c>
      <c r="D570" s="2">
        <v>12</v>
      </c>
      <c r="E570" s="2">
        <v>6</v>
      </c>
      <c r="F570" s="2">
        <v>4</v>
      </c>
    </row>
    <row r="571" spans="1:6" ht="12.5">
      <c r="A571" s="2">
        <v>1569</v>
      </c>
      <c r="B571" s="2">
        <v>1081</v>
      </c>
      <c r="C571" s="2">
        <v>9</v>
      </c>
      <c r="D571" s="2">
        <v>19</v>
      </c>
      <c r="E571" s="2">
        <v>6</v>
      </c>
      <c r="F571" s="2">
        <v>5</v>
      </c>
    </row>
    <row r="572" spans="1:6" ht="12.5">
      <c r="A572" s="2">
        <v>1818</v>
      </c>
      <c r="B572" s="2">
        <v>10307</v>
      </c>
      <c r="C572" s="2">
        <v>9</v>
      </c>
      <c r="D572" s="2">
        <v>14</v>
      </c>
      <c r="E572" s="2">
        <v>6</v>
      </c>
      <c r="F572" s="2">
        <v>8</v>
      </c>
    </row>
    <row r="573" spans="1:6" ht="12.5">
      <c r="A573" s="2">
        <v>364</v>
      </c>
      <c r="B573" s="2">
        <v>5837</v>
      </c>
      <c r="C573" s="2">
        <v>8</v>
      </c>
      <c r="D573" s="2">
        <v>8</v>
      </c>
      <c r="E573" s="2">
        <v>6</v>
      </c>
      <c r="F573" s="2">
        <v>6</v>
      </c>
    </row>
    <row r="574" spans="1:6" ht="12.5">
      <c r="A574" s="2">
        <v>2197</v>
      </c>
      <c r="B574" s="2">
        <v>10722</v>
      </c>
      <c r="C574" s="2">
        <v>8</v>
      </c>
      <c r="D574" s="2">
        <v>4</v>
      </c>
      <c r="E574" s="2">
        <v>6</v>
      </c>
      <c r="F574" s="2">
        <v>3</v>
      </c>
    </row>
    <row r="575" spans="1:6" ht="12.5">
      <c r="A575" s="2">
        <v>222</v>
      </c>
      <c r="B575" s="2">
        <v>4785</v>
      </c>
      <c r="C575" s="2">
        <v>7</v>
      </c>
      <c r="D575" s="2">
        <v>0</v>
      </c>
      <c r="E575" s="2">
        <v>6</v>
      </c>
      <c r="F575" s="2">
        <v>11</v>
      </c>
    </row>
    <row r="576" spans="1:6" ht="12.5">
      <c r="A576" s="2">
        <v>275</v>
      </c>
      <c r="B576" s="2">
        <v>2304</v>
      </c>
      <c r="C576" s="2">
        <v>7</v>
      </c>
      <c r="D576" s="2">
        <v>22</v>
      </c>
      <c r="E576" s="2">
        <v>6</v>
      </c>
      <c r="F576" s="2">
        <v>12</v>
      </c>
    </row>
    <row r="577" spans="1:6" ht="12.5">
      <c r="A577" s="2">
        <v>769</v>
      </c>
      <c r="B577" s="2">
        <v>8786</v>
      </c>
      <c r="C577" s="2">
        <v>7</v>
      </c>
      <c r="D577" s="2">
        <v>0</v>
      </c>
      <c r="E577" s="2">
        <v>6</v>
      </c>
      <c r="F577" s="2">
        <v>7</v>
      </c>
    </row>
    <row r="578" spans="1:6" ht="12.5">
      <c r="A578" s="2">
        <v>1366</v>
      </c>
      <c r="B578" s="2">
        <v>2698</v>
      </c>
      <c r="C578" s="2">
        <v>7</v>
      </c>
      <c r="D578" s="2">
        <v>0</v>
      </c>
      <c r="E578" s="2">
        <v>6</v>
      </c>
      <c r="F578" s="2">
        <v>5</v>
      </c>
    </row>
    <row r="579" spans="1:6" ht="12.5">
      <c r="A579" s="2">
        <v>1395</v>
      </c>
      <c r="B579" s="2">
        <v>4405</v>
      </c>
      <c r="C579" s="2">
        <v>7</v>
      </c>
      <c r="D579" s="2">
        <v>0</v>
      </c>
      <c r="E579" s="2">
        <v>6</v>
      </c>
      <c r="F579" s="2">
        <v>12</v>
      </c>
    </row>
    <row r="580" spans="1:6" ht="12.5">
      <c r="A580" s="2">
        <v>1646</v>
      </c>
      <c r="B580" s="2">
        <v>5177</v>
      </c>
      <c r="C580" s="2">
        <v>7</v>
      </c>
      <c r="D580" s="2">
        <v>0</v>
      </c>
      <c r="E580" s="2">
        <v>6</v>
      </c>
      <c r="F580" s="2">
        <v>6</v>
      </c>
    </row>
    <row r="581" spans="1:6" ht="12.5">
      <c r="A581" s="2">
        <v>1844</v>
      </c>
      <c r="B581" s="2">
        <v>8527</v>
      </c>
      <c r="C581" s="2">
        <v>7</v>
      </c>
      <c r="D581" s="2">
        <v>15</v>
      </c>
      <c r="E581" s="2">
        <v>6</v>
      </c>
      <c r="F581" s="2">
        <v>6</v>
      </c>
    </row>
    <row r="582" spans="1:6" ht="12.5">
      <c r="A582" s="2">
        <v>1984</v>
      </c>
      <c r="B582" s="2">
        <v>1406</v>
      </c>
      <c r="C582" s="2">
        <v>7</v>
      </c>
      <c r="D582" s="2">
        <v>0</v>
      </c>
      <c r="E582" s="2">
        <v>6</v>
      </c>
      <c r="F582" s="2">
        <v>5</v>
      </c>
    </row>
    <row r="583" spans="1:6" ht="12.5">
      <c r="A583" s="2">
        <v>87</v>
      </c>
      <c r="B583" s="2">
        <v>4452</v>
      </c>
      <c r="C583" s="2">
        <v>6</v>
      </c>
      <c r="D583" s="2">
        <v>3</v>
      </c>
      <c r="E583" s="2">
        <v>6</v>
      </c>
      <c r="F583" s="2">
        <v>6</v>
      </c>
    </row>
    <row r="584" spans="1:6" ht="12.5">
      <c r="A584" s="2">
        <v>156</v>
      </c>
      <c r="B584" s="2">
        <v>3025</v>
      </c>
      <c r="C584" s="2">
        <v>6</v>
      </c>
      <c r="D584" s="2">
        <v>12</v>
      </c>
      <c r="E584" s="2">
        <v>6</v>
      </c>
      <c r="F584" s="2">
        <v>5</v>
      </c>
    </row>
    <row r="585" spans="1:6" ht="12.5">
      <c r="A585" s="2">
        <v>1321</v>
      </c>
      <c r="B585" s="2">
        <v>10377</v>
      </c>
      <c r="C585" s="2">
        <v>6</v>
      </c>
      <c r="D585" s="2">
        <v>12</v>
      </c>
      <c r="E585" s="2">
        <v>6</v>
      </c>
      <c r="F585" s="2">
        <v>5</v>
      </c>
    </row>
    <row r="586" spans="1:6" ht="12.5">
      <c r="A586" s="2">
        <v>2082</v>
      </c>
      <c r="B586" s="2">
        <v>6497</v>
      </c>
      <c r="C586" s="2">
        <v>6</v>
      </c>
      <c r="D586" s="2">
        <v>6</v>
      </c>
      <c r="E586" s="2">
        <v>6</v>
      </c>
      <c r="F586" s="2">
        <v>5</v>
      </c>
    </row>
    <row r="587" spans="1:6" ht="12.5">
      <c r="A587" s="2">
        <v>1056</v>
      </c>
      <c r="B587" s="2">
        <v>3846</v>
      </c>
      <c r="C587" s="2">
        <v>5</v>
      </c>
      <c r="D587" s="2">
        <v>5</v>
      </c>
      <c r="E587" s="2">
        <v>6</v>
      </c>
      <c r="F587" s="2">
        <v>4</v>
      </c>
    </row>
    <row r="588" spans="1:6" ht="12.5">
      <c r="A588" s="2">
        <v>1124</v>
      </c>
      <c r="B588" s="2">
        <v>2308</v>
      </c>
      <c r="C588" s="2">
        <v>5</v>
      </c>
      <c r="D588" s="2">
        <v>23</v>
      </c>
      <c r="E588" s="2">
        <v>6</v>
      </c>
      <c r="F588" s="2">
        <v>5</v>
      </c>
    </row>
    <row r="589" spans="1:6" ht="12.5">
      <c r="A589" s="2">
        <v>1139</v>
      </c>
      <c r="B589" s="2">
        <v>11166</v>
      </c>
      <c r="C589" s="2">
        <v>5</v>
      </c>
      <c r="D589" s="2">
        <v>2</v>
      </c>
      <c r="E589" s="2">
        <v>6</v>
      </c>
      <c r="F589" s="2">
        <v>4</v>
      </c>
    </row>
    <row r="590" spans="1:6" ht="12.5">
      <c r="A590" s="2">
        <v>1312</v>
      </c>
      <c r="B590" s="2">
        <v>10260</v>
      </c>
      <c r="C590" s="2">
        <v>5</v>
      </c>
      <c r="D590" s="2">
        <v>5</v>
      </c>
      <c r="E590" s="2">
        <v>6</v>
      </c>
      <c r="F590" s="2">
        <v>5</v>
      </c>
    </row>
    <row r="591" spans="1:6" ht="12.5">
      <c r="A591" s="2">
        <v>1593</v>
      </c>
      <c r="B591" s="2">
        <v>2262</v>
      </c>
      <c r="C591" s="2">
        <v>5</v>
      </c>
      <c r="D591" s="2">
        <v>5</v>
      </c>
      <c r="E591" s="2">
        <v>6</v>
      </c>
      <c r="F591" s="2">
        <v>5</v>
      </c>
    </row>
    <row r="592" spans="1:6" ht="12.5">
      <c r="A592" s="2">
        <v>876</v>
      </c>
      <c r="B592" s="2">
        <v>773</v>
      </c>
      <c r="C592" s="2">
        <v>4</v>
      </c>
      <c r="D592" s="2">
        <v>9</v>
      </c>
      <c r="E592" s="2">
        <v>6</v>
      </c>
      <c r="F592" s="2">
        <v>4</v>
      </c>
    </row>
    <row r="593" spans="1:6" ht="12.5">
      <c r="A593" s="2">
        <v>2070</v>
      </c>
      <c r="B593" s="2">
        <v>2406</v>
      </c>
      <c r="C593" s="2">
        <v>4</v>
      </c>
      <c r="D593" s="2">
        <v>9</v>
      </c>
      <c r="E593" s="2">
        <v>6</v>
      </c>
      <c r="F593" s="2">
        <v>8</v>
      </c>
    </row>
    <row r="594" spans="1:6" ht="12.5">
      <c r="A594" s="2">
        <v>728</v>
      </c>
      <c r="B594" s="2">
        <v>11171</v>
      </c>
      <c r="C594" s="2">
        <v>3</v>
      </c>
      <c r="D594" s="2">
        <v>3</v>
      </c>
      <c r="E594" s="2">
        <v>6</v>
      </c>
      <c r="F594" s="2">
        <v>5</v>
      </c>
    </row>
    <row r="595" spans="1:6" ht="12.5">
      <c r="A595" s="2">
        <v>977</v>
      </c>
      <c r="B595" s="2">
        <v>1600</v>
      </c>
      <c r="C595" s="2">
        <v>3</v>
      </c>
      <c r="D595" s="2">
        <v>3</v>
      </c>
      <c r="E595" s="2">
        <v>6</v>
      </c>
      <c r="F595" s="2">
        <v>5</v>
      </c>
    </row>
    <row r="596" spans="1:6" ht="12.5">
      <c r="A596" s="2">
        <v>1125</v>
      </c>
      <c r="B596" s="2">
        <v>5995</v>
      </c>
      <c r="C596" s="2">
        <v>3</v>
      </c>
      <c r="D596" s="2">
        <v>24</v>
      </c>
      <c r="E596" s="2">
        <v>6</v>
      </c>
      <c r="F596" s="2">
        <v>5</v>
      </c>
    </row>
    <row r="597" spans="1:6" ht="12.5">
      <c r="A597" s="2">
        <v>1724</v>
      </c>
      <c r="B597" s="2">
        <v>1381</v>
      </c>
      <c r="C597" s="2">
        <v>3</v>
      </c>
      <c r="D597" s="2">
        <v>0</v>
      </c>
      <c r="E597" s="2">
        <v>6</v>
      </c>
      <c r="F597" s="2">
        <v>5</v>
      </c>
    </row>
    <row r="598" spans="1:6" ht="12.5">
      <c r="A598" s="2">
        <v>2219</v>
      </c>
      <c r="B598" s="2">
        <v>9246</v>
      </c>
      <c r="C598" s="2">
        <v>3</v>
      </c>
      <c r="D598" s="2">
        <v>24</v>
      </c>
      <c r="E598" s="2">
        <v>6</v>
      </c>
      <c r="F598" s="2">
        <v>6</v>
      </c>
    </row>
    <row r="599" spans="1:6" ht="12.5">
      <c r="A599" s="2">
        <v>13</v>
      </c>
      <c r="B599" s="2">
        <v>8180</v>
      </c>
      <c r="C599" s="2">
        <v>2</v>
      </c>
      <c r="D599" s="2">
        <v>5</v>
      </c>
      <c r="E599" s="2">
        <v>6</v>
      </c>
      <c r="F599" s="2">
        <v>5</v>
      </c>
    </row>
    <row r="600" spans="1:6" ht="12.5">
      <c r="A600" s="2">
        <v>491</v>
      </c>
      <c r="B600" s="2">
        <v>22</v>
      </c>
      <c r="C600" s="2">
        <v>2</v>
      </c>
      <c r="D600" s="2">
        <v>5</v>
      </c>
      <c r="E600" s="2">
        <v>6</v>
      </c>
      <c r="F600" s="2">
        <v>5</v>
      </c>
    </row>
    <row r="601" spans="1:6" ht="12.5">
      <c r="A601" s="2">
        <v>733</v>
      </c>
      <c r="B601" s="2">
        <v>5956</v>
      </c>
      <c r="C601" s="2">
        <v>2</v>
      </c>
      <c r="D601" s="2">
        <v>2</v>
      </c>
      <c r="E601" s="2">
        <v>6</v>
      </c>
      <c r="F601" s="2">
        <v>4</v>
      </c>
    </row>
    <row r="602" spans="1:6" ht="12.5">
      <c r="A602" s="2">
        <v>861</v>
      </c>
      <c r="B602" s="2">
        <v>807</v>
      </c>
      <c r="C602" s="2">
        <v>2</v>
      </c>
      <c r="D602" s="2">
        <v>0</v>
      </c>
      <c r="E602" s="2">
        <v>6</v>
      </c>
      <c r="F602" s="2">
        <v>4</v>
      </c>
    </row>
    <row r="603" spans="1:6" ht="12.5">
      <c r="A603" s="2">
        <v>886</v>
      </c>
      <c r="B603" s="2">
        <v>7023</v>
      </c>
      <c r="C603" s="2">
        <v>2</v>
      </c>
      <c r="D603" s="2">
        <v>5</v>
      </c>
      <c r="E603" s="2">
        <v>6</v>
      </c>
      <c r="F603" s="2">
        <v>4</v>
      </c>
    </row>
    <row r="604" spans="1:6" ht="12.5">
      <c r="A604" s="2">
        <v>23</v>
      </c>
      <c r="B604" s="2">
        <v>4047</v>
      </c>
      <c r="C604" s="2">
        <v>0</v>
      </c>
      <c r="D604" s="2">
        <v>32</v>
      </c>
      <c r="E604" s="2">
        <v>6</v>
      </c>
      <c r="F604" s="2">
        <v>9</v>
      </c>
    </row>
    <row r="605" spans="1:6" ht="12.5">
      <c r="A605" s="2">
        <v>114</v>
      </c>
      <c r="B605" s="2">
        <v>9215</v>
      </c>
      <c r="C605" s="2">
        <v>0</v>
      </c>
      <c r="D605" s="2">
        <v>0</v>
      </c>
      <c r="E605" s="2">
        <v>6</v>
      </c>
      <c r="F605" s="2">
        <v>6</v>
      </c>
    </row>
    <row r="606" spans="1:6" ht="12.5">
      <c r="A606" s="2">
        <v>128</v>
      </c>
      <c r="B606" s="2">
        <v>8268</v>
      </c>
      <c r="C606" s="2">
        <v>0</v>
      </c>
      <c r="D606" s="2">
        <v>0</v>
      </c>
      <c r="E606" s="2">
        <v>6</v>
      </c>
      <c r="F606" s="2">
        <v>7</v>
      </c>
    </row>
    <row r="607" spans="1:6" ht="12.5">
      <c r="A607" s="2">
        <v>361</v>
      </c>
      <c r="B607" s="2">
        <v>9336</v>
      </c>
      <c r="C607" s="2">
        <v>0</v>
      </c>
      <c r="D607" s="2">
        <v>0</v>
      </c>
      <c r="E607" s="2">
        <v>6</v>
      </c>
      <c r="F607" s="2">
        <v>10</v>
      </c>
    </row>
    <row r="608" spans="1:6" ht="12.5">
      <c r="A608" s="2">
        <v>365</v>
      </c>
      <c r="B608" s="2">
        <v>10704</v>
      </c>
      <c r="C608" s="2">
        <v>0</v>
      </c>
      <c r="D608" s="2">
        <v>27</v>
      </c>
      <c r="E608" s="2">
        <v>6</v>
      </c>
      <c r="F608" s="2">
        <v>9</v>
      </c>
    </row>
    <row r="609" spans="1:6" ht="12.5">
      <c r="A609" s="2">
        <v>404</v>
      </c>
      <c r="B609" s="2">
        <v>2552</v>
      </c>
      <c r="C609" s="2">
        <v>0</v>
      </c>
      <c r="D609" s="2">
        <v>0</v>
      </c>
      <c r="E609" s="2">
        <v>6</v>
      </c>
      <c r="F609" s="2">
        <v>6</v>
      </c>
    </row>
    <row r="610" spans="1:6" ht="12.5">
      <c r="A610" s="2">
        <v>498</v>
      </c>
      <c r="B610" s="2">
        <v>716</v>
      </c>
      <c r="C610" s="2">
        <v>0</v>
      </c>
      <c r="D610" s="2">
        <v>28</v>
      </c>
      <c r="E610" s="2">
        <v>6</v>
      </c>
      <c r="F610" s="2">
        <v>11</v>
      </c>
    </row>
    <row r="611" spans="1:6" ht="12.5">
      <c r="A611" s="2">
        <v>514</v>
      </c>
      <c r="B611" s="2">
        <v>182</v>
      </c>
      <c r="C611" s="2">
        <v>0</v>
      </c>
      <c r="D611" s="2">
        <v>6</v>
      </c>
      <c r="E611" s="2">
        <v>6</v>
      </c>
      <c r="F611" s="2">
        <v>5</v>
      </c>
    </row>
    <row r="612" spans="1:6" ht="12.5">
      <c r="A612" s="2">
        <v>552</v>
      </c>
      <c r="B612" s="2">
        <v>9240</v>
      </c>
      <c r="C612" s="2">
        <v>0</v>
      </c>
      <c r="D612" s="2">
        <v>4</v>
      </c>
      <c r="E612" s="2">
        <v>6</v>
      </c>
      <c r="F612" s="2">
        <v>8</v>
      </c>
    </row>
    <row r="613" spans="1:6" ht="12.5">
      <c r="A613" s="2">
        <v>609</v>
      </c>
      <c r="B613" s="2">
        <v>988</v>
      </c>
      <c r="C613" s="2">
        <v>0</v>
      </c>
      <c r="D613" s="2">
        <v>22</v>
      </c>
      <c r="E613" s="2">
        <v>6</v>
      </c>
      <c r="F613" s="2">
        <v>7</v>
      </c>
    </row>
    <row r="614" spans="1:6" ht="12.5">
      <c r="A614" s="2">
        <v>620</v>
      </c>
      <c r="B614" s="2">
        <v>2782</v>
      </c>
      <c r="C614" s="2">
        <v>0</v>
      </c>
      <c r="D614" s="2">
        <v>0</v>
      </c>
      <c r="E614" s="2">
        <v>6</v>
      </c>
      <c r="F614" s="2">
        <v>7</v>
      </c>
    </row>
    <row r="615" spans="1:6" ht="12.5">
      <c r="A615" s="2">
        <v>779</v>
      </c>
      <c r="B615" s="2">
        <v>10736</v>
      </c>
      <c r="C615" s="2">
        <v>0</v>
      </c>
      <c r="D615" s="2">
        <v>120</v>
      </c>
      <c r="E615" s="2">
        <v>6</v>
      </c>
      <c r="F615" s="2">
        <v>5</v>
      </c>
    </row>
    <row r="616" spans="1:6" ht="12.5">
      <c r="A616" s="2">
        <v>851</v>
      </c>
      <c r="B616" s="2">
        <v>9477</v>
      </c>
      <c r="C616" s="2">
        <v>0</v>
      </c>
      <c r="D616" s="2">
        <v>32</v>
      </c>
      <c r="E616" s="2">
        <v>6</v>
      </c>
      <c r="F616" s="2">
        <v>9</v>
      </c>
    </row>
    <row r="617" spans="1:6" ht="12.5">
      <c r="A617" s="2">
        <v>930</v>
      </c>
      <c r="B617" s="2">
        <v>5303</v>
      </c>
      <c r="C617" s="2">
        <v>0</v>
      </c>
      <c r="D617" s="2">
        <v>21</v>
      </c>
      <c r="E617" s="2">
        <v>6</v>
      </c>
      <c r="F617" s="2">
        <v>9</v>
      </c>
    </row>
    <row r="618" spans="1:6" ht="12.5">
      <c r="A618" s="2">
        <v>961</v>
      </c>
      <c r="B618" s="2">
        <v>3635</v>
      </c>
      <c r="C618" s="2">
        <v>0</v>
      </c>
      <c r="D618" s="2">
        <v>0</v>
      </c>
      <c r="E618" s="2">
        <v>6</v>
      </c>
      <c r="F618" s="2">
        <v>8</v>
      </c>
    </row>
    <row r="619" spans="1:6" ht="12.5">
      <c r="A619" s="2">
        <v>1039</v>
      </c>
      <c r="B619" s="2">
        <v>5863</v>
      </c>
      <c r="C619" s="2">
        <v>0</v>
      </c>
      <c r="D619" s="2">
        <v>26</v>
      </c>
      <c r="E619" s="2">
        <v>6</v>
      </c>
      <c r="F619" s="2">
        <v>8</v>
      </c>
    </row>
    <row r="620" spans="1:6" ht="12.5">
      <c r="A620" s="2">
        <v>1187</v>
      </c>
      <c r="B620" s="2">
        <v>9855</v>
      </c>
      <c r="C620" s="2">
        <v>0</v>
      </c>
      <c r="D620" s="2">
        <v>0</v>
      </c>
      <c r="E620" s="2">
        <v>6</v>
      </c>
      <c r="F620" s="2">
        <v>13</v>
      </c>
    </row>
    <row r="621" spans="1:6" ht="12.5">
      <c r="A621" s="2">
        <v>1325</v>
      </c>
      <c r="B621" s="2">
        <v>9212</v>
      </c>
      <c r="C621" s="2">
        <v>0</v>
      </c>
      <c r="D621" s="2">
        <v>14</v>
      </c>
      <c r="E621" s="2">
        <v>6</v>
      </c>
      <c r="F621" s="2">
        <v>13</v>
      </c>
    </row>
    <row r="622" spans="1:6" ht="12.5">
      <c r="A622" s="2">
        <v>1334</v>
      </c>
      <c r="B622" s="2">
        <v>2535</v>
      </c>
      <c r="C622" s="2">
        <v>0</v>
      </c>
      <c r="D622" s="2">
        <v>126</v>
      </c>
      <c r="E622" s="2">
        <v>6</v>
      </c>
      <c r="F622" s="2">
        <v>8</v>
      </c>
    </row>
    <row r="623" spans="1:6" ht="12.5">
      <c r="A623" s="2">
        <v>1351</v>
      </c>
      <c r="B623" s="2">
        <v>5080</v>
      </c>
      <c r="C623" s="2">
        <v>0</v>
      </c>
      <c r="D623" s="2">
        <v>64</v>
      </c>
      <c r="E623" s="2">
        <v>6</v>
      </c>
      <c r="F623" s="2">
        <v>4</v>
      </c>
    </row>
    <row r="624" spans="1:6" ht="12.5">
      <c r="A624" s="2">
        <v>1491</v>
      </c>
      <c r="B624" s="2">
        <v>7494</v>
      </c>
      <c r="C624" s="2">
        <v>0</v>
      </c>
      <c r="D624" s="2">
        <v>2</v>
      </c>
      <c r="E624" s="2">
        <v>6</v>
      </c>
      <c r="F624" s="2">
        <v>4</v>
      </c>
    </row>
    <row r="625" spans="1:6" ht="12.5">
      <c r="A625" s="2">
        <v>1741</v>
      </c>
      <c r="B625" s="2">
        <v>7610</v>
      </c>
      <c r="C625" s="2">
        <v>0</v>
      </c>
      <c r="D625" s="2">
        <v>23</v>
      </c>
      <c r="E625" s="2">
        <v>6</v>
      </c>
      <c r="F625" s="2">
        <v>5</v>
      </c>
    </row>
    <row r="626" spans="1:6" ht="12.5">
      <c r="A626" s="2">
        <v>1786</v>
      </c>
      <c r="B626" s="2">
        <v>2870</v>
      </c>
      <c r="C626" s="2">
        <v>0</v>
      </c>
      <c r="D626" s="2">
        <v>8</v>
      </c>
      <c r="E626" s="2">
        <v>6</v>
      </c>
      <c r="F626" s="2">
        <v>6</v>
      </c>
    </row>
    <row r="627" spans="1:6" ht="12.5">
      <c r="A627" s="2">
        <v>1970</v>
      </c>
      <c r="B627" s="2">
        <v>6281</v>
      </c>
      <c r="C627" s="2">
        <v>0</v>
      </c>
      <c r="D627" s="2">
        <v>47</v>
      </c>
      <c r="E627" s="2">
        <v>6</v>
      </c>
      <c r="F627" s="2">
        <v>5</v>
      </c>
    </row>
    <row r="628" spans="1:6" ht="12.5">
      <c r="A628" s="2">
        <v>2081</v>
      </c>
      <c r="B628" s="2">
        <v>3117</v>
      </c>
      <c r="C628" s="2">
        <v>0</v>
      </c>
      <c r="D628" s="2">
        <v>6</v>
      </c>
      <c r="E628" s="2">
        <v>6</v>
      </c>
      <c r="F628" s="2">
        <v>5</v>
      </c>
    </row>
    <row r="629" spans="1:6" ht="12.5">
      <c r="A629" s="2">
        <v>2101</v>
      </c>
      <c r="B629" s="2">
        <v>6544</v>
      </c>
      <c r="C629" s="2">
        <v>0</v>
      </c>
      <c r="D629" s="2">
        <v>28</v>
      </c>
      <c r="E629" s="2">
        <v>6</v>
      </c>
      <c r="F629" s="2">
        <v>11</v>
      </c>
    </row>
    <row r="630" spans="1:6" ht="12.5">
      <c r="A630" s="2">
        <v>109</v>
      </c>
      <c r="B630" s="2">
        <v>10991</v>
      </c>
      <c r="C630" s="2">
        <v>194</v>
      </c>
      <c r="D630" s="2">
        <v>22</v>
      </c>
      <c r="E630" s="2">
        <v>5</v>
      </c>
      <c r="F630" s="2">
        <v>4</v>
      </c>
    </row>
    <row r="631" spans="1:6" ht="12.5">
      <c r="A631" s="2">
        <v>198</v>
      </c>
      <c r="B631" s="2">
        <v>6422</v>
      </c>
      <c r="C631" s="2">
        <v>189</v>
      </c>
      <c r="D631" s="2">
        <v>33</v>
      </c>
      <c r="E631" s="2">
        <v>5</v>
      </c>
      <c r="F631" s="2">
        <v>5</v>
      </c>
    </row>
    <row r="632" spans="1:6" ht="12.5">
      <c r="A632" s="2">
        <v>288</v>
      </c>
      <c r="B632" s="2">
        <v>10102</v>
      </c>
      <c r="C632" s="2">
        <v>183</v>
      </c>
      <c r="D632" s="2">
        <v>141</v>
      </c>
      <c r="E632" s="2">
        <v>5</v>
      </c>
      <c r="F632" s="2">
        <v>5</v>
      </c>
    </row>
    <row r="633" spans="1:6" ht="12.5">
      <c r="A633" s="2">
        <v>591</v>
      </c>
      <c r="B633" s="2">
        <v>7627</v>
      </c>
      <c r="C633" s="2">
        <v>183</v>
      </c>
      <c r="D633" s="2">
        <v>163</v>
      </c>
      <c r="E633" s="2">
        <v>5</v>
      </c>
      <c r="F633" s="2">
        <v>5</v>
      </c>
    </row>
    <row r="634" spans="1:6" ht="12.5">
      <c r="A634" s="2">
        <v>812</v>
      </c>
      <c r="B634" s="2">
        <v>9687</v>
      </c>
      <c r="C634" s="2">
        <v>174</v>
      </c>
      <c r="D634" s="2">
        <v>30</v>
      </c>
      <c r="E634" s="2">
        <v>5</v>
      </c>
      <c r="F634" s="2">
        <v>6</v>
      </c>
    </row>
    <row r="635" spans="1:6" ht="12.5">
      <c r="A635" s="2">
        <v>984</v>
      </c>
      <c r="B635" s="2">
        <v>5718</v>
      </c>
      <c r="C635" s="2">
        <v>168</v>
      </c>
      <c r="D635" s="2">
        <v>42</v>
      </c>
      <c r="E635" s="2">
        <v>5</v>
      </c>
      <c r="F635" s="2">
        <v>6</v>
      </c>
    </row>
    <row r="636" spans="1:6" ht="12.5">
      <c r="A636" s="2">
        <v>723</v>
      </c>
      <c r="B636" s="2">
        <v>10936</v>
      </c>
      <c r="C636" s="2">
        <v>166</v>
      </c>
      <c r="D636" s="2">
        <v>166</v>
      </c>
      <c r="E636" s="2">
        <v>5</v>
      </c>
      <c r="F636" s="2">
        <v>4</v>
      </c>
    </row>
    <row r="637" spans="1:6" ht="12.5">
      <c r="A637" s="2">
        <v>506</v>
      </c>
      <c r="B637" s="2">
        <v>10584</v>
      </c>
      <c r="C637" s="2">
        <v>162</v>
      </c>
      <c r="D637" s="2">
        <v>36</v>
      </c>
      <c r="E637" s="2">
        <v>5</v>
      </c>
      <c r="F637" s="2">
        <v>8</v>
      </c>
    </row>
    <row r="638" spans="1:6" ht="12.5">
      <c r="A638" s="2">
        <v>392</v>
      </c>
      <c r="B638" s="2">
        <v>2669</v>
      </c>
      <c r="C638" s="2">
        <v>152</v>
      </c>
      <c r="D638" s="2">
        <v>91</v>
      </c>
      <c r="E638" s="2">
        <v>5</v>
      </c>
      <c r="F638" s="2">
        <v>6</v>
      </c>
    </row>
    <row r="639" spans="1:6" ht="12.5">
      <c r="A639" s="2">
        <v>928</v>
      </c>
      <c r="B639" s="2">
        <v>10037</v>
      </c>
      <c r="C639" s="2">
        <v>152</v>
      </c>
      <c r="D639" s="2">
        <v>91</v>
      </c>
      <c r="E639" s="2">
        <v>5</v>
      </c>
      <c r="F639" s="2">
        <v>6</v>
      </c>
    </row>
    <row r="640" spans="1:6" ht="12.5">
      <c r="A640" s="2">
        <v>1288</v>
      </c>
      <c r="B640" s="2">
        <v>9010</v>
      </c>
      <c r="C640" s="2">
        <v>147</v>
      </c>
      <c r="D640" s="2">
        <v>42</v>
      </c>
      <c r="E640" s="2">
        <v>5</v>
      </c>
      <c r="F640" s="2">
        <v>10</v>
      </c>
    </row>
    <row r="641" spans="1:6" ht="12.5">
      <c r="A641" s="2">
        <v>1982</v>
      </c>
      <c r="B641" s="2">
        <v>3334</v>
      </c>
      <c r="C641" s="2">
        <v>143</v>
      </c>
      <c r="D641" s="2">
        <v>143</v>
      </c>
      <c r="E641" s="2">
        <v>5</v>
      </c>
      <c r="F641" s="2">
        <v>9</v>
      </c>
    </row>
    <row r="642" spans="1:6" ht="12.5">
      <c r="A642" s="2">
        <v>1869</v>
      </c>
      <c r="B642" s="2">
        <v>2186</v>
      </c>
      <c r="C642" s="2">
        <v>142</v>
      </c>
      <c r="D642" s="2">
        <v>81</v>
      </c>
      <c r="E642" s="2">
        <v>5</v>
      </c>
      <c r="F642" s="2">
        <v>6</v>
      </c>
    </row>
    <row r="643" spans="1:6" ht="12.5">
      <c r="A643" s="2">
        <v>509</v>
      </c>
      <c r="B643" s="2">
        <v>8939</v>
      </c>
      <c r="C643" s="2">
        <v>138</v>
      </c>
      <c r="D643" s="2">
        <v>26</v>
      </c>
      <c r="E643" s="2">
        <v>5</v>
      </c>
      <c r="F643" s="2">
        <v>12</v>
      </c>
    </row>
    <row r="644" spans="1:6" ht="12.5">
      <c r="A644" s="2">
        <v>390</v>
      </c>
      <c r="B644" s="2">
        <v>8318</v>
      </c>
      <c r="C644" s="2">
        <v>134</v>
      </c>
      <c r="D644" s="2">
        <v>134</v>
      </c>
      <c r="E644" s="2">
        <v>5</v>
      </c>
      <c r="F644" s="2">
        <v>8</v>
      </c>
    </row>
    <row r="645" spans="1:6" ht="12.5">
      <c r="A645" s="2">
        <v>557</v>
      </c>
      <c r="B645" s="2">
        <v>8314</v>
      </c>
      <c r="C645" s="2">
        <v>129</v>
      </c>
      <c r="D645" s="2">
        <v>185</v>
      </c>
      <c r="E645" s="2">
        <v>5</v>
      </c>
      <c r="F645" s="2">
        <v>7</v>
      </c>
    </row>
    <row r="646" spans="1:6" ht="12.5">
      <c r="A646" s="2">
        <v>1358</v>
      </c>
      <c r="B646" s="2">
        <v>1065</v>
      </c>
      <c r="C646" s="2">
        <v>129</v>
      </c>
      <c r="D646" s="2">
        <v>37</v>
      </c>
      <c r="E646" s="2">
        <v>5</v>
      </c>
      <c r="F646" s="2">
        <v>5</v>
      </c>
    </row>
    <row r="647" spans="1:6" ht="12.5">
      <c r="A647" s="2">
        <v>1722</v>
      </c>
      <c r="B647" s="2">
        <v>569</v>
      </c>
      <c r="C647" s="2">
        <v>129</v>
      </c>
      <c r="D647" s="2">
        <v>74</v>
      </c>
      <c r="E647" s="2">
        <v>5</v>
      </c>
      <c r="F647" s="2">
        <v>7</v>
      </c>
    </row>
    <row r="648" spans="1:6" ht="12.5">
      <c r="A648" s="2">
        <v>2084</v>
      </c>
      <c r="B648" s="2">
        <v>5250</v>
      </c>
      <c r="C648" s="2">
        <v>126</v>
      </c>
      <c r="D648" s="2">
        <v>126</v>
      </c>
      <c r="E648" s="2">
        <v>5</v>
      </c>
      <c r="F648" s="2">
        <v>11</v>
      </c>
    </row>
    <row r="649" spans="1:6" ht="12.5">
      <c r="A649" s="2">
        <v>2203</v>
      </c>
      <c r="B649" s="2">
        <v>2736</v>
      </c>
      <c r="C649" s="2">
        <v>124</v>
      </c>
      <c r="D649" s="2">
        <v>78</v>
      </c>
      <c r="E649" s="2">
        <v>5</v>
      </c>
      <c r="F649" s="2">
        <v>11</v>
      </c>
    </row>
    <row r="650" spans="1:6" ht="12.5">
      <c r="A650" s="2">
        <v>1680</v>
      </c>
      <c r="B650" s="2">
        <v>1215</v>
      </c>
      <c r="C650" s="2">
        <v>117</v>
      </c>
      <c r="D650" s="2">
        <v>102</v>
      </c>
      <c r="E650" s="2">
        <v>5</v>
      </c>
      <c r="F650" s="2">
        <v>7</v>
      </c>
    </row>
    <row r="651" spans="1:6" ht="12.5">
      <c r="A651" s="2">
        <v>1615</v>
      </c>
      <c r="B651" s="2">
        <v>10099</v>
      </c>
      <c r="C651" s="2">
        <v>115</v>
      </c>
      <c r="D651" s="2">
        <v>69</v>
      </c>
      <c r="E651" s="2">
        <v>5</v>
      </c>
      <c r="F651" s="2">
        <v>13</v>
      </c>
    </row>
    <row r="652" spans="1:6" ht="12.5">
      <c r="A652" s="2">
        <v>1071</v>
      </c>
      <c r="B652" s="2">
        <v>11112</v>
      </c>
      <c r="C652" s="2">
        <v>114</v>
      </c>
      <c r="D652" s="2">
        <v>76</v>
      </c>
      <c r="E652" s="2">
        <v>5</v>
      </c>
      <c r="F652" s="2">
        <v>8</v>
      </c>
    </row>
    <row r="653" spans="1:6" ht="12.5">
      <c r="A653" s="2">
        <v>965</v>
      </c>
      <c r="B653" s="2">
        <v>7801</v>
      </c>
      <c r="C653" s="2">
        <v>107</v>
      </c>
      <c r="D653" s="2">
        <v>59</v>
      </c>
      <c r="E653" s="2">
        <v>5</v>
      </c>
      <c r="F653" s="2">
        <v>11</v>
      </c>
    </row>
    <row r="654" spans="1:6" ht="12.5">
      <c r="A654" s="2">
        <v>1671</v>
      </c>
      <c r="B654" s="2">
        <v>1964</v>
      </c>
      <c r="C654" s="2">
        <v>107</v>
      </c>
      <c r="D654" s="2">
        <v>196</v>
      </c>
      <c r="E654" s="2">
        <v>5</v>
      </c>
      <c r="F654" s="2">
        <v>6</v>
      </c>
    </row>
    <row r="655" spans="1:6" ht="12.5">
      <c r="A655" s="2">
        <v>1880</v>
      </c>
      <c r="B655" s="2">
        <v>3074</v>
      </c>
      <c r="C655" s="2">
        <v>107</v>
      </c>
      <c r="D655" s="2">
        <v>143</v>
      </c>
      <c r="E655" s="2">
        <v>5</v>
      </c>
      <c r="F655" s="2">
        <v>4</v>
      </c>
    </row>
    <row r="656" spans="1:6" ht="12.5">
      <c r="A656" s="2">
        <v>1242</v>
      </c>
      <c r="B656" s="2">
        <v>4138</v>
      </c>
      <c r="C656" s="2">
        <v>106</v>
      </c>
      <c r="D656" s="2">
        <v>115</v>
      </c>
      <c r="E656" s="2">
        <v>5</v>
      </c>
      <c r="F656" s="2">
        <v>7</v>
      </c>
    </row>
    <row r="657" spans="1:6" ht="12.5">
      <c r="A657" s="2">
        <v>77</v>
      </c>
      <c r="B657" s="2">
        <v>7503</v>
      </c>
      <c r="C657" s="2">
        <v>105</v>
      </c>
      <c r="D657" s="2">
        <v>105</v>
      </c>
      <c r="E657" s="2">
        <v>5</v>
      </c>
      <c r="F657" s="2">
        <v>9</v>
      </c>
    </row>
    <row r="658" spans="1:6" ht="12.5">
      <c r="A658" s="2">
        <v>686</v>
      </c>
      <c r="B658" s="2">
        <v>9826</v>
      </c>
      <c r="C658" s="2">
        <v>102</v>
      </c>
      <c r="D658" s="2">
        <v>102</v>
      </c>
      <c r="E658" s="2">
        <v>5</v>
      </c>
      <c r="F658" s="2">
        <v>10</v>
      </c>
    </row>
    <row r="659" spans="1:6" ht="12.5">
      <c r="A659" s="2">
        <v>884</v>
      </c>
      <c r="B659" s="2">
        <v>5830</v>
      </c>
      <c r="C659" s="2">
        <v>102</v>
      </c>
      <c r="D659" s="2">
        <v>102</v>
      </c>
      <c r="E659" s="2">
        <v>5</v>
      </c>
      <c r="F659" s="2">
        <v>10</v>
      </c>
    </row>
    <row r="660" spans="1:6" ht="12.5">
      <c r="A660" s="2">
        <v>1887</v>
      </c>
      <c r="B660" s="2">
        <v>5113</v>
      </c>
      <c r="C660" s="2">
        <v>100</v>
      </c>
      <c r="D660" s="2">
        <v>83</v>
      </c>
      <c r="E660" s="2">
        <v>5</v>
      </c>
      <c r="F660" s="2">
        <v>5</v>
      </c>
    </row>
    <row r="661" spans="1:6" ht="12.5">
      <c r="A661" s="2">
        <v>1563</v>
      </c>
      <c r="B661" s="2">
        <v>4828</v>
      </c>
      <c r="C661" s="2">
        <v>99</v>
      </c>
      <c r="D661" s="2">
        <v>121</v>
      </c>
      <c r="E661" s="2">
        <v>5</v>
      </c>
      <c r="F661" s="2">
        <v>5</v>
      </c>
    </row>
    <row r="662" spans="1:6" ht="12.5">
      <c r="A662" s="2">
        <v>1734</v>
      </c>
      <c r="B662" s="2">
        <v>2499</v>
      </c>
      <c r="C662" s="2">
        <v>97</v>
      </c>
      <c r="D662" s="2">
        <v>118</v>
      </c>
      <c r="E662" s="2">
        <v>5</v>
      </c>
      <c r="F662" s="2">
        <v>10</v>
      </c>
    </row>
    <row r="663" spans="1:6" ht="12.5">
      <c r="A663" s="2">
        <v>459</v>
      </c>
      <c r="B663" s="2">
        <v>10648</v>
      </c>
      <c r="C663" s="2">
        <v>96</v>
      </c>
      <c r="D663" s="2">
        <v>96</v>
      </c>
      <c r="E663" s="2">
        <v>5</v>
      </c>
      <c r="F663" s="2">
        <v>6</v>
      </c>
    </row>
    <row r="664" spans="1:6" ht="12.5">
      <c r="A664" s="2">
        <v>1622</v>
      </c>
      <c r="B664" s="2">
        <v>5120</v>
      </c>
      <c r="C664" s="2">
        <v>96</v>
      </c>
      <c r="D664" s="2">
        <v>96</v>
      </c>
      <c r="E664" s="2">
        <v>5</v>
      </c>
      <c r="F664" s="2">
        <v>6</v>
      </c>
    </row>
    <row r="665" spans="1:6" ht="12.5">
      <c r="A665" s="2">
        <v>986</v>
      </c>
      <c r="B665" s="2">
        <v>8164</v>
      </c>
      <c r="C665" s="2">
        <v>93</v>
      </c>
      <c r="D665" s="2">
        <v>55</v>
      </c>
      <c r="E665" s="2">
        <v>5</v>
      </c>
      <c r="F665" s="2">
        <v>7</v>
      </c>
    </row>
    <row r="666" spans="1:6" ht="12.5">
      <c r="A666" s="2">
        <v>1413</v>
      </c>
      <c r="B666" s="2">
        <v>4310</v>
      </c>
      <c r="C666" s="2">
        <v>93</v>
      </c>
      <c r="D666" s="2">
        <v>40</v>
      </c>
      <c r="E666" s="2">
        <v>5</v>
      </c>
      <c r="F666" s="2">
        <v>5</v>
      </c>
    </row>
    <row r="667" spans="1:6" ht="12.5">
      <c r="A667" s="2">
        <v>513</v>
      </c>
      <c r="B667" s="2">
        <v>6036</v>
      </c>
      <c r="C667" s="2">
        <v>92</v>
      </c>
      <c r="D667" s="2">
        <v>129</v>
      </c>
      <c r="E667" s="2">
        <v>5</v>
      </c>
      <c r="F667" s="2">
        <v>7</v>
      </c>
    </row>
    <row r="668" spans="1:6" ht="12.5">
      <c r="A668" s="2">
        <v>1320</v>
      </c>
      <c r="B668" s="2">
        <v>1650</v>
      </c>
      <c r="C668" s="2">
        <v>86</v>
      </c>
      <c r="D668" s="2">
        <v>69</v>
      </c>
      <c r="E668" s="2">
        <v>5</v>
      </c>
      <c r="F668" s="2">
        <v>12</v>
      </c>
    </row>
    <row r="669" spans="1:6" ht="12.5">
      <c r="A669" s="2">
        <v>1062</v>
      </c>
      <c r="B669" s="2">
        <v>1162</v>
      </c>
      <c r="C669" s="2">
        <v>83</v>
      </c>
      <c r="D669" s="2">
        <v>59</v>
      </c>
      <c r="E669" s="2">
        <v>5</v>
      </c>
      <c r="F669" s="2">
        <v>11</v>
      </c>
    </row>
    <row r="670" spans="1:6" ht="12.5">
      <c r="A670" s="2">
        <v>2073</v>
      </c>
      <c r="B670" s="2">
        <v>10643</v>
      </c>
      <c r="C670" s="2">
        <v>83</v>
      </c>
      <c r="D670" s="2">
        <v>59</v>
      </c>
      <c r="E670" s="2">
        <v>5</v>
      </c>
      <c r="F670" s="2">
        <v>11</v>
      </c>
    </row>
    <row r="671" spans="1:6" ht="12.5">
      <c r="A671" s="2">
        <v>485</v>
      </c>
      <c r="B671" s="2">
        <v>2426</v>
      </c>
      <c r="C671" s="2">
        <v>74</v>
      </c>
      <c r="D671" s="2">
        <v>37</v>
      </c>
      <c r="E671" s="2">
        <v>5</v>
      </c>
      <c r="F671" s="2">
        <v>13</v>
      </c>
    </row>
    <row r="672" spans="1:6" ht="12.5">
      <c r="A672" s="2">
        <v>845</v>
      </c>
      <c r="B672" s="2">
        <v>5848</v>
      </c>
      <c r="C672" s="2">
        <v>74</v>
      </c>
      <c r="D672" s="2">
        <v>55</v>
      </c>
      <c r="E672" s="2">
        <v>5</v>
      </c>
      <c r="F672" s="2">
        <v>7</v>
      </c>
    </row>
    <row r="673" spans="1:6" ht="12.5">
      <c r="A673" s="2">
        <v>814</v>
      </c>
      <c r="B673" s="2">
        <v>6303</v>
      </c>
      <c r="C673" s="2">
        <v>73</v>
      </c>
      <c r="D673" s="2">
        <v>161</v>
      </c>
      <c r="E673" s="2">
        <v>5</v>
      </c>
      <c r="F673" s="2">
        <v>12</v>
      </c>
    </row>
    <row r="674" spans="1:6" ht="12.5">
      <c r="A674" s="2">
        <v>1304</v>
      </c>
      <c r="B674" s="2">
        <v>6055</v>
      </c>
      <c r="C674" s="2">
        <v>72</v>
      </c>
      <c r="D674" s="2">
        <v>145</v>
      </c>
      <c r="E674" s="2">
        <v>5</v>
      </c>
      <c r="F674" s="2">
        <v>8</v>
      </c>
    </row>
    <row r="675" spans="1:6" ht="12.5">
      <c r="A675" s="2">
        <v>2123</v>
      </c>
      <c r="B675" s="2">
        <v>4915</v>
      </c>
      <c r="C675" s="2">
        <v>72</v>
      </c>
      <c r="D675" s="2">
        <v>21</v>
      </c>
      <c r="E675" s="2">
        <v>5</v>
      </c>
      <c r="F675" s="2">
        <v>12</v>
      </c>
    </row>
    <row r="676" spans="1:6" ht="12.5">
      <c r="A676" s="2">
        <v>1863</v>
      </c>
      <c r="B676" s="2">
        <v>3254</v>
      </c>
      <c r="C676" s="2">
        <v>70</v>
      </c>
      <c r="D676" s="2">
        <v>88</v>
      </c>
      <c r="E676" s="2">
        <v>5</v>
      </c>
      <c r="F676" s="2">
        <v>4</v>
      </c>
    </row>
    <row r="677" spans="1:6" ht="12.5">
      <c r="A677" s="2">
        <v>1814</v>
      </c>
      <c r="B677" s="2">
        <v>10177</v>
      </c>
      <c r="C677" s="2">
        <v>69</v>
      </c>
      <c r="D677" s="2">
        <v>138</v>
      </c>
      <c r="E677" s="2">
        <v>5</v>
      </c>
      <c r="F677" s="2">
        <v>8</v>
      </c>
    </row>
    <row r="678" spans="1:6" ht="12.5">
      <c r="A678" s="2">
        <v>2166</v>
      </c>
      <c r="B678" s="2">
        <v>2429</v>
      </c>
      <c r="C678" s="2">
        <v>69</v>
      </c>
      <c r="D678" s="2">
        <v>138</v>
      </c>
      <c r="E678" s="2">
        <v>5</v>
      </c>
      <c r="F678" s="2">
        <v>8</v>
      </c>
    </row>
    <row r="679" spans="1:6" ht="12.5">
      <c r="A679" s="2">
        <v>641</v>
      </c>
      <c r="B679" s="2">
        <v>4149</v>
      </c>
      <c r="C679" s="2">
        <v>66</v>
      </c>
      <c r="D679" s="2">
        <v>0</v>
      </c>
      <c r="E679" s="2">
        <v>5</v>
      </c>
      <c r="F679" s="2">
        <v>6</v>
      </c>
    </row>
    <row r="680" spans="1:6" ht="12.5">
      <c r="A680" s="2">
        <v>1190</v>
      </c>
      <c r="B680" s="2">
        <v>590</v>
      </c>
      <c r="C680" s="2">
        <v>66</v>
      </c>
      <c r="D680" s="2">
        <v>66</v>
      </c>
      <c r="E680" s="2">
        <v>5</v>
      </c>
      <c r="F680" s="2">
        <v>4</v>
      </c>
    </row>
    <row r="681" spans="1:6" ht="12.5">
      <c r="A681" s="2">
        <v>1459</v>
      </c>
      <c r="B681" s="2">
        <v>2525</v>
      </c>
      <c r="C681" s="2">
        <v>64</v>
      </c>
      <c r="D681" s="2">
        <v>64</v>
      </c>
      <c r="E681" s="2">
        <v>5</v>
      </c>
      <c r="F681" s="2">
        <v>9</v>
      </c>
    </row>
    <row r="682" spans="1:6" ht="12.5">
      <c r="A682" s="2">
        <v>993</v>
      </c>
      <c r="B682" s="2">
        <v>7646</v>
      </c>
      <c r="C682" s="2">
        <v>63</v>
      </c>
      <c r="D682" s="2">
        <v>35</v>
      </c>
      <c r="E682" s="2">
        <v>5</v>
      </c>
      <c r="F682" s="2">
        <v>12</v>
      </c>
    </row>
    <row r="683" spans="1:6" ht="12.5">
      <c r="A683" s="2">
        <v>1566</v>
      </c>
      <c r="B683" s="2">
        <v>7476</v>
      </c>
      <c r="C683" s="2">
        <v>63</v>
      </c>
      <c r="D683" s="2">
        <v>12</v>
      </c>
      <c r="E683" s="2">
        <v>5</v>
      </c>
      <c r="F683" s="2">
        <v>10</v>
      </c>
    </row>
    <row r="684" spans="1:6" ht="12.5">
      <c r="A684" s="2">
        <v>140</v>
      </c>
      <c r="B684" s="2">
        <v>821</v>
      </c>
      <c r="C684" s="2">
        <v>61</v>
      </c>
      <c r="D684" s="2">
        <v>61</v>
      </c>
      <c r="E684" s="2">
        <v>5</v>
      </c>
      <c r="F684" s="2">
        <v>12</v>
      </c>
    </row>
    <row r="685" spans="1:6" ht="12.5">
      <c r="A685" s="2">
        <v>1222</v>
      </c>
      <c r="B685" s="2">
        <v>1627</v>
      </c>
      <c r="C685" s="2">
        <v>61</v>
      </c>
      <c r="D685" s="2">
        <v>122</v>
      </c>
      <c r="E685" s="2">
        <v>5</v>
      </c>
      <c r="F685" s="2">
        <v>9</v>
      </c>
    </row>
    <row r="686" spans="1:6" ht="12.5">
      <c r="A686" s="2">
        <v>1879</v>
      </c>
      <c r="B686" s="2">
        <v>3426</v>
      </c>
      <c r="C686" s="2">
        <v>61</v>
      </c>
      <c r="D686" s="2">
        <v>46</v>
      </c>
      <c r="E686" s="2">
        <v>5</v>
      </c>
      <c r="F686" s="2">
        <v>13</v>
      </c>
    </row>
    <row r="687" spans="1:6" ht="12.5">
      <c r="A687" s="2">
        <v>88</v>
      </c>
      <c r="B687" s="2">
        <v>8504</v>
      </c>
      <c r="C687" s="2">
        <v>60</v>
      </c>
      <c r="D687" s="2">
        <v>133</v>
      </c>
      <c r="E687" s="2">
        <v>5</v>
      </c>
      <c r="F687" s="2">
        <v>7</v>
      </c>
    </row>
    <row r="688" spans="1:6" ht="12.5">
      <c r="A688" s="2">
        <v>1034</v>
      </c>
      <c r="B688" s="2">
        <v>1020</v>
      </c>
      <c r="C688" s="2">
        <v>60</v>
      </c>
      <c r="D688" s="2">
        <v>133</v>
      </c>
      <c r="E688" s="2">
        <v>5</v>
      </c>
      <c r="F688" s="2">
        <v>7</v>
      </c>
    </row>
    <row r="689" spans="1:6" ht="12.5">
      <c r="A689" s="2">
        <v>2075</v>
      </c>
      <c r="B689" s="2">
        <v>10281</v>
      </c>
      <c r="C689" s="2">
        <v>60</v>
      </c>
      <c r="D689" s="2">
        <v>54</v>
      </c>
      <c r="E689" s="2">
        <v>5</v>
      </c>
      <c r="F689" s="2">
        <v>7</v>
      </c>
    </row>
    <row r="690" spans="1:6" ht="12.5">
      <c r="A690" s="2">
        <v>1213</v>
      </c>
      <c r="B690" s="2">
        <v>697</v>
      </c>
      <c r="C690" s="2">
        <v>59</v>
      </c>
      <c r="D690" s="2">
        <v>19</v>
      </c>
      <c r="E690" s="2">
        <v>5</v>
      </c>
      <c r="F690" s="2">
        <v>6</v>
      </c>
    </row>
    <row r="691" spans="1:6" ht="12.5">
      <c r="A691" s="2">
        <v>2109</v>
      </c>
      <c r="B691" s="2">
        <v>3104</v>
      </c>
      <c r="C691" s="2">
        <v>59</v>
      </c>
      <c r="D691" s="2">
        <v>79</v>
      </c>
      <c r="E691" s="2">
        <v>5</v>
      </c>
      <c r="F691" s="2">
        <v>12</v>
      </c>
    </row>
    <row r="692" spans="1:6" ht="12.5">
      <c r="A692" s="2">
        <v>130</v>
      </c>
      <c r="B692" s="2">
        <v>8026</v>
      </c>
      <c r="C692" s="2">
        <v>58</v>
      </c>
      <c r="D692" s="2">
        <v>89</v>
      </c>
      <c r="E692" s="2">
        <v>5</v>
      </c>
      <c r="F692" s="2">
        <v>5</v>
      </c>
    </row>
    <row r="693" spans="1:6" ht="12.5">
      <c r="A693" s="2">
        <v>874</v>
      </c>
      <c r="B693" s="2">
        <v>7631</v>
      </c>
      <c r="C693" s="2">
        <v>58</v>
      </c>
      <c r="D693" s="2">
        <v>16</v>
      </c>
      <c r="E693" s="2">
        <v>5</v>
      </c>
      <c r="F693" s="2">
        <v>10</v>
      </c>
    </row>
    <row r="694" spans="1:6" ht="12.5">
      <c r="A694" s="2">
        <v>1084</v>
      </c>
      <c r="B694" s="2">
        <v>6072</v>
      </c>
      <c r="C694" s="2">
        <v>57</v>
      </c>
      <c r="D694" s="2">
        <v>38</v>
      </c>
      <c r="E694" s="2">
        <v>5</v>
      </c>
      <c r="F694" s="2">
        <v>6</v>
      </c>
    </row>
    <row r="695" spans="1:6" ht="12.5">
      <c r="A695" s="2">
        <v>820</v>
      </c>
      <c r="B695" s="2">
        <v>9493</v>
      </c>
      <c r="C695" s="2">
        <v>53</v>
      </c>
      <c r="D695" s="2">
        <v>71</v>
      </c>
      <c r="E695" s="2">
        <v>5</v>
      </c>
      <c r="F695" s="2">
        <v>8</v>
      </c>
    </row>
    <row r="696" spans="1:6" ht="12.5">
      <c r="A696" s="2">
        <v>1025</v>
      </c>
      <c r="B696" s="2">
        <v>8911</v>
      </c>
      <c r="C696" s="2">
        <v>53</v>
      </c>
      <c r="D696" s="2">
        <v>77</v>
      </c>
      <c r="E696" s="2">
        <v>5</v>
      </c>
      <c r="F696" s="2">
        <v>9</v>
      </c>
    </row>
    <row r="697" spans="1:6" ht="12.5">
      <c r="A697" s="2">
        <v>1713</v>
      </c>
      <c r="B697" s="2">
        <v>7396</v>
      </c>
      <c r="C697" s="2">
        <v>51</v>
      </c>
      <c r="D697" s="2">
        <v>35</v>
      </c>
      <c r="E697" s="2">
        <v>5</v>
      </c>
      <c r="F697" s="2">
        <v>12</v>
      </c>
    </row>
    <row r="698" spans="1:6" ht="12.5">
      <c r="A698" s="2">
        <v>2010</v>
      </c>
      <c r="B698" s="2">
        <v>2002</v>
      </c>
      <c r="C698" s="2">
        <v>51</v>
      </c>
      <c r="D698" s="2">
        <v>34</v>
      </c>
      <c r="E698" s="2">
        <v>5</v>
      </c>
      <c r="F698" s="2">
        <v>5</v>
      </c>
    </row>
    <row r="699" spans="1:6" ht="12.5">
      <c r="A699" s="2">
        <v>49</v>
      </c>
      <c r="B699" s="2">
        <v>6566</v>
      </c>
      <c r="C699" s="2">
        <v>50</v>
      </c>
      <c r="D699" s="2">
        <v>38</v>
      </c>
      <c r="E699" s="2">
        <v>5</v>
      </c>
      <c r="F699" s="2">
        <v>12</v>
      </c>
    </row>
    <row r="700" spans="1:6" ht="12.5">
      <c r="A700" s="2">
        <v>1913</v>
      </c>
      <c r="B700" s="2">
        <v>5831</v>
      </c>
      <c r="C700" s="2">
        <v>50</v>
      </c>
      <c r="D700" s="2">
        <v>50</v>
      </c>
      <c r="E700" s="2">
        <v>5</v>
      </c>
      <c r="F700" s="2">
        <v>5</v>
      </c>
    </row>
    <row r="701" spans="1:6" ht="12.5">
      <c r="A701" s="2">
        <v>68</v>
      </c>
      <c r="B701" s="2">
        <v>4477</v>
      </c>
      <c r="C701" s="2">
        <v>49</v>
      </c>
      <c r="D701" s="2">
        <v>82</v>
      </c>
      <c r="E701" s="2">
        <v>5</v>
      </c>
      <c r="F701" s="2">
        <v>10</v>
      </c>
    </row>
    <row r="702" spans="1:6" ht="12.5">
      <c r="A702" s="2">
        <v>1883</v>
      </c>
      <c r="B702" s="2">
        <v>6461</v>
      </c>
      <c r="C702" s="2">
        <v>49</v>
      </c>
      <c r="D702" s="2">
        <v>8</v>
      </c>
      <c r="E702" s="2">
        <v>5</v>
      </c>
      <c r="F702" s="2">
        <v>11</v>
      </c>
    </row>
    <row r="703" spans="1:6" ht="12.5">
      <c r="A703" s="2">
        <v>1322</v>
      </c>
      <c r="B703" s="2">
        <v>9206</v>
      </c>
      <c r="C703" s="2">
        <v>48</v>
      </c>
      <c r="D703" s="2">
        <v>105</v>
      </c>
      <c r="E703" s="2">
        <v>5</v>
      </c>
      <c r="F703" s="2">
        <v>12</v>
      </c>
    </row>
    <row r="704" spans="1:6" ht="12.5">
      <c r="A704" s="2">
        <v>871</v>
      </c>
      <c r="B704" s="2">
        <v>9353</v>
      </c>
      <c r="C704" s="2">
        <v>47</v>
      </c>
      <c r="D704" s="2">
        <v>66</v>
      </c>
      <c r="E704" s="2">
        <v>5</v>
      </c>
      <c r="F704" s="2">
        <v>4</v>
      </c>
    </row>
    <row r="705" spans="1:6" ht="12.5">
      <c r="A705" s="2">
        <v>1126</v>
      </c>
      <c r="B705" s="2">
        <v>6749</v>
      </c>
      <c r="C705" s="2">
        <v>47</v>
      </c>
      <c r="D705" s="2">
        <v>47</v>
      </c>
      <c r="E705" s="2">
        <v>5</v>
      </c>
      <c r="F705" s="2">
        <v>6</v>
      </c>
    </row>
    <row r="706" spans="1:6" ht="12.5">
      <c r="A706" s="2">
        <v>1582</v>
      </c>
      <c r="B706" s="2">
        <v>3503</v>
      </c>
      <c r="C706" s="2">
        <v>47</v>
      </c>
      <c r="D706" s="2">
        <v>32</v>
      </c>
      <c r="E706" s="2">
        <v>5</v>
      </c>
      <c r="F706" s="2">
        <v>6</v>
      </c>
    </row>
    <row r="707" spans="1:6" ht="12.5">
      <c r="A707" s="2">
        <v>2040</v>
      </c>
      <c r="B707" s="2">
        <v>5631</v>
      </c>
      <c r="C707" s="2">
        <v>47</v>
      </c>
      <c r="D707" s="2">
        <v>42</v>
      </c>
      <c r="E707" s="2">
        <v>5</v>
      </c>
      <c r="F707" s="2">
        <v>8</v>
      </c>
    </row>
    <row r="708" spans="1:6" ht="12.5">
      <c r="A708" s="2">
        <v>99</v>
      </c>
      <c r="B708" s="2">
        <v>3037</v>
      </c>
      <c r="C708" s="2">
        <v>46</v>
      </c>
      <c r="D708" s="2">
        <v>61</v>
      </c>
      <c r="E708" s="2">
        <v>5</v>
      </c>
      <c r="F708" s="2">
        <v>7</v>
      </c>
    </row>
    <row r="709" spans="1:6" ht="12.5">
      <c r="A709" s="2">
        <v>1347</v>
      </c>
      <c r="B709" s="2">
        <v>4698</v>
      </c>
      <c r="C709" s="2">
        <v>46</v>
      </c>
      <c r="D709" s="2">
        <v>61</v>
      </c>
      <c r="E709" s="2">
        <v>5</v>
      </c>
      <c r="F709" s="2">
        <v>7</v>
      </c>
    </row>
    <row r="710" spans="1:6" ht="12.5">
      <c r="A710" s="2">
        <v>413</v>
      </c>
      <c r="B710" s="2">
        <v>7422</v>
      </c>
      <c r="C710" s="2">
        <v>44</v>
      </c>
      <c r="D710" s="2">
        <v>78</v>
      </c>
      <c r="E710" s="2">
        <v>5</v>
      </c>
      <c r="F710" s="2">
        <v>7</v>
      </c>
    </row>
    <row r="711" spans="1:6" ht="12.5">
      <c r="A711" s="2">
        <v>4</v>
      </c>
      <c r="B711" s="2">
        <v>5324</v>
      </c>
      <c r="C711" s="2">
        <v>43</v>
      </c>
      <c r="D711" s="2">
        <v>27</v>
      </c>
      <c r="E711" s="2">
        <v>5</v>
      </c>
      <c r="F711" s="2">
        <v>6</v>
      </c>
    </row>
    <row r="712" spans="1:6" ht="12.5">
      <c r="A712" s="2">
        <v>1082</v>
      </c>
      <c r="B712" s="2">
        <v>8707</v>
      </c>
      <c r="C712" s="2">
        <v>42</v>
      </c>
      <c r="D712" s="2">
        <v>83</v>
      </c>
      <c r="E712" s="2">
        <v>5</v>
      </c>
      <c r="F712" s="2">
        <v>4</v>
      </c>
    </row>
    <row r="713" spans="1:6" ht="12.5">
      <c r="A713" s="2">
        <v>1957</v>
      </c>
      <c r="B713" s="2">
        <v>10448</v>
      </c>
      <c r="C713" s="2">
        <v>41</v>
      </c>
      <c r="D713" s="2">
        <v>6</v>
      </c>
      <c r="E713" s="2">
        <v>5</v>
      </c>
      <c r="F713" s="2">
        <v>5</v>
      </c>
    </row>
    <row r="714" spans="1:6" ht="12.5">
      <c r="A714" s="2">
        <v>559</v>
      </c>
      <c r="B714" s="2">
        <v>3174</v>
      </c>
      <c r="C714" s="2">
        <v>38</v>
      </c>
      <c r="D714" s="2">
        <v>57</v>
      </c>
      <c r="E714" s="2">
        <v>5</v>
      </c>
      <c r="F714" s="2">
        <v>4</v>
      </c>
    </row>
    <row r="715" spans="1:6" ht="12.5">
      <c r="A715" s="2">
        <v>824</v>
      </c>
      <c r="B715" s="2">
        <v>5536</v>
      </c>
      <c r="C715" s="2">
        <v>38</v>
      </c>
      <c r="D715" s="2">
        <v>57</v>
      </c>
      <c r="E715" s="2">
        <v>5</v>
      </c>
      <c r="F715" s="2">
        <v>4</v>
      </c>
    </row>
    <row r="716" spans="1:6" ht="12.5">
      <c r="A716" s="2">
        <v>1542</v>
      </c>
      <c r="B716" s="2">
        <v>528</v>
      </c>
      <c r="C716" s="2">
        <v>38</v>
      </c>
      <c r="D716" s="2">
        <v>165</v>
      </c>
      <c r="E716" s="2">
        <v>5</v>
      </c>
      <c r="F716" s="2">
        <v>10</v>
      </c>
    </row>
    <row r="717" spans="1:6" ht="12.5">
      <c r="A717" s="2">
        <v>1990</v>
      </c>
      <c r="B717" s="2">
        <v>10949</v>
      </c>
      <c r="C717" s="2">
        <v>37</v>
      </c>
      <c r="D717" s="2">
        <v>37</v>
      </c>
      <c r="E717" s="2">
        <v>5</v>
      </c>
      <c r="F717" s="2">
        <v>8</v>
      </c>
    </row>
    <row r="718" spans="1:6" ht="12.5">
      <c r="A718" s="2">
        <v>2175</v>
      </c>
      <c r="B718" s="2">
        <v>1772</v>
      </c>
      <c r="C718" s="2">
        <v>37</v>
      </c>
      <c r="D718" s="2">
        <v>92</v>
      </c>
      <c r="E718" s="2">
        <v>5</v>
      </c>
      <c r="F718" s="2">
        <v>7</v>
      </c>
    </row>
    <row r="719" spans="1:6" ht="12.5">
      <c r="A719" s="2">
        <v>403</v>
      </c>
      <c r="B719" s="2">
        <v>615</v>
      </c>
      <c r="C719" s="2">
        <v>36</v>
      </c>
      <c r="D719" s="2">
        <v>20</v>
      </c>
      <c r="E719" s="2">
        <v>5</v>
      </c>
      <c r="F719" s="2">
        <v>4</v>
      </c>
    </row>
    <row r="720" spans="1:6" ht="12.5">
      <c r="A720" s="2">
        <v>56</v>
      </c>
      <c r="B720" s="2">
        <v>10383</v>
      </c>
      <c r="C720" s="2">
        <v>35</v>
      </c>
      <c r="D720" s="2">
        <v>120</v>
      </c>
      <c r="E720" s="2">
        <v>5</v>
      </c>
      <c r="F720" s="2">
        <v>10</v>
      </c>
    </row>
    <row r="721" spans="1:6" ht="12.5">
      <c r="A721" s="2">
        <v>394</v>
      </c>
      <c r="B721" s="2">
        <v>7683</v>
      </c>
      <c r="C721" s="2">
        <v>35</v>
      </c>
      <c r="D721" s="2">
        <v>7</v>
      </c>
      <c r="E721" s="2">
        <v>5</v>
      </c>
      <c r="F721" s="2">
        <v>12</v>
      </c>
    </row>
    <row r="722" spans="1:6" ht="12.5">
      <c r="A722" s="2">
        <v>1099</v>
      </c>
      <c r="B722" s="2">
        <v>6001</v>
      </c>
      <c r="C722" s="2">
        <v>35</v>
      </c>
      <c r="D722" s="2">
        <v>35</v>
      </c>
      <c r="E722" s="2">
        <v>5</v>
      </c>
      <c r="F722" s="2">
        <v>10</v>
      </c>
    </row>
    <row r="723" spans="1:6" ht="12.5">
      <c r="A723" s="2">
        <v>1153</v>
      </c>
      <c r="B723" s="2">
        <v>5031</v>
      </c>
      <c r="C723" s="2">
        <v>35</v>
      </c>
      <c r="D723" s="2">
        <v>137</v>
      </c>
      <c r="E723" s="2">
        <v>5</v>
      </c>
      <c r="F723" s="2">
        <v>11</v>
      </c>
    </row>
    <row r="724" spans="1:6" ht="12.5">
      <c r="A724" s="2">
        <v>1647</v>
      </c>
      <c r="B724" s="2">
        <v>7005</v>
      </c>
      <c r="C724" s="2">
        <v>35</v>
      </c>
      <c r="D724" s="2">
        <v>7</v>
      </c>
      <c r="E724" s="2">
        <v>5</v>
      </c>
      <c r="F724" s="2">
        <v>12</v>
      </c>
    </row>
    <row r="725" spans="1:6" ht="12.5">
      <c r="A725" s="2">
        <v>1860</v>
      </c>
      <c r="B725" s="2">
        <v>1459</v>
      </c>
      <c r="C725" s="2">
        <v>35</v>
      </c>
      <c r="D725" s="2">
        <v>8</v>
      </c>
      <c r="E725" s="2">
        <v>5</v>
      </c>
      <c r="F725" s="2">
        <v>5</v>
      </c>
    </row>
    <row r="726" spans="1:6" ht="12.5">
      <c r="A726" s="2">
        <v>414</v>
      </c>
      <c r="B726" s="2">
        <v>3523</v>
      </c>
      <c r="C726" s="2">
        <v>34</v>
      </c>
      <c r="D726" s="2">
        <v>22</v>
      </c>
      <c r="E726" s="2">
        <v>5</v>
      </c>
      <c r="F726" s="2">
        <v>8</v>
      </c>
    </row>
    <row r="727" spans="1:6" ht="12.5">
      <c r="A727" s="2">
        <v>1197</v>
      </c>
      <c r="B727" s="2">
        <v>6606</v>
      </c>
      <c r="C727" s="2">
        <v>34</v>
      </c>
      <c r="D727" s="2">
        <v>0</v>
      </c>
      <c r="E727" s="2">
        <v>5</v>
      </c>
      <c r="F727" s="2">
        <v>10</v>
      </c>
    </row>
    <row r="728" spans="1:6" ht="12.5">
      <c r="A728" s="2">
        <v>1035</v>
      </c>
      <c r="B728" s="2">
        <v>9503</v>
      </c>
      <c r="C728" s="2">
        <v>33</v>
      </c>
      <c r="D728" s="2">
        <v>26</v>
      </c>
      <c r="E728" s="2">
        <v>5</v>
      </c>
      <c r="F728" s="2">
        <v>5</v>
      </c>
    </row>
    <row r="729" spans="1:6" ht="12.5">
      <c r="A729" s="2">
        <v>1335</v>
      </c>
      <c r="B729" s="2">
        <v>11039</v>
      </c>
      <c r="C729" s="2">
        <v>33</v>
      </c>
      <c r="D729" s="2">
        <v>30</v>
      </c>
      <c r="E729" s="2">
        <v>5</v>
      </c>
      <c r="F729" s="2">
        <v>4</v>
      </c>
    </row>
    <row r="730" spans="1:6" ht="12.5">
      <c r="A730" s="2">
        <v>1784</v>
      </c>
      <c r="B730" s="2">
        <v>7261</v>
      </c>
      <c r="C730" s="2">
        <v>33</v>
      </c>
      <c r="D730" s="2">
        <v>3</v>
      </c>
      <c r="E730" s="2">
        <v>5</v>
      </c>
      <c r="F730" s="2">
        <v>5</v>
      </c>
    </row>
    <row r="731" spans="1:6" ht="12.5">
      <c r="A731" s="2">
        <v>1972</v>
      </c>
      <c r="B731" s="2">
        <v>2452</v>
      </c>
      <c r="C731" s="2">
        <v>33</v>
      </c>
      <c r="D731" s="2">
        <v>3</v>
      </c>
      <c r="E731" s="2">
        <v>5</v>
      </c>
      <c r="F731" s="2">
        <v>5</v>
      </c>
    </row>
    <row r="732" spans="1:6" ht="12.5">
      <c r="A732" s="2">
        <v>1993</v>
      </c>
      <c r="B732" s="2">
        <v>10164</v>
      </c>
      <c r="C732" s="2">
        <v>33</v>
      </c>
      <c r="D732" s="2">
        <v>100</v>
      </c>
      <c r="E732" s="2">
        <v>5</v>
      </c>
      <c r="F732" s="2">
        <v>5</v>
      </c>
    </row>
    <row r="733" spans="1:6" ht="12.5">
      <c r="A733" s="2">
        <v>770</v>
      </c>
      <c r="B733" s="2">
        <v>10582</v>
      </c>
      <c r="C733" s="2">
        <v>32</v>
      </c>
      <c r="D733" s="2">
        <v>32</v>
      </c>
      <c r="E733" s="2">
        <v>5</v>
      </c>
      <c r="F733" s="2">
        <v>12</v>
      </c>
    </row>
    <row r="734" spans="1:6" ht="12.5">
      <c r="A734" s="2">
        <v>1310</v>
      </c>
      <c r="B734" s="2">
        <v>4603</v>
      </c>
      <c r="C734" s="2">
        <v>32</v>
      </c>
      <c r="D734" s="2">
        <v>58</v>
      </c>
      <c r="E734" s="2">
        <v>5</v>
      </c>
      <c r="F734" s="2">
        <v>10</v>
      </c>
    </row>
    <row r="735" spans="1:6" ht="12.5">
      <c r="A735" s="2">
        <v>2151</v>
      </c>
      <c r="B735" s="2">
        <v>7233</v>
      </c>
      <c r="C735" s="2">
        <v>32</v>
      </c>
      <c r="D735" s="2">
        <v>48</v>
      </c>
      <c r="E735" s="2">
        <v>5</v>
      </c>
      <c r="F735" s="2">
        <v>6</v>
      </c>
    </row>
    <row r="736" spans="1:6" ht="12.5">
      <c r="A736" s="2">
        <v>1606</v>
      </c>
      <c r="B736" s="2">
        <v>8969</v>
      </c>
      <c r="C736" s="2">
        <v>31</v>
      </c>
      <c r="D736" s="2">
        <v>112</v>
      </c>
      <c r="E736" s="2">
        <v>5</v>
      </c>
      <c r="F736" s="2">
        <v>11</v>
      </c>
    </row>
    <row r="737" spans="1:6" ht="12.5">
      <c r="A737" s="2">
        <v>1657</v>
      </c>
      <c r="B737" s="2">
        <v>2295</v>
      </c>
      <c r="C737" s="2">
        <v>30</v>
      </c>
      <c r="D737" s="2">
        <v>46</v>
      </c>
      <c r="E737" s="2">
        <v>5</v>
      </c>
      <c r="F737" s="2">
        <v>13</v>
      </c>
    </row>
    <row r="738" spans="1:6" ht="12.5">
      <c r="A738" s="2">
        <v>1307</v>
      </c>
      <c r="B738" s="2">
        <v>4394</v>
      </c>
      <c r="C738" s="2">
        <v>29</v>
      </c>
      <c r="D738" s="2">
        <v>29</v>
      </c>
      <c r="E738" s="2">
        <v>5</v>
      </c>
      <c r="F738" s="2">
        <v>12</v>
      </c>
    </row>
    <row r="739" spans="1:6" ht="12.5">
      <c r="A739" s="2">
        <v>142</v>
      </c>
      <c r="B739" s="2">
        <v>8690</v>
      </c>
      <c r="C739" s="2">
        <v>28</v>
      </c>
      <c r="D739" s="2">
        <v>40</v>
      </c>
      <c r="E739" s="2">
        <v>5</v>
      </c>
      <c r="F739" s="2">
        <v>10</v>
      </c>
    </row>
    <row r="740" spans="1:6" ht="12.5">
      <c r="A740" s="2">
        <v>484</v>
      </c>
      <c r="B740" s="2">
        <v>9286</v>
      </c>
      <c r="C740" s="2">
        <v>28</v>
      </c>
      <c r="D740" s="2">
        <v>74</v>
      </c>
      <c r="E740" s="2">
        <v>5</v>
      </c>
      <c r="F740" s="2">
        <v>4</v>
      </c>
    </row>
    <row r="741" spans="1:6" ht="12.5">
      <c r="A741" s="2">
        <v>601</v>
      </c>
      <c r="B741" s="2">
        <v>2453</v>
      </c>
      <c r="C741" s="2">
        <v>28</v>
      </c>
      <c r="D741" s="2">
        <v>21</v>
      </c>
      <c r="E741" s="2">
        <v>5</v>
      </c>
      <c r="F741" s="2">
        <v>12</v>
      </c>
    </row>
    <row r="742" spans="1:6" ht="12.5">
      <c r="A742" s="2">
        <v>1481</v>
      </c>
      <c r="B742" s="2">
        <v>7787</v>
      </c>
      <c r="C742" s="2">
        <v>28</v>
      </c>
      <c r="D742" s="2">
        <v>21</v>
      </c>
      <c r="E742" s="2">
        <v>5</v>
      </c>
      <c r="F742" s="2">
        <v>12</v>
      </c>
    </row>
    <row r="743" spans="1:6" ht="12.5">
      <c r="A743" s="2">
        <v>956</v>
      </c>
      <c r="B743" s="2">
        <v>5748</v>
      </c>
      <c r="C743" s="2">
        <v>27</v>
      </c>
      <c r="D743" s="2">
        <v>146</v>
      </c>
      <c r="E743" s="2">
        <v>5</v>
      </c>
      <c r="F743" s="2">
        <v>6</v>
      </c>
    </row>
    <row r="744" spans="1:6" ht="12.5">
      <c r="A744" s="2">
        <v>1817</v>
      </c>
      <c r="B744" s="2">
        <v>10057</v>
      </c>
      <c r="C744" s="2">
        <v>27</v>
      </c>
      <c r="D744" s="2">
        <v>139</v>
      </c>
      <c r="E744" s="2">
        <v>5</v>
      </c>
      <c r="F744" s="2">
        <v>9</v>
      </c>
    </row>
    <row r="745" spans="1:6" ht="12.5">
      <c r="A745" s="2">
        <v>1850</v>
      </c>
      <c r="B745" s="2">
        <v>4427</v>
      </c>
      <c r="C745" s="2">
        <v>27</v>
      </c>
      <c r="D745" s="2">
        <v>107</v>
      </c>
      <c r="E745" s="2">
        <v>5</v>
      </c>
      <c r="F745" s="2">
        <v>12</v>
      </c>
    </row>
    <row r="746" spans="1:6" ht="12.5">
      <c r="A746" s="2">
        <v>98</v>
      </c>
      <c r="B746" s="2">
        <v>4646</v>
      </c>
      <c r="C746" s="2">
        <v>26</v>
      </c>
      <c r="D746" s="2">
        <v>0</v>
      </c>
      <c r="E746" s="2">
        <v>5</v>
      </c>
      <c r="F746" s="2">
        <v>12</v>
      </c>
    </row>
    <row r="747" spans="1:6" ht="12.5">
      <c r="A747" s="2">
        <v>179</v>
      </c>
      <c r="B747" s="2">
        <v>6935</v>
      </c>
      <c r="C747" s="2">
        <v>26</v>
      </c>
      <c r="D747" s="2">
        <v>0</v>
      </c>
      <c r="E747" s="2">
        <v>5</v>
      </c>
      <c r="F747" s="2">
        <v>12</v>
      </c>
    </row>
    <row r="748" spans="1:6" ht="12.5">
      <c r="A748" s="2">
        <v>809</v>
      </c>
      <c r="B748" s="2">
        <v>9145</v>
      </c>
      <c r="C748" s="2">
        <v>26</v>
      </c>
      <c r="D748" s="2">
        <v>161</v>
      </c>
      <c r="E748" s="2">
        <v>5</v>
      </c>
      <c r="F748" s="2">
        <v>6</v>
      </c>
    </row>
    <row r="749" spans="1:6" ht="12.5">
      <c r="A749" s="2">
        <v>1504</v>
      </c>
      <c r="B749" s="2">
        <v>3584</v>
      </c>
      <c r="C749" s="2">
        <v>26</v>
      </c>
      <c r="D749" s="2">
        <v>13</v>
      </c>
      <c r="E749" s="2">
        <v>5</v>
      </c>
      <c r="F749" s="2">
        <v>5</v>
      </c>
    </row>
    <row r="750" spans="1:6" ht="12.5">
      <c r="A750" s="2">
        <v>2049</v>
      </c>
      <c r="B750" s="2">
        <v>2079</v>
      </c>
      <c r="C750" s="2">
        <v>26</v>
      </c>
      <c r="D750" s="2">
        <v>98</v>
      </c>
      <c r="E750" s="2">
        <v>5</v>
      </c>
      <c r="F750" s="2">
        <v>10</v>
      </c>
    </row>
    <row r="751" spans="1:6" ht="12.5">
      <c r="A751" s="2">
        <v>495</v>
      </c>
      <c r="B751" s="2">
        <v>3136</v>
      </c>
      <c r="C751" s="2">
        <v>25</v>
      </c>
      <c r="D751" s="2">
        <v>19</v>
      </c>
      <c r="E751" s="2">
        <v>5</v>
      </c>
      <c r="F751" s="2">
        <v>11</v>
      </c>
    </row>
    <row r="752" spans="1:6" ht="12.5">
      <c r="A752" s="2">
        <v>716</v>
      </c>
      <c r="B752" s="2">
        <v>3619</v>
      </c>
      <c r="C752" s="2">
        <v>25</v>
      </c>
      <c r="D752" s="2">
        <v>138</v>
      </c>
      <c r="E752" s="2">
        <v>5</v>
      </c>
      <c r="F752" s="2">
        <v>8</v>
      </c>
    </row>
    <row r="753" spans="1:6" ht="12.5">
      <c r="A753" s="2">
        <v>455</v>
      </c>
      <c r="B753" s="2">
        <v>4148</v>
      </c>
      <c r="C753" s="2">
        <v>24</v>
      </c>
      <c r="D753" s="2">
        <v>3</v>
      </c>
      <c r="E753" s="2">
        <v>5</v>
      </c>
      <c r="F753" s="2">
        <v>6</v>
      </c>
    </row>
    <row r="754" spans="1:6" ht="12.5">
      <c r="A754" s="2">
        <v>943</v>
      </c>
      <c r="B754" s="2">
        <v>5386</v>
      </c>
      <c r="C754" s="2">
        <v>24</v>
      </c>
      <c r="D754" s="2">
        <v>45</v>
      </c>
      <c r="E754" s="2">
        <v>5</v>
      </c>
      <c r="F754" s="2">
        <v>5</v>
      </c>
    </row>
    <row r="755" spans="1:6" ht="12.5">
      <c r="A755" s="2">
        <v>1040</v>
      </c>
      <c r="B755" s="2">
        <v>3717</v>
      </c>
      <c r="C755" s="2">
        <v>24</v>
      </c>
      <c r="D755" s="2">
        <v>24</v>
      </c>
      <c r="E755" s="2">
        <v>5</v>
      </c>
      <c r="F755" s="2">
        <v>6</v>
      </c>
    </row>
    <row r="756" spans="1:6" ht="12.5">
      <c r="A756" s="2">
        <v>1301</v>
      </c>
      <c r="B756" s="2">
        <v>6024</v>
      </c>
      <c r="C756" s="2">
        <v>24</v>
      </c>
      <c r="D756" s="2">
        <v>45</v>
      </c>
      <c r="E756" s="2">
        <v>5</v>
      </c>
      <c r="F756" s="2">
        <v>5</v>
      </c>
    </row>
    <row r="757" spans="1:6" ht="12.5">
      <c r="A757" s="2">
        <v>1385</v>
      </c>
      <c r="B757" s="2">
        <v>10909</v>
      </c>
      <c r="C757" s="2">
        <v>24</v>
      </c>
      <c r="D757" s="2">
        <v>19</v>
      </c>
      <c r="E757" s="2">
        <v>5</v>
      </c>
      <c r="F757" s="2">
        <v>5</v>
      </c>
    </row>
    <row r="758" spans="1:6" ht="12.5">
      <c r="A758" s="2">
        <v>791</v>
      </c>
      <c r="B758" s="2">
        <v>10446</v>
      </c>
      <c r="C758" s="2">
        <v>23</v>
      </c>
      <c r="D758" s="2">
        <v>23</v>
      </c>
      <c r="E758" s="2">
        <v>5</v>
      </c>
      <c r="F758" s="2">
        <v>7</v>
      </c>
    </row>
    <row r="759" spans="1:6" ht="12.5">
      <c r="A759" s="2">
        <v>1661</v>
      </c>
      <c r="B759" s="2">
        <v>1404</v>
      </c>
      <c r="C759" s="2">
        <v>23</v>
      </c>
      <c r="D759" s="2">
        <v>0</v>
      </c>
      <c r="E759" s="2">
        <v>5</v>
      </c>
      <c r="F759" s="2">
        <v>3</v>
      </c>
    </row>
    <row r="760" spans="1:6" ht="12.5">
      <c r="A760" s="2">
        <v>586</v>
      </c>
      <c r="B760" s="2">
        <v>9058</v>
      </c>
      <c r="C760" s="2">
        <v>21</v>
      </c>
      <c r="D760" s="2">
        <v>0</v>
      </c>
      <c r="E760" s="2">
        <v>5</v>
      </c>
      <c r="F760" s="2">
        <v>5</v>
      </c>
    </row>
    <row r="761" spans="1:6" ht="12.5">
      <c r="A761" s="2">
        <v>515</v>
      </c>
      <c r="B761" s="2">
        <v>203</v>
      </c>
      <c r="C761" s="2">
        <v>20</v>
      </c>
      <c r="D761" s="2">
        <v>61</v>
      </c>
      <c r="E761" s="2">
        <v>5</v>
      </c>
      <c r="F761" s="2">
        <v>9</v>
      </c>
    </row>
    <row r="762" spans="1:6" ht="12.5">
      <c r="A762" s="2">
        <v>891</v>
      </c>
      <c r="B762" s="2">
        <v>7108</v>
      </c>
      <c r="C762" s="2">
        <v>20</v>
      </c>
      <c r="D762" s="2">
        <v>2</v>
      </c>
      <c r="E762" s="2">
        <v>5</v>
      </c>
      <c r="F762" s="2">
        <v>5</v>
      </c>
    </row>
    <row r="763" spans="1:6" ht="12.5">
      <c r="A763" s="2">
        <v>1535</v>
      </c>
      <c r="B763" s="2">
        <v>9771</v>
      </c>
      <c r="C763" s="2">
        <v>20</v>
      </c>
      <c r="D763" s="2">
        <v>15</v>
      </c>
      <c r="E763" s="2">
        <v>5</v>
      </c>
      <c r="F763" s="2">
        <v>5</v>
      </c>
    </row>
    <row r="764" spans="1:6" ht="12.5">
      <c r="A764" s="2">
        <v>2162</v>
      </c>
      <c r="B764" s="2">
        <v>977</v>
      </c>
      <c r="C764" s="2">
        <v>19</v>
      </c>
      <c r="D764" s="2">
        <v>15</v>
      </c>
      <c r="E764" s="2">
        <v>5</v>
      </c>
      <c r="F764" s="2">
        <v>8</v>
      </c>
    </row>
    <row r="765" spans="1:6" ht="12.5">
      <c r="A765" s="2">
        <v>685</v>
      </c>
      <c r="B765" s="2">
        <v>10142</v>
      </c>
      <c r="C765" s="2">
        <v>18</v>
      </c>
      <c r="D765" s="2">
        <v>48</v>
      </c>
      <c r="E765" s="2">
        <v>5</v>
      </c>
      <c r="F765" s="2">
        <v>11</v>
      </c>
    </row>
    <row r="766" spans="1:6" ht="12.5">
      <c r="A766" s="2">
        <v>36</v>
      </c>
      <c r="B766" s="2">
        <v>4339</v>
      </c>
      <c r="C766" s="2">
        <v>17</v>
      </c>
      <c r="D766" s="2">
        <v>8</v>
      </c>
      <c r="E766" s="2">
        <v>5</v>
      </c>
      <c r="F766" s="2">
        <v>12</v>
      </c>
    </row>
    <row r="767" spans="1:6" ht="12.5">
      <c r="A767" s="2">
        <v>358</v>
      </c>
      <c r="B767" s="2">
        <v>6142</v>
      </c>
      <c r="C767" s="2">
        <v>17</v>
      </c>
      <c r="D767" s="2">
        <v>0</v>
      </c>
      <c r="E767" s="2">
        <v>5</v>
      </c>
      <c r="F767" s="2">
        <v>5</v>
      </c>
    </row>
    <row r="768" spans="1:6" ht="12.5">
      <c r="A768" s="2">
        <v>466</v>
      </c>
      <c r="B768" s="2">
        <v>7999</v>
      </c>
      <c r="C768" s="2">
        <v>17</v>
      </c>
      <c r="D768" s="2">
        <v>34</v>
      </c>
      <c r="E768" s="2">
        <v>5</v>
      </c>
      <c r="F768" s="2">
        <v>5</v>
      </c>
    </row>
    <row r="769" spans="1:6" ht="12.5">
      <c r="A769" s="2">
        <v>1272</v>
      </c>
      <c r="B769" s="2">
        <v>195</v>
      </c>
      <c r="C769" s="2">
        <v>17</v>
      </c>
      <c r="D769" s="2">
        <v>19</v>
      </c>
      <c r="E769" s="2">
        <v>5</v>
      </c>
      <c r="F769" s="2">
        <v>4</v>
      </c>
    </row>
    <row r="770" spans="1:6" ht="12.5">
      <c r="A770" s="2">
        <v>1820</v>
      </c>
      <c r="B770" s="2">
        <v>2415</v>
      </c>
      <c r="C770" s="2">
        <v>17</v>
      </c>
      <c r="D770" s="2">
        <v>35</v>
      </c>
      <c r="E770" s="2">
        <v>5</v>
      </c>
      <c r="F770" s="2">
        <v>5</v>
      </c>
    </row>
    <row r="771" spans="1:6" ht="12.5">
      <c r="A771" s="2">
        <v>246</v>
      </c>
      <c r="B771" s="2">
        <v>2176</v>
      </c>
      <c r="C771" s="2">
        <v>16</v>
      </c>
      <c r="D771" s="2">
        <v>0</v>
      </c>
      <c r="E771" s="2">
        <v>5</v>
      </c>
      <c r="F771" s="2">
        <v>6</v>
      </c>
    </row>
    <row r="772" spans="1:6" ht="12.5">
      <c r="A772" s="2">
        <v>603</v>
      </c>
      <c r="B772" s="2">
        <v>895</v>
      </c>
      <c r="C772" s="2">
        <v>16</v>
      </c>
      <c r="D772" s="2">
        <v>5</v>
      </c>
      <c r="E772" s="2">
        <v>5</v>
      </c>
      <c r="F772" s="2">
        <v>10</v>
      </c>
    </row>
    <row r="773" spans="1:6" ht="12.5">
      <c r="A773" s="2">
        <v>1411</v>
      </c>
      <c r="B773" s="2">
        <v>9121</v>
      </c>
      <c r="C773" s="2">
        <v>16</v>
      </c>
      <c r="D773" s="2">
        <v>0</v>
      </c>
      <c r="E773" s="2">
        <v>5</v>
      </c>
      <c r="F773" s="2">
        <v>6</v>
      </c>
    </row>
    <row r="774" spans="1:6" ht="12.5">
      <c r="A774" s="2">
        <v>1509</v>
      </c>
      <c r="B774" s="2">
        <v>10128</v>
      </c>
      <c r="C774" s="2">
        <v>16</v>
      </c>
      <c r="D774" s="2">
        <v>24</v>
      </c>
      <c r="E774" s="2">
        <v>5</v>
      </c>
      <c r="F774" s="2">
        <v>12</v>
      </c>
    </row>
    <row r="775" spans="1:6" ht="12.5">
      <c r="A775" s="2">
        <v>1805</v>
      </c>
      <c r="B775" s="2">
        <v>9284</v>
      </c>
      <c r="C775" s="2">
        <v>16</v>
      </c>
      <c r="D775" s="2">
        <v>24</v>
      </c>
      <c r="E775" s="2">
        <v>5</v>
      </c>
      <c r="F775" s="2">
        <v>12</v>
      </c>
    </row>
    <row r="776" spans="1:6" ht="12.5">
      <c r="A776" s="2">
        <v>1961</v>
      </c>
      <c r="B776" s="2">
        <v>3009</v>
      </c>
      <c r="C776" s="2">
        <v>16</v>
      </c>
      <c r="D776" s="2">
        <v>0</v>
      </c>
      <c r="E776" s="2">
        <v>5</v>
      </c>
      <c r="F776" s="2">
        <v>6</v>
      </c>
    </row>
    <row r="777" spans="1:6" ht="12.5">
      <c r="A777" s="2">
        <v>303</v>
      </c>
      <c r="B777" s="2">
        <v>1717</v>
      </c>
      <c r="C777" s="2">
        <v>15</v>
      </c>
      <c r="D777" s="2">
        <v>13</v>
      </c>
      <c r="E777" s="2">
        <v>5</v>
      </c>
      <c r="F777" s="2">
        <v>4</v>
      </c>
    </row>
    <row r="778" spans="1:6" ht="12.5">
      <c r="A778" s="2">
        <v>1237</v>
      </c>
      <c r="B778" s="2">
        <v>9757</v>
      </c>
      <c r="C778" s="2">
        <v>15</v>
      </c>
      <c r="D778" s="2">
        <v>30</v>
      </c>
      <c r="E778" s="2">
        <v>5</v>
      </c>
      <c r="F778" s="2">
        <v>12</v>
      </c>
    </row>
    <row r="779" spans="1:6" ht="12.5">
      <c r="A779" s="2">
        <v>1271</v>
      </c>
      <c r="B779" s="2">
        <v>7488</v>
      </c>
      <c r="C779" s="2">
        <v>15</v>
      </c>
      <c r="D779" s="2">
        <v>38</v>
      </c>
      <c r="E779" s="2">
        <v>5</v>
      </c>
      <c r="F779" s="2">
        <v>13</v>
      </c>
    </row>
    <row r="780" spans="1:6" ht="12.5">
      <c r="A780" s="2">
        <v>1567</v>
      </c>
      <c r="B780" s="2">
        <v>4390</v>
      </c>
      <c r="C780" s="2">
        <v>15</v>
      </c>
      <c r="D780" s="2">
        <v>23</v>
      </c>
      <c r="E780" s="2">
        <v>5</v>
      </c>
      <c r="F780" s="2">
        <v>12</v>
      </c>
    </row>
    <row r="781" spans="1:6" ht="12.5">
      <c r="A781" s="2">
        <v>1676</v>
      </c>
      <c r="B781" s="2">
        <v>1170</v>
      </c>
      <c r="C781" s="2">
        <v>15</v>
      </c>
      <c r="D781" s="2">
        <v>15</v>
      </c>
      <c r="E781" s="2">
        <v>5</v>
      </c>
      <c r="F781" s="2">
        <v>4</v>
      </c>
    </row>
    <row r="782" spans="1:6" ht="12.5">
      <c r="A782" s="2">
        <v>2125</v>
      </c>
      <c r="B782" s="2">
        <v>2088</v>
      </c>
      <c r="C782" s="2">
        <v>15</v>
      </c>
      <c r="D782" s="2">
        <v>30</v>
      </c>
      <c r="E782" s="2">
        <v>5</v>
      </c>
      <c r="F782" s="2">
        <v>12</v>
      </c>
    </row>
    <row r="783" spans="1:6" ht="12.5">
      <c r="A783" s="2">
        <v>446</v>
      </c>
      <c r="B783" s="2">
        <v>5954</v>
      </c>
      <c r="C783" s="2">
        <v>14</v>
      </c>
      <c r="D783" s="2">
        <v>5</v>
      </c>
      <c r="E783" s="2">
        <v>5</v>
      </c>
      <c r="F783" s="2">
        <v>4</v>
      </c>
    </row>
    <row r="784" spans="1:6" ht="12.5">
      <c r="A784" s="2">
        <v>1940</v>
      </c>
      <c r="B784" s="2">
        <v>1139</v>
      </c>
      <c r="C784" s="2">
        <v>14</v>
      </c>
      <c r="D784" s="2">
        <v>14</v>
      </c>
      <c r="E784" s="2">
        <v>5</v>
      </c>
      <c r="F784" s="2">
        <v>5</v>
      </c>
    </row>
    <row r="785" spans="1:6" ht="12.5">
      <c r="A785" s="2">
        <v>163</v>
      </c>
      <c r="B785" s="2">
        <v>10095</v>
      </c>
      <c r="C785" s="2">
        <v>12</v>
      </c>
      <c r="D785" s="2">
        <v>12</v>
      </c>
      <c r="E785" s="2">
        <v>5</v>
      </c>
      <c r="F785" s="2">
        <v>10</v>
      </c>
    </row>
    <row r="786" spans="1:6" ht="12.5">
      <c r="A786" s="2">
        <v>702</v>
      </c>
      <c r="B786" s="2">
        <v>6384</v>
      </c>
      <c r="C786" s="2">
        <v>12</v>
      </c>
      <c r="D786" s="2">
        <v>12</v>
      </c>
      <c r="E786" s="2">
        <v>5</v>
      </c>
      <c r="F786" s="2">
        <v>11</v>
      </c>
    </row>
    <row r="787" spans="1:6" ht="12.5">
      <c r="A787" s="2">
        <v>1225</v>
      </c>
      <c r="B787" s="2">
        <v>257</v>
      </c>
      <c r="C787" s="2">
        <v>12</v>
      </c>
      <c r="D787" s="2">
        <v>12</v>
      </c>
      <c r="E787" s="2">
        <v>5</v>
      </c>
      <c r="F787" s="2">
        <v>9</v>
      </c>
    </row>
    <row r="788" spans="1:6" ht="12.5">
      <c r="A788" s="2">
        <v>1414</v>
      </c>
      <c r="B788" s="2">
        <v>2678</v>
      </c>
      <c r="C788" s="2">
        <v>12</v>
      </c>
      <c r="D788" s="2">
        <v>36</v>
      </c>
      <c r="E788" s="2">
        <v>5</v>
      </c>
      <c r="F788" s="2">
        <v>3</v>
      </c>
    </row>
    <row r="789" spans="1:6" ht="12.5">
      <c r="A789" s="2">
        <v>866</v>
      </c>
      <c r="B789" s="2">
        <v>115</v>
      </c>
      <c r="C789" s="2">
        <v>11</v>
      </c>
      <c r="D789" s="2">
        <v>7</v>
      </c>
      <c r="E789" s="2">
        <v>5</v>
      </c>
      <c r="F789" s="2">
        <v>8</v>
      </c>
    </row>
    <row r="790" spans="1:6" ht="12.5">
      <c r="A790" s="2">
        <v>605</v>
      </c>
      <c r="B790" s="2">
        <v>7141</v>
      </c>
      <c r="C790" s="2">
        <v>10</v>
      </c>
      <c r="D790" s="2">
        <v>3</v>
      </c>
      <c r="E790" s="2">
        <v>5</v>
      </c>
      <c r="F790" s="2">
        <v>2</v>
      </c>
    </row>
    <row r="791" spans="1:6" ht="12.5">
      <c r="A791" s="2">
        <v>1707</v>
      </c>
      <c r="B791" s="2">
        <v>1045</v>
      </c>
      <c r="C791" s="2">
        <v>10</v>
      </c>
      <c r="D791" s="2">
        <v>0</v>
      </c>
      <c r="E791" s="2">
        <v>5</v>
      </c>
      <c r="F791" s="2">
        <v>4</v>
      </c>
    </row>
    <row r="792" spans="1:6" ht="12.5">
      <c r="A792" s="2">
        <v>671</v>
      </c>
      <c r="B792" s="2">
        <v>10379</v>
      </c>
      <c r="C792" s="2">
        <v>9</v>
      </c>
      <c r="D792" s="2">
        <v>14</v>
      </c>
      <c r="E792" s="2">
        <v>5</v>
      </c>
      <c r="F792" s="2">
        <v>9</v>
      </c>
    </row>
    <row r="793" spans="1:6" ht="12.5">
      <c r="A793" s="2">
        <v>720</v>
      </c>
      <c r="B793" s="2">
        <v>5114</v>
      </c>
      <c r="C793" s="2">
        <v>9</v>
      </c>
      <c r="D793" s="2">
        <v>28</v>
      </c>
      <c r="E793" s="2">
        <v>5</v>
      </c>
      <c r="F793" s="2">
        <v>5</v>
      </c>
    </row>
    <row r="794" spans="1:6" ht="12.5">
      <c r="A794" s="2">
        <v>815</v>
      </c>
      <c r="B794" s="2">
        <v>11176</v>
      </c>
      <c r="C794" s="2">
        <v>9</v>
      </c>
      <c r="D794" s="2">
        <v>4</v>
      </c>
      <c r="E794" s="2">
        <v>5</v>
      </c>
      <c r="F794" s="2">
        <v>7</v>
      </c>
    </row>
    <row r="795" spans="1:6" ht="12.5">
      <c r="A795" s="2">
        <v>1156</v>
      </c>
      <c r="B795" s="2">
        <v>967</v>
      </c>
      <c r="C795" s="2">
        <v>9</v>
      </c>
      <c r="D795" s="2">
        <v>14</v>
      </c>
      <c r="E795" s="2">
        <v>5</v>
      </c>
      <c r="F795" s="2">
        <v>9</v>
      </c>
    </row>
    <row r="796" spans="1:6" ht="12.5">
      <c r="A796" s="2">
        <v>1656</v>
      </c>
      <c r="B796" s="2">
        <v>2285</v>
      </c>
      <c r="C796" s="2">
        <v>9</v>
      </c>
      <c r="D796" s="2">
        <v>3</v>
      </c>
      <c r="E796" s="2">
        <v>5</v>
      </c>
      <c r="F796" s="2">
        <v>5</v>
      </c>
    </row>
    <row r="797" spans="1:6" ht="12.5">
      <c r="A797" s="2">
        <v>230</v>
      </c>
      <c r="B797" s="2">
        <v>6798</v>
      </c>
      <c r="C797" s="2">
        <v>7</v>
      </c>
      <c r="D797" s="2">
        <v>15</v>
      </c>
      <c r="E797" s="2">
        <v>5</v>
      </c>
      <c r="F797" s="2">
        <v>8</v>
      </c>
    </row>
    <row r="798" spans="1:6" ht="12.5">
      <c r="A798" s="2">
        <v>283</v>
      </c>
      <c r="B798" s="2">
        <v>1672</v>
      </c>
      <c r="C798" s="2">
        <v>7</v>
      </c>
      <c r="D798" s="2">
        <v>15</v>
      </c>
      <c r="E798" s="2">
        <v>5</v>
      </c>
      <c r="F798" s="2">
        <v>8</v>
      </c>
    </row>
    <row r="799" spans="1:6" ht="12.5">
      <c r="A799" s="2">
        <v>407</v>
      </c>
      <c r="B799" s="2">
        <v>8890</v>
      </c>
      <c r="C799" s="2">
        <v>7</v>
      </c>
      <c r="D799" s="2">
        <v>7</v>
      </c>
      <c r="E799" s="2">
        <v>5</v>
      </c>
      <c r="F799" s="2">
        <v>5</v>
      </c>
    </row>
    <row r="800" spans="1:6" ht="12.5">
      <c r="A800" s="2">
        <v>1531</v>
      </c>
      <c r="B800" s="2">
        <v>125</v>
      </c>
      <c r="C800" s="2">
        <v>7</v>
      </c>
      <c r="D800" s="2">
        <v>0</v>
      </c>
      <c r="E800" s="2">
        <v>5</v>
      </c>
      <c r="F800" s="2">
        <v>5</v>
      </c>
    </row>
    <row r="801" spans="1:6" ht="12.5">
      <c r="A801" s="2">
        <v>1803</v>
      </c>
      <c r="B801" s="2">
        <v>4168</v>
      </c>
      <c r="C801" s="2">
        <v>7</v>
      </c>
      <c r="D801" s="2">
        <v>15</v>
      </c>
      <c r="E801" s="2">
        <v>5</v>
      </c>
      <c r="F801" s="2">
        <v>8</v>
      </c>
    </row>
    <row r="802" spans="1:6" ht="12.5">
      <c r="A802" s="2">
        <v>2090</v>
      </c>
      <c r="B802" s="2">
        <v>4865</v>
      </c>
      <c r="C802" s="2">
        <v>7</v>
      </c>
      <c r="D802" s="2">
        <v>3</v>
      </c>
      <c r="E802" s="2">
        <v>5</v>
      </c>
      <c r="F802" s="2">
        <v>8</v>
      </c>
    </row>
    <row r="803" spans="1:6" ht="12.5">
      <c r="A803" s="2">
        <v>194</v>
      </c>
      <c r="B803" s="2">
        <v>326</v>
      </c>
      <c r="C803" s="2">
        <v>6</v>
      </c>
      <c r="D803" s="2">
        <v>9</v>
      </c>
      <c r="E803" s="2">
        <v>5</v>
      </c>
      <c r="F803" s="2">
        <v>6</v>
      </c>
    </row>
    <row r="804" spans="1:6" ht="12.5">
      <c r="A804" s="2">
        <v>1279</v>
      </c>
      <c r="B804" s="2">
        <v>907</v>
      </c>
      <c r="C804" s="2">
        <v>6</v>
      </c>
      <c r="D804" s="2">
        <v>0</v>
      </c>
      <c r="E804" s="2">
        <v>5</v>
      </c>
      <c r="F804" s="2">
        <v>7</v>
      </c>
    </row>
    <row r="805" spans="1:6" ht="12.5">
      <c r="A805" s="2">
        <v>1341</v>
      </c>
      <c r="B805" s="2">
        <v>5510</v>
      </c>
      <c r="C805" s="2">
        <v>6</v>
      </c>
      <c r="D805" s="2">
        <v>10</v>
      </c>
      <c r="E805" s="2">
        <v>5</v>
      </c>
      <c r="F805" s="2">
        <v>6</v>
      </c>
    </row>
    <row r="806" spans="1:6" ht="12.5">
      <c r="A806" s="2">
        <v>1826</v>
      </c>
      <c r="B806" s="2">
        <v>5441</v>
      </c>
      <c r="C806" s="2">
        <v>6</v>
      </c>
      <c r="D806" s="2">
        <v>3</v>
      </c>
      <c r="E806" s="2">
        <v>5</v>
      </c>
      <c r="F806" s="2">
        <v>6</v>
      </c>
    </row>
    <row r="807" spans="1:6" ht="12.5">
      <c r="A807" s="2">
        <v>237</v>
      </c>
      <c r="B807" s="2">
        <v>9449</v>
      </c>
      <c r="C807" s="2">
        <v>5</v>
      </c>
      <c r="D807" s="2">
        <v>35</v>
      </c>
      <c r="E807" s="2">
        <v>5</v>
      </c>
      <c r="F807" s="2">
        <v>11</v>
      </c>
    </row>
    <row r="808" spans="1:6" ht="12.5">
      <c r="A808" s="2">
        <v>573</v>
      </c>
      <c r="B808" s="2">
        <v>1029</v>
      </c>
      <c r="C808" s="2">
        <v>5</v>
      </c>
      <c r="D808" s="2">
        <v>10</v>
      </c>
      <c r="E808" s="2">
        <v>5</v>
      </c>
      <c r="F808" s="2">
        <v>5</v>
      </c>
    </row>
    <row r="809" spans="1:6" ht="12.5">
      <c r="A809" s="2">
        <v>713</v>
      </c>
      <c r="B809" s="2">
        <v>1044</v>
      </c>
      <c r="C809" s="2">
        <v>5</v>
      </c>
      <c r="D809" s="2">
        <v>21</v>
      </c>
      <c r="E809" s="2">
        <v>5</v>
      </c>
      <c r="F809" s="2">
        <v>8</v>
      </c>
    </row>
    <row r="810" spans="1:6" ht="12.5">
      <c r="A810" s="2">
        <v>957</v>
      </c>
      <c r="B810" s="2">
        <v>2134</v>
      </c>
      <c r="C810" s="2">
        <v>5</v>
      </c>
      <c r="D810" s="2">
        <v>41</v>
      </c>
      <c r="E810" s="2">
        <v>5</v>
      </c>
      <c r="F810" s="2">
        <v>8</v>
      </c>
    </row>
    <row r="811" spans="1:6" ht="12.5">
      <c r="A811" s="2">
        <v>1135</v>
      </c>
      <c r="B811" s="2">
        <v>7613</v>
      </c>
      <c r="C811" s="2">
        <v>5</v>
      </c>
      <c r="D811" s="2">
        <v>8</v>
      </c>
      <c r="E811" s="2">
        <v>5</v>
      </c>
      <c r="F811" s="2">
        <v>6</v>
      </c>
    </row>
    <row r="812" spans="1:6" ht="12.5">
      <c r="A812" s="2">
        <v>1230</v>
      </c>
      <c r="B812" s="2">
        <v>6230</v>
      </c>
      <c r="C812" s="2">
        <v>5</v>
      </c>
      <c r="D812" s="2">
        <v>1</v>
      </c>
      <c r="E812" s="2">
        <v>5</v>
      </c>
      <c r="F812" s="2">
        <v>4</v>
      </c>
    </row>
    <row r="813" spans="1:6" ht="12.5">
      <c r="A813" s="2">
        <v>1303</v>
      </c>
      <c r="B813" s="2">
        <v>3099</v>
      </c>
      <c r="C813" s="2">
        <v>5</v>
      </c>
      <c r="D813" s="2">
        <v>5</v>
      </c>
      <c r="E813" s="2">
        <v>5</v>
      </c>
      <c r="F813" s="2">
        <v>4</v>
      </c>
    </row>
    <row r="814" spans="1:6" ht="12.5">
      <c r="A814" s="2">
        <v>1403</v>
      </c>
      <c r="B814" s="2">
        <v>4188</v>
      </c>
      <c r="C814" s="2">
        <v>5</v>
      </c>
      <c r="D814" s="2">
        <v>0</v>
      </c>
      <c r="E814" s="2">
        <v>5</v>
      </c>
      <c r="F814" s="2">
        <v>4</v>
      </c>
    </row>
    <row r="815" spans="1:6" ht="12.5">
      <c r="A815" s="2">
        <v>1506</v>
      </c>
      <c r="B815" s="2">
        <v>851</v>
      </c>
      <c r="C815" s="2">
        <v>5</v>
      </c>
      <c r="D815" s="2">
        <v>109</v>
      </c>
      <c r="E815" s="2">
        <v>5</v>
      </c>
      <c r="F815" s="2">
        <v>10</v>
      </c>
    </row>
    <row r="816" spans="1:6" ht="12.5">
      <c r="A816" s="2">
        <v>26</v>
      </c>
      <c r="B816" s="2">
        <v>2404</v>
      </c>
      <c r="C816" s="2">
        <v>4</v>
      </c>
      <c r="D816" s="2">
        <v>6</v>
      </c>
      <c r="E816" s="2">
        <v>5</v>
      </c>
      <c r="F816" s="2">
        <v>4</v>
      </c>
    </row>
    <row r="817" spans="1:6" ht="12.5">
      <c r="A817" s="2">
        <v>371</v>
      </c>
      <c r="B817" s="2">
        <v>10313</v>
      </c>
      <c r="C817" s="2">
        <v>4</v>
      </c>
      <c r="D817" s="2">
        <v>2</v>
      </c>
      <c r="E817" s="2">
        <v>5</v>
      </c>
      <c r="F817" s="2">
        <v>4</v>
      </c>
    </row>
    <row r="818" spans="1:6" ht="12.5">
      <c r="A818" s="2">
        <v>1785</v>
      </c>
      <c r="B818" s="2">
        <v>9648</v>
      </c>
      <c r="C818" s="2">
        <v>4</v>
      </c>
      <c r="D818" s="2">
        <v>9</v>
      </c>
      <c r="E818" s="2">
        <v>5</v>
      </c>
      <c r="F818" s="2">
        <v>4</v>
      </c>
    </row>
    <row r="819" spans="1:6" ht="12.5">
      <c r="A819" s="2">
        <v>643</v>
      </c>
      <c r="B819" s="2">
        <v>2942</v>
      </c>
      <c r="C819" s="2">
        <v>3</v>
      </c>
      <c r="D819" s="2">
        <v>3</v>
      </c>
      <c r="E819" s="2">
        <v>5</v>
      </c>
      <c r="F819" s="2">
        <v>4</v>
      </c>
    </row>
    <row r="820" spans="1:6" ht="12.5">
      <c r="A820" s="2">
        <v>959</v>
      </c>
      <c r="B820" s="2">
        <v>9665</v>
      </c>
      <c r="C820" s="2">
        <v>3</v>
      </c>
      <c r="D820" s="2">
        <v>0</v>
      </c>
      <c r="E820" s="2">
        <v>5</v>
      </c>
      <c r="F820" s="2">
        <v>5</v>
      </c>
    </row>
    <row r="821" spans="1:6" ht="12.5">
      <c r="A821" s="2">
        <v>1210</v>
      </c>
      <c r="B821" s="2">
        <v>5644</v>
      </c>
      <c r="C821" s="2">
        <v>3</v>
      </c>
      <c r="D821" s="2">
        <v>3</v>
      </c>
      <c r="E821" s="2">
        <v>5</v>
      </c>
      <c r="F821" s="2">
        <v>7</v>
      </c>
    </row>
    <row r="822" spans="1:6" ht="12.5">
      <c r="A822" s="2">
        <v>264</v>
      </c>
      <c r="B822" s="2">
        <v>2387</v>
      </c>
      <c r="C822" s="2">
        <v>2</v>
      </c>
      <c r="D822" s="2">
        <v>2</v>
      </c>
      <c r="E822" s="2">
        <v>5</v>
      </c>
      <c r="F822" s="2">
        <v>4</v>
      </c>
    </row>
    <row r="823" spans="1:6" ht="12.5">
      <c r="A823" s="2">
        <v>522</v>
      </c>
      <c r="B823" s="2">
        <v>9214</v>
      </c>
      <c r="C823" s="2">
        <v>2</v>
      </c>
      <c r="D823" s="2">
        <v>17</v>
      </c>
      <c r="E823" s="2">
        <v>5</v>
      </c>
      <c r="F823" s="2">
        <v>6</v>
      </c>
    </row>
    <row r="824" spans="1:6" ht="12.5">
      <c r="A824" s="2">
        <v>850</v>
      </c>
      <c r="B824" s="2">
        <v>7848</v>
      </c>
      <c r="C824" s="2">
        <v>2</v>
      </c>
      <c r="D824" s="2">
        <v>0</v>
      </c>
      <c r="E824" s="2">
        <v>5</v>
      </c>
      <c r="F824" s="2">
        <v>3</v>
      </c>
    </row>
    <row r="825" spans="1:6" ht="12.5">
      <c r="A825" s="2">
        <v>1004</v>
      </c>
      <c r="B825" s="2">
        <v>6374</v>
      </c>
      <c r="C825" s="2">
        <v>2</v>
      </c>
      <c r="D825" s="2">
        <v>2</v>
      </c>
      <c r="E825" s="2">
        <v>5</v>
      </c>
      <c r="F825" s="2">
        <v>4</v>
      </c>
    </row>
    <row r="826" spans="1:6" ht="12.5">
      <c r="A826" s="2">
        <v>1400</v>
      </c>
      <c r="B826" s="2">
        <v>4094</v>
      </c>
      <c r="C826" s="2">
        <v>2</v>
      </c>
      <c r="D826" s="2">
        <v>5</v>
      </c>
      <c r="E826" s="2">
        <v>5</v>
      </c>
      <c r="F826" s="2">
        <v>5</v>
      </c>
    </row>
    <row r="827" spans="1:6" ht="12.5">
      <c r="A827" s="2">
        <v>1436</v>
      </c>
      <c r="B827" s="2">
        <v>8588</v>
      </c>
      <c r="C827" s="2">
        <v>2</v>
      </c>
      <c r="D827" s="2">
        <v>5</v>
      </c>
      <c r="E827" s="2">
        <v>5</v>
      </c>
      <c r="F827" s="2">
        <v>5</v>
      </c>
    </row>
    <row r="828" spans="1:6" ht="12.5">
      <c r="A828" s="2">
        <v>1613</v>
      </c>
      <c r="B828" s="2">
        <v>1764</v>
      </c>
      <c r="C828" s="2">
        <v>2</v>
      </c>
      <c r="D828" s="2">
        <v>7</v>
      </c>
      <c r="E828" s="2">
        <v>5</v>
      </c>
      <c r="F828" s="2">
        <v>5</v>
      </c>
    </row>
    <row r="829" spans="1:6" ht="12.5">
      <c r="A829" s="2">
        <v>1625</v>
      </c>
      <c r="B829" s="2">
        <v>7408</v>
      </c>
      <c r="C829" s="2">
        <v>2</v>
      </c>
      <c r="D829" s="2">
        <v>0</v>
      </c>
      <c r="E829" s="2">
        <v>5</v>
      </c>
      <c r="F829" s="2">
        <v>4</v>
      </c>
    </row>
    <row r="830" spans="1:6" ht="12.5">
      <c r="A830" s="2">
        <v>2108</v>
      </c>
      <c r="B830" s="2">
        <v>5991</v>
      </c>
      <c r="C830" s="2">
        <v>2</v>
      </c>
      <c r="D830" s="2">
        <v>2</v>
      </c>
      <c r="E830" s="2">
        <v>5</v>
      </c>
      <c r="F830" s="2">
        <v>4</v>
      </c>
    </row>
    <row r="831" spans="1:6" ht="12.5">
      <c r="A831" s="2">
        <v>199</v>
      </c>
      <c r="B831" s="2">
        <v>3182</v>
      </c>
      <c r="C831" s="2">
        <v>1</v>
      </c>
      <c r="D831" s="2">
        <v>1</v>
      </c>
      <c r="E831" s="2">
        <v>5</v>
      </c>
      <c r="F831" s="2">
        <v>3</v>
      </c>
    </row>
    <row r="832" spans="1:6" ht="12.5">
      <c r="A832" s="2">
        <v>1757</v>
      </c>
      <c r="B832" s="2">
        <v>3524</v>
      </c>
      <c r="C832" s="2">
        <v>1</v>
      </c>
      <c r="D832" s="2">
        <v>6</v>
      </c>
      <c r="E832" s="2">
        <v>5</v>
      </c>
      <c r="F832" s="2">
        <v>2</v>
      </c>
    </row>
    <row r="833" spans="1:6" ht="12.5">
      <c r="A833" s="2">
        <v>134</v>
      </c>
      <c r="B833" s="2">
        <v>5290</v>
      </c>
      <c r="C833" s="2">
        <v>0</v>
      </c>
      <c r="D833" s="2">
        <v>0</v>
      </c>
      <c r="E833" s="2">
        <v>5</v>
      </c>
      <c r="F833" s="2">
        <v>5</v>
      </c>
    </row>
    <row r="834" spans="1:6" ht="12.5">
      <c r="A834" s="2">
        <v>212</v>
      </c>
      <c r="B834" s="2">
        <v>6927</v>
      </c>
      <c r="C834" s="2">
        <v>0</v>
      </c>
      <c r="D834" s="2">
        <v>0</v>
      </c>
      <c r="E834" s="2">
        <v>5</v>
      </c>
      <c r="F834" s="2">
        <v>5</v>
      </c>
    </row>
    <row r="835" spans="1:6" ht="12.5">
      <c r="A835" s="2">
        <v>429</v>
      </c>
      <c r="B835" s="2">
        <v>3767</v>
      </c>
      <c r="C835" s="2">
        <v>0</v>
      </c>
      <c r="D835" s="2">
        <v>172</v>
      </c>
      <c r="E835" s="2">
        <v>5</v>
      </c>
      <c r="F835" s="2">
        <v>12</v>
      </c>
    </row>
    <row r="836" spans="1:6" ht="12.5">
      <c r="A836" s="2">
        <v>570</v>
      </c>
      <c r="B836" s="2">
        <v>6818</v>
      </c>
      <c r="C836" s="2">
        <v>0</v>
      </c>
      <c r="D836" s="2">
        <v>10</v>
      </c>
      <c r="E836" s="2">
        <v>5</v>
      </c>
      <c r="F836" s="2">
        <v>5</v>
      </c>
    </row>
    <row r="837" spans="1:6" ht="12.5">
      <c r="A837" s="2">
        <v>691</v>
      </c>
      <c r="B837" s="2">
        <v>143</v>
      </c>
      <c r="C837" s="2">
        <v>0</v>
      </c>
      <c r="D837" s="2">
        <v>49</v>
      </c>
      <c r="E837" s="2">
        <v>5</v>
      </c>
      <c r="F837" s="2">
        <v>4</v>
      </c>
    </row>
    <row r="838" spans="1:6" ht="12.5">
      <c r="A838" s="2">
        <v>813</v>
      </c>
      <c r="B838" s="2">
        <v>3732</v>
      </c>
      <c r="C838" s="2">
        <v>0</v>
      </c>
      <c r="D838" s="2">
        <v>69</v>
      </c>
      <c r="E838" s="2">
        <v>5</v>
      </c>
      <c r="F838" s="2">
        <v>9</v>
      </c>
    </row>
    <row r="839" spans="1:6" ht="12.5">
      <c r="A839" s="2">
        <v>870</v>
      </c>
      <c r="B839" s="2">
        <v>10140</v>
      </c>
      <c r="C839" s="2">
        <v>0</v>
      </c>
      <c r="D839" s="2">
        <v>0</v>
      </c>
      <c r="E839" s="2">
        <v>5</v>
      </c>
      <c r="F839" s="2">
        <v>4</v>
      </c>
    </row>
    <row r="840" spans="1:6" ht="12.5">
      <c r="A840" s="2">
        <v>1057</v>
      </c>
      <c r="B840" s="2">
        <v>8104</v>
      </c>
      <c r="C840" s="2">
        <v>0</v>
      </c>
      <c r="D840" s="2">
        <v>0</v>
      </c>
      <c r="E840" s="2">
        <v>5</v>
      </c>
      <c r="F840" s="2">
        <v>5</v>
      </c>
    </row>
    <row r="841" spans="1:6" ht="12.5">
      <c r="A841" s="2">
        <v>1340</v>
      </c>
      <c r="B841" s="2">
        <v>9386</v>
      </c>
      <c r="C841" s="2">
        <v>0</v>
      </c>
      <c r="D841" s="2">
        <v>6</v>
      </c>
      <c r="E841" s="2">
        <v>5</v>
      </c>
      <c r="F841" s="2">
        <v>6</v>
      </c>
    </row>
    <row r="842" spans="1:6" ht="12.5">
      <c r="A842" s="2">
        <v>1378</v>
      </c>
      <c r="B842" s="2">
        <v>8773</v>
      </c>
      <c r="C842" s="2">
        <v>0</v>
      </c>
      <c r="D842" s="2">
        <v>0</v>
      </c>
      <c r="E842" s="2">
        <v>5</v>
      </c>
      <c r="F842" s="2">
        <v>6</v>
      </c>
    </row>
    <row r="843" spans="1:6" ht="12.5">
      <c r="A843" s="2">
        <v>1575</v>
      </c>
      <c r="B843" s="2">
        <v>4967</v>
      </c>
      <c r="C843" s="2">
        <v>0</v>
      </c>
      <c r="D843" s="2">
        <v>0</v>
      </c>
      <c r="E843" s="2">
        <v>5</v>
      </c>
      <c r="F843" s="2">
        <v>5</v>
      </c>
    </row>
    <row r="844" spans="1:6" ht="12.5">
      <c r="A844" s="2">
        <v>1678</v>
      </c>
      <c r="B844" s="2">
        <v>4065</v>
      </c>
      <c r="C844" s="2">
        <v>0</v>
      </c>
      <c r="D844" s="2">
        <v>0</v>
      </c>
      <c r="E844" s="2">
        <v>5</v>
      </c>
      <c r="F844" s="2">
        <v>8</v>
      </c>
    </row>
    <row r="845" spans="1:6" ht="12.5">
      <c r="A845" s="2">
        <v>1751</v>
      </c>
      <c r="B845" s="2">
        <v>7807</v>
      </c>
      <c r="C845" s="2">
        <v>0</v>
      </c>
      <c r="D845" s="2">
        <v>10</v>
      </c>
      <c r="E845" s="2">
        <v>5</v>
      </c>
      <c r="F845" s="2">
        <v>5</v>
      </c>
    </row>
    <row r="846" spans="1:6" ht="12.5">
      <c r="A846" s="2">
        <v>1777</v>
      </c>
      <c r="B846" s="2">
        <v>164</v>
      </c>
      <c r="C846" s="2">
        <v>0</v>
      </c>
      <c r="D846" s="2">
        <v>2</v>
      </c>
      <c r="E846" s="2">
        <v>5</v>
      </c>
      <c r="F846" s="2">
        <v>5</v>
      </c>
    </row>
    <row r="847" spans="1:6" ht="12.5">
      <c r="A847" s="2">
        <v>2007</v>
      </c>
      <c r="B847" s="2">
        <v>405</v>
      </c>
      <c r="C847" s="2">
        <v>0</v>
      </c>
      <c r="D847" s="2">
        <v>0</v>
      </c>
      <c r="E847" s="2">
        <v>5</v>
      </c>
      <c r="F847" s="2">
        <v>3</v>
      </c>
    </row>
    <row r="848" spans="1:6" ht="12.5">
      <c r="A848" s="2">
        <v>2131</v>
      </c>
      <c r="B848" s="2">
        <v>3919</v>
      </c>
      <c r="C848" s="2">
        <v>0</v>
      </c>
      <c r="D848" s="2">
        <v>38</v>
      </c>
      <c r="E848" s="2">
        <v>5</v>
      </c>
      <c r="F848" s="2">
        <v>8</v>
      </c>
    </row>
    <row r="849" spans="1:6" ht="12.5">
      <c r="A849" s="2">
        <v>2198</v>
      </c>
      <c r="B849" s="2">
        <v>2632</v>
      </c>
      <c r="C849" s="2">
        <v>0</v>
      </c>
      <c r="D849" s="2">
        <v>0</v>
      </c>
      <c r="E849" s="2">
        <v>5</v>
      </c>
      <c r="F849" s="2">
        <v>4</v>
      </c>
    </row>
    <row r="850" spans="1:6" ht="12.5">
      <c r="A850" s="2">
        <v>1526</v>
      </c>
      <c r="B850" s="2">
        <v>202</v>
      </c>
      <c r="C850" s="2">
        <v>194</v>
      </c>
      <c r="D850" s="2">
        <v>125</v>
      </c>
      <c r="E850" s="2">
        <v>4</v>
      </c>
      <c r="F850" s="2">
        <v>7</v>
      </c>
    </row>
    <row r="851" spans="1:6" ht="12.5">
      <c r="A851" s="2">
        <v>2217</v>
      </c>
      <c r="B851" s="2">
        <v>9589</v>
      </c>
      <c r="C851" s="2">
        <v>194</v>
      </c>
      <c r="D851" s="2">
        <v>125</v>
      </c>
      <c r="E851" s="2">
        <v>4</v>
      </c>
      <c r="F851" s="2">
        <v>7</v>
      </c>
    </row>
    <row r="852" spans="1:6" ht="12.5">
      <c r="A852" s="2">
        <v>447</v>
      </c>
      <c r="B852" s="2">
        <v>1137</v>
      </c>
      <c r="C852" s="2">
        <v>190</v>
      </c>
      <c r="D852" s="2">
        <v>156</v>
      </c>
      <c r="E852" s="2">
        <v>4</v>
      </c>
      <c r="F852" s="2">
        <v>7</v>
      </c>
    </row>
    <row r="853" spans="1:6" ht="12.5">
      <c r="A853" s="2">
        <v>1280</v>
      </c>
      <c r="B853" s="2">
        <v>3698</v>
      </c>
      <c r="C853" s="2">
        <v>185</v>
      </c>
      <c r="D853" s="2">
        <v>55</v>
      </c>
      <c r="E853" s="2">
        <v>4</v>
      </c>
      <c r="F853" s="2">
        <v>8</v>
      </c>
    </row>
    <row r="854" spans="1:6" ht="12.5">
      <c r="A854" s="2">
        <v>1075</v>
      </c>
      <c r="B854" s="2">
        <v>6421</v>
      </c>
      <c r="C854" s="2">
        <v>178</v>
      </c>
      <c r="D854" s="2">
        <v>138</v>
      </c>
      <c r="E854" s="2">
        <v>4</v>
      </c>
      <c r="F854" s="2">
        <v>9</v>
      </c>
    </row>
    <row r="855" spans="1:6" ht="12.5">
      <c r="A855" s="2">
        <v>1853</v>
      </c>
      <c r="B855" s="2">
        <v>9595</v>
      </c>
      <c r="C855" s="2">
        <v>169</v>
      </c>
      <c r="D855" s="2">
        <v>0</v>
      </c>
      <c r="E855" s="2">
        <v>4</v>
      </c>
      <c r="F855" s="2">
        <v>4</v>
      </c>
    </row>
    <row r="856" spans="1:6" ht="12.5">
      <c r="A856" s="2">
        <v>360</v>
      </c>
      <c r="B856" s="2">
        <v>7274</v>
      </c>
      <c r="C856" s="2">
        <v>163</v>
      </c>
      <c r="D856" s="2">
        <v>163</v>
      </c>
      <c r="E856" s="2">
        <v>4</v>
      </c>
      <c r="F856" s="2">
        <v>10</v>
      </c>
    </row>
    <row r="857" spans="1:6" ht="12.5">
      <c r="A857" s="2">
        <v>1313</v>
      </c>
      <c r="B857" s="2">
        <v>7143</v>
      </c>
      <c r="C857" s="2">
        <v>162</v>
      </c>
      <c r="D857" s="2">
        <v>162</v>
      </c>
      <c r="E857" s="2">
        <v>4</v>
      </c>
      <c r="F857" s="2">
        <v>10</v>
      </c>
    </row>
    <row r="858" spans="1:6" ht="12.5">
      <c r="A858" s="2">
        <v>1100</v>
      </c>
      <c r="B858" s="2">
        <v>5538</v>
      </c>
      <c r="C858" s="2">
        <v>161</v>
      </c>
      <c r="D858" s="2">
        <v>161</v>
      </c>
      <c r="E858" s="2">
        <v>4</v>
      </c>
      <c r="F858" s="2">
        <v>6</v>
      </c>
    </row>
    <row r="859" spans="1:6" ht="12.5">
      <c r="A859" s="2">
        <v>1265</v>
      </c>
      <c r="B859" s="2">
        <v>3910</v>
      </c>
      <c r="C859" s="2">
        <v>161</v>
      </c>
      <c r="D859" s="2">
        <v>161</v>
      </c>
      <c r="E859" s="2">
        <v>4</v>
      </c>
      <c r="F859" s="2">
        <v>6</v>
      </c>
    </row>
    <row r="860" spans="1:6" ht="12.5">
      <c r="A860" s="2">
        <v>1495</v>
      </c>
      <c r="B860" s="2">
        <v>10770</v>
      </c>
      <c r="C860" s="2">
        <v>161</v>
      </c>
      <c r="D860" s="2">
        <v>85</v>
      </c>
      <c r="E860" s="2">
        <v>4</v>
      </c>
      <c r="F860" s="2">
        <v>13</v>
      </c>
    </row>
    <row r="861" spans="1:6" ht="12.5">
      <c r="A861" s="2">
        <v>672</v>
      </c>
      <c r="B861" s="2">
        <v>9204</v>
      </c>
      <c r="C861" s="2">
        <v>159</v>
      </c>
      <c r="D861" s="2">
        <v>106</v>
      </c>
      <c r="E861" s="2">
        <v>4</v>
      </c>
      <c r="F861" s="2">
        <v>6</v>
      </c>
    </row>
    <row r="862" spans="1:6" ht="12.5">
      <c r="A862" s="2">
        <v>528</v>
      </c>
      <c r="B862" s="2">
        <v>4702</v>
      </c>
      <c r="C862" s="2">
        <v>155</v>
      </c>
      <c r="D862" s="2">
        <v>17</v>
      </c>
      <c r="E862" s="2">
        <v>4</v>
      </c>
      <c r="F862" s="2">
        <v>4</v>
      </c>
    </row>
    <row r="863" spans="1:6" ht="12.5">
      <c r="A863" s="2">
        <v>1891</v>
      </c>
      <c r="B863" s="2">
        <v>3010</v>
      </c>
      <c r="C863" s="2">
        <v>153</v>
      </c>
      <c r="D863" s="2">
        <v>95</v>
      </c>
      <c r="E863" s="2">
        <v>4</v>
      </c>
      <c r="F863" s="2">
        <v>8</v>
      </c>
    </row>
    <row r="864" spans="1:6" ht="12.5">
      <c r="A864" s="2">
        <v>1976</v>
      </c>
      <c r="B864" s="2">
        <v>5117</v>
      </c>
      <c r="C864" s="2">
        <v>151</v>
      </c>
      <c r="D864" s="2">
        <v>19</v>
      </c>
      <c r="E864" s="2">
        <v>4</v>
      </c>
      <c r="F864" s="2">
        <v>8</v>
      </c>
    </row>
    <row r="865" spans="1:6" ht="12.5">
      <c r="A865" s="2">
        <v>339</v>
      </c>
      <c r="B865" s="2">
        <v>1150</v>
      </c>
      <c r="C865" s="2">
        <v>144</v>
      </c>
      <c r="D865" s="2">
        <v>64</v>
      </c>
      <c r="E865" s="2">
        <v>4</v>
      </c>
      <c r="F865" s="2">
        <v>4</v>
      </c>
    </row>
    <row r="866" spans="1:6" ht="12.5">
      <c r="A866" s="2">
        <v>2168</v>
      </c>
      <c r="B866" s="2">
        <v>10394</v>
      </c>
      <c r="C866" s="2">
        <v>144</v>
      </c>
      <c r="D866" s="2">
        <v>192</v>
      </c>
      <c r="E866" s="2">
        <v>4</v>
      </c>
      <c r="F866" s="2">
        <v>5</v>
      </c>
    </row>
    <row r="867" spans="1:6" ht="12.5">
      <c r="A867" s="2">
        <v>201</v>
      </c>
      <c r="B867" s="2">
        <v>10424</v>
      </c>
      <c r="C867" s="2">
        <v>138</v>
      </c>
      <c r="D867" s="2">
        <v>23</v>
      </c>
      <c r="E867" s="2">
        <v>4</v>
      </c>
      <c r="F867" s="2">
        <v>9</v>
      </c>
    </row>
    <row r="868" spans="1:6" ht="12.5">
      <c r="A868" s="2">
        <v>974</v>
      </c>
      <c r="B868" s="2">
        <v>9209</v>
      </c>
      <c r="C868" s="2">
        <v>138</v>
      </c>
      <c r="D868" s="2">
        <v>92</v>
      </c>
      <c r="E868" s="2">
        <v>4</v>
      </c>
      <c r="F868" s="2">
        <v>13</v>
      </c>
    </row>
    <row r="869" spans="1:6" ht="12.5">
      <c r="A869" s="2">
        <v>1912</v>
      </c>
      <c r="B869" s="2">
        <v>6417</v>
      </c>
      <c r="C869" s="2">
        <v>138</v>
      </c>
      <c r="D869" s="2">
        <v>92</v>
      </c>
      <c r="E869" s="2">
        <v>4</v>
      </c>
      <c r="F869" s="2">
        <v>13</v>
      </c>
    </row>
    <row r="870" spans="1:6" ht="12.5">
      <c r="A870" s="2">
        <v>248</v>
      </c>
      <c r="B870" s="2">
        <v>8867</v>
      </c>
      <c r="C870" s="2">
        <v>134</v>
      </c>
      <c r="D870" s="2">
        <v>38</v>
      </c>
      <c r="E870" s="2">
        <v>4</v>
      </c>
      <c r="F870" s="2">
        <v>5</v>
      </c>
    </row>
    <row r="871" spans="1:6" ht="12.5">
      <c r="A871" s="2">
        <v>1890</v>
      </c>
      <c r="B871" s="2">
        <v>2747</v>
      </c>
      <c r="C871" s="2">
        <v>134</v>
      </c>
      <c r="D871" s="2">
        <v>38</v>
      </c>
      <c r="E871" s="2">
        <v>4</v>
      </c>
      <c r="F871" s="2">
        <v>5</v>
      </c>
    </row>
    <row r="872" spans="1:6" ht="12.5">
      <c r="A872" s="2">
        <v>1745</v>
      </c>
      <c r="B872" s="2">
        <v>9292</v>
      </c>
      <c r="C872" s="2">
        <v>132</v>
      </c>
      <c r="D872" s="2">
        <v>118</v>
      </c>
      <c r="E872" s="2">
        <v>4</v>
      </c>
      <c r="F872" s="2">
        <v>7</v>
      </c>
    </row>
    <row r="873" spans="1:6" ht="12.5">
      <c r="A873" s="2">
        <v>1089</v>
      </c>
      <c r="B873" s="2">
        <v>7348</v>
      </c>
      <c r="C873" s="2">
        <v>130</v>
      </c>
      <c r="D873" s="2">
        <v>32</v>
      </c>
      <c r="E873" s="2">
        <v>4</v>
      </c>
      <c r="F873" s="2">
        <v>5</v>
      </c>
    </row>
    <row r="874" spans="1:6" ht="12.5">
      <c r="A874" s="2">
        <v>1486</v>
      </c>
      <c r="B874" s="2">
        <v>2939</v>
      </c>
      <c r="C874" s="2">
        <v>127</v>
      </c>
      <c r="D874" s="2">
        <v>15</v>
      </c>
      <c r="E874" s="2">
        <v>4</v>
      </c>
      <c r="F874" s="2">
        <v>4</v>
      </c>
    </row>
    <row r="875" spans="1:6" ht="12.5">
      <c r="A875" s="2">
        <v>53</v>
      </c>
      <c r="B875" s="2">
        <v>2225</v>
      </c>
      <c r="C875" s="2">
        <v>120</v>
      </c>
      <c r="D875" s="2">
        <v>40</v>
      </c>
      <c r="E875" s="2">
        <v>4</v>
      </c>
      <c r="F875" s="2">
        <v>7</v>
      </c>
    </row>
    <row r="876" spans="1:6" ht="12.5">
      <c r="A876" s="2">
        <v>1066</v>
      </c>
      <c r="B876" s="2">
        <v>3005</v>
      </c>
      <c r="C876" s="2">
        <v>117</v>
      </c>
      <c r="D876" s="2">
        <v>44</v>
      </c>
      <c r="E876" s="2">
        <v>4</v>
      </c>
      <c r="F876" s="2">
        <v>8</v>
      </c>
    </row>
    <row r="877" spans="1:6" ht="12.5">
      <c r="A877" s="2">
        <v>927</v>
      </c>
      <c r="B877" s="2">
        <v>3139</v>
      </c>
      <c r="C877" s="2">
        <v>111</v>
      </c>
      <c r="D877" s="2">
        <v>55</v>
      </c>
      <c r="E877" s="2">
        <v>4</v>
      </c>
      <c r="F877" s="2">
        <v>10</v>
      </c>
    </row>
    <row r="878" spans="1:6" ht="12.5">
      <c r="A878" s="2">
        <v>1080</v>
      </c>
      <c r="B878" s="2">
        <v>3535</v>
      </c>
      <c r="C878" s="2">
        <v>108</v>
      </c>
      <c r="D878" s="2">
        <v>92</v>
      </c>
      <c r="E878" s="2">
        <v>4</v>
      </c>
      <c r="F878" s="2">
        <v>5</v>
      </c>
    </row>
    <row r="879" spans="1:6" ht="12.5">
      <c r="A879" s="2">
        <v>1601</v>
      </c>
      <c r="B879" s="2">
        <v>5453</v>
      </c>
      <c r="C879" s="2">
        <v>108</v>
      </c>
      <c r="D879" s="2">
        <v>151</v>
      </c>
      <c r="E879" s="2">
        <v>4</v>
      </c>
      <c r="F879" s="2">
        <v>12</v>
      </c>
    </row>
    <row r="880" spans="1:6" ht="12.5">
      <c r="A880" s="2">
        <v>644</v>
      </c>
      <c r="B880" s="2">
        <v>1173</v>
      </c>
      <c r="C880" s="2">
        <v>105</v>
      </c>
      <c r="D880" s="2">
        <v>42</v>
      </c>
      <c r="E880" s="2">
        <v>4</v>
      </c>
      <c r="F880" s="2">
        <v>6</v>
      </c>
    </row>
    <row r="881" spans="1:6" ht="12.5">
      <c r="A881" s="2">
        <v>347</v>
      </c>
      <c r="B881" s="2">
        <v>1826</v>
      </c>
      <c r="C881" s="2">
        <v>104</v>
      </c>
      <c r="D881" s="2">
        <v>189</v>
      </c>
      <c r="E881" s="2">
        <v>4</v>
      </c>
      <c r="F881" s="2">
        <v>6</v>
      </c>
    </row>
    <row r="882" spans="1:6" ht="12.5">
      <c r="A882" s="2">
        <v>637</v>
      </c>
      <c r="B882" s="2">
        <v>944</v>
      </c>
      <c r="C882" s="2">
        <v>103</v>
      </c>
      <c r="D882" s="2">
        <v>44</v>
      </c>
      <c r="E882" s="2">
        <v>4</v>
      </c>
      <c r="F882" s="2">
        <v>7</v>
      </c>
    </row>
    <row r="883" spans="1:6" ht="12.5">
      <c r="A883" s="2">
        <v>2093</v>
      </c>
      <c r="B883" s="2">
        <v>7734</v>
      </c>
      <c r="C883" s="2">
        <v>102</v>
      </c>
      <c r="D883" s="2">
        <v>61</v>
      </c>
      <c r="E883" s="2">
        <v>4</v>
      </c>
      <c r="F883" s="2">
        <v>7</v>
      </c>
    </row>
    <row r="884" spans="1:6" ht="12.5">
      <c r="A884" s="2">
        <v>902</v>
      </c>
      <c r="B884" s="2">
        <v>6445</v>
      </c>
      <c r="C884" s="2">
        <v>101</v>
      </c>
      <c r="D884" s="2">
        <v>40</v>
      </c>
      <c r="E884" s="2">
        <v>4</v>
      </c>
      <c r="F884" s="2">
        <v>6</v>
      </c>
    </row>
    <row r="885" spans="1:6" ht="12.5">
      <c r="A885" s="2">
        <v>116</v>
      </c>
      <c r="B885" s="2">
        <v>1592</v>
      </c>
      <c r="C885" s="2">
        <v>99</v>
      </c>
      <c r="D885" s="2">
        <v>82</v>
      </c>
      <c r="E885" s="2">
        <v>4</v>
      </c>
      <c r="F885" s="2">
        <v>5</v>
      </c>
    </row>
    <row r="886" spans="1:6" ht="12.5">
      <c r="A886" s="2">
        <v>1521</v>
      </c>
      <c r="B886" s="2">
        <v>8643</v>
      </c>
      <c r="C886" s="2">
        <v>98</v>
      </c>
      <c r="D886" s="2">
        <v>70</v>
      </c>
      <c r="E886" s="2">
        <v>4</v>
      </c>
      <c r="F886" s="2">
        <v>12</v>
      </c>
    </row>
    <row r="887" spans="1:6" ht="12.5">
      <c r="A887" s="2">
        <v>2037</v>
      </c>
      <c r="B887" s="2">
        <v>5872</v>
      </c>
      <c r="C887" s="2">
        <v>90</v>
      </c>
      <c r="D887" s="2">
        <v>6</v>
      </c>
      <c r="E887" s="2">
        <v>4</v>
      </c>
      <c r="F887" s="2">
        <v>10</v>
      </c>
    </row>
    <row r="888" spans="1:6" ht="12.5">
      <c r="A888" s="2">
        <v>2041</v>
      </c>
      <c r="B888" s="2">
        <v>4974</v>
      </c>
      <c r="C888" s="2">
        <v>89</v>
      </c>
      <c r="D888" s="2">
        <v>102</v>
      </c>
      <c r="E888" s="2">
        <v>4</v>
      </c>
      <c r="F888" s="2">
        <v>9</v>
      </c>
    </row>
    <row r="889" spans="1:6" ht="12.5">
      <c r="A889" s="2">
        <v>689</v>
      </c>
      <c r="B889" s="2">
        <v>7279</v>
      </c>
      <c r="C889" s="2">
        <v>86</v>
      </c>
      <c r="D889" s="2">
        <v>9</v>
      </c>
      <c r="E889" s="2">
        <v>4</v>
      </c>
      <c r="F889" s="2">
        <v>4</v>
      </c>
    </row>
    <row r="890" spans="1:6" ht="12.5">
      <c r="A890" s="2">
        <v>1749</v>
      </c>
      <c r="B890" s="2">
        <v>737</v>
      </c>
      <c r="C890" s="2">
        <v>86</v>
      </c>
      <c r="D890" s="2">
        <v>43</v>
      </c>
      <c r="E890" s="2">
        <v>4</v>
      </c>
      <c r="F890" s="2">
        <v>5</v>
      </c>
    </row>
    <row r="891" spans="1:6" ht="12.5">
      <c r="A891" s="2">
        <v>960</v>
      </c>
      <c r="B891" s="2">
        <v>4640</v>
      </c>
      <c r="C891" s="2">
        <v>85</v>
      </c>
      <c r="D891" s="2">
        <v>123</v>
      </c>
      <c r="E891" s="2">
        <v>4</v>
      </c>
      <c r="F891" s="2">
        <v>13</v>
      </c>
    </row>
    <row r="892" spans="1:6" ht="12.5">
      <c r="A892" s="2">
        <v>1823</v>
      </c>
      <c r="B892" s="2">
        <v>9166</v>
      </c>
      <c r="C892" s="2">
        <v>84</v>
      </c>
      <c r="D892" s="2">
        <v>35</v>
      </c>
      <c r="E892" s="2">
        <v>4</v>
      </c>
      <c r="F892" s="2">
        <v>12</v>
      </c>
    </row>
    <row r="893" spans="1:6" ht="12.5">
      <c r="A893" s="2">
        <v>1216</v>
      </c>
      <c r="B893" s="2">
        <v>232</v>
      </c>
      <c r="C893" s="2">
        <v>83</v>
      </c>
      <c r="D893" s="2">
        <v>14</v>
      </c>
      <c r="E893" s="2">
        <v>4</v>
      </c>
      <c r="F893" s="2">
        <v>10</v>
      </c>
    </row>
    <row r="894" spans="1:6" ht="12.5">
      <c r="A894" s="2">
        <v>1943</v>
      </c>
      <c r="B894" s="2">
        <v>10413</v>
      </c>
      <c r="C894" s="2">
        <v>83</v>
      </c>
      <c r="D894" s="2">
        <v>141</v>
      </c>
      <c r="E894" s="2">
        <v>4</v>
      </c>
      <c r="F894" s="2">
        <v>12</v>
      </c>
    </row>
    <row r="895" spans="1:6" ht="12.5">
      <c r="A895" s="2">
        <v>1032</v>
      </c>
      <c r="B895" s="2">
        <v>9888</v>
      </c>
      <c r="C895" s="2">
        <v>81</v>
      </c>
      <c r="D895" s="2">
        <v>50</v>
      </c>
      <c r="E895" s="2">
        <v>4</v>
      </c>
      <c r="F895" s="2">
        <v>7</v>
      </c>
    </row>
    <row r="896" spans="1:6" ht="12.5">
      <c r="A896" s="2">
        <v>1257</v>
      </c>
      <c r="B896" s="2">
        <v>810</v>
      </c>
      <c r="C896" s="2">
        <v>81</v>
      </c>
      <c r="D896" s="2">
        <v>91</v>
      </c>
      <c r="E896" s="2">
        <v>4</v>
      </c>
      <c r="F896" s="2">
        <v>11</v>
      </c>
    </row>
    <row r="897" spans="1:6" ht="12.5">
      <c r="A897" s="2">
        <v>1455</v>
      </c>
      <c r="B897" s="2">
        <v>4399</v>
      </c>
      <c r="C897" s="2">
        <v>81</v>
      </c>
      <c r="D897" s="2">
        <v>50</v>
      </c>
      <c r="E897" s="2">
        <v>4</v>
      </c>
      <c r="F897" s="2">
        <v>7</v>
      </c>
    </row>
    <row r="898" spans="1:6" ht="12.5">
      <c r="A898" s="2">
        <v>1298</v>
      </c>
      <c r="B898" s="2">
        <v>1577</v>
      </c>
      <c r="C898" s="2">
        <v>79</v>
      </c>
      <c r="D898" s="2">
        <v>175</v>
      </c>
      <c r="E898" s="2">
        <v>4</v>
      </c>
      <c r="F898" s="2">
        <v>4</v>
      </c>
    </row>
    <row r="899" spans="1:6" ht="12.5">
      <c r="A899" s="2">
        <v>1137</v>
      </c>
      <c r="B899" s="2">
        <v>8015</v>
      </c>
      <c r="C899" s="2">
        <v>76</v>
      </c>
      <c r="D899" s="2">
        <v>0</v>
      </c>
      <c r="E899" s="2">
        <v>4</v>
      </c>
      <c r="F899" s="2">
        <v>9</v>
      </c>
    </row>
    <row r="900" spans="1:6" ht="12.5">
      <c r="A900" s="2">
        <v>1349</v>
      </c>
      <c r="B900" s="2">
        <v>1745</v>
      </c>
      <c r="C900" s="2">
        <v>76</v>
      </c>
      <c r="D900" s="2">
        <v>0</v>
      </c>
      <c r="E900" s="2">
        <v>4</v>
      </c>
      <c r="F900" s="2">
        <v>9</v>
      </c>
    </row>
    <row r="901" spans="1:6" ht="12.5">
      <c r="A901" s="2">
        <v>1168</v>
      </c>
      <c r="B901" s="2">
        <v>10486</v>
      </c>
      <c r="C901" s="2">
        <v>75</v>
      </c>
      <c r="D901" s="2">
        <v>151</v>
      </c>
      <c r="E901" s="2">
        <v>4</v>
      </c>
      <c r="F901" s="2">
        <v>8</v>
      </c>
    </row>
    <row r="902" spans="1:6" ht="12.5">
      <c r="A902" s="2">
        <v>1350</v>
      </c>
      <c r="B902" s="2">
        <v>10590</v>
      </c>
      <c r="C902" s="2">
        <v>73</v>
      </c>
      <c r="D902" s="2">
        <v>29</v>
      </c>
      <c r="E902" s="2">
        <v>4</v>
      </c>
      <c r="F902" s="2">
        <v>10</v>
      </c>
    </row>
    <row r="903" spans="1:6" ht="12.5">
      <c r="A903" s="2">
        <v>1952</v>
      </c>
      <c r="B903" s="2">
        <v>3434</v>
      </c>
      <c r="C903" s="2">
        <v>72</v>
      </c>
      <c r="D903" s="2">
        <v>12</v>
      </c>
      <c r="E903" s="2">
        <v>4</v>
      </c>
      <c r="F903" s="2">
        <v>10</v>
      </c>
    </row>
    <row r="904" spans="1:6" ht="12.5">
      <c r="A904" s="2">
        <v>453</v>
      </c>
      <c r="B904" s="2">
        <v>6131</v>
      </c>
      <c r="C904" s="2">
        <v>70</v>
      </c>
      <c r="D904" s="2">
        <v>19</v>
      </c>
      <c r="E904" s="2">
        <v>4</v>
      </c>
      <c r="F904" s="2">
        <v>8</v>
      </c>
    </row>
    <row r="905" spans="1:6" ht="12.5">
      <c r="A905" s="2">
        <v>1333</v>
      </c>
      <c r="B905" s="2">
        <v>5147</v>
      </c>
      <c r="C905" s="2">
        <v>70</v>
      </c>
      <c r="D905" s="2">
        <v>187</v>
      </c>
      <c r="E905" s="2">
        <v>4</v>
      </c>
      <c r="F905" s="2">
        <v>13</v>
      </c>
    </row>
    <row r="906" spans="1:6" ht="12.5">
      <c r="A906" s="2">
        <v>2176</v>
      </c>
      <c r="B906" s="2">
        <v>1544</v>
      </c>
      <c r="C906" s="2">
        <v>68</v>
      </c>
      <c r="D906" s="2">
        <v>68</v>
      </c>
      <c r="E906" s="2">
        <v>4</v>
      </c>
      <c r="F906" s="2">
        <v>10</v>
      </c>
    </row>
    <row r="907" spans="1:6" ht="12.5">
      <c r="A907" s="2">
        <v>1015</v>
      </c>
      <c r="B907" s="2">
        <v>10634</v>
      </c>
      <c r="C907" s="2">
        <v>67</v>
      </c>
      <c r="D907" s="2">
        <v>43</v>
      </c>
      <c r="E907" s="2">
        <v>4</v>
      </c>
      <c r="F907" s="2">
        <v>8</v>
      </c>
    </row>
    <row r="908" spans="1:6" ht="12.5">
      <c r="A908" s="2">
        <v>1591</v>
      </c>
      <c r="B908" s="2">
        <v>5185</v>
      </c>
      <c r="C908" s="2">
        <v>66</v>
      </c>
      <c r="D908" s="2">
        <v>174</v>
      </c>
      <c r="E908" s="2">
        <v>4</v>
      </c>
      <c r="F908" s="2">
        <v>5</v>
      </c>
    </row>
    <row r="909" spans="1:6" ht="12.5">
      <c r="A909" s="2">
        <v>1843</v>
      </c>
      <c r="B909" s="2">
        <v>3170</v>
      </c>
      <c r="C909" s="2">
        <v>66</v>
      </c>
      <c r="D909" s="2">
        <v>57</v>
      </c>
      <c r="E909" s="2">
        <v>4</v>
      </c>
      <c r="F909" s="2">
        <v>6</v>
      </c>
    </row>
    <row r="910" spans="1:6" ht="12.5">
      <c r="A910" s="2">
        <v>317</v>
      </c>
      <c r="B910" s="2">
        <v>9478</v>
      </c>
      <c r="C910" s="2">
        <v>64</v>
      </c>
      <c r="D910" s="2">
        <v>3</v>
      </c>
      <c r="E910" s="2">
        <v>4</v>
      </c>
      <c r="F910" s="2">
        <v>6</v>
      </c>
    </row>
    <row r="911" spans="1:6" ht="12.5">
      <c r="A911" s="2">
        <v>1259</v>
      </c>
      <c r="B911" s="2">
        <v>2147</v>
      </c>
      <c r="C911" s="2">
        <v>63</v>
      </c>
      <c r="D911" s="2">
        <v>189</v>
      </c>
      <c r="E911" s="2">
        <v>4</v>
      </c>
      <c r="F911" s="2">
        <v>11</v>
      </c>
    </row>
    <row r="912" spans="1:6" ht="12.5">
      <c r="A912" s="2">
        <v>530</v>
      </c>
      <c r="B912" s="2">
        <v>702</v>
      </c>
      <c r="C912" s="2">
        <v>61</v>
      </c>
      <c r="D912" s="2">
        <v>57</v>
      </c>
      <c r="E912" s="2">
        <v>4</v>
      </c>
      <c r="F912" s="2">
        <v>8</v>
      </c>
    </row>
    <row r="913" spans="1:6" ht="12.5">
      <c r="A913" s="2">
        <v>1710</v>
      </c>
      <c r="B913" s="2">
        <v>477</v>
      </c>
      <c r="C913" s="2">
        <v>61</v>
      </c>
      <c r="D913" s="2">
        <v>20</v>
      </c>
      <c r="E913" s="2">
        <v>4</v>
      </c>
      <c r="F913" s="2">
        <v>10</v>
      </c>
    </row>
    <row r="914" spans="1:6" ht="12.5">
      <c r="A914" s="2">
        <v>1461</v>
      </c>
      <c r="B914" s="2">
        <v>9483</v>
      </c>
      <c r="C914" s="2">
        <v>59</v>
      </c>
      <c r="D914" s="2">
        <v>5</v>
      </c>
      <c r="E914" s="2">
        <v>4</v>
      </c>
      <c r="F914" s="2">
        <v>8</v>
      </c>
    </row>
    <row r="915" spans="1:6" ht="12.5">
      <c r="A915" s="2">
        <v>1415</v>
      </c>
      <c r="B915" s="2">
        <v>6376</v>
      </c>
      <c r="C915" s="2">
        <v>56</v>
      </c>
      <c r="D915" s="2">
        <v>8</v>
      </c>
      <c r="E915" s="2">
        <v>4</v>
      </c>
      <c r="F915" s="2">
        <v>8</v>
      </c>
    </row>
    <row r="916" spans="1:6" ht="12.5">
      <c r="A916" s="2">
        <v>898</v>
      </c>
      <c r="B916" s="2">
        <v>7037</v>
      </c>
      <c r="C916" s="2">
        <v>55</v>
      </c>
      <c r="D916" s="2">
        <v>0</v>
      </c>
      <c r="E916" s="2">
        <v>4</v>
      </c>
      <c r="F916" s="2">
        <v>8</v>
      </c>
    </row>
    <row r="917" spans="1:6" ht="12.5">
      <c r="A917" s="2">
        <v>2098</v>
      </c>
      <c r="B917" s="2">
        <v>1103</v>
      </c>
      <c r="C917" s="2">
        <v>55</v>
      </c>
      <c r="D917" s="2">
        <v>0</v>
      </c>
      <c r="E917" s="2">
        <v>4</v>
      </c>
      <c r="F917" s="2">
        <v>10</v>
      </c>
    </row>
    <row r="918" spans="1:6" ht="12.5">
      <c r="A918" s="2">
        <v>531</v>
      </c>
      <c r="B918" s="2">
        <v>2004</v>
      </c>
      <c r="C918" s="2">
        <v>54</v>
      </c>
      <c r="D918" s="2">
        <v>54</v>
      </c>
      <c r="E918" s="2">
        <v>4</v>
      </c>
      <c r="F918" s="2">
        <v>5</v>
      </c>
    </row>
    <row r="919" spans="1:6" ht="12.5">
      <c r="A919" s="2">
        <v>1101</v>
      </c>
      <c r="B919" s="2">
        <v>10552</v>
      </c>
      <c r="C919" s="2">
        <v>54</v>
      </c>
      <c r="D919" s="2">
        <v>9</v>
      </c>
      <c r="E919" s="2">
        <v>4</v>
      </c>
      <c r="F919" s="2">
        <v>7</v>
      </c>
    </row>
    <row r="920" spans="1:6" ht="12.5">
      <c r="A920" s="2">
        <v>1448</v>
      </c>
      <c r="B920" s="2">
        <v>1232</v>
      </c>
      <c r="C920" s="2">
        <v>54</v>
      </c>
      <c r="D920" s="2">
        <v>54</v>
      </c>
      <c r="E920" s="2">
        <v>4</v>
      </c>
      <c r="F920" s="2">
        <v>8</v>
      </c>
    </row>
    <row r="921" spans="1:6" ht="12.5">
      <c r="A921" s="2">
        <v>2062</v>
      </c>
      <c r="B921" s="2">
        <v>2345</v>
      </c>
      <c r="C921" s="2">
        <v>54</v>
      </c>
      <c r="D921" s="2">
        <v>54</v>
      </c>
      <c r="E921" s="2">
        <v>4</v>
      </c>
      <c r="F921" s="2">
        <v>8</v>
      </c>
    </row>
    <row r="922" spans="1:6" ht="12.5">
      <c r="A922" s="2">
        <v>411</v>
      </c>
      <c r="B922" s="2">
        <v>10882</v>
      </c>
      <c r="C922" s="2">
        <v>53</v>
      </c>
      <c r="D922" s="2">
        <v>150</v>
      </c>
      <c r="E922" s="2">
        <v>4</v>
      </c>
      <c r="F922" s="2">
        <v>6</v>
      </c>
    </row>
    <row r="923" spans="1:6" ht="12.5">
      <c r="A923" s="2">
        <v>1105</v>
      </c>
      <c r="B923" s="2">
        <v>146</v>
      </c>
      <c r="C923" s="2">
        <v>53</v>
      </c>
      <c r="D923" s="2">
        <v>93</v>
      </c>
      <c r="E923" s="2">
        <v>4</v>
      </c>
      <c r="F923" s="2">
        <v>11</v>
      </c>
    </row>
    <row r="924" spans="1:6" ht="12.5">
      <c r="A924" s="2">
        <v>1852</v>
      </c>
      <c r="B924" s="2">
        <v>1168</v>
      </c>
      <c r="C924" s="2">
        <v>53</v>
      </c>
      <c r="D924" s="2">
        <v>40</v>
      </c>
      <c r="E924" s="2">
        <v>4</v>
      </c>
      <c r="F924" s="2">
        <v>10</v>
      </c>
    </row>
    <row r="925" spans="1:6" ht="12.5">
      <c r="A925" s="2">
        <v>1515</v>
      </c>
      <c r="B925" s="2">
        <v>2853</v>
      </c>
      <c r="C925" s="2">
        <v>51</v>
      </c>
      <c r="D925" s="2">
        <v>20</v>
      </c>
      <c r="E925" s="2">
        <v>4</v>
      </c>
      <c r="F925" s="2">
        <v>4</v>
      </c>
    </row>
    <row r="926" spans="1:6" ht="12.5">
      <c r="A926" s="2">
        <v>1808</v>
      </c>
      <c r="B926" s="2">
        <v>1619</v>
      </c>
      <c r="C926" s="2">
        <v>51</v>
      </c>
      <c r="D926" s="2">
        <v>23</v>
      </c>
      <c r="E926" s="2">
        <v>4</v>
      </c>
      <c r="F926" s="2">
        <v>6</v>
      </c>
    </row>
    <row r="927" spans="1:6" ht="12.5">
      <c r="A927" s="2">
        <v>2213</v>
      </c>
      <c r="B927" s="2">
        <v>3661</v>
      </c>
      <c r="C927" s="2">
        <v>51</v>
      </c>
      <c r="D927" s="2">
        <v>55</v>
      </c>
      <c r="E927" s="2">
        <v>4</v>
      </c>
      <c r="F927" s="2">
        <v>8</v>
      </c>
    </row>
    <row r="928" spans="1:6" ht="12.5">
      <c r="A928" s="2">
        <v>387</v>
      </c>
      <c r="B928" s="2">
        <v>6202</v>
      </c>
      <c r="C928" s="2">
        <v>50</v>
      </c>
      <c r="D928" s="2">
        <v>50</v>
      </c>
      <c r="E928" s="2">
        <v>4</v>
      </c>
      <c r="F928" s="2">
        <v>13</v>
      </c>
    </row>
    <row r="929" spans="1:6" ht="12.5">
      <c r="A929" s="2">
        <v>640</v>
      </c>
      <c r="B929" s="2">
        <v>3856</v>
      </c>
      <c r="C929" s="2">
        <v>50</v>
      </c>
      <c r="D929" s="2">
        <v>50</v>
      </c>
      <c r="E929" s="2">
        <v>4</v>
      </c>
      <c r="F929" s="2">
        <v>13</v>
      </c>
    </row>
    <row r="930" spans="1:6" ht="12.5">
      <c r="A930" s="2">
        <v>1095</v>
      </c>
      <c r="B930" s="2">
        <v>9964</v>
      </c>
      <c r="C930" s="2">
        <v>50</v>
      </c>
      <c r="D930" s="2">
        <v>30</v>
      </c>
      <c r="E930" s="2">
        <v>4</v>
      </c>
      <c r="F930" s="2">
        <v>8</v>
      </c>
    </row>
    <row r="931" spans="1:6" ht="12.5">
      <c r="A931" s="2">
        <v>1686</v>
      </c>
      <c r="B931" s="2">
        <v>1891</v>
      </c>
      <c r="C931" s="2">
        <v>50</v>
      </c>
      <c r="D931" s="2">
        <v>83</v>
      </c>
      <c r="E931" s="2">
        <v>4</v>
      </c>
      <c r="F931" s="2">
        <v>5</v>
      </c>
    </row>
    <row r="932" spans="1:6" ht="12.5">
      <c r="A932" s="2">
        <v>1862</v>
      </c>
      <c r="B932" s="2">
        <v>1630</v>
      </c>
      <c r="C932" s="2">
        <v>50</v>
      </c>
      <c r="D932" s="2">
        <v>30</v>
      </c>
      <c r="E932" s="2">
        <v>4</v>
      </c>
      <c r="F932" s="2">
        <v>8</v>
      </c>
    </row>
    <row r="933" spans="1:6" ht="12.5">
      <c r="A933" s="2">
        <v>1528</v>
      </c>
      <c r="B933" s="2">
        <v>830</v>
      </c>
      <c r="C933" s="2">
        <v>48</v>
      </c>
      <c r="D933" s="2">
        <v>176</v>
      </c>
      <c r="E933" s="2">
        <v>4</v>
      </c>
      <c r="F933" s="2">
        <v>4</v>
      </c>
    </row>
    <row r="934" spans="1:6" ht="12.5">
      <c r="A934" s="2">
        <v>587</v>
      </c>
      <c r="B934" s="2">
        <v>5057</v>
      </c>
      <c r="C934" s="2">
        <v>47</v>
      </c>
      <c r="D934" s="2">
        <v>47</v>
      </c>
      <c r="E934" s="2">
        <v>4</v>
      </c>
      <c r="F934" s="2">
        <v>10</v>
      </c>
    </row>
    <row r="935" spans="1:6" ht="12.5">
      <c r="A935" s="2">
        <v>335</v>
      </c>
      <c r="B935" s="2">
        <v>10151</v>
      </c>
      <c r="C935" s="2">
        <v>46</v>
      </c>
      <c r="D935" s="2">
        <v>46</v>
      </c>
      <c r="E935" s="2">
        <v>4</v>
      </c>
      <c r="F935" s="2">
        <v>12</v>
      </c>
    </row>
    <row r="936" spans="1:6" ht="12.5">
      <c r="A936" s="2">
        <v>946</v>
      </c>
      <c r="B936" s="2">
        <v>1328</v>
      </c>
      <c r="C936" s="2">
        <v>42</v>
      </c>
      <c r="D936" s="2">
        <v>48</v>
      </c>
      <c r="E936" s="2">
        <v>4</v>
      </c>
      <c r="F936" s="2">
        <v>9</v>
      </c>
    </row>
    <row r="937" spans="1:6" ht="12.5">
      <c r="A937" s="2">
        <v>1513</v>
      </c>
      <c r="B937" s="2">
        <v>9264</v>
      </c>
      <c r="C937" s="2">
        <v>42</v>
      </c>
      <c r="D937" s="2">
        <v>197</v>
      </c>
      <c r="E937" s="2">
        <v>4</v>
      </c>
      <c r="F937" s="2">
        <v>9</v>
      </c>
    </row>
    <row r="938" spans="1:6" ht="12.5">
      <c r="A938" s="2">
        <v>2059</v>
      </c>
      <c r="B938" s="2">
        <v>7187</v>
      </c>
      <c r="C938" s="2">
        <v>42</v>
      </c>
      <c r="D938" s="2">
        <v>66</v>
      </c>
      <c r="E938" s="2">
        <v>4</v>
      </c>
      <c r="F938" s="2">
        <v>4</v>
      </c>
    </row>
    <row r="939" spans="1:6" ht="12.5">
      <c r="A939" s="2">
        <v>737</v>
      </c>
      <c r="B939" s="2">
        <v>6255</v>
      </c>
      <c r="C939" s="2">
        <v>39</v>
      </c>
      <c r="D939" s="2">
        <v>18</v>
      </c>
      <c r="E939" s="2">
        <v>4</v>
      </c>
      <c r="F939" s="2">
        <v>7</v>
      </c>
    </row>
    <row r="940" spans="1:6" ht="12.5">
      <c r="A940" s="2">
        <v>526</v>
      </c>
      <c r="B940" s="2">
        <v>4322</v>
      </c>
      <c r="C940" s="2">
        <v>38</v>
      </c>
      <c r="D940" s="2">
        <v>25</v>
      </c>
      <c r="E940" s="2">
        <v>4</v>
      </c>
      <c r="F940" s="2">
        <v>10</v>
      </c>
    </row>
    <row r="941" spans="1:6" ht="12.5">
      <c r="A941" s="2">
        <v>1947</v>
      </c>
      <c r="B941" s="2">
        <v>2495</v>
      </c>
      <c r="C941" s="2">
        <v>38</v>
      </c>
      <c r="D941" s="2">
        <v>85</v>
      </c>
      <c r="E941" s="2">
        <v>4</v>
      </c>
      <c r="F941" s="2">
        <v>10</v>
      </c>
    </row>
    <row r="942" spans="1:6" ht="12.5">
      <c r="A942" s="2">
        <v>1999</v>
      </c>
      <c r="B942" s="2">
        <v>176</v>
      </c>
      <c r="C942" s="2">
        <v>38</v>
      </c>
      <c r="D942" s="2">
        <v>36</v>
      </c>
      <c r="E942" s="2">
        <v>4</v>
      </c>
      <c r="F942" s="2">
        <v>6</v>
      </c>
    </row>
    <row r="943" spans="1:6" ht="12.5">
      <c r="A943" s="2">
        <v>2044</v>
      </c>
      <c r="B943" s="2">
        <v>4095</v>
      </c>
      <c r="C943" s="2">
        <v>37</v>
      </c>
      <c r="D943" s="2">
        <v>34</v>
      </c>
      <c r="E943" s="2">
        <v>4</v>
      </c>
      <c r="F943" s="2">
        <v>6</v>
      </c>
    </row>
    <row r="944" spans="1:6" ht="12.5">
      <c r="A944" s="2">
        <v>70</v>
      </c>
      <c r="B944" s="2">
        <v>1402</v>
      </c>
      <c r="C944" s="2">
        <v>36</v>
      </c>
      <c r="D944" s="2">
        <v>60</v>
      </c>
      <c r="E944" s="2">
        <v>4</v>
      </c>
      <c r="F944" s="2">
        <v>6</v>
      </c>
    </row>
    <row r="945" spans="1:6" ht="12.5">
      <c r="A945" s="2">
        <v>502</v>
      </c>
      <c r="B945" s="2">
        <v>8151</v>
      </c>
      <c r="C945" s="2">
        <v>36</v>
      </c>
      <c r="D945" s="2">
        <v>62</v>
      </c>
      <c r="E945" s="2">
        <v>4</v>
      </c>
      <c r="F945" s="2">
        <v>3</v>
      </c>
    </row>
    <row r="946" spans="1:6" ht="12.5">
      <c r="A946" s="2">
        <v>622</v>
      </c>
      <c r="B946" s="2">
        <v>10972</v>
      </c>
      <c r="C946" s="2">
        <v>35</v>
      </c>
      <c r="D946" s="2">
        <v>17</v>
      </c>
      <c r="E946" s="2">
        <v>4</v>
      </c>
      <c r="F946" s="2">
        <v>6</v>
      </c>
    </row>
    <row r="947" spans="1:6" ht="12.5">
      <c r="A947" s="2">
        <v>863</v>
      </c>
      <c r="B947" s="2">
        <v>4271</v>
      </c>
      <c r="C947" s="2">
        <v>35</v>
      </c>
      <c r="D947" s="2">
        <v>41</v>
      </c>
      <c r="E947" s="2">
        <v>4</v>
      </c>
      <c r="F947" s="2">
        <v>6</v>
      </c>
    </row>
    <row r="948" spans="1:6" ht="12.5">
      <c r="A948" s="2">
        <v>1165</v>
      </c>
      <c r="B948" s="2">
        <v>3598</v>
      </c>
      <c r="C948" s="2">
        <v>35</v>
      </c>
      <c r="D948" s="2">
        <v>29</v>
      </c>
      <c r="E948" s="2">
        <v>4</v>
      </c>
      <c r="F948" s="2">
        <v>12</v>
      </c>
    </row>
    <row r="949" spans="1:6" ht="12.5">
      <c r="A949" s="2">
        <v>1446</v>
      </c>
      <c r="B949" s="2">
        <v>8204</v>
      </c>
      <c r="C949" s="2">
        <v>35</v>
      </c>
      <c r="D949" s="2">
        <v>160</v>
      </c>
      <c r="E949" s="2">
        <v>4</v>
      </c>
      <c r="F949" s="2">
        <v>9</v>
      </c>
    </row>
    <row r="950" spans="1:6" ht="12.5">
      <c r="A950" s="2">
        <v>2065</v>
      </c>
      <c r="B950" s="2">
        <v>123</v>
      </c>
      <c r="C950" s="2">
        <v>35</v>
      </c>
      <c r="D950" s="2">
        <v>151</v>
      </c>
      <c r="E950" s="2">
        <v>4</v>
      </c>
      <c r="F950" s="2">
        <v>4</v>
      </c>
    </row>
    <row r="951" spans="1:6" ht="12.5">
      <c r="A951" s="2">
        <v>144</v>
      </c>
      <c r="B951" s="2">
        <v>9701</v>
      </c>
      <c r="C951" s="2">
        <v>34</v>
      </c>
      <c r="D951" s="2">
        <v>16</v>
      </c>
      <c r="E951" s="2">
        <v>4</v>
      </c>
      <c r="F951" s="2">
        <v>3</v>
      </c>
    </row>
    <row r="952" spans="1:6" ht="12.5">
      <c r="A952" s="2">
        <v>1659</v>
      </c>
      <c r="B952" s="2">
        <v>2781</v>
      </c>
      <c r="C952" s="2">
        <v>34</v>
      </c>
      <c r="D952" s="2">
        <v>51</v>
      </c>
      <c r="E952" s="2">
        <v>4</v>
      </c>
      <c r="F952" s="2">
        <v>6</v>
      </c>
    </row>
    <row r="953" spans="1:6" ht="12.5">
      <c r="A953" s="2">
        <v>1980</v>
      </c>
      <c r="B953" s="2">
        <v>3032</v>
      </c>
      <c r="C953" s="2">
        <v>34</v>
      </c>
      <c r="D953" s="2">
        <v>14</v>
      </c>
      <c r="E953" s="2">
        <v>4</v>
      </c>
      <c r="F953" s="2">
        <v>4</v>
      </c>
    </row>
    <row r="954" spans="1:6" ht="12.5">
      <c r="A954" s="2">
        <v>368</v>
      </c>
      <c r="B954" s="2">
        <v>5955</v>
      </c>
      <c r="C954" s="2">
        <v>33</v>
      </c>
      <c r="D954" s="2">
        <v>133</v>
      </c>
      <c r="E954" s="2">
        <v>4</v>
      </c>
      <c r="F954" s="2">
        <v>8</v>
      </c>
    </row>
    <row r="955" spans="1:6" ht="12.5">
      <c r="A955" s="2">
        <v>900</v>
      </c>
      <c r="B955" s="2">
        <v>8624</v>
      </c>
      <c r="C955" s="2">
        <v>33</v>
      </c>
      <c r="D955" s="2">
        <v>103</v>
      </c>
      <c r="E955" s="2">
        <v>4</v>
      </c>
      <c r="F955" s="2">
        <v>10</v>
      </c>
    </row>
    <row r="956" spans="1:6" ht="12.5">
      <c r="A956" s="2">
        <v>2067</v>
      </c>
      <c r="B956" s="2">
        <v>7899</v>
      </c>
      <c r="C956" s="2">
        <v>33</v>
      </c>
      <c r="D956" s="2">
        <v>33</v>
      </c>
      <c r="E956" s="2">
        <v>4</v>
      </c>
      <c r="F956" s="2">
        <v>4</v>
      </c>
    </row>
    <row r="957" spans="1:6" ht="12.5">
      <c r="A957" s="2">
        <v>1581</v>
      </c>
      <c r="B957" s="2">
        <v>9952</v>
      </c>
      <c r="C957" s="2">
        <v>32</v>
      </c>
      <c r="D957" s="2">
        <v>43</v>
      </c>
      <c r="E957" s="2">
        <v>4</v>
      </c>
      <c r="F957" s="2">
        <v>5</v>
      </c>
    </row>
    <row r="958" spans="1:6" ht="12.5">
      <c r="A958" s="2">
        <v>745</v>
      </c>
      <c r="B958" s="2">
        <v>3560</v>
      </c>
      <c r="C958" s="2">
        <v>31</v>
      </c>
      <c r="D958" s="2">
        <v>31</v>
      </c>
      <c r="E958" s="2">
        <v>4</v>
      </c>
      <c r="F958" s="2">
        <v>11</v>
      </c>
    </row>
    <row r="959" spans="1:6" ht="12.5">
      <c r="A959" s="2">
        <v>1007</v>
      </c>
      <c r="B959" s="2">
        <v>241</v>
      </c>
      <c r="C959" s="2">
        <v>31</v>
      </c>
      <c r="D959" s="2">
        <v>31</v>
      </c>
      <c r="E959" s="2">
        <v>4</v>
      </c>
      <c r="F959" s="2">
        <v>11</v>
      </c>
    </row>
    <row r="960" spans="1:6" ht="12.5">
      <c r="A960" s="2">
        <v>1467</v>
      </c>
      <c r="B960" s="2">
        <v>7521</v>
      </c>
      <c r="C960" s="2">
        <v>31</v>
      </c>
      <c r="D960" s="2">
        <v>31</v>
      </c>
      <c r="E960" s="2">
        <v>4</v>
      </c>
      <c r="F960" s="2">
        <v>11</v>
      </c>
    </row>
    <row r="961" spans="1:6" ht="12.5">
      <c r="A961" s="2">
        <v>1897</v>
      </c>
      <c r="B961" s="2">
        <v>5558</v>
      </c>
      <c r="C961" s="2">
        <v>31</v>
      </c>
      <c r="D961" s="2">
        <v>63</v>
      </c>
      <c r="E961" s="2">
        <v>4</v>
      </c>
      <c r="F961" s="2">
        <v>4</v>
      </c>
    </row>
    <row r="962" spans="1:6" ht="12.5">
      <c r="A962" s="2">
        <v>1931</v>
      </c>
      <c r="B962" s="2">
        <v>2878</v>
      </c>
      <c r="C962" s="2">
        <v>31</v>
      </c>
      <c r="D962" s="2">
        <v>17</v>
      </c>
      <c r="E962" s="2">
        <v>4</v>
      </c>
      <c r="F962" s="2">
        <v>7</v>
      </c>
    </row>
    <row r="963" spans="1:6" ht="12.5">
      <c r="A963" s="2">
        <v>188</v>
      </c>
      <c r="B963" s="2">
        <v>6982</v>
      </c>
      <c r="C963" s="2">
        <v>30</v>
      </c>
      <c r="D963" s="2">
        <v>76</v>
      </c>
      <c r="E963" s="2">
        <v>4</v>
      </c>
      <c r="F963" s="2">
        <v>9</v>
      </c>
    </row>
    <row r="964" spans="1:6" ht="12.5">
      <c r="A964" s="2">
        <v>1043</v>
      </c>
      <c r="B964" s="2">
        <v>4998</v>
      </c>
      <c r="C964" s="2">
        <v>30</v>
      </c>
      <c r="D964" s="2">
        <v>33</v>
      </c>
      <c r="E964" s="2">
        <v>4</v>
      </c>
      <c r="F964" s="2">
        <v>4</v>
      </c>
    </row>
    <row r="965" spans="1:6" ht="12.5">
      <c r="A965" s="2">
        <v>1553</v>
      </c>
      <c r="B965" s="2">
        <v>7321</v>
      </c>
      <c r="C965" s="2">
        <v>30</v>
      </c>
      <c r="D965" s="2">
        <v>33</v>
      </c>
      <c r="E965" s="2">
        <v>4</v>
      </c>
      <c r="F965" s="2">
        <v>4</v>
      </c>
    </row>
    <row r="966" spans="1:6" ht="12.5">
      <c r="A966" s="2">
        <v>1811</v>
      </c>
      <c r="B966" s="2">
        <v>269</v>
      </c>
      <c r="C966" s="2">
        <v>30</v>
      </c>
      <c r="D966" s="2">
        <v>51</v>
      </c>
      <c r="E966" s="2">
        <v>4</v>
      </c>
      <c r="F966" s="2">
        <v>7</v>
      </c>
    </row>
    <row r="967" spans="1:6" ht="12.5">
      <c r="A967" s="2">
        <v>1250</v>
      </c>
      <c r="B967" s="2">
        <v>9606</v>
      </c>
      <c r="C967" s="2">
        <v>29</v>
      </c>
      <c r="D967" s="2">
        <v>29</v>
      </c>
      <c r="E967" s="2">
        <v>4</v>
      </c>
      <c r="F967" s="2">
        <v>6</v>
      </c>
    </row>
    <row r="968" spans="1:6" ht="12.5">
      <c r="A968" s="2">
        <v>254</v>
      </c>
      <c r="B968" s="2">
        <v>10992</v>
      </c>
      <c r="C968" s="2">
        <v>28</v>
      </c>
      <c r="D968" s="2">
        <v>42</v>
      </c>
      <c r="E968" s="2">
        <v>4</v>
      </c>
      <c r="F968" s="2">
        <v>11</v>
      </c>
    </row>
    <row r="969" spans="1:6" ht="12.5">
      <c r="A969" s="2">
        <v>734</v>
      </c>
      <c r="B969" s="2">
        <v>10430</v>
      </c>
      <c r="C969" s="2">
        <v>28</v>
      </c>
      <c r="D969" s="2">
        <v>28</v>
      </c>
      <c r="E969" s="2">
        <v>4</v>
      </c>
      <c r="F969" s="2">
        <v>4</v>
      </c>
    </row>
    <row r="970" spans="1:6" ht="12.5">
      <c r="A970" s="2">
        <v>2167</v>
      </c>
      <c r="B970" s="2">
        <v>3520</v>
      </c>
      <c r="C970" s="2">
        <v>28</v>
      </c>
      <c r="D970" s="2">
        <v>28</v>
      </c>
      <c r="E970" s="2">
        <v>4</v>
      </c>
      <c r="F970" s="2">
        <v>7</v>
      </c>
    </row>
    <row r="971" spans="1:6" ht="12.5">
      <c r="A971" s="2">
        <v>1449</v>
      </c>
      <c r="B971" s="2">
        <v>1927</v>
      </c>
      <c r="C971" s="2">
        <v>27</v>
      </c>
      <c r="D971" s="2">
        <v>8</v>
      </c>
      <c r="E971" s="2">
        <v>4</v>
      </c>
      <c r="F971" s="2">
        <v>5</v>
      </c>
    </row>
    <row r="972" spans="1:6" ht="12.5">
      <c r="A972" s="2">
        <v>1827</v>
      </c>
      <c r="B972" s="2">
        <v>5302</v>
      </c>
      <c r="C972" s="2">
        <v>27</v>
      </c>
      <c r="D972" s="2">
        <v>24</v>
      </c>
      <c r="E972" s="2">
        <v>4</v>
      </c>
      <c r="F972" s="2">
        <v>5</v>
      </c>
    </row>
    <row r="973" spans="1:6" ht="12.5">
      <c r="A973" s="2">
        <v>2022</v>
      </c>
      <c r="B973" s="2">
        <v>4954</v>
      </c>
      <c r="C973" s="2">
        <v>27</v>
      </c>
      <c r="D973" s="2">
        <v>7</v>
      </c>
      <c r="E973" s="2">
        <v>4</v>
      </c>
      <c r="F973" s="2">
        <v>5</v>
      </c>
    </row>
    <row r="974" spans="1:6" ht="12.5">
      <c r="A974" s="2">
        <v>988</v>
      </c>
      <c r="B974" s="2">
        <v>9305</v>
      </c>
      <c r="C974" s="2">
        <v>26</v>
      </c>
      <c r="D974" s="2">
        <v>37</v>
      </c>
      <c r="E974" s="2">
        <v>4</v>
      </c>
      <c r="F974" s="2">
        <v>13</v>
      </c>
    </row>
    <row r="975" spans="1:6" ht="12.5">
      <c r="A975" s="2">
        <v>1551</v>
      </c>
      <c r="B975" s="2">
        <v>7725</v>
      </c>
      <c r="C975" s="2">
        <v>26</v>
      </c>
      <c r="D975" s="2">
        <v>71</v>
      </c>
      <c r="E975" s="2">
        <v>4</v>
      </c>
      <c r="F975" s="2">
        <v>7</v>
      </c>
    </row>
    <row r="976" spans="1:6" ht="12.5">
      <c r="A976" s="2">
        <v>947</v>
      </c>
      <c r="B976" s="2">
        <v>8405</v>
      </c>
      <c r="C976" s="2">
        <v>25</v>
      </c>
      <c r="D976" s="2">
        <v>25</v>
      </c>
      <c r="E976" s="2">
        <v>4</v>
      </c>
      <c r="F976" s="2">
        <v>5</v>
      </c>
    </row>
    <row r="977" spans="1:6" ht="12.5">
      <c r="A977" s="2">
        <v>2086</v>
      </c>
      <c r="B977" s="2">
        <v>2802</v>
      </c>
      <c r="C977" s="2">
        <v>25</v>
      </c>
      <c r="D977" s="2">
        <v>17</v>
      </c>
      <c r="E977" s="2">
        <v>4</v>
      </c>
      <c r="F977" s="2">
        <v>7</v>
      </c>
    </row>
    <row r="978" spans="1:6" ht="12.5">
      <c r="A978" s="2">
        <v>2092</v>
      </c>
      <c r="B978" s="2">
        <v>3107</v>
      </c>
      <c r="C978" s="2">
        <v>24</v>
      </c>
      <c r="D978" s="2">
        <v>15</v>
      </c>
      <c r="E978" s="2">
        <v>4</v>
      </c>
      <c r="F978" s="2">
        <v>7</v>
      </c>
    </row>
    <row r="979" spans="1:6" ht="12.5">
      <c r="A979" s="2">
        <v>518</v>
      </c>
      <c r="B979" s="2">
        <v>4607</v>
      </c>
      <c r="C979" s="2">
        <v>23</v>
      </c>
      <c r="D979" s="2">
        <v>21</v>
      </c>
      <c r="E979" s="2">
        <v>4</v>
      </c>
      <c r="F979" s="2">
        <v>7</v>
      </c>
    </row>
    <row r="980" spans="1:6" ht="12.5">
      <c r="A980" s="2">
        <v>926</v>
      </c>
      <c r="B980" s="2">
        <v>2008</v>
      </c>
      <c r="C980" s="2">
        <v>23</v>
      </c>
      <c r="D980" s="2">
        <v>12</v>
      </c>
      <c r="E980" s="2">
        <v>4</v>
      </c>
      <c r="F980" s="2">
        <v>9</v>
      </c>
    </row>
    <row r="981" spans="1:6" ht="12.5">
      <c r="A981" s="2">
        <v>1092</v>
      </c>
      <c r="B981" s="2">
        <v>4944</v>
      </c>
      <c r="C981" s="2">
        <v>23</v>
      </c>
      <c r="D981" s="2">
        <v>21</v>
      </c>
      <c r="E981" s="2">
        <v>4</v>
      </c>
      <c r="F981" s="2">
        <v>7</v>
      </c>
    </row>
    <row r="982" spans="1:6" ht="12.5">
      <c r="A982" s="2">
        <v>1284</v>
      </c>
      <c r="B982" s="2">
        <v>5043</v>
      </c>
      <c r="C982" s="2">
        <v>23</v>
      </c>
      <c r="D982" s="2">
        <v>49</v>
      </c>
      <c r="E982" s="2">
        <v>4</v>
      </c>
      <c r="F982" s="2">
        <v>5</v>
      </c>
    </row>
    <row r="983" spans="1:6" ht="12.5">
      <c r="A983" s="2">
        <v>211</v>
      </c>
      <c r="B983" s="2">
        <v>6521</v>
      </c>
      <c r="C983" s="2">
        <v>22</v>
      </c>
      <c r="D983" s="2">
        <v>102</v>
      </c>
      <c r="E983" s="2">
        <v>4</v>
      </c>
      <c r="F983" s="2">
        <v>9</v>
      </c>
    </row>
    <row r="984" spans="1:6" ht="12.5">
      <c r="A984" s="2">
        <v>875</v>
      </c>
      <c r="B984" s="2">
        <v>4789</v>
      </c>
      <c r="C984" s="2">
        <v>22</v>
      </c>
      <c r="D984" s="2">
        <v>143</v>
      </c>
      <c r="E984" s="2">
        <v>4</v>
      </c>
      <c r="F984" s="2">
        <v>5</v>
      </c>
    </row>
    <row r="985" spans="1:6" ht="12.5">
      <c r="A985" s="2">
        <v>1936</v>
      </c>
      <c r="B985" s="2">
        <v>4827</v>
      </c>
      <c r="C985" s="2">
        <v>22</v>
      </c>
      <c r="D985" s="2">
        <v>30</v>
      </c>
      <c r="E985" s="2">
        <v>4</v>
      </c>
      <c r="F985" s="2">
        <v>9</v>
      </c>
    </row>
    <row r="986" spans="1:6" ht="12.5">
      <c r="A986" s="2">
        <v>1997</v>
      </c>
      <c r="B986" s="2">
        <v>10841</v>
      </c>
      <c r="C986" s="2">
        <v>22</v>
      </c>
      <c r="D986" s="2">
        <v>31</v>
      </c>
      <c r="E986" s="2">
        <v>4</v>
      </c>
      <c r="F986" s="2">
        <v>8</v>
      </c>
    </row>
    <row r="987" spans="1:6" ht="12.5">
      <c r="A987" s="2">
        <v>150</v>
      </c>
      <c r="B987" s="2">
        <v>3830</v>
      </c>
      <c r="C987" s="2">
        <v>21</v>
      </c>
      <c r="D987" s="2">
        <v>13</v>
      </c>
      <c r="E987" s="2">
        <v>4</v>
      </c>
      <c r="F987" s="2">
        <v>7</v>
      </c>
    </row>
    <row r="988" spans="1:6" ht="12.5">
      <c r="A988" s="2">
        <v>1001</v>
      </c>
      <c r="B988" s="2">
        <v>7962</v>
      </c>
      <c r="C988" s="2">
        <v>21</v>
      </c>
      <c r="D988" s="2">
        <v>20</v>
      </c>
      <c r="E988" s="2">
        <v>4</v>
      </c>
      <c r="F988" s="2">
        <v>4</v>
      </c>
    </row>
    <row r="989" spans="1:6" ht="12.5">
      <c r="A989" s="2">
        <v>1697</v>
      </c>
      <c r="B989" s="2">
        <v>10742</v>
      </c>
      <c r="C989" s="2">
        <v>21</v>
      </c>
      <c r="D989" s="2">
        <v>20</v>
      </c>
      <c r="E989" s="2">
        <v>4</v>
      </c>
      <c r="F989" s="2">
        <v>5</v>
      </c>
    </row>
    <row r="990" spans="1:6" ht="12.5">
      <c r="A990" s="2">
        <v>1737</v>
      </c>
      <c r="B990" s="2">
        <v>5796</v>
      </c>
      <c r="C990" s="2">
        <v>21</v>
      </c>
      <c r="D990" s="2">
        <v>44</v>
      </c>
      <c r="E990" s="2">
        <v>4</v>
      </c>
      <c r="F990" s="2">
        <v>13</v>
      </c>
    </row>
    <row r="991" spans="1:6" ht="12.5">
      <c r="A991" s="2">
        <v>352</v>
      </c>
      <c r="B991" s="2">
        <v>9185</v>
      </c>
      <c r="C991" s="2">
        <v>20</v>
      </c>
      <c r="D991" s="2">
        <v>30</v>
      </c>
      <c r="E991" s="2">
        <v>4</v>
      </c>
      <c r="F991" s="2">
        <v>5</v>
      </c>
    </row>
    <row r="992" spans="1:6" ht="12.5">
      <c r="A992" s="2">
        <v>50</v>
      </c>
      <c r="B992" s="2">
        <v>8614</v>
      </c>
      <c r="C992" s="2">
        <v>19</v>
      </c>
      <c r="D992" s="2">
        <v>67</v>
      </c>
      <c r="E992" s="2">
        <v>4</v>
      </c>
      <c r="F992" s="2">
        <v>10</v>
      </c>
    </row>
    <row r="993" spans="1:6" ht="12.5">
      <c r="A993" s="2">
        <v>340</v>
      </c>
      <c r="B993" s="2">
        <v>10172</v>
      </c>
      <c r="C993" s="2">
        <v>19</v>
      </c>
      <c r="D993" s="2">
        <v>118</v>
      </c>
      <c r="E993" s="2">
        <v>4</v>
      </c>
      <c r="F993" s="2">
        <v>11</v>
      </c>
    </row>
    <row r="994" spans="1:6" ht="12.5">
      <c r="A994" s="2">
        <v>650</v>
      </c>
      <c r="B994" s="2">
        <v>4248</v>
      </c>
      <c r="C994" s="2">
        <v>19</v>
      </c>
      <c r="D994" s="2">
        <v>115</v>
      </c>
      <c r="E994" s="2">
        <v>4</v>
      </c>
      <c r="F994" s="2">
        <v>9</v>
      </c>
    </row>
    <row r="995" spans="1:6" ht="12.5">
      <c r="A995" s="2">
        <v>704</v>
      </c>
      <c r="B995" s="2">
        <v>968</v>
      </c>
      <c r="C995" s="2">
        <v>19</v>
      </c>
      <c r="D995" s="2">
        <v>14</v>
      </c>
      <c r="E995" s="2">
        <v>4</v>
      </c>
      <c r="F995" s="2">
        <v>4</v>
      </c>
    </row>
    <row r="996" spans="1:6" ht="12.5">
      <c r="A996" s="2">
        <v>1064</v>
      </c>
      <c r="B996" s="2">
        <v>10766</v>
      </c>
      <c r="C996" s="2">
        <v>19</v>
      </c>
      <c r="D996" s="2">
        <v>0</v>
      </c>
      <c r="E996" s="2">
        <v>4</v>
      </c>
      <c r="F996" s="2">
        <v>8</v>
      </c>
    </row>
    <row r="997" spans="1:6" ht="12.5">
      <c r="A997" s="2">
        <v>1113</v>
      </c>
      <c r="B997" s="2">
        <v>7451</v>
      </c>
      <c r="C997" s="2">
        <v>19</v>
      </c>
      <c r="D997" s="2">
        <v>115</v>
      </c>
      <c r="E997" s="2">
        <v>4</v>
      </c>
      <c r="F997" s="2">
        <v>9</v>
      </c>
    </row>
    <row r="998" spans="1:6" ht="12.5">
      <c r="A998" s="2">
        <v>1368</v>
      </c>
      <c r="B998" s="2">
        <v>4096</v>
      </c>
      <c r="C998" s="2">
        <v>19</v>
      </c>
      <c r="D998" s="2">
        <v>14</v>
      </c>
      <c r="E998" s="2">
        <v>4</v>
      </c>
      <c r="F998" s="2">
        <v>4</v>
      </c>
    </row>
    <row r="999" spans="1:6" ht="12.5">
      <c r="A999" s="2">
        <v>1609</v>
      </c>
      <c r="B999" s="2">
        <v>9971</v>
      </c>
      <c r="C999" s="2">
        <v>19</v>
      </c>
      <c r="D999" s="2">
        <v>0</v>
      </c>
      <c r="E999" s="2">
        <v>4</v>
      </c>
      <c r="F999" s="2">
        <v>8</v>
      </c>
    </row>
    <row r="1000" spans="1:6" ht="12.5">
      <c r="A1000" s="2">
        <v>1610</v>
      </c>
      <c r="B1000" s="2">
        <v>6729</v>
      </c>
      <c r="C1000" s="2">
        <v>19</v>
      </c>
      <c r="D1000" s="2">
        <v>118</v>
      </c>
      <c r="E1000" s="2">
        <v>4</v>
      </c>
      <c r="F1000" s="2">
        <v>11</v>
      </c>
    </row>
    <row r="1001" spans="1:6" ht="12.5">
      <c r="A1001" s="2">
        <v>61</v>
      </c>
      <c r="B1001" s="2">
        <v>3076</v>
      </c>
      <c r="C1001" s="2">
        <v>18</v>
      </c>
      <c r="D1001" s="2">
        <v>18</v>
      </c>
      <c r="E1001" s="2">
        <v>4</v>
      </c>
      <c r="F1001" s="2">
        <v>12</v>
      </c>
    </row>
    <row r="1002" spans="1:6" ht="12.5">
      <c r="A1002" s="2">
        <v>207</v>
      </c>
      <c r="B1002" s="2">
        <v>5552</v>
      </c>
      <c r="C1002" s="2">
        <v>18</v>
      </c>
      <c r="D1002" s="2">
        <v>13</v>
      </c>
      <c r="E1002" s="2">
        <v>4</v>
      </c>
      <c r="F1002" s="2">
        <v>5</v>
      </c>
    </row>
    <row r="1003" spans="1:6" ht="12.5">
      <c r="A1003" s="2">
        <v>544</v>
      </c>
      <c r="B1003" s="2">
        <v>7822</v>
      </c>
      <c r="C1003" s="2">
        <v>18</v>
      </c>
      <c r="D1003" s="2">
        <v>108</v>
      </c>
      <c r="E1003" s="2">
        <v>4</v>
      </c>
      <c r="F1003" s="2">
        <v>8</v>
      </c>
    </row>
    <row r="1004" spans="1:6" ht="12.5">
      <c r="A1004" s="2">
        <v>197</v>
      </c>
      <c r="B1004" s="2">
        <v>9938</v>
      </c>
      <c r="C1004" s="2">
        <v>17</v>
      </c>
      <c r="D1004" s="2">
        <v>173</v>
      </c>
      <c r="E1004" s="2">
        <v>4</v>
      </c>
      <c r="F1004" s="2">
        <v>6</v>
      </c>
    </row>
    <row r="1005" spans="1:6" ht="12.5">
      <c r="A1005" s="2">
        <v>555</v>
      </c>
      <c r="B1005" s="2">
        <v>8692</v>
      </c>
      <c r="C1005" s="2">
        <v>17</v>
      </c>
      <c r="D1005" s="2">
        <v>6</v>
      </c>
      <c r="E1005" s="2">
        <v>4</v>
      </c>
      <c r="F1005" s="2">
        <v>5</v>
      </c>
    </row>
    <row r="1006" spans="1:6" ht="12.5">
      <c r="A1006" s="2">
        <v>899</v>
      </c>
      <c r="B1006" s="2">
        <v>905</v>
      </c>
      <c r="C1006" s="2">
        <v>17</v>
      </c>
      <c r="D1006" s="2">
        <v>10</v>
      </c>
      <c r="E1006" s="2">
        <v>4</v>
      </c>
      <c r="F1006" s="2">
        <v>3</v>
      </c>
    </row>
    <row r="1007" spans="1:6" ht="12.5">
      <c r="A1007" s="2">
        <v>450</v>
      </c>
      <c r="B1007" s="2">
        <v>2276</v>
      </c>
      <c r="C1007" s="2">
        <v>16</v>
      </c>
      <c r="D1007" s="2">
        <v>24</v>
      </c>
      <c r="E1007" s="2">
        <v>4</v>
      </c>
      <c r="F1007" s="2">
        <v>11</v>
      </c>
    </row>
    <row r="1008" spans="1:6" ht="12.5">
      <c r="A1008" s="2">
        <v>359</v>
      </c>
      <c r="B1008" s="2">
        <v>4107</v>
      </c>
      <c r="C1008" s="2">
        <v>15</v>
      </c>
      <c r="D1008" s="2">
        <v>19</v>
      </c>
      <c r="E1008" s="2">
        <v>4</v>
      </c>
      <c r="F1008" s="2">
        <v>4</v>
      </c>
    </row>
    <row r="1009" spans="1:6" ht="12.5">
      <c r="A1009" s="2">
        <v>527</v>
      </c>
      <c r="B1009" s="2">
        <v>713</v>
      </c>
      <c r="C1009" s="2">
        <v>15</v>
      </c>
      <c r="D1009" s="2">
        <v>31</v>
      </c>
      <c r="E1009" s="2">
        <v>4</v>
      </c>
      <c r="F1009" s="2">
        <v>6</v>
      </c>
    </row>
    <row r="1010" spans="1:6" ht="12.5">
      <c r="A1010" s="2">
        <v>1634</v>
      </c>
      <c r="B1010" s="2">
        <v>10906</v>
      </c>
      <c r="C1010" s="2">
        <v>15</v>
      </c>
      <c r="D1010" s="2">
        <v>19</v>
      </c>
      <c r="E1010" s="2">
        <v>4</v>
      </c>
      <c r="F1010" s="2">
        <v>4</v>
      </c>
    </row>
    <row r="1011" spans="1:6" ht="12.5">
      <c r="A1011" s="2">
        <v>2159</v>
      </c>
      <c r="B1011" s="2">
        <v>10157</v>
      </c>
      <c r="C1011" s="2">
        <v>15</v>
      </c>
      <c r="D1011" s="2">
        <v>42</v>
      </c>
      <c r="E1011" s="2">
        <v>4</v>
      </c>
      <c r="F1011" s="2">
        <v>6</v>
      </c>
    </row>
    <row r="1012" spans="1:6" ht="12.5">
      <c r="A1012" s="2">
        <v>135</v>
      </c>
      <c r="B1012" s="2">
        <v>1685</v>
      </c>
      <c r="C1012" s="2">
        <v>14</v>
      </c>
      <c r="D1012" s="2">
        <v>44</v>
      </c>
      <c r="E1012" s="2">
        <v>4</v>
      </c>
      <c r="F1012" s="2">
        <v>13</v>
      </c>
    </row>
    <row r="1013" spans="1:6" ht="12.5">
      <c r="A1013" s="2">
        <v>499</v>
      </c>
      <c r="B1013" s="2">
        <v>466</v>
      </c>
      <c r="C1013" s="2">
        <v>14</v>
      </c>
      <c r="D1013" s="2">
        <v>14</v>
      </c>
      <c r="E1013" s="2">
        <v>4</v>
      </c>
      <c r="F1013" s="2">
        <v>13</v>
      </c>
    </row>
    <row r="1014" spans="1:6" ht="12.5">
      <c r="A1014" s="2">
        <v>843</v>
      </c>
      <c r="B1014" s="2">
        <v>11121</v>
      </c>
      <c r="C1014" s="2">
        <v>14</v>
      </c>
      <c r="D1014" s="2">
        <v>3</v>
      </c>
      <c r="E1014" s="2">
        <v>4</v>
      </c>
      <c r="F1014" s="2">
        <v>3</v>
      </c>
    </row>
    <row r="1015" spans="1:6" ht="12.5">
      <c r="A1015" s="2">
        <v>1078</v>
      </c>
      <c r="B1015" s="2">
        <v>10855</v>
      </c>
      <c r="C1015" s="2">
        <v>14</v>
      </c>
      <c r="D1015" s="2">
        <v>10</v>
      </c>
      <c r="E1015" s="2">
        <v>4</v>
      </c>
      <c r="F1015" s="2">
        <v>8</v>
      </c>
    </row>
    <row r="1016" spans="1:6" ht="12.5">
      <c r="A1016" s="2">
        <v>1380</v>
      </c>
      <c r="B1016" s="2">
        <v>10420</v>
      </c>
      <c r="C1016" s="2">
        <v>14</v>
      </c>
      <c r="D1016" s="2">
        <v>9</v>
      </c>
      <c r="E1016" s="2">
        <v>4</v>
      </c>
      <c r="F1016" s="2">
        <v>3</v>
      </c>
    </row>
    <row r="1017" spans="1:6" ht="12.5">
      <c r="A1017" s="2">
        <v>1829</v>
      </c>
      <c r="B1017" s="2">
        <v>1087</v>
      </c>
      <c r="C1017" s="2">
        <v>14</v>
      </c>
      <c r="D1017" s="2">
        <v>22</v>
      </c>
      <c r="E1017" s="2">
        <v>4</v>
      </c>
      <c r="F1017" s="2">
        <v>2</v>
      </c>
    </row>
    <row r="1018" spans="1:6" ht="12.5">
      <c r="A1018" s="2">
        <v>579</v>
      </c>
      <c r="B1018" s="2">
        <v>5253</v>
      </c>
      <c r="C1018" s="2">
        <v>13</v>
      </c>
      <c r="D1018" s="2">
        <v>2</v>
      </c>
      <c r="E1018" s="2">
        <v>4</v>
      </c>
      <c r="F1018" s="2">
        <v>4</v>
      </c>
    </row>
    <row r="1019" spans="1:6" ht="12.5">
      <c r="A1019" s="2">
        <v>714</v>
      </c>
      <c r="B1019" s="2">
        <v>6969</v>
      </c>
      <c r="C1019" s="2">
        <v>13</v>
      </c>
      <c r="D1019" s="2">
        <v>8</v>
      </c>
      <c r="E1019" s="2">
        <v>4</v>
      </c>
      <c r="F1019" s="2">
        <v>5</v>
      </c>
    </row>
    <row r="1020" spans="1:6" ht="12.5">
      <c r="A1020" s="2">
        <v>1193</v>
      </c>
      <c r="B1020" s="2">
        <v>3515</v>
      </c>
      <c r="C1020" s="2">
        <v>13</v>
      </c>
      <c r="D1020" s="2">
        <v>6</v>
      </c>
      <c r="E1020" s="2">
        <v>4</v>
      </c>
      <c r="F1020" s="2">
        <v>4</v>
      </c>
    </row>
    <row r="1021" spans="1:6" ht="12.5">
      <c r="A1021" s="2">
        <v>1408</v>
      </c>
      <c r="B1021" s="2">
        <v>8783</v>
      </c>
      <c r="C1021" s="2">
        <v>13</v>
      </c>
      <c r="D1021" s="2">
        <v>13</v>
      </c>
      <c r="E1021" s="2">
        <v>4</v>
      </c>
      <c r="F1021" s="2">
        <v>9</v>
      </c>
    </row>
    <row r="1022" spans="1:6" ht="12.5">
      <c r="A1022" s="2">
        <v>33</v>
      </c>
      <c r="B1022" s="2">
        <v>7373</v>
      </c>
      <c r="C1022" s="2">
        <v>12</v>
      </c>
      <c r="D1022" s="2">
        <v>22</v>
      </c>
      <c r="E1022" s="2">
        <v>4</v>
      </c>
      <c r="F1022" s="2">
        <v>6</v>
      </c>
    </row>
    <row r="1023" spans="1:6" ht="12.5">
      <c r="A1023" s="2">
        <v>373</v>
      </c>
      <c r="B1023" s="2">
        <v>1245</v>
      </c>
      <c r="C1023" s="2">
        <v>12</v>
      </c>
      <c r="D1023" s="2">
        <v>12</v>
      </c>
      <c r="E1023" s="2">
        <v>4</v>
      </c>
      <c r="F1023" s="2">
        <v>12</v>
      </c>
    </row>
    <row r="1024" spans="1:6" ht="12.5">
      <c r="A1024" s="2">
        <v>382</v>
      </c>
      <c r="B1024" s="2">
        <v>6878</v>
      </c>
      <c r="C1024" s="2">
        <v>12</v>
      </c>
      <c r="D1024" s="2">
        <v>40</v>
      </c>
      <c r="E1024" s="2">
        <v>4</v>
      </c>
      <c r="F1024" s="2">
        <v>6</v>
      </c>
    </row>
    <row r="1025" spans="1:6" ht="12.5">
      <c r="A1025" s="2">
        <v>572</v>
      </c>
      <c r="B1025" s="2">
        <v>8181</v>
      </c>
      <c r="C1025" s="2">
        <v>12</v>
      </c>
      <c r="D1025" s="2">
        <v>24</v>
      </c>
      <c r="E1025" s="2">
        <v>4</v>
      </c>
      <c r="F1025" s="2">
        <v>3</v>
      </c>
    </row>
    <row r="1026" spans="1:6" ht="12.5">
      <c r="A1026" s="2">
        <v>780</v>
      </c>
      <c r="B1026" s="2">
        <v>3194</v>
      </c>
      <c r="C1026" s="2">
        <v>12</v>
      </c>
      <c r="D1026" s="2">
        <v>182</v>
      </c>
      <c r="E1026" s="2">
        <v>4</v>
      </c>
      <c r="F1026" s="2">
        <v>10</v>
      </c>
    </row>
    <row r="1027" spans="1:6" ht="12.5">
      <c r="A1027" s="2">
        <v>1353</v>
      </c>
      <c r="B1027" s="2">
        <v>5232</v>
      </c>
      <c r="C1027" s="2">
        <v>12</v>
      </c>
      <c r="D1027" s="2">
        <v>15</v>
      </c>
      <c r="E1027" s="2">
        <v>4</v>
      </c>
      <c r="F1027" s="2">
        <v>5</v>
      </c>
    </row>
    <row r="1028" spans="1:6" ht="12.5">
      <c r="A1028" s="2">
        <v>1422</v>
      </c>
      <c r="B1028" s="2">
        <v>2561</v>
      </c>
      <c r="C1028" s="2">
        <v>12</v>
      </c>
      <c r="D1028" s="2">
        <v>12</v>
      </c>
      <c r="E1028" s="2">
        <v>4</v>
      </c>
      <c r="F1028" s="2">
        <v>12</v>
      </c>
    </row>
    <row r="1029" spans="1:6" ht="12.5">
      <c r="A1029" s="2">
        <v>1602</v>
      </c>
      <c r="B1029" s="2">
        <v>2565</v>
      </c>
      <c r="C1029" s="2">
        <v>12</v>
      </c>
      <c r="D1029" s="2">
        <v>12</v>
      </c>
      <c r="E1029" s="2">
        <v>4</v>
      </c>
      <c r="F1029" s="2">
        <v>10</v>
      </c>
    </row>
    <row r="1030" spans="1:6" ht="12.5">
      <c r="A1030" s="2">
        <v>1618</v>
      </c>
      <c r="B1030" s="2">
        <v>3011</v>
      </c>
      <c r="C1030" s="2">
        <v>12</v>
      </c>
      <c r="D1030" s="2">
        <v>15</v>
      </c>
      <c r="E1030" s="2">
        <v>4</v>
      </c>
      <c r="F1030" s="2">
        <v>5</v>
      </c>
    </row>
    <row r="1031" spans="1:6" ht="12.5">
      <c r="A1031" s="2">
        <v>457</v>
      </c>
      <c r="B1031" s="2">
        <v>3225</v>
      </c>
      <c r="C1031" s="2">
        <v>11</v>
      </c>
      <c r="D1031" s="2">
        <v>17</v>
      </c>
      <c r="E1031" s="2">
        <v>4</v>
      </c>
      <c r="F1031" s="2">
        <v>5</v>
      </c>
    </row>
    <row r="1032" spans="1:6" ht="12.5">
      <c r="A1032" s="2">
        <v>865</v>
      </c>
      <c r="B1032" s="2">
        <v>2036</v>
      </c>
      <c r="C1032" s="2">
        <v>11</v>
      </c>
      <c r="D1032" s="2">
        <v>3</v>
      </c>
      <c r="E1032" s="2">
        <v>4</v>
      </c>
      <c r="F1032" s="2">
        <v>8</v>
      </c>
    </row>
    <row r="1033" spans="1:6" ht="12.5">
      <c r="A1033" s="2">
        <v>2148</v>
      </c>
      <c r="B1033" s="2">
        <v>7873</v>
      </c>
      <c r="C1033" s="2">
        <v>11</v>
      </c>
      <c r="D1033" s="2">
        <v>14</v>
      </c>
      <c r="E1033" s="2">
        <v>4</v>
      </c>
      <c r="F1033" s="2">
        <v>7</v>
      </c>
    </row>
    <row r="1034" spans="1:6" ht="12.5">
      <c r="A1034" s="2">
        <v>7</v>
      </c>
      <c r="B1034" s="2">
        <v>6177</v>
      </c>
      <c r="C1034" s="2">
        <v>10</v>
      </c>
      <c r="D1034" s="2">
        <v>1</v>
      </c>
      <c r="E1034" s="2">
        <v>4</v>
      </c>
      <c r="F1034" s="2">
        <v>4</v>
      </c>
    </row>
    <row r="1035" spans="1:6" ht="12.5">
      <c r="A1035" s="2">
        <v>529</v>
      </c>
      <c r="B1035" s="2">
        <v>3281</v>
      </c>
      <c r="C1035" s="2">
        <v>10</v>
      </c>
      <c r="D1035" s="2">
        <v>27</v>
      </c>
      <c r="E1035" s="2">
        <v>4</v>
      </c>
      <c r="F1035" s="2">
        <v>8</v>
      </c>
    </row>
    <row r="1036" spans="1:6" ht="12.5">
      <c r="A1036" s="2">
        <v>541</v>
      </c>
      <c r="B1036" s="2">
        <v>10591</v>
      </c>
      <c r="C1036" s="2">
        <v>10</v>
      </c>
      <c r="D1036" s="2">
        <v>19</v>
      </c>
      <c r="E1036" s="2">
        <v>4</v>
      </c>
      <c r="F1036" s="2">
        <v>4</v>
      </c>
    </row>
    <row r="1037" spans="1:6" ht="12.5">
      <c r="A1037" s="2">
        <v>566</v>
      </c>
      <c r="B1037" s="2">
        <v>9120</v>
      </c>
      <c r="C1037" s="2">
        <v>10</v>
      </c>
      <c r="D1037" s="2">
        <v>40</v>
      </c>
      <c r="E1037" s="2">
        <v>4</v>
      </c>
      <c r="F1037" s="2">
        <v>9</v>
      </c>
    </row>
    <row r="1038" spans="1:6" ht="12.5">
      <c r="A1038" s="2">
        <v>1497</v>
      </c>
      <c r="B1038" s="2">
        <v>2072</v>
      </c>
      <c r="C1038" s="2">
        <v>10</v>
      </c>
      <c r="D1038" s="2">
        <v>10</v>
      </c>
      <c r="E1038" s="2">
        <v>4</v>
      </c>
      <c r="F1038" s="2">
        <v>9</v>
      </c>
    </row>
    <row r="1039" spans="1:6" ht="12.5">
      <c r="A1039" s="2">
        <v>54</v>
      </c>
      <c r="B1039" s="2">
        <v>9381</v>
      </c>
      <c r="C1039" s="2">
        <v>9</v>
      </c>
      <c r="D1039" s="2">
        <v>24</v>
      </c>
      <c r="E1039" s="2">
        <v>4</v>
      </c>
      <c r="F1039" s="2">
        <v>10</v>
      </c>
    </row>
    <row r="1040" spans="1:6" ht="12.5">
      <c r="A1040" s="2">
        <v>393</v>
      </c>
      <c r="B1040" s="2">
        <v>455</v>
      </c>
      <c r="C1040" s="2">
        <v>9</v>
      </c>
      <c r="D1040" s="2">
        <v>9</v>
      </c>
      <c r="E1040" s="2">
        <v>4</v>
      </c>
      <c r="F1040" s="2">
        <v>4</v>
      </c>
    </row>
    <row r="1041" spans="1:6" ht="12.5">
      <c r="A1041" s="2">
        <v>732</v>
      </c>
      <c r="B1041" s="2">
        <v>9384</v>
      </c>
      <c r="C1041" s="2">
        <v>9</v>
      </c>
      <c r="D1041" s="2">
        <v>24</v>
      </c>
      <c r="E1041" s="2">
        <v>4</v>
      </c>
      <c r="F1041" s="2">
        <v>10</v>
      </c>
    </row>
    <row r="1042" spans="1:6" ht="12.5">
      <c r="A1042" s="2">
        <v>1109</v>
      </c>
      <c r="B1042" s="2">
        <v>246</v>
      </c>
      <c r="C1042" s="2">
        <v>9</v>
      </c>
      <c r="D1042" s="2">
        <v>21</v>
      </c>
      <c r="E1042" s="2">
        <v>4</v>
      </c>
      <c r="F1042" s="2">
        <v>7</v>
      </c>
    </row>
    <row r="1043" spans="1:6" ht="12.5">
      <c r="A1043" s="2">
        <v>1500</v>
      </c>
      <c r="B1043" s="2">
        <v>4093</v>
      </c>
      <c r="C1043" s="2">
        <v>9</v>
      </c>
      <c r="D1043" s="2">
        <v>9</v>
      </c>
      <c r="E1043" s="2">
        <v>4</v>
      </c>
      <c r="F1043" s="2">
        <v>5</v>
      </c>
    </row>
    <row r="1044" spans="1:6" ht="12.5">
      <c r="A1044" s="2">
        <v>1771</v>
      </c>
      <c r="B1044" s="2">
        <v>7592</v>
      </c>
      <c r="C1044" s="2">
        <v>9</v>
      </c>
      <c r="D1044" s="2">
        <v>9</v>
      </c>
      <c r="E1044" s="2">
        <v>4</v>
      </c>
      <c r="F1044" s="2">
        <v>4</v>
      </c>
    </row>
    <row r="1045" spans="1:6" ht="12.5">
      <c r="A1045" s="2">
        <v>1096</v>
      </c>
      <c r="B1045" s="2">
        <v>4790</v>
      </c>
      <c r="C1045" s="2">
        <v>8</v>
      </c>
      <c r="D1045" s="2">
        <v>16</v>
      </c>
      <c r="E1045" s="2">
        <v>4</v>
      </c>
      <c r="F1045" s="2">
        <v>5</v>
      </c>
    </row>
    <row r="1046" spans="1:6" ht="12.5">
      <c r="A1046" s="2">
        <v>1181</v>
      </c>
      <c r="B1046" s="2">
        <v>8387</v>
      </c>
      <c r="C1046" s="2">
        <v>8</v>
      </c>
      <c r="D1046" s="2">
        <v>0</v>
      </c>
      <c r="E1046" s="2">
        <v>4</v>
      </c>
      <c r="F1046" s="2">
        <v>5</v>
      </c>
    </row>
    <row r="1047" spans="1:6" ht="12.5">
      <c r="A1047" s="2">
        <v>1505</v>
      </c>
      <c r="B1047" s="2">
        <v>3643</v>
      </c>
      <c r="C1047" s="2">
        <v>8</v>
      </c>
      <c r="D1047" s="2">
        <v>8</v>
      </c>
      <c r="E1047" s="2">
        <v>4</v>
      </c>
      <c r="F1047" s="2">
        <v>6</v>
      </c>
    </row>
    <row r="1048" spans="1:6" ht="12.5">
      <c r="A1048" s="2">
        <v>1812</v>
      </c>
      <c r="B1048" s="2">
        <v>8093</v>
      </c>
      <c r="C1048" s="2">
        <v>8</v>
      </c>
      <c r="D1048" s="2">
        <v>62</v>
      </c>
      <c r="E1048" s="2">
        <v>4</v>
      </c>
      <c r="F1048" s="2">
        <v>6</v>
      </c>
    </row>
    <row r="1049" spans="1:6" ht="12.5">
      <c r="A1049" s="2">
        <v>904</v>
      </c>
      <c r="B1049" s="2">
        <v>6404</v>
      </c>
      <c r="C1049" s="2">
        <v>7</v>
      </c>
      <c r="D1049" s="2">
        <v>7</v>
      </c>
      <c r="E1049" s="2">
        <v>4</v>
      </c>
      <c r="F1049" s="2">
        <v>6</v>
      </c>
    </row>
    <row r="1050" spans="1:6" ht="12.5">
      <c r="A1050" s="2">
        <v>1471</v>
      </c>
      <c r="B1050" s="2">
        <v>4864</v>
      </c>
      <c r="C1050" s="2">
        <v>7</v>
      </c>
      <c r="D1050" s="2">
        <v>1</v>
      </c>
      <c r="E1050" s="2">
        <v>4</v>
      </c>
      <c r="F1050" s="2">
        <v>3</v>
      </c>
    </row>
    <row r="1051" spans="1:6" ht="12.5">
      <c r="A1051" s="2">
        <v>1684</v>
      </c>
      <c r="B1051" s="2">
        <v>10323</v>
      </c>
      <c r="C1051" s="2">
        <v>7</v>
      </c>
      <c r="D1051" s="2">
        <v>2</v>
      </c>
      <c r="E1051" s="2">
        <v>4</v>
      </c>
      <c r="F1051" s="2">
        <v>5</v>
      </c>
    </row>
    <row r="1052" spans="1:6" ht="12.5">
      <c r="A1052" s="2">
        <v>1902</v>
      </c>
      <c r="B1052" s="2">
        <v>5896</v>
      </c>
      <c r="C1052" s="2">
        <v>7</v>
      </c>
      <c r="D1052" s="2">
        <v>7</v>
      </c>
      <c r="E1052" s="2">
        <v>4</v>
      </c>
      <c r="F1052" s="2">
        <v>6</v>
      </c>
    </row>
    <row r="1053" spans="1:6" ht="12.5">
      <c r="A1053" s="2">
        <v>2045</v>
      </c>
      <c r="B1053" s="2">
        <v>5474</v>
      </c>
      <c r="C1053" s="2">
        <v>7</v>
      </c>
      <c r="D1053" s="2">
        <v>25</v>
      </c>
      <c r="E1053" s="2">
        <v>4</v>
      </c>
      <c r="F1053" s="2">
        <v>4</v>
      </c>
    </row>
    <row r="1054" spans="1:6" ht="12.5">
      <c r="A1054" s="2">
        <v>2227</v>
      </c>
      <c r="B1054" s="2">
        <v>4201</v>
      </c>
      <c r="C1054" s="2">
        <v>7</v>
      </c>
      <c r="D1054" s="2">
        <v>0</v>
      </c>
      <c r="E1054" s="2">
        <v>4</v>
      </c>
      <c r="F1054" s="2">
        <v>8</v>
      </c>
    </row>
    <row r="1055" spans="1:6" ht="12.5">
      <c r="A1055" s="2">
        <v>1214</v>
      </c>
      <c r="B1055" s="2">
        <v>3439</v>
      </c>
      <c r="C1055" s="2">
        <v>6</v>
      </c>
      <c r="D1055" s="2">
        <v>13</v>
      </c>
      <c r="E1055" s="2">
        <v>4</v>
      </c>
      <c r="F1055" s="2">
        <v>5</v>
      </c>
    </row>
    <row r="1056" spans="1:6" ht="12.5">
      <c r="A1056" s="2">
        <v>1370</v>
      </c>
      <c r="B1056" s="2">
        <v>5948</v>
      </c>
      <c r="C1056" s="2">
        <v>6</v>
      </c>
      <c r="D1056" s="2">
        <v>8</v>
      </c>
      <c r="E1056" s="2">
        <v>4</v>
      </c>
      <c r="F1056" s="2">
        <v>5</v>
      </c>
    </row>
    <row r="1057" spans="1:6" ht="12.5">
      <c r="A1057" s="2">
        <v>17</v>
      </c>
      <c r="B1057" s="2">
        <v>4939</v>
      </c>
      <c r="C1057" s="2">
        <v>5</v>
      </c>
      <c r="D1057" s="2">
        <v>12</v>
      </c>
      <c r="E1057" s="2">
        <v>4</v>
      </c>
      <c r="F1057" s="2">
        <v>6</v>
      </c>
    </row>
    <row r="1058" spans="1:6" ht="12.5">
      <c r="A1058" s="2">
        <v>282</v>
      </c>
      <c r="B1058" s="2">
        <v>8652</v>
      </c>
      <c r="C1058" s="2">
        <v>5</v>
      </c>
      <c r="D1058" s="2">
        <v>12</v>
      </c>
      <c r="E1058" s="2">
        <v>4</v>
      </c>
      <c r="F1058" s="2">
        <v>6</v>
      </c>
    </row>
    <row r="1059" spans="1:6" ht="12.5">
      <c r="A1059" s="2">
        <v>464</v>
      </c>
      <c r="B1059" s="2">
        <v>2815</v>
      </c>
      <c r="C1059" s="2">
        <v>5</v>
      </c>
      <c r="D1059" s="2">
        <v>15</v>
      </c>
      <c r="E1059" s="2">
        <v>4</v>
      </c>
      <c r="F1059" s="2">
        <v>3</v>
      </c>
    </row>
    <row r="1060" spans="1:6" ht="12.5">
      <c r="A1060" s="2">
        <v>629</v>
      </c>
      <c r="B1060" s="2">
        <v>5063</v>
      </c>
      <c r="C1060" s="2">
        <v>5</v>
      </c>
      <c r="D1060" s="2">
        <v>3</v>
      </c>
      <c r="E1060" s="2">
        <v>4</v>
      </c>
      <c r="F1060" s="2">
        <v>4</v>
      </c>
    </row>
    <row r="1061" spans="1:6" ht="12.5">
      <c r="A1061" s="2">
        <v>800</v>
      </c>
      <c r="B1061" s="2">
        <v>310</v>
      </c>
      <c r="C1061" s="2">
        <v>5</v>
      </c>
      <c r="D1061" s="2">
        <v>27</v>
      </c>
      <c r="E1061" s="2">
        <v>4</v>
      </c>
      <c r="F1061" s="2">
        <v>9</v>
      </c>
    </row>
    <row r="1062" spans="1:6" ht="12.5">
      <c r="A1062" s="2">
        <v>1160</v>
      </c>
      <c r="B1062" s="2">
        <v>4252</v>
      </c>
      <c r="C1062" s="2">
        <v>5</v>
      </c>
      <c r="D1062" s="2">
        <v>7</v>
      </c>
      <c r="E1062" s="2">
        <v>4</v>
      </c>
      <c r="F1062" s="2">
        <v>6</v>
      </c>
    </row>
    <row r="1063" spans="1:6" ht="12.5">
      <c r="A1063" s="2">
        <v>1379</v>
      </c>
      <c r="B1063" s="2">
        <v>10475</v>
      </c>
      <c r="C1063" s="2">
        <v>5</v>
      </c>
      <c r="D1063" s="2">
        <v>20</v>
      </c>
      <c r="E1063" s="2">
        <v>4</v>
      </c>
      <c r="F1063" s="2">
        <v>6</v>
      </c>
    </row>
    <row r="1064" spans="1:6" ht="12.5">
      <c r="A1064" s="2">
        <v>1718</v>
      </c>
      <c r="B1064" s="2">
        <v>10640</v>
      </c>
      <c r="C1064" s="2">
        <v>5</v>
      </c>
      <c r="D1064" s="2">
        <v>12</v>
      </c>
      <c r="E1064" s="2">
        <v>4</v>
      </c>
      <c r="F1064" s="2">
        <v>4</v>
      </c>
    </row>
    <row r="1065" spans="1:6" ht="12.5">
      <c r="A1065" s="2">
        <v>218</v>
      </c>
      <c r="B1065" s="2">
        <v>1377</v>
      </c>
      <c r="C1065" s="2">
        <v>4</v>
      </c>
      <c r="D1065" s="2">
        <v>0</v>
      </c>
      <c r="E1065" s="2">
        <v>4</v>
      </c>
      <c r="F1065" s="2">
        <v>5</v>
      </c>
    </row>
    <row r="1066" spans="1:6" ht="12.5">
      <c r="A1066" s="2">
        <v>678</v>
      </c>
      <c r="B1066" s="2">
        <v>8779</v>
      </c>
      <c r="C1066" s="2">
        <v>4</v>
      </c>
      <c r="D1066" s="2">
        <v>1</v>
      </c>
      <c r="E1066" s="2">
        <v>4</v>
      </c>
      <c r="F1066" s="2">
        <v>3</v>
      </c>
    </row>
    <row r="1067" spans="1:6" ht="12.5">
      <c r="A1067" s="2">
        <v>1547</v>
      </c>
      <c r="B1067" s="2">
        <v>5636</v>
      </c>
      <c r="C1067" s="2">
        <v>4</v>
      </c>
      <c r="D1067" s="2">
        <v>1</v>
      </c>
      <c r="E1067" s="2">
        <v>4</v>
      </c>
      <c r="F1067" s="2">
        <v>3</v>
      </c>
    </row>
    <row r="1068" spans="1:6" ht="12.5">
      <c r="A1068" s="2">
        <v>1830</v>
      </c>
      <c r="B1068" s="2">
        <v>6859</v>
      </c>
      <c r="C1068" s="2">
        <v>4</v>
      </c>
      <c r="D1068" s="2">
        <v>9</v>
      </c>
      <c r="E1068" s="2">
        <v>4</v>
      </c>
      <c r="F1068" s="2">
        <v>3</v>
      </c>
    </row>
    <row r="1069" spans="1:6" ht="12.5">
      <c r="A1069" s="2">
        <v>1840</v>
      </c>
      <c r="B1069" s="2">
        <v>9576</v>
      </c>
      <c r="C1069" s="2">
        <v>4</v>
      </c>
      <c r="D1069" s="2">
        <v>4</v>
      </c>
      <c r="E1069" s="2">
        <v>4</v>
      </c>
      <c r="F1069" s="2">
        <v>4</v>
      </c>
    </row>
    <row r="1070" spans="1:6" ht="12.5">
      <c r="A1070" s="2">
        <v>1954</v>
      </c>
      <c r="B1070" s="2">
        <v>5626</v>
      </c>
      <c r="C1070" s="2">
        <v>4</v>
      </c>
      <c r="D1070" s="2">
        <v>8</v>
      </c>
      <c r="E1070" s="2">
        <v>4</v>
      </c>
      <c r="F1070" s="2">
        <v>9</v>
      </c>
    </row>
    <row r="1071" spans="1:6" ht="12.5">
      <c r="A1071" s="2">
        <v>1986</v>
      </c>
      <c r="B1071" s="2">
        <v>10821</v>
      </c>
      <c r="C1071" s="2">
        <v>4</v>
      </c>
      <c r="D1071" s="2">
        <v>2</v>
      </c>
      <c r="E1071" s="2">
        <v>4</v>
      </c>
      <c r="F1071" s="2">
        <v>5</v>
      </c>
    </row>
    <row r="1072" spans="1:6" ht="12.5">
      <c r="A1072" s="2">
        <v>2097</v>
      </c>
      <c r="B1072" s="2">
        <v>975</v>
      </c>
      <c r="C1072" s="2">
        <v>4</v>
      </c>
      <c r="D1072" s="2">
        <v>4</v>
      </c>
      <c r="E1072" s="2">
        <v>4</v>
      </c>
      <c r="F1072" s="2">
        <v>5</v>
      </c>
    </row>
    <row r="1073" spans="1:6" ht="12.5">
      <c r="A1073" s="2">
        <v>148</v>
      </c>
      <c r="B1073" s="2">
        <v>5885</v>
      </c>
      <c r="C1073" s="2">
        <v>3</v>
      </c>
      <c r="D1073" s="2">
        <v>1</v>
      </c>
      <c r="E1073" s="2">
        <v>4</v>
      </c>
      <c r="F1073" s="2">
        <v>4</v>
      </c>
    </row>
    <row r="1074" spans="1:6" ht="12.5">
      <c r="A1074" s="2">
        <v>180</v>
      </c>
      <c r="B1074" s="2">
        <v>7698</v>
      </c>
      <c r="C1074" s="2">
        <v>3</v>
      </c>
      <c r="D1074" s="2">
        <v>5</v>
      </c>
      <c r="E1074" s="2">
        <v>4</v>
      </c>
      <c r="F1074" s="2">
        <v>4</v>
      </c>
    </row>
    <row r="1075" spans="1:6" ht="12.5">
      <c r="A1075" s="2">
        <v>383</v>
      </c>
      <c r="B1075" s="2">
        <v>3310</v>
      </c>
      <c r="C1075" s="2">
        <v>3</v>
      </c>
      <c r="D1075" s="2">
        <v>1</v>
      </c>
      <c r="E1075" s="2">
        <v>4</v>
      </c>
      <c r="F1075" s="2">
        <v>4</v>
      </c>
    </row>
    <row r="1076" spans="1:6" ht="12.5">
      <c r="A1076" s="2">
        <v>542</v>
      </c>
      <c r="B1076" s="2">
        <v>5036</v>
      </c>
      <c r="C1076" s="2">
        <v>3</v>
      </c>
      <c r="D1076" s="2">
        <v>3</v>
      </c>
      <c r="E1076" s="2">
        <v>4</v>
      </c>
      <c r="F1076" s="2">
        <v>3</v>
      </c>
    </row>
    <row r="1077" spans="1:6" ht="12.5">
      <c r="A1077" s="2">
        <v>795</v>
      </c>
      <c r="B1077" s="2">
        <v>199</v>
      </c>
      <c r="C1077" s="2">
        <v>3</v>
      </c>
      <c r="D1077" s="2">
        <v>9</v>
      </c>
      <c r="E1077" s="2">
        <v>4</v>
      </c>
      <c r="F1077" s="2">
        <v>7</v>
      </c>
    </row>
    <row r="1078" spans="1:6" ht="12.5">
      <c r="A1078" s="2">
        <v>985</v>
      </c>
      <c r="B1078" s="2">
        <v>6872</v>
      </c>
      <c r="C1078" s="2">
        <v>3</v>
      </c>
      <c r="D1078" s="2">
        <v>7</v>
      </c>
      <c r="E1078" s="2">
        <v>4</v>
      </c>
      <c r="F1078" s="2">
        <v>8</v>
      </c>
    </row>
    <row r="1079" spans="1:6" ht="12.5">
      <c r="A1079" s="2">
        <v>1228</v>
      </c>
      <c r="B1079" s="2">
        <v>8210</v>
      </c>
      <c r="C1079" s="2">
        <v>3</v>
      </c>
      <c r="D1079" s="2">
        <v>7</v>
      </c>
      <c r="E1079" s="2">
        <v>4</v>
      </c>
      <c r="F1079" s="2">
        <v>8</v>
      </c>
    </row>
    <row r="1080" spans="1:6" ht="12.5">
      <c r="A1080" s="2">
        <v>1456</v>
      </c>
      <c r="B1080" s="2">
        <v>4042</v>
      </c>
      <c r="C1080" s="2">
        <v>3</v>
      </c>
      <c r="D1080" s="2">
        <v>1</v>
      </c>
      <c r="E1080" s="2">
        <v>4</v>
      </c>
      <c r="F1080" s="2">
        <v>4</v>
      </c>
    </row>
    <row r="1081" spans="1:6" ht="12.5">
      <c r="A1081" s="2">
        <v>1833</v>
      </c>
      <c r="B1081" s="2">
        <v>5866</v>
      </c>
      <c r="C1081" s="2">
        <v>3</v>
      </c>
      <c r="D1081" s="2">
        <v>7</v>
      </c>
      <c r="E1081" s="2">
        <v>4</v>
      </c>
      <c r="F1081" s="2">
        <v>4</v>
      </c>
    </row>
    <row r="1082" spans="1:6" ht="12.5">
      <c r="A1082" s="2">
        <v>20</v>
      </c>
      <c r="B1082" s="2">
        <v>9360</v>
      </c>
      <c r="C1082" s="2">
        <v>2</v>
      </c>
      <c r="D1082" s="2">
        <v>38</v>
      </c>
      <c r="E1082" s="2">
        <v>4</v>
      </c>
      <c r="F1082" s="2">
        <v>5</v>
      </c>
    </row>
    <row r="1083" spans="1:6" ht="12.5">
      <c r="A1083" s="2">
        <v>262</v>
      </c>
      <c r="B1083" s="2">
        <v>4200</v>
      </c>
      <c r="C1083" s="2">
        <v>2</v>
      </c>
      <c r="D1083" s="2">
        <v>13</v>
      </c>
      <c r="E1083" s="2">
        <v>4</v>
      </c>
      <c r="F1083" s="2">
        <v>6</v>
      </c>
    </row>
    <row r="1084" spans="1:6" ht="12.5">
      <c r="A1084" s="2">
        <v>309</v>
      </c>
      <c r="B1084" s="2">
        <v>1379</v>
      </c>
      <c r="C1084" s="2">
        <v>2</v>
      </c>
      <c r="D1084" s="2">
        <v>4</v>
      </c>
      <c r="E1084" s="2">
        <v>4</v>
      </c>
      <c r="F1084" s="2">
        <v>4</v>
      </c>
    </row>
    <row r="1085" spans="1:6" ht="12.5">
      <c r="A1085" s="2">
        <v>483</v>
      </c>
      <c r="B1085" s="2">
        <v>1676</v>
      </c>
      <c r="C1085" s="2">
        <v>2</v>
      </c>
      <c r="D1085" s="2">
        <v>2</v>
      </c>
      <c r="E1085" s="2">
        <v>4</v>
      </c>
      <c r="F1085" s="2">
        <v>5</v>
      </c>
    </row>
    <row r="1086" spans="1:6" ht="12.5">
      <c r="A1086" s="2">
        <v>1103</v>
      </c>
      <c r="B1086" s="2">
        <v>7409</v>
      </c>
      <c r="C1086" s="2">
        <v>2</v>
      </c>
      <c r="D1086" s="2">
        <v>7</v>
      </c>
      <c r="E1086" s="2">
        <v>4</v>
      </c>
      <c r="F1086" s="2">
        <v>6</v>
      </c>
    </row>
    <row r="1087" spans="1:6" ht="12.5">
      <c r="A1087" s="2">
        <v>1556</v>
      </c>
      <c r="B1087" s="2">
        <v>955</v>
      </c>
      <c r="C1087" s="2">
        <v>2</v>
      </c>
      <c r="D1087" s="2">
        <v>2</v>
      </c>
      <c r="E1087" s="2">
        <v>4</v>
      </c>
      <c r="F1087" s="2">
        <v>4</v>
      </c>
    </row>
    <row r="1088" spans="1:6" ht="12.5">
      <c r="A1088" s="2">
        <v>1631</v>
      </c>
      <c r="B1088" s="2">
        <v>3570</v>
      </c>
      <c r="C1088" s="2">
        <v>2</v>
      </c>
      <c r="D1088" s="2">
        <v>2</v>
      </c>
      <c r="E1088" s="2">
        <v>4</v>
      </c>
      <c r="F1088" s="2">
        <v>5</v>
      </c>
    </row>
    <row r="1089" spans="1:6" ht="12.5">
      <c r="A1089" s="2">
        <v>1670</v>
      </c>
      <c r="B1089" s="2">
        <v>8143</v>
      </c>
      <c r="C1089" s="2">
        <v>2</v>
      </c>
      <c r="D1089" s="2">
        <v>2</v>
      </c>
      <c r="E1089" s="2">
        <v>4</v>
      </c>
      <c r="F1089" s="2">
        <v>5</v>
      </c>
    </row>
    <row r="1090" spans="1:6" ht="12.5">
      <c r="A1090" s="2">
        <v>1726</v>
      </c>
      <c r="B1090" s="2">
        <v>10905</v>
      </c>
      <c r="C1090" s="2">
        <v>2</v>
      </c>
      <c r="D1090" s="2">
        <v>0</v>
      </c>
      <c r="E1090" s="2">
        <v>4</v>
      </c>
      <c r="F1090" s="2">
        <v>6</v>
      </c>
    </row>
    <row r="1091" spans="1:6" ht="12.5">
      <c r="A1091" s="2">
        <v>1775</v>
      </c>
      <c r="B1091" s="2">
        <v>8910</v>
      </c>
      <c r="C1091" s="2">
        <v>2</v>
      </c>
      <c r="D1091" s="2">
        <v>0</v>
      </c>
      <c r="E1091" s="2">
        <v>4</v>
      </c>
      <c r="F1091" s="2">
        <v>6</v>
      </c>
    </row>
    <row r="1092" spans="1:6" ht="12.5">
      <c r="A1092" s="2">
        <v>1837</v>
      </c>
      <c r="B1092" s="2">
        <v>332</v>
      </c>
      <c r="C1092" s="2">
        <v>2</v>
      </c>
      <c r="D1092" s="2">
        <v>12</v>
      </c>
      <c r="E1092" s="2">
        <v>4</v>
      </c>
      <c r="F1092" s="2">
        <v>6</v>
      </c>
    </row>
    <row r="1093" spans="1:6" ht="12.5">
      <c r="A1093" s="2">
        <v>106</v>
      </c>
      <c r="B1093" s="2">
        <v>7533</v>
      </c>
      <c r="C1093" s="2">
        <v>1</v>
      </c>
      <c r="D1093" s="2">
        <v>1</v>
      </c>
      <c r="E1093" s="2">
        <v>4</v>
      </c>
      <c r="F1093" s="2">
        <v>4</v>
      </c>
    </row>
    <row r="1094" spans="1:6" ht="12.5">
      <c r="A1094" s="2">
        <v>223</v>
      </c>
      <c r="B1094" s="2">
        <v>9076</v>
      </c>
      <c r="C1094" s="2">
        <v>1</v>
      </c>
      <c r="D1094" s="2">
        <v>1</v>
      </c>
      <c r="E1094" s="2">
        <v>4</v>
      </c>
      <c r="F1094" s="2">
        <v>4</v>
      </c>
    </row>
    <row r="1095" spans="1:6" ht="12.5">
      <c r="A1095" s="2">
        <v>489</v>
      </c>
      <c r="B1095" s="2">
        <v>3921</v>
      </c>
      <c r="C1095" s="2">
        <v>1</v>
      </c>
      <c r="D1095" s="2">
        <v>29</v>
      </c>
      <c r="E1095" s="2">
        <v>4</v>
      </c>
      <c r="F1095" s="2">
        <v>4</v>
      </c>
    </row>
    <row r="1096" spans="1:6" ht="12.5">
      <c r="A1096" s="2">
        <v>510</v>
      </c>
      <c r="B1096" s="2">
        <v>9925</v>
      </c>
      <c r="C1096" s="2">
        <v>1</v>
      </c>
      <c r="D1096" s="2">
        <v>1</v>
      </c>
      <c r="E1096" s="2">
        <v>4</v>
      </c>
      <c r="F1096" s="2">
        <v>3</v>
      </c>
    </row>
    <row r="1097" spans="1:6" ht="12.5">
      <c r="A1097" s="2">
        <v>799</v>
      </c>
      <c r="B1097" s="2">
        <v>8523</v>
      </c>
      <c r="C1097" s="2">
        <v>1</v>
      </c>
      <c r="D1097" s="2">
        <v>2</v>
      </c>
      <c r="E1097" s="2">
        <v>4</v>
      </c>
      <c r="F1097" s="2">
        <v>3</v>
      </c>
    </row>
    <row r="1098" spans="1:6" ht="12.5">
      <c r="A1098" s="2">
        <v>1268</v>
      </c>
      <c r="B1098" s="2">
        <v>5429</v>
      </c>
      <c r="C1098" s="2">
        <v>1</v>
      </c>
      <c r="D1098" s="2">
        <v>1</v>
      </c>
      <c r="E1098" s="2">
        <v>4</v>
      </c>
      <c r="F1098" s="2">
        <v>4</v>
      </c>
    </row>
    <row r="1099" spans="1:6" ht="12.5">
      <c r="A1099" s="2">
        <v>1402</v>
      </c>
      <c r="B1099" s="2">
        <v>2534</v>
      </c>
      <c r="C1099" s="2">
        <v>1</v>
      </c>
      <c r="D1099" s="2">
        <v>2</v>
      </c>
      <c r="E1099" s="2">
        <v>4</v>
      </c>
      <c r="F1099" s="2">
        <v>3</v>
      </c>
    </row>
    <row r="1100" spans="1:6" ht="12.5">
      <c r="A1100" s="2">
        <v>1740</v>
      </c>
      <c r="B1100" s="2">
        <v>48</v>
      </c>
      <c r="C1100" s="2">
        <v>1</v>
      </c>
      <c r="D1100" s="2">
        <v>3</v>
      </c>
      <c r="E1100" s="2">
        <v>4</v>
      </c>
      <c r="F1100" s="2">
        <v>3</v>
      </c>
    </row>
    <row r="1101" spans="1:6" ht="12.5">
      <c r="A1101" s="2">
        <v>2011</v>
      </c>
      <c r="B1101" s="2">
        <v>3657</v>
      </c>
      <c r="C1101" s="2">
        <v>1</v>
      </c>
      <c r="D1101" s="2">
        <v>12</v>
      </c>
      <c r="E1101" s="2">
        <v>4</v>
      </c>
      <c r="F1101" s="2">
        <v>4</v>
      </c>
    </row>
    <row r="1102" spans="1:6" ht="12.5">
      <c r="A1102" s="2">
        <v>272</v>
      </c>
      <c r="B1102" s="2">
        <v>3066</v>
      </c>
      <c r="C1102" s="2">
        <v>0</v>
      </c>
      <c r="D1102" s="2">
        <v>2</v>
      </c>
      <c r="E1102" s="2">
        <v>4</v>
      </c>
      <c r="F1102" s="2">
        <v>4</v>
      </c>
    </row>
    <row r="1103" spans="1:6" ht="12.5">
      <c r="A1103" s="2">
        <v>325</v>
      </c>
      <c r="B1103" s="2">
        <v>7214</v>
      </c>
      <c r="C1103" s="2">
        <v>0</v>
      </c>
      <c r="D1103" s="2">
        <v>45</v>
      </c>
      <c r="E1103" s="2">
        <v>4</v>
      </c>
      <c r="F1103" s="2">
        <v>5</v>
      </c>
    </row>
    <row r="1104" spans="1:6" ht="12.5">
      <c r="A1104" s="2">
        <v>342</v>
      </c>
      <c r="B1104" s="2">
        <v>9707</v>
      </c>
      <c r="C1104" s="2">
        <v>0</v>
      </c>
      <c r="D1104" s="2">
        <v>0</v>
      </c>
      <c r="E1104" s="2">
        <v>4</v>
      </c>
      <c r="F1104" s="2">
        <v>11</v>
      </c>
    </row>
    <row r="1105" spans="1:6" ht="12.5">
      <c r="A1105" s="2">
        <v>366</v>
      </c>
      <c r="B1105" s="2">
        <v>5125</v>
      </c>
      <c r="C1105" s="2">
        <v>0</v>
      </c>
      <c r="D1105" s="2">
        <v>42</v>
      </c>
      <c r="E1105" s="2">
        <v>4</v>
      </c>
      <c r="F1105" s="2">
        <v>11</v>
      </c>
    </row>
    <row r="1106" spans="1:6" ht="12.5">
      <c r="A1106" s="2">
        <v>395</v>
      </c>
      <c r="B1106" s="2">
        <v>3428</v>
      </c>
      <c r="C1106" s="2">
        <v>0</v>
      </c>
      <c r="D1106" s="2">
        <v>30</v>
      </c>
      <c r="E1106" s="2">
        <v>4</v>
      </c>
      <c r="F1106" s="2">
        <v>10</v>
      </c>
    </row>
    <row r="1107" spans="1:6" ht="12.5">
      <c r="A1107" s="2">
        <v>497</v>
      </c>
      <c r="B1107" s="2">
        <v>11088</v>
      </c>
      <c r="C1107" s="2">
        <v>0</v>
      </c>
      <c r="D1107" s="2">
        <v>35</v>
      </c>
      <c r="E1107" s="2">
        <v>4</v>
      </c>
      <c r="F1107" s="2">
        <v>4</v>
      </c>
    </row>
    <row r="1108" spans="1:6" ht="12.5">
      <c r="A1108" s="2">
        <v>503</v>
      </c>
      <c r="B1108" s="2">
        <v>5140</v>
      </c>
      <c r="C1108" s="2">
        <v>0</v>
      </c>
      <c r="D1108" s="2">
        <v>38</v>
      </c>
      <c r="E1108" s="2">
        <v>4</v>
      </c>
      <c r="F1108" s="2">
        <v>12</v>
      </c>
    </row>
    <row r="1109" spans="1:6" ht="12.5">
      <c r="A1109" s="2">
        <v>576</v>
      </c>
      <c r="B1109" s="2">
        <v>8159</v>
      </c>
      <c r="C1109" s="2">
        <v>0</v>
      </c>
      <c r="D1109" s="2">
        <v>0</v>
      </c>
      <c r="E1109" s="2">
        <v>4</v>
      </c>
      <c r="F1109" s="2">
        <v>3</v>
      </c>
    </row>
    <row r="1110" spans="1:6" ht="12.5">
      <c r="A1110" s="2">
        <v>690</v>
      </c>
      <c r="B1110" s="2">
        <v>7230</v>
      </c>
      <c r="C1110" s="2">
        <v>0</v>
      </c>
      <c r="D1110" s="2">
        <v>0</v>
      </c>
      <c r="E1110" s="2">
        <v>4</v>
      </c>
      <c r="F1110" s="2">
        <v>7</v>
      </c>
    </row>
    <row r="1111" spans="1:6" ht="12.5">
      <c r="A1111" s="2">
        <v>724</v>
      </c>
      <c r="B1111" s="2">
        <v>4692</v>
      </c>
      <c r="C1111" s="2">
        <v>0</v>
      </c>
      <c r="D1111" s="2">
        <v>7</v>
      </c>
      <c r="E1111" s="2">
        <v>4</v>
      </c>
      <c r="F1111" s="2">
        <v>2</v>
      </c>
    </row>
    <row r="1112" spans="1:6" ht="12.5">
      <c r="A1112" s="2">
        <v>735</v>
      </c>
      <c r="B1112" s="2">
        <v>7875</v>
      </c>
      <c r="C1112" s="2">
        <v>0</v>
      </c>
      <c r="D1112" s="2">
        <v>50</v>
      </c>
      <c r="E1112" s="2">
        <v>4</v>
      </c>
      <c r="F1112" s="2">
        <v>13</v>
      </c>
    </row>
    <row r="1113" spans="1:6" ht="12.5">
      <c r="A1113" s="2">
        <v>872</v>
      </c>
      <c r="B1113" s="2">
        <v>3623</v>
      </c>
      <c r="C1113" s="2">
        <v>0</v>
      </c>
      <c r="D1113" s="2">
        <v>4</v>
      </c>
      <c r="E1113" s="2">
        <v>4</v>
      </c>
      <c r="F1113" s="2">
        <v>3</v>
      </c>
    </row>
    <row r="1114" spans="1:6" ht="12.5">
      <c r="A1114" s="2">
        <v>901</v>
      </c>
      <c r="B1114" s="2">
        <v>8945</v>
      </c>
      <c r="C1114" s="2">
        <v>0</v>
      </c>
      <c r="D1114" s="2">
        <v>1</v>
      </c>
      <c r="E1114" s="2">
        <v>4</v>
      </c>
      <c r="F1114" s="2">
        <v>4</v>
      </c>
    </row>
    <row r="1115" spans="1:6" ht="12.5">
      <c r="A1115" s="2">
        <v>945</v>
      </c>
      <c r="B1115" s="2">
        <v>3202</v>
      </c>
      <c r="C1115" s="2">
        <v>0</v>
      </c>
      <c r="D1115" s="2">
        <v>0</v>
      </c>
      <c r="E1115" s="2">
        <v>4</v>
      </c>
      <c r="F1115" s="2">
        <v>10</v>
      </c>
    </row>
    <row r="1116" spans="1:6" ht="12.5">
      <c r="A1116" s="2">
        <v>1122</v>
      </c>
      <c r="B1116" s="2">
        <v>675</v>
      </c>
      <c r="C1116" s="2">
        <v>0</v>
      </c>
      <c r="D1116" s="2">
        <v>13</v>
      </c>
      <c r="E1116" s="2">
        <v>4</v>
      </c>
      <c r="F1116" s="2">
        <v>5</v>
      </c>
    </row>
    <row r="1117" spans="1:6" ht="12.5">
      <c r="A1117" s="2">
        <v>1164</v>
      </c>
      <c r="B1117" s="2">
        <v>5922</v>
      </c>
      <c r="C1117" s="2">
        <v>0</v>
      </c>
      <c r="D1117" s="2">
        <v>0</v>
      </c>
      <c r="E1117" s="2">
        <v>4</v>
      </c>
      <c r="F1117" s="2">
        <v>5</v>
      </c>
    </row>
    <row r="1118" spans="1:6" ht="12.5">
      <c r="A1118" s="2">
        <v>1218</v>
      </c>
      <c r="B1118" s="2">
        <v>4500</v>
      </c>
      <c r="C1118" s="2">
        <v>0</v>
      </c>
      <c r="D1118" s="2">
        <v>30</v>
      </c>
      <c r="E1118" s="2">
        <v>4</v>
      </c>
      <c r="F1118" s="2">
        <v>10</v>
      </c>
    </row>
    <row r="1119" spans="1:6" ht="12.5">
      <c r="A1119" s="2">
        <v>1373</v>
      </c>
      <c r="B1119" s="2">
        <v>5675</v>
      </c>
      <c r="C1119" s="2">
        <v>0</v>
      </c>
      <c r="D1119" s="2">
        <v>0</v>
      </c>
      <c r="E1119" s="2">
        <v>4</v>
      </c>
      <c r="F1119" s="2">
        <v>7</v>
      </c>
    </row>
    <row r="1120" spans="1:6" ht="12.5">
      <c r="A1120" s="2">
        <v>1376</v>
      </c>
      <c r="B1120" s="2">
        <v>1542</v>
      </c>
      <c r="C1120" s="2">
        <v>0</v>
      </c>
      <c r="D1120" s="2">
        <v>3</v>
      </c>
      <c r="E1120" s="2">
        <v>4</v>
      </c>
      <c r="F1120" s="2">
        <v>8</v>
      </c>
    </row>
    <row r="1121" spans="1:6" ht="12.5">
      <c r="A1121" s="2">
        <v>1390</v>
      </c>
      <c r="B1121" s="2">
        <v>8216</v>
      </c>
      <c r="C1121" s="2">
        <v>0</v>
      </c>
      <c r="D1121" s="2">
        <v>7</v>
      </c>
      <c r="E1121" s="2">
        <v>4</v>
      </c>
      <c r="F1121" s="2">
        <v>3</v>
      </c>
    </row>
    <row r="1122" spans="1:6" ht="12.5">
      <c r="A1122" s="2">
        <v>1577</v>
      </c>
      <c r="B1122" s="2">
        <v>9298</v>
      </c>
      <c r="C1122" s="2">
        <v>0</v>
      </c>
      <c r="D1122" s="2">
        <v>35</v>
      </c>
      <c r="E1122" s="2">
        <v>4</v>
      </c>
      <c r="F1122" s="2">
        <v>8</v>
      </c>
    </row>
    <row r="1123" spans="1:6" ht="12.5">
      <c r="A1123" s="2">
        <v>1628</v>
      </c>
      <c r="B1123" s="2">
        <v>9986</v>
      </c>
      <c r="C1123" s="2">
        <v>0</v>
      </c>
      <c r="D1123" s="2">
        <v>2</v>
      </c>
      <c r="E1123" s="2">
        <v>4</v>
      </c>
      <c r="F1123" s="2">
        <v>2</v>
      </c>
    </row>
    <row r="1124" spans="1:6" ht="12.5">
      <c r="A1124" s="2">
        <v>1831</v>
      </c>
      <c r="B1124" s="2">
        <v>9860</v>
      </c>
      <c r="C1124" s="2">
        <v>0</v>
      </c>
      <c r="D1124" s="2">
        <v>1</v>
      </c>
      <c r="E1124" s="2">
        <v>4</v>
      </c>
      <c r="F1124" s="2">
        <v>4</v>
      </c>
    </row>
    <row r="1125" spans="1:6" ht="12.5">
      <c r="A1125" s="2">
        <v>1882</v>
      </c>
      <c r="B1125" s="2">
        <v>5180</v>
      </c>
      <c r="C1125" s="2">
        <v>0</v>
      </c>
      <c r="D1125" s="2">
        <v>1</v>
      </c>
      <c r="E1125" s="2">
        <v>4</v>
      </c>
      <c r="F1125" s="2">
        <v>4</v>
      </c>
    </row>
    <row r="1126" spans="1:6" ht="12.5">
      <c r="A1126" s="2">
        <v>1915</v>
      </c>
      <c r="B1126" s="2">
        <v>10176</v>
      </c>
      <c r="C1126" s="2">
        <v>0</v>
      </c>
      <c r="D1126" s="2">
        <v>0</v>
      </c>
      <c r="E1126" s="2">
        <v>4</v>
      </c>
      <c r="F1126" s="2">
        <v>8</v>
      </c>
    </row>
    <row r="1127" spans="1:6" ht="12.5">
      <c r="A1127" s="2">
        <v>1926</v>
      </c>
      <c r="B1127" s="2">
        <v>10872</v>
      </c>
      <c r="C1127" s="2">
        <v>0</v>
      </c>
      <c r="D1127" s="2">
        <v>0</v>
      </c>
      <c r="E1127" s="2">
        <v>4</v>
      </c>
      <c r="F1127" s="2">
        <v>11</v>
      </c>
    </row>
    <row r="1128" spans="1:6" ht="12.5">
      <c r="A1128" s="2">
        <v>2079</v>
      </c>
      <c r="B1128" s="2">
        <v>10339</v>
      </c>
      <c r="C1128" s="2">
        <v>0</v>
      </c>
      <c r="D1128" s="2">
        <v>0</v>
      </c>
      <c r="E1128" s="2">
        <v>4</v>
      </c>
      <c r="F1128" s="2">
        <v>4</v>
      </c>
    </row>
    <row r="1129" spans="1:6" ht="12.5">
      <c r="A1129" s="2">
        <v>2127</v>
      </c>
      <c r="B1129" s="2">
        <v>6292</v>
      </c>
      <c r="C1129" s="2">
        <v>0</v>
      </c>
      <c r="D1129" s="2">
        <v>89</v>
      </c>
      <c r="E1129" s="2">
        <v>4</v>
      </c>
      <c r="F1129" s="2">
        <v>10</v>
      </c>
    </row>
    <row r="1130" spans="1:6" ht="12.5">
      <c r="A1130" s="2">
        <v>1946</v>
      </c>
      <c r="B1130" s="2">
        <v>10676</v>
      </c>
      <c r="C1130" s="2">
        <v>193</v>
      </c>
      <c r="D1130" s="2">
        <v>26</v>
      </c>
      <c r="E1130" s="2">
        <v>3</v>
      </c>
      <c r="F1130" s="2">
        <v>7</v>
      </c>
    </row>
    <row r="1131" spans="1:6" ht="12.5">
      <c r="A1131" s="2">
        <v>1910</v>
      </c>
      <c r="B1131" s="2">
        <v>5832</v>
      </c>
      <c r="C1131" s="2">
        <v>183</v>
      </c>
      <c r="D1131" s="2">
        <v>23</v>
      </c>
      <c r="E1131" s="2">
        <v>3</v>
      </c>
      <c r="F1131" s="2">
        <v>13</v>
      </c>
    </row>
    <row r="1132" spans="1:6" ht="12.5">
      <c r="A1132" s="2">
        <v>790</v>
      </c>
      <c r="B1132" s="2">
        <v>6543</v>
      </c>
      <c r="C1132" s="2">
        <v>168</v>
      </c>
      <c r="D1132" s="2">
        <v>76</v>
      </c>
      <c r="E1132" s="2">
        <v>3</v>
      </c>
      <c r="F1132" s="2">
        <v>4</v>
      </c>
    </row>
    <row r="1133" spans="1:6" ht="12.5">
      <c r="A1133" s="2">
        <v>168</v>
      </c>
      <c r="B1133" s="2">
        <v>6637</v>
      </c>
      <c r="C1133" s="2">
        <v>162</v>
      </c>
      <c r="D1133" s="2">
        <v>76</v>
      </c>
      <c r="E1133" s="2">
        <v>3</v>
      </c>
      <c r="F1133" s="2">
        <v>7</v>
      </c>
    </row>
    <row r="1134" spans="1:6" ht="12.5">
      <c r="A1134" s="2">
        <v>243</v>
      </c>
      <c r="B1134" s="2">
        <v>9529</v>
      </c>
      <c r="C1134" s="2">
        <v>153</v>
      </c>
      <c r="D1134" s="2">
        <v>13</v>
      </c>
      <c r="E1134" s="2">
        <v>3</v>
      </c>
      <c r="F1134" s="2">
        <v>9</v>
      </c>
    </row>
    <row r="1135" spans="1:6" ht="12.5">
      <c r="A1135" s="2">
        <v>1451</v>
      </c>
      <c r="B1135" s="2">
        <v>6652</v>
      </c>
      <c r="C1135" s="2">
        <v>151</v>
      </c>
      <c r="D1135" s="2">
        <v>54</v>
      </c>
      <c r="E1135" s="2">
        <v>3</v>
      </c>
      <c r="F1135" s="2">
        <v>9</v>
      </c>
    </row>
    <row r="1136" spans="1:6" ht="12.5">
      <c r="A1136" s="2">
        <v>1733</v>
      </c>
      <c r="B1136" s="2">
        <v>10129</v>
      </c>
      <c r="C1136" s="2">
        <v>147</v>
      </c>
      <c r="D1136" s="2">
        <v>107</v>
      </c>
      <c r="E1136" s="2">
        <v>3</v>
      </c>
      <c r="F1136" s="2">
        <v>12</v>
      </c>
    </row>
    <row r="1137" spans="1:6" ht="12.5">
      <c r="A1137" s="2">
        <v>727</v>
      </c>
      <c r="B1137" s="2">
        <v>437</v>
      </c>
      <c r="C1137" s="2">
        <v>142</v>
      </c>
      <c r="D1137" s="2">
        <v>58</v>
      </c>
      <c r="E1137" s="2">
        <v>3</v>
      </c>
      <c r="F1137" s="2">
        <v>11</v>
      </c>
    </row>
    <row r="1138" spans="1:6" ht="12.5">
      <c r="A1138" s="2">
        <v>970</v>
      </c>
      <c r="B1138" s="2">
        <v>10981</v>
      </c>
      <c r="C1138" s="2">
        <v>137</v>
      </c>
      <c r="D1138" s="2">
        <v>137</v>
      </c>
      <c r="E1138" s="2">
        <v>3</v>
      </c>
      <c r="F1138" s="2">
        <v>10</v>
      </c>
    </row>
    <row r="1139" spans="1:6" ht="12.5">
      <c r="A1139" s="2">
        <v>1510</v>
      </c>
      <c r="B1139" s="2">
        <v>486</v>
      </c>
      <c r="C1139" s="2">
        <v>137</v>
      </c>
      <c r="D1139" s="2">
        <v>137</v>
      </c>
      <c r="E1139" s="2">
        <v>3</v>
      </c>
      <c r="F1139" s="2">
        <v>10</v>
      </c>
    </row>
    <row r="1140" spans="1:6" ht="12.5">
      <c r="A1140" s="2">
        <v>126</v>
      </c>
      <c r="B1140" s="2">
        <v>11071</v>
      </c>
      <c r="C1140" s="2">
        <v>133</v>
      </c>
      <c r="D1140" s="2">
        <v>0</v>
      </c>
      <c r="E1140" s="2">
        <v>3</v>
      </c>
      <c r="F1140" s="2">
        <v>6</v>
      </c>
    </row>
    <row r="1141" spans="1:6" ht="12.5">
      <c r="A1141" s="2">
        <v>2096</v>
      </c>
      <c r="B1141" s="2">
        <v>7428</v>
      </c>
      <c r="C1141" s="2">
        <v>132</v>
      </c>
      <c r="D1141" s="2">
        <v>192</v>
      </c>
      <c r="E1141" s="2">
        <v>3</v>
      </c>
      <c r="F1141" s="2">
        <v>8</v>
      </c>
    </row>
    <row r="1142" spans="1:6" ht="12.5">
      <c r="A1142" s="2">
        <v>1695</v>
      </c>
      <c r="B1142" s="2">
        <v>550</v>
      </c>
      <c r="C1142" s="2">
        <v>131</v>
      </c>
      <c r="D1142" s="2">
        <v>6</v>
      </c>
      <c r="E1142" s="2">
        <v>3</v>
      </c>
      <c r="F1142" s="2">
        <v>13</v>
      </c>
    </row>
    <row r="1143" spans="1:6" ht="12.5">
      <c r="A1143" s="2">
        <v>277</v>
      </c>
      <c r="B1143" s="2">
        <v>7828</v>
      </c>
      <c r="C1143" s="2">
        <v>129</v>
      </c>
      <c r="D1143" s="2">
        <v>22</v>
      </c>
      <c r="E1143" s="2">
        <v>3</v>
      </c>
      <c r="F1143" s="2">
        <v>5</v>
      </c>
    </row>
    <row r="1144" spans="1:6" ht="12.5">
      <c r="A1144" s="2">
        <v>592</v>
      </c>
      <c r="B1144" s="2">
        <v>4501</v>
      </c>
      <c r="C1144" s="2">
        <v>127</v>
      </c>
      <c r="D1144" s="2">
        <v>127</v>
      </c>
      <c r="E1144" s="2">
        <v>3</v>
      </c>
      <c r="F1144" s="2">
        <v>9</v>
      </c>
    </row>
    <row r="1145" spans="1:6" ht="12.5">
      <c r="A1145" s="2">
        <v>1179</v>
      </c>
      <c r="B1145" s="2">
        <v>5735</v>
      </c>
      <c r="C1145" s="2">
        <v>120</v>
      </c>
      <c r="D1145" s="2">
        <v>144</v>
      </c>
      <c r="E1145" s="2">
        <v>3</v>
      </c>
      <c r="F1145" s="2">
        <v>10</v>
      </c>
    </row>
    <row r="1146" spans="1:6" ht="12.5">
      <c r="A1146" s="2">
        <v>1572</v>
      </c>
      <c r="B1146" s="2">
        <v>5350</v>
      </c>
      <c r="C1146" s="2">
        <v>120</v>
      </c>
      <c r="D1146" s="2">
        <v>144</v>
      </c>
      <c r="E1146" s="2">
        <v>3</v>
      </c>
      <c r="F1146" s="2">
        <v>10</v>
      </c>
    </row>
    <row r="1147" spans="1:6" ht="12.5">
      <c r="A1147" s="2">
        <v>1877</v>
      </c>
      <c r="B1147" s="2">
        <v>1399</v>
      </c>
      <c r="C1147" s="2">
        <v>114</v>
      </c>
      <c r="D1147" s="2">
        <v>165</v>
      </c>
      <c r="E1147" s="2">
        <v>3</v>
      </c>
      <c r="F1147" s="2">
        <v>9</v>
      </c>
    </row>
    <row r="1148" spans="1:6" ht="12.5">
      <c r="A1148" s="2">
        <v>1452</v>
      </c>
      <c r="B1148" s="2">
        <v>6246</v>
      </c>
      <c r="C1148" s="2">
        <v>102</v>
      </c>
      <c r="D1148" s="2">
        <v>58</v>
      </c>
      <c r="E1148" s="2">
        <v>3</v>
      </c>
      <c r="F1148" s="2">
        <v>8</v>
      </c>
    </row>
    <row r="1149" spans="1:6" ht="12.5">
      <c r="A1149" s="2">
        <v>942</v>
      </c>
      <c r="B1149" s="2">
        <v>6810</v>
      </c>
      <c r="C1149" s="2">
        <v>98</v>
      </c>
      <c r="D1149" s="2">
        <v>70</v>
      </c>
      <c r="E1149" s="2">
        <v>3</v>
      </c>
      <c r="F1149" s="2">
        <v>6</v>
      </c>
    </row>
    <row r="1150" spans="1:6" ht="12.5">
      <c r="A1150" s="2">
        <v>905</v>
      </c>
      <c r="B1150" s="2">
        <v>11074</v>
      </c>
      <c r="C1150" s="2">
        <v>92</v>
      </c>
      <c r="D1150" s="2">
        <v>11</v>
      </c>
      <c r="E1150" s="2">
        <v>3</v>
      </c>
      <c r="F1150" s="2">
        <v>10</v>
      </c>
    </row>
    <row r="1151" spans="1:6" ht="12.5">
      <c r="A1151" s="2">
        <v>1828</v>
      </c>
      <c r="B1151" s="2">
        <v>4687</v>
      </c>
      <c r="C1151" s="2">
        <v>92</v>
      </c>
      <c r="D1151" s="2">
        <v>0</v>
      </c>
      <c r="E1151" s="2">
        <v>3</v>
      </c>
      <c r="F1151" s="2">
        <v>9</v>
      </c>
    </row>
    <row r="1152" spans="1:6" ht="12.5">
      <c r="A1152" s="2">
        <v>353</v>
      </c>
      <c r="B1152" s="2">
        <v>11056</v>
      </c>
      <c r="C1152" s="2">
        <v>91</v>
      </c>
      <c r="D1152" s="2">
        <v>0</v>
      </c>
      <c r="E1152" s="2">
        <v>3</v>
      </c>
      <c r="F1152" s="2">
        <v>10</v>
      </c>
    </row>
    <row r="1153" spans="1:6" ht="12.5">
      <c r="A1153" s="2">
        <v>846</v>
      </c>
      <c r="B1153" s="2">
        <v>10343</v>
      </c>
      <c r="C1153" s="2">
        <v>91</v>
      </c>
      <c r="D1153" s="2">
        <v>45</v>
      </c>
      <c r="E1153" s="2">
        <v>3</v>
      </c>
      <c r="F1153" s="2">
        <v>8</v>
      </c>
    </row>
    <row r="1154" spans="1:6" ht="12.5">
      <c r="A1154" s="2">
        <v>228</v>
      </c>
      <c r="B1154" s="2">
        <v>460</v>
      </c>
      <c r="C1154" s="2">
        <v>86</v>
      </c>
      <c r="D1154" s="2">
        <v>51</v>
      </c>
      <c r="E1154" s="2">
        <v>3</v>
      </c>
      <c r="F1154" s="2">
        <v>8</v>
      </c>
    </row>
    <row r="1155" spans="1:6" ht="12.5">
      <c r="A1155" s="2">
        <v>266</v>
      </c>
      <c r="B1155" s="2">
        <v>1225</v>
      </c>
      <c r="C1155" s="2">
        <v>84</v>
      </c>
      <c r="D1155" s="2">
        <v>84</v>
      </c>
      <c r="E1155" s="2">
        <v>3</v>
      </c>
      <c r="F1155" s="2">
        <v>8</v>
      </c>
    </row>
    <row r="1156" spans="1:6" ht="12.5">
      <c r="A1156" s="2">
        <v>463</v>
      </c>
      <c r="B1156" s="2">
        <v>7059</v>
      </c>
      <c r="C1156" s="2">
        <v>84</v>
      </c>
      <c r="D1156" s="2">
        <v>84</v>
      </c>
      <c r="E1156" s="2">
        <v>3</v>
      </c>
      <c r="F1156" s="2">
        <v>8</v>
      </c>
    </row>
    <row r="1157" spans="1:6" ht="12.5">
      <c r="A1157" s="2">
        <v>1537</v>
      </c>
      <c r="B1157" s="2">
        <v>10530</v>
      </c>
      <c r="C1157" s="2">
        <v>82</v>
      </c>
      <c r="D1157" s="2">
        <v>20</v>
      </c>
      <c r="E1157" s="2">
        <v>3</v>
      </c>
      <c r="F1157" s="2">
        <v>6</v>
      </c>
    </row>
    <row r="1158" spans="1:6" ht="12.5">
      <c r="A1158" s="2">
        <v>1097</v>
      </c>
      <c r="B1158" s="2">
        <v>10245</v>
      </c>
      <c r="C1158" s="2">
        <v>80</v>
      </c>
      <c r="D1158" s="2">
        <v>39</v>
      </c>
      <c r="E1158" s="2">
        <v>3</v>
      </c>
      <c r="F1158" s="2">
        <v>8</v>
      </c>
    </row>
    <row r="1159" spans="1:6" ht="12.5">
      <c r="A1159" s="2">
        <v>1158</v>
      </c>
      <c r="B1159" s="2">
        <v>7959</v>
      </c>
      <c r="C1159" s="2">
        <v>80</v>
      </c>
      <c r="D1159" s="2">
        <v>13</v>
      </c>
      <c r="E1159" s="2">
        <v>3</v>
      </c>
      <c r="F1159" s="2">
        <v>5</v>
      </c>
    </row>
    <row r="1160" spans="1:6" ht="12.5">
      <c r="A1160" s="2">
        <v>1968</v>
      </c>
      <c r="B1160" s="2">
        <v>8537</v>
      </c>
      <c r="C1160" s="2">
        <v>80</v>
      </c>
      <c r="D1160" s="2">
        <v>94</v>
      </c>
      <c r="E1160" s="2">
        <v>3</v>
      </c>
      <c r="F1160" s="2">
        <v>7</v>
      </c>
    </row>
    <row r="1161" spans="1:6" ht="12.5">
      <c r="A1161" s="2">
        <v>1637</v>
      </c>
      <c r="B1161" s="2">
        <v>10711</v>
      </c>
      <c r="C1161" s="2">
        <v>77</v>
      </c>
      <c r="D1161" s="2">
        <v>23</v>
      </c>
      <c r="E1161" s="2">
        <v>3</v>
      </c>
      <c r="F1161" s="2">
        <v>12</v>
      </c>
    </row>
    <row r="1162" spans="1:6" ht="12.5">
      <c r="A1162" s="2">
        <v>104</v>
      </c>
      <c r="B1162" s="2">
        <v>8908</v>
      </c>
      <c r="C1162" s="2">
        <v>76</v>
      </c>
      <c r="D1162" s="2">
        <v>26</v>
      </c>
      <c r="E1162" s="2">
        <v>3</v>
      </c>
      <c r="F1162" s="2">
        <v>5</v>
      </c>
    </row>
    <row r="1163" spans="1:6" ht="12.5">
      <c r="A1163" s="2">
        <v>268</v>
      </c>
      <c r="B1163" s="2">
        <v>291</v>
      </c>
      <c r="C1163" s="2">
        <v>74</v>
      </c>
      <c r="D1163" s="2">
        <v>149</v>
      </c>
      <c r="E1163" s="2">
        <v>3</v>
      </c>
      <c r="F1163" s="2">
        <v>6</v>
      </c>
    </row>
    <row r="1164" spans="1:6" ht="12.5">
      <c r="A1164" s="2">
        <v>1626</v>
      </c>
      <c r="B1164" s="2">
        <v>8041</v>
      </c>
      <c r="C1164" s="2">
        <v>71</v>
      </c>
      <c r="D1164" s="2">
        <v>112</v>
      </c>
      <c r="E1164" s="2">
        <v>3</v>
      </c>
      <c r="F1164" s="2">
        <v>10</v>
      </c>
    </row>
    <row r="1165" spans="1:6" ht="12.5">
      <c r="A1165" s="2">
        <v>507</v>
      </c>
      <c r="B1165" s="2">
        <v>6071</v>
      </c>
      <c r="C1165" s="2">
        <v>70</v>
      </c>
      <c r="D1165" s="2">
        <v>40</v>
      </c>
      <c r="E1165" s="2">
        <v>3</v>
      </c>
      <c r="F1165" s="2">
        <v>11</v>
      </c>
    </row>
    <row r="1166" spans="1:6" ht="12.5">
      <c r="A1166" s="2">
        <v>1689</v>
      </c>
      <c r="B1166" s="2">
        <v>295</v>
      </c>
      <c r="C1166" s="2">
        <v>70</v>
      </c>
      <c r="D1166" s="2">
        <v>40</v>
      </c>
      <c r="E1166" s="2">
        <v>3</v>
      </c>
      <c r="F1166" s="2">
        <v>11</v>
      </c>
    </row>
    <row r="1167" spans="1:6" ht="12.5">
      <c r="A1167" s="2">
        <v>423</v>
      </c>
      <c r="B1167" s="2">
        <v>1361</v>
      </c>
      <c r="C1167" s="2">
        <v>68</v>
      </c>
      <c r="D1167" s="2">
        <v>91</v>
      </c>
      <c r="E1167" s="2">
        <v>3</v>
      </c>
      <c r="F1167" s="2">
        <v>8</v>
      </c>
    </row>
    <row r="1168" spans="1:6" ht="12.5">
      <c r="A1168" s="2">
        <v>2134</v>
      </c>
      <c r="B1168" s="2">
        <v>4369</v>
      </c>
      <c r="C1168" s="2">
        <v>67</v>
      </c>
      <c r="D1168" s="2">
        <v>0</v>
      </c>
      <c r="E1168" s="2">
        <v>3</v>
      </c>
      <c r="F1168" s="2">
        <v>6</v>
      </c>
    </row>
    <row r="1169" spans="1:6" ht="12.5">
      <c r="A1169" s="2">
        <v>2188</v>
      </c>
      <c r="B1169" s="2">
        <v>10652</v>
      </c>
      <c r="C1169" s="2">
        <v>67</v>
      </c>
      <c r="D1169" s="2">
        <v>0</v>
      </c>
      <c r="E1169" s="2">
        <v>3</v>
      </c>
      <c r="F1169" s="2">
        <v>6</v>
      </c>
    </row>
    <row r="1170" spans="1:6" ht="12.5">
      <c r="A1170" s="2">
        <v>841</v>
      </c>
      <c r="B1170" s="2">
        <v>368</v>
      </c>
      <c r="C1170" s="2">
        <v>65</v>
      </c>
      <c r="D1170" s="2">
        <v>44</v>
      </c>
      <c r="E1170" s="2">
        <v>3</v>
      </c>
      <c r="F1170" s="2">
        <v>6</v>
      </c>
    </row>
    <row r="1171" spans="1:6" ht="12.5">
      <c r="A1171" s="2">
        <v>357</v>
      </c>
      <c r="B1171" s="2">
        <v>6184</v>
      </c>
      <c r="C1171" s="2">
        <v>64</v>
      </c>
      <c r="D1171" s="2">
        <v>128</v>
      </c>
      <c r="E1171" s="2">
        <v>3</v>
      </c>
      <c r="F1171" s="2">
        <v>8</v>
      </c>
    </row>
    <row r="1172" spans="1:6" ht="12.5">
      <c r="A1172" s="2">
        <v>12</v>
      </c>
      <c r="B1172" s="2">
        <v>2125</v>
      </c>
      <c r="C1172" s="2">
        <v>61</v>
      </c>
      <c r="D1172" s="2">
        <v>112</v>
      </c>
      <c r="E1172" s="2">
        <v>3</v>
      </c>
      <c r="F1172" s="2">
        <v>8</v>
      </c>
    </row>
    <row r="1173" spans="1:6" ht="12.5">
      <c r="A1173" s="2">
        <v>915</v>
      </c>
      <c r="B1173" s="2">
        <v>9308</v>
      </c>
      <c r="C1173" s="2">
        <v>61</v>
      </c>
      <c r="D1173" s="2">
        <v>61</v>
      </c>
      <c r="E1173" s="2">
        <v>3</v>
      </c>
      <c r="F1173" s="2">
        <v>6</v>
      </c>
    </row>
    <row r="1174" spans="1:6" ht="12.5">
      <c r="A1174" s="2">
        <v>1905</v>
      </c>
      <c r="B1174" s="2">
        <v>544</v>
      </c>
      <c r="C1174" s="2">
        <v>61</v>
      </c>
      <c r="D1174" s="2">
        <v>61</v>
      </c>
      <c r="E1174" s="2">
        <v>3</v>
      </c>
      <c r="F1174" s="2">
        <v>6</v>
      </c>
    </row>
    <row r="1175" spans="1:6" ht="12.5">
      <c r="A1175" s="2">
        <v>1927</v>
      </c>
      <c r="B1175" s="2">
        <v>2181</v>
      </c>
      <c r="C1175" s="2">
        <v>61</v>
      </c>
      <c r="D1175" s="2">
        <v>46</v>
      </c>
      <c r="E1175" s="2">
        <v>3</v>
      </c>
      <c r="F1175" s="2">
        <v>7</v>
      </c>
    </row>
    <row r="1176" spans="1:6" ht="12.5">
      <c r="A1176" s="2">
        <v>1587</v>
      </c>
      <c r="B1176" s="2">
        <v>2471</v>
      </c>
      <c r="C1176" s="2">
        <v>58</v>
      </c>
      <c r="D1176" s="2">
        <v>66</v>
      </c>
      <c r="E1176" s="2">
        <v>3</v>
      </c>
      <c r="F1176" s="2">
        <v>6</v>
      </c>
    </row>
    <row r="1177" spans="1:6" ht="12.5">
      <c r="A1177" s="2">
        <v>885</v>
      </c>
      <c r="B1177" s="2">
        <v>4597</v>
      </c>
      <c r="C1177" s="2">
        <v>55</v>
      </c>
      <c r="D1177" s="2">
        <v>92</v>
      </c>
      <c r="E1177" s="2">
        <v>3</v>
      </c>
      <c r="F1177" s="2">
        <v>13</v>
      </c>
    </row>
    <row r="1178" spans="1:6" ht="12.5">
      <c r="A1178" s="2">
        <v>808</v>
      </c>
      <c r="B1178" s="2">
        <v>2350</v>
      </c>
      <c r="C1178" s="2">
        <v>53</v>
      </c>
      <c r="D1178" s="2">
        <v>17</v>
      </c>
      <c r="E1178" s="2">
        <v>3</v>
      </c>
      <c r="F1178" s="2">
        <v>8</v>
      </c>
    </row>
    <row r="1179" spans="1:6" ht="12.5">
      <c r="A1179" s="2">
        <v>55</v>
      </c>
      <c r="B1179" s="2">
        <v>6260</v>
      </c>
      <c r="C1179" s="2">
        <v>51</v>
      </c>
      <c r="D1179" s="2">
        <v>120</v>
      </c>
      <c r="E1179" s="2">
        <v>3</v>
      </c>
      <c r="F1179" s="2">
        <v>13</v>
      </c>
    </row>
    <row r="1180" spans="1:6" ht="12.5">
      <c r="A1180" s="2">
        <v>766</v>
      </c>
      <c r="B1180" s="2">
        <v>5331</v>
      </c>
      <c r="C1180" s="2">
        <v>51</v>
      </c>
      <c r="D1180" s="2">
        <v>0</v>
      </c>
      <c r="E1180" s="2">
        <v>3</v>
      </c>
      <c r="F1180" s="2">
        <v>7</v>
      </c>
    </row>
    <row r="1181" spans="1:6" ht="12.5">
      <c r="A1181" s="2">
        <v>844</v>
      </c>
      <c r="B1181" s="2">
        <v>5332</v>
      </c>
      <c r="C1181" s="2">
        <v>50</v>
      </c>
      <c r="D1181" s="2">
        <v>35</v>
      </c>
      <c r="E1181" s="2">
        <v>3</v>
      </c>
      <c r="F1181" s="2">
        <v>7</v>
      </c>
    </row>
    <row r="1182" spans="1:6" ht="12.5">
      <c r="A1182" s="2">
        <v>1796</v>
      </c>
      <c r="B1182" s="2">
        <v>7002</v>
      </c>
      <c r="C1182" s="2">
        <v>48</v>
      </c>
      <c r="D1182" s="2">
        <v>45</v>
      </c>
      <c r="E1182" s="2">
        <v>3</v>
      </c>
      <c r="F1182" s="2">
        <v>8</v>
      </c>
    </row>
    <row r="1183" spans="1:6" ht="12.5">
      <c r="A1183" s="2">
        <v>1841</v>
      </c>
      <c r="B1183" s="2">
        <v>6906</v>
      </c>
      <c r="C1183" s="2">
        <v>48</v>
      </c>
      <c r="D1183" s="2">
        <v>72</v>
      </c>
      <c r="E1183" s="2">
        <v>3</v>
      </c>
      <c r="F1183" s="2">
        <v>4</v>
      </c>
    </row>
    <row r="1184" spans="1:6" ht="12.5">
      <c r="A1184" s="2">
        <v>253</v>
      </c>
      <c r="B1184" s="2">
        <v>2227</v>
      </c>
      <c r="C1184" s="2">
        <v>47</v>
      </c>
      <c r="D1184" s="2">
        <v>20</v>
      </c>
      <c r="E1184" s="2">
        <v>3</v>
      </c>
      <c r="F1184" s="2">
        <v>5</v>
      </c>
    </row>
    <row r="1185" spans="1:6" ht="12.5">
      <c r="A1185" s="2">
        <v>657</v>
      </c>
      <c r="B1185" s="2">
        <v>946</v>
      </c>
      <c r="C1185" s="2">
        <v>47</v>
      </c>
      <c r="D1185" s="2">
        <v>20</v>
      </c>
      <c r="E1185" s="2">
        <v>3</v>
      </c>
      <c r="F1185" s="2">
        <v>5</v>
      </c>
    </row>
    <row r="1186" spans="1:6" ht="12.5">
      <c r="A1186" s="2">
        <v>546</v>
      </c>
      <c r="B1186" s="2">
        <v>10955</v>
      </c>
      <c r="C1186" s="2">
        <v>46</v>
      </c>
      <c r="D1186" s="2">
        <v>107</v>
      </c>
      <c r="E1186" s="2">
        <v>3</v>
      </c>
      <c r="F1186" s="2">
        <v>4</v>
      </c>
    </row>
    <row r="1187" spans="1:6" ht="12.5">
      <c r="A1187" s="2">
        <v>631</v>
      </c>
      <c r="B1187" s="2">
        <v>9624</v>
      </c>
      <c r="C1187" s="2">
        <v>45</v>
      </c>
      <c r="D1187" s="2">
        <v>18</v>
      </c>
      <c r="E1187" s="2">
        <v>3</v>
      </c>
      <c r="F1187" s="2">
        <v>6</v>
      </c>
    </row>
    <row r="1188" spans="1:6" ht="12.5">
      <c r="A1188" s="2">
        <v>1220</v>
      </c>
      <c r="B1188" s="2">
        <v>10395</v>
      </c>
      <c r="C1188" s="2">
        <v>45</v>
      </c>
      <c r="D1188" s="2">
        <v>6</v>
      </c>
      <c r="E1188" s="2">
        <v>3</v>
      </c>
      <c r="F1188" s="2">
        <v>3</v>
      </c>
    </row>
    <row r="1189" spans="1:6" ht="12.5">
      <c r="A1189" s="2">
        <v>1316</v>
      </c>
      <c r="B1189" s="2">
        <v>4554</v>
      </c>
      <c r="C1189" s="2">
        <v>45</v>
      </c>
      <c r="D1189" s="2">
        <v>10</v>
      </c>
      <c r="E1189" s="2">
        <v>3</v>
      </c>
      <c r="F1189" s="2">
        <v>8</v>
      </c>
    </row>
    <row r="1190" spans="1:6" ht="12.5">
      <c r="A1190" s="2">
        <v>1945</v>
      </c>
      <c r="B1190" s="2">
        <v>10868</v>
      </c>
      <c r="C1190" s="2">
        <v>45</v>
      </c>
      <c r="D1190" s="2">
        <v>11</v>
      </c>
      <c r="E1190" s="2">
        <v>3</v>
      </c>
      <c r="F1190" s="2">
        <v>10</v>
      </c>
    </row>
    <row r="1191" spans="1:6" ht="12.5">
      <c r="A1191" s="2">
        <v>270</v>
      </c>
      <c r="B1191" s="2">
        <v>2379</v>
      </c>
      <c r="C1191" s="2">
        <v>44</v>
      </c>
      <c r="D1191" s="2">
        <v>73</v>
      </c>
      <c r="E1191" s="2">
        <v>3</v>
      </c>
      <c r="F1191" s="2">
        <v>5</v>
      </c>
    </row>
    <row r="1192" spans="1:6" ht="12.5">
      <c r="A1192" s="2">
        <v>1055</v>
      </c>
      <c r="B1192" s="2">
        <v>7290</v>
      </c>
      <c r="C1192" s="2">
        <v>44</v>
      </c>
      <c r="D1192" s="2">
        <v>0</v>
      </c>
      <c r="E1192" s="2">
        <v>3</v>
      </c>
      <c r="F1192" s="2">
        <v>12</v>
      </c>
    </row>
    <row r="1193" spans="1:6" ht="12.5">
      <c r="A1193" s="2">
        <v>1069</v>
      </c>
      <c r="B1193" s="2">
        <v>2875</v>
      </c>
      <c r="C1193" s="2">
        <v>44</v>
      </c>
      <c r="D1193" s="2">
        <v>8</v>
      </c>
      <c r="E1193" s="2">
        <v>3</v>
      </c>
      <c r="F1193" s="2">
        <v>13</v>
      </c>
    </row>
    <row r="1194" spans="1:6" ht="12.5">
      <c r="A1194" s="2">
        <v>1772</v>
      </c>
      <c r="B1194" s="2">
        <v>8895</v>
      </c>
      <c r="C1194" s="2">
        <v>44</v>
      </c>
      <c r="D1194" s="2">
        <v>0</v>
      </c>
      <c r="E1194" s="2">
        <v>3</v>
      </c>
      <c r="F1194" s="2">
        <v>12</v>
      </c>
    </row>
    <row r="1195" spans="1:6" ht="12.5">
      <c r="A1195" s="2">
        <v>1005</v>
      </c>
      <c r="B1195" s="2">
        <v>7453</v>
      </c>
      <c r="C1195" s="2">
        <v>43</v>
      </c>
      <c r="D1195" s="2">
        <v>56</v>
      </c>
      <c r="E1195" s="2">
        <v>3</v>
      </c>
      <c r="F1195" s="2">
        <v>4</v>
      </c>
    </row>
    <row r="1196" spans="1:6" ht="12.5">
      <c r="A1196" s="2">
        <v>2118</v>
      </c>
      <c r="B1196" s="2">
        <v>6262</v>
      </c>
      <c r="C1196" s="2">
        <v>42</v>
      </c>
      <c r="D1196" s="2">
        <v>56</v>
      </c>
      <c r="E1196" s="2">
        <v>3</v>
      </c>
      <c r="F1196" s="2">
        <v>8</v>
      </c>
    </row>
    <row r="1197" spans="1:6" ht="12.5">
      <c r="A1197" s="2">
        <v>688</v>
      </c>
      <c r="B1197" s="2">
        <v>10767</v>
      </c>
      <c r="C1197" s="2">
        <v>40</v>
      </c>
      <c r="D1197" s="2">
        <v>40</v>
      </c>
      <c r="E1197" s="2">
        <v>3</v>
      </c>
      <c r="F1197" s="2">
        <v>12</v>
      </c>
    </row>
    <row r="1198" spans="1:6" ht="12.5">
      <c r="A1198" s="2">
        <v>715</v>
      </c>
      <c r="B1198" s="2">
        <v>10479</v>
      </c>
      <c r="C1198" s="2">
        <v>40</v>
      </c>
      <c r="D1198" s="2">
        <v>160</v>
      </c>
      <c r="E1198" s="2">
        <v>3</v>
      </c>
      <c r="F1198" s="2">
        <v>5</v>
      </c>
    </row>
    <row r="1199" spans="1:6" ht="12.5">
      <c r="A1199" s="2">
        <v>1169</v>
      </c>
      <c r="B1199" s="2">
        <v>2410</v>
      </c>
      <c r="C1199" s="2">
        <v>40</v>
      </c>
      <c r="D1199" s="2">
        <v>60</v>
      </c>
      <c r="E1199" s="2">
        <v>3</v>
      </c>
      <c r="F1199" s="2">
        <v>8</v>
      </c>
    </row>
    <row r="1200" spans="1:6" ht="12.5">
      <c r="A1200" s="2">
        <v>1314</v>
      </c>
      <c r="B1200" s="2">
        <v>8789</v>
      </c>
      <c r="C1200" s="2">
        <v>40</v>
      </c>
      <c r="D1200" s="2">
        <v>40</v>
      </c>
      <c r="E1200" s="2">
        <v>3</v>
      </c>
      <c r="F1200" s="2">
        <v>7</v>
      </c>
    </row>
    <row r="1201" spans="1:6" ht="12.5">
      <c r="A1201" s="2">
        <v>1117</v>
      </c>
      <c r="B1201" s="2">
        <v>1175</v>
      </c>
      <c r="C1201" s="2">
        <v>39</v>
      </c>
      <c r="D1201" s="2">
        <v>28</v>
      </c>
      <c r="E1201" s="2">
        <v>3</v>
      </c>
      <c r="F1201" s="2">
        <v>3</v>
      </c>
    </row>
    <row r="1202" spans="1:6" ht="12.5">
      <c r="A1202" s="2">
        <v>1651</v>
      </c>
      <c r="B1202" s="2">
        <v>8395</v>
      </c>
      <c r="C1202" s="2">
        <v>37</v>
      </c>
      <c r="D1202" s="2">
        <v>163</v>
      </c>
      <c r="E1202" s="2">
        <v>3</v>
      </c>
      <c r="F1202" s="2">
        <v>12</v>
      </c>
    </row>
    <row r="1203" spans="1:6" ht="12.5">
      <c r="A1203" s="2">
        <v>1534</v>
      </c>
      <c r="B1203" s="2">
        <v>3745</v>
      </c>
      <c r="C1203" s="2">
        <v>36</v>
      </c>
      <c r="D1203" s="2">
        <v>10</v>
      </c>
      <c r="E1203" s="2">
        <v>3</v>
      </c>
      <c r="F1203" s="2">
        <v>3</v>
      </c>
    </row>
    <row r="1204" spans="1:6" ht="12.5">
      <c r="A1204" s="2">
        <v>34</v>
      </c>
      <c r="B1204" s="2">
        <v>8755</v>
      </c>
      <c r="C1204" s="2">
        <v>34</v>
      </c>
      <c r="D1204" s="2">
        <v>68</v>
      </c>
      <c r="E1204" s="2">
        <v>3</v>
      </c>
      <c r="F1204" s="2">
        <v>9</v>
      </c>
    </row>
    <row r="1205" spans="1:6" ht="12.5">
      <c r="A1205" s="2">
        <v>1809</v>
      </c>
      <c r="B1205" s="2">
        <v>1990</v>
      </c>
      <c r="C1205" s="2">
        <v>34</v>
      </c>
      <c r="D1205" s="2">
        <v>86</v>
      </c>
      <c r="E1205" s="2">
        <v>3</v>
      </c>
      <c r="F1205" s="2">
        <v>8</v>
      </c>
    </row>
    <row r="1206" spans="1:6" ht="12.5">
      <c r="A1206" s="2">
        <v>1951</v>
      </c>
      <c r="B1206" s="2">
        <v>2162</v>
      </c>
      <c r="C1206" s="2">
        <v>34</v>
      </c>
      <c r="D1206" s="2">
        <v>29</v>
      </c>
      <c r="E1206" s="2">
        <v>3</v>
      </c>
      <c r="F1206" s="2">
        <v>10</v>
      </c>
    </row>
    <row r="1207" spans="1:6" ht="12.5">
      <c r="A1207" s="2">
        <v>125</v>
      </c>
      <c r="B1207" s="2">
        <v>1491</v>
      </c>
      <c r="C1207" s="2">
        <v>33</v>
      </c>
      <c r="D1207" s="2">
        <v>28</v>
      </c>
      <c r="E1207" s="2">
        <v>3</v>
      </c>
      <c r="F1207" s="2">
        <v>7</v>
      </c>
    </row>
    <row r="1208" spans="1:6" ht="12.5">
      <c r="A1208" s="2">
        <v>257</v>
      </c>
      <c r="B1208" s="2">
        <v>3406</v>
      </c>
      <c r="C1208" s="2">
        <v>33</v>
      </c>
      <c r="D1208" s="2">
        <v>24</v>
      </c>
      <c r="E1208" s="2">
        <v>3</v>
      </c>
      <c r="F1208" s="2">
        <v>7</v>
      </c>
    </row>
    <row r="1209" spans="1:6" ht="12.5">
      <c r="A1209" s="2">
        <v>602</v>
      </c>
      <c r="B1209" s="2">
        <v>7972</v>
      </c>
      <c r="C1209" s="2">
        <v>32</v>
      </c>
      <c r="D1209" s="2">
        <v>75</v>
      </c>
      <c r="E1209" s="2">
        <v>3</v>
      </c>
      <c r="F1209" s="2">
        <v>9</v>
      </c>
    </row>
    <row r="1210" spans="1:6" ht="12.5">
      <c r="A1210" s="2">
        <v>679</v>
      </c>
      <c r="B1210" s="2">
        <v>9596</v>
      </c>
      <c r="C1210" s="2">
        <v>32</v>
      </c>
      <c r="D1210" s="2">
        <v>110</v>
      </c>
      <c r="E1210" s="2">
        <v>3</v>
      </c>
      <c r="F1210" s="2">
        <v>13</v>
      </c>
    </row>
    <row r="1211" spans="1:6" ht="12.5">
      <c r="A1211" s="2">
        <v>703</v>
      </c>
      <c r="B1211" s="2">
        <v>8029</v>
      </c>
      <c r="C1211" s="2">
        <v>32</v>
      </c>
      <c r="D1211" s="2">
        <v>16</v>
      </c>
      <c r="E1211" s="2">
        <v>3</v>
      </c>
      <c r="F1211" s="2">
        <v>7</v>
      </c>
    </row>
    <row r="1212" spans="1:6" ht="12.5">
      <c r="A1212" s="2">
        <v>892</v>
      </c>
      <c r="B1212" s="2">
        <v>10925</v>
      </c>
      <c r="C1212" s="2">
        <v>31</v>
      </c>
      <c r="D1212" s="2">
        <v>56</v>
      </c>
      <c r="E1212" s="2">
        <v>3</v>
      </c>
      <c r="F1212" s="2">
        <v>11</v>
      </c>
    </row>
    <row r="1213" spans="1:6" ht="12.5">
      <c r="A1213" s="2">
        <v>2220</v>
      </c>
      <c r="B1213" s="2">
        <v>6261</v>
      </c>
      <c r="C1213" s="2">
        <v>31</v>
      </c>
      <c r="D1213" s="2">
        <v>48</v>
      </c>
      <c r="E1213" s="2">
        <v>3</v>
      </c>
      <c r="F1213" s="2">
        <v>10</v>
      </c>
    </row>
    <row r="1214" spans="1:6" ht="12.5">
      <c r="A1214" s="2">
        <v>594</v>
      </c>
      <c r="B1214" s="2">
        <v>3075</v>
      </c>
      <c r="C1214" s="2">
        <v>30</v>
      </c>
      <c r="D1214" s="2">
        <v>34</v>
      </c>
      <c r="E1214" s="2">
        <v>3</v>
      </c>
      <c r="F1214" s="2">
        <v>7</v>
      </c>
    </row>
    <row r="1215" spans="1:6" ht="12.5">
      <c r="A1215" s="2">
        <v>918</v>
      </c>
      <c r="B1215" s="2">
        <v>2625</v>
      </c>
      <c r="C1215" s="2">
        <v>29</v>
      </c>
      <c r="D1215" s="2">
        <v>32</v>
      </c>
      <c r="E1215" s="2">
        <v>3</v>
      </c>
      <c r="F1215" s="2">
        <v>7</v>
      </c>
    </row>
    <row r="1216" spans="1:6" ht="12.5">
      <c r="A1216" s="2">
        <v>554</v>
      </c>
      <c r="B1216" s="2">
        <v>9504</v>
      </c>
      <c r="C1216" s="2">
        <v>28</v>
      </c>
      <c r="D1216" s="2">
        <v>123</v>
      </c>
      <c r="E1216" s="2">
        <v>3</v>
      </c>
      <c r="F1216" s="2">
        <v>13</v>
      </c>
    </row>
    <row r="1217" spans="1:6" ht="12.5">
      <c r="A1217" s="2">
        <v>807</v>
      </c>
      <c r="B1217" s="2">
        <v>7352</v>
      </c>
      <c r="C1217" s="2">
        <v>28</v>
      </c>
      <c r="D1217" s="2">
        <v>3</v>
      </c>
      <c r="E1217" s="2">
        <v>3</v>
      </c>
      <c r="F1217" s="2">
        <v>6</v>
      </c>
    </row>
    <row r="1218" spans="1:6" ht="12.5">
      <c r="A1218" s="2">
        <v>910</v>
      </c>
      <c r="B1218" s="2">
        <v>7053</v>
      </c>
      <c r="C1218" s="2">
        <v>28</v>
      </c>
      <c r="D1218" s="2">
        <v>28</v>
      </c>
      <c r="E1218" s="2">
        <v>3</v>
      </c>
      <c r="F1218" s="2">
        <v>8</v>
      </c>
    </row>
    <row r="1219" spans="1:6" ht="12.5">
      <c r="A1219" s="2">
        <v>949</v>
      </c>
      <c r="B1219" s="2">
        <v>2882</v>
      </c>
      <c r="C1219" s="2">
        <v>28</v>
      </c>
      <c r="D1219" s="2">
        <v>18</v>
      </c>
      <c r="E1219" s="2">
        <v>3</v>
      </c>
      <c r="F1219" s="2">
        <v>9</v>
      </c>
    </row>
    <row r="1220" spans="1:6" ht="12.5">
      <c r="A1220" s="2">
        <v>1115</v>
      </c>
      <c r="B1220" s="2">
        <v>4356</v>
      </c>
      <c r="C1220" s="2">
        <v>28</v>
      </c>
      <c r="D1220" s="2">
        <v>14</v>
      </c>
      <c r="E1220" s="2">
        <v>3</v>
      </c>
      <c r="F1220" s="2">
        <v>5</v>
      </c>
    </row>
    <row r="1221" spans="1:6" ht="12.5">
      <c r="A1221" s="2">
        <v>60</v>
      </c>
      <c r="B1221" s="2">
        <v>6853</v>
      </c>
      <c r="C1221" s="2">
        <v>26</v>
      </c>
      <c r="D1221" s="2">
        <v>13</v>
      </c>
      <c r="E1221" s="2">
        <v>3</v>
      </c>
      <c r="F1221" s="2">
        <v>11</v>
      </c>
    </row>
    <row r="1222" spans="1:6" ht="12.5">
      <c r="A1222" s="2">
        <v>306</v>
      </c>
      <c r="B1222" s="2">
        <v>6609</v>
      </c>
      <c r="C1222" s="2">
        <v>26</v>
      </c>
      <c r="D1222" s="2">
        <v>23</v>
      </c>
      <c r="E1222" s="2">
        <v>3</v>
      </c>
      <c r="F1222" s="2">
        <v>3</v>
      </c>
    </row>
    <row r="1223" spans="1:6" ht="12.5">
      <c r="A1223" s="2">
        <v>1969</v>
      </c>
      <c r="B1223" s="2">
        <v>4331</v>
      </c>
      <c r="C1223" s="2">
        <v>26</v>
      </c>
      <c r="D1223" s="2">
        <v>26</v>
      </c>
      <c r="E1223" s="2">
        <v>3</v>
      </c>
      <c r="F1223" s="2">
        <v>11</v>
      </c>
    </row>
    <row r="1224" spans="1:6" ht="12.5">
      <c r="A1224" s="2">
        <v>2080</v>
      </c>
      <c r="B1224" s="2">
        <v>4643</v>
      </c>
      <c r="C1224" s="2">
        <v>26</v>
      </c>
      <c r="D1224" s="2">
        <v>9</v>
      </c>
      <c r="E1224" s="2">
        <v>3</v>
      </c>
      <c r="F1224" s="2">
        <v>4</v>
      </c>
    </row>
    <row r="1225" spans="1:6" ht="12.5">
      <c r="A1225" s="2">
        <v>2221</v>
      </c>
      <c r="B1225" s="2">
        <v>7366</v>
      </c>
      <c r="C1225" s="2">
        <v>26</v>
      </c>
      <c r="D1225" s="2">
        <v>13</v>
      </c>
      <c r="E1225" s="2">
        <v>3</v>
      </c>
      <c r="F1225" s="2">
        <v>11</v>
      </c>
    </row>
    <row r="1226" spans="1:6" ht="12.5">
      <c r="A1226" s="2">
        <v>611</v>
      </c>
      <c r="B1226" s="2">
        <v>4587</v>
      </c>
      <c r="C1226" s="2">
        <v>25</v>
      </c>
      <c r="D1226" s="2">
        <v>0</v>
      </c>
      <c r="E1226" s="2">
        <v>3</v>
      </c>
      <c r="F1226" s="2">
        <v>7</v>
      </c>
    </row>
    <row r="1227" spans="1:6" ht="12.5">
      <c r="A1227" s="2">
        <v>210</v>
      </c>
      <c r="B1227" s="2">
        <v>2677</v>
      </c>
      <c r="C1227" s="2">
        <v>24</v>
      </c>
      <c r="D1227" s="2">
        <v>4</v>
      </c>
      <c r="E1227" s="2">
        <v>3</v>
      </c>
      <c r="F1227" s="2">
        <v>6</v>
      </c>
    </row>
    <row r="1228" spans="1:6" ht="12.5">
      <c r="A1228" s="2">
        <v>378</v>
      </c>
      <c r="B1228" s="2">
        <v>1729</v>
      </c>
      <c r="C1228" s="2">
        <v>24</v>
      </c>
      <c r="D1228" s="2">
        <v>24</v>
      </c>
      <c r="E1228" s="2">
        <v>3</v>
      </c>
      <c r="F1228" s="2">
        <v>10</v>
      </c>
    </row>
    <row r="1229" spans="1:6" ht="12.5">
      <c r="A1229" s="2">
        <v>84</v>
      </c>
      <c r="B1229" s="2">
        <v>535</v>
      </c>
      <c r="C1229" s="2">
        <v>23</v>
      </c>
      <c r="D1229" s="2">
        <v>65</v>
      </c>
      <c r="E1229" s="2">
        <v>3</v>
      </c>
      <c r="F1229" s="2">
        <v>13</v>
      </c>
    </row>
    <row r="1230" spans="1:6" ht="12.5">
      <c r="A1230" s="2">
        <v>879</v>
      </c>
      <c r="B1230" s="2">
        <v>3270</v>
      </c>
      <c r="C1230" s="2">
        <v>23</v>
      </c>
      <c r="D1230" s="2">
        <v>18</v>
      </c>
      <c r="E1230" s="2">
        <v>3</v>
      </c>
      <c r="F1230" s="2">
        <v>3</v>
      </c>
    </row>
    <row r="1231" spans="1:6" ht="12.5">
      <c r="A1231" s="2">
        <v>1584</v>
      </c>
      <c r="B1231" s="2">
        <v>4608</v>
      </c>
      <c r="C1231" s="2">
        <v>23</v>
      </c>
      <c r="D1231" s="2">
        <v>65</v>
      </c>
      <c r="E1231" s="2">
        <v>3</v>
      </c>
      <c r="F1231" s="2">
        <v>13</v>
      </c>
    </row>
    <row r="1232" spans="1:6" ht="12.5">
      <c r="A1232" s="2">
        <v>410</v>
      </c>
      <c r="B1232" s="2">
        <v>7301</v>
      </c>
      <c r="C1232" s="2">
        <v>22</v>
      </c>
      <c r="D1232" s="2">
        <v>7</v>
      </c>
      <c r="E1232" s="2">
        <v>3</v>
      </c>
      <c r="F1232" s="2">
        <v>3</v>
      </c>
    </row>
    <row r="1233" spans="1:6" ht="12.5">
      <c r="A1233" s="2">
        <v>1792</v>
      </c>
      <c r="B1233" s="2">
        <v>7960</v>
      </c>
      <c r="C1233" s="2">
        <v>22</v>
      </c>
      <c r="D1233" s="2">
        <v>25</v>
      </c>
      <c r="E1233" s="2">
        <v>3</v>
      </c>
      <c r="F1233" s="2">
        <v>13</v>
      </c>
    </row>
    <row r="1234" spans="1:6" ht="12.5">
      <c r="A1234" s="2">
        <v>903</v>
      </c>
      <c r="B1234" s="2">
        <v>2727</v>
      </c>
      <c r="C1234" s="2">
        <v>21</v>
      </c>
      <c r="D1234" s="2">
        <v>3</v>
      </c>
      <c r="E1234" s="2">
        <v>3</v>
      </c>
      <c r="F1234" s="2">
        <v>6</v>
      </c>
    </row>
    <row r="1235" spans="1:6" ht="12.5">
      <c r="A1235" s="2">
        <v>1177</v>
      </c>
      <c r="B1235" s="2">
        <v>10669</v>
      </c>
      <c r="C1235" s="2">
        <v>21</v>
      </c>
      <c r="D1235" s="2">
        <v>21</v>
      </c>
      <c r="E1235" s="2">
        <v>3</v>
      </c>
      <c r="F1235" s="2">
        <v>10</v>
      </c>
    </row>
    <row r="1236" spans="1:6" ht="12.5">
      <c r="A1236" s="2">
        <v>1895</v>
      </c>
      <c r="B1236" s="2">
        <v>3578</v>
      </c>
      <c r="C1236" s="2">
        <v>21</v>
      </c>
      <c r="D1236" s="2">
        <v>10</v>
      </c>
      <c r="E1236" s="2">
        <v>3</v>
      </c>
      <c r="F1236" s="2">
        <v>6</v>
      </c>
    </row>
    <row r="1237" spans="1:6" ht="12.5">
      <c r="A1237" s="2">
        <v>492</v>
      </c>
      <c r="B1237" s="2">
        <v>10965</v>
      </c>
      <c r="C1237" s="2">
        <v>20</v>
      </c>
      <c r="D1237" s="2">
        <v>50</v>
      </c>
      <c r="E1237" s="2">
        <v>3</v>
      </c>
      <c r="F1237" s="2">
        <v>13</v>
      </c>
    </row>
    <row r="1238" spans="1:6" ht="12.5">
      <c r="A1238" s="2">
        <v>280</v>
      </c>
      <c r="B1238" s="2">
        <v>4669</v>
      </c>
      <c r="C1238" s="2">
        <v>19</v>
      </c>
      <c r="D1238" s="2">
        <v>25</v>
      </c>
      <c r="E1238" s="2">
        <v>3</v>
      </c>
      <c r="F1238" s="2">
        <v>4</v>
      </c>
    </row>
    <row r="1239" spans="1:6" ht="12.5">
      <c r="A1239" s="2">
        <v>916</v>
      </c>
      <c r="B1239" s="2">
        <v>10505</v>
      </c>
      <c r="C1239" s="2">
        <v>19</v>
      </c>
      <c r="D1239" s="2">
        <v>9</v>
      </c>
      <c r="E1239" s="2">
        <v>3</v>
      </c>
      <c r="F1239" s="2">
        <v>7</v>
      </c>
    </row>
    <row r="1240" spans="1:6" ht="12.5">
      <c r="A1240" s="2">
        <v>1443</v>
      </c>
      <c r="B1240" s="2">
        <v>4530</v>
      </c>
      <c r="C1240" s="2">
        <v>19</v>
      </c>
      <c r="D1240" s="2">
        <v>26</v>
      </c>
      <c r="E1240" s="2">
        <v>3</v>
      </c>
      <c r="F1240" s="2">
        <v>10</v>
      </c>
    </row>
    <row r="1241" spans="1:6" ht="12.5">
      <c r="A1241" s="2">
        <v>1742</v>
      </c>
      <c r="B1241" s="2">
        <v>263</v>
      </c>
      <c r="C1241" s="2">
        <v>19</v>
      </c>
      <c r="D1241" s="2">
        <v>14</v>
      </c>
      <c r="E1241" s="2">
        <v>3</v>
      </c>
      <c r="F1241" s="2">
        <v>3</v>
      </c>
    </row>
    <row r="1242" spans="1:6" ht="12.5">
      <c r="A1242" s="2">
        <v>1989</v>
      </c>
      <c r="B1242" s="2">
        <v>9797</v>
      </c>
      <c r="C1242" s="2">
        <v>19</v>
      </c>
      <c r="D1242" s="2">
        <v>11</v>
      </c>
      <c r="E1242" s="2">
        <v>3</v>
      </c>
      <c r="F1242" s="2">
        <v>8</v>
      </c>
    </row>
    <row r="1243" spans="1:6" ht="12.5">
      <c r="A1243" s="2">
        <v>46</v>
      </c>
      <c r="B1243" s="2">
        <v>9909</v>
      </c>
      <c r="C1243" s="2">
        <v>18</v>
      </c>
      <c r="D1243" s="2">
        <v>22</v>
      </c>
      <c r="E1243" s="2">
        <v>3</v>
      </c>
      <c r="F1243" s="2">
        <v>3</v>
      </c>
    </row>
    <row r="1244" spans="1:6" ht="12.5">
      <c r="A1244" s="2">
        <v>564</v>
      </c>
      <c r="B1244" s="2">
        <v>10232</v>
      </c>
      <c r="C1244" s="2">
        <v>18</v>
      </c>
      <c r="D1244" s="2">
        <v>6</v>
      </c>
      <c r="E1244" s="2">
        <v>3</v>
      </c>
      <c r="F1244" s="2">
        <v>7</v>
      </c>
    </row>
    <row r="1245" spans="1:6" ht="12.5">
      <c r="A1245" s="2">
        <v>628</v>
      </c>
      <c r="B1245" s="2">
        <v>3469</v>
      </c>
      <c r="C1245" s="2">
        <v>18</v>
      </c>
      <c r="D1245" s="2">
        <v>1</v>
      </c>
      <c r="E1245" s="2">
        <v>3</v>
      </c>
      <c r="F1245" s="2">
        <v>3</v>
      </c>
    </row>
    <row r="1246" spans="1:6" ht="12.5">
      <c r="A1246" s="2">
        <v>1624</v>
      </c>
      <c r="B1246" s="2">
        <v>7019</v>
      </c>
      <c r="C1246" s="2">
        <v>18</v>
      </c>
      <c r="D1246" s="2">
        <v>26</v>
      </c>
      <c r="E1246" s="2">
        <v>3</v>
      </c>
      <c r="F1246" s="2">
        <v>5</v>
      </c>
    </row>
    <row r="1247" spans="1:6" ht="12.5">
      <c r="A1247" s="2">
        <v>747</v>
      </c>
      <c r="B1247" s="2">
        <v>10548</v>
      </c>
      <c r="C1247" s="2">
        <v>17</v>
      </c>
      <c r="D1247" s="2">
        <v>106</v>
      </c>
      <c r="E1247" s="2">
        <v>3</v>
      </c>
      <c r="F1247" s="2">
        <v>12</v>
      </c>
    </row>
    <row r="1248" spans="1:6" ht="12.5">
      <c r="A1248" s="2">
        <v>1246</v>
      </c>
      <c r="B1248" s="2">
        <v>4136</v>
      </c>
      <c r="C1248" s="2">
        <v>17</v>
      </c>
      <c r="D1248" s="2">
        <v>26</v>
      </c>
      <c r="E1248" s="2">
        <v>3</v>
      </c>
      <c r="F1248" s="2">
        <v>2</v>
      </c>
    </row>
    <row r="1249" spans="1:6" ht="12.5">
      <c r="A1249" s="2">
        <v>1704</v>
      </c>
      <c r="B1249" s="2">
        <v>7349</v>
      </c>
      <c r="C1249" s="2">
        <v>17</v>
      </c>
      <c r="D1249" s="2">
        <v>16</v>
      </c>
      <c r="E1249" s="2">
        <v>3</v>
      </c>
      <c r="F1249" s="2">
        <v>3</v>
      </c>
    </row>
    <row r="1250" spans="1:6" ht="12.5">
      <c r="A1250" s="2">
        <v>2002</v>
      </c>
      <c r="B1250" s="2">
        <v>4023</v>
      </c>
      <c r="C1250" s="2">
        <v>17</v>
      </c>
      <c r="D1250" s="2">
        <v>21</v>
      </c>
      <c r="E1250" s="2">
        <v>3</v>
      </c>
      <c r="F1250" s="2">
        <v>2</v>
      </c>
    </row>
    <row r="1251" spans="1:6" ht="12.5">
      <c r="A1251" s="2">
        <v>2035</v>
      </c>
      <c r="B1251" s="2">
        <v>9119</v>
      </c>
      <c r="C1251" s="2">
        <v>17</v>
      </c>
      <c r="D1251" s="2">
        <v>17</v>
      </c>
      <c r="E1251" s="2">
        <v>3</v>
      </c>
      <c r="F1251" s="2">
        <v>7</v>
      </c>
    </row>
    <row r="1252" spans="1:6" ht="12.5">
      <c r="A1252" s="2">
        <v>145</v>
      </c>
      <c r="B1252" s="2">
        <v>9949</v>
      </c>
      <c r="C1252" s="2">
        <v>16</v>
      </c>
      <c r="D1252" s="2">
        <v>41</v>
      </c>
      <c r="E1252" s="2">
        <v>3</v>
      </c>
      <c r="F1252" s="2">
        <v>6</v>
      </c>
    </row>
    <row r="1253" spans="1:6" ht="12.5">
      <c r="A1253" s="2">
        <v>551</v>
      </c>
      <c r="B1253" s="2">
        <v>5371</v>
      </c>
      <c r="C1253" s="2">
        <v>16</v>
      </c>
      <c r="D1253" s="2">
        <v>0</v>
      </c>
      <c r="E1253" s="2">
        <v>3</v>
      </c>
      <c r="F1253" s="2">
        <v>2</v>
      </c>
    </row>
    <row r="1254" spans="1:6" ht="12.5">
      <c r="A1254" s="2">
        <v>669</v>
      </c>
      <c r="B1254" s="2">
        <v>7426</v>
      </c>
      <c r="C1254" s="2">
        <v>16</v>
      </c>
      <c r="D1254" s="2">
        <v>9</v>
      </c>
      <c r="E1254" s="2">
        <v>3</v>
      </c>
      <c r="F1254" s="2">
        <v>5</v>
      </c>
    </row>
    <row r="1255" spans="1:6" ht="12.5">
      <c r="A1255" s="2">
        <v>1974</v>
      </c>
      <c r="B1255" s="2">
        <v>8360</v>
      </c>
      <c r="C1255" s="2">
        <v>16</v>
      </c>
      <c r="D1255" s="2">
        <v>9</v>
      </c>
      <c r="E1255" s="2">
        <v>3</v>
      </c>
      <c r="F1255" s="2">
        <v>5</v>
      </c>
    </row>
    <row r="1256" spans="1:6" ht="12.5">
      <c r="A1256" s="2">
        <v>826</v>
      </c>
      <c r="B1256" s="2">
        <v>9499</v>
      </c>
      <c r="C1256" s="2">
        <v>15</v>
      </c>
      <c r="D1256" s="2">
        <v>0</v>
      </c>
      <c r="E1256" s="2">
        <v>3</v>
      </c>
      <c r="F1256" s="2">
        <v>7</v>
      </c>
    </row>
    <row r="1257" spans="1:6" ht="12.5">
      <c r="A1257" s="2">
        <v>1356</v>
      </c>
      <c r="B1257" s="2">
        <v>7912</v>
      </c>
      <c r="C1257" s="2">
        <v>15</v>
      </c>
      <c r="D1257" s="2">
        <v>20</v>
      </c>
      <c r="E1257" s="2">
        <v>3</v>
      </c>
      <c r="F1257" s="2">
        <v>2</v>
      </c>
    </row>
    <row r="1258" spans="1:6" ht="12.5">
      <c r="A1258" s="2">
        <v>1988</v>
      </c>
      <c r="B1258" s="2">
        <v>898</v>
      </c>
      <c r="C1258" s="2">
        <v>15</v>
      </c>
      <c r="D1258" s="2">
        <v>8</v>
      </c>
      <c r="E1258" s="2">
        <v>3</v>
      </c>
      <c r="F1258" s="2">
        <v>4</v>
      </c>
    </row>
    <row r="1259" spans="1:6" ht="12.5">
      <c r="A1259" s="2">
        <v>1991</v>
      </c>
      <c r="B1259" s="2">
        <v>8212</v>
      </c>
      <c r="C1259" s="2">
        <v>15</v>
      </c>
      <c r="D1259" s="2">
        <v>13</v>
      </c>
      <c r="E1259" s="2">
        <v>3</v>
      </c>
      <c r="F1259" s="2">
        <v>4</v>
      </c>
    </row>
    <row r="1260" spans="1:6" ht="12.5">
      <c r="A1260" s="2">
        <v>343</v>
      </c>
      <c r="B1260" s="2">
        <v>6245</v>
      </c>
      <c r="C1260" s="2">
        <v>14</v>
      </c>
      <c r="D1260" s="2">
        <v>14</v>
      </c>
      <c r="E1260" s="2">
        <v>3</v>
      </c>
      <c r="F1260" s="2">
        <v>8</v>
      </c>
    </row>
    <row r="1261" spans="1:6" ht="12.5">
      <c r="A1261" s="2">
        <v>1899</v>
      </c>
      <c r="B1261" s="2">
        <v>8780</v>
      </c>
      <c r="C1261" s="2">
        <v>14</v>
      </c>
      <c r="D1261" s="2">
        <v>14</v>
      </c>
      <c r="E1261" s="2">
        <v>3</v>
      </c>
      <c r="F1261" s="2">
        <v>8</v>
      </c>
    </row>
    <row r="1262" spans="1:6" ht="12.5">
      <c r="A1262" s="2">
        <v>2233</v>
      </c>
      <c r="B1262" s="2">
        <v>9432</v>
      </c>
      <c r="C1262" s="2">
        <v>14</v>
      </c>
      <c r="D1262" s="2">
        <v>1</v>
      </c>
      <c r="E1262" s="2">
        <v>3</v>
      </c>
      <c r="F1262" s="2">
        <v>3</v>
      </c>
    </row>
    <row r="1263" spans="1:6" ht="12.5">
      <c r="A1263" s="2">
        <v>610</v>
      </c>
      <c r="B1263" s="2">
        <v>7930</v>
      </c>
      <c r="C1263" s="2">
        <v>13</v>
      </c>
      <c r="D1263" s="2">
        <v>18</v>
      </c>
      <c r="E1263" s="2">
        <v>3</v>
      </c>
      <c r="F1263" s="2">
        <v>6</v>
      </c>
    </row>
    <row r="1264" spans="1:6" ht="12.5">
      <c r="A1264" s="2">
        <v>873</v>
      </c>
      <c r="B1264" s="2">
        <v>738</v>
      </c>
      <c r="C1264" s="2">
        <v>13</v>
      </c>
      <c r="D1264" s="2">
        <v>15</v>
      </c>
      <c r="E1264" s="2">
        <v>3</v>
      </c>
      <c r="F1264" s="2">
        <v>4</v>
      </c>
    </row>
    <row r="1265" spans="1:6" ht="12.5">
      <c r="A1265" s="2">
        <v>1463</v>
      </c>
      <c r="B1265" s="2">
        <v>10403</v>
      </c>
      <c r="C1265" s="2">
        <v>13</v>
      </c>
      <c r="D1265" s="2">
        <v>5</v>
      </c>
      <c r="E1265" s="2">
        <v>3</v>
      </c>
      <c r="F1265" s="2">
        <v>3</v>
      </c>
    </row>
    <row r="1266" spans="1:6" ht="12.5">
      <c r="A1266" s="2">
        <v>877</v>
      </c>
      <c r="B1266" s="2">
        <v>10602</v>
      </c>
      <c r="C1266" s="2">
        <v>12</v>
      </c>
      <c r="D1266" s="2">
        <v>1</v>
      </c>
      <c r="E1266" s="2">
        <v>3</v>
      </c>
      <c r="F1266" s="2">
        <v>4</v>
      </c>
    </row>
    <row r="1267" spans="1:6" ht="12.5">
      <c r="A1267" s="2">
        <v>911</v>
      </c>
      <c r="B1267" s="2">
        <v>4654</v>
      </c>
      <c r="C1267" s="2">
        <v>12</v>
      </c>
      <c r="D1267" s="2">
        <v>60</v>
      </c>
      <c r="E1267" s="2">
        <v>3</v>
      </c>
      <c r="F1267" s="2">
        <v>5</v>
      </c>
    </row>
    <row r="1268" spans="1:6" ht="12.5">
      <c r="A1268" s="2">
        <v>964</v>
      </c>
      <c r="B1268" s="2">
        <v>5633</v>
      </c>
      <c r="C1268" s="2">
        <v>12</v>
      </c>
      <c r="D1268" s="2">
        <v>10</v>
      </c>
      <c r="E1268" s="2">
        <v>3</v>
      </c>
      <c r="F1268" s="2">
        <v>6</v>
      </c>
    </row>
    <row r="1269" spans="1:6" ht="12.5">
      <c r="A1269" s="2">
        <v>1275</v>
      </c>
      <c r="B1269" s="2">
        <v>10319</v>
      </c>
      <c r="C1269" s="2">
        <v>12</v>
      </c>
      <c r="D1269" s="2">
        <v>12</v>
      </c>
      <c r="E1269" s="2">
        <v>3</v>
      </c>
      <c r="F1269" s="2">
        <v>11</v>
      </c>
    </row>
    <row r="1270" spans="1:6" ht="12.5">
      <c r="A1270" s="2">
        <v>1439</v>
      </c>
      <c r="B1270" s="2">
        <v>3220</v>
      </c>
      <c r="C1270" s="2">
        <v>12</v>
      </c>
      <c r="D1270" s="2">
        <v>1</v>
      </c>
      <c r="E1270" s="2">
        <v>3</v>
      </c>
      <c r="F1270" s="2">
        <v>4</v>
      </c>
    </row>
    <row r="1271" spans="1:6" ht="12.5">
      <c r="A1271" s="2">
        <v>1514</v>
      </c>
      <c r="B1271" s="2">
        <v>3865</v>
      </c>
      <c r="C1271" s="2">
        <v>12</v>
      </c>
      <c r="D1271" s="2">
        <v>13</v>
      </c>
      <c r="E1271" s="2">
        <v>3</v>
      </c>
      <c r="F1271" s="2">
        <v>2</v>
      </c>
    </row>
    <row r="1272" spans="1:6" ht="12.5">
      <c r="A1272" s="2">
        <v>1560</v>
      </c>
      <c r="B1272" s="2">
        <v>5424</v>
      </c>
      <c r="C1272" s="2">
        <v>12</v>
      </c>
      <c r="D1272" s="2">
        <v>1</v>
      </c>
      <c r="E1272" s="2">
        <v>3</v>
      </c>
      <c r="F1272" s="2">
        <v>4</v>
      </c>
    </row>
    <row r="1273" spans="1:6" ht="12.5">
      <c r="A1273" s="2">
        <v>1586</v>
      </c>
      <c r="B1273" s="2">
        <v>4764</v>
      </c>
      <c r="C1273" s="2">
        <v>12</v>
      </c>
      <c r="D1273" s="2">
        <v>22</v>
      </c>
      <c r="E1273" s="2">
        <v>3</v>
      </c>
      <c r="F1273" s="2">
        <v>4</v>
      </c>
    </row>
    <row r="1274" spans="1:6" ht="12.5">
      <c r="A1274" s="2">
        <v>1629</v>
      </c>
      <c r="B1274" s="2">
        <v>3276</v>
      </c>
      <c r="C1274" s="2">
        <v>12</v>
      </c>
      <c r="D1274" s="2">
        <v>5</v>
      </c>
      <c r="E1274" s="2">
        <v>3</v>
      </c>
      <c r="F1274" s="2">
        <v>3</v>
      </c>
    </row>
    <row r="1275" spans="1:6" ht="12.5">
      <c r="A1275" s="2">
        <v>1709</v>
      </c>
      <c r="B1275" s="2">
        <v>8070</v>
      </c>
      <c r="C1275" s="2">
        <v>12</v>
      </c>
      <c r="D1275" s="2">
        <v>12</v>
      </c>
      <c r="E1275" s="2">
        <v>3</v>
      </c>
      <c r="F1275" s="2">
        <v>5</v>
      </c>
    </row>
    <row r="1276" spans="1:6" ht="12.5">
      <c r="A1276" s="2">
        <v>159</v>
      </c>
      <c r="B1276" s="2">
        <v>2730</v>
      </c>
      <c r="C1276" s="2">
        <v>11</v>
      </c>
      <c r="D1276" s="2">
        <v>91</v>
      </c>
      <c r="E1276" s="2">
        <v>3</v>
      </c>
      <c r="F1276" s="2">
        <v>10</v>
      </c>
    </row>
    <row r="1277" spans="1:6" ht="12.5">
      <c r="A1277" s="2">
        <v>743</v>
      </c>
      <c r="B1277" s="2">
        <v>7761</v>
      </c>
      <c r="C1277" s="2">
        <v>11</v>
      </c>
      <c r="D1277" s="2">
        <v>8</v>
      </c>
      <c r="E1277" s="2">
        <v>3</v>
      </c>
      <c r="F1277" s="2">
        <v>4</v>
      </c>
    </row>
    <row r="1278" spans="1:6" ht="12.5">
      <c r="A1278" s="2">
        <v>1369</v>
      </c>
      <c r="B1278" s="2">
        <v>10476</v>
      </c>
      <c r="C1278" s="2">
        <v>11</v>
      </c>
      <c r="D1278" s="2">
        <v>2</v>
      </c>
      <c r="E1278" s="2">
        <v>3</v>
      </c>
      <c r="F1278" s="2">
        <v>5</v>
      </c>
    </row>
    <row r="1279" spans="1:6" ht="12.5">
      <c r="A1279" s="2">
        <v>1617</v>
      </c>
      <c r="B1279" s="2">
        <v>940</v>
      </c>
      <c r="C1279" s="2">
        <v>11</v>
      </c>
      <c r="D1279" s="2">
        <v>11</v>
      </c>
      <c r="E1279" s="2">
        <v>3</v>
      </c>
      <c r="F1279" s="2">
        <v>7</v>
      </c>
    </row>
    <row r="1280" spans="1:6" ht="12.5">
      <c r="A1280" s="2">
        <v>214</v>
      </c>
      <c r="B1280" s="2">
        <v>0</v>
      </c>
      <c r="C1280" s="2">
        <v>10</v>
      </c>
      <c r="D1280" s="2">
        <v>87</v>
      </c>
      <c r="E1280" s="2">
        <v>3</v>
      </c>
      <c r="F1280" s="2">
        <v>9</v>
      </c>
    </row>
    <row r="1281" spans="1:6" ht="12.5">
      <c r="A1281" s="2">
        <v>221</v>
      </c>
      <c r="B1281" s="2">
        <v>2075</v>
      </c>
      <c r="C1281" s="2">
        <v>10</v>
      </c>
      <c r="D1281" s="2">
        <v>30</v>
      </c>
      <c r="E1281" s="2">
        <v>3</v>
      </c>
      <c r="F1281" s="2">
        <v>7</v>
      </c>
    </row>
    <row r="1282" spans="1:6" ht="12.5">
      <c r="A1282" s="2">
        <v>757</v>
      </c>
      <c r="B1282" s="2">
        <v>5909</v>
      </c>
      <c r="C1282" s="2">
        <v>10</v>
      </c>
      <c r="D1282" s="2">
        <v>0</v>
      </c>
      <c r="E1282" s="2">
        <v>3</v>
      </c>
      <c r="F1282" s="2">
        <v>8</v>
      </c>
    </row>
    <row r="1283" spans="1:6" ht="12.5">
      <c r="A1283" s="2">
        <v>880</v>
      </c>
      <c r="B1283" s="2">
        <v>8443</v>
      </c>
      <c r="C1283" s="2">
        <v>10</v>
      </c>
      <c r="D1283" s="2">
        <v>15</v>
      </c>
      <c r="E1283" s="2">
        <v>3</v>
      </c>
      <c r="F1283" s="2">
        <v>2</v>
      </c>
    </row>
    <row r="1284" spans="1:6" ht="12.5">
      <c r="A1284" s="2">
        <v>1204</v>
      </c>
      <c r="B1284" s="2">
        <v>2995</v>
      </c>
      <c r="C1284" s="2">
        <v>10</v>
      </c>
      <c r="D1284" s="2">
        <v>10</v>
      </c>
      <c r="E1284" s="2">
        <v>3</v>
      </c>
      <c r="F1284" s="2">
        <v>9</v>
      </c>
    </row>
    <row r="1285" spans="1:6" ht="12.5">
      <c r="A1285" s="2">
        <v>1324</v>
      </c>
      <c r="B1285" s="2">
        <v>6398</v>
      </c>
      <c r="C1285" s="2">
        <v>10</v>
      </c>
      <c r="D1285" s="2">
        <v>0</v>
      </c>
      <c r="E1285" s="2">
        <v>3</v>
      </c>
      <c r="F1285" s="2">
        <v>3</v>
      </c>
    </row>
    <row r="1286" spans="1:6" ht="12.5">
      <c r="A1286" s="2">
        <v>1381</v>
      </c>
      <c r="B1286" s="2">
        <v>7514</v>
      </c>
      <c r="C1286" s="2">
        <v>10</v>
      </c>
      <c r="D1286" s="2">
        <v>10</v>
      </c>
      <c r="E1286" s="2">
        <v>3</v>
      </c>
      <c r="F1286" s="2">
        <v>4</v>
      </c>
    </row>
    <row r="1287" spans="1:6" ht="12.5">
      <c r="A1287" s="2">
        <v>1450</v>
      </c>
      <c r="B1287" s="2">
        <v>5788</v>
      </c>
      <c r="C1287" s="2">
        <v>10</v>
      </c>
      <c r="D1287" s="2">
        <v>7</v>
      </c>
      <c r="E1287" s="2">
        <v>3</v>
      </c>
      <c r="F1287" s="2">
        <v>4</v>
      </c>
    </row>
    <row r="1288" spans="1:6" ht="12.5">
      <c r="A1288" s="2">
        <v>1714</v>
      </c>
      <c r="B1288" s="2">
        <v>4055</v>
      </c>
      <c r="C1288" s="2">
        <v>10</v>
      </c>
      <c r="D1288" s="2">
        <v>9</v>
      </c>
      <c r="E1288" s="2">
        <v>3</v>
      </c>
      <c r="F1288" s="2">
        <v>3</v>
      </c>
    </row>
    <row r="1289" spans="1:6" ht="12.5">
      <c r="A1289" s="2">
        <v>540</v>
      </c>
      <c r="B1289" s="2">
        <v>3665</v>
      </c>
      <c r="C1289" s="2">
        <v>9</v>
      </c>
      <c r="D1289" s="2">
        <v>3</v>
      </c>
      <c r="E1289" s="2">
        <v>3</v>
      </c>
      <c r="F1289" s="2">
        <v>3</v>
      </c>
    </row>
    <row r="1290" spans="1:6" ht="12.5">
      <c r="A1290" s="2">
        <v>2152</v>
      </c>
      <c r="B1290" s="2">
        <v>9481</v>
      </c>
      <c r="C1290" s="2">
        <v>9</v>
      </c>
      <c r="D1290" s="2">
        <v>10</v>
      </c>
      <c r="E1290" s="2">
        <v>3</v>
      </c>
      <c r="F1290" s="2">
        <v>3</v>
      </c>
    </row>
    <row r="1291" spans="1:6" ht="12.5">
      <c r="A1291" s="2">
        <v>751</v>
      </c>
      <c r="B1291" s="2">
        <v>7938</v>
      </c>
      <c r="C1291" s="2">
        <v>8</v>
      </c>
      <c r="D1291" s="2">
        <v>4</v>
      </c>
      <c r="E1291" s="2">
        <v>3</v>
      </c>
      <c r="F1291" s="2">
        <v>10</v>
      </c>
    </row>
    <row r="1292" spans="1:6" ht="12.5">
      <c r="A1292" s="2">
        <v>999</v>
      </c>
      <c r="B1292" s="2">
        <v>9097</v>
      </c>
      <c r="C1292" s="2">
        <v>8</v>
      </c>
      <c r="D1292" s="2">
        <v>2</v>
      </c>
      <c r="E1292" s="2">
        <v>3</v>
      </c>
      <c r="F1292" s="2">
        <v>8</v>
      </c>
    </row>
    <row r="1293" spans="1:6" ht="12.5">
      <c r="A1293" s="2">
        <v>1198</v>
      </c>
      <c r="B1293" s="2">
        <v>5545</v>
      </c>
      <c r="C1293" s="2">
        <v>8</v>
      </c>
      <c r="D1293" s="2">
        <v>35</v>
      </c>
      <c r="E1293" s="2">
        <v>3</v>
      </c>
      <c r="F1293" s="2">
        <v>5</v>
      </c>
    </row>
    <row r="1294" spans="1:6" ht="12.5">
      <c r="A1294" s="2">
        <v>1475</v>
      </c>
      <c r="B1294" s="2">
        <v>3697</v>
      </c>
      <c r="C1294" s="2">
        <v>8</v>
      </c>
      <c r="D1294" s="2">
        <v>7</v>
      </c>
      <c r="E1294" s="2">
        <v>3</v>
      </c>
      <c r="F1294" s="2">
        <v>4</v>
      </c>
    </row>
    <row r="1295" spans="1:6" ht="12.5">
      <c r="A1295" s="2">
        <v>1702</v>
      </c>
      <c r="B1295" s="2">
        <v>5294</v>
      </c>
      <c r="C1295" s="2">
        <v>8</v>
      </c>
      <c r="D1295" s="2">
        <v>4</v>
      </c>
      <c r="E1295" s="2">
        <v>3</v>
      </c>
      <c r="F1295" s="2">
        <v>4</v>
      </c>
    </row>
    <row r="1296" spans="1:6" ht="12.5">
      <c r="A1296" s="2">
        <v>1949</v>
      </c>
      <c r="B1296" s="2">
        <v>9955</v>
      </c>
      <c r="C1296" s="2">
        <v>8</v>
      </c>
      <c r="D1296" s="2">
        <v>7</v>
      </c>
      <c r="E1296" s="2">
        <v>3</v>
      </c>
      <c r="F1296" s="2">
        <v>4</v>
      </c>
    </row>
    <row r="1297" spans="1:6" ht="12.5">
      <c r="A1297" s="2">
        <v>2156</v>
      </c>
      <c r="B1297" s="2">
        <v>8726</v>
      </c>
      <c r="C1297" s="2">
        <v>8</v>
      </c>
      <c r="D1297" s="2">
        <v>10</v>
      </c>
      <c r="E1297" s="2">
        <v>3</v>
      </c>
      <c r="F1297" s="2">
        <v>4</v>
      </c>
    </row>
    <row r="1298" spans="1:6" ht="12.5">
      <c r="A1298" s="2">
        <v>2222</v>
      </c>
      <c r="B1298" s="2">
        <v>10659</v>
      </c>
      <c r="C1298" s="2">
        <v>8</v>
      </c>
      <c r="D1298" s="2">
        <v>8</v>
      </c>
      <c r="E1298" s="2">
        <v>3</v>
      </c>
      <c r="F1298" s="2">
        <v>2</v>
      </c>
    </row>
    <row r="1299" spans="1:6" ht="12.5">
      <c r="A1299" s="2">
        <v>153</v>
      </c>
      <c r="B1299" s="2">
        <v>92</v>
      </c>
      <c r="C1299" s="2">
        <v>7</v>
      </c>
      <c r="D1299" s="2">
        <v>14</v>
      </c>
      <c r="E1299" s="2">
        <v>3</v>
      </c>
      <c r="F1299" s="2">
        <v>4</v>
      </c>
    </row>
    <row r="1300" spans="1:6" ht="12.5">
      <c r="A1300" s="2">
        <v>172</v>
      </c>
      <c r="B1300" s="2">
        <v>1349</v>
      </c>
      <c r="C1300" s="2">
        <v>7</v>
      </c>
      <c r="D1300" s="2">
        <v>3</v>
      </c>
      <c r="E1300" s="2">
        <v>3</v>
      </c>
      <c r="F1300" s="2">
        <v>3</v>
      </c>
    </row>
    <row r="1301" spans="1:6" ht="12.5">
      <c r="A1301" s="2">
        <v>271</v>
      </c>
      <c r="B1301" s="2">
        <v>5726</v>
      </c>
      <c r="C1301" s="2">
        <v>7</v>
      </c>
      <c r="D1301" s="2">
        <v>8</v>
      </c>
      <c r="E1301" s="2">
        <v>3</v>
      </c>
      <c r="F1301" s="2">
        <v>4</v>
      </c>
    </row>
    <row r="1302" spans="1:6" ht="12.5">
      <c r="A1302" s="2">
        <v>329</v>
      </c>
      <c r="B1302" s="2">
        <v>7786</v>
      </c>
      <c r="C1302" s="2">
        <v>7</v>
      </c>
      <c r="D1302" s="2">
        <v>5</v>
      </c>
      <c r="E1302" s="2">
        <v>3</v>
      </c>
      <c r="F1302" s="2">
        <v>4</v>
      </c>
    </row>
    <row r="1303" spans="1:6" ht="12.5">
      <c r="A1303" s="2">
        <v>449</v>
      </c>
      <c r="B1303" s="2">
        <v>1142</v>
      </c>
      <c r="C1303" s="2">
        <v>7</v>
      </c>
      <c r="D1303" s="2">
        <v>66</v>
      </c>
      <c r="E1303" s="2">
        <v>3</v>
      </c>
      <c r="F1303" s="2">
        <v>9</v>
      </c>
    </row>
    <row r="1304" spans="1:6" ht="12.5">
      <c r="A1304" s="2">
        <v>547</v>
      </c>
      <c r="B1304" s="2">
        <v>4368</v>
      </c>
      <c r="C1304" s="2">
        <v>7</v>
      </c>
      <c r="D1304" s="2">
        <v>12</v>
      </c>
      <c r="E1304" s="2">
        <v>3</v>
      </c>
      <c r="F1304" s="2">
        <v>4</v>
      </c>
    </row>
    <row r="1305" spans="1:6" ht="12.5">
      <c r="A1305" s="2">
        <v>842</v>
      </c>
      <c r="B1305" s="2">
        <v>3312</v>
      </c>
      <c r="C1305" s="2">
        <v>7</v>
      </c>
      <c r="D1305" s="2">
        <v>14</v>
      </c>
      <c r="E1305" s="2">
        <v>3</v>
      </c>
      <c r="F1305" s="2">
        <v>4</v>
      </c>
    </row>
    <row r="1306" spans="1:6" ht="12.5">
      <c r="A1306" s="2">
        <v>952</v>
      </c>
      <c r="B1306" s="2">
        <v>5320</v>
      </c>
      <c r="C1306" s="2">
        <v>7</v>
      </c>
      <c r="D1306" s="2">
        <v>3</v>
      </c>
      <c r="E1306" s="2">
        <v>3</v>
      </c>
      <c r="F1306" s="2">
        <v>4</v>
      </c>
    </row>
    <row r="1307" spans="1:6" ht="12.5">
      <c r="A1307" s="2">
        <v>1146</v>
      </c>
      <c r="B1307" s="2">
        <v>749</v>
      </c>
      <c r="C1307" s="2">
        <v>7</v>
      </c>
      <c r="D1307" s="2">
        <v>4</v>
      </c>
      <c r="E1307" s="2">
        <v>3</v>
      </c>
      <c r="F1307" s="2">
        <v>3</v>
      </c>
    </row>
    <row r="1308" spans="1:6" ht="12.5">
      <c r="A1308" s="2">
        <v>1326</v>
      </c>
      <c r="B1308" s="2">
        <v>7937</v>
      </c>
      <c r="C1308" s="2">
        <v>7</v>
      </c>
      <c r="D1308" s="2">
        <v>3</v>
      </c>
      <c r="E1308" s="2">
        <v>3</v>
      </c>
      <c r="F1308" s="2">
        <v>3</v>
      </c>
    </row>
    <row r="1309" spans="1:6" ht="12.5">
      <c r="A1309" s="2">
        <v>1948</v>
      </c>
      <c r="B1309" s="2">
        <v>7842</v>
      </c>
      <c r="C1309" s="2">
        <v>7</v>
      </c>
      <c r="D1309" s="2">
        <v>2</v>
      </c>
      <c r="E1309" s="2">
        <v>3</v>
      </c>
      <c r="F1309" s="2">
        <v>3</v>
      </c>
    </row>
    <row r="1310" spans="1:6" ht="12.5">
      <c r="A1310" s="2">
        <v>2196</v>
      </c>
      <c r="B1310" s="2">
        <v>1839</v>
      </c>
      <c r="C1310" s="2">
        <v>7</v>
      </c>
      <c r="D1310" s="2">
        <v>2</v>
      </c>
      <c r="E1310" s="2">
        <v>3</v>
      </c>
      <c r="F1310" s="2">
        <v>4</v>
      </c>
    </row>
    <row r="1311" spans="1:6" ht="12.5">
      <c r="A1311" s="2">
        <v>285</v>
      </c>
      <c r="B1311" s="2">
        <v>9974</v>
      </c>
      <c r="C1311" s="2">
        <v>6</v>
      </c>
      <c r="D1311" s="2">
        <v>5</v>
      </c>
      <c r="E1311" s="2">
        <v>3</v>
      </c>
      <c r="F1311" s="2">
        <v>2</v>
      </c>
    </row>
    <row r="1312" spans="1:6" ht="12.5">
      <c r="A1312" s="2">
        <v>533</v>
      </c>
      <c r="B1312" s="2">
        <v>4437</v>
      </c>
      <c r="C1312" s="2">
        <v>6</v>
      </c>
      <c r="D1312" s="2">
        <v>9</v>
      </c>
      <c r="E1312" s="2">
        <v>3</v>
      </c>
      <c r="F1312" s="2">
        <v>5</v>
      </c>
    </row>
    <row r="1313" spans="1:6" ht="12.5">
      <c r="A1313" s="2">
        <v>647</v>
      </c>
      <c r="B1313" s="2">
        <v>3376</v>
      </c>
      <c r="C1313" s="2">
        <v>6</v>
      </c>
      <c r="D1313" s="2">
        <v>4</v>
      </c>
      <c r="E1313" s="2">
        <v>3</v>
      </c>
      <c r="F1313" s="2">
        <v>6</v>
      </c>
    </row>
    <row r="1314" spans="1:6" ht="12.5">
      <c r="A1314" s="2">
        <v>683</v>
      </c>
      <c r="B1314" s="2">
        <v>10120</v>
      </c>
      <c r="C1314" s="2">
        <v>6</v>
      </c>
      <c r="D1314" s="2">
        <v>6</v>
      </c>
      <c r="E1314" s="2">
        <v>3</v>
      </c>
      <c r="F1314" s="2">
        <v>6</v>
      </c>
    </row>
    <row r="1315" spans="1:6" ht="12.5">
      <c r="A1315" s="2">
        <v>953</v>
      </c>
      <c r="B1315" s="2">
        <v>5048</v>
      </c>
      <c r="C1315" s="2">
        <v>6</v>
      </c>
      <c r="D1315" s="2">
        <v>5</v>
      </c>
      <c r="E1315" s="2">
        <v>3</v>
      </c>
      <c r="F1315" s="2">
        <v>2</v>
      </c>
    </row>
    <row r="1316" spans="1:6" ht="12.5">
      <c r="A1316" s="2">
        <v>1588</v>
      </c>
      <c r="B1316" s="2">
        <v>5892</v>
      </c>
      <c r="C1316" s="2">
        <v>6</v>
      </c>
      <c r="D1316" s="2">
        <v>2</v>
      </c>
      <c r="E1316" s="2">
        <v>3</v>
      </c>
      <c r="F1316" s="2">
        <v>5</v>
      </c>
    </row>
    <row r="1317" spans="1:6" ht="12.5">
      <c r="A1317" s="2">
        <v>1705</v>
      </c>
      <c r="B1317" s="2">
        <v>8799</v>
      </c>
      <c r="C1317" s="2">
        <v>6</v>
      </c>
      <c r="D1317" s="2">
        <v>3</v>
      </c>
      <c r="E1317" s="2">
        <v>3</v>
      </c>
      <c r="F1317" s="2">
        <v>4</v>
      </c>
    </row>
    <row r="1318" spans="1:6" ht="12.5">
      <c r="A1318" s="2">
        <v>2055</v>
      </c>
      <c r="B1318" s="2">
        <v>6673</v>
      </c>
      <c r="C1318" s="2">
        <v>6</v>
      </c>
      <c r="D1318" s="2">
        <v>17</v>
      </c>
      <c r="E1318" s="2">
        <v>3</v>
      </c>
      <c r="F1318" s="2">
        <v>3</v>
      </c>
    </row>
    <row r="1319" spans="1:6" ht="12.5">
      <c r="A1319" s="2">
        <v>2179</v>
      </c>
      <c r="B1319" s="2">
        <v>4541</v>
      </c>
      <c r="C1319" s="2">
        <v>6</v>
      </c>
      <c r="D1319" s="2">
        <v>6</v>
      </c>
      <c r="E1319" s="2">
        <v>3</v>
      </c>
      <c r="F1319" s="2">
        <v>6</v>
      </c>
    </row>
    <row r="1320" spans="1:6" ht="12.5">
      <c r="A1320" s="2">
        <v>16</v>
      </c>
      <c r="B1320" s="2">
        <v>9736</v>
      </c>
      <c r="C1320" s="2">
        <v>5</v>
      </c>
      <c r="D1320" s="2">
        <v>13</v>
      </c>
      <c r="E1320" s="2">
        <v>3</v>
      </c>
      <c r="F1320" s="2">
        <v>3</v>
      </c>
    </row>
    <row r="1321" spans="1:6" ht="12.5">
      <c r="A1321" s="2">
        <v>82</v>
      </c>
      <c r="B1321" s="2">
        <v>5346</v>
      </c>
      <c r="C1321" s="2">
        <v>5</v>
      </c>
      <c r="D1321" s="2">
        <v>0</v>
      </c>
      <c r="E1321" s="2">
        <v>3</v>
      </c>
      <c r="F1321" s="2">
        <v>3</v>
      </c>
    </row>
    <row r="1322" spans="1:6" ht="12.5">
      <c r="A1322" s="2">
        <v>167</v>
      </c>
      <c r="B1322" s="2">
        <v>3712</v>
      </c>
      <c r="C1322" s="2">
        <v>5</v>
      </c>
      <c r="D1322" s="2">
        <v>0</v>
      </c>
      <c r="E1322" s="2">
        <v>3</v>
      </c>
      <c r="F1322" s="2">
        <v>6</v>
      </c>
    </row>
    <row r="1323" spans="1:6" ht="12.5">
      <c r="A1323" s="2">
        <v>310</v>
      </c>
      <c r="B1323" s="2">
        <v>10032</v>
      </c>
      <c r="C1323" s="2">
        <v>5</v>
      </c>
      <c r="D1323" s="2">
        <v>12</v>
      </c>
      <c r="E1323" s="2">
        <v>3</v>
      </c>
      <c r="F1323" s="2">
        <v>3</v>
      </c>
    </row>
    <row r="1324" spans="1:6" ht="12.5">
      <c r="A1324" s="2">
        <v>320</v>
      </c>
      <c r="B1324" s="2">
        <v>1802</v>
      </c>
      <c r="C1324" s="2">
        <v>5</v>
      </c>
      <c r="D1324" s="2">
        <v>29</v>
      </c>
      <c r="E1324" s="2">
        <v>3</v>
      </c>
      <c r="F1324" s="2">
        <v>12</v>
      </c>
    </row>
    <row r="1325" spans="1:6" ht="12.5">
      <c r="A1325" s="2">
        <v>760</v>
      </c>
      <c r="B1325" s="2">
        <v>10270</v>
      </c>
      <c r="C1325" s="2">
        <v>5</v>
      </c>
      <c r="D1325" s="2">
        <v>5</v>
      </c>
      <c r="E1325" s="2">
        <v>3</v>
      </c>
      <c r="F1325" s="2">
        <v>3</v>
      </c>
    </row>
    <row r="1326" spans="1:6" ht="12.5">
      <c r="A1326" s="2">
        <v>972</v>
      </c>
      <c r="B1326" s="2">
        <v>10995</v>
      </c>
      <c r="C1326" s="2">
        <v>5</v>
      </c>
      <c r="D1326" s="2">
        <v>7</v>
      </c>
      <c r="E1326" s="2">
        <v>3</v>
      </c>
      <c r="F1326" s="2">
        <v>4</v>
      </c>
    </row>
    <row r="1327" spans="1:6" ht="12.5">
      <c r="A1327" s="2">
        <v>1232</v>
      </c>
      <c r="B1327" s="2">
        <v>1307</v>
      </c>
      <c r="C1327" s="2">
        <v>5</v>
      </c>
      <c r="D1327" s="2">
        <v>3</v>
      </c>
      <c r="E1327" s="2">
        <v>3</v>
      </c>
      <c r="F1327" s="2">
        <v>4</v>
      </c>
    </row>
    <row r="1328" spans="1:6" ht="12.5">
      <c r="A1328" s="2">
        <v>1663</v>
      </c>
      <c r="B1328" s="2">
        <v>2639</v>
      </c>
      <c r="C1328" s="2">
        <v>5</v>
      </c>
      <c r="D1328" s="2">
        <v>3</v>
      </c>
      <c r="E1328" s="2">
        <v>3</v>
      </c>
      <c r="F1328" s="2">
        <v>2</v>
      </c>
    </row>
    <row r="1329" spans="1:6" ht="12.5">
      <c r="A1329" s="2">
        <v>1681</v>
      </c>
      <c r="B1329" s="2">
        <v>5939</v>
      </c>
      <c r="C1329" s="2">
        <v>5</v>
      </c>
      <c r="D1329" s="2">
        <v>6</v>
      </c>
      <c r="E1329" s="2">
        <v>3</v>
      </c>
      <c r="F1329" s="2">
        <v>3</v>
      </c>
    </row>
    <row r="1330" spans="1:6" ht="12.5">
      <c r="A1330" s="2">
        <v>2120</v>
      </c>
      <c r="B1330" s="2">
        <v>8832</v>
      </c>
      <c r="C1330" s="2">
        <v>5</v>
      </c>
      <c r="D1330" s="2">
        <v>8</v>
      </c>
      <c r="E1330" s="2">
        <v>3</v>
      </c>
      <c r="F1330" s="2">
        <v>4</v>
      </c>
    </row>
    <row r="1331" spans="1:6" ht="12.5">
      <c r="A1331" s="2">
        <v>30</v>
      </c>
      <c r="B1331" s="2">
        <v>6864</v>
      </c>
      <c r="C1331" s="2">
        <v>4</v>
      </c>
      <c r="D1331" s="2">
        <v>2</v>
      </c>
      <c r="E1331" s="2">
        <v>3</v>
      </c>
      <c r="F1331" s="2">
        <v>3</v>
      </c>
    </row>
    <row r="1332" spans="1:6" ht="12.5">
      <c r="A1332" s="2">
        <v>80</v>
      </c>
      <c r="B1332" s="2">
        <v>3332</v>
      </c>
      <c r="C1332" s="2">
        <v>4</v>
      </c>
      <c r="D1332" s="2">
        <v>5</v>
      </c>
      <c r="E1332" s="2">
        <v>3</v>
      </c>
      <c r="F1332" s="2">
        <v>4</v>
      </c>
    </row>
    <row r="1333" spans="1:6" ht="12.5">
      <c r="A1333" s="2">
        <v>265</v>
      </c>
      <c r="B1333" s="2">
        <v>6690</v>
      </c>
      <c r="C1333" s="2">
        <v>4</v>
      </c>
      <c r="D1333" s="2">
        <v>2</v>
      </c>
      <c r="E1333" s="2">
        <v>3</v>
      </c>
      <c r="F1333" s="2">
        <v>3</v>
      </c>
    </row>
    <row r="1334" spans="1:6" ht="12.5">
      <c r="A1334" s="2">
        <v>297</v>
      </c>
      <c r="B1334" s="2">
        <v>9738</v>
      </c>
      <c r="C1334" s="2">
        <v>4</v>
      </c>
      <c r="D1334" s="2">
        <v>4</v>
      </c>
      <c r="E1334" s="2">
        <v>3</v>
      </c>
      <c r="F1334" s="2">
        <v>3</v>
      </c>
    </row>
    <row r="1335" spans="1:6" ht="12.5">
      <c r="A1335" s="2">
        <v>316</v>
      </c>
      <c r="B1335" s="2">
        <v>2392</v>
      </c>
      <c r="C1335" s="2">
        <v>4</v>
      </c>
      <c r="D1335" s="2">
        <v>0</v>
      </c>
      <c r="E1335" s="2">
        <v>3</v>
      </c>
      <c r="F1335" s="2">
        <v>3</v>
      </c>
    </row>
    <row r="1336" spans="1:6" ht="12.5">
      <c r="A1336" s="2">
        <v>374</v>
      </c>
      <c r="B1336" s="2">
        <v>1519</v>
      </c>
      <c r="C1336" s="2">
        <v>4</v>
      </c>
      <c r="D1336" s="2">
        <v>3</v>
      </c>
      <c r="E1336" s="2">
        <v>3</v>
      </c>
      <c r="F1336" s="2">
        <v>3</v>
      </c>
    </row>
    <row r="1337" spans="1:6" ht="12.5">
      <c r="A1337" s="2">
        <v>391</v>
      </c>
      <c r="B1337" s="2">
        <v>5642</v>
      </c>
      <c r="C1337" s="2">
        <v>4</v>
      </c>
      <c r="D1337" s="2">
        <v>13</v>
      </c>
      <c r="E1337" s="2">
        <v>3</v>
      </c>
      <c r="F1337" s="2">
        <v>6</v>
      </c>
    </row>
    <row r="1338" spans="1:6" ht="12.5">
      <c r="A1338" s="2">
        <v>577</v>
      </c>
      <c r="B1338" s="2">
        <v>1160</v>
      </c>
      <c r="C1338" s="2">
        <v>4</v>
      </c>
      <c r="D1338" s="2">
        <v>2</v>
      </c>
      <c r="E1338" s="2">
        <v>3</v>
      </c>
      <c r="F1338" s="2">
        <v>3</v>
      </c>
    </row>
    <row r="1339" spans="1:6" ht="12.5">
      <c r="A1339" s="2">
        <v>595</v>
      </c>
      <c r="B1339" s="2">
        <v>4992</v>
      </c>
      <c r="C1339" s="2">
        <v>4</v>
      </c>
      <c r="D1339" s="2">
        <v>10</v>
      </c>
      <c r="E1339" s="2">
        <v>3</v>
      </c>
      <c r="F1339" s="2">
        <v>2</v>
      </c>
    </row>
    <row r="1340" spans="1:6" ht="12.5">
      <c r="A1340" s="2">
        <v>1093</v>
      </c>
      <c r="B1340" s="2">
        <v>9080</v>
      </c>
      <c r="C1340" s="2">
        <v>4</v>
      </c>
      <c r="D1340" s="2">
        <v>3</v>
      </c>
      <c r="E1340" s="2">
        <v>3</v>
      </c>
      <c r="F1340" s="2">
        <v>3</v>
      </c>
    </row>
    <row r="1341" spans="1:6" ht="12.5">
      <c r="A1341" s="2">
        <v>1136</v>
      </c>
      <c r="B1341" s="2">
        <v>10542</v>
      </c>
      <c r="C1341" s="2">
        <v>4</v>
      </c>
      <c r="D1341" s="2">
        <v>4</v>
      </c>
      <c r="E1341" s="2">
        <v>3</v>
      </c>
      <c r="F1341" s="2">
        <v>3</v>
      </c>
    </row>
    <row r="1342" spans="1:6" ht="12.5">
      <c r="A1342" s="2">
        <v>1138</v>
      </c>
      <c r="B1342" s="2">
        <v>10617</v>
      </c>
      <c r="C1342" s="2">
        <v>4</v>
      </c>
      <c r="D1342" s="2">
        <v>2</v>
      </c>
      <c r="E1342" s="2">
        <v>3</v>
      </c>
      <c r="F1342" s="2">
        <v>3</v>
      </c>
    </row>
    <row r="1343" spans="1:6" ht="12.5">
      <c r="A1343" s="2">
        <v>1318</v>
      </c>
      <c r="B1343" s="2">
        <v>1920</v>
      </c>
      <c r="C1343" s="2">
        <v>4</v>
      </c>
      <c r="D1343" s="2">
        <v>0</v>
      </c>
      <c r="E1343" s="2">
        <v>3</v>
      </c>
      <c r="F1343" s="2">
        <v>3</v>
      </c>
    </row>
    <row r="1344" spans="1:6" ht="12.5">
      <c r="A1344" s="2">
        <v>1327</v>
      </c>
      <c r="B1344" s="2">
        <v>839</v>
      </c>
      <c r="C1344" s="2">
        <v>4</v>
      </c>
      <c r="D1344" s="2">
        <v>1</v>
      </c>
      <c r="E1344" s="2">
        <v>3</v>
      </c>
      <c r="F1344" s="2">
        <v>4</v>
      </c>
    </row>
    <row r="1345" spans="1:6" ht="12.5">
      <c r="A1345" s="2">
        <v>1540</v>
      </c>
      <c r="B1345" s="2">
        <v>6678</v>
      </c>
      <c r="C1345" s="2">
        <v>4</v>
      </c>
      <c r="D1345" s="2">
        <v>2</v>
      </c>
      <c r="E1345" s="2">
        <v>3</v>
      </c>
      <c r="F1345" s="2">
        <v>4</v>
      </c>
    </row>
    <row r="1346" spans="1:6" ht="12.5">
      <c r="A1346" s="2">
        <v>1545</v>
      </c>
      <c r="B1346" s="2">
        <v>10212</v>
      </c>
      <c r="C1346" s="2">
        <v>4</v>
      </c>
      <c r="D1346" s="2">
        <v>4</v>
      </c>
      <c r="E1346" s="2">
        <v>3</v>
      </c>
      <c r="F1346" s="2">
        <v>3</v>
      </c>
    </row>
    <row r="1347" spans="1:6" ht="12.5">
      <c r="A1347" s="2">
        <v>1652</v>
      </c>
      <c r="B1347" s="2">
        <v>10352</v>
      </c>
      <c r="C1347" s="2">
        <v>4</v>
      </c>
      <c r="D1347" s="2">
        <v>3</v>
      </c>
      <c r="E1347" s="2">
        <v>3</v>
      </c>
      <c r="F1347" s="2">
        <v>2</v>
      </c>
    </row>
    <row r="1348" spans="1:6" ht="12.5">
      <c r="A1348" s="2">
        <v>1776</v>
      </c>
      <c r="B1348" s="2">
        <v>7433</v>
      </c>
      <c r="C1348" s="2">
        <v>4</v>
      </c>
      <c r="D1348" s="2">
        <v>5</v>
      </c>
      <c r="E1348" s="2">
        <v>3</v>
      </c>
      <c r="F1348" s="2">
        <v>4</v>
      </c>
    </row>
    <row r="1349" spans="1:6" ht="12.5">
      <c r="A1349" s="2">
        <v>1963</v>
      </c>
      <c r="B1349" s="2">
        <v>3517</v>
      </c>
      <c r="C1349" s="2">
        <v>4</v>
      </c>
      <c r="D1349" s="2">
        <v>10</v>
      </c>
      <c r="E1349" s="2">
        <v>3</v>
      </c>
      <c r="F1349" s="2">
        <v>3</v>
      </c>
    </row>
    <row r="1350" spans="1:6" ht="12.5">
      <c r="A1350" s="2">
        <v>2147</v>
      </c>
      <c r="B1350" s="2">
        <v>1100</v>
      </c>
      <c r="C1350" s="2">
        <v>4</v>
      </c>
      <c r="D1350" s="2">
        <v>2</v>
      </c>
      <c r="E1350" s="2">
        <v>3</v>
      </c>
      <c r="F1350" s="2">
        <v>3</v>
      </c>
    </row>
    <row r="1351" spans="1:6" ht="12.5">
      <c r="A1351" s="2">
        <v>37</v>
      </c>
      <c r="B1351" s="2">
        <v>10755</v>
      </c>
      <c r="C1351" s="2">
        <v>3</v>
      </c>
      <c r="D1351" s="2">
        <v>7</v>
      </c>
      <c r="E1351" s="2">
        <v>3</v>
      </c>
      <c r="F1351" s="2">
        <v>2</v>
      </c>
    </row>
    <row r="1352" spans="1:6" ht="12.5">
      <c r="A1352" s="2">
        <v>71</v>
      </c>
      <c r="B1352" s="2">
        <v>10629</v>
      </c>
      <c r="C1352" s="2">
        <v>3</v>
      </c>
      <c r="D1352" s="2">
        <v>4</v>
      </c>
      <c r="E1352" s="2">
        <v>3</v>
      </c>
      <c r="F1352" s="2">
        <v>3</v>
      </c>
    </row>
    <row r="1353" spans="1:6" ht="12.5">
      <c r="A1353" s="2">
        <v>108</v>
      </c>
      <c r="B1353" s="2">
        <v>3629</v>
      </c>
      <c r="C1353" s="2">
        <v>3</v>
      </c>
      <c r="D1353" s="2">
        <v>4</v>
      </c>
      <c r="E1353" s="2">
        <v>3</v>
      </c>
      <c r="F1353" s="2">
        <v>3</v>
      </c>
    </row>
    <row r="1354" spans="1:6" ht="12.5">
      <c r="A1354" s="2">
        <v>162</v>
      </c>
      <c r="B1354" s="2">
        <v>8182</v>
      </c>
      <c r="C1354" s="2">
        <v>3</v>
      </c>
      <c r="D1354" s="2">
        <v>4</v>
      </c>
      <c r="E1354" s="2">
        <v>3</v>
      </c>
      <c r="F1354" s="2">
        <v>4</v>
      </c>
    </row>
    <row r="1355" spans="1:6" ht="12.5">
      <c r="A1355" s="2">
        <v>193</v>
      </c>
      <c r="B1355" s="2">
        <v>1324</v>
      </c>
      <c r="C1355" s="2">
        <v>3</v>
      </c>
      <c r="D1355" s="2">
        <v>19</v>
      </c>
      <c r="E1355" s="2">
        <v>3</v>
      </c>
      <c r="F1355" s="2">
        <v>3</v>
      </c>
    </row>
    <row r="1356" spans="1:6" ht="12.5">
      <c r="A1356" s="2">
        <v>238</v>
      </c>
      <c r="B1356" s="2">
        <v>7297</v>
      </c>
      <c r="C1356" s="2">
        <v>3</v>
      </c>
      <c r="D1356" s="2">
        <v>7</v>
      </c>
      <c r="E1356" s="2">
        <v>3</v>
      </c>
      <c r="F1356" s="2">
        <v>3</v>
      </c>
    </row>
    <row r="1357" spans="1:6" ht="12.5">
      <c r="A1357" s="2">
        <v>293</v>
      </c>
      <c r="B1357" s="2">
        <v>4927</v>
      </c>
      <c r="C1357" s="2">
        <v>3</v>
      </c>
      <c r="D1357" s="2">
        <v>1</v>
      </c>
      <c r="E1357" s="2">
        <v>3</v>
      </c>
      <c r="F1357" s="2">
        <v>3</v>
      </c>
    </row>
    <row r="1358" spans="1:6" ht="12.5">
      <c r="A1358" s="2">
        <v>539</v>
      </c>
      <c r="B1358" s="2">
        <v>304</v>
      </c>
      <c r="C1358" s="2">
        <v>3</v>
      </c>
      <c r="D1358" s="2">
        <v>5</v>
      </c>
      <c r="E1358" s="2">
        <v>3</v>
      </c>
      <c r="F1358" s="2">
        <v>3</v>
      </c>
    </row>
    <row r="1359" spans="1:6" ht="12.5">
      <c r="A1359" s="2">
        <v>548</v>
      </c>
      <c r="B1359" s="2">
        <v>9671</v>
      </c>
      <c r="C1359" s="2">
        <v>3</v>
      </c>
      <c r="D1359" s="2">
        <v>1</v>
      </c>
      <c r="E1359" s="2">
        <v>3</v>
      </c>
      <c r="F1359" s="2">
        <v>2</v>
      </c>
    </row>
    <row r="1360" spans="1:6" ht="12.5">
      <c r="A1360" s="2">
        <v>553</v>
      </c>
      <c r="B1360" s="2">
        <v>9460</v>
      </c>
      <c r="C1360" s="2">
        <v>3</v>
      </c>
      <c r="D1360" s="2">
        <v>21</v>
      </c>
      <c r="E1360" s="2">
        <v>3</v>
      </c>
      <c r="F1360" s="2">
        <v>2</v>
      </c>
    </row>
    <row r="1361" spans="1:6" ht="12.5">
      <c r="A1361" s="2">
        <v>599</v>
      </c>
      <c r="B1361" s="2">
        <v>3537</v>
      </c>
      <c r="C1361" s="2">
        <v>3</v>
      </c>
      <c r="D1361" s="2">
        <v>8</v>
      </c>
      <c r="E1361" s="2">
        <v>3</v>
      </c>
      <c r="F1361" s="2">
        <v>4</v>
      </c>
    </row>
    <row r="1362" spans="1:6" ht="12.5">
      <c r="A1362" s="2">
        <v>604</v>
      </c>
      <c r="B1362" s="2">
        <v>1177</v>
      </c>
      <c r="C1362" s="2">
        <v>3</v>
      </c>
      <c r="D1362" s="2">
        <v>2</v>
      </c>
      <c r="E1362" s="2">
        <v>3</v>
      </c>
      <c r="F1362" s="2">
        <v>3</v>
      </c>
    </row>
    <row r="1363" spans="1:6" ht="12.5">
      <c r="A1363" s="2">
        <v>656</v>
      </c>
      <c r="B1363" s="2">
        <v>2564</v>
      </c>
      <c r="C1363" s="2">
        <v>3</v>
      </c>
      <c r="D1363" s="2">
        <v>6</v>
      </c>
      <c r="E1363" s="2">
        <v>3</v>
      </c>
      <c r="F1363" s="2">
        <v>4</v>
      </c>
    </row>
    <row r="1364" spans="1:6" ht="12.5">
      <c r="A1364" s="2">
        <v>765</v>
      </c>
      <c r="B1364" s="2">
        <v>221</v>
      </c>
      <c r="C1364" s="2">
        <v>3</v>
      </c>
      <c r="D1364" s="2">
        <v>0</v>
      </c>
      <c r="E1364" s="2">
        <v>3</v>
      </c>
      <c r="F1364" s="2">
        <v>4</v>
      </c>
    </row>
    <row r="1365" spans="1:6" ht="12.5">
      <c r="A1365" s="2">
        <v>823</v>
      </c>
      <c r="B1365" s="2">
        <v>3855</v>
      </c>
      <c r="C1365" s="2">
        <v>3</v>
      </c>
      <c r="D1365" s="2">
        <v>21</v>
      </c>
      <c r="E1365" s="2">
        <v>3</v>
      </c>
      <c r="F1365" s="2">
        <v>2</v>
      </c>
    </row>
    <row r="1366" spans="1:6" ht="12.5">
      <c r="A1366" s="2">
        <v>913</v>
      </c>
      <c r="B1366" s="2">
        <v>1048</v>
      </c>
      <c r="C1366" s="2">
        <v>3</v>
      </c>
      <c r="D1366" s="2">
        <v>9</v>
      </c>
      <c r="E1366" s="2">
        <v>3</v>
      </c>
      <c r="F1366" s="2">
        <v>4</v>
      </c>
    </row>
    <row r="1367" spans="1:6" ht="12.5">
      <c r="A1367" s="2">
        <v>1008</v>
      </c>
      <c r="B1367" s="2">
        <v>8975</v>
      </c>
      <c r="C1367" s="2">
        <v>3</v>
      </c>
      <c r="D1367" s="2">
        <v>1</v>
      </c>
      <c r="E1367" s="2">
        <v>3</v>
      </c>
      <c r="F1367" s="2">
        <v>2</v>
      </c>
    </row>
    <row r="1368" spans="1:6" ht="12.5">
      <c r="A1368" s="2">
        <v>1114</v>
      </c>
      <c r="B1368" s="2">
        <v>11010</v>
      </c>
      <c r="C1368" s="2">
        <v>3</v>
      </c>
      <c r="D1368" s="2">
        <v>1</v>
      </c>
      <c r="E1368" s="2">
        <v>3</v>
      </c>
      <c r="F1368" s="2">
        <v>3</v>
      </c>
    </row>
    <row r="1369" spans="1:6" ht="12.5">
      <c r="A1369" s="2">
        <v>1202</v>
      </c>
      <c r="B1369" s="2">
        <v>3602</v>
      </c>
      <c r="C1369" s="2">
        <v>3</v>
      </c>
      <c r="D1369" s="2">
        <v>5</v>
      </c>
      <c r="E1369" s="2">
        <v>3</v>
      </c>
      <c r="F1369" s="2">
        <v>4</v>
      </c>
    </row>
    <row r="1370" spans="1:6" ht="12.5">
      <c r="A1370" s="2">
        <v>1209</v>
      </c>
      <c r="B1370" s="2">
        <v>945</v>
      </c>
      <c r="C1370" s="2">
        <v>3</v>
      </c>
      <c r="D1370" s="2">
        <v>2</v>
      </c>
      <c r="E1370" s="2">
        <v>3</v>
      </c>
      <c r="F1370" s="2">
        <v>4</v>
      </c>
    </row>
    <row r="1371" spans="1:6" ht="12.5">
      <c r="A1371" s="2">
        <v>1405</v>
      </c>
      <c r="B1371" s="2">
        <v>10827</v>
      </c>
      <c r="C1371" s="2">
        <v>3</v>
      </c>
      <c r="D1371" s="2">
        <v>1</v>
      </c>
      <c r="E1371" s="2">
        <v>3</v>
      </c>
      <c r="F1371" s="2">
        <v>4</v>
      </c>
    </row>
    <row r="1372" spans="1:6" ht="12.5">
      <c r="A1372" s="2">
        <v>1576</v>
      </c>
      <c r="B1372" s="2">
        <v>2130</v>
      </c>
      <c r="C1372" s="2">
        <v>3</v>
      </c>
      <c r="D1372" s="2">
        <v>8</v>
      </c>
      <c r="E1372" s="2">
        <v>3</v>
      </c>
      <c r="F1372" s="2">
        <v>3</v>
      </c>
    </row>
    <row r="1373" spans="1:6" ht="12.5">
      <c r="A1373" s="2">
        <v>1762</v>
      </c>
      <c r="B1373" s="2">
        <v>6616</v>
      </c>
      <c r="C1373" s="2">
        <v>3</v>
      </c>
      <c r="D1373" s="2">
        <v>66</v>
      </c>
      <c r="E1373" s="2">
        <v>3</v>
      </c>
      <c r="F1373" s="2">
        <v>8</v>
      </c>
    </row>
    <row r="1374" spans="1:6" ht="12.5">
      <c r="A1374" s="2">
        <v>1770</v>
      </c>
      <c r="B1374" s="2">
        <v>5093</v>
      </c>
      <c r="C1374" s="2">
        <v>3</v>
      </c>
      <c r="D1374" s="2">
        <v>7</v>
      </c>
      <c r="E1374" s="2">
        <v>3</v>
      </c>
      <c r="F1374" s="2">
        <v>3</v>
      </c>
    </row>
    <row r="1375" spans="1:6" ht="12.5">
      <c r="A1375" s="2">
        <v>1797</v>
      </c>
      <c r="B1375" s="2">
        <v>2952</v>
      </c>
      <c r="C1375" s="2">
        <v>3</v>
      </c>
      <c r="D1375" s="2">
        <v>2</v>
      </c>
      <c r="E1375" s="2">
        <v>3</v>
      </c>
      <c r="F1375" s="2">
        <v>3</v>
      </c>
    </row>
    <row r="1376" spans="1:6" ht="12.5">
      <c r="A1376" s="2">
        <v>1932</v>
      </c>
      <c r="B1376" s="2">
        <v>1458</v>
      </c>
      <c r="C1376" s="2">
        <v>3</v>
      </c>
      <c r="D1376" s="2">
        <v>3</v>
      </c>
      <c r="E1376" s="2">
        <v>3</v>
      </c>
      <c r="F1376" s="2">
        <v>3</v>
      </c>
    </row>
    <row r="1377" spans="1:6" ht="12.5">
      <c r="A1377" s="2">
        <v>1933</v>
      </c>
      <c r="B1377" s="2">
        <v>7007</v>
      </c>
      <c r="C1377" s="2">
        <v>3</v>
      </c>
      <c r="D1377" s="2">
        <v>4</v>
      </c>
      <c r="E1377" s="2">
        <v>3</v>
      </c>
      <c r="F1377" s="2">
        <v>2</v>
      </c>
    </row>
    <row r="1378" spans="1:6" ht="12.5">
      <c r="A1378" s="2">
        <v>1981</v>
      </c>
      <c r="B1378" s="2">
        <v>8524</v>
      </c>
      <c r="C1378" s="2">
        <v>3</v>
      </c>
      <c r="D1378" s="2">
        <v>7</v>
      </c>
      <c r="E1378" s="2">
        <v>3</v>
      </c>
      <c r="F1378" s="2">
        <v>3</v>
      </c>
    </row>
    <row r="1379" spans="1:6" ht="12.5">
      <c r="A1379" s="2">
        <v>2139</v>
      </c>
      <c r="B1379" s="2">
        <v>2715</v>
      </c>
      <c r="C1379" s="2">
        <v>3</v>
      </c>
      <c r="D1379" s="2">
        <v>2</v>
      </c>
      <c r="E1379" s="2">
        <v>3</v>
      </c>
      <c r="F1379" s="2">
        <v>2</v>
      </c>
    </row>
    <row r="1380" spans="1:6" ht="12.5">
      <c r="A1380" s="2">
        <v>2230</v>
      </c>
      <c r="B1380" s="2">
        <v>7004</v>
      </c>
      <c r="C1380" s="2">
        <v>3</v>
      </c>
      <c r="D1380" s="2">
        <v>1</v>
      </c>
      <c r="E1380" s="2">
        <v>3</v>
      </c>
      <c r="F1380" s="2">
        <v>2</v>
      </c>
    </row>
    <row r="1381" spans="1:6" ht="12.5">
      <c r="A1381" s="2">
        <v>2239</v>
      </c>
      <c r="B1381" s="2">
        <v>9405</v>
      </c>
      <c r="C1381" s="2">
        <v>3</v>
      </c>
      <c r="D1381" s="2">
        <v>1</v>
      </c>
      <c r="E1381" s="2">
        <v>3</v>
      </c>
      <c r="F1381" s="2">
        <v>4</v>
      </c>
    </row>
    <row r="1382" spans="1:6" ht="12.5">
      <c r="A1382" s="2">
        <v>94</v>
      </c>
      <c r="B1382" s="2">
        <v>2230</v>
      </c>
      <c r="C1382" s="2">
        <v>2</v>
      </c>
      <c r="D1382" s="2">
        <v>0</v>
      </c>
      <c r="E1382" s="2">
        <v>3</v>
      </c>
      <c r="F1382" s="2">
        <v>3</v>
      </c>
    </row>
    <row r="1383" spans="1:6" ht="12.5">
      <c r="A1383" s="2">
        <v>267</v>
      </c>
      <c r="B1383" s="2">
        <v>9703</v>
      </c>
      <c r="C1383" s="2">
        <v>2</v>
      </c>
      <c r="D1383" s="2">
        <v>1</v>
      </c>
      <c r="E1383" s="2">
        <v>3</v>
      </c>
      <c r="F1383" s="2">
        <v>2</v>
      </c>
    </row>
    <row r="1384" spans="1:6" ht="12.5">
      <c r="A1384" s="2">
        <v>565</v>
      </c>
      <c r="B1384" s="2">
        <v>4184</v>
      </c>
      <c r="C1384" s="2">
        <v>2</v>
      </c>
      <c r="D1384" s="2">
        <v>2</v>
      </c>
      <c r="E1384" s="2">
        <v>3</v>
      </c>
      <c r="F1384" s="2">
        <v>5</v>
      </c>
    </row>
    <row r="1385" spans="1:6" ht="12.5">
      <c r="A1385" s="2">
        <v>645</v>
      </c>
      <c r="B1385" s="2">
        <v>4381</v>
      </c>
      <c r="C1385" s="2">
        <v>2</v>
      </c>
      <c r="D1385" s="2">
        <v>11</v>
      </c>
      <c r="E1385" s="2">
        <v>3</v>
      </c>
      <c r="F1385" s="2">
        <v>6</v>
      </c>
    </row>
    <row r="1386" spans="1:6" ht="12.5">
      <c r="A1386" s="2">
        <v>741</v>
      </c>
      <c r="B1386" s="2">
        <v>7458</v>
      </c>
      <c r="C1386" s="2">
        <v>2</v>
      </c>
      <c r="D1386" s="2">
        <v>3</v>
      </c>
      <c r="E1386" s="2">
        <v>3</v>
      </c>
      <c r="F1386" s="2">
        <v>3</v>
      </c>
    </row>
    <row r="1387" spans="1:6" ht="12.5">
      <c r="A1387" s="2">
        <v>786</v>
      </c>
      <c r="B1387" s="2">
        <v>1135</v>
      </c>
      <c r="C1387" s="2">
        <v>2</v>
      </c>
      <c r="D1387" s="2">
        <v>2</v>
      </c>
      <c r="E1387" s="2">
        <v>3</v>
      </c>
      <c r="F1387" s="2">
        <v>4</v>
      </c>
    </row>
    <row r="1388" spans="1:6" ht="12.5">
      <c r="A1388" s="2">
        <v>793</v>
      </c>
      <c r="B1388" s="2">
        <v>11075</v>
      </c>
      <c r="C1388" s="2">
        <v>2</v>
      </c>
      <c r="D1388" s="2">
        <v>2</v>
      </c>
      <c r="E1388" s="2">
        <v>3</v>
      </c>
      <c r="F1388" s="2">
        <v>5</v>
      </c>
    </row>
    <row r="1389" spans="1:6" ht="12.5">
      <c r="A1389" s="2">
        <v>849</v>
      </c>
      <c r="B1389" s="2">
        <v>10262</v>
      </c>
      <c r="C1389" s="2">
        <v>2</v>
      </c>
      <c r="D1389" s="2">
        <v>10</v>
      </c>
      <c r="E1389" s="2">
        <v>3</v>
      </c>
      <c r="F1389" s="2">
        <v>3</v>
      </c>
    </row>
    <row r="1390" spans="1:6" ht="12.5">
      <c r="A1390" s="2">
        <v>955</v>
      </c>
      <c r="B1390" s="2">
        <v>10031</v>
      </c>
      <c r="C1390" s="2">
        <v>2</v>
      </c>
      <c r="D1390" s="2">
        <v>1</v>
      </c>
      <c r="E1390" s="2">
        <v>3</v>
      </c>
      <c r="F1390" s="2">
        <v>4</v>
      </c>
    </row>
    <row r="1391" spans="1:6" ht="12.5">
      <c r="A1391" s="2">
        <v>967</v>
      </c>
      <c r="B1391" s="2">
        <v>7011</v>
      </c>
      <c r="C1391" s="2">
        <v>2</v>
      </c>
      <c r="D1391" s="2">
        <v>9</v>
      </c>
      <c r="E1391" s="2">
        <v>3</v>
      </c>
      <c r="F1391" s="2">
        <v>4</v>
      </c>
    </row>
    <row r="1392" spans="1:6" ht="12.5">
      <c r="A1392" s="2">
        <v>1020</v>
      </c>
      <c r="B1392" s="2">
        <v>5287</v>
      </c>
      <c r="C1392" s="2">
        <v>2</v>
      </c>
      <c r="D1392" s="2">
        <v>1</v>
      </c>
      <c r="E1392" s="2">
        <v>3</v>
      </c>
      <c r="F1392" s="2">
        <v>3</v>
      </c>
    </row>
    <row r="1393" spans="1:6" ht="12.5">
      <c r="A1393" s="2">
        <v>1337</v>
      </c>
      <c r="B1393" s="2">
        <v>9635</v>
      </c>
      <c r="C1393" s="2">
        <v>2</v>
      </c>
      <c r="D1393" s="2">
        <v>3</v>
      </c>
      <c r="E1393" s="2">
        <v>3</v>
      </c>
      <c r="F1393" s="2">
        <v>3</v>
      </c>
    </row>
    <row r="1394" spans="1:6" ht="12.5">
      <c r="A1394" s="2">
        <v>1409</v>
      </c>
      <c r="B1394" s="2">
        <v>10010</v>
      </c>
      <c r="C1394" s="2">
        <v>2</v>
      </c>
      <c r="D1394" s="2">
        <v>1</v>
      </c>
      <c r="E1394" s="2">
        <v>3</v>
      </c>
      <c r="F1394" s="2">
        <v>2</v>
      </c>
    </row>
    <row r="1395" spans="1:6" ht="12.5">
      <c r="A1395" s="2">
        <v>1596</v>
      </c>
      <c r="B1395" s="2">
        <v>24</v>
      </c>
      <c r="C1395" s="2">
        <v>2</v>
      </c>
      <c r="D1395" s="2">
        <v>2</v>
      </c>
      <c r="E1395" s="2">
        <v>3</v>
      </c>
      <c r="F1395" s="2">
        <v>4</v>
      </c>
    </row>
    <row r="1396" spans="1:6" ht="12.5">
      <c r="A1396" s="2">
        <v>1987</v>
      </c>
      <c r="B1396" s="2">
        <v>4552</v>
      </c>
      <c r="C1396" s="2">
        <v>2</v>
      </c>
      <c r="D1396" s="2">
        <v>26</v>
      </c>
      <c r="E1396" s="2">
        <v>3</v>
      </c>
      <c r="F1396" s="2">
        <v>3</v>
      </c>
    </row>
    <row r="1397" spans="1:6" ht="12.5">
      <c r="A1397" s="2">
        <v>2008</v>
      </c>
      <c r="B1397" s="2">
        <v>6870</v>
      </c>
      <c r="C1397" s="2">
        <v>2</v>
      </c>
      <c r="D1397" s="2">
        <v>13</v>
      </c>
      <c r="E1397" s="2">
        <v>3</v>
      </c>
      <c r="F1397" s="2">
        <v>7</v>
      </c>
    </row>
    <row r="1398" spans="1:6" ht="12.5">
      <c r="A1398" s="2">
        <v>2122</v>
      </c>
      <c r="B1398" s="2">
        <v>7532</v>
      </c>
      <c r="C1398" s="2">
        <v>2</v>
      </c>
      <c r="D1398" s="2">
        <v>0</v>
      </c>
      <c r="E1398" s="2">
        <v>3</v>
      </c>
      <c r="F1398" s="2">
        <v>4</v>
      </c>
    </row>
    <row r="1399" spans="1:6" ht="12.5">
      <c r="A1399" s="2">
        <v>2180</v>
      </c>
      <c r="B1399" s="2">
        <v>1321</v>
      </c>
      <c r="C1399" s="2">
        <v>2</v>
      </c>
      <c r="D1399" s="2">
        <v>2</v>
      </c>
      <c r="E1399" s="2">
        <v>3</v>
      </c>
      <c r="F1399" s="2">
        <v>3</v>
      </c>
    </row>
    <row r="1400" spans="1:6" ht="12.5">
      <c r="A1400" s="2">
        <v>304</v>
      </c>
      <c r="B1400" s="2">
        <v>9491</v>
      </c>
      <c r="C1400" s="2">
        <v>1</v>
      </c>
      <c r="D1400" s="2">
        <v>3</v>
      </c>
      <c r="E1400" s="2">
        <v>3</v>
      </c>
      <c r="F1400" s="2">
        <v>3</v>
      </c>
    </row>
    <row r="1401" spans="1:6" ht="12.5">
      <c r="A1401" s="2">
        <v>396</v>
      </c>
      <c r="B1401" s="2">
        <v>7414</v>
      </c>
      <c r="C1401" s="2">
        <v>1</v>
      </c>
      <c r="D1401" s="2">
        <v>3</v>
      </c>
      <c r="E1401" s="2">
        <v>3</v>
      </c>
      <c r="F1401" s="2">
        <v>4</v>
      </c>
    </row>
    <row r="1402" spans="1:6" ht="12.5">
      <c r="A1402" s="2">
        <v>659</v>
      </c>
      <c r="B1402" s="2">
        <v>6940</v>
      </c>
      <c r="C1402" s="2">
        <v>1</v>
      </c>
      <c r="D1402" s="2">
        <v>1</v>
      </c>
      <c r="E1402" s="2">
        <v>3</v>
      </c>
      <c r="F1402" s="2">
        <v>3</v>
      </c>
    </row>
    <row r="1403" spans="1:6" ht="12.5">
      <c r="A1403" s="2">
        <v>848</v>
      </c>
      <c r="B1403" s="2">
        <v>2895</v>
      </c>
      <c r="C1403" s="2">
        <v>1</v>
      </c>
      <c r="D1403" s="2">
        <v>9</v>
      </c>
      <c r="E1403" s="2">
        <v>3</v>
      </c>
      <c r="F1403" s="2">
        <v>5</v>
      </c>
    </row>
    <row r="1404" spans="1:6" ht="12.5">
      <c r="A1404" s="2">
        <v>1036</v>
      </c>
      <c r="B1404" s="2">
        <v>10613</v>
      </c>
      <c r="C1404" s="2">
        <v>1</v>
      </c>
      <c r="D1404" s="2">
        <v>2</v>
      </c>
      <c r="E1404" s="2">
        <v>3</v>
      </c>
      <c r="F1404" s="2">
        <v>4</v>
      </c>
    </row>
    <row r="1405" spans="1:6" ht="12.5">
      <c r="A1405" s="2">
        <v>1188</v>
      </c>
      <c r="B1405" s="2">
        <v>4088</v>
      </c>
      <c r="C1405" s="2">
        <v>1</v>
      </c>
      <c r="D1405" s="2">
        <v>1</v>
      </c>
      <c r="E1405" s="2">
        <v>3</v>
      </c>
      <c r="F1405" s="2">
        <v>4</v>
      </c>
    </row>
    <row r="1406" spans="1:6" ht="12.5">
      <c r="A1406" s="2">
        <v>1478</v>
      </c>
      <c r="B1406" s="2">
        <v>5286</v>
      </c>
      <c r="C1406" s="2">
        <v>1</v>
      </c>
      <c r="D1406" s="2">
        <v>7</v>
      </c>
      <c r="E1406" s="2">
        <v>3</v>
      </c>
      <c r="F1406" s="2">
        <v>4</v>
      </c>
    </row>
    <row r="1407" spans="1:6" ht="12.5">
      <c r="A1407" s="2">
        <v>1518</v>
      </c>
      <c r="B1407" s="2">
        <v>10380</v>
      </c>
      <c r="C1407" s="2">
        <v>1</v>
      </c>
      <c r="D1407" s="2">
        <v>3</v>
      </c>
      <c r="E1407" s="2">
        <v>3</v>
      </c>
      <c r="F1407" s="2">
        <v>3</v>
      </c>
    </row>
    <row r="1408" spans="1:6" ht="12.5">
      <c r="A1408" s="2">
        <v>1590</v>
      </c>
      <c r="B1408" s="2">
        <v>4971</v>
      </c>
      <c r="C1408" s="2">
        <v>1</v>
      </c>
      <c r="D1408" s="2">
        <v>1</v>
      </c>
      <c r="E1408" s="2">
        <v>3</v>
      </c>
      <c r="F1408" s="2">
        <v>4</v>
      </c>
    </row>
    <row r="1409" spans="1:6" ht="12.5">
      <c r="A1409" s="2">
        <v>1620</v>
      </c>
      <c r="B1409" s="2">
        <v>8286</v>
      </c>
      <c r="C1409" s="2">
        <v>1</v>
      </c>
      <c r="D1409" s="2">
        <v>1</v>
      </c>
      <c r="E1409" s="2">
        <v>3</v>
      </c>
      <c r="F1409" s="2">
        <v>4</v>
      </c>
    </row>
    <row r="1410" spans="1:6" ht="12.5">
      <c r="A1410" s="2">
        <v>1769</v>
      </c>
      <c r="B1410" s="2">
        <v>5534</v>
      </c>
      <c r="C1410" s="2">
        <v>1</v>
      </c>
      <c r="D1410" s="2">
        <v>0</v>
      </c>
      <c r="E1410" s="2">
        <v>3</v>
      </c>
      <c r="F1410" s="2">
        <v>3</v>
      </c>
    </row>
    <row r="1411" spans="1:6" ht="12.5">
      <c r="A1411" s="2">
        <v>1794</v>
      </c>
      <c r="B1411" s="2">
        <v>9905</v>
      </c>
      <c r="C1411" s="2">
        <v>1</v>
      </c>
      <c r="D1411" s="2">
        <v>1</v>
      </c>
      <c r="E1411" s="2">
        <v>3</v>
      </c>
      <c r="F1411" s="2">
        <v>3</v>
      </c>
    </row>
    <row r="1412" spans="1:6" ht="12.5">
      <c r="A1412" s="2">
        <v>1903</v>
      </c>
      <c r="B1412" s="2">
        <v>2337</v>
      </c>
      <c r="C1412" s="2">
        <v>1</v>
      </c>
      <c r="D1412" s="2">
        <v>1</v>
      </c>
      <c r="E1412" s="2">
        <v>3</v>
      </c>
      <c r="F1412" s="2">
        <v>3</v>
      </c>
    </row>
    <row r="1413" spans="1:6" ht="12.5">
      <c r="A1413" s="2">
        <v>1964</v>
      </c>
      <c r="B1413" s="2">
        <v>1158</v>
      </c>
      <c r="C1413" s="2">
        <v>1</v>
      </c>
      <c r="D1413" s="2">
        <v>0</v>
      </c>
      <c r="E1413" s="2">
        <v>3</v>
      </c>
      <c r="F1413" s="2">
        <v>4</v>
      </c>
    </row>
    <row r="1414" spans="1:6" ht="12.5">
      <c r="A1414" s="2">
        <v>2032</v>
      </c>
      <c r="B1414" s="2">
        <v>8625</v>
      </c>
      <c r="C1414" s="2">
        <v>1</v>
      </c>
      <c r="D1414" s="2">
        <v>5</v>
      </c>
      <c r="E1414" s="2">
        <v>3</v>
      </c>
      <c r="F1414" s="2">
        <v>3</v>
      </c>
    </row>
    <row r="1415" spans="1:6" ht="12.5">
      <c r="A1415" s="2">
        <v>2068</v>
      </c>
      <c r="B1415" s="2">
        <v>10500</v>
      </c>
      <c r="C1415" s="2">
        <v>1</v>
      </c>
      <c r="D1415" s="2">
        <v>14</v>
      </c>
      <c r="E1415" s="2">
        <v>3</v>
      </c>
      <c r="F1415" s="2">
        <v>4</v>
      </c>
    </row>
    <row r="1416" spans="1:6" ht="12.5">
      <c r="A1416" s="2">
        <v>2199</v>
      </c>
      <c r="B1416" s="2">
        <v>9014</v>
      </c>
      <c r="C1416" s="2">
        <v>1</v>
      </c>
      <c r="D1416" s="2">
        <v>0</v>
      </c>
      <c r="E1416" s="2">
        <v>3</v>
      </c>
      <c r="F1416" s="2">
        <v>3</v>
      </c>
    </row>
    <row r="1417" spans="1:6" ht="12.5">
      <c r="A1417" s="2">
        <v>8</v>
      </c>
      <c r="B1417" s="2">
        <v>4855</v>
      </c>
      <c r="C1417" s="2">
        <v>0</v>
      </c>
      <c r="D1417" s="2">
        <v>3</v>
      </c>
      <c r="E1417" s="2">
        <v>3</v>
      </c>
      <c r="F1417" s="2">
        <v>2</v>
      </c>
    </row>
    <row r="1418" spans="1:6" ht="12.5">
      <c r="A1418" s="2">
        <v>86</v>
      </c>
      <c r="B1418" s="2">
        <v>273</v>
      </c>
      <c r="C1418" s="2">
        <v>0</v>
      </c>
      <c r="D1418" s="2">
        <v>0</v>
      </c>
      <c r="E1418" s="2">
        <v>3</v>
      </c>
      <c r="F1418" s="2">
        <v>4</v>
      </c>
    </row>
    <row r="1419" spans="1:6" ht="12.5">
      <c r="A1419" s="2">
        <v>141</v>
      </c>
      <c r="B1419" s="2">
        <v>11084</v>
      </c>
      <c r="C1419" s="2">
        <v>0</v>
      </c>
      <c r="D1419" s="2">
        <v>20</v>
      </c>
      <c r="E1419" s="2">
        <v>3</v>
      </c>
      <c r="F1419" s="2">
        <v>7</v>
      </c>
    </row>
    <row r="1420" spans="1:6" ht="12.5">
      <c r="A1420" s="2">
        <v>225</v>
      </c>
      <c r="B1420" s="2">
        <v>4653</v>
      </c>
      <c r="C1420" s="2">
        <v>0</v>
      </c>
      <c r="D1420" s="2">
        <v>1</v>
      </c>
      <c r="E1420" s="2">
        <v>3</v>
      </c>
      <c r="F1420" s="2">
        <v>4</v>
      </c>
    </row>
    <row r="1421" spans="1:6" ht="12.5">
      <c r="A1421" s="2">
        <v>278</v>
      </c>
      <c r="B1421" s="2">
        <v>3762</v>
      </c>
      <c r="C1421" s="2">
        <v>0</v>
      </c>
      <c r="D1421" s="2">
        <v>130</v>
      </c>
      <c r="E1421" s="2">
        <v>3</v>
      </c>
      <c r="F1421" s="2">
        <v>8</v>
      </c>
    </row>
    <row r="1422" spans="1:6" ht="12.5">
      <c r="A1422" s="2">
        <v>291</v>
      </c>
      <c r="B1422" s="2">
        <v>7254</v>
      </c>
      <c r="C1422" s="2">
        <v>0</v>
      </c>
      <c r="D1422" s="2">
        <v>8</v>
      </c>
      <c r="E1422" s="2">
        <v>3</v>
      </c>
      <c r="F1422" s="2">
        <v>3</v>
      </c>
    </row>
    <row r="1423" spans="1:6" ht="12.5">
      <c r="A1423" s="2">
        <v>295</v>
      </c>
      <c r="B1423" s="2">
        <v>2926</v>
      </c>
      <c r="C1423" s="2">
        <v>0</v>
      </c>
      <c r="D1423" s="2">
        <v>13</v>
      </c>
      <c r="E1423" s="2">
        <v>3</v>
      </c>
      <c r="F1423" s="2">
        <v>11</v>
      </c>
    </row>
    <row r="1424" spans="1:6" ht="12.5">
      <c r="A1424" s="2">
        <v>300</v>
      </c>
      <c r="B1424" s="2">
        <v>5827</v>
      </c>
      <c r="C1424" s="2">
        <v>0</v>
      </c>
      <c r="D1424" s="2">
        <v>2</v>
      </c>
      <c r="E1424" s="2">
        <v>3</v>
      </c>
      <c r="F1424" s="2">
        <v>3</v>
      </c>
    </row>
    <row r="1425" spans="1:6" ht="12.5">
      <c r="A1425" s="2">
        <v>314</v>
      </c>
      <c r="B1425" s="2">
        <v>3050</v>
      </c>
      <c r="C1425" s="2">
        <v>0</v>
      </c>
      <c r="D1425" s="2">
        <v>2</v>
      </c>
      <c r="E1425" s="2">
        <v>3</v>
      </c>
      <c r="F1425" s="2">
        <v>6</v>
      </c>
    </row>
    <row r="1426" spans="1:6" ht="12.5">
      <c r="A1426" s="2">
        <v>375</v>
      </c>
      <c r="B1426" s="2">
        <v>10703</v>
      </c>
      <c r="C1426" s="2">
        <v>0</v>
      </c>
      <c r="D1426" s="2">
        <v>0</v>
      </c>
      <c r="E1426" s="2">
        <v>3</v>
      </c>
      <c r="F1426" s="2">
        <v>2</v>
      </c>
    </row>
    <row r="1427" spans="1:6" ht="12.5">
      <c r="A1427" s="2">
        <v>408</v>
      </c>
      <c r="B1427" s="2">
        <v>5049</v>
      </c>
      <c r="C1427" s="2">
        <v>0</v>
      </c>
      <c r="D1427" s="2">
        <v>3</v>
      </c>
      <c r="E1427" s="2">
        <v>3</v>
      </c>
      <c r="F1427" s="2">
        <v>2</v>
      </c>
    </row>
    <row r="1428" spans="1:6" ht="12.5">
      <c r="A1428" s="2">
        <v>415</v>
      </c>
      <c r="B1428" s="2">
        <v>7106</v>
      </c>
      <c r="C1428" s="2">
        <v>0</v>
      </c>
      <c r="D1428" s="2">
        <v>0</v>
      </c>
      <c r="E1428" s="2">
        <v>3</v>
      </c>
      <c r="F1428" s="2">
        <v>10</v>
      </c>
    </row>
    <row r="1429" spans="1:6" ht="12.5">
      <c r="A1429" s="2">
        <v>461</v>
      </c>
      <c r="B1429" s="2">
        <v>7851</v>
      </c>
      <c r="C1429" s="2">
        <v>0</v>
      </c>
      <c r="D1429" s="2">
        <v>191</v>
      </c>
      <c r="E1429" s="2">
        <v>3</v>
      </c>
      <c r="F1429" s="2">
        <v>11</v>
      </c>
    </row>
    <row r="1430" spans="1:6" ht="12.5">
      <c r="A1430" s="2">
        <v>462</v>
      </c>
      <c r="B1430" s="2">
        <v>8594</v>
      </c>
      <c r="C1430" s="2">
        <v>0</v>
      </c>
      <c r="D1430" s="2">
        <v>1</v>
      </c>
      <c r="E1430" s="2">
        <v>3</v>
      </c>
      <c r="F1430" s="2">
        <v>3</v>
      </c>
    </row>
    <row r="1431" spans="1:6" ht="12.5">
      <c r="A1431" s="2">
        <v>486</v>
      </c>
      <c r="B1431" s="2">
        <v>5172</v>
      </c>
      <c r="C1431" s="2">
        <v>0</v>
      </c>
      <c r="D1431" s="2">
        <v>20</v>
      </c>
      <c r="E1431" s="2">
        <v>3</v>
      </c>
      <c r="F1431" s="2">
        <v>7</v>
      </c>
    </row>
    <row r="1432" spans="1:6" ht="12.5">
      <c r="A1432" s="2">
        <v>516</v>
      </c>
      <c r="B1432" s="2">
        <v>11025</v>
      </c>
      <c r="C1432" s="2">
        <v>0</v>
      </c>
      <c r="D1432" s="2">
        <v>3</v>
      </c>
      <c r="E1432" s="2">
        <v>3</v>
      </c>
      <c r="F1432" s="2">
        <v>3</v>
      </c>
    </row>
    <row r="1433" spans="1:6" ht="12.5">
      <c r="A1433" s="2">
        <v>580</v>
      </c>
      <c r="B1433" s="2">
        <v>5966</v>
      </c>
      <c r="C1433" s="2">
        <v>0</v>
      </c>
      <c r="D1433" s="2">
        <v>0</v>
      </c>
      <c r="E1433" s="2">
        <v>3</v>
      </c>
      <c r="F1433" s="2">
        <v>6</v>
      </c>
    </row>
    <row r="1434" spans="1:6" ht="12.5">
      <c r="A1434" s="2">
        <v>759</v>
      </c>
      <c r="B1434" s="2">
        <v>6488</v>
      </c>
      <c r="C1434" s="2">
        <v>0</v>
      </c>
      <c r="D1434" s="2">
        <v>0</v>
      </c>
      <c r="E1434" s="2">
        <v>3</v>
      </c>
      <c r="F1434" s="2">
        <v>2</v>
      </c>
    </row>
    <row r="1435" spans="1:6" ht="12.5">
      <c r="A1435" s="2">
        <v>935</v>
      </c>
      <c r="B1435" s="2">
        <v>6383</v>
      </c>
      <c r="C1435" s="2">
        <v>0</v>
      </c>
      <c r="D1435" s="2">
        <v>1</v>
      </c>
      <c r="E1435" s="2">
        <v>3</v>
      </c>
      <c r="F1435" s="2">
        <v>3</v>
      </c>
    </row>
    <row r="1436" spans="1:6" ht="12.5">
      <c r="A1436" s="2">
        <v>971</v>
      </c>
      <c r="B1436" s="2">
        <v>1734</v>
      </c>
      <c r="C1436" s="2">
        <v>0</v>
      </c>
      <c r="D1436" s="2">
        <v>2</v>
      </c>
      <c r="E1436" s="2">
        <v>3</v>
      </c>
      <c r="F1436" s="2">
        <v>4</v>
      </c>
    </row>
    <row r="1437" spans="1:6" ht="12.5">
      <c r="A1437" s="2">
        <v>1013</v>
      </c>
      <c r="B1437" s="2">
        <v>1970</v>
      </c>
      <c r="C1437" s="2">
        <v>0</v>
      </c>
      <c r="D1437" s="2">
        <v>0</v>
      </c>
      <c r="E1437" s="2">
        <v>3</v>
      </c>
      <c r="F1437" s="2">
        <v>3</v>
      </c>
    </row>
    <row r="1438" spans="1:6" ht="12.5">
      <c r="A1438" s="2">
        <v>1060</v>
      </c>
      <c r="B1438" s="2">
        <v>4491</v>
      </c>
      <c r="C1438" s="2">
        <v>0</v>
      </c>
      <c r="D1438" s="2">
        <v>0</v>
      </c>
      <c r="E1438" s="2">
        <v>3</v>
      </c>
      <c r="F1438" s="2">
        <v>10</v>
      </c>
    </row>
    <row r="1439" spans="1:6" ht="12.5">
      <c r="A1439" s="2">
        <v>1070</v>
      </c>
      <c r="B1439" s="2">
        <v>10536</v>
      </c>
      <c r="C1439" s="2">
        <v>0</v>
      </c>
      <c r="D1439" s="2">
        <v>1</v>
      </c>
      <c r="E1439" s="2">
        <v>3</v>
      </c>
      <c r="F1439" s="2">
        <v>3</v>
      </c>
    </row>
    <row r="1440" spans="1:6" ht="12.5">
      <c r="A1440" s="2">
        <v>1217</v>
      </c>
      <c r="B1440" s="2">
        <v>8876</v>
      </c>
      <c r="C1440" s="2">
        <v>0</v>
      </c>
      <c r="D1440" s="2">
        <v>0</v>
      </c>
      <c r="E1440" s="2">
        <v>3</v>
      </c>
      <c r="F1440" s="2">
        <v>4</v>
      </c>
    </row>
    <row r="1441" spans="1:6" ht="12.5">
      <c r="A1441" s="2">
        <v>1229</v>
      </c>
      <c r="B1441" s="2">
        <v>833</v>
      </c>
      <c r="C1441" s="2">
        <v>0</v>
      </c>
      <c r="D1441" s="2">
        <v>0</v>
      </c>
      <c r="E1441" s="2">
        <v>3</v>
      </c>
      <c r="F1441" s="2">
        <v>3</v>
      </c>
    </row>
    <row r="1442" spans="1:6" ht="12.5">
      <c r="A1442" s="2">
        <v>1277</v>
      </c>
      <c r="B1442" s="2">
        <v>10637</v>
      </c>
      <c r="C1442" s="2">
        <v>0</v>
      </c>
      <c r="D1442" s="2">
        <v>30</v>
      </c>
      <c r="E1442" s="2">
        <v>3</v>
      </c>
      <c r="F1442" s="2">
        <v>3</v>
      </c>
    </row>
    <row r="1443" spans="1:6" ht="12.5">
      <c r="A1443" s="2">
        <v>1315</v>
      </c>
      <c r="B1443" s="2">
        <v>6197</v>
      </c>
      <c r="C1443" s="2">
        <v>0</v>
      </c>
      <c r="D1443" s="2">
        <v>0</v>
      </c>
      <c r="E1443" s="2">
        <v>3</v>
      </c>
      <c r="F1443" s="2">
        <v>3</v>
      </c>
    </row>
    <row r="1444" spans="1:6" ht="12.5">
      <c r="A1444" s="2">
        <v>1342</v>
      </c>
      <c r="B1444" s="2">
        <v>873</v>
      </c>
      <c r="C1444" s="2">
        <v>0</v>
      </c>
      <c r="D1444" s="2">
        <v>0</v>
      </c>
      <c r="E1444" s="2">
        <v>3</v>
      </c>
      <c r="F1444" s="2">
        <v>10</v>
      </c>
    </row>
    <row r="1445" spans="1:6" ht="12.5">
      <c r="A1445" s="2">
        <v>1442</v>
      </c>
      <c r="B1445" s="2">
        <v>6856</v>
      </c>
      <c r="C1445" s="2">
        <v>0</v>
      </c>
      <c r="D1445" s="2">
        <v>5</v>
      </c>
      <c r="E1445" s="2">
        <v>3</v>
      </c>
      <c r="F1445" s="2">
        <v>3</v>
      </c>
    </row>
    <row r="1446" spans="1:6" ht="12.5">
      <c r="A1446" s="2">
        <v>1511</v>
      </c>
      <c r="B1446" s="2">
        <v>9</v>
      </c>
      <c r="C1446" s="2">
        <v>0</v>
      </c>
      <c r="D1446" s="2">
        <v>0</v>
      </c>
      <c r="E1446" s="2">
        <v>3</v>
      </c>
      <c r="F1446" s="2">
        <v>2</v>
      </c>
    </row>
    <row r="1447" spans="1:6" ht="12.5">
      <c r="A1447" s="2">
        <v>1533</v>
      </c>
      <c r="B1447" s="2">
        <v>2804</v>
      </c>
      <c r="C1447" s="2">
        <v>0</v>
      </c>
      <c r="D1447" s="2">
        <v>0</v>
      </c>
      <c r="E1447" s="2">
        <v>3</v>
      </c>
      <c r="F1447" s="2">
        <v>2</v>
      </c>
    </row>
    <row r="1448" spans="1:6" ht="12.5">
      <c r="A1448" s="2">
        <v>1538</v>
      </c>
      <c r="B1448" s="2">
        <v>1079</v>
      </c>
      <c r="C1448" s="2">
        <v>0</v>
      </c>
      <c r="D1448" s="2">
        <v>0</v>
      </c>
      <c r="E1448" s="2">
        <v>3</v>
      </c>
      <c r="F1448" s="2">
        <v>9</v>
      </c>
    </row>
    <row r="1449" spans="1:6" ht="12.5">
      <c r="A1449" s="2">
        <v>1564</v>
      </c>
      <c r="B1449" s="2">
        <v>10699</v>
      </c>
      <c r="C1449" s="2">
        <v>0</v>
      </c>
      <c r="D1449" s="2">
        <v>0</v>
      </c>
      <c r="E1449" s="2">
        <v>3</v>
      </c>
      <c r="F1449" s="2">
        <v>3</v>
      </c>
    </row>
    <row r="1450" spans="1:6" ht="12.5">
      <c r="A1450" s="2">
        <v>1701</v>
      </c>
      <c r="B1450" s="2">
        <v>3565</v>
      </c>
      <c r="C1450" s="2">
        <v>0</v>
      </c>
      <c r="D1450" s="2">
        <v>0</v>
      </c>
      <c r="E1450" s="2">
        <v>3</v>
      </c>
      <c r="F1450" s="2">
        <v>3</v>
      </c>
    </row>
    <row r="1451" spans="1:6" ht="12.5">
      <c r="A1451" s="2">
        <v>1778</v>
      </c>
      <c r="B1451" s="2">
        <v>10477</v>
      </c>
      <c r="C1451" s="2">
        <v>0</v>
      </c>
      <c r="D1451" s="2">
        <v>0</v>
      </c>
      <c r="E1451" s="2">
        <v>3</v>
      </c>
      <c r="F1451" s="2">
        <v>2</v>
      </c>
    </row>
    <row r="1452" spans="1:6" ht="12.5">
      <c r="A1452" s="2">
        <v>1802</v>
      </c>
      <c r="B1452" s="2">
        <v>6289</v>
      </c>
      <c r="C1452" s="2">
        <v>0</v>
      </c>
      <c r="D1452" s="2">
        <v>4</v>
      </c>
      <c r="E1452" s="2">
        <v>3</v>
      </c>
      <c r="F1452" s="2">
        <v>4</v>
      </c>
    </row>
    <row r="1453" spans="1:6" ht="12.5">
      <c r="A1453" s="2">
        <v>1904</v>
      </c>
      <c r="B1453" s="2">
        <v>10951</v>
      </c>
      <c r="C1453" s="2">
        <v>0</v>
      </c>
      <c r="D1453" s="2">
        <v>0</v>
      </c>
      <c r="E1453" s="2">
        <v>3</v>
      </c>
      <c r="F1453" s="2">
        <v>8</v>
      </c>
    </row>
    <row r="1454" spans="1:6" ht="12.5">
      <c r="A1454" s="2">
        <v>1907</v>
      </c>
      <c r="B1454" s="2">
        <v>10680</v>
      </c>
      <c r="C1454" s="2">
        <v>0</v>
      </c>
      <c r="D1454" s="2">
        <v>1</v>
      </c>
      <c r="E1454" s="2">
        <v>3</v>
      </c>
      <c r="F1454" s="2">
        <v>3</v>
      </c>
    </row>
    <row r="1455" spans="1:6" ht="12.5">
      <c r="A1455" s="2">
        <v>1917</v>
      </c>
      <c r="B1455" s="2">
        <v>4385</v>
      </c>
      <c r="C1455" s="2">
        <v>0</v>
      </c>
      <c r="D1455" s="2">
        <v>2</v>
      </c>
      <c r="E1455" s="2">
        <v>3</v>
      </c>
      <c r="F1455" s="2">
        <v>3</v>
      </c>
    </row>
    <row r="1456" spans="1:6" ht="12.5">
      <c r="A1456" s="2">
        <v>1950</v>
      </c>
      <c r="B1456" s="2">
        <v>6663</v>
      </c>
      <c r="C1456" s="2">
        <v>0</v>
      </c>
      <c r="D1456" s="2">
        <v>0</v>
      </c>
      <c r="E1456" s="2">
        <v>3</v>
      </c>
      <c r="F1456" s="2">
        <v>4</v>
      </c>
    </row>
    <row r="1457" spans="1:6" ht="12.5">
      <c r="A1457" s="2">
        <v>1977</v>
      </c>
      <c r="B1457" s="2">
        <v>4867</v>
      </c>
      <c r="C1457" s="2">
        <v>0</v>
      </c>
      <c r="D1457" s="2">
        <v>0</v>
      </c>
      <c r="E1457" s="2">
        <v>3</v>
      </c>
      <c r="F1457" s="2">
        <v>4</v>
      </c>
    </row>
    <row r="1458" spans="1:6" ht="12.5">
      <c r="A1458" s="2">
        <v>2046</v>
      </c>
      <c r="B1458" s="2">
        <v>4268</v>
      </c>
      <c r="C1458" s="2">
        <v>0</v>
      </c>
      <c r="D1458" s="2">
        <v>1</v>
      </c>
      <c r="E1458" s="2">
        <v>3</v>
      </c>
      <c r="F1458" s="2">
        <v>4</v>
      </c>
    </row>
    <row r="1459" spans="1:6" ht="12.5">
      <c r="A1459" s="2">
        <v>2053</v>
      </c>
      <c r="B1459" s="2">
        <v>10509</v>
      </c>
      <c r="C1459" s="2">
        <v>0</v>
      </c>
      <c r="D1459" s="2">
        <v>0</v>
      </c>
      <c r="E1459" s="2">
        <v>3</v>
      </c>
      <c r="F1459" s="2">
        <v>3</v>
      </c>
    </row>
    <row r="1460" spans="1:6" ht="12.5">
      <c r="A1460" s="2">
        <v>2060</v>
      </c>
      <c r="B1460" s="2">
        <v>8775</v>
      </c>
      <c r="C1460" s="2">
        <v>0</v>
      </c>
      <c r="D1460" s="2">
        <v>8</v>
      </c>
      <c r="E1460" s="2">
        <v>3</v>
      </c>
      <c r="F1460" s="2">
        <v>3</v>
      </c>
    </row>
    <row r="1461" spans="1:6" ht="12.5">
      <c r="A1461" s="2">
        <v>2061</v>
      </c>
      <c r="B1461" s="2">
        <v>1612</v>
      </c>
      <c r="C1461" s="2">
        <v>0</v>
      </c>
      <c r="D1461" s="2">
        <v>2</v>
      </c>
      <c r="E1461" s="2">
        <v>3</v>
      </c>
      <c r="F1461" s="2">
        <v>3</v>
      </c>
    </row>
    <row r="1462" spans="1:6" ht="12.5">
      <c r="A1462" s="2">
        <v>2136</v>
      </c>
      <c r="B1462" s="2">
        <v>271</v>
      </c>
      <c r="C1462" s="2">
        <v>0</v>
      </c>
      <c r="D1462" s="2">
        <v>11</v>
      </c>
      <c r="E1462" s="2">
        <v>3</v>
      </c>
      <c r="F1462" s="2">
        <v>3</v>
      </c>
    </row>
    <row r="1463" spans="1:6" ht="12.5">
      <c r="A1463" s="2">
        <v>2153</v>
      </c>
      <c r="B1463" s="2">
        <v>7699</v>
      </c>
      <c r="C1463" s="2">
        <v>0</v>
      </c>
      <c r="D1463" s="2">
        <v>11</v>
      </c>
      <c r="E1463" s="2">
        <v>3</v>
      </c>
      <c r="F1463" s="2">
        <v>3</v>
      </c>
    </row>
    <row r="1464" spans="1:6" ht="12.5">
      <c r="A1464" s="2">
        <v>2195</v>
      </c>
      <c r="B1464" s="2">
        <v>2980</v>
      </c>
      <c r="C1464" s="2">
        <v>0</v>
      </c>
      <c r="D1464" s="2">
        <v>2</v>
      </c>
      <c r="E1464" s="2">
        <v>3</v>
      </c>
      <c r="F1464" s="2">
        <v>3</v>
      </c>
    </row>
    <row r="1465" spans="1:6" ht="12.5">
      <c r="A1465" s="2">
        <v>2205</v>
      </c>
      <c r="B1465" s="2">
        <v>5959</v>
      </c>
      <c r="C1465" s="2">
        <v>0</v>
      </c>
      <c r="D1465" s="2">
        <v>0</v>
      </c>
      <c r="E1465" s="2">
        <v>3</v>
      </c>
      <c r="F1465" s="2">
        <v>5</v>
      </c>
    </row>
    <row r="1466" spans="1:6" ht="12.5">
      <c r="A1466" s="2">
        <v>1508</v>
      </c>
      <c r="B1466" s="2">
        <v>3967</v>
      </c>
      <c r="C1466" s="2">
        <v>197</v>
      </c>
      <c r="D1466" s="2">
        <v>152</v>
      </c>
      <c r="E1466" s="2">
        <v>2</v>
      </c>
      <c r="F1466" s="2">
        <v>13</v>
      </c>
    </row>
    <row r="1467" spans="1:6" ht="12.5">
      <c r="A1467" s="2">
        <v>1421</v>
      </c>
      <c r="B1467" s="2">
        <v>7000</v>
      </c>
      <c r="C1467" s="2">
        <v>172</v>
      </c>
      <c r="D1467" s="2">
        <v>8</v>
      </c>
      <c r="E1467" s="2">
        <v>2</v>
      </c>
      <c r="F1467" s="2">
        <v>10</v>
      </c>
    </row>
    <row r="1468" spans="1:6" ht="12.5">
      <c r="A1468" s="2">
        <v>1813</v>
      </c>
      <c r="B1468" s="2">
        <v>10513</v>
      </c>
      <c r="C1468" s="2">
        <v>169</v>
      </c>
      <c r="D1468" s="2">
        <v>169</v>
      </c>
      <c r="E1468" s="2">
        <v>2</v>
      </c>
      <c r="F1468" s="2">
        <v>6</v>
      </c>
    </row>
    <row r="1469" spans="1:6" ht="12.5">
      <c r="A1469" s="2">
        <v>45</v>
      </c>
      <c r="B1469" s="2">
        <v>1371</v>
      </c>
      <c r="C1469" s="2">
        <v>164</v>
      </c>
      <c r="D1469" s="2">
        <v>30</v>
      </c>
      <c r="E1469" s="2">
        <v>2</v>
      </c>
      <c r="F1469" s="2">
        <v>9</v>
      </c>
    </row>
    <row r="1470" spans="1:6" ht="12.5">
      <c r="A1470" s="2">
        <v>2048</v>
      </c>
      <c r="B1470" s="2">
        <v>3507</v>
      </c>
      <c r="C1470" s="2">
        <v>161</v>
      </c>
      <c r="D1470" s="2">
        <v>44</v>
      </c>
      <c r="E1470" s="2">
        <v>2</v>
      </c>
      <c r="F1470" s="2">
        <v>5</v>
      </c>
    </row>
    <row r="1471" spans="1:6" ht="12.5">
      <c r="A1471" s="2">
        <v>2056</v>
      </c>
      <c r="B1471" s="2">
        <v>7441</v>
      </c>
      <c r="C1471" s="2">
        <v>159</v>
      </c>
      <c r="D1471" s="2">
        <v>0</v>
      </c>
      <c r="E1471" s="2">
        <v>2</v>
      </c>
      <c r="F1471" s="2">
        <v>12</v>
      </c>
    </row>
    <row r="1472" spans="1:6" ht="12.5">
      <c r="A1472" s="2">
        <v>292</v>
      </c>
      <c r="B1472" s="2">
        <v>4543</v>
      </c>
      <c r="C1472" s="2">
        <v>129</v>
      </c>
      <c r="D1472" s="2">
        <v>21</v>
      </c>
      <c r="E1472" s="2">
        <v>2</v>
      </c>
      <c r="F1472" s="2">
        <v>9</v>
      </c>
    </row>
    <row r="1473" spans="1:6" ht="12.5">
      <c r="A1473" s="2">
        <v>2014</v>
      </c>
      <c r="B1473" s="2">
        <v>3262</v>
      </c>
      <c r="C1473" s="2">
        <v>112</v>
      </c>
      <c r="D1473" s="2">
        <v>48</v>
      </c>
      <c r="E1473" s="2">
        <v>2</v>
      </c>
      <c r="F1473" s="2">
        <v>13</v>
      </c>
    </row>
    <row r="1474" spans="1:6" ht="12.5">
      <c r="A1474" s="2">
        <v>1336</v>
      </c>
      <c r="B1474" s="2">
        <v>9495</v>
      </c>
      <c r="C1474" s="2">
        <v>108</v>
      </c>
      <c r="D1474" s="2">
        <v>97</v>
      </c>
      <c r="E1474" s="2">
        <v>2</v>
      </c>
      <c r="F1474" s="2">
        <v>6</v>
      </c>
    </row>
    <row r="1475" spans="1:6" ht="12.5">
      <c r="A1475" s="2">
        <v>1767</v>
      </c>
      <c r="B1475" s="2">
        <v>2631</v>
      </c>
      <c r="C1475" s="2">
        <v>108</v>
      </c>
      <c r="D1475" s="2">
        <v>97</v>
      </c>
      <c r="E1475" s="2">
        <v>2</v>
      </c>
      <c r="F1475" s="2">
        <v>6</v>
      </c>
    </row>
    <row r="1476" spans="1:6" ht="12.5">
      <c r="A1476" s="2">
        <v>1598</v>
      </c>
      <c r="B1476" s="2">
        <v>7022</v>
      </c>
      <c r="C1476" s="2">
        <v>107</v>
      </c>
      <c r="D1476" s="2">
        <v>80</v>
      </c>
      <c r="E1476" s="2">
        <v>2</v>
      </c>
      <c r="F1476" s="2">
        <v>13</v>
      </c>
    </row>
    <row r="1477" spans="1:6" ht="12.5">
      <c r="A1477" s="2">
        <v>1894</v>
      </c>
      <c r="B1477" s="2">
        <v>1743</v>
      </c>
      <c r="C1477" s="2">
        <v>86</v>
      </c>
      <c r="D1477" s="2">
        <v>14</v>
      </c>
      <c r="E1477" s="2">
        <v>2</v>
      </c>
      <c r="F1477" s="2">
        <v>5</v>
      </c>
    </row>
    <row r="1478" spans="1:6" ht="12.5">
      <c r="A1478" s="2">
        <v>677</v>
      </c>
      <c r="B1478" s="2">
        <v>9937</v>
      </c>
      <c r="C1478" s="2">
        <v>81</v>
      </c>
      <c r="D1478" s="2">
        <v>43</v>
      </c>
      <c r="E1478" s="2">
        <v>2</v>
      </c>
      <c r="F1478" s="2">
        <v>12</v>
      </c>
    </row>
    <row r="1479" spans="1:6" ht="12.5">
      <c r="A1479" s="2">
        <v>521</v>
      </c>
      <c r="B1479" s="2">
        <v>2532</v>
      </c>
      <c r="C1479" s="2">
        <v>73</v>
      </c>
      <c r="D1479" s="2">
        <v>14</v>
      </c>
      <c r="E1479" s="2">
        <v>2</v>
      </c>
      <c r="F1479" s="2">
        <v>6</v>
      </c>
    </row>
    <row r="1480" spans="1:6" ht="12.5">
      <c r="A1480" s="2">
        <v>1211</v>
      </c>
      <c r="B1480" s="2">
        <v>7192</v>
      </c>
      <c r="C1480" s="2">
        <v>73</v>
      </c>
      <c r="D1480" s="2">
        <v>78</v>
      </c>
      <c r="E1480" s="2">
        <v>2</v>
      </c>
      <c r="F1480" s="2">
        <v>10</v>
      </c>
    </row>
    <row r="1481" spans="1:6" ht="12.5">
      <c r="A1481" s="2">
        <v>868</v>
      </c>
      <c r="B1481" s="2">
        <v>8687</v>
      </c>
      <c r="C1481" s="2">
        <v>62</v>
      </c>
      <c r="D1481" s="2">
        <v>20</v>
      </c>
      <c r="E1481" s="2">
        <v>2</v>
      </c>
      <c r="F1481" s="2">
        <v>8</v>
      </c>
    </row>
    <row r="1482" spans="1:6" ht="12.5">
      <c r="A1482" s="2">
        <v>889</v>
      </c>
      <c r="B1482" s="2">
        <v>2930</v>
      </c>
      <c r="C1482" s="2">
        <v>60</v>
      </c>
      <c r="D1482" s="2">
        <v>36</v>
      </c>
      <c r="E1482" s="2">
        <v>2</v>
      </c>
      <c r="F1482" s="2">
        <v>10</v>
      </c>
    </row>
    <row r="1483" spans="1:6" ht="12.5">
      <c r="A1483" s="2">
        <v>69</v>
      </c>
      <c r="B1483" s="2">
        <v>1357</v>
      </c>
      <c r="C1483" s="2">
        <v>59</v>
      </c>
      <c r="D1483" s="2">
        <v>29</v>
      </c>
      <c r="E1483" s="2">
        <v>2</v>
      </c>
      <c r="F1483" s="2">
        <v>5</v>
      </c>
    </row>
    <row r="1484" spans="1:6" ht="12.5">
      <c r="A1484" s="2">
        <v>1110</v>
      </c>
      <c r="B1484" s="2">
        <v>375</v>
      </c>
      <c r="C1484" s="2">
        <v>56</v>
      </c>
      <c r="D1484" s="2">
        <v>33</v>
      </c>
      <c r="E1484" s="2">
        <v>2</v>
      </c>
      <c r="F1484" s="2">
        <v>11</v>
      </c>
    </row>
    <row r="1485" spans="1:6" ht="12.5">
      <c r="A1485" s="2">
        <v>976</v>
      </c>
      <c r="B1485" s="2">
        <v>2611</v>
      </c>
      <c r="C1485" s="2">
        <v>55</v>
      </c>
      <c r="D1485" s="2">
        <v>18</v>
      </c>
      <c r="E1485" s="2">
        <v>2</v>
      </c>
      <c r="F1485" s="2">
        <v>12</v>
      </c>
    </row>
    <row r="1486" spans="1:6" ht="12.5">
      <c r="A1486" s="2">
        <v>1773</v>
      </c>
      <c r="B1486" s="2">
        <v>8584</v>
      </c>
      <c r="C1486" s="2">
        <v>53</v>
      </c>
      <c r="D1486" s="2">
        <v>53</v>
      </c>
      <c r="E1486" s="2">
        <v>2</v>
      </c>
      <c r="F1486" s="2">
        <v>7</v>
      </c>
    </row>
    <row r="1487" spans="1:6" ht="12.5">
      <c r="A1487" s="2">
        <v>2237</v>
      </c>
      <c r="B1487" s="2">
        <v>7270</v>
      </c>
      <c r="C1487" s="2">
        <v>48</v>
      </c>
      <c r="D1487" s="2">
        <v>12</v>
      </c>
      <c r="E1487" s="2">
        <v>2</v>
      </c>
      <c r="F1487" s="2">
        <v>13</v>
      </c>
    </row>
    <row r="1488" spans="1:6" ht="12.5">
      <c r="A1488" s="2">
        <v>1858</v>
      </c>
      <c r="B1488" s="2">
        <v>9029</v>
      </c>
      <c r="C1488" s="2">
        <v>44</v>
      </c>
      <c r="D1488" s="2">
        <v>58</v>
      </c>
      <c r="E1488" s="2">
        <v>2</v>
      </c>
      <c r="F1488" s="2">
        <v>12</v>
      </c>
    </row>
    <row r="1489" spans="1:6" ht="12.5">
      <c r="A1489" s="2">
        <v>804</v>
      </c>
      <c r="B1489" s="2">
        <v>3483</v>
      </c>
      <c r="C1489" s="2">
        <v>43</v>
      </c>
      <c r="D1489" s="2">
        <v>58</v>
      </c>
      <c r="E1489" s="2">
        <v>2</v>
      </c>
      <c r="F1489" s="2">
        <v>12</v>
      </c>
    </row>
    <row r="1490" spans="1:6" ht="12.5">
      <c r="A1490" s="2">
        <v>1019</v>
      </c>
      <c r="B1490" s="2">
        <v>4436</v>
      </c>
      <c r="C1490" s="2">
        <v>42</v>
      </c>
      <c r="D1490" s="2">
        <v>20</v>
      </c>
      <c r="E1490" s="2">
        <v>2</v>
      </c>
      <c r="F1490" s="2">
        <v>4</v>
      </c>
    </row>
    <row r="1491" spans="1:6" ht="12.5">
      <c r="A1491" s="2">
        <v>1918</v>
      </c>
      <c r="B1491" s="2">
        <v>2929</v>
      </c>
      <c r="C1491" s="2">
        <v>42</v>
      </c>
      <c r="D1491" s="2">
        <v>20</v>
      </c>
      <c r="E1491" s="2">
        <v>2</v>
      </c>
      <c r="F1491" s="2">
        <v>4</v>
      </c>
    </row>
    <row r="1492" spans="1:6" ht="12.5">
      <c r="A1492" s="2">
        <v>92</v>
      </c>
      <c r="B1492" s="2">
        <v>5798</v>
      </c>
      <c r="C1492" s="2">
        <v>37</v>
      </c>
      <c r="D1492" s="2">
        <v>28</v>
      </c>
      <c r="E1492" s="2">
        <v>2</v>
      </c>
      <c r="F1492" s="2">
        <v>8</v>
      </c>
    </row>
    <row r="1493" spans="1:6" ht="12.5">
      <c r="A1493" s="2">
        <v>764</v>
      </c>
      <c r="B1493" s="2">
        <v>4508</v>
      </c>
      <c r="C1493" s="2">
        <v>35</v>
      </c>
      <c r="D1493" s="2">
        <v>17</v>
      </c>
      <c r="E1493" s="2">
        <v>2</v>
      </c>
      <c r="F1493" s="2">
        <v>5</v>
      </c>
    </row>
    <row r="1494" spans="1:6" ht="12.5">
      <c r="A1494" s="2">
        <v>934</v>
      </c>
      <c r="B1494" s="2">
        <v>4843</v>
      </c>
      <c r="C1494" s="2">
        <v>35</v>
      </c>
      <c r="D1494" s="2">
        <v>17</v>
      </c>
      <c r="E1494" s="2">
        <v>2</v>
      </c>
      <c r="F1494" s="2">
        <v>5</v>
      </c>
    </row>
    <row r="1495" spans="1:6" ht="12.5">
      <c r="A1495" s="2">
        <v>345</v>
      </c>
      <c r="B1495" s="2">
        <v>1411</v>
      </c>
      <c r="C1495" s="2">
        <v>34</v>
      </c>
      <c r="D1495" s="2">
        <v>153</v>
      </c>
      <c r="E1495" s="2">
        <v>2</v>
      </c>
      <c r="F1495" s="2">
        <v>4</v>
      </c>
    </row>
    <row r="1496" spans="1:6" ht="12.5">
      <c r="A1496" s="2">
        <v>523</v>
      </c>
      <c r="B1496" s="2">
        <v>4943</v>
      </c>
      <c r="C1496" s="2">
        <v>33</v>
      </c>
      <c r="D1496" s="2">
        <v>33</v>
      </c>
      <c r="E1496" s="2">
        <v>2</v>
      </c>
      <c r="F1496" s="2">
        <v>9</v>
      </c>
    </row>
    <row r="1497" spans="1:6" ht="12.5">
      <c r="A1497" s="2">
        <v>341</v>
      </c>
      <c r="B1497" s="2">
        <v>11191</v>
      </c>
      <c r="C1497" s="2">
        <v>32</v>
      </c>
      <c r="D1497" s="2">
        <v>3</v>
      </c>
      <c r="E1497" s="2">
        <v>2</v>
      </c>
      <c r="F1497" s="2">
        <v>4</v>
      </c>
    </row>
    <row r="1498" spans="1:6" ht="12.5">
      <c r="A1498" s="2">
        <v>684</v>
      </c>
      <c r="B1498" s="2">
        <v>6327</v>
      </c>
      <c r="C1498" s="2">
        <v>32</v>
      </c>
      <c r="D1498" s="2">
        <v>32</v>
      </c>
      <c r="E1498" s="2">
        <v>2</v>
      </c>
      <c r="F1498" s="2">
        <v>6</v>
      </c>
    </row>
    <row r="1499" spans="1:6" ht="12.5">
      <c r="A1499" s="2">
        <v>441</v>
      </c>
      <c r="B1499" s="2">
        <v>7495</v>
      </c>
      <c r="C1499" s="2">
        <v>28</v>
      </c>
      <c r="D1499" s="2">
        <v>0</v>
      </c>
      <c r="E1499" s="2">
        <v>2</v>
      </c>
      <c r="F1499" s="2">
        <v>5</v>
      </c>
    </row>
    <row r="1500" spans="1:6" ht="12.5">
      <c r="A1500" s="2">
        <v>1059</v>
      </c>
      <c r="B1500" s="2">
        <v>11013</v>
      </c>
      <c r="C1500" s="2">
        <v>28</v>
      </c>
      <c r="D1500" s="2">
        <v>54</v>
      </c>
      <c r="E1500" s="2">
        <v>2</v>
      </c>
      <c r="F1500" s="2">
        <v>6</v>
      </c>
    </row>
    <row r="1501" spans="1:6" ht="12.5">
      <c r="A1501" s="2">
        <v>1417</v>
      </c>
      <c r="B1501" s="2">
        <v>10341</v>
      </c>
      <c r="C1501" s="2">
        <v>28</v>
      </c>
      <c r="D1501" s="2">
        <v>30</v>
      </c>
      <c r="E1501" s="2">
        <v>2</v>
      </c>
      <c r="F1501" s="2">
        <v>5</v>
      </c>
    </row>
    <row r="1502" spans="1:6" ht="12.5">
      <c r="A1502" s="2">
        <v>1445</v>
      </c>
      <c r="B1502" s="2">
        <v>4682</v>
      </c>
      <c r="C1502" s="2">
        <v>27</v>
      </c>
      <c r="D1502" s="2">
        <v>48</v>
      </c>
      <c r="E1502" s="2">
        <v>2</v>
      </c>
      <c r="F1502" s="2">
        <v>8</v>
      </c>
    </row>
    <row r="1503" spans="1:6" ht="12.5">
      <c r="A1503" s="2">
        <v>417</v>
      </c>
      <c r="B1503" s="2">
        <v>5067</v>
      </c>
      <c r="C1503" s="2">
        <v>26</v>
      </c>
      <c r="D1503" s="2">
        <v>26</v>
      </c>
      <c r="E1503" s="2">
        <v>2</v>
      </c>
      <c r="F1503" s="2">
        <v>11</v>
      </c>
    </row>
    <row r="1504" spans="1:6" ht="12.5">
      <c r="A1504" s="2">
        <v>921</v>
      </c>
      <c r="B1504" s="2">
        <v>4483</v>
      </c>
      <c r="C1504" s="2">
        <v>26</v>
      </c>
      <c r="D1504" s="2">
        <v>12</v>
      </c>
      <c r="E1504" s="2">
        <v>2</v>
      </c>
      <c r="F1504" s="2">
        <v>6</v>
      </c>
    </row>
    <row r="1505" spans="1:6" ht="12.5">
      <c r="A1505" s="2">
        <v>465</v>
      </c>
      <c r="B1505" s="2">
        <v>2416</v>
      </c>
      <c r="C1505" s="2">
        <v>25</v>
      </c>
      <c r="D1505" s="2">
        <v>38</v>
      </c>
      <c r="E1505" s="2">
        <v>2</v>
      </c>
      <c r="F1505" s="2">
        <v>9</v>
      </c>
    </row>
    <row r="1506" spans="1:6" ht="12.5">
      <c r="A1506" s="2">
        <v>633</v>
      </c>
      <c r="B1506" s="2">
        <v>4376</v>
      </c>
      <c r="C1506" s="2">
        <v>24</v>
      </c>
      <c r="D1506" s="2">
        <v>1</v>
      </c>
      <c r="E1506" s="2">
        <v>2</v>
      </c>
      <c r="F1506" s="2">
        <v>3</v>
      </c>
    </row>
    <row r="1507" spans="1:6" ht="12.5">
      <c r="A1507" s="2">
        <v>2143</v>
      </c>
      <c r="B1507" s="2">
        <v>9727</v>
      </c>
      <c r="C1507" s="2">
        <v>24</v>
      </c>
      <c r="D1507" s="2">
        <v>1</v>
      </c>
      <c r="E1507" s="2">
        <v>2</v>
      </c>
      <c r="F1507" s="2">
        <v>4</v>
      </c>
    </row>
    <row r="1508" spans="1:6" ht="12.5">
      <c r="A1508" s="2">
        <v>802</v>
      </c>
      <c r="B1508" s="2">
        <v>236</v>
      </c>
      <c r="C1508" s="2">
        <v>23</v>
      </c>
      <c r="D1508" s="2">
        <v>14</v>
      </c>
      <c r="E1508" s="2">
        <v>2</v>
      </c>
      <c r="F1508" s="2">
        <v>4</v>
      </c>
    </row>
    <row r="1509" spans="1:6" ht="12.5">
      <c r="A1509" s="2">
        <v>1118</v>
      </c>
      <c r="B1509" s="2">
        <v>880</v>
      </c>
      <c r="C1509" s="2">
        <v>23</v>
      </c>
      <c r="D1509" s="2">
        <v>6</v>
      </c>
      <c r="E1509" s="2">
        <v>2</v>
      </c>
      <c r="F1509" s="2">
        <v>2</v>
      </c>
    </row>
    <row r="1510" spans="1:6" ht="12.5">
      <c r="A1510" s="2">
        <v>1174</v>
      </c>
      <c r="B1510" s="2">
        <v>8686</v>
      </c>
      <c r="C1510" s="2">
        <v>23</v>
      </c>
      <c r="D1510" s="2">
        <v>18</v>
      </c>
      <c r="E1510" s="2">
        <v>2</v>
      </c>
      <c r="F1510" s="2">
        <v>3</v>
      </c>
    </row>
    <row r="1511" spans="1:6" ht="12.5">
      <c r="A1511" s="2">
        <v>1416</v>
      </c>
      <c r="B1511" s="2">
        <v>524</v>
      </c>
      <c r="C1511" s="2">
        <v>23</v>
      </c>
      <c r="D1511" s="2">
        <v>6</v>
      </c>
      <c r="E1511" s="2">
        <v>2</v>
      </c>
      <c r="F1511" s="2">
        <v>2</v>
      </c>
    </row>
    <row r="1512" spans="1:6" ht="12.5">
      <c r="A1512" s="2">
        <v>1465</v>
      </c>
      <c r="B1512" s="2">
        <v>10524</v>
      </c>
      <c r="C1512" s="2">
        <v>23</v>
      </c>
      <c r="D1512" s="2">
        <v>41</v>
      </c>
      <c r="E1512" s="2">
        <v>2</v>
      </c>
      <c r="F1512" s="2">
        <v>5</v>
      </c>
    </row>
    <row r="1513" spans="1:6" ht="12.5">
      <c r="A1513" s="2">
        <v>1779</v>
      </c>
      <c r="B1513" s="2">
        <v>2681</v>
      </c>
      <c r="C1513" s="2">
        <v>22</v>
      </c>
      <c r="D1513" s="2">
        <v>89</v>
      </c>
      <c r="E1513" s="2">
        <v>2</v>
      </c>
      <c r="F1513" s="2">
        <v>13</v>
      </c>
    </row>
    <row r="1514" spans="1:6" ht="12.5">
      <c r="A1514" s="2">
        <v>389</v>
      </c>
      <c r="B1514" s="2">
        <v>9799</v>
      </c>
      <c r="C1514" s="2">
        <v>21</v>
      </c>
      <c r="D1514" s="2">
        <v>21</v>
      </c>
      <c r="E1514" s="2">
        <v>2</v>
      </c>
      <c r="F1514" s="2">
        <v>12</v>
      </c>
    </row>
    <row r="1515" spans="1:6" ht="12.5">
      <c r="A1515" s="2">
        <v>1788</v>
      </c>
      <c r="B1515" s="2">
        <v>1513</v>
      </c>
      <c r="C1515" s="2">
        <v>21</v>
      </c>
      <c r="D1515" s="2">
        <v>150</v>
      </c>
      <c r="E1515" s="2">
        <v>2</v>
      </c>
      <c r="F1515" s="2">
        <v>12</v>
      </c>
    </row>
    <row r="1516" spans="1:6" ht="12.5">
      <c r="A1516" s="2">
        <v>227</v>
      </c>
      <c r="B1516" s="2">
        <v>709</v>
      </c>
      <c r="C1516" s="2">
        <v>20</v>
      </c>
      <c r="D1516" s="2">
        <v>0</v>
      </c>
      <c r="E1516" s="2">
        <v>2</v>
      </c>
      <c r="F1516" s="2">
        <v>11</v>
      </c>
    </row>
    <row r="1517" spans="1:6" ht="12.5">
      <c r="A1517" s="2">
        <v>319</v>
      </c>
      <c r="B1517" s="2">
        <v>2863</v>
      </c>
      <c r="C1517" s="2">
        <v>20</v>
      </c>
      <c r="D1517" s="2">
        <v>50</v>
      </c>
      <c r="E1517" s="2">
        <v>2</v>
      </c>
      <c r="F1517" s="2">
        <v>10</v>
      </c>
    </row>
    <row r="1518" spans="1:6" ht="12.5">
      <c r="A1518" s="2">
        <v>922</v>
      </c>
      <c r="B1518" s="2">
        <v>4487</v>
      </c>
      <c r="C1518" s="2">
        <v>20</v>
      </c>
      <c r="D1518" s="2">
        <v>7</v>
      </c>
      <c r="E1518" s="2">
        <v>2</v>
      </c>
      <c r="F1518" s="2">
        <v>4</v>
      </c>
    </row>
    <row r="1519" spans="1:6" ht="12.5">
      <c r="A1519" s="2">
        <v>490</v>
      </c>
      <c r="B1519" s="2">
        <v>3403</v>
      </c>
      <c r="C1519" s="2">
        <v>19</v>
      </c>
      <c r="D1519" s="2">
        <v>76</v>
      </c>
      <c r="E1519" s="2">
        <v>2</v>
      </c>
      <c r="F1519" s="2">
        <v>12</v>
      </c>
    </row>
    <row r="1520" spans="1:6" ht="12.5">
      <c r="A1520" s="2">
        <v>1836</v>
      </c>
      <c r="B1520" s="2">
        <v>7849</v>
      </c>
      <c r="C1520" s="2">
        <v>19</v>
      </c>
      <c r="D1520" s="2">
        <v>142</v>
      </c>
      <c r="E1520" s="2">
        <v>2</v>
      </c>
      <c r="F1520" s="2">
        <v>13</v>
      </c>
    </row>
    <row r="1521" spans="1:6" ht="12.5">
      <c r="A1521" s="2">
        <v>1425</v>
      </c>
      <c r="B1521" s="2">
        <v>2428</v>
      </c>
      <c r="C1521" s="2">
        <v>18</v>
      </c>
      <c r="D1521" s="2">
        <v>8</v>
      </c>
      <c r="E1521" s="2">
        <v>2</v>
      </c>
      <c r="F1521" s="2">
        <v>4</v>
      </c>
    </row>
    <row r="1522" spans="1:6" ht="12.5">
      <c r="A1522" s="2">
        <v>19</v>
      </c>
      <c r="B1522" s="2">
        <v>2278</v>
      </c>
      <c r="C1522" s="2">
        <v>17</v>
      </c>
      <c r="D1522" s="2">
        <v>24</v>
      </c>
      <c r="E1522" s="2">
        <v>2</v>
      </c>
      <c r="F1522" s="2">
        <v>3</v>
      </c>
    </row>
    <row r="1523" spans="1:6" ht="12.5">
      <c r="A1523" s="2">
        <v>31</v>
      </c>
      <c r="B1523" s="2">
        <v>3033</v>
      </c>
      <c r="C1523" s="2">
        <v>17</v>
      </c>
      <c r="D1523" s="2">
        <v>22</v>
      </c>
      <c r="E1523" s="2">
        <v>2</v>
      </c>
      <c r="F1523" s="2">
        <v>3</v>
      </c>
    </row>
    <row r="1524" spans="1:6" ht="12.5">
      <c r="A1524" s="2">
        <v>83</v>
      </c>
      <c r="B1524" s="2">
        <v>4119</v>
      </c>
      <c r="C1524" s="2">
        <v>17</v>
      </c>
      <c r="D1524" s="2">
        <v>22</v>
      </c>
      <c r="E1524" s="2">
        <v>2</v>
      </c>
      <c r="F1524" s="2">
        <v>3</v>
      </c>
    </row>
    <row r="1525" spans="1:6" ht="12.5">
      <c r="A1525" s="2">
        <v>990</v>
      </c>
      <c r="B1525" s="2">
        <v>8545</v>
      </c>
      <c r="C1525" s="2">
        <v>17</v>
      </c>
      <c r="D1525" s="2">
        <v>69</v>
      </c>
      <c r="E1525" s="2">
        <v>2</v>
      </c>
      <c r="F1525" s="2">
        <v>10</v>
      </c>
    </row>
    <row r="1526" spans="1:6" ht="12.5">
      <c r="A1526" s="2">
        <v>1123</v>
      </c>
      <c r="B1526" s="2">
        <v>5025</v>
      </c>
      <c r="C1526" s="2">
        <v>17</v>
      </c>
      <c r="D1526" s="2">
        <v>20</v>
      </c>
      <c r="E1526" s="2">
        <v>2</v>
      </c>
      <c r="F1526" s="2">
        <v>4</v>
      </c>
    </row>
    <row r="1527" spans="1:6" ht="12.5">
      <c r="A1527" s="2">
        <v>1519</v>
      </c>
      <c r="B1527" s="2">
        <v>3887</v>
      </c>
      <c r="C1527" s="2">
        <v>17</v>
      </c>
      <c r="D1527" s="2">
        <v>1</v>
      </c>
      <c r="E1527" s="2">
        <v>2</v>
      </c>
      <c r="F1527" s="2">
        <v>3</v>
      </c>
    </row>
    <row r="1528" spans="1:6" ht="12.5">
      <c r="A1528" s="2">
        <v>2029</v>
      </c>
      <c r="B1528" s="2">
        <v>10001</v>
      </c>
      <c r="C1528" s="2">
        <v>17</v>
      </c>
      <c r="D1528" s="2">
        <v>14</v>
      </c>
      <c r="E1528" s="2">
        <v>2</v>
      </c>
      <c r="F1528" s="2">
        <v>3</v>
      </c>
    </row>
    <row r="1529" spans="1:6" ht="12.5">
      <c r="A1529" s="2">
        <v>11</v>
      </c>
      <c r="B1529" s="2">
        <v>387</v>
      </c>
      <c r="C1529" s="2">
        <v>16</v>
      </c>
      <c r="D1529" s="2">
        <v>1</v>
      </c>
      <c r="E1529" s="2">
        <v>2</v>
      </c>
      <c r="F1529" s="2">
        <v>3</v>
      </c>
    </row>
    <row r="1530" spans="1:6" ht="12.5">
      <c r="A1530" s="2">
        <v>149</v>
      </c>
      <c r="B1530" s="2">
        <v>4050</v>
      </c>
      <c r="C1530" s="2">
        <v>16</v>
      </c>
      <c r="D1530" s="2">
        <v>20</v>
      </c>
      <c r="E1530" s="2">
        <v>2</v>
      </c>
      <c r="F1530" s="2">
        <v>4</v>
      </c>
    </row>
    <row r="1531" spans="1:6" ht="12.5">
      <c r="A1531" s="2">
        <v>430</v>
      </c>
      <c r="B1531" s="2">
        <v>3725</v>
      </c>
      <c r="C1531" s="2">
        <v>16</v>
      </c>
      <c r="D1531" s="2">
        <v>16</v>
      </c>
      <c r="E1531" s="2">
        <v>2</v>
      </c>
      <c r="F1531" s="2">
        <v>9</v>
      </c>
    </row>
    <row r="1532" spans="1:6" ht="12.5">
      <c r="A1532" s="2">
        <v>1621</v>
      </c>
      <c r="B1532" s="2">
        <v>9668</v>
      </c>
      <c r="C1532" s="2">
        <v>16</v>
      </c>
      <c r="D1532" s="2">
        <v>17</v>
      </c>
      <c r="E1532" s="2">
        <v>2</v>
      </c>
      <c r="F1532" s="2">
        <v>4</v>
      </c>
    </row>
    <row r="1533" spans="1:6" ht="12.5">
      <c r="A1533" s="2">
        <v>298</v>
      </c>
      <c r="B1533" s="2">
        <v>7119</v>
      </c>
      <c r="C1533" s="2">
        <v>15</v>
      </c>
      <c r="D1533" s="2">
        <v>54</v>
      </c>
      <c r="E1533" s="2">
        <v>2</v>
      </c>
      <c r="F1533" s="2">
        <v>6</v>
      </c>
    </row>
    <row r="1534" spans="1:6" ht="12.5">
      <c r="A1534" s="2">
        <v>458</v>
      </c>
      <c r="B1534" s="2">
        <v>7540</v>
      </c>
      <c r="C1534" s="2">
        <v>15</v>
      </c>
      <c r="D1534" s="2">
        <v>23</v>
      </c>
      <c r="E1534" s="2">
        <v>2</v>
      </c>
      <c r="F1534" s="2">
        <v>8</v>
      </c>
    </row>
    <row r="1535" spans="1:6" ht="12.5">
      <c r="A1535" s="2">
        <v>2066</v>
      </c>
      <c r="B1535" s="2">
        <v>6103</v>
      </c>
      <c r="C1535" s="2">
        <v>15</v>
      </c>
      <c r="D1535" s="2">
        <v>6</v>
      </c>
      <c r="E1535" s="2">
        <v>2</v>
      </c>
      <c r="F1535" s="2">
        <v>3</v>
      </c>
    </row>
    <row r="1536" spans="1:6" ht="12.5">
      <c r="A1536" s="2">
        <v>1391</v>
      </c>
      <c r="B1536" s="2">
        <v>8140</v>
      </c>
      <c r="C1536" s="2">
        <v>14</v>
      </c>
      <c r="D1536" s="2">
        <v>2</v>
      </c>
      <c r="E1536" s="2">
        <v>2</v>
      </c>
      <c r="F1536" s="2">
        <v>4</v>
      </c>
    </row>
    <row r="1537" spans="1:6" ht="12.5">
      <c r="A1537" s="2">
        <v>1377</v>
      </c>
      <c r="B1537" s="2">
        <v>6770</v>
      </c>
      <c r="C1537" s="2">
        <v>13</v>
      </c>
      <c r="D1537" s="2">
        <v>5</v>
      </c>
      <c r="E1537" s="2">
        <v>2</v>
      </c>
      <c r="F1537" s="2">
        <v>2</v>
      </c>
    </row>
    <row r="1538" spans="1:6" ht="12.5">
      <c r="A1538" s="2">
        <v>583</v>
      </c>
      <c r="B1538" s="2">
        <v>5123</v>
      </c>
      <c r="C1538" s="2">
        <v>12</v>
      </c>
      <c r="D1538" s="2">
        <v>11</v>
      </c>
      <c r="E1538" s="2">
        <v>2</v>
      </c>
      <c r="F1538" s="2">
        <v>3</v>
      </c>
    </row>
    <row r="1539" spans="1:6" ht="12.5">
      <c r="A1539" s="2">
        <v>596</v>
      </c>
      <c r="B1539" s="2">
        <v>5252</v>
      </c>
      <c r="C1539" s="2">
        <v>12</v>
      </c>
      <c r="D1539" s="2">
        <v>1</v>
      </c>
      <c r="E1539" s="2">
        <v>2</v>
      </c>
      <c r="F1539" s="2">
        <v>3</v>
      </c>
    </row>
    <row r="1540" spans="1:6" ht="12.5">
      <c r="A1540" s="2">
        <v>768</v>
      </c>
      <c r="B1540" s="2">
        <v>20</v>
      </c>
      <c r="C1540" s="2">
        <v>12</v>
      </c>
      <c r="D1540" s="2">
        <v>15</v>
      </c>
      <c r="E1540" s="2">
        <v>2</v>
      </c>
      <c r="F1540" s="2">
        <v>4</v>
      </c>
    </row>
    <row r="1541" spans="1:6" ht="12.5">
      <c r="A1541" s="2">
        <v>785</v>
      </c>
      <c r="B1541" s="2">
        <v>4211</v>
      </c>
      <c r="C1541" s="2">
        <v>12</v>
      </c>
      <c r="D1541" s="2">
        <v>16</v>
      </c>
      <c r="E1541" s="2">
        <v>2</v>
      </c>
      <c r="F1541" s="2">
        <v>3</v>
      </c>
    </row>
    <row r="1542" spans="1:6" ht="12.5">
      <c r="A1542" s="2">
        <v>869</v>
      </c>
      <c r="B1542" s="2">
        <v>2447</v>
      </c>
      <c r="C1542" s="2">
        <v>12</v>
      </c>
      <c r="D1542" s="2">
        <v>7</v>
      </c>
      <c r="E1542" s="2">
        <v>2</v>
      </c>
      <c r="F1542" s="2">
        <v>3</v>
      </c>
    </row>
    <row r="1543" spans="1:6" ht="12.5">
      <c r="A1543" s="2">
        <v>1003</v>
      </c>
      <c r="B1543" s="2">
        <v>5527</v>
      </c>
      <c r="C1543" s="2">
        <v>12</v>
      </c>
      <c r="D1543" s="2">
        <v>13</v>
      </c>
      <c r="E1543" s="2">
        <v>2</v>
      </c>
      <c r="F1543" s="2">
        <v>3</v>
      </c>
    </row>
    <row r="1544" spans="1:6" ht="12.5">
      <c r="A1544" s="2">
        <v>1183</v>
      </c>
      <c r="B1544" s="2">
        <v>3839</v>
      </c>
      <c r="C1544" s="2">
        <v>12</v>
      </c>
      <c r="D1544" s="2">
        <v>6</v>
      </c>
      <c r="E1544" s="2">
        <v>2</v>
      </c>
      <c r="F1544" s="2">
        <v>3</v>
      </c>
    </row>
    <row r="1545" spans="1:6" ht="12.5">
      <c r="A1545" s="2">
        <v>1196</v>
      </c>
      <c r="B1545" s="2">
        <v>2246</v>
      </c>
      <c r="C1545" s="2">
        <v>12</v>
      </c>
      <c r="D1545" s="2">
        <v>15</v>
      </c>
      <c r="E1545" s="2">
        <v>2</v>
      </c>
      <c r="F1545" s="2">
        <v>4</v>
      </c>
    </row>
    <row r="1546" spans="1:6" ht="12.5">
      <c r="A1546" s="2">
        <v>1207</v>
      </c>
      <c r="B1546" s="2">
        <v>3068</v>
      </c>
      <c r="C1546" s="2">
        <v>12</v>
      </c>
      <c r="D1546" s="2">
        <v>14</v>
      </c>
      <c r="E1546" s="2">
        <v>2</v>
      </c>
      <c r="F1546" s="2">
        <v>3</v>
      </c>
    </row>
    <row r="1547" spans="1:6" ht="12.5">
      <c r="A1547" s="2">
        <v>1546</v>
      </c>
      <c r="B1547" s="2">
        <v>6365</v>
      </c>
      <c r="C1547" s="2">
        <v>12</v>
      </c>
      <c r="D1547" s="2">
        <v>1</v>
      </c>
      <c r="E1547" s="2">
        <v>2</v>
      </c>
      <c r="F1547" s="2">
        <v>3</v>
      </c>
    </row>
    <row r="1548" spans="1:6" ht="12.5">
      <c r="A1548" s="2">
        <v>2099</v>
      </c>
      <c r="B1548" s="2">
        <v>3422</v>
      </c>
      <c r="C1548" s="2">
        <v>12</v>
      </c>
      <c r="D1548" s="2">
        <v>12</v>
      </c>
      <c r="E1548" s="2">
        <v>2</v>
      </c>
      <c r="F1548" s="2">
        <v>4</v>
      </c>
    </row>
    <row r="1549" spans="1:6" ht="12.5">
      <c r="A1549" s="2">
        <v>2105</v>
      </c>
      <c r="B1549" s="2">
        <v>1407</v>
      </c>
      <c r="C1549" s="2">
        <v>12</v>
      </c>
      <c r="D1549" s="2">
        <v>16</v>
      </c>
      <c r="E1549" s="2">
        <v>2</v>
      </c>
      <c r="F1549" s="2">
        <v>3</v>
      </c>
    </row>
    <row r="1550" spans="1:6" ht="12.5">
      <c r="A1550" s="2">
        <v>2138</v>
      </c>
      <c r="B1550" s="2">
        <v>2948</v>
      </c>
      <c r="C1550" s="2">
        <v>12</v>
      </c>
      <c r="D1550" s="2">
        <v>12</v>
      </c>
      <c r="E1550" s="2">
        <v>2</v>
      </c>
      <c r="F1550" s="2">
        <v>5</v>
      </c>
    </row>
    <row r="1551" spans="1:6" ht="12.5">
      <c r="A1551" s="2">
        <v>2223</v>
      </c>
      <c r="B1551" s="2">
        <v>1448</v>
      </c>
      <c r="C1551" s="2">
        <v>12</v>
      </c>
      <c r="D1551" s="2">
        <v>3</v>
      </c>
      <c r="E1551" s="2">
        <v>2</v>
      </c>
      <c r="F1551" s="2">
        <v>4</v>
      </c>
    </row>
    <row r="1552" spans="1:6" ht="12.5">
      <c r="A1552" s="2">
        <v>181</v>
      </c>
      <c r="B1552" s="2">
        <v>3559</v>
      </c>
      <c r="C1552" s="2">
        <v>11</v>
      </c>
      <c r="D1552" s="2">
        <v>12</v>
      </c>
      <c r="E1552" s="2">
        <v>2</v>
      </c>
      <c r="F1552" s="2">
        <v>3</v>
      </c>
    </row>
    <row r="1553" spans="1:6" ht="12.5">
      <c r="A1553" s="2">
        <v>307</v>
      </c>
      <c r="B1553" s="2">
        <v>6963</v>
      </c>
      <c r="C1553" s="2">
        <v>11</v>
      </c>
      <c r="D1553" s="2">
        <v>45</v>
      </c>
      <c r="E1553" s="2">
        <v>2</v>
      </c>
      <c r="F1553" s="2">
        <v>10</v>
      </c>
    </row>
    <row r="1554" spans="1:6" ht="12.5">
      <c r="A1554" s="2">
        <v>439</v>
      </c>
      <c r="B1554" s="2">
        <v>456</v>
      </c>
      <c r="C1554" s="2">
        <v>11</v>
      </c>
      <c r="D1554" s="2">
        <v>6</v>
      </c>
      <c r="E1554" s="2">
        <v>2</v>
      </c>
      <c r="F1554" s="2">
        <v>3</v>
      </c>
    </row>
    <row r="1555" spans="1:6" ht="12.5">
      <c r="A1555" s="2">
        <v>777</v>
      </c>
      <c r="B1555" s="2">
        <v>4964</v>
      </c>
      <c r="C1555" s="2">
        <v>11</v>
      </c>
      <c r="D1555" s="2">
        <v>0</v>
      </c>
      <c r="E1555" s="2">
        <v>2</v>
      </c>
      <c r="F1555" s="2">
        <v>4</v>
      </c>
    </row>
    <row r="1556" spans="1:6" ht="12.5">
      <c r="A1556" s="2">
        <v>1046</v>
      </c>
      <c r="B1556" s="2">
        <v>4754</v>
      </c>
      <c r="C1556" s="2">
        <v>11</v>
      </c>
      <c r="D1556" s="2">
        <v>6</v>
      </c>
      <c r="E1556" s="2">
        <v>2</v>
      </c>
      <c r="F1556" s="2">
        <v>4</v>
      </c>
    </row>
    <row r="1557" spans="1:6" ht="12.5">
      <c r="A1557" s="2">
        <v>1239</v>
      </c>
      <c r="B1557" s="2">
        <v>286</v>
      </c>
      <c r="C1557" s="2">
        <v>11</v>
      </c>
      <c r="D1557" s="2">
        <v>4</v>
      </c>
      <c r="E1557" s="2">
        <v>2</v>
      </c>
      <c r="F1557" s="2">
        <v>5</v>
      </c>
    </row>
    <row r="1558" spans="1:6" ht="12.5">
      <c r="A1558" s="2">
        <v>2200</v>
      </c>
      <c r="B1558" s="2">
        <v>7620</v>
      </c>
      <c r="C1558" s="2">
        <v>11</v>
      </c>
      <c r="D1558" s="2">
        <v>8</v>
      </c>
      <c r="E1558" s="2">
        <v>2</v>
      </c>
      <c r="F1558" s="2">
        <v>2</v>
      </c>
    </row>
    <row r="1559" spans="1:6" ht="12.5">
      <c r="A1559" s="2">
        <v>74</v>
      </c>
      <c r="B1559" s="2">
        <v>1050</v>
      </c>
      <c r="C1559" s="2">
        <v>10</v>
      </c>
      <c r="D1559" s="2">
        <v>15</v>
      </c>
      <c r="E1559" s="2">
        <v>2</v>
      </c>
      <c r="F1559" s="2">
        <v>4</v>
      </c>
    </row>
    <row r="1560" spans="1:6" ht="12.5">
      <c r="A1560" s="2">
        <v>169</v>
      </c>
      <c r="B1560" s="2">
        <v>3152</v>
      </c>
      <c r="C1560" s="2">
        <v>10</v>
      </c>
      <c r="D1560" s="2">
        <v>17</v>
      </c>
      <c r="E1560" s="2">
        <v>2</v>
      </c>
      <c r="F1560" s="2">
        <v>3</v>
      </c>
    </row>
    <row r="1561" spans="1:6" ht="12.5">
      <c r="A1561" s="2">
        <v>667</v>
      </c>
      <c r="B1561" s="2">
        <v>1987</v>
      </c>
      <c r="C1561" s="2">
        <v>10</v>
      </c>
      <c r="D1561" s="2">
        <v>3</v>
      </c>
      <c r="E1561" s="2">
        <v>2</v>
      </c>
      <c r="F1561" s="2">
        <v>3</v>
      </c>
    </row>
    <row r="1562" spans="1:6" ht="12.5">
      <c r="A1562" s="2">
        <v>712</v>
      </c>
      <c r="B1562" s="2">
        <v>1388</v>
      </c>
      <c r="C1562" s="2">
        <v>10</v>
      </c>
      <c r="D1562" s="2">
        <v>14</v>
      </c>
      <c r="E1562" s="2">
        <v>2</v>
      </c>
      <c r="F1562" s="2">
        <v>3</v>
      </c>
    </row>
    <row r="1563" spans="1:6" ht="12.5">
      <c r="A1563" s="2">
        <v>821</v>
      </c>
      <c r="B1563" s="2">
        <v>1143</v>
      </c>
      <c r="C1563" s="2">
        <v>10</v>
      </c>
      <c r="D1563" s="2">
        <v>11</v>
      </c>
      <c r="E1563" s="2">
        <v>2</v>
      </c>
      <c r="F1563" s="2">
        <v>3</v>
      </c>
    </row>
    <row r="1564" spans="1:6" ht="12.5">
      <c r="A1564" s="2">
        <v>997</v>
      </c>
      <c r="B1564" s="2">
        <v>11188</v>
      </c>
      <c r="C1564" s="2">
        <v>10</v>
      </c>
      <c r="D1564" s="2">
        <v>17</v>
      </c>
      <c r="E1564" s="2">
        <v>2</v>
      </c>
      <c r="F1564" s="2">
        <v>3</v>
      </c>
    </row>
    <row r="1565" spans="1:6" ht="12.5">
      <c r="A1565" s="2">
        <v>1345</v>
      </c>
      <c r="B1565" s="2">
        <v>979</v>
      </c>
      <c r="C1565" s="2">
        <v>10</v>
      </c>
      <c r="D1565" s="2">
        <v>14</v>
      </c>
      <c r="E1565" s="2">
        <v>2</v>
      </c>
      <c r="F1565" s="2">
        <v>3</v>
      </c>
    </row>
    <row r="1566" spans="1:6" ht="12.5">
      <c r="A1566" s="2">
        <v>1428</v>
      </c>
      <c r="B1566" s="2">
        <v>8418</v>
      </c>
      <c r="C1566" s="2">
        <v>10</v>
      </c>
      <c r="D1566" s="2">
        <v>6</v>
      </c>
      <c r="E1566" s="2">
        <v>2</v>
      </c>
      <c r="F1566" s="2">
        <v>3</v>
      </c>
    </row>
    <row r="1567" spans="1:6" ht="12.5">
      <c r="A1567" s="2">
        <v>2021</v>
      </c>
      <c r="B1567" s="2">
        <v>6214</v>
      </c>
      <c r="C1567" s="2">
        <v>10</v>
      </c>
      <c r="D1567" s="2">
        <v>7</v>
      </c>
      <c r="E1567" s="2">
        <v>2</v>
      </c>
      <c r="F1567" s="2">
        <v>3</v>
      </c>
    </row>
    <row r="1568" spans="1:6" ht="12.5">
      <c r="A1568" s="2">
        <v>89</v>
      </c>
      <c r="B1568" s="2">
        <v>771</v>
      </c>
      <c r="C1568" s="2">
        <v>9</v>
      </c>
      <c r="D1568" s="2">
        <v>0</v>
      </c>
      <c r="E1568" s="2">
        <v>2</v>
      </c>
      <c r="F1568" s="2">
        <v>5</v>
      </c>
    </row>
    <row r="1569" spans="1:6" ht="12.5">
      <c r="A1569" s="2">
        <v>184</v>
      </c>
      <c r="B1569" s="2">
        <v>2563</v>
      </c>
      <c r="C1569" s="2">
        <v>9</v>
      </c>
      <c r="D1569" s="2">
        <v>14</v>
      </c>
      <c r="E1569" s="2">
        <v>2</v>
      </c>
      <c r="F1569" s="2">
        <v>3</v>
      </c>
    </row>
    <row r="1570" spans="1:6" ht="12.5">
      <c r="A1570" s="2">
        <v>235</v>
      </c>
      <c r="B1570" s="2">
        <v>89</v>
      </c>
      <c r="C1570" s="2">
        <v>9</v>
      </c>
      <c r="D1570" s="2">
        <v>8</v>
      </c>
      <c r="E1570" s="2">
        <v>2</v>
      </c>
      <c r="F1570" s="2">
        <v>4</v>
      </c>
    </row>
    <row r="1571" spans="1:6" ht="12.5">
      <c r="A1571" s="2">
        <v>909</v>
      </c>
      <c r="B1571" s="2">
        <v>9485</v>
      </c>
      <c r="C1571" s="2">
        <v>9</v>
      </c>
      <c r="D1571" s="2">
        <v>3</v>
      </c>
      <c r="E1571" s="2">
        <v>2</v>
      </c>
      <c r="F1571" s="2">
        <v>6</v>
      </c>
    </row>
    <row r="1572" spans="1:6" ht="12.5">
      <c r="A1572" s="2">
        <v>978</v>
      </c>
      <c r="B1572" s="2">
        <v>3308</v>
      </c>
      <c r="C1572" s="2">
        <v>9</v>
      </c>
      <c r="D1572" s="2">
        <v>11</v>
      </c>
      <c r="E1572" s="2">
        <v>2</v>
      </c>
      <c r="F1572" s="2">
        <v>4</v>
      </c>
    </row>
    <row r="1573" spans="1:6" ht="12.5">
      <c r="A1573" s="2">
        <v>1024</v>
      </c>
      <c r="B1573" s="2">
        <v>4240</v>
      </c>
      <c r="C1573" s="2">
        <v>9</v>
      </c>
      <c r="D1573" s="2">
        <v>0</v>
      </c>
      <c r="E1573" s="2">
        <v>2</v>
      </c>
      <c r="F1573" s="2">
        <v>2</v>
      </c>
    </row>
    <row r="1574" spans="1:6" ht="12.5">
      <c r="A1574" s="2">
        <v>1167</v>
      </c>
      <c r="B1574" s="2">
        <v>6263</v>
      </c>
      <c r="C1574" s="2">
        <v>9</v>
      </c>
      <c r="D1574" s="2">
        <v>7</v>
      </c>
      <c r="E1574" s="2">
        <v>2</v>
      </c>
      <c r="F1574" s="2">
        <v>4</v>
      </c>
    </row>
    <row r="1575" spans="1:6" ht="12.5">
      <c r="A1575" s="2">
        <v>1215</v>
      </c>
      <c r="B1575" s="2">
        <v>1506</v>
      </c>
      <c r="C1575" s="2">
        <v>9</v>
      </c>
      <c r="D1575" s="2">
        <v>15</v>
      </c>
      <c r="E1575" s="2">
        <v>2</v>
      </c>
      <c r="F1575" s="2">
        <v>4</v>
      </c>
    </row>
    <row r="1576" spans="1:6" ht="12.5">
      <c r="A1576" s="2">
        <v>1768</v>
      </c>
      <c r="B1576" s="2">
        <v>8312</v>
      </c>
      <c r="C1576" s="2">
        <v>9</v>
      </c>
      <c r="D1576" s="2">
        <v>14</v>
      </c>
      <c r="E1576" s="2">
        <v>2</v>
      </c>
      <c r="F1576" s="2">
        <v>3</v>
      </c>
    </row>
    <row r="1577" spans="1:6" ht="12.5">
      <c r="A1577" s="2">
        <v>560</v>
      </c>
      <c r="B1577" s="2">
        <v>7685</v>
      </c>
      <c r="C1577" s="2">
        <v>8</v>
      </c>
      <c r="D1577" s="2">
        <v>8</v>
      </c>
      <c r="E1577" s="2">
        <v>2</v>
      </c>
      <c r="F1577" s="2">
        <v>4</v>
      </c>
    </row>
    <row r="1578" spans="1:6" ht="12.5">
      <c r="A1578" s="2">
        <v>621</v>
      </c>
      <c r="B1578" s="2">
        <v>6941</v>
      </c>
      <c r="C1578" s="2">
        <v>8</v>
      </c>
      <c r="D1578" s="2">
        <v>15</v>
      </c>
      <c r="E1578" s="2">
        <v>2</v>
      </c>
      <c r="F1578" s="2">
        <v>2</v>
      </c>
    </row>
    <row r="1579" spans="1:6" ht="12.5">
      <c r="A1579" s="2">
        <v>792</v>
      </c>
      <c r="B1579" s="2">
        <v>3479</v>
      </c>
      <c r="C1579" s="2">
        <v>8</v>
      </c>
      <c r="D1579" s="2">
        <v>2</v>
      </c>
      <c r="E1579" s="2">
        <v>2</v>
      </c>
      <c r="F1579" s="2">
        <v>3</v>
      </c>
    </row>
    <row r="1580" spans="1:6" ht="12.5">
      <c r="A1580" s="2">
        <v>975</v>
      </c>
      <c r="B1580" s="2">
        <v>10286</v>
      </c>
      <c r="C1580" s="2">
        <v>8</v>
      </c>
      <c r="D1580" s="2">
        <v>35</v>
      </c>
      <c r="E1580" s="2">
        <v>2</v>
      </c>
      <c r="F1580" s="2">
        <v>13</v>
      </c>
    </row>
    <row r="1581" spans="1:6" ht="12.5">
      <c r="A1581" s="2">
        <v>1026</v>
      </c>
      <c r="B1581" s="2">
        <v>3706</v>
      </c>
      <c r="C1581" s="2">
        <v>8</v>
      </c>
      <c r="D1581" s="2">
        <v>12</v>
      </c>
      <c r="E1581" s="2">
        <v>2</v>
      </c>
      <c r="F1581" s="2">
        <v>2</v>
      </c>
    </row>
    <row r="1582" spans="1:6" ht="12.5">
      <c r="A1582" s="2">
        <v>1027</v>
      </c>
      <c r="B1582" s="2">
        <v>3628</v>
      </c>
      <c r="C1582" s="2">
        <v>8</v>
      </c>
      <c r="D1582" s="2">
        <v>12</v>
      </c>
      <c r="E1582" s="2">
        <v>2</v>
      </c>
      <c r="F1582" s="2">
        <v>2</v>
      </c>
    </row>
    <row r="1583" spans="1:6" ht="12.5">
      <c r="A1583" s="2">
        <v>1091</v>
      </c>
      <c r="B1583" s="2">
        <v>1833</v>
      </c>
      <c r="C1583" s="2">
        <v>8</v>
      </c>
      <c r="D1583" s="2">
        <v>8</v>
      </c>
      <c r="E1583" s="2">
        <v>2</v>
      </c>
      <c r="F1583" s="2">
        <v>4</v>
      </c>
    </row>
    <row r="1584" spans="1:6" ht="12.5">
      <c r="A1584" s="2">
        <v>1130</v>
      </c>
      <c r="B1584" s="2">
        <v>3412</v>
      </c>
      <c r="C1584" s="2">
        <v>8</v>
      </c>
      <c r="D1584" s="2">
        <v>0</v>
      </c>
      <c r="E1584" s="2">
        <v>2</v>
      </c>
      <c r="F1584" s="2">
        <v>9</v>
      </c>
    </row>
    <row r="1585" spans="1:6" ht="12.5">
      <c r="A1585" s="2">
        <v>1457</v>
      </c>
      <c r="B1585" s="2">
        <v>2157</v>
      </c>
      <c r="C1585" s="2">
        <v>8</v>
      </c>
      <c r="D1585" s="2">
        <v>5</v>
      </c>
      <c r="E1585" s="2">
        <v>2</v>
      </c>
      <c r="F1585" s="2">
        <v>4</v>
      </c>
    </row>
    <row r="1586" spans="1:6" ht="12.5">
      <c r="A1586" s="2">
        <v>1517</v>
      </c>
      <c r="B1586" s="2">
        <v>6310</v>
      </c>
      <c r="C1586" s="2">
        <v>8</v>
      </c>
      <c r="D1586" s="2">
        <v>8</v>
      </c>
      <c r="E1586" s="2">
        <v>2</v>
      </c>
      <c r="F1586" s="2">
        <v>4</v>
      </c>
    </row>
    <row r="1587" spans="1:6" ht="12.5">
      <c r="A1587" s="2">
        <v>1527</v>
      </c>
      <c r="B1587" s="2">
        <v>7998</v>
      </c>
      <c r="C1587" s="2">
        <v>8</v>
      </c>
      <c r="D1587" s="2">
        <v>0</v>
      </c>
      <c r="E1587" s="2">
        <v>2</v>
      </c>
      <c r="F1587" s="2">
        <v>2</v>
      </c>
    </row>
    <row r="1588" spans="1:6" ht="12.5">
      <c r="A1588" s="2">
        <v>1583</v>
      </c>
      <c r="B1588" s="2">
        <v>5223</v>
      </c>
      <c r="C1588" s="2">
        <v>8</v>
      </c>
      <c r="D1588" s="2">
        <v>10</v>
      </c>
      <c r="E1588" s="2">
        <v>2</v>
      </c>
      <c r="F1588" s="2">
        <v>3</v>
      </c>
    </row>
    <row r="1589" spans="1:6" ht="12.5">
      <c r="A1589" s="2">
        <v>1665</v>
      </c>
      <c r="B1589" s="2">
        <v>6437</v>
      </c>
      <c r="C1589" s="2">
        <v>8</v>
      </c>
      <c r="D1589" s="2">
        <v>3</v>
      </c>
      <c r="E1589" s="2">
        <v>2</v>
      </c>
      <c r="F1589" s="2">
        <v>3</v>
      </c>
    </row>
    <row r="1590" spans="1:6" ht="12.5">
      <c r="A1590" s="2">
        <v>2183</v>
      </c>
      <c r="B1590" s="2">
        <v>11187</v>
      </c>
      <c r="C1590" s="2">
        <v>8</v>
      </c>
      <c r="D1590" s="2">
        <v>14</v>
      </c>
      <c r="E1590" s="2">
        <v>2</v>
      </c>
      <c r="F1590" s="2">
        <v>3</v>
      </c>
    </row>
    <row r="1591" spans="1:6" ht="12.5">
      <c r="A1591" s="2">
        <v>269</v>
      </c>
      <c r="B1591" s="2">
        <v>4557</v>
      </c>
      <c r="C1591" s="2">
        <v>7</v>
      </c>
      <c r="D1591" s="2">
        <v>2</v>
      </c>
      <c r="E1591" s="2">
        <v>2</v>
      </c>
      <c r="F1591" s="2">
        <v>2</v>
      </c>
    </row>
    <row r="1592" spans="1:6" ht="12.5">
      <c r="A1592" s="2">
        <v>448</v>
      </c>
      <c r="B1592" s="2">
        <v>2541</v>
      </c>
      <c r="C1592" s="2">
        <v>7</v>
      </c>
      <c r="D1592" s="2">
        <v>0</v>
      </c>
      <c r="E1592" s="2">
        <v>2</v>
      </c>
      <c r="F1592" s="2">
        <v>3</v>
      </c>
    </row>
    <row r="1593" spans="1:6" ht="12.5">
      <c r="A1593" s="2">
        <v>480</v>
      </c>
      <c r="B1593" s="2">
        <v>5300</v>
      </c>
      <c r="C1593" s="2">
        <v>7</v>
      </c>
      <c r="D1593" s="2">
        <v>1</v>
      </c>
      <c r="E1593" s="2">
        <v>2</v>
      </c>
      <c r="F1593" s="2">
        <v>2</v>
      </c>
    </row>
    <row r="1594" spans="1:6" ht="12.5">
      <c r="A1594" s="2">
        <v>598</v>
      </c>
      <c r="B1594" s="2">
        <v>6919</v>
      </c>
      <c r="C1594" s="2">
        <v>7</v>
      </c>
      <c r="D1594" s="2">
        <v>9</v>
      </c>
      <c r="E1594" s="2">
        <v>2</v>
      </c>
      <c r="F1594" s="2">
        <v>3</v>
      </c>
    </row>
    <row r="1595" spans="1:6" ht="12.5">
      <c r="A1595" s="2">
        <v>819</v>
      </c>
      <c r="B1595" s="2">
        <v>7034</v>
      </c>
      <c r="C1595" s="2">
        <v>7</v>
      </c>
      <c r="D1595" s="2">
        <v>6</v>
      </c>
      <c r="E1595" s="2">
        <v>2</v>
      </c>
      <c r="F1595" s="2">
        <v>3</v>
      </c>
    </row>
    <row r="1596" spans="1:6" ht="12.5">
      <c r="A1596" s="2">
        <v>944</v>
      </c>
      <c r="B1596" s="2">
        <v>8700</v>
      </c>
      <c r="C1596" s="2">
        <v>7</v>
      </c>
      <c r="D1596" s="2">
        <v>16</v>
      </c>
      <c r="E1596" s="2">
        <v>2</v>
      </c>
      <c r="F1596" s="2">
        <v>3</v>
      </c>
    </row>
    <row r="1597" spans="1:6" ht="12.5">
      <c r="A1597" s="2">
        <v>962</v>
      </c>
      <c r="B1597" s="2">
        <v>3547</v>
      </c>
      <c r="C1597" s="2">
        <v>7</v>
      </c>
      <c r="D1597" s="2">
        <v>16</v>
      </c>
      <c r="E1597" s="2">
        <v>2</v>
      </c>
      <c r="F1597" s="2">
        <v>3</v>
      </c>
    </row>
    <row r="1598" spans="1:6" ht="12.5">
      <c r="A1598" s="2">
        <v>1227</v>
      </c>
      <c r="B1598" s="2">
        <v>7736</v>
      </c>
      <c r="C1598" s="2">
        <v>7</v>
      </c>
      <c r="D1598" s="2">
        <v>2</v>
      </c>
      <c r="E1598" s="2">
        <v>2</v>
      </c>
      <c r="F1598" s="2">
        <v>2</v>
      </c>
    </row>
    <row r="1599" spans="1:6" ht="12.5">
      <c r="A1599" s="2">
        <v>1364</v>
      </c>
      <c r="B1599" s="2">
        <v>10507</v>
      </c>
      <c r="C1599" s="2">
        <v>7</v>
      </c>
      <c r="D1599" s="2">
        <v>7</v>
      </c>
      <c r="E1599" s="2">
        <v>2</v>
      </c>
      <c r="F1599" s="2">
        <v>7</v>
      </c>
    </row>
    <row r="1600" spans="1:6" ht="12.5">
      <c r="A1600" s="2">
        <v>1592</v>
      </c>
      <c r="B1600" s="2">
        <v>10069</v>
      </c>
      <c r="C1600" s="2">
        <v>7</v>
      </c>
      <c r="D1600" s="2">
        <v>15</v>
      </c>
      <c r="E1600" s="2">
        <v>2</v>
      </c>
      <c r="F1600" s="2">
        <v>2</v>
      </c>
    </row>
    <row r="1601" spans="1:6" ht="12.5">
      <c r="A1601" s="2">
        <v>1725</v>
      </c>
      <c r="B1601" s="2">
        <v>2634</v>
      </c>
      <c r="C1601" s="2">
        <v>7</v>
      </c>
      <c r="D1601" s="2">
        <v>4</v>
      </c>
      <c r="E1601" s="2">
        <v>2</v>
      </c>
      <c r="F1601" s="2">
        <v>3</v>
      </c>
    </row>
    <row r="1602" spans="1:6" ht="12.5">
      <c r="A1602" s="2">
        <v>2104</v>
      </c>
      <c r="B1602" s="2">
        <v>5802</v>
      </c>
      <c r="C1602" s="2">
        <v>7</v>
      </c>
      <c r="D1602" s="2">
        <v>12</v>
      </c>
      <c r="E1602" s="2">
        <v>2</v>
      </c>
      <c r="F1602" s="2">
        <v>4</v>
      </c>
    </row>
    <row r="1603" spans="1:6" ht="12.5">
      <c r="A1603" s="2">
        <v>2116</v>
      </c>
      <c r="B1603" s="2">
        <v>87</v>
      </c>
      <c r="C1603" s="2">
        <v>7</v>
      </c>
      <c r="D1603" s="2">
        <v>2</v>
      </c>
      <c r="E1603" s="2">
        <v>2</v>
      </c>
      <c r="F1603" s="2">
        <v>3</v>
      </c>
    </row>
    <row r="1604" spans="1:6" ht="12.5">
      <c r="A1604" s="2">
        <v>47</v>
      </c>
      <c r="B1604" s="2">
        <v>7286</v>
      </c>
      <c r="C1604" s="2">
        <v>6</v>
      </c>
      <c r="D1604" s="2">
        <v>5</v>
      </c>
      <c r="E1604" s="2">
        <v>2</v>
      </c>
      <c r="F1604" s="2">
        <v>2</v>
      </c>
    </row>
    <row r="1605" spans="1:6" ht="12.5">
      <c r="A1605" s="2">
        <v>52</v>
      </c>
      <c r="B1605" s="2">
        <v>1331</v>
      </c>
      <c r="C1605" s="2">
        <v>6</v>
      </c>
      <c r="D1605" s="2">
        <v>1</v>
      </c>
      <c r="E1605" s="2">
        <v>2</v>
      </c>
      <c r="F1605" s="2">
        <v>3</v>
      </c>
    </row>
    <row r="1606" spans="1:6" ht="12.5">
      <c r="A1606" s="2">
        <v>119</v>
      </c>
      <c r="B1606" s="2">
        <v>9862</v>
      </c>
      <c r="C1606" s="2">
        <v>6</v>
      </c>
      <c r="D1606" s="2">
        <v>5</v>
      </c>
      <c r="E1606" s="2">
        <v>2</v>
      </c>
      <c r="F1606" s="2">
        <v>3</v>
      </c>
    </row>
    <row r="1607" spans="1:6" ht="12.5">
      <c r="A1607" s="2">
        <v>192</v>
      </c>
      <c r="B1607" s="2">
        <v>7829</v>
      </c>
      <c r="C1607" s="2">
        <v>6</v>
      </c>
      <c r="D1607" s="2">
        <v>4</v>
      </c>
      <c r="E1607" s="2">
        <v>2</v>
      </c>
      <c r="F1607" s="2">
        <v>2</v>
      </c>
    </row>
    <row r="1608" spans="1:6" ht="12.5">
      <c r="A1608" s="2">
        <v>274</v>
      </c>
      <c r="B1608" s="2">
        <v>10967</v>
      </c>
      <c r="C1608" s="2">
        <v>6</v>
      </c>
      <c r="D1608" s="2">
        <v>7</v>
      </c>
      <c r="E1608" s="2">
        <v>2</v>
      </c>
      <c r="F1608" s="2">
        <v>4</v>
      </c>
    </row>
    <row r="1609" spans="1:6" ht="12.5">
      <c r="A1609" s="2">
        <v>574</v>
      </c>
      <c r="B1609" s="2">
        <v>7369</v>
      </c>
      <c r="C1609" s="2">
        <v>6</v>
      </c>
      <c r="D1609" s="2">
        <v>0</v>
      </c>
      <c r="E1609" s="2">
        <v>2</v>
      </c>
      <c r="F1609" s="2">
        <v>3</v>
      </c>
    </row>
    <row r="1610" spans="1:6" ht="12.5">
      <c r="A1610" s="2">
        <v>840</v>
      </c>
      <c r="B1610" s="2">
        <v>4186</v>
      </c>
      <c r="C1610" s="2">
        <v>6</v>
      </c>
      <c r="D1610" s="2">
        <v>8</v>
      </c>
      <c r="E1610" s="2">
        <v>2</v>
      </c>
      <c r="F1610" s="2">
        <v>3</v>
      </c>
    </row>
    <row r="1611" spans="1:6" ht="12.5">
      <c r="A1611" s="2">
        <v>1200</v>
      </c>
      <c r="B1611" s="2">
        <v>837</v>
      </c>
      <c r="C1611" s="2">
        <v>6</v>
      </c>
      <c r="D1611" s="2">
        <v>13</v>
      </c>
      <c r="E1611" s="2">
        <v>2</v>
      </c>
      <c r="F1611" s="2">
        <v>5</v>
      </c>
    </row>
    <row r="1612" spans="1:6" ht="12.5">
      <c r="A1612" s="2">
        <v>1274</v>
      </c>
      <c r="B1612" s="2">
        <v>7527</v>
      </c>
      <c r="C1612" s="2">
        <v>6</v>
      </c>
      <c r="D1612" s="2">
        <v>15</v>
      </c>
      <c r="E1612" s="2">
        <v>2</v>
      </c>
      <c r="F1612" s="2">
        <v>3</v>
      </c>
    </row>
    <row r="1613" spans="1:6" ht="12.5">
      <c r="A1613" s="2">
        <v>1302</v>
      </c>
      <c r="B1613" s="2">
        <v>1878</v>
      </c>
      <c r="C1613" s="2">
        <v>6</v>
      </c>
      <c r="D1613" s="2">
        <v>3</v>
      </c>
      <c r="E1613" s="2">
        <v>2</v>
      </c>
      <c r="F1613" s="2">
        <v>3</v>
      </c>
    </row>
    <row r="1614" spans="1:6" ht="12.5">
      <c r="A1614" s="2">
        <v>1522</v>
      </c>
      <c r="B1614" s="2">
        <v>1998</v>
      </c>
      <c r="C1614" s="2">
        <v>6</v>
      </c>
      <c r="D1614" s="2">
        <v>4</v>
      </c>
      <c r="E1614" s="2">
        <v>2</v>
      </c>
      <c r="F1614" s="2">
        <v>3</v>
      </c>
    </row>
    <row r="1615" spans="1:6" ht="12.5">
      <c r="A1615" s="2">
        <v>1611</v>
      </c>
      <c r="B1615" s="2">
        <v>1773</v>
      </c>
      <c r="C1615" s="2">
        <v>6</v>
      </c>
      <c r="D1615" s="2">
        <v>7</v>
      </c>
      <c r="E1615" s="2">
        <v>2</v>
      </c>
      <c r="F1615" s="2">
        <v>3</v>
      </c>
    </row>
    <row r="1616" spans="1:6" ht="12.5">
      <c r="A1616" s="2">
        <v>1790</v>
      </c>
      <c r="B1616" s="2">
        <v>1419</v>
      </c>
      <c r="C1616" s="2">
        <v>6</v>
      </c>
      <c r="D1616" s="2">
        <v>8</v>
      </c>
      <c r="E1616" s="2">
        <v>2</v>
      </c>
      <c r="F1616" s="2">
        <v>3</v>
      </c>
    </row>
    <row r="1617" spans="1:6" ht="12.5">
      <c r="A1617" s="2">
        <v>1793</v>
      </c>
      <c r="B1617" s="2">
        <v>1250</v>
      </c>
      <c r="C1617" s="2">
        <v>6</v>
      </c>
      <c r="D1617" s="2">
        <v>4</v>
      </c>
      <c r="E1617" s="2">
        <v>2</v>
      </c>
      <c r="F1617" s="2">
        <v>3</v>
      </c>
    </row>
    <row r="1618" spans="1:6" ht="12.5">
      <c r="A1618" s="2">
        <v>1834</v>
      </c>
      <c r="B1618" s="2">
        <v>10521</v>
      </c>
      <c r="C1618" s="2">
        <v>6</v>
      </c>
      <c r="D1618" s="2">
        <v>13</v>
      </c>
      <c r="E1618" s="2">
        <v>2</v>
      </c>
      <c r="F1618" s="2">
        <v>5</v>
      </c>
    </row>
    <row r="1619" spans="1:6" ht="12.5">
      <c r="A1619" s="2">
        <v>1847</v>
      </c>
      <c r="B1619" s="2">
        <v>10595</v>
      </c>
      <c r="C1619" s="2">
        <v>6</v>
      </c>
      <c r="D1619" s="2">
        <v>4</v>
      </c>
      <c r="E1619" s="2">
        <v>2</v>
      </c>
      <c r="F1619" s="2">
        <v>3</v>
      </c>
    </row>
    <row r="1620" spans="1:6" ht="12.5">
      <c r="A1620" s="2">
        <v>1892</v>
      </c>
      <c r="B1620" s="2">
        <v>5790</v>
      </c>
      <c r="C1620" s="2">
        <v>6</v>
      </c>
      <c r="D1620" s="2">
        <v>0</v>
      </c>
      <c r="E1620" s="2">
        <v>2</v>
      </c>
      <c r="F1620" s="2">
        <v>3</v>
      </c>
    </row>
    <row r="1621" spans="1:6" ht="12.5">
      <c r="A1621" s="2">
        <v>1944</v>
      </c>
      <c r="B1621" s="2">
        <v>5015</v>
      </c>
      <c r="C1621" s="2">
        <v>6</v>
      </c>
      <c r="D1621" s="2">
        <v>6</v>
      </c>
      <c r="E1621" s="2">
        <v>2</v>
      </c>
      <c r="F1621" s="2">
        <v>3</v>
      </c>
    </row>
    <row r="1622" spans="1:6" ht="12.5">
      <c r="A1622" s="2">
        <v>2042</v>
      </c>
      <c r="B1622" s="2">
        <v>8416</v>
      </c>
      <c r="C1622" s="2">
        <v>6</v>
      </c>
      <c r="D1622" s="2">
        <v>5</v>
      </c>
      <c r="E1622" s="2">
        <v>2</v>
      </c>
      <c r="F1622" s="2">
        <v>3</v>
      </c>
    </row>
    <row r="1623" spans="1:6" ht="12.5">
      <c r="A1623" s="2">
        <v>48</v>
      </c>
      <c r="B1623" s="2">
        <v>7244</v>
      </c>
      <c r="C1623" s="2">
        <v>5</v>
      </c>
      <c r="D1623" s="2">
        <v>10</v>
      </c>
      <c r="E1623" s="2">
        <v>2</v>
      </c>
      <c r="F1623" s="2">
        <v>4</v>
      </c>
    </row>
    <row r="1624" spans="1:6" ht="12.5">
      <c r="A1624" s="2">
        <v>402</v>
      </c>
      <c r="B1624" s="2">
        <v>7617</v>
      </c>
      <c r="C1624" s="2">
        <v>5</v>
      </c>
      <c r="D1624" s="2">
        <v>8</v>
      </c>
      <c r="E1624" s="2">
        <v>2</v>
      </c>
      <c r="F1624" s="2">
        <v>5</v>
      </c>
    </row>
    <row r="1625" spans="1:6" ht="12.5">
      <c r="A1625" s="2">
        <v>416</v>
      </c>
      <c r="B1625" s="2">
        <v>6504</v>
      </c>
      <c r="C1625" s="2">
        <v>5</v>
      </c>
      <c r="D1625" s="2">
        <v>6</v>
      </c>
      <c r="E1625" s="2">
        <v>2</v>
      </c>
      <c r="F1625" s="2">
        <v>3</v>
      </c>
    </row>
    <row r="1626" spans="1:6" ht="12.5">
      <c r="A1626" s="2">
        <v>746</v>
      </c>
      <c r="B1626" s="2">
        <v>7235</v>
      </c>
      <c r="C1626" s="2">
        <v>5</v>
      </c>
      <c r="D1626" s="2">
        <v>8</v>
      </c>
      <c r="E1626" s="2">
        <v>2</v>
      </c>
      <c r="F1626" s="2">
        <v>4</v>
      </c>
    </row>
    <row r="1627" spans="1:6" ht="12.5">
      <c r="A1627" s="2">
        <v>830</v>
      </c>
      <c r="B1627" s="2">
        <v>4887</v>
      </c>
      <c r="C1627" s="2">
        <v>5</v>
      </c>
      <c r="D1627" s="2">
        <v>1</v>
      </c>
      <c r="E1627" s="2">
        <v>2</v>
      </c>
      <c r="F1627" s="2">
        <v>3</v>
      </c>
    </row>
    <row r="1628" spans="1:6" ht="12.5">
      <c r="A1628" s="2">
        <v>833</v>
      </c>
      <c r="B1628" s="2">
        <v>11003</v>
      </c>
      <c r="C1628" s="2">
        <v>5</v>
      </c>
      <c r="D1628" s="2">
        <v>18</v>
      </c>
      <c r="E1628" s="2">
        <v>2</v>
      </c>
      <c r="F1628" s="2">
        <v>3</v>
      </c>
    </row>
    <row r="1629" spans="1:6" ht="12.5">
      <c r="A1629" s="2">
        <v>1142</v>
      </c>
      <c r="B1629" s="2">
        <v>4066</v>
      </c>
      <c r="C1629" s="2">
        <v>5</v>
      </c>
      <c r="D1629" s="2">
        <v>8</v>
      </c>
      <c r="E1629" s="2">
        <v>2</v>
      </c>
      <c r="F1629" s="2">
        <v>2</v>
      </c>
    </row>
    <row r="1630" spans="1:6" ht="12.5">
      <c r="A1630" s="2">
        <v>1178</v>
      </c>
      <c r="B1630" s="2">
        <v>2918</v>
      </c>
      <c r="C1630" s="2">
        <v>5</v>
      </c>
      <c r="D1630" s="2">
        <v>4</v>
      </c>
      <c r="E1630" s="2">
        <v>2</v>
      </c>
      <c r="F1630" s="2">
        <v>4</v>
      </c>
    </row>
    <row r="1631" spans="1:6" ht="12.5">
      <c r="A1631" s="2">
        <v>1292</v>
      </c>
      <c r="B1631" s="2">
        <v>7628</v>
      </c>
      <c r="C1631" s="2">
        <v>5</v>
      </c>
      <c r="D1631" s="2">
        <v>3</v>
      </c>
      <c r="E1631" s="2">
        <v>2</v>
      </c>
      <c r="F1631" s="2">
        <v>4</v>
      </c>
    </row>
    <row r="1632" spans="1:6" ht="12.5">
      <c r="A1632" s="2">
        <v>1299</v>
      </c>
      <c r="B1632" s="2">
        <v>10641</v>
      </c>
      <c r="C1632" s="2">
        <v>5</v>
      </c>
      <c r="D1632" s="2">
        <v>4</v>
      </c>
      <c r="E1632" s="2">
        <v>2</v>
      </c>
      <c r="F1632" s="2">
        <v>3</v>
      </c>
    </row>
    <row r="1633" spans="1:6" ht="12.5">
      <c r="A1633" s="2">
        <v>1330</v>
      </c>
      <c r="B1633" s="2">
        <v>4832</v>
      </c>
      <c r="C1633" s="2">
        <v>5</v>
      </c>
      <c r="D1633" s="2">
        <v>24</v>
      </c>
      <c r="E1633" s="2">
        <v>2</v>
      </c>
      <c r="F1633" s="2">
        <v>2</v>
      </c>
    </row>
    <row r="1634" spans="1:6" ht="12.5">
      <c r="A1634" s="2">
        <v>1558</v>
      </c>
      <c r="B1634" s="2">
        <v>6642</v>
      </c>
      <c r="C1634" s="2">
        <v>5</v>
      </c>
      <c r="D1634" s="2">
        <v>9</v>
      </c>
      <c r="E1634" s="2">
        <v>2</v>
      </c>
      <c r="F1634" s="2">
        <v>4</v>
      </c>
    </row>
    <row r="1635" spans="1:6" ht="12.5">
      <c r="A1635" s="2">
        <v>1655</v>
      </c>
      <c r="B1635" s="2">
        <v>1834</v>
      </c>
      <c r="C1635" s="2">
        <v>5</v>
      </c>
      <c r="D1635" s="2">
        <v>1</v>
      </c>
      <c r="E1635" s="2">
        <v>2</v>
      </c>
      <c r="F1635" s="2">
        <v>3</v>
      </c>
    </row>
    <row r="1636" spans="1:6" ht="12.5">
      <c r="A1636" s="2">
        <v>1835</v>
      </c>
      <c r="B1636" s="2">
        <v>7393</v>
      </c>
      <c r="C1636" s="2">
        <v>5</v>
      </c>
      <c r="D1636" s="2">
        <v>0</v>
      </c>
      <c r="E1636" s="2">
        <v>2</v>
      </c>
      <c r="F1636" s="2">
        <v>3</v>
      </c>
    </row>
    <row r="1637" spans="1:6" ht="12.5">
      <c r="A1637" s="2">
        <v>3</v>
      </c>
      <c r="B1637" s="2">
        <v>6182</v>
      </c>
      <c r="C1637" s="2">
        <v>4</v>
      </c>
      <c r="D1637" s="2">
        <v>3</v>
      </c>
      <c r="E1637" s="2">
        <v>2</v>
      </c>
      <c r="F1637" s="2">
        <v>4</v>
      </c>
    </row>
    <row r="1638" spans="1:6" ht="12.5">
      <c r="A1638" s="2">
        <v>25</v>
      </c>
      <c r="B1638" s="2">
        <v>7892</v>
      </c>
      <c r="C1638" s="2">
        <v>4</v>
      </c>
      <c r="D1638" s="2">
        <v>12</v>
      </c>
      <c r="E1638" s="2">
        <v>2</v>
      </c>
      <c r="F1638" s="2">
        <v>3</v>
      </c>
    </row>
    <row r="1639" spans="1:6" ht="12.5">
      <c r="A1639" s="2">
        <v>171</v>
      </c>
      <c r="B1639" s="2">
        <v>6460</v>
      </c>
      <c r="C1639" s="2">
        <v>4</v>
      </c>
      <c r="D1639" s="2">
        <v>8</v>
      </c>
      <c r="E1639" s="2">
        <v>2</v>
      </c>
      <c r="F1639" s="2">
        <v>3</v>
      </c>
    </row>
    <row r="1640" spans="1:6" ht="12.5">
      <c r="A1640" s="2">
        <v>258</v>
      </c>
      <c r="B1640" s="2">
        <v>2661</v>
      </c>
      <c r="C1640" s="2">
        <v>4</v>
      </c>
      <c r="D1640" s="2">
        <v>6</v>
      </c>
      <c r="E1640" s="2">
        <v>2</v>
      </c>
      <c r="F1640" s="2">
        <v>4</v>
      </c>
    </row>
    <row r="1641" spans="1:6" ht="12.5">
      <c r="A1641" s="2">
        <v>399</v>
      </c>
      <c r="B1641" s="2">
        <v>8213</v>
      </c>
      <c r="C1641" s="2">
        <v>4</v>
      </c>
      <c r="D1641" s="2">
        <v>36</v>
      </c>
      <c r="E1641" s="2">
        <v>2</v>
      </c>
      <c r="F1641" s="2">
        <v>3</v>
      </c>
    </row>
    <row r="1642" spans="1:6" ht="12.5">
      <c r="A1642" s="2">
        <v>508</v>
      </c>
      <c r="B1642" s="2">
        <v>3386</v>
      </c>
      <c r="C1642" s="2">
        <v>4</v>
      </c>
      <c r="D1642" s="2">
        <v>10</v>
      </c>
      <c r="E1642" s="2">
        <v>2</v>
      </c>
      <c r="F1642" s="2">
        <v>4</v>
      </c>
    </row>
    <row r="1643" spans="1:6" ht="12.5">
      <c r="A1643" s="2">
        <v>538</v>
      </c>
      <c r="B1643" s="2">
        <v>11096</v>
      </c>
      <c r="C1643" s="2">
        <v>4</v>
      </c>
      <c r="D1643" s="2">
        <v>54</v>
      </c>
      <c r="E1643" s="2">
        <v>2</v>
      </c>
      <c r="F1643" s="2">
        <v>7</v>
      </c>
    </row>
    <row r="1644" spans="1:6" ht="12.5">
      <c r="A1644" s="2">
        <v>545</v>
      </c>
      <c r="B1644" s="2">
        <v>8541</v>
      </c>
      <c r="C1644" s="2">
        <v>4</v>
      </c>
      <c r="D1644" s="2">
        <v>7</v>
      </c>
      <c r="E1644" s="2">
        <v>2</v>
      </c>
      <c r="F1644" s="2">
        <v>4</v>
      </c>
    </row>
    <row r="1645" spans="1:6" ht="12.5">
      <c r="A1645" s="2">
        <v>558</v>
      </c>
      <c r="B1645" s="2">
        <v>8420</v>
      </c>
      <c r="C1645" s="2">
        <v>4</v>
      </c>
      <c r="D1645" s="2">
        <v>8</v>
      </c>
      <c r="E1645" s="2">
        <v>2</v>
      </c>
      <c r="F1645" s="2">
        <v>4</v>
      </c>
    </row>
    <row r="1646" spans="1:6" ht="12.5">
      <c r="A1646" s="2">
        <v>695</v>
      </c>
      <c r="B1646" s="2">
        <v>9239</v>
      </c>
      <c r="C1646" s="2">
        <v>4</v>
      </c>
      <c r="D1646" s="2">
        <v>3</v>
      </c>
      <c r="E1646" s="2">
        <v>2</v>
      </c>
      <c r="F1646" s="2">
        <v>4</v>
      </c>
    </row>
    <row r="1647" spans="1:6" ht="12.5">
      <c r="A1647" s="2">
        <v>717</v>
      </c>
      <c r="B1647" s="2">
        <v>1715</v>
      </c>
      <c r="C1647" s="2">
        <v>4</v>
      </c>
      <c r="D1647" s="2">
        <v>5</v>
      </c>
      <c r="E1647" s="2">
        <v>2</v>
      </c>
      <c r="F1647" s="2">
        <v>3</v>
      </c>
    </row>
    <row r="1648" spans="1:6" ht="12.5">
      <c r="A1648" s="2">
        <v>963</v>
      </c>
      <c r="B1648" s="2">
        <v>2456</v>
      </c>
      <c r="C1648" s="2">
        <v>4</v>
      </c>
      <c r="D1648" s="2">
        <v>17</v>
      </c>
      <c r="E1648" s="2">
        <v>2</v>
      </c>
      <c r="F1648" s="2">
        <v>5</v>
      </c>
    </row>
    <row r="1649" spans="1:6" ht="12.5">
      <c r="A1649" s="2">
        <v>1017</v>
      </c>
      <c r="B1649" s="2">
        <v>8562</v>
      </c>
      <c r="C1649" s="2">
        <v>4</v>
      </c>
      <c r="D1649" s="2">
        <v>6</v>
      </c>
      <c r="E1649" s="2">
        <v>2</v>
      </c>
      <c r="F1649" s="2">
        <v>7</v>
      </c>
    </row>
    <row r="1650" spans="1:6" ht="12.5">
      <c r="A1650" s="2">
        <v>1107</v>
      </c>
      <c r="B1650" s="2">
        <v>10065</v>
      </c>
      <c r="C1650" s="2">
        <v>4</v>
      </c>
      <c r="D1650" s="2">
        <v>8</v>
      </c>
      <c r="E1650" s="2">
        <v>2</v>
      </c>
      <c r="F1650" s="2">
        <v>4</v>
      </c>
    </row>
    <row r="1651" spans="1:6" ht="12.5">
      <c r="A1651" s="2">
        <v>1267</v>
      </c>
      <c r="B1651" s="2">
        <v>11114</v>
      </c>
      <c r="C1651" s="2">
        <v>4</v>
      </c>
      <c r="D1651" s="2">
        <v>8</v>
      </c>
      <c r="E1651" s="2">
        <v>2</v>
      </c>
      <c r="F1651" s="2">
        <v>3</v>
      </c>
    </row>
    <row r="1652" spans="1:6" ht="12.5">
      <c r="A1652" s="2">
        <v>1361</v>
      </c>
      <c r="B1652" s="2">
        <v>1384</v>
      </c>
      <c r="C1652" s="2">
        <v>4</v>
      </c>
      <c r="D1652" s="2">
        <v>8</v>
      </c>
      <c r="E1652" s="2">
        <v>2</v>
      </c>
      <c r="F1652" s="2">
        <v>2</v>
      </c>
    </row>
    <row r="1653" spans="1:6" ht="12.5">
      <c r="A1653" s="2">
        <v>1371</v>
      </c>
      <c r="B1653" s="2">
        <v>9140</v>
      </c>
      <c r="C1653" s="2">
        <v>4</v>
      </c>
      <c r="D1653" s="2">
        <v>7</v>
      </c>
      <c r="E1653" s="2">
        <v>2</v>
      </c>
      <c r="F1653" s="2">
        <v>4</v>
      </c>
    </row>
    <row r="1654" spans="1:6" ht="12.5">
      <c r="A1654" s="2">
        <v>1418</v>
      </c>
      <c r="B1654" s="2">
        <v>5654</v>
      </c>
      <c r="C1654" s="2">
        <v>4</v>
      </c>
      <c r="D1654" s="2">
        <v>4</v>
      </c>
      <c r="E1654" s="2">
        <v>2</v>
      </c>
      <c r="F1654" s="2">
        <v>3</v>
      </c>
    </row>
    <row r="1655" spans="1:6" ht="12.5">
      <c r="A1655" s="2">
        <v>1578</v>
      </c>
      <c r="B1655" s="2">
        <v>8175</v>
      </c>
      <c r="C1655" s="2">
        <v>4</v>
      </c>
      <c r="D1655" s="2">
        <v>10</v>
      </c>
      <c r="E1655" s="2">
        <v>2</v>
      </c>
      <c r="F1655" s="2">
        <v>4</v>
      </c>
    </row>
    <row r="1656" spans="1:6" ht="12.5">
      <c r="A1656" s="2">
        <v>1649</v>
      </c>
      <c r="B1656" s="2">
        <v>7485</v>
      </c>
      <c r="C1656" s="2">
        <v>4</v>
      </c>
      <c r="D1656" s="2">
        <v>2</v>
      </c>
      <c r="E1656" s="2">
        <v>2</v>
      </c>
      <c r="F1656" s="2">
        <v>4</v>
      </c>
    </row>
    <row r="1657" spans="1:6" ht="12.5">
      <c r="A1657" s="2">
        <v>1694</v>
      </c>
      <c r="B1657" s="2">
        <v>2431</v>
      </c>
      <c r="C1657" s="2">
        <v>4</v>
      </c>
      <c r="D1657" s="2">
        <v>6</v>
      </c>
      <c r="E1657" s="2">
        <v>2</v>
      </c>
      <c r="F1657" s="2">
        <v>3</v>
      </c>
    </row>
    <row r="1658" spans="1:6" ht="12.5">
      <c r="A1658" s="2">
        <v>1780</v>
      </c>
      <c r="B1658" s="2">
        <v>5150</v>
      </c>
      <c r="C1658" s="2">
        <v>4</v>
      </c>
      <c r="D1658" s="2">
        <v>10</v>
      </c>
      <c r="E1658" s="2">
        <v>2</v>
      </c>
      <c r="F1658" s="2">
        <v>3</v>
      </c>
    </row>
    <row r="1659" spans="1:6" ht="12.5">
      <c r="A1659" s="2">
        <v>1807</v>
      </c>
      <c r="B1659" s="2">
        <v>3130</v>
      </c>
      <c r="C1659" s="2">
        <v>4</v>
      </c>
      <c r="D1659" s="2">
        <v>6</v>
      </c>
      <c r="E1659" s="2">
        <v>2</v>
      </c>
      <c r="F1659" s="2">
        <v>4</v>
      </c>
    </row>
    <row r="1660" spans="1:6" ht="12.5">
      <c r="A1660" s="2">
        <v>1857</v>
      </c>
      <c r="B1660" s="2">
        <v>5316</v>
      </c>
      <c r="C1660" s="2">
        <v>4</v>
      </c>
      <c r="D1660" s="2">
        <v>2</v>
      </c>
      <c r="E1660" s="2">
        <v>2</v>
      </c>
      <c r="F1660" s="2">
        <v>4</v>
      </c>
    </row>
    <row r="1661" spans="1:6" ht="12.5">
      <c r="A1661" s="2">
        <v>1930</v>
      </c>
      <c r="B1661" s="2">
        <v>5734</v>
      </c>
      <c r="C1661" s="2">
        <v>4</v>
      </c>
      <c r="D1661" s="2">
        <v>2</v>
      </c>
      <c r="E1661" s="2">
        <v>2</v>
      </c>
      <c r="F1661" s="2">
        <v>4</v>
      </c>
    </row>
    <row r="1662" spans="1:6" ht="12.5">
      <c r="A1662" s="2">
        <v>1959</v>
      </c>
      <c r="B1662" s="2">
        <v>7530</v>
      </c>
      <c r="C1662" s="2">
        <v>4</v>
      </c>
      <c r="D1662" s="2">
        <v>2</v>
      </c>
      <c r="E1662" s="2">
        <v>2</v>
      </c>
      <c r="F1662" s="2">
        <v>4</v>
      </c>
    </row>
    <row r="1663" spans="1:6" ht="12.5">
      <c r="A1663" s="2">
        <v>2020</v>
      </c>
      <c r="B1663" s="2">
        <v>9829</v>
      </c>
      <c r="C1663" s="2">
        <v>4</v>
      </c>
      <c r="D1663" s="2">
        <v>10</v>
      </c>
      <c r="E1663" s="2">
        <v>2</v>
      </c>
      <c r="F1663" s="2">
        <v>4</v>
      </c>
    </row>
    <row r="1664" spans="1:6" ht="12.5">
      <c r="A1664" s="2">
        <v>2113</v>
      </c>
      <c r="B1664" s="2">
        <v>3969</v>
      </c>
      <c r="C1664" s="2">
        <v>4</v>
      </c>
      <c r="D1664" s="2">
        <v>6</v>
      </c>
      <c r="E1664" s="2">
        <v>2</v>
      </c>
      <c r="F1664" s="2">
        <v>2</v>
      </c>
    </row>
    <row r="1665" spans="1:6" ht="12.5">
      <c r="A1665" s="2">
        <v>2142</v>
      </c>
      <c r="B1665" s="2">
        <v>7124</v>
      </c>
      <c r="C1665" s="2">
        <v>4</v>
      </c>
      <c r="D1665" s="2">
        <v>0</v>
      </c>
      <c r="E1665" s="2">
        <v>2</v>
      </c>
      <c r="F1665" s="2">
        <v>4</v>
      </c>
    </row>
    <row r="1666" spans="1:6" ht="12.5">
      <c r="A1666" s="2">
        <v>58</v>
      </c>
      <c r="B1666" s="2">
        <v>8557</v>
      </c>
      <c r="C1666" s="2">
        <v>3</v>
      </c>
      <c r="D1666" s="2">
        <v>2</v>
      </c>
      <c r="E1666" s="2">
        <v>2</v>
      </c>
      <c r="F1666" s="2">
        <v>3</v>
      </c>
    </row>
    <row r="1667" spans="1:6" ht="12.5">
      <c r="A1667" s="2">
        <v>95</v>
      </c>
      <c r="B1667" s="2">
        <v>7516</v>
      </c>
      <c r="C1667" s="2">
        <v>3</v>
      </c>
      <c r="D1667" s="2">
        <v>5</v>
      </c>
      <c r="E1667" s="2">
        <v>2</v>
      </c>
      <c r="F1667" s="2">
        <v>3</v>
      </c>
    </row>
    <row r="1668" spans="1:6" ht="12.5">
      <c r="A1668" s="2">
        <v>121</v>
      </c>
      <c r="B1668" s="2">
        <v>6205</v>
      </c>
      <c r="C1668" s="2">
        <v>3</v>
      </c>
      <c r="D1668" s="2">
        <v>4</v>
      </c>
      <c r="E1668" s="2">
        <v>2</v>
      </c>
      <c r="F1668" s="2">
        <v>3</v>
      </c>
    </row>
    <row r="1669" spans="1:6" ht="12.5">
      <c r="A1669" s="2">
        <v>250</v>
      </c>
      <c r="B1669" s="2">
        <v>10236</v>
      </c>
      <c r="C1669" s="2">
        <v>3</v>
      </c>
      <c r="D1669" s="2">
        <v>1</v>
      </c>
      <c r="E1669" s="2">
        <v>2</v>
      </c>
      <c r="F1669" s="2">
        <v>3</v>
      </c>
    </row>
    <row r="1670" spans="1:6" ht="12.5">
      <c r="A1670" s="2">
        <v>362</v>
      </c>
      <c r="B1670" s="2">
        <v>2958</v>
      </c>
      <c r="C1670" s="2">
        <v>3</v>
      </c>
      <c r="D1670" s="2">
        <v>8</v>
      </c>
      <c r="E1670" s="2">
        <v>2</v>
      </c>
      <c r="F1670" s="2">
        <v>4</v>
      </c>
    </row>
    <row r="1671" spans="1:6" ht="12.5">
      <c r="A1671" s="2">
        <v>367</v>
      </c>
      <c r="B1671" s="2">
        <v>4432</v>
      </c>
      <c r="C1671" s="2">
        <v>3</v>
      </c>
      <c r="D1671" s="2">
        <v>11</v>
      </c>
      <c r="E1671" s="2">
        <v>2</v>
      </c>
      <c r="F1671" s="2">
        <v>3</v>
      </c>
    </row>
    <row r="1672" spans="1:6" ht="12.5">
      <c r="A1672" s="2">
        <v>406</v>
      </c>
      <c r="B1672" s="2">
        <v>3645</v>
      </c>
      <c r="C1672" s="2">
        <v>3</v>
      </c>
      <c r="D1672" s="2">
        <v>9</v>
      </c>
      <c r="E1672" s="2">
        <v>2</v>
      </c>
      <c r="F1672" s="2">
        <v>4</v>
      </c>
    </row>
    <row r="1673" spans="1:6" ht="12.5">
      <c r="A1673" s="2">
        <v>420</v>
      </c>
      <c r="B1673" s="2">
        <v>5929</v>
      </c>
      <c r="C1673" s="2">
        <v>3</v>
      </c>
      <c r="D1673" s="2">
        <v>1</v>
      </c>
      <c r="E1673" s="2">
        <v>2</v>
      </c>
      <c r="F1673" s="2">
        <v>3</v>
      </c>
    </row>
    <row r="1674" spans="1:6" ht="12.5">
      <c r="A1674" s="2">
        <v>421</v>
      </c>
      <c r="B1674" s="2">
        <v>3129</v>
      </c>
      <c r="C1674" s="2">
        <v>3</v>
      </c>
      <c r="D1674" s="2">
        <v>5</v>
      </c>
      <c r="E1674" s="2">
        <v>2</v>
      </c>
      <c r="F1674" s="2">
        <v>3</v>
      </c>
    </row>
    <row r="1675" spans="1:6" ht="12.5">
      <c r="A1675" s="2">
        <v>481</v>
      </c>
      <c r="B1675" s="2">
        <v>5154</v>
      </c>
      <c r="C1675" s="2">
        <v>3</v>
      </c>
      <c r="D1675" s="2">
        <v>10</v>
      </c>
      <c r="E1675" s="2">
        <v>2</v>
      </c>
      <c r="F1675" s="2">
        <v>3</v>
      </c>
    </row>
    <row r="1676" spans="1:6" ht="12.5">
      <c r="A1676" s="2">
        <v>534</v>
      </c>
      <c r="B1676" s="2">
        <v>8724</v>
      </c>
      <c r="C1676" s="2">
        <v>3</v>
      </c>
      <c r="D1676" s="2">
        <v>2</v>
      </c>
      <c r="E1676" s="2">
        <v>2</v>
      </c>
      <c r="F1676" s="2">
        <v>3</v>
      </c>
    </row>
    <row r="1677" spans="1:6" ht="12.5">
      <c r="A1677" s="2">
        <v>890</v>
      </c>
      <c r="B1677" s="2">
        <v>1928</v>
      </c>
      <c r="C1677" s="2">
        <v>3</v>
      </c>
      <c r="D1677" s="2">
        <v>1</v>
      </c>
      <c r="E1677" s="2">
        <v>2</v>
      </c>
      <c r="F1677" s="2">
        <v>3</v>
      </c>
    </row>
    <row r="1678" spans="1:6" ht="12.5">
      <c r="A1678" s="2">
        <v>982</v>
      </c>
      <c r="B1678" s="2">
        <v>6634</v>
      </c>
      <c r="C1678" s="2">
        <v>3</v>
      </c>
      <c r="D1678" s="2">
        <v>0</v>
      </c>
      <c r="E1678" s="2">
        <v>2</v>
      </c>
      <c r="F1678" s="2">
        <v>3</v>
      </c>
    </row>
    <row r="1679" spans="1:6" ht="12.5">
      <c r="A1679" s="2">
        <v>1233</v>
      </c>
      <c r="B1679" s="2">
        <v>1502</v>
      </c>
      <c r="C1679" s="2">
        <v>3</v>
      </c>
      <c r="D1679" s="2">
        <v>3</v>
      </c>
      <c r="E1679" s="2">
        <v>2</v>
      </c>
      <c r="F1679" s="2">
        <v>3</v>
      </c>
    </row>
    <row r="1680" spans="1:6" ht="12.5">
      <c r="A1680" s="2">
        <v>1384</v>
      </c>
      <c r="B1680" s="2">
        <v>793</v>
      </c>
      <c r="C1680" s="2">
        <v>3</v>
      </c>
      <c r="D1680" s="2">
        <v>0</v>
      </c>
      <c r="E1680" s="2">
        <v>2</v>
      </c>
      <c r="F1680" s="2">
        <v>3</v>
      </c>
    </row>
    <row r="1681" spans="1:6" ht="12.5">
      <c r="A1681" s="2">
        <v>1397</v>
      </c>
      <c r="B1681" s="2">
        <v>2589</v>
      </c>
      <c r="C1681" s="2">
        <v>3</v>
      </c>
      <c r="D1681" s="2">
        <v>5</v>
      </c>
      <c r="E1681" s="2">
        <v>2</v>
      </c>
      <c r="F1681" s="2">
        <v>3</v>
      </c>
    </row>
    <row r="1682" spans="1:6" ht="12.5">
      <c r="A1682" s="2">
        <v>1419</v>
      </c>
      <c r="B1682" s="2">
        <v>4098</v>
      </c>
      <c r="C1682" s="2">
        <v>3</v>
      </c>
      <c r="D1682" s="2">
        <v>4</v>
      </c>
      <c r="E1682" s="2">
        <v>2</v>
      </c>
      <c r="F1682" s="2">
        <v>4</v>
      </c>
    </row>
    <row r="1683" spans="1:6" ht="12.5">
      <c r="A1683" s="2">
        <v>1433</v>
      </c>
      <c r="B1683" s="2">
        <v>274</v>
      </c>
      <c r="C1683" s="2">
        <v>3</v>
      </c>
      <c r="D1683" s="2">
        <v>3</v>
      </c>
      <c r="E1683" s="2">
        <v>2</v>
      </c>
      <c r="F1683" s="2">
        <v>3</v>
      </c>
    </row>
    <row r="1684" spans="1:6" ht="12.5">
      <c r="A1684" s="2">
        <v>1494</v>
      </c>
      <c r="B1684" s="2">
        <v>2005</v>
      </c>
      <c r="C1684" s="2">
        <v>3</v>
      </c>
      <c r="D1684" s="2">
        <v>5</v>
      </c>
      <c r="E1684" s="2">
        <v>2</v>
      </c>
      <c r="F1684" s="2">
        <v>4</v>
      </c>
    </row>
    <row r="1685" spans="1:6" ht="12.5">
      <c r="A1685" s="2">
        <v>1523</v>
      </c>
      <c r="B1685" s="2">
        <v>10795</v>
      </c>
      <c r="C1685" s="2">
        <v>3</v>
      </c>
      <c r="D1685" s="2">
        <v>1</v>
      </c>
      <c r="E1685" s="2">
        <v>2</v>
      </c>
      <c r="F1685" s="2">
        <v>3</v>
      </c>
    </row>
    <row r="1686" spans="1:6" ht="12.5">
      <c r="A1686" s="2">
        <v>1717</v>
      </c>
      <c r="B1686" s="2">
        <v>7629</v>
      </c>
      <c r="C1686" s="2">
        <v>3</v>
      </c>
      <c r="D1686" s="2">
        <v>2</v>
      </c>
      <c r="E1686" s="2">
        <v>2</v>
      </c>
      <c r="F1686" s="2">
        <v>3</v>
      </c>
    </row>
    <row r="1687" spans="1:6" ht="12.5">
      <c r="A1687" s="2">
        <v>1761</v>
      </c>
      <c r="B1687" s="2">
        <v>8812</v>
      </c>
      <c r="C1687" s="2">
        <v>3</v>
      </c>
      <c r="D1687" s="2">
        <v>0</v>
      </c>
      <c r="E1687" s="2">
        <v>2</v>
      </c>
      <c r="F1687" s="2">
        <v>3</v>
      </c>
    </row>
    <row r="1688" spans="1:6" ht="12.5">
      <c r="A1688" s="2">
        <v>1842</v>
      </c>
      <c r="B1688" s="2">
        <v>7419</v>
      </c>
      <c r="C1688" s="2">
        <v>3</v>
      </c>
      <c r="D1688" s="2">
        <v>2</v>
      </c>
      <c r="E1688" s="2">
        <v>2</v>
      </c>
      <c r="F1688" s="2">
        <v>3</v>
      </c>
    </row>
    <row r="1689" spans="1:6" ht="12.5">
      <c r="A1689" s="2">
        <v>2016</v>
      </c>
      <c r="B1689" s="2">
        <v>7042</v>
      </c>
      <c r="C1689" s="2">
        <v>3</v>
      </c>
      <c r="D1689" s="2">
        <v>21</v>
      </c>
      <c r="E1689" s="2">
        <v>2</v>
      </c>
      <c r="F1689" s="2">
        <v>2</v>
      </c>
    </row>
    <row r="1690" spans="1:6" ht="12.5">
      <c r="A1690" s="2">
        <v>2025</v>
      </c>
      <c r="B1690" s="2">
        <v>9423</v>
      </c>
      <c r="C1690" s="2">
        <v>3</v>
      </c>
      <c r="D1690" s="2">
        <v>3</v>
      </c>
      <c r="E1690" s="2">
        <v>2</v>
      </c>
      <c r="F1690" s="2">
        <v>4</v>
      </c>
    </row>
    <row r="1691" spans="1:6" ht="12.5">
      <c r="A1691" s="2">
        <v>2077</v>
      </c>
      <c r="B1691" s="2">
        <v>954</v>
      </c>
      <c r="C1691" s="2">
        <v>3</v>
      </c>
      <c r="D1691" s="2">
        <v>7</v>
      </c>
      <c r="E1691" s="2">
        <v>2</v>
      </c>
      <c r="F1691" s="2">
        <v>3</v>
      </c>
    </row>
    <row r="1692" spans="1:6" ht="12.5">
      <c r="A1692" s="2">
        <v>2133</v>
      </c>
      <c r="B1692" s="2">
        <v>642</v>
      </c>
      <c r="C1692" s="2">
        <v>3</v>
      </c>
      <c r="D1692" s="2">
        <v>30</v>
      </c>
      <c r="E1692" s="2">
        <v>2</v>
      </c>
      <c r="F1692" s="2">
        <v>2</v>
      </c>
    </row>
    <row r="1693" spans="1:6" ht="12.5">
      <c r="A1693" s="2">
        <v>2155</v>
      </c>
      <c r="B1693" s="2">
        <v>8933</v>
      </c>
      <c r="C1693" s="2">
        <v>3</v>
      </c>
      <c r="D1693" s="2">
        <v>7</v>
      </c>
      <c r="E1693" s="2">
        <v>2</v>
      </c>
      <c r="F1693" s="2">
        <v>4</v>
      </c>
    </row>
    <row r="1694" spans="1:6" ht="12.5">
      <c r="A1694" s="2">
        <v>2216</v>
      </c>
      <c r="B1694" s="2">
        <v>736</v>
      </c>
      <c r="C1694" s="2">
        <v>3</v>
      </c>
      <c r="D1694" s="2">
        <v>3</v>
      </c>
      <c r="E1694" s="2">
        <v>2</v>
      </c>
      <c r="F1694" s="2">
        <v>3</v>
      </c>
    </row>
    <row r="1695" spans="1:6" ht="12.5">
      <c r="A1695" s="2">
        <v>28</v>
      </c>
      <c r="B1695" s="2">
        <v>9422</v>
      </c>
      <c r="C1695" s="2">
        <v>2</v>
      </c>
      <c r="D1695" s="2">
        <v>21</v>
      </c>
      <c r="E1695" s="2">
        <v>2</v>
      </c>
      <c r="F1695" s="2">
        <v>4</v>
      </c>
    </row>
    <row r="1696" spans="1:6" ht="12.5">
      <c r="A1696" s="2">
        <v>97</v>
      </c>
      <c r="B1696" s="2">
        <v>11100</v>
      </c>
      <c r="C1696" s="2">
        <v>2</v>
      </c>
      <c r="D1696" s="2">
        <v>1</v>
      </c>
      <c r="E1696" s="2">
        <v>2</v>
      </c>
      <c r="F1696" s="2">
        <v>3</v>
      </c>
    </row>
    <row r="1697" spans="1:6" ht="12.5">
      <c r="A1697" s="2">
        <v>273</v>
      </c>
      <c r="B1697" s="2">
        <v>6336</v>
      </c>
      <c r="C1697" s="2">
        <v>2</v>
      </c>
      <c r="D1697" s="2">
        <v>7</v>
      </c>
      <c r="E1697" s="2">
        <v>2</v>
      </c>
      <c r="F1697" s="2">
        <v>4</v>
      </c>
    </row>
    <row r="1698" spans="1:6" ht="12.5">
      <c r="A1698" s="2">
        <v>326</v>
      </c>
      <c r="B1698" s="2">
        <v>5835</v>
      </c>
      <c r="C1698" s="2">
        <v>2</v>
      </c>
      <c r="D1698" s="2">
        <v>2</v>
      </c>
      <c r="E1698" s="2">
        <v>2</v>
      </c>
      <c r="F1698" s="2">
        <v>4</v>
      </c>
    </row>
    <row r="1699" spans="1:6" ht="12.5">
      <c r="A1699" s="2">
        <v>334</v>
      </c>
      <c r="B1699" s="2">
        <v>9592</v>
      </c>
      <c r="C1699" s="2">
        <v>2</v>
      </c>
      <c r="D1699" s="2">
        <v>0</v>
      </c>
      <c r="E1699" s="2">
        <v>2</v>
      </c>
      <c r="F1699" s="2">
        <v>3</v>
      </c>
    </row>
    <row r="1700" spans="1:6" ht="12.5">
      <c r="A1700" s="2">
        <v>355</v>
      </c>
      <c r="B1700" s="2">
        <v>6201</v>
      </c>
      <c r="C1700" s="2">
        <v>2</v>
      </c>
      <c r="D1700" s="2">
        <v>1</v>
      </c>
      <c r="E1700" s="2">
        <v>2</v>
      </c>
      <c r="F1700" s="2">
        <v>3</v>
      </c>
    </row>
    <row r="1701" spans="1:6" ht="12.5">
      <c r="A1701" s="2">
        <v>452</v>
      </c>
      <c r="B1701" s="2">
        <v>6471</v>
      </c>
      <c r="C1701" s="2">
        <v>2</v>
      </c>
      <c r="D1701" s="2">
        <v>2</v>
      </c>
      <c r="E1701" s="2">
        <v>2</v>
      </c>
      <c r="F1701" s="2">
        <v>4</v>
      </c>
    </row>
    <row r="1702" spans="1:6" ht="12.5">
      <c r="A1702" s="2">
        <v>625</v>
      </c>
      <c r="B1702" s="2">
        <v>3641</v>
      </c>
      <c r="C1702" s="2">
        <v>2</v>
      </c>
      <c r="D1702" s="2">
        <v>1</v>
      </c>
      <c r="E1702" s="2">
        <v>2</v>
      </c>
      <c r="F1702" s="2">
        <v>3</v>
      </c>
    </row>
    <row r="1703" spans="1:6" ht="12.5">
      <c r="A1703" s="2">
        <v>663</v>
      </c>
      <c r="B1703" s="2">
        <v>1777</v>
      </c>
      <c r="C1703" s="2">
        <v>2</v>
      </c>
      <c r="D1703" s="2">
        <v>7</v>
      </c>
      <c r="E1703" s="2">
        <v>2</v>
      </c>
      <c r="F1703" s="2">
        <v>3</v>
      </c>
    </row>
    <row r="1704" spans="1:6" ht="12.5">
      <c r="A1704" s="2">
        <v>758</v>
      </c>
      <c r="B1704" s="2">
        <v>10470</v>
      </c>
      <c r="C1704" s="2">
        <v>2</v>
      </c>
      <c r="D1704" s="2">
        <v>4</v>
      </c>
      <c r="E1704" s="2">
        <v>2</v>
      </c>
      <c r="F1704" s="2">
        <v>3</v>
      </c>
    </row>
    <row r="1705" spans="1:6" ht="12.5">
      <c r="A1705" s="2">
        <v>811</v>
      </c>
      <c r="B1705" s="2">
        <v>5585</v>
      </c>
      <c r="C1705" s="2">
        <v>2</v>
      </c>
      <c r="D1705" s="2">
        <v>1</v>
      </c>
      <c r="E1705" s="2">
        <v>2</v>
      </c>
      <c r="F1705" s="2">
        <v>3</v>
      </c>
    </row>
    <row r="1706" spans="1:6" ht="12.5">
      <c r="A1706" s="2">
        <v>860</v>
      </c>
      <c r="B1706" s="2">
        <v>4297</v>
      </c>
      <c r="C1706" s="2">
        <v>2</v>
      </c>
      <c r="D1706" s="2">
        <v>1</v>
      </c>
      <c r="E1706" s="2">
        <v>2</v>
      </c>
      <c r="F1706" s="2">
        <v>3</v>
      </c>
    </row>
    <row r="1707" spans="1:6" ht="12.5">
      <c r="A1707" s="2">
        <v>948</v>
      </c>
      <c r="B1707" s="2">
        <v>6515</v>
      </c>
      <c r="C1707" s="2">
        <v>2</v>
      </c>
      <c r="D1707" s="2">
        <v>8</v>
      </c>
      <c r="E1707" s="2">
        <v>2</v>
      </c>
      <c r="F1707" s="2">
        <v>3</v>
      </c>
    </row>
    <row r="1708" spans="1:6" ht="12.5">
      <c r="A1708" s="2">
        <v>958</v>
      </c>
      <c r="B1708" s="2">
        <v>1523</v>
      </c>
      <c r="C1708" s="2">
        <v>2</v>
      </c>
      <c r="D1708" s="2">
        <v>2</v>
      </c>
      <c r="E1708" s="2">
        <v>2</v>
      </c>
      <c r="F1708" s="2">
        <v>4</v>
      </c>
    </row>
    <row r="1709" spans="1:6" ht="12.5">
      <c r="A1709" s="2">
        <v>1175</v>
      </c>
      <c r="B1709" s="2">
        <v>1604</v>
      </c>
      <c r="C1709" s="2">
        <v>2</v>
      </c>
      <c r="D1709" s="2">
        <v>8</v>
      </c>
      <c r="E1709" s="2">
        <v>2</v>
      </c>
      <c r="F1709" s="2">
        <v>6</v>
      </c>
    </row>
    <row r="1710" spans="1:6" ht="12.5">
      <c r="A1710" s="2">
        <v>1194</v>
      </c>
      <c r="B1710" s="2">
        <v>2245</v>
      </c>
      <c r="C1710" s="2">
        <v>2</v>
      </c>
      <c r="D1710" s="2">
        <v>2</v>
      </c>
      <c r="E1710" s="2">
        <v>2</v>
      </c>
      <c r="F1710" s="2">
        <v>4</v>
      </c>
    </row>
    <row r="1711" spans="1:6" ht="12.5">
      <c r="A1711" s="2">
        <v>1296</v>
      </c>
      <c r="B1711" s="2">
        <v>1663</v>
      </c>
      <c r="C1711" s="2">
        <v>2</v>
      </c>
      <c r="D1711" s="2">
        <v>0</v>
      </c>
      <c r="E1711" s="2">
        <v>2</v>
      </c>
      <c r="F1711" s="2">
        <v>2</v>
      </c>
    </row>
    <row r="1712" spans="1:6" ht="12.5">
      <c r="A1712" s="2">
        <v>1440</v>
      </c>
      <c r="B1712" s="2">
        <v>5967</v>
      </c>
      <c r="C1712" s="2">
        <v>2</v>
      </c>
      <c r="D1712" s="2">
        <v>5</v>
      </c>
      <c r="E1712" s="2">
        <v>2</v>
      </c>
      <c r="F1712" s="2">
        <v>3</v>
      </c>
    </row>
    <row r="1713" spans="1:6" ht="12.5">
      <c r="A1713" s="2">
        <v>1679</v>
      </c>
      <c r="B1713" s="2">
        <v>8230</v>
      </c>
      <c r="C1713" s="2">
        <v>2</v>
      </c>
      <c r="D1713" s="2">
        <v>4</v>
      </c>
      <c r="E1713" s="2">
        <v>2</v>
      </c>
      <c r="F1713" s="2">
        <v>3</v>
      </c>
    </row>
    <row r="1714" spans="1:6" ht="12.5">
      <c r="A1714" s="2">
        <v>1756</v>
      </c>
      <c r="B1714" s="2">
        <v>3798</v>
      </c>
      <c r="C1714" s="2">
        <v>2</v>
      </c>
      <c r="D1714" s="2">
        <v>8</v>
      </c>
      <c r="E1714" s="2">
        <v>2</v>
      </c>
      <c r="F1714" s="2">
        <v>3</v>
      </c>
    </row>
    <row r="1715" spans="1:6" ht="12.5">
      <c r="A1715" s="2">
        <v>1870</v>
      </c>
      <c r="B1715" s="2">
        <v>3286</v>
      </c>
      <c r="C1715" s="2">
        <v>2</v>
      </c>
      <c r="D1715" s="2">
        <v>2</v>
      </c>
      <c r="E1715" s="2">
        <v>2</v>
      </c>
      <c r="F1715" s="2">
        <v>3</v>
      </c>
    </row>
    <row r="1716" spans="1:6" ht="12.5">
      <c r="A1716" s="2">
        <v>2141</v>
      </c>
      <c r="B1716" s="2">
        <v>9216</v>
      </c>
      <c r="C1716" s="2">
        <v>2</v>
      </c>
      <c r="D1716" s="2">
        <v>1</v>
      </c>
      <c r="E1716" s="2">
        <v>2</v>
      </c>
      <c r="F1716" s="2">
        <v>3</v>
      </c>
    </row>
    <row r="1717" spans="1:6" ht="12.5">
      <c r="A1717" s="2">
        <v>2212</v>
      </c>
      <c r="B1717" s="2">
        <v>6983</v>
      </c>
      <c r="C1717" s="2">
        <v>2</v>
      </c>
      <c r="D1717" s="2">
        <v>1</v>
      </c>
      <c r="E1717" s="2">
        <v>2</v>
      </c>
      <c r="F1717" s="2">
        <v>3</v>
      </c>
    </row>
    <row r="1718" spans="1:6" ht="12.5">
      <c r="A1718" s="2">
        <v>2229</v>
      </c>
      <c r="B1718" s="2">
        <v>10084</v>
      </c>
      <c r="C1718" s="2">
        <v>2</v>
      </c>
      <c r="D1718" s="2">
        <v>0</v>
      </c>
      <c r="E1718" s="2">
        <v>2</v>
      </c>
      <c r="F1718" s="2">
        <v>2</v>
      </c>
    </row>
    <row r="1719" spans="1:6" ht="12.5">
      <c r="A1719" s="2">
        <v>41</v>
      </c>
      <c r="B1719" s="2">
        <v>503</v>
      </c>
      <c r="C1719" s="2">
        <v>1</v>
      </c>
      <c r="D1719" s="2">
        <v>0</v>
      </c>
      <c r="E1719" s="2">
        <v>2</v>
      </c>
      <c r="F1719" s="2">
        <v>3</v>
      </c>
    </row>
    <row r="1720" spans="1:6" ht="12.5">
      <c r="A1720" s="2">
        <v>44</v>
      </c>
      <c r="B1720" s="2">
        <v>2139</v>
      </c>
      <c r="C1720" s="2">
        <v>1</v>
      </c>
      <c r="D1720" s="2">
        <v>2</v>
      </c>
      <c r="E1720" s="2">
        <v>2</v>
      </c>
      <c r="F1720" s="2">
        <v>3</v>
      </c>
    </row>
    <row r="1721" spans="1:6" ht="12.5">
      <c r="A1721" s="2">
        <v>100</v>
      </c>
      <c r="B1721" s="2">
        <v>1473</v>
      </c>
      <c r="C1721" s="2">
        <v>1</v>
      </c>
      <c r="D1721" s="2">
        <v>1</v>
      </c>
      <c r="E1721" s="2">
        <v>2</v>
      </c>
      <c r="F1721" s="2">
        <v>3</v>
      </c>
    </row>
    <row r="1722" spans="1:6" ht="12.5">
      <c r="A1722" s="2">
        <v>101</v>
      </c>
      <c r="B1722" s="2">
        <v>1016</v>
      </c>
      <c r="C1722" s="2">
        <v>1</v>
      </c>
      <c r="D1722" s="2">
        <v>0</v>
      </c>
      <c r="E1722" s="2">
        <v>2</v>
      </c>
      <c r="F1722" s="2">
        <v>3</v>
      </c>
    </row>
    <row r="1723" spans="1:6" ht="12.5">
      <c r="A1723" s="2">
        <v>115</v>
      </c>
      <c r="B1723" s="2">
        <v>2286</v>
      </c>
      <c r="C1723" s="2">
        <v>1</v>
      </c>
      <c r="D1723" s="2">
        <v>1</v>
      </c>
      <c r="E1723" s="2">
        <v>2</v>
      </c>
      <c r="F1723" s="2">
        <v>3</v>
      </c>
    </row>
    <row r="1724" spans="1:6" ht="12.5">
      <c r="A1724" s="2">
        <v>137</v>
      </c>
      <c r="B1724" s="2">
        <v>9579</v>
      </c>
      <c r="C1724" s="2">
        <v>1</v>
      </c>
      <c r="D1724" s="2">
        <v>0</v>
      </c>
      <c r="E1724" s="2">
        <v>2</v>
      </c>
      <c r="F1724" s="2">
        <v>2</v>
      </c>
    </row>
    <row r="1725" spans="1:6" ht="12.5">
      <c r="A1725" s="2">
        <v>139</v>
      </c>
      <c r="B1725" s="2">
        <v>1461</v>
      </c>
      <c r="C1725" s="2">
        <v>1</v>
      </c>
      <c r="D1725" s="2">
        <v>1</v>
      </c>
      <c r="E1725" s="2">
        <v>2</v>
      </c>
      <c r="F1725" s="2">
        <v>3</v>
      </c>
    </row>
    <row r="1726" spans="1:6" ht="12.5">
      <c r="A1726" s="2">
        <v>146</v>
      </c>
      <c r="B1726" s="2">
        <v>10837</v>
      </c>
      <c r="C1726" s="2">
        <v>1</v>
      </c>
      <c r="D1726" s="2">
        <v>11</v>
      </c>
      <c r="E1726" s="2">
        <v>2</v>
      </c>
      <c r="F1726" s="2">
        <v>3</v>
      </c>
    </row>
    <row r="1727" spans="1:6" ht="12.5">
      <c r="A1727" s="2">
        <v>165</v>
      </c>
      <c r="B1727" s="2">
        <v>4370</v>
      </c>
      <c r="C1727" s="2">
        <v>1</v>
      </c>
      <c r="D1727" s="2">
        <v>3</v>
      </c>
      <c r="E1727" s="2">
        <v>2</v>
      </c>
      <c r="F1727" s="2">
        <v>4</v>
      </c>
    </row>
    <row r="1728" spans="1:6" ht="12.5">
      <c r="A1728" s="2">
        <v>189</v>
      </c>
      <c r="B1728" s="2">
        <v>6431</v>
      </c>
      <c r="C1728" s="2">
        <v>1</v>
      </c>
      <c r="D1728" s="2">
        <v>0</v>
      </c>
      <c r="E1728" s="2">
        <v>2</v>
      </c>
      <c r="F1728" s="2">
        <v>3</v>
      </c>
    </row>
    <row r="1729" spans="1:6" ht="12.5">
      <c r="A1729" s="2">
        <v>242</v>
      </c>
      <c r="B1729" s="2">
        <v>10735</v>
      </c>
      <c r="C1729" s="2">
        <v>1</v>
      </c>
      <c r="D1729" s="2">
        <v>1</v>
      </c>
      <c r="E1729" s="2">
        <v>2</v>
      </c>
      <c r="F1729" s="2">
        <v>2</v>
      </c>
    </row>
    <row r="1730" spans="1:6" ht="12.5">
      <c r="A1730" s="2">
        <v>400</v>
      </c>
      <c r="B1730" s="2">
        <v>2488</v>
      </c>
      <c r="C1730" s="2">
        <v>1</v>
      </c>
      <c r="D1730" s="2">
        <v>8</v>
      </c>
      <c r="E1730" s="2">
        <v>2</v>
      </c>
      <c r="F1730" s="2">
        <v>3</v>
      </c>
    </row>
    <row r="1731" spans="1:6" ht="12.5">
      <c r="A1731" s="2">
        <v>496</v>
      </c>
      <c r="B1731" s="2">
        <v>8737</v>
      </c>
      <c r="C1731" s="2">
        <v>1</v>
      </c>
      <c r="D1731" s="2">
        <v>0</v>
      </c>
      <c r="E1731" s="2">
        <v>2</v>
      </c>
      <c r="F1731" s="2">
        <v>3</v>
      </c>
    </row>
    <row r="1732" spans="1:6" ht="12.5">
      <c r="A1732" s="2">
        <v>520</v>
      </c>
      <c r="B1732" s="2">
        <v>3696</v>
      </c>
      <c r="C1732" s="2">
        <v>1</v>
      </c>
      <c r="D1732" s="2">
        <v>0</v>
      </c>
      <c r="E1732" s="2">
        <v>2</v>
      </c>
      <c r="F1732" s="2">
        <v>3</v>
      </c>
    </row>
    <row r="1733" spans="1:6" ht="12.5">
      <c r="A1733" s="2">
        <v>524</v>
      </c>
      <c r="B1733" s="2">
        <v>35</v>
      </c>
      <c r="C1733" s="2">
        <v>1</v>
      </c>
      <c r="D1733" s="2">
        <v>12</v>
      </c>
      <c r="E1733" s="2">
        <v>2</v>
      </c>
      <c r="F1733" s="2">
        <v>3</v>
      </c>
    </row>
    <row r="1734" spans="1:6" ht="12.5">
      <c r="A1734" s="2">
        <v>585</v>
      </c>
      <c r="B1734" s="2">
        <v>8036</v>
      </c>
      <c r="C1734" s="2">
        <v>1</v>
      </c>
      <c r="D1734" s="2">
        <v>2</v>
      </c>
      <c r="E1734" s="2">
        <v>2</v>
      </c>
      <c r="F1734" s="2">
        <v>4</v>
      </c>
    </row>
    <row r="1735" spans="1:6" ht="12.5">
      <c r="A1735" s="2">
        <v>694</v>
      </c>
      <c r="B1735" s="2">
        <v>6379</v>
      </c>
      <c r="C1735" s="2">
        <v>1</v>
      </c>
      <c r="D1735" s="2">
        <v>2</v>
      </c>
      <c r="E1735" s="2">
        <v>2</v>
      </c>
      <c r="F1735" s="2">
        <v>2</v>
      </c>
    </row>
    <row r="1736" spans="1:6" ht="12.5">
      <c r="A1736" s="2">
        <v>697</v>
      </c>
      <c r="B1736" s="2">
        <v>2868</v>
      </c>
      <c r="C1736" s="2">
        <v>1</v>
      </c>
      <c r="D1736" s="2">
        <v>3</v>
      </c>
      <c r="E1736" s="2">
        <v>2</v>
      </c>
      <c r="F1736" s="2">
        <v>3</v>
      </c>
    </row>
    <row r="1737" spans="1:6" ht="12.5">
      <c r="A1737" s="2">
        <v>742</v>
      </c>
      <c r="B1737" s="2">
        <v>5237</v>
      </c>
      <c r="C1737" s="2">
        <v>1</v>
      </c>
      <c r="D1737" s="2">
        <v>0</v>
      </c>
      <c r="E1737" s="2">
        <v>2</v>
      </c>
      <c r="F1737" s="2">
        <v>3</v>
      </c>
    </row>
    <row r="1738" spans="1:6" ht="12.5">
      <c r="A1738" s="2">
        <v>763</v>
      </c>
      <c r="B1738" s="2">
        <v>7573</v>
      </c>
      <c r="C1738" s="2">
        <v>1</v>
      </c>
      <c r="D1738" s="2">
        <v>1</v>
      </c>
      <c r="E1738" s="2">
        <v>2</v>
      </c>
      <c r="F1738" s="2">
        <v>2</v>
      </c>
    </row>
    <row r="1739" spans="1:6" ht="12.5">
      <c r="A1739" s="2">
        <v>773</v>
      </c>
      <c r="B1739" s="2">
        <v>2371</v>
      </c>
      <c r="C1739" s="2">
        <v>1</v>
      </c>
      <c r="D1739" s="2">
        <v>4</v>
      </c>
      <c r="E1739" s="2">
        <v>2</v>
      </c>
      <c r="F1739" s="2">
        <v>4</v>
      </c>
    </row>
    <row r="1740" spans="1:6" ht="12.5">
      <c r="A1740" s="2">
        <v>881</v>
      </c>
      <c r="B1740" s="2">
        <v>9653</v>
      </c>
      <c r="C1740" s="2">
        <v>1</v>
      </c>
      <c r="D1740" s="2">
        <v>1</v>
      </c>
      <c r="E1740" s="2">
        <v>2</v>
      </c>
      <c r="F1740" s="2">
        <v>3</v>
      </c>
    </row>
    <row r="1741" spans="1:6" ht="12.5">
      <c r="A1741" s="2">
        <v>1021</v>
      </c>
      <c r="B1741" s="2">
        <v>2445</v>
      </c>
      <c r="C1741" s="2">
        <v>1</v>
      </c>
      <c r="D1741" s="2">
        <v>0</v>
      </c>
      <c r="E1741" s="2">
        <v>2</v>
      </c>
      <c r="F1741" s="2">
        <v>3</v>
      </c>
    </row>
    <row r="1742" spans="1:6" ht="12.5">
      <c r="A1742" s="2">
        <v>1041</v>
      </c>
      <c r="B1742" s="2">
        <v>6730</v>
      </c>
      <c r="C1742" s="2">
        <v>1</v>
      </c>
      <c r="D1742" s="2">
        <v>0</v>
      </c>
      <c r="E1742" s="2">
        <v>2</v>
      </c>
      <c r="F1742" s="2">
        <v>3</v>
      </c>
    </row>
    <row r="1743" spans="1:6" ht="12.5">
      <c r="A1743" s="2">
        <v>1045</v>
      </c>
      <c r="B1743" s="2">
        <v>5985</v>
      </c>
      <c r="C1743" s="2">
        <v>1</v>
      </c>
      <c r="D1743" s="2">
        <v>1</v>
      </c>
      <c r="E1743" s="2">
        <v>2</v>
      </c>
      <c r="F1743" s="2">
        <v>4</v>
      </c>
    </row>
    <row r="1744" spans="1:6" ht="12.5">
      <c r="A1744" s="2">
        <v>1223</v>
      </c>
      <c r="B1744" s="2">
        <v>938</v>
      </c>
      <c r="C1744" s="2">
        <v>1</v>
      </c>
      <c r="D1744" s="2">
        <v>1</v>
      </c>
      <c r="E1744" s="2">
        <v>2</v>
      </c>
      <c r="F1744" s="2">
        <v>2</v>
      </c>
    </row>
    <row r="1745" spans="1:6" ht="12.5">
      <c r="A1745" s="2">
        <v>1224</v>
      </c>
      <c r="B1745" s="2">
        <v>2740</v>
      </c>
      <c r="C1745" s="2">
        <v>1</v>
      </c>
      <c r="D1745" s="2">
        <v>2</v>
      </c>
      <c r="E1745" s="2">
        <v>2</v>
      </c>
      <c r="F1745" s="2">
        <v>4</v>
      </c>
    </row>
    <row r="1746" spans="1:6" ht="12.5">
      <c r="A1746" s="2">
        <v>1236</v>
      </c>
      <c r="B1746" s="2">
        <v>4174</v>
      </c>
      <c r="C1746" s="2">
        <v>1</v>
      </c>
      <c r="D1746" s="2">
        <v>0</v>
      </c>
      <c r="E1746" s="2">
        <v>2</v>
      </c>
      <c r="F1746" s="2">
        <v>4</v>
      </c>
    </row>
    <row r="1747" spans="1:6" ht="12.5">
      <c r="A1747" s="2">
        <v>1241</v>
      </c>
      <c r="B1747" s="2">
        <v>1921</v>
      </c>
      <c r="C1747" s="2">
        <v>1</v>
      </c>
      <c r="D1747" s="2">
        <v>0</v>
      </c>
      <c r="E1747" s="2">
        <v>2</v>
      </c>
      <c r="F1747" s="2">
        <v>3</v>
      </c>
    </row>
    <row r="1748" spans="1:6" ht="12.5">
      <c r="A1748" s="2">
        <v>1291</v>
      </c>
      <c r="B1748" s="2">
        <v>5068</v>
      </c>
      <c r="C1748" s="2">
        <v>1</v>
      </c>
      <c r="D1748" s="2">
        <v>1</v>
      </c>
      <c r="E1748" s="2">
        <v>2</v>
      </c>
      <c r="F1748" s="2">
        <v>2</v>
      </c>
    </row>
    <row r="1749" spans="1:6" ht="12.5">
      <c r="A1749" s="2">
        <v>1295</v>
      </c>
      <c r="B1749" s="2">
        <v>3551</v>
      </c>
      <c r="C1749" s="2">
        <v>1</v>
      </c>
      <c r="D1749" s="2">
        <v>11</v>
      </c>
      <c r="E1749" s="2">
        <v>2</v>
      </c>
      <c r="F1749" s="2">
        <v>5</v>
      </c>
    </row>
    <row r="1750" spans="1:6" ht="12.5">
      <c r="A1750" s="2">
        <v>1359</v>
      </c>
      <c r="B1750" s="2">
        <v>7275</v>
      </c>
      <c r="C1750" s="2">
        <v>1</v>
      </c>
      <c r="D1750" s="2">
        <v>4</v>
      </c>
      <c r="E1750" s="2">
        <v>2</v>
      </c>
      <c r="F1750" s="2">
        <v>4</v>
      </c>
    </row>
    <row r="1751" spans="1:6" ht="12.5">
      <c r="A1751" s="2">
        <v>1571</v>
      </c>
      <c r="B1751" s="2">
        <v>9916</v>
      </c>
      <c r="C1751" s="2">
        <v>1</v>
      </c>
      <c r="D1751" s="2">
        <v>0</v>
      </c>
      <c r="E1751" s="2">
        <v>2</v>
      </c>
      <c r="F1751" s="2">
        <v>3</v>
      </c>
    </row>
    <row r="1752" spans="1:6" ht="12.5">
      <c r="A1752" s="2">
        <v>1604</v>
      </c>
      <c r="B1752" s="2">
        <v>11092</v>
      </c>
      <c r="C1752" s="2">
        <v>1</v>
      </c>
      <c r="D1752" s="2">
        <v>2</v>
      </c>
      <c r="E1752" s="2">
        <v>2</v>
      </c>
      <c r="F1752" s="2">
        <v>3</v>
      </c>
    </row>
    <row r="1753" spans="1:6" ht="12.5">
      <c r="A1753" s="2">
        <v>1638</v>
      </c>
      <c r="B1753" s="2">
        <v>10785</v>
      </c>
      <c r="C1753" s="2">
        <v>1</v>
      </c>
      <c r="D1753" s="2">
        <v>0</v>
      </c>
      <c r="E1753" s="2">
        <v>2</v>
      </c>
      <c r="F1753" s="2">
        <v>3</v>
      </c>
    </row>
    <row r="1754" spans="1:6" ht="12.5">
      <c r="A1754" s="2">
        <v>1650</v>
      </c>
      <c r="B1754" s="2">
        <v>8079</v>
      </c>
      <c r="C1754" s="2">
        <v>1</v>
      </c>
      <c r="D1754" s="2">
        <v>2</v>
      </c>
      <c r="E1754" s="2">
        <v>2</v>
      </c>
      <c r="F1754" s="2">
        <v>3</v>
      </c>
    </row>
    <row r="1755" spans="1:6" ht="12.5">
      <c r="A1755" s="2">
        <v>1764</v>
      </c>
      <c r="B1755" s="2">
        <v>4328</v>
      </c>
      <c r="C1755" s="2">
        <v>1</v>
      </c>
      <c r="D1755" s="2">
        <v>14</v>
      </c>
      <c r="E1755" s="2">
        <v>2</v>
      </c>
      <c r="F1755" s="2">
        <v>3</v>
      </c>
    </row>
    <row r="1756" spans="1:6" ht="12.5">
      <c r="A1756" s="2">
        <v>1781</v>
      </c>
      <c r="B1756" s="2">
        <v>5283</v>
      </c>
      <c r="C1756" s="2">
        <v>1</v>
      </c>
      <c r="D1756" s="2">
        <v>4</v>
      </c>
      <c r="E1756" s="2">
        <v>2</v>
      </c>
      <c r="F1756" s="2">
        <v>4</v>
      </c>
    </row>
    <row r="1757" spans="1:6" ht="12.5">
      <c r="A1757" s="2">
        <v>1822</v>
      </c>
      <c r="B1757" s="2">
        <v>8334</v>
      </c>
      <c r="C1757" s="2">
        <v>1</v>
      </c>
      <c r="D1757" s="2">
        <v>4</v>
      </c>
      <c r="E1757" s="2">
        <v>2</v>
      </c>
      <c r="F1757" s="2">
        <v>4</v>
      </c>
    </row>
    <row r="1758" spans="1:6" ht="12.5">
      <c r="A1758" s="2">
        <v>1856</v>
      </c>
      <c r="B1758" s="2">
        <v>6710</v>
      </c>
      <c r="C1758" s="2">
        <v>1</v>
      </c>
      <c r="D1758" s="2">
        <v>5</v>
      </c>
      <c r="E1758" s="2">
        <v>2</v>
      </c>
      <c r="F1758" s="2">
        <v>4</v>
      </c>
    </row>
    <row r="1759" spans="1:6" ht="12.5">
      <c r="A1759" s="2">
        <v>1872</v>
      </c>
      <c r="B1759" s="2">
        <v>3722</v>
      </c>
      <c r="C1759" s="2">
        <v>1</v>
      </c>
      <c r="D1759" s="2">
        <v>0</v>
      </c>
      <c r="E1759" s="2">
        <v>2</v>
      </c>
      <c r="F1759" s="2">
        <v>3</v>
      </c>
    </row>
    <row r="1760" spans="1:6" ht="12.5">
      <c r="A1760" s="2">
        <v>1900</v>
      </c>
      <c r="B1760" s="2">
        <v>10789</v>
      </c>
      <c r="C1760" s="2">
        <v>1</v>
      </c>
      <c r="D1760" s="2">
        <v>0</v>
      </c>
      <c r="E1760" s="2">
        <v>2</v>
      </c>
      <c r="F1760" s="2">
        <v>3</v>
      </c>
    </row>
    <row r="1761" spans="1:6" ht="12.5">
      <c r="A1761" s="2">
        <v>1978</v>
      </c>
      <c r="B1761" s="2">
        <v>9289</v>
      </c>
      <c r="C1761" s="2">
        <v>1</v>
      </c>
      <c r="D1761" s="2">
        <v>3</v>
      </c>
      <c r="E1761" s="2">
        <v>2</v>
      </c>
      <c r="F1761" s="2">
        <v>2</v>
      </c>
    </row>
    <row r="1762" spans="1:6" ht="12.5">
      <c r="A1762" s="2">
        <v>1983</v>
      </c>
      <c r="B1762" s="2">
        <v>4470</v>
      </c>
      <c r="C1762" s="2">
        <v>1</v>
      </c>
      <c r="D1762" s="2">
        <v>5</v>
      </c>
      <c r="E1762" s="2">
        <v>2</v>
      </c>
      <c r="F1762" s="2">
        <v>4</v>
      </c>
    </row>
    <row r="1763" spans="1:6" ht="12.5">
      <c r="A1763" s="2">
        <v>2017</v>
      </c>
      <c r="B1763" s="2">
        <v>10598</v>
      </c>
      <c r="C1763" s="2">
        <v>1</v>
      </c>
      <c r="D1763" s="2">
        <v>1</v>
      </c>
      <c r="E1763" s="2">
        <v>2</v>
      </c>
      <c r="F1763" s="2">
        <v>3</v>
      </c>
    </row>
    <row r="1764" spans="1:6" ht="12.5">
      <c r="A1764" s="2">
        <v>2063</v>
      </c>
      <c r="B1764" s="2">
        <v>322</v>
      </c>
      <c r="C1764" s="2">
        <v>1</v>
      </c>
      <c r="D1764" s="2">
        <v>0</v>
      </c>
      <c r="E1764" s="2">
        <v>2</v>
      </c>
      <c r="F1764" s="2">
        <v>3</v>
      </c>
    </row>
    <row r="1765" spans="1:6" ht="12.5">
      <c r="A1765" s="2">
        <v>2078</v>
      </c>
      <c r="B1765" s="2">
        <v>5079</v>
      </c>
      <c r="C1765" s="2">
        <v>1</v>
      </c>
      <c r="D1765" s="2">
        <v>0</v>
      </c>
      <c r="E1765" s="2">
        <v>2</v>
      </c>
      <c r="F1765" s="2">
        <v>3</v>
      </c>
    </row>
    <row r="1766" spans="1:6" ht="12.5">
      <c r="A1766" s="2">
        <v>2106</v>
      </c>
      <c r="B1766" s="2">
        <v>6183</v>
      </c>
      <c r="C1766" s="2">
        <v>1</v>
      </c>
      <c r="D1766" s="2">
        <v>5</v>
      </c>
      <c r="E1766" s="2">
        <v>2</v>
      </c>
      <c r="F1766" s="2">
        <v>4</v>
      </c>
    </row>
    <row r="1767" spans="1:6" ht="12.5">
      <c r="A1767" s="2">
        <v>2150</v>
      </c>
      <c r="B1767" s="2">
        <v>6950</v>
      </c>
      <c r="C1767" s="2">
        <v>1</v>
      </c>
      <c r="D1767" s="2">
        <v>1</v>
      </c>
      <c r="E1767" s="2">
        <v>2</v>
      </c>
      <c r="F1767" s="2">
        <v>3</v>
      </c>
    </row>
    <row r="1768" spans="1:6" ht="12.5">
      <c r="A1768" s="2">
        <v>2165</v>
      </c>
      <c r="B1768" s="2">
        <v>9706</v>
      </c>
      <c r="C1768" s="2">
        <v>1</v>
      </c>
      <c r="D1768" s="2">
        <v>0</v>
      </c>
      <c r="E1768" s="2">
        <v>2</v>
      </c>
      <c r="F1768" s="2">
        <v>3</v>
      </c>
    </row>
    <row r="1769" spans="1:6" ht="12.5">
      <c r="A1769" s="2">
        <v>22</v>
      </c>
      <c r="B1769" s="2">
        <v>1993</v>
      </c>
      <c r="C1769" s="2">
        <v>0</v>
      </c>
      <c r="D1769" s="2">
        <v>0</v>
      </c>
      <c r="E1769" s="2">
        <v>2</v>
      </c>
      <c r="F1769" s="2">
        <v>9</v>
      </c>
    </row>
    <row r="1770" spans="1:6" ht="12.5">
      <c r="A1770" s="2">
        <v>32</v>
      </c>
      <c r="B1770" s="2">
        <v>5710</v>
      </c>
      <c r="C1770" s="2">
        <v>0</v>
      </c>
      <c r="D1770" s="2">
        <v>0</v>
      </c>
      <c r="E1770" s="2">
        <v>2</v>
      </c>
      <c r="F1770" s="2">
        <v>4</v>
      </c>
    </row>
    <row r="1771" spans="1:6" ht="12.5">
      <c r="A1771" s="2">
        <v>35</v>
      </c>
      <c r="B1771" s="2">
        <v>10738</v>
      </c>
      <c r="C1771" s="2">
        <v>0</v>
      </c>
      <c r="D1771" s="2">
        <v>1</v>
      </c>
      <c r="E1771" s="2">
        <v>2</v>
      </c>
      <c r="F1771" s="2">
        <v>3</v>
      </c>
    </row>
    <row r="1772" spans="1:6" ht="12.5">
      <c r="A1772" s="2">
        <v>127</v>
      </c>
      <c r="B1772" s="2">
        <v>3381</v>
      </c>
      <c r="C1772" s="2">
        <v>0</v>
      </c>
      <c r="D1772" s="2">
        <v>0</v>
      </c>
      <c r="E1772" s="2">
        <v>2</v>
      </c>
      <c r="F1772" s="2">
        <v>4</v>
      </c>
    </row>
    <row r="1773" spans="1:6" ht="12.5">
      <c r="A1773" s="2">
        <v>173</v>
      </c>
      <c r="B1773" s="2">
        <v>1880</v>
      </c>
      <c r="C1773" s="2">
        <v>0</v>
      </c>
      <c r="D1773" s="2">
        <v>0</v>
      </c>
      <c r="E1773" s="2">
        <v>2</v>
      </c>
      <c r="F1773" s="2">
        <v>3</v>
      </c>
    </row>
    <row r="1774" spans="1:6" ht="12.5">
      <c r="A1774" s="2">
        <v>174</v>
      </c>
      <c r="B1774" s="2">
        <v>641</v>
      </c>
      <c r="C1774" s="2">
        <v>0</v>
      </c>
      <c r="D1774" s="2">
        <v>0</v>
      </c>
      <c r="E1774" s="2">
        <v>2</v>
      </c>
      <c r="F1774" s="2">
        <v>2</v>
      </c>
    </row>
    <row r="1775" spans="1:6" ht="12.5">
      <c r="A1775" s="2">
        <v>177</v>
      </c>
      <c r="B1775" s="2">
        <v>10854</v>
      </c>
      <c r="C1775" s="2">
        <v>0</v>
      </c>
      <c r="D1775" s="2">
        <v>0</v>
      </c>
      <c r="E1775" s="2">
        <v>2</v>
      </c>
      <c r="F1775" s="2">
        <v>3</v>
      </c>
    </row>
    <row r="1776" spans="1:6" ht="12.5">
      <c r="A1776" s="2">
        <v>208</v>
      </c>
      <c r="B1776" s="2">
        <v>868</v>
      </c>
      <c r="C1776" s="2">
        <v>0</v>
      </c>
      <c r="D1776" s="2">
        <v>0</v>
      </c>
      <c r="E1776" s="2">
        <v>2</v>
      </c>
      <c r="F1776" s="2">
        <v>3</v>
      </c>
    </row>
    <row r="1777" spans="1:6" ht="12.5">
      <c r="A1777" s="2">
        <v>284</v>
      </c>
      <c r="B1777" s="2">
        <v>8962</v>
      </c>
      <c r="C1777" s="2">
        <v>0</v>
      </c>
      <c r="D1777" s="2">
        <v>0</v>
      </c>
      <c r="E1777" s="2">
        <v>2</v>
      </c>
      <c r="F1777" s="2">
        <v>3</v>
      </c>
    </row>
    <row r="1778" spans="1:6" ht="12.5">
      <c r="A1778" s="2">
        <v>302</v>
      </c>
      <c r="B1778" s="2">
        <v>10812</v>
      </c>
      <c r="C1778" s="2">
        <v>0</v>
      </c>
      <c r="D1778" s="2">
        <v>3</v>
      </c>
      <c r="E1778" s="2">
        <v>2</v>
      </c>
      <c r="F1778" s="2">
        <v>3</v>
      </c>
    </row>
    <row r="1779" spans="1:6" ht="12.5">
      <c r="A1779" s="2">
        <v>311</v>
      </c>
      <c r="B1779" s="2">
        <v>2826</v>
      </c>
      <c r="C1779" s="2">
        <v>0</v>
      </c>
      <c r="D1779" s="2">
        <v>0</v>
      </c>
      <c r="E1779" s="2">
        <v>2</v>
      </c>
      <c r="F1779" s="2">
        <v>3</v>
      </c>
    </row>
    <row r="1780" spans="1:6" ht="12.5">
      <c r="A1780" s="2">
        <v>315</v>
      </c>
      <c r="B1780" s="2">
        <v>231</v>
      </c>
      <c r="C1780" s="2">
        <v>0</v>
      </c>
      <c r="D1780" s="2">
        <v>0</v>
      </c>
      <c r="E1780" s="2">
        <v>2</v>
      </c>
      <c r="F1780" s="2">
        <v>3</v>
      </c>
    </row>
    <row r="1781" spans="1:6" ht="12.5">
      <c r="A1781" s="2">
        <v>348</v>
      </c>
      <c r="B1781" s="2">
        <v>8842</v>
      </c>
      <c r="C1781" s="2">
        <v>0</v>
      </c>
      <c r="D1781" s="2">
        <v>3</v>
      </c>
      <c r="E1781" s="2">
        <v>2</v>
      </c>
      <c r="F1781" s="2">
        <v>3</v>
      </c>
    </row>
    <row r="1782" spans="1:6" ht="12.5">
      <c r="A1782" s="2">
        <v>356</v>
      </c>
      <c r="B1782" s="2">
        <v>2061</v>
      </c>
      <c r="C1782" s="2">
        <v>0</v>
      </c>
      <c r="D1782" s="2">
        <v>0</v>
      </c>
      <c r="E1782" s="2">
        <v>2</v>
      </c>
      <c r="F1782" s="2">
        <v>4</v>
      </c>
    </row>
    <row r="1783" spans="1:6" ht="12.5">
      <c r="A1783" s="2">
        <v>369</v>
      </c>
      <c r="B1783" s="2">
        <v>2928</v>
      </c>
      <c r="C1783" s="2">
        <v>0</v>
      </c>
      <c r="D1783" s="2">
        <v>9</v>
      </c>
      <c r="E1783" s="2">
        <v>2</v>
      </c>
      <c r="F1783" s="2">
        <v>8</v>
      </c>
    </row>
    <row r="1784" spans="1:6" ht="12.5">
      <c r="A1784" s="2">
        <v>388</v>
      </c>
      <c r="B1784" s="2">
        <v>2066</v>
      </c>
      <c r="C1784" s="2">
        <v>0</v>
      </c>
      <c r="D1784" s="2">
        <v>8</v>
      </c>
      <c r="E1784" s="2">
        <v>2</v>
      </c>
      <c r="F1784" s="2">
        <v>3</v>
      </c>
    </row>
    <row r="1785" spans="1:6" ht="12.5">
      <c r="A1785" s="2">
        <v>427</v>
      </c>
      <c r="B1785" s="2">
        <v>8746</v>
      </c>
      <c r="C1785" s="2">
        <v>0</v>
      </c>
      <c r="D1785" s="2">
        <v>34</v>
      </c>
      <c r="E1785" s="2">
        <v>2</v>
      </c>
      <c r="F1785" s="2">
        <v>10</v>
      </c>
    </row>
    <row r="1786" spans="1:6" ht="12.5">
      <c r="A1786" s="2">
        <v>438</v>
      </c>
      <c r="B1786" s="2">
        <v>5455</v>
      </c>
      <c r="C1786" s="2">
        <v>0</v>
      </c>
      <c r="D1786" s="2">
        <v>1</v>
      </c>
      <c r="E1786" s="2">
        <v>2</v>
      </c>
      <c r="F1786" s="2">
        <v>4</v>
      </c>
    </row>
    <row r="1787" spans="1:6" ht="12.5">
      <c r="A1787" s="2">
        <v>460</v>
      </c>
      <c r="B1787" s="2">
        <v>1992</v>
      </c>
      <c r="C1787" s="2">
        <v>0</v>
      </c>
      <c r="D1787" s="2">
        <v>16</v>
      </c>
      <c r="E1787" s="2">
        <v>2</v>
      </c>
      <c r="F1787" s="2">
        <v>8</v>
      </c>
    </row>
    <row r="1788" spans="1:6" ht="12.5">
      <c r="A1788" s="2">
        <v>493</v>
      </c>
      <c r="B1788" s="2">
        <v>9426</v>
      </c>
      <c r="C1788" s="2">
        <v>0</v>
      </c>
      <c r="D1788" s="2">
        <v>0</v>
      </c>
      <c r="E1788" s="2">
        <v>2</v>
      </c>
      <c r="F1788" s="2">
        <v>3</v>
      </c>
    </row>
    <row r="1789" spans="1:6" ht="12.5">
      <c r="A1789" s="2">
        <v>536</v>
      </c>
      <c r="B1789" s="2">
        <v>1991</v>
      </c>
      <c r="C1789" s="2">
        <v>0</v>
      </c>
      <c r="D1789" s="2">
        <v>0</v>
      </c>
      <c r="E1789" s="2">
        <v>2</v>
      </c>
      <c r="F1789" s="2">
        <v>3</v>
      </c>
    </row>
    <row r="1790" spans="1:6" ht="12.5">
      <c r="A1790" s="2">
        <v>578</v>
      </c>
      <c r="B1790" s="2">
        <v>10242</v>
      </c>
      <c r="C1790" s="2">
        <v>0</v>
      </c>
      <c r="D1790" s="2">
        <v>0</v>
      </c>
      <c r="E1790" s="2">
        <v>2</v>
      </c>
      <c r="F1790" s="2">
        <v>4</v>
      </c>
    </row>
    <row r="1791" spans="1:6" ht="12.5">
      <c r="A1791" s="2">
        <v>584</v>
      </c>
      <c r="B1791" s="2">
        <v>5756</v>
      </c>
      <c r="C1791" s="2">
        <v>0</v>
      </c>
      <c r="D1791" s="2">
        <v>0</v>
      </c>
      <c r="E1791" s="2">
        <v>2</v>
      </c>
      <c r="F1791" s="2">
        <v>3</v>
      </c>
    </row>
    <row r="1792" spans="1:6" ht="12.5">
      <c r="A1792" s="2">
        <v>590</v>
      </c>
      <c r="B1792" s="2">
        <v>3710</v>
      </c>
      <c r="C1792" s="2">
        <v>0</v>
      </c>
      <c r="D1792" s="2">
        <v>4</v>
      </c>
      <c r="E1792" s="2">
        <v>2</v>
      </c>
      <c r="F1792" s="2">
        <v>2</v>
      </c>
    </row>
    <row r="1793" spans="1:6" ht="12.5">
      <c r="A1793" s="2">
        <v>613</v>
      </c>
      <c r="B1793" s="2">
        <v>6222</v>
      </c>
      <c r="C1793" s="2">
        <v>0</v>
      </c>
      <c r="D1793" s="2">
        <v>0</v>
      </c>
      <c r="E1793" s="2">
        <v>2</v>
      </c>
      <c r="F1793" s="2">
        <v>3</v>
      </c>
    </row>
    <row r="1794" spans="1:6" ht="12.5">
      <c r="A1794" s="2">
        <v>674</v>
      </c>
      <c r="B1794" s="2">
        <v>2920</v>
      </c>
      <c r="C1794" s="2">
        <v>0</v>
      </c>
      <c r="D1794" s="2">
        <v>9</v>
      </c>
      <c r="E1794" s="2">
        <v>2</v>
      </c>
      <c r="F1794" s="2">
        <v>8</v>
      </c>
    </row>
    <row r="1795" spans="1:6" ht="12.5">
      <c r="A1795" s="2">
        <v>708</v>
      </c>
      <c r="B1795" s="2">
        <v>3336</v>
      </c>
      <c r="C1795" s="2">
        <v>0</v>
      </c>
      <c r="D1795" s="2">
        <v>0</v>
      </c>
      <c r="E1795" s="2">
        <v>2</v>
      </c>
      <c r="F1795" s="2">
        <v>5</v>
      </c>
    </row>
    <row r="1796" spans="1:6" ht="12.5">
      <c r="A1796" s="2">
        <v>725</v>
      </c>
      <c r="B1796" s="2">
        <v>7212</v>
      </c>
      <c r="C1796" s="2">
        <v>0</v>
      </c>
      <c r="D1796" s="2">
        <v>0</v>
      </c>
      <c r="E1796" s="2">
        <v>2</v>
      </c>
      <c r="F1796" s="2">
        <v>3</v>
      </c>
    </row>
    <row r="1797" spans="1:6" ht="12.5">
      <c r="A1797" s="2">
        <v>776</v>
      </c>
      <c r="B1797" s="2">
        <v>1072</v>
      </c>
      <c r="C1797" s="2">
        <v>0</v>
      </c>
      <c r="D1797" s="2">
        <v>0</v>
      </c>
      <c r="E1797" s="2">
        <v>2</v>
      </c>
      <c r="F1797" s="2">
        <v>3</v>
      </c>
    </row>
    <row r="1798" spans="1:6" ht="12.5">
      <c r="A1798" s="2">
        <v>883</v>
      </c>
      <c r="B1798" s="2">
        <v>8017</v>
      </c>
      <c r="C1798" s="2">
        <v>0</v>
      </c>
      <c r="D1798" s="2">
        <v>5</v>
      </c>
      <c r="E1798" s="2">
        <v>2</v>
      </c>
      <c r="F1798" s="2">
        <v>3</v>
      </c>
    </row>
    <row r="1799" spans="1:6" ht="12.5">
      <c r="A1799" s="2">
        <v>887</v>
      </c>
      <c r="B1799" s="2">
        <v>8086</v>
      </c>
      <c r="C1799" s="2">
        <v>0</v>
      </c>
      <c r="D1799" s="2">
        <v>0</v>
      </c>
      <c r="E1799" s="2">
        <v>2</v>
      </c>
      <c r="F1799" s="2">
        <v>3</v>
      </c>
    </row>
    <row r="1800" spans="1:6" ht="12.5">
      <c r="A1800" s="2">
        <v>908</v>
      </c>
      <c r="B1800" s="2">
        <v>6534</v>
      </c>
      <c r="C1800" s="2">
        <v>0</v>
      </c>
      <c r="D1800" s="2">
        <v>5</v>
      </c>
      <c r="E1800" s="2">
        <v>2</v>
      </c>
      <c r="F1800" s="2">
        <v>3</v>
      </c>
    </row>
    <row r="1801" spans="1:6" ht="12.5">
      <c r="A1801" s="2">
        <v>950</v>
      </c>
      <c r="B1801" s="2">
        <v>7574</v>
      </c>
      <c r="C1801" s="2">
        <v>0</v>
      </c>
      <c r="D1801" s="2">
        <v>4</v>
      </c>
      <c r="E1801" s="2">
        <v>2</v>
      </c>
      <c r="F1801" s="2">
        <v>3</v>
      </c>
    </row>
    <row r="1802" spans="1:6" ht="12.5">
      <c r="A1802" s="2">
        <v>951</v>
      </c>
      <c r="B1802" s="2">
        <v>6387</v>
      </c>
      <c r="C1802" s="2">
        <v>0</v>
      </c>
      <c r="D1802" s="2">
        <v>0</v>
      </c>
      <c r="E1802" s="2">
        <v>2</v>
      </c>
      <c r="F1802" s="2">
        <v>3</v>
      </c>
    </row>
    <row r="1803" spans="1:6" ht="12.5">
      <c r="A1803" s="2">
        <v>989</v>
      </c>
      <c r="B1803" s="2">
        <v>453</v>
      </c>
      <c r="C1803" s="2">
        <v>0</v>
      </c>
      <c r="D1803" s="2">
        <v>1</v>
      </c>
      <c r="E1803" s="2">
        <v>2</v>
      </c>
      <c r="F1803" s="2">
        <v>3</v>
      </c>
    </row>
    <row r="1804" spans="1:6" ht="12.5">
      <c r="A1804" s="2">
        <v>1014</v>
      </c>
      <c r="B1804" s="2">
        <v>5313</v>
      </c>
      <c r="C1804" s="2">
        <v>0</v>
      </c>
      <c r="D1804" s="2">
        <v>0</v>
      </c>
      <c r="E1804" s="2">
        <v>2</v>
      </c>
      <c r="F1804" s="2">
        <v>4</v>
      </c>
    </row>
    <row r="1805" spans="1:6" ht="12.5">
      <c r="A1805" s="2">
        <v>1037</v>
      </c>
      <c r="B1805" s="2">
        <v>67</v>
      </c>
      <c r="C1805" s="2">
        <v>0</v>
      </c>
      <c r="D1805" s="2">
        <v>0</v>
      </c>
      <c r="E1805" s="2">
        <v>2</v>
      </c>
      <c r="F1805" s="2">
        <v>4</v>
      </c>
    </row>
    <row r="1806" spans="1:6" ht="12.5">
      <c r="A1806" s="2">
        <v>1073</v>
      </c>
      <c r="B1806" s="2">
        <v>9197</v>
      </c>
      <c r="C1806" s="2">
        <v>0</v>
      </c>
      <c r="D1806" s="2">
        <v>0</v>
      </c>
      <c r="E1806" s="2">
        <v>2</v>
      </c>
      <c r="F1806" s="2">
        <v>3</v>
      </c>
    </row>
    <row r="1807" spans="1:6" ht="12.5">
      <c r="A1807" s="2">
        <v>1094</v>
      </c>
      <c r="B1807" s="2">
        <v>6466</v>
      </c>
      <c r="C1807" s="2">
        <v>0</v>
      </c>
      <c r="D1807" s="2">
        <v>1</v>
      </c>
      <c r="E1807" s="2">
        <v>2</v>
      </c>
      <c r="F1807" s="2">
        <v>4</v>
      </c>
    </row>
    <row r="1808" spans="1:6" ht="12.5">
      <c r="A1808" s="2">
        <v>1104</v>
      </c>
      <c r="B1808" s="2">
        <v>4444</v>
      </c>
      <c r="C1808" s="2">
        <v>0</v>
      </c>
      <c r="D1808" s="2">
        <v>6</v>
      </c>
      <c r="E1808" s="2">
        <v>2</v>
      </c>
      <c r="F1808" s="2">
        <v>3</v>
      </c>
    </row>
    <row r="1809" spans="1:6" ht="12.5">
      <c r="A1809" s="2">
        <v>1106</v>
      </c>
      <c r="B1809" s="2">
        <v>6271</v>
      </c>
      <c r="C1809" s="2">
        <v>0</v>
      </c>
      <c r="D1809" s="2">
        <v>0</v>
      </c>
      <c r="E1809" s="2">
        <v>2</v>
      </c>
      <c r="F1809" s="2">
        <v>3</v>
      </c>
    </row>
    <row r="1810" spans="1:6" ht="12.5">
      <c r="A1810" s="2">
        <v>1121</v>
      </c>
      <c r="B1810" s="2">
        <v>4713</v>
      </c>
      <c r="C1810" s="2">
        <v>0</v>
      </c>
      <c r="D1810" s="2">
        <v>1</v>
      </c>
      <c r="E1810" s="2">
        <v>2</v>
      </c>
      <c r="F1810" s="2">
        <v>4</v>
      </c>
    </row>
    <row r="1811" spans="1:6" ht="12.5">
      <c r="A1811" s="2">
        <v>1141</v>
      </c>
      <c r="B1811" s="2">
        <v>523</v>
      </c>
      <c r="C1811" s="2">
        <v>0</v>
      </c>
      <c r="D1811" s="2">
        <v>15</v>
      </c>
      <c r="E1811" s="2">
        <v>2</v>
      </c>
      <c r="F1811" s="2">
        <v>4</v>
      </c>
    </row>
    <row r="1812" spans="1:6" ht="12.5">
      <c r="A1812" s="2">
        <v>1143</v>
      </c>
      <c r="B1812" s="2">
        <v>8414</v>
      </c>
      <c r="C1812" s="2">
        <v>0</v>
      </c>
      <c r="D1812" s="2">
        <v>0</v>
      </c>
      <c r="E1812" s="2">
        <v>2</v>
      </c>
      <c r="F1812" s="2">
        <v>4</v>
      </c>
    </row>
    <row r="1813" spans="1:6" ht="12.5">
      <c r="A1813" s="2">
        <v>1145</v>
      </c>
      <c r="B1813" s="2">
        <v>4961</v>
      </c>
      <c r="C1813" s="2">
        <v>0</v>
      </c>
      <c r="D1813" s="2">
        <v>2</v>
      </c>
      <c r="E1813" s="2">
        <v>2</v>
      </c>
      <c r="F1813" s="2">
        <v>4</v>
      </c>
    </row>
    <row r="1814" spans="1:6" ht="12.5">
      <c r="A1814" s="2">
        <v>1155</v>
      </c>
      <c r="B1814" s="2">
        <v>213</v>
      </c>
      <c r="C1814" s="2">
        <v>0</v>
      </c>
      <c r="D1814" s="2">
        <v>0</v>
      </c>
      <c r="E1814" s="2">
        <v>2</v>
      </c>
      <c r="F1814" s="2">
        <v>3</v>
      </c>
    </row>
    <row r="1815" spans="1:6" ht="12.5">
      <c r="A1815" s="2">
        <v>1219</v>
      </c>
      <c r="B1815" s="2">
        <v>9739</v>
      </c>
      <c r="C1815" s="2">
        <v>0</v>
      </c>
      <c r="D1815" s="2">
        <v>1</v>
      </c>
      <c r="E1815" s="2">
        <v>2</v>
      </c>
      <c r="F1815" s="2">
        <v>2</v>
      </c>
    </row>
    <row r="1816" spans="1:6" ht="12.5">
      <c r="A1816" s="2">
        <v>1263</v>
      </c>
      <c r="B1816" s="2">
        <v>8147</v>
      </c>
      <c r="C1816" s="2">
        <v>0</v>
      </c>
      <c r="D1816" s="2">
        <v>0</v>
      </c>
      <c r="E1816" s="2">
        <v>2</v>
      </c>
      <c r="F1816" s="2">
        <v>3</v>
      </c>
    </row>
    <row r="1817" spans="1:6" ht="12.5">
      <c r="A1817" s="2">
        <v>1264</v>
      </c>
      <c r="B1817" s="2">
        <v>1857</v>
      </c>
      <c r="C1817" s="2">
        <v>0</v>
      </c>
      <c r="D1817" s="2">
        <v>2</v>
      </c>
      <c r="E1817" s="2">
        <v>2</v>
      </c>
      <c r="F1817" s="2">
        <v>2</v>
      </c>
    </row>
    <row r="1818" spans="1:6" ht="12.5">
      <c r="A1818" s="2">
        <v>1394</v>
      </c>
      <c r="B1818" s="2">
        <v>2587</v>
      </c>
      <c r="C1818" s="2">
        <v>0</v>
      </c>
      <c r="D1818" s="2">
        <v>0</v>
      </c>
      <c r="E1818" s="2">
        <v>2</v>
      </c>
      <c r="F1818" s="2">
        <v>3</v>
      </c>
    </row>
    <row r="1819" spans="1:6" ht="12.5">
      <c r="A1819" s="2">
        <v>1453</v>
      </c>
      <c r="B1819" s="2">
        <v>5975</v>
      </c>
      <c r="C1819" s="2">
        <v>0</v>
      </c>
      <c r="D1819" s="2">
        <v>0</v>
      </c>
      <c r="E1819" s="2">
        <v>2</v>
      </c>
      <c r="F1819" s="2">
        <v>3</v>
      </c>
    </row>
    <row r="1820" spans="1:6" ht="12.5">
      <c r="A1820" s="2">
        <v>1477</v>
      </c>
      <c r="B1820" s="2">
        <v>4220</v>
      </c>
      <c r="C1820" s="2">
        <v>0</v>
      </c>
      <c r="D1820" s="2">
        <v>1</v>
      </c>
      <c r="E1820" s="2">
        <v>2</v>
      </c>
      <c r="F1820" s="2">
        <v>3</v>
      </c>
    </row>
    <row r="1821" spans="1:6" ht="12.5">
      <c r="A1821" s="2">
        <v>1496</v>
      </c>
      <c r="B1821" s="2">
        <v>6885</v>
      </c>
      <c r="C1821" s="2">
        <v>0</v>
      </c>
      <c r="D1821" s="2">
        <v>1</v>
      </c>
      <c r="E1821" s="2">
        <v>2</v>
      </c>
      <c r="F1821" s="2">
        <v>3</v>
      </c>
    </row>
    <row r="1822" spans="1:6" ht="12.5">
      <c r="A1822" s="2">
        <v>1594</v>
      </c>
      <c r="B1822" s="2">
        <v>1131</v>
      </c>
      <c r="C1822" s="2">
        <v>0</v>
      </c>
      <c r="D1822" s="2">
        <v>0</v>
      </c>
      <c r="E1822" s="2">
        <v>2</v>
      </c>
      <c r="F1822" s="2">
        <v>4</v>
      </c>
    </row>
    <row r="1823" spans="1:6" ht="12.5">
      <c r="A1823" s="2">
        <v>1605</v>
      </c>
      <c r="B1823" s="2">
        <v>5062</v>
      </c>
      <c r="C1823" s="2">
        <v>0</v>
      </c>
      <c r="D1823" s="2">
        <v>0</v>
      </c>
      <c r="E1823" s="2">
        <v>2</v>
      </c>
      <c r="F1823" s="2">
        <v>2</v>
      </c>
    </row>
    <row r="1824" spans="1:6" ht="12.5">
      <c r="A1824" s="2">
        <v>1632</v>
      </c>
      <c r="B1824" s="2">
        <v>3783</v>
      </c>
      <c r="C1824" s="2">
        <v>0</v>
      </c>
      <c r="D1824" s="2">
        <v>1</v>
      </c>
      <c r="E1824" s="2">
        <v>2</v>
      </c>
      <c r="F1824" s="2">
        <v>4</v>
      </c>
    </row>
    <row r="1825" spans="1:6" ht="12.5">
      <c r="A1825" s="2">
        <v>1641</v>
      </c>
      <c r="B1825" s="2">
        <v>1665</v>
      </c>
      <c r="C1825" s="2">
        <v>0</v>
      </c>
      <c r="D1825" s="2">
        <v>15</v>
      </c>
      <c r="E1825" s="2">
        <v>2</v>
      </c>
      <c r="F1825" s="2">
        <v>6</v>
      </c>
    </row>
    <row r="1826" spans="1:6" ht="12.5">
      <c r="A1826" s="2">
        <v>1682</v>
      </c>
      <c r="B1826" s="2">
        <v>2156</v>
      </c>
      <c r="C1826" s="2">
        <v>0</v>
      </c>
      <c r="D1826" s="2">
        <v>0</v>
      </c>
      <c r="E1826" s="2">
        <v>2</v>
      </c>
      <c r="F1826" s="2">
        <v>4</v>
      </c>
    </row>
    <row r="1827" spans="1:6" ht="12.5">
      <c r="A1827" s="2">
        <v>1730</v>
      </c>
      <c r="B1827" s="2">
        <v>8605</v>
      </c>
      <c r="C1827" s="2">
        <v>0</v>
      </c>
      <c r="D1827" s="2">
        <v>0</v>
      </c>
      <c r="E1827" s="2">
        <v>2</v>
      </c>
      <c r="F1827" s="2">
        <v>3</v>
      </c>
    </row>
    <row r="1828" spans="1:6" ht="12.5">
      <c r="A1828" s="2">
        <v>1754</v>
      </c>
      <c r="B1828" s="2">
        <v>2154</v>
      </c>
      <c r="C1828" s="2">
        <v>0</v>
      </c>
      <c r="D1828" s="2">
        <v>3</v>
      </c>
      <c r="E1828" s="2">
        <v>2</v>
      </c>
      <c r="F1828" s="2">
        <v>3</v>
      </c>
    </row>
    <row r="1829" spans="1:6" ht="12.5">
      <c r="A1829" s="2">
        <v>1787</v>
      </c>
      <c r="B1829" s="2">
        <v>8008</v>
      </c>
      <c r="C1829" s="2">
        <v>0</v>
      </c>
      <c r="D1829" s="2">
        <v>1</v>
      </c>
      <c r="E1829" s="2">
        <v>2</v>
      </c>
      <c r="F1829" s="2">
        <v>4</v>
      </c>
    </row>
    <row r="1830" spans="1:6" ht="12.5">
      <c r="A1830" s="2">
        <v>1821</v>
      </c>
      <c r="B1830" s="2">
        <v>5684</v>
      </c>
      <c r="C1830" s="2">
        <v>0</v>
      </c>
      <c r="D1830" s="2">
        <v>0</v>
      </c>
      <c r="E1830" s="2">
        <v>2</v>
      </c>
      <c r="F1830" s="2">
        <v>3</v>
      </c>
    </row>
    <row r="1831" spans="1:6" ht="12.5">
      <c r="A1831" s="2">
        <v>1866</v>
      </c>
      <c r="B1831" s="2">
        <v>4227</v>
      </c>
      <c r="C1831" s="2">
        <v>0</v>
      </c>
      <c r="D1831" s="2">
        <v>2</v>
      </c>
      <c r="E1831" s="2">
        <v>2</v>
      </c>
      <c r="F1831" s="2">
        <v>3</v>
      </c>
    </row>
    <row r="1832" spans="1:6" ht="12.5">
      <c r="A1832" s="2">
        <v>1962</v>
      </c>
      <c r="B1832" s="2">
        <v>6355</v>
      </c>
      <c r="C1832" s="2">
        <v>0</v>
      </c>
      <c r="D1832" s="2">
        <v>3</v>
      </c>
      <c r="E1832" s="2">
        <v>2</v>
      </c>
      <c r="F1832" s="2">
        <v>4</v>
      </c>
    </row>
    <row r="1833" spans="1:6" ht="12.5">
      <c r="A1833" s="2">
        <v>2004</v>
      </c>
      <c r="B1833" s="2">
        <v>9923</v>
      </c>
      <c r="C1833" s="2">
        <v>0</v>
      </c>
      <c r="D1833" s="2">
        <v>0</v>
      </c>
      <c r="E1833" s="2">
        <v>2</v>
      </c>
      <c r="F1833" s="2">
        <v>4</v>
      </c>
    </row>
    <row r="1834" spans="1:6" ht="12.5">
      <c r="A1834" s="2">
        <v>2005</v>
      </c>
      <c r="B1834" s="2">
        <v>7181</v>
      </c>
      <c r="C1834" s="2">
        <v>0</v>
      </c>
      <c r="D1834" s="2">
        <v>0</v>
      </c>
      <c r="E1834" s="2">
        <v>2</v>
      </c>
      <c r="F1834" s="2">
        <v>3</v>
      </c>
    </row>
    <row r="1835" spans="1:6" ht="12.5">
      <c r="A1835" s="2">
        <v>2038</v>
      </c>
      <c r="B1835" s="2">
        <v>6568</v>
      </c>
      <c r="C1835" s="2">
        <v>0</v>
      </c>
      <c r="D1835" s="2">
        <v>5</v>
      </c>
      <c r="E1835" s="2">
        <v>2</v>
      </c>
      <c r="F1835" s="2">
        <v>3</v>
      </c>
    </row>
    <row r="1836" spans="1:6" ht="12.5">
      <c r="A1836" s="2">
        <v>2043</v>
      </c>
      <c r="B1836" s="2">
        <v>5454</v>
      </c>
      <c r="C1836" s="2">
        <v>0</v>
      </c>
      <c r="D1836" s="2">
        <v>0</v>
      </c>
      <c r="E1836" s="2">
        <v>2</v>
      </c>
      <c r="F1836" s="2">
        <v>3</v>
      </c>
    </row>
    <row r="1837" spans="1:6" ht="12.5">
      <c r="A1837" s="2">
        <v>2146</v>
      </c>
      <c r="B1837" s="2">
        <v>1818</v>
      </c>
      <c r="C1837" s="2">
        <v>0</v>
      </c>
      <c r="D1837" s="2">
        <v>1</v>
      </c>
      <c r="E1837" s="2">
        <v>2</v>
      </c>
      <c r="F1837" s="2">
        <v>2</v>
      </c>
    </row>
    <row r="1838" spans="1:6" ht="12.5">
      <c r="A1838" s="2">
        <v>2207</v>
      </c>
      <c r="B1838" s="2">
        <v>4333</v>
      </c>
      <c r="C1838" s="2">
        <v>0</v>
      </c>
      <c r="D1838" s="2">
        <v>0</v>
      </c>
      <c r="E1838" s="2">
        <v>2</v>
      </c>
      <c r="F1838" s="2">
        <v>3</v>
      </c>
    </row>
    <row r="1839" spans="1:6" ht="12.5">
      <c r="A1839" s="2">
        <v>1243</v>
      </c>
      <c r="B1839" s="2">
        <v>7718</v>
      </c>
      <c r="C1839" s="2">
        <v>51</v>
      </c>
      <c r="D1839" s="2">
        <v>0</v>
      </c>
      <c r="E1839" s="2">
        <v>1</v>
      </c>
      <c r="F1839" s="2">
        <v>5</v>
      </c>
    </row>
    <row r="1840" spans="1:6" ht="12.5">
      <c r="A1840" s="2">
        <v>1438</v>
      </c>
      <c r="B1840" s="2">
        <v>574</v>
      </c>
      <c r="C1840" s="2">
        <v>36</v>
      </c>
      <c r="D1840" s="2">
        <v>26</v>
      </c>
      <c r="E1840" s="2">
        <v>1</v>
      </c>
      <c r="F1840" s="2">
        <v>4</v>
      </c>
    </row>
    <row r="1841" spans="1:6" ht="12.5">
      <c r="A1841" s="2">
        <v>2182</v>
      </c>
      <c r="B1841" s="2">
        <v>3266</v>
      </c>
      <c r="C1841" s="2">
        <v>36</v>
      </c>
      <c r="D1841" s="2">
        <v>26</v>
      </c>
      <c r="E1841" s="2">
        <v>1</v>
      </c>
      <c r="F1841" s="2">
        <v>4</v>
      </c>
    </row>
    <row r="1842" spans="1:6" ht="12.5">
      <c r="A1842" s="2">
        <v>794</v>
      </c>
      <c r="B1842" s="2">
        <v>4442</v>
      </c>
      <c r="C1842" s="2">
        <v>19</v>
      </c>
      <c r="D1842" s="2">
        <v>14</v>
      </c>
      <c r="E1842" s="2">
        <v>1</v>
      </c>
      <c r="F1842" s="2">
        <v>5</v>
      </c>
    </row>
    <row r="1843" spans="1:6" ht="12.5">
      <c r="A1843" s="2">
        <v>692</v>
      </c>
      <c r="B1843" s="2">
        <v>450</v>
      </c>
      <c r="C1843" s="2">
        <v>15</v>
      </c>
      <c r="D1843" s="2">
        <v>11</v>
      </c>
      <c r="E1843" s="2">
        <v>1</v>
      </c>
      <c r="F1843" s="2">
        <v>4</v>
      </c>
    </row>
    <row r="1844" spans="1:6" ht="12.5">
      <c r="A1844" s="2">
        <v>14</v>
      </c>
      <c r="B1844" s="2">
        <v>2569</v>
      </c>
      <c r="C1844" s="2">
        <v>14</v>
      </c>
      <c r="D1844" s="2">
        <v>1</v>
      </c>
      <c r="E1844" s="2">
        <v>1</v>
      </c>
      <c r="F1844" s="2">
        <v>3</v>
      </c>
    </row>
    <row r="1845" spans="1:6" ht="12.5">
      <c r="A1845" s="2">
        <v>1166</v>
      </c>
      <c r="B1845" s="2">
        <v>6116</v>
      </c>
      <c r="C1845" s="2">
        <v>13</v>
      </c>
      <c r="D1845" s="2">
        <v>7</v>
      </c>
      <c r="E1845" s="2">
        <v>1</v>
      </c>
      <c r="F1845" s="2">
        <v>3</v>
      </c>
    </row>
    <row r="1846" spans="1:6" ht="12.5">
      <c r="A1846" s="2">
        <v>43</v>
      </c>
      <c r="B1846" s="2">
        <v>7281</v>
      </c>
      <c r="C1846" s="2">
        <v>11</v>
      </c>
      <c r="D1846" s="2">
        <v>2</v>
      </c>
      <c r="E1846" s="2">
        <v>1</v>
      </c>
      <c r="F1846" s="2">
        <v>4</v>
      </c>
    </row>
    <row r="1847" spans="1:6" ht="12.5">
      <c r="A1847" s="2">
        <v>158</v>
      </c>
      <c r="B1847" s="2">
        <v>9970</v>
      </c>
      <c r="C1847" s="2">
        <v>11</v>
      </c>
      <c r="D1847" s="2">
        <v>28</v>
      </c>
      <c r="E1847" s="2">
        <v>1</v>
      </c>
      <c r="F1847" s="2">
        <v>6</v>
      </c>
    </row>
    <row r="1848" spans="1:6" ht="12.5">
      <c r="A1848" s="2">
        <v>220</v>
      </c>
      <c r="B1848" s="2">
        <v>1755</v>
      </c>
      <c r="C1848" s="2">
        <v>11</v>
      </c>
      <c r="D1848" s="2">
        <v>1</v>
      </c>
      <c r="E1848" s="2">
        <v>1</v>
      </c>
      <c r="F1848" s="2">
        <v>4</v>
      </c>
    </row>
    <row r="1849" spans="1:6" ht="12.5">
      <c r="A1849" s="2">
        <v>1328</v>
      </c>
      <c r="B1849" s="2">
        <v>4246</v>
      </c>
      <c r="C1849" s="2">
        <v>11</v>
      </c>
      <c r="D1849" s="2">
        <v>3</v>
      </c>
      <c r="E1849" s="2">
        <v>1</v>
      </c>
      <c r="F1849" s="2">
        <v>1</v>
      </c>
    </row>
    <row r="1850" spans="1:6" ht="12.5">
      <c r="A1850" s="2">
        <v>1529</v>
      </c>
      <c r="B1850" s="2">
        <v>3536</v>
      </c>
      <c r="C1850" s="2">
        <v>11</v>
      </c>
      <c r="D1850" s="2">
        <v>4</v>
      </c>
      <c r="E1850" s="2">
        <v>1</v>
      </c>
      <c r="F1850" s="2">
        <v>3</v>
      </c>
    </row>
    <row r="1851" spans="1:6" ht="12.5">
      <c r="A1851" s="2">
        <v>2088</v>
      </c>
      <c r="B1851" s="2">
        <v>6507</v>
      </c>
      <c r="C1851" s="2">
        <v>11</v>
      </c>
      <c r="D1851" s="2">
        <v>0</v>
      </c>
      <c r="E1851" s="2">
        <v>1</v>
      </c>
      <c r="F1851" s="2">
        <v>4</v>
      </c>
    </row>
    <row r="1852" spans="1:6" ht="12.5">
      <c r="A1852" s="2">
        <v>810</v>
      </c>
      <c r="B1852" s="2">
        <v>2964</v>
      </c>
      <c r="C1852" s="2">
        <v>10</v>
      </c>
      <c r="D1852" s="2">
        <v>16</v>
      </c>
      <c r="E1852" s="2">
        <v>1</v>
      </c>
      <c r="F1852" s="2">
        <v>2</v>
      </c>
    </row>
    <row r="1853" spans="1:6" ht="12.5">
      <c r="A1853" s="2">
        <v>1033</v>
      </c>
      <c r="B1853" s="2">
        <v>5263</v>
      </c>
      <c r="C1853" s="2">
        <v>10</v>
      </c>
      <c r="D1853" s="2">
        <v>8</v>
      </c>
      <c r="E1853" s="2">
        <v>1</v>
      </c>
      <c r="F1853" s="2">
        <v>3</v>
      </c>
    </row>
    <row r="1854" spans="1:6" ht="12.5">
      <c r="A1854" s="2">
        <v>1874</v>
      </c>
      <c r="B1854" s="2">
        <v>4796</v>
      </c>
      <c r="C1854" s="2">
        <v>10</v>
      </c>
      <c r="D1854" s="2">
        <v>5</v>
      </c>
      <c r="E1854" s="2">
        <v>1</v>
      </c>
      <c r="F1854" s="2">
        <v>3</v>
      </c>
    </row>
    <row r="1855" spans="1:6" ht="12.5">
      <c r="A1855" s="2">
        <v>1955</v>
      </c>
      <c r="B1855" s="2">
        <v>6428</v>
      </c>
      <c r="C1855" s="2">
        <v>10</v>
      </c>
      <c r="D1855" s="2">
        <v>54</v>
      </c>
      <c r="E1855" s="2">
        <v>1</v>
      </c>
      <c r="F1855" s="2">
        <v>7</v>
      </c>
    </row>
    <row r="1856" spans="1:6" ht="12.5">
      <c r="A1856" s="2">
        <v>376</v>
      </c>
      <c r="B1856" s="2">
        <v>1726</v>
      </c>
      <c r="C1856" s="2">
        <v>9</v>
      </c>
      <c r="D1856" s="2">
        <v>2</v>
      </c>
      <c r="E1856" s="2">
        <v>1</v>
      </c>
      <c r="F1856" s="2">
        <v>2</v>
      </c>
    </row>
    <row r="1857" spans="1:6" ht="12.5">
      <c r="A1857" s="2">
        <v>379</v>
      </c>
      <c r="B1857" s="2">
        <v>1517</v>
      </c>
      <c r="C1857" s="2">
        <v>9</v>
      </c>
      <c r="D1857" s="2">
        <v>12</v>
      </c>
      <c r="E1857" s="2">
        <v>1</v>
      </c>
      <c r="F1857" s="2">
        <v>3</v>
      </c>
    </row>
    <row r="1858" spans="1:6" ht="12.5">
      <c r="A1858" s="2">
        <v>589</v>
      </c>
      <c r="B1858" s="2">
        <v>4179</v>
      </c>
      <c r="C1858" s="2">
        <v>9</v>
      </c>
      <c r="D1858" s="2">
        <v>5</v>
      </c>
      <c r="E1858" s="2">
        <v>1</v>
      </c>
      <c r="F1858" s="2">
        <v>3</v>
      </c>
    </row>
    <row r="1859" spans="1:6" ht="12.5">
      <c r="A1859" s="2">
        <v>931</v>
      </c>
      <c r="B1859" s="2">
        <v>538</v>
      </c>
      <c r="C1859" s="2">
        <v>9</v>
      </c>
      <c r="D1859" s="2">
        <v>9</v>
      </c>
      <c r="E1859" s="2">
        <v>1</v>
      </c>
      <c r="F1859" s="2">
        <v>4</v>
      </c>
    </row>
    <row r="1860" spans="1:6" ht="12.5">
      <c r="A1860" s="2">
        <v>1755</v>
      </c>
      <c r="B1860" s="2">
        <v>5394</v>
      </c>
      <c r="C1860" s="2">
        <v>9</v>
      </c>
      <c r="D1860" s="2">
        <v>8</v>
      </c>
      <c r="E1860" s="2">
        <v>1</v>
      </c>
      <c r="F1860" s="2">
        <v>4</v>
      </c>
    </row>
    <row r="1861" spans="1:6" ht="12.5">
      <c r="A1861" s="2">
        <v>2189</v>
      </c>
      <c r="B1861" s="2">
        <v>1646</v>
      </c>
      <c r="C1861" s="2">
        <v>9</v>
      </c>
      <c r="D1861" s="2">
        <v>2</v>
      </c>
      <c r="E1861" s="2">
        <v>1</v>
      </c>
      <c r="F1861" s="2">
        <v>3</v>
      </c>
    </row>
    <row r="1862" spans="1:6" ht="12.5">
      <c r="A1862" s="2">
        <v>85</v>
      </c>
      <c r="B1862" s="2">
        <v>5268</v>
      </c>
      <c r="C1862" s="2">
        <v>8</v>
      </c>
      <c r="D1862" s="2">
        <v>4</v>
      </c>
      <c r="E1862" s="2">
        <v>1</v>
      </c>
      <c r="F1862" s="2">
        <v>4</v>
      </c>
    </row>
    <row r="1863" spans="1:6" ht="12.5">
      <c r="A1863" s="2">
        <v>612</v>
      </c>
      <c r="B1863" s="2">
        <v>6682</v>
      </c>
      <c r="C1863" s="2">
        <v>8</v>
      </c>
      <c r="D1863" s="2">
        <v>7</v>
      </c>
      <c r="E1863" s="2">
        <v>1</v>
      </c>
      <c r="F1863" s="2">
        <v>3</v>
      </c>
    </row>
    <row r="1864" spans="1:6" ht="12.5">
      <c r="A1864" s="2">
        <v>619</v>
      </c>
      <c r="B1864" s="2">
        <v>10862</v>
      </c>
      <c r="C1864" s="2">
        <v>8</v>
      </c>
      <c r="D1864" s="2">
        <v>11</v>
      </c>
      <c r="E1864" s="2">
        <v>1</v>
      </c>
      <c r="F1864" s="2">
        <v>9</v>
      </c>
    </row>
    <row r="1865" spans="1:6" ht="12.5">
      <c r="A1865" s="2">
        <v>1675</v>
      </c>
      <c r="B1865" s="2">
        <v>4712</v>
      </c>
      <c r="C1865" s="2">
        <v>8</v>
      </c>
      <c r="D1865" s="2">
        <v>11</v>
      </c>
      <c r="E1865" s="2">
        <v>1</v>
      </c>
      <c r="F1865" s="2">
        <v>4</v>
      </c>
    </row>
    <row r="1866" spans="1:6" ht="12.5">
      <c r="A1866" s="2">
        <v>1849</v>
      </c>
      <c r="B1866" s="2">
        <v>5010</v>
      </c>
      <c r="C1866" s="2">
        <v>8</v>
      </c>
      <c r="D1866" s="2">
        <v>1</v>
      </c>
      <c r="E1866" s="2">
        <v>1</v>
      </c>
      <c r="F1866" s="2">
        <v>3</v>
      </c>
    </row>
    <row r="1867" spans="1:6" ht="12.5">
      <c r="A1867" s="2">
        <v>1875</v>
      </c>
      <c r="B1867" s="2">
        <v>9612</v>
      </c>
      <c r="C1867" s="2">
        <v>8</v>
      </c>
      <c r="D1867" s="2">
        <v>8</v>
      </c>
      <c r="E1867" s="2">
        <v>1</v>
      </c>
      <c r="F1867" s="2">
        <v>3</v>
      </c>
    </row>
    <row r="1868" spans="1:6" ht="12.5">
      <c r="A1868" s="2">
        <v>385</v>
      </c>
      <c r="B1868" s="2">
        <v>948</v>
      </c>
      <c r="C1868" s="2">
        <v>7</v>
      </c>
      <c r="D1868" s="2">
        <v>4</v>
      </c>
      <c r="E1868" s="2">
        <v>1</v>
      </c>
      <c r="F1868" s="2">
        <v>2</v>
      </c>
    </row>
    <row r="1869" spans="1:6" ht="12.5">
      <c r="A1869" s="2">
        <v>517</v>
      </c>
      <c r="B1869" s="2">
        <v>10203</v>
      </c>
      <c r="C1869" s="2">
        <v>7</v>
      </c>
      <c r="D1869" s="2">
        <v>1</v>
      </c>
      <c r="E1869" s="2">
        <v>1</v>
      </c>
      <c r="F1869" s="2">
        <v>3</v>
      </c>
    </row>
    <row r="1870" spans="1:6" ht="12.5">
      <c r="A1870" s="2">
        <v>1346</v>
      </c>
      <c r="B1870" s="2">
        <v>10390</v>
      </c>
      <c r="C1870" s="2">
        <v>7</v>
      </c>
      <c r="D1870" s="2">
        <v>4</v>
      </c>
      <c r="E1870" s="2">
        <v>1</v>
      </c>
      <c r="F1870" s="2">
        <v>3</v>
      </c>
    </row>
    <row r="1871" spans="1:6" ht="12.5">
      <c r="A1871" s="2">
        <v>1727</v>
      </c>
      <c r="B1871" s="2">
        <v>1744</v>
      </c>
      <c r="C1871" s="2">
        <v>7</v>
      </c>
      <c r="D1871" s="2">
        <v>2</v>
      </c>
      <c r="E1871" s="2">
        <v>1</v>
      </c>
      <c r="F1871" s="2">
        <v>2</v>
      </c>
    </row>
    <row r="1872" spans="1:6" ht="12.5">
      <c r="A1872" s="2">
        <v>206</v>
      </c>
      <c r="B1872" s="2">
        <v>5176</v>
      </c>
      <c r="C1872" s="2">
        <v>6</v>
      </c>
      <c r="D1872" s="2">
        <v>6</v>
      </c>
      <c r="E1872" s="2">
        <v>1</v>
      </c>
      <c r="F1872" s="2">
        <v>3</v>
      </c>
    </row>
    <row r="1873" spans="1:6" ht="12.5">
      <c r="A1873" s="2">
        <v>290</v>
      </c>
      <c r="B1873" s="2">
        <v>9262</v>
      </c>
      <c r="C1873" s="2">
        <v>6</v>
      </c>
      <c r="D1873" s="2">
        <v>9</v>
      </c>
      <c r="E1873" s="2">
        <v>1</v>
      </c>
      <c r="F1873" s="2">
        <v>3</v>
      </c>
    </row>
    <row r="1874" spans="1:6" ht="12.5">
      <c r="A1874" s="2">
        <v>344</v>
      </c>
      <c r="B1874" s="2">
        <v>8234</v>
      </c>
      <c r="C1874" s="2">
        <v>6</v>
      </c>
      <c r="D1874" s="2">
        <v>1</v>
      </c>
      <c r="E1874" s="2">
        <v>1</v>
      </c>
      <c r="F1874" s="2">
        <v>2</v>
      </c>
    </row>
    <row r="1875" spans="1:6" ht="12.5">
      <c r="A1875" s="2">
        <v>444</v>
      </c>
      <c r="B1875" s="2">
        <v>2106</v>
      </c>
      <c r="C1875" s="2">
        <v>6</v>
      </c>
      <c r="D1875" s="2">
        <v>6</v>
      </c>
      <c r="E1875" s="2">
        <v>1</v>
      </c>
      <c r="F1875" s="2">
        <v>3</v>
      </c>
    </row>
    <row r="1876" spans="1:6" ht="12.5">
      <c r="A1876" s="2">
        <v>593</v>
      </c>
      <c r="B1876" s="2">
        <v>6424</v>
      </c>
      <c r="C1876" s="2">
        <v>6</v>
      </c>
      <c r="D1876" s="2">
        <v>2</v>
      </c>
      <c r="E1876" s="2">
        <v>1</v>
      </c>
      <c r="F1876" s="2">
        <v>3</v>
      </c>
    </row>
    <row r="1877" spans="1:6" ht="12.5">
      <c r="A1877" s="2">
        <v>618</v>
      </c>
      <c r="B1877" s="2">
        <v>8650</v>
      </c>
      <c r="C1877" s="2">
        <v>6</v>
      </c>
      <c r="D1877" s="2">
        <v>5</v>
      </c>
      <c r="E1877" s="2">
        <v>1</v>
      </c>
      <c r="F1877" s="2">
        <v>3</v>
      </c>
    </row>
    <row r="1878" spans="1:6" ht="12.5">
      <c r="A1878" s="2">
        <v>623</v>
      </c>
      <c r="B1878" s="2">
        <v>10708</v>
      </c>
      <c r="C1878" s="2">
        <v>6</v>
      </c>
      <c r="D1878" s="2">
        <v>4</v>
      </c>
      <c r="E1878" s="2">
        <v>1</v>
      </c>
      <c r="F1878" s="2">
        <v>3</v>
      </c>
    </row>
    <row r="1879" spans="1:6" ht="12.5">
      <c r="A1879" s="2">
        <v>923</v>
      </c>
      <c r="B1879" s="2">
        <v>4988</v>
      </c>
      <c r="C1879" s="2">
        <v>6</v>
      </c>
      <c r="D1879" s="2">
        <v>5</v>
      </c>
      <c r="E1879" s="2">
        <v>1</v>
      </c>
      <c r="F1879" s="2">
        <v>4</v>
      </c>
    </row>
    <row r="1880" spans="1:6" ht="12.5">
      <c r="A1880" s="2">
        <v>1154</v>
      </c>
      <c r="B1880" s="2">
        <v>2613</v>
      </c>
      <c r="C1880" s="2">
        <v>6</v>
      </c>
      <c r="D1880" s="2">
        <v>13</v>
      </c>
      <c r="E1880" s="2">
        <v>1</v>
      </c>
      <c r="F1880" s="2">
        <v>6</v>
      </c>
    </row>
    <row r="1881" spans="1:6" ht="12.5">
      <c r="A1881" s="2">
        <v>1171</v>
      </c>
      <c r="B1881" s="2">
        <v>3363</v>
      </c>
      <c r="C1881" s="2">
        <v>6</v>
      </c>
      <c r="D1881" s="2">
        <v>6</v>
      </c>
      <c r="E1881" s="2">
        <v>1</v>
      </c>
      <c r="F1881" s="2">
        <v>3</v>
      </c>
    </row>
    <row r="1882" spans="1:6" ht="12.5">
      <c r="A1882" s="2">
        <v>1221</v>
      </c>
      <c r="B1882" s="2">
        <v>1176</v>
      </c>
      <c r="C1882" s="2">
        <v>6</v>
      </c>
      <c r="D1882" s="2">
        <v>1</v>
      </c>
      <c r="E1882" s="2">
        <v>1</v>
      </c>
      <c r="F1882" s="2">
        <v>2</v>
      </c>
    </row>
    <row r="1883" spans="1:6" ht="12.5">
      <c r="A1883" s="2">
        <v>1240</v>
      </c>
      <c r="B1883" s="2">
        <v>11086</v>
      </c>
      <c r="C1883" s="2">
        <v>6</v>
      </c>
      <c r="D1883" s="2">
        <v>6</v>
      </c>
      <c r="E1883" s="2">
        <v>1</v>
      </c>
      <c r="F1883" s="2">
        <v>3</v>
      </c>
    </row>
    <row r="1884" spans="1:6" ht="12.5">
      <c r="A1884" s="2">
        <v>1338</v>
      </c>
      <c r="B1884" s="2">
        <v>2173</v>
      </c>
      <c r="C1884" s="2">
        <v>6</v>
      </c>
      <c r="D1884" s="2">
        <v>3</v>
      </c>
      <c r="E1884" s="2">
        <v>1</v>
      </c>
      <c r="F1884" s="2">
        <v>3</v>
      </c>
    </row>
    <row r="1885" spans="1:6" ht="12.5">
      <c r="A1885" s="2">
        <v>1693</v>
      </c>
      <c r="B1885" s="2">
        <v>10398</v>
      </c>
      <c r="C1885" s="2">
        <v>6</v>
      </c>
      <c r="D1885" s="2">
        <v>2</v>
      </c>
      <c r="E1885" s="2">
        <v>1</v>
      </c>
      <c r="F1885" s="2">
        <v>2</v>
      </c>
    </row>
    <row r="1886" spans="1:6" ht="12.5">
      <c r="A1886" s="2">
        <v>10</v>
      </c>
      <c r="B1886" s="2">
        <v>1994</v>
      </c>
      <c r="C1886" s="2">
        <v>5</v>
      </c>
      <c r="D1886" s="2">
        <v>2</v>
      </c>
      <c r="E1886" s="2">
        <v>1</v>
      </c>
      <c r="F1886" s="2">
        <v>2</v>
      </c>
    </row>
    <row r="1887" spans="1:6" ht="12.5">
      <c r="A1887" s="2">
        <v>118</v>
      </c>
      <c r="B1887" s="2">
        <v>5234</v>
      </c>
      <c r="C1887" s="2">
        <v>5</v>
      </c>
      <c r="D1887" s="2">
        <v>9</v>
      </c>
      <c r="E1887" s="2">
        <v>1</v>
      </c>
      <c r="F1887" s="2">
        <v>3</v>
      </c>
    </row>
    <row r="1888" spans="1:6" ht="12.5">
      <c r="A1888" s="2">
        <v>781</v>
      </c>
      <c r="B1888" s="2">
        <v>10839</v>
      </c>
      <c r="C1888" s="2">
        <v>5</v>
      </c>
      <c r="D1888" s="2">
        <v>0</v>
      </c>
      <c r="E1888" s="2">
        <v>1</v>
      </c>
      <c r="F1888" s="2">
        <v>3</v>
      </c>
    </row>
    <row r="1889" spans="1:6" ht="12.5">
      <c r="A1889" s="2">
        <v>1667</v>
      </c>
      <c r="B1889" s="2">
        <v>7327</v>
      </c>
      <c r="C1889" s="2">
        <v>5</v>
      </c>
      <c r="D1889" s="2">
        <v>1</v>
      </c>
      <c r="E1889" s="2">
        <v>1</v>
      </c>
      <c r="F1889" s="2">
        <v>4</v>
      </c>
    </row>
    <row r="1890" spans="1:6" ht="12.5">
      <c r="A1890" s="2">
        <v>1746</v>
      </c>
      <c r="B1890" s="2">
        <v>10250</v>
      </c>
      <c r="C1890" s="2">
        <v>5</v>
      </c>
      <c r="D1890" s="2">
        <v>4</v>
      </c>
      <c r="E1890" s="2">
        <v>1</v>
      </c>
      <c r="F1890" s="2">
        <v>2</v>
      </c>
    </row>
    <row r="1891" spans="1:6" ht="12.5">
      <c r="A1891" s="2">
        <v>1901</v>
      </c>
      <c r="B1891" s="2">
        <v>10779</v>
      </c>
      <c r="C1891" s="2">
        <v>5</v>
      </c>
      <c r="D1891" s="2">
        <v>4</v>
      </c>
      <c r="E1891" s="2">
        <v>1</v>
      </c>
      <c r="F1891" s="2">
        <v>3</v>
      </c>
    </row>
    <row r="1892" spans="1:6" ht="12.5">
      <c r="A1892" s="2">
        <v>190</v>
      </c>
      <c r="B1892" s="2">
        <v>9733</v>
      </c>
      <c r="C1892" s="2">
        <v>4</v>
      </c>
      <c r="D1892" s="2">
        <v>0</v>
      </c>
      <c r="E1892" s="2">
        <v>1</v>
      </c>
      <c r="F1892" s="2">
        <v>2</v>
      </c>
    </row>
    <row r="1893" spans="1:6" ht="12.5">
      <c r="A1893" s="2">
        <v>233</v>
      </c>
      <c r="B1893" s="2">
        <v>9617</v>
      </c>
      <c r="C1893" s="2">
        <v>4</v>
      </c>
      <c r="D1893" s="2">
        <v>0</v>
      </c>
      <c r="E1893" s="2">
        <v>1</v>
      </c>
      <c r="F1893" s="2">
        <v>3</v>
      </c>
    </row>
    <row r="1894" spans="1:6" ht="12.5">
      <c r="A1894" s="2">
        <v>296</v>
      </c>
      <c r="B1894" s="2">
        <v>2874</v>
      </c>
      <c r="C1894" s="2">
        <v>4</v>
      </c>
      <c r="D1894" s="2">
        <v>3</v>
      </c>
      <c r="E1894" s="2">
        <v>1</v>
      </c>
      <c r="F1894" s="2">
        <v>3</v>
      </c>
    </row>
    <row r="1895" spans="1:6" ht="12.5">
      <c r="A1895" s="2">
        <v>370</v>
      </c>
      <c r="B1895" s="2">
        <v>5680</v>
      </c>
      <c r="C1895" s="2">
        <v>4</v>
      </c>
      <c r="D1895" s="2">
        <v>6</v>
      </c>
      <c r="E1895" s="2">
        <v>1</v>
      </c>
      <c r="F1895" s="2">
        <v>3</v>
      </c>
    </row>
    <row r="1896" spans="1:6" ht="12.5">
      <c r="A1896" s="2">
        <v>377</v>
      </c>
      <c r="B1896" s="2">
        <v>4459</v>
      </c>
      <c r="C1896" s="2">
        <v>4</v>
      </c>
      <c r="D1896" s="2">
        <v>4</v>
      </c>
      <c r="E1896" s="2">
        <v>1</v>
      </c>
      <c r="F1896" s="2">
        <v>3</v>
      </c>
    </row>
    <row r="1897" spans="1:6" ht="12.5">
      <c r="A1897" s="2">
        <v>440</v>
      </c>
      <c r="B1897" s="2">
        <v>5012</v>
      </c>
      <c r="C1897" s="2">
        <v>4</v>
      </c>
      <c r="D1897" s="2">
        <v>0</v>
      </c>
      <c r="E1897" s="2">
        <v>1</v>
      </c>
      <c r="F1897" s="2">
        <v>3</v>
      </c>
    </row>
    <row r="1898" spans="1:6" ht="12.5">
      <c r="A1898" s="2">
        <v>443</v>
      </c>
      <c r="B1898" s="2">
        <v>10642</v>
      </c>
      <c r="C1898" s="2">
        <v>4</v>
      </c>
      <c r="D1898" s="2">
        <v>4</v>
      </c>
      <c r="E1898" s="2">
        <v>1</v>
      </c>
      <c r="F1898" s="2">
        <v>3</v>
      </c>
    </row>
    <row r="1899" spans="1:6" ht="12.5">
      <c r="A1899" s="2">
        <v>525</v>
      </c>
      <c r="B1899" s="2">
        <v>2258</v>
      </c>
      <c r="C1899" s="2">
        <v>4</v>
      </c>
      <c r="D1899" s="2">
        <v>6</v>
      </c>
      <c r="E1899" s="2">
        <v>1</v>
      </c>
      <c r="F1899" s="2">
        <v>3</v>
      </c>
    </row>
    <row r="1900" spans="1:6" ht="12.5">
      <c r="A1900" s="2">
        <v>550</v>
      </c>
      <c r="B1900" s="2">
        <v>4279</v>
      </c>
      <c r="C1900" s="2">
        <v>4</v>
      </c>
      <c r="D1900" s="2">
        <v>4</v>
      </c>
      <c r="E1900" s="2">
        <v>1</v>
      </c>
      <c r="F1900" s="2">
        <v>3</v>
      </c>
    </row>
    <row r="1901" spans="1:6" ht="12.5">
      <c r="A1901" s="2">
        <v>608</v>
      </c>
      <c r="B1901" s="2">
        <v>2457</v>
      </c>
      <c r="C1901" s="2">
        <v>4</v>
      </c>
      <c r="D1901" s="2">
        <v>2</v>
      </c>
      <c r="E1901" s="2">
        <v>1</v>
      </c>
      <c r="F1901" s="2">
        <v>3</v>
      </c>
    </row>
    <row r="1902" spans="1:6" ht="12.5">
      <c r="A1902" s="2">
        <v>933</v>
      </c>
      <c r="B1902" s="2">
        <v>5692</v>
      </c>
      <c r="C1902" s="2">
        <v>4</v>
      </c>
      <c r="D1902" s="2">
        <v>9</v>
      </c>
      <c r="E1902" s="2">
        <v>1</v>
      </c>
      <c r="F1902" s="2">
        <v>3</v>
      </c>
    </row>
    <row r="1903" spans="1:6" ht="12.5">
      <c r="A1903" s="2">
        <v>1065</v>
      </c>
      <c r="B1903" s="2">
        <v>4415</v>
      </c>
      <c r="C1903" s="2">
        <v>4</v>
      </c>
      <c r="D1903" s="2">
        <v>3</v>
      </c>
      <c r="E1903" s="2">
        <v>1</v>
      </c>
      <c r="F1903" s="2">
        <v>3</v>
      </c>
    </row>
    <row r="1904" spans="1:6" ht="12.5">
      <c r="A1904" s="2">
        <v>1132</v>
      </c>
      <c r="B1904" s="2">
        <v>5961</v>
      </c>
      <c r="C1904" s="2">
        <v>4</v>
      </c>
      <c r="D1904" s="2">
        <v>3</v>
      </c>
      <c r="E1904" s="2">
        <v>1</v>
      </c>
      <c r="F1904" s="2">
        <v>3</v>
      </c>
    </row>
    <row r="1905" spans="1:6" ht="12.5">
      <c r="A1905" s="2">
        <v>1185</v>
      </c>
      <c r="B1905" s="2">
        <v>2292</v>
      </c>
      <c r="C1905" s="2">
        <v>4</v>
      </c>
      <c r="D1905" s="2">
        <v>0</v>
      </c>
      <c r="E1905" s="2">
        <v>1</v>
      </c>
      <c r="F1905" s="2">
        <v>3</v>
      </c>
    </row>
    <row r="1906" spans="1:6" ht="12.5">
      <c r="A1906" s="2">
        <v>1238</v>
      </c>
      <c r="B1906" s="2">
        <v>6918</v>
      </c>
      <c r="C1906" s="2">
        <v>4</v>
      </c>
      <c r="D1906" s="2">
        <v>0</v>
      </c>
      <c r="E1906" s="2">
        <v>1</v>
      </c>
      <c r="F1906" s="2">
        <v>3</v>
      </c>
    </row>
    <row r="1907" spans="1:6" ht="12.5">
      <c r="A1907" s="2">
        <v>1282</v>
      </c>
      <c r="B1907" s="2">
        <v>679</v>
      </c>
      <c r="C1907" s="2">
        <v>4</v>
      </c>
      <c r="D1907" s="2">
        <v>0</v>
      </c>
      <c r="E1907" s="2">
        <v>1</v>
      </c>
      <c r="F1907" s="2">
        <v>3</v>
      </c>
    </row>
    <row r="1908" spans="1:6" ht="12.5">
      <c r="A1908" s="2">
        <v>1344</v>
      </c>
      <c r="B1908" s="2">
        <v>5181</v>
      </c>
      <c r="C1908" s="2">
        <v>4</v>
      </c>
      <c r="D1908" s="2">
        <v>11</v>
      </c>
      <c r="E1908" s="2">
        <v>1</v>
      </c>
      <c r="F1908" s="2">
        <v>2</v>
      </c>
    </row>
    <row r="1909" spans="1:6" ht="12.5">
      <c r="A1909" s="2">
        <v>1367</v>
      </c>
      <c r="B1909" s="2">
        <v>3231</v>
      </c>
      <c r="C1909" s="2">
        <v>4</v>
      </c>
      <c r="D1909" s="2">
        <v>2</v>
      </c>
      <c r="E1909" s="2">
        <v>1</v>
      </c>
      <c r="F1909" s="2">
        <v>3</v>
      </c>
    </row>
    <row r="1910" spans="1:6" ht="12.5">
      <c r="A1910" s="2">
        <v>1382</v>
      </c>
      <c r="B1910" s="2">
        <v>2902</v>
      </c>
      <c r="C1910" s="2">
        <v>4</v>
      </c>
      <c r="D1910" s="2">
        <v>2</v>
      </c>
      <c r="E1910" s="2">
        <v>1</v>
      </c>
      <c r="F1910" s="2">
        <v>3</v>
      </c>
    </row>
    <row r="1911" spans="1:6" ht="12.5">
      <c r="A1911" s="2">
        <v>1393</v>
      </c>
      <c r="B1911" s="2">
        <v>5289</v>
      </c>
      <c r="C1911" s="2">
        <v>4</v>
      </c>
      <c r="D1911" s="2">
        <v>4</v>
      </c>
      <c r="E1911" s="2">
        <v>1</v>
      </c>
      <c r="F1911" s="2">
        <v>2</v>
      </c>
    </row>
    <row r="1912" spans="1:6" ht="12.5">
      <c r="A1912" s="2">
        <v>1483</v>
      </c>
      <c r="B1912" s="2">
        <v>5868</v>
      </c>
      <c r="C1912" s="2">
        <v>4</v>
      </c>
      <c r="D1912" s="2">
        <v>5</v>
      </c>
      <c r="E1912" s="2">
        <v>1</v>
      </c>
      <c r="F1912" s="2">
        <v>3</v>
      </c>
    </row>
    <row r="1913" spans="1:6" ht="12.5">
      <c r="A1913" s="2">
        <v>1573</v>
      </c>
      <c r="B1913" s="2">
        <v>8135</v>
      </c>
      <c r="C1913" s="2">
        <v>4</v>
      </c>
      <c r="D1913" s="2">
        <v>0</v>
      </c>
      <c r="E1913" s="2">
        <v>1</v>
      </c>
      <c r="F1913" s="2">
        <v>3</v>
      </c>
    </row>
    <row r="1914" spans="1:6" ht="12.5">
      <c r="A1914" s="2">
        <v>1752</v>
      </c>
      <c r="B1914" s="2">
        <v>3878</v>
      </c>
      <c r="C1914" s="2">
        <v>4</v>
      </c>
      <c r="D1914" s="2">
        <v>8</v>
      </c>
      <c r="E1914" s="2">
        <v>1</v>
      </c>
      <c r="F1914" s="2">
        <v>3</v>
      </c>
    </row>
    <row r="1915" spans="1:6" ht="12.5">
      <c r="A1915" s="2">
        <v>1896</v>
      </c>
      <c r="B1915" s="2">
        <v>8462</v>
      </c>
      <c r="C1915" s="2">
        <v>4</v>
      </c>
      <c r="D1915" s="2">
        <v>0</v>
      </c>
      <c r="E1915" s="2">
        <v>1</v>
      </c>
      <c r="F1915" s="2">
        <v>2</v>
      </c>
    </row>
    <row r="1916" spans="1:6" ht="12.5">
      <c r="A1916" s="2">
        <v>1909</v>
      </c>
      <c r="B1916" s="2">
        <v>5623</v>
      </c>
      <c r="C1916" s="2">
        <v>4</v>
      </c>
      <c r="D1916" s="2">
        <v>0</v>
      </c>
      <c r="E1916" s="2">
        <v>1</v>
      </c>
      <c r="F1916" s="2">
        <v>2</v>
      </c>
    </row>
    <row r="1917" spans="1:6" ht="12.5">
      <c r="A1917" s="2">
        <v>1920</v>
      </c>
      <c r="B1917" s="2">
        <v>2546</v>
      </c>
      <c r="C1917" s="2">
        <v>4</v>
      </c>
      <c r="D1917" s="2">
        <v>5</v>
      </c>
      <c r="E1917" s="2">
        <v>1</v>
      </c>
      <c r="F1917" s="2">
        <v>4</v>
      </c>
    </row>
    <row r="1918" spans="1:6" ht="12.5">
      <c r="A1918" s="2">
        <v>1925</v>
      </c>
      <c r="B1918" s="2">
        <v>3112</v>
      </c>
      <c r="C1918" s="2">
        <v>4</v>
      </c>
      <c r="D1918" s="2">
        <v>4</v>
      </c>
      <c r="E1918" s="2">
        <v>1</v>
      </c>
      <c r="F1918" s="2">
        <v>3</v>
      </c>
    </row>
    <row r="1919" spans="1:6" ht="12.5">
      <c r="A1919" s="2">
        <v>1935</v>
      </c>
      <c r="B1919" s="2">
        <v>1403</v>
      </c>
      <c r="C1919" s="2">
        <v>4</v>
      </c>
      <c r="D1919" s="2">
        <v>5</v>
      </c>
      <c r="E1919" s="2">
        <v>1</v>
      </c>
      <c r="F1919" s="2">
        <v>3</v>
      </c>
    </row>
    <row r="1920" spans="1:6" ht="12.5">
      <c r="A1920" s="2">
        <v>2169</v>
      </c>
      <c r="B1920" s="2">
        <v>4548</v>
      </c>
      <c r="C1920" s="2">
        <v>4</v>
      </c>
      <c r="D1920" s="2">
        <v>2</v>
      </c>
      <c r="E1920" s="2">
        <v>1</v>
      </c>
      <c r="F1920" s="2">
        <v>3</v>
      </c>
    </row>
    <row r="1921" spans="1:6" ht="12.5">
      <c r="A1921" s="2">
        <v>2214</v>
      </c>
      <c r="B1921" s="2">
        <v>9303</v>
      </c>
      <c r="C1921" s="2">
        <v>4</v>
      </c>
      <c r="D1921" s="2">
        <v>3</v>
      </c>
      <c r="E1921" s="2">
        <v>1</v>
      </c>
      <c r="F1921" s="2">
        <v>0</v>
      </c>
    </row>
    <row r="1922" spans="1:6" ht="12.5">
      <c r="A1922" s="2">
        <v>65</v>
      </c>
      <c r="B1922" s="2">
        <v>8082</v>
      </c>
      <c r="C1922" s="2">
        <v>3</v>
      </c>
      <c r="D1922" s="2">
        <v>6</v>
      </c>
      <c r="E1922" s="2">
        <v>1</v>
      </c>
      <c r="F1922" s="2">
        <v>2</v>
      </c>
    </row>
    <row r="1923" spans="1:6" ht="12.5">
      <c r="A1923" s="2">
        <v>105</v>
      </c>
      <c r="B1923" s="2">
        <v>8373</v>
      </c>
      <c r="C1923" s="2">
        <v>3</v>
      </c>
      <c r="D1923" s="2">
        <v>0</v>
      </c>
      <c r="E1923" s="2">
        <v>1</v>
      </c>
      <c r="F1923" s="2">
        <v>3</v>
      </c>
    </row>
    <row r="1924" spans="1:6" ht="12.5">
      <c r="A1924" s="2">
        <v>170</v>
      </c>
      <c r="B1924" s="2">
        <v>5610</v>
      </c>
      <c r="C1924" s="2">
        <v>3</v>
      </c>
      <c r="D1924" s="2">
        <v>1</v>
      </c>
      <c r="E1924" s="2">
        <v>1</v>
      </c>
      <c r="F1924" s="2">
        <v>3</v>
      </c>
    </row>
    <row r="1925" spans="1:6" ht="12.5">
      <c r="A1925" s="2">
        <v>251</v>
      </c>
      <c r="B1925" s="2">
        <v>6340</v>
      </c>
      <c r="C1925" s="2">
        <v>3</v>
      </c>
      <c r="D1925" s="2">
        <v>2</v>
      </c>
      <c r="E1925" s="2">
        <v>1</v>
      </c>
      <c r="F1925" s="2">
        <v>3</v>
      </c>
    </row>
    <row r="1926" spans="1:6" ht="12.5">
      <c r="A1926" s="2">
        <v>321</v>
      </c>
      <c r="B1926" s="2">
        <v>520</v>
      </c>
      <c r="C1926" s="2">
        <v>3</v>
      </c>
      <c r="D1926" s="2">
        <v>2</v>
      </c>
      <c r="E1926" s="2">
        <v>1</v>
      </c>
      <c r="F1926" s="2">
        <v>2</v>
      </c>
    </row>
    <row r="1927" spans="1:6" ht="12.5">
      <c r="A1927" s="2">
        <v>476</v>
      </c>
      <c r="B1927" s="2">
        <v>916</v>
      </c>
      <c r="C1927" s="2">
        <v>3</v>
      </c>
      <c r="D1927" s="2">
        <v>0</v>
      </c>
      <c r="E1927" s="2">
        <v>1</v>
      </c>
      <c r="F1927" s="2">
        <v>3</v>
      </c>
    </row>
    <row r="1928" spans="1:6" ht="12.5">
      <c r="A1928" s="2">
        <v>710</v>
      </c>
      <c r="B1928" s="2">
        <v>1940</v>
      </c>
      <c r="C1928" s="2">
        <v>3</v>
      </c>
      <c r="D1928" s="2">
        <v>2</v>
      </c>
      <c r="E1928" s="2">
        <v>1</v>
      </c>
      <c r="F1928" s="2">
        <v>2</v>
      </c>
    </row>
    <row r="1929" spans="1:6" ht="12.5">
      <c r="A1929" s="2">
        <v>748</v>
      </c>
      <c r="B1929" s="2">
        <v>2281</v>
      </c>
      <c r="C1929" s="2">
        <v>3</v>
      </c>
      <c r="D1929" s="2">
        <v>3</v>
      </c>
      <c r="E1929" s="2">
        <v>1</v>
      </c>
      <c r="F1929" s="2">
        <v>2</v>
      </c>
    </row>
    <row r="1930" spans="1:6" ht="12.5">
      <c r="A1930" s="2">
        <v>782</v>
      </c>
      <c r="B1930" s="2">
        <v>49</v>
      </c>
      <c r="C1930" s="2">
        <v>3</v>
      </c>
      <c r="D1930" s="2">
        <v>1</v>
      </c>
      <c r="E1930" s="2">
        <v>1</v>
      </c>
      <c r="F1930" s="2">
        <v>2</v>
      </c>
    </row>
    <row r="1931" spans="1:6" ht="12.5">
      <c r="A1931" s="2">
        <v>783</v>
      </c>
      <c r="B1931" s="2">
        <v>4290</v>
      </c>
      <c r="C1931" s="2">
        <v>3</v>
      </c>
      <c r="D1931" s="2">
        <v>5</v>
      </c>
      <c r="E1931" s="2">
        <v>1</v>
      </c>
      <c r="F1931" s="2">
        <v>2</v>
      </c>
    </row>
    <row r="1932" spans="1:6" ht="12.5">
      <c r="A1932" s="2">
        <v>1018</v>
      </c>
      <c r="B1932" s="2">
        <v>3158</v>
      </c>
      <c r="C1932" s="2">
        <v>3</v>
      </c>
      <c r="D1932" s="2">
        <v>5</v>
      </c>
      <c r="E1932" s="2">
        <v>1</v>
      </c>
      <c r="F1932" s="2">
        <v>3</v>
      </c>
    </row>
    <row r="1933" spans="1:6" ht="12.5">
      <c r="A1933" s="2">
        <v>1038</v>
      </c>
      <c r="B1933" s="2">
        <v>6019</v>
      </c>
      <c r="C1933" s="2">
        <v>3</v>
      </c>
      <c r="D1933" s="2">
        <v>4</v>
      </c>
      <c r="E1933" s="2">
        <v>1</v>
      </c>
      <c r="F1933" s="2">
        <v>2</v>
      </c>
    </row>
    <row r="1934" spans="1:6" ht="12.5">
      <c r="A1934" s="2">
        <v>1431</v>
      </c>
      <c r="B1934" s="2">
        <v>10033</v>
      </c>
      <c r="C1934" s="2">
        <v>3</v>
      </c>
      <c r="D1934" s="2">
        <v>2</v>
      </c>
      <c r="E1934" s="2">
        <v>1</v>
      </c>
      <c r="F1934" s="2">
        <v>3</v>
      </c>
    </row>
    <row r="1935" spans="1:6" ht="12.5">
      <c r="A1935" s="2">
        <v>1470</v>
      </c>
      <c r="B1935" s="2">
        <v>9672</v>
      </c>
      <c r="C1935" s="2">
        <v>3</v>
      </c>
      <c r="D1935" s="2">
        <v>4</v>
      </c>
      <c r="E1935" s="2">
        <v>1</v>
      </c>
      <c r="F1935" s="2">
        <v>3</v>
      </c>
    </row>
    <row r="1936" spans="1:6" ht="12.5">
      <c r="A1936" s="2">
        <v>1482</v>
      </c>
      <c r="B1936" s="2">
        <v>3102</v>
      </c>
      <c r="C1936" s="2">
        <v>3</v>
      </c>
      <c r="D1936" s="2">
        <v>5</v>
      </c>
      <c r="E1936" s="2">
        <v>1</v>
      </c>
      <c r="F1936" s="2">
        <v>3</v>
      </c>
    </row>
    <row r="1937" spans="1:6" ht="12.5">
      <c r="A1937" s="2">
        <v>1501</v>
      </c>
      <c r="B1937" s="2">
        <v>5751</v>
      </c>
      <c r="C1937" s="2">
        <v>3</v>
      </c>
      <c r="D1937" s="2">
        <v>2</v>
      </c>
      <c r="E1937" s="2">
        <v>1</v>
      </c>
      <c r="F1937" s="2">
        <v>3</v>
      </c>
    </row>
    <row r="1938" spans="1:6" ht="12.5">
      <c r="A1938" s="2">
        <v>1562</v>
      </c>
      <c r="B1938" s="2">
        <v>9530</v>
      </c>
      <c r="C1938" s="2">
        <v>3</v>
      </c>
      <c r="D1938" s="2">
        <v>1</v>
      </c>
      <c r="E1938" s="2">
        <v>1</v>
      </c>
      <c r="F1938" s="2">
        <v>2</v>
      </c>
    </row>
    <row r="1939" spans="1:6" ht="12.5">
      <c r="A1939" s="2">
        <v>1643</v>
      </c>
      <c r="B1939" s="2">
        <v>3829</v>
      </c>
      <c r="C1939" s="2">
        <v>3</v>
      </c>
      <c r="D1939" s="2">
        <v>0</v>
      </c>
      <c r="E1939" s="2">
        <v>1</v>
      </c>
      <c r="F1939" s="2">
        <v>3</v>
      </c>
    </row>
    <row r="1940" spans="1:6" ht="12.5">
      <c r="A1940" s="2">
        <v>1884</v>
      </c>
      <c r="B1940" s="2">
        <v>7679</v>
      </c>
      <c r="C1940" s="2">
        <v>3</v>
      </c>
      <c r="D1940" s="2">
        <v>1</v>
      </c>
      <c r="E1940" s="2">
        <v>1</v>
      </c>
      <c r="F1940" s="2">
        <v>3</v>
      </c>
    </row>
    <row r="1941" spans="1:6" ht="12.5">
      <c r="A1941" s="2">
        <v>2027</v>
      </c>
      <c r="B1941" s="2">
        <v>153</v>
      </c>
      <c r="C1941" s="2">
        <v>3</v>
      </c>
      <c r="D1941" s="2">
        <v>2</v>
      </c>
      <c r="E1941" s="2">
        <v>1</v>
      </c>
      <c r="F1941" s="2">
        <v>3</v>
      </c>
    </row>
    <row r="1942" spans="1:6" ht="12.5">
      <c r="A1942" s="2">
        <v>2069</v>
      </c>
      <c r="B1942" s="2">
        <v>1655</v>
      </c>
      <c r="C1942" s="2">
        <v>3</v>
      </c>
      <c r="D1942" s="2">
        <v>1</v>
      </c>
      <c r="E1942" s="2">
        <v>1</v>
      </c>
      <c r="F1942" s="2">
        <v>3</v>
      </c>
    </row>
    <row r="1943" spans="1:6" ht="12.5">
      <c r="A1943" s="2">
        <v>2102</v>
      </c>
      <c r="B1943" s="2">
        <v>1241</v>
      </c>
      <c r="C1943" s="2">
        <v>3</v>
      </c>
      <c r="D1943" s="2">
        <v>4</v>
      </c>
      <c r="E1943" s="2">
        <v>1</v>
      </c>
      <c r="F1943" s="2">
        <v>3</v>
      </c>
    </row>
    <row r="1944" spans="1:6" ht="12.5">
      <c r="A1944" s="2">
        <v>2137</v>
      </c>
      <c r="B1944" s="2">
        <v>4973</v>
      </c>
      <c r="C1944" s="2">
        <v>3</v>
      </c>
      <c r="D1944" s="2">
        <v>1</v>
      </c>
      <c r="E1944" s="2">
        <v>1</v>
      </c>
      <c r="F1944" s="2">
        <v>2</v>
      </c>
    </row>
    <row r="1945" spans="1:6" ht="12.5">
      <c r="A1945" s="2">
        <v>2164</v>
      </c>
      <c r="B1945" s="2">
        <v>7600</v>
      </c>
      <c r="C1945" s="2">
        <v>3</v>
      </c>
      <c r="D1945" s="2">
        <v>1</v>
      </c>
      <c r="E1945" s="2">
        <v>1</v>
      </c>
      <c r="F1945" s="2">
        <v>3</v>
      </c>
    </row>
    <row r="1946" spans="1:6" ht="12.5">
      <c r="A1946" s="2">
        <v>2208</v>
      </c>
      <c r="B1946" s="2">
        <v>3850</v>
      </c>
      <c r="C1946" s="2">
        <v>3</v>
      </c>
      <c r="D1946" s="2">
        <v>4</v>
      </c>
      <c r="E1946" s="2">
        <v>1</v>
      </c>
      <c r="F1946" s="2">
        <v>3</v>
      </c>
    </row>
    <row r="1947" spans="1:6" ht="12.5">
      <c r="A1947" s="2">
        <v>2234</v>
      </c>
      <c r="B1947" s="2">
        <v>8372</v>
      </c>
      <c r="C1947" s="2">
        <v>3</v>
      </c>
      <c r="D1947" s="2">
        <v>2</v>
      </c>
      <c r="E1947" s="2">
        <v>1</v>
      </c>
      <c r="F1947" s="2">
        <v>2</v>
      </c>
    </row>
    <row r="1948" spans="1:6" ht="12.5">
      <c r="A1948" s="2">
        <v>93</v>
      </c>
      <c r="B1948" s="2">
        <v>11178</v>
      </c>
      <c r="C1948" s="2">
        <v>2</v>
      </c>
      <c r="D1948" s="2">
        <v>1</v>
      </c>
      <c r="E1948" s="2">
        <v>1</v>
      </c>
      <c r="F1948" s="2">
        <v>3</v>
      </c>
    </row>
    <row r="1949" spans="1:6" ht="12.5">
      <c r="A1949" s="2">
        <v>260</v>
      </c>
      <c r="B1949" s="2">
        <v>10264</v>
      </c>
      <c r="C1949" s="2">
        <v>2</v>
      </c>
      <c r="D1949" s="2">
        <v>3</v>
      </c>
      <c r="E1949" s="2">
        <v>1</v>
      </c>
      <c r="F1949" s="2">
        <v>2</v>
      </c>
    </row>
    <row r="1950" spans="1:6" ht="12.5">
      <c r="A1950" s="2">
        <v>331</v>
      </c>
      <c r="B1950" s="2">
        <v>663</v>
      </c>
      <c r="C1950" s="2">
        <v>2</v>
      </c>
      <c r="D1950" s="2">
        <v>0</v>
      </c>
      <c r="E1950" s="2">
        <v>1</v>
      </c>
      <c r="F1950" s="2">
        <v>3</v>
      </c>
    </row>
    <row r="1951" spans="1:6" ht="12.5">
      <c r="A1951" s="2">
        <v>337</v>
      </c>
      <c r="B1951" s="2">
        <v>4099</v>
      </c>
      <c r="C1951" s="2">
        <v>2</v>
      </c>
      <c r="D1951" s="2">
        <v>2</v>
      </c>
      <c r="E1951" s="2">
        <v>1</v>
      </c>
      <c r="F1951" s="2">
        <v>3</v>
      </c>
    </row>
    <row r="1952" spans="1:6" ht="12.5">
      <c r="A1952" s="2">
        <v>397</v>
      </c>
      <c r="B1952" s="2">
        <v>6354</v>
      </c>
      <c r="C1952" s="2">
        <v>2</v>
      </c>
      <c r="D1952" s="2">
        <v>2</v>
      </c>
      <c r="E1952" s="2">
        <v>1</v>
      </c>
      <c r="F1952" s="2">
        <v>2</v>
      </c>
    </row>
    <row r="1953" spans="1:6" ht="12.5">
      <c r="A1953" s="2">
        <v>422</v>
      </c>
      <c r="B1953" s="2">
        <v>6528</v>
      </c>
      <c r="C1953" s="2">
        <v>2</v>
      </c>
      <c r="D1953" s="2">
        <v>1</v>
      </c>
      <c r="E1953" s="2">
        <v>1</v>
      </c>
      <c r="F1953" s="2">
        <v>2</v>
      </c>
    </row>
    <row r="1954" spans="1:6" ht="12.5">
      <c r="A1954" s="2">
        <v>428</v>
      </c>
      <c r="B1954" s="2">
        <v>5987</v>
      </c>
      <c r="C1954" s="2">
        <v>2</v>
      </c>
      <c r="D1954" s="2">
        <v>6</v>
      </c>
      <c r="E1954" s="2">
        <v>1</v>
      </c>
      <c r="F1954" s="2">
        <v>4</v>
      </c>
    </row>
    <row r="1955" spans="1:6" ht="12.5">
      <c r="A1955" s="2">
        <v>500</v>
      </c>
      <c r="B1955" s="2">
        <v>9135</v>
      </c>
      <c r="C1955" s="2">
        <v>2</v>
      </c>
      <c r="D1955" s="2">
        <v>0</v>
      </c>
      <c r="E1955" s="2">
        <v>1</v>
      </c>
      <c r="F1955" s="2">
        <v>2</v>
      </c>
    </row>
    <row r="1956" spans="1:6" ht="12.5">
      <c r="A1956" s="2">
        <v>653</v>
      </c>
      <c r="B1956" s="2">
        <v>4725</v>
      </c>
      <c r="C1956" s="2">
        <v>2</v>
      </c>
      <c r="D1956" s="2">
        <v>1</v>
      </c>
      <c r="E1956" s="2">
        <v>1</v>
      </c>
      <c r="F1956" s="2">
        <v>4</v>
      </c>
    </row>
    <row r="1957" spans="1:6" ht="12.5">
      <c r="A1957" s="2">
        <v>696</v>
      </c>
      <c r="B1957" s="2">
        <v>8315</v>
      </c>
      <c r="C1957" s="2">
        <v>2</v>
      </c>
      <c r="D1957" s="2">
        <v>0</v>
      </c>
      <c r="E1957" s="2">
        <v>1</v>
      </c>
      <c r="F1957" s="2">
        <v>2</v>
      </c>
    </row>
    <row r="1958" spans="1:6" ht="12.5">
      <c r="A1958" s="2">
        <v>719</v>
      </c>
      <c r="B1958" s="2">
        <v>1463</v>
      </c>
      <c r="C1958" s="2">
        <v>2</v>
      </c>
      <c r="D1958" s="2">
        <v>0</v>
      </c>
      <c r="E1958" s="2">
        <v>1</v>
      </c>
      <c r="F1958" s="2">
        <v>2</v>
      </c>
    </row>
    <row r="1959" spans="1:6" ht="12.5">
      <c r="A1959" s="2">
        <v>784</v>
      </c>
      <c r="B1959" s="2">
        <v>10219</v>
      </c>
      <c r="C1959" s="2">
        <v>2</v>
      </c>
      <c r="D1959" s="2">
        <v>6</v>
      </c>
      <c r="E1959" s="2">
        <v>1</v>
      </c>
      <c r="F1959" s="2">
        <v>3</v>
      </c>
    </row>
    <row r="1960" spans="1:6" ht="12.5">
      <c r="A1960" s="2">
        <v>816</v>
      </c>
      <c r="B1960" s="2">
        <v>2986</v>
      </c>
      <c r="C1960" s="2">
        <v>2</v>
      </c>
      <c r="D1960" s="2">
        <v>1</v>
      </c>
      <c r="E1960" s="2">
        <v>1</v>
      </c>
      <c r="F1960" s="2">
        <v>2</v>
      </c>
    </row>
    <row r="1961" spans="1:6" ht="12.5">
      <c r="A1961" s="2">
        <v>858</v>
      </c>
      <c r="B1961" s="2">
        <v>3007</v>
      </c>
      <c r="C1961" s="2">
        <v>2</v>
      </c>
      <c r="D1961" s="2">
        <v>0</v>
      </c>
      <c r="E1961" s="2">
        <v>1</v>
      </c>
      <c r="F1961" s="2">
        <v>3</v>
      </c>
    </row>
    <row r="1962" spans="1:6" ht="12.5">
      <c r="A1962" s="2">
        <v>995</v>
      </c>
      <c r="B1962" s="2">
        <v>5184</v>
      </c>
      <c r="C1962" s="2">
        <v>2</v>
      </c>
      <c r="D1962" s="2">
        <v>0</v>
      </c>
      <c r="E1962" s="2">
        <v>1</v>
      </c>
      <c r="F1962" s="2">
        <v>2</v>
      </c>
    </row>
    <row r="1963" spans="1:6" ht="12.5">
      <c r="A1963" s="2">
        <v>1053</v>
      </c>
      <c r="B1963" s="2">
        <v>5740</v>
      </c>
      <c r="C1963" s="2">
        <v>2</v>
      </c>
      <c r="D1963" s="2">
        <v>5</v>
      </c>
      <c r="E1963" s="2">
        <v>1</v>
      </c>
      <c r="F1963" s="2">
        <v>2</v>
      </c>
    </row>
    <row r="1964" spans="1:6" ht="12.5">
      <c r="A1964" s="2">
        <v>1068</v>
      </c>
      <c r="B1964" s="2">
        <v>4817</v>
      </c>
      <c r="C1964" s="2">
        <v>2</v>
      </c>
      <c r="D1964" s="2">
        <v>4</v>
      </c>
      <c r="E1964" s="2">
        <v>1</v>
      </c>
      <c r="F1964" s="2">
        <v>2</v>
      </c>
    </row>
    <row r="1965" spans="1:6" ht="12.5">
      <c r="A1965" s="2">
        <v>1079</v>
      </c>
      <c r="B1965" s="2">
        <v>3081</v>
      </c>
      <c r="C1965" s="2">
        <v>2</v>
      </c>
      <c r="D1965" s="2">
        <v>0</v>
      </c>
      <c r="E1965" s="2">
        <v>1</v>
      </c>
      <c r="F1965" s="2">
        <v>2</v>
      </c>
    </row>
    <row r="1966" spans="1:6" ht="12.5">
      <c r="A1966" s="2">
        <v>1116</v>
      </c>
      <c r="B1966" s="2">
        <v>3885</v>
      </c>
      <c r="C1966" s="2">
        <v>2</v>
      </c>
      <c r="D1966" s="2">
        <v>0</v>
      </c>
      <c r="E1966" s="2">
        <v>1</v>
      </c>
      <c r="F1966" s="2">
        <v>2</v>
      </c>
    </row>
    <row r="1967" spans="1:6" ht="12.5">
      <c r="A1967" s="2">
        <v>1152</v>
      </c>
      <c r="B1967" s="2">
        <v>10710</v>
      </c>
      <c r="C1967" s="2">
        <v>2</v>
      </c>
      <c r="D1967" s="2">
        <v>0</v>
      </c>
      <c r="E1967" s="2">
        <v>1</v>
      </c>
      <c r="F1967" s="2">
        <v>2</v>
      </c>
    </row>
    <row r="1968" spans="1:6" ht="12.5">
      <c r="A1968" s="2">
        <v>1186</v>
      </c>
      <c r="B1968" s="2">
        <v>10466</v>
      </c>
      <c r="C1968" s="2">
        <v>2</v>
      </c>
      <c r="D1968" s="2">
        <v>2</v>
      </c>
      <c r="E1968" s="2">
        <v>1</v>
      </c>
      <c r="F1968" s="2">
        <v>4</v>
      </c>
    </row>
    <row r="1969" spans="1:6" ht="12.5">
      <c r="A1969" s="2">
        <v>1189</v>
      </c>
      <c r="B1969" s="2">
        <v>5231</v>
      </c>
      <c r="C1969" s="2">
        <v>2</v>
      </c>
      <c r="D1969" s="2">
        <v>2</v>
      </c>
      <c r="E1969" s="2">
        <v>1</v>
      </c>
      <c r="F1969" s="2">
        <v>3</v>
      </c>
    </row>
    <row r="1970" spans="1:6" ht="12.5">
      <c r="A1970" s="2">
        <v>1203</v>
      </c>
      <c r="B1970" s="2">
        <v>234</v>
      </c>
      <c r="C1970" s="2">
        <v>2</v>
      </c>
      <c r="D1970" s="2">
        <v>3</v>
      </c>
      <c r="E1970" s="2">
        <v>1</v>
      </c>
      <c r="F1970" s="2">
        <v>2</v>
      </c>
    </row>
    <row r="1971" spans="1:6" ht="12.5">
      <c r="A1971" s="2">
        <v>1276</v>
      </c>
      <c r="B1971" s="2">
        <v>2296</v>
      </c>
      <c r="C1971" s="2">
        <v>2</v>
      </c>
      <c r="D1971" s="2">
        <v>2</v>
      </c>
      <c r="E1971" s="2">
        <v>1</v>
      </c>
      <c r="F1971" s="2">
        <v>2</v>
      </c>
    </row>
    <row r="1972" spans="1:6" ht="12.5">
      <c r="A1972" s="2">
        <v>1285</v>
      </c>
      <c r="B1972" s="2">
        <v>5267</v>
      </c>
      <c r="C1972" s="2">
        <v>2</v>
      </c>
      <c r="D1972" s="2">
        <v>1</v>
      </c>
      <c r="E1972" s="2">
        <v>1</v>
      </c>
      <c r="F1972" s="2">
        <v>3</v>
      </c>
    </row>
    <row r="1973" spans="1:6" ht="12.5">
      <c r="A1973" s="2">
        <v>1287</v>
      </c>
      <c r="B1973" s="2">
        <v>2516</v>
      </c>
      <c r="C1973" s="2">
        <v>2</v>
      </c>
      <c r="D1973" s="2">
        <v>4</v>
      </c>
      <c r="E1973" s="2">
        <v>1</v>
      </c>
      <c r="F1973" s="2">
        <v>2</v>
      </c>
    </row>
    <row r="1974" spans="1:6" ht="12.5">
      <c r="A1974" s="2">
        <v>1290</v>
      </c>
      <c r="B1974" s="2">
        <v>4808</v>
      </c>
      <c r="C1974" s="2">
        <v>2</v>
      </c>
      <c r="D1974" s="2">
        <v>0</v>
      </c>
      <c r="E1974" s="2">
        <v>1</v>
      </c>
      <c r="F1974" s="2">
        <v>2</v>
      </c>
    </row>
    <row r="1975" spans="1:6" ht="12.5">
      <c r="A1975" s="2">
        <v>1317</v>
      </c>
      <c r="B1975" s="2">
        <v>4937</v>
      </c>
      <c r="C1975" s="2">
        <v>2</v>
      </c>
      <c r="D1975" s="2">
        <v>2</v>
      </c>
      <c r="E1975" s="2">
        <v>1</v>
      </c>
      <c r="F1975" s="2">
        <v>3</v>
      </c>
    </row>
    <row r="1976" spans="1:6" ht="12.5">
      <c r="A1976" s="2">
        <v>1319</v>
      </c>
      <c r="B1976" s="2">
        <v>8749</v>
      </c>
      <c r="C1976" s="2">
        <v>2</v>
      </c>
      <c r="D1976" s="2">
        <v>6</v>
      </c>
      <c r="E1976" s="2">
        <v>1</v>
      </c>
      <c r="F1976" s="2">
        <v>2</v>
      </c>
    </row>
    <row r="1977" spans="1:6" ht="12.5">
      <c r="A1977" s="2">
        <v>1435</v>
      </c>
      <c r="B1977" s="2">
        <v>922</v>
      </c>
      <c r="C1977" s="2">
        <v>2</v>
      </c>
      <c r="D1977" s="2">
        <v>0</v>
      </c>
      <c r="E1977" s="2">
        <v>1</v>
      </c>
      <c r="F1977" s="2">
        <v>2</v>
      </c>
    </row>
    <row r="1978" spans="1:6" ht="12.5">
      <c r="A1978" s="2">
        <v>1664</v>
      </c>
      <c r="B1978" s="2">
        <v>8299</v>
      </c>
      <c r="C1978" s="2">
        <v>2</v>
      </c>
      <c r="D1978" s="2">
        <v>0</v>
      </c>
      <c r="E1978" s="2">
        <v>1</v>
      </c>
      <c r="F1978" s="2">
        <v>3</v>
      </c>
    </row>
    <row r="1979" spans="1:6" ht="12.5">
      <c r="A1979" s="2">
        <v>1712</v>
      </c>
      <c r="B1979" s="2">
        <v>2202</v>
      </c>
      <c r="C1979" s="2">
        <v>2</v>
      </c>
      <c r="D1979" s="2">
        <v>3</v>
      </c>
      <c r="E1979" s="2">
        <v>1</v>
      </c>
      <c r="F1979" s="2">
        <v>4</v>
      </c>
    </row>
    <row r="1980" spans="1:6" ht="12.5">
      <c r="A1980" s="2">
        <v>1720</v>
      </c>
      <c r="B1980" s="2">
        <v>6742</v>
      </c>
      <c r="C1980" s="2">
        <v>2</v>
      </c>
      <c r="D1980" s="2">
        <v>1</v>
      </c>
      <c r="E1980" s="2">
        <v>1</v>
      </c>
      <c r="F1980" s="2">
        <v>2</v>
      </c>
    </row>
    <row r="1981" spans="1:6" ht="12.5">
      <c r="A1981" s="2">
        <v>1732</v>
      </c>
      <c r="B1981" s="2">
        <v>4351</v>
      </c>
      <c r="C1981" s="2">
        <v>2</v>
      </c>
      <c r="D1981" s="2">
        <v>0</v>
      </c>
      <c r="E1981" s="2">
        <v>1</v>
      </c>
      <c r="F1981" s="2">
        <v>2</v>
      </c>
    </row>
    <row r="1982" spans="1:6" ht="12.5">
      <c r="A1982" s="2">
        <v>1810</v>
      </c>
      <c r="B1982" s="2">
        <v>5513</v>
      </c>
      <c r="C1982" s="2">
        <v>2</v>
      </c>
      <c r="D1982" s="2">
        <v>0</v>
      </c>
      <c r="E1982" s="2">
        <v>1</v>
      </c>
      <c r="F1982" s="2">
        <v>3</v>
      </c>
    </row>
    <row r="1983" spans="1:6" ht="12.5">
      <c r="A1983" s="2">
        <v>1867</v>
      </c>
      <c r="B1983" s="2">
        <v>9467</v>
      </c>
      <c r="C1983" s="2">
        <v>2</v>
      </c>
      <c r="D1983" s="2">
        <v>0</v>
      </c>
      <c r="E1983" s="2">
        <v>1</v>
      </c>
      <c r="F1983" s="2">
        <v>3</v>
      </c>
    </row>
    <row r="1984" spans="1:6" ht="12.5">
      <c r="A1984" s="2">
        <v>1939</v>
      </c>
      <c r="B1984" s="2">
        <v>2478</v>
      </c>
      <c r="C1984" s="2">
        <v>2</v>
      </c>
      <c r="D1984" s="2">
        <v>13</v>
      </c>
      <c r="E1984" s="2">
        <v>1</v>
      </c>
      <c r="F1984" s="2">
        <v>4</v>
      </c>
    </row>
    <row r="1985" spans="1:6" ht="12.5">
      <c r="A1985" s="2">
        <v>1979</v>
      </c>
      <c r="B1985" s="2">
        <v>10913</v>
      </c>
      <c r="C1985" s="2">
        <v>2</v>
      </c>
      <c r="D1985" s="2">
        <v>1</v>
      </c>
      <c r="E1985" s="2">
        <v>1</v>
      </c>
      <c r="F1985" s="2">
        <v>2</v>
      </c>
    </row>
    <row r="1986" spans="1:6" ht="12.5">
      <c r="A1986" s="2">
        <v>1994</v>
      </c>
      <c r="B1986" s="2">
        <v>4547</v>
      </c>
      <c r="C1986" s="2">
        <v>2</v>
      </c>
      <c r="D1986" s="2">
        <v>1</v>
      </c>
      <c r="E1986" s="2">
        <v>1</v>
      </c>
      <c r="F1986" s="2">
        <v>3</v>
      </c>
    </row>
    <row r="1987" spans="1:6" ht="12.5">
      <c r="A1987" s="2">
        <v>2000</v>
      </c>
      <c r="B1987" s="2">
        <v>4860</v>
      </c>
      <c r="C1987" s="2">
        <v>2</v>
      </c>
      <c r="D1987" s="2">
        <v>2</v>
      </c>
      <c r="E1987" s="2">
        <v>1</v>
      </c>
      <c r="F1987" s="2">
        <v>3</v>
      </c>
    </row>
    <row r="1988" spans="1:6" ht="12.5">
      <c r="A1988" s="2">
        <v>2001</v>
      </c>
      <c r="B1988" s="2">
        <v>10757</v>
      </c>
      <c r="C1988" s="2">
        <v>2</v>
      </c>
      <c r="D1988" s="2">
        <v>0</v>
      </c>
      <c r="E1988" s="2">
        <v>1</v>
      </c>
      <c r="F1988" s="2">
        <v>2</v>
      </c>
    </row>
    <row r="1989" spans="1:6" ht="12.5">
      <c r="A1989" s="2">
        <v>2050</v>
      </c>
      <c r="B1989" s="2">
        <v>626</v>
      </c>
      <c r="C1989" s="2">
        <v>2</v>
      </c>
      <c r="D1989" s="2">
        <v>2</v>
      </c>
      <c r="E1989" s="2">
        <v>1</v>
      </c>
      <c r="F1989" s="2">
        <v>3</v>
      </c>
    </row>
    <row r="1990" spans="1:6" ht="12.5">
      <c r="A1990" s="2">
        <v>2112</v>
      </c>
      <c r="B1990" s="2">
        <v>11091</v>
      </c>
      <c r="C1990" s="2">
        <v>2</v>
      </c>
      <c r="D1990" s="2">
        <v>0</v>
      </c>
      <c r="E1990" s="2">
        <v>1</v>
      </c>
      <c r="F1990" s="2">
        <v>3</v>
      </c>
    </row>
    <row r="1991" spans="1:6" ht="12.5">
      <c r="A1991" s="2">
        <v>2157</v>
      </c>
      <c r="B1991" s="2">
        <v>1515</v>
      </c>
      <c r="C1991" s="2">
        <v>2</v>
      </c>
      <c r="D1991" s="2">
        <v>2</v>
      </c>
      <c r="E1991" s="2">
        <v>1</v>
      </c>
      <c r="F1991" s="2">
        <v>3</v>
      </c>
    </row>
    <row r="1992" spans="1:6" ht="12.5">
      <c r="A1992" s="2">
        <v>2215</v>
      </c>
      <c r="B1992" s="2">
        <v>692</v>
      </c>
      <c r="C1992" s="2">
        <v>2</v>
      </c>
      <c r="D1992" s="2">
        <v>0</v>
      </c>
      <c r="E1992" s="2">
        <v>1</v>
      </c>
      <c r="F1992" s="2">
        <v>2</v>
      </c>
    </row>
    <row r="1993" spans="1:6" ht="12.5">
      <c r="A1993" s="2">
        <v>1</v>
      </c>
      <c r="B1993" s="2">
        <v>2174</v>
      </c>
      <c r="C1993" s="2">
        <v>1</v>
      </c>
      <c r="D1993" s="2">
        <v>1</v>
      </c>
      <c r="E1993" s="2">
        <v>1</v>
      </c>
      <c r="F1993" s="2">
        <v>2</v>
      </c>
    </row>
    <row r="1994" spans="1:6" ht="12.5">
      <c r="A1994" s="2">
        <v>75</v>
      </c>
      <c r="B1994" s="2">
        <v>5846</v>
      </c>
      <c r="C1994" s="2">
        <v>1</v>
      </c>
      <c r="D1994" s="2">
        <v>1</v>
      </c>
      <c r="E1994" s="2">
        <v>1</v>
      </c>
      <c r="F1994" s="2">
        <v>2</v>
      </c>
    </row>
    <row r="1995" spans="1:6" ht="12.5">
      <c r="A1995" s="2">
        <v>81</v>
      </c>
      <c r="B1995" s="2">
        <v>2261</v>
      </c>
      <c r="C1995" s="2">
        <v>1</v>
      </c>
      <c r="D1995" s="2">
        <v>0</v>
      </c>
      <c r="E1995" s="2">
        <v>1</v>
      </c>
      <c r="F1995" s="2">
        <v>2</v>
      </c>
    </row>
    <row r="1996" spans="1:6" ht="12.5">
      <c r="A1996" s="2">
        <v>136</v>
      </c>
      <c r="B1996" s="2">
        <v>5342</v>
      </c>
      <c r="C1996" s="2">
        <v>1</v>
      </c>
      <c r="D1996" s="2">
        <v>6</v>
      </c>
      <c r="E1996" s="2">
        <v>1</v>
      </c>
      <c r="F1996" s="2">
        <v>3</v>
      </c>
    </row>
    <row r="1997" spans="1:6" ht="12.5">
      <c r="A1997" s="2">
        <v>147</v>
      </c>
      <c r="B1997" s="2">
        <v>3120</v>
      </c>
      <c r="C1997" s="2">
        <v>1</v>
      </c>
      <c r="D1997" s="2">
        <v>1</v>
      </c>
      <c r="E1997" s="2">
        <v>1</v>
      </c>
      <c r="F1997" s="2">
        <v>2</v>
      </c>
    </row>
    <row r="1998" spans="1:6" ht="12.5">
      <c r="A1998" s="2">
        <v>183</v>
      </c>
      <c r="B1998" s="2">
        <v>10796</v>
      </c>
      <c r="C1998" s="2">
        <v>1</v>
      </c>
      <c r="D1998" s="2">
        <v>0</v>
      </c>
      <c r="E1998" s="2">
        <v>1</v>
      </c>
      <c r="F1998" s="2">
        <v>3</v>
      </c>
    </row>
    <row r="1999" spans="1:6" ht="12.5">
      <c r="A1999" s="2">
        <v>185</v>
      </c>
      <c r="B1999" s="2">
        <v>3518</v>
      </c>
      <c r="C1999" s="2">
        <v>1</v>
      </c>
      <c r="D1999" s="2">
        <v>4</v>
      </c>
      <c r="E1999" s="2">
        <v>1</v>
      </c>
      <c r="F1999" s="2">
        <v>2</v>
      </c>
    </row>
    <row r="2000" spans="1:6" ht="12.5">
      <c r="A2000" s="2">
        <v>229</v>
      </c>
      <c r="B2000" s="2">
        <v>3726</v>
      </c>
      <c r="C2000" s="2">
        <v>1</v>
      </c>
      <c r="D2000" s="2">
        <v>0</v>
      </c>
      <c r="E2000" s="2">
        <v>1</v>
      </c>
      <c r="F2000" s="2">
        <v>2</v>
      </c>
    </row>
    <row r="2001" spans="1:6" ht="12.5">
      <c r="A2001" s="2">
        <v>232</v>
      </c>
      <c r="B2001" s="2">
        <v>1606</v>
      </c>
      <c r="C2001" s="2">
        <v>1</v>
      </c>
      <c r="D2001" s="2">
        <v>3</v>
      </c>
      <c r="E2001" s="2">
        <v>1</v>
      </c>
      <c r="F2001" s="2">
        <v>2</v>
      </c>
    </row>
    <row r="2002" spans="1:6" ht="12.5">
      <c r="A2002" s="2">
        <v>327</v>
      </c>
      <c r="B2002" s="2">
        <v>3896</v>
      </c>
      <c r="C2002" s="2">
        <v>1</v>
      </c>
      <c r="D2002" s="2">
        <v>1</v>
      </c>
      <c r="E2002" s="2">
        <v>1</v>
      </c>
      <c r="F2002" s="2">
        <v>3</v>
      </c>
    </row>
    <row r="2003" spans="1:6" ht="12.5">
      <c r="A2003" s="2">
        <v>330</v>
      </c>
      <c r="B2003" s="2">
        <v>2861</v>
      </c>
      <c r="C2003" s="2">
        <v>1</v>
      </c>
      <c r="D2003" s="2">
        <v>0</v>
      </c>
      <c r="E2003" s="2">
        <v>1</v>
      </c>
      <c r="F2003" s="2">
        <v>2</v>
      </c>
    </row>
    <row r="2004" spans="1:6" ht="12.5">
      <c r="A2004" s="2">
        <v>333</v>
      </c>
      <c r="B2004" s="2">
        <v>2521</v>
      </c>
      <c r="C2004" s="2">
        <v>1</v>
      </c>
      <c r="D2004" s="2">
        <v>2</v>
      </c>
      <c r="E2004" s="2">
        <v>1</v>
      </c>
      <c r="F2004" s="2">
        <v>2</v>
      </c>
    </row>
    <row r="2005" spans="1:6" ht="12.5">
      <c r="A2005" s="2">
        <v>372</v>
      </c>
      <c r="B2005" s="2">
        <v>2557</v>
      </c>
      <c r="C2005" s="2">
        <v>1</v>
      </c>
      <c r="D2005" s="2">
        <v>1</v>
      </c>
      <c r="E2005" s="2">
        <v>1</v>
      </c>
      <c r="F2005" s="2">
        <v>2</v>
      </c>
    </row>
    <row r="2006" spans="1:6" ht="12.5">
      <c r="A2006" s="2">
        <v>467</v>
      </c>
      <c r="B2006" s="2">
        <v>9213</v>
      </c>
      <c r="C2006" s="2">
        <v>1</v>
      </c>
      <c r="D2006" s="2">
        <v>0</v>
      </c>
      <c r="E2006" s="2">
        <v>1</v>
      </c>
      <c r="F2006" s="2">
        <v>2</v>
      </c>
    </row>
    <row r="2007" spans="1:6" ht="12.5">
      <c r="A2007" s="2">
        <v>473</v>
      </c>
      <c r="B2007" s="2">
        <v>6619</v>
      </c>
      <c r="C2007" s="2">
        <v>1</v>
      </c>
      <c r="D2007" s="2">
        <v>0</v>
      </c>
      <c r="E2007" s="2">
        <v>1</v>
      </c>
      <c r="F2007" s="2">
        <v>3</v>
      </c>
    </row>
    <row r="2008" spans="1:6" ht="12.5">
      <c r="A2008" s="2">
        <v>474</v>
      </c>
      <c r="B2008" s="2">
        <v>9081</v>
      </c>
      <c r="C2008" s="2">
        <v>1</v>
      </c>
      <c r="D2008" s="2">
        <v>1</v>
      </c>
      <c r="E2008" s="2">
        <v>1</v>
      </c>
      <c r="F2008" s="2">
        <v>2</v>
      </c>
    </row>
    <row r="2009" spans="1:6" ht="12.5">
      <c r="A2009" s="2">
        <v>607</v>
      </c>
      <c r="B2009" s="2">
        <v>8477</v>
      </c>
      <c r="C2009" s="2">
        <v>1</v>
      </c>
      <c r="D2009" s="2">
        <v>5</v>
      </c>
      <c r="E2009" s="2">
        <v>1</v>
      </c>
      <c r="F2009" s="2">
        <v>3</v>
      </c>
    </row>
    <row r="2010" spans="1:6" ht="12.5">
      <c r="A2010" s="2">
        <v>664</v>
      </c>
      <c r="B2010" s="2">
        <v>8162</v>
      </c>
      <c r="C2010" s="2">
        <v>1</v>
      </c>
      <c r="D2010" s="2">
        <v>2</v>
      </c>
      <c r="E2010" s="2">
        <v>1</v>
      </c>
      <c r="F2010" s="2">
        <v>3</v>
      </c>
    </row>
    <row r="2011" spans="1:6" ht="12.5">
      <c r="A2011" s="2">
        <v>665</v>
      </c>
      <c r="B2011" s="2">
        <v>10826</v>
      </c>
      <c r="C2011" s="2">
        <v>1</v>
      </c>
      <c r="D2011" s="2">
        <v>4</v>
      </c>
      <c r="E2011" s="2">
        <v>1</v>
      </c>
      <c r="F2011" s="2">
        <v>2</v>
      </c>
    </row>
    <row r="2012" spans="1:6" ht="12.5">
      <c r="A2012" s="2">
        <v>675</v>
      </c>
      <c r="B2012" s="2">
        <v>6961</v>
      </c>
      <c r="C2012" s="2">
        <v>1</v>
      </c>
      <c r="D2012" s="2">
        <v>3</v>
      </c>
      <c r="E2012" s="2">
        <v>1</v>
      </c>
      <c r="F2012" s="2">
        <v>2</v>
      </c>
    </row>
    <row r="2013" spans="1:6" ht="12.5">
      <c r="A2013" s="2">
        <v>709</v>
      </c>
      <c r="B2013" s="2">
        <v>4301</v>
      </c>
      <c r="C2013" s="2">
        <v>1</v>
      </c>
      <c r="D2013" s="2">
        <v>2</v>
      </c>
      <c r="E2013" s="2">
        <v>1</v>
      </c>
      <c r="F2013" s="2">
        <v>2</v>
      </c>
    </row>
    <row r="2014" spans="1:6" ht="12.5">
      <c r="A2014" s="2">
        <v>778</v>
      </c>
      <c r="B2014" s="2">
        <v>2461</v>
      </c>
      <c r="C2014" s="2">
        <v>1</v>
      </c>
      <c r="D2014" s="2">
        <v>1</v>
      </c>
      <c r="E2014" s="2">
        <v>1</v>
      </c>
      <c r="F2014" s="2">
        <v>3</v>
      </c>
    </row>
    <row r="2015" spans="1:6" ht="12.5">
      <c r="A2015" s="2">
        <v>801</v>
      </c>
      <c r="B2015" s="2">
        <v>8629</v>
      </c>
      <c r="C2015" s="2">
        <v>1</v>
      </c>
      <c r="D2015" s="2">
        <v>1</v>
      </c>
      <c r="E2015" s="2">
        <v>1</v>
      </c>
      <c r="F2015" s="2">
        <v>3</v>
      </c>
    </row>
    <row r="2016" spans="1:6" ht="12.5">
      <c r="A2016" s="2">
        <v>806</v>
      </c>
      <c r="B2016" s="2">
        <v>7326</v>
      </c>
      <c r="C2016" s="2">
        <v>1</v>
      </c>
      <c r="D2016" s="2">
        <v>7</v>
      </c>
      <c r="E2016" s="2">
        <v>1</v>
      </c>
      <c r="F2016" s="2">
        <v>3</v>
      </c>
    </row>
    <row r="2017" spans="1:6" ht="12.5">
      <c r="A2017" s="2">
        <v>827</v>
      </c>
      <c r="B2017" s="2">
        <v>6768</v>
      </c>
      <c r="C2017" s="2">
        <v>1</v>
      </c>
      <c r="D2017" s="2">
        <v>1</v>
      </c>
      <c r="E2017" s="2">
        <v>1</v>
      </c>
      <c r="F2017" s="2">
        <v>3</v>
      </c>
    </row>
    <row r="2018" spans="1:6" ht="12.5">
      <c r="A2018" s="2">
        <v>834</v>
      </c>
      <c r="B2018" s="2">
        <v>10402</v>
      </c>
      <c r="C2018" s="2">
        <v>1</v>
      </c>
      <c r="D2018" s="2">
        <v>1</v>
      </c>
      <c r="E2018" s="2">
        <v>1</v>
      </c>
      <c r="F2018" s="2">
        <v>3</v>
      </c>
    </row>
    <row r="2019" spans="1:6" ht="12.5">
      <c r="A2019" s="2">
        <v>907</v>
      </c>
      <c r="B2019" s="2">
        <v>1968</v>
      </c>
      <c r="C2019" s="2">
        <v>1</v>
      </c>
      <c r="D2019" s="2">
        <v>0</v>
      </c>
      <c r="E2019" s="2">
        <v>1</v>
      </c>
      <c r="F2019" s="2">
        <v>2</v>
      </c>
    </row>
    <row r="2020" spans="1:6" ht="12.5">
      <c r="A2020" s="2">
        <v>1011</v>
      </c>
      <c r="B2020" s="2">
        <v>5723</v>
      </c>
      <c r="C2020" s="2">
        <v>1</v>
      </c>
      <c r="D2020" s="2">
        <v>1</v>
      </c>
      <c r="E2020" s="2">
        <v>1</v>
      </c>
      <c r="F2020" s="2">
        <v>5</v>
      </c>
    </row>
    <row r="2021" spans="1:6" ht="12.5">
      <c r="A2021" s="2">
        <v>1077</v>
      </c>
      <c r="B2021" s="2">
        <v>577</v>
      </c>
      <c r="C2021" s="2">
        <v>1</v>
      </c>
      <c r="D2021" s="2">
        <v>3</v>
      </c>
      <c r="E2021" s="2">
        <v>1</v>
      </c>
      <c r="F2021" s="2">
        <v>3</v>
      </c>
    </row>
    <row r="2022" spans="1:6" ht="12.5">
      <c r="A2022" s="2">
        <v>1086</v>
      </c>
      <c r="B2022" s="2">
        <v>10914</v>
      </c>
      <c r="C2022" s="2">
        <v>1</v>
      </c>
      <c r="D2022" s="2">
        <v>1</v>
      </c>
      <c r="E2022" s="2">
        <v>1</v>
      </c>
      <c r="F2022" s="2">
        <v>3</v>
      </c>
    </row>
    <row r="2023" spans="1:6" ht="12.5">
      <c r="A2023" s="2">
        <v>1131</v>
      </c>
      <c r="B2023" s="2">
        <v>606</v>
      </c>
      <c r="C2023" s="2">
        <v>1</v>
      </c>
      <c r="D2023" s="2">
        <v>0</v>
      </c>
      <c r="E2023" s="2">
        <v>1</v>
      </c>
      <c r="F2023" s="2">
        <v>2</v>
      </c>
    </row>
    <row r="2024" spans="1:6" ht="12.5">
      <c r="A2024" s="2">
        <v>1184</v>
      </c>
      <c r="B2024" s="2">
        <v>9392</v>
      </c>
      <c r="C2024" s="2">
        <v>1</v>
      </c>
      <c r="D2024" s="2">
        <v>0</v>
      </c>
      <c r="E2024" s="2">
        <v>1</v>
      </c>
      <c r="F2024" s="2">
        <v>2</v>
      </c>
    </row>
    <row r="2025" spans="1:6" ht="12.5">
      <c r="A2025" s="2">
        <v>1300</v>
      </c>
      <c r="B2025" s="2">
        <v>5336</v>
      </c>
      <c r="C2025" s="2">
        <v>1</v>
      </c>
      <c r="D2025" s="2">
        <v>0</v>
      </c>
      <c r="E2025" s="2">
        <v>1</v>
      </c>
      <c r="F2025" s="2">
        <v>1</v>
      </c>
    </row>
    <row r="2026" spans="1:6" ht="12.5">
      <c r="A2026" s="2">
        <v>1383</v>
      </c>
      <c r="B2026" s="2">
        <v>4345</v>
      </c>
      <c r="C2026" s="2">
        <v>1</v>
      </c>
      <c r="D2026" s="2">
        <v>0</v>
      </c>
      <c r="E2026" s="2">
        <v>1</v>
      </c>
      <c r="F2026" s="2">
        <v>2</v>
      </c>
    </row>
    <row r="2027" spans="1:6" ht="12.5">
      <c r="A2027" s="2">
        <v>1386</v>
      </c>
      <c r="B2027" s="2">
        <v>3769</v>
      </c>
      <c r="C2027" s="2">
        <v>1</v>
      </c>
      <c r="D2027" s="2">
        <v>0</v>
      </c>
      <c r="E2027" s="2">
        <v>1</v>
      </c>
      <c r="F2027" s="2">
        <v>3</v>
      </c>
    </row>
    <row r="2028" spans="1:6" ht="12.5">
      <c r="A2028" s="2">
        <v>1387</v>
      </c>
      <c r="B2028" s="2">
        <v>8702</v>
      </c>
      <c r="C2028" s="2">
        <v>1</v>
      </c>
      <c r="D2028" s="2">
        <v>3</v>
      </c>
      <c r="E2028" s="2">
        <v>1</v>
      </c>
      <c r="F2028" s="2">
        <v>3</v>
      </c>
    </row>
    <row r="2029" spans="1:6" ht="12.5">
      <c r="A2029" s="2">
        <v>1388</v>
      </c>
      <c r="B2029" s="2">
        <v>4791</v>
      </c>
      <c r="C2029" s="2">
        <v>1</v>
      </c>
      <c r="D2029" s="2">
        <v>0</v>
      </c>
      <c r="E2029" s="2">
        <v>1</v>
      </c>
      <c r="F2029" s="2">
        <v>3</v>
      </c>
    </row>
    <row r="2030" spans="1:6" ht="12.5">
      <c r="A2030" s="2">
        <v>1392</v>
      </c>
      <c r="B2030" s="2">
        <v>10146</v>
      </c>
      <c r="C2030" s="2">
        <v>1</v>
      </c>
      <c r="D2030" s="2">
        <v>0</v>
      </c>
      <c r="E2030" s="2">
        <v>1</v>
      </c>
      <c r="F2030" s="2">
        <v>3</v>
      </c>
    </row>
    <row r="2031" spans="1:6" ht="12.5">
      <c r="A2031" s="2">
        <v>1412</v>
      </c>
      <c r="B2031" s="2">
        <v>361</v>
      </c>
      <c r="C2031" s="2">
        <v>1</v>
      </c>
      <c r="D2031" s="2">
        <v>1</v>
      </c>
      <c r="E2031" s="2">
        <v>1</v>
      </c>
      <c r="F2031" s="2">
        <v>2</v>
      </c>
    </row>
    <row r="2032" spans="1:6" ht="12.5">
      <c r="A2032" s="2">
        <v>1423</v>
      </c>
      <c r="B2032" s="2">
        <v>5229</v>
      </c>
      <c r="C2032" s="2">
        <v>1</v>
      </c>
      <c r="D2032" s="2">
        <v>0</v>
      </c>
      <c r="E2032" s="2">
        <v>1</v>
      </c>
      <c r="F2032" s="2">
        <v>3</v>
      </c>
    </row>
    <row r="2033" spans="1:6" ht="12.5">
      <c r="A2033" s="2">
        <v>1424</v>
      </c>
      <c r="B2033" s="2">
        <v>4086</v>
      </c>
      <c r="C2033" s="2">
        <v>1</v>
      </c>
      <c r="D2033" s="2">
        <v>4</v>
      </c>
      <c r="E2033" s="2">
        <v>1</v>
      </c>
      <c r="F2033" s="2">
        <v>2</v>
      </c>
    </row>
    <row r="2034" spans="1:6" ht="12.5">
      <c r="A2034" s="2">
        <v>1427</v>
      </c>
      <c r="B2034" s="2">
        <v>2836</v>
      </c>
      <c r="C2034" s="2">
        <v>1</v>
      </c>
      <c r="D2034" s="2">
        <v>0</v>
      </c>
      <c r="E2034" s="2">
        <v>1</v>
      </c>
      <c r="F2034" s="2">
        <v>2</v>
      </c>
    </row>
    <row r="2035" spans="1:6" ht="12.5">
      <c r="A2035" s="2">
        <v>1441</v>
      </c>
      <c r="B2035" s="2">
        <v>1183</v>
      </c>
      <c r="C2035" s="2">
        <v>1</v>
      </c>
      <c r="D2035" s="2">
        <v>2</v>
      </c>
      <c r="E2035" s="2">
        <v>1</v>
      </c>
      <c r="F2035" s="2">
        <v>2</v>
      </c>
    </row>
    <row r="2036" spans="1:6" ht="12.5">
      <c r="A2036" s="2">
        <v>1550</v>
      </c>
      <c r="B2036" s="2">
        <v>2544</v>
      </c>
      <c r="C2036" s="2">
        <v>1</v>
      </c>
      <c r="D2036" s="2">
        <v>7</v>
      </c>
      <c r="E2036" s="2">
        <v>1</v>
      </c>
      <c r="F2036" s="2">
        <v>4</v>
      </c>
    </row>
    <row r="2037" spans="1:6" ht="12.5">
      <c r="A2037" s="2">
        <v>1555</v>
      </c>
      <c r="B2037" s="2">
        <v>7791</v>
      </c>
      <c r="C2037" s="2">
        <v>1</v>
      </c>
      <c r="D2037" s="2">
        <v>1</v>
      </c>
      <c r="E2037" s="2">
        <v>1</v>
      </c>
      <c r="F2037" s="2">
        <v>3</v>
      </c>
    </row>
    <row r="2038" spans="1:6" ht="12.5">
      <c r="A2038" s="2">
        <v>1557</v>
      </c>
      <c r="B2038" s="2">
        <v>4037</v>
      </c>
      <c r="C2038" s="2">
        <v>1</v>
      </c>
      <c r="D2038" s="2">
        <v>0</v>
      </c>
      <c r="E2038" s="2">
        <v>1</v>
      </c>
      <c r="F2038" s="2">
        <v>2</v>
      </c>
    </row>
    <row r="2039" spans="1:6" ht="12.5">
      <c r="A2039" s="2">
        <v>1580</v>
      </c>
      <c r="B2039" s="2">
        <v>3790</v>
      </c>
      <c r="C2039" s="2">
        <v>1</v>
      </c>
      <c r="D2039" s="2">
        <v>0</v>
      </c>
      <c r="E2039" s="2">
        <v>1</v>
      </c>
      <c r="F2039" s="2">
        <v>2</v>
      </c>
    </row>
    <row r="2040" spans="1:6" ht="12.5">
      <c r="A2040" s="2">
        <v>1603</v>
      </c>
      <c r="B2040" s="2">
        <v>800</v>
      </c>
      <c r="C2040" s="2">
        <v>1</v>
      </c>
      <c r="D2040" s="2">
        <v>0</v>
      </c>
      <c r="E2040" s="2">
        <v>1</v>
      </c>
      <c r="F2040" s="2">
        <v>3</v>
      </c>
    </row>
    <row r="2041" spans="1:6" ht="12.5">
      <c r="A2041" s="2">
        <v>1633</v>
      </c>
      <c r="B2041" s="2">
        <v>10207</v>
      </c>
      <c r="C2041" s="2">
        <v>1</v>
      </c>
      <c r="D2041" s="2">
        <v>0</v>
      </c>
      <c r="E2041" s="2">
        <v>1</v>
      </c>
      <c r="F2041" s="2">
        <v>2</v>
      </c>
    </row>
    <row r="2042" spans="1:6" ht="12.5">
      <c r="A2042" s="2">
        <v>1639</v>
      </c>
      <c r="B2042" s="2">
        <v>2814</v>
      </c>
      <c r="C2042" s="2">
        <v>1</v>
      </c>
      <c r="D2042" s="2">
        <v>5</v>
      </c>
      <c r="E2042" s="2">
        <v>1</v>
      </c>
      <c r="F2042" s="2">
        <v>3</v>
      </c>
    </row>
    <row r="2043" spans="1:6" ht="12.5">
      <c r="A2043" s="2">
        <v>1677</v>
      </c>
      <c r="B2043" s="2">
        <v>6347</v>
      </c>
      <c r="C2043" s="2">
        <v>1</v>
      </c>
      <c r="D2043" s="2">
        <v>9</v>
      </c>
      <c r="E2043" s="2">
        <v>1</v>
      </c>
      <c r="F2043" s="2">
        <v>3</v>
      </c>
    </row>
    <row r="2044" spans="1:6" ht="12.5">
      <c r="A2044" s="2">
        <v>1696</v>
      </c>
      <c r="B2044" s="2">
        <v>1890</v>
      </c>
      <c r="C2044" s="2">
        <v>1</v>
      </c>
      <c r="D2044" s="2">
        <v>0</v>
      </c>
      <c r="E2044" s="2">
        <v>1</v>
      </c>
      <c r="F2044" s="2">
        <v>2</v>
      </c>
    </row>
    <row r="2045" spans="1:6" ht="12.5">
      <c r="A2045" s="2">
        <v>1731</v>
      </c>
      <c r="B2045" s="2">
        <v>10304</v>
      </c>
      <c r="C2045" s="2">
        <v>1</v>
      </c>
      <c r="D2045" s="2">
        <v>4</v>
      </c>
      <c r="E2045" s="2">
        <v>1</v>
      </c>
      <c r="F2045" s="2">
        <v>2</v>
      </c>
    </row>
    <row r="2046" spans="1:6" ht="12.5">
      <c r="A2046" s="2">
        <v>1739</v>
      </c>
      <c r="B2046" s="2">
        <v>1064</v>
      </c>
      <c r="C2046" s="2">
        <v>1</v>
      </c>
      <c r="D2046" s="2">
        <v>5</v>
      </c>
      <c r="E2046" s="2">
        <v>1</v>
      </c>
      <c r="F2046" s="2">
        <v>3</v>
      </c>
    </row>
    <row r="2047" spans="1:6" ht="12.5">
      <c r="A2047" s="2">
        <v>1766</v>
      </c>
      <c r="B2047" s="2">
        <v>10560</v>
      </c>
      <c r="C2047" s="2">
        <v>1</v>
      </c>
      <c r="D2047" s="2">
        <v>0</v>
      </c>
      <c r="E2047" s="2">
        <v>1</v>
      </c>
      <c r="F2047" s="2">
        <v>3</v>
      </c>
    </row>
    <row r="2048" spans="1:6" ht="12.5">
      <c r="A2048" s="2">
        <v>1851</v>
      </c>
      <c r="B2048" s="2">
        <v>11148</v>
      </c>
      <c r="C2048" s="2">
        <v>1</v>
      </c>
      <c r="D2048" s="2">
        <v>1</v>
      </c>
      <c r="E2048" s="2">
        <v>1</v>
      </c>
      <c r="F2048" s="2">
        <v>2</v>
      </c>
    </row>
    <row r="2049" spans="1:6" ht="12.5">
      <c r="A2049" s="2">
        <v>1886</v>
      </c>
      <c r="B2049" s="2">
        <v>7505</v>
      </c>
      <c r="C2049" s="2">
        <v>1</v>
      </c>
      <c r="D2049" s="2">
        <v>0</v>
      </c>
      <c r="E2049" s="2">
        <v>1</v>
      </c>
      <c r="F2049" s="2">
        <v>2</v>
      </c>
    </row>
    <row r="2050" spans="1:6" ht="12.5">
      <c r="A2050" s="2">
        <v>1908</v>
      </c>
      <c r="B2050" s="2">
        <v>3265</v>
      </c>
      <c r="C2050" s="2">
        <v>1</v>
      </c>
      <c r="D2050" s="2">
        <v>3</v>
      </c>
      <c r="E2050" s="2">
        <v>1</v>
      </c>
      <c r="F2050" s="2">
        <v>3</v>
      </c>
    </row>
    <row r="2051" spans="1:6" ht="12.5">
      <c r="A2051" s="2">
        <v>1941</v>
      </c>
      <c r="B2051" s="2">
        <v>5138</v>
      </c>
      <c r="C2051" s="2">
        <v>1</v>
      </c>
      <c r="D2051" s="2">
        <v>2</v>
      </c>
      <c r="E2051" s="2">
        <v>1</v>
      </c>
      <c r="F2051" s="2">
        <v>3</v>
      </c>
    </row>
    <row r="2052" spans="1:6" ht="12.5">
      <c r="A2052" s="2">
        <v>2091</v>
      </c>
      <c r="B2052" s="2">
        <v>2686</v>
      </c>
      <c r="C2052" s="2">
        <v>1</v>
      </c>
      <c r="D2052" s="2">
        <v>1</v>
      </c>
      <c r="E2052" s="2">
        <v>1</v>
      </c>
      <c r="F2052" s="2">
        <v>2</v>
      </c>
    </row>
    <row r="2053" spans="1:6" ht="12.5">
      <c r="A2053" s="2">
        <v>2095</v>
      </c>
      <c r="B2053" s="2">
        <v>11031</v>
      </c>
      <c r="C2053" s="2">
        <v>1</v>
      </c>
      <c r="D2053" s="2">
        <v>0</v>
      </c>
      <c r="E2053" s="2">
        <v>1</v>
      </c>
      <c r="F2053" s="2">
        <v>3</v>
      </c>
    </row>
    <row r="2054" spans="1:6" ht="12.5">
      <c r="A2054" s="2">
        <v>2154</v>
      </c>
      <c r="B2054" s="2">
        <v>2711</v>
      </c>
      <c r="C2054" s="2">
        <v>1</v>
      </c>
      <c r="D2054" s="2">
        <v>5</v>
      </c>
      <c r="E2054" s="2">
        <v>1</v>
      </c>
      <c r="F2054" s="2">
        <v>3</v>
      </c>
    </row>
    <row r="2055" spans="1:6" ht="12.5">
      <c r="A2055" s="2">
        <v>2191</v>
      </c>
      <c r="B2055" s="2">
        <v>2656</v>
      </c>
      <c r="C2055" s="2">
        <v>1</v>
      </c>
      <c r="D2055" s="2">
        <v>4</v>
      </c>
      <c r="E2055" s="2">
        <v>1</v>
      </c>
      <c r="F2055" s="2">
        <v>2</v>
      </c>
    </row>
    <row r="2056" spans="1:6" ht="12.5">
      <c r="A2056" s="2">
        <v>2218</v>
      </c>
      <c r="B2056" s="2">
        <v>4838</v>
      </c>
      <c r="C2056" s="2">
        <v>1</v>
      </c>
      <c r="D2056" s="2">
        <v>0</v>
      </c>
      <c r="E2056" s="2">
        <v>1</v>
      </c>
      <c r="F2056" s="2">
        <v>2</v>
      </c>
    </row>
    <row r="2057" spans="1:6" ht="12.5">
      <c r="A2057" s="2">
        <v>9</v>
      </c>
      <c r="B2057" s="2">
        <v>5899</v>
      </c>
      <c r="C2057" s="2">
        <v>0</v>
      </c>
      <c r="D2057" s="2">
        <v>1</v>
      </c>
      <c r="E2057" s="2">
        <v>1</v>
      </c>
      <c r="F2057" s="2">
        <v>0</v>
      </c>
    </row>
    <row r="2058" spans="1:6" ht="12.5">
      <c r="A2058" s="2">
        <v>38</v>
      </c>
      <c r="B2058" s="2">
        <v>8595</v>
      </c>
      <c r="C2058" s="2">
        <v>0</v>
      </c>
      <c r="D2058" s="2">
        <v>0</v>
      </c>
      <c r="E2058" s="2">
        <v>1</v>
      </c>
      <c r="F2058" s="2">
        <v>3</v>
      </c>
    </row>
    <row r="2059" spans="1:6" ht="12.5">
      <c r="A2059" s="2">
        <v>57</v>
      </c>
      <c r="B2059" s="2">
        <v>7437</v>
      </c>
      <c r="C2059" s="2">
        <v>0</v>
      </c>
      <c r="D2059" s="2">
        <v>1</v>
      </c>
      <c r="E2059" s="2">
        <v>1</v>
      </c>
      <c r="F2059" s="2">
        <v>4</v>
      </c>
    </row>
    <row r="2060" spans="1:6" ht="12.5">
      <c r="A2060" s="2">
        <v>66</v>
      </c>
      <c r="B2060" s="2">
        <v>1386</v>
      </c>
      <c r="C2060" s="2">
        <v>0</v>
      </c>
      <c r="D2060" s="2">
        <v>0</v>
      </c>
      <c r="E2060" s="2">
        <v>1</v>
      </c>
      <c r="F2060" s="2">
        <v>2</v>
      </c>
    </row>
    <row r="2061" spans="1:6" ht="12.5">
      <c r="A2061" s="2">
        <v>91</v>
      </c>
      <c r="B2061" s="2">
        <v>9235</v>
      </c>
      <c r="C2061" s="2">
        <v>0</v>
      </c>
      <c r="D2061" s="2">
        <v>0</v>
      </c>
      <c r="E2061" s="2">
        <v>1</v>
      </c>
      <c r="F2061" s="2">
        <v>2</v>
      </c>
    </row>
    <row r="2062" spans="1:6" ht="12.5">
      <c r="A2062" s="2">
        <v>122</v>
      </c>
      <c r="B2062" s="2">
        <v>8442</v>
      </c>
      <c r="C2062" s="2">
        <v>0</v>
      </c>
      <c r="D2062" s="2">
        <v>4</v>
      </c>
      <c r="E2062" s="2">
        <v>1</v>
      </c>
      <c r="F2062" s="2">
        <v>3</v>
      </c>
    </row>
    <row r="2063" spans="1:6" ht="12.5">
      <c r="A2063" s="2">
        <v>123</v>
      </c>
      <c r="B2063" s="2">
        <v>7386</v>
      </c>
      <c r="C2063" s="2">
        <v>0</v>
      </c>
      <c r="D2063" s="2">
        <v>3</v>
      </c>
      <c r="E2063" s="2">
        <v>1</v>
      </c>
      <c r="F2063" s="2">
        <v>3</v>
      </c>
    </row>
    <row r="2064" spans="1:6" ht="12.5">
      <c r="A2064" s="2">
        <v>138</v>
      </c>
      <c r="B2064" s="2">
        <v>7660</v>
      </c>
      <c r="C2064" s="2">
        <v>0</v>
      </c>
      <c r="D2064" s="2">
        <v>2</v>
      </c>
      <c r="E2064" s="2">
        <v>1</v>
      </c>
      <c r="F2064" s="2">
        <v>2</v>
      </c>
    </row>
    <row r="2065" spans="1:6" ht="12.5">
      <c r="A2065" s="2">
        <v>160</v>
      </c>
      <c r="B2065" s="2">
        <v>2795</v>
      </c>
      <c r="C2065" s="2">
        <v>0</v>
      </c>
      <c r="D2065" s="2">
        <v>0</v>
      </c>
      <c r="E2065" s="2">
        <v>1</v>
      </c>
      <c r="F2065" s="2">
        <v>2</v>
      </c>
    </row>
    <row r="2066" spans="1:6" ht="12.5">
      <c r="A2066" s="2">
        <v>186</v>
      </c>
      <c r="B2066" s="2">
        <v>5823</v>
      </c>
      <c r="C2066" s="2">
        <v>0</v>
      </c>
      <c r="D2066" s="2">
        <v>0</v>
      </c>
      <c r="E2066" s="2">
        <v>1</v>
      </c>
      <c r="F2066" s="2">
        <v>4</v>
      </c>
    </row>
    <row r="2067" spans="1:6" ht="12.5">
      <c r="A2067" s="2">
        <v>195</v>
      </c>
      <c r="B2067" s="2">
        <v>7224</v>
      </c>
      <c r="C2067" s="2">
        <v>0</v>
      </c>
      <c r="D2067" s="2">
        <v>1</v>
      </c>
      <c r="E2067" s="2">
        <v>1</v>
      </c>
      <c r="F2067" s="2">
        <v>2</v>
      </c>
    </row>
    <row r="2068" spans="1:6" ht="12.5">
      <c r="A2068" s="2">
        <v>204</v>
      </c>
      <c r="B2068" s="2">
        <v>1030</v>
      </c>
      <c r="C2068" s="2">
        <v>0</v>
      </c>
      <c r="D2068" s="2">
        <v>0</v>
      </c>
      <c r="E2068" s="2">
        <v>1</v>
      </c>
      <c r="F2068" s="2">
        <v>3</v>
      </c>
    </row>
    <row r="2069" spans="1:6" ht="12.5">
      <c r="A2069" s="2">
        <v>216</v>
      </c>
      <c r="B2069" s="2">
        <v>7264</v>
      </c>
      <c r="C2069" s="2">
        <v>0</v>
      </c>
      <c r="D2069" s="2">
        <v>0</v>
      </c>
      <c r="E2069" s="2">
        <v>1</v>
      </c>
      <c r="F2069" s="2">
        <v>2</v>
      </c>
    </row>
    <row r="2070" spans="1:6" ht="12.5">
      <c r="A2070" s="2">
        <v>236</v>
      </c>
      <c r="B2070" s="2">
        <v>2936</v>
      </c>
      <c r="C2070" s="2">
        <v>0</v>
      </c>
      <c r="D2070" s="2">
        <v>0</v>
      </c>
      <c r="E2070" s="2">
        <v>1</v>
      </c>
      <c r="F2070" s="2">
        <v>3</v>
      </c>
    </row>
    <row r="2071" spans="1:6" ht="12.5">
      <c r="A2071" s="2">
        <v>239</v>
      </c>
      <c r="B2071" s="2">
        <v>11004</v>
      </c>
      <c r="C2071" s="2">
        <v>0</v>
      </c>
      <c r="D2071" s="2">
        <v>0</v>
      </c>
      <c r="E2071" s="2">
        <v>1</v>
      </c>
      <c r="F2071" s="2">
        <v>2</v>
      </c>
    </row>
    <row r="2072" spans="1:6" ht="12.5">
      <c r="A2072" s="2">
        <v>245</v>
      </c>
      <c r="B2072" s="2">
        <v>7411</v>
      </c>
      <c r="C2072" s="2">
        <v>0</v>
      </c>
      <c r="D2072" s="2">
        <v>0</v>
      </c>
      <c r="E2072" s="2">
        <v>1</v>
      </c>
      <c r="F2072" s="2">
        <v>3</v>
      </c>
    </row>
    <row r="2073" spans="1:6" ht="12.5">
      <c r="A2073" s="2">
        <v>255</v>
      </c>
      <c r="B2073" s="2">
        <v>5304</v>
      </c>
      <c r="C2073" s="2">
        <v>0</v>
      </c>
      <c r="D2073" s="2">
        <v>0</v>
      </c>
      <c r="E2073" s="2">
        <v>1</v>
      </c>
      <c r="F2073" s="2">
        <v>3</v>
      </c>
    </row>
    <row r="2074" spans="1:6" ht="12.5">
      <c r="A2074" s="2">
        <v>259</v>
      </c>
      <c r="B2074" s="2">
        <v>3153</v>
      </c>
      <c r="C2074" s="2">
        <v>0</v>
      </c>
      <c r="D2074" s="2">
        <v>0</v>
      </c>
      <c r="E2074" s="2">
        <v>1</v>
      </c>
      <c r="F2074" s="2">
        <v>2</v>
      </c>
    </row>
    <row r="2075" spans="1:6" ht="12.5">
      <c r="A2075" s="2">
        <v>263</v>
      </c>
      <c r="B2075" s="2">
        <v>9396</v>
      </c>
      <c r="C2075" s="2">
        <v>0</v>
      </c>
      <c r="D2075" s="2">
        <v>1</v>
      </c>
      <c r="E2075" s="2">
        <v>1</v>
      </c>
      <c r="F2075" s="2">
        <v>2</v>
      </c>
    </row>
    <row r="2076" spans="1:6" ht="12.5">
      <c r="A2076" s="2">
        <v>318</v>
      </c>
      <c r="B2076" s="2">
        <v>113</v>
      </c>
      <c r="C2076" s="2">
        <v>0</v>
      </c>
      <c r="D2076" s="2">
        <v>1</v>
      </c>
      <c r="E2076" s="2">
        <v>1</v>
      </c>
      <c r="F2076" s="2">
        <v>3</v>
      </c>
    </row>
    <row r="2077" spans="1:6" ht="12.5">
      <c r="A2077" s="2">
        <v>322</v>
      </c>
      <c r="B2077" s="2">
        <v>8275</v>
      </c>
      <c r="C2077" s="2">
        <v>0</v>
      </c>
      <c r="D2077" s="2">
        <v>0</v>
      </c>
      <c r="E2077" s="2">
        <v>1</v>
      </c>
      <c r="F2077" s="2">
        <v>2</v>
      </c>
    </row>
    <row r="2078" spans="1:6" ht="12.5">
      <c r="A2078" s="2">
        <v>328</v>
      </c>
      <c r="B2078" s="2">
        <v>10350</v>
      </c>
      <c r="C2078" s="2">
        <v>0</v>
      </c>
      <c r="D2078" s="2">
        <v>0</v>
      </c>
      <c r="E2078" s="2">
        <v>1</v>
      </c>
      <c r="F2078" s="2">
        <v>3</v>
      </c>
    </row>
    <row r="2079" spans="1:6" ht="12.5">
      <c r="A2079" s="2">
        <v>346</v>
      </c>
      <c r="B2079" s="2">
        <v>8553</v>
      </c>
      <c r="C2079" s="2">
        <v>0</v>
      </c>
      <c r="D2079" s="2">
        <v>0</v>
      </c>
      <c r="E2079" s="2">
        <v>1</v>
      </c>
      <c r="F2079" s="2">
        <v>3</v>
      </c>
    </row>
    <row r="2080" spans="1:6" ht="12.5">
      <c r="A2080" s="2">
        <v>349</v>
      </c>
      <c r="B2080" s="2">
        <v>11030</v>
      </c>
      <c r="C2080" s="2">
        <v>0</v>
      </c>
      <c r="D2080" s="2">
        <v>0</v>
      </c>
      <c r="E2080" s="2">
        <v>1</v>
      </c>
      <c r="F2080" s="2">
        <v>2</v>
      </c>
    </row>
    <row r="2081" spans="1:6" ht="12.5">
      <c r="A2081" s="2">
        <v>363</v>
      </c>
      <c r="B2081" s="2">
        <v>933</v>
      </c>
      <c r="C2081" s="2">
        <v>0</v>
      </c>
      <c r="D2081" s="2">
        <v>1</v>
      </c>
      <c r="E2081" s="2">
        <v>1</v>
      </c>
      <c r="F2081" s="2">
        <v>2</v>
      </c>
    </row>
    <row r="2082" spans="1:6" ht="12.5">
      <c r="A2082" s="2">
        <v>380</v>
      </c>
      <c r="B2082" s="2">
        <v>2098</v>
      </c>
      <c r="C2082" s="2">
        <v>0</v>
      </c>
      <c r="D2082" s="2">
        <v>0</v>
      </c>
      <c r="E2082" s="2">
        <v>1</v>
      </c>
      <c r="F2082" s="2">
        <v>2</v>
      </c>
    </row>
    <row r="2083" spans="1:6" ht="12.5">
      <c r="A2083" s="2">
        <v>398</v>
      </c>
      <c r="B2083" s="2">
        <v>798</v>
      </c>
      <c r="C2083" s="2">
        <v>0</v>
      </c>
      <c r="D2083" s="2">
        <v>6</v>
      </c>
      <c r="E2083" s="2">
        <v>1</v>
      </c>
      <c r="F2083" s="2">
        <v>3</v>
      </c>
    </row>
    <row r="2084" spans="1:6" ht="12.5">
      <c r="A2084" s="2">
        <v>405</v>
      </c>
      <c r="B2084" s="2">
        <v>194</v>
      </c>
      <c r="C2084" s="2">
        <v>0</v>
      </c>
      <c r="D2084" s="2">
        <v>2</v>
      </c>
      <c r="E2084" s="2">
        <v>1</v>
      </c>
      <c r="F2084" s="2">
        <v>3</v>
      </c>
    </row>
    <row r="2085" spans="1:6" ht="12.5">
      <c r="A2085" s="2">
        <v>425</v>
      </c>
      <c r="B2085" s="2">
        <v>7284</v>
      </c>
      <c r="C2085" s="2">
        <v>0</v>
      </c>
      <c r="D2085" s="2">
        <v>0</v>
      </c>
      <c r="E2085" s="2">
        <v>1</v>
      </c>
      <c r="F2085" s="2">
        <v>2</v>
      </c>
    </row>
    <row r="2086" spans="1:6" ht="12.5">
      <c r="A2086" s="2">
        <v>434</v>
      </c>
      <c r="B2086" s="2">
        <v>498</v>
      </c>
      <c r="C2086" s="2">
        <v>0</v>
      </c>
      <c r="D2086" s="2">
        <v>3</v>
      </c>
      <c r="E2086" s="2">
        <v>1</v>
      </c>
      <c r="F2086" s="2">
        <v>4</v>
      </c>
    </row>
    <row r="2087" spans="1:6" ht="12.5">
      <c r="A2087" s="2">
        <v>435</v>
      </c>
      <c r="B2087" s="2">
        <v>9347</v>
      </c>
      <c r="C2087" s="2">
        <v>0</v>
      </c>
      <c r="D2087" s="2">
        <v>0</v>
      </c>
      <c r="E2087" s="2">
        <v>1</v>
      </c>
      <c r="F2087" s="2">
        <v>3</v>
      </c>
    </row>
    <row r="2088" spans="1:6" ht="12.5">
      <c r="A2088" s="2">
        <v>445</v>
      </c>
      <c r="B2088" s="2">
        <v>10364</v>
      </c>
      <c r="C2088" s="2">
        <v>0</v>
      </c>
      <c r="D2088" s="2">
        <v>12</v>
      </c>
      <c r="E2088" s="2">
        <v>1</v>
      </c>
      <c r="F2088" s="2">
        <v>2</v>
      </c>
    </row>
    <row r="2089" spans="1:6" ht="12.5">
      <c r="A2089" s="2">
        <v>471</v>
      </c>
      <c r="B2089" s="2">
        <v>1581</v>
      </c>
      <c r="C2089" s="2">
        <v>0</v>
      </c>
      <c r="D2089" s="2">
        <v>2</v>
      </c>
      <c r="E2089" s="2">
        <v>1</v>
      </c>
      <c r="F2089" s="2">
        <v>2</v>
      </c>
    </row>
    <row r="2090" spans="1:6" ht="12.5">
      <c r="A2090" s="2">
        <v>488</v>
      </c>
      <c r="B2090" s="2">
        <v>3436</v>
      </c>
      <c r="C2090" s="2">
        <v>0</v>
      </c>
      <c r="D2090" s="2">
        <v>1</v>
      </c>
      <c r="E2090" s="2">
        <v>1</v>
      </c>
      <c r="F2090" s="2">
        <v>3</v>
      </c>
    </row>
    <row r="2091" spans="1:6" ht="12.5">
      <c r="A2091" s="2">
        <v>501</v>
      </c>
      <c r="B2091" s="2">
        <v>10623</v>
      </c>
      <c r="C2091" s="2">
        <v>0</v>
      </c>
      <c r="D2091" s="2">
        <v>0</v>
      </c>
      <c r="E2091" s="2">
        <v>1</v>
      </c>
      <c r="F2091" s="2">
        <v>3</v>
      </c>
    </row>
    <row r="2092" spans="1:6" ht="12.5">
      <c r="A2092" s="2">
        <v>504</v>
      </c>
      <c r="B2092" s="2">
        <v>10160</v>
      </c>
      <c r="C2092" s="2">
        <v>0</v>
      </c>
      <c r="D2092" s="2">
        <v>0</v>
      </c>
      <c r="E2092" s="2">
        <v>1</v>
      </c>
      <c r="F2092" s="2">
        <v>3</v>
      </c>
    </row>
    <row r="2093" spans="1:6" ht="12.5">
      <c r="A2093" s="2">
        <v>549</v>
      </c>
      <c r="B2093" s="2">
        <v>2256</v>
      </c>
      <c r="C2093" s="2">
        <v>0</v>
      </c>
      <c r="D2093" s="2">
        <v>0</v>
      </c>
      <c r="E2093" s="2">
        <v>1</v>
      </c>
      <c r="F2093" s="2">
        <v>3</v>
      </c>
    </row>
    <row r="2094" spans="1:6" ht="12.5">
      <c r="A2094" s="2">
        <v>567</v>
      </c>
      <c r="B2094" s="2">
        <v>891</v>
      </c>
      <c r="C2094" s="2">
        <v>0</v>
      </c>
      <c r="D2094" s="2">
        <v>0</v>
      </c>
      <c r="E2094" s="2">
        <v>1</v>
      </c>
      <c r="F2094" s="2">
        <v>2</v>
      </c>
    </row>
    <row r="2095" spans="1:6" ht="12.5">
      <c r="A2095" s="2">
        <v>568</v>
      </c>
      <c r="B2095" s="2">
        <v>10381</v>
      </c>
      <c r="C2095" s="2">
        <v>0</v>
      </c>
      <c r="D2095" s="2">
        <v>0</v>
      </c>
      <c r="E2095" s="2">
        <v>1</v>
      </c>
      <c r="F2095" s="2">
        <v>2</v>
      </c>
    </row>
    <row r="2096" spans="1:6" ht="12.5">
      <c r="A2096" s="2">
        <v>569</v>
      </c>
      <c r="B2096" s="2">
        <v>3525</v>
      </c>
      <c r="C2096" s="2">
        <v>0</v>
      </c>
      <c r="D2096" s="2">
        <v>0</v>
      </c>
      <c r="E2096" s="2">
        <v>1</v>
      </c>
      <c r="F2096" s="2">
        <v>2</v>
      </c>
    </row>
    <row r="2097" spans="1:6" ht="12.5">
      <c r="A2097" s="2">
        <v>571</v>
      </c>
      <c r="B2097" s="2">
        <v>3526</v>
      </c>
      <c r="C2097" s="2">
        <v>0</v>
      </c>
      <c r="D2097" s="2">
        <v>0</v>
      </c>
      <c r="E2097" s="2">
        <v>1</v>
      </c>
      <c r="F2097" s="2">
        <v>3</v>
      </c>
    </row>
    <row r="2098" spans="1:6" ht="12.5">
      <c r="A2098" s="2">
        <v>582</v>
      </c>
      <c r="B2098" s="2">
        <v>5081</v>
      </c>
      <c r="C2098" s="2">
        <v>0</v>
      </c>
      <c r="D2098" s="2">
        <v>6</v>
      </c>
      <c r="E2098" s="2">
        <v>1</v>
      </c>
      <c r="F2098" s="2">
        <v>3</v>
      </c>
    </row>
    <row r="2099" spans="1:6" ht="12.5">
      <c r="A2099" s="2">
        <v>597</v>
      </c>
      <c r="B2099" s="2">
        <v>7444</v>
      </c>
      <c r="C2099" s="2">
        <v>0</v>
      </c>
      <c r="D2099" s="2">
        <v>0</v>
      </c>
      <c r="E2099" s="2">
        <v>1</v>
      </c>
      <c r="F2099" s="2">
        <v>3</v>
      </c>
    </row>
    <row r="2100" spans="1:6" ht="12.5">
      <c r="A2100" s="2">
        <v>600</v>
      </c>
      <c r="B2100" s="2">
        <v>10277</v>
      </c>
      <c r="C2100" s="2">
        <v>0</v>
      </c>
      <c r="D2100" s="2">
        <v>0</v>
      </c>
      <c r="E2100" s="2">
        <v>1</v>
      </c>
      <c r="F2100" s="2">
        <v>3</v>
      </c>
    </row>
    <row r="2101" spans="1:6" ht="12.5">
      <c r="A2101" s="2">
        <v>606</v>
      </c>
      <c r="B2101" s="2">
        <v>7232</v>
      </c>
      <c r="C2101" s="2">
        <v>0</v>
      </c>
      <c r="D2101" s="2">
        <v>0</v>
      </c>
      <c r="E2101" s="2">
        <v>1</v>
      </c>
      <c r="F2101" s="2">
        <v>3</v>
      </c>
    </row>
    <row r="2102" spans="1:6" ht="12.5">
      <c r="A2102" s="2">
        <v>616</v>
      </c>
      <c r="B2102" s="2">
        <v>8953</v>
      </c>
      <c r="C2102" s="2">
        <v>0</v>
      </c>
      <c r="D2102" s="2">
        <v>0</v>
      </c>
      <c r="E2102" s="2">
        <v>1</v>
      </c>
      <c r="F2102" s="2">
        <v>3</v>
      </c>
    </row>
    <row r="2103" spans="1:6" ht="12.5">
      <c r="A2103" s="2">
        <v>635</v>
      </c>
      <c r="B2103" s="2">
        <v>8461</v>
      </c>
      <c r="C2103" s="2">
        <v>0</v>
      </c>
      <c r="D2103" s="2">
        <v>0</v>
      </c>
      <c r="E2103" s="2">
        <v>1</v>
      </c>
      <c r="F2103" s="2">
        <v>2</v>
      </c>
    </row>
    <row r="2104" spans="1:6" ht="12.5">
      <c r="A2104" s="2">
        <v>651</v>
      </c>
      <c r="B2104" s="2">
        <v>6728</v>
      </c>
      <c r="C2104" s="2">
        <v>0</v>
      </c>
      <c r="D2104" s="2">
        <v>3</v>
      </c>
      <c r="E2104" s="2">
        <v>1</v>
      </c>
      <c r="F2104" s="2">
        <v>3</v>
      </c>
    </row>
    <row r="2105" spans="1:6" ht="12.5">
      <c r="A2105" s="2">
        <v>666</v>
      </c>
      <c r="B2105" s="2">
        <v>8754</v>
      </c>
      <c r="C2105" s="2">
        <v>0</v>
      </c>
      <c r="D2105" s="2">
        <v>0</v>
      </c>
      <c r="E2105" s="2">
        <v>1</v>
      </c>
      <c r="F2105" s="2">
        <v>2</v>
      </c>
    </row>
    <row r="2106" spans="1:6" ht="12.5">
      <c r="A2106" s="2">
        <v>668</v>
      </c>
      <c r="B2106" s="2">
        <v>11007</v>
      </c>
      <c r="C2106" s="2">
        <v>0</v>
      </c>
      <c r="D2106" s="2">
        <v>0</v>
      </c>
      <c r="E2106" s="2">
        <v>1</v>
      </c>
      <c r="F2106" s="2">
        <v>3</v>
      </c>
    </row>
    <row r="2107" spans="1:6" ht="12.5">
      <c r="A2107" s="2">
        <v>693</v>
      </c>
      <c r="B2107" s="2">
        <v>9316</v>
      </c>
      <c r="C2107" s="2">
        <v>0</v>
      </c>
      <c r="D2107" s="2">
        <v>7</v>
      </c>
      <c r="E2107" s="2">
        <v>1</v>
      </c>
      <c r="F2107" s="2">
        <v>3</v>
      </c>
    </row>
    <row r="2108" spans="1:6" ht="12.5">
      <c r="A2108" s="2">
        <v>706</v>
      </c>
      <c r="B2108" s="2">
        <v>4472</v>
      </c>
      <c r="C2108" s="2">
        <v>0</v>
      </c>
      <c r="D2108" s="2">
        <v>2</v>
      </c>
      <c r="E2108" s="2">
        <v>1</v>
      </c>
      <c r="F2108" s="2">
        <v>3</v>
      </c>
    </row>
    <row r="2109" spans="1:6" ht="12.5">
      <c r="A2109" s="2">
        <v>722</v>
      </c>
      <c r="B2109" s="2">
        <v>4329</v>
      </c>
      <c r="C2109" s="2">
        <v>0</v>
      </c>
      <c r="D2109" s="2">
        <v>1</v>
      </c>
      <c r="E2109" s="2">
        <v>1</v>
      </c>
      <c r="F2109" s="2">
        <v>3</v>
      </c>
    </row>
    <row r="2110" spans="1:6" ht="12.5">
      <c r="A2110" s="2">
        <v>738</v>
      </c>
      <c r="B2110" s="2">
        <v>6516</v>
      </c>
      <c r="C2110" s="2">
        <v>0</v>
      </c>
      <c r="D2110" s="2">
        <v>4</v>
      </c>
      <c r="E2110" s="2">
        <v>1</v>
      </c>
      <c r="F2110" s="2">
        <v>2</v>
      </c>
    </row>
    <row r="2111" spans="1:6" ht="12.5">
      <c r="A2111" s="2">
        <v>775</v>
      </c>
      <c r="B2111" s="2">
        <v>6825</v>
      </c>
      <c r="C2111" s="2">
        <v>0</v>
      </c>
      <c r="D2111" s="2">
        <v>0</v>
      </c>
      <c r="E2111" s="2">
        <v>1</v>
      </c>
      <c r="F2111" s="2">
        <v>2</v>
      </c>
    </row>
    <row r="2112" spans="1:6" ht="12.5">
      <c r="A2112" s="2">
        <v>829</v>
      </c>
      <c r="B2112" s="2">
        <v>6646</v>
      </c>
      <c r="C2112" s="2">
        <v>0</v>
      </c>
      <c r="D2112" s="2">
        <v>0</v>
      </c>
      <c r="E2112" s="2">
        <v>1</v>
      </c>
      <c r="F2112" s="2">
        <v>3</v>
      </c>
    </row>
    <row r="2113" spans="1:6" ht="12.5">
      <c r="A2113" s="2">
        <v>838</v>
      </c>
      <c r="B2113" s="2">
        <v>10856</v>
      </c>
      <c r="C2113" s="2">
        <v>0</v>
      </c>
      <c r="D2113" s="2">
        <v>1</v>
      </c>
      <c r="E2113" s="2">
        <v>1</v>
      </c>
      <c r="F2113" s="2">
        <v>3</v>
      </c>
    </row>
    <row r="2114" spans="1:6" ht="12.5">
      <c r="A2114" s="2">
        <v>853</v>
      </c>
      <c r="B2114" s="2">
        <v>7186</v>
      </c>
      <c r="C2114" s="2">
        <v>0</v>
      </c>
      <c r="D2114" s="2">
        <v>0</v>
      </c>
      <c r="E2114" s="2">
        <v>1</v>
      </c>
      <c r="F2114" s="2">
        <v>2</v>
      </c>
    </row>
    <row r="2115" spans="1:6" ht="12.5">
      <c r="A2115" s="2">
        <v>856</v>
      </c>
      <c r="B2115" s="2">
        <v>4877</v>
      </c>
      <c r="C2115" s="2">
        <v>0</v>
      </c>
      <c r="D2115" s="2">
        <v>0</v>
      </c>
      <c r="E2115" s="2">
        <v>1</v>
      </c>
      <c r="F2115" s="2">
        <v>3</v>
      </c>
    </row>
    <row r="2116" spans="1:6" ht="12.5">
      <c r="A2116" s="2">
        <v>867</v>
      </c>
      <c r="B2116" s="2">
        <v>4259</v>
      </c>
      <c r="C2116" s="2">
        <v>0</v>
      </c>
      <c r="D2116" s="2">
        <v>0</v>
      </c>
      <c r="E2116" s="2">
        <v>1</v>
      </c>
      <c r="F2116" s="2">
        <v>2</v>
      </c>
    </row>
    <row r="2117" spans="1:6" ht="12.5">
      <c r="A2117" s="2">
        <v>893</v>
      </c>
      <c r="B2117" s="2">
        <v>9960</v>
      </c>
      <c r="C2117" s="2">
        <v>0</v>
      </c>
      <c r="D2117" s="2">
        <v>3</v>
      </c>
      <c r="E2117" s="2">
        <v>1</v>
      </c>
      <c r="F2117" s="2">
        <v>2</v>
      </c>
    </row>
    <row r="2118" spans="1:6" ht="12.5">
      <c r="A2118" s="2">
        <v>920</v>
      </c>
      <c r="B2118" s="2">
        <v>9972</v>
      </c>
      <c r="C2118" s="2">
        <v>0</v>
      </c>
      <c r="D2118" s="2">
        <v>0</v>
      </c>
      <c r="E2118" s="2">
        <v>1</v>
      </c>
      <c r="F2118" s="2">
        <v>3</v>
      </c>
    </row>
    <row r="2119" spans="1:6" ht="12.5">
      <c r="A2119" s="2">
        <v>954</v>
      </c>
      <c r="B2119" s="2">
        <v>8146</v>
      </c>
      <c r="C2119" s="2">
        <v>0</v>
      </c>
      <c r="D2119" s="2">
        <v>0</v>
      </c>
      <c r="E2119" s="2">
        <v>1</v>
      </c>
      <c r="F2119" s="2">
        <v>2</v>
      </c>
    </row>
    <row r="2120" spans="1:6" ht="12.5">
      <c r="A2120" s="2">
        <v>968</v>
      </c>
      <c r="B2120" s="2">
        <v>2620</v>
      </c>
      <c r="C2120" s="2">
        <v>0</v>
      </c>
      <c r="D2120" s="2">
        <v>0</v>
      </c>
      <c r="E2120" s="2">
        <v>1</v>
      </c>
      <c r="F2120" s="2">
        <v>2</v>
      </c>
    </row>
    <row r="2121" spans="1:6" ht="12.5">
      <c r="A2121" s="2">
        <v>994</v>
      </c>
      <c r="B2121" s="2">
        <v>1640</v>
      </c>
      <c r="C2121" s="2">
        <v>0</v>
      </c>
      <c r="D2121" s="2">
        <v>6</v>
      </c>
      <c r="E2121" s="2">
        <v>1</v>
      </c>
      <c r="F2121" s="2">
        <v>4</v>
      </c>
    </row>
    <row r="2122" spans="1:6" ht="12.5">
      <c r="A2122" s="2">
        <v>1009</v>
      </c>
      <c r="B2122" s="2">
        <v>6119</v>
      </c>
      <c r="C2122" s="2">
        <v>0</v>
      </c>
      <c r="D2122" s="2">
        <v>0</v>
      </c>
      <c r="E2122" s="2">
        <v>1</v>
      </c>
      <c r="F2122" s="2">
        <v>2</v>
      </c>
    </row>
    <row r="2123" spans="1:6" ht="12.5">
      <c r="A2123" s="2">
        <v>1023</v>
      </c>
      <c r="B2123" s="2">
        <v>4550</v>
      </c>
      <c r="C2123" s="2">
        <v>0</v>
      </c>
      <c r="D2123" s="2">
        <v>0</v>
      </c>
      <c r="E2123" s="2">
        <v>1</v>
      </c>
      <c r="F2123" s="2">
        <v>3</v>
      </c>
    </row>
    <row r="2124" spans="1:6" ht="12.5">
      <c r="A2124" s="2">
        <v>1028</v>
      </c>
      <c r="B2124" s="2">
        <v>10175</v>
      </c>
      <c r="C2124" s="2">
        <v>0</v>
      </c>
      <c r="D2124" s="2">
        <v>0</v>
      </c>
      <c r="E2124" s="2">
        <v>1</v>
      </c>
      <c r="F2124" s="2">
        <v>3</v>
      </c>
    </row>
    <row r="2125" spans="1:6" ht="12.5">
      <c r="A2125" s="2">
        <v>1044</v>
      </c>
      <c r="B2125" s="2">
        <v>6287</v>
      </c>
      <c r="C2125" s="2">
        <v>0</v>
      </c>
      <c r="D2125" s="2">
        <v>0</v>
      </c>
      <c r="E2125" s="2">
        <v>1</v>
      </c>
      <c r="F2125" s="2">
        <v>2</v>
      </c>
    </row>
    <row r="2126" spans="1:6" ht="12.5">
      <c r="A2126" s="2">
        <v>1051</v>
      </c>
      <c r="B2126" s="2">
        <v>9725</v>
      </c>
      <c r="C2126" s="2">
        <v>0</v>
      </c>
      <c r="D2126" s="2">
        <v>0</v>
      </c>
      <c r="E2126" s="2">
        <v>1</v>
      </c>
      <c r="F2126" s="2">
        <v>2</v>
      </c>
    </row>
    <row r="2127" spans="1:6" ht="12.5">
      <c r="A2127" s="2">
        <v>1054</v>
      </c>
      <c r="B2127" s="2">
        <v>5731</v>
      </c>
      <c r="C2127" s="2">
        <v>0</v>
      </c>
      <c r="D2127" s="2">
        <v>0</v>
      </c>
      <c r="E2127" s="2">
        <v>1</v>
      </c>
      <c r="F2127" s="2">
        <v>3</v>
      </c>
    </row>
    <row r="2128" spans="1:6" ht="12.5">
      <c r="A2128" s="2">
        <v>1063</v>
      </c>
      <c r="B2128" s="2">
        <v>2055</v>
      </c>
      <c r="C2128" s="2">
        <v>0</v>
      </c>
      <c r="D2128" s="2">
        <v>2</v>
      </c>
      <c r="E2128" s="2">
        <v>1</v>
      </c>
      <c r="F2128" s="2">
        <v>2</v>
      </c>
    </row>
    <row r="2129" spans="1:6" ht="12.5">
      <c r="A2129" s="2">
        <v>1088</v>
      </c>
      <c r="B2129" s="2">
        <v>5577</v>
      </c>
      <c r="C2129" s="2">
        <v>0</v>
      </c>
      <c r="D2129" s="2">
        <v>1</v>
      </c>
      <c r="E2129" s="2">
        <v>1</v>
      </c>
      <c r="F2129" s="2">
        <v>2</v>
      </c>
    </row>
    <row r="2130" spans="1:6" ht="12.5">
      <c r="A2130" s="2">
        <v>1098</v>
      </c>
      <c r="B2130" s="2">
        <v>1109</v>
      </c>
      <c r="C2130" s="2">
        <v>0</v>
      </c>
      <c r="D2130" s="2">
        <v>0</v>
      </c>
      <c r="E2130" s="2">
        <v>1</v>
      </c>
      <c r="F2130" s="2">
        <v>2</v>
      </c>
    </row>
    <row r="2131" spans="1:6" ht="12.5">
      <c r="A2131" s="2">
        <v>1112</v>
      </c>
      <c r="B2131" s="2">
        <v>10022</v>
      </c>
      <c r="C2131" s="2">
        <v>0</v>
      </c>
      <c r="D2131" s="2">
        <v>0</v>
      </c>
      <c r="E2131" s="2">
        <v>1</v>
      </c>
      <c r="F2131" s="2">
        <v>2</v>
      </c>
    </row>
    <row r="2132" spans="1:6" ht="12.5">
      <c r="A2132" s="2">
        <v>1127</v>
      </c>
      <c r="B2132" s="2">
        <v>1010</v>
      </c>
      <c r="C2132" s="2">
        <v>0</v>
      </c>
      <c r="D2132" s="2">
        <v>1</v>
      </c>
      <c r="E2132" s="2">
        <v>1</v>
      </c>
      <c r="F2132" s="2">
        <v>3</v>
      </c>
    </row>
    <row r="2133" spans="1:6" ht="12.5">
      <c r="A2133" s="2">
        <v>1149</v>
      </c>
      <c r="B2133" s="2">
        <v>10525</v>
      </c>
      <c r="C2133" s="2">
        <v>0</v>
      </c>
      <c r="D2133" s="2">
        <v>0</v>
      </c>
      <c r="E2133" s="2">
        <v>1</v>
      </c>
      <c r="F2133" s="2">
        <v>2</v>
      </c>
    </row>
    <row r="2134" spans="1:6" ht="12.5">
      <c r="A2134" s="2">
        <v>1170</v>
      </c>
      <c r="B2134" s="2">
        <v>193</v>
      </c>
      <c r="C2134" s="2">
        <v>0</v>
      </c>
      <c r="D2134" s="2">
        <v>3</v>
      </c>
      <c r="E2134" s="2">
        <v>1</v>
      </c>
      <c r="F2134" s="2">
        <v>2</v>
      </c>
    </row>
    <row r="2135" spans="1:6" ht="12.5">
      <c r="A2135" s="2">
        <v>1176</v>
      </c>
      <c r="B2135" s="2">
        <v>5907</v>
      </c>
      <c r="C2135" s="2">
        <v>0</v>
      </c>
      <c r="D2135" s="2">
        <v>0</v>
      </c>
      <c r="E2135" s="2">
        <v>1</v>
      </c>
      <c r="F2135" s="2">
        <v>2</v>
      </c>
    </row>
    <row r="2136" spans="1:6" ht="12.5">
      <c r="A2136" s="2">
        <v>1192</v>
      </c>
      <c r="B2136" s="2">
        <v>2315</v>
      </c>
      <c r="C2136" s="2">
        <v>0</v>
      </c>
      <c r="D2136" s="2">
        <v>29</v>
      </c>
      <c r="E2136" s="2">
        <v>1</v>
      </c>
      <c r="F2136" s="2">
        <v>2</v>
      </c>
    </row>
    <row r="2137" spans="1:6" ht="12.5">
      <c r="A2137" s="2">
        <v>1208</v>
      </c>
      <c r="B2137" s="2">
        <v>8955</v>
      </c>
      <c r="C2137" s="2">
        <v>0</v>
      </c>
      <c r="D2137" s="2">
        <v>0</v>
      </c>
      <c r="E2137" s="2">
        <v>1</v>
      </c>
      <c r="F2137" s="2">
        <v>2</v>
      </c>
    </row>
    <row r="2138" spans="1:6" ht="12.5">
      <c r="A2138" s="2">
        <v>1231</v>
      </c>
      <c r="B2138" s="2">
        <v>7325</v>
      </c>
      <c r="C2138" s="2">
        <v>0</v>
      </c>
      <c r="D2138" s="2">
        <v>1</v>
      </c>
      <c r="E2138" s="2">
        <v>1</v>
      </c>
      <c r="F2138" s="2">
        <v>3</v>
      </c>
    </row>
    <row r="2139" spans="1:6" ht="12.5">
      <c r="A2139" s="2">
        <v>1234</v>
      </c>
      <c r="B2139" s="2">
        <v>6211</v>
      </c>
      <c r="C2139" s="2">
        <v>0</v>
      </c>
      <c r="D2139" s="2">
        <v>1</v>
      </c>
      <c r="E2139" s="2">
        <v>1</v>
      </c>
      <c r="F2139" s="2">
        <v>3</v>
      </c>
    </row>
    <row r="2140" spans="1:6" ht="12.5">
      <c r="A2140" s="2">
        <v>1248</v>
      </c>
      <c r="B2140" s="2">
        <v>4298</v>
      </c>
      <c r="C2140" s="2">
        <v>0</v>
      </c>
      <c r="D2140" s="2">
        <v>0</v>
      </c>
      <c r="E2140" s="2">
        <v>1</v>
      </c>
      <c r="F2140" s="2">
        <v>2</v>
      </c>
    </row>
    <row r="2141" spans="1:6" ht="12.5">
      <c r="A2141" s="2">
        <v>1258</v>
      </c>
      <c r="B2141" s="2">
        <v>5493</v>
      </c>
      <c r="C2141" s="2">
        <v>0</v>
      </c>
      <c r="D2141" s="2">
        <v>0</v>
      </c>
      <c r="E2141" s="2">
        <v>1</v>
      </c>
      <c r="F2141" s="2">
        <v>2</v>
      </c>
    </row>
    <row r="2142" spans="1:6" ht="12.5">
      <c r="A2142" s="2">
        <v>1260</v>
      </c>
      <c r="B2142" s="2">
        <v>5107</v>
      </c>
      <c r="C2142" s="2">
        <v>0</v>
      </c>
      <c r="D2142" s="2">
        <v>2</v>
      </c>
      <c r="E2142" s="2">
        <v>1</v>
      </c>
      <c r="F2142" s="2">
        <v>2</v>
      </c>
    </row>
    <row r="2143" spans="1:6" ht="12.5">
      <c r="A2143" s="2">
        <v>1293</v>
      </c>
      <c r="B2143" s="2">
        <v>7128</v>
      </c>
      <c r="C2143" s="2">
        <v>0</v>
      </c>
      <c r="D2143" s="2">
        <v>1</v>
      </c>
      <c r="E2143" s="2">
        <v>1</v>
      </c>
      <c r="F2143" s="2">
        <v>2</v>
      </c>
    </row>
    <row r="2144" spans="1:6" ht="12.5">
      <c r="A2144" s="2">
        <v>1294</v>
      </c>
      <c r="B2144" s="2">
        <v>2811</v>
      </c>
      <c r="C2144" s="2">
        <v>0</v>
      </c>
      <c r="D2144" s="2">
        <v>0</v>
      </c>
      <c r="E2144" s="2">
        <v>1</v>
      </c>
      <c r="F2144" s="2">
        <v>4</v>
      </c>
    </row>
    <row r="2145" spans="1:6" ht="12.5">
      <c r="A2145" s="2">
        <v>1343</v>
      </c>
      <c r="B2145" s="2">
        <v>2253</v>
      </c>
      <c r="C2145" s="2">
        <v>0</v>
      </c>
      <c r="D2145" s="2">
        <v>4</v>
      </c>
      <c r="E2145" s="2">
        <v>1</v>
      </c>
      <c r="F2145" s="2">
        <v>4</v>
      </c>
    </row>
    <row r="2146" spans="1:6" ht="12.5">
      <c r="A2146" s="2">
        <v>1372</v>
      </c>
      <c r="B2146" s="2">
        <v>10258</v>
      </c>
      <c r="C2146" s="2">
        <v>0</v>
      </c>
      <c r="D2146" s="2">
        <v>0</v>
      </c>
      <c r="E2146" s="2">
        <v>1</v>
      </c>
      <c r="F2146" s="2">
        <v>3</v>
      </c>
    </row>
    <row r="2147" spans="1:6" ht="12.5">
      <c r="A2147" s="2">
        <v>1396</v>
      </c>
      <c r="B2147" s="2">
        <v>8663</v>
      </c>
      <c r="C2147" s="2">
        <v>0</v>
      </c>
      <c r="D2147" s="2">
        <v>0</v>
      </c>
      <c r="E2147" s="2">
        <v>1</v>
      </c>
      <c r="F2147" s="2">
        <v>2</v>
      </c>
    </row>
    <row r="2148" spans="1:6" ht="12.5">
      <c r="A2148" s="2">
        <v>1420</v>
      </c>
      <c r="B2148" s="2">
        <v>5824</v>
      </c>
      <c r="C2148" s="2">
        <v>0</v>
      </c>
      <c r="D2148" s="2">
        <v>0</v>
      </c>
      <c r="E2148" s="2">
        <v>1</v>
      </c>
      <c r="F2148" s="2">
        <v>2</v>
      </c>
    </row>
    <row r="2149" spans="1:6" ht="12.5">
      <c r="A2149" s="2">
        <v>1426</v>
      </c>
      <c r="B2149" s="2">
        <v>8254</v>
      </c>
      <c r="C2149" s="2">
        <v>0</v>
      </c>
      <c r="D2149" s="2">
        <v>0</v>
      </c>
      <c r="E2149" s="2">
        <v>1</v>
      </c>
      <c r="F2149" s="2">
        <v>2</v>
      </c>
    </row>
    <row r="2150" spans="1:6" ht="12.5">
      <c r="A2150" s="2">
        <v>1430</v>
      </c>
      <c r="B2150" s="2">
        <v>7152</v>
      </c>
      <c r="C2150" s="2">
        <v>0</v>
      </c>
      <c r="D2150" s="2">
        <v>0</v>
      </c>
      <c r="E2150" s="2">
        <v>1</v>
      </c>
      <c r="F2150" s="2">
        <v>3</v>
      </c>
    </row>
    <row r="2151" spans="1:6" ht="12.5">
      <c r="A2151" s="2">
        <v>1462</v>
      </c>
      <c r="B2151" s="2">
        <v>2945</v>
      </c>
      <c r="C2151" s="2">
        <v>0</v>
      </c>
      <c r="D2151" s="2">
        <v>0</v>
      </c>
      <c r="E2151" s="2">
        <v>1</v>
      </c>
      <c r="F2151" s="2">
        <v>3</v>
      </c>
    </row>
    <row r="2152" spans="1:6" ht="12.5">
      <c r="A2152" s="2">
        <v>1464</v>
      </c>
      <c r="B2152" s="2">
        <v>5074</v>
      </c>
      <c r="C2152" s="2">
        <v>0</v>
      </c>
      <c r="D2152" s="2">
        <v>0</v>
      </c>
      <c r="E2152" s="2">
        <v>1</v>
      </c>
      <c r="F2152" s="2">
        <v>3</v>
      </c>
    </row>
    <row r="2153" spans="1:6" ht="12.5">
      <c r="A2153" s="2">
        <v>1472</v>
      </c>
      <c r="B2153" s="2">
        <v>4706</v>
      </c>
      <c r="C2153" s="2">
        <v>0</v>
      </c>
      <c r="D2153" s="2">
        <v>1</v>
      </c>
      <c r="E2153" s="2">
        <v>1</v>
      </c>
      <c r="F2153" s="2">
        <v>3</v>
      </c>
    </row>
    <row r="2154" spans="1:6" ht="12.5">
      <c r="A2154" s="2">
        <v>1536</v>
      </c>
      <c r="B2154" s="2">
        <v>451</v>
      </c>
      <c r="C2154" s="2">
        <v>0</v>
      </c>
      <c r="D2154" s="2">
        <v>0</v>
      </c>
      <c r="E2154" s="2">
        <v>1</v>
      </c>
      <c r="F2154" s="2">
        <v>2</v>
      </c>
    </row>
    <row r="2155" spans="1:6" ht="12.5">
      <c r="A2155" s="2">
        <v>1585</v>
      </c>
      <c r="B2155" s="2">
        <v>1626</v>
      </c>
      <c r="C2155" s="2">
        <v>0</v>
      </c>
      <c r="D2155" s="2">
        <v>2</v>
      </c>
      <c r="E2155" s="2">
        <v>1</v>
      </c>
      <c r="F2155" s="2">
        <v>2</v>
      </c>
    </row>
    <row r="2156" spans="1:6" ht="12.5">
      <c r="A2156" s="2">
        <v>1599</v>
      </c>
      <c r="B2156" s="2">
        <v>7943</v>
      </c>
      <c r="C2156" s="2">
        <v>0</v>
      </c>
      <c r="D2156" s="2">
        <v>3</v>
      </c>
      <c r="E2156" s="2">
        <v>1</v>
      </c>
      <c r="F2156" s="2">
        <v>3</v>
      </c>
    </row>
    <row r="2157" spans="1:6" ht="12.5">
      <c r="A2157" s="2">
        <v>1614</v>
      </c>
      <c r="B2157" s="2">
        <v>6215</v>
      </c>
      <c r="C2157" s="2">
        <v>0</v>
      </c>
      <c r="D2157" s="2">
        <v>1</v>
      </c>
      <c r="E2157" s="2">
        <v>1</v>
      </c>
      <c r="F2157" s="2">
        <v>2</v>
      </c>
    </row>
    <row r="2158" spans="1:6" ht="12.5">
      <c r="A2158" s="2">
        <v>1616</v>
      </c>
      <c r="B2158" s="2">
        <v>5423</v>
      </c>
      <c r="C2158" s="2">
        <v>0</v>
      </c>
      <c r="D2158" s="2">
        <v>1</v>
      </c>
      <c r="E2158" s="2">
        <v>1</v>
      </c>
      <c r="F2158" s="2">
        <v>2</v>
      </c>
    </row>
    <row r="2159" spans="1:6" ht="12.5">
      <c r="A2159" s="2">
        <v>1640</v>
      </c>
      <c r="B2159" s="2">
        <v>6866</v>
      </c>
      <c r="C2159" s="2">
        <v>0</v>
      </c>
      <c r="D2159" s="2">
        <v>3</v>
      </c>
      <c r="E2159" s="2">
        <v>1</v>
      </c>
      <c r="F2159" s="2">
        <v>3</v>
      </c>
    </row>
    <row r="2160" spans="1:6" ht="12.5">
      <c r="A2160" s="2">
        <v>1654</v>
      </c>
      <c r="B2160" s="2">
        <v>13</v>
      </c>
      <c r="C2160" s="2">
        <v>0</v>
      </c>
      <c r="D2160" s="2">
        <v>0</v>
      </c>
      <c r="E2160" s="2">
        <v>1</v>
      </c>
      <c r="F2160" s="2">
        <v>3</v>
      </c>
    </row>
    <row r="2161" spans="1:6" ht="12.5">
      <c r="A2161" s="2">
        <v>1685</v>
      </c>
      <c r="B2161" s="2">
        <v>7947</v>
      </c>
      <c r="C2161" s="2">
        <v>0</v>
      </c>
      <c r="D2161" s="2">
        <v>1</v>
      </c>
      <c r="E2161" s="2">
        <v>1</v>
      </c>
      <c r="F2161" s="2">
        <v>3</v>
      </c>
    </row>
    <row r="2162" spans="1:6" ht="12.5">
      <c r="A2162" s="2">
        <v>1692</v>
      </c>
      <c r="B2162" s="2">
        <v>10790</v>
      </c>
      <c r="C2162" s="2">
        <v>0</v>
      </c>
      <c r="D2162" s="2">
        <v>0</v>
      </c>
      <c r="E2162" s="2">
        <v>1</v>
      </c>
      <c r="F2162" s="2">
        <v>2</v>
      </c>
    </row>
    <row r="2163" spans="1:6" ht="12.5">
      <c r="A2163" s="2">
        <v>1698</v>
      </c>
      <c r="B2163" s="2">
        <v>10356</v>
      </c>
      <c r="C2163" s="2">
        <v>0</v>
      </c>
      <c r="D2163" s="2">
        <v>0</v>
      </c>
      <c r="E2163" s="2">
        <v>1</v>
      </c>
      <c r="F2163" s="2">
        <v>3</v>
      </c>
    </row>
    <row r="2164" spans="1:6" ht="12.5">
      <c r="A2164" s="2">
        <v>1758</v>
      </c>
      <c r="B2164" s="2">
        <v>5247</v>
      </c>
      <c r="C2164" s="2">
        <v>0</v>
      </c>
      <c r="D2164" s="2">
        <v>1</v>
      </c>
      <c r="E2164" s="2">
        <v>1</v>
      </c>
      <c r="F2164" s="2">
        <v>4</v>
      </c>
    </row>
    <row r="2165" spans="1:6" ht="12.5">
      <c r="A2165" s="2">
        <v>1774</v>
      </c>
      <c r="B2165" s="2">
        <v>2694</v>
      </c>
      <c r="C2165" s="2">
        <v>0</v>
      </c>
      <c r="D2165" s="2">
        <v>0</v>
      </c>
      <c r="E2165" s="2">
        <v>1</v>
      </c>
      <c r="F2165" s="2">
        <v>3</v>
      </c>
    </row>
    <row r="2166" spans="1:6" ht="12.5">
      <c r="A2166" s="2">
        <v>1791</v>
      </c>
      <c r="B2166" s="2">
        <v>9150</v>
      </c>
      <c r="C2166" s="2">
        <v>0</v>
      </c>
      <c r="D2166" s="2">
        <v>0</v>
      </c>
      <c r="E2166" s="2">
        <v>1</v>
      </c>
      <c r="F2166" s="2">
        <v>4</v>
      </c>
    </row>
    <row r="2167" spans="1:6" ht="12.5">
      <c r="A2167" s="2">
        <v>1795</v>
      </c>
      <c r="B2167" s="2">
        <v>10691</v>
      </c>
      <c r="C2167" s="2">
        <v>0</v>
      </c>
      <c r="D2167" s="2">
        <v>2</v>
      </c>
      <c r="E2167" s="2">
        <v>1</v>
      </c>
      <c r="F2167" s="2">
        <v>2</v>
      </c>
    </row>
    <row r="2168" spans="1:6" ht="12.5">
      <c r="A2168" s="2">
        <v>1804</v>
      </c>
      <c r="B2168" s="2">
        <v>8397</v>
      </c>
      <c r="C2168" s="2">
        <v>0</v>
      </c>
      <c r="D2168" s="2">
        <v>0</v>
      </c>
      <c r="E2168" s="2">
        <v>1</v>
      </c>
      <c r="F2168" s="2">
        <v>2</v>
      </c>
    </row>
    <row r="2169" spans="1:6" ht="12.5">
      <c r="A2169" s="2">
        <v>1815</v>
      </c>
      <c r="B2169" s="2">
        <v>2549</v>
      </c>
      <c r="C2169" s="2">
        <v>0</v>
      </c>
      <c r="D2169" s="2">
        <v>0</v>
      </c>
      <c r="E2169" s="2">
        <v>1</v>
      </c>
      <c r="F2169" s="2">
        <v>3</v>
      </c>
    </row>
    <row r="2170" spans="1:6" ht="12.5">
      <c r="A2170" s="2">
        <v>1819</v>
      </c>
      <c r="B2170" s="2">
        <v>8566</v>
      </c>
      <c r="C2170" s="2">
        <v>0</v>
      </c>
      <c r="D2170" s="2">
        <v>0</v>
      </c>
      <c r="E2170" s="2">
        <v>1</v>
      </c>
      <c r="F2170" s="2">
        <v>2</v>
      </c>
    </row>
    <row r="2171" spans="1:6" ht="12.5">
      <c r="A2171" s="2">
        <v>1825</v>
      </c>
      <c r="B2171" s="2">
        <v>78</v>
      </c>
      <c r="C2171" s="2">
        <v>0</v>
      </c>
      <c r="D2171" s="2">
        <v>2</v>
      </c>
      <c r="E2171" s="2">
        <v>1</v>
      </c>
      <c r="F2171" s="2">
        <v>2</v>
      </c>
    </row>
    <row r="2172" spans="1:6" ht="12.5">
      <c r="A2172" s="2">
        <v>1861</v>
      </c>
      <c r="B2172" s="2">
        <v>10241</v>
      </c>
      <c r="C2172" s="2">
        <v>0</v>
      </c>
      <c r="D2172" s="2">
        <v>2</v>
      </c>
      <c r="E2172" s="2">
        <v>1</v>
      </c>
      <c r="F2172" s="2">
        <v>2</v>
      </c>
    </row>
    <row r="2173" spans="1:6" ht="12.5">
      <c r="A2173" s="2">
        <v>1881</v>
      </c>
      <c r="B2173" s="2">
        <v>8341</v>
      </c>
      <c r="C2173" s="2">
        <v>0</v>
      </c>
      <c r="D2173" s="2">
        <v>1</v>
      </c>
      <c r="E2173" s="2">
        <v>1</v>
      </c>
      <c r="F2173" s="2">
        <v>2</v>
      </c>
    </row>
    <row r="2174" spans="1:6" ht="12.5">
      <c r="A2174" s="2">
        <v>1916</v>
      </c>
      <c r="B2174" s="2">
        <v>2326</v>
      </c>
      <c r="C2174" s="2">
        <v>0</v>
      </c>
      <c r="D2174" s="2">
        <v>4</v>
      </c>
      <c r="E2174" s="2">
        <v>1</v>
      </c>
      <c r="F2174" s="2">
        <v>4</v>
      </c>
    </row>
    <row r="2175" spans="1:6" ht="12.5">
      <c r="A2175" s="2">
        <v>1919</v>
      </c>
      <c r="B2175" s="2">
        <v>10686</v>
      </c>
      <c r="C2175" s="2">
        <v>0</v>
      </c>
      <c r="D2175" s="2">
        <v>0</v>
      </c>
      <c r="E2175" s="2">
        <v>1</v>
      </c>
      <c r="F2175" s="2">
        <v>2</v>
      </c>
    </row>
    <row r="2176" spans="1:6" ht="12.5">
      <c r="A2176" s="2">
        <v>1942</v>
      </c>
      <c r="B2176" s="2">
        <v>5393</v>
      </c>
      <c r="C2176" s="2">
        <v>0</v>
      </c>
      <c r="D2176" s="2">
        <v>2</v>
      </c>
      <c r="E2176" s="2">
        <v>1</v>
      </c>
      <c r="F2176" s="2">
        <v>3</v>
      </c>
    </row>
    <row r="2177" spans="1:6" ht="12.5">
      <c r="A2177" s="2">
        <v>1956</v>
      </c>
      <c r="B2177" s="2">
        <v>8514</v>
      </c>
      <c r="C2177" s="2">
        <v>0</v>
      </c>
      <c r="D2177" s="2">
        <v>1</v>
      </c>
      <c r="E2177" s="2">
        <v>1</v>
      </c>
      <c r="F2177" s="2">
        <v>3</v>
      </c>
    </row>
    <row r="2178" spans="1:6" ht="12.5">
      <c r="A2178" s="2">
        <v>1971</v>
      </c>
      <c r="B2178" s="2">
        <v>4338</v>
      </c>
      <c r="C2178" s="2">
        <v>0</v>
      </c>
      <c r="D2178" s="2">
        <v>0</v>
      </c>
      <c r="E2178" s="2">
        <v>1</v>
      </c>
      <c r="F2178" s="2">
        <v>3</v>
      </c>
    </row>
    <row r="2179" spans="1:6" ht="12.5">
      <c r="A2179" s="2">
        <v>2018</v>
      </c>
      <c r="B2179" s="2">
        <v>255</v>
      </c>
      <c r="C2179" s="2">
        <v>0</v>
      </c>
      <c r="D2179" s="2">
        <v>0</v>
      </c>
      <c r="E2179" s="2">
        <v>1</v>
      </c>
      <c r="F2179" s="2">
        <v>3</v>
      </c>
    </row>
    <row r="2180" spans="1:6" ht="12.5">
      <c r="A2180" s="2">
        <v>2054</v>
      </c>
      <c r="B2180" s="2">
        <v>6382</v>
      </c>
      <c r="C2180" s="2">
        <v>0</v>
      </c>
      <c r="D2180" s="2">
        <v>0</v>
      </c>
      <c r="E2180" s="2">
        <v>1</v>
      </c>
      <c r="F2180" s="2">
        <v>3</v>
      </c>
    </row>
    <row r="2181" spans="1:6" ht="12.5">
      <c r="A2181" s="2">
        <v>2072</v>
      </c>
      <c r="B2181" s="2">
        <v>5517</v>
      </c>
      <c r="C2181" s="2">
        <v>0</v>
      </c>
      <c r="D2181" s="2">
        <v>2</v>
      </c>
      <c r="E2181" s="2">
        <v>1</v>
      </c>
      <c r="F2181" s="2">
        <v>2</v>
      </c>
    </row>
    <row r="2182" spans="1:6" ht="12.5">
      <c r="A2182" s="2">
        <v>2076</v>
      </c>
      <c r="B2182" s="2">
        <v>6958</v>
      </c>
      <c r="C2182" s="2">
        <v>0</v>
      </c>
      <c r="D2182" s="2">
        <v>0</v>
      </c>
      <c r="E2182" s="2">
        <v>1</v>
      </c>
      <c r="F2182" s="2">
        <v>2</v>
      </c>
    </row>
    <row r="2183" spans="1:6" ht="12.5">
      <c r="A2183" s="2">
        <v>2100</v>
      </c>
      <c r="B2183" s="2">
        <v>1055</v>
      </c>
      <c r="C2183" s="2">
        <v>0</v>
      </c>
      <c r="D2183" s="2">
        <v>0</v>
      </c>
      <c r="E2183" s="2">
        <v>1</v>
      </c>
      <c r="F2183" s="2">
        <v>3</v>
      </c>
    </row>
    <row r="2184" spans="1:6" ht="12.5">
      <c r="A2184" s="2">
        <v>2121</v>
      </c>
      <c r="B2184" s="2">
        <v>10067</v>
      </c>
      <c r="C2184" s="2">
        <v>0</v>
      </c>
      <c r="D2184" s="2">
        <v>0</v>
      </c>
      <c r="E2184" s="2">
        <v>1</v>
      </c>
      <c r="F2184" s="2">
        <v>2</v>
      </c>
    </row>
    <row r="2185" spans="1:6" ht="12.5">
      <c r="A2185" s="2">
        <v>2124</v>
      </c>
      <c r="B2185" s="2">
        <v>2115</v>
      </c>
      <c r="C2185" s="2">
        <v>0</v>
      </c>
      <c r="D2185" s="2">
        <v>0</v>
      </c>
      <c r="E2185" s="2">
        <v>1</v>
      </c>
      <c r="F2185" s="2">
        <v>4</v>
      </c>
    </row>
    <row r="2186" spans="1:6" ht="12.5">
      <c r="A2186" s="2">
        <v>2129</v>
      </c>
      <c r="B2186" s="2">
        <v>10104</v>
      </c>
      <c r="C2186" s="2">
        <v>0</v>
      </c>
      <c r="D2186" s="2">
        <v>0</v>
      </c>
      <c r="E2186" s="2">
        <v>1</v>
      </c>
      <c r="F2186" s="2">
        <v>2</v>
      </c>
    </row>
    <row r="2187" spans="1:6" ht="12.5">
      <c r="A2187" s="2">
        <v>2130</v>
      </c>
      <c r="B2187" s="2">
        <v>3006</v>
      </c>
      <c r="C2187" s="2">
        <v>0</v>
      </c>
      <c r="D2187" s="2">
        <v>3</v>
      </c>
      <c r="E2187" s="2">
        <v>1</v>
      </c>
      <c r="F2187" s="2">
        <v>3</v>
      </c>
    </row>
    <row r="2188" spans="1:6" ht="12.5">
      <c r="A2188" s="2">
        <v>2140</v>
      </c>
      <c r="B2188" s="2">
        <v>10432</v>
      </c>
      <c r="C2188" s="2">
        <v>0</v>
      </c>
      <c r="D2188" s="2">
        <v>6</v>
      </c>
      <c r="E2188" s="2">
        <v>1</v>
      </c>
      <c r="F2188" s="2">
        <v>3</v>
      </c>
    </row>
    <row r="2189" spans="1:6" ht="12.5">
      <c r="A2189" s="2">
        <v>2149</v>
      </c>
      <c r="B2189" s="2">
        <v>10609</v>
      </c>
      <c r="C2189" s="2">
        <v>0</v>
      </c>
      <c r="D2189" s="2">
        <v>1</v>
      </c>
      <c r="E2189" s="2">
        <v>1</v>
      </c>
      <c r="F2189" s="2">
        <v>4</v>
      </c>
    </row>
    <row r="2190" spans="1:6" ht="12.5">
      <c r="A2190" s="2">
        <v>2184</v>
      </c>
      <c r="B2190" s="2">
        <v>8207</v>
      </c>
      <c r="C2190" s="2">
        <v>0</v>
      </c>
      <c r="D2190" s="2">
        <v>0</v>
      </c>
      <c r="E2190" s="2">
        <v>1</v>
      </c>
      <c r="F2190" s="2">
        <v>3</v>
      </c>
    </row>
    <row r="2191" spans="1:6" ht="12.5">
      <c r="A2191" s="2">
        <v>2204</v>
      </c>
      <c r="B2191" s="2">
        <v>1876</v>
      </c>
      <c r="C2191" s="2">
        <v>0</v>
      </c>
      <c r="D2191" s="2">
        <v>4</v>
      </c>
      <c r="E2191" s="2">
        <v>1</v>
      </c>
      <c r="F2191" s="2">
        <v>4</v>
      </c>
    </row>
    <row r="2192" spans="1:6" ht="12.5">
      <c r="A2192" s="2">
        <v>2209</v>
      </c>
      <c r="B2192" s="2">
        <v>6168</v>
      </c>
      <c r="C2192" s="2">
        <v>0</v>
      </c>
      <c r="D2192" s="2">
        <v>0</v>
      </c>
      <c r="E2192" s="2">
        <v>1</v>
      </c>
      <c r="F2192" s="2">
        <v>2</v>
      </c>
    </row>
    <row r="2193" spans="1:6" ht="12.5">
      <c r="A2193" s="2">
        <v>1042</v>
      </c>
      <c r="B2193" s="2">
        <v>10749</v>
      </c>
      <c r="C2193" s="2">
        <v>18</v>
      </c>
      <c r="D2193" s="2">
        <v>12</v>
      </c>
      <c r="E2193" s="2">
        <v>0</v>
      </c>
      <c r="F2193" s="2">
        <v>0</v>
      </c>
    </row>
    <row r="2194" spans="1:6" ht="12.5">
      <c r="A2194" s="2">
        <v>687</v>
      </c>
      <c r="B2194" s="2">
        <v>1501</v>
      </c>
      <c r="C2194" s="2">
        <v>16</v>
      </c>
      <c r="D2194" s="2">
        <v>3</v>
      </c>
      <c r="E2194" s="2">
        <v>0</v>
      </c>
      <c r="F2194" s="2">
        <v>1</v>
      </c>
    </row>
    <row r="2195" spans="1:6" ht="12.5">
      <c r="A2195" s="2">
        <v>381</v>
      </c>
      <c r="B2195" s="2">
        <v>9543</v>
      </c>
      <c r="C2195" s="2">
        <v>6</v>
      </c>
      <c r="D2195" s="2">
        <v>2</v>
      </c>
      <c r="E2195" s="2">
        <v>0</v>
      </c>
      <c r="F2195" s="2">
        <v>3</v>
      </c>
    </row>
    <row r="2196" spans="1:6" ht="12.5">
      <c r="A2196" s="2">
        <v>661</v>
      </c>
      <c r="B2196" s="2">
        <v>7093</v>
      </c>
      <c r="C2196" s="2">
        <v>6</v>
      </c>
      <c r="D2196" s="2">
        <v>2</v>
      </c>
      <c r="E2196" s="2">
        <v>0</v>
      </c>
      <c r="F2196" s="2">
        <v>3</v>
      </c>
    </row>
    <row r="2197" spans="1:6" ht="12.5">
      <c r="A2197" s="2">
        <v>991</v>
      </c>
      <c r="B2197" s="2">
        <v>9850</v>
      </c>
      <c r="C2197" s="2">
        <v>6</v>
      </c>
      <c r="D2197" s="2">
        <v>0</v>
      </c>
      <c r="E2197" s="2">
        <v>0</v>
      </c>
      <c r="F2197" s="2">
        <v>3</v>
      </c>
    </row>
    <row r="2198" spans="1:6" ht="12.5">
      <c r="A2198" s="2">
        <v>205</v>
      </c>
      <c r="B2198" s="2">
        <v>624</v>
      </c>
      <c r="C2198" s="2">
        <v>4</v>
      </c>
      <c r="D2198" s="2">
        <v>2</v>
      </c>
      <c r="E2198" s="2">
        <v>0</v>
      </c>
      <c r="F2198" s="2">
        <v>2</v>
      </c>
    </row>
    <row r="2199" spans="1:6" ht="12.5">
      <c r="A2199" s="2">
        <v>1437</v>
      </c>
      <c r="B2199" s="2">
        <v>2518</v>
      </c>
      <c r="C2199" s="2">
        <v>4</v>
      </c>
      <c r="D2199" s="2">
        <v>2</v>
      </c>
      <c r="E2199" s="2">
        <v>0</v>
      </c>
      <c r="F2199" s="2">
        <v>2</v>
      </c>
    </row>
    <row r="2200" spans="1:6" ht="12.5">
      <c r="A2200" s="2">
        <v>1128</v>
      </c>
      <c r="B2200" s="2">
        <v>8977</v>
      </c>
      <c r="C2200" s="2">
        <v>3</v>
      </c>
      <c r="D2200" s="2">
        <v>3</v>
      </c>
      <c r="E2200" s="2">
        <v>0</v>
      </c>
      <c r="F2200" s="2">
        <v>3</v>
      </c>
    </row>
    <row r="2201" spans="1:6" ht="12.5">
      <c r="A2201" s="2">
        <v>2003</v>
      </c>
      <c r="B2201" s="2">
        <v>6679</v>
      </c>
      <c r="C2201" s="2">
        <v>3</v>
      </c>
      <c r="D2201" s="2">
        <v>0</v>
      </c>
      <c r="E2201" s="2">
        <v>0</v>
      </c>
      <c r="F2201" s="2">
        <v>3</v>
      </c>
    </row>
    <row r="2202" spans="1:6" ht="12.5">
      <c r="A2202" s="2">
        <v>164</v>
      </c>
      <c r="B2202" s="2">
        <v>8475</v>
      </c>
      <c r="C2202" s="2">
        <v>2</v>
      </c>
      <c r="D2202" s="2">
        <v>2</v>
      </c>
      <c r="E2202" s="2">
        <v>0</v>
      </c>
      <c r="F2202" s="2">
        <v>0</v>
      </c>
    </row>
    <row r="2203" spans="1:6" ht="12.5">
      <c r="A2203" s="2">
        <v>774</v>
      </c>
      <c r="B2203" s="2">
        <v>4303</v>
      </c>
      <c r="C2203" s="2">
        <v>2</v>
      </c>
      <c r="D2203" s="2">
        <v>2</v>
      </c>
      <c r="E2203" s="2">
        <v>0</v>
      </c>
      <c r="F2203" s="2">
        <v>1</v>
      </c>
    </row>
    <row r="2204" spans="1:6" ht="12.5">
      <c r="A2204" s="2">
        <v>862</v>
      </c>
      <c r="B2204" s="2">
        <v>9553</v>
      </c>
      <c r="C2204" s="2">
        <v>2</v>
      </c>
      <c r="D2204" s="2">
        <v>1</v>
      </c>
      <c r="E2204" s="2">
        <v>0</v>
      </c>
      <c r="F2204" s="2">
        <v>3</v>
      </c>
    </row>
    <row r="2205" spans="1:6" ht="12.5">
      <c r="A2205" s="2">
        <v>1352</v>
      </c>
      <c r="B2205" s="2">
        <v>8369</v>
      </c>
      <c r="C2205" s="2">
        <v>2</v>
      </c>
      <c r="D2205" s="2">
        <v>3</v>
      </c>
      <c r="E2205" s="2">
        <v>0</v>
      </c>
      <c r="F2205" s="2">
        <v>2</v>
      </c>
    </row>
    <row r="2206" spans="1:6" ht="12.5">
      <c r="A2206" s="2">
        <v>1938</v>
      </c>
      <c r="B2206" s="2">
        <v>9291</v>
      </c>
      <c r="C2206" s="2">
        <v>2</v>
      </c>
      <c r="D2206" s="2">
        <v>0</v>
      </c>
      <c r="E2206" s="2">
        <v>0</v>
      </c>
      <c r="F2206" s="2">
        <v>3</v>
      </c>
    </row>
    <row r="2207" spans="1:6" ht="12.5">
      <c r="A2207" s="2">
        <v>2119</v>
      </c>
      <c r="B2207" s="2">
        <v>6147</v>
      </c>
      <c r="C2207" s="2">
        <v>2</v>
      </c>
      <c r="D2207" s="2">
        <v>2</v>
      </c>
      <c r="E2207" s="2">
        <v>0</v>
      </c>
      <c r="F2207" s="2">
        <v>2</v>
      </c>
    </row>
    <row r="2208" spans="1:6" ht="12.5">
      <c r="A2208" s="2">
        <v>2228</v>
      </c>
      <c r="B2208" s="2">
        <v>8720</v>
      </c>
      <c r="C2208" s="2">
        <v>2</v>
      </c>
      <c r="D2208" s="2">
        <v>4</v>
      </c>
      <c r="E2208" s="2">
        <v>0</v>
      </c>
      <c r="F2208" s="2">
        <v>1</v>
      </c>
    </row>
    <row r="2209" spans="1:6" ht="12.5">
      <c r="A2209" s="2">
        <v>21</v>
      </c>
      <c r="B2209" s="2">
        <v>5376</v>
      </c>
      <c r="C2209" s="2">
        <v>1</v>
      </c>
      <c r="D2209" s="2">
        <v>1</v>
      </c>
      <c r="E2209" s="2">
        <v>0</v>
      </c>
      <c r="F2209" s="2">
        <v>0</v>
      </c>
    </row>
    <row r="2210" spans="1:6" ht="12.5">
      <c r="A2210" s="2">
        <v>157</v>
      </c>
      <c r="B2210" s="2">
        <v>9283</v>
      </c>
      <c r="C2210" s="2">
        <v>1</v>
      </c>
      <c r="D2210" s="2">
        <v>0</v>
      </c>
      <c r="E2210" s="2">
        <v>0</v>
      </c>
      <c r="F2210" s="2">
        <v>3</v>
      </c>
    </row>
    <row r="2211" spans="1:6" ht="12.5">
      <c r="A2211" s="2">
        <v>294</v>
      </c>
      <c r="B2211" s="2">
        <v>10451</v>
      </c>
      <c r="C2211" s="2">
        <v>1</v>
      </c>
      <c r="D2211" s="2">
        <v>4</v>
      </c>
      <c r="E2211" s="2">
        <v>0</v>
      </c>
      <c r="F2211" s="2">
        <v>3</v>
      </c>
    </row>
    <row r="2212" spans="1:6" ht="12.5">
      <c r="A2212" s="2">
        <v>442</v>
      </c>
      <c r="B2212" s="2">
        <v>5029</v>
      </c>
      <c r="C2212" s="2">
        <v>1</v>
      </c>
      <c r="D2212" s="2">
        <v>3</v>
      </c>
      <c r="E2212" s="2">
        <v>0</v>
      </c>
      <c r="F2212" s="2">
        <v>3</v>
      </c>
    </row>
    <row r="2213" spans="1:6" ht="12.5">
      <c r="A2213" s="2">
        <v>617</v>
      </c>
      <c r="B2213" s="2">
        <v>1503</v>
      </c>
      <c r="C2213" s="2">
        <v>1</v>
      </c>
      <c r="D2213" s="2">
        <v>1</v>
      </c>
      <c r="E2213" s="2">
        <v>0</v>
      </c>
      <c r="F2213" s="2">
        <v>1</v>
      </c>
    </row>
    <row r="2214" spans="1:6" ht="12.5">
      <c r="A2214" s="2">
        <v>655</v>
      </c>
      <c r="B2214" s="2">
        <v>5555</v>
      </c>
      <c r="C2214" s="2">
        <v>1</v>
      </c>
      <c r="D2214" s="2">
        <v>1</v>
      </c>
      <c r="E2214" s="2">
        <v>0</v>
      </c>
      <c r="F2214" s="2">
        <v>0</v>
      </c>
    </row>
    <row r="2215" spans="1:6" ht="12.5">
      <c r="A2215" s="2">
        <v>882</v>
      </c>
      <c r="B2215" s="2">
        <v>8916</v>
      </c>
      <c r="C2215" s="2">
        <v>1</v>
      </c>
      <c r="D2215" s="2">
        <v>0</v>
      </c>
      <c r="E2215" s="2">
        <v>0</v>
      </c>
      <c r="F2215" s="2">
        <v>3</v>
      </c>
    </row>
    <row r="2216" spans="1:6" ht="12.5">
      <c r="A2216" s="2">
        <v>980</v>
      </c>
      <c r="B2216" s="2">
        <v>2166</v>
      </c>
      <c r="C2216" s="2">
        <v>1</v>
      </c>
      <c r="D2216" s="2">
        <v>0</v>
      </c>
      <c r="E2216" s="2">
        <v>0</v>
      </c>
      <c r="F2216" s="2">
        <v>2</v>
      </c>
    </row>
    <row r="2217" spans="1:6" ht="12.5">
      <c r="A2217" s="2">
        <v>981</v>
      </c>
      <c r="B2217" s="2">
        <v>3955</v>
      </c>
      <c r="C2217" s="2">
        <v>1</v>
      </c>
      <c r="D2217" s="2">
        <v>0</v>
      </c>
      <c r="E2217" s="2">
        <v>0</v>
      </c>
      <c r="F2217" s="2">
        <v>0</v>
      </c>
    </row>
    <row r="2218" spans="1:6" ht="12.5">
      <c r="A2218" s="2">
        <v>1245</v>
      </c>
      <c r="B2218" s="2">
        <v>6862</v>
      </c>
      <c r="C2218" s="2">
        <v>1</v>
      </c>
      <c r="D2218" s="2">
        <v>1</v>
      </c>
      <c r="E2218" s="2">
        <v>0</v>
      </c>
      <c r="F2218" s="2">
        <v>0</v>
      </c>
    </row>
    <row r="2219" spans="1:6" ht="12.5">
      <c r="A2219" s="2">
        <v>1524</v>
      </c>
      <c r="B2219" s="2">
        <v>11110</v>
      </c>
      <c r="C2219" s="2">
        <v>1</v>
      </c>
      <c r="D2219" s="2">
        <v>0</v>
      </c>
      <c r="E2219" s="2">
        <v>0</v>
      </c>
      <c r="F2219" s="2">
        <v>0</v>
      </c>
    </row>
    <row r="2220" spans="1:6" ht="12.5">
      <c r="A2220" s="2">
        <v>1549</v>
      </c>
      <c r="B2220" s="2">
        <v>2217</v>
      </c>
      <c r="C2220" s="2">
        <v>1</v>
      </c>
      <c r="D2220" s="2">
        <v>1</v>
      </c>
      <c r="E2220" s="2">
        <v>0</v>
      </c>
      <c r="F2220" s="2">
        <v>3</v>
      </c>
    </row>
    <row r="2221" spans="1:6" ht="12.5">
      <c r="A2221" s="2">
        <v>1645</v>
      </c>
      <c r="B2221" s="2">
        <v>10141</v>
      </c>
      <c r="C2221" s="2">
        <v>1</v>
      </c>
      <c r="D2221" s="2">
        <v>3</v>
      </c>
      <c r="E2221" s="2">
        <v>0</v>
      </c>
      <c r="F2221" s="2">
        <v>3</v>
      </c>
    </row>
    <row r="2222" spans="1:6" ht="12.5">
      <c r="A2222" s="2">
        <v>2015</v>
      </c>
      <c r="B2222" s="2">
        <v>4102</v>
      </c>
      <c r="C2222" s="2">
        <v>1</v>
      </c>
      <c r="D2222" s="2">
        <v>1</v>
      </c>
      <c r="E2222" s="2">
        <v>0</v>
      </c>
      <c r="F2222" s="2">
        <v>3</v>
      </c>
    </row>
    <row r="2223" spans="1:6" ht="12.5">
      <c r="A2223" s="2">
        <v>2026</v>
      </c>
      <c r="B2223" s="2">
        <v>4198</v>
      </c>
      <c r="C2223" s="2">
        <v>1</v>
      </c>
      <c r="D2223" s="2">
        <v>4</v>
      </c>
      <c r="E2223" s="2">
        <v>0</v>
      </c>
      <c r="F2223" s="2">
        <v>3</v>
      </c>
    </row>
    <row r="2224" spans="1:6" ht="12.5">
      <c r="A2224" s="2">
        <v>2089</v>
      </c>
      <c r="B2224" s="2">
        <v>7901</v>
      </c>
      <c r="C2224" s="2">
        <v>1</v>
      </c>
      <c r="D2224" s="2">
        <v>1</v>
      </c>
      <c r="E2224" s="2">
        <v>0</v>
      </c>
      <c r="F2224" s="2">
        <v>3</v>
      </c>
    </row>
    <row r="2225" spans="1:6" ht="12.5">
      <c r="A2225" s="2">
        <v>2132</v>
      </c>
      <c r="B2225" s="2">
        <v>11181</v>
      </c>
      <c r="C2225" s="2">
        <v>1</v>
      </c>
      <c r="D2225" s="2">
        <v>1</v>
      </c>
      <c r="E2225" s="2">
        <v>0</v>
      </c>
      <c r="F2225" s="2">
        <v>0</v>
      </c>
    </row>
    <row r="2226" spans="1:6" ht="12.5">
      <c r="A2226" s="2">
        <v>2192</v>
      </c>
      <c r="B2226" s="2">
        <v>7990</v>
      </c>
      <c r="C2226" s="2">
        <v>1</v>
      </c>
      <c r="D2226" s="2">
        <v>2</v>
      </c>
      <c r="E2226" s="2">
        <v>0</v>
      </c>
      <c r="F2226" s="2">
        <v>3</v>
      </c>
    </row>
    <row r="2227" spans="1:6" ht="12.5">
      <c r="A2227" s="2">
        <v>2232</v>
      </c>
      <c r="B2227" s="2">
        <v>8080</v>
      </c>
      <c r="C2227" s="2">
        <v>1</v>
      </c>
      <c r="D2227" s="2">
        <v>4</v>
      </c>
      <c r="E2227" s="2">
        <v>0</v>
      </c>
      <c r="F2227" s="2">
        <v>3</v>
      </c>
    </row>
    <row r="2228" spans="1:6" ht="12.5">
      <c r="A2228" s="2">
        <v>42</v>
      </c>
      <c r="B2228" s="2">
        <v>8430</v>
      </c>
      <c r="C2228" s="2">
        <v>0</v>
      </c>
      <c r="D2228" s="2">
        <v>1</v>
      </c>
      <c r="E2228" s="2">
        <v>0</v>
      </c>
      <c r="F2228" s="2">
        <v>3</v>
      </c>
    </row>
    <row r="2229" spans="1:6" ht="12.5">
      <c r="A2229" s="2">
        <v>78</v>
      </c>
      <c r="B2229" s="2">
        <v>10401</v>
      </c>
      <c r="C2229" s="2">
        <v>0</v>
      </c>
      <c r="D2229" s="2">
        <v>3</v>
      </c>
      <c r="E2229" s="2">
        <v>0</v>
      </c>
      <c r="F2229" s="2">
        <v>3</v>
      </c>
    </row>
    <row r="2230" spans="1:6" ht="12.5">
      <c r="A2230" s="2">
        <v>178</v>
      </c>
      <c r="B2230" s="2">
        <v>10492</v>
      </c>
      <c r="C2230" s="2">
        <v>0</v>
      </c>
      <c r="D2230" s="2">
        <v>0</v>
      </c>
      <c r="E2230" s="2">
        <v>0</v>
      </c>
      <c r="F2230" s="2">
        <v>3</v>
      </c>
    </row>
    <row r="2231" spans="1:6" ht="12.5">
      <c r="A2231" s="2">
        <v>384</v>
      </c>
      <c r="B2231" s="2">
        <v>2724</v>
      </c>
      <c r="C2231" s="2">
        <v>0</v>
      </c>
      <c r="D2231" s="2">
        <v>0</v>
      </c>
      <c r="E2231" s="2">
        <v>0</v>
      </c>
      <c r="F2231" s="2">
        <v>2</v>
      </c>
    </row>
    <row r="2232" spans="1:6" ht="12.5">
      <c r="A2232" s="2">
        <v>730</v>
      </c>
      <c r="B2232" s="2">
        <v>5329</v>
      </c>
      <c r="C2232" s="2">
        <v>0</v>
      </c>
      <c r="D2232" s="2">
        <v>0</v>
      </c>
      <c r="E2232" s="2">
        <v>0</v>
      </c>
      <c r="F2232" s="2">
        <v>3</v>
      </c>
    </row>
    <row r="2233" spans="1:6" ht="12.5">
      <c r="A2233" s="2">
        <v>1083</v>
      </c>
      <c r="B2233" s="2">
        <v>9523</v>
      </c>
      <c r="C2233" s="2">
        <v>0</v>
      </c>
      <c r="D2233" s="2">
        <v>0</v>
      </c>
      <c r="E2233" s="2">
        <v>0</v>
      </c>
      <c r="F2233" s="2">
        <v>3</v>
      </c>
    </row>
    <row r="2234" spans="1:6" ht="12.5">
      <c r="A2234" s="2">
        <v>1247</v>
      </c>
      <c r="B2234" s="2">
        <v>803</v>
      </c>
      <c r="C2234" s="2">
        <v>0</v>
      </c>
      <c r="D2234" s="2">
        <v>0</v>
      </c>
      <c r="E2234" s="2">
        <v>0</v>
      </c>
      <c r="F2234" s="2">
        <v>2</v>
      </c>
    </row>
    <row r="2235" spans="1:6" ht="12.5">
      <c r="A2235" s="2">
        <v>1468</v>
      </c>
      <c r="B2235" s="2">
        <v>7196</v>
      </c>
      <c r="C2235" s="2">
        <v>0</v>
      </c>
      <c r="D2235" s="2">
        <v>0</v>
      </c>
      <c r="E2235" s="2">
        <v>0</v>
      </c>
      <c r="F2235" s="2">
        <v>3</v>
      </c>
    </row>
    <row r="2236" spans="1:6" ht="12.5">
      <c r="A2236" s="2">
        <v>1543</v>
      </c>
      <c r="B2236" s="2">
        <v>73</v>
      </c>
      <c r="C2236" s="2">
        <v>0</v>
      </c>
      <c r="D2236" s="2">
        <v>0</v>
      </c>
      <c r="E2236" s="2">
        <v>0</v>
      </c>
      <c r="F2236" s="2">
        <v>3</v>
      </c>
    </row>
    <row r="2237" spans="1:6" ht="12.5">
      <c r="A2237" s="2">
        <v>1653</v>
      </c>
      <c r="B2237" s="2">
        <v>4931</v>
      </c>
      <c r="C2237" s="2">
        <v>0</v>
      </c>
      <c r="D2237" s="2">
        <v>1</v>
      </c>
      <c r="E2237" s="2">
        <v>0</v>
      </c>
      <c r="F2237" s="2">
        <v>0</v>
      </c>
    </row>
    <row r="2238" spans="1:6" ht="12.5">
      <c r="A2238" s="2">
        <v>1683</v>
      </c>
      <c r="B2238" s="2">
        <v>7788</v>
      </c>
      <c r="C2238" s="2">
        <v>0</v>
      </c>
      <c r="D2238" s="2">
        <v>0</v>
      </c>
      <c r="E2238" s="2">
        <v>0</v>
      </c>
      <c r="F2238" s="2">
        <v>3</v>
      </c>
    </row>
    <row r="2239" spans="1:6" ht="12.5">
      <c r="A2239" s="2">
        <v>1846</v>
      </c>
      <c r="B2239" s="2">
        <v>9931</v>
      </c>
      <c r="C2239" s="2">
        <v>0</v>
      </c>
      <c r="D2239" s="2">
        <v>1</v>
      </c>
      <c r="E2239" s="2">
        <v>0</v>
      </c>
      <c r="F2239" s="2">
        <v>0</v>
      </c>
    </row>
    <row r="2240" spans="1:6" ht="12.5">
      <c r="A2240" s="2">
        <v>1985</v>
      </c>
      <c r="B2240" s="2">
        <v>8619</v>
      </c>
      <c r="C2240" s="2">
        <v>0</v>
      </c>
      <c r="D2240" s="2">
        <v>1</v>
      </c>
      <c r="E2240" s="2">
        <v>0</v>
      </c>
      <c r="F2240" s="2">
        <v>3</v>
      </c>
    </row>
    <row r="2241" spans="1:6" ht="12.5">
      <c r="A2241" s="2">
        <v>2019</v>
      </c>
      <c r="B2241" s="2">
        <v>2375</v>
      </c>
      <c r="C2241" s="2">
        <v>0</v>
      </c>
      <c r="D2241" s="2">
        <v>3</v>
      </c>
      <c r="E2241" s="2">
        <v>0</v>
      </c>
      <c r="F2241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4012-6906-EB43-B253-909FE3FFF760}">
  <sheetPr>
    <outlinePr summaryBelow="0" summaryRight="0"/>
  </sheetPr>
  <dimension ref="A1:O2241"/>
  <sheetViews>
    <sheetView zoomScale="54" workbookViewId="0">
      <pane ySplit="1" topLeftCell="A2" activePane="bottomLeft" state="frozen"/>
      <selection pane="bottomLeft" activeCell="L1" sqref="L1"/>
    </sheetView>
  </sheetViews>
  <sheetFormatPr defaultColWidth="12.6328125" defaultRowHeight="15.75" customHeight="1"/>
  <cols>
    <col min="9" max="9" width="14.36328125" bestFit="1" customWidth="1"/>
    <col min="13" max="13" width="16.453125" bestFit="1" customWidth="1"/>
    <col min="14" max="14" width="17.36328125" bestFit="1" customWidth="1"/>
    <col min="15" max="15" width="18.1796875" bestFit="1" customWidth="1"/>
  </cols>
  <sheetData>
    <row r="1" spans="1:15" ht="15.75" customHeight="1">
      <c r="A1" s="10" t="s">
        <v>27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26</v>
      </c>
      <c r="J1" s="10" t="s">
        <v>7</v>
      </c>
      <c r="K1" s="10" t="s">
        <v>8</v>
      </c>
      <c r="L1" s="10" t="s">
        <v>22</v>
      </c>
      <c r="M1" s="10" t="s">
        <v>23</v>
      </c>
      <c r="N1" s="10" t="s">
        <v>24</v>
      </c>
      <c r="O1" s="10" t="s">
        <v>25</v>
      </c>
    </row>
    <row r="2" spans="1:15" ht="15.75" customHeight="1">
      <c r="A2" s="6">
        <v>0</v>
      </c>
      <c r="B2" s="6">
        <v>5524</v>
      </c>
      <c r="C2" s="6">
        <v>1957</v>
      </c>
      <c r="D2" s="7" t="s">
        <v>9</v>
      </c>
      <c r="E2" s="7" t="s">
        <v>10</v>
      </c>
      <c r="F2" s="6">
        <v>58138</v>
      </c>
      <c r="G2" s="6">
        <v>0</v>
      </c>
      <c r="H2" s="6">
        <v>0</v>
      </c>
      <c r="I2" s="6">
        <f>G2+H2</f>
        <v>0</v>
      </c>
      <c r="J2" s="8">
        <v>41156</v>
      </c>
      <c r="K2" s="6">
        <v>58</v>
      </c>
      <c r="L2">
        <f>VLOOKUP(A2,Marketing_df2!$A$1:$F$2241,3,FALSE)</f>
        <v>88</v>
      </c>
      <c r="M2">
        <f>VLOOKUP(A2,Marketing_df2!$A$1:$F$2241,4,FALSE)</f>
        <v>88</v>
      </c>
      <c r="N2">
        <f>VLOOKUP(A2,Marketing_df2!$A$1:$F$2241,5,FALSE)</f>
        <v>8</v>
      </c>
      <c r="O2">
        <f>VLOOKUP(A2,Marketing_df2!$A$1:$F$2241,6,FALSE)</f>
        <v>4</v>
      </c>
    </row>
    <row r="3" spans="1:15" ht="15.75" customHeight="1">
      <c r="A3" s="6">
        <v>1</v>
      </c>
      <c r="B3" s="6">
        <v>2174</v>
      </c>
      <c r="C3" s="6">
        <v>1954</v>
      </c>
      <c r="D3" s="7" t="s">
        <v>9</v>
      </c>
      <c r="E3" s="7" t="s">
        <v>10</v>
      </c>
      <c r="F3" s="6">
        <v>46344</v>
      </c>
      <c r="G3" s="6">
        <v>1</v>
      </c>
      <c r="H3" s="6">
        <v>1</v>
      </c>
      <c r="I3" s="6">
        <f t="shared" ref="I3:I66" si="0">G3+H3</f>
        <v>2</v>
      </c>
      <c r="J3" s="8">
        <v>41706</v>
      </c>
      <c r="K3" s="6">
        <v>38</v>
      </c>
      <c r="L3">
        <f>VLOOKUP(A3,Marketing_df2!$A$1:$F$2241,3,FALSE)</f>
        <v>1</v>
      </c>
      <c r="M3">
        <f>VLOOKUP(A3,Marketing_df2!$A$1:$F$2241,4,FALSE)</f>
        <v>1</v>
      </c>
      <c r="N3">
        <f>VLOOKUP(A3,Marketing_df2!$A$1:$F$2241,5,FALSE)</f>
        <v>1</v>
      </c>
      <c r="O3">
        <f>VLOOKUP(A3,Marketing_df2!$A$1:$F$2241,6,FALSE)</f>
        <v>2</v>
      </c>
    </row>
    <row r="4" spans="1:15" ht="15.75" customHeight="1">
      <c r="A4" s="6">
        <v>2</v>
      </c>
      <c r="B4" s="6">
        <v>4141</v>
      </c>
      <c r="C4" s="6">
        <v>1965</v>
      </c>
      <c r="D4" s="7" t="s">
        <v>9</v>
      </c>
      <c r="E4" s="7" t="s">
        <v>11</v>
      </c>
      <c r="F4" s="6">
        <v>71613</v>
      </c>
      <c r="G4" s="6">
        <v>0</v>
      </c>
      <c r="H4" s="6">
        <v>0</v>
      </c>
      <c r="I4" s="6">
        <f t="shared" si="0"/>
        <v>0</v>
      </c>
      <c r="J4" s="8">
        <v>41507</v>
      </c>
      <c r="K4" s="6">
        <v>26</v>
      </c>
      <c r="L4">
        <f>VLOOKUP(A4,Marketing_df2!$A$1:$F$2241,3,FALSE)</f>
        <v>49</v>
      </c>
      <c r="M4">
        <f>VLOOKUP(A4,Marketing_df2!$A$1:$F$2241,4,FALSE)</f>
        <v>21</v>
      </c>
      <c r="N4">
        <f>VLOOKUP(A4,Marketing_df2!$A$1:$F$2241,5,FALSE)</f>
        <v>8</v>
      </c>
      <c r="O4">
        <f>VLOOKUP(A4,Marketing_df2!$A$1:$F$2241,6,FALSE)</f>
        <v>10</v>
      </c>
    </row>
    <row r="5" spans="1:15" ht="15.75" customHeight="1">
      <c r="A5" s="6">
        <v>3</v>
      </c>
      <c r="B5" s="6">
        <v>6182</v>
      </c>
      <c r="C5" s="6">
        <v>1984</v>
      </c>
      <c r="D5" s="7" t="s">
        <v>9</v>
      </c>
      <c r="E5" s="7" t="s">
        <v>11</v>
      </c>
      <c r="F5" s="6">
        <v>26646</v>
      </c>
      <c r="G5" s="6">
        <v>1</v>
      </c>
      <c r="H5" s="6">
        <v>0</v>
      </c>
      <c r="I5" s="6">
        <f t="shared" si="0"/>
        <v>1</v>
      </c>
      <c r="J5" s="8">
        <v>41680</v>
      </c>
      <c r="K5" s="6">
        <v>26</v>
      </c>
      <c r="L5">
        <f>VLOOKUP(A5,Marketing_df2!$A$1:$F$2241,3,FALSE)</f>
        <v>4</v>
      </c>
      <c r="M5">
        <f>VLOOKUP(A5,Marketing_df2!$A$1:$F$2241,4,FALSE)</f>
        <v>3</v>
      </c>
      <c r="N5">
        <f>VLOOKUP(A5,Marketing_df2!$A$1:$F$2241,5,FALSE)</f>
        <v>2</v>
      </c>
      <c r="O5">
        <f>VLOOKUP(A5,Marketing_df2!$A$1:$F$2241,6,FALSE)</f>
        <v>4</v>
      </c>
    </row>
    <row r="6" spans="1:15" ht="15.75" customHeight="1">
      <c r="A6" s="6">
        <v>4</v>
      </c>
      <c r="B6" s="6">
        <v>5324</v>
      </c>
      <c r="C6" s="6">
        <v>1981</v>
      </c>
      <c r="D6" s="7" t="s">
        <v>12</v>
      </c>
      <c r="E6" s="7" t="s">
        <v>13</v>
      </c>
      <c r="F6" s="6">
        <v>58293</v>
      </c>
      <c r="G6" s="6">
        <v>1</v>
      </c>
      <c r="H6" s="6">
        <v>0</v>
      </c>
      <c r="I6" s="6">
        <f t="shared" si="0"/>
        <v>1</v>
      </c>
      <c r="J6" s="8">
        <v>41658</v>
      </c>
      <c r="K6" s="6">
        <v>94</v>
      </c>
      <c r="L6">
        <f>VLOOKUP(A6,Marketing_df2!$A$1:$F$2241,3,FALSE)</f>
        <v>43</v>
      </c>
      <c r="M6">
        <f>VLOOKUP(A6,Marketing_df2!$A$1:$F$2241,4,FALSE)</f>
        <v>27</v>
      </c>
      <c r="N6">
        <f>VLOOKUP(A6,Marketing_df2!$A$1:$F$2241,5,FALSE)</f>
        <v>5</v>
      </c>
      <c r="O6">
        <f>VLOOKUP(A6,Marketing_df2!$A$1:$F$2241,6,FALSE)</f>
        <v>6</v>
      </c>
    </row>
    <row r="7" spans="1:15" ht="15.75" customHeight="1">
      <c r="A7" s="6">
        <v>5</v>
      </c>
      <c r="B7" s="6">
        <v>7446</v>
      </c>
      <c r="C7" s="6">
        <v>1967</v>
      </c>
      <c r="D7" s="7" t="s">
        <v>14</v>
      </c>
      <c r="E7" s="7" t="s">
        <v>11</v>
      </c>
      <c r="F7" s="6">
        <v>62513</v>
      </c>
      <c r="G7" s="6">
        <v>0</v>
      </c>
      <c r="H7" s="6">
        <v>1</v>
      </c>
      <c r="I7" s="6">
        <f t="shared" si="0"/>
        <v>1</v>
      </c>
      <c r="J7" s="8">
        <v>41526</v>
      </c>
      <c r="K7" s="6">
        <v>16</v>
      </c>
      <c r="L7">
        <f>VLOOKUP(A7,Marketing_df2!$A$1:$F$2241,3,FALSE)</f>
        <v>42</v>
      </c>
      <c r="M7">
        <f>VLOOKUP(A7,Marketing_df2!$A$1:$F$2241,4,FALSE)</f>
        <v>42</v>
      </c>
      <c r="N7">
        <f>VLOOKUP(A7,Marketing_df2!$A$1:$F$2241,5,FALSE)</f>
        <v>6</v>
      </c>
      <c r="O7">
        <f>VLOOKUP(A7,Marketing_df2!$A$1:$F$2241,6,FALSE)</f>
        <v>10</v>
      </c>
    </row>
    <row r="8" spans="1:15" ht="15.75" customHeight="1">
      <c r="A8" s="6">
        <v>6</v>
      </c>
      <c r="B8" s="6">
        <v>965</v>
      </c>
      <c r="C8" s="6">
        <v>1971</v>
      </c>
      <c r="D8" s="7" t="s">
        <v>9</v>
      </c>
      <c r="E8" s="7" t="s">
        <v>15</v>
      </c>
      <c r="F8" s="6">
        <v>55635</v>
      </c>
      <c r="G8" s="6">
        <v>0</v>
      </c>
      <c r="H8" s="6">
        <v>1</v>
      </c>
      <c r="I8" s="6">
        <f t="shared" si="0"/>
        <v>1</v>
      </c>
      <c r="J8" s="9">
        <v>41226</v>
      </c>
      <c r="K8" s="6">
        <v>34</v>
      </c>
      <c r="L8">
        <f>VLOOKUP(A8,Marketing_df2!$A$1:$F$2241,3,FALSE)</f>
        <v>65</v>
      </c>
      <c r="M8">
        <f>VLOOKUP(A8,Marketing_df2!$A$1:$F$2241,4,FALSE)</f>
        <v>49</v>
      </c>
      <c r="N8">
        <f>VLOOKUP(A8,Marketing_df2!$A$1:$F$2241,5,FALSE)</f>
        <v>7</v>
      </c>
      <c r="O8">
        <f>VLOOKUP(A8,Marketing_df2!$A$1:$F$2241,6,FALSE)</f>
        <v>7</v>
      </c>
    </row>
    <row r="9" spans="1:15" ht="15.75" customHeight="1">
      <c r="A9" s="6">
        <v>7</v>
      </c>
      <c r="B9" s="6">
        <v>6177</v>
      </c>
      <c r="C9" s="6">
        <v>1985</v>
      </c>
      <c r="D9" s="7" t="s">
        <v>12</v>
      </c>
      <c r="E9" s="7" t="s">
        <v>13</v>
      </c>
      <c r="F9" s="6">
        <v>33454</v>
      </c>
      <c r="G9" s="6">
        <v>1</v>
      </c>
      <c r="H9" s="6">
        <v>0</v>
      </c>
      <c r="I9" s="6">
        <f t="shared" si="0"/>
        <v>1</v>
      </c>
      <c r="J9" s="8">
        <v>41402</v>
      </c>
      <c r="K9" s="6">
        <v>32</v>
      </c>
      <c r="L9">
        <f>VLOOKUP(A9,Marketing_df2!$A$1:$F$2241,3,FALSE)</f>
        <v>10</v>
      </c>
      <c r="M9">
        <f>VLOOKUP(A9,Marketing_df2!$A$1:$F$2241,4,FALSE)</f>
        <v>1</v>
      </c>
      <c r="N9">
        <f>VLOOKUP(A9,Marketing_df2!$A$1:$F$2241,5,FALSE)</f>
        <v>4</v>
      </c>
      <c r="O9">
        <f>VLOOKUP(A9,Marketing_df2!$A$1:$F$2241,6,FALSE)</f>
        <v>4</v>
      </c>
    </row>
    <row r="10" spans="1:15" ht="15.75" customHeight="1">
      <c r="A10" s="6">
        <v>8</v>
      </c>
      <c r="B10" s="6">
        <v>4855</v>
      </c>
      <c r="C10" s="6">
        <v>1974</v>
      </c>
      <c r="D10" s="7" t="s">
        <v>12</v>
      </c>
      <c r="E10" s="7" t="s">
        <v>11</v>
      </c>
      <c r="F10" s="6">
        <v>30351</v>
      </c>
      <c r="G10" s="6">
        <v>1</v>
      </c>
      <c r="H10" s="6">
        <v>0</v>
      </c>
      <c r="I10" s="6">
        <f t="shared" si="0"/>
        <v>1</v>
      </c>
      <c r="J10" s="8">
        <v>41431</v>
      </c>
      <c r="K10" s="6">
        <v>19</v>
      </c>
      <c r="L10">
        <f>VLOOKUP(A10,Marketing_df2!$A$1:$F$2241,3,FALSE)</f>
        <v>0</v>
      </c>
      <c r="M10">
        <f>VLOOKUP(A10,Marketing_df2!$A$1:$F$2241,4,FALSE)</f>
        <v>3</v>
      </c>
      <c r="N10">
        <f>VLOOKUP(A10,Marketing_df2!$A$1:$F$2241,5,FALSE)</f>
        <v>3</v>
      </c>
      <c r="O10">
        <f>VLOOKUP(A10,Marketing_df2!$A$1:$F$2241,6,FALSE)</f>
        <v>2</v>
      </c>
    </row>
    <row r="11" spans="1:15" ht="15.75" customHeight="1">
      <c r="A11" s="6">
        <v>9</v>
      </c>
      <c r="B11" s="6">
        <v>5899</v>
      </c>
      <c r="C11" s="6">
        <v>1950</v>
      </c>
      <c r="D11" s="7" t="s">
        <v>12</v>
      </c>
      <c r="E11" s="7" t="s">
        <v>11</v>
      </c>
      <c r="F11" s="6">
        <v>5648</v>
      </c>
      <c r="G11" s="6">
        <v>1</v>
      </c>
      <c r="H11" s="6">
        <v>1</v>
      </c>
      <c r="I11" s="6">
        <f t="shared" si="0"/>
        <v>2</v>
      </c>
      <c r="J11" s="8">
        <v>41711</v>
      </c>
      <c r="K11" s="6">
        <v>68</v>
      </c>
      <c r="L11">
        <f>VLOOKUP(A11,Marketing_df2!$A$1:$F$2241,3,FALSE)</f>
        <v>0</v>
      </c>
      <c r="M11">
        <f>VLOOKUP(A11,Marketing_df2!$A$1:$F$2241,4,FALSE)</f>
        <v>1</v>
      </c>
      <c r="N11">
        <f>VLOOKUP(A11,Marketing_df2!$A$1:$F$2241,5,FALSE)</f>
        <v>1</v>
      </c>
      <c r="O11">
        <f>VLOOKUP(A11,Marketing_df2!$A$1:$F$2241,6,FALSE)</f>
        <v>0</v>
      </c>
    </row>
    <row r="12" spans="1:15" ht="15.75" customHeight="1">
      <c r="A12" s="6">
        <v>10</v>
      </c>
      <c r="B12" s="6">
        <v>1994</v>
      </c>
      <c r="C12" s="6">
        <v>1983</v>
      </c>
      <c r="D12" s="7" t="s">
        <v>9</v>
      </c>
      <c r="E12" s="7" t="s">
        <v>13</v>
      </c>
      <c r="F12" s="7"/>
      <c r="G12" s="6">
        <v>1</v>
      </c>
      <c r="H12" s="6">
        <v>0</v>
      </c>
      <c r="I12" s="6">
        <f t="shared" si="0"/>
        <v>1</v>
      </c>
      <c r="J12" s="9">
        <v>41593</v>
      </c>
      <c r="K12" s="6">
        <v>11</v>
      </c>
      <c r="L12">
        <f>VLOOKUP(A12,Marketing_df2!$A$1:$F$2241,3,FALSE)</f>
        <v>5</v>
      </c>
      <c r="M12">
        <f>VLOOKUP(A12,Marketing_df2!$A$1:$F$2241,4,FALSE)</f>
        <v>2</v>
      </c>
      <c r="N12">
        <f>VLOOKUP(A12,Marketing_df2!$A$1:$F$2241,5,FALSE)</f>
        <v>1</v>
      </c>
      <c r="O12">
        <f>VLOOKUP(A12,Marketing_df2!$A$1:$F$2241,6,FALSE)</f>
        <v>2</v>
      </c>
    </row>
    <row r="13" spans="1:15" ht="15.75" customHeight="1">
      <c r="A13" s="6">
        <v>11</v>
      </c>
      <c r="B13" s="6">
        <v>387</v>
      </c>
      <c r="C13" s="6">
        <v>1976</v>
      </c>
      <c r="D13" s="7" t="s">
        <v>16</v>
      </c>
      <c r="E13" s="7" t="s">
        <v>13</v>
      </c>
      <c r="F13" s="6">
        <v>7500</v>
      </c>
      <c r="G13" s="6">
        <v>0</v>
      </c>
      <c r="H13" s="6">
        <v>0</v>
      </c>
      <c r="I13" s="6">
        <f t="shared" si="0"/>
        <v>0</v>
      </c>
      <c r="J13" s="9">
        <v>41226</v>
      </c>
      <c r="K13" s="6">
        <v>59</v>
      </c>
      <c r="L13">
        <f>VLOOKUP(A13,Marketing_df2!$A$1:$F$2241,3,FALSE)</f>
        <v>16</v>
      </c>
      <c r="M13">
        <f>VLOOKUP(A13,Marketing_df2!$A$1:$F$2241,4,FALSE)</f>
        <v>1</v>
      </c>
      <c r="N13">
        <f>VLOOKUP(A13,Marketing_df2!$A$1:$F$2241,5,FALSE)</f>
        <v>2</v>
      </c>
      <c r="O13">
        <f>VLOOKUP(A13,Marketing_df2!$A$1:$F$2241,6,FALSE)</f>
        <v>3</v>
      </c>
    </row>
    <row r="14" spans="1:15" ht="15.75" customHeight="1">
      <c r="A14" s="6">
        <v>12</v>
      </c>
      <c r="B14" s="6">
        <v>2125</v>
      </c>
      <c r="C14" s="6">
        <v>1959</v>
      </c>
      <c r="D14" s="7" t="s">
        <v>9</v>
      </c>
      <c r="E14" s="7" t="s">
        <v>15</v>
      </c>
      <c r="F14" s="6">
        <v>63033</v>
      </c>
      <c r="G14" s="6">
        <v>0</v>
      </c>
      <c r="H14" s="6">
        <v>0</v>
      </c>
      <c r="I14" s="6">
        <f t="shared" si="0"/>
        <v>0</v>
      </c>
      <c r="J14" s="9">
        <v>41593</v>
      </c>
      <c r="K14" s="6">
        <v>82</v>
      </c>
      <c r="L14">
        <f>VLOOKUP(A14,Marketing_df2!$A$1:$F$2241,3,FALSE)</f>
        <v>61</v>
      </c>
      <c r="M14">
        <f>VLOOKUP(A14,Marketing_df2!$A$1:$F$2241,4,FALSE)</f>
        <v>112</v>
      </c>
      <c r="N14">
        <f>VLOOKUP(A14,Marketing_df2!$A$1:$F$2241,5,FALSE)</f>
        <v>3</v>
      </c>
      <c r="O14">
        <f>VLOOKUP(A14,Marketing_df2!$A$1:$F$2241,6,FALSE)</f>
        <v>8</v>
      </c>
    </row>
    <row r="15" spans="1:15" ht="15.75" customHeight="1">
      <c r="A15" s="6">
        <v>13</v>
      </c>
      <c r="B15" s="6">
        <v>8180</v>
      </c>
      <c r="C15" s="6">
        <v>1952</v>
      </c>
      <c r="D15" s="7" t="s">
        <v>14</v>
      </c>
      <c r="E15" s="7" t="s">
        <v>15</v>
      </c>
      <c r="F15" s="6">
        <v>59354</v>
      </c>
      <c r="G15" s="6">
        <v>1</v>
      </c>
      <c r="H15" s="6">
        <v>1</v>
      </c>
      <c r="I15" s="6">
        <f t="shared" si="0"/>
        <v>2</v>
      </c>
      <c r="J15" s="9">
        <v>41593</v>
      </c>
      <c r="K15" s="6">
        <v>53</v>
      </c>
      <c r="L15">
        <f>VLOOKUP(A15,Marketing_df2!$A$1:$F$2241,3,FALSE)</f>
        <v>2</v>
      </c>
      <c r="M15">
        <f>VLOOKUP(A15,Marketing_df2!$A$1:$F$2241,4,FALSE)</f>
        <v>5</v>
      </c>
      <c r="N15">
        <f>VLOOKUP(A15,Marketing_df2!$A$1:$F$2241,5,FALSE)</f>
        <v>6</v>
      </c>
      <c r="O15">
        <f>VLOOKUP(A15,Marketing_df2!$A$1:$F$2241,6,FALSE)</f>
        <v>5</v>
      </c>
    </row>
    <row r="16" spans="1:15" ht="15.75" customHeight="1">
      <c r="A16" s="6">
        <v>14</v>
      </c>
      <c r="B16" s="6">
        <v>2569</v>
      </c>
      <c r="C16" s="6">
        <v>1987</v>
      </c>
      <c r="D16" s="7" t="s">
        <v>9</v>
      </c>
      <c r="E16" s="7" t="s">
        <v>13</v>
      </c>
      <c r="F16" s="6">
        <v>17323</v>
      </c>
      <c r="G16" s="6">
        <v>0</v>
      </c>
      <c r="H16" s="6">
        <v>0</v>
      </c>
      <c r="I16" s="6">
        <f t="shared" si="0"/>
        <v>0</v>
      </c>
      <c r="J16" s="9">
        <v>41192</v>
      </c>
      <c r="K16" s="6">
        <v>38</v>
      </c>
      <c r="L16">
        <f>VLOOKUP(A16,Marketing_df2!$A$1:$F$2241,3,FALSE)</f>
        <v>14</v>
      </c>
      <c r="M16">
        <f>VLOOKUP(A16,Marketing_df2!$A$1:$F$2241,4,FALSE)</f>
        <v>1</v>
      </c>
      <c r="N16">
        <f>VLOOKUP(A16,Marketing_df2!$A$1:$F$2241,5,FALSE)</f>
        <v>1</v>
      </c>
      <c r="O16">
        <f>VLOOKUP(A16,Marketing_df2!$A$1:$F$2241,6,FALSE)</f>
        <v>3</v>
      </c>
    </row>
    <row r="17" spans="1:15" ht="15.75" customHeight="1">
      <c r="A17" s="6">
        <v>15</v>
      </c>
      <c r="B17" s="6">
        <v>2114</v>
      </c>
      <c r="C17" s="6">
        <v>1946</v>
      </c>
      <c r="D17" s="7" t="s">
        <v>12</v>
      </c>
      <c r="E17" s="7" t="s">
        <v>10</v>
      </c>
      <c r="F17" s="6">
        <v>82800</v>
      </c>
      <c r="G17" s="6">
        <v>0</v>
      </c>
      <c r="H17" s="6">
        <v>0</v>
      </c>
      <c r="I17" s="6">
        <f t="shared" si="0"/>
        <v>0</v>
      </c>
      <c r="J17" s="9">
        <v>41237</v>
      </c>
      <c r="K17" s="6">
        <v>23</v>
      </c>
      <c r="L17">
        <f>VLOOKUP(A17,Marketing_df2!$A$1:$F$2241,3,FALSE)</f>
        <v>22</v>
      </c>
      <c r="M17">
        <f>VLOOKUP(A17,Marketing_df2!$A$1:$F$2241,4,FALSE)</f>
        <v>68</v>
      </c>
      <c r="N17">
        <f>VLOOKUP(A17,Marketing_df2!$A$1:$F$2241,5,FALSE)</f>
        <v>7</v>
      </c>
      <c r="O17">
        <f>VLOOKUP(A17,Marketing_df2!$A$1:$F$2241,6,FALSE)</f>
        <v>12</v>
      </c>
    </row>
    <row r="18" spans="1:15" ht="15.75" customHeight="1">
      <c r="A18" s="6">
        <v>16</v>
      </c>
      <c r="B18" s="6">
        <v>9736</v>
      </c>
      <c r="C18" s="6">
        <v>1980</v>
      </c>
      <c r="D18" s="7" t="s">
        <v>9</v>
      </c>
      <c r="E18" s="7" t="s">
        <v>13</v>
      </c>
      <c r="F18" s="6">
        <v>41850</v>
      </c>
      <c r="G18" s="6">
        <v>1</v>
      </c>
      <c r="H18" s="6">
        <v>1</v>
      </c>
      <c r="I18" s="6">
        <f t="shared" si="0"/>
        <v>2</v>
      </c>
      <c r="J18" s="9">
        <v>41267</v>
      </c>
      <c r="K18" s="6">
        <v>51</v>
      </c>
      <c r="L18">
        <f>VLOOKUP(A18,Marketing_df2!$A$1:$F$2241,3,FALSE)</f>
        <v>5</v>
      </c>
      <c r="M18">
        <f>VLOOKUP(A18,Marketing_df2!$A$1:$F$2241,4,FALSE)</f>
        <v>13</v>
      </c>
      <c r="N18">
        <f>VLOOKUP(A18,Marketing_df2!$A$1:$F$2241,5,FALSE)</f>
        <v>3</v>
      </c>
      <c r="O18">
        <f>VLOOKUP(A18,Marketing_df2!$A$1:$F$2241,6,FALSE)</f>
        <v>3</v>
      </c>
    </row>
    <row r="19" spans="1:15" ht="15.75" customHeight="1">
      <c r="A19" s="6">
        <v>17</v>
      </c>
      <c r="B19" s="6">
        <v>4939</v>
      </c>
      <c r="C19" s="6">
        <v>1946</v>
      </c>
      <c r="D19" s="7" t="s">
        <v>9</v>
      </c>
      <c r="E19" s="7" t="s">
        <v>11</v>
      </c>
      <c r="F19" s="6">
        <v>37760</v>
      </c>
      <c r="G19" s="6">
        <v>0</v>
      </c>
      <c r="H19" s="6">
        <v>0</v>
      </c>
      <c r="I19" s="6">
        <f t="shared" si="0"/>
        <v>0</v>
      </c>
      <c r="J19" s="8">
        <v>41152</v>
      </c>
      <c r="K19" s="6">
        <v>20</v>
      </c>
      <c r="L19">
        <f>VLOOKUP(A19,Marketing_df2!$A$1:$F$2241,3,FALSE)</f>
        <v>5</v>
      </c>
      <c r="M19">
        <f>VLOOKUP(A19,Marketing_df2!$A$1:$F$2241,4,FALSE)</f>
        <v>12</v>
      </c>
      <c r="N19">
        <f>VLOOKUP(A19,Marketing_df2!$A$1:$F$2241,5,FALSE)</f>
        <v>4</v>
      </c>
      <c r="O19">
        <f>VLOOKUP(A19,Marketing_df2!$A$1:$F$2241,6,FALSE)</f>
        <v>6</v>
      </c>
    </row>
    <row r="20" spans="1:15" ht="15.75" customHeight="1">
      <c r="A20" s="6">
        <v>18</v>
      </c>
      <c r="B20" s="6">
        <v>6565</v>
      </c>
      <c r="C20" s="6">
        <v>1949</v>
      </c>
      <c r="D20" s="7" t="s">
        <v>14</v>
      </c>
      <c r="E20" s="7" t="s">
        <v>13</v>
      </c>
      <c r="F20" s="6">
        <v>76995</v>
      </c>
      <c r="G20" s="6">
        <v>0</v>
      </c>
      <c r="H20" s="6">
        <v>1</v>
      </c>
      <c r="I20" s="6">
        <f t="shared" si="0"/>
        <v>1</v>
      </c>
      <c r="J20" s="8">
        <v>41361</v>
      </c>
      <c r="K20" s="6">
        <v>91</v>
      </c>
      <c r="L20">
        <f>VLOOKUP(A20,Marketing_df2!$A$1:$F$2241,3,FALSE)</f>
        <v>80</v>
      </c>
      <c r="M20">
        <f>VLOOKUP(A20,Marketing_df2!$A$1:$F$2241,4,FALSE)</f>
        <v>16</v>
      </c>
      <c r="N20">
        <f>VLOOKUP(A20,Marketing_df2!$A$1:$F$2241,5,FALSE)</f>
        <v>11</v>
      </c>
      <c r="O20">
        <f>VLOOKUP(A20,Marketing_df2!$A$1:$F$2241,6,FALSE)</f>
        <v>9</v>
      </c>
    </row>
    <row r="21" spans="1:15" ht="15.75" customHeight="1">
      <c r="A21" s="6">
        <v>19</v>
      </c>
      <c r="B21" s="6">
        <v>2278</v>
      </c>
      <c r="C21" s="6">
        <v>1985</v>
      </c>
      <c r="D21" s="7" t="s">
        <v>17</v>
      </c>
      <c r="E21" s="7" t="s">
        <v>10</v>
      </c>
      <c r="F21" s="6">
        <v>33812</v>
      </c>
      <c r="G21" s="6">
        <v>1</v>
      </c>
      <c r="H21" s="6">
        <v>0</v>
      </c>
      <c r="I21" s="6">
        <f t="shared" si="0"/>
        <v>1</v>
      </c>
      <c r="J21" s="8">
        <v>41216</v>
      </c>
      <c r="K21" s="6">
        <v>86</v>
      </c>
      <c r="L21">
        <f>VLOOKUP(A21,Marketing_df2!$A$1:$F$2241,3,FALSE)</f>
        <v>17</v>
      </c>
      <c r="M21">
        <f>VLOOKUP(A21,Marketing_df2!$A$1:$F$2241,4,FALSE)</f>
        <v>24</v>
      </c>
      <c r="N21">
        <f>VLOOKUP(A21,Marketing_df2!$A$1:$F$2241,5,FALSE)</f>
        <v>2</v>
      </c>
      <c r="O21">
        <f>VLOOKUP(A21,Marketing_df2!$A$1:$F$2241,6,FALSE)</f>
        <v>3</v>
      </c>
    </row>
    <row r="22" spans="1:15" ht="15.75" customHeight="1">
      <c r="A22" s="6">
        <v>20</v>
      </c>
      <c r="B22" s="6">
        <v>9360</v>
      </c>
      <c r="C22" s="6">
        <v>1982</v>
      </c>
      <c r="D22" s="7" t="s">
        <v>9</v>
      </c>
      <c r="E22" s="7" t="s">
        <v>13</v>
      </c>
      <c r="F22" s="6">
        <v>37040</v>
      </c>
      <c r="G22" s="6">
        <v>0</v>
      </c>
      <c r="H22" s="6">
        <v>0</v>
      </c>
      <c r="I22" s="6">
        <f t="shared" si="0"/>
        <v>0</v>
      </c>
      <c r="J22" s="8">
        <v>41129</v>
      </c>
      <c r="K22" s="6">
        <v>41</v>
      </c>
      <c r="L22">
        <f>VLOOKUP(A22,Marketing_df2!$A$1:$F$2241,3,FALSE)</f>
        <v>2</v>
      </c>
      <c r="M22">
        <f>VLOOKUP(A22,Marketing_df2!$A$1:$F$2241,4,FALSE)</f>
        <v>38</v>
      </c>
      <c r="N22">
        <f>VLOOKUP(A22,Marketing_df2!$A$1:$F$2241,5,FALSE)</f>
        <v>4</v>
      </c>
      <c r="O22">
        <f>VLOOKUP(A22,Marketing_df2!$A$1:$F$2241,6,FALSE)</f>
        <v>5</v>
      </c>
    </row>
    <row r="23" spans="1:15" ht="15.75" customHeight="1">
      <c r="A23" s="6">
        <v>21</v>
      </c>
      <c r="B23" s="6">
        <v>5376</v>
      </c>
      <c r="C23" s="6">
        <v>1979</v>
      </c>
      <c r="D23" s="7" t="s">
        <v>9</v>
      </c>
      <c r="E23" s="7" t="s">
        <v>13</v>
      </c>
      <c r="F23" s="6">
        <v>2447</v>
      </c>
      <c r="G23" s="6">
        <v>1</v>
      </c>
      <c r="H23" s="6">
        <v>0</v>
      </c>
      <c r="I23" s="6">
        <f t="shared" si="0"/>
        <v>1</v>
      </c>
      <c r="J23" s="8">
        <v>41280</v>
      </c>
      <c r="K23" s="6">
        <v>42</v>
      </c>
      <c r="L23">
        <f>VLOOKUP(A23,Marketing_df2!$A$1:$F$2241,3,FALSE)</f>
        <v>1</v>
      </c>
      <c r="M23">
        <f>VLOOKUP(A23,Marketing_df2!$A$1:$F$2241,4,FALSE)</f>
        <v>1</v>
      </c>
      <c r="N23">
        <f>VLOOKUP(A23,Marketing_df2!$A$1:$F$2241,5,FALSE)</f>
        <v>0</v>
      </c>
      <c r="O23">
        <f>VLOOKUP(A23,Marketing_df2!$A$1:$F$2241,6,FALSE)</f>
        <v>0</v>
      </c>
    </row>
    <row r="24" spans="1:15" ht="15.75" customHeight="1">
      <c r="A24" s="6">
        <v>22</v>
      </c>
      <c r="B24" s="6">
        <v>1993</v>
      </c>
      <c r="C24" s="6">
        <v>1949</v>
      </c>
      <c r="D24" s="7" t="s">
        <v>12</v>
      </c>
      <c r="E24" s="7" t="s">
        <v>13</v>
      </c>
      <c r="F24" s="6">
        <v>58607</v>
      </c>
      <c r="G24" s="6">
        <v>0</v>
      </c>
      <c r="H24" s="6">
        <v>1</v>
      </c>
      <c r="I24" s="6">
        <f t="shared" si="0"/>
        <v>1</v>
      </c>
      <c r="J24" s="9">
        <v>41266</v>
      </c>
      <c r="K24" s="6">
        <v>63</v>
      </c>
      <c r="L24">
        <f>VLOOKUP(A24,Marketing_df2!$A$1:$F$2241,3,FALSE)</f>
        <v>0</v>
      </c>
      <c r="M24">
        <f>VLOOKUP(A24,Marketing_df2!$A$1:$F$2241,4,FALSE)</f>
        <v>0</v>
      </c>
      <c r="N24">
        <f>VLOOKUP(A24,Marketing_df2!$A$1:$F$2241,5,FALSE)</f>
        <v>2</v>
      </c>
      <c r="O24">
        <f>VLOOKUP(A24,Marketing_df2!$A$1:$F$2241,6,FALSE)</f>
        <v>9</v>
      </c>
    </row>
    <row r="25" spans="1:15" ht="15.75" customHeight="1">
      <c r="A25" s="6">
        <v>23</v>
      </c>
      <c r="B25" s="6">
        <v>4047</v>
      </c>
      <c r="C25" s="6">
        <v>1954</v>
      </c>
      <c r="D25" s="7" t="s">
        <v>12</v>
      </c>
      <c r="E25" s="7" t="s">
        <v>13</v>
      </c>
      <c r="F25" s="6">
        <v>65324</v>
      </c>
      <c r="G25" s="6">
        <v>0</v>
      </c>
      <c r="H25" s="6">
        <v>1</v>
      </c>
      <c r="I25" s="6">
        <f t="shared" si="0"/>
        <v>1</v>
      </c>
      <c r="J25" s="8">
        <v>41650</v>
      </c>
      <c r="K25" s="6">
        <v>0</v>
      </c>
      <c r="L25">
        <f>VLOOKUP(A25,Marketing_df2!$A$1:$F$2241,3,FALSE)</f>
        <v>0</v>
      </c>
      <c r="M25">
        <f>VLOOKUP(A25,Marketing_df2!$A$1:$F$2241,4,FALSE)</f>
        <v>32</v>
      </c>
      <c r="N25">
        <f>VLOOKUP(A25,Marketing_df2!$A$1:$F$2241,5,FALSE)</f>
        <v>6</v>
      </c>
      <c r="O25">
        <f>VLOOKUP(A25,Marketing_df2!$A$1:$F$2241,6,FALSE)</f>
        <v>9</v>
      </c>
    </row>
    <row r="26" spans="1:15" ht="15.75" customHeight="1">
      <c r="A26" s="6">
        <v>24</v>
      </c>
      <c r="B26" s="6">
        <v>1409</v>
      </c>
      <c r="C26" s="6">
        <v>1951</v>
      </c>
      <c r="D26" s="7" t="s">
        <v>9</v>
      </c>
      <c r="E26" s="7" t="s">
        <v>11</v>
      </c>
      <c r="F26" s="6">
        <v>40689</v>
      </c>
      <c r="G26" s="6">
        <v>0</v>
      </c>
      <c r="H26" s="6">
        <v>1</v>
      </c>
      <c r="I26" s="6">
        <f t="shared" si="0"/>
        <v>1</v>
      </c>
      <c r="J26" s="8">
        <v>41351</v>
      </c>
      <c r="K26" s="6">
        <v>69</v>
      </c>
      <c r="L26">
        <f>VLOOKUP(A26,Marketing_df2!$A$1:$F$2241,3,FALSE)</f>
        <v>3</v>
      </c>
      <c r="M26">
        <f>VLOOKUP(A26,Marketing_df2!$A$1:$F$2241,4,FALSE)</f>
        <v>6</v>
      </c>
      <c r="N26">
        <f>VLOOKUP(A26,Marketing_df2!$A$1:$F$2241,5,FALSE)</f>
        <v>7</v>
      </c>
      <c r="O26">
        <f>VLOOKUP(A26,Marketing_df2!$A$1:$F$2241,6,FALSE)</f>
        <v>5</v>
      </c>
    </row>
    <row r="27" spans="1:15" ht="15.75" customHeight="1">
      <c r="A27" s="6">
        <v>25</v>
      </c>
      <c r="B27" s="6">
        <v>7892</v>
      </c>
      <c r="C27" s="6">
        <v>1969</v>
      </c>
      <c r="D27" s="7" t="s">
        <v>9</v>
      </c>
      <c r="E27" s="7" t="s">
        <v>10</v>
      </c>
      <c r="F27" s="6">
        <v>18589</v>
      </c>
      <c r="G27" s="6">
        <v>0</v>
      </c>
      <c r="H27" s="6">
        <v>0</v>
      </c>
      <c r="I27" s="6">
        <f t="shared" si="0"/>
        <v>0</v>
      </c>
      <c r="J27" s="8">
        <v>41276</v>
      </c>
      <c r="K27" s="6">
        <v>89</v>
      </c>
      <c r="L27">
        <f>VLOOKUP(A27,Marketing_df2!$A$1:$F$2241,3,FALSE)</f>
        <v>4</v>
      </c>
      <c r="M27">
        <f>VLOOKUP(A27,Marketing_df2!$A$1:$F$2241,4,FALSE)</f>
        <v>12</v>
      </c>
      <c r="N27">
        <f>VLOOKUP(A27,Marketing_df2!$A$1:$F$2241,5,FALSE)</f>
        <v>2</v>
      </c>
      <c r="O27">
        <f>VLOOKUP(A27,Marketing_df2!$A$1:$F$2241,6,FALSE)</f>
        <v>3</v>
      </c>
    </row>
    <row r="28" spans="1:15" ht="15.75" customHeight="1">
      <c r="A28" s="6">
        <v>26</v>
      </c>
      <c r="B28" s="6">
        <v>2404</v>
      </c>
      <c r="C28" s="6">
        <v>1976</v>
      </c>
      <c r="D28" s="7" t="s">
        <v>9</v>
      </c>
      <c r="E28" s="7" t="s">
        <v>13</v>
      </c>
      <c r="F28" s="6">
        <v>53359</v>
      </c>
      <c r="G28" s="6">
        <v>1</v>
      </c>
      <c r="H28" s="6">
        <v>1</v>
      </c>
      <c r="I28" s="6">
        <f t="shared" si="0"/>
        <v>2</v>
      </c>
      <c r="J28" s="8">
        <v>41421</v>
      </c>
      <c r="K28" s="6">
        <v>4</v>
      </c>
      <c r="L28">
        <f>VLOOKUP(A28,Marketing_df2!$A$1:$F$2241,3,FALSE)</f>
        <v>4</v>
      </c>
      <c r="M28">
        <f>VLOOKUP(A28,Marketing_df2!$A$1:$F$2241,4,FALSE)</f>
        <v>6</v>
      </c>
      <c r="N28">
        <f>VLOOKUP(A28,Marketing_df2!$A$1:$F$2241,5,FALSE)</f>
        <v>5</v>
      </c>
      <c r="O28">
        <f>VLOOKUP(A28,Marketing_df2!$A$1:$F$2241,6,FALSE)</f>
        <v>4</v>
      </c>
    </row>
    <row r="29" spans="1:15" ht="15.75" customHeight="1">
      <c r="A29" s="6">
        <v>27</v>
      </c>
      <c r="B29" s="6">
        <v>5255</v>
      </c>
      <c r="C29" s="6">
        <v>1986</v>
      </c>
      <c r="D29" s="7" t="s">
        <v>9</v>
      </c>
      <c r="E29" s="7" t="s">
        <v>10</v>
      </c>
      <c r="F29" s="7"/>
      <c r="G29" s="6">
        <v>1</v>
      </c>
      <c r="H29" s="6">
        <v>0</v>
      </c>
      <c r="I29" s="6">
        <f t="shared" si="0"/>
        <v>1</v>
      </c>
      <c r="J29" s="8">
        <v>41325</v>
      </c>
      <c r="K29" s="6">
        <v>19</v>
      </c>
      <c r="L29">
        <f>VLOOKUP(A29,Marketing_df2!$A$1:$F$2241,3,FALSE)</f>
        <v>1</v>
      </c>
      <c r="M29">
        <f>VLOOKUP(A29,Marketing_df2!$A$1:$F$2241,4,FALSE)</f>
        <v>263</v>
      </c>
      <c r="N29">
        <f>VLOOKUP(A29,Marketing_df2!$A$1:$F$2241,5,FALSE)</f>
        <v>27</v>
      </c>
      <c r="O29">
        <f>VLOOKUP(A29,Marketing_df2!$A$1:$F$2241,6,FALSE)</f>
        <v>0</v>
      </c>
    </row>
    <row r="30" spans="1:15" ht="15.75" customHeight="1">
      <c r="A30" s="6">
        <v>28</v>
      </c>
      <c r="B30" s="6">
        <v>9422</v>
      </c>
      <c r="C30" s="6">
        <v>1989</v>
      </c>
      <c r="D30" s="7" t="s">
        <v>9</v>
      </c>
      <c r="E30" s="7" t="s">
        <v>13</v>
      </c>
      <c r="F30" s="6">
        <v>38360</v>
      </c>
      <c r="G30" s="6">
        <v>1</v>
      </c>
      <c r="H30" s="6">
        <v>0</v>
      </c>
      <c r="I30" s="6">
        <f t="shared" si="0"/>
        <v>1</v>
      </c>
      <c r="J30" s="8">
        <v>41425</v>
      </c>
      <c r="K30" s="6">
        <v>26</v>
      </c>
      <c r="L30">
        <f>VLOOKUP(A30,Marketing_df2!$A$1:$F$2241,3,FALSE)</f>
        <v>2</v>
      </c>
      <c r="M30">
        <f>VLOOKUP(A30,Marketing_df2!$A$1:$F$2241,4,FALSE)</f>
        <v>21</v>
      </c>
      <c r="N30">
        <f>VLOOKUP(A30,Marketing_df2!$A$1:$F$2241,5,FALSE)</f>
        <v>2</v>
      </c>
      <c r="O30">
        <f>VLOOKUP(A30,Marketing_df2!$A$1:$F$2241,6,FALSE)</f>
        <v>4</v>
      </c>
    </row>
    <row r="31" spans="1:15" ht="15.75" customHeight="1">
      <c r="A31" s="6">
        <v>29</v>
      </c>
      <c r="B31" s="6">
        <v>1966</v>
      </c>
      <c r="C31" s="6">
        <v>1965</v>
      </c>
      <c r="D31" s="7" t="s">
        <v>12</v>
      </c>
      <c r="E31" s="7" t="s">
        <v>13</v>
      </c>
      <c r="F31" s="6">
        <v>84618</v>
      </c>
      <c r="G31" s="6">
        <v>0</v>
      </c>
      <c r="H31" s="6">
        <v>0</v>
      </c>
      <c r="I31" s="6">
        <f t="shared" si="0"/>
        <v>0</v>
      </c>
      <c r="J31" s="9">
        <v>41600</v>
      </c>
      <c r="K31" s="6">
        <v>96</v>
      </c>
      <c r="L31">
        <f>VLOOKUP(A31,Marketing_df2!$A$1:$F$2241,3,FALSE)</f>
        <v>100</v>
      </c>
      <c r="M31">
        <f>VLOOKUP(A31,Marketing_df2!$A$1:$F$2241,4,FALSE)</f>
        <v>66</v>
      </c>
      <c r="N31">
        <f>VLOOKUP(A31,Marketing_df2!$A$1:$F$2241,5,FALSE)</f>
        <v>6</v>
      </c>
      <c r="O31">
        <f>VLOOKUP(A31,Marketing_df2!$A$1:$F$2241,6,FALSE)</f>
        <v>10</v>
      </c>
    </row>
    <row r="32" spans="1:15" ht="15.75" customHeight="1">
      <c r="A32" s="6">
        <v>30</v>
      </c>
      <c r="B32" s="6">
        <v>6864</v>
      </c>
      <c r="C32" s="6">
        <v>1989</v>
      </c>
      <c r="D32" s="7" t="s">
        <v>14</v>
      </c>
      <c r="E32" s="7" t="s">
        <v>15</v>
      </c>
      <c r="F32" s="6">
        <v>10979</v>
      </c>
      <c r="G32" s="6">
        <v>0</v>
      </c>
      <c r="H32" s="6">
        <v>0</v>
      </c>
      <c r="I32" s="6">
        <f t="shared" si="0"/>
        <v>0</v>
      </c>
      <c r="J32" s="8">
        <v>41781</v>
      </c>
      <c r="K32" s="6">
        <v>34</v>
      </c>
      <c r="L32">
        <f>VLOOKUP(A32,Marketing_df2!$A$1:$F$2241,3,FALSE)</f>
        <v>4</v>
      </c>
      <c r="M32">
        <f>VLOOKUP(A32,Marketing_df2!$A$1:$F$2241,4,FALSE)</f>
        <v>2</v>
      </c>
      <c r="N32">
        <f>VLOOKUP(A32,Marketing_df2!$A$1:$F$2241,5,FALSE)</f>
        <v>3</v>
      </c>
      <c r="O32">
        <f>VLOOKUP(A32,Marketing_df2!$A$1:$F$2241,6,FALSE)</f>
        <v>3</v>
      </c>
    </row>
    <row r="33" spans="1:15" ht="15.75" customHeight="1">
      <c r="A33" s="6">
        <v>31</v>
      </c>
      <c r="B33" s="6">
        <v>3033</v>
      </c>
      <c r="C33" s="6">
        <v>1963</v>
      </c>
      <c r="D33" s="7" t="s">
        <v>14</v>
      </c>
      <c r="E33" s="7" t="s">
        <v>11</v>
      </c>
      <c r="F33" s="6">
        <v>38620</v>
      </c>
      <c r="G33" s="6">
        <v>0</v>
      </c>
      <c r="H33" s="6">
        <v>0</v>
      </c>
      <c r="I33" s="6">
        <f t="shared" si="0"/>
        <v>0</v>
      </c>
      <c r="J33" s="8">
        <v>41405</v>
      </c>
      <c r="K33" s="6">
        <v>56</v>
      </c>
      <c r="L33">
        <f>VLOOKUP(A33,Marketing_df2!$A$1:$F$2241,3,FALSE)</f>
        <v>17</v>
      </c>
      <c r="M33">
        <f>VLOOKUP(A33,Marketing_df2!$A$1:$F$2241,4,FALSE)</f>
        <v>22</v>
      </c>
      <c r="N33">
        <f>VLOOKUP(A33,Marketing_df2!$A$1:$F$2241,5,FALSE)</f>
        <v>2</v>
      </c>
      <c r="O33">
        <f>VLOOKUP(A33,Marketing_df2!$A$1:$F$2241,6,FALSE)</f>
        <v>3</v>
      </c>
    </row>
    <row r="34" spans="1:15" ht="15.75" customHeight="1">
      <c r="A34" s="6">
        <v>32</v>
      </c>
      <c r="B34" s="6">
        <v>5710</v>
      </c>
      <c r="C34" s="6">
        <v>1970</v>
      </c>
      <c r="D34" s="7" t="s">
        <v>9</v>
      </c>
      <c r="E34" s="7" t="s">
        <v>11</v>
      </c>
      <c r="F34" s="6">
        <v>40548</v>
      </c>
      <c r="G34" s="6">
        <v>0</v>
      </c>
      <c r="H34" s="6">
        <v>1</v>
      </c>
      <c r="I34" s="6">
        <f t="shared" si="0"/>
        <v>1</v>
      </c>
      <c r="J34" s="9">
        <v>41192</v>
      </c>
      <c r="K34" s="6">
        <v>31</v>
      </c>
      <c r="L34">
        <f>VLOOKUP(A34,Marketing_df2!$A$1:$F$2241,3,FALSE)</f>
        <v>0</v>
      </c>
      <c r="M34">
        <f>VLOOKUP(A34,Marketing_df2!$A$1:$F$2241,4,FALSE)</f>
        <v>0</v>
      </c>
      <c r="N34">
        <f>VLOOKUP(A34,Marketing_df2!$A$1:$F$2241,5,FALSE)</f>
        <v>2</v>
      </c>
      <c r="O34">
        <f>VLOOKUP(A34,Marketing_df2!$A$1:$F$2241,6,FALSE)</f>
        <v>4</v>
      </c>
    </row>
    <row r="35" spans="1:15" ht="15.75" customHeight="1">
      <c r="A35" s="6">
        <v>33</v>
      </c>
      <c r="B35" s="6">
        <v>7373</v>
      </c>
      <c r="C35" s="6">
        <v>1952</v>
      </c>
      <c r="D35" s="7" t="s">
        <v>12</v>
      </c>
      <c r="E35" s="7" t="s">
        <v>15</v>
      </c>
      <c r="F35" s="6">
        <v>46610</v>
      </c>
      <c r="G35" s="6">
        <v>0</v>
      </c>
      <c r="H35" s="6">
        <v>2</v>
      </c>
      <c r="I35" s="6">
        <f t="shared" si="0"/>
        <v>2</v>
      </c>
      <c r="J35" s="9">
        <v>41211</v>
      </c>
      <c r="K35" s="6">
        <v>8</v>
      </c>
      <c r="L35">
        <f>VLOOKUP(A35,Marketing_df2!$A$1:$F$2241,3,FALSE)</f>
        <v>12</v>
      </c>
      <c r="M35">
        <f>VLOOKUP(A35,Marketing_df2!$A$1:$F$2241,4,FALSE)</f>
        <v>22</v>
      </c>
      <c r="N35">
        <f>VLOOKUP(A35,Marketing_df2!$A$1:$F$2241,5,FALSE)</f>
        <v>4</v>
      </c>
      <c r="O35">
        <f>VLOOKUP(A35,Marketing_df2!$A$1:$F$2241,6,FALSE)</f>
        <v>6</v>
      </c>
    </row>
    <row r="36" spans="1:15" ht="15.75" customHeight="1">
      <c r="A36" s="6">
        <v>34</v>
      </c>
      <c r="B36" s="6">
        <v>8755</v>
      </c>
      <c r="C36" s="6">
        <v>1946</v>
      </c>
      <c r="D36" s="7" t="s">
        <v>14</v>
      </c>
      <c r="E36" s="7" t="s">
        <v>13</v>
      </c>
      <c r="F36" s="6">
        <v>68657</v>
      </c>
      <c r="G36" s="6">
        <v>0</v>
      </c>
      <c r="H36" s="6">
        <v>0</v>
      </c>
      <c r="I36" s="6">
        <f t="shared" si="0"/>
        <v>0</v>
      </c>
      <c r="J36" s="8">
        <v>41325</v>
      </c>
      <c r="K36" s="6">
        <v>4</v>
      </c>
      <c r="L36">
        <f>VLOOKUP(A36,Marketing_df2!$A$1:$F$2241,3,FALSE)</f>
        <v>34</v>
      </c>
      <c r="M36">
        <f>VLOOKUP(A36,Marketing_df2!$A$1:$F$2241,4,FALSE)</f>
        <v>68</v>
      </c>
      <c r="N36">
        <f>VLOOKUP(A36,Marketing_df2!$A$1:$F$2241,5,FALSE)</f>
        <v>3</v>
      </c>
      <c r="O36">
        <f>VLOOKUP(A36,Marketing_df2!$A$1:$F$2241,6,FALSE)</f>
        <v>9</v>
      </c>
    </row>
    <row r="37" spans="1:15" ht="15.75" customHeight="1">
      <c r="A37" s="6">
        <v>35</v>
      </c>
      <c r="B37" s="6">
        <v>10738</v>
      </c>
      <c r="C37" s="6">
        <v>1951</v>
      </c>
      <c r="D37" s="7" t="s">
        <v>14</v>
      </c>
      <c r="E37" s="7" t="s">
        <v>10</v>
      </c>
      <c r="F37" s="6">
        <v>49389</v>
      </c>
      <c r="G37" s="6">
        <v>1</v>
      </c>
      <c r="H37" s="6">
        <v>1</v>
      </c>
      <c r="I37" s="6">
        <f t="shared" si="0"/>
        <v>2</v>
      </c>
      <c r="J37" s="8">
        <v>41515</v>
      </c>
      <c r="K37" s="6">
        <v>55</v>
      </c>
      <c r="L37">
        <f>VLOOKUP(A37,Marketing_df2!$A$1:$F$2241,3,FALSE)</f>
        <v>0</v>
      </c>
      <c r="M37">
        <f>VLOOKUP(A37,Marketing_df2!$A$1:$F$2241,4,FALSE)</f>
        <v>1</v>
      </c>
      <c r="N37">
        <f>VLOOKUP(A37,Marketing_df2!$A$1:$F$2241,5,FALSE)</f>
        <v>2</v>
      </c>
      <c r="O37">
        <f>VLOOKUP(A37,Marketing_df2!$A$1:$F$2241,6,FALSE)</f>
        <v>3</v>
      </c>
    </row>
    <row r="38" spans="1:15" ht="15.75" customHeight="1">
      <c r="A38" s="6">
        <v>36</v>
      </c>
      <c r="B38" s="6">
        <v>4339</v>
      </c>
      <c r="C38" s="6">
        <v>1970</v>
      </c>
      <c r="D38" s="7" t="s">
        <v>12</v>
      </c>
      <c r="E38" s="7" t="s">
        <v>13</v>
      </c>
      <c r="F38" s="6">
        <v>67353</v>
      </c>
      <c r="G38" s="6">
        <v>0</v>
      </c>
      <c r="H38" s="6">
        <v>1</v>
      </c>
      <c r="I38" s="6">
        <f t="shared" si="0"/>
        <v>1</v>
      </c>
      <c r="J38" s="9">
        <v>41639</v>
      </c>
      <c r="K38" s="6">
        <v>37</v>
      </c>
      <c r="L38">
        <f>VLOOKUP(A38,Marketing_df2!$A$1:$F$2241,3,FALSE)</f>
        <v>17</v>
      </c>
      <c r="M38">
        <f>VLOOKUP(A38,Marketing_df2!$A$1:$F$2241,4,FALSE)</f>
        <v>8</v>
      </c>
      <c r="N38">
        <f>VLOOKUP(A38,Marketing_df2!$A$1:$F$2241,5,FALSE)</f>
        <v>5</v>
      </c>
      <c r="O38">
        <f>VLOOKUP(A38,Marketing_df2!$A$1:$F$2241,6,FALSE)</f>
        <v>12</v>
      </c>
    </row>
    <row r="39" spans="1:15" ht="15.75" customHeight="1">
      <c r="A39" s="6">
        <v>37</v>
      </c>
      <c r="B39" s="6">
        <v>10755</v>
      </c>
      <c r="C39" s="6">
        <v>1976</v>
      </c>
      <c r="D39" s="7" t="s">
        <v>17</v>
      </c>
      <c r="E39" s="7" t="s">
        <v>13</v>
      </c>
      <c r="F39" s="6">
        <v>23718</v>
      </c>
      <c r="G39" s="6">
        <v>1</v>
      </c>
      <c r="H39" s="6">
        <v>0</v>
      </c>
      <c r="I39" s="6">
        <f t="shared" si="0"/>
        <v>1</v>
      </c>
      <c r="J39" s="8">
        <v>41519</v>
      </c>
      <c r="K39" s="6">
        <v>76</v>
      </c>
      <c r="L39">
        <f>VLOOKUP(A39,Marketing_df2!$A$1:$F$2241,3,FALSE)</f>
        <v>3</v>
      </c>
      <c r="M39">
        <f>VLOOKUP(A39,Marketing_df2!$A$1:$F$2241,4,FALSE)</f>
        <v>7</v>
      </c>
      <c r="N39">
        <f>VLOOKUP(A39,Marketing_df2!$A$1:$F$2241,5,FALSE)</f>
        <v>3</v>
      </c>
      <c r="O39">
        <f>VLOOKUP(A39,Marketing_df2!$A$1:$F$2241,6,FALSE)</f>
        <v>2</v>
      </c>
    </row>
    <row r="40" spans="1:15" ht="15.75" customHeight="1">
      <c r="A40" s="6">
        <v>38</v>
      </c>
      <c r="B40" s="6">
        <v>8595</v>
      </c>
      <c r="C40" s="6">
        <v>1973</v>
      </c>
      <c r="D40" s="7" t="s">
        <v>9</v>
      </c>
      <c r="E40" s="7" t="s">
        <v>18</v>
      </c>
      <c r="F40" s="6">
        <v>42429</v>
      </c>
      <c r="G40" s="6">
        <v>0</v>
      </c>
      <c r="H40" s="6">
        <v>1</v>
      </c>
      <c r="I40" s="6">
        <f t="shared" si="0"/>
        <v>1</v>
      </c>
      <c r="J40" s="8">
        <v>41681</v>
      </c>
      <c r="K40" s="6">
        <v>99</v>
      </c>
      <c r="L40">
        <f>VLOOKUP(A40,Marketing_df2!$A$1:$F$2241,3,FALSE)</f>
        <v>0</v>
      </c>
      <c r="M40">
        <f>VLOOKUP(A40,Marketing_df2!$A$1:$F$2241,4,FALSE)</f>
        <v>0</v>
      </c>
      <c r="N40">
        <f>VLOOKUP(A40,Marketing_df2!$A$1:$F$2241,5,FALSE)</f>
        <v>1</v>
      </c>
      <c r="O40">
        <f>VLOOKUP(A40,Marketing_df2!$A$1:$F$2241,6,FALSE)</f>
        <v>3</v>
      </c>
    </row>
    <row r="41" spans="1:15" ht="15.75" customHeight="1">
      <c r="A41" s="6">
        <v>39</v>
      </c>
      <c r="B41" s="6">
        <v>2968</v>
      </c>
      <c r="C41" s="6">
        <v>1943</v>
      </c>
      <c r="D41" s="7" t="s">
        <v>12</v>
      </c>
      <c r="E41" s="7" t="s">
        <v>15</v>
      </c>
      <c r="F41" s="6">
        <v>48948</v>
      </c>
      <c r="G41" s="6">
        <v>0</v>
      </c>
      <c r="H41" s="6">
        <v>0</v>
      </c>
      <c r="I41" s="6">
        <f t="shared" si="0"/>
        <v>0</v>
      </c>
      <c r="J41" s="8">
        <v>41306</v>
      </c>
      <c r="K41" s="6">
        <v>53</v>
      </c>
      <c r="L41">
        <f>VLOOKUP(A41,Marketing_df2!$A$1:$F$2241,3,FALSE)</f>
        <v>8</v>
      </c>
      <c r="M41">
        <f>VLOOKUP(A41,Marketing_df2!$A$1:$F$2241,4,FALSE)</f>
        <v>49</v>
      </c>
      <c r="N41">
        <f>VLOOKUP(A41,Marketing_df2!$A$1:$F$2241,5,FALSE)</f>
        <v>7</v>
      </c>
      <c r="O41">
        <f>VLOOKUP(A41,Marketing_df2!$A$1:$F$2241,6,FALSE)</f>
        <v>5</v>
      </c>
    </row>
    <row r="42" spans="1:15" ht="15.75" customHeight="1">
      <c r="A42" s="6">
        <v>40</v>
      </c>
      <c r="B42" s="6">
        <v>8601</v>
      </c>
      <c r="C42" s="6">
        <v>1980</v>
      </c>
      <c r="D42" s="7" t="s">
        <v>9</v>
      </c>
      <c r="E42" s="7" t="s">
        <v>13</v>
      </c>
      <c r="F42" s="6">
        <v>80011</v>
      </c>
      <c r="G42" s="6">
        <v>0</v>
      </c>
      <c r="H42" s="6">
        <v>1</v>
      </c>
      <c r="I42" s="6">
        <f t="shared" si="0"/>
        <v>1</v>
      </c>
      <c r="J42" s="8">
        <v>41393</v>
      </c>
      <c r="K42" s="6">
        <v>3</v>
      </c>
      <c r="L42">
        <f>VLOOKUP(A42,Marketing_df2!$A$1:$F$2241,3,FALSE)</f>
        <v>76</v>
      </c>
      <c r="M42">
        <f>VLOOKUP(A42,Marketing_df2!$A$1:$F$2241,4,FALSE)</f>
        <v>178</v>
      </c>
      <c r="N42">
        <f>VLOOKUP(A42,Marketing_df2!$A$1:$F$2241,5,FALSE)</f>
        <v>8</v>
      </c>
      <c r="O42">
        <f>VLOOKUP(A42,Marketing_df2!$A$1:$F$2241,6,FALSE)</f>
        <v>5</v>
      </c>
    </row>
    <row r="43" spans="1:15" ht="15.75" customHeight="1">
      <c r="A43" s="6">
        <v>41</v>
      </c>
      <c r="B43" s="6">
        <v>503</v>
      </c>
      <c r="C43" s="6">
        <v>1985</v>
      </c>
      <c r="D43" s="7" t="s">
        <v>14</v>
      </c>
      <c r="E43" s="7" t="s">
        <v>13</v>
      </c>
      <c r="F43" s="6">
        <v>20559</v>
      </c>
      <c r="G43" s="6">
        <v>1</v>
      </c>
      <c r="H43" s="6">
        <v>0</v>
      </c>
      <c r="I43" s="6">
        <f t="shared" si="0"/>
        <v>1</v>
      </c>
      <c r="J43" s="8">
        <v>41345</v>
      </c>
      <c r="K43" s="6">
        <v>88</v>
      </c>
      <c r="L43">
        <f>VLOOKUP(A43,Marketing_df2!$A$1:$F$2241,3,FALSE)</f>
        <v>1</v>
      </c>
      <c r="M43">
        <f>VLOOKUP(A43,Marketing_df2!$A$1:$F$2241,4,FALSE)</f>
        <v>0</v>
      </c>
      <c r="N43">
        <f>VLOOKUP(A43,Marketing_df2!$A$1:$F$2241,5,FALSE)</f>
        <v>2</v>
      </c>
      <c r="O43">
        <f>VLOOKUP(A43,Marketing_df2!$A$1:$F$2241,6,FALSE)</f>
        <v>3</v>
      </c>
    </row>
    <row r="44" spans="1:15" ht="15.75" customHeight="1">
      <c r="A44" s="6">
        <v>42</v>
      </c>
      <c r="B44" s="6">
        <v>8430</v>
      </c>
      <c r="C44" s="6">
        <v>1957</v>
      </c>
      <c r="D44" s="7" t="s">
        <v>9</v>
      </c>
      <c r="E44" s="7" t="s">
        <v>11</v>
      </c>
      <c r="F44" s="6">
        <v>21994</v>
      </c>
      <c r="G44" s="6">
        <v>0</v>
      </c>
      <c r="H44" s="6">
        <v>1</v>
      </c>
      <c r="I44" s="6">
        <f t="shared" si="0"/>
        <v>1</v>
      </c>
      <c r="J44" s="9">
        <v>41267</v>
      </c>
      <c r="K44" s="6">
        <v>4</v>
      </c>
      <c r="L44">
        <f>VLOOKUP(A44,Marketing_df2!$A$1:$F$2241,3,FALSE)</f>
        <v>0</v>
      </c>
      <c r="M44">
        <f>VLOOKUP(A44,Marketing_df2!$A$1:$F$2241,4,FALSE)</f>
        <v>1</v>
      </c>
      <c r="N44">
        <f>VLOOKUP(A44,Marketing_df2!$A$1:$F$2241,5,FALSE)</f>
        <v>0</v>
      </c>
      <c r="O44">
        <f>VLOOKUP(A44,Marketing_df2!$A$1:$F$2241,6,FALSE)</f>
        <v>3</v>
      </c>
    </row>
    <row r="45" spans="1:15" ht="15.75" customHeight="1">
      <c r="A45" s="6">
        <v>43</v>
      </c>
      <c r="B45" s="6">
        <v>7281</v>
      </c>
      <c r="C45" s="6">
        <v>1959</v>
      </c>
      <c r="D45" s="7" t="s">
        <v>12</v>
      </c>
      <c r="E45" s="7" t="s">
        <v>10</v>
      </c>
      <c r="F45" s="7"/>
      <c r="G45" s="6">
        <v>0</v>
      </c>
      <c r="H45" s="6">
        <v>0</v>
      </c>
      <c r="I45" s="6">
        <f t="shared" si="0"/>
        <v>0</v>
      </c>
      <c r="J45" s="8">
        <v>41583</v>
      </c>
      <c r="K45" s="6">
        <v>80</v>
      </c>
      <c r="L45">
        <f>VLOOKUP(A45,Marketing_df2!$A$1:$F$2241,3,FALSE)</f>
        <v>11</v>
      </c>
      <c r="M45">
        <f>VLOOKUP(A45,Marketing_df2!$A$1:$F$2241,4,FALSE)</f>
        <v>2</v>
      </c>
      <c r="N45">
        <f>VLOOKUP(A45,Marketing_df2!$A$1:$F$2241,5,FALSE)</f>
        <v>1</v>
      </c>
      <c r="O45">
        <f>VLOOKUP(A45,Marketing_df2!$A$1:$F$2241,6,FALSE)</f>
        <v>4</v>
      </c>
    </row>
    <row r="46" spans="1:15" ht="12.5">
      <c r="A46" s="6">
        <v>44</v>
      </c>
      <c r="B46" s="6">
        <v>2139</v>
      </c>
      <c r="C46" s="6">
        <v>1975</v>
      </c>
      <c r="D46" s="7" t="s">
        <v>14</v>
      </c>
      <c r="E46" s="7" t="s">
        <v>13</v>
      </c>
      <c r="F46" s="6">
        <v>7500</v>
      </c>
      <c r="G46" s="6">
        <v>1</v>
      </c>
      <c r="H46" s="6">
        <v>0</v>
      </c>
      <c r="I46" s="6">
        <f t="shared" si="0"/>
        <v>1</v>
      </c>
      <c r="J46" s="8">
        <v>41549</v>
      </c>
      <c r="K46" s="6">
        <v>19</v>
      </c>
      <c r="L46">
        <f>VLOOKUP(A46,Marketing_df2!$A$1:$F$2241,3,FALSE)</f>
        <v>1</v>
      </c>
      <c r="M46">
        <f>VLOOKUP(A46,Marketing_df2!$A$1:$F$2241,4,FALSE)</f>
        <v>2</v>
      </c>
      <c r="N46">
        <f>VLOOKUP(A46,Marketing_df2!$A$1:$F$2241,5,FALSE)</f>
        <v>2</v>
      </c>
      <c r="O46">
        <f>VLOOKUP(A46,Marketing_df2!$A$1:$F$2241,6,FALSE)</f>
        <v>3</v>
      </c>
    </row>
    <row r="47" spans="1:15" ht="12.5">
      <c r="A47" s="6">
        <v>45</v>
      </c>
      <c r="B47" s="6">
        <v>1371</v>
      </c>
      <c r="C47" s="6">
        <v>1976</v>
      </c>
      <c r="D47" s="7" t="s">
        <v>9</v>
      </c>
      <c r="E47" s="7" t="s">
        <v>10</v>
      </c>
      <c r="F47" s="6">
        <v>79941</v>
      </c>
      <c r="G47" s="6">
        <v>0</v>
      </c>
      <c r="H47" s="6">
        <v>0</v>
      </c>
      <c r="I47" s="6">
        <f t="shared" si="0"/>
        <v>0</v>
      </c>
      <c r="J47" s="8">
        <v>41818</v>
      </c>
      <c r="K47" s="6">
        <v>72</v>
      </c>
      <c r="L47">
        <f>VLOOKUP(A47,Marketing_df2!$A$1:$F$2241,3,FALSE)</f>
        <v>164</v>
      </c>
      <c r="M47">
        <f>VLOOKUP(A47,Marketing_df2!$A$1:$F$2241,4,FALSE)</f>
        <v>30</v>
      </c>
      <c r="N47">
        <f>VLOOKUP(A47,Marketing_df2!$A$1:$F$2241,5,FALSE)</f>
        <v>2</v>
      </c>
      <c r="O47">
        <f>VLOOKUP(A47,Marketing_df2!$A$1:$F$2241,6,FALSE)</f>
        <v>9</v>
      </c>
    </row>
    <row r="48" spans="1:15" ht="12.5">
      <c r="A48" s="6">
        <v>46</v>
      </c>
      <c r="B48" s="6">
        <v>9909</v>
      </c>
      <c r="C48" s="6">
        <v>1996</v>
      </c>
      <c r="D48" s="7" t="s">
        <v>17</v>
      </c>
      <c r="E48" s="7" t="s">
        <v>13</v>
      </c>
      <c r="F48" s="6">
        <v>7500</v>
      </c>
      <c r="G48" s="6">
        <v>0</v>
      </c>
      <c r="H48" s="6">
        <v>0</v>
      </c>
      <c r="I48" s="6">
        <f t="shared" si="0"/>
        <v>0</v>
      </c>
      <c r="J48" s="8">
        <v>41222</v>
      </c>
      <c r="K48" s="6">
        <v>24</v>
      </c>
      <c r="L48">
        <f>VLOOKUP(A48,Marketing_df2!$A$1:$F$2241,3,FALSE)</f>
        <v>18</v>
      </c>
      <c r="M48">
        <f>VLOOKUP(A48,Marketing_df2!$A$1:$F$2241,4,FALSE)</f>
        <v>22</v>
      </c>
      <c r="N48">
        <f>VLOOKUP(A48,Marketing_df2!$A$1:$F$2241,5,FALSE)</f>
        <v>3</v>
      </c>
      <c r="O48">
        <f>VLOOKUP(A48,Marketing_df2!$A$1:$F$2241,6,FALSE)</f>
        <v>3</v>
      </c>
    </row>
    <row r="49" spans="1:15" ht="12.5">
      <c r="A49" s="6">
        <v>47</v>
      </c>
      <c r="B49" s="6">
        <v>7286</v>
      </c>
      <c r="C49" s="6">
        <v>1968</v>
      </c>
      <c r="D49" s="7" t="s">
        <v>9</v>
      </c>
      <c r="E49" s="7" t="s">
        <v>11</v>
      </c>
      <c r="F49" s="6">
        <v>41728</v>
      </c>
      <c r="G49" s="6">
        <v>1</v>
      </c>
      <c r="H49" s="6">
        <v>0</v>
      </c>
      <c r="I49" s="6">
        <f t="shared" si="0"/>
        <v>1</v>
      </c>
      <c r="J49" s="8">
        <v>41418</v>
      </c>
      <c r="K49" s="6">
        <v>92</v>
      </c>
      <c r="L49">
        <f>VLOOKUP(A49,Marketing_df2!$A$1:$F$2241,3,FALSE)</f>
        <v>6</v>
      </c>
      <c r="M49">
        <f>VLOOKUP(A49,Marketing_df2!$A$1:$F$2241,4,FALSE)</f>
        <v>5</v>
      </c>
      <c r="N49">
        <f>VLOOKUP(A49,Marketing_df2!$A$1:$F$2241,5,FALSE)</f>
        <v>2</v>
      </c>
      <c r="O49">
        <f>VLOOKUP(A49,Marketing_df2!$A$1:$F$2241,6,FALSE)</f>
        <v>2</v>
      </c>
    </row>
    <row r="50" spans="1:15" ht="12.5">
      <c r="A50" s="6">
        <v>48</v>
      </c>
      <c r="B50" s="6">
        <v>7244</v>
      </c>
      <c r="C50" s="6">
        <v>1951</v>
      </c>
      <c r="D50" s="7" t="s">
        <v>9</v>
      </c>
      <c r="E50" s="7" t="s">
        <v>10</v>
      </c>
      <c r="F50" s="7"/>
      <c r="G50" s="6">
        <v>2</v>
      </c>
      <c r="H50" s="6">
        <v>1</v>
      </c>
      <c r="I50" s="6">
        <f t="shared" si="0"/>
        <v>3</v>
      </c>
      <c r="J50" s="8">
        <v>41640</v>
      </c>
      <c r="K50" s="6">
        <v>96</v>
      </c>
      <c r="L50">
        <f>VLOOKUP(A50,Marketing_df2!$A$1:$F$2241,3,FALSE)</f>
        <v>5</v>
      </c>
      <c r="M50">
        <f>VLOOKUP(A50,Marketing_df2!$A$1:$F$2241,4,FALSE)</f>
        <v>10</v>
      </c>
      <c r="N50">
        <f>VLOOKUP(A50,Marketing_df2!$A$1:$F$2241,5,FALSE)</f>
        <v>2</v>
      </c>
      <c r="O50">
        <f>VLOOKUP(A50,Marketing_df2!$A$1:$F$2241,6,FALSE)</f>
        <v>4</v>
      </c>
    </row>
    <row r="51" spans="1:15" ht="12.5">
      <c r="A51" s="6">
        <v>49</v>
      </c>
      <c r="B51" s="6">
        <v>6566</v>
      </c>
      <c r="C51" s="6">
        <v>1954</v>
      </c>
      <c r="D51" s="7" t="s">
        <v>12</v>
      </c>
      <c r="E51" s="7" t="s">
        <v>13</v>
      </c>
      <c r="F51" s="6">
        <v>72550</v>
      </c>
      <c r="G51" s="6">
        <v>1</v>
      </c>
      <c r="H51" s="6">
        <v>1</v>
      </c>
      <c r="I51" s="6">
        <f t="shared" si="0"/>
        <v>2</v>
      </c>
      <c r="J51" s="8">
        <v>41221</v>
      </c>
      <c r="K51" s="6">
        <v>39</v>
      </c>
      <c r="L51">
        <f>VLOOKUP(A51,Marketing_df2!$A$1:$F$2241,3,FALSE)</f>
        <v>50</v>
      </c>
      <c r="M51">
        <f>VLOOKUP(A51,Marketing_df2!$A$1:$F$2241,4,FALSE)</f>
        <v>38</v>
      </c>
      <c r="N51">
        <f>VLOOKUP(A51,Marketing_df2!$A$1:$F$2241,5,FALSE)</f>
        <v>5</v>
      </c>
      <c r="O51">
        <f>VLOOKUP(A51,Marketing_df2!$A$1:$F$2241,6,FALSE)</f>
        <v>12</v>
      </c>
    </row>
    <row r="52" spans="1:15" ht="12.5">
      <c r="A52" s="6">
        <v>50</v>
      </c>
      <c r="B52" s="6">
        <v>8614</v>
      </c>
      <c r="C52" s="6">
        <v>1957</v>
      </c>
      <c r="D52" s="7" t="s">
        <v>9</v>
      </c>
      <c r="E52" s="7" t="s">
        <v>18</v>
      </c>
      <c r="F52" s="6">
        <v>65486</v>
      </c>
      <c r="G52" s="6">
        <v>0</v>
      </c>
      <c r="H52" s="6">
        <v>1</v>
      </c>
      <c r="I52" s="6">
        <f t="shared" si="0"/>
        <v>1</v>
      </c>
      <c r="J52" s="8">
        <v>41771</v>
      </c>
      <c r="K52" s="6">
        <v>29</v>
      </c>
      <c r="L52">
        <f>VLOOKUP(A52,Marketing_df2!$A$1:$F$2241,3,FALSE)</f>
        <v>19</v>
      </c>
      <c r="M52">
        <f>VLOOKUP(A52,Marketing_df2!$A$1:$F$2241,4,FALSE)</f>
        <v>67</v>
      </c>
      <c r="N52">
        <f>VLOOKUP(A52,Marketing_df2!$A$1:$F$2241,5,FALSE)</f>
        <v>4</v>
      </c>
      <c r="O52">
        <f>VLOOKUP(A52,Marketing_df2!$A$1:$F$2241,6,FALSE)</f>
        <v>10</v>
      </c>
    </row>
    <row r="53" spans="1:15" ht="12.5">
      <c r="A53" s="6">
        <v>51</v>
      </c>
      <c r="B53" s="6">
        <v>4114</v>
      </c>
      <c r="C53" s="6">
        <v>1964</v>
      </c>
      <c r="D53" s="7" t="s">
        <v>14</v>
      </c>
      <c r="E53" s="7" t="s">
        <v>13</v>
      </c>
      <c r="F53" s="6">
        <v>79143</v>
      </c>
      <c r="G53" s="6">
        <v>0</v>
      </c>
      <c r="H53" s="6">
        <v>0</v>
      </c>
      <c r="I53" s="6">
        <f t="shared" si="0"/>
        <v>0</v>
      </c>
      <c r="J53" s="8">
        <v>41132</v>
      </c>
      <c r="K53" s="6">
        <v>2</v>
      </c>
      <c r="L53">
        <f>VLOOKUP(A53,Marketing_df2!$A$1:$F$2241,3,FALSE)</f>
        <v>37</v>
      </c>
      <c r="M53">
        <f>VLOOKUP(A53,Marketing_df2!$A$1:$F$2241,4,FALSE)</f>
        <v>167</v>
      </c>
      <c r="N53">
        <f>VLOOKUP(A53,Marketing_df2!$A$1:$F$2241,5,FALSE)</f>
        <v>6</v>
      </c>
      <c r="O53">
        <f>VLOOKUP(A53,Marketing_df2!$A$1:$F$2241,6,FALSE)</f>
        <v>13</v>
      </c>
    </row>
    <row r="54" spans="1:15" ht="12.5">
      <c r="A54" s="6">
        <v>52</v>
      </c>
      <c r="B54" s="6">
        <v>1331</v>
      </c>
      <c r="C54" s="6">
        <v>1977</v>
      </c>
      <c r="D54" s="7" t="s">
        <v>9</v>
      </c>
      <c r="E54" s="7" t="s">
        <v>10</v>
      </c>
      <c r="F54" s="6">
        <v>35790</v>
      </c>
      <c r="G54" s="6">
        <v>1</v>
      </c>
      <c r="H54" s="6">
        <v>0</v>
      </c>
      <c r="I54" s="6">
        <f t="shared" si="0"/>
        <v>1</v>
      </c>
      <c r="J54" s="8">
        <v>41276</v>
      </c>
      <c r="K54" s="6">
        <v>54</v>
      </c>
      <c r="L54">
        <f>VLOOKUP(A54,Marketing_df2!$A$1:$F$2241,3,FALSE)</f>
        <v>6</v>
      </c>
      <c r="M54">
        <f>VLOOKUP(A54,Marketing_df2!$A$1:$F$2241,4,FALSE)</f>
        <v>1</v>
      </c>
      <c r="N54">
        <f>VLOOKUP(A54,Marketing_df2!$A$1:$F$2241,5,FALSE)</f>
        <v>2</v>
      </c>
      <c r="O54">
        <f>VLOOKUP(A54,Marketing_df2!$A$1:$F$2241,6,FALSE)</f>
        <v>3</v>
      </c>
    </row>
    <row r="55" spans="1:15" ht="12.5">
      <c r="A55" s="6">
        <v>53</v>
      </c>
      <c r="B55" s="6">
        <v>2225</v>
      </c>
      <c r="C55" s="6">
        <v>1977</v>
      </c>
      <c r="D55" s="7" t="s">
        <v>9</v>
      </c>
      <c r="E55" s="7" t="s">
        <v>15</v>
      </c>
      <c r="F55" s="6">
        <v>82582</v>
      </c>
      <c r="G55" s="6">
        <v>0</v>
      </c>
      <c r="H55" s="6">
        <v>0</v>
      </c>
      <c r="I55" s="6">
        <f t="shared" si="0"/>
        <v>0</v>
      </c>
      <c r="J55" s="8">
        <v>41797</v>
      </c>
      <c r="K55" s="6">
        <v>54</v>
      </c>
      <c r="L55">
        <f>VLOOKUP(A55,Marketing_df2!$A$1:$F$2241,3,FALSE)</f>
        <v>120</v>
      </c>
      <c r="M55">
        <f>VLOOKUP(A55,Marketing_df2!$A$1:$F$2241,4,FALSE)</f>
        <v>40</v>
      </c>
      <c r="N55">
        <f>VLOOKUP(A55,Marketing_df2!$A$1:$F$2241,5,FALSE)</f>
        <v>4</v>
      </c>
      <c r="O55">
        <f>VLOOKUP(A55,Marketing_df2!$A$1:$F$2241,6,FALSE)</f>
        <v>7</v>
      </c>
    </row>
    <row r="56" spans="1:15" ht="12.5">
      <c r="A56" s="6">
        <v>54</v>
      </c>
      <c r="B56" s="6">
        <v>9381</v>
      </c>
      <c r="C56" s="6">
        <v>1978</v>
      </c>
      <c r="D56" s="7" t="s">
        <v>9</v>
      </c>
      <c r="E56" s="7" t="s">
        <v>13</v>
      </c>
      <c r="F56" s="6">
        <v>66373</v>
      </c>
      <c r="G56" s="6">
        <v>1</v>
      </c>
      <c r="H56" s="6">
        <v>1</v>
      </c>
      <c r="I56" s="6">
        <f t="shared" si="0"/>
        <v>2</v>
      </c>
      <c r="J56" s="8">
        <v>41437</v>
      </c>
      <c r="K56" s="6">
        <v>57</v>
      </c>
      <c r="L56">
        <f>VLOOKUP(A56,Marketing_df2!$A$1:$F$2241,3,FALSE)</f>
        <v>9</v>
      </c>
      <c r="M56">
        <f>VLOOKUP(A56,Marketing_df2!$A$1:$F$2241,4,FALSE)</f>
        <v>24</v>
      </c>
      <c r="N56">
        <f>VLOOKUP(A56,Marketing_df2!$A$1:$F$2241,5,FALSE)</f>
        <v>4</v>
      </c>
      <c r="O56">
        <f>VLOOKUP(A56,Marketing_df2!$A$1:$F$2241,6,FALSE)</f>
        <v>10</v>
      </c>
    </row>
    <row r="57" spans="1:15" ht="12.5">
      <c r="A57" s="6">
        <v>55</v>
      </c>
      <c r="B57" s="6">
        <v>6260</v>
      </c>
      <c r="C57" s="6">
        <v>1955</v>
      </c>
      <c r="D57" s="7" t="s">
        <v>14</v>
      </c>
      <c r="E57" s="7" t="s">
        <v>11</v>
      </c>
      <c r="F57" s="6">
        <v>82384</v>
      </c>
      <c r="G57" s="6">
        <v>0</v>
      </c>
      <c r="H57" s="6">
        <v>0</v>
      </c>
      <c r="I57" s="6">
        <f t="shared" si="0"/>
        <v>0</v>
      </c>
      <c r="J57" s="9">
        <v>41232</v>
      </c>
      <c r="K57" s="6">
        <v>55</v>
      </c>
      <c r="L57">
        <f>VLOOKUP(A57,Marketing_df2!$A$1:$F$2241,3,FALSE)</f>
        <v>51</v>
      </c>
      <c r="M57">
        <f>VLOOKUP(A57,Marketing_df2!$A$1:$F$2241,4,FALSE)</f>
        <v>120</v>
      </c>
      <c r="N57">
        <f>VLOOKUP(A57,Marketing_df2!$A$1:$F$2241,5,FALSE)</f>
        <v>3</v>
      </c>
      <c r="O57">
        <f>VLOOKUP(A57,Marketing_df2!$A$1:$F$2241,6,FALSE)</f>
        <v>13</v>
      </c>
    </row>
    <row r="58" spans="1:15" ht="12.5">
      <c r="A58" s="6">
        <v>56</v>
      </c>
      <c r="B58" s="6">
        <v>10383</v>
      </c>
      <c r="C58" s="6">
        <v>1966</v>
      </c>
      <c r="D58" s="7" t="s">
        <v>9</v>
      </c>
      <c r="E58" s="7" t="s">
        <v>15</v>
      </c>
      <c r="F58" s="6">
        <v>70287</v>
      </c>
      <c r="G58" s="6">
        <v>0</v>
      </c>
      <c r="H58" s="6">
        <v>0</v>
      </c>
      <c r="I58" s="6">
        <f t="shared" si="0"/>
        <v>0</v>
      </c>
      <c r="J58" s="8">
        <v>41366</v>
      </c>
      <c r="K58" s="6">
        <v>30</v>
      </c>
      <c r="L58">
        <f>VLOOKUP(A58,Marketing_df2!$A$1:$F$2241,3,FALSE)</f>
        <v>35</v>
      </c>
      <c r="M58">
        <f>VLOOKUP(A58,Marketing_df2!$A$1:$F$2241,4,FALSE)</f>
        <v>120</v>
      </c>
      <c r="N58">
        <f>VLOOKUP(A58,Marketing_df2!$A$1:$F$2241,5,FALSE)</f>
        <v>5</v>
      </c>
      <c r="O58">
        <f>VLOOKUP(A58,Marketing_df2!$A$1:$F$2241,6,FALSE)</f>
        <v>10</v>
      </c>
    </row>
    <row r="59" spans="1:15" ht="12.5">
      <c r="A59" s="6">
        <v>57</v>
      </c>
      <c r="B59" s="6">
        <v>7437</v>
      </c>
      <c r="C59" s="6">
        <v>1988</v>
      </c>
      <c r="D59" s="7" t="s">
        <v>9</v>
      </c>
      <c r="E59" s="7" t="s">
        <v>10</v>
      </c>
      <c r="F59" s="6">
        <v>27938</v>
      </c>
      <c r="G59" s="6">
        <v>1</v>
      </c>
      <c r="H59" s="6">
        <v>0</v>
      </c>
      <c r="I59" s="6">
        <f t="shared" si="0"/>
        <v>1</v>
      </c>
      <c r="J59" s="8">
        <v>41757</v>
      </c>
      <c r="K59" s="6">
        <v>31</v>
      </c>
      <c r="L59">
        <f>VLOOKUP(A59,Marketing_df2!$A$1:$F$2241,3,FALSE)</f>
        <v>0</v>
      </c>
      <c r="M59">
        <f>VLOOKUP(A59,Marketing_df2!$A$1:$F$2241,4,FALSE)</f>
        <v>1</v>
      </c>
      <c r="N59">
        <f>VLOOKUP(A59,Marketing_df2!$A$1:$F$2241,5,FALSE)</f>
        <v>1</v>
      </c>
      <c r="O59">
        <f>VLOOKUP(A59,Marketing_df2!$A$1:$F$2241,6,FALSE)</f>
        <v>4</v>
      </c>
    </row>
    <row r="60" spans="1:15" ht="12.5">
      <c r="A60" s="6">
        <v>58</v>
      </c>
      <c r="B60" s="6">
        <v>8557</v>
      </c>
      <c r="C60" s="6">
        <v>1982</v>
      </c>
      <c r="D60" s="7" t="s">
        <v>9</v>
      </c>
      <c r="E60" s="7" t="s">
        <v>10</v>
      </c>
      <c r="F60" s="7"/>
      <c r="G60" s="6">
        <v>1</v>
      </c>
      <c r="H60" s="6">
        <v>0</v>
      </c>
      <c r="I60" s="6">
        <f t="shared" si="0"/>
        <v>1</v>
      </c>
      <c r="J60" s="8">
        <v>41442</v>
      </c>
      <c r="K60" s="6">
        <v>57</v>
      </c>
      <c r="L60">
        <f>VLOOKUP(A60,Marketing_df2!$A$1:$F$2241,3,FALSE)</f>
        <v>3</v>
      </c>
      <c r="M60">
        <f>VLOOKUP(A60,Marketing_df2!$A$1:$F$2241,4,FALSE)</f>
        <v>2</v>
      </c>
      <c r="N60">
        <f>VLOOKUP(A60,Marketing_df2!$A$1:$F$2241,5,FALSE)</f>
        <v>2</v>
      </c>
      <c r="O60">
        <f>VLOOKUP(A60,Marketing_df2!$A$1:$F$2241,6,FALSE)</f>
        <v>3</v>
      </c>
    </row>
    <row r="61" spans="1:15" ht="12.5">
      <c r="A61" s="6">
        <v>59</v>
      </c>
      <c r="B61" s="6">
        <v>8375</v>
      </c>
      <c r="C61" s="6">
        <v>1968</v>
      </c>
      <c r="D61" s="7" t="s">
        <v>12</v>
      </c>
      <c r="E61" s="7" t="s">
        <v>13</v>
      </c>
      <c r="F61" s="6">
        <v>55954</v>
      </c>
      <c r="G61" s="6">
        <v>0</v>
      </c>
      <c r="H61" s="6">
        <v>1</v>
      </c>
      <c r="I61" s="6">
        <f t="shared" si="0"/>
        <v>1</v>
      </c>
      <c r="J61" s="8">
        <v>41701</v>
      </c>
      <c r="K61" s="6">
        <v>63</v>
      </c>
      <c r="L61">
        <f>VLOOKUP(A61,Marketing_df2!$A$1:$F$2241,3,FALSE)</f>
        <v>0</v>
      </c>
      <c r="M61">
        <f>VLOOKUP(A61,Marketing_df2!$A$1:$F$2241,4,FALSE)</f>
        <v>0</v>
      </c>
      <c r="N61">
        <f>VLOOKUP(A61,Marketing_df2!$A$1:$F$2241,5,FALSE)</f>
        <v>8</v>
      </c>
      <c r="O61">
        <f>VLOOKUP(A61,Marketing_df2!$A$1:$F$2241,6,FALSE)</f>
        <v>6</v>
      </c>
    </row>
    <row r="62" spans="1:15" ht="12.5">
      <c r="A62" s="6">
        <v>60</v>
      </c>
      <c r="B62" s="6">
        <v>6853</v>
      </c>
      <c r="C62" s="6">
        <v>1982</v>
      </c>
      <c r="D62" s="7" t="s">
        <v>14</v>
      </c>
      <c r="E62" s="7" t="s">
        <v>10</v>
      </c>
      <c r="F62" s="6">
        <v>75777</v>
      </c>
      <c r="G62" s="6">
        <v>0</v>
      </c>
      <c r="H62" s="6">
        <v>0</v>
      </c>
      <c r="I62" s="6">
        <f t="shared" si="0"/>
        <v>0</v>
      </c>
      <c r="J62" s="8">
        <v>41459</v>
      </c>
      <c r="K62" s="6">
        <v>12</v>
      </c>
      <c r="L62">
        <f>VLOOKUP(A62,Marketing_df2!$A$1:$F$2241,3,FALSE)</f>
        <v>26</v>
      </c>
      <c r="M62">
        <f>VLOOKUP(A62,Marketing_df2!$A$1:$F$2241,4,FALSE)</f>
        <v>13</v>
      </c>
      <c r="N62">
        <f>VLOOKUP(A62,Marketing_df2!$A$1:$F$2241,5,FALSE)</f>
        <v>3</v>
      </c>
      <c r="O62">
        <f>VLOOKUP(A62,Marketing_df2!$A$1:$F$2241,6,FALSE)</f>
        <v>11</v>
      </c>
    </row>
    <row r="63" spans="1:15" ht="12.5">
      <c r="A63" s="6">
        <v>61</v>
      </c>
      <c r="B63" s="6">
        <v>3076</v>
      </c>
      <c r="C63" s="6">
        <v>1975</v>
      </c>
      <c r="D63" s="7" t="s">
        <v>9</v>
      </c>
      <c r="E63" s="7" t="s">
        <v>11</v>
      </c>
      <c r="F63" s="6">
        <v>66653</v>
      </c>
      <c r="G63" s="6">
        <v>1</v>
      </c>
      <c r="H63" s="6">
        <v>1</v>
      </c>
      <c r="I63" s="6">
        <f t="shared" si="0"/>
        <v>2</v>
      </c>
      <c r="J63" s="8">
        <v>41159</v>
      </c>
      <c r="K63" s="6">
        <v>18</v>
      </c>
      <c r="L63">
        <f>VLOOKUP(A63,Marketing_df2!$A$1:$F$2241,3,FALSE)</f>
        <v>18</v>
      </c>
      <c r="M63">
        <f>VLOOKUP(A63,Marketing_df2!$A$1:$F$2241,4,FALSE)</f>
        <v>18</v>
      </c>
      <c r="N63">
        <f>VLOOKUP(A63,Marketing_df2!$A$1:$F$2241,5,FALSE)</f>
        <v>4</v>
      </c>
      <c r="O63">
        <f>VLOOKUP(A63,Marketing_df2!$A$1:$F$2241,6,FALSE)</f>
        <v>12</v>
      </c>
    </row>
    <row r="64" spans="1:15" ht="12.5">
      <c r="A64" s="6">
        <v>62</v>
      </c>
      <c r="B64" s="6">
        <v>1012</v>
      </c>
      <c r="C64" s="6">
        <v>1952</v>
      </c>
      <c r="D64" s="7" t="s">
        <v>9</v>
      </c>
      <c r="E64" s="7" t="s">
        <v>10</v>
      </c>
      <c r="F64" s="6">
        <v>61823</v>
      </c>
      <c r="G64" s="6">
        <v>0</v>
      </c>
      <c r="H64" s="6">
        <v>1</v>
      </c>
      <c r="I64" s="6">
        <f t="shared" si="0"/>
        <v>1</v>
      </c>
      <c r="J64" s="8">
        <v>41323</v>
      </c>
      <c r="K64" s="6">
        <v>26</v>
      </c>
      <c r="L64">
        <f>VLOOKUP(A64,Marketing_df2!$A$1:$F$2241,3,FALSE)</f>
        <v>7</v>
      </c>
      <c r="M64">
        <f>VLOOKUP(A64,Marketing_df2!$A$1:$F$2241,4,FALSE)</f>
        <v>14</v>
      </c>
      <c r="N64">
        <f>VLOOKUP(A64,Marketing_df2!$A$1:$F$2241,5,FALSE)</f>
        <v>8</v>
      </c>
      <c r="O64">
        <f>VLOOKUP(A64,Marketing_df2!$A$1:$F$2241,6,FALSE)</f>
        <v>10</v>
      </c>
    </row>
    <row r="65" spans="1:15" ht="12.5">
      <c r="A65" s="6">
        <v>63</v>
      </c>
      <c r="B65" s="6">
        <v>6518</v>
      </c>
      <c r="C65" s="6">
        <v>1951</v>
      </c>
      <c r="D65" s="7" t="s">
        <v>12</v>
      </c>
      <c r="E65" s="7" t="s">
        <v>18</v>
      </c>
      <c r="F65" s="6">
        <v>67680</v>
      </c>
      <c r="G65" s="6">
        <v>0</v>
      </c>
      <c r="H65" s="6">
        <v>1</v>
      </c>
      <c r="I65" s="6">
        <f t="shared" si="0"/>
        <v>1</v>
      </c>
      <c r="J65" s="8">
        <v>41436</v>
      </c>
      <c r="K65" s="6">
        <v>8</v>
      </c>
      <c r="L65">
        <f>VLOOKUP(A65,Marketing_df2!$A$1:$F$2241,3,FALSE)</f>
        <v>0</v>
      </c>
      <c r="M65">
        <f>VLOOKUP(A65,Marketing_df2!$A$1:$F$2241,4,FALSE)</f>
        <v>6</v>
      </c>
      <c r="N65">
        <f>VLOOKUP(A65,Marketing_df2!$A$1:$F$2241,5,FALSE)</f>
        <v>7</v>
      </c>
      <c r="O65">
        <f>VLOOKUP(A65,Marketing_df2!$A$1:$F$2241,6,FALSE)</f>
        <v>8</v>
      </c>
    </row>
    <row r="66" spans="1:15" ht="12.5">
      <c r="A66" s="6">
        <v>64</v>
      </c>
      <c r="B66" s="6">
        <v>4137</v>
      </c>
      <c r="C66" s="6">
        <v>1948</v>
      </c>
      <c r="D66" s="7" t="s">
        <v>9</v>
      </c>
      <c r="E66" s="7" t="s">
        <v>11</v>
      </c>
      <c r="F66" s="6">
        <v>70666</v>
      </c>
      <c r="G66" s="6">
        <v>0</v>
      </c>
      <c r="H66" s="6">
        <v>0</v>
      </c>
      <c r="I66" s="6">
        <f t="shared" si="0"/>
        <v>0</v>
      </c>
      <c r="J66" s="8">
        <v>41614</v>
      </c>
      <c r="K66" s="6">
        <v>29</v>
      </c>
      <c r="L66">
        <f>VLOOKUP(A66,Marketing_df2!$A$1:$F$2241,3,FALSE)</f>
        <v>40</v>
      </c>
      <c r="M66">
        <f>VLOOKUP(A66,Marketing_df2!$A$1:$F$2241,4,FALSE)</f>
        <v>122</v>
      </c>
      <c r="N66">
        <f>VLOOKUP(A66,Marketing_df2!$A$1:$F$2241,5,FALSE)</f>
        <v>7</v>
      </c>
      <c r="O66">
        <f>VLOOKUP(A66,Marketing_df2!$A$1:$F$2241,6,FALSE)</f>
        <v>4</v>
      </c>
    </row>
    <row r="67" spans="1:15" ht="12.5">
      <c r="A67" s="6">
        <v>65</v>
      </c>
      <c r="B67" s="6">
        <v>8082</v>
      </c>
      <c r="C67" s="6">
        <v>1971</v>
      </c>
      <c r="D67" s="7" t="s">
        <v>9</v>
      </c>
      <c r="E67" s="7" t="s">
        <v>13</v>
      </c>
      <c r="F67" s="6">
        <v>25721</v>
      </c>
      <c r="G67" s="6">
        <v>1</v>
      </c>
      <c r="H67" s="6">
        <v>0</v>
      </c>
      <c r="I67" s="6">
        <f t="shared" ref="I67:I130" si="1">G67+H67</f>
        <v>1</v>
      </c>
      <c r="J67" s="8">
        <v>41415</v>
      </c>
      <c r="K67" s="6">
        <v>75</v>
      </c>
      <c r="L67">
        <f>VLOOKUP(A67,Marketing_df2!$A$1:$F$2241,3,FALSE)</f>
        <v>3</v>
      </c>
      <c r="M67">
        <f>VLOOKUP(A67,Marketing_df2!$A$1:$F$2241,4,FALSE)</f>
        <v>6</v>
      </c>
      <c r="N67">
        <f>VLOOKUP(A67,Marketing_df2!$A$1:$F$2241,5,FALSE)</f>
        <v>1</v>
      </c>
      <c r="O67">
        <f>VLOOKUP(A67,Marketing_df2!$A$1:$F$2241,6,FALSE)</f>
        <v>2</v>
      </c>
    </row>
    <row r="68" spans="1:15" ht="12.5">
      <c r="A68" s="6">
        <v>66</v>
      </c>
      <c r="B68" s="6">
        <v>1386</v>
      </c>
      <c r="C68" s="6">
        <v>1967</v>
      </c>
      <c r="D68" s="7" t="s">
        <v>9</v>
      </c>
      <c r="E68" s="7" t="s">
        <v>11</v>
      </c>
      <c r="F68" s="6">
        <v>32474</v>
      </c>
      <c r="G68" s="6">
        <v>1</v>
      </c>
      <c r="H68" s="6">
        <v>1</v>
      </c>
      <c r="I68" s="6">
        <f t="shared" si="1"/>
        <v>2</v>
      </c>
      <c r="J68" s="8">
        <v>41770</v>
      </c>
      <c r="K68" s="6">
        <v>0</v>
      </c>
      <c r="L68">
        <f>VLOOKUP(A68,Marketing_df2!$A$1:$F$2241,3,FALSE)</f>
        <v>0</v>
      </c>
      <c r="M68">
        <f>VLOOKUP(A68,Marketing_df2!$A$1:$F$2241,4,FALSE)</f>
        <v>0</v>
      </c>
      <c r="N68">
        <f>VLOOKUP(A68,Marketing_df2!$A$1:$F$2241,5,FALSE)</f>
        <v>1</v>
      </c>
      <c r="O68">
        <f>VLOOKUP(A68,Marketing_df2!$A$1:$F$2241,6,FALSE)</f>
        <v>2</v>
      </c>
    </row>
    <row r="69" spans="1:15" ht="12.5">
      <c r="A69" s="6">
        <v>67</v>
      </c>
      <c r="B69" s="6">
        <v>9369</v>
      </c>
      <c r="C69" s="6">
        <v>1979</v>
      </c>
      <c r="D69" s="7" t="s">
        <v>17</v>
      </c>
      <c r="E69" s="7" t="s">
        <v>10</v>
      </c>
      <c r="F69" s="6">
        <v>88194</v>
      </c>
      <c r="G69" s="6">
        <v>0</v>
      </c>
      <c r="H69" s="6">
        <v>1</v>
      </c>
      <c r="I69" s="6">
        <f t="shared" si="1"/>
        <v>1</v>
      </c>
      <c r="J69" s="8">
        <v>41717</v>
      </c>
      <c r="K69" s="6">
        <v>19</v>
      </c>
      <c r="L69">
        <f>VLOOKUP(A69,Marketing_df2!$A$1:$F$2241,3,FALSE)</f>
        <v>14</v>
      </c>
      <c r="M69">
        <f>VLOOKUP(A69,Marketing_df2!$A$1:$F$2241,4,FALSE)</f>
        <v>24</v>
      </c>
      <c r="N69">
        <f>VLOOKUP(A69,Marketing_df2!$A$1:$F$2241,5,FALSE)</f>
        <v>11</v>
      </c>
      <c r="O69">
        <f>VLOOKUP(A69,Marketing_df2!$A$1:$F$2241,6,FALSE)</f>
        <v>10</v>
      </c>
    </row>
    <row r="70" spans="1:15" ht="12.5">
      <c r="A70" s="6">
        <v>68</v>
      </c>
      <c r="B70" s="6">
        <v>4477</v>
      </c>
      <c r="C70" s="6">
        <v>1958</v>
      </c>
      <c r="D70" s="7" t="s">
        <v>9</v>
      </c>
      <c r="E70" s="7" t="s">
        <v>11</v>
      </c>
      <c r="F70" s="6">
        <v>69096</v>
      </c>
      <c r="G70" s="6">
        <v>0</v>
      </c>
      <c r="H70" s="6">
        <v>1</v>
      </c>
      <c r="I70" s="6">
        <f t="shared" si="1"/>
        <v>1</v>
      </c>
      <c r="J70" s="8">
        <v>41544</v>
      </c>
      <c r="K70" s="6">
        <v>4</v>
      </c>
      <c r="L70">
        <f>VLOOKUP(A70,Marketing_df2!$A$1:$F$2241,3,FALSE)</f>
        <v>49</v>
      </c>
      <c r="M70">
        <f>VLOOKUP(A70,Marketing_df2!$A$1:$F$2241,4,FALSE)</f>
        <v>82</v>
      </c>
      <c r="N70">
        <f>VLOOKUP(A70,Marketing_df2!$A$1:$F$2241,5,FALSE)</f>
        <v>5</v>
      </c>
      <c r="O70">
        <f>VLOOKUP(A70,Marketing_df2!$A$1:$F$2241,6,FALSE)</f>
        <v>10</v>
      </c>
    </row>
    <row r="71" spans="1:15" ht="12.5">
      <c r="A71" s="6">
        <v>69</v>
      </c>
      <c r="B71" s="6">
        <v>1357</v>
      </c>
      <c r="C71" s="6">
        <v>1970</v>
      </c>
      <c r="D71" s="7" t="s">
        <v>9</v>
      </c>
      <c r="E71" s="7" t="s">
        <v>11</v>
      </c>
      <c r="F71" s="6">
        <v>74854</v>
      </c>
      <c r="G71" s="6">
        <v>1</v>
      </c>
      <c r="H71" s="6">
        <v>2</v>
      </c>
      <c r="I71" s="6">
        <f t="shared" si="1"/>
        <v>3</v>
      </c>
      <c r="J71" s="8">
        <v>41372</v>
      </c>
      <c r="K71" s="6">
        <v>90</v>
      </c>
      <c r="L71">
        <f>VLOOKUP(A71,Marketing_df2!$A$1:$F$2241,3,FALSE)</f>
        <v>59</v>
      </c>
      <c r="M71">
        <f>VLOOKUP(A71,Marketing_df2!$A$1:$F$2241,4,FALSE)</f>
        <v>29</v>
      </c>
      <c r="N71">
        <f>VLOOKUP(A71,Marketing_df2!$A$1:$F$2241,5,FALSE)</f>
        <v>2</v>
      </c>
      <c r="O71">
        <f>VLOOKUP(A71,Marketing_df2!$A$1:$F$2241,6,FALSE)</f>
        <v>5</v>
      </c>
    </row>
    <row r="72" spans="1:15" ht="12.5">
      <c r="A72" s="6">
        <v>70</v>
      </c>
      <c r="B72" s="6">
        <v>1402</v>
      </c>
      <c r="C72" s="6">
        <v>1954</v>
      </c>
      <c r="D72" s="7" t="s">
        <v>14</v>
      </c>
      <c r="E72" s="7" t="s">
        <v>13</v>
      </c>
      <c r="F72" s="6">
        <v>66991</v>
      </c>
      <c r="G72" s="6">
        <v>0</v>
      </c>
      <c r="H72" s="6">
        <v>0</v>
      </c>
      <c r="I72" s="6">
        <f t="shared" si="1"/>
        <v>0</v>
      </c>
      <c r="J72" s="8">
        <v>41163</v>
      </c>
      <c r="K72" s="6">
        <v>1</v>
      </c>
      <c r="L72">
        <f>VLOOKUP(A72,Marketing_df2!$A$1:$F$2241,3,FALSE)</f>
        <v>36</v>
      </c>
      <c r="M72">
        <f>VLOOKUP(A72,Marketing_df2!$A$1:$F$2241,4,FALSE)</f>
        <v>60</v>
      </c>
      <c r="N72">
        <f>VLOOKUP(A72,Marketing_df2!$A$1:$F$2241,5,FALSE)</f>
        <v>4</v>
      </c>
      <c r="O72">
        <f>VLOOKUP(A72,Marketing_df2!$A$1:$F$2241,6,FALSE)</f>
        <v>6</v>
      </c>
    </row>
    <row r="73" spans="1:15" ht="12.5">
      <c r="A73" s="6">
        <v>71</v>
      </c>
      <c r="B73" s="6">
        <v>10629</v>
      </c>
      <c r="C73" s="6">
        <v>1973</v>
      </c>
      <c r="D73" s="7" t="s">
        <v>17</v>
      </c>
      <c r="E73" s="7" t="s">
        <v>13</v>
      </c>
      <c r="F73" s="7"/>
      <c r="G73" s="6">
        <v>1</v>
      </c>
      <c r="H73" s="6">
        <v>0</v>
      </c>
      <c r="I73" s="6">
        <f t="shared" si="1"/>
        <v>1</v>
      </c>
      <c r="J73" s="8">
        <v>41166</v>
      </c>
      <c r="K73" s="6">
        <v>25</v>
      </c>
      <c r="L73">
        <f>VLOOKUP(A73,Marketing_df2!$A$1:$F$2241,3,FALSE)</f>
        <v>3</v>
      </c>
      <c r="M73">
        <f>VLOOKUP(A73,Marketing_df2!$A$1:$F$2241,4,FALSE)</f>
        <v>4</v>
      </c>
      <c r="N73">
        <f>VLOOKUP(A73,Marketing_df2!$A$1:$F$2241,5,FALSE)</f>
        <v>3</v>
      </c>
      <c r="O73">
        <f>VLOOKUP(A73,Marketing_df2!$A$1:$F$2241,6,FALSE)</f>
        <v>3</v>
      </c>
    </row>
    <row r="74" spans="1:15" ht="12.5">
      <c r="A74" s="6">
        <v>72</v>
      </c>
      <c r="B74" s="6">
        <v>6312</v>
      </c>
      <c r="C74" s="6">
        <v>1959</v>
      </c>
      <c r="D74" s="7" t="s">
        <v>9</v>
      </c>
      <c r="E74" s="7" t="s">
        <v>13</v>
      </c>
      <c r="F74" s="6">
        <v>65031</v>
      </c>
      <c r="G74" s="6">
        <v>0</v>
      </c>
      <c r="H74" s="6">
        <v>1</v>
      </c>
      <c r="I74" s="6">
        <f t="shared" si="1"/>
        <v>1</v>
      </c>
      <c r="J74" s="8">
        <v>41350</v>
      </c>
      <c r="K74" s="6">
        <v>29</v>
      </c>
      <c r="L74">
        <f>VLOOKUP(A74,Marketing_df2!$A$1:$F$2241,3,FALSE)</f>
        <v>107</v>
      </c>
      <c r="M74">
        <f>VLOOKUP(A74,Marketing_df2!$A$1:$F$2241,4,FALSE)</f>
        <v>37</v>
      </c>
      <c r="N74">
        <f>VLOOKUP(A74,Marketing_df2!$A$1:$F$2241,5,FALSE)</f>
        <v>10</v>
      </c>
      <c r="O74">
        <f>VLOOKUP(A74,Marketing_df2!$A$1:$F$2241,6,FALSE)</f>
        <v>13</v>
      </c>
    </row>
    <row r="75" spans="1:15" ht="12.5">
      <c r="A75" s="6">
        <v>73</v>
      </c>
      <c r="B75" s="6">
        <v>8132</v>
      </c>
      <c r="C75" s="6">
        <v>1975</v>
      </c>
      <c r="D75" s="7" t="s">
        <v>12</v>
      </c>
      <c r="E75" s="7" t="s">
        <v>13</v>
      </c>
      <c r="F75" s="6">
        <v>60631</v>
      </c>
      <c r="G75" s="6">
        <v>1</v>
      </c>
      <c r="H75" s="6">
        <v>1</v>
      </c>
      <c r="I75" s="6">
        <f t="shared" si="1"/>
        <v>2</v>
      </c>
      <c r="J75" s="8">
        <v>41369</v>
      </c>
      <c r="K75" s="6">
        <v>88</v>
      </c>
      <c r="L75">
        <f>VLOOKUP(A75,Marketing_df2!$A$1:$F$2241,3,FALSE)</f>
        <v>6</v>
      </c>
      <c r="M75">
        <f>VLOOKUP(A75,Marketing_df2!$A$1:$F$2241,4,FALSE)</f>
        <v>6</v>
      </c>
      <c r="N75">
        <f>VLOOKUP(A75,Marketing_df2!$A$1:$F$2241,5,FALSE)</f>
        <v>9</v>
      </c>
      <c r="O75">
        <f>VLOOKUP(A75,Marketing_df2!$A$1:$F$2241,6,FALSE)</f>
        <v>8</v>
      </c>
    </row>
    <row r="76" spans="1:15" ht="12.5">
      <c r="A76" s="6">
        <v>74</v>
      </c>
      <c r="B76" s="6">
        <v>1050</v>
      </c>
      <c r="C76" s="6">
        <v>1952</v>
      </c>
      <c r="D76" s="7" t="s">
        <v>9</v>
      </c>
      <c r="E76" s="7" t="s">
        <v>13</v>
      </c>
      <c r="F76" s="6">
        <v>28332</v>
      </c>
      <c r="G76" s="6">
        <v>0</v>
      </c>
      <c r="H76" s="6">
        <v>0</v>
      </c>
      <c r="I76" s="6">
        <f t="shared" si="1"/>
        <v>0</v>
      </c>
      <c r="J76" s="8">
        <v>41759</v>
      </c>
      <c r="K76" s="6">
        <v>58</v>
      </c>
      <c r="L76">
        <f>VLOOKUP(A76,Marketing_df2!$A$1:$F$2241,3,FALSE)</f>
        <v>10</v>
      </c>
      <c r="M76">
        <f>VLOOKUP(A76,Marketing_df2!$A$1:$F$2241,4,FALSE)</f>
        <v>15</v>
      </c>
      <c r="N76">
        <f>VLOOKUP(A76,Marketing_df2!$A$1:$F$2241,5,FALSE)</f>
        <v>2</v>
      </c>
      <c r="O76">
        <f>VLOOKUP(A76,Marketing_df2!$A$1:$F$2241,6,FALSE)</f>
        <v>4</v>
      </c>
    </row>
    <row r="77" spans="1:15" ht="12.5">
      <c r="A77" s="6">
        <v>75</v>
      </c>
      <c r="B77" s="6">
        <v>5846</v>
      </c>
      <c r="C77" s="6">
        <v>1977</v>
      </c>
      <c r="D77" s="7" t="s">
        <v>9</v>
      </c>
      <c r="E77" s="7" t="s">
        <v>15</v>
      </c>
      <c r="F77" s="6">
        <v>40246</v>
      </c>
      <c r="G77" s="6">
        <v>1</v>
      </c>
      <c r="H77" s="6">
        <v>0</v>
      </c>
      <c r="I77" s="6">
        <f t="shared" si="1"/>
        <v>1</v>
      </c>
      <c r="J77" s="9">
        <v>41262</v>
      </c>
      <c r="K77" s="6">
        <v>68</v>
      </c>
      <c r="L77">
        <f>VLOOKUP(A77,Marketing_df2!$A$1:$F$2241,3,FALSE)</f>
        <v>1</v>
      </c>
      <c r="M77">
        <f>VLOOKUP(A77,Marketing_df2!$A$1:$F$2241,4,FALSE)</f>
        <v>1</v>
      </c>
      <c r="N77">
        <f>VLOOKUP(A77,Marketing_df2!$A$1:$F$2241,5,FALSE)</f>
        <v>1</v>
      </c>
      <c r="O77">
        <f>VLOOKUP(A77,Marketing_df2!$A$1:$F$2241,6,FALSE)</f>
        <v>2</v>
      </c>
    </row>
    <row r="78" spans="1:15" ht="12.5">
      <c r="A78" s="6">
        <v>76</v>
      </c>
      <c r="B78" s="6">
        <v>1859</v>
      </c>
      <c r="C78" s="6">
        <v>1972</v>
      </c>
      <c r="D78" s="7" t="s">
        <v>14</v>
      </c>
      <c r="E78" s="7" t="s">
        <v>13</v>
      </c>
      <c r="F78" s="6">
        <v>75251</v>
      </c>
      <c r="G78" s="6">
        <v>0</v>
      </c>
      <c r="H78" s="6">
        <v>0</v>
      </c>
      <c r="I78" s="6">
        <f t="shared" si="1"/>
        <v>0</v>
      </c>
      <c r="J78" s="8">
        <v>41148</v>
      </c>
      <c r="K78" s="6">
        <v>34</v>
      </c>
      <c r="L78">
        <f>VLOOKUP(A78,Marketing_df2!$A$1:$F$2241,3,FALSE)</f>
        <v>111</v>
      </c>
      <c r="M78">
        <f>VLOOKUP(A78,Marketing_df2!$A$1:$F$2241,4,FALSE)</f>
        <v>18</v>
      </c>
      <c r="N78">
        <f>VLOOKUP(A78,Marketing_df2!$A$1:$F$2241,5,FALSE)</f>
        <v>7</v>
      </c>
      <c r="O78">
        <f>VLOOKUP(A78,Marketing_df2!$A$1:$F$2241,6,FALSE)</f>
        <v>5</v>
      </c>
    </row>
    <row r="79" spans="1:15" ht="12.5">
      <c r="A79" s="6">
        <v>77</v>
      </c>
      <c r="B79" s="6">
        <v>7503</v>
      </c>
      <c r="C79" s="6">
        <v>1976</v>
      </c>
      <c r="D79" s="7" t="s">
        <v>9</v>
      </c>
      <c r="E79" s="7" t="s">
        <v>10</v>
      </c>
      <c r="F79" s="6">
        <v>75825</v>
      </c>
      <c r="G79" s="6">
        <v>0</v>
      </c>
      <c r="H79" s="6">
        <v>0</v>
      </c>
      <c r="I79" s="6">
        <f t="shared" si="1"/>
        <v>0</v>
      </c>
      <c r="J79" s="9">
        <v>41194</v>
      </c>
      <c r="K79" s="6">
        <v>40</v>
      </c>
      <c r="L79">
        <f>VLOOKUP(A79,Marketing_df2!$A$1:$F$2241,3,FALSE)</f>
        <v>105</v>
      </c>
      <c r="M79">
        <f>VLOOKUP(A79,Marketing_df2!$A$1:$F$2241,4,FALSE)</f>
        <v>105</v>
      </c>
      <c r="N79">
        <f>VLOOKUP(A79,Marketing_df2!$A$1:$F$2241,5,FALSE)</f>
        <v>5</v>
      </c>
      <c r="O79">
        <f>VLOOKUP(A79,Marketing_df2!$A$1:$F$2241,6,FALSE)</f>
        <v>9</v>
      </c>
    </row>
    <row r="80" spans="1:15" ht="12.5">
      <c r="A80" s="6">
        <v>78</v>
      </c>
      <c r="B80" s="6">
        <v>10401</v>
      </c>
      <c r="C80" s="6">
        <v>1976</v>
      </c>
      <c r="D80" s="7" t="s">
        <v>17</v>
      </c>
      <c r="E80" s="7" t="s">
        <v>11</v>
      </c>
      <c r="F80" s="6">
        <v>26326</v>
      </c>
      <c r="G80" s="6">
        <v>0</v>
      </c>
      <c r="H80" s="6">
        <v>0</v>
      </c>
      <c r="I80" s="6">
        <f t="shared" si="1"/>
        <v>0</v>
      </c>
      <c r="J80" s="8">
        <v>41521</v>
      </c>
      <c r="K80" s="6">
        <v>12</v>
      </c>
      <c r="L80">
        <f>VLOOKUP(A80,Marketing_df2!$A$1:$F$2241,3,FALSE)</f>
        <v>0</v>
      </c>
      <c r="M80">
        <f>VLOOKUP(A80,Marketing_df2!$A$1:$F$2241,4,FALSE)</f>
        <v>3</v>
      </c>
      <c r="N80">
        <f>VLOOKUP(A80,Marketing_df2!$A$1:$F$2241,5,FALSE)</f>
        <v>0</v>
      </c>
      <c r="O80">
        <f>VLOOKUP(A80,Marketing_df2!$A$1:$F$2241,6,FALSE)</f>
        <v>3</v>
      </c>
    </row>
    <row r="81" spans="1:15" ht="12.5">
      <c r="A81" s="6">
        <v>79</v>
      </c>
      <c r="B81" s="6">
        <v>1618</v>
      </c>
      <c r="C81" s="6">
        <v>1965</v>
      </c>
      <c r="D81" s="7" t="s">
        <v>9</v>
      </c>
      <c r="E81" s="7" t="s">
        <v>11</v>
      </c>
      <c r="F81" s="6">
        <v>56046</v>
      </c>
      <c r="G81" s="6">
        <v>0</v>
      </c>
      <c r="H81" s="6">
        <v>0</v>
      </c>
      <c r="I81" s="6">
        <f t="shared" si="1"/>
        <v>0</v>
      </c>
      <c r="J81" s="8">
        <v>41276</v>
      </c>
      <c r="K81" s="6">
        <v>9</v>
      </c>
      <c r="L81">
        <f>VLOOKUP(A81,Marketing_df2!$A$1:$F$2241,3,FALSE)</f>
        <v>0</v>
      </c>
      <c r="M81">
        <f>VLOOKUP(A81,Marketing_df2!$A$1:$F$2241,4,FALSE)</f>
        <v>0</v>
      </c>
      <c r="N81">
        <f>VLOOKUP(A81,Marketing_df2!$A$1:$F$2241,5,FALSE)</f>
        <v>10</v>
      </c>
      <c r="O81">
        <f>VLOOKUP(A81,Marketing_df2!$A$1:$F$2241,6,FALSE)</f>
        <v>8</v>
      </c>
    </row>
    <row r="82" spans="1:15" ht="12.5">
      <c r="A82" s="6">
        <v>80</v>
      </c>
      <c r="B82" s="6">
        <v>3332</v>
      </c>
      <c r="C82" s="6">
        <v>1985</v>
      </c>
      <c r="D82" s="7" t="s">
        <v>9</v>
      </c>
      <c r="E82" s="7" t="s">
        <v>10</v>
      </c>
      <c r="F82" s="6">
        <v>29760</v>
      </c>
      <c r="G82" s="6">
        <v>1</v>
      </c>
      <c r="H82" s="6">
        <v>0</v>
      </c>
      <c r="I82" s="6">
        <f t="shared" si="1"/>
        <v>1</v>
      </c>
      <c r="J82" s="8">
        <v>41150</v>
      </c>
      <c r="K82" s="6">
        <v>87</v>
      </c>
      <c r="L82">
        <f>VLOOKUP(A82,Marketing_df2!$A$1:$F$2241,3,FALSE)</f>
        <v>4</v>
      </c>
      <c r="M82">
        <f>VLOOKUP(A82,Marketing_df2!$A$1:$F$2241,4,FALSE)</f>
        <v>5</v>
      </c>
      <c r="N82">
        <f>VLOOKUP(A82,Marketing_df2!$A$1:$F$2241,5,FALSE)</f>
        <v>3</v>
      </c>
      <c r="O82">
        <f>VLOOKUP(A82,Marketing_df2!$A$1:$F$2241,6,FALSE)</f>
        <v>4</v>
      </c>
    </row>
    <row r="83" spans="1:15" ht="12.5">
      <c r="A83" s="6">
        <v>81</v>
      </c>
      <c r="B83" s="6">
        <v>2261</v>
      </c>
      <c r="C83" s="6">
        <v>1969</v>
      </c>
      <c r="D83" s="7" t="s">
        <v>9</v>
      </c>
      <c r="E83" s="7" t="s">
        <v>13</v>
      </c>
      <c r="F83" s="6">
        <v>26304</v>
      </c>
      <c r="G83" s="6">
        <v>1</v>
      </c>
      <c r="H83" s="6">
        <v>0</v>
      </c>
      <c r="I83" s="6">
        <f t="shared" si="1"/>
        <v>1</v>
      </c>
      <c r="J83" s="8">
        <v>41448</v>
      </c>
      <c r="K83" s="6">
        <v>5</v>
      </c>
      <c r="L83">
        <f>VLOOKUP(A83,Marketing_df2!$A$1:$F$2241,3,FALSE)</f>
        <v>1</v>
      </c>
      <c r="M83">
        <f>VLOOKUP(A83,Marketing_df2!$A$1:$F$2241,4,FALSE)</f>
        <v>0</v>
      </c>
      <c r="N83">
        <f>VLOOKUP(A83,Marketing_df2!$A$1:$F$2241,5,FALSE)</f>
        <v>1</v>
      </c>
      <c r="O83">
        <f>VLOOKUP(A83,Marketing_df2!$A$1:$F$2241,6,FALSE)</f>
        <v>2</v>
      </c>
    </row>
    <row r="84" spans="1:15" ht="12.5">
      <c r="A84" s="6">
        <v>82</v>
      </c>
      <c r="B84" s="6">
        <v>5346</v>
      </c>
      <c r="C84" s="6">
        <v>1973</v>
      </c>
      <c r="D84" s="7" t="s">
        <v>17</v>
      </c>
      <c r="E84" s="7" t="s">
        <v>13</v>
      </c>
      <c r="F84" s="6">
        <v>23559</v>
      </c>
      <c r="G84" s="6">
        <v>1</v>
      </c>
      <c r="H84" s="6">
        <v>0</v>
      </c>
      <c r="I84" s="6">
        <f t="shared" si="1"/>
        <v>1</v>
      </c>
      <c r="J84" s="8">
        <v>41458</v>
      </c>
      <c r="K84" s="6">
        <v>87</v>
      </c>
      <c r="L84">
        <f>VLOOKUP(A84,Marketing_df2!$A$1:$F$2241,3,FALSE)</f>
        <v>5</v>
      </c>
      <c r="M84">
        <f>VLOOKUP(A84,Marketing_df2!$A$1:$F$2241,4,FALSE)</f>
        <v>0</v>
      </c>
      <c r="N84">
        <f>VLOOKUP(A84,Marketing_df2!$A$1:$F$2241,5,FALSE)</f>
        <v>3</v>
      </c>
      <c r="O84">
        <f>VLOOKUP(A84,Marketing_df2!$A$1:$F$2241,6,FALSE)</f>
        <v>3</v>
      </c>
    </row>
    <row r="85" spans="1:15" ht="12.5">
      <c r="A85" s="6">
        <v>83</v>
      </c>
      <c r="B85" s="6">
        <v>4119</v>
      </c>
      <c r="C85" s="6">
        <v>1963</v>
      </c>
      <c r="D85" s="7" t="s">
        <v>14</v>
      </c>
      <c r="E85" s="7" t="s">
        <v>11</v>
      </c>
      <c r="F85" s="6">
        <v>38620</v>
      </c>
      <c r="G85" s="6">
        <v>0</v>
      </c>
      <c r="H85" s="6">
        <v>0</v>
      </c>
      <c r="I85" s="6">
        <f t="shared" si="1"/>
        <v>0</v>
      </c>
      <c r="J85" s="8">
        <v>41405</v>
      </c>
      <c r="K85" s="6">
        <v>56</v>
      </c>
      <c r="L85">
        <f>VLOOKUP(A85,Marketing_df2!$A$1:$F$2241,3,FALSE)</f>
        <v>17</v>
      </c>
      <c r="M85">
        <f>VLOOKUP(A85,Marketing_df2!$A$1:$F$2241,4,FALSE)</f>
        <v>22</v>
      </c>
      <c r="N85">
        <f>VLOOKUP(A85,Marketing_df2!$A$1:$F$2241,5,FALSE)</f>
        <v>2</v>
      </c>
      <c r="O85">
        <f>VLOOKUP(A85,Marketing_df2!$A$1:$F$2241,6,FALSE)</f>
        <v>3</v>
      </c>
    </row>
    <row r="86" spans="1:15" ht="12.5">
      <c r="A86" s="6">
        <v>84</v>
      </c>
      <c r="B86" s="6">
        <v>535</v>
      </c>
      <c r="C86" s="6">
        <v>1987</v>
      </c>
      <c r="D86" s="7" t="s">
        <v>9</v>
      </c>
      <c r="E86" s="7" t="s">
        <v>15</v>
      </c>
      <c r="F86" s="6">
        <v>81361</v>
      </c>
      <c r="G86" s="6">
        <v>0</v>
      </c>
      <c r="H86" s="6">
        <v>0</v>
      </c>
      <c r="I86" s="6">
        <f t="shared" si="1"/>
        <v>0</v>
      </c>
      <c r="J86" s="8">
        <v>41695</v>
      </c>
      <c r="K86" s="6">
        <v>18</v>
      </c>
      <c r="L86">
        <f>VLOOKUP(A86,Marketing_df2!$A$1:$F$2241,3,FALSE)</f>
        <v>23</v>
      </c>
      <c r="M86">
        <f>VLOOKUP(A86,Marketing_df2!$A$1:$F$2241,4,FALSE)</f>
        <v>65</v>
      </c>
      <c r="N86">
        <f>VLOOKUP(A86,Marketing_df2!$A$1:$F$2241,5,FALSE)</f>
        <v>3</v>
      </c>
      <c r="O86">
        <f>VLOOKUP(A86,Marketing_df2!$A$1:$F$2241,6,FALSE)</f>
        <v>13</v>
      </c>
    </row>
    <row r="87" spans="1:15" ht="12.5">
      <c r="A87" s="6">
        <v>85</v>
      </c>
      <c r="B87" s="6">
        <v>5268</v>
      </c>
      <c r="C87" s="6">
        <v>1960</v>
      </c>
      <c r="D87" s="7" t="s">
        <v>9</v>
      </c>
      <c r="E87" s="7" t="s">
        <v>13</v>
      </c>
      <c r="F87" s="6">
        <v>29440</v>
      </c>
      <c r="G87" s="6">
        <v>1</v>
      </c>
      <c r="H87" s="6">
        <v>1</v>
      </c>
      <c r="I87" s="6">
        <f t="shared" si="1"/>
        <v>2</v>
      </c>
      <c r="J87" s="8">
        <v>41497</v>
      </c>
      <c r="K87" s="6">
        <v>95</v>
      </c>
      <c r="L87">
        <f>VLOOKUP(A87,Marketing_df2!$A$1:$F$2241,3,FALSE)</f>
        <v>8</v>
      </c>
      <c r="M87">
        <f>VLOOKUP(A87,Marketing_df2!$A$1:$F$2241,4,FALSE)</f>
        <v>4</v>
      </c>
      <c r="N87">
        <f>VLOOKUP(A87,Marketing_df2!$A$1:$F$2241,5,FALSE)</f>
        <v>1</v>
      </c>
      <c r="O87">
        <f>VLOOKUP(A87,Marketing_df2!$A$1:$F$2241,6,FALSE)</f>
        <v>4</v>
      </c>
    </row>
    <row r="88" spans="1:15" ht="12.5">
      <c r="A88" s="6">
        <v>86</v>
      </c>
      <c r="B88" s="6">
        <v>273</v>
      </c>
      <c r="C88" s="6">
        <v>1970</v>
      </c>
      <c r="D88" s="7" t="s">
        <v>14</v>
      </c>
      <c r="E88" s="7" t="s">
        <v>13</v>
      </c>
      <c r="F88" s="6">
        <v>36138</v>
      </c>
      <c r="G88" s="6">
        <v>1</v>
      </c>
      <c r="H88" s="6">
        <v>1</v>
      </c>
      <c r="I88" s="6">
        <f t="shared" si="1"/>
        <v>2</v>
      </c>
      <c r="J88" s="8">
        <v>41471</v>
      </c>
      <c r="K88" s="6">
        <v>48</v>
      </c>
      <c r="L88">
        <f>VLOOKUP(A88,Marketing_df2!$A$1:$F$2241,3,FALSE)</f>
        <v>0</v>
      </c>
      <c r="M88">
        <f>VLOOKUP(A88,Marketing_df2!$A$1:$F$2241,4,FALSE)</f>
        <v>0</v>
      </c>
      <c r="N88">
        <f>VLOOKUP(A88,Marketing_df2!$A$1:$F$2241,5,FALSE)</f>
        <v>3</v>
      </c>
      <c r="O88">
        <f>VLOOKUP(A88,Marketing_df2!$A$1:$F$2241,6,FALSE)</f>
        <v>4</v>
      </c>
    </row>
    <row r="89" spans="1:15" ht="12.5">
      <c r="A89" s="6">
        <v>87</v>
      </c>
      <c r="B89" s="6">
        <v>4452</v>
      </c>
      <c r="C89" s="6">
        <v>1957</v>
      </c>
      <c r="D89" s="7" t="s">
        <v>9</v>
      </c>
      <c r="E89" s="7" t="s">
        <v>10</v>
      </c>
      <c r="F89" s="6">
        <v>50388</v>
      </c>
      <c r="G89" s="6">
        <v>0</v>
      </c>
      <c r="H89" s="6">
        <v>1</v>
      </c>
      <c r="I89" s="6">
        <f t="shared" si="1"/>
        <v>1</v>
      </c>
      <c r="J89" s="8">
        <v>41787</v>
      </c>
      <c r="K89" s="6">
        <v>3</v>
      </c>
      <c r="L89">
        <f>VLOOKUP(A89,Marketing_df2!$A$1:$F$2241,3,FALSE)</f>
        <v>6</v>
      </c>
      <c r="M89">
        <f>VLOOKUP(A89,Marketing_df2!$A$1:$F$2241,4,FALSE)</f>
        <v>3</v>
      </c>
      <c r="N89">
        <f>VLOOKUP(A89,Marketing_df2!$A$1:$F$2241,5,FALSE)</f>
        <v>6</v>
      </c>
      <c r="O89">
        <f>VLOOKUP(A89,Marketing_df2!$A$1:$F$2241,6,FALSE)</f>
        <v>6</v>
      </c>
    </row>
    <row r="90" spans="1:15" ht="12.5">
      <c r="A90" s="6">
        <v>88</v>
      </c>
      <c r="B90" s="6">
        <v>8504</v>
      </c>
      <c r="C90" s="6">
        <v>1973</v>
      </c>
      <c r="D90" s="7" t="s">
        <v>9</v>
      </c>
      <c r="E90" s="7" t="s">
        <v>13</v>
      </c>
      <c r="F90" s="6">
        <v>79593</v>
      </c>
      <c r="G90" s="6">
        <v>0</v>
      </c>
      <c r="H90" s="6">
        <v>0</v>
      </c>
      <c r="I90" s="6">
        <f t="shared" si="1"/>
        <v>0</v>
      </c>
      <c r="J90" s="8">
        <v>41771</v>
      </c>
      <c r="K90" s="6">
        <v>70</v>
      </c>
      <c r="L90">
        <f>VLOOKUP(A90,Marketing_df2!$A$1:$F$2241,3,FALSE)</f>
        <v>60</v>
      </c>
      <c r="M90">
        <f>VLOOKUP(A90,Marketing_df2!$A$1:$F$2241,4,FALSE)</f>
        <v>133</v>
      </c>
      <c r="N90">
        <f>VLOOKUP(A90,Marketing_df2!$A$1:$F$2241,5,FALSE)</f>
        <v>5</v>
      </c>
      <c r="O90">
        <f>VLOOKUP(A90,Marketing_df2!$A$1:$F$2241,6,FALSE)</f>
        <v>7</v>
      </c>
    </row>
    <row r="91" spans="1:15" ht="12.5">
      <c r="A91" s="6">
        <v>89</v>
      </c>
      <c r="B91" s="6">
        <v>771</v>
      </c>
      <c r="C91" s="6">
        <v>1967</v>
      </c>
      <c r="D91" s="7" t="s">
        <v>9</v>
      </c>
      <c r="E91" s="7" t="s">
        <v>11</v>
      </c>
      <c r="F91" s="6">
        <v>54178</v>
      </c>
      <c r="G91" s="6">
        <v>0</v>
      </c>
      <c r="H91" s="6">
        <v>1</v>
      </c>
      <c r="I91" s="6">
        <f t="shared" si="1"/>
        <v>1</v>
      </c>
      <c r="J91" s="8">
        <v>41660</v>
      </c>
      <c r="K91" s="6">
        <v>79</v>
      </c>
      <c r="L91">
        <f>VLOOKUP(A91,Marketing_df2!$A$1:$F$2241,3,FALSE)</f>
        <v>9</v>
      </c>
      <c r="M91">
        <f>VLOOKUP(A91,Marketing_df2!$A$1:$F$2241,4,FALSE)</f>
        <v>0</v>
      </c>
      <c r="N91">
        <f>VLOOKUP(A91,Marketing_df2!$A$1:$F$2241,5,FALSE)</f>
        <v>2</v>
      </c>
      <c r="O91">
        <f>VLOOKUP(A91,Marketing_df2!$A$1:$F$2241,6,FALSE)</f>
        <v>5</v>
      </c>
    </row>
    <row r="92" spans="1:15" ht="12.5">
      <c r="A92" s="6">
        <v>90</v>
      </c>
      <c r="B92" s="6">
        <v>8996</v>
      </c>
      <c r="C92" s="6">
        <v>1957</v>
      </c>
      <c r="D92" s="7" t="s">
        <v>12</v>
      </c>
      <c r="E92" s="7" t="s">
        <v>13</v>
      </c>
      <c r="F92" s="7"/>
      <c r="G92" s="6">
        <v>2</v>
      </c>
      <c r="H92" s="6">
        <v>1</v>
      </c>
      <c r="I92" s="6">
        <f t="shared" si="1"/>
        <v>3</v>
      </c>
      <c r="J92" s="9">
        <v>41232</v>
      </c>
      <c r="K92" s="6">
        <v>4</v>
      </c>
      <c r="L92">
        <f>VLOOKUP(A92,Marketing_df2!$A$1:$F$2241,3,FALSE)</f>
        <v>42</v>
      </c>
      <c r="M92">
        <f>VLOOKUP(A92,Marketing_df2!$A$1:$F$2241,4,FALSE)</f>
        <v>37</v>
      </c>
      <c r="N92">
        <f>VLOOKUP(A92,Marketing_df2!$A$1:$F$2241,5,FALSE)</f>
        <v>7</v>
      </c>
      <c r="O92">
        <f>VLOOKUP(A92,Marketing_df2!$A$1:$F$2241,6,FALSE)</f>
        <v>8</v>
      </c>
    </row>
    <row r="93" spans="1:15" ht="12.5">
      <c r="A93" s="6">
        <v>91</v>
      </c>
      <c r="B93" s="6">
        <v>9235</v>
      </c>
      <c r="C93" s="6">
        <v>1957</v>
      </c>
      <c r="D93" s="7" t="s">
        <v>9</v>
      </c>
      <c r="E93" s="7" t="s">
        <v>10</v>
      </c>
      <c r="F93" s="7"/>
      <c r="G93" s="6">
        <v>1</v>
      </c>
      <c r="H93" s="6">
        <v>1</v>
      </c>
      <c r="I93" s="6">
        <f t="shared" si="1"/>
        <v>2</v>
      </c>
      <c r="J93" s="8">
        <v>41786</v>
      </c>
      <c r="K93" s="6">
        <v>45</v>
      </c>
      <c r="L93">
        <f>VLOOKUP(A93,Marketing_df2!$A$1:$F$2241,3,FALSE)</f>
        <v>0</v>
      </c>
      <c r="M93">
        <f>VLOOKUP(A93,Marketing_df2!$A$1:$F$2241,4,FALSE)</f>
        <v>0</v>
      </c>
      <c r="N93">
        <f>VLOOKUP(A93,Marketing_df2!$A$1:$F$2241,5,FALSE)</f>
        <v>1</v>
      </c>
      <c r="O93">
        <f>VLOOKUP(A93,Marketing_df2!$A$1:$F$2241,6,FALSE)</f>
        <v>2</v>
      </c>
    </row>
    <row r="94" spans="1:15" ht="12.5">
      <c r="A94" s="6">
        <v>92</v>
      </c>
      <c r="B94" s="6">
        <v>5798</v>
      </c>
      <c r="C94" s="6">
        <v>1973</v>
      </c>
      <c r="D94" s="7" t="s">
        <v>14</v>
      </c>
      <c r="E94" s="7" t="s">
        <v>11</v>
      </c>
      <c r="F94" s="7"/>
      <c r="G94" s="6">
        <v>0</v>
      </c>
      <c r="H94" s="6">
        <v>0</v>
      </c>
      <c r="I94" s="6">
        <f t="shared" si="1"/>
        <v>0</v>
      </c>
      <c r="J94" s="9">
        <v>41601</v>
      </c>
      <c r="K94" s="6">
        <v>87</v>
      </c>
      <c r="L94">
        <f>VLOOKUP(A94,Marketing_df2!$A$1:$F$2241,3,FALSE)</f>
        <v>37</v>
      </c>
      <c r="M94">
        <f>VLOOKUP(A94,Marketing_df2!$A$1:$F$2241,4,FALSE)</f>
        <v>28</v>
      </c>
      <c r="N94">
        <f>VLOOKUP(A94,Marketing_df2!$A$1:$F$2241,5,FALSE)</f>
        <v>2</v>
      </c>
      <c r="O94">
        <f>VLOOKUP(A94,Marketing_df2!$A$1:$F$2241,6,FALSE)</f>
        <v>8</v>
      </c>
    </row>
    <row r="95" spans="1:15" ht="12.5">
      <c r="A95" s="6">
        <v>93</v>
      </c>
      <c r="B95" s="6">
        <v>11178</v>
      </c>
      <c r="C95" s="6">
        <v>1972</v>
      </c>
      <c r="D95" s="7" t="s">
        <v>14</v>
      </c>
      <c r="E95" s="7" t="s">
        <v>10</v>
      </c>
      <c r="F95" s="6">
        <v>42394</v>
      </c>
      <c r="G95" s="6">
        <v>1</v>
      </c>
      <c r="H95" s="6">
        <v>0</v>
      </c>
      <c r="I95" s="6">
        <f t="shared" si="1"/>
        <v>1</v>
      </c>
      <c r="J95" s="8">
        <v>41721</v>
      </c>
      <c r="K95" s="6">
        <v>69</v>
      </c>
      <c r="L95">
        <f>VLOOKUP(A95,Marketing_df2!$A$1:$F$2241,3,FALSE)</f>
        <v>2</v>
      </c>
      <c r="M95">
        <f>VLOOKUP(A95,Marketing_df2!$A$1:$F$2241,4,FALSE)</f>
        <v>1</v>
      </c>
      <c r="N95">
        <f>VLOOKUP(A95,Marketing_df2!$A$1:$F$2241,5,FALSE)</f>
        <v>1</v>
      </c>
      <c r="O95">
        <f>VLOOKUP(A95,Marketing_df2!$A$1:$F$2241,6,FALSE)</f>
        <v>3</v>
      </c>
    </row>
    <row r="96" spans="1:15" ht="12.5">
      <c r="A96" s="6">
        <v>94</v>
      </c>
      <c r="B96" s="6">
        <v>2230</v>
      </c>
      <c r="C96" s="6">
        <v>1970</v>
      </c>
      <c r="D96" s="7" t="s">
        <v>12</v>
      </c>
      <c r="E96" s="7" t="s">
        <v>13</v>
      </c>
      <c r="F96" s="6">
        <v>23626</v>
      </c>
      <c r="G96" s="6">
        <v>1</v>
      </c>
      <c r="H96" s="6">
        <v>0</v>
      </c>
      <c r="I96" s="6">
        <f t="shared" si="1"/>
        <v>1</v>
      </c>
      <c r="J96" s="8">
        <v>41783</v>
      </c>
      <c r="K96" s="6">
        <v>84</v>
      </c>
      <c r="L96">
        <f>VLOOKUP(A96,Marketing_df2!$A$1:$F$2241,3,FALSE)</f>
        <v>2</v>
      </c>
      <c r="M96">
        <f>VLOOKUP(A96,Marketing_df2!$A$1:$F$2241,4,FALSE)</f>
        <v>0</v>
      </c>
      <c r="N96">
        <f>VLOOKUP(A96,Marketing_df2!$A$1:$F$2241,5,FALSE)</f>
        <v>3</v>
      </c>
      <c r="O96">
        <f>VLOOKUP(A96,Marketing_df2!$A$1:$F$2241,6,FALSE)</f>
        <v>3</v>
      </c>
    </row>
    <row r="97" spans="1:15" ht="12.5">
      <c r="A97" s="6">
        <v>95</v>
      </c>
      <c r="B97" s="6">
        <v>7516</v>
      </c>
      <c r="C97" s="6">
        <v>1983</v>
      </c>
      <c r="D97" s="7" t="s">
        <v>9</v>
      </c>
      <c r="E97" s="7" t="s">
        <v>13</v>
      </c>
      <c r="F97" s="6">
        <v>30096</v>
      </c>
      <c r="G97" s="6">
        <v>1</v>
      </c>
      <c r="H97" s="6">
        <v>0</v>
      </c>
      <c r="I97" s="6">
        <f t="shared" si="1"/>
        <v>1</v>
      </c>
      <c r="J97" s="8">
        <v>41781</v>
      </c>
      <c r="K97" s="6">
        <v>30</v>
      </c>
      <c r="L97">
        <f>VLOOKUP(A97,Marketing_df2!$A$1:$F$2241,3,FALSE)</f>
        <v>3</v>
      </c>
      <c r="M97">
        <f>VLOOKUP(A97,Marketing_df2!$A$1:$F$2241,4,FALSE)</f>
        <v>5</v>
      </c>
      <c r="N97">
        <f>VLOOKUP(A97,Marketing_df2!$A$1:$F$2241,5,FALSE)</f>
        <v>2</v>
      </c>
      <c r="O97">
        <f>VLOOKUP(A97,Marketing_df2!$A$1:$F$2241,6,FALSE)</f>
        <v>3</v>
      </c>
    </row>
    <row r="98" spans="1:15" ht="12.5">
      <c r="A98" s="6">
        <v>96</v>
      </c>
      <c r="B98" s="6">
        <v>7247</v>
      </c>
      <c r="C98" s="6">
        <v>1960</v>
      </c>
      <c r="D98" s="7" t="s">
        <v>9</v>
      </c>
      <c r="E98" s="7" t="s">
        <v>18</v>
      </c>
      <c r="F98" s="6">
        <v>47916</v>
      </c>
      <c r="G98" s="6">
        <v>0</v>
      </c>
      <c r="H98" s="6">
        <v>1</v>
      </c>
      <c r="I98" s="6">
        <f t="shared" si="1"/>
        <v>1</v>
      </c>
      <c r="J98" s="9">
        <v>41235</v>
      </c>
      <c r="K98" s="6">
        <v>72</v>
      </c>
      <c r="L98">
        <f>VLOOKUP(A98,Marketing_df2!$A$1:$F$2241,3,FALSE)</f>
        <v>0</v>
      </c>
      <c r="M98">
        <f>VLOOKUP(A98,Marketing_df2!$A$1:$F$2241,4,FALSE)</f>
        <v>0</v>
      </c>
      <c r="N98">
        <f>VLOOKUP(A98,Marketing_df2!$A$1:$F$2241,5,FALSE)</f>
        <v>7</v>
      </c>
      <c r="O98">
        <f>VLOOKUP(A98,Marketing_df2!$A$1:$F$2241,6,FALSE)</f>
        <v>6</v>
      </c>
    </row>
    <row r="99" spans="1:15" ht="12.5">
      <c r="A99" s="6">
        <v>97</v>
      </c>
      <c r="B99" s="6">
        <v>11100</v>
      </c>
      <c r="C99" s="6">
        <v>1972</v>
      </c>
      <c r="D99" s="7" t="s">
        <v>9</v>
      </c>
      <c r="E99" s="7" t="s">
        <v>15</v>
      </c>
      <c r="F99" s="6">
        <v>51813</v>
      </c>
      <c r="G99" s="6">
        <v>1</v>
      </c>
      <c r="H99" s="6">
        <v>1</v>
      </c>
      <c r="I99" s="6">
        <f t="shared" si="1"/>
        <v>2</v>
      </c>
      <c r="J99" s="8">
        <v>41375</v>
      </c>
      <c r="K99" s="6">
        <v>37</v>
      </c>
      <c r="L99">
        <f>VLOOKUP(A99,Marketing_df2!$A$1:$F$2241,3,FALSE)</f>
        <v>2</v>
      </c>
      <c r="M99">
        <f>VLOOKUP(A99,Marketing_df2!$A$1:$F$2241,4,FALSE)</f>
        <v>1</v>
      </c>
      <c r="N99">
        <f>VLOOKUP(A99,Marketing_df2!$A$1:$F$2241,5,FALSE)</f>
        <v>2</v>
      </c>
      <c r="O99">
        <f>VLOOKUP(A99,Marketing_df2!$A$1:$F$2241,6,FALSE)</f>
        <v>3</v>
      </c>
    </row>
    <row r="100" spans="1:15" ht="12.5">
      <c r="A100" s="6">
        <v>98</v>
      </c>
      <c r="B100" s="6">
        <v>4646</v>
      </c>
      <c r="C100" s="6">
        <v>1951</v>
      </c>
      <c r="D100" s="7" t="s">
        <v>17</v>
      </c>
      <c r="E100" s="7" t="s">
        <v>13</v>
      </c>
      <c r="F100" s="6">
        <v>78497</v>
      </c>
      <c r="G100" s="6">
        <v>0</v>
      </c>
      <c r="H100" s="6">
        <v>0</v>
      </c>
      <c r="I100" s="6">
        <f t="shared" si="1"/>
        <v>0</v>
      </c>
      <c r="J100" s="8">
        <v>41609</v>
      </c>
      <c r="K100" s="6">
        <v>44</v>
      </c>
      <c r="L100">
        <f>VLOOKUP(A100,Marketing_df2!$A$1:$F$2241,3,FALSE)</f>
        <v>26</v>
      </c>
      <c r="M100">
        <f>VLOOKUP(A100,Marketing_df2!$A$1:$F$2241,4,FALSE)</f>
        <v>0</v>
      </c>
      <c r="N100">
        <f>VLOOKUP(A100,Marketing_df2!$A$1:$F$2241,5,FALSE)</f>
        <v>5</v>
      </c>
      <c r="O100">
        <f>VLOOKUP(A100,Marketing_df2!$A$1:$F$2241,6,FALSE)</f>
        <v>12</v>
      </c>
    </row>
    <row r="101" spans="1:15" ht="12.5">
      <c r="A101" s="6">
        <v>99</v>
      </c>
      <c r="B101" s="6">
        <v>3037</v>
      </c>
      <c r="C101" s="6">
        <v>1983</v>
      </c>
      <c r="D101" s="7" t="s">
        <v>12</v>
      </c>
      <c r="E101" s="7" t="s">
        <v>13</v>
      </c>
      <c r="F101" s="6">
        <v>50150</v>
      </c>
      <c r="G101" s="6">
        <v>0</v>
      </c>
      <c r="H101" s="6">
        <v>0</v>
      </c>
      <c r="I101" s="6">
        <f t="shared" si="1"/>
        <v>0</v>
      </c>
      <c r="J101" s="8">
        <v>41445</v>
      </c>
      <c r="K101" s="6">
        <v>32</v>
      </c>
      <c r="L101">
        <f>VLOOKUP(A101,Marketing_df2!$A$1:$F$2241,3,FALSE)</f>
        <v>46</v>
      </c>
      <c r="M101">
        <f>VLOOKUP(A101,Marketing_df2!$A$1:$F$2241,4,FALSE)</f>
        <v>61</v>
      </c>
      <c r="N101">
        <f>VLOOKUP(A101,Marketing_df2!$A$1:$F$2241,5,FALSE)</f>
        <v>5</v>
      </c>
      <c r="O101">
        <f>VLOOKUP(A101,Marketing_df2!$A$1:$F$2241,6,FALSE)</f>
        <v>7</v>
      </c>
    </row>
    <row r="102" spans="1:15" ht="12.5">
      <c r="A102" s="6">
        <v>100</v>
      </c>
      <c r="B102" s="6">
        <v>1473</v>
      </c>
      <c r="C102" s="6">
        <v>1960</v>
      </c>
      <c r="D102" s="7" t="s">
        <v>17</v>
      </c>
      <c r="E102" s="7" t="s">
        <v>10</v>
      </c>
      <c r="F102" s="6">
        <v>47823</v>
      </c>
      <c r="G102" s="6">
        <v>0</v>
      </c>
      <c r="H102" s="6">
        <v>1</v>
      </c>
      <c r="I102" s="6">
        <f t="shared" si="1"/>
        <v>1</v>
      </c>
      <c r="J102" s="8">
        <v>41478</v>
      </c>
      <c r="K102" s="6">
        <v>0</v>
      </c>
      <c r="L102">
        <f>VLOOKUP(A102,Marketing_df2!$A$1:$F$2241,3,FALSE)</f>
        <v>1</v>
      </c>
      <c r="M102">
        <f>VLOOKUP(A102,Marketing_df2!$A$1:$F$2241,4,FALSE)</f>
        <v>1</v>
      </c>
      <c r="N102">
        <f>VLOOKUP(A102,Marketing_df2!$A$1:$F$2241,5,FALSE)</f>
        <v>2</v>
      </c>
      <c r="O102">
        <f>VLOOKUP(A102,Marketing_df2!$A$1:$F$2241,6,FALSE)</f>
        <v>3</v>
      </c>
    </row>
    <row r="103" spans="1:15" ht="12.5">
      <c r="A103" s="6">
        <v>101</v>
      </c>
      <c r="B103" s="6">
        <v>1016</v>
      </c>
      <c r="C103" s="6">
        <v>1959</v>
      </c>
      <c r="D103" s="7" t="s">
        <v>12</v>
      </c>
      <c r="E103" s="7" t="s">
        <v>10</v>
      </c>
      <c r="F103" s="6">
        <v>34554</v>
      </c>
      <c r="G103" s="6">
        <v>0</v>
      </c>
      <c r="H103" s="6">
        <v>1</v>
      </c>
      <c r="I103" s="6">
        <f t="shared" si="1"/>
        <v>1</v>
      </c>
      <c r="J103" s="8">
        <v>41728</v>
      </c>
      <c r="K103" s="6">
        <v>43</v>
      </c>
      <c r="L103">
        <f>VLOOKUP(A103,Marketing_df2!$A$1:$F$2241,3,FALSE)</f>
        <v>1</v>
      </c>
      <c r="M103">
        <f>VLOOKUP(A103,Marketing_df2!$A$1:$F$2241,4,FALSE)</f>
        <v>0</v>
      </c>
      <c r="N103">
        <f>VLOOKUP(A103,Marketing_df2!$A$1:$F$2241,5,FALSE)</f>
        <v>2</v>
      </c>
      <c r="O103">
        <f>VLOOKUP(A103,Marketing_df2!$A$1:$F$2241,6,FALSE)</f>
        <v>3</v>
      </c>
    </row>
    <row r="104" spans="1:15" ht="12.5">
      <c r="A104" s="6">
        <v>102</v>
      </c>
      <c r="B104" s="6">
        <v>4518</v>
      </c>
      <c r="C104" s="6">
        <v>1979</v>
      </c>
      <c r="D104" s="7" t="s">
        <v>9</v>
      </c>
      <c r="E104" s="7" t="s">
        <v>11</v>
      </c>
      <c r="F104" s="6">
        <v>85693</v>
      </c>
      <c r="G104" s="6">
        <v>0</v>
      </c>
      <c r="H104" s="6">
        <v>1</v>
      </c>
      <c r="I104" s="6">
        <f t="shared" si="1"/>
        <v>1</v>
      </c>
      <c r="J104" s="8">
        <v>41384</v>
      </c>
      <c r="K104" s="6">
        <v>59</v>
      </c>
      <c r="L104">
        <f>VLOOKUP(A104,Marketing_df2!$A$1:$F$2241,3,FALSE)</f>
        <v>172</v>
      </c>
      <c r="M104">
        <f>VLOOKUP(A104,Marketing_df2!$A$1:$F$2241,4,FALSE)</f>
        <v>132</v>
      </c>
      <c r="N104">
        <f>VLOOKUP(A104,Marketing_df2!$A$1:$F$2241,5,FALSE)</f>
        <v>9</v>
      </c>
      <c r="O104">
        <f>VLOOKUP(A104,Marketing_df2!$A$1:$F$2241,6,FALSE)</f>
        <v>11</v>
      </c>
    </row>
    <row r="105" spans="1:15" ht="12.5">
      <c r="A105" s="6">
        <v>103</v>
      </c>
      <c r="B105" s="6">
        <v>9370</v>
      </c>
      <c r="C105" s="6">
        <v>1945</v>
      </c>
      <c r="D105" s="7" t="s">
        <v>12</v>
      </c>
      <c r="E105" s="7" t="s">
        <v>13</v>
      </c>
      <c r="F105" s="6">
        <v>65846</v>
      </c>
      <c r="G105" s="6">
        <v>0</v>
      </c>
      <c r="H105" s="6">
        <v>0</v>
      </c>
      <c r="I105" s="6">
        <f t="shared" si="1"/>
        <v>0</v>
      </c>
      <c r="J105" s="8">
        <v>41411</v>
      </c>
      <c r="K105" s="6">
        <v>68</v>
      </c>
      <c r="L105">
        <f>VLOOKUP(A105,Marketing_df2!$A$1:$F$2241,3,FALSE)</f>
        <v>81</v>
      </c>
      <c r="M105">
        <f>VLOOKUP(A105,Marketing_df2!$A$1:$F$2241,4,FALSE)</f>
        <v>40</v>
      </c>
      <c r="N105">
        <f>VLOOKUP(A105,Marketing_df2!$A$1:$F$2241,5,FALSE)</f>
        <v>6</v>
      </c>
      <c r="O105">
        <f>VLOOKUP(A105,Marketing_df2!$A$1:$F$2241,6,FALSE)</f>
        <v>6</v>
      </c>
    </row>
    <row r="106" spans="1:15" ht="12.5">
      <c r="A106" s="6">
        <v>104</v>
      </c>
      <c r="B106" s="6">
        <v>8908</v>
      </c>
      <c r="C106" s="6">
        <v>1959</v>
      </c>
      <c r="D106" s="7" t="s">
        <v>9</v>
      </c>
      <c r="E106" s="7" t="s">
        <v>13</v>
      </c>
      <c r="F106" s="6">
        <v>87195</v>
      </c>
      <c r="G106" s="6">
        <v>0</v>
      </c>
      <c r="H106" s="6">
        <v>0</v>
      </c>
      <c r="I106" s="6">
        <f t="shared" si="1"/>
        <v>0</v>
      </c>
      <c r="J106" s="8">
        <v>41767</v>
      </c>
      <c r="K106" s="6">
        <v>35</v>
      </c>
      <c r="L106">
        <f>VLOOKUP(A106,Marketing_df2!$A$1:$F$2241,3,FALSE)</f>
        <v>76</v>
      </c>
      <c r="M106">
        <f>VLOOKUP(A106,Marketing_df2!$A$1:$F$2241,4,FALSE)</f>
        <v>26</v>
      </c>
      <c r="N106">
        <f>VLOOKUP(A106,Marketing_df2!$A$1:$F$2241,5,FALSE)</f>
        <v>3</v>
      </c>
      <c r="O106">
        <f>VLOOKUP(A106,Marketing_df2!$A$1:$F$2241,6,FALSE)</f>
        <v>5</v>
      </c>
    </row>
    <row r="107" spans="1:15" ht="12.5">
      <c r="A107" s="6">
        <v>105</v>
      </c>
      <c r="B107" s="6">
        <v>8373</v>
      </c>
      <c r="C107" s="6">
        <v>1979</v>
      </c>
      <c r="D107" s="7" t="s">
        <v>16</v>
      </c>
      <c r="E107" s="7" t="s">
        <v>11</v>
      </c>
      <c r="F107" s="6">
        <v>24594</v>
      </c>
      <c r="G107" s="6">
        <v>1</v>
      </c>
      <c r="H107" s="6">
        <v>0</v>
      </c>
      <c r="I107" s="6">
        <f t="shared" si="1"/>
        <v>1</v>
      </c>
      <c r="J107" s="9">
        <v>41618</v>
      </c>
      <c r="K107" s="6">
        <v>94</v>
      </c>
      <c r="L107">
        <f>VLOOKUP(A107,Marketing_df2!$A$1:$F$2241,3,FALSE)</f>
        <v>3</v>
      </c>
      <c r="M107">
        <f>VLOOKUP(A107,Marketing_df2!$A$1:$F$2241,4,FALSE)</f>
        <v>0</v>
      </c>
      <c r="N107">
        <f>VLOOKUP(A107,Marketing_df2!$A$1:$F$2241,5,FALSE)</f>
        <v>1</v>
      </c>
      <c r="O107">
        <f>VLOOKUP(A107,Marketing_df2!$A$1:$F$2241,6,FALSE)</f>
        <v>3</v>
      </c>
    </row>
    <row r="108" spans="1:15" ht="12.5">
      <c r="A108" s="6">
        <v>106</v>
      </c>
      <c r="B108" s="6">
        <v>7533</v>
      </c>
      <c r="C108" s="6">
        <v>1964</v>
      </c>
      <c r="D108" s="7" t="s">
        <v>9</v>
      </c>
      <c r="E108" s="7" t="s">
        <v>13</v>
      </c>
      <c r="F108" s="6">
        <v>49096</v>
      </c>
      <c r="G108" s="6">
        <v>1</v>
      </c>
      <c r="H108" s="6">
        <v>1</v>
      </c>
      <c r="I108" s="6">
        <f t="shared" si="1"/>
        <v>2</v>
      </c>
      <c r="J108" s="8">
        <v>41541</v>
      </c>
      <c r="K108" s="6">
        <v>15</v>
      </c>
      <c r="L108">
        <f>VLOOKUP(A108,Marketing_df2!$A$1:$F$2241,3,FALSE)</f>
        <v>1</v>
      </c>
      <c r="M108">
        <f>VLOOKUP(A108,Marketing_df2!$A$1:$F$2241,4,FALSE)</f>
        <v>1</v>
      </c>
      <c r="N108">
        <f>VLOOKUP(A108,Marketing_df2!$A$1:$F$2241,5,FALSE)</f>
        <v>4</v>
      </c>
      <c r="O108">
        <f>VLOOKUP(A108,Marketing_df2!$A$1:$F$2241,6,FALSE)</f>
        <v>4</v>
      </c>
    </row>
    <row r="109" spans="1:15" ht="12.5">
      <c r="A109" s="6">
        <v>107</v>
      </c>
      <c r="B109" s="6">
        <v>2683</v>
      </c>
      <c r="C109" s="6">
        <v>1969</v>
      </c>
      <c r="D109" s="7" t="s">
        <v>9</v>
      </c>
      <c r="E109" s="7" t="s">
        <v>13</v>
      </c>
      <c r="F109" s="6">
        <v>52413</v>
      </c>
      <c r="G109" s="6">
        <v>0</v>
      </c>
      <c r="H109" s="6">
        <v>2</v>
      </c>
      <c r="I109" s="6">
        <f t="shared" si="1"/>
        <v>2</v>
      </c>
      <c r="J109" s="8">
        <v>41307</v>
      </c>
      <c r="K109" s="6">
        <v>56</v>
      </c>
      <c r="L109">
        <f>VLOOKUP(A109,Marketing_df2!$A$1:$F$2241,3,FALSE)</f>
        <v>106</v>
      </c>
      <c r="M109">
        <f>VLOOKUP(A109,Marketing_df2!$A$1:$F$2241,4,FALSE)</f>
        <v>98</v>
      </c>
      <c r="N109">
        <f>VLOOKUP(A109,Marketing_df2!$A$1:$F$2241,5,FALSE)</f>
        <v>6</v>
      </c>
      <c r="O109">
        <f>VLOOKUP(A109,Marketing_df2!$A$1:$F$2241,6,FALSE)</f>
        <v>12</v>
      </c>
    </row>
    <row r="110" spans="1:15" ht="12.5">
      <c r="A110" s="6">
        <v>108</v>
      </c>
      <c r="B110" s="6">
        <v>3629</v>
      </c>
      <c r="C110" s="6">
        <v>1978</v>
      </c>
      <c r="D110" s="7" t="s">
        <v>9</v>
      </c>
      <c r="E110" s="7" t="s">
        <v>10</v>
      </c>
      <c r="F110" s="6">
        <v>38557</v>
      </c>
      <c r="G110" s="6">
        <v>1</v>
      </c>
      <c r="H110" s="6">
        <v>0</v>
      </c>
      <c r="I110" s="6">
        <f t="shared" si="1"/>
        <v>1</v>
      </c>
      <c r="J110" s="9">
        <v>41262</v>
      </c>
      <c r="K110" s="6">
        <v>17</v>
      </c>
      <c r="L110">
        <f>VLOOKUP(A110,Marketing_df2!$A$1:$F$2241,3,FALSE)</f>
        <v>3</v>
      </c>
      <c r="M110">
        <f>VLOOKUP(A110,Marketing_df2!$A$1:$F$2241,4,FALSE)</f>
        <v>4</v>
      </c>
      <c r="N110">
        <f>VLOOKUP(A110,Marketing_df2!$A$1:$F$2241,5,FALSE)</f>
        <v>3</v>
      </c>
      <c r="O110">
        <f>VLOOKUP(A110,Marketing_df2!$A$1:$F$2241,6,FALSE)</f>
        <v>3</v>
      </c>
    </row>
    <row r="111" spans="1:15" ht="12.5">
      <c r="A111" s="6">
        <v>109</v>
      </c>
      <c r="B111" s="6">
        <v>10991</v>
      </c>
      <c r="C111" s="6">
        <v>1960</v>
      </c>
      <c r="D111" s="7" t="s">
        <v>14</v>
      </c>
      <c r="E111" s="7" t="s">
        <v>13</v>
      </c>
      <c r="F111" s="6">
        <v>89058</v>
      </c>
      <c r="G111" s="6">
        <v>0</v>
      </c>
      <c r="H111" s="6">
        <v>0</v>
      </c>
      <c r="I111" s="6">
        <f t="shared" si="1"/>
        <v>0</v>
      </c>
      <c r="J111" s="8">
        <v>41250</v>
      </c>
      <c r="K111" s="6">
        <v>18</v>
      </c>
      <c r="L111">
        <f>VLOOKUP(A111,Marketing_df2!$A$1:$F$2241,3,FALSE)</f>
        <v>194</v>
      </c>
      <c r="M111">
        <f>VLOOKUP(A111,Marketing_df2!$A$1:$F$2241,4,FALSE)</f>
        <v>22</v>
      </c>
      <c r="N111">
        <f>VLOOKUP(A111,Marketing_df2!$A$1:$F$2241,5,FALSE)</f>
        <v>5</v>
      </c>
      <c r="O111">
        <f>VLOOKUP(A111,Marketing_df2!$A$1:$F$2241,6,FALSE)</f>
        <v>4</v>
      </c>
    </row>
    <row r="112" spans="1:15" ht="12.5">
      <c r="A112" s="6">
        <v>110</v>
      </c>
      <c r="B112" s="6">
        <v>5077</v>
      </c>
      <c r="C112" s="6">
        <v>1979</v>
      </c>
      <c r="D112" s="7" t="s">
        <v>9</v>
      </c>
      <c r="E112" s="7" t="s">
        <v>11</v>
      </c>
      <c r="F112" s="6">
        <v>77298</v>
      </c>
      <c r="G112" s="6">
        <v>0</v>
      </c>
      <c r="H112" s="6">
        <v>1</v>
      </c>
      <c r="I112" s="6">
        <f t="shared" si="1"/>
        <v>1</v>
      </c>
      <c r="J112" s="8">
        <v>41580</v>
      </c>
      <c r="K112" s="6">
        <v>46</v>
      </c>
      <c r="L112">
        <f>VLOOKUP(A112,Marketing_df2!$A$1:$F$2241,3,FALSE)</f>
        <v>115</v>
      </c>
      <c r="M112">
        <f>VLOOKUP(A112,Marketing_df2!$A$1:$F$2241,4,FALSE)</f>
        <v>35</v>
      </c>
      <c r="N112">
        <f>VLOOKUP(A112,Marketing_df2!$A$1:$F$2241,5,FALSE)</f>
        <v>6</v>
      </c>
      <c r="O112">
        <f>VLOOKUP(A112,Marketing_df2!$A$1:$F$2241,6,FALSE)</f>
        <v>11</v>
      </c>
    </row>
    <row r="113" spans="1:15" ht="12.5">
      <c r="A113" s="6">
        <v>111</v>
      </c>
      <c r="B113" s="6">
        <v>7431</v>
      </c>
      <c r="C113" s="6">
        <v>1991</v>
      </c>
      <c r="D113" s="7" t="s">
        <v>12</v>
      </c>
      <c r="E113" s="7" t="s">
        <v>10</v>
      </c>
      <c r="F113" s="6">
        <v>68126</v>
      </c>
      <c r="G113" s="6">
        <v>0</v>
      </c>
      <c r="H113" s="6">
        <v>0</v>
      </c>
      <c r="I113" s="6">
        <f t="shared" si="1"/>
        <v>0</v>
      </c>
      <c r="J113" s="9">
        <v>41223</v>
      </c>
      <c r="K113" s="6">
        <v>40</v>
      </c>
      <c r="L113">
        <f>VLOOKUP(A113,Marketing_df2!$A$1:$F$2241,3,FALSE)</f>
        <v>17</v>
      </c>
      <c r="M113">
        <f>VLOOKUP(A113,Marketing_df2!$A$1:$F$2241,4,FALSE)</f>
        <v>51</v>
      </c>
      <c r="N113">
        <f>VLOOKUP(A113,Marketing_df2!$A$1:$F$2241,5,FALSE)</f>
        <v>7</v>
      </c>
      <c r="O113">
        <f>VLOOKUP(A113,Marketing_df2!$A$1:$F$2241,6,FALSE)</f>
        <v>5</v>
      </c>
    </row>
    <row r="114" spans="1:15" ht="12.5">
      <c r="A114" s="6">
        <v>112</v>
      </c>
      <c r="B114" s="6">
        <v>3267</v>
      </c>
      <c r="C114" s="6">
        <v>1963</v>
      </c>
      <c r="D114" s="7" t="s">
        <v>14</v>
      </c>
      <c r="E114" s="7" t="s">
        <v>11</v>
      </c>
      <c r="F114" s="6">
        <v>57288</v>
      </c>
      <c r="G114" s="6">
        <v>0</v>
      </c>
      <c r="H114" s="6">
        <v>1</v>
      </c>
      <c r="I114" s="6">
        <f t="shared" si="1"/>
        <v>1</v>
      </c>
      <c r="J114" s="8">
        <v>41815</v>
      </c>
      <c r="K114" s="6">
        <v>27</v>
      </c>
      <c r="L114">
        <f>VLOOKUP(A114,Marketing_df2!$A$1:$F$2241,3,FALSE)</f>
        <v>0</v>
      </c>
      <c r="M114">
        <f>VLOOKUP(A114,Marketing_df2!$A$1:$F$2241,4,FALSE)</f>
        <v>0</v>
      </c>
      <c r="N114">
        <f>VLOOKUP(A114,Marketing_df2!$A$1:$F$2241,5,FALSE)</f>
        <v>8</v>
      </c>
      <c r="O114">
        <f>VLOOKUP(A114,Marketing_df2!$A$1:$F$2241,6,FALSE)</f>
        <v>8</v>
      </c>
    </row>
    <row r="115" spans="1:15" ht="12.5">
      <c r="A115" s="6">
        <v>113</v>
      </c>
      <c r="B115" s="6">
        <v>999</v>
      </c>
      <c r="C115" s="6">
        <v>1991</v>
      </c>
      <c r="D115" s="7" t="s">
        <v>9</v>
      </c>
      <c r="E115" s="7" t="s">
        <v>10</v>
      </c>
      <c r="F115" s="6">
        <v>86037</v>
      </c>
      <c r="G115" s="6">
        <v>0</v>
      </c>
      <c r="H115" s="6">
        <v>0</v>
      </c>
      <c r="I115" s="6">
        <f t="shared" si="1"/>
        <v>0</v>
      </c>
      <c r="J115" s="8">
        <v>41276</v>
      </c>
      <c r="K115" s="6">
        <v>95</v>
      </c>
      <c r="L115">
        <f>VLOOKUP(A115,Marketing_df2!$A$1:$F$2241,3,FALSE)</f>
        <v>44</v>
      </c>
      <c r="M115">
        <f>VLOOKUP(A115,Marketing_df2!$A$1:$F$2241,4,FALSE)</f>
        <v>20</v>
      </c>
      <c r="N115">
        <f>VLOOKUP(A115,Marketing_df2!$A$1:$F$2241,5,FALSE)</f>
        <v>6</v>
      </c>
      <c r="O115">
        <f>VLOOKUP(A115,Marketing_df2!$A$1:$F$2241,6,FALSE)</f>
        <v>11</v>
      </c>
    </row>
    <row r="116" spans="1:15" ht="12.5">
      <c r="A116" s="6">
        <v>114</v>
      </c>
      <c r="B116" s="6">
        <v>9215</v>
      </c>
      <c r="C116" s="6">
        <v>1980</v>
      </c>
      <c r="D116" s="7" t="s">
        <v>12</v>
      </c>
      <c r="E116" s="7" t="s">
        <v>13</v>
      </c>
      <c r="F116" s="6">
        <v>43974</v>
      </c>
      <c r="G116" s="6">
        <v>1</v>
      </c>
      <c r="H116" s="6">
        <v>0</v>
      </c>
      <c r="I116" s="6">
        <f t="shared" si="1"/>
        <v>1</v>
      </c>
      <c r="J116" s="9">
        <v>41255</v>
      </c>
      <c r="K116" s="6">
        <v>19</v>
      </c>
      <c r="L116">
        <f>VLOOKUP(A116,Marketing_df2!$A$1:$F$2241,3,FALSE)</f>
        <v>0</v>
      </c>
      <c r="M116">
        <f>VLOOKUP(A116,Marketing_df2!$A$1:$F$2241,4,FALSE)</f>
        <v>0</v>
      </c>
      <c r="N116">
        <f>VLOOKUP(A116,Marketing_df2!$A$1:$F$2241,5,FALSE)</f>
        <v>6</v>
      </c>
      <c r="O116">
        <f>VLOOKUP(A116,Marketing_df2!$A$1:$F$2241,6,FALSE)</f>
        <v>6</v>
      </c>
    </row>
    <row r="117" spans="1:15" ht="12.5">
      <c r="A117" s="6">
        <v>115</v>
      </c>
      <c r="B117" s="6">
        <v>2286</v>
      </c>
      <c r="C117" s="6">
        <v>1962</v>
      </c>
      <c r="D117" s="7" t="s">
        <v>9</v>
      </c>
      <c r="E117" s="7" t="s">
        <v>10</v>
      </c>
      <c r="F117" s="6">
        <v>50785</v>
      </c>
      <c r="G117" s="6">
        <v>1</v>
      </c>
      <c r="H117" s="6">
        <v>1</v>
      </c>
      <c r="I117" s="6">
        <f t="shared" si="1"/>
        <v>2</v>
      </c>
      <c r="J117" s="8">
        <v>41527</v>
      </c>
      <c r="K117" s="6">
        <v>27</v>
      </c>
      <c r="L117">
        <f>VLOOKUP(A117,Marketing_df2!$A$1:$F$2241,3,FALSE)</f>
        <v>1</v>
      </c>
      <c r="M117">
        <f>VLOOKUP(A117,Marketing_df2!$A$1:$F$2241,4,FALSE)</f>
        <v>1</v>
      </c>
      <c r="N117">
        <f>VLOOKUP(A117,Marketing_df2!$A$1:$F$2241,5,FALSE)</f>
        <v>2</v>
      </c>
      <c r="O117">
        <f>VLOOKUP(A117,Marketing_df2!$A$1:$F$2241,6,FALSE)</f>
        <v>3</v>
      </c>
    </row>
    <row r="118" spans="1:15" ht="12.5">
      <c r="A118" s="6">
        <v>116</v>
      </c>
      <c r="B118" s="6">
        <v>1592</v>
      </c>
      <c r="C118" s="6">
        <v>1970</v>
      </c>
      <c r="D118" s="7" t="s">
        <v>9</v>
      </c>
      <c r="E118" s="7" t="s">
        <v>13</v>
      </c>
      <c r="F118" s="6">
        <v>90765</v>
      </c>
      <c r="G118" s="6">
        <v>0</v>
      </c>
      <c r="H118" s="6">
        <v>0</v>
      </c>
      <c r="I118" s="6">
        <f t="shared" si="1"/>
        <v>0</v>
      </c>
      <c r="J118" s="8">
        <v>41663</v>
      </c>
      <c r="K118" s="6">
        <v>25</v>
      </c>
      <c r="L118">
        <f>VLOOKUP(A118,Marketing_df2!$A$1:$F$2241,3,FALSE)</f>
        <v>99</v>
      </c>
      <c r="M118">
        <f>VLOOKUP(A118,Marketing_df2!$A$1:$F$2241,4,FALSE)</f>
        <v>82</v>
      </c>
      <c r="N118">
        <f>VLOOKUP(A118,Marketing_df2!$A$1:$F$2241,5,FALSE)</f>
        <v>4</v>
      </c>
      <c r="O118">
        <f>VLOOKUP(A118,Marketing_df2!$A$1:$F$2241,6,FALSE)</f>
        <v>5</v>
      </c>
    </row>
    <row r="119" spans="1:15" ht="12.5">
      <c r="A119" s="6">
        <v>117</v>
      </c>
      <c r="B119" s="6">
        <v>367</v>
      </c>
      <c r="C119" s="6">
        <v>1978</v>
      </c>
      <c r="D119" s="7" t="s">
        <v>17</v>
      </c>
      <c r="E119" s="7" t="s">
        <v>13</v>
      </c>
      <c r="F119" s="6">
        <v>36550</v>
      </c>
      <c r="G119" s="6">
        <v>1</v>
      </c>
      <c r="H119" s="6">
        <v>0</v>
      </c>
      <c r="I119" s="6">
        <f t="shared" si="1"/>
        <v>1</v>
      </c>
      <c r="J119" s="8">
        <v>41324</v>
      </c>
      <c r="K119" s="6">
        <v>74</v>
      </c>
      <c r="L119">
        <f>VLOOKUP(A119,Marketing_df2!$A$1:$F$2241,3,FALSE)</f>
        <v>90</v>
      </c>
      <c r="M119">
        <f>VLOOKUP(A119,Marketing_df2!$A$1:$F$2241,4,FALSE)</f>
        <v>103</v>
      </c>
      <c r="N119">
        <f>VLOOKUP(A119,Marketing_df2!$A$1:$F$2241,5,FALSE)</f>
        <v>9</v>
      </c>
      <c r="O119">
        <f>VLOOKUP(A119,Marketing_df2!$A$1:$F$2241,6,FALSE)</f>
        <v>5</v>
      </c>
    </row>
    <row r="120" spans="1:15" ht="12.5">
      <c r="A120" s="6">
        <v>118</v>
      </c>
      <c r="B120" s="6">
        <v>5234</v>
      </c>
      <c r="C120" s="6">
        <v>1967</v>
      </c>
      <c r="D120" s="7" t="s">
        <v>17</v>
      </c>
      <c r="E120" s="7" t="s">
        <v>11</v>
      </c>
      <c r="F120" s="6">
        <v>30753</v>
      </c>
      <c r="G120" s="6">
        <v>1</v>
      </c>
      <c r="H120" s="6">
        <v>1</v>
      </c>
      <c r="I120" s="6">
        <f t="shared" si="1"/>
        <v>2</v>
      </c>
      <c r="J120" s="8">
        <v>41466</v>
      </c>
      <c r="K120" s="6">
        <v>85</v>
      </c>
      <c r="L120">
        <f>VLOOKUP(A120,Marketing_df2!$A$1:$F$2241,3,FALSE)</f>
        <v>5</v>
      </c>
      <c r="M120">
        <f>VLOOKUP(A120,Marketing_df2!$A$1:$F$2241,4,FALSE)</f>
        <v>9</v>
      </c>
      <c r="N120">
        <f>VLOOKUP(A120,Marketing_df2!$A$1:$F$2241,5,FALSE)</f>
        <v>1</v>
      </c>
      <c r="O120">
        <f>VLOOKUP(A120,Marketing_df2!$A$1:$F$2241,6,FALSE)</f>
        <v>3</v>
      </c>
    </row>
    <row r="121" spans="1:15" ht="12.5">
      <c r="A121" s="6">
        <v>119</v>
      </c>
      <c r="B121" s="6">
        <v>9862</v>
      </c>
      <c r="C121" s="6">
        <v>1969</v>
      </c>
      <c r="D121" s="7" t="s">
        <v>9</v>
      </c>
      <c r="E121" s="7" t="s">
        <v>11</v>
      </c>
      <c r="F121" s="6">
        <v>21918</v>
      </c>
      <c r="G121" s="6">
        <v>1</v>
      </c>
      <c r="H121" s="6">
        <v>0</v>
      </c>
      <c r="I121" s="6">
        <f t="shared" si="1"/>
        <v>1</v>
      </c>
      <c r="J121" s="9">
        <v>41592</v>
      </c>
      <c r="K121" s="6">
        <v>37</v>
      </c>
      <c r="L121">
        <f>VLOOKUP(A121,Marketing_df2!$A$1:$F$2241,3,FALSE)</f>
        <v>6</v>
      </c>
      <c r="M121">
        <f>VLOOKUP(A121,Marketing_df2!$A$1:$F$2241,4,FALSE)</f>
        <v>5</v>
      </c>
      <c r="N121">
        <f>VLOOKUP(A121,Marketing_df2!$A$1:$F$2241,5,FALSE)</f>
        <v>2</v>
      </c>
      <c r="O121">
        <f>VLOOKUP(A121,Marketing_df2!$A$1:$F$2241,6,FALSE)</f>
        <v>3</v>
      </c>
    </row>
    <row r="122" spans="1:15" ht="12.5">
      <c r="A122" s="6">
        <v>120</v>
      </c>
      <c r="B122" s="6">
        <v>9805</v>
      </c>
      <c r="C122" s="6">
        <v>1953</v>
      </c>
      <c r="D122" s="7" t="s">
        <v>14</v>
      </c>
      <c r="E122" s="7" t="s">
        <v>11</v>
      </c>
      <c r="F122" s="6">
        <v>56129</v>
      </c>
      <c r="G122" s="6">
        <v>0</v>
      </c>
      <c r="H122" s="6">
        <v>1</v>
      </c>
      <c r="I122" s="6">
        <f t="shared" si="1"/>
        <v>1</v>
      </c>
      <c r="J122" s="8">
        <v>41445</v>
      </c>
      <c r="K122" s="6">
        <v>65</v>
      </c>
      <c r="L122">
        <f>VLOOKUP(A122,Marketing_df2!$A$1:$F$2241,3,FALSE)</f>
        <v>48</v>
      </c>
      <c r="M122">
        <f>VLOOKUP(A122,Marketing_df2!$A$1:$F$2241,4,FALSE)</f>
        <v>72</v>
      </c>
      <c r="N122">
        <f>VLOOKUP(A122,Marketing_df2!$A$1:$F$2241,5,FALSE)</f>
        <v>6</v>
      </c>
      <c r="O122">
        <f>VLOOKUP(A122,Marketing_df2!$A$1:$F$2241,6,FALSE)</f>
        <v>10</v>
      </c>
    </row>
    <row r="123" spans="1:15" ht="12.5">
      <c r="A123" s="6">
        <v>121</v>
      </c>
      <c r="B123" s="6">
        <v>6205</v>
      </c>
      <c r="C123" s="6">
        <v>1967</v>
      </c>
      <c r="D123" s="7" t="s">
        <v>14</v>
      </c>
      <c r="E123" s="7" t="s">
        <v>10</v>
      </c>
      <c r="F123" s="6">
        <v>32557</v>
      </c>
      <c r="G123" s="6">
        <v>1</v>
      </c>
      <c r="H123" s="6">
        <v>0</v>
      </c>
      <c r="I123" s="6">
        <f t="shared" si="1"/>
        <v>1</v>
      </c>
      <c r="J123" s="8">
        <v>41694</v>
      </c>
      <c r="K123" s="6">
        <v>13</v>
      </c>
      <c r="L123">
        <f>VLOOKUP(A123,Marketing_df2!$A$1:$F$2241,3,FALSE)</f>
        <v>3</v>
      </c>
      <c r="M123">
        <f>VLOOKUP(A123,Marketing_df2!$A$1:$F$2241,4,FALSE)</f>
        <v>4</v>
      </c>
      <c r="N123">
        <f>VLOOKUP(A123,Marketing_df2!$A$1:$F$2241,5,FALSE)</f>
        <v>2</v>
      </c>
      <c r="O123">
        <f>VLOOKUP(A123,Marketing_df2!$A$1:$F$2241,6,FALSE)</f>
        <v>3</v>
      </c>
    </row>
    <row r="124" spans="1:15" ht="12.5">
      <c r="A124" s="6">
        <v>122</v>
      </c>
      <c r="B124" s="6">
        <v>8442</v>
      </c>
      <c r="C124" s="6">
        <v>1985</v>
      </c>
      <c r="D124" s="7" t="s">
        <v>14</v>
      </c>
      <c r="E124" s="7" t="s">
        <v>13</v>
      </c>
      <c r="F124" s="6">
        <v>19510</v>
      </c>
      <c r="G124" s="6">
        <v>2</v>
      </c>
      <c r="H124" s="6">
        <v>0</v>
      </c>
      <c r="I124" s="6">
        <f t="shared" si="1"/>
        <v>2</v>
      </c>
      <c r="J124" s="8">
        <v>41521</v>
      </c>
      <c r="K124" s="6">
        <v>63</v>
      </c>
      <c r="L124">
        <f>VLOOKUP(A124,Marketing_df2!$A$1:$F$2241,3,FALSE)</f>
        <v>0</v>
      </c>
      <c r="M124">
        <f>VLOOKUP(A124,Marketing_df2!$A$1:$F$2241,4,FALSE)</f>
        <v>4</v>
      </c>
      <c r="N124">
        <f>VLOOKUP(A124,Marketing_df2!$A$1:$F$2241,5,FALSE)</f>
        <v>1</v>
      </c>
      <c r="O124">
        <f>VLOOKUP(A124,Marketing_df2!$A$1:$F$2241,6,FALSE)</f>
        <v>3</v>
      </c>
    </row>
    <row r="125" spans="1:15" ht="12.5">
      <c r="A125" s="6">
        <v>123</v>
      </c>
      <c r="B125" s="6">
        <v>7386</v>
      </c>
      <c r="C125" s="6">
        <v>1976</v>
      </c>
      <c r="D125" s="7" t="s">
        <v>9</v>
      </c>
      <c r="E125" s="7" t="s">
        <v>15</v>
      </c>
      <c r="F125" s="6">
        <v>30992</v>
      </c>
      <c r="G125" s="6">
        <v>1</v>
      </c>
      <c r="H125" s="6">
        <v>0</v>
      </c>
      <c r="I125" s="6">
        <f t="shared" si="1"/>
        <v>1</v>
      </c>
      <c r="J125" s="8">
        <v>41386</v>
      </c>
      <c r="K125" s="6">
        <v>83</v>
      </c>
      <c r="L125">
        <f>VLOOKUP(A125,Marketing_df2!$A$1:$F$2241,3,FALSE)</f>
        <v>0</v>
      </c>
      <c r="M125">
        <f>VLOOKUP(A125,Marketing_df2!$A$1:$F$2241,4,FALSE)</f>
        <v>3</v>
      </c>
      <c r="N125">
        <f>VLOOKUP(A125,Marketing_df2!$A$1:$F$2241,5,FALSE)</f>
        <v>1</v>
      </c>
      <c r="O125">
        <f>VLOOKUP(A125,Marketing_df2!$A$1:$F$2241,6,FALSE)</f>
        <v>3</v>
      </c>
    </row>
    <row r="126" spans="1:15" ht="12.5">
      <c r="A126" s="6">
        <v>124</v>
      </c>
      <c r="B126" s="6">
        <v>7215</v>
      </c>
      <c r="C126" s="6">
        <v>1983</v>
      </c>
      <c r="D126" s="7" t="s">
        <v>9</v>
      </c>
      <c r="E126" s="7" t="s">
        <v>10</v>
      </c>
      <c r="F126" s="6">
        <v>101970</v>
      </c>
      <c r="G126" s="6">
        <v>0</v>
      </c>
      <c r="H126" s="6">
        <v>0</v>
      </c>
      <c r="I126" s="6">
        <f t="shared" si="1"/>
        <v>0</v>
      </c>
      <c r="J126" s="8">
        <v>41345</v>
      </c>
      <c r="K126" s="6">
        <v>69</v>
      </c>
      <c r="L126">
        <f>VLOOKUP(A126,Marketing_df2!$A$1:$F$2241,3,FALSE)</f>
        <v>27</v>
      </c>
      <c r="M126">
        <f>VLOOKUP(A126,Marketing_df2!$A$1:$F$2241,4,FALSE)</f>
        <v>72</v>
      </c>
      <c r="N126">
        <f>VLOOKUP(A126,Marketing_df2!$A$1:$F$2241,5,FALSE)</f>
        <v>6</v>
      </c>
      <c r="O126">
        <f>VLOOKUP(A126,Marketing_df2!$A$1:$F$2241,6,FALSE)</f>
        <v>13</v>
      </c>
    </row>
    <row r="127" spans="1:15" ht="12.5">
      <c r="A127" s="6">
        <v>125</v>
      </c>
      <c r="B127" s="6">
        <v>1491</v>
      </c>
      <c r="C127" s="6">
        <v>1965</v>
      </c>
      <c r="D127" s="7" t="s">
        <v>17</v>
      </c>
      <c r="E127" s="7" t="s">
        <v>11</v>
      </c>
      <c r="F127" s="6">
        <v>71488</v>
      </c>
      <c r="G127" s="6">
        <v>0</v>
      </c>
      <c r="H127" s="6">
        <v>0</v>
      </c>
      <c r="I127" s="6">
        <f t="shared" si="1"/>
        <v>0</v>
      </c>
      <c r="J127" s="8">
        <v>41323</v>
      </c>
      <c r="K127" s="6">
        <v>87</v>
      </c>
      <c r="L127">
        <f>VLOOKUP(A127,Marketing_df2!$A$1:$F$2241,3,FALSE)</f>
        <v>33</v>
      </c>
      <c r="M127">
        <f>VLOOKUP(A127,Marketing_df2!$A$1:$F$2241,4,FALSE)</f>
        <v>28</v>
      </c>
      <c r="N127">
        <f>VLOOKUP(A127,Marketing_df2!$A$1:$F$2241,5,FALSE)</f>
        <v>3</v>
      </c>
      <c r="O127">
        <f>VLOOKUP(A127,Marketing_df2!$A$1:$F$2241,6,FALSE)</f>
        <v>7</v>
      </c>
    </row>
    <row r="128" spans="1:15" ht="12.5">
      <c r="A128" s="6">
        <v>126</v>
      </c>
      <c r="B128" s="6">
        <v>11071</v>
      </c>
      <c r="C128" s="6">
        <v>1984</v>
      </c>
      <c r="D128" s="7" t="s">
        <v>9</v>
      </c>
      <c r="E128" s="7" t="s">
        <v>10</v>
      </c>
      <c r="F128" s="6">
        <v>79607</v>
      </c>
      <c r="G128" s="6">
        <v>0</v>
      </c>
      <c r="H128" s="6">
        <v>0</v>
      </c>
      <c r="I128" s="6">
        <f t="shared" si="1"/>
        <v>0</v>
      </c>
      <c r="J128" s="8">
        <v>41385</v>
      </c>
      <c r="K128" s="6">
        <v>37</v>
      </c>
      <c r="L128">
        <f>VLOOKUP(A128,Marketing_df2!$A$1:$F$2241,3,FALSE)</f>
        <v>133</v>
      </c>
      <c r="M128">
        <f>VLOOKUP(A128,Marketing_df2!$A$1:$F$2241,4,FALSE)</f>
        <v>0</v>
      </c>
      <c r="N128">
        <f>VLOOKUP(A128,Marketing_df2!$A$1:$F$2241,5,FALSE)</f>
        <v>3</v>
      </c>
      <c r="O128">
        <f>VLOOKUP(A128,Marketing_df2!$A$1:$F$2241,6,FALSE)</f>
        <v>6</v>
      </c>
    </row>
    <row r="129" spans="1:15" ht="12.5">
      <c r="A129" s="6">
        <v>127</v>
      </c>
      <c r="B129" s="6">
        <v>3381</v>
      </c>
      <c r="C129" s="6">
        <v>1953</v>
      </c>
      <c r="D129" s="7" t="s">
        <v>14</v>
      </c>
      <c r="E129" s="7" t="s">
        <v>13</v>
      </c>
      <c r="F129" s="6">
        <v>54348</v>
      </c>
      <c r="G129" s="6">
        <v>1</v>
      </c>
      <c r="H129" s="6">
        <v>1</v>
      </c>
      <c r="I129" s="6">
        <f t="shared" si="1"/>
        <v>2</v>
      </c>
      <c r="J129" s="8">
        <v>41798</v>
      </c>
      <c r="K129" s="6">
        <v>51</v>
      </c>
      <c r="L129">
        <f>VLOOKUP(A129,Marketing_df2!$A$1:$F$2241,3,FALSE)</f>
        <v>0</v>
      </c>
      <c r="M129">
        <f>VLOOKUP(A129,Marketing_df2!$A$1:$F$2241,4,FALSE)</f>
        <v>0</v>
      </c>
      <c r="N129">
        <f>VLOOKUP(A129,Marketing_df2!$A$1:$F$2241,5,FALSE)</f>
        <v>2</v>
      </c>
      <c r="O129">
        <f>VLOOKUP(A129,Marketing_df2!$A$1:$F$2241,6,FALSE)</f>
        <v>4</v>
      </c>
    </row>
    <row r="130" spans="1:15" ht="12.5">
      <c r="A130" s="6">
        <v>128</v>
      </c>
      <c r="B130" s="6">
        <v>8268</v>
      </c>
      <c r="C130" s="6">
        <v>1961</v>
      </c>
      <c r="D130" s="7" t="s">
        <v>12</v>
      </c>
      <c r="E130" s="7" t="s">
        <v>13</v>
      </c>
      <c r="F130" s="7"/>
      <c r="G130" s="6">
        <v>0</v>
      </c>
      <c r="H130" s="6">
        <v>1</v>
      </c>
      <c r="I130" s="6">
        <f t="shared" si="1"/>
        <v>1</v>
      </c>
      <c r="J130" s="8">
        <v>41466</v>
      </c>
      <c r="K130" s="6">
        <v>23</v>
      </c>
      <c r="L130">
        <f>VLOOKUP(A130,Marketing_df2!$A$1:$F$2241,3,FALSE)</f>
        <v>0</v>
      </c>
      <c r="M130">
        <f>VLOOKUP(A130,Marketing_df2!$A$1:$F$2241,4,FALSE)</f>
        <v>0</v>
      </c>
      <c r="N130">
        <f>VLOOKUP(A130,Marketing_df2!$A$1:$F$2241,5,FALSE)</f>
        <v>6</v>
      </c>
      <c r="O130">
        <f>VLOOKUP(A130,Marketing_df2!$A$1:$F$2241,6,FALSE)</f>
        <v>7</v>
      </c>
    </row>
    <row r="131" spans="1:15" ht="12.5">
      <c r="A131" s="6">
        <v>129</v>
      </c>
      <c r="B131" s="6">
        <v>11051</v>
      </c>
      <c r="C131" s="6">
        <v>1956</v>
      </c>
      <c r="D131" s="7" t="s">
        <v>12</v>
      </c>
      <c r="E131" s="7" t="s">
        <v>11</v>
      </c>
      <c r="F131" s="6">
        <v>77376</v>
      </c>
      <c r="G131" s="6">
        <v>1</v>
      </c>
      <c r="H131" s="6">
        <v>1</v>
      </c>
      <c r="I131" s="6">
        <f t="shared" ref="I131:I194" si="2">G131+H131</f>
        <v>2</v>
      </c>
      <c r="J131" s="8">
        <v>41769</v>
      </c>
      <c r="K131" s="6">
        <v>72</v>
      </c>
      <c r="L131">
        <f>VLOOKUP(A131,Marketing_df2!$A$1:$F$2241,3,FALSE)</f>
        <v>19</v>
      </c>
      <c r="M131">
        <f>VLOOKUP(A131,Marketing_df2!$A$1:$F$2241,4,FALSE)</f>
        <v>12</v>
      </c>
      <c r="N131">
        <f>VLOOKUP(A131,Marketing_df2!$A$1:$F$2241,5,FALSE)</f>
        <v>6</v>
      </c>
      <c r="O131">
        <f>VLOOKUP(A131,Marketing_df2!$A$1:$F$2241,6,FALSE)</f>
        <v>10</v>
      </c>
    </row>
    <row r="132" spans="1:15" ht="12.5">
      <c r="A132" s="6">
        <v>130</v>
      </c>
      <c r="B132" s="6">
        <v>8026</v>
      </c>
      <c r="C132" s="6">
        <v>1952</v>
      </c>
      <c r="D132" s="7" t="s">
        <v>9</v>
      </c>
      <c r="E132" s="7" t="s">
        <v>13</v>
      </c>
      <c r="F132" s="6">
        <v>62998</v>
      </c>
      <c r="G132" s="6">
        <v>0</v>
      </c>
      <c r="H132" s="6">
        <v>1</v>
      </c>
      <c r="I132" s="6">
        <f t="shared" si="2"/>
        <v>1</v>
      </c>
      <c r="J132" s="8">
        <v>41547</v>
      </c>
      <c r="K132" s="6">
        <v>10</v>
      </c>
      <c r="L132">
        <f>VLOOKUP(A132,Marketing_df2!$A$1:$F$2241,3,FALSE)</f>
        <v>58</v>
      </c>
      <c r="M132">
        <f>VLOOKUP(A132,Marketing_df2!$A$1:$F$2241,4,FALSE)</f>
        <v>89</v>
      </c>
      <c r="N132">
        <f>VLOOKUP(A132,Marketing_df2!$A$1:$F$2241,5,FALSE)</f>
        <v>5</v>
      </c>
      <c r="O132">
        <f>VLOOKUP(A132,Marketing_df2!$A$1:$F$2241,6,FALSE)</f>
        <v>5</v>
      </c>
    </row>
    <row r="133" spans="1:15" ht="12.5">
      <c r="A133" s="6">
        <v>131</v>
      </c>
      <c r="B133" s="6">
        <v>433</v>
      </c>
      <c r="C133" s="6">
        <v>1958</v>
      </c>
      <c r="D133" s="7" t="s">
        <v>14</v>
      </c>
      <c r="E133" s="7" t="s">
        <v>19</v>
      </c>
      <c r="F133" s="6">
        <v>61331</v>
      </c>
      <c r="G133" s="6">
        <v>1</v>
      </c>
      <c r="H133" s="6">
        <v>1</v>
      </c>
      <c r="I133" s="6">
        <f t="shared" si="2"/>
        <v>2</v>
      </c>
      <c r="J133" s="8">
        <v>41343</v>
      </c>
      <c r="K133" s="6">
        <v>42</v>
      </c>
      <c r="L133">
        <f>VLOOKUP(A133,Marketing_df2!$A$1:$F$2241,3,FALSE)</f>
        <v>5</v>
      </c>
      <c r="M133">
        <f>VLOOKUP(A133,Marketing_df2!$A$1:$F$2241,4,FALSE)</f>
        <v>5</v>
      </c>
      <c r="N133">
        <f>VLOOKUP(A133,Marketing_df2!$A$1:$F$2241,5,FALSE)</f>
        <v>11</v>
      </c>
      <c r="O133">
        <f>VLOOKUP(A133,Marketing_df2!$A$1:$F$2241,6,FALSE)</f>
        <v>6</v>
      </c>
    </row>
    <row r="134" spans="1:15" ht="12.5">
      <c r="A134" s="6">
        <v>132</v>
      </c>
      <c r="B134" s="6">
        <v>9597</v>
      </c>
      <c r="C134" s="6">
        <v>1969</v>
      </c>
      <c r="D134" s="7" t="s">
        <v>9</v>
      </c>
      <c r="E134" s="7" t="s">
        <v>13</v>
      </c>
      <c r="F134" s="6">
        <v>73448</v>
      </c>
      <c r="G134" s="6">
        <v>0</v>
      </c>
      <c r="H134" s="6">
        <v>0</v>
      </c>
      <c r="I134" s="6">
        <f t="shared" si="2"/>
        <v>0</v>
      </c>
      <c r="J134" s="8">
        <v>41680</v>
      </c>
      <c r="K134" s="6">
        <v>10</v>
      </c>
      <c r="L134">
        <f>VLOOKUP(A134,Marketing_df2!$A$1:$F$2241,3,FALSE)</f>
        <v>106</v>
      </c>
      <c r="M134">
        <f>VLOOKUP(A134,Marketing_df2!$A$1:$F$2241,4,FALSE)</f>
        <v>41</v>
      </c>
      <c r="N134">
        <f>VLOOKUP(A134,Marketing_df2!$A$1:$F$2241,5,FALSE)</f>
        <v>7</v>
      </c>
      <c r="O134">
        <f>VLOOKUP(A134,Marketing_df2!$A$1:$F$2241,6,FALSE)</f>
        <v>9</v>
      </c>
    </row>
    <row r="135" spans="1:15" ht="12.5">
      <c r="A135" s="6">
        <v>133</v>
      </c>
      <c r="B135" s="6">
        <v>1295</v>
      </c>
      <c r="C135" s="6">
        <v>1963</v>
      </c>
      <c r="D135" s="7" t="s">
        <v>9</v>
      </c>
      <c r="E135" s="7" t="s">
        <v>13</v>
      </c>
      <c r="F135" s="7"/>
      <c r="G135" s="6">
        <v>0</v>
      </c>
      <c r="H135" s="6">
        <v>1</v>
      </c>
      <c r="I135" s="6">
        <f t="shared" si="2"/>
        <v>1</v>
      </c>
      <c r="J135" s="8">
        <v>41497</v>
      </c>
      <c r="K135" s="6">
        <v>96</v>
      </c>
      <c r="L135">
        <f>VLOOKUP(A135,Marketing_df2!$A$1:$F$2241,3,FALSE)</f>
        <v>65</v>
      </c>
      <c r="M135">
        <f>VLOOKUP(A135,Marketing_df2!$A$1:$F$2241,4,FALSE)</f>
        <v>71</v>
      </c>
      <c r="N135">
        <f>VLOOKUP(A135,Marketing_df2!$A$1:$F$2241,5,FALSE)</f>
        <v>6</v>
      </c>
      <c r="O135">
        <f>VLOOKUP(A135,Marketing_df2!$A$1:$F$2241,6,FALSE)</f>
        <v>7</v>
      </c>
    </row>
    <row r="136" spans="1:15" ht="12.5">
      <c r="A136" s="6">
        <v>134</v>
      </c>
      <c r="B136" s="6">
        <v>5290</v>
      </c>
      <c r="C136" s="6">
        <v>1964</v>
      </c>
      <c r="D136" s="7" t="s">
        <v>12</v>
      </c>
      <c r="E136" s="7" t="s">
        <v>13</v>
      </c>
      <c r="F136" s="6">
        <v>41551</v>
      </c>
      <c r="G136" s="6">
        <v>1</v>
      </c>
      <c r="H136" s="6">
        <v>1</v>
      </c>
      <c r="I136" s="6">
        <f t="shared" si="2"/>
        <v>2</v>
      </c>
      <c r="J136" s="8">
        <v>41500</v>
      </c>
      <c r="K136" s="6">
        <v>51</v>
      </c>
      <c r="L136">
        <f>VLOOKUP(A136,Marketing_df2!$A$1:$F$2241,3,FALSE)</f>
        <v>0</v>
      </c>
      <c r="M136">
        <f>VLOOKUP(A136,Marketing_df2!$A$1:$F$2241,4,FALSE)</f>
        <v>0</v>
      </c>
      <c r="N136">
        <f>VLOOKUP(A136,Marketing_df2!$A$1:$F$2241,5,FALSE)</f>
        <v>5</v>
      </c>
      <c r="O136">
        <f>VLOOKUP(A136,Marketing_df2!$A$1:$F$2241,6,FALSE)</f>
        <v>5</v>
      </c>
    </row>
    <row r="137" spans="1:15" ht="12.5">
      <c r="A137" s="6">
        <v>135</v>
      </c>
      <c r="B137" s="6">
        <v>1685</v>
      </c>
      <c r="C137" s="6">
        <v>1967</v>
      </c>
      <c r="D137" s="7" t="s">
        <v>12</v>
      </c>
      <c r="E137" s="7" t="s">
        <v>11</v>
      </c>
      <c r="F137" s="6">
        <v>62981</v>
      </c>
      <c r="G137" s="6">
        <v>0</v>
      </c>
      <c r="H137" s="6">
        <v>0</v>
      </c>
      <c r="I137" s="6">
        <f t="shared" si="2"/>
        <v>0</v>
      </c>
      <c r="J137" s="8">
        <v>41350</v>
      </c>
      <c r="K137" s="6">
        <v>21</v>
      </c>
      <c r="L137">
        <f>VLOOKUP(A137,Marketing_df2!$A$1:$F$2241,3,FALSE)</f>
        <v>14</v>
      </c>
      <c r="M137">
        <f>VLOOKUP(A137,Marketing_df2!$A$1:$F$2241,4,FALSE)</f>
        <v>44</v>
      </c>
      <c r="N137">
        <f>VLOOKUP(A137,Marketing_df2!$A$1:$F$2241,5,FALSE)</f>
        <v>4</v>
      </c>
      <c r="O137">
        <f>VLOOKUP(A137,Marketing_df2!$A$1:$F$2241,6,FALSE)</f>
        <v>13</v>
      </c>
    </row>
    <row r="138" spans="1:15" ht="12.5">
      <c r="A138" s="6">
        <v>136</v>
      </c>
      <c r="B138" s="6">
        <v>5342</v>
      </c>
      <c r="C138" s="6">
        <v>1976</v>
      </c>
      <c r="D138" s="7" t="s">
        <v>16</v>
      </c>
      <c r="E138" s="7" t="s">
        <v>15</v>
      </c>
      <c r="F138" s="6">
        <v>9548</v>
      </c>
      <c r="G138" s="6">
        <v>1</v>
      </c>
      <c r="H138" s="6">
        <v>0</v>
      </c>
      <c r="I138" s="6">
        <f t="shared" si="2"/>
        <v>1</v>
      </c>
      <c r="J138" s="8">
        <v>41129</v>
      </c>
      <c r="K138" s="6">
        <v>31</v>
      </c>
      <c r="L138">
        <f>VLOOKUP(A138,Marketing_df2!$A$1:$F$2241,3,FALSE)</f>
        <v>1</v>
      </c>
      <c r="M138">
        <f>VLOOKUP(A138,Marketing_df2!$A$1:$F$2241,4,FALSE)</f>
        <v>6</v>
      </c>
      <c r="N138">
        <f>VLOOKUP(A138,Marketing_df2!$A$1:$F$2241,5,FALSE)</f>
        <v>1</v>
      </c>
      <c r="O138">
        <f>VLOOKUP(A138,Marketing_df2!$A$1:$F$2241,6,FALSE)</f>
        <v>3</v>
      </c>
    </row>
    <row r="139" spans="1:15" ht="12.5">
      <c r="A139" s="6">
        <v>137</v>
      </c>
      <c r="B139" s="6">
        <v>9579</v>
      </c>
      <c r="C139" s="6">
        <v>1959</v>
      </c>
      <c r="D139" s="7" t="s">
        <v>12</v>
      </c>
      <c r="E139" s="7" t="s">
        <v>13</v>
      </c>
      <c r="F139" s="6">
        <v>33762</v>
      </c>
      <c r="G139" s="6">
        <v>2</v>
      </c>
      <c r="H139" s="6">
        <v>1</v>
      </c>
      <c r="I139" s="6">
        <f t="shared" si="2"/>
        <v>3</v>
      </c>
      <c r="J139" s="8">
        <v>41462</v>
      </c>
      <c r="K139" s="6">
        <v>61</v>
      </c>
      <c r="L139">
        <f>VLOOKUP(A139,Marketing_df2!$A$1:$F$2241,3,FALSE)</f>
        <v>1</v>
      </c>
      <c r="M139">
        <f>VLOOKUP(A139,Marketing_df2!$A$1:$F$2241,4,FALSE)</f>
        <v>0</v>
      </c>
      <c r="N139">
        <f>VLOOKUP(A139,Marketing_df2!$A$1:$F$2241,5,FALSE)</f>
        <v>2</v>
      </c>
      <c r="O139">
        <f>VLOOKUP(A139,Marketing_df2!$A$1:$F$2241,6,FALSE)</f>
        <v>2</v>
      </c>
    </row>
    <row r="140" spans="1:15" ht="12.5">
      <c r="A140" s="6">
        <v>138</v>
      </c>
      <c r="B140" s="6">
        <v>7660</v>
      </c>
      <c r="C140" s="6">
        <v>1973</v>
      </c>
      <c r="D140" s="7" t="s">
        <v>12</v>
      </c>
      <c r="E140" s="7" t="s">
        <v>19</v>
      </c>
      <c r="F140" s="6">
        <v>35860</v>
      </c>
      <c r="G140" s="6">
        <v>1</v>
      </c>
      <c r="H140" s="6">
        <v>1</v>
      </c>
      <c r="I140" s="6">
        <f t="shared" si="2"/>
        <v>2</v>
      </c>
      <c r="J140" s="8">
        <v>41778</v>
      </c>
      <c r="K140" s="6">
        <v>37</v>
      </c>
      <c r="L140">
        <f>VLOOKUP(A140,Marketing_df2!$A$1:$F$2241,3,FALSE)</f>
        <v>0</v>
      </c>
      <c r="M140">
        <f>VLOOKUP(A140,Marketing_df2!$A$1:$F$2241,4,FALSE)</f>
        <v>2</v>
      </c>
      <c r="N140">
        <f>VLOOKUP(A140,Marketing_df2!$A$1:$F$2241,5,FALSE)</f>
        <v>1</v>
      </c>
      <c r="O140">
        <f>VLOOKUP(A140,Marketing_df2!$A$1:$F$2241,6,FALSE)</f>
        <v>2</v>
      </c>
    </row>
    <row r="141" spans="1:15" ht="12.5">
      <c r="A141" s="6">
        <v>139</v>
      </c>
      <c r="B141" s="6">
        <v>1461</v>
      </c>
      <c r="C141" s="6">
        <v>1965</v>
      </c>
      <c r="D141" s="7" t="s">
        <v>12</v>
      </c>
      <c r="E141" s="7" t="s">
        <v>15</v>
      </c>
      <c r="F141" s="6">
        <v>36921</v>
      </c>
      <c r="G141" s="6">
        <v>1</v>
      </c>
      <c r="H141" s="6">
        <v>1</v>
      </c>
      <c r="I141" s="6">
        <f t="shared" si="2"/>
        <v>2</v>
      </c>
      <c r="J141" s="8">
        <v>41483</v>
      </c>
      <c r="K141" s="6">
        <v>74</v>
      </c>
      <c r="L141">
        <f>VLOOKUP(A141,Marketing_df2!$A$1:$F$2241,3,FALSE)</f>
        <v>1</v>
      </c>
      <c r="M141">
        <f>VLOOKUP(A141,Marketing_df2!$A$1:$F$2241,4,FALSE)</f>
        <v>1</v>
      </c>
      <c r="N141">
        <f>VLOOKUP(A141,Marketing_df2!$A$1:$F$2241,5,FALSE)</f>
        <v>2</v>
      </c>
      <c r="O141">
        <f>VLOOKUP(A141,Marketing_df2!$A$1:$F$2241,6,FALSE)</f>
        <v>3</v>
      </c>
    </row>
    <row r="142" spans="1:15" ht="12.5">
      <c r="A142" s="6">
        <v>140</v>
      </c>
      <c r="B142" s="6">
        <v>821</v>
      </c>
      <c r="C142" s="6">
        <v>1992</v>
      </c>
      <c r="D142" s="7" t="s">
        <v>14</v>
      </c>
      <c r="E142" s="7" t="s">
        <v>10</v>
      </c>
      <c r="F142" s="6">
        <v>92859</v>
      </c>
      <c r="G142" s="6">
        <v>0</v>
      </c>
      <c r="H142" s="6">
        <v>0</v>
      </c>
      <c r="I142" s="6">
        <f t="shared" si="2"/>
        <v>0</v>
      </c>
      <c r="J142" s="9">
        <v>41201</v>
      </c>
      <c r="K142" s="6">
        <v>46</v>
      </c>
      <c r="L142">
        <f>VLOOKUP(A142,Marketing_df2!$A$1:$F$2241,3,FALSE)</f>
        <v>61</v>
      </c>
      <c r="M142">
        <f>VLOOKUP(A142,Marketing_df2!$A$1:$F$2241,4,FALSE)</f>
        <v>61</v>
      </c>
      <c r="N142">
        <f>VLOOKUP(A142,Marketing_df2!$A$1:$F$2241,5,FALSE)</f>
        <v>5</v>
      </c>
      <c r="O142">
        <f>VLOOKUP(A142,Marketing_df2!$A$1:$F$2241,6,FALSE)</f>
        <v>12</v>
      </c>
    </row>
    <row r="143" spans="1:15" ht="12.5">
      <c r="A143" s="6">
        <v>141</v>
      </c>
      <c r="B143" s="6">
        <v>11084</v>
      </c>
      <c r="C143" s="6">
        <v>1976</v>
      </c>
      <c r="D143" s="7" t="s">
        <v>14</v>
      </c>
      <c r="E143" s="7" t="s">
        <v>11</v>
      </c>
      <c r="F143" s="6">
        <v>65104</v>
      </c>
      <c r="G143" s="6">
        <v>0</v>
      </c>
      <c r="H143" s="6">
        <v>1</v>
      </c>
      <c r="I143" s="6">
        <f t="shared" si="2"/>
        <v>1</v>
      </c>
      <c r="J143" s="9">
        <v>41592</v>
      </c>
      <c r="K143" s="6">
        <v>4</v>
      </c>
      <c r="L143">
        <f>VLOOKUP(A143,Marketing_df2!$A$1:$F$2241,3,FALSE)</f>
        <v>0</v>
      </c>
      <c r="M143">
        <f>VLOOKUP(A143,Marketing_df2!$A$1:$F$2241,4,FALSE)</f>
        <v>20</v>
      </c>
      <c r="N143">
        <f>VLOOKUP(A143,Marketing_df2!$A$1:$F$2241,5,FALSE)</f>
        <v>3</v>
      </c>
      <c r="O143">
        <f>VLOOKUP(A143,Marketing_df2!$A$1:$F$2241,6,FALSE)</f>
        <v>7</v>
      </c>
    </row>
    <row r="144" spans="1:15" ht="12.5">
      <c r="A144" s="6">
        <v>142</v>
      </c>
      <c r="B144" s="6">
        <v>8690</v>
      </c>
      <c r="C144" s="6">
        <v>1962</v>
      </c>
      <c r="D144" s="7" t="s">
        <v>9</v>
      </c>
      <c r="E144" s="7" t="s">
        <v>13</v>
      </c>
      <c r="F144" s="6">
        <v>86111</v>
      </c>
      <c r="G144" s="6">
        <v>0</v>
      </c>
      <c r="H144" s="6">
        <v>0</v>
      </c>
      <c r="I144" s="6">
        <f t="shared" si="2"/>
        <v>0</v>
      </c>
      <c r="J144" s="8">
        <v>41383</v>
      </c>
      <c r="K144" s="6">
        <v>73</v>
      </c>
      <c r="L144">
        <f>VLOOKUP(A144,Marketing_df2!$A$1:$F$2241,3,FALSE)</f>
        <v>28</v>
      </c>
      <c r="M144">
        <f>VLOOKUP(A144,Marketing_df2!$A$1:$F$2241,4,FALSE)</f>
        <v>40</v>
      </c>
      <c r="N144">
        <f>VLOOKUP(A144,Marketing_df2!$A$1:$F$2241,5,FALSE)</f>
        <v>5</v>
      </c>
      <c r="O144">
        <f>VLOOKUP(A144,Marketing_df2!$A$1:$F$2241,6,FALSE)</f>
        <v>10</v>
      </c>
    </row>
    <row r="145" spans="1:15" ht="12.5">
      <c r="A145" s="6">
        <v>143</v>
      </c>
      <c r="B145" s="6">
        <v>2937</v>
      </c>
      <c r="C145" s="6">
        <v>1974</v>
      </c>
      <c r="D145" s="7" t="s">
        <v>12</v>
      </c>
      <c r="E145" s="7" t="s">
        <v>10</v>
      </c>
      <c r="F145" s="6">
        <v>68352</v>
      </c>
      <c r="G145" s="6">
        <v>0</v>
      </c>
      <c r="H145" s="6">
        <v>1</v>
      </c>
      <c r="I145" s="6">
        <f t="shared" si="2"/>
        <v>1</v>
      </c>
      <c r="J145" s="8">
        <v>41514</v>
      </c>
      <c r="K145" s="6">
        <v>47</v>
      </c>
      <c r="L145">
        <f>VLOOKUP(A145,Marketing_df2!$A$1:$F$2241,3,FALSE)</f>
        <v>16</v>
      </c>
      <c r="M145">
        <f>VLOOKUP(A145,Marketing_df2!$A$1:$F$2241,4,FALSE)</f>
        <v>33</v>
      </c>
      <c r="N145">
        <f>VLOOKUP(A145,Marketing_df2!$A$1:$F$2241,5,FALSE)</f>
        <v>8</v>
      </c>
      <c r="O145">
        <f>VLOOKUP(A145,Marketing_df2!$A$1:$F$2241,6,FALSE)</f>
        <v>9</v>
      </c>
    </row>
    <row r="146" spans="1:15" ht="12.5">
      <c r="A146" s="6">
        <v>144</v>
      </c>
      <c r="B146" s="6">
        <v>9701</v>
      </c>
      <c r="C146" s="6">
        <v>1988</v>
      </c>
      <c r="D146" s="7" t="s">
        <v>9</v>
      </c>
      <c r="E146" s="7" t="s">
        <v>11</v>
      </c>
      <c r="F146" s="6">
        <v>41883</v>
      </c>
      <c r="G146" s="6">
        <v>1</v>
      </c>
      <c r="H146" s="6">
        <v>0</v>
      </c>
      <c r="I146" s="6">
        <f t="shared" si="2"/>
        <v>1</v>
      </c>
      <c r="J146" s="8">
        <v>41352</v>
      </c>
      <c r="K146" s="6">
        <v>13</v>
      </c>
      <c r="L146">
        <f>VLOOKUP(A146,Marketing_df2!$A$1:$F$2241,3,FALSE)</f>
        <v>34</v>
      </c>
      <c r="M146">
        <f>VLOOKUP(A146,Marketing_df2!$A$1:$F$2241,4,FALSE)</f>
        <v>16</v>
      </c>
      <c r="N146">
        <f>VLOOKUP(A146,Marketing_df2!$A$1:$F$2241,5,FALSE)</f>
        <v>4</v>
      </c>
      <c r="O146">
        <f>VLOOKUP(A146,Marketing_df2!$A$1:$F$2241,6,FALSE)</f>
        <v>3</v>
      </c>
    </row>
    <row r="147" spans="1:15" ht="12.5">
      <c r="A147" s="6">
        <v>145</v>
      </c>
      <c r="B147" s="6">
        <v>9949</v>
      </c>
      <c r="C147" s="6">
        <v>1976</v>
      </c>
      <c r="D147" s="7" t="s">
        <v>9</v>
      </c>
      <c r="E147" s="7" t="s">
        <v>13</v>
      </c>
      <c r="F147" s="6">
        <v>59809</v>
      </c>
      <c r="G147" s="6">
        <v>0</v>
      </c>
      <c r="H147" s="6">
        <v>2</v>
      </c>
      <c r="I147" s="6">
        <f t="shared" si="2"/>
        <v>2</v>
      </c>
      <c r="J147" s="9">
        <v>41200</v>
      </c>
      <c r="K147" s="6">
        <v>36</v>
      </c>
      <c r="L147">
        <f>VLOOKUP(A147,Marketing_df2!$A$1:$F$2241,3,FALSE)</f>
        <v>16</v>
      </c>
      <c r="M147">
        <f>VLOOKUP(A147,Marketing_df2!$A$1:$F$2241,4,FALSE)</f>
        <v>41</v>
      </c>
      <c r="N147">
        <f>VLOOKUP(A147,Marketing_df2!$A$1:$F$2241,5,FALSE)</f>
        <v>3</v>
      </c>
      <c r="O147">
        <f>VLOOKUP(A147,Marketing_df2!$A$1:$F$2241,6,FALSE)</f>
        <v>6</v>
      </c>
    </row>
    <row r="148" spans="1:15" ht="12.5">
      <c r="A148" s="6">
        <v>146</v>
      </c>
      <c r="B148" s="6">
        <v>10837</v>
      </c>
      <c r="C148" s="6">
        <v>1975</v>
      </c>
      <c r="D148" s="7" t="s">
        <v>9</v>
      </c>
      <c r="E148" s="7" t="s">
        <v>13</v>
      </c>
      <c r="F148" s="6">
        <v>23957</v>
      </c>
      <c r="G148" s="6">
        <v>1</v>
      </c>
      <c r="H148" s="6">
        <v>0</v>
      </c>
      <c r="I148" s="6">
        <f t="shared" si="2"/>
        <v>1</v>
      </c>
      <c r="J148" s="9">
        <v>41210</v>
      </c>
      <c r="K148" s="6">
        <v>47</v>
      </c>
      <c r="L148">
        <f>VLOOKUP(A148,Marketing_df2!$A$1:$F$2241,3,FALSE)</f>
        <v>1</v>
      </c>
      <c r="M148">
        <f>VLOOKUP(A148,Marketing_df2!$A$1:$F$2241,4,FALSE)</f>
        <v>11</v>
      </c>
      <c r="N148">
        <f>VLOOKUP(A148,Marketing_df2!$A$1:$F$2241,5,FALSE)</f>
        <v>2</v>
      </c>
      <c r="O148">
        <f>VLOOKUP(A148,Marketing_df2!$A$1:$F$2241,6,FALSE)</f>
        <v>3</v>
      </c>
    </row>
    <row r="149" spans="1:15" ht="12.5">
      <c r="A149" s="6">
        <v>147</v>
      </c>
      <c r="B149" s="6">
        <v>3120</v>
      </c>
      <c r="C149" s="6">
        <v>1981</v>
      </c>
      <c r="D149" s="7" t="s">
        <v>9</v>
      </c>
      <c r="E149" s="7" t="s">
        <v>11</v>
      </c>
      <c r="F149" s="6">
        <v>38547</v>
      </c>
      <c r="G149" s="6">
        <v>1</v>
      </c>
      <c r="H149" s="6">
        <v>0</v>
      </c>
      <c r="I149" s="6">
        <f t="shared" si="2"/>
        <v>1</v>
      </c>
      <c r="J149" s="8">
        <v>41514</v>
      </c>
      <c r="K149" s="6">
        <v>49</v>
      </c>
      <c r="L149">
        <f>VLOOKUP(A149,Marketing_df2!$A$1:$F$2241,3,FALSE)</f>
        <v>1</v>
      </c>
      <c r="M149">
        <f>VLOOKUP(A149,Marketing_df2!$A$1:$F$2241,4,FALSE)</f>
        <v>1</v>
      </c>
      <c r="N149">
        <f>VLOOKUP(A149,Marketing_df2!$A$1:$F$2241,5,FALSE)</f>
        <v>1</v>
      </c>
      <c r="O149">
        <f>VLOOKUP(A149,Marketing_df2!$A$1:$F$2241,6,FALSE)</f>
        <v>2</v>
      </c>
    </row>
    <row r="150" spans="1:15" ht="12.5">
      <c r="A150" s="6">
        <v>148</v>
      </c>
      <c r="B150" s="6">
        <v>5885</v>
      </c>
      <c r="C150" s="6">
        <v>1973</v>
      </c>
      <c r="D150" s="7" t="s">
        <v>17</v>
      </c>
      <c r="E150" s="7" t="s">
        <v>13</v>
      </c>
      <c r="F150" s="6">
        <v>35688</v>
      </c>
      <c r="G150" s="6">
        <v>2</v>
      </c>
      <c r="H150" s="6">
        <v>1</v>
      </c>
      <c r="I150" s="6">
        <f t="shared" si="2"/>
        <v>3</v>
      </c>
      <c r="J150" s="8">
        <v>41143</v>
      </c>
      <c r="K150" s="6">
        <v>94</v>
      </c>
      <c r="L150">
        <f>VLOOKUP(A150,Marketing_df2!$A$1:$F$2241,3,FALSE)</f>
        <v>3</v>
      </c>
      <c r="M150">
        <f>VLOOKUP(A150,Marketing_df2!$A$1:$F$2241,4,FALSE)</f>
        <v>1</v>
      </c>
      <c r="N150">
        <f>VLOOKUP(A150,Marketing_df2!$A$1:$F$2241,5,FALSE)</f>
        <v>4</v>
      </c>
      <c r="O150">
        <f>VLOOKUP(A150,Marketing_df2!$A$1:$F$2241,6,FALSE)</f>
        <v>4</v>
      </c>
    </row>
    <row r="151" spans="1:15" ht="12.5">
      <c r="A151" s="6">
        <v>149</v>
      </c>
      <c r="B151" s="6">
        <v>4050</v>
      </c>
      <c r="C151" s="6">
        <v>1966</v>
      </c>
      <c r="D151" s="7" t="s">
        <v>14</v>
      </c>
      <c r="E151" s="7" t="s">
        <v>13</v>
      </c>
      <c r="F151" s="6">
        <v>49605</v>
      </c>
      <c r="G151" s="6">
        <v>0</v>
      </c>
      <c r="H151" s="6">
        <v>0</v>
      </c>
      <c r="I151" s="6">
        <f t="shared" si="2"/>
        <v>0</v>
      </c>
      <c r="J151" s="8">
        <v>41811</v>
      </c>
      <c r="K151" s="6">
        <v>65</v>
      </c>
      <c r="L151">
        <f>VLOOKUP(A151,Marketing_df2!$A$1:$F$2241,3,FALSE)</f>
        <v>16</v>
      </c>
      <c r="M151">
        <f>VLOOKUP(A151,Marketing_df2!$A$1:$F$2241,4,FALSE)</f>
        <v>20</v>
      </c>
      <c r="N151">
        <f>VLOOKUP(A151,Marketing_df2!$A$1:$F$2241,5,FALSE)</f>
        <v>2</v>
      </c>
      <c r="O151">
        <f>VLOOKUP(A151,Marketing_df2!$A$1:$F$2241,6,FALSE)</f>
        <v>4</v>
      </c>
    </row>
    <row r="152" spans="1:15" ht="12.5">
      <c r="A152" s="6">
        <v>150</v>
      </c>
      <c r="B152" s="6">
        <v>3830</v>
      </c>
      <c r="C152" s="6">
        <v>1953</v>
      </c>
      <c r="D152" s="7" t="s">
        <v>14</v>
      </c>
      <c r="E152" s="7" t="s">
        <v>13</v>
      </c>
      <c r="F152" s="6">
        <v>59354</v>
      </c>
      <c r="G152" s="6">
        <v>0</v>
      </c>
      <c r="H152" s="6">
        <v>2</v>
      </c>
      <c r="I152" s="6">
        <f t="shared" si="2"/>
        <v>2</v>
      </c>
      <c r="J152" s="8">
        <v>41753</v>
      </c>
      <c r="K152" s="6">
        <v>59</v>
      </c>
      <c r="L152">
        <f>VLOOKUP(A152,Marketing_df2!$A$1:$F$2241,3,FALSE)</f>
        <v>21</v>
      </c>
      <c r="M152">
        <f>VLOOKUP(A152,Marketing_df2!$A$1:$F$2241,4,FALSE)</f>
        <v>13</v>
      </c>
      <c r="N152">
        <f>VLOOKUP(A152,Marketing_df2!$A$1:$F$2241,5,FALSE)</f>
        <v>4</v>
      </c>
      <c r="O152">
        <f>VLOOKUP(A152,Marketing_df2!$A$1:$F$2241,6,FALSE)</f>
        <v>7</v>
      </c>
    </row>
    <row r="153" spans="1:15" ht="12.5">
      <c r="A153" s="6">
        <v>151</v>
      </c>
      <c r="B153" s="6">
        <v>7987</v>
      </c>
      <c r="C153" s="6">
        <v>1969</v>
      </c>
      <c r="D153" s="7" t="s">
        <v>9</v>
      </c>
      <c r="E153" s="7" t="s">
        <v>13</v>
      </c>
      <c r="F153" s="6">
        <v>65747</v>
      </c>
      <c r="G153" s="6">
        <v>0</v>
      </c>
      <c r="H153" s="6">
        <v>1</v>
      </c>
      <c r="I153" s="6">
        <f t="shared" si="2"/>
        <v>1</v>
      </c>
      <c r="J153" s="8">
        <v>41705</v>
      </c>
      <c r="K153" s="6">
        <v>96</v>
      </c>
      <c r="L153">
        <f>VLOOKUP(A153,Marketing_df2!$A$1:$F$2241,3,FALSE)</f>
        <v>17</v>
      </c>
      <c r="M153">
        <f>VLOOKUP(A153,Marketing_df2!$A$1:$F$2241,4,FALSE)</f>
        <v>13</v>
      </c>
      <c r="N153">
        <f>VLOOKUP(A153,Marketing_df2!$A$1:$F$2241,5,FALSE)</f>
        <v>8</v>
      </c>
      <c r="O153">
        <f>VLOOKUP(A153,Marketing_df2!$A$1:$F$2241,6,FALSE)</f>
        <v>6</v>
      </c>
    </row>
    <row r="154" spans="1:15" ht="12.5">
      <c r="A154" s="6">
        <v>152</v>
      </c>
      <c r="B154" s="6">
        <v>7798</v>
      </c>
      <c r="C154" s="6">
        <v>1972</v>
      </c>
      <c r="D154" s="7" t="s">
        <v>17</v>
      </c>
      <c r="E154" s="7" t="s">
        <v>11</v>
      </c>
      <c r="F154" s="6">
        <v>46344</v>
      </c>
      <c r="G154" s="6">
        <v>0</v>
      </c>
      <c r="H154" s="6">
        <v>1</v>
      </c>
      <c r="I154" s="6">
        <f t="shared" si="2"/>
        <v>1</v>
      </c>
      <c r="J154" s="9">
        <v>41257</v>
      </c>
      <c r="K154" s="6">
        <v>28</v>
      </c>
      <c r="L154">
        <f>VLOOKUP(A154,Marketing_df2!$A$1:$F$2241,3,FALSE)</f>
        <v>20</v>
      </c>
      <c r="M154">
        <f>VLOOKUP(A154,Marketing_df2!$A$1:$F$2241,4,FALSE)</f>
        <v>20</v>
      </c>
      <c r="N154">
        <f>VLOOKUP(A154,Marketing_df2!$A$1:$F$2241,5,FALSE)</f>
        <v>7</v>
      </c>
      <c r="O154">
        <f>VLOOKUP(A154,Marketing_df2!$A$1:$F$2241,6,FALSE)</f>
        <v>5</v>
      </c>
    </row>
    <row r="155" spans="1:15" ht="12.5">
      <c r="A155" s="6">
        <v>153</v>
      </c>
      <c r="B155" s="6">
        <v>92</v>
      </c>
      <c r="C155" s="6">
        <v>1988</v>
      </c>
      <c r="D155" s="7" t="s">
        <v>9</v>
      </c>
      <c r="E155" s="7" t="s">
        <v>19</v>
      </c>
      <c r="F155" s="6">
        <v>34176</v>
      </c>
      <c r="G155" s="6">
        <v>1</v>
      </c>
      <c r="H155" s="6">
        <v>0</v>
      </c>
      <c r="I155" s="6">
        <f t="shared" si="2"/>
        <v>1</v>
      </c>
      <c r="J155" s="8">
        <v>41771</v>
      </c>
      <c r="K155" s="6">
        <v>12</v>
      </c>
      <c r="L155">
        <f>VLOOKUP(A155,Marketing_df2!$A$1:$F$2241,3,FALSE)</f>
        <v>7</v>
      </c>
      <c r="M155">
        <f>VLOOKUP(A155,Marketing_df2!$A$1:$F$2241,4,FALSE)</f>
        <v>14</v>
      </c>
      <c r="N155">
        <f>VLOOKUP(A155,Marketing_df2!$A$1:$F$2241,5,FALSE)</f>
        <v>3</v>
      </c>
      <c r="O155">
        <f>VLOOKUP(A155,Marketing_df2!$A$1:$F$2241,6,FALSE)</f>
        <v>4</v>
      </c>
    </row>
    <row r="156" spans="1:15" ht="12.5">
      <c r="A156" s="6">
        <v>154</v>
      </c>
      <c r="B156" s="6">
        <v>7055</v>
      </c>
      <c r="C156" s="6">
        <v>1952</v>
      </c>
      <c r="D156" s="7" t="s">
        <v>12</v>
      </c>
      <c r="E156" s="7" t="s">
        <v>11</v>
      </c>
      <c r="F156" s="6">
        <v>61010</v>
      </c>
      <c r="G156" s="6">
        <v>0</v>
      </c>
      <c r="H156" s="6">
        <v>1</v>
      </c>
      <c r="I156" s="6">
        <f t="shared" si="2"/>
        <v>1</v>
      </c>
      <c r="J156" s="8">
        <v>41191</v>
      </c>
      <c r="K156" s="6">
        <v>57</v>
      </c>
      <c r="L156">
        <f>VLOOKUP(A156,Marketing_df2!$A$1:$F$2241,3,FALSE)</f>
        <v>0</v>
      </c>
      <c r="M156">
        <f>VLOOKUP(A156,Marketing_df2!$A$1:$F$2241,4,FALSE)</f>
        <v>0</v>
      </c>
      <c r="N156">
        <f>VLOOKUP(A156,Marketing_df2!$A$1:$F$2241,5,FALSE)</f>
        <v>8</v>
      </c>
      <c r="O156">
        <f>VLOOKUP(A156,Marketing_df2!$A$1:$F$2241,6,FALSE)</f>
        <v>11</v>
      </c>
    </row>
    <row r="157" spans="1:15" ht="12.5">
      <c r="A157" s="6">
        <v>155</v>
      </c>
      <c r="B157" s="6">
        <v>10240</v>
      </c>
      <c r="C157" s="6">
        <v>1949</v>
      </c>
      <c r="D157" s="7" t="s">
        <v>9</v>
      </c>
      <c r="E157" s="7" t="s">
        <v>11</v>
      </c>
      <c r="F157" s="6">
        <v>69372</v>
      </c>
      <c r="G157" s="6">
        <v>0</v>
      </c>
      <c r="H157" s="6">
        <v>0</v>
      </c>
      <c r="I157" s="6">
        <f t="shared" si="2"/>
        <v>0</v>
      </c>
      <c r="J157" s="8">
        <v>41324</v>
      </c>
      <c r="K157" s="6">
        <v>10</v>
      </c>
      <c r="L157">
        <f>VLOOKUP(A157,Marketing_df2!$A$1:$F$2241,3,FALSE)</f>
        <v>26</v>
      </c>
      <c r="M157">
        <f>VLOOKUP(A157,Marketing_df2!$A$1:$F$2241,4,FALSE)</f>
        <v>13</v>
      </c>
      <c r="N157">
        <f>VLOOKUP(A157,Marketing_df2!$A$1:$F$2241,5,FALSE)</f>
        <v>10</v>
      </c>
      <c r="O157">
        <f>VLOOKUP(A157,Marketing_df2!$A$1:$F$2241,6,FALSE)</f>
        <v>6</v>
      </c>
    </row>
    <row r="158" spans="1:15" ht="12.5">
      <c r="A158" s="6">
        <v>156</v>
      </c>
      <c r="B158" s="6">
        <v>3025</v>
      </c>
      <c r="C158" s="6">
        <v>1958</v>
      </c>
      <c r="D158" s="7" t="s">
        <v>9</v>
      </c>
      <c r="E158" s="7" t="s">
        <v>10</v>
      </c>
      <c r="F158" s="6">
        <v>49967</v>
      </c>
      <c r="G158" s="6">
        <v>0</v>
      </c>
      <c r="H158" s="6">
        <v>1</v>
      </c>
      <c r="I158" s="6">
        <f t="shared" si="2"/>
        <v>1</v>
      </c>
      <c r="J158" s="8">
        <v>41463</v>
      </c>
      <c r="K158" s="6">
        <v>4</v>
      </c>
      <c r="L158">
        <f>VLOOKUP(A158,Marketing_df2!$A$1:$F$2241,3,FALSE)</f>
        <v>6</v>
      </c>
      <c r="M158">
        <f>VLOOKUP(A158,Marketing_df2!$A$1:$F$2241,4,FALSE)</f>
        <v>12</v>
      </c>
      <c r="N158">
        <f>VLOOKUP(A158,Marketing_df2!$A$1:$F$2241,5,FALSE)</f>
        <v>6</v>
      </c>
      <c r="O158">
        <f>VLOOKUP(A158,Marketing_df2!$A$1:$F$2241,6,FALSE)</f>
        <v>5</v>
      </c>
    </row>
    <row r="159" spans="1:15" ht="12.5">
      <c r="A159" s="6">
        <v>157</v>
      </c>
      <c r="B159" s="6">
        <v>9283</v>
      </c>
      <c r="C159" s="6">
        <v>1978</v>
      </c>
      <c r="D159" s="7" t="s">
        <v>9</v>
      </c>
      <c r="E159" s="7" t="s">
        <v>10</v>
      </c>
      <c r="F159" s="6">
        <v>60199</v>
      </c>
      <c r="G159" s="6">
        <v>1</v>
      </c>
      <c r="H159" s="6">
        <v>2</v>
      </c>
      <c r="I159" s="6">
        <f t="shared" si="2"/>
        <v>3</v>
      </c>
      <c r="J159" s="8">
        <v>41529</v>
      </c>
      <c r="K159" s="6">
        <v>49</v>
      </c>
      <c r="L159">
        <f>VLOOKUP(A159,Marketing_df2!$A$1:$F$2241,3,FALSE)</f>
        <v>1</v>
      </c>
      <c r="M159">
        <f>VLOOKUP(A159,Marketing_df2!$A$1:$F$2241,4,FALSE)</f>
        <v>0</v>
      </c>
      <c r="N159">
        <f>VLOOKUP(A159,Marketing_df2!$A$1:$F$2241,5,FALSE)</f>
        <v>0</v>
      </c>
      <c r="O159">
        <f>VLOOKUP(A159,Marketing_df2!$A$1:$F$2241,6,FALSE)</f>
        <v>3</v>
      </c>
    </row>
    <row r="160" spans="1:15" ht="12.5">
      <c r="A160" s="6">
        <v>158</v>
      </c>
      <c r="B160" s="6">
        <v>9970</v>
      </c>
      <c r="C160" s="6">
        <v>1977</v>
      </c>
      <c r="D160" s="7" t="s">
        <v>9</v>
      </c>
      <c r="E160" s="7" t="s">
        <v>11</v>
      </c>
      <c r="F160" s="6">
        <v>55375</v>
      </c>
      <c r="G160" s="6">
        <v>0</v>
      </c>
      <c r="H160" s="6">
        <v>1</v>
      </c>
      <c r="I160" s="6">
        <f t="shared" si="2"/>
        <v>1</v>
      </c>
      <c r="J160" s="9">
        <v>41564</v>
      </c>
      <c r="K160" s="6">
        <v>3</v>
      </c>
      <c r="L160">
        <f>VLOOKUP(A160,Marketing_df2!$A$1:$F$2241,3,FALSE)</f>
        <v>11</v>
      </c>
      <c r="M160">
        <f>VLOOKUP(A160,Marketing_df2!$A$1:$F$2241,4,FALSE)</f>
        <v>28</v>
      </c>
      <c r="N160">
        <f>VLOOKUP(A160,Marketing_df2!$A$1:$F$2241,5,FALSE)</f>
        <v>1</v>
      </c>
      <c r="O160">
        <f>VLOOKUP(A160,Marketing_df2!$A$1:$F$2241,6,FALSE)</f>
        <v>6</v>
      </c>
    </row>
    <row r="161" spans="1:15" ht="12.5">
      <c r="A161" s="6">
        <v>159</v>
      </c>
      <c r="B161" s="6">
        <v>2730</v>
      </c>
      <c r="C161" s="6">
        <v>1955</v>
      </c>
      <c r="D161" s="7" t="s">
        <v>9</v>
      </c>
      <c r="E161" s="7" t="s">
        <v>10</v>
      </c>
      <c r="F161" s="6">
        <v>80317</v>
      </c>
      <c r="G161" s="6">
        <v>0</v>
      </c>
      <c r="H161" s="6">
        <v>0</v>
      </c>
      <c r="I161" s="6">
        <f t="shared" si="2"/>
        <v>0</v>
      </c>
      <c r="J161" s="8">
        <v>41506</v>
      </c>
      <c r="K161" s="6">
        <v>64</v>
      </c>
      <c r="L161">
        <f>VLOOKUP(A161,Marketing_df2!$A$1:$F$2241,3,FALSE)</f>
        <v>11</v>
      </c>
      <c r="M161">
        <f>VLOOKUP(A161,Marketing_df2!$A$1:$F$2241,4,FALSE)</f>
        <v>91</v>
      </c>
      <c r="N161">
        <f>VLOOKUP(A161,Marketing_df2!$A$1:$F$2241,5,FALSE)</f>
        <v>3</v>
      </c>
      <c r="O161">
        <f>VLOOKUP(A161,Marketing_df2!$A$1:$F$2241,6,FALSE)</f>
        <v>10</v>
      </c>
    </row>
    <row r="162" spans="1:15" ht="12.5">
      <c r="A162" s="6">
        <v>160</v>
      </c>
      <c r="B162" s="6">
        <v>2795</v>
      </c>
      <c r="C162" s="6">
        <v>1958</v>
      </c>
      <c r="D162" s="7" t="s">
        <v>14</v>
      </c>
      <c r="E162" s="7" t="s">
        <v>10</v>
      </c>
      <c r="F162" s="6">
        <v>30523</v>
      </c>
      <c r="G162" s="6">
        <v>2</v>
      </c>
      <c r="H162" s="6">
        <v>1</v>
      </c>
      <c r="I162" s="6">
        <f t="shared" si="2"/>
        <v>3</v>
      </c>
      <c r="J162" s="8">
        <v>41456</v>
      </c>
      <c r="K162" s="6">
        <v>0</v>
      </c>
      <c r="L162">
        <f>VLOOKUP(A162,Marketing_df2!$A$1:$F$2241,3,FALSE)</f>
        <v>0</v>
      </c>
      <c r="M162">
        <f>VLOOKUP(A162,Marketing_df2!$A$1:$F$2241,4,FALSE)</f>
        <v>0</v>
      </c>
      <c r="N162">
        <f>VLOOKUP(A162,Marketing_df2!$A$1:$F$2241,5,FALSE)</f>
        <v>1</v>
      </c>
      <c r="O162">
        <f>VLOOKUP(A162,Marketing_df2!$A$1:$F$2241,6,FALSE)</f>
        <v>2</v>
      </c>
    </row>
    <row r="163" spans="1:15" ht="12.5">
      <c r="A163" s="6">
        <v>161</v>
      </c>
      <c r="B163" s="6">
        <v>9260</v>
      </c>
      <c r="C163" s="6">
        <v>1945</v>
      </c>
      <c r="D163" s="7" t="s">
        <v>12</v>
      </c>
      <c r="E163" s="7" t="s">
        <v>13</v>
      </c>
      <c r="F163" s="6">
        <v>70356</v>
      </c>
      <c r="G163" s="6">
        <v>0</v>
      </c>
      <c r="H163" s="6">
        <v>0</v>
      </c>
      <c r="I163" s="6">
        <f t="shared" si="2"/>
        <v>0</v>
      </c>
      <c r="J163" s="8">
        <v>41218</v>
      </c>
      <c r="K163" s="6">
        <v>20</v>
      </c>
      <c r="L163">
        <f>VLOOKUP(A163,Marketing_df2!$A$1:$F$2241,3,FALSE)</f>
        <v>16</v>
      </c>
      <c r="M163">
        <f>VLOOKUP(A163,Marketing_df2!$A$1:$F$2241,4,FALSE)</f>
        <v>16</v>
      </c>
      <c r="N163">
        <f>VLOOKUP(A163,Marketing_df2!$A$1:$F$2241,5,FALSE)</f>
        <v>10</v>
      </c>
      <c r="O163">
        <f>VLOOKUP(A163,Marketing_df2!$A$1:$F$2241,6,FALSE)</f>
        <v>9</v>
      </c>
    </row>
    <row r="164" spans="1:15" ht="12.5">
      <c r="A164" s="6">
        <v>162</v>
      </c>
      <c r="B164" s="6">
        <v>8182</v>
      </c>
      <c r="C164" s="6">
        <v>1984</v>
      </c>
      <c r="D164" s="7" t="s">
        <v>9</v>
      </c>
      <c r="E164" s="7" t="s">
        <v>13</v>
      </c>
      <c r="F164" s="6">
        <v>23228</v>
      </c>
      <c r="G164" s="6">
        <v>1</v>
      </c>
      <c r="H164" s="6">
        <v>0</v>
      </c>
      <c r="I164" s="6">
        <f t="shared" si="2"/>
        <v>1</v>
      </c>
      <c r="J164" s="8">
        <v>41644</v>
      </c>
      <c r="K164" s="6">
        <v>91</v>
      </c>
      <c r="L164">
        <f>VLOOKUP(A164,Marketing_df2!$A$1:$F$2241,3,FALSE)</f>
        <v>3</v>
      </c>
      <c r="M164">
        <f>VLOOKUP(A164,Marketing_df2!$A$1:$F$2241,4,FALSE)</f>
        <v>4</v>
      </c>
      <c r="N164">
        <f>VLOOKUP(A164,Marketing_df2!$A$1:$F$2241,5,FALSE)</f>
        <v>3</v>
      </c>
      <c r="O164">
        <f>VLOOKUP(A164,Marketing_df2!$A$1:$F$2241,6,FALSE)</f>
        <v>4</v>
      </c>
    </row>
    <row r="165" spans="1:15" ht="12.5">
      <c r="A165" s="6">
        <v>163</v>
      </c>
      <c r="B165" s="6">
        <v>10095</v>
      </c>
      <c r="C165" s="6">
        <v>1975</v>
      </c>
      <c r="D165" s="7" t="s">
        <v>12</v>
      </c>
      <c r="E165" s="7" t="s">
        <v>15</v>
      </c>
      <c r="F165" s="6">
        <v>74165</v>
      </c>
      <c r="G165" s="6">
        <v>0</v>
      </c>
      <c r="H165" s="6">
        <v>0</v>
      </c>
      <c r="I165" s="6">
        <f t="shared" si="2"/>
        <v>0</v>
      </c>
      <c r="J165" s="8">
        <v>41395</v>
      </c>
      <c r="K165" s="6">
        <v>9</v>
      </c>
      <c r="L165">
        <f>VLOOKUP(A165,Marketing_df2!$A$1:$F$2241,3,FALSE)</f>
        <v>12</v>
      </c>
      <c r="M165">
        <f>VLOOKUP(A165,Marketing_df2!$A$1:$F$2241,4,FALSE)</f>
        <v>12</v>
      </c>
      <c r="N165">
        <f>VLOOKUP(A165,Marketing_df2!$A$1:$F$2241,5,FALSE)</f>
        <v>5</v>
      </c>
      <c r="O165">
        <f>VLOOKUP(A165,Marketing_df2!$A$1:$F$2241,6,FALSE)</f>
        <v>10</v>
      </c>
    </row>
    <row r="166" spans="1:15" ht="12.5">
      <c r="A166" s="6">
        <v>164</v>
      </c>
      <c r="B166" s="6">
        <v>8475</v>
      </c>
      <c r="C166" s="6">
        <v>1973</v>
      </c>
      <c r="D166" s="7" t="s">
        <v>12</v>
      </c>
      <c r="E166" s="7" t="s">
        <v>13</v>
      </c>
      <c r="F166" s="6">
        <v>157243</v>
      </c>
      <c r="G166" s="6">
        <v>0</v>
      </c>
      <c r="H166" s="6">
        <v>1</v>
      </c>
      <c r="I166" s="6">
        <f t="shared" si="2"/>
        <v>1</v>
      </c>
      <c r="J166" s="8">
        <v>41699</v>
      </c>
      <c r="K166" s="6">
        <v>98</v>
      </c>
      <c r="L166">
        <f>VLOOKUP(A166,Marketing_df2!$A$1:$F$2241,3,FALSE)</f>
        <v>2</v>
      </c>
      <c r="M166">
        <f>VLOOKUP(A166,Marketing_df2!$A$1:$F$2241,4,FALSE)</f>
        <v>2</v>
      </c>
      <c r="N166">
        <f>VLOOKUP(A166,Marketing_df2!$A$1:$F$2241,5,FALSE)</f>
        <v>0</v>
      </c>
      <c r="O166">
        <f>VLOOKUP(A166,Marketing_df2!$A$1:$F$2241,6,FALSE)</f>
        <v>0</v>
      </c>
    </row>
    <row r="167" spans="1:15" ht="12.5">
      <c r="A167" s="6">
        <v>165</v>
      </c>
      <c r="B167" s="6">
        <v>4370</v>
      </c>
      <c r="C167" s="6">
        <v>1966</v>
      </c>
      <c r="D167" s="7" t="s">
        <v>9</v>
      </c>
      <c r="E167" s="7" t="s">
        <v>11</v>
      </c>
      <c r="F167" s="6">
        <v>43482</v>
      </c>
      <c r="G167" s="6">
        <v>2</v>
      </c>
      <c r="H167" s="6">
        <v>1</v>
      </c>
      <c r="I167" s="6">
        <f t="shared" si="2"/>
        <v>3</v>
      </c>
      <c r="J167" s="9">
        <v>41591</v>
      </c>
      <c r="K167" s="6">
        <v>83</v>
      </c>
      <c r="L167">
        <f>VLOOKUP(A167,Marketing_df2!$A$1:$F$2241,3,FALSE)</f>
        <v>1</v>
      </c>
      <c r="M167">
        <f>VLOOKUP(A167,Marketing_df2!$A$1:$F$2241,4,FALSE)</f>
        <v>3</v>
      </c>
      <c r="N167">
        <f>VLOOKUP(A167,Marketing_df2!$A$1:$F$2241,5,FALSE)</f>
        <v>2</v>
      </c>
      <c r="O167">
        <f>VLOOKUP(A167,Marketing_df2!$A$1:$F$2241,6,FALSE)</f>
        <v>4</v>
      </c>
    </row>
    <row r="168" spans="1:15" ht="12.5">
      <c r="A168" s="6">
        <v>166</v>
      </c>
      <c r="B168" s="6">
        <v>10573</v>
      </c>
      <c r="C168" s="6">
        <v>1953</v>
      </c>
      <c r="D168" s="7" t="s">
        <v>9</v>
      </c>
      <c r="E168" s="7" t="s">
        <v>15</v>
      </c>
      <c r="F168" s="6">
        <v>62551</v>
      </c>
      <c r="G168" s="6">
        <v>0</v>
      </c>
      <c r="H168" s="6">
        <v>0</v>
      </c>
      <c r="I168" s="6">
        <f t="shared" si="2"/>
        <v>0</v>
      </c>
      <c r="J168" s="9">
        <v>41596</v>
      </c>
      <c r="K168" s="6">
        <v>27</v>
      </c>
      <c r="L168">
        <f>VLOOKUP(A168,Marketing_df2!$A$1:$F$2241,3,FALSE)</f>
        <v>16</v>
      </c>
      <c r="M168">
        <f>VLOOKUP(A168,Marketing_df2!$A$1:$F$2241,4,FALSE)</f>
        <v>21</v>
      </c>
      <c r="N168">
        <f>VLOOKUP(A168,Marketing_df2!$A$1:$F$2241,5,FALSE)</f>
        <v>6</v>
      </c>
      <c r="O168">
        <f>VLOOKUP(A168,Marketing_df2!$A$1:$F$2241,6,FALSE)</f>
        <v>4</v>
      </c>
    </row>
    <row r="169" spans="1:15" ht="12.5">
      <c r="A169" s="6">
        <v>167</v>
      </c>
      <c r="B169" s="6">
        <v>3712</v>
      </c>
      <c r="C169" s="6">
        <v>1959</v>
      </c>
      <c r="D169" s="7" t="s">
        <v>9</v>
      </c>
      <c r="E169" s="7" t="s">
        <v>15</v>
      </c>
      <c r="F169" s="6">
        <v>52332</v>
      </c>
      <c r="G169" s="6">
        <v>0</v>
      </c>
      <c r="H169" s="6">
        <v>0</v>
      </c>
      <c r="I169" s="6">
        <f t="shared" si="2"/>
        <v>0</v>
      </c>
      <c r="J169" s="8">
        <v>41514</v>
      </c>
      <c r="K169" s="6">
        <v>63</v>
      </c>
      <c r="L169">
        <f>VLOOKUP(A169,Marketing_df2!$A$1:$F$2241,3,FALSE)</f>
        <v>5</v>
      </c>
      <c r="M169">
        <f>VLOOKUP(A169,Marketing_df2!$A$1:$F$2241,4,FALSE)</f>
        <v>0</v>
      </c>
      <c r="N169">
        <f>VLOOKUP(A169,Marketing_df2!$A$1:$F$2241,5,FALSE)</f>
        <v>3</v>
      </c>
      <c r="O169">
        <f>VLOOKUP(A169,Marketing_df2!$A$1:$F$2241,6,FALSE)</f>
        <v>6</v>
      </c>
    </row>
    <row r="170" spans="1:15" ht="12.5">
      <c r="A170" s="6">
        <v>168</v>
      </c>
      <c r="B170" s="6">
        <v>6637</v>
      </c>
      <c r="C170" s="6">
        <v>1988</v>
      </c>
      <c r="D170" s="7" t="s">
        <v>9</v>
      </c>
      <c r="E170" s="7" t="s">
        <v>10</v>
      </c>
      <c r="F170" s="6">
        <v>66951</v>
      </c>
      <c r="G170" s="6">
        <v>0</v>
      </c>
      <c r="H170" s="6">
        <v>0</v>
      </c>
      <c r="I170" s="6">
        <f t="shared" si="2"/>
        <v>0</v>
      </c>
      <c r="J170" s="8">
        <v>41580</v>
      </c>
      <c r="K170" s="6">
        <v>46</v>
      </c>
      <c r="L170">
        <f>VLOOKUP(A170,Marketing_df2!$A$1:$F$2241,3,FALSE)</f>
        <v>162</v>
      </c>
      <c r="M170">
        <f>VLOOKUP(A170,Marketing_df2!$A$1:$F$2241,4,FALSE)</f>
        <v>76</v>
      </c>
      <c r="N170">
        <f>VLOOKUP(A170,Marketing_df2!$A$1:$F$2241,5,FALSE)</f>
        <v>3</v>
      </c>
      <c r="O170">
        <f>VLOOKUP(A170,Marketing_df2!$A$1:$F$2241,6,FALSE)</f>
        <v>7</v>
      </c>
    </row>
    <row r="171" spans="1:15" ht="12.5">
      <c r="A171" s="6">
        <v>169</v>
      </c>
      <c r="B171" s="6">
        <v>3152</v>
      </c>
      <c r="C171" s="6">
        <v>1957</v>
      </c>
      <c r="D171" s="7" t="s">
        <v>9</v>
      </c>
      <c r="E171" s="7" t="s">
        <v>11</v>
      </c>
      <c r="F171" s="6">
        <v>26091</v>
      </c>
      <c r="G171" s="6">
        <v>1</v>
      </c>
      <c r="H171" s="6">
        <v>1</v>
      </c>
      <c r="I171" s="6">
        <f t="shared" si="2"/>
        <v>2</v>
      </c>
      <c r="J171" s="8">
        <v>41695</v>
      </c>
      <c r="K171" s="6">
        <v>84</v>
      </c>
      <c r="L171">
        <f>VLOOKUP(A171,Marketing_df2!$A$1:$F$2241,3,FALSE)</f>
        <v>10</v>
      </c>
      <c r="M171">
        <f>VLOOKUP(A171,Marketing_df2!$A$1:$F$2241,4,FALSE)</f>
        <v>17</v>
      </c>
      <c r="N171">
        <f>VLOOKUP(A171,Marketing_df2!$A$1:$F$2241,5,FALSE)</f>
        <v>2</v>
      </c>
      <c r="O171">
        <f>VLOOKUP(A171,Marketing_df2!$A$1:$F$2241,6,FALSE)</f>
        <v>3</v>
      </c>
    </row>
    <row r="172" spans="1:15" ht="12.5">
      <c r="A172" s="6">
        <v>170</v>
      </c>
      <c r="B172" s="6">
        <v>5610</v>
      </c>
      <c r="C172" s="6">
        <v>1965</v>
      </c>
      <c r="D172" s="7" t="s">
        <v>9</v>
      </c>
      <c r="E172" s="7" t="s">
        <v>11</v>
      </c>
      <c r="F172" s="6">
        <v>33456</v>
      </c>
      <c r="G172" s="6">
        <v>1</v>
      </c>
      <c r="H172" s="6">
        <v>1</v>
      </c>
      <c r="I172" s="6">
        <f t="shared" si="2"/>
        <v>2</v>
      </c>
      <c r="J172" s="8">
        <v>41750</v>
      </c>
      <c r="K172" s="6">
        <v>58</v>
      </c>
      <c r="L172">
        <f>VLOOKUP(A172,Marketing_df2!$A$1:$F$2241,3,FALSE)</f>
        <v>3</v>
      </c>
      <c r="M172">
        <f>VLOOKUP(A172,Marketing_df2!$A$1:$F$2241,4,FALSE)</f>
        <v>1</v>
      </c>
      <c r="N172">
        <f>VLOOKUP(A172,Marketing_df2!$A$1:$F$2241,5,FALSE)</f>
        <v>1</v>
      </c>
      <c r="O172">
        <f>VLOOKUP(A172,Marketing_df2!$A$1:$F$2241,6,FALSE)</f>
        <v>3</v>
      </c>
    </row>
    <row r="173" spans="1:15" ht="12.5">
      <c r="A173" s="6">
        <v>171</v>
      </c>
      <c r="B173" s="6">
        <v>6460</v>
      </c>
      <c r="C173" s="6">
        <v>1982</v>
      </c>
      <c r="D173" s="7" t="s">
        <v>9</v>
      </c>
      <c r="E173" s="7" t="s">
        <v>13</v>
      </c>
      <c r="F173" s="6">
        <v>28718</v>
      </c>
      <c r="G173" s="6">
        <v>1</v>
      </c>
      <c r="H173" s="6">
        <v>0</v>
      </c>
      <c r="I173" s="6">
        <f t="shared" si="2"/>
        <v>1</v>
      </c>
      <c r="J173" s="8">
        <v>41468</v>
      </c>
      <c r="K173" s="6">
        <v>78</v>
      </c>
      <c r="L173">
        <f>VLOOKUP(A173,Marketing_df2!$A$1:$F$2241,3,FALSE)</f>
        <v>4</v>
      </c>
      <c r="M173">
        <f>VLOOKUP(A173,Marketing_df2!$A$1:$F$2241,4,FALSE)</f>
        <v>8</v>
      </c>
      <c r="N173">
        <f>VLOOKUP(A173,Marketing_df2!$A$1:$F$2241,5,FALSE)</f>
        <v>2</v>
      </c>
      <c r="O173">
        <f>VLOOKUP(A173,Marketing_df2!$A$1:$F$2241,6,FALSE)</f>
        <v>3</v>
      </c>
    </row>
    <row r="174" spans="1:15" ht="12.5">
      <c r="A174" s="6">
        <v>172</v>
      </c>
      <c r="B174" s="6">
        <v>1349</v>
      </c>
      <c r="C174" s="6">
        <v>1970</v>
      </c>
      <c r="D174" s="7" t="s">
        <v>9</v>
      </c>
      <c r="E174" s="7" t="s">
        <v>13</v>
      </c>
      <c r="F174" s="6">
        <v>50447</v>
      </c>
      <c r="G174" s="6">
        <v>2</v>
      </c>
      <c r="H174" s="6">
        <v>0</v>
      </c>
      <c r="I174" s="6">
        <f t="shared" si="2"/>
        <v>2</v>
      </c>
      <c r="J174" s="8">
        <v>41750</v>
      </c>
      <c r="K174" s="6">
        <v>4</v>
      </c>
      <c r="L174">
        <f>VLOOKUP(A174,Marketing_df2!$A$1:$F$2241,3,FALSE)</f>
        <v>7</v>
      </c>
      <c r="M174">
        <f>VLOOKUP(A174,Marketing_df2!$A$1:$F$2241,4,FALSE)</f>
        <v>3</v>
      </c>
      <c r="N174">
        <f>VLOOKUP(A174,Marketing_df2!$A$1:$F$2241,5,FALSE)</f>
        <v>3</v>
      </c>
      <c r="O174">
        <f>VLOOKUP(A174,Marketing_df2!$A$1:$F$2241,6,FALSE)</f>
        <v>3</v>
      </c>
    </row>
    <row r="175" spans="1:15" ht="12.5">
      <c r="A175" s="6">
        <v>173</v>
      </c>
      <c r="B175" s="6">
        <v>1880</v>
      </c>
      <c r="C175" s="6">
        <v>1959</v>
      </c>
      <c r="D175" s="7" t="s">
        <v>12</v>
      </c>
      <c r="E175" s="7" t="s">
        <v>11</v>
      </c>
      <c r="F175" s="6">
        <v>53537</v>
      </c>
      <c r="G175" s="6">
        <v>1</v>
      </c>
      <c r="H175" s="6">
        <v>1</v>
      </c>
      <c r="I175" s="6">
        <f t="shared" si="2"/>
        <v>2</v>
      </c>
      <c r="J175" s="8">
        <v>41669</v>
      </c>
      <c r="K175" s="6">
        <v>17</v>
      </c>
      <c r="L175">
        <f>VLOOKUP(A175,Marketing_df2!$A$1:$F$2241,3,FALSE)</f>
        <v>0</v>
      </c>
      <c r="M175">
        <f>VLOOKUP(A175,Marketing_df2!$A$1:$F$2241,4,FALSE)</f>
        <v>0</v>
      </c>
      <c r="N175">
        <f>VLOOKUP(A175,Marketing_df2!$A$1:$F$2241,5,FALSE)</f>
        <v>2</v>
      </c>
      <c r="O175">
        <f>VLOOKUP(A175,Marketing_df2!$A$1:$F$2241,6,FALSE)</f>
        <v>3</v>
      </c>
    </row>
    <row r="176" spans="1:15" ht="12.5">
      <c r="A176" s="6">
        <v>174</v>
      </c>
      <c r="B176" s="6">
        <v>641</v>
      </c>
      <c r="C176" s="6">
        <v>1967</v>
      </c>
      <c r="D176" s="7" t="s">
        <v>9</v>
      </c>
      <c r="E176" s="7" t="s">
        <v>10</v>
      </c>
      <c r="F176" s="6">
        <v>52074</v>
      </c>
      <c r="G176" s="6">
        <v>0</v>
      </c>
      <c r="H176" s="6">
        <v>1</v>
      </c>
      <c r="I176" s="6">
        <f t="shared" si="2"/>
        <v>1</v>
      </c>
      <c r="J176" s="8">
        <v>41733</v>
      </c>
      <c r="K176" s="6">
        <v>77</v>
      </c>
      <c r="L176">
        <f>VLOOKUP(A176,Marketing_df2!$A$1:$F$2241,3,FALSE)</f>
        <v>0</v>
      </c>
      <c r="M176">
        <f>VLOOKUP(A176,Marketing_df2!$A$1:$F$2241,4,FALSE)</f>
        <v>0</v>
      </c>
      <c r="N176">
        <f>VLOOKUP(A176,Marketing_df2!$A$1:$F$2241,5,FALSE)</f>
        <v>2</v>
      </c>
      <c r="O176">
        <f>VLOOKUP(A176,Marketing_df2!$A$1:$F$2241,6,FALSE)</f>
        <v>2</v>
      </c>
    </row>
    <row r="177" spans="1:15" ht="12.5">
      <c r="A177" s="6">
        <v>175</v>
      </c>
      <c r="B177" s="6">
        <v>8717</v>
      </c>
      <c r="C177" s="6">
        <v>1975</v>
      </c>
      <c r="D177" s="7" t="s">
        <v>12</v>
      </c>
      <c r="E177" s="7" t="s">
        <v>13</v>
      </c>
      <c r="F177" s="6">
        <v>80427</v>
      </c>
      <c r="G177" s="6">
        <v>0</v>
      </c>
      <c r="H177" s="6">
        <v>1</v>
      </c>
      <c r="I177" s="6">
        <f t="shared" si="2"/>
        <v>1</v>
      </c>
      <c r="J177" s="8">
        <v>41164</v>
      </c>
      <c r="K177" s="6">
        <v>56</v>
      </c>
      <c r="L177">
        <f>VLOOKUP(A177,Marketing_df2!$A$1:$F$2241,3,FALSE)</f>
        <v>71</v>
      </c>
      <c r="M177">
        <f>VLOOKUP(A177,Marketing_df2!$A$1:$F$2241,4,FALSE)</f>
        <v>71</v>
      </c>
      <c r="N177">
        <f>VLOOKUP(A177,Marketing_df2!$A$1:$F$2241,5,FALSE)</f>
        <v>11</v>
      </c>
      <c r="O177">
        <f>VLOOKUP(A177,Marketing_df2!$A$1:$F$2241,6,FALSE)</f>
        <v>8</v>
      </c>
    </row>
    <row r="178" spans="1:15" ht="12.5">
      <c r="A178" s="6">
        <v>176</v>
      </c>
      <c r="B178" s="6">
        <v>10314</v>
      </c>
      <c r="C178" s="6">
        <v>1948</v>
      </c>
      <c r="D178" s="7" t="s">
        <v>12</v>
      </c>
      <c r="E178" s="7" t="s">
        <v>13</v>
      </c>
      <c r="F178" s="6">
        <v>83837</v>
      </c>
      <c r="G178" s="6">
        <v>0</v>
      </c>
      <c r="H178" s="6">
        <v>0</v>
      </c>
      <c r="I178" s="6">
        <f t="shared" si="2"/>
        <v>0</v>
      </c>
      <c r="J178" s="9">
        <v>41259</v>
      </c>
      <c r="K178" s="6">
        <v>79</v>
      </c>
      <c r="L178">
        <f>VLOOKUP(A178,Marketing_df2!$A$1:$F$2241,3,FALSE)</f>
        <v>66</v>
      </c>
      <c r="M178">
        <f>VLOOKUP(A178,Marketing_df2!$A$1:$F$2241,4,FALSE)</f>
        <v>89</v>
      </c>
      <c r="N178">
        <f>VLOOKUP(A178,Marketing_df2!$A$1:$F$2241,5,FALSE)</f>
        <v>9</v>
      </c>
      <c r="O178">
        <f>VLOOKUP(A178,Marketing_df2!$A$1:$F$2241,6,FALSE)</f>
        <v>5</v>
      </c>
    </row>
    <row r="179" spans="1:15" ht="12.5">
      <c r="A179" s="6">
        <v>177</v>
      </c>
      <c r="B179" s="6">
        <v>10854</v>
      </c>
      <c r="C179" s="6">
        <v>1970</v>
      </c>
      <c r="D179" s="7" t="s">
        <v>12</v>
      </c>
      <c r="E179" s="7" t="s">
        <v>13</v>
      </c>
      <c r="F179" s="6">
        <v>38853</v>
      </c>
      <c r="G179" s="6">
        <v>1</v>
      </c>
      <c r="H179" s="6">
        <v>1</v>
      </c>
      <c r="I179" s="6">
        <f t="shared" si="2"/>
        <v>2</v>
      </c>
      <c r="J179" s="8">
        <v>41782</v>
      </c>
      <c r="K179" s="6">
        <v>90</v>
      </c>
      <c r="L179">
        <f>VLOOKUP(A179,Marketing_df2!$A$1:$F$2241,3,FALSE)</f>
        <v>0</v>
      </c>
      <c r="M179">
        <f>VLOOKUP(A179,Marketing_df2!$A$1:$F$2241,4,FALSE)</f>
        <v>0</v>
      </c>
      <c r="N179">
        <f>VLOOKUP(A179,Marketing_df2!$A$1:$F$2241,5,FALSE)</f>
        <v>2</v>
      </c>
      <c r="O179">
        <f>VLOOKUP(A179,Marketing_df2!$A$1:$F$2241,6,FALSE)</f>
        <v>3</v>
      </c>
    </row>
    <row r="180" spans="1:15" ht="12.5">
      <c r="A180" s="6">
        <v>178</v>
      </c>
      <c r="B180" s="6">
        <v>10492</v>
      </c>
      <c r="C180" s="6">
        <v>1959</v>
      </c>
      <c r="D180" s="7" t="s">
        <v>9</v>
      </c>
      <c r="E180" s="7" t="s">
        <v>11</v>
      </c>
      <c r="F180" s="6">
        <v>38285</v>
      </c>
      <c r="G180" s="6">
        <v>2</v>
      </c>
      <c r="H180" s="6">
        <v>1</v>
      </c>
      <c r="I180" s="6">
        <f t="shared" si="2"/>
        <v>3</v>
      </c>
      <c r="J180" s="8">
        <v>41814</v>
      </c>
      <c r="K180" s="6">
        <v>96</v>
      </c>
      <c r="L180">
        <f>VLOOKUP(A180,Marketing_df2!$A$1:$F$2241,3,FALSE)</f>
        <v>0</v>
      </c>
      <c r="M180">
        <f>VLOOKUP(A180,Marketing_df2!$A$1:$F$2241,4,FALSE)</f>
        <v>0</v>
      </c>
      <c r="N180">
        <f>VLOOKUP(A180,Marketing_df2!$A$1:$F$2241,5,FALSE)</f>
        <v>0</v>
      </c>
      <c r="O180">
        <f>VLOOKUP(A180,Marketing_df2!$A$1:$F$2241,6,FALSE)</f>
        <v>3</v>
      </c>
    </row>
    <row r="181" spans="1:15" ht="12.5">
      <c r="A181" s="6">
        <v>179</v>
      </c>
      <c r="B181" s="6">
        <v>6935</v>
      </c>
      <c r="C181" s="6">
        <v>1951</v>
      </c>
      <c r="D181" s="7" t="s">
        <v>17</v>
      </c>
      <c r="E181" s="7" t="s">
        <v>13</v>
      </c>
      <c r="F181" s="6">
        <v>78497</v>
      </c>
      <c r="G181" s="6">
        <v>0</v>
      </c>
      <c r="H181" s="6">
        <v>0</v>
      </c>
      <c r="I181" s="6">
        <f t="shared" si="2"/>
        <v>0</v>
      </c>
      <c r="J181" s="8">
        <v>41609</v>
      </c>
      <c r="K181" s="6">
        <v>44</v>
      </c>
      <c r="L181">
        <f>VLOOKUP(A181,Marketing_df2!$A$1:$F$2241,3,FALSE)</f>
        <v>26</v>
      </c>
      <c r="M181">
        <f>VLOOKUP(A181,Marketing_df2!$A$1:$F$2241,4,FALSE)</f>
        <v>0</v>
      </c>
      <c r="N181">
        <f>VLOOKUP(A181,Marketing_df2!$A$1:$F$2241,5,FALSE)</f>
        <v>5</v>
      </c>
      <c r="O181">
        <f>VLOOKUP(A181,Marketing_df2!$A$1:$F$2241,6,FALSE)</f>
        <v>12</v>
      </c>
    </row>
    <row r="182" spans="1:15" ht="12.5">
      <c r="A182" s="6">
        <v>180</v>
      </c>
      <c r="B182" s="6">
        <v>7698</v>
      </c>
      <c r="C182" s="6">
        <v>1976</v>
      </c>
      <c r="D182" s="7" t="s">
        <v>12</v>
      </c>
      <c r="E182" s="7" t="s">
        <v>13</v>
      </c>
      <c r="F182" s="6">
        <v>51650</v>
      </c>
      <c r="G182" s="6">
        <v>0</v>
      </c>
      <c r="H182" s="6">
        <v>1</v>
      </c>
      <c r="I182" s="6">
        <f t="shared" si="2"/>
        <v>1</v>
      </c>
      <c r="J182" s="8">
        <v>41770</v>
      </c>
      <c r="K182" s="6">
        <v>81</v>
      </c>
      <c r="L182">
        <f>VLOOKUP(A182,Marketing_df2!$A$1:$F$2241,3,FALSE)</f>
        <v>3</v>
      </c>
      <c r="M182">
        <f>VLOOKUP(A182,Marketing_df2!$A$1:$F$2241,4,FALSE)</f>
        <v>5</v>
      </c>
      <c r="N182">
        <f>VLOOKUP(A182,Marketing_df2!$A$1:$F$2241,5,FALSE)</f>
        <v>4</v>
      </c>
      <c r="O182">
        <f>VLOOKUP(A182,Marketing_df2!$A$1:$F$2241,6,FALSE)</f>
        <v>4</v>
      </c>
    </row>
    <row r="183" spans="1:15" ht="12.5">
      <c r="A183" s="6">
        <v>181</v>
      </c>
      <c r="B183" s="6">
        <v>3559</v>
      </c>
      <c r="C183" s="6">
        <v>1988</v>
      </c>
      <c r="D183" s="7" t="s">
        <v>17</v>
      </c>
      <c r="E183" s="7" t="s">
        <v>13</v>
      </c>
      <c r="F183" s="6">
        <v>16248</v>
      </c>
      <c r="G183" s="6">
        <v>1</v>
      </c>
      <c r="H183" s="6">
        <v>0</v>
      </c>
      <c r="I183" s="6">
        <f t="shared" si="2"/>
        <v>1</v>
      </c>
      <c r="J183" s="8">
        <v>41769</v>
      </c>
      <c r="K183" s="6">
        <v>77</v>
      </c>
      <c r="L183">
        <f>VLOOKUP(A183,Marketing_df2!$A$1:$F$2241,3,FALSE)</f>
        <v>11</v>
      </c>
      <c r="M183">
        <f>VLOOKUP(A183,Marketing_df2!$A$1:$F$2241,4,FALSE)</f>
        <v>12</v>
      </c>
      <c r="N183">
        <f>VLOOKUP(A183,Marketing_df2!$A$1:$F$2241,5,FALSE)</f>
        <v>2</v>
      </c>
      <c r="O183">
        <f>VLOOKUP(A183,Marketing_df2!$A$1:$F$2241,6,FALSE)</f>
        <v>3</v>
      </c>
    </row>
    <row r="184" spans="1:15" ht="12.5">
      <c r="A184" s="6">
        <v>182</v>
      </c>
      <c r="B184" s="6">
        <v>10562</v>
      </c>
      <c r="C184" s="6">
        <v>1946</v>
      </c>
      <c r="D184" s="7" t="s">
        <v>14</v>
      </c>
      <c r="E184" s="7" t="s">
        <v>13</v>
      </c>
      <c r="F184" s="6">
        <v>66835</v>
      </c>
      <c r="G184" s="6">
        <v>0</v>
      </c>
      <c r="H184" s="6">
        <v>0</v>
      </c>
      <c r="I184" s="6">
        <f t="shared" si="2"/>
        <v>0</v>
      </c>
      <c r="J184" s="8">
        <v>41545</v>
      </c>
      <c r="K184" s="6">
        <v>21</v>
      </c>
      <c r="L184">
        <f>VLOOKUP(A184,Marketing_df2!$A$1:$F$2241,3,FALSE)</f>
        <v>26</v>
      </c>
      <c r="M184">
        <f>VLOOKUP(A184,Marketing_df2!$A$1:$F$2241,4,FALSE)</f>
        <v>17</v>
      </c>
      <c r="N184">
        <f>VLOOKUP(A184,Marketing_df2!$A$1:$F$2241,5,FALSE)</f>
        <v>6</v>
      </c>
      <c r="O184">
        <f>VLOOKUP(A184,Marketing_df2!$A$1:$F$2241,6,FALSE)</f>
        <v>13</v>
      </c>
    </row>
    <row r="185" spans="1:15" ht="12.5">
      <c r="A185" s="6">
        <v>183</v>
      </c>
      <c r="B185" s="6">
        <v>10796</v>
      </c>
      <c r="C185" s="6">
        <v>1984</v>
      </c>
      <c r="D185" s="7" t="s">
        <v>14</v>
      </c>
      <c r="E185" s="7" t="s">
        <v>13</v>
      </c>
      <c r="F185" s="6">
        <v>30477</v>
      </c>
      <c r="G185" s="6">
        <v>1</v>
      </c>
      <c r="H185" s="6">
        <v>0</v>
      </c>
      <c r="I185" s="6">
        <f t="shared" si="2"/>
        <v>1</v>
      </c>
      <c r="J185" s="8">
        <v>41661</v>
      </c>
      <c r="K185" s="6">
        <v>16</v>
      </c>
      <c r="L185">
        <f>VLOOKUP(A185,Marketing_df2!$A$1:$F$2241,3,FALSE)</f>
        <v>1</v>
      </c>
      <c r="M185">
        <f>VLOOKUP(A185,Marketing_df2!$A$1:$F$2241,4,FALSE)</f>
        <v>0</v>
      </c>
      <c r="N185">
        <f>VLOOKUP(A185,Marketing_df2!$A$1:$F$2241,5,FALSE)</f>
        <v>1</v>
      </c>
      <c r="O185">
        <f>VLOOKUP(A185,Marketing_df2!$A$1:$F$2241,6,FALSE)</f>
        <v>3</v>
      </c>
    </row>
    <row r="186" spans="1:15" ht="12.5">
      <c r="A186" s="6">
        <v>184</v>
      </c>
      <c r="B186" s="6">
        <v>2563</v>
      </c>
      <c r="C186" s="6">
        <v>1961</v>
      </c>
      <c r="D186" s="7" t="s">
        <v>16</v>
      </c>
      <c r="E186" s="7" t="s">
        <v>13</v>
      </c>
      <c r="F186" s="6">
        <v>28249</v>
      </c>
      <c r="G186" s="6">
        <v>0</v>
      </c>
      <c r="H186" s="6">
        <v>0</v>
      </c>
      <c r="I186" s="6">
        <f t="shared" si="2"/>
        <v>0</v>
      </c>
      <c r="J186" s="8">
        <v>41805</v>
      </c>
      <c r="K186" s="6">
        <v>80</v>
      </c>
      <c r="L186">
        <f>VLOOKUP(A186,Marketing_df2!$A$1:$F$2241,3,FALSE)</f>
        <v>9</v>
      </c>
      <c r="M186">
        <f>VLOOKUP(A186,Marketing_df2!$A$1:$F$2241,4,FALSE)</f>
        <v>14</v>
      </c>
      <c r="N186">
        <f>VLOOKUP(A186,Marketing_df2!$A$1:$F$2241,5,FALSE)</f>
        <v>2</v>
      </c>
      <c r="O186">
        <f>VLOOKUP(A186,Marketing_df2!$A$1:$F$2241,6,FALSE)</f>
        <v>3</v>
      </c>
    </row>
    <row r="187" spans="1:15" ht="12.5">
      <c r="A187" s="6">
        <v>185</v>
      </c>
      <c r="B187" s="6">
        <v>3518</v>
      </c>
      <c r="C187" s="6">
        <v>1983</v>
      </c>
      <c r="D187" s="7" t="s">
        <v>9</v>
      </c>
      <c r="E187" s="7" t="s">
        <v>13</v>
      </c>
      <c r="F187" s="6">
        <v>25271</v>
      </c>
      <c r="G187" s="6">
        <v>1</v>
      </c>
      <c r="H187" s="6">
        <v>0</v>
      </c>
      <c r="I187" s="6">
        <f t="shared" si="2"/>
        <v>1</v>
      </c>
      <c r="J187" s="8">
        <v>41248</v>
      </c>
      <c r="K187" s="6">
        <v>45</v>
      </c>
      <c r="L187">
        <f>VLOOKUP(A187,Marketing_df2!$A$1:$F$2241,3,FALSE)</f>
        <v>1</v>
      </c>
      <c r="M187">
        <f>VLOOKUP(A187,Marketing_df2!$A$1:$F$2241,4,FALSE)</f>
        <v>4</v>
      </c>
      <c r="N187">
        <f>VLOOKUP(A187,Marketing_df2!$A$1:$F$2241,5,FALSE)</f>
        <v>1</v>
      </c>
      <c r="O187">
        <f>VLOOKUP(A187,Marketing_df2!$A$1:$F$2241,6,FALSE)</f>
        <v>2</v>
      </c>
    </row>
    <row r="188" spans="1:15" ht="12.5">
      <c r="A188" s="6">
        <v>186</v>
      </c>
      <c r="B188" s="6">
        <v>5823</v>
      </c>
      <c r="C188" s="6">
        <v>1970</v>
      </c>
      <c r="D188" s="7" t="s">
        <v>12</v>
      </c>
      <c r="E188" s="7" t="s">
        <v>10</v>
      </c>
      <c r="F188" s="6">
        <v>32303</v>
      </c>
      <c r="G188" s="6">
        <v>0</v>
      </c>
      <c r="H188" s="6">
        <v>1</v>
      </c>
      <c r="I188" s="6">
        <f t="shared" si="2"/>
        <v>1</v>
      </c>
      <c r="J188" s="8">
        <v>41706</v>
      </c>
      <c r="K188" s="6">
        <v>63</v>
      </c>
      <c r="L188">
        <f>VLOOKUP(A188,Marketing_df2!$A$1:$F$2241,3,FALSE)</f>
        <v>0</v>
      </c>
      <c r="M188">
        <f>VLOOKUP(A188,Marketing_df2!$A$1:$F$2241,4,FALSE)</f>
        <v>0</v>
      </c>
      <c r="N188">
        <f>VLOOKUP(A188,Marketing_df2!$A$1:$F$2241,5,FALSE)</f>
        <v>1</v>
      </c>
      <c r="O188">
        <f>VLOOKUP(A188,Marketing_df2!$A$1:$F$2241,6,FALSE)</f>
        <v>4</v>
      </c>
    </row>
    <row r="189" spans="1:15" ht="12.5">
      <c r="A189" s="6">
        <v>187</v>
      </c>
      <c r="B189" s="6">
        <v>3934</v>
      </c>
      <c r="C189" s="6">
        <v>1966</v>
      </c>
      <c r="D189" s="7" t="s">
        <v>9</v>
      </c>
      <c r="E189" s="7" t="s">
        <v>13</v>
      </c>
      <c r="F189" s="6">
        <v>61286</v>
      </c>
      <c r="G189" s="6">
        <v>0</v>
      </c>
      <c r="H189" s="6">
        <v>1</v>
      </c>
      <c r="I189" s="6">
        <f t="shared" si="2"/>
        <v>1</v>
      </c>
      <c r="J189" s="8">
        <v>41488</v>
      </c>
      <c r="K189" s="6">
        <v>34</v>
      </c>
      <c r="L189">
        <f>VLOOKUP(A189,Marketing_df2!$A$1:$F$2241,3,FALSE)</f>
        <v>0</v>
      </c>
      <c r="M189">
        <f>VLOOKUP(A189,Marketing_df2!$A$1:$F$2241,4,FALSE)</f>
        <v>9</v>
      </c>
      <c r="N189">
        <f>VLOOKUP(A189,Marketing_df2!$A$1:$F$2241,5,FALSE)</f>
        <v>7</v>
      </c>
      <c r="O189">
        <f>VLOOKUP(A189,Marketing_df2!$A$1:$F$2241,6,FALSE)</f>
        <v>8</v>
      </c>
    </row>
    <row r="190" spans="1:15" ht="12.5">
      <c r="A190" s="6">
        <v>188</v>
      </c>
      <c r="B190" s="6">
        <v>6982</v>
      </c>
      <c r="C190" s="6">
        <v>1976</v>
      </c>
      <c r="D190" s="7" t="s">
        <v>9</v>
      </c>
      <c r="E190" s="7" t="s">
        <v>13</v>
      </c>
      <c r="F190" s="6">
        <v>74068</v>
      </c>
      <c r="G190" s="6">
        <v>0</v>
      </c>
      <c r="H190" s="6">
        <v>0</v>
      </c>
      <c r="I190" s="6">
        <f t="shared" si="2"/>
        <v>0</v>
      </c>
      <c r="J190" s="8">
        <v>41352</v>
      </c>
      <c r="K190" s="6">
        <v>14</v>
      </c>
      <c r="L190">
        <f>VLOOKUP(A190,Marketing_df2!$A$1:$F$2241,3,FALSE)</f>
        <v>30</v>
      </c>
      <c r="M190">
        <f>VLOOKUP(A190,Marketing_df2!$A$1:$F$2241,4,FALSE)</f>
        <v>76</v>
      </c>
      <c r="N190">
        <f>VLOOKUP(A190,Marketing_df2!$A$1:$F$2241,5,FALSE)</f>
        <v>4</v>
      </c>
      <c r="O190">
        <f>VLOOKUP(A190,Marketing_df2!$A$1:$F$2241,6,FALSE)</f>
        <v>9</v>
      </c>
    </row>
    <row r="191" spans="1:15" ht="12.5">
      <c r="A191" s="6">
        <v>189</v>
      </c>
      <c r="B191" s="6">
        <v>6431</v>
      </c>
      <c r="C191" s="6">
        <v>1964</v>
      </c>
      <c r="D191" s="7" t="s">
        <v>12</v>
      </c>
      <c r="E191" s="7" t="s">
        <v>13</v>
      </c>
      <c r="F191" s="6">
        <v>45759</v>
      </c>
      <c r="G191" s="6">
        <v>1</v>
      </c>
      <c r="H191" s="6">
        <v>1</v>
      </c>
      <c r="I191" s="6">
        <f t="shared" si="2"/>
        <v>2</v>
      </c>
      <c r="J191" s="8">
        <v>41328</v>
      </c>
      <c r="K191" s="6">
        <v>13</v>
      </c>
      <c r="L191">
        <f>VLOOKUP(A191,Marketing_df2!$A$1:$F$2241,3,FALSE)</f>
        <v>1</v>
      </c>
      <c r="M191">
        <f>VLOOKUP(A191,Marketing_df2!$A$1:$F$2241,4,FALSE)</f>
        <v>0</v>
      </c>
      <c r="N191">
        <f>VLOOKUP(A191,Marketing_df2!$A$1:$F$2241,5,FALSE)</f>
        <v>2</v>
      </c>
      <c r="O191">
        <f>VLOOKUP(A191,Marketing_df2!$A$1:$F$2241,6,FALSE)</f>
        <v>3</v>
      </c>
    </row>
    <row r="192" spans="1:15" ht="12.5">
      <c r="A192" s="6">
        <v>190</v>
      </c>
      <c r="B192" s="6">
        <v>9733</v>
      </c>
      <c r="C192" s="6">
        <v>1978</v>
      </c>
      <c r="D192" s="7" t="s">
        <v>16</v>
      </c>
      <c r="E192" s="7" t="s">
        <v>11</v>
      </c>
      <c r="F192" s="6">
        <v>24882</v>
      </c>
      <c r="G192" s="6">
        <v>1</v>
      </c>
      <c r="H192" s="6">
        <v>0</v>
      </c>
      <c r="I192" s="6">
        <f t="shared" si="2"/>
        <v>1</v>
      </c>
      <c r="J192" s="8">
        <v>41161</v>
      </c>
      <c r="K192" s="6">
        <v>52</v>
      </c>
      <c r="L192">
        <f>VLOOKUP(A192,Marketing_df2!$A$1:$F$2241,3,FALSE)</f>
        <v>4</v>
      </c>
      <c r="M192">
        <f>VLOOKUP(A192,Marketing_df2!$A$1:$F$2241,4,FALSE)</f>
        <v>0</v>
      </c>
      <c r="N192">
        <f>VLOOKUP(A192,Marketing_df2!$A$1:$F$2241,5,FALSE)</f>
        <v>1</v>
      </c>
      <c r="O192">
        <f>VLOOKUP(A192,Marketing_df2!$A$1:$F$2241,6,FALSE)</f>
        <v>2</v>
      </c>
    </row>
    <row r="193" spans="1:15" ht="12.5">
      <c r="A193" s="6">
        <v>191</v>
      </c>
      <c r="B193" s="6">
        <v>5602</v>
      </c>
      <c r="C193" s="6">
        <v>1989</v>
      </c>
      <c r="D193" s="7" t="s">
        <v>12</v>
      </c>
      <c r="E193" s="7" t="s">
        <v>11</v>
      </c>
      <c r="F193" s="6">
        <v>66973</v>
      </c>
      <c r="G193" s="6">
        <v>0</v>
      </c>
      <c r="H193" s="6">
        <v>0</v>
      </c>
      <c r="I193" s="6">
        <f t="shared" si="2"/>
        <v>0</v>
      </c>
      <c r="J193" s="8">
        <v>41411</v>
      </c>
      <c r="K193" s="6">
        <v>98</v>
      </c>
      <c r="L193">
        <f>VLOOKUP(A193,Marketing_df2!$A$1:$F$2241,3,FALSE)</f>
        <v>22</v>
      </c>
      <c r="M193">
        <f>VLOOKUP(A193,Marketing_df2!$A$1:$F$2241,4,FALSE)</f>
        <v>113</v>
      </c>
      <c r="N193">
        <f>VLOOKUP(A193,Marketing_df2!$A$1:$F$2241,5,FALSE)</f>
        <v>8</v>
      </c>
      <c r="O193">
        <f>VLOOKUP(A193,Marketing_df2!$A$1:$F$2241,6,FALSE)</f>
        <v>12</v>
      </c>
    </row>
    <row r="194" spans="1:15" ht="12.5">
      <c r="A194" s="6">
        <v>192</v>
      </c>
      <c r="B194" s="6">
        <v>7829</v>
      </c>
      <c r="C194" s="6">
        <v>1900</v>
      </c>
      <c r="D194" s="7" t="s">
        <v>17</v>
      </c>
      <c r="E194" s="7" t="s">
        <v>15</v>
      </c>
      <c r="F194" s="6">
        <v>36640</v>
      </c>
      <c r="G194" s="6">
        <v>1</v>
      </c>
      <c r="H194" s="6">
        <v>0</v>
      </c>
      <c r="I194" s="6">
        <f t="shared" si="2"/>
        <v>1</v>
      </c>
      <c r="J194" s="8">
        <v>41543</v>
      </c>
      <c r="K194" s="6">
        <v>99</v>
      </c>
      <c r="L194">
        <f>VLOOKUP(A194,Marketing_df2!$A$1:$F$2241,3,FALSE)</f>
        <v>6</v>
      </c>
      <c r="M194">
        <f>VLOOKUP(A194,Marketing_df2!$A$1:$F$2241,4,FALSE)</f>
        <v>4</v>
      </c>
      <c r="N194">
        <f>VLOOKUP(A194,Marketing_df2!$A$1:$F$2241,5,FALSE)</f>
        <v>2</v>
      </c>
      <c r="O194">
        <f>VLOOKUP(A194,Marketing_df2!$A$1:$F$2241,6,FALSE)</f>
        <v>2</v>
      </c>
    </row>
    <row r="195" spans="1:15" ht="12.5">
      <c r="A195" s="6">
        <v>193</v>
      </c>
      <c r="B195" s="6">
        <v>1324</v>
      </c>
      <c r="C195" s="6">
        <v>1988</v>
      </c>
      <c r="D195" s="7" t="s">
        <v>9</v>
      </c>
      <c r="E195" s="7" t="s">
        <v>13</v>
      </c>
      <c r="F195" s="6">
        <v>38872</v>
      </c>
      <c r="G195" s="6">
        <v>1</v>
      </c>
      <c r="H195" s="6">
        <v>0</v>
      </c>
      <c r="I195" s="6">
        <f t="shared" ref="I195:I258" si="3">G195+H195</f>
        <v>1</v>
      </c>
      <c r="J195" s="8">
        <v>41424</v>
      </c>
      <c r="K195" s="6">
        <v>93</v>
      </c>
      <c r="L195">
        <f>VLOOKUP(A195,Marketing_df2!$A$1:$F$2241,3,FALSE)</f>
        <v>3</v>
      </c>
      <c r="M195">
        <f>VLOOKUP(A195,Marketing_df2!$A$1:$F$2241,4,FALSE)</f>
        <v>19</v>
      </c>
      <c r="N195">
        <f>VLOOKUP(A195,Marketing_df2!$A$1:$F$2241,5,FALSE)</f>
        <v>3</v>
      </c>
      <c r="O195">
        <f>VLOOKUP(A195,Marketing_df2!$A$1:$F$2241,6,FALSE)</f>
        <v>3</v>
      </c>
    </row>
    <row r="196" spans="1:15" ht="12.5">
      <c r="A196" s="6">
        <v>194</v>
      </c>
      <c r="B196" s="6">
        <v>326</v>
      </c>
      <c r="C196" s="6">
        <v>1973</v>
      </c>
      <c r="D196" s="7" t="s">
        <v>9</v>
      </c>
      <c r="E196" s="7" t="s">
        <v>13</v>
      </c>
      <c r="F196" s="6">
        <v>51148</v>
      </c>
      <c r="G196" s="6">
        <v>1</v>
      </c>
      <c r="H196" s="6">
        <v>1</v>
      </c>
      <c r="I196" s="6">
        <f t="shared" si="3"/>
        <v>2</v>
      </c>
      <c r="J196" s="8">
        <v>41323</v>
      </c>
      <c r="K196" s="6">
        <v>38</v>
      </c>
      <c r="L196">
        <f>VLOOKUP(A196,Marketing_df2!$A$1:$F$2241,3,FALSE)</f>
        <v>6</v>
      </c>
      <c r="M196">
        <f>VLOOKUP(A196,Marketing_df2!$A$1:$F$2241,4,FALSE)</f>
        <v>9</v>
      </c>
      <c r="N196">
        <f>VLOOKUP(A196,Marketing_df2!$A$1:$F$2241,5,FALSE)</f>
        <v>5</v>
      </c>
      <c r="O196">
        <f>VLOOKUP(A196,Marketing_df2!$A$1:$F$2241,6,FALSE)</f>
        <v>6</v>
      </c>
    </row>
    <row r="197" spans="1:15" ht="12.5">
      <c r="A197" s="6">
        <v>195</v>
      </c>
      <c r="B197" s="6">
        <v>7224</v>
      </c>
      <c r="C197" s="6">
        <v>1977</v>
      </c>
      <c r="D197" s="7" t="s">
        <v>9</v>
      </c>
      <c r="E197" s="7" t="s">
        <v>13</v>
      </c>
      <c r="F197" s="6">
        <v>31353</v>
      </c>
      <c r="G197" s="6">
        <v>1</v>
      </c>
      <c r="H197" s="6">
        <v>1</v>
      </c>
      <c r="I197" s="6">
        <f t="shared" si="3"/>
        <v>2</v>
      </c>
      <c r="J197" s="9">
        <v>41637</v>
      </c>
      <c r="K197" s="6">
        <v>24</v>
      </c>
      <c r="L197">
        <f>VLOOKUP(A197,Marketing_df2!$A$1:$F$2241,3,FALSE)</f>
        <v>0</v>
      </c>
      <c r="M197">
        <f>VLOOKUP(A197,Marketing_df2!$A$1:$F$2241,4,FALSE)</f>
        <v>1</v>
      </c>
      <c r="N197">
        <f>VLOOKUP(A197,Marketing_df2!$A$1:$F$2241,5,FALSE)</f>
        <v>1</v>
      </c>
      <c r="O197">
        <f>VLOOKUP(A197,Marketing_df2!$A$1:$F$2241,6,FALSE)</f>
        <v>2</v>
      </c>
    </row>
    <row r="198" spans="1:15" ht="12.5">
      <c r="A198" s="6">
        <v>196</v>
      </c>
      <c r="B198" s="6">
        <v>6999</v>
      </c>
      <c r="C198" s="6">
        <v>1980</v>
      </c>
      <c r="D198" s="7" t="s">
        <v>14</v>
      </c>
      <c r="E198" s="7" t="s">
        <v>13</v>
      </c>
      <c r="F198" s="6">
        <v>69661</v>
      </c>
      <c r="G198" s="6">
        <v>0</v>
      </c>
      <c r="H198" s="6">
        <v>0</v>
      </c>
      <c r="I198" s="6">
        <f t="shared" si="3"/>
        <v>0</v>
      </c>
      <c r="J198" s="8">
        <v>41772</v>
      </c>
      <c r="K198" s="6">
        <v>80</v>
      </c>
      <c r="L198">
        <f>VLOOKUP(A198,Marketing_df2!$A$1:$F$2241,3,FALSE)</f>
        <v>16</v>
      </c>
      <c r="M198">
        <f>VLOOKUP(A198,Marketing_df2!$A$1:$F$2241,4,FALSE)</f>
        <v>16</v>
      </c>
      <c r="N198">
        <f>VLOOKUP(A198,Marketing_df2!$A$1:$F$2241,5,FALSE)</f>
        <v>7</v>
      </c>
      <c r="O198">
        <f>VLOOKUP(A198,Marketing_df2!$A$1:$F$2241,6,FALSE)</f>
        <v>12</v>
      </c>
    </row>
    <row r="199" spans="1:15" ht="12.5">
      <c r="A199" s="6">
        <v>197</v>
      </c>
      <c r="B199" s="6">
        <v>9938</v>
      </c>
      <c r="C199" s="6">
        <v>1954</v>
      </c>
      <c r="D199" s="7" t="s">
        <v>9</v>
      </c>
      <c r="E199" s="7" t="s">
        <v>13</v>
      </c>
      <c r="F199" s="6">
        <v>80067</v>
      </c>
      <c r="G199" s="6">
        <v>0</v>
      </c>
      <c r="H199" s="6">
        <v>0</v>
      </c>
      <c r="I199" s="6">
        <f t="shared" si="3"/>
        <v>0</v>
      </c>
      <c r="J199" s="8">
        <v>41536</v>
      </c>
      <c r="K199" s="6">
        <v>82</v>
      </c>
      <c r="L199">
        <f>VLOOKUP(A199,Marketing_df2!$A$1:$F$2241,3,FALSE)</f>
        <v>17</v>
      </c>
      <c r="M199">
        <f>VLOOKUP(A199,Marketing_df2!$A$1:$F$2241,4,FALSE)</f>
        <v>173</v>
      </c>
      <c r="N199">
        <f>VLOOKUP(A199,Marketing_df2!$A$1:$F$2241,5,FALSE)</f>
        <v>4</v>
      </c>
      <c r="O199">
        <f>VLOOKUP(A199,Marketing_df2!$A$1:$F$2241,6,FALSE)</f>
        <v>6</v>
      </c>
    </row>
    <row r="200" spans="1:15" ht="12.5">
      <c r="A200" s="6">
        <v>198</v>
      </c>
      <c r="B200" s="6">
        <v>6422</v>
      </c>
      <c r="C200" s="6">
        <v>1954</v>
      </c>
      <c r="D200" s="7" t="s">
        <v>9</v>
      </c>
      <c r="E200" s="7" t="s">
        <v>13</v>
      </c>
      <c r="F200" s="6">
        <v>86718</v>
      </c>
      <c r="G200" s="6">
        <v>0</v>
      </c>
      <c r="H200" s="6">
        <v>0</v>
      </c>
      <c r="I200" s="6">
        <f t="shared" si="3"/>
        <v>0</v>
      </c>
      <c r="J200" s="8">
        <v>41291</v>
      </c>
      <c r="K200" s="6">
        <v>20</v>
      </c>
      <c r="L200">
        <f>VLOOKUP(A200,Marketing_df2!$A$1:$F$2241,3,FALSE)</f>
        <v>189</v>
      </c>
      <c r="M200">
        <f>VLOOKUP(A200,Marketing_df2!$A$1:$F$2241,4,FALSE)</f>
        <v>33</v>
      </c>
      <c r="N200">
        <f>VLOOKUP(A200,Marketing_df2!$A$1:$F$2241,5,FALSE)</f>
        <v>5</v>
      </c>
      <c r="O200">
        <f>VLOOKUP(A200,Marketing_df2!$A$1:$F$2241,6,FALSE)</f>
        <v>5</v>
      </c>
    </row>
    <row r="201" spans="1:15" ht="12.5">
      <c r="A201" s="6">
        <v>199</v>
      </c>
      <c r="B201" s="6">
        <v>3182</v>
      </c>
      <c r="C201" s="6">
        <v>1973</v>
      </c>
      <c r="D201" s="7" t="s">
        <v>12</v>
      </c>
      <c r="E201" s="7" t="s">
        <v>10</v>
      </c>
      <c r="F201" s="6">
        <v>46854</v>
      </c>
      <c r="G201" s="6">
        <v>1</v>
      </c>
      <c r="H201" s="6">
        <v>1</v>
      </c>
      <c r="I201" s="6">
        <f t="shared" si="3"/>
        <v>2</v>
      </c>
      <c r="J201" s="8">
        <v>41729</v>
      </c>
      <c r="K201" s="6">
        <v>81</v>
      </c>
      <c r="L201">
        <f>VLOOKUP(A201,Marketing_df2!$A$1:$F$2241,3,FALSE)</f>
        <v>1</v>
      </c>
      <c r="M201">
        <f>VLOOKUP(A201,Marketing_df2!$A$1:$F$2241,4,FALSE)</f>
        <v>1</v>
      </c>
      <c r="N201">
        <f>VLOOKUP(A201,Marketing_df2!$A$1:$F$2241,5,FALSE)</f>
        <v>5</v>
      </c>
      <c r="O201">
        <f>VLOOKUP(A201,Marketing_df2!$A$1:$F$2241,6,FALSE)</f>
        <v>3</v>
      </c>
    </row>
    <row r="202" spans="1:15" ht="12.5">
      <c r="A202" s="6">
        <v>200</v>
      </c>
      <c r="B202" s="6">
        <v>7300</v>
      </c>
      <c r="C202" s="6">
        <v>1952</v>
      </c>
      <c r="D202" s="7" t="s">
        <v>9</v>
      </c>
      <c r="E202" s="7" t="s">
        <v>15</v>
      </c>
      <c r="F202" s="6">
        <v>69142</v>
      </c>
      <c r="G202" s="6">
        <v>0</v>
      </c>
      <c r="H202" s="6">
        <v>1</v>
      </c>
      <c r="I202" s="6">
        <f t="shared" si="3"/>
        <v>1</v>
      </c>
      <c r="J202" s="8">
        <v>41819</v>
      </c>
      <c r="K202" s="6">
        <v>50</v>
      </c>
      <c r="L202">
        <f>VLOOKUP(A202,Marketing_df2!$A$1:$F$2241,3,FALSE)</f>
        <v>4</v>
      </c>
      <c r="M202">
        <f>VLOOKUP(A202,Marketing_df2!$A$1:$F$2241,4,FALSE)</f>
        <v>4</v>
      </c>
      <c r="N202">
        <f>VLOOKUP(A202,Marketing_df2!$A$1:$F$2241,5,FALSE)</f>
        <v>8</v>
      </c>
      <c r="O202">
        <f>VLOOKUP(A202,Marketing_df2!$A$1:$F$2241,6,FALSE)</f>
        <v>7</v>
      </c>
    </row>
    <row r="203" spans="1:15" ht="12.5">
      <c r="A203" s="6">
        <v>201</v>
      </c>
      <c r="B203" s="6">
        <v>10424</v>
      </c>
      <c r="C203" s="6">
        <v>1968</v>
      </c>
      <c r="D203" s="7" t="s">
        <v>9</v>
      </c>
      <c r="E203" s="7" t="s">
        <v>10</v>
      </c>
      <c r="F203" s="6">
        <v>75922</v>
      </c>
      <c r="G203" s="6">
        <v>0</v>
      </c>
      <c r="H203" s="6">
        <v>0</v>
      </c>
      <c r="I203" s="6">
        <f t="shared" si="3"/>
        <v>0</v>
      </c>
      <c r="J203" s="8">
        <v>41617</v>
      </c>
      <c r="K203" s="6">
        <v>60</v>
      </c>
      <c r="L203">
        <f>VLOOKUP(A203,Marketing_df2!$A$1:$F$2241,3,FALSE)</f>
        <v>138</v>
      </c>
      <c r="M203">
        <f>VLOOKUP(A203,Marketing_df2!$A$1:$F$2241,4,FALSE)</f>
        <v>23</v>
      </c>
      <c r="N203">
        <f>VLOOKUP(A203,Marketing_df2!$A$1:$F$2241,5,FALSE)</f>
        <v>4</v>
      </c>
      <c r="O203">
        <f>VLOOKUP(A203,Marketing_df2!$A$1:$F$2241,6,FALSE)</f>
        <v>9</v>
      </c>
    </row>
    <row r="204" spans="1:15" ht="12.5">
      <c r="A204" s="6">
        <v>202</v>
      </c>
      <c r="B204" s="6">
        <v>8727</v>
      </c>
      <c r="C204" s="6">
        <v>1978</v>
      </c>
      <c r="D204" s="7" t="s">
        <v>9</v>
      </c>
      <c r="E204" s="7" t="s">
        <v>15</v>
      </c>
      <c r="F204" s="6">
        <v>63693</v>
      </c>
      <c r="G204" s="6">
        <v>0</v>
      </c>
      <c r="H204" s="6">
        <v>1</v>
      </c>
      <c r="I204" s="6">
        <f t="shared" si="3"/>
        <v>1</v>
      </c>
      <c r="J204" s="9">
        <v>41561</v>
      </c>
      <c r="K204" s="6">
        <v>63</v>
      </c>
      <c r="L204">
        <f>VLOOKUP(A204,Marketing_df2!$A$1:$F$2241,3,FALSE)</f>
        <v>43</v>
      </c>
      <c r="M204">
        <f>VLOOKUP(A204,Marketing_df2!$A$1:$F$2241,4,FALSE)</f>
        <v>87</v>
      </c>
      <c r="N204">
        <f>VLOOKUP(A204,Marketing_df2!$A$1:$F$2241,5,FALSE)</f>
        <v>11</v>
      </c>
      <c r="O204">
        <f>VLOOKUP(A204,Marketing_df2!$A$1:$F$2241,6,FALSE)</f>
        <v>9</v>
      </c>
    </row>
    <row r="205" spans="1:15" ht="12.5">
      <c r="A205" s="6">
        <v>203</v>
      </c>
      <c r="B205" s="6">
        <v>2798</v>
      </c>
      <c r="C205" s="6">
        <v>1977</v>
      </c>
      <c r="D205" s="7" t="s">
        <v>12</v>
      </c>
      <c r="E205" s="7" t="s">
        <v>11</v>
      </c>
      <c r="F205" s="6">
        <v>102160</v>
      </c>
      <c r="G205" s="6">
        <v>0</v>
      </c>
      <c r="H205" s="6">
        <v>0</v>
      </c>
      <c r="I205" s="6">
        <f t="shared" si="3"/>
        <v>0</v>
      </c>
      <c r="J205" s="8">
        <v>41215</v>
      </c>
      <c r="K205" s="6">
        <v>54</v>
      </c>
      <c r="L205">
        <f>VLOOKUP(A205,Marketing_df2!$A$1:$F$2241,3,FALSE)</f>
        <v>29</v>
      </c>
      <c r="M205">
        <f>VLOOKUP(A205,Marketing_df2!$A$1:$F$2241,4,FALSE)</f>
        <v>176</v>
      </c>
      <c r="N205">
        <f>VLOOKUP(A205,Marketing_df2!$A$1:$F$2241,5,FALSE)</f>
        <v>7</v>
      </c>
      <c r="O205">
        <f>VLOOKUP(A205,Marketing_df2!$A$1:$F$2241,6,FALSE)</f>
        <v>10</v>
      </c>
    </row>
    <row r="206" spans="1:15" ht="12.5">
      <c r="A206" s="6">
        <v>204</v>
      </c>
      <c r="B206" s="6">
        <v>1030</v>
      </c>
      <c r="C206" s="6">
        <v>1965</v>
      </c>
      <c r="D206" s="7" t="s">
        <v>12</v>
      </c>
      <c r="E206" s="7" t="s">
        <v>10</v>
      </c>
      <c r="F206" s="6">
        <v>40637</v>
      </c>
      <c r="G206" s="6">
        <v>1</v>
      </c>
      <c r="H206" s="6">
        <v>1</v>
      </c>
      <c r="I206" s="6">
        <f t="shared" si="3"/>
        <v>2</v>
      </c>
      <c r="J206" s="8">
        <v>41472</v>
      </c>
      <c r="K206" s="6">
        <v>72</v>
      </c>
      <c r="L206">
        <f>VLOOKUP(A206,Marketing_df2!$A$1:$F$2241,3,FALSE)</f>
        <v>0</v>
      </c>
      <c r="M206">
        <f>VLOOKUP(A206,Marketing_df2!$A$1:$F$2241,4,FALSE)</f>
        <v>0</v>
      </c>
      <c r="N206">
        <f>VLOOKUP(A206,Marketing_df2!$A$1:$F$2241,5,FALSE)</f>
        <v>1</v>
      </c>
      <c r="O206">
        <f>VLOOKUP(A206,Marketing_df2!$A$1:$F$2241,6,FALSE)</f>
        <v>3</v>
      </c>
    </row>
    <row r="207" spans="1:15" ht="12.5">
      <c r="A207" s="6">
        <v>205</v>
      </c>
      <c r="B207" s="6">
        <v>624</v>
      </c>
      <c r="C207" s="6">
        <v>1984</v>
      </c>
      <c r="D207" s="7" t="s">
        <v>14</v>
      </c>
      <c r="E207" s="7" t="s">
        <v>10</v>
      </c>
      <c r="F207" s="6">
        <v>18890</v>
      </c>
      <c r="G207" s="6">
        <v>0</v>
      </c>
      <c r="H207" s="6">
        <v>0</v>
      </c>
      <c r="I207" s="6">
        <f t="shared" si="3"/>
        <v>0</v>
      </c>
      <c r="J207" s="9">
        <v>41223</v>
      </c>
      <c r="K207" s="6">
        <v>5</v>
      </c>
      <c r="L207">
        <f>VLOOKUP(A207,Marketing_df2!$A$1:$F$2241,3,FALSE)</f>
        <v>4</v>
      </c>
      <c r="M207">
        <f>VLOOKUP(A207,Marketing_df2!$A$1:$F$2241,4,FALSE)</f>
        <v>2</v>
      </c>
      <c r="N207">
        <f>VLOOKUP(A207,Marketing_df2!$A$1:$F$2241,5,FALSE)</f>
        <v>0</v>
      </c>
      <c r="O207">
        <f>VLOOKUP(A207,Marketing_df2!$A$1:$F$2241,6,FALSE)</f>
        <v>2</v>
      </c>
    </row>
    <row r="208" spans="1:15" ht="12.5">
      <c r="A208" s="6">
        <v>206</v>
      </c>
      <c r="B208" s="6">
        <v>5176</v>
      </c>
      <c r="C208" s="6">
        <v>1988</v>
      </c>
      <c r="D208" s="7" t="s">
        <v>9</v>
      </c>
      <c r="E208" s="7" t="s">
        <v>11</v>
      </c>
      <c r="F208" s="6">
        <v>29604</v>
      </c>
      <c r="G208" s="6">
        <v>1</v>
      </c>
      <c r="H208" s="6">
        <v>0</v>
      </c>
      <c r="I208" s="6">
        <f t="shared" si="3"/>
        <v>1</v>
      </c>
      <c r="J208" s="8">
        <v>41616</v>
      </c>
      <c r="K208" s="6">
        <v>88</v>
      </c>
      <c r="L208">
        <f>VLOOKUP(A208,Marketing_df2!$A$1:$F$2241,3,FALSE)</f>
        <v>6</v>
      </c>
      <c r="M208">
        <f>VLOOKUP(A208,Marketing_df2!$A$1:$F$2241,4,FALSE)</f>
        <v>6</v>
      </c>
      <c r="N208">
        <f>VLOOKUP(A208,Marketing_df2!$A$1:$F$2241,5,FALSE)</f>
        <v>1</v>
      </c>
      <c r="O208">
        <f>VLOOKUP(A208,Marketing_df2!$A$1:$F$2241,6,FALSE)</f>
        <v>3</v>
      </c>
    </row>
    <row r="209" spans="1:15" ht="12.5">
      <c r="A209" s="6">
        <v>207</v>
      </c>
      <c r="B209" s="6">
        <v>5552</v>
      </c>
      <c r="C209" s="6">
        <v>1963</v>
      </c>
      <c r="D209" s="7" t="s">
        <v>14</v>
      </c>
      <c r="E209" s="7" t="s">
        <v>15</v>
      </c>
      <c r="F209" s="6">
        <v>48721</v>
      </c>
      <c r="G209" s="6">
        <v>1</v>
      </c>
      <c r="H209" s="6">
        <v>1</v>
      </c>
      <c r="I209" s="6">
        <f t="shared" si="3"/>
        <v>2</v>
      </c>
      <c r="J209" s="8">
        <v>41407</v>
      </c>
      <c r="K209" s="6">
        <v>50</v>
      </c>
      <c r="L209">
        <f>VLOOKUP(A209,Marketing_df2!$A$1:$F$2241,3,FALSE)</f>
        <v>18</v>
      </c>
      <c r="M209">
        <f>VLOOKUP(A209,Marketing_df2!$A$1:$F$2241,4,FALSE)</f>
        <v>13</v>
      </c>
      <c r="N209">
        <f>VLOOKUP(A209,Marketing_df2!$A$1:$F$2241,5,FALSE)</f>
        <v>4</v>
      </c>
      <c r="O209">
        <f>VLOOKUP(A209,Marketing_df2!$A$1:$F$2241,6,FALSE)</f>
        <v>5</v>
      </c>
    </row>
    <row r="210" spans="1:15" ht="12.5">
      <c r="A210" s="6">
        <v>208</v>
      </c>
      <c r="B210" s="6">
        <v>868</v>
      </c>
      <c r="C210" s="6">
        <v>1966</v>
      </c>
      <c r="D210" s="7" t="s">
        <v>9</v>
      </c>
      <c r="E210" s="7" t="s">
        <v>13</v>
      </c>
      <c r="F210" s="6">
        <v>44794</v>
      </c>
      <c r="G210" s="6">
        <v>0</v>
      </c>
      <c r="H210" s="6">
        <v>1</v>
      </c>
      <c r="I210" s="6">
        <f t="shared" si="3"/>
        <v>1</v>
      </c>
      <c r="J210" s="8">
        <v>41798</v>
      </c>
      <c r="K210" s="6">
        <v>99</v>
      </c>
      <c r="L210">
        <f>VLOOKUP(A210,Marketing_df2!$A$1:$F$2241,3,FALSE)</f>
        <v>0</v>
      </c>
      <c r="M210">
        <f>VLOOKUP(A210,Marketing_df2!$A$1:$F$2241,4,FALSE)</f>
        <v>0</v>
      </c>
      <c r="N210">
        <f>VLOOKUP(A210,Marketing_df2!$A$1:$F$2241,5,FALSE)</f>
        <v>2</v>
      </c>
      <c r="O210">
        <f>VLOOKUP(A210,Marketing_df2!$A$1:$F$2241,6,FALSE)</f>
        <v>3</v>
      </c>
    </row>
    <row r="211" spans="1:15" ht="12.5">
      <c r="A211" s="6">
        <v>209</v>
      </c>
      <c r="B211" s="6">
        <v>380</v>
      </c>
      <c r="C211" s="6">
        <v>1954</v>
      </c>
      <c r="D211" s="7" t="s">
        <v>9</v>
      </c>
      <c r="E211" s="7" t="s">
        <v>15</v>
      </c>
      <c r="F211" s="6">
        <v>64497</v>
      </c>
      <c r="G211" s="6">
        <v>0</v>
      </c>
      <c r="H211" s="6">
        <v>1</v>
      </c>
      <c r="I211" s="6">
        <f t="shared" si="3"/>
        <v>1</v>
      </c>
      <c r="J211" s="8">
        <v>41162</v>
      </c>
      <c r="K211" s="6">
        <v>17</v>
      </c>
      <c r="L211">
        <f>VLOOKUP(A211,Marketing_df2!$A$1:$F$2241,3,FALSE)</f>
        <v>48</v>
      </c>
      <c r="M211">
        <f>VLOOKUP(A211,Marketing_df2!$A$1:$F$2241,4,FALSE)</f>
        <v>32</v>
      </c>
      <c r="N211">
        <f>VLOOKUP(A211,Marketing_df2!$A$1:$F$2241,5,FALSE)</f>
        <v>11</v>
      </c>
      <c r="O211">
        <f>VLOOKUP(A211,Marketing_df2!$A$1:$F$2241,6,FALSE)</f>
        <v>9</v>
      </c>
    </row>
    <row r="212" spans="1:15" ht="12.5">
      <c r="A212" s="6">
        <v>210</v>
      </c>
      <c r="B212" s="6">
        <v>2677</v>
      </c>
      <c r="C212" s="6">
        <v>1956</v>
      </c>
      <c r="D212" s="7" t="s">
        <v>9</v>
      </c>
      <c r="E212" s="7" t="s">
        <v>11</v>
      </c>
      <c r="F212" s="6">
        <v>46097</v>
      </c>
      <c r="G212" s="6">
        <v>0</v>
      </c>
      <c r="H212" s="6">
        <v>1</v>
      </c>
      <c r="I212" s="6">
        <f t="shared" si="3"/>
        <v>1</v>
      </c>
      <c r="J212" s="8">
        <v>41364</v>
      </c>
      <c r="K212" s="6">
        <v>11</v>
      </c>
      <c r="L212">
        <f>VLOOKUP(A212,Marketing_df2!$A$1:$F$2241,3,FALSE)</f>
        <v>24</v>
      </c>
      <c r="M212">
        <f>VLOOKUP(A212,Marketing_df2!$A$1:$F$2241,4,FALSE)</f>
        <v>4</v>
      </c>
      <c r="N212">
        <f>VLOOKUP(A212,Marketing_df2!$A$1:$F$2241,5,FALSE)</f>
        <v>3</v>
      </c>
      <c r="O212">
        <f>VLOOKUP(A212,Marketing_df2!$A$1:$F$2241,6,FALSE)</f>
        <v>6</v>
      </c>
    </row>
    <row r="213" spans="1:15" ht="12.5">
      <c r="A213" s="6">
        <v>211</v>
      </c>
      <c r="B213" s="6">
        <v>6521</v>
      </c>
      <c r="C213" s="6">
        <v>1954</v>
      </c>
      <c r="D213" s="7" t="s">
        <v>9</v>
      </c>
      <c r="E213" s="7" t="s">
        <v>11</v>
      </c>
      <c r="F213" s="6">
        <v>77972</v>
      </c>
      <c r="G213" s="6">
        <v>0</v>
      </c>
      <c r="H213" s="6">
        <v>0</v>
      </c>
      <c r="I213" s="6">
        <f t="shared" si="3"/>
        <v>0</v>
      </c>
      <c r="J213" s="8">
        <v>41716</v>
      </c>
      <c r="K213" s="6">
        <v>18</v>
      </c>
      <c r="L213">
        <f>VLOOKUP(A213,Marketing_df2!$A$1:$F$2241,3,FALSE)</f>
        <v>22</v>
      </c>
      <c r="M213">
        <f>VLOOKUP(A213,Marketing_df2!$A$1:$F$2241,4,FALSE)</f>
        <v>102</v>
      </c>
      <c r="N213">
        <f>VLOOKUP(A213,Marketing_df2!$A$1:$F$2241,5,FALSE)</f>
        <v>4</v>
      </c>
      <c r="O213">
        <f>VLOOKUP(A213,Marketing_df2!$A$1:$F$2241,6,FALSE)</f>
        <v>9</v>
      </c>
    </row>
    <row r="214" spans="1:15" ht="12.5">
      <c r="A214" s="6">
        <v>212</v>
      </c>
      <c r="B214" s="6">
        <v>6927</v>
      </c>
      <c r="C214" s="6">
        <v>1968</v>
      </c>
      <c r="D214" s="7" t="s">
        <v>12</v>
      </c>
      <c r="E214" s="7" t="s">
        <v>13</v>
      </c>
      <c r="F214" s="6">
        <v>44377</v>
      </c>
      <c r="G214" s="6">
        <v>1</v>
      </c>
      <c r="H214" s="6">
        <v>1</v>
      </c>
      <c r="I214" s="6">
        <f t="shared" si="3"/>
        <v>2</v>
      </c>
      <c r="J214" s="8">
        <v>41187</v>
      </c>
      <c r="K214" s="6">
        <v>70</v>
      </c>
      <c r="L214">
        <f>VLOOKUP(A214,Marketing_df2!$A$1:$F$2241,3,FALSE)</f>
        <v>0</v>
      </c>
      <c r="M214">
        <f>VLOOKUP(A214,Marketing_df2!$A$1:$F$2241,4,FALSE)</f>
        <v>0</v>
      </c>
      <c r="N214">
        <f>VLOOKUP(A214,Marketing_df2!$A$1:$F$2241,5,FALSE)</f>
        <v>5</v>
      </c>
      <c r="O214">
        <f>VLOOKUP(A214,Marketing_df2!$A$1:$F$2241,6,FALSE)</f>
        <v>5</v>
      </c>
    </row>
    <row r="215" spans="1:15" ht="12.5">
      <c r="A215" s="6">
        <v>213</v>
      </c>
      <c r="B215" s="6">
        <v>2877</v>
      </c>
      <c r="C215" s="6">
        <v>1974</v>
      </c>
      <c r="D215" s="7" t="s">
        <v>14</v>
      </c>
      <c r="E215" s="7" t="s">
        <v>11</v>
      </c>
      <c r="F215" s="6">
        <v>46014</v>
      </c>
      <c r="G215" s="6">
        <v>1</v>
      </c>
      <c r="H215" s="6">
        <v>1</v>
      </c>
      <c r="I215" s="6">
        <f t="shared" si="3"/>
        <v>2</v>
      </c>
      <c r="J215" s="8">
        <v>41295</v>
      </c>
      <c r="K215" s="6">
        <v>21</v>
      </c>
      <c r="L215">
        <f>VLOOKUP(A215,Marketing_df2!$A$1:$F$2241,3,FALSE)</f>
        <v>0</v>
      </c>
      <c r="M215">
        <f>VLOOKUP(A215,Marketing_df2!$A$1:$F$2241,4,FALSE)</f>
        <v>9</v>
      </c>
      <c r="N215">
        <f>VLOOKUP(A215,Marketing_df2!$A$1:$F$2241,5,FALSE)</f>
        <v>7</v>
      </c>
      <c r="O215">
        <f>VLOOKUP(A215,Marketing_df2!$A$1:$F$2241,6,FALSE)</f>
        <v>8</v>
      </c>
    </row>
    <row r="216" spans="1:15" ht="12.5">
      <c r="A216" s="6">
        <v>214</v>
      </c>
      <c r="B216" s="6">
        <v>0</v>
      </c>
      <c r="C216" s="6">
        <v>1985</v>
      </c>
      <c r="D216" s="7" t="s">
        <v>9</v>
      </c>
      <c r="E216" s="7" t="s">
        <v>13</v>
      </c>
      <c r="F216" s="6">
        <v>70951</v>
      </c>
      <c r="G216" s="6">
        <v>0</v>
      </c>
      <c r="H216" s="6">
        <v>0</v>
      </c>
      <c r="I216" s="6">
        <f t="shared" si="3"/>
        <v>0</v>
      </c>
      <c r="J216" s="8">
        <v>41398</v>
      </c>
      <c r="K216" s="6">
        <v>66</v>
      </c>
      <c r="L216">
        <f>VLOOKUP(A216,Marketing_df2!$A$1:$F$2241,3,FALSE)</f>
        <v>10</v>
      </c>
      <c r="M216">
        <f>VLOOKUP(A216,Marketing_df2!$A$1:$F$2241,4,FALSE)</f>
        <v>87</v>
      </c>
      <c r="N216">
        <f>VLOOKUP(A216,Marketing_df2!$A$1:$F$2241,5,FALSE)</f>
        <v>3</v>
      </c>
      <c r="O216">
        <f>VLOOKUP(A216,Marketing_df2!$A$1:$F$2241,6,FALSE)</f>
        <v>9</v>
      </c>
    </row>
    <row r="217" spans="1:15" ht="12.5">
      <c r="A217" s="6">
        <v>215</v>
      </c>
      <c r="B217" s="6">
        <v>1584</v>
      </c>
      <c r="C217" s="6">
        <v>1977</v>
      </c>
      <c r="D217" s="7" t="s">
        <v>9</v>
      </c>
      <c r="E217" s="7" t="s">
        <v>13</v>
      </c>
      <c r="F217" s="6">
        <v>41443</v>
      </c>
      <c r="G217" s="6">
        <v>1</v>
      </c>
      <c r="H217" s="6">
        <v>0</v>
      </c>
      <c r="I217" s="6">
        <f t="shared" si="3"/>
        <v>1</v>
      </c>
      <c r="J217" s="8">
        <v>41730</v>
      </c>
      <c r="K217" s="6">
        <v>79</v>
      </c>
      <c r="L217">
        <f>VLOOKUP(A217,Marketing_df2!$A$1:$F$2241,3,FALSE)</f>
        <v>7</v>
      </c>
      <c r="M217">
        <f>VLOOKUP(A217,Marketing_df2!$A$1:$F$2241,4,FALSE)</f>
        <v>19</v>
      </c>
      <c r="N217">
        <f>VLOOKUP(A217,Marketing_df2!$A$1:$F$2241,5,FALSE)</f>
        <v>8</v>
      </c>
      <c r="O217">
        <f>VLOOKUP(A217,Marketing_df2!$A$1:$F$2241,6,FALSE)</f>
        <v>5</v>
      </c>
    </row>
    <row r="218" spans="1:15" ht="12.5">
      <c r="A218" s="6">
        <v>216</v>
      </c>
      <c r="B218" s="6">
        <v>7264</v>
      </c>
      <c r="C218" s="6">
        <v>1978</v>
      </c>
      <c r="D218" s="7" t="s">
        <v>17</v>
      </c>
      <c r="E218" s="7" t="s">
        <v>10</v>
      </c>
      <c r="F218" s="6">
        <v>52195</v>
      </c>
      <c r="G218" s="6">
        <v>2</v>
      </c>
      <c r="H218" s="6">
        <v>1</v>
      </c>
      <c r="I218" s="6">
        <f t="shared" si="3"/>
        <v>3</v>
      </c>
      <c r="J218" s="8">
        <v>41771</v>
      </c>
      <c r="K218" s="6">
        <v>2</v>
      </c>
      <c r="L218">
        <f>VLOOKUP(A218,Marketing_df2!$A$1:$F$2241,3,FALSE)</f>
        <v>0</v>
      </c>
      <c r="M218">
        <f>VLOOKUP(A218,Marketing_df2!$A$1:$F$2241,4,FALSE)</f>
        <v>0</v>
      </c>
      <c r="N218">
        <f>VLOOKUP(A218,Marketing_df2!$A$1:$F$2241,5,FALSE)</f>
        <v>1</v>
      </c>
      <c r="O218">
        <f>VLOOKUP(A218,Marketing_df2!$A$1:$F$2241,6,FALSE)</f>
        <v>2</v>
      </c>
    </row>
    <row r="219" spans="1:15" ht="12.5">
      <c r="A219" s="6">
        <v>217</v>
      </c>
      <c r="B219" s="6">
        <v>6274</v>
      </c>
      <c r="C219" s="6">
        <v>1948</v>
      </c>
      <c r="D219" s="7" t="s">
        <v>14</v>
      </c>
      <c r="E219" s="7" t="s">
        <v>13</v>
      </c>
      <c r="F219" s="6">
        <v>83790</v>
      </c>
      <c r="G219" s="6">
        <v>0</v>
      </c>
      <c r="H219" s="6">
        <v>0</v>
      </c>
      <c r="I219" s="6">
        <f t="shared" si="3"/>
        <v>0</v>
      </c>
      <c r="J219" s="9">
        <v>41593</v>
      </c>
      <c r="K219" s="6">
        <v>81</v>
      </c>
      <c r="L219">
        <f>VLOOKUP(A219,Marketing_df2!$A$1:$F$2241,3,FALSE)</f>
        <v>16</v>
      </c>
      <c r="M219">
        <f>VLOOKUP(A219,Marketing_df2!$A$1:$F$2241,4,FALSE)</f>
        <v>48</v>
      </c>
      <c r="N219">
        <f>VLOOKUP(A219,Marketing_df2!$A$1:$F$2241,5,FALSE)</f>
        <v>8</v>
      </c>
      <c r="O219">
        <f>VLOOKUP(A219,Marketing_df2!$A$1:$F$2241,6,FALSE)</f>
        <v>6</v>
      </c>
    </row>
    <row r="220" spans="1:15" ht="12.5">
      <c r="A220" s="6">
        <v>218</v>
      </c>
      <c r="B220" s="6">
        <v>1377</v>
      </c>
      <c r="C220" s="6">
        <v>1954</v>
      </c>
      <c r="D220" s="7" t="s">
        <v>14</v>
      </c>
      <c r="E220" s="7" t="s">
        <v>18</v>
      </c>
      <c r="F220" s="6">
        <v>44551</v>
      </c>
      <c r="G220" s="6">
        <v>0</v>
      </c>
      <c r="H220" s="6">
        <v>1</v>
      </c>
      <c r="I220" s="6">
        <f t="shared" si="3"/>
        <v>1</v>
      </c>
      <c r="J220" s="8">
        <v>41517</v>
      </c>
      <c r="K220" s="6">
        <v>24</v>
      </c>
      <c r="L220">
        <f>VLOOKUP(A220,Marketing_df2!$A$1:$F$2241,3,FALSE)</f>
        <v>4</v>
      </c>
      <c r="M220">
        <f>VLOOKUP(A220,Marketing_df2!$A$1:$F$2241,4,FALSE)</f>
        <v>0</v>
      </c>
      <c r="N220">
        <f>VLOOKUP(A220,Marketing_df2!$A$1:$F$2241,5,FALSE)</f>
        <v>4</v>
      </c>
      <c r="O220">
        <f>VLOOKUP(A220,Marketing_df2!$A$1:$F$2241,6,FALSE)</f>
        <v>5</v>
      </c>
    </row>
    <row r="221" spans="1:15" ht="12.5">
      <c r="A221" s="6">
        <v>219</v>
      </c>
      <c r="B221" s="6">
        <v>454</v>
      </c>
      <c r="C221" s="6">
        <v>1980</v>
      </c>
      <c r="D221" s="7" t="s">
        <v>9</v>
      </c>
      <c r="E221" s="7" t="s">
        <v>11</v>
      </c>
      <c r="F221" s="6">
        <v>69508</v>
      </c>
      <c r="G221" s="6">
        <v>1</v>
      </c>
      <c r="H221" s="6">
        <v>0</v>
      </c>
      <c r="I221" s="6">
        <f t="shared" si="3"/>
        <v>1</v>
      </c>
      <c r="J221" s="9">
        <v>41227</v>
      </c>
      <c r="K221" s="6">
        <v>48</v>
      </c>
      <c r="L221">
        <f>VLOOKUP(A221,Marketing_df2!$A$1:$F$2241,3,FALSE)</f>
        <v>32</v>
      </c>
      <c r="M221">
        <f>VLOOKUP(A221,Marketing_df2!$A$1:$F$2241,4,FALSE)</f>
        <v>32</v>
      </c>
      <c r="N221">
        <f>VLOOKUP(A221,Marketing_df2!$A$1:$F$2241,5,FALSE)</f>
        <v>11</v>
      </c>
      <c r="O221">
        <f>VLOOKUP(A221,Marketing_df2!$A$1:$F$2241,6,FALSE)</f>
        <v>11</v>
      </c>
    </row>
    <row r="222" spans="1:15" ht="12.5">
      <c r="A222" s="6">
        <v>220</v>
      </c>
      <c r="B222" s="6">
        <v>1755</v>
      </c>
      <c r="C222" s="6">
        <v>1988</v>
      </c>
      <c r="D222" s="7" t="s">
        <v>17</v>
      </c>
      <c r="E222" s="7" t="s">
        <v>11</v>
      </c>
      <c r="F222" s="6">
        <v>45204</v>
      </c>
      <c r="G222" s="6">
        <v>1</v>
      </c>
      <c r="H222" s="6">
        <v>0</v>
      </c>
      <c r="I222" s="6">
        <f t="shared" si="3"/>
        <v>1</v>
      </c>
      <c r="J222" s="8">
        <v>41740</v>
      </c>
      <c r="K222" s="6">
        <v>93</v>
      </c>
      <c r="L222">
        <f>VLOOKUP(A222,Marketing_df2!$A$1:$F$2241,3,FALSE)</f>
        <v>11</v>
      </c>
      <c r="M222">
        <f>VLOOKUP(A222,Marketing_df2!$A$1:$F$2241,4,FALSE)</f>
        <v>1</v>
      </c>
      <c r="N222">
        <f>VLOOKUP(A222,Marketing_df2!$A$1:$F$2241,5,FALSE)</f>
        <v>1</v>
      </c>
      <c r="O222">
        <f>VLOOKUP(A222,Marketing_df2!$A$1:$F$2241,6,FALSE)</f>
        <v>4</v>
      </c>
    </row>
    <row r="223" spans="1:15" ht="12.5">
      <c r="A223" s="6">
        <v>221</v>
      </c>
      <c r="B223" s="6">
        <v>2075</v>
      </c>
      <c r="C223" s="6">
        <v>1969</v>
      </c>
      <c r="D223" s="7" t="s">
        <v>9</v>
      </c>
      <c r="E223" s="7" t="s">
        <v>13</v>
      </c>
      <c r="F223" s="6">
        <v>72460</v>
      </c>
      <c r="G223" s="6">
        <v>0</v>
      </c>
      <c r="H223" s="6">
        <v>0</v>
      </c>
      <c r="I223" s="6">
        <f t="shared" si="3"/>
        <v>0</v>
      </c>
      <c r="J223" s="9">
        <v>41592</v>
      </c>
      <c r="K223" s="6">
        <v>56</v>
      </c>
      <c r="L223">
        <f>VLOOKUP(A223,Marketing_df2!$A$1:$F$2241,3,FALSE)</f>
        <v>10</v>
      </c>
      <c r="M223">
        <f>VLOOKUP(A223,Marketing_df2!$A$1:$F$2241,4,FALSE)</f>
        <v>30</v>
      </c>
      <c r="N223">
        <f>VLOOKUP(A223,Marketing_df2!$A$1:$F$2241,5,FALSE)</f>
        <v>3</v>
      </c>
      <c r="O223">
        <f>VLOOKUP(A223,Marketing_df2!$A$1:$F$2241,6,FALSE)</f>
        <v>7</v>
      </c>
    </row>
    <row r="224" spans="1:15" ht="12.5">
      <c r="A224" s="6">
        <v>222</v>
      </c>
      <c r="B224" s="6">
        <v>4785</v>
      </c>
      <c r="C224" s="6">
        <v>1970</v>
      </c>
      <c r="D224" s="7" t="s">
        <v>12</v>
      </c>
      <c r="E224" s="7" t="s">
        <v>11</v>
      </c>
      <c r="F224" s="6">
        <v>77622</v>
      </c>
      <c r="G224" s="6">
        <v>0</v>
      </c>
      <c r="H224" s="6">
        <v>2</v>
      </c>
      <c r="I224" s="6">
        <f t="shared" si="3"/>
        <v>2</v>
      </c>
      <c r="J224" s="8">
        <v>41743</v>
      </c>
      <c r="K224" s="6">
        <v>3</v>
      </c>
      <c r="L224">
        <f>VLOOKUP(A224,Marketing_df2!$A$1:$F$2241,3,FALSE)</f>
        <v>7</v>
      </c>
      <c r="M224">
        <f>VLOOKUP(A224,Marketing_df2!$A$1:$F$2241,4,FALSE)</f>
        <v>0</v>
      </c>
      <c r="N224">
        <f>VLOOKUP(A224,Marketing_df2!$A$1:$F$2241,5,FALSE)</f>
        <v>6</v>
      </c>
      <c r="O224">
        <f>VLOOKUP(A224,Marketing_df2!$A$1:$F$2241,6,FALSE)</f>
        <v>11</v>
      </c>
    </row>
    <row r="225" spans="1:15" ht="12.5">
      <c r="A225" s="6">
        <v>223</v>
      </c>
      <c r="B225" s="6">
        <v>9076</v>
      </c>
      <c r="C225" s="6">
        <v>1980</v>
      </c>
      <c r="D225" s="7" t="s">
        <v>12</v>
      </c>
      <c r="E225" s="7" t="s">
        <v>13</v>
      </c>
      <c r="F225" s="6">
        <v>30732</v>
      </c>
      <c r="G225" s="6">
        <v>1</v>
      </c>
      <c r="H225" s="6">
        <v>0</v>
      </c>
      <c r="I225" s="6">
        <f t="shared" si="3"/>
        <v>1</v>
      </c>
      <c r="J225" s="8">
        <v>41279</v>
      </c>
      <c r="K225" s="6">
        <v>44</v>
      </c>
      <c r="L225">
        <f>VLOOKUP(A225,Marketing_df2!$A$1:$F$2241,3,FALSE)</f>
        <v>1</v>
      </c>
      <c r="M225">
        <f>VLOOKUP(A225,Marketing_df2!$A$1:$F$2241,4,FALSE)</f>
        <v>1</v>
      </c>
      <c r="N225">
        <f>VLOOKUP(A225,Marketing_df2!$A$1:$F$2241,5,FALSE)</f>
        <v>4</v>
      </c>
      <c r="O225">
        <f>VLOOKUP(A225,Marketing_df2!$A$1:$F$2241,6,FALSE)</f>
        <v>4</v>
      </c>
    </row>
    <row r="226" spans="1:15" ht="12.5">
      <c r="A226" s="6">
        <v>224</v>
      </c>
      <c r="B226" s="6">
        <v>7079</v>
      </c>
      <c r="C226" s="6">
        <v>1962</v>
      </c>
      <c r="D226" s="7" t="s">
        <v>9</v>
      </c>
      <c r="E226" s="7" t="s">
        <v>15</v>
      </c>
      <c r="F226" s="6">
        <v>63887</v>
      </c>
      <c r="G226" s="6">
        <v>0</v>
      </c>
      <c r="H226" s="6">
        <v>1</v>
      </c>
      <c r="I226" s="6">
        <f t="shared" si="3"/>
        <v>1</v>
      </c>
      <c r="J226" s="8">
        <v>41160</v>
      </c>
      <c r="K226" s="6">
        <v>38</v>
      </c>
      <c r="L226">
        <f>VLOOKUP(A226,Marketing_df2!$A$1:$F$2241,3,FALSE)</f>
        <v>23</v>
      </c>
      <c r="M226">
        <f>VLOOKUP(A226,Marketing_df2!$A$1:$F$2241,4,FALSE)</f>
        <v>11</v>
      </c>
      <c r="N226">
        <f>VLOOKUP(A226,Marketing_df2!$A$1:$F$2241,5,FALSE)</f>
        <v>9</v>
      </c>
      <c r="O226">
        <f>VLOOKUP(A226,Marketing_df2!$A$1:$F$2241,6,FALSE)</f>
        <v>12</v>
      </c>
    </row>
    <row r="227" spans="1:15" ht="12.5">
      <c r="A227" s="6">
        <v>225</v>
      </c>
      <c r="B227" s="6">
        <v>4653</v>
      </c>
      <c r="C227" s="6">
        <v>1978</v>
      </c>
      <c r="D227" s="7" t="s">
        <v>9</v>
      </c>
      <c r="E227" s="7" t="s">
        <v>11</v>
      </c>
      <c r="F227" s="6">
        <v>42011</v>
      </c>
      <c r="G227" s="6">
        <v>1</v>
      </c>
      <c r="H227" s="6">
        <v>0</v>
      </c>
      <c r="I227" s="6">
        <f t="shared" si="3"/>
        <v>1</v>
      </c>
      <c r="J227" s="8">
        <v>41359</v>
      </c>
      <c r="K227" s="6">
        <v>46</v>
      </c>
      <c r="L227">
        <f>VLOOKUP(A227,Marketing_df2!$A$1:$F$2241,3,FALSE)</f>
        <v>0</v>
      </c>
      <c r="M227">
        <f>VLOOKUP(A227,Marketing_df2!$A$1:$F$2241,4,FALSE)</f>
        <v>1</v>
      </c>
      <c r="N227">
        <f>VLOOKUP(A227,Marketing_df2!$A$1:$F$2241,5,FALSE)</f>
        <v>3</v>
      </c>
      <c r="O227">
        <f>VLOOKUP(A227,Marketing_df2!$A$1:$F$2241,6,FALSE)</f>
        <v>4</v>
      </c>
    </row>
    <row r="228" spans="1:15" ht="12.5">
      <c r="A228" s="6">
        <v>226</v>
      </c>
      <c r="B228" s="6">
        <v>7375</v>
      </c>
      <c r="C228" s="6">
        <v>1976</v>
      </c>
      <c r="D228" s="7" t="s">
        <v>9</v>
      </c>
      <c r="E228" s="7" t="s">
        <v>11</v>
      </c>
      <c r="F228" s="6">
        <v>51369</v>
      </c>
      <c r="G228" s="6">
        <v>0</v>
      </c>
      <c r="H228" s="6">
        <v>1</v>
      </c>
      <c r="I228" s="6">
        <f t="shared" si="3"/>
        <v>1</v>
      </c>
      <c r="J228" s="9">
        <v>41207</v>
      </c>
      <c r="K228" s="6">
        <v>84</v>
      </c>
      <c r="L228">
        <f>VLOOKUP(A228,Marketing_df2!$A$1:$F$2241,3,FALSE)</f>
        <v>7</v>
      </c>
      <c r="M228">
        <f>VLOOKUP(A228,Marketing_df2!$A$1:$F$2241,4,FALSE)</f>
        <v>11</v>
      </c>
      <c r="N228">
        <f>VLOOKUP(A228,Marketing_df2!$A$1:$F$2241,5,FALSE)</f>
        <v>8</v>
      </c>
      <c r="O228">
        <f>VLOOKUP(A228,Marketing_df2!$A$1:$F$2241,6,FALSE)</f>
        <v>4</v>
      </c>
    </row>
    <row r="229" spans="1:15" ht="12.5">
      <c r="A229" s="6">
        <v>227</v>
      </c>
      <c r="B229" s="6">
        <v>709</v>
      </c>
      <c r="C229" s="6">
        <v>1952</v>
      </c>
      <c r="D229" s="7" t="s">
        <v>9</v>
      </c>
      <c r="E229" s="7" t="s">
        <v>15</v>
      </c>
      <c r="F229" s="6">
        <v>51537</v>
      </c>
      <c r="G229" s="6">
        <v>0</v>
      </c>
      <c r="H229" s="6">
        <v>1</v>
      </c>
      <c r="I229" s="6">
        <f t="shared" si="3"/>
        <v>1</v>
      </c>
      <c r="J229" s="8">
        <v>41252</v>
      </c>
      <c r="K229" s="6">
        <v>27</v>
      </c>
      <c r="L229">
        <f>VLOOKUP(A229,Marketing_df2!$A$1:$F$2241,3,FALSE)</f>
        <v>20</v>
      </c>
      <c r="M229">
        <f>VLOOKUP(A229,Marketing_df2!$A$1:$F$2241,4,FALSE)</f>
        <v>0</v>
      </c>
      <c r="N229">
        <f>VLOOKUP(A229,Marketing_df2!$A$1:$F$2241,5,FALSE)</f>
        <v>2</v>
      </c>
      <c r="O229">
        <f>VLOOKUP(A229,Marketing_df2!$A$1:$F$2241,6,FALSE)</f>
        <v>11</v>
      </c>
    </row>
    <row r="230" spans="1:15" ht="12.5">
      <c r="A230" s="6">
        <v>228</v>
      </c>
      <c r="B230" s="6">
        <v>460</v>
      </c>
      <c r="C230" s="6">
        <v>1972</v>
      </c>
      <c r="D230" s="7" t="s">
        <v>12</v>
      </c>
      <c r="E230" s="7" t="s">
        <v>13</v>
      </c>
      <c r="F230" s="6">
        <v>79930</v>
      </c>
      <c r="G230" s="6">
        <v>0</v>
      </c>
      <c r="H230" s="6">
        <v>0</v>
      </c>
      <c r="I230" s="6">
        <f t="shared" si="3"/>
        <v>0</v>
      </c>
      <c r="J230" s="8">
        <v>41129</v>
      </c>
      <c r="K230" s="6">
        <v>72</v>
      </c>
      <c r="L230">
        <f>VLOOKUP(A230,Marketing_df2!$A$1:$F$2241,3,FALSE)</f>
        <v>86</v>
      </c>
      <c r="M230">
        <f>VLOOKUP(A230,Marketing_df2!$A$1:$F$2241,4,FALSE)</f>
        <v>51</v>
      </c>
      <c r="N230">
        <f>VLOOKUP(A230,Marketing_df2!$A$1:$F$2241,5,FALSE)</f>
        <v>3</v>
      </c>
      <c r="O230">
        <f>VLOOKUP(A230,Marketing_df2!$A$1:$F$2241,6,FALSE)</f>
        <v>8</v>
      </c>
    </row>
    <row r="231" spans="1:15" ht="12.5">
      <c r="A231" s="6">
        <v>229</v>
      </c>
      <c r="B231" s="6">
        <v>3726</v>
      </c>
      <c r="C231" s="6">
        <v>1986</v>
      </c>
      <c r="D231" s="7" t="s">
        <v>12</v>
      </c>
      <c r="E231" s="7" t="s">
        <v>11</v>
      </c>
      <c r="F231" s="6">
        <v>34320</v>
      </c>
      <c r="G231" s="6">
        <v>1</v>
      </c>
      <c r="H231" s="6">
        <v>0</v>
      </c>
      <c r="I231" s="6">
        <f t="shared" si="3"/>
        <v>1</v>
      </c>
      <c r="J231" s="8">
        <v>41686</v>
      </c>
      <c r="K231" s="6">
        <v>66</v>
      </c>
      <c r="L231">
        <f>VLOOKUP(A231,Marketing_df2!$A$1:$F$2241,3,FALSE)</f>
        <v>1</v>
      </c>
      <c r="M231">
        <f>VLOOKUP(A231,Marketing_df2!$A$1:$F$2241,4,FALSE)</f>
        <v>0</v>
      </c>
      <c r="N231">
        <f>VLOOKUP(A231,Marketing_df2!$A$1:$F$2241,5,FALSE)</f>
        <v>1</v>
      </c>
      <c r="O231">
        <f>VLOOKUP(A231,Marketing_df2!$A$1:$F$2241,6,FALSE)</f>
        <v>2</v>
      </c>
    </row>
    <row r="232" spans="1:15" ht="12.5">
      <c r="A232" s="6">
        <v>230</v>
      </c>
      <c r="B232" s="6">
        <v>6798</v>
      </c>
      <c r="C232" s="6">
        <v>1966</v>
      </c>
      <c r="D232" s="7" t="s">
        <v>9</v>
      </c>
      <c r="E232" s="7" t="s">
        <v>10</v>
      </c>
      <c r="F232" s="6">
        <v>37070</v>
      </c>
      <c r="G232" s="6">
        <v>1</v>
      </c>
      <c r="H232" s="6">
        <v>1</v>
      </c>
      <c r="I232" s="6">
        <f t="shared" si="3"/>
        <v>2</v>
      </c>
      <c r="J232" s="8">
        <v>41353</v>
      </c>
      <c r="K232" s="6">
        <v>30</v>
      </c>
      <c r="L232">
        <f>VLOOKUP(A232,Marketing_df2!$A$1:$F$2241,3,FALSE)</f>
        <v>7</v>
      </c>
      <c r="M232">
        <f>VLOOKUP(A232,Marketing_df2!$A$1:$F$2241,4,FALSE)</f>
        <v>15</v>
      </c>
      <c r="N232">
        <f>VLOOKUP(A232,Marketing_df2!$A$1:$F$2241,5,FALSE)</f>
        <v>5</v>
      </c>
      <c r="O232">
        <f>VLOOKUP(A232,Marketing_df2!$A$1:$F$2241,6,FALSE)</f>
        <v>8</v>
      </c>
    </row>
    <row r="233" spans="1:15" ht="12.5">
      <c r="A233" s="6">
        <v>231</v>
      </c>
      <c r="B233" s="6">
        <v>5341</v>
      </c>
      <c r="C233" s="6">
        <v>1962</v>
      </c>
      <c r="D233" s="7" t="s">
        <v>17</v>
      </c>
      <c r="E233" s="7" t="s">
        <v>15</v>
      </c>
      <c r="F233" s="6">
        <v>81975</v>
      </c>
      <c r="G233" s="6">
        <v>0</v>
      </c>
      <c r="H233" s="6">
        <v>1</v>
      </c>
      <c r="I233" s="6">
        <f t="shared" si="3"/>
        <v>1</v>
      </c>
      <c r="J233" s="8">
        <v>41279</v>
      </c>
      <c r="K233" s="6">
        <v>2</v>
      </c>
      <c r="L233">
        <f>VLOOKUP(A233,Marketing_df2!$A$1:$F$2241,3,FALSE)</f>
        <v>76</v>
      </c>
      <c r="M233">
        <f>VLOOKUP(A233,Marketing_df2!$A$1:$F$2241,4,FALSE)</f>
        <v>138</v>
      </c>
      <c r="N233">
        <f>VLOOKUP(A233,Marketing_df2!$A$1:$F$2241,5,FALSE)</f>
        <v>6</v>
      </c>
      <c r="O233">
        <f>VLOOKUP(A233,Marketing_df2!$A$1:$F$2241,6,FALSE)</f>
        <v>4</v>
      </c>
    </row>
    <row r="234" spans="1:15" ht="12.5">
      <c r="A234" s="6">
        <v>232</v>
      </c>
      <c r="B234" s="6">
        <v>1606</v>
      </c>
      <c r="C234" s="6">
        <v>1971</v>
      </c>
      <c r="D234" s="7" t="s">
        <v>9</v>
      </c>
      <c r="E234" s="7" t="s">
        <v>11</v>
      </c>
      <c r="F234" s="6">
        <v>38590</v>
      </c>
      <c r="G234" s="6">
        <v>1</v>
      </c>
      <c r="H234" s="6">
        <v>0</v>
      </c>
      <c r="I234" s="6">
        <f t="shared" si="3"/>
        <v>1</v>
      </c>
      <c r="J234" s="8">
        <v>41409</v>
      </c>
      <c r="K234" s="6">
        <v>65</v>
      </c>
      <c r="L234">
        <f>VLOOKUP(A234,Marketing_df2!$A$1:$F$2241,3,FALSE)</f>
        <v>1</v>
      </c>
      <c r="M234">
        <f>VLOOKUP(A234,Marketing_df2!$A$1:$F$2241,4,FALSE)</f>
        <v>3</v>
      </c>
      <c r="N234">
        <f>VLOOKUP(A234,Marketing_df2!$A$1:$F$2241,5,FALSE)</f>
        <v>1</v>
      </c>
      <c r="O234">
        <f>VLOOKUP(A234,Marketing_df2!$A$1:$F$2241,6,FALSE)</f>
        <v>2</v>
      </c>
    </row>
    <row r="235" spans="1:15" ht="12.5">
      <c r="A235" s="6">
        <v>233</v>
      </c>
      <c r="B235" s="6">
        <v>9617</v>
      </c>
      <c r="C235" s="6">
        <v>1951</v>
      </c>
      <c r="D235" s="7" t="s">
        <v>9</v>
      </c>
      <c r="E235" s="7" t="s">
        <v>10</v>
      </c>
      <c r="F235" s="6">
        <v>15033</v>
      </c>
      <c r="G235" s="6">
        <v>0</v>
      </c>
      <c r="H235" s="6">
        <v>0</v>
      </c>
      <c r="I235" s="6">
        <f t="shared" si="3"/>
        <v>0</v>
      </c>
      <c r="J235" s="8">
        <v>41745</v>
      </c>
      <c r="K235" s="6">
        <v>37</v>
      </c>
      <c r="L235">
        <f>VLOOKUP(A235,Marketing_df2!$A$1:$F$2241,3,FALSE)</f>
        <v>4</v>
      </c>
      <c r="M235">
        <f>VLOOKUP(A235,Marketing_df2!$A$1:$F$2241,4,FALSE)</f>
        <v>0</v>
      </c>
      <c r="N235">
        <f>VLOOKUP(A235,Marketing_df2!$A$1:$F$2241,5,FALSE)</f>
        <v>1</v>
      </c>
      <c r="O235">
        <f>VLOOKUP(A235,Marketing_df2!$A$1:$F$2241,6,FALSE)</f>
        <v>3</v>
      </c>
    </row>
    <row r="236" spans="1:15" ht="12.5">
      <c r="A236" s="6">
        <v>234</v>
      </c>
      <c r="B236" s="6">
        <v>3233</v>
      </c>
      <c r="C236" s="6">
        <v>1965</v>
      </c>
      <c r="D236" s="7" t="s">
        <v>12</v>
      </c>
      <c r="E236" s="7" t="s">
        <v>13</v>
      </c>
      <c r="F236" s="6">
        <v>62745</v>
      </c>
      <c r="G236" s="6">
        <v>0</v>
      </c>
      <c r="H236" s="6">
        <v>1</v>
      </c>
      <c r="I236" s="6">
        <f t="shared" si="3"/>
        <v>1</v>
      </c>
      <c r="J236" s="8">
        <v>41356</v>
      </c>
      <c r="K236" s="6">
        <v>89</v>
      </c>
      <c r="L236">
        <f>VLOOKUP(A236,Marketing_df2!$A$1:$F$2241,3,FALSE)</f>
        <v>21</v>
      </c>
      <c r="M236">
        <f>VLOOKUP(A236,Marketing_df2!$A$1:$F$2241,4,FALSE)</f>
        <v>10</v>
      </c>
      <c r="N236">
        <f>VLOOKUP(A236,Marketing_df2!$A$1:$F$2241,5,FALSE)</f>
        <v>7</v>
      </c>
      <c r="O236">
        <f>VLOOKUP(A236,Marketing_df2!$A$1:$F$2241,6,FALSE)</f>
        <v>11</v>
      </c>
    </row>
    <row r="237" spans="1:15" ht="12.5">
      <c r="A237" s="6">
        <v>235</v>
      </c>
      <c r="B237" s="6">
        <v>89</v>
      </c>
      <c r="C237" s="6">
        <v>1975</v>
      </c>
      <c r="D237" s="7" t="s">
        <v>17</v>
      </c>
      <c r="E237" s="7" t="s">
        <v>13</v>
      </c>
      <c r="F237" s="6">
        <v>22212</v>
      </c>
      <c r="G237" s="6">
        <v>1</v>
      </c>
      <c r="H237" s="6">
        <v>0</v>
      </c>
      <c r="I237" s="6">
        <f t="shared" si="3"/>
        <v>1</v>
      </c>
      <c r="J237" s="8">
        <v>41617</v>
      </c>
      <c r="K237" s="6">
        <v>49</v>
      </c>
      <c r="L237">
        <f>VLOOKUP(A237,Marketing_df2!$A$1:$F$2241,3,FALSE)</f>
        <v>9</v>
      </c>
      <c r="M237">
        <f>VLOOKUP(A237,Marketing_df2!$A$1:$F$2241,4,FALSE)</f>
        <v>8</v>
      </c>
      <c r="N237">
        <f>VLOOKUP(A237,Marketing_df2!$A$1:$F$2241,5,FALSE)</f>
        <v>2</v>
      </c>
      <c r="O237">
        <f>VLOOKUP(A237,Marketing_df2!$A$1:$F$2241,6,FALSE)</f>
        <v>4</v>
      </c>
    </row>
    <row r="238" spans="1:15" ht="12.5">
      <c r="A238" s="6">
        <v>236</v>
      </c>
      <c r="B238" s="6">
        <v>2936</v>
      </c>
      <c r="C238" s="6">
        <v>1982</v>
      </c>
      <c r="D238" s="7" t="s">
        <v>14</v>
      </c>
      <c r="E238" s="7" t="s">
        <v>11</v>
      </c>
      <c r="F238" s="6">
        <v>23661</v>
      </c>
      <c r="G238" s="6">
        <v>1</v>
      </c>
      <c r="H238" s="6">
        <v>0</v>
      </c>
      <c r="I238" s="6">
        <f t="shared" si="3"/>
        <v>1</v>
      </c>
      <c r="J238" s="8">
        <v>41612</v>
      </c>
      <c r="K238" s="6">
        <v>46</v>
      </c>
      <c r="L238">
        <f>VLOOKUP(A238,Marketing_df2!$A$1:$F$2241,3,FALSE)</f>
        <v>0</v>
      </c>
      <c r="M238">
        <f>VLOOKUP(A238,Marketing_df2!$A$1:$F$2241,4,FALSE)</f>
        <v>0</v>
      </c>
      <c r="N238">
        <f>VLOOKUP(A238,Marketing_df2!$A$1:$F$2241,5,FALSE)</f>
        <v>1</v>
      </c>
      <c r="O238">
        <f>VLOOKUP(A238,Marketing_df2!$A$1:$F$2241,6,FALSE)</f>
        <v>3</v>
      </c>
    </row>
    <row r="239" spans="1:15" ht="12.5">
      <c r="A239" s="6">
        <v>237</v>
      </c>
      <c r="B239" s="6">
        <v>9449</v>
      </c>
      <c r="C239" s="6">
        <v>1958</v>
      </c>
      <c r="D239" s="7" t="s">
        <v>12</v>
      </c>
      <c r="E239" s="7" t="s">
        <v>10</v>
      </c>
      <c r="F239" s="6">
        <v>79761</v>
      </c>
      <c r="G239" s="6">
        <v>0</v>
      </c>
      <c r="H239" s="6">
        <v>1</v>
      </c>
      <c r="I239" s="6">
        <f t="shared" si="3"/>
        <v>1</v>
      </c>
      <c r="J239" s="8">
        <v>41551</v>
      </c>
      <c r="K239" s="6">
        <v>32</v>
      </c>
      <c r="L239">
        <f>VLOOKUP(A239,Marketing_df2!$A$1:$F$2241,3,FALSE)</f>
        <v>5</v>
      </c>
      <c r="M239">
        <f>VLOOKUP(A239,Marketing_df2!$A$1:$F$2241,4,FALSE)</f>
        <v>35</v>
      </c>
      <c r="N239">
        <f>VLOOKUP(A239,Marketing_df2!$A$1:$F$2241,5,FALSE)</f>
        <v>5</v>
      </c>
      <c r="O239">
        <f>VLOOKUP(A239,Marketing_df2!$A$1:$F$2241,6,FALSE)</f>
        <v>11</v>
      </c>
    </row>
    <row r="240" spans="1:15" ht="12.5">
      <c r="A240" s="6">
        <v>238</v>
      </c>
      <c r="B240" s="6">
        <v>7297</v>
      </c>
      <c r="C240" s="6">
        <v>1973</v>
      </c>
      <c r="D240" s="7" t="s">
        <v>9</v>
      </c>
      <c r="E240" s="7" t="s">
        <v>10</v>
      </c>
      <c r="F240" s="6">
        <v>7500</v>
      </c>
      <c r="G240" s="6">
        <v>1</v>
      </c>
      <c r="H240" s="6">
        <v>0</v>
      </c>
      <c r="I240" s="6">
        <f t="shared" si="3"/>
        <v>1</v>
      </c>
      <c r="J240" s="9">
        <v>41634</v>
      </c>
      <c r="K240" s="6">
        <v>54</v>
      </c>
      <c r="L240">
        <f>VLOOKUP(A240,Marketing_df2!$A$1:$F$2241,3,FALSE)</f>
        <v>3</v>
      </c>
      <c r="M240">
        <f>VLOOKUP(A240,Marketing_df2!$A$1:$F$2241,4,FALSE)</f>
        <v>7</v>
      </c>
      <c r="N240">
        <f>VLOOKUP(A240,Marketing_df2!$A$1:$F$2241,5,FALSE)</f>
        <v>3</v>
      </c>
      <c r="O240">
        <f>VLOOKUP(A240,Marketing_df2!$A$1:$F$2241,6,FALSE)</f>
        <v>3</v>
      </c>
    </row>
    <row r="241" spans="1:15" ht="12.5">
      <c r="A241" s="6">
        <v>239</v>
      </c>
      <c r="B241" s="6">
        <v>11004</v>
      </c>
      <c r="C241" s="6">
        <v>1893</v>
      </c>
      <c r="D241" s="7" t="s">
        <v>17</v>
      </c>
      <c r="E241" s="7" t="s">
        <v>10</v>
      </c>
      <c r="F241" s="6">
        <v>60182</v>
      </c>
      <c r="G241" s="6">
        <v>0</v>
      </c>
      <c r="H241" s="6">
        <v>1</v>
      </c>
      <c r="I241" s="6">
        <f t="shared" si="3"/>
        <v>1</v>
      </c>
      <c r="J241" s="8">
        <v>41776</v>
      </c>
      <c r="K241" s="6">
        <v>23</v>
      </c>
      <c r="L241">
        <f>VLOOKUP(A241,Marketing_df2!$A$1:$F$2241,3,FALSE)</f>
        <v>0</v>
      </c>
      <c r="M241">
        <f>VLOOKUP(A241,Marketing_df2!$A$1:$F$2241,4,FALSE)</f>
        <v>0</v>
      </c>
      <c r="N241">
        <f>VLOOKUP(A241,Marketing_df2!$A$1:$F$2241,5,FALSE)</f>
        <v>1</v>
      </c>
      <c r="O241">
        <f>VLOOKUP(A241,Marketing_df2!$A$1:$F$2241,6,FALSE)</f>
        <v>2</v>
      </c>
    </row>
    <row r="242" spans="1:15" ht="12.5">
      <c r="A242" s="6">
        <v>240</v>
      </c>
      <c r="B242" s="6">
        <v>313</v>
      </c>
      <c r="C242" s="6">
        <v>1968</v>
      </c>
      <c r="D242" s="7" t="s">
        <v>9</v>
      </c>
      <c r="E242" s="7" t="s">
        <v>18</v>
      </c>
      <c r="F242" s="6">
        <v>73455</v>
      </c>
      <c r="G242" s="6">
        <v>0</v>
      </c>
      <c r="H242" s="6">
        <v>0</v>
      </c>
      <c r="I242" s="6">
        <f t="shared" si="3"/>
        <v>0</v>
      </c>
      <c r="J242" s="9">
        <v>41575</v>
      </c>
      <c r="K242" s="6">
        <v>98</v>
      </c>
      <c r="L242">
        <f>VLOOKUP(A242,Marketing_df2!$A$1:$F$2241,3,FALSE)</f>
        <v>61</v>
      </c>
      <c r="M242">
        <f>VLOOKUP(A242,Marketing_df2!$A$1:$F$2241,4,FALSE)</f>
        <v>163</v>
      </c>
      <c r="N242">
        <f>VLOOKUP(A242,Marketing_df2!$A$1:$F$2241,5,FALSE)</f>
        <v>6</v>
      </c>
      <c r="O242">
        <f>VLOOKUP(A242,Marketing_df2!$A$1:$F$2241,6,FALSE)</f>
        <v>10</v>
      </c>
    </row>
    <row r="243" spans="1:15" ht="12.5">
      <c r="A243" s="6">
        <v>241</v>
      </c>
      <c r="B243" s="6">
        <v>9940</v>
      </c>
      <c r="C243" s="6">
        <v>1958</v>
      </c>
      <c r="D243" s="7" t="s">
        <v>9</v>
      </c>
      <c r="E243" s="7" t="s">
        <v>11</v>
      </c>
      <c r="F243" s="6">
        <v>64961</v>
      </c>
      <c r="G243" s="6">
        <v>0</v>
      </c>
      <c r="H243" s="6">
        <v>1</v>
      </c>
      <c r="I243" s="6">
        <f t="shared" si="3"/>
        <v>1</v>
      </c>
      <c r="J243" s="9">
        <v>41266</v>
      </c>
      <c r="K243" s="6">
        <v>97</v>
      </c>
      <c r="L243">
        <f>VLOOKUP(A243,Marketing_df2!$A$1:$F$2241,3,FALSE)</f>
        <v>114</v>
      </c>
      <c r="M243">
        <f>VLOOKUP(A243,Marketing_df2!$A$1:$F$2241,4,FALSE)</f>
        <v>124</v>
      </c>
      <c r="N243">
        <f>VLOOKUP(A243,Marketing_df2!$A$1:$F$2241,5,FALSE)</f>
        <v>6</v>
      </c>
      <c r="O243">
        <f>VLOOKUP(A243,Marketing_df2!$A$1:$F$2241,6,FALSE)</f>
        <v>4</v>
      </c>
    </row>
    <row r="244" spans="1:15" ht="12.5">
      <c r="A244" s="6">
        <v>242</v>
      </c>
      <c r="B244" s="6">
        <v>10735</v>
      </c>
      <c r="C244" s="6">
        <v>1971</v>
      </c>
      <c r="D244" s="7" t="s">
        <v>9</v>
      </c>
      <c r="E244" s="7" t="s">
        <v>10</v>
      </c>
      <c r="F244" s="6">
        <v>22804</v>
      </c>
      <c r="G244" s="6">
        <v>1</v>
      </c>
      <c r="H244" s="6">
        <v>0</v>
      </c>
      <c r="I244" s="6">
        <f t="shared" si="3"/>
        <v>1</v>
      </c>
      <c r="J244" s="8">
        <v>41486</v>
      </c>
      <c r="K244" s="6">
        <v>75</v>
      </c>
      <c r="L244">
        <f>VLOOKUP(A244,Marketing_df2!$A$1:$F$2241,3,FALSE)</f>
        <v>1</v>
      </c>
      <c r="M244">
        <f>VLOOKUP(A244,Marketing_df2!$A$1:$F$2241,4,FALSE)</f>
        <v>1</v>
      </c>
      <c r="N244">
        <f>VLOOKUP(A244,Marketing_df2!$A$1:$F$2241,5,FALSE)</f>
        <v>2</v>
      </c>
      <c r="O244">
        <f>VLOOKUP(A244,Marketing_df2!$A$1:$F$2241,6,FALSE)</f>
        <v>2</v>
      </c>
    </row>
    <row r="245" spans="1:15" ht="12.5">
      <c r="A245" s="6">
        <v>243</v>
      </c>
      <c r="B245" s="6">
        <v>9529</v>
      </c>
      <c r="C245" s="6">
        <v>1990</v>
      </c>
      <c r="D245" s="7" t="s">
        <v>9</v>
      </c>
      <c r="E245" s="7" t="s">
        <v>13</v>
      </c>
      <c r="F245" s="6">
        <v>73687</v>
      </c>
      <c r="G245" s="6">
        <v>0</v>
      </c>
      <c r="H245" s="6">
        <v>0</v>
      </c>
      <c r="I245" s="6">
        <f t="shared" si="3"/>
        <v>0</v>
      </c>
      <c r="J245" s="9">
        <v>41606</v>
      </c>
      <c r="K245" s="6">
        <v>8</v>
      </c>
      <c r="L245">
        <f>VLOOKUP(A245,Marketing_df2!$A$1:$F$2241,3,FALSE)</f>
        <v>153</v>
      </c>
      <c r="M245">
        <f>VLOOKUP(A245,Marketing_df2!$A$1:$F$2241,4,FALSE)</f>
        <v>13</v>
      </c>
      <c r="N245">
        <f>VLOOKUP(A245,Marketing_df2!$A$1:$F$2241,5,FALSE)</f>
        <v>3</v>
      </c>
      <c r="O245">
        <f>VLOOKUP(A245,Marketing_df2!$A$1:$F$2241,6,FALSE)</f>
        <v>9</v>
      </c>
    </row>
    <row r="246" spans="1:15" ht="12.5">
      <c r="A246" s="6">
        <v>244</v>
      </c>
      <c r="B246" s="6">
        <v>6439</v>
      </c>
      <c r="C246" s="6">
        <v>1958</v>
      </c>
      <c r="D246" s="7" t="s">
        <v>9</v>
      </c>
      <c r="E246" s="7" t="s">
        <v>13</v>
      </c>
      <c r="F246" s="6">
        <v>61074</v>
      </c>
      <c r="G246" s="6">
        <v>0</v>
      </c>
      <c r="H246" s="6">
        <v>1</v>
      </c>
      <c r="I246" s="6">
        <f t="shared" si="3"/>
        <v>1</v>
      </c>
      <c r="J246" s="8">
        <v>41138</v>
      </c>
      <c r="K246" s="6">
        <v>37</v>
      </c>
      <c r="L246">
        <f>VLOOKUP(A246,Marketing_df2!$A$1:$F$2241,3,FALSE)</f>
        <v>0</v>
      </c>
      <c r="M246">
        <f>VLOOKUP(A246,Marketing_df2!$A$1:$F$2241,4,FALSE)</f>
        <v>28</v>
      </c>
      <c r="N246">
        <f>VLOOKUP(A246,Marketing_df2!$A$1:$F$2241,5,FALSE)</f>
        <v>11</v>
      </c>
      <c r="O246">
        <f>VLOOKUP(A246,Marketing_df2!$A$1:$F$2241,6,FALSE)</f>
        <v>8</v>
      </c>
    </row>
    <row r="247" spans="1:15" ht="12.5">
      <c r="A247" s="6">
        <v>245</v>
      </c>
      <c r="B247" s="6">
        <v>7411</v>
      </c>
      <c r="C247" s="6">
        <v>1964</v>
      </c>
      <c r="D247" s="7" t="s">
        <v>12</v>
      </c>
      <c r="E247" s="7" t="s">
        <v>13</v>
      </c>
      <c r="F247" s="6">
        <v>31686</v>
      </c>
      <c r="G247" s="6">
        <v>1</v>
      </c>
      <c r="H247" s="6">
        <v>1</v>
      </c>
      <c r="I247" s="6">
        <f t="shared" si="3"/>
        <v>2</v>
      </c>
      <c r="J247" s="8">
        <v>41795</v>
      </c>
      <c r="K247" s="6">
        <v>31</v>
      </c>
      <c r="L247">
        <f>VLOOKUP(A247,Marketing_df2!$A$1:$F$2241,3,FALSE)</f>
        <v>0</v>
      </c>
      <c r="M247">
        <f>VLOOKUP(A247,Marketing_df2!$A$1:$F$2241,4,FALSE)</f>
        <v>0</v>
      </c>
      <c r="N247">
        <f>VLOOKUP(A247,Marketing_df2!$A$1:$F$2241,5,FALSE)</f>
        <v>1</v>
      </c>
      <c r="O247">
        <f>VLOOKUP(A247,Marketing_df2!$A$1:$F$2241,6,FALSE)</f>
        <v>3</v>
      </c>
    </row>
    <row r="248" spans="1:15" ht="12.5">
      <c r="A248" s="6">
        <v>246</v>
      </c>
      <c r="B248" s="6">
        <v>2176</v>
      </c>
      <c r="C248" s="6">
        <v>1972</v>
      </c>
      <c r="D248" s="7" t="s">
        <v>9</v>
      </c>
      <c r="E248" s="7" t="s">
        <v>13</v>
      </c>
      <c r="F248" s="6">
        <v>80134</v>
      </c>
      <c r="G248" s="6">
        <v>1</v>
      </c>
      <c r="H248" s="6">
        <v>0</v>
      </c>
      <c r="I248" s="6">
        <f t="shared" si="3"/>
        <v>1</v>
      </c>
      <c r="J248" s="8">
        <v>41414</v>
      </c>
      <c r="K248" s="6">
        <v>40</v>
      </c>
      <c r="L248">
        <f>VLOOKUP(A248,Marketing_df2!$A$1:$F$2241,3,FALSE)</f>
        <v>16</v>
      </c>
      <c r="M248">
        <f>VLOOKUP(A248,Marketing_df2!$A$1:$F$2241,4,FALSE)</f>
        <v>0</v>
      </c>
      <c r="N248">
        <f>VLOOKUP(A248,Marketing_df2!$A$1:$F$2241,5,FALSE)</f>
        <v>5</v>
      </c>
      <c r="O248">
        <f>VLOOKUP(A248,Marketing_df2!$A$1:$F$2241,6,FALSE)</f>
        <v>6</v>
      </c>
    </row>
    <row r="249" spans="1:15" ht="12.5">
      <c r="A249" s="6">
        <v>247</v>
      </c>
      <c r="B249" s="6">
        <v>9265</v>
      </c>
      <c r="C249" s="6">
        <v>1953</v>
      </c>
      <c r="D249" s="7" t="s">
        <v>9</v>
      </c>
      <c r="E249" s="7" t="s">
        <v>13</v>
      </c>
      <c r="F249" s="6">
        <v>75027</v>
      </c>
      <c r="G249" s="6">
        <v>0</v>
      </c>
      <c r="H249" s="6">
        <v>1</v>
      </c>
      <c r="I249" s="6">
        <f t="shared" si="3"/>
        <v>1</v>
      </c>
      <c r="J249" s="8">
        <v>41283</v>
      </c>
      <c r="K249" s="6">
        <v>74</v>
      </c>
      <c r="L249">
        <f>VLOOKUP(A249,Marketing_df2!$A$1:$F$2241,3,FALSE)</f>
        <v>64</v>
      </c>
      <c r="M249">
        <f>VLOOKUP(A249,Marketing_df2!$A$1:$F$2241,4,FALSE)</f>
        <v>12</v>
      </c>
      <c r="N249">
        <f>VLOOKUP(A249,Marketing_df2!$A$1:$F$2241,5,FALSE)</f>
        <v>9</v>
      </c>
      <c r="O249">
        <f>VLOOKUP(A249,Marketing_df2!$A$1:$F$2241,6,FALSE)</f>
        <v>6</v>
      </c>
    </row>
    <row r="250" spans="1:15" ht="12.5">
      <c r="A250" s="6">
        <v>248</v>
      </c>
      <c r="B250" s="6">
        <v>8867</v>
      </c>
      <c r="C250" s="6">
        <v>1988</v>
      </c>
      <c r="D250" s="7" t="s">
        <v>12</v>
      </c>
      <c r="E250" s="7" t="s">
        <v>13</v>
      </c>
      <c r="F250" s="6">
        <v>67546</v>
      </c>
      <c r="G250" s="6">
        <v>0</v>
      </c>
      <c r="H250" s="6">
        <v>0</v>
      </c>
      <c r="I250" s="6">
        <f t="shared" si="3"/>
        <v>0</v>
      </c>
      <c r="J250" s="8">
        <v>41152</v>
      </c>
      <c r="K250" s="6">
        <v>90</v>
      </c>
      <c r="L250">
        <f>VLOOKUP(A250,Marketing_df2!$A$1:$F$2241,3,FALSE)</f>
        <v>134</v>
      </c>
      <c r="M250">
        <f>VLOOKUP(A250,Marketing_df2!$A$1:$F$2241,4,FALSE)</f>
        <v>38</v>
      </c>
      <c r="N250">
        <f>VLOOKUP(A250,Marketing_df2!$A$1:$F$2241,5,FALSE)</f>
        <v>4</v>
      </c>
      <c r="O250">
        <f>VLOOKUP(A250,Marketing_df2!$A$1:$F$2241,6,FALSE)</f>
        <v>5</v>
      </c>
    </row>
    <row r="251" spans="1:15" ht="12.5">
      <c r="A251" s="6">
        <v>249</v>
      </c>
      <c r="B251" s="6">
        <v>8932</v>
      </c>
      <c r="C251" s="6">
        <v>1969</v>
      </c>
      <c r="D251" s="7" t="s">
        <v>14</v>
      </c>
      <c r="E251" s="7" t="s">
        <v>11</v>
      </c>
      <c r="F251" s="6">
        <v>65176</v>
      </c>
      <c r="G251" s="6">
        <v>0</v>
      </c>
      <c r="H251" s="6">
        <v>1</v>
      </c>
      <c r="I251" s="6">
        <f t="shared" si="3"/>
        <v>1</v>
      </c>
      <c r="J251" s="9">
        <v>41211</v>
      </c>
      <c r="K251" s="6">
        <v>57</v>
      </c>
      <c r="L251">
        <f>VLOOKUP(A251,Marketing_df2!$A$1:$F$2241,3,FALSE)</f>
        <v>28</v>
      </c>
      <c r="M251">
        <f>VLOOKUP(A251,Marketing_df2!$A$1:$F$2241,4,FALSE)</f>
        <v>70</v>
      </c>
      <c r="N251">
        <f>VLOOKUP(A251,Marketing_df2!$A$1:$F$2241,5,FALSE)</f>
        <v>9</v>
      </c>
      <c r="O251">
        <f>VLOOKUP(A251,Marketing_df2!$A$1:$F$2241,6,FALSE)</f>
        <v>6</v>
      </c>
    </row>
    <row r="252" spans="1:15" ht="12.5">
      <c r="A252" s="6">
        <v>250</v>
      </c>
      <c r="B252" s="6">
        <v>10236</v>
      </c>
      <c r="C252" s="6">
        <v>1975</v>
      </c>
      <c r="D252" s="7" t="s">
        <v>14</v>
      </c>
      <c r="E252" s="7" t="s">
        <v>10</v>
      </c>
      <c r="F252" s="6">
        <v>31160</v>
      </c>
      <c r="G252" s="6">
        <v>1</v>
      </c>
      <c r="H252" s="6">
        <v>0</v>
      </c>
      <c r="I252" s="6">
        <f t="shared" si="3"/>
        <v>1</v>
      </c>
      <c r="J252" s="8">
        <v>41533</v>
      </c>
      <c r="K252" s="6">
        <v>59</v>
      </c>
      <c r="L252">
        <f>VLOOKUP(A252,Marketing_df2!$A$1:$F$2241,3,FALSE)</f>
        <v>3</v>
      </c>
      <c r="M252">
        <f>VLOOKUP(A252,Marketing_df2!$A$1:$F$2241,4,FALSE)</f>
        <v>1</v>
      </c>
      <c r="N252">
        <f>VLOOKUP(A252,Marketing_df2!$A$1:$F$2241,5,FALSE)</f>
        <v>2</v>
      </c>
      <c r="O252">
        <f>VLOOKUP(A252,Marketing_df2!$A$1:$F$2241,6,FALSE)</f>
        <v>3</v>
      </c>
    </row>
    <row r="253" spans="1:15" ht="12.5">
      <c r="A253" s="6">
        <v>251</v>
      </c>
      <c r="B253" s="6">
        <v>6340</v>
      </c>
      <c r="C253" s="6">
        <v>1985</v>
      </c>
      <c r="D253" s="7" t="s">
        <v>9</v>
      </c>
      <c r="E253" s="7" t="s">
        <v>10</v>
      </c>
      <c r="F253" s="6">
        <v>29938</v>
      </c>
      <c r="G253" s="6">
        <v>1</v>
      </c>
      <c r="H253" s="6">
        <v>0</v>
      </c>
      <c r="I253" s="6">
        <f t="shared" si="3"/>
        <v>1</v>
      </c>
      <c r="J253" s="9">
        <v>41574</v>
      </c>
      <c r="K253" s="6">
        <v>52</v>
      </c>
      <c r="L253">
        <f>VLOOKUP(A253,Marketing_df2!$A$1:$F$2241,3,FALSE)</f>
        <v>3</v>
      </c>
      <c r="M253">
        <f>VLOOKUP(A253,Marketing_df2!$A$1:$F$2241,4,FALSE)</f>
        <v>2</v>
      </c>
      <c r="N253">
        <f>VLOOKUP(A253,Marketing_df2!$A$1:$F$2241,5,FALSE)</f>
        <v>1</v>
      </c>
      <c r="O253">
        <f>VLOOKUP(A253,Marketing_df2!$A$1:$F$2241,6,FALSE)</f>
        <v>3</v>
      </c>
    </row>
    <row r="254" spans="1:15" ht="12.5">
      <c r="A254" s="6">
        <v>252</v>
      </c>
      <c r="B254" s="6">
        <v>10089</v>
      </c>
      <c r="C254" s="6">
        <v>1974</v>
      </c>
      <c r="D254" s="7" t="s">
        <v>9</v>
      </c>
      <c r="E254" s="7" t="s">
        <v>15</v>
      </c>
      <c r="F254" s="6">
        <v>102692</v>
      </c>
      <c r="G254" s="6">
        <v>0</v>
      </c>
      <c r="H254" s="6">
        <v>0</v>
      </c>
      <c r="I254" s="6">
        <f t="shared" si="3"/>
        <v>0</v>
      </c>
      <c r="J254" s="8">
        <v>41369</v>
      </c>
      <c r="K254" s="6">
        <v>5</v>
      </c>
      <c r="L254">
        <f>VLOOKUP(A254,Marketing_df2!$A$1:$F$2241,3,FALSE)</f>
        <v>148</v>
      </c>
      <c r="M254">
        <f>VLOOKUP(A254,Marketing_df2!$A$1:$F$2241,4,FALSE)</f>
        <v>172</v>
      </c>
      <c r="N254">
        <f>VLOOKUP(A254,Marketing_df2!$A$1:$F$2241,5,FALSE)</f>
        <v>6</v>
      </c>
      <c r="O254">
        <f>VLOOKUP(A254,Marketing_df2!$A$1:$F$2241,6,FALSE)</f>
        <v>13</v>
      </c>
    </row>
    <row r="255" spans="1:15" ht="12.5">
      <c r="A255" s="6">
        <v>253</v>
      </c>
      <c r="B255" s="6">
        <v>2227</v>
      </c>
      <c r="C255" s="6">
        <v>1958</v>
      </c>
      <c r="D255" s="7" t="s">
        <v>17</v>
      </c>
      <c r="E255" s="7" t="s">
        <v>11</v>
      </c>
      <c r="F255" s="6">
        <v>26490</v>
      </c>
      <c r="G255" s="6">
        <v>0</v>
      </c>
      <c r="H255" s="6">
        <v>0</v>
      </c>
      <c r="I255" s="6">
        <f t="shared" si="3"/>
        <v>0</v>
      </c>
      <c r="J255" s="8">
        <v>41174</v>
      </c>
      <c r="K255" s="6">
        <v>92</v>
      </c>
      <c r="L255">
        <f>VLOOKUP(A255,Marketing_df2!$A$1:$F$2241,3,FALSE)</f>
        <v>47</v>
      </c>
      <c r="M255">
        <f>VLOOKUP(A255,Marketing_df2!$A$1:$F$2241,4,FALSE)</f>
        <v>20</v>
      </c>
      <c r="N255">
        <f>VLOOKUP(A255,Marketing_df2!$A$1:$F$2241,5,FALSE)</f>
        <v>3</v>
      </c>
      <c r="O255">
        <f>VLOOKUP(A255,Marketing_df2!$A$1:$F$2241,6,FALSE)</f>
        <v>5</v>
      </c>
    </row>
    <row r="256" spans="1:15" ht="12.5">
      <c r="A256" s="6">
        <v>254</v>
      </c>
      <c r="B256" s="6">
        <v>10992</v>
      </c>
      <c r="C256" s="6">
        <v>1967</v>
      </c>
      <c r="D256" s="7" t="s">
        <v>9</v>
      </c>
      <c r="E256" s="7" t="s">
        <v>11</v>
      </c>
      <c r="F256" s="6">
        <v>75702</v>
      </c>
      <c r="G256" s="6">
        <v>1</v>
      </c>
      <c r="H256" s="6">
        <v>1</v>
      </c>
      <c r="I256" s="6">
        <f t="shared" si="3"/>
        <v>2</v>
      </c>
      <c r="J256" s="8">
        <v>41150</v>
      </c>
      <c r="K256" s="6">
        <v>77</v>
      </c>
      <c r="L256">
        <f>VLOOKUP(A256,Marketing_df2!$A$1:$F$2241,3,FALSE)</f>
        <v>28</v>
      </c>
      <c r="M256">
        <f>VLOOKUP(A256,Marketing_df2!$A$1:$F$2241,4,FALSE)</f>
        <v>42</v>
      </c>
      <c r="N256">
        <f>VLOOKUP(A256,Marketing_df2!$A$1:$F$2241,5,FALSE)</f>
        <v>4</v>
      </c>
      <c r="O256">
        <f>VLOOKUP(A256,Marketing_df2!$A$1:$F$2241,6,FALSE)</f>
        <v>11</v>
      </c>
    </row>
    <row r="257" spans="1:15" ht="12.5">
      <c r="A257" s="6">
        <v>255</v>
      </c>
      <c r="B257" s="6">
        <v>5304</v>
      </c>
      <c r="C257" s="6">
        <v>1974</v>
      </c>
      <c r="D257" s="7" t="s">
        <v>12</v>
      </c>
      <c r="E257" s="7" t="s">
        <v>10</v>
      </c>
      <c r="F257" s="6">
        <v>30899</v>
      </c>
      <c r="G257" s="6">
        <v>1</v>
      </c>
      <c r="H257" s="6">
        <v>0</v>
      </c>
      <c r="I257" s="6">
        <f t="shared" si="3"/>
        <v>1</v>
      </c>
      <c r="J257" s="9">
        <v>41195</v>
      </c>
      <c r="K257" s="6">
        <v>35</v>
      </c>
      <c r="L257">
        <f>VLOOKUP(A257,Marketing_df2!$A$1:$F$2241,3,FALSE)</f>
        <v>0</v>
      </c>
      <c r="M257">
        <f>VLOOKUP(A257,Marketing_df2!$A$1:$F$2241,4,FALSE)</f>
        <v>0</v>
      </c>
      <c r="N257">
        <f>VLOOKUP(A257,Marketing_df2!$A$1:$F$2241,5,FALSE)</f>
        <v>1</v>
      </c>
      <c r="O257">
        <f>VLOOKUP(A257,Marketing_df2!$A$1:$F$2241,6,FALSE)</f>
        <v>3</v>
      </c>
    </row>
    <row r="258" spans="1:15" ht="12.5">
      <c r="A258" s="6">
        <v>256</v>
      </c>
      <c r="B258" s="6">
        <v>309</v>
      </c>
      <c r="C258" s="6">
        <v>1961</v>
      </c>
      <c r="D258" s="7" t="s">
        <v>12</v>
      </c>
      <c r="E258" s="7" t="s">
        <v>11</v>
      </c>
      <c r="F258" s="6">
        <v>63342</v>
      </c>
      <c r="G258" s="6">
        <v>0</v>
      </c>
      <c r="H258" s="6">
        <v>1</v>
      </c>
      <c r="I258" s="6">
        <f t="shared" si="3"/>
        <v>1</v>
      </c>
      <c r="J258" s="9">
        <v>41198</v>
      </c>
      <c r="K258" s="6">
        <v>48</v>
      </c>
      <c r="L258">
        <f>VLOOKUP(A258,Marketing_df2!$A$1:$F$2241,3,FALSE)</f>
        <v>21</v>
      </c>
      <c r="M258">
        <f>VLOOKUP(A258,Marketing_df2!$A$1:$F$2241,4,FALSE)</f>
        <v>10</v>
      </c>
      <c r="N258">
        <f>VLOOKUP(A258,Marketing_df2!$A$1:$F$2241,5,FALSE)</f>
        <v>8</v>
      </c>
      <c r="O258">
        <f>VLOOKUP(A258,Marketing_df2!$A$1:$F$2241,6,FALSE)</f>
        <v>5</v>
      </c>
    </row>
    <row r="259" spans="1:15" ht="12.5">
      <c r="A259" s="6">
        <v>257</v>
      </c>
      <c r="B259" s="6">
        <v>3406</v>
      </c>
      <c r="C259" s="6">
        <v>1964</v>
      </c>
      <c r="D259" s="7" t="s">
        <v>9</v>
      </c>
      <c r="E259" s="7" t="s">
        <v>10</v>
      </c>
      <c r="F259" s="6">
        <v>45989</v>
      </c>
      <c r="G259" s="6">
        <v>0</v>
      </c>
      <c r="H259" s="6">
        <v>1</v>
      </c>
      <c r="I259" s="6">
        <f t="shared" ref="I259:I322" si="4">G259+H259</f>
        <v>1</v>
      </c>
      <c r="J259" s="9">
        <v>41204</v>
      </c>
      <c r="K259" s="6">
        <v>97</v>
      </c>
      <c r="L259">
        <f>VLOOKUP(A259,Marketing_df2!$A$1:$F$2241,3,FALSE)</f>
        <v>33</v>
      </c>
      <c r="M259">
        <f>VLOOKUP(A259,Marketing_df2!$A$1:$F$2241,4,FALSE)</f>
        <v>24</v>
      </c>
      <c r="N259">
        <f>VLOOKUP(A259,Marketing_df2!$A$1:$F$2241,5,FALSE)</f>
        <v>3</v>
      </c>
      <c r="O259">
        <f>VLOOKUP(A259,Marketing_df2!$A$1:$F$2241,6,FALSE)</f>
        <v>7</v>
      </c>
    </row>
    <row r="260" spans="1:15" ht="12.5">
      <c r="A260" s="6">
        <v>258</v>
      </c>
      <c r="B260" s="6">
        <v>2661</v>
      </c>
      <c r="C260" s="6">
        <v>1964</v>
      </c>
      <c r="D260" s="7" t="s">
        <v>9</v>
      </c>
      <c r="E260" s="7" t="s">
        <v>10</v>
      </c>
      <c r="F260" s="6">
        <v>18701</v>
      </c>
      <c r="G260" s="6">
        <v>1</v>
      </c>
      <c r="H260" s="6">
        <v>1</v>
      </c>
      <c r="I260" s="6">
        <f t="shared" si="4"/>
        <v>2</v>
      </c>
      <c r="J260" s="8">
        <v>41429</v>
      </c>
      <c r="K260" s="6">
        <v>95</v>
      </c>
      <c r="L260">
        <f>VLOOKUP(A260,Marketing_df2!$A$1:$F$2241,3,FALSE)</f>
        <v>4</v>
      </c>
      <c r="M260">
        <f>VLOOKUP(A260,Marketing_df2!$A$1:$F$2241,4,FALSE)</f>
        <v>6</v>
      </c>
      <c r="N260">
        <f>VLOOKUP(A260,Marketing_df2!$A$1:$F$2241,5,FALSE)</f>
        <v>2</v>
      </c>
      <c r="O260">
        <f>VLOOKUP(A260,Marketing_df2!$A$1:$F$2241,6,FALSE)</f>
        <v>4</v>
      </c>
    </row>
    <row r="261" spans="1:15" ht="12.5">
      <c r="A261" s="6">
        <v>259</v>
      </c>
      <c r="B261" s="6">
        <v>3153</v>
      </c>
      <c r="C261" s="6">
        <v>1957</v>
      </c>
      <c r="D261" s="7" t="s">
        <v>12</v>
      </c>
      <c r="E261" s="7" t="s">
        <v>10</v>
      </c>
      <c r="F261" s="6">
        <v>40737</v>
      </c>
      <c r="G261" s="6">
        <v>2</v>
      </c>
      <c r="H261" s="6">
        <v>1</v>
      </c>
      <c r="I261" s="6">
        <f t="shared" si="4"/>
        <v>3</v>
      </c>
      <c r="J261" s="8">
        <v>41616</v>
      </c>
      <c r="K261" s="6">
        <v>24</v>
      </c>
      <c r="L261">
        <f>VLOOKUP(A261,Marketing_df2!$A$1:$F$2241,3,FALSE)</f>
        <v>0</v>
      </c>
      <c r="M261">
        <f>VLOOKUP(A261,Marketing_df2!$A$1:$F$2241,4,FALSE)</f>
        <v>0</v>
      </c>
      <c r="N261">
        <f>VLOOKUP(A261,Marketing_df2!$A$1:$F$2241,5,FALSE)</f>
        <v>1</v>
      </c>
      <c r="O261">
        <f>VLOOKUP(A261,Marketing_df2!$A$1:$F$2241,6,FALSE)</f>
        <v>2</v>
      </c>
    </row>
    <row r="262" spans="1:15" ht="12.5">
      <c r="A262" s="6">
        <v>260</v>
      </c>
      <c r="B262" s="6">
        <v>10264</v>
      </c>
      <c r="C262" s="6">
        <v>1979</v>
      </c>
      <c r="D262" s="7" t="s">
        <v>9</v>
      </c>
      <c r="E262" s="7" t="s">
        <v>15</v>
      </c>
      <c r="F262" s="6">
        <v>15287</v>
      </c>
      <c r="G262" s="6">
        <v>1</v>
      </c>
      <c r="H262" s="6">
        <v>0</v>
      </c>
      <c r="I262" s="6">
        <f t="shared" si="4"/>
        <v>1</v>
      </c>
      <c r="J262" s="9">
        <v>41192</v>
      </c>
      <c r="K262" s="6">
        <v>60</v>
      </c>
      <c r="L262">
        <f>VLOOKUP(A262,Marketing_df2!$A$1:$F$2241,3,FALSE)</f>
        <v>2</v>
      </c>
      <c r="M262">
        <f>VLOOKUP(A262,Marketing_df2!$A$1:$F$2241,4,FALSE)</f>
        <v>3</v>
      </c>
      <c r="N262">
        <f>VLOOKUP(A262,Marketing_df2!$A$1:$F$2241,5,FALSE)</f>
        <v>1</v>
      </c>
      <c r="O262">
        <f>VLOOKUP(A262,Marketing_df2!$A$1:$F$2241,6,FALSE)</f>
        <v>2</v>
      </c>
    </row>
    <row r="263" spans="1:15" ht="12.5">
      <c r="A263" s="6">
        <v>261</v>
      </c>
      <c r="B263" s="6">
        <v>1184</v>
      </c>
      <c r="C263" s="6">
        <v>1968</v>
      </c>
      <c r="D263" s="7" t="s">
        <v>12</v>
      </c>
      <c r="E263" s="7" t="s">
        <v>15</v>
      </c>
      <c r="F263" s="6">
        <v>69674</v>
      </c>
      <c r="G263" s="6">
        <v>0</v>
      </c>
      <c r="H263" s="6">
        <v>2</v>
      </c>
      <c r="I263" s="6">
        <f t="shared" si="4"/>
        <v>2</v>
      </c>
      <c r="J263" s="8">
        <v>41416</v>
      </c>
      <c r="K263" s="6">
        <v>46</v>
      </c>
      <c r="L263">
        <f>VLOOKUP(A263,Marketing_df2!$A$1:$F$2241,3,FALSE)</f>
        <v>41</v>
      </c>
      <c r="M263">
        <f>VLOOKUP(A263,Marketing_df2!$A$1:$F$2241,4,FALSE)</f>
        <v>0</v>
      </c>
      <c r="N263">
        <f>VLOOKUP(A263,Marketing_df2!$A$1:$F$2241,5,FALSE)</f>
        <v>10</v>
      </c>
      <c r="O263">
        <f>VLOOKUP(A263,Marketing_df2!$A$1:$F$2241,6,FALSE)</f>
        <v>10</v>
      </c>
    </row>
    <row r="264" spans="1:15" ht="12.5">
      <c r="A264" s="6">
        <v>262</v>
      </c>
      <c r="B264" s="6">
        <v>4200</v>
      </c>
      <c r="C264" s="6">
        <v>1970</v>
      </c>
      <c r="D264" s="7" t="s">
        <v>14</v>
      </c>
      <c r="E264" s="7" t="s">
        <v>13</v>
      </c>
      <c r="F264" s="6">
        <v>44159</v>
      </c>
      <c r="G264" s="6">
        <v>1</v>
      </c>
      <c r="H264" s="6">
        <v>0</v>
      </c>
      <c r="I264" s="6">
        <f t="shared" si="4"/>
        <v>1</v>
      </c>
      <c r="J264" s="8">
        <v>41807</v>
      </c>
      <c r="K264" s="6">
        <v>85</v>
      </c>
      <c r="L264">
        <f>VLOOKUP(A264,Marketing_df2!$A$1:$F$2241,3,FALSE)</f>
        <v>2</v>
      </c>
      <c r="M264">
        <f>VLOOKUP(A264,Marketing_df2!$A$1:$F$2241,4,FALSE)</f>
        <v>13</v>
      </c>
      <c r="N264">
        <f>VLOOKUP(A264,Marketing_df2!$A$1:$F$2241,5,FALSE)</f>
        <v>4</v>
      </c>
      <c r="O264">
        <f>VLOOKUP(A264,Marketing_df2!$A$1:$F$2241,6,FALSE)</f>
        <v>6</v>
      </c>
    </row>
    <row r="265" spans="1:15" ht="12.5">
      <c r="A265" s="6">
        <v>263</v>
      </c>
      <c r="B265" s="6">
        <v>9396</v>
      </c>
      <c r="C265" s="6">
        <v>1978</v>
      </c>
      <c r="D265" s="7" t="s">
        <v>12</v>
      </c>
      <c r="E265" s="7" t="s">
        <v>13</v>
      </c>
      <c r="F265" s="6">
        <v>37717</v>
      </c>
      <c r="G265" s="6">
        <v>1</v>
      </c>
      <c r="H265" s="6">
        <v>0</v>
      </c>
      <c r="I265" s="6">
        <f t="shared" si="4"/>
        <v>1</v>
      </c>
      <c r="J265" s="9">
        <v>41236</v>
      </c>
      <c r="K265" s="6">
        <v>31</v>
      </c>
      <c r="L265">
        <f>VLOOKUP(A265,Marketing_df2!$A$1:$F$2241,3,FALSE)</f>
        <v>0</v>
      </c>
      <c r="M265">
        <f>VLOOKUP(A265,Marketing_df2!$A$1:$F$2241,4,FALSE)</f>
        <v>1</v>
      </c>
      <c r="N265">
        <f>VLOOKUP(A265,Marketing_df2!$A$1:$F$2241,5,FALSE)</f>
        <v>1</v>
      </c>
      <c r="O265">
        <f>VLOOKUP(A265,Marketing_df2!$A$1:$F$2241,6,FALSE)</f>
        <v>2</v>
      </c>
    </row>
    <row r="266" spans="1:15" ht="12.5">
      <c r="A266" s="6">
        <v>264</v>
      </c>
      <c r="B266" s="6">
        <v>2387</v>
      </c>
      <c r="C266" s="6">
        <v>1952</v>
      </c>
      <c r="D266" s="7" t="s">
        <v>14</v>
      </c>
      <c r="E266" s="7" t="s">
        <v>11</v>
      </c>
      <c r="F266" s="6">
        <v>43776</v>
      </c>
      <c r="G266" s="6">
        <v>1</v>
      </c>
      <c r="H266" s="6">
        <v>1</v>
      </c>
      <c r="I266" s="6">
        <f t="shared" si="4"/>
        <v>2</v>
      </c>
      <c r="J266" s="8">
        <v>41308</v>
      </c>
      <c r="K266" s="6">
        <v>9</v>
      </c>
      <c r="L266">
        <f>VLOOKUP(A266,Marketing_df2!$A$1:$F$2241,3,FALSE)</f>
        <v>2</v>
      </c>
      <c r="M266">
        <f>VLOOKUP(A266,Marketing_df2!$A$1:$F$2241,4,FALSE)</f>
        <v>2</v>
      </c>
      <c r="N266">
        <f>VLOOKUP(A266,Marketing_df2!$A$1:$F$2241,5,FALSE)</f>
        <v>5</v>
      </c>
      <c r="O266">
        <f>VLOOKUP(A266,Marketing_df2!$A$1:$F$2241,6,FALSE)</f>
        <v>4</v>
      </c>
    </row>
    <row r="267" spans="1:15" ht="12.5">
      <c r="A267" s="6">
        <v>265</v>
      </c>
      <c r="B267" s="6">
        <v>6690</v>
      </c>
      <c r="C267" s="6">
        <v>1966</v>
      </c>
      <c r="D267" s="7" t="s">
        <v>14</v>
      </c>
      <c r="E267" s="7" t="s">
        <v>13</v>
      </c>
      <c r="F267" s="6">
        <v>38179</v>
      </c>
      <c r="G267" s="6">
        <v>1</v>
      </c>
      <c r="H267" s="6">
        <v>1</v>
      </c>
      <c r="I267" s="6">
        <f t="shared" si="4"/>
        <v>2</v>
      </c>
      <c r="J267" s="8">
        <v>41347</v>
      </c>
      <c r="K267" s="6">
        <v>30</v>
      </c>
      <c r="L267">
        <f>VLOOKUP(A267,Marketing_df2!$A$1:$F$2241,3,FALSE)</f>
        <v>4</v>
      </c>
      <c r="M267">
        <f>VLOOKUP(A267,Marketing_df2!$A$1:$F$2241,4,FALSE)</f>
        <v>2</v>
      </c>
      <c r="N267">
        <f>VLOOKUP(A267,Marketing_df2!$A$1:$F$2241,5,FALSE)</f>
        <v>3</v>
      </c>
      <c r="O267">
        <f>VLOOKUP(A267,Marketing_df2!$A$1:$F$2241,6,FALSE)</f>
        <v>3</v>
      </c>
    </row>
    <row r="268" spans="1:15" ht="12.5">
      <c r="A268" s="6">
        <v>266</v>
      </c>
      <c r="B268" s="6">
        <v>1225</v>
      </c>
      <c r="C268" s="6">
        <v>1963</v>
      </c>
      <c r="D268" s="7" t="s">
        <v>9</v>
      </c>
      <c r="E268" s="7" t="s">
        <v>13</v>
      </c>
      <c r="F268" s="6">
        <v>80124</v>
      </c>
      <c r="G268" s="6">
        <v>0</v>
      </c>
      <c r="H268" s="6">
        <v>0</v>
      </c>
      <c r="I268" s="6">
        <f t="shared" si="4"/>
        <v>0</v>
      </c>
      <c r="J268" s="8">
        <v>41816</v>
      </c>
      <c r="K268" s="6">
        <v>47</v>
      </c>
      <c r="L268">
        <f>VLOOKUP(A268,Marketing_df2!$A$1:$F$2241,3,FALSE)</f>
        <v>84</v>
      </c>
      <c r="M268">
        <f>VLOOKUP(A268,Marketing_df2!$A$1:$F$2241,4,FALSE)</f>
        <v>84</v>
      </c>
      <c r="N268">
        <f>VLOOKUP(A268,Marketing_df2!$A$1:$F$2241,5,FALSE)</f>
        <v>3</v>
      </c>
      <c r="O268">
        <f>VLOOKUP(A268,Marketing_df2!$A$1:$F$2241,6,FALSE)</f>
        <v>8</v>
      </c>
    </row>
    <row r="269" spans="1:15" ht="12.5">
      <c r="A269" s="6">
        <v>267</v>
      </c>
      <c r="B269" s="6">
        <v>9703</v>
      </c>
      <c r="C269" s="6">
        <v>1970</v>
      </c>
      <c r="D269" s="7" t="s">
        <v>12</v>
      </c>
      <c r="E269" s="7" t="s">
        <v>13</v>
      </c>
      <c r="F269" s="6">
        <v>38097</v>
      </c>
      <c r="G269" s="6">
        <v>1</v>
      </c>
      <c r="H269" s="6">
        <v>1</v>
      </c>
      <c r="I269" s="6">
        <f t="shared" si="4"/>
        <v>2</v>
      </c>
      <c r="J269" s="9">
        <v>41197</v>
      </c>
      <c r="K269" s="6">
        <v>70</v>
      </c>
      <c r="L269">
        <f>VLOOKUP(A269,Marketing_df2!$A$1:$F$2241,3,FALSE)</f>
        <v>2</v>
      </c>
      <c r="M269">
        <f>VLOOKUP(A269,Marketing_df2!$A$1:$F$2241,4,FALSE)</f>
        <v>1</v>
      </c>
      <c r="N269">
        <f>VLOOKUP(A269,Marketing_df2!$A$1:$F$2241,5,FALSE)</f>
        <v>3</v>
      </c>
      <c r="O269">
        <f>VLOOKUP(A269,Marketing_df2!$A$1:$F$2241,6,FALSE)</f>
        <v>2</v>
      </c>
    </row>
    <row r="270" spans="1:15" ht="12.5">
      <c r="A270" s="6">
        <v>268</v>
      </c>
      <c r="B270" s="6">
        <v>291</v>
      </c>
      <c r="C270" s="6">
        <v>1970</v>
      </c>
      <c r="D270" s="7" t="s">
        <v>9</v>
      </c>
      <c r="E270" s="7" t="s">
        <v>13</v>
      </c>
      <c r="F270" s="6">
        <v>72940</v>
      </c>
      <c r="G270" s="6">
        <v>0</v>
      </c>
      <c r="H270" s="6">
        <v>0</v>
      </c>
      <c r="I270" s="6">
        <f t="shared" si="4"/>
        <v>0</v>
      </c>
      <c r="J270" s="8">
        <v>41444</v>
      </c>
      <c r="K270" s="6">
        <v>13</v>
      </c>
      <c r="L270">
        <f>VLOOKUP(A270,Marketing_df2!$A$1:$F$2241,3,FALSE)</f>
        <v>74</v>
      </c>
      <c r="M270">
        <f>VLOOKUP(A270,Marketing_df2!$A$1:$F$2241,4,FALSE)</f>
        <v>149</v>
      </c>
      <c r="N270">
        <f>VLOOKUP(A270,Marketing_df2!$A$1:$F$2241,5,FALSE)</f>
        <v>3</v>
      </c>
      <c r="O270">
        <f>VLOOKUP(A270,Marketing_df2!$A$1:$F$2241,6,FALSE)</f>
        <v>6</v>
      </c>
    </row>
    <row r="271" spans="1:15" ht="12.5">
      <c r="A271" s="6">
        <v>269</v>
      </c>
      <c r="B271" s="6">
        <v>4557</v>
      </c>
      <c r="C271" s="6">
        <v>1970</v>
      </c>
      <c r="D271" s="7" t="s">
        <v>9</v>
      </c>
      <c r="E271" s="7" t="s">
        <v>11</v>
      </c>
      <c r="F271" s="6">
        <v>22070</v>
      </c>
      <c r="G271" s="6">
        <v>1</v>
      </c>
      <c r="H271" s="6">
        <v>0</v>
      </c>
      <c r="I271" s="6">
        <f t="shared" si="4"/>
        <v>1</v>
      </c>
      <c r="J271" s="8">
        <v>41551</v>
      </c>
      <c r="K271" s="6">
        <v>11</v>
      </c>
      <c r="L271">
        <f>VLOOKUP(A271,Marketing_df2!$A$1:$F$2241,3,FALSE)</f>
        <v>7</v>
      </c>
      <c r="M271">
        <f>VLOOKUP(A271,Marketing_df2!$A$1:$F$2241,4,FALSE)</f>
        <v>2</v>
      </c>
      <c r="N271">
        <f>VLOOKUP(A271,Marketing_df2!$A$1:$F$2241,5,FALSE)</f>
        <v>2</v>
      </c>
      <c r="O271">
        <f>VLOOKUP(A271,Marketing_df2!$A$1:$F$2241,6,FALSE)</f>
        <v>2</v>
      </c>
    </row>
    <row r="272" spans="1:15" ht="12.5">
      <c r="A272" s="6">
        <v>270</v>
      </c>
      <c r="B272" s="6">
        <v>2379</v>
      </c>
      <c r="C272" s="6">
        <v>1953</v>
      </c>
      <c r="D272" s="7" t="s">
        <v>9</v>
      </c>
      <c r="E272" s="7" t="s">
        <v>10</v>
      </c>
      <c r="F272" s="6">
        <v>69267</v>
      </c>
      <c r="G272" s="6">
        <v>0</v>
      </c>
      <c r="H272" s="6">
        <v>0</v>
      </c>
      <c r="I272" s="6">
        <f t="shared" si="4"/>
        <v>0</v>
      </c>
      <c r="J272" s="8">
        <v>41174</v>
      </c>
      <c r="K272" s="6">
        <v>31</v>
      </c>
      <c r="L272">
        <f>VLOOKUP(A272,Marketing_df2!$A$1:$F$2241,3,FALSE)</f>
        <v>44</v>
      </c>
      <c r="M272">
        <f>VLOOKUP(A272,Marketing_df2!$A$1:$F$2241,4,FALSE)</f>
        <v>73</v>
      </c>
      <c r="N272">
        <f>VLOOKUP(A272,Marketing_df2!$A$1:$F$2241,5,FALSE)</f>
        <v>3</v>
      </c>
      <c r="O272">
        <f>VLOOKUP(A272,Marketing_df2!$A$1:$F$2241,6,FALSE)</f>
        <v>5</v>
      </c>
    </row>
    <row r="273" spans="1:15" ht="12.5">
      <c r="A273" s="6">
        <v>271</v>
      </c>
      <c r="B273" s="6">
        <v>5726</v>
      </c>
      <c r="C273" s="6">
        <v>1983</v>
      </c>
      <c r="D273" s="7" t="s">
        <v>14</v>
      </c>
      <c r="E273" s="7" t="s">
        <v>10</v>
      </c>
      <c r="F273" s="6">
        <v>31788</v>
      </c>
      <c r="G273" s="6">
        <v>1</v>
      </c>
      <c r="H273" s="6">
        <v>0</v>
      </c>
      <c r="I273" s="6">
        <f t="shared" si="4"/>
        <v>1</v>
      </c>
      <c r="J273" s="8">
        <v>41718</v>
      </c>
      <c r="K273" s="6">
        <v>15</v>
      </c>
      <c r="L273">
        <f>VLOOKUP(A273,Marketing_df2!$A$1:$F$2241,3,FALSE)</f>
        <v>7</v>
      </c>
      <c r="M273">
        <f>VLOOKUP(A273,Marketing_df2!$A$1:$F$2241,4,FALSE)</f>
        <v>8</v>
      </c>
      <c r="N273">
        <f>VLOOKUP(A273,Marketing_df2!$A$1:$F$2241,5,FALSE)</f>
        <v>3</v>
      </c>
      <c r="O273">
        <f>VLOOKUP(A273,Marketing_df2!$A$1:$F$2241,6,FALSE)</f>
        <v>4</v>
      </c>
    </row>
    <row r="274" spans="1:15" ht="12.5">
      <c r="A274" s="6">
        <v>272</v>
      </c>
      <c r="B274" s="6">
        <v>3066</v>
      </c>
      <c r="C274" s="6">
        <v>1975</v>
      </c>
      <c r="D274" s="7" t="s">
        <v>12</v>
      </c>
      <c r="E274" s="7" t="s">
        <v>11</v>
      </c>
      <c r="F274" s="6">
        <v>61905</v>
      </c>
      <c r="G274" s="6">
        <v>0</v>
      </c>
      <c r="H274" s="6">
        <v>1</v>
      </c>
      <c r="I274" s="6">
        <f t="shared" si="4"/>
        <v>1</v>
      </c>
      <c r="J274" s="8">
        <v>41674</v>
      </c>
      <c r="K274" s="6">
        <v>2</v>
      </c>
      <c r="L274">
        <f>VLOOKUP(A274,Marketing_df2!$A$1:$F$2241,3,FALSE)</f>
        <v>0</v>
      </c>
      <c r="M274">
        <f>VLOOKUP(A274,Marketing_df2!$A$1:$F$2241,4,FALSE)</f>
        <v>2</v>
      </c>
      <c r="N274">
        <f>VLOOKUP(A274,Marketing_df2!$A$1:$F$2241,5,FALSE)</f>
        <v>4</v>
      </c>
      <c r="O274">
        <f>VLOOKUP(A274,Marketing_df2!$A$1:$F$2241,6,FALSE)</f>
        <v>4</v>
      </c>
    </row>
    <row r="275" spans="1:15" ht="12.5">
      <c r="A275" s="6">
        <v>273</v>
      </c>
      <c r="B275" s="6">
        <v>6336</v>
      </c>
      <c r="C275" s="6">
        <v>1960</v>
      </c>
      <c r="D275" s="7" t="s">
        <v>9</v>
      </c>
      <c r="E275" s="7" t="s">
        <v>13</v>
      </c>
      <c r="F275" s="6">
        <v>29315</v>
      </c>
      <c r="G275" s="6">
        <v>1</v>
      </c>
      <c r="H275" s="6">
        <v>1</v>
      </c>
      <c r="I275" s="6">
        <f t="shared" si="4"/>
        <v>2</v>
      </c>
      <c r="J275" s="8">
        <v>41735</v>
      </c>
      <c r="K275" s="6">
        <v>55</v>
      </c>
      <c r="L275">
        <f>VLOOKUP(A275,Marketing_df2!$A$1:$F$2241,3,FALSE)</f>
        <v>2</v>
      </c>
      <c r="M275">
        <f>VLOOKUP(A275,Marketing_df2!$A$1:$F$2241,4,FALSE)</f>
        <v>7</v>
      </c>
      <c r="N275">
        <f>VLOOKUP(A275,Marketing_df2!$A$1:$F$2241,5,FALSE)</f>
        <v>2</v>
      </c>
      <c r="O275">
        <f>VLOOKUP(A275,Marketing_df2!$A$1:$F$2241,6,FALSE)</f>
        <v>4</v>
      </c>
    </row>
    <row r="276" spans="1:15" ht="12.5">
      <c r="A276" s="6">
        <v>274</v>
      </c>
      <c r="B276" s="6">
        <v>10967</v>
      </c>
      <c r="C276" s="6">
        <v>1963</v>
      </c>
      <c r="D276" s="7" t="s">
        <v>9</v>
      </c>
      <c r="E276" s="7" t="s">
        <v>15</v>
      </c>
      <c r="F276" s="6">
        <v>33378</v>
      </c>
      <c r="G276" s="6">
        <v>1</v>
      </c>
      <c r="H276" s="6">
        <v>1</v>
      </c>
      <c r="I276" s="6">
        <f t="shared" si="4"/>
        <v>2</v>
      </c>
      <c r="J276" s="8">
        <v>41311</v>
      </c>
      <c r="K276" s="6">
        <v>38</v>
      </c>
      <c r="L276">
        <f>VLOOKUP(A276,Marketing_df2!$A$1:$F$2241,3,FALSE)</f>
        <v>6</v>
      </c>
      <c r="M276">
        <f>VLOOKUP(A276,Marketing_df2!$A$1:$F$2241,4,FALSE)</f>
        <v>7</v>
      </c>
      <c r="N276">
        <f>VLOOKUP(A276,Marketing_df2!$A$1:$F$2241,5,FALSE)</f>
        <v>2</v>
      </c>
      <c r="O276">
        <f>VLOOKUP(A276,Marketing_df2!$A$1:$F$2241,6,FALSE)</f>
        <v>4</v>
      </c>
    </row>
    <row r="277" spans="1:15" ht="12.5">
      <c r="A277" s="6">
        <v>275</v>
      </c>
      <c r="B277" s="6">
        <v>2304</v>
      </c>
      <c r="C277" s="6">
        <v>1963</v>
      </c>
      <c r="D277" s="7" t="s">
        <v>12</v>
      </c>
      <c r="E277" s="7" t="s">
        <v>11</v>
      </c>
      <c r="F277" s="6">
        <v>66313</v>
      </c>
      <c r="G277" s="6">
        <v>0</v>
      </c>
      <c r="H277" s="6">
        <v>1</v>
      </c>
      <c r="I277" s="6">
        <f t="shared" si="4"/>
        <v>1</v>
      </c>
      <c r="J277" s="8">
        <v>41533</v>
      </c>
      <c r="K277" s="6">
        <v>86</v>
      </c>
      <c r="L277">
        <f>VLOOKUP(A277,Marketing_df2!$A$1:$F$2241,3,FALSE)</f>
        <v>7</v>
      </c>
      <c r="M277">
        <f>VLOOKUP(A277,Marketing_df2!$A$1:$F$2241,4,FALSE)</f>
        <v>22</v>
      </c>
      <c r="N277">
        <f>VLOOKUP(A277,Marketing_df2!$A$1:$F$2241,5,FALSE)</f>
        <v>6</v>
      </c>
      <c r="O277">
        <f>VLOOKUP(A277,Marketing_df2!$A$1:$F$2241,6,FALSE)</f>
        <v>12</v>
      </c>
    </row>
    <row r="278" spans="1:15" ht="12.5">
      <c r="A278" s="6">
        <v>276</v>
      </c>
      <c r="B278" s="6">
        <v>3445</v>
      </c>
      <c r="C278" s="6">
        <v>1956</v>
      </c>
      <c r="D278" s="7" t="s">
        <v>9</v>
      </c>
      <c r="E278" s="7" t="s">
        <v>10</v>
      </c>
      <c r="F278" s="6">
        <v>60714</v>
      </c>
      <c r="G278" s="6">
        <v>0</v>
      </c>
      <c r="H278" s="6">
        <v>0</v>
      </c>
      <c r="I278" s="6">
        <f t="shared" si="4"/>
        <v>0</v>
      </c>
      <c r="J278" s="8">
        <v>41291</v>
      </c>
      <c r="K278" s="6">
        <v>56</v>
      </c>
      <c r="L278">
        <f>VLOOKUP(A278,Marketing_df2!$A$1:$F$2241,3,FALSE)</f>
        <v>162</v>
      </c>
      <c r="M278">
        <f>VLOOKUP(A278,Marketing_df2!$A$1:$F$2241,4,FALSE)</f>
        <v>92</v>
      </c>
      <c r="N278">
        <f>VLOOKUP(A278,Marketing_df2!$A$1:$F$2241,5,FALSE)</f>
        <v>7</v>
      </c>
      <c r="O278">
        <f>VLOOKUP(A278,Marketing_df2!$A$1:$F$2241,6,FALSE)</f>
        <v>10</v>
      </c>
    </row>
    <row r="279" spans="1:15" ht="12.5">
      <c r="A279" s="6">
        <v>277</v>
      </c>
      <c r="B279" s="6">
        <v>7828</v>
      </c>
      <c r="C279" s="6">
        <v>1981</v>
      </c>
      <c r="D279" s="7" t="s">
        <v>14</v>
      </c>
      <c r="E279" s="7" t="s">
        <v>11</v>
      </c>
      <c r="F279" s="6">
        <v>77882</v>
      </c>
      <c r="G279" s="6">
        <v>0</v>
      </c>
      <c r="H279" s="6">
        <v>0</v>
      </c>
      <c r="I279" s="6">
        <f t="shared" si="4"/>
        <v>0</v>
      </c>
      <c r="J279" s="8">
        <v>41759</v>
      </c>
      <c r="K279" s="6">
        <v>29</v>
      </c>
      <c r="L279">
        <f>VLOOKUP(A279,Marketing_df2!$A$1:$F$2241,3,FALSE)</f>
        <v>129</v>
      </c>
      <c r="M279">
        <f>VLOOKUP(A279,Marketing_df2!$A$1:$F$2241,4,FALSE)</f>
        <v>22</v>
      </c>
      <c r="N279">
        <f>VLOOKUP(A279,Marketing_df2!$A$1:$F$2241,5,FALSE)</f>
        <v>3</v>
      </c>
      <c r="O279">
        <f>VLOOKUP(A279,Marketing_df2!$A$1:$F$2241,6,FALSE)</f>
        <v>5</v>
      </c>
    </row>
    <row r="280" spans="1:15" ht="12.5">
      <c r="A280" s="6">
        <v>278</v>
      </c>
      <c r="B280" s="6">
        <v>3762</v>
      </c>
      <c r="C280" s="6">
        <v>1986</v>
      </c>
      <c r="D280" s="7" t="s">
        <v>12</v>
      </c>
      <c r="E280" s="7" t="s">
        <v>10</v>
      </c>
      <c r="F280" s="6">
        <v>69867</v>
      </c>
      <c r="G280" s="6">
        <v>0</v>
      </c>
      <c r="H280" s="6">
        <v>0</v>
      </c>
      <c r="I280" s="6">
        <f t="shared" si="4"/>
        <v>0</v>
      </c>
      <c r="J280" s="8">
        <v>41366</v>
      </c>
      <c r="K280" s="6">
        <v>30</v>
      </c>
      <c r="L280">
        <f>VLOOKUP(A280,Marketing_df2!$A$1:$F$2241,3,FALSE)</f>
        <v>0</v>
      </c>
      <c r="M280">
        <f>VLOOKUP(A280,Marketing_df2!$A$1:$F$2241,4,FALSE)</f>
        <v>130</v>
      </c>
      <c r="N280">
        <f>VLOOKUP(A280,Marketing_df2!$A$1:$F$2241,5,FALSE)</f>
        <v>3</v>
      </c>
      <c r="O280">
        <f>VLOOKUP(A280,Marketing_df2!$A$1:$F$2241,6,FALSE)</f>
        <v>8</v>
      </c>
    </row>
    <row r="281" spans="1:15" ht="12.5">
      <c r="A281" s="6">
        <v>279</v>
      </c>
      <c r="B281" s="6">
        <v>4391</v>
      </c>
      <c r="C281" s="6">
        <v>1968</v>
      </c>
      <c r="D281" s="7" t="s">
        <v>14</v>
      </c>
      <c r="E281" s="7" t="s">
        <v>15</v>
      </c>
      <c r="F281" s="6">
        <v>63841</v>
      </c>
      <c r="G281" s="6">
        <v>0</v>
      </c>
      <c r="H281" s="6">
        <v>1</v>
      </c>
      <c r="I281" s="6">
        <f t="shared" si="4"/>
        <v>1</v>
      </c>
      <c r="J281" s="8">
        <v>41385</v>
      </c>
      <c r="K281" s="6">
        <v>64</v>
      </c>
      <c r="L281">
        <f>VLOOKUP(A281,Marketing_df2!$A$1:$F$2241,3,FALSE)</f>
        <v>15</v>
      </c>
      <c r="M281">
        <f>VLOOKUP(A281,Marketing_df2!$A$1:$F$2241,4,FALSE)</f>
        <v>7</v>
      </c>
      <c r="N281">
        <f>VLOOKUP(A281,Marketing_df2!$A$1:$F$2241,5,FALSE)</f>
        <v>9</v>
      </c>
      <c r="O281">
        <f>VLOOKUP(A281,Marketing_df2!$A$1:$F$2241,6,FALSE)</f>
        <v>9</v>
      </c>
    </row>
    <row r="282" spans="1:15" ht="12.5">
      <c r="A282" s="6">
        <v>280</v>
      </c>
      <c r="B282" s="6">
        <v>4669</v>
      </c>
      <c r="C282" s="6">
        <v>1981</v>
      </c>
      <c r="D282" s="7" t="s">
        <v>16</v>
      </c>
      <c r="E282" s="7" t="s">
        <v>13</v>
      </c>
      <c r="F282" s="6">
        <v>24480</v>
      </c>
      <c r="G282" s="6">
        <v>1</v>
      </c>
      <c r="H282" s="6">
        <v>0</v>
      </c>
      <c r="I282" s="6">
        <f t="shared" si="4"/>
        <v>1</v>
      </c>
      <c r="J282" s="8">
        <v>41316</v>
      </c>
      <c r="K282" s="6">
        <v>46</v>
      </c>
      <c r="L282">
        <f>VLOOKUP(A282,Marketing_df2!$A$1:$F$2241,3,FALSE)</f>
        <v>19</v>
      </c>
      <c r="M282">
        <f>VLOOKUP(A282,Marketing_df2!$A$1:$F$2241,4,FALSE)</f>
        <v>25</v>
      </c>
      <c r="N282">
        <f>VLOOKUP(A282,Marketing_df2!$A$1:$F$2241,5,FALSE)</f>
        <v>3</v>
      </c>
      <c r="O282">
        <f>VLOOKUP(A282,Marketing_df2!$A$1:$F$2241,6,FALSE)</f>
        <v>4</v>
      </c>
    </row>
    <row r="283" spans="1:15" ht="12.5">
      <c r="A283" s="6">
        <v>281</v>
      </c>
      <c r="B283" s="6">
        <v>10144</v>
      </c>
      <c r="C283" s="6">
        <v>1976</v>
      </c>
      <c r="D283" s="7" t="s">
        <v>9</v>
      </c>
      <c r="E283" s="7" t="s">
        <v>11</v>
      </c>
      <c r="F283" s="6">
        <v>51369</v>
      </c>
      <c r="G283" s="6">
        <v>0</v>
      </c>
      <c r="H283" s="6">
        <v>1</v>
      </c>
      <c r="I283" s="6">
        <f t="shared" si="4"/>
        <v>1</v>
      </c>
      <c r="J283" s="9">
        <v>41207</v>
      </c>
      <c r="K283" s="6">
        <v>84</v>
      </c>
      <c r="L283">
        <f>VLOOKUP(A283,Marketing_df2!$A$1:$F$2241,3,FALSE)</f>
        <v>7</v>
      </c>
      <c r="M283">
        <f>VLOOKUP(A283,Marketing_df2!$A$1:$F$2241,4,FALSE)</f>
        <v>11</v>
      </c>
      <c r="N283">
        <f>VLOOKUP(A283,Marketing_df2!$A$1:$F$2241,5,FALSE)</f>
        <v>8</v>
      </c>
      <c r="O283">
        <f>VLOOKUP(A283,Marketing_df2!$A$1:$F$2241,6,FALSE)</f>
        <v>4</v>
      </c>
    </row>
    <row r="284" spans="1:15" ht="12.5">
      <c r="A284" s="6">
        <v>282</v>
      </c>
      <c r="B284" s="6">
        <v>8652</v>
      </c>
      <c r="C284" s="6">
        <v>1946</v>
      </c>
      <c r="D284" s="7" t="s">
        <v>9</v>
      </c>
      <c r="E284" s="7" t="s">
        <v>11</v>
      </c>
      <c r="F284" s="6">
        <v>37760</v>
      </c>
      <c r="G284" s="6">
        <v>0</v>
      </c>
      <c r="H284" s="6">
        <v>0</v>
      </c>
      <c r="I284" s="6">
        <f t="shared" si="4"/>
        <v>0</v>
      </c>
      <c r="J284" s="8">
        <v>41152</v>
      </c>
      <c r="K284" s="6">
        <v>20</v>
      </c>
      <c r="L284">
        <f>VLOOKUP(A284,Marketing_df2!$A$1:$F$2241,3,FALSE)</f>
        <v>5</v>
      </c>
      <c r="M284">
        <f>VLOOKUP(A284,Marketing_df2!$A$1:$F$2241,4,FALSE)</f>
        <v>12</v>
      </c>
      <c r="N284">
        <f>VLOOKUP(A284,Marketing_df2!$A$1:$F$2241,5,FALSE)</f>
        <v>4</v>
      </c>
      <c r="O284">
        <f>VLOOKUP(A284,Marketing_df2!$A$1:$F$2241,6,FALSE)</f>
        <v>6</v>
      </c>
    </row>
    <row r="285" spans="1:15" ht="12.5">
      <c r="A285" s="6">
        <v>283</v>
      </c>
      <c r="B285" s="6">
        <v>1672</v>
      </c>
      <c r="C285" s="6">
        <v>1974</v>
      </c>
      <c r="D285" s="7" t="s">
        <v>12</v>
      </c>
      <c r="E285" s="7" t="s">
        <v>11</v>
      </c>
      <c r="F285" s="6">
        <v>65640</v>
      </c>
      <c r="G285" s="6">
        <v>0</v>
      </c>
      <c r="H285" s="6">
        <v>1</v>
      </c>
      <c r="I285" s="6">
        <f t="shared" si="4"/>
        <v>1</v>
      </c>
      <c r="J285" s="8">
        <v>41699</v>
      </c>
      <c r="K285" s="6">
        <v>74</v>
      </c>
      <c r="L285">
        <f>VLOOKUP(A285,Marketing_df2!$A$1:$F$2241,3,FALSE)</f>
        <v>7</v>
      </c>
      <c r="M285">
        <f>VLOOKUP(A285,Marketing_df2!$A$1:$F$2241,4,FALSE)</f>
        <v>15</v>
      </c>
      <c r="N285">
        <f>VLOOKUP(A285,Marketing_df2!$A$1:$F$2241,5,FALSE)</f>
        <v>5</v>
      </c>
      <c r="O285">
        <f>VLOOKUP(A285,Marketing_df2!$A$1:$F$2241,6,FALSE)</f>
        <v>8</v>
      </c>
    </row>
    <row r="286" spans="1:15" ht="12.5">
      <c r="A286" s="6">
        <v>284</v>
      </c>
      <c r="B286" s="6">
        <v>8962</v>
      </c>
      <c r="C286" s="6">
        <v>1975</v>
      </c>
      <c r="D286" s="7" t="s">
        <v>14</v>
      </c>
      <c r="E286" s="7" t="s">
        <v>13</v>
      </c>
      <c r="F286" s="6">
        <v>44319</v>
      </c>
      <c r="G286" s="6">
        <v>1</v>
      </c>
      <c r="H286" s="6">
        <v>1</v>
      </c>
      <c r="I286" s="6">
        <f t="shared" si="4"/>
        <v>2</v>
      </c>
      <c r="J286" s="8">
        <v>41746</v>
      </c>
      <c r="K286" s="6">
        <v>18</v>
      </c>
      <c r="L286">
        <f>VLOOKUP(A286,Marketing_df2!$A$1:$F$2241,3,FALSE)</f>
        <v>0</v>
      </c>
      <c r="M286">
        <f>VLOOKUP(A286,Marketing_df2!$A$1:$F$2241,4,FALSE)</f>
        <v>0</v>
      </c>
      <c r="N286">
        <f>VLOOKUP(A286,Marketing_df2!$A$1:$F$2241,5,FALSE)</f>
        <v>2</v>
      </c>
      <c r="O286">
        <f>VLOOKUP(A286,Marketing_df2!$A$1:$F$2241,6,FALSE)</f>
        <v>3</v>
      </c>
    </row>
    <row r="287" spans="1:15" ht="12.5">
      <c r="A287" s="6">
        <v>285</v>
      </c>
      <c r="B287" s="6">
        <v>9974</v>
      </c>
      <c r="C287" s="6">
        <v>1974</v>
      </c>
      <c r="D287" s="7" t="s">
        <v>9</v>
      </c>
      <c r="E287" s="7" t="s">
        <v>13</v>
      </c>
      <c r="F287" s="6">
        <v>30631</v>
      </c>
      <c r="G287" s="6">
        <v>1</v>
      </c>
      <c r="H287" s="6">
        <v>0</v>
      </c>
      <c r="I287" s="6">
        <f t="shared" si="4"/>
        <v>1</v>
      </c>
      <c r="J287" s="8">
        <v>41467</v>
      </c>
      <c r="K287" s="6">
        <v>75</v>
      </c>
      <c r="L287">
        <f>VLOOKUP(A287,Marketing_df2!$A$1:$F$2241,3,FALSE)</f>
        <v>6</v>
      </c>
      <c r="M287">
        <f>VLOOKUP(A287,Marketing_df2!$A$1:$F$2241,4,FALSE)</f>
        <v>5</v>
      </c>
      <c r="N287">
        <f>VLOOKUP(A287,Marketing_df2!$A$1:$F$2241,5,FALSE)</f>
        <v>3</v>
      </c>
      <c r="O287">
        <f>VLOOKUP(A287,Marketing_df2!$A$1:$F$2241,6,FALSE)</f>
        <v>2</v>
      </c>
    </row>
    <row r="288" spans="1:15" ht="12.5">
      <c r="A288" s="6">
        <v>286</v>
      </c>
      <c r="B288" s="6">
        <v>10983</v>
      </c>
      <c r="C288" s="6">
        <v>1952</v>
      </c>
      <c r="D288" s="7" t="s">
        <v>9</v>
      </c>
      <c r="E288" s="7" t="s">
        <v>11</v>
      </c>
      <c r="F288" s="6">
        <v>75278</v>
      </c>
      <c r="G288" s="6">
        <v>0</v>
      </c>
      <c r="H288" s="6">
        <v>0</v>
      </c>
      <c r="I288" s="6">
        <f t="shared" si="4"/>
        <v>0</v>
      </c>
      <c r="J288" s="8">
        <v>41303</v>
      </c>
      <c r="K288" s="6">
        <v>17</v>
      </c>
      <c r="L288">
        <f>VLOOKUP(A288,Marketing_df2!$A$1:$F$2241,3,FALSE)</f>
        <v>98</v>
      </c>
      <c r="M288">
        <f>VLOOKUP(A288,Marketing_df2!$A$1:$F$2241,4,FALSE)</f>
        <v>74</v>
      </c>
      <c r="N288">
        <f>VLOOKUP(A288,Marketing_df2!$A$1:$F$2241,5,FALSE)</f>
        <v>6</v>
      </c>
      <c r="O288">
        <f>VLOOKUP(A288,Marketing_df2!$A$1:$F$2241,6,FALSE)</f>
        <v>13</v>
      </c>
    </row>
    <row r="289" spans="1:15" ht="12.5">
      <c r="A289" s="6">
        <v>287</v>
      </c>
      <c r="B289" s="6">
        <v>8148</v>
      </c>
      <c r="C289" s="6">
        <v>1956</v>
      </c>
      <c r="D289" s="7" t="s">
        <v>14</v>
      </c>
      <c r="E289" s="7" t="s">
        <v>11</v>
      </c>
      <c r="F289" s="6">
        <v>50898</v>
      </c>
      <c r="G289" s="6">
        <v>1</v>
      </c>
      <c r="H289" s="6">
        <v>1</v>
      </c>
      <c r="I289" s="6">
        <f t="shared" si="4"/>
        <v>2</v>
      </c>
      <c r="J289" s="8">
        <v>41282</v>
      </c>
      <c r="K289" s="6">
        <v>88</v>
      </c>
      <c r="L289">
        <f>VLOOKUP(A289,Marketing_df2!$A$1:$F$2241,3,FALSE)</f>
        <v>28</v>
      </c>
      <c r="M289">
        <f>VLOOKUP(A289,Marketing_df2!$A$1:$F$2241,4,FALSE)</f>
        <v>114</v>
      </c>
      <c r="N289">
        <f>VLOOKUP(A289,Marketing_df2!$A$1:$F$2241,5,FALSE)</f>
        <v>6</v>
      </c>
      <c r="O289">
        <f>VLOOKUP(A289,Marketing_df2!$A$1:$F$2241,6,FALSE)</f>
        <v>12</v>
      </c>
    </row>
    <row r="290" spans="1:15" ht="12.5">
      <c r="A290" s="6">
        <v>288</v>
      </c>
      <c r="B290" s="6">
        <v>10102</v>
      </c>
      <c r="C290" s="6">
        <v>1966</v>
      </c>
      <c r="D290" s="7" t="s">
        <v>9</v>
      </c>
      <c r="E290" s="7" t="s">
        <v>18</v>
      </c>
      <c r="F290" s="6">
        <v>79946</v>
      </c>
      <c r="G290" s="6">
        <v>0</v>
      </c>
      <c r="H290" s="6">
        <v>0</v>
      </c>
      <c r="I290" s="6">
        <f t="shared" si="4"/>
        <v>0</v>
      </c>
      <c r="J290" s="8">
        <v>41771</v>
      </c>
      <c r="K290" s="6">
        <v>19</v>
      </c>
      <c r="L290">
        <f>VLOOKUP(A290,Marketing_df2!$A$1:$F$2241,3,FALSE)</f>
        <v>183</v>
      </c>
      <c r="M290">
        <f>VLOOKUP(A290,Marketing_df2!$A$1:$F$2241,4,FALSE)</f>
        <v>141</v>
      </c>
      <c r="N290">
        <f>VLOOKUP(A290,Marketing_df2!$A$1:$F$2241,5,FALSE)</f>
        <v>5</v>
      </c>
      <c r="O290">
        <f>VLOOKUP(A290,Marketing_df2!$A$1:$F$2241,6,FALSE)</f>
        <v>5</v>
      </c>
    </row>
    <row r="291" spans="1:15" ht="12.5">
      <c r="A291" s="6">
        <v>289</v>
      </c>
      <c r="B291" s="6">
        <v>4697</v>
      </c>
      <c r="C291" s="6">
        <v>1949</v>
      </c>
      <c r="D291" s="7" t="s">
        <v>14</v>
      </c>
      <c r="E291" s="7" t="s">
        <v>15</v>
      </c>
      <c r="F291" s="6">
        <v>35416</v>
      </c>
      <c r="G291" s="6">
        <v>0</v>
      </c>
      <c r="H291" s="6">
        <v>0</v>
      </c>
      <c r="I291" s="6">
        <f t="shared" si="4"/>
        <v>0</v>
      </c>
      <c r="J291" s="8">
        <v>41438</v>
      </c>
      <c r="K291" s="6">
        <v>62</v>
      </c>
      <c r="L291">
        <f>VLOOKUP(A291,Marketing_df2!$A$1:$F$2241,3,FALSE)</f>
        <v>3</v>
      </c>
      <c r="M291">
        <f>VLOOKUP(A291,Marketing_df2!$A$1:$F$2241,4,FALSE)</f>
        <v>3</v>
      </c>
      <c r="N291">
        <f>VLOOKUP(A291,Marketing_df2!$A$1:$F$2241,5,FALSE)</f>
        <v>7</v>
      </c>
      <c r="O291">
        <f>VLOOKUP(A291,Marketing_df2!$A$1:$F$2241,6,FALSE)</f>
        <v>5</v>
      </c>
    </row>
    <row r="292" spans="1:15" ht="12.5">
      <c r="A292" s="6">
        <v>290</v>
      </c>
      <c r="B292" s="6">
        <v>9262</v>
      </c>
      <c r="C292" s="6">
        <v>1984</v>
      </c>
      <c r="D292" s="7" t="s">
        <v>17</v>
      </c>
      <c r="E292" s="7" t="s">
        <v>11</v>
      </c>
      <c r="F292" s="6">
        <v>32414</v>
      </c>
      <c r="G292" s="6">
        <v>0</v>
      </c>
      <c r="H292" s="6">
        <v>0</v>
      </c>
      <c r="I292" s="6">
        <f t="shared" si="4"/>
        <v>0</v>
      </c>
      <c r="J292" s="8">
        <v>41459</v>
      </c>
      <c r="K292" s="6">
        <v>11</v>
      </c>
      <c r="L292">
        <f>VLOOKUP(A292,Marketing_df2!$A$1:$F$2241,3,FALSE)</f>
        <v>6</v>
      </c>
      <c r="M292">
        <f>VLOOKUP(A292,Marketing_df2!$A$1:$F$2241,4,FALSE)</f>
        <v>9</v>
      </c>
      <c r="N292">
        <f>VLOOKUP(A292,Marketing_df2!$A$1:$F$2241,5,FALSE)</f>
        <v>1</v>
      </c>
      <c r="O292">
        <f>VLOOKUP(A292,Marketing_df2!$A$1:$F$2241,6,FALSE)</f>
        <v>3</v>
      </c>
    </row>
    <row r="293" spans="1:15" ht="12.5">
      <c r="A293" s="6">
        <v>291</v>
      </c>
      <c r="B293" s="6">
        <v>7254</v>
      </c>
      <c r="C293" s="6">
        <v>1969</v>
      </c>
      <c r="D293" s="7" t="s">
        <v>9</v>
      </c>
      <c r="E293" s="7" t="s">
        <v>11</v>
      </c>
      <c r="F293" s="6">
        <v>38361</v>
      </c>
      <c r="G293" s="6">
        <v>1</v>
      </c>
      <c r="H293" s="6">
        <v>0</v>
      </c>
      <c r="I293" s="6">
        <f t="shared" si="4"/>
        <v>1</v>
      </c>
      <c r="J293" s="9">
        <v>41635</v>
      </c>
      <c r="K293" s="6">
        <v>74</v>
      </c>
      <c r="L293">
        <f>VLOOKUP(A293,Marketing_df2!$A$1:$F$2241,3,FALSE)</f>
        <v>0</v>
      </c>
      <c r="M293">
        <f>VLOOKUP(A293,Marketing_df2!$A$1:$F$2241,4,FALSE)</f>
        <v>8</v>
      </c>
      <c r="N293">
        <f>VLOOKUP(A293,Marketing_df2!$A$1:$F$2241,5,FALSE)</f>
        <v>3</v>
      </c>
      <c r="O293">
        <f>VLOOKUP(A293,Marketing_df2!$A$1:$F$2241,6,FALSE)</f>
        <v>3</v>
      </c>
    </row>
    <row r="294" spans="1:15" ht="12.5">
      <c r="A294" s="6">
        <v>292</v>
      </c>
      <c r="B294" s="6">
        <v>4543</v>
      </c>
      <c r="C294" s="6">
        <v>1980</v>
      </c>
      <c r="D294" s="7" t="s">
        <v>9</v>
      </c>
      <c r="E294" s="7" t="s">
        <v>13</v>
      </c>
      <c r="F294" s="6">
        <v>82497</v>
      </c>
      <c r="G294" s="6">
        <v>0</v>
      </c>
      <c r="H294" s="6">
        <v>0</v>
      </c>
      <c r="I294" s="6">
        <f t="shared" si="4"/>
        <v>0</v>
      </c>
      <c r="J294" s="9">
        <v>41213</v>
      </c>
      <c r="K294" s="6">
        <v>32</v>
      </c>
      <c r="L294">
        <f>VLOOKUP(A294,Marketing_df2!$A$1:$F$2241,3,FALSE)</f>
        <v>129</v>
      </c>
      <c r="M294">
        <f>VLOOKUP(A294,Marketing_df2!$A$1:$F$2241,4,FALSE)</f>
        <v>21</v>
      </c>
      <c r="N294">
        <f>VLOOKUP(A294,Marketing_df2!$A$1:$F$2241,5,FALSE)</f>
        <v>2</v>
      </c>
      <c r="O294">
        <f>VLOOKUP(A294,Marketing_df2!$A$1:$F$2241,6,FALSE)</f>
        <v>9</v>
      </c>
    </row>
    <row r="295" spans="1:15" ht="12.5">
      <c r="A295" s="6">
        <v>293</v>
      </c>
      <c r="B295" s="6">
        <v>4927</v>
      </c>
      <c r="C295" s="6">
        <v>1971</v>
      </c>
      <c r="D295" s="7" t="s">
        <v>9</v>
      </c>
      <c r="E295" s="7" t="s">
        <v>11</v>
      </c>
      <c r="F295" s="6">
        <v>16626</v>
      </c>
      <c r="G295" s="6">
        <v>2</v>
      </c>
      <c r="H295" s="6">
        <v>0</v>
      </c>
      <c r="I295" s="6">
        <f t="shared" si="4"/>
        <v>2</v>
      </c>
      <c r="J295" s="8">
        <v>41654</v>
      </c>
      <c r="K295" s="6">
        <v>76</v>
      </c>
      <c r="L295">
        <f>VLOOKUP(A295,Marketing_df2!$A$1:$F$2241,3,FALSE)</f>
        <v>3</v>
      </c>
      <c r="M295">
        <f>VLOOKUP(A295,Marketing_df2!$A$1:$F$2241,4,FALSE)</f>
        <v>1</v>
      </c>
      <c r="N295">
        <f>VLOOKUP(A295,Marketing_df2!$A$1:$F$2241,5,FALSE)</f>
        <v>3</v>
      </c>
      <c r="O295">
        <f>VLOOKUP(A295,Marketing_df2!$A$1:$F$2241,6,FALSE)</f>
        <v>3</v>
      </c>
    </row>
    <row r="296" spans="1:15" ht="12.5">
      <c r="A296" s="6">
        <v>294</v>
      </c>
      <c r="B296" s="6">
        <v>10451</v>
      </c>
      <c r="C296" s="6">
        <v>1965</v>
      </c>
      <c r="D296" s="7" t="s">
        <v>9</v>
      </c>
      <c r="E296" s="7" t="s">
        <v>11</v>
      </c>
      <c r="F296" s="6">
        <v>29672</v>
      </c>
      <c r="G296" s="6">
        <v>1</v>
      </c>
      <c r="H296" s="6">
        <v>1</v>
      </c>
      <c r="I296" s="6">
        <f t="shared" si="4"/>
        <v>2</v>
      </c>
      <c r="J296" s="8">
        <v>41345</v>
      </c>
      <c r="K296" s="6">
        <v>6</v>
      </c>
      <c r="L296">
        <f>VLOOKUP(A296,Marketing_df2!$A$1:$F$2241,3,FALSE)</f>
        <v>1</v>
      </c>
      <c r="M296">
        <f>VLOOKUP(A296,Marketing_df2!$A$1:$F$2241,4,FALSE)</f>
        <v>4</v>
      </c>
      <c r="N296">
        <f>VLOOKUP(A296,Marketing_df2!$A$1:$F$2241,5,FALSE)</f>
        <v>0</v>
      </c>
      <c r="O296">
        <f>VLOOKUP(A296,Marketing_df2!$A$1:$F$2241,6,FALSE)</f>
        <v>3</v>
      </c>
    </row>
    <row r="297" spans="1:15" ht="12.5">
      <c r="A297" s="6">
        <v>295</v>
      </c>
      <c r="B297" s="6">
        <v>2926</v>
      </c>
      <c r="C297" s="6">
        <v>1952</v>
      </c>
      <c r="D297" s="7" t="s">
        <v>14</v>
      </c>
      <c r="E297" s="7" t="s">
        <v>11</v>
      </c>
      <c r="F297" s="6">
        <v>55951</v>
      </c>
      <c r="G297" s="6">
        <v>0</v>
      </c>
      <c r="H297" s="6">
        <v>1</v>
      </c>
      <c r="I297" s="6">
        <f t="shared" si="4"/>
        <v>1</v>
      </c>
      <c r="J297" s="8">
        <v>41144</v>
      </c>
      <c r="K297" s="6">
        <v>62</v>
      </c>
      <c r="L297">
        <f>VLOOKUP(A297,Marketing_df2!$A$1:$F$2241,3,FALSE)</f>
        <v>0</v>
      </c>
      <c r="M297">
        <f>VLOOKUP(A297,Marketing_df2!$A$1:$F$2241,4,FALSE)</f>
        <v>13</v>
      </c>
      <c r="N297">
        <f>VLOOKUP(A297,Marketing_df2!$A$1:$F$2241,5,FALSE)</f>
        <v>3</v>
      </c>
      <c r="O297">
        <f>VLOOKUP(A297,Marketing_df2!$A$1:$F$2241,6,FALSE)</f>
        <v>11</v>
      </c>
    </row>
    <row r="298" spans="1:15" ht="12.5">
      <c r="A298" s="6">
        <v>296</v>
      </c>
      <c r="B298" s="6">
        <v>2874</v>
      </c>
      <c r="C298" s="6">
        <v>1988</v>
      </c>
      <c r="D298" s="7" t="s">
        <v>17</v>
      </c>
      <c r="E298" s="7" t="s">
        <v>15</v>
      </c>
      <c r="F298" s="6">
        <v>35388</v>
      </c>
      <c r="G298" s="6">
        <v>1</v>
      </c>
      <c r="H298" s="6">
        <v>0</v>
      </c>
      <c r="I298" s="6">
        <f t="shared" si="4"/>
        <v>1</v>
      </c>
      <c r="J298" s="8">
        <v>41340</v>
      </c>
      <c r="K298" s="6">
        <v>20</v>
      </c>
      <c r="L298">
        <f>VLOOKUP(A298,Marketing_df2!$A$1:$F$2241,3,FALSE)</f>
        <v>4</v>
      </c>
      <c r="M298">
        <f>VLOOKUP(A298,Marketing_df2!$A$1:$F$2241,4,FALSE)</f>
        <v>3</v>
      </c>
      <c r="N298">
        <f>VLOOKUP(A298,Marketing_df2!$A$1:$F$2241,5,FALSE)</f>
        <v>1</v>
      </c>
      <c r="O298">
        <f>VLOOKUP(A298,Marketing_df2!$A$1:$F$2241,6,FALSE)</f>
        <v>3</v>
      </c>
    </row>
    <row r="299" spans="1:15" ht="12.5">
      <c r="A299" s="6">
        <v>297</v>
      </c>
      <c r="B299" s="6">
        <v>9738</v>
      </c>
      <c r="C299" s="6">
        <v>1986</v>
      </c>
      <c r="D299" s="7" t="s">
        <v>14</v>
      </c>
      <c r="E299" s="7" t="s">
        <v>11</v>
      </c>
      <c r="F299" s="6">
        <v>42386</v>
      </c>
      <c r="G299" s="6">
        <v>1</v>
      </c>
      <c r="H299" s="6">
        <v>0</v>
      </c>
      <c r="I299" s="6">
        <f t="shared" si="4"/>
        <v>1</v>
      </c>
      <c r="J299" s="8">
        <v>41287</v>
      </c>
      <c r="K299" s="6">
        <v>43</v>
      </c>
      <c r="L299">
        <f>VLOOKUP(A299,Marketing_df2!$A$1:$F$2241,3,FALSE)</f>
        <v>4</v>
      </c>
      <c r="M299">
        <f>VLOOKUP(A299,Marketing_df2!$A$1:$F$2241,4,FALSE)</f>
        <v>4</v>
      </c>
      <c r="N299">
        <f>VLOOKUP(A299,Marketing_df2!$A$1:$F$2241,5,FALSE)</f>
        <v>3</v>
      </c>
      <c r="O299">
        <f>VLOOKUP(A299,Marketing_df2!$A$1:$F$2241,6,FALSE)</f>
        <v>3</v>
      </c>
    </row>
    <row r="300" spans="1:15" ht="12.5">
      <c r="A300" s="6">
        <v>298</v>
      </c>
      <c r="B300" s="6">
        <v>7119</v>
      </c>
      <c r="C300" s="6">
        <v>1982</v>
      </c>
      <c r="D300" s="7" t="s">
        <v>9</v>
      </c>
      <c r="E300" s="7" t="s">
        <v>10</v>
      </c>
      <c r="F300" s="6">
        <v>68627</v>
      </c>
      <c r="G300" s="6">
        <v>0</v>
      </c>
      <c r="H300" s="6">
        <v>0</v>
      </c>
      <c r="I300" s="6">
        <f t="shared" si="4"/>
        <v>0</v>
      </c>
      <c r="J300" s="8">
        <v>41286</v>
      </c>
      <c r="K300" s="6">
        <v>45</v>
      </c>
      <c r="L300">
        <f>VLOOKUP(A300,Marketing_df2!$A$1:$F$2241,3,FALSE)</f>
        <v>15</v>
      </c>
      <c r="M300">
        <f>VLOOKUP(A300,Marketing_df2!$A$1:$F$2241,4,FALSE)</f>
        <v>54</v>
      </c>
      <c r="N300">
        <f>VLOOKUP(A300,Marketing_df2!$A$1:$F$2241,5,FALSE)</f>
        <v>2</v>
      </c>
      <c r="O300">
        <f>VLOOKUP(A300,Marketing_df2!$A$1:$F$2241,6,FALSE)</f>
        <v>6</v>
      </c>
    </row>
    <row r="301" spans="1:15" ht="12.5">
      <c r="A301" s="6">
        <v>299</v>
      </c>
      <c r="B301" s="6">
        <v>3924</v>
      </c>
      <c r="C301" s="6">
        <v>1965</v>
      </c>
      <c r="D301" s="7" t="s">
        <v>12</v>
      </c>
      <c r="E301" s="7" t="s">
        <v>15</v>
      </c>
      <c r="F301" s="6">
        <v>57912</v>
      </c>
      <c r="G301" s="6">
        <v>0</v>
      </c>
      <c r="H301" s="6">
        <v>1</v>
      </c>
      <c r="I301" s="6">
        <f t="shared" si="4"/>
        <v>1</v>
      </c>
      <c r="J301" s="8">
        <v>41715</v>
      </c>
      <c r="K301" s="6">
        <v>34</v>
      </c>
      <c r="L301">
        <f>VLOOKUP(A301,Marketing_df2!$A$1:$F$2241,3,FALSE)</f>
        <v>0</v>
      </c>
      <c r="M301">
        <f>VLOOKUP(A301,Marketing_df2!$A$1:$F$2241,4,FALSE)</f>
        <v>0</v>
      </c>
      <c r="N301">
        <f>VLOOKUP(A301,Marketing_df2!$A$1:$F$2241,5,FALSE)</f>
        <v>8</v>
      </c>
      <c r="O301">
        <f>VLOOKUP(A301,Marketing_df2!$A$1:$F$2241,6,FALSE)</f>
        <v>12</v>
      </c>
    </row>
    <row r="302" spans="1:15" ht="12.5">
      <c r="A302" s="6">
        <v>300</v>
      </c>
      <c r="B302" s="6">
        <v>5827</v>
      </c>
      <c r="C302" s="6">
        <v>1958</v>
      </c>
      <c r="D302" s="7" t="s">
        <v>9</v>
      </c>
      <c r="E302" s="7" t="s">
        <v>15</v>
      </c>
      <c r="F302" s="6">
        <v>35246</v>
      </c>
      <c r="G302" s="6">
        <v>1</v>
      </c>
      <c r="H302" s="6">
        <v>1</v>
      </c>
      <c r="I302" s="6">
        <f t="shared" si="4"/>
        <v>2</v>
      </c>
      <c r="J302" s="8">
        <v>41745</v>
      </c>
      <c r="K302" s="6">
        <v>53</v>
      </c>
      <c r="L302">
        <f>VLOOKUP(A302,Marketing_df2!$A$1:$F$2241,3,FALSE)</f>
        <v>0</v>
      </c>
      <c r="M302">
        <f>VLOOKUP(A302,Marketing_df2!$A$1:$F$2241,4,FALSE)</f>
        <v>2</v>
      </c>
      <c r="N302">
        <f>VLOOKUP(A302,Marketing_df2!$A$1:$F$2241,5,FALSE)</f>
        <v>3</v>
      </c>
      <c r="O302">
        <f>VLOOKUP(A302,Marketing_df2!$A$1:$F$2241,6,FALSE)</f>
        <v>3</v>
      </c>
    </row>
    <row r="303" spans="1:15" ht="12.5">
      <c r="A303" s="6">
        <v>301</v>
      </c>
      <c r="B303" s="6">
        <v>5596</v>
      </c>
      <c r="C303" s="6">
        <v>1956</v>
      </c>
      <c r="D303" s="7" t="s">
        <v>17</v>
      </c>
      <c r="E303" s="7" t="s">
        <v>11</v>
      </c>
      <c r="F303" s="6">
        <v>58821</v>
      </c>
      <c r="G303" s="6">
        <v>0</v>
      </c>
      <c r="H303" s="6">
        <v>1</v>
      </c>
      <c r="I303" s="6">
        <f t="shared" si="4"/>
        <v>1</v>
      </c>
      <c r="J303" s="9">
        <v>41559</v>
      </c>
      <c r="K303" s="6">
        <v>44</v>
      </c>
      <c r="L303">
        <f>VLOOKUP(A303,Marketing_df2!$A$1:$F$2241,3,FALSE)</f>
        <v>14</v>
      </c>
      <c r="M303">
        <f>VLOOKUP(A303,Marketing_df2!$A$1:$F$2241,4,FALSE)</f>
        <v>0</v>
      </c>
      <c r="N303">
        <f>VLOOKUP(A303,Marketing_df2!$A$1:$F$2241,5,FALSE)</f>
        <v>9</v>
      </c>
      <c r="O303">
        <f>VLOOKUP(A303,Marketing_df2!$A$1:$F$2241,6,FALSE)</f>
        <v>9</v>
      </c>
    </row>
    <row r="304" spans="1:15" ht="12.5">
      <c r="A304" s="6">
        <v>302</v>
      </c>
      <c r="B304" s="6">
        <v>10812</v>
      </c>
      <c r="C304" s="6">
        <v>1978</v>
      </c>
      <c r="D304" s="7" t="s">
        <v>12</v>
      </c>
      <c r="E304" s="7" t="s">
        <v>13</v>
      </c>
      <c r="F304" s="6">
        <v>46377</v>
      </c>
      <c r="G304" s="6">
        <v>1</v>
      </c>
      <c r="H304" s="6">
        <v>0</v>
      </c>
      <c r="I304" s="6">
        <f t="shared" si="4"/>
        <v>1</v>
      </c>
      <c r="J304" s="8">
        <v>41699</v>
      </c>
      <c r="K304" s="6">
        <v>89</v>
      </c>
      <c r="L304">
        <f>VLOOKUP(A304,Marketing_df2!$A$1:$F$2241,3,FALSE)</f>
        <v>0</v>
      </c>
      <c r="M304">
        <f>VLOOKUP(A304,Marketing_df2!$A$1:$F$2241,4,FALSE)</f>
        <v>3</v>
      </c>
      <c r="N304">
        <f>VLOOKUP(A304,Marketing_df2!$A$1:$F$2241,5,FALSE)</f>
        <v>2</v>
      </c>
      <c r="O304">
        <f>VLOOKUP(A304,Marketing_df2!$A$1:$F$2241,6,FALSE)</f>
        <v>3</v>
      </c>
    </row>
    <row r="305" spans="1:15" ht="12.5">
      <c r="A305" s="6">
        <v>303</v>
      </c>
      <c r="B305" s="6">
        <v>1717</v>
      </c>
      <c r="C305" s="6">
        <v>1988</v>
      </c>
      <c r="D305" s="7" t="s">
        <v>9</v>
      </c>
      <c r="E305" s="7" t="s">
        <v>10</v>
      </c>
      <c r="F305" s="6">
        <v>39747</v>
      </c>
      <c r="G305" s="6">
        <v>1</v>
      </c>
      <c r="H305" s="6">
        <v>0</v>
      </c>
      <c r="I305" s="6">
        <f t="shared" si="4"/>
        <v>1</v>
      </c>
      <c r="J305" s="8">
        <v>41742</v>
      </c>
      <c r="K305" s="6">
        <v>43</v>
      </c>
      <c r="L305">
        <f>VLOOKUP(A305,Marketing_df2!$A$1:$F$2241,3,FALSE)</f>
        <v>15</v>
      </c>
      <c r="M305">
        <f>VLOOKUP(A305,Marketing_df2!$A$1:$F$2241,4,FALSE)</f>
        <v>13</v>
      </c>
      <c r="N305">
        <f>VLOOKUP(A305,Marketing_df2!$A$1:$F$2241,5,FALSE)</f>
        <v>5</v>
      </c>
      <c r="O305">
        <f>VLOOKUP(A305,Marketing_df2!$A$1:$F$2241,6,FALSE)</f>
        <v>4</v>
      </c>
    </row>
    <row r="306" spans="1:15" ht="12.5">
      <c r="A306" s="6">
        <v>304</v>
      </c>
      <c r="B306" s="6">
        <v>9491</v>
      </c>
      <c r="C306" s="6">
        <v>1984</v>
      </c>
      <c r="D306" s="7" t="s">
        <v>9</v>
      </c>
      <c r="E306" s="7" t="s">
        <v>11</v>
      </c>
      <c r="F306" s="6">
        <v>23976</v>
      </c>
      <c r="G306" s="6">
        <v>1</v>
      </c>
      <c r="H306" s="6">
        <v>0</v>
      </c>
      <c r="I306" s="6">
        <f t="shared" si="4"/>
        <v>1</v>
      </c>
      <c r="J306" s="9">
        <v>41635</v>
      </c>
      <c r="K306" s="6">
        <v>68</v>
      </c>
      <c r="L306">
        <f>VLOOKUP(A306,Marketing_df2!$A$1:$F$2241,3,FALSE)</f>
        <v>1</v>
      </c>
      <c r="M306">
        <f>VLOOKUP(A306,Marketing_df2!$A$1:$F$2241,4,FALSE)</f>
        <v>3</v>
      </c>
      <c r="N306">
        <f>VLOOKUP(A306,Marketing_df2!$A$1:$F$2241,5,FALSE)</f>
        <v>3</v>
      </c>
      <c r="O306">
        <f>VLOOKUP(A306,Marketing_df2!$A$1:$F$2241,6,FALSE)</f>
        <v>3</v>
      </c>
    </row>
    <row r="307" spans="1:15" ht="12.5">
      <c r="A307" s="6">
        <v>305</v>
      </c>
      <c r="B307" s="6">
        <v>9274</v>
      </c>
      <c r="C307" s="6">
        <v>1961</v>
      </c>
      <c r="D307" s="7" t="s">
        <v>14</v>
      </c>
      <c r="E307" s="7" t="s">
        <v>13</v>
      </c>
      <c r="F307" s="6">
        <v>80950</v>
      </c>
      <c r="G307" s="6">
        <v>0</v>
      </c>
      <c r="H307" s="6">
        <v>0</v>
      </c>
      <c r="I307" s="6">
        <f t="shared" si="4"/>
        <v>0</v>
      </c>
      <c r="J307" s="8">
        <v>41361</v>
      </c>
      <c r="K307" s="6">
        <v>44</v>
      </c>
      <c r="L307">
        <f>VLOOKUP(A307,Marketing_df2!$A$1:$F$2241,3,FALSE)</f>
        <v>147</v>
      </c>
      <c r="M307">
        <f>VLOOKUP(A307,Marketing_df2!$A$1:$F$2241,4,FALSE)</f>
        <v>147</v>
      </c>
      <c r="N307">
        <f>VLOOKUP(A307,Marketing_df2!$A$1:$F$2241,5,FALSE)</f>
        <v>6</v>
      </c>
      <c r="O307">
        <f>VLOOKUP(A307,Marketing_df2!$A$1:$F$2241,6,FALSE)</f>
        <v>9</v>
      </c>
    </row>
    <row r="308" spans="1:15" ht="12.5">
      <c r="A308" s="6">
        <v>306</v>
      </c>
      <c r="B308" s="6">
        <v>6609</v>
      </c>
      <c r="C308" s="6">
        <v>1966</v>
      </c>
      <c r="D308" s="7" t="s">
        <v>9</v>
      </c>
      <c r="E308" s="7" t="s">
        <v>18</v>
      </c>
      <c r="F308" s="6">
        <v>27038</v>
      </c>
      <c r="G308" s="6">
        <v>0</v>
      </c>
      <c r="H308" s="6">
        <v>0</v>
      </c>
      <c r="I308" s="6">
        <f t="shared" si="4"/>
        <v>0</v>
      </c>
      <c r="J308" s="8">
        <v>41170</v>
      </c>
      <c r="K308" s="6">
        <v>64</v>
      </c>
      <c r="L308">
        <f>VLOOKUP(A308,Marketing_df2!$A$1:$F$2241,3,FALSE)</f>
        <v>26</v>
      </c>
      <c r="M308">
        <f>VLOOKUP(A308,Marketing_df2!$A$1:$F$2241,4,FALSE)</f>
        <v>23</v>
      </c>
      <c r="N308">
        <f>VLOOKUP(A308,Marketing_df2!$A$1:$F$2241,5,FALSE)</f>
        <v>3</v>
      </c>
      <c r="O308">
        <f>VLOOKUP(A308,Marketing_df2!$A$1:$F$2241,6,FALSE)</f>
        <v>3</v>
      </c>
    </row>
    <row r="309" spans="1:15" ht="12.5">
      <c r="A309" s="6">
        <v>307</v>
      </c>
      <c r="B309" s="6">
        <v>6963</v>
      </c>
      <c r="C309" s="6">
        <v>1947</v>
      </c>
      <c r="D309" s="7" t="s">
        <v>9</v>
      </c>
      <c r="E309" s="7" t="s">
        <v>10</v>
      </c>
      <c r="F309" s="6">
        <v>77457</v>
      </c>
      <c r="G309" s="6">
        <v>0</v>
      </c>
      <c r="H309" s="6">
        <v>0</v>
      </c>
      <c r="I309" s="6">
        <f t="shared" si="4"/>
        <v>0</v>
      </c>
      <c r="J309" s="8">
        <v>41703</v>
      </c>
      <c r="K309" s="6">
        <v>85</v>
      </c>
      <c r="L309">
        <f>VLOOKUP(A309,Marketing_df2!$A$1:$F$2241,3,FALSE)</f>
        <v>11</v>
      </c>
      <c r="M309">
        <f>VLOOKUP(A309,Marketing_df2!$A$1:$F$2241,4,FALSE)</f>
        <v>45</v>
      </c>
      <c r="N309">
        <f>VLOOKUP(A309,Marketing_df2!$A$1:$F$2241,5,FALSE)</f>
        <v>2</v>
      </c>
      <c r="O309">
        <f>VLOOKUP(A309,Marketing_df2!$A$1:$F$2241,6,FALSE)</f>
        <v>10</v>
      </c>
    </row>
    <row r="310" spans="1:15" ht="12.5">
      <c r="A310" s="6">
        <v>308</v>
      </c>
      <c r="B310" s="6">
        <v>4440</v>
      </c>
      <c r="C310" s="6">
        <v>1964</v>
      </c>
      <c r="D310" s="7" t="s">
        <v>14</v>
      </c>
      <c r="E310" s="7" t="s">
        <v>13</v>
      </c>
      <c r="F310" s="6">
        <v>64100</v>
      </c>
      <c r="G310" s="6">
        <v>0</v>
      </c>
      <c r="H310" s="6">
        <v>1</v>
      </c>
      <c r="I310" s="6">
        <f t="shared" si="4"/>
        <v>1</v>
      </c>
      <c r="J310" s="8">
        <v>41527</v>
      </c>
      <c r="K310" s="6">
        <v>93</v>
      </c>
      <c r="L310">
        <f>VLOOKUP(A310,Marketing_df2!$A$1:$F$2241,3,FALSE)</f>
        <v>0</v>
      </c>
      <c r="M310">
        <f>VLOOKUP(A310,Marketing_df2!$A$1:$F$2241,4,FALSE)</f>
        <v>0</v>
      </c>
      <c r="N310">
        <f>VLOOKUP(A310,Marketing_df2!$A$1:$F$2241,5,FALSE)</f>
        <v>8</v>
      </c>
      <c r="O310">
        <f>VLOOKUP(A310,Marketing_df2!$A$1:$F$2241,6,FALSE)</f>
        <v>6</v>
      </c>
    </row>
    <row r="311" spans="1:15" ht="12.5">
      <c r="A311" s="6">
        <v>309</v>
      </c>
      <c r="B311" s="6">
        <v>1379</v>
      </c>
      <c r="C311" s="6">
        <v>1992</v>
      </c>
      <c r="D311" s="7" t="s">
        <v>14</v>
      </c>
      <c r="E311" s="7" t="s">
        <v>11</v>
      </c>
      <c r="F311" s="6">
        <v>42670</v>
      </c>
      <c r="G311" s="6">
        <v>0</v>
      </c>
      <c r="H311" s="6">
        <v>0</v>
      </c>
      <c r="I311" s="6">
        <f t="shared" si="4"/>
        <v>0</v>
      </c>
      <c r="J311" s="8">
        <v>41391</v>
      </c>
      <c r="K311" s="6">
        <v>12</v>
      </c>
      <c r="L311">
        <f>VLOOKUP(A311,Marketing_df2!$A$1:$F$2241,3,FALSE)</f>
        <v>2</v>
      </c>
      <c r="M311">
        <f>VLOOKUP(A311,Marketing_df2!$A$1:$F$2241,4,FALSE)</f>
        <v>4</v>
      </c>
      <c r="N311">
        <f>VLOOKUP(A311,Marketing_df2!$A$1:$F$2241,5,FALSE)</f>
        <v>4</v>
      </c>
      <c r="O311">
        <f>VLOOKUP(A311,Marketing_df2!$A$1:$F$2241,6,FALSE)</f>
        <v>4</v>
      </c>
    </row>
    <row r="312" spans="1:15" ht="12.5">
      <c r="A312" s="6">
        <v>310</v>
      </c>
      <c r="B312" s="6">
        <v>10032</v>
      </c>
      <c r="C312" s="6">
        <v>1976</v>
      </c>
      <c r="D312" s="7" t="s">
        <v>9</v>
      </c>
      <c r="E312" s="7" t="s">
        <v>15</v>
      </c>
      <c r="F312" s="6">
        <v>12571</v>
      </c>
      <c r="G312" s="6">
        <v>1</v>
      </c>
      <c r="H312" s="6">
        <v>0</v>
      </c>
      <c r="I312" s="6">
        <f t="shared" si="4"/>
        <v>1</v>
      </c>
      <c r="J312" s="8">
        <v>41657</v>
      </c>
      <c r="K312" s="6">
        <v>86</v>
      </c>
      <c r="L312">
        <f>VLOOKUP(A312,Marketing_df2!$A$1:$F$2241,3,FALSE)</f>
        <v>5</v>
      </c>
      <c r="M312">
        <f>VLOOKUP(A312,Marketing_df2!$A$1:$F$2241,4,FALSE)</f>
        <v>12</v>
      </c>
      <c r="N312">
        <f>VLOOKUP(A312,Marketing_df2!$A$1:$F$2241,5,FALSE)</f>
        <v>3</v>
      </c>
      <c r="O312">
        <f>VLOOKUP(A312,Marketing_df2!$A$1:$F$2241,6,FALSE)</f>
        <v>3</v>
      </c>
    </row>
    <row r="313" spans="1:15" ht="12.5">
      <c r="A313" s="6">
        <v>311</v>
      </c>
      <c r="B313" s="6">
        <v>2826</v>
      </c>
      <c r="C313" s="6">
        <v>1967</v>
      </c>
      <c r="D313" s="7" t="s">
        <v>9</v>
      </c>
      <c r="E313" s="7" t="s">
        <v>13</v>
      </c>
      <c r="F313" s="6">
        <v>22574</v>
      </c>
      <c r="G313" s="6">
        <v>2</v>
      </c>
      <c r="H313" s="6">
        <v>1</v>
      </c>
      <c r="I313" s="6">
        <f t="shared" si="4"/>
        <v>3</v>
      </c>
      <c r="J313" s="9">
        <v>41575</v>
      </c>
      <c r="K313" s="6">
        <v>28</v>
      </c>
      <c r="L313">
        <f>VLOOKUP(A313,Marketing_df2!$A$1:$F$2241,3,FALSE)</f>
        <v>0</v>
      </c>
      <c r="M313">
        <f>VLOOKUP(A313,Marketing_df2!$A$1:$F$2241,4,FALSE)</f>
        <v>0</v>
      </c>
      <c r="N313">
        <f>VLOOKUP(A313,Marketing_df2!$A$1:$F$2241,5,FALSE)</f>
        <v>2</v>
      </c>
      <c r="O313">
        <f>VLOOKUP(A313,Marketing_df2!$A$1:$F$2241,6,FALSE)</f>
        <v>3</v>
      </c>
    </row>
    <row r="314" spans="1:15" ht="12.5">
      <c r="A314" s="6">
        <v>312</v>
      </c>
      <c r="B314" s="6">
        <v>2437</v>
      </c>
      <c r="C314" s="6">
        <v>1989</v>
      </c>
      <c r="D314" s="7" t="s">
        <v>9</v>
      </c>
      <c r="E314" s="7" t="s">
        <v>13</v>
      </c>
      <c r="F314" s="7"/>
      <c r="G314" s="6">
        <v>0</v>
      </c>
      <c r="H314" s="6">
        <v>0</v>
      </c>
      <c r="I314" s="6">
        <f t="shared" si="4"/>
        <v>0</v>
      </c>
      <c r="J314" s="8">
        <v>41428</v>
      </c>
      <c r="K314" s="6">
        <v>69</v>
      </c>
      <c r="L314">
        <f>VLOOKUP(A314,Marketing_df2!$A$1:$F$2241,3,FALSE)</f>
        <v>138</v>
      </c>
      <c r="M314">
        <f>VLOOKUP(A314,Marketing_df2!$A$1:$F$2241,4,FALSE)</f>
        <v>30</v>
      </c>
      <c r="N314">
        <f>VLOOKUP(A314,Marketing_df2!$A$1:$F$2241,5,FALSE)</f>
        <v>6</v>
      </c>
      <c r="O314">
        <f>VLOOKUP(A314,Marketing_df2!$A$1:$F$2241,6,FALSE)</f>
        <v>12</v>
      </c>
    </row>
    <row r="315" spans="1:15" ht="12.5">
      <c r="A315" s="6">
        <v>313</v>
      </c>
      <c r="B315" s="6">
        <v>6320</v>
      </c>
      <c r="C315" s="6">
        <v>1976</v>
      </c>
      <c r="D315" s="7" t="s">
        <v>14</v>
      </c>
      <c r="E315" s="7" t="s">
        <v>10</v>
      </c>
      <c r="F315" s="6">
        <v>70893</v>
      </c>
      <c r="G315" s="6">
        <v>0</v>
      </c>
      <c r="H315" s="6">
        <v>0</v>
      </c>
      <c r="I315" s="6">
        <f t="shared" si="4"/>
        <v>0</v>
      </c>
      <c r="J315" s="8">
        <v>41311</v>
      </c>
      <c r="K315" s="6">
        <v>42</v>
      </c>
      <c r="L315">
        <f>VLOOKUP(A315,Marketing_df2!$A$1:$F$2241,3,FALSE)</f>
        <v>44</v>
      </c>
      <c r="M315">
        <f>VLOOKUP(A315,Marketing_df2!$A$1:$F$2241,4,FALSE)</f>
        <v>44</v>
      </c>
      <c r="N315">
        <f>VLOOKUP(A315,Marketing_df2!$A$1:$F$2241,5,FALSE)</f>
        <v>6</v>
      </c>
      <c r="O315">
        <f>VLOOKUP(A315,Marketing_df2!$A$1:$F$2241,6,FALSE)</f>
        <v>10</v>
      </c>
    </row>
    <row r="316" spans="1:15" ht="12.5">
      <c r="A316" s="6">
        <v>314</v>
      </c>
      <c r="B316" s="6">
        <v>3050</v>
      </c>
      <c r="C316" s="6">
        <v>1966</v>
      </c>
      <c r="D316" s="7" t="s">
        <v>9</v>
      </c>
      <c r="E316" s="7" t="s">
        <v>13</v>
      </c>
      <c r="F316" s="6">
        <v>54198</v>
      </c>
      <c r="G316" s="6">
        <v>1</v>
      </c>
      <c r="H316" s="6">
        <v>1</v>
      </c>
      <c r="I316" s="6">
        <f t="shared" si="4"/>
        <v>2</v>
      </c>
      <c r="J316" s="9">
        <v>41625</v>
      </c>
      <c r="K316" s="6">
        <v>13</v>
      </c>
      <c r="L316">
        <f>VLOOKUP(A316,Marketing_df2!$A$1:$F$2241,3,FALSE)</f>
        <v>0</v>
      </c>
      <c r="M316">
        <f>VLOOKUP(A316,Marketing_df2!$A$1:$F$2241,4,FALSE)</f>
        <v>2</v>
      </c>
      <c r="N316">
        <f>VLOOKUP(A316,Marketing_df2!$A$1:$F$2241,5,FALSE)</f>
        <v>3</v>
      </c>
      <c r="O316">
        <f>VLOOKUP(A316,Marketing_df2!$A$1:$F$2241,6,FALSE)</f>
        <v>6</v>
      </c>
    </row>
    <row r="317" spans="1:15" ht="12.5">
      <c r="A317" s="6">
        <v>315</v>
      </c>
      <c r="B317" s="6">
        <v>231</v>
      </c>
      <c r="C317" s="6">
        <v>1956</v>
      </c>
      <c r="D317" s="7" t="s">
        <v>14</v>
      </c>
      <c r="E317" s="7" t="s">
        <v>11</v>
      </c>
      <c r="F317" s="6">
        <v>28839</v>
      </c>
      <c r="G317" s="6">
        <v>1</v>
      </c>
      <c r="H317" s="6">
        <v>1</v>
      </c>
      <c r="I317" s="6">
        <f t="shared" si="4"/>
        <v>2</v>
      </c>
      <c r="J317" s="8">
        <v>41709</v>
      </c>
      <c r="K317" s="6">
        <v>86</v>
      </c>
      <c r="L317">
        <f>VLOOKUP(A317,Marketing_df2!$A$1:$F$2241,3,FALSE)</f>
        <v>0</v>
      </c>
      <c r="M317">
        <f>VLOOKUP(A317,Marketing_df2!$A$1:$F$2241,4,FALSE)</f>
        <v>0</v>
      </c>
      <c r="N317">
        <f>VLOOKUP(A317,Marketing_df2!$A$1:$F$2241,5,FALSE)</f>
        <v>2</v>
      </c>
      <c r="O317">
        <f>VLOOKUP(A317,Marketing_df2!$A$1:$F$2241,6,FALSE)</f>
        <v>3</v>
      </c>
    </row>
    <row r="318" spans="1:15" ht="12.5">
      <c r="A318" s="6">
        <v>316</v>
      </c>
      <c r="B318" s="6">
        <v>2392</v>
      </c>
      <c r="C318" s="6">
        <v>1972</v>
      </c>
      <c r="D318" s="7" t="s">
        <v>9</v>
      </c>
      <c r="E318" s="7" t="s">
        <v>13</v>
      </c>
      <c r="F318" s="6">
        <v>40321</v>
      </c>
      <c r="G318" s="6">
        <v>1</v>
      </c>
      <c r="H318" s="6">
        <v>1</v>
      </c>
      <c r="I318" s="6">
        <f t="shared" si="4"/>
        <v>2</v>
      </c>
      <c r="J318" s="8">
        <v>41484</v>
      </c>
      <c r="K318" s="6">
        <v>59</v>
      </c>
      <c r="L318">
        <f>VLOOKUP(A318,Marketing_df2!$A$1:$F$2241,3,FALSE)</f>
        <v>4</v>
      </c>
      <c r="M318">
        <f>VLOOKUP(A318,Marketing_df2!$A$1:$F$2241,4,FALSE)</f>
        <v>0</v>
      </c>
      <c r="N318">
        <f>VLOOKUP(A318,Marketing_df2!$A$1:$F$2241,5,FALSE)</f>
        <v>3</v>
      </c>
      <c r="O318">
        <f>VLOOKUP(A318,Marketing_df2!$A$1:$F$2241,6,FALSE)</f>
        <v>3</v>
      </c>
    </row>
    <row r="319" spans="1:15" ht="12.5">
      <c r="A319" s="6">
        <v>317</v>
      </c>
      <c r="B319" s="6">
        <v>9478</v>
      </c>
      <c r="C319" s="6">
        <v>1985</v>
      </c>
      <c r="D319" s="7" t="s">
        <v>9</v>
      </c>
      <c r="E319" s="7" t="s">
        <v>10</v>
      </c>
      <c r="F319" s="6">
        <v>66503</v>
      </c>
      <c r="G319" s="6">
        <v>1</v>
      </c>
      <c r="H319" s="6">
        <v>0</v>
      </c>
      <c r="I319" s="6">
        <f t="shared" si="4"/>
        <v>1</v>
      </c>
      <c r="J319" s="8">
        <v>41135</v>
      </c>
      <c r="K319" s="6">
        <v>30</v>
      </c>
      <c r="L319">
        <f>VLOOKUP(A319,Marketing_df2!$A$1:$F$2241,3,FALSE)</f>
        <v>64</v>
      </c>
      <c r="M319">
        <f>VLOOKUP(A319,Marketing_df2!$A$1:$F$2241,4,FALSE)</f>
        <v>3</v>
      </c>
      <c r="N319">
        <f>VLOOKUP(A319,Marketing_df2!$A$1:$F$2241,5,FALSE)</f>
        <v>4</v>
      </c>
      <c r="O319">
        <f>VLOOKUP(A319,Marketing_df2!$A$1:$F$2241,6,FALSE)</f>
        <v>6</v>
      </c>
    </row>
    <row r="320" spans="1:15" ht="12.5">
      <c r="A320" s="6">
        <v>318</v>
      </c>
      <c r="B320" s="6">
        <v>113</v>
      </c>
      <c r="C320" s="6">
        <v>1951</v>
      </c>
      <c r="D320" s="7" t="s">
        <v>9</v>
      </c>
      <c r="E320" s="7" t="s">
        <v>13</v>
      </c>
      <c r="F320" s="6">
        <v>30833</v>
      </c>
      <c r="G320" s="6">
        <v>1</v>
      </c>
      <c r="H320" s="6">
        <v>1</v>
      </c>
      <c r="I320" s="6">
        <f t="shared" si="4"/>
        <v>2</v>
      </c>
      <c r="J320" s="8">
        <v>41471</v>
      </c>
      <c r="K320" s="6">
        <v>33</v>
      </c>
      <c r="L320">
        <f>VLOOKUP(A320,Marketing_df2!$A$1:$F$2241,3,FALSE)</f>
        <v>0</v>
      </c>
      <c r="M320">
        <f>VLOOKUP(A320,Marketing_df2!$A$1:$F$2241,4,FALSE)</f>
        <v>1</v>
      </c>
      <c r="N320">
        <f>VLOOKUP(A320,Marketing_df2!$A$1:$F$2241,5,FALSE)</f>
        <v>1</v>
      </c>
      <c r="O320">
        <f>VLOOKUP(A320,Marketing_df2!$A$1:$F$2241,6,FALSE)</f>
        <v>3</v>
      </c>
    </row>
    <row r="321" spans="1:15" ht="12.5">
      <c r="A321" s="6">
        <v>319</v>
      </c>
      <c r="B321" s="6">
        <v>2863</v>
      </c>
      <c r="C321" s="6">
        <v>1970</v>
      </c>
      <c r="D321" s="7" t="s">
        <v>9</v>
      </c>
      <c r="E321" s="7" t="s">
        <v>10</v>
      </c>
      <c r="F321" s="7"/>
      <c r="G321" s="6">
        <v>1</v>
      </c>
      <c r="H321" s="6">
        <v>2</v>
      </c>
      <c r="I321" s="6">
        <f t="shared" si="4"/>
        <v>3</v>
      </c>
      <c r="J321" s="8">
        <v>41509</v>
      </c>
      <c r="K321" s="6">
        <v>67</v>
      </c>
      <c r="L321">
        <f>VLOOKUP(A321,Marketing_df2!$A$1:$F$2241,3,FALSE)</f>
        <v>20</v>
      </c>
      <c r="M321">
        <f>VLOOKUP(A321,Marketing_df2!$A$1:$F$2241,4,FALSE)</f>
        <v>50</v>
      </c>
      <c r="N321">
        <f>VLOOKUP(A321,Marketing_df2!$A$1:$F$2241,5,FALSE)</f>
        <v>2</v>
      </c>
      <c r="O321">
        <f>VLOOKUP(A321,Marketing_df2!$A$1:$F$2241,6,FALSE)</f>
        <v>10</v>
      </c>
    </row>
    <row r="322" spans="1:15" ht="12.5">
      <c r="A322" s="6">
        <v>320</v>
      </c>
      <c r="B322" s="6">
        <v>1802</v>
      </c>
      <c r="C322" s="6">
        <v>1971</v>
      </c>
      <c r="D322" s="7" t="s">
        <v>9</v>
      </c>
      <c r="E322" s="7" t="s">
        <v>13</v>
      </c>
      <c r="F322" s="6">
        <v>64795</v>
      </c>
      <c r="G322" s="6">
        <v>0</v>
      </c>
      <c r="H322" s="6">
        <v>1</v>
      </c>
      <c r="I322" s="6">
        <f t="shared" si="4"/>
        <v>1</v>
      </c>
      <c r="J322" s="8">
        <v>41291</v>
      </c>
      <c r="K322" s="6">
        <v>23</v>
      </c>
      <c r="L322">
        <f>VLOOKUP(A322,Marketing_df2!$A$1:$F$2241,3,FALSE)</f>
        <v>5</v>
      </c>
      <c r="M322">
        <f>VLOOKUP(A322,Marketing_df2!$A$1:$F$2241,4,FALSE)</f>
        <v>29</v>
      </c>
      <c r="N322">
        <f>VLOOKUP(A322,Marketing_df2!$A$1:$F$2241,5,FALSE)</f>
        <v>3</v>
      </c>
      <c r="O322">
        <f>VLOOKUP(A322,Marketing_df2!$A$1:$F$2241,6,FALSE)</f>
        <v>12</v>
      </c>
    </row>
    <row r="323" spans="1:15" ht="12.5">
      <c r="A323" s="6">
        <v>321</v>
      </c>
      <c r="B323" s="6">
        <v>520</v>
      </c>
      <c r="C323" s="6">
        <v>1974</v>
      </c>
      <c r="D323" s="7" t="s">
        <v>9</v>
      </c>
      <c r="E323" s="7" t="s">
        <v>13</v>
      </c>
      <c r="F323" s="6">
        <v>34421</v>
      </c>
      <c r="G323" s="6">
        <v>1</v>
      </c>
      <c r="H323" s="6">
        <v>0</v>
      </c>
      <c r="I323" s="6">
        <f t="shared" ref="I323:I386" si="5">G323+H323</f>
        <v>1</v>
      </c>
      <c r="J323" s="8">
        <v>41456</v>
      </c>
      <c r="K323" s="6">
        <v>81</v>
      </c>
      <c r="L323">
        <f>VLOOKUP(A323,Marketing_df2!$A$1:$F$2241,3,FALSE)</f>
        <v>3</v>
      </c>
      <c r="M323">
        <f>VLOOKUP(A323,Marketing_df2!$A$1:$F$2241,4,FALSE)</f>
        <v>2</v>
      </c>
      <c r="N323">
        <f>VLOOKUP(A323,Marketing_df2!$A$1:$F$2241,5,FALSE)</f>
        <v>1</v>
      </c>
      <c r="O323">
        <f>VLOOKUP(A323,Marketing_df2!$A$1:$F$2241,6,FALSE)</f>
        <v>2</v>
      </c>
    </row>
    <row r="324" spans="1:15" ht="12.5">
      <c r="A324" s="6">
        <v>322</v>
      </c>
      <c r="B324" s="6">
        <v>8275</v>
      </c>
      <c r="C324" s="6">
        <v>1965</v>
      </c>
      <c r="D324" s="7" t="s">
        <v>12</v>
      </c>
      <c r="E324" s="7" t="s">
        <v>15</v>
      </c>
      <c r="F324" s="6">
        <v>47025</v>
      </c>
      <c r="G324" s="6">
        <v>1</v>
      </c>
      <c r="H324" s="6">
        <v>1</v>
      </c>
      <c r="I324" s="6">
        <f t="shared" si="5"/>
        <v>2</v>
      </c>
      <c r="J324" s="8">
        <v>41679</v>
      </c>
      <c r="K324" s="6">
        <v>6</v>
      </c>
      <c r="L324">
        <f>VLOOKUP(A324,Marketing_df2!$A$1:$F$2241,3,FALSE)</f>
        <v>0</v>
      </c>
      <c r="M324">
        <f>VLOOKUP(A324,Marketing_df2!$A$1:$F$2241,4,FALSE)</f>
        <v>0</v>
      </c>
      <c r="N324">
        <f>VLOOKUP(A324,Marketing_df2!$A$1:$F$2241,5,FALSE)</f>
        <v>1</v>
      </c>
      <c r="O324">
        <f>VLOOKUP(A324,Marketing_df2!$A$1:$F$2241,6,FALSE)</f>
        <v>2</v>
      </c>
    </row>
    <row r="325" spans="1:15" ht="12.5">
      <c r="A325" s="6">
        <v>323</v>
      </c>
      <c r="B325" s="6">
        <v>9750</v>
      </c>
      <c r="C325" s="6">
        <v>1961</v>
      </c>
      <c r="D325" s="7" t="s">
        <v>12</v>
      </c>
      <c r="E325" s="7" t="s">
        <v>15</v>
      </c>
      <c r="F325" s="6">
        <v>64325</v>
      </c>
      <c r="G325" s="6">
        <v>0</v>
      </c>
      <c r="H325" s="6">
        <v>1</v>
      </c>
      <c r="I325" s="6">
        <f t="shared" si="5"/>
        <v>1</v>
      </c>
      <c r="J325" s="8">
        <v>41312</v>
      </c>
      <c r="K325" s="6">
        <v>41</v>
      </c>
      <c r="L325">
        <f>VLOOKUP(A325,Marketing_df2!$A$1:$F$2241,3,FALSE)</f>
        <v>60</v>
      </c>
      <c r="M325">
        <f>VLOOKUP(A325,Marketing_df2!$A$1:$F$2241,4,FALSE)</f>
        <v>12</v>
      </c>
      <c r="N325">
        <f>VLOOKUP(A325,Marketing_df2!$A$1:$F$2241,5,FALSE)</f>
        <v>10</v>
      </c>
      <c r="O325">
        <f>VLOOKUP(A325,Marketing_df2!$A$1:$F$2241,6,FALSE)</f>
        <v>5</v>
      </c>
    </row>
    <row r="326" spans="1:15" ht="12.5">
      <c r="A326" s="6">
        <v>324</v>
      </c>
      <c r="B326" s="6">
        <v>2607</v>
      </c>
      <c r="C326" s="6">
        <v>1953</v>
      </c>
      <c r="D326" s="7" t="s">
        <v>9</v>
      </c>
      <c r="E326" s="7" t="s">
        <v>10</v>
      </c>
      <c r="F326" s="6">
        <v>40464</v>
      </c>
      <c r="G326" s="6">
        <v>0</v>
      </c>
      <c r="H326" s="6">
        <v>1</v>
      </c>
      <c r="I326" s="6">
        <f t="shared" si="5"/>
        <v>1</v>
      </c>
      <c r="J326" s="8">
        <v>41285</v>
      </c>
      <c r="K326" s="6">
        <v>78</v>
      </c>
      <c r="L326">
        <f>VLOOKUP(A326,Marketing_df2!$A$1:$F$2241,3,FALSE)</f>
        <v>17</v>
      </c>
      <c r="M326">
        <f>VLOOKUP(A326,Marketing_df2!$A$1:$F$2241,4,FALSE)</f>
        <v>23</v>
      </c>
      <c r="N326">
        <f>VLOOKUP(A326,Marketing_df2!$A$1:$F$2241,5,FALSE)</f>
        <v>8</v>
      </c>
      <c r="O326">
        <f>VLOOKUP(A326,Marketing_df2!$A$1:$F$2241,6,FALSE)</f>
        <v>8</v>
      </c>
    </row>
    <row r="327" spans="1:15" ht="12.5">
      <c r="A327" s="6">
        <v>325</v>
      </c>
      <c r="B327" s="6">
        <v>7214</v>
      </c>
      <c r="C327" s="6">
        <v>1957</v>
      </c>
      <c r="D327" s="7" t="s">
        <v>9</v>
      </c>
      <c r="E327" s="7" t="s">
        <v>13</v>
      </c>
      <c r="F327" s="6">
        <v>62187</v>
      </c>
      <c r="G327" s="6">
        <v>0</v>
      </c>
      <c r="H327" s="6">
        <v>0</v>
      </c>
      <c r="I327" s="6">
        <f t="shared" si="5"/>
        <v>0</v>
      </c>
      <c r="J327" s="8">
        <v>41460</v>
      </c>
      <c r="K327" s="6">
        <v>49</v>
      </c>
      <c r="L327">
        <f>VLOOKUP(A327,Marketing_df2!$A$1:$F$2241,3,FALSE)</f>
        <v>0</v>
      </c>
      <c r="M327">
        <f>VLOOKUP(A327,Marketing_df2!$A$1:$F$2241,4,FALSE)</f>
        <v>45</v>
      </c>
      <c r="N327">
        <f>VLOOKUP(A327,Marketing_df2!$A$1:$F$2241,5,FALSE)</f>
        <v>4</v>
      </c>
      <c r="O327">
        <f>VLOOKUP(A327,Marketing_df2!$A$1:$F$2241,6,FALSE)</f>
        <v>5</v>
      </c>
    </row>
    <row r="328" spans="1:15" ht="12.5">
      <c r="A328" s="6">
        <v>326</v>
      </c>
      <c r="B328" s="6">
        <v>5835</v>
      </c>
      <c r="C328" s="6">
        <v>1976</v>
      </c>
      <c r="D328" s="7" t="s">
        <v>12</v>
      </c>
      <c r="E328" s="7" t="s">
        <v>15</v>
      </c>
      <c r="F328" s="6">
        <v>14849</v>
      </c>
      <c r="G328" s="6">
        <v>1</v>
      </c>
      <c r="H328" s="6">
        <v>0</v>
      </c>
      <c r="I328" s="6">
        <f t="shared" si="5"/>
        <v>1</v>
      </c>
      <c r="J328" s="8">
        <v>41457</v>
      </c>
      <c r="K328" s="6">
        <v>39</v>
      </c>
      <c r="L328">
        <f>VLOOKUP(A328,Marketing_df2!$A$1:$F$2241,3,FALSE)</f>
        <v>2</v>
      </c>
      <c r="M328">
        <f>VLOOKUP(A328,Marketing_df2!$A$1:$F$2241,4,FALSE)</f>
        <v>2</v>
      </c>
      <c r="N328">
        <f>VLOOKUP(A328,Marketing_df2!$A$1:$F$2241,5,FALSE)</f>
        <v>2</v>
      </c>
      <c r="O328">
        <f>VLOOKUP(A328,Marketing_df2!$A$1:$F$2241,6,FALSE)</f>
        <v>4</v>
      </c>
    </row>
    <row r="329" spans="1:15" ht="12.5">
      <c r="A329" s="6">
        <v>327</v>
      </c>
      <c r="B329" s="6">
        <v>3896</v>
      </c>
      <c r="C329" s="6">
        <v>1984</v>
      </c>
      <c r="D329" s="7" t="s">
        <v>9</v>
      </c>
      <c r="E329" s="7" t="s">
        <v>13</v>
      </c>
      <c r="F329" s="6">
        <v>27255</v>
      </c>
      <c r="G329" s="6">
        <v>1</v>
      </c>
      <c r="H329" s="6">
        <v>0</v>
      </c>
      <c r="I329" s="6">
        <f t="shared" si="5"/>
        <v>1</v>
      </c>
      <c r="J329" s="8">
        <v>41585</v>
      </c>
      <c r="K329" s="6">
        <v>3</v>
      </c>
      <c r="L329">
        <f>VLOOKUP(A329,Marketing_df2!$A$1:$F$2241,3,FALSE)</f>
        <v>1</v>
      </c>
      <c r="M329">
        <f>VLOOKUP(A329,Marketing_df2!$A$1:$F$2241,4,FALSE)</f>
        <v>1</v>
      </c>
      <c r="N329">
        <f>VLOOKUP(A329,Marketing_df2!$A$1:$F$2241,5,FALSE)</f>
        <v>1</v>
      </c>
      <c r="O329">
        <f>VLOOKUP(A329,Marketing_df2!$A$1:$F$2241,6,FALSE)</f>
        <v>3</v>
      </c>
    </row>
    <row r="330" spans="1:15" ht="12.5">
      <c r="A330" s="6">
        <v>328</v>
      </c>
      <c r="B330" s="6">
        <v>10350</v>
      </c>
      <c r="C330" s="6">
        <v>1950</v>
      </c>
      <c r="D330" s="7" t="s">
        <v>12</v>
      </c>
      <c r="E330" s="7" t="s">
        <v>13</v>
      </c>
      <c r="F330" s="6">
        <v>54432</v>
      </c>
      <c r="G330" s="6">
        <v>2</v>
      </c>
      <c r="H330" s="6">
        <v>1</v>
      </c>
      <c r="I330" s="6">
        <f t="shared" si="5"/>
        <v>3</v>
      </c>
      <c r="J330" s="8">
        <v>41403</v>
      </c>
      <c r="K330" s="6">
        <v>37</v>
      </c>
      <c r="L330">
        <f>VLOOKUP(A330,Marketing_df2!$A$1:$F$2241,3,FALSE)</f>
        <v>0</v>
      </c>
      <c r="M330">
        <f>VLOOKUP(A330,Marketing_df2!$A$1:$F$2241,4,FALSE)</f>
        <v>0</v>
      </c>
      <c r="N330">
        <f>VLOOKUP(A330,Marketing_df2!$A$1:$F$2241,5,FALSE)</f>
        <v>1</v>
      </c>
      <c r="O330">
        <f>VLOOKUP(A330,Marketing_df2!$A$1:$F$2241,6,FALSE)</f>
        <v>3</v>
      </c>
    </row>
    <row r="331" spans="1:15" ht="12.5">
      <c r="A331" s="6">
        <v>329</v>
      </c>
      <c r="B331" s="6">
        <v>7786</v>
      </c>
      <c r="C331" s="6">
        <v>1986</v>
      </c>
      <c r="D331" s="7" t="s">
        <v>12</v>
      </c>
      <c r="E331" s="7" t="s">
        <v>10</v>
      </c>
      <c r="F331" s="6">
        <v>29999</v>
      </c>
      <c r="G331" s="6">
        <v>1</v>
      </c>
      <c r="H331" s="6">
        <v>0</v>
      </c>
      <c r="I331" s="6">
        <f t="shared" si="5"/>
        <v>1</v>
      </c>
      <c r="J331" s="8">
        <v>41318</v>
      </c>
      <c r="K331" s="6">
        <v>22</v>
      </c>
      <c r="L331">
        <f>VLOOKUP(A331,Marketing_df2!$A$1:$F$2241,3,FALSE)</f>
        <v>7</v>
      </c>
      <c r="M331">
        <f>VLOOKUP(A331,Marketing_df2!$A$1:$F$2241,4,FALSE)</f>
        <v>5</v>
      </c>
      <c r="N331">
        <f>VLOOKUP(A331,Marketing_df2!$A$1:$F$2241,5,FALSE)</f>
        <v>3</v>
      </c>
      <c r="O331">
        <f>VLOOKUP(A331,Marketing_df2!$A$1:$F$2241,6,FALSE)</f>
        <v>4</v>
      </c>
    </row>
    <row r="332" spans="1:15" ht="12.5">
      <c r="A332" s="6">
        <v>330</v>
      </c>
      <c r="B332" s="6">
        <v>2861</v>
      </c>
      <c r="C332" s="6">
        <v>1983</v>
      </c>
      <c r="D332" s="7" t="s">
        <v>9</v>
      </c>
      <c r="E332" s="7" t="s">
        <v>10</v>
      </c>
      <c r="F332" s="6">
        <v>24072</v>
      </c>
      <c r="G332" s="6">
        <v>1</v>
      </c>
      <c r="H332" s="6">
        <v>0</v>
      </c>
      <c r="I332" s="6">
        <f t="shared" si="5"/>
        <v>1</v>
      </c>
      <c r="J332" s="8">
        <v>41380</v>
      </c>
      <c r="K332" s="6">
        <v>79</v>
      </c>
      <c r="L332">
        <f>VLOOKUP(A332,Marketing_df2!$A$1:$F$2241,3,FALSE)</f>
        <v>1</v>
      </c>
      <c r="M332">
        <f>VLOOKUP(A332,Marketing_df2!$A$1:$F$2241,4,FALSE)</f>
        <v>0</v>
      </c>
      <c r="N332">
        <f>VLOOKUP(A332,Marketing_df2!$A$1:$F$2241,5,FALSE)</f>
        <v>1</v>
      </c>
      <c r="O332">
        <f>VLOOKUP(A332,Marketing_df2!$A$1:$F$2241,6,FALSE)</f>
        <v>2</v>
      </c>
    </row>
    <row r="333" spans="1:15" ht="12.5">
      <c r="A333" s="6">
        <v>331</v>
      </c>
      <c r="B333" s="6">
        <v>663</v>
      </c>
      <c r="C333" s="6">
        <v>1989</v>
      </c>
      <c r="D333" s="7" t="s">
        <v>12</v>
      </c>
      <c r="E333" s="7" t="s">
        <v>10</v>
      </c>
      <c r="F333" s="6">
        <v>33996</v>
      </c>
      <c r="G333" s="6">
        <v>0</v>
      </c>
      <c r="H333" s="6">
        <v>0</v>
      </c>
      <c r="I333" s="6">
        <f t="shared" si="5"/>
        <v>0</v>
      </c>
      <c r="J333" s="8">
        <v>41528</v>
      </c>
      <c r="K333" s="6">
        <v>46</v>
      </c>
      <c r="L333">
        <f>VLOOKUP(A333,Marketing_df2!$A$1:$F$2241,3,FALSE)</f>
        <v>2</v>
      </c>
      <c r="M333">
        <f>VLOOKUP(A333,Marketing_df2!$A$1:$F$2241,4,FALSE)</f>
        <v>0</v>
      </c>
      <c r="N333">
        <f>VLOOKUP(A333,Marketing_df2!$A$1:$F$2241,5,FALSE)</f>
        <v>1</v>
      </c>
      <c r="O333">
        <f>VLOOKUP(A333,Marketing_df2!$A$1:$F$2241,6,FALSE)</f>
        <v>3</v>
      </c>
    </row>
    <row r="334" spans="1:15" ht="12.5">
      <c r="A334" s="6">
        <v>332</v>
      </c>
      <c r="B334" s="6">
        <v>10675</v>
      </c>
      <c r="C334" s="6">
        <v>1956</v>
      </c>
      <c r="D334" s="7" t="s">
        <v>12</v>
      </c>
      <c r="E334" s="7" t="s">
        <v>13</v>
      </c>
      <c r="F334" s="6">
        <v>66334</v>
      </c>
      <c r="G334" s="6">
        <v>0</v>
      </c>
      <c r="H334" s="6">
        <v>1</v>
      </c>
      <c r="I334" s="6">
        <f t="shared" si="5"/>
        <v>1</v>
      </c>
      <c r="J334" s="8">
        <v>41367</v>
      </c>
      <c r="K334" s="6">
        <v>82</v>
      </c>
      <c r="L334">
        <f>VLOOKUP(A334,Marketing_df2!$A$1:$F$2241,3,FALSE)</f>
        <v>11</v>
      </c>
      <c r="M334">
        <f>VLOOKUP(A334,Marketing_df2!$A$1:$F$2241,4,FALSE)</f>
        <v>0</v>
      </c>
      <c r="N334">
        <f>VLOOKUP(A334,Marketing_df2!$A$1:$F$2241,5,FALSE)</f>
        <v>9</v>
      </c>
      <c r="O334">
        <f>VLOOKUP(A334,Marketing_df2!$A$1:$F$2241,6,FALSE)</f>
        <v>5</v>
      </c>
    </row>
    <row r="335" spans="1:15" ht="12.5">
      <c r="A335" s="6">
        <v>333</v>
      </c>
      <c r="B335" s="6">
        <v>2521</v>
      </c>
      <c r="C335" s="6">
        <v>1971</v>
      </c>
      <c r="D335" s="7" t="s">
        <v>14</v>
      </c>
      <c r="E335" s="7" t="s">
        <v>13</v>
      </c>
      <c r="F335" s="6">
        <v>35178</v>
      </c>
      <c r="G335" s="6">
        <v>1</v>
      </c>
      <c r="H335" s="6">
        <v>0</v>
      </c>
      <c r="I335" s="6">
        <f t="shared" si="5"/>
        <v>1</v>
      </c>
      <c r="J335" s="8">
        <v>41284</v>
      </c>
      <c r="K335" s="6">
        <v>10</v>
      </c>
      <c r="L335">
        <f>VLOOKUP(A335,Marketing_df2!$A$1:$F$2241,3,FALSE)</f>
        <v>1</v>
      </c>
      <c r="M335">
        <f>VLOOKUP(A335,Marketing_df2!$A$1:$F$2241,4,FALSE)</f>
        <v>2</v>
      </c>
      <c r="N335">
        <f>VLOOKUP(A335,Marketing_df2!$A$1:$F$2241,5,FALSE)</f>
        <v>1</v>
      </c>
      <c r="O335">
        <f>VLOOKUP(A335,Marketing_df2!$A$1:$F$2241,6,FALSE)</f>
        <v>2</v>
      </c>
    </row>
    <row r="336" spans="1:15" ht="12.5">
      <c r="A336" s="6">
        <v>334</v>
      </c>
      <c r="B336" s="6">
        <v>9592</v>
      </c>
      <c r="C336" s="6">
        <v>1983</v>
      </c>
      <c r="D336" s="7" t="s">
        <v>9</v>
      </c>
      <c r="E336" s="7" t="s">
        <v>11</v>
      </c>
      <c r="F336" s="6">
        <v>22010</v>
      </c>
      <c r="G336" s="6">
        <v>1</v>
      </c>
      <c r="H336" s="6">
        <v>0</v>
      </c>
      <c r="I336" s="6">
        <f t="shared" si="5"/>
        <v>1</v>
      </c>
      <c r="J336" s="8">
        <v>41455</v>
      </c>
      <c r="K336" s="6">
        <v>51</v>
      </c>
      <c r="L336">
        <f>VLOOKUP(A336,Marketing_df2!$A$1:$F$2241,3,FALSE)</f>
        <v>2</v>
      </c>
      <c r="M336">
        <f>VLOOKUP(A336,Marketing_df2!$A$1:$F$2241,4,FALSE)</f>
        <v>0</v>
      </c>
      <c r="N336">
        <f>VLOOKUP(A336,Marketing_df2!$A$1:$F$2241,5,FALSE)</f>
        <v>2</v>
      </c>
      <c r="O336">
        <f>VLOOKUP(A336,Marketing_df2!$A$1:$F$2241,6,FALSE)</f>
        <v>3</v>
      </c>
    </row>
    <row r="337" spans="1:15" ht="12.5">
      <c r="A337" s="6">
        <v>335</v>
      </c>
      <c r="B337" s="6">
        <v>10151</v>
      </c>
      <c r="C337" s="6">
        <v>1960</v>
      </c>
      <c r="D337" s="7" t="s">
        <v>9</v>
      </c>
      <c r="E337" s="7" t="s">
        <v>15</v>
      </c>
      <c r="F337" s="6">
        <v>62204</v>
      </c>
      <c r="G337" s="6">
        <v>0</v>
      </c>
      <c r="H337" s="6">
        <v>2</v>
      </c>
      <c r="I337" s="6">
        <f t="shared" si="5"/>
        <v>2</v>
      </c>
      <c r="J337" s="8">
        <v>41164</v>
      </c>
      <c r="K337" s="6">
        <v>38</v>
      </c>
      <c r="L337">
        <f>VLOOKUP(A337,Marketing_df2!$A$1:$F$2241,3,FALSE)</f>
        <v>46</v>
      </c>
      <c r="M337">
        <f>VLOOKUP(A337,Marketing_df2!$A$1:$F$2241,4,FALSE)</f>
        <v>46</v>
      </c>
      <c r="N337">
        <f>VLOOKUP(A337,Marketing_df2!$A$1:$F$2241,5,FALSE)</f>
        <v>4</v>
      </c>
      <c r="O337">
        <f>VLOOKUP(A337,Marketing_df2!$A$1:$F$2241,6,FALSE)</f>
        <v>12</v>
      </c>
    </row>
    <row r="338" spans="1:15" ht="12.5">
      <c r="A338" s="6">
        <v>336</v>
      </c>
      <c r="B338" s="6">
        <v>7381</v>
      </c>
      <c r="C338" s="6">
        <v>1968</v>
      </c>
      <c r="D338" s="7" t="s">
        <v>9</v>
      </c>
      <c r="E338" s="7" t="s">
        <v>15</v>
      </c>
      <c r="F338" s="6">
        <v>75693</v>
      </c>
      <c r="G338" s="6">
        <v>0</v>
      </c>
      <c r="H338" s="6">
        <v>0</v>
      </c>
      <c r="I338" s="6">
        <f t="shared" si="5"/>
        <v>0</v>
      </c>
      <c r="J338" s="8">
        <v>41249</v>
      </c>
      <c r="K338" s="6">
        <v>10</v>
      </c>
      <c r="L338">
        <f>VLOOKUP(A338,Marketing_df2!$A$1:$F$2241,3,FALSE)</f>
        <v>153</v>
      </c>
      <c r="M338">
        <f>VLOOKUP(A338,Marketing_df2!$A$1:$F$2241,4,FALSE)</f>
        <v>97</v>
      </c>
      <c r="N338">
        <f>VLOOKUP(A338,Marketing_df2!$A$1:$F$2241,5,FALSE)</f>
        <v>11</v>
      </c>
      <c r="O338">
        <f>VLOOKUP(A338,Marketing_df2!$A$1:$F$2241,6,FALSE)</f>
        <v>6</v>
      </c>
    </row>
    <row r="339" spans="1:15" ht="12.5">
      <c r="A339" s="6">
        <v>337</v>
      </c>
      <c r="B339" s="6">
        <v>4099</v>
      </c>
      <c r="C339" s="6">
        <v>1972</v>
      </c>
      <c r="D339" s="7" t="s">
        <v>9</v>
      </c>
      <c r="E339" s="7" t="s">
        <v>13</v>
      </c>
      <c r="F339" s="6">
        <v>30675</v>
      </c>
      <c r="G339" s="6">
        <v>1</v>
      </c>
      <c r="H339" s="6">
        <v>0</v>
      </c>
      <c r="I339" s="6">
        <f t="shared" si="5"/>
        <v>1</v>
      </c>
      <c r="J339" s="9">
        <v>41225</v>
      </c>
      <c r="K339" s="6">
        <v>14</v>
      </c>
      <c r="L339">
        <f>VLOOKUP(A339,Marketing_df2!$A$1:$F$2241,3,FALSE)</f>
        <v>2</v>
      </c>
      <c r="M339">
        <f>VLOOKUP(A339,Marketing_df2!$A$1:$F$2241,4,FALSE)</f>
        <v>2</v>
      </c>
      <c r="N339">
        <f>VLOOKUP(A339,Marketing_df2!$A$1:$F$2241,5,FALSE)</f>
        <v>1</v>
      </c>
      <c r="O339">
        <f>VLOOKUP(A339,Marketing_df2!$A$1:$F$2241,6,FALSE)</f>
        <v>3</v>
      </c>
    </row>
    <row r="340" spans="1:15" ht="12.5">
      <c r="A340" s="6">
        <v>338</v>
      </c>
      <c r="B340" s="6">
        <v>9560</v>
      </c>
      <c r="C340" s="6">
        <v>1965</v>
      </c>
      <c r="D340" s="7" t="s">
        <v>9</v>
      </c>
      <c r="E340" s="7" t="s">
        <v>11</v>
      </c>
      <c r="F340" s="6">
        <v>83003</v>
      </c>
      <c r="G340" s="6">
        <v>0</v>
      </c>
      <c r="H340" s="6">
        <v>0</v>
      </c>
      <c r="I340" s="6">
        <f t="shared" si="5"/>
        <v>0</v>
      </c>
      <c r="J340" s="8">
        <v>41336</v>
      </c>
      <c r="K340" s="6">
        <v>18</v>
      </c>
      <c r="L340">
        <f>VLOOKUP(A340,Marketing_df2!$A$1:$F$2241,3,FALSE)</f>
        <v>61</v>
      </c>
      <c r="M340">
        <f>VLOOKUP(A340,Marketing_df2!$A$1:$F$2241,4,FALSE)</f>
        <v>25</v>
      </c>
      <c r="N340">
        <f>VLOOKUP(A340,Marketing_df2!$A$1:$F$2241,5,FALSE)</f>
        <v>7</v>
      </c>
      <c r="O340">
        <f>VLOOKUP(A340,Marketing_df2!$A$1:$F$2241,6,FALSE)</f>
        <v>8</v>
      </c>
    </row>
    <row r="341" spans="1:15" ht="12.5">
      <c r="A341" s="6">
        <v>339</v>
      </c>
      <c r="B341" s="6">
        <v>1150</v>
      </c>
      <c r="C341" s="6">
        <v>1899</v>
      </c>
      <c r="D341" s="7" t="s">
        <v>12</v>
      </c>
      <c r="E341" s="7" t="s">
        <v>11</v>
      </c>
      <c r="F341" s="6">
        <v>83532</v>
      </c>
      <c r="G341" s="6">
        <v>0</v>
      </c>
      <c r="H341" s="6">
        <v>0</v>
      </c>
      <c r="I341" s="6">
        <f t="shared" si="5"/>
        <v>0</v>
      </c>
      <c r="J341" s="8">
        <v>41543</v>
      </c>
      <c r="K341" s="6">
        <v>36</v>
      </c>
      <c r="L341">
        <f>VLOOKUP(A341,Marketing_df2!$A$1:$F$2241,3,FALSE)</f>
        <v>144</v>
      </c>
      <c r="M341">
        <f>VLOOKUP(A341,Marketing_df2!$A$1:$F$2241,4,FALSE)</f>
        <v>64</v>
      </c>
      <c r="N341">
        <f>VLOOKUP(A341,Marketing_df2!$A$1:$F$2241,5,FALSE)</f>
        <v>4</v>
      </c>
      <c r="O341">
        <f>VLOOKUP(A341,Marketing_df2!$A$1:$F$2241,6,FALSE)</f>
        <v>4</v>
      </c>
    </row>
    <row r="342" spans="1:15" ht="12.5">
      <c r="A342" s="6">
        <v>340</v>
      </c>
      <c r="B342" s="6">
        <v>10172</v>
      </c>
      <c r="C342" s="6">
        <v>1988</v>
      </c>
      <c r="D342" s="7" t="s">
        <v>9</v>
      </c>
      <c r="E342" s="7" t="s">
        <v>10</v>
      </c>
      <c r="F342" s="6">
        <v>68655</v>
      </c>
      <c r="G342" s="6">
        <v>0</v>
      </c>
      <c r="H342" s="6">
        <v>0</v>
      </c>
      <c r="I342" s="6">
        <f t="shared" si="5"/>
        <v>0</v>
      </c>
      <c r="J342" s="8">
        <v>41131</v>
      </c>
      <c r="K342" s="6">
        <v>95</v>
      </c>
      <c r="L342">
        <f>VLOOKUP(A342,Marketing_df2!$A$1:$F$2241,3,FALSE)</f>
        <v>19</v>
      </c>
      <c r="M342">
        <f>VLOOKUP(A342,Marketing_df2!$A$1:$F$2241,4,FALSE)</f>
        <v>118</v>
      </c>
      <c r="N342">
        <f>VLOOKUP(A342,Marketing_df2!$A$1:$F$2241,5,FALSE)</f>
        <v>4</v>
      </c>
      <c r="O342">
        <f>VLOOKUP(A342,Marketing_df2!$A$1:$F$2241,6,FALSE)</f>
        <v>11</v>
      </c>
    </row>
    <row r="343" spans="1:15" ht="12.5">
      <c r="A343" s="6">
        <v>341</v>
      </c>
      <c r="B343" s="6">
        <v>11191</v>
      </c>
      <c r="C343" s="6">
        <v>1986</v>
      </c>
      <c r="D343" s="7" t="s">
        <v>9</v>
      </c>
      <c r="E343" s="7" t="s">
        <v>15</v>
      </c>
      <c r="F343" s="6">
        <v>41411</v>
      </c>
      <c r="G343" s="6">
        <v>0</v>
      </c>
      <c r="H343" s="6">
        <v>0</v>
      </c>
      <c r="I343" s="6">
        <f t="shared" si="5"/>
        <v>0</v>
      </c>
      <c r="J343" s="8">
        <v>41615</v>
      </c>
      <c r="K343" s="6">
        <v>11</v>
      </c>
      <c r="L343">
        <f>VLOOKUP(A343,Marketing_df2!$A$1:$F$2241,3,FALSE)</f>
        <v>32</v>
      </c>
      <c r="M343">
        <f>VLOOKUP(A343,Marketing_df2!$A$1:$F$2241,4,FALSE)</f>
        <v>3</v>
      </c>
      <c r="N343">
        <f>VLOOKUP(A343,Marketing_df2!$A$1:$F$2241,5,FALSE)</f>
        <v>2</v>
      </c>
      <c r="O343">
        <f>VLOOKUP(A343,Marketing_df2!$A$1:$F$2241,6,FALSE)</f>
        <v>4</v>
      </c>
    </row>
    <row r="344" spans="1:15" ht="12.5">
      <c r="A344" s="6">
        <v>342</v>
      </c>
      <c r="B344" s="6">
        <v>9707</v>
      </c>
      <c r="C344" s="6">
        <v>1969</v>
      </c>
      <c r="D344" s="7" t="s">
        <v>12</v>
      </c>
      <c r="E344" s="7" t="s">
        <v>13</v>
      </c>
      <c r="F344" s="6">
        <v>55212</v>
      </c>
      <c r="G344" s="6">
        <v>0</v>
      </c>
      <c r="H344" s="6">
        <v>1</v>
      </c>
      <c r="I344" s="6">
        <f t="shared" si="5"/>
        <v>1</v>
      </c>
      <c r="J344" s="9">
        <v>41236</v>
      </c>
      <c r="K344" s="6">
        <v>65</v>
      </c>
      <c r="L344">
        <f>VLOOKUP(A344,Marketing_df2!$A$1:$F$2241,3,FALSE)</f>
        <v>0</v>
      </c>
      <c r="M344">
        <f>VLOOKUP(A344,Marketing_df2!$A$1:$F$2241,4,FALSE)</f>
        <v>0</v>
      </c>
      <c r="N344">
        <f>VLOOKUP(A344,Marketing_df2!$A$1:$F$2241,5,FALSE)</f>
        <v>4</v>
      </c>
      <c r="O344">
        <f>VLOOKUP(A344,Marketing_df2!$A$1:$F$2241,6,FALSE)</f>
        <v>11</v>
      </c>
    </row>
    <row r="345" spans="1:15" ht="12.5">
      <c r="A345" s="6">
        <v>343</v>
      </c>
      <c r="B345" s="6">
        <v>6245</v>
      </c>
      <c r="C345" s="6">
        <v>1950</v>
      </c>
      <c r="D345" s="7" t="s">
        <v>12</v>
      </c>
      <c r="E345" s="7" t="s">
        <v>11</v>
      </c>
      <c r="F345" s="6">
        <v>59292</v>
      </c>
      <c r="G345" s="6">
        <v>0</v>
      </c>
      <c r="H345" s="6">
        <v>1</v>
      </c>
      <c r="I345" s="6">
        <f t="shared" si="5"/>
        <v>1</v>
      </c>
      <c r="J345" s="8">
        <v>41438</v>
      </c>
      <c r="K345" s="6">
        <v>71</v>
      </c>
      <c r="L345">
        <f>VLOOKUP(A345,Marketing_df2!$A$1:$F$2241,3,FALSE)</f>
        <v>14</v>
      </c>
      <c r="M345">
        <f>VLOOKUP(A345,Marketing_df2!$A$1:$F$2241,4,FALSE)</f>
        <v>14</v>
      </c>
      <c r="N345">
        <f>VLOOKUP(A345,Marketing_df2!$A$1:$F$2241,5,FALSE)</f>
        <v>3</v>
      </c>
      <c r="O345">
        <f>VLOOKUP(A345,Marketing_df2!$A$1:$F$2241,6,FALSE)</f>
        <v>8</v>
      </c>
    </row>
    <row r="346" spans="1:15" ht="12.5">
      <c r="A346" s="6">
        <v>344</v>
      </c>
      <c r="B346" s="6">
        <v>8234</v>
      </c>
      <c r="C346" s="6">
        <v>1973</v>
      </c>
      <c r="D346" s="7" t="s">
        <v>16</v>
      </c>
      <c r="E346" s="7" t="s">
        <v>11</v>
      </c>
      <c r="F346" s="6">
        <v>27190</v>
      </c>
      <c r="G346" s="6">
        <v>1</v>
      </c>
      <c r="H346" s="6">
        <v>0</v>
      </c>
      <c r="I346" s="6">
        <f t="shared" si="5"/>
        <v>1</v>
      </c>
      <c r="J346" s="8">
        <v>41501</v>
      </c>
      <c r="K346" s="6">
        <v>13</v>
      </c>
      <c r="L346">
        <f>VLOOKUP(A346,Marketing_df2!$A$1:$F$2241,3,FALSE)</f>
        <v>6</v>
      </c>
      <c r="M346">
        <f>VLOOKUP(A346,Marketing_df2!$A$1:$F$2241,4,FALSE)</f>
        <v>1</v>
      </c>
      <c r="N346">
        <f>VLOOKUP(A346,Marketing_df2!$A$1:$F$2241,5,FALSE)</f>
        <v>1</v>
      </c>
      <c r="O346">
        <f>VLOOKUP(A346,Marketing_df2!$A$1:$F$2241,6,FALSE)</f>
        <v>2</v>
      </c>
    </row>
    <row r="347" spans="1:15" ht="12.5">
      <c r="A347" s="6">
        <v>345</v>
      </c>
      <c r="B347" s="6">
        <v>1411</v>
      </c>
      <c r="C347" s="6">
        <v>1952</v>
      </c>
      <c r="D347" s="7" t="s">
        <v>9</v>
      </c>
      <c r="E347" s="7" t="s">
        <v>15</v>
      </c>
      <c r="F347" s="6">
        <v>82623</v>
      </c>
      <c r="G347" s="6">
        <v>0</v>
      </c>
      <c r="H347" s="6">
        <v>0</v>
      </c>
      <c r="I347" s="6">
        <f t="shared" si="5"/>
        <v>0</v>
      </c>
      <c r="J347" s="9">
        <v>41588</v>
      </c>
      <c r="K347" s="6">
        <v>58</v>
      </c>
      <c r="L347">
        <f>VLOOKUP(A347,Marketing_df2!$A$1:$F$2241,3,FALSE)</f>
        <v>34</v>
      </c>
      <c r="M347">
        <f>VLOOKUP(A347,Marketing_df2!$A$1:$F$2241,4,FALSE)</f>
        <v>153</v>
      </c>
      <c r="N347">
        <f>VLOOKUP(A347,Marketing_df2!$A$1:$F$2241,5,FALSE)</f>
        <v>2</v>
      </c>
      <c r="O347">
        <f>VLOOKUP(A347,Marketing_df2!$A$1:$F$2241,6,FALSE)</f>
        <v>4</v>
      </c>
    </row>
    <row r="348" spans="1:15" ht="12.5">
      <c r="A348" s="6">
        <v>346</v>
      </c>
      <c r="B348" s="6">
        <v>8553</v>
      </c>
      <c r="C348" s="6">
        <v>1965</v>
      </c>
      <c r="D348" s="7" t="s">
        <v>9</v>
      </c>
      <c r="E348" s="7" t="s">
        <v>13</v>
      </c>
      <c r="F348" s="6">
        <v>44300</v>
      </c>
      <c r="G348" s="6">
        <v>1</v>
      </c>
      <c r="H348" s="6">
        <v>1</v>
      </c>
      <c r="I348" s="6">
        <f t="shared" si="5"/>
        <v>2</v>
      </c>
      <c r="J348" s="8">
        <v>41448</v>
      </c>
      <c r="K348" s="6">
        <v>65</v>
      </c>
      <c r="L348">
        <f>VLOOKUP(A348,Marketing_df2!$A$1:$F$2241,3,FALSE)</f>
        <v>0</v>
      </c>
      <c r="M348">
        <f>VLOOKUP(A348,Marketing_df2!$A$1:$F$2241,4,FALSE)</f>
        <v>0</v>
      </c>
      <c r="N348">
        <f>VLOOKUP(A348,Marketing_df2!$A$1:$F$2241,5,FALSE)</f>
        <v>1</v>
      </c>
      <c r="O348">
        <f>VLOOKUP(A348,Marketing_df2!$A$1:$F$2241,6,FALSE)</f>
        <v>3</v>
      </c>
    </row>
    <row r="349" spans="1:15" ht="12.5">
      <c r="A349" s="6">
        <v>347</v>
      </c>
      <c r="B349" s="6">
        <v>1826</v>
      </c>
      <c r="C349" s="6">
        <v>1970</v>
      </c>
      <c r="D349" s="7" t="s">
        <v>9</v>
      </c>
      <c r="E349" s="7" t="s">
        <v>15</v>
      </c>
      <c r="F349" s="6">
        <v>84835</v>
      </c>
      <c r="G349" s="6">
        <v>0</v>
      </c>
      <c r="H349" s="6">
        <v>0</v>
      </c>
      <c r="I349" s="6">
        <f t="shared" si="5"/>
        <v>0</v>
      </c>
      <c r="J349" s="8">
        <v>41806</v>
      </c>
      <c r="K349" s="6">
        <v>0</v>
      </c>
      <c r="L349">
        <f>VLOOKUP(A349,Marketing_df2!$A$1:$F$2241,3,FALSE)</f>
        <v>104</v>
      </c>
      <c r="M349">
        <f>VLOOKUP(A349,Marketing_df2!$A$1:$F$2241,4,FALSE)</f>
        <v>189</v>
      </c>
      <c r="N349">
        <f>VLOOKUP(A349,Marketing_df2!$A$1:$F$2241,5,FALSE)</f>
        <v>4</v>
      </c>
      <c r="O349">
        <f>VLOOKUP(A349,Marketing_df2!$A$1:$F$2241,6,FALSE)</f>
        <v>6</v>
      </c>
    </row>
    <row r="350" spans="1:15" ht="12.5">
      <c r="A350" s="6">
        <v>348</v>
      </c>
      <c r="B350" s="6">
        <v>8842</v>
      </c>
      <c r="C350" s="6">
        <v>1971</v>
      </c>
      <c r="D350" s="7" t="s">
        <v>9</v>
      </c>
      <c r="E350" s="7" t="s">
        <v>18</v>
      </c>
      <c r="F350" s="6">
        <v>30372</v>
      </c>
      <c r="G350" s="6">
        <v>1</v>
      </c>
      <c r="H350" s="6">
        <v>1</v>
      </c>
      <c r="I350" s="6">
        <f t="shared" si="5"/>
        <v>2</v>
      </c>
      <c r="J350" s="9">
        <v>41268</v>
      </c>
      <c r="K350" s="6">
        <v>33</v>
      </c>
      <c r="L350">
        <f>VLOOKUP(A350,Marketing_df2!$A$1:$F$2241,3,FALSE)</f>
        <v>0</v>
      </c>
      <c r="M350">
        <f>VLOOKUP(A350,Marketing_df2!$A$1:$F$2241,4,FALSE)</f>
        <v>3</v>
      </c>
      <c r="N350">
        <f>VLOOKUP(A350,Marketing_df2!$A$1:$F$2241,5,FALSE)</f>
        <v>2</v>
      </c>
      <c r="O350">
        <f>VLOOKUP(A350,Marketing_df2!$A$1:$F$2241,6,FALSE)</f>
        <v>3</v>
      </c>
    </row>
    <row r="351" spans="1:15" ht="12.5">
      <c r="A351" s="6">
        <v>349</v>
      </c>
      <c r="B351" s="6">
        <v>11030</v>
      </c>
      <c r="C351" s="6">
        <v>1976</v>
      </c>
      <c r="D351" s="7" t="s">
        <v>14</v>
      </c>
      <c r="E351" s="7" t="s">
        <v>13</v>
      </c>
      <c r="F351" s="6">
        <v>33181</v>
      </c>
      <c r="G351" s="6">
        <v>1</v>
      </c>
      <c r="H351" s="6">
        <v>0</v>
      </c>
      <c r="I351" s="6">
        <f t="shared" si="5"/>
        <v>1</v>
      </c>
      <c r="J351" s="8">
        <v>41642</v>
      </c>
      <c r="K351" s="6">
        <v>90</v>
      </c>
      <c r="L351">
        <f>VLOOKUP(A351,Marketing_df2!$A$1:$F$2241,3,FALSE)</f>
        <v>0</v>
      </c>
      <c r="M351">
        <f>VLOOKUP(A351,Marketing_df2!$A$1:$F$2241,4,FALSE)</f>
        <v>0</v>
      </c>
      <c r="N351">
        <f>VLOOKUP(A351,Marketing_df2!$A$1:$F$2241,5,FALSE)</f>
        <v>1</v>
      </c>
      <c r="O351">
        <f>VLOOKUP(A351,Marketing_df2!$A$1:$F$2241,6,FALSE)</f>
        <v>2</v>
      </c>
    </row>
    <row r="352" spans="1:15" ht="12.5">
      <c r="A352" s="6">
        <v>350</v>
      </c>
      <c r="B352" s="6">
        <v>2579</v>
      </c>
      <c r="C352" s="6">
        <v>1957</v>
      </c>
      <c r="D352" s="7" t="s">
        <v>9</v>
      </c>
      <c r="E352" s="7" t="s">
        <v>13</v>
      </c>
      <c r="F352" s="6">
        <v>71113</v>
      </c>
      <c r="G352" s="6">
        <v>0</v>
      </c>
      <c r="H352" s="6">
        <v>1</v>
      </c>
      <c r="I352" s="6">
        <f t="shared" si="5"/>
        <v>1</v>
      </c>
      <c r="J352" s="9">
        <v>41625</v>
      </c>
      <c r="K352" s="6">
        <v>95</v>
      </c>
      <c r="L352">
        <f>VLOOKUP(A352,Marketing_df2!$A$1:$F$2241,3,FALSE)</f>
        <v>33</v>
      </c>
      <c r="M352">
        <f>VLOOKUP(A352,Marketing_df2!$A$1:$F$2241,4,FALSE)</f>
        <v>33</v>
      </c>
      <c r="N352">
        <f>VLOOKUP(A352,Marketing_df2!$A$1:$F$2241,5,FALSE)</f>
        <v>6</v>
      </c>
      <c r="O352">
        <f>VLOOKUP(A352,Marketing_df2!$A$1:$F$2241,6,FALSE)</f>
        <v>9</v>
      </c>
    </row>
    <row r="353" spans="1:15" ht="12.5">
      <c r="A353" s="6">
        <v>351</v>
      </c>
      <c r="B353" s="6">
        <v>175</v>
      </c>
      <c r="C353" s="6">
        <v>1986</v>
      </c>
      <c r="D353" s="7" t="s">
        <v>9</v>
      </c>
      <c r="E353" s="7" t="s">
        <v>13</v>
      </c>
      <c r="F353" s="6">
        <v>71952</v>
      </c>
      <c r="G353" s="6">
        <v>1</v>
      </c>
      <c r="H353" s="6">
        <v>0</v>
      </c>
      <c r="I353" s="6">
        <f t="shared" si="5"/>
        <v>1</v>
      </c>
      <c r="J353" s="8">
        <v>41284</v>
      </c>
      <c r="K353" s="6">
        <v>93</v>
      </c>
      <c r="L353">
        <f>VLOOKUP(A353,Marketing_df2!$A$1:$F$2241,3,FALSE)</f>
        <v>80</v>
      </c>
      <c r="M353">
        <f>VLOOKUP(A353,Marketing_df2!$A$1:$F$2241,4,FALSE)</f>
        <v>107</v>
      </c>
      <c r="N353">
        <f>VLOOKUP(A353,Marketing_df2!$A$1:$F$2241,5,FALSE)</f>
        <v>8</v>
      </c>
      <c r="O353">
        <f>VLOOKUP(A353,Marketing_df2!$A$1:$F$2241,6,FALSE)</f>
        <v>8</v>
      </c>
    </row>
    <row r="354" spans="1:15" ht="12.5">
      <c r="A354" s="6">
        <v>352</v>
      </c>
      <c r="B354" s="6">
        <v>9185</v>
      </c>
      <c r="C354" s="6">
        <v>1966</v>
      </c>
      <c r="D354" s="7" t="s">
        <v>12</v>
      </c>
      <c r="E354" s="7" t="s">
        <v>10</v>
      </c>
      <c r="F354" s="6">
        <v>69759</v>
      </c>
      <c r="G354" s="6">
        <v>0</v>
      </c>
      <c r="H354" s="6">
        <v>0</v>
      </c>
      <c r="I354" s="6">
        <f t="shared" si="5"/>
        <v>0</v>
      </c>
      <c r="J354" s="9">
        <v>41575</v>
      </c>
      <c r="K354" s="6">
        <v>38</v>
      </c>
      <c r="L354">
        <f>VLOOKUP(A354,Marketing_df2!$A$1:$F$2241,3,FALSE)</f>
        <v>20</v>
      </c>
      <c r="M354">
        <f>VLOOKUP(A354,Marketing_df2!$A$1:$F$2241,4,FALSE)</f>
        <v>30</v>
      </c>
      <c r="N354">
        <f>VLOOKUP(A354,Marketing_df2!$A$1:$F$2241,5,FALSE)</f>
        <v>4</v>
      </c>
      <c r="O354">
        <f>VLOOKUP(A354,Marketing_df2!$A$1:$F$2241,6,FALSE)</f>
        <v>5</v>
      </c>
    </row>
    <row r="355" spans="1:15" ht="12.5">
      <c r="A355" s="6">
        <v>353</v>
      </c>
      <c r="B355" s="6">
        <v>11056</v>
      </c>
      <c r="C355" s="6">
        <v>1974</v>
      </c>
      <c r="D355" s="7" t="s">
        <v>9</v>
      </c>
      <c r="E355" s="7" t="s">
        <v>13</v>
      </c>
      <c r="F355" s="6">
        <v>72099</v>
      </c>
      <c r="G355" s="6">
        <v>0</v>
      </c>
      <c r="H355" s="6">
        <v>0</v>
      </c>
      <c r="I355" s="6">
        <f t="shared" si="5"/>
        <v>0</v>
      </c>
      <c r="J355" s="9">
        <v>41209</v>
      </c>
      <c r="K355" s="6">
        <v>18</v>
      </c>
      <c r="L355">
        <f>VLOOKUP(A355,Marketing_df2!$A$1:$F$2241,3,FALSE)</f>
        <v>91</v>
      </c>
      <c r="M355">
        <f>VLOOKUP(A355,Marketing_df2!$A$1:$F$2241,4,FALSE)</f>
        <v>0</v>
      </c>
      <c r="N355">
        <f>VLOOKUP(A355,Marketing_df2!$A$1:$F$2241,5,FALSE)</f>
        <v>3</v>
      </c>
      <c r="O355">
        <f>VLOOKUP(A355,Marketing_df2!$A$1:$F$2241,6,FALSE)</f>
        <v>10</v>
      </c>
    </row>
    <row r="356" spans="1:15" ht="12.5">
      <c r="A356" s="6">
        <v>354</v>
      </c>
      <c r="B356" s="6">
        <v>9365</v>
      </c>
      <c r="C356" s="6">
        <v>1976</v>
      </c>
      <c r="D356" s="7" t="s">
        <v>12</v>
      </c>
      <c r="E356" s="7" t="s">
        <v>10</v>
      </c>
      <c r="F356" s="6">
        <v>60000</v>
      </c>
      <c r="G356" s="6">
        <v>0</v>
      </c>
      <c r="H356" s="6">
        <v>1</v>
      </c>
      <c r="I356" s="6">
        <f t="shared" si="5"/>
        <v>1</v>
      </c>
      <c r="J356" s="9">
        <v>41265</v>
      </c>
      <c r="K356" s="6">
        <v>57</v>
      </c>
      <c r="L356">
        <f>VLOOKUP(A356,Marketing_df2!$A$1:$F$2241,3,FALSE)</f>
        <v>0</v>
      </c>
      <c r="M356">
        <f>VLOOKUP(A356,Marketing_df2!$A$1:$F$2241,4,FALSE)</f>
        <v>0</v>
      </c>
      <c r="N356">
        <f>VLOOKUP(A356,Marketing_df2!$A$1:$F$2241,5,FALSE)</f>
        <v>11</v>
      </c>
      <c r="O356">
        <f>VLOOKUP(A356,Marketing_df2!$A$1:$F$2241,6,FALSE)</f>
        <v>5</v>
      </c>
    </row>
    <row r="357" spans="1:15" ht="12.5">
      <c r="A357" s="6">
        <v>355</v>
      </c>
      <c r="B357" s="6">
        <v>6201</v>
      </c>
      <c r="C357" s="6">
        <v>1978</v>
      </c>
      <c r="D357" s="7" t="s">
        <v>9</v>
      </c>
      <c r="E357" s="7" t="s">
        <v>10</v>
      </c>
      <c r="F357" s="6">
        <v>38643</v>
      </c>
      <c r="G357" s="6">
        <v>1</v>
      </c>
      <c r="H357" s="6">
        <v>1</v>
      </c>
      <c r="I357" s="6">
        <f t="shared" si="5"/>
        <v>2</v>
      </c>
      <c r="J357" s="9">
        <v>41607</v>
      </c>
      <c r="K357" s="6">
        <v>45</v>
      </c>
      <c r="L357">
        <f>VLOOKUP(A357,Marketing_df2!$A$1:$F$2241,3,FALSE)</f>
        <v>2</v>
      </c>
      <c r="M357">
        <f>VLOOKUP(A357,Marketing_df2!$A$1:$F$2241,4,FALSE)</f>
        <v>1</v>
      </c>
      <c r="N357">
        <f>VLOOKUP(A357,Marketing_df2!$A$1:$F$2241,5,FALSE)</f>
        <v>2</v>
      </c>
      <c r="O357">
        <f>VLOOKUP(A357,Marketing_df2!$A$1:$F$2241,6,FALSE)</f>
        <v>3</v>
      </c>
    </row>
    <row r="358" spans="1:15" ht="12.5">
      <c r="A358" s="6">
        <v>356</v>
      </c>
      <c r="B358" s="6">
        <v>2061</v>
      </c>
      <c r="C358" s="6">
        <v>1955</v>
      </c>
      <c r="D358" s="7" t="s">
        <v>9</v>
      </c>
      <c r="E358" s="7" t="s">
        <v>13</v>
      </c>
      <c r="F358" s="6">
        <v>50737</v>
      </c>
      <c r="G358" s="6">
        <v>0</v>
      </c>
      <c r="H358" s="6">
        <v>1</v>
      </c>
      <c r="I358" s="6">
        <f t="shared" si="5"/>
        <v>1</v>
      </c>
      <c r="J358" s="8">
        <v>41405</v>
      </c>
      <c r="K358" s="6">
        <v>61</v>
      </c>
      <c r="L358">
        <f>VLOOKUP(A358,Marketing_df2!$A$1:$F$2241,3,FALSE)</f>
        <v>0</v>
      </c>
      <c r="M358">
        <f>VLOOKUP(A358,Marketing_df2!$A$1:$F$2241,4,FALSE)</f>
        <v>0</v>
      </c>
      <c r="N358">
        <f>VLOOKUP(A358,Marketing_df2!$A$1:$F$2241,5,FALSE)</f>
        <v>2</v>
      </c>
      <c r="O358">
        <f>VLOOKUP(A358,Marketing_df2!$A$1:$F$2241,6,FALSE)</f>
        <v>4</v>
      </c>
    </row>
    <row r="359" spans="1:15" ht="12.5">
      <c r="A359" s="6">
        <v>357</v>
      </c>
      <c r="B359" s="6">
        <v>6184</v>
      </c>
      <c r="C359" s="6">
        <v>1969</v>
      </c>
      <c r="D359" s="7" t="s">
        <v>12</v>
      </c>
      <c r="E359" s="7" t="s">
        <v>13</v>
      </c>
      <c r="F359" s="6">
        <v>68462</v>
      </c>
      <c r="G359" s="6">
        <v>0</v>
      </c>
      <c r="H359" s="6">
        <v>0</v>
      </c>
      <c r="I359" s="6">
        <f t="shared" si="5"/>
        <v>0</v>
      </c>
      <c r="J359" s="9">
        <v>41255</v>
      </c>
      <c r="K359" s="6">
        <v>6</v>
      </c>
      <c r="L359">
        <f>VLOOKUP(A359,Marketing_df2!$A$1:$F$2241,3,FALSE)</f>
        <v>64</v>
      </c>
      <c r="M359">
        <f>VLOOKUP(A359,Marketing_df2!$A$1:$F$2241,4,FALSE)</f>
        <v>128</v>
      </c>
      <c r="N359">
        <f>VLOOKUP(A359,Marketing_df2!$A$1:$F$2241,5,FALSE)</f>
        <v>3</v>
      </c>
      <c r="O359">
        <f>VLOOKUP(A359,Marketing_df2!$A$1:$F$2241,6,FALSE)</f>
        <v>8</v>
      </c>
    </row>
    <row r="360" spans="1:15" ht="12.5">
      <c r="A360" s="6">
        <v>358</v>
      </c>
      <c r="B360" s="6">
        <v>6142</v>
      </c>
      <c r="C360" s="6">
        <v>1943</v>
      </c>
      <c r="D360" s="7" t="s">
        <v>14</v>
      </c>
      <c r="E360" s="7" t="s">
        <v>13</v>
      </c>
      <c r="F360" s="6">
        <v>65073</v>
      </c>
      <c r="G360" s="6">
        <v>0</v>
      </c>
      <c r="H360" s="6">
        <v>0</v>
      </c>
      <c r="I360" s="6">
        <f t="shared" si="5"/>
        <v>0</v>
      </c>
      <c r="J360" s="8">
        <v>41506</v>
      </c>
      <c r="K360" s="6">
        <v>65</v>
      </c>
      <c r="L360">
        <f>VLOOKUP(A360,Marketing_df2!$A$1:$F$2241,3,FALSE)</f>
        <v>17</v>
      </c>
      <c r="M360">
        <f>VLOOKUP(A360,Marketing_df2!$A$1:$F$2241,4,FALSE)</f>
        <v>0</v>
      </c>
      <c r="N360">
        <f>VLOOKUP(A360,Marketing_df2!$A$1:$F$2241,5,FALSE)</f>
        <v>5</v>
      </c>
      <c r="O360">
        <f>VLOOKUP(A360,Marketing_df2!$A$1:$F$2241,6,FALSE)</f>
        <v>5</v>
      </c>
    </row>
    <row r="361" spans="1:15" ht="12.5">
      <c r="A361" s="6">
        <v>359</v>
      </c>
      <c r="B361" s="6">
        <v>4107</v>
      </c>
      <c r="C361" s="6">
        <v>1948</v>
      </c>
      <c r="D361" s="7" t="s">
        <v>12</v>
      </c>
      <c r="E361" s="7" t="s">
        <v>11</v>
      </c>
      <c r="F361" s="6">
        <v>46681</v>
      </c>
      <c r="G361" s="6">
        <v>0</v>
      </c>
      <c r="H361" s="6">
        <v>2</v>
      </c>
      <c r="I361" s="6">
        <f t="shared" si="5"/>
        <v>2</v>
      </c>
      <c r="J361" s="8">
        <v>41555</v>
      </c>
      <c r="K361" s="6">
        <v>52</v>
      </c>
      <c r="L361">
        <f>VLOOKUP(A361,Marketing_df2!$A$1:$F$2241,3,FALSE)</f>
        <v>15</v>
      </c>
      <c r="M361">
        <f>VLOOKUP(A361,Marketing_df2!$A$1:$F$2241,4,FALSE)</f>
        <v>19</v>
      </c>
      <c r="N361">
        <f>VLOOKUP(A361,Marketing_df2!$A$1:$F$2241,5,FALSE)</f>
        <v>4</v>
      </c>
      <c r="O361">
        <f>VLOOKUP(A361,Marketing_df2!$A$1:$F$2241,6,FALSE)</f>
        <v>4</v>
      </c>
    </row>
    <row r="362" spans="1:15" ht="12.5">
      <c r="A362" s="6">
        <v>360</v>
      </c>
      <c r="B362" s="6">
        <v>7274</v>
      </c>
      <c r="C362" s="6">
        <v>1957</v>
      </c>
      <c r="D362" s="7" t="s">
        <v>9</v>
      </c>
      <c r="E362" s="7" t="s">
        <v>13</v>
      </c>
      <c r="F362" s="6">
        <v>78618</v>
      </c>
      <c r="G362" s="6">
        <v>0</v>
      </c>
      <c r="H362" s="6">
        <v>0</v>
      </c>
      <c r="I362" s="6">
        <f t="shared" si="5"/>
        <v>0</v>
      </c>
      <c r="J362" s="8">
        <v>41180</v>
      </c>
      <c r="K362" s="6">
        <v>87</v>
      </c>
      <c r="L362">
        <f>VLOOKUP(A362,Marketing_df2!$A$1:$F$2241,3,FALSE)</f>
        <v>163</v>
      </c>
      <c r="M362">
        <f>VLOOKUP(A362,Marketing_df2!$A$1:$F$2241,4,FALSE)</f>
        <v>163</v>
      </c>
      <c r="N362">
        <f>VLOOKUP(A362,Marketing_df2!$A$1:$F$2241,5,FALSE)</f>
        <v>4</v>
      </c>
      <c r="O362">
        <f>VLOOKUP(A362,Marketing_df2!$A$1:$F$2241,6,FALSE)</f>
        <v>10</v>
      </c>
    </row>
    <row r="363" spans="1:15" ht="12.5">
      <c r="A363" s="6">
        <v>361</v>
      </c>
      <c r="B363" s="6">
        <v>9336</v>
      </c>
      <c r="C363" s="6">
        <v>1969</v>
      </c>
      <c r="D363" s="7" t="s">
        <v>12</v>
      </c>
      <c r="E363" s="7" t="s">
        <v>18</v>
      </c>
      <c r="F363" s="6">
        <v>62187</v>
      </c>
      <c r="G363" s="6">
        <v>0</v>
      </c>
      <c r="H363" s="6">
        <v>1</v>
      </c>
      <c r="I363" s="6">
        <f t="shared" si="5"/>
        <v>1</v>
      </c>
      <c r="J363" s="8">
        <v>41720</v>
      </c>
      <c r="K363" s="6">
        <v>38</v>
      </c>
      <c r="L363">
        <f>VLOOKUP(A363,Marketing_df2!$A$1:$F$2241,3,FALSE)</f>
        <v>0</v>
      </c>
      <c r="M363">
        <f>VLOOKUP(A363,Marketing_df2!$A$1:$F$2241,4,FALSE)</f>
        <v>0</v>
      </c>
      <c r="N363">
        <f>VLOOKUP(A363,Marketing_df2!$A$1:$F$2241,5,FALSE)</f>
        <v>6</v>
      </c>
      <c r="O363">
        <f>VLOOKUP(A363,Marketing_df2!$A$1:$F$2241,6,FALSE)</f>
        <v>10</v>
      </c>
    </row>
    <row r="364" spans="1:15" ht="12.5">
      <c r="A364" s="6">
        <v>362</v>
      </c>
      <c r="B364" s="6">
        <v>2958</v>
      </c>
      <c r="C364" s="6">
        <v>1978</v>
      </c>
      <c r="D364" s="7" t="s">
        <v>9</v>
      </c>
      <c r="E364" s="7" t="s">
        <v>13</v>
      </c>
      <c r="F364" s="6">
        <v>28442</v>
      </c>
      <c r="G364" s="6">
        <v>2</v>
      </c>
      <c r="H364" s="6">
        <v>0</v>
      </c>
      <c r="I364" s="6">
        <f t="shared" si="5"/>
        <v>2</v>
      </c>
      <c r="J364" s="8">
        <v>41694</v>
      </c>
      <c r="K364" s="6">
        <v>53</v>
      </c>
      <c r="L364">
        <f>VLOOKUP(A364,Marketing_df2!$A$1:$F$2241,3,FALSE)</f>
        <v>3</v>
      </c>
      <c r="M364">
        <f>VLOOKUP(A364,Marketing_df2!$A$1:$F$2241,4,FALSE)</f>
        <v>8</v>
      </c>
      <c r="N364">
        <f>VLOOKUP(A364,Marketing_df2!$A$1:$F$2241,5,FALSE)</f>
        <v>2</v>
      </c>
      <c r="O364">
        <f>VLOOKUP(A364,Marketing_df2!$A$1:$F$2241,6,FALSE)</f>
        <v>4</v>
      </c>
    </row>
    <row r="365" spans="1:15" ht="12.5">
      <c r="A365" s="6">
        <v>363</v>
      </c>
      <c r="B365" s="6">
        <v>933</v>
      </c>
      <c r="C365" s="6">
        <v>1978</v>
      </c>
      <c r="D365" s="7" t="s">
        <v>12</v>
      </c>
      <c r="E365" s="7" t="s">
        <v>13</v>
      </c>
      <c r="F365" s="6">
        <v>37717</v>
      </c>
      <c r="G365" s="6">
        <v>1</v>
      </c>
      <c r="H365" s="6">
        <v>0</v>
      </c>
      <c r="I365" s="6">
        <f t="shared" si="5"/>
        <v>1</v>
      </c>
      <c r="J365" s="9">
        <v>41236</v>
      </c>
      <c r="K365" s="6">
        <v>31</v>
      </c>
      <c r="L365">
        <f>VLOOKUP(A365,Marketing_df2!$A$1:$F$2241,3,FALSE)</f>
        <v>0</v>
      </c>
      <c r="M365">
        <f>VLOOKUP(A365,Marketing_df2!$A$1:$F$2241,4,FALSE)</f>
        <v>1</v>
      </c>
      <c r="N365">
        <f>VLOOKUP(A365,Marketing_df2!$A$1:$F$2241,5,FALSE)</f>
        <v>1</v>
      </c>
      <c r="O365">
        <f>VLOOKUP(A365,Marketing_df2!$A$1:$F$2241,6,FALSE)</f>
        <v>2</v>
      </c>
    </row>
    <row r="366" spans="1:15" ht="12.5">
      <c r="A366" s="6">
        <v>364</v>
      </c>
      <c r="B366" s="6">
        <v>5837</v>
      </c>
      <c r="C366" s="6">
        <v>1967</v>
      </c>
      <c r="D366" s="7" t="s">
        <v>9</v>
      </c>
      <c r="E366" s="7" t="s">
        <v>13</v>
      </c>
      <c r="F366" s="6">
        <v>51479</v>
      </c>
      <c r="G366" s="6">
        <v>1</v>
      </c>
      <c r="H366" s="6">
        <v>1</v>
      </c>
      <c r="I366" s="6">
        <f t="shared" si="5"/>
        <v>2</v>
      </c>
      <c r="J366" s="9">
        <v>41271</v>
      </c>
      <c r="K366" s="6">
        <v>67</v>
      </c>
      <c r="L366">
        <f>VLOOKUP(A366,Marketing_df2!$A$1:$F$2241,3,FALSE)</f>
        <v>8</v>
      </c>
      <c r="M366">
        <f>VLOOKUP(A366,Marketing_df2!$A$1:$F$2241,4,FALSE)</f>
        <v>8</v>
      </c>
      <c r="N366">
        <f>VLOOKUP(A366,Marketing_df2!$A$1:$F$2241,5,FALSE)</f>
        <v>6</v>
      </c>
      <c r="O366">
        <f>VLOOKUP(A366,Marketing_df2!$A$1:$F$2241,6,FALSE)</f>
        <v>6</v>
      </c>
    </row>
    <row r="367" spans="1:15" ht="12.5">
      <c r="A367" s="6">
        <v>365</v>
      </c>
      <c r="B367" s="6">
        <v>10704</v>
      </c>
      <c r="C367" s="6">
        <v>1969</v>
      </c>
      <c r="D367" s="7" t="s">
        <v>9</v>
      </c>
      <c r="E367" s="7" t="s">
        <v>10</v>
      </c>
      <c r="F367" s="6">
        <v>54803</v>
      </c>
      <c r="G367" s="6">
        <v>0</v>
      </c>
      <c r="H367" s="6">
        <v>1</v>
      </c>
      <c r="I367" s="6">
        <f t="shared" si="5"/>
        <v>1</v>
      </c>
      <c r="J367" s="8">
        <v>41142</v>
      </c>
      <c r="K367" s="6">
        <v>65</v>
      </c>
      <c r="L367">
        <f>VLOOKUP(A367,Marketing_df2!$A$1:$F$2241,3,FALSE)</f>
        <v>0</v>
      </c>
      <c r="M367">
        <f>VLOOKUP(A367,Marketing_df2!$A$1:$F$2241,4,FALSE)</f>
        <v>27</v>
      </c>
      <c r="N367">
        <f>VLOOKUP(A367,Marketing_df2!$A$1:$F$2241,5,FALSE)</f>
        <v>6</v>
      </c>
      <c r="O367">
        <f>VLOOKUP(A367,Marketing_df2!$A$1:$F$2241,6,FALSE)</f>
        <v>9</v>
      </c>
    </row>
    <row r="368" spans="1:15" ht="12.5">
      <c r="A368" s="6">
        <v>366</v>
      </c>
      <c r="B368" s="6">
        <v>5125</v>
      </c>
      <c r="C368" s="6">
        <v>1960</v>
      </c>
      <c r="D368" s="7" t="s">
        <v>9</v>
      </c>
      <c r="E368" s="7" t="s">
        <v>13</v>
      </c>
      <c r="F368" s="6">
        <v>79530</v>
      </c>
      <c r="G368" s="6">
        <v>0</v>
      </c>
      <c r="H368" s="6">
        <v>0</v>
      </c>
      <c r="I368" s="6">
        <f t="shared" si="5"/>
        <v>0</v>
      </c>
      <c r="J368" s="8">
        <v>41411</v>
      </c>
      <c r="K368" s="6">
        <v>64</v>
      </c>
      <c r="L368">
        <f>VLOOKUP(A368,Marketing_df2!$A$1:$F$2241,3,FALSE)</f>
        <v>0</v>
      </c>
      <c r="M368">
        <f>VLOOKUP(A368,Marketing_df2!$A$1:$F$2241,4,FALSE)</f>
        <v>42</v>
      </c>
      <c r="N368">
        <f>VLOOKUP(A368,Marketing_df2!$A$1:$F$2241,5,FALSE)</f>
        <v>4</v>
      </c>
      <c r="O368">
        <f>VLOOKUP(A368,Marketing_df2!$A$1:$F$2241,6,FALSE)</f>
        <v>11</v>
      </c>
    </row>
    <row r="369" spans="1:15" ht="12.5">
      <c r="A369" s="6">
        <v>367</v>
      </c>
      <c r="B369" s="6">
        <v>4432</v>
      </c>
      <c r="C369" s="6">
        <v>1976</v>
      </c>
      <c r="D369" s="7" t="s">
        <v>9</v>
      </c>
      <c r="E369" s="7" t="s">
        <v>15</v>
      </c>
      <c r="F369" s="6">
        <v>31615</v>
      </c>
      <c r="G369" s="6">
        <v>1</v>
      </c>
      <c r="H369" s="6">
        <v>0</v>
      </c>
      <c r="I369" s="6">
        <f t="shared" si="5"/>
        <v>1</v>
      </c>
      <c r="J369" s="8">
        <v>41349</v>
      </c>
      <c r="K369" s="6">
        <v>82</v>
      </c>
      <c r="L369">
        <f>VLOOKUP(A369,Marketing_df2!$A$1:$F$2241,3,FALSE)</f>
        <v>3</v>
      </c>
      <c r="M369">
        <f>VLOOKUP(A369,Marketing_df2!$A$1:$F$2241,4,FALSE)</f>
        <v>11</v>
      </c>
      <c r="N369">
        <f>VLOOKUP(A369,Marketing_df2!$A$1:$F$2241,5,FALSE)</f>
        <v>2</v>
      </c>
      <c r="O369">
        <f>VLOOKUP(A369,Marketing_df2!$A$1:$F$2241,6,FALSE)</f>
        <v>3</v>
      </c>
    </row>
    <row r="370" spans="1:15" ht="12.5">
      <c r="A370" s="6">
        <v>368</v>
      </c>
      <c r="B370" s="6">
        <v>5955</v>
      </c>
      <c r="C370" s="6">
        <v>1962</v>
      </c>
      <c r="D370" s="7" t="s">
        <v>9</v>
      </c>
      <c r="E370" s="7" t="s">
        <v>11</v>
      </c>
      <c r="F370" s="6">
        <v>72025</v>
      </c>
      <c r="G370" s="6">
        <v>0</v>
      </c>
      <c r="H370" s="6">
        <v>0</v>
      </c>
      <c r="I370" s="6">
        <f t="shared" si="5"/>
        <v>0</v>
      </c>
      <c r="J370" s="9">
        <v>41230</v>
      </c>
      <c r="K370" s="6">
        <v>27</v>
      </c>
      <c r="L370">
        <f>VLOOKUP(A370,Marketing_df2!$A$1:$F$2241,3,FALSE)</f>
        <v>33</v>
      </c>
      <c r="M370">
        <f>VLOOKUP(A370,Marketing_df2!$A$1:$F$2241,4,FALSE)</f>
        <v>133</v>
      </c>
      <c r="N370">
        <f>VLOOKUP(A370,Marketing_df2!$A$1:$F$2241,5,FALSE)</f>
        <v>4</v>
      </c>
      <c r="O370">
        <f>VLOOKUP(A370,Marketing_df2!$A$1:$F$2241,6,FALSE)</f>
        <v>8</v>
      </c>
    </row>
    <row r="371" spans="1:15" ht="12.5">
      <c r="A371" s="6">
        <v>369</v>
      </c>
      <c r="B371" s="6">
        <v>2928</v>
      </c>
      <c r="C371" s="6">
        <v>1975</v>
      </c>
      <c r="D371" s="7" t="s">
        <v>12</v>
      </c>
      <c r="E371" s="7" t="s">
        <v>10</v>
      </c>
      <c r="F371" s="6">
        <v>52614</v>
      </c>
      <c r="G371" s="6">
        <v>0</v>
      </c>
      <c r="H371" s="6">
        <v>1</v>
      </c>
      <c r="I371" s="6">
        <f t="shared" si="5"/>
        <v>1</v>
      </c>
      <c r="J371" s="8">
        <v>41244</v>
      </c>
      <c r="K371" s="6">
        <v>63</v>
      </c>
      <c r="L371">
        <f>VLOOKUP(A371,Marketing_df2!$A$1:$F$2241,3,FALSE)</f>
        <v>0</v>
      </c>
      <c r="M371">
        <f>VLOOKUP(A371,Marketing_df2!$A$1:$F$2241,4,FALSE)</f>
        <v>9</v>
      </c>
      <c r="N371">
        <f>VLOOKUP(A371,Marketing_df2!$A$1:$F$2241,5,FALSE)</f>
        <v>2</v>
      </c>
      <c r="O371">
        <f>VLOOKUP(A371,Marketing_df2!$A$1:$F$2241,6,FALSE)</f>
        <v>8</v>
      </c>
    </row>
    <row r="372" spans="1:15" ht="12.5">
      <c r="A372" s="6">
        <v>370</v>
      </c>
      <c r="B372" s="6">
        <v>5680</v>
      </c>
      <c r="C372" s="6">
        <v>1984</v>
      </c>
      <c r="D372" s="7" t="s">
        <v>17</v>
      </c>
      <c r="E372" s="7" t="s">
        <v>13</v>
      </c>
      <c r="F372" s="6">
        <v>35684</v>
      </c>
      <c r="G372" s="6">
        <v>1</v>
      </c>
      <c r="H372" s="6">
        <v>0</v>
      </c>
      <c r="I372" s="6">
        <f t="shared" si="5"/>
        <v>1</v>
      </c>
      <c r="J372" s="8">
        <v>41751</v>
      </c>
      <c r="K372" s="6">
        <v>66</v>
      </c>
      <c r="L372">
        <f>VLOOKUP(A372,Marketing_df2!$A$1:$F$2241,3,FALSE)</f>
        <v>4</v>
      </c>
      <c r="M372">
        <f>VLOOKUP(A372,Marketing_df2!$A$1:$F$2241,4,FALSE)</f>
        <v>6</v>
      </c>
      <c r="N372">
        <f>VLOOKUP(A372,Marketing_df2!$A$1:$F$2241,5,FALSE)</f>
        <v>1</v>
      </c>
      <c r="O372">
        <f>VLOOKUP(A372,Marketing_df2!$A$1:$F$2241,6,FALSE)</f>
        <v>3</v>
      </c>
    </row>
    <row r="373" spans="1:15" ht="12.5">
      <c r="A373" s="6">
        <v>371</v>
      </c>
      <c r="B373" s="6">
        <v>10313</v>
      </c>
      <c r="C373" s="6">
        <v>1975</v>
      </c>
      <c r="D373" s="7" t="s">
        <v>9</v>
      </c>
      <c r="E373" s="7" t="s">
        <v>13</v>
      </c>
      <c r="F373" s="6">
        <v>48178</v>
      </c>
      <c r="G373" s="6">
        <v>1</v>
      </c>
      <c r="H373" s="6">
        <v>1</v>
      </c>
      <c r="I373" s="6">
        <f t="shared" si="5"/>
        <v>2</v>
      </c>
      <c r="J373" s="9">
        <v>41210</v>
      </c>
      <c r="K373" s="6">
        <v>69</v>
      </c>
      <c r="L373">
        <f>VLOOKUP(A373,Marketing_df2!$A$1:$F$2241,3,FALSE)</f>
        <v>4</v>
      </c>
      <c r="M373">
        <f>VLOOKUP(A373,Marketing_df2!$A$1:$F$2241,4,FALSE)</f>
        <v>2</v>
      </c>
      <c r="N373">
        <f>VLOOKUP(A373,Marketing_df2!$A$1:$F$2241,5,FALSE)</f>
        <v>5</v>
      </c>
      <c r="O373">
        <f>VLOOKUP(A373,Marketing_df2!$A$1:$F$2241,6,FALSE)</f>
        <v>4</v>
      </c>
    </row>
    <row r="374" spans="1:15" ht="12.5">
      <c r="A374" s="6">
        <v>372</v>
      </c>
      <c r="B374" s="6">
        <v>2557</v>
      </c>
      <c r="C374" s="6">
        <v>1970</v>
      </c>
      <c r="D374" s="7" t="s">
        <v>14</v>
      </c>
      <c r="E374" s="7" t="s">
        <v>10</v>
      </c>
      <c r="F374" s="6">
        <v>29548</v>
      </c>
      <c r="G374" s="6">
        <v>1</v>
      </c>
      <c r="H374" s="6">
        <v>0</v>
      </c>
      <c r="I374" s="6">
        <f t="shared" si="5"/>
        <v>1</v>
      </c>
      <c r="J374" s="8">
        <v>41515</v>
      </c>
      <c r="K374" s="6">
        <v>52</v>
      </c>
      <c r="L374">
        <f>VLOOKUP(A374,Marketing_df2!$A$1:$F$2241,3,FALSE)</f>
        <v>1</v>
      </c>
      <c r="M374">
        <f>VLOOKUP(A374,Marketing_df2!$A$1:$F$2241,4,FALSE)</f>
        <v>1</v>
      </c>
      <c r="N374">
        <f>VLOOKUP(A374,Marketing_df2!$A$1:$F$2241,5,FALSE)</f>
        <v>1</v>
      </c>
      <c r="O374">
        <f>VLOOKUP(A374,Marketing_df2!$A$1:$F$2241,6,FALSE)</f>
        <v>2</v>
      </c>
    </row>
    <row r="375" spans="1:15" ht="12.5">
      <c r="A375" s="6">
        <v>373</v>
      </c>
      <c r="B375" s="6">
        <v>1245</v>
      </c>
      <c r="C375" s="6">
        <v>1966</v>
      </c>
      <c r="D375" s="7" t="s">
        <v>9</v>
      </c>
      <c r="E375" s="7" t="s">
        <v>10</v>
      </c>
      <c r="F375" s="6">
        <v>63810</v>
      </c>
      <c r="G375" s="6">
        <v>0</v>
      </c>
      <c r="H375" s="6">
        <v>1</v>
      </c>
      <c r="I375" s="6">
        <f t="shared" si="5"/>
        <v>1</v>
      </c>
      <c r="J375" s="9">
        <v>41224</v>
      </c>
      <c r="K375" s="6">
        <v>45</v>
      </c>
      <c r="L375">
        <f>VLOOKUP(A375,Marketing_df2!$A$1:$F$2241,3,FALSE)</f>
        <v>12</v>
      </c>
      <c r="M375">
        <f>VLOOKUP(A375,Marketing_df2!$A$1:$F$2241,4,FALSE)</f>
        <v>12</v>
      </c>
      <c r="N375">
        <f>VLOOKUP(A375,Marketing_df2!$A$1:$F$2241,5,FALSE)</f>
        <v>4</v>
      </c>
      <c r="O375">
        <f>VLOOKUP(A375,Marketing_df2!$A$1:$F$2241,6,FALSE)</f>
        <v>12</v>
      </c>
    </row>
    <row r="376" spans="1:15" ht="12.5">
      <c r="A376" s="6">
        <v>374</v>
      </c>
      <c r="B376" s="6">
        <v>1519</v>
      </c>
      <c r="C376" s="6">
        <v>1972</v>
      </c>
      <c r="D376" s="7" t="s">
        <v>12</v>
      </c>
      <c r="E376" s="7" t="s">
        <v>10</v>
      </c>
      <c r="F376" s="6">
        <v>38578</v>
      </c>
      <c r="G376" s="6">
        <v>1</v>
      </c>
      <c r="H376" s="6">
        <v>1</v>
      </c>
      <c r="I376" s="6">
        <f t="shared" si="5"/>
        <v>2</v>
      </c>
      <c r="J376" s="8">
        <v>41447</v>
      </c>
      <c r="K376" s="6">
        <v>2</v>
      </c>
      <c r="L376">
        <f>VLOOKUP(A376,Marketing_df2!$A$1:$F$2241,3,FALSE)</f>
        <v>4</v>
      </c>
      <c r="M376">
        <f>VLOOKUP(A376,Marketing_df2!$A$1:$F$2241,4,FALSE)</f>
        <v>3</v>
      </c>
      <c r="N376">
        <f>VLOOKUP(A376,Marketing_df2!$A$1:$F$2241,5,FALSE)</f>
        <v>3</v>
      </c>
      <c r="O376">
        <f>VLOOKUP(A376,Marketing_df2!$A$1:$F$2241,6,FALSE)</f>
        <v>3</v>
      </c>
    </row>
    <row r="377" spans="1:15" ht="12.5">
      <c r="A377" s="6">
        <v>375</v>
      </c>
      <c r="B377" s="6">
        <v>10703</v>
      </c>
      <c r="C377" s="6">
        <v>1975</v>
      </c>
      <c r="D377" s="7" t="s">
        <v>14</v>
      </c>
      <c r="E377" s="7" t="s">
        <v>10</v>
      </c>
      <c r="F377" s="6">
        <v>46098</v>
      </c>
      <c r="G377" s="6">
        <v>1</v>
      </c>
      <c r="H377" s="6">
        <v>1</v>
      </c>
      <c r="I377" s="6">
        <f t="shared" si="5"/>
        <v>2</v>
      </c>
      <c r="J377" s="8">
        <v>41139</v>
      </c>
      <c r="K377" s="6">
        <v>86</v>
      </c>
      <c r="L377">
        <f>VLOOKUP(A377,Marketing_df2!$A$1:$F$2241,3,FALSE)</f>
        <v>0</v>
      </c>
      <c r="M377">
        <f>VLOOKUP(A377,Marketing_df2!$A$1:$F$2241,4,FALSE)</f>
        <v>0</v>
      </c>
      <c r="N377">
        <f>VLOOKUP(A377,Marketing_df2!$A$1:$F$2241,5,FALSE)</f>
        <v>3</v>
      </c>
      <c r="O377">
        <f>VLOOKUP(A377,Marketing_df2!$A$1:$F$2241,6,FALSE)</f>
        <v>2</v>
      </c>
    </row>
    <row r="378" spans="1:15" ht="12.5">
      <c r="A378" s="6">
        <v>376</v>
      </c>
      <c r="B378" s="6">
        <v>1726</v>
      </c>
      <c r="C378" s="6">
        <v>1970</v>
      </c>
      <c r="D378" s="7" t="s">
        <v>9</v>
      </c>
      <c r="E378" s="7" t="s">
        <v>10</v>
      </c>
      <c r="F378" s="6">
        <v>22585</v>
      </c>
      <c r="G378" s="6">
        <v>0</v>
      </c>
      <c r="H378" s="6">
        <v>0</v>
      </c>
      <c r="I378" s="6">
        <f t="shared" si="5"/>
        <v>0</v>
      </c>
      <c r="J378" s="8">
        <v>41351</v>
      </c>
      <c r="K378" s="6">
        <v>23</v>
      </c>
      <c r="L378">
        <f>VLOOKUP(A378,Marketing_df2!$A$1:$F$2241,3,FALSE)</f>
        <v>9</v>
      </c>
      <c r="M378">
        <f>VLOOKUP(A378,Marketing_df2!$A$1:$F$2241,4,FALSE)</f>
        <v>2</v>
      </c>
      <c r="N378">
        <f>VLOOKUP(A378,Marketing_df2!$A$1:$F$2241,5,FALSE)</f>
        <v>1</v>
      </c>
      <c r="O378">
        <f>VLOOKUP(A378,Marketing_df2!$A$1:$F$2241,6,FALSE)</f>
        <v>2</v>
      </c>
    </row>
    <row r="379" spans="1:15" ht="12.5">
      <c r="A379" s="6">
        <v>377</v>
      </c>
      <c r="B379" s="6">
        <v>4459</v>
      </c>
      <c r="C379" s="6">
        <v>1989</v>
      </c>
      <c r="D379" s="7" t="s">
        <v>9</v>
      </c>
      <c r="E379" s="7" t="s">
        <v>10</v>
      </c>
      <c r="F379" s="6">
        <v>30279</v>
      </c>
      <c r="G379" s="6">
        <v>1</v>
      </c>
      <c r="H379" s="6">
        <v>0</v>
      </c>
      <c r="I379" s="6">
        <f t="shared" si="5"/>
        <v>1</v>
      </c>
      <c r="J379" s="9">
        <v>41273</v>
      </c>
      <c r="K379" s="6">
        <v>13</v>
      </c>
      <c r="L379">
        <f>VLOOKUP(A379,Marketing_df2!$A$1:$F$2241,3,FALSE)</f>
        <v>4</v>
      </c>
      <c r="M379">
        <f>VLOOKUP(A379,Marketing_df2!$A$1:$F$2241,4,FALSE)</f>
        <v>4</v>
      </c>
      <c r="N379">
        <f>VLOOKUP(A379,Marketing_df2!$A$1:$F$2241,5,FALSE)</f>
        <v>1</v>
      </c>
      <c r="O379">
        <f>VLOOKUP(A379,Marketing_df2!$A$1:$F$2241,6,FALSE)</f>
        <v>3</v>
      </c>
    </row>
    <row r="380" spans="1:15" ht="12.5">
      <c r="A380" s="6">
        <v>378</v>
      </c>
      <c r="B380" s="6">
        <v>1729</v>
      </c>
      <c r="C380" s="6">
        <v>1961</v>
      </c>
      <c r="D380" s="7" t="s">
        <v>12</v>
      </c>
      <c r="E380" s="7" t="s">
        <v>11</v>
      </c>
      <c r="F380" s="6">
        <v>66426</v>
      </c>
      <c r="G380" s="6">
        <v>0</v>
      </c>
      <c r="H380" s="6">
        <v>1</v>
      </c>
      <c r="I380" s="6">
        <f t="shared" si="5"/>
        <v>1</v>
      </c>
      <c r="J380" s="8">
        <v>41549</v>
      </c>
      <c r="K380" s="6">
        <v>14</v>
      </c>
      <c r="L380">
        <f>VLOOKUP(A380,Marketing_df2!$A$1:$F$2241,3,FALSE)</f>
        <v>24</v>
      </c>
      <c r="M380">
        <f>VLOOKUP(A380,Marketing_df2!$A$1:$F$2241,4,FALSE)</f>
        <v>24</v>
      </c>
      <c r="N380">
        <f>VLOOKUP(A380,Marketing_df2!$A$1:$F$2241,5,FALSE)</f>
        <v>3</v>
      </c>
      <c r="O380">
        <f>VLOOKUP(A380,Marketing_df2!$A$1:$F$2241,6,FALSE)</f>
        <v>10</v>
      </c>
    </row>
    <row r="381" spans="1:15" ht="12.5">
      <c r="A381" s="6">
        <v>379</v>
      </c>
      <c r="B381" s="6">
        <v>1517</v>
      </c>
      <c r="C381" s="6">
        <v>1969</v>
      </c>
      <c r="D381" s="7" t="s">
        <v>9</v>
      </c>
      <c r="E381" s="7" t="s">
        <v>10</v>
      </c>
      <c r="F381" s="6">
        <v>30822</v>
      </c>
      <c r="G381" s="6">
        <v>1</v>
      </c>
      <c r="H381" s="6">
        <v>0</v>
      </c>
      <c r="I381" s="6">
        <f t="shared" si="5"/>
        <v>1</v>
      </c>
      <c r="J381" s="8">
        <v>41439</v>
      </c>
      <c r="K381" s="6">
        <v>92</v>
      </c>
      <c r="L381">
        <f>VLOOKUP(A381,Marketing_df2!$A$1:$F$2241,3,FALSE)</f>
        <v>9</v>
      </c>
      <c r="M381">
        <f>VLOOKUP(A381,Marketing_df2!$A$1:$F$2241,4,FALSE)</f>
        <v>12</v>
      </c>
      <c r="N381">
        <f>VLOOKUP(A381,Marketing_df2!$A$1:$F$2241,5,FALSE)</f>
        <v>1</v>
      </c>
      <c r="O381">
        <f>VLOOKUP(A381,Marketing_df2!$A$1:$F$2241,6,FALSE)</f>
        <v>3</v>
      </c>
    </row>
    <row r="382" spans="1:15" ht="12.5">
      <c r="A382" s="6">
        <v>380</v>
      </c>
      <c r="B382" s="6">
        <v>2098</v>
      </c>
      <c r="C382" s="6">
        <v>1969</v>
      </c>
      <c r="D382" s="7" t="s">
        <v>12</v>
      </c>
      <c r="E382" s="7" t="s">
        <v>13</v>
      </c>
      <c r="F382" s="6">
        <v>33581</v>
      </c>
      <c r="G382" s="6">
        <v>2</v>
      </c>
      <c r="H382" s="6">
        <v>0</v>
      </c>
      <c r="I382" s="6">
        <f t="shared" si="5"/>
        <v>2</v>
      </c>
      <c r="J382" s="8">
        <v>41282</v>
      </c>
      <c r="K382" s="6">
        <v>38</v>
      </c>
      <c r="L382">
        <f>VLOOKUP(A382,Marketing_df2!$A$1:$F$2241,3,FALSE)</f>
        <v>0</v>
      </c>
      <c r="M382">
        <f>VLOOKUP(A382,Marketing_df2!$A$1:$F$2241,4,FALSE)</f>
        <v>0</v>
      </c>
      <c r="N382">
        <f>VLOOKUP(A382,Marketing_df2!$A$1:$F$2241,5,FALSE)</f>
        <v>1</v>
      </c>
      <c r="O382">
        <f>VLOOKUP(A382,Marketing_df2!$A$1:$F$2241,6,FALSE)</f>
        <v>2</v>
      </c>
    </row>
    <row r="383" spans="1:15" ht="12.5">
      <c r="A383" s="6">
        <v>381</v>
      </c>
      <c r="B383" s="6">
        <v>9543</v>
      </c>
      <c r="C383" s="6">
        <v>1985</v>
      </c>
      <c r="D383" s="7" t="s">
        <v>9</v>
      </c>
      <c r="E383" s="7" t="s">
        <v>13</v>
      </c>
      <c r="F383" s="6">
        <v>19986</v>
      </c>
      <c r="G383" s="6">
        <v>1</v>
      </c>
      <c r="H383" s="6">
        <v>0</v>
      </c>
      <c r="I383" s="6">
        <f t="shared" si="5"/>
        <v>1</v>
      </c>
      <c r="J383" s="9">
        <v>41592</v>
      </c>
      <c r="K383" s="6">
        <v>74</v>
      </c>
      <c r="L383">
        <f>VLOOKUP(A383,Marketing_df2!$A$1:$F$2241,3,FALSE)</f>
        <v>6</v>
      </c>
      <c r="M383">
        <f>VLOOKUP(A383,Marketing_df2!$A$1:$F$2241,4,FALSE)</f>
        <v>2</v>
      </c>
      <c r="N383">
        <f>VLOOKUP(A383,Marketing_df2!$A$1:$F$2241,5,FALSE)</f>
        <v>0</v>
      </c>
      <c r="O383">
        <f>VLOOKUP(A383,Marketing_df2!$A$1:$F$2241,6,FALSE)</f>
        <v>3</v>
      </c>
    </row>
    <row r="384" spans="1:15" ht="12.5">
      <c r="A384" s="6">
        <v>382</v>
      </c>
      <c r="B384" s="6">
        <v>6878</v>
      </c>
      <c r="C384" s="6">
        <v>1954</v>
      </c>
      <c r="D384" s="7" t="s">
        <v>9</v>
      </c>
      <c r="E384" s="7" t="s">
        <v>18</v>
      </c>
      <c r="F384" s="6">
        <v>27421</v>
      </c>
      <c r="G384" s="6">
        <v>0</v>
      </c>
      <c r="H384" s="6">
        <v>0</v>
      </c>
      <c r="I384" s="6">
        <f t="shared" si="5"/>
        <v>0</v>
      </c>
      <c r="J384" s="9">
        <v>41255</v>
      </c>
      <c r="K384" s="6">
        <v>14</v>
      </c>
      <c r="L384">
        <f>VLOOKUP(A384,Marketing_df2!$A$1:$F$2241,3,FALSE)</f>
        <v>12</v>
      </c>
      <c r="M384">
        <f>VLOOKUP(A384,Marketing_df2!$A$1:$F$2241,4,FALSE)</f>
        <v>40</v>
      </c>
      <c r="N384">
        <f>VLOOKUP(A384,Marketing_df2!$A$1:$F$2241,5,FALSE)</f>
        <v>4</v>
      </c>
      <c r="O384">
        <f>VLOOKUP(A384,Marketing_df2!$A$1:$F$2241,6,FALSE)</f>
        <v>6</v>
      </c>
    </row>
    <row r="385" spans="1:15" ht="12.5">
      <c r="A385" s="6">
        <v>383</v>
      </c>
      <c r="B385" s="6">
        <v>3310</v>
      </c>
      <c r="C385" s="6">
        <v>1973</v>
      </c>
      <c r="D385" s="7" t="s">
        <v>17</v>
      </c>
      <c r="E385" s="7" t="s">
        <v>13</v>
      </c>
      <c r="F385" s="6">
        <v>35688</v>
      </c>
      <c r="G385" s="6">
        <v>2</v>
      </c>
      <c r="H385" s="6">
        <v>1</v>
      </c>
      <c r="I385" s="6">
        <f t="shared" si="5"/>
        <v>3</v>
      </c>
      <c r="J385" s="8">
        <v>41143</v>
      </c>
      <c r="K385" s="6">
        <v>94</v>
      </c>
      <c r="L385">
        <f>VLOOKUP(A385,Marketing_df2!$A$1:$F$2241,3,FALSE)</f>
        <v>3</v>
      </c>
      <c r="M385">
        <f>VLOOKUP(A385,Marketing_df2!$A$1:$F$2241,4,FALSE)</f>
        <v>1</v>
      </c>
      <c r="N385">
        <f>VLOOKUP(A385,Marketing_df2!$A$1:$F$2241,5,FALSE)</f>
        <v>4</v>
      </c>
      <c r="O385">
        <f>VLOOKUP(A385,Marketing_df2!$A$1:$F$2241,6,FALSE)</f>
        <v>4</v>
      </c>
    </row>
    <row r="386" spans="1:15" ht="12.5">
      <c r="A386" s="6">
        <v>384</v>
      </c>
      <c r="B386" s="6">
        <v>2724</v>
      </c>
      <c r="C386" s="6">
        <v>1981</v>
      </c>
      <c r="D386" s="7" t="s">
        <v>14</v>
      </c>
      <c r="E386" s="7" t="s">
        <v>10</v>
      </c>
      <c r="F386" s="6">
        <v>36143</v>
      </c>
      <c r="G386" s="6">
        <v>1</v>
      </c>
      <c r="H386" s="6">
        <v>0</v>
      </c>
      <c r="I386" s="6">
        <f t="shared" si="5"/>
        <v>1</v>
      </c>
      <c r="J386" s="8">
        <v>41728</v>
      </c>
      <c r="K386" s="6">
        <v>33</v>
      </c>
      <c r="L386">
        <f>VLOOKUP(A386,Marketing_df2!$A$1:$F$2241,3,FALSE)</f>
        <v>0</v>
      </c>
      <c r="M386">
        <f>VLOOKUP(A386,Marketing_df2!$A$1:$F$2241,4,FALSE)</f>
        <v>0</v>
      </c>
      <c r="N386">
        <f>VLOOKUP(A386,Marketing_df2!$A$1:$F$2241,5,FALSE)</f>
        <v>0</v>
      </c>
      <c r="O386">
        <f>VLOOKUP(A386,Marketing_df2!$A$1:$F$2241,6,FALSE)</f>
        <v>2</v>
      </c>
    </row>
    <row r="387" spans="1:15" ht="12.5">
      <c r="A387" s="6">
        <v>385</v>
      </c>
      <c r="B387" s="6">
        <v>948</v>
      </c>
      <c r="C387" s="6">
        <v>1971</v>
      </c>
      <c r="D387" s="7" t="s">
        <v>9</v>
      </c>
      <c r="E387" s="7" t="s">
        <v>10</v>
      </c>
      <c r="F387" s="6">
        <v>10245</v>
      </c>
      <c r="G387" s="6">
        <v>1</v>
      </c>
      <c r="H387" s="6">
        <v>0</v>
      </c>
      <c r="I387" s="6">
        <f t="shared" ref="I387:I450" si="6">G387+H387</f>
        <v>1</v>
      </c>
      <c r="J387" s="8">
        <v>41409</v>
      </c>
      <c r="K387" s="6">
        <v>32</v>
      </c>
      <c r="L387">
        <f>VLOOKUP(A387,Marketing_df2!$A$1:$F$2241,3,FALSE)</f>
        <v>7</v>
      </c>
      <c r="M387">
        <f>VLOOKUP(A387,Marketing_df2!$A$1:$F$2241,4,FALSE)</f>
        <v>4</v>
      </c>
      <c r="N387">
        <f>VLOOKUP(A387,Marketing_df2!$A$1:$F$2241,5,FALSE)</f>
        <v>1</v>
      </c>
      <c r="O387">
        <f>VLOOKUP(A387,Marketing_df2!$A$1:$F$2241,6,FALSE)</f>
        <v>2</v>
      </c>
    </row>
    <row r="388" spans="1:15" ht="12.5">
      <c r="A388" s="6">
        <v>386</v>
      </c>
      <c r="B388" s="6">
        <v>6720</v>
      </c>
      <c r="C388" s="6">
        <v>1968</v>
      </c>
      <c r="D388" s="7" t="s">
        <v>14</v>
      </c>
      <c r="E388" s="7" t="s">
        <v>11</v>
      </c>
      <c r="F388" s="6">
        <v>43795</v>
      </c>
      <c r="G388" s="6">
        <v>0</v>
      </c>
      <c r="H388" s="6">
        <v>1</v>
      </c>
      <c r="I388" s="6">
        <f t="shared" si="6"/>
        <v>1</v>
      </c>
      <c r="J388" s="9">
        <v>41563</v>
      </c>
      <c r="K388" s="6">
        <v>11</v>
      </c>
      <c r="L388">
        <f>VLOOKUP(A388,Marketing_df2!$A$1:$F$2241,3,FALSE)</f>
        <v>11</v>
      </c>
      <c r="M388">
        <f>VLOOKUP(A388,Marketing_df2!$A$1:$F$2241,4,FALSE)</f>
        <v>3</v>
      </c>
      <c r="N388">
        <f>VLOOKUP(A388,Marketing_df2!$A$1:$F$2241,5,FALSE)</f>
        <v>7</v>
      </c>
      <c r="O388">
        <f>VLOOKUP(A388,Marketing_df2!$A$1:$F$2241,6,FALSE)</f>
        <v>4</v>
      </c>
    </row>
    <row r="389" spans="1:15" ht="12.5">
      <c r="A389" s="6">
        <v>387</v>
      </c>
      <c r="B389" s="6">
        <v>6202</v>
      </c>
      <c r="C389" s="6">
        <v>1960</v>
      </c>
      <c r="D389" s="7" t="s">
        <v>9</v>
      </c>
      <c r="E389" s="7" t="s">
        <v>11</v>
      </c>
      <c r="F389" s="6">
        <v>63381</v>
      </c>
      <c r="G389" s="6">
        <v>0</v>
      </c>
      <c r="H389" s="6">
        <v>1</v>
      </c>
      <c r="I389" s="6">
        <f t="shared" si="6"/>
        <v>1</v>
      </c>
      <c r="J389" s="8">
        <v>41187</v>
      </c>
      <c r="K389" s="6">
        <v>78</v>
      </c>
      <c r="L389">
        <f>VLOOKUP(A389,Marketing_df2!$A$1:$F$2241,3,FALSE)</f>
        <v>50</v>
      </c>
      <c r="M389">
        <f>VLOOKUP(A389,Marketing_df2!$A$1:$F$2241,4,FALSE)</f>
        <v>50</v>
      </c>
      <c r="N389">
        <f>VLOOKUP(A389,Marketing_df2!$A$1:$F$2241,5,FALSE)</f>
        <v>4</v>
      </c>
      <c r="O389">
        <f>VLOOKUP(A389,Marketing_df2!$A$1:$F$2241,6,FALSE)</f>
        <v>13</v>
      </c>
    </row>
    <row r="390" spans="1:15" ht="12.5">
      <c r="A390" s="6">
        <v>388</v>
      </c>
      <c r="B390" s="6">
        <v>2066</v>
      </c>
      <c r="C390" s="6">
        <v>1949</v>
      </c>
      <c r="D390" s="7" t="s">
        <v>9</v>
      </c>
      <c r="E390" s="7" t="s">
        <v>11</v>
      </c>
      <c r="F390" s="6">
        <v>38823</v>
      </c>
      <c r="G390" s="6">
        <v>0</v>
      </c>
      <c r="H390" s="6">
        <v>1</v>
      </c>
      <c r="I390" s="6">
        <f t="shared" si="6"/>
        <v>1</v>
      </c>
      <c r="J390" s="8">
        <v>41151</v>
      </c>
      <c r="K390" s="6">
        <v>56</v>
      </c>
      <c r="L390">
        <f>VLOOKUP(A390,Marketing_df2!$A$1:$F$2241,3,FALSE)</f>
        <v>0</v>
      </c>
      <c r="M390">
        <f>VLOOKUP(A390,Marketing_df2!$A$1:$F$2241,4,FALSE)</f>
        <v>8</v>
      </c>
      <c r="N390">
        <f>VLOOKUP(A390,Marketing_df2!$A$1:$F$2241,5,FALSE)</f>
        <v>2</v>
      </c>
      <c r="O390">
        <f>VLOOKUP(A390,Marketing_df2!$A$1:$F$2241,6,FALSE)</f>
        <v>3</v>
      </c>
    </row>
    <row r="391" spans="1:15" ht="12.5">
      <c r="A391" s="6">
        <v>389</v>
      </c>
      <c r="B391" s="6">
        <v>9799</v>
      </c>
      <c r="C391" s="6">
        <v>1968</v>
      </c>
      <c r="D391" s="7" t="s">
        <v>12</v>
      </c>
      <c r="E391" s="7" t="s">
        <v>15</v>
      </c>
      <c r="F391" s="6">
        <v>83664</v>
      </c>
      <c r="G391" s="6">
        <v>1</v>
      </c>
      <c r="H391" s="6">
        <v>1</v>
      </c>
      <c r="I391" s="6">
        <f t="shared" si="6"/>
        <v>2</v>
      </c>
      <c r="J391" s="8">
        <v>41402</v>
      </c>
      <c r="K391" s="6">
        <v>57</v>
      </c>
      <c r="L391">
        <f>VLOOKUP(A391,Marketing_df2!$A$1:$F$2241,3,FALSE)</f>
        <v>21</v>
      </c>
      <c r="M391">
        <f>VLOOKUP(A391,Marketing_df2!$A$1:$F$2241,4,FALSE)</f>
        <v>21</v>
      </c>
      <c r="N391">
        <f>VLOOKUP(A391,Marketing_df2!$A$1:$F$2241,5,FALSE)</f>
        <v>2</v>
      </c>
      <c r="O391">
        <f>VLOOKUP(A391,Marketing_df2!$A$1:$F$2241,6,FALSE)</f>
        <v>12</v>
      </c>
    </row>
    <row r="392" spans="1:15" ht="12.5">
      <c r="A392" s="6">
        <v>390</v>
      </c>
      <c r="B392" s="6">
        <v>8318</v>
      </c>
      <c r="C392" s="6">
        <v>1979</v>
      </c>
      <c r="D392" s="7" t="s">
        <v>9</v>
      </c>
      <c r="E392" s="7" t="s">
        <v>11</v>
      </c>
      <c r="F392" s="6">
        <v>90300</v>
      </c>
      <c r="G392" s="6">
        <v>0</v>
      </c>
      <c r="H392" s="6">
        <v>0</v>
      </c>
      <c r="I392" s="6">
        <f t="shared" si="6"/>
        <v>0</v>
      </c>
      <c r="J392" s="8">
        <v>41642</v>
      </c>
      <c r="K392" s="6">
        <v>7</v>
      </c>
      <c r="L392">
        <f>VLOOKUP(A392,Marketing_df2!$A$1:$F$2241,3,FALSE)</f>
        <v>134</v>
      </c>
      <c r="M392">
        <f>VLOOKUP(A392,Marketing_df2!$A$1:$F$2241,4,FALSE)</f>
        <v>134</v>
      </c>
      <c r="N392">
        <f>VLOOKUP(A392,Marketing_df2!$A$1:$F$2241,5,FALSE)</f>
        <v>5</v>
      </c>
      <c r="O392">
        <f>VLOOKUP(A392,Marketing_df2!$A$1:$F$2241,6,FALSE)</f>
        <v>8</v>
      </c>
    </row>
    <row r="393" spans="1:15" ht="12.5">
      <c r="A393" s="6">
        <v>391</v>
      </c>
      <c r="B393" s="6">
        <v>5642</v>
      </c>
      <c r="C393" s="6">
        <v>1979</v>
      </c>
      <c r="D393" s="7" t="s">
        <v>14</v>
      </c>
      <c r="E393" s="7" t="s">
        <v>11</v>
      </c>
      <c r="F393" s="6">
        <v>62499</v>
      </c>
      <c r="G393" s="6">
        <v>1</v>
      </c>
      <c r="H393" s="6">
        <v>0</v>
      </c>
      <c r="I393" s="6">
        <f t="shared" si="6"/>
        <v>1</v>
      </c>
      <c r="J393" s="8">
        <v>41617</v>
      </c>
      <c r="K393" s="6">
        <v>0</v>
      </c>
      <c r="L393">
        <f>VLOOKUP(A393,Marketing_df2!$A$1:$F$2241,3,FALSE)</f>
        <v>4</v>
      </c>
      <c r="M393">
        <f>VLOOKUP(A393,Marketing_df2!$A$1:$F$2241,4,FALSE)</f>
        <v>13</v>
      </c>
      <c r="N393">
        <f>VLOOKUP(A393,Marketing_df2!$A$1:$F$2241,5,FALSE)</f>
        <v>3</v>
      </c>
      <c r="O393">
        <f>VLOOKUP(A393,Marketing_df2!$A$1:$F$2241,6,FALSE)</f>
        <v>6</v>
      </c>
    </row>
    <row r="394" spans="1:15" ht="12.5">
      <c r="A394" s="6">
        <v>392</v>
      </c>
      <c r="B394" s="6">
        <v>2669</v>
      </c>
      <c r="C394" s="6">
        <v>1993</v>
      </c>
      <c r="D394" s="7" t="s">
        <v>9</v>
      </c>
      <c r="E394" s="7" t="s">
        <v>10</v>
      </c>
      <c r="F394" s="6">
        <v>74293</v>
      </c>
      <c r="G394" s="6">
        <v>0</v>
      </c>
      <c r="H394" s="6">
        <v>0</v>
      </c>
      <c r="I394" s="6">
        <f t="shared" si="6"/>
        <v>0</v>
      </c>
      <c r="J394" s="8">
        <v>41763</v>
      </c>
      <c r="K394" s="6">
        <v>66</v>
      </c>
      <c r="L394">
        <f>VLOOKUP(A394,Marketing_df2!$A$1:$F$2241,3,FALSE)</f>
        <v>152</v>
      </c>
      <c r="M394">
        <f>VLOOKUP(A394,Marketing_df2!$A$1:$F$2241,4,FALSE)</f>
        <v>91</v>
      </c>
      <c r="N394">
        <f>VLOOKUP(A394,Marketing_df2!$A$1:$F$2241,5,FALSE)</f>
        <v>5</v>
      </c>
      <c r="O394">
        <f>VLOOKUP(A394,Marketing_df2!$A$1:$F$2241,6,FALSE)</f>
        <v>6</v>
      </c>
    </row>
    <row r="395" spans="1:15" ht="12.5">
      <c r="A395" s="6">
        <v>393</v>
      </c>
      <c r="B395" s="6">
        <v>455</v>
      </c>
      <c r="C395" s="6">
        <v>1946</v>
      </c>
      <c r="D395" s="7" t="s">
        <v>12</v>
      </c>
      <c r="E395" s="7" t="s">
        <v>13</v>
      </c>
      <c r="F395" s="6">
        <v>51012</v>
      </c>
      <c r="G395" s="6">
        <v>0</v>
      </c>
      <c r="H395" s="6">
        <v>0</v>
      </c>
      <c r="I395" s="6">
        <f t="shared" si="6"/>
        <v>0</v>
      </c>
      <c r="J395" s="8">
        <v>41382</v>
      </c>
      <c r="K395" s="6">
        <v>86</v>
      </c>
      <c r="L395">
        <f>VLOOKUP(A395,Marketing_df2!$A$1:$F$2241,3,FALSE)</f>
        <v>9</v>
      </c>
      <c r="M395">
        <f>VLOOKUP(A395,Marketing_df2!$A$1:$F$2241,4,FALSE)</f>
        <v>9</v>
      </c>
      <c r="N395">
        <f>VLOOKUP(A395,Marketing_df2!$A$1:$F$2241,5,FALSE)</f>
        <v>4</v>
      </c>
      <c r="O395">
        <f>VLOOKUP(A395,Marketing_df2!$A$1:$F$2241,6,FALSE)</f>
        <v>4</v>
      </c>
    </row>
    <row r="396" spans="1:15" ht="12.5">
      <c r="A396" s="6">
        <v>394</v>
      </c>
      <c r="B396" s="6">
        <v>7683</v>
      </c>
      <c r="C396" s="6">
        <v>1968</v>
      </c>
      <c r="D396" s="7" t="s">
        <v>14</v>
      </c>
      <c r="E396" s="7" t="s">
        <v>13</v>
      </c>
      <c r="F396" s="6">
        <v>70777</v>
      </c>
      <c r="G396" s="6">
        <v>0</v>
      </c>
      <c r="H396" s="6">
        <v>1</v>
      </c>
      <c r="I396" s="6">
        <f t="shared" si="6"/>
        <v>1</v>
      </c>
      <c r="J396" s="8">
        <v>41695</v>
      </c>
      <c r="K396" s="6">
        <v>80</v>
      </c>
      <c r="L396">
        <f>VLOOKUP(A396,Marketing_df2!$A$1:$F$2241,3,FALSE)</f>
        <v>35</v>
      </c>
      <c r="M396">
        <f>VLOOKUP(A396,Marketing_df2!$A$1:$F$2241,4,FALSE)</f>
        <v>7</v>
      </c>
      <c r="N396">
        <f>VLOOKUP(A396,Marketing_df2!$A$1:$F$2241,5,FALSE)</f>
        <v>5</v>
      </c>
      <c r="O396">
        <f>VLOOKUP(A396,Marketing_df2!$A$1:$F$2241,6,FALSE)</f>
        <v>12</v>
      </c>
    </row>
    <row r="397" spans="1:15" ht="12.5">
      <c r="A397" s="6">
        <v>395</v>
      </c>
      <c r="B397" s="6">
        <v>3428</v>
      </c>
      <c r="C397" s="6">
        <v>1991</v>
      </c>
      <c r="D397" s="7" t="s">
        <v>12</v>
      </c>
      <c r="E397" s="7" t="s">
        <v>11</v>
      </c>
      <c r="F397" s="6">
        <v>68682</v>
      </c>
      <c r="G397" s="6">
        <v>0</v>
      </c>
      <c r="H397" s="6">
        <v>0</v>
      </c>
      <c r="I397" s="6">
        <f t="shared" si="6"/>
        <v>0</v>
      </c>
      <c r="J397" s="8">
        <v>41553</v>
      </c>
      <c r="K397" s="6">
        <v>56</v>
      </c>
      <c r="L397">
        <f>VLOOKUP(A397,Marketing_df2!$A$1:$F$2241,3,FALSE)</f>
        <v>0</v>
      </c>
      <c r="M397">
        <f>VLOOKUP(A397,Marketing_df2!$A$1:$F$2241,4,FALSE)</f>
        <v>30</v>
      </c>
      <c r="N397">
        <f>VLOOKUP(A397,Marketing_df2!$A$1:$F$2241,5,FALSE)</f>
        <v>4</v>
      </c>
      <c r="O397">
        <f>VLOOKUP(A397,Marketing_df2!$A$1:$F$2241,6,FALSE)</f>
        <v>10</v>
      </c>
    </row>
    <row r="398" spans="1:15" ht="12.5">
      <c r="A398" s="6">
        <v>396</v>
      </c>
      <c r="B398" s="6">
        <v>7414</v>
      </c>
      <c r="C398" s="6">
        <v>1971</v>
      </c>
      <c r="D398" s="7" t="s">
        <v>9</v>
      </c>
      <c r="E398" s="7" t="s">
        <v>13</v>
      </c>
      <c r="F398" s="6">
        <v>43824</v>
      </c>
      <c r="G398" s="6">
        <v>1</v>
      </c>
      <c r="H398" s="6">
        <v>1</v>
      </c>
      <c r="I398" s="6">
        <f t="shared" si="6"/>
        <v>2</v>
      </c>
      <c r="J398" s="8">
        <v>41167</v>
      </c>
      <c r="K398" s="6">
        <v>18</v>
      </c>
      <c r="L398">
        <f>VLOOKUP(A398,Marketing_df2!$A$1:$F$2241,3,FALSE)</f>
        <v>1</v>
      </c>
      <c r="M398">
        <f>VLOOKUP(A398,Marketing_df2!$A$1:$F$2241,4,FALSE)</f>
        <v>3</v>
      </c>
      <c r="N398">
        <f>VLOOKUP(A398,Marketing_df2!$A$1:$F$2241,5,FALSE)</f>
        <v>3</v>
      </c>
      <c r="O398">
        <f>VLOOKUP(A398,Marketing_df2!$A$1:$F$2241,6,FALSE)</f>
        <v>4</v>
      </c>
    </row>
    <row r="399" spans="1:15" ht="12.5">
      <c r="A399" s="6">
        <v>397</v>
      </c>
      <c r="B399" s="6">
        <v>6354</v>
      </c>
      <c r="C399" s="6">
        <v>1984</v>
      </c>
      <c r="D399" s="7" t="s">
        <v>9</v>
      </c>
      <c r="E399" s="7" t="s">
        <v>11</v>
      </c>
      <c r="F399" s="6">
        <v>15345</v>
      </c>
      <c r="G399" s="6">
        <v>1</v>
      </c>
      <c r="H399" s="6">
        <v>0</v>
      </c>
      <c r="I399" s="6">
        <f t="shared" si="6"/>
        <v>1</v>
      </c>
      <c r="J399" s="8">
        <v>41152</v>
      </c>
      <c r="K399" s="6">
        <v>51</v>
      </c>
      <c r="L399">
        <f>VLOOKUP(A399,Marketing_df2!$A$1:$F$2241,3,FALSE)</f>
        <v>2</v>
      </c>
      <c r="M399">
        <f>VLOOKUP(A399,Marketing_df2!$A$1:$F$2241,4,FALSE)</f>
        <v>2</v>
      </c>
      <c r="N399">
        <f>VLOOKUP(A399,Marketing_df2!$A$1:$F$2241,5,FALSE)</f>
        <v>1</v>
      </c>
      <c r="O399">
        <f>VLOOKUP(A399,Marketing_df2!$A$1:$F$2241,6,FALSE)</f>
        <v>2</v>
      </c>
    </row>
    <row r="400" spans="1:15" ht="12.5">
      <c r="A400" s="6">
        <v>398</v>
      </c>
      <c r="B400" s="6">
        <v>798</v>
      </c>
      <c r="C400" s="6">
        <v>1987</v>
      </c>
      <c r="D400" s="7" t="s">
        <v>9</v>
      </c>
      <c r="E400" s="7" t="s">
        <v>10</v>
      </c>
      <c r="F400" s="6">
        <v>23442</v>
      </c>
      <c r="G400" s="6">
        <v>1</v>
      </c>
      <c r="H400" s="6">
        <v>0</v>
      </c>
      <c r="I400" s="6">
        <f t="shared" si="6"/>
        <v>1</v>
      </c>
      <c r="J400" s="9">
        <v>41267</v>
      </c>
      <c r="K400" s="6">
        <v>71</v>
      </c>
      <c r="L400">
        <f>VLOOKUP(A400,Marketing_df2!$A$1:$F$2241,3,FALSE)</f>
        <v>0</v>
      </c>
      <c r="M400">
        <f>VLOOKUP(A400,Marketing_df2!$A$1:$F$2241,4,FALSE)</f>
        <v>6</v>
      </c>
      <c r="N400">
        <f>VLOOKUP(A400,Marketing_df2!$A$1:$F$2241,5,FALSE)</f>
        <v>1</v>
      </c>
      <c r="O400">
        <f>VLOOKUP(A400,Marketing_df2!$A$1:$F$2241,6,FALSE)</f>
        <v>3</v>
      </c>
    </row>
    <row r="401" spans="1:15" ht="12.5">
      <c r="A401" s="6">
        <v>399</v>
      </c>
      <c r="B401" s="6">
        <v>8213</v>
      </c>
      <c r="C401" s="6">
        <v>1980</v>
      </c>
      <c r="D401" s="7" t="s">
        <v>17</v>
      </c>
      <c r="E401" s="7" t="s">
        <v>11</v>
      </c>
      <c r="F401" s="6">
        <v>14515</v>
      </c>
      <c r="G401" s="6">
        <v>1</v>
      </c>
      <c r="H401" s="6">
        <v>0</v>
      </c>
      <c r="I401" s="6">
        <f t="shared" si="6"/>
        <v>1</v>
      </c>
      <c r="J401" s="8">
        <v>41222</v>
      </c>
      <c r="K401" s="6">
        <v>71</v>
      </c>
      <c r="L401">
        <f>VLOOKUP(A401,Marketing_df2!$A$1:$F$2241,3,FALSE)</f>
        <v>4</v>
      </c>
      <c r="M401">
        <f>VLOOKUP(A401,Marketing_df2!$A$1:$F$2241,4,FALSE)</f>
        <v>36</v>
      </c>
      <c r="N401">
        <f>VLOOKUP(A401,Marketing_df2!$A$1:$F$2241,5,FALSE)</f>
        <v>2</v>
      </c>
      <c r="O401">
        <f>VLOOKUP(A401,Marketing_df2!$A$1:$F$2241,6,FALSE)</f>
        <v>3</v>
      </c>
    </row>
    <row r="402" spans="1:15" ht="12.5">
      <c r="A402" s="6">
        <v>400</v>
      </c>
      <c r="B402" s="6">
        <v>2488</v>
      </c>
      <c r="C402" s="6">
        <v>1956</v>
      </c>
      <c r="D402" s="7" t="s">
        <v>17</v>
      </c>
      <c r="E402" s="7" t="s">
        <v>15</v>
      </c>
      <c r="F402" s="6">
        <v>31395</v>
      </c>
      <c r="G402" s="6">
        <v>1</v>
      </c>
      <c r="H402" s="6">
        <v>1</v>
      </c>
      <c r="I402" s="6">
        <f t="shared" si="6"/>
        <v>2</v>
      </c>
      <c r="J402" s="8">
        <v>41356</v>
      </c>
      <c r="K402" s="6">
        <v>80</v>
      </c>
      <c r="L402">
        <f>VLOOKUP(A402,Marketing_df2!$A$1:$F$2241,3,FALSE)</f>
        <v>1</v>
      </c>
      <c r="M402">
        <f>VLOOKUP(A402,Marketing_df2!$A$1:$F$2241,4,FALSE)</f>
        <v>8</v>
      </c>
      <c r="N402">
        <f>VLOOKUP(A402,Marketing_df2!$A$1:$F$2241,5,FALSE)</f>
        <v>2</v>
      </c>
      <c r="O402">
        <f>VLOOKUP(A402,Marketing_df2!$A$1:$F$2241,6,FALSE)</f>
        <v>3</v>
      </c>
    </row>
    <row r="403" spans="1:15" ht="12.5">
      <c r="A403" s="6">
        <v>401</v>
      </c>
      <c r="B403" s="6">
        <v>9999</v>
      </c>
      <c r="C403" s="6">
        <v>1965</v>
      </c>
      <c r="D403" s="7" t="s">
        <v>9</v>
      </c>
      <c r="E403" s="7" t="s">
        <v>11</v>
      </c>
      <c r="F403" s="6">
        <v>75276</v>
      </c>
      <c r="G403" s="6">
        <v>0</v>
      </c>
      <c r="H403" s="6">
        <v>0</v>
      </c>
      <c r="I403" s="6">
        <f t="shared" si="6"/>
        <v>0</v>
      </c>
      <c r="J403" s="8">
        <v>41179</v>
      </c>
      <c r="K403" s="6">
        <v>2</v>
      </c>
      <c r="L403">
        <f>VLOOKUP(A403,Marketing_df2!$A$1:$F$2241,3,FALSE)</f>
        <v>105</v>
      </c>
      <c r="M403">
        <f>VLOOKUP(A403,Marketing_df2!$A$1:$F$2241,4,FALSE)</f>
        <v>42</v>
      </c>
      <c r="N403">
        <f>VLOOKUP(A403,Marketing_df2!$A$1:$F$2241,5,FALSE)</f>
        <v>9</v>
      </c>
      <c r="O403">
        <f>VLOOKUP(A403,Marketing_df2!$A$1:$F$2241,6,FALSE)</f>
        <v>9</v>
      </c>
    </row>
    <row r="404" spans="1:15" ht="12.5">
      <c r="A404" s="6">
        <v>402</v>
      </c>
      <c r="B404" s="6">
        <v>7617</v>
      </c>
      <c r="C404" s="6">
        <v>1974</v>
      </c>
      <c r="D404" s="7" t="s">
        <v>9</v>
      </c>
      <c r="E404" s="7" t="s">
        <v>10</v>
      </c>
      <c r="F404" s="6">
        <v>42373</v>
      </c>
      <c r="G404" s="6">
        <v>1</v>
      </c>
      <c r="H404" s="6">
        <v>1</v>
      </c>
      <c r="I404" s="6">
        <f t="shared" si="6"/>
        <v>2</v>
      </c>
      <c r="J404" s="8">
        <v>41501</v>
      </c>
      <c r="K404" s="6">
        <v>83</v>
      </c>
      <c r="L404">
        <f>VLOOKUP(A404,Marketing_df2!$A$1:$F$2241,3,FALSE)</f>
        <v>5</v>
      </c>
      <c r="M404">
        <f>VLOOKUP(A404,Marketing_df2!$A$1:$F$2241,4,FALSE)</f>
        <v>8</v>
      </c>
      <c r="N404">
        <f>VLOOKUP(A404,Marketing_df2!$A$1:$F$2241,5,FALSE)</f>
        <v>2</v>
      </c>
      <c r="O404">
        <f>VLOOKUP(A404,Marketing_df2!$A$1:$F$2241,6,FALSE)</f>
        <v>5</v>
      </c>
    </row>
    <row r="405" spans="1:15" ht="12.5">
      <c r="A405" s="6">
        <v>403</v>
      </c>
      <c r="B405" s="6">
        <v>615</v>
      </c>
      <c r="C405" s="6">
        <v>1960</v>
      </c>
      <c r="D405" s="7" t="s">
        <v>9</v>
      </c>
      <c r="E405" s="7" t="s">
        <v>11</v>
      </c>
      <c r="F405" s="6">
        <v>30507</v>
      </c>
      <c r="G405" s="6">
        <v>0</v>
      </c>
      <c r="H405" s="6">
        <v>0</v>
      </c>
      <c r="I405" s="6">
        <f t="shared" si="6"/>
        <v>0</v>
      </c>
      <c r="J405" s="8">
        <v>41344</v>
      </c>
      <c r="K405" s="6">
        <v>29</v>
      </c>
      <c r="L405">
        <f>VLOOKUP(A405,Marketing_df2!$A$1:$F$2241,3,FALSE)</f>
        <v>36</v>
      </c>
      <c r="M405">
        <f>VLOOKUP(A405,Marketing_df2!$A$1:$F$2241,4,FALSE)</f>
        <v>20</v>
      </c>
      <c r="N405">
        <f>VLOOKUP(A405,Marketing_df2!$A$1:$F$2241,5,FALSE)</f>
        <v>5</v>
      </c>
      <c r="O405">
        <f>VLOOKUP(A405,Marketing_df2!$A$1:$F$2241,6,FALSE)</f>
        <v>4</v>
      </c>
    </row>
    <row r="406" spans="1:15" ht="12.5">
      <c r="A406" s="6">
        <v>404</v>
      </c>
      <c r="B406" s="6">
        <v>2552</v>
      </c>
      <c r="C406" s="6">
        <v>1955</v>
      </c>
      <c r="D406" s="7" t="s">
        <v>12</v>
      </c>
      <c r="E406" s="7" t="s">
        <v>10</v>
      </c>
      <c r="F406" s="6">
        <v>55521</v>
      </c>
      <c r="G406" s="6">
        <v>1</v>
      </c>
      <c r="H406" s="6">
        <v>2</v>
      </c>
      <c r="I406" s="6">
        <f t="shared" si="6"/>
        <v>3</v>
      </c>
      <c r="J406" s="9">
        <v>41569</v>
      </c>
      <c r="K406" s="6">
        <v>11</v>
      </c>
      <c r="L406">
        <f>VLOOKUP(A406,Marketing_df2!$A$1:$F$2241,3,FALSE)</f>
        <v>0</v>
      </c>
      <c r="M406">
        <f>VLOOKUP(A406,Marketing_df2!$A$1:$F$2241,4,FALSE)</f>
        <v>0</v>
      </c>
      <c r="N406">
        <f>VLOOKUP(A406,Marketing_df2!$A$1:$F$2241,5,FALSE)</f>
        <v>6</v>
      </c>
      <c r="O406">
        <f>VLOOKUP(A406,Marketing_df2!$A$1:$F$2241,6,FALSE)</f>
        <v>6</v>
      </c>
    </row>
    <row r="407" spans="1:15" ht="12.5">
      <c r="A407" s="6">
        <v>405</v>
      </c>
      <c r="B407" s="6">
        <v>194</v>
      </c>
      <c r="C407" s="6">
        <v>1965</v>
      </c>
      <c r="D407" s="7" t="s">
        <v>9</v>
      </c>
      <c r="E407" s="7" t="s">
        <v>13</v>
      </c>
      <c r="F407" s="6">
        <v>48006</v>
      </c>
      <c r="G407" s="6">
        <v>1</v>
      </c>
      <c r="H407" s="6">
        <v>1</v>
      </c>
      <c r="I407" s="6">
        <f t="shared" si="6"/>
        <v>2</v>
      </c>
      <c r="J407" s="8">
        <v>41799</v>
      </c>
      <c r="K407" s="6">
        <v>55</v>
      </c>
      <c r="L407">
        <f>VLOOKUP(A407,Marketing_df2!$A$1:$F$2241,3,FALSE)</f>
        <v>0</v>
      </c>
      <c r="M407">
        <f>VLOOKUP(A407,Marketing_df2!$A$1:$F$2241,4,FALSE)</f>
        <v>2</v>
      </c>
      <c r="N407">
        <f>VLOOKUP(A407,Marketing_df2!$A$1:$F$2241,5,FALSE)</f>
        <v>1</v>
      </c>
      <c r="O407">
        <f>VLOOKUP(A407,Marketing_df2!$A$1:$F$2241,6,FALSE)</f>
        <v>3</v>
      </c>
    </row>
    <row r="408" spans="1:15" ht="12.5">
      <c r="A408" s="6">
        <v>406</v>
      </c>
      <c r="B408" s="6">
        <v>3645</v>
      </c>
      <c r="C408" s="6">
        <v>1972</v>
      </c>
      <c r="D408" s="7" t="s">
        <v>12</v>
      </c>
      <c r="E408" s="7" t="s">
        <v>10</v>
      </c>
      <c r="F408" s="6">
        <v>27213</v>
      </c>
      <c r="G408" s="6">
        <v>1</v>
      </c>
      <c r="H408" s="6">
        <v>0</v>
      </c>
      <c r="I408" s="6">
        <f t="shared" si="6"/>
        <v>1</v>
      </c>
      <c r="J408" s="8">
        <v>41151</v>
      </c>
      <c r="K408" s="6">
        <v>19</v>
      </c>
      <c r="L408">
        <f>VLOOKUP(A408,Marketing_df2!$A$1:$F$2241,3,FALSE)</f>
        <v>3</v>
      </c>
      <c r="M408">
        <f>VLOOKUP(A408,Marketing_df2!$A$1:$F$2241,4,FALSE)</f>
        <v>9</v>
      </c>
      <c r="N408">
        <f>VLOOKUP(A408,Marketing_df2!$A$1:$F$2241,5,FALSE)</f>
        <v>2</v>
      </c>
      <c r="O408">
        <f>VLOOKUP(A408,Marketing_df2!$A$1:$F$2241,6,FALSE)</f>
        <v>4</v>
      </c>
    </row>
    <row r="409" spans="1:15" ht="12.5">
      <c r="A409" s="6">
        <v>407</v>
      </c>
      <c r="B409" s="6">
        <v>8890</v>
      </c>
      <c r="C409" s="6">
        <v>1971</v>
      </c>
      <c r="D409" s="7" t="s">
        <v>12</v>
      </c>
      <c r="E409" s="7" t="s">
        <v>15</v>
      </c>
      <c r="F409" s="6">
        <v>65808</v>
      </c>
      <c r="G409" s="6">
        <v>1</v>
      </c>
      <c r="H409" s="6">
        <v>1</v>
      </c>
      <c r="I409" s="6">
        <f t="shared" si="6"/>
        <v>2</v>
      </c>
      <c r="J409" s="8">
        <v>41789</v>
      </c>
      <c r="K409" s="6">
        <v>1</v>
      </c>
      <c r="L409">
        <f>VLOOKUP(A409,Marketing_df2!$A$1:$F$2241,3,FALSE)</f>
        <v>7</v>
      </c>
      <c r="M409">
        <f>VLOOKUP(A409,Marketing_df2!$A$1:$F$2241,4,FALSE)</f>
        <v>7</v>
      </c>
      <c r="N409">
        <f>VLOOKUP(A409,Marketing_df2!$A$1:$F$2241,5,FALSE)</f>
        <v>5</v>
      </c>
      <c r="O409">
        <f>VLOOKUP(A409,Marketing_df2!$A$1:$F$2241,6,FALSE)</f>
        <v>5</v>
      </c>
    </row>
    <row r="410" spans="1:15" ht="12.5">
      <c r="A410" s="6">
        <v>408</v>
      </c>
      <c r="B410" s="6">
        <v>5049</v>
      </c>
      <c r="C410" s="6">
        <v>1974</v>
      </c>
      <c r="D410" s="7" t="s">
        <v>12</v>
      </c>
      <c r="E410" s="7" t="s">
        <v>11</v>
      </c>
      <c r="F410" s="6">
        <v>30351</v>
      </c>
      <c r="G410" s="6">
        <v>1</v>
      </c>
      <c r="H410" s="6">
        <v>0</v>
      </c>
      <c r="I410" s="6">
        <f t="shared" si="6"/>
        <v>1</v>
      </c>
      <c r="J410" s="8">
        <v>41431</v>
      </c>
      <c r="K410" s="6">
        <v>19</v>
      </c>
      <c r="L410">
        <f>VLOOKUP(A410,Marketing_df2!$A$1:$F$2241,3,FALSE)</f>
        <v>0</v>
      </c>
      <c r="M410">
        <f>VLOOKUP(A410,Marketing_df2!$A$1:$F$2241,4,FALSE)</f>
        <v>3</v>
      </c>
      <c r="N410">
        <f>VLOOKUP(A410,Marketing_df2!$A$1:$F$2241,5,FALSE)</f>
        <v>3</v>
      </c>
      <c r="O410">
        <f>VLOOKUP(A410,Marketing_df2!$A$1:$F$2241,6,FALSE)</f>
        <v>2</v>
      </c>
    </row>
    <row r="411" spans="1:15" ht="12.5">
      <c r="A411" s="6">
        <v>409</v>
      </c>
      <c r="B411" s="6">
        <v>9973</v>
      </c>
      <c r="C411" s="6">
        <v>1963</v>
      </c>
      <c r="D411" s="7" t="s">
        <v>9</v>
      </c>
      <c r="E411" s="7" t="s">
        <v>13</v>
      </c>
      <c r="F411" s="6">
        <v>50437</v>
      </c>
      <c r="G411" s="6">
        <v>0</v>
      </c>
      <c r="H411" s="6">
        <v>2</v>
      </c>
      <c r="I411" s="6">
        <f t="shared" si="6"/>
        <v>2</v>
      </c>
      <c r="J411" s="9">
        <v>41199</v>
      </c>
      <c r="K411" s="6">
        <v>28</v>
      </c>
      <c r="L411">
        <f>VLOOKUP(A411,Marketing_df2!$A$1:$F$2241,3,FALSE)</f>
        <v>9</v>
      </c>
      <c r="M411">
        <f>VLOOKUP(A411,Marketing_df2!$A$1:$F$2241,4,FALSE)</f>
        <v>9</v>
      </c>
      <c r="N411">
        <f>VLOOKUP(A411,Marketing_df2!$A$1:$F$2241,5,FALSE)</f>
        <v>7</v>
      </c>
      <c r="O411">
        <f>VLOOKUP(A411,Marketing_df2!$A$1:$F$2241,6,FALSE)</f>
        <v>8</v>
      </c>
    </row>
    <row r="412" spans="1:15" ht="12.5">
      <c r="A412" s="6">
        <v>410</v>
      </c>
      <c r="B412" s="6">
        <v>7301</v>
      </c>
      <c r="C412" s="6">
        <v>1982</v>
      </c>
      <c r="D412" s="7" t="s">
        <v>17</v>
      </c>
      <c r="E412" s="7" t="s">
        <v>10</v>
      </c>
      <c r="F412" s="6">
        <v>23616</v>
      </c>
      <c r="G412" s="6">
        <v>1</v>
      </c>
      <c r="H412" s="6">
        <v>0</v>
      </c>
      <c r="I412" s="6">
        <f t="shared" si="6"/>
        <v>1</v>
      </c>
      <c r="J412" s="9">
        <v>41230</v>
      </c>
      <c r="K412" s="6">
        <v>76</v>
      </c>
      <c r="L412">
        <f>VLOOKUP(A412,Marketing_df2!$A$1:$F$2241,3,FALSE)</f>
        <v>22</v>
      </c>
      <c r="M412">
        <f>VLOOKUP(A412,Marketing_df2!$A$1:$F$2241,4,FALSE)</f>
        <v>7</v>
      </c>
      <c r="N412">
        <f>VLOOKUP(A412,Marketing_df2!$A$1:$F$2241,5,FALSE)</f>
        <v>3</v>
      </c>
      <c r="O412">
        <f>VLOOKUP(A412,Marketing_df2!$A$1:$F$2241,6,FALSE)</f>
        <v>3</v>
      </c>
    </row>
    <row r="413" spans="1:15" ht="12.5">
      <c r="A413" s="6">
        <v>411</v>
      </c>
      <c r="B413" s="6">
        <v>10882</v>
      </c>
      <c r="C413" s="6">
        <v>1976</v>
      </c>
      <c r="D413" s="7" t="s">
        <v>9</v>
      </c>
      <c r="E413" s="7" t="s">
        <v>13</v>
      </c>
      <c r="F413" s="6">
        <v>53858</v>
      </c>
      <c r="G413" s="6">
        <v>0</v>
      </c>
      <c r="H413" s="6">
        <v>1</v>
      </c>
      <c r="I413" s="6">
        <f t="shared" si="6"/>
        <v>1</v>
      </c>
      <c r="J413" s="8">
        <v>41222</v>
      </c>
      <c r="K413" s="6">
        <v>50</v>
      </c>
      <c r="L413">
        <f>VLOOKUP(A413,Marketing_df2!$A$1:$F$2241,3,FALSE)</f>
        <v>53</v>
      </c>
      <c r="M413">
        <f>VLOOKUP(A413,Marketing_df2!$A$1:$F$2241,4,FALSE)</f>
        <v>150</v>
      </c>
      <c r="N413">
        <f>VLOOKUP(A413,Marketing_df2!$A$1:$F$2241,5,FALSE)</f>
        <v>4</v>
      </c>
      <c r="O413">
        <f>VLOOKUP(A413,Marketing_df2!$A$1:$F$2241,6,FALSE)</f>
        <v>6</v>
      </c>
    </row>
    <row r="414" spans="1:15" ht="12.5">
      <c r="A414" s="6">
        <v>412</v>
      </c>
      <c r="B414" s="6">
        <v>7030</v>
      </c>
      <c r="C414" s="6">
        <v>1955</v>
      </c>
      <c r="D414" s="7" t="s">
        <v>12</v>
      </c>
      <c r="E414" s="7" t="s">
        <v>13</v>
      </c>
      <c r="F414" s="6">
        <v>66465</v>
      </c>
      <c r="G414" s="6">
        <v>0</v>
      </c>
      <c r="H414" s="6">
        <v>1</v>
      </c>
      <c r="I414" s="6">
        <f t="shared" si="6"/>
        <v>1</v>
      </c>
      <c r="J414" s="8">
        <v>41363</v>
      </c>
      <c r="K414" s="6">
        <v>1</v>
      </c>
      <c r="L414">
        <f>VLOOKUP(A414,Marketing_df2!$A$1:$F$2241,3,FALSE)</f>
        <v>0</v>
      </c>
      <c r="M414">
        <f>VLOOKUP(A414,Marketing_df2!$A$1:$F$2241,4,FALSE)</f>
        <v>29</v>
      </c>
      <c r="N414">
        <f>VLOOKUP(A414,Marketing_df2!$A$1:$F$2241,5,FALSE)</f>
        <v>11</v>
      </c>
      <c r="O414">
        <f>VLOOKUP(A414,Marketing_df2!$A$1:$F$2241,6,FALSE)</f>
        <v>12</v>
      </c>
    </row>
    <row r="415" spans="1:15" ht="12.5">
      <c r="A415" s="6">
        <v>413</v>
      </c>
      <c r="B415" s="6">
        <v>7422</v>
      </c>
      <c r="C415" s="6">
        <v>1987</v>
      </c>
      <c r="D415" s="7" t="s">
        <v>9</v>
      </c>
      <c r="E415" s="7" t="s">
        <v>10</v>
      </c>
      <c r="F415" s="6">
        <v>46923</v>
      </c>
      <c r="G415" s="6">
        <v>1</v>
      </c>
      <c r="H415" s="6">
        <v>0</v>
      </c>
      <c r="I415" s="6">
        <f t="shared" si="6"/>
        <v>1</v>
      </c>
      <c r="J415" s="8">
        <v>41143</v>
      </c>
      <c r="K415" s="6">
        <v>90</v>
      </c>
      <c r="L415">
        <f>VLOOKUP(A415,Marketing_df2!$A$1:$F$2241,3,FALSE)</f>
        <v>44</v>
      </c>
      <c r="M415">
        <f>VLOOKUP(A415,Marketing_df2!$A$1:$F$2241,4,FALSE)</f>
        <v>78</v>
      </c>
      <c r="N415">
        <f>VLOOKUP(A415,Marketing_df2!$A$1:$F$2241,5,FALSE)</f>
        <v>5</v>
      </c>
      <c r="O415">
        <f>VLOOKUP(A415,Marketing_df2!$A$1:$F$2241,6,FALSE)</f>
        <v>7</v>
      </c>
    </row>
    <row r="416" spans="1:15" ht="12.5">
      <c r="A416" s="6">
        <v>414</v>
      </c>
      <c r="B416" s="6">
        <v>3523</v>
      </c>
      <c r="C416" s="6">
        <v>1962</v>
      </c>
      <c r="D416" s="7" t="s">
        <v>9</v>
      </c>
      <c r="E416" s="7" t="s">
        <v>11</v>
      </c>
      <c r="F416" s="6">
        <v>75072</v>
      </c>
      <c r="G416" s="6">
        <v>0</v>
      </c>
      <c r="H416" s="6">
        <v>1</v>
      </c>
      <c r="I416" s="6">
        <f t="shared" si="6"/>
        <v>1</v>
      </c>
      <c r="J416" s="8">
        <v>41297</v>
      </c>
      <c r="K416" s="6">
        <v>83</v>
      </c>
      <c r="L416">
        <f>VLOOKUP(A416,Marketing_df2!$A$1:$F$2241,3,FALSE)</f>
        <v>34</v>
      </c>
      <c r="M416">
        <f>VLOOKUP(A416,Marketing_df2!$A$1:$F$2241,4,FALSE)</f>
        <v>22</v>
      </c>
      <c r="N416">
        <f>VLOOKUP(A416,Marketing_df2!$A$1:$F$2241,5,FALSE)</f>
        <v>5</v>
      </c>
      <c r="O416">
        <f>VLOOKUP(A416,Marketing_df2!$A$1:$F$2241,6,FALSE)</f>
        <v>8</v>
      </c>
    </row>
    <row r="417" spans="1:15" ht="12.5">
      <c r="A417" s="6">
        <v>415</v>
      </c>
      <c r="B417" s="6">
        <v>7106</v>
      </c>
      <c r="C417" s="6">
        <v>1943</v>
      </c>
      <c r="D417" s="7" t="s">
        <v>12</v>
      </c>
      <c r="E417" s="7" t="s">
        <v>13</v>
      </c>
      <c r="F417" s="6">
        <v>75865</v>
      </c>
      <c r="G417" s="6">
        <v>0</v>
      </c>
      <c r="H417" s="6">
        <v>0</v>
      </c>
      <c r="I417" s="6">
        <f t="shared" si="6"/>
        <v>0</v>
      </c>
      <c r="J417" s="8">
        <v>41729</v>
      </c>
      <c r="K417" s="6">
        <v>73</v>
      </c>
      <c r="L417">
        <f>VLOOKUP(A417,Marketing_df2!$A$1:$F$2241,3,FALSE)</f>
        <v>0</v>
      </c>
      <c r="M417">
        <f>VLOOKUP(A417,Marketing_df2!$A$1:$F$2241,4,FALSE)</f>
        <v>0</v>
      </c>
      <c r="N417">
        <f>VLOOKUP(A417,Marketing_df2!$A$1:$F$2241,5,FALSE)</f>
        <v>3</v>
      </c>
      <c r="O417">
        <f>VLOOKUP(A417,Marketing_df2!$A$1:$F$2241,6,FALSE)</f>
        <v>10</v>
      </c>
    </row>
    <row r="418" spans="1:15" ht="12.5">
      <c r="A418" s="6">
        <v>416</v>
      </c>
      <c r="B418" s="6">
        <v>6504</v>
      </c>
      <c r="C418" s="6">
        <v>1975</v>
      </c>
      <c r="D418" s="7" t="s">
        <v>17</v>
      </c>
      <c r="E418" s="7" t="s">
        <v>11</v>
      </c>
      <c r="F418" s="6">
        <v>19789</v>
      </c>
      <c r="G418" s="6">
        <v>1</v>
      </c>
      <c r="H418" s="6">
        <v>0</v>
      </c>
      <c r="I418" s="6">
        <f t="shared" si="6"/>
        <v>1</v>
      </c>
      <c r="J418" s="9">
        <v>41598</v>
      </c>
      <c r="K418" s="6">
        <v>24</v>
      </c>
      <c r="L418">
        <f>VLOOKUP(A418,Marketing_df2!$A$1:$F$2241,3,FALSE)</f>
        <v>5</v>
      </c>
      <c r="M418">
        <f>VLOOKUP(A418,Marketing_df2!$A$1:$F$2241,4,FALSE)</f>
        <v>6</v>
      </c>
      <c r="N418">
        <f>VLOOKUP(A418,Marketing_df2!$A$1:$F$2241,5,FALSE)</f>
        <v>2</v>
      </c>
      <c r="O418">
        <f>VLOOKUP(A418,Marketing_df2!$A$1:$F$2241,6,FALSE)</f>
        <v>3</v>
      </c>
    </row>
    <row r="419" spans="1:15" ht="12.5">
      <c r="A419" s="6">
        <v>417</v>
      </c>
      <c r="B419" s="6">
        <v>5067</v>
      </c>
      <c r="C419" s="6">
        <v>1994</v>
      </c>
      <c r="D419" s="7" t="s">
        <v>9</v>
      </c>
      <c r="E419" s="7" t="s">
        <v>11</v>
      </c>
      <c r="F419" s="6">
        <v>80134</v>
      </c>
      <c r="G419" s="6">
        <v>0</v>
      </c>
      <c r="H419" s="6">
        <v>0</v>
      </c>
      <c r="I419" s="6">
        <f t="shared" si="6"/>
        <v>0</v>
      </c>
      <c r="J419" s="8">
        <v>41684</v>
      </c>
      <c r="K419" s="6">
        <v>11</v>
      </c>
      <c r="L419">
        <f>VLOOKUP(A419,Marketing_df2!$A$1:$F$2241,3,FALSE)</f>
        <v>26</v>
      </c>
      <c r="M419">
        <f>VLOOKUP(A419,Marketing_df2!$A$1:$F$2241,4,FALSE)</f>
        <v>26</v>
      </c>
      <c r="N419">
        <f>VLOOKUP(A419,Marketing_df2!$A$1:$F$2241,5,FALSE)</f>
        <v>2</v>
      </c>
      <c r="O419">
        <f>VLOOKUP(A419,Marketing_df2!$A$1:$F$2241,6,FALSE)</f>
        <v>11</v>
      </c>
    </row>
    <row r="420" spans="1:15" ht="12.5">
      <c r="A420" s="6">
        <v>418</v>
      </c>
      <c r="B420" s="6">
        <v>4216</v>
      </c>
      <c r="C420" s="6">
        <v>1981</v>
      </c>
      <c r="D420" s="7" t="s">
        <v>9</v>
      </c>
      <c r="E420" s="7" t="s">
        <v>10</v>
      </c>
      <c r="F420" s="6">
        <v>91065</v>
      </c>
      <c r="G420" s="6">
        <v>0</v>
      </c>
      <c r="H420" s="6">
        <v>0</v>
      </c>
      <c r="I420" s="6">
        <f t="shared" si="6"/>
        <v>0</v>
      </c>
      <c r="J420" s="8">
        <v>41327</v>
      </c>
      <c r="K420" s="6">
        <v>33</v>
      </c>
      <c r="L420">
        <f>VLOOKUP(A420,Marketing_df2!$A$1:$F$2241,3,FALSE)</f>
        <v>114</v>
      </c>
      <c r="M420">
        <f>VLOOKUP(A420,Marketing_df2!$A$1:$F$2241,4,FALSE)</f>
        <v>137</v>
      </c>
      <c r="N420">
        <f>VLOOKUP(A420,Marketing_df2!$A$1:$F$2241,5,FALSE)</f>
        <v>7</v>
      </c>
      <c r="O420">
        <f>VLOOKUP(A420,Marketing_df2!$A$1:$F$2241,6,FALSE)</f>
        <v>9</v>
      </c>
    </row>
    <row r="421" spans="1:15" ht="12.5">
      <c r="A421" s="6">
        <v>419</v>
      </c>
      <c r="B421" s="6">
        <v>8581</v>
      </c>
      <c r="C421" s="6">
        <v>1971</v>
      </c>
      <c r="D421" s="7" t="s">
        <v>14</v>
      </c>
      <c r="E421" s="7" t="s">
        <v>13</v>
      </c>
      <c r="F421" s="6">
        <v>49505</v>
      </c>
      <c r="G421" s="6">
        <v>1</v>
      </c>
      <c r="H421" s="6">
        <v>1</v>
      </c>
      <c r="I421" s="6">
        <f t="shared" si="6"/>
        <v>2</v>
      </c>
      <c r="J421" s="8">
        <v>41338</v>
      </c>
      <c r="K421" s="6">
        <v>4</v>
      </c>
      <c r="L421">
        <f>VLOOKUP(A421,Marketing_df2!$A$1:$F$2241,3,FALSE)</f>
        <v>0</v>
      </c>
      <c r="M421">
        <f>VLOOKUP(A421,Marketing_df2!$A$1:$F$2241,4,FALSE)</f>
        <v>0</v>
      </c>
      <c r="N421">
        <f>VLOOKUP(A421,Marketing_df2!$A$1:$F$2241,5,FALSE)</f>
        <v>10</v>
      </c>
      <c r="O421">
        <f>VLOOKUP(A421,Marketing_df2!$A$1:$F$2241,6,FALSE)</f>
        <v>8</v>
      </c>
    </row>
    <row r="422" spans="1:15" ht="12.5">
      <c r="A422" s="6">
        <v>420</v>
      </c>
      <c r="B422" s="6">
        <v>5929</v>
      </c>
      <c r="C422" s="6">
        <v>1973</v>
      </c>
      <c r="D422" s="7" t="s">
        <v>12</v>
      </c>
      <c r="E422" s="7" t="s">
        <v>13</v>
      </c>
      <c r="F422" s="6">
        <v>37401</v>
      </c>
      <c r="G422" s="6">
        <v>1</v>
      </c>
      <c r="H422" s="6">
        <v>0</v>
      </c>
      <c r="I422" s="6">
        <f t="shared" si="6"/>
        <v>1</v>
      </c>
      <c r="J422" s="8">
        <v>41765</v>
      </c>
      <c r="K422" s="6">
        <v>14</v>
      </c>
      <c r="L422">
        <f>VLOOKUP(A422,Marketing_df2!$A$1:$F$2241,3,FALSE)</f>
        <v>3</v>
      </c>
      <c r="M422">
        <f>VLOOKUP(A422,Marketing_df2!$A$1:$F$2241,4,FALSE)</f>
        <v>1</v>
      </c>
      <c r="N422">
        <f>VLOOKUP(A422,Marketing_df2!$A$1:$F$2241,5,FALSE)</f>
        <v>2</v>
      </c>
      <c r="O422">
        <f>VLOOKUP(A422,Marketing_df2!$A$1:$F$2241,6,FALSE)</f>
        <v>3</v>
      </c>
    </row>
    <row r="423" spans="1:15" ht="12.5">
      <c r="A423" s="6">
        <v>421</v>
      </c>
      <c r="B423" s="6">
        <v>3129</v>
      </c>
      <c r="C423" s="6">
        <v>1983</v>
      </c>
      <c r="D423" s="7" t="s">
        <v>9</v>
      </c>
      <c r="E423" s="7" t="s">
        <v>13</v>
      </c>
      <c r="F423" s="6">
        <v>30096</v>
      </c>
      <c r="G423" s="6">
        <v>1</v>
      </c>
      <c r="H423" s="6">
        <v>0</v>
      </c>
      <c r="I423" s="6">
        <f t="shared" si="6"/>
        <v>1</v>
      </c>
      <c r="J423" s="8">
        <v>41781</v>
      </c>
      <c r="K423" s="6">
        <v>30</v>
      </c>
      <c r="L423">
        <f>VLOOKUP(A423,Marketing_df2!$A$1:$F$2241,3,FALSE)</f>
        <v>3</v>
      </c>
      <c r="M423">
        <f>VLOOKUP(A423,Marketing_df2!$A$1:$F$2241,4,FALSE)</f>
        <v>5</v>
      </c>
      <c r="N423">
        <f>VLOOKUP(A423,Marketing_df2!$A$1:$F$2241,5,FALSE)</f>
        <v>2</v>
      </c>
      <c r="O423">
        <f>VLOOKUP(A423,Marketing_df2!$A$1:$F$2241,6,FALSE)</f>
        <v>3</v>
      </c>
    </row>
    <row r="424" spans="1:15" ht="12.5">
      <c r="A424" s="6">
        <v>422</v>
      </c>
      <c r="B424" s="6">
        <v>6528</v>
      </c>
      <c r="C424" s="6">
        <v>1982</v>
      </c>
      <c r="D424" s="7" t="s">
        <v>14</v>
      </c>
      <c r="E424" s="7" t="s">
        <v>11</v>
      </c>
      <c r="F424" s="6">
        <v>18492</v>
      </c>
      <c r="G424" s="6">
        <v>1</v>
      </c>
      <c r="H424" s="6">
        <v>0</v>
      </c>
      <c r="I424" s="6">
        <f t="shared" si="6"/>
        <v>1</v>
      </c>
      <c r="J424" s="8">
        <v>41795</v>
      </c>
      <c r="K424" s="6">
        <v>75</v>
      </c>
      <c r="L424">
        <f>VLOOKUP(A424,Marketing_df2!$A$1:$F$2241,3,FALSE)</f>
        <v>2</v>
      </c>
      <c r="M424">
        <f>VLOOKUP(A424,Marketing_df2!$A$1:$F$2241,4,FALSE)</f>
        <v>1</v>
      </c>
      <c r="N424">
        <f>VLOOKUP(A424,Marketing_df2!$A$1:$F$2241,5,FALSE)</f>
        <v>1</v>
      </c>
      <c r="O424">
        <f>VLOOKUP(A424,Marketing_df2!$A$1:$F$2241,6,FALSE)</f>
        <v>2</v>
      </c>
    </row>
    <row r="425" spans="1:15" ht="12.5">
      <c r="A425" s="6">
        <v>423</v>
      </c>
      <c r="B425" s="6">
        <v>1361</v>
      </c>
      <c r="C425" s="6">
        <v>1974</v>
      </c>
      <c r="D425" s="7" t="s">
        <v>14</v>
      </c>
      <c r="E425" s="7" t="s">
        <v>13</v>
      </c>
      <c r="F425" s="6">
        <v>82584</v>
      </c>
      <c r="G425" s="6">
        <v>0</v>
      </c>
      <c r="H425" s="6">
        <v>0</v>
      </c>
      <c r="I425" s="6">
        <f t="shared" si="6"/>
        <v>0</v>
      </c>
      <c r="J425" s="8">
        <v>41429</v>
      </c>
      <c r="K425" s="6">
        <v>26</v>
      </c>
      <c r="L425">
        <f>VLOOKUP(A425,Marketing_df2!$A$1:$F$2241,3,FALSE)</f>
        <v>68</v>
      </c>
      <c r="M425">
        <f>VLOOKUP(A425,Marketing_df2!$A$1:$F$2241,4,FALSE)</f>
        <v>91</v>
      </c>
      <c r="N425">
        <f>VLOOKUP(A425,Marketing_df2!$A$1:$F$2241,5,FALSE)</f>
        <v>3</v>
      </c>
      <c r="O425">
        <f>VLOOKUP(A425,Marketing_df2!$A$1:$F$2241,6,FALSE)</f>
        <v>8</v>
      </c>
    </row>
    <row r="426" spans="1:15" ht="12.5">
      <c r="A426" s="6">
        <v>424</v>
      </c>
      <c r="B426" s="6">
        <v>6932</v>
      </c>
      <c r="C426" s="6">
        <v>1941</v>
      </c>
      <c r="D426" s="7" t="s">
        <v>12</v>
      </c>
      <c r="E426" s="7" t="s">
        <v>13</v>
      </c>
      <c r="F426" s="6">
        <v>93027</v>
      </c>
      <c r="G426" s="6">
        <v>0</v>
      </c>
      <c r="H426" s="6">
        <v>0</v>
      </c>
      <c r="I426" s="6">
        <f t="shared" si="6"/>
        <v>0</v>
      </c>
      <c r="J426" s="8">
        <v>41377</v>
      </c>
      <c r="K426" s="6">
        <v>77</v>
      </c>
      <c r="L426">
        <f>VLOOKUP(A426,Marketing_df2!$A$1:$F$2241,3,FALSE)</f>
        <v>42</v>
      </c>
      <c r="M426">
        <f>VLOOKUP(A426,Marketing_df2!$A$1:$F$2241,4,FALSE)</f>
        <v>0</v>
      </c>
      <c r="N426">
        <f>VLOOKUP(A426,Marketing_df2!$A$1:$F$2241,5,FALSE)</f>
        <v>7</v>
      </c>
      <c r="O426">
        <f>VLOOKUP(A426,Marketing_df2!$A$1:$F$2241,6,FALSE)</f>
        <v>5</v>
      </c>
    </row>
    <row r="427" spans="1:15" ht="12.5">
      <c r="A427" s="6">
        <v>425</v>
      </c>
      <c r="B427" s="6">
        <v>7284</v>
      </c>
      <c r="C427" s="6">
        <v>1953</v>
      </c>
      <c r="D427" s="7" t="s">
        <v>9</v>
      </c>
      <c r="E427" s="7" t="s">
        <v>13</v>
      </c>
      <c r="F427" s="6">
        <v>48686</v>
      </c>
      <c r="G427" s="6">
        <v>1</v>
      </c>
      <c r="H427" s="6">
        <v>2</v>
      </c>
      <c r="I427" s="6">
        <f t="shared" si="6"/>
        <v>3</v>
      </c>
      <c r="J427" s="8">
        <v>41612</v>
      </c>
      <c r="K427" s="6">
        <v>8</v>
      </c>
      <c r="L427">
        <f>VLOOKUP(A427,Marketing_df2!$A$1:$F$2241,3,FALSE)</f>
        <v>0</v>
      </c>
      <c r="M427">
        <f>VLOOKUP(A427,Marketing_df2!$A$1:$F$2241,4,FALSE)</f>
        <v>0</v>
      </c>
      <c r="N427">
        <f>VLOOKUP(A427,Marketing_df2!$A$1:$F$2241,5,FALSE)</f>
        <v>1</v>
      </c>
      <c r="O427">
        <f>VLOOKUP(A427,Marketing_df2!$A$1:$F$2241,6,FALSE)</f>
        <v>2</v>
      </c>
    </row>
    <row r="428" spans="1:15" ht="12.5">
      <c r="A428" s="6">
        <v>426</v>
      </c>
      <c r="B428" s="6">
        <v>1340</v>
      </c>
      <c r="C428" s="6">
        <v>1986</v>
      </c>
      <c r="D428" s="7" t="s">
        <v>9</v>
      </c>
      <c r="E428" s="7" t="s">
        <v>13</v>
      </c>
      <c r="F428" s="6">
        <v>92910</v>
      </c>
      <c r="G428" s="6">
        <v>0</v>
      </c>
      <c r="H428" s="6">
        <v>0</v>
      </c>
      <c r="I428" s="6">
        <f t="shared" si="6"/>
        <v>0</v>
      </c>
      <c r="J428" s="8">
        <v>41753</v>
      </c>
      <c r="K428" s="6">
        <v>42</v>
      </c>
      <c r="L428">
        <f>VLOOKUP(A428,Marketing_df2!$A$1:$F$2241,3,FALSE)</f>
        <v>137</v>
      </c>
      <c r="M428">
        <f>VLOOKUP(A428,Marketing_df2!$A$1:$F$2241,4,FALSE)</f>
        <v>103</v>
      </c>
      <c r="N428">
        <f>VLOOKUP(A428,Marketing_df2!$A$1:$F$2241,5,FALSE)</f>
        <v>6</v>
      </c>
      <c r="O428">
        <f>VLOOKUP(A428,Marketing_df2!$A$1:$F$2241,6,FALSE)</f>
        <v>13</v>
      </c>
    </row>
    <row r="429" spans="1:15" ht="12.5">
      <c r="A429" s="6">
        <v>427</v>
      </c>
      <c r="B429" s="6">
        <v>8746</v>
      </c>
      <c r="C429" s="6">
        <v>1989</v>
      </c>
      <c r="D429" s="7" t="s">
        <v>9</v>
      </c>
      <c r="E429" s="7" t="s">
        <v>13</v>
      </c>
      <c r="F429" s="6">
        <v>75433</v>
      </c>
      <c r="G429" s="6">
        <v>1</v>
      </c>
      <c r="H429" s="6">
        <v>0</v>
      </c>
      <c r="I429" s="6">
        <f t="shared" si="6"/>
        <v>1</v>
      </c>
      <c r="J429" s="8">
        <v>41734</v>
      </c>
      <c r="K429" s="6">
        <v>28</v>
      </c>
      <c r="L429">
        <f>VLOOKUP(A429,Marketing_df2!$A$1:$F$2241,3,FALSE)</f>
        <v>0</v>
      </c>
      <c r="M429">
        <f>VLOOKUP(A429,Marketing_df2!$A$1:$F$2241,4,FALSE)</f>
        <v>34</v>
      </c>
      <c r="N429">
        <f>VLOOKUP(A429,Marketing_df2!$A$1:$F$2241,5,FALSE)</f>
        <v>2</v>
      </c>
      <c r="O429">
        <f>VLOOKUP(A429,Marketing_df2!$A$1:$F$2241,6,FALSE)</f>
        <v>10</v>
      </c>
    </row>
    <row r="430" spans="1:15" ht="12.5">
      <c r="A430" s="6">
        <v>428</v>
      </c>
      <c r="B430" s="6">
        <v>5987</v>
      </c>
      <c r="C430" s="6">
        <v>1989</v>
      </c>
      <c r="D430" s="7" t="s">
        <v>17</v>
      </c>
      <c r="E430" s="7" t="s">
        <v>11</v>
      </c>
      <c r="F430" s="6">
        <v>10404</v>
      </c>
      <c r="G430" s="6">
        <v>1</v>
      </c>
      <c r="H430" s="6">
        <v>0</v>
      </c>
      <c r="I430" s="6">
        <f t="shared" si="6"/>
        <v>1</v>
      </c>
      <c r="J430" s="8">
        <v>41763</v>
      </c>
      <c r="K430" s="6">
        <v>52</v>
      </c>
      <c r="L430">
        <f>VLOOKUP(A430,Marketing_df2!$A$1:$F$2241,3,FALSE)</f>
        <v>2</v>
      </c>
      <c r="M430">
        <f>VLOOKUP(A430,Marketing_df2!$A$1:$F$2241,4,FALSE)</f>
        <v>6</v>
      </c>
      <c r="N430">
        <f>VLOOKUP(A430,Marketing_df2!$A$1:$F$2241,5,FALSE)</f>
        <v>1</v>
      </c>
      <c r="O430">
        <f>VLOOKUP(A430,Marketing_df2!$A$1:$F$2241,6,FALSE)</f>
        <v>4</v>
      </c>
    </row>
    <row r="431" spans="1:15" ht="12.5">
      <c r="A431" s="6">
        <v>429</v>
      </c>
      <c r="B431" s="6">
        <v>3767</v>
      </c>
      <c r="C431" s="6">
        <v>1968</v>
      </c>
      <c r="D431" s="7" t="s">
        <v>9</v>
      </c>
      <c r="E431" s="7" t="s">
        <v>13</v>
      </c>
      <c r="F431" s="6">
        <v>61314</v>
      </c>
      <c r="G431" s="6">
        <v>0</v>
      </c>
      <c r="H431" s="6">
        <v>1</v>
      </c>
      <c r="I431" s="6">
        <f t="shared" si="6"/>
        <v>1</v>
      </c>
      <c r="J431" s="8">
        <v>41389</v>
      </c>
      <c r="K431" s="6">
        <v>1</v>
      </c>
      <c r="L431">
        <f>VLOOKUP(A431,Marketing_df2!$A$1:$F$2241,3,FALSE)</f>
        <v>0</v>
      </c>
      <c r="M431">
        <f>VLOOKUP(A431,Marketing_df2!$A$1:$F$2241,4,FALSE)</f>
        <v>172</v>
      </c>
      <c r="N431">
        <f>VLOOKUP(A431,Marketing_df2!$A$1:$F$2241,5,FALSE)</f>
        <v>5</v>
      </c>
      <c r="O431">
        <f>VLOOKUP(A431,Marketing_df2!$A$1:$F$2241,6,FALSE)</f>
        <v>12</v>
      </c>
    </row>
    <row r="432" spans="1:15" ht="12.5">
      <c r="A432" s="6">
        <v>430</v>
      </c>
      <c r="B432" s="6">
        <v>3725</v>
      </c>
      <c r="C432" s="6">
        <v>1961</v>
      </c>
      <c r="D432" s="7" t="s">
        <v>12</v>
      </c>
      <c r="E432" s="7" t="s">
        <v>10</v>
      </c>
      <c r="F432" s="6">
        <v>84865</v>
      </c>
      <c r="G432" s="6">
        <v>0</v>
      </c>
      <c r="H432" s="6">
        <v>0</v>
      </c>
      <c r="I432" s="6">
        <f t="shared" si="6"/>
        <v>0</v>
      </c>
      <c r="J432" s="8">
        <v>41403</v>
      </c>
      <c r="K432" s="6">
        <v>1</v>
      </c>
      <c r="L432">
        <f>VLOOKUP(A432,Marketing_df2!$A$1:$F$2241,3,FALSE)</f>
        <v>16</v>
      </c>
      <c r="M432">
        <f>VLOOKUP(A432,Marketing_df2!$A$1:$F$2241,4,FALSE)</f>
        <v>16</v>
      </c>
      <c r="N432">
        <f>VLOOKUP(A432,Marketing_df2!$A$1:$F$2241,5,FALSE)</f>
        <v>2</v>
      </c>
      <c r="O432">
        <f>VLOOKUP(A432,Marketing_df2!$A$1:$F$2241,6,FALSE)</f>
        <v>9</v>
      </c>
    </row>
    <row r="433" spans="1:15" ht="12.5">
      <c r="A433" s="6">
        <v>431</v>
      </c>
      <c r="B433" s="6">
        <v>4324</v>
      </c>
      <c r="C433" s="6">
        <v>1989</v>
      </c>
      <c r="D433" s="7" t="s">
        <v>9</v>
      </c>
      <c r="E433" s="7" t="s">
        <v>13</v>
      </c>
      <c r="F433" s="6">
        <v>42387</v>
      </c>
      <c r="G433" s="6">
        <v>1</v>
      </c>
      <c r="H433" s="6">
        <v>0</v>
      </c>
      <c r="I433" s="6">
        <f t="shared" si="6"/>
        <v>1</v>
      </c>
      <c r="J433" s="9">
        <v>41211</v>
      </c>
      <c r="K433" s="6">
        <v>42</v>
      </c>
      <c r="L433">
        <f>VLOOKUP(A433,Marketing_df2!$A$1:$F$2241,3,FALSE)</f>
        <v>0</v>
      </c>
      <c r="M433">
        <f>VLOOKUP(A433,Marketing_df2!$A$1:$F$2241,4,FALSE)</f>
        <v>4</v>
      </c>
      <c r="N433">
        <f>VLOOKUP(A433,Marketing_df2!$A$1:$F$2241,5,FALSE)</f>
        <v>8</v>
      </c>
      <c r="O433">
        <f>VLOOKUP(A433,Marketing_df2!$A$1:$F$2241,6,FALSE)</f>
        <v>7</v>
      </c>
    </row>
    <row r="434" spans="1:15" ht="12.5">
      <c r="A434" s="6">
        <v>432</v>
      </c>
      <c r="B434" s="6">
        <v>238</v>
      </c>
      <c r="C434" s="6">
        <v>1967</v>
      </c>
      <c r="D434" s="7" t="s">
        <v>17</v>
      </c>
      <c r="E434" s="7" t="s">
        <v>11</v>
      </c>
      <c r="F434" s="6">
        <v>67309</v>
      </c>
      <c r="G434" s="6">
        <v>1</v>
      </c>
      <c r="H434" s="6">
        <v>1</v>
      </c>
      <c r="I434" s="6">
        <f t="shared" si="6"/>
        <v>2</v>
      </c>
      <c r="J434" s="8">
        <v>41297</v>
      </c>
      <c r="K434" s="6">
        <v>76</v>
      </c>
      <c r="L434">
        <f>VLOOKUP(A434,Marketing_df2!$A$1:$F$2241,3,FALSE)</f>
        <v>47</v>
      </c>
      <c r="M434">
        <f>VLOOKUP(A434,Marketing_df2!$A$1:$F$2241,4,FALSE)</f>
        <v>95</v>
      </c>
      <c r="N434">
        <f>VLOOKUP(A434,Marketing_df2!$A$1:$F$2241,5,FALSE)</f>
        <v>9</v>
      </c>
      <c r="O434">
        <f>VLOOKUP(A434,Marketing_df2!$A$1:$F$2241,6,FALSE)</f>
        <v>9</v>
      </c>
    </row>
    <row r="435" spans="1:15" ht="12.5">
      <c r="A435" s="6">
        <v>433</v>
      </c>
      <c r="B435" s="6">
        <v>6694</v>
      </c>
      <c r="C435" s="6">
        <v>1964</v>
      </c>
      <c r="D435" s="7" t="s">
        <v>9</v>
      </c>
      <c r="E435" s="7" t="s">
        <v>13</v>
      </c>
      <c r="F435" s="6">
        <v>75236</v>
      </c>
      <c r="G435" s="6">
        <v>0</v>
      </c>
      <c r="H435" s="6">
        <v>1</v>
      </c>
      <c r="I435" s="6">
        <f t="shared" si="6"/>
        <v>1</v>
      </c>
      <c r="J435" s="9">
        <v>41603</v>
      </c>
      <c r="K435" s="6">
        <v>27</v>
      </c>
      <c r="L435">
        <f>VLOOKUP(A435,Marketing_df2!$A$1:$F$2241,3,FALSE)</f>
        <v>66</v>
      </c>
      <c r="M435">
        <f>VLOOKUP(A435,Marketing_df2!$A$1:$F$2241,4,FALSE)</f>
        <v>38</v>
      </c>
      <c r="N435">
        <f>VLOOKUP(A435,Marketing_df2!$A$1:$F$2241,5,FALSE)</f>
        <v>8</v>
      </c>
      <c r="O435">
        <f>VLOOKUP(A435,Marketing_df2!$A$1:$F$2241,6,FALSE)</f>
        <v>13</v>
      </c>
    </row>
    <row r="436" spans="1:15" ht="12.5">
      <c r="A436" s="6">
        <v>434</v>
      </c>
      <c r="B436" s="6">
        <v>498</v>
      </c>
      <c r="C436" s="6">
        <v>1970</v>
      </c>
      <c r="D436" s="7" t="s">
        <v>9</v>
      </c>
      <c r="E436" s="7" t="s">
        <v>10</v>
      </c>
      <c r="F436" s="6">
        <v>30015</v>
      </c>
      <c r="G436" s="6">
        <v>1</v>
      </c>
      <c r="H436" s="6">
        <v>0</v>
      </c>
      <c r="I436" s="6">
        <f t="shared" si="6"/>
        <v>1</v>
      </c>
      <c r="J436" s="8">
        <v>41672</v>
      </c>
      <c r="K436" s="6">
        <v>28</v>
      </c>
      <c r="L436">
        <f>VLOOKUP(A436,Marketing_df2!$A$1:$F$2241,3,FALSE)</f>
        <v>0</v>
      </c>
      <c r="M436">
        <f>VLOOKUP(A436,Marketing_df2!$A$1:$F$2241,4,FALSE)</f>
        <v>3</v>
      </c>
      <c r="N436">
        <f>VLOOKUP(A436,Marketing_df2!$A$1:$F$2241,5,FALSE)</f>
        <v>1</v>
      </c>
      <c r="O436">
        <f>VLOOKUP(A436,Marketing_df2!$A$1:$F$2241,6,FALSE)</f>
        <v>4</v>
      </c>
    </row>
    <row r="437" spans="1:15" ht="12.5">
      <c r="A437" s="6">
        <v>435</v>
      </c>
      <c r="B437" s="6">
        <v>9347</v>
      </c>
      <c r="C437" s="6">
        <v>1956</v>
      </c>
      <c r="D437" s="7" t="s">
        <v>14</v>
      </c>
      <c r="E437" s="7" t="s">
        <v>11</v>
      </c>
      <c r="F437" s="6">
        <v>50943</v>
      </c>
      <c r="G437" s="6">
        <v>0</v>
      </c>
      <c r="H437" s="6">
        <v>1</v>
      </c>
      <c r="I437" s="6">
        <f t="shared" si="6"/>
        <v>1</v>
      </c>
      <c r="J437" s="8">
        <v>41446</v>
      </c>
      <c r="K437" s="6">
        <v>49</v>
      </c>
      <c r="L437">
        <f>VLOOKUP(A437,Marketing_df2!$A$1:$F$2241,3,FALSE)</f>
        <v>0</v>
      </c>
      <c r="M437">
        <f>VLOOKUP(A437,Marketing_df2!$A$1:$F$2241,4,FALSE)</f>
        <v>0</v>
      </c>
      <c r="N437">
        <f>VLOOKUP(A437,Marketing_df2!$A$1:$F$2241,5,FALSE)</f>
        <v>1</v>
      </c>
      <c r="O437">
        <f>VLOOKUP(A437,Marketing_df2!$A$1:$F$2241,6,FALSE)</f>
        <v>3</v>
      </c>
    </row>
    <row r="438" spans="1:15" ht="12.5">
      <c r="A438" s="6">
        <v>436</v>
      </c>
      <c r="B438" s="6">
        <v>9699</v>
      </c>
      <c r="C438" s="6">
        <v>1966</v>
      </c>
      <c r="D438" s="7" t="s">
        <v>9</v>
      </c>
      <c r="E438" s="7" t="s">
        <v>15</v>
      </c>
      <c r="F438" s="6">
        <v>67272</v>
      </c>
      <c r="G438" s="6">
        <v>0</v>
      </c>
      <c r="H438" s="6">
        <v>1</v>
      </c>
      <c r="I438" s="6">
        <f t="shared" si="6"/>
        <v>1</v>
      </c>
      <c r="J438" s="9">
        <v>41629</v>
      </c>
      <c r="K438" s="6">
        <v>12</v>
      </c>
      <c r="L438">
        <f>VLOOKUP(A438,Marketing_df2!$A$1:$F$2241,3,FALSE)</f>
        <v>35</v>
      </c>
      <c r="M438">
        <f>VLOOKUP(A438,Marketing_df2!$A$1:$F$2241,4,FALSE)</f>
        <v>28</v>
      </c>
      <c r="N438">
        <f>VLOOKUP(A438,Marketing_df2!$A$1:$F$2241,5,FALSE)</f>
        <v>6</v>
      </c>
      <c r="O438">
        <f>VLOOKUP(A438,Marketing_df2!$A$1:$F$2241,6,FALSE)</f>
        <v>12</v>
      </c>
    </row>
    <row r="439" spans="1:15" ht="12.5">
      <c r="A439" s="6">
        <v>437</v>
      </c>
      <c r="B439" s="6">
        <v>10664</v>
      </c>
      <c r="C439" s="6">
        <v>1949</v>
      </c>
      <c r="D439" s="7" t="s">
        <v>14</v>
      </c>
      <c r="E439" s="7" t="s">
        <v>18</v>
      </c>
      <c r="F439" s="6">
        <v>51529</v>
      </c>
      <c r="G439" s="6">
        <v>0</v>
      </c>
      <c r="H439" s="6">
        <v>1</v>
      </c>
      <c r="I439" s="6">
        <f t="shared" si="6"/>
        <v>1</v>
      </c>
      <c r="J439" s="8">
        <v>41524</v>
      </c>
      <c r="K439" s="6">
        <v>14</v>
      </c>
      <c r="L439">
        <f>VLOOKUP(A439,Marketing_df2!$A$1:$F$2241,3,FALSE)</f>
        <v>4</v>
      </c>
      <c r="M439">
        <f>VLOOKUP(A439,Marketing_df2!$A$1:$F$2241,4,FALSE)</f>
        <v>0</v>
      </c>
      <c r="N439">
        <f>VLOOKUP(A439,Marketing_df2!$A$1:$F$2241,5,FALSE)</f>
        <v>9</v>
      </c>
      <c r="O439">
        <f>VLOOKUP(A439,Marketing_df2!$A$1:$F$2241,6,FALSE)</f>
        <v>5</v>
      </c>
    </row>
    <row r="440" spans="1:15" ht="12.5">
      <c r="A440" s="6">
        <v>438</v>
      </c>
      <c r="B440" s="6">
        <v>5455</v>
      </c>
      <c r="C440" s="6">
        <v>1971</v>
      </c>
      <c r="D440" s="7" t="s">
        <v>12</v>
      </c>
      <c r="E440" s="7" t="s">
        <v>13</v>
      </c>
      <c r="F440" s="6">
        <v>32011</v>
      </c>
      <c r="G440" s="6">
        <v>1</v>
      </c>
      <c r="H440" s="6">
        <v>0</v>
      </c>
      <c r="I440" s="6">
        <f t="shared" si="6"/>
        <v>1</v>
      </c>
      <c r="J440" s="8">
        <v>41508</v>
      </c>
      <c r="K440" s="6">
        <v>89</v>
      </c>
      <c r="L440">
        <f>VLOOKUP(A440,Marketing_df2!$A$1:$F$2241,3,FALSE)</f>
        <v>0</v>
      </c>
      <c r="M440">
        <f>VLOOKUP(A440,Marketing_df2!$A$1:$F$2241,4,FALSE)</f>
        <v>1</v>
      </c>
      <c r="N440">
        <f>VLOOKUP(A440,Marketing_df2!$A$1:$F$2241,5,FALSE)</f>
        <v>2</v>
      </c>
      <c r="O440">
        <f>VLOOKUP(A440,Marketing_df2!$A$1:$F$2241,6,FALSE)</f>
        <v>4</v>
      </c>
    </row>
    <row r="441" spans="1:15" ht="12.5">
      <c r="A441" s="6">
        <v>439</v>
      </c>
      <c r="B441" s="6">
        <v>456</v>
      </c>
      <c r="C441" s="6">
        <v>1986</v>
      </c>
      <c r="D441" s="7" t="s">
        <v>17</v>
      </c>
      <c r="E441" s="7" t="s">
        <v>13</v>
      </c>
      <c r="F441" s="6">
        <v>7500</v>
      </c>
      <c r="G441" s="6">
        <v>1</v>
      </c>
      <c r="H441" s="6">
        <v>0</v>
      </c>
      <c r="I441" s="6">
        <f t="shared" si="6"/>
        <v>1</v>
      </c>
      <c r="J441" s="8">
        <v>41312</v>
      </c>
      <c r="K441" s="6">
        <v>96</v>
      </c>
      <c r="L441">
        <f>VLOOKUP(A441,Marketing_df2!$A$1:$F$2241,3,FALSE)</f>
        <v>11</v>
      </c>
      <c r="M441">
        <f>VLOOKUP(A441,Marketing_df2!$A$1:$F$2241,4,FALSE)</f>
        <v>6</v>
      </c>
      <c r="N441">
        <f>VLOOKUP(A441,Marketing_df2!$A$1:$F$2241,5,FALSE)</f>
        <v>2</v>
      </c>
      <c r="O441">
        <f>VLOOKUP(A441,Marketing_df2!$A$1:$F$2241,6,FALSE)</f>
        <v>3</v>
      </c>
    </row>
    <row r="442" spans="1:15" ht="12.5">
      <c r="A442" s="6">
        <v>440</v>
      </c>
      <c r="B442" s="6">
        <v>5012</v>
      </c>
      <c r="C442" s="6">
        <v>1989</v>
      </c>
      <c r="D442" s="7" t="s">
        <v>9</v>
      </c>
      <c r="E442" s="7" t="s">
        <v>13</v>
      </c>
      <c r="F442" s="6">
        <v>28691</v>
      </c>
      <c r="G442" s="6">
        <v>1</v>
      </c>
      <c r="H442" s="6">
        <v>0</v>
      </c>
      <c r="I442" s="6">
        <f t="shared" si="6"/>
        <v>1</v>
      </c>
      <c r="J442" s="8">
        <v>41459</v>
      </c>
      <c r="K442" s="6">
        <v>56</v>
      </c>
      <c r="L442">
        <f>VLOOKUP(A442,Marketing_df2!$A$1:$F$2241,3,FALSE)</f>
        <v>4</v>
      </c>
      <c r="M442">
        <f>VLOOKUP(A442,Marketing_df2!$A$1:$F$2241,4,FALSE)</f>
        <v>0</v>
      </c>
      <c r="N442">
        <f>VLOOKUP(A442,Marketing_df2!$A$1:$F$2241,5,FALSE)</f>
        <v>1</v>
      </c>
      <c r="O442">
        <f>VLOOKUP(A442,Marketing_df2!$A$1:$F$2241,6,FALSE)</f>
        <v>3</v>
      </c>
    </row>
    <row r="443" spans="1:15" ht="12.5">
      <c r="A443" s="6">
        <v>441</v>
      </c>
      <c r="B443" s="6">
        <v>7495</v>
      </c>
      <c r="C443" s="6">
        <v>1948</v>
      </c>
      <c r="D443" s="7" t="s">
        <v>12</v>
      </c>
      <c r="E443" s="7" t="s">
        <v>13</v>
      </c>
      <c r="F443" s="6">
        <v>56223</v>
      </c>
      <c r="G443" s="6">
        <v>0</v>
      </c>
      <c r="H443" s="6">
        <v>1</v>
      </c>
      <c r="I443" s="6">
        <f t="shared" si="6"/>
        <v>1</v>
      </c>
      <c r="J443" s="9">
        <v>41628</v>
      </c>
      <c r="K443" s="6">
        <v>72</v>
      </c>
      <c r="L443">
        <f>VLOOKUP(A443,Marketing_df2!$A$1:$F$2241,3,FALSE)</f>
        <v>28</v>
      </c>
      <c r="M443">
        <f>VLOOKUP(A443,Marketing_df2!$A$1:$F$2241,4,FALSE)</f>
        <v>0</v>
      </c>
      <c r="N443">
        <f>VLOOKUP(A443,Marketing_df2!$A$1:$F$2241,5,FALSE)</f>
        <v>2</v>
      </c>
      <c r="O443">
        <f>VLOOKUP(A443,Marketing_df2!$A$1:$F$2241,6,FALSE)</f>
        <v>5</v>
      </c>
    </row>
    <row r="444" spans="1:15" ht="12.5">
      <c r="A444" s="6">
        <v>442</v>
      </c>
      <c r="B444" s="6">
        <v>5029</v>
      </c>
      <c r="C444" s="6">
        <v>1946</v>
      </c>
      <c r="D444" s="7" t="s">
        <v>9</v>
      </c>
      <c r="E444" s="7" t="s">
        <v>13</v>
      </c>
      <c r="F444" s="6">
        <v>18100</v>
      </c>
      <c r="G444" s="6">
        <v>0</v>
      </c>
      <c r="H444" s="6">
        <v>0</v>
      </c>
      <c r="I444" s="6">
        <f t="shared" si="6"/>
        <v>0</v>
      </c>
      <c r="J444" s="8">
        <v>41492</v>
      </c>
      <c r="K444" s="6">
        <v>14</v>
      </c>
      <c r="L444">
        <f>VLOOKUP(A444,Marketing_df2!$A$1:$F$2241,3,FALSE)</f>
        <v>1</v>
      </c>
      <c r="M444">
        <f>VLOOKUP(A444,Marketing_df2!$A$1:$F$2241,4,FALSE)</f>
        <v>3</v>
      </c>
      <c r="N444">
        <f>VLOOKUP(A444,Marketing_df2!$A$1:$F$2241,5,FALSE)</f>
        <v>0</v>
      </c>
      <c r="O444">
        <f>VLOOKUP(A444,Marketing_df2!$A$1:$F$2241,6,FALSE)</f>
        <v>3</v>
      </c>
    </row>
    <row r="445" spans="1:15" ht="12.5">
      <c r="A445" s="6">
        <v>443</v>
      </c>
      <c r="B445" s="6">
        <v>10642</v>
      </c>
      <c r="C445" s="6">
        <v>1989</v>
      </c>
      <c r="D445" s="7" t="s">
        <v>9</v>
      </c>
      <c r="E445" s="7" t="s">
        <v>10</v>
      </c>
      <c r="F445" s="6">
        <v>30279</v>
      </c>
      <c r="G445" s="6">
        <v>1</v>
      </c>
      <c r="H445" s="6">
        <v>0</v>
      </c>
      <c r="I445" s="6">
        <f t="shared" si="6"/>
        <v>1</v>
      </c>
      <c r="J445" s="9">
        <v>41273</v>
      </c>
      <c r="K445" s="6">
        <v>13</v>
      </c>
      <c r="L445">
        <f>VLOOKUP(A445,Marketing_df2!$A$1:$F$2241,3,FALSE)</f>
        <v>4</v>
      </c>
      <c r="M445">
        <f>VLOOKUP(A445,Marketing_df2!$A$1:$F$2241,4,FALSE)</f>
        <v>4</v>
      </c>
      <c r="N445">
        <f>VLOOKUP(A445,Marketing_df2!$A$1:$F$2241,5,FALSE)</f>
        <v>1</v>
      </c>
      <c r="O445">
        <f>VLOOKUP(A445,Marketing_df2!$A$1:$F$2241,6,FALSE)</f>
        <v>3</v>
      </c>
    </row>
    <row r="446" spans="1:15" ht="12.5">
      <c r="A446" s="6">
        <v>444</v>
      </c>
      <c r="B446" s="6">
        <v>2106</v>
      </c>
      <c r="C446" s="6">
        <v>1974</v>
      </c>
      <c r="D446" s="7" t="s">
        <v>17</v>
      </c>
      <c r="E446" s="7" t="s">
        <v>13</v>
      </c>
      <c r="F446" s="6">
        <v>20130</v>
      </c>
      <c r="G446" s="6">
        <v>0</v>
      </c>
      <c r="H446" s="6">
        <v>0</v>
      </c>
      <c r="I446" s="6">
        <f t="shared" si="6"/>
        <v>0</v>
      </c>
      <c r="J446" s="8">
        <v>41715</v>
      </c>
      <c r="K446" s="6">
        <v>99</v>
      </c>
      <c r="L446">
        <f>VLOOKUP(A446,Marketing_df2!$A$1:$F$2241,3,FALSE)</f>
        <v>6</v>
      </c>
      <c r="M446">
        <f>VLOOKUP(A446,Marketing_df2!$A$1:$F$2241,4,FALSE)</f>
        <v>6</v>
      </c>
      <c r="N446">
        <f>VLOOKUP(A446,Marketing_df2!$A$1:$F$2241,5,FALSE)</f>
        <v>1</v>
      </c>
      <c r="O446">
        <f>VLOOKUP(A446,Marketing_df2!$A$1:$F$2241,6,FALSE)</f>
        <v>3</v>
      </c>
    </row>
    <row r="447" spans="1:15" ht="12.5">
      <c r="A447" s="6">
        <v>445</v>
      </c>
      <c r="B447" s="6">
        <v>10364</v>
      </c>
      <c r="C447" s="6">
        <v>1959</v>
      </c>
      <c r="D447" s="7" t="s">
        <v>9</v>
      </c>
      <c r="E447" s="7" t="s">
        <v>15</v>
      </c>
      <c r="F447" s="6">
        <v>23295</v>
      </c>
      <c r="G447" s="6">
        <v>0</v>
      </c>
      <c r="H447" s="6">
        <v>0</v>
      </c>
      <c r="I447" s="6">
        <f t="shared" si="6"/>
        <v>0</v>
      </c>
      <c r="J447" s="8">
        <v>41468</v>
      </c>
      <c r="K447" s="6">
        <v>72</v>
      </c>
      <c r="L447">
        <f>VLOOKUP(A447,Marketing_df2!$A$1:$F$2241,3,FALSE)</f>
        <v>0</v>
      </c>
      <c r="M447">
        <f>VLOOKUP(A447,Marketing_df2!$A$1:$F$2241,4,FALSE)</f>
        <v>12</v>
      </c>
      <c r="N447">
        <f>VLOOKUP(A447,Marketing_df2!$A$1:$F$2241,5,FALSE)</f>
        <v>1</v>
      </c>
      <c r="O447">
        <f>VLOOKUP(A447,Marketing_df2!$A$1:$F$2241,6,FALSE)</f>
        <v>2</v>
      </c>
    </row>
    <row r="448" spans="1:15" ht="12.5">
      <c r="A448" s="6">
        <v>446</v>
      </c>
      <c r="B448" s="6">
        <v>5954</v>
      </c>
      <c r="C448" s="6">
        <v>1972</v>
      </c>
      <c r="D448" s="7" t="s">
        <v>14</v>
      </c>
      <c r="E448" s="7" t="s">
        <v>15</v>
      </c>
      <c r="F448" s="6">
        <v>42618</v>
      </c>
      <c r="G448" s="6">
        <v>1</v>
      </c>
      <c r="H448" s="6">
        <v>0</v>
      </c>
      <c r="I448" s="6">
        <f t="shared" si="6"/>
        <v>1</v>
      </c>
      <c r="J448" s="8">
        <v>41556</v>
      </c>
      <c r="K448" s="6">
        <v>92</v>
      </c>
      <c r="L448">
        <f>VLOOKUP(A448,Marketing_df2!$A$1:$F$2241,3,FALSE)</f>
        <v>14</v>
      </c>
      <c r="M448">
        <f>VLOOKUP(A448,Marketing_df2!$A$1:$F$2241,4,FALSE)</f>
        <v>5</v>
      </c>
      <c r="N448">
        <f>VLOOKUP(A448,Marketing_df2!$A$1:$F$2241,5,FALSE)</f>
        <v>5</v>
      </c>
      <c r="O448">
        <f>VLOOKUP(A448,Marketing_df2!$A$1:$F$2241,6,FALSE)</f>
        <v>4</v>
      </c>
    </row>
    <row r="449" spans="1:15" ht="12.5">
      <c r="A449" s="6">
        <v>447</v>
      </c>
      <c r="B449" s="6">
        <v>1137</v>
      </c>
      <c r="C449" s="6">
        <v>1964</v>
      </c>
      <c r="D449" s="7" t="s">
        <v>9</v>
      </c>
      <c r="E449" s="7" t="s">
        <v>10</v>
      </c>
      <c r="F449" s="6">
        <v>81246</v>
      </c>
      <c r="G449" s="6">
        <v>0</v>
      </c>
      <c r="H449" s="6">
        <v>0</v>
      </c>
      <c r="I449" s="6">
        <f t="shared" si="6"/>
        <v>0</v>
      </c>
      <c r="J449" s="9">
        <v>41637</v>
      </c>
      <c r="K449" s="6">
        <v>87</v>
      </c>
      <c r="L449">
        <f>VLOOKUP(A449,Marketing_df2!$A$1:$F$2241,3,FALSE)</f>
        <v>190</v>
      </c>
      <c r="M449">
        <f>VLOOKUP(A449,Marketing_df2!$A$1:$F$2241,4,FALSE)</f>
        <v>156</v>
      </c>
      <c r="N449">
        <f>VLOOKUP(A449,Marketing_df2!$A$1:$F$2241,5,FALSE)</f>
        <v>4</v>
      </c>
      <c r="O449">
        <f>VLOOKUP(A449,Marketing_df2!$A$1:$F$2241,6,FALSE)</f>
        <v>7</v>
      </c>
    </row>
    <row r="450" spans="1:15" ht="12.5">
      <c r="A450" s="6">
        <v>448</v>
      </c>
      <c r="B450" s="6">
        <v>2541</v>
      </c>
      <c r="C450" s="6">
        <v>1976</v>
      </c>
      <c r="D450" s="7" t="s">
        <v>9</v>
      </c>
      <c r="E450" s="7" t="s">
        <v>13</v>
      </c>
      <c r="F450" s="6">
        <v>24027</v>
      </c>
      <c r="G450" s="6">
        <v>1</v>
      </c>
      <c r="H450" s="6">
        <v>0</v>
      </c>
      <c r="I450" s="6">
        <f t="shared" si="6"/>
        <v>1</v>
      </c>
      <c r="J450" s="8">
        <v>41434</v>
      </c>
      <c r="K450" s="6">
        <v>7</v>
      </c>
      <c r="L450">
        <f>VLOOKUP(A450,Marketing_df2!$A$1:$F$2241,3,FALSE)</f>
        <v>7</v>
      </c>
      <c r="M450">
        <f>VLOOKUP(A450,Marketing_df2!$A$1:$F$2241,4,FALSE)</f>
        <v>0</v>
      </c>
      <c r="N450">
        <f>VLOOKUP(A450,Marketing_df2!$A$1:$F$2241,5,FALSE)</f>
        <v>2</v>
      </c>
      <c r="O450">
        <f>VLOOKUP(A450,Marketing_df2!$A$1:$F$2241,6,FALSE)</f>
        <v>3</v>
      </c>
    </row>
    <row r="451" spans="1:15" ht="12.5">
      <c r="A451" s="6">
        <v>449</v>
      </c>
      <c r="B451" s="6">
        <v>1142</v>
      </c>
      <c r="C451" s="6">
        <v>1953</v>
      </c>
      <c r="D451" s="7" t="s">
        <v>12</v>
      </c>
      <c r="E451" s="7" t="s">
        <v>13</v>
      </c>
      <c r="F451" s="6">
        <v>55707</v>
      </c>
      <c r="G451" s="6">
        <v>0</v>
      </c>
      <c r="H451" s="6">
        <v>1</v>
      </c>
      <c r="I451" s="6">
        <f t="shared" ref="I451:I514" si="7">G451+H451</f>
        <v>1</v>
      </c>
      <c r="J451" s="9">
        <v>41630</v>
      </c>
      <c r="K451" s="6">
        <v>91</v>
      </c>
      <c r="L451">
        <f>VLOOKUP(A451,Marketing_df2!$A$1:$F$2241,3,FALSE)</f>
        <v>7</v>
      </c>
      <c r="M451">
        <f>VLOOKUP(A451,Marketing_df2!$A$1:$F$2241,4,FALSE)</f>
        <v>66</v>
      </c>
      <c r="N451">
        <f>VLOOKUP(A451,Marketing_df2!$A$1:$F$2241,5,FALSE)</f>
        <v>3</v>
      </c>
      <c r="O451">
        <f>VLOOKUP(A451,Marketing_df2!$A$1:$F$2241,6,FALSE)</f>
        <v>9</v>
      </c>
    </row>
    <row r="452" spans="1:15" ht="12.5">
      <c r="A452" s="6">
        <v>450</v>
      </c>
      <c r="B452" s="6">
        <v>2276</v>
      </c>
      <c r="C452" s="6">
        <v>1955</v>
      </c>
      <c r="D452" s="7" t="s">
        <v>9</v>
      </c>
      <c r="E452" s="7" t="s">
        <v>10</v>
      </c>
      <c r="F452" s="6">
        <v>57959</v>
      </c>
      <c r="G452" s="6">
        <v>0</v>
      </c>
      <c r="H452" s="6">
        <v>1</v>
      </c>
      <c r="I452" s="6">
        <f t="shared" si="7"/>
        <v>1</v>
      </c>
      <c r="J452" s="8">
        <v>41396</v>
      </c>
      <c r="K452" s="6">
        <v>71</v>
      </c>
      <c r="L452">
        <f>VLOOKUP(A452,Marketing_df2!$A$1:$F$2241,3,FALSE)</f>
        <v>16</v>
      </c>
      <c r="M452">
        <f>VLOOKUP(A452,Marketing_df2!$A$1:$F$2241,4,FALSE)</f>
        <v>24</v>
      </c>
      <c r="N452">
        <f>VLOOKUP(A452,Marketing_df2!$A$1:$F$2241,5,FALSE)</f>
        <v>4</v>
      </c>
      <c r="O452">
        <f>VLOOKUP(A452,Marketing_df2!$A$1:$F$2241,6,FALSE)</f>
        <v>11</v>
      </c>
    </row>
    <row r="453" spans="1:15" ht="12.5">
      <c r="A453" s="6">
        <v>451</v>
      </c>
      <c r="B453" s="6">
        <v>2807</v>
      </c>
      <c r="C453" s="6">
        <v>1969</v>
      </c>
      <c r="D453" s="7" t="s">
        <v>9</v>
      </c>
      <c r="E453" s="7" t="s">
        <v>13</v>
      </c>
      <c r="F453" s="6">
        <v>56796</v>
      </c>
      <c r="G453" s="6">
        <v>0</v>
      </c>
      <c r="H453" s="6">
        <v>1</v>
      </c>
      <c r="I453" s="6">
        <f t="shared" si="7"/>
        <v>1</v>
      </c>
      <c r="J453" s="8">
        <v>41321</v>
      </c>
      <c r="K453" s="6">
        <v>24</v>
      </c>
      <c r="L453">
        <f>VLOOKUP(A453,Marketing_df2!$A$1:$F$2241,3,FALSE)</f>
        <v>38</v>
      </c>
      <c r="M453">
        <f>VLOOKUP(A453,Marketing_df2!$A$1:$F$2241,4,FALSE)</f>
        <v>47</v>
      </c>
      <c r="N453">
        <f>VLOOKUP(A453,Marketing_df2!$A$1:$F$2241,5,FALSE)</f>
        <v>8</v>
      </c>
      <c r="O453">
        <f>VLOOKUP(A453,Marketing_df2!$A$1:$F$2241,6,FALSE)</f>
        <v>7</v>
      </c>
    </row>
    <row r="454" spans="1:15" ht="12.5">
      <c r="A454" s="6">
        <v>452</v>
      </c>
      <c r="B454" s="6">
        <v>6471</v>
      </c>
      <c r="C454" s="6">
        <v>1971</v>
      </c>
      <c r="D454" s="7" t="s">
        <v>14</v>
      </c>
      <c r="E454" s="7" t="s">
        <v>10</v>
      </c>
      <c r="F454" s="6">
        <v>36230</v>
      </c>
      <c r="G454" s="6">
        <v>1</v>
      </c>
      <c r="H454" s="6">
        <v>0</v>
      </c>
      <c r="I454" s="6">
        <f t="shared" si="7"/>
        <v>1</v>
      </c>
      <c r="J454" s="9">
        <v>41564</v>
      </c>
      <c r="K454" s="6">
        <v>17</v>
      </c>
      <c r="L454">
        <f>VLOOKUP(A454,Marketing_df2!$A$1:$F$2241,3,FALSE)</f>
        <v>2</v>
      </c>
      <c r="M454">
        <f>VLOOKUP(A454,Marketing_df2!$A$1:$F$2241,4,FALSE)</f>
        <v>2</v>
      </c>
      <c r="N454">
        <f>VLOOKUP(A454,Marketing_df2!$A$1:$F$2241,5,FALSE)</f>
        <v>2</v>
      </c>
      <c r="O454">
        <f>VLOOKUP(A454,Marketing_df2!$A$1:$F$2241,6,FALSE)</f>
        <v>4</v>
      </c>
    </row>
    <row r="455" spans="1:15" ht="12.5">
      <c r="A455" s="6">
        <v>453</v>
      </c>
      <c r="B455" s="6">
        <v>6131</v>
      </c>
      <c r="C455" s="6">
        <v>1980</v>
      </c>
      <c r="D455" s="7" t="s">
        <v>17</v>
      </c>
      <c r="E455" s="7" t="s">
        <v>13</v>
      </c>
      <c r="F455" s="6">
        <v>70829</v>
      </c>
      <c r="G455" s="6">
        <v>1</v>
      </c>
      <c r="H455" s="6">
        <v>1</v>
      </c>
      <c r="I455" s="6">
        <f t="shared" si="7"/>
        <v>2</v>
      </c>
      <c r="J455" s="8">
        <v>41609</v>
      </c>
      <c r="K455" s="6">
        <v>87</v>
      </c>
      <c r="L455">
        <f>VLOOKUP(A455,Marketing_df2!$A$1:$F$2241,3,FALSE)</f>
        <v>70</v>
      </c>
      <c r="M455">
        <f>VLOOKUP(A455,Marketing_df2!$A$1:$F$2241,4,FALSE)</f>
        <v>19</v>
      </c>
      <c r="N455">
        <f>VLOOKUP(A455,Marketing_df2!$A$1:$F$2241,5,FALSE)</f>
        <v>4</v>
      </c>
      <c r="O455">
        <f>VLOOKUP(A455,Marketing_df2!$A$1:$F$2241,6,FALSE)</f>
        <v>8</v>
      </c>
    </row>
    <row r="456" spans="1:15" ht="12.5">
      <c r="A456" s="6">
        <v>454</v>
      </c>
      <c r="B456" s="6">
        <v>6233</v>
      </c>
      <c r="C456" s="6">
        <v>1976</v>
      </c>
      <c r="D456" s="7" t="s">
        <v>9</v>
      </c>
      <c r="E456" s="7" t="s">
        <v>13</v>
      </c>
      <c r="F456" s="6">
        <v>65991</v>
      </c>
      <c r="G456" s="6">
        <v>0</v>
      </c>
      <c r="H456" s="6">
        <v>1</v>
      </c>
      <c r="I456" s="6">
        <f t="shared" si="7"/>
        <v>1</v>
      </c>
      <c r="J456" s="8">
        <v>41159</v>
      </c>
      <c r="K456" s="6">
        <v>21</v>
      </c>
      <c r="L456">
        <f>VLOOKUP(A456,Marketing_df2!$A$1:$F$2241,3,FALSE)</f>
        <v>19</v>
      </c>
      <c r="M456">
        <f>VLOOKUP(A456,Marketing_df2!$A$1:$F$2241,4,FALSE)</f>
        <v>47</v>
      </c>
      <c r="N456">
        <f>VLOOKUP(A456,Marketing_df2!$A$1:$F$2241,5,FALSE)</f>
        <v>9</v>
      </c>
      <c r="O456">
        <f>VLOOKUP(A456,Marketing_df2!$A$1:$F$2241,6,FALSE)</f>
        <v>10</v>
      </c>
    </row>
    <row r="457" spans="1:15" ht="12.5">
      <c r="A457" s="6">
        <v>455</v>
      </c>
      <c r="B457" s="6">
        <v>4148</v>
      </c>
      <c r="C457" s="6">
        <v>1972</v>
      </c>
      <c r="D457" s="7" t="s">
        <v>9</v>
      </c>
      <c r="E457" s="7" t="s">
        <v>13</v>
      </c>
      <c r="F457" s="6">
        <v>38988</v>
      </c>
      <c r="G457" s="6">
        <v>1</v>
      </c>
      <c r="H457" s="6">
        <v>2</v>
      </c>
      <c r="I457" s="6">
        <f t="shared" si="7"/>
        <v>3</v>
      </c>
      <c r="J457" s="8">
        <v>41141</v>
      </c>
      <c r="K457" s="6">
        <v>90</v>
      </c>
      <c r="L457">
        <f>VLOOKUP(A457,Marketing_df2!$A$1:$F$2241,3,FALSE)</f>
        <v>24</v>
      </c>
      <c r="M457">
        <f>VLOOKUP(A457,Marketing_df2!$A$1:$F$2241,4,FALSE)</f>
        <v>3</v>
      </c>
      <c r="N457">
        <f>VLOOKUP(A457,Marketing_df2!$A$1:$F$2241,5,FALSE)</f>
        <v>5</v>
      </c>
      <c r="O457">
        <f>VLOOKUP(A457,Marketing_df2!$A$1:$F$2241,6,FALSE)</f>
        <v>6</v>
      </c>
    </row>
    <row r="458" spans="1:15" ht="12.5">
      <c r="A458" s="6">
        <v>456</v>
      </c>
      <c r="B458" s="6">
        <v>4947</v>
      </c>
      <c r="C458" s="6">
        <v>1966</v>
      </c>
      <c r="D458" s="7" t="s">
        <v>17</v>
      </c>
      <c r="E458" s="7" t="s">
        <v>10</v>
      </c>
      <c r="F458" s="6">
        <v>89572</v>
      </c>
      <c r="G458" s="6">
        <v>0</v>
      </c>
      <c r="H458" s="6">
        <v>0</v>
      </c>
      <c r="I458" s="6">
        <f t="shared" si="7"/>
        <v>0</v>
      </c>
      <c r="J458" s="8">
        <v>41167</v>
      </c>
      <c r="K458" s="6">
        <v>44</v>
      </c>
      <c r="L458">
        <f>VLOOKUP(A458,Marketing_df2!$A$1:$F$2241,3,FALSE)</f>
        <v>24</v>
      </c>
      <c r="M458">
        <f>VLOOKUP(A458,Marketing_df2!$A$1:$F$2241,4,FALSE)</f>
        <v>194</v>
      </c>
      <c r="N458">
        <f>VLOOKUP(A458,Marketing_df2!$A$1:$F$2241,5,FALSE)</f>
        <v>7</v>
      </c>
      <c r="O458">
        <f>VLOOKUP(A458,Marketing_df2!$A$1:$F$2241,6,FALSE)</f>
        <v>9</v>
      </c>
    </row>
    <row r="459" spans="1:15" ht="12.5">
      <c r="A459" s="6">
        <v>457</v>
      </c>
      <c r="B459" s="6">
        <v>3225</v>
      </c>
      <c r="C459" s="6">
        <v>1984</v>
      </c>
      <c r="D459" s="7" t="s">
        <v>14</v>
      </c>
      <c r="E459" s="7" t="s">
        <v>13</v>
      </c>
      <c r="F459" s="6">
        <v>42207</v>
      </c>
      <c r="G459" s="6">
        <v>1</v>
      </c>
      <c r="H459" s="6">
        <v>0</v>
      </c>
      <c r="I459" s="6">
        <f t="shared" si="7"/>
        <v>1</v>
      </c>
      <c r="J459" s="8">
        <v>41365</v>
      </c>
      <c r="K459" s="6">
        <v>71</v>
      </c>
      <c r="L459">
        <f>VLOOKUP(A459,Marketing_df2!$A$1:$F$2241,3,FALSE)</f>
        <v>11</v>
      </c>
      <c r="M459">
        <f>VLOOKUP(A459,Marketing_df2!$A$1:$F$2241,4,FALSE)</f>
        <v>17</v>
      </c>
      <c r="N459">
        <f>VLOOKUP(A459,Marketing_df2!$A$1:$F$2241,5,FALSE)</f>
        <v>4</v>
      </c>
      <c r="O459">
        <f>VLOOKUP(A459,Marketing_df2!$A$1:$F$2241,6,FALSE)</f>
        <v>5</v>
      </c>
    </row>
    <row r="460" spans="1:15" ht="12.5">
      <c r="A460" s="6">
        <v>458</v>
      </c>
      <c r="B460" s="6">
        <v>7540</v>
      </c>
      <c r="C460" s="6">
        <v>1952</v>
      </c>
      <c r="D460" s="7" t="s">
        <v>9</v>
      </c>
      <c r="E460" s="7" t="s">
        <v>13</v>
      </c>
      <c r="F460" s="6">
        <v>50300</v>
      </c>
      <c r="G460" s="6">
        <v>0</v>
      </c>
      <c r="H460" s="6">
        <v>1</v>
      </c>
      <c r="I460" s="6">
        <f t="shared" si="7"/>
        <v>1</v>
      </c>
      <c r="J460" s="8">
        <v>41784</v>
      </c>
      <c r="K460" s="6">
        <v>52</v>
      </c>
      <c r="L460">
        <f>VLOOKUP(A460,Marketing_df2!$A$1:$F$2241,3,FALSE)</f>
        <v>15</v>
      </c>
      <c r="M460">
        <f>VLOOKUP(A460,Marketing_df2!$A$1:$F$2241,4,FALSE)</f>
        <v>23</v>
      </c>
      <c r="N460">
        <f>VLOOKUP(A460,Marketing_df2!$A$1:$F$2241,5,FALSE)</f>
        <v>2</v>
      </c>
      <c r="O460">
        <f>VLOOKUP(A460,Marketing_df2!$A$1:$F$2241,6,FALSE)</f>
        <v>8</v>
      </c>
    </row>
    <row r="461" spans="1:15" ht="12.5">
      <c r="A461" s="6">
        <v>459</v>
      </c>
      <c r="B461" s="6">
        <v>10648</v>
      </c>
      <c r="C461" s="6">
        <v>1982</v>
      </c>
      <c r="D461" s="7" t="s">
        <v>17</v>
      </c>
      <c r="E461" s="7" t="s">
        <v>11</v>
      </c>
      <c r="F461" s="6">
        <v>66664</v>
      </c>
      <c r="G461" s="6">
        <v>0</v>
      </c>
      <c r="H461" s="6">
        <v>0</v>
      </c>
      <c r="I461" s="6">
        <f t="shared" si="7"/>
        <v>0</v>
      </c>
      <c r="J461" s="8">
        <v>41177</v>
      </c>
      <c r="K461" s="6">
        <v>78</v>
      </c>
      <c r="L461">
        <f>VLOOKUP(A461,Marketing_df2!$A$1:$F$2241,3,FALSE)</f>
        <v>96</v>
      </c>
      <c r="M461">
        <f>VLOOKUP(A461,Marketing_df2!$A$1:$F$2241,4,FALSE)</f>
        <v>96</v>
      </c>
      <c r="N461">
        <f>VLOOKUP(A461,Marketing_df2!$A$1:$F$2241,5,FALSE)</f>
        <v>5</v>
      </c>
      <c r="O461">
        <f>VLOOKUP(A461,Marketing_df2!$A$1:$F$2241,6,FALSE)</f>
        <v>6</v>
      </c>
    </row>
    <row r="462" spans="1:15" ht="12.5">
      <c r="A462" s="6">
        <v>460</v>
      </c>
      <c r="B462" s="6">
        <v>1992</v>
      </c>
      <c r="C462" s="6">
        <v>1964</v>
      </c>
      <c r="D462" s="7" t="s">
        <v>9</v>
      </c>
      <c r="E462" s="7" t="s">
        <v>13</v>
      </c>
      <c r="F462" s="6">
        <v>60597</v>
      </c>
      <c r="G462" s="6">
        <v>0</v>
      </c>
      <c r="H462" s="6">
        <v>1</v>
      </c>
      <c r="I462" s="6">
        <f t="shared" si="7"/>
        <v>1</v>
      </c>
      <c r="J462" s="8">
        <v>41640</v>
      </c>
      <c r="K462" s="6">
        <v>2</v>
      </c>
      <c r="L462">
        <f>VLOOKUP(A462,Marketing_df2!$A$1:$F$2241,3,FALSE)</f>
        <v>0</v>
      </c>
      <c r="M462">
        <f>VLOOKUP(A462,Marketing_df2!$A$1:$F$2241,4,FALSE)</f>
        <v>16</v>
      </c>
      <c r="N462">
        <f>VLOOKUP(A462,Marketing_df2!$A$1:$F$2241,5,FALSE)</f>
        <v>2</v>
      </c>
      <c r="O462">
        <f>VLOOKUP(A462,Marketing_df2!$A$1:$F$2241,6,FALSE)</f>
        <v>8</v>
      </c>
    </row>
    <row r="463" spans="1:15" ht="12.5">
      <c r="A463" s="6">
        <v>461</v>
      </c>
      <c r="B463" s="6">
        <v>7851</v>
      </c>
      <c r="C463" s="6">
        <v>1949</v>
      </c>
      <c r="D463" s="7" t="s">
        <v>9</v>
      </c>
      <c r="E463" s="7" t="s">
        <v>18</v>
      </c>
      <c r="F463" s="6">
        <v>70165</v>
      </c>
      <c r="G463" s="6">
        <v>0</v>
      </c>
      <c r="H463" s="6">
        <v>0</v>
      </c>
      <c r="I463" s="6">
        <f t="shared" si="7"/>
        <v>0</v>
      </c>
      <c r="J463" s="8">
        <v>41539</v>
      </c>
      <c r="K463" s="6">
        <v>60</v>
      </c>
      <c r="L463">
        <f>VLOOKUP(A463,Marketing_df2!$A$1:$F$2241,3,FALSE)</f>
        <v>0</v>
      </c>
      <c r="M463">
        <f>VLOOKUP(A463,Marketing_df2!$A$1:$F$2241,4,FALSE)</f>
        <v>191</v>
      </c>
      <c r="N463">
        <f>VLOOKUP(A463,Marketing_df2!$A$1:$F$2241,5,FALSE)</f>
        <v>3</v>
      </c>
      <c r="O463">
        <f>VLOOKUP(A463,Marketing_df2!$A$1:$F$2241,6,FALSE)</f>
        <v>11</v>
      </c>
    </row>
    <row r="464" spans="1:15" ht="12.5">
      <c r="A464" s="6">
        <v>462</v>
      </c>
      <c r="B464" s="6">
        <v>8594</v>
      </c>
      <c r="C464" s="6">
        <v>1958</v>
      </c>
      <c r="D464" s="7" t="s">
        <v>12</v>
      </c>
      <c r="E464" s="7" t="s">
        <v>18</v>
      </c>
      <c r="F464" s="6">
        <v>50520</v>
      </c>
      <c r="G464" s="6">
        <v>0</v>
      </c>
      <c r="H464" s="6">
        <v>1</v>
      </c>
      <c r="I464" s="6">
        <f t="shared" si="7"/>
        <v>1</v>
      </c>
      <c r="J464" s="8">
        <v>41667</v>
      </c>
      <c r="K464" s="6">
        <v>25</v>
      </c>
      <c r="L464">
        <f>VLOOKUP(A464,Marketing_df2!$A$1:$F$2241,3,FALSE)</f>
        <v>0</v>
      </c>
      <c r="M464">
        <f>VLOOKUP(A464,Marketing_df2!$A$1:$F$2241,4,FALSE)</f>
        <v>1</v>
      </c>
      <c r="N464">
        <f>VLOOKUP(A464,Marketing_df2!$A$1:$F$2241,5,FALSE)</f>
        <v>3</v>
      </c>
      <c r="O464">
        <f>VLOOKUP(A464,Marketing_df2!$A$1:$F$2241,6,FALSE)</f>
        <v>3</v>
      </c>
    </row>
    <row r="465" spans="1:15" ht="12.5">
      <c r="A465" s="6">
        <v>463</v>
      </c>
      <c r="B465" s="6">
        <v>7059</v>
      </c>
      <c r="C465" s="6">
        <v>1963</v>
      </c>
      <c r="D465" s="7" t="s">
        <v>9</v>
      </c>
      <c r="E465" s="7" t="s">
        <v>13</v>
      </c>
      <c r="F465" s="6">
        <v>80124</v>
      </c>
      <c r="G465" s="6">
        <v>0</v>
      </c>
      <c r="H465" s="6">
        <v>0</v>
      </c>
      <c r="I465" s="6">
        <f t="shared" si="7"/>
        <v>0</v>
      </c>
      <c r="J465" s="8">
        <v>41816</v>
      </c>
      <c r="K465" s="6">
        <v>47</v>
      </c>
      <c r="L465">
        <f>VLOOKUP(A465,Marketing_df2!$A$1:$F$2241,3,FALSE)</f>
        <v>84</v>
      </c>
      <c r="M465">
        <f>VLOOKUP(A465,Marketing_df2!$A$1:$F$2241,4,FALSE)</f>
        <v>84</v>
      </c>
      <c r="N465">
        <f>VLOOKUP(A465,Marketing_df2!$A$1:$F$2241,5,FALSE)</f>
        <v>3</v>
      </c>
      <c r="O465">
        <f>VLOOKUP(A465,Marketing_df2!$A$1:$F$2241,6,FALSE)</f>
        <v>8</v>
      </c>
    </row>
    <row r="466" spans="1:15" ht="12.5">
      <c r="A466" s="6">
        <v>464</v>
      </c>
      <c r="B466" s="6">
        <v>2815</v>
      </c>
      <c r="C466" s="6">
        <v>1975</v>
      </c>
      <c r="D466" s="7" t="s">
        <v>9</v>
      </c>
      <c r="E466" s="7" t="s">
        <v>13</v>
      </c>
      <c r="F466" s="6">
        <v>33183</v>
      </c>
      <c r="G466" s="6">
        <v>1</v>
      </c>
      <c r="H466" s="6">
        <v>0</v>
      </c>
      <c r="I466" s="6">
        <f t="shared" si="7"/>
        <v>1</v>
      </c>
      <c r="J466" s="8">
        <v>41694</v>
      </c>
      <c r="K466" s="6">
        <v>46</v>
      </c>
      <c r="L466">
        <f>VLOOKUP(A466,Marketing_df2!$A$1:$F$2241,3,FALSE)</f>
        <v>5</v>
      </c>
      <c r="M466">
        <f>VLOOKUP(A466,Marketing_df2!$A$1:$F$2241,4,FALSE)</f>
        <v>15</v>
      </c>
      <c r="N466">
        <f>VLOOKUP(A466,Marketing_df2!$A$1:$F$2241,5,FALSE)</f>
        <v>4</v>
      </c>
      <c r="O466">
        <f>VLOOKUP(A466,Marketing_df2!$A$1:$F$2241,6,FALSE)</f>
        <v>3</v>
      </c>
    </row>
    <row r="467" spans="1:15" ht="12.5">
      <c r="A467" s="6">
        <v>465</v>
      </c>
      <c r="B467" s="6">
        <v>2416</v>
      </c>
      <c r="C467" s="6">
        <v>1969</v>
      </c>
      <c r="D467" s="7" t="s">
        <v>12</v>
      </c>
      <c r="E467" s="7" t="s">
        <v>10</v>
      </c>
      <c r="F467" s="6">
        <v>66582</v>
      </c>
      <c r="G467" s="6">
        <v>0</v>
      </c>
      <c r="H467" s="6">
        <v>0</v>
      </c>
      <c r="I467" s="6">
        <f t="shared" si="7"/>
        <v>0</v>
      </c>
      <c r="J467" s="8">
        <v>41701</v>
      </c>
      <c r="K467" s="6">
        <v>83</v>
      </c>
      <c r="L467">
        <f>VLOOKUP(A467,Marketing_df2!$A$1:$F$2241,3,FALSE)</f>
        <v>25</v>
      </c>
      <c r="M467">
        <f>VLOOKUP(A467,Marketing_df2!$A$1:$F$2241,4,FALSE)</f>
        <v>38</v>
      </c>
      <c r="N467">
        <f>VLOOKUP(A467,Marketing_df2!$A$1:$F$2241,5,FALSE)</f>
        <v>2</v>
      </c>
      <c r="O467">
        <f>VLOOKUP(A467,Marketing_df2!$A$1:$F$2241,6,FALSE)</f>
        <v>9</v>
      </c>
    </row>
    <row r="468" spans="1:15" ht="12.5">
      <c r="A468" s="6">
        <v>466</v>
      </c>
      <c r="B468" s="6">
        <v>7999</v>
      </c>
      <c r="C468" s="6">
        <v>1955</v>
      </c>
      <c r="D468" s="7" t="s">
        <v>12</v>
      </c>
      <c r="E468" s="7" t="s">
        <v>11</v>
      </c>
      <c r="F468" s="6">
        <v>75261</v>
      </c>
      <c r="G468" s="6">
        <v>0</v>
      </c>
      <c r="H468" s="6">
        <v>0</v>
      </c>
      <c r="I468" s="6">
        <f t="shared" si="7"/>
        <v>0</v>
      </c>
      <c r="J468" s="8">
        <v>41387</v>
      </c>
      <c r="K468" s="6">
        <v>17</v>
      </c>
      <c r="L468">
        <f>VLOOKUP(A468,Marketing_df2!$A$1:$F$2241,3,FALSE)</f>
        <v>17</v>
      </c>
      <c r="M468">
        <f>VLOOKUP(A468,Marketing_df2!$A$1:$F$2241,4,FALSE)</f>
        <v>34</v>
      </c>
      <c r="N468">
        <f>VLOOKUP(A468,Marketing_df2!$A$1:$F$2241,5,FALSE)</f>
        <v>5</v>
      </c>
      <c r="O468">
        <f>VLOOKUP(A468,Marketing_df2!$A$1:$F$2241,6,FALSE)</f>
        <v>5</v>
      </c>
    </row>
    <row r="469" spans="1:15" ht="12.5">
      <c r="A469" s="6">
        <v>467</v>
      </c>
      <c r="B469" s="6">
        <v>9213</v>
      </c>
      <c r="C469" s="6">
        <v>1970</v>
      </c>
      <c r="D469" s="7" t="s">
        <v>9</v>
      </c>
      <c r="E469" s="7" t="s">
        <v>18</v>
      </c>
      <c r="F469" s="6">
        <v>31880</v>
      </c>
      <c r="G469" s="6">
        <v>1</v>
      </c>
      <c r="H469" s="6">
        <v>0</v>
      </c>
      <c r="I469" s="6">
        <f t="shared" si="7"/>
        <v>1</v>
      </c>
      <c r="J469" s="9">
        <v>41213</v>
      </c>
      <c r="K469" s="6">
        <v>13</v>
      </c>
      <c r="L469">
        <f>VLOOKUP(A469,Marketing_df2!$A$1:$F$2241,3,FALSE)</f>
        <v>1</v>
      </c>
      <c r="M469">
        <f>VLOOKUP(A469,Marketing_df2!$A$1:$F$2241,4,FALSE)</f>
        <v>0</v>
      </c>
      <c r="N469">
        <f>VLOOKUP(A469,Marketing_df2!$A$1:$F$2241,5,FALSE)</f>
        <v>1</v>
      </c>
      <c r="O469">
        <f>VLOOKUP(A469,Marketing_df2!$A$1:$F$2241,6,FALSE)</f>
        <v>2</v>
      </c>
    </row>
    <row r="470" spans="1:15" ht="12.5">
      <c r="A470" s="6">
        <v>468</v>
      </c>
      <c r="B470" s="6">
        <v>9697</v>
      </c>
      <c r="C470" s="6">
        <v>1951</v>
      </c>
      <c r="D470" s="7" t="s">
        <v>9</v>
      </c>
      <c r="E470" s="7" t="s">
        <v>13</v>
      </c>
      <c r="F470" s="6">
        <v>53790</v>
      </c>
      <c r="G470" s="6">
        <v>0</v>
      </c>
      <c r="H470" s="6">
        <v>2</v>
      </c>
      <c r="I470" s="6">
        <f t="shared" si="7"/>
        <v>2</v>
      </c>
      <c r="J470" s="8">
        <v>41704</v>
      </c>
      <c r="K470" s="6">
        <v>86</v>
      </c>
      <c r="L470">
        <f>VLOOKUP(A470,Marketing_df2!$A$1:$F$2241,3,FALSE)</f>
        <v>42</v>
      </c>
      <c r="M470">
        <f>VLOOKUP(A470,Marketing_df2!$A$1:$F$2241,4,FALSE)</f>
        <v>5</v>
      </c>
      <c r="N470">
        <f>VLOOKUP(A470,Marketing_df2!$A$1:$F$2241,5,FALSE)</f>
        <v>7</v>
      </c>
      <c r="O470">
        <f>VLOOKUP(A470,Marketing_df2!$A$1:$F$2241,6,FALSE)</f>
        <v>8</v>
      </c>
    </row>
    <row r="471" spans="1:15" ht="12.5">
      <c r="A471" s="6">
        <v>469</v>
      </c>
      <c r="B471" s="6">
        <v>3916</v>
      </c>
      <c r="C471" s="6">
        <v>1971</v>
      </c>
      <c r="D471" s="7" t="s">
        <v>12</v>
      </c>
      <c r="E471" s="7" t="s">
        <v>11</v>
      </c>
      <c r="F471" s="6">
        <v>49269</v>
      </c>
      <c r="G471" s="6">
        <v>1</v>
      </c>
      <c r="H471" s="6">
        <v>0</v>
      </c>
      <c r="I471" s="6">
        <f t="shared" si="7"/>
        <v>1</v>
      </c>
      <c r="J471" s="8">
        <v>41136</v>
      </c>
      <c r="K471" s="6">
        <v>92</v>
      </c>
      <c r="L471">
        <f>VLOOKUP(A471,Marketing_df2!$A$1:$F$2241,3,FALSE)</f>
        <v>8</v>
      </c>
      <c r="M471">
        <f>VLOOKUP(A471,Marketing_df2!$A$1:$F$2241,4,FALSE)</f>
        <v>8</v>
      </c>
      <c r="N471">
        <f>VLOOKUP(A471,Marketing_df2!$A$1:$F$2241,5,FALSE)</f>
        <v>7</v>
      </c>
      <c r="O471">
        <f>VLOOKUP(A471,Marketing_df2!$A$1:$F$2241,6,FALSE)</f>
        <v>12</v>
      </c>
    </row>
    <row r="472" spans="1:15" ht="12.5">
      <c r="A472" s="6">
        <v>470</v>
      </c>
      <c r="B472" s="6">
        <v>2021</v>
      </c>
      <c r="C472" s="6">
        <v>1975</v>
      </c>
      <c r="D472" s="7" t="s">
        <v>9</v>
      </c>
      <c r="E472" s="7" t="s">
        <v>13</v>
      </c>
      <c r="F472" s="6">
        <v>61456</v>
      </c>
      <c r="G472" s="6">
        <v>0</v>
      </c>
      <c r="H472" s="6">
        <v>1</v>
      </c>
      <c r="I472" s="6">
        <f t="shared" si="7"/>
        <v>1</v>
      </c>
      <c r="J472" s="8">
        <v>41360</v>
      </c>
      <c r="K472" s="6">
        <v>47</v>
      </c>
      <c r="L472">
        <f>VLOOKUP(A472,Marketing_df2!$A$1:$F$2241,3,FALSE)</f>
        <v>76</v>
      </c>
      <c r="M472">
        <f>VLOOKUP(A472,Marketing_df2!$A$1:$F$2241,4,FALSE)</f>
        <v>192</v>
      </c>
      <c r="N472">
        <f>VLOOKUP(A472,Marketing_df2!$A$1:$F$2241,5,FALSE)</f>
        <v>6</v>
      </c>
      <c r="O472">
        <f>VLOOKUP(A472,Marketing_df2!$A$1:$F$2241,6,FALSE)</f>
        <v>13</v>
      </c>
    </row>
    <row r="473" spans="1:15" ht="12.5">
      <c r="A473" s="6">
        <v>471</v>
      </c>
      <c r="B473" s="6">
        <v>1581</v>
      </c>
      <c r="C473" s="6">
        <v>1980</v>
      </c>
      <c r="D473" s="7" t="s">
        <v>9</v>
      </c>
      <c r="E473" s="7" t="s">
        <v>13</v>
      </c>
      <c r="F473" s="6">
        <v>37406</v>
      </c>
      <c r="G473" s="6">
        <v>1</v>
      </c>
      <c r="H473" s="6">
        <v>0</v>
      </c>
      <c r="I473" s="6">
        <f t="shared" si="7"/>
        <v>1</v>
      </c>
      <c r="J473" s="9">
        <v>41557</v>
      </c>
      <c r="K473" s="6">
        <v>18</v>
      </c>
      <c r="L473">
        <f>VLOOKUP(A473,Marketing_df2!$A$1:$F$2241,3,FALSE)</f>
        <v>0</v>
      </c>
      <c r="M473">
        <f>VLOOKUP(A473,Marketing_df2!$A$1:$F$2241,4,FALSE)</f>
        <v>2</v>
      </c>
      <c r="N473">
        <f>VLOOKUP(A473,Marketing_df2!$A$1:$F$2241,5,FALSE)</f>
        <v>1</v>
      </c>
      <c r="O473">
        <f>VLOOKUP(A473,Marketing_df2!$A$1:$F$2241,6,FALSE)</f>
        <v>2</v>
      </c>
    </row>
    <row r="474" spans="1:15" ht="12.5">
      <c r="A474" s="6">
        <v>472</v>
      </c>
      <c r="B474" s="6">
        <v>564</v>
      </c>
      <c r="C474" s="6">
        <v>1981</v>
      </c>
      <c r="D474" s="7" t="s">
        <v>12</v>
      </c>
      <c r="E474" s="7" t="s">
        <v>11</v>
      </c>
      <c r="F474" s="6">
        <v>56937</v>
      </c>
      <c r="G474" s="6">
        <v>1</v>
      </c>
      <c r="H474" s="6">
        <v>0</v>
      </c>
      <c r="I474" s="6">
        <f t="shared" si="7"/>
        <v>1</v>
      </c>
      <c r="J474" s="8">
        <v>41125</v>
      </c>
      <c r="K474" s="6">
        <v>81</v>
      </c>
      <c r="L474">
        <f>VLOOKUP(A474,Marketing_df2!$A$1:$F$2241,3,FALSE)</f>
        <v>8</v>
      </c>
      <c r="M474">
        <f>VLOOKUP(A474,Marketing_df2!$A$1:$F$2241,4,FALSE)</f>
        <v>8</v>
      </c>
      <c r="N474">
        <f>VLOOKUP(A474,Marketing_df2!$A$1:$F$2241,5,FALSE)</f>
        <v>8</v>
      </c>
      <c r="O474">
        <f>VLOOKUP(A474,Marketing_df2!$A$1:$F$2241,6,FALSE)</f>
        <v>9</v>
      </c>
    </row>
    <row r="475" spans="1:15" ht="12.5">
      <c r="A475" s="6">
        <v>473</v>
      </c>
      <c r="B475" s="6">
        <v>6619</v>
      </c>
      <c r="C475" s="6">
        <v>1978</v>
      </c>
      <c r="D475" s="7" t="s">
        <v>9</v>
      </c>
      <c r="E475" s="7" t="s">
        <v>13</v>
      </c>
      <c r="F475" s="6">
        <v>38415</v>
      </c>
      <c r="G475" s="6">
        <v>1</v>
      </c>
      <c r="H475" s="6">
        <v>1</v>
      </c>
      <c r="I475" s="6">
        <f t="shared" si="7"/>
        <v>2</v>
      </c>
      <c r="J475" s="8">
        <v>41276</v>
      </c>
      <c r="K475" s="6">
        <v>91</v>
      </c>
      <c r="L475">
        <f>VLOOKUP(A475,Marketing_df2!$A$1:$F$2241,3,FALSE)</f>
        <v>1</v>
      </c>
      <c r="M475">
        <f>VLOOKUP(A475,Marketing_df2!$A$1:$F$2241,4,FALSE)</f>
        <v>0</v>
      </c>
      <c r="N475">
        <f>VLOOKUP(A475,Marketing_df2!$A$1:$F$2241,5,FALSE)</f>
        <v>1</v>
      </c>
      <c r="O475">
        <f>VLOOKUP(A475,Marketing_df2!$A$1:$F$2241,6,FALSE)</f>
        <v>3</v>
      </c>
    </row>
    <row r="476" spans="1:15" ht="12.5">
      <c r="A476" s="6">
        <v>474</v>
      </c>
      <c r="B476" s="6">
        <v>9081</v>
      </c>
      <c r="C476" s="6">
        <v>1988</v>
      </c>
      <c r="D476" s="7" t="s">
        <v>9</v>
      </c>
      <c r="E476" s="7" t="s">
        <v>10</v>
      </c>
      <c r="F476" s="6">
        <v>20518</v>
      </c>
      <c r="G476" s="6">
        <v>1</v>
      </c>
      <c r="H476" s="6">
        <v>0</v>
      </c>
      <c r="I476" s="6">
        <f t="shared" si="7"/>
        <v>1</v>
      </c>
      <c r="J476" s="8">
        <v>41777</v>
      </c>
      <c r="K476" s="6">
        <v>58</v>
      </c>
      <c r="L476">
        <f>VLOOKUP(A476,Marketing_df2!$A$1:$F$2241,3,FALSE)</f>
        <v>1</v>
      </c>
      <c r="M476">
        <f>VLOOKUP(A476,Marketing_df2!$A$1:$F$2241,4,FALSE)</f>
        <v>1</v>
      </c>
      <c r="N476">
        <f>VLOOKUP(A476,Marketing_df2!$A$1:$F$2241,5,FALSE)</f>
        <v>1</v>
      </c>
      <c r="O476">
        <f>VLOOKUP(A476,Marketing_df2!$A$1:$F$2241,6,FALSE)</f>
        <v>2</v>
      </c>
    </row>
    <row r="477" spans="1:15" ht="12.5">
      <c r="A477" s="6">
        <v>475</v>
      </c>
      <c r="B477" s="6">
        <v>178</v>
      </c>
      <c r="C477" s="6">
        <v>1956</v>
      </c>
      <c r="D477" s="7" t="s">
        <v>9</v>
      </c>
      <c r="E477" s="7" t="s">
        <v>13</v>
      </c>
      <c r="F477" s="6">
        <v>62503</v>
      </c>
      <c r="G477" s="6">
        <v>0</v>
      </c>
      <c r="H477" s="6">
        <v>1</v>
      </c>
      <c r="I477" s="6">
        <f t="shared" si="7"/>
        <v>1</v>
      </c>
      <c r="J477" s="8">
        <v>41323</v>
      </c>
      <c r="K477" s="6">
        <v>40</v>
      </c>
      <c r="L477">
        <f>VLOOKUP(A477,Marketing_df2!$A$1:$F$2241,3,FALSE)</f>
        <v>0</v>
      </c>
      <c r="M477">
        <f>VLOOKUP(A477,Marketing_df2!$A$1:$F$2241,4,FALSE)</f>
        <v>75</v>
      </c>
      <c r="N477">
        <f>VLOOKUP(A477,Marketing_df2!$A$1:$F$2241,5,FALSE)</f>
        <v>8</v>
      </c>
      <c r="O477">
        <f>VLOOKUP(A477,Marketing_df2!$A$1:$F$2241,6,FALSE)</f>
        <v>11</v>
      </c>
    </row>
    <row r="478" spans="1:15" ht="12.5">
      <c r="A478" s="6">
        <v>476</v>
      </c>
      <c r="B478" s="6">
        <v>916</v>
      </c>
      <c r="C478" s="6">
        <v>1972</v>
      </c>
      <c r="D478" s="7" t="s">
        <v>12</v>
      </c>
      <c r="E478" s="7" t="s">
        <v>10</v>
      </c>
      <c r="F478" s="6">
        <v>41644</v>
      </c>
      <c r="G478" s="6">
        <v>1</v>
      </c>
      <c r="H478" s="6">
        <v>1</v>
      </c>
      <c r="I478" s="6">
        <f t="shared" si="7"/>
        <v>2</v>
      </c>
      <c r="J478" s="8">
        <v>41768</v>
      </c>
      <c r="K478" s="6">
        <v>67</v>
      </c>
      <c r="L478">
        <f>VLOOKUP(A478,Marketing_df2!$A$1:$F$2241,3,FALSE)</f>
        <v>3</v>
      </c>
      <c r="M478">
        <f>VLOOKUP(A478,Marketing_df2!$A$1:$F$2241,4,FALSE)</f>
        <v>0</v>
      </c>
      <c r="N478">
        <f>VLOOKUP(A478,Marketing_df2!$A$1:$F$2241,5,FALSE)</f>
        <v>1</v>
      </c>
      <c r="O478">
        <f>VLOOKUP(A478,Marketing_df2!$A$1:$F$2241,6,FALSE)</f>
        <v>3</v>
      </c>
    </row>
    <row r="479" spans="1:15" ht="12.5">
      <c r="A479" s="6">
        <v>477</v>
      </c>
      <c r="B479" s="6">
        <v>5512</v>
      </c>
      <c r="C479" s="6">
        <v>1977</v>
      </c>
      <c r="D479" s="7" t="s">
        <v>14</v>
      </c>
      <c r="E479" s="7" t="s">
        <v>13</v>
      </c>
      <c r="F479" s="6">
        <v>55842</v>
      </c>
      <c r="G479" s="6">
        <v>0</v>
      </c>
      <c r="H479" s="6">
        <v>1</v>
      </c>
      <c r="I479" s="6">
        <f t="shared" si="7"/>
        <v>1</v>
      </c>
      <c r="J479" s="8">
        <v>41782</v>
      </c>
      <c r="K479" s="6">
        <v>19</v>
      </c>
      <c r="L479">
        <f>VLOOKUP(A479,Marketing_df2!$A$1:$F$2241,3,FALSE)</f>
        <v>0</v>
      </c>
      <c r="M479">
        <f>VLOOKUP(A479,Marketing_df2!$A$1:$F$2241,4,FALSE)</f>
        <v>4</v>
      </c>
      <c r="N479">
        <f>VLOOKUP(A479,Marketing_df2!$A$1:$F$2241,5,FALSE)</f>
        <v>7</v>
      </c>
      <c r="O479">
        <f>VLOOKUP(A479,Marketing_df2!$A$1:$F$2241,6,FALSE)</f>
        <v>8</v>
      </c>
    </row>
    <row r="480" spans="1:15" ht="12.5">
      <c r="A480" s="6">
        <v>478</v>
      </c>
      <c r="B480" s="6">
        <v>8970</v>
      </c>
      <c r="C480" s="6">
        <v>1972</v>
      </c>
      <c r="D480" s="7" t="s">
        <v>12</v>
      </c>
      <c r="E480" s="7" t="s">
        <v>13</v>
      </c>
      <c r="F480" s="6">
        <v>62010</v>
      </c>
      <c r="G480" s="6">
        <v>0</v>
      </c>
      <c r="H480" s="6">
        <v>1</v>
      </c>
      <c r="I480" s="6">
        <f t="shared" si="7"/>
        <v>1</v>
      </c>
      <c r="J480" s="9">
        <v>41205</v>
      </c>
      <c r="K480" s="6">
        <v>93</v>
      </c>
      <c r="L480">
        <f>VLOOKUP(A480,Marketing_df2!$A$1:$F$2241,3,FALSE)</f>
        <v>22</v>
      </c>
      <c r="M480">
        <f>VLOOKUP(A480,Marketing_df2!$A$1:$F$2241,4,FALSE)</f>
        <v>0</v>
      </c>
      <c r="N480">
        <f>VLOOKUP(A480,Marketing_df2!$A$1:$F$2241,5,FALSE)</f>
        <v>6</v>
      </c>
      <c r="O480">
        <f>VLOOKUP(A480,Marketing_df2!$A$1:$F$2241,6,FALSE)</f>
        <v>7</v>
      </c>
    </row>
    <row r="481" spans="1:15" ht="12.5">
      <c r="A481" s="6">
        <v>479</v>
      </c>
      <c r="B481" s="6">
        <v>10581</v>
      </c>
      <c r="C481" s="6">
        <v>1977</v>
      </c>
      <c r="D481" s="7" t="s">
        <v>9</v>
      </c>
      <c r="E481" s="7" t="s">
        <v>13</v>
      </c>
      <c r="F481" s="6">
        <v>41124</v>
      </c>
      <c r="G481" s="6">
        <v>1</v>
      </c>
      <c r="H481" s="6">
        <v>0</v>
      </c>
      <c r="I481" s="6">
        <f t="shared" si="7"/>
        <v>1</v>
      </c>
      <c r="J481" s="9">
        <v>41213</v>
      </c>
      <c r="K481" s="6">
        <v>41</v>
      </c>
      <c r="L481">
        <f>VLOOKUP(A481,Marketing_df2!$A$1:$F$2241,3,FALSE)</f>
        <v>7</v>
      </c>
      <c r="M481">
        <f>VLOOKUP(A481,Marketing_df2!$A$1:$F$2241,4,FALSE)</f>
        <v>0</v>
      </c>
      <c r="N481">
        <f>VLOOKUP(A481,Marketing_df2!$A$1:$F$2241,5,FALSE)</f>
        <v>7</v>
      </c>
      <c r="O481">
        <f>VLOOKUP(A481,Marketing_df2!$A$1:$F$2241,6,FALSE)</f>
        <v>4</v>
      </c>
    </row>
    <row r="482" spans="1:15" ht="12.5">
      <c r="A482" s="6">
        <v>480</v>
      </c>
      <c r="B482" s="6">
        <v>5300</v>
      </c>
      <c r="C482" s="6">
        <v>1973</v>
      </c>
      <c r="D482" s="7" t="s">
        <v>14</v>
      </c>
      <c r="E482" s="7" t="s">
        <v>13</v>
      </c>
      <c r="F482" s="6">
        <v>38961</v>
      </c>
      <c r="G482" s="6">
        <v>1</v>
      </c>
      <c r="H482" s="6">
        <v>0</v>
      </c>
      <c r="I482" s="6">
        <f t="shared" si="7"/>
        <v>1</v>
      </c>
      <c r="J482" s="9">
        <v>41638</v>
      </c>
      <c r="K482" s="6">
        <v>60</v>
      </c>
      <c r="L482">
        <f>VLOOKUP(A482,Marketing_df2!$A$1:$F$2241,3,FALSE)</f>
        <v>7</v>
      </c>
      <c r="M482">
        <f>VLOOKUP(A482,Marketing_df2!$A$1:$F$2241,4,FALSE)</f>
        <v>1</v>
      </c>
      <c r="N482">
        <f>VLOOKUP(A482,Marketing_df2!$A$1:$F$2241,5,FALSE)</f>
        <v>2</v>
      </c>
      <c r="O482">
        <f>VLOOKUP(A482,Marketing_df2!$A$1:$F$2241,6,FALSE)</f>
        <v>2</v>
      </c>
    </row>
    <row r="483" spans="1:15" ht="12.5">
      <c r="A483" s="6">
        <v>481</v>
      </c>
      <c r="B483" s="6">
        <v>5154</v>
      </c>
      <c r="C483" s="6">
        <v>1972</v>
      </c>
      <c r="D483" s="7" t="s">
        <v>14</v>
      </c>
      <c r="E483" s="7" t="s">
        <v>15</v>
      </c>
      <c r="F483" s="6">
        <v>37760</v>
      </c>
      <c r="G483" s="6">
        <v>1</v>
      </c>
      <c r="H483" s="6">
        <v>0</v>
      </c>
      <c r="I483" s="6">
        <f t="shared" si="7"/>
        <v>1</v>
      </c>
      <c r="J483" s="8">
        <v>41497</v>
      </c>
      <c r="K483" s="6">
        <v>54</v>
      </c>
      <c r="L483">
        <f>VLOOKUP(A483,Marketing_df2!$A$1:$F$2241,3,FALSE)</f>
        <v>3</v>
      </c>
      <c r="M483">
        <f>VLOOKUP(A483,Marketing_df2!$A$1:$F$2241,4,FALSE)</f>
        <v>10</v>
      </c>
      <c r="N483">
        <f>VLOOKUP(A483,Marketing_df2!$A$1:$F$2241,5,FALSE)</f>
        <v>2</v>
      </c>
      <c r="O483">
        <f>VLOOKUP(A483,Marketing_df2!$A$1:$F$2241,6,FALSE)</f>
        <v>3</v>
      </c>
    </row>
    <row r="484" spans="1:15" ht="12.5">
      <c r="A484" s="6">
        <v>482</v>
      </c>
      <c r="B484" s="6">
        <v>8346</v>
      </c>
      <c r="C484" s="6">
        <v>1974</v>
      </c>
      <c r="D484" s="7" t="s">
        <v>9</v>
      </c>
      <c r="E484" s="7" t="s">
        <v>10</v>
      </c>
      <c r="F484" s="6">
        <v>32233</v>
      </c>
      <c r="G484" s="6">
        <v>1</v>
      </c>
      <c r="H484" s="6">
        <v>0</v>
      </c>
      <c r="I484" s="6">
        <f t="shared" si="7"/>
        <v>1</v>
      </c>
      <c r="J484" s="8">
        <v>41140</v>
      </c>
      <c r="K484" s="6">
        <v>26</v>
      </c>
      <c r="L484">
        <f>VLOOKUP(A484,Marketing_df2!$A$1:$F$2241,3,FALSE)</f>
        <v>15</v>
      </c>
      <c r="M484">
        <f>VLOOKUP(A484,Marketing_df2!$A$1:$F$2241,4,FALSE)</f>
        <v>11</v>
      </c>
      <c r="N484">
        <f>VLOOKUP(A484,Marketing_df2!$A$1:$F$2241,5,FALSE)</f>
        <v>6</v>
      </c>
      <c r="O484">
        <f>VLOOKUP(A484,Marketing_df2!$A$1:$F$2241,6,FALSE)</f>
        <v>2</v>
      </c>
    </row>
    <row r="485" spans="1:15" ht="12.5">
      <c r="A485" s="6">
        <v>483</v>
      </c>
      <c r="B485" s="6">
        <v>1676</v>
      </c>
      <c r="C485" s="6">
        <v>1975</v>
      </c>
      <c r="D485" s="7" t="s">
        <v>9</v>
      </c>
      <c r="E485" s="7" t="s">
        <v>13</v>
      </c>
      <c r="F485" s="6">
        <v>43057</v>
      </c>
      <c r="G485" s="6">
        <v>0</v>
      </c>
      <c r="H485" s="6">
        <v>1</v>
      </c>
      <c r="I485" s="6">
        <f t="shared" si="7"/>
        <v>1</v>
      </c>
      <c r="J485" s="9">
        <v>41577</v>
      </c>
      <c r="K485" s="6">
        <v>30</v>
      </c>
      <c r="L485">
        <f>VLOOKUP(A485,Marketing_df2!$A$1:$F$2241,3,FALSE)</f>
        <v>2</v>
      </c>
      <c r="M485">
        <f>VLOOKUP(A485,Marketing_df2!$A$1:$F$2241,4,FALSE)</f>
        <v>2</v>
      </c>
      <c r="N485">
        <f>VLOOKUP(A485,Marketing_df2!$A$1:$F$2241,5,FALSE)</f>
        <v>4</v>
      </c>
      <c r="O485">
        <f>VLOOKUP(A485,Marketing_df2!$A$1:$F$2241,6,FALSE)</f>
        <v>5</v>
      </c>
    </row>
    <row r="486" spans="1:15" ht="12.5">
      <c r="A486" s="6">
        <v>484</v>
      </c>
      <c r="B486" s="6">
        <v>9286</v>
      </c>
      <c r="C486" s="6">
        <v>1960</v>
      </c>
      <c r="D486" s="7" t="s">
        <v>14</v>
      </c>
      <c r="E486" s="7" t="s">
        <v>11</v>
      </c>
      <c r="F486" s="6">
        <v>83151</v>
      </c>
      <c r="G486" s="6">
        <v>0</v>
      </c>
      <c r="H486" s="6">
        <v>0</v>
      </c>
      <c r="I486" s="6">
        <f t="shared" si="7"/>
        <v>0</v>
      </c>
      <c r="J486" s="9">
        <v>41192</v>
      </c>
      <c r="K486" s="6">
        <v>93</v>
      </c>
      <c r="L486">
        <f>VLOOKUP(A486,Marketing_df2!$A$1:$F$2241,3,FALSE)</f>
        <v>28</v>
      </c>
      <c r="M486">
        <f>VLOOKUP(A486,Marketing_df2!$A$1:$F$2241,4,FALSE)</f>
        <v>74</v>
      </c>
      <c r="N486">
        <f>VLOOKUP(A486,Marketing_df2!$A$1:$F$2241,5,FALSE)</f>
        <v>5</v>
      </c>
      <c r="O486">
        <f>VLOOKUP(A486,Marketing_df2!$A$1:$F$2241,6,FALSE)</f>
        <v>4</v>
      </c>
    </row>
    <row r="487" spans="1:15" ht="12.5">
      <c r="A487" s="6">
        <v>485</v>
      </c>
      <c r="B487" s="6">
        <v>2426</v>
      </c>
      <c r="C487" s="6">
        <v>1964</v>
      </c>
      <c r="D487" s="7" t="s">
        <v>12</v>
      </c>
      <c r="E487" s="7" t="s">
        <v>15</v>
      </c>
      <c r="F487" s="6">
        <v>78825</v>
      </c>
      <c r="G487" s="6">
        <v>0</v>
      </c>
      <c r="H487" s="6">
        <v>0</v>
      </c>
      <c r="I487" s="6">
        <f t="shared" si="7"/>
        <v>0</v>
      </c>
      <c r="J487" s="8">
        <v>41166</v>
      </c>
      <c r="K487" s="6">
        <v>35</v>
      </c>
      <c r="L487">
        <f>VLOOKUP(A487,Marketing_df2!$A$1:$F$2241,3,FALSE)</f>
        <v>74</v>
      </c>
      <c r="M487">
        <f>VLOOKUP(A487,Marketing_df2!$A$1:$F$2241,4,FALSE)</f>
        <v>37</v>
      </c>
      <c r="N487">
        <f>VLOOKUP(A487,Marketing_df2!$A$1:$F$2241,5,FALSE)</f>
        <v>5</v>
      </c>
      <c r="O487">
        <f>VLOOKUP(A487,Marketing_df2!$A$1:$F$2241,6,FALSE)</f>
        <v>13</v>
      </c>
    </row>
    <row r="488" spans="1:15" ht="12.5">
      <c r="A488" s="6">
        <v>486</v>
      </c>
      <c r="B488" s="6">
        <v>5172</v>
      </c>
      <c r="C488" s="6">
        <v>1976</v>
      </c>
      <c r="D488" s="7" t="s">
        <v>14</v>
      </c>
      <c r="E488" s="7" t="s">
        <v>11</v>
      </c>
      <c r="F488" s="6">
        <v>65104</v>
      </c>
      <c r="G488" s="6">
        <v>0</v>
      </c>
      <c r="H488" s="6">
        <v>1</v>
      </c>
      <c r="I488" s="6">
        <f t="shared" si="7"/>
        <v>1</v>
      </c>
      <c r="J488" s="9">
        <v>41592</v>
      </c>
      <c r="K488" s="6">
        <v>4</v>
      </c>
      <c r="L488">
        <f>VLOOKUP(A488,Marketing_df2!$A$1:$F$2241,3,FALSE)</f>
        <v>0</v>
      </c>
      <c r="M488">
        <f>VLOOKUP(A488,Marketing_df2!$A$1:$F$2241,4,FALSE)</f>
        <v>20</v>
      </c>
      <c r="N488">
        <f>VLOOKUP(A488,Marketing_df2!$A$1:$F$2241,5,FALSE)</f>
        <v>3</v>
      </c>
      <c r="O488">
        <f>VLOOKUP(A488,Marketing_df2!$A$1:$F$2241,6,FALSE)</f>
        <v>7</v>
      </c>
    </row>
    <row r="489" spans="1:15" ht="12.5">
      <c r="A489" s="6">
        <v>487</v>
      </c>
      <c r="B489" s="6">
        <v>5562</v>
      </c>
      <c r="C489" s="6">
        <v>1974</v>
      </c>
      <c r="D489" s="7" t="s">
        <v>9</v>
      </c>
      <c r="E489" s="7" t="s">
        <v>13</v>
      </c>
      <c r="F489" s="6">
        <v>60093</v>
      </c>
      <c r="G489" s="6">
        <v>0</v>
      </c>
      <c r="H489" s="6">
        <v>1</v>
      </c>
      <c r="I489" s="6">
        <f t="shared" si="7"/>
        <v>1</v>
      </c>
      <c r="J489" s="8">
        <v>41451</v>
      </c>
      <c r="K489" s="6">
        <v>92</v>
      </c>
      <c r="L489">
        <f>VLOOKUP(A489,Marketing_df2!$A$1:$F$2241,3,FALSE)</f>
        <v>12</v>
      </c>
      <c r="M489">
        <f>VLOOKUP(A489,Marketing_df2!$A$1:$F$2241,4,FALSE)</f>
        <v>6</v>
      </c>
      <c r="N489">
        <f>VLOOKUP(A489,Marketing_df2!$A$1:$F$2241,5,FALSE)</f>
        <v>7</v>
      </c>
      <c r="O489">
        <f>VLOOKUP(A489,Marketing_df2!$A$1:$F$2241,6,FALSE)</f>
        <v>10</v>
      </c>
    </row>
    <row r="490" spans="1:15" ht="12.5">
      <c r="A490" s="6">
        <v>488</v>
      </c>
      <c r="B490" s="6">
        <v>3436</v>
      </c>
      <c r="C490" s="6">
        <v>1969</v>
      </c>
      <c r="D490" s="7" t="s">
        <v>9</v>
      </c>
      <c r="E490" s="7" t="s">
        <v>13</v>
      </c>
      <c r="F490" s="6">
        <v>14045</v>
      </c>
      <c r="G490" s="6">
        <v>1</v>
      </c>
      <c r="H490" s="6">
        <v>0</v>
      </c>
      <c r="I490" s="6">
        <f t="shared" si="7"/>
        <v>1</v>
      </c>
      <c r="J490" s="8">
        <v>41665</v>
      </c>
      <c r="K490" s="6">
        <v>24</v>
      </c>
      <c r="L490">
        <f>VLOOKUP(A490,Marketing_df2!$A$1:$F$2241,3,FALSE)</f>
        <v>0</v>
      </c>
      <c r="M490">
        <f>VLOOKUP(A490,Marketing_df2!$A$1:$F$2241,4,FALSE)</f>
        <v>1</v>
      </c>
      <c r="N490">
        <f>VLOOKUP(A490,Marketing_df2!$A$1:$F$2241,5,FALSE)</f>
        <v>1</v>
      </c>
      <c r="O490">
        <f>VLOOKUP(A490,Marketing_df2!$A$1:$F$2241,6,FALSE)</f>
        <v>3</v>
      </c>
    </row>
    <row r="491" spans="1:15" ht="12.5">
      <c r="A491" s="6">
        <v>489</v>
      </c>
      <c r="B491" s="6">
        <v>3921</v>
      </c>
      <c r="C491" s="6">
        <v>1952</v>
      </c>
      <c r="D491" s="7" t="s">
        <v>17</v>
      </c>
      <c r="E491" s="7" t="s">
        <v>18</v>
      </c>
      <c r="F491" s="6">
        <v>28457</v>
      </c>
      <c r="G491" s="6">
        <v>0</v>
      </c>
      <c r="H491" s="6">
        <v>0</v>
      </c>
      <c r="I491" s="6">
        <f t="shared" si="7"/>
        <v>0</v>
      </c>
      <c r="J491" s="9">
        <v>41210</v>
      </c>
      <c r="K491" s="6">
        <v>96</v>
      </c>
      <c r="L491">
        <f>VLOOKUP(A491,Marketing_df2!$A$1:$F$2241,3,FALSE)</f>
        <v>1</v>
      </c>
      <c r="M491">
        <f>VLOOKUP(A491,Marketing_df2!$A$1:$F$2241,4,FALSE)</f>
        <v>29</v>
      </c>
      <c r="N491">
        <f>VLOOKUP(A491,Marketing_df2!$A$1:$F$2241,5,FALSE)</f>
        <v>4</v>
      </c>
      <c r="O491">
        <f>VLOOKUP(A491,Marketing_df2!$A$1:$F$2241,6,FALSE)</f>
        <v>4</v>
      </c>
    </row>
    <row r="492" spans="1:15" ht="12.5">
      <c r="A492" s="6">
        <v>490</v>
      </c>
      <c r="B492" s="6">
        <v>3403</v>
      </c>
      <c r="C492" s="6">
        <v>1958</v>
      </c>
      <c r="D492" s="7" t="s">
        <v>12</v>
      </c>
      <c r="E492" s="7" t="s">
        <v>11</v>
      </c>
      <c r="F492" s="6">
        <v>78952</v>
      </c>
      <c r="G492" s="6">
        <v>0</v>
      </c>
      <c r="H492" s="6">
        <v>1</v>
      </c>
      <c r="I492" s="6">
        <f t="shared" si="7"/>
        <v>1</v>
      </c>
      <c r="J492" s="8">
        <v>41176</v>
      </c>
      <c r="K492" s="6">
        <v>11</v>
      </c>
      <c r="L492">
        <f>VLOOKUP(A492,Marketing_df2!$A$1:$F$2241,3,FALSE)</f>
        <v>19</v>
      </c>
      <c r="M492">
        <f>VLOOKUP(A492,Marketing_df2!$A$1:$F$2241,4,FALSE)</f>
        <v>76</v>
      </c>
      <c r="N492">
        <f>VLOOKUP(A492,Marketing_df2!$A$1:$F$2241,5,FALSE)</f>
        <v>2</v>
      </c>
      <c r="O492">
        <f>VLOOKUP(A492,Marketing_df2!$A$1:$F$2241,6,FALSE)</f>
        <v>12</v>
      </c>
    </row>
    <row r="493" spans="1:15" ht="12.5">
      <c r="A493" s="6">
        <v>491</v>
      </c>
      <c r="B493" s="6">
        <v>22</v>
      </c>
      <c r="C493" s="6">
        <v>1976</v>
      </c>
      <c r="D493" s="7" t="s">
        <v>9</v>
      </c>
      <c r="E493" s="7" t="s">
        <v>15</v>
      </c>
      <c r="F493" s="6">
        <v>46310</v>
      </c>
      <c r="G493" s="6">
        <v>1</v>
      </c>
      <c r="H493" s="6">
        <v>0</v>
      </c>
      <c r="I493" s="6">
        <f t="shared" si="7"/>
        <v>1</v>
      </c>
      <c r="J493" s="8">
        <v>41246</v>
      </c>
      <c r="K493" s="6">
        <v>99</v>
      </c>
      <c r="L493">
        <f>VLOOKUP(A493,Marketing_df2!$A$1:$F$2241,3,FALSE)</f>
        <v>2</v>
      </c>
      <c r="M493">
        <f>VLOOKUP(A493,Marketing_df2!$A$1:$F$2241,4,FALSE)</f>
        <v>5</v>
      </c>
      <c r="N493">
        <f>VLOOKUP(A493,Marketing_df2!$A$1:$F$2241,5,FALSE)</f>
        <v>6</v>
      </c>
      <c r="O493">
        <f>VLOOKUP(A493,Marketing_df2!$A$1:$F$2241,6,FALSE)</f>
        <v>5</v>
      </c>
    </row>
    <row r="494" spans="1:15" ht="12.5">
      <c r="A494" s="6">
        <v>492</v>
      </c>
      <c r="B494" s="6">
        <v>10965</v>
      </c>
      <c r="C494" s="6">
        <v>1955</v>
      </c>
      <c r="D494" s="7" t="s">
        <v>9</v>
      </c>
      <c r="E494" s="7" t="s">
        <v>11</v>
      </c>
      <c r="F494" s="6">
        <v>76005</v>
      </c>
      <c r="G494" s="6">
        <v>0</v>
      </c>
      <c r="H494" s="6">
        <v>0</v>
      </c>
      <c r="I494" s="6">
        <f t="shared" si="7"/>
        <v>0</v>
      </c>
      <c r="J494" s="8">
        <v>41327</v>
      </c>
      <c r="K494" s="6">
        <v>72</v>
      </c>
      <c r="L494">
        <f>VLOOKUP(A494,Marketing_df2!$A$1:$F$2241,3,FALSE)</f>
        <v>20</v>
      </c>
      <c r="M494">
        <f>VLOOKUP(A494,Marketing_df2!$A$1:$F$2241,4,FALSE)</f>
        <v>50</v>
      </c>
      <c r="N494">
        <f>VLOOKUP(A494,Marketing_df2!$A$1:$F$2241,5,FALSE)</f>
        <v>3</v>
      </c>
      <c r="O494">
        <f>VLOOKUP(A494,Marketing_df2!$A$1:$F$2241,6,FALSE)</f>
        <v>13</v>
      </c>
    </row>
    <row r="495" spans="1:15" ht="12.5">
      <c r="A495" s="6">
        <v>493</v>
      </c>
      <c r="B495" s="6">
        <v>9426</v>
      </c>
      <c r="C495" s="6">
        <v>1964</v>
      </c>
      <c r="D495" s="7" t="s">
        <v>14</v>
      </c>
      <c r="E495" s="7" t="s">
        <v>10</v>
      </c>
      <c r="F495" s="6">
        <v>58308</v>
      </c>
      <c r="G495" s="6">
        <v>0</v>
      </c>
      <c r="H495" s="6">
        <v>1</v>
      </c>
      <c r="I495" s="6">
        <f t="shared" si="7"/>
        <v>1</v>
      </c>
      <c r="J495" s="8">
        <v>41286</v>
      </c>
      <c r="K495" s="6">
        <v>77</v>
      </c>
      <c r="L495">
        <f>VLOOKUP(A495,Marketing_df2!$A$1:$F$2241,3,FALSE)</f>
        <v>0</v>
      </c>
      <c r="M495">
        <f>VLOOKUP(A495,Marketing_df2!$A$1:$F$2241,4,FALSE)</f>
        <v>0</v>
      </c>
      <c r="N495">
        <f>VLOOKUP(A495,Marketing_df2!$A$1:$F$2241,5,FALSE)</f>
        <v>2</v>
      </c>
      <c r="O495">
        <f>VLOOKUP(A495,Marketing_df2!$A$1:$F$2241,6,FALSE)</f>
        <v>3</v>
      </c>
    </row>
    <row r="496" spans="1:15" ht="12.5">
      <c r="A496" s="6">
        <v>494</v>
      </c>
      <c r="B496" s="6">
        <v>6605</v>
      </c>
      <c r="C496" s="6">
        <v>1944</v>
      </c>
      <c r="D496" s="7" t="s">
        <v>12</v>
      </c>
      <c r="E496" s="7" t="s">
        <v>15</v>
      </c>
      <c r="F496" s="6">
        <v>55614</v>
      </c>
      <c r="G496" s="6">
        <v>0</v>
      </c>
      <c r="H496" s="6">
        <v>0</v>
      </c>
      <c r="I496" s="6">
        <f t="shared" si="7"/>
        <v>0</v>
      </c>
      <c r="J496" s="9">
        <v>41605</v>
      </c>
      <c r="K496" s="6">
        <v>85</v>
      </c>
      <c r="L496">
        <f>VLOOKUP(A496,Marketing_df2!$A$1:$F$2241,3,FALSE)</f>
        <v>13</v>
      </c>
      <c r="M496">
        <f>VLOOKUP(A496,Marketing_df2!$A$1:$F$2241,4,FALSE)</f>
        <v>0</v>
      </c>
      <c r="N496">
        <f>VLOOKUP(A496,Marketing_df2!$A$1:$F$2241,5,FALSE)</f>
        <v>9</v>
      </c>
      <c r="O496">
        <f>VLOOKUP(A496,Marketing_df2!$A$1:$F$2241,6,FALSE)</f>
        <v>6</v>
      </c>
    </row>
    <row r="497" spans="1:15" ht="12.5">
      <c r="A497" s="6">
        <v>495</v>
      </c>
      <c r="B497" s="6">
        <v>3136</v>
      </c>
      <c r="C497" s="6">
        <v>1962</v>
      </c>
      <c r="D497" s="7" t="s">
        <v>14</v>
      </c>
      <c r="E497" s="7" t="s">
        <v>15</v>
      </c>
      <c r="F497" s="6">
        <v>59432</v>
      </c>
      <c r="G497" s="6">
        <v>0</v>
      </c>
      <c r="H497" s="6">
        <v>1</v>
      </c>
      <c r="I497" s="6">
        <f t="shared" si="7"/>
        <v>1</v>
      </c>
      <c r="J497" s="8">
        <v>41377</v>
      </c>
      <c r="K497" s="6">
        <v>88</v>
      </c>
      <c r="L497">
        <f>VLOOKUP(A497,Marketing_df2!$A$1:$F$2241,3,FALSE)</f>
        <v>25</v>
      </c>
      <c r="M497">
        <f>VLOOKUP(A497,Marketing_df2!$A$1:$F$2241,4,FALSE)</f>
        <v>19</v>
      </c>
      <c r="N497">
        <f>VLOOKUP(A497,Marketing_df2!$A$1:$F$2241,5,FALSE)</f>
        <v>5</v>
      </c>
      <c r="O497">
        <f>VLOOKUP(A497,Marketing_df2!$A$1:$F$2241,6,FALSE)</f>
        <v>11</v>
      </c>
    </row>
    <row r="498" spans="1:15" ht="12.5">
      <c r="A498" s="6">
        <v>496</v>
      </c>
      <c r="B498" s="6">
        <v>8737</v>
      </c>
      <c r="C498" s="6">
        <v>1978</v>
      </c>
      <c r="D498" s="7" t="s">
        <v>9</v>
      </c>
      <c r="E498" s="7" t="s">
        <v>15</v>
      </c>
      <c r="F498" s="6">
        <v>55563</v>
      </c>
      <c r="G498" s="6">
        <v>0</v>
      </c>
      <c r="H498" s="6">
        <v>1</v>
      </c>
      <c r="I498" s="6">
        <f t="shared" si="7"/>
        <v>1</v>
      </c>
      <c r="J498" s="8">
        <v>41734</v>
      </c>
      <c r="K498" s="6">
        <v>22</v>
      </c>
      <c r="L498">
        <f>VLOOKUP(A498,Marketing_df2!$A$1:$F$2241,3,FALSE)</f>
        <v>1</v>
      </c>
      <c r="M498">
        <f>VLOOKUP(A498,Marketing_df2!$A$1:$F$2241,4,FALSE)</f>
        <v>0</v>
      </c>
      <c r="N498">
        <f>VLOOKUP(A498,Marketing_df2!$A$1:$F$2241,5,FALSE)</f>
        <v>2</v>
      </c>
      <c r="O498">
        <f>VLOOKUP(A498,Marketing_df2!$A$1:$F$2241,6,FALSE)</f>
        <v>3</v>
      </c>
    </row>
    <row r="499" spans="1:15" ht="12.5">
      <c r="A499" s="6">
        <v>497</v>
      </c>
      <c r="B499" s="6">
        <v>11088</v>
      </c>
      <c r="C499" s="6">
        <v>1971</v>
      </c>
      <c r="D499" s="7" t="s">
        <v>12</v>
      </c>
      <c r="E499" s="7" t="s">
        <v>11</v>
      </c>
      <c r="F499" s="6">
        <v>78642</v>
      </c>
      <c r="G499" s="6">
        <v>0</v>
      </c>
      <c r="H499" s="6">
        <v>1</v>
      </c>
      <c r="I499" s="6">
        <f t="shared" si="7"/>
        <v>1</v>
      </c>
      <c r="J499" s="8">
        <v>41385</v>
      </c>
      <c r="K499" s="6">
        <v>83</v>
      </c>
      <c r="L499">
        <f>VLOOKUP(A499,Marketing_df2!$A$1:$F$2241,3,FALSE)</f>
        <v>0</v>
      </c>
      <c r="M499">
        <f>VLOOKUP(A499,Marketing_df2!$A$1:$F$2241,4,FALSE)</f>
        <v>35</v>
      </c>
      <c r="N499">
        <f>VLOOKUP(A499,Marketing_df2!$A$1:$F$2241,5,FALSE)</f>
        <v>4</v>
      </c>
      <c r="O499">
        <f>VLOOKUP(A499,Marketing_df2!$A$1:$F$2241,6,FALSE)</f>
        <v>4</v>
      </c>
    </row>
    <row r="500" spans="1:15" ht="12.5">
      <c r="A500" s="6">
        <v>498</v>
      </c>
      <c r="B500" s="6">
        <v>716</v>
      </c>
      <c r="C500" s="6">
        <v>1949</v>
      </c>
      <c r="D500" s="7" t="s">
        <v>12</v>
      </c>
      <c r="E500" s="7" t="s">
        <v>11</v>
      </c>
      <c r="F500" s="6">
        <v>67911</v>
      </c>
      <c r="G500" s="6">
        <v>0</v>
      </c>
      <c r="H500" s="6">
        <v>1</v>
      </c>
      <c r="I500" s="6">
        <f t="shared" si="7"/>
        <v>1</v>
      </c>
      <c r="J500" s="8">
        <v>41781</v>
      </c>
      <c r="K500" s="6">
        <v>63</v>
      </c>
      <c r="L500">
        <f>VLOOKUP(A500,Marketing_df2!$A$1:$F$2241,3,FALSE)</f>
        <v>0</v>
      </c>
      <c r="M500">
        <f>VLOOKUP(A500,Marketing_df2!$A$1:$F$2241,4,FALSE)</f>
        <v>28</v>
      </c>
      <c r="N500">
        <f>VLOOKUP(A500,Marketing_df2!$A$1:$F$2241,5,FALSE)</f>
        <v>6</v>
      </c>
      <c r="O500">
        <f>VLOOKUP(A500,Marketing_df2!$A$1:$F$2241,6,FALSE)</f>
        <v>11</v>
      </c>
    </row>
    <row r="501" spans="1:15" ht="12.5">
      <c r="A501" s="6">
        <v>499</v>
      </c>
      <c r="B501" s="6">
        <v>466</v>
      </c>
      <c r="C501" s="6">
        <v>1944</v>
      </c>
      <c r="D501" s="7" t="s">
        <v>9</v>
      </c>
      <c r="E501" s="7" t="s">
        <v>13</v>
      </c>
      <c r="F501" s="6">
        <v>65275</v>
      </c>
      <c r="G501" s="6">
        <v>0</v>
      </c>
      <c r="H501" s="6">
        <v>0</v>
      </c>
      <c r="I501" s="6">
        <f t="shared" si="7"/>
        <v>0</v>
      </c>
      <c r="J501" s="8">
        <v>41367</v>
      </c>
      <c r="K501" s="6">
        <v>9</v>
      </c>
      <c r="L501">
        <f>VLOOKUP(A501,Marketing_df2!$A$1:$F$2241,3,FALSE)</f>
        <v>14</v>
      </c>
      <c r="M501">
        <f>VLOOKUP(A501,Marketing_df2!$A$1:$F$2241,4,FALSE)</f>
        <v>14</v>
      </c>
      <c r="N501">
        <f>VLOOKUP(A501,Marketing_df2!$A$1:$F$2241,5,FALSE)</f>
        <v>4</v>
      </c>
      <c r="O501">
        <f>VLOOKUP(A501,Marketing_df2!$A$1:$F$2241,6,FALSE)</f>
        <v>13</v>
      </c>
    </row>
    <row r="502" spans="1:15" ht="12.5">
      <c r="A502" s="6">
        <v>500</v>
      </c>
      <c r="B502" s="6">
        <v>9135</v>
      </c>
      <c r="C502" s="6">
        <v>1950</v>
      </c>
      <c r="D502" s="7" t="s">
        <v>9</v>
      </c>
      <c r="E502" s="7" t="s">
        <v>11</v>
      </c>
      <c r="F502" s="6">
        <v>27203</v>
      </c>
      <c r="G502" s="6">
        <v>1</v>
      </c>
      <c r="H502" s="6">
        <v>1</v>
      </c>
      <c r="I502" s="6">
        <f t="shared" si="7"/>
        <v>2</v>
      </c>
      <c r="J502" s="8">
        <v>41127</v>
      </c>
      <c r="K502" s="6">
        <v>92</v>
      </c>
      <c r="L502">
        <f>VLOOKUP(A502,Marketing_df2!$A$1:$F$2241,3,FALSE)</f>
        <v>2</v>
      </c>
      <c r="M502">
        <f>VLOOKUP(A502,Marketing_df2!$A$1:$F$2241,4,FALSE)</f>
        <v>0</v>
      </c>
      <c r="N502">
        <f>VLOOKUP(A502,Marketing_df2!$A$1:$F$2241,5,FALSE)</f>
        <v>1</v>
      </c>
      <c r="O502">
        <f>VLOOKUP(A502,Marketing_df2!$A$1:$F$2241,6,FALSE)</f>
        <v>2</v>
      </c>
    </row>
    <row r="503" spans="1:15" ht="12.5">
      <c r="A503" s="6">
        <v>501</v>
      </c>
      <c r="B503" s="6">
        <v>10623</v>
      </c>
      <c r="C503" s="6">
        <v>1961</v>
      </c>
      <c r="D503" s="7" t="s">
        <v>14</v>
      </c>
      <c r="E503" s="7" t="s">
        <v>11</v>
      </c>
      <c r="F503" s="6">
        <v>48330</v>
      </c>
      <c r="G503" s="6">
        <v>0</v>
      </c>
      <c r="H503" s="6">
        <v>1</v>
      </c>
      <c r="I503" s="6">
        <f t="shared" si="7"/>
        <v>1</v>
      </c>
      <c r="J503" s="9">
        <v>41593</v>
      </c>
      <c r="K503" s="6">
        <v>2</v>
      </c>
      <c r="L503">
        <f>VLOOKUP(A503,Marketing_df2!$A$1:$F$2241,3,FALSE)</f>
        <v>0</v>
      </c>
      <c r="M503">
        <f>VLOOKUP(A503,Marketing_df2!$A$1:$F$2241,4,FALSE)</f>
        <v>0</v>
      </c>
      <c r="N503">
        <f>VLOOKUP(A503,Marketing_df2!$A$1:$F$2241,5,FALSE)</f>
        <v>1</v>
      </c>
      <c r="O503">
        <f>VLOOKUP(A503,Marketing_df2!$A$1:$F$2241,6,FALSE)</f>
        <v>3</v>
      </c>
    </row>
    <row r="504" spans="1:15" ht="12.5">
      <c r="A504" s="6">
        <v>502</v>
      </c>
      <c r="B504" s="6">
        <v>8151</v>
      </c>
      <c r="C504" s="6">
        <v>1990</v>
      </c>
      <c r="D504" s="7" t="s">
        <v>16</v>
      </c>
      <c r="E504" s="7" t="s">
        <v>13</v>
      </c>
      <c r="F504" s="6">
        <v>24279</v>
      </c>
      <c r="G504" s="6">
        <v>0</v>
      </c>
      <c r="H504" s="6">
        <v>0</v>
      </c>
      <c r="I504" s="6">
        <f t="shared" si="7"/>
        <v>0</v>
      </c>
      <c r="J504" s="9">
        <v>41272</v>
      </c>
      <c r="K504" s="6">
        <v>6</v>
      </c>
      <c r="L504">
        <f>VLOOKUP(A504,Marketing_df2!$A$1:$F$2241,3,FALSE)</f>
        <v>36</v>
      </c>
      <c r="M504">
        <f>VLOOKUP(A504,Marketing_df2!$A$1:$F$2241,4,FALSE)</f>
        <v>62</v>
      </c>
      <c r="N504">
        <f>VLOOKUP(A504,Marketing_df2!$A$1:$F$2241,5,FALSE)</f>
        <v>4</v>
      </c>
      <c r="O504">
        <f>VLOOKUP(A504,Marketing_df2!$A$1:$F$2241,6,FALSE)</f>
        <v>3</v>
      </c>
    </row>
    <row r="505" spans="1:15" ht="12.5">
      <c r="A505" s="6">
        <v>503</v>
      </c>
      <c r="B505" s="6">
        <v>5140</v>
      </c>
      <c r="C505" s="6">
        <v>1985</v>
      </c>
      <c r="D505" s="7" t="s">
        <v>12</v>
      </c>
      <c r="E505" s="7" t="s">
        <v>13</v>
      </c>
      <c r="F505" s="6">
        <v>64355</v>
      </c>
      <c r="G505" s="6">
        <v>1</v>
      </c>
      <c r="H505" s="6">
        <v>0</v>
      </c>
      <c r="I505" s="6">
        <f t="shared" si="7"/>
        <v>1</v>
      </c>
      <c r="J505" s="8">
        <v>41145</v>
      </c>
      <c r="K505" s="6">
        <v>66</v>
      </c>
      <c r="L505">
        <f>VLOOKUP(A505,Marketing_df2!$A$1:$F$2241,3,FALSE)</f>
        <v>0</v>
      </c>
      <c r="M505">
        <f>VLOOKUP(A505,Marketing_df2!$A$1:$F$2241,4,FALSE)</f>
        <v>38</v>
      </c>
      <c r="N505">
        <f>VLOOKUP(A505,Marketing_df2!$A$1:$F$2241,5,FALSE)</f>
        <v>4</v>
      </c>
      <c r="O505">
        <f>VLOOKUP(A505,Marketing_df2!$A$1:$F$2241,6,FALSE)</f>
        <v>12</v>
      </c>
    </row>
    <row r="506" spans="1:15" ht="12.5">
      <c r="A506" s="6">
        <v>504</v>
      </c>
      <c r="B506" s="6">
        <v>10160</v>
      </c>
      <c r="C506" s="6">
        <v>1956</v>
      </c>
      <c r="D506" s="7" t="s">
        <v>14</v>
      </c>
      <c r="E506" s="7" t="s">
        <v>11</v>
      </c>
      <c r="F506" s="6">
        <v>50943</v>
      </c>
      <c r="G506" s="6">
        <v>0</v>
      </c>
      <c r="H506" s="6">
        <v>1</v>
      </c>
      <c r="I506" s="6">
        <f t="shared" si="7"/>
        <v>1</v>
      </c>
      <c r="J506" s="8">
        <v>41446</v>
      </c>
      <c r="K506" s="6">
        <v>49</v>
      </c>
      <c r="L506">
        <f>VLOOKUP(A506,Marketing_df2!$A$1:$F$2241,3,FALSE)</f>
        <v>0</v>
      </c>
      <c r="M506">
        <f>VLOOKUP(A506,Marketing_df2!$A$1:$F$2241,4,FALSE)</f>
        <v>0</v>
      </c>
      <c r="N506">
        <f>VLOOKUP(A506,Marketing_df2!$A$1:$F$2241,5,FALSE)</f>
        <v>1</v>
      </c>
      <c r="O506">
        <f>VLOOKUP(A506,Marketing_df2!$A$1:$F$2241,6,FALSE)</f>
        <v>3</v>
      </c>
    </row>
    <row r="507" spans="1:15" ht="12.5">
      <c r="A507" s="6">
        <v>505</v>
      </c>
      <c r="B507" s="6">
        <v>4945</v>
      </c>
      <c r="C507" s="6">
        <v>1953</v>
      </c>
      <c r="D507" s="7" t="s">
        <v>9</v>
      </c>
      <c r="E507" s="7" t="s">
        <v>18</v>
      </c>
      <c r="F507" s="6">
        <v>53653</v>
      </c>
      <c r="G507" s="6">
        <v>0</v>
      </c>
      <c r="H507" s="6">
        <v>0</v>
      </c>
      <c r="I507" s="6">
        <f t="shared" si="7"/>
        <v>0</v>
      </c>
      <c r="J507" s="8">
        <v>41220</v>
      </c>
      <c r="K507" s="6">
        <v>29</v>
      </c>
      <c r="L507">
        <f>VLOOKUP(A507,Marketing_df2!$A$1:$F$2241,3,FALSE)</f>
        <v>10</v>
      </c>
      <c r="M507">
        <f>VLOOKUP(A507,Marketing_df2!$A$1:$F$2241,4,FALSE)</f>
        <v>10</v>
      </c>
      <c r="N507">
        <f>VLOOKUP(A507,Marketing_df2!$A$1:$F$2241,5,FALSE)</f>
        <v>10</v>
      </c>
      <c r="O507">
        <f>VLOOKUP(A507,Marketing_df2!$A$1:$F$2241,6,FALSE)</f>
        <v>12</v>
      </c>
    </row>
    <row r="508" spans="1:15" ht="12.5">
      <c r="A508" s="6">
        <v>506</v>
      </c>
      <c r="B508" s="6">
        <v>10584</v>
      </c>
      <c r="C508" s="6">
        <v>1976</v>
      </c>
      <c r="D508" s="7" t="s">
        <v>9</v>
      </c>
      <c r="E508" s="7" t="s">
        <v>13</v>
      </c>
      <c r="F508" s="6">
        <v>65665</v>
      </c>
      <c r="G508" s="6">
        <v>0</v>
      </c>
      <c r="H508" s="6">
        <v>1</v>
      </c>
      <c r="I508" s="6">
        <f t="shared" si="7"/>
        <v>1</v>
      </c>
      <c r="J508" s="8">
        <v>41610</v>
      </c>
      <c r="K508" s="6">
        <v>77</v>
      </c>
      <c r="L508">
        <f>VLOOKUP(A508,Marketing_df2!$A$1:$F$2241,3,FALSE)</f>
        <v>162</v>
      </c>
      <c r="M508">
        <f>VLOOKUP(A508,Marketing_df2!$A$1:$F$2241,4,FALSE)</f>
        <v>36</v>
      </c>
      <c r="N508">
        <f>VLOOKUP(A508,Marketing_df2!$A$1:$F$2241,5,FALSE)</f>
        <v>5</v>
      </c>
      <c r="O508">
        <f>VLOOKUP(A508,Marketing_df2!$A$1:$F$2241,6,FALSE)</f>
        <v>8</v>
      </c>
    </row>
    <row r="509" spans="1:15" ht="12.5">
      <c r="A509" s="6">
        <v>507</v>
      </c>
      <c r="B509" s="6">
        <v>6071</v>
      </c>
      <c r="C509" s="6">
        <v>1989</v>
      </c>
      <c r="D509" s="7" t="s">
        <v>9</v>
      </c>
      <c r="E509" s="7" t="s">
        <v>10</v>
      </c>
      <c r="F509" s="6">
        <v>81217</v>
      </c>
      <c r="G509" s="6">
        <v>0</v>
      </c>
      <c r="H509" s="6">
        <v>0</v>
      </c>
      <c r="I509" s="6">
        <f t="shared" si="7"/>
        <v>0</v>
      </c>
      <c r="J509" s="8">
        <v>41474</v>
      </c>
      <c r="K509" s="6">
        <v>77</v>
      </c>
      <c r="L509">
        <f>VLOOKUP(A509,Marketing_df2!$A$1:$F$2241,3,FALSE)</f>
        <v>70</v>
      </c>
      <c r="M509">
        <f>VLOOKUP(A509,Marketing_df2!$A$1:$F$2241,4,FALSE)</f>
        <v>40</v>
      </c>
      <c r="N509">
        <f>VLOOKUP(A509,Marketing_df2!$A$1:$F$2241,5,FALSE)</f>
        <v>3</v>
      </c>
      <c r="O509">
        <f>VLOOKUP(A509,Marketing_df2!$A$1:$F$2241,6,FALSE)</f>
        <v>11</v>
      </c>
    </row>
    <row r="510" spans="1:15" ht="12.5">
      <c r="A510" s="6">
        <v>508</v>
      </c>
      <c r="B510" s="6">
        <v>3386</v>
      </c>
      <c r="C510" s="6">
        <v>1992</v>
      </c>
      <c r="D510" s="7" t="s">
        <v>9</v>
      </c>
      <c r="E510" s="7" t="s">
        <v>13</v>
      </c>
      <c r="F510" s="6">
        <v>34935</v>
      </c>
      <c r="G510" s="6">
        <v>0</v>
      </c>
      <c r="H510" s="6">
        <v>0</v>
      </c>
      <c r="I510" s="6">
        <f t="shared" si="7"/>
        <v>0</v>
      </c>
      <c r="J510" s="8">
        <v>41446</v>
      </c>
      <c r="K510" s="6">
        <v>71</v>
      </c>
      <c r="L510">
        <f>VLOOKUP(A510,Marketing_df2!$A$1:$F$2241,3,FALSE)</f>
        <v>4</v>
      </c>
      <c r="M510">
        <f>VLOOKUP(A510,Marketing_df2!$A$1:$F$2241,4,FALSE)</f>
        <v>10</v>
      </c>
      <c r="N510">
        <f>VLOOKUP(A510,Marketing_df2!$A$1:$F$2241,5,FALSE)</f>
        <v>2</v>
      </c>
      <c r="O510">
        <f>VLOOKUP(A510,Marketing_df2!$A$1:$F$2241,6,FALSE)</f>
        <v>4</v>
      </c>
    </row>
    <row r="511" spans="1:15" ht="12.5">
      <c r="A511" s="6">
        <v>509</v>
      </c>
      <c r="B511" s="6">
        <v>8939</v>
      </c>
      <c r="C511" s="6">
        <v>1959</v>
      </c>
      <c r="D511" s="7" t="s">
        <v>9</v>
      </c>
      <c r="E511" s="7" t="s">
        <v>15</v>
      </c>
      <c r="F511" s="6">
        <v>61250</v>
      </c>
      <c r="G511" s="6">
        <v>0</v>
      </c>
      <c r="H511" s="6">
        <v>1</v>
      </c>
      <c r="I511" s="6">
        <f t="shared" si="7"/>
        <v>1</v>
      </c>
      <c r="J511" s="9">
        <v>41259</v>
      </c>
      <c r="K511" s="6">
        <v>49</v>
      </c>
      <c r="L511">
        <f>VLOOKUP(A511,Marketing_df2!$A$1:$F$2241,3,FALSE)</f>
        <v>138</v>
      </c>
      <c r="M511">
        <f>VLOOKUP(A511,Marketing_df2!$A$1:$F$2241,4,FALSE)</f>
        <v>26</v>
      </c>
      <c r="N511">
        <f>VLOOKUP(A511,Marketing_df2!$A$1:$F$2241,5,FALSE)</f>
        <v>5</v>
      </c>
      <c r="O511">
        <f>VLOOKUP(A511,Marketing_df2!$A$1:$F$2241,6,FALSE)</f>
        <v>12</v>
      </c>
    </row>
    <row r="512" spans="1:15" ht="12.5">
      <c r="A512" s="6">
        <v>510</v>
      </c>
      <c r="B512" s="6">
        <v>9925</v>
      </c>
      <c r="C512" s="6">
        <v>1981</v>
      </c>
      <c r="D512" s="7" t="s">
        <v>12</v>
      </c>
      <c r="E512" s="7" t="s">
        <v>11</v>
      </c>
      <c r="F512" s="6">
        <v>39665</v>
      </c>
      <c r="G512" s="6">
        <v>1</v>
      </c>
      <c r="H512" s="6">
        <v>0</v>
      </c>
      <c r="I512" s="6">
        <f t="shared" si="7"/>
        <v>1</v>
      </c>
      <c r="J512" s="8">
        <v>41419</v>
      </c>
      <c r="K512" s="6">
        <v>97</v>
      </c>
      <c r="L512">
        <f>VLOOKUP(A512,Marketing_df2!$A$1:$F$2241,3,FALSE)</f>
        <v>1</v>
      </c>
      <c r="M512">
        <f>VLOOKUP(A512,Marketing_df2!$A$1:$F$2241,4,FALSE)</f>
        <v>1</v>
      </c>
      <c r="N512">
        <f>VLOOKUP(A512,Marketing_df2!$A$1:$F$2241,5,FALSE)</f>
        <v>4</v>
      </c>
      <c r="O512">
        <f>VLOOKUP(A512,Marketing_df2!$A$1:$F$2241,6,FALSE)</f>
        <v>3</v>
      </c>
    </row>
    <row r="513" spans="1:15" ht="12.5">
      <c r="A513" s="6">
        <v>511</v>
      </c>
      <c r="B513" s="6">
        <v>4320</v>
      </c>
      <c r="C513" s="6">
        <v>1979</v>
      </c>
      <c r="D513" s="7" t="s">
        <v>9</v>
      </c>
      <c r="E513" s="7" t="s">
        <v>10</v>
      </c>
      <c r="F513" s="6">
        <v>60152</v>
      </c>
      <c r="G513" s="6">
        <v>0</v>
      </c>
      <c r="H513" s="6">
        <v>1</v>
      </c>
      <c r="I513" s="6">
        <f t="shared" si="7"/>
        <v>1</v>
      </c>
      <c r="J513" s="8">
        <v>41361</v>
      </c>
      <c r="K513" s="6">
        <v>6</v>
      </c>
      <c r="L513">
        <f>VLOOKUP(A513,Marketing_df2!$A$1:$F$2241,3,FALSE)</f>
        <v>83</v>
      </c>
      <c r="M513">
        <f>VLOOKUP(A513,Marketing_df2!$A$1:$F$2241,4,FALSE)</f>
        <v>58</v>
      </c>
      <c r="N513">
        <f>VLOOKUP(A513,Marketing_df2!$A$1:$F$2241,5,FALSE)</f>
        <v>6</v>
      </c>
      <c r="O513">
        <f>VLOOKUP(A513,Marketing_df2!$A$1:$F$2241,6,FALSE)</f>
        <v>12</v>
      </c>
    </row>
    <row r="514" spans="1:15" ht="12.5">
      <c r="A514" s="6">
        <v>512</v>
      </c>
      <c r="B514" s="6">
        <v>5389</v>
      </c>
      <c r="C514" s="6">
        <v>1964</v>
      </c>
      <c r="D514" s="7" t="s">
        <v>9</v>
      </c>
      <c r="E514" s="7" t="s">
        <v>13</v>
      </c>
      <c r="F514" s="6">
        <v>48920</v>
      </c>
      <c r="G514" s="6">
        <v>0</v>
      </c>
      <c r="H514" s="6">
        <v>2</v>
      </c>
      <c r="I514" s="6">
        <f t="shared" si="7"/>
        <v>2</v>
      </c>
      <c r="J514" s="9">
        <v>41567</v>
      </c>
      <c r="K514" s="6">
        <v>93</v>
      </c>
      <c r="L514">
        <f>VLOOKUP(A514,Marketing_df2!$A$1:$F$2241,3,FALSE)</f>
        <v>17</v>
      </c>
      <c r="M514">
        <f>VLOOKUP(A514,Marketing_df2!$A$1:$F$2241,4,FALSE)</f>
        <v>10</v>
      </c>
      <c r="N514">
        <f>VLOOKUP(A514,Marketing_df2!$A$1:$F$2241,5,FALSE)</f>
        <v>6</v>
      </c>
      <c r="O514">
        <f>VLOOKUP(A514,Marketing_df2!$A$1:$F$2241,6,FALSE)</f>
        <v>5</v>
      </c>
    </row>
    <row r="515" spans="1:15" ht="12.5">
      <c r="A515" s="6">
        <v>513</v>
      </c>
      <c r="B515" s="6">
        <v>6036</v>
      </c>
      <c r="C515" s="6">
        <v>1959</v>
      </c>
      <c r="D515" s="7" t="s">
        <v>14</v>
      </c>
      <c r="E515" s="7" t="s">
        <v>11</v>
      </c>
      <c r="F515" s="6">
        <v>89120</v>
      </c>
      <c r="G515" s="6">
        <v>0</v>
      </c>
      <c r="H515" s="6">
        <v>0</v>
      </c>
      <c r="I515" s="6">
        <f t="shared" ref="I515:I578" si="8">G515+H515</f>
        <v>0</v>
      </c>
      <c r="J515" s="8">
        <v>41715</v>
      </c>
      <c r="K515" s="6">
        <v>78</v>
      </c>
      <c r="L515">
        <f>VLOOKUP(A515,Marketing_df2!$A$1:$F$2241,3,FALSE)</f>
        <v>92</v>
      </c>
      <c r="M515">
        <f>VLOOKUP(A515,Marketing_df2!$A$1:$F$2241,4,FALSE)</f>
        <v>129</v>
      </c>
      <c r="N515">
        <f>VLOOKUP(A515,Marketing_df2!$A$1:$F$2241,5,FALSE)</f>
        <v>5</v>
      </c>
      <c r="O515">
        <f>VLOOKUP(A515,Marketing_df2!$A$1:$F$2241,6,FALSE)</f>
        <v>7</v>
      </c>
    </row>
    <row r="516" spans="1:15" ht="12.5">
      <c r="A516" s="6">
        <v>514</v>
      </c>
      <c r="B516" s="6">
        <v>182</v>
      </c>
      <c r="C516" s="6">
        <v>1946</v>
      </c>
      <c r="D516" s="7" t="s">
        <v>12</v>
      </c>
      <c r="E516" s="7" t="s">
        <v>11</v>
      </c>
      <c r="F516" s="6">
        <v>44124</v>
      </c>
      <c r="G516" s="6">
        <v>0</v>
      </c>
      <c r="H516" s="6">
        <v>1</v>
      </c>
      <c r="I516" s="6">
        <f t="shared" si="8"/>
        <v>1</v>
      </c>
      <c r="J516" s="8">
        <v>41405</v>
      </c>
      <c r="K516" s="6">
        <v>62</v>
      </c>
      <c r="L516">
        <f>VLOOKUP(A516,Marketing_df2!$A$1:$F$2241,3,FALSE)</f>
        <v>0</v>
      </c>
      <c r="M516">
        <f>VLOOKUP(A516,Marketing_df2!$A$1:$F$2241,4,FALSE)</f>
        <v>6</v>
      </c>
      <c r="N516">
        <f>VLOOKUP(A516,Marketing_df2!$A$1:$F$2241,5,FALSE)</f>
        <v>6</v>
      </c>
      <c r="O516">
        <f>VLOOKUP(A516,Marketing_df2!$A$1:$F$2241,6,FALSE)</f>
        <v>5</v>
      </c>
    </row>
    <row r="517" spans="1:15" ht="12.5">
      <c r="A517" s="6">
        <v>515</v>
      </c>
      <c r="B517" s="6">
        <v>203</v>
      </c>
      <c r="C517" s="6">
        <v>1975</v>
      </c>
      <c r="D517" s="7" t="s">
        <v>14</v>
      </c>
      <c r="E517" s="7" t="s">
        <v>10</v>
      </c>
      <c r="F517" s="6">
        <v>81169</v>
      </c>
      <c r="G517" s="6">
        <v>0</v>
      </c>
      <c r="H517" s="6">
        <v>0</v>
      </c>
      <c r="I517" s="6">
        <f t="shared" si="8"/>
        <v>0</v>
      </c>
      <c r="J517" s="8">
        <v>41378</v>
      </c>
      <c r="K517" s="6">
        <v>47</v>
      </c>
      <c r="L517">
        <f>VLOOKUP(A517,Marketing_df2!$A$1:$F$2241,3,FALSE)</f>
        <v>20</v>
      </c>
      <c r="M517">
        <f>VLOOKUP(A517,Marketing_df2!$A$1:$F$2241,4,FALSE)</f>
        <v>61</v>
      </c>
      <c r="N517">
        <f>VLOOKUP(A517,Marketing_df2!$A$1:$F$2241,5,FALSE)</f>
        <v>5</v>
      </c>
      <c r="O517">
        <f>VLOOKUP(A517,Marketing_df2!$A$1:$F$2241,6,FALSE)</f>
        <v>9</v>
      </c>
    </row>
    <row r="518" spans="1:15" ht="12.5">
      <c r="A518" s="6">
        <v>516</v>
      </c>
      <c r="B518" s="6">
        <v>11025</v>
      </c>
      <c r="C518" s="6">
        <v>1961</v>
      </c>
      <c r="D518" s="7" t="s">
        <v>9</v>
      </c>
      <c r="E518" s="7" t="s">
        <v>13</v>
      </c>
      <c r="F518" s="6">
        <v>36443</v>
      </c>
      <c r="G518" s="6">
        <v>1</v>
      </c>
      <c r="H518" s="6">
        <v>1</v>
      </c>
      <c r="I518" s="6">
        <f t="shared" si="8"/>
        <v>2</v>
      </c>
      <c r="J518" s="8">
        <v>41308</v>
      </c>
      <c r="K518" s="6">
        <v>9</v>
      </c>
      <c r="L518">
        <f>VLOOKUP(A518,Marketing_df2!$A$1:$F$2241,3,FALSE)</f>
        <v>0</v>
      </c>
      <c r="M518">
        <f>VLOOKUP(A518,Marketing_df2!$A$1:$F$2241,4,FALSE)</f>
        <v>3</v>
      </c>
      <c r="N518">
        <f>VLOOKUP(A518,Marketing_df2!$A$1:$F$2241,5,FALSE)</f>
        <v>3</v>
      </c>
      <c r="O518">
        <f>VLOOKUP(A518,Marketing_df2!$A$1:$F$2241,6,FALSE)</f>
        <v>3</v>
      </c>
    </row>
    <row r="519" spans="1:15" ht="12.5">
      <c r="A519" s="6">
        <v>517</v>
      </c>
      <c r="B519" s="6">
        <v>10203</v>
      </c>
      <c r="C519" s="6">
        <v>1990</v>
      </c>
      <c r="D519" s="7" t="s">
        <v>9</v>
      </c>
      <c r="E519" s="7" t="s">
        <v>10</v>
      </c>
      <c r="F519" s="6">
        <v>26095</v>
      </c>
      <c r="G519" s="6">
        <v>1</v>
      </c>
      <c r="H519" s="6">
        <v>0</v>
      </c>
      <c r="I519" s="6">
        <f t="shared" si="8"/>
        <v>1</v>
      </c>
      <c r="J519" s="8">
        <v>41455</v>
      </c>
      <c r="K519" s="6">
        <v>77</v>
      </c>
      <c r="L519">
        <f>VLOOKUP(A519,Marketing_df2!$A$1:$F$2241,3,FALSE)</f>
        <v>7</v>
      </c>
      <c r="M519">
        <f>VLOOKUP(A519,Marketing_df2!$A$1:$F$2241,4,FALSE)</f>
        <v>1</v>
      </c>
      <c r="N519">
        <f>VLOOKUP(A519,Marketing_df2!$A$1:$F$2241,5,FALSE)</f>
        <v>1</v>
      </c>
      <c r="O519">
        <f>VLOOKUP(A519,Marketing_df2!$A$1:$F$2241,6,FALSE)</f>
        <v>3</v>
      </c>
    </row>
    <row r="520" spans="1:15" ht="12.5">
      <c r="A520" s="6">
        <v>518</v>
      </c>
      <c r="B520" s="6">
        <v>4607</v>
      </c>
      <c r="C520" s="6">
        <v>1959</v>
      </c>
      <c r="D520" s="7" t="s">
        <v>9</v>
      </c>
      <c r="E520" s="7" t="s">
        <v>11</v>
      </c>
      <c r="F520" s="6">
        <v>71367</v>
      </c>
      <c r="G520" s="6">
        <v>0</v>
      </c>
      <c r="H520" s="6">
        <v>0</v>
      </c>
      <c r="I520" s="6">
        <f t="shared" si="8"/>
        <v>0</v>
      </c>
      <c r="J520" s="8">
        <v>41509</v>
      </c>
      <c r="K520" s="6">
        <v>24</v>
      </c>
      <c r="L520">
        <f>VLOOKUP(A520,Marketing_df2!$A$1:$F$2241,3,FALSE)</f>
        <v>23</v>
      </c>
      <c r="M520">
        <f>VLOOKUP(A520,Marketing_df2!$A$1:$F$2241,4,FALSE)</f>
        <v>21</v>
      </c>
      <c r="N520">
        <f>VLOOKUP(A520,Marketing_df2!$A$1:$F$2241,5,FALSE)</f>
        <v>4</v>
      </c>
      <c r="O520">
        <f>VLOOKUP(A520,Marketing_df2!$A$1:$F$2241,6,FALSE)</f>
        <v>7</v>
      </c>
    </row>
    <row r="521" spans="1:15" ht="12.5">
      <c r="A521" s="6">
        <v>519</v>
      </c>
      <c r="B521" s="6">
        <v>3711</v>
      </c>
      <c r="C521" s="6">
        <v>1944</v>
      </c>
      <c r="D521" s="7" t="s">
        <v>14</v>
      </c>
      <c r="E521" s="7" t="s">
        <v>13</v>
      </c>
      <c r="F521" s="6">
        <v>80184</v>
      </c>
      <c r="G521" s="6">
        <v>0</v>
      </c>
      <c r="H521" s="6">
        <v>0</v>
      </c>
      <c r="I521" s="6">
        <f t="shared" si="8"/>
        <v>0</v>
      </c>
      <c r="J521" s="8">
        <v>41699</v>
      </c>
      <c r="K521" s="6">
        <v>19</v>
      </c>
      <c r="L521">
        <f>VLOOKUP(A521,Marketing_df2!$A$1:$F$2241,3,FALSE)</f>
        <v>134</v>
      </c>
      <c r="M521">
        <f>VLOOKUP(A521,Marketing_df2!$A$1:$F$2241,4,FALSE)</f>
        <v>38</v>
      </c>
      <c r="N521">
        <f>VLOOKUP(A521,Marketing_df2!$A$1:$F$2241,5,FALSE)</f>
        <v>6</v>
      </c>
      <c r="O521">
        <f>VLOOKUP(A521,Marketing_df2!$A$1:$F$2241,6,FALSE)</f>
        <v>10</v>
      </c>
    </row>
    <row r="522" spans="1:15" ht="12.5">
      <c r="A522" s="6">
        <v>520</v>
      </c>
      <c r="B522" s="6">
        <v>3696</v>
      </c>
      <c r="C522" s="6">
        <v>1965</v>
      </c>
      <c r="D522" s="7" t="s">
        <v>9</v>
      </c>
      <c r="E522" s="7" t="s">
        <v>15</v>
      </c>
      <c r="F522" s="6">
        <v>30630</v>
      </c>
      <c r="G522" s="6">
        <v>1</v>
      </c>
      <c r="H522" s="6">
        <v>1</v>
      </c>
      <c r="I522" s="6">
        <f t="shared" si="8"/>
        <v>2</v>
      </c>
      <c r="J522" s="8">
        <v>41666</v>
      </c>
      <c r="K522" s="6">
        <v>67</v>
      </c>
      <c r="L522">
        <f>VLOOKUP(A522,Marketing_df2!$A$1:$F$2241,3,FALSE)</f>
        <v>1</v>
      </c>
      <c r="M522">
        <f>VLOOKUP(A522,Marketing_df2!$A$1:$F$2241,4,FALSE)</f>
        <v>0</v>
      </c>
      <c r="N522">
        <f>VLOOKUP(A522,Marketing_df2!$A$1:$F$2241,5,FALSE)</f>
        <v>2</v>
      </c>
      <c r="O522">
        <f>VLOOKUP(A522,Marketing_df2!$A$1:$F$2241,6,FALSE)</f>
        <v>3</v>
      </c>
    </row>
    <row r="523" spans="1:15" ht="12.5">
      <c r="A523" s="6">
        <v>521</v>
      </c>
      <c r="B523" s="6">
        <v>2532</v>
      </c>
      <c r="C523" s="6">
        <v>1987</v>
      </c>
      <c r="D523" s="7" t="s">
        <v>14</v>
      </c>
      <c r="E523" s="7" t="s">
        <v>10</v>
      </c>
      <c r="F523" s="6">
        <v>73454</v>
      </c>
      <c r="G523" s="6">
        <v>0</v>
      </c>
      <c r="H523" s="6">
        <v>0</v>
      </c>
      <c r="I523" s="6">
        <f t="shared" si="8"/>
        <v>0</v>
      </c>
      <c r="J523" s="8">
        <v>41699</v>
      </c>
      <c r="K523" s="6">
        <v>95</v>
      </c>
      <c r="L523">
        <f>VLOOKUP(A523,Marketing_df2!$A$1:$F$2241,3,FALSE)</f>
        <v>73</v>
      </c>
      <c r="M523">
        <f>VLOOKUP(A523,Marketing_df2!$A$1:$F$2241,4,FALSE)</f>
        <v>14</v>
      </c>
      <c r="N523">
        <f>VLOOKUP(A523,Marketing_df2!$A$1:$F$2241,5,FALSE)</f>
        <v>2</v>
      </c>
      <c r="O523">
        <f>VLOOKUP(A523,Marketing_df2!$A$1:$F$2241,6,FALSE)</f>
        <v>6</v>
      </c>
    </row>
    <row r="524" spans="1:15" ht="12.5">
      <c r="A524" s="6">
        <v>522</v>
      </c>
      <c r="B524" s="6">
        <v>9214</v>
      </c>
      <c r="C524" s="6">
        <v>1991</v>
      </c>
      <c r="D524" s="7" t="s">
        <v>9</v>
      </c>
      <c r="E524" s="7" t="s">
        <v>13</v>
      </c>
      <c r="F524" s="6">
        <v>42691</v>
      </c>
      <c r="G524" s="6">
        <v>0</v>
      </c>
      <c r="H524" s="6">
        <v>0</v>
      </c>
      <c r="I524" s="6">
        <f t="shared" si="8"/>
        <v>0</v>
      </c>
      <c r="J524" s="8">
        <v>41502</v>
      </c>
      <c r="K524" s="6">
        <v>48</v>
      </c>
      <c r="L524">
        <f>VLOOKUP(A524,Marketing_df2!$A$1:$F$2241,3,FALSE)</f>
        <v>2</v>
      </c>
      <c r="M524">
        <f>VLOOKUP(A524,Marketing_df2!$A$1:$F$2241,4,FALSE)</f>
        <v>17</v>
      </c>
      <c r="N524">
        <f>VLOOKUP(A524,Marketing_df2!$A$1:$F$2241,5,FALSE)</f>
        <v>5</v>
      </c>
      <c r="O524">
        <f>VLOOKUP(A524,Marketing_df2!$A$1:$F$2241,6,FALSE)</f>
        <v>6</v>
      </c>
    </row>
    <row r="525" spans="1:15" ht="12.5">
      <c r="A525" s="6">
        <v>523</v>
      </c>
      <c r="B525" s="6">
        <v>4943</v>
      </c>
      <c r="C525" s="6">
        <v>1953</v>
      </c>
      <c r="D525" s="7" t="s">
        <v>9</v>
      </c>
      <c r="E525" s="7" t="s">
        <v>13</v>
      </c>
      <c r="F525" s="6">
        <v>70503</v>
      </c>
      <c r="G525" s="6">
        <v>0</v>
      </c>
      <c r="H525" s="6">
        <v>0</v>
      </c>
      <c r="I525" s="6">
        <f t="shared" si="8"/>
        <v>0</v>
      </c>
      <c r="J525" s="8">
        <v>41182</v>
      </c>
      <c r="K525" s="6">
        <v>73</v>
      </c>
      <c r="L525">
        <f>VLOOKUP(A525,Marketing_df2!$A$1:$F$2241,3,FALSE)</f>
        <v>33</v>
      </c>
      <c r="M525">
        <f>VLOOKUP(A525,Marketing_df2!$A$1:$F$2241,4,FALSE)</f>
        <v>33</v>
      </c>
      <c r="N525">
        <f>VLOOKUP(A525,Marketing_df2!$A$1:$F$2241,5,FALSE)</f>
        <v>2</v>
      </c>
      <c r="O525">
        <f>VLOOKUP(A525,Marketing_df2!$A$1:$F$2241,6,FALSE)</f>
        <v>9</v>
      </c>
    </row>
    <row r="526" spans="1:15" ht="12.5">
      <c r="A526" s="6">
        <v>524</v>
      </c>
      <c r="B526" s="6">
        <v>35</v>
      </c>
      <c r="C526" s="6">
        <v>1987</v>
      </c>
      <c r="D526" s="7" t="s">
        <v>9</v>
      </c>
      <c r="E526" s="7" t="s">
        <v>13</v>
      </c>
      <c r="F526" s="6">
        <v>25545</v>
      </c>
      <c r="G526" s="6">
        <v>1</v>
      </c>
      <c r="H526" s="6">
        <v>0</v>
      </c>
      <c r="I526" s="6">
        <f t="shared" si="8"/>
        <v>1</v>
      </c>
      <c r="J526" s="8">
        <v>41160</v>
      </c>
      <c r="K526" s="6">
        <v>35</v>
      </c>
      <c r="L526">
        <f>VLOOKUP(A526,Marketing_df2!$A$1:$F$2241,3,FALSE)</f>
        <v>1</v>
      </c>
      <c r="M526">
        <f>VLOOKUP(A526,Marketing_df2!$A$1:$F$2241,4,FALSE)</f>
        <v>12</v>
      </c>
      <c r="N526">
        <f>VLOOKUP(A526,Marketing_df2!$A$1:$F$2241,5,FALSE)</f>
        <v>2</v>
      </c>
      <c r="O526">
        <f>VLOOKUP(A526,Marketing_df2!$A$1:$F$2241,6,FALSE)</f>
        <v>3</v>
      </c>
    </row>
    <row r="527" spans="1:15" ht="12.5">
      <c r="A527" s="6">
        <v>525</v>
      </c>
      <c r="B527" s="6">
        <v>2258</v>
      </c>
      <c r="C527" s="6">
        <v>1986</v>
      </c>
      <c r="D527" s="7" t="s">
        <v>9</v>
      </c>
      <c r="E527" s="7" t="s">
        <v>13</v>
      </c>
      <c r="F527" s="6">
        <v>32880</v>
      </c>
      <c r="G527" s="6">
        <v>1</v>
      </c>
      <c r="H527" s="6">
        <v>0</v>
      </c>
      <c r="I527" s="6">
        <f t="shared" si="8"/>
        <v>1</v>
      </c>
      <c r="J527" s="8">
        <v>41247</v>
      </c>
      <c r="K527" s="6">
        <v>76</v>
      </c>
      <c r="L527">
        <f>VLOOKUP(A527,Marketing_df2!$A$1:$F$2241,3,FALSE)</f>
        <v>4</v>
      </c>
      <c r="M527">
        <f>VLOOKUP(A527,Marketing_df2!$A$1:$F$2241,4,FALSE)</f>
        <v>6</v>
      </c>
      <c r="N527">
        <f>VLOOKUP(A527,Marketing_df2!$A$1:$F$2241,5,FALSE)</f>
        <v>1</v>
      </c>
      <c r="O527">
        <f>VLOOKUP(A527,Marketing_df2!$A$1:$F$2241,6,FALSE)</f>
        <v>3</v>
      </c>
    </row>
    <row r="528" spans="1:15" ht="12.5">
      <c r="A528" s="6">
        <v>526</v>
      </c>
      <c r="B528" s="6">
        <v>4322</v>
      </c>
      <c r="C528" s="6">
        <v>1958</v>
      </c>
      <c r="D528" s="7" t="s">
        <v>12</v>
      </c>
      <c r="E528" s="7" t="s">
        <v>11</v>
      </c>
      <c r="F528" s="6">
        <v>77863</v>
      </c>
      <c r="G528" s="6">
        <v>0</v>
      </c>
      <c r="H528" s="6">
        <v>0</v>
      </c>
      <c r="I528" s="6">
        <f t="shared" si="8"/>
        <v>0</v>
      </c>
      <c r="J528" s="9">
        <v>41605</v>
      </c>
      <c r="K528" s="6">
        <v>20</v>
      </c>
      <c r="L528">
        <f>VLOOKUP(A528,Marketing_df2!$A$1:$F$2241,3,FALSE)</f>
        <v>38</v>
      </c>
      <c r="M528">
        <f>VLOOKUP(A528,Marketing_df2!$A$1:$F$2241,4,FALSE)</f>
        <v>25</v>
      </c>
      <c r="N528">
        <f>VLOOKUP(A528,Marketing_df2!$A$1:$F$2241,5,FALSE)</f>
        <v>4</v>
      </c>
      <c r="O528">
        <f>VLOOKUP(A528,Marketing_df2!$A$1:$F$2241,6,FALSE)</f>
        <v>10</v>
      </c>
    </row>
    <row r="529" spans="1:15" ht="12.5">
      <c r="A529" s="6">
        <v>527</v>
      </c>
      <c r="B529" s="6">
        <v>713</v>
      </c>
      <c r="C529" s="6">
        <v>1977</v>
      </c>
      <c r="D529" s="7" t="s">
        <v>14</v>
      </c>
      <c r="E529" s="7" t="s">
        <v>13</v>
      </c>
      <c r="F529" s="6">
        <v>50353</v>
      </c>
      <c r="G529" s="6">
        <v>0</v>
      </c>
      <c r="H529" s="6">
        <v>0</v>
      </c>
      <c r="I529" s="6">
        <f t="shared" si="8"/>
        <v>0</v>
      </c>
      <c r="J529" s="8">
        <v>41798</v>
      </c>
      <c r="K529" s="6">
        <v>72</v>
      </c>
      <c r="L529">
        <f>VLOOKUP(A529,Marketing_df2!$A$1:$F$2241,3,FALSE)</f>
        <v>15</v>
      </c>
      <c r="M529">
        <f>VLOOKUP(A529,Marketing_df2!$A$1:$F$2241,4,FALSE)</f>
        <v>31</v>
      </c>
      <c r="N529">
        <f>VLOOKUP(A529,Marketing_df2!$A$1:$F$2241,5,FALSE)</f>
        <v>4</v>
      </c>
      <c r="O529">
        <f>VLOOKUP(A529,Marketing_df2!$A$1:$F$2241,6,FALSE)</f>
        <v>6</v>
      </c>
    </row>
    <row r="530" spans="1:15" ht="12.5">
      <c r="A530" s="6">
        <v>528</v>
      </c>
      <c r="B530" s="6">
        <v>4702</v>
      </c>
      <c r="C530" s="6">
        <v>1964</v>
      </c>
      <c r="D530" s="7" t="s">
        <v>9</v>
      </c>
      <c r="E530" s="7" t="s">
        <v>10</v>
      </c>
      <c r="F530" s="6">
        <v>61839</v>
      </c>
      <c r="G530" s="6">
        <v>0</v>
      </c>
      <c r="H530" s="6">
        <v>0</v>
      </c>
      <c r="I530" s="6">
        <f t="shared" si="8"/>
        <v>0</v>
      </c>
      <c r="J530" s="8">
        <v>41133</v>
      </c>
      <c r="K530" s="6">
        <v>20</v>
      </c>
      <c r="L530">
        <f>VLOOKUP(A530,Marketing_df2!$A$1:$F$2241,3,FALSE)</f>
        <v>155</v>
      </c>
      <c r="M530">
        <f>VLOOKUP(A530,Marketing_df2!$A$1:$F$2241,4,FALSE)</f>
        <v>17</v>
      </c>
      <c r="N530">
        <f>VLOOKUP(A530,Marketing_df2!$A$1:$F$2241,5,FALSE)</f>
        <v>4</v>
      </c>
      <c r="O530">
        <f>VLOOKUP(A530,Marketing_df2!$A$1:$F$2241,6,FALSE)</f>
        <v>4</v>
      </c>
    </row>
    <row r="531" spans="1:15" ht="12.5">
      <c r="A531" s="6">
        <v>529</v>
      </c>
      <c r="B531" s="6">
        <v>3281</v>
      </c>
      <c r="C531" s="6">
        <v>1960</v>
      </c>
      <c r="D531" s="7" t="s">
        <v>12</v>
      </c>
      <c r="E531" s="7" t="s">
        <v>13</v>
      </c>
      <c r="F531" s="6">
        <v>49154</v>
      </c>
      <c r="G531" s="6">
        <v>1</v>
      </c>
      <c r="H531" s="6">
        <v>1</v>
      </c>
      <c r="I531" s="6">
        <f t="shared" si="8"/>
        <v>2</v>
      </c>
      <c r="J531" s="8">
        <v>41581</v>
      </c>
      <c r="K531" s="6">
        <v>69</v>
      </c>
      <c r="L531">
        <f>VLOOKUP(A531,Marketing_df2!$A$1:$F$2241,3,FALSE)</f>
        <v>10</v>
      </c>
      <c r="M531">
        <f>VLOOKUP(A531,Marketing_df2!$A$1:$F$2241,4,FALSE)</f>
        <v>27</v>
      </c>
      <c r="N531">
        <f>VLOOKUP(A531,Marketing_df2!$A$1:$F$2241,5,FALSE)</f>
        <v>4</v>
      </c>
      <c r="O531">
        <f>VLOOKUP(A531,Marketing_df2!$A$1:$F$2241,6,FALSE)</f>
        <v>8</v>
      </c>
    </row>
    <row r="532" spans="1:15" ht="12.5">
      <c r="A532" s="6">
        <v>530</v>
      </c>
      <c r="B532" s="6">
        <v>702</v>
      </c>
      <c r="C532" s="6">
        <v>1975</v>
      </c>
      <c r="D532" s="7" t="s">
        <v>17</v>
      </c>
      <c r="E532" s="7" t="s">
        <v>18</v>
      </c>
      <c r="F532" s="6">
        <v>47682</v>
      </c>
      <c r="G532" s="6">
        <v>0</v>
      </c>
      <c r="H532" s="6">
        <v>1</v>
      </c>
      <c r="I532" s="6">
        <f t="shared" si="8"/>
        <v>1</v>
      </c>
      <c r="J532" s="8">
        <v>41320</v>
      </c>
      <c r="K532" s="6">
        <v>80</v>
      </c>
      <c r="L532">
        <f>VLOOKUP(A532,Marketing_df2!$A$1:$F$2241,3,FALSE)</f>
        <v>61</v>
      </c>
      <c r="M532">
        <f>VLOOKUP(A532,Marketing_df2!$A$1:$F$2241,4,FALSE)</f>
        <v>57</v>
      </c>
      <c r="N532">
        <f>VLOOKUP(A532,Marketing_df2!$A$1:$F$2241,5,FALSE)</f>
        <v>4</v>
      </c>
      <c r="O532">
        <f>VLOOKUP(A532,Marketing_df2!$A$1:$F$2241,6,FALSE)</f>
        <v>8</v>
      </c>
    </row>
    <row r="533" spans="1:15" ht="12.5">
      <c r="A533" s="6">
        <v>531</v>
      </c>
      <c r="B533" s="6">
        <v>2004</v>
      </c>
      <c r="C533" s="6">
        <v>1969</v>
      </c>
      <c r="D533" s="7" t="s">
        <v>9</v>
      </c>
      <c r="E533" s="7" t="s">
        <v>10</v>
      </c>
      <c r="F533" s="6">
        <v>72679</v>
      </c>
      <c r="G533" s="6">
        <v>0</v>
      </c>
      <c r="H533" s="6">
        <v>1</v>
      </c>
      <c r="I533" s="6">
        <f t="shared" si="8"/>
        <v>1</v>
      </c>
      <c r="J533" s="8">
        <v>41535</v>
      </c>
      <c r="K533" s="6">
        <v>65</v>
      </c>
      <c r="L533">
        <f>VLOOKUP(A533,Marketing_df2!$A$1:$F$2241,3,FALSE)</f>
        <v>54</v>
      </c>
      <c r="M533">
        <f>VLOOKUP(A533,Marketing_df2!$A$1:$F$2241,4,FALSE)</f>
        <v>54</v>
      </c>
      <c r="N533">
        <f>VLOOKUP(A533,Marketing_df2!$A$1:$F$2241,5,FALSE)</f>
        <v>4</v>
      </c>
      <c r="O533">
        <f>VLOOKUP(A533,Marketing_df2!$A$1:$F$2241,6,FALSE)</f>
        <v>5</v>
      </c>
    </row>
    <row r="534" spans="1:15" ht="12.5">
      <c r="A534" s="6">
        <v>532</v>
      </c>
      <c r="B534" s="6">
        <v>4769</v>
      </c>
      <c r="C534" s="6">
        <v>1977</v>
      </c>
      <c r="D534" s="7" t="s">
        <v>14</v>
      </c>
      <c r="E534" s="7" t="s">
        <v>11</v>
      </c>
      <c r="F534" s="6">
        <v>57954</v>
      </c>
      <c r="G534" s="6">
        <v>1</v>
      </c>
      <c r="H534" s="6">
        <v>1</v>
      </c>
      <c r="I534" s="6">
        <f t="shared" si="8"/>
        <v>2</v>
      </c>
      <c r="J534" s="8">
        <v>41808</v>
      </c>
      <c r="K534" s="6">
        <v>52</v>
      </c>
      <c r="L534">
        <f>VLOOKUP(A534,Marketing_df2!$A$1:$F$2241,3,FALSE)</f>
        <v>4</v>
      </c>
      <c r="M534">
        <f>VLOOKUP(A534,Marketing_df2!$A$1:$F$2241,4,FALSE)</f>
        <v>0</v>
      </c>
      <c r="N534">
        <f>VLOOKUP(A534,Marketing_df2!$A$1:$F$2241,5,FALSE)</f>
        <v>8</v>
      </c>
      <c r="O534">
        <f>VLOOKUP(A534,Marketing_df2!$A$1:$F$2241,6,FALSE)</f>
        <v>6</v>
      </c>
    </row>
    <row r="535" spans="1:15" ht="12.5">
      <c r="A535" s="6">
        <v>533</v>
      </c>
      <c r="B535" s="6">
        <v>4437</v>
      </c>
      <c r="C535" s="6">
        <v>1962</v>
      </c>
      <c r="D535" s="7" t="s">
        <v>9</v>
      </c>
      <c r="E535" s="7" t="s">
        <v>13</v>
      </c>
      <c r="F535" s="6">
        <v>65316</v>
      </c>
      <c r="G535" s="6">
        <v>1</v>
      </c>
      <c r="H535" s="6">
        <v>1</v>
      </c>
      <c r="I535" s="6">
        <f t="shared" si="8"/>
        <v>2</v>
      </c>
      <c r="J535" s="8">
        <v>41388</v>
      </c>
      <c r="K535" s="6">
        <v>65</v>
      </c>
      <c r="L535">
        <f>VLOOKUP(A535,Marketing_df2!$A$1:$F$2241,3,FALSE)</f>
        <v>6</v>
      </c>
      <c r="M535">
        <f>VLOOKUP(A535,Marketing_df2!$A$1:$F$2241,4,FALSE)</f>
        <v>9</v>
      </c>
      <c r="N535">
        <f>VLOOKUP(A535,Marketing_df2!$A$1:$F$2241,5,FALSE)</f>
        <v>3</v>
      </c>
      <c r="O535">
        <f>VLOOKUP(A535,Marketing_df2!$A$1:$F$2241,6,FALSE)</f>
        <v>5</v>
      </c>
    </row>
    <row r="536" spans="1:15" ht="12.5">
      <c r="A536" s="6">
        <v>534</v>
      </c>
      <c r="B536" s="6">
        <v>8724</v>
      </c>
      <c r="C536" s="6">
        <v>1982</v>
      </c>
      <c r="D536" s="7" t="s">
        <v>9</v>
      </c>
      <c r="E536" s="7" t="s">
        <v>10</v>
      </c>
      <c r="F536" s="6">
        <v>28567</v>
      </c>
      <c r="G536" s="6">
        <v>1</v>
      </c>
      <c r="H536" s="6">
        <v>0</v>
      </c>
      <c r="I536" s="6">
        <f t="shared" si="8"/>
        <v>1</v>
      </c>
      <c r="J536" s="8">
        <v>41442</v>
      </c>
      <c r="K536" s="6">
        <v>57</v>
      </c>
      <c r="L536">
        <f>VLOOKUP(A536,Marketing_df2!$A$1:$F$2241,3,FALSE)</f>
        <v>3</v>
      </c>
      <c r="M536">
        <f>VLOOKUP(A536,Marketing_df2!$A$1:$F$2241,4,FALSE)</f>
        <v>2</v>
      </c>
      <c r="N536">
        <f>VLOOKUP(A536,Marketing_df2!$A$1:$F$2241,5,FALSE)</f>
        <v>2</v>
      </c>
      <c r="O536">
        <f>VLOOKUP(A536,Marketing_df2!$A$1:$F$2241,6,FALSE)</f>
        <v>3</v>
      </c>
    </row>
    <row r="537" spans="1:15" ht="12.5">
      <c r="A537" s="6">
        <v>535</v>
      </c>
      <c r="B537" s="6">
        <v>10741</v>
      </c>
      <c r="C537" s="6">
        <v>1951</v>
      </c>
      <c r="D537" s="7" t="s">
        <v>14</v>
      </c>
      <c r="E537" s="7" t="s">
        <v>11</v>
      </c>
      <c r="F537" s="6">
        <v>47352</v>
      </c>
      <c r="G537" s="6">
        <v>0</v>
      </c>
      <c r="H537" s="6">
        <v>1</v>
      </c>
      <c r="I537" s="6">
        <f t="shared" si="8"/>
        <v>1</v>
      </c>
      <c r="J537" s="8">
        <v>41375</v>
      </c>
      <c r="K537" s="6">
        <v>70</v>
      </c>
      <c r="L537">
        <f>VLOOKUP(A537,Marketing_df2!$A$1:$F$2241,3,FALSE)</f>
        <v>12</v>
      </c>
      <c r="M537">
        <f>VLOOKUP(A537,Marketing_df2!$A$1:$F$2241,4,FALSE)</f>
        <v>0</v>
      </c>
      <c r="N537">
        <f>VLOOKUP(A537,Marketing_df2!$A$1:$F$2241,5,FALSE)</f>
        <v>6</v>
      </c>
      <c r="O537">
        <f>VLOOKUP(A537,Marketing_df2!$A$1:$F$2241,6,FALSE)</f>
        <v>5</v>
      </c>
    </row>
    <row r="538" spans="1:15" ht="12.5">
      <c r="A538" s="6">
        <v>536</v>
      </c>
      <c r="B538" s="6">
        <v>1991</v>
      </c>
      <c r="C538" s="6">
        <v>1967</v>
      </c>
      <c r="D538" s="7" t="s">
        <v>9</v>
      </c>
      <c r="E538" s="7" t="s">
        <v>11</v>
      </c>
      <c r="F538" s="6">
        <v>44931</v>
      </c>
      <c r="G538" s="6">
        <v>0</v>
      </c>
      <c r="H538" s="6">
        <v>1</v>
      </c>
      <c r="I538" s="6">
        <f t="shared" si="8"/>
        <v>1</v>
      </c>
      <c r="J538" s="8">
        <v>41657</v>
      </c>
      <c r="K538" s="6">
        <v>0</v>
      </c>
      <c r="L538">
        <f>VLOOKUP(A538,Marketing_df2!$A$1:$F$2241,3,FALSE)</f>
        <v>0</v>
      </c>
      <c r="M538">
        <f>VLOOKUP(A538,Marketing_df2!$A$1:$F$2241,4,FALSE)</f>
        <v>0</v>
      </c>
      <c r="N538">
        <f>VLOOKUP(A538,Marketing_df2!$A$1:$F$2241,5,FALSE)</f>
        <v>2</v>
      </c>
      <c r="O538">
        <f>VLOOKUP(A538,Marketing_df2!$A$1:$F$2241,6,FALSE)</f>
        <v>3</v>
      </c>
    </row>
    <row r="539" spans="1:15" ht="12.5">
      <c r="A539" s="6">
        <v>537</v>
      </c>
      <c r="B539" s="6">
        <v>6931</v>
      </c>
      <c r="C539" s="6">
        <v>1967</v>
      </c>
      <c r="D539" s="7" t="s">
        <v>9</v>
      </c>
      <c r="E539" s="7" t="s">
        <v>15</v>
      </c>
      <c r="F539" s="6">
        <v>76982</v>
      </c>
      <c r="G539" s="6">
        <v>0</v>
      </c>
      <c r="H539" s="6">
        <v>0</v>
      </c>
      <c r="I539" s="6">
        <f t="shared" si="8"/>
        <v>0</v>
      </c>
      <c r="J539" s="8">
        <v>41685</v>
      </c>
      <c r="K539" s="6">
        <v>19</v>
      </c>
      <c r="L539">
        <f>VLOOKUP(A539,Marketing_df2!$A$1:$F$2241,3,FALSE)</f>
        <v>151</v>
      </c>
      <c r="M539">
        <f>VLOOKUP(A539,Marketing_df2!$A$1:$F$2241,4,FALSE)</f>
        <v>60</v>
      </c>
      <c r="N539">
        <f>VLOOKUP(A539,Marketing_df2!$A$1:$F$2241,5,FALSE)</f>
        <v>8</v>
      </c>
      <c r="O539">
        <f>VLOOKUP(A539,Marketing_df2!$A$1:$F$2241,6,FALSE)</f>
        <v>4</v>
      </c>
    </row>
    <row r="540" spans="1:15" ht="12.5">
      <c r="A540" s="6">
        <v>538</v>
      </c>
      <c r="B540" s="6">
        <v>11096</v>
      </c>
      <c r="C540" s="6">
        <v>1952</v>
      </c>
      <c r="D540" s="7" t="s">
        <v>17</v>
      </c>
      <c r="E540" s="7" t="s">
        <v>11</v>
      </c>
      <c r="F540" s="6">
        <v>57247</v>
      </c>
      <c r="G540" s="6">
        <v>0</v>
      </c>
      <c r="H540" s="6">
        <v>1</v>
      </c>
      <c r="I540" s="6">
        <f t="shared" si="8"/>
        <v>1</v>
      </c>
      <c r="J540" s="8">
        <v>41494</v>
      </c>
      <c r="K540" s="6">
        <v>50</v>
      </c>
      <c r="L540">
        <f>VLOOKUP(A540,Marketing_df2!$A$1:$F$2241,3,FALSE)</f>
        <v>4</v>
      </c>
      <c r="M540">
        <f>VLOOKUP(A540,Marketing_df2!$A$1:$F$2241,4,FALSE)</f>
        <v>54</v>
      </c>
      <c r="N540">
        <f>VLOOKUP(A540,Marketing_df2!$A$1:$F$2241,5,FALSE)</f>
        <v>2</v>
      </c>
      <c r="O540">
        <f>VLOOKUP(A540,Marketing_df2!$A$1:$F$2241,6,FALSE)</f>
        <v>7</v>
      </c>
    </row>
    <row r="541" spans="1:15" ht="12.5">
      <c r="A541" s="6">
        <v>539</v>
      </c>
      <c r="B541" s="6">
        <v>304</v>
      </c>
      <c r="C541" s="6">
        <v>1981</v>
      </c>
      <c r="D541" s="7" t="s">
        <v>14</v>
      </c>
      <c r="E541" s="7" t="s">
        <v>10</v>
      </c>
      <c r="F541" s="6">
        <v>22944</v>
      </c>
      <c r="G541" s="6">
        <v>1</v>
      </c>
      <c r="H541" s="6">
        <v>0</v>
      </c>
      <c r="I541" s="6">
        <f t="shared" si="8"/>
        <v>1</v>
      </c>
      <c r="J541" s="9">
        <v>41631</v>
      </c>
      <c r="K541" s="6">
        <v>67</v>
      </c>
      <c r="L541">
        <f>VLOOKUP(A541,Marketing_df2!$A$1:$F$2241,3,FALSE)</f>
        <v>3</v>
      </c>
      <c r="M541">
        <f>VLOOKUP(A541,Marketing_df2!$A$1:$F$2241,4,FALSE)</f>
        <v>5</v>
      </c>
      <c r="N541">
        <f>VLOOKUP(A541,Marketing_df2!$A$1:$F$2241,5,FALSE)</f>
        <v>3</v>
      </c>
      <c r="O541">
        <f>VLOOKUP(A541,Marketing_df2!$A$1:$F$2241,6,FALSE)</f>
        <v>3</v>
      </c>
    </row>
    <row r="542" spans="1:15" ht="12.5">
      <c r="A542" s="6">
        <v>540</v>
      </c>
      <c r="B542" s="6">
        <v>3665</v>
      </c>
      <c r="C542" s="6">
        <v>1977</v>
      </c>
      <c r="D542" s="7" t="s">
        <v>17</v>
      </c>
      <c r="E542" s="7" t="s">
        <v>11</v>
      </c>
      <c r="F542" s="6">
        <v>25315</v>
      </c>
      <c r="G542" s="6">
        <v>1</v>
      </c>
      <c r="H542" s="6">
        <v>0</v>
      </c>
      <c r="I542" s="6">
        <f t="shared" si="8"/>
        <v>1</v>
      </c>
      <c r="J542" s="8">
        <v>41585</v>
      </c>
      <c r="K542" s="6">
        <v>46</v>
      </c>
      <c r="L542">
        <f>VLOOKUP(A542,Marketing_df2!$A$1:$F$2241,3,FALSE)</f>
        <v>9</v>
      </c>
      <c r="M542">
        <f>VLOOKUP(A542,Marketing_df2!$A$1:$F$2241,4,FALSE)</f>
        <v>3</v>
      </c>
      <c r="N542">
        <f>VLOOKUP(A542,Marketing_df2!$A$1:$F$2241,5,FALSE)</f>
        <v>3</v>
      </c>
      <c r="O542">
        <f>VLOOKUP(A542,Marketing_df2!$A$1:$F$2241,6,FALSE)</f>
        <v>3</v>
      </c>
    </row>
    <row r="543" spans="1:15" ht="12.5">
      <c r="A543" s="6">
        <v>541</v>
      </c>
      <c r="B543" s="6">
        <v>10591</v>
      </c>
      <c r="C543" s="6">
        <v>1969</v>
      </c>
      <c r="D543" s="7" t="s">
        <v>9</v>
      </c>
      <c r="E543" s="7" t="s">
        <v>18</v>
      </c>
      <c r="F543" s="6">
        <v>43638</v>
      </c>
      <c r="G543" s="6">
        <v>0</v>
      </c>
      <c r="H543" s="6">
        <v>1</v>
      </c>
      <c r="I543" s="6">
        <f t="shared" si="8"/>
        <v>1</v>
      </c>
      <c r="J543" s="8">
        <v>41127</v>
      </c>
      <c r="K543" s="6">
        <v>37</v>
      </c>
      <c r="L543">
        <f>VLOOKUP(A543,Marketing_df2!$A$1:$F$2241,3,FALSE)</f>
        <v>10</v>
      </c>
      <c r="M543">
        <f>VLOOKUP(A543,Marketing_df2!$A$1:$F$2241,4,FALSE)</f>
        <v>19</v>
      </c>
      <c r="N543">
        <f>VLOOKUP(A543,Marketing_df2!$A$1:$F$2241,5,FALSE)</f>
        <v>4</v>
      </c>
      <c r="O543">
        <f>VLOOKUP(A543,Marketing_df2!$A$1:$F$2241,6,FALSE)</f>
        <v>4</v>
      </c>
    </row>
    <row r="544" spans="1:15" ht="12.5">
      <c r="A544" s="6">
        <v>542</v>
      </c>
      <c r="B544" s="6">
        <v>5036</v>
      </c>
      <c r="C544" s="6">
        <v>1984</v>
      </c>
      <c r="D544" s="7" t="s">
        <v>12</v>
      </c>
      <c r="E544" s="7" t="s">
        <v>10</v>
      </c>
      <c r="F544" s="6">
        <v>42710</v>
      </c>
      <c r="G544" s="6">
        <v>1</v>
      </c>
      <c r="H544" s="6">
        <v>0</v>
      </c>
      <c r="I544" s="6">
        <f t="shared" si="8"/>
        <v>1</v>
      </c>
      <c r="J544" s="9">
        <v>41241</v>
      </c>
      <c r="K544" s="6">
        <v>38</v>
      </c>
      <c r="L544">
        <f>VLOOKUP(A544,Marketing_df2!$A$1:$F$2241,3,FALSE)</f>
        <v>3</v>
      </c>
      <c r="M544">
        <f>VLOOKUP(A544,Marketing_df2!$A$1:$F$2241,4,FALSE)</f>
        <v>3</v>
      </c>
      <c r="N544">
        <f>VLOOKUP(A544,Marketing_df2!$A$1:$F$2241,5,FALSE)</f>
        <v>4</v>
      </c>
      <c r="O544">
        <f>VLOOKUP(A544,Marketing_df2!$A$1:$F$2241,6,FALSE)</f>
        <v>3</v>
      </c>
    </row>
    <row r="545" spans="1:15" ht="12.5">
      <c r="A545" s="6">
        <v>543</v>
      </c>
      <c r="B545" s="6">
        <v>5547</v>
      </c>
      <c r="C545" s="6">
        <v>1982</v>
      </c>
      <c r="D545" s="7" t="s">
        <v>12</v>
      </c>
      <c r="E545" s="7" t="s">
        <v>13</v>
      </c>
      <c r="F545" s="6">
        <v>84169</v>
      </c>
      <c r="G545" s="6">
        <v>0</v>
      </c>
      <c r="H545" s="6">
        <v>0</v>
      </c>
      <c r="I545" s="6">
        <f t="shared" si="8"/>
        <v>0</v>
      </c>
      <c r="J545" s="8">
        <v>41493</v>
      </c>
      <c r="K545" s="6">
        <v>9</v>
      </c>
      <c r="L545">
        <f>VLOOKUP(A545,Marketing_df2!$A$1:$F$2241,3,FALSE)</f>
        <v>19</v>
      </c>
      <c r="M545">
        <f>VLOOKUP(A545,Marketing_df2!$A$1:$F$2241,4,FALSE)</f>
        <v>19</v>
      </c>
      <c r="N545">
        <f>VLOOKUP(A545,Marketing_df2!$A$1:$F$2241,5,FALSE)</f>
        <v>7</v>
      </c>
      <c r="O545">
        <f>VLOOKUP(A545,Marketing_df2!$A$1:$F$2241,6,FALSE)</f>
        <v>6</v>
      </c>
    </row>
    <row r="546" spans="1:15" ht="12.5">
      <c r="A546" s="6">
        <v>544</v>
      </c>
      <c r="B546" s="6">
        <v>7822</v>
      </c>
      <c r="C546" s="6">
        <v>1976</v>
      </c>
      <c r="D546" s="7" t="s">
        <v>9</v>
      </c>
      <c r="E546" s="7" t="s">
        <v>11</v>
      </c>
      <c r="F546" s="6">
        <v>54058</v>
      </c>
      <c r="G546" s="6">
        <v>0</v>
      </c>
      <c r="H546" s="6">
        <v>1</v>
      </c>
      <c r="I546" s="6">
        <f t="shared" si="8"/>
        <v>1</v>
      </c>
      <c r="J546" s="8">
        <v>41429</v>
      </c>
      <c r="K546" s="6">
        <v>56</v>
      </c>
      <c r="L546">
        <f>VLOOKUP(A546,Marketing_df2!$A$1:$F$2241,3,FALSE)</f>
        <v>18</v>
      </c>
      <c r="M546">
        <f>VLOOKUP(A546,Marketing_df2!$A$1:$F$2241,4,FALSE)</f>
        <v>108</v>
      </c>
      <c r="N546">
        <f>VLOOKUP(A546,Marketing_df2!$A$1:$F$2241,5,FALSE)</f>
        <v>4</v>
      </c>
      <c r="O546">
        <f>VLOOKUP(A546,Marketing_df2!$A$1:$F$2241,6,FALSE)</f>
        <v>8</v>
      </c>
    </row>
    <row r="547" spans="1:15" ht="12.5">
      <c r="A547" s="6">
        <v>545</v>
      </c>
      <c r="B547" s="6">
        <v>8541</v>
      </c>
      <c r="C547" s="6">
        <v>1990</v>
      </c>
      <c r="D547" s="7" t="s">
        <v>17</v>
      </c>
      <c r="E547" s="7" t="s">
        <v>13</v>
      </c>
      <c r="F547" s="6">
        <v>24683</v>
      </c>
      <c r="G547" s="6">
        <v>1</v>
      </c>
      <c r="H547" s="6">
        <v>0</v>
      </c>
      <c r="I547" s="6">
        <f t="shared" si="8"/>
        <v>1</v>
      </c>
      <c r="J547" s="8">
        <v>41706</v>
      </c>
      <c r="K547" s="6">
        <v>98</v>
      </c>
      <c r="L547">
        <f>VLOOKUP(A547,Marketing_df2!$A$1:$F$2241,3,FALSE)</f>
        <v>4</v>
      </c>
      <c r="M547">
        <f>VLOOKUP(A547,Marketing_df2!$A$1:$F$2241,4,FALSE)</f>
        <v>7</v>
      </c>
      <c r="N547">
        <f>VLOOKUP(A547,Marketing_df2!$A$1:$F$2241,5,FALSE)</f>
        <v>2</v>
      </c>
      <c r="O547">
        <f>VLOOKUP(A547,Marketing_df2!$A$1:$F$2241,6,FALSE)</f>
        <v>4</v>
      </c>
    </row>
    <row r="548" spans="1:15" ht="12.5">
      <c r="A548" s="6">
        <v>546</v>
      </c>
      <c r="B548" s="6">
        <v>10955</v>
      </c>
      <c r="C548" s="6">
        <v>1964</v>
      </c>
      <c r="D548" s="7" t="s">
        <v>9</v>
      </c>
      <c r="E548" s="7" t="s">
        <v>18</v>
      </c>
      <c r="F548" s="6">
        <v>85620</v>
      </c>
      <c r="G548" s="6">
        <v>0</v>
      </c>
      <c r="H548" s="6">
        <v>0</v>
      </c>
      <c r="I548" s="6">
        <f t="shared" si="8"/>
        <v>0</v>
      </c>
      <c r="J548" s="8">
        <v>41646</v>
      </c>
      <c r="K548" s="6">
        <v>68</v>
      </c>
      <c r="L548">
        <f>VLOOKUP(A548,Marketing_df2!$A$1:$F$2241,3,FALSE)</f>
        <v>46</v>
      </c>
      <c r="M548">
        <f>VLOOKUP(A548,Marketing_df2!$A$1:$F$2241,4,FALSE)</f>
        <v>107</v>
      </c>
      <c r="N548">
        <f>VLOOKUP(A548,Marketing_df2!$A$1:$F$2241,5,FALSE)</f>
        <v>3</v>
      </c>
      <c r="O548">
        <f>VLOOKUP(A548,Marketing_df2!$A$1:$F$2241,6,FALSE)</f>
        <v>4</v>
      </c>
    </row>
    <row r="549" spans="1:15" ht="12.5">
      <c r="A549" s="6">
        <v>547</v>
      </c>
      <c r="B549" s="6">
        <v>4368</v>
      </c>
      <c r="C549" s="6">
        <v>1980</v>
      </c>
      <c r="D549" s="7" t="s">
        <v>9</v>
      </c>
      <c r="E549" s="7" t="s">
        <v>13</v>
      </c>
      <c r="F549" s="6">
        <v>47850</v>
      </c>
      <c r="G549" s="6">
        <v>1</v>
      </c>
      <c r="H549" s="6">
        <v>0</v>
      </c>
      <c r="I549" s="6">
        <f t="shared" si="8"/>
        <v>1</v>
      </c>
      <c r="J549" s="8">
        <v>41611</v>
      </c>
      <c r="K549" s="6">
        <v>72</v>
      </c>
      <c r="L549">
        <f>VLOOKUP(A549,Marketing_df2!$A$1:$F$2241,3,FALSE)</f>
        <v>7</v>
      </c>
      <c r="M549">
        <f>VLOOKUP(A549,Marketing_df2!$A$1:$F$2241,4,FALSE)</f>
        <v>12</v>
      </c>
      <c r="N549">
        <f>VLOOKUP(A549,Marketing_df2!$A$1:$F$2241,5,FALSE)</f>
        <v>3</v>
      </c>
      <c r="O549">
        <f>VLOOKUP(A549,Marketing_df2!$A$1:$F$2241,6,FALSE)</f>
        <v>4</v>
      </c>
    </row>
    <row r="550" spans="1:15" ht="12.5">
      <c r="A550" s="6">
        <v>548</v>
      </c>
      <c r="B550" s="6">
        <v>9671</v>
      </c>
      <c r="C550" s="6">
        <v>1968</v>
      </c>
      <c r="D550" s="7" t="s">
        <v>9</v>
      </c>
      <c r="E550" s="7" t="s">
        <v>13</v>
      </c>
      <c r="F550" s="6">
        <v>19514</v>
      </c>
      <c r="G550" s="6">
        <v>1</v>
      </c>
      <c r="H550" s="6">
        <v>1</v>
      </c>
      <c r="I550" s="6">
        <f t="shared" si="8"/>
        <v>2</v>
      </c>
      <c r="J550" s="8">
        <v>41665</v>
      </c>
      <c r="K550" s="6">
        <v>47</v>
      </c>
      <c r="L550">
        <f>VLOOKUP(A550,Marketing_df2!$A$1:$F$2241,3,FALSE)</f>
        <v>3</v>
      </c>
      <c r="M550">
        <f>VLOOKUP(A550,Marketing_df2!$A$1:$F$2241,4,FALSE)</f>
        <v>1</v>
      </c>
      <c r="N550">
        <f>VLOOKUP(A550,Marketing_df2!$A$1:$F$2241,5,FALSE)</f>
        <v>3</v>
      </c>
      <c r="O550">
        <f>VLOOKUP(A550,Marketing_df2!$A$1:$F$2241,6,FALSE)</f>
        <v>2</v>
      </c>
    </row>
    <row r="551" spans="1:15" ht="12.5">
      <c r="A551" s="6">
        <v>549</v>
      </c>
      <c r="B551" s="6">
        <v>2256</v>
      </c>
      <c r="C551" s="6">
        <v>1973</v>
      </c>
      <c r="D551" s="7" t="s">
        <v>14</v>
      </c>
      <c r="E551" s="7" t="s">
        <v>13</v>
      </c>
      <c r="F551" s="6">
        <v>27159</v>
      </c>
      <c r="G551" s="6">
        <v>1</v>
      </c>
      <c r="H551" s="6">
        <v>1</v>
      </c>
      <c r="I551" s="6">
        <f t="shared" si="8"/>
        <v>2</v>
      </c>
      <c r="J551" s="8">
        <v>41727</v>
      </c>
      <c r="K551" s="6">
        <v>33</v>
      </c>
      <c r="L551">
        <f>VLOOKUP(A551,Marketing_df2!$A$1:$F$2241,3,FALSE)</f>
        <v>0</v>
      </c>
      <c r="M551">
        <f>VLOOKUP(A551,Marketing_df2!$A$1:$F$2241,4,FALSE)</f>
        <v>0</v>
      </c>
      <c r="N551">
        <f>VLOOKUP(A551,Marketing_df2!$A$1:$F$2241,5,FALSE)</f>
        <v>1</v>
      </c>
      <c r="O551">
        <f>VLOOKUP(A551,Marketing_df2!$A$1:$F$2241,6,FALSE)</f>
        <v>3</v>
      </c>
    </row>
    <row r="552" spans="1:15" ht="12.5">
      <c r="A552" s="6">
        <v>550</v>
      </c>
      <c r="B552" s="6">
        <v>4279</v>
      </c>
      <c r="C552" s="6">
        <v>1963</v>
      </c>
      <c r="D552" s="7" t="s">
        <v>17</v>
      </c>
      <c r="E552" s="7" t="s">
        <v>10</v>
      </c>
      <c r="F552" s="6">
        <v>39548</v>
      </c>
      <c r="G552" s="6">
        <v>1</v>
      </c>
      <c r="H552" s="6">
        <v>1</v>
      </c>
      <c r="I552" s="6">
        <f t="shared" si="8"/>
        <v>2</v>
      </c>
      <c r="J552" s="8">
        <v>41729</v>
      </c>
      <c r="K552" s="6">
        <v>87</v>
      </c>
      <c r="L552">
        <f>VLOOKUP(A552,Marketing_df2!$A$1:$F$2241,3,FALSE)</f>
        <v>4</v>
      </c>
      <c r="M552">
        <f>VLOOKUP(A552,Marketing_df2!$A$1:$F$2241,4,FALSE)</f>
        <v>4</v>
      </c>
      <c r="N552">
        <f>VLOOKUP(A552,Marketing_df2!$A$1:$F$2241,5,FALSE)</f>
        <v>1</v>
      </c>
      <c r="O552">
        <f>VLOOKUP(A552,Marketing_df2!$A$1:$F$2241,6,FALSE)</f>
        <v>3</v>
      </c>
    </row>
    <row r="553" spans="1:15" ht="12.5">
      <c r="A553" s="6">
        <v>551</v>
      </c>
      <c r="B553" s="6">
        <v>5371</v>
      </c>
      <c r="C553" s="6">
        <v>1989</v>
      </c>
      <c r="D553" s="7" t="s">
        <v>9</v>
      </c>
      <c r="E553" s="7" t="s">
        <v>10</v>
      </c>
      <c r="F553" s="6">
        <v>21474</v>
      </c>
      <c r="G553" s="6">
        <v>1</v>
      </c>
      <c r="H553" s="6">
        <v>0</v>
      </c>
      <c r="I553" s="6">
        <f t="shared" si="8"/>
        <v>1</v>
      </c>
      <c r="J553" s="8">
        <v>41737</v>
      </c>
      <c r="K553" s="6">
        <v>0</v>
      </c>
      <c r="L553">
        <f>VLOOKUP(A553,Marketing_df2!$A$1:$F$2241,3,FALSE)</f>
        <v>16</v>
      </c>
      <c r="M553">
        <f>VLOOKUP(A553,Marketing_df2!$A$1:$F$2241,4,FALSE)</f>
        <v>0</v>
      </c>
      <c r="N553">
        <f>VLOOKUP(A553,Marketing_df2!$A$1:$F$2241,5,FALSE)</f>
        <v>3</v>
      </c>
      <c r="O553">
        <f>VLOOKUP(A553,Marketing_df2!$A$1:$F$2241,6,FALSE)</f>
        <v>2</v>
      </c>
    </row>
    <row r="554" spans="1:15" ht="12.5">
      <c r="A554" s="6">
        <v>552</v>
      </c>
      <c r="B554" s="6">
        <v>9240</v>
      </c>
      <c r="C554" s="6">
        <v>1971</v>
      </c>
      <c r="D554" s="7" t="s">
        <v>12</v>
      </c>
      <c r="E554" s="7" t="s">
        <v>10</v>
      </c>
      <c r="F554" s="6">
        <v>60504</v>
      </c>
      <c r="G554" s="6">
        <v>0</v>
      </c>
      <c r="H554" s="6">
        <v>1</v>
      </c>
      <c r="I554" s="6">
        <f t="shared" si="8"/>
        <v>1</v>
      </c>
      <c r="J554" s="8">
        <v>41677</v>
      </c>
      <c r="K554" s="6">
        <v>73</v>
      </c>
      <c r="L554">
        <f>VLOOKUP(A554,Marketing_df2!$A$1:$F$2241,3,FALSE)</f>
        <v>0</v>
      </c>
      <c r="M554">
        <f>VLOOKUP(A554,Marketing_df2!$A$1:$F$2241,4,FALSE)</f>
        <v>4</v>
      </c>
      <c r="N554">
        <f>VLOOKUP(A554,Marketing_df2!$A$1:$F$2241,5,FALSE)</f>
        <v>6</v>
      </c>
      <c r="O554">
        <f>VLOOKUP(A554,Marketing_df2!$A$1:$F$2241,6,FALSE)</f>
        <v>8</v>
      </c>
    </row>
    <row r="555" spans="1:15" ht="12.5">
      <c r="A555" s="6">
        <v>553</v>
      </c>
      <c r="B555" s="6">
        <v>9460</v>
      </c>
      <c r="C555" s="6">
        <v>1963</v>
      </c>
      <c r="D555" s="7" t="s">
        <v>9</v>
      </c>
      <c r="E555" s="7" t="s">
        <v>13</v>
      </c>
      <c r="F555" s="6">
        <v>22419</v>
      </c>
      <c r="G555" s="6">
        <v>0</v>
      </c>
      <c r="H555" s="6">
        <v>0</v>
      </c>
      <c r="I555" s="6">
        <f t="shared" si="8"/>
        <v>0</v>
      </c>
      <c r="J555" s="8">
        <v>41382</v>
      </c>
      <c r="K555" s="6">
        <v>74</v>
      </c>
      <c r="L555">
        <f>VLOOKUP(A555,Marketing_df2!$A$1:$F$2241,3,FALSE)</f>
        <v>3</v>
      </c>
      <c r="M555">
        <f>VLOOKUP(A555,Marketing_df2!$A$1:$F$2241,4,FALSE)</f>
        <v>21</v>
      </c>
      <c r="N555">
        <f>VLOOKUP(A555,Marketing_df2!$A$1:$F$2241,5,FALSE)</f>
        <v>3</v>
      </c>
      <c r="O555">
        <f>VLOOKUP(A555,Marketing_df2!$A$1:$F$2241,6,FALSE)</f>
        <v>2</v>
      </c>
    </row>
    <row r="556" spans="1:15" ht="12.5">
      <c r="A556" s="6">
        <v>554</v>
      </c>
      <c r="B556" s="6">
        <v>9504</v>
      </c>
      <c r="C556" s="6">
        <v>1949</v>
      </c>
      <c r="D556" s="7" t="s">
        <v>14</v>
      </c>
      <c r="E556" s="7" t="s">
        <v>13</v>
      </c>
      <c r="F556" s="6">
        <v>81698</v>
      </c>
      <c r="G556" s="6">
        <v>0</v>
      </c>
      <c r="H556" s="6">
        <v>0</v>
      </c>
      <c r="I556" s="6">
        <f t="shared" si="8"/>
        <v>0</v>
      </c>
      <c r="J556" s="8">
        <v>41584</v>
      </c>
      <c r="K556" s="6">
        <v>4</v>
      </c>
      <c r="L556">
        <f>VLOOKUP(A556,Marketing_df2!$A$1:$F$2241,3,FALSE)</f>
        <v>28</v>
      </c>
      <c r="M556">
        <f>VLOOKUP(A556,Marketing_df2!$A$1:$F$2241,4,FALSE)</f>
        <v>123</v>
      </c>
      <c r="N556">
        <f>VLOOKUP(A556,Marketing_df2!$A$1:$F$2241,5,FALSE)</f>
        <v>3</v>
      </c>
      <c r="O556">
        <f>VLOOKUP(A556,Marketing_df2!$A$1:$F$2241,6,FALSE)</f>
        <v>13</v>
      </c>
    </row>
    <row r="557" spans="1:15" ht="12.5">
      <c r="A557" s="6">
        <v>555</v>
      </c>
      <c r="B557" s="6">
        <v>8692</v>
      </c>
      <c r="C557" s="6">
        <v>1952</v>
      </c>
      <c r="D557" s="7" t="s">
        <v>9</v>
      </c>
      <c r="E557" s="7" t="s">
        <v>11</v>
      </c>
      <c r="F557" s="6">
        <v>43462</v>
      </c>
      <c r="G557" s="6">
        <v>1</v>
      </c>
      <c r="H557" s="6">
        <v>1</v>
      </c>
      <c r="I557" s="6">
        <f t="shared" si="8"/>
        <v>2</v>
      </c>
      <c r="J557" s="8">
        <v>41164</v>
      </c>
      <c r="K557" s="6">
        <v>50</v>
      </c>
      <c r="L557">
        <f>VLOOKUP(A557,Marketing_df2!$A$1:$F$2241,3,FALSE)</f>
        <v>17</v>
      </c>
      <c r="M557">
        <f>VLOOKUP(A557,Marketing_df2!$A$1:$F$2241,4,FALSE)</f>
        <v>6</v>
      </c>
      <c r="N557">
        <f>VLOOKUP(A557,Marketing_df2!$A$1:$F$2241,5,FALSE)</f>
        <v>4</v>
      </c>
      <c r="O557">
        <f>VLOOKUP(A557,Marketing_df2!$A$1:$F$2241,6,FALSE)</f>
        <v>5</v>
      </c>
    </row>
    <row r="558" spans="1:15" ht="12.5">
      <c r="A558" s="6">
        <v>556</v>
      </c>
      <c r="B558" s="6">
        <v>448</v>
      </c>
      <c r="C558" s="6">
        <v>1978</v>
      </c>
      <c r="D558" s="7" t="s">
        <v>12</v>
      </c>
      <c r="E558" s="7" t="s">
        <v>10</v>
      </c>
      <c r="F558" s="6">
        <v>54880</v>
      </c>
      <c r="G558" s="6">
        <v>1</v>
      </c>
      <c r="H558" s="6">
        <v>0</v>
      </c>
      <c r="I558" s="6">
        <f t="shared" si="8"/>
        <v>1</v>
      </c>
      <c r="J558" s="8">
        <v>41334</v>
      </c>
      <c r="K558" s="6">
        <v>57</v>
      </c>
      <c r="L558">
        <f>VLOOKUP(A558,Marketing_df2!$A$1:$F$2241,3,FALSE)</f>
        <v>85</v>
      </c>
      <c r="M558">
        <f>VLOOKUP(A558,Marketing_df2!$A$1:$F$2241,4,FALSE)</f>
        <v>45</v>
      </c>
      <c r="N558">
        <f>VLOOKUP(A558,Marketing_df2!$A$1:$F$2241,5,FALSE)</f>
        <v>6</v>
      </c>
      <c r="O558">
        <f>VLOOKUP(A558,Marketing_df2!$A$1:$F$2241,6,FALSE)</f>
        <v>11</v>
      </c>
    </row>
    <row r="559" spans="1:15" ht="12.5">
      <c r="A559" s="6">
        <v>557</v>
      </c>
      <c r="B559" s="6">
        <v>8314</v>
      </c>
      <c r="C559" s="6">
        <v>1982</v>
      </c>
      <c r="D559" s="7" t="s">
        <v>9</v>
      </c>
      <c r="E559" s="7" t="s">
        <v>13</v>
      </c>
      <c r="F559" s="6">
        <v>79908</v>
      </c>
      <c r="G559" s="6">
        <v>0</v>
      </c>
      <c r="H559" s="6">
        <v>0</v>
      </c>
      <c r="I559" s="6">
        <f t="shared" si="8"/>
        <v>0</v>
      </c>
      <c r="J559" s="8">
        <v>41369</v>
      </c>
      <c r="K559" s="6">
        <v>30</v>
      </c>
      <c r="L559">
        <f>VLOOKUP(A559,Marketing_df2!$A$1:$F$2241,3,FALSE)</f>
        <v>129</v>
      </c>
      <c r="M559">
        <f>VLOOKUP(A559,Marketing_df2!$A$1:$F$2241,4,FALSE)</f>
        <v>185</v>
      </c>
      <c r="N559">
        <f>VLOOKUP(A559,Marketing_df2!$A$1:$F$2241,5,FALSE)</f>
        <v>5</v>
      </c>
      <c r="O559">
        <f>VLOOKUP(A559,Marketing_df2!$A$1:$F$2241,6,FALSE)</f>
        <v>7</v>
      </c>
    </row>
    <row r="560" spans="1:15" ht="12.5">
      <c r="A560" s="6">
        <v>558</v>
      </c>
      <c r="B560" s="6">
        <v>8420</v>
      </c>
      <c r="C560" s="6">
        <v>1970</v>
      </c>
      <c r="D560" s="7" t="s">
        <v>17</v>
      </c>
      <c r="E560" s="7" t="s">
        <v>13</v>
      </c>
      <c r="F560" s="6">
        <v>15315</v>
      </c>
      <c r="G560" s="6">
        <v>0</v>
      </c>
      <c r="H560" s="6">
        <v>0</v>
      </c>
      <c r="I560" s="6">
        <f t="shared" si="8"/>
        <v>0</v>
      </c>
      <c r="J560" s="8">
        <v>41489</v>
      </c>
      <c r="K560" s="6">
        <v>27</v>
      </c>
      <c r="L560">
        <f>VLOOKUP(A560,Marketing_df2!$A$1:$F$2241,3,FALSE)</f>
        <v>4</v>
      </c>
      <c r="M560">
        <f>VLOOKUP(A560,Marketing_df2!$A$1:$F$2241,4,FALSE)</f>
        <v>8</v>
      </c>
      <c r="N560">
        <f>VLOOKUP(A560,Marketing_df2!$A$1:$F$2241,5,FALSE)</f>
        <v>2</v>
      </c>
      <c r="O560">
        <f>VLOOKUP(A560,Marketing_df2!$A$1:$F$2241,6,FALSE)</f>
        <v>4</v>
      </c>
    </row>
    <row r="561" spans="1:15" ht="12.5">
      <c r="A561" s="6">
        <v>559</v>
      </c>
      <c r="B561" s="6">
        <v>3174</v>
      </c>
      <c r="C561" s="6">
        <v>1959</v>
      </c>
      <c r="D561" s="7" t="s">
        <v>9</v>
      </c>
      <c r="E561" s="7" t="s">
        <v>11</v>
      </c>
      <c r="F561" s="6">
        <v>87771</v>
      </c>
      <c r="G561" s="6">
        <v>0</v>
      </c>
      <c r="H561" s="6">
        <v>1</v>
      </c>
      <c r="I561" s="6">
        <f t="shared" si="8"/>
        <v>1</v>
      </c>
      <c r="J561" s="8">
        <v>41416</v>
      </c>
      <c r="K561" s="6">
        <v>61</v>
      </c>
      <c r="L561">
        <f>VLOOKUP(A561,Marketing_df2!$A$1:$F$2241,3,FALSE)</f>
        <v>38</v>
      </c>
      <c r="M561">
        <f>VLOOKUP(A561,Marketing_df2!$A$1:$F$2241,4,FALSE)</f>
        <v>57</v>
      </c>
      <c r="N561">
        <f>VLOOKUP(A561,Marketing_df2!$A$1:$F$2241,5,FALSE)</f>
        <v>5</v>
      </c>
      <c r="O561">
        <f>VLOOKUP(A561,Marketing_df2!$A$1:$F$2241,6,FALSE)</f>
        <v>4</v>
      </c>
    </row>
    <row r="562" spans="1:15" ht="12.5">
      <c r="A562" s="6">
        <v>560</v>
      </c>
      <c r="B562" s="6">
        <v>7685</v>
      </c>
      <c r="C562" s="6">
        <v>1978</v>
      </c>
      <c r="D562" s="7" t="s">
        <v>9</v>
      </c>
      <c r="E562" s="7" t="s">
        <v>13</v>
      </c>
      <c r="F562" s="6">
        <v>33039</v>
      </c>
      <c r="G562" s="6">
        <v>1</v>
      </c>
      <c r="H562" s="6">
        <v>0</v>
      </c>
      <c r="I562" s="6">
        <f t="shared" si="8"/>
        <v>1</v>
      </c>
      <c r="J562" s="8">
        <v>41526</v>
      </c>
      <c r="K562" s="6">
        <v>4</v>
      </c>
      <c r="L562">
        <f>VLOOKUP(A562,Marketing_df2!$A$1:$F$2241,3,FALSE)</f>
        <v>8</v>
      </c>
      <c r="M562">
        <f>VLOOKUP(A562,Marketing_df2!$A$1:$F$2241,4,FALSE)</f>
        <v>8</v>
      </c>
      <c r="N562">
        <f>VLOOKUP(A562,Marketing_df2!$A$1:$F$2241,5,FALSE)</f>
        <v>2</v>
      </c>
      <c r="O562">
        <f>VLOOKUP(A562,Marketing_df2!$A$1:$F$2241,6,FALSE)</f>
        <v>4</v>
      </c>
    </row>
    <row r="563" spans="1:15" ht="12.5">
      <c r="A563" s="6">
        <v>561</v>
      </c>
      <c r="B563" s="6">
        <v>3179</v>
      </c>
      <c r="C563" s="6">
        <v>1980</v>
      </c>
      <c r="D563" s="7" t="s">
        <v>9</v>
      </c>
      <c r="E563" s="7" t="s">
        <v>10</v>
      </c>
      <c r="F563" s="6">
        <v>81741</v>
      </c>
      <c r="G563" s="6">
        <v>0</v>
      </c>
      <c r="H563" s="6">
        <v>0</v>
      </c>
      <c r="I563" s="6">
        <f t="shared" si="8"/>
        <v>0</v>
      </c>
      <c r="J563" s="8">
        <v>41441</v>
      </c>
      <c r="K563" s="6">
        <v>75</v>
      </c>
      <c r="L563">
        <f>VLOOKUP(A563,Marketing_df2!$A$1:$F$2241,3,FALSE)</f>
        <v>153</v>
      </c>
      <c r="M563">
        <f>VLOOKUP(A563,Marketing_df2!$A$1:$F$2241,4,FALSE)</f>
        <v>134</v>
      </c>
      <c r="N563">
        <f>VLOOKUP(A563,Marketing_df2!$A$1:$F$2241,5,FALSE)</f>
        <v>6</v>
      </c>
      <c r="O563">
        <f>VLOOKUP(A563,Marketing_df2!$A$1:$F$2241,6,FALSE)</f>
        <v>7</v>
      </c>
    </row>
    <row r="564" spans="1:15" ht="12.5">
      <c r="A564" s="6">
        <v>562</v>
      </c>
      <c r="B564" s="6">
        <v>9780</v>
      </c>
      <c r="C564" s="6">
        <v>1971</v>
      </c>
      <c r="D564" s="7" t="s">
        <v>14</v>
      </c>
      <c r="E564" s="7" t="s">
        <v>11</v>
      </c>
      <c r="F564" s="6">
        <v>71499</v>
      </c>
      <c r="G564" s="6">
        <v>0</v>
      </c>
      <c r="H564" s="6">
        <v>1</v>
      </c>
      <c r="I564" s="6">
        <f t="shared" si="8"/>
        <v>1</v>
      </c>
      <c r="J564" s="8">
        <v>41450</v>
      </c>
      <c r="K564" s="6">
        <v>12</v>
      </c>
      <c r="L564">
        <f>VLOOKUP(A564,Marketing_df2!$A$1:$F$2241,3,FALSE)</f>
        <v>25</v>
      </c>
      <c r="M564">
        <f>VLOOKUP(A564,Marketing_df2!$A$1:$F$2241,4,FALSE)</f>
        <v>0</v>
      </c>
      <c r="N564">
        <f>VLOOKUP(A564,Marketing_df2!$A$1:$F$2241,5,FALSE)</f>
        <v>8</v>
      </c>
      <c r="O564">
        <f>VLOOKUP(A564,Marketing_df2!$A$1:$F$2241,6,FALSE)</f>
        <v>13</v>
      </c>
    </row>
    <row r="565" spans="1:15" ht="12.5">
      <c r="A565" s="6">
        <v>563</v>
      </c>
      <c r="B565" s="6">
        <v>10681</v>
      </c>
      <c r="C565" s="6">
        <v>1970</v>
      </c>
      <c r="D565" s="7" t="s">
        <v>17</v>
      </c>
      <c r="E565" s="7" t="s">
        <v>13</v>
      </c>
      <c r="F565" s="6">
        <v>62466</v>
      </c>
      <c r="G565" s="6">
        <v>0</v>
      </c>
      <c r="H565" s="6">
        <v>1</v>
      </c>
      <c r="I565" s="6">
        <f t="shared" si="8"/>
        <v>1</v>
      </c>
      <c r="J565" s="8">
        <v>41654</v>
      </c>
      <c r="K565" s="6">
        <v>13</v>
      </c>
      <c r="L565">
        <f>VLOOKUP(A565,Marketing_df2!$A$1:$F$2241,3,FALSE)</f>
        <v>129</v>
      </c>
      <c r="M565">
        <f>VLOOKUP(A565,Marketing_df2!$A$1:$F$2241,4,FALSE)</f>
        <v>121</v>
      </c>
      <c r="N565">
        <f>VLOOKUP(A565,Marketing_df2!$A$1:$F$2241,5,FALSE)</f>
        <v>6</v>
      </c>
      <c r="O565">
        <f>VLOOKUP(A565,Marketing_df2!$A$1:$F$2241,6,FALSE)</f>
        <v>12</v>
      </c>
    </row>
    <row r="566" spans="1:15" ht="12.5">
      <c r="A566" s="6">
        <v>564</v>
      </c>
      <c r="B566" s="6">
        <v>10232</v>
      </c>
      <c r="C566" s="6">
        <v>1963</v>
      </c>
      <c r="D566" s="7" t="s">
        <v>12</v>
      </c>
      <c r="E566" s="7" t="s">
        <v>15</v>
      </c>
      <c r="F566" s="6">
        <v>48799</v>
      </c>
      <c r="G566" s="6">
        <v>0</v>
      </c>
      <c r="H566" s="6">
        <v>1</v>
      </c>
      <c r="I566" s="6">
        <f t="shared" si="8"/>
        <v>1</v>
      </c>
      <c r="J566" s="8">
        <v>41583</v>
      </c>
      <c r="K566" s="6">
        <v>9</v>
      </c>
      <c r="L566">
        <f>VLOOKUP(A566,Marketing_df2!$A$1:$F$2241,3,FALSE)</f>
        <v>18</v>
      </c>
      <c r="M566">
        <f>VLOOKUP(A566,Marketing_df2!$A$1:$F$2241,4,FALSE)</f>
        <v>6</v>
      </c>
      <c r="N566">
        <f>VLOOKUP(A566,Marketing_df2!$A$1:$F$2241,5,FALSE)</f>
        <v>3</v>
      </c>
      <c r="O566">
        <f>VLOOKUP(A566,Marketing_df2!$A$1:$F$2241,6,FALSE)</f>
        <v>7</v>
      </c>
    </row>
    <row r="567" spans="1:15" ht="12.5">
      <c r="A567" s="6">
        <v>565</v>
      </c>
      <c r="B567" s="6">
        <v>4184</v>
      </c>
      <c r="C567" s="6">
        <v>1950</v>
      </c>
      <c r="D567" s="7" t="s">
        <v>12</v>
      </c>
      <c r="E567" s="7" t="s">
        <v>11</v>
      </c>
      <c r="F567" s="6">
        <v>52157</v>
      </c>
      <c r="G567" s="6">
        <v>0</v>
      </c>
      <c r="H567" s="6">
        <v>1</v>
      </c>
      <c r="I567" s="6">
        <f t="shared" si="8"/>
        <v>1</v>
      </c>
      <c r="J567" s="8">
        <v>41797</v>
      </c>
      <c r="K567" s="6">
        <v>48</v>
      </c>
      <c r="L567">
        <f>VLOOKUP(A567,Marketing_df2!$A$1:$F$2241,3,FALSE)</f>
        <v>2</v>
      </c>
      <c r="M567">
        <f>VLOOKUP(A567,Marketing_df2!$A$1:$F$2241,4,FALSE)</f>
        <v>2</v>
      </c>
      <c r="N567">
        <f>VLOOKUP(A567,Marketing_df2!$A$1:$F$2241,5,FALSE)</f>
        <v>3</v>
      </c>
      <c r="O567">
        <f>VLOOKUP(A567,Marketing_df2!$A$1:$F$2241,6,FALSE)</f>
        <v>5</v>
      </c>
    </row>
    <row r="568" spans="1:15" ht="12.5">
      <c r="A568" s="6">
        <v>566</v>
      </c>
      <c r="B568" s="6">
        <v>9120</v>
      </c>
      <c r="C568" s="6">
        <v>1962</v>
      </c>
      <c r="D568" s="7" t="s">
        <v>9</v>
      </c>
      <c r="E568" s="7" t="s">
        <v>10</v>
      </c>
      <c r="F568" s="6">
        <v>66565</v>
      </c>
      <c r="G568" s="6">
        <v>0</v>
      </c>
      <c r="H568" s="6">
        <v>1</v>
      </c>
      <c r="I568" s="6">
        <f t="shared" si="8"/>
        <v>1</v>
      </c>
      <c r="J568" s="8">
        <v>41248</v>
      </c>
      <c r="K568" s="6">
        <v>80</v>
      </c>
      <c r="L568">
        <f>VLOOKUP(A568,Marketing_df2!$A$1:$F$2241,3,FALSE)</f>
        <v>10</v>
      </c>
      <c r="M568">
        <f>VLOOKUP(A568,Marketing_df2!$A$1:$F$2241,4,FALSE)</f>
        <v>40</v>
      </c>
      <c r="N568">
        <f>VLOOKUP(A568,Marketing_df2!$A$1:$F$2241,5,FALSE)</f>
        <v>4</v>
      </c>
      <c r="O568">
        <f>VLOOKUP(A568,Marketing_df2!$A$1:$F$2241,6,FALSE)</f>
        <v>9</v>
      </c>
    </row>
    <row r="569" spans="1:15" ht="12.5">
      <c r="A569" s="6">
        <v>567</v>
      </c>
      <c r="B569" s="6">
        <v>891</v>
      </c>
      <c r="C569" s="6">
        <v>1951</v>
      </c>
      <c r="D569" s="7" t="s">
        <v>14</v>
      </c>
      <c r="E569" s="7" t="s">
        <v>11</v>
      </c>
      <c r="F569" s="6">
        <v>29298</v>
      </c>
      <c r="G569" s="6">
        <v>1</v>
      </c>
      <c r="H569" s="6">
        <v>1</v>
      </c>
      <c r="I569" s="6">
        <f t="shared" si="8"/>
        <v>2</v>
      </c>
      <c r="J569" s="8">
        <v>41524</v>
      </c>
      <c r="K569" s="6">
        <v>60</v>
      </c>
      <c r="L569">
        <f>VLOOKUP(A569,Marketing_df2!$A$1:$F$2241,3,FALSE)</f>
        <v>0</v>
      </c>
      <c r="M569">
        <f>VLOOKUP(A569,Marketing_df2!$A$1:$F$2241,4,FALSE)</f>
        <v>0</v>
      </c>
      <c r="N569">
        <f>VLOOKUP(A569,Marketing_df2!$A$1:$F$2241,5,FALSE)</f>
        <v>1</v>
      </c>
      <c r="O569">
        <f>VLOOKUP(A569,Marketing_df2!$A$1:$F$2241,6,FALSE)</f>
        <v>2</v>
      </c>
    </row>
    <row r="570" spans="1:15" ht="12.5">
      <c r="A570" s="6">
        <v>568</v>
      </c>
      <c r="B570" s="6">
        <v>10381</v>
      </c>
      <c r="C570" s="6">
        <v>1979</v>
      </c>
      <c r="D570" s="7" t="s">
        <v>9</v>
      </c>
      <c r="E570" s="7" t="s">
        <v>10</v>
      </c>
      <c r="F570" s="6">
        <v>47691</v>
      </c>
      <c r="G570" s="6">
        <v>0</v>
      </c>
      <c r="H570" s="6">
        <v>1</v>
      </c>
      <c r="I570" s="6">
        <f t="shared" si="8"/>
        <v>1</v>
      </c>
      <c r="J570" s="8">
        <v>41460</v>
      </c>
      <c r="K570" s="6">
        <v>43</v>
      </c>
      <c r="L570">
        <f>VLOOKUP(A570,Marketing_df2!$A$1:$F$2241,3,FALSE)</f>
        <v>0</v>
      </c>
      <c r="M570">
        <f>VLOOKUP(A570,Marketing_df2!$A$1:$F$2241,4,FALSE)</f>
        <v>0</v>
      </c>
      <c r="N570">
        <f>VLOOKUP(A570,Marketing_df2!$A$1:$F$2241,5,FALSE)</f>
        <v>1</v>
      </c>
      <c r="O570">
        <f>VLOOKUP(A570,Marketing_df2!$A$1:$F$2241,6,FALSE)</f>
        <v>2</v>
      </c>
    </row>
    <row r="571" spans="1:15" ht="12.5">
      <c r="A571" s="6">
        <v>569</v>
      </c>
      <c r="B571" s="6">
        <v>3525</v>
      </c>
      <c r="C571" s="6">
        <v>1970</v>
      </c>
      <c r="D571" s="7" t="s">
        <v>9</v>
      </c>
      <c r="E571" s="7" t="s">
        <v>11</v>
      </c>
      <c r="F571" s="6">
        <v>38200</v>
      </c>
      <c r="G571" s="6">
        <v>1</v>
      </c>
      <c r="H571" s="6">
        <v>1</v>
      </c>
      <c r="I571" s="6">
        <f t="shared" si="8"/>
        <v>2</v>
      </c>
      <c r="J571" s="8">
        <v>41250</v>
      </c>
      <c r="K571" s="6">
        <v>19</v>
      </c>
      <c r="L571">
        <f>VLOOKUP(A571,Marketing_df2!$A$1:$F$2241,3,FALSE)</f>
        <v>0</v>
      </c>
      <c r="M571">
        <f>VLOOKUP(A571,Marketing_df2!$A$1:$F$2241,4,FALSE)</f>
        <v>0</v>
      </c>
      <c r="N571">
        <f>VLOOKUP(A571,Marketing_df2!$A$1:$F$2241,5,FALSE)</f>
        <v>1</v>
      </c>
      <c r="O571">
        <f>VLOOKUP(A571,Marketing_df2!$A$1:$F$2241,6,FALSE)</f>
        <v>2</v>
      </c>
    </row>
    <row r="572" spans="1:15" ht="12.5">
      <c r="A572" s="6">
        <v>570</v>
      </c>
      <c r="B572" s="6">
        <v>6818</v>
      </c>
      <c r="C572" s="6">
        <v>1974</v>
      </c>
      <c r="D572" s="7" t="s">
        <v>9</v>
      </c>
      <c r="E572" s="7" t="s">
        <v>13</v>
      </c>
      <c r="F572" s="6">
        <v>44989</v>
      </c>
      <c r="G572" s="6">
        <v>0</v>
      </c>
      <c r="H572" s="6">
        <v>1</v>
      </c>
      <c r="I572" s="6">
        <f t="shared" si="8"/>
        <v>1</v>
      </c>
      <c r="J572" s="8">
        <v>41164</v>
      </c>
      <c r="K572" s="6">
        <v>26</v>
      </c>
      <c r="L572">
        <f>VLOOKUP(A572,Marketing_df2!$A$1:$F$2241,3,FALSE)</f>
        <v>0</v>
      </c>
      <c r="M572">
        <f>VLOOKUP(A572,Marketing_df2!$A$1:$F$2241,4,FALSE)</f>
        <v>10</v>
      </c>
      <c r="N572">
        <f>VLOOKUP(A572,Marketing_df2!$A$1:$F$2241,5,FALSE)</f>
        <v>5</v>
      </c>
      <c r="O572">
        <f>VLOOKUP(A572,Marketing_df2!$A$1:$F$2241,6,FALSE)</f>
        <v>5</v>
      </c>
    </row>
    <row r="573" spans="1:15" ht="12.5">
      <c r="A573" s="6">
        <v>571</v>
      </c>
      <c r="B573" s="6">
        <v>3526</v>
      </c>
      <c r="C573" s="6">
        <v>1968</v>
      </c>
      <c r="D573" s="7" t="s">
        <v>12</v>
      </c>
      <c r="E573" s="7" t="s">
        <v>13</v>
      </c>
      <c r="F573" s="6">
        <v>38443</v>
      </c>
      <c r="G573" s="6">
        <v>1</v>
      </c>
      <c r="H573" s="6">
        <v>1</v>
      </c>
      <c r="I573" s="6">
        <f t="shared" si="8"/>
        <v>2</v>
      </c>
      <c r="J573" s="8">
        <v>41666</v>
      </c>
      <c r="K573" s="6">
        <v>58</v>
      </c>
      <c r="L573">
        <f>VLOOKUP(A573,Marketing_df2!$A$1:$F$2241,3,FALSE)</f>
        <v>0</v>
      </c>
      <c r="M573">
        <f>VLOOKUP(A573,Marketing_df2!$A$1:$F$2241,4,FALSE)</f>
        <v>0</v>
      </c>
      <c r="N573">
        <f>VLOOKUP(A573,Marketing_df2!$A$1:$F$2241,5,FALSE)</f>
        <v>1</v>
      </c>
      <c r="O573">
        <f>VLOOKUP(A573,Marketing_df2!$A$1:$F$2241,6,FALSE)</f>
        <v>3</v>
      </c>
    </row>
    <row r="574" spans="1:15" ht="12.5">
      <c r="A574" s="6">
        <v>572</v>
      </c>
      <c r="B574" s="6">
        <v>8181</v>
      </c>
      <c r="C574" s="6">
        <v>1978</v>
      </c>
      <c r="D574" s="7" t="s">
        <v>17</v>
      </c>
      <c r="E574" s="7" t="s">
        <v>10</v>
      </c>
      <c r="F574" s="6">
        <v>38593</v>
      </c>
      <c r="G574" s="6">
        <v>1</v>
      </c>
      <c r="H574" s="6">
        <v>0</v>
      </c>
      <c r="I574" s="6">
        <f t="shared" si="8"/>
        <v>1</v>
      </c>
      <c r="J574" s="8">
        <v>41530</v>
      </c>
      <c r="K574" s="6">
        <v>42</v>
      </c>
      <c r="L574">
        <f>VLOOKUP(A574,Marketing_df2!$A$1:$F$2241,3,FALSE)</f>
        <v>12</v>
      </c>
      <c r="M574">
        <f>VLOOKUP(A574,Marketing_df2!$A$1:$F$2241,4,FALSE)</f>
        <v>24</v>
      </c>
      <c r="N574">
        <f>VLOOKUP(A574,Marketing_df2!$A$1:$F$2241,5,FALSE)</f>
        <v>4</v>
      </c>
      <c r="O574">
        <f>VLOOKUP(A574,Marketing_df2!$A$1:$F$2241,6,FALSE)</f>
        <v>3</v>
      </c>
    </row>
    <row r="575" spans="1:15" ht="12.5">
      <c r="A575" s="6">
        <v>573</v>
      </c>
      <c r="B575" s="6">
        <v>1029</v>
      </c>
      <c r="C575" s="6">
        <v>1970</v>
      </c>
      <c r="D575" s="7" t="s">
        <v>12</v>
      </c>
      <c r="E575" s="7" t="s">
        <v>11</v>
      </c>
      <c r="F575" s="6">
        <v>64413</v>
      </c>
      <c r="G575" s="6">
        <v>0</v>
      </c>
      <c r="H575" s="6">
        <v>1</v>
      </c>
      <c r="I575" s="6">
        <f t="shared" si="8"/>
        <v>1</v>
      </c>
      <c r="J575" s="8">
        <v>41487</v>
      </c>
      <c r="K575" s="6">
        <v>27</v>
      </c>
      <c r="L575">
        <f>VLOOKUP(A575,Marketing_df2!$A$1:$F$2241,3,FALSE)</f>
        <v>5</v>
      </c>
      <c r="M575">
        <f>VLOOKUP(A575,Marketing_df2!$A$1:$F$2241,4,FALSE)</f>
        <v>10</v>
      </c>
      <c r="N575">
        <f>VLOOKUP(A575,Marketing_df2!$A$1:$F$2241,5,FALSE)</f>
        <v>5</v>
      </c>
      <c r="O575">
        <f>VLOOKUP(A575,Marketing_df2!$A$1:$F$2241,6,FALSE)</f>
        <v>5</v>
      </c>
    </row>
    <row r="576" spans="1:15" ht="12.5">
      <c r="A576" s="6">
        <v>574</v>
      </c>
      <c r="B576" s="6">
        <v>7369</v>
      </c>
      <c r="C576" s="6">
        <v>1981</v>
      </c>
      <c r="D576" s="7" t="s">
        <v>14</v>
      </c>
      <c r="E576" s="7" t="s">
        <v>13</v>
      </c>
      <c r="F576" s="6">
        <v>36959</v>
      </c>
      <c r="G576" s="6">
        <v>1</v>
      </c>
      <c r="H576" s="6">
        <v>0</v>
      </c>
      <c r="I576" s="6">
        <f t="shared" si="8"/>
        <v>1</v>
      </c>
      <c r="J576" s="8">
        <v>41549</v>
      </c>
      <c r="K576" s="6">
        <v>56</v>
      </c>
      <c r="L576">
        <f>VLOOKUP(A576,Marketing_df2!$A$1:$F$2241,3,FALSE)</f>
        <v>6</v>
      </c>
      <c r="M576">
        <f>VLOOKUP(A576,Marketing_df2!$A$1:$F$2241,4,FALSE)</f>
        <v>0</v>
      </c>
      <c r="N576">
        <f>VLOOKUP(A576,Marketing_df2!$A$1:$F$2241,5,FALSE)</f>
        <v>2</v>
      </c>
      <c r="O576">
        <f>VLOOKUP(A576,Marketing_df2!$A$1:$F$2241,6,FALSE)</f>
        <v>3</v>
      </c>
    </row>
    <row r="577" spans="1:15" ht="12.5">
      <c r="A577" s="6">
        <v>575</v>
      </c>
      <c r="B577" s="6">
        <v>2574</v>
      </c>
      <c r="C577" s="6">
        <v>1977</v>
      </c>
      <c r="D577" s="7" t="s">
        <v>12</v>
      </c>
      <c r="E577" s="7" t="s">
        <v>13</v>
      </c>
      <c r="F577" s="6">
        <v>61996</v>
      </c>
      <c r="G577" s="6">
        <v>0</v>
      </c>
      <c r="H577" s="6">
        <v>1</v>
      </c>
      <c r="I577" s="6">
        <f t="shared" si="8"/>
        <v>1</v>
      </c>
      <c r="J577" s="8">
        <v>41305</v>
      </c>
      <c r="K577" s="6">
        <v>27</v>
      </c>
      <c r="L577">
        <f>VLOOKUP(A577,Marketing_df2!$A$1:$F$2241,3,FALSE)</f>
        <v>12</v>
      </c>
      <c r="M577">
        <f>VLOOKUP(A577,Marketing_df2!$A$1:$F$2241,4,FALSE)</f>
        <v>0</v>
      </c>
      <c r="N577">
        <f>VLOOKUP(A577,Marketing_df2!$A$1:$F$2241,5,FALSE)</f>
        <v>6</v>
      </c>
      <c r="O577">
        <f>VLOOKUP(A577,Marketing_df2!$A$1:$F$2241,6,FALSE)</f>
        <v>8</v>
      </c>
    </row>
    <row r="578" spans="1:15" ht="12.5">
      <c r="A578" s="6">
        <v>576</v>
      </c>
      <c r="B578" s="6">
        <v>8159</v>
      </c>
      <c r="C578" s="6">
        <v>1968</v>
      </c>
      <c r="D578" s="7" t="s">
        <v>9</v>
      </c>
      <c r="E578" s="7" t="s">
        <v>13</v>
      </c>
      <c r="F578" s="6">
        <v>51287</v>
      </c>
      <c r="G578" s="6">
        <v>1</v>
      </c>
      <c r="H578" s="6">
        <v>1</v>
      </c>
      <c r="I578" s="6">
        <f t="shared" si="8"/>
        <v>2</v>
      </c>
      <c r="J578" s="8">
        <v>41730</v>
      </c>
      <c r="K578" s="6">
        <v>10</v>
      </c>
      <c r="L578">
        <f>VLOOKUP(A578,Marketing_df2!$A$1:$F$2241,3,FALSE)</f>
        <v>0</v>
      </c>
      <c r="M578">
        <f>VLOOKUP(A578,Marketing_df2!$A$1:$F$2241,4,FALSE)</f>
        <v>0</v>
      </c>
      <c r="N578">
        <f>VLOOKUP(A578,Marketing_df2!$A$1:$F$2241,5,FALSE)</f>
        <v>4</v>
      </c>
      <c r="O578">
        <f>VLOOKUP(A578,Marketing_df2!$A$1:$F$2241,6,FALSE)</f>
        <v>3</v>
      </c>
    </row>
    <row r="579" spans="1:15" ht="12.5">
      <c r="A579" s="6">
        <v>577</v>
      </c>
      <c r="B579" s="6">
        <v>1160</v>
      </c>
      <c r="C579" s="6">
        <v>1970</v>
      </c>
      <c r="D579" s="7" t="s">
        <v>9</v>
      </c>
      <c r="E579" s="7" t="s">
        <v>13</v>
      </c>
      <c r="F579" s="6">
        <v>13260</v>
      </c>
      <c r="G579" s="6">
        <v>1</v>
      </c>
      <c r="H579" s="6">
        <v>1</v>
      </c>
      <c r="I579" s="6">
        <f t="shared" ref="I579:I642" si="9">G579+H579</f>
        <v>2</v>
      </c>
      <c r="J579" s="8">
        <v>41509</v>
      </c>
      <c r="K579" s="6">
        <v>48</v>
      </c>
      <c r="L579">
        <f>VLOOKUP(A579,Marketing_df2!$A$1:$F$2241,3,FALSE)</f>
        <v>4</v>
      </c>
      <c r="M579">
        <f>VLOOKUP(A579,Marketing_df2!$A$1:$F$2241,4,FALSE)</f>
        <v>2</v>
      </c>
      <c r="N579">
        <f>VLOOKUP(A579,Marketing_df2!$A$1:$F$2241,5,FALSE)</f>
        <v>3</v>
      </c>
      <c r="O579">
        <f>VLOOKUP(A579,Marketing_df2!$A$1:$F$2241,6,FALSE)</f>
        <v>3</v>
      </c>
    </row>
    <row r="580" spans="1:15" ht="12.5">
      <c r="A580" s="6">
        <v>578</v>
      </c>
      <c r="B580" s="6">
        <v>10242</v>
      </c>
      <c r="C580" s="6">
        <v>1966</v>
      </c>
      <c r="D580" s="7" t="s">
        <v>12</v>
      </c>
      <c r="E580" s="7" t="s">
        <v>11</v>
      </c>
      <c r="F580" s="6">
        <v>47472</v>
      </c>
      <c r="G580" s="6">
        <v>1</v>
      </c>
      <c r="H580" s="6">
        <v>1</v>
      </c>
      <c r="I580" s="6">
        <f t="shared" si="9"/>
        <v>2</v>
      </c>
      <c r="J580" s="8">
        <v>41533</v>
      </c>
      <c r="K580" s="6">
        <v>39</v>
      </c>
      <c r="L580">
        <f>VLOOKUP(A580,Marketing_df2!$A$1:$F$2241,3,FALSE)</f>
        <v>0</v>
      </c>
      <c r="M580">
        <f>VLOOKUP(A580,Marketing_df2!$A$1:$F$2241,4,FALSE)</f>
        <v>0</v>
      </c>
      <c r="N580">
        <f>VLOOKUP(A580,Marketing_df2!$A$1:$F$2241,5,FALSE)</f>
        <v>2</v>
      </c>
      <c r="O580">
        <f>VLOOKUP(A580,Marketing_df2!$A$1:$F$2241,6,FALSE)</f>
        <v>4</v>
      </c>
    </row>
    <row r="581" spans="1:15" ht="12.5">
      <c r="A581" s="6">
        <v>579</v>
      </c>
      <c r="B581" s="6">
        <v>5253</v>
      </c>
      <c r="C581" s="6">
        <v>1956</v>
      </c>
      <c r="D581" s="7" t="s">
        <v>14</v>
      </c>
      <c r="E581" s="7" t="s">
        <v>11</v>
      </c>
      <c r="F581" s="6">
        <v>54603</v>
      </c>
      <c r="G581" s="6">
        <v>1</v>
      </c>
      <c r="H581" s="6">
        <v>1</v>
      </c>
      <c r="I581" s="6">
        <f t="shared" si="9"/>
        <v>2</v>
      </c>
      <c r="J581" s="8">
        <v>41464</v>
      </c>
      <c r="K581" s="6">
        <v>85</v>
      </c>
      <c r="L581">
        <f>VLOOKUP(A581,Marketing_df2!$A$1:$F$2241,3,FALSE)</f>
        <v>13</v>
      </c>
      <c r="M581">
        <f>VLOOKUP(A581,Marketing_df2!$A$1:$F$2241,4,FALSE)</f>
        <v>2</v>
      </c>
      <c r="N581">
        <f>VLOOKUP(A581,Marketing_df2!$A$1:$F$2241,5,FALSE)</f>
        <v>4</v>
      </c>
      <c r="O581">
        <f>VLOOKUP(A581,Marketing_df2!$A$1:$F$2241,6,FALSE)</f>
        <v>4</v>
      </c>
    </row>
    <row r="582" spans="1:15" ht="12.5">
      <c r="A582" s="6">
        <v>580</v>
      </c>
      <c r="B582" s="6">
        <v>5966</v>
      </c>
      <c r="C582" s="6">
        <v>1974</v>
      </c>
      <c r="D582" s="7" t="s">
        <v>12</v>
      </c>
      <c r="E582" s="7" t="s">
        <v>13</v>
      </c>
      <c r="F582" s="6">
        <v>45207</v>
      </c>
      <c r="G582" s="6">
        <v>1</v>
      </c>
      <c r="H582" s="6">
        <v>1</v>
      </c>
      <c r="I582" s="6">
        <f t="shared" si="9"/>
        <v>2</v>
      </c>
      <c r="J582" s="9">
        <v>41223</v>
      </c>
      <c r="K582" s="6">
        <v>64</v>
      </c>
      <c r="L582">
        <f>VLOOKUP(A582,Marketing_df2!$A$1:$F$2241,3,FALSE)</f>
        <v>0</v>
      </c>
      <c r="M582">
        <f>VLOOKUP(A582,Marketing_df2!$A$1:$F$2241,4,FALSE)</f>
        <v>0</v>
      </c>
      <c r="N582">
        <f>VLOOKUP(A582,Marketing_df2!$A$1:$F$2241,5,FALSE)</f>
        <v>3</v>
      </c>
      <c r="O582">
        <f>VLOOKUP(A582,Marketing_df2!$A$1:$F$2241,6,FALSE)</f>
        <v>6</v>
      </c>
    </row>
    <row r="583" spans="1:15" ht="12.5">
      <c r="A583" s="6">
        <v>581</v>
      </c>
      <c r="B583" s="6">
        <v>5314</v>
      </c>
      <c r="C583" s="6">
        <v>1951</v>
      </c>
      <c r="D583" s="7" t="s">
        <v>9</v>
      </c>
      <c r="E583" s="7" t="s">
        <v>11</v>
      </c>
      <c r="F583" s="6">
        <v>40689</v>
      </c>
      <c r="G583" s="6">
        <v>0</v>
      </c>
      <c r="H583" s="6">
        <v>1</v>
      </c>
      <c r="I583" s="6">
        <f t="shared" si="9"/>
        <v>1</v>
      </c>
      <c r="J583" s="8">
        <v>41351</v>
      </c>
      <c r="K583" s="6">
        <v>69</v>
      </c>
      <c r="L583">
        <f>VLOOKUP(A583,Marketing_df2!$A$1:$F$2241,3,FALSE)</f>
        <v>3</v>
      </c>
      <c r="M583">
        <f>VLOOKUP(A583,Marketing_df2!$A$1:$F$2241,4,FALSE)</f>
        <v>6</v>
      </c>
      <c r="N583">
        <f>VLOOKUP(A583,Marketing_df2!$A$1:$F$2241,5,FALSE)</f>
        <v>7</v>
      </c>
      <c r="O583">
        <f>VLOOKUP(A583,Marketing_df2!$A$1:$F$2241,6,FALSE)</f>
        <v>5</v>
      </c>
    </row>
    <row r="584" spans="1:15" ht="12.5">
      <c r="A584" s="6">
        <v>582</v>
      </c>
      <c r="B584" s="6">
        <v>5081</v>
      </c>
      <c r="C584" s="6">
        <v>1967</v>
      </c>
      <c r="D584" s="7" t="s">
        <v>17</v>
      </c>
      <c r="E584" s="7" t="s">
        <v>11</v>
      </c>
      <c r="F584" s="6">
        <v>47821</v>
      </c>
      <c r="G584" s="6">
        <v>1</v>
      </c>
      <c r="H584" s="6">
        <v>1</v>
      </c>
      <c r="I584" s="6">
        <f t="shared" si="9"/>
        <v>2</v>
      </c>
      <c r="J584" s="9">
        <v>41567</v>
      </c>
      <c r="K584" s="6">
        <v>54</v>
      </c>
      <c r="L584">
        <f>VLOOKUP(A584,Marketing_df2!$A$1:$F$2241,3,FALSE)</f>
        <v>0</v>
      </c>
      <c r="M584">
        <f>VLOOKUP(A584,Marketing_df2!$A$1:$F$2241,4,FALSE)</f>
        <v>6</v>
      </c>
      <c r="N584">
        <f>VLOOKUP(A584,Marketing_df2!$A$1:$F$2241,5,FALSE)</f>
        <v>1</v>
      </c>
      <c r="O584">
        <f>VLOOKUP(A584,Marketing_df2!$A$1:$F$2241,6,FALSE)</f>
        <v>3</v>
      </c>
    </row>
    <row r="585" spans="1:15" ht="12.5">
      <c r="A585" s="6">
        <v>583</v>
      </c>
      <c r="B585" s="6">
        <v>5123</v>
      </c>
      <c r="C585" s="6">
        <v>1951</v>
      </c>
      <c r="D585" s="7" t="s">
        <v>14</v>
      </c>
      <c r="E585" s="7" t="s">
        <v>13</v>
      </c>
      <c r="F585" s="6">
        <v>27450</v>
      </c>
      <c r="G585" s="6">
        <v>0</v>
      </c>
      <c r="H585" s="6">
        <v>0</v>
      </c>
      <c r="I585" s="6">
        <f t="shared" si="9"/>
        <v>0</v>
      </c>
      <c r="J585" s="8">
        <v>41379</v>
      </c>
      <c r="K585" s="6">
        <v>57</v>
      </c>
      <c r="L585">
        <f>VLOOKUP(A585,Marketing_df2!$A$1:$F$2241,3,FALSE)</f>
        <v>12</v>
      </c>
      <c r="M585">
        <f>VLOOKUP(A585,Marketing_df2!$A$1:$F$2241,4,FALSE)</f>
        <v>11</v>
      </c>
      <c r="N585">
        <f>VLOOKUP(A585,Marketing_df2!$A$1:$F$2241,5,FALSE)</f>
        <v>2</v>
      </c>
      <c r="O585">
        <f>VLOOKUP(A585,Marketing_df2!$A$1:$F$2241,6,FALSE)</f>
        <v>3</v>
      </c>
    </row>
    <row r="586" spans="1:15" ht="12.5">
      <c r="A586" s="6">
        <v>584</v>
      </c>
      <c r="B586" s="6">
        <v>5756</v>
      </c>
      <c r="C586" s="6">
        <v>1983</v>
      </c>
      <c r="D586" s="7" t="s">
        <v>9</v>
      </c>
      <c r="E586" s="7" t="s">
        <v>11</v>
      </c>
      <c r="F586" s="6">
        <v>39453</v>
      </c>
      <c r="G586" s="6">
        <v>1</v>
      </c>
      <c r="H586" s="6">
        <v>0</v>
      </c>
      <c r="I586" s="6">
        <f t="shared" si="9"/>
        <v>1</v>
      </c>
      <c r="J586" s="8">
        <v>41732</v>
      </c>
      <c r="K586" s="6">
        <v>64</v>
      </c>
      <c r="L586">
        <f>VLOOKUP(A586,Marketing_df2!$A$1:$F$2241,3,FALSE)</f>
        <v>0</v>
      </c>
      <c r="M586">
        <f>VLOOKUP(A586,Marketing_df2!$A$1:$F$2241,4,FALSE)</f>
        <v>0</v>
      </c>
      <c r="N586">
        <f>VLOOKUP(A586,Marketing_df2!$A$1:$F$2241,5,FALSE)</f>
        <v>2</v>
      </c>
      <c r="O586">
        <f>VLOOKUP(A586,Marketing_df2!$A$1:$F$2241,6,FALSE)</f>
        <v>3</v>
      </c>
    </row>
    <row r="587" spans="1:15" ht="12.5">
      <c r="A587" s="6">
        <v>585</v>
      </c>
      <c r="B587" s="6">
        <v>8036</v>
      </c>
      <c r="C587" s="6">
        <v>1971</v>
      </c>
      <c r="D587" s="7" t="s">
        <v>17</v>
      </c>
      <c r="E587" s="7" t="s">
        <v>11</v>
      </c>
      <c r="F587" s="6">
        <v>26850</v>
      </c>
      <c r="G587" s="6">
        <v>1</v>
      </c>
      <c r="H587" s="6">
        <v>1</v>
      </c>
      <c r="I587" s="6">
        <f t="shared" si="9"/>
        <v>2</v>
      </c>
      <c r="J587" s="8">
        <v>41747</v>
      </c>
      <c r="K587" s="6">
        <v>10</v>
      </c>
      <c r="L587">
        <f>VLOOKUP(A587,Marketing_df2!$A$1:$F$2241,3,FALSE)</f>
        <v>1</v>
      </c>
      <c r="M587">
        <f>VLOOKUP(A587,Marketing_df2!$A$1:$F$2241,4,FALSE)</f>
        <v>2</v>
      </c>
      <c r="N587">
        <f>VLOOKUP(A587,Marketing_df2!$A$1:$F$2241,5,FALSE)</f>
        <v>2</v>
      </c>
      <c r="O587">
        <f>VLOOKUP(A587,Marketing_df2!$A$1:$F$2241,6,FALSE)</f>
        <v>4</v>
      </c>
    </row>
    <row r="588" spans="1:15" ht="12.5">
      <c r="A588" s="6">
        <v>586</v>
      </c>
      <c r="B588" s="6">
        <v>9058</v>
      </c>
      <c r="C588" s="6">
        <v>1955</v>
      </c>
      <c r="D588" s="7" t="s">
        <v>9</v>
      </c>
      <c r="E588" s="7" t="s">
        <v>18</v>
      </c>
      <c r="F588" s="6">
        <v>79800</v>
      </c>
      <c r="G588" s="6">
        <v>0</v>
      </c>
      <c r="H588" s="6">
        <v>0</v>
      </c>
      <c r="I588" s="6">
        <f t="shared" si="9"/>
        <v>0</v>
      </c>
      <c r="J588" s="8">
        <v>41175</v>
      </c>
      <c r="K588" s="6">
        <v>65</v>
      </c>
      <c r="L588">
        <f>VLOOKUP(A588,Marketing_df2!$A$1:$F$2241,3,FALSE)</f>
        <v>21</v>
      </c>
      <c r="M588">
        <f>VLOOKUP(A588,Marketing_df2!$A$1:$F$2241,4,FALSE)</f>
        <v>0</v>
      </c>
      <c r="N588">
        <f>VLOOKUP(A588,Marketing_df2!$A$1:$F$2241,5,FALSE)</f>
        <v>5</v>
      </c>
      <c r="O588">
        <f>VLOOKUP(A588,Marketing_df2!$A$1:$F$2241,6,FALSE)</f>
        <v>5</v>
      </c>
    </row>
    <row r="589" spans="1:15" ht="12.5">
      <c r="A589" s="6">
        <v>587</v>
      </c>
      <c r="B589" s="6">
        <v>5057</v>
      </c>
      <c r="C589" s="6">
        <v>1961</v>
      </c>
      <c r="D589" s="7" t="s">
        <v>14</v>
      </c>
      <c r="E589" s="7" t="s">
        <v>13</v>
      </c>
      <c r="F589" s="6">
        <v>61794</v>
      </c>
      <c r="G589" s="6">
        <v>0</v>
      </c>
      <c r="H589" s="6">
        <v>1</v>
      </c>
      <c r="I589" s="6">
        <f t="shared" si="9"/>
        <v>1</v>
      </c>
      <c r="J589" s="8">
        <v>41531</v>
      </c>
      <c r="K589" s="6">
        <v>74</v>
      </c>
      <c r="L589">
        <f>VLOOKUP(A589,Marketing_df2!$A$1:$F$2241,3,FALSE)</f>
        <v>47</v>
      </c>
      <c r="M589">
        <f>VLOOKUP(A589,Marketing_df2!$A$1:$F$2241,4,FALSE)</f>
        <v>47</v>
      </c>
      <c r="N589">
        <f>VLOOKUP(A589,Marketing_df2!$A$1:$F$2241,5,FALSE)</f>
        <v>4</v>
      </c>
      <c r="O589">
        <f>VLOOKUP(A589,Marketing_df2!$A$1:$F$2241,6,FALSE)</f>
        <v>10</v>
      </c>
    </row>
    <row r="590" spans="1:15" ht="12.5">
      <c r="A590" s="6">
        <v>588</v>
      </c>
      <c r="B590" s="6">
        <v>254</v>
      </c>
      <c r="C590" s="6">
        <v>1955</v>
      </c>
      <c r="D590" s="7" t="s">
        <v>9</v>
      </c>
      <c r="E590" s="7" t="s">
        <v>11</v>
      </c>
      <c r="F590" s="6">
        <v>53863</v>
      </c>
      <c r="G590" s="6">
        <v>0</v>
      </c>
      <c r="H590" s="6">
        <v>1</v>
      </c>
      <c r="I590" s="6">
        <f t="shared" si="9"/>
        <v>1</v>
      </c>
      <c r="J590" s="8">
        <v>41776</v>
      </c>
      <c r="K590" s="6">
        <v>4</v>
      </c>
      <c r="L590">
        <f>VLOOKUP(A590,Marketing_df2!$A$1:$F$2241,3,FALSE)</f>
        <v>4</v>
      </c>
      <c r="M590">
        <f>VLOOKUP(A590,Marketing_df2!$A$1:$F$2241,4,FALSE)</f>
        <v>4</v>
      </c>
      <c r="N590">
        <f>VLOOKUP(A590,Marketing_df2!$A$1:$F$2241,5,FALSE)</f>
        <v>7</v>
      </c>
      <c r="O590">
        <f>VLOOKUP(A590,Marketing_df2!$A$1:$F$2241,6,FALSE)</f>
        <v>7</v>
      </c>
    </row>
    <row r="591" spans="1:15" ht="12.5">
      <c r="A591" s="6">
        <v>589</v>
      </c>
      <c r="B591" s="6">
        <v>4179</v>
      </c>
      <c r="C591" s="6">
        <v>1959</v>
      </c>
      <c r="D591" s="7" t="s">
        <v>9</v>
      </c>
      <c r="E591" s="7" t="s">
        <v>11</v>
      </c>
      <c r="F591" s="6">
        <v>24221</v>
      </c>
      <c r="G591" s="6">
        <v>0</v>
      </c>
      <c r="H591" s="6">
        <v>0</v>
      </c>
      <c r="I591" s="6">
        <f t="shared" si="9"/>
        <v>0</v>
      </c>
      <c r="J591" s="8">
        <v>41506</v>
      </c>
      <c r="K591" s="6">
        <v>94</v>
      </c>
      <c r="L591">
        <f>VLOOKUP(A591,Marketing_df2!$A$1:$F$2241,3,FALSE)</f>
        <v>9</v>
      </c>
      <c r="M591">
        <f>VLOOKUP(A591,Marketing_df2!$A$1:$F$2241,4,FALSE)</f>
        <v>5</v>
      </c>
      <c r="N591">
        <f>VLOOKUP(A591,Marketing_df2!$A$1:$F$2241,5,FALSE)</f>
        <v>1</v>
      </c>
      <c r="O591">
        <f>VLOOKUP(A591,Marketing_df2!$A$1:$F$2241,6,FALSE)</f>
        <v>3</v>
      </c>
    </row>
    <row r="592" spans="1:15" ht="12.5">
      <c r="A592" s="6">
        <v>590</v>
      </c>
      <c r="B592" s="6">
        <v>3710</v>
      </c>
      <c r="C592" s="6">
        <v>1984</v>
      </c>
      <c r="D592" s="7" t="s">
        <v>12</v>
      </c>
      <c r="E592" s="7" t="s">
        <v>10</v>
      </c>
      <c r="F592" s="6">
        <v>39684</v>
      </c>
      <c r="G592" s="6">
        <v>1</v>
      </c>
      <c r="H592" s="6">
        <v>0</v>
      </c>
      <c r="I592" s="6">
        <f t="shared" si="9"/>
        <v>1</v>
      </c>
      <c r="J592" s="9">
        <v>41194</v>
      </c>
      <c r="K592" s="6">
        <v>41</v>
      </c>
      <c r="L592">
        <f>VLOOKUP(A592,Marketing_df2!$A$1:$F$2241,3,FALSE)</f>
        <v>0</v>
      </c>
      <c r="M592">
        <f>VLOOKUP(A592,Marketing_df2!$A$1:$F$2241,4,FALSE)</f>
        <v>4</v>
      </c>
      <c r="N592">
        <f>VLOOKUP(A592,Marketing_df2!$A$1:$F$2241,5,FALSE)</f>
        <v>2</v>
      </c>
      <c r="O592">
        <f>VLOOKUP(A592,Marketing_df2!$A$1:$F$2241,6,FALSE)</f>
        <v>2</v>
      </c>
    </row>
    <row r="593" spans="1:15" ht="12.5">
      <c r="A593" s="6">
        <v>591</v>
      </c>
      <c r="B593" s="6">
        <v>7627</v>
      </c>
      <c r="C593" s="6">
        <v>1975</v>
      </c>
      <c r="D593" s="7" t="s">
        <v>14</v>
      </c>
      <c r="E593" s="7" t="s">
        <v>13</v>
      </c>
      <c r="F593" s="6">
        <v>92163</v>
      </c>
      <c r="G593" s="6">
        <v>0</v>
      </c>
      <c r="H593" s="6">
        <v>0</v>
      </c>
      <c r="I593" s="6">
        <f t="shared" si="9"/>
        <v>0</v>
      </c>
      <c r="J593" s="9">
        <v>41255</v>
      </c>
      <c r="K593" s="6">
        <v>25</v>
      </c>
      <c r="L593">
        <f>VLOOKUP(A593,Marketing_df2!$A$1:$F$2241,3,FALSE)</f>
        <v>183</v>
      </c>
      <c r="M593">
        <f>VLOOKUP(A593,Marketing_df2!$A$1:$F$2241,4,FALSE)</f>
        <v>163</v>
      </c>
      <c r="N593">
        <f>VLOOKUP(A593,Marketing_df2!$A$1:$F$2241,5,FALSE)</f>
        <v>5</v>
      </c>
      <c r="O593">
        <f>VLOOKUP(A593,Marketing_df2!$A$1:$F$2241,6,FALSE)</f>
        <v>5</v>
      </c>
    </row>
    <row r="594" spans="1:15" ht="12.5">
      <c r="A594" s="6">
        <v>592</v>
      </c>
      <c r="B594" s="6">
        <v>4501</v>
      </c>
      <c r="C594" s="6">
        <v>1965</v>
      </c>
      <c r="D594" s="7" t="s">
        <v>14</v>
      </c>
      <c r="E594" s="7" t="s">
        <v>10</v>
      </c>
      <c r="F594" s="6">
        <v>69882</v>
      </c>
      <c r="G594" s="6">
        <v>0</v>
      </c>
      <c r="H594" s="6">
        <v>0</v>
      </c>
      <c r="I594" s="6">
        <f t="shared" si="9"/>
        <v>0</v>
      </c>
      <c r="J594" s="9">
        <v>41588</v>
      </c>
      <c r="K594" s="6">
        <v>94</v>
      </c>
      <c r="L594">
        <f>VLOOKUP(A594,Marketing_df2!$A$1:$F$2241,3,FALSE)</f>
        <v>127</v>
      </c>
      <c r="M594">
        <f>VLOOKUP(A594,Marketing_df2!$A$1:$F$2241,4,FALSE)</f>
        <v>127</v>
      </c>
      <c r="N594">
        <f>VLOOKUP(A594,Marketing_df2!$A$1:$F$2241,5,FALSE)</f>
        <v>3</v>
      </c>
      <c r="O594">
        <f>VLOOKUP(A594,Marketing_df2!$A$1:$F$2241,6,FALSE)</f>
        <v>9</v>
      </c>
    </row>
    <row r="595" spans="1:15" ht="12.5">
      <c r="A595" s="6">
        <v>593</v>
      </c>
      <c r="B595" s="6">
        <v>6424</v>
      </c>
      <c r="C595" s="6">
        <v>1977</v>
      </c>
      <c r="D595" s="7" t="s">
        <v>9</v>
      </c>
      <c r="E595" s="7" t="s">
        <v>11</v>
      </c>
      <c r="F595" s="6">
        <v>33178</v>
      </c>
      <c r="G595" s="6">
        <v>1</v>
      </c>
      <c r="H595" s="6">
        <v>0</v>
      </c>
      <c r="I595" s="6">
        <f t="shared" si="9"/>
        <v>1</v>
      </c>
      <c r="J595" s="8">
        <v>41669</v>
      </c>
      <c r="K595" s="6">
        <v>9</v>
      </c>
      <c r="L595">
        <f>VLOOKUP(A595,Marketing_df2!$A$1:$F$2241,3,FALSE)</f>
        <v>6</v>
      </c>
      <c r="M595">
        <f>VLOOKUP(A595,Marketing_df2!$A$1:$F$2241,4,FALSE)</f>
        <v>2</v>
      </c>
      <c r="N595">
        <f>VLOOKUP(A595,Marketing_df2!$A$1:$F$2241,5,FALSE)</f>
        <v>1</v>
      </c>
      <c r="O595">
        <f>VLOOKUP(A595,Marketing_df2!$A$1:$F$2241,6,FALSE)</f>
        <v>3</v>
      </c>
    </row>
    <row r="596" spans="1:15" ht="12.5">
      <c r="A596" s="6">
        <v>594</v>
      </c>
      <c r="B596" s="6">
        <v>3075</v>
      </c>
      <c r="C596" s="6">
        <v>1972</v>
      </c>
      <c r="D596" s="7" t="s">
        <v>12</v>
      </c>
      <c r="E596" s="7" t="s">
        <v>13</v>
      </c>
      <c r="F596" s="6">
        <v>59973</v>
      </c>
      <c r="G596" s="6">
        <v>0</v>
      </c>
      <c r="H596" s="6">
        <v>0</v>
      </c>
      <c r="I596" s="6">
        <f t="shared" si="9"/>
        <v>0</v>
      </c>
      <c r="J596" s="8">
        <v>41528</v>
      </c>
      <c r="K596" s="6">
        <v>47</v>
      </c>
      <c r="L596">
        <f>VLOOKUP(A596,Marketing_df2!$A$1:$F$2241,3,FALSE)</f>
        <v>30</v>
      </c>
      <c r="M596">
        <f>VLOOKUP(A596,Marketing_df2!$A$1:$F$2241,4,FALSE)</f>
        <v>34</v>
      </c>
      <c r="N596">
        <f>VLOOKUP(A596,Marketing_df2!$A$1:$F$2241,5,FALSE)</f>
        <v>3</v>
      </c>
      <c r="O596">
        <f>VLOOKUP(A596,Marketing_df2!$A$1:$F$2241,6,FALSE)</f>
        <v>7</v>
      </c>
    </row>
    <row r="597" spans="1:15" ht="12.5">
      <c r="A597" s="6">
        <v>595</v>
      </c>
      <c r="B597" s="6">
        <v>4992</v>
      </c>
      <c r="C597" s="6">
        <v>1975</v>
      </c>
      <c r="D597" s="7" t="s">
        <v>14</v>
      </c>
      <c r="E597" s="7" t="s">
        <v>11</v>
      </c>
      <c r="F597" s="6">
        <v>17459</v>
      </c>
      <c r="G597" s="6">
        <v>1</v>
      </c>
      <c r="H597" s="6">
        <v>0</v>
      </c>
      <c r="I597" s="6">
        <f t="shared" si="9"/>
        <v>1</v>
      </c>
      <c r="J597" s="8">
        <v>41536</v>
      </c>
      <c r="K597" s="6">
        <v>12</v>
      </c>
      <c r="L597">
        <f>VLOOKUP(A597,Marketing_df2!$A$1:$F$2241,3,FALSE)</f>
        <v>4</v>
      </c>
      <c r="M597">
        <f>VLOOKUP(A597,Marketing_df2!$A$1:$F$2241,4,FALSE)</f>
        <v>10</v>
      </c>
      <c r="N597">
        <f>VLOOKUP(A597,Marketing_df2!$A$1:$F$2241,5,FALSE)</f>
        <v>3</v>
      </c>
      <c r="O597">
        <f>VLOOKUP(A597,Marketing_df2!$A$1:$F$2241,6,FALSE)</f>
        <v>2</v>
      </c>
    </row>
    <row r="598" spans="1:15" ht="12.5">
      <c r="A598" s="6">
        <v>596</v>
      </c>
      <c r="B598" s="6">
        <v>5252</v>
      </c>
      <c r="C598" s="6">
        <v>1969</v>
      </c>
      <c r="D598" s="7" t="s">
        <v>9</v>
      </c>
      <c r="E598" s="7" t="s">
        <v>15</v>
      </c>
      <c r="F598" s="6">
        <v>23910</v>
      </c>
      <c r="G598" s="6">
        <v>1</v>
      </c>
      <c r="H598" s="6">
        <v>0</v>
      </c>
      <c r="I598" s="6">
        <f t="shared" si="9"/>
        <v>1</v>
      </c>
      <c r="J598" s="9">
        <v>41208</v>
      </c>
      <c r="K598" s="6">
        <v>80</v>
      </c>
      <c r="L598">
        <f>VLOOKUP(A598,Marketing_df2!$A$1:$F$2241,3,FALSE)</f>
        <v>12</v>
      </c>
      <c r="M598">
        <f>VLOOKUP(A598,Marketing_df2!$A$1:$F$2241,4,FALSE)</f>
        <v>1</v>
      </c>
      <c r="N598">
        <f>VLOOKUP(A598,Marketing_df2!$A$1:$F$2241,5,FALSE)</f>
        <v>2</v>
      </c>
      <c r="O598">
        <f>VLOOKUP(A598,Marketing_df2!$A$1:$F$2241,6,FALSE)</f>
        <v>3</v>
      </c>
    </row>
    <row r="599" spans="1:15" ht="12.5">
      <c r="A599" s="6">
        <v>597</v>
      </c>
      <c r="B599" s="6">
        <v>7444</v>
      </c>
      <c r="C599" s="6">
        <v>1969</v>
      </c>
      <c r="D599" s="7" t="s">
        <v>14</v>
      </c>
      <c r="E599" s="7" t="s">
        <v>13</v>
      </c>
      <c r="F599" s="6">
        <v>42169</v>
      </c>
      <c r="G599" s="6">
        <v>1</v>
      </c>
      <c r="H599" s="6">
        <v>1</v>
      </c>
      <c r="I599" s="6">
        <f t="shared" si="9"/>
        <v>2</v>
      </c>
      <c r="J599" s="9">
        <v>41566</v>
      </c>
      <c r="K599" s="6">
        <v>20</v>
      </c>
      <c r="L599">
        <f>VLOOKUP(A599,Marketing_df2!$A$1:$F$2241,3,FALSE)</f>
        <v>0</v>
      </c>
      <c r="M599">
        <f>VLOOKUP(A599,Marketing_df2!$A$1:$F$2241,4,FALSE)</f>
        <v>0</v>
      </c>
      <c r="N599">
        <f>VLOOKUP(A599,Marketing_df2!$A$1:$F$2241,5,FALSE)</f>
        <v>1</v>
      </c>
      <c r="O599">
        <f>VLOOKUP(A599,Marketing_df2!$A$1:$F$2241,6,FALSE)</f>
        <v>3</v>
      </c>
    </row>
    <row r="600" spans="1:15" ht="12.5">
      <c r="A600" s="6">
        <v>598</v>
      </c>
      <c r="B600" s="6">
        <v>6919</v>
      </c>
      <c r="C600" s="6">
        <v>1978</v>
      </c>
      <c r="D600" s="7" t="s">
        <v>17</v>
      </c>
      <c r="E600" s="7" t="s">
        <v>13</v>
      </c>
      <c r="F600" s="6">
        <v>26224</v>
      </c>
      <c r="G600" s="6">
        <v>1</v>
      </c>
      <c r="H600" s="6">
        <v>0</v>
      </c>
      <c r="I600" s="6">
        <f t="shared" si="9"/>
        <v>1</v>
      </c>
      <c r="J600" s="8">
        <v>41429</v>
      </c>
      <c r="K600" s="6">
        <v>39</v>
      </c>
      <c r="L600">
        <f>VLOOKUP(A600,Marketing_df2!$A$1:$F$2241,3,FALSE)</f>
        <v>7</v>
      </c>
      <c r="M600">
        <f>VLOOKUP(A600,Marketing_df2!$A$1:$F$2241,4,FALSE)</f>
        <v>9</v>
      </c>
      <c r="N600">
        <f>VLOOKUP(A600,Marketing_df2!$A$1:$F$2241,5,FALSE)</f>
        <v>2</v>
      </c>
      <c r="O600">
        <f>VLOOKUP(A600,Marketing_df2!$A$1:$F$2241,6,FALSE)</f>
        <v>3</v>
      </c>
    </row>
    <row r="601" spans="1:15" ht="12.5">
      <c r="A601" s="6">
        <v>599</v>
      </c>
      <c r="B601" s="6">
        <v>3537</v>
      </c>
      <c r="C601" s="6">
        <v>1981</v>
      </c>
      <c r="D601" s="7" t="s">
        <v>9</v>
      </c>
      <c r="E601" s="7" t="s">
        <v>11</v>
      </c>
      <c r="F601" s="6">
        <v>31089</v>
      </c>
      <c r="G601" s="6">
        <v>1</v>
      </c>
      <c r="H601" s="6">
        <v>0</v>
      </c>
      <c r="I601" s="6">
        <f t="shared" si="9"/>
        <v>1</v>
      </c>
      <c r="J601" s="8">
        <v>41138</v>
      </c>
      <c r="K601" s="6">
        <v>57</v>
      </c>
      <c r="L601">
        <f>VLOOKUP(A601,Marketing_df2!$A$1:$F$2241,3,FALSE)</f>
        <v>3</v>
      </c>
      <c r="M601">
        <f>VLOOKUP(A601,Marketing_df2!$A$1:$F$2241,4,FALSE)</f>
        <v>8</v>
      </c>
      <c r="N601">
        <f>VLOOKUP(A601,Marketing_df2!$A$1:$F$2241,5,FALSE)</f>
        <v>3</v>
      </c>
      <c r="O601">
        <f>VLOOKUP(A601,Marketing_df2!$A$1:$F$2241,6,FALSE)</f>
        <v>4</v>
      </c>
    </row>
    <row r="602" spans="1:15" ht="12.5">
      <c r="A602" s="6">
        <v>600</v>
      </c>
      <c r="B602" s="6">
        <v>10277</v>
      </c>
      <c r="C602" s="6">
        <v>1961</v>
      </c>
      <c r="D602" s="7" t="s">
        <v>9</v>
      </c>
      <c r="E602" s="7" t="s">
        <v>10</v>
      </c>
      <c r="F602" s="6">
        <v>30081</v>
      </c>
      <c r="G602" s="6">
        <v>0</v>
      </c>
      <c r="H602" s="6">
        <v>1</v>
      </c>
      <c r="I602" s="6">
        <f t="shared" si="9"/>
        <v>1</v>
      </c>
      <c r="J602" s="8">
        <v>41326</v>
      </c>
      <c r="K602" s="6">
        <v>27</v>
      </c>
      <c r="L602">
        <f>VLOOKUP(A602,Marketing_df2!$A$1:$F$2241,3,FALSE)</f>
        <v>0</v>
      </c>
      <c r="M602">
        <f>VLOOKUP(A602,Marketing_df2!$A$1:$F$2241,4,FALSE)</f>
        <v>0</v>
      </c>
      <c r="N602">
        <f>VLOOKUP(A602,Marketing_df2!$A$1:$F$2241,5,FALSE)</f>
        <v>1</v>
      </c>
      <c r="O602">
        <f>VLOOKUP(A602,Marketing_df2!$A$1:$F$2241,6,FALSE)</f>
        <v>3</v>
      </c>
    </row>
    <row r="603" spans="1:15" ht="12.5">
      <c r="A603" s="6">
        <v>601</v>
      </c>
      <c r="B603" s="6">
        <v>2453</v>
      </c>
      <c r="C603" s="6">
        <v>1960</v>
      </c>
      <c r="D603" s="7" t="s">
        <v>9</v>
      </c>
      <c r="E603" s="7" t="s">
        <v>11</v>
      </c>
      <c r="F603" s="6">
        <v>62807</v>
      </c>
      <c r="G603" s="6">
        <v>0</v>
      </c>
      <c r="H603" s="6">
        <v>1</v>
      </c>
      <c r="I603" s="6">
        <f t="shared" si="9"/>
        <v>1</v>
      </c>
      <c r="J603" s="8">
        <v>41152</v>
      </c>
      <c r="K603" s="6">
        <v>83</v>
      </c>
      <c r="L603">
        <f>VLOOKUP(A603,Marketing_df2!$A$1:$F$2241,3,FALSE)</f>
        <v>28</v>
      </c>
      <c r="M603">
        <f>VLOOKUP(A603,Marketing_df2!$A$1:$F$2241,4,FALSE)</f>
        <v>21</v>
      </c>
      <c r="N603">
        <f>VLOOKUP(A603,Marketing_df2!$A$1:$F$2241,5,FALSE)</f>
        <v>5</v>
      </c>
      <c r="O603">
        <f>VLOOKUP(A603,Marketing_df2!$A$1:$F$2241,6,FALSE)</f>
        <v>12</v>
      </c>
    </row>
    <row r="604" spans="1:15" ht="12.5">
      <c r="A604" s="6">
        <v>602</v>
      </c>
      <c r="B604" s="6">
        <v>7972</v>
      </c>
      <c r="C604" s="6">
        <v>1955</v>
      </c>
      <c r="D604" s="7" t="s">
        <v>9</v>
      </c>
      <c r="E604" s="7" t="s">
        <v>10</v>
      </c>
      <c r="F604" s="6">
        <v>72906</v>
      </c>
      <c r="G604" s="6">
        <v>0</v>
      </c>
      <c r="H604" s="6">
        <v>0</v>
      </c>
      <c r="I604" s="6">
        <f t="shared" si="9"/>
        <v>0</v>
      </c>
      <c r="J604" s="8">
        <v>41534</v>
      </c>
      <c r="K604" s="6">
        <v>79</v>
      </c>
      <c r="L604">
        <f>VLOOKUP(A604,Marketing_df2!$A$1:$F$2241,3,FALSE)</f>
        <v>32</v>
      </c>
      <c r="M604">
        <f>VLOOKUP(A604,Marketing_df2!$A$1:$F$2241,4,FALSE)</f>
        <v>75</v>
      </c>
      <c r="N604">
        <f>VLOOKUP(A604,Marketing_df2!$A$1:$F$2241,5,FALSE)</f>
        <v>3</v>
      </c>
      <c r="O604">
        <f>VLOOKUP(A604,Marketing_df2!$A$1:$F$2241,6,FALSE)</f>
        <v>9</v>
      </c>
    </row>
    <row r="605" spans="1:15" ht="12.5">
      <c r="A605" s="6">
        <v>603</v>
      </c>
      <c r="B605" s="6">
        <v>895</v>
      </c>
      <c r="C605" s="6">
        <v>1948</v>
      </c>
      <c r="D605" s="7" t="s">
        <v>12</v>
      </c>
      <c r="E605" s="7" t="s">
        <v>13</v>
      </c>
      <c r="F605" s="6">
        <v>61467</v>
      </c>
      <c r="G605" s="6">
        <v>0</v>
      </c>
      <c r="H605" s="6">
        <v>2</v>
      </c>
      <c r="I605" s="6">
        <f t="shared" si="9"/>
        <v>2</v>
      </c>
      <c r="J605" s="8">
        <v>41252</v>
      </c>
      <c r="K605" s="6">
        <v>69</v>
      </c>
      <c r="L605">
        <f>VLOOKUP(A605,Marketing_df2!$A$1:$F$2241,3,FALSE)</f>
        <v>16</v>
      </c>
      <c r="M605">
        <f>VLOOKUP(A605,Marketing_df2!$A$1:$F$2241,4,FALSE)</f>
        <v>5</v>
      </c>
      <c r="N605">
        <f>VLOOKUP(A605,Marketing_df2!$A$1:$F$2241,5,FALSE)</f>
        <v>5</v>
      </c>
      <c r="O605">
        <f>VLOOKUP(A605,Marketing_df2!$A$1:$F$2241,6,FALSE)</f>
        <v>10</v>
      </c>
    </row>
    <row r="606" spans="1:15" ht="12.5">
      <c r="A606" s="6">
        <v>604</v>
      </c>
      <c r="B606" s="6">
        <v>1177</v>
      </c>
      <c r="C606" s="6">
        <v>1966</v>
      </c>
      <c r="D606" s="7" t="s">
        <v>14</v>
      </c>
      <c r="E606" s="7" t="s">
        <v>11</v>
      </c>
      <c r="F606" s="6">
        <v>49618</v>
      </c>
      <c r="G606" s="6">
        <v>1</v>
      </c>
      <c r="H606" s="6">
        <v>1</v>
      </c>
      <c r="I606" s="6">
        <f t="shared" si="9"/>
        <v>2</v>
      </c>
      <c r="J606" s="8">
        <v>41300</v>
      </c>
      <c r="K606" s="6">
        <v>77</v>
      </c>
      <c r="L606">
        <f>VLOOKUP(A606,Marketing_df2!$A$1:$F$2241,3,FALSE)</f>
        <v>3</v>
      </c>
      <c r="M606">
        <f>VLOOKUP(A606,Marketing_df2!$A$1:$F$2241,4,FALSE)</f>
        <v>2</v>
      </c>
      <c r="N606">
        <f>VLOOKUP(A606,Marketing_df2!$A$1:$F$2241,5,FALSE)</f>
        <v>3</v>
      </c>
      <c r="O606">
        <f>VLOOKUP(A606,Marketing_df2!$A$1:$F$2241,6,FALSE)</f>
        <v>3</v>
      </c>
    </row>
    <row r="607" spans="1:15" ht="12.5">
      <c r="A607" s="6">
        <v>605</v>
      </c>
      <c r="B607" s="6">
        <v>7141</v>
      </c>
      <c r="C607" s="6">
        <v>1986</v>
      </c>
      <c r="D607" s="7" t="s">
        <v>14</v>
      </c>
      <c r="E607" s="7" t="s">
        <v>10</v>
      </c>
      <c r="F607" s="6">
        <v>21888</v>
      </c>
      <c r="G607" s="6">
        <v>1</v>
      </c>
      <c r="H607" s="6">
        <v>0</v>
      </c>
      <c r="I607" s="6">
        <f t="shared" si="9"/>
        <v>1</v>
      </c>
      <c r="J607" s="9">
        <v>41272</v>
      </c>
      <c r="K607" s="6">
        <v>15</v>
      </c>
      <c r="L607">
        <f>VLOOKUP(A607,Marketing_df2!$A$1:$F$2241,3,FALSE)</f>
        <v>10</v>
      </c>
      <c r="M607">
        <f>VLOOKUP(A607,Marketing_df2!$A$1:$F$2241,4,FALSE)</f>
        <v>3</v>
      </c>
      <c r="N607">
        <f>VLOOKUP(A607,Marketing_df2!$A$1:$F$2241,5,FALSE)</f>
        <v>5</v>
      </c>
      <c r="O607">
        <f>VLOOKUP(A607,Marketing_df2!$A$1:$F$2241,6,FALSE)</f>
        <v>2</v>
      </c>
    </row>
    <row r="608" spans="1:15" ht="12.5">
      <c r="A608" s="6">
        <v>606</v>
      </c>
      <c r="B608" s="6">
        <v>7232</v>
      </c>
      <c r="C608" s="6">
        <v>1973</v>
      </c>
      <c r="D608" s="7" t="s">
        <v>9</v>
      </c>
      <c r="E608" s="7" t="s">
        <v>18</v>
      </c>
      <c r="F608" s="6">
        <v>42429</v>
      </c>
      <c r="G608" s="6">
        <v>0</v>
      </c>
      <c r="H608" s="6">
        <v>1</v>
      </c>
      <c r="I608" s="6">
        <f t="shared" si="9"/>
        <v>1</v>
      </c>
      <c r="J608" s="8">
        <v>41681</v>
      </c>
      <c r="K608" s="6">
        <v>99</v>
      </c>
      <c r="L608">
        <f>VLOOKUP(A608,Marketing_df2!$A$1:$F$2241,3,FALSE)</f>
        <v>0</v>
      </c>
      <c r="M608">
        <f>VLOOKUP(A608,Marketing_df2!$A$1:$F$2241,4,FALSE)</f>
        <v>0</v>
      </c>
      <c r="N608">
        <f>VLOOKUP(A608,Marketing_df2!$A$1:$F$2241,5,FALSE)</f>
        <v>1</v>
      </c>
      <c r="O608">
        <f>VLOOKUP(A608,Marketing_df2!$A$1:$F$2241,6,FALSE)</f>
        <v>3</v>
      </c>
    </row>
    <row r="609" spans="1:15" ht="12.5">
      <c r="A609" s="6">
        <v>607</v>
      </c>
      <c r="B609" s="6">
        <v>8477</v>
      </c>
      <c r="C609" s="6">
        <v>1956</v>
      </c>
      <c r="D609" s="7" t="s">
        <v>9</v>
      </c>
      <c r="E609" s="7" t="s">
        <v>15</v>
      </c>
      <c r="F609" s="6">
        <v>26150</v>
      </c>
      <c r="G609" s="6">
        <v>2</v>
      </c>
      <c r="H609" s="6">
        <v>1</v>
      </c>
      <c r="I609" s="6">
        <f t="shared" si="9"/>
        <v>3</v>
      </c>
      <c r="J609" s="8">
        <v>41344</v>
      </c>
      <c r="K609" s="6">
        <v>61</v>
      </c>
      <c r="L609">
        <f>VLOOKUP(A609,Marketing_df2!$A$1:$F$2241,3,FALSE)</f>
        <v>1</v>
      </c>
      <c r="M609">
        <f>VLOOKUP(A609,Marketing_df2!$A$1:$F$2241,4,FALSE)</f>
        <v>5</v>
      </c>
      <c r="N609">
        <f>VLOOKUP(A609,Marketing_df2!$A$1:$F$2241,5,FALSE)</f>
        <v>1</v>
      </c>
      <c r="O609">
        <f>VLOOKUP(A609,Marketing_df2!$A$1:$F$2241,6,FALSE)</f>
        <v>3</v>
      </c>
    </row>
    <row r="610" spans="1:15" ht="12.5">
      <c r="A610" s="6">
        <v>608</v>
      </c>
      <c r="B610" s="6">
        <v>2457</v>
      </c>
      <c r="C610" s="6">
        <v>1975</v>
      </c>
      <c r="D610" s="7" t="s">
        <v>16</v>
      </c>
      <c r="E610" s="7" t="s">
        <v>13</v>
      </c>
      <c r="F610" s="6">
        <v>30801</v>
      </c>
      <c r="G610" s="6">
        <v>0</v>
      </c>
      <c r="H610" s="6">
        <v>1</v>
      </c>
      <c r="I610" s="6">
        <f t="shared" si="9"/>
        <v>1</v>
      </c>
      <c r="J610" s="9">
        <v>41208</v>
      </c>
      <c r="K610" s="6">
        <v>23</v>
      </c>
      <c r="L610">
        <f>VLOOKUP(A610,Marketing_df2!$A$1:$F$2241,3,FALSE)</f>
        <v>4</v>
      </c>
      <c r="M610">
        <f>VLOOKUP(A610,Marketing_df2!$A$1:$F$2241,4,FALSE)</f>
        <v>2</v>
      </c>
      <c r="N610">
        <f>VLOOKUP(A610,Marketing_df2!$A$1:$F$2241,5,FALSE)</f>
        <v>1</v>
      </c>
      <c r="O610">
        <f>VLOOKUP(A610,Marketing_df2!$A$1:$F$2241,6,FALSE)</f>
        <v>3</v>
      </c>
    </row>
    <row r="611" spans="1:15" ht="12.5">
      <c r="A611" s="6">
        <v>609</v>
      </c>
      <c r="B611" s="6">
        <v>988</v>
      </c>
      <c r="C611" s="6">
        <v>1965</v>
      </c>
      <c r="D611" s="7" t="s">
        <v>9</v>
      </c>
      <c r="E611" s="7" t="s">
        <v>13</v>
      </c>
      <c r="F611" s="6">
        <v>81168</v>
      </c>
      <c r="G611" s="6">
        <v>0</v>
      </c>
      <c r="H611" s="6">
        <v>0</v>
      </c>
      <c r="I611" s="6">
        <f t="shared" si="9"/>
        <v>0</v>
      </c>
      <c r="J611" s="8">
        <v>41766</v>
      </c>
      <c r="K611" s="6">
        <v>84</v>
      </c>
      <c r="L611">
        <f>VLOOKUP(A611,Marketing_df2!$A$1:$F$2241,3,FALSE)</f>
        <v>0</v>
      </c>
      <c r="M611">
        <f>VLOOKUP(A611,Marketing_df2!$A$1:$F$2241,4,FALSE)</f>
        <v>22</v>
      </c>
      <c r="N611">
        <f>VLOOKUP(A611,Marketing_df2!$A$1:$F$2241,5,FALSE)</f>
        <v>6</v>
      </c>
      <c r="O611">
        <f>VLOOKUP(A611,Marketing_df2!$A$1:$F$2241,6,FALSE)</f>
        <v>7</v>
      </c>
    </row>
    <row r="612" spans="1:15" ht="12.5">
      <c r="A612" s="6">
        <v>610</v>
      </c>
      <c r="B612" s="6">
        <v>7930</v>
      </c>
      <c r="C612" s="6">
        <v>1969</v>
      </c>
      <c r="D612" s="7" t="s">
        <v>14</v>
      </c>
      <c r="E612" s="7" t="s">
        <v>10</v>
      </c>
      <c r="F612" s="6">
        <v>26877</v>
      </c>
      <c r="G612" s="6">
        <v>0</v>
      </c>
      <c r="H612" s="6">
        <v>0</v>
      </c>
      <c r="I612" s="6">
        <f t="shared" si="9"/>
        <v>0</v>
      </c>
      <c r="J612" s="8">
        <v>41505</v>
      </c>
      <c r="K612" s="6">
        <v>74</v>
      </c>
      <c r="L612">
        <f>VLOOKUP(A612,Marketing_df2!$A$1:$F$2241,3,FALSE)</f>
        <v>13</v>
      </c>
      <c r="M612">
        <f>VLOOKUP(A612,Marketing_df2!$A$1:$F$2241,4,FALSE)</f>
        <v>18</v>
      </c>
      <c r="N612">
        <f>VLOOKUP(A612,Marketing_df2!$A$1:$F$2241,5,FALSE)</f>
        <v>3</v>
      </c>
      <c r="O612">
        <f>VLOOKUP(A612,Marketing_df2!$A$1:$F$2241,6,FALSE)</f>
        <v>6</v>
      </c>
    </row>
    <row r="613" spans="1:15" ht="12.5">
      <c r="A613" s="6">
        <v>611</v>
      </c>
      <c r="B613" s="6">
        <v>4587</v>
      </c>
      <c r="C613" s="6">
        <v>1944</v>
      </c>
      <c r="D613" s="7" t="s">
        <v>14</v>
      </c>
      <c r="E613" s="7" t="s">
        <v>18</v>
      </c>
      <c r="F613" s="6">
        <v>45006</v>
      </c>
      <c r="G613" s="6">
        <v>0</v>
      </c>
      <c r="H613" s="6">
        <v>0</v>
      </c>
      <c r="I613" s="6">
        <f t="shared" si="9"/>
        <v>0</v>
      </c>
      <c r="J613" s="8">
        <v>41473</v>
      </c>
      <c r="K613" s="6">
        <v>90</v>
      </c>
      <c r="L613">
        <f>VLOOKUP(A613,Marketing_df2!$A$1:$F$2241,3,FALSE)</f>
        <v>25</v>
      </c>
      <c r="M613">
        <f>VLOOKUP(A613,Marketing_df2!$A$1:$F$2241,4,FALSE)</f>
        <v>0</v>
      </c>
      <c r="N613">
        <f>VLOOKUP(A613,Marketing_df2!$A$1:$F$2241,5,FALSE)</f>
        <v>3</v>
      </c>
      <c r="O613">
        <f>VLOOKUP(A613,Marketing_df2!$A$1:$F$2241,6,FALSE)</f>
        <v>7</v>
      </c>
    </row>
    <row r="614" spans="1:15" ht="12.5">
      <c r="A614" s="6">
        <v>612</v>
      </c>
      <c r="B614" s="6">
        <v>6682</v>
      </c>
      <c r="C614" s="6">
        <v>1973</v>
      </c>
      <c r="D614" s="7" t="s">
        <v>16</v>
      </c>
      <c r="E614" s="7" t="s">
        <v>13</v>
      </c>
      <c r="F614" s="6">
        <v>18978</v>
      </c>
      <c r="G614" s="6">
        <v>1</v>
      </c>
      <c r="H614" s="6">
        <v>0</v>
      </c>
      <c r="I614" s="6">
        <f t="shared" si="9"/>
        <v>1</v>
      </c>
      <c r="J614" s="9">
        <v>41254</v>
      </c>
      <c r="K614" s="6">
        <v>41</v>
      </c>
      <c r="L614">
        <f>VLOOKUP(A614,Marketing_df2!$A$1:$F$2241,3,FALSE)</f>
        <v>8</v>
      </c>
      <c r="M614">
        <f>VLOOKUP(A614,Marketing_df2!$A$1:$F$2241,4,FALSE)</f>
        <v>7</v>
      </c>
      <c r="N614">
        <f>VLOOKUP(A614,Marketing_df2!$A$1:$F$2241,5,FALSE)</f>
        <v>1</v>
      </c>
      <c r="O614">
        <f>VLOOKUP(A614,Marketing_df2!$A$1:$F$2241,6,FALSE)</f>
        <v>3</v>
      </c>
    </row>
    <row r="615" spans="1:15" ht="12.5">
      <c r="A615" s="6">
        <v>613</v>
      </c>
      <c r="B615" s="6">
        <v>6222</v>
      </c>
      <c r="C615" s="6">
        <v>1967</v>
      </c>
      <c r="D615" s="7" t="s">
        <v>9</v>
      </c>
      <c r="E615" s="7" t="s">
        <v>13</v>
      </c>
      <c r="F615" s="6">
        <v>22574</v>
      </c>
      <c r="G615" s="6">
        <v>2</v>
      </c>
      <c r="H615" s="6">
        <v>1</v>
      </c>
      <c r="I615" s="6">
        <f t="shared" si="9"/>
        <v>3</v>
      </c>
      <c r="J615" s="9">
        <v>41575</v>
      </c>
      <c r="K615" s="6">
        <v>28</v>
      </c>
      <c r="L615">
        <f>VLOOKUP(A615,Marketing_df2!$A$1:$F$2241,3,FALSE)</f>
        <v>0</v>
      </c>
      <c r="M615">
        <f>VLOOKUP(A615,Marketing_df2!$A$1:$F$2241,4,FALSE)</f>
        <v>0</v>
      </c>
      <c r="N615">
        <f>VLOOKUP(A615,Marketing_df2!$A$1:$F$2241,5,FALSE)</f>
        <v>2</v>
      </c>
      <c r="O615">
        <f>VLOOKUP(A615,Marketing_df2!$A$1:$F$2241,6,FALSE)</f>
        <v>3</v>
      </c>
    </row>
    <row r="616" spans="1:15" ht="12.5">
      <c r="A616" s="6">
        <v>614</v>
      </c>
      <c r="B616" s="6">
        <v>10299</v>
      </c>
      <c r="C616" s="6">
        <v>1969</v>
      </c>
      <c r="D616" s="7" t="s">
        <v>12</v>
      </c>
      <c r="E616" s="7" t="s">
        <v>10</v>
      </c>
      <c r="F616" s="6">
        <v>48240</v>
      </c>
      <c r="G616" s="6">
        <v>0</v>
      </c>
      <c r="H616" s="6">
        <v>0</v>
      </c>
      <c r="I616" s="6">
        <f t="shared" si="9"/>
        <v>0</v>
      </c>
      <c r="J616" s="8">
        <v>41222</v>
      </c>
      <c r="K616" s="6">
        <v>73</v>
      </c>
      <c r="L616">
        <f>VLOOKUP(A616,Marketing_df2!$A$1:$F$2241,3,FALSE)</f>
        <v>91</v>
      </c>
      <c r="M616">
        <f>VLOOKUP(A616,Marketing_df2!$A$1:$F$2241,4,FALSE)</f>
        <v>49</v>
      </c>
      <c r="N616">
        <f>VLOOKUP(A616,Marketing_df2!$A$1:$F$2241,5,FALSE)</f>
        <v>6</v>
      </c>
      <c r="O616">
        <f>VLOOKUP(A616,Marketing_df2!$A$1:$F$2241,6,FALSE)</f>
        <v>13</v>
      </c>
    </row>
    <row r="617" spans="1:15" ht="12.5">
      <c r="A617" s="6">
        <v>615</v>
      </c>
      <c r="B617" s="6">
        <v>3083</v>
      </c>
      <c r="C617" s="6">
        <v>1974</v>
      </c>
      <c r="D617" s="7" t="s">
        <v>9</v>
      </c>
      <c r="E617" s="7" t="s">
        <v>13</v>
      </c>
      <c r="F617" s="6">
        <v>45837</v>
      </c>
      <c r="G617" s="6">
        <v>1</v>
      </c>
      <c r="H617" s="6">
        <v>1</v>
      </c>
      <c r="I617" s="6">
        <f t="shared" si="9"/>
        <v>2</v>
      </c>
      <c r="J617" s="8">
        <v>41481</v>
      </c>
      <c r="K617" s="6">
        <v>88</v>
      </c>
      <c r="L617">
        <f>VLOOKUP(A617,Marketing_df2!$A$1:$F$2241,3,FALSE)</f>
        <v>13</v>
      </c>
      <c r="M617">
        <f>VLOOKUP(A617,Marketing_df2!$A$1:$F$2241,4,FALSE)</f>
        <v>17</v>
      </c>
      <c r="N617">
        <f>VLOOKUP(A617,Marketing_df2!$A$1:$F$2241,5,FALSE)</f>
        <v>6</v>
      </c>
      <c r="O617">
        <f>VLOOKUP(A617,Marketing_df2!$A$1:$F$2241,6,FALSE)</f>
        <v>5</v>
      </c>
    </row>
    <row r="618" spans="1:15" ht="12.5">
      <c r="A618" s="6">
        <v>616</v>
      </c>
      <c r="B618" s="6">
        <v>8953</v>
      </c>
      <c r="C618" s="6">
        <v>1965</v>
      </c>
      <c r="D618" s="7" t="s">
        <v>14</v>
      </c>
      <c r="E618" s="7" t="s">
        <v>10</v>
      </c>
      <c r="F618" s="6">
        <v>35791</v>
      </c>
      <c r="G618" s="6">
        <v>2</v>
      </c>
      <c r="H618" s="6">
        <v>1</v>
      </c>
      <c r="I618" s="6">
        <f t="shared" si="9"/>
        <v>3</v>
      </c>
      <c r="J618" s="8">
        <v>41400</v>
      </c>
      <c r="K618" s="6">
        <v>94</v>
      </c>
      <c r="L618">
        <f>VLOOKUP(A618,Marketing_df2!$A$1:$F$2241,3,FALSE)</f>
        <v>0</v>
      </c>
      <c r="M618">
        <f>VLOOKUP(A618,Marketing_df2!$A$1:$F$2241,4,FALSE)</f>
        <v>0</v>
      </c>
      <c r="N618">
        <f>VLOOKUP(A618,Marketing_df2!$A$1:$F$2241,5,FALSE)</f>
        <v>1</v>
      </c>
      <c r="O618">
        <f>VLOOKUP(A618,Marketing_df2!$A$1:$F$2241,6,FALSE)</f>
        <v>3</v>
      </c>
    </row>
    <row r="619" spans="1:15" ht="12.5">
      <c r="A619" s="6">
        <v>617</v>
      </c>
      <c r="B619" s="6">
        <v>1503</v>
      </c>
      <c r="C619" s="6">
        <v>1976</v>
      </c>
      <c r="D619" s="7" t="s">
        <v>12</v>
      </c>
      <c r="E619" s="7" t="s">
        <v>11</v>
      </c>
      <c r="F619" s="6">
        <v>162397</v>
      </c>
      <c r="G619" s="6">
        <v>1</v>
      </c>
      <c r="H619" s="6">
        <v>1</v>
      </c>
      <c r="I619" s="6">
        <f t="shared" si="9"/>
        <v>2</v>
      </c>
      <c r="J619" s="8">
        <v>41428</v>
      </c>
      <c r="K619" s="6">
        <v>31</v>
      </c>
      <c r="L619">
        <f>VLOOKUP(A619,Marketing_df2!$A$1:$F$2241,3,FALSE)</f>
        <v>1</v>
      </c>
      <c r="M619">
        <f>VLOOKUP(A619,Marketing_df2!$A$1:$F$2241,4,FALSE)</f>
        <v>1</v>
      </c>
      <c r="N619">
        <f>VLOOKUP(A619,Marketing_df2!$A$1:$F$2241,5,FALSE)</f>
        <v>0</v>
      </c>
      <c r="O619">
        <f>VLOOKUP(A619,Marketing_df2!$A$1:$F$2241,6,FALSE)</f>
        <v>1</v>
      </c>
    </row>
    <row r="620" spans="1:15" ht="12.5">
      <c r="A620" s="6">
        <v>618</v>
      </c>
      <c r="B620" s="6">
        <v>8650</v>
      </c>
      <c r="C620" s="6">
        <v>1978</v>
      </c>
      <c r="D620" s="7" t="s">
        <v>9</v>
      </c>
      <c r="E620" s="7" t="s">
        <v>18</v>
      </c>
      <c r="F620" s="6">
        <v>54162</v>
      </c>
      <c r="G620" s="6">
        <v>1</v>
      </c>
      <c r="H620" s="6">
        <v>1</v>
      </c>
      <c r="I620" s="6">
        <f t="shared" si="9"/>
        <v>2</v>
      </c>
      <c r="J620" s="8">
        <v>41351</v>
      </c>
      <c r="K620" s="6">
        <v>31</v>
      </c>
      <c r="L620">
        <f>VLOOKUP(A620,Marketing_df2!$A$1:$F$2241,3,FALSE)</f>
        <v>6</v>
      </c>
      <c r="M620">
        <f>VLOOKUP(A620,Marketing_df2!$A$1:$F$2241,4,FALSE)</f>
        <v>5</v>
      </c>
      <c r="N620">
        <f>VLOOKUP(A620,Marketing_df2!$A$1:$F$2241,5,FALSE)</f>
        <v>1</v>
      </c>
      <c r="O620">
        <f>VLOOKUP(A620,Marketing_df2!$A$1:$F$2241,6,FALSE)</f>
        <v>3</v>
      </c>
    </row>
    <row r="621" spans="1:15" ht="12.5">
      <c r="A621" s="6">
        <v>619</v>
      </c>
      <c r="B621" s="6">
        <v>10862</v>
      </c>
      <c r="C621" s="6">
        <v>1960</v>
      </c>
      <c r="D621" s="7" t="s">
        <v>14</v>
      </c>
      <c r="E621" s="7" t="s">
        <v>13</v>
      </c>
      <c r="F621" s="6">
        <v>30522</v>
      </c>
      <c r="G621" s="6">
        <v>0</v>
      </c>
      <c r="H621" s="6">
        <v>1</v>
      </c>
      <c r="I621" s="6">
        <f t="shared" si="9"/>
        <v>1</v>
      </c>
      <c r="J621" s="8">
        <v>41138</v>
      </c>
      <c r="K621" s="6">
        <v>6</v>
      </c>
      <c r="L621">
        <f>VLOOKUP(A621,Marketing_df2!$A$1:$F$2241,3,FALSE)</f>
        <v>8</v>
      </c>
      <c r="M621">
        <f>VLOOKUP(A621,Marketing_df2!$A$1:$F$2241,4,FALSE)</f>
        <v>11</v>
      </c>
      <c r="N621">
        <f>VLOOKUP(A621,Marketing_df2!$A$1:$F$2241,5,FALSE)</f>
        <v>1</v>
      </c>
      <c r="O621">
        <f>VLOOKUP(A621,Marketing_df2!$A$1:$F$2241,6,FALSE)</f>
        <v>9</v>
      </c>
    </row>
    <row r="622" spans="1:15" ht="12.5">
      <c r="A622" s="6">
        <v>620</v>
      </c>
      <c r="B622" s="6">
        <v>2782</v>
      </c>
      <c r="C622" s="6">
        <v>1961</v>
      </c>
      <c r="D622" s="7" t="s">
        <v>12</v>
      </c>
      <c r="E622" s="7" t="s">
        <v>13</v>
      </c>
      <c r="F622" s="6">
        <v>54456</v>
      </c>
      <c r="G622" s="6">
        <v>0</v>
      </c>
      <c r="H622" s="6">
        <v>1</v>
      </c>
      <c r="I622" s="6">
        <f t="shared" si="9"/>
        <v>1</v>
      </c>
      <c r="J622" s="8">
        <v>41466</v>
      </c>
      <c r="K622" s="6">
        <v>23</v>
      </c>
      <c r="L622">
        <f>VLOOKUP(A622,Marketing_df2!$A$1:$F$2241,3,FALSE)</f>
        <v>0</v>
      </c>
      <c r="M622">
        <f>VLOOKUP(A622,Marketing_df2!$A$1:$F$2241,4,FALSE)</f>
        <v>0</v>
      </c>
      <c r="N622">
        <f>VLOOKUP(A622,Marketing_df2!$A$1:$F$2241,5,FALSE)</f>
        <v>6</v>
      </c>
      <c r="O622">
        <f>VLOOKUP(A622,Marketing_df2!$A$1:$F$2241,6,FALSE)</f>
        <v>7</v>
      </c>
    </row>
    <row r="623" spans="1:15" ht="12.5">
      <c r="A623" s="6">
        <v>621</v>
      </c>
      <c r="B623" s="6">
        <v>6941</v>
      </c>
      <c r="C623" s="6">
        <v>1971</v>
      </c>
      <c r="D623" s="7" t="s">
        <v>9</v>
      </c>
      <c r="E623" s="7" t="s">
        <v>10</v>
      </c>
      <c r="F623" s="6">
        <v>31632</v>
      </c>
      <c r="G623" s="6">
        <v>0</v>
      </c>
      <c r="H623" s="6">
        <v>0</v>
      </c>
      <c r="I623" s="6">
        <f t="shared" si="9"/>
        <v>0</v>
      </c>
      <c r="J623" s="8">
        <v>41469</v>
      </c>
      <c r="K623" s="6">
        <v>92</v>
      </c>
      <c r="L623">
        <f>VLOOKUP(A623,Marketing_df2!$A$1:$F$2241,3,FALSE)</f>
        <v>8</v>
      </c>
      <c r="M623">
        <f>VLOOKUP(A623,Marketing_df2!$A$1:$F$2241,4,FALSE)</f>
        <v>15</v>
      </c>
      <c r="N623">
        <f>VLOOKUP(A623,Marketing_df2!$A$1:$F$2241,5,FALSE)</f>
        <v>2</v>
      </c>
      <c r="O623">
        <f>VLOOKUP(A623,Marketing_df2!$A$1:$F$2241,6,FALSE)</f>
        <v>2</v>
      </c>
    </row>
    <row r="624" spans="1:15" ht="12.5">
      <c r="A624" s="6">
        <v>622</v>
      </c>
      <c r="B624" s="6">
        <v>10972</v>
      </c>
      <c r="C624" s="6">
        <v>1949</v>
      </c>
      <c r="D624" s="7" t="s">
        <v>9</v>
      </c>
      <c r="E624" s="7" t="s">
        <v>18</v>
      </c>
      <c r="F624" s="6">
        <v>72298</v>
      </c>
      <c r="G624" s="6">
        <v>0</v>
      </c>
      <c r="H624" s="6">
        <v>0</v>
      </c>
      <c r="I624" s="6">
        <f t="shared" si="9"/>
        <v>0</v>
      </c>
      <c r="J624" s="8">
        <v>41708</v>
      </c>
      <c r="K624" s="6">
        <v>52</v>
      </c>
      <c r="L624">
        <f>VLOOKUP(A624,Marketing_df2!$A$1:$F$2241,3,FALSE)</f>
        <v>35</v>
      </c>
      <c r="M624">
        <f>VLOOKUP(A624,Marketing_df2!$A$1:$F$2241,4,FALSE)</f>
        <v>17</v>
      </c>
      <c r="N624">
        <f>VLOOKUP(A624,Marketing_df2!$A$1:$F$2241,5,FALSE)</f>
        <v>4</v>
      </c>
      <c r="O624">
        <f>VLOOKUP(A624,Marketing_df2!$A$1:$F$2241,6,FALSE)</f>
        <v>6</v>
      </c>
    </row>
    <row r="625" spans="1:15" ht="12.5">
      <c r="A625" s="6">
        <v>623</v>
      </c>
      <c r="B625" s="6">
        <v>10708</v>
      </c>
      <c r="C625" s="6">
        <v>1978</v>
      </c>
      <c r="D625" s="7" t="s">
        <v>17</v>
      </c>
      <c r="E625" s="7" t="s">
        <v>10</v>
      </c>
      <c r="F625" s="6">
        <v>36975</v>
      </c>
      <c r="G625" s="6">
        <v>1</v>
      </c>
      <c r="H625" s="6">
        <v>0</v>
      </c>
      <c r="I625" s="6">
        <f t="shared" si="9"/>
        <v>1</v>
      </c>
      <c r="J625" s="9">
        <v>41636</v>
      </c>
      <c r="K625" s="6">
        <v>50</v>
      </c>
      <c r="L625">
        <f>VLOOKUP(A625,Marketing_df2!$A$1:$F$2241,3,FALSE)</f>
        <v>6</v>
      </c>
      <c r="M625">
        <f>VLOOKUP(A625,Marketing_df2!$A$1:$F$2241,4,FALSE)</f>
        <v>4</v>
      </c>
      <c r="N625">
        <f>VLOOKUP(A625,Marketing_df2!$A$1:$F$2241,5,FALSE)</f>
        <v>1</v>
      </c>
      <c r="O625">
        <f>VLOOKUP(A625,Marketing_df2!$A$1:$F$2241,6,FALSE)</f>
        <v>3</v>
      </c>
    </row>
    <row r="626" spans="1:15" ht="12.5">
      <c r="A626" s="6">
        <v>624</v>
      </c>
      <c r="B626" s="6">
        <v>6583</v>
      </c>
      <c r="C626" s="6">
        <v>1955</v>
      </c>
      <c r="D626" s="7" t="s">
        <v>17</v>
      </c>
      <c r="E626" s="7" t="s">
        <v>13</v>
      </c>
      <c r="F626" s="6">
        <v>72635</v>
      </c>
      <c r="G626" s="6">
        <v>0</v>
      </c>
      <c r="H626" s="6">
        <v>0</v>
      </c>
      <c r="I626" s="6">
        <f t="shared" si="9"/>
        <v>0</v>
      </c>
      <c r="J626" s="8">
        <v>41428</v>
      </c>
      <c r="K626" s="6">
        <v>54</v>
      </c>
      <c r="L626">
        <f>VLOOKUP(A626,Marketing_df2!$A$1:$F$2241,3,FALSE)</f>
        <v>22</v>
      </c>
      <c r="M626">
        <f>VLOOKUP(A626,Marketing_df2!$A$1:$F$2241,4,FALSE)</f>
        <v>35</v>
      </c>
      <c r="N626">
        <f>VLOOKUP(A626,Marketing_df2!$A$1:$F$2241,5,FALSE)</f>
        <v>6</v>
      </c>
      <c r="O626">
        <f>VLOOKUP(A626,Marketing_df2!$A$1:$F$2241,6,FALSE)</f>
        <v>6</v>
      </c>
    </row>
    <row r="627" spans="1:15" ht="12.5">
      <c r="A627" s="6">
        <v>625</v>
      </c>
      <c r="B627" s="6">
        <v>3641</v>
      </c>
      <c r="C627" s="6">
        <v>1976</v>
      </c>
      <c r="D627" s="7" t="s">
        <v>9</v>
      </c>
      <c r="E627" s="7" t="s">
        <v>13</v>
      </c>
      <c r="F627" s="6">
        <v>13624</v>
      </c>
      <c r="G627" s="6">
        <v>1</v>
      </c>
      <c r="H627" s="6">
        <v>0</v>
      </c>
      <c r="I627" s="6">
        <f t="shared" si="9"/>
        <v>1</v>
      </c>
      <c r="J627" s="8">
        <v>41294</v>
      </c>
      <c r="K627" s="6">
        <v>93</v>
      </c>
      <c r="L627">
        <f>VLOOKUP(A627,Marketing_df2!$A$1:$F$2241,3,FALSE)</f>
        <v>2</v>
      </c>
      <c r="M627">
        <f>VLOOKUP(A627,Marketing_df2!$A$1:$F$2241,4,FALSE)</f>
        <v>1</v>
      </c>
      <c r="N627">
        <f>VLOOKUP(A627,Marketing_df2!$A$1:$F$2241,5,FALSE)</f>
        <v>2</v>
      </c>
      <c r="O627">
        <f>VLOOKUP(A627,Marketing_df2!$A$1:$F$2241,6,FALSE)</f>
        <v>3</v>
      </c>
    </row>
    <row r="628" spans="1:15" ht="12.5">
      <c r="A628" s="6">
        <v>626</v>
      </c>
      <c r="B628" s="6">
        <v>10156</v>
      </c>
      <c r="C628" s="6">
        <v>1975</v>
      </c>
      <c r="D628" s="7" t="s">
        <v>9</v>
      </c>
      <c r="E628" s="7" t="s">
        <v>10</v>
      </c>
      <c r="F628" s="6">
        <v>84196</v>
      </c>
      <c r="G628" s="6">
        <v>0</v>
      </c>
      <c r="H628" s="6">
        <v>1</v>
      </c>
      <c r="I628" s="6">
        <f t="shared" si="9"/>
        <v>1</v>
      </c>
      <c r="J628" s="8">
        <v>41428</v>
      </c>
      <c r="K628" s="6">
        <v>56</v>
      </c>
      <c r="L628">
        <f>VLOOKUP(A628,Marketing_df2!$A$1:$F$2241,3,FALSE)</f>
        <v>63</v>
      </c>
      <c r="M628">
        <f>VLOOKUP(A628,Marketing_df2!$A$1:$F$2241,4,FALSE)</f>
        <v>31</v>
      </c>
      <c r="N628">
        <f>VLOOKUP(A628,Marketing_df2!$A$1:$F$2241,5,FALSE)</f>
        <v>8</v>
      </c>
      <c r="O628">
        <f>VLOOKUP(A628,Marketing_df2!$A$1:$F$2241,6,FALSE)</f>
        <v>7</v>
      </c>
    </row>
    <row r="629" spans="1:15" ht="12.5">
      <c r="A629" s="6">
        <v>627</v>
      </c>
      <c r="B629" s="6">
        <v>4299</v>
      </c>
      <c r="C629" s="6">
        <v>1960</v>
      </c>
      <c r="D629" s="7" t="s">
        <v>9</v>
      </c>
      <c r="E629" s="7" t="s">
        <v>11</v>
      </c>
      <c r="F629" s="6">
        <v>70971</v>
      </c>
      <c r="G629" s="6">
        <v>0</v>
      </c>
      <c r="H629" s="6">
        <v>1</v>
      </c>
      <c r="I629" s="6">
        <f t="shared" si="9"/>
        <v>1</v>
      </c>
      <c r="J629" s="8">
        <v>41173</v>
      </c>
      <c r="K629" s="6">
        <v>28</v>
      </c>
      <c r="L629">
        <f>VLOOKUP(A629,Marketing_df2!$A$1:$F$2241,3,FALSE)</f>
        <v>17</v>
      </c>
      <c r="M629">
        <f>VLOOKUP(A629,Marketing_df2!$A$1:$F$2241,4,FALSE)</f>
        <v>125</v>
      </c>
      <c r="N629">
        <f>VLOOKUP(A629,Marketing_df2!$A$1:$F$2241,5,FALSE)</f>
        <v>11</v>
      </c>
      <c r="O629">
        <f>VLOOKUP(A629,Marketing_df2!$A$1:$F$2241,6,FALSE)</f>
        <v>5</v>
      </c>
    </row>
    <row r="630" spans="1:15" ht="12.5">
      <c r="A630" s="6">
        <v>628</v>
      </c>
      <c r="B630" s="6">
        <v>3469</v>
      </c>
      <c r="C630" s="6">
        <v>1977</v>
      </c>
      <c r="D630" s="7" t="s">
        <v>12</v>
      </c>
      <c r="E630" s="7" t="s">
        <v>15</v>
      </c>
      <c r="F630" s="6">
        <v>34487</v>
      </c>
      <c r="G630" s="6">
        <v>1</v>
      </c>
      <c r="H630" s="6">
        <v>1</v>
      </c>
      <c r="I630" s="6">
        <f t="shared" si="9"/>
        <v>2</v>
      </c>
      <c r="J630" s="8">
        <v>41158</v>
      </c>
      <c r="K630" s="6">
        <v>94</v>
      </c>
      <c r="L630">
        <f>VLOOKUP(A630,Marketing_df2!$A$1:$F$2241,3,FALSE)</f>
        <v>18</v>
      </c>
      <c r="M630">
        <f>VLOOKUP(A630,Marketing_df2!$A$1:$F$2241,4,FALSE)</f>
        <v>1</v>
      </c>
      <c r="N630">
        <f>VLOOKUP(A630,Marketing_df2!$A$1:$F$2241,5,FALSE)</f>
        <v>3</v>
      </c>
      <c r="O630">
        <f>VLOOKUP(A630,Marketing_df2!$A$1:$F$2241,6,FALSE)</f>
        <v>3</v>
      </c>
    </row>
    <row r="631" spans="1:15" ht="12.5">
      <c r="A631" s="6">
        <v>629</v>
      </c>
      <c r="B631" s="6">
        <v>5063</v>
      </c>
      <c r="C631" s="6">
        <v>1977</v>
      </c>
      <c r="D631" s="7" t="s">
        <v>9</v>
      </c>
      <c r="E631" s="7" t="s">
        <v>10</v>
      </c>
      <c r="F631" s="6">
        <v>28769</v>
      </c>
      <c r="G631" s="6">
        <v>1</v>
      </c>
      <c r="H631" s="6">
        <v>0</v>
      </c>
      <c r="I631" s="6">
        <f t="shared" si="9"/>
        <v>1</v>
      </c>
      <c r="J631" s="9">
        <v>41261</v>
      </c>
      <c r="K631" s="6">
        <v>76</v>
      </c>
      <c r="L631">
        <f>VLOOKUP(A631,Marketing_df2!$A$1:$F$2241,3,FALSE)</f>
        <v>5</v>
      </c>
      <c r="M631">
        <f>VLOOKUP(A631,Marketing_df2!$A$1:$F$2241,4,FALSE)</f>
        <v>3</v>
      </c>
      <c r="N631">
        <f>VLOOKUP(A631,Marketing_df2!$A$1:$F$2241,5,FALSE)</f>
        <v>4</v>
      </c>
      <c r="O631">
        <f>VLOOKUP(A631,Marketing_df2!$A$1:$F$2241,6,FALSE)</f>
        <v>4</v>
      </c>
    </row>
    <row r="632" spans="1:15" ht="12.5">
      <c r="A632" s="6">
        <v>630</v>
      </c>
      <c r="B632" s="6">
        <v>10727</v>
      </c>
      <c r="C632" s="6">
        <v>1970</v>
      </c>
      <c r="D632" s="7" t="s">
        <v>12</v>
      </c>
      <c r="E632" s="7" t="s">
        <v>13</v>
      </c>
      <c r="F632" s="6">
        <v>69084</v>
      </c>
      <c r="G632" s="6">
        <v>1</v>
      </c>
      <c r="H632" s="6">
        <v>0</v>
      </c>
      <c r="I632" s="6">
        <f t="shared" si="9"/>
        <v>1</v>
      </c>
      <c r="J632" s="9">
        <v>41597</v>
      </c>
      <c r="K632" s="6">
        <v>43</v>
      </c>
      <c r="L632">
        <f>VLOOKUP(A632,Marketing_df2!$A$1:$F$2241,3,FALSE)</f>
        <v>107</v>
      </c>
      <c r="M632">
        <f>VLOOKUP(A632,Marketing_df2!$A$1:$F$2241,4,FALSE)</f>
        <v>30</v>
      </c>
      <c r="N632">
        <f>VLOOKUP(A632,Marketing_df2!$A$1:$F$2241,5,FALSE)</f>
        <v>7</v>
      </c>
      <c r="O632">
        <f>VLOOKUP(A632,Marketing_df2!$A$1:$F$2241,6,FALSE)</f>
        <v>13</v>
      </c>
    </row>
    <row r="633" spans="1:15" ht="12.5">
      <c r="A633" s="6">
        <v>631</v>
      </c>
      <c r="B633" s="6">
        <v>9624</v>
      </c>
      <c r="C633" s="6">
        <v>1958</v>
      </c>
      <c r="D633" s="7" t="s">
        <v>12</v>
      </c>
      <c r="E633" s="7" t="s">
        <v>11</v>
      </c>
      <c r="F633" s="6">
        <v>65488</v>
      </c>
      <c r="G633" s="6">
        <v>0</v>
      </c>
      <c r="H633" s="6">
        <v>0</v>
      </c>
      <c r="I633" s="6">
        <f t="shared" si="9"/>
        <v>0</v>
      </c>
      <c r="J633" s="8">
        <v>41803</v>
      </c>
      <c r="K633" s="6">
        <v>46</v>
      </c>
      <c r="L633">
        <f>VLOOKUP(A633,Marketing_df2!$A$1:$F$2241,3,FALSE)</f>
        <v>45</v>
      </c>
      <c r="M633">
        <f>VLOOKUP(A633,Marketing_df2!$A$1:$F$2241,4,FALSE)</f>
        <v>18</v>
      </c>
      <c r="N633">
        <f>VLOOKUP(A633,Marketing_df2!$A$1:$F$2241,5,FALSE)</f>
        <v>3</v>
      </c>
      <c r="O633">
        <f>VLOOKUP(A633,Marketing_df2!$A$1:$F$2241,6,FALSE)</f>
        <v>6</v>
      </c>
    </row>
    <row r="634" spans="1:15" ht="12.5">
      <c r="A634" s="6">
        <v>632</v>
      </c>
      <c r="B634" s="6">
        <v>5156</v>
      </c>
      <c r="C634" s="6">
        <v>1970</v>
      </c>
      <c r="D634" s="7" t="s">
        <v>17</v>
      </c>
      <c r="E634" s="7" t="s">
        <v>13</v>
      </c>
      <c r="F634" s="6">
        <v>62466</v>
      </c>
      <c r="G634" s="6">
        <v>0</v>
      </c>
      <c r="H634" s="6">
        <v>1</v>
      </c>
      <c r="I634" s="6">
        <f t="shared" si="9"/>
        <v>1</v>
      </c>
      <c r="J634" s="8">
        <v>41654</v>
      </c>
      <c r="K634" s="6">
        <v>13</v>
      </c>
      <c r="L634">
        <f>VLOOKUP(A634,Marketing_df2!$A$1:$F$2241,3,FALSE)</f>
        <v>129</v>
      </c>
      <c r="M634">
        <f>VLOOKUP(A634,Marketing_df2!$A$1:$F$2241,4,FALSE)</f>
        <v>121</v>
      </c>
      <c r="N634">
        <f>VLOOKUP(A634,Marketing_df2!$A$1:$F$2241,5,FALSE)</f>
        <v>6</v>
      </c>
      <c r="O634">
        <f>VLOOKUP(A634,Marketing_df2!$A$1:$F$2241,6,FALSE)</f>
        <v>12</v>
      </c>
    </row>
    <row r="635" spans="1:15" ht="12.5">
      <c r="A635" s="6">
        <v>633</v>
      </c>
      <c r="B635" s="6">
        <v>4376</v>
      </c>
      <c r="C635" s="6">
        <v>1960</v>
      </c>
      <c r="D635" s="7" t="s">
        <v>17</v>
      </c>
      <c r="E635" s="7" t="s">
        <v>10</v>
      </c>
      <c r="F635" s="6">
        <v>32218</v>
      </c>
      <c r="G635" s="6">
        <v>0</v>
      </c>
      <c r="H635" s="6">
        <v>0</v>
      </c>
      <c r="I635" s="6">
        <f t="shared" si="9"/>
        <v>0</v>
      </c>
      <c r="J635" s="8">
        <v>41685</v>
      </c>
      <c r="K635" s="6">
        <v>27</v>
      </c>
      <c r="L635">
        <f>VLOOKUP(A635,Marketing_df2!$A$1:$F$2241,3,FALSE)</f>
        <v>24</v>
      </c>
      <c r="M635">
        <f>VLOOKUP(A635,Marketing_df2!$A$1:$F$2241,4,FALSE)</f>
        <v>1</v>
      </c>
      <c r="N635">
        <f>VLOOKUP(A635,Marketing_df2!$A$1:$F$2241,5,FALSE)</f>
        <v>2</v>
      </c>
      <c r="O635">
        <f>VLOOKUP(A635,Marketing_df2!$A$1:$F$2241,6,FALSE)</f>
        <v>3</v>
      </c>
    </row>
    <row r="636" spans="1:15" ht="12.5">
      <c r="A636" s="6">
        <v>634</v>
      </c>
      <c r="B636" s="6">
        <v>8923</v>
      </c>
      <c r="C636" s="6">
        <v>1973</v>
      </c>
      <c r="D636" s="7" t="s">
        <v>9</v>
      </c>
      <c r="E636" s="7" t="s">
        <v>10</v>
      </c>
      <c r="F636" s="6">
        <v>83917</v>
      </c>
      <c r="G636" s="6">
        <v>0</v>
      </c>
      <c r="H636" s="6">
        <v>0</v>
      </c>
      <c r="I636" s="6">
        <f t="shared" si="9"/>
        <v>0</v>
      </c>
      <c r="J636" s="8">
        <v>41382</v>
      </c>
      <c r="K636" s="6">
        <v>12</v>
      </c>
      <c r="L636">
        <f>VLOOKUP(A636,Marketing_df2!$A$1:$F$2241,3,FALSE)</f>
        <v>22</v>
      </c>
      <c r="M636">
        <f>VLOOKUP(A636,Marketing_df2!$A$1:$F$2241,4,FALSE)</f>
        <v>198</v>
      </c>
      <c r="N636">
        <f>VLOOKUP(A636,Marketing_df2!$A$1:$F$2241,5,FALSE)</f>
        <v>6</v>
      </c>
      <c r="O636">
        <f>VLOOKUP(A636,Marketing_df2!$A$1:$F$2241,6,FALSE)</f>
        <v>7</v>
      </c>
    </row>
    <row r="637" spans="1:15" ht="12.5">
      <c r="A637" s="6">
        <v>635</v>
      </c>
      <c r="B637" s="6">
        <v>8461</v>
      </c>
      <c r="C637" s="6">
        <v>1962</v>
      </c>
      <c r="D637" s="7" t="s">
        <v>9</v>
      </c>
      <c r="E637" s="7" t="s">
        <v>15</v>
      </c>
      <c r="F637" s="6">
        <v>46102</v>
      </c>
      <c r="G637" s="6">
        <v>2</v>
      </c>
      <c r="H637" s="6">
        <v>1</v>
      </c>
      <c r="I637" s="6">
        <f t="shared" si="9"/>
        <v>3</v>
      </c>
      <c r="J637" s="8">
        <v>41708</v>
      </c>
      <c r="K637" s="6">
        <v>3</v>
      </c>
      <c r="L637">
        <f>VLOOKUP(A637,Marketing_df2!$A$1:$F$2241,3,FALSE)</f>
        <v>0</v>
      </c>
      <c r="M637">
        <f>VLOOKUP(A637,Marketing_df2!$A$1:$F$2241,4,FALSE)</f>
        <v>0</v>
      </c>
      <c r="N637">
        <f>VLOOKUP(A637,Marketing_df2!$A$1:$F$2241,5,FALSE)</f>
        <v>1</v>
      </c>
      <c r="O637">
        <f>VLOOKUP(A637,Marketing_df2!$A$1:$F$2241,6,FALSE)</f>
        <v>2</v>
      </c>
    </row>
    <row r="638" spans="1:15" ht="12.5">
      <c r="A638" s="6">
        <v>636</v>
      </c>
      <c r="B638" s="6">
        <v>6945</v>
      </c>
      <c r="C638" s="6">
        <v>1952</v>
      </c>
      <c r="D638" s="7" t="s">
        <v>9</v>
      </c>
      <c r="E638" s="7" t="s">
        <v>10</v>
      </c>
      <c r="F638" s="6">
        <v>84574</v>
      </c>
      <c r="G638" s="6">
        <v>0</v>
      </c>
      <c r="H638" s="6">
        <v>0</v>
      </c>
      <c r="I638" s="6">
        <f t="shared" si="9"/>
        <v>0</v>
      </c>
      <c r="J638" s="8">
        <v>41429</v>
      </c>
      <c r="K638" s="6">
        <v>72</v>
      </c>
      <c r="L638">
        <f>VLOOKUP(A638,Marketing_df2!$A$1:$F$2241,3,FALSE)</f>
        <v>20</v>
      </c>
      <c r="M638">
        <f>VLOOKUP(A638,Marketing_df2!$A$1:$F$2241,4,FALSE)</f>
        <v>54</v>
      </c>
      <c r="N638">
        <f>VLOOKUP(A638,Marketing_df2!$A$1:$F$2241,5,FALSE)</f>
        <v>9</v>
      </c>
      <c r="O638">
        <f>VLOOKUP(A638,Marketing_df2!$A$1:$F$2241,6,FALSE)</f>
        <v>11</v>
      </c>
    </row>
    <row r="639" spans="1:15" ht="12.5">
      <c r="A639" s="6">
        <v>637</v>
      </c>
      <c r="B639" s="6">
        <v>944</v>
      </c>
      <c r="C639" s="6">
        <v>1962</v>
      </c>
      <c r="D639" s="7" t="s">
        <v>9</v>
      </c>
      <c r="E639" s="7" t="s">
        <v>13</v>
      </c>
      <c r="F639" s="6">
        <v>56181</v>
      </c>
      <c r="G639" s="6">
        <v>0</v>
      </c>
      <c r="H639" s="6">
        <v>1</v>
      </c>
      <c r="I639" s="6">
        <f t="shared" si="9"/>
        <v>1</v>
      </c>
      <c r="J639" s="8">
        <v>41282</v>
      </c>
      <c r="K639" s="6">
        <v>6</v>
      </c>
      <c r="L639">
        <f>VLOOKUP(A639,Marketing_df2!$A$1:$F$2241,3,FALSE)</f>
        <v>103</v>
      </c>
      <c r="M639">
        <f>VLOOKUP(A639,Marketing_df2!$A$1:$F$2241,4,FALSE)</f>
        <v>44</v>
      </c>
      <c r="N639">
        <f>VLOOKUP(A639,Marketing_df2!$A$1:$F$2241,5,FALSE)</f>
        <v>4</v>
      </c>
      <c r="O639">
        <f>VLOOKUP(A639,Marketing_df2!$A$1:$F$2241,6,FALSE)</f>
        <v>7</v>
      </c>
    </row>
    <row r="640" spans="1:15" ht="12.5">
      <c r="A640" s="6">
        <v>638</v>
      </c>
      <c r="B640" s="6">
        <v>1907</v>
      </c>
      <c r="C640" s="6">
        <v>1950</v>
      </c>
      <c r="D640" s="7" t="s">
        <v>14</v>
      </c>
      <c r="E640" s="7" t="s">
        <v>15</v>
      </c>
      <c r="F640" s="6">
        <v>63120</v>
      </c>
      <c r="G640" s="6">
        <v>0</v>
      </c>
      <c r="H640" s="6">
        <v>1</v>
      </c>
      <c r="I640" s="6">
        <f t="shared" si="9"/>
        <v>1</v>
      </c>
      <c r="J640" s="8">
        <v>41180</v>
      </c>
      <c r="K640" s="6">
        <v>53</v>
      </c>
      <c r="L640">
        <f>VLOOKUP(A640,Marketing_df2!$A$1:$F$2241,3,FALSE)</f>
        <v>69</v>
      </c>
      <c r="M640">
        <f>VLOOKUP(A640,Marketing_df2!$A$1:$F$2241,4,FALSE)</f>
        <v>41</v>
      </c>
      <c r="N640">
        <f>VLOOKUP(A640,Marketing_df2!$A$1:$F$2241,5,FALSE)</f>
        <v>8</v>
      </c>
      <c r="O640">
        <f>VLOOKUP(A640,Marketing_df2!$A$1:$F$2241,6,FALSE)</f>
        <v>9</v>
      </c>
    </row>
    <row r="641" spans="1:15" ht="12.5">
      <c r="A641" s="6">
        <v>639</v>
      </c>
      <c r="B641" s="6">
        <v>701</v>
      </c>
      <c r="C641" s="6">
        <v>1971</v>
      </c>
      <c r="D641" s="7" t="s">
        <v>9</v>
      </c>
      <c r="E641" s="7" t="s">
        <v>13</v>
      </c>
      <c r="F641" s="6">
        <v>73691</v>
      </c>
      <c r="G641" s="6">
        <v>0</v>
      </c>
      <c r="H641" s="6">
        <v>1</v>
      </c>
      <c r="I641" s="6">
        <f t="shared" si="9"/>
        <v>1</v>
      </c>
      <c r="J641" s="8">
        <v>41584</v>
      </c>
      <c r="K641" s="6">
        <v>58</v>
      </c>
      <c r="L641">
        <f>VLOOKUP(A641,Marketing_df2!$A$1:$F$2241,3,FALSE)</f>
        <v>21</v>
      </c>
      <c r="M641">
        <f>VLOOKUP(A641,Marketing_df2!$A$1:$F$2241,4,FALSE)</f>
        <v>43</v>
      </c>
      <c r="N641">
        <f>VLOOKUP(A641,Marketing_df2!$A$1:$F$2241,5,FALSE)</f>
        <v>6</v>
      </c>
      <c r="O641">
        <f>VLOOKUP(A641,Marketing_df2!$A$1:$F$2241,6,FALSE)</f>
        <v>8</v>
      </c>
    </row>
    <row r="642" spans="1:15" ht="12.5">
      <c r="A642" s="6">
        <v>640</v>
      </c>
      <c r="B642" s="6">
        <v>3856</v>
      </c>
      <c r="C642" s="6">
        <v>1960</v>
      </c>
      <c r="D642" s="7" t="s">
        <v>9</v>
      </c>
      <c r="E642" s="7" t="s">
        <v>11</v>
      </c>
      <c r="F642" s="6">
        <v>63381</v>
      </c>
      <c r="G642" s="6">
        <v>0</v>
      </c>
      <c r="H642" s="6">
        <v>1</v>
      </c>
      <c r="I642" s="6">
        <f t="shared" si="9"/>
        <v>1</v>
      </c>
      <c r="J642" s="8">
        <v>41187</v>
      </c>
      <c r="K642" s="6">
        <v>78</v>
      </c>
      <c r="L642">
        <f>VLOOKUP(A642,Marketing_df2!$A$1:$F$2241,3,FALSE)</f>
        <v>50</v>
      </c>
      <c r="M642">
        <f>VLOOKUP(A642,Marketing_df2!$A$1:$F$2241,4,FALSE)</f>
        <v>50</v>
      </c>
      <c r="N642">
        <f>VLOOKUP(A642,Marketing_df2!$A$1:$F$2241,5,FALSE)</f>
        <v>4</v>
      </c>
      <c r="O642">
        <f>VLOOKUP(A642,Marketing_df2!$A$1:$F$2241,6,FALSE)</f>
        <v>13</v>
      </c>
    </row>
    <row r="643" spans="1:15" ht="12.5">
      <c r="A643" s="6">
        <v>641</v>
      </c>
      <c r="B643" s="6">
        <v>4149</v>
      </c>
      <c r="C643" s="6">
        <v>1948</v>
      </c>
      <c r="D643" s="7" t="s">
        <v>12</v>
      </c>
      <c r="E643" s="7" t="s">
        <v>11</v>
      </c>
      <c r="F643" s="6">
        <v>76140</v>
      </c>
      <c r="G643" s="6">
        <v>0</v>
      </c>
      <c r="H643" s="6">
        <v>0</v>
      </c>
      <c r="I643" s="6">
        <f t="shared" ref="I643:I706" si="10">G643+H643</f>
        <v>0</v>
      </c>
      <c r="J643" s="8">
        <v>41772</v>
      </c>
      <c r="K643" s="6">
        <v>57</v>
      </c>
      <c r="L643">
        <f>VLOOKUP(A643,Marketing_df2!$A$1:$F$2241,3,FALSE)</f>
        <v>66</v>
      </c>
      <c r="M643">
        <f>VLOOKUP(A643,Marketing_df2!$A$1:$F$2241,4,FALSE)</f>
        <v>0</v>
      </c>
      <c r="N643">
        <f>VLOOKUP(A643,Marketing_df2!$A$1:$F$2241,5,FALSE)</f>
        <v>5</v>
      </c>
      <c r="O643">
        <f>VLOOKUP(A643,Marketing_df2!$A$1:$F$2241,6,FALSE)</f>
        <v>6</v>
      </c>
    </row>
    <row r="644" spans="1:15" ht="12.5">
      <c r="A644" s="6">
        <v>642</v>
      </c>
      <c r="B644" s="6">
        <v>2131</v>
      </c>
      <c r="C644" s="6">
        <v>1959</v>
      </c>
      <c r="D644" s="7" t="s">
        <v>12</v>
      </c>
      <c r="E644" s="7" t="s">
        <v>15</v>
      </c>
      <c r="F644" s="6">
        <v>62859</v>
      </c>
      <c r="G644" s="6">
        <v>0</v>
      </c>
      <c r="H644" s="6">
        <v>1</v>
      </c>
      <c r="I644" s="6">
        <f t="shared" si="10"/>
        <v>1</v>
      </c>
      <c r="J644" s="9">
        <v>41273</v>
      </c>
      <c r="K644" s="6">
        <v>37</v>
      </c>
      <c r="L644">
        <f>VLOOKUP(A644,Marketing_df2!$A$1:$F$2241,3,FALSE)</f>
        <v>89</v>
      </c>
      <c r="M644">
        <f>VLOOKUP(A644,Marketing_df2!$A$1:$F$2241,4,FALSE)</f>
        <v>12</v>
      </c>
      <c r="N644">
        <f>VLOOKUP(A644,Marketing_df2!$A$1:$F$2241,5,FALSE)</f>
        <v>9</v>
      </c>
      <c r="O644">
        <f>VLOOKUP(A644,Marketing_df2!$A$1:$F$2241,6,FALSE)</f>
        <v>6</v>
      </c>
    </row>
    <row r="645" spans="1:15" ht="12.5">
      <c r="A645" s="6">
        <v>643</v>
      </c>
      <c r="B645" s="6">
        <v>2942</v>
      </c>
      <c r="C645" s="6">
        <v>1964</v>
      </c>
      <c r="D645" s="7" t="s">
        <v>9</v>
      </c>
      <c r="E645" s="7" t="s">
        <v>10</v>
      </c>
      <c r="F645" s="6">
        <v>45906</v>
      </c>
      <c r="G645" s="6">
        <v>0</v>
      </c>
      <c r="H645" s="6">
        <v>1</v>
      </c>
      <c r="I645" s="6">
        <f t="shared" si="10"/>
        <v>1</v>
      </c>
      <c r="J645" s="8">
        <v>41401</v>
      </c>
      <c r="K645" s="6">
        <v>20</v>
      </c>
      <c r="L645">
        <f>VLOOKUP(A645,Marketing_df2!$A$1:$F$2241,3,FALSE)</f>
        <v>3</v>
      </c>
      <c r="M645">
        <f>VLOOKUP(A645,Marketing_df2!$A$1:$F$2241,4,FALSE)</f>
        <v>3</v>
      </c>
      <c r="N645">
        <f>VLOOKUP(A645,Marketing_df2!$A$1:$F$2241,5,FALSE)</f>
        <v>5</v>
      </c>
      <c r="O645">
        <f>VLOOKUP(A645,Marketing_df2!$A$1:$F$2241,6,FALSE)</f>
        <v>4</v>
      </c>
    </row>
    <row r="646" spans="1:15" ht="12.5">
      <c r="A646" s="6">
        <v>644</v>
      </c>
      <c r="B646" s="6">
        <v>1173</v>
      </c>
      <c r="C646" s="6">
        <v>1947</v>
      </c>
      <c r="D646" s="7" t="s">
        <v>14</v>
      </c>
      <c r="E646" s="7" t="s">
        <v>11</v>
      </c>
      <c r="F646" s="6">
        <v>77632</v>
      </c>
      <c r="G646" s="6">
        <v>0</v>
      </c>
      <c r="H646" s="6">
        <v>0</v>
      </c>
      <c r="I646" s="6">
        <f t="shared" si="10"/>
        <v>0</v>
      </c>
      <c r="J646" s="8">
        <v>41343</v>
      </c>
      <c r="K646" s="6">
        <v>73</v>
      </c>
      <c r="L646">
        <f>VLOOKUP(A646,Marketing_df2!$A$1:$F$2241,3,FALSE)</f>
        <v>105</v>
      </c>
      <c r="M646">
        <f>VLOOKUP(A646,Marketing_df2!$A$1:$F$2241,4,FALSE)</f>
        <v>42</v>
      </c>
      <c r="N646">
        <f>VLOOKUP(A646,Marketing_df2!$A$1:$F$2241,5,FALSE)</f>
        <v>4</v>
      </c>
      <c r="O646">
        <f>VLOOKUP(A646,Marketing_df2!$A$1:$F$2241,6,FALSE)</f>
        <v>6</v>
      </c>
    </row>
    <row r="647" spans="1:15" ht="12.5">
      <c r="A647" s="6">
        <v>645</v>
      </c>
      <c r="B647" s="6">
        <v>4381</v>
      </c>
      <c r="C647" s="6">
        <v>1971</v>
      </c>
      <c r="D647" s="7" t="s">
        <v>12</v>
      </c>
      <c r="E647" s="7" t="s">
        <v>13</v>
      </c>
      <c r="F647" s="6">
        <v>46463</v>
      </c>
      <c r="G647" s="6">
        <v>1</v>
      </c>
      <c r="H647" s="6">
        <v>1</v>
      </c>
      <c r="I647" s="6">
        <f t="shared" si="10"/>
        <v>2</v>
      </c>
      <c r="J647" s="8">
        <v>41504</v>
      </c>
      <c r="K647" s="6">
        <v>56</v>
      </c>
      <c r="L647">
        <f>VLOOKUP(A647,Marketing_df2!$A$1:$F$2241,3,FALSE)</f>
        <v>2</v>
      </c>
      <c r="M647">
        <f>VLOOKUP(A647,Marketing_df2!$A$1:$F$2241,4,FALSE)</f>
        <v>11</v>
      </c>
      <c r="N647">
        <f>VLOOKUP(A647,Marketing_df2!$A$1:$F$2241,5,FALSE)</f>
        <v>3</v>
      </c>
      <c r="O647">
        <f>VLOOKUP(A647,Marketing_df2!$A$1:$F$2241,6,FALSE)</f>
        <v>6</v>
      </c>
    </row>
    <row r="648" spans="1:15" ht="12.5">
      <c r="A648" s="6">
        <v>646</v>
      </c>
      <c r="B648" s="6">
        <v>4611</v>
      </c>
      <c r="C648" s="6">
        <v>1970</v>
      </c>
      <c r="D648" s="7" t="s">
        <v>9</v>
      </c>
      <c r="E648" s="7" t="s">
        <v>11</v>
      </c>
      <c r="F648" s="6">
        <v>105471</v>
      </c>
      <c r="G648" s="6">
        <v>0</v>
      </c>
      <c r="H648" s="6">
        <v>0</v>
      </c>
      <c r="I648" s="6">
        <f t="shared" si="10"/>
        <v>0</v>
      </c>
      <c r="J648" s="8">
        <v>41295</v>
      </c>
      <c r="K648" s="6">
        <v>36</v>
      </c>
      <c r="L648">
        <f>VLOOKUP(A648,Marketing_df2!$A$1:$F$2241,3,FALSE)</f>
        <v>181</v>
      </c>
      <c r="M648">
        <f>VLOOKUP(A648,Marketing_df2!$A$1:$F$2241,4,FALSE)</f>
        <v>21</v>
      </c>
      <c r="N648">
        <f>VLOOKUP(A648,Marketing_df2!$A$1:$F$2241,5,FALSE)</f>
        <v>9</v>
      </c>
      <c r="O648">
        <f>VLOOKUP(A648,Marketing_df2!$A$1:$F$2241,6,FALSE)</f>
        <v>13</v>
      </c>
    </row>
    <row r="649" spans="1:15" ht="12.5">
      <c r="A649" s="6">
        <v>647</v>
      </c>
      <c r="B649" s="6">
        <v>3376</v>
      </c>
      <c r="C649" s="6">
        <v>1970</v>
      </c>
      <c r="D649" s="7" t="s">
        <v>14</v>
      </c>
      <c r="E649" s="7" t="s">
        <v>15</v>
      </c>
      <c r="F649" s="6">
        <v>55282</v>
      </c>
      <c r="G649" s="6">
        <v>1</v>
      </c>
      <c r="H649" s="6">
        <v>0</v>
      </c>
      <c r="I649" s="6">
        <f t="shared" si="10"/>
        <v>1</v>
      </c>
      <c r="J649" s="9">
        <v>41621</v>
      </c>
      <c r="K649" s="6">
        <v>9</v>
      </c>
      <c r="L649">
        <f>VLOOKUP(A649,Marketing_df2!$A$1:$F$2241,3,FALSE)</f>
        <v>6</v>
      </c>
      <c r="M649">
        <f>VLOOKUP(A649,Marketing_df2!$A$1:$F$2241,4,FALSE)</f>
        <v>4</v>
      </c>
      <c r="N649">
        <f>VLOOKUP(A649,Marketing_df2!$A$1:$F$2241,5,FALSE)</f>
        <v>3</v>
      </c>
      <c r="O649">
        <f>VLOOKUP(A649,Marketing_df2!$A$1:$F$2241,6,FALSE)</f>
        <v>6</v>
      </c>
    </row>
    <row r="650" spans="1:15" ht="12.5">
      <c r="A650" s="6">
        <v>648</v>
      </c>
      <c r="B650" s="6">
        <v>4679</v>
      </c>
      <c r="C650" s="6">
        <v>1977</v>
      </c>
      <c r="D650" s="7" t="s">
        <v>14</v>
      </c>
      <c r="E650" s="7" t="s">
        <v>13</v>
      </c>
      <c r="F650" s="6">
        <v>78710</v>
      </c>
      <c r="G650" s="6">
        <v>0</v>
      </c>
      <c r="H650" s="6">
        <v>1</v>
      </c>
      <c r="I650" s="6">
        <f t="shared" si="10"/>
        <v>1</v>
      </c>
      <c r="J650" s="8">
        <v>41782</v>
      </c>
      <c r="K650" s="6">
        <v>42</v>
      </c>
      <c r="L650">
        <f>VLOOKUP(A650,Marketing_df2!$A$1:$F$2241,3,FALSE)</f>
        <v>0</v>
      </c>
      <c r="M650">
        <f>VLOOKUP(A650,Marketing_df2!$A$1:$F$2241,4,FALSE)</f>
        <v>50</v>
      </c>
      <c r="N650">
        <f>VLOOKUP(A650,Marketing_df2!$A$1:$F$2241,5,FALSE)</f>
        <v>7</v>
      </c>
      <c r="O650">
        <f>VLOOKUP(A650,Marketing_df2!$A$1:$F$2241,6,FALSE)</f>
        <v>12</v>
      </c>
    </row>
    <row r="651" spans="1:15" ht="12.5">
      <c r="A651" s="6">
        <v>649</v>
      </c>
      <c r="B651" s="6">
        <v>10928</v>
      </c>
      <c r="C651" s="6">
        <v>1958</v>
      </c>
      <c r="D651" s="7" t="s">
        <v>9</v>
      </c>
      <c r="E651" s="7" t="s">
        <v>11</v>
      </c>
      <c r="F651" s="6">
        <v>66886</v>
      </c>
      <c r="G651" s="6">
        <v>0</v>
      </c>
      <c r="H651" s="6">
        <v>1</v>
      </c>
      <c r="I651" s="6">
        <f t="shared" si="10"/>
        <v>1</v>
      </c>
      <c r="J651" s="8">
        <v>41533</v>
      </c>
      <c r="K651" s="6">
        <v>28</v>
      </c>
      <c r="L651">
        <f>VLOOKUP(A651,Marketing_df2!$A$1:$F$2241,3,FALSE)</f>
        <v>4</v>
      </c>
      <c r="M651">
        <f>VLOOKUP(A651,Marketing_df2!$A$1:$F$2241,4,FALSE)</f>
        <v>31</v>
      </c>
      <c r="N651">
        <f>VLOOKUP(A651,Marketing_df2!$A$1:$F$2241,5,FALSE)</f>
        <v>7</v>
      </c>
      <c r="O651">
        <f>VLOOKUP(A651,Marketing_df2!$A$1:$F$2241,6,FALSE)</f>
        <v>7</v>
      </c>
    </row>
    <row r="652" spans="1:15" ht="12.5">
      <c r="A652" s="6">
        <v>650</v>
      </c>
      <c r="B652" s="6">
        <v>4248</v>
      </c>
      <c r="C652" s="6">
        <v>1960</v>
      </c>
      <c r="D652" s="7" t="s">
        <v>14</v>
      </c>
      <c r="E652" s="7" t="s">
        <v>10</v>
      </c>
      <c r="F652" s="6">
        <v>98777</v>
      </c>
      <c r="G652" s="6">
        <v>0</v>
      </c>
      <c r="H652" s="6">
        <v>0</v>
      </c>
      <c r="I652" s="6">
        <f t="shared" si="10"/>
        <v>0</v>
      </c>
      <c r="J652" s="8">
        <v>41687</v>
      </c>
      <c r="K652" s="6">
        <v>23</v>
      </c>
      <c r="L652">
        <f>VLOOKUP(A652,Marketing_df2!$A$1:$F$2241,3,FALSE)</f>
        <v>19</v>
      </c>
      <c r="M652">
        <f>VLOOKUP(A652,Marketing_df2!$A$1:$F$2241,4,FALSE)</f>
        <v>115</v>
      </c>
      <c r="N652">
        <f>VLOOKUP(A652,Marketing_df2!$A$1:$F$2241,5,FALSE)</f>
        <v>4</v>
      </c>
      <c r="O652">
        <f>VLOOKUP(A652,Marketing_df2!$A$1:$F$2241,6,FALSE)</f>
        <v>9</v>
      </c>
    </row>
    <row r="653" spans="1:15" ht="12.5">
      <c r="A653" s="6">
        <v>651</v>
      </c>
      <c r="B653" s="6">
        <v>6728</v>
      </c>
      <c r="C653" s="6">
        <v>1985</v>
      </c>
      <c r="D653" s="7" t="s">
        <v>9</v>
      </c>
      <c r="E653" s="7" t="s">
        <v>11</v>
      </c>
      <c r="F653" s="6">
        <v>29103</v>
      </c>
      <c r="G653" s="6">
        <v>1</v>
      </c>
      <c r="H653" s="6">
        <v>0</v>
      </c>
      <c r="I653" s="6">
        <f t="shared" si="10"/>
        <v>1</v>
      </c>
      <c r="J653" s="8">
        <v>41148</v>
      </c>
      <c r="K653" s="6">
        <v>38</v>
      </c>
      <c r="L653">
        <f>VLOOKUP(A653,Marketing_df2!$A$1:$F$2241,3,FALSE)</f>
        <v>0</v>
      </c>
      <c r="M653">
        <f>VLOOKUP(A653,Marketing_df2!$A$1:$F$2241,4,FALSE)</f>
        <v>3</v>
      </c>
      <c r="N653">
        <f>VLOOKUP(A653,Marketing_df2!$A$1:$F$2241,5,FALSE)</f>
        <v>1</v>
      </c>
      <c r="O653">
        <f>VLOOKUP(A653,Marketing_df2!$A$1:$F$2241,6,FALSE)</f>
        <v>3</v>
      </c>
    </row>
    <row r="654" spans="1:15" ht="12.5">
      <c r="A654" s="6">
        <v>652</v>
      </c>
      <c r="B654" s="6">
        <v>6661</v>
      </c>
      <c r="C654" s="6">
        <v>1974</v>
      </c>
      <c r="D654" s="7" t="s">
        <v>9</v>
      </c>
      <c r="E654" s="7" t="s">
        <v>13</v>
      </c>
      <c r="F654" s="6">
        <v>67445</v>
      </c>
      <c r="G654" s="6">
        <v>0</v>
      </c>
      <c r="H654" s="6">
        <v>1</v>
      </c>
      <c r="I654" s="6">
        <f t="shared" si="10"/>
        <v>1</v>
      </c>
      <c r="J654" s="8">
        <v>41133</v>
      </c>
      <c r="K654" s="6">
        <v>63</v>
      </c>
      <c r="L654">
        <f>VLOOKUP(A654,Marketing_df2!$A$1:$F$2241,3,FALSE)</f>
        <v>80</v>
      </c>
      <c r="M654">
        <f>VLOOKUP(A654,Marketing_df2!$A$1:$F$2241,4,FALSE)</f>
        <v>80</v>
      </c>
      <c r="N654">
        <f>VLOOKUP(A654,Marketing_df2!$A$1:$F$2241,5,FALSE)</f>
        <v>9</v>
      </c>
      <c r="O654">
        <f>VLOOKUP(A654,Marketing_df2!$A$1:$F$2241,6,FALSE)</f>
        <v>12</v>
      </c>
    </row>
    <row r="655" spans="1:15" ht="12.5">
      <c r="A655" s="6">
        <v>653</v>
      </c>
      <c r="B655" s="6">
        <v>4725</v>
      </c>
      <c r="C655" s="6">
        <v>1950</v>
      </c>
      <c r="D655" s="7" t="s">
        <v>12</v>
      </c>
      <c r="E655" s="7" t="s">
        <v>11</v>
      </c>
      <c r="F655" s="6">
        <v>50616</v>
      </c>
      <c r="G655" s="6">
        <v>0</v>
      </c>
      <c r="H655" s="6">
        <v>1</v>
      </c>
      <c r="I655" s="6">
        <f t="shared" si="10"/>
        <v>1</v>
      </c>
      <c r="J655" s="8">
        <v>41742</v>
      </c>
      <c r="K655" s="6">
        <v>71</v>
      </c>
      <c r="L655">
        <f>VLOOKUP(A655,Marketing_df2!$A$1:$F$2241,3,FALSE)</f>
        <v>2</v>
      </c>
      <c r="M655">
        <f>VLOOKUP(A655,Marketing_df2!$A$1:$F$2241,4,FALSE)</f>
        <v>1</v>
      </c>
      <c r="N655">
        <f>VLOOKUP(A655,Marketing_df2!$A$1:$F$2241,5,FALSE)</f>
        <v>1</v>
      </c>
      <c r="O655">
        <f>VLOOKUP(A655,Marketing_df2!$A$1:$F$2241,6,FALSE)</f>
        <v>4</v>
      </c>
    </row>
    <row r="656" spans="1:15" ht="12.5">
      <c r="A656" s="6">
        <v>654</v>
      </c>
      <c r="B656" s="6">
        <v>3277</v>
      </c>
      <c r="C656" s="6">
        <v>1955</v>
      </c>
      <c r="D656" s="7" t="s">
        <v>9</v>
      </c>
      <c r="E656" s="7" t="s">
        <v>15</v>
      </c>
      <c r="F656" s="6">
        <v>49431</v>
      </c>
      <c r="G656" s="6">
        <v>0</v>
      </c>
      <c r="H656" s="6">
        <v>1</v>
      </c>
      <c r="I656" s="6">
        <f t="shared" si="10"/>
        <v>1</v>
      </c>
      <c r="J656" s="8">
        <v>41124</v>
      </c>
      <c r="K656" s="6">
        <v>9</v>
      </c>
      <c r="L656">
        <f>VLOOKUP(A656,Marketing_df2!$A$1:$F$2241,3,FALSE)</f>
        <v>3</v>
      </c>
      <c r="M656">
        <f>VLOOKUP(A656,Marketing_df2!$A$1:$F$2241,4,FALSE)</f>
        <v>0</v>
      </c>
      <c r="N656">
        <f>VLOOKUP(A656,Marketing_df2!$A$1:$F$2241,5,FALSE)</f>
        <v>7</v>
      </c>
      <c r="O656">
        <f>VLOOKUP(A656,Marketing_df2!$A$1:$F$2241,6,FALSE)</f>
        <v>5</v>
      </c>
    </row>
    <row r="657" spans="1:15" ht="12.5">
      <c r="A657" s="6">
        <v>655</v>
      </c>
      <c r="B657" s="6">
        <v>5555</v>
      </c>
      <c r="C657" s="6">
        <v>1975</v>
      </c>
      <c r="D657" s="7" t="s">
        <v>9</v>
      </c>
      <c r="E657" s="7" t="s">
        <v>15</v>
      </c>
      <c r="F657" s="6">
        <v>153924</v>
      </c>
      <c r="G657" s="6">
        <v>0</v>
      </c>
      <c r="H657" s="6">
        <v>0</v>
      </c>
      <c r="I657" s="6">
        <f t="shared" si="10"/>
        <v>0</v>
      </c>
      <c r="J657" s="8">
        <v>41677</v>
      </c>
      <c r="K657" s="6">
        <v>81</v>
      </c>
      <c r="L657">
        <f>VLOOKUP(A657,Marketing_df2!$A$1:$F$2241,3,FALSE)</f>
        <v>1</v>
      </c>
      <c r="M657">
        <f>VLOOKUP(A657,Marketing_df2!$A$1:$F$2241,4,FALSE)</f>
        <v>1</v>
      </c>
      <c r="N657">
        <f>VLOOKUP(A657,Marketing_df2!$A$1:$F$2241,5,FALSE)</f>
        <v>0</v>
      </c>
      <c r="O657">
        <f>VLOOKUP(A657,Marketing_df2!$A$1:$F$2241,6,FALSE)</f>
        <v>0</v>
      </c>
    </row>
    <row r="658" spans="1:15" ht="12.5">
      <c r="A658" s="6">
        <v>656</v>
      </c>
      <c r="B658" s="6">
        <v>2564</v>
      </c>
      <c r="C658" s="6">
        <v>1953</v>
      </c>
      <c r="D658" s="7" t="s">
        <v>9</v>
      </c>
      <c r="E658" s="7" t="s">
        <v>11</v>
      </c>
      <c r="F658" s="6">
        <v>61278</v>
      </c>
      <c r="G658" s="6">
        <v>0</v>
      </c>
      <c r="H658" s="6">
        <v>1</v>
      </c>
      <c r="I658" s="6">
        <f t="shared" si="10"/>
        <v>1</v>
      </c>
      <c r="J658" s="8">
        <v>41643</v>
      </c>
      <c r="K658" s="6">
        <v>87</v>
      </c>
      <c r="L658">
        <f>VLOOKUP(A658,Marketing_df2!$A$1:$F$2241,3,FALSE)</f>
        <v>3</v>
      </c>
      <c r="M658">
        <f>VLOOKUP(A658,Marketing_df2!$A$1:$F$2241,4,FALSE)</f>
        <v>6</v>
      </c>
      <c r="N658">
        <f>VLOOKUP(A658,Marketing_df2!$A$1:$F$2241,5,FALSE)</f>
        <v>3</v>
      </c>
      <c r="O658">
        <f>VLOOKUP(A658,Marketing_df2!$A$1:$F$2241,6,FALSE)</f>
        <v>4</v>
      </c>
    </row>
    <row r="659" spans="1:15" ht="12.5">
      <c r="A659" s="6">
        <v>657</v>
      </c>
      <c r="B659" s="6">
        <v>946</v>
      </c>
      <c r="C659" s="6">
        <v>1958</v>
      </c>
      <c r="D659" s="7" t="s">
        <v>17</v>
      </c>
      <c r="E659" s="7" t="s">
        <v>11</v>
      </c>
      <c r="F659" s="6">
        <v>26490</v>
      </c>
      <c r="G659" s="6">
        <v>0</v>
      </c>
      <c r="H659" s="6">
        <v>0</v>
      </c>
      <c r="I659" s="6">
        <f t="shared" si="10"/>
        <v>0</v>
      </c>
      <c r="J659" s="8">
        <v>41174</v>
      </c>
      <c r="K659" s="6">
        <v>92</v>
      </c>
      <c r="L659">
        <f>VLOOKUP(A659,Marketing_df2!$A$1:$F$2241,3,FALSE)</f>
        <v>47</v>
      </c>
      <c r="M659">
        <f>VLOOKUP(A659,Marketing_df2!$A$1:$F$2241,4,FALSE)</f>
        <v>20</v>
      </c>
      <c r="N659">
        <f>VLOOKUP(A659,Marketing_df2!$A$1:$F$2241,5,FALSE)</f>
        <v>3</v>
      </c>
      <c r="O659">
        <f>VLOOKUP(A659,Marketing_df2!$A$1:$F$2241,6,FALSE)</f>
        <v>5</v>
      </c>
    </row>
    <row r="660" spans="1:15" ht="12.5">
      <c r="A660" s="6">
        <v>658</v>
      </c>
      <c r="B660" s="6">
        <v>3867</v>
      </c>
      <c r="C660" s="6">
        <v>1947</v>
      </c>
      <c r="D660" s="7" t="s">
        <v>12</v>
      </c>
      <c r="E660" s="7" t="s">
        <v>11</v>
      </c>
      <c r="F660" s="6">
        <v>73059</v>
      </c>
      <c r="G660" s="6">
        <v>0</v>
      </c>
      <c r="H660" s="6">
        <v>1</v>
      </c>
      <c r="I660" s="6">
        <f t="shared" si="10"/>
        <v>1</v>
      </c>
      <c r="J660" s="8">
        <v>41517</v>
      </c>
      <c r="K660" s="6">
        <v>36</v>
      </c>
      <c r="L660">
        <f>VLOOKUP(A660,Marketing_df2!$A$1:$F$2241,3,FALSE)</f>
        <v>112</v>
      </c>
      <c r="M660">
        <f>VLOOKUP(A660,Marketing_df2!$A$1:$F$2241,4,FALSE)</f>
        <v>82</v>
      </c>
      <c r="N660">
        <f>VLOOKUP(A660,Marketing_df2!$A$1:$F$2241,5,FALSE)</f>
        <v>9</v>
      </c>
      <c r="O660">
        <f>VLOOKUP(A660,Marketing_df2!$A$1:$F$2241,6,FALSE)</f>
        <v>13</v>
      </c>
    </row>
    <row r="661" spans="1:15" ht="12.5">
      <c r="A661" s="6">
        <v>659</v>
      </c>
      <c r="B661" s="6">
        <v>6940</v>
      </c>
      <c r="C661" s="6">
        <v>1966</v>
      </c>
      <c r="D661" s="7" t="s">
        <v>12</v>
      </c>
      <c r="E661" s="7" t="s">
        <v>10</v>
      </c>
      <c r="F661" s="6">
        <v>46734</v>
      </c>
      <c r="G661" s="6">
        <v>1</v>
      </c>
      <c r="H661" s="6">
        <v>2</v>
      </c>
      <c r="I661" s="6">
        <f t="shared" si="10"/>
        <v>3</v>
      </c>
      <c r="J661" s="9">
        <v>41568</v>
      </c>
      <c r="K661" s="6">
        <v>86</v>
      </c>
      <c r="L661">
        <f>VLOOKUP(A661,Marketing_df2!$A$1:$F$2241,3,FALSE)</f>
        <v>1</v>
      </c>
      <c r="M661">
        <f>VLOOKUP(A661,Marketing_df2!$A$1:$F$2241,4,FALSE)</f>
        <v>1</v>
      </c>
      <c r="N661">
        <f>VLOOKUP(A661,Marketing_df2!$A$1:$F$2241,5,FALSE)</f>
        <v>3</v>
      </c>
      <c r="O661">
        <f>VLOOKUP(A661,Marketing_df2!$A$1:$F$2241,6,FALSE)</f>
        <v>3</v>
      </c>
    </row>
    <row r="662" spans="1:15" ht="12.5">
      <c r="A662" s="6">
        <v>660</v>
      </c>
      <c r="B662" s="6">
        <v>55</v>
      </c>
      <c r="C662" s="6">
        <v>1963</v>
      </c>
      <c r="D662" s="7" t="s">
        <v>9</v>
      </c>
      <c r="E662" s="7" t="s">
        <v>11</v>
      </c>
      <c r="F662" s="6">
        <v>56253</v>
      </c>
      <c r="G662" s="6">
        <v>0</v>
      </c>
      <c r="H662" s="6">
        <v>1</v>
      </c>
      <c r="I662" s="6">
        <f t="shared" si="10"/>
        <v>1</v>
      </c>
      <c r="J662" s="8">
        <v>41250</v>
      </c>
      <c r="K662" s="6">
        <v>83</v>
      </c>
      <c r="L662">
        <f>VLOOKUP(A662,Marketing_df2!$A$1:$F$2241,3,FALSE)</f>
        <v>0</v>
      </c>
      <c r="M662">
        <f>VLOOKUP(A662,Marketing_df2!$A$1:$F$2241,4,FALSE)</f>
        <v>11</v>
      </c>
      <c r="N662">
        <f>VLOOKUP(A662,Marketing_df2!$A$1:$F$2241,5,FALSE)</f>
        <v>7</v>
      </c>
      <c r="O662">
        <f>VLOOKUP(A662,Marketing_df2!$A$1:$F$2241,6,FALSE)</f>
        <v>9</v>
      </c>
    </row>
    <row r="663" spans="1:15" ht="12.5">
      <c r="A663" s="6">
        <v>661</v>
      </c>
      <c r="B663" s="6">
        <v>7093</v>
      </c>
      <c r="C663" s="6">
        <v>1985</v>
      </c>
      <c r="D663" s="7" t="s">
        <v>9</v>
      </c>
      <c r="E663" s="7" t="s">
        <v>13</v>
      </c>
      <c r="F663" s="6">
        <v>19986</v>
      </c>
      <c r="G663" s="6">
        <v>1</v>
      </c>
      <c r="H663" s="6">
        <v>0</v>
      </c>
      <c r="I663" s="6">
        <f t="shared" si="10"/>
        <v>1</v>
      </c>
      <c r="J663" s="9">
        <v>41592</v>
      </c>
      <c r="K663" s="6">
        <v>74</v>
      </c>
      <c r="L663">
        <f>VLOOKUP(A663,Marketing_df2!$A$1:$F$2241,3,FALSE)</f>
        <v>6</v>
      </c>
      <c r="M663">
        <f>VLOOKUP(A663,Marketing_df2!$A$1:$F$2241,4,FALSE)</f>
        <v>2</v>
      </c>
      <c r="N663">
        <f>VLOOKUP(A663,Marketing_df2!$A$1:$F$2241,5,FALSE)</f>
        <v>0</v>
      </c>
      <c r="O663">
        <f>VLOOKUP(A663,Marketing_df2!$A$1:$F$2241,6,FALSE)</f>
        <v>3</v>
      </c>
    </row>
    <row r="664" spans="1:15" ht="12.5">
      <c r="A664" s="6">
        <v>662</v>
      </c>
      <c r="B664" s="6">
        <v>5084</v>
      </c>
      <c r="C664" s="6">
        <v>1975</v>
      </c>
      <c r="D664" s="7" t="s">
        <v>9</v>
      </c>
      <c r="E664" s="7" t="s">
        <v>18</v>
      </c>
      <c r="F664" s="6">
        <v>58330</v>
      </c>
      <c r="G664" s="6">
        <v>0</v>
      </c>
      <c r="H664" s="6">
        <v>1</v>
      </c>
      <c r="I664" s="6">
        <f t="shared" si="10"/>
        <v>1</v>
      </c>
      <c r="J664" s="9">
        <v>41633</v>
      </c>
      <c r="K664" s="6">
        <v>87</v>
      </c>
      <c r="L664">
        <f>VLOOKUP(A664,Marketing_df2!$A$1:$F$2241,3,FALSE)</f>
        <v>53</v>
      </c>
      <c r="M664">
        <f>VLOOKUP(A664,Marketing_df2!$A$1:$F$2241,4,FALSE)</f>
        <v>98</v>
      </c>
      <c r="N664">
        <f>VLOOKUP(A664,Marketing_df2!$A$1:$F$2241,5,FALSE)</f>
        <v>6</v>
      </c>
      <c r="O664">
        <f>VLOOKUP(A664,Marketing_df2!$A$1:$F$2241,6,FALSE)</f>
        <v>13</v>
      </c>
    </row>
    <row r="665" spans="1:15" ht="12.5">
      <c r="A665" s="6">
        <v>663</v>
      </c>
      <c r="B665" s="6">
        <v>1777</v>
      </c>
      <c r="C665" s="6">
        <v>1980</v>
      </c>
      <c r="D665" s="7" t="s">
        <v>16</v>
      </c>
      <c r="E665" s="7" t="s">
        <v>13</v>
      </c>
      <c r="F665" s="6">
        <v>25965</v>
      </c>
      <c r="G665" s="6">
        <v>0</v>
      </c>
      <c r="H665" s="6">
        <v>0</v>
      </c>
      <c r="I665" s="6">
        <f t="shared" si="10"/>
        <v>0</v>
      </c>
      <c r="J665" s="8">
        <v>41159</v>
      </c>
      <c r="K665" s="6">
        <v>29</v>
      </c>
      <c r="L665">
        <f>VLOOKUP(A665,Marketing_df2!$A$1:$F$2241,3,FALSE)</f>
        <v>2</v>
      </c>
      <c r="M665">
        <f>VLOOKUP(A665,Marketing_df2!$A$1:$F$2241,4,FALSE)</f>
        <v>7</v>
      </c>
      <c r="N665">
        <f>VLOOKUP(A665,Marketing_df2!$A$1:$F$2241,5,FALSE)</f>
        <v>2</v>
      </c>
      <c r="O665">
        <f>VLOOKUP(A665,Marketing_df2!$A$1:$F$2241,6,FALSE)</f>
        <v>3</v>
      </c>
    </row>
    <row r="666" spans="1:15" ht="12.5">
      <c r="A666" s="6">
        <v>664</v>
      </c>
      <c r="B666" s="6">
        <v>8162</v>
      </c>
      <c r="C666" s="6">
        <v>1956</v>
      </c>
      <c r="D666" s="7" t="s">
        <v>14</v>
      </c>
      <c r="E666" s="7" t="s">
        <v>11</v>
      </c>
      <c r="F666" s="6">
        <v>14661</v>
      </c>
      <c r="G666" s="6">
        <v>0</v>
      </c>
      <c r="H666" s="6">
        <v>0</v>
      </c>
      <c r="I666" s="6">
        <f t="shared" si="10"/>
        <v>0</v>
      </c>
      <c r="J666" s="8">
        <v>41275</v>
      </c>
      <c r="K666" s="6">
        <v>88</v>
      </c>
      <c r="L666">
        <f>VLOOKUP(A666,Marketing_df2!$A$1:$F$2241,3,FALSE)</f>
        <v>1</v>
      </c>
      <c r="M666">
        <f>VLOOKUP(A666,Marketing_df2!$A$1:$F$2241,4,FALSE)</f>
        <v>2</v>
      </c>
      <c r="N666">
        <f>VLOOKUP(A666,Marketing_df2!$A$1:$F$2241,5,FALSE)</f>
        <v>1</v>
      </c>
      <c r="O666">
        <f>VLOOKUP(A666,Marketing_df2!$A$1:$F$2241,6,FALSE)</f>
        <v>3</v>
      </c>
    </row>
    <row r="667" spans="1:15" ht="12.5">
      <c r="A667" s="6">
        <v>665</v>
      </c>
      <c r="B667" s="6">
        <v>10826</v>
      </c>
      <c r="C667" s="6">
        <v>1959</v>
      </c>
      <c r="D667" s="7" t="s">
        <v>9</v>
      </c>
      <c r="E667" s="7" t="s">
        <v>13</v>
      </c>
      <c r="F667" s="6">
        <v>18690</v>
      </c>
      <c r="G667" s="6">
        <v>0</v>
      </c>
      <c r="H667" s="6">
        <v>0</v>
      </c>
      <c r="I667" s="6">
        <f t="shared" si="10"/>
        <v>0</v>
      </c>
      <c r="J667" s="9">
        <v>41271</v>
      </c>
      <c r="K667" s="6">
        <v>77</v>
      </c>
      <c r="L667">
        <f>VLOOKUP(A667,Marketing_df2!$A$1:$F$2241,3,FALSE)</f>
        <v>1</v>
      </c>
      <c r="M667">
        <f>VLOOKUP(A667,Marketing_df2!$A$1:$F$2241,4,FALSE)</f>
        <v>4</v>
      </c>
      <c r="N667">
        <f>VLOOKUP(A667,Marketing_df2!$A$1:$F$2241,5,FALSE)</f>
        <v>1</v>
      </c>
      <c r="O667">
        <f>VLOOKUP(A667,Marketing_df2!$A$1:$F$2241,6,FALSE)</f>
        <v>2</v>
      </c>
    </row>
    <row r="668" spans="1:15" ht="12.5">
      <c r="A668" s="6">
        <v>666</v>
      </c>
      <c r="B668" s="6">
        <v>8754</v>
      </c>
      <c r="C668" s="6">
        <v>1974</v>
      </c>
      <c r="D668" s="7" t="s">
        <v>12</v>
      </c>
      <c r="E668" s="7" t="s">
        <v>11</v>
      </c>
      <c r="F668" s="6">
        <v>45068</v>
      </c>
      <c r="G668" s="6">
        <v>0</v>
      </c>
      <c r="H668" s="6">
        <v>1</v>
      </c>
      <c r="I668" s="6">
        <f t="shared" si="10"/>
        <v>1</v>
      </c>
      <c r="J668" s="8">
        <v>41410</v>
      </c>
      <c r="K668" s="6">
        <v>25</v>
      </c>
      <c r="L668">
        <f>VLOOKUP(A668,Marketing_df2!$A$1:$F$2241,3,FALSE)</f>
        <v>0</v>
      </c>
      <c r="M668">
        <f>VLOOKUP(A668,Marketing_df2!$A$1:$F$2241,4,FALSE)</f>
        <v>0</v>
      </c>
      <c r="N668">
        <f>VLOOKUP(A668,Marketing_df2!$A$1:$F$2241,5,FALSE)</f>
        <v>1</v>
      </c>
      <c r="O668">
        <f>VLOOKUP(A668,Marketing_df2!$A$1:$F$2241,6,FALSE)</f>
        <v>2</v>
      </c>
    </row>
    <row r="669" spans="1:15" ht="12.5">
      <c r="A669" s="6">
        <v>667</v>
      </c>
      <c r="B669" s="6">
        <v>1987</v>
      </c>
      <c r="C669" s="6">
        <v>1987</v>
      </c>
      <c r="D669" s="7" t="s">
        <v>16</v>
      </c>
      <c r="E669" s="7" t="s">
        <v>10</v>
      </c>
      <c r="F669" s="6">
        <v>21063</v>
      </c>
      <c r="G669" s="6">
        <v>1</v>
      </c>
      <c r="H669" s="6">
        <v>0</v>
      </c>
      <c r="I669" s="6">
        <f t="shared" si="10"/>
        <v>1</v>
      </c>
      <c r="J669" s="8">
        <v>41542</v>
      </c>
      <c r="K669" s="6">
        <v>34</v>
      </c>
      <c r="L669">
        <f>VLOOKUP(A669,Marketing_df2!$A$1:$F$2241,3,FALSE)</f>
        <v>10</v>
      </c>
      <c r="M669">
        <f>VLOOKUP(A669,Marketing_df2!$A$1:$F$2241,4,FALSE)</f>
        <v>3</v>
      </c>
      <c r="N669">
        <f>VLOOKUP(A669,Marketing_df2!$A$1:$F$2241,5,FALSE)</f>
        <v>2</v>
      </c>
      <c r="O669">
        <f>VLOOKUP(A669,Marketing_df2!$A$1:$F$2241,6,FALSE)</f>
        <v>3</v>
      </c>
    </row>
    <row r="670" spans="1:15" ht="12.5">
      <c r="A670" s="6">
        <v>668</v>
      </c>
      <c r="B670" s="6">
        <v>11007</v>
      </c>
      <c r="C670" s="6">
        <v>1968</v>
      </c>
      <c r="D670" s="7" t="s">
        <v>12</v>
      </c>
      <c r="E670" s="7" t="s">
        <v>13</v>
      </c>
      <c r="F670" s="6">
        <v>29187</v>
      </c>
      <c r="G670" s="6">
        <v>1</v>
      </c>
      <c r="H670" s="6">
        <v>0</v>
      </c>
      <c r="I670" s="6">
        <f t="shared" si="10"/>
        <v>1</v>
      </c>
      <c r="J670" s="8">
        <v>41403</v>
      </c>
      <c r="K670" s="6">
        <v>43</v>
      </c>
      <c r="L670">
        <f>VLOOKUP(A670,Marketing_df2!$A$1:$F$2241,3,FALSE)</f>
        <v>0</v>
      </c>
      <c r="M670">
        <f>VLOOKUP(A670,Marketing_df2!$A$1:$F$2241,4,FALSE)</f>
        <v>0</v>
      </c>
      <c r="N670">
        <f>VLOOKUP(A670,Marketing_df2!$A$1:$F$2241,5,FALSE)</f>
        <v>1</v>
      </c>
      <c r="O670">
        <f>VLOOKUP(A670,Marketing_df2!$A$1:$F$2241,6,FALSE)</f>
        <v>3</v>
      </c>
    </row>
    <row r="671" spans="1:15" ht="12.5">
      <c r="A671" s="6">
        <v>669</v>
      </c>
      <c r="B671" s="6">
        <v>7426</v>
      </c>
      <c r="C671" s="6">
        <v>1971</v>
      </c>
      <c r="D671" s="7" t="s">
        <v>17</v>
      </c>
      <c r="E671" s="7" t="s">
        <v>13</v>
      </c>
      <c r="F671" s="6">
        <v>54690</v>
      </c>
      <c r="G671" s="6">
        <v>1</v>
      </c>
      <c r="H671" s="6">
        <v>1</v>
      </c>
      <c r="I671" s="6">
        <f t="shared" si="10"/>
        <v>2</v>
      </c>
      <c r="J671" s="8">
        <v>41585</v>
      </c>
      <c r="K671" s="6">
        <v>76</v>
      </c>
      <c r="L671">
        <f>VLOOKUP(A671,Marketing_df2!$A$1:$F$2241,3,FALSE)</f>
        <v>16</v>
      </c>
      <c r="M671">
        <f>VLOOKUP(A671,Marketing_df2!$A$1:$F$2241,4,FALSE)</f>
        <v>9</v>
      </c>
      <c r="N671">
        <f>VLOOKUP(A671,Marketing_df2!$A$1:$F$2241,5,FALSE)</f>
        <v>3</v>
      </c>
      <c r="O671">
        <f>VLOOKUP(A671,Marketing_df2!$A$1:$F$2241,6,FALSE)</f>
        <v>5</v>
      </c>
    </row>
    <row r="672" spans="1:15" ht="12.5">
      <c r="A672" s="6">
        <v>670</v>
      </c>
      <c r="B672" s="6">
        <v>9153</v>
      </c>
      <c r="C672" s="6">
        <v>1964</v>
      </c>
      <c r="D672" s="7" t="s">
        <v>12</v>
      </c>
      <c r="E672" s="7" t="s">
        <v>13</v>
      </c>
      <c r="F672" s="6">
        <v>59304</v>
      </c>
      <c r="G672" s="6">
        <v>0</v>
      </c>
      <c r="H672" s="6">
        <v>1</v>
      </c>
      <c r="I672" s="6">
        <f t="shared" si="10"/>
        <v>1</v>
      </c>
      <c r="J672" s="8">
        <v>41484</v>
      </c>
      <c r="K672" s="6">
        <v>81</v>
      </c>
      <c r="L672">
        <f>VLOOKUP(A672,Marketing_df2!$A$1:$F$2241,3,FALSE)</f>
        <v>61</v>
      </c>
      <c r="M672">
        <f>VLOOKUP(A672,Marketing_df2!$A$1:$F$2241,4,FALSE)</f>
        <v>51</v>
      </c>
      <c r="N672">
        <f>VLOOKUP(A672,Marketing_df2!$A$1:$F$2241,5,FALSE)</f>
        <v>7</v>
      </c>
      <c r="O672">
        <f>VLOOKUP(A672,Marketing_df2!$A$1:$F$2241,6,FALSE)</f>
        <v>10</v>
      </c>
    </row>
    <row r="673" spans="1:15" ht="12.5">
      <c r="A673" s="6">
        <v>671</v>
      </c>
      <c r="B673" s="6">
        <v>10379</v>
      </c>
      <c r="C673" s="6">
        <v>1962</v>
      </c>
      <c r="D673" s="7" t="s">
        <v>14</v>
      </c>
      <c r="E673" s="7" t="s">
        <v>10</v>
      </c>
      <c r="F673" s="6">
        <v>59247</v>
      </c>
      <c r="G673" s="6">
        <v>0</v>
      </c>
      <c r="H673" s="6">
        <v>2</v>
      </c>
      <c r="I673" s="6">
        <f t="shared" si="10"/>
        <v>2</v>
      </c>
      <c r="J673" s="8">
        <v>41586</v>
      </c>
      <c r="K673" s="6">
        <v>87</v>
      </c>
      <c r="L673">
        <f>VLOOKUP(A673,Marketing_df2!$A$1:$F$2241,3,FALSE)</f>
        <v>9</v>
      </c>
      <c r="M673">
        <f>VLOOKUP(A673,Marketing_df2!$A$1:$F$2241,4,FALSE)</f>
        <v>14</v>
      </c>
      <c r="N673">
        <f>VLOOKUP(A673,Marketing_df2!$A$1:$F$2241,5,FALSE)</f>
        <v>5</v>
      </c>
      <c r="O673">
        <f>VLOOKUP(A673,Marketing_df2!$A$1:$F$2241,6,FALSE)</f>
        <v>9</v>
      </c>
    </row>
    <row r="674" spans="1:15" ht="12.5">
      <c r="A674" s="6">
        <v>672</v>
      </c>
      <c r="B674" s="6">
        <v>9204</v>
      </c>
      <c r="C674" s="6">
        <v>1970</v>
      </c>
      <c r="D674" s="7" t="s">
        <v>9</v>
      </c>
      <c r="E674" s="7" t="s">
        <v>18</v>
      </c>
      <c r="F674" s="6">
        <v>66731</v>
      </c>
      <c r="G674" s="6">
        <v>0</v>
      </c>
      <c r="H674" s="6">
        <v>1</v>
      </c>
      <c r="I674" s="6">
        <f t="shared" si="10"/>
        <v>1</v>
      </c>
      <c r="J674" s="8">
        <v>41164</v>
      </c>
      <c r="K674" s="6">
        <v>33</v>
      </c>
      <c r="L674">
        <f>VLOOKUP(A674,Marketing_df2!$A$1:$F$2241,3,FALSE)</f>
        <v>159</v>
      </c>
      <c r="M674">
        <f>VLOOKUP(A674,Marketing_df2!$A$1:$F$2241,4,FALSE)</f>
        <v>106</v>
      </c>
      <c r="N674">
        <f>VLOOKUP(A674,Marketing_df2!$A$1:$F$2241,5,FALSE)</f>
        <v>4</v>
      </c>
      <c r="O674">
        <f>VLOOKUP(A674,Marketing_df2!$A$1:$F$2241,6,FALSE)</f>
        <v>6</v>
      </c>
    </row>
    <row r="675" spans="1:15" ht="12.5">
      <c r="A675" s="6">
        <v>673</v>
      </c>
      <c r="B675" s="6">
        <v>3197</v>
      </c>
      <c r="C675" s="6">
        <v>1980</v>
      </c>
      <c r="D675" s="7" t="s">
        <v>9</v>
      </c>
      <c r="E675" s="7" t="s">
        <v>13</v>
      </c>
      <c r="F675" s="6">
        <v>77353</v>
      </c>
      <c r="G675" s="6">
        <v>0</v>
      </c>
      <c r="H675" s="6">
        <v>1</v>
      </c>
      <c r="I675" s="6">
        <f t="shared" si="10"/>
        <v>1</v>
      </c>
      <c r="J675" s="9">
        <v>41624</v>
      </c>
      <c r="K675" s="6">
        <v>38</v>
      </c>
      <c r="L675">
        <f>VLOOKUP(A675,Marketing_df2!$A$1:$F$2241,3,FALSE)</f>
        <v>59</v>
      </c>
      <c r="M675">
        <f>VLOOKUP(A675,Marketing_df2!$A$1:$F$2241,4,FALSE)</f>
        <v>101</v>
      </c>
      <c r="N675">
        <f>VLOOKUP(A675,Marketing_df2!$A$1:$F$2241,5,FALSE)</f>
        <v>6</v>
      </c>
      <c r="O675">
        <f>VLOOKUP(A675,Marketing_df2!$A$1:$F$2241,6,FALSE)</f>
        <v>8</v>
      </c>
    </row>
    <row r="676" spans="1:15" ht="12.5">
      <c r="A676" s="6">
        <v>674</v>
      </c>
      <c r="B676" s="6">
        <v>2920</v>
      </c>
      <c r="C676" s="6">
        <v>1975</v>
      </c>
      <c r="D676" s="7" t="s">
        <v>12</v>
      </c>
      <c r="E676" s="7" t="s">
        <v>10</v>
      </c>
      <c r="F676" s="6">
        <v>52614</v>
      </c>
      <c r="G676" s="6">
        <v>0</v>
      </c>
      <c r="H676" s="6">
        <v>1</v>
      </c>
      <c r="I676" s="6">
        <f t="shared" si="10"/>
        <v>1</v>
      </c>
      <c r="J676" s="8">
        <v>41244</v>
      </c>
      <c r="K676" s="6">
        <v>63</v>
      </c>
      <c r="L676">
        <f>VLOOKUP(A676,Marketing_df2!$A$1:$F$2241,3,FALSE)</f>
        <v>0</v>
      </c>
      <c r="M676">
        <f>VLOOKUP(A676,Marketing_df2!$A$1:$F$2241,4,FALSE)</f>
        <v>9</v>
      </c>
      <c r="N676">
        <f>VLOOKUP(A676,Marketing_df2!$A$1:$F$2241,5,FALSE)</f>
        <v>2</v>
      </c>
      <c r="O676">
        <f>VLOOKUP(A676,Marketing_df2!$A$1:$F$2241,6,FALSE)</f>
        <v>8</v>
      </c>
    </row>
    <row r="677" spans="1:15" ht="12.5">
      <c r="A677" s="6">
        <v>675</v>
      </c>
      <c r="B677" s="6">
        <v>6961</v>
      </c>
      <c r="C677" s="6">
        <v>1974</v>
      </c>
      <c r="D677" s="7" t="s">
        <v>9</v>
      </c>
      <c r="E677" s="7" t="s">
        <v>13</v>
      </c>
      <c r="F677" s="6">
        <v>26751</v>
      </c>
      <c r="G677" s="6">
        <v>2</v>
      </c>
      <c r="H677" s="6">
        <v>0</v>
      </c>
      <c r="I677" s="6">
        <f t="shared" si="10"/>
        <v>2</v>
      </c>
      <c r="J677" s="8">
        <v>41781</v>
      </c>
      <c r="K677" s="6">
        <v>26</v>
      </c>
      <c r="L677">
        <f>VLOOKUP(A677,Marketing_df2!$A$1:$F$2241,3,FALSE)</f>
        <v>1</v>
      </c>
      <c r="M677">
        <f>VLOOKUP(A677,Marketing_df2!$A$1:$F$2241,4,FALSE)</f>
        <v>3</v>
      </c>
      <c r="N677">
        <f>VLOOKUP(A677,Marketing_df2!$A$1:$F$2241,5,FALSE)</f>
        <v>1</v>
      </c>
      <c r="O677">
        <f>VLOOKUP(A677,Marketing_df2!$A$1:$F$2241,6,FALSE)</f>
        <v>2</v>
      </c>
    </row>
    <row r="678" spans="1:15" ht="12.5">
      <c r="A678" s="6">
        <v>676</v>
      </c>
      <c r="B678" s="6">
        <v>4673</v>
      </c>
      <c r="C678" s="6">
        <v>1963</v>
      </c>
      <c r="D678" s="7" t="s">
        <v>12</v>
      </c>
      <c r="E678" s="7" t="s">
        <v>13</v>
      </c>
      <c r="F678" s="6">
        <v>81300</v>
      </c>
      <c r="G678" s="6">
        <v>0</v>
      </c>
      <c r="H678" s="6">
        <v>1</v>
      </c>
      <c r="I678" s="6">
        <f t="shared" si="10"/>
        <v>1</v>
      </c>
      <c r="J678" s="9">
        <v>41212</v>
      </c>
      <c r="K678" s="6">
        <v>17</v>
      </c>
      <c r="L678">
        <f>VLOOKUP(A678,Marketing_df2!$A$1:$F$2241,3,FALSE)</f>
        <v>12</v>
      </c>
      <c r="M678">
        <f>VLOOKUP(A678,Marketing_df2!$A$1:$F$2241,4,FALSE)</f>
        <v>12</v>
      </c>
      <c r="N678">
        <f>VLOOKUP(A678,Marketing_df2!$A$1:$F$2241,5,FALSE)</f>
        <v>10</v>
      </c>
      <c r="O678">
        <f>VLOOKUP(A678,Marketing_df2!$A$1:$F$2241,6,FALSE)</f>
        <v>5</v>
      </c>
    </row>
    <row r="679" spans="1:15" ht="12.5">
      <c r="A679" s="6">
        <v>677</v>
      </c>
      <c r="B679" s="6">
        <v>9937</v>
      </c>
      <c r="C679" s="6">
        <v>1979</v>
      </c>
      <c r="D679" s="7" t="s">
        <v>9</v>
      </c>
      <c r="E679" s="7" t="s">
        <v>10</v>
      </c>
      <c r="F679" s="6">
        <v>70337</v>
      </c>
      <c r="G679" s="6">
        <v>0</v>
      </c>
      <c r="H679" s="6">
        <v>0</v>
      </c>
      <c r="I679" s="6">
        <f t="shared" si="10"/>
        <v>0</v>
      </c>
      <c r="J679" s="8">
        <v>41641</v>
      </c>
      <c r="K679" s="6">
        <v>75</v>
      </c>
      <c r="L679">
        <f>VLOOKUP(A679,Marketing_df2!$A$1:$F$2241,3,FALSE)</f>
        <v>81</v>
      </c>
      <c r="M679">
        <f>VLOOKUP(A679,Marketing_df2!$A$1:$F$2241,4,FALSE)</f>
        <v>43</v>
      </c>
      <c r="N679">
        <f>VLOOKUP(A679,Marketing_df2!$A$1:$F$2241,5,FALSE)</f>
        <v>2</v>
      </c>
      <c r="O679">
        <f>VLOOKUP(A679,Marketing_df2!$A$1:$F$2241,6,FALSE)</f>
        <v>12</v>
      </c>
    </row>
    <row r="680" spans="1:15" ht="12.5">
      <c r="A680" s="6">
        <v>678</v>
      </c>
      <c r="B680" s="6">
        <v>8779</v>
      </c>
      <c r="C680" s="6">
        <v>1985</v>
      </c>
      <c r="D680" s="7" t="s">
        <v>17</v>
      </c>
      <c r="E680" s="7" t="s">
        <v>13</v>
      </c>
      <c r="F680" s="6">
        <v>36145</v>
      </c>
      <c r="G680" s="6">
        <v>1</v>
      </c>
      <c r="H680" s="6">
        <v>0</v>
      </c>
      <c r="I680" s="6">
        <f t="shared" si="10"/>
        <v>1</v>
      </c>
      <c r="J680" s="8">
        <v>41441</v>
      </c>
      <c r="K680" s="6">
        <v>13</v>
      </c>
      <c r="L680">
        <f>VLOOKUP(A680,Marketing_df2!$A$1:$F$2241,3,FALSE)</f>
        <v>4</v>
      </c>
      <c r="M680">
        <f>VLOOKUP(A680,Marketing_df2!$A$1:$F$2241,4,FALSE)</f>
        <v>1</v>
      </c>
      <c r="N680">
        <f>VLOOKUP(A680,Marketing_df2!$A$1:$F$2241,5,FALSE)</f>
        <v>4</v>
      </c>
      <c r="O680">
        <f>VLOOKUP(A680,Marketing_df2!$A$1:$F$2241,6,FALSE)</f>
        <v>3</v>
      </c>
    </row>
    <row r="681" spans="1:15" ht="12.5">
      <c r="A681" s="6">
        <v>679</v>
      </c>
      <c r="B681" s="6">
        <v>9596</v>
      </c>
      <c r="C681" s="6">
        <v>1980</v>
      </c>
      <c r="D681" s="7" t="s">
        <v>12</v>
      </c>
      <c r="E681" s="7" t="s">
        <v>10</v>
      </c>
      <c r="F681" s="6">
        <v>65295</v>
      </c>
      <c r="G681" s="6">
        <v>0</v>
      </c>
      <c r="H681" s="6">
        <v>0</v>
      </c>
      <c r="I681" s="6">
        <f t="shared" si="10"/>
        <v>0</v>
      </c>
      <c r="J681" s="9">
        <v>41631</v>
      </c>
      <c r="K681" s="6">
        <v>19</v>
      </c>
      <c r="L681">
        <f>VLOOKUP(A681,Marketing_df2!$A$1:$F$2241,3,FALSE)</f>
        <v>32</v>
      </c>
      <c r="M681">
        <f>VLOOKUP(A681,Marketing_df2!$A$1:$F$2241,4,FALSE)</f>
        <v>110</v>
      </c>
      <c r="N681">
        <f>VLOOKUP(A681,Marketing_df2!$A$1:$F$2241,5,FALSE)</f>
        <v>3</v>
      </c>
      <c r="O681">
        <f>VLOOKUP(A681,Marketing_df2!$A$1:$F$2241,6,FALSE)</f>
        <v>13</v>
      </c>
    </row>
    <row r="682" spans="1:15" ht="12.5">
      <c r="A682" s="6">
        <v>680</v>
      </c>
      <c r="B682" s="6">
        <v>2891</v>
      </c>
      <c r="C682" s="6">
        <v>1963</v>
      </c>
      <c r="D682" s="7" t="s">
        <v>9</v>
      </c>
      <c r="E682" s="7" t="s">
        <v>15</v>
      </c>
      <c r="F682" s="6">
        <v>68118</v>
      </c>
      <c r="G682" s="6">
        <v>0</v>
      </c>
      <c r="H682" s="6">
        <v>1</v>
      </c>
      <c r="I682" s="6">
        <f t="shared" si="10"/>
        <v>1</v>
      </c>
      <c r="J682" s="9">
        <v>41565</v>
      </c>
      <c r="K682" s="6">
        <v>51</v>
      </c>
      <c r="L682">
        <f>VLOOKUP(A682,Marketing_df2!$A$1:$F$2241,3,FALSE)</f>
        <v>23</v>
      </c>
      <c r="M682">
        <f>VLOOKUP(A682,Marketing_df2!$A$1:$F$2241,4,FALSE)</f>
        <v>23</v>
      </c>
      <c r="N682">
        <f>VLOOKUP(A682,Marketing_df2!$A$1:$F$2241,5,FALSE)</f>
        <v>8</v>
      </c>
      <c r="O682">
        <f>VLOOKUP(A682,Marketing_df2!$A$1:$F$2241,6,FALSE)</f>
        <v>4</v>
      </c>
    </row>
    <row r="683" spans="1:15" ht="12.5">
      <c r="A683" s="6">
        <v>681</v>
      </c>
      <c r="B683" s="6">
        <v>4910</v>
      </c>
      <c r="C683" s="6">
        <v>1967</v>
      </c>
      <c r="D683" s="7" t="s">
        <v>9</v>
      </c>
      <c r="E683" s="7" t="s">
        <v>15</v>
      </c>
      <c r="F683" s="6">
        <v>68743</v>
      </c>
      <c r="G683" s="6">
        <v>0</v>
      </c>
      <c r="H683" s="6">
        <v>0</v>
      </c>
      <c r="I683" s="6">
        <f t="shared" si="10"/>
        <v>0</v>
      </c>
      <c r="J683" s="8">
        <v>41151</v>
      </c>
      <c r="K683" s="6">
        <v>81</v>
      </c>
      <c r="L683">
        <f>VLOOKUP(A683,Marketing_df2!$A$1:$F$2241,3,FALSE)</f>
        <v>134</v>
      </c>
      <c r="M683">
        <f>VLOOKUP(A683,Marketing_df2!$A$1:$F$2241,4,FALSE)</f>
        <v>134</v>
      </c>
      <c r="N683">
        <f>VLOOKUP(A683,Marketing_df2!$A$1:$F$2241,5,FALSE)</f>
        <v>11</v>
      </c>
      <c r="O683">
        <f>VLOOKUP(A683,Marketing_df2!$A$1:$F$2241,6,FALSE)</f>
        <v>13</v>
      </c>
    </row>
    <row r="684" spans="1:15" ht="12.5">
      <c r="A684" s="6">
        <v>682</v>
      </c>
      <c r="B684" s="6">
        <v>75</v>
      </c>
      <c r="C684" s="6">
        <v>1982</v>
      </c>
      <c r="D684" s="7" t="s">
        <v>17</v>
      </c>
      <c r="E684" s="7" t="s">
        <v>11</v>
      </c>
      <c r="F684" s="6">
        <v>41039</v>
      </c>
      <c r="G684" s="6">
        <v>0</v>
      </c>
      <c r="H684" s="6">
        <v>0</v>
      </c>
      <c r="I684" s="6">
        <f t="shared" si="10"/>
        <v>0</v>
      </c>
      <c r="J684" s="8">
        <v>41480</v>
      </c>
      <c r="K684" s="6">
        <v>32</v>
      </c>
      <c r="L684">
        <f>VLOOKUP(A684,Marketing_df2!$A$1:$F$2241,3,FALSE)</f>
        <v>11</v>
      </c>
      <c r="M684">
        <f>VLOOKUP(A684,Marketing_df2!$A$1:$F$2241,4,FALSE)</f>
        <v>61</v>
      </c>
      <c r="N684">
        <f>VLOOKUP(A684,Marketing_df2!$A$1:$F$2241,5,FALSE)</f>
        <v>8</v>
      </c>
      <c r="O684">
        <f>VLOOKUP(A684,Marketing_df2!$A$1:$F$2241,6,FALSE)</f>
        <v>5</v>
      </c>
    </row>
    <row r="685" spans="1:15" ht="12.5">
      <c r="A685" s="6">
        <v>683</v>
      </c>
      <c r="B685" s="6">
        <v>10120</v>
      </c>
      <c r="C685" s="6">
        <v>1955</v>
      </c>
      <c r="D685" s="7" t="s">
        <v>9</v>
      </c>
      <c r="E685" s="7" t="s">
        <v>11</v>
      </c>
      <c r="F685" s="6">
        <v>38946</v>
      </c>
      <c r="G685" s="6">
        <v>0</v>
      </c>
      <c r="H685" s="6">
        <v>1</v>
      </c>
      <c r="I685" s="6">
        <f t="shared" si="10"/>
        <v>1</v>
      </c>
      <c r="J685" s="9">
        <v>41571</v>
      </c>
      <c r="K685" s="6">
        <v>84</v>
      </c>
      <c r="L685">
        <f>VLOOKUP(A685,Marketing_df2!$A$1:$F$2241,3,FALSE)</f>
        <v>6</v>
      </c>
      <c r="M685">
        <f>VLOOKUP(A685,Marketing_df2!$A$1:$F$2241,4,FALSE)</f>
        <v>6</v>
      </c>
      <c r="N685">
        <f>VLOOKUP(A685,Marketing_df2!$A$1:$F$2241,5,FALSE)</f>
        <v>3</v>
      </c>
      <c r="O685">
        <f>VLOOKUP(A685,Marketing_df2!$A$1:$F$2241,6,FALSE)</f>
        <v>6</v>
      </c>
    </row>
    <row r="686" spans="1:15" ht="12.5">
      <c r="A686" s="6">
        <v>684</v>
      </c>
      <c r="B686" s="6">
        <v>6327</v>
      </c>
      <c r="C686" s="6">
        <v>1967</v>
      </c>
      <c r="D686" s="7" t="s">
        <v>9</v>
      </c>
      <c r="E686" s="7" t="s">
        <v>11</v>
      </c>
      <c r="F686" s="6">
        <v>65777</v>
      </c>
      <c r="G686" s="6">
        <v>0</v>
      </c>
      <c r="H686" s="6">
        <v>0</v>
      </c>
      <c r="I686" s="6">
        <f t="shared" si="10"/>
        <v>0</v>
      </c>
      <c r="J686" s="9">
        <v>41627</v>
      </c>
      <c r="K686" s="6">
        <v>87</v>
      </c>
      <c r="L686">
        <f>VLOOKUP(A686,Marketing_df2!$A$1:$F$2241,3,FALSE)</f>
        <v>32</v>
      </c>
      <c r="M686">
        <f>VLOOKUP(A686,Marketing_df2!$A$1:$F$2241,4,FALSE)</f>
        <v>32</v>
      </c>
      <c r="N686">
        <f>VLOOKUP(A686,Marketing_df2!$A$1:$F$2241,5,FALSE)</f>
        <v>2</v>
      </c>
      <c r="O686">
        <f>VLOOKUP(A686,Marketing_df2!$A$1:$F$2241,6,FALSE)</f>
        <v>6</v>
      </c>
    </row>
    <row r="687" spans="1:15" ht="12.5">
      <c r="A687" s="6">
        <v>685</v>
      </c>
      <c r="B687" s="6">
        <v>10142</v>
      </c>
      <c r="C687" s="6">
        <v>1976</v>
      </c>
      <c r="D687" s="7" t="s">
        <v>12</v>
      </c>
      <c r="E687" s="7" t="s">
        <v>15</v>
      </c>
      <c r="F687" s="6">
        <v>66476</v>
      </c>
      <c r="G687" s="6">
        <v>0</v>
      </c>
      <c r="H687" s="6">
        <v>1</v>
      </c>
      <c r="I687" s="6">
        <f t="shared" si="10"/>
        <v>1</v>
      </c>
      <c r="J687" s="8">
        <v>41340</v>
      </c>
      <c r="K687" s="6">
        <v>99</v>
      </c>
      <c r="L687">
        <f>VLOOKUP(A687,Marketing_df2!$A$1:$F$2241,3,FALSE)</f>
        <v>18</v>
      </c>
      <c r="M687">
        <f>VLOOKUP(A687,Marketing_df2!$A$1:$F$2241,4,FALSE)</f>
        <v>48</v>
      </c>
      <c r="N687">
        <f>VLOOKUP(A687,Marketing_df2!$A$1:$F$2241,5,FALSE)</f>
        <v>5</v>
      </c>
      <c r="O687">
        <f>VLOOKUP(A687,Marketing_df2!$A$1:$F$2241,6,FALSE)</f>
        <v>11</v>
      </c>
    </row>
    <row r="688" spans="1:15" ht="12.5">
      <c r="A688" s="6">
        <v>686</v>
      </c>
      <c r="B688" s="6">
        <v>9826</v>
      </c>
      <c r="C688" s="6">
        <v>1972</v>
      </c>
      <c r="D688" s="7" t="s">
        <v>12</v>
      </c>
      <c r="E688" s="7" t="s">
        <v>10</v>
      </c>
      <c r="F688" s="6">
        <v>86857</v>
      </c>
      <c r="G688" s="6">
        <v>0</v>
      </c>
      <c r="H688" s="6">
        <v>0</v>
      </c>
      <c r="I688" s="6">
        <f t="shared" si="10"/>
        <v>0</v>
      </c>
      <c r="J688" s="8">
        <v>41164</v>
      </c>
      <c r="K688" s="6">
        <v>96</v>
      </c>
      <c r="L688">
        <f>VLOOKUP(A688,Marketing_df2!$A$1:$F$2241,3,FALSE)</f>
        <v>102</v>
      </c>
      <c r="M688">
        <f>VLOOKUP(A688,Marketing_df2!$A$1:$F$2241,4,FALSE)</f>
        <v>102</v>
      </c>
      <c r="N688">
        <f>VLOOKUP(A688,Marketing_df2!$A$1:$F$2241,5,FALSE)</f>
        <v>5</v>
      </c>
      <c r="O688">
        <f>VLOOKUP(A688,Marketing_df2!$A$1:$F$2241,6,FALSE)</f>
        <v>10</v>
      </c>
    </row>
    <row r="689" spans="1:15" ht="12.5">
      <c r="A689" s="6">
        <v>687</v>
      </c>
      <c r="B689" s="6">
        <v>1501</v>
      </c>
      <c r="C689" s="6">
        <v>1982</v>
      </c>
      <c r="D689" s="7" t="s">
        <v>12</v>
      </c>
      <c r="E689" s="7" t="s">
        <v>13</v>
      </c>
      <c r="F689" s="6">
        <v>160803</v>
      </c>
      <c r="G689" s="6">
        <v>0</v>
      </c>
      <c r="H689" s="6">
        <v>0</v>
      </c>
      <c r="I689" s="6">
        <f t="shared" si="10"/>
        <v>0</v>
      </c>
      <c r="J689" s="8">
        <v>41125</v>
      </c>
      <c r="K689" s="6">
        <v>21</v>
      </c>
      <c r="L689">
        <f>VLOOKUP(A689,Marketing_df2!$A$1:$F$2241,3,FALSE)</f>
        <v>16</v>
      </c>
      <c r="M689">
        <f>VLOOKUP(A689,Marketing_df2!$A$1:$F$2241,4,FALSE)</f>
        <v>3</v>
      </c>
      <c r="N689">
        <f>VLOOKUP(A689,Marketing_df2!$A$1:$F$2241,5,FALSE)</f>
        <v>0</v>
      </c>
      <c r="O689">
        <f>VLOOKUP(A689,Marketing_df2!$A$1:$F$2241,6,FALSE)</f>
        <v>1</v>
      </c>
    </row>
    <row r="690" spans="1:15" ht="12.5">
      <c r="A690" s="6">
        <v>688</v>
      </c>
      <c r="B690" s="6">
        <v>10767</v>
      </c>
      <c r="C690" s="6">
        <v>1989</v>
      </c>
      <c r="D690" s="7" t="s">
        <v>12</v>
      </c>
      <c r="E690" s="7" t="s">
        <v>11</v>
      </c>
      <c r="F690" s="6">
        <v>77845</v>
      </c>
      <c r="G690" s="6">
        <v>0</v>
      </c>
      <c r="H690" s="6">
        <v>0</v>
      </c>
      <c r="I690" s="6">
        <f t="shared" si="10"/>
        <v>0</v>
      </c>
      <c r="J690" s="8">
        <v>41775</v>
      </c>
      <c r="K690" s="6">
        <v>40</v>
      </c>
      <c r="L690">
        <f>VLOOKUP(A690,Marketing_df2!$A$1:$F$2241,3,FALSE)</f>
        <v>40</v>
      </c>
      <c r="M690">
        <f>VLOOKUP(A690,Marketing_df2!$A$1:$F$2241,4,FALSE)</f>
        <v>40</v>
      </c>
      <c r="N690">
        <f>VLOOKUP(A690,Marketing_df2!$A$1:$F$2241,5,FALSE)</f>
        <v>3</v>
      </c>
      <c r="O690">
        <f>VLOOKUP(A690,Marketing_df2!$A$1:$F$2241,6,FALSE)</f>
        <v>12</v>
      </c>
    </row>
    <row r="691" spans="1:15" ht="12.5">
      <c r="A691" s="6">
        <v>689</v>
      </c>
      <c r="B691" s="6">
        <v>7279</v>
      </c>
      <c r="C691" s="6">
        <v>1969</v>
      </c>
      <c r="D691" s="7" t="s">
        <v>12</v>
      </c>
      <c r="E691" s="7" t="s">
        <v>11</v>
      </c>
      <c r="F691" s="6">
        <v>69476</v>
      </c>
      <c r="G691" s="6">
        <v>0</v>
      </c>
      <c r="H691" s="6">
        <v>0</v>
      </c>
      <c r="I691" s="6">
        <f t="shared" si="10"/>
        <v>0</v>
      </c>
      <c r="J691" s="8">
        <v>41547</v>
      </c>
      <c r="K691" s="6">
        <v>3</v>
      </c>
      <c r="L691">
        <f>VLOOKUP(A691,Marketing_df2!$A$1:$F$2241,3,FALSE)</f>
        <v>86</v>
      </c>
      <c r="M691">
        <f>VLOOKUP(A691,Marketing_df2!$A$1:$F$2241,4,FALSE)</f>
        <v>9</v>
      </c>
      <c r="N691">
        <f>VLOOKUP(A691,Marketing_df2!$A$1:$F$2241,5,FALSE)</f>
        <v>4</v>
      </c>
      <c r="O691">
        <f>VLOOKUP(A691,Marketing_df2!$A$1:$F$2241,6,FALSE)</f>
        <v>4</v>
      </c>
    </row>
    <row r="692" spans="1:15" ht="12.5">
      <c r="A692" s="6">
        <v>690</v>
      </c>
      <c r="B692" s="6">
        <v>7230</v>
      </c>
      <c r="C692" s="6">
        <v>1960</v>
      </c>
      <c r="D692" s="7" t="s">
        <v>12</v>
      </c>
      <c r="E692" s="7" t="s">
        <v>15</v>
      </c>
      <c r="F692" s="6">
        <v>50611</v>
      </c>
      <c r="G692" s="6">
        <v>0</v>
      </c>
      <c r="H692" s="6">
        <v>1</v>
      </c>
      <c r="I692" s="6">
        <f t="shared" si="10"/>
        <v>1</v>
      </c>
      <c r="J692" s="8">
        <v>41186</v>
      </c>
      <c r="K692" s="6">
        <v>98</v>
      </c>
      <c r="L692">
        <f>VLOOKUP(A692,Marketing_df2!$A$1:$F$2241,3,FALSE)</f>
        <v>0</v>
      </c>
      <c r="M692">
        <f>VLOOKUP(A692,Marketing_df2!$A$1:$F$2241,4,FALSE)</f>
        <v>0</v>
      </c>
      <c r="N692">
        <f>VLOOKUP(A692,Marketing_df2!$A$1:$F$2241,5,FALSE)</f>
        <v>4</v>
      </c>
      <c r="O692">
        <f>VLOOKUP(A692,Marketing_df2!$A$1:$F$2241,6,FALSE)</f>
        <v>7</v>
      </c>
    </row>
    <row r="693" spans="1:15" ht="12.5">
      <c r="A693" s="6">
        <v>691</v>
      </c>
      <c r="B693" s="6">
        <v>143</v>
      </c>
      <c r="C693" s="6">
        <v>1970</v>
      </c>
      <c r="D693" s="7" t="s">
        <v>9</v>
      </c>
      <c r="E693" s="7" t="s">
        <v>10</v>
      </c>
      <c r="F693" s="6">
        <v>61209</v>
      </c>
      <c r="G693" s="6">
        <v>0</v>
      </c>
      <c r="H693" s="6">
        <v>0</v>
      </c>
      <c r="I693" s="6">
        <f t="shared" si="10"/>
        <v>0</v>
      </c>
      <c r="J693" s="8">
        <v>41511</v>
      </c>
      <c r="K693" s="6">
        <v>73</v>
      </c>
      <c r="L693">
        <f>VLOOKUP(A693,Marketing_df2!$A$1:$F$2241,3,FALSE)</f>
        <v>0</v>
      </c>
      <c r="M693">
        <f>VLOOKUP(A693,Marketing_df2!$A$1:$F$2241,4,FALSE)</f>
        <v>49</v>
      </c>
      <c r="N693">
        <f>VLOOKUP(A693,Marketing_df2!$A$1:$F$2241,5,FALSE)</f>
        <v>5</v>
      </c>
      <c r="O693">
        <f>VLOOKUP(A693,Marketing_df2!$A$1:$F$2241,6,FALSE)</f>
        <v>4</v>
      </c>
    </row>
    <row r="694" spans="1:15" ht="12.5">
      <c r="A694" s="6">
        <v>692</v>
      </c>
      <c r="B694" s="6">
        <v>450</v>
      </c>
      <c r="C694" s="6">
        <v>1958</v>
      </c>
      <c r="D694" s="7" t="s">
        <v>14</v>
      </c>
      <c r="E694" s="7" t="s">
        <v>11</v>
      </c>
      <c r="F694" s="6">
        <v>42315</v>
      </c>
      <c r="G694" s="6">
        <v>0</v>
      </c>
      <c r="H694" s="6">
        <v>1</v>
      </c>
      <c r="I694" s="6">
        <f t="shared" si="10"/>
        <v>1</v>
      </c>
      <c r="J694" s="8">
        <v>41467</v>
      </c>
      <c r="K694" s="6">
        <v>90</v>
      </c>
      <c r="L694">
        <f>VLOOKUP(A694,Marketing_df2!$A$1:$F$2241,3,FALSE)</f>
        <v>15</v>
      </c>
      <c r="M694">
        <f>VLOOKUP(A694,Marketing_df2!$A$1:$F$2241,4,FALSE)</f>
        <v>11</v>
      </c>
      <c r="N694">
        <f>VLOOKUP(A694,Marketing_df2!$A$1:$F$2241,5,FALSE)</f>
        <v>1</v>
      </c>
      <c r="O694">
        <f>VLOOKUP(A694,Marketing_df2!$A$1:$F$2241,6,FALSE)</f>
        <v>4</v>
      </c>
    </row>
    <row r="695" spans="1:15" ht="12.5">
      <c r="A695" s="6">
        <v>693</v>
      </c>
      <c r="B695" s="6">
        <v>9316</v>
      </c>
      <c r="C695" s="6">
        <v>1952</v>
      </c>
      <c r="D695" s="7" t="s">
        <v>16</v>
      </c>
      <c r="E695" s="7" t="s">
        <v>11</v>
      </c>
      <c r="F695" s="6">
        <v>13084</v>
      </c>
      <c r="G695" s="6">
        <v>0</v>
      </c>
      <c r="H695" s="6">
        <v>0</v>
      </c>
      <c r="I695" s="6">
        <f t="shared" si="10"/>
        <v>0</v>
      </c>
      <c r="J695" s="8">
        <v>41580</v>
      </c>
      <c r="K695" s="6">
        <v>29</v>
      </c>
      <c r="L695">
        <f>VLOOKUP(A695,Marketing_df2!$A$1:$F$2241,3,FALSE)</f>
        <v>0</v>
      </c>
      <c r="M695">
        <f>VLOOKUP(A695,Marketing_df2!$A$1:$F$2241,4,FALSE)</f>
        <v>7</v>
      </c>
      <c r="N695">
        <f>VLOOKUP(A695,Marketing_df2!$A$1:$F$2241,5,FALSE)</f>
        <v>1</v>
      </c>
      <c r="O695">
        <f>VLOOKUP(A695,Marketing_df2!$A$1:$F$2241,6,FALSE)</f>
        <v>3</v>
      </c>
    </row>
    <row r="696" spans="1:15" ht="12.5">
      <c r="A696" s="6">
        <v>694</v>
      </c>
      <c r="B696" s="6">
        <v>6379</v>
      </c>
      <c r="C696" s="6">
        <v>1949</v>
      </c>
      <c r="D696" s="7" t="s">
        <v>14</v>
      </c>
      <c r="E696" s="7" t="s">
        <v>18</v>
      </c>
      <c r="F696" s="6">
        <v>47570</v>
      </c>
      <c r="G696" s="6">
        <v>1</v>
      </c>
      <c r="H696" s="6">
        <v>1</v>
      </c>
      <c r="I696" s="6">
        <f t="shared" si="10"/>
        <v>2</v>
      </c>
      <c r="J696" s="8">
        <v>41423</v>
      </c>
      <c r="K696" s="6">
        <v>3</v>
      </c>
      <c r="L696">
        <f>VLOOKUP(A696,Marketing_df2!$A$1:$F$2241,3,FALSE)</f>
        <v>1</v>
      </c>
      <c r="M696">
        <f>VLOOKUP(A696,Marketing_df2!$A$1:$F$2241,4,FALSE)</f>
        <v>2</v>
      </c>
      <c r="N696">
        <f>VLOOKUP(A696,Marketing_df2!$A$1:$F$2241,5,FALSE)</f>
        <v>2</v>
      </c>
      <c r="O696">
        <f>VLOOKUP(A696,Marketing_df2!$A$1:$F$2241,6,FALSE)</f>
        <v>2</v>
      </c>
    </row>
    <row r="697" spans="1:15" ht="12.5">
      <c r="A697" s="6">
        <v>695</v>
      </c>
      <c r="B697" s="6">
        <v>9239</v>
      </c>
      <c r="C697" s="6">
        <v>1961</v>
      </c>
      <c r="D697" s="7" t="s">
        <v>14</v>
      </c>
      <c r="E697" s="7" t="s">
        <v>13</v>
      </c>
      <c r="F697" s="6">
        <v>61923</v>
      </c>
      <c r="G697" s="6">
        <v>0</v>
      </c>
      <c r="H697" s="6">
        <v>2</v>
      </c>
      <c r="I697" s="6">
        <f t="shared" si="10"/>
        <v>2</v>
      </c>
      <c r="J697" s="8">
        <v>41481</v>
      </c>
      <c r="K697" s="6">
        <v>94</v>
      </c>
      <c r="L697">
        <f>VLOOKUP(A697,Marketing_df2!$A$1:$F$2241,3,FALSE)</f>
        <v>4</v>
      </c>
      <c r="M697">
        <f>VLOOKUP(A697,Marketing_df2!$A$1:$F$2241,4,FALSE)</f>
        <v>3</v>
      </c>
      <c r="N697">
        <f>VLOOKUP(A697,Marketing_df2!$A$1:$F$2241,5,FALSE)</f>
        <v>2</v>
      </c>
      <c r="O697">
        <f>VLOOKUP(A697,Marketing_df2!$A$1:$F$2241,6,FALSE)</f>
        <v>4</v>
      </c>
    </row>
    <row r="698" spans="1:15" ht="12.5">
      <c r="A698" s="6">
        <v>696</v>
      </c>
      <c r="B698" s="6">
        <v>8315</v>
      </c>
      <c r="C698" s="6">
        <v>1995</v>
      </c>
      <c r="D698" s="7" t="s">
        <v>9</v>
      </c>
      <c r="E698" s="7" t="s">
        <v>10</v>
      </c>
      <c r="F698" s="6">
        <v>34824</v>
      </c>
      <c r="G698" s="6">
        <v>0</v>
      </c>
      <c r="H698" s="6">
        <v>0</v>
      </c>
      <c r="I698" s="6">
        <f t="shared" si="10"/>
        <v>0</v>
      </c>
      <c r="J698" s="8">
        <v>41724</v>
      </c>
      <c r="K698" s="6">
        <v>65</v>
      </c>
      <c r="L698">
        <f>VLOOKUP(A698,Marketing_df2!$A$1:$F$2241,3,FALSE)</f>
        <v>2</v>
      </c>
      <c r="M698">
        <f>VLOOKUP(A698,Marketing_df2!$A$1:$F$2241,4,FALSE)</f>
        <v>0</v>
      </c>
      <c r="N698">
        <f>VLOOKUP(A698,Marketing_df2!$A$1:$F$2241,5,FALSE)</f>
        <v>1</v>
      </c>
      <c r="O698">
        <f>VLOOKUP(A698,Marketing_df2!$A$1:$F$2241,6,FALSE)</f>
        <v>2</v>
      </c>
    </row>
    <row r="699" spans="1:15" ht="12.5">
      <c r="A699" s="6">
        <v>697</v>
      </c>
      <c r="B699" s="6">
        <v>2868</v>
      </c>
      <c r="C699" s="6">
        <v>1949</v>
      </c>
      <c r="D699" s="7" t="s">
        <v>12</v>
      </c>
      <c r="E699" s="7" t="s">
        <v>10</v>
      </c>
      <c r="F699" s="6">
        <v>26518</v>
      </c>
      <c r="G699" s="6">
        <v>1</v>
      </c>
      <c r="H699" s="6">
        <v>1</v>
      </c>
      <c r="I699" s="6">
        <f t="shared" si="10"/>
        <v>2</v>
      </c>
      <c r="J699" s="8">
        <v>41372</v>
      </c>
      <c r="K699" s="6">
        <v>33</v>
      </c>
      <c r="L699">
        <f>VLOOKUP(A699,Marketing_df2!$A$1:$F$2241,3,FALSE)</f>
        <v>1</v>
      </c>
      <c r="M699">
        <f>VLOOKUP(A699,Marketing_df2!$A$1:$F$2241,4,FALSE)</f>
        <v>3</v>
      </c>
      <c r="N699">
        <f>VLOOKUP(A699,Marketing_df2!$A$1:$F$2241,5,FALSE)</f>
        <v>2</v>
      </c>
      <c r="O699">
        <f>VLOOKUP(A699,Marketing_df2!$A$1:$F$2241,6,FALSE)</f>
        <v>3</v>
      </c>
    </row>
    <row r="700" spans="1:15" ht="12.5">
      <c r="A700" s="6">
        <v>698</v>
      </c>
      <c r="B700" s="6">
        <v>10888</v>
      </c>
      <c r="C700" s="6">
        <v>1961</v>
      </c>
      <c r="D700" s="7" t="s">
        <v>9</v>
      </c>
      <c r="E700" s="7" t="s">
        <v>10</v>
      </c>
      <c r="F700" s="6">
        <v>45938</v>
      </c>
      <c r="G700" s="6">
        <v>0</v>
      </c>
      <c r="H700" s="6">
        <v>0</v>
      </c>
      <c r="I700" s="6">
        <f t="shared" si="10"/>
        <v>0</v>
      </c>
      <c r="J700" s="8">
        <v>41581</v>
      </c>
      <c r="K700" s="6">
        <v>46</v>
      </c>
      <c r="L700">
        <f>VLOOKUP(A700,Marketing_df2!$A$1:$F$2241,3,FALSE)</f>
        <v>11</v>
      </c>
      <c r="M700">
        <f>VLOOKUP(A700,Marketing_df2!$A$1:$F$2241,4,FALSE)</f>
        <v>83</v>
      </c>
      <c r="N700">
        <f>VLOOKUP(A700,Marketing_df2!$A$1:$F$2241,5,FALSE)</f>
        <v>8</v>
      </c>
      <c r="O700">
        <f>VLOOKUP(A700,Marketing_df2!$A$1:$F$2241,6,FALSE)</f>
        <v>6</v>
      </c>
    </row>
    <row r="701" spans="1:15" ht="12.5">
      <c r="A701" s="6">
        <v>699</v>
      </c>
      <c r="B701" s="6">
        <v>1277</v>
      </c>
      <c r="C701" s="6">
        <v>1960</v>
      </c>
      <c r="D701" s="7" t="s">
        <v>9</v>
      </c>
      <c r="E701" s="7" t="s">
        <v>11</v>
      </c>
      <c r="F701" s="6">
        <v>78468</v>
      </c>
      <c r="G701" s="6">
        <v>0</v>
      </c>
      <c r="H701" s="6">
        <v>0</v>
      </c>
      <c r="I701" s="6">
        <f t="shared" si="10"/>
        <v>0</v>
      </c>
      <c r="J701" s="8">
        <v>41738</v>
      </c>
      <c r="K701" s="6">
        <v>29</v>
      </c>
      <c r="L701">
        <f>VLOOKUP(A701,Marketing_df2!$A$1:$F$2241,3,FALSE)</f>
        <v>22</v>
      </c>
      <c r="M701">
        <f>VLOOKUP(A701,Marketing_df2!$A$1:$F$2241,4,FALSE)</f>
        <v>22</v>
      </c>
      <c r="N701">
        <f>VLOOKUP(A701,Marketing_df2!$A$1:$F$2241,5,FALSE)</f>
        <v>10</v>
      </c>
      <c r="O701">
        <f>VLOOKUP(A701,Marketing_df2!$A$1:$F$2241,6,FALSE)</f>
        <v>10</v>
      </c>
    </row>
    <row r="702" spans="1:15" ht="12.5">
      <c r="A702" s="6">
        <v>700</v>
      </c>
      <c r="B702" s="6">
        <v>9977</v>
      </c>
      <c r="C702" s="6">
        <v>1973</v>
      </c>
      <c r="D702" s="7" t="s">
        <v>9</v>
      </c>
      <c r="E702" s="7" t="s">
        <v>15</v>
      </c>
      <c r="F702" s="6">
        <v>78901</v>
      </c>
      <c r="G702" s="6">
        <v>0</v>
      </c>
      <c r="H702" s="6">
        <v>1</v>
      </c>
      <c r="I702" s="6">
        <f t="shared" si="10"/>
        <v>1</v>
      </c>
      <c r="J702" s="8">
        <v>41534</v>
      </c>
      <c r="K702" s="6">
        <v>99</v>
      </c>
      <c r="L702">
        <f>VLOOKUP(A702,Marketing_df2!$A$1:$F$2241,3,FALSE)</f>
        <v>11</v>
      </c>
      <c r="M702">
        <f>VLOOKUP(A702,Marketing_df2!$A$1:$F$2241,4,FALSE)</f>
        <v>26</v>
      </c>
      <c r="N702">
        <f>VLOOKUP(A702,Marketing_df2!$A$1:$F$2241,5,FALSE)</f>
        <v>9</v>
      </c>
      <c r="O702">
        <f>VLOOKUP(A702,Marketing_df2!$A$1:$F$2241,6,FALSE)</f>
        <v>5</v>
      </c>
    </row>
    <row r="703" spans="1:15" ht="12.5">
      <c r="A703" s="6">
        <v>701</v>
      </c>
      <c r="B703" s="6">
        <v>10196</v>
      </c>
      <c r="C703" s="6">
        <v>1978</v>
      </c>
      <c r="D703" s="7" t="s">
        <v>9</v>
      </c>
      <c r="E703" s="7" t="s">
        <v>13</v>
      </c>
      <c r="F703" s="6">
        <v>71427</v>
      </c>
      <c r="G703" s="6">
        <v>2</v>
      </c>
      <c r="H703" s="6">
        <v>0</v>
      </c>
      <c r="I703" s="6">
        <f t="shared" si="10"/>
        <v>2</v>
      </c>
      <c r="J703" s="8">
        <v>41710</v>
      </c>
      <c r="K703" s="6">
        <v>26</v>
      </c>
      <c r="L703">
        <f>VLOOKUP(A703,Marketing_df2!$A$1:$F$2241,3,FALSE)</f>
        <v>123</v>
      </c>
      <c r="M703">
        <f>VLOOKUP(A703,Marketing_df2!$A$1:$F$2241,4,FALSE)</f>
        <v>64</v>
      </c>
      <c r="N703">
        <f>VLOOKUP(A703,Marketing_df2!$A$1:$F$2241,5,FALSE)</f>
        <v>8</v>
      </c>
      <c r="O703">
        <f>VLOOKUP(A703,Marketing_df2!$A$1:$F$2241,6,FALSE)</f>
        <v>8</v>
      </c>
    </row>
    <row r="704" spans="1:15" ht="12.5">
      <c r="A704" s="6">
        <v>702</v>
      </c>
      <c r="B704" s="6">
        <v>6384</v>
      </c>
      <c r="C704" s="6">
        <v>1978</v>
      </c>
      <c r="D704" s="7" t="s">
        <v>9</v>
      </c>
      <c r="E704" s="7" t="s">
        <v>15</v>
      </c>
      <c r="F704" s="6">
        <v>71022</v>
      </c>
      <c r="G704" s="6">
        <v>0</v>
      </c>
      <c r="H704" s="6">
        <v>1</v>
      </c>
      <c r="I704" s="6">
        <f t="shared" si="10"/>
        <v>1</v>
      </c>
      <c r="J704" s="8">
        <v>41681</v>
      </c>
      <c r="K704" s="6">
        <v>30</v>
      </c>
      <c r="L704">
        <f>VLOOKUP(A704,Marketing_df2!$A$1:$F$2241,3,FALSE)</f>
        <v>12</v>
      </c>
      <c r="M704">
        <f>VLOOKUP(A704,Marketing_df2!$A$1:$F$2241,4,FALSE)</f>
        <v>12</v>
      </c>
      <c r="N704">
        <f>VLOOKUP(A704,Marketing_df2!$A$1:$F$2241,5,FALSE)</f>
        <v>5</v>
      </c>
      <c r="O704">
        <f>VLOOKUP(A704,Marketing_df2!$A$1:$F$2241,6,FALSE)</f>
        <v>11</v>
      </c>
    </row>
    <row r="705" spans="1:15" ht="12.5">
      <c r="A705" s="6">
        <v>703</v>
      </c>
      <c r="B705" s="6">
        <v>8029</v>
      </c>
      <c r="C705" s="6">
        <v>1988</v>
      </c>
      <c r="D705" s="7" t="s">
        <v>14</v>
      </c>
      <c r="E705" s="7" t="s">
        <v>10</v>
      </c>
      <c r="F705" s="6">
        <v>90247</v>
      </c>
      <c r="G705" s="6">
        <v>0</v>
      </c>
      <c r="H705" s="6">
        <v>0</v>
      </c>
      <c r="I705" s="6">
        <f t="shared" si="10"/>
        <v>0</v>
      </c>
      <c r="J705" s="8">
        <v>41758</v>
      </c>
      <c r="K705" s="6">
        <v>27</v>
      </c>
      <c r="L705">
        <f>VLOOKUP(A705,Marketing_df2!$A$1:$F$2241,3,FALSE)</f>
        <v>32</v>
      </c>
      <c r="M705">
        <f>VLOOKUP(A705,Marketing_df2!$A$1:$F$2241,4,FALSE)</f>
        <v>16</v>
      </c>
      <c r="N705">
        <f>VLOOKUP(A705,Marketing_df2!$A$1:$F$2241,5,FALSE)</f>
        <v>3</v>
      </c>
      <c r="O705">
        <f>VLOOKUP(A705,Marketing_df2!$A$1:$F$2241,6,FALSE)</f>
        <v>7</v>
      </c>
    </row>
    <row r="706" spans="1:15" ht="12.5">
      <c r="A706" s="6">
        <v>704</v>
      </c>
      <c r="B706" s="6">
        <v>968</v>
      </c>
      <c r="C706" s="6">
        <v>1968</v>
      </c>
      <c r="D706" s="7" t="s">
        <v>14</v>
      </c>
      <c r="E706" s="7" t="s">
        <v>15</v>
      </c>
      <c r="F706" s="6">
        <v>41335</v>
      </c>
      <c r="G706" s="6">
        <v>1</v>
      </c>
      <c r="H706" s="6">
        <v>0</v>
      </c>
      <c r="I706" s="6">
        <f t="shared" si="10"/>
        <v>1</v>
      </c>
      <c r="J706" s="9">
        <v>41634</v>
      </c>
      <c r="K706" s="6">
        <v>24</v>
      </c>
      <c r="L706">
        <f>VLOOKUP(A706,Marketing_df2!$A$1:$F$2241,3,FALSE)</f>
        <v>19</v>
      </c>
      <c r="M706">
        <f>VLOOKUP(A706,Marketing_df2!$A$1:$F$2241,4,FALSE)</f>
        <v>14</v>
      </c>
      <c r="N706">
        <f>VLOOKUP(A706,Marketing_df2!$A$1:$F$2241,5,FALSE)</f>
        <v>4</v>
      </c>
      <c r="O706">
        <f>VLOOKUP(A706,Marketing_df2!$A$1:$F$2241,6,FALSE)</f>
        <v>4</v>
      </c>
    </row>
    <row r="707" spans="1:15" ht="12.5">
      <c r="A707" s="6">
        <v>705</v>
      </c>
      <c r="B707" s="6">
        <v>6988</v>
      </c>
      <c r="C707" s="6">
        <v>1986</v>
      </c>
      <c r="D707" s="7" t="s">
        <v>9</v>
      </c>
      <c r="E707" s="7" t="s">
        <v>13</v>
      </c>
      <c r="F707" s="6">
        <v>71952</v>
      </c>
      <c r="G707" s="6">
        <v>1</v>
      </c>
      <c r="H707" s="6">
        <v>0</v>
      </c>
      <c r="I707" s="6">
        <f t="shared" ref="I707:I770" si="11">G707+H707</f>
        <v>1</v>
      </c>
      <c r="J707" s="8">
        <v>41284</v>
      </c>
      <c r="K707" s="6">
        <v>93</v>
      </c>
      <c r="L707">
        <f>VLOOKUP(A707,Marketing_df2!$A$1:$F$2241,3,FALSE)</f>
        <v>80</v>
      </c>
      <c r="M707">
        <f>VLOOKUP(A707,Marketing_df2!$A$1:$F$2241,4,FALSE)</f>
        <v>107</v>
      </c>
      <c r="N707">
        <f>VLOOKUP(A707,Marketing_df2!$A$1:$F$2241,5,FALSE)</f>
        <v>8</v>
      </c>
      <c r="O707">
        <f>VLOOKUP(A707,Marketing_df2!$A$1:$F$2241,6,FALSE)</f>
        <v>8</v>
      </c>
    </row>
    <row r="708" spans="1:15" ht="12.5">
      <c r="A708" s="6">
        <v>706</v>
      </c>
      <c r="B708" s="6">
        <v>4472</v>
      </c>
      <c r="C708" s="6">
        <v>1970</v>
      </c>
      <c r="D708" s="7" t="s">
        <v>12</v>
      </c>
      <c r="E708" s="7" t="s">
        <v>15</v>
      </c>
      <c r="F708" s="6">
        <v>35682</v>
      </c>
      <c r="G708" s="6">
        <v>1</v>
      </c>
      <c r="H708" s="6">
        <v>0</v>
      </c>
      <c r="I708" s="6">
        <f t="shared" si="11"/>
        <v>1</v>
      </c>
      <c r="J708" s="8">
        <v>41817</v>
      </c>
      <c r="K708" s="6">
        <v>34</v>
      </c>
      <c r="L708">
        <f>VLOOKUP(A708,Marketing_df2!$A$1:$F$2241,3,FALSE)</f>
        <v>0</v>
      </c>
      <c r="M708">
        <f>VLOOKUP(A708,Marketing_df2!$A$1:$F$2241,4,FALSE)</f>
        <v>2</v>
      </c>
      <c r="N708">
        <f>VLOOKUP(A708,Marketing_df2!$A$1:$F$2241,5,FALSE)</f>
        <v>1</v>
      </c>
      <c r="O708">
        <f>VLOOKUP(A708,Marketing_df2!$A$1:$F$2241,6,FALSE)</f>
        <v>3</v>
      </c>
    </row>
    <row r="709" spans="1:15" ht="12.5">
      <c r="A709" s="6">
        <v>707</v>
      </c>
      <c r="B709" s="6">
        <v>6991</v>
      </c>
      <c r="C709" s="6">
        <v>1951</v>
      </c>
      <c r="D709" s="7" t="s">
        <v>9</v>
      </c>
      <c r="E709" s="7" t="s">
        <v>15</v>
      </c>
      <c r="F709" s="6">
        <v>43185</v>
      </c>
      <c r="G709" s="6">
        <v>0</v>
      </c>
      <c r="H709" s="6">
        <v>1</v>
      </c>
      <c r="I709" s="6">
        <f t="shared" si="11"/>
        <v>1</v>
      </c>
      <c r="J709" s="8">
        <v>41374</v>
      </c>
      <c r="K709" s="6">
        <v>88</v>
      </c>
      <c r="L709">
        <f>VLOOKUP(A709,Marketing_df2!$A$1:$F$2241,3,FALSE)</f>
        <v>6</v>
      </c>
      <c r="M709">
        <f>VLOOKUP(A709,Marketing_df2!$A$1:$F$2241,4,FALSE)</f>
        <v>6</v>
      </c>
      <c r="N709">
        <f>VLOOKUP(A709,Marketing_df2!$A$1:$F$2241,5,FALSE)</f>
        <v>9</v>
      </c>
      <c r="O709">
        <f>VLOOKUP(A709,Marketing_df2!$A$1:$F$2241,6,FALSE)</f>
        <v>6</v>
      </c>
    </row>
    <row r="710" spans="1:15" ht="12.5">
      <c r="A710" s="6">
        <v>708</v>
      </c>
      <c r="B710" s="6">
        <v>3336</v>
      </c>
      <c r="C710" s="6">
        <v>1948</v>
      </c>
      <c r="D710" s="7" t="s">
        <v>12</v>
      </c>
      <c r="E710" s="7" t="s">
        <v>11</v>
      </c>
      <c r="F710" s="6">
        <v>66375</v>
      </c>
      <c r="G710" s="6">
        <v>0</v>
      </c>
      <c r="H710" s="6">
        <v>1</v>
      </c>
      <c r="I710" s="6">
        <f t="shared" si="11"/>
        <v>1</v>
      </c>
      <c r="J710" s="9">
        <v>41599</v>
      </c>
      <c r="K710" s="6">
        <v>96</v>
      </c>
      <c r="L710">
        <f>VLOOKUP(A710,Marketing_df2!$A$1:$F$2241,3,FALSE)</f>
        <v>0</v>
      </c>
      <c r="M710">
        <f>VLOOKUP(A710,Marketing_df2!$A$1:$F$2241,4,FALSE)</f>
        <v>0</v>
      </c>
      <c r="N710">
        <f>VLOOKUP(A710,Marketing_df2!$A$1:$F$2241,5,FALSE)</f>
        <v>2</v>
      </c>
      <c r="O710">
        <f>VLOOKUP(A710,Marketing_df2!$A$1:$F$2241,6,FALSE)</f>
        <v>5</v>
      </c>
    </row>
    <row r="711" spans="1:15" ht="12.5">
      <c r="A711" s="6">
        <v>709</v>
      </c>
      <c r="B711" s="6">
        <v>4301</v>
      </c>
      <c r="C711" s="6">
        <v>1971</v>
      </c>
      <c r="D711" s="7" t="s">
        <v>14</v>
      </c>
      <c r="E711" s="7" t="s">
        <v>13</v>
      </c>
      <c r="F711" s="6">
        <v>35178</v>
      </c>
      <c r="G711" s="6">
        <v>1</v>
      </c>
      <c r="H711" s="6">
        <v>0</v>
      </c>
      <c r="I711" s="6">
        <f t="shared" si="11"/>
        <v>1</v>
      </c>
      <c r="J711" s="8">
        <v>41284</v>
      </c>
      <c r="K711" s="6">
        <v>10</v>
      </c>
      <c r="L711">
        <f>VLOOKUP(A711,Marketing_df2!$A$1:$F$2241,3,FALSE)</f>
        <v>1</v>
      </c>
      <c r="M711">
        <f>VLOOKUP(A711,Marketing_df2!$A$1:$F$2241,4,FALSE)</f>
        <v>2</v>
      </c>
      <c r="N711">
        <f>VLOOKUP(A711,Marketing_df2!$A$1:$F$2241,5,FALSE)</f>
        <v>1</v>
      </c>
      <c r="O711">
        <f>VLOOKUP(A711,Marketing_df2!$A$1:$F$2241,6,FALSE)</f>
        <v>2</v>
      </c>
    </row>
    <row r="712" spans="1:15" ht="12.5">
      <c r="A712" s="6">
        <v>710</v>
      </c>
      <c r="B712" s="6">
        <v>1940</v>
      </c>
      <c r="C712" s="6">
        <v>1986</v>
      </c>
      <c r="D712" s="7" t="s">
        <v>9</v>
      </c>
      <c r="E712" s="7" t="s">
        <v>13</v>
      </c>
      <c r="F712" s="6">
        <v>25252</v>
      </c>
      <c r="G712" s="6">
        <v>1</v>
      </c>
      <c r="H712" s="6">
        <v>0</v>
      </c>
      <c r="I712" s="6">
        <f t="shared" si="11"/>
        <v>1</v>
      </c>
      <c r="J712" s="8">
        <v>41467</v>
      </c>
      <c r="K712" s="6">
        <v>26</v>
      </c>
      <c r="L712">
        <f>VLOOKUP(A712,Marketing_df2!$A$1:$F$2241,3,FALSE)</f>
        <v>3</v>
      </c>
      <c r="M712">
        <f>VLOOKUP(A712,Marketing_df2!$A$1:$F$2241,4,FALSE)</f>
        <v>2</v>
      </c>
      <c r="N712">
        <f>VLOOKUP(A712,Marketing_df2!$A$1:$F$2241,5,FALSE)</f>
        <v>1</v>
      </c>
      <c r="O712">
        <f>VLOOKUP(A712,Marketing_df2!$A$1:$F$2241,6,FALSE)</f>
        <v>2</v>
      </c>
    </row>
    <row r="713" spans="1:15" ht="12.5">
      <c r="A713" s="6">
        <v>711</v>
      </c>
      <c r="B713" s="6">
        <v>1272</v>
      </c>
      <c r="C713" s="6">
        <v>1965</v>
      </c>
      <c r="D713" s="7" t="s">
        <v>14</v>
      </c>
      <c r="E713" s="7" t="s">
        <v>10</v>
      </c>
      <c r="F713" s="6">
        <v>55250</v>
      </c>
      <c r="G713" s="6">
        <v>0</v>
      </c>
      <c r="H713" s="6">
        <v>1</v>
      </c>
      <c r="I713" s="6">
        <f t="shared" si="11"/>
        <v>1</v>
      </c>
      <c r="J713" s="9">
        <v>41203</v>
      </c>
      <c r="K713" s="6">
        <v>49</v>
      </c>
      <c r="L713">
        <f>VLOOKUP(A713,Marketing_df2!$A$1:$F$2241,3,FALSE)</f>
        <v>58</v>
      </c>
      <c r="M713">
        <f>VLOOKUP(A713,Marketing_df2!$A$1:$F$2241,4,FALSE)</f>
        <v>0</v>
      </c>
      <c r="N713">
        <f>VLOOKUP(A713,Marketing_df2!$A$1:$F$2241,5,FALSE)</f>
        <v>7</v>
      </c>
      <c r="O713">
        <f>VLOOKUP(A713,Marketing_df2!$A$1:$F$2241,6,FALSE)</f>
        <v>10</v>
      </c>
    </row>
    <row r="714" spans="1:15" ht="12.5">
      <c r="A714" s="6">
        <v>712</v>
      </c>
      <c r="B714" s="6">
        <v>1388</v>
      </c>
      <c r="C714" s="6">
        <v>1975</v>
      </c>
      <c r="D714" s="7" t="s">
        <v>9</v>
      </c>
      <c r="E714" s="7" t="s">
        <v>10</v>
      </c>
      <c r="F714" s="6">
        <v>33249</v>
      </c>
      <c r="G714" s="6">
        <v>1</v>
      </c>
      <c r="H714" s="6">
        <v>0</v>
      </c>
      <c r="I714" s="6">
        <f t="shared" si="11"/>
        <v>1</v>
      </c>
      <c r="J714" s="8">
        <v>41325</v>
      </c>
      <c r="K714" s="6">
        <v>11</v>
      </c>
      <c r="L714">
        <f>VLOOKUP(A714,Marketing_df2!$A$1:$F$2241,3,FALSE)</f>
        <v>10</v>
      </c>
      <c r="M714">
        <f>VLOOKUP(A714,Marketing_df2!$A$1:$F$2241,4,FALSE)</f>
        <v>14</v>
      </c>
      <c r="N714">
        <f>VLOOKUP(A714,Marketing_df2!$A$1:$F$2241,5,FALSE)</f>
        <v>2</v>
      </c>
      <c r="O714">
        <f>VLOOKUP(A714,Marketing_df2!$A$1:$F$2241,6,FALSE)</f>
        <v>3</v>
      </c>
    </row>
    <row r="715" spans="1:15" ht="12.5">
      <c r="A715" s="6">
        <v>713</v>
      </c>
      <c r="B715" s="6">
        <v>1044</v>
      </c>
      <c r="C715" s="6">
        <v>1953</v>
      </c>
      <c r="D715" s="7" t="s">
        <v>9</v>
      </c>
      <c r="E715" s="7" t="s">
        <v>11</v>
      </c>
      <c r="F715" s="6">
        <v>58398</v>
      </c>
      <c r="G715" s="6">
        <v>0</v>
      </c>
      <c r="H715" s="6">
        <v>0</v>
      </c>
      <c r="I715" s="6">
        <f t="shared" si="11"/>
        <v>0</v>
      </c>
      <c r="J715" s="8">
        <v>41408</v>
      </c>
      <c r="K715" s="6">
        <v>44</v>
      </c>
      <c r="L715">
        <f>VLOOKUP(A715,Marketing_df2!$A$1:$F$2241,3,FALSE)</f>
        <v>5</v>
      </c>
      <c r="M715">
        <f>VLOOKUP(A715,Marketing_df2!$A$1:$F$2241,4,FALSE)</f>
        <v>21</v>
      </c>
      <c r="N715">
        <f>VLOOKUP(A715,Marketing_df2!$A$1:$F$2241,5,FALSE)</f>
        <v>5</v>
      </c>
      <c r="O715">
        <f>VLOOKUP(A715,Marketing_df2!$A$1:$F$2241,6,FALSE)</f>
        <v>8</v>
      </c>
    </row>
    <row r="716" spans="1:15" ht="12.5">
      <c r="A716" s="6">
        <v>714</v>
      </c>
      <c r="B716" s="6">
        <v>6969</v>
      </c>
      <c r="C716" s="6">
        <v>1982</v>
      </c>
      <c r="D716" s="7" t="s">
        <v>9</v>
      </c>
      <c r="E716" s="7" t="s">
        <v>11</v>
      </c>
      <c r="F716" s="6">
        <v>50272</v>
      </c>
      <c r="G716" s="6">
        <v>1</v>
      </c>
      <c r="H716" s="6">
        <v>0</v>
      </c>
      <c r="I716" s="6">
        <f t="shared" si="11"/>
        <v>1</v>
      </c>
      <c r="J716" s="8">
        <v>41493</v>
      </c>
      <c r="K716" s="6">
        <v>75</v>
      </c>
      <c r="L716">
        <f>VLOOKUP(A716,Marketing_df2!$A$1:$F$2241,3,FALSE)</f>
        <v>13</v>
      </c>
      <c r="M716">
        <f>VLOOKUP(A716,Marketing_df2!$A$1:$F$2241,4,FALSE)</f>
        <v>8</v>
      </c>
      <c r="N716">
        <f>VLOOKUP(A716,Marketing_df2!$A$1:$F$2241,5,FALSE)</f>
        <v>4</v>
      </c>
      <c r="O716">
        <f>VLOOKUP(A716,Marketing_df2!$A$1:$F$2241,6,FALSE)</f>
        <v>5</v>
      </c>
    </row>
    <row r="717" spans="1:15" ht="12.5">
      <c r="A717" s="6">
        <v>715</v>
      </c>
      <c r="B717" s="6">
        <v>10479</v>
      </c>
      <c r="C717" s="6">
        <v>1975</v>
      </c>
      <c r="D717" s="7" t="s">
        <v>12</v>
      </c>
      <c r="E717" s="7" t="s">
        <v>13</v>
      </c>
      <c r="F717" s="6">
        <v>76618</v>
      </c>
      <c r="G717" s="6">
        <v>0</v>
      </c>
      <c r="H717" s="6">
        <v>0</v>
      </c>
      <c r="I717" s="6">
        <f t="shared" si="11"/>
        <v>0</v>
      </c>
      <c r="J717" s="8">
        <v>41250</v>
      </c>
      <c r="K717" s="6">
        <v>64</v>
      </c>
      <c r="L717">
        <f>VLOOKUP(A717,Marketing_df2!$A$1:$F$2241,3,FALSE)</f>
        <v>40</v>
      </c>
      <c r="M717">
        <f>VLOOKUP(A717,Marketing_df2!$A$1:$F$2241,4,FALSE)</f>
        <v>160</v>
      </c>
      <c r="N717">
        <f>VLOOKUP(A717,Marketing_df2!$A$1:$F$2241,5,FALSE)</f>
        <v>3</v>
      </c>
      <c r="O717">
        <f>VLOOKUP(A717,Marketing_df2!$A$1:$F$2241,6,FALSE)</f>
        <v>5</v>
      </c>
    </row>
    <row r="718" spans="1:15" ht="12.5">
      <c r="A718" s="6">
        <v>716</v>
      </c>
      <c r="B718" s="6">
        <v>3619</v>
      </c>
      <c r="C718" s="6">
        <v>1960</v>
      </c>
      <c r="D718" s="7" t="s">
        <v>17</v>
      </c>
      <c r="E718" s="7" t="s">
        <v>15</v>
      </c>
      <c r="F718" s="6">
        <v>87305</v>
      </c>
      <c r="G718" s="6">
        <v>0</v>
      </c>
      <c r="H718" s="6">
        <v>0</v>
      </c>
      <c r="I718" s="6">
        <f t="shared" si="11"/>
        <v>0</v>
      </c>
      <c r="J718" s="8">
        <v>41175</v>
      </c>
      <c r="K718" s="6">
        <v>19</v>
      </c>
      <c r="L718">
        <f>VLOOKUP(A718,Marketing_df2!$A$1:$F$2241,3,FALSE)</f>
        <v>25</v>
      </c>
      <c r="M718">
        <f>VLOOKUP(A718,Marketing_df2!$A$1:$F$2241,4,FALSE)</f>
        <v>138</v>
      </c>
      <c r="N718">
        <f>VLOOKUP(A718,Marketing_df2!$A$1:$F$2241,5,FALSE)</f>
        <v>5</v>
      </c>
      <c r="O718">
        <f>VLOOKUP(A718,Marketing_df2!$A$1:$F$2241,6,FALSE)</f>
        <v>8</v>
      </c>
    </row>
    <row r="719" spans="1:15" ht="12.5">
      <c r="A719" s="6">
        <v>717</v>
      </c>
      <c r="B719" s="6">
        <v>1715</v>
      </c>
      <c r="C719" s="6">
        <v>1978</v>
      </c>
      <c r="D719" s="7" t="s">
        <v>9</v>
      </c>
      <c r="E719" s="7" t="s">
        <v>11</v>
      </c>
      <c r="F719" s="6">
        <v>25851</v>
      </c>
      <c r="G719" s="6">
        <v>1</v>
      </c>
      <c r="H719" s="6">
        <v>0</v>
      </c>
      <c r="I719" s="6">
        <f t="shared" si="11"/>
        <v>1</v>
      </c>
      <c r="J719" s="8">
        <v>41316</v>
      </c>
      <c r="K719" s="6">
        <v>45</v>
      </c>
      <c r="L719">
        <f>VLOOKUP(A719,Marketing_df2!$A$1:$F$2241,3,FALSE)</f>
        <v>4</v>
      </c>
      <c r="M719">
        <f>VLOOKUP(A719,Marketing_df2!$A$1:$F$2241,4,FALSE)</f>
        <v>5</v>
      </c>
      <c r="N719">
        <f>VLOOKUP(A719,Marketing_df2!$A$1:$F$2241,5,FALSE)</f>
        <v>2</v>
      </c>
      <c r="O719">
        <f>VLOOKUP(A719,Marketing_df2!$A$1:$F$2241,6,FALSE)</f>
        <v>3</v>
      </c>
    </row>
    <row r="720" spans="1:15" ht="12.5">
      <c r="A720" s="6">
        <v>718</v>
      </c>
      <c r="B720" s="6">
        <v>10159</v>
      </c>
      <c r="C720" s="6">
        <v>1970</v>
      </c>
      <c r="D720" s="7" t="s">
        <v>9</v>
      </c>
      <c r="E720" s="7" t="s">
        <v>15</v>
      </c>
      <c r="F720" s="6">
        <v>58710</v>
      </c>
      <c r="G720" s="6">
        <v>0</v>
      </c>
      <c r="H720" s="6">
        <v>1</v>
      </c>
      <c r="I720" s="6">
        <f t="shared" si="11"/>
        <v>1</v>
      </c>
      <c r="J720" s="8">
        <v>41364</v>
      </c>
      <c r="K720" s="6">
        <v>77</v>
      </c>
      <c r="L720">
        <f>VLOOKUP(A720,Marketing_df2!$A$1:$F$2241,3,FALSE)</f>
        <v>81</v>
      </c>
      <c r="M720">
        <f>VLOOKUP(A720,Marketing_df2!$A$1:$F$2241,4,FALSE)</f>
        <v>122</v>
      </c>
      <c r="N720">
        <f>VLOOKUP(A720,Marketing_df2!$A$1:$F$2241,5,FALSE)</f>
        <v>11</v>
      </c>
      <c r="O720">
        <f>VLOOKUP(A720,Marketing_df2!$A$1:$F$2241,6,FALSE)</f>
        <v>9</v>
      </c>
    </row>
    <row r="721" spans="1:15" ht="12.5">
      <c r="A721" s="6">
        <v>719</v>
      </c>
      <c r="B721" s="6">
        <v>1463</v>
      </c>
      <c r="C721" s="6">
        <v>1958</v>
      </c>
      <c r="D721" s="7" t="s">
        <v>9</v>
      </c>
      <c r="E721" s="7" t="s">
        <v>10</v>
      </c>
      <c r="F721" s="6">
        <v>45160</v>
      </c>
      <c r="G721" s="6">
        <v>1</v>
      </c>
      <c r="H721" s="6">
        <v>1</v>
      </c>
      <c r="I721" s="6">
        <f t="shared" si="11"/>
        <v>2</v>
      </c>
      <c r="J721" s="8">
        <v>41727</v>
      </c>
      <c r="K721" s="6">
        <v>9</v>
      </c>
      <c r="L721">
        <f>VLOOKUP(A721,Marketing_df2!$A$1:$F$2241,3,FALSE)</f>
        <v>2</v>
      </c>
      <c r="M721">
        <f>VLOOKUP(A721,Marketing_df2!$A$1:$F$2241,4,FALSE)</f>
        <v>0</v>
      </c>
      <c r="N721">
        <f>VLOOKUP(A721,Marketing_df2!$A$1:$F$2241,5,FALSE)</f>
        <v>1</v>
      </c>
      <c r="O721">
        <f>VLOOKUP(A721,Marketing_df2!$A$1:$F$2241,6,FALSE)</f>
        <v>2</v>
      </c>
    </row>
    <row r="722" spans="1:15" ht="12.5">
      <c r="A722" s="6">
        <v>720</v>
      </c>
      <c r="B722" s="6">
        <v>5114</v>
      </c>
      <c r="C722" s="6">
        <v>1965</v>
      </c>
      <c r="D722" s="7" t="s">
        <v>14</v>
      </c>
      <c r="E722" s="7" t="s">
        <v>13</v>
      </c>
      <c r="F722" s="6">
        <v>74806</v>
      </c>
      <c r="G722" s="6">
        <v>0</v>
      </c>
      <c r="H722" s="6">
        <v>1</v>
      </c>
      <c r="I722" s="6">
        <f t="shared" si="11"/>
        <v>1</v>
      </c>
      <c r="J722" s="9">
        <v>41262</v>
      </c>
      <c r="K722" s="6">
        <v>1</v>
      </c>
      <c r="L722">
        <f>VLOOKUP(A722,Marketing_df2!$A$1:$F$2241,3,FALSE)</f>
        <v>9</v>
      </c>
      <c r="M722">
        <f>VLOOKUP(A722,Marketing_df2!$A$1:$F$2241,4,FALSE)</f>
        <v>28</v>
      </c>
      <c r="N722">
        <f>VLOOKUP(A722,Marketing_df2!$A$1:$F$2241,5,FALSE)</f>
        <v>5</v>
      </c>
      <c r="O722">
        <f>VLOOKUP(A722,Marketing_df2!$A$1:$F$2241,6,FALSE)</f>
        <v>5</v>
      </c>
    </row>
    <row r="723" spans="1:15" ht="12.5">
      <c r="A723" s="6">
        <v>721</v>
      </c>
      <c r="B723" s="6">
        <v>4990</v>
      </c>
      <c r="C723" s="6">
        <v>1954</v>
      </c>
      <c r="D723" s="7" t="s">
        <v>9</v>
      </c>
      <c r="E723" s="7" t="s">
        <v>13</v>
      </c>
      <c r="F723" s="6">
        <v>59111</v>
      </c>
      <c r="G723" s="6">
        <v>0</v>
      </c>
      <c r="H723" s="6">
        <v>0</v>
      </c>
      <c r="I723" s="6">
        <f t="shared" si="11"/>
        <v>0</v>
      </c>
      <c r="J723" s="8">
        <v>41396</v>
      </c>
      <c r="K723" s="6">
        <v>90</v>
      </c>
      <c r="L723">
        <f>VLOOKUP(A723,Marketing_df2!$A$1:$F$2241,3,FALSE)</f>
        <v>0</v>
      </c>
      <c r="M723">
        <f>VLOOKUP(A723,Marketing_df2!$A$1:$F$2241,4,FALSE)</f>
        <v>28</v>
      </c>
      <c r="N723">
        <f>VLOOKUP(A723,Marketing_df2!$A$1:$F$2241,5,FALSE)</f>
        <v>11</v>
      </c>
      <c r="O723">
        <f>VLOOKUP(A723,Marketing_df2!$A$1:$F$2241,6,FALSE)</f>
        <v>8</v>
      </c>
    </row>
    <row r="724" spans="1:15" ht="12.5">
      <c r="A724" s="6">
        <v>722</v>
      </c>
      <c r="B724" s="6">
        <v>4329</v>
      </c>
      <c r="C724" s="6">
        <v>1984</v>
      </c>
      <c r="D724" s="7" t="s">
        <v>12</v>
      </c>
      <c r="E724" s="7" t="s">
        <v>13</v>
      </c>
      <c r="F724" s="6">
        <v>18988</v>
      </c>
      <c r="G724" s="6">
        <v>1</v>
      </c>
      <c r="H724" s="6">
        <v>0</v>
      </c>
      <c r="I724" s="6">
        <f t="shared" si="11"/>
        <v>1</v>
      </c>
      <c r="J724" s="8">
        <v>41782</v>
      </c>
      <c r="K724" s="6">
        <v>43</v>
      </c>
      <c r="L724">
        <f>VLOOKUP(A724,Marketing_df2!$A$1:$F$2241,3,FALSE)</f>
        <v>0</v>
      </c>
      <c r="M724">
        <f>VLOOKUP(A724,Marketing_df2!$A$1:$F$2241,4,FALSE)</f>
        <v>1</v>
      </c>
      <c r="N724">
        <f>VLOOKUP(A724,Marketing_df2!$A$1:$F$2241,5,FALSE)</f>
        <v>1</v>
      </c>
      <c r="O724">
        <f>VLOOKUP(A724,Marketing_df2!$A$1:$F$2241,6,FALSE)</f>
        <v>3</v>
      </c>
    </row>
    <row r="725" spans="1:15" ht="12.5">
      <c r="A725" s="6">
        <v>723</v>
      </c>
      <c r="B725" s="6">
        <v>10936</v>
      </c>
      <c r="C725" s="6">
        <v>1965</v>
      </c>
      <c r="D725" s="7" t="s">
        <v>9</v>
      </c>
      <c r="E725" s="7" t="s">
        <v>13</v>
      </c>
      <c r="F725" s="6">
        <v>72190</v>
      </c>
      <c r="G725" s="6">
        <v>0</v>
      </c>
      <c r="H725" s="6">
        <v>0</v>
      </c>
      <c r="I725" s="6">
        <f t="shared" si="11"/>
        <v>0</v>
      </c>
      <c r="J725" s="8">
        <v>41318</v>
      </c>
      <c r="K725" s="6">
        <v>79</v>
      </c>
      <c r="L725">
        <f>VLOOKUP(A725,Marketing_df2!$A$1:$F$2241,3,FALSE)</f>
        <v>166</v>
      </c>
      <c r="M725">
        <f>VLOOKUP(A725,Marketing_df2!$A$1:$F$2241,4,FALSE)</f>
        <v>166</v>
      </c>
      <c r="N725">
        <f>VLOOKUP(A725,Marketing_df2!$A$1:$F$2241,5,FALSE)</f>
        <v>5</v>
      </c>
      <c r="O725">
        <f>VLOOKUP(A725,Marketing_df2!$A$1:$F$2241,6,FALSE)</f>
        <v>4</v>
      </c>
    </row>
    <row r="726" spans="1:15" ht="12.5">
      <c r="A726" s="6">
        <v>724</v>
      </c>
      <c r="B726" s="6">
        <v>4692</v>
      </c>
      <c r="C726" s="6">
        <v>1976</v>
      </c>
      <c r="D726" s="7" t="s">
        <v>9</v>
      </c>
      <c r="E726" s="7" t="s">
        <v>13</v>
      </c>
      <c r="F726" s="6">
        <v>7500</v>
      </c>
      <c r="G726" s="6">
        <v>1</v>
      </c>
      <c r="H726" s="6">
        <v>0</v>
      </c>
      <c r="I726" s="6">
        <f t="shared" si="11"/>
        <v>1</v>
      </c>
      <c r="J726" s="8">
        <v>41122</v>
      </c>
      <c r="K726" s="6">
        <v>19</v>
      </c>
      <c r="L726">
        <f>VLOOKUP(A726,Marketing_df2!$A$1:$F$2241,3,FALSE)</f>
        <v>0</v>
      </c>
      <c r="M726">
        <f>VLOOKUP(A726,Marketing_df2!$A$1:$F$2241,4,FALSE)</f>
        <v>7</v>
      </c>
      <c r="N726">
        <f>VLOOKUP(A726,Marketing_df2!$A$1:$F$2241,5,FALSE)</f>
        <v>4</v>
      </c>
      <c r="O726">
        <f>VLOOKUP(A726,Marketing_df2!$A$1:$F$2241,6,FALSE)</f>
        <v>2</v>
      </c>
    </row>
    <row r="727" spans="1:15" ht="12.5">
      <c r="A727" s="6">
        <v>725</v>
      </c>
      <c r="B727" s="6">
        <v>7212</v>
      </c>
      <c r="C727" s="6">
        <v>1966</v>
      </c>
      <c r="D727" s="7" t="s">
        <v>9</v>
      </c>
      <c r="E727" s="7" t="s">
        <v>13</v>
      </c>
      <c r="F727" s="6">
        <v>44794</v>
      </c>
      <c r="G727" s="6">
        <v>0</v>
      </c>
      <c r="H727" s="6">
        <v>1</v>
      </c>
      <c r="I727" s="6">
        <f t="shared" si="11"/>
        <v>1</v>
      </c>
      <c r="J727" s="8">
        <v>41798</v>
      </c>
      <c r="K727" s="6">
        <v>99</v>
      </c>
      <c r="L727">
        <f>VLOOKUP(A727,Marketing_df2!$A$1:$F$2241,3,FALSE)</f>
        <v>0</v>
      </c>
      <c r="M727">
        <f>VLOOKUP(A727,Marketing_df2!$A$1:$F$2241,4,FALSE)</f>
        <v>0</v>
      </c>
      <c r="N727">
        <f>VLOOKUP(A727,Marketing_df2!$A$1:$F$2241,5,FALSE)</f>
        <v>2</v>
      </c>
      <c r="O727">
        <f>VLOOKUP(A727,Marketing_df2!$A$1:$F$2241,6,FALSE)</f>
        <v>3</v>
      </c>
    </row>
    <row r="728" spans="1:15" ht="12.5">
      <c r="A728" s="6">
        <v>726</v>
      </c>
      <c r="B728" s="6">
        <v>6086</v>
      </c>
      <c r="C728" s="6">
        <v>1955</v>
      </c>
      <c r="D728" s="7" t="s">
        <v>9</v>
      </c>
      <c r="E728" s="7" t="s">
        <v>13</v>
      </c>
      <c r="F728" s="6">
        <v>80395</v>
      </c>
      <c r="G728" s="6">
        <v>0</v>
      </c>
      <c r="H728" s="6">
        <v>0</v>
      </c>
      <c r="I728" s="6">
        <f t="shared" si="11"/>
        <v>0</v>
      </c>
      <c r="J728" s="9">
        <v>41601</v>
      </c>
      <c r="K728" s="6">
        <v>62</v>
      </c>
      <c r="L728">
        <f>VLOOKUP(A728,Marketing_df2!$A$1:$F$2241,3,FALSE)</f>
        <v>25</v>
      </c>
      <c r="M728">
        <f>VLOOKUP(A728,Marketing_df2!$A$1:$F$2241,4,FALSE)</f>
        <v>76</v>
      </c>
      <c r="N728">
        <f>VLOOKUP(A728,Marketing_df2!$A$1:$F$2241,5,FALSE)</f>
        <v>6</v>
      </c>
      <c r="O728">
        <f>VLOOKUP(A728,Marketing_df2!$A$1:$F$2241,6,FALSE)</f>
        <v>12</v>
      </c>
    </row>
    <row r="729" spans="1:15" ht="12.5">
      <c r="A729" s="6">
        <v>727</v>
      </c>
      <c r="B729" s="6">
        <v>437</v>
      </c>
      <c r="C729" s="6">
        <v>1976</v>
      </c>
      <c r="D729" s="7" t="s">
        <v>14</v>
      </c>
      <c r="E729" s="7" t="s">
        <v>15</v>
      </c>
      <c r="F729" s="6">
        <v>75012</v>
      </c>
      <c r="G729" s="6">
        <v>0</v>
      </c>
      <c r="H729" s="6">
        <v>0</v>
      </c>
      <c r="I729" s="6">
        <f t="shared" si="11"/>
        <v>0</v>
      </c>
      <c r="J729" s="8">
        <v>41664</v>
      </c>
      <c r="K729" s="6">
        <v>41</v>
      </c>
      <c r="L729">
        <f>VLOOKUP(A729,Marketing_df2!$A$1:$F$2241,3,FALSE)</f>
        <v>142</v>
      </c>
      <c r="M729">
        <f>VLOOKUP(A729,Marketing_df2!$A$1:$F$2241,4,FALSE)</f>
        <v>58</v>
      </c>
      <c r="N729">
        <f>VLOOKUP(A729,Marketing_df2!$A$1:$F$2241,5,FALSE)</f>
        <v>3</v>
      </c>
      <c r="O729">
        <f>VLOOKUP(A729,Marketing_df2!$A$1:$F$2241,6,FALSE)</f>
        <v>11</v>
      </c>
    </row>
    <row r="730" spans="1:15" ht="12.5">
      <c r="A730" s="6">
        <v>728</v>
      </c>
      <c r="B730" s="6">
        <v>11171</v>
      </c>
      <c r="C730" s="6">
        <v>1965</v>
      </c>
      <c r="D730" s="7" t="s">
        <v>14</v>
      </c>
      <c r="E730" s="7" t="s">
        <v>13</v>
      </c>
      <c r="F730" s="6">
        <v>56962</v>
      </c>
      <c r="G730" s="6">
        <v>2</v>
      </c>
      <c r="H730" s="6">
        <v>1</v>
      </c>
      <c r="I730" s="6">
        <f t="shared" si="11"/>
        <v>3</v>
      </c>
      <c r="J730" s="9">
        <v>41558</v>
      </c>
      <c r="K730" s="6">
        <v>60</v>
      </c>
      <c r="L730">
        <f>VLOOKUP(A730,Marketing_df2!$A$1:$F$2241,3,FALSE)</f>
        <v>3</v>
      </c>
      <c r="M730">
        <f>VLOOKUP(A730,Marketing_df2!$A$1:$F$2241,4,FALSE)</f>
        <v>3</v>
      </c>
      <c r="N730">
        <f>VLOOKUP(A730,Marketing_df2!$A$1:$F$2241,5,FALSE)</f>
        <v>6</v>
      </c>
      <c r="O730">
        <f>VLOOKUP(A730,Marketing_df2!$A$1:$F$2241,6,FALSE)</f>
        <v>5</v>
      </c>
    </row>
    <row r="731" spans="1:15" ht="12.5">
      <c r="A731" s="6">
        <v>729</v>
      </c>
      <c r="B731" s="6">
        <v>11101</v>
      </c>
      <c r="C731" s="6">
        <v>1991</v>
      </c>
      <c r="D731" s="7" t="s">
        <v>9</v>
      </c>
      <c r="E731" s="7" t="s">
        <v>11</v>
      </c>
      <c r="F731" s="6">
        <v>89891</v>
      </c>
      <c r="G731" s="6">
        <v>0</v>
      </c>
      <c r="H731" s="6">
        <v>0</v>
      </c>
      <c r="I731" s="6">
        <f t="shared" si="11"/>
        <v>0</v>
      </c>
      <c r="J731" s="8">
        <v>41379</v>
      </c>
      <c r="K731" s="6">
        <v>17</v>
      </c>
      <c r="L731">
        <f>VLOOKUP(A731,Marketing_df2!$A$1:$F$2241,3,FALSE)</f>
        <v>22</v>
      </c>
      <c r="M731">
        <f>VLOOKUP(A731,Marketing_df2!$A$1:$F$2241,4,FALSE)</f>
        <v>28</v>
      </c>
      <c r="N731">
        <f>VLOOKUP(A731,Marketing_df2!$A$1:$F$2241,5,FALSE)</f>
        <v>11</v>
      </c>
      <c r="O731">
        <f>VLOOKUP(A731,Marketing_df2!$A$1:$F$2241,6,FALSE)</f>
        <v>8</v>
      </c>
    </row>
    <row r="732" spans="1:15" ht="12.5">
      <c r="A732" s="6">
        <v>730</v>
      </c>
      <c r="B732" s="6">
        <v>5329</v>
      </c>
      <c r="C732" s="6">
        <v>1949</v>
      </c>
      <c r="D732" s="7" t="s">
        <v>12</v>
      </c>
      <c r="E732" s="7" t="s">
        <v>15</v>
      </c>
      <c r="F732" s="6">
        <v>35946</v>
      </c>
      <c r="G732" s="6">
        <v>1</v>
      </c>
      <c r="H732" s="6">
        <v>1</v>
      </c>
      <c r="I732" s="6">
        <f t="shared" si="11"/>
        <v>2</v>
      </c>
      <c r="J732" s="8">
        <v>41544</v>
      </c>
      <c r="K732" s="6">
        <v>24</v>
      </c>
      <c r="L732">
        <f>VLOOKUP(A732,Marketing_df2!$A$1:$F$2241,3,FALSE)</f>
        <v>0</v>
      </c>
      <c r="M732">
        <f>VLOOKUP(A732,Marketing_df2!$A$1:$F$2241,4,FALSE)</f>
        <v>0</v>
      </c>
      <c r="N732">
        <f>VLOOKUP(A732,Marketing_df2!$A$1:$F$2241,5,FALSE)</f>
        <v>0</v>
      </c>
      <c r="O732">
        <f>VLOOKUP(A732,Marketing_df2!$A$1:$F$2241,6,FALSE)</f>
        <v>3</v>
      </c>
    </row>
    <row r="733" spans="1:15" ht="12.5">
      <c r="A733" s="6">
        <v>731</v>
      </c>
      <c r="B733" s="6">
        <v>610</v>
      </c>
      <c r="C733" s="6">
        <v>1953</v>
      </c>
      <c r="D733" s="7" t="s">
        <v>12</v>
      </c>
      <c r="E733" s="7" t="s">
        <v>11</v>
      </c>
      <c r="F733" s="6">
        <v>53593</v>
      </c>
      <c r="G733" s="6">
        <v>1</v>
      </c>
      <c r="H733" s="6">
        <v>1</v>
      </c>
      <c r="I733" s="6">
        <f t="shared" si="11"/>
        <v>2</v>
      </c>
      <c r="J733" s="8">
        <v>41128</v>
      </c>
      <c r="K733" s="6">
        <v>60</v>
      </c>
      <c r="L733">
        <f>VLOOKUP(A733,Marketing_df2!$A$1:$F$2241,3,FALSE)</f>
        <v>4</v>
      </c>
      <c r="M733">
        <f>VLOOKUP(A733,Marketing_df2!$A$1:$F$2241,4,FALSE)</f>
        <v>0</v>
      </c>
      <c r="N733">
        <f>VLOOKUP(A733,Marketing_df2!$A$1:$F$2241,5,FALSE)</f>
        <v>7</v>
      </c>
      <c r="O733">
        <f>VLOOKUP(A733,Marketing_df2!$A$1:$F$2241,6,FALSE)</f>
        <v>6</v>
      </c>
    </row>
    <row r="734" spans="1:15" ht="12.5">
      <c r="A734" s="6">
        <v>732</v>
      </c>
      <c r="B734" s="6">
        <v>9384</v>
      </c>
      <c r="C734" s="6">
        <v>1978</v>
      </c>
      <c r="D734" s="7" t="s">
        <v>9</v>
      </c>
      <c r="E734" s="7" t="s">
        <v>13</v>
      </c>
      <c r="F734" s="6">
        <v>66373</v>
      </c>
      <c r="G734" s="6">
        <v>1</v>
      </c>
      <c r="H734" s="6">
        <v>1</v>
      </c>
      <c r="I734" s="6">
        <f t="shared" si="11"/>
        <v>2</v>
      </c>
      <c r="J734" s="8">
        <v>41437</v>
      </c>
      <c r="K734" s="6">
        <v>57</v>
      </c>
      <c r="L734">
        <f>VLOOKUP(A734,Marketing_df2!$A$1:$F$2241,3,FALSE)</f>
        <v>9</v>
      </c>
      <c r="M734">
        <f>VLOOKUP(A734,Marketing_df2!$A$1:$F$2241,4,FALSE)</f>
        <v>24</v>
      </c>
      <c r="N734">
        <f>VLOOKUP(A734,Marketing_df2!$A$1:$F$2241,5,FALSE)</f>
        <v>4</v>
      </c>
      <c r="O734">
        <f>VLOOKUP(A734,Marketing_df2!$A$1:$F$2241,6,FALSE)</f>
        <v>10</v>
      </c>
    </row>
    <row r="735" spans="1:15" ht="12.5">
      <c r="A735" s="6">
        <v>733</v>
      </c>
      <c r="B735" s="6">
        <v>5956</v>
      </c>
      <c r="C735" s="6">
        <v>1948</v>
      </c>
      <c r="D735" s="7" t="s">
        <v>12</v>
      </c>
      <c r="E735" s="7" t="s">
        <v>15</v>
      </c>
      <c r="F735" s="6">
        <v>45072</v>
      </c>
      <c r="G735" s="6">
        <v>1</v>
      </c>
      <c r="H735" s="6">
        <v>2</v>
      </c>
      <c r="I735" s="6">
        <f t="shared" si="11"/>
        <v>3</v>
      </c>
      <c r="J735" s="9">
        <v>41563</v>
      </c>
      <c r="K735" s="6">
        <v>74</v>
      </c>
      <c r="L735">
        <f>VLOOKUP(A735,Marketing_df2!$A$1:$F$2241,3,FALSE)</f>
        <v>2</v>
      </c>
      <c r="M735">
        <f>VLOOKUP(A735,Marketing_df2!$A$1:$F$2241,4,FALSE)</f>
        <v>2</v>
      </c>
      <c r="N735">
        <f>VLOOKUP(A735,Marketing_df2!$A$1:$F$2241,5,FALSE)</f>
        <v>6</v>
      </c>
      <c r="O735">
        <f>VLOOKUP(A735,Marketing_df2!$A$1:$F$2241,6,FALSE)</f>
        <v>4</v>
      </c>
    </row>
    <row r="736" spans="1:15" ht="12.5">
      <c r="A736" s="6">
        <v>734</v>
      </c>
      <c r="B736" s="6">
        <v>10430</v>
      </c>
      <c r="C736" s="6">
        <v>1973</v>
      </c>
      <c r="D736" s="7" t="s">
        <v>9</v>
      </c>
      <c r="E736" s="7" t="s">
        <v>15</v>
      </c>
      <c r="F736" s="6">
        <v>89694</v>
      </c>
      <c r="G736" s="6">
        <v>1</v>
      </c>
      <c r="H736" s="6">
        <v>1</v>
      </c>
      <c r="I736" s="6">
        <f t="shared" si="11"/>
        <v>2</v>
      </c>
      <c r="J736" s="8">
        <v>41556</v>
      </c>
      <c r="K736" s="6">
        <v>22</v>
      </c>
      <c r="L736">
        <f>VLOOKUP(A736,Marketing_df2!$A$1:$F$2241,3,FALSE)</f>
        <v>28</v>
      </c>
      <c r="M736">
        <f>VLOOKUP(A736,Marketing_df2!$A$1:$F$2241,4,FALSE)</f>
        <v>28</v>
      </c>
      <c r="N736">
        <f>VLOOKUP(A736,Marketing_df2!$A$1:$F$2241,5,FALSE)</f>
        <v>4</v>
      </c>
      <c r="O736">
        <f>VLOOKUP(A736,Marketing_df2!$A$1:$F$2241,6,FALSE)</f>
        <v>4</v>
      </c>
    </row>
    <row r="737" spans="1:15" ht="12.5">
      <c r="A737" s="6">
        <v>735</v>
      </c>
      <c r="B737" s="6">
        <v>7875</v>
      </c>
      <c r="C737" s="6">
        <v>1949</v>
      </c>
      <c r="D737" s="7" t="s">
        <v>9</v>
      </c>
      <c r="E737" s="7" t="s">
        <v>13</v>
      </c>
      <c r="F737" s="6">
        <v>72025</v>
      </c>
      <c r="G737" s="6">
        <v>0</v>
      </c>
      <c r="H737" s="6">
        <v>0</v>
      </c>
      <c r="I737" s="6">
        <f t="shared" si="11"/>
        <v>0</v>
      </c>
      <c r="J737" s="8">
        <v>41758</v>
      </c>
      <c r="K737" s="6">
        <v>46</v>
      </c>
      <c r="L737">
        <f>VLOOKUP(A737,Marketing_df2!$A$1:$F$2241,3,FALSE)</f>
        <v>0</v>
      </c>
      <c r="M737">
        <f>VLOOKUP(A737,Marketing_df2!$A$1:$F$2241,4,FALSE)</f>
        <v>50</v>
      </c>
      <c r="N737">
        <f>VLOOKUP(A737,Marketing_df2!$A$1:$F$2241,5,FALSE)</f>
        <v>4</v>
      </c>
      <c r="O737">
        <f>VLOOKUP(A737,Marketing_df2!$A$1:$F$2241,6,FALSE)</f>
        <v>13</v>
      </c>
    </row>
    <row r="738" spans="1:15" ht="12.5">
      <c r="A738" s="6">
        <v>736</v>
      </c>
      <c r="B738" s="6">
        <v>7072</v>
      </c>
      <c r="C738" s="6">
        <v>1973</v>
      </c>
      <c r="D738" s="7" t="s">
        <v>9</v>
      </c>
      <c r="E738" s="7" t="s">
        <v>13</v>
      </c>
      <c r="F738" s="6">
        <v>67432</v>
      </c>
      <c r="G738" s="6">
        <v>0</v>
      </c>
      <c r="H738" s="6">
        <v>1</v>
      </c>
      <c r="I738" s="6">
        <f t="shared" si="11"/>
        <v>1</v>
      </c>
      <c r="J738" s="8">
        <v>41362</v>
      </c>
      <c r="K738" s="6">
        <v>69</v>
      </c>
      <c r="L738">
        <f>VLOOKUP(A738,Marketing_df2!$A$1:$F$2241,3,FALSE)</f>
        <v>79</v>
      </c>
      <c r="M738">
        <f>VLOOKUP(A738,Marketing_df2!$A$1:$F$2241,4,FALSE)</f>
        <v>136</v>
      </c>
      <c r="N738">
        <f>VLOOKUP(A738,Marketing_df2!$A$1:$F$2241,5,FALSE)</f>
        <v>8</v>
      </c>
      <c r="O738">
        <f>VLOOKUP(A738,Marketing_df2!$A$1:$F$2241,6,FALSE)</f>
        <v>4</v>
      </c>
    </row>
    <row r="739" spans="1:15" ht="12.5">
      <c r="A739" s="6">
        <v>737</v>
      </c>
      <c r="B739" s="6">
        <v>6255</v>
      </c>
      <c r="C739" s="6">
        <v>1952</v>
      </c>
      <c r="D739" s="7" t="s">
        <v>14</v>
      </c>
      <c r="E739" s="7" t="s">
        <v>11</v>
      </c>
      <c r="F739" s="6">
        <v>70545</v>
      </c>
      <c r="G739" s="6">
        <v>0</v>
      </c>
      <c r="H739" s="6">
        <v>1</v>
      </c>
      <c r="I739" s="6">
        <f t="shared" si="11"/>
        <v>1</v>
      </c>
      <c r="J739" s="8">
        <v>41793</v>
      </c>
      <c r="K739" s="6">
        <v>29</v>
      </c>
      <c r="L739">
        <f>VLOOKUP(A739,Marketing_df2!$A$1:$F$2241,3,FALSE)</f>
        <v>39</v>
      </c>
      <c r="M739">
        <f>VLOOKUP(A739,Marketing_df2!$A$1:$F$2241,4,FALSE)</f>
        <v>18</v>
      </c>
      <c r="N739">
        <f>VLOOKUP(A739,Marketing_df2!$A$1:$F$2241,5,FALSE)</f>
        <v>4</v>
      </c>
      <c r="O739">
        <f>VLOOKUP(A739,Marketing_df2!$A$1:$F$2241,6,FALSE)</f>
        <v>7</v>
      </c>
    </row>
    <row r="740" spans="1:15" ht="12.5">
      <c r="A740" s="6">
        <v>738</v>
      </c>
      <c r="B740" s="6">
        <v>6516</v>
      </c>
      <c r="C740" s="6">
        <v>1989</v>
      </c>
      <c r="D740" s="7" t="s">
        <v>16</v>
      </c>
      <c r="E740" s="7" t="s">
        <v>13</v>
      </c>
      <c r="F740" s="6">
        <v>17487</v>
      </c>
      <c r="G740" s="6">
        <v>1</v>
      </c>
      <c r="H740" s="6">
        <v>0</v>
      </c>
      <c r="I740" s="6">
        <f t="shared" si="11"/>
        <v>1</v>
      </c>
      <c r="J740" s="8">
        <v>41351</v>
      </c>
      <c r="K740" s="6">
        <v>37</v>
      </c>
      <c r="L740">
        <f>VLOOKUP(A740,Marketing_df2!$A$1:$F$2241,3,FALSE)</f>
        <v>0</v>
      </c>
      <c r="M740">
        <f>VLOOKUP(A740,Marketing_df2!$A$1:$F$2241,4,FALSE)</f>
        <v>4</v>
      </c>
      <c r="N740">
        <f>VLOOKUP(A740,Marketing_df2!$A$1:$F$2241,5,FALSE)</f>
        <v>1</v>
      </c>
      <c r="O740">
        <f>VLOOKUP(A740,Marketing_df2!$A$1:$F$2241,6,FALSE)</f>
        <v>2</v>
      </c>
    </row>
    <row r="741" spans="1:15" ht="12.5">
      <c r="A741" s="6">
        <v>739</v>
      </c>
      <c r="B741" s="6">
        <v>5564</v>
      </c>
      <c r="C741" s="6">
        <v>1969</v>
      </c>
      <c r="D741" s="7" t="s">
        <v>9</v>
      </c>
      <c r="E741" s="7" t="s">
        <v>11</v>
      </c>
      <c r="F741" s="6">
        <v>62882</v>
      </c>
      <c r="G741" s="6">
        <v>0</v>
      </c>
      <c r="H741" s="6">
        <v>1</v>
      </c>
      <c r="I741" s="6">
        <f t="shared" si="11"/>
        <v>1</v>
      </c>
      <c r="J741" s="8">
        <v>41130</v>
      </c>
      <c r="K741" s="6">
        <v>26</v>
      </c>
      <c r="L741">
        <f>VLOOKUP(A741,Marketing_df2!$A$1:$F$2241,3,FALSE)</f>
        <v>133</v>
      </c>
      <c r="M741">
        <f>VLOOKUP(A741,Marketing_df2!$A$1:$F$2241,4,FALSE)</f>
        <v>24</v>
      </c>
      <c r="N741">
        <f>VLOOKUP(A741,Marketing_df2!$A$1:$F$2241,5,FALSE)</f>
        <v>7</v>
      </c>
      <c r="O741">
        <f>VLOOKUP(A741,Marketing_df2!$A$1:$F$2241,6,FALSE)</f>
        <v>6</v>
      </c>
    </row>
    <row r="742" spans="1:15" ht="12.5">
      <c r="A742" s="6">
        <v>740</v>
      </c>
      <c r="B742" s="6">
        <v>5682</v>
      </c>
      <c r="C742" s="6">
        <v>1953</v>
      </c>
      <c r="D742" s="7" t="s">
        <v>12</v>
      </c>
      <c r="E742" s="7" t="s">
        <v>10</v>
      </c>
      <c r="F742" s="6">
        <v>64108</v>
      </c>
      <c r="G742" s="6">
        <v>0</v>
      </c>
      <c r="H742" s="6">
        <v>1</v>
      </c>
      <c r="I742" s="6">
        <f t="shared" si="11"/>
        <v>1</v>
      </c>
      <c r="J742" s="8">
        <v>41356</v>
      </c>
      <c r="K742" s="6">
        <v>8</v>
      </c>
      <c r="L742">
        <f>VLOOKUP(A742,Marketing_df2!$A$1:$F$2241,3,FALSE)</f>
        <v>10</v>
      </c>
      <c r="M742">
        <f>VLOOKUP(A742,Marketing_df2!$A$1:$F$2241,4,FALSE)</f>
        <v>21</v>
      </c>
      <c r="N742">
        <f>VLOOKUP(A742,Marketing_df2!$A$1:$F$2241,5,FALSE)</f>
        <v>6</v>
      </c>
      <c r="O742">
        <f>VLOOKUP(A742,Marketing_df2!$A$1:$F$2241,6,FALSE)</f>
        <v>11</v>
      </c>
    </row>
    <row r="743" spans="1:15" ht="12.5">
      <c r="A743" s="6">
        <v>741</v>
      </c>
      <c r="B743" s="6">
        <v>7458</v>
      </c>
      <c r="C743" s="6">
        <v>1956</v>
      </c>
      <c r="D743" s="7" t="s">
        <v>14</v>
      </c>
      <c r="E743" s="7" t="s">
        <v>11</v>
      </c>
      <c r="F743" s="6">
        <v>34941</v>
      </c>
      <c r="G743" s="6">
        <v>1</v>
      </c>
      <c r="H743" s="6">
        <v>1</v>
      </c>
      <c r="I743" s="6">
        <f t="shared" si="11"/>
        <v>2</v>
      </c>
      <c r="J743" s="8">
        <v>41339</v>
      </c>
      <c r="K743" s="6">
        <v>26</v>
      </c>
      <c r="L743">
        <f>VLOOKUP(A743,Marketing_df2!$A$1:$F$2241,3,FALSE)</f>
        <v>2</v>
      </c>
      <c r="M743">
        <f>VLOOKUP(A743,Marketing_df2!$A$1:$F$2241,4,FALSE)</f>
        <v>3</v>
      </c>
      <c r="N743">
        <f>VLOOKUP(A743,Marketing_df2!$A$1:$F$2241,5,FALSE)</f>
        <v>3</v>
      </c>
      <c r="O743">
        <f>VLOOKUP(A743,Marketing_df2!$A$1:$F$2241,6,FALSE)</f>
        <v>3</v>
      </c>
    </row>
    <row r="744" spans="1:15" ht="12.5">
      <c r="A744" s="6">
        <v>742</v>
      </c>
      <c r="B744" s="6">
        <v>5237</v>
      </c>
      <c r="C744" s="6">
        <v>1950</v>
      </c>
      <c r="D744" s="7" t="s">
        <v>12</v>
      </c>
      <c r="E744" s="7" t="s">
        <v>10</v>
      </c>
      <c r="F744" s="6">
        <v>48767</v>
      </c>
      <c r="G744" s="6">
        <v>1</v>
      </c>
      <c r="H744" s="6">
        <v>2</v>
      </c>
      <c r="I744" s="6">
        <f t="shared" si="11"/>
        <v>3</v>
      </c>
      <c r="J744" s="8">
        <v>41640</v>
      </c>
      <c r="K744" s="6">
        <v>79</v>
      </c>
      <c r="L744">
        <f>VLOOKUP(A744,Marketing_df2!$A$1:$F$2241,3,FALSE)</f>
        <v>1</v>
      </c>
      <c r="M744">
        <f>VLOOKUP(A744,Marketing_df2!$A$1:$F$2241,4,FALSE)</f>
        <v>0</v>
      </c>
      <c r="N744">
        <f>VLOOKUP(A744,Marketing_df2!$A$1:$F$2241,5,FALSE)</f>
        <v>2</v>
      </c>
      <c r="O744">
        <f>VLOOKUP(A744,Marketing_df2!$A$1:$F$2241,6,FALSE)</f>
        <v>3</v>
      </c>
    </row>
    <row r="745" spans="1:15" ht="12.5">
      <c r="A745" s="6">
        <v>743</v>
      </c>
      <c r="B745" s="6">
        <v>7761</v>
      </c>
      <c r="C745" s="6">
        <v>1978</v>
      </c>
      <c r="D745" s="7" t="s">
        <v>17</v>
      </c>
      <c r="E745" s="7" t="s">
        <v>11</v>
      </c>
      <c r="F745" s="6">
        <v>38702</v>
      </c>
      <c r="G745" s="6">
        <v>1</v>
      </c>
      <c r="H745" s="6">
        <v>0</v>
      </c>
      <c r="I745" s="6">
        <f t="shared" si="11"/>
        <v>1</v>
      </c>
      <c r="J745" s="8">
        <v>41487</v>
      </c>
      <c r="K745" s="6">
        <v>71</v>
      </c>
      <c r="L745">
        <f>VLOOKUP(A745,Marketing_df2!$A$1:$F$2241,3,FALSE)</f>
        <v>11</v>
      </c>
      <c r="M745">
        <f>VLOOKUP(A745,Marketing_df2!$A$1:$F$2241,4,FALSE)</f>
        <v>8</v>
      </c>
      <c r="N745">
        <f>VLOOKUP(A745,Marketing_df2!$A$1:$F$2241,5,FALSE)</f>
        <v>3</v>
      </c>
      <c r="O745">
        <f>VLOOKUP(A745,Marketing_df2!$A$1:$F$2241,6,FALSE)</f>
        <v>4</v>
      </c>
    </row>
    <row r="746" spans="1:15" ht="12.5">
      <c r="A746" s="6">
        <v>744</v>
      </c>
      <c r="B746" s="6">
        <v>5278</v>
      </c>
      <c r="C746" s="6">
        <v>1964</v>
      </c>
      <c r="D746" s="7" t="s">
        <v>9</v>
      </c>
      <c r="E746" s="7" t="s">
        <v>13</v>
      </c>
      <c r="F746" s="6">
        <v>82224</v>
      </c>
      <c r="G746" s="6">
        <v>0</v>
      </c>
      <c r="H746" s="6">
        <v>0</v>
      </c>
      <c r="I746" s="6">
        <f t="shared" si="11"/>
        <v>0</v>
      </c>
      <c r="J746" s="8">
        <v>41664</v>
      </c>
      <c r="K746" s="6">
        <v>83</v>
      </c>
      <c r="L746">
        <f>VLOOKUP(A746,Marketing_df2!$A$1:$F$2241,3,FALSE)</f>
        <v>26</v>
      </c>
      <c r="M746">
        <f>VLOOKUP(A746,Marketing_df2!$A$1:$F$2241,4,FALSE)</f>
        <v>31</v>
      </c>
      <c r="N746">
        <f>VLOOKUP(A746,Marketing_df2!$A$1:$F$2241,5,FALSE)</f>
        <v>6</v>
      </c>
      <c r="O746">
        <f>VLOOKUP(A746,Marketing_df2!$A$1:$F$2241,6,FALSE)</f>
        <v>5</v>
      </c>
    </row>
    <row r="747" spans="1:15" ht="12.5">
      <c r="A747" s="6">
        <v>745</v>
      </c>
      <c r="B747" s="6">
        <v>3560</v>
      </c>
      <c r="C747" s="6">
        <v>1952</v>
      </c>
      <c r="D747" s="7" t="s">
        <v>9</v>
      </c>
      <c r="E747" s="7" t="s">
        <v>11</v>
      </c>
      <c r="F747" s="6">
        <v>83844</v>
      </c>
      <c r="G747" s="6">
        <v>0</v>
      </c>
      <c r="H747" s="6">
        <v>0</v>
      </c>
      <c r="I747" s="6">
        <f t="shared" si="11"/>
        <v>0</v>
      </c>
      <c r="J747" s="8">
        <v>41406</v>
      </c>
      <c r="K747" s="6">
        <v>57</v>
      </c>
      <c r="L747">
        <f>VLOOKUP(A747,Marketing_df2!$A$1:$F$2241,3,FALSE)</f>
        <v>31</v>
      </c>
      <c r="M747">
        <f>VLOOKUP(A747,Marketing_df2!$A$1:$F$2241,4,FALSE)</f>
        <v>31</v>
      </c>
      <c r="N747">
        <f>VLOOKUP(A747,Marketing_df2!$A$1:$F$2241,5,FALSE)</f>
        <v>4</v>
      </c>
      <c r="O747">
        <f>VLOOKUP(A747,Marketing_df2!$A$1:$F$2241,6,FALSE)</f>
        <v>11</v>
      </c>
    </row>
    <row r="748" spans="1:15" ht="12.5">
      <c r="A748" s="6">
        <v>746</v>
      </c>
      <c r="B748" s="6">
        <v>7235</v>
      </c>
      <c r="C748" s="6">
        <v>1975</v>
      </c>
      <c r="D748" s="7" t="s">
        <v>17</v>
      </c>
      <c r="E748" s="7" t="s">
        <v>13</v>
      </c>
      <c r="F748" s="6">
        <v>17003</v>
      </c>
      <c r="G748" s="6">
        <v>1</v>
      </c>
      <c r="H748" s="6">
        <v>0</v>
      </c>
      <c r="I748" s="6">
        <f t="shared" si="11"/>
        <v>1</v>
      </c>
      <c r="J748" s="8">
        <v>41617</v>
      </c>
      <c r="K748" s="6">
        <v>37</v>
      </c>
      <c r="L748">
        <f>VLOOKUP(A748,Marketing_df2!$A$1:$F$2241,3,FALSE)</f>
        <v>5</v>
      </c>
      <c r="M748">
        <f>VLOOKUP(A748,Marketing_df2!$A$1:$F$2241,4,FALSE)</f>
        <v>8</v>
      </c>
      <c r="N748">
        <f>VLOOKUP(A748,Marketing_df2!$A$1:$F$2241,5,FALSE)</f>
        <v>2</v>
      </c>
      <c r="O748">
        <f>VLOOKUP(A748,Marketing_df2!$A$1:$F$2241,6,FALSE)</f>
        <v>4</v>
      </c>
    </row>
    <row r="749" spans="1:15" ht="12.5">
      <c r="A749" s="6">
        <v>747</v>
      </c>
      <c r="B749" s="6">
        <v>10548</v>
      </c>
      <c r="C749" s="6">
        <v>1995</v>
      </c>
      <c r="D749" s="7" t="s">
        <v>9</v>
      </c>
      <c r="E749" s="7" t="s">
        <v>10</v>
      </c>
      <c r="F749" s="6">
        <v>71163</v>
      </c>
      <c r="G749" s="6">
        <v>0</v>
      </c>
      <c r="H749" s="6">
        <v>0</v>
      </c>
      <c r="I749" s="6">
        <f t="shared" si="11"/>
        <v>0</v>
      </c>
      <c r="J749" s="8">
        <v>41707</v>
      </c>
      <c r="K749" s="6">
        <v>30</v>
      </c>
      <c r="L749">
        <f>VLOOKUP(A749,Marketing_df2!$A$1:$F$2241,3,FALSE)</f>
        <v>17</v>
      </c>
      <c r="M749">
        <f>VLOOKUP(A749,Marketing_df2!$A$1:$F$2241,4,FALSE)</f>
        <v>106</v>
      </c>
      <c r="N749">
        <f>VLOOKUP(A749,Marketing_df2!$A$1:$F$2241,5,FALSE)</f>
        <v>3</v>
      </c>
      <c r="O749">
        <f>VLOOKUP(A749,Marketing_df2!$A$1:$F$2241,6,FALSE)</f>
        <v>12</v>
      </c>
    </row>
    <row r="750" spans="1:15" ht="12.5">
      <c r="A750" s="6">
        <v>748</v>
      </c>
      <c r="B750" s="6">
        <v>2281</v>
      </c>
      <c r="C750" s="6">
        <v>1970</v>
      </c>
      <c r="D750" s="7" t="s">
        <v>9</v>
      </c>
      <c r="E750" s="7" t="s">
        <v>10</v>
      </c>
      <c r="F750" s="6">
        <v>33697</v>
      </c>
      <c r="G750" s="6">
        <v>1</v>
      </c>
      <c r="H750" s="6">
        <v>0</v>
      </c>
      <c r="I750" s="6">
        <f t="shared" si="11"/>
        <v>1</v>
      </c>
      <c r="J750" s="8">
        <v>41532</v>
      </c>
      <c r="K750" s="6">
        <v>34</v>
      </c>
      <c r="L750">
        <f>VLOOKUP(A750,Marketing_df2!$A$1:$F$2241,3,FALSE)</f>
        <v>3</v>
      </c>
      <c r="M750">
        <f>VLOOKUP(A750,Marketing_df2!$A$1:$F$2241,4,FALSE)</f>
        <v>3</v>
      </c>
      <c r="N750">
        <f>VLOOKUP(A750,Marketing_df2!$A$1:$F$2241,5,FALSE)</f>
        <v>1</v>
      </c>
      <c r="O750">
        <f>VLOOKUP(A750,Marketing_df2!$A$1:$F$2241,6,FALSE)</f>
        <v>2</v>
      </c>
    </row>
    <row r="751" spans="1:15" ht="12.5">
      <c r="A751" s="6">
        <v>749</v>
      </c>
      <c r="B751" s="6">
        <v>4073</v>
      </c>
      <c r="C751" s="6">
        <v>1954</v>
      </c>
      <c r="D751" s="7" t="s">
        <v>17</v>
      </c>
      <c r="E751" s="7" t="s">
        <v>13</v>
      </c>
      <c r="F751" s="6">
        <v>63564</v>
      </c>
      <c r="G751" s="6">
        <v>0</v>
      </c>
      <c r="H751" s="6">
        <v>0</v>
      </c>
      <c r="I751" s="6">
        <f t="shared" si="11"/>
        <v>0</v>
      </c>
      <c r="J751" s="8">
        <v>41668</v>
      </c>
      <c r="K751" s="6">
        <v>0</v>
      </c>
      <c r="L751">
        <f>VLOOKUP(A751,Marketing_df2!$A$1:$F$2241,3,FALSE)</f>
        <v>80</v>
      </c>
      <c r="M751">
        <f>VLOOKUP(A751,Marketing_df2!$A$1:$F$2241,4,FALSE)</f>
        <v>34</v>
      </c>
      <c r="N751">
        <f>VLOOKUP(A751,Marketing_df2!$A$1:$F$2241,5,FALSE)</f>
        <v>10</v>
      </c>
      <c r="O751">
        <f>VLOOKUP(A751,Marketing_df2!$A$1:$F$2241,6,FALSE)</f>
        <v>7</v>
      </c>
    </row>
    <row r="752" spans="1:15" ht="12.5">
      <c r="A752" s="6">
        <v>750</v>
      </c>
      <c r="B752" s="6">
        <v>6974</v>
      </c>
      <c r="C752" s="6">
        <v>1972</v>
      </c>
      <c r="D752" s="7" t="s">
        <v>12</v>
      </c>
      <c r="E752" s="7" t="s">
        <v>11</v>
      </c>
      <c r="F752" s="6">
        <v>83443</v>
      </c>
      <c r="G752" s="6">
        <v>0</v>
      </c>
      <c r="H752" s="6">
        <v>0</v>
      </c>
      <c r="I752" s="6">
        <f t="shared" si="11"/>
        <v>0</v>
      </c>
      <c r="J752" s="9">
        <v>41639</v>
      </c>
      <c r="K752" s="6">
        <v>89</v>
      </c>
      <c r="L752">
        <f>VLOOKUP(A752,Marketing_df2!$A$1:$F$2241,3,FALSE)</f>
        <v>42</v>
      </c>
      <c r="M752">
        <f>VLOOKUP(A752,Marketing_df2!$A$1:$F$2241,4,FALSE)</f>
        <v>56</v>
      </c>
      <c r="N752">
        <f>VLOOKUP(A752,Marketing_df2!$A$1:$F$2241,5,FALSE)</f>
        <v>6</v>
      </c>
      <c r="O752">
        <f>VLOOKUP(A752,Marketing_df2!$A$1:$F$2241,6,FALSE)</f>
        <v>5</v>
      </c>
    </row>
    <row r="753" spans="1:15" ht="12.5">
      <c r="A753" s="6">
        <v>751</v>
      </c>
      <c r="B753" s="6">
        <v>7938</v>
      </c>
      <c r="C753" s="6">
        <v>1958</v>
      </c>
      <c r="D753" s="7" t="s">
        <v>12</v>
      </c>
      <c r="E753" s="7" t="s">
        <v>11</v>
      </c>
      <c r="F753" s="6">
        <v>51518</v>
      </c>
      <c r="G753" s="6">
        <v>0</v>
      </c>
      <c r="H753" s="6">
        <v>1</v>
      </c>
      <c r="I753" s="6">
        <f t="shared" si="11"/>
        <v>1</v>
      </c>
      <c r="J753" s="8">
        <v>41550</v>
      </c>
      <c r="K753" s="6">
        <v>92</v>
      </c>
      <c r="L753">
        <f>VLOOKUP(A753,Marketing_df2!$A$1:$F$2241,3,FALSE)</f>
        <v>8</v>
      </c>
      <c r="M753">
        <f>VLOOKUP(A753,Marketing_df2!$A$1:$F$2241,4,FALSE)</f>
        <v>4</v>
      </c>
      <c r="N753">
        <f>VLOOKUP(A753,Marketing_df2!$A$1:$F$2241,5,FALSE)</f>
        <v>3</v>
      </c>
      <c r="O753">
        <f>VLOOKUP(A753,Marketing_df2!$A$1:$F$2241,6,FALSE)</f>
        <v>10</v>
      </c>
    </row>
    <row r="754" spans="1:15" ht="12.5">
      <c r="A754" s="6">
        <v>752</v>
      </c>
      <c r="B754" s="6">
        <v>7094</v>
      </c>
      <c r="C754" s="6">
        <v>1975</v>
      </c>
      <c r="D754" s="7" t="s">
        <v>9</v>
      </c>
      <c r="E754" s="7" t="s">
        <v>18</v>
      </c>
      <c r="F754" s="6">
        <v>58330</v>
      </c>
      <c r="G754" s="6">
        <v>0</v>
      </c>
      <c r="H754" s="6">
        <v>1</v>
      </c>
      <c r="I754" s="6">
        <f t="shared" si="11"/>
        <v>1</v>
      </c>
      <c r="J754" s="9">
        <v>41633</v>
      </c>
      <c r="K754" s="6">
        <v>87</v>
      </c>
      <c r="L754">
        <f>VLOOKUP(A754,Marketing_df2!$A$1:$F$2241,3,FALSE)</f>
        <v>53</v>
      </c>
      <c r="M754">
        <f>VLOOKUP(A754,Marketing_df2!$A$1:$F$2241,4,FALSE)</f>
        <v>98</v>
      </c>
      <c r="N754">
        <f>VLOOKUP(A754,Marketing_df2!$A$1:$F$2241,5,FALSE)</f>
        <v>6</v>
      </c>
      <c r="O754">
        <f>VLOOKUP(A754,Marketing_df2!$A$1:$F$2241,6,FALSE)</f>
        <v>13</v>
      </c>
    </row>
    <row r="755" spans="1:15" ht="12.5">
      <c r="A755" s="6">
        <v>753</v>
      </c>
      <c r="B755" s="6">
        <v>3667</v>
      </c>
      <c r="C755" s="6">
        <v>1969</v>
      </c>
      <c r="D755" s="7" t="s">
        <v>9</v>
      </c>
      <c r="E755" s="7" t="s">
        <v>13</v>
      </c>
      <c r="F755" s="6">
        <v>80952</v>
      </c>
      <c r="G755" s="6">
        <v>0</v>
      </c>
      <c r="H755" s="6">
        <v>0</v>
      </c>
      <c r="I755" s="6">
        <f t="shared" si="11"/>
        <v>0</v>
      </c>
      <c r="J755" s="8">
        <v>41333</v>
      </c>
      <c r="K755" s="6">
        <v>20</v>
      </c>
      <c r="L755">
        <f>VLOOKUP(A755,Marketing_df2!$A$1:$F$2241,3,FALSE)</f>
        <v>178</v>
      </c>
      <c r="M755">
        <f>VLOOKUP(A755,Marketing_df2!$A$1:$F$2241,4,FALSE)</f>
        <v>27</v>
      </c>
      <c r="N755">
        <f>VLOOKUP(A755,Marketing_df2!$A$1:$F$2241,5,FALSE)</f>
        <v>8</v>
      </c>
      <c r="O755">
        <f>VLOOKUP(A755,Marketing_df2!$A$1:$F$2241,6,FALSE)</f>
        <v>11</v>
      </c>
    </row>
    <row r="756" spans="1:15" ht="12.5">
      <c r="A756" s="6">
        <v>754</v>
      </c>
      <c r="B756" s="6">
        <v>7723</v>
      </c>
      <c r="C756" s="6">
        <v>1979</v>
      </c>
      <c r="D756" s="7" t="s">
        <v>9</v>
      </c>
      <c r="E756" s="7" t="s">
        <v>11</v>
      </c>
      <c r="F756" s="6">
        <v>75507</v>
      </c>
      <c r="G756" s="6">
        <v>0</v>
      </c>
      <c r="H756" s="6">
        <v>0</v>
      </c>
      <c r="I756" s="6">
        <f t="shared" si="11"/>
        <v>0</v>
      </c>
      <c r="J756" s="8">
        <v>41761</v>
      </c>
      <c r="K756" s="6">
        <v>56</v>
      </c>
      <c r="L756">
        <f>VLOOKUP(A756,Marketing_df2!$A$1:$F$2241,3,FALSE)</f>
        <v>93</v>
      </c>
      <c r="M756">
        <f>VLOOKUP(A756,Marketing_df2!$A$1:$F$2241,4,FALSE)</f>
        <v>80</v>
      </c>
      <c r="N756">
        <f>VLOOKUP(A756,Marketing_df2!$A$1:$F$2241,5,FALSE)</f>
        <v>8</v>
      </c>
      <c r="O756">
        <f>VLOOKUP(A756,Marketing_df2!$A$1:$F$2241,6,FALSE)</f>
        <v>6</v>
      </c>
    </row>
    <row r="757" spans="1:15" ht="12.5">
      <c r="A757" s="6">
        <v>755</v>
      </c>
      <c r="B757" s="6">
        <v>3870</v>
      </c>
      <c r="C757" s="6">
        <v>1978</v>
      </c>
      <c r="D757" s="7" t="s">
        <v>17</v>
      </c>
      <c r="E757" s="7" t="s">
        <v>11</v>
      </c>
      <c r="F757" s="6">
        <v>63855</v>
      </c>
      <c r="G757" s="6">
        <v>0</v>
      </c>
      <c r="H757" s="6">
        <v>0</v>
      </c>
      <c r="I757" s="6">
        <f t="shared" si="11"/>
        <v>0</v>
      </c>
      <c r="J757" s="8">
        <v>41314</v>
      </c>
      <c r="K757" s="6">
        <v>28</v>
      </c>
      <c r="L757">
        <f>VLOOKUP(A757,Marketing_df2!$A$1:$F$2241,3,FALSE)</f>
        <v>35</v>
      </c>
      <c r="M757">
        <f>VLOOKUP(A757,Marketing_df2!$A$1:$F$2241,4,FALSE)</f>
        <v>116</v>
      </c>
      <c r="N757">
        <f>VLOOKUP(A757,Marketing_df2!$A$1:$F$2241,5,FALSE)</f>
        <v>7</v>
      </c>
      <c r="O757">
        <f>VLOOKUP(A757,Marketing_df2!$A$1:$F$2241,6,FALSE)</f>
        <v>13</v>
      </c>
    </row>
    <row r="758" spans="1:15" ht="12.5">
      <c r="A758" s="6">
        <v>756</v>
      </c>
      <c r="B758" s="6">
        <v>4012</v>
      </c>
      <c r="C758" s="6">
        <v>1972</v>
      </c>
      <c r="D758" s="7" t="s">
        <v>12</v>
      </c>
      <c r="E758" s="7" t="s">
        <v>11</v>
      </c>
      <c r="F758" s="6">
        <v>62220</v>
      </c>
      <c r="G758" s="6">
        <v>0</v>
      </c>
      <c r="H758" s="6">
        <v>1</v>
      </c>
      <c r="I758" s="6">
        <f t="shared" si="11"/>
        <v>1</v>
      </c>
      <c r="J758" s="8">
        <v>41132</v>
      </c>
      <c r="K758" s="6">
        <v>55</v>
      </c>
      <c r="L758">
        <f>VLOOKUP(A758,Marketing_df2!$A$1:$F$2241,3,FALSE)</f>
        <v>12</v>
      </c>
      <c r="M758">
        <f>VLOOKUP(A758,Marketing_df2!$A$1:$F$2241,4,FALSE)</f>
        <v>12</v>
      </c>
      <c r="N758">
        <f>VLOOKUP(A758,Marketing_df2!$A$1:$F$2241,5,FALSE)</f>
        <v>7</v>
      </c>
      <c r="O758">
        <f>VLOOKUP(A758,Marketing_df2!$A$1:$F$2241,6,FALSE)</f>
        <v>5</v>
      </c>
    </row>
    <row r="759" spans="1:15" ht="12.5">
      <c r="A759" s="6">
        <v>757</v>
      </c>
      <c r="B759" s="6">
        <v>5909</v>
      </c>
      <c r="C759" s="6">
        <v>1964</v>
      </c>
      <c r="D759" s="7" t="s">
        <v>9</v>
      </c>
      <c r="E759" s="7" t="s">
        <v>13</v>
      </c>
      <c r="F759" s="6">
        <v>58512</v>
      </c>
      <c r="G759" s="6">
        <v>0</v>
      </c>
      <c r="H759" s="6">
        <v>1</v>
      </c>
      <c r="I759" s="6">
        <f t="shared" si="11"/>
        <v>1</v>
      </c>
      <c r="J759" s="8">
        <v>41536</v>
      </c>
      <c r="K759" s="6">
        <v>25</v>
      </c>
      <c r="L759">
        <f>VLOOKUP(A759,Marketing_df2!$A$1:$F$2241,3,FALSE)</f>
        <v>10</v>
      </c>
      <c r="M759">
        <f>VLOOKUP(A759,Marketing_df2!$A$1:$F$2241,4,FALSE)</f>
        <v>0</v>
      </c>
      <c r="N759">
        <f>VLOOKUP(A759,Marketing_df2!$A$1:$F$2241,5,FALSE)</f>
        <v>3</v>
      </c>
      <c r="O759">
        <f>VLOOKUP(A759,Marketing_df2!$A$1:$F$2241,6,FALSE)</f>
        <v>8</v>
      </c>
    </row>
    <row r="760" spans="1:15" ht="12.5">
      <c r="A760" s="6">
        <v>758</v>
      </c>
      <c r="B760" s="6">
        <v>10470</v>
      </c>
      <c r="C760" s="6">
        <v>1979</v>
      </c>
      <c r="D760" s="7" t="s">
        <v>14</v>
      </c>
      <c r="E760" s="7" t="s">
        <v>13</v>
      </c>
      <c r="F760" s="6">
        <v>40662</v>
      </c>
      <c r="G760" s="6">
        <v>1</v>
      </c>
      <c r="H760" s="6">
        <v>0</v>
      </c>
      <c r="I760" s="6">
        <f t="shared" si="11"/>
        <v>1</v>
      </c>
      <c r="J760" s="8">
        <v>41348</v>
      </c>
      <c r="K760" s="6">
        <v>0</v>
      </c>
      <c r="L760">
        <f>VLOOKUP(A760,Marketing_df2!$A$1:$F$2241,3,FALSE)</f>
        <v>2</v>
      </c>
      <c r="M760">
        <f>VLOOKUP(A760,Marketing_df2!$A$1:$F$2241,4,FALSE)</f>
        <v>4</v>
      </c>
      <c r="N760">
        <f>VLOOKUP(A760,Marketing_df2!$A$1:$F$2241,5,FALSE)</f>
        <v>2</v>
      </c>
      <c r="O760">
        <f>VLOOKUP(A760,Marketing_df2!$A$1:$F$2241,6,FALSE)</f>
        <v>3</v>
      </c>
    </row>
    <row r="761" spans="1:15" ht="12.5">
      <c r="A761" s="6">
        <v>759</v>
      </c>
      <c r="B761" s="6">
        <v>6488</v>
      </c>
      <c r="C761" s="6">
        <v>1959</v>
      </c>
      <c r="D761" s="7" t="s">
        <v>12</v>
      </c>
      <c r="E761" s="7" t="s">
        <v>13</v>
      </c>
      <c r="F761" s="6">
        <v>38829</v>
      </c>
      <c r="G761" s="6">
        <v>0</v>
      </c>
      <c r="H761" s="6">
        <v>1</v>
      </c>
      <c r="I761" s="6">
        <f t="shared" si="11"/>
        <v>1</v>
      </c>
      <c r="J761" s="8">
        <v>41735</v>
      </c>
      <c r="K761" s="6">
        <v>86</v>
      </c>
      <c r="L761">
        <f>VLOOKUP(A761,Marketing_df2!$A$1:$F$2241,3,FALSE)</f>
        <v>0</v>
      </c>
      <c r="M761">
        <f>VLOOKUP(A761,Marketing_df2!$A$1:$F$2241,4,FALSE)</f>
        <v>0</v>
      </c>
      <c r="N761">
        <f>VLOOKUP(A761,Marketing_df2!$A$1:$F$2241,5,FALSE)</f>
        <v>3</v>
      </c>
      <c r="O761">
        <f>VLOOKUP(A761,Marketing_df2!$A$1:$F$2241,6,FALSE)</f>
        <v>2</v>
      </c>
    </row>
    <row r="762" spans="1:15" ht="12.5">
      <c r="A762" s="6">
        <v>760</v>
      </c>
      <c r="B762" s="6">
        <v>10270</v>
      </c>
      <c r="C762" s="6">
        <v>1981</v>
      </c>
      <c r="D762" s="7" t="s">
        <v>17</v>
      </c>
      <c r="E762" s="7" t="s">
        <v>13</v>
      </c>
      <c r="F762" s="6">
        <v>35523</v>
      </c>
      <c r="G762" s="6">
        <v>1</v>
      </c>
      <c r="H762" s="6">
        <v>0</v>
      </c>
      <c r="I762" s="6">
        <f t="shared" si="11"/>
        <v>1</v>
      </c>
      <c r="J762" s="8">
        <v>41550</v>
      </c>
      <c r="K762" s="6">
        <v>8</v>
      </c>
      <c r="L762">
        <f>VLOOKUP(A762,Marketing_df2!$A$1:$F$2241,3,FALSE)</f>
        <v>5</v>
      </c>
      <c r="M762">
        <f>VLOOKUP(A762,Marketing_df2!$A$1:$F$2241,4,FALSE)</f>
        <v>5</v>
      </c>
      <c r="N762">
        <f>VLOOKUP(A762,Marketing_df2!$A$1:$F$2241,5,FALSE)</f>
        <v>3</v>
      </c>
      <c r="O762">
        <f>VLOOKUP(A762,Marketing_df2!$A$1:$F$2241,6,FALSE)</f>
        <v>3</v>
      </c>
    </row>
    <row r="763" spans="1:15" ht="12.5">
      <c r="A763" s="6">
        <v>761</v>
      </c>
      <c r="B763" s="6">
        <v>6887</v>
      </c>
      <c r="C763" s="6">
        <v>1967</v>
      </c>
      <c r="D763" s="7" t="s">
        <v>9</v>
      </c>
      <c r="E763" s="7" t="s">
        <v>10</v>
      </c>
      <c r="F763" s="6">
        <v>79146</v>
      </c>
      <c r="G763" s="6">
        <v>1</v>
      </c>
      <c r="H763" s="6">
        <v>1</v>
      </c>
      <c r="I763" s="6">
        <f t="shared" si="11"/>
        <v>2</v>
      </c>
      <c r="J763" s="8">
        <v>41753</v>
      </c>
      <c r="K763" s="6">
        <v>33</v>
      </c>
      <c r="L763">
        <f>VLOOKUP(A763,Marketing_df2!$A$1:$F$2241,3,FALSE)</f>
        <v>16</v>
      </c>
      <c r="M763">
        <f>VLOOKUP(A763,Marketing_df2!$A$1:$F$2241,4,FALSE)</f>
        <v>43</v>
      </c>
      <c r="N763">
        <f>VLOOKUP(A763,Marketing_df2!$A$1:$F$2241,5,FALSE)</f>
        <v>8</v>
      </c>
      <c r="O763">
        <f>VLOOKUP(A763,Marketing_df2!$A$1:$F$2241,6,FALSE)</f>
        <v>8</v>
      </c>
    </row>
    <row r="764" spans="1:15" ht="12.5">
      <c r="A764" s="6">
        <v>762</v>
      </c>
      <c r="B764" s="6">
        <v>6406</v>
      </c>
      <c r="C764" s="6">
        <v>1988</v>
      </c>
      <c r="D764" s="7" t="s">
        <v>14</v>
      </c>
      <c r="E764" s="7" t="s">
        <v>13</v>
      </c>
      <c r="F764" s="6">
        <v>78285</v>
      </c>
      <c r="G764" s="6">
        <v>0</v>
      </c>
      <c r="H764" s="6">
        <v>0</v>
      </c>
      <c r="I764" s="6">
        <f t="shared" si="11"/>
        <v>0</v>
      </c>
      <c r="J764" s="9">
        <v>41575</v>
      </c>
      <c r="K764" s="6">
        <v>13</v>
      </c>
      <c r="L764">
        <f>VLOOKUP(A764,Marketing_df2!$A$1:$F$2241,3,FALSE)</f>
        <v>107</v>
      </c>
      <c r="M764">
        <f>VLOOKUP(A764,Marketing_df2!$A$1:$F$2241,4,FALSE)</f>
        <v>67</v>
      </c>
      <c r="N764">
        <f>VLOOKUP(A764,Marketing_df2!$A$1:$F$2241,5,FALSE)</f>
        <v>6</v>
      </c>
      <c r="O764">
        <f>VLOOKUP(A764,Marketing_df2!$A$1:$F$2241,6,FALSE)</f>
        <v>10</v>
      </c>
    </row>
    <row r="765" spans="1:15" ht="12.5">
      <c r="A765" s="6">
        <v>763</v>
      </c>
      <c r="B765" s="6">
        <v>7573</v>
      </c>
      <c r="C765" s="6">
        <v>1978</v>
      </c>
      <c r="D765" s="7" t="s">
        <v>12</v>
      </c>
      <c r="E765" s="7" t="s">
        <v>10</v>
      </c>
      <c r="F765" s="6">
        <v>31626</v>
      </c>
      <c r="G765" s="6">
        <v>1</v>
      </c>
      <c r="H765" s="6">
        <v>0</v>
      </c>
      <c r="I765" s="6">
        <f t="shared" si="11"/>
        <v>1</v>
      </c>
      <c r="J765" s="8">
        <v>41404</v>
      </c>
      <c r="K765" s="6">
        <v>12</v>
      </c>
      <c r="L765">
        <f>VLOOKUP(A765,Marketing_df2!$A$1:$F$2241,3,FALSE)</f>
        <v>1</v>
      </c>
      <c r="M765">
        <f>VLOOKUP(A765,Marketing_df2!$A$1:$F$2241,4,FALSE)</f>
        <v>1</v>
      </c>
      <c r="N765">
        <f>VLOOKUP(A765,Marketing_df2!$A$1:$F$2241,5,FALSE)</f>
        <v>2</v>
      </c>
      <c r="O765">
        <f>VLOOKUP(A765,Marketing_df2!$A$1:$F$2241,6,FALSE)</f>
        <v>2</v>
      </c>
    </row>
    <row r="766" spans="1:15" ht="12.5">
      <c r="A766" s="6">
        <v>764</v>
      </c>
      <c r="B766" s="6">
        <v>4508</v>
      </c>
      <c r="C766" s="6">
        <v>1952</v>
      </c>
      <c r="D766" s="7" t="s">
        <v>9</v>
      </c>
      <c r="E766" s="7" t="s">
        <v>10</v>
      </c>
      <c r="F766" s="6">
        <v>75127</v>
      </c>
      <c r="G766" s="6">
        <v>0</v>
      </c>
      <c r="H766" s="6">
        <v>0</v>
      </c>
      <c r="I766" s="6">
        <f t="shared" si="11"/>
        <v>0</v>
      </c>
      <c r="J766" s="8">
        <v>41781</v>
      </c>
      <c r="K766" s="6">
        <v>92</v>
      </c>
      <c r="L766">
        <f>VLOOKUP(A766,Marketing_df2!$A$1:$F$2241,3,FALSE)</f>
        <v>35</v>
      </c>
      <c r="M766">
        <f>VLOOKUP(A766,Marketing_df2!$A$1:$F$2241,4,FALSE)</f>
        <v>17</v>
      </c>
      <c r="N766">
        <f>VLOOKUP(A766,Marketing_df2!$A$1:$F$2241,5,FALSE)</f>
        <v>2</v>
      </c>
      <c r="O766">
        <f>VLOOKUP(A766,Marketing_df2!$A$1:$F$2241,6,FALSE)</f>
        <v>5</v>
      </c>
    </row>
    <row r="767" spans="1:15" ht="12.5">
      <c r="A767" s="6">
        <v>765</v>
      </c>
      <c r="B767" s="6">
        <v>221</v>
      </c>
      <c r="C767" s="6">
        <v>1955</v>
      </c>
      <c r="D767" s="7" t="s">
        <v>9</v>
      </c>
      <c r="E767" s="7" t="s">
        <v>13</v>
      </c>
      <c r="F767" s="6">
        <v>48726</v>
      </c>
      <c r="G767" s="6">
        <v>0</v>
      </c>
      <c r="H767" s="6">
        <v>1</v>
      </c>
      <c r="I767" s="6">
        <f t="shared" si="11"/>
        <v>1</v>
      </c>
      <c r="J767" s="8">
        <v>41391</v>
      </c>
      <c r="K767" s="6">
        <v>90</v>
      </c>
      <c r="L767">
        <f>VLOOKUP(A767,Marketing_df2!$A$1:$F$2241,3,FALSE)</f>
        <v>3</v>
      </c>
      <c r="M767">
        <f>VLOOKUP(A767,Marketing_df2!$A$1:$F$2241,4,FALSE)</f>
        <v>0</v>
      </c>
      <c r="N767">
        <f>VLOOKUP(A767,Marketing_df2!$A$1:$F$2241,5,FALSE)</f>
        <v>3</v>
      </c>
      <c r="O767">
        <f>VLOOKUP(A767,Marketing_df2!$A$1:$F$2241,6,FALSE)</f>
        <v>4</v>
      </c>
    </row>
    <row r="768" spans="1:15" ht="12.5">
      <c r="A768" s="6">
        <v>766</v>
      </c>
      <c r="B768" s="6">
        <v>5331</v>
      </c>
      <c r="C768" s="6">
        <v>1977</v>
      </c>
      <c r="D768" s="7" t="s">
        <v>9</v>
      </c>
      <c r="E768" s="7" t="s">
        <v>13</v>
      </c>
      <c r="F768" s="6">
        <v>74985</v>
      </c>
      <c r="G768" s="6">
        <v>0</v>
      </c>
      <c r="H768" s="6">
        <v>0</v>
      </c>
      <c r="I768" s="6">
        <f t="shared" si="11"/>
        <v>0</v>
      </c>
      <c r="J768" s="8">
        <v>41163</v>
      </c>
      <c r="K768" s="6">
        <v>8</v>
      </c>
      <c r="L768">
        <f>VLOOKUP(A768,Marketing_df2!$A$1:$F$2241,3,FALSE)</f>
        <v>51</v>
      </c>
      <c r="M768">
        <f>VLOOKUP(A768,Marketing_df2!$A$1:$F$2241,4,FALSE)</f>
        <v>0</v>
      </c>
      <c r="N768">
        <f>VLOOKUP(A768,Marketing_df2!$A$1:$F$2241,5,FALSE)</f>
        <v>3</v>
      </c>
      <c r="O768">
        <f>VLOOKUP(A768,Marketing_df2!$A$1:$F$2241,6,FALSE)</f>
        <v>7</v>
      </c>
    </row>
    <row r="769" spans="1:15" ht="12.5">
      <c r="A769" s="6">
        <v>767</v>
      </c>
      <c r="B769" s="6">
        <v>1911</v>
      </c>
      <c r="C769" s="6">
        <v>1987</v>
      </c>
      <c r="D769" s="7" t="s">
        <v>9</v>
      </c>
      <c r="E769" s="7" t="s">
        <v>11</v>
      </c>
      <c r="F769" s="6">
        <v>67430</v>
      </c>
      <c r="G769" s="6">
        <v>0</v>
      </c>
      <c r="H769" s="6">
        <v>0</v>
      </c>
      <c r="I769" s="6">
        <f t="shared" si="11"/>
        <v>0</v>
      </c>
      <c r="J769" s="8">
        <v>41157</v>
      </c>
      <c r="K769" s="6">
        <v>6</v>
      </c>
      <c r="L769">
        <f>VLOOKUP(A769,Marketing_df2!$A$1:$F$2241,3,FALSE)</f>
        <v>97</v>
      </c>
      <c r="M769">
        <f>VLOOKUP(A769,Marketing_df2!$A$1:$F$2241,4,FALSE)</f>
        <v>133</v>
      </c>
      <c r="N769">
        <f>VLOOKUP(A769,Marketing_df2!$A$1:$F$2241,5,FALSE)</f>
        <v>11</v>
      </c>
      <c r="O769">
        <f>VLOOKUP(A769,Marketing_df2!$A$1:$F$2241,6,FALSE)</f>
        <v>12</v>
      </c>
    </row>
    <row r="770" spans="1:15" ht="12.5">
      <c r="A770" s="6">
        <v>768</v>
      </c>
      <c r="B770" s="6">
        <v>20</v>
      </c>
      <c r="C770" s="6">
        <v>1965</v>
      </c>
      <c r="D770" s="7" t="s">
        <v>17</v>
      </c>
      <c r="E770" s="7" t="s">
        <v>13</v>
      </c>
      <c r="F770" s="6">
        <v>46891</v>
      </c>
      <c r="G770" s="6">
        <v>0</v>
      </c>
      <c r="H770" s="6">
        <v>1</v>
      </c>
      <c r="I770" s="6">
        <f t="shared" si="11"/>
        <v>1</v>
      </c>
      <c r="J770" s="8">
        <v>41518</v>
      </c>
      <c r="K770" s="6">
        <v>91</v>
      </c>
      <c r="L770">
        <f>VLOOKUP(A770,Marketing_df2!$A$1:$F$2241,3,FALSE)</f>
        <v>12</v>
      </c>
      <c r="M770">
        <f>VLOOKUP(A770,Marketing_df2!$A$1:$F$2241,4,FALSE)</f>
        <v>15</v>
      </c>
      <c r="N770">
        <f>VLOOKUP(A770,Marketing_df2!$A$1:$F$2241,5,FALSE)</f>
        <v>2</v>
      </c>
      <c r="O770">
        <f>VLOOKUP(A770,Marketing_df2!$A$1:$F$2241,6,FALSE)</f>
        <v>4</v>
      </c>
    </row>
    <row r="771" spans="1:15" ht="12.5">
      <c r="A771" s="6">
        <v>769</v>
      </c>
      <c r="B771" s="6">
        <v>8786</v>
      </c>
      <c r="C771" s="6">
        <v>1956</v>
      </c>
      <c r="D771" s="7" t="s">
        <v>14</v>
      </c>
      <c r="E771" s="7" t="s">
        <v>13</v>
      </c>
      <c r="F771" s="6">
        <v>62058</v>
      </c>
      <c r="G771" s="6">
        <v>0</v>
      </c>
      <c r="H771" s="6">
        <v>1</v>
      </c>
      <c r="I771" s="6">
        <f t="shared" ref="I771:I834" si="12">G771+H771</f>
        <v>1</v>
      </c>
      <c r="J771" s="8">
        <v>41420</v>
      </c>
      <c r="K771" s="6">
        <v>52</v>
      </c>
      <c r="L771">
        <f>VLOOKUP(A771,Marketing_df2!$A$1:$F$2241,3,FALSE)</f>
        <v>7</v>
      </c>
      <c r="M771">
        <f>VLOOKUP(A771,Marketing_df2!$A$1:$F$2241,4,FALSE)</f>
        <v>0</v>
      </c>
      <c r="N771">
        <f>VLOOKUP(A771,Marketing_df2!$A$1:$F$2241,5,FALSE)</f>
        <v>6</v>
      </c>
      <c r="O771">
        <f>VLOOKUP(A771,Marketing_df2!$A$1:$F$2241,6,FALSE)</f>
        <v>7</v>
      </c>
    </row>
    <row r="772" spans="1:15" ht="12.5">
      <c r="A772" s="6">
        <v>770</v>
      </c>
      <c r="B772" s="6">
        <v>10582</v>
      </c>
      <c r="C772" s="6">
        <v>1979</v>
      </c>
      <c r="D772" s="7" t="s">
        <v>9</v>
      </c>
      <c r="E772" s="7" t="s">
        <v>13</v>
      </c>
      <c r="F772" s="6">
        <v>72063</v>
      </c>
      <c r="G772" s="6">
        <v>0</v>
      </c>
      <c r="H772" s="6">
        <v>1</v>
      </c>
      <c r="I772" s="6">
        <f t="shared" si="12"/>
        <v>1</v>
      </c>
      <c r="J772" s="8">
        <v>41458</v>
      </c>
      <c r="K772" s="6">
        <v>3</v>
      </c>
      <c r="L772">
        <f>VLOOKUP(A772,Marketing_df2!$A$1:$F$2241,3,FALSE)</f>
        <v>32</v>
      </c>
      <c r="M772">
        <f>VLOOKUP(A772,Marketing_df2!$A$1:$F$2241,4,FALSE)</f>
        <v>32</v>
      </c>
      <c r="N772">
        <f>VLOOKUP(A772,Marketing_df2!$A$1:$F$2241,5,FALSE)</f>
        <v>5</v>
      </c>
      <c r="O772">
        <f>VLOOKUP(A772,Marketing_df2!$A$1:$F$2241,6,FALSE)</f>
        <v>12</v>
      </c>
    </row>
    <row r="773" spans="1:15" ht="12.5">
      <c r="A773" s="6">
        <v>771</v>
      </c>
      <c r="B773" s="6">
        <v>1915</v>
      </c>
      <c r="C773" s="6">
        <v>1951</v>
      </c>
      <c r="D773" s="7" t="s">
        <v>12</v>
      </c>
      <c r="E773" s="7" t="s">
        <v>13</v>
      </c>
      <c r="F773" s="6">
        <v>78939</v>
      </c>
      <c r="G773" s="6">
        <v>0</v>
      </c>
      <c r="H773" s="6">
        <v>0</v>
      </c>
      <c r="I773" s="6">
        <f t="shared" si="12"/>
        <v>0</v>
      </c>
      <c r="J773" s="9">
        <v>41620</v>
      </c>
      <c r="K773" s="6">
        <v>57</v>
      </c>
      <c r="L773">
        <f>VLOOKUP(A773,Marketing_df2!$A$1:$F$2241,3,FALSE)</f>
        <v>115</v>
      </c>
      <c r="M773">
        <f>VLOOKUP(A773,Marketing_df2!$A$1:$F$2241,4,FALSE)</f>
        <v>0</v>
      </c>
      <c r="N773">
        <f>VLOOKUP(A773,Marketing_df2!$A$1:$F$2241,5,FALSE)</f>
        <v>8</v>
      </c>
      <c r="O773">
        <f>VLOOKUP(A773,Marketing_df2!$A$1:$F$2241,6,FALSE)</f>
        <v>6</v>
      </c>
    </row>
    <row r="774" spans="1:15" ht="12.5">
      <c r="A774" s="6">
        <v>772</v>
      </c>
      <c r="B774" s="6">
        <v>8897</v>
      </c>
      <c r="C774" s="6">
        <v>1965</v>
      </c>
      <c r="D774" s="7" t="s">
        <v>9</v>
      </c>
      <c r="E774" s="7" t="s">
        <v>10</v>
      </c>
      <c r="F774" s="6">
        <v>42720</v>
      </c>
      <c r="G774" s="6">
        <v>1</v>
      </c>
      <c r="H774" s="6">
        <v>1</v>
      </c>
      <c r="I774" s="6">
        <f t="shared" si="12"/>
        <v>2</v>
      </c>
      <c r="J774" s="8">
        <v>41388</v>
      </c>
      <c r="K774" s="6">
        <v>9</v>
      </c>
      <c r="L774">
        <f>VLOOKUP(A774,Marketing_df2!$A$1:$F$2241,3,FALSE)</f>
        <v>5</v>
      </c>
      <c r="M774">
        <f>VLOOKUP(A774,Marketing_df2!$A$1:$F$2241,4,FALSE)</f>
        <v>26</v>
      </c>
      <c r="N774">
        <f>VLOOKUP(A774,Marketing_df2!$A$1:$F$2241,5,FALSE)</f>
        <v>7</v>
      </c>
      <c r="O774">
        <f>VLOOKUP(A774,Marketing_df2!$A$1:$F$2241,6,FALSE)</f>
        <v>7</v>
      </c>
    </row>
    <row r="775" spans="1:15" ht="12.5">
      <c r="A775" s="6">
        <v>773</v>
      </c>
      <c r="B775" s="6">
        <v>2371</v>
      </c>
      <c r="C775" s="6">
        <v>1972</v>
      </c>
      <c r="D775" s="7" t="s">
        <v>9</v>
      </c>
      <c r="E775" s="7" t="s">
        <v>13</v>
      </c>
      <c r="F775" s="6">
        <v>33622</v>
      </c>
      <c r="G775" s="6">
        <v>1</v>
      </c>
      <c r="H775" s="6">
        <v>1</v>
      </c>
      <c r="I775" s="6">
        <f t="shared" si="12"/>
        <v>2</v>
      </c>
      <c r="J775" s="8">
        <v>41377</v>
      </c>
      <c r="K775" s="6">
        <v>22</v>
      </c>
      <c r="L775">
        <f>VLOOKUP(A775,Marketing_df2!$A$1:$F$2241,3,FALSE)</f>
        <v>1</v>
      </c>
      <c r="M775">
        <f>VLOOKUP(A775,Marketing_df2!$A$1:$F$2241,4,FALSE)</f>
        <v>4</v>
      </c>
      <c r="N775">
        <f>VLOOKUP(A775,Marketing_df2!$A$1:$F$2241,5,FALSE)</f>
        <v>2</v>
      </c>
      <c r="O775">
        <f>VLOOKUP(A775,Marketing_df2!$A$1:$F$2241,6,FALSE)</f>
        <v>4</v>
      </c>
    </row>
    <row r="776" spans="1:15" ht="12.5">
      <c r="A776" s="6">
        <v>774</v>
      </c>
      <c r="B776" s="6">
        <v>4303</v>
      </c>
      <c r="C776" s="6">
        <v>1957</v>
      </c>
      <c r="D776" s="7" t="s">
        <v>12</v>
      </c>
      <c r="E776" s="7" t="s">
        <v>11</v>
      </c>
      <c r="F776" s="6">
        <v>6835</v>
      </c>
      <c r="G776" s="6">
        <v>0</v>
      </c>
      <c r="H776" s="6">
        <v>1</v>
      </c>
      <c r="I776" s="6">
        <f t="shared" si="12"/>
        <v>1</v>
      </c>
      <c r="J776" s="8">
        <v>41251</v>
      </c>
      <c r="K776" s="6">
        <v>76</v>
      </c>
      <c r="L776">
        <f>VLOOKUP(A776,Marketing_df2!$A$1:$F$2241,3,FALSE)</f>
        <v>2</v>
      </c>
      <c r="M776">
        <f>VLOOKUP(A776,Marketing_df2!$A$1:$F$2241,4,FALSE)</f>
        <v>2</v>
      </c>
      <c r="N776">
        <f>VLOOKUP(A776,Marketing_df2!$A$1:$F$2241,5,FALSE)</f>
        <v>0</v>
      </c>
      <c r="O776">
        <f>VLOOKUP(A776,Marketing_df2!$A$1:$F$2241,6,FALSE)</f>
        <v>1</v>
      </c>
    </row>
    <row r="777" spans="1:15" ht="12.5">
      <c r="A777" s="6">
        <v>775</v>
      </c>
      <c r="B777" s="6">
        <v>6825</v>
      </c>
      <c r="C777" s="6">
        <v>1953</v>
      </c>
      <c r="D777" s="7" t="s">
        <v>9</v>
      </c>
      <c r="E777" s="7" t="s">
        <v>11</v>
      </c>
      <c r="F777" s="6">
        <v>41452</v>
      </c>
      <c r="G777" s="6">
        <v>1</v>
      </c>
      <c r="H777" s="6">
        <v>1</v>
      </c>
      <c r="I777" s="6">
        <f t="shared" si="12"/>
        <v>2</v>
      </c>
      <c r="J777" s="8">
        <v>41339</v>
      </c>
      <c r="K777" s="6">
        <v>86</v>
      </c>
      <c r="L777">
        <f>VLOOKUP(A777,Marketing_df2!$A$1:$F$2241,3,FALSE)</f>
        <v>0</v>
      </c>
      <c r="M777">
        <f>VLOOKUP(A777,Marketing_df2!$A$1:$F$2241,4,FALSE)</f>
        <v>0</v>
      </c>
      <c r="N777">
        <f>VLOOKUP(A777,Marketing_df2!$A$1:$F$2241,5,FALSE)</f>
        <v>1</v>
      </c>
      <c r="O777">
        <f>VLOOKUP(A777,Marketing_df2!$A$1:$F$2241,6,FALSE)</f>
        <v>2</v>
      </c>
    </row>
    <row r="778" spans="1:15" ht="12.5">
      <c r="A778" s="6">
        <v>776</v>
      </c>
      <c r="B778" s="6">
        <v>1072</v>
      </c>
      <c r="C778" s="6">
        <v>1965</v>
      </c>
      <c r="D778" s="7" t="s">
        <v>12</v>
      </c>
      <c r="E778" s="7" t="s">
        <v>10</v>
      </c>
      <c r="F778" s="6">
        <v>40760</v>
      </c>
      <c r="G778" s="6">
        <v>0</v>
      </c>
      <c r="H778" s="6">
        <v>1</v>
      </c>
      <c r="I778" s="6">
        <f t="shared" si="12"/>
        <v>1</v>
      </c>
      <c r="J778" s="8">
        <v>41516</v>
      </c>
      <c r="K778" s="6">
        <v>64</v>
      </c>
      <c r="L778">
        <f>VLOOKUP(A778,Marketing_df2!$A$1:$F$2241,3,FALSE)</f>
        <v>0</v>
      </c>
      <c r="M778">
        <f>VLOOKUP(A778,Marketing_df2!$A$1:$F$2241,4,FALSE)</f>
        <v>0</v>
      </c>
      <c r="N778">
        <f>VLOOKUP(A778,Marketing_df2!$A$1:$F$2241,5,FALSE)</f>
        <v>2</v>
      </c>
      <c r="O778">
        <f>VLOOKUP(A778,Marketing_df2!$A$1:$F$2241,6,FALSE)</f>
        <v>3</v>
      </c>
    </row>
    <row r="779" spans="1:15" ht="12.5">
      <c r="A779" s="6">
        <v>777</v>
      </c>
      <c r="B779" s="6">
        <v>4964</v>
      </c>
      <c r="C779" s="6">
        <v>1958</v>
      </c>
      <c r="D779" s="7" t="s">
        <v>12</v>
      </c>
      <c r="E779" s="7" t="s">
        <v>11</v>
      </c>
      <c r="F779" s="6">
        <v>74250</v>
      </c>
      <c r="G779" s="6">
        <v>0</v>
      </c>
      <c r="H779" s="6">
        <v>0</v>
      </c>
      <c r="I779" s="6">
        <f t="shared" si="12"/>
        <v>0</v>
      </c>
      <c r="J779" s="8">
        <v>41665</v>
      </c>
      <c r="K779" s="6">
        <v>90</v>
      </c>
      <c r="L779">
        <f>VLOOKUP(A779,Marketing_df2!$A$1:$F$2241,3,FALSE)</f>
        <v>11</v>
      </c>
      <c r="M779">
        <f>VLOOKUP(A779,Marketing_df2!$A$1:$F$2241,4,FALSE)</f>
        <v>0</v>
      </c>
      <c r="N779">
        <f>VLOOKUP(A779,Marketing_df2!$A$1:$F$2241,5,FALSE)</f>
        <v>2</v>
      </c>
      <c r="O779">
        <f>VLOOKUP(A779,Marketing_df2!$A$1:$F$2241,6,FALSE)</f>
        <v>4</v>
      </c>
    </row>
    <row r="780" spans="1:15" ht="12.5">
      <c r="A780" s="6">
        <v>778</v>
      </c>
      <c r="B780" s="6">
        <v>2461</v>
      </c>
      <c r="C780" s="6">
        <v>1955</v>
      </c>
      <c r="D780" s="7" t="s">
        <v>14</v>
      </c>
      <c r="E780" s="7" t="s">
        <v>10</v>
      </c>
      <c r="F780" s="6">
        <v>51124</v>
      </c>
      <c r="G780" s="6">
        <v>1</v>
      </c>
      <c r="H780" s="6">
        <v>1</v>
      </c>
      <c r="I780" s="6">
        <f t="shared" si="12"/>
        <v>2</v>
      </c>
      <c r="J780" s="9">
        <v>41626</v>
      </c>
      <c r="K780" s="6">
        <v>79</v>
      </c>
      <c r="L780">
        <f>VLOOKUP(A780,Marketing_df2!$A$1:$F$2241,3,FALSE)</f>
        <v>1</v>
      </c>
      <c r="M780">
        <f>VLOOKUP(A780,Marketing_df2!$A$1:$F$2241,4,FALSE)</f>
        <v>1</v>
      </c>
      <c r="N780">
        <f>VLOOKUP(A780,Marketing_df2!$A$1:$F$2241,5,FALSE)</f>
        <v>1</v>
      </c>
      <c r="O780">
        <f>VLOOKUP(A780,Marketing_df2!$A$1:$F$2241,6,FALSE)</f>
        <v>3</v>
      </c>
    </row>
    <row r="781" spans="1:15" ht="12.5">
      <c r="A781" s="6">
        <v>779</v>
      </c>
      <c r="B781" s="6">
        <v>10736</v>
      </c>
      <c r="C781" s="6">
        <v>1971</v>
      </c>
      <c r="D781" s="7" t="s">
        <v>9</v>
      </c>
      <c r="E781" s="7" t="s">
        <v>10</v>
      </c>
      <c r="F781" s="6">
        <v>72258</v>
      </c>
      <c r="G781" s="6">
        <v>0</v>
      </c>
      <c r="H781" s="6">
        <v>1</v>
      </c>
      <c r="I781" s="6">
        <f t="shared" si="12"/>
        <v>1</v>
      </c>
      <c r="J781" s="8">
        <v>41529</v>
      </c>
      <c r="K781" s="6">
        <v>28</v>
      </c>
      <c r="L781">
        <f>VLOOKUP(A781,Marketing_df2!$A$1:$F$2241,3,FALSE)</f>
        <v>0</v>
      </c>
      <c r="M781">
        <f>VLOOKUP(A781,Marketing_df2!$A$1:$F$2241,4,FALSE)</f>
        <v>120</v>
      </c>
      <c r="N781">
        <f>VLOOKUP(A781,Marketing_df2!$A$1:$F$2241,5,FALSE)</f>
        <v>6</v>
      </c>
      <c r="O781">
        <f>VLOOKUP(A781,Marketing_df2!$A$1:$F$2241,6,FALSE)</f>
        <v>5</v>
      </c>
    </row>
    <row r="782" spans="1:15" ht="12.5">
      <c r="A782" s="6">
        <v>780</v>
      </c>
      <c r="B782" s="6">
        <v>3194</v>
      </c>
      <c r="C782" s="6">
        <v>1974</v>
      </c>
      <c r="D782" s="7" t="s">
        <v>12</v>
      </c>
      <c r="E782" s="7" t="s">
        <v>10</v>
      </c>
      <c r="F782" s="6">
        <v>71466</v>
      </c>
      <c r="G782" s="6">
        <v>0</v>
      </c>
      <c r="H782" s="6">
        <v>0</v>
      </c>
      <c r="I782" s="6">
        <f t="shared" si="12"/>
        <v>0</v>
      </c>
      <c r="J782" s="8">
        <v>41734</v>
      </c>
      <c r="K782" s="6">
        <v>86</v>
      </c>
      <c r="L782">
        <f>VLOOKUP(A782,Marketing_df2!$A$1:$F$2241,3,FALSE)</f>
        <v>12</v>
      </c>
      <c r="M782">
        <f>VLOOKUP(A782,Marketing_df2!$A$1:$F$2241,4,FALSE)</f>
        <v>182</v>
      </c>
      <c r="N782">
        <f>VLOOKUP(A782,Marketing_df2!$A$1:$F$2241,5,FALSE)</f>
        <v>4</v>
      </c>
      <c r="O782">
        <f>VLOOKUP(A782,Marketing_df2!$A$1:$F$2241,6,FALSE)</f>
        <v>10</v>
      </c>
    </row>
    <row r="783" spans="1:15" ht="12.5">
      <c r="A783" s="6">
        <v>781</v>
      </c>
      <c r="B783" s="6">
        <v>10839</v>
      </c>
      <c r="C783" s="6">
        <v>1976</v>
      </c>
      <c r="D783" s="7" t="s">
        <v>9</v>
      </c>
      <c r="E783" s="7" t="s">
        <v>11</v>
      </c>
      <c r="F783" s="6">
        <v>36283</v>
      </c>
      <c r="G783" s="6">
        <v>1</v>
      </c>
      <c r="H783" s="6">
        <v>1</v>
      </c>
      <c r="I783" s="6">
        <f t="shared" si="12"/>
        <v>2</v>
      </c>
      <c r="J783" s="8">
        <v>41743</v>
      </c>
      <c r="K783" s="6">
        <v>42</v>
      </c>
      <c r="L783">
        <f>VLOOKUP(A783,Marketing_df2!$A$1:$F$2241,3,FALSE)</f>
        <v>5</v>
      </c>
      <c r="M783">
        <f>VLOOKUP(A783,Marketing_df2!$A$1:$F$2241,4,FALSE)</f>
        <v>0</v>
      </c>
      <c r="N783">
        <f>VLOOKUP(A783,Marketing_df2!$A$1:$F$2241,5,FALSE)</f>
        <v>1</v>
      </c>
      <c r="O783">
        <f>VLOOKUP(A783,Marketing_df2!$A$1:$F$2241,6,FALSE)</f>
        <v>3</v>
      </c>
    </row>
    <row r="784" spans="1:15" ht="12.5">
      <c r="A784" s="6">
        <v>782</v>
      </c>
      <c r="B784" s="6">
        <v>49</v>
      </c>
      <c r="C784" s="6">
        <v>1970</v>
      </c>
      <c r="D784" s="7" t="s">
        <v>9</v>
      </c>
      <c r="E784" s="7" t="s">
        <v>10</v>
      </c>
      <c r="F784" s="6">
        <v>20587</v>
      </c>
      <c r="G784" s="6">
        <v>1</v>
      </c>
      <c r="H784" s="6">
        <v>0</v>
      </c>
      <c r="I784" s="6">
        <f t="shared" si="12"/>
        <v>1</v>
      </c>
      <c r="J784" s="8">
        <v>41770</v>
      </c>
      <c r="K784" s="6">
        <v>39</v>
      </c>
      <c r="L784">
        <f>VLOOKUP(A784,Marketing_df2!$A$1:$F$2241,3,FALSE)</f>
        <v>3</v>
      </c>
      <c r="M784">
        <f>VLOOKUP(A784,Marketing_df2!$A$1:$F$2241,4,FALSE)</f>
        <v>1</v>
      </c>
      <c r="N784">
        <f>VLOOKUP(A784,Marketing_df2!$A$1:$F$2241,5,FALSE)</f>
        <v>1</v>
      </c>
      <c r="O784">
        <f>VLOOKUP(A784,Marketing_df2!$A$1:$F$2241,6,FALSE)</f>
        <v>2</v>
      </c>
    </row>
    <row r="785" spans="1:15" ht="12.5">
      <c r="A785" s="6">
        <v>783</v>
      </c>
      <c r="B785" s="6">
        <v>4290</v>
      </c>
      <c r="C785" s="6">
        <v>1972</v>
      </c>
      <c r="D785" s="7" t="s">
        <v>9</v>
      </c>
      <c r="E785" s="7" t="s">
        <v>13</v>
      </c>
      <c r="F785" s="6">
        <v>30467</v>
      </c>
      <c r="G785" s="6">
        <v>1</v>
      </c>
      <c r="H785" s="6">
        <v>0</v>
      </c>
      <c r="I785" s="6">
        <f t="shared" si="12"/>
        <v>1</v>
      </c>
      <c r="J785" s="8">
        <v>41717</v>
      </c>
      <c r="K785" s="6">
        <v>8</v>
      </c>
      <c r="L785">
        <f>VLOOKUP(A785,Marketing_df2!$A$1:$F$2241,3,FALSE)</f>
        <v>3</v>
      </c>
      <c r="M785">
        <f>VLOOKUP(A785,Marketing_df2!$A$1:$F$2241,4,FALSE)</f>
        <v>5</v>
      </c>
      <c r="N785">
        <f>VLOOKUP(A785,Marketing_df2!$A$1:$F$2241,5,FALSE)</f>
        <v>1</v>
      </c>
      <c r="O785">
        <f>VLOOKUP(A785,Marketing_df2!$A$1:$F$2241,6,FALSE)</f>
        <v>2</v>
      </c>
    </row>
    <row r="786" spans="1:15" ht="12.5">
      <c r="A786" s="6">
        <v>784</v>
      </c>
      <c r="B786" s="6">
        <v>10219</v>
      </c>
      <c r="C786" s="6">
        <v>1972</v>
      </c>
      <c r="D786" s="7" t="s">
        <v>9</v>
      </c>
      <c r="E786" s="7" t="s">
        <v>11</v>
      </c>
      <c r="F786" s="6">
        <v>31590</v>
      </c>
      <c r="G786" s="6">
        <v>1</v>
      </c>
      <c r="H786" s="6">
        <v>0</v>
      </c>
      <c r="I786" s="6">
        <f t="shared" si="12"/>
        <v>1</v>
      </c>
      <c r="J786" s="8">
        <v>41443</v>
      </c>
      <c r="K786" s="6">
        <v>40</v>
      </c>
      <c r="L786">
        <f>VLOOKUP(A786,Marketing_df2!$A$1:$F$2241,3,FALSE)</f>
        <v>2</v>
      </c>
      <c r="M786">
        <f>VLOOKUP(A786,Marketing_df2!$A$1:$F$2241,4,FALSE)</f>
        <v>6</v>
      </c>
      <c r="N786">
        <f>VLOOKUP(A786,Marketing_df2!$A$1:$F$2241,5,FALSE)</f>
        <v>1</v>
      </c>
      <c r="O786">
        <f>VLOOKUP(A786,Marketing_df2!$A$1:$F$2241,6,FALSE)</f>
        <v>3</v>
      </c>
    </row>
    <row r="787" spans="1:15" ht="12.5">
      <c r="A787" s="6">
        <v>785</v>
      </c>
      <c r="B787" s="6">
        <v>4211</v>
      </c>
      <c r="C787" s="6">
        <v>1986</v>
      </c>
      <c r="D787" s="7" t="s">
        <v>16</v>
      </c>
      <c r="E787" s="7" t="s">
        <v>13</v>
      </c>
      <c r="F787" s="6">
        <v>20425</v>
      </c>
      <c r="G787" s="6">
        <v>1</v>
      </c>
      <c r="H787" s="6">
        <v>0</v>
      </c>
      <c r="I787" s="6">
        <f t="shared" si="12"/>
        <v>1</v>
      </c>
      <c r="J787" s="9">
        <v>41211</v>
      </c>
      <c r="K787" s="6">
        <v>5</v>
      </c>
      <c r="L787">
        <f>VLOOKUP(A787,Marketing_df2!$A$1:$F$2241,3,FALSE)</f>
        <v>12</v>
      </c>
      <c r="M787">
        <f>VLOOKUP(A787,Marketing_df2!$A$1:$F$2241,4,FALSE)</f>
        <v>16</v>
      </c>
      <c r="N787">
        <f>VLOOKUP(A787,Marketing_df2!$A$1:$F$2241,5,FALSE)</f>
        <v>2</v>
      </c>
      <c r="O787">
        <f>VLOOKUP(A787,Marketing_df2!$A$1:$F$2241,6,FALSE)</f>
        <v>3</v>
      </c>
    </row>
    <row r="788" spans="1:15" ht="12.5">
      <c r="A788" s="6">
        <v>786</v>
      </c>
      <c r="B788" s="6">
        <v>1135</v>
      </c>
      <c r="C788" s="6">
        <v>1960</v>
      </c>
      <c r="D788" s="7" t="s">
        <v>14</v>
      </c>
      <c r="E788" s="7" t="s">
        <v>11</v>
      </c>
      <c r="F788" s="6">
        <v>17144</v>
      </c>
      <c r="G788" s="6">
        <v>1</v>
      </c>
      <c r="H788" s="6">
        <v>1</v>
      </c>
      <c r="I788" s="6">
        <f t="shared" si="12"/>
        <v>2</v>
      </c>
      <c r="J788" s="8">
        <v>41685</v>
      </c>
      <c r="K788" s="6">
        <v>96</v>
      </c>
      <c r="L788">
        <f>VLOOKUP(A788,Marketing_df2!$A$1:$F$2241,3,FALSE)</f>
        <v>2</v>
      </c>
      <c r="M788">
        <f>VLOOKUP(A788,Marketing_df2!$A$1:$F$2241,4,FALSE)</f>
        <v>2</v>
      </c>
      <c r="N788">
        <f>VLOOKUP(A788,Marketing_df2!$A$1:$F$2241,5,FALSE)</f>
        <v>3</v>
      </c>
      <c r="O788">
        <f>VLOOKUP(A788,Marketing_df2!$A$1:$F$2241,6,FALSE)</f>
        <v>4</v>
      </c>
    </row>
    <row r="789" spans="1:15" ht="12.5">
      <c r="A789" s="6">
        <v>787</v>
      </c>
      <c r="B789" s="6">
        <v>6299</v>
      </c>
      <c r="C789" s="6">
        <v>1968</v>
      </c>
      <c r="D789" s="7" t="s">
        <v>12</v>
      </c>
      <c r="E789" s="7" t="s">
        <v>15</v>
      </c>
      <c r="F789" s="6">
        <v>42564</v>
      </c>
      <c r="G789" s="6">
        <v>0</v>
      </c>
      <c r="H789" s="6">
        <v>1</v>
      </c>
      <c r="I789" s="6">
        <f t="shared" si="12"/>
        <v>1</v>
      </c>
      <c r="J789" s="8">
        <v>41276</v>
      </c>
      <c r="K789" s="6">
        <v>28</v>
      </c>
      <c r="L789">
        <f>VLOOKUP(A789,Marketing_df2!$A$1:$F$2241,3,FALSE)</f>
        <v>48</v>
      </c>
      <c r="M789">
        <f>VLOOKUP(A789,Marketing_df2!$A$1:$F$2241,4,FALSE)</f>
        <v>18</v>
      </c>
      <c r="N789">
        <f>VLOOKUP(A789,Marketing_df2!$A$1:$F$2241,5,FALSE)</f>
        <v>6</v>
      </c>
      <c r="O789">
        <f>VLOOKUP(A789,Marketing_df2!$A$1:$F$2241,6,FALSE)</f>
        <v>4</v>
      </c>
    </row>
    <row r="790" spans="1:15" ht="12.5">
      <c r="A790" s="6">
        <v>788</v>
      </c>
      <c r="B790" s="6">
        <v>10846</v>
      </c>
      <c r="C790" s="6">
        <v>1978</v>
      </c>
      <c r="D790" s="7" t="s">
        <v>14</v>
      </c>
      <c r="E790" s="7" t="s">
        <v>13</v>
      </c>
      <c r="F790" s="6">
        <v>43783</v>
      </c>
      <c r="G790" s="6">
        <v>1</v>
      </c>
      <c r="H790" s="6">
        <v>0</v>
      </c>
      <c r="I790" s="6">
        <f t="shared" si="12"/>
        <v>1</v>
      </c>
      <c r="J790" s="8">
        <v>41788</v>
      </c>
      <c r="K790" s="6">
        <v>22</v>
      </c>
      <c r="L790">
        <f>VLOOKUP(A790,Marketing_df2!$A$1:$F$2241,3,FALSE)</f>
        <v>9</v>
      </c>
      <c r="M790">
        <f>VLOOKUP(A790,Marketing_df2!$A$1:$F$2241,4,FALSE)</f>
        <v>4</v>
      </c>
      <c r="N790">
        <f>VLOOKUP(A790,Marketing_df2!$A$1:$F$2241,5,FALSE)</f>
        <v>7</v>
      </c>
      <c r="O790">
        <f>VLOOKUP(A790,Marketing_df2!$A$1:$F$2241,6,FALSE)</f>
        <v>8</v>
      </c>
    </row>
    <row r="791" spans="1:15" ht="12.5">
      <c r="A791" s="6">
        <v>789</v>
      </c>
      <c r="B791" s="6">
        <v>347</v>
      </c>
      <c r="C791" s="6">
        <v>1976</v>
      </c>
      <c r="D791" s="7" t="s">
        <v>9</v>
      </c>
      <c r="E791" s="7" t="s">
        <v>15</v>
      </c>
      <c r="F791" s="6">
        <v>40780</v>
      </c>
      <c r="G791" s="6">
        <v>0</v>
      </c>
      <c r="H791" s="6">
        <v>1</v>
      </c>
      <c r="I791" s="6">
        <f t="shared" si="12"/>
        <v>1</v>
      </c>
      <c r="J791" s="8">
        <v>41160</v>
      </c>
      <c r="K791" s="6">
        <v>30</v>
      </c>
      <c r="L791">
        <f>VLOOKUP(A791,Marketing_df2!$A$1:$F$2241,3,FALSE)</f>
        <v>27</v>
      </c>
      <c r="M791">
        <f>VLOOKUP(A791,Marketing_df2!$A$1:$F$2241,4,FALSE)</f>
        <v>3</v>
      </c>
      <c r="N791">
        <f>VLOOKUP(A791,Marketing_df2!$A$1:$F$2241,5,FALSE)</f>
        <v>7</v>
      </c>
      <c r="O791">
        <f>VLOOKUP(A791,Marketing_df2!$A$1:$F$2241,6,FALSE)</f>
        <v>5</v>
      </c>
    </row>
    <row r="792" spans="1:15" ht="12.5">
      <c r="A792" s="6">
        <v>790</v>
      </c>
      <c r="B792" s="6">
        <v>6543</v>
      </c>
      <c r="C792" s="6">
        <v>1945</v>
      </c>
      <c r="D792" s="7" t="s">
        <v>14</v>
      </c>
      <c r="E792" s="7" t="s">
        <v>11</v>
      </c>
      <c r="F792" s="6">
        <v>62847</v>
      </c>
      <c r="G792" s="6">
        <v>0</v>
      </c>
      <c r="H792" s="6">
        <v>0</v>
      </c>
      <c r="I792" s="6">
        <f t="shared" si="12"/>
        <v>0</v>
      </c>
      <c r="J792" s="8">
        <v>41289</v>
      </c>
      <c r="K792" s="6">
        <v>45</v>
      </c>
      <c r="L792">
        <f>VLOOKUP(A792,Marketing_df2!$A$1:$F$2241,3,FALSE)</f>
        <v>168</v>
      </c>
      <c r="M792">
        <f>VLOOKUP(A792,Marketing_df2!$A$1:$F$2241,4,FALSE)</f>
        <v>76</v>
      </c>
      <c r="N792">
        <f>VLOOKUP(A792,Marketing_df2!$A$1:$F$2241,5,FALSE)</f>
        <v>3</v>
      </c>
      <c r="O792">
        <f>VLOOKUP(A792,Marketing_df2!$A$1:$F$2241,6,FALSE)</f>
        <v>4</v>
      </c>
    </row>
    <row r="793" spans="1:15" ht="12.5">
      <c r="A793" s="6">
        <v>791</v>
      </c>
      <c r="B793" s="6">
        <v>10446</v>
      </c>
      <c r="C793" s="6">
        <v>1957</v>
      </c>
      <c r="D793" s="7" t="s">
        <v>12</v>
      </c>
      <c r="E793" s="7" t="s">
        <v>13</v>
      </c>
      <c r="F793" s="6">
        <v>82017</v>
      </c>
      <c r="G793" s="6">
        <v>0</v>
      </c>
      <c r="H793" s="6">
        <v>0</v>
      </c>
      <c r="I793" s="6">
        <f t="shared" si="12"/>
        <v>0</v>
      </c>
      <c r="J793" s="8">
        <v>41220</v>
      </c>
      <c r="K793" s="6">
        <v>58</v>
      </c>
      <c r="L793">
        <f>VLOOKUP(A793,Marketing_df2!$A$1:$F$2241,3,FALSE)</f>
        <v>23</v>
      </c>
      <c r="M793">
        <f>VLOOKUP(A793,Marketing_df2!$A$1:$F$2241,4,FALSE)</f>
        <v>23</v>
      </c>
      <c r="N793">
        <f>VLOOKUP(A793,Marketing_df2!$A$1:$F$2241,5,FALSE)</f>
        <v>5</v>
      </c>
      <c r="O793">
        <f>VLOOKUP(A793,Marketing_df2!$A$1:$F$2241,6,FALSE)</f>
        <v>7</v>
      </c>
    </row>
    <row r="794" spans="1:15" ht="12.5">
      <c r="A794" s="6">
        <v>792</v>
      </c>
      <c r="B794" s="6">
        <v>3479</v>
      </c>
      <c r="C794" s="6">
        <v>1950</v>
      </c>
      <c r="D794" s="7" t="s">
        <v>9</v>
      </c>
      <c r="E794" s="7" t="s">
        <v>10</v>
      </c>
      <c r="F794" s="6">
        <v>16813</v>
      </c>
      <c r="G794" s="6">
        <v>0</v>
      </c>
      <c r="H794" s="6">
        <v>0</v>
      </c>
      <c r="I794" s="6">
        <f t="shared" si="12"/>
        <v>0</v>
      </c>
      <c r="J794" s="8">
        <v>41474</v>
      </c>
      <c r="K794" s="6">
        <v>49</v>
      </c>
      <c r="L794">
        <f>VLOOKUP(A794,Marketing_df2!$A$1:$F$2241,3,FALSE)</f>
        <v>8</v>
      </c>
      <c r="M794">
        <f>VLOOKUP(A794,Marketing_df2!$A$1:$F$2241,4,FALSE)</f>
        <v>2</v>
      </c>
      <c r="N794">
        <f>VLOOKUP(A794,Marketing_df2!$A$1:$F$2241,5,FALSE)</f>
        <v>2</v>
      </c>
      <c r="O794">
        <f>VLOOKUP(A794,Marketing_df2!$A$1:$F$2241,6,FALSE)</f>
        <v>3</v>
      </c>
    </row>
    <row r="795" spans="1:15" ht="12.5">
      <c r="A795" s="6">
        <v>793</v>
      </c>
      <c r="B795" s="6">
        <v>11075</v>
      </c>
      <c r="C795" s="6">
        <v>1978</v>
      </c>
      <c r="D795" s="7" t="s">
        <v>9</v>
      </c>
      <c r="E795" s="7" t="s">
        <v>13</v>
      </c>
      <c r="F795" s="6">
        <v>51267</v>
      </c>
      <c r="G795" s="6">
        <v>1</v>
      </c>
      <c r="H795" s="6">
        <v>1</v>
      </c>
      <c r="I795" s="6">
        <f t="shared" si="12"/>
        <v>2</v>
      </c>
      <c r="J795" s="9">
        <v>41576</v>
      </c>
      <c r="K795" s="6">
        <v>37</v>
      </c>
      <c r="L795">
        <f>VLOOKUP(A795,Marketing_df2!$A$1:$F$2241,3,FALSE)</f>
        <v>2</v>
      </c>
      <c r="M795">
        <f>VLOOKUP(A795,Marketing_df2!$A$1:$F$2241,4,FALSE)</f>
        <v>2</v>
      </c>
      <c r="N795">
        <f>VLOOKUP(A795,Marketing_df2!$A$1:$F$2241,5,FALSE)</f>
        <v>3</v>
      </c>
      <c r="O795">
        <f>VLOOKUP(A795,Marketing_df2!$A$1:$F$2241,6,FALSE)</f>
        <v>5</v>
      </c>
    </row>
    <row r="796" spans="1:15" ht="12.5">
      <c r="A796" s="6">
        <v>794</v>
      </c>
      <c r="B796" s="6">
        <v>4442</v>
      </c>
      <c r="C796" s="6">
        <v>1961</v>
      </c>
      <c r="D796" s="7" t="s">
        <v>9</v>
      </c>
      <c r="E796" s="7" t="s">
        <v>10</v>
      </c>
      <c r="F796" s="6">
        <v>46524</v>
      </c>
      <c r="G796" s="6">
        <v>0</v>
      </c>
      <c r="H796" s="6">
        <v>1</v>
      </c>
      <c r="I796" s="6">
        <f t="shared" si="12"/>
        <v>1</v>
      </c>
      <c r="J796" s="8">
        <v>41369</v>
      </c>
      <c r="K796" s="6">
        <v>70</v>
      </c>
      <c r="L796">
        <f>VLOOKUP(A796,Marketing_df2!$A$1:$F$2241,3,FALSE)</f>
        <v>19</v>
      </c>
      <c r="M796">
        <f>VLOOKUP(A796,Marketing_df2!$A$1:$F$2241,4,FALSE)</f>
        <v>14</v>
      </c>
      <c r="N796">
        <f>VLOOKUP(A796,Marketing_df2!$A$1:$F$2241,5,FALSE)</f>
        <v>1</v>
      </c>
      <c r="O796">
        <f>VLOOKUP(A796,Marketing_df2!$A$1:$F$2241,6,FALSE)</f>
        <v>5</v>
      </c>
    </row>
    <row r="797" spans="1:15" ht="12.5">
      <c r="A797" s="6">
        <v>795</v>
      </c>
      <c r="B797" s="6">
        <v>199</v>
      </c>
      <c r="C797" s="6">
        <v>1962</v>
      </c>
      <c r="D797" s="7" t="s">
        <v>14</v>
      </c>
      <c r="E797" s="7" t="s">
        <v>10</v>
      </c>
      <c r="F797" s="6">
        <v>45183</v>
      </c>
      <c r="G797" s="6">
        <v>0</v>
      </c>
      <c r="H797" s="6">
        <v>0</v>
      </c>
      <c r="I797" s="6">
        <f t="shared" si="12"/>
        <v>0</v>
      </c>
      <c r="J797" s="8">
        <v>41294</v>
      </c>
      <c r="K797" s="6">
        <v>33</v>
      </c>
      <c r="L797">
        <f>VLOOKUP(A797,Marketing_df2!$A$1:$F$2241,3,FALSE)</f>
        <v>3</v>
      </c>
      <c r="M797">
        <f>VLOOKUP(A797,Marketing_df2!$A$1:$F$2241,4,FALSE)</f>
        <v>9</v>
      </c>
      <c r="N797">
        <f>VLOOKUP(A797,Marketing_df2!$A$1:$F$2241,5,FALSE)</f>
        <v>4</v>
      </c>
      <c r="O797">
        <f>VLOOKUP(A797,Marketing_df2!$A$1:$F$2241,6,FALSE)</f>
        <v>7</v>
      </c>
    </row>
    <row r="798" spans="1:15" ht="12.5">
      <c r="A798" s="6">
        <v>796</v>
      </c>
      <c r="B798" s="6">
        <v>6722</v>
      </c>
      <c r="C798" s="6">
        <v>1954</v>
      </c>
      <c r="D798" s="7" t="s">
        <v>12</v>
      </c>
      <c r="E798" s="7" t="s">
        <v>13</v>
      </c>
      <c r="F798" s="6">
        <v>70421</v>
      </c>
      <c r="G798" s="6">
        <v>0</v>
      </c>
      <c r="H798" s="6">
        <v>1</v>
      </c>
      <c r="I798" s="6">
        <f t="shared" si="12"/>
        <v>1</v>
      </c>
      <c r="J798" s="8">
        <v>41818</v>
      </c>
      <c r="K798" s="6">
        <v>98</v>
      </c>
      <c r="L798">
        <f>VLOOKUP(A798,Marketing_df2!$A$1:$F$2241,3,FALSE)</f>
        <v>28</v>
      </c>
      <c r="M798">
        <f>VLOOKUP(A798,Marketing_df2!$A$1:$F$2241,4,FALSE)</f>
        <v>14</v>
      </c>
      <c r="N798">
        <f>VLOOKUP(A798,Marketing_df2!$A$1:$F$2241,5,FALSE)</f>
        <v>10</v>
      </c>
      <c r="O798">
        <f>VLOOKUP(A798,Marketing_df2!$A$1:$F$2241,6,FALSE)</f>
        <v>7</v>
      </c>
    </row>
    <row r="799" spans="1:15" ht="12.5">
      <c r="A799" s="6">
        <v>797</v>
      </c>
      <c r="B799" s="6">
        <v>796</v>
      </c>
      <c r="C799" s="6">
        <v>1965</v>
      </c>
      <c r="D799" s="7" t="s">
        <v>17</v>
      </c>
      <c r="E799" s="7" t="s">
        <v>15</v>
      </c>
      <c r="F799" s="6">
        <v>60161</v>
      </c>
      <c r="G799" s="6">
        <v>0</v>
      </c>
      <c r="H799" s="6">
        <v>1</v>
      </c>
      <c r="I799" s="6">
        <f t="shared" si="12"/>
        <v>1</v>
      </c>
      <c r="J799" s="9">
        <v>41205</v>
      </c>
      <c r="K799" s="6">
        <v>17</v>
      </c>
      <c r="L799">
        <f>VLOOKUP(A799,Marketing_df2!$A$1:$F$2241,3,FALSE)</f>
        <v>44</v>
      </c>
      <c r="M799">
        <f>VLOOKUP(A799,Marketing_df2!$A$1:$F$2241,4,FALSE)</f>
        <v>8</v>
      </c>
      <c r="N799">
        <f>VLOOKUP(A799,Marketing_df2!$A$1:$F$2241,5,FALSE)</f>
        <v>11</v>
      </c>
      <c r="O799">
        <f>VLOOKUP(A799,Marketing_df2!$A$1:$F$2241,6,FALSE)</f>
        <v>8</v>
      </c>
    </row>
    <row r="800" spans="1:15" ht="12.5">
      <c r="A800" s="6">
        <v>798</v>
      </c>
      <c r="B800" s="6">
        <v>3749</v>
      </c>
      <c r="C800" s="6">
        <v>1973</v>
      </c>
      <c r="D800" s="7" t="s">
        <v>9</v>
      </c>
      <c r="E800" s="7" t="s">
        <v>11</v>
      </c>
      <c r="F800" s="6">
        <v>73926</v>
      </c>
      <c r="G800" s="6">
        <v>0</v>
      </c>
      <c r="H800" s="6">
        <v>0</v>
      </c>
      <c r="I800" s="6">
        <f t="shared" si="12"/>
        <v>0</v>
      </c>
      <c r="J800" s="8">
        <v>41335</v>
      </c>
      <c r="K800" s="6">
        <v>54</v>
      </c>
      <c r="L800">
        <f>VLOOKUP(A800,Marketing_df2!$A$1:$F$2241,3,FALSE)</f>
        <v>91</v>
      </c>
      <c r="M800">
        <f>VLOOKUP(A800,Marketing_df2!$A$1:$F$2241,4,FALSE)</f>
        <v>91</v>
      </c>
      <c r="N800">
        <f>VLOOKUP(A800,Marketing_df2!$A$1:$F$2241,5,FALSE)</f>
        <v>6</v>
      </c>
      <c r="O800">
        <f>VLOOKUP(A800,Marketing_df2!$A$1:$F$2241,6,FALSE)</f>
        <v>12</v>
      </c>
    </row>
    <row r="801" spans="1:15" ht="12.5">
      <c r="A801" s="6">
        <v>799</v>
      </c>
      <c r="B801" s="6">
        <v>8523</v>
      </c>
      <c r="C801" s="6">
        <v>1968</v>
      </c>
      <c r="D801" s="7" t="s">
        <v>9</v>
      </c>
      <c r="E801" s="7" t="s">
        <v>13</v>
      </c>
      <c r="F801" s="6">
        <v>19329</v>
      </c>
      <c r="G801" s="6">
        <v>1</v>
      </c>
      <c r="H801" s="6">
        <v>0</v>
      </c>
      <c r="I801" s="6">
        <f t="shared" si="12"/>
        <v>1</v>
      </c>
      <c r="J801" s="9">
        <v>41622</v>
      </c>
      <c r="K801" s="6">
        <v>39</v>
      </c>
      <c r="L801">
        <f>VLOOKUP(A801,Marketing_df2!$A$1:$F$2241,3,FALSE)</f>
        <v>1</v>
      </c>
      <c r="M801">
        <f>VLOOKUP(A801,Marketing_df2!$A$1:$F$2241,4,FALSE)</f>
        <v>2</v>
      </c>
      <c r="N801">
        <f>VLOOKUP(A801,Marketing_df2!$A$1:$F$2241,5,FALSE)</f>
        <v>4</v>
      </c>
      <c r="O801">
        <f>VLOOKUP(A801,Marketing_df2!$A$1:$F$2241,6,FALSE)</f>
        <v>3</v>
      </c>
    </row>
    <row r="802" spans="1:15" ht="12.5">
      <c r="A802" s="6">
        <v>800</v>
      </c>
      <c r="B802" s="6">
        <v>310</v>
      </c>
      <c r="C802" s="6">
        <v>1970</v>
      </c>
      <c r="D802" s="7" t="s">
        <v>14</v>
      </c>
      <c r="E802" s="7" t="s">
        <v>13</v>
      </c>
      <c r="F802" s="6">
        <v>61872</v>
      </c>
      <c r="G802" s="6">
        <v>0</v>
      </c>
      <c r="H802" s="6">
        <v>1</v>
      </c>
      <c r="I802" s="6">
        <f t="shared" si="12"/>
        <v>1</v>
      </c>
      <c r="J802" s="9">
        <v>41621</v>
      </c>
      <c r="K802" s="6">
        <v>81</v>
      </c>
      <c r="L802">
        <f>VLOOKUP(A802,Marketing_df2!$A$1:$F$2241,3,FALSE)</f>
        <v>5</v>
      </c>
      <c r="M802">
        <f>VLOOKUP(A802,Marketing_df2!$A$1:$F$2241,4,FALSE)</f>
        <v>27</v>
      </c>
      <c r="N802">
        <f>VLOOKUP(A802,Marketing_df2!$A$1:$F$2241,5,FALSE)</f>
        <v>4</v>
      </c>
      <c r="O802">
        <f>VLOOKUP(A802,Marketing_df2!$A$1:$F$2241,6,FALSE)</f>
        <v>9</v>
      </c>
    </row>
    <row r="803" spans="1:15" ht="12.5">
      <c r="A803" s="6">
        <v>801</v>
      </c>
      <c r="B803" s="6">
        <v>8629</v>
      </c>
      <c r="C803" s="6">
        <v>1956</v>
      </c>
      <c r="D803" s="7" t="s">
        <v>9</v>
      </c>
      <c r="E803" s="7" t="s">
        <v>18</v>
      </c>
      <c r="F803" s="6">
        <v>46984</v>
      </c>
      <c r="G803" s="6">
        <v>1</v>
      </c>
      <c r="H803" s="6">
        <v>1</v>
      </c>
      <c r="I803" s="6">
        <f t="shared" si="12"/>
        <v>2</v>
      </c>
      <c r="J803" s="8">
        <v>41359</v>
      </c>
      <c r="K803" s="6">
        <v>71</v>
      </c>
      <c r="L803">
        <f>VLOOKUP(A803,Marketing_df2!$A$1:$F$2241,3,FALSE)</f>
        <v>1</v>
      </c>
      <c r="M803">
        <f>VLOOKUP(A803,Marketing_df2!$A$1:$F$2241,4,FALSE)</f>
        <v>1</v>
      </c>
      <c r="N803">
        <f>VLOOKUP(A803,Marketing_df2!$A$1:$F$2241,5,FALSE)</f>
        <v>1</v>
      </c>
      <c r="O803">
        <f>VLOOKUP(A803,Marketing_df2!$A$1:$F$2241,6,FALSE)</f>
        <v>3</v>
      </c>
    </row>
    <row r="804" spans="1:15" ht="12.5">
      <c r="A804" s="6">
        <v>802</v>
      </c>
      <c r="B804" s="6">
        <v>236</v>
      </c>
      <c r="C804" s="6">
        <v>1951</v>
      </c>
      <c r="D804" s="7" t="s">
        <v>9</v>
      </c>
      <c r="E804" s="7" t="s">
        <v>13</v>
      </c>
      <c r="F804" s="6">
        <v>34838</v>
      </c>
      <c r="G804" s="6">
        <v>1</v>
      </c>
      <c r="H804" s="6">
        <v>1</v>
      </c>
      <c r="I804" s="6">
        <f t="shared" si="12"/>
        <v>2</v>
      </c>
      <c r="J804" s="8">
        <v>41293</v>
      </c>
      <c r="K804" s="6">
        <v>62</v>
      </c>
      <c r="L804">
        <f>VLOOKUP(A804,Marketing_df2!$A$1:$F$2241,3,FALSE)</f>
        <v>23</v>
      </c>
      <c r="M804">
        <f>VLOOKUP(A804,Marketing_df2!$A$1:$F$2241,4,FALSE)</f>
        <v>14</v>
      </c>
      <c r="N804">
        <f>VLOOKUP(A804,Marketing_df2!$A$1:$F$2241,5,FALSE)</f>
        <v>2</v>
      </c>
      <c r="O804">
        <f>VLOOKUP(A804,Marketing_df2!$A$1:$F$2241,6,FALSE)</f>
        <v>4</v>
      </c>
    </row>
    <row r="805" spans="1:15" ht="12.5">
      <c r="A805" s="6">
        <v>803</v>
      </c>
      <c r="B805" s="6">
        <v>9930</v>
      </c>
      <c r="C805" s="6">
        <v>1944</v>
      </c>
      <c r="D805" s="7" t="s">
        <v>12</v>
      </c>
      <c r="E805" s="7" t="s">
        <v>10</v>
      </c>
      <c r="F805" s="6">
        <v>82716</v>
      </c>
      <c r="G805" s="6">
        <v>0</v>
      </c>
      <c r="H805" s="6">
        <v>0</v>
      </c>
      <c r="I805" s="6">
        <f t="shared" si="12"/>
        <v>0</v>
      </c>
      <c r="J805" s="8">
        <v>41583</v>
      </c>
      <c r="K805" s="6">
        <v>8</v>
      </c>
      <c r="L805">
        <f>VLOOKUP(A805,Marketing_df2!$A$1:$F$2241,3,FALSE)</f>
        <v>148</v>
      </c>
      <c r="M805">
        <f>VLOOKUP(A805,Marketing_df2!$A$1:$F$2241,4,FALSE)</f>
        <v>148</v>
      </c>
      <c r="N805">
        <f>VLOOKUP(A805,Marketing_df2!$A$1:$F$2241,5,FALSE)</f>
        <v>6</v>
      </c>
      <c r="O805">
        <f>VLOOKUP(A805,Marketing_df2!$A$1:$F$2241,6,FALSE)</f>
        <v>13</v>
      </c>
    </row>
    <row r="806" spans="1:15" ht="12.5">
      <c r="A806" s="6">
        <v>804</v>
      </c>
      <c r="B806" s="6">
        <v>3483</v>
      </c>
      <c r="C806" s="6">
        <v>1958</v>
      </c>
      <c r="D806" s="7" t="s">
        <v>9</v>
      </c>
      <c r="E806" s="7" t="s">
        <v>13</v>
      </c>
      <c r="F806" s="6">
        <v>48192</v>
      </c>
      <c r="G806" s="6">
        <v>0</v>
      </c>
      <c r="H806" s="6">
        <v>0</v>
      </c>
      <c r="I806" s="6">
        <f t="shared" si="12"/>
        <v>0</v>
      </c>
      <c r="J806" s="8">
        <v>41370</v>
      </c>
      <c r="K806" s="6">
        <v>76</v>
      </c>
      <c r="L806">
        <f>VLOOKUP(A806,Marketing_df2!$A$1:$F$2241,3,FALSE)</f>
        <v>43</v>
      </c>
      <c r="M806">
        <f>VLOOKUP(A806,Marketing_df2!$A$1:$F$2241,4,FALSE)</f>
        <v>58</v>
      </c>
      <c r="N806">
        <f>VLOOKUP(A806,Marketing_df2!$A$1:$F$2241,5,FALSE)</f>
        <v>2</v>
      </c>
      <c r="O806">
        <f>VLOOKUP(A806,Marketing_df2!$A$1:$F$2241,6,FALSE)</f>
        <v>12</v>
      </c>
    </row>
    <row r="807" spans="1:15" ht="12.5">
      <c r="A807" s="6">
        <v>805</v>
      </c>
      <c r="B807" s="6">
        <v>4599</v>
      </c>
      <c r="C807" s="6">
        <v>1976</v>
      </c>
      <c r="D807" s="7" t="s">
        <v>14</v>
      </c>
      <c r="E807" s="7" t="s">
        <v>13</v>
      </c>
      <c r="F807" s="6">
        <v>49681</v>
      </c>
      <c r="G807" s="6">
        <v>0</v>
      </c>
      <c r="H807" s="6">
        <v>2</v>
      </c>
      <c r="I807" s="6">
        <f t="shared" si="12"/>
        <v>2</v>
      </c>
      <c r="J807" s="8">
        <v>41582</v>
      </c>
      <c r="K807" s="6">
        <v>66</v>
      </c>
      <c r="L807">
        <f>VLOOKUP(A807,Marketing_df2!$A$1:$F$2241,3,FALSE)</f>
        <v>0</v>
      </c>
      <c r="M807">
        <f>VLOOKUP(A807,Marketing_df2!$A$1:$F$2241,4,FALSE)</f>
        <v>0</v>
      </c>
      <c r="N807">
        <f>VLOOKUP(A807,Marketing_df2!$A$1:$F$2241,5,FALSE)</f>
        <v>7</v>
      </c>
      <c r="O807">
        <f>VLOOKUP(A807,Marketing_df2!$A$1:$F$2241,6,FALSE)</f>
        <v>7</v>
      </c>
    </row>
    <row r="808" spans="1:15" ht="12.5">
      <c r="A808" s="6">
        <v>806</v>
      </c>
      <c r="B808" s="6">
        <v>7326</v>
      </c>
      <c r="C808" s="6">
        <v>1971</v>
      </c>
      <c r="D808" s="7" t="s">
        <v>14</v>
      </c>
      <c r="E808" s="7" t="s">
        <v>13</v>
      </c>
      <c r="F808" s="6">
        <v>56850</v>
      </c>
      <c r="G808" s="6">
        <v>0</v>
      </c>
      <c r="H808" s="6">
        <v>1</v>
      </c>
      <c r="I808" s="6">
        <f t="shared" si="12"/>
        <v>1</v>
      </c>
      <c r="J808" s="8">
        <v>41721</v>
      </c>
      <c r="K808" s="6">
        <v>83</v>
      </c>
      <c r="L808">
        <f>VLOOKUP(A808,Marketing_df2!$A$1:$F$2241,3,FALSE)</f>
        <v>1</v>
      </c>
      <c r="M808">
        <f>VLOOKUP(A808,Marketing_df2!$A$1:$F$2241,4,FALSE)</f>
        <v>7</v>
      </c>
      <c r="N808">
        <f>VLOOKUP(A808,Marketing_df2!$A$1:$F$2241,5,FALSE)</f>
        <v>1</v>
      </c>
      <c r="O808">
        <f>VLOOKUP(A808,Marketing_df2!$A$1:$F$2241,6,FALSE)</f>
        <v>3</v>
      </c>
    </row>
    <row r="809" spans="1:15" ht="12.5">
      <c r="A809" s="6">
        <v>807</v>
      </c>
      <c r="B809" s="6">
        <v>7352</v>
      </c>
      <c r="C809" s="6">
        <v>1957</v>
      </c>
      <c r="D809" s="7" t="s">
        <v>9</v>
      </c>
      <c r="E809" s="7" t="s">
        <v>13</v>
      </c>
      <c r="F809" s="6">
        <v>55267</v>
      </c>
      <c r="G809" s="6">
        <v>0</v>
      </c>
      <c r="H809" s="6">
        <v>1</v>
      </c>
      <c r="I809" s="6">
        <f t="shared" si="12"/>
        <v>1</v>
      </c>
      <c r="J809" s="9">
        <v>41568</v>
      </c>
      <c r="K809" s="6">
        <v>28</v>
      </c>
      <c r="L809">
        <f>VLOOKUP(A809,Marketing_df2!$A$1:$F$2241,3,FALSE)</f>
        <v>28</v>
      </c>
      <c r="M809">
        <f>VLOOKUP(A809,Marketing_df2!$A$1:$F$2241,4,FALSE)</f>
        <v>3</v>
      </c>
      <c r="N809">
        <f>VLOOKUP(A809,Marketing_df2!$A$1:$F$2241,5,FALSE)</f>
        <v>3</v>
      </c>
      <c r="O809">
        <f>VLOOKUP(A809,Marketing_df2!$A$1:$F$2241,6,FALSE)</f>
        <v>6</v>
      </c>
    </row>
    <row r="810" spans="1:15" ht="12.5">
      <c r="A810" s="6">
        <v>808</v>
      </c>
      <c r="B810" s="6">
        <v>2350</v>
      </c>
      <c r="C810" s="6">
        <v>1972</v>
      </c>
      <c r="D810" s="7" t="s">
        <v>9</v>
      </c>
      <c r="E810" s="7" t="s">
        <v>13</v>
      </c>
      <c r="F810" s="6">
        <v>59666</v>
      </c>
      <c r="G810" s="6">
        <v>1</v>
      </c>
      <c r="H810" s="6">
        <v>1</v>
      </c>
      <c r="I810" s="6">
        <f t="shared" si="12"/>
        <v>2</v>
      </c>
      <c r="J810" s="8">
        <v>41355</v>
      </c>
      <c r="K810" s="6">
        <v>87</v>
      </c>
      <c r="L810">
        <f>VLOOKUP(A810,Marketing_df2!$A$1:$F$2241,3,FALSE)</f>
        <v>53</v>
      </c>
      <c r="M810">
        <f>VLOOKUP(A810,Marketing_df2!$A$1:$F$2241,4,FALSE)</f>
        <v>17</v>
      </c>
      <c r="N810">
        <f>VLOOKUP(A810,Marketing_df2!$A$1:$F$2241,5,FALSE)</f>
        <v>3</v>
      </c>
      <c r="O810">
        <f>VLOOKUP(A810,Marketing_df2!$A$1:$F$2241,6,FALSE)</f>
        <v>8</v>
      </c>
    </row>
    <row r="811" spans="1:15" ht="12.5">
      <c r="A811" s="6">
        <v>809</v>
      </c>
      <c r="B811" s="6">
        <v>9145</v>
      </c>
      <c r="C811" s="6">
        <v>1972</v>
      </c>
      <c r="D811" s="7" t="s">
        <v>9</v>
      </c>
      <c r="E811" s="7" t="s">
        <v>10</v>
      </c>
      <c r="F811" s="6">
        <v>72504</v>
      </c>
      <c r="G811" s="6">
        <v>0</v>
      </c>
      <c r="H811" s="6">
        <v>1</v>
      </c>
      <c r="I811" s="6">
        <f t="shared" si="12"/>
        <v>1</v>
      </c>
      <c r="J811" s="8">
        <v>41370</v>
      </c>
      <c r="K811" s="6">
        <v>43</v>
      </c>
      <c r="L811">
        <f>VLOOKUP(A811,Marketing_df2!$A$1:$F$2241,3,FALSE)</f>
        <v>26</v>
      </c>
      <c r="M811">
        <f>VLOOKUP(A811,Marketing_df2!$A$1:$F$2241,4,FALSE)</f>
        <v>161</v>
      </c>
      <c r="N811">
        <f>VLOOKUP(A811,Marketing_df2!$A$1:$F$2241,5,FALSE)</f>
        <v>5</v>
      </c>
      <c r="O811">
        <f>VLOOKUP(A811,Marketing_df2!$A$1:$F$2241,6,FALSE)</f>
        <v>6</v>
      </c>
    </row>
    <row r="812" spans="1:15" ht="12.5">
      <c r="A812" s="6">
        <v>810</v>
      </c>
      <c r="B812" s="6">
        <v>2964</v>
      </c>
      <c r="C812" s="6">
        <v>1981</v>
      </c>
      <c r="D812" s="7" t="s">
        <v>9</v>
      </c>
      <c r="E812" s="7" t="s">
        <v>13</v>
      </c>
      <c r="F812" s="6">
        <v>26872</v>
      </c>
      <c r="G812" s="6">
        <v>0</v>
      </c>
      <c r="H812" s="6">
        <v>0</v>
      </c>
      <c r="I812" s="6">
        <f t="shared" si="12"/>
        <v>0</v>
      </c>
      <c r="J812" s="9">
        <v>41563</v>
      </c>
      <c r="K812" s="6">
        <v>0</v>
      </c>
      <c r="L812">
        <f>VLOOKUP(A812,Marketing_df2!$A$1:$F$2241,3,FALSE)</f>
        <v>10</v>
      </c>
      <c r="M812">
        <f>VLOOKUP(A812,Marketing_df2!$A$1:$F$2241,4,FALSE)</f>
        <v>16</v>
      </c>
      <c r="N812">
        <f>VLOOKUP(A812,Marketing_df2!$A$1:$F$2241,5,FALSE)</f>
        <v>1</v>
      </c>
      <c r="O812">
        <f>VLOOKUP(A812,Marketing_df2!$A$1:$F$2241,6,FALSE)</f>
        <v>2</v>
      </c>
    </row>
    <row r="813" spans="1:15" ht="12.5">
      <c r="A813" s="6">
        <v>811</v>
      </c>
      <c r="B813" s="6">
        <v>5585</v>
      </c>
      <c r="C813" s="6">
        <v>1972</v>
      </c>
      <c r="D813" s="7" t="s">
        <v>9</v>
      </c>
      <c r="E813" s="7" t="s">
        <v>10</v>
      </c>
      <c r="F813" s="6">
        <v>21359</v>
      </c>
      <c r="G813" s="6">
        <v>1</v>
      </c>
      <c r="H813" s="6">
        <v>0</v>
      </c>
      <c r="I813" s="6">
        <f t="shared" si="12"/>
        <v>1</v>
      </c>
      <c r="J813" s="8">
        <v>41384</v>
      </c>
      <c r="K813" s="6">
        <v>1</v>
      </c>
      <c r="L813">
        <f>VLOOKUP(A813,Marketing_df2!$A$1:$F$2241,3,FALSE)</f>
        <v>2</v>
      </c>
      <c r="M813">
        <f>VLOOKUP(A813,Marketing_df2!$A$1:$F$2241,4,FALSE)</f>
        <v>1</v>
      </c>
      <c r="N813">
        <f>VLOOKUP(A813,Marketing_df2!$A$1:$F$2241,5,FALSE)</f>
        <v>2</v>
      </c>
      <c r="O813">
        <f>VLOOKUP(A813,Marketing_df2!$A$1:$F$2241,6,FALSE)</f>
        <v>3</v>
      </c>
    </row>
    <row r="814" spans="1:15" ht="12.5">
      <c r="A814" s="6">
        <v>812</v>
      </c>
      <c r="B814" s="6">
        <v>9687</v>
      </c>
      <c r="C814" s="6">
        <v>1975</v>
      </c>
      <c r="D814" s="7" t="s">
        <v>9</v>
      </c>
      <c r="E814" s="7" t="s">
        <v>10</v>
      </c>
      <c r="F814" s="6">
        <v>73170</v>
      </c>
      <c r="G814" s="6">
        <v>0</v>
      </c>
      <c r="H814" s="6">
        <v>0</v>
      </c>
      <c r="I814" s="6">
        <f t="shared" si="12"/>
        <v>0</v>
      </c>
      <c r="J814" s="8">
        <v>41790</v>
      </c>
      <c r="K814" s="6">
        <v>1</v>
      </c>
      <c r="L814">
        <f>VLOOKUP(A814,Marketing_df2!$A$1:$F$2241,3,FALSE)</f>
        <v>174</v>
      </c>
      <c r="M814">
        <f>VLOOKUP(A814,Marketing_df2!$A$1:$F$2241,4,FALSE)</f>
        <v>30</v>
      </c>
      <c r="N814">
        <f>VLOOKUP(A814,Marketing_df2!$A$1:$F$2241,5,FALSE)</f>
        <v>5</v>
      </c>
      <c r="O814">
        <f>VLOOKUP(A814,Marketing_df2!$A$1:$F$2241,6,FALSE)</f>
        <v>6</v>
      </c>
    </row>
    <row r="815" spans="1:15" ht="12.5">
      <c r="A815" s="6">
        <v>813</v>
      </c>
      <c r="B815" s="6">
        <v>3732</v>
      </c>
      <c r="C815" s="6">
        <v>1955</v>
      </c>
      <c r="D815" s="7" t="s">
        <v>14</v>
      </c>
      <c r="E815" s="7" t="s">
        <v>13</v>
      </c>
      <c r="F815" s="6">
        <v>52750</v>
      </c>
      <c r="G815" s="6">
        <v>0</v>
      </c>
      <c r="H815" s="6">
        <v>1</v>
      </c>
      <c r="I815" s="6">
        <f t="shared" si="12"/>
        <v>1</v>
      </c>
      <c r="J815" s="8">
        <v>41309</v>
      </c>
      <c r="K815" s="6">
        <v>72</v>
      </c>
      <c r="L815">
        <f>VLOOKUP(A815,Marketing_df2!$A$1:$F$2241,3,FALSE)</f>
        <v>0</v>
      </c>
      <c r="M815">
        <f>VLOOKUP(A815,Marketing_df2!$A$1:$F$2241,4,FALSE)</f>
        <v>69</v>
      </c>
      <c r="N815">
        <f>VLOOKUP(A815,Marketing_df2!$A$1:$F$2241,5,FALSE)</f>
        <v>5</v>
      </c>
      <c r="O815">
        <f>VLOOKUP(A815,Marketing_df2!$A$1:$F$2241,6,FALSE)</f>
        <v>9</v>
      </c>
    </row>
    <row r="816" spans="1:15" ht="12.5">
      <c r="A816" s="6">
        <v>814</v>
      </c>
      <c r="B816" s="6">
        <v>6303</v>
      </c>
      <c r="C816" s="6">
        <v>1986</v>
      </c>
      <c r="D816" s="7" t="s">
        <v>12</v>
      </c>
      <c r="E816" s="7" t="s">
        <v>11</v>
      </c>
      <c r="F816" s="6">
        <v>91820</v>
      </c>
      <c r="G816" s="6">
        <v>0</v>
      </c>
      <c r="H816" s="6">
        <v>0</v>
      </c>
      <c r="I816" s="6">
        <f t="shared" si="12"/>
        <v>0</v>
      </c>
      <c r="J816" s="9">
        <v>41601</v>
      </c>
      <c r="K816" s="6">
        <v>72</v>
      </c>
      <c r="L816">
        <f>VLOOKUP(A816,Marketing_df2!$A$1:$F$2241,3,FALSE)</f>
        <v>73</v>
      </c>
      <c r="M816">
        <f>VLOOKUP(A816,Marketing_df2!$A$1:$F$2241,4,FALSE)</f>
        <v>161</v>
      </c>
      <c r="N816">
        <f>VLOOKUP(A816,Marketing_df2!$A$1:$F$2241,5,FALSE)</f>
        <v>5</v>
      </c>
      <c r="O816">
        <f>VLOOKUP(A816,Marketing_df2!$A$1:$F$2241,6,FALSE)</f>
        <v>12</v>
      </c>
    </row>
    <row r="817" spans="1:15" ht="12.5">
      <c r="A817" s="6">
        <v>815</v>
      </c>
      <c r="B817" s="6">
        <v>11176</v>
      </c>
      <c r="C817" s="6">
        <v>1970</v>
      </c>
      <c r="D817" s="7" t="s">
        <v>12</v>
      </c>
      <c r="E817" s="7" t="s">
        <v>11</v>
      </c>
      <c r="F817" s="6">
        <v>65968</v>
      </c>
      <c r="G817" s="6">
        <v>0</v>
      </c>
      <c r="H817" s="6">
        <v>1</v>
      </c>
      <c r="I817" s="6">
        <f t="shared" si="12"/>
        <v>1</v>
      </c>
      <c r="J817" s="8">
        <v>41771</v>
      </c>
      <c r="K817" s="6">
        <v>12</v>
      </c>
      <c r="L817">
        <f>VLOOKUP(A817,Marketing_df2!$A$1:$F$2241,3,FALSE)</f>
        <v>9</v>
      </c>
      <c r="M817">
        <f>VLOOKUP(A817,Marketing_df2!$A$1:$F$2241,4,FALSE)</f>
        <v>4</v>
      </c>
      <c r="N817">
        <f>VLOOKUP(A817,Marketing_df2!$A$1:$F$2241,5,FALSE)</f>
        <v>5</v>
      </c>
      <c r="O817">
        <f>VLOOKUP(A817,Marketing_df2!$A$1:$F$2241,6,FALSE)</f>
        <v>7</v>
      </c>
    </row>
    <row r="818" spans="1:15" ht="12.5">
      <c r="A818" s="6">
        <v>816</v>
      </c>
      <c r="B818" s="6">
        <v>2986</v>
      </c>
      <c r="C818" s="6">
        <v>1976</v>
      </c>
      <c r="D818" s="7" t="s">
        <v>9</v>
      </c>
      <c r="E818" s="7" t="s">
        <v>13</v>
      </c>
      <c r="F818" s="6">
        <v>30772</v>
      </c>
      <c r="G818" s="6">
        <v>1</v>
      </c>
      <c r="H818" s="6">
        <v>1</v>
      </c>
      <c r="I818" s="6">
        <f t="shared" si="12"/>
        <v>2</v>
      </c>
      <c r="J818" s="8">
        <v>41710</v>
      </c>
      <c r="K818" s="6">
        <v>89</v>
      </c>
      <c r="L818">
        <f>VLOOKUP(A818,Marketing_df2!$A$1:$F$2241,3,FALSE)</f>
        <v>2</v>
      </c>
      <c r="M818">
        <f>VLOOKUP(A818,Marketing_df2!$A$1:$F$2241,4,FALSE)</f>
        <v>1</v>
      </c>
      <c r="N818">
        <f>VLOOKUP(A818,Marketing_df2!$A$1:$F$2241,5,FALSE)</f>
        <v>1</v>
      </c>
      <c r="O818">
        <f>VLOOKUP(A818,Marketing_df2!$A$1:$F$2241,6,FALSE)</f>
        <v>2</v>
      </c>
    </row>
    <row r="819" spans="1:15" ht="12.5">
      <c r="A819" s="6">
        <v>817</v>
      </c>
      <c r="B819" s="6">
        <v>7462</v>
      </c>
      <c r="C819" s="6">
        <v>1954</v>
      </c>
      <c r="D819" s="7" t="s">
        <v>9</v>
      </c>
      <c r="E819" s="7" t="s">
        <v>10</v>
      </c>
      <c r="F819" s="6">
        <v>22507</v>
      </c>
      <c r="G819" s="6">
        <v>0</v>
      </c>
      <c r="H819" s="6">
        <v>0</v>
      </c>
      <c r="I819" s="6">
        <f t="shared" si="12"/>
        <v>0</v>
      </c>
      <c r="J819" s="9">
        <v>41237</v>
      </c>
      <c r="K819" s="6">
        <v>67</v>
      </c>
      <c r="L819">
        <f>VLOOKUP(A819,Marketing_df2!$A$1:$F$2241,3,FALSE)</f>
        <v>0</v>
      </c>
      <c r="M819">
        <f>VLOOKUP(A819,Marketing_df2!$A$1:$F$2241,4,FALSE)</f>
        <v>157</v>
      </c>
      <c r="N819">
        <f>VLOOKUP(A819,Marketing_df2!$A$1:$F$2241,5,FALSE)</f>
        <v>10</v>
      </c>
      <c r="O819">
        <f>VLOOKUP(A819,Marketing_df2!$A$1:$F$2241,6,FALSE)</f>
        <v>4</v>
      </c>
    </row>
    <row r="820" spans="1:15" ht="12.5">
      <c r="A820" s="6">
        <v>818</v>
      </c>
      <c r="B820" s="6">
        <v>3900</v>
      </c>
      <c r="C820" s="6">
        <v>1972</v>
      </c>
      <c r="D820" s="7" t="s">
        <v>9</v>
      </c>
      <c r="E820" s="7" t="s">
        <v>13</v>
      </c>
      <c r="F820" s="6">
        <v>65685</v>
      </c>
      <c r="G820" s="6">
        <v>0</v>
      </c>
      <c r="H820" s="6">
        <v>1</v>
      </c>
      <c r="I820" s="6">
        <f t="shared" si="12"/>
        <v>1</v>
      </c>
      <c r="J820" s="8">
        <v>41727</v>
      </c>
      <c r="K820" s="6">
        <v>54</v>
      </c>
      <c r="L820">
        <f>VLOOKUP(A820,Marketing_df2!$A$1:$F$2241,3,FALSE)</f>
        <v>14</v>
      </c>
      <c r="M820">
        <f>VLOOKUP(A820,Marketing_df2!$A$1:$F$2241,4,FALSE)</f>
        <v>7</v>
      </c>
      <c r="N820">
        <f>VLOOKUP(A820,Marketing_df2!$A$1:$F$2241,5,FALSE)</f>
        <v>9</v>
      </c>
      <c r="O820">
        <f>VLOOKUP(A820,Marketing_df2!$A$1:$F$2241,6,FALSE)</f>
        <v>9</v>
      </c>
    </row>
    <row r="821" spans="1:15" ht="12.5">
      <c r="A821" s="6">
        <v>819</v>
      </c>
      <c r="B821" s="6">
        <v>7034</v>
      </c>
      <c r="C821" s="6">
        <v>1978</v>
      </c>
      <c r="D821" s="7" t="s">
        <v>17</v>
      </c>
      <c r="E821" s="7" t="s">
        <v>13</v>
      </c>
      <c r="F821" s="6">
        <v>25804</v>
      </c>
      <c r="G821" s="6">
        <v>1</v>
      </c>
      <c r="H821" s="6">
        <v>0</v>
      </c>
      <c r="I821" s="6">
        <f t="shared" si="12"/>
        <v>1</v>
      </c>
      <c r="J821" s="8">
        <v>41518</v>
      </c>
      <c r="K821" s="6">
        <v>34</v>
      </c>
      <c r="L821">
        <f>VLOOKUP(A821,Marketing_df2!$A$1:$F$2241,3,FALSE)</f>
        <v>7</v>
      </c>
      <c r="M821">
        <f>VLOOKUP(A821,Marketing_df2!$A$1:$F$2241,4,FALSE)</f>
        <v>6</v>
      </c>
      <c r="N821">
        <f>VLOOKUP(A821,Marketing_df2!$A$1:$F$2241,5,FALSE)</f>
        <v>2</v>
      </c>
      <c r="O821">
        <f>VLOOKUP(A821,Marketing_df2!$A$1:$F$2241,6,FALSE)</f>
        <v>3</v>
      </c>
    </row>
    <row r="822" spans="1:15" ht="12.5">
      <c r="A822" s="6">
        <v>820</v>
      </c>
      <c r="B822" s="6">
        <v>9493</v>
      </c>
      <c r="C822" s="6">
        <v>1980</v>
      </c>
      <c r="D822" s="7" t="s">
        <v>12</v>
      </c>
      <c r="E822" s="7" t="s">
        <v>10</v>
      </c>
      <c r="F822" s="6">
        <v>76412</v>
      </c>
      <c r="G822" s="6">
        <v>0</v>
      </c>
      <c r="H822" s="6">
        <v>0</v>
      </c>
      <c r="I822" s="6">
        <f t="shared" si="12"/>
        <v>0</v>
      </c>
      <c r="J822" s="8">
        <v>41399</v>
      </c>
      <c r="K822" s="6">
        <v>15</v>
      </c>
      <c r="L822">
        <f>VLOOKUP(A822,Marketing_df2!$A$1:$F$2241,3,FALSE)</f>
        <v>53</v>
      </c>
      <c r="M822">
        <f>VLOOKUP(A822,Marketing_df2!$A$1:$F$2241,4,FALSE)</f>
        <v>71</v>
      </c>
      <c r="N822">
        <f>VLOOKUP(A822,Marketing_df2!$A$1:$F$2241,5,FALSE)</f>
        <v>5</v>
      </c>
      <c r="O822">
        <f>VLOOKUP(A822,Marketing_df2!$A$1:$F$2241,6,FALSE)</f>
        <v>8</v>
      </c>
    </row>
    <row r="823" spans="1:15" ht="12.5">
      <c r="A823" s="6">
        <v>821</v>
      </c>
      <c r="B823" s="6">
        <v>1143</v>
      </c>
      <c r="C823" s="6">
        <v>1972</v>
      </c>
      <c r="D823" s="7" t="s">
        <v>9</v>
      </c>
      <c r="E823" s="7" t="s">
        <v>13</v>
      </c>
      <c r="F823" s="6">
        <v>22063</v>
      </c>
      <c r="G823" s="6">
        <v>1</v>
      </c>
      <c r="H823" s="6">
        <v>0</v>
      </c>
      <c r="I823" s="6">
        <f t="shared" si="12"/>
        <v>1</v>
      </c>
      <c r="J823" s="8">
        <v>41494</v>
      </c>
      <c r="K823" s="6">
        <v>43</v>
      </c>
      <c r="L823">
        <f>VLOOKUP(A823,Marketing_df2!$A$1:$F$2241,3,FALSE)</f>
        <v>10</v>
      </c>
      <c r="M823">
        <f>VLOOKUP(A823,Marketing_df2!$A$1:$F$2241,4,FALSE)</f>
        <v>11</v>
      </c>
      <c r="N823">
        <f>VLOOKUP(A823,Marketing_df2!$A$1:$F$2241,5,FALSE)</f>
        <v>2</v>
      </c>
      <c r="O823">
        <f>VLOOKUP(A823,Marketing_df2!$A$1:$F$2241,6,FALSE)</f>
        <v>3</v>
      </c>
    </row>
    <row r="824" spans="1:15" ht="12.5">
      <c r="A824" s="6">
        <v>822</v>
      </c>
      <c r="B824" s="6">
        <v>1</v>
      </c>
      <c r="C824" s="6">
        <v>1961</v>
      </c>
      <c r="D824" s="7" t="s">
        <v>9</v>
      </c>
      <c r="E824" s="7" t="s">
        <v>10</v>
      </c>
      <c r="F824" s="6">
        <v>57091</v>
      </c>
      <c r="G824" s="6">
        <v>0</v>
      </c>
      <c r="H824" s="6">
        <v>0</v>
      </c>
      <c r="I824" s="6">
        <f t="shared" si="12"/>
        <v>0</v>
      </c>
      <c r="J824" s="8">
        <v>41805</v>
      </c>
      <c r="K824" s="6">
        <v>0</v>
      </c>
      <c r="L824">
        <f>VLOOKUP(A824,Marketing_df2!$A$1:$F$2241,3,FALSE)</f>
        <v>5</v>
      </c>
      <c r="M824">
        <f>VLOOKUP(A824,Marketing_df2!$A$1:$F$2241,4,FALSE)</f>
        <v>0</v>
      </c>
      <c r="N824">
        <f>VLOOKUP(A824,Marketing_df2!$A$1:$F$2241,5,FALSE)</f>
        <v>7</v>
      </c>
      <c r="O824">
        <f>VLOOKUP(A824,Marketing_df2!$A$1:$F$2241,6,FALSE)</f>
        <v>7</v>
      </c>
    </row>
    <row r="825" spans="1:15" ht="12.5">
      <c r="A825" s="6">
        <v>823</v>
      </c>
      <c r="B825" s="6">
        <v>3855</v>
      </c>
      <c r="C825" s="6">
        <v>1963</v>
      </c>
      <c r="D825" s="7" t="s">
        <v>9</v>
      </c>
      <c r="E825" s="7" t="s">
        <v>13</v>
      </c>
      <c r="F825" s="6">
        <v>22419</v>
      </c>
      <c r="G825" s="6">
        <v>0</v>
      </c>
      <c r="H825" s="6">
        <v>0</v>
      </c>
      <c r="I825" s="6">
        <f t="shared" si="12"/>
        <v>0</v>
      </c>
      <c r="J825" s="8">
        <v>41382</v>
      </c>
      <c r="K825" s="6">
        <v>74</v>
      </c>
      <c r="L825">
        <f>VLOOKUP(A825,Marketing_df2!$A$1:$F$2241,3,FALSE)</f>
        <v>3</v>
      </c>
      <c r="M825">
        <f>VLOOKUP(A825,Marketing_df2!$A$1:$F$2241,4,FALSE)</f>
        <v>21</v>
      </c>
      <c r="N825">
        <f>VLOOKUP(A825,Marketing_df2!$A$1:$F$2241,5,FALSE)</f>
        <v>3</v>
      </c>
      <c r="O825">
        <f>VLOOKUP(A825,Marketing_df2!$A$1:$F$2241,6,FALSE)</f>
        <v>2</v>
      </c>
    </row>
    <row r="826" spans="1:15" ht="12.5">
      <c r="A826" s="6">
        <v>824</v>
      </c>
      <c r="B826" s="6">
        <v>5536</v>
      </c>
      <c r="C826" s="6">
        <v>1959</v>
      </c>
      <c r="D826" s="7" t="s">
        <v>9</v>
      </c>
      <c r="E826" s="7" t="s">
        <v>11</v>
      </c>
      <c r="F826" s="6">
        <v>87771</v>
      </c>
      <c r="G826" s="6">
        <v>0</v>
      </c>
      <c r="H826" s="6">
        <v>1</v>
      </c>
      <c r="I826" s="6">
        <f t="shared" si="12"/>
        <v>1</v>
      </c>
      <c r="J826" s="8">
        <v>41416</v>
      </c>
      <c r="K826" s="6">
        <v>61</v>
      </c>
      <c r="L826">
        <f>VLOOKUP(A826,Marketing_df2!$A$1:$F$2241,3,FALSE)</f>
        <v>38</v>
      </c>
      <c r="M826">
        <f>VLOOKUP(A826,Marketing_df2!$A$1:$F$2241,4,FALSE)</f>
        <v>57</v>
      </c>
      <c r="N826">
        <f>VLOOKUP(A826,Marketing_df2!$A$1:$F$2241,5,FALSE)</f>
        <v>5</v>
      </c>
      <c r="O826">
        <f>VLOOKUP(A826,Marketing_df2!$A$1:$F$2241,6,FALSE)</f>
        <v>4</v>
      </c>
    </row>
    <row r="827" spans="1:15" ht="12.5">
      <c r="A827" s="6">
        <v>825</v>
      </c>
      <c r="B827" s="6">
        <v>5989</v>
      </c>
      <c r="C827" s="6">
        <v>1959</v>
      </c>
      <c r="D827" s="7" t="s">
        <v>17</v>
      </c>
      <c r="E827" s="7" t="s">
        <v>15</v>
      </c>
      <c r="F827" s="6">
        <v>78353</v>
      </c>
      <c r="G827" s="6">
        <v>0</v>
      </c>
      <c r="H827" s="6">
        <v>1</v>
      </c>
      <c r="I827" s="6">
        <f t="shared" si="12"/>
        <v>1</v>
      </c>
      <c r="J827" s="8">
        <v>41380</v>
      </c>
      <c r="K827" s="6">
        <v>51</v>
      </c>
      <c r="L827">
        <f>VLOOKUP(A827,Marketing_df2!$A$1:$F$2241,3,FALSE)</f>
        <v>122</v>
      </c>
      <c r="M827">
        <f>VLOOKUP(A827,Marketing_df2!$A$1:$F$2241,4,FALSE)</f>
        <v>153</v>
      </c>
      <c r="N827">
        <f>VLOOKUP(A827,Marketing_df2!$A$1:$F$2241,5,FALSE)</f>
        <v>10</v>
      </c>
      <c r="O827">
        <f>VLOOKUP(A827,Marketing_df2!$A$1:$F$2241,6,FALSE)</f>
        <v>11</v>
      </c>
    </row>
    <row r="828" spans="1:15" ht="12.5">
      <c r="A828" s="6">
        <v>826</v>
      </c>
      <c r="B828" s="6">
        <v>9499</v>
      </c>
      <c r="C828" s="6">
        <v>1954</v>
      </c>
      <c r="D828" s="7" t="s">
        <v>9</v>
      </c>
      <c r="E828" s="7" t="s">
        <v>13</v>
      </c>
      <c r="F828" s="6">
        <v>93404</v>
      </c>
      <c r="G828" s="6">
        <v>1</v>
      </c>
      <c r="H828" s="6">
        <v>2</v>
      </c>
      <c r="I828" s="6">
        <f t="shared" si="12"/>
        <v>3</v>
      </c>
      <c r="J828" s="8">
        <v>41401</v>
      </c>
      <c r="K828" s="6">
        <v>97</v>
      </c>
      <c r="L828">
        <f>VLOOKUP(A828,Marketing_df2!$A$1:$F$2241,3,FALSE)</f>
        <v>15</v>
      </c>
      <c r="M828">
        <f>VLOOKUP(A828,Marketing_df2!$A$1:$F$2241,4,FALSE)</f>
        <v>0</v>
      </c>
      <c r="N828">
        <f>VLOOKUP(A828,Marketing_df2!$A$1:$F$2241,5,FALSE)</f>
        <v>3</v>
      </c>
      <c r="O828">
        <f>VLOOKUP(A828,Marketing_df2!$A$1:$F$2241,6,FALSE)</f>
        <v>7</v>
      </c>
    </row>
    <row r="829" spans="1:15" ht="12.5">
      <c r="A829" s="6">
        <v>827</v>
      </c>
      <c r="B829" s="6">
        <v>6768</v>
      </c>
      <c r="C829" s="6">
        <v>1962</v>
      </c>
      <c r="D829" s="7" t="s">
        <v>9</v>
      </c>
      <c r="E829" s="7" t="s">
        <v>15</v>
      </c>
      <c r="F829" s="6">
        <v>37859</v>
      </c>
      <c r="G829" s="6">
        <v>1</v>
      </c>
      <c r="H829" s="6">
        <v>2</v>
      </c>
      <c r="I829" s="6">
        <f t="shared" si="12"/>
        <v>3</v>
      </c>
      <c r="J829" s="8">
        <v>41286</v>
      </c>
      <c r="K829" s="6">
        <v>75</v>
      </c>
      <c r="L829">
        <f>VLOOKUP(A829,Marketing_df2!$A$1:$F$2241,3,FALSE)</f>
        <v>1</v>
      </c>
      <c r="M829">
        <f>VLOOKUP(A829,Marketing_df2!$A$1:$F$2241,4,FALSE)</f>
        <v>1</v>
      </c>
      <c r="N829">
        <f>VLOOKUP(A829,Marketing_df2!$A$1:$F$2241,5,FALSE)</f>
        <v>1</v>
      </c>
      <c r="O829">
        <f>VLOOKUP(A829,Marketing_df2!$A$1:$F$2241,6,FALSE)</f>
        <v>3</v>
      </c>
    </row>
    <row r="830" spans="1:15" ht="12.5">
      <c r="A830" s="6">
        <v>828</v>
      </c>
      <c r="B830" s="6">
        <v>2150</v>
      </c>
      <c r="C830" s="6">
        <v>1958</v>
      </c>
      <c r="D830" s="7" t="s">
        <v>12</v>
      </c>
      <c r="E830" s="7" t="s">
        <v>18</v>
      </c>
      <c r="F830" s="6">
        <v>80995</v>
      </c>
      <c r="G830" s="6">
        <v>0</v>
      </c>
      <c r="H830" s="6">
        <v>1</v>
      </c>
      <c r="I830" s="6">
        <f t="shared" si="12"/>
        <v>1</v>
      </c>
      <c r="J830" s="8">
        <v>41405</v>
      </c>
      <c r="K830" s="6">
        <v>83</v>
      </c>
      <c r="L830">
        <f>VLOOKUP(A830,Marketing_df2!$A$1:$F$2241,3,FALSE)</f>
        <v>28</v>
      </c>
      <c r="M830">
        <f>VLOOKUP(A830,Marketing_df2!$A$1:$F$2241,4,FALSE)</f>
        <v>56</v>
      </c>
      <c r="N830">
        <f>VLOOKUP(A830,Marketing_df2!$A$1:$F$2241,5,FALSE)</f>
        <v>8</v>
      </c>
      <c r="O830">
        <f>VLOOKUP(A830,Marketing_df2!$A$1:$F$2241,6,FALSE)</f>
        <v>4</v>
      </c>
    </row>
    <row r="831" spans="1:15" ht="12.5">
      <c r="A831" s="6">
        <v>829</v>
      </c>
      <c r="B831" s="6">
        <v>6646</v>
      </c>
      <c r="C831" s="6">
        <v>1984</v>
      </c>
      <c r="D831" s="7" t="s">
        <v>9</v>
      </c>
      <c r="E831" s="7" t="s">
        <v>11</v>
      </c>
      <c r="F831" s="6">
        <v>16529</v>
      </c>
      <c r="G831" s="6">
        <v>1</v>
      </c>
      <c r="H831" s="6">
        <v>0</v>
      </c>
      <c r="I831" s="6">
        <f t="shared" si="12"/>
        <v>1</v>
      </c>
      <c r="J831" s="8">
        <v>41699</v>
      </c>
      <c r="K831" s="6">
        <v>23</v>
      </c>
      <c r="L831">
        <f>VLOOKUP(A831,Marketing_df2!$A$1:$F$2241,3,FALSE)</f>
        <v>0</v>
      </c>
      <c r="M831">
        <f>VLOOKUP(A831,Marketing_df2!$A$1:$F$2241,4,FALSE)</f>
        <v>0</v>
      </c>
      <c r="N831">
        <f>VLOOKUP(A831,Marketing_df2!$A$1:$F$2241,5,FALSE)</f>
        <v>1</v>
      </c>
      <c r="O831">
        <f>VLOOKUP(A831,Marketing_df2!$A$1:$F$2241,6,FALSE)</f>
        <v>3</v>
      </c>
    </row>
    <row r="832" spans="1:15" ht="12.5">
      <c r="A832" s="6">
        <v>830</v>
      </c>
      <c r="B832" s="6">
        <v>4887</v>
      </c>
      <c r="C832" s="6">
        <v>1976</v>
      </c>
      <c r="D832" s="7" t="s">
        <v>12</v>
      </c>
      <c r="E832" s="7" t="s">
        <v>15</v>
      </c>
      <c r="F832" s="6">
        <v>55412</v>
      </c>
      <c r="G832" s="6">
        <v>1</v>
      </c>
      <c r="H832" s="6">
        <v>1</v>
      </c>
      <c r="I832" s="6">
        <f t="shared" si="12"/>
        <v>2</v>
      </c>
      <c r="J832" s="9">
        <v>41600</v>
      </c>
      <c r="K832" s="6">
        <v>65</v>
      </c>
      <c r="L832">
        <f>VLOOKUP(A832,Marketing_df2!$A$1:$F$2241,3,FALSE)</f>
        <v>5</v>
      </c>
      <c r="M832">
        <f>VLOOKUP(A832,Marketing_df2!$A$1:$F$2241,4,FALSE)</f>
        <v>1</v>
      </c>
      <c r="N832">
        <f>VLOOKUP(A832,Marketing_df2!$A$1:$F$2241,5,FALSE)</f>
        <v>2</v>
      </c>
      <c r="O832">
        <f>VLOOKUP(A832,Marketing_df2!$A$1:$F$2241,6,FALSE)</f>
        <v>3</v>
      </c>
    </row>
    <row r="833" spans="1:15" ht="12.5">
      <c r="A833" s="6">
        <v>831</v>
      </c>
      <c r="B833" s="6">
        <v>8560</v>
      </c>
      <c r="C833" s="6">
        <v>1992</v>
      </c>
      <c r="D833" s="7" t="s">
        <v>9</v>
      </c>
      <c r="E833" s="7" t="s">
        <v>10</v>
      </c>
      <c r="F833" s="6">
        <v>48789</v>
      </c>
      <c r="G833" s="6">
        <v>0</v>
      </c>
      <c r="H833" s="6">
        <v>0</v>
      </c>
      <c r="I833" s="6">
        <f t="shared" si="12"/>
        <v>0</v>
      </c>
      <c r="J833" s="8">
        <v>41162</v>
      </c>
      <c r="K833" s="6">
        <v>94</v>
      </c>
      <c r="L833">
        <f>VLOOKUP(A833,Marketing_df2!$A$1:$F$2241,3,FALSE)</f>
        <v>16</v>
      </c>
      <c r="M833">
        <f>VLOOKUP(A833,Marketing_df2!$A$1:$F$2241,4,FALSE)</f>
        <v>5</v>
      </c>
      <c r="N833">
        <f>VLOOKUP(A833,Marketing_df2!$A$1:$F$2241,5,FALSE)</f>
        <v>6</v>
      </c>
      <c r="O833">
        <f>VLOOKUP(A833,Marketing_df2!$A$1:$F$2241,6,FALSE)</f>
        <v>7</v>
      </c>
    </row>
    <row r="834" spans="1:15" ht="12.5">
      <c r="A834" s="6">
        <v>832</v>
      </c>
      <c r="B834" s="6">
        <v>3321</v>
      </c>
      <c r="C834" s="6">
        <v>1967</v>
      </c>
      <c r="D834" s="7" t="s">
        <v>12</v>
      </c>
      <c r="E834" s="7" t="s">
        <v>11</v>
      </c>
      <c r="F834" s="6">
        <v>56575</v>
      </c>
      <c r="G834" s="6">
        <v>0</v>
      </c>
      <c r="H834" s="6">
        <v>2</v>
      </c>
      <c r="I834" s="6">
        <f t="shared" si="12"/>
        <v>2</v>
      </c>
      <c r="J834" s="8">
        <v>41399</v>
      </c>
      <c r="K834" s="6">
        <v>42</v>
      </c>
      <c r="L834">
        <f>VLOOKUP(A834,Marketing_df2!$A$1:$F$2241,3,FALSE)</f>
        <v>5</v>
      </c>
      <c r="M834">
        <f>VLOOKUP(A834,Marketing_df2!$A$1:$F$2241,4,FALSE)</f>
        <v>16</v>
      </c>
      <c r="N834">
        <f>VLOOKUP(A834,Marketing_df2!$A$1:$F$2241,5,FALSE)</f>
        <v>7</v>
      </c>
      <c r="O834">
        <f>VLOOKUP(A834,Marketing_df2!$A$1:$F$2241,6,FALSE)</f>
        <v>7</v>
      </c>
    </row>
    <row r="835" spans="1:15" ht="12.5">
      <c r="A835" s="6">
        <v>833</v>
      </c>
      <c r="B835" s="6">
        <v>11003</v>
      </c>
      <c r="C835" s="6">
        <v>1980</v>
      </c>
      <c r="D835" s="7" t="s">
        <v>17</v>
      </c>
      <c r="E835" s="7" t="s">
        <v>11</v>
      </c>
      <c r="F835" s="6">
        <v>25130</v>
      </c>
      <c r="G835" s="6">
        <v>1</v>
      </c>
      <c r="H835" s="6">
        <v>0</v>
      </c>
      <c r="I835" s="6">
        <f t="shared" ref="I835:I898" si="13">G835+H835</f>
        <v>1</v>
      </c>
      <c r="J835" s="8">
        <v>41549</v>
      </c>
      <c r="K835" s="6">
        <v>10</v>
      </c>
      <c r="L835">
        <f>VLOOKUP(A835,Marketing_df2!$A$1:$F$2241,3,FALSE)</f>
        <v>5</v>
      </c>
      <c r="M835">
        <f>VLOOKUP(A835,Marketing_df2!$A$1:$F$2241,4,FALSE)</f>
        <v>18</v>
      </c>
      <c r="N835">
        <f>VLOOKUP(A835,Marketing_df2!$A$1:$F$2241,5,FALSE)</f>
        <v>2</v>
      </c>
      <c r="O835">
        <f>VLOOKUP(A835,Marketing_df2!$A$1:$F$2241,6,FALSE)</f>
        <v>3</v>
      </c>
    </row>
    <row r="836" spans="1:15" ht="12.5">
      <c r="A836" s="6">
        <v>834</v>
      </c>
      <c r="B836" s="6">
        <v>10402</v>
      </c>
      <c r="C836" s="6">
        <v>1967</v>
      </c>
      <c r="D836" s="7" t="s">
        <v>9</v>
      </c>
      <c r="E836" s="7" t="s">
        <v>13</v>
      </c>
      <c r="F836" s="6">
        <v>35441</v>
      </c>
      <c r="G836" s="6">
        <v>1</v>
      </c>
      <c r="H836" s="6">
        <v>1</v>
      </c>
      <c r="I836" s="6">
        <f t="shared" si="13"/>
        <v>2</v>
      </c>
      <c r="J836" s="8">
        <v>41319</v>
      </c>
      <c r="K836" s="6">
        <v>94</v>
      </c>
      <c r="L836">
        <f>VLOOKUP(A836,Marketing_df2!$A$1:$F$2241,3,FALSE)</f>
        <v>1</v>
      </c>
      <c r="M836">
        <f>VLOOKUP(A836,Marketing_df2!$A$1:$F$2241,4,FALSE)</f>
        <v>1</v>
      </c>
      <c r="N836">
        <f>VLOOKUP(A836,Marketing_df2!$A$1:$F$2241,5,FALSE)</f>
        <v>1</v>
      </c>
      <c r="O836">
        <f>VLOOKUP(A836,Marketing_df2!$A$1:$F$2241,6,FALSE)</f>
        <v>3</v>
      </c>
    </row>
    <row r="837" spans="1:15" ht="12.5">
      <c r="A837" s="6">
        <v>835</v>
      </c>
      <c r="B837" s="6">
        <v>9904</v>
      </c>
      <c r="C837" s="6">
        <v>1956</v>
      </c>
      <c r="D837" s="7" t="s">
        <v>9</v>
      </c>
      <c r="E837" s="7" t="s">
        <v>13</v>
      </c>
      <c r="F837" s="6">
        <v>71391</v>
      </c>
      <c r="G837" s="6">
        <v>0</v>
      </c>
      <c r="H837" s="6">
        <v>1</v>
      </c>
      <c r="I837" s="6">
        <f t="shared" si="13"/>
        <v>1</v>
      </c>
      <c r="J837" s="8">
        <v>41362</v>
      </c>
      <c r="K837" s="6">
        <v>50</v>
      </c>
      <c r="L837">
        <f>VLOOKUP(A837,Marketing_df2!$A$1:$F$2241,3,FALSE)</f>
        <v>123</v>
      </c>
      <c r="M837">
        <f>VLOOKUP(A837,Marketing_df2!$A$1:$F$2241,4,FALSE)</f>
        <v>123</v>
      </c>
      <c r="N837">
        <f>VLOOKUP(A837,Marketing_df2!$A$1:$F$2241,5,FALSE)</f>
        <v>6</v>
      </c>
      <c r="O837">
        <f>VLOOKUP(A837,Marketing_df2!$A$1:$F$2241,6,FALSE)</f>
        <v>12</v>
      </c>
    </row>
    <row r="838" spans="1:15" ht="12.5">
      <c r="A838" s="6">
        <v>836</v>
      </c>
      <c r="B838" s="6">
        <v>6141</v>
      </c>
      <c r="C838" s="6">
        <v>1972</v>
      </c>
      <c r="D838" s="7" t="s">
        <v>14</v>
      </c>
      <c r="E838" s="7" t="s">
        <v>10</v>
      </c>
      <c r="F838" s="6">
        <v>49494</v>
      </c>
      <c r="G838" s="6">
        <v>1</v>
      </c>
      <c r="H838" s="6">
        <v>0</v>
      </c>
      <c r="I838" s="6">
        <f t="shared" si="13"/>
        <v>1</v>
      </c>
      <c r="J838" s="8">
        <v>41389</v>
      </c>
      <c r="K838" s="6">
        <v>46</v>
      </c>
      <c r="L838">
        <f>VLOOKUP(A838,Marketing_df2!$A$1:$F$2241,3,FALSE)</f>
        <v>9</v>
      </c>
      <c r="M838">
        <f>VLOOKUP(A838,Marketing_df2!$A$1:$F$2241,4,FALSE)</f>
        <v>6</v>
      </c>
      <c r="N838">
        <f>VLOOKUP(A838,Marketing_df2!$A$1:$F$2241,5,FALSE)</f>
        <v>6</v>
      </c>
      <c r="O838">
        <f>VLOOKUP(A838,Marketing_df2!$A$1:$F$2241,6,FALSE)</f>
        <v>5</v>
      </c>
    </row>
    <row r="839" spans="1:15" ht="12.5">
      <c r="A839" s="6">
        <v>837</v>
      </c>
      <c r="B839" s="6">
        <v>5687</v>
      </c>
      <c r="C839" s="6">
        <v>1980</v>
      </c>
      <c r="D839" s="7" t="s">
        <v>9</v>
      </c>
      <c r="E839" s="7" t="s">
        <v>15</v>
      </c>
      <c r="F839" s="6">
        <v>81702</v>
      </c>
      <c r="G839" s="6">
        <v>0</v>
      </c>
      <c r="H839" s="6">
        <v>0</v>
      </c>
      <c r="I839" s="6">
        <f t="shared" si="13"/>
        <v>0</v>
      </c>
      <c r="J839" s="8">
        <v>41175</v>
      </c>
      <c r="K839" s="6">
        <v>98</v>
      </c>
      <c r="L839">
        <f>VLOOKUP(A839,Marketing_df2!$A$1:$F$2241,3,FALSE)</f>
        <v>50</v>
      </c>
      <c r="M839">
        <f>VLOOKUP(A839,Marketing_df2!$A$1:$F$2241,4,FALSE)</f>
        <v>31</v>
      </c>
      <c r="N839">
        <f>VLOOKUP(A839,Marketing_df2!$A$1:$F$2241,5,FALSE)</f>
        <v>7</v>
      </c>
      <c r="O839">
        <f>VLOOKUP(A839,Marketing_df2!$A$1:$F$2241,6,FALSE)</f>
        <v>12</v>
      </c>
    </row>
    <row r="840" spans="1:15" ht="12.5">
      <c r="A840" s="6">
        <v>838</v>
      </c>
      <c r="B840" s="6">
        <v>10856</v>
      </c>
      <c r="C840" s="6">
        <v>1980</v>
      </c>
      <c r="D840" s="7" t="s">
        <v>17</v>
      </c>
      <c r="E840" s="7" t="s">
        <v>10</v>
      </c>
      <c r="F840" s="6">
        <v>45889</v>
      </c>
      <c r="G840" s="6">
        <v>0</v>
      </c>
      <c r="H840" s="6">
        <v>1</v>
      </c>
      <c r="I840" s="6">
        <f t="shared" si="13"/>
        <v>1</v>
      </c>
      <c r="J840" s="8">
        <v>41457</v>
      </c>
      <c r="K840" s="6">
        <v>42</v>
      </c>
      <c r="L840">
        <f>VLOOKUP(A840,Marketing_df2!$A$1:$F$2241,3,FALSE)</f>
        <v>0</v>
      </c>
      <c r="M840">
        <f>VLOOKUP(A840,Marketing_df2!$A$1:$F$2241,4,FALSE)</f>
        <v>1</v>
      </c>
      <c r="N840">
        <f>VLOOKUP(A840,Marketing_df2!$A$1:$F$2241,5,FALSE)</f>
        <v>1</v>
      </c>
      <c r="O840">
        <f>VLOOKUP(A840,Marketing_df2!$A$1:$F$2241,6,FALSE)</f>
        <v>3</v>
      </c>
    </row>
    <row r="841" spans="1:15" ht="12.5">
      <c r="A841" s="6">
        <v>839</v>
      </c>
      <c r="B841" s="6">
        <v>5121</v>
      </c>
      <c r="C841" s="6">
        <v>1977</v>
      </c>
      <c r="D841" s="7" t="s">
        <v>9</v>
      </c>
      <c r="E841" s="7" t="s">
        <v>10</v>
      </c>
      <c r="F841" s="6">
        <v>56628</v>
      </c>
      <c r="G841" s="6">
        <v>0</v>
      </c>
      <c r="H841" s="6">
        <v>1</v>
      </c>
      <c r="I841" s="6">
        <f t="shared" si="13"/>
        <v>1</v>
      </c>
      <c r="J841" s="8">
        <v>41719</v>
      </c>
      <c r="K841" s="6">
        <v>30</v>
      </c>
      <c r="L841">
        <f>VLOOKUP(A841,Marketing_df2!$A$1:$F$2241,3,FALSE)</f>
        <v>5</v>
      </c>
      <c r="M841">
        <f>VLOOKUP(A841,Marketing_df2!$A$1:$F$2241,4,FALSE)</f>
        <v>17</v>
      </c>
      <c r="N841">
        <f>VLOOKUP(A841,Marketing_df2!$A$1:$F$2241,5,FALSE)</f>
        <v>7</v>
      </c>
      <c r="O841">
        <f>VLOOKUP(A841,Marketing_df2!$A$1:$F$2241,6,FALSE)</f>
        <v>5</v>
      </c>
    </row>
    <row r="842" spans="1:15" ht="12.5">
      <c r="A842" s="6">
        <v>840</v>
      </c>
      <c r="B842" s="6">
        <v>4186</v>
      </c>
      <c r="C842" s="6">
        <v>1950</v>
      </c>
      <c r="D842" s="7" t="s">
        <v>9</v>
      </c>
      <c r="E842" s="7" t="s">
        <v>11</v>
      </c>
      <c r="F842" s="6">
        <v>34026</v>
      </c>
      <c r="G842" s="6">
        <v>1</v>
      </c>
      <c r="H842" s="6">
        <v>1</v>
      </c>
      <c r="I842" s="6">
        <f t="shared" si="13"/>
        <v>2</v>
      </c>
      <c r="J842" s="8">
        <v>41491</v>
      </c>
      <c r="K842" s="6">
        <v>11</v>
      </c>
      <c r="L842">
        <f>VLOOKUP(A842,Marketing_df2!$A$1:$F$2241,3,FALSE)</f>
        <v>6</v>
      </c>
      <c r="M842">
        <f>VLOOKUP(A842,Marketing_df2!$A$1:$F$2241,4,FALSE)</f>
        <v>8</v>
      </c>
      <c r="N842">
        <f>VLOOKUP(A842,Marketing_df2!$A$1:$F$2241,5,FALSE)</f>
        <v>2</v>
      </c>
      <c r="O842">
        <f>VLOOKUP(A842,Marketing_df2!$A$1:$F$2241,6,FALSE)</f>
        <v>3</v>
      </c>
    </row>
    <row r="843" spans="1:15" ht="12.5">
      <c r="A843" s="6">
        <v>841</v>
      </c>
      <c r="B843" s="6">
        <v>368</v>
      </c>
      <c r="C843" s="6">
        <v>1974</v>
      </c>
      <c r="D843" s="7" t="s">
        <v>9</v>
      </c>
      <c r="E843" s="7" t="s">
        <v>13</v>
      </c>
      <c r="F843" s="6">
        <v>40049</v>
      </c>
      <c r="G843" s="6">
        <v>0</v>
      </c>
      <c r="H843" s="6">
        <v>1</v>
      </c>
      <c r="I843" s="6">
        <f t="shared" si="13"/>
        <v>1</v>
      </c>
      <c r="J843" s="9">
        <v>41242</v>
      </c>
      <c r="K843" s="6">
        <v>61</v>
      </c>
      <c r="L843">
        <f>VLOOKUP(A843,Marketing_df2!$A$1:$F$2241,3,FALSE)</f>
        <v>65</v>
      </c>
      <c r="M843">
        <f>VLOOKUP(A843,Marketing_df2!$A$1:$F$2241,4,FALSE)</f>
        <v>44</v>
      </c>
      <c r="N843">
        <f>VLOOKUP(A843,Marketing_df2!$A$1:$F$2241,5,FALSE)</f>
        <v>3</v>
      </c>
      <c r="O843">
        <f>VLOOKUP(A843,Marketing_df2!$A$1:$F$2241,6,FALSE)</f>
        <v>6</v>
      </c>
    </row>
    <row r="844" spans="1:15" ht="12.5">
      <c r="A844" s="6">
        <v>842</v>
      </c>
      <c r="B844" s="6">
        <v>3312</v>
      </c>
      <c r="C844" s="6">
        <v>1988</v>
      </c>
      <c r="D844" s="7" t="s">
        <v>9</v>
      </c>
      <c r="E844" s="7" t="s">
        <v>10</v>
      </c>
      <c r="F844" s="6">
        <v>34176</v>
      </c>
      <c r="G844" s="6">
        <v>1</v>
      </c>
      <c r="H844" s="6">
        <v>0</v>
      </c>
      <c r="I844" s="6">
        <f t="shared" si="13"/>
        <v>1</v>
      </c>
      <c r="J844" s="8">
        <v>41771</v>
      </c>
      <c r="K844" s="6">
        <v>12</v>
      </c>
      <c r="L844">
        <f>VLOOKUP(A844,Marketing_df2!$A$1:$F$2241,3,FALSE)</f>
        <v>7</v>
      </c>
      <c r="M844">
        <f>VLOOKUP(A844,Marketing_df2!$A$1:$F$2241,4,FALSE)</f>
        <v>14</v>
      </c>
      <c r="N844">
        <f>VLOOKUP(A844,Marketing_df2!$A$1:$F$2241,5,FALSE)</f>
        <v>3</v>
      </c>
      <c r="O844">
        <f>VLOOKUP(A844,Marketing_df2!$A$1:$F$2241,6,FALSE)</f>
        <v>4</v>
      </c>
    </row>
    <row r="845" spans="1:15" ht="12.5">
      <c r="A845" s="6">
        <v>843</v>
      </c>
      <c r="B845" s="6">
        <v>11121</v>
      </c>
      <c r="C845" s="6">
        <v>1981</v>
      </c>
      <c r="D845" s="7" t="s">
        <v>9</v>
      </c>
      <c r="E845" s="7" t="s">
        <v>13</v>
      </c>
      <c r="F845" s="6">
        <v>19419</v>
      </c>
      <c r="G845" s="6">
        <v>1</v>
      </c>
      <c r="H845" s="6">
        <v>0</v>
      </c>
      <c r="I845" s="6">
        <f t="shared" si="13"/>
        <v>1</v>
      </c>
      <c r="J845" s="9">
        <v>41223</v>
      </c>
      <c r="K845" s="6">
        <v>76</v>
      </c>
      <c r="L845">
        <f>VLOOKUP(A845,Marketing_df2!$A$1:$F$2241,3,FALSE)</f>
        <v>14</v>
      </c>
      <c r="M845">
        <f>VLOOKUP(A845,Marketing_df2!$A$1:$F$2241,4,FALSE)</f>
        <v>3</v>
      </c>
      <c r="N845">
        <f>VLOOKUP(A845,Marketing_df2!$A$1:$F$2241,5,FALSE)</f>
        <v>4</v>
      </c>
      <c r="O845">
        <f>VLOOKUP(A845,Marketing_df2!$A$1:$F$2241,6,FALSE)</f>
        <v>3</v>
      </c>
    </row>
    <row r="846" spans="1:15" ht="12.5">
      <c r="A846" s="6">
        <v>844</v>
      </c>
      <c r="B846" s="6">
        <v>5332</v>
      </c>
      <c r="C846" s="6">
        <v>1960</v>
      </c>
      <c r="D846" s="7" t="s">
        <v>17</v>
      </c>
      <c r="E846" s="7" t="s">
        <v>13</v>
      </c>
      <c r="F846" s="6">
        <v>82504</v>
      </c>
      <c r="G846" s="6">
        <v>0</v>
      </c>
      <c r="H846" s="6">
        <v>0</v>
      </c>
      <c r="I846" s="6">
        <f t="shared" si="13"/>
        <v>0</v>
      </c>
      <c r="J846" s="8">
        <v>41482</v>
      </c>
      <c r="K846" s="6">
        <v>2</v>
      </c>
      <c r="L846">
        <f>VLOOKUP(A846,Marketing_df2!$A$1:$F$2241,3,FALSE)</f>
        <v>50</v>
      </c>
      <c r="M846">
        <f>VLOOKUP(A846,Marketing_df2!$A$1:$F$2241,4,FALSE)</f>
        <v>35</v>
      </c>
      <c r="N846">
        <f>VLOOKUP(A846,Marketing_df2!$A$1:$F$2241,5,FALSE)</f>
        <v>3</v>
      </c>
      <c r="O846">
        <f>VLOOKUP(A846,Marketing_df2!$A$1:$F$2241,6,FALSE)</f>
        <v>7</v>
      </c>
    </row>
    <row r="847" spans="1:15" ht="12.5">
      <c r="A847" s="6">
        <v>845</v>
      </c>
      <c r="B847" s="6">
        <v>5848</v>
      </c>
      <c r="C847" s="6">
        <v>1970</v>
      </c>
      <c r="D847" s="7" t="s">
        <v>9</v>
      </c>
      <c r="E847" s="7" t="s">
        <v>11</v>
      </c>
      <c r="F847" s="6">
        <v>81205</v>
      </c>
      <c r="G847" s="6">
        <v>0</v>
      </c>
      <c r="H847" s="6">
        <v>0</v>
      </c>
      <c r="I847" s="6">
        <f t="shared" si="13"/>
        <v>0</v>
      </c>
      <c r="J847" s="8">
        <v>41652</v>
      </c>
      <c r="K847" s="6">
        <v>43</v>
      </c>
      <c r="L847">
        <f>VLOOKUP(A847,Marketing_df2!$A$1:$F$2241,3,FALSE)</f>
        <v>74</v>
      </c>
      <c r="M847">
        <f>VLOOKUP(A847,Marketing_df2!$A$1:$F$2241,4,FALSE)</f>
        <v>55</v>
      </c>
      <c r="N847">
        <f>VLOOKUP(A847,Marketing_df2!$A$1:$F$2241,5,FALSE)</f>
        <v>5</v>
      </c>
      <c r="O847">
        <f>VLOOKUP(A847,Marketing_df2!$A$1:$F$2241,6,FALSE)</f>
        <v>7</v>
      </c>
    </row>
    <row r="848" spans="1:15" ht="12.5">
      <c r="A848" s="6">
        <v>846</v>
      </c>
      <c r="B848" s="6">
        <v>10343</v>
      </c>
      <c r="C848" s="6">
        <v>1991</v>
      </c>
      <c r="D848" s="7" t="s">
        <v>17</v>
      </c>
      <c r="E848" s="7" t="s">
        <v>10</v>
      </c>
      <c r="F848" s="6">
        <v>61618</v>
      </c>
      <c r="G848" s="6">
        <v>0</v>
      </c>
      <c r="H848" s="6">
        <v>0</v>
      </c>
      <c r="I848" s="6">
        <f t="shared" si="13"/>
        <v>0</v>
      </c>
      <c r="J848" s="8">
        <v>41181</v>
      </c>
      <c r="K848" s="6">
        <v>27</v>
      </c>
      <c r="L848">
        <f>VLOOKUP(A848,Marketing_df2!$A$1:$F$2241,3,FALSE)</f>
        <v>91</v>
      </c>
      <c r="M848">
        <f>VLOOKUP(A848,Marketing_df2!$A$1:$F$2241,4,FALSE)</f>
        <v>45</v>
      </c>
      <c r="N848">
        <f>VLOOKUP(A848,Marketing_df2!$A$1:$F$2241,5,FALSE)</f>
        <v>3</v>
      </c>
      <c r="O848">
        <f>VLOOKUP(A848,Marketing_df2!$A$1:$F$2241,6,FALSE)</f>
        <v>8</v>
      </c>
    </row>
    <row r="849" spans="1:15" ht="12.5">
      <c r="A849" s="6">
        <v>847</v>
      </c>
      <c r="B849" s="6">
        <v>5935</v>
      </c>
      <c r="C849" s="6">
        <v>1956</v>
      </c>
      <c r="D849" s="7" t="s">
        <v>14</v>
      </c>
      <c r="E849" s="7" t="s">
        <v>10</v>
      </c>
      <c r="F849" s="6">
        <v>55284</v>
      </c>
      <c r="G849" s="6">
        <v>0</v>
      </c>
      <c r="H849" s="6">
        <v>1</v>
      </c>
      <c r="I849" s="6">
        <f t="shared" si="13"/>
        <v>1</v>
      </c>
      <c r="J849" s="9">
        <v>41267</v>
      </c>
      <c r="K849" s="6">
        <v>60</v>
      </c>
      <c r="L849">
        <f>VLOOKUP(A849,Marketing_df2!$A$1:$F$2241,3,FALSE)</f>
        <v>7</v>
      </c>
      <c r="M849">
        <f>VLOOKUP(A849,Marketing_df2!$A$1:$F$2241,4,FALSE)</f>
        <v>7</v>
      </c>
      <c r="N849">
        <f>VLOOKUP(A849,Marketing_df2!$A$1:$F$2241,5,FALSE)</f>
        <v>7</v>
      </c>
      <c r="O849">
        <f>VLOOKUP(A849,Marketing_df2!$A$1:$F$2241,6,FALSE)</f>
        <v>8</v>
      </c>
    </row>
    <row r="850" spans="1:15" ht="12.5">
      <c r="A850" s="6">
        <v>848</v>
      </c>
      <c r="B850" s="6">
        <v>2895</v>
      </c>
      <c r="C850" s="6">
        <v>1963</v>
      </c>
      <c r="D850" s="7" t="s">
        <v>9</v>
      </c>
      <c r="E850" s="7" t="s">
        <v>10</v>
      </c>
      <c r="F850" s="6">
        <v>49980</v>
      </c>
      <c r="G850" s="6">
        <v>0</v>
      </c>
      <c r="H850" s="6">
        <v>1</v>
      </c>
      <c r="I850" s="6">
        <f t="shared" si="13"/>
        <v>1</v>
      </c>
      <c r="J850" s="9">
        <v>41570</v>
      </c>
      <c r="K850" s="6">
        <v>79</v>
      </c>
      <c r="L850">
        <f>VLOOKUP(A850,Marketing_df2!$A$1:$F$2241,3,FALSE)</f>
        <v>1</v>
      </c>
      <c r="M850">
        <f>VLOOKUP(A850,Marketing_df2!$A$1:$F$2241,4,FALSE)</f>
        <v>9</v>
      </c>
      <c r="N850">
        <f>VLOOKUP(A850,Marketing_df2!$A$1:$F$2241,5,FALSE)</f>
        <v>3</v>
      </c>
      <c r="O850">
        <f>VLOOKUP(A850,Marketing_df2!$A$1:$F$2241,6,FALSE)</f>
        <v>5</v>
      </c>
    </row>
    <row r="851" spans="1:15" ht="12.5">
      <c r="A851" s="6">
        <v>849</v>
      </c>
      <c r="B851" s="6">
        <v>10262</v>
      </c>
      <c r="C851" s="6">
        <v>1980</v>
      </c>
      <c r="D851" s="7" t="s">
        <v>9</v>
      </c>
      <c r="E851" s="7" t="s">
        <v>13</v>
      </c>
      <c r="F851" s="6">
        <v>15072</v>
      </c>
      <c r="G851" s="6">
        <v>2</v>
      </c>
      <c r="H851" s="6">
        <v>0</v>
      </c>
      <c r="I851" s="6">
        <f t="shared" si="13"/>
        <v>2</v>
      </c>
      <c r="J851" s="8">
        <v>41404</v>
      </c>
      <c r="K851" s="6">
        <v>96</v>
      </c>
      <c r="L851">
        <f>VLOOKUP(A851,Marketing_df2!$A$1:$F$2241,3,FALSE)</f>
        <v>2</v>
      </c>
      <c r="M851">
        <f>VLOOKUP(A851,Marketing_df2!$A$1:$F$2241,4,FALSE)</f>
        <v>10</v>
      </c>
      <c r="N851">
        <f>VLOOKUP(A851,Marketing_df2!$A$1:$F$2241,5,FALSE)</f>
        <v>3</v>
      </c>
      <c r="O851">
        <f>VLOOKUP(A851,Marketing_df2!$A$1:$F$2241,6,FALSE)</f>
        <v>3</v>
      </c>
    </row>
    <row r="852" spans="1:15" ht="12.5">
      <c r="A852" s="6">
        <v>850</v>
      </c>
      <c r="B852" s="6">
        <v>7848</v>
      </c>
      <c r="C852" s="6">
        <v>1974</v>
      </c>
      <c r="D852" s="7" t="s">
        <v>9</v>
      </c>
      <c r="E852" s="7" t="s">
        <v>10</v>
      </c>
      <c r="F852" s="6">
        <v>49166</v>
      </c>
      <c r="G852" s="6">
        <v>0</v>
      </c>
      <c r="H852" s="6">
        <v>1</v>
      </c>
      <c r="I852" s="6">
        <f t="shared" si="13"/>
        <v>1</v>
      </c>
      <c r="J852" s="8">
        <v>41438</v>
      </c>
      <c r="K852" s="6">
        <v>17</v>
      </c>
      <c r="L852">
        <f>VLOOKUP(A852,Marketing_df2!$A$1:$F$2241,3,FALSE)</f>
        <v>2</v>
      </c>
      <c r="M852">
        <f>VLOOKUP(A852,Marketing_df2!$A$1:$F$2241,4,FALSE)</f>
        <v>0</v>
      </c>
      <c r="N852">
        <f>VLOOKUP(A852,Marketing_df2!$A$1:$F$2241,5,FALSE)</f>
        <v>5</v>
      </c>
      <c r="O852">
        <f>VLOOKUP(A852,Marketing_df2!$A$1:$F$2241,6,FALSE)</f>
        <v>3</v>
      </c>
    </row>
    <row r="853" spans="1:15" ht="12.5">
      <c r="A853" s="6">
        <v>851</v>
      </c>
      <c r="B853" s="6">
        <v>9477</v>
      </c>
      <c r="C853" s="6">
        <v>1954</v>
      </c>
      <c r="D853" s="7" t="s">
        <v>12</v>
      </c>
      <c r="E853" s="7" t="s">
        <v>13</v>
      </c>
      <c r="F853" s="6">
        <v>65324</v>
      </c>
      <c r="G853" s="6">
        <v>0</v>
      </c>
      <c r="H853" s="6">
        <v>1</v>
      </c>
      <c r="I853" s="6">
        <f t="shared" si="13"/>
        <v>1</v>
      </c>
      <c r="J853" s="8">
        <v>41650</v>
      </c>
      <c r="K853" s="6">
        <v>0</v>
      </c>
      <c r="L853">
        <f>VLOOKUP(A853,Marketing_df2!$A$1:$F$2241,3,FALSE)</f>
        <v>0</v>
      </c>
      <c r="M853">
        <f>VLOOKUP(A853,Marketing_df2!$A$1:$F$2241,4,FALSE)</f>
        <v>32</v>
      </c>
      <c r="N853">
        <f>VLOOKUP(A853,Marketing_df2!$A$1:$F$2241,5,FALSE)</f>
        <v>6</v>
      </c>
      <c r="O853">
        <f>VLOOKUP(A853,Marketing_df2!$A$1:$F$2241,6,FALSE)</f>
        <v>9</v>
      </c>
    </row>
    <row r="854" spans="1:15" ht="12.5">
      <c r="A854" s="6">
        <v>852</v>
      </c>
      <c r="B854" s="6">
        <v>4856</v>
      </c>
      <c r="C854" s="6">
        <v>1957</v>
      </c>
      <c r="D854" s="7" t="s">
        <v>17</v>
      </c>
      <c r="E854" s="7" t="s">
        <v>13</v>
      </c>
      <c r="F854" s="6">
        <v>82347</v>
      </c>
      <c r="G854" s="6">
        <v>0</v>
      </c>
      <c r="H854" s="6">
        <v>0</v>
      </c>
      <c r="I854" s="6">
        <f t="shared" si="13"/>
        <v>0</v>
      </c>
      <c r="J854" s="8">
        <v>41219</v>
      </c>
      <c r="K854" s="6">
        <v>38</v>
      </c>
      <c r="L854">
        <f>VLOOKUP(A854,Marketing_df2!$A$1:$F$2241,3,FALSE)</f>
        <v>54</v>
      </c>
      <c r="M854">
        <f>VLOOKUP(A854,Marketing_df2!$A$1:$F$2241,4,FALSE)</f>
        <v>133</v>
      </c>
      <c r="N854">
        <f>VLOOKUP(A854,Marketing_df2!$A$1:$F$2241,5,FALSE)</f>
        <v>7</v>
      </c>
      <c r="O854">
        <f>VLOOKUP(A854,Marketing_df2!$A$1:$F$2241,6,FALSE)</f>
        <v>10</v>
      </c>
    </row>
    <row r="855" spans="1:15" ht="12.5">
      <c r="A855" s="6">
        <v>853</v>
      </c>
      <c r="B855" s="6">
        <v>7186</v>
      </c>
      <c r="C855" s="6">
        <v>1966</v>
      </c>
      <c r="D855" s="7" t="s">
        <v>12</v>
      </c>
      <c r="E855" s="7" t="s">
        <v>11</v>
      </c>
      <c r="F855" s="6">
        <v>30843</v>
      </c>
      <c r="G855" s="6">
        <v>1</v>
      </c>
      <c r="H855" s="6">
        <v>1</v>
      </c>
      <c r="I855" s="6">
        <f t="shared" si="13"/>
        <v>2</v>
      </c>
      <c r="J855" s="8">
        <v>41785</v>
      </c>
      <c r="K855" s="6">
        <v>43</v>
      </c>
      <c r="L855">
        <f>VLOOKUP(A855,Marketing_df2!$A$1:$F$2241,3,FALSE)</f>
        <v>0</v>
      </c>
      <c r="M855">
        <f>VLOOKUP(A855,Marketing_df2!$A$1:$F$2241,4,FALSE)</f>
        <v>0</v>
      </c>
      <c r="N855">
        <f>VLOOKUP(A855,Marketing_df2!$A$1:$F$2241,5,FALSE)</f>
        <v>1</v>
      </c>
      <c r="O855">
        <f>VLOOKUP(A855,Marketing_df2!$A$1:$F$2241,6,FALSE)</f>
        <v>2</v>
      </c>
    </row>
    <row r="856" spans="1:15" ht="12.5">
      <c r="A856" s="6">
        <v>854</v>
      </c>
      <c r="B856" s="6">
        <v>5794</v>
      </c>
      <c r="C856" s="6">
        <v>1974</v>
      </c>
      <c r="D856" s="7" t="s">
        <v>12</v>
      </c>
      <c r="E856" s="7" t="s">
        <v>13</v>
      </c>
      <c r="F856" s="6">
        <v>46374</v>
      </c>
      <c r="G856" s="6">
        <v>0</v>
      </c>
      <c r="H856" s="6">
        <v>1</v>
      </c>
      <c r="I856" s="6">
        <f t="shared" si="13"/>
        <v>1</v>
      </c>
      <c r="J856" s="8">
        <v>41715</v>
      </c>
      <c r="K856" s="6">
        <v>1</v>
      </c>
      <c r="L856">
        <f>VLOOKUP(A856,Marketing_df2!$A$1:$F$2241,3,FALSE)</f>
        <v>0</v>
      </c>
      <c r="M856">
        <f>VLOOKUP(A856,Marketing_df2!$A$1:$F$2241,4,FALSE)</f>
        <v>0</v>
      </c>
      <c r="N856">
        <f>VLOOKUP(A856,Marketing_df2!$A$1:$F$2241,5,FALSE)</f>
        <v>7</v>
      </c>
      <c r="O856">
        <f>VLOOKUP(A856,Marketing_df2!$A$1:$F$2241,6,FALSE)</f>
        <v>7</v>
      </c>
    </row>
    <row r="857" spans="1:15" ht="12.5">
      <c r="A857" s="6">
        <v>855</v>
      </c>
      <c r="B857" s="6">
        <v>1456</v>
      </c>
      <c r="C857" s="6">
        <v>1979</v>
      </c>
      <c r="D857" s="7" t="s">
        <v>9</v>
      </c>
      <c r="E857" s="7" t="s">
        <v>10</v>
      </c>
      <c r="F857" s="6">
        <v>60474</v>
      </c>
      <c r="G857" s="6">
        <v>0</v>
      </c>
      <c r="H857" s="6">
        <v>1</v>
      </c>
      <c r="I857" s="6">
        <f t="shared" si="13"/>
        <v>1</v>
      </c>
      <c r="J857" s="8">
        <v>41365</v>
      </c>
      <c r="K857" s="6">
        <v>25</v>
      </c>
      <c r="L857">
        <f>VLOOKUP(A857,Marketing_df2!$A$1:$F$2241,3,FALSE)</f>
        <v>199</v>
      </c>
      <c r="M857">
        <f>VLOOKUP(A857,Marketing_df2!$A$1:$F$2241,4,FALSE)</f>
        <v>9</v>
      </c>
      <c r="N857">
        <f>VLOOKUP(A857,Marketing_df2!$A$1:$F$2241,5,FALSE)</f>
        <v>10</v>
      </c>
      <c r="O857">
        <f>VLOOKUP(A857,Marketing_df2!$A$1:$F$2241,6,FALSE)</f>
        <v>12</v>
      </c>
    </row>
    <row r="858" spans="1:15" ht="12.5">
      <c r="A858" s="6">
        <v>856</v>
      </c>
      <c r="B858" s="6">
        <v>4877</v>
      </c>
      <c r="C858" s="6">
        <v>1973</v>
      </c>
      <c r="D858" s="7" t="s">
        <v>14</v>
      </c>
      <c r="E858" s="7" t="s">
        <v>13</v>
      </c>
      <c r="F858" s="6">
        <v>38576</v>
      </c>
      <c r="G858" s="6">
        <v>0</v>
      </c>
      <c r="H858" s="6">
        <v>1</v>
      </c>
      <c r="I858" s="6">
        <f t="shared" si="13"/>
        <v>1</v>
      </c>
      <c r="J858" s="8">
        <v>41702</v>
      </c>
      <c r="K858" s="6">
        <v>2</v>
      </c>
      <c r="L858">
        <f>VLOOKUP(A858,Marketing_df2!$A$1:$F$2241,3,FALSE)</f>
        <v>0</v>
      </c>
      <c r="M858">
        <f>VLOOKUP(A858,Marketing_df2!$A$1:$F$2241,4,FALSE)</f>
        <v>0</v>
      </c>
      <c r="N858">
        <f>VLOOKUP(A858,Marketing_df2!$A$1:$F$2241,5,FALSE)</f>
        <v>1</v>
      </c>
      <c r="O858">
        <f>VLOOKUP(A858,Marketing_df2!$A$1:$F$2241,6,FALSE)</f>
        <v>3</v>
      </c>
    </row>
    <row r="859" spans="1:15" ht="12.5">
      <c r="A859" s="6">
        <v>857</v>
      </c>
      <c r="B859" s="6">
        <v>425</v>
      </c>
      <c r="C859" s="6">
        <v>1985</v>
      </c>
      <c r="D859" s="7" t="s">
        <v>9</v>
      </c>
      <c r="E859" s="7" t="s">
        <v>13</v>
      </c>
      <c r="F859" s="6">
        <v>55357</v>
      </c>
      <c r="G859" s="6">
        <v>2</v>
      </c>
      <c r="H859" s="6">
        <v>0</v>
      </c>
      <c r="I859" s="6">
        <f t="shared" si="13"/>
        <v>2</v>
      </c>
      <c r="J859" s="8">
        <v>41324</v>
      </c>
      <c r="K859" s="6">
        <v>66</v>
      </c>
      <c r="L859">
        <f>VLOOKUP(A859,Marketing_df2!$A$1:$F$2241,3,FALSE)</f>
        <v>64</v>
      </c>
      <c r="M859">
        <f>VLOOKUP(A859,Marketing_df2!$A$1:$F$2241,4,FALSE)</f>
        <v>25</v>
      </c>
      <c r="N859">
        <f>VLOOKUP(A859,Marketing_df2!$A$1:$F$2241,5,FALSE)</f>
        <v>6</v>
      </c>
      <c r="O859">
        <f>VLOOKUP(A859,Marketing_df2!$A$1:$F$2241,6,FALSE)</f>
        <v>11</v>
      </c>
    </row>
    <row r="860" spans="1:15" ht="12.5">
      <c r="A860" s="6">
        <v>858</v>
      </c>
      <c r="B860" s="6">
        <v>3007</v>
      </c>
      <c r="C860" s="6">
        <v>1966</v>
      </c>
      <c r="D860" s="7" t="s">
        <v>9</v>
      </c>
      <c r="E860" s="7" t="s">
        <v>11</v>
      </c>
      <c r="F860" s="6">
        <v>37758</v>
      </c>
      <c r="G860" s="6">
        <v>1</v>
      </c>
      <c r="H860" s="6">
        <v>1</v>
      </c>
      <c r="I860" s="6">
        <f t="shared" si="13"/>
        <v>2</v>
      </c>
      <c r="J860" s="8">
        <v>41186</v>
      </c>
      <c r="K860" s="6">
        <v>49</v>
      </c>
      <c r="L860">
        <f>VLOOKUP(A860,Marketing_df2!$A$1:$F$2241,3,FALSE)</f>
        <v>2</v>
      </c>
      <c r="M860">
        <f>VLOOKUP(A860,Marketing_df2!$A$1:$F$2241,4,FALSE)</f>
        <v>0</v>
      </c>
      <c r="N860">
        <f>VLOOKUP(A860,Marketing_df2!$A$1:$F$2241,5,FALSE)</f>
        <v>1</v>
      </c>
      <c r="O860">
        <f>VLOOKUP(A860,Marketing_df2!$A$1:$F$2241,6,FALSE)</f>
        <v>3</v>
      </c>
    </row>
    <row r="861" spans="1:15" ht="12.5">
      <c r="A861" s="6">
        <v>859</v>
      </c>
      <c r="B861" s="6">
        <v>1031</v>
      </c>
      <c r="C861" s="6">
        <v>1989</v>
      </c>
      <c r="D861" s="7" t="s">
        <v>17</v>
      </c>
      <c r="E861" s="7" t="s">
        <v>13</v>
      </c>
      <c r="F861" s="6">
        <v>85710</v>
      </c>
      <c r="G861" s="6">
        <v>0</v>
      </c>
      <c r="H861" s="6">
        <v>0</v>
      </c>
      <c r="I861" s="6">
        <f t="shared" si="13"/>
        <v>0</v>
      </c>
      <c r="J861" s="8">
        <v>41399</v>
      </c>
      <c r="K861" s="6">
        <v>5</v>
      </c>
      <c r="L861">
        <f>VLOOKUP(A861,Marketing_df2!$A$1:$F$2241,3,FALSE)</f>
        <v>20</v>
      </c>
      <c r="M861">
        <f>VLOOKUP(A861,Marketing_df2!$A$1:$F$2241,4,FALSE)</f>
        <v>30</v>
      </c>
      <c r="N861">
        <f>VLOOKUP(A861,Marketing_df2!$A$1:$F$2241,5,FALSE)</f>
        <v>6</v>
      </c>
      <c r="O861">
        <f>VLOOKUP(A861,Marketing_df2!$A$1:$F$2241,6,FALSE)</f>
        <v>10</v>
      </c>
    </row>
    <row r="862" spans="1:15" ht="12.5">
      <c r="A862" s="6">
        <v>860</v>
      </c>
      <c r="B862" s="6">
        <v>4297</v>
      </c>
      <c r="C862" s="6">
        <v>1969</v>
      </c>
      <c r="D862" s="7" t="s">
        <v>9</v>
      </c>
      <c r="E862" s="7" t="s">
        <v>11</v>
      </c>
      <c r="F862" s="6">
        <v>23228</v>
      </c>
      <c r="G862" s="6">
        <v>1</v>
      </c>
      <c r="H862" s="6">
        <v>0</v>
      </c>
      <c r="I862" s="6">
        <f t="shared" si="13"/>
        <v>1</v>
      </c>
      <c r="J862" s="8">
        <v>41665</v>
      </c>
      <c r="K862" s="6">
        <v>71</v>
      </c>
      <c r="L862">
        <f>VLOOKUP(A862,Marketing_df2!$A$1:$F$2241,3,FALSE)</f>
        <v>2</v>
      </c>
      <c r="M862">
        <f>VLOOKUP(A862,Marketing_df2!$A$1:$F$2241,4,FALSE)</f>
        <v>1</v>
      </c>
      <c r="N862">
        <f>VLOOKUP(A862,Marketing_df2!$A$1:$F$2241,5,FALSE)</f>
        <v>2</v>
      </c>
      <c r="O862">
        <f>VLOOKUP(A862,Marketing_df2!$A$1:$F$2241,6,FALSE)</f>
        <v>3</v>
      </c>
    </row>
    <row r="863" spans="1:15" ht="12.5">
      <c r="A863" s="6">
        <v>861</v>
      </c>
      <c r="B863" s="6">
        <v>807</v>
      </c>
      <c r="C863" s="6">
        <v>1969</v>
      </c>
      <c r="D863" s="7" t="s">
        <v>14</v>
      </c>
      <c r="E863" s="7" t="s">
        <v>11</v>
      </c>
      <c r="F863" s="6">
        <v>44602</v>
      </c>
      <c r="G863" s="6">
        <v>1</v>
      </c>
      <c r="H863" s="6">
        <v>1</v>
      </c>
      <c r="I863" s="6">
        <f t="shared" si="13"/>
        <v>2</v>
      </c>
      <c r="J863" s="8">
        <v>41685</v>
      </c>
      <c r="K863" s="6">
        <v>35</v>
      </c>
      <c r="L863">
        <f>VLOOKUP(A863,Marketing_df2!$A$1:$F$2241,3,FALSE)</f>
        <v>2</v>
      </c>
      <c r="M863">
        <f>VLOOKUP(A863,Marketing_df2!$A$1:$F$2241,4,FALSE)</f>
        <v>0</v>
      </c>
      <c r="N863">
        <f>VLOOKUP(A863,Marketing_df2!$A$1:$F$2241,5,FALSE)</f>
        <v>6</v>
      </c>
      <c r="O863">
        <f>VLOOKUP(A863,Marketing_df2!$A$1:$F$2241,6,FALSE)</f>
        <v>4</v>
      </c>
    </row>
    <row r="864" spans="1:15" ht="12.5">
      <c r="A864" s="6">
        <v>862</v>
      </c>
      <c r="B864" s="6">
        <v>9553</v>
      </c>
      <c r="C864" s="6">
        <v>1987</v>
      </c>
      <c r="D864" s="7" t="s">
        <v>9</v>
      </c>
      <c r="E864" s="7" t="s">
        <v>13</v>
      </c>
      <c r="F864" s="6">
        <v>7500</v>
      </c>
      <c r="G864" s="6">
        <v>0</v>
      </c>
      <c r="H864" s="6">
        <v>0</v>
      </c>
      <c r="I864" s="6">
        <f t="shared" si="13"/>
        <v>0</v>
      </c>
      <c r="J864" s="8">
        <v>41283</v>
      </c>
      <c r="K864" s="6">
        <v>94</v>
      </c>
      <c r="L864">
        <f>VLOOKUP(A864,Marketing_df2!$A$1:$F$2241,3,FALSE)</f>
        <v>2</v>
      </c>
      <c r="M864">
        <f>VLOOKUP(A864,Marketing_df2!$A$1:$F$2241,4,FALSE)</f>
        <v>1</v>
      </c>
      <c r="N864">
        <f>VLOOKUP(A864,Marketing_df2!$A$1:$F$2241,5,FALSE)</f>
        <v>0</v>
      </c>
      <c r="O864">
        <f>VLOOKUP(A864,Marketing_df2!$A$1:$F$2241,6,FALSE)</f>
        <v>3</v>
      </c>
    </row>
    <row r="865" spans="1:15" ht="12.5">
      <c r="A865" s="6">
        <v>863</v>
      </c>
      <c r="B865" s="6">
        <v>4271</v>
      </c>
      <c r="C865" s="6">
        <v>1989</v>
      </c>
      <c r="D865" s="7" t="s">
        <v>17</v>
      </c>
      <c r="E865" s="7" t="s">
        <v>11</v>
      </c>
      <c r="F865" s="6">
        <v>38683</v>
      </c>
      <c r="G865" s="6">
        <v>1</v>
      </c>
      <c r="H865" s="6">
        <v>0</v>
      </c>
      <c r="I865" s="6">
        <f t="shared" si="13"/>
        <v>1</v>
      </c>
      <c r="J865" s="8">
        <v>41186</v>
      </c>
      <c r="K865" s="6">
        <v>80</v>
      </c>
      <c r="L865">
        <f>VLOOKUP(A865,Marketing_df2!$A$1:$F$2241,3,FALSE)</f>
        <v>35</v>
      </c>
      <c r="M865">
        <f>VLOOKUP(A865,Marketing_df2!$A$1:$F$2241,4,FALSE)</f>
        <v>41</v>
      </c>
      <c r="N865">
        <f>VLOOKUP(A865,Marketing_df2!$A$1:$F$2241,5,FALSE)</f>
        <v>4</v>
      </c>
      <c r="O865">
        <f>VLOOKUP(A865,Marketing_df2!$A$1:$F$2241,6,FALSE)</f>
        <v>6</v>
      </c>
    </row>
    <row r="866" spans="1:15" ht="12.5">
      <c r="A866" s="6">
        <v>864</v>
      </c>
      <c r="B866" s="6">
        <v>4120</v>
      </c>
      <c r="C866" s="6">
        <v>1975</v>
      </c>
      <c r="D866" s="7" t="s">
        <v>17</v>
      </c>
      <c r="E866" s="7" t="s">
        <v>10</v>
      </c>
      <c r="F866" s="6">
        <v>49514</v>
      </c>
      <c r="G866" s="6">
        <v>1</v>
      </c>
      <c r="H866" s="6">
        <v>0</v>
      </c>
      <c r="I866" s="6">
        <f t="shared" si="13"/>
        <v>1</v>
      </c>
      <c r="J866" s="9">
        <v>41625</v>
      </c>
      <c r="K866" s="6">
        <v>61</v>
      </c>
      <c r="L866">
        <f>VLOOKUP(A866,Marketing_df2!$A$1:$F$2241,3,FALSE)</f>
        <v>39</v>
      </c>
      <c r="M866">
        <f>VLOOKUP(A866,Marketing_df2!$A$1:$F$2241,4,FALSE)</f>
        <v>13</v>
      </c>
      <c r="N866">
        <f>VLOOKUP(A866,Marketing_df2!$A$1:$F$2241,5,FALSE)</f>
        <v>6</v>
      </c>
      <c r="O866">
        <f>VLOOKUP(A866,Marketing_df2!$A$1:$F$2241,6,FALSE)</f>
        <v>4</v>
      </c>
    </row>
    <row r="867" spans="1:15" ht="12.5">
      <c r="A867" s="6">
        <v>865</v>
      </c>
      <c r="B867" s="6">
        <v>2036</v>
      </c>
      <c r="C867" s="6">
        <v>1973</v>
      </c>
      <c r="D867" s="7" t="s">
        <v>12</v>
      </c>
      <c r="E867" s="7" t="s">
        <v>11</v>
      </c>
      <c r="F867" s="6">
        <v>57906</v>
      </c>
      <c r="G867" s="6">
        <v>0</v>
      </c>
      <c r="H867" s="6">
        <v>1</v>
      </c>
      <c r="I867" s="6">
        <f t="shared" si="13"/>
        <v>1</v>
      </c>
      <c r="J867" s="8">
        <v>41436</v>
      </c>
      <c r="K867" s="6">
        <v>29</v>
      </c>
      <c r="L867">
        <f>VLOOKUP(A867,Marketing_df2!$A$1:$F$2241,3,FALSE)</f>
        <v>11</v>
      </c>
      <c r="M867">
        <f>VLOOKUP(A867,Marketing_df2!$A$1:$F$2241,4,FALSE)</f>
        <v>3</v>
      </c>
      <c r="N867">
        <f>VLOOKUP(A867,Marketing_df2!$A$1:$F$2241,5,FALSE)</f>
        <v>4</v>
      </c>
      <c r="O867">
        <f>VLOOKUP(A867,Marketing_df2!$A$1:$F$2241,6,FALSE)</f>
        <v>8</v>
      </c>
    </row>
    <row r="868" spans="1:15" ht="12.5">
      <c r="A868" s="6">
        <v>866</v>
      </c>
      <c r="B868" s="6">
        <v>115</v>
      </c>
      <c r="C868" s="6">
        <v>1966</v>
      </c>
      <c r="D868" s="7" t="s">
        <v>14</v>
      </c>
      <c r="E868" s="7" t="s">
        <v>10</v>
      </c>
      <c r="F868" s="6">
        <v>43456</v>
      </c>
      <c r="G868" s="6">
        <v>0</v>
      </c>
      <c r="H868" s="6">
        <v>1</v>
      </c>
      <c r="I868" s="6">
        <f t="shared" si="13"/>
        <v>1</v>
      </c>
      <c r="J868" s="8">
        <v>41359</v>
      </c>
      <c r="K868" s="6">
        <v>0</v>
      </c>
      <c r="L868">
        <f>VLOOKUP(A868,Marketing_df2!$A$1:$F$2241,3,FALSE)</f>
        <v>11</v>
      </c>
      <c r="M868">
        <f>VLOOKUP(A868,Marketing_df2!$A$1:$F$2241,4,FALSE)</f>
        <v>7</v>
      </c>
      <c r="N868">
        <f>VLOOKUP(A868,Marketing_df2!$A$1:$F$2241,5,FALSE)</f>
        <v>5</v>
      </c>
      <c r="O868">
        <f>VLOOKUP(A868,Marketing_df2!$A$1:$F$2241,6,FALSE)</f>
        <v>8</v>
      </c>
    </row>
    <row r="869" spans="1:15" ht="12.5">
      <c r="A869" s="6">
        <v>867</v>
      </c>
      <c r="B869" s="6">
        <v>4259</v>
      </c>
      <c r="C869" s="6">
        <v>1986</v>
      </c>
      <c r="D869" s="7" t="s">
        <v>14</v>
      </c>
      <c r="E869" s="7" t="s">
        <v>10</v>
      </c>
      <c r="F869" s="6">
        <v>19485</v>
      </c>
      <c r="G869" s="6">
        <v>2</v>
      </c>
      <c r="H869" s="6">
        <v>0</v>
      </c>
      <c r="I869" s="6">
        <f t="shared" si="13"/>
        <v>2</v>
      </c>
      <c r="J869" s="8">
        <v>41541</v>
      </c>
      <c r="K869" s="6">
        <v>80</v>
      </c>
      <c r="L869">
        <f>VLOOKUP(A869,Marketing_df2!$A$1:$F$2241,3,FALSE)</f>
        <v>0</v>
      </c>
      <c r="M869">
        <f>VLOOKUP(A869,Marketing_df2!$A$1:$F$2241,4,FALSE)</f>
        <v>0</v>
      </c>
      <c r="N869">
        <f>VLOOKUP(A869,Marketing_df2!$A$1:$F$2241,5,FALSE)</f>
        <v>1</v>
      </c>
      <c r="O869">
        <f>VLOOKUP(A869,Marketing_df2!$A$1:$F$2241,6,FALSE)</f>
        <v>2</v>
      </c>
    </row>
    <row r="870" spans="1:15" ht="12.5">
      <c r="A870" s="6">
        <v>868</v>
      </c>
      <c r="B870" s="6">
        <v>8687</v>
      </c>
      <c r="C870" s="6">
        <v>1978</v>
      </c>
      <c r="D870" s="7" t="s">
        <v>9</v>
      </c>
      <c r="E870" s="7" t="s">
        <v>11</v>
      </c>
      <c r="F870" s="6">
        <v>53172</v>
      </c>
      <c r="G870" s="6">
        <v>0</v>
      </c>
      <c r="H870" s="6">
        <v>1</v>
      </c>
      <c r="I870" s="6">
        <f t="shared" si="13"/>
        <v>1</v>
      </c>
      <c r="J870" s="8">
        <v>41400</v>
      </c>
      <c r="K870" s="6">
        <v>54</v>
      </c>
      <c r="L870">
        <f>VLOOKUP(A870,Marketing_df2!$A$1:$F$2241,3,FALSE)</f>
        <v>62</v>
      </c>
      <c r="M870">
        <f>VLOOKUP(A870,Marketing_df2!$A$1:$F$2241,4,FALSE)</f>
        <v>20</v>
      </c>
      <c r="N870">
        <f>VLOOKUP(A870,Marketing_df2!$A$1:$F$2241,5,FALSE)</f>
        <v>2</v>
      </c>
      <c r="O870">
        <f>VLOOKUP(A870,Marketing_df2!$A$1:$F$2241,6,FALSE)</f>
        <v>8</v>
      </c>
    </row>
    <row r="871" spans="1:15" ht="12.5">
      <c r="A871" s="6">
        <v>869</v>
      </c>
      <c r="B871" s="6">
        <v>2447</v>
      </c>
      <c r="C871" s="6">
        <v>1979</v>
      </c>
      <c r="D871" s="7" t="s">
        <v>9</v>
      </c>
      <c r="E871" s="7" t="s">
        <v>11</v>
      </c>
      <c r="F871" s="6">
        <v>30545</v>
      </c>
      <c r="G871" s="6">
        <v>1</v>
      </c>
      <c r="H871" s="6">
        <v>0</v>
      </c>
      <c r="I871" s="6">
        <f t="shared" si="13"/>
        <v>1</v>
      </c>
      <c r="J871" s="9">
        <v>41199</v>
      </c>
      <c r="K871" s="6">
        <v>71</v>
      </c>
      <c r="L871">
        <f>VLOOKUP(A871,Marketing_df2!$A$1:$F$2241,3,FALSE)</f>
        <v>12</v>
      </c>
      <c r="M871">
        <f>VLOOKUP(A871,Marketing_df2!$A$1:$F$2241,4,FALSE)</f>
        <v>7</v>
      </c>
      <c r="N871">
        <f>VLOOKUP(A871,Marketing_df2!$A$1:$F$2241,5,FALSE)</f>
        <v>2</v>
      </c>
      <c r="O871">
        <f>VLOOKUP(A871,Marketing_df2!$A$1:$F$2241,6,FALSE)</f>
        <v>3</v>
      </c>
    </row>
    <row r="872" spans="1:15" ht="12.5">
      <c r="A872" s="6">
        <v>870</v>
      </c>
      <c r="B872" s="6">
        <v>10140</v>
      </c>
      <c r="C872" s="6">
        <v>1983</v>
      </c>
      <c r="D872" s="7" t="s">
        <v>12</v>
      </c>
      <c r="E872" s="7" t="s">
        <v>11</v>
      </c>
      <c r="F872" s="6">
        <v>70123</v>
      </c>
      <c r="G872" s="6">
        <v>0</v>
      </c>
      <c r="H872" s="6">
        <v>0</v>
      </c>
      <c r="I872" s="6">
        <f t="shared" si="13"/>
        <v>0</v>
      </c>
      <c r="J872" s="8">
        <v>41545</v>
      </c>
      <c r="K872" s="6">
        <v>27</v>
      </c>
      <c r="L872">
        <f>VLOOKUP(A872,Marketing_df2!$A$1:$F$2241,3,FALSE)</f>
        <v>0</v>
      </c>
      <c r="M872">
        <f>VLOOKUP(A872,Marketing_df2!$A$1:$F$2241,4,FALSE)</f>
        <v>0</v>
      </c>
      <c r="N872">
        <f>VLOOKUP(A872,Marketing_df2!$A$1:$F$2241,5,FALSE)</f>
        <v>5</v>
      </c>
      <c r="O872">
        <f>VLOOKUP(A872,Marketing_df2!$A$1:$F$2241,6,FALSE)</f>
        <v>4</v>
      </c>
    </row>
    <row r="873" spans="1:15" ht="12.5">
      <c r="A873" s="6">
        <v>871</v>
      </c>
      <c r="B873" s="6">
        <v>9353</v>
      </c>
      <c r="C873" s="6">
        <v>1959</v>
      </c>
      <c r="D873" s="7" t="s">
        <v>9</v>
      </c>
      <c r="E873" s="7" t="s">
        <v>10</v>
      </c>
      <c r="F873" s="6">
        <v>62450</v>
      </c>
      <c r="G873" s="6">
        <v>0</v>
      </c>
      <c r="H873" s="6">
        <v>1</v>
      </c>
      <c r="I873" s="6">
        <f t="shared" si="13"/>
        <v>1</v>
      </c>
      <c r="J873" s="8">
        <v>41645</v>
      </c>
      <c r="K873" s="6">
        <v>61</v>
      </c>
      <c r="L873">
        <f>VLOOKUP(A873,Marketing_df2!$A$1:$F$2241,3,FALSE)</f>
        <v>47</v>
      </c>
      <c r="M873">
        <f>VLOOKUP(A873,Marketing_df2!$A$1:$F$2241,4,FALSE)</f>
        <v>66</v>
      </c>
      <c r="N873">
        <f>VLOOKUP(A873,Marketing_df2!$A$1:$F$2241,5,FALSE)</f>
        <v>5</v>
      </c>
      <c r="O873">
        <f>VLOOKUP(A873,Marketing_df2!$A$1:$F$2241,6,FALSE)</f>
        <v>4</v>
      </c>
    </row>
    <row r="874" spans="1:15" ht="12.5">
      <c r="A874" s="6">
        <v>872</v>
      </c>
      <c r="B874" s="6">
        <v>3623</v>
      </c>
      <c r="C874" s="6">
        <v>1976</v>
      </c>
      <c r="D874" s="7" t="s">
        <v>9</v>
      </c>
      <c r="E874" s="7" t="s">
        <v>11</v>
      </c>
      <c r="F874" s="6">
        <v>21675</v>
      </c>
      <c r="G874" s="6">
        <v>1</v>
      </c>
      <c r="H874" s="6">
        <v>0</v>
      </c>
      <c r="I874" s="6">
        <f t="shared" si="13"/>
        <v>1</v>
      </c>
      <c r="J874" s="8">
        <v>41801</v>
      </c>
      <c r="K874" s="6">
        <v>55</v>
      </c>
      <c r="L874">
        <f>VLOOKUP(A874,Marketing_df2!$A$1:$F$2241,3,FALSE)</f>
        <v>0</v>
      </c>
      <c r="M874">
        <f>VLOOKUP(A874,Marketing_df2!$A$1:$F$2241,4,FALSE)</f>
        <v>4</v>
      </c>
      <c r="N874">
        <f>VLOOKUP(A874,Marketing_df2!$A$1:$F$2241,5,FALSE)</f>
        <v>4</v>
      </c>
      <c r="O874">
        <f>VLOOKUP(A874,Marketing_df2!$A$1:$F$2241,6,FALSE)</f>
        <v>3</v>
      </c>
    </row>
    <row r="875" spans="1:15" ht="12.5">
      <c r="A875" s="6">
        <v>873</v>
      </c>
      <c r="B875" s="6">
        <v>738</v>
      </c>
      <c r="C875" s="6">
        <v>1981</v>
      </c>
      <c r="D875" s="7" t="s">
        <v>17</v>
      </c>
      <c r="E875" s="7" t="s">
        <v>10</v>
      </c>
      <c r="F875" s="6">
        <v>42395</v>
      </c>
      <c r="G875" s="6">
        <v>1</v>
      </c>
      <c r="H875" s="6">
        <v>1</v>
      </c>
      <c r="I875" s="6">
        <f t="shared" si="13"/>
        <v>2</v>
      </c>
      <c r="J875" s="8">
        <v>41733</v>
      </c>
      <c r="K875" s="6">
        <v>35</v>
      </c>
      <c r="L875">
        <f>VLOOKUP(A875,Marketing_df2!$A$1:$F$2241,3,FALSE)</f>
        <v>13</v>
      </c>
      <c r="M875">
        <f>VLOOKUP(A875,Marketing_df2!$A$1:$F$2241,4,FALSE)</f>
        <v>15</v>
      </c>
      <c r="N875">
        <f>VLOOKUP(A875,Marketing_df2!$A$1:$F$2241,5,FALSE)</f>
        <v>3</v>
      </c>
      <c r="O875">
        <f>VLOOKUP(A875,Marketing_df2!$A$1:$F$2241,6,FALSE)</f>
        <v>4</v>
      </c>
    </row>
    <row r="876" spans="1:15" ht="12.5">
      <c r="A876" s="6">
        <v>874</v>
      </c>
      <c r="B876" s="6">
        <v>7631</v>
      </c>
      <c r="C876" s="6">
        <v>1978</v>
      </c>
      <c r="D876" s="7" t="s">
        <v>14</v>
      </c>
      <c r="E876" s="7" t="s">
        <v>11</v>
      </c>
      <c r="F876" s="6">
        <v>61346</v>
      </c>
      <c r="G876" s="6">
        <v>1</v>
      </c>
      <c r="H876" s="6">
        <v>0</v>
      </c>
      <c r="I876" s="6">
        <f t="shared" si="13"/>
        <v>1</v>
      </c>
      <c r="J876" s="8">
        <v>41553</v>
      </c>
      <c r="K876" s="6">
        <v>34</v>
      </c>
      <c r="L876">
        <f>VLOOKUP(A876,Marketing_df2!$A$1:$F$2241,3,FALSE)</f>
        <v>58</v>
      </c>
      <c r="M876">
        <f>VLOOKUP(A876,Marketing_df2!$A$1:$F$2241,4,FALSE)</f>
        <v>16</v>
      </c>
      <c r="N876">
        <f>VLOOKUP(A876,Marketing_df2!$A$1:$F$2241,5,FALSE)</f>
        <v>5</v>
      </c>
      <c r="O876">
        <f>VLOOKUP(A876,Marketing_df2!$A$1:$F$2241,6,FALSE)</f>
        <v>10</v>
      </c>
    </row>
    <row r="877" spans="1:15" ht="12.5">
      <c r="A877" s="6">
        <v>875</v>
      </c>
      <c r="B877" s="6">
        <v>4789</v>
      </c>
      <c r="C877" s="6">
        <v>1953</v>
      </c>
      <c r="D877" s="7" t="s">
        <v>9</v>
      </c>
      <c r="E877" s="7" t="s">
        <v>11</v>
      </c>
      <c r="F877" s="6">
        <v>80812</v>
      </c>
      <c r="G877" s="6">
        <v>0</v>
      </c>
      <c r="H877" s="6">
        <v>0</v>
      </c>
      <c r="I877" s="6">
        <f t="shared" si="13"/>
        <v>0</v>
      </c>
      <c r="J877" s="8">
        <v>41534</v>
      </c>
      <c r="K877" s="6">
        <v>95</v>
      </c>
      <c r="L877">
        <f>VLOOKUP(A877,Marketing_df2!$A$1:$F$2241,3,FALSE)</f>
        <v>22</v>
      </c>
      <c r="M877">
        <f>VLOOKUP(A877,Marketing_df2!$A$1:$F$2241,4,FALSE)</f>
        <v>143</v>
      </c>
      <c r="N877">
        <f>VLOOKUP(A877,Marketing_df2!$A$1:$F$2241,5,FALSE)</f>
        <v>4</v>
      </c>
      <c r="O877">
        <f>VLOOKUP(A877,Marketing_df2!$A$1:$F$2241,6,FALSE)</f>
        <v>5</v>
      </c>
    </row>
    <row r="878" spans="1:15" ht="12.5">
      <c r="A878" s="6">
        <v>876</v>
      </c>
      <c r="B878" s="6">
        <v>773</v>
      </c>
      <c r="C878" s="6">
        <v>1971</v>
      </c>
      <c r="D878" s="7" t="s">
        <v>14</v>
      </c>
      <c r="E878" s="7" t="s">
        <v>15</v>
      </c>
      <c r="F878" s="6">
        <v>42835</v>
      </c>
      <c r="G878" s="6">
        <v>1</v>
      </c>
      <c r="H878" s="6">
        <v>1</v>
      </c>
      <c r="I878" s="6">
        <f t="shared" si="13"/>
        <v>2</v>
      </c>
      <c r="J878" s="8">
        <v>41455</v>
      </c>
      <c r="K878" s="6">
        <v>64</v>
      </c>
      <c r="L878">
        <f>VLOOKUP(A878,Marketing_df2!$A$1:$F$2241,3,FALSE)</f>
        <v>4</v>
      </c>
      <c r="M878">
        <f>VLOOKUP(A878,Marketing_df2!$A$1:$F$2241,4,FALSE)</f>
        <v>9</v>
      </c>
      <c r="N878">
        <f>VLOOKUP(A878,Marketing_df2!$A$1:$F$2241,5,FALSE)</f>
        <v>6</v>
      </c>
      <c r="O878">
        <f>VLOOKUP(A878,Marketing_df2!$A$1:$F$2241,6,FALSE)</f>
        <v>4</v>
      </c>
    </row>
    <row r="879" spans="1:15" ht="12.5">
      <c r="A879" s="6">
        <v>877</v>
      </c>
      <c r="B879" s="6">
        <v>10602</v>
      </c>
      <c r="C879" s="6">
        <v>1983</v>
      </c>
      <c r="D879" s="7" t="s">
        <v>9</v>
      </c>
      <c r="E879" s="7" t="s">
        <v>13</v>
      </c>
      <c r="F879" s="6">
        <v>39922</v>
      </c>
      <c r="G879" s="6">
        <v>1</v>
      </c>
      <c r="H879" s="6">
        <v>0</v>
      </c>
      <c r="I879" s="6">
        <f t="shared" si="13"/>
        <v>1</v>
      </c>
      <c r="J879" s="8">
        <v>41319</v>
      </c>
      <c r="K879" s="6">
        <v>30</v>
      </c>
      <c r="L879">
        <f>VLOOKUP(A879,Marketing_df2!$A$1:$F$2241,3,FALSE)</f>
        <v>12</v>
      </c>
      <c r="M879">
        <f>VLOOKUP(A879,Marketing_df2!$A$1:$F$2241,4,FALSE)</f>
        <v>1</v>
      </c>
      <c r="N879">
        <f>VLOOKUP(A879,Marketing_df2!$A$1:$F$2241,5,FALSE)</f>
        <v>3</v>
      </c>
      <c r="O879">
        <f>VLOOKUP(A879,Marketing_df2!$A$1:$F$2241,6,FALSE)</f>
        <v>4</v>
      </c>
    </row>
    <row r="880" spans="1:15" ht="12.5">
      <c r="A880" s="6">
        <v>878</v>
      </c>
      <c r="B880" s="6">
        <v>1446</v>
      </c>
      <c r="C880" s="6">
        <v>1956</v>
      </c>
      <c r="D880" s="7" t="s">
        <v>14</v>
      </c>
      <c r="E880" s="7" t="s">
        <v>10</v>
      </c>
      <c r="F880" s="6">
        <v>86424</v>
      </c>
      <c r="G880" s="6">
        <v>0</v>
      </c>
      <c r="H880" s="6">
        <v>0</v>
      </c>
      <c r="I880" s="6">
        <f t="shared" si="13"/>
        <v>0</v>
      </c>
      <c r="J880" s="8">
        <v>41734</v>
      </c>
      <c r="K880" s="6">
        <v>12</v>
      </c>
      <c r="L880">
        <f>VLOOKUP(A880,Marketing_df2!$A$1:$F$2241,3,FALSE)</f>
        <v>68</v>
      </c>
      <c r="M880">
        <f>VLOOKUP(A880,Marketing_df2!$A$1:$F$2241,4,FALSE)</f>
        <v>45</v>
      </c>
      <c r="N880">
        <f>VLOOKUP(A880,Marketing_df2!$A$1:$F$2241,5,FALSE)</f>
        <v>6</v>
      </c>
      <c r="O880">
        <f>VLOOKUP(A880,Marketing_df2!$A$1:$F$2241,6,FALSE)</f>
        <v>12</v>
      </c>
    </row>
    <row r="881" spans="1:15" ht="12.5">
      <c r="A881" s="6">
        <v>879</v>
      </c>
      <c r="B881" s="6">
        <v>3270</v>
      </c>
      <c r="C881" s="6">
        <v>1978</v>
      </c>
      <c r="D881" s="7" t="s">
        <v>17</v>
      </c>
      <c r="E881" s="7" t="s">
        <v>11</v>
      </c>
      <c r="F881" s="6">
        <v>17117</v>
      </c>
      <c r="G881" s="6">
        <v>1</v>
      </c>
      <c r="H881" s="6">
        <v>0</v>
      </c>
      <c r="I881" s="6">
        <f t="shared" si="13"/>
        <v>1</v>
      </c>
      <c r="J881" s="8">
        <v>41291</v>
      </c>
      <c r="K881" s="6">
        <v>96</v>
      </c>
      <c r="L881">
        <f>VLOOKUP(A881,Marketing_df2!$A$1:$F$2241,3,FALSE)</f>
        <v>23</v>
      </c>
      <c r="M881">
        <f>VLOOKUP(A881,Marketing_df2!$A$1:$F$2241,4,FALSE)</f>
        <v>18</v>
      </c>
      <c r="N881">
        <f>VLOOKUP(A881,Marketing_df2!$A$1:$F$2241,5,FALSE)</f>
        <v>3</v>
      </c>
      <c r="O881">
        <f>VLOOKUP(A881,Marketing_df2!$A$1:$F$2241,6,FALSE)</f>
        <v>3</v>
      </c>
    </row>
    <row r="882" spans="1:15" ht="12.5">
      <c r="A882" s="6">
        <v>880</v>
      </c>
      <c r="B882" s="6">
        <v>8443</v>
      </c>
      <c r="C882" s="6">
        <v>1972</v>
      </c>
      <c r="D882" s="7" t="s">
        <v>9</v>
      </c>
      <c r="E882" s="7" t="s">
        <v>10</v>
      </c>
      <c r="F882" s="6">
        <v>24762</v>
      </c>
      <c r="G882" s="6">
        <v>1</v>
      </c>
      <c r="H882" s="6">
        <v>0</v>
      </c>
      <c r="I882" s="6">
        <f t="shared" si="13"/>
        <v>1</v>
      </c>
      <c r="J882" s="8">
        <v>41680</v>
      </c>
      <c r="K882" s="6">
        <v>16</v>
      </c>
      <c r="L882">
        <f>VLOOKUP(A882,Marketing_df2!$A$1:$F$2241,3,FALSE)</f>
        <v>10</v>
      </c>
      <c r="M882">
        <f>VLOOKUP(A882,Marketing_df2!$A$1:$F$2241,4,FALSE)</f>
        <v>15</v>
      </c>
      <c r="N882">
        <f>VLOOKUP(A882,Marketing_df2!$A$1:$F$2241,5,FALSE)</f>
        <v>3</v>
      </c>
      <c r="O882">
        <f>VLOOKUP(A882,Marketing_df2!$A$1:$F$2241,6,FALSE)</f>
        <v>2</v>
      </c>
    </row>
    <row r="883" spans="1:15" ht="12.5">
      <c r="A883" s="6">
        <v>881</v>
      </c>
      <c r="B883" s="6">
        <v>9653</v>
      </c>
      <c r="C883" s="6">
        <v>1975</v>
      </c>
      <c r="D883" s="7" t="s">
        <v>9</v>
      </c>
      <c r="E883" s="7" t="s">
        <v>13</v>
      </c>
      <c r="F883" s="6">
        <v>35797</v>
      </c>
      <c r="G883" s="6">
        <v>0</v>
      </c>
      <c r="H883" s="6">
        <v>1</v>
      </c>
      <c r="I883" s="6">
        <f t="shared" si="13"/>
        <v>1</v>
      </c>
      <c r="J883" s="9">
        <v>41198</v>
      </c>
      <c r="K883" s="6">
        <v>16</v>
      </c>
      <c r="L883">
        <f>VLOOKUP(A883,Marketing_df2!$A$1:$F$2241,3,FALSE)</f>
        <v>1</v>
      </c>
      <c r="M883">
        <f>VLOOKUP(A883,Marketing_df2!$A$1:$F$2241,4,FALSE)</f>
        <v>1</v>
      </c>
      <c r="N883">
        <f>VLOOKUP(A883,Marketing_df2!$A$1:$F$2241,5,FALSE)</f>
        <v>2</v>
      </c>
      <c r="O883">
        <f>VLOOKUP(A883,Marketing_df2!$A$1:$F$2241,6,FALSE)</f>
        <v>3</v>
      </c>
    </row>
    <row r="884" spans="1:15" ht="12.5">
      <c r="A884" s="6">
        <v>882</v>
      </c>
      <c r="B884" s="6">
        <v>8916</v>
      </c>
      <c r="C884" s="6">
        <v>1975</v>
      </c>
      <c r="D884" s="7" t="s">
        <v>9</v>
      </c>
      <c r="E884" s="7" t="s">
        <v>15</v>
      </c>
      <c r="F884" s="6">
        <v>36627</v>
      </c>
      <c r="G884" s="6">
        <v>2</v>
      </c>
      <c r="H884" s="6">
        <v>0</v>
      </c>
      <c r="I884" s="6">
        <f t="shared" si="13"/>
        <v>2</v>
      </c>
      <c r="J884" s="8">
        <v>41478</v>
      </c>
      <c r="K884" s="6">
        <v>78</v>
      </c>
      <c r="L884">
        <f>VLOOKUP(A884,Marketing_df2!$A$1:$F$2241,3,FALSE)</f>
        <v>1</v>
      </c>
      <c r="M884">
        <f>VLOOKUP(A884,Marketing_df2!$A$1:$F$2241,4,FALSE)</f>
        <v>0</v>
      </c>
      <c r="N884">
        <f>VLOOKUP(A884,Marketing_df2!$A$1:$F$2241,5,FALSE)</f>
        <v>0</v>
      </c>
      <c r="O884">
        <f>VLOOKUP(A884,Marketing_df2!$A$1:$F$2241,6,FALSE)</f>
        <v>3</v>
      </c>
    </row>
    <row r="885" spans="1:15" ht="12.5">
      <c r="A885" s="6">
        <v>883</v>
      </c>
      <c r="B885" s="6">
        <v>8017</v>
      </c>
      <c r="C885" s="6">
        <v>1981</v>
      </c>
      <c r="D885" s="7" t="s">
        <v>17</v>
      </c>
      <c r="E885" s="7" t="s">
        <v>13</v>
      </c>
      <c r="F885" s="6">
        <v>51111</v>
      </c>
      <c r="G885" s="6">
        <v>1</v>
      </c>
      <c r="H885" s="6">
        <v>1</v>
      </c>
      <c r="I885" s="6">
        <f t="shared" si="13"/>
        <v>2</v>
      </c>
      <c r="J885" s="8">
        <v>41809</v>
      </c>
      <c r="K885" s="6">
        <v>83</v>
      </c>
      <c r="L885">
        <f>VLOOKUP(A885,Marketing_df2!$A$1:$F$2241,3,FALSE)</f>
        <v>0</v>
      </c>
      <c r="M885">
        <f>VLOOKUP(A885,Marketing_df2!$A$1:$F$2241,4,FALSE)</f>
        <v>5</v>
      </c>
      <c r="N885">
        <f>VLOOKUP(A885,Marketing_df2!$A$1:$F$2241,5,FALSE)</f>
        <v>2</v>
      </c>
      <c r="O885">
        <f>VLOOKUP(A885,Marketing_df2!$A$1:$F$2241,6,FALSE)</f>
        <v>3</v>
      </c>
    </row>
    <row r="886" spans="1:15" ht="12.5">
      <c r="A886" s="6">
        <v>884</v>
      </c>
      <c r="B886" s="6">
        <v>5830</v>
      </c>
      <c r="C886" s="6">
        <v>1972</v>
      </c>
      <c r="D886" s="7" t="s">
        <v>12</v>
      </c>
      <c r="E886" s="7" t="s">
        <v>10</v>
      </c>
      <c r="F886" s="6">
        <v>86857</v>
      </c>
      <c r="G886" s="6">
        <v>0</v>
      </c>
      <c r="H886" s="6">
        <v>0</v>
      </c>
      <c r="I886" s="6">
        <f t="shared" si="13"/>
        <v>0</v>
      </c>
      <c r="J886" s="8">
        <v>41164</v>
      </c>
      <c r="K886" s="6">
        <v>96</v>
      </c>
      <c r="L886">
        <f>VLOOKUP(A886,Marketing_df2!$A$1:$F$2241,3,FALSE)</f>
        <v>102</v>
      </c>
      <c r="M886">
        <f>VLOOKUP(A886,Marketing_df2!$A$1:$F$2241,4,FALSE)</f>
        <v>102</v>
      </c>
      <c r="N886">
        <f>VLOOKUP(A886,Marketing_df2!$A$1:$F$2241,5,FALSE)</f>
        <v>5</v>
      </c>
      <c r="O886">
        <f>VLOOKUP(A886,Marketing_df2!$A$1:$F$2241,6,FALSE)</f>
        <v>10</v>
      </c>
    </row>
    <row r="887" spans="1:15" ht="12.5">
      <c r="A887" s="6">
        <v>885</v>
      </c>
      <c r="B887" s="6">
        <v>4597</v>
      </c>
      <c r="C887" s="6">
        <v>1970</v>
      </c>
      <c r="D887" s="7" t="s">
        <v>12</v>
      </c>
      <c r="E887" s="7" t="s">
        <v>11</v>
      </c>
      <c r="F887" s="6">
        <v>82072</v>
      </c>
      <c r="G887" s="6">
        <v>0</v>
      </c>
      <c r="H887" s="6">
        <v>0</v>
      </c>
      <c r="I887" s="6">
        <f t="shared" si="13"/>
        <v>0</v>
      </c>
      <c r="J887" s="8">
        <v>41457</v>
      </c>
      <c r="K887" s="6">
        <v>67</v>
      </c>
      <c r="L887">
        <f>VLOOKUP(A887,Marketing_df2!$A$1:$F$2241,3,FALSE)</f>
        <v>55</v>
      </c>
      <c r="M887">
        <f>VLOOKUP(A887,Marketing_df2!$A$1:$F$2241,4,FALSE)</f>
        <v>92</v>
      </c>
      <c r="N887">
        <f>VLOOKUP(A887,Marketing_df2!$A$1:$F$2241,5,FALSE)</f>
        <v>3</v>
      </c>
      <c r="O887">
        <f>VLOOKUP(A887,Marketing_df2!$A$1:$F$2241,6,FALSE)</f>
        <v>13</v>
      </c>
    </row>
    <row r="888" spans="1:15" ht="12.5">
      <c r="A888" s="6">
        <v>886</v>
      </c>
      <c r="B888" s="6">
        <v>7023</v>
      </c>
      <c r="C888" s="6">
        <v>1953</v>
      </c>
      <c r="D888" s="7" t="s">
        <v>12</v>
      </c>
      <c r="E888" s="7" t="s">
        <v>10</v>
      </c>
      <c r="F888" s="6">
        <v>46231</v>
      </c>
      <c r="G888" s="6">
        <v>2</v>
      </c>
      <c r="H888" s="6">
        <v>1</v>
      </c>
      <c r="I888" s="6">
        <f t="shared" si="13"/>
        <v>3</v>
      </c>
      <c r="J888" s="9">
        <v>41239</v>
      </c>
      <c r="K888" s="6">
        <v>87</v>
      </c>
      <c r="L888">
        <f>VLOOKUP(A888,Marketing_df2!$A$1:$F$2241,3,FALSE)</f>
        <v>2</v>
      </c>
      <c r="M888">
        <f>VLOOKUP(A888,Marketing_df2!$A$1:$F$2241,4,FALSE)</f>
        <v>5</v>
      </c>
      <c r="N888">
        <f>VLOOKUP(A888,Marketing_df2!$A$1:$F$2241,5,FALSE)</f>
        <v>6</v>
      </c>
      <c r="O888">
        <f>VLOOKUP(A888,Marketing_df2!$A$1:$F$2241,6,FALSE)</f>
        <v>4</v>
      </c>
    </row>
    <row r="889" spans="1:15" ht="12.5">
      <c r="A889" s="6">
        <v>887</v>
      </c>
      <c r="B889" s="6">
        <v>8086</v>
      </c>
      <c r="C889" s="6">
        <v>1959</v>
      </c>
      <c r="D889" s="7" t="s">
        <v>9</v>
      </c>
      <c r="E889" s="7" t="s">
        <v>13</v>
      </c>
      <c r="F889" s="6">
        <v>42243</v>
      </c>
      <c r="G889" s="6">
        <v>1</v>
      </c>
      <c r="H889" s="6">
        <v>1</v>
      </c>
      <c r="I889" s="6">
        <f t="shared" si="13"/>
        <v>2</v>
      </c>
      <c r="J889" s="9">
        <v>41619</v>
      </c>
      <c r="K889" s="6">
        <v>34</v>
      </c>
      <c r="L889">
        <f>VLOOKUP(A889,Marketing_df2!$A$1:$F$2241,3,FALSE)</f>
        <v>0</v>
      </c>
      <c r="M889">
        <f>VLOOKUP(A889,Marketing_df2!$A$1:$F$2241,4,FALSE)</f>
        <v>0</v>
      </c>
      <c r="N889">
        <f>VLOOKUP(A889,Marketing_df2!$A$1:$F$2241,5,FALSE)</f>
        <v>2</v>
      </c>
      <c r="O889">
        <f>VLOOKUP(A889,Marketing_df2!$A$1:$F$2241,6,FALSE)</f>
        <v>3</v>
      </c>
    </row>
    <row r="890" spans="1:15" ht="12.5">
      <c r="A890" s="6">
        <v>888</v>
      </c>
      <c r="B890" s="6">
        <v>8825</v>
      </c>
      <c r="C890" s="6">
        <v>1962</v>
      </c>
      <c r="D890" s="7" t="s">
        <v>9</v>
      </c>
      <c r="E890" s="7" t="s">
        <v>11</v>
      </c>
      <c r="F890" s="6">
        <v>51195</v>
      </c>
      <c r="G890" s="6">
        <v>1</v>
      </c>
      <c r="H890" s="6">
        <v>1</v>
      </c>
      <c r="I890" s="6">
        <f t="shared" si="13"/>
        <v>2</v>
      </c>
      <c r="J890" s="8">
        <v>41365</v>
      </c>
      <c r="K890" s="6">
        <v>46</v>
      </c>
      <c r="L890">
        <f>VLOOKUP(A890,Marketing_df2!$A$1:$F$2241,3,FALSE)</f>
        <v>14</v>
      </c>
      <c r="M890">
        <f>VLOOKUP(A890,Marketing_df2!$A$1:$F$2241,4,FALSE)</f>
        <v>24</v>
      </c>
      <c r="N890">
        <f>VLOOKUP(A890,Marketing_df2!$A$1:$F$2241,5,FALSE)</f>
        <v>9</v>
      </c>
      <c r="O890">
        <f>VLOOKUP(A890,Marketing_df2!$A$1:$F$2241,6,FALSE)</f>
        <v>5</v>
      </c>
    </row>
    <row r="891" spans="1:15" ht="12.5">
      <c r="A891" s="6">
        <v>889</v>
      </c>
      <c r="B891" s="6">
        <v>2930</v>
      </c>
      <c r="C891" s="6">
        <v>1978</v>
      </c>
      <c r="D891" s="7" t="s">
        <v>14</v>
      </c>
      <c r="E891" s="7" t="s">
        <v>10</v>
      </c>
      <c r="F891" s="6">
        <v>68092</v>
      </c>
      <c r="G891" s="6">
        <v>0</v>
      </c>
      <c r="H891" s="6">
        <v>0</v>
      </c>
      <c r="I891" s="6">
        <f t="shared" si="13"/>
        <v>0</v>
      </c>
      <c r="J891" s="9">
        <v>41624</v>
      </c>
      <c r="K891" s="6">
        <v>7</v>
      </c>
      <c r="L891">
        <f>VLOOKUP(A891,Marketing_df2!$A$1:$F$2241,3,FALSE)</f>
        <v>60</v>
      </c>
      <c r="M891">
        <f>VLOOKUP(A891,Marketing_df2!$A$1:$F$2241,4,FALSE)</f>
        <v>36</v>
      </c>
      <c r="N891">
        <f>VLOOKUP(A891,Marketing_df2!$A$1:$F$2241,5,FALSE)</f>
        <v>2</v>
      </c>
      <c r="O891">
        <f>VLOOKUP(A891,Marketing_df2!$A$1:$F$2241,6,FALSE)</f>
        <v>10</v>
      </c>
    </row>
    <row r="892" spans="1:15" ht="12.5">
      <c r="A892" s="6">
        <v>890</v>
      </c>
      <c r="B892" s="6">
        <v>1928</v>
      </c>
      <c r="C892" s="6">
        <v>1973</v>
      </c>
      <c r="D892" s="7" t="s">
        <v>9</v>
      </c>
      <c r="E892" s="7" t="s">
        <v>13</v>
      </c>
      <c r="F892" s="6">
        <v>31814</v>
      </c>
      <c r="G892" s="6">
        <v>1</v>
      </c>
      <c r="H892" s="6">
        <v>0</v>
      </c>
      <c r="I892" s="6">
        <f t="shared" si="13"/>
        <v>1</v>
      </c>
      <c r="J892" s="8">
        <v>41314</v>
      </c>
      <c r="K892" s="6">
        <v>73</v>
      </c>
      <c r="L892">
        <f>VLOOKUP(A892,Marketing_df2!$A$1:$F$2241,3,FALSE)</f>
        <v>3</v>
      </c>
      <c r="M892">
        <f>VLOOKUP(A892,Marketing_df2!$A$1:$F$2241,4,FALSE)</f>
        <v>1</v>
      </c>
      <c r="N892">
        <f>VLOOKUP(A892,Marketing_df2!$A$1:$F$2241,5,FALSE)</f>
        <v>2</v>
      </c>
      <c r="O892">
        <f>VLOOKUP(A892,Marketing_df2!$A$1:$F$2241,6,FALSE)</f>
        <v>3</v>
      </c>
    </row>
    <row r="893" spans="1:15" ht="12.5">
      <c r="A893" s="6">
        <v>891</v>
      </c>
      <c r="B893" s="6">
        <v>7108</v>
      </c>
      <c r="C893" s="6">
        <v>1965</v>
      </c>
      <c r="D893" s="7" t="s">
        <v>14</v>
      </c>
      <c r="E893" s="7" t="s">
        <v>18</v>
      </c>
      <c r="F893" s="6">
        <v>51390</v>
      </c>
      <c r="G893" s="6">
        <v>1</v>
      </c>
      <c r="H893" s="6">
        <v>1</v>
      </c>
      <c r="I893" s="6">
        <f t="shared" si="13"/>
        <v>2</v>
      </c>
      <c r="J893" s="8">
        <v>41160</v>
      </c>
      <c r="K893" s="6">
        <v>54</v>
      </c>
      <c r="L893">
        <f>VLOOKUP(A893,Marketing_df2!$A$1:$F$2241,3,FALSE)</f>
        <v>20</v>
      </c>
      <c r="M893">
        <f>VLOOKUP(A893,Marketing_df2!$A$1:$F$2241,4,FALSE)</f>
        <v>2</v>
      </c>
      <c r="N893">
        <f>VLOOKUP(A893,Marketing_df2!$A$1:$F$2241,5,FALSE)</f>
        <v>5</v>
      </c>
      <c r="O893">
        <f>VLOOKUP(A893,Marketing_df2!$A$1:$F$2241,6,FALSE)</f>
        <v>5</v>
      </c>
    </row>
    <row r="894" spans="1:15" ht="12.5">
      <c r="A894" s="6">
        <v>892</v>
      </c>
      <c r="B894" s="6">
        <v>10925</v>
      </c>
      <c r="C894" s="6">
        <v>1983</v>
      </c>
      <c r="D894" s="7" t="s">
        <v>9</v>
      </c>
      <c r="E894" s="7" t="s">
        <v>13</v>
      </c>
      <c r="F894" s="6">
        <v>76630</v>
      </c>
      <c r="G894" s="6">
        <v>0</v>
      </c>
      <c r="H894" s="6">
        <v>0</v>
      </c>
      <c r="I894" s="6">
        <f t="shared" si="13"/>
        <v>0</v>
      </c>
      <c r="J894" s="8">
        <v>41653</v>
      </c>
      <c r="K894" s="6">
        <v>93</v>
      </c>
      <c r="L894">
        <f>VLOOKUP(A894,Marketing_df2!$A$1:$F$2241,3,FALSE)</f>
        <v>31</v>
      </c>
      <c r="M894">
        <f>VLOOKUP(A894,Marketing_df2!$A$1:$F$2241,4,FALSE)</f>
        <v>56</v>
      </c>
      <c r="N894">
        <f>VLOOKUP(A894,Marketing_df2!$A$1:$F$2241,5,FALSE)</f>
        <v>3</v>
      </c>
      <c r="O894">
        <f>VLOOKUP(A894,Marketing_df2!$A$1:$F$2241,6,FALSE)</f>
        <v>11</v>
      </c>
    </row>
    <row r="895" spans="1:15" ht="12.5">
      <c r="A895" s="6">
        <v>893</v>
      </c>
      <c r="B895" s="6">
        <v>9960</v>
      </c>
      <c r="C895" s="6">
        <v>1991</v>
      </c>
      <c r="D895" s="7" t="s">
        <v>16</v>
      </c>
      <c r="E895" s="7" t="s">
        <v>10</v>
      </c>
      <c r="F895" s="6">
        <v>26868</v>
      </c>
      <c r="G895" s="6">
        <v>1</v>
      </c>
      <c r="H895" s="6">
        <v>0</v>
      </c>
      <c r="I895" s="6">
        <f t="shared" si="13"/>
        <v>1</v>
      </c>
      <c r="J895" s="8">
        <v>41759</v>
      </c>
      <c r="K895" s="6">
        <v>52</v>
      </c>
      <c r="L895">
        <f>VLOOKUP(A895,Marketing_df2!$A$1:$F$2241,3,FALSE)</f>
        <v>0</v>
      </c>
      <c r="M895">
        <f>VLOOKUP(A895,Marketing_df2!$A$1:$F$2241,4,FALSE)</f>
        <v>3</v>
      </c>
      <c r="N895">
        <f>VLOOKUP(A895,Marketing_df2!$A$1:$F$2241,5,FALSE)</f>
        <v>1</v>
      </c>
      <c r="O895">
        <f>VLOOKUP(A895,Marketing_df2!$A$1:$F$2241,6,FALSE)</f>
        <v>2</v>
      </c>
    </row>
    <row r="896" spans="1:15" ht="12.5">
      <c r="A896" s="6">
        <v>894</v>
      </c>
      <c r="B896" s="6">
        <v>8800</v>
      </c>
      <c r="C896" s="6">
        <v>1943</v>
      </c>
      <c r="D896" s="7" t="s">
        <v>12</v>
      </c>
      <c r="E896" s="7" t="s">
        <v>15</v>
      </c>
      <c r="F896" s="6">
        <v>48948</v>
      </c>
      <c r="G896" s="6">
        <v>0</v>
      </c>
      <c r="H896" s="6">
        <v>0</v>
      </c>
      <c r="I896" s="6">
        <f t="shared" si="13"/>
        <v>0</v>
      </c>
      <c r="J896" s="8">
        <v>41306</v>
      </c>
      <c r="K896" s="6">
        <v>53</v>
      </c>
      <c r="L896">
        <f>VLOOKUP(A896,Marketing_df2!$A$1:$F$2241,3,FALSE)</f>
        <v>8</v>
      </c>
      <c r="M896">
        <f>VLOOKUP(A896,Marketing_df2!$A$1:$F$2241,4,FALSE)</f>
        <v>49</v>
      </c>
      <c r="N896">
        <f>VLOOKUP(A896,Marketing_df2!$A$1:$F$2241,5,FALSE)</f>
        <v>7</v>
      </c>
      <c r="O896">
        <f>VLOOKUP(A896,Marketing_df2!$A$1:$F$2241,6,FALSE)</f>
        <v>5</v>
      </c>
    </row>
    <row r="897" spans="1:15" ht="12.5">
      <c r="A897" s="6">
        <v>895</v>
      </c>
      <c r="B897" s="6">
        <v>9224</v>
      </c>
      <c r="C897" s="6">
        <v>1972</v>
      </c>
      <c r="D897" s="7" t="s">
        <v>12</v>
      </c>
      <c r="E897" s="7" t="s">
        <v>10</v>
      </c>
      <c r="F897" s="6">
        <v>55260</v>
      </c>
      <c r="G897" s="6">
        <v>0</v>
      </c>
      <c r="H897" s="6">
        <v>1</v>
      </c>
      <c r="I897" s="6">
        <f t="shared" si="13"/>
        <v>1</v>
      </c>
      <c r="J897" s="9">
        <v>41255</v>
      </c>
      <c r="K897" s="6">
        <v>81</v>
      </c>
      <c r="L897">
        <f>VLOOKUP(A897,Marketing_df2!$A$1:$F$2241,3,FALSE)</f>
        <v>8</v>
      </c>
      <c r="M897">
        <f>VLOOKUP(A897,Marketing_df2!$A$1:$F$2241,4,FALSE)</f>
        <v>0</v>
      </c>
      <c r="N897">
        <f>VLOOKUP(A897,Marketing_df2!$A$1:$F$2241,5,FALSE)</f>
        <v>8</v>
      </c>
      <c r="O897">
        <f>VLOOKUP(A897,Marketing_df2!$A$1:$F$2241,6,FALSE)</f>
        <v>5</v>
      </c>
    </row>
    <row r="898" spans="1:15" ht="12.5">
      <c r="A898" s="6">
        <v>896</v>
      </c>
      <c r="B898" s="6">
        <v>5519</v>
      </c>
      <c r="C898" s="6">
        <v>1956</v>
      </c>
      <c r="D898" s="7" t="s">
        <v>9</v>
      </c>
      <c r="E898" s="7" t="s">
        <v>11</v>
      </c>
      <c r="F898" s="6">
        <v>64090</v>
      </c>
      <c r="G898" s="6">
        <v>0</v>
      </c>
      <c r="H898" s="6">
        <v>1</v>
      </c>
      <c r="I898" s="6">
        <f t="shared" si="13"/>
        <v>1</v>
      </c>
      <c r="J898" s="8">
        <v>41493</v>
      </c>
      <c r="K898" s="6">
        <v>8</v>
      </c>
      <c r="L898">
        <f>VLOOKUP(A898,Marketing_df2!$A$1:$F$2241,3,FALSE)</f>
        <v>58</v>
      </c>
      <c r="M898">
        <f>VLOOKUP(A898,Marketing_df2!$A$1:$F$2241,4,FALSE)</f>
        <v>51</v>
      </c>
      <c r="N898">
        <f>VLOOKUP(A898,Marketing_df2!$A$1:$F$2241,5,FALSE)</f>
        <v>6</v>
      </c>
      <c r="O898">
        <f>VLOOKUP(A898,Marketing_df2!$A$1:$F$2241,6,FALSE)</f>
        <v>4</v>
      </c>
    </row>
    <row r="899" spans="1:15" ht="12.5">
      <c r="A899" s="6">
        <v>897</v>
      </c>
      <c r="B899" s="6">
        <v>5046</v>
      </c>
      <c r="C899" s="6">
        <v>1958</v>
      </c>
      <c r="D899" s="7" t="s">
        <v>9</v>
      </c>
      <c r="E899" s="7" t="s">
        <v>15</v>
      </c>
      <c r="F899" s="6">
        <v>78331</v>
      </c>
      <c r="G899" s="6">
        <v>0</v>
      </c>
      <c r="H899" s="6">
        <v>1</v>
      </c>
      <c r="I899" s="6">
        <f t="shared" ref="I899:I962" si="14">G899+H899</f>
        <v>1</v>
      </c>
      <c r="J899" s="8">
        <v>41662</v>
      </c>
      <c r="K899" s="6">
        <v>97</v>
      </c>
      <c r="L899">
        <f>VLOOKUP(A899,Marketing_df2!$A$1:$F$2241,3,FALSE)</f>
        <v>138</v>
      </c>
      <c r="M899">
        <f>VLOOKUP(A899,Marketing_df2!$A$1:$F$2241,4,FALSE)</f>
        <v>169</v>
      </c>
      <c r="N899">
        <f>VLOOKUP(A899,Marketing_df2!$A$1:$F$2241,5,FALSE)</f>
        <v>10</v>
      </c>
      <c r="O899">
        <f>VLOOKUP(A899,Marketing_df2!$A$1:$F$2241,6,FALSE)</f>
        <v>7</v>
      </c>
    </row>
    <row r="900" spans="1:15" ht="12.5">
      <c r="A900" s="6">
        <v>898</v>
      </c>
      <c r="B900" s="6">
        <v>7037</v>
      </c>
      <c r="C900" s="6">
        <v>1974</v>
      </c>
      <c r="D900" s="7" t="s">
        <v>12</v>
      </c>
      <c r="E900" s="7" t="s">
        <v>13</v>
      </c>
      <c r="F900" s="6">
        <v>37087</v>
      </c>
      <c r="G900" s="6">
        <v>1</v>
      </c>
      <c r="H900" s="6">
        <v>0</v>
      </c>
      <c r="I900" s="6">
        <f t="shared" si="14"/>
        <v>1</v>
      </c>
      <c r="J900" s="8">
        <v>41497</v>
      </c>
      <c r="K900" s="6">
        <v>50</v>
      </c>
      <c r="L900">
        <f>VLOOKUP(A900,Marketing_df2!$A$1:$F$2241,3,FALSE)</f>
        <v>55</v>
      </c>
      <c r="M900">
        <f>VLOOKUP(A900,Marketing_df2!$A$1:$F$2241,4,FALSE)</f>
        <v>0</v>
      </c>
      <c r="N900">
        <f>VLOOKUP(A900,Marketing_df2!$A$1:$F$2241,5,FALSE)</f>
        <v>4</v>
      </c>
      <c r="O900">
        <f>VLOOKUP(A900,Marketing_df2!$A$1:$F$2241,6,FALSE)</f>
        <v>8</v>
      </c>
    </row>
    <row r="901" spans="1:15" ht="12.5">
      <c r="A901" s="6">
        <v>899</v>
      </c>
      <c r="B901" s="6">
        <v>905</v>
      </c>
      <c r="C901" s="6">
        <v>1986</v>
      </c>
      <c r="D901" s="7" t="s">
        <v>9</v>
      </c>
      <c r="E901" s="7" t="s">
        <v>15</v>
      </c>
      <c r="F901" s="6">
        <v>21846</v>
      </c>
      <c r="G901" s="6">
        <v>1</v>
      </c>
      <c r="H901" s="6">
        <v>0</v>
      </c>
      <c r="I901" s="6">
        <f t="shared" si="14"/>
        <v>1</v>
      </c>
      <c r="J901" s="9">
        <v>41569</v>
      </c>
      <c r="K901" s="6">
        <v>38</v>
      </c>
      <c r="L901">
        <f>VLOOKUP(A901,Marketing_df2!$A$1:$F$2241,3,FALSE)</f>
        <v>17</v>
      </c>
      <c r="M901">
        <f>VLOOKUP(A901,Marketing_df2!$A$1:$F$2241,4,FALSE)</f>
        <v>10</v>
      </c>
      <c r="N901">
        <f>VLOOKUP(A901,Marketing_df2!$A$1:$F$2241,5,FALSE)</f>
        <v>4</v>
      </c>
      <c r="O901">
        <f>VLOOKUP(A901,Marketing_df2!$A$1:$F$2241,6,FALSE)</f>
        <v>3</v>
      </c>
    </row>
    <row r="902" spans="1:15" ht="12.5">
      <c r="A902" s="6">
        <v>900</v>
      </c>
      <c r="B902" s="6">
        <v>8624</v>
      </c>
      <c r="C902" s="6">
        <v>1958</v>
      </c>
      <c r="D902" s="7" t="s">
        <v>9</v>
      </c>
      <c r="E902" s="7" t="s">
        <v>13</v>
      </c>
      <c r="F902" s="6">
        <v>81320</v>
      </c>
      <c r="G902" s="6">
        <v>0</v>
      </c>
      <c r="H902" s="6">
        <v>0</v>
      </c>
      <c r="I902" s="6">
        <f t="shared" si="14"/>
        <v>0</v>
      </c>
      <c r="J902" s="8">
        <v>41311</v>
      </c>
      <c r="K902" s="6">
        <v>61</v>
      </c>
      <c r="L902">
        <f>VLOOKUP(A902,Marketing_df2!$A$1:$F$2241,3,FALSE)</f>
        <v>33</v>
      </c>
      <c r="M902">
        <f>VLOOKUP(A902,Marketing_df2!$A$1:$F$2241,4,FALSE)</f>
        <v>103</v>
      </c>
      <c r="N902">
        <f>VLOOKUP(A902,Marketing_df2!$A$1:$F$2241,5,FALSE)</f>
        <v>4</v>
      </c>
      <c r="O902">
        <f>VLOOKUP(A902,Marketing_df2!$A$1:$F$2241,6,FALSE)</f>
        <v>10</v>
      </c>
    </row>
    <row r="903" spans="1:15" ht="12.5">
      <c r="A903" s="6">
        <v>901</v>
      </c>
      <c r="B903" s="6">
        <v>8945</v>
      </c>
      <c r="C903" s="6">
        <v>1970</v>
      </c>
      <c r="D903" s="7" t="s">
        <v>9</v>
      </c>
      <c r="E903" s="7" t="s">
        <v>15</v>
      </c>
      <c r="F903" s="6">
        <v>54137</v>
      </c>
      <c r="G903" s="6">
        <v>0</v>
      </c>
      <c r="H903" s="6">
        <v>1</v>
      </c>
      <c r="I903" s="6">
        <f t="shared" si="14"/>
        <v>1</v>
      </c>
      <c r="J903" s="8">
        <v>41502</v>
      </c>
      <c r="K903" s="6">
        <v>46</v>
      </c>
      <c r="L903">
        <f>VLOOKUP(A903,Marketing_df2!$A$1:$F$2241,3,FALSE)</f>
        <v>0</v>
      </c>
      <c r="M903">
        <f>VLOOKUP(A903,Marketing_df2!$A$1:$F$2241,4,FALSE)</f>
        <v>1</v>
      </c>
      <c r="N903">
        <f>VLOOKUP(A903,Marketing_df2!$A$1:$F$2241,5,FALSE)</f>
        <v>4</v>
      </c>
      <c r="O903">
        <f>VLOOKUP(A903,Marketing_df2!$A$1:$F$2241,6,FALSE)</f>
        <v>4</v>
      </c>
    </row>
    <row r="904" spans="1:15" ht="12.5">
      <c r="A904" s="6">
        <v>902</v>
      </c>
      <c r="B904" s="6">
        <v>6445</v>
      </c>
      <c r="C904" s="6">
        <v>1967</v>
      </c>
      <c r="D904" s="7" t="s">
        <v>9</v>
      </c>
      <c r="E904" s="7" t="s">
        <v>11</v>
      </c>
      <c r="F904" s="6">
        <v>66825</v>
      </c>
      <c r="G904" s="6">
        <v>0</v>
      </c>
      <c r="H904" s="6">
        <v>0</v>
      </c>
      <c r="I904" s="6">
        <f t="shared" si="14"/>
        <v>0</v>
      </c>
      <c r="J904" s="8">
        <v>41469</v>
      </c>
      <c r="K904" s="6">
        <v>73</v>
      </c>
      <c r="L904">
        <f>VLOOKUP(A904,Marketing_df2!$A$1:$F$2241,3,FALSE)</f>
        <v>101</v>
      </c>
      <c r="M904">
        <f>VLOOKUP(A904,Marketing_df2!$A$1:$F$2241,4,FALSE)</f>
        <v>40</v>
      </c>
      <c r="N904">
        <f>VLOOKUP(A904,Marketing_df2!$A$1:$F$2241,5,FALSE)</f>
        <v>4</v>
      </c>
      <c r="O904">
        <f>VLOOKUP(A904,Marketing_df2!$A$1:$F$2241,6,FALSE)</f>
        <v>6</v>
      </c>
    </row>
    <row r="905" spans="1:15" ht="12.5">
      <c r="A905" s="6">
        <v>903</v>
      </c>
      <c r="B905" s="6">
        <v>2727</v>
      </c>
      <c r="C905" s="6">
        <v>1973</v>
      </c>
      <c r="D905" s="7" t="s">
        <v>9</v>
      </c>
      <c r="E905" s="7" t="s">
        <v>11</v>
      </c>
      <c r="F905" s="6">
        <v>57100</v>
      </c>
      <c r="G905" s="6">
        <v>0</v>
      </c>
      <c r="H905" s="6">
        <v>0</v>
      </c>
      <c r="I905" s="6">
        <f t="shared" si="14"/>
        <v>0</v>
      </c>
      <c r="J905" s="8">
        <v>41612</v>
      </c>
      <c r="K905" s="6">
        <v>19</v>
      </c>
      <c r="L905">
        <f>VLOOKUP(A905,Marketing_df2!$A$1:$F$2241,3,FALSE)</f>
        <v>21</v>
      </c>
      <c r="M905">
        <f>VLOOKUP(A905,Marketing_df2!$A$1:$F$2241,4,FALSE)</f>
        <v>3</v>
      </c>
      <c r="N905">
        <f>VLOOKUP(A905,Marketing_df2!$A$1:$F$2241,5,FALSE)</f>
        <v>3</v>
      </c>
      <c r="O905">
        <f>VLOOKUP(A905,Marketing_df2!$A$1:$F$2241,6,FALSE)</f>
        <v>6</v>
      </c>
    </row>
    <row r="906" spans="1:15" ht="12.5">
      <c r="A906" s="6">
        <v>904</v>
      </c>
      <c r="B906" s="6">
        <v>6404</v>
      </c>
      <c r="C906" s="6">
        <v>1969</v>
      </c>
      <c r="D906" s="7" t="s">
        <v>9</v>
      </c>
      <c r="E906" s="7" t="s">
        <v>11</v>
      </c>
      <c r="F906" s="6">
        <v>58917</v>
      </c>
      <c r="G906" s="6">
        <v>1</v>
      </c>
      <c r="H906" s="6">
        <v>2</v>
      </c>
      <c r="I906" s="6">
        <f t="shared" si="14"/>
        <v>3</v>
      </c>
      <c r="J906" s="8">
        <v>41357</v>
      </c>
      <c r="K906" s="6">
        <v>10</v>
      </c>
      <c r="L906">
        <f>VLOOKUP(A906,Marketing_df2!$A$1:$F$2241,3,FALSE)</f>
        <v>7</v>
      </c>
      <c r="M906">
        <f>VLOOKUP(A906,Marketing_df2!$A$1:$F$2241,4,FALSE)</f>
        <v>7</v>
      </c>
      <c r="N906">
        <f>VLOOKUP(A906,Marketing_df2!$A$1:$F$2241,5,FALSE)</f>
        <v>4</v>
      </c>
      <c r="O906">
        <f>VLOOKUP(A906,Marketing_df2!$A$1:$F$2241,6,FALSE)</f>
        <v>6</v>
      </c>
    </row>
    <row r="907" spans="1:15" ht="12.5">
      <c r="A907" s="6">
        <v>905</v>
      </c>
      <c r="B907" s="6">
        <v>11074</v>
      </c>
      <c r="C907" s="6">
        <v>1977</v>
      </c>
      <c r="D907" s="7" t="s">
        <v>9</v>
      </c>
      <c r="E907" s="7" t="s">
        <v>10</v>
      </c>
      <c r="F907" s="6">
        <v>85072</v>
      </c>
      <c r="G907" s="6">
        <v>0</v>
      </c>
      <c r="H907" s="6">
        <v>0</v>
      </c>
      <c r="I907" s="6">
        <f t="shared" si="14"/>
        <v>0</v>
      </c>
      <c r="J907" s="8">
        <v>41738</v>
      </c>
      <c r="K907" s="6">
        <v>94</v>
      </c>
      <c r="L907">
        <f>VLOOKUP(A907,Marketing_df2!$A$1:$F$2241,3,FALSE)</f>
        <v>92</v>
      </c>
      <c r="M907">
        <f>VLOOKUP(A907,Marketing_df2!$A$1:$F$2241,4,FALSE)</f>
        <v>11</v>
      </c>
      <c r="N907">
        <f>VLOOKUP(A907,Marketing_df2!$A$1:$F$2241,5,FALSE)</f>
        <v>3</v>
      </c>
      <c r="O907">
        <f>VLOOKUP(A907,Marketing_df2!$A$1:$F$2241,6,FALSE)</f>
        <v>10</v>
      </c>
    </row>
    <row r="908" spans="1:15" ht="12.5">
      <c r="A908" s="6">
        <v>906</v>
      </c>
      <c r="B908" s="6">
        <v>10150</v>
      </c>
      <c r="C908" s="6">
        <v>1961</v>
      </c>
      <c r="D908" s="7" t="s">
        <v>9</v>
      </c>
      <c r="E908" s="7" t="s">
        <v>10</v>
      </c>
      <c r="F908" s="6">
        <v>86429</v>
      </c>
      <c r="G908" s="6">
        <v>0</v>
      </c>
      <c r="H908" s="6">
        <v>0</v>
      </c>
      <c r="I908" s="6">
        <f t="shared" si="14"/>
        <v>0</v>
      </c>
      <c r="J908" s="9">
        <v>41599</v>
      </c>
      <c r="K908" s="6">
        <v>10</v>
      </c>
      <c r="L908">
        <f>VLOOKUP(A908,Marketing_df2!$A$1:$F$2241,3,FALSE)</f>
        <v>28</v>
      </c>
      <c r="M908">
        <f>VLOOKUP(A908,Marketing_df2!$A$1:$F$2241,4,FALSE)</f>
        <v>18</v>
      </c>
      <c r="N908">
        <f>VLOOKUP(A908,Marketing_df2!$A$1:$F$2241,5,FALSE)</f>
        <v>7</v>
      </c>
      <c r="O908">
        <f>VLOOKUP(A908,Marketing_df2!$A$1:$F$2241,6,FALSE)</f>
        <v>7</v>
      </c>
    </row>
    <row r="909" spans="1:15" ht="12.5">
      <c r="A909" s="6">
        <v>907</v>
      </c>
      <c r="B909" s="6">
        <v>1968</v>
      </c>
      <c r="C909" s="6">
        <v>1971</v>
      </c>
      <c r="D909" s="7" t="s">
        <v>9</v>
      </c>
      <c r="E909" s="7" t="s">
        <v>18</v>
      </c>
      <c r="F909" s="6">
        <v>45684</v>
      </c>
      <c r="G909" s="6">
        <v>1</v>
      </c>
      <c r="H909" s="6">
        <v>0</v>
      </c>
      <c r="I909" s="6">
        <f t="shared" si="14"/>
        <v>1</v>
      </c>
      <c r="J909" s="8">
        <v>41610</v>
      </c>
      <c r="K909" s="6">
        <v>37</v>
      </c>
      <c r="L909">
        <f>VLOOKUP(A909,Marketing_df2!$A$1:$F$2241,3,FALSE)</f>
        <v>1</v>
      </c>
      <c r="M909">
        <f>VLOOKUP(A909,Marketing_df2!$A$1:$F$2241,4,FALSE)</f>
        <v>0</v>
      </c>
      <c r="N909">
        <f>VLOOKUP(A909,Marketing_df2!$A$1:$F$2241,5,FALSE)</f>
        <v>1</v>
      </c>
      <c r="O909">
        <f>VLOOKUP(A909,Marketing_df2!$A$1:$F$2241,6,FALSE)</f>
        <v>2</v>
      </c>
    </row>
    <row r="910" spans="1:15" ht="12.5">
      <c r="A910" s="6">
        <v>908</v>
      </c>
      <c r="B910" s="6">
        <v>6534</v>
      </c>
      <c r="C910" s="6">
        <v>1974</v>
      </c>
      <c r="D910" s="7" t="s">
        <v>9</v>
      </c>
      <c r="E910" s="7" t="s">
        <v>11</v>
      </c>
      <c r="F910" s="6">
        <v>47889</v>
      </c>
      <c r="G910" s="6">
        <v>1</v>
      </c>
      <c r="H910" s="6">
        <v>0</v>
      </c>
      <c r="I910" s="6">
        <f t="shared" si="14"/>
        <v>1</v>
      </c>
      <c r="J910" s="8">
        <v>41643</v>
      </c>
      <c r="K910" s="6">
        <v>94</v>
      </c>
      <c r="L910">
        <f>VLOOKUP(A910,Marketing_df2!$A$1:$F$2241,3,FALSE)</f>
        <v>0</v>
      </c>
      <c r="M910">
        <f>VLOOKUP(A910,Marketing_df2!$A$1:$F$2241,4,FALSE)</f>
        <v>5</v>
      </c>
      <c r="N910">
        <f>VLOOKUP(A910,Marketing_df2!$A$1:$F$2241,5,FALSE)</f>
        <v>2</v>
      </c>
      <c r="O910">
        <f>VLOOKUP(A910,Marketing_df2!$A$1:$F$2241,6,FALSE)</f>
        <v>3</v>
      </c>
    </row>
    <row r="911" spans="1:15" ht="12.5">
      <c r="A911" s="6">
        <v>909</v>
      </c>
      <c r="B911" s="6">
        <v>9485</v>
      </c>
      <c r="C911" s="6">
        <v>1986</v>
      </c>
      <c r="D911" s="7" t="s">
        <v>12</v>
      </c>
      <c r="E911" s="7" t="s">
        <v>13</v>
      </c>
      <c r="F911" s="6">
        <v>45921</v>
      </c>
      <c r="G911" s="6">
        <v>0</v>
      </c>
      <c r="H911" s="6">
        <v>0</v>
      </c>
      <c r="I911" s="6">
        <f t="shared" si="14"/>
        <v>0</v>
      </c>
      <c r="J911" s="8">
        <v>41708</v>
      </c>
      <c r="K911" s="6">
        <v>23</v>
      </c>
      <c r="L911">
        <f>VLOOKUP(A911,Marketing_df2!$A$1:$F$2241,3,FALSE)</f>
        <v>9</v>
      </c>
      <c r="M911">
        <f>VLOOKUP(A911,Marketing_df2!$A$1:$F$2241,4,FALSE)</f>
        <v>3</v>
      </c>
      <c r="N911">
        <f>VLOOKUP(A911,Marketing_df2!$A$1:$F$2241,5,FALSE)</f>
        <v>2</v>
      </c>
      <c r="O911">
        <f>VLOOKUP(A911,Marketing_df2!$A$1:$F$2241,6,FALSE)</f>
        <v>6</v>
      </c>
    </row>
    <row r="912" spans="1:15" ht="12.5">
      <c r="A912" s="6">
        <v>910</v>
      </c>
      <c r="B912" s="6">
        <v>7053</v>
      </c>
      <c r="C912" s="6">
        <v>1966</v>
      </c>
      <c r="D912" s="7" t="s">
        <v>12</v>
      </c>
      <c r="E912" s="7" t="s">
        <v>10</v>
      </c>
      <c r="F912" s="6">
        <v>78420</v>
      </c>
      <c r="G912" s="6">
        <v>0</v>
      </c>
      <c r="H912" s="6">
        <v>0</v>
      </c>
      <c r="I912" s="6">
        <f t="shared" si="14"/>
        <v>0</v>
      </c>
      <c r="J912" s="8">
        <v>41454</v>
      </c>
      <c r="K912" s="6">
        <v>75</v>
      </c>
      <c r="L912">
        <f>VLOOKUP(A912,Marketing_df2!$A$1:$F$2241,3,FALSE)</f>
        <v>28</v>
      </c>
      <c r="M912">
        <f>VLOOKUP(A912,Marketing_df2!$A$1:$F$2241,4,FALSE)</f>
        <v>28</v>
      </c>
      <c r="N912">
        <f>VLOOKUP(A912,Marketing_df2!$A$1:$F$2241,5,FALSE)</f>
        <v>3</v>
      </c>
      <c r="O912">
        <f>VLOOKUP(A912,Marketing_df2!$A$1:$F$2241,6,FALSE)</f>
        <v>8</v>
      </c>
    </row>
    <row r="913" spans="1:15" ht="12.5">
      <c r="A913" s="6">
        <v>911</v>
      </c>
      <c r="B913" s="6">
        <v>4654</v>
      </c>
      <c r="C913" s="6">
        <v>1992</v>
      </c>
      <c r="D913" s="7" t="s">
        <v>9</v>
      </c>
      <c r="E913" s="7" t="s">
        <v>11</v>
      </c>
      <c r="F913" s="6">
        <v>75114</v>
      </c>
      <c r="G913" s="6">
        <v>0</v>
      </c>
      <c r="H913" s="6">
        <v>0</v>
      </c>
      <c r="I913" s="6">
        <f t="shared" si="14"/>
        <v>0</v>
      </c>
      <c r="J913" s="8">
        <v>41585</v>
      </c>
      <c r="K913" s="6">
        <v>40</v>
      </c>
      <c r="L913">
        <f>VLOOKUP(A913,Marketing_df2!$A$1:$F$2241,3,FALSE)</f>
        <v>12</v>
      </c>
      <c r="M913">
        <f>VLOOKUP(A913,Marketing_df2!$A$1:$F$2241,4,FALSE)</f>
        <v>60</v>
      </c>
      <c r="N913">
        <f>VLOOKUP(A913,Marketing_df2!$A$1:$F$2241,5,FALSE)</f>
        <v>3</v>
      </c>
      <c r="O913">
        <f>VLOOKUP(A913,Marketing_df2!$A$1:$F$2241,6,FALSE)</f>
        <v>5</v>
      </c>
    </row>
    <row r="914" spans="1:15" ht="12.5">
      <c r="A914" s="6">
        <v>912</v>
      </c>
      <c r="B914" s="6">
        <v>9760</v>
      </c>
      <c r="C914" s="6">
        <v>1963</v>
      </c>
      <c r="D914" s="7" t="s">
        <v>12</v>
      </c>
      <c r="E914" s="7" t="s">
        <v>18</v>
      </c>
      <c r="F914" s="6">
        <v>52278</v>
      </c>
      <c r="G914" s="6">
        <v>0</v>
      </c>
      <c r="H914" s="6">
        <v>1</v>
      </c>
      <c r="I914" s="6">
        <f t="shared" si="14"/>
        <v>1</v>
      </c>
      <c r="J914" s="8">
        <v>41299</v>
      </c>
      <c r="K914" s="6">
        <v>24</v>
      </c>
      <c r="L914">
        <f>VLOOKUP(A914,Marketing_df2!$A$1:$F$2241,3,FALSE)</f>
        <v>0</v>
      </c>
      <c r="M914">
        <f>VLOOKUP(A914,Marketing_df2!$A$1:$F$2241,4,FALSE)</f>
        <v>0</v>
      </c>
      <c r="N914">
        <f>VLOOKUP(A914,Marketing_df2!$A$1:$F$2241,5,FALSE)</f>
        <v>10</v>
      </c>
      <c r="O914">
        <f>VLOOKUP(A914,Marketing_df2!$A$1:$F$2241,6,FALSE)</f>
        <v>10</v>
      </c>
    </row>
    <row r="915" spans="1:15" ht="12.5">
      <c r="A915" s="6">
        <v>913</v>
      </c>
      <c r="B915" s="6">
        <v>1048</v>
      </c>
      <c r="C915" s="6">
        <v>1972</v>
      </c>
      <c r="D915" s="7" t="s">
        <v>14</v>
      </c>
      <c r="E915" s="7" t="s">
        <v>13</v>
      </c>
      <c r="F915" s="6">
        <v>35641</v>
      </c>
      <c r="G915" s="6">
        <v>1</v>
      </c>
      <c r="H915" s="6">
        <v>0</v>
      </c>
      <c r="I915" s="6">
        <f t="shared" si="14"/>
        <v>1</v>
      </c>
      <c r="J915" s="8">
        <v>41469</v>
      </c>
      <c r="K915" s="6">
        <v>11</v>
      </c>
      <c r="L915">
        <f>VLOOKUP(A915,Marketing_df2!$A$1:$F$2241,3,FALSE)</f>
        <v>3</v>
      </c>
      <c r="M915">
        <f>VLOOKUP(A915,Marketing_df2!$A$1:$F$2241,4,FALSE)</f>
        <v>9</v>
      </c>
      <c r="N915">
        <f>VLOOKUP(A915,Marketing_df2!$A$1:$F$2241,5,FALSE)</f>
        <v>3</v>
      </c>
      <c r="O915">
        <f>VLOOKUP(A915,Marketing_df2!$A$1:$F$2241,6,FALSE)</f>
        <v>4</v>
      </c>
    </row>
    <row r="916" spans="1:15" ht="12.5">
      <c r="A916" s="6">
        <v>914</v>
      </c>
      <c r="B916" s="6">
        <v>10619</v>
      </c>
      <c r="C916" s="6">
        <v>1994</v>
      </c>
      <c r="D916" s="7" t="s">
        <v>9</v>
      </c>
      <c r="E916" s="7" t="s">
        <v>10</v>
      </c>
      <c r="F916" s="6">
        <v>95529</v>
      </c>
      <c r="G916" s="6">
        <v>0</v>
      </c>
      <c r="H916" s="6">
        <v>0</v>
      </c>
      <c r="I916" s="6">
        <f t="shared" si="14"/>
        <v>0</v>
      </c>
      <c r="J916" s="8">
        <v>41246</v>
      </c>
      <c r="K916" s="6">
        <v>29</v>
      </c>
      <c r="L916">
        <f>VLOOKUP(A916,Marketing_df2!$A$1:$F$2241,3,FALSE)</f>
        <v>29</v>
      </c>
      <c r="M916">
        <f>VLOOKUP(A916,Marketing_df2!$A$1:$F$2241,4,FALSE)</f>
        <v>27</v>
      </c>
      <c r="N916">
        <f>VLOOKUP(A916,Marketing_df2!$A$1:$F$2241,5,FALSE)</f>
        <v>7</v>
      </c>
      <c r="O916">
        <f>VLOOKUP(A916,Marketing_df2!$A$1:$F$2241,6,FALSE)</f>
        <v>7</v>
      </c>
    </row>
    <row r="917" spans="1:15" ht="12.5">
      <c r="A917" s="6">
        <v>915</v>
      </c>
      <c r="B917" s="6">
        <v>9308</v>
      </c>
      <c r="C917" s="6">
        <v>1954</v>
      </c>
      <c r="D917" s="7" t="s">
        <v>9</v>
      </c>
      <c r="E917" s="7" t="s">
        <v>13</v>
      </c>
      <c r="F917" s="6">
        <v>62820</v>
      </c>
      <c r="G917" s="6">
        <v>0</v>
      </c>
      <c r="H917" s="6">
        <v>0</v>
      </c>
      <c r="I917" s="6">
        <f t="shared" si="14"/>
        <v>0</v>
      </c>
      <c r="J917" s="8">
        <v>41405</v>
      </c>
      <c r="K917" s="6">
        <v>51</v>
      </c>
      <c r="L917">
        <f>VLOOKUP(A917,Marketing_df2!$A$1:$F$2241,3,FALSE)</f>
        <v>61</v>
      </c>
      <c r="M917">
        <f>VLOOKUP(A917,Marketing_df2!$A$1:$F$2241,4,FALSE)</f>
        <v>61</v>
      </c>
      <c r="N917">
        <f>VLOOKUP(A917,Marketing_df2!$A$1:$F$2241,5,FALSE)</f>
        <v>3</v>
      </c>
      <c r="O917">
        <f>VLOOKUP(A917,Marketing_df2!$A$1:$F$2241,6,FALSE)</f>
        <v>6</v>
      </c>
    </row>
    <row r="918" spans="1:15" ht="12.5">
      <c r="A918" s="6">
        <v>916</v>
      </c>
      <c r="B918" s="6">
        <v>10505</v>
      </c>
      <c r="C918" s="6">
        <v>1960</v>
      </c>
      <c r="D918" s="7" t="s">
        <v>14</v>
      </c>
      <c r="E918" s="7" t="s">
        <v>11</v>
      </c>
      <c r="F918" s="6">
        <v>73113</v>
      </c>
      <c r="G918" s="6">
        <v>0</v>
      </c>
      <c r="H918" s="6">
        <v>0</v>
      </c>
      <c r="I918" s="6">
        <f t="shared" si="14"/>
        <v>0</v>
      </c>
      <c r="J918" s="9">
        <v>41634</v>
      </c>
      <c r="K918" s="6">
        <v>86</v>
      </c>
      <c r="L918">
        <f>VLOOKUP(A918,Marketing_df2!$A$1:$F$2241,3,FALSE)</f>
        <v>19</v>
      </c>
      <c r="M918">
        <f>VLOOKUP(A918,Marketing_df2!$A$1:$F$2241,4,FALSE)</f>
        <v>9</v>
      </c>
      <c r="N918">
        <f>VLOOKUP(A918,Marketing_df2!$A$1:$F$2241,5,FALSE)</f>
        <v>3</v>
      </c>
      <c r="O918">
        <f>VLOOKUP(A918,Marketing_df2!$A$1:$F$2241,6,FALSE)</f>
        <v>7</v>
      </c>
    </row>
    <row r="919" spans="1:15" ht="12.5">
      <c r="A919" s="6">
        <v>917</v>
      </c>
      <c r="B919" s="6">
        <v>8362</v>
      </c>
      <c r="C919" s="6">
        <v>1982</v>
      </c>
      <c r="D919" s="7" t="s">
        <v>12</v>
      </c>
      <c r="E919" s="7" t="s">
        <v>13</v>
      </c>
      <c r="F919" s="6">
        <v>84169</v>
      </c>
      <c r="G919" s="6">
        <v>0</v>
      </c>
      <c r="H919" s="6">
        <v>0</v>
      </c>
      <c r="I919" s="6">
        <f t="shared" si="14"/>
        <v>0</v>
      </c>
      <c r="J919" s="8">
        <v>41493</v>
      </c>
      <c r="K919" s="6">
        <v>9</v>
      </c>
      <c r="L919">
        <f>VLOOKUP(A919,Marketing_df2!$A$1:$F$2241,3,FALSE)</f>
        <v>19</v>
      </c>
      <c r="M919">
        <f>VLOOKUP(A919,Marketing_df2!$A$1:$F$2241,4,FALSE)</f>
        <v>19</v>
      </c>
      <c r="N919">
        <f>VLOOKUP(A919,Marketing_df2!$A$1:$F$2241,5,FALSE)</f>
        <v>7</v>
      </c>
      <c r="O919">
        <f>VLOOKUP(A919,Marketing_df2!$A$1:$F$2241,6,FALSE)</f>
        <v>6</v>
      </c>
    </row>
    <row r="920" spans="1:15" ht="12.5">
      <c r="A920" s="6">
        <v>918</v>
      </c>
      <c r="B920" s="6">
        <v>2625</v>
      </c>
      <c r="C920" s="6">
        <v>1954</v>
      </c>
      <c r="D920" s="7" t="s">
        <v>17</v>
      </c>
      <c r="E920" s="7" t="s">
        <v>10</v>
      </c>
      <c r="F920" s="6">
        <v>42607</v>
      </c>
      <c r="G920" s="6">
        <v>0</v>
      </c>
      <c r="H920" s="6">
        <v>1</v>
      </c>
      <c r="I920" s="6">
        <f t="shared" si="14"/>
        <v>1</v>
      </c>
      <c r="J920" s="9">
        <v>41595</v>
      </c>
      <c r="K920" s="6">
        <v>30</v>
      </c>
      <c r="L920">
        <f>VLOOKUP(A920,Marketing_df2!$A$1:$F$2241,3,FALSE)</f>
        <v>29</v>
      </c>
      <c r="M920">
        <f>VLOOKUP(A920,Marketing_df2!$A$1:$F$2241,4,FALSE)</f>
        <v>32</v>
      </c>
      <c r="N920">
        <f>VLOOKUP(A920,Marketing_df2!$A$1:$F$2241,5,FALSE)</f>
        <v>3</v>
      </c>
      <c r="O920">
        <f>VLOOKUP(A920,Marketing_df2!$A$1:$F$2241,6,FALSE)</f>
        <v>7</v>
      </c>
    </row>
    <row r="921" spans="1:15" ht="12.5">
      <c r="A921" s="6">
        <v>919</v>
      </c>
      <c r="B921" s="6">
        <v>4637</v>
      </c>
      <c r="C921" s="6">
        <v>1954</v>
      </c>
      <c r="D921" s="7" t="s">
        <v>12</v>
      </c>
      <c r="E921" s="7" t="s">
        <v>10</v>
      </c>
      <c r="F921" s="6">
        <v>74637</v>
      </c>
      <c r="G921" s="6">
        <v>0</v>
      </c>
      <c r="H921" s="6">
        <v>0</v>
      </c>
      <c r="I921" s="6">
        <f t="shared" si="14"/>
        <v>0</v>
      </c>
      <c r="J921" s="8">
        <v>41412</v>
      </c>
      <c r="K921" s="6">
        <v>73</v>
      </c>
      <c r="L921">
        <f>VLOOKUP(A921,Marketing_df2!$A$1:$F$2241,3,FALSE)</f>
        <v>64</v>
      </c>
      <c r="M921">
        <f>VLOOKUP(A921,Marketing_df2!$A$1:$F$2241,4,FALSE)</f>
        <v>0</v>
      </c>
      <c r="N921">
        <f>VLOOKUP(A921,Marketing_df2!$A$1:$F$2241,5,FALSE)</f>
        <v>6</v>
      </c>
      <c r="O921">
        <f>VLOOKUP(A921,Marketing_df2!$A$1:$F$2241,6,FALSE)</f>
        <v>9</v>
      </c>
    </row>
    <row r="922" spans="1:15" ht="12.5">
      <c r="A922" s="6">
        <v>920</v>
      </c>
      <c r="B922" s="6">
        <v>9972</v>
      </c>
      <c r="C922" s="6">
        <v>1955</v>
      </c>
      <c r="D922" s="7" t="s">
        <v>12</v>
      </c>
      <c r="E922" s="7" t="s">
        <v>11</v>
      </c>
      <c r="F922" s="6">
        <v>46015</v>
      </c>
      <c r="G922" s="6">
        <v>1</v>
      </c>
      <c r="H922" s="6">
        <v>1</v>
      </c>
      <c r="I922" s="6">
        <f t="shared" si="14"/>
        <v>2</v>
      </c>
      <c r="J922" s="8">
        <v>41742</v>
      </c>
      <c r="K922" s="6">
        <v>25</v>
      </c>
      <c r="L922">
        <f>VLOOKUP(A922,Marketing_df2!$A$1:$F$2241,3,FALSE)</f>
        <v>0</v>
      </c>
      <c r="M922">
        <f>VLOOKUP(A922,Marketing_df2!$A$1:$F$2241,4,FALSE)</f>
        <v>0</v>
      </c>
      <c r="N922">
        <f>VLOOKUP(A922,Marketing_df2!$A$1:$F$2241,5,FALSE)</f>
        <v>1</v>
      </c>
      <c r="O922">
        <f>VLOOKUP(A922,Marketing_df2!$A$1:$F$2241,6,FALSE)</f>
        <v>3</v>
      </c>
    </row>
    <row r="923" spans="1:15" ht="12.5">
      <c r="A923" s="6">
        <v>921</v>
      </c>
      <c r="B923" s="6">
        <v>4483</v>
      </c>
      <c r="C923" s="6">
        <v>1993</v>
      </c>
      <c r="D923" s="7" t="s">
        <v>9</v>
      </c>
      <c r="E923" s="7" t="s">
        <v>10</v>
      </c>
      <c r="F923" s="6">
        <v>72354</v>
      </c>
      <c r="G923" s="6">
        <v>0</v>
      </c>
      <c r="H923" s="6">
        <v>0</v>
      </c>
      <c r="I923" s="6">
        <f t="shared" si="14"/>
        <v>0</v>
      </c>
      <c r="J923" s="8">
        <v>41381</v>
      </c>
      <c r="K923" s="6">
        <v>67</v>
      </c>
      <c r="L923">
        <f>VLOOKUP(A923,Marketing_df2!$A$1:$F$2241,3,FALSE)</f>
        <v>26</v>
      </c>
      <c r="M923">
        <f>VLOOKUP(A923,Marketing_df2!$A$1:$F$2241,4,FALSE)</f>
        <v>12</v>
      </c>
      <c r="N923">
        <f>VLOOKUP(A923,Marketing_df2!$A$1:$F$2241,5,FALSE)</f>
        <v>2</v>
      </c>
      <c r="O923">
        <f>VLOOKUP(A923,Marketing_df2!$A$1:$F$2241,6,FALSE)</f>
        <v>6</v>
      </c>
    </row>
    <row r="924" spans="1:15" ht="12.5">
      <c r="A924" s="6">
        <v>922</v>
      </c>
      <c r="B924" s="6">
        <v>4487</v>
      </c>
      <c r="C924" s="6">
        <v>1969</v>
      </c>
      <c r="D924" s="7" t="s">
        <v>14</v>
      </c>
      <c r="E924" s="7" t="s">
        <v>10</v>
      </c>
      <c r="F924" s="6">
        <v>39858</v>
      </c>
      <c r="G924" s="6">
        <v>1</v>
      </c>
      <c r="H924" s="6">
        <v>0</v>
      </c>
      <c r="I924" s="6">
        <f t="shared" si="14"/>
        <v>1</v>
      </c>
      <c r="J924" s="8">
        <v>41298</v>
      </c>
      <c r="K924" s="6">
        <v>67</v>
      </c>
      <c r="L924">
        <f>VLOOKUP(A924,Marketing_df2!$A$1:$F$2241,3,FALSE)</f>
        <v>20</v>
      </c>
      <c r="M924">
        <f>VLOOKUP(A924,Marketing_df2!$A$1:$F$2241,4,FALSE)</f>
        <v>7</v>
      </c>
      <c r="N924">
        <f>VLOOKUP(A924,Marketing_df2!$A$1:$F$2241,5,FALSE)</f>
        <v>2</v>
      </c>
      <c r="O924">
        <f>VLOOKUP(A924,Marketing_df2!$A$1:$F$2241,6,FALSE)</f>
        <v>4</v>
      </c>
    </row>
    <row r="925" spans="1:15" ht="12.5">
      <c r="A925" s="6">
        <v>923</v>
      </c>
      <c r="B925" s="6">
        <v>4988</v>
      </c>
      <c r="C925" s="6">
        <v>1948</v>
      </c>
      <c r="D925" s="7" t="s">
        <v>12</v>
      </c>
      <c r="E925" s="7" t="s">
        <v>13</v>
      </c>
      <c r="F925" s="6">
        <v>34469</v>
      </c>
      <c r="G925" s="6">
        <v>1</v>
      </c>
      <c r="H925" s="6">
        <v>1</v>
      </c>
      <c r="I925" s="6">
        <f t="shared" si="14"/>
        <v>2</v>
      </c>
      <c r="J925" s="8">
        <v>41763</v>
      </c>
      <c r="K925" s="6">
        <v>58</v>
      </c>
      <c r="L925">
        <f>VLOOKUP(A925,Marketing_df2!$A$1:$F$2241,3,FALSE)</f>
        <v>6</v>
      </c>
      <c r="M925">
        <f>VLOOKUP(A925,Marketing_df2!$A$1:$F$2241,4,FALSE)</f>
        <v>5</v>
      </c>
      <c r="N925">
        <f>VLOOKUP(A925,Marketing_df2!$A$1:$F$2241,5,FALSE)</f>
        <v>1</v>
      </c>
      <c r="O925">
        <f>VLOOKUP(A925,Marketing_df2!$A$1:$F$2241,6,FALSE)</f>
        <v>4</v>
      </c>
    </row>
    <row r="926" spans="1:15" ht="12.5">
      <c r="A926" s="6">
        <v>924</v>
      </c>
      <c r="B926" s="6">
        <v>8931</v>
      </c>
      <c r="C926" s="6">
        <v>1986</v>
      </c>
      <c r="D926" s="7" t="s">
        <v>9</v>
      </c>
      <c r="E926" s="7" t="s">
        <v>11</v>
      </c>
      <c r="F926" s="6">
        <v>83033</v>
      </c>
      <c r="G926" s="6">
        <v>1</v>
      </c>
      <c r="H926" s="6">
        <v>0</v>
      </c>
      <c r="I926" s="6">
        <f t="shared" si="14"/>
        <v>1</v>
      </c>
      <c r="J926" s="8">
        <v>41777</v>
      </c>
      <c r="K926" s="6">
        <v>82</v>
      </c>
      <c r="L926">
        <f>VLOOKUP(A926,Marketing_df2!$A$1:$F$2241,3,FALSE)</f>
        <v>99</v>
      </c>
      <c r="M926">
        <f>VLOOKUP(A926,Marketing_df2!$A$1:$F$2241,4,FALSE)</f>
        <v>149</v>
      </c>
      <c r="N926">
        <f>VLOOKUP(A926,Marketing_df2!$A$1:$F$2241,5,FALSE)</f>
        <v>11</v>
      </c>
      <c r="O926">
        <f>VLOOKUP(A926,Marketing_df2!$A$1:$F$2241,6,FALSE)</f>
        <v>10</v>
      </c>
    </row>
    <row r="927" spans="1:15" ht="12.5">
      <c r="A927" s="6">
        <v>925</v>
      </c>
      <c r="B927" s="6">
        <v>5871</v>
      </c>
      <c r="C927" s="6">
        <v>1979</v>
      </c>
      <c r="D927" s="7" t="s">
        <v>14</v>
      </c>
      <c r="E927" s="7" t="s">
        <v>11</v>
      </c>
      <c r="F927" s="6">
        <v>24401</v>
      </c>
      <c r="G927" s="6">
        <v>0</v>
      </c>
      <c r="H927" s="6">
        <v>0</v>
      </c>
      <c r="I927" s="6">
        <f t="shared" si="14"/>
        <v>0</v>
      </c>
      <c r="J927" s="8">
        <v>41152</v>
      </c>
      <c r="K927" s="6">
        <v>98</v>
      </c>
      <c r="L927">
        <f>VLOOKUP(A927,Marketing_df2!$A$1:$F$2241,3,FALSE)</f>
        <v>28</v>
      </c>
      <c r="M927">
        <f>VLOOKUP(A927,Marketing_df2!$A$1:$F$2241,4,FALSE)</f>
        <v>24</v>
      </c>
      <c r="N927">
        <f>VLOOKUP(A927,Marketing_df2!$A$1:$F$2241,5,FALSE)</f>
        <v>6</v>
      </c>
      <c r="O927">
        <f>VLOOKUP(A927,Marketing_df2!$A$1:$F$2241,6,FALSE)</f>
        <v>6</v>
      </c>
    </row>
    <row r="928" spans="1:15" ht="12.5">
      <c r="A928" s="6">
        <v>926</v>
      </c>
      <c r="B928" s="6">
        <v>2008</v>
      </c>
      <c r="C928" s="6">
        <v>1978</v>
      </c>
      <c r="D928" s="7" t="s">
        <v>9</v>
      </c>
      <c r="E928" s="7" t="s">
        <v>13</v>
      </c>
      <c r="F928" s="6">
        <v>77583</v>
      </c>
      <c r="G928" s="6">
        <v>0</v>
      </c>
      <c r="H928" s="6">
        <v>0</v>
      </c>
      <c r="I928" s="6">
        <f t="shared" si="14"/>
        <v>0</v>
      </c>
      <c r="J928" s="8">
        <v>41680</v>
      </c>
      <c r="K928" s="6">
        <v>93</v>
      </c>
      <c r="L928">
        <f>VLOOKUP(A928,Marketing_df2!$A$1:$F$2241,3,FALSE)</f>
        <v>23</v>
      </c>
      <c r="M928">
        <f>VLOOKUP(A928,Marketing_df2!$A$1:$F$2241,4,FALSE)</f>
        <v>12</v>
      </c>
      <c r="N928">
        <f>VLOOKUP(A928,Marketing_df2!$A$1:$F$2241,5,FALSE)</f>
        <v>4</v>
      </c>
      <c r="O928">
        <f>VLOOKUP(A928,Marketing_df2!$A$1:$F$2241,6,FALSE)</f>
        <v>9</v>
      </c>
    </row>
    <row r="929" spans="1:15" ht="12.5">
      <c r="A929" s="6">
        <v>927</v>
      </c>
      <c r="B929" s="6">
        <v>3139</v>
      </c>
      <c r="C929" s="6">
        <v>1982</v>
      </c>
      <c r="D929" s="7" t="s">
        <v>17</v>
      </c>
      <c r="E929" s="7" t="s">
        <v>10</v>
      </c>
      <c r="F929" s="6">
        <v>74116</v>
      </c>
      <c r="G929" s="6">
        <v>0</v>
      </c>
      <c r="H929" s="6">
        <v>0</v>
      </c>
      <c r="I929" s="6">
        <f t="shared" si="14"/>
        <v>0</v>
      </c>
      <c r="J929" s="9">
        <v>41638</v>
      </c>
      <c r="K929" s="6">
        <v>53</v>
      </c>
      <c r="L929">
        <f>VLOOKUP(A929,Marketing_df2!$A$1:$F$2241,3,FALSE)</f>
        <v>111</v>
      </c>
      <c r="M929">
        <f>VLOOKUP(A929,Marketing_df2!$A$1:$F$2241,4,FALSE)</f>
        <v>55</v>
      </c>
      <c r="N929">
        <f>VLOOKUP(A929,Marketing_df2!$A$1:$F$2241,5,FALSE)</f>
        <v>4</v>
      </c>
      <c r="O929">
        <f>VLOOKUP(A929,Marketing_df2!$A$1:$F$2241,6,FALSE)</f>
        <v>10</v>
      </c>
    </row>
    <row r="930" spans="1:15" ht="12.5">
      <c r="A930" s="6">
        <v>928</v>
      </c>
      <c r="B930" s="6">
        <v>10037</v>
      </c>
      <c r="C930" s="6">
        <v>1993</v>
      </c>
      <c r="D930" s="7" t="s">
        <v>9</v>
      </c>
      <c r="E930" s="7" t="s">
        <v>10</v>
      </c>
      <c r="F930" s="6">
        <v>74293</v>
      </c>
      <c r="G930" s="6">
        <v>0</v>
      </c>
      <c r="H930" s="6">
        <v>0</v>
      </c>
      <c r="I930" s="6">
        <f t="shared" si="14"/>
        <v>0</v>
      </c>
      <c r="J930" s="8">
        <v>41763</v>
      </c>
      <c r="K930" s="6">
        <v>66</v>
      </c>
      <c r="L930">
        <f>VLOOKUP(A930,Marketing_df2!$A$1:$F$2241,3,FALSE)</f>
        <v>152</v>
      </c>
      <c r="M930">
        <f>VLOOKUP(A930,Marketing_df2!$A$1:$F$2241,4,FALSE)</f>
        <v>91</v>
      </c>
      <c r="N930">
        <f>VLOOKUP(A930,Marketing_df2!$A$1:$F$2241,5,FALSE)</f>
        <v>5</v>
      </c>
      <c r="O930">
        <f>VLOOKUP(A930,Marketing_df2!$A$1:$F$2241,6,FALSE)</f>
        <v>6</v>
      </c>
    </row>
    <row r="931" spans="1:15" ht="12.5">
      <c r="A931" s="6">
        <v>929</v>
      </c>
      <c r="B931" s="6">
        <v>10673</v>
      </c>
      <c r="C931" s="6">
        <v>1976</v>
      </c>
      <c r="D931" s="7" t="s">
        <v>12</v>
      </c>
      <c r="E931" s="7" t="s">
        <v>13</v>
      </c>
      <c r="F931" s="6">
        <v>68397</v>
      </c>
      <c r="G931" s="6">
        <v>0</v>
      </c>
      <c r="H931" s="6">
        <v>1</v>
      </c>
      <c r="I931" s="6">
        <f t="shared" si="14"/>
        <v>1</v>
      </c>
      <c r="J931" s="9">
        <v>41595</v>
      </c>
      <c r="K931" s="6">
        <v>6</v>
      </c>
      <c r="L931">
        <f>VLOOKUP(A931,Marketing_df2!$A$1:$F$2241,3,FALSE)</f>
        <v>80</v>
      </c>
      <c r="M931">
        <f>VLOOKUP(A931,Marketing_df2!$A$1:$F$2241,4,FALSE)</f>
        <v>13</v>
      </c>
      <c r="N931">
        <f>VLOOKUP(A931,Marketing_df2!$A$1:$F$2241,5,FALSE)</f>
        <v>6</v>
      </c>
      <c r="O931">
        <f>VLOOKUP(A931,Marketing_df2!$A$1:$F$2241,6,FALSE)</f>
        <v>5</v>
      </c>
    </row>
    <row r="932" spans="1:15" ht="12.5">
      <c r="A932" s="6">
        <v>930</v>
      </c>
      <c r="B932" s="6">
        <v>5303</v>
      </c>
      <c r="C932" s="6">
        <v>1974</v>
      </c>
      <c r="D932" s="7" t="s">
        <v>12</v>
      </c>
      <c r="E932" s="7" t="s">
        <v>11</v>
      </c>
      <c r="F932" s="6">
        <v>79632</v>
      </c>
      <c r="G932" s="6">
        <v>0</v>
      </c>
      <c r="H932" s="6">
        <v>0</v>
      </c>
      <c r="I932" s="6">
        <f t="shared" si="14"/>
        <v>0</v>
      </c>
      <c r="J932" s="8">
        <v>41737</v>
      </c>
      <c r="K932" s="6">
        <v>42</v>
      </c>
      <c r="L932">
        <f>VLOOKUP(A932,Marketing_df2!$A$1:$F$2241,3,FALSE)</f>
        <v>0</v>
      </c>
      <c r="M932">
        <f>VLOOKUP(A932,Marketing_df2!$A$1:$F$2241,4,FALSE)</f>
        <v>21</v>
      </c>
      <c r="N932">
        <f>VLOOKUP(A932,Marketing_df2!$A$1:$F$2241,5,FALSE)</f>
        <v>6</v>
      </c>
      <c r="O932">
        <f>VLOOKUP(A932,Marketing_df2!$A$1:$F$2241,6,FALSE)</f>
        <v>9</v>
      </c>
    </row>
    <row r="933" spans="1:15" ht="12.5">
      <c r="A933" s="6">
        <v>931</v>
      </c>
      <c r="B933" s="6">
        <v>538</v>
      </c>
      <c r="C933" s="6">
        <v>1989</v>
      </c>
      <c r="D933" s="7" t="s">
        <v>9</v>
      </c>
      <c r="E933" s="7" t="s">
        <v>10</v>
      </c>
      <c r="F933" s="6">
        <v>46107</v>
      </c>
      <c r="G933" s="6">
        <v>1</v>
      </c>
      <c r="H933" s="6">
        <v>0</v>
      </c>
      <c r="I933" s="6">
        <f t="shared" si="14"/>
        <v>1</v>
      </c>
      <c r="J933" s="8">
        <v>41680</v>
      </c>
      <c r="K933" s="6">
        <v>78</v>
      </c>
      <c r="L933">
        <f>VLOOKUP(A933,Marketing_df2!$A$1:$F$2241,3,FALSE)</f>
        <v>9</v>
      </c>
      <c r="M933">
        <f>VLOOKUP(A933,Marketing_df2!$A$1:$F$2241,4,FALSE)</f>
        <v>9</v>
      </c>
      <c r="N933">
        <f>VLOOKUP(A933,Marketing_df2!$A$1:$F$2241,5,FALSE)</f>
        <v>1</v>
      </c>
      <c r="O933">
        <f>VLOOKUP(A933,Marketing_df2!$A$1:$F$2241,6,FALSE)</f>
        <v>4</v>
      </c>
    </row>
    <row r="934" spans="1:15" ht="12.5">
      <c r="A934" s="6">
        <v>932</v>
      </c>
      <c r="B934" s="6">
        <v>7922</v>
      </c>
      <c r="C934" s="6">
        <v>1951</v>
      </c>
      <c r="D934" s="7" t="s">
        <v>12</v>
      </c>
      <c r="E934" s="7" t="s">
        <v>10</v>
      </c>
      <c r="F934" s="6">
        <v>64950</v>
      </c>
      <c r="G934" s="6">
        <v>0</v>
      </c>
      <c r="H934" s="6">
        <v>1</v>
      </c>
      <c r="I934" s="6">
        <f t="shared" si="14"/>
        <v>1</v>
      </c>
      <c r="J934" s="8">
        <v>41133</v>
      </c>
      <c r="K934" s="6">
        <v>29</v>
      </c>
      <c r="L934">
        <f>VLOOKUP(A934,Marketing_df2!$A$1:$F$2241,3,FALSE)</f>
        <v>0</v>
      </c>
      <c r="M934">
        <f>VLOOKUP(A934,Marketing_df2!$A$1:$F$2241,4,FALSE)</f>
        <v>0</v>
      </c>
      <c r="N934">
        <f>VLOOKUP(A934,Marketing_df2!$A$1:$F$2241,5,FALSE)</f>
        <v>11</v>
      </c>
      <c r="O934">
        <f>VLOOKUP(A934,Marketing_df2!$A$1:$F$2241,6,FALSE)</f>
        <v>10</v>
      </c>
    </row>
    <row r="935" spans="1:15" ht="12.5">
      <c r="A935" s="6">
        <v>933</v>
      </c>
      <c r="B935" s="6">
        <v>5692</v>
      </c>
      <c r="C935" s="6">
        <v>1989</v>
      </c>
      <c r="D935" s="7" t="s">
        <v>16</v>
      </c>
      <c r="E935" s="7" t="s">
        <v>13</v>
      </c>
      <c r="F935" s="6">
        <v>25443</v>
      </c>
      <c r="G935" s="6">
        <v>1</v>
      </c>
      <c r="H935" s="6">
        <v>0</v>
      </c>
      <c r="I935" s="6">
        <f t="shared" si="14"/>
        <v>1</v>
      </c>
      <c r="J935" s="9">
        <v>41265</v>
      </c>
      <c r="K935" s="6">
        <v>82</v>
      </c>
      <c r="L935">
        <f>VLOOKUP(A935,Marketing_df2!$A$1:$F$2241,3,FALSE)</f>
        <v>4</v>
      </c>
      <c r="M935">
        <f>VLOOKUP(A935,Marketing_df2!$A$1:$F$2241,4,FALSE)</f>
        <v>9</v>
      </c>
      <c r="N935">
        <f>VLOOKUP(A935,Marketing_df2!$A$1:$F$2241,5,FALSE)</f>
        <v>1</v>
      </c>
      <c r="O935">
        <f>VLOOKUP(A935,Marketing_df2!$A$1:$F$2241,6,FALSE)</f>
        <v>3</v>
      </c>
    </row>
    <row r="936" spans="1:15" ht="12.5">
      <c r="A936" s="6">
        <v>934</v>
      </c>
      <c r="B936" s="6">
        <v>4843</v>
      </c>
      <c r="C936" s="6">
        <v>1952</v>
      </c>
      <c r="D936" s="7" t="s">
        <v>9</v>
      </c>
      <c r="E936" s="7" t="s">
        <v>10</v>
      </c>
      <c r="F936" s="6">
        <v>75127</v>
      </c>
      <c r="G936" s="6">
        <v>0</v>
      </c>
      <c r="H936" s="6">
        <v>0</v>
      </c>
      <c r="I936" s="6">
        <f t="shared" si="14"/>
        <v>0</v>
      </c>
      <c r="J936" s="8">
        <v>41781</v>
      </c>
      <c r="K936" s="6">
        <v>92</v>
      </c>
      <c r="L936">
        <f>VLOOKUP(A936,Marketing_df2!$A$1:$F$2241,3,FALSE)</f>
        <v>35</v>
      </c>
      <c r="M936">
        <f>VLOOKUP(A936,Marketing_df2!$A$1:$F$2241,4,FALSE)</f>
        <v>17</v>
      </c>
      <c r="N936">
        <f>VLOOKUP(A936,Marketing_df2!$A$1:$F$2241,5,FALSE)</f>
        <v>2</v>
      </c>
      <c r="O936">
        <f>VLOOKUP(A936,Marketing_df2!$A$1:$F$2241,6,FALSE)</f>
        <v>5</v>
      </c>
    </row>
    <row r="937" spans="1:15" ht="12.5">
      <c r="A937" s="6">
        <v>935</v>
      </c>
      <c r="B937" s="6">
        <v>6383</v>
      </c>
      <c r="C937" s="6">
        <v>1971</v>
      </c>
      <c r="D937" s="7" t="s">
        <v>12</v>
      </c>
      <c r="E937" s="7" t="s">
        <v>11</v>
      </c>
      <c r="F937" s="6">
        <v>32892</v>
      </c>
      <c r="G937" s="6">
        <v>1</v>
      </c>
      <c r="H937" s="6">
        <v>0</v>
      </c>
      <c r="I937" s="6">
        <f t="shared" si="14"/>
        <v>1</v>
      </c>
      <c r="J937" s="8">
        <v>41784</v>
      </c>
      <c r="K937" s="6">
        <v>78</v>
      </c>
      <c r="L937">
        <f>VLOOKUP(A937,Marketing_df2!$A$1:$F$2241,3,FALSE)</f>
        <v>0</v>
      </c>
      <c r="M937">
        <f>VLOOKUP(A937,Marketing_df2!$A$1:$F$2241,4,FALSE)</f>
        <v>1</v>
      </c>
      <c r="N937">
        <f>VLOOKUP(A937,Marketing_df2!$A$1:$F$2241,5,FALSE)</f>
        <v>3</v>
      </c>
      <c r="O937">
        <f>VLOOKUP(A937,Marketing_df2!$A$1:$F$2241,6,FALSE)</f>
        <v>3</v>
      </c>
    </row>
    <row r="938" spans="1:15" ht="12.5">
      <c r="A938" s="6">
        <v>936</v>
      </c>
      <c r="B938" s="6">
        <v>1628</v>
      </c>
      <c r="C938" s="6">
        <v>1971</v>
      </c>
      <c r="D938" s="7" t="s">
        <v>9</v>
      </c>
      <c r="E938" s="7" t="s">
        <v>11</v>
      </c>
      <c r="F938" s="6">
        <v>71796</v>
      </c>
      <c r="G938" s="6">
        <v>0</v>
      </c>
      <c r="H938" s="6">
        <v>0</v>
      </c>
      <c r="I938" s="6">
        <f t="shared" si="14"/>
        <v>0</v>
      </c>
      <c r="J938" s="9">
        <v>41571</v>
      </c>
      <c r="K938" s="6">
        <v>54</v>
      </c>
      <c r="L938">
        <f>VLOOKUP(A938,Marketing_df2!$A$1:$F$2241,3,FALSE)</f>
        <v>21</v>
      </c>
      <c r="M938">
        <f>VLOOKUP(A938,Marketing_df2!$A$1:$F$2241,4,FALSE)</f>
        <v>75</v>
      </c>
      <c r="N938">
        <f>VLOOKUP(A938,Marketing_df2!$A$1:$F$2241,5,FALSE)</f>
        <v>9</v>
      </c>
      <c r="O938">
        <f>VLOOKUP(A938,Marketing_df2!$A$1:$F$2241,6,FALSE)</f>
        <v>4</v>
      </c>
    </row>
    <row r="939" spans="1:15" ht="12.5">
      <c r="A939" s="6">
        <v>937</v>
      </c>
      <c r="B939" s="6">
        <v>1204</v>
      </c>
      <c r="C939" s="6">
        <v>1970</v>
      </c>
      <c r="D939" s="7" t="s">
        <v>12</v>
      </c>
      <c r="E939" s="7" t="s">
        <v>13</v>
      </c>
      <c r="F939" s="6">
        <v>67536</v>
      </c>
      <c r="G939" s="6">
        <v>0</v>
      </c>
      <c r="H939" s="6">
        <v>1</v>
      </c>
      <c r="I939" s="6">
        <f t="shared" si="14"/>
        <v>1</v>
      </c>
      <c r="J939" s="8">
        <v>41416</v>
      </c>
      <c r="K939" s="6">
        <v>45</v>
      </c>
      <c r="L939">
        <f>VLOOKUP(A939,Marketing_df2!$A$1:$F$2241,3,FALSE)</f>
        <v>0</v>
      </c>
      <c r="M939">
        <f>VLOOKUP(A939,Marketing_df2!$A$1:$F$2241,4,FALSE)</f>
        <v>71</v>
      </c>
      <c r="N939">
        <f>VLOOKUP(A939,Marketing_df2!$A$1:$F$2241,5,FALSE)</f>
        <v>11</v>
      </c>
      <c r="O939">
        <f>VLOOKUP(A939,Marketing_df2!$A$1:$F$2241,6,FALSE)</f>
        <v>11</v>
      </c>
    </row>
    <row r="940" spans="1:15" ht="12.5">
      <c r="A940" s="6">
        <v>938</v>
      </c>
      <c r="B940" s="6">
        <v>3673</v>
      </c>
      <c r="C940" s="6">
        <v>1971</v>
      </c>
      <c r="D940" s="7" t="s">
        <v>9</v>
      </c>
      <c r="E940" s="7" t="s">
        <v>10</v>
      </c>
      <c r="F940" s="6">
        <v>55239</v>
      </c>
      <c r="G940" s="6">
        <v>0</v>
      </c>
      <c r="H940" s="6">
        <v>1</v>
      </c>
      <c r="I940" s="6">
        <f t="shared" si="14"/>
        <v>1</v>
      </c>
      <c r="J940" s="8">
        <v>41469</v>
      </c>
      <c r="K940" s="6">
        <v>59</v>
      </c>
      <c r="L940">
        <f>VLOOKUP(A940,Marketing_df2!$A$1:$F$2241,3,FALSE)</f>
        <v>17</v>
      </c>
      <c r="M940">
        <f>VLOOKUP(A940,Marketing_df2!$A$1:$F$2241,4,FALSE)</f>
        <v>24</v>
      </c>
      <c r="N940">
        <f>VLOOKUP(A940,Marketing_df2!$A$1:$F$2241,5,FALSE)</f>
        <v>7</v>
      </c>
      <c r="O940">
        <f>VLOOKUP(A940,Marketing_df2!$A$1:$F$2241,6,FALSE)</f>
        <v>11</v>
      </c>
    </row>
    <row r="941" spans="1:15" ht="12.5">
      <c r="A941" s="6">
        <v>939</v>
      </c>
      <c r="B941" s="6">
        <v>760</v>
      </c>
      <c r="C941" s="6">
        <v>1975</v>
      </c>
      <c r="D941" s="7" t="s">
        <v>12</v>
      </c>
      <c r="E941" s="7" t="s">
        <v>15</v>
      </c>
      <c r="F941" s="6">
        <v>60554</v>
      </c>
      <c r="G941" s="6">
        <v>1</v>
      </c>
      <c r="H941" s="6">
        <v>0</v>
      </c>
      <c r="I941" s="6">
        <f t="shared" si="14"/>
        <v>1</v>
      </c>
      <c r="J941" s="8">
        <v>41495</v>
      </c>
      <c r="K941" s="6">
        <v>8</v>
      </c>
      <c r="L941">
        <f>VLOOKUP(A941,Marketing_df2!$A$1:$F$2241,3,FALSE)</f>
        <v>7</v>
      </c>
      <c r="M941">
        <f>VLOOKUP(A941,Marketing_df2!$A$1:$F$2241,4,FALSE)</f>
        <v>15</v>
      </c>
      <c r="N941">
        <f>VLOOKUP(A941,Marketing_df2!$A$1:$F$2241,5,FALSE)</f>
        <v>8</v>
      </c>
      <c r="O941">
        <f>VLOOKUP(A941,Marketing_df2!$A$1:$F$2241,6,FALSE)</f>
        <v>9</v>
      </c>
    </row>
    <row r="942" spans="1:15" ht="12.5">
      <c r="A942" s="6">
        <v>940</v>
      </c>
      <c r="B942" s="6">
        <v>8957</v>
      </c>
      <c r="C942" s="6">
        <v>1952</v>
      </c>
      <c r="D942" s="7" t="s">
        <v>17</v>
      </c>
      <c r="E942" s="7" t="s">
        <v>10</v>
      </c>
      <c r="F942" s="6">
        <v>64831</v>
      </c>
      <c r="G942" s="6">
        <v>1</v>
      </c>
      <c r="H942" s="6">
        <v>1</v>
      </c>
      <c r="I942" s="6">
        <f t="shared" si="14"/>
        <v>2</v>
      </c>
      <c r="J942" s="8">
        <v>41435</v>
      </c>
      <c r="K942" s="6">
        <v>51</v>
      </c>
      <c r="L942">
        <f>VLOOKUP(A942,Marketing_df2!$A$1:$F$2241,3,FALSE)</f>
        <v>86</v>
      </c>
      <c r="M942">
        <f>VLOOKUP(A942,Marketing_df2!$A$1:$F$2241,4,FALSE)</f>
        <v>86</v>
      </c>
      <c r="N942">
        <f>VLOOKUP(A942,Marketing_df2!$A$1:$F$2241,5,FALSE)</f>
        <v>6</v>
      </c>
      <c r="O942">
        <f>VLOOKUP(A942,Marketing_df2!$A$1:$F$2241,6,FALSE)</f>
        <v>5</v>
      </c>
    </row>
    <row r="943" spans="1:15" ht="12.5">
      <c r="A943" s="6">
        <v>941</v>
      </c>
      <c r="B943" s="6">
        <v>4128</v>
      </c>
      <c r="C943" s="6">
        <v>1962</v>
      </c>
      <c r="D943" s="7" t="s">
        <v>12</v>
      </c>
      <c r="E943" s="7" t="s">
        <v>11</v>
      </c>
      <c r="F943" s="6">
        <v>56067</v>
      </c>
      <c r="G943" s="6">
        <v>0</v>
      </c>
      <c r="H943" s="6">
        <v>1</v>
      </c>
      <c r="I943" s="6">
        <f t="shared" si="14"/>
        <v>1</v>
      </c>
      <c r="J943" s="8">
        <v>41475</v>
      </c>
      <c r="K943" s="6">
        <v>51</v>
      </c>
      <c r="L943">
        <f>VLOOKUP(A943,Marketing_df2!$A$1:$F$2241,3,FALSE)</f>
        <v>12</v>
      </c>
      <c r="M943">
        <f>VLOOKUP(A943,Marketing_df2!$A$1:$F$2241,4,FALSE)</f>
        <v>6</v>
      </c>
      <c r="N943">
        <f>VLOOKUP(A943,Marketing_df2!$A$1:$F$2241,5,FALSE)</f>
        <v>7</v>
      </c>
      <c r="O943">
        <f>VLOOKUP(A943,Marketing_df2!$A$1:$F$2241,6,FALSE)</f>
        <v>7</v>
      </c>
    </row>
    <row r="944" spans="1:15" ht="12.5">
      <c r="A944" s="6">
        <v>942</v>
      </c>
      <c r="B944" s="6">
        <v>6810</v>
      </c>
      <c r="C944" s="6">
        <v>1983</v>
      </c>
      <c r="D944" s="7" t="s">
        <v>9</v>
      </c>
      <c r="E944" s="7" t="s">
        <v>15</v>
      </c>
      <c r="F944" s="6">
        <v>82025</v>
      </c>
      <c r="G944" s="6">
        <v>0</v>
      </c>
      <c r="H944" s="6">
        <v>0</v>
      </c>
      <c r="I944" s="6">
        <f t="shared" si="14"/>
        <v>0</v>
      </c>
      <c r="J944" s="8">
        <v>41422</v>
      </c>
      <c r="K944" s="6">
        <v>76</v>
      </c>
      <c r="L944">
        <f>VLOOKUP(A944,Marketing_df2!$A$1:$F$2241,3,FALSE)</f>
        <v>98</v>
      </c>
      <c r="M944">
        <f>VLOOKUP(A944,Marketing_df2!$A$1:$F$2241,4,FALSE)</f>
        <v>70</v>
      </c>
      <c r="N944">
        <f>VLOOKUP(A944,Marketing_df2!$A$1:$F$2241,5,FALSE)</f>
        <v>3</v>
      </c>
      <c r="O944">
        <f>VLOOKUP(A944,Marketing_df2!$A$1:$F$2241,6,FALSE)</f>
        <v>6</v>
      </c>
    </row>
    <row r="945" spans="1:15" ht="12.5">
      <c r="A945" s="6">
        <v>943</v>
      </c>
      <c r="B945" s="6">
        <v>5386</v>
      </c>
      <c r="C945" s="6">
        <v>1953</v>
      </c>
      <c r="D945" s="7" t="s">
        <v>9</v>
      </c>
      <c r="E945" s="7" t="s">
        <v>11</v>
      </c>
      <c r="F945" s="6">
        <v>94384</v>
      </c>
      <c r="G945" s="6">
        <v>0</v>
      </c>
      <c r="H945" s="6">
        <v>0</v>
      </c>
      <c r="I945" s="6">
        <f t="shared" si="14"/>
        <v>0</v>
      </c>
      <c r="J945" s="8">
        <v>41337</v>
      </c>
      <c r="K945" s="6">
        <v>62</v>
      </c>
      <c r="L945">
        <f>VLOOKUP(A945,Marketing_df2!$A$1:$F$2241,3,FALSE)</f>
        <v>24</v>
      </c>
      <c r="M945">
        <f>VLOOKUP(A945,Marketing_df2!$A$1:$F$2241,4,FALSE)</f>
        <v>45</v>
      </c>
      <c r="N945">
        <f>VLOOKUP(A945,Marketing_df2!$A$1:$F$2241,5,FALSE)</f>
        <v>5</v>
      </c>
      <c r="O945">
        <f>VLOOKUP(A945,Marketing_df2!$A$1:$F$2241,6,FALSE)</f>
        <v>5</v>
      </c>
    </row>
    <row r="946" spans="1:15" ht="12.5">
      <c r="A946" s="6">
        <v>944</v>
      </c>
      <c r="B946" s="6">
        <v>8700</v>
      </c>
      <c r="C946" s="6">
        <v>1986</v>
      </c>
      <c r="D946" s="7" t="s">
        <v>16</v>
      </c>
      <c r="E946" s="7" t="s">
        <v>10</v>
      </c>
      <c r="F946" s="6">
        <v>14906</v>
      </c>
      <c r="G946" s="6">
        <v>0</v>
      </c>
      <c r="H946" s="6">
        <v>0</v>
      </c>
      <c r="I946" s="6">
        <f t="shared" si="14"/>
        <v>0</v>
      </c>
      <c r="J946" s="9">
        <v>41265</v>
      </c>
      <c r="K946" s="6">
        <v>86</v>
      </c>
      <c r="L946">
        <f>VLOOKUP(A946,Marketing_df2!$A$1:$F$2241,3,FALSE)</f>
        <v>7</v>
      </c>
      <c r="M946">
        <f>VLOOKUP(A946,Marketing_df2!$A$1:$F$2241,4,FALSE)</f>
        <v>16</v>
      </c>
      <c r="N946">
        <f>VLOOKUP(A946,Marketing_df2!$A$1:$F$2241,5,FALSE)</f>
        <v>2</v>
      </c>
      <c r="O946">
        <f>VLOOKUP(A946,Marketing_df2!$A$1:$F$2241,6,FALSE)</f>
        <v>3</v>
      </c>
    </row>
    <row r="947" spans="1:15" ht="12.5">
      <c r="A947" s="6">
        <v>945</v>
      </c>
      <c r="B947" s="6">
        <v>3202</v>
      </c>
      <c r="C947" s="6">
        <v>1987</v>
      </c>
      <c r="D947" s="7" t="s">
        <v>12</v>
      </c>
      <c r="E947" s="7" t="s">
        <v>13</v>
      </c>
      <c r="F947" s="6">
        <v>51563</v>
      </c>
      <c r="G947" s="6">
        <v>0</v>
      </c>
      <c r="H947" s="6">
        <v>0</v>
      </c>
      <c r="I947" s="6">
        <f t="shared" si="14"/>
        <v>0</v>
      </c>
      <c r="J947" s="8">
        <v>41183</v>
      </c>
      <c r="K947" s="6">
        <v>60</v>
      </c>
      <c r="L947">
        <f>VLOOKUP(A947,Marketing_df2!$A$1:$F$2241,3,FALSE)</f>
        <v>0</v>
      </c>
      <c r="M947">
        <f>VLOOKUP(A947,Marketing_df2!$A$1:$F$2241,4,FALSE)</f>
        <v>0</v>
      </c>
      <c r="N947">
        <f>VLOOKUP(A947,Marketing_df2!$A$1:$F$2241,5,FALSE)</f>
        <v>4</v>
      </c>
      <c r="O947">
        <f>VLOOKUP(A947,Marketing_df2!$A$1:$F$2241,6,FALSE)</f>
        <v>10</v>
      </c>
    </row>
    <row r="948" spans="1:15" ht="12.5">
      <c r="A948" s="6">
        <v>946</v>
      </c>
      <c r="B948" s="6">
        <v>1328</v>
      </c>
      <c r="C948" s="6">
        <v>1982</v>
      </c>
      <c r="D948" s="7" t="s">
        <v>17</v>
      </c>
      <c r="E948" s="7" t="s">
        <v>13</v>
      </c>
      <c r="F948" s="6">
        <v>57937</v>
      </c>
      <c r="G948" s="6">
        <v>0</v>
      </c>
      <c r="H948" s="6">
        <v>1</v>
      </c>
      <c r="I948" s="6">
        <f t="shared" si="14"/>
        <v>1</v>
      </c>
      <c r="J948" s="8">
        <v>41686</v>
      </c>
      <c r="K948" s="6">
        <v>56</v>
      </c>
      <c r="L948">
        <f>VLOOKUP(A948,Marketing_df2!$A$1:$F$2241,3,FALSE)</f>
        <v>42</v>
      </c>
      <c r="M948">
        <f>VLOOKUP(A948,Marketing_df2!$A$1:$F$2241,4,FALSE)</f>
        <v>48</v>
      </c>
      <c r="N948">
        <f>VLOOKUP(A948,Marketing_df2!$A$1:$F$2241,5,FALSE)</f>
        <v>4</v>
      </c>
      <c r="O948">
        <f>VLOOKUP(A948,Marketing_df2!$A$1:$F$2241,6,FALSE)</f>
        <v>9</v>
      </c>
    </row>
    <row r="949" spans="1:15" ht="12.5">
      <c r="A949" s="6">
        <v>947</v>
      </c>
      <c r="B949" s="6">
        <v>8405</v>
      </c>
      <c r="C949" s="6">
        <v>1979</v>
      </c>
      <c r="D949" s="7" t="s">
        <v>9</v>
      </c>
      <c r="E949" s="7" t="s">
        <v>15</v>
      </c>
      <c r="F949" s="6">
        <v>68274</v>
      </c>
      <c r="G949" s="6">
        <v>1</v>
      </c>
      <c r="H949" s="6">
        <v>1</v>
      </c>
      <c r="I949" s="6">
        <f t="shared" si="14"/>
        <v>2</v>
      </c>
      <c r="J949" s="8">
        <v>41547</v>
      </c>
      <c r="K949" s="6">
        <v>83</v>
      </c>
      <c r="L949">
        <f>VLOOKUP(A949,Marketing_df2!$A$1:$F$2241,3,FALSE)</f>
        <v>25</v>
      </c>
      <c r="M949">
        <f>VLOOKUP(A949,Marketing_df2!$A$1:$F$2241,4,FALSE)</f>
        <v>25</v>
      </c>
      <c r="N949">
        <f>VLOOKUP(A949,Marketing_df2!$A$1:$F$2241,5,FALSE)</f>
        <v>4</v>
      </c>
      <c r="O949">
        <f>VLOOKUP(A949,Marketing_df2!$A$1:$F$2241,6,FALSE)</f>
        <v>5</v>
      </c>
    </row>
    <row r="950" spans="1:15" ht="12.5">
      <c r="A950" s="6">
        <v>948</v>
      </c>
      <c r="B950" s="6">
        <v>6515</v>
      </c>
      <c r="C950" s="6">
        <v>1977</v>
      </c>
      <c r="D950" s="7" t="s">
        <v>9</v>
      </c>
      <c r="E950" s="7" t="s">
        <v>11</v>
      </c>
      <c r="F950" s="6">
        <v>39771</v>
      </c>
      <c r="G950" s="6">
        <v>1</v>
      </c>
      <c r="H950" s="6">
        <v>0</v>
      </c>
      <c r="I950" s="6">
        <f t="shared" si="14"/>
        <v>1</v>
      </c>
      <c r="J950" s="8">
        <v>41614</v>
      </c>
      <c r="K950" s="6">
        <v>92</v>
      </c>
      <c r="L950">
        <f>VLOOKUP(A950,Marketing_df2!$A$1:$F$2241,3,FALSE)</f>
        <v>2</v>
      </c>
      <c r="M950">
        <f>VLOOKUP(A950,Marketing_df2!$A$1:$F$2241,4,FALSE)</f>
        <v>8</v>
      </c>
      <c r="N950">
        <f>VLOOKUP(A950,Marketing_df2!$A$1:$F$2241,5,FALSE)</f>
        <v>2</v>
      </c>
      <c r="O950">
        <f>VLOOKUP(A950,Marketing_df2!$A$1:$F$2241,6,FALSE)</f>
        <v>3</v>
      </c>
    </row>
    <row r="951" spans="1:15" ht="12.5">
      <c r="A951" s="6">
        <v>949</v>
      </c>
      <c r="B951" s="6">
        <v>2882</v>
      </c>
      <c r="C951" s="6">
        <v>1975</v>
      </c>
      <c r="D951" s="7" t="s">
        <v>17</v>
      </c>
      <c r="E951" s="7" t="s">
        <v>15</v>
      </c>
      <c r="F951" s="6">
        <v>67893</v>
      </c>
      <c r="G951" s="6">
        <v>0</v>
      </c>
      <c r="H951" s="6">
        <v>1</v>
      </c>
      <c r="I951" s="6">
        <f t="shared" si="14"/>
        <v>1</v>
      </c>
      <c r="J951" s="8">
        <v>41183</v>
      </c>
      <c r="K951" s="6">
        <v>31</v>
      </c>
      <c r="L951">
        <f>VLOOKUP(A951,Marketing_df2!$A$1:$F$2241,3,FALSE)</f>
        <v>28</v>
      </c>
      <c r="M951">
        <f>VLOOKUP(A951,Marketing_df2!$A$1:$F$2241,4,FALSE)</f>
        <v>18</v>
      </c>
      <c r="N951">
        <f>VLOOKUP(A951,Marketing_df2!$A$1:$F$2241,5,FALSE)</f>
        <v>3</v>
      </c>
      <c r="O951">
        <f>VLOOKUP(A951,Marketing_df2!$A$1:$F$2241,6,FALSE)</f>
        <v>9</v>
      </c>
    </row>
    <row r="952" spans="1:15" ht="12.5">
      <c r="A952" s="6">
        <v>950</v>
      </c>
      <c r="B952" s="6">
        <v>7574</v>
      </c>
      <c r="C952" s="6">
        <v>1979</v>
      </c>
      <c r="D952" s="7" t="s">
        <v>12</v>
      </c>
      <c r="E952" s="7" t="s">
        <v>11</v>
      </c>
      <c r="F952" s="6">
        <v>27922</v>
      </c>
      <c r="G952" s="6">
        <v>1</v>
      </c>
      <c r="H952" s="6">
        <v>0</v>
      </c>
      <c r="I952" s="6">
        <f t="shared" si="14"/>
        <v>1</v>
      </c>
      <c r="J952" s="8">
        <v>41769</v>
      </c>
      <c r="K952" s="6">
        <v>80</v>
      </c>
      <c r="L952">
        <f>VLOOKUP(A952,Marketing_df2!$A$1:$F$2241,3,FALSE)</f>
        <v>0</v>
      </c>
      <c r="M952">
        <f>VLOOKUP(A952,Marketing_df2!$A$1:$F$2241,4,FALSE)</f>
        <v>4</v>
      </c>
      <c r="N952">
        <f>VLOOKUP(A952,Marketing_df2!$A$1:$F$2241,5,FALSE)</f>
        <v>2</v>
      </c>
      <c r="O952">
        <f>VLOOKUP(A952,Marketing_df2!$A$1:$F$2241,6,FALSE)</f>
        <v>3</v>
      </c>
    </row>
    <row r="953" spans="1:15" ht="12.5">
      <c r="A953" s="6">
        <v>951</v>
      </c>
      <c r="B953" s="6">
        <v>6387</v>
      </c>
      <c r="C953" s="6">
        <v>1976</v>
      </c>
      <c r="D953" s="7" t="s">
        <v>12</v>
      </c>
      <c r="E953" s="7" t="s">
        <v>11</v>
      </c>
      <c r="F953" s="6">
        <v>52190</v>
      </c>
      <c r="G953" s="6">
        <v>1</v>
      </c>
      <c r="H953" s="6">
        <v>1</v>
      </c>
      <c r="I953" s="6">
        <f t="shared" si="14"/>
        <v>2</v>
      </c>
      <c r="J953" s="8">
        <v>41767</v>
      </c>
      <c r="K953" s="6">
        <v>39</v>
      </c>
      <c r="L953">
        <f>VLOOKUP(A953,Marketing_df2!$A$1:$F$2241,3,FALSE)</f>
        <v>0</v>
      </c>
      <c r="M953">
        <f>VLOOKUP(A953,Marketing_df2!$A$1:$F$2241,4,FALSE)</f>
        <v>0</v>
      </c>
      <c r="N953">
        <f>VLOOKUP(A953,Marketing_df2!$A$1:$F$2241,5,FALSE)</f>
        <v>2</v>
      </c>
      <c r="O953">
        <f>VLOOKUP(A953,Marketing_df2!$A$1:$F$2241,6,FALSE)</f>
        <v>3</v>
      </c>
    </row>
    <row r="954" spans="1:15" ht="12.5">
      <c r="A954" s="6">
        <v>952</v>
      </c>
      <c r="B954" s="6">
        <v>5320</v>
      </c>
      <c r="C954" s="6">
        <v>1973</v>
      </c>
      <c r="D954" s="7" t="s">
        <v>14</v>
      </c>
      <c r="E954" s="7" t="s">
        <v>15</v>
      </c>
      <c r="F954" s="6">
        <v>44051</v>
      </c>
      <c r="G954" s="6">
        <v>1</v>
      </c>
      <c r="H954" s="6">
        <v>1</v>
      </c>
      <c r="I954" s="6">
        <f t="shared" si="14"/>
        <v>2</v>
      </c>
      <c r="J954" s="8">
        <v>41303</v>
      </c>
      <c r="K954" s="6">
        <v>20</v>
      </c>
      <c r="L954">
        <f>VLOOKUP(A954,Marketing_df2!$A$1:$F$2241,3,FALSE)</f>
        <v>7</v>
      </c>
      <c r="M954">
        <f>VLOOKUP(A954,Marketing_df2!$A$1:$F$2241,4,FALSE)</f>
        <v>3</v>
      </c>
      <c r="N954">
        <f>VLOOKUP(A954,Marketing_df2!$A$1:$F$2241,5,FALSE)</f>
        <v>3</v>
      </c>
      <c r="O954">
        <f>VLOOKUP(A954,Marketing_df2!$A$1:$F$2241,6,FALSE)</f>
        <v>4</v>
      </c>
    </row>
    <row r="955" spans="1:15" ht="12.5">
      <c r="A955" s="6">
        <v>953</v>
      </c>
      <c r="B955" s="6">
        <v>5048</v>
      </c>
      <c r="C955" s="6">
        <v>1971</v>
      </c>
      <c r="D955" s="7" t="s">
        <v>12</v>
      </c>
      <c r="E955" s="7" t="s">
        <v>10</v>
      </c>
      <c r="F955" s="6">
        <v>42767</v>
      </c>
      <c r="G955" s="6">
        <v>2</v>
      </c>
      <c r="H955" s="6">
        <v>0</v>
      </c>
      <c r="I955" s="6">
        <f t="shared" si="14"/>
        <v>2</v>
      </c>
      <c r="J955" s="8">
        <v>41405</v>
      </c>
      <c r="K955" s="6">
        <v>53</v>
      </c>
      <c r="L955">
        <f>VLOOKUP(A955,Marketing_df2!$A$1:$F$2241,3,FALSE)</f>
        <v>6</v>
      </c>
      <c r="M955">
        <f>VLOOKUP(A955,Marketing_df2!$A$1:$F$2241,4,FALSE)</f>
        <v>5</v>
      </c>
      <c r="N955">
        <f>VLOOKUP(A955,Marketing_df2!$A$1:$F$2241,5,FALSE)</f>
        <v>3</v>
      </c>
      <c r="O955">
        <f>VLOOKUP(A955,Marketing_df2!$A$1:$F$2241,6,FALSE)</f>
        <v>2</v>
      </c>
    </row>
    <row r="956" spans="1:15" ht="12.5">
      <c r="A956" s="6">
        <v>954</v>
      </c>
      <c r="B956" s="6">
        <v>8146</v>
      </c>
      <c r="C956" s="6">
        <v>1976</v>
      </c>
      <c r="D956" s="7" t="s">
        <v>14</v>
      </c>
      <c r="E956" s="7" t="s">
        <v>11</v>
      </c>
      <c r="F956" s="6">
        <v>46106</v>
      </c>
      <c r="G956" s="6">
        <v>1</v>
      </c>
      <c r="H956" s="6">
        <v>1</v>
      </c>
      <c r="I956" s="6">
        <f t="shared" si="14"/>
        <v>2</v>
      </c>
      <c r="J956" s="8">
        <v>41770</v>
      </c>
      <c r="K956" s="6">
        <v>84</v>
      </c>
      <c r="L956">
        <f>VLOOKUP(A956,Marketing_df2!$A$1:$F$2241,3,FALSE)</f>
        <v>0</v>
      </c>
      <c r="M956">
        <f>VLOOKUP(A956,Marketing_df2!$A$1:$F$2241,4,FALSE)</f>
        <v>0</v>
      </c>
      <c r="N956">
        <f>VLOOKUP(A956,Marketing_df2!$A$1:$F$2241,5,FALSE)</f>
        <v>1</v>
      </c>
      <c r="O956">
        <f>VLOOKUP(A956,Marketing_df2!$A$1:$F$2241,6,FALSE)</f>
        <v>2</v>
      </c>
    </row>
    <row r="957" spans="1:15" ht="12.5">
      <c r="A957" s="6">
        <v>955</v>
      </c>
      <c r="B957" s="6">
        <v>10031</v>
      </c>
      <c r="C957" s="6">
        <v>1976</v>
      </c>
      <c r="D957" s="7" t="s">
        <v>12</v>
      </c>
      <c r="E957" s="7" t="s">
        <v>13</v>
      </c>
      <c r="F957" s="6">
        <v>16927</v>
      </c>
      <c r="G957" s="6">
        <v>1</v>
      </c>
      <c r="H957" s="6">
        <v>1</v>
      </c>
      <c r="I957" s="6">
        <f t="shared" si="14"/>
        <v>2</v>
      </c>
      <c r="J957" s="8">
        <v>41315</v>
      </c>
      <c r="K957" s="6">
        <v>50</v>
      </c>
      <c r="L957">
        <f>VLOOKUP(A957,Marketing_df2!$A$1:$F$2241,3,FALSE)</f>
        <v>2</v>
      </c>
      <c r="M957">
        <f>VLOOKUP(A957,Marketing_df2!$A$1:$F$2241,4,FALSE)</f>
        <v>1</v>
      </c>
      <c r="N957">
        <f>VLOOKUP(A957,Marketing_df2!$A$1:$F$2241,5,FALSE)</f>
        <v>3</v>
      </c>
      <c r="O957">
        <f>VLOOKUP(A957,Marketing_df2!$A$1:$F$2241,6,FALSE)</f>
        <v>4</v>
      </c>
    </row>
    <row r="958" spans="1:15" ht="12.5">
      <c r="A958" s="6">
        <v>956</v>
      </c>
      <c r="B958" s="6">
        <v>5748</v>
      </c>
      <c r="C958" s="6">
        <v>1965</v>
      </c>
      <c r="D958" s="7" t="s">
        <v>9</v>
      </c>
      <c r="E958" s="7" t="s">
        <v>13</v>
      </c>
      <c r="F958" s="6">
        <v>59754</v>
      </c>
      <c r="G958" s="6">
        <v>0</v>
      </c>
      <c r="H958" s="6">
        <v>1</v>
      </c>
      <c r="I958" s="6">
        <f t="shared" si="14"/>
        <v>1</v>
      </c>
      <c r="J958" s="8">
        <v>41244</v>
      </c>
      <c r="K958" s="6">
        <v>96</v>
      </c>
      <c r="L958">
        <f>VLOOKUP(A958,Marketing_df2!$A$1:$F$2241,3,FALSE)</f>
        <v>27</v>
      </c>
      <c r="M958">
        <f>VLOOKUP(A958,Marketing_df2!$A$1:$F$2241,4,FALSE)</f>
        <v>146</v>
      </c>
      <c r="N958">
        <f>VLOOKUP(A958,Marketing_df2!$A$1:$F$2241,5,FALSE)</f>
        <v>5</v>
      </c>
      <c r="O958">
        <f>VLOOKUP(A958,Marketing_df2!$A$1:$F$2241,6,FALSE)</f>
        <v>6</v>
      </c>
    </row>
    <row r="959" spans="1:15" ht="12.5">
      <c r="A959" s="6">
        <v>957</v>
      </c>
      <c r="B959" s="6">
        <v>2134</v>
      </c>
      <c r="C959" s="6">
        <v>1952</v>
      </c>
      <c r="D959" s="7" t="s">
        <v>9</v>
      </c>
      <c r="E959" s="7" t="s">
        <v>10</v>
      </c>
      <c r="F959" s="6">
        <v>53700</v>
      </c>
      <c r="G959" s="6">
        <v>0</v>
      </c>
      <c r="H959" s="6">
        <v>1</v>
      </c>
      <c r="I959" s="6">
        <f t="shared" si="14"/>
        <v>1</v>
      </c>
      <c r="J959" s="8">
        <v>41138</v>
      </c>
      <c r="K959" s="6">
        <v>94</v>
      </c>
      <c r="L959">
        <f>VLOOKUP(A959,Marketing_df2!$A$1:$F$2241,3,FALSE)</f>
        <v>5</v>
      </c>
      <c r="M959">
        <f>VLOOKUP(A959,Marketing_df2!$A$1:$F$2241,4,FALSE)</f>
        <v>41</v>
      </c>
      <c r="N959">
        <f>VLOOKUP(A959,Marketing_df2!$A$1:$F$2241,5,FALSE)</f>
        <v>5</v>
      </c>
      <c r="O959">
        <f>VLOOKUP(A959,Marketing_df2!$A$1:$F$2241,6,FALSE)</f>
        <v>8</v>
      </c>
    </row>
    <row r="960" spans="1:15" ht="12.5">
      <c r="A960" s="6">
        <v>958</v>
      </c>
      <c r="B960" s="6">
        <v>1523</v>
      </c>
      <c r="C960" s="6">
        <v>1973</v>
      </c>
      <c r="D960" s="7" t="s">
        <v>9</v>
      </c>
      <c r="E960" s="7" t="s">
        <v>13</v>
      </c>
      <c r="F960" s="6">
        <v>59041</v>
      </c>
      <c r="G960" s="6">
        <v>1</v>
      </c>
      <c r="H960" s="6">
        <v>1</v>
      </c>
      <c r="I960" s="6">
        <f t="shared" si="14"/>
        <v>2</v>
      </c>
      <c r="J960" s="8">
        <v>41766</v>
      </c>
      <c r="K960" s="6">
        <v>25</v>
      </c>
      <c r="L960">
        <f>VLOOKUP(A960,Marketing_df2!$A$1:$F$2241,3,FALSE)</f>
        <v>2</v>
      </c>
      <c r="M960">
        <f>VLOOKUP(A960,Marketing_df2!$A$1:$F$2241,4,FALSE)</f>
        <v>2</v>
      </c>
      <c r="N960">
        <f>VLOOKUP(A960,Marketing_df2!$A$1:$F$2241,5,FALSE)</f>
        <v>2</v>
      </c>
      <c r="O960">
        <f>VLOOKUP(A960,Marketing_df2!$A$1:$F$2241,6,FALSE)</f>
        <v>4</v>
      </c>
    </row>
    <row r="961" spans="1:15" ht="12.5">
      <c r="A961" s="6">
        <v>959</v>
      </c>
      <c r="B961" s="6">
        <v>9665</v>
      </c>
      <c r="C961" s="6">
        <v>1957</v>
      </c>
      <c r="D961" s="7" t="s">
        <v>12</v>
      </c>
      <c r="E961" s="7" t="s">
        <v>15</v>
      </c>
      <c r="F961" s="6">
        <v>54237</v>
      </c>
      <c r="G961" s="6">
        <v>0</v>
      </c>
      <c r="H961" s="6">
        <v>1</v>
      </c>
      <c r="I961" s="6">
        <f t="shared" si="14"/>
        <v>1</v>
      </c>
      <c r="J961" s="8">
        <v>41391</v>
      </c>
      <c r="K961" s="6">
        <v>48</v>
      </c>
      <c r="L961">
        <f>VLOOKUP(A961,Marketing_df2!$A$1:$F$2241,3,FALSE)</f>
        <v>3</v>
      </c>
      <c r="M961">
        <f>VLOOKUP(A961,Marketing_df2!$A$1:$F$2241,4,FALSE)</f>
        <v>0</v>
      </c>
      <c r="N961">
        <f>VLOOKUP(A961,Marketing_df2!$A$1:$F$2241,5,FALSE)</f>
        <v>5</v>
      </c>
      <c r="O961">
        <f>VLOOKUP(A961,Marketing_df2!$A$1:$F$2241,6,FALSE)</f>
        <v>5</v>
      </c>
    </row>
    <row r="962" spans="1:15" ht="12.5">
      <c r="A962" s="6">
        <v>960</v>
      </c>
      <c r="B962" s="6">
        <v>4640</v>
      </c>
      <c r="C962" s="6">
        <v>1967</v>
      </c>
      <c r="D962" s="7" t="s">
        <v>9</v>
      </c>
      <c r="E962" s="7" t="s">
        <v>15</v>
      </c>
      <c r="F962" s="6">
        <v>70647</v>
      </c>
      <c r="G962" s="6">
        <v>0</v>
      </c>
      <c r="H962" s="6">
        <v>1</v>
      </c>
      <c r="I962" s="6">
        <f t="shared" si="14"/>
        <v>1</v>
      </c>
      <c r="J962" s="8">
        <v>41173</v>
      </c>
      <c r="K962" s="6">
        <v>65</v>
      </c>
      <c r="L962">
        <f>VLOOKUP(A962,Marketing_df2!$A$1:$F$2241,3,FALSE)</f>
        <v>85</v>
      </c>
      <c r="M962">
        <f>VLOOKUP(A962,Marketing_df2!$A$1:$F$2241,4,FALSE)</f>
        <v>123</v>
      </c>
      <c r="N962">
        <f>VLOOKUP(A962,Marketing_df2!$A$1:$F$2241,5,FALSE)</f>
        <v>4</v>
      </c>
      <c r="O962">
        <f>VLOOKUP(A962,Marketing_df2!$A$1:$F$2241,6,FALSE)</f>
        <v>13</v>
      </c>
    </row>
    <row r="963" spans="1:15" ht="12.5">
      <c r="A963" s="6">
        <v>961</v>
      </c>
      <c r="B963" s="6">
        <v>3635</v>
      </c>
      <c r="C963" s="6">
        <v>1962</v>
      </c>
      <c r="D963" s="7" t="s">
        <v>12</v>
      </c>
      <c r="E963" s="7" t="s">
        <v>10</v>
      </c>
      <c r="F963" s="6">
        <v>52597</v>
      </c>
      <c r="G963" s="6">
        <v>0</v>
      </c>
      <c r="H963" s="6">
        <v>1</v>
      </c>
      <c r="I963" s="6">
        <f t="shared" ref="I963:I1026" si="15">G963+H963</f>
        <v>1</v>
      </c>
      <c r="J963" s="8">
        <v>41766</v>
      </c>
      <c r="K963" s="6">
        <v>69</v>
      </c>
      <c r="L963">
        <f>VLOOKUP(A963,Marketing_df2!$A$1:$F$2241,3,FALSE)</f>
        <v>0</v>
      </c>
      <c r="M963">
        <f>VLOOKUP(A963,Marketing_df2!$A$1:$F$2241,4,FALSE)</f>
        <v>0</v>
      </c>
      <c r="N963">
        <f>VLOOKUP(A963,Marketing_df2!$A$1:$F$2241,5,FALSE)</f>
        <v>6</v>
      </c>
      <c r="O963">
        <f>VLOOKUP(A963,Marketing_df2!$A$1:$F$2241,6,FALSE)</f>
        <v>8</v>
      </c>
    </row>
    <row r="964" spans="1:15" ht="12.5">
      <c r="A964" s="6">
        <v>962</v>
      </c>
      <c r="B964" s="6">
        <v>3547</v>
      </c>
      <c r="C964" s="6">
        <v>1969</v>
      </c>
      <c r="D964" s="7" t="s">
        <v>14</v>
      </c>
      <c r="E964" s="7" t="s">
        <v>11</v>
      </c>
      <c r="F964" s="6">
        <v>41021</v>
      </c>
      <c r="G964" s="6">
        <v>1</v>
      </c>
      <c r="H964" s="6">
        <v>0</v>
      </c>
      <c r="I964" s="6">
        <f t="shared" si="15"/>
        <v>1</v>
      </c>
      <c r="J964" s="9">
        <v>41273</v>
      </c>
      <c r="K964" s="6">
        <v>12</v>
      </c>
      <c r="L964">
        <f>VLOOKUP(A964,Marketing_df2!$A$1:$F$2241,3,FALSE)</f>
        <v>7</v>
      </c>
      <c r="M964">
        <f>VLOOKUP(A964,Marketing_df2!$A$1:$F$2241,4,FALSE)</f>
        <v>16</v>
      </c>
      <c r="N964">
        <f>VLOOKUP(A964,Marketing_df2!$A$1:$F$2241,5,FALSE)</f>
        <v>2</v>
      </c>
      <c r="O964">
        <f>VLOOKUP(A964,Marketing_df2!$A$1:$F$2241,6,FALSE)</f>
        <v>3</v>
      </c>
    </row>
    <row r="965" spans="1:15" ht="12.5">
      <c r="A965" s="6">
        <v>963</v>
      </c>
      <c r="B965" s="6">
        <v>2456</v>
      </c>
      <c r="C965" s="6">
        <v>1975</v>
      </c>
      <c r="D965" s="7" t="s">
        <v>12</v>
      </c>
      <c r="E965" s="7" t="s">
        <v>13</v>
      </c>
      <c r="F965" s="6">
        <v>40233</v>
      </c>
      <c r="G965" s="6">
        <v>0</v>
      </c>
      <c r="H965" s="6">
        <v>1</v>
      </c>
      <c r="I965" s="6">
        <f t="shared" si="15"/>
        <v>1</v>
      </c>
      <c r="J965" s="9">
        <v>41561</v>
      </c>
      <c r="K965" s="6">
        <v>84</v>
      </c>
      <c r="L965">
        <f>VLOOKUP(A965,Marketing_df2!$A$1:$F$2241,3,FALSE)</f>
        <v>4</v>
      </c>
      <c r="M965">
        <f>VLOOKUP(A965,Marketing_df2!$A$1:$F$2241,4,FALSE)</f>
        <v>17</v>
      </c>
      <c r="N965">
        <f>VLOOKUP(A965,Marketing_df2!$A$1:$F$2241,5,FALSE)</f>
        <v>2</v>
      </c>
      <c r="O965">
        <f>VLOOKUP(A965,Marketing_df2!$A$1:$F$2241,6,FALSE)</f>
        <v>5</v>
      </c>
    </row>
    <row r="966" spans="1:15" ht="12.5">
      <c r="A966" s="6">
        <v>964</v>
      </c>
      <c r="B966" s="6">
        <v>5633</v>
      </c>
      <c r="C966" s="6">
        <v>1980</v>
      </c>
      <c r="D966" s="7" t="s">
        <v>9</v>
      </c>
      <c r="E966" s="7" t="s">
        <v>13</v>
      </c>
      <c r="F966" s="6">
        <v>50183</v>
      </c>
      <c r="G966" s="6">
        <v>1</v>
      </c>
      <c r="H966" s="6">
        <v>1</v>
      </c>
      <c r="I966" s="6">
        <f t="shared" si="15"/>
        <v>2</v>
      </c>
      <c r="J966" s="8">
        <v>41815</v>
      </c>
      <c r="K966" s="6">
        <v>47</v>
      </c>
      <c r="L966">
        <f>VLOOKUP(A966,Marketing_df2!$A$1:$F$2241,3,FALSE)</f>
        <v>12</v>
      </c>
      <c r="M966">
        <f>VLOOKUP(A966,Marketing_df2!$A$1:$F$2241,4,FALSE)</f>
        <v>10</v>
      </c>
      <c r="N966">
        <f>VLOOKUP(A966,Marketing_df2!$A$1:$F$2241,5,FALSE)</f>
        <v>3</v>
      </c>
      <c r="O966">
        <f>VLOOKUP(A966,Marketing_df2!$A$1:$F$2241,6,FALSE)</f>
        <v>6</v>
      </c>
    </row>
    <row r="967" spans="1:15" ht="12.5">
      <c r="A967" s="6">
        <v>965</v>
      </c>
      <c r="B967" s="6">
        <v>7801</v>
      </c>
      <c r="C967" s="6">
        <v>1959</v>
      </c>
      <c r="D967" s="7" t="s">
        <v>9</v>
      </c>
      <c r="E967" s="7" t="s">
        <v>11</v>
      </c>
      <c r="F967" s="6">
        <v>54753</v>
      </c>
      <c r="G967" s="6">
        <v>0</v>
      </c>
      <c r="H967" s="6">
        <v>1</v>
      </c>
      <c r="I967" s="6">
        <f t="shared" si="15"/>
        <v>1</v>
      </c>
      <c r="J967" s="8">
        <v>41529</v>
      </c>
      <c r="K967" s="6">
        <v>87</v>
      </c>
      <c r="L967">
        <f>VLOOKUP(A967,Marketing_df2!$A$1:$F$2241,3,FALSE)</f>
        <v>107</v>
      </c>
      <c r="M967">
        <f>VLOOKUP(A967,Marketing_df2!$A$1:$F$2241,4,FALSE)</f>
        <v>59</v>
      </c>
      <c r="N967">
        <f>VLOOKUP(A967,Marketing_df2!$A$1:$F$2241,5,FALSE)</f>
        <v>5</v>
      </c>
      <c r="O967">
        <f>VLOOKUP(A967,Marketing_df2!$A$1:$F$2241,6,FALSE)</f>
        <v>11</v>
      </c>
    </row>
    <row r="968" spans="1:15" ht="12.5">
      <c r="A968" s="6">
        <v>966</v>
      </c>
      <c r="B968" s="6">
        <v>10489</v>
      </c>
      <c r="C968" s="6">
        <v>1973</v>
      </c>
      <c r="D968" s="7" t="s">
        <v>9</v>
      </c>
      <c r="E968" s="7" t="s">
        <v>13</v>
      </c>
      <c r="F968" s="6">
        <v>92955</v>
      </c>
      <c r="G968" s="6">
        <v>0</v>
      </c>
      <c r="H968" s="6">
        <v>0</v>
      </c>
      <c r="I968" s="6">
        <f t="shared" si="15"/>
        <v>0</v>
      </c>
      <c r="J968" s="8">
        <v>41505</v>
      </c>
      <c r="K968" s="6">
        <v>35</v>
      </c>
      <c r="L968">
        <f>VLOOKUP(A968,Marketing_df2!$A$1:$F$2241,3,FALSE)</f>
        <v>21</v>
      </c>
      <c r="M968">
        <f>VLOOKUP(A968,Marketing_df2!$A$1:$F$2241,4,FALSE)</f>
        <v>24</v>
      </c>
      <c r="N968">
        <f>VLOOKUP(A968,Marketing_df2!$A$1:$F$2241,5,FALSE)</f>
        <v>6</v>
      </c>
      <c r="O968">
        <f>VLOOKUP(A968,Marketing_df2!$A$1:$F$2241,6,FALSE)</f>
        <v>9</v>
      </c>
    </row>
    <row r="969" spans="1:15" ht="12.5">
      <c r="A969" s="6">
        <v>967</v>
      </c>
      <c r="B969" s="6">
        <v>7011</v>
      </c>
      <c r="C969" s="6">
        <v>1973</v>
      </c>
      <c r="D969" s="7" t="s">
        <v>9</v>
      </c>
      <c r="E969" s="7" t="s">
        <v>13</v>
      </c>
      <c r="F969" s="6">
        <v>33471</v>
      </c>
      <c r="G969" s="6">
        <v>1</v>
      </c>
      <c r="H969" s="6">
        <v>0</v>
      </c>
      <c r="I969" s="6">
        <f t="shared" si="15"/>
        <v>1</v>
      </c>
      <c r="J969" s="9">
        <v>41194</v>
      </c>
      <c r="K969" s="6">
        <v>47</v>
      </c>
      <c r="L969">
        <f>VLOOKUP(A969,Marketing_df2!$A$1:$F$2241,3,FALSE)</f>
        <v>2</v>
      </c>
      <c r="M969">
        <f>VLOOKUP(A969,Marketing_df2!$A$1:$F$2241,4,FALSE)</f>
        <v>9</v>
      </c>
      <c r="N969">
        <f>VLOOKUP(A969,Marketing_df2!$A$1:$F$2241,5,FALSE)</f>
        <v>3</v>
      </c>
      <c r="O969">
        <f>VLOOKUP(A969,Marketing_df2!$A$1:$F$2241,6,FALSE)</f>
        <v>4</v>
      </c>
    </row>
    <row r="970" spans="1:15" ht="12.5">
      <c r="A970" s="6">
        <v>968</v>
      </c>
      <c r="B970" s="6">
        <v>2620</v>
      </c>
      <c r="C970" s="6">
        <v>1974</v>
      </c>
      <c r="D970" s="7" t="s">
        <v>12</v>
      </c>
      <c r="E970" s="7" t="s">
        <v>13</v>
      </c>
      <c r="F970" s="6">
        <v>34596</v>
      </c>
      <c r="G970" s="6">
        <v>1</v>
      </c>
      <c r="H970" s="6">
        <v>0</v>
      </c>
      <c r="I970" s="6">
        <f t="shared" si="15"/>
        <v>1</v>
      </c>
      <c r="J970" s="8">
        <v>41377</v>
      </c>
      <c r="K970" s="6">
        <v>48</v>
      </c>
      <c r="L970">
        <f>VLOOKUP(A970,Marketing_df2!$A$1:$F$2241,3,FALSE)</f>
        <v>0</v>
      </c>
      <c r="M970">
        <f>VLOOKUP(A970,Marketing_df2!$A$1:$F$2241,4,FALSE)</f>
        <v>0</v>
      </c>
      <c r="N970">
        <f>VLOOKUP(A970,Marketing_df2!$A$1:$F$2241,5,FALSE)</f>
        <v>1</v>
      </c>
      <c r="O970">
        <f>VLOOKUP(A970,Marketing_df2!$A$1:$F$2241,6,FALSE)</f>
        <v>2</v>
      </c>
    </row>
    <row r="971" spans="1:15" ht="12.5">
      <c r="A971" s="6">
        <v>969</v>
      </c>
      <c r="B971" s="6">
        <v>3933</v>
      </c>
      <c r="C971" s="6">
        <v>1980</v>
      </c>
      <c r="D971" s="7" t="s">
        <v>9</v>
      </c>
      <c r="E971" s="7" t="s">
        <v>11</v>
      </c>
      <c r="F971" s="6">
        <v>44010</v>
      </c>
      <c r="G971" s="6">
        <v>1</v>
      </c>
      <c r="H971" s="6">
        <v>0</v>
      </c>
      <c r="I971" s="6">
        <f t="shared" si="15"/>
        <v>1</v>
      </c>
      <c r="J971" s="9">
        <v>41195</v>
      </c>
      <c r="K971" s="6">
        <v>46</v>
      </c>
      <c r="L971">
        <f>VLOOKUP(A971,Marketing_df2!$A$1:$F$2241,3,FALSE)</f>
        <v>36</v>
      </c>
      <c r="M971">
        <f>VLOOKUP(A971,Marketing_df2!$A$1:$F$2241,4,FALSE)</f>
        <v>72</v>
      </c>
      <c r="N971">
        <f>VLOOKUP(A971,Marketing_df2!$A$1:$F$2241,5,FALSE)</f>
        <v>10</v>
      </c>
      <c r="O971">
        <f>VLOOKUP(A971,Marketing_df2!$A$1:$F$2241,6,FALSE)</f>
        <v>6</v>
      </c>
    </row>
    <row r="972" spans="1:15" ht="12.5">
      <c r="A972" s="6">
        <v>970</v>
      </c>
      <c r="B972" s="6">
        <v>10981</v>
      </c>
      <c r="C972" s="6">
        <v>1988</v>
      </c>
      <c r="D972" s="7" t="s">
        <v>9</v>
      </c>
      <c r="E972" s="7" t="s">
        <v>13</v>
      </c>
      <c r="F972" s="6">
        <v>84219</v>
      </c>
      <c r="G972" s="6">
        <v>0</v>
      </c>
      <c r="H972" s="6">
        <v>0</v>
      </c>
      <c r="I972" s="6">
        <f t="shared" si="15"/>
        <v>0</v>
      </c>
      <c r="J972" s="8">
        <v>41672</v>
      </c>
      <c r="K972" s="6">
        <v>27</v>
      </c>
      <c r="L972">
        <f>VLOOKUP(A972,Marketing_df2!$A$1:$F$2241,3,FALSE)</f>
        <v>137</v>
      </c>
      <c r="M972">
        <f>VLOOKUP(A972,Marketing_df2!$A$1:$F$2241,4,FALSE)</f>
        <v>137</v>
      </c>
      <c r="N972">
        <f>VLOOKUP(A972,Marketing_df2!$A$1:$F$2241,5,FALSE)</f>
        <v>3</v>
      </c>
      <c r="O972">
        <f>VLOOKUP(A972,Marketing_df2!$A$1:$F$2241,6,FALSE)</f>
        <v>10</v>
      </c>
    </row>
    <row r="973" spans="1:15" ht="12.5">
      <c r="A973" s="6">
        <v>971</v>
      </c>
      <c r="B973" s="6">
        <v>1734</v>
      </c>
      <c r="C973" s="6">
        <v>1968</v>
      </c>
      <c r="D973" s="7" t="s">
        <v>12</v>
      </c>
      <c r="E973" s="7" t="s">
        <v>11</v>
      </c>
      <c r="F973" s="6">
        <v>40706</v>
      </c>
      <c r="G973" s="6">
        <v>2</v>
      </c>
      <c r="H973" s="6">
        <v>1</v>
      </c>
      <c r="I973" s="6">
        <f t="shared" si="15"/>
        <v>3</v>
      </c>
      <c r="J973" s="8">
        <v>41291</v>
      </c>
      <c r="K973" s="6">
        <v>37</v>
      </c>
      <c r="L973">
        <f>VLOOKUP(A973,Marketing_df2!$A$1:$F$2241,3,FALSE)</f>
        <v>0</v>
      </c>
      <c r="M973">
        <f>VLOOKUP(A973,Marketing_df2!$A$1:$F$2241,4,FALSE)</f>
        <v>2</v>
      </c>
      <c r="N973">
        <f>VLOOKUP(A973,Marketing_df2!$A$1:$F$2241,5,FALSE)</f>
        <v>3</v>
      </c>
      <c r="O973">
        <f>VLOOKUP(A973,Marketing_df2!$A$1:$F$2241,6,FALSE)</f>
        <v>4</v>
      </c>
    </row>
    <row r="974" spans="1:15" ht="12.5">
      <c r="A974" s="6">
        <v>972</v>
      </c>
      <c r="B974" s="6">
        <v>10995</v>
      </c>
      <c r="C974" s="6">
        <v>1988</v>
      </c>
      <c r="D974" s="7" t="s">
        <v>17</v>
      </c>
      <c r="E974" s="7" t="s">
        <v>13</v>
      </c>
      <c r="F974" s="6">
        <v>15716</v>
      </c>
      <c r="G974" s="6">
        <v>1</v>
      </c>
      <c r="H974" s="6">
        <v>0</v>
      </c>
      <c r="I974" s="6">
        <f t="shared" si="15"/>
        <v>1</v>
      </c>
      <c r="J974" s="9">
        <v>41225</v>
      </c>
      <c r="K974" s="6">
        <v>8</v>
      </c>
      <c r="L974">
        <f>VLOOKUP(A974,Marketing_df2!$A$1:$F$2241,3,FALSE)</f>
        <v>5</v>
      </c>
      <c r="M974">
        <f>VLOOKUP(A974,Marketing_df2!$A$1:$F$2241,4,FALSE)</f>
        <v>7</v>
      </c>
      <c r="N974">
        <f>VLOOKUP(A974,Marketing_df2!$A$1:$F$2241,5,FALSE)</f>
        <v>3</v>
      </c>
      <c r="O974">
        <f>VLOOKUP(A974,Marketing_df2!$A$1:$F$2241,6,FALSE)</f>
        <v>4</v>
      </c>
    </row>
    <row r="975" spans="1:15" ht="12.5">
      <c r="A975" s="6">
        <v>973</v>
      </c>
      <c r="B975" s="6">
        <v>6357</v>
      </c>
      <c r="C975" s="6">
        <v>1959</v>
      </c>
      <c r="D975" s="7" t="s">
        <v>17</v>
      </c>
      <c r="E975" s="7" t="s">
        <v>15</v>
      </c>
      <c r="F975" s="6">
        <v>59052</v>
      </c>
      <c r="G975" s="6">
        <v>0</v>
      </c>
      <c r="H975" s="6">
        <v>1</v>
      </c>
      <c r="I975" s="6">
        <f t="shared" si="15"/>
        <v>1</v>
      </c>
      <c r="J975" s="9">
        <v>41595</v>
      </c>
      <c r="K975" s="6">
        <v>29</v>
      </c>
      <c r="L975">
        <f>VLOOKUP(A975,Marketing_df2!$A$1:$F$2241,3,FALSE)</f>
        <v>35</v>
      </c>
      <c r="M975">
        <f>VLOOKUP(A975,Marketing_df2!$A$1:$F$2241,4,FALSE)</f>
        <v>57</v>
      </c>
      <c r="N975">
        <f>VLOOKUP(A975,Marketing_df2!$A$1:$F$2241,5,FALSE)</f>
        <v>7</v>
      </c>
      <c r="O975">
        <f>VLOOKUP(A975,Marketing_df2!$A$1:$F$2241,6,FALSE)</f>
        <v>7</v>
      </c>
    </row>
    <row r="976" spans="1:15" ht="12.5">
      <c r="A976" s="6">
        <v>974</v>
      </c>
      <c r="B976" s="6">
        <v>9209</v>
      </c>
      <c r="C976" s="6">
        <v>1971</v>
      </c>
      <c r="D976" s="7" t="s">
        <v>14</v>
      </c>
      <c r="E976" s="7" t="s">
        <v>11</v>
      </c>
      <c r="F976" s="6">
        <v>80573</v>
      </c>
      <c r="G976" s="6">
        <v>0</v>
      </c>
      <c r="H976" s="6">
        <v>0</v>
      </c>
      <c r="I976" s="6">
        <f t="shared" si="15"/>
        <v>0</v>
      </c>
      <c r="J976" s="9">
        <v>41196</v>
      </c>
      <c r="K976" s="6">
        <v>85</v>
      </c>
      <c r="L976">
        <f>VLOOKUP(A976,Marketing_df2!$A$1:$F$2241,3,FALSE)</f>
        <v>138</v>
      </c>
      <c r="M976">
        <f>VLOOKUP(A976,Marketing_df2!$A$1:$F$2241,4,FALSE)</f>
        <v>92</v>
      </c>
      <c r="N976">
        <f>VLOOKUP(A976,Marketing_df2!$A$1:$F$2241,5,FALSE)</f>
        <v>4</v>
      </c>
      <c r="O976">
        <f>VLOOKUP(A976,Marketing_df2!$A$1:$F$2241,6,FALSE)</f>
        <v>13</v>
      </c>
    </row>
    <row r="977" spans="1:15" ht="12.5">
      <c r="A977" s="6">
        <v>975</v>
      </c>
      <c r="B977" s="6">
        <v>10286</v>
      </c>
      <c r="C977" s="6">
        <v>1962</v>
      </c>
      <c r="D977" s="7" t="s">
        <v>9</v>
      </c>
      <c r="E977" s="7" t="s">
        <v>13</v>
      </c>
      <c r="F977" s="6">
        <v>83715</v>
      </c>
      <c r="G977" s="6">
        <v>0</v>
      </c>
      <c r="H977" s="6">
        <v>0</v>
      </c>
      <c r="I977" s="6">
        <f t="shared" si="15"/>
        <v>0</v>
      </c>
      <c r="J977" s="8">
        <v>41673</v>
      </c>
      <c r="K977" s="6">
        <v>2</v>
      </c>
      <c r="L977">
        <f>VLOOKUP(A977,Marketing_df2!$A$1:$F$2241,3,FALSE)</f>
        <v>8</v>
      </c>
      <c r="M977">
        <f>VLOOKUP(A977,Marketing_df2!$A$1:$F$2241,4,FALSE)</f>
        <v>35</v>
      </c>
      <c r="N977">
        <f>VLOOKUP(A977,Marketing_df2!$A$1:$F$2241,5,FALSE)</f>
        <v>2</v>
      </c>
      <c r="O977">
        <f>VLOOKUP(A977,Marketing_df2!$A$1:$F$2241,6,FALSE)</f>
        <v>13</v>
      </c>
    </row>
    <row r="978" spans="1:15" ht="12.5">
      <c r="A978" s="6">
        <v>976</v>
      </c>
      <c r="B978" s="6">
        <v>2611</v>
      </c>
      <c r="C978" s="6">
        <v>1959</v>
      </c>
      <c r="D978" s="7" t="s">
        <v>14</v>
      </c>
      <c r="E978" s="7" t="s">
        <v>11</v>
      </c>
      <c r="F978" s="6">
        <v>82576</v>
      </c>
      <c r="G978" s="6">
        <v>0</v>
      </c>
      <c r="H978" s="6">
        <v>0</v>
      </c>
      <c r="I978" s="6">
        <f t="shared" si="15"/>
        <v>0</v>
      </c>
      <c r="J978" s="8">
        <v>41122</v>
      </c>
      <c r="K978" s="6">
        <v>66</v>
      </c>
      <c r="L978">
        <f>VLOOKUP(A978,Marketing_df2!$A$1:$F$2241,3,FALSE)</f>
        <v>55</v>
      </c>
      <c r="M978">
        <f>VLOOKUP(A978,Marketing_df2!$A$1:$F$2241,4,FALSE)</f>
        <v>18</v>
      </c>
      <c r="N978">
        <f>VLOOKUP(A978,Marketing_df2!$A$1:$F$2241,5,FALSE)</f>
        <v>2</v>
      </c>
      <c r="O978">
        <f>VLOOKUP(A978,Marketing_df2!$A$1:$F$2241,6,FALSE)</f>
        <v>12</v>
      </c>
    </row>
    <row r="979" spans="1:15" ht="12.5">
      <c r="A979" s="6">
        <v>977</v>
      </c>
      <c r="B979" s="6">
        <v>1600</v>
      </c>
      <c r="C979" s="6">
        <v>1965</v>
      </c>
      <c r="D979" s="7" t="s">
        <v>14</v>
      </c>
      <c r="E979" s="7" t="s">
        <v>13</v>
      </c>
      <c r="F979" s="6">
        <v>56962</v>
      </c>
      <c r="G979" s="6">
        <v>2</v>
      </c>
      <c r="H979" s="6">
        <v>1</v>
      </c>
      <c r="I979" s="6">
        <f t="shared" si="15"/>
        <v>3</v>
      </c>
      <c r="J979" s="9">
        <v>41558</v>
      </c>
      <c r="K979" s="6">
        <v>60</v>
      </c>
      <c r="L979">
        <f>VLOOKUP(A979,Marketing_df2!$A$1:$F$2241,3,FALSE)</f>
        <v>3</v>
      </c>
      <c r="M979">
        <f>VLOOKUP(A979,Marketing_df2!$A$1:$F$2241,4,FALSE)</f>
        <v>3</v>
      </c>
      <c r="N979">
        <f>VLOOKUP(A979,Marketing_df2!$A$1:$F$2241,5,FALSE)</f>
        <v>6</v>
      </c>
      <c r="O979">
        <f>VLOOKUP(A979,Marketing_df2!$A$1:$F$2241,6,FALSE)</f>
        <v>5</v>
      </c>
    </row>
    <row r="980" spans="1:15" ht="12.5">
      <c r="A980" s="6">
        <v>978</v>
      </c>
      <c r="B980" s="6">
        <v>3308</v>
      </c>
      <c r="C980" s="6">
        <v>1952</v>
      </c>
      <c r="D980" s="7" t="s">
        <v>9</v>
      </c>
      <c r="E980" s="7" t="s">
        <v>13</v>
      </c>
      <c r="F980" s="6">
        <v>35704</v>
      </c>
      <c r="G980" s="6">
        <v>1</v>
      </c>
      <c r="H980" s="6">
        <v>1</v>
      </c>
      <c r="I980" s="6">
        <f t="shared" si="15"/>
        <v>2</v>
      </c>
      <c r="J980" s="8">
        <v>41642</v>
      </c>
      <c r="K980" s="6">
        <v>54</v>
      </c>
      <c r="L980">
        <f>VLOOKUP(A980,Marketing_df2!$A$1:$F$2241,3,FALSE)</f>
        <v>9</v>
      </c>
      <c r="M980">
        <f>VLOOKUP(A980,Marketing_df2!$A$1:$F$2241,4,FALSE)</f>
        <v>11</v>
      </c>
      <c r="N980">
        <f>VLOOKUP(A980,Marketing_df2!$A$1:$F$2241,5,FALSE)</f>
        <v>2</v>
      </c>
      <c r="O980">
        <f>VLOOKUP(A980,Marketing_df2!$A$1:$F$2241,6,FALSE)</f>
        <v>4</v>
      </c>
    </row>
    <row r="981" spans="1:15" ht="12.5">
      <c r="A981" s="6">
        <v>979</v>
      </c>
      <c r="B981" s="6">
        <v>5407</v>
      </c>
      <c r="C981" s="6">
        <v>1954</v>
      </c>
      <c r="D981" s="7" t="s">
        <v>9</v>
      </c>
      <c r="E981" s="7" t="s">
        <v>11</v>
      </c>
      <c r="F981" s="6">
        <v>53103</v>
      </c>
      <c r="G981" s="6">
        <v>0</v>
      </c>
      <c r="H981" s="6">
        <v>1</v>
      </c>
      <c r="I981" s="6">
        <f t="shared" si="15"/>
        <v>1</v>
      </c>
      <c r="J981" s="8">
        <v>41529</v>
      </c>
      <c r="K981" s="6">
        <v>70</v>
      </c>
      <c r="L981">
        <f>VLOOKUP(A981,Marketing_df2!$A$1:$F$2241,3,FALSE)</f>
        <v>17</v>
      </c>
      <c r="M981">
        <f>VLOOKUP(A981,Marketing_df2!$A$1:$F$2241,4,FALSE)</f>
        <v>0</v>
      </c>
      <c r="N981">
        <f>VLOOKUP(A981,Marketing_df2!$A$1:$F$2241,5,FALSE)</f>
        <v>10</v>
      </c>
      <c r="O981">
        <f>VLOOKUP(A981,Marketing_df2!$A$1:$F$2241,6,FALSE)</f>
        <v>7</v>
      </c>
    </row>
    <row r="982" spans="1:15" ht="12.5">
      <c r="A982" s="6">
        <v>980</v>
      </c>
      <c r="B982" s="6">
        <v>2166</v>
      </c>
      <c r="C982" s="6">
        <v>1960</v>
      </c>
      <c r="D982" s="7" t="s">
        <v>17</v>
      </c>
      <c r="E982" s="7" t="s">
        <v>18</v>
      </c>
      <c r="F982" s="6">
        <v>46779</v>
      </c>
      <c r="G982" s="6">
        <v>1</v>
      </c>
      <c r="H982" s="6">
        <v>1</v>
      </c>
      <c r="I982" s="6">
        <f t="shared" si="15"/>
        <v>2</v>
      </c>
      <c r="J982" s="8">
        <v>41467</v>
      </c>
      <c r="K982" s="6">
        <v>55</v>
      </c>
      <c r="L982">
        <f>VLOOKUP(A982,Marketing_df2!$A$1:$F$2241,3,FALSE)</f>
        <v>1</v>
      </c>
      <c r="M982">
        <f>VLOOKUP(A982,Marketing_df2!$A$1:$F$2241,4,FALSE)</f>
        <v>0</v>
      </c>
      <c r="N982">
        <f>VLOOKUP(A982,Marketing_df2!$A$1:$F$2241,5,FALSE)</f>
        <v>0</v>
      </c>
      <c r="O982">
        <f>VLOOKUP(A982,Marketing_df2!$A$1:$F$2241,6,FALSE)</f>
        <v>2</v>
      </c>
    </row>
    <row r="983" spans="1:15" ht="12.5">
      <c r="A983" s="6">
        <v>981</v>
      </c>
      <c r="B983" s="6">
        <v>3955</v>
      </c>
      <c r="C983" s="6">
        <v>1965</v>
      </c>
      <c r="D983" s="7" t="s">
        <v>9</v>
      </c>
      <c r="E983" s="7" t="s">
        <v>15</v>
      </c>
      <c r="F983" s="6">
        <v>4861</v>
      </c>
      <c r="G983" s="6">
        <v>0</v>
      </c>
      <c r="H983" s="6">
        <v>0</v>
      </c>
      <c r="I983" s="6">
        <f t="shared" si="15"/>
        <v>0</v>
      </c>
      <c r="J983" s="8">
        <v>41812</v>
      </c>
      <c r="K983" s="6">
        <v>20</v>
      </c>
      <c r="L983">
        <f>VLOOKUP(A983,Marketing_df2!$A$1:$F$2241,3,FALSE)</f>
        <v>1</v>
      </c>
      <c r="M983">
        <f>VLOOKUP(A983,Marketing_df2!$A$1:$F$2241,4,FALSE)</f>
        <v>0</v>
      </c>
      <c r="N983">
        <f>VLOOKUP(A983,Marketing_df2!$A$1:$F$2241,5,FALSE)</f>
        <v>0</v>
      </c>
      <c r="O983">
        <f>VLOOKUP(A983,Marketing_df2!$A$1:$F$2241,6,FALSE)</f>
        <v>0</v>
      </c>
    </row>
    <row r="984" spans="1:15" ht="12.5">
      <c r="A984" s="6">
        <v>982</v>
      </c>
      <c r="B984" s="6">
        <v>6634</v>
      </c>
      <c r="C984" s="6">
        <v>1979</v>
      </c>
      <c r="D984" s="7" t="s">
        <v>14</v>
      </c>
      <c r="E984" s="7" t="s">
        <v>15</v>
      </c>
      <c r="F984" s="6">
        <v>33462</v>
      </c>
      <c r="G984" s="6">
        <v>1</v>
      </c>
      <c r="H984" s="6">
        <v>0</v>
      </c>
      <c r="I984" s="6">
        <f t="shared" si="15"/>
        <v>1</v>
      </c>
      <c r="J984" s="8">
        <v>41493</v>
      </c>
      <c r="K984" s="6">
        <v>78</v>
      </c>
      <c r="L984">
        <f>VLOOKUP(A984,Marketing_df2!$A$1:$F$2241,3,FALSE)</f>
        <v>3</v>
      </c>
      <c r="M984">
        <f>VLOOKUP(A984,Marketing_df2!$A$1:$F$2241,4,FALSE)</f>
        <v>0</v>
      </c>
      <c r="N984">
        <f>VLOOKUP(A984,Marketing_df2!$A$1:$F$2241,5,FALSE)</f>
        <v>2</v>
      </c>
      <c r="O984">
        <f>VLOOKUP(A984,Marketing_df2!$A$1:$F$2241,6,FALSE)</f>
        <v>3</v>
      </c>
    </row>
    <row r="985" spans="1:15" ht="12.5">
      <c r="A985" s="6">
        <v>983</v>
      </c>
      <c r="B985" s="6">
        <v>3056</v>
      </c>
      <c r="C985" s="6">
        <v>1978</v>
      </c>
      <c r="D985" s="7" t="s">
        <v>9</v>
      </c>
      <c r="E985" s="7" t="s">
        <v>15</v>
      </c>
      <c r="F985" s="6">
        <v>63693</v>
      </c>
      <c r="G985" s="6">
        <v>0</v>
      </c>
      <c r="H985" s="6">
        <v>1</v>
      </c>
      <c r="I985" s="6">
        <f t="shared" si="15"/>
        <v>1</v>
      </c>
      <c r="J985" s="9">
        <v>41561</v>
      </c>
      <c r="K985" s="6">
        <v>63</v>
      </c>
      <c r="L985">
        <f>VLOOKUP(A985,Marketing_df2!$A$1:$F$2241,3,FALSE)</f>
        <v>43</v>
      </c>
      <c r="M985">
        <f>VLOOKUP(A985,Marketing_df2!$A$1:$F$2241,4,FALSE)</f>
        <v>87</v>
      </c>
      <c r="N985">
        <f>VLOOKUP(A985,Marketing_df2!$A$1:$F$2241,5,FALSE)</f>
        <v>11</v>
      </c>
      <c r="O985">
        <f>VLOOKUP(A985,Marketing_df2!$A$1:$F$2241,6,FALSE)</f>
        <v>9</v>
      </c>
    </row>
    <row r="986" spans="1:15" ht="12.5">
      <c r="A986" s="6">
        <v>984</v>
      </c>
      <c r="B986" s="6">
        <v>5718</v>
      </c>
      <c r="C986" s="6">
        <v>1950</v>
      </c>
      <c r="D986" s="7" t="s">
        <v>9</v>
      </c>
      <c r="E986" s="7" t="s">
        <v>13</v>
      </c>
      <c r="F986" s="6">
        <v>80763</v>
      </c>
      <c r="G986" s="6">
        <v>0</v>
      </c>
      <c r="H986" s="6">
        <v>0</v>
      </c>
      <c r="I986" s="6">
        <f t="shared" si="15"/>
        <v>0</v>
      </c>
      <c r="J986" s="8">
        <v>41501</v>
      </c>
      <c r="K986" s="6">
        <v>17</v>
      </c>
      <c r="L986">
        <f>VLOOKUP(A986,Marketing_df2!$A$1:$F$2241,3,FALSE)</f>
        <v>168</v>
      </c>
      <c r="M986">
        <f>VLOOKUP(A986,Marketing_df2!$A$1:$F$2241,4,FALSE)</f>
        <v>42</v>
      </c>
      <c r="N986">
        <f>VLOOKUP(A986,Marketing_df2!$A$1:$F$2241,5,FALSE)</f>
        <v>5</v>
      </c>
      <c r="O986">
        <f>VLOOKUP(A986,Marketing_df2!$A$1:$F$2241,6,FALSE)</f>
        <v>6</v>
      </c>
    </row>
    <row r="987" spans="1:15" ht="12.5">
      <c r="A987" s="6">
        <v>985</v>
      </c>
      <c r="B987" s="6">
        <v>6872</v>
      </c>
      <c r="C987" s="6">
        <v>1974</v>
      </c>
      <c r="D987" s="7" t="s">
        <v>12</v>
      </c>
      <c r="E987" s="7" t="s">
        <v>13</v>
      </c>
      <c r="F987" s="6">
        <v>65352</v>
      </c>
      <c r="G987" s="6">
        <v>0</v>
      </c>
      <c r="H987" s="6">
        <v>1</v>
      </c>
      <c r="I987" s="6">
        <f t="shared" si="15"/>
        <v>1</v>
      </c>
      <c r="J987" s="8">
        <v>41507</v>
      </c>
      <c r="K987" s="6">
        <v>43</v>
      </c>
      <c r="L987">
        <f>VLOOKUP(A987,Marketing_df2!$A$1:$F$2241,3,FALSE)</f>
        <v>3</v>
      </c>
      <c r="M987">
        <f>VLOOKUP(A987,Marketing_df2!$A$1:$F$2241,4,FALSE)</f>
        <v>7</v>
      </c>
      <c r="N987">
        <f>VLOOKUP(A987,Marketing_df2!$A$1:$F$2241,5,FALSE)</f>
        <v>4</v>
      </c>
      <c r="O987">
        <f>VLOOKUP(A987,Marketing_df2!$A$1:$F$2241,6,FALSE)</f>
        <v>8</v>
      </c>
    </row>
    <row r="988" spans="1:15" ht="12.5">
      <c r="A988" s="6">
        <v>986</v>
      </c>
      <c r="B988" s="6">
        <v>8164</v>
      </c>
      <c r="C988" s="6">
        <v>1978</v>
      </c>
      <c r="D988" s="7" t="s">
        <v>12</v>
      </c>
      <c r="E988" s="7" t="s">
        <v>13</v>
      </c>
      <c r="F988" s="6">
        <v>82170</v>
      </c>
      <c r="G988" s="6">
        <v>0</v>
      </c>
      <c r="H988" s="6">
        <v>0</v>
      </c>
      <c r="I988" s="6">
        <f t="shared" si="15"/>
        <v>0</v>
      </c>
      <c r="J988" s="9">
        <v>41603</v>
      </c>
      <c r="K988" s="6">
        <v>13</v>
      </c>
      <c r="L988">
        <f>VLOOKUP(A988,Marketing_df2!$A$1:$F$2241,3,FALSE)</f>
        <v>93</v>
      </c>
      <c r="M988">
        <f>VLOOKUP(A988,Marketing_df2!$A$1:$F$2241,4,FALSE)</f>
        <v>55</v>
      </c>
      <c r="N988">
        <f>VLOOKUP(A988,Marketing_df2!$A$1:$F$2241,5,FALSE)</f>
        <v>5</v>
      </c>
      <c r="O988">
        <f>VLOOKUP(A988,Marketing_df2!$A$1:$F$2241,6,FALSE)</f>
        <v>7</v>
      </c>
    </row>
    <row r="989" spans="1:15" ht="12.5">
      <c r="A989" s="6">
        <v>987</v>
      </c>
      <c r="B989" s="6">
        <v>4580</v>
      </c>
      <c r="C989" s="6">
        <v>1969</v>
      </c>
      <c r="D989" s="7" t="s">
        <v>9</v>
      </c>
      <c r="E989" s="7" t="s">
        <v>13</v>
      </c>
      <c r="F989" s="6">
        <v>75759</v>
      </c>
      <c r="G989" s="6">
        <v>0</v>
      </c>
      <c r="H989" s="6">
        <v>0</v>
      </c>
      <c r="I989" s="6">
        <f t="shared" si="15"/>
        <v>0</v>
      </c>
      <c r="J989" s="9">
        <v>41572</v>
      </c>
      <c r="K989" s="6">
        <v>46</v>
      </c>
      <c r="L989">
        <f>VLOOKUP(A989,Marketing_df2!$A$1:$F$2241,3,FALSE)</f>
        <v>22</v>
      </c>
      <c r="M989">
        <f>VLOOKUP(A989,Marketing_df2!$A$1:$F$2241,4,FALSE)</f>
        <v>91</v>
      </c>
      <c r="N989">
        <f>VLOOKUP(A989,Marketing_df2!$A$1:$F$2241,5,FALSE)</f>
        <v>9</v>
      </c>
      <c r="O989">
        <f>VLOOKUP(A989,Marketing_df2!$A$1:$F$2241,6,FALSE)</f>
        <v>9</v>
      </c>
    </row>
    <row r="990" spans="1:15" ht="12.5">
      <c r="A990" s="6">
        <v>988</v>
      </c>
      <c r="B990" s="6">
        <v>9305</v>
      </c>
      <c r="C990" s="6">
        <v>1976</v>
      </c>
      <c r="D990" s="7" t="s">
        <v>17</v>
      </c>
      <c r="E990" s="7" t="s">
        <v>10</v>
      </c>
      <c r="F990" s="6">
        <v>79689</v>
      </c>
      <c r="G990" s="6">
        <v>0</v>
      </c>
      <c r="H990" s="6">
        <v>0</v>
      </c>
      <c r="I990" s="6">
        <f t="shared" si="15"/>
        <v>0</v>
      </c>
      <c r="J990" s="8">
        <v>41406</v>
      </c>
      <c r="K990" s="6">
        <v>65</v>
      </c>
      <c r="L990">
        <f>VLOOKUP(A990,Marketing_df2!$A$1:$F$2241,3,FALSE)</f>
        <v>26</v>
      </c>
      <c r="M990">
        <f>VLOOKUP(A990,Marketing_df2!$A$1:$F$2241,4,FALSE)</f>
        <v>37</v>
      </c>
      <c r="N990">
        <f>VLOOKUP(A990,Marketing_df2!$A$1:$F$2241,5,FALSE)</f>
        <v>4</v>
      </c>
      <c r="O990">
        <f>VLOOKUP(A990,Marketing_df2!$A$1:$F$2241,6,FALSE)</f>
        <v>13</v>
      </c>
    </row>
    <row r="991" spans="1:15" ht="12.5">
      <c r="A991" s="6">
        <v>989</v>
      </c>
      <c r="B991" s="6">
        <v>453</v>
      </c>
      <c r="C991" s="6">
        <v>1956</v>
      </c>
      <c r="D991" s="7" t="s">
        <v>12</v>
      </c>
      <c r="E991" s="7" t="s">
        <v>18</v>
      </c>
      <c r="F991" s="6">
        <v>35340</v>
      </c>
      <c r="G991" s="6">
        <v>1</v>
      </c>
      <c r="H991" s="6">
        <v>1</v>
      </c>
      <c r="I991" s="6">
        <f t="shared" si="15"/>
        <v>2</v>
      </c>
      <c r="J991" s="8">
        <v>41819</v>
      </c>
      <c r="K991" s="6">
        <v>1</v>
      </c>
      <c r="L991">
        <f>VLOOKUP(A991,Marketing_df2!$A$1:$F$2241,3,FALSE)</f>
        <v>0</v>
      </c>
      <c r="M991">
        <f>VLOOKUP(A991,Marketing_df2!$A$1:$F$2241,4,FALSE)</f>
        <v>1</v>
      </c>
      <c r="N991">
        <f>VLOOKUP(A991,Marketing_df2!$A$1:$F$2241,5,FALSE)</f>
        <v>2</v>
      </c>
      <c r="O991">
        <f>VLOOKUP(A991,Marketing_df2!$A$1:$F$2241,6,FALSE)</f>
        <v>3</v>
      </c>
    </row>
    <row r="992" spans="1:15" ht="12.5">
      <c r="A992" s="6">
        <v>990</v>
      </c>
      <c r="B992" s="6">
        <v>8545</v>
      </c>
      <c r="C992" s="6">
        <v>1954</v>
      </c>
      <c r="D992" s="7" t="s">
        <v>9</v>
      </c>
      <c r="E992" s="7" t="s">
        <v>15</v>
      </c>
      <c r="F992" s="6">
        <v>85683</v>
      </c>
      <c r="G992" s="6">
        <v>0</v>
      </c>
      <c r="H992" s="6">
        <v>0</v>
      </c>
      <c r="I992" s="6">
        <f t="shared" si="15"/>
        <v>0</v>
      </c>
      <c r="J992" s="8">
        <v>41719</v>
      </c>
      <c r="K992" s="6">
        <v>6</v>
      </c>
      <c r="L992">
        <f>VLOOKUP(A992,Marketing_df2!$A$1:$F$2241,3,FALSE)</f>
        <v>17</v>
      </c>
      <c r="M992">
        <f>VLOOKUP(A992,Marketing_df2!$A$1:$F$2241,4,FALSE)</f>
        <v>69</v>
      </c>
      <c r="N992">
        <f>VLOOKUP(A992,Marketing_df2!$A$1:$F$2241,5,FALSE)</f>
        <v>2</v>
      </c>
      <c r="O992">
        <f>VLOOKUP(A992,Marketing_df2!$A$1:$F$2241,6,FALSE)</f>
        <v>10</v>
      </c>
    </row>
    <row r="993" spans="1:15" ht="12.5">
      <c r="A993" s="6">
        <v>991</v>
      </c>
      <c r="B993" s="6">
        <v>9850</v>
      </c>
      <c r="C993" s="6">
        <v>1972</v>
      </c>
      <c r="D993" s="7" t="s">
        <v>17</v>
      </c>
      <c r="E993" s="7" t="s">
        <v>13</v>
      </c>
      <c r="F993" s="6">
        <v>24884</v>
      </c>
      <c r="G993" s="6">
        <v>1</v>
      </c>
      <c r="H993" s="6">
        <v>0</v>
      </c>
      <c r="I993" s="6">
        <f t="shared" si="15"/>
        <v>1</v>
      </c>
      <c r="J993" s="9">
        <v>41242</v>
      </c>
      <c r="K993" s="6">
        <v>32</v>
      </c>
      <c r="L993">
        <f>VLOOKUP(A993,Marketing_df2!$A$1:$F$2241,3,FALSE)</f>
        <v>6</v>
      </c>
      <c r="M993">
        <f>VLOOKUP(A993,Marketing_df2!$A$1:$F$2241,4,FALSE)</f>
        <v>0</v>
      </c>
      <c r="N993">
        <f>VLOOKUP(A993,Marketing_df2!$A$1:$F$2241,5,FALSE)</f>
        <v>0</v>
      </c>
      <c r="O993">
        <f>VLOOKUP(A993,Marketing_df2!$A$1:$F$2241,6,FALSE)</f>
        <v>3</v>
      </c>
    </row>
    <row r="994" spans="1:15" ht="12.5">
      <c r="A994" s="6">
        <v>992</v>
      </c>
      <c r="B994" s="6">
        <v>7378</v>
      </c>
      <c r="C994" s="6">
        <v>1981</v>
      </c>
      <c r="D994" s="7" t="s">
        <v>14</v>
      </c>
      <c r="E994" s="7" t="s">
        <v>11</v>
      </c>
      <c r="F994" s="6">
        <v>42021</v>
      </c>
      <c r="G994" s="6">
        <v>1</v>
      </c>
      <c r="H994" s="6">
        <v>0</v>
      </c>
      <c r="I994" s="6">
        <f t="shared" si="15"/>
        <v>1</v>
      </c>
      <c r="J994" s="8">
        <v>41152</v>
      </c>
      <c r="K994" s="6">
        <v>34</v>
      </c>
      <c r="L994">
        <f>VLOOKUP(A994,Marketing_df2!$A$1:$F$2241,3,FALSE)</f>
        <v>5</v>
      </c>
      <c r="M994">
        <f>VLOOKUP(A994,Marketing_df2!$A$1:$F$2241,4,FALSE)</f>
        <v>5</v>
      </c>
      <c r="N994">
        <f>VLOOKUP(A994,Marketing_df2!$A$1:$F$2241,5,FALSE)</f>
        <v>10</v>
      </c>
      <c r="O994">
        <f>VLOOKUP(A994,Marketing_df2!$A$1:$F$2241,6,FALSE)</f>
        <v>6</v>
      </c>
    </row>
    <row r="995" spans="1:15" ht="12.5">
      <c r="A995" s="6">
        <v>993</v>
      </c>
      <c r="B995" s="6">
        <v>7646</v>
      </c>
      <c r="C995" s="6">
        <v>1989</v>
      </c>
      <c r="D995" s="7" t="s">
        <v>9</v>
      </c>
      <c r="E995" s="7" t="s">
        <v>10</v>
      </c>
      <c r="F995" s="6">
        <v>64449</v>
      </c>
      <c r="G995" s="6">
        <v>1</v>
      </c>
      <c r="H995" s="6">
        <v>0</v>
      </c>
      <c r="I995" s="6">
        <f t="shared" si="15"/>
        <v>1</v>
      </c>
      <c r="J995" s="8">
        <v>41688</v>
      </c>
      <c r="K995" s="6">
        <v>70</v>
      </c>
      <c r="L995">
        <f>VLOOKUP(A995,Marketing_df2!$A$1:$F$2241,3,FALSE)</f>
        <v>63</v>
      </c>
      <c r="M995">
        <f>VLOOKUP(A995,Marketing_df2!$A$1:$F$2241,4,FALSE)</f>
        <v>35</v>
      </c>
      <c r="N995">
        <f>VLOOKUP(A995,Marketing_df2!$A$1:$F$2241,5,FALSE)</f>
        <v>5</v>
      </c>
      <c r="O995">
        <f>VLOOKUP(A995,Marketing_df2!$A$1:$F$2241,6,FALSE)</f>
        <v>12</v>
      </c>
    </row>
    <row r="996" spans="1:15" ht="12.5">
      <c r="A996" s="6">
        <v>994</v>
      </c>
      <c r="B996" s="6">
        <v>1640</v>
      </c>
      <c r="C996" s="6">
        <v>1954</v>
      </c>
      <c r="D996" s="7" t="s">
        <v>9</v>
      </c>
      <c r="E996" s="7" t="s">
        <v>15</v>
      </c>
      <c r="F996" s="6">
        <v>64587</v>
      </c>
      <c r="G996" s="6">
        <v>1</v>
      </c>
      <c r="H996" s="6">
        <v>1</v>
      </c>
      <c r="I996" s="6">
        <f t="shared" si="15"/>
        <v>2</v>
      </c>
      <c r="J996" s="8">
        <v>41812</v>
      </c>
      <c r="K996" s="6">
        <v>49</v>
      </c>
      <c r="L996">
        <f>VLOOKUP(A996,Marketing_df2!$A$1:$F$2241,3,FALSE)</f>
        <v>0</v>
      </c>
      <c r="M996">
        <f>VLOOKUP(A996,Marketing_df2!$A$1:$F$2241,4,FALSE)</f>
        <v>6</v>
      </c>
      <c r="N996">
        <f>VLOOKUP(A996,Marketing_df2!$A$1:$F$2241,5,FALSE)</f>
        <v>1</v>
      </c>
      <c r="O996">
        <f>VLOOKUP(A996,Marketing_df2!$A$1:$F$2241,6,FALSE)</f>
        <v>4</v>
      </c>
    </row>
    <row r="997" spans="1:15" ht="12.5">
      <c r="A997" s="6">
        <v>995</v>
      </c>
      <c r="B997" s="6">
        <v>5184</v>
      </c>
      <c r="C997" s="6">
        <v>1995</v>
      </c>
      <c r="D997" s="7" t="s">
        <v>9</v>
      </c>
      <c r="E997" s="7" t="s">
        <v>10</v>
      </c>
      <c r="F997" s="6">
        <v>34824</v>
      </c>
      <c r="G997" s="6">
        <v>0</v>
      </c>
      <c r="H997" s="6">
        <v>0</v>
      </c>
      <c r="I997" s="6">
        <f t="shared" si="15"/>
        <v>0</v>
      </c>
      <c r="J997" s="8">
        <v>41724</v>
      </c>
      <c r="K997" s="6">
        <v>65</v>
      </c>
      <c r="L997">
        <f>VLOOKUP(A997,Marketing_df2!$A$1:$F$2241,3,FALSE)</f>
        <v>2</v>
      </c>
      <c r="M997">
        <f>VLOOKUP(A997,Marketing_df2!$A$1:$F$2241,4,FALSE)</f>
        <v>0</v>
      </c>
      <c r="N997">
        <f>VLOOKUP(A997,Marketing_df2!$A$1:$F$2241,5,FALSE)</f>
        <v>1</v>
      </c>
      <c r="O997">
        <f>VLOOKUP(A997,Marketing_df2!$A$1:$F$2241,6,FALSE)</f>
        <v>2</v>
      </c>
    </row>
    <row r="998" spans="1:15" ht="12.5">
      <c r="A998" s="6">
        <v>996</v>
      </c>
      <c r="B998" s="6">
        <v>8492</v>
      </c>
      <c r="C998" s="6">
        <v>1978</v>
      </c>
      <c r="D998" s="7" t="s">
        <v>9</v>
      </c>
      <c r="E998" s="7" t="s">
        <v>11</v>
      </c>
      <c r="F998" s="6">
        <v>75437</v>
      </c>
      <c r="G998" s="6">
        <v>0</v>
      </c>
      <c r="H998" s="6">
        <v>0</v>
      </c>
      <c r="I998" s="6">
        <f t="shared" si="15"/>
        <v>0</v>
      </c>
      <c r="J998" s="8">
        <v>41587</v>
      </c>
      <c r="K998" s="6">
        <v>25</v>
      </c>
      <c r="L998">
        <f>VLOOKUP(A998,Marketing_df2!$A$1:$F$2241,3,FALSE)</f>
        <v>0</v>
      </c>
      <c r="M998">
        <f>VLOOKUP(A998,Marketing_df2!$A$1:$F$2241,4,FALSE)</f>
        <v>58</v>
      </c>
      <c r="N998">
        <f>VLOOKUP(A998,Marketing_df2!$A$1:$F$2241,5,FALSE)</f>
        <v>8</v>
      </c>
      <c r="O998">
        <f>VLOOKUP(A998,Marketing_df2!$A$1:$F$2241,6,FALSE)</f>
        <v>10</v>
      </c>
    </row>
    <row r="999" spans="1:15" ht="12.5">
      <c r="A999" s="6">
        <v>997</v>
      </c>
      <c r="B999" s="6">
        <v>11188</v>
      </c>
      <c r="C999" s="6">
        <v>1957</v>
      </c>
      <c r="D999" s="7" t="s">
        <v>9</v>
      </c>
      <c r="E999" s="7" t="s">
        <v>11</v>
      </c>
      <c r="F999" s="6">
        <v>26091</v>
      </c>
      <c r="G999" s="6">
        <v>1</v>
      </c>
      <c r="H999" s="6">
        <v>1</v>
      </c>
      <c r="I999" s="6">
        <f t="shared" si="15"/>
        <v>2</v>
      </c>
      <c r="J999" s="8">
        <v>41695</v>
      </c>
      <c r="K999" s="6">
        <v>84</v>
      </c>
      <c r="L999">
        <f>VLOOKUP(A999,Marketing_df2!$A$1:$F$2241,3,FALSE)</f>
        <v>10</v>
      </c>
      <c r="M999">
        <f>VLOOKUP(A999,Marketing_df2!$A$1:$F$2241,4,FALSE)</f>
        <v>17</v>
      </c>
      <c r="N999">
        <f>VLOOKUP(A999,Marketing_df2!$A$1:$F$2241,5,FALSE)</f>
        <v>2</v>
      </c>
      <c r="O999">
        <f>VLOOKUP(A999,Marketing_df2!$A$1:$F$2241,6,FALSE)</f>
        <v>3</v>
      </c>
    </row>
    <row r="1000" spans="1:15" ht="12.5">
      <c r="A1000" s="6">
        <v>998</v>
      </c>
      <c r="B1000" s="6">
        <v>1212</v>
      </c>
      <c r="C1000" s="6">
        <v>1973</v>
      </c>
      <c r="D1000" s="7" t="s">
        <v>9</v>
      </c>
      <c r="E1000" s="7" t="s">
        <v>13</v>
      </c>
      <c r="F1000" s="6">
        <v>52845</v>
      </c>
      <c r="G1000" s="6">
        <v>1</v>
      </c>
      <c r="H1000" s="6">
        <v>0</v>
      </c>
      <c r="I1000" s="6">
        <f t="shared" si="15"/>
        <v>1</v>
      </c>
      <c r="J1000" s="8">
        <v>41499</v>
      </c>
      <c r="K1000" s="6">
        <v>7</v>
      </c>
      <c r="L1000">
        <f>VLOOKUP(A1000,Marketing_df2!$A$1:$F$2241,3,FALSE)</f>
        <v>25</v>
      </c>
      <c r="M1000">
        <f>VLOOKUP(A1000,Marketing_df2!$A$1:$F$2241,4,FALSE)</f>
        <v>41</v>
      </c>
      <c r="N1000">
        <f>VLOOKUP(A1000,Marketing_df2!$A$1:$F$2241,5,FALSE)</f>
        <v>8</v>
      </c>
      <c r="O1000">
        <f>VLOOKUP(A1000,Marketing_df2!$A$1:$F$2241,6,FALSE)</f>
        <v>6</v>
      </c>
    </row>
    <row r="1001" spans="1:15" ht="12.5">
      <c r="A1001" s="6">
        <v>999</v>
      </c>
      <c r="B1001" s="6">
        <v>9097</v>
      </c>
      <c r="C1001" s="6">
        <v>1956</v>
      </c>
      <c r="D1001" s="7" t="s">
        <v>9</v>
      </c>
      <c r="E1001" s="7" t="s">
        <v>15</v>
      </c>
      <c r="F1001" s="6">
        <v>46086</v>
      </c>
      <c r="G1001" s="6">
        <v>0</v>
      </c>
      <c r="H1001" s="6">
        <v>1</v>
      </c>
      <c r="I1001" s="6">
        <f t="shared" si="15"/>
        <v>1</v>
      </c>
      <c r="J1001" s="8">
        <v>41581</v>
      </c>
      <c r="K1001" s="6">
        <v>34</v>
      </c>
      <c r="L1001">
        <f>VLOOKUP(A1001,Marketing_df2!$A$1:$F$2241,3,FALSE)</f>
        <v>8</v>
      </c>
      <c r="M1001">
        <f>VLOOKUP(A1001,Marketing_df2!$A$1:$F$2241,4,FALSE)</f>
        <v>2</v>
      </c>
      <c r="N1001">
        <f>VLOOKUP(A1001,Marketing_df2!$A$1:$F$2241,5,FALSE)</f>
        <v>3</v>
      </c>
      <c r="O1001">
        <f>VLOOKUP(A1001,Marketing_df2!$A$1:$F$2241,6,FALSE)</f>
        <v>8</v>
      </c>
    </row>
    <row r="1002" spans="1:15" ht="12.5">
      <c r="A1002" s="6">
        <v>1000</v>
      </c>
      <c r="B1002" s="6">
        <v>10473</v>
      </c>
      <c r="C1002" s="6">
        <v>1956</v>
      </c>
      <c r="D1002" s="7" t="s">
        <v>12</v>
      </c>
      <c r="E1002" s="7" t="s">
        <v>18</v>
      </c>
      <c r="F1002" s="6">
        <v>78028</v>
      </c>
      <c r="G1002" s="6">
        <v>0</v>
      </c>
      <c r="H1002" s="6">
        <v>1</v>
      </c>
      <c r="I1002" s="6">
        <f t="shared" si="15"/>
        <v>1</v>
      </c>
      <c r="J1002" s="8">
        <v>41162</v>
      </c>
      <c r="K1002" s="6">
        <v>38</v>
      </c>
      <c r="L1002">
        <f>VLOOKUP(A1002,Marketing_df2!$A$1:$F$2241,3,FALSE)</f>
        <v>19</v>
      </c>
      <c r="M1002">
        <f>VLOOKUP(A1002,Marketing_df2!$A$1:$F$2241,4,FALSE)</f>
        <v>0</v>
      </c>
      <c r="N1002">
        <f>VLOOKUP(A1002,Marketing_df2!$A$1:$F$2241,5,FALSE)</f>
        <v>6</v>
      </c>
      <c r="O1002">
        <f>VLOOKUP(A1002,Marketing_df2!$A$1:$F$2241,6,FALSE)</f>
        <v>9</v>
      </c>
    </row>
    <row r="1003" spans="1:15" ht="12.5">
      <c r="A1003" s="6">
        <v>1001</v>
      </c>
      <c r="B1003" s="6">
        <v>7962</v>
      </c>
      <c r="C1003" s="6">
        <v>1987</v>
      </c>
      <c r="D1003" s="7" t="s">
        <v>12</v>
      </c>
      <c r="E1003" s="7" t="s">
        <v>10</v>
      </c>
      <c r="F1003" s="6">
        <v>95169</v>
      </c>
      <c r="G1003" s="6">
        <v>0</v>
      </c>
      <c r="H1003" s="6">
        <v>0</v>
      </c>
      <c r="I1003" s="6">
        <f t="shared" si="15"/>
        <v>0</v>
      </c>
      <c r="J1003" s="8">
        <v>41556</v>
      </c>
      <c r="K1003" s="6">
        <v>1</v>
      </c>
      <c r="L1003">
        <f>VLOOKUP(A1003,Marketing_df2!$A$1:$F$2241,3,FALSE)</f>
        <v>21</v>
      </c>
      <c r="M1003">
        <f>VLOOKUP(A1003,Marketing_df2!$A$1:$F$2241,4,FALSE)</f>
        <v>20</v>
      </c>
      <c r="N1003">
        <f>VLOOKUP(A1003,Marketing_df2!$A$1:$F$2241,5,FALSE)</f>
        <v>4</v>
      </c>
      <c r="O1003">
        <f>VLOOKUP(A1003,Marketing_df2!$A$1:$F$2241,6,FALSE)</f>
        <v>4</v>
      </c>
    </row>
    <row r="1004" spans="1:15" ht="12.5">
      <c r="A1004" s="6">
        <v>1002</v>
      </c>
      <c r="B1004" s="6">
        <v>9984</v>
      </c>
      <c r="C1004" s="6">
        <v>1981</v>
      </c>
      <c r="D1004" s="7" t="s">
        <v>17</v>
      </c>
      <c r="E1004" s="7" t="s">
        <v>13</v>
      </c>
      <c r="F1004" s="6">
        <v>56337</v>
      </c>
      <c r="G1004" s="6">
        <v>1</v>
      </c>
      <c r="H1004" s="6">
        <v>1</v>
      </c>
      <c r="I1004" s="6">
        <f t="shared" si="15"/>
        <v>2</v>
      </c>
      <c r="J1004" s="8">
        <v>41360</v>
      </c>
      <c r="K1004" s="6">
        <v>25</v>
      </c>
      <c r="L1004">
        <f>VLOOKUP(A1004,Marketing_df2!$A$1:$F$2241,3,FALSE)</f>
        <v>16</v>
      </c>
      <c r="M1004">
        <f>VLOOKUP(A1004,Marketing_df2!$A$1:$F$2241,4,FALSE)</f>
        <v>5</v>
      </c>
      <c r="N1004">
        <f>VLOOKUP(A1004,Marketing_df2!$A$1:$F$2241,5,FALSE)</f>
        <v>8</v>
      </c>
      <c r="O1004">
        <f>VLOOKUP(A1004,Marketing_df2!$A$1:$F$2241,6,FALSE)</f>
        <v>4</v>
      </c>
    </row>
    <row r="1005" spans="1:15" ht="12.5">
      <c r="A1005" s="6">
        <v>1003</v>
      </c>
      <c r="B1005" s="6">
        <v>5527</v>
      </c>
      <c r="C1005" s="6">
        <v>1987</v>
      </c>
      <c r="D1005" s="7" t="s">
        <v>9</v>
      </c>
      <c r="E1005" s="7" t="s">
        <v>11</v>
      </c>
      <c r="F1005" s="6">
        <v>22434</v>
      </c>
      <c r="G1005" s="6">
        <v>1</v>
      </c>
      <c r="H1005" s="6">
        <v>0</v>
      </c>
      <c r="I1005" s="6">
        <f t="shared" si="15"/>
        <v>1</v>
      </c>
      <c r="J1005" s="8">
        <v>41318</v>
      </c>
      <c r="K1005" s="6">
        <v>25</v>
      </c>
      <c r="L1005">
        <f>VLOOKUP(A1005,Marketing_df2!$A$1:$F$2241,3,FALSE)</f>
        <v>12</v>
      </c>
      <c r="M1005">
        <f>VLOOKUP(A1005,Marketing_df2!$A$1:$F$2241,4,FALSE)</f>
        <v>13</v>
      </c>
      <c r="N1005">
        <f>VLOOKUP(A1005,Marketing_df2!$A$1:$F$2241,5,FALSE)</f>
        <v>2</v>
      </c>
      <c r="O1005">
        <f>VLOOKUP(A1005,Marketing_df2!$A$1:$F$2241,6,FALSE)</f>
        <v>3</v>
      </c>
    </row>
    <row r="1006" spans="1:15" ht="12.5">
      <c r="A1006" s="6">
        <v>1004</v>
      </c>
      <c r="B1006" s="6">
        <v>6374</v>
      </c>
      <c r="C1006" s="6">
        <v>1954</v>
      </c>
      <c r="D1006" s="7" t="s">
        <v>12</v>
      </c>
      <c r="E1006" s="7" t="s">
        <v>13</v>
      </c>
      <c r="F1006" s="6">
        <v>36930</v>
      </c>
      <c r="G1006" s="6">
        <v>0</v>
      </c>
      <c r="H1006" s="6">
        <v>1</v>
      </c>
      <c r="I1006" s="6">
        <f t="shared" si="15"/>
        <v>1</v>
      </c>
      <c r="J1006" s="8">
        <v>41411</v>
      </c>
      <c r="K1006" s="6">
        <v>50</v>
      </c>
      <c r="L1006">
        <f>VLOOKUP(A1006,Marketing_df2!$A$1:$F$2241,3,FALSE)</f>
        <v>2</v>
      </c>
      <c r="M1006">
        <f>VLOOKUP(A1006,Marketing_df2!$A$1:$F$2241,4,FALSE)</f>
        <v>2</v>
      </c>
      <c r="N1006">
        <f>VLOOKUP(A1006,Marketing_df2!$A$1:$F$2241,5,FALSE)</f>
        <v>5</v>
      </c>
      <c r="O1006">
        <f>VLOOKUP(A1006,Marketing_df2!$A$1:$F$2241,6,FALSE)</f>
        <v>4</v>
      </c>
    </row>
    <row r="1007" spans="1:15" ht="12.5">
      <c r="A1007" s="6">
        <v>1005</v>
      </c>
      <c r="B1007" s="6">
        <v>7453</v>
      </c>
      <c r="C1007" s="6">
        <v>1954</v>
      </c>
      <c r="D1007" s="7" t="s">
        <v>9</v>
      </c>
      <c r="E1007" s="7" t="s">
        <v>10</v>
      </c>
      <c r="F1007" s="6">
        <v>36130</v>
      </c>
      <c r="G1007" s="6">
        <v>0</v>
      </c>
      <c r="H1007" s="6">
        <v>1</v>
      </c>
      <c r="I1007" s="6">
        <f t="shared" si="15"/>
        <v>1</v>
      </c>
      <c r="J1007" s="8">
        <v>41307</v>
      </c>
      <c r="K1007" s="6">
        <v>46</v>
      </c>
      <c r="L1007">
        <f>VLOOKUP(A1007,Marketing_df2!$A$1:$F$2241,3,FALSE)</f>
        <v>43</v>
      </c>
      <c r="M1007">
        <f>VLOOKUP(A1007,Marketing_df2!$A$1:$F$2241,4,FALSE)</f>
        <v>56</v>
      </c>
      <c r="N1007">
        <f>VLOOKUP(A1007,Marketing_df2!$A$1:$F$2241,5,FALSE)</f>
        <v>3</v>
      </c>
      <c r="O1007">
        <f>VLOOKUP(A1007,Marketing_df2!$A$1:$F$2241,6,FALSE)</f>
        <v>4</v>
      </c>
    </row>
    <row r="1008" spans="1:15" ht="12.5">
      <c r="A1008" s="6">
        <v>1006</v>
      </c>
      <c r="B1008" s="6">
        <v>8952</v>
      </c>
      <c r="C1008" s="6">
        <v>1953</v>
      </c>
      <c r="D1008" s="7" t="s">
        <v>14</v>
      </c>
      <c r="E1008" s="7" t="s">
        <v>13</v>
      </c>
      <c r="F1008" s="6">
        <v>65569</v>
      </c>
      <c r="G1008" s="6">
        <v>0</v>
      </c>
      <c r="H1008" s="6">
        <v>1</v>
      </c>
      <c r="I1008" s="6">
        <f t="shared" si="15"/>
        <v>1</v>
      </c>
      <c r="J1008" s="8">
        <v>41218</v>
      </c>
      <c r="K1008" s="6">
        <v>96</v>
      </c>
      <c r="L1008">
        <f>VLOOKUP(A1008,Marketing_df2!$A$1:$F$2241,3,FALSE)</f>
        <v>46</v>
      </c>
      <c r="M1008">
        <f>VLOOKUP(A1008,Marketing_df2!$A$1:$F$2241,4,FALSE)</f>
        <v>38</v>
      </c>
      <c r="N1008">
        <f>VLOOKUP(A1008,Marketing_df2!$A$1:$F$2241,5,FALSE)</f>
        <v>6</v>
      </c>
      <c r="O1008">
        <f>VLOOKUP(A1008,Marketing_df2!$A$1:$F$2241,6,FALSE)</f>
        <v>10</v>
      </c>
    </row>
    <row r="1009" spans="1:15" ht="12.5">
      <c r="A1009" s="6">
        <v>1007</v>
      </c>
      <c r="B1009" s="6">
        <v>241</v>
      </c>
      <c r="C1009" s="6">
        <v>1952</v>
      </c>
      <c r="D1009" s="7" t="s">
        <v>9</v>
      </c>
      <c r="E1009" s="7" t="s">
        <v>11</v>
      </c>
      <c r="F1009" s="6">
        <v>83844</v>
      </c>
      <c r="G1009" s="6">
        <v>0</v>
      </c>
      <c r="H1009" s="6">
        <v>0</v>
      </c>
      <c r="I1009" s="6">
        <f t="shared" si="15"/>
        <v>0</v>
      </c>
      <c r="J1009" s="8">
        <v>41406</v>
      </c>
      <c r="K1009" s="6">
        <v>57</v>
      </c>
      <c r="L1009">
        <f>VLOOKUP(A1009,Marketing_df2!$A$1:$F$2241,3,FALSE)</f>
        <v>31</v>
      </c>
      <c r="M1009">
        <f>VLOOKUP(A1009,Marketing_df2!$A$1:$F$2241,4,FALSE)</f>
        <v>31</v>
      </c>
      <c r="N1009">
        <f>VLOOKUP(A1009,Marketing_df2!$A$1:$F$2241,5,FALSE)</f>
        <v>4</v>
      </c>
      <c r="O1009">
        <f>VLOOKUP(A1009,Marketing_df2!$A$1:$F$2241,6,FALSE)</f>
        <v>11</v>
      </c>
    </row>
    <row r="1010" spans="1:15" ht="12.5">
      <c r="A1010" s="6">
        <v>1008</v>
      </c>
      <c r="B1010" s="6">
        <v>8975</v>
      </c>
      <c r="C1010" s="6">
        <v>1968</v>
      </c>
      <c r="D1010" s="7" t="s">
        <v>9</v>
      </c>
      <c r="E1010" s="7" t="s">
        <v>13</v>
      </c>
      <c r="F1010" s="6">
        <v>19514</v>
      </c>
      <c r="G1010" s="6">
        <v>1</v>
      </c>
      <c r="H1010" s="6">
        <v>1</v>
      </c>
      <c r="I1010" s="6">
        <f t="shared" si="15"/>
        <v>2</v>
      </c>
      <c r="J1010" s="8">
        <v>41665</v>
      </c>
      <c r="K1010" s="6">
        <v>47</v>
      </c>
      <c r="L1010">
        <f>VLOOKUP(A1010,Marketing_df2!$A$1:$F$2241,3,FALSE)</f>
        <v>3</v>
      </c>
      <c r="M1010">
        <f>VLOOKUP(A1010,Marketing_df2!$A$1:$F$2241,4,FALSE)</f>
        <v>1</v>
      </c>
      <c r="N1010">
        <f>VLOOKUP(A1010,Marketing_df2!$A$1:$F$2241,5,FALSE)</f>
        <v>3</v>
      </c>
      <c r="O1010">
        <f>VLOOKUP(A1010,Marketing_df2!$A$1:$F$2241,6,FALSE)</f>
        <v>2</v>
      </c>
    </row>
    <row r="1011" spans="1:15" ht="12.5">
      <c r="A1011" s="6">
        <v>1009</v>
      </c>
      <c r="B1011" s="6">
        <v>6119</v>
      </c>
      <c r="C1011" s="6">
        <v>1963</v>
      </c>
      <c r="D1011" s="7" t="s">
        <v>12</v>
      </c>
      <c r="E1011" s="7" t="s">
        <v>10</v>
      </c>
      <c r="F1011" s="6">
        <v>36736</v>
      </c>
      <c r="G1011" s="6">
        <v>1</v>
      </c>
      <c r="H1011" s="6">
        <v>1</v>
      </c>
      <c r="I1011" s="6">
        <f t="shared" si="15"/>
        <v>2</v>
      </c>
      <c r="J1011" s="8">
        <v>41404</v>
      </c>
      <c r="K1011" s="6">
        <v>52</v>
      </c>
      <c r="L1011">
        <f>VLOOKUP(A1011,Marketing_df2!$A$1:$F$2241,3,FALSE)</f>
        <v>0</v>
      </c>
      <c r="M1011">
        <f>VLOOKUP(A1011,Marketing_df2!$A$1:$F$2241,4,FALSE)</f>
        <v>0</v>
      </c>
      <c r="N1011">
        <f>VLOOKUP(A1011,Marketing_df2!$A$1:$F$2241,5,FALSE)</f>
        <v>1</v>
      </c>
      <c r="O1011">
        <f>VLOOKUP(A1011,Marketing_df2!$A$1:$F$2241,6,FALSE)</f>
        <v>2</v>
      </c>
    </row>
    <row r="1012" spans="1:15" ht="12.5">
      <c r="A1012" s="6">
        <v>1010</v>
      </c>
      <c r="B1012" s="6">
        <v>5236</v>
      </c>
      <c r="C1012" s="6">
        <v>1979</v>
      </c>
      <c r="D1012" s="7" t="s">
        <v>9</v>
      </c>
      <c r="E1012" s="7" t="s">
        <v>11</v>
      </c>
      <c r="F1012" s="6">
        <v>77568</v>
      </c>
      <c r="G1012" s="6">
        <v>0</v>
      </c>
      <c r="H1012" s="6">
        <v>1</v>
      </c>
      <c r="I1012" s="6">
        <f t="shared" si="15"/>
        <v>1</v>
      </c>
      <c r="J1012" s="8">
        <v>41146</v>
      </c>
      <c r="K1012" s="6">
        <v>30</v>
      </c>
      <c r="L1012">
        <f>VLOOKUP(A1012,Marketing_df2!$A$1:$F$2241,3,FALSE)</f>
        <v>0</v>
      </c>
      <c r="M1012">
        <f>VLOOKUP(A1012,Marketing_df2!$A$1:$F$2241,4,FALSE)</f>
        <v>178</v>
      </c>
      <c r="N1012">
        <f>VLOOKUP(A1012,Marketing_df2!$A$1:$F$2241,5,FALSE)</f>
        <v>10</v>
      </c>
      <c r="O1012">
        <f>VLOOKUP(A1012,Marketing_df2!$A$1:$F$2241,6,FALSE)</f>
        <v>8</v>
      </c>
    </row>
    <row r="1013" spans="1:15" ht="12.5">
      <c r="A1013" s="6">
        <v>1011</v>
      </c>
      <c r="B1013" s="6">
        <v>5723</v>
      </c>
      <c r="C1013" s="6">
        <v>1976</v>
      </c>
      <c r="D1013" s="7" t="s">
        <v>12</v>
      </c>
      <c r="E1013" s="7" t="s">
        <v>11</v>
      </c>
      <c r="F1013" s="6">
        <v>49187</v>
      </c>
      <c r="G1013" s="6">
        <v>0</v>
      </c>
      <c r="H1013" s="6">
        <v>1</v>
      </c>
      <c r="I1013" s="6">
        <f t="shared" si="15"/>
        <v>1</v>
      </c>
      <c r="J1013" s="8">
        <v>41650</v>
      </c>
      <c r="K1013" s="6">
        <v>63</v>
      </c>
      <c r="L1013">
        <f>VLOOKUP(A1013,Marketing_df2!$A$1:$F$2241,3,FALSE)</f>
        <v>1</v>
      </c>
      <c r="M1013">
        <f>VLOOKUP(A1013,Marketing_df2!$A$1:$F$2241,4,FALSE)</f>
        <v>1</v>
      </c>
      <c r="N1013">
        <f>VLOOKUP(A1013,Marketing_df2!$A$1:$F$2241,5,FALSE)</f>
        <v>1</v>
      </c>
      <c r="O1013">
        <f>VLOOKUP(A1013,Marketing_df2!$A$1:$F$2241,6,FALSE)</f>
        <v>5</v>
      </c>
    </row>
    <row r="1014" spans="1:15" ht="12.5">
      <c r="A1014" s="6">
        <v>1012</v>
      </c>
      <c r="B1014" s="6">
        <v>1710</v>
      </c>
      <c r="C1014" s="6">
        <v>1978</v>
      </c>
      <c r="D1014" s="7" t="s">
        <v>9</v>
      </c>
      <c r="E1014" s="7" t="s">
        <v>10</v>
      </c>
      <c r="F1014" s="6">
        <v>30168</v>
      </c>
      <c r="G1014" s="6">
        <v>1</v>
      </c>
      <c r="H1014" s="6">
        <v>0</v>
      </c>
      <c r="I1014" s="6">
        <f t="shared" si="15"/>
        <v>1</v>
      </c>
      <c r="J1014" s="8">
        <v>41340</v>
      </c>
      <c r="K1014" s="6">
        <v>51</v>
      </c>
      <c r="L1014">
        <f>VLOOKUP(A1014,Marketing_df2!$A$1:$F$2241,3,FALSE)</f>
        <v>20</v>
      </c>
      <c r="M1014">
        <f>VLOOKUP(A1014,Marketing_df2!$A$1:$F$2241,4,FALSE)</f>
        <v>12</v>
      </c>
      <c r="N1014">
        <f>VLOOKUP(A1014,Marketing_df2!$A$1:$F$2241,5,FALSE)</f>
        <v>6</v>
      </c>
      <c r="O1014">
        <f>VLOOKUP(A1014,Marketing_df2!$A$1:$F$2241,6,FALSE)</f>
        <v>4</v>
      </c>
    </row>
    <row r="1015" spans="1:15" ht="12.5">
      <c r="A1015" s="6">
        <v>1013</v>
      </c>
      <c r="B1015" s="6">
        <v>1970</v>
      </c>
      <c r="C1015" s="6">
        <v>1968</v>
      </c>
      <c r="D1015" s="7" t="s">
        <v>14</v>
      </c>
      <c r="E1015" s="7" t="s">
        <v>11</v>
      </c>
      <c r="F1015" s="6">
        <v>34053</v>
      </c>
      <c r="G1015" s="6">
        <v>0</v>
      </c>
      <c r="H1015" s="6">
        <v>1</v>
      </c>
      <c r="I1015" s="6">
        <f t="shared" si="15"/>
        <v>1</v>
      </c>
      <c r="J1015" s="8">
        <v>41162</v>
      </c>
      <c r="K1015" s="6">
        <v>14</v>
      </c>
      <c r="L1015">
        <f>VLOOKUP(A1015,Marketing_df2!$A$1:$F$2241,3,FALSE)</f>
        <v>0</v>
      </c>
      <c r="M1015">
        <f>VLOOKUP(A1015,Marketing_df2!$A$1:$F$2241,4,FALSE)</f>
        <v>0</v>
      </c>
      <c r="N1015">
        <f>VLOOKUP(A1015,Marketing_df2!$A$1:$F$2241,5,FALSE)</f>
        <v>3</v>
      </c>
      <c r="O1015">
        <f>VLOOKUP(A1015,Marketing_df2!$A$1:$F$2241,6,FALSE)</f>
        <v>3</v>
      </c>
    </row>
    <row r="1016" spans="1:15" ht="12.5">
      <c r="A1016" s="6">
        <v>1014</v>
      </c>
      <c r="B1016" s="6">
        <v>5313</v>
      </c>
      <c r="C1016" s="6">
        <v>1971</v>
      </c>
      <c r="D1016" s="7" t="s">
        <v>14</v>
      </c>
      <c r="E1016" s="7" t="s">
        <v>13</v>
      </c>
      <c r="F1016" s="6">
        <v>38196</v>
      </c>
      <c r="G1016" s="6">
        <v>1</v>
      </c>
      <c r="H1016" s="6">
        <v>1</v>
      </c>
      <c r="I1016" s="6">
        <f t="shared" si="15"/>
        <v>2</v>
      </c>
      <c r="J1016" s="8">
        <v>41747</v>
      </c>
      <c r="K1016" s="6">
        <v>20</v>
      </c>
      <c r="L1016">
        <f>VLOOKUP(A1016,Marketing_df2!$A$1:$F$2241,3,FALSE)</f>
        <v>0</v>
      </c>
      <c r="M1016">
        <f>VLOOKUP(A1016,Marketing_df2!$A$1:$F$2241,4,FALSE)</f>
        <v>0</v>
      </c>
      <c r="N1016">
        <f>VLOOKUP(A1016,Marketing_df2!$A$1:$F$2241,5,FALSE)</f>
        <v>2</v>
      </c>
      <c r="O1016">
        <f>VLOOKUP(A1016,Marketing_df2!$A$1:$F$2241,6,FALSE)</f>
        <v>4</v>
      </c>
    </row>
    <row r="1017" spans="1:15" ht="12.5">
      <c r="A1017" s="6">
        <v>1015</v>
      </c>
      <c r="B1017" s="6">
        <v>10634</v>
      </c>
      <c r="C1017" s="6">
        <v>1951</v>
      </c>
      <c r="D1017" s="7" t="s">
        <v>14</v>
      </c>
      <c r="E1017" s="7" t="s">
        <v>13</v>
      </c>
      <c r="F1017" s="6">
        <v>59412</v>
      </c>
      <c r="G1017" s="6">
        <v>0</v>
      </c>
      <c r="H1017" s="6">
        <v>0</v>
      </c>
      <c r="I1017" s="6">
        <f t="shared" si="15"/>
        <v>0</v>
      </c>
      <c r="J1017" s="8">
        <v>41748</v>
      </c>
      <c r="K1017" s="6">
        <v>56</v>
      </c>
      <c r="L1017">
        <f>VLOOKUP(A1017,Marketing_df2!$A$1:$F$2241,3,FALSE)</f>
        <v>67</v>
      </c>
      <c r="M1017">
        <f>VLOOKUP(A1017,Marketing_df2!$A$1:$F$2241,4,FALSE)</f>
        <v>43</v>
      </c>
      <c r="N1017">
        <f>VLOOKUP(A1017,Marketing_df2!$A$1:$F$2241,5,FALSE)</f>
        <v>4</v>
      </c>
      <c r="O1017">
        <f>VLOOKUP(A1017,Marketing_df2!$A$1:$F$2241,6,FALSE)</f>
        <v>8</v>
      </c>
    </row>
    <row r="1018" spans="1:15" ht="12.5">
      <c r="A1018" s="6">
        <v>1016</v>
      </c>
      <c r="B1018" s="6">
        <v>7010</v>
      </c>
      <c r="C1018" s="6">
        <v>1965</v>
      </c>
      <c r="D1018" s="7" t="s">
        <v>17</v>
      </c>
      <c r="E1018" s="7" t="s">
        <v>13</v>
      </c>
      <c r="F1018" s="6">
        <v>70924</v>
      </c>
      <c r="G1018" s="6">
        <v>0</v>
      </c>
      <c r="H1018" s="6">
        <v>0</v>
      </c>
      <c r="I1018" s="6">
        <f t="shared" si="15"/>
        <v>0</v>
      </c>
      <c r="J1018" s="8">
        <v>41736</v>
      </c>
      <c r="K1018" s="6">
        <v>41</v>
      </c>
      <c r="L1018">
        <f>VLOOKUP(A1018,Marketing_df2!$A$1:$F$2241,3,FALSE)</f>
        <v>114</v>
      </c>
      <c r="M1018">
        <f>VLOOKUP(A1018,Marketing_df2!$A$1:$F$2241,4,FALSE)</f>
        <v>152</v>
      </c>
      <c r="N1018">
        <f>VLOOKUP(A1018,Marketing_df2!$A$1:$F$2241,5,FALSE)</f>
        <v>6</v>
      </c>
      <c r="O1018">
        <f>VLOOKUP(A1018,Marketing_df2!$A$1:$F$2241,6,FALSE)</f>
        <v>7</v>
      </c>
    </row>
    <row r="1019" spans="1:15" ht="12.5">
      <c r="A1019" s="6">
        <v>1017</v>
      </c>
      <c r="B1019" s="6">
        <v>8562</v>
      </c>
      <c r="C1019" s="6">
        <v>1969</v>
      </c>
      <c r="D1019" s="7" t="s">
        <v>9</v>
      </c>
      <c r="E1019" s="7" t="s">
        <v>11</v>
      </c>
      <c r="F1019" s="6">
        <v>54165</v>
      </c>
      <c r="G1019" s="6">
        <v>0</v>
      </c>
      <c r="H1019" s="6">
        <v>0</v>
      </c>
      <c r="I1019" s="6">
        <f t="shared" si="15"/>
        <v>0</v>
      </c>
      <c r="J1019" s="8">
        <v>41422</v>
      </c>
      <c r="K1019" s="6">
        <v>72</v>
      </c>
      <c r="L1019">
        <f>VLOOKUP(A1019,Marketing_df2!$A$1:$F$2241,3,FALSE)</f>
        <v>4</v>
      </c>
      <c r="M1019">
        <f>VLOOKUP(A1019,Marketing_df2!$A$1:$F$2241,4,FALSE)</f>
        <v>6</v>
      </c>
      <c r="N1019">
        <f>VLOOKUP(A1019,Marketing_df2!$A$1:$F$2241,5,FALSE)</f>
        <v>2</v>
      </c>
      <c r="O1019">
        <f>VLOOKUP(A1019,Marketing_df2!$A$1:$F$2241,6,FALSE)</f>
        <v>7</v>
      </c>
    </row>
    <row r="1020" spans="1:15" ht="12.5">
      <c r="A1020" s="6">
        <v>1018</v>
      </c>
      <c r="B1020" s="6">
        <v>3158</v>
      </c>
      <c r="C1020" s="6">
        <v>1973</v>
      </c>
      <c r="D1020" s="7" t="s">
        <v>9</v>
      </c>
      <c r="E1020" s="7" t="s">
        <v>13</v>
      </c>
      <c r="F1020" s="6">
        <v>32300</v>
      </c>
      <c r="G1020" s="6">
        <v>1</v>
      </c>
      <c r="H1020" s="6">
        <v>0</v>
      </c>
      <c r="I1020" s="6">
        <f t="shared" si="15"/>
        <v>1</v>
      </c>
      <c r="J1020" s="8">
        <v>41277</v>
      </c>
      <c r="K1020" s="6">
        <v>1</v>
      </c>
      <c r="L1020">
        <f>VLOOKUP(A1020,Marketing_df2!$A$1:$F$2241,3,FALSE)</f>
        <v>3</v>
      </c>
      <c r="M1020">
        <f>VLOOKUP(A1020,Marketing_df2!$A$1:$F$2241,4,FALSE)</f>
        <v>5</v>
      </c>
      <c r="N1020">
        <f>VLOOKUP(A1020,Marketing_df2!$A$1:$F$2241,5,FALSE)</f>
        <v>1</v>
      </c>
      <c r="O1020">
        <f>VLOOKUP(A1020,Marketing_df2!$A$1:$F$2241,6,FALSE)</f>
        <v>3</v>
      </c>
    </row>
    <row r="1021" spans="1:15" ht="12.5">
      <c r="A1021" s="6">
        <v>1019</v>
      </c>
      <c r="B1021" s="6">
        <v>4436</v>
      </c>
      <c r="C1021" s="6">
        <v>1976</v>
      </c>
      <c r="D1021" s="7" t="s">
        <v>9</v>
      </c>
      <c r="E1021" s="7" t="s">
        <v>10</v>
      </c>
      <c r="F1021" s="6">
        <v>20180</v>
      </c>
      <c r="G1021" s="6">
        <v>0</v>
      </c>
      <c r="H1021" s="6">
        <v>0</v>
      </c>
      <c r="I1021" s="6">
        <f t="shared" si="15"/>
        <v>0</v>
      </c>
      <c r="J1021" s="8">
        <v>41325</v>
      </c>
      <c r="K1021" s="6">
        <v>27</v>
      </c>
      <c r="L1021">
        <f>VLOOKUP(A1021,Marketing_df2!$A$1:$F$2241,3,FALSE)</f>
        <v>42</v>
      </c>
      <c r="M1021">
        <f>VLOOKUP(A1021,Marketing_df2!$A$1:$F$2241,4,FALSE)</f>
        <v>20</v>
      </c>
      <c r="N1021">
        <f>VLOOKUP(A1021,Marketing_df2!$A$1:$F$2241,5,FALSE)</f>
        <v>2</v>
      </c>
      <c r="O1021">
        <f>VLOOKUP(A1021,Marketing_df2!$A$1:$F$2241,6,FALSE)</f>
        <v>4</v>
      </c>
    </row>
    <row r="1022" spans="1:15" ht="12.5">
      <c r="A1022" s="6">
        <v>1020</v>
      </c>
      <c r="B1022" s="6">
        <v>5287</v>
      </c>
      <c r="C1022" s="6">
        <v>1973</v>
      </c>
      <c r="D1022" s="7" t="s">
        <v>9</v>
      </c>
      <c r="E1022" s="7" t="s">
        <v>13</v>
      </c>
      <c r="F1022" s="6">
        <v>34961</v>
      </c>
      <c r="G1022" s="6">
        <v>1</v>
      </c>
      <c r="H1022" s="6">
        <v>0</v>
      </c>
      <c r="I1022" s="6">
        <f t="shared" si="15"/>
        <v>1</v>
      </c>
      <c r="J1022" s="8">
        <v>41809</v>
      </c>
      <c r="K1022" s="6">
        <v>77</v>
      </c>
      <c r="L1022">
        <f>VLOOKUP(A1022,Marketing_df2!$A$1:$F$2241,3,FALSE)</f>
        <v>2</v>
      </c>
      <c r="M1022">
        <f>VLOOKUP(A1022,Marketing_df2!$A$1:$F$2241,4,FALSE)</f>
        <v>1</v>
      </c>
      <c r="N1022">
        <f>VLOOKUP(A1022,Marketing_df2!$A$1:$F$2241,5,FALSE)</f>
        <v>3</v>
      </c>
      <c r="O1022">
        <f>VLOOKUP(A1022,Marketing_df2!$A$1:$F$2241,6,FALSE)</f>
        <v>3</v>
      </c>
    </row>
    <row r="1023" spans="1:15" ht="12.5">
      <c r="A1023" s="6">
        <v>1021</v>
      </c>
      <c r="B1023" s="6">
        <v>2445</v>
      </c>
      <c r="C1023" s="6">
        <v>1974</v>
      </c>
      <c r="D1023" s="7" t="s">
        <v>12</v>
      </c>
      <c r="E1023" s="7" t="s">
        <v>11</v>
      </c>
      <c r="F1023" s="6">
        <v>28440</v>
      </c>
      <c r="G1023" s="6">
        <v>1</v>
      </c>
      <c r="H1023" s="6">
        <v>0</v>
      </c>
      <c r="I1023" s="6">
        <f t="shared" si="15"/>
        <v>1</v>
      </c>
      <c r="J1023" s="8">
        <v>41462</v>
      </c>
      <c r="K1023" s="6">
        <v>87</v>
      </c>
      <c r="L1023">
        <f>VLOOKUP(A1023,Marketing_df2!$A$1:$F$2241,3,FALSE)</f>
        <v>1</v>
      </c>
      <c r="M1023">
        <f>VLOOKUP(A1023,Marketing_df2!$A$1:$F$2241,4,FALSE)</f>
        <v>0</v>
      </c>
      <c r="N1023">
        <f>VLOOKUP(A1023,Marketing_df2!$A$1:$F$2241,5,FALSE)</f>
        <v>2</v>
      </c>
      <c r="O1023">
        <f>VLOOKUP(A1023,Marketing_df2!$A$1:$F$2241,6,FALSE)</f>
        <v>3</v>
      </c>
    </row>
    <row r="1024" spans="1:15" ht="12.5">
      <c r="A1024" s="6">
        <v>1022</v>
      </c>
      <c r="B1024" s="6">
        <v>6059</v>
      </c>
      <c r="C1024" s="6">
        <v>1953</v>
      </c>
      <c r="D1024" s="7" t="s">
        <v>12</v>
      </c>
      <c r="E1024" s="7" t="s">
        <v>11</v>
      </c>
      <c r="F1024" s="6">
        <v>64504</v>
      </c>
      <c r="G1024" s="6">
        <v>1</v>
      </c>
      <c r="H1024" s="6">
        <v>2</v>
      </c>
      <c r="I1024" s="6">
        <f t="shared" si="15"/>
        <v>3</v>
      </c>
      <c r="J1024" s="8">
        <v>41337</v>
      </c>
      <c r="K1024" s="6">
        <v>81</v>
      </c>
      <c r="L1024">
        <f>VLOOKUP(A1024,Marketing_df2!$A$1:$F$2241,3,FALSE)</f>
        <v>36</v>
      </c>
      <c r="M1024">
        <f>VLOOKUP(A1024,Marketing_df2!$A$1:$F$2241,4,FALSE)</f>
        <v>0</v>
      </c>
      <c r="N1024">
        <f>VLOOKUP(A1024,Marketing_df2!$A$1:$F$2241,5,FALSE)</f>
        <v>11</v>
      </c>
      <c r="O1024">
        <f>VLOOKUP(A1024,Marketing_df2!$A$1:$F$2241,6,FALSE)</f>
        <v>4</v>
      </c>
    </row>
    <row r="1025" spans="1:15" ht="12.5">
      <c r="A1025" s="6">
        <v>1023</v>
      </c>
      <c r="B1025" s="6">
        <v>4550</v>
      </c>
      <c r="C1025" s="6">
        <v>1966</v>
      </c>
      <c r="D1025" s="7" t="s">
        <v>14</v>
      </c>
      <c r="E1025" s="7" t="s">
        <v>11</v>
      </c>
      <c r="F1025" s="6">
        <v>33564</v>
      </c>
      <c r="G1025" s="6">
        <v>0</v>
      </c>
      <c r="H1025" s="6">
        <v>1</v>
      </c>
      <c r="I1025" s="6">
        <f t="shared" si="15"/>
        <v>1</v>
      </c>
      <c r="J1025" s="8">
        <v>41814</v>
      </c>
      <c r="K1025" s="6">
        <v>51</v>
      </c>
      <c r="L1025">
        <f>VLOOKUP(A1025,Marketing_df2!$A$1:$F$2241,3,FALSE)</f>
        <v>0</v>
      </c>
      <c r="M1025">
        <f>VLOOKUP(A1025,Marketing_df2!$A$1:$F$2241,4,FALSE)</f>
        <v>0</v>
      </c>
      <c r="N1025">
        <f>VLOOKUP(A1025,Marketing_df2!$A$1:$F$2241,5,FALSE)</f>
        <v>1</v>
      </c>
      <c r="O1025">
        <f>VLOOKUP(A1025,Marketing_df2!$A$1:$F$2241,6,FALSE)</f>
        <v>3</v>
      </c>
    </row>
    <row r="1026" spans="1:15" ht="12.5">
      <c r="A1026" s="6">
        <v>1024</v>
      </c>
      <c r="B1026" s="6">
        <v>4240</v>
      </c>
      <c r="C1026" s="6">
        <v>1978</v>
      </c>
      <c r="D1026" s="7" t="s">
        <v>9</v>
      </c>
      <c r="E1026" s="7" t="s">
        <v>13</v>
      </c>
      <c r="F1026" s="6">
        <v>17345</v>
      </c>
      <c r="G1026" s="6">
        <v>1</v>
      </c>
      <c r="H1026" s="6">
        <v>0</v>
      </c>
      <c r="I1026" s="6">
        <f t="shared" si="15"/>
        <v>1</v>
      </c>
      <c r="J1026" s="8">
        <v>41216</v>
      </c>
      <c r="K1026" s="6">
        <v>79</v>
      </c>
      <c r="L1026">
        <f>VLOOKUP(A1026,Marketing_df2!$A$1:$F$2241,3,FALSE)</f>
        <v>9</v>
      </c>
      <c r="M1026">
        <f>VLOOKUP(A1026,Marketing_df2!$A$1:$F$2241,4,FALSE)</f>
        <v>0</v>
      </c>
      <c r="N1026">
        <f>VLOOKUP(A1026,Marketing_df2!$A$1:$F$2241,5,FALSE)</f>
        <v>2</v>
      </c>
      <c r="O1026">
        <f>VLOOKUP(A1026,Marketing_df2!$A$1:$F$2241,6,FALSE)</f>
        <v>2</v>
      </c>
    </row>
    <row r="1027" spans="1:15" ht="12.5">
      <c r="A1027" s="6">
        <v>1025</v>
      </c>
      <c r="B1027" s="6">
        <v>8911</v>
      </c>
      <c r="C1027" s="6">
        <v>1967</v>
      </c>
      <c r="D1027" s="7" t="s">
        <v>12</v>
      </c>
      <c r="E1027" s="7" t="s">
        <v>13</v>
      </c>
      <c r="F1027" s="6">
        <v>56320</v>
      </c>
      <c r="G1027" s="6">
        <v>0</v>
      </c>
      <c r="H1027" s="6">
        <v>1</v>
      </c>
      <c r="I1027" s="6">
        <f t="shared" ref="I1027:I1090" si="16">G1027+H1027</f>
        <v>1</v>
      </c>
      <c r="J1027" s="8">
        <v>41372</v>
      </c>
      <c r="K1027" s="6">
        <v>11</v>
      </c>
      <c r="L1027">
        <f>VLOOKUP(A1027,Marketing_df2!$A$1:$F$2241,3,FALSE)</f>
        <v>53</v>
      </c>
      <c r="M1027">
        <f>VLOOKUP(A1027,Marketing_df2!$A$1:$F$2241,4,FALSE)</f>
        <v>77</v>
      </c>
      <c r="N1027">
        <f>VLOOKUP(A1027,Marketing_df2!$A$1:$F$2241,5,FALSE)</f>
        <v>5</v>
      </c>
      <c r="O1027">
        <f>VLOOKUP(A1027,Marketing_df2!$A$1:$F$2241,6,FALSE)</f>
        <v>9</v>
      </c>
    </row>
    <row r="1028" spans="1:15" ht="12.5">
      <c r="A1028" s="6">
        <v>1026</v>
      </c>
      <c r="B1028" s="6">
        <v>3706</v>
      </c>
      <c r="C1028" s="6">
        <v>1978</v>
      </c>
      <c r="D1028" s="7" t="s">
        <v>9</v>
      </c>
      <c r="E1028" s="7" t="s">
        <v>10</v>
      </c>
      <c r="F1028" s="6">
        <v>28647</v>
      </c>
      <c r="G1028" s="6">
        <v>1</v>
      </c>
      <c r="H1028" s="6">
        <v>0</v>
      </c>
      <c r="I1028" s="6">
        <f t="shared" si="16"/>
        <v>1</v>
      </c>
      <c r="J1028" s="8">
        <v>41507</v>
      </c>
      <c r="K1028" s="6">
        <v>54</v>
      </c>
      <c r="L1028">
        <f>VLOOKUP(A1028,Marketing_df2!$A$1:$F$2241,3,FALSE)</f>
        <v>8</v>
      </c>
      <c r="M1028">
        <f>VLOOKUP(A1028,Marketing_df2!$A$1:$F$2241,4,FALSE)</f>
        <v>12</v>
      </c>
      <c r="N1028">
        <f>VLOOKUP(A1028,Marketing_df2!$A$1:$F$2241,5,FALSE)</f>
        <v>2</v>
      </c>
      <c r="O1028">
        <f>VLOOKUP(A1028,Marketing_df2!$A$1:$F$2241,6,FALSE)</f>
        <v>2</v>
      </c>
    </row>
    <row r="1029" spans="1:15" ht="12.5">
      <c r="A1029" s="6">
        <v>1027</v>
      </c>
      <c r="B1029" s="6">
        <v>3628</v>
      </c>
      <c r="C1029" s="6">
        <v>1987</v>
      </c>
      <c r="D1029" s="7" t="s">
        <v>16</v>
      </c>
      <c r="E1029" s="7" t="s">
        <v>10</v>
      </c>
      <c r="F1029" s="6">
        <v>15038</v>
      </c>
      <c r="G1029" s="6">
        <v>1</v>
      </c>
      <c r="H1029" s="6">
        <v>0</v>
      </c>
      <c r="I1029" s="6">
        <f t="shared" si="16"/>
        <v>1</v>
      </c>
      <c r="J1029" s="8">
        <v>41303</v>
      </c>
      <c r="K1029" s="6">
        <v>93</v>
      </c>
      <c r="L1029">
        <f>VLOOKUP(A1029,Marketing_df2!$A$1:$F$2241,3,FALSE)</f>
        <v>8</v>
      </c>
      <c r="M1029">
        <f>VLOOKUP(A1029,Marketing_df2!$A$1:$F$2241,4,FALSE)</f>
        <v>12</v>
      </c>
      <c r="N1029">
        <f>VLOOKUP(A1029,Marketing_df2!$A$1:$F$2241,5,FALSE)</f>
        <v>2</v>
      </c>
      <c r="O1029">
        <f>VLOOKUP(A1029,Marketing_df2!$A$1:$F$2241,6,FALSE)</f>
        <v>2</v>
      </c>
    </row>
    <row r="1030" spans="1:15" ht="12.5">
      <c r="A1030" s="6">
        <v>1028</v>
      </c>
      <c r="B1030" s="6">
        <v>10175</v>
      </c>
      <c r="C1030" s="6">
        <v>1958</v>
      </c>
      <c r="D1030" s="7" t="s">
        <v>12</v>
      </c>
      <c r="E1030" s="7" t="s">
        <v>15</v>
      </c>
      <c r="F1030" s="6">
        <v>32173</v>
      </c>
      <c r="G1030" s="6">
        <v>0</v>
      </c>
      <c r="H1030" s="6">
        <v>1</v>
      </c>
      <c r="I1030" s="6">
        <f t="shared" si="16"/>
        <v>1</v>
      </c>
      <c r="J1030" s="8">
        <v>41487</v>
      </c>
      <c r="K1030" s="6">
        <v>0</v>
      </c>
      <c r="L1030">
        <f>VLOOKUP(A1030,Marketing_df2!$A$1:$F$2241,3,FALSE)</f>
        <v>0</v>
      </c>
      <c r="M1030">
        <f>VLOOKUP(A1030,Marketing_df2!$A$1:$F$2241,4,FALSE)</f>
        <v>0</v>
      </c>
      <c r="N1030">
        <f>VLOOKUP(A1030,Marketing_df2!$A$1:$F$2241,5,FALSE)</f>
        <v>1</v>
      </c>
      <c r="O1030">
        <f>VLOOKUP(A1030,Marketing_df2!$A$1:$F$2241,6,FALSE)</f>
        <v>3</v>
      </c>
    </row>
    <row r="1031" spans="1:15" ht="12.5">
      <c r="A1031" s="6">
        <v>1029</v>
      </c>
      <c r="B1031" s="6">
        <v>8985</v>
      </c>
      <c r="C1031" s="6">
        <v>1964</v>
      </c>
      <c r="D1031" s="7" t="s">
        <v>17</v>
      </c>
      <c r="E1031" s="7" t="s">
        <v>11</v>
      </c>
      <c r="F1031" s="6">
        <v>68316</v>
      </c>
      <c r="G1031" s="6">
        <v>0</v>
      </c>
      <c r="H1031" s="6">
        <v>1</v>
      </c>
      <c r="I1031" s="6">
        <f t="shared" si="16"/>
        <v>1</v>
      </c>
      <c r="J1031" s="8">
        <v>41217</v>
      </c>
      <c r="K1031" s="6">
        <v>54</v>
      </c>
      <c r="L1031">
        <f>VLOOKUP(A1031,Marketing_df2!$A$1:$F$2241,3,FALSE)</f>
        <v>80</v>
      </c>
      <c r="M1031">
        <f>VLOOKUP(A1031,Marketing_df2!$A$1:$F$2241,4,FALSE)</f>
        <v>11</v>
      </c>
      <c r="N1031">
        <f>VLOOKUP(A1031,Marketing_df2!$A$1:$F$2241,5,FALSE)</f>
        <v>10</v>
      </c>
      <c r="O1031">
        <f>VLOOKUP(A1031,Marketing_df2!$A$1:$F$2241,6,FALSE)</f>
        <v>10</v>
      </c>
    </row>
    <row r="1032" spans="1:15" ht="12.5">
      <c r="A1032" s="6">
        <v>1030</v>
      </c>
      <c r="B1032" s="6">
        <v>5204</v>
      </c>
      <c r="C1032" s="6">
        <v>1971</v>
      </c>
      <c r="D1032" s="7" t="s">
        <v>9</v>
      </c>
      <c r="E1032" s="7" t="s">
        <v>11</v>
      </c>
      <c r="F1032" s="6">
        <v>74538</v>
      </c>
      <c r="G1032" s="6">
        <v>0</v>
      </c>
      <c r="H1032" s="6">
        <v>0</v>
      </c>
      <c r="I1032" s="6">
        <f t="shared" si="16"/>
        <v>0</v>
      </c>
      <c r="J1032" s="8">
        <v>41454</v>
      </c>
      <c r="K1032" s="6">
        <v>21</v>
      </c>
      <c r="L1032">
        <f>VLOOKUP(A1032,Marketing_df2!$A$1:$F$2241,3,FALSE)</f>
        <v>98</v>
      </c>
      <c r="M1032">
        <f>VLOOKUP(A1032,Marketing_df2!$A$1:$F$2241,4,FALSE)</f>
        <v>112</v>
      </c>
      <c r="N1032">
        <f>VLOOKUP(A1032,Marketing_df2!$A$1:$F$2241,5,FALSE)</f>
        <v>8</v>
      </c>
      <c r="O1032">
        <f>VLOOKUP(A1032,Marketing_df2!$A$1:$F$2241,6,FALSE)</f>
        <v>5</v>
      </c>
    </row>
    <row r="1033" spans="1:15" ht="12.5">
      <c r="A1033" s="6">
        <v>1031</v>
      </c>
      <c r="B1033" s="6">
        <v>9220</v>
      </c>
      <c r="C1033" s="6">
        <v>1971</v>
      </c>
      <c r="D1033" s="7" t="s">
        <v>9</v>
      </c>
      <c r="E1033" s="7" t="s">
        <v>10</v>
      </c>
      <c r="F1033" s="6">
        <v>91700</v>
      </c>
      <c r="G1033" s="6">
        <v>0</v>
      </c>
      <c r="H1033" s="6">
        <v>0</v>
      </c>
      <c r="I1033" s="6">
        <f t="shared" si="16"/>
        <v>0</v>
      </c>
      <c r="J1033" s="8">
        <v>41291</v>
      </c>
      <c r="K1033" s="6">
        <v>58</v>
      </c>
      <c r="L1033">
        <f>VLOOKUP(A1033,Marketing_df2!$A$1:$F$2241,3,FALSE)</f>
        <v>172</v>
      </c>
      <c r="M1033">
        <f>VLOOKUP(A1033,Marketing_df2!$A$1:$F$2241,4,FALSE)</f>
        <v>115</v>
      </c>
      <c r="N1033">
        <f>VLOOKUP(A1033,Marketing_df2!$A$1:$F$2241,5,FALSE)</f>
        <v>8</v>
      </c>
      <c r="O1033">
        <f>VLOOKUP(A1033,Marketing_df2!$A$1:$F$2241,6,FALSE)</f>
        <v>5</v>
      </c>
    </row>
    <row r="1034" spans="1:15" ht="12.5">
      <c r="A1034" s="6">
        <v>1032</v>
      </c>
      <c r="B1034" s="6">
        <v>9888</v>
      </c>
      <c r="C1034" s="6">
        <v>1969</v>
      </c>
      <c r="D1034" s="7" t="s">
        <v>9</v>
      </c>
      <c r="E1034" s="7" t="s">
        <v>11</v>
      </c>
      <c r="F1034" s="6">
        <v>68695</v>
      </c>
      <c r="G1034" s="6">
        <v>0</v>
      </c>
      <c r="H1034" s="6">
        <v>0</v>
      </c>
      <c r="I1034" s="6">
        <f t="shared" si="16"/>
        <v>0</v>
      </c>
      <c r="J1034" s="8">
        <v>41815</v>
      </c>
      <c r="K1034" s="6">
        <v>3</v>
      </c>
      <c r="L1034">
        <f>VLOOKUP(A1034,Marketing_df2!$A$1:$F$2241,3,FALSE)</f>
        <v>81</v>
      </c>
      <c r="M1034">
        <f>VLOOKUP(A1034,Marketing_df2!$A$1:$F$2241,4,FALSE)</f>
        <v>50</v>
      </c>
      <c r="N1034">
        <f>VLOOKUP(A1034,Marketing_df2!$A$1:$F$2241,5,FALSE)</f>
        <v>4</v>
      </c>
      <c r="O1034">
        <f>VLOOKUP(A1034,Marketing_df2!$A$1:$F$2241,6,FALSE)</f>
        <v>7</v>
      </c>
    </row>
    <row r="1035" spans="1:15" ht="12.5">
      <c r="A1035" s="6">
        <v>1033</v>
      </c>
      <c r="B1035" s="6">
        <v>5263</v>
      </c>
      <c r="C1035" s="6">
        <v>1977</v>
      </c>
      <c r="D1035" s="7" t="s">
        <v>17</v>
      </c>
      <c r="E1035" s="7" t="s">
        <v>13</v>
      </c>
      <c r="F1035" s="6">
        <v>31056</v>
      </c>
      <c r="G1035" s="6">
        <v>1</v>
      </c>
      <c r="H1035" s="6">
        <v>0</v>
      </c>
      <c r="I1035" s="6">
        <f t="shared" si="16"/>
        <v>1</v>
      </c>
      <c r="J1035" s="8">
        <v>41296</v>
      </c>
      <c r="K1035" s="6">
        <v>99</v>
      </c>
      <c r="L1035">
        <f>VLOOKUP(A1035,Marketing_df2!$A$1:$F$2241,3,FALSE)</f>
        <v>10</v>
      </c>
      <c r="M1035">
        <f>VLOOKUP(A1035,Marketing_df2!$A$1:$F$2241,4,FALSE)</f>
        <v>8</v>
      </c>
      <c r="N1035">
        <f>VLOOKUP(A1035,Marketing_df2!$A$1:$F$2241,5,FALSE)</f>
        <v>1</v>
      </c>
      <c r="O1035">
        <f>VLOOKUP(A1035,Marketing_df2!$A$1:$F$2241,6,FALSE)</f>
        <v>3</v>
      </c>
    </row>
    <row r="1036" spans="1:15" ht="12.5">
      <c r="A1036" s="6">
        <v>1034</v>
      </c>
      <c r="B1036" s="6">
        <v>1020</v>
      </c>
      <c r="C1036" s="6">
        <v>1973</v>
      </c>
      <c r="D1036" s="7" t="s">
        <v>9</v>
      </c>
      <c r="E1036" s="7" t="s">
        <v>13</v>
      </c>
      <c r="F1036" s="6">
        <v>79593</v>
      </c>
      <c r="G1036" s="6">
        <v>0</v>
      </c>
      <c r="H1036" s="6">
        <v>0</v>
      </c>
      <c r="I1036" s="6">
        <f t="shared" si="16"/>
        <v>0</v>
      </c>
      <c r="J1036" s="8">
        <v>41771</v>
      </c>
      <c r="K1036" s="6">
        <v>70</v>
      </c>
      <c r="L1036">
        <f>VLOOKUP(A1036,Marketing_df2!$A$1:$F$2241,3,FALSE)</f>
        <v>60</v>
      </c>
      <c r="M1036">
        <f>VLOOKUP(A1036,Marketing_df2!$A$1:$F$2241,4,FALSE)</f>
        <v>133</v>
      </c>
      <c r="N1036">
        <f>VLOOKUP(A1036,Marketing_df2!$A$1:$F$2241,5,FALSE)</f>
        <v>5</v>
      </c>
      <c r="O1036">
        <f>VLOOKUP(A1036,Marketing_df2!$A$1:$F$2241,6,FALSE)</f>
        <v>7</v>
      </c>
    </row>
    <row r="1037" spans="1:15" ht="12.5">
      <c r="A1037" s="6">
        <v>1035</v>
      </c>
      <c r="B1037" s="6">
        <v>9503</v>
      </c>
      <c r="C1037" s="6">
        <v>1980</v>
      </c>
      <c r="D1037" s="7" t="s">
        <v>9</v>
      </c>
      <c r="E1037" s="7" t="s">
        <v>10</v>
      </c>
      <c r="F1037" s="6">
        <v>28071</v>
      </c>
      <c r="G1037" s="6">
        <v>0</v>
      </c>
      <c r="H1037" s="6">
        <v>0</v>
      </c>
      <c r="I1037" s="6">
        <f t="shared" si="16"/>
        <v>0</v>
      </c>
      <c r="J1037" s="8">
        <v>41150</v>
      </c>
      <c r="K1037" s="6">
        <v>65</v>
      </c>
      <c r="L1037">
        <f>VLOOKUP(A1037,Marketing_df2!$A$1:$F$2241,3,FALSE)</f>
        <v>33</v>
      </c>
      <c r="M1037">
        <f>VLOOKUP(A1037,Marketing_df2!$A$1:$F$2241,4,FALSE)</f>
        <v>26</v>
      </c>
      <c r="N1037">
        <f>VLOOKUP(A1037,Marketing_df2!$A$1:$F$2241,5,FALSE)</f>
        <v>5</v>
      </c>
      <c r="O1037">
        <f>VLOOKUP(A1037,Marketing_df2!$A$1:$F$2241,6,FALSE)</f>
        <v>5</v>
      </c>
    </row>
    <row r="1038" spans="1:15" ht="12.5">
      <c r="A1038" s="6">
        <v>1036</v>
      </c>
      <c r="B1038" s="6">
        <v>10613</v>
      </c>
      <c r="C1038" s="6">
        <v>1958</v>
      </c>
      <c r="D1038" s="7" t="s">
        <v>12</v>
      </c>
      <c r="E1038" s="7" t="s">
        <v>11</v>
      </c>
      <c r="F1038" s="6">
        <v>37334</v>
      </c>
      <c r="G1038" s="6">
        <v>1</v>
      </c>
      <c r="H1038" s="6">
        <v>1</v>
      </c>
      <c r="I1038" s="6">
        <f t="shared" si="16"/>
        <v>2</v>
      </c>
      <c r="J1038" s="8">
        <v>41696</v>
      </c>
      <c r="K1038" s="6">
        <v>44</v>
      </c>
      <c r="L1038">
        <f>VLOOKUP(A1038,Marketing_df2!$A$1:$F$2241,3,FALSE)</f>
        <v>1</v>
      </c>
      <c r="M1038">
        <f>VLOOKUP(A1038,Marketing_df2!$A$1:$F$2241,4,FALSE)</f>
        <v>2</v>
      </c>
      <c r="N1038">
        <f>VLOOKUP(A1038,Marketing_df2!$A$1:$F$2241,5,FALSE)</f>
        <v>3</v>
      </c>
      <c r="O1038">
        <f>VLOOKUP(A1038,Marketing_df2!$A$1:$F$2241,6,FALSE)</f>
        <v>4</v>
      </c>
    </row>
    <row r="1039" spans="1:15" ht="12.5">
      <c r="A1039" s="6">
        <v>1037</v>
      </c>
      <c r="B1039" s="6">
        <v>67</v>
      </c>
      <c r="C1039" s="6">
        <v>1972</v>
      </c>
      <c r="D1039" s="7" t="s">
        <v>14</v>
      </c>
      <c r="E1039" s="7" t="s">
        <v>10</v>
      </c>
      <c r="F1039" s="6">
        <v>46423</v>
      </c>
      <c r="G1039" s="6">
        <v>1</v>
      </c>
      <c r="H1039" s="6">
        <v>1</v>
      </c>
      <c r="I1039" s="6">
        <f t="shared" si="16"/>
        <v>2</v>
      </c>
      <c r="J1039" s="8">
        <v>41535</v>
      </c>
      <c r="K1039" s="6">
        <v>6</v>
      </c>
      <c r="L1039">
        <f>VLOOKUP(A1039,Marketing_df2!$A$1:$F$2241,3,FALSE)</f>
        <v>0</v>
      </c>
      <c r="M1039">
        <f>VLOOKUP(A1039,Marketing_df2!$A$1:$F$2241,4,FALSE)</f>
        <v>0</v>
      </c>
      <c r="N1039">
        <f>VLOOKUP(A1039,Marketing_df2!$A$1:$F$2241,5,FALSE)</f>
        <v>2</v>
      </c>
      <c r="O1039">
        <f>VLOOKUP(A1039,Marketing_df2!$A$1:$F$2241,6,FALSE)</f>
        <v>4</v>
      </c>
    </row>
    <row r="1040" spans="1:15" ht="12.5">
      <c r="A1040" s="6">
        <v>1038</v>
      </c>
      <c r="B1040" s="6">
        <v>6019</v>
      </c>
      <c r="C1040" s="6">
        <v>1971</v>
      </c>
      <c r="D1040" s="7" t="s">
        <v>12</v>
      </c>
      <c r="E1040" s="7" t="s">
        <v>13</v>
      </c>
      <c r="F1040" s="6">
        <v>37126</v>
      </c>
      <c r="G1040" s="6">
        <v>1</v>
      </c>
      <c r="H1040" s="6">
        <v>0</v>
      </c>
      <c r="I1040" s="6">
        <f t="shared" si="16"/>
        <v>1</v>
      </c>
      <c r="J1040" s="8">
        <v>41728</v>
      </c>
      <c r="K1040" s="6">
        <v>9</v>
      </c>
      <c r="L1040">
        <f>VLOOKUP(A1040,Marketing_df2!$A$1:$F$2241,3,FALSE)</f>
        <v>3</v>
      </c>
      <c r="M1040">
        <f>VLOOKUP(A1040,Marketing_df2!$A$1:$F$2241,4,FALSE)</f>
        <v>4</v>
      </c>
      <c r="N1040">
        <f>VLOOKUP(A1040,Marketing_df2!$A$1:$F$2241,5,FALSE)</f>
        <v>1</v>
      </c>
      <c r="O1040">
        <f>VLOOKUP(A1040,Marketing_df2!$A$1:$F$2241,6,FALSE)</f>
        <v>2</v>
      </c>
    </row>
    <row r="1041" spans="1:15" ht="12.5">
      <c r="A1041" s="6">
        <v>1039</v>
      </c>
      <c r="B1041" s="6">
        <v>5863</v>
      </c>
      <c r="C1041" s="6">
        <v>1953</v>
      </c>
      <c r="D1041" s="7" t="s">
        <v>9</v>
      </c>
      <c r="E1041" s="7" t="s">
        <v>13</v>
      </c>
      <c r="F1041" s="6">
        <v>47703</v>
      </c>
      <c r="G1041" s="6">
        <v>0</v>
      </c>
      <c r="H1041" s="6">
        <v>1</v>
      </c>
      <c r="I1041" s="6">
        <f t="shared" si="16"/>
        <v>1</v>
      </c>
      <c r="J1041" s="8">
        <v>41423</v>
      </c>
      <c r="K1041" s="6">
        <v>95</v>
      </c>
      <c r="L1041">
        <f>VLOOKUP(A1041,Marketing_df2!$A$1:$F$2241,3,FALSE)</f>
        <v>0</v>
      </c>
      <c r="M1041">
        <f>VLOOKUP(A1041,Marketing_df2!$A$1:$F$2241,4,FALSE)</f>
        <v>26</v>
      </c>
      <c r="N1041">
        <f>VLOOKUP(A1041,Marketing_df2!$A$1:$F$2241,5,FALSE)</f>
        <v>6</v>
      </c>
      <c r="O1041">
        <f>VLOOKUP(A1041,Marketing_df2!$A$1:$F$2241,6,FALSE)</f>
        <v>8</v>
      </c>
    </row>
    <row r="1042" spans="1:15" ht="12.5">
      <c r="A1042" s="6">
        <v>1040</v>
      </c>
      <c r="B1042" s="6">
        <v>3717</v>
      </c>
      <c r="C1042" s="6">
        <v>1959</v>
      </c>
      <c r="D1042" s="7" t="s">
        <v>9</v>
      </c>
      <c r="E1042" s="7" t="s">
        <v>13</v>
      </c>
      <c r="F1042" s="6">
        <v>61180</v>
      </c>
      <c r="G1042" s="6">
        <v>0</v>
      </c>
      <c r="H1042" s="6">
        <v>1</v>
      </c>
      <c r="I1042" s="6">
        <f t="shared" si="16"/>
        <v>1</v>
      </c>
      <c r="J1042" s="8">
        <v>41752</v>
      </c>
      <c r="K1042" s="6">
        <v>70</v>
      </c>
      <c r="L1042">
        <f>VLOOKUP(A1042,Marketing_df2!$A$1:$F$2241,3,FALSE)</f>
        <v>24</v>
      </c>
      <c r="M1042">
        <f>VLOOKUP(A1042,Marketing_df2!$A$1:$F$2241,4,FALSE)</f>
        <v>24</v>
      </c>
      <c r="N1042">
        <f>VLOOKUP(A1042,Marketing_df2!$A$1:$F$2241,5,FALSE)</f>
        <v>5</v>
      </c>
      <c r="O1042">
        <f>VLOOKUP(A1042,Marketing_df2!$A$1:$F$2241,6,FALSE)</f>
        <v>6</v>
      </c>
    </row>
    <row r="1043" spans="1:15" ht="12.5">
      <c r="A1043" s="6">
        <v>1041</v>
      </c>
      <c r="B1043" s="6">
        <v>6730</v>
      </c>
      <c r="C1043" s="6">
        <v>1954</v>
      </c>
      <c r="D1043" s="7" t="s">
        <v>9</v>
      </c>
      <c r="E1043" s="7" t="s">
        <v>13</v>
      </c>
      <c r="F1043" s="6">
        <v>38998</v>
      </c>
      <c r="G1043" s="6">
        <v>1</v>
      </c>
      <c r="H1043" s="6">
        <v>1</v>
      </c>
      <c r="I1043" s="6">
        <f t="shared" si="16"/>
        <v>2</v>
      </c>
      <c r="J1043" s="8">
        <v>41216</v>
      </c>
      <c r="K1043" s="6">
        <v>92</v>
      </c>
      <c r="L1043">
        <f>VLOOKUP(A1043,Marketing_df2!$A$1:$F$2241,3,FALSE)</f>
        <v>1</v>
      </c>
      <c r="M1043">
        <f>VLOOKUP(A1043,Marketing_df2!$A$1:$F$2241,4,FALSE)</f>
        <v>0</v>
      </c>
      <c r="N1043">
        <f>VLOOKUP(A1043,Marketing_df2!$A$1:$F$2241,5,FALSE)</f>
        <v>2</v>
      </c>
      <c r="O1043">
        <f>VLOOKUP(A1043,Marketing_df2!$A$1:$F$2241,6,FALSE)</f>
        <v>3</v>
      </c>
    </row>
    <row r="1044" spans="1:15" ht="12.5">
      <c r="A1044" s="6">
        <v>1042</v>
      </c>
      <c r="B1044" s="6">
        <v>10749</v>
      </c>
      <c r="C1044" s="6">
        <v>1991</v>
      </c>
      <c r="D1044" s="7" t="s">
        <v>9</v>
      </c>
      <c r="E1044" s="7" t="s">
        <v>10</v>
      </c>
      <c r="F1044" s="6">
        <v>8028</v>
      </c>
      <c r="G1044" s="6">
        <v>0</v>
      </c>
      <c r="H1044" s="6">
        <v>0</v>
      </c>
      <c r="I1044" s="6">
        <f t="shared" si="16"/>
        <v>0</v>
      </c>
      <c r="J1044" s="8">
        <v>41170</v>
      </c>
      <c r="K1044" s="6">
        <v>62</v>
      </c>
      <c r="L1044">
        <f>VLOOKUP(A1044,Marketing_df2!$A$1:$F$2241,3,FALSE)</f>
        <v>18</v>
      </c>
      <c r="M1044">
        <f>VLOOKUP(A1044,Marketing_df2!$A$1:$F$2241,4,FALSE)</f>
        <v>12</v>
      </c>
      <c r="N1044">
        <f>VLOOKUP(A1044,Marketing_df2!$A$1:$F$2241,5,FALSE)</f>
        <v>0</v>
      </c>
      <c r="O1044">
        <f>VLOOKUP(A1044,Marketing_df2!$A$1:$F$2241,6,FALSE)</f>
        <v>0</v>
      </c>
    </row>
    <row r="1045" spans="1:15" ht="12.5">
      <c r="A1045" s="6">
        <v>1043</v>
      </c>
      <c r="B1045" s="6">
        <v>4998</v>
      </c>
      <c r="C1045" s="6">
        <v>1962</v>
      </c>
      <c r="D1045" s="7" t="s">
        <v>9</v>
      </c>
      <c r="E1045" s="7" t="s">
        <v>11</v>
      </c>
      <c r="F1045" s="6">
        <v>76081</v>
      </c>
      <c r="G1045" s="6">
        <v>0</v>
      </c>
      <c r="H1045" s="6">
        <v>0</v>
      </c>
      <c r="I1045" s="6">
        <f t="shared" si="16"/>
        <v>0</v>
      </c>
      <c r="J1045" s="8">
        <v>41782</v>
      </c>
      <c r="K1045" s="6">
        <v>85</v>
      </c>
      <c r="L1045">
        <f>VLOOKUP(A1045,Marketing_df2!$A$1:$F$2241,3,FALSE)</f>
        <v>30</v>
      </c>
      <c r="M1045">
        <f>VLOOKUP(A1045,Marketing_df2!$A$1:$F$2241,4,FALSE)</f>
        <v>33</v>
      </c>
      <c r="N1045">
        <f>VLOOKUP(A1045,Marketing_df2!$A$1:$F$2241,5,FALSE)</f>
        <v>4</v>
      </c>
      <c r="O1045">
        <f>VLOOKUP(A1045,Marketing_df2!$A$1:$F$2241,6,FALSE)</f>
        <v>4</v>
      </c>
    </row>
    <row r="1046" spans="1:15" ht="12.5">
      <c r="A1046" s="6">
        <v>1044</v>
      </c>
      <c r="B1046" s="6">
        <v>6287</v>
      </c>
      <c r="C1046" s="6">
        <v>1986</v>
      </c>
      <c r="D1046" s="7" t="s">
        <v>9</v>
      </c>
      <c r="E1046" s="7" t="s">
        <v>11</v>
      </c>
      <c r="F1046" s="6">
        <v>34728</v>
      </c>
      <c r="G1046" s="6">
        <v>1</v>
      </c>
      <c r="H1046" s="6">
        <v>0</v>
      </c>
      <c r="I1046" s="6">
        <f t="shared" si="16"/>
        <v>1</v>
      </c>
      <c r="J1046" s="8">
        <v>41485</v>
      </c>
      <c r="K1046" s="6">
        <v>2</v>
      </c>
      <c r="L1046">
        <f>VLOOKUP(A1046,Marketing_df2!$A$1:$F$2241,3,FALSE)</f>
        <v>0</v>
      </c>
      <c r="M1046">
        <f>VLOOKUP(A1046,Marketing_df2!$A$1:$F$2241,4,FALSE)</f>
        <v>0</v>
      </c>
      <c r="N1046">
        <f>VLOOKUP(A1046,Marketing_df2!$A$1:$F$2241,5,FALSE)</f>
        <v>1</v>
      </c>
      <c r="O1046">
        <f>VLOOKUP(A1046,Marketing_df2!$A$1:$F$2241,6,FALSE)</f>
        <v>2</v>
      </c>
    </row>
    <row r="1047" spans="1:15" ht="12.5">
      <c r="A1047" s="6">
        <v>1045</v>
      </c>
      <c r="B1047" s="6">
        <v>5985</v>
      </c>
      <c r="C1047" s="6">
        <v>1965</v>
      </c>
      <c r="D1047" s="7" t="s">
        <v>14</v>
      </c>
      <c r="E1047" s="7" t="s">
        <v>10</v>
      </c>
      <c r="F1047" s="6">
        <v>33168</v>
      </c>
      <c r="G1047" s="6">
        <v>0</v>
      </c>
      <c r="H1047" s="6">
        <v>1</v>
      </c>
      <c r="I1047" s="6">
        <f t="shared" si="16"/>
        <v>1</v>
      </c>
      <c r="J1047" s="9">
        <v>41195</v>
      </c>
      <c r="K1047" s="6">
        <v>0</v>
      </c>
      <c r="L1047">
        <f>VLOOKUP(A1047,Marketing_df2!$A$1:$F$2241,3,FALSE)</f>
        <v>1</v>
      </c>
      <c r="M1047">
        <f>VLOOKUP(A1047,Marketing_df2!$A$1:$F$2241,4,FALSE)</f>
        <v>1</v>
      </c>
      <c r="N1047">
        <f>VLOOKUP(A1047,Marketing_df2!$A$1:$F$2241,5,FALSE)</f>
        <v>2</v>
      </c>
      <c r="O1047">
        <f>VLOOKUP(A1047,Marketing_df2!$A$1:$F$2241,6,FALSE)</f>
        <v>4</v>
      </c>
    </row>
    <row r="1048" spans="1:15" ht="12.5">
      <c r="A1048" s="6">
        <v>1046</v>
      </c>
      <c r="B1048" s="6">
        <v>4754</v>
      </c>
      <c r="C1048" s="6">
        <v>1966</v>
      </c>
      <c r="D1048" s="7" t="s">
        <v>14</v>
      </c>
      <c r="E1048" s="7" t="s">
        <v>13</v>
      </c>
      <c r="F1048" s="6">
        <v>33585</v>
      </c>
      <c r="G1048" s="6">
        <v>0</v>
      </c>
      <c r="H1048" s="6">
        <v>1</v>
      </c>
      <c r="I1048" s="6">
        <f t="shared" si="16"/>
        <v>1</v>
      </c>
      <c r="J1048" s="8">
        <v>41542</v>
      </c>
      <c r="K1048" s="6">
        <v>91</v>
      </c>
      <c r="L1048">
        <f>VLOOKUP(A1048,Marketing_df2!$A$1:$F$2241,3,FALSE)</f>
        <v>11</v>
      </c>
      <c r="M1048">
        <f>VLOOKUP(A1048,Marketing_df2!$A$1:$F$2241,4,FALSE)</f>
        <v>6</v>
      </c>
      <c r="N1048">
        <f>VLOOKUP(A1048,Marketing_df2!$A$1:$F$2241,5,FALSE)</f>
        <v>2</v>
      </c>
      <c r="O1048">
        <f>VLOOKUP(A1048,Marketing_df2!$A$1:$F$2241,6,FALSE)</f>
        <v>4</v>
      </c>
    </row>
    <row r="1049" spans="1:15" ht="12.5">
      <c r="A1049" s="6">
        <v>1047</v>
      </c>
      <c r="B1049" s="6">
        <v>4002</v>
      </c>
      <c r="C1049" s="6">
        <v>1960</v>
      </c>
      <c r="D1049" s="7" t="s">
        <v>12</v>
      </c>
      <c r="E1049" s="7" t="s">
        <v>13</v>
      </c>
      <c r="F1049" s="6">
        <v>77037</v>
      </c>
      <c r="G1049" s="6">
        <v>0</v>
      </c>
      <c r="H1049" s="6">
        <v>1</v>
      </c>
      <c r="I1049" s="6">
        <f t="shared" si="16"/>
        <v>1</v>
      </c>
      <c r="J1049" s="9">
        <v>41560</v>
      </c>
      <c r="K1049" s="6">
        <v>3</v>
      </c>
      <c r="L1049">
        <f>VLOOKUP(A1049,Marketing_df2!$A$1:$F$2241,3,FALSE)</f>
        <v>96</v>
      </c>
      <c r="M1049">
        <f>VLOOKUP(A1049,Marketing_df2!$A$1:$F$2241,4,FALSE)</f>
        <v>53</v>
      </c>
      <c r="N1049">
        <f>VLOOKUP(A1049,Marketing_df2!$A$1:$F$2241,5,FALSE)</f>
        <v>7</v>
      </c>
      <c r="O1049">
        <f>VLOOKUP(A1049,Marketing_df2!$A$1:$F$2241,6,FALSE)</f>
        <v>12</v>
      </c>
    </row>
    <row r="1050" spans="1:15" ht="12.5">
      <c r="A1050" s="6">
        <v>1048</v>
      </c>
      <c r="B1050" s="6">
        <v>8870</v>
      </c>
      <c r="C1050" s="6">
        <v>1984</v>
      </c>
      <c r="D1050" s="7" t="s">
        <v>9</v>
      </c>
      <c r="E1050" s="7" t="s">
        <v>11</v>
      </c>
      <c r="F1050" s="6">
        <v>35196</v>
      </c>
      <c r="G1050" s="6">
        <v>1</v>
      </c>
      <c r="H1050" s="6">
        <v>0</v>
      </c>
      <c r="I1050" s="6">
        <f t="shared" si="16"/>
        <v>1</v>
      </c>
      <c r="J1050" s="9">
        <v>41226</v>
      </c>
      <c r="K1050" s="6">
        <v>68</v>
      </c>
      <c r="L1050">
        <f>VLOOKUP(A1050,Marketing_df2!$A$1:$F$2241,3,FALSE)</f>
        <v>12</v>
      </c>
      <c r="M1050">
        <f>VLOOKUP(A1050,Marketing_df2!$A$1:$F$2241,4,FALSE)</f>
        <v>39</v>
      </c>
      <c r="N1050">
        <f>VLOOKUP(A1050,Marketing_df2!$A$1:$F$2241,5,FALSE)</f>
        <v>6</v>
      </c>
      <c r="O1050">
        <f>VLOOKUP(A1050,Marketing_df2!$A$1:$F$2241,6,FALSE)</f>
        <v>5</v>
      </c>
    </row>
    <row r="1051" spans="1:15" ht="12.5">
      <c r="A1051" s="6">
        <v>1049</v>
      </c>
      <c r="B1051" s="6">
        <v>966</v>
      </c>
      <c r="C1051" s="6">
        <v>1966</v>
      </c>
      <c r="D1051" s="7" t="s">
        <v>9</v>
      </c>
      <c r="E1051" s="7" t="s">
        <v>13</v>
      </c>
      <c r="F1051" s="6">
        <v>44529</v>
      </c>
      <c r="G1051" s="6">
        <v>0</v>
      </c>
      <c r="H1051" s="6">
        <v>1</v>
      </c>
      <c r="I1051" s="6">
        <f t="shared" si="16"/>
        <v>1</v>
      </c>
      <c r="J1051" s="8">
        <v>41460</v>
      </c>
      <c r="K1051" s="6">
        <v>98</v>
      </c>
      <c r="L1051">
        <f>VLOOKUP(A1051,Marketing_df2!$A$1:$F$2241,3,FALSE)</f>
        <v>13</v>
      </c>
      <c r="M1051">
        <f>VLOOKUP(A1051,Marketing_df2!$A$1:$F$2241,4,FALSE)</f>
        <v>6</v>
      </c>
      <c r="N1051">
        <f>VLOOKUP(A1051,Marketing_df2!$A$1:$F$2241,5,FALSE)</f>
        <v>6</v>
      </c>
      <c r="O1051">
        <f>VLOOKUP(A1051,Marketing_df2!$A$1:$F$2241,6,FALSE)</f>
        <v>11</v>
      </c>
    </row>
    <row r="1052" spans="1:15" ht="12.5">
      <c r="A1052" s="6">
        <v>1050</v>
      </c>
      <c r="B1052" s="6">
        <v>4767</v>
      </c>
      <c r="C1052" s="6">
        <v>1965</v>
      </c>
      <c r="D1052" s="7" t="s">
        <v>17</v>
      </c>
      <c r="E1052" s="7" t="s">
        <v>13</v>
      </c>
      <c r="F1052" s="6">
        <v>70924</v>
      </c>
      <c r="G1052" s="6">
        <v>0</v>
      </c>
      <c r="H1052" s="6">
        <v>0</v>
      </c>
      <c r="I1052" s="6">
        <f t="shared" si="16"/>
        <v>0</v>
      </c>
      <c r="J1052" s="8">
        <v>41736</v>
      </c>
      <c r="K1052" s="6">
        <v>41</v>
      </c>
      <c r="L1052">
        <f>VLOOKUP(A1052,Marketing_df2!$A$1:$F$2241,3,FALSE)</f>
        <v>114</v>
      </c>
      <c r="M1052">
        <f>VLOOKUP(A1052,Marketing_df2!$A$1:$F$2241,4,FALSE)</f>
        <v>152</v>
      </c>
      <c r="N1052">
        <f>VLOOKUP(A1052,Marketing_df2!$A$1:$F$2241,5,FALSE)</f>
        <v>6</v>
      </c>
      <c r="O1052">
        <f>VLOOKUP(A1052,Marketing_df2!$A$1:$F$2241,6,FALSE)</f>
        <v>7</v>
      </c>
    </row>
    <row r="1053" spans="1:15" ht="12.5">
      <c r="A1053" s="6">
        <v>1051</v>
      </c>
      <c r="B1053" s="6">
        <v>9725</v>
      </c>
      <c r="C1053" s="6">
        <v>1966</v>
      </c>
      <c r="D1053" s="7" t="s">
        <v>12</v>
      </c>
      <c r="E1053" s="7" t="s">
        <v>11</v>
      </c>
      <c r="F1053" s="6">
        <v>28764</v>
      </c>
      <c r="G1053" s="6">
        <v>1</v>
      </c>
      <c r="H1053" s="6">
        <v>1</v>
      </c>
      <c r="I1053" s="6">
        <f t="shared" si="16"/>
        <v>2</v>
      </c>
      <c r="J1053" s="8">
        <v>41795</v>
      </c>
      <c r="K1053" s="6">
        <v>16</v>
      </c>
      <c r="L1053">
        <f>VLOOKUP(A1053,Marketing_df2!$A$1:$F$2241,3,FALSE)</f>
        <v>0</v>
      </c>
      <c r="M1053">
        <f>VLOOKUP(A1053,Marketing_df2!$A$1:$F$2241,4,FALSE)</f>
        <v>0</v>
      </c>
      <c r="N1053">
        <f>VLOOKUP(A1053,Marketing_df2!$A$1:$F$2241,5,FALSE)</f>
        <v>1</v>
      </c>
      <c r="O1053">
        <f>VLOOKUP(A1053,Marketing_df2!$A$1:$F$2241,6,FALSE)</f>
        <v>2</v>
      </c>
    </row>
    <row r="1054" spans="1:15" ht="12.5">
      <c r="A1054" s="6">
        <v>1052</v>
      </c>
      <c r="B1054" s="6">
        <v>4475</v>
      </c>
      <c r="C1054" s="6">
        <v>1949</v>
      </c>
      <c r="D1054" s="7" t="s">
        <v>12</v>
      </c>
      <c r="E1054" s="7" t="s">
        <v>13</v>
      </c>
      <c r="F1054" s="6">
        <v>69098</v>
      </c>
      <c r="G1054" s="6">
        <v>0</v>
      </c>
      <c r="H1054" s="6">
        <v>0</v>
      </c>
      <c r="I1054" s="6">
        <f t="shared" si="16"/>
        <v>0</v>
      </c>
      <c r="J1054" s="8">
        <v>41321</v>
      </c>
      <c r="K1054" s="6">
        <v>82</v>
      </c>
      <c r="L1054">
        <f>VLOOKUP(A1054,Marketing_df2!$A$1:$F$2241,3,FALSE)</f>
        <v>22</v>
      </c>
      <c r="M1054">
        <f>VLOOKUP(A1054,Marketing_df2!$A$1:$F$2241,4,FALSE)</f>
        <v>0</v>
      </c>
      <c r="N1054">
        <f>VLOOKUP(A1054,Marketing_df2!$A$1:$F$2241,5,FALSE)</f>
        <v>7</v>
      </c>
      <c r="O1054">
        <f>VLOOKUP(A1054,Marketing_df2!$A$1:$F$2241,6,FALSE)</f>
        <v>9</v>
      </c>
    </row>
    <row r="1055" spans="1:15" ht="12.5">
      <c r="A1055" s="6">
        <v>1053</v>
      </c>
      <c r="B1055" s="6">
        <v>5740</v>
      </c>
      <c r="C1055" s="6">
        <v>1970</v>
      </c>
      <c r="D1055" s="7" t="s">
        <v>17</v>
      </c>
      <c r="E1055" s="7" t="s">
        <v>15</v>
      </c>
      <c r="F1055" s="6">
        <v>25959</v>
      </c>
      <c r="G1055" s="6">
        <v>1</v>
      </c>
      <c r="H1055" s="6">
        <v>1</v>
      </c>
      <c r="I1055" s="6">
        <f t="shared" si="16"/>
        <v>2</v>
      </c>
      <c r="J1055" s="8">
        <v>41319</v>
      </c>
      <c r="K1055" s="6">
        <v>1</v>
      </c>
      <c r="L1055">
        <f>VLOOKUP(A1055,Marketing_df2!$A$1:$F$2241,3,FALSE)</f>
        <v>2</v>
      </c>
      <c r="M1055">
        <f>VLOOKUP(A1055,Marketing_df2!$A$1:$F$2241,4,FALSE)</f>
        <v>5</v>
      </c>
      <c r="N1055">
        <f>VLOOKUP(A1055,Marketing_df2!$A$1:$F$2241,5,FALSE)</f>
        <v>1</v>
      </c>
      <c r="O1055">
        <f>VLOOKUP(A1055,Marketing_df2!$A$1:$F$2241,6,FALSE)</f>
        <v>2</v>
      </c>
    </row>
    <row r="1056" spans="1:15" ht="12.5">
      <c r="A1056" s="6">
        <v>1054</v>
      </c>
      <c r="B1056" s="6">
        <v>5731</v>
      </c>
      <c r="C1056" s="6">
        <v>1983</v>
      </c>
      <c r="D1056" s="7" t="s">
        <v>14</v>
      </c>
      <c r="E1056" s="7" t="s">
        <v>13</v>
      </c>
      <c r="F1056" s="6">
        <v>27100</v>
      </c>
      <c r="G1056" s="6">
        <v>1</v>
      </c>
      <c r="H1056" s="6">
        <v>0</v>
      </c>
      <c r="I1056" s="6">
        <f t="shared" si="16"/>
        <v>1</v>
      </c>
      <c r="J1056" s="8">
        <v>41369</v>
      </c>
      <c r="K1056" s="6">
        <v>64</v>
      </c>
      <c r="L1056">
        <f>VLOOKUP(A1056,Marketing_df2!$A$1:$F$2241,3,FALSE)</f>
        <v>0</v>
      </c>
      <c r="M1056">
        <f>VLOOKUP(A1056,Marketing_df2!$A$1:$F$2241,4,FALSE)</f>
        <v>0</v>
      </c>
      <c r="N1056">
        <f>VLOOKUP(A1056,Marketing_df2!$A$1:$F$2241,5,FALSE)</f>
        <v>1</v>
      </c>
      <c r="O1056">
        <f>VLOOKUP(A1056,Marketing_df2!$A$1:$F$2241,6,FALSE)</f>
        <v>3</v>
      </c>
    </row>
    <row r="1057" spans="1:15" ht="12.5">
      <c r="A1057" s="6">
        <v>1055</v>
      </c>
      <c r="B1057" s="6">
        <v>7290</v>
      </c>
      <c r="C1057" s="6">
        <v>1985</v>
      </c>
      <c r="D1057" s="7" t="s">
        <v>9</v>
      </c>
      <c r="E1057" s="7" t="s">
        <v>10</v>
      </c>
      <c r="F1057" s="6">
        <v>70596</v>
      </c>
      <c r="G1057" s="6">
        <v>0</v>
      </c>
      <c r="H1057" s="6">
        <v>0</v>
      </c>
      <c r="I1057" s="6">
        <f t="shared" si="16"/>
        <v>0</v>
      </c>
      <c r="J1057" s="8">
        <v>41187</v>
      </c>
      <c r="K1057" s="6">
        <v>68</v>
      </c>
      <c r="L1057">
        <f>VLOOKUP(A1057,Marketing_df2!$A$1:$F$2241,3,FALSE)</f>
        <v>44</v>
      </c>
      <c r="M1057">
        <f>VLOOKUP(A1057,Marketing_df2!$A$1:$F$2241,4,FALSE)</f>
        <v>0</v>
      </c>
      <c r="N1057">
        <f>VLOOKUP(A1057,Marketing_df2!$A$1:$F$2241,5,FALSE)</f>
        <v>3</v>
      </c>
      <c r="O1057">
        <f>VLOOKUP(A1057,Marketing_df2!$A$1:$F$2241,6,FALSE)</f>
        <v>12</v>
      </c>
    </row>
    <row r="1058" spans="1:15" ht="12.5">
      <c r="A1058" s="6">
        <v>1056</v>
      </c>
      <c r="B1058" s="6">
        <v>3846</v>
      </c>
      <c r="C1058" s="6">
        <v>1974</v>
      </c>
      <c r="D1058" s="7" t="s">
        <v>9</v>
      </c>
      <c r="E1058" s="7" t="s">
        <v>13</v>
      </c>
      <c r="F1058" s="6">
        <v>42557</v>
      </c>
      <c r="G1058" s="6">
        <v>0</v>
      </c>
      <c r="H1058" s="6">
        <v>1</v>
      </c>
      <c r="I1058" s="6">
        <f t="shared" si="16"/>
        <v>1</v>
      </c>
      <c r="J1058" s="8">
        <v>41150</v>
      </c>
      <c r="K1058" s="6">
        <v>98</v>
      </c>
      <c r="L1058">
        <f>VLOOKUP(A1058,Marketing_df2!$A$1:$F$2241,3,FALSE)</f>
        <v>5</v>
      </c>
      <c r="M1058">
        <f>VLOOKUP(A1058,Marketing_df2!$A$1:$F$2241,4,FALSE)</f>
        <v>5</v>
      </c>
      <c r="N1058">
        <f>VLOOKUP(A1058,Marketing_df2!$A$1:$F$2241,5,FALSE)</f>
        <v>6</v>
      </c>
      <c r="O1058">
        <f>VLOOKUP(A1058,Marketing_df2!$A$1:$F$2241,6,FALSE)</f>
        <v>4</v>
      </c>
    </row>
    <row r="1059" spans="1:15" ht="12.5">
      <c r="A1059" s="6">
        <v>1057</v>
      </c>
      <c r="B1059" s="6">
        <v>8104</v>
      </c>
      <c r="C1059" s="6">
        <v>1951</v>
      </c>
      <c r="D1059" s="7" t="s">
        <v>12</v>
      </c>
      <c r="E1059" s="7" t="s">
        <v>13</v>
      </c>
      <c r="F1059" s="6">
        <v>53312</v>
      </c>
      <c r="G1059" s="6">
        <v>0</v>
      </c>
      <c r="H1059" s="6">
        <v>0</v>
      </c>
      <c r="I1059" s="6">
        <f t="shared" si="16"/>
        <v>0</v>
      </c>
      <c r="J1059" s="8">
        <v>41495</v>
      </c>
      <c r="K1059" s="6">
        <v>32</v>
      </c>
      <c r="L1059">
        <f>VLOOKUP(A1059,Marketing_df2!$A$1:$F$2241,3,FALSE)</f>
        <v>0</v>
      </c>
      <c r="M1059">
        <f>VLOOKUP(A1059,Marketing_df2!$A$1:$F$2241,4,FALSE)</f>
        <v>0</v>
      </c>
      <c r="N1059">
        <f>VLOOKUP(A1059,Marketing_df2!$A$1:$F$2241,5,FALSE)</f>
        <v>5</v>
      </c>
      <c r="O1059">
        <f>VLOOKUP(A1059,Marketing_df2!$A$1:$F$2241,6,FALSE)</f>
        <v>5</v>
      </c>
    </row>
    <row r="1060" spans="1:15" ht="12.5">
      <c r="A1060" s="6">
        <v>1058</v>
      </c>
      <c r="B1060" s="6">
        <v>4507</v>
      </c>
      <c r="C1060" s="6">
        <v>1952</v>
      </c>
      <c r="D1060" s="7" t="s">
        <v>9</v>
      </c>
      <c r="E1060" s="7" t="s">
        <v>10</v>
      </c>
      <c r="F1060" s="6">
        <v>72228</v>
      </c>
      <c r="G1060" s="6">
        <v>0</v>
      </c>
      <c r="H1060" s="6">
        <v>0</v>
      </c>
      <c r="I1060" s="6">
        <f t="shared" si="16"/>
        <v>0</v>
      </c>
      <c r="J1060" s="9">
        <v>41240</v>
      </c>
      <c r="K1060" s="6">
        <v>87</v>
      </c>
      <c r="L1060">
        <f>VLOOKUP(A1060,Marketing_df2!$A$1:$F$2241,3,FALSE)</f>
        <v>28</v>
      </c>
      <c r="M1060">
        <f>VLOOKUP(A1060,Marketing_df2!$A$1:$F$2241,4,FALSE)</f>
        <v>14</v>
      </c>
      <c r="N1060">
        <f>VLOOKUP(A1060,Marketing_df2!$A$1:$F$2241,5,FALSE)</f>
        <v>6</v>
      </c>
      <c r="O1060">
        <f>VLOOKUP(A1060,Marketing_df2!$A$1:$F$2241,6,FALSE)</f>
        <v>8</v>
      </c>
    </row>
    <row r="1061" spans="1:15" ht="12.5">
      <c r="A1061" s="6">
        <v>1059</v>
      </c>
      <c r="B1061" s="6">
        <v>11013</v>
      </c>
      <c r="C1061" s="6">
        <v>1987</v>
      </c>
      <c r="D1061" s="7" t="s">
        <v>9</v>
      </c>
      <c r="E1061" s="7" t="s">
        <v>11</v>
      </c>
      <c r="F1061" s="6">
        <v>67605</v>
      </c>
      <c r="G1061" s="6">
        <v>0</v>
      </c>
      <c r="H1061" s="6">
        <v>0</v>
      </c>
      <c r="I1061" s="6">
        <f t="shared" si="16"/>
        <v>0</v>
      </c>
      <c r="J1061" s="8">
        <v>41364</v>
      </c>
      <c r="K1061" s="6">
        <v>84</v>
      </c>
      <c r="L1061">
        <f>VLOOKUP(A1061,Marketing_df2!$A$1:$F$2241,3,FALSE)</f>
        <v>28</v>
      </c>
      <c r="M1061">
        <f>VLOOKUP(A1061,Marketing_df2!$A$1:$F$2241,4,FALSE)</f>
        <v>54</v>
      </c>
      <c r="N1061">
        <f>VLOOKUP(A1061,Marketing_df2!$A$1:$F$2241,5,FALSE)</f>
        <v>2</v>
      </c>
      <c r="O1061">
        <f>VLOOKUP(A1061,Marketing_df2!$A$1:$F$2241,6,FALSE)</f>
        <v>6</v>
      </c>
    </row>
    <row r="1062" spans="1:15" ht="12.5">
      <c r="A1062" s="6">
        <v>1060</v>
      </c>
      <c r="B1062" s="6">
        <v>4491</v>
      </c>
      <c r="C1062" s="6">
        <v>1949</v>
      </c>
      <c r="D1062" s="7" t="s">
        <v>14</v>
      </c>
      <c r="E1062" s="7" t="s">
        <v>13</v>
      </c>
      <c r="F1062" s="6">
        <v>62845</v>
      </c>
      <c r="G1062" s="6">
        <v>1</v>
      </c>
      <c r="H1062" s="6">
        <v>1</v>
      </c>
      <c r="I1062" s="6">
        <f t="shared" si="16"/>
        <v>2</v>
      </c>
      <c r="J1062" s="8">
        <v>41183</v>
      </c>
      <c r="K1062" s="6">
        <v>3</v>
      </c>
      <c r="L1062">
        <f>VLOOKUP(A1062,Marketing_df2!$A$1:$F$2241,3,FALSE)</f>
        <v>0</v>
      </c>
      <c r="M1062">
        <f>VLOOKUP(A1062,Marketing_df2!$A$1:$F$2241,4,FALSE)</f>
        <v>0</v>
      </c>
      <c r="N1062">
        <f>VLOOKUP(A1062,Marketing_df2!$A$1:$F$2241,5,FALSE)</f>
        <v>3</v>
      </c>
      <c r="O1062">
        <f>VLOOKUP(A1062,Marketing_df2!$A$1:$F$2241,6,FALSE)</f>
        <v>10</v>
      </c>
    </row>
    <row r="1063" spans="1:15" ht="12.5">
      <c r="A1063" s="6">
        <v>1061</v>
      </c>
      <c r="B1063" s="6">
        <v>3759</v>
      </c>
      <c r="C1063" s="6">
        <v>1958</v>
      </c>
      <c r="D1063" s="7" t="s">
        <v>9</v>
      </c>
      <c r="E1063" s="7" t="s">
        <v>11</v>
      </c>
      <c r="F1063" s="6">
        <v>65196</v>
      </c>
      <c r="G1063" s="6">
        <v>0</v>
      </c>
      <c r="H1063" s="6">
        <v>2</v>
      </c>
      <c r="I1063" s="6">
        <f t="shared" si="16"/>
        <v>2</v>
      </c>
      <c r="J1063" s="8">
        <v>41480</v>
      </c>
      <c r="K1063" s="6">
        <v>34</v>
      </c>
      <c r="L1063">
        <f>VLOOKUP(A1063,Marketing_df2!$A$1:$F$2241,3,FALSE)</f>
        <v>19</v>
      </c>
      <c r="M1063">
        <f>VLOOKUP(A1063,Marketing_df2!$A$1:$F$2241,4,FALSE)</f>
        <v>0</v>
      </c>
      <c r="N1063">
        <f>VLOOKUP(A1063,Marketing_df2!$A$1:$F$2241,5,FALSE)</f>
        <v>7</v>
      </c>
      <c r="O1063">
        <f>VLOOKUP(A1063,Marketing_df2!$A$1:$F$2241,6,FALSE)</f>
        <v>11</v>
      </c>
    </row>
    <row r="1064" spans="1:15" ht="12.5">
      <c r="A1064" s="6">
        <v>1062</v>
      </c>
      <c r="B1064" s="6">
        <v>1162</v>
      </c>
      <c r="C1064" s="6">
        <v>1987</v>
      </c>
      <c r="D1064" s="7" t="s">
        <v>12</v>
      </c>
      <c r="E1064" s="7" t="s">
        <v>10</v>
      </c>
      <c r="F1064" s="6">
        <v>42000</v>
      </c>
      <c r="G1064" s="6">
        <v>0</v>
      </c>
      <c r="H1064" s="6">
        <v>0</v>
      </c>
      <c r="I1064" s="6">
        <f t="shared" si="16"/>
        <v>0</v>
      </c>
      <c r="J1064" s="8">
        <v>41284</v>
      </c>
      <c r="K1064" s="6">
        <v>23</v>
      </c>
      <c r="L1064">
        <f>VLOOKUP(A1064,Marketing_df2!$A$1:$F$2241,3,FALSE)</f>
        <v>83</v>
      </c>
      <c r="M1064">
        <f>VLOOKUP(A1064,Marketing_df2!$A$1:$F$2241,4,FALSE)</f>
        <v>59</v>
      </c>
      <c r="N1064">
        <f>VLOOKUP(A1064,Marketing_df2!$A$1:$F$2241,5,FALSE)</f>
        <v>5</v>
      </c>
      <c r="O1064">
        <f>VLOOKUP(A1064,Marketing_df2!$A$1:$F$2241,6,FALSE)</f>
        <v>11</v>
      </c>
    </row>
    <row r="1065" spans="1:15" ht="12.5">
      <c r="A1065" s="6">
        <v>1063</v>
      </c>
      <c r="B1065" s="6">
        <v>2055</v>
      </c>
      <c r="C1065" s="6">
        <v>1973</v>
      </c>
      <c r="D1065" s="7" t="s">
        <v>12</v>
      </c>
      <c r="E1065" s="7" t="s">
        <v>15</v>
      </c>
      <c r="F1065" s="6">
        <v>35860</v>
      </c>
      <c r="G1065" s="6">
        <v>1</v>
      </c>
      <c r="H1065" s="6">
        <v>1</v>
      </c>
      <c r="I1065" s="6">
        <f t="shared" si="16"/>
        <v>2</v>
      </c>
      <c r="J1065" s="8">
        <v>41778</v>
      </c>
      <c r="K1065" s="6">
        <v>37</v>
      </c>
      <c r="L1065">
        <f>VLOOKUP(A1065,Marketing_df2!$A$1:$F$2241,3,FALSE)</f>
        <v>0</v>
      </c>
      <c r="M1065">
        <f>VLOOKUP(A1065,Marketing_df2!$A$1:$F$2241,4,FALSE)</f>
        <v>2</v>
      </c>
      <c r="N1065">
        <f>VLOOKUP(A1065,Marketing_df2!$A$1:$F$2241,5,FALSE)</f>
        <v>1</v>
      </c>
      <c r="O1065">
        <f>VLOOKUP(A1065,Marketing_df2!$A$1:$F$2241,6,FALSE)</f>
        <v>2</v>
      </c>
    </row>
    <row r="1066" spans="1:15" ht="12.5">
      <c r="A1066" s="6">
        <v>1064</v>
      </c>
      <c r="B1066" s="6">
        <v>10766</v>
      </c>
      <c r="C1066" s="6">
        <v>1964</v>
      </c>
      <c r="D1066" s="7" t="s">
        <v>12</v>
      </c>
      <c r="E1066" s="7" t="s">
        <v>13</v>
      </c>
      <c r="F1066" s="6">
        <v>65526</v>
      </c>
      <c r="G1066" s="6">
        <v>0</v>
      </c>
      <c r="H1066" s="6">
        <v>1</v>
      </c>
      <c r="I1066" s="6">
        <f t="shared" si="16"/>
        <v>1</v>
      </c>
      <c r="J1066" s="8">
        <v>41740</v>
      </c>
      <c r="K1066" s="6">
        <v>22</v>
      </c>
      <c r="L1066">
        <f>VLOOKUP(A1066,Marketing_df2!$A$1:$F$2241,3,FALSE)</f>
        <v>19</v>
      </c>
      <c r="M1066">
        <f>VLOOKUP(A1066,Marketing_df2!$A$1:$F$2241,4,FALSE)</f>
        <v>0</v>
      </c>
      <c r="N1066">
        <f>VLOOKUP(A1066,Marketing_df2!$A$1:$F$2241,5,FALSE)</f>
        <v>4</v>
      </c>
      <c r="O1066">
        <f>VLOOKUP(A1066,Marketing_df2!$A$1:$F$2241,6,FALSE)</f>
        <v>8</v>
      </c>
    </row>
    <row r="1067" spans="1:15" ht="12.5">
      <c r="A1067" s="6">
        <v>1065</v>
      </c>
      <c r="B1067" s="6">
        <v>4415</v>
      </c>
      <c r="C1067" s="6">
        <v>1961</v>
      </c>
      <c r="D1067" s="7" t="s">
        <v>9</v>
      </c>
      <c r="E1067" s="7" t="s">
        <v>13</v>
      </c>
      <c r="F1067" s="6">
        <v>16860</v>
      </c>
      <c r="G1067" s="6">
        <v>1</v>
      </c>
      <c r="H1067" s="6">
        <v>1</v>
      </c>
      <c r="I1067" s="6">
        <f t="shared" si="16"/>
        <v>2</v>
      </c>
      <c r="J1067" s="8">
        <v>41164</v>
      </c>
      <c r="K1067" s="6">
        <v>19</v>
      </c>
      <c r="L1067">
        <f>VLOOKUP(A1067,Marketing_df2!$A$1:$F$2241,3,FALSE)</f>
        <v>4</v>
      </c>
      <c r="M1067">
        <f>VLOOKUP(A1067,Marketing_df2!$A$1:$F$2241,4,FALSE)</f>
        <v>3</v>
      </c>
      <c r="N1067">
        <f>VLOOKUP(A1067,Marketing_df2!$A$1:$F$2241,5,FALSE)</f>
        <v>1</v>
      </c>
      <c r="O1067">
        <f>VLOOKUP(A1067,Marketing_df2!$A$1:$F$2241,6,FALSE)</f>
        <v>3</v>
      </c>
    </row>
    <row r="1068" spans="1:15" ht="12.5">
      <c r="A1068" s="6">
        <v>1066</v>
      </c>
      <c r="B1068" s="6">
        <v>3005</v>
      </c>
      <c r="C1068" s="6">
        <v>1992</v>
      </c>
      <c r="D1068" s="7" t="s">
        <v>9</v>
      </c>
      <c r="E1068" s="7" t="s">
        <v>10</v>
      </c>
      <c r="F1068" s="6">
        <v>83528</v>
      </c>
      <c r="G1068" s="6">
        <v>0</v>
      </c>
      <c r="H1068" s="6">
        <v>0</v>
      </c>
      <c r="I1068" s="6">
        <f t="shared" si="16"/>
        <v>0</v>
      </c>
      <c r="J1068" s="8">
        <v>41760</v>
      </c>
      <c r="K1068" s="6">
        <v>7</v>
      </c>
      <c r="L1068">
        <f>VLOOKUP(A1068,Marketing_df2!$A$1:$F$2241,3,FALSE)</f>
        <v>117</v>
      </c>
      <c r="M1068">
        <f>VLOOKUP(A1068,Marketing_df2!$A$1:$F$2241,4,FALSE)</f>
        <v>44</v>
      </c>
      <c r="N1068">
        <f>VLOOKUP(A1068,Marketing_df2!$A$1:$F$2241,5,FALSE)</f>
        <v>4</v>
      </c>
      <c r="O1068">
        <f>VLOOKUP(A1068,Marketing_df2!$A$1:$F$2241,6,FALSE)</f>
        <v>8</v>
      </c>
    </row>
    <row r="1069" spans="1:15" ht="12.5">
      <c r="A1069" s="6">
        <v>1067</v>
      </c>
      <c r="B1069" s="6">
        <v>2223</v>
      </c>
      <c r="C1069" s="6">
        <v>1965</v>
      </c>
      <c r="D1069" s="7" t="s">
        <v>17</v>
      </c>
      <c r="E1069" s="7" t="s">
        <v>15</v>
      </c>
      <c r="F1069" s="6">
        <v>64176</v>
      </c>
      <c r="G1069" s="6">
        <v>0</v>
      </c>
      <c r="H1069" s="6">
        <v>1</v>
      </c>
      <c r="I1069" s="6">
        <f t="shared" si="16"/>
        <v>1</v>
      </c>
      <c r="J1069" s="8">
        <v>41124</v>
      </c>
      <c r="K1069" s="6">
        <v>52</v>
      </c>
      <c r="L1069">
        <f>VLOOKUP(A1069,Marketing_df2!$A$1:$F$2241,3,FALSE)</f>
        <v>33</v>
      </c>
      <c r="M1069">
        <f>VLOOKUP(A1069,Marketing_df2!$A$1:$F$2241,4,FALSE)</f>
        <v>116</v>
      </c>
      <c r="N1069">
        <f>VLOOKUP(A1069,Marketing_df2!$A$1:$F$2241,5,FALSE)</f>
        <v>8</v>
      </c>
      <c r="O1069">
        <f>VLOOKUP(A1069,Marketing_df2!$A$1:$F$2241,6,FALSE)</f>
        <v>8</v>
      </c>
    </row>
    <row r="1070" spans="1:15" ht="12.5">
      <c r="A1070" s="6">
        <v>1068</v>
      </c>
      <c r="B1070" s="6">
        <v>4817</v>
      </c>
      <c r="C1070" s="6">
        <v>1956</v>
      </c>
      <c r="D1070" s="7" t="s">
        <v>9</v>
      </c>
      <c r="E1070" s="7" t="s">
        <v>15</v>
      </c>
      <c r="F1070" s="6">
        <v>22304</v>
      </c>
      <c r="G1070" s="6">
        <v>0</v>
      </c>
      <c r="H1070" s="6">
        <v>0</v>
      </c>
      <c r="I1070" s="6">
        <f t="shared" si="16"/>
        <v>0</v>
      </c>
      <c r="J1070" s="8">
        <v>41125</v>
      </c>
      <c r="K1070" s="6">
        <v>91</v>
      </c>
      <c r="L1070">
        <f>VLOOKUP(A1070,Marketing_df2!$A$1:$F$2241,3,FALSE)</f>
        <v>2</v>
      </c>
      <c r="M1070">
        <f>VLOOKUP(A1070,Marketing_df2!$A$1:$F$2241,4,FALSE)</f>
        <v>4</v>
      </c>
      <c r="N1070">
        <f>VLOOKUP(A1070,Marketing_df2!$A$1:$F$2241,5,FALSE)</f>
        <v>1</v>
      </c>
      <c r="O1070">
        <f>VLOOKUP(A1070,Marketing_df2!$A$1:$F$2241,6,FALSE)</f>
        <v>2</v>
      </c>
    </row>
    <row r="1071" spans="1:15" ht="12.5">
      <c r="A1071" s="6">
        <v>1069</v>
      </c>
      <c r="B1071" s="6">
        <v>2875</v>
      </c>
      <c r="C1071" s="6">
        <v>1978</v>
      </c>
      <c r="D1071" s="7" t="s">
        <v>9</v>
      </c>
      <c r="E1071" s="7" t="s">
        <v>13</v>
      </c>
      <c r="F1071" s="6">
        <v>67023</v>
      </c>
      <c r="G1071" s="6">
        <v>0</v>
      </c>
      <c r="H1071" s="6">
        <v>0</v>
      </c>
      <c r="I1071" s="6">
        <f t="shared" si="16"/>
        <v>0</v>
      </c>
      <c r="J1071" s="8">
        <v>41702</v>
      </c>
      <c r="K1071" s="6">
        <v>93</v>
      </c>
      <c r="L1071">
        <f>VLOOKUP(A1071,Marketing_df2!$A$1:$F$2241,3,FALSE)</f>
        <v>44</v>
      </c>
      <c r="M1071">
        <f>VLOOKUP(A1071,Marketing_df2!$A$1:$F$2241,4,FALSE)</f>
        <v>8</v>
      </c>
      <c r="N1071">
        <f>VLOOKUP(A1071,Marketing_df2!$A$1:$F$2241,5,FALSE)</f>
        <v>3</v>
      </c>
      <c r="O1071">
        <f>VLOOKUP(A1071,Marketing_df2!$A$1:$F$2241,6,FALSE)</f>
        <v>13</v>
      </c>
    </row>
    <row r="1072" spans="1:15" ht="12.5">
      <c r="A1072" s="6">
        <v>1070</v>
      </c>
      <c r="B1072" s="6">
        <v>10536</v>
      </c>
      <c r="C1072" s="6">
        <v>1971</v>
      </c>
      <c r="D1072" s="7" t="s">
        <v>12</v>
      </c>
      <c r="E1072" s="7" t="s">
        <v>11</v>
      </c>
      <c r="F1072" s="6">
        <v>32892</v>
      </c>
      <c r="G1072" s="6">
        <v>1</v>
      </c>
      <c r="H1072" s="6">
        <v>0</v>
      </c>
      <c r="I1072" s="6">
        <f t="shared" si="16"/>
        <v>1</v>
      </c>
      <c r="J1072" s="8">
        <v>41784</v>
      </c>
      <c r="K1072" s="6">
        <v>78</v>
      </c>
      <c r="L1072">
        <f>VLOOKUP(A1072,Marketing_df2!$A$1:$F$2241,3,FALSE)</f>
        <v>0</v>
      </c>
      <c r="M1072">
        <f>VLOOKUP(A1072,Marketing_df2!$A$1:$F$2241,4,FALSE)</f>
        <v>1</v>
      </c>
      <c r="N1072">
        <f>VLOOKUP(A1072,Marketing_df2!$A$1:$F$2241,5,FALSE)</f>
        <v>3</v>
      </c>
      <c r="O1072">
        <f>VLOOKUP(A1072,Marketing_df2!$A$1:$F$2241,6,FALSE)</f>
        <v>3</v>
      </c>
    </row>
    <row r="1073" spans="1:15" ht="12.5">
      <c r="A1073" s="6">
        <v>1071</v>
      </c>
      <c r="B1073" s="6">
        <v>11112</v>
      </c>
      <c r="C1073" s="6">
        <v>1966</v>
      </c>
      <c r="D1073" s="7" t="s">
        <v>9</v>
      </c>
      <c r="E1073" s="7" t="s">
        <v>11</v>
      </c>
      <c r="F1073" s="6">
        <v>70713</v>
      </c>
      <c r="G1073" s="6">
        <v>0</v>
      </c>
      <c r="H1073" s="6">
        <v>1</v>
      </c>
      <c r="I1073" s="6">
        <f t="shared" si="16"/>
        <v>1</v>
      </c>
      <c r="J1073" s="8">
        <v>41246</v>
      </c>
      <c r="K1073" s="6">
        <v>23</v>
      </c>
      <c r="L1073">
        <f>VLOOKUP(A1073,Marketing_df2!$A$1:$F$2241,3,FALSE)</f>
        <v>114</v>
      </c>
      <c r="M1073">
        <f>VLOOKUP(A1073,Marketing_df2!$A$1:$F$2241,4,FALSE)</f>
        <v>76</v>
      </c>
      <c r="N1073">
        <f>VLOOKUP(A1073,Marketing_df2!$A$1:$F$2241,5,FALSE)</f>
        <v>5</v>
      </c>
      <c r="O1073">
        <f>VLOOKUP(A1073,Marketing_df2!$A$1:$F$2241,6,FALSE)</f>
        <v>8</v>
      </c>
    </row>
    <row r="1074" spans="1:15" ht="12.5">
      <c r="A1074" s="6">
        <v>1072</v>
      </c>
      <c r="B1074" s="6">
        <v>3807</v>
      </c>
      <c r="C1074" s="6">
        <v>1955</v>
      </c>
      <c r="D1074" s="7" t="s">
        <v>9</v>
      </c>
      <c r="E1074" s="7" t="s">
        <v>11</v>
      </c>
      <c r="F1074" s="6">
        <v>59925</v>
      </c>
      <c r="G1074" s="6">
        <v>0</v>
      </c>
      <c r="H1074" s="6">
        <v>1</v>
      </c>
      <c r="I1074" s="6">
        <f t="shared" si="16"/>
        <v>1</v>
      </c>
      <c r="J1074" s="9">
        <v>41243</v>
      </c>
      <c r="K1074" s="6">
        <v>83</v>
      </c>
      <c r="L1074">
        <f>VLOOKUP(A1074,Marketing_df2!$A$1:$F$2241,3,FALSE)</f>
        <v>21</v>
      </c>
      <c r="M1074">
        <f>VLOOKUP(A1074,Marketing_df2!$A$1:$F$2241,4,FALSE)</f>
        <v>21</v>
      </c>
      <c r="N1074">
        <f>VLOOKUP(A1074,Marketing_df2!$A$1:$F$2241,5,FALSE)</f>
        <v>9</v>
      </c>
      <c r="O1074">
        <f>VLOOKUP(A1074,Marketing_df2!$A$1:$F$2241,6,FALSE)</f>
        <v>9</v>
      </c>
    </row>
    <row r="1075" spans="1:15" ht="12.5">
      <c r="A1075" s="6">
        <v>1073</v>
      </c>
      <c r="B1075" s="6">
        <v>9197</v>
      </c>
      <c r="C1075" s="6">
        <v>1953</v>
      </c>
      <c r="D1075" s="7" t="s">
        <v>9</v>
      </c>
      <c r="E1075" s="7" t="s">
        <v>13</v>
      </c>
      <c r="F1075" s="6">
        <v>39722</v>
      </c>
      <c r="G1075" s="6">
        <v>0</v>
      </c>
      <c r="H1075" s="6">
        <v>1</v>
      </c>
      <c r="I1075" s="6">
        <f t="shared" si="16"/>
        <v>1</v>
      </c>
      <c r="J1075" s="8">
        <v>41694</v>
      </c>
      <c r="K1075" s="6">
        <v>92</v>
      </c>
      <c r="L1075">
        <f>VLOOKUP(A1075,Marketing_df2!$A$1:$F$2241,3,FALSE)</f>
        <v>0</v>
      </c>
      <c r="M1075">
        <f>VLOOKUP(A1075,Marketing_df2!$A$1:$F$2241,4,FALSE)</f>
        <v>0</v>
      </c>
      <c r="N1075">
        <f>VLOOKUP(A1075,Marketing_df2!$A$1:$F$2241,5,FALSE)</f>
        <v>2</v>
      </c>
      <c r="O1075">
        <f>VLOOKUP(A1075,Marketing_df2!$A$1:$F$2241,6,FALSE)</f>
        <v>3</v>
      </c>
    </row>
    <row r="1076" spans="1:15" ht="12.5">
      <c r="A1076" s="6">
        <v>1074</v>
      </c>
      <c r="B1076" s="6">
        <v>10832</v>
      </c>
      <c r="C1076" s="6">
        <v>1958</v>
      </c>
      <c r="D1076" s="7" t="s">
        <v>9</v>
      </c>
      <c r="E1076" s="7" t="s">
        <v>11</v>
      </c>
      <c r="F1076" s="6">
        <v>46610</v>
      </c>
      <c r="G1076" s="6">
        <v>0</v>
      </c>
      <c r="H1076" s="6">
        <v>0</v>
      </c>
      <c r="I1076" s="6">
        <f t="shared" si="16"/>
        <v>0</v>
      </c>
      <c r="J1076" s="8">
        <v>41473</v>
      </c>
      <c r="K1076" s="6">
        <v>4</v>
      </c>
      <c r="L1076">
        <f>VLOOKUP(A1076,Marketing_df2!$A$1:$F$2241,3,FALSE)</f>
        <v>10</v>
      </c>
      <c r="M1076">
        <f>VLOOKUP(A1076,Marketing_df2!$A$1:$F$2241,4,FALSE)</f>
        <v>10</v>
      </c>
      <c r="N1076">
        <f>VLOOKUP(A1076,Marketing_df2!$A$1:$F$2241,5,FALSE)</f>
        <v>6</v>
      </c>
      <c r="O1076">
        <f>VLOOKUP(A1076,Marketing_df2!$A$1:$F$2241,6,FALSE)</f>
        <v>6</v>
      </c>
    </row>
    <row r="1077" spans="1:15" ht="12.5">
      <c r="A1077" s="6">
        <v>1075</v>
      </c>
      <c r="B1077" s="6">
        <v>6421</v>
      </c>
      <c r="C1077" s="6">
        <v>1961</v>
      </c>
      <c r="D1077" s="7" t="s">
        <v>9</v>
      </c>
      <c r="E1077" s="7" t="s">
        <v>11</v>
      </c>
      <c r="F1077" s="6">
        <v>88347</v>
      </c>
      <c r="G1077" s="6">
        <v>0</v>
      </c>
      <c r="H1077" s="6">
        <v>0</v>
      </c>
      <c r="I1077" s="6">
        <f t="shared" si="16"/>
        <v>0</v>
      </c>
      <c r="J1077" s="8">
        <v>41458</v>
      </c>
      <c r="K1077" s="6">
        <v>32</v>
      </c>
      <c r="L1077">
        <f>VLOOKUP(A1077,Marketing_df2!$A$1:$F$2241,3,FALSE)</f>
        <v>178</v>
      </c>
      <c r="M1077">
        <f>VLOOKUP(A1077,Marketing_df2!$A$1:$F$2241,4,FALSE)</f>
        <v>138</v>
      </c>
      <c r="N1077">
        <f>VLOOKUP(A1077,Marketing_df2!$A$1:$F$2241,5,FALSE)</f>
        <v>4</v>
      </c>
      <c r="O1077">
        <f>VLOOKUP(A1077,Marketing_df2!$A$1:$F$2241,6,FALSE)</f>
        <v>9</v>
      </c>
    </row>
    <row r="1078" spans="1:15" ht="12.5">
      <c r="A1078" s="6">
        <v>1076</v>
      </c>
      <c r="B1078" s="6">
        <v>4207</v>
      </c>
      <c r="C1078" s="6">
        <v>1981</v>
      </c>
      <c r="D1078" s="7" t="s">
        <v>12</v>
      </c>
      <c r="E1078" s="7" t="s">
        <v>13</v>
      </c>
      <c r="F1078" s="6">
        <v>87171</v>
      </c>
      <c r="G1078" s="6">
        <v>0</v>
      </c>
      <c r="H1078" s="6">
        <v>0</v>
      </c>
      <c r="I1078" s="6">
        <f t="shared" si="16"/>
        <v>0</v>
      </c>
      <c r="J1078" s="8">
        <v>41395</v>
      </c>
      <c r="K1078" s="6">
        <v>27</v>
      </c>
      <c r="L1078">
        <f>VLOOKUP(A1078,Marketing_df2!$A$1:$F$2241,3,FALSE)</f>
        <v>44</v>
      </c>
      <c r="M1078">
        <f>VLOOKUP(A1078,Marketing_df2!$A$1:$F$2241,4,FALSE)</f>
        <v>44</v>
      </c>
      <c r="N1078">
        <f>VLOOKUP(A1078,Marketing_df2!$A$1:$F$2241,5,FALSE)</f>
        <v>6</v>
      </c>
      <c r="O1078">
        <f>VLOOKUP(A1078,Marketing_df2!$A$1:$F$2241,6,FALSE)</f>
        <v>11</v>
      </c>
    </row>
    <row r="1079" spans="1:15" ht="12.5">
      <c r="A1079" s="6">
        <v>1077</v>
      </c>
      <c r="B1079" s="6">
        <v>577</v>
      </c>
      <c r="C1079" s="6">
        <v>1976</v>
      </c>
      <c r="D1079" s="7" t="s">
        <v>17</v>
      </c>
      <c r="E1079" s="7" t="s">
        <v>11</v>
      </c>
      <c r="F1079" s="6">
        <v>26907</v>
      </c>
      <c r="G1079" s="6">
        <v>1</v>
      </c>
      <c r="H1079" s="6">
        <v>1</v>
      </c>
      <c r="I1079" s="6">
        <f t="shared" si="16"/>
        <v>2</v>
      </c>
      <c r="J1079" s="8">
        <v>41506</v>
      </c>
      <c r="K1079" s="6">
        <v>10</v>
      </c>
      <c r="L1079">
        <f>VLOOKUP(A1079,Marketing_df2!$A$1:$F$2241,3,FALSE)</f>
        <v>1</v>
      </c>
      <c r="M1079">
        <f>VLOOKUP(A1079,Marketing_df2!$A$1:$F$2241,4,FALSE)</f>
        <v>3</v>
      </c>
      <c r="N1079">
        <f>VLOOKUP(A1079,Marketing_df2!$A$1:$F$2241,5,FALSE)</f>
        <v>1</v>
      </c>
      <c r="O1079">
        <f>VLOOKUP(A1079,Marketing_df2!$A$1:$F$2241,6,FALSE)</f>
        <v>3</v>
      </c>
    </row>
    <row r="1080" spans="1:15" ht="12.5">
      <c r="A1080" s="6">
        <v>1078</v>
      </c>
      <c r="B1080" s="6">
        <v>10855</v>
      </c>
      <c r="C1080" s="6">
        <v>1968</v>
      </c>
      <c r="D1080" s="7" t="s">
        <v>14</v>
      </c>
      <c r="E1080" s="7" t="s">
        <v>10</v>
      </c>
      <c r="F1080" s="6">
        <v>50014</v>
      </c>
      <c r="G1080" s="6">
        <v>1</v>
      </c>
      <c r="H1080" s="6">
        <v>0</v>
      </c>
      <c r="I1080" s="6">
        <f t="shared" si="16"/>
        <v>1</v>
      </c>
      <c r="J1080" s="8">
        <v>41661</v>
      </c>
      <c r="K1080" s="6">
        <v>9</v>
      </c>
      <c r="L1080">
        <f>VLOOKUP(A1080,Marketing_df2!$A$1:$F$2241,3,FALSE)</f>
        <v>14</v>
      </c>
      <c r="M1080">
        <f>VLOOKUP(A1080,Marketing_df2!$A$1:$F$2241,4,FALSE)</f>
        <v>10</v>
      </c>
      <c r="N1080">
        <f>VLOOKUP(A1080,Marketing_df2!$A$1:$F$2241,5,FALSE)</f>
        <v>4</v>
      </c>
      <c r="O1080">
        <f>VLOOKUP(A1080,Marketing_df2!$A$1:$F$2241,6,FALSE)</f>
        <v>8</v>
      </c>
    </row>
    <row r="1081" spans="1:15" ht="12.5">
      <c r="A1081" s="6">
        <v>1079</v>
      </c>
      <c r="B1081" s="6">
        <v>3081</v>
      </c>
      <c r="C1081" s="6">
        <v>1978</v>
      </c>
      <c r="D1081" s="7" t="s">
        <v>12</v>
      </c>
      <c r="E1081" s="7" t="s">
        <v>13</v>
      </c>
      <c r="F1081" s="6">
        <v>41014</v>
      </c>
      <c r="G1081" s="6">
        <v>1</v>
      </c>
      <c r="H1081" s="6">
        <v>0</v>
      </c>
      <c r="I1081" s="6">
        <f t="shared" si="16"/>
        <v>1</v>
      </c>
      <c r="J1081" s="8">
        <v>41386</v>
      </c>
      <c r="K1081" s="6">
        <v>65</v>
      </c>
      <c r="L1081">
        <f>VLOOKUP(A1081,Marketing_df2!$A$1:$F$2241,3,FALSE)</f>
        <v>2</v>
      </c>
      <c r="M1081">
        <f>VLOOKUP(A1081,Marketing_df2!$A$1:$F$2241,4,FALSE)</f>
        <v>0</v>
      </c>
      <c r="N1081">
        <f>VLOOKUP(A1081,Marketing_df2!$A$1:$F$2241,5,FALSE)</f>
        <v>1</v>
      </c>
      <c r="O1081">
        <f>VLOOKUP(A1081,Marketing_df2!$A$1:$F$2241,6,FALSE)</f>
        <v>2</v>
      </c>
    </row>
    <row r="1082" spans="1:15" ht="12.5">
      <c r="A1082" s="6">
        <v>1080</v>
      </c>
      <c r="B1082" s="6">
        <v>3535</v>
      </c>
      <c r="C1082" s="6">
        <v>1965</v>
      </c>
      <c r="D1082" s="7" t="s">
        <v>9</v>
      </c>
      <c r="E1082" s="7" t="s">
        <v>10</v>
      </c>
      <c r="F1082" s="6">
        <v>66294</v>
      </c>
      <c r="G1082" s="6">
        <v>0</v>
      </c>
      <c r="H1082" s="6">
        <v>0</v>
      </c>
      <c r="I1082" s="6">
        <f t="shared" si="16"/>
        <v>0</v>
      </c>
      <c r="J1082" s="8">
        <v>41715</v>
      </c>
      <c r="K1082" s="6">
        <v>68</v>
      </c>
      <c r="L1082">
        <f>VLOOKUP(A1082,Marketing_df2!$A$1:$F$2241,3,FALSE)</f>
        <v>108</v>
      </c>
      <c r="M1082">
        <f>VLOOKUP(A1082,Marketing_df2!$A$1:$F$2241,4,FALSE)</f>
        <v>92</v>
      </c>
      <c r="N1082">
        <f>VLOOKUP(A1082,Marketing_df2!$A$1:$F$2241,5,FALSE)</f>
        <v>4</v>
      </c>
      <c r="O1082">
        <f>VLOOKUP(A1082,Marketing_df2!$A$1:$F$2241,6,FALSE)</f>
        <v>5</v>
      </c>
    </row>
    <row r="1083" spans="1:15" ht="12.5">
      <c r="A1083" s="6">
        <v>1081</v>
      </c>
      <c r="B1083" s="6">
        <v>247</v>
      </c>
      <c r="C1083" s="6">
        <v>1971</v>
      </c>
      <c r="D1083" s="7" t="s">
        <v>9</v>
      </c>
      <c r="E1083" s="7" t="s">
        <v>13</v>
      </c>
      <c r="F1083" s="6">
        <v>36715</v>
      </c>
      <c r="G1083" s="6">
        <v>1</v>
      </c>
      <c r="H1083" s="6">
        <v>0</v>
      </c>
      <c r="I1083" s="6">
        <f t="shared" si="16"/>
        <v>1</v>
      </c>
      <c r="J1083" s="9">
        <v>41230</v>
      </c>
      <c r="K1083" s="6">
        <v>16</v>
      </c>
      <c r="L1083">
        <f>VLOOKUP(A1083,Marketing_df2!$A$1:$F$2241,3,FALSE)</f>
        <v>10</v>
      </c>
      <c r="M1083">
        <f>VLOOKUP(A1083,Marketing_df2!$A$1:$F$2241,4,FALSE)</f>
        <v>13</v>
      </c>
      <c r="N1083">
        <f>VLOOKUP(A1083,Marketing_df2!$A$1:$F$2241,5,FALSE)</f>
        <v>7</v>
      </c>
      <c r="O1083">
        <f>VLOOKUP(A1083,Marketing_df2!$A$1:$F$2241,6,FALSE)</f>
        <v>4</v>
      </c>
    </row>
    <row r="1084" spans="1:15" ht="12.5">
      <c r="A1084" s="6">
        <v>1082</v>
      </c>
      <c r="B1084" s="6">
        <v>8707</v>
      </c>
      <c r="C1084" s="6">
        <v>1956</v>
      </c>
      <c r="D1084" s="7" t="s">
        <v>9</v>
      </c>
      <c r="E1084" s="7" t="s">
        <v>13</v>
      </c>
      <c r="F1084" s="6">
        <v>79456</v>
      </c>
      <c r="G1084" s="6">
        <v>0</v>
      </c>
      <c r="H1084" s="6">
        <v>0</v>
      </c>
      <c r="I1084" s="6">
        <f t="shared" si="16"/>
        <v>0</v>
      </c>
      <c r="J1084" s="8">
        <v>41143</v>
      </c>
      <c r="K1084" s="6">
        <v>12</v>
      </c>
      <c r="L1084">
        <f>VLOOKUP(A1084,Marketing_df2!$A$1:$F$2241,3,FALSE)</f>
        <v>42</v>
      </c>
      <c r="M1084">
        <f>VLOOKUP(A1084,Marketing_df2!$A$1:$F$2241,4,FALSE)</f>
        <v>83</v>
      </c>
      <c r="N1084">
        <f>VLOOKUP(A1084,Marketing_df2!$A$1:$F$2241,5,FALSE)</f>
        <v>5</v>
      </c>
      <c r="O1084">
        <f>VLOOKUP(A1084,Marketing_df2!$A$1:$F$2241,6,FALSE)</f>
        <v>4</v>
      </c>
    </row>
    <row r="1085" spans="1:15" ht="12.5">
      <c r="A1085" s="6">
        <v>1083</v>
      </c>
      <c r="B1085" s="6">
        <v>9523</v>
      </c>
      <c r="C1085" s="6">
        <v>1982</v>
      </c>
      <c r="D1085" s="7" t="s">
        <v>9</v>
      </c>
      <c r="E1085" s="7" t="s">
        <v>11</v>
      </c>
      <c r="F1085" s="6">
        <v>40479</v>
      </c>
      <c r="G1085" s="6">
        <v>1</v>
      </c>
      <c r="H1085" s="6">
        <v>0</v>
      </c>
      <c r="I1085" s="6">
        <f t="shared" si="16"/>
        <v>1</v>
      </c>
      <c r="J1085" s="8">
        <v>41503</v>
      </c>
      <c r="K1085" s="6">
        <v>95</v>
      </c>
      <c r="L1085">
        <f>VLOOKUP(A1085,Marketing_df2!$A$1:$F$2241,3,FALSE)</f>
        <v>0</v>
      </c>
      <c r="M1085">
        <f>VLOOKUP(A1085,Marketing_df2!$A$1:$F$2241,4,FALSE)</f>
        <v>0</v>
      </c>
      <c r="N1085">
        <f>VLOOKUP(A1085,Marketing_df2!$A$1:$F$2241,5,FALSE)</f>
        <v>0</v>
      </c>
      <c r="O1085">
        <f>VLOOKUP(A1085,Marketing_df2!$A$1:$F$2241,6,FALSE)</f>
        <v>3</v>
      </c>
    </row>
    <row r="1086" spans="1:15" ht="12.5">
      <c r="A1086" s="6">
        <v>1084</v>
      </c>
      <c r="B1086" s="6">
        <v>6072</v>
      </c>
      <c r="C1086" s="6">
        <v>1970</v>
      </c>
      <c r="D1086" s="7" t="s">
        <v>14</v>
      </c>
      <c r="E1086" s="7" t="s">
        <v>10</v>
      </c>
      <c r="F1086" s="6">
        <v>75345</v>
      </c>
      <c r="G1086" s="6">
        <v>0</v>
      </c>
      <c r="H1086" s="6">
        <v>0</v>
      </c>
      <c r="I1086" s="6">
        <f t="shared" si="16"/>
        <v>0</v>
      </c>
      <c r="J1086" s="8">
        <v>41307</v>
      </c>
      <c r="K1086" s="6">
        <v>16</v>
      </c>
      <c r="L1086">
        <f>VLOOKUP(A1086,Marketing_df2!$A$1:$F$2241,3,FALSE)</f>
        <v>57</v>
      </c>
      <c r="M1086">
        <f>VLOOKUP(A1086,Marketing_df2!$A$1:$F$2241,4,FALSE)</f>
        <v>38</v>
      </c>
      <c r="N1086">
        <f>VLOOKUP(A1086,Marketing_df2!$A$1:$F$2241,5,FALSE)</f>
        <v>5</v>
      </c>
      <c r="O1086">
        <f>VLOOKUP(A1086,Marketing_df2!$A$1:$F$2241,6,FALSE)</f>
        <v>6</v>
      </c>
    </row>
    <row r="1087" spans="1:15" ht="12.5">
      <c r="A1087" s="6">
        <v>1085</v>
      </c>
      <c r="B1087" s="6">
        <v>6295</v>
      </c>
      <c r="C1087" s="6">
        <v>1977</v>
      </c>
      <c r="D1087" s="7" t="s">
        <v>9</v>
      </c>
      <c r="E1087" s="7" t="s">
        <v>13</v>
      </c>
      <c r="F1087" s="6">
        <v>54233</v>
      </c>
      <c r="G1087" s="6">
        <v>0</v>
      </c>
      <c r="H1087" s="6">
        <v>1</v>
      </c>
      <c r="I1087" s="6">
        <f t="shared" si="16"/>
        <v>1</v>
      </c>
      <c r="J1087" s="8">
        <v>41309</v>
      </c>
      <c r="K1087" s="6">
        <v>46</v>
      </c>
      <c r="L1087">
        <f>VLOOKUP(A1087,Marketing_df2!$A$1:$F$2241,3,FALSE)</f>
        <v>8</v>
      </c>
      <c r="M1087">
        <f>VLOOKUP(A1087,Marketing_df2!$A$1:$F$2241,4,FALSE)</f>
        <v>0</v>
      </c>
      <c r="N1087">
        <f>VLOOKUP(A1087,Marketing_df2!$A$1:$F$2241,5,FALSE)</f>
        <v>11</v>
      </c>
      <c r="O1087">
        <f>VLOOKUP(A1087,Marketing_df2!$A$1:$F$2241,6,FALSE)</f>
        <v>5</v>
      </c>
    </row>
    <row r="1088" spans="1:15" ht="12.5">
      <c r="A1088" s="6">
        <v>1086</v>
      </c>
      <c r="B1088" s="6">
        <v>10914</v>
      </c>
      <c r="C1088" s="6">
        <v>1970</v>
      </c>
      <c r="D1088" s="7" t="s">
        <v>9</v>
      </c>
      <c r="E1088" s="7" t="s">
        <v>10</v>
      </c>
      <c r="F1088" s="6">
        <v>24163</v>
      </c>
      <c r="G1088" s="6">
        <v>1</v>
      </c>
      <c r="H1088" s="6">
        <v>1</v>
      </c>
      <c r="I1088" s="6">
        <f t="shared" si="16"/>
        <v>2</v>
      </c>
      <c r="J1088" s="9">
        <v>41559</v>
      </c>
      <c r="K1088" s="6">
        <v>3</v>
      </c>
      <c r="L1088">
        <f>VLOOKUP(A1088,Marketing_df2!$A$1:$F$2241,3,FALSE)</f>
        <v>1</v>
      </c>
      <c r="M1088">
        <f>VLOOKUP(A1088,Marketing_df2!$A$1:$F$2241,4,FALSE)</f>
        <v>1</v>
      </c>
      <c r="N1088">
        <f>VLOOKUP(A1088,Marketing_df2!$A$1:$F$2241,5,FALSE)</f>
        <v>1</v>
      </c>
      <c r="O1088">
        <f>VLOOKUP(A1088,Marketing_df2!$A$1:$F$2241,6,FALSE)</f>
        <v>3</v>
      </c>
    </row>
    <row r="1089" spans="1:15" ht="12.5">
      <c r="A1089" s="6">
        <v>1087</v>
      </c>
      <c r="B1089" s="6">
        <v>1509</v>
      </c>
      <c r="C1089" s="6">
        <v>1958</v>
      </c>
      <c r="D1089" s="7" t="s">
        <v>12</v>
      </c>
      <c r="E1089" s="7" t="s">
        <v>11</v>
      </c>
      <c r="F1089" s="6">
        <v>84460</v>
      </c>
      <c r="G1089" s="6">
        <v>0</v>
      </c>
      <c r="H1089" s="6">
        <v>0</v>
      </c>
      <c r="I1089" s="6">
        <f t="shared" si="16"/>
        <v>0</v>
      </c>
      <c r="J1089" s="8">
        <v>41278</v>
      </c>
      <c r="K1089" s="6">
        <v>80</v>
      </c>
      <c r="L1089">
        <f>VLOOKUP(A1089,Marketing_df2!$A$1:$F$2241,3,FALSE)</f>
        <v>27</v>
      </c>
      <c r="M1089">
        <f>VLOOKUP(A1089,Marketing_df2!$A$1:$F$2241,4,FALSE)</f>
        <v>54</v>
      </c>
      <c r="N1089">
        <f>VLOOKUP(A1089,Marketing_df2!$A$1:$F$2241,5,FALSE)</f>
        <v>9</v>
      </c>
      <c r="O1089">
        <f>VLOOKUP(A1089,Marketing_df2!$A$1:$F$2241,6,FALSE)</f>
        <v>4</v>
      </c>
    </row>
    <row r="1090" spans="1:15" ht="12.5">
      <c r="A1090" s="6">
        <v>1088</v>
      </c>
      <c r="B1090" s="6">
        <v>5577</v>
      </c>
      <c r="C1090" s="6">
        <v>1983</v>
      </c>
      <c r="D1090" s="7" t="s">
        <v>9</v>
      </c>
      <c r="E1090" s="7" t="s">
        <v>11</v>
      </c>
      <c r="F1090" s="6">
        <v>43776</v>
      </c>
      <c r="G1090" s="6">
        <v>1</v>
      </c>
      <c r="H1090" s="6">
        <v>0</v>
      </c>
      <c r="I1090" s="6">
        <f t="shared" si="16"/>
        <v>1</v>
      </c>
      <c r="J1090" s="8">
        <v>41762</v>
      </c>
      <c r="K1090" s="6">
        <v>77</v>
      </c>
      <c r="L1090">
        <f>VLOOKUP(A1090,Marketing_df2!$A$1:$F$2241,3,FALSE)</f>
        <v>0</v>
      </c>
      <c r="M1090">
        <f>VLOOKUP(A1090,Marketing_df2!$A$1:$F$2241,4,FALSE)</f>
        <v>1</v>
      </c>
      <c r="N1090">
        <f>VLOOKUP(A1090,Marketing_df2!$A$1:$F$2241,5,FALSE)</f>
        <v>1</v>
      </c>
      <c r="O1090">
        <f>VLOOKUP(A1090,Marketing_df2!$A$1:$F$2241,6,FALSE)</f>
        <v>2</v>
      </c>
    </row>
    <row r="1091" spans="1:15" ht="12.5">
      <c r="A1091" s="6">
        <v>1089</v>
      </c>
      <c r="B1091" s="6">
        <v>7348</v>
      </c>
      <c r="C1091" s="6">
        <v>1958</v>
      </c>
      <c r="D1091" s="7" t="s">
        <v>12</v>
      </c>
      <c r="E1091" s="7" t="s">
        <v>10</v>
      </c>
      <c r="F1091" s="6">
        <v>71691</v>
      </c>
      <c r="G1091" s="6">
        <v>0</v>
      </c>
      <c r="H1091" s="6">
        <v>0</v>
      </c>
      <c r="I1091" s="6">
        <f t="shared" ref="I1091:I1154" si="17">G1091+H1091</f>
        <v>0</v>
      </c>
      <c r="J1091" s="8">
        <v>41715</v>
      </c>
      <c r="K1091" s="6">
        <v>0</v>
      </c>
      <c r="L1091">
        <f>VLOOKUP(A1091,Marketing_df2!$A$1:$F$2241,3,FALSE)</f>
        <v>130</v>
      </c>
      <c r="M1091">
        <f>VLOOKUP(A1091,Marketing_df2!$A$1:$F$2241,4,FALSE)</f>
        <v>32</v>
      </c>
      <c r="N1091">
        <f>VLOOKUP(A1091,Marketing_df2!$A$1:$F$2241,5,FALSE)</f>
        <v>4</v>
      </c>
      <c r="O1091">
        <f>VLOOKUP(A1091,Marketing_df2!$A$1:$F$2241,6,FALSE)</f>
        <v>5</v>
      </c>
    </row>
    <row r="1092" spans="1:15" ht="12.5">
      <c r="A1092" s="6">
        <v>1090</v>
      </c>
      <c r="B1092" s="6">
        <v>1127</v>
      </c>
      <c r="C1092" s="6">
        <v>1973</v>
      </c>
      <c r="D1092" s="7" t="s">
        <v>12</v>
      </c>
      <c r="E1092" s="7" t="s">
        <v>13</v>
      </c>
      <c r="F1092" s="6">
        <v>85844</v>
      </c>
      <c r="G1092" s="6">
        <v>0</v>
      </c>
      <c r="H1092" s="6">
        <v>0</v>
      </c>
      <c r="I1092" s="6">
        <f t="shared" si="17"/>
        <v>0</v>
      </c>
      <c r="J1092" s="8">
        <v>41788</v>
      </c>
      <c r="K1092" s="6">
        <v>62</v>
      </c>
      <c r="L1092">
        <f>VLOOKUP(A1092,Marketing_df2!$A$1:$F$2241,3,FALSE)</f>
        <v>19</v>
      </c>
      <c r="M1092">
        <f>VLOOKUP(A1092,Marketing_df2!$A$1:$F$2241,4,FALSE)</f>
        <v>95</v>
      </c>
      <c r="N1092">
        <f>VLOOKUP(A1092,Marketing_df2!$A$1:$F$2241,5,FALSE)</f>
        <v>6</v>
      </c>
      <c r="O1092">
        <f>VLOOKUP(A1092,Marketing_df2!$A$1:$F$2241,6,FALSE)</f>
        <v>7</v>
      </c>
    </row>
    <row r="1093" spans="1:15" ht="12.5">
      <c r="A1093" s="6">
        <v>1091</v>
      </c>
      <c r="B1093" s="6">
        <v>1833</v>
      </c>
      <c r="C1093" s="6">
        <v>1974</v>
      </c>
      <c r="D1093" s="7" t="s">
        <v>12</v>
      </c>
      <c r="E1093" s="7" t="s">
        <v>10</v>
      </c>
      <c r="F1093" s="6">
        <v>39190</v>
      </c>
      <c r="G1093" s="6">
        <v>1</v>
      </c>
      <c r="H1093" s="6">
        <v>0</v>
      </c>
      <c r="I1093" s="6">
        <f t="shared" si="17"/>
        <v>1</v>
      </c>
      <c r="J1093" s="8">
        <v>41755</v>
      </c>
      <c r="K1093" s="6">
        <v>91</v>
      </c>
      <c r="L1093">
        <f>VLOOKUP(A1093,Marketing_df2!$A$1:$F$2241,3,FALSE)</f>
        <v>8</v>
      </c>
      <c r="M1093">
        <f>VLOOKUP(A1093,Marketing_df2!$A$1:$F$2241,4,FALSE)</f>
        <v>8</v>
      </c>
      <c r="N1093">
        <f>VLOOKUP(A1093,Marketing_df2!$A$1:$F$2241,5,FALSE)</f>
        <v>2</v>
      </c>
      <c r="O1093">
        <f>VLOOKUP(A1093,Marketing_df2!$A$1:$F$2241,6,FALSE)</f>
        <v>4</v>
      </c>
    </row>
    <row r="1094" spans="1:15" ht="12.5">
      <c r="A1094" s="6">
        <v>1092</v>
      </c>
      <c r="B1094" s="6">
        <v>4944</v>
      </c>
      <c r="C1094" s="6">
        <v>1959</v>
      </c>
      <c r="D1094" s="7" t="s">
        <v>9</v>
      </c>
      <c r="E1094" s="7" t="s">
        <v>11</v>
      </c>
      <c r="F1094" s="6">
        <v>71367</v>
      </c>
      <c r="G1094" s="6">
        <v>0</v>
      </c>
      <c r="H1094" s="6">
        <v>0</v>
      </c>
      <c r="I1094" s="6">
        <f t="shared" si="17"/>
        <v>0</v>
      </c>
      <c r="J1094" s="8">
        <v>41509</v>
      </c>
      <c r="K1094" s="6">
        <v>24</v>
      </c>
      <c r="L1094">
        <f>VLOOKUP(A1094,Marketing_df2!$A$1:$F$2241,3,FALSE)</f>
        <v>23</v>
      </c>
      <c r="M1094">
        <f>VLOOKUP(A1094,Marketing_df2!$A$1:$F$2241,4,FALSE)</f>
        <v>21</v>
      </c>
      <c r="N1094">
        <f>VLOOKUP(A1094,Marketing_df2!$A$1:$F$2241,5,FALSE)</f>
        <v>4</v>
      </c>
      <c r="O1094">
        <f>VLOOKUP(A1094,Marketing_df2!$A$1:$F$2241,6,FALSE)</f>
        <v>7</v>
      </c>
    </row>
    <row r="1095" spans="1:15" ht="12.5">
      <c r="A1095" s="6">
        <v>1093</v>
      </c>
      <c r="B1095" s="6">
        <v>9080</v>
      </c>
      <c r="C1095" s="6">
        <v>1972</v>
      </c>
      <c r="D1095" s="7" t="s">
        <v>12</v>
      </c>
      <c r="E1095" s="7" t="s">
        <v>10</v>
      </c>
      <c r="F1095" s="6">
        <v>38578</v>
      </c>
      <c r="G1095" s="6">
        <v>1</v>
      </c>
      <c r="H1095" s="6">
        <v>1</v>
      </c>
      <c r="I1095" s="6">
        <f t="shared" si="17"/>
        <v>2</v>
      </c>
      <c r="J1095" s="8">
        <v>41447</v>
      </c>
      <c r="K1095" s="6">
        <v>2</v>
      </c>
      <c r="L1095">
        <f>VLOOKUP(A1095,Marketing_df2!$A$1:$F$2241,3,FALSE)</f>
        <v>4</v>
      </c>
      <c r="M1095">
        <f>VLOOKUP(A1095,Marketing_df2!$A$1:$F$2241,4,FALSE)</f>
        <v>3</v>
      </c>
      <c r="N1095">
        <f>VLOOKUP(A1095,Marketing_df2!$A$1:$F$2241,5,FALSE)</f>
        <v>3</v>
      </c>
      <c r="O1095">
        <f>VLOOKUP(A1095,Marketing_df2!$A$1:$F$2241,6,FALSE)</f>
        <v>3</v>
      </c>
    </row>
    <row r="1096" spans="1:15" ht="12.5">
      <c r="A1096" s="6">
        <v>1094</v>
      </c>
      <c r="B1096" s="6">
        <v>6466</v>
      </c>
      <c r="C1096" s="6">
        <v>1965</v>
      </c>
      <c r="D1096" s="7" t="s">
        <v>12</v>
      </c>
      <c r="E1096" s="7" t="s">
        <v>13</v>
      </c>
      <c r="F1096" s="6">
        <v>57236</v>
      </c>
      <c r="G1096" s="6">
        <v>1</v>
      </c>
      <c r="H1096" s="6">
        <v>1</v>
      </c>
      <c r="I1096" s="6">
        <f t="shared" si="17"/>
        <v>2</v>
      </c>
      <c r="J1096" s="8">
        <v>41710</v>
      </c>
      <c r="K1096" s="6">
        <v>22</v>
      </c>
      <c r="L1096">
        <f>VLOOKUP(A1096,Marketing_df2!$A$1:$F$2241,3,FALSE)</f>
        <v>0</v>
      </c>
      <c r="M1096">
        <f>VLOOKUP(A1096,Marketing_df2!$A$1:$F$2241,4,FALSE)</f>
        <v>1</v>
      </c>
      <c r="N1096">
        <f>VLOOKUP(A1096,Marketing_df2!$A$1:$F$2241,5,FALSE)</f>
        <v>2</v>
      </c>
      <c r="O1096">
        <f>VLOOKUP(A1096,Marketing_df2!$A$1:$F$2241,6,FALSE)</f>
        <v>4</v>
      </c>
    </row>
    <row r="1097" spans="1:15" ht="12.5">
      <c r="A1097" s="6">
        <v>1095</v>
      </c>
      <c r="B1097" s="6">
        <v>9964</v>
      </c>
      <c r="C1097" s="6">
        <v>1979</v>
      </c>
      <c r="D1097" s="7" t="s">
        <v>9</v>
      </c>
      <c r="E1097" s="7" t="s">
        <v>10</v>
      </c>
      <c r="F1097" s="6">
        <v>61825</v>
      </c>
      <c r="G1097" s="6">
        <v>0</v>
      </c>
      <c r="H1097" s="6">
        <v>1</v>
      </c>
      <c r="I1097" s="6">
        <f t="shared" si="17"/>
        <v>1</v>
      </c>
      <c r="J1097" s="8">
        <v>41493</v>
      </c>
      <c r="K1097" s="6">
        <v>56</v>
      </c>
      <c r="L1097">
        <f>VLOOKUP(A1097,Marketing_df2!$A$1:$F$2241,3,FALSE)</f>
        <v>50</v>
      </c>
      <c r="M1097">
        <f>VLOOKUP(A1097,Marketing_df2!$A$1:$F$2241,4,FALSE)</f>
        <v>30</v>
      </c>
      <c r="N1097">
        <f>VLOOKUP(A1097,Marketing_df2!$A$1:$F$2241,5,FALSE)</f>
        <v>4</v>
      </c>
      <c r="O1097">
        <f>VLOOKUP(A1097,Marketing_df2!$A$1:$F$2241,6,FALSE)</f>
        <v>8</v>
      </c>
    </row>
    <row r="1098" spans="1:15" ht="12.5">
      <c r="A1098" s="6">
        <v>1096</v>
      </c>
      <c r="B1098" s="6">
        <v>4790</v>
      </c>
      <c r="C1098" s="6">
        <v>1958</v>
      </c>
      <c r="D1098" s="7" t="s">
        <v>9</v>
      </c>
      <c r="E1098" s="7" t="s">
        <v>15</v>
      </c>
      <c r="F1098" s="6">
        <v>79803</v>
      </c>
      <c r="G1098" s="6">
        <v>0</v>
      </c>
      <c r="H1098" s="6">
        <v>1</v>
      </c>
      <c r="I1098" s="6">
        <f t="shared" si="17"/>
        <v>1</v>
      </c>
      <c r="J1098" s="8">
        <v>41792</v>
      </c>
      <c r="K1098" s="6">
        <v>54</v>
      </c>
      <c r="L1098">
        <f>VLOOKUP(A1098,Marketing_df2!$A$1:$F$2241,3,FALSE)</f>
        <v>8</v>
      </c>
      <c r="M1098">
        <f>VLOOKUP(A1098,Marketing_df2!$A$1:$F$2241,4,FALSE)</f>
        <v>16</v>
      </c>
      <c r="N1098">
        <f>VLOOKUP(A1098,Marketing_df2!$A$1:$F$2241,5,FALSE)</f>
        <v>4</v>
      </c>
      <c r="O1098">
        <f>VLOOKUP(A1098,Marketing_df2!$A$1:$F$2241,6,FALSE)</f>
        <v>5</v>
      </c>
    </row>
    <row r="1099" spans="1:15" ht="12.5">
      <c r="A1099" s="6">
        <v>1097</v>
      </c>
      <c r="B1099" s="6">
        <v>10245</v>
      </c>
      <c r="C1099" s="6">
        <v>1986</v>
      </c>
      <c r="D1099" s="7" t="s">
        <v>17</v>
      </c>
      <c r="E1099" s="7" t="s">
        <v>10</v>
      </c>
      <c r="F1099" s="6">
        <v>80910</v>
      </c>
      <c r="G1099" s="6">
        <v>0</v>
      </c>
      <c r="H1099" s="6">
        <v>0</v>
      </c>
      <c r="I1099" s="6">
        <f t="shared" si="17"/>
        <v>0</v>
      </c>
      <c r="J1099" s="9">
        <v>41213</v>
      </c>
      <c r="K1099" s="6">
        <v>71</v>
      </c>
      <c r="L1099">
        <f>VLOOKUP(A1099,Marketing_df2!$A$1:$F$2241,3,FALSE)</f>
        <v>80</v>
      </c>
      <c r="M1099">
        <f>VLOOKUP(A1099,Marketing_df2!$A$1:$F$2241,4,FALSE)</f>
        <v>39</v>
      </c>
      <c r="N1099">
        <f>VLOOKUP(A1099,Marketing_df2!$A$1:$F$2241,5,FALSE)</f>
        <v>3</v>
      </c>
      <c r="O1099">
        <f>VLOOKUP(A1099,Marketing_df2!$A$1:$F$2241,6,FALSE)</f>
        <v>8</v>
      </c>
    </row>
    <row r="1100" spans="1:15" ht="12.5">
      <c r="A1100" s="6">
        <v>1098</v>
      </c>
      <c r="B1100" s="6">
        <v>1109</v>
      </c>
      <c r="C1100" s="6">
        <v>1982</v>
      </c>
      <c r="D1100" s="7" t="s">
        <v>14</v>
      </c>
      <c r="E1100" s="7" t="s">
        <v>11</v>
      </c>
      <c r="F1100" s="6">
        <v>27590</v>
      </c>
      <c r="G1100" s="6">
        <v>1</v>
      </c>
      <c r="H1100" s="6">
        <v>0</v>
      </c>
      <c r="I1100" s="6">
        <f t="shared" si="17"/>
        <v>1</v>
      </c>
      <c r="J1100" s="8">
        <v>41387</v>
      </c>
      <c r="K1100" s="6">
        <v>38</v>
      </c>
      <c r="L1100">
        <f>VLOOKUP(A1100,Marketing_df2!$A$1:$F$2241,3,FALSE)</f>
        <v>0</v>
      </c>
      <c r="M1100">
        <f>VLOOKUP(A1100,Marketing_df2!$A$1:$F$2241,4,FALSE)</f>
        <v>0</v>
      </c>
      <c r="N1100">
        <f>VLOOKUP(A1100,Marketing_df2!$A$1:$F$2241,5,FALSE)</f>
        <v>1</v>
      </c>
      <c r="O1100">
        <f>VLOOKUP(A1100,Marketing_df2!$A$1:$F$2241,6,FALSE)</f>
        <v>2</v>
      </c>
    </row>
    <row r="1101" spans="1:15" ht="12.5">
      <c r="A1101" s="6">
        <v>1099</v>
      </c>
      <c r="B1101" s="6">
        <v>6001</v>
      </c>
      <c r="C1101" s="6">
        <v>1979</v>
      </c>
      <c r="D1101" s="7" t="s">
        <v>9</v>
      </c>
      <c r="E1101" s="7" t="s">
        <v>13</v>
      </c>
      <c r="F1101" s="6">
        <v>56775</v>
      </c>
      <c r="G1101" s="6">
        <v>0</v>
      </c>
      <c r="H1101" s="6">
        <v>1</v>
      </c>
      <c r="I1101" s="6">
        <f t="shared" si="17"/>
        <v>1</v>
      </c>
      <c r="J1101" s="8">
        <v>41276</v>
      </c>
      <c r="K1101" s="6">
        <v>62</v>
      </c>
      <c r="L1101">
        <f>VLOOKUP(A1101,Marketing_df2!$A$1:$F$2241,3,FALSE)</f>
        <v>35</v>
      </c>
      <c r="M1101">
        <f>VLOOKUP(A1101,Marketing_df2!$A$1:$F$2241,4,FALSE)</f>
        <v>35</v>
      </c>
      <c r="N1101">
        <f>VLOOKUP(A1101,Marketing_df2!$A$1:$F$2241,5,FALSE)</f>
        <v>5</v>
      </c>
      <c r="O1101">
        <f>VLOOKUP(A1101,Marketing_df2!$A$1:$F$2241,6,FALSE)</f>
        <v>10</v>
      </c>
    </row>
    <row r="1102" spans="1:15" ht="12.5">
      <c r="A1102" s="6">
        <v>1100</v>
      </c>
      <c r="B1102" s="6">
        <v>5538</v>
      </c>
      <c r="C1102" s="6">
        <v>1975</v>
      </c>
      <c r="D1102" s="7" t="s">
        <v>9</v>
      </c>
      <c r="E1102" s="7" t="s">
        <v>15</v>
      </c>
      <c r="F1102" s="6">
        <v>83829</v>
      </c>
      <c r="G1102" s="6">
        <v>0</v>
      </c>
      <c r="H1102" s="6">
        <v>0</v>
      </c>
      <c r="I1102" s="6">
        <f t="shared" si="17"/>
        <v>0</v>
      </c>
      <c r="J1102" s="8">
        <v>41555</v>
      </c>
      <c r="K1102" s="6">
        <v>78</v>
      </c>
      <c r="L1102">
        <f>VLOOKUP(A1102,Marketing_df2!$A$1:$F$2241,3,FALSE)</f>
        <v>161</v>
      </c>
      <c r="M1102">
        <f>VLOOKUP(A1102,Marketing_df2!$A$1:$F$2241,4,FALSE)</f>
        <v>161</v>
      </c>
      <c r="N1102">
        <f>VLOOKUP(A1102,Marketing_df2!$A$1:$F$2241,5,FALSE)</f>
        <v>4</v>
      </c>
      <c r="O1102">
        <f>VLOOKUP(A1102,Marketing_df2!$A$1:$F$2241,6,FALSE)</f>
        <v>6</v>
      </c>
    </row>
    <row r="1103" spans="1:15" ht="12.5">
      <c r="A1103" s="6">
        <v>1101</v>
      </c>
      <c r="B1103" s="6">
        <v>10552</v>
      </c>
      <c r="C1103" s="6">
        <v>1979</v>
      </c>
      <c r="D1103" s="7" t="s">
        <v>17</v>
      </c>
      <c r="E1103" s="7" t="s">
        <v>13</v>
      </c>
      <c r="F1103" s="6">
        <v>54210</v>
      </c>
      <c r="G1103" s="6">
        <v>0</v>
      </c>
      <c r="H1103" s="6">
        <v>1</v>
      </c>
      <c r="I1103" s="6">
        <f t="shared" si="17"/>
        <v>1</v>
      </c>
      <c r="J1103" s="8">
        <v>41414</v>
      </c>
      <c r="K1103" s="6">
        <v>18</v>
      </c>
      <c r="L1103">
        <f>VLOOKUP(A1103,Marketing_df2!$A$1:$F$2241,3,FALSE)</f>
        <v>54</v>
      </c>
      <c r="M1103">
        <f>VLOOKUP(A1103,Marketing_df2!$A$1:$F$2241,4,FALSE)</f>
        <v>9</v>
      </c>
      <c r="N1103">
        <f>VLOOKUP(A1103,Marketing_df2!$A$1:$F$2241,5,FALSE)</f>
        <v>4</v>
      </c>
      <c r="O1103">
        <f>VLOOKUP(A1103,Marketing_df2!$A$1:$F$2241,6,FALSE)</f>
        <v>7</v>
      </c>
    </row>
    <row r="1104" spans="1:15" ht="12.5">
      <c r="A1104" s="6">
        <v>1102</v>
      </c>
      <c r="B1104" s="6">
        <v>1545</v>
      </c>
      <c r="C1104" s="6">
        <v>1986</v>
      </c>
      <c r="D1104" s="7" t="s">
        <v>9</v>
      </c>
      <c r="E1104" s="7" t="s">
        <v>13</v>
      </c>
      <c r="F1104" s="6">
        <v>38508</v>
      </c>
      <c r="G1104" s="6">
        <v>1</v>
      </c>
      <c r="H1104" s="6">
        <v>0</v>
      </c>
      <c r="I1104" s="6">
        <f t="shared" si="17"/>
        <v>1</v>
      </c>
      <c r="J1104" s="8">
        <v>41488</v>
      </c>
      <c r="K1104" s="6">
        <v>95</v>
      </c>
      <c r="L1104">
        <f>VLOOKUP(A1104,Marketing_df2!$A$1:$F$2241,3,FALSE)</f>
        <v>19</v>
      </c>
      <c r="M1104">
        <f>VLOOKUP(A1104,Marketing_df2!$A$1:$F$2241,4,FALSE)</f>
        <v>19</v>
      </c>
      <c r="N1104">
        <f>VLOOKUP(A1104,Marketing_df2!$A$1:$F$2241,5,FALSE)</f>
        <v>7</v>
      </c>
      <c r="O1104">
        <f>VLOOKUP(A1104,Marketing_df2!$A$1:$F$2241,6,FALSE)</f>
        <v>5</v>
      </c>
    </row>
    <row r="1105" spans="1:15" ht="12.5">
      <c r="A1105" s="6">
        <v>1103</v>
      </c>
      <c r="B1105" s="6">
        <v>7409</v>
      </c>
      <c r="C1105" s="6">
        <v>1970</v>
      </c>
      <c r="D1105" s="7" t="s">
        <v>9</v>
      </c>
      <c r="E1105" s="7" t="s">
        <v>11</v>
      </c>
      <c r="F1105" s="6">
        <v>53187</v>
      </c>
      <c r="G1105" s="6">
        <v>1</v>
      </c>
      <c r="H1105" s="6">
        <v>0</v>
      </c>
      <c r="I1105" s="6">
        <f t="shared" si="17"/>
        <v>1</v>
      </c>
      <c r="J1105" s="9">
        <v>41573</v>
      </c>
      <c r="K1105" s="6">
        <v>66</v>
      </c>
      <c r="L1105">
        <f>VLOOKUP(A1105,Marketing_df2!$A$1:$F$2241,3,FALSE)</f>
        <v>2</v>
      </c>
      <c r="M1105">
        <f>VLOOKUP(A1105,Marketing_df2!$A$1:$F$2241,4,FALSE)</f>
        <v>7</v>
      </c>
      <c r="N1105">
        <f>VLOOKUP(A1105,Marketing_df2!$A$1:$F$2241,5,FALSE)</f>
        <v>4</v>
      </c>
      <c r="O1105">
        <f>VLOOKUP(A1105,Marketing_df2!$A$1:$F$2241,6,FALSE)</f>
        <v>6</v>
      </c>
    </row>
    <row r="1106" spans="1:15" ht="12.5">
      <c r="A1106" s="6">
        <v>1104</v>
      </c>
      <c r="B1106" s="6">
        <v>4444</v>
      </c>
      <c r="C1106" s="6">
        <v>1972</v>
      </c>
      <c r="D1106" s="7" t="s">
        <v>9</v>
      </c>
      <c r="E1106" s="7" t="s">
        <v>13</v>
      </c>
      <c r="F1106" s="6">
        <v>30023</v>
      </c>
      <c r="G1106" s="6">
        <v>1</v>
      </c>
      <c r="H1106" s="6">
        <v>0</v>
      </c>
      <c r="I1106" s="6">
        <f t="shared" si="17"/>
        <v>1</v>
      </c>
      <c r="J1106" s="8">
        <v>41722</v>
      </c>
      <c r="K1106" s="6">
        <v>28</v>
      </c>
      <c r="L1106">
        <f>VLOOKUP(A1106,Marketing_df2!$A$1:$F$2241,3,FALSE)</f>
        <v>0</v>
      </c>
      <c r="M1106">
        <f>VLOOKUP(A1106,Marketing_df2!$A$1:$F$2241,4,FALSE)</f>
        <v>6</v>
      </c>
      <c r="N1106">
        <f>VLOOKUP(A1106,Marketing_df2!$A$1:$F$2241,5,FALSE)</f>
        <v>2</v>
      </c>
      <c r="O1106">
        <f>VLOOKUP(A1106,Marketing_df2!$A$1:$F$2241,6,FALSE)</f>
        <v>3</v>
      </c>
    </row>
    <row r="1107" spans="1:15" ht="12.5">
      <c r="A1107" s="6">
        <v>1105</v>
      </c>
      <c r="B1107" s="6">
        <v>146</v>
      </c>
      <c r="C1107" s="6">
        <v>1960</v>
      </c>
      <c r="D1107" s="7" t="s">
        <v>12</v>
      </c>
      <c r="E1107" s="7" t="s">
        <v>10</v>
      </c>
      <c r="F1107" s="6">
        <v>76045</v>
      </c>
      <c r="G1107" s="6">
        <v>0</v>
      </c>
      <c r="H1107" s="6">
        <v>0</v>
      </c>
      <c r="I1107" s="6">
        <f t="shared" si="17"/>
        <v>0</v>
      </c>
      <c r="J1107" s="9">
        <v>41593</v>
      </c>
      <c r="K1107" s="6">
        <v>78</v>
      </c>
      <c r="L1107">
        <f>VLOOKUP(A1107,Marketing_df2!$A$1:$F$2241,3,FALSE)</f>
        <v>53</v>
      </c>
      <c r="M1107">
        <f>VLOOKUP(A1107,Marketing_df2!$A$1:$F$2241,4,FALSE)</f>
        <v>93</v>
      </c>
      <c r="N1107">
        <f>VLOOKUP(A1107,Marketing_df2!$A$1:$F$2241,5,FALSE)</f>
        <v>4</v>
      </c>
      <c r="O1107">
        <f>VLOOKUP(A1107,Marketing_df2!$A$1:$F$2241,6,FALSE)</f>
        <v>11</v>
      </c>
    </row>
    <row r="1108" spans="1:15" ht="12.5">
      <c r="A1108" s="6">
        <v>1106</v>
      </c>
      <c r="B1108" s="6">
        <v>6271</v>
      </c>
      <c r="C1108" s="6">
        <v>1952</v>
      </c>
      <c r="D1108" s="7" t="s">
        <v>12</v>
      </c>
      <c r="E1108" s="7" t="s">
        <v>13</v>
      </c>
      <c r="F1108" s="6">
        <v>50870</v>
      </c>
      <c r="G1108" s="6">
        <v>0</v>
      </c>
      <c r="H1108" s="6">
        <v>1</v>
      </c>
      <c r="I1108" s="6">
        <f t="shared" si="17"/>
        <v>1</v>
      </c>
      <c r="J1108" s="8">
        <v>41809</v>
      </c>
      <c r="K1108" s="6">
        <v>13</v>
      </c>
      <c r="L1108">
        <f>VLOOKUP(A1108,Marketing_df2!$A$1:$F$2241,3,FALSE)</f>
        <v>0</v>
      </c>
      <c r="M1108">
        <f>VLOOKUP(A1108,Marketing_df2!$A$1:$F$2241,4,FALSE)</f>
        <v>0</v>
      </c>
      <c r="N1108">
        <f>VLOOKUP(A1108,Marketing_df2!$A$1:$F$2241,5,FALSE)</f>
        <v>2</v>
      </c>
      <c r="O1108">
        <f>VLOOKUP(A1108,Marketing_df2!$A$1:$F$2241,6,FALSE)</f>
        <v>3</v>
      </c>
    </row>
    <row r="1109" spans="1:15" ht="12.5">
      <c r="A1109" s="6">
        <v>1107</v>
      </c>
      <c r="B1109" s="6">
        <v>10065</v>
      </c>
      <c r="C1109" s="6">
        <v>1970</v>
      </c>
      <c r="D1109" s="7" t="s">
        <v>17</v>
      </c>
      <c r="E1109" s="7" t="s">
        <v>13</v>
      </c>
      <c r="F1109" s="6">
        <v>15315</v>
      </c>
      <c r="G1109" s="6">
        <v>0</v>
      </c>
      <c r="H1109" s="6">
        <v>0</v>
      </c>
      <c r="I1109" s="6">
        <f t="shared" si="17"/>
        <v>0</v>
      </c>
      <c r="J1109" s="8">
        <v>41489</v>
      </c>
      <c r="K1109" s="6">
        <v>27</v>
      </c>
      <c r="L1109">
        <f>VLOOKUP(A1109,Marketing_df2!$A$1:$F$2241,3,FALSE)</f>
        <v>4</v>
      </c>
      <c r="M1109">
        <f>VLOOKUP(A1109,Marketing_df2!$A$1:$F$2241,4,FALSE)</f>
        <v>8</v>
      </c>
      <c r="N1109">
        <f>VLOOKUP(A1109,Marketing_df2!$A$1:$F$2241,5,FALSE)</f>
        <v>2</v>
      </c>
      <c r="O1109">
        <f>VLOOKUP(A1109,Marketing_df2!$A$1:$F$2241,6,FALSE)</f>
        <v>4</v>
      </c>
    </row>
    <row r="1110" spans="1:15" ht="12.5">
      <c r="A1110" s="6">
        <v>1108</v>
      </c>
      <c r="B1110" s="6">
        <v>4741</v>
      </c>
      <c r="C1110" s="6">
        <v>1974</v>
      </c>
      <c r="D1110" s="7" t="s">
        <v>17</v>
      </c>
      <c r="E1110" s="7" t="s">
        <v>13</v>
      </c>
      <c r="F1110" s="6">
        <v>65463</v>
      </c>
      <c r="G1110" s="6">
        <v>1</v>
      </c>
      <c r="H1110" s="6">
        <v>0</v>
      </c>
      <c r="I1110" s="6">
        <f t="shared" si="17"/>
        <v>1</v>
      </c>
      <c r="J1110" s="8">
        <v>41669</v>
      </c>
      <c r="K1110" s="6">
        <v>17</v>
      </c>
      <c r="L1110">
        <f>VLOOKUP(A1110,Marketing_df2!$A$1:$F$2241,3,FALSE)</f>
        <v>32</v>
      </c>
      <c r="M1110">
        <f>VLOOKUP(A1110,Marketing_df2!$A$1:$F$2241,4,FALSE)</f>
        <v>32</v>
      </c>
      <c r="N1110">
        <f>VLOOKUP(A1110,Marketing_df2!$A$1:$F$2241,5,FALSE)</f>
        <v>6</v>
      </c>
      <c r="O1110">
        <f>VLOOKUP(A1110,Marketing_df2!$A$1:$F$2241,6,FALSE)</f>
        <v>9</v>
      </c>
    </row>
    <row r="1111" spans="1:15" ht="12.5">
      <c r="A1111" s="6">
        <v>1109</v>
      </c>
      <c r="B1111" s="6">
        <v>246</v>
      </c>
      <c r="C1111" s="6">
        <v>1965</v>
      </c>
      <c r="D1111" s="7" t="s">
        <v>9</v>
      </c>
      <c r="E1111" s="7" t="s">
        <v>13</v>
      </c>
      <c r="F1111" s="6">
        <v>66480</v>
      </c>
      <c r="G1111" s="6">
        <v>1</v>
      </c>
      <c r="H1111" s="6">
        <v>1</v>
      </c>
      <c r="I1111" s="6">
        <f t="shared" si="17"/>
        <v>2</v>
      </c>
      <c r="J1111" s="8">
        <v>41790</v>
      </c>
      <c r="K1111" s="6">
        <v>71</v>
      </c>
      <c r="L1111">
        <f>VLOOKUP(A1111,Marketing_df2!$A$1:$F$2241,3,FALSE)</f>
        <v>9</v>
      </c>
      <c r="M1111">
        <f>VLOOKUP(A1111,Marketing_df2!$A$1:$F$2241,4,FALSE)</f>
        <v>21</v>
      </c>
      <c r="N1111">
        <f>VLOOKUP(A1111,Marketing_df2!$A$1:$F$2241,5,FALSE)</f>
        <v>4</v>
      </c>
      <c r="O1111">
        <f>VLOOKUP(A1111,Marketing_df2!$A$1:$F$2241,6,FALSE)</f>
        <v>7</v>
      </c>
    </row>
    <row r="1112" spans="1:15" ht="12.5">
      <c r="A1112" s="6">
        <v>1110</v>
      </c>
      <c r="B1112" s="6">
        <v>375</v>
      </c>
      <c r="C1112" s="6">
        <v>1954</v>
      </c>
      <c r="D1112" s="7" t="s">
        <v>9</v>
      </c>
      <c r="E1112" s="7" t="s">
        <v>15</v>
      </c>
      <c r="F1112" s="6">
        <v>76773</v>
      </c>
      <c r="G1112" s="6">
        <v>0</v>
      </c>
      <c r="H1112" s="6">
        <v>0</v>
      </c>
      <c r="I1112" s="6">
        <f t="shared" si="17"/>
        <v>0</v>
      </c>
      <c r="J1112" s="8">
        <v>41330</v>
      </c>
      <c r="K1112" s="6">
        <v>79</v>
      </c>
      <c r="L1112">
        <f>VLOOKUP(A1112,Marketing_df2!$A$1:$F$2241,3,FALSE)</f>
        <v>56</v>
      </c>
      <c r="M1112">
        <f>VLOOKUP(A1112,Marketing_df2!$A$1:$F$2241,4,FALSE)</f>
        <v>33</v>
      </c>
      <c r="N1112">
        <f>VLOOKUP(A1112,Marketing_df2!$A$1:$F$2241,5,FALSE)</f>
        <v>2</v>
      </c>
      <c r="O1112">
        <f>VLOOKUP(A1112,Marketing_df2!$A$1:$F$2241,6,FALSE)</f>
        <v>11</v>
      </c>
    </row>
    <row r="1113" spans="1:15" ht="12.5">
      <c r="A1113" s="6">
        <v>1111</v>
      </c>
      <c r="B1113" s="6">
        <v>1524</v>
      </c>
      <c r="C1113" s="6">
        <v>1983</v>
      </c>
      <c r="D1113" s="7" t="s">
        <v>17</v>
      </c>
      <c r="E1113" s="7" t="s">
        <v>10</v>
      </c>
      <c r="F1113" s="6">
        <v>81698</v>
      </c>
      <c r="G1113" s="6">
        <v>0</v>
      </c>
      <c r="H1113" s="6">
        <v>0</v>
      </c>
      <c r="I1113" s="6">
        <f t="shared" si="17"/>
        <v>0</v>
      </c>
      <c r="J1113" s="8">
        <v>41334</v>
      </c>
      <c r="K1113" s="6">
        <v>1</v>
      </c>
      <c r="L1113">
        <f>VLOOKUP(A1113,Marketing_df2!$A$1:$F$2241,3,FALSE)</f>
        <v>45</v>
      </c>
      <c r="M1113">
        <f>VLOOKUP(A1113,Marketing_df2!$A$1:$F$2241,4,FALSE)</f>
        <v>160</v>
      </c>
      <c r="N1113">
        <f>VLOOKUP(A1113,Marketing_df2!$A$1:$F$2241,5,FALSE)</f>
        <v>8</v>
      </c>
      <c r="O1113">
        <f>VLOOKUP(A1113,Marketing_df2!$A$1:$F$2241,6,FALSE)</f>
        <v>5</v>
      </c>
    </row>
    <row r="1114" spans="1:15" ht="12.5">
      <c r="A1114" s="6">
        <v>1112</v>
      </c>
      <c r="B1114" s="6">
        <v>10022</v>
      </c>
      <c r="C1114" s="6">
        <v>1973</v>
      </c>
      <c r="D1114" s="7" t="s">
        <v>12</v>
      </c>
      <c r="E1114" s="7" t="s">
        <v>10</v>
      </c>
      <c r="F1114" s="6">
        <v>54466</v>
      </c>
      <c r="G1114" s="6">
        <v>1</v>
      </c>
      <c r="H1114" s="6">
        <v>1</v>
      </c>
      <c r="I1114" s="6">
        <f t="shared" si="17"/>
        <v>2</v>
      </c>
      <c r="J1114" s="8">
        <v>41679</v>
      </c>
      <c r="K1114" s="6">
        <v>78</v>
      </c>
      <c r="L1114">
        <f>VLOOKUP(A1114,Marketing_df2!$A$1:$F$2241,3,FALSE)</f>
        <v>0</v>
      </c>
      <c r="M1114">
        <f>VLOOKUP(A1114,Marketing_df2!$A$1:$F$2241,4,FALSE)</f>
        <v>0</v>
      </c>
      <c r="N1114">
        <f>VLOOKUP(A1114,Marketing_df2!$A$1:$F$2241,5,FALSE)</f>
        <v>1</v>
      </c>
      <c r="O1114">
        <f>VLOOKUP(A1114,Marketing_df2!$A$1:$F$2241,6,FALSE)</f>
        <v>2</v>
      </c>
    </row>
    <row r="1115" spans="1:15" ht="12.5">
      <c r="A1115" s="6">
        <v>1113</v>
      </c>
      <c r="B1115" s="6">
        <v>7451</v>
      </c>
      <c r="C1115" s="6">
        <v>1960</v>
      </c>
      <c r="D1115" s="7" t="s">
        <v>14</v>
      </c>
      <c r="E1115" s="7" t="s">
        <v>10</v>
      </c>
      <c r="F1115" s="6">
        <v>98777</v>
      </c>
      <c r="G1115" s="6">
        <v>0</v>
      </c>
      <c r="H1115" s="6">
        <v>0</v>
      </c>
      <c r="I1115" s="6">
        <f t="shared" si="17"/>
        <v>0</v>
      </c>
      <c r="J1115" s="8">
        <v>41687</v>
      </c>
      <c r="K1115" s="6">
        <v>23</v>
      </c>
      <c r="L1115">
        <f>VLOOKUP(A1115,Marketing_df2!$A$1:$F$2241,3,FALSE)</f>
        <v>19</v>
      </c>
      <c r="M1115">
        <f>VLOOKUP(A1115,Marketing_df2!$A$1:$F$2241,4,FALSE)</f>
        <v>115</v>
      </c>
      <c r="N1115">
        <f>VLOOKUP(A1115,Marketing_df2!$A$1:$F$2241,5,FALSE)</f>
        <v>4</v>
      </c>
      <c r="O1115">
        <f>VLOOKUP(A1115,Marketing_df2!$A$1:$F$2241,6,FALSE)</f>
        <v>9</v>
      </c>
    </row>
    <row r="1116" spans="1:15" ht="12.5">
      <c r="A1116" s="6">
        <v>1114</v>
      </c>
      <c r="B1116" s="6">
        <v>11010</v>
      </c>
      <c r="C1116" s="6">
        <v>1984</v>
      </c>
      <c r="D1116" s="7" t="s">
        <v>12</v>
      </c>
      <c r="E1116" s="7" t="s">
        <v>10</v>
      </c>
      <c r="F1116" s="6">
        <v>16269</v>
      </c>
      <c r="G1116" s="6">
        <v>1</v>
      </c>
      <c r="H1116" s="6">
        <v>0</v>
      </c>
      <c r="I1116" s="6">
        <f t="shared" si="17"/>
        <v>1</v>
      </c>
      <c r="J1116" s="8">
        <v>41516</v>
      </c>
      <c r="K1116" s="6">
        <v>75</v>
      </c>
      <c r="L1116">
        <f>VLOOKUP(A1116,Marketing_df2!$A$1:$F$2241,3,FALSE)</f>
        <v>3</v>
      </c>
      <c r="M1116">
        <f>VLOOKUP(A1116,Marketing_df2!$A$1:$F$2241,4,FALSE)</f>
        <v>1</v>
      </c>
      <c r="N1116">
        <f>VLOOKUP(A1116,Marketing_df2!$A$1:$F$2241,5,FALSE)</f>
        <v>3</v>
      </c>
      <c r="O1116">
        <f>VLOOKUP(A1116,Marketing_df2!$A$1:$F$2241,6,FALSE)</f>
        <v>3</v>
      </c>
    </row>
    <row r="1117" spans="1:15" ht="12.5">
      <c r="A1117" s="6">
        <v>1115</v>
      </c>
      <c r="B1117" s="6">
        <v>4356</v>
      </c>
      <c r="C1117" s="6">
        <v>1971</v>
      </c>
      <c r="D1117" s="7" t="s">
        <v>9</v>
      </c>
      <c r="E1117" s="7" t="s">
        <v>11</v>
      </c>
      <c r="F1117" s="6">
        <v>71819</v>
      </c>
      <c r="G1117" s="6">
        <v>0</v>
      </c>
      <c r="H1117" s="6">
        <v>1</v>
      </c>
      <c r="I1117" s="6">
        <f t="shared" si="17"/>
        <v>1</v>
      </c>
      <c r="J1117" s="8">
        <v>41514</v>
      </c>
      <c r="K1117" s="6">
        <v>70</v>
      </c>
      <c r="L1117">
        <f>VLOOKUP(A1117,Marketing_df2!$A$1:$F$2241,3,FALSE)</f>
        <v>28</v>
      </c>
      <c r="M1117">
        <f>VLOOKUP(A1117,Marketing_df2!$A$1:$F$2241,4,FALSE)</f>
        <v>14</v>
      </c>
      <c r="N1117">
        <f>VLOOKUP(A1117,Marketing_df2!$A$1:$F$2241,5,FALSE)</f>
        <v>3</v>
      </c>
      <c r="O1117">
        <f>VLOOKUP(A1117,Marketing_df2!$A$1:$F$2241,6,FALSE)</f>
        <v>5</v>
      </c>
    </row>
    <row r="1118" spans="1:15" ht="12.5">
      <c r="A1118" s="6">
        <v>1116</v>
      </c>
      <c r="B1118" s="6">
        <v>3885</v>
      </c>
      <c r="C1118" s="6">
        <v>1983</v>
      </c>
      <c r="D1118" s="7" t="s">
        <v>12</v>
      </c>
      <c r="E1118" s="7" t="s">
        <v>13</v>
      </c>
      <c r="F1118" s="6">
        <v>33569</v>
      </c>
      <c r="G1118" s="6">
        <v>1</v>
      </c>
      <c r="H1118" s="6">
        <v>0</v>
      </c>
      <c r="I1118" s="6">
        <f t="shared" si="17"/>
        <v>1</v>
      </c>
      <c r="J1118" s="9">
        <v>41563</v>
      </c>
      <c r="K1118" s="6">
        <v>10</v>
      </c>
      <c r="L1118">
        <f>VLOOKUP(A1118,Marketing_df2!$A$1:$F$2241,3,FALSE)</f>
        <v>2</v>
      </c>
      <c r="M1118">
        <f>VLOOKUP(A1118,Marketing_df2!$A$1:$F$2241,4,FALSE)</f>
        <v>0</v>
      </c>
      <c r="N1118">
        <f>VLOOKUP(A1118,Marketing_df2!$A$1:$F$2241,5,FALSE)</f>
        <v>1</v>
      </c>
      <c r="O1118">
        <f>VLOOKUP(A1118,Marketing_df2!$A$1:$F$2241,6,FALSE)</f>
        <v>2</v>
      </c>
    </row>
    <row r="1119" spans="1:15" ht="12.5">
      <c r="A1119" s="6">
        <v>1117</v>
      </c>
      <c r="B1119" s="6">
        <v>1175</v>
      </c>
      <c r="C1119" s="6">
        <v>1983</v>
      </c>
      <c r="D1119" s="7" t="s">
        <v>14</v>
      </c>
      <c r="E1119" s="7" t="s">
        <v>13</v>
      </c>
      <c r="F1119" s="6">
        <v>36262</v>
      </c>
      <c r="G1119" s="6">
        <v>0</v>
      </c>
      <c r="H1119" s="6">
        <v>0</v>
      </c>
      <c r="I1119" s="6">
        <f t="shared" si="17"/>
        <v>0</v>
      </c>
      <c r="J1119" s="8">
        <v>41537</v>
      </c>
      <c r="K1119" s="6">
        <v>24</v>
      </c>
      <c r="L1119">
        <f>VLOOKUP(A1119,Marketing_df2!$A$1:$F$2241,3,FALSE)</f>
        <v>39</v>
      </c>
      <c r="M1119">
        <f>VLOOKUP(A1119,Marketing_df2!$A$1:$F$2241,4,FALSE)</f>
        <v>28</v>
      </c>
      <c r="N1119">
        <f>VLOOKUP(A1119,Marketing_df2!$A$1:$F$2241,5,FALSE)</f>
        <v>3</v>
      </c>
      <c r="O1119">
        <f>VLOOKUP(A1119,Marketing_df2!$A$1:$F$2241,6,FALSE)</f>
        <v>3</v>
      </c>
    </row>
    <row r="1120" spans="1:15" ht="12.5">
      <c r="A1120" s="6">
        <v>1118</v>
      </c>
      <c r="B1120" s="6">
        <v>880</v>
      </c>
      <c r="C1120" s="6">
        <v>1966</v>
      </c>
      <c r="D1120" s="7" t="s">
        <v>16</v>
      </c>
      <c r="E1120" s="7" t="s">
        <v>11</v>
      </c>
      <c r="F1120" s="6">
        <v>22634</v>
      </c>
      <c r="G1120" s="6">
        <v>0</v>
      </c>
      <c r="H1120" s="6">
        <v>0</v>
      </c>
      <c r="I1120" s="6">
        <f t="shared" si="17"/>
        <v>0</v>
      </c>
      <c r="J1120" s="8">
        <v>41290</v>
      </c>
      <c r="K1120" s="6">
        <v>47</v>
      </c>
      <c r="L1120">
        <f>VLOOKUP(A1120,Marketing_df2!$A$1:$F$2241,3,FALSE)</f>
        <v>23</v>
      </c>
      <c r="M1120">
        <f>VLOOKUP(A1120,Marketing_df2!$A$1:$F$2241,4,FALSE)</f>
        <v>6</v>
      </c>
      <c r="N1120">
        <f>VLOOKUP(A1120,Marketing_df2!$A$1:$F$2241,5,FALSE)</f>
        <v>2</v>
      </c>
      <c r="O1120">
        <f>VLOOKUP(A1120,Marketing_df2!$A$1:$F$2241,6,FALSE)</f>
        <v>2</v>
      </c>
    </row>
    <row r="1121" spans="1:15" ht="12.5">
      <c r="A1121" s="6">
        <v>1119</v>
      </c>
      <c r="B1121" s="6">
        <v>2320</v>
      </c>
      <c r="C1121" s="6">
        <v>1978</v>
      </c>
      <c r="D1121" s="7" t="s">
        <v>17</v>
      </c>
      <c r="E1121" s="7" t="s">
        <v>13</v>
      </c>
      <c r="F1121" s="6">
        <v>47025</v>
      </c>
      <c r="G1121" s="6">
        <v>0</v>
      </c>
      <c r="H1121" s="6">
        <v>1</v>
      </c>
      <c r="I1121" s="6">
        <f t="shared" si="17"/>
        <v>1</v>
      </c>
      <c r="J1121" s="8">
        <v>41529</v>
      </c>
      <c r="K1121" s="6">
        <v>98</v>
      </c>
      <c r="L1121">
        <f>VLOOKUP(A1121,Marketing_df2!$A$1:$F$2241,3,FALSE)</f>
        <v>11</v>
      </c>
      <c r="M1121">
        <f>VLOOKUP(A1121,Marketing_df2!$A$1:$F$2241,4,FALSE)</f>
        <v>5</v>
      </c>
      <c r="N1121">
        <f>VLOOKUP(A1121,Marketing_df2!$A$1:$F$2241,5,FALSE)</f>
        <v>11</v>
      </c>
      <c r="O1121">
        <f>VLOOKUP(A1121,Marketing_df2!$A$1:$F$2241,6,FALSE)</f>
        <v>6</v>
      </c>
    </row>
    <row r="1122" spans="1:15" ht="12.5">
      <c r="A1122" s="6">
        <v>1120</v>
      </c>
      <c r="B1122" s="6">
        <v>850</v>
      </c>
      <c r="C1122" s="6">
        <v>1968</v>
      </c>
      <c r="D1122" s="7" t="s">
        <v>9</v>
      </c>
      <c r="E1122" s="7" t="s">
        <v>10</v>
      </c>
      <c r="F1122" s="6">
        <v>70566</v>
      </c>
      <c r="G1122" s="6">
        <v>0</v>
      </c>
      <c r="H1122" s="6">
        <v>1</v>
      </c>
      <c r="I1122" s="6">
        <f t="shared" si="17"/>
        <v>1</v>
      </c>
      <c r="J1122" s="8">
        <v>41553</v>
      </c>
      <c r="K1122" s="6">
        <v>4</v>
      </c>
      <c r="L1122">
        <f>VLOOKUP(A1122,Marketing_df2!$A$1:$F$2241,3,FALSE)</f>
        <v>28</v>
      </c>
      <c r="M1122">
        <f>VLOOKUP(A1122,Marketing_df2!$A$1:$F$2241,4,FALSE)</f>
        <v>28</v>
      </c>
      <c r="N1122">
        <f>VLOOKUP(A1122,Marketing_df2!$A$1:$F$2241,5,FALSE)</f>
        <v>6</v>
      </c>
      <c r="O1122">
        <f>VLOOKUP(A1122,Marketing_df2!$A$1:$F$2241,6,FALSE)</f>
        <v>9</v>
      </c>
    </row>
    <row r="1123" spans="1:15" ht="12.5">
      <c r="A1123" s="6">
        <v>1121</v>
      </c>
      <c r="B1123" s="6">
        <v>4713</v>
      </c>
      <c r="C1123" s="6">
        <v>1979</v>
      </c>
      <c r="D1123" s="7" t="s">
        <v>12</v>
      </c>
      <c r="E1123" s="7" t="s">
        <v>13</v>
      </c>
      <c r="F1123" s="6">
        <v>31605</v>
      </c>
      <c r="G1123" s="6">
        <v>1</v>
      </c>
      <c r="H1123" s="6">
        <v>0</v>
      </c>
      <c r="I1123" s="6">
        <f t="shared" si="17"/>
        <v>1</v>
      </c>
      <c r="J1123" s="9">
        <v>41235</v>
      </c>
      <c r="K1123" s="6">
        <v>15</v>
      </c>
      <c r="L1123">
        <f>VLOOKUP(A1123,Marketing_df2!$A$1:$F$2241,3,FALSE)</f>
        <v>0</v>
      </c>
      <c r="M1123">
        <f>VLOOKUP(A1123,Marketing_df2!$A$1:$F$2241,4,FALSE)</f>
        <v>1</v>
      </c>
      <c r="N1123">
        <f>VLOOKUP(A1123,Marketing_df2!$A$1:$F$2241,5,FALSE)</f>
        <v>2</v>
      </c>
      <c r="O1123">
        <f>VLOOKUP(A1123,Marketing_df2!$A$1:$F$2241,6,FALSE)</f>
        <v>4</v>
      </c>
    </row>
    <row r="1124" spans="1:15" ht="12.5">
      <c r="A1124" s="6">
        <v>1122</v>
      </c>
      <c r="B1124" s="6">
        <v>675</v>
      </c>
      <c r="C1124" s="6">
        <v>1973</v>
      </c>
      <c r="D1124" s="7" t="s">
        <v>14</v>
      </c>
      <c r="E1124" s="7" t="s">
        <v>15</v>
      </c>
      <c r="F1124" s="6">
        <v>52034</v>
      </c>
      <c r="G1124" s="6">
        <v>1</v>
      </c>
      <c r="H1124" s="6">
        <v>1</v>
      </c>
      <c r="I1124" s="6">
        <f t="shared" si="17"/>
        <v>2</v>
      </c>
      <c r="J1124" s="8">
        <v>41411</v>
      </c>
      <c r="K1124" s="6">
        <v>67</v>
      </c>
      <c r="L1124">
        <f>VLOOKUP(A1124,Marketing_df2!$A$1:$F$2241,3,FALSE)</f>
        <v>0</v>
      </c>
      <c r="M1124">
        <f>VLOOKUP(A1124,Marketing_df2!$A$1:$F$2241,4,FALSE)</f>
        <v>13</v>
      </c>
      <c r="N1124">
        <f>VLOOKUP(A1124,Marketing_df2!$A$1:$F$2241,5,FALSE)</f>
        <v>4</v>
      </c>
      <c r="O1124">
        <f>VLOOKUP(A1124,Marketing_df2!$A$1:$F$2241,6,FALSE)</f>
        <v>5</v>
      </c>
    </row>
    <row r="1125" spans="1:15" ht="12.5">
      <c r="A1125" s="6">
        <v>1123</v>
      </c>
      <c r="B1125" s="6">
        <v>5025</v>
      </c>
      <c r="C1125" s="6">
        <v>1979</v>
      </c>
      <c r="D1125" s="7" t="s">
        <v>9</v>
      </c>
      <c r="E1125" s="7" t="s">
        <v>10</v>
      </c>
      <c r="F1125" s="6">
        <v>48526</v>
      </c>
      <c r="G1125" s="6">
        <v>1</v>
      </c>
      <c r="H1125" s="6">
        <v>0</v>
      </c>
      <c r="I1125" s="6">
        <f t="shared" si="17"/>
        <v>1</v>
      </c>
      <c r="J1125" s="9">
        <v>41632</v>
      </c>
      <c r="K1125" s="6">
        <v>32</v>
      </c>
      <c r="L1125">
        <f>VLOOKUP(A1125,Marketing_df2!$A$1:$F$2241,3,FALSE)</f>
        <v>17</v>
      </c>
      <c r="M1125">
        <f>VLOOKUP(A1125,Marketing_df2!$A$1:$F$2241,4,FALSE)</f>
        <v>20</v>
      </c>
      <c r="N1125">
        <f>VLOOKUP(A1125,Marketing_df2!$A$1:$F$2241,5,FALSE)</f>
        <v>2</v>
      </c>
      <c r="O1125">
        <f>VLOOKUP(A1125,Marketing_df2!$A$1:$F$2241,6,FALSE)</f>
        <v>4</v>
      </c>
    </row>
    <row r="1126" spans="1:15" ht="12.5">
      <c r="A1126" s="6">
        <v>1124</v>
      </c>
      <c r="B1126" s="6">
        <v>2308</v>
      </c>
      <c r="C1126" s="6">
        <v>1954</v>
      </c>
      <c r="D1126" s="7" t="s">
        <v>9</v>
      </c>
      <c r="E1126" s="7" t="s">
        <v>13</v>
      </c>
      <c r="F1126" s="6">
        <v>46734</v>
      </c>
      <c r="G1126" s="6">
        <v>0</v>
      </c>
      <c r="H1126" s="6">
        <v>1</v>
      </c>
      <c r="I1126" s="6">
        <f t="shared" si="17"/>
        <v>1</v>
      </c>
      <c r="J1126" s="9">
        <v>41231</v>
      </c>
      <c r="K1126" s="6">
        <v>40</v>
      </c>
      <c r="L1126">
        <f>VLOOKUP(A1126,Marketing_df2!$A$1:$F$2241,3,FALSE)</f>
        <v>5</v>
      </c>
      <c r="M1126">
        <f>VLOOKUP(A1126,Marketing_df2!$A$1:$F$2241,4,FALSE)</f>
        <v>23</v>
      </c>
      <c r="N1126">
        <f>VLOOKUP(A1126,Marketing_df2!$A$1:$F$2241,5,FALSE)</f>
        <v>6</v>
      </c>
      <c r="O1126">
        <f>VLOOKUP(A1126,Marketing_df2!$A$1:$F$2241,6,FALSE)</f>
        <v>5</v>
      </c>
    </row>
    <row r="1127" spans="1:15" ht="12.5">
      <c r="A1127" s="6">
        <v>1125</v>
      </c>
      <c r="B1127" s="6">
        <v>5995</v>
      </c>
      <c r="C1127" s="6">
        <v>1962</v>
      </c>
      <c r="D1127" s="7" t="s">
        <v>9</v>
      </c>
      <c r="E1127" s="7" t="s">
        <v>15</v>
      </c>
      <c r="F1127" s="6">
        <v>39552</v>
      </c>
      <c r="G1127" s="6">
        <v>1</v>
      </c>
      <c r="H1127" s="6">
        <v>1</v>
      </c>
      <c r="I1127" s="6">
        <f t="shared" si="17"/>
        <v>2</v>
      </c>
      <c r="J1127" s="9">
        <v>41261</v>
      </c>
      <c r="K1127" s="6">
        <v>54</v>
      </c>
      <c r="L1127">
        <f>VLOOKUP(A1127,Marketing_df2!$A$1:$F$2241,3,FALSE)</f>
        <v>3</v>
      </c>
      <c r="M1127">
        <f>VLOOKUP(A1127,Marketing_df2!$A$1:$F$2241,4,FALSE)</f>
        <v>24</v>
      </c>
      <c r="N1127">
        <f>VLOOKUP(A1127,Marketing_df2!$A$1:$F$2241,5,FALSE)</f>
        <v>6</v>
      </c>
      <c r="O1127">
        <f>VLOOKUP(A1127,Marketing_df2!$A$1:$F$2241,6,FALSE)</f>
        <v>5</v>
      </c>
    </row>
    <row r="1128" spans="1:15" ht="12.5">
      <c r="A1128" s="6">
        <v>1126</v>
      </c>
      <c r="B1128" s="6">
        <v>6749</v>
      </c>
      <c r="C1128" s="6">
        <v>1966</v>
      </c>
      <c r="D1128" s="7" t="s">
        <v>9</v>
      </c>
      <c r="E1128" s="7" t="s">
        <v>10</v>
      </c>
      <c r="F1128" s="6">
        <v>86358</v>
      </c>
      <c r="G1128" s="6">
        <v>1</v>
      </c>
      <c r="H1128" s="6">
        <v>1</v>
      </c>
      <c r="I1128" s="6">
        <f t="shared" si="17"/>
        <v>2</v>
      </c>
      <c r="J1128" s="8">
        <v>41129</v>
      </c>
      <c r="K1128" s="6">
        <v>78</v>
      </c>
      <c r="L1128">
        <f>VLOOKUP(A1128,Marketing_df2!$A$1:$F$2241,3,FALSE)</f>
        <v>47</v>
      </c>
      <c r="M1128">
        <f>VLOOKUP(A1128,Marketing_df2!$A$1:$F$2241,4,FALSE)</f>
        <v>47</v>
      </c>
      <c r="N1128">
        <f>VLOOKUP(A1128,Marketing_df2!$A$1:$F$2241,5,FALSE)</f>
        <v>5</v>
      </c>
      <c r="O1128">
        <f>VLOOKUP(A1128,Marketing_df2!$A$1:$F$2241,6,FALSE)</f>
        <v>6</v>
      </c>
    </row>
    <row r="1129" spans="1:15" ht="12.5">
      <c r="A1129" s="6">
        <v>1127</v>
      </c>
      <c r="B1129" s="6">
        <v>1010</v>
      </c>
      <c r="C1129" s="6">
        <v>1977</v>
      </c>
      <c r="D1129" s="7" t="s">
        <v>9</v>
      </c>
      <c r="E1129" s="7" t="s">
        <v>11</v>
      </c>
      <c r="F1129" s="6">
        <v>46931</v>
      </c>
      <c r="G1129" s="6">
        <v>2</v>
      </c>
      <c r="H1129" s="6">
        <v>1</v>
      </c>
      <c r="I1129" s="6">
        <f t="shared" si="17"/>
        <v>3</v>
      </c>
      <c r="J1129" s="8">
        <v>41753</v>
      </c>
      <c r="K1129" s="6">
        <v>94</v>
      </c>
      <c r="L1129">
        <f>VLOOKUP(A1129,Marketing_df2!$A$1:$F$2241,3,FALSE)</f>
        <v>0</v>
      </c>
      <c r="M1129">
        <f>VLOOKUP(A1129,Marketing_df2!$A$1:$F$2241,4,FALSE)</f>
        <v>1</v>
      </c>
      <c r="N1129">
        <f>VLOOKUP(A1129,Marketing_df2!$A$1:$F$2241,5,FALSE)</f>
        <v>1</v>
      </c>
      <c r="O1129">
        <f>VLOOKUP(A1129,Marketing_df2!$A$1:$F$2241,6,FALSE)</f>
        <v>3</v>
      </c>
    </row>
    <row r="1130" spans="1:15" ht="12.5">
      <c r="A1130" s="6">
        <v>1128</v>
      </c>
      <c r="B1130" s="6">
        <v>8977</v>
      </c>
      <c r="C1130" s="6">
        <v>1985</v>
      </c>
      <c r="D1130" s="7" t="s">
        <v>16</v>
      </c>
      <c r="E1130" s="7" t="s">
        <v>10</v>
      </c>
      <c r="F1130" s="6">
        <v>16581</v>
      </c>
      <c r="G1130" s="6">
        <v>0</v>
      </c>
      <c r="H1130" s="6">
        <v>0</v>
      </c>
      <c r="I1130" s="6">
        <f t="shared" si="17"/>
        <v>0</v>
      </c>
      <c r="J1130" s="8">
        <v>41286</v>
      </c>
      <c r="K1130" s="6">
        <v>51</v>
      </c>
      <c r="L1130">
        <f>VLOOKUP(A1130,Marketing_df2!$A$1:$F$2241,3,FALSE)</f>
        <v>3</v>
      </c>
      <c r="M1130">
        <f>VLOOKUP(A1130,Marketing_df2!$A$1:$F$2241,4,FALSE)</f>
        <v>3</v>
      </c>
      <c r="N1130">
        <f>VLOOKUP(A1130,Marketing_df2!$A$1:$F$2241,5,FALSE)</f>
        <v>0</v>
      </c>
      <c r="O1130">
        <f>VLOOKUP(A1130,Marketing_df2!$A$1:$F$2241,6,FALSE)</f>
        <v>3</v>
      </c>
    </row>
    <row r="1131" spans="1:15" ht="12.5">
      <c r="A1131" s="6">
        <v>1129</v>
      </c>
      <c r="B1131" s="6">
        <v>4756</v>
      </c>
      <c r="C1131" s="6">
        <v>1952</v>
      </c>
      <c r="D1131" s="7" t="s">
        <v>17</v>
      </c>
      <c r="E1131" s="7" t="s">
        <v>15</v>
      </c>
      <c r="F1131" s="6">
        <v>63998</v>
      </c>
      <c r="G1131" s="6">
        <v>0</v>
      </c>
      <c r="H1131" s="6">
        <v>0</v>
      </c>
      <c r="I1131" s="6">
        <f t="shared" si="17"/>
        <v>0</v>
      </c>
      <c r="J1131" s="9">
        <v>41628</v>
      </c>
      <c r="K1131" s="6">
        <v>42</v>
      </c>
      <c r="L1131">
        <f>VLOOKUP(A1131,Marketing_df2!$A$1:$F$2241,3,FALSE)</f>
        <v>29</v>
      </c>
      <c r="M1131">
        <f>VLOOKUP(A1131,Marketing_df2!$A$1:$F$2241,4,FALSE)</f>
        <v>33</v>
      </c>
      <c r="N1131">
        <f>VLOOKUP(A1131,Marketing_df2!$A$1:$F$2241,5,FALSE)</f>
        <v>7</v>
      </c>
      <c r="O1131">
        <f>VLOOKUP(A1131,Marketing_df2!$A$1:$F$2241,6,FALSE)</f>
        <v>11</v>
      </c>
    </row>
    <row r="1132" spans="1:15" ht="12.5">
      <c r="A1132" s="6">
        <v>1130</v>
      </c>
      <c r="B1132" s="6">
        <v>3412</v>
      </c>
      <c r="C1132" s="6">
        <v>1951</v>
      </c>
      <c r="D1132" s="7" t="s">
        <v>14</v>
      </c>
      <c r="E1132" s="7" t="s">
        <v>13</v>
      </c>
      <c r="F1132" s="6">
        <v>67381</v>
      </c>
      <c r="G1132" s="6">
        <v>0</v>
      </c>
      <c r="H1132" s="6">
        <v>1</v>
      </c>
      <c r="I1132" s="6">
        <f t="shared" si="17"/>
        <v>1</v>
      </c>
      <c r="J1132" s="8">
        <v>41289</v>
      </c>
      <c r="K1132" s="6">
        <v>67</v>
      </c>
      <c r="L1132">
        <f>VLOOKUP(A1132,Marketing_df2!$A$1:$F$2241,3,FALSE)</f>
        <v>8</v>
      </c>
      <c r="M1132">
        <f>VLOOKUP(A1132,Marketing_df2!$A$1:$F$2241,4,FALSE)</f>
        <v>0</v>
      </c>
      <c r="N1132">
        <f>VLOOKUP(A1132,Marketing_df2!$A$1:$F$2241,5,FALSE)</f>
        <v>2</v>
      </c>
      <c r="O1132">
        <f>VLOOKUP(A1132,Marketing_df2!$A$1:$F$2241,6,FALSE)</f>
        <v>9</v>
      </c>
    </row>
    <row r="1133" spans="1:15" ht="12.5">
      <c r="A1133" s="6">
        <v>1131</v>
      </c>
      <c r="B1133" s="6">
        <v>606</v>
      </c>
      <c r="C1133" s="6">
        <v>1967</v>
      </c>
      <c r="D1133" s="7" t="s">
        <v>9</v>
      </c>
      <c r="E1133" s="7" t="s">
        <v>10</v>
      </c>
      <c r="F1133" s="6">
        <v>25930</v>
      </c>
      <c r="G1133" s="6">
        <v>1</v>
      </c>
      <c r="H1133" s="6">
        <v>1</v>
      </c>
      <c r="I1133" s="6">
        <f t="shared" si="17"/>
        <v>2</v>
      </c>
      <c r="J1133" s="9">
        <v>41557</v>
      </c>
      <c r="K1133" s="6">
        <v>87</v>
      </c>
      <c r="L1133">
        <f>VLOOKUP(A1133,Marketing_df2!$A$1:$F$2241,3,FALSE)</f>
        <v>1</v>
      </c>
      <c r="M1133">
        <f>VLOOKUP(A1133,Marketing_df2!$A$1:$F$2241,4,FALSE)</f>
        <v>0</v>
      </c>
      <c r="N1133">
        <f>VLOOKUP(A1133,Marketing_df2!$A$1:$F$2241,5,FALSE)</f>
        <v>1</v>
      </c>
      <c r="O1133">
        <f>VLOOKUP(A1133,Marketing_df2!$A$1:$F$2241,6,FALSE)</f>
        <v>2</v>
      </c>
    </row>
    <row r="1134" spans="1:15" ht="12.5">
      <c r="A1134" s="6">
        <v>1132</v>
      </c>
      <c r="B1134" s="6">
        <v>5961</v>
      </c>
      <c r="C1134" s="6">
        <v>1978</v>
      </c>
      <c r="D1134" s="7" t="s">
        <v>9</v>
      </c>
      <c r="E1134" s="7" t="s">
        <v>13</v>
      </c>
      <c r="F1134" s="6">
        <v>42693</v>
      </c>
      <c r="G1134" s="6">
        <v>1</v>
      </c>
      <c r="H1134" s="6">
        <v>0</v>
      </c>
      <c r="I1134" s="6">
        <f t="shared" si="17"/>
        <v>1</v>
      </c>
      <c r="J1134" s="8">
        <v>41797</v>
      </c>
      <c r="K1134" s="6">
        <v>29</v>
      </c>
      <c r="L1134">
        <f>VLOOKUP(A1134,Marketing_df2!$A$1:$F$2241,3,FALSE)</f>
        <v>4</v>
      </c>
      <c r="M1134">
        <f>VLOOKUP(A1134,Marketing_df2!$A$1:$F$2241,4,FALSE)</f>
        <v>3</v>
      </c>
      <c r="N1134">
        <f>VLOOKUP(A1134,Marketing_df2!$A$1:$F$2241,5,FALSE)</f>
        <v>1</v>
      </c>
      <c r="O1134">
        <f>VLOOKUP(A1134,Marketing_df2!$A$1:$F$2241,6,FALSE)</f>
        <v>3</v>
      </c>
    </row>
    <row r="1135" spans="1:15" ht="12.5">
      <c r="A1135" s="6">
        <v>1133</v>
      </c>
      <c r="B1135" s="6">
        <v>2975</v>
      </c>
      <c r="C1135" s="6">
        <v>1976</v>
      </c>
      <c r="D1135" s="7" t="s">
        <v>9</v>
      </c>
      <c r="E1135" s="7" t="s">
        <v>11</v>
      </c>
      <c r="F1135" s="6">
        <v>85606</v>
      </c>
      <c r="G1135" s="6">
        <v>0</v>
      </c>
      <c r="H1135" s="6">
        <v>1</v>
      </c>
      <c r="I1135" s="6">
        <f t="shared" si="17"/>
        <v>1</v>
      </c>
      <c r="J1135" s="9">
        <v>41225</v>
      </c>
      <c r="K1135" s="6">
        <v>89</v>
      </c>
      <c r="L1135">
        <f>VLOOKUP(A1135,Marketing_df2!$A$1:$F$2241,3,FALSE)</f>
        <v>42</v>
      </c>
      <c r="M1135">
        <f>VLOOKUP(A1135,Marketing_df2!$A$1:$F$2241,4,FALSE)</f>
        <v>30</v>
      </c>
      <c r="N1135">
        <f>VLOOKUP(A1135,Marketing_df2!$A$1:$F$2241,5,FALSE)</f>
        <v>6</v>
      </c>
      <c r="O1135">
        <f>VLOOKUP(A1135,Marketing_df2!$A$1:$F$2241,6,FALSE)</f>
        <v>9</v>
      </c>
    </row>
    <row r="1136" spans="1:15" ht="12.5">
      <c r="A1136" s="6">
        <v>1134</v>
      </c>
      <c r="B1136" s="6">
        <v>2894</v>
      </c>
      <c r="C1136" s="6">
        <v>1985</v>
      </c>
      <c r="D1136" s="7" t="s">
        <v>9</v>
      </c>
      <c r="E1136" s="7" t="s">
        <v>10</v>
      </c>
      <c r="F1136" s="6">
        <v>72903</v>
      </c>
      <c r="G1136" s="6">
        <v>0</v>
      </c>
      <c r="H1136" s="6">
        <v>0</v>
      </c>
      <c r="I1136" s="6">
        <f t="shared" si="17"/>
        <v>0</v>
      </c>
      <c r="J1136" s="9">
        <v>41576</v>
      </c>
      <c r="K1136" s="6">
        <v>74</v>
      </c>
      <c r="L1136">
        <f>VLOOKUP(A1136,Marketing_df2!$A$1:$F$2241,3,FALSE)</f>
        <v>138</v>
      </c>
      <c r="M1136">
        <f>VLOOKUP(A1136,Marketing_df2!$A$1:$F$2241,4,FALSE)</f>
        <v>19</v>
      </c>
      <c r="N1136">
        <f>VLOOKUP(A1136,Marketing_df2!$A$1:$F$2241,5,FALSE)</f>
        <v>7</v>
      </c>
      <c r="O1136">
        <f>VLOOKUP(A1136,Marketing_df2!$A$1:$F$2241,6,FALSE)</f>
        <v>8</v>
      </c>
    </row>
    <row r="1137" spans="1:15" ht="12.5">
      <c r="A1137" s="6">
        <v>1135</v>
      </c>
      <c r="B1137" s="6">
        <v>7613</v>
      </c>
      <c r="C1137" s="6">
        <v>1974</v>
      </c>
      <c r="D1137" s="7" t="s">
        <v>17</v>
      </c>
      <c r="E1137" s="7" t="s">
        <v>11</v>
      </c>
      <c r="F1137" s="6">
        <v>49669</v>
      </c>
      <c r="G1137" s="6">
        <v>1</v>
      </c>
      <c r="H1137" s="6">
        <v>0</v>
      </c>
      <c r="I1137" s="6">
        <f t="shared" si="17"/>
        <v>1</v>
      </c>
      <c r="J1137" s="8">
        <v>41783</v>
      </c>
      <c r="K1137" s="6">
        <v>97</v>
      </c>
      <c r="L1137">
        <f>VLOOKUP(A1137,Marketing_df2!$A$1:$F$2241,3,FALSE)</f>
        <v>5</v>
      </c>
      <c r="M1137">
        <f>VLOOKUP(A1137,Marketing_df2!$A$1:$F$2241,4,FALSE)</f>
        <v>8</v>
      </c>
      <c r="N1137">
        <f>VLOOKUP(A1137,Marketing_df2!$A$1:$F$2241,5,FALSE)</f>
        <v>5</v>
      </c>
      <c r="O1137">
        <f>VLOOKUP(A1137,Marketing_df2!$A$1:$F$2241,6,FALSE)</f>
        <v>6</v>
      </c>
    </row>
    <row r="1138" spans="1:15" ht="12.5">
      <c r="A1138" s="6">
        <v>1136</v>
      </c>
      <c r="B1138" s="6">
        <v>10542</v>
      </c>
      <c r="C1138" s="6">
        <v>1968</v>
      </c>
      <c r="D1138" s="7" t="s">
        <v>12</v>
      </c>
      <c r="E1138" s="7" t="s">
        <v>13</v>
      </c>
      <c r="F1138" s="6">
        <v>36778</v>
      </c>
      <c r="G1138" s="6">
        <v>1</v>
      </c>
      <c r="H1138" s="6">
        <v>1</v>
      </c>
      <c r="I1138" s="6">
        <f t="shared" si="17"/>
        <v>2</v>
      </c>
      <c r="J1138" s="8">
        <v>41126</v>
      </c>
      <c r="K1138" s="6">
        <v>63</v>
      </c>
      <c r="L1138">
        <f>VLOOKUP(A1138,Marketing_df2!$A$1:$F$2241,3,FALSE)</f>
        <v>4</v>
      </c>
      <c r="M1138">
        <f>VLOOKUP(A1138,Marketing_df2!$A$1:$F$2241,4,FALSE)</f>
        <v>4</v>
      </c>
      <c r="N1138">
        <f>VLOOKUP(A1138,Marketing_df2!$A$1:$F$2241,5,FALSE)</f>
        <v>3</v>
      </c>
      <c r="O1138">
        <f>VLOOKUP(A1138,Marketing_df2!$A$1:$F$2241,6,FALSE)</f>
        <v>3</v>
      </c>
    </row>
    <row r="1139" spans="1:15" ht="12.5">
      <c r="A1139" s="6">
        <v>1137</v>
      </c>
      <c r="B1139" s="6">
        <v>8015</v>
      </c>
      <c r="C1139" s="6">
        <v>1962</v>
      </c>
      <c r="D1139" s="7" t="s">
        <v>12</v>
      </c>
      <c r="E1139" s="7" t="s">
        <v>15</v>
      </c>
      <c r="F1139" s="6">
        <v>85696</v>
      </c>
      <c r="G1139" s="6">
        <v>0</v>
      </c>
      <c r="H1139" s="6">
        <v>0</v>
      </c>
      <c r="I1139" s="6">
        <f t="shared" si="17"/>
        <v>0</v>
      </c>
      <c r="J1139" s="8">
        <v>41397</v>
      </c>
      <c r="K1139" s="6">
        <v>88</v>
      </c>
      <c r="L1139">
        <f>VLOOKUP(A1139,Marketing_df2!$A$1:$F$2241,3,FALSE)</f>
        <v>76</v>
      </c>
      <c r="M1139">
        <f>VLOOKUP(A1139,Marketing_df2!$A$1:$F$2241,4,FALSE)</f>
        <v>0</v>
      </c>
      <c r="N1139">
        <f>VLOOKUP(A1139,Marketing_df2!$A$1:$F$2241,5,FALSE)</f>
        <v>4</v>
      </c>
      <c r="O1139">
        <f>VLOOKUP(A1139,Marketing_df2!$A$1:$F$2241,6,FALSE)</f>
        <v>9</v>
      </c>
    </row>
    <row r="1140" spans="1:15" ht="12.5">
      <c r="A1140" s="6">
        <v>1138</v>
      </c>
      <c r="B1140" s="6">
        <v>10617</v>
      </c>
      <c r="C1140" s="6">
        <v>1989</v>
      </c>
      <c r="D1140" s="7" t="s">
        <v>14</v>
      </c>
      <c r="E1140" s="7" t="s">
        <v>15</v>
      </c>
      <c r="F1140" s="6">
        <v>10979</v>
      </c>
      <c r="G1140" s="6">
        <v>0</v>
      </c>
      <c r="H1140" s="6">
        <v>0</v>
      </c>
      <c r="I1140" s="6">
        <f t="shared" si="17"/>
        <v>0</v>
      </c>
      <c r="J1140" s="8">
        <v>41781</v>
      </c>
      <c r="K1140" s="6">
        <v>34</v>
      </c>
      <c r="L1140">
        <f>VLOOKUP(A1140,Marketing_df2!$A$1:$F$2241,3,FALSE)</f>
        <v>4</v>
      </c>
      <c r="M1140">
        <f>VLOOKUP(A1140,Marketing_df2!$A$1:$F$2241,4,FALSE)</f>
        <v>2</v>
      </c>
      <c r="N1140">
        <f>VLOOKUP(A1140,Marketing_df2!$A$1:$F$2241,5,FALSE)</f>
        <v>3</v>
      </c>
      <c r="O1140">
        <f>VLOOKUP(A1140,Marketing_df2!$A$1:$F$2241,6,FALSE)</f>
        <v>3</v>
      </c>
    </row>
    <row r="1141" spans="1:15" ht="12.5">
      <c r="A1141" s="6">
        <v>1139</v>
      </c>
      <c r="B1141" s="6">
        <v>11166</v>
      </c>
      <c r="C1141" s="6">
        <v>1961</v>
      </c>
      <c r="D1141" s="7" t="s">
        <v>9</v>
      </c>
      <c r="E1141" s="7" t="s">
        <v>13</v>
      </c>
      <c r="F1141" s="6">
        <v>49678</v>
      </c>
      <c r="G1141" s="6">
        <v>0</v>
      </c>
      <c r="H1141" s="6">
        <v>1</v>
      </c>
      <c r="I1141" s="6">
        <f t="shared" si="17"/>
        <v>1</v>
      </c>
      <c r="J1141" s="8">
        <v>41307</v>
      </c>
      <c r="K1141" s="6">
        <v>81</v>
      </c>
      <c r="L1141">
        <f>VLOOKUP(A1141,Marketing_df2!$A$1:$F$2241,3,FALSE)</f>
        <v>5</v>
      </c>
      <c r="M1141">
        <f>VLOOKUP(A1141,Marketing_df2!$A$1:$F$2241,4,FALSE)</f>
        <v>2</v>
      </c>
      <c r="N1141">
        <f>VLOOKUP(A1141,Marketing_df2!$A$1:$F$2241,5,FALSE)</f>
        <v>6</v>
      </c>
      <c r="O1141">
        <f>VLOOKUP(A1141,Marketing_df2!$A$1:$F$2241,6,FALSE)</f>
        <v>4</v>
      </c>
    </row>
    <row r="1142" spans="1:15" ht="12.5">
      <c r="A1142" s="6">
        <v>1140</v>
      </c>
      <c r="B1142" s="6">
        <v>849</v>
      </c>
      <c r="C1142" s="6">
        <v>1953</v>
      </c>
      <c r="D1142" s="7" t="s">
        <v>14</v>
      </c>
      <c r="E1142" s="7" t="s">
        <v>11</v>
      </c>
      <c r="F1142" s="6">
        <v>56129</v>
      </c>
      <c r="G1142" s="6">
        <v>0</v>
      </c>
      <c r="H1142" s="6">
        <v>1</v>
      </c>
      <c r="I1142" s="6">
        <f t="shared" si="17"/>
        <v>1</v>
      </c>
      <c r="J1142" s="8">
        <v>41445</v>
      </c>
      <c r="K1142" s="6">
        <v>65</v>
      </c>
      <c r="L1142">
        <f>VLOOKUP(A1142,Marketing_df2!$A$1:$F$2241,3,FALSE)</f>
        <v>48</v>
      </c>
      <c r="M1142">
        <f>VLOOKUP(A1142,Marketing_df2!$A$1:$F$2241,4,FALSE)</f>
        <v>72</v>
      </c>
      <c r="N1142">
        <f>VLOOKUP(A1142,Marketing_df2!$A$1:$F$2241,5,FALSE)</f>
        <v>6</v>
      </c>
      <c r="O1142">
        <f>VLOOKUP(A1142,Marketing_df2!$A$1:$F$2241,6,FALSE)</f>
        <v>10</v>
      </c>
    </row>
    <row r="1143" spans="1:15" ht="12.5">
      <c r="A1143" s="6">
        <v>1141</v>
      </c>
      <c r="B1143" s="6">
        <v>523</v>
      </c>
      <c r="C1143" s="6">
        <v>1989</v>
      </c>
      <c r="D1143" s="7" t="s">
        <v>9</v>
      </c>
      <c r="E1143" s="7" t="s">
        <v>13</v>
      </c>
      <c r="F1143" s="6">
        <v>37155</v>
      </c>
      <c r="G1143" s="6">
        <v>1</v>
      </c>
      <c r="H1143" s="6">
        <v>0</v>
      </c>
      <c r="I1143" s="6">
        <f t="shared" si="17"/>
        <v>1</v>
      </c>
      <c r="J1143" s="8">
        <v>41305</v>
      </c>
      <c r="K1143" s="6">
        <v>51</v>
      </c>
      <c r="L1143">
        <f>VLOOKUP(A1143,Marketing_df2!$A$1:$F$2241,3,FALSE)</f>
        <v>0</v>
      </c>
      <c r="M1143">
        <f>VLOOKUP(A1143,Marketing_df2!$A$1:$F$2241,4,FALSE)</f>
        <v>15</v>
      </c>
      <c r="N1143">
        <f>VLOOKUP(A1143,Marketing_df2!$A$1:$F$2241,5,FALSE)</f>
        <v>2</v>
      </c>
      <c r="O1143">
        <f>VLOOKUP(A1143,Marketing_df2!$A$1:$F$2241,6,FALSE)</f>
        <v>4</v>
      </c>
    </row>
    <row r="1144" spans="1:15" ht="12.5">
      <c r="A1144" s="6">
        <v>1142</v>
      </c>
      <c r="B1144" s="6">
        <v>4066</v>
      </c>
      <c r="C1144" s="6">
        <v>1978</v>
      </c>
      <c r="D1144" s="7" t="s">
        <v>17</v>
      </c>
      <c r="E1144" s="7" t="s">
        <v>15</v>
      </c>
      <c r="F1144" s="6">
        <v>21282</v>
      </c>
      <c r="G1144" s="6">
        <v>1</v>
      </c>
      <c r="H1144" s="6">
        <v>0</v>
      </c>
      <c r="I1144" s="6">
        <f t="shared" si="17"/>
        <v>1</v>
      </c>
      <c r="J1144" s="8">
        <v>41770</v>
      </c>
      <c r="K1144" s="6">
        <v>76</v>
      </c>
      <c r="L1144">
        <f>VLOOKUP(A1144,Marketing_df2!$A$1:$F$2241,3,FALSE)</f>
        <v>5</v>
      </c>
      <c r="M1144">
        <f>VLOOKUP(A1144,Marketing_df2!$A$1:$F$2241,4,FALSE)</f>
        <v>8</v>
      </c>
      <c r="N1144">
        <f>VLOOKUP(A1144,Marketing_df2!$A$1:$F$2241,5,FALSE)</f>
        <v>2</v>
      </c>
      <c r="O1144">
        <f>VLOOKUP(A1144,Marketing_df2!$A$1:$F$2241,6,FALSE)</f>
        <v>2</v>
      </c>
    </row>
    <row r="1145" spans="1:15" ht="12.5">
      <c r="A1145" s="6">
        <v>1143</v>
      </c>
      <c r="B1145" s="6">
        <v>8414</v>
      </c>
      <c r="C1145" s="6">
        <v>1962</v>
      </c>
      <c r="D1145" s="7" t="s">
        <v>12</v>
      </c>
      <c r="E1145" s="7" t="s">
        <v>10</v>
      </c>
      <c r="F1145" s="6">
        <v>33419</v>
      </c>
      <c r="G1145" s="6">
        <v>0</v>
      </c>
      <c r="H1145" s="6">
        <v>1</v>
      </c>
      <c r="I1145" s="6">
        <f t="shared" si="17"/>
        <v>1</v>
      </c>
      <c r="J1145" s="8">
        <v>41503</v>
      </c>
      <c r="K1145" s="6">
        <v>76</v>
      </c>
      <c r="L1145">
        <f>VLOOKUP(A1145,Marketing_df2!$A$1:$F$2241,3,FALSE)</f>
        <v>0</v>
      </c>
      <c r="M1145">
        <f>VLOOKUP(A1145,Marketing_df2!$A$1:$F$2241,4,FALSE)</f>
        <v>0</v>
      </c>
      <c r="N1145">
        <f>VLOOKUP(A1145,Marketing_df2!$A$1:$F$2241,5,FALSE)</f>
        <v>2</v>
      </c>
      <c r="O1145">
        <f>VLOOKUP(A1145,Marketing_df2!$A$1:$F$2241,6,FALSE)</f>
        <v>4</v>
      </c>
    </row>
    <row r="1146" spans="1:15" ht="12.5">
      <c r="A1146" s="6">
        <v>1144</v>
      </c>
      <c r="B1146" s="6">
        <v>819</v>
      </c>
      <c r="C1146" s="6">
        <v>1945</v>
      </c>
      <c r="D1146" s="7" t="s">
        <v>9</v>
      </c>
      <c r="E1146" s="7" t="s">
        <v>18</v>
      </c>
      <c r="F1146" s="6">
        <v>63285</v>
      </c>
      <c r="G1146" s="6">
        <v>0</v>
      </c>
      <c r="H1146" s="6">
        <v>0</v>
      </c>
      <c r="I1146" s="6">
        <f t="shared" si="17"/>
        <v>0</v>
      </c>
      <c r="J1146" s="8">
        <v>41583</v>
      </c>
      <c r="K1146" s="6">
        <v>84</v>
      </c>
      <c r="L1146">
        <f>VLOOKUP(A1146,Marketing_df2!$A$1:$F$2241,3,FALSE)</f>
        <v>124</v>
      </c>
      <c r="M1146">
        <f>VLOOKUP(A1146,Marketing_df2!$A$1:$F$2241,4,FALSE)</f>
        <v>38</v>
      </c>
      <c r="N1146">
        <f>VLOOKUP(A1146,Marketing_df2!$A$1:$F$2241,5,FALSE)</f>
        <v>6</v>
      </c>
      <c r="O1146">
        <f>VLOOKUP(A1146,Marketing_df2!$A$1:$F$2241,6,FALSE)</f>
        <v>13</v>
      </c>
    </row>
    <row r="1147" spans="1:15" ht="12.5">
      <c r="A1147" s="6">
        <v>1145</v>
      </c>
      <c r="B1147" s="6">
        <v>4961</v>
      </c>
      <c r="C1147" s="6">
        <v>1974</v>
      </c>
      <c r="D1147" s="7" t="s">
        <v>14</v>
      </c>
      <c r="E1147" s="7" t="s">
        <v>11</v>
      </c>
      <c r="F1147" s="6">
        <v>21255</v>
      </c>
      <c r="G1147" s="6">
        <v>1</v>
      </c>
      <c r="H1147" s="6">
        <v>0</v>
      </c>
      <c r="I1147" s="6">
        <f t="shared" si="17"/>
        <v>1</v>
      </c>
      <c r="J1147" s="8">
        <v>41660</v>
      </c>
      <c r="K1147" s="6">
        <v>56</v>
      </c>
      <c r="L1147">
        <f>VLOOKUP(A1147,Marketing_df2!$A$1:$F$2241,3,FALSE)</f>
        <v>0</v>
      </c>
      <c r="M1147">
        <f>VLOOKUP(A1147,Marketing_df2!$A$1:$F$2241,4,FALSE)</f>
        <v>2</v>
      </c>
      <c r="N1147">
        <f>VLOOKUP(A1147,Marketing_df2!$A$1:$F$2241,5,FALSE)</f>
        <v>2</v>
      </c>
      <c r="O1147">
        <f>VLOOKUP(A1147,Marketing_df2!$A$1:$F$2241,6,FALSE)</f>
        <v>4</v>
      </c>
    </row>
    <row r="1148" spans="1:15" ht="12.5">
      <c r="A1148" s="6">
        <v>1146</v>
      </c>
      <c r="B1148" s="6">
        <v>749</v>
      </c>
      <c r="C1148" s="6">
        <v>1981</v>
      </c>
      <c r="D1148" s="7" t="s">
        <v>9</v>
      </c>
      <c r="E1148" s="7" t="s">
        <v>11</v>
      </c>
      <c r="F1148" s="6">
        <v>42162</v>
      </c>
      <c r="G1148" s="6">
        <v>1</v>
      </c>
      <c r="H1148" s="6">
        <v>0</v>
      </c>
      <c r="I1148" s="6">
        <f t="shared" si="17"/>
        <v>1</v>
      </c>
      <c r="J1148" s="9">
        <v>41597</v>
      </c>
      <c r="K1148" s="6">
        <v>31</v>
      </c>
      <c r="L1148">
        <f>VLOOKUP(A1148,Marketing_df2!$A$1:$F$2241,3,FALSE)</f>
        <v>7</v>
      </c>
      <c r="M1148">
        <f>VLOOKUP(A1148,Marketing_df2!$A$1:$F$2241,4,FALSE)</f>
        <v>4</v>
      </c>
      <c r="N1148">
        <f>VLOOKUP(A1148,Marketing_df2!$A$1:$F$2241,5,FALSE)</f>
        <v>3</v>
      </c>
      <c r="O1148">
        <f>VLOOKUP(A1148,Marketing_df2!$A$1:$F$2241,6,FALSE)</f>
        <v>3</v>
      </c>
    </row>
    <row r="1149" spans="1:15" ht="12.5">
      <c r="A1149" s="6">
        <v>1147</v>
      </c>
      <c r="B1149" s="6">
        <v>5430</v>
      </c>
      <c r="C1149" s="6">
        <v>1956</v>
      </c>
      <c r="D1149" s="7" t="s">
        <v>9</v>
      </c>
      <c r="E1149" s="7" t="s">
        <v>11</v>
      </c>
      <c r="F1149" s="6">
        <v>54450</v>
      </c>
      <c r="G1149" s="6">
        <v>1</v>
      </c>
      <c r="H1149" s="6">
        <v>1</v>
      </c>
      <c r="I1149" s="6">
        <f t="shared" si="17"/>
        <v>2</v>
      </c>
      <c r="J1149" s="8">
        <v>41166</v>
      </c>
      <c r="K1149" s="6">
        <v>0</v>
      </c>
      <c r="L1149">
        <f>VLOOKUP(A1149,Marketing_df2!$A$1:$F$2241,3,FALSE)</f>
        <v>0</v>
      </c>
      <c r="M1149">
        <f>VLOOKUP(A1149,Marketing_df2!$A$1:$F$2241,4,FALSE)</f>
        <v>19</v>
      </c>
      <c r="N1149">
        <f>VLOOKUP(A1149,Marketing_df2!$A$1:$F$2241,5,FALSE)</f>
        <v>9</v>
      </c>
      <c r="O1149">
        <f>VLOOKUP(A1149,Marketing_df2!$A$1:$F$2241,6,FALSE)</f>
        <v>8</v>
      </c>
    </row>
    <row r="1150" spans="1:15" ht="12.5">
      <c r="A1150" s="6">
        <v>1148</v>
      </c>
      <c r="B1150" s="6">
        <v>7755</v>
      </c>
      <c r="C1150" s="6">
        <v>1954</v>
      </c>
      <c r="D1150" s="7" t="s">
        <v>12</v>
      </c>
      <c r="E1150" s="7" t="s">
        <v>13</v>
      </c>
      <c r="F1150" s="6">
        <v>57744</v>
      </c>
      <c r="G1150" s="6">
        <v>0</v>
      </c>
      <c r="H1150" s="6">
        <v>1</v>
      </c>
      <c r="I1150" s="6">
        <f t="shared" si="17"/>
        <v>1</v>
      </c>
      <c r="J1150" s="9">
        <v>41590</v>
      </c>
      <c r="K1150" s="6">
        <v>91</v>
      </c>
      <c r="L1150">
        <f>VLOOKUP(A1150,Marketing_df2!$A$1:$F$2241,3,FALSE)</f>
        <v>3</v>
      </c>
      <c r="M1150">
        <f>VLOOKUP(A1150,Marketing_df2!$A$1:$F$2241,4,FALSE)</f>
        <v>0</v>
      </c>
      <c r="N1150">
        <f>VLOOKUP(A1150,Marketing_df2!$A$1:$F$2241,5,FALSE)</f>
        <v>9</v>
      </c>
      <c r="O1150">
        <f>VLOOKUP(A1150,Marketing_df2!$A$1:$F$2241,6,FALSE)</f>
        <v>4</v>
      </c>
    </row>
    <row r="1151" spans="1:15" ht="12.5">
      <c r="A1151" s="6">
        <v>1149</v>
      </c>
      <c r="B1151" s="6">
        <v>10525</v>
      </c>
      <c r="C1151" s="6">
        <v>1986</v>
      </c>
      <c r="D1151" s="7" t="s">
        <v>9</v>
      </c>
      <c r="E1151" s="7" t="s">
        <v>10</v>
      </c>
      <c r="F1151" s="6">
        <v>26576</v>
      </c>
      <c r="G1151" s="6">
        <v>1</v>
      </c>
      <c r="H1151" s="6">
        <v>0</v>
      </c>
      <c r="I1151" s="6">
        <f t="shared" si="17"/>
        <v>1</v>
      </c>
      <c r="J1151" s="9">
        <v>41195</v>
      </c>
      <c r="K1151" s="6">
        <v>40</v>
      </c>
      <c r="L1151">
        <f>VLOOKUP(A1151,Marketing_df2!$A$1:$F$2241,3,FALSE)</f>
        <v>0</v>
      </c>
      <c r="M1151">
        <f>VLOOKUP(A1151,Marketing_df2!$A$1:$F$2241,4,FALSE)</f>
        <v>0</v>
      </c>
      <c r="N1151">
        <f>VLOOKUP(A1151,Marketing_df2!$A$1:$F$2241,5,FALSE)</f>
        <v>1</v>
      </c>
      <c r="O1151">
        <f>VLOOKUP(A1151,Marketing_df2!$A$1:$F$2241,6,FALSE)</f>
        <v>2</v>
      </c>
    </row>
    <row r="1152" spans="1:15" ht="12.5">
      <c r="A1152" s="6">
        <v>1150</v>
      </c>
      <c r="B1152" s="6">
        <v>1453</v>
      </c>
      <c r="C1152" s="6">
        <v>1943</v>
      </c>
      <c r="D1152" s="7" t="s">
        <v>12</v>
      </c>
      <c r="E1152" s="7" t="s">
        <v>18</v>
      </c>
      <c r="F1152" s="6">
        <v>57513</v>
      </c>
      <c r="G1152" s="6">
        <v>0</v>
      </c>
      <c r="H1152" s="6">
        <v>0</v>
      </c>
      <c r="I1152" s="6">
        <f t="shared" si="17"/>
        <v>0</v>
      </c>
      <c r="J1152" s="8">
        <v>41461</v>
      </c>
      <c r="K1152" s="6">
        <v>59</v>
      </c>
      <c r="L1152">
        <f>VLOOKUP(A1152,Marketing_df2!$A$1:$F$2241,3,FALSE)</f>
        <v>40</v>
      </c>
      <c r="M1152">
        <f>VLOOKUP(A1152,Marketing_df2!$A$1:$F$2241,4,FALSE)</f>
        <v>20</v>
      </c>
      <c r="N1152">
        <f>VLOOKUP(A1152,Marketing_df2!$A$1:$F$2241,5,FALSE)</f>
        <v>9</v>
      </c>
      <c r="O1152">
        <f>VLOOKUP(A1152,Marketing_df2!$A$1:$F$2241,6,FALSE)</f>
        <v>13</v>
      </c>
    </row>
    <row r="1153" spans="1:15" ht="12.5">
      <c r="A1153" s="6">
        <v>1151</v>
      </c>
      <c r="B1153" s="6">
        <v>8310</v>
      </c>
      <c r="C1153" s="6">
        <v>1964</v>
      </c>
      <c r="D1153" s="7" t="s">
        <v>9</v>
      </c>
      <c r="E1153" s="7" t="s">
        <v>11</v>
      </c>
      <c r="F1153" s="6">
        <v>68142</v>
      </c>
      <c r="G1153" s="6">
        <v>0</v>
      </c>
      <c r="H1153" s="6">
        <v>1</v>
      </c>
      <c r="I1153" s="6">
        <f t="shared" si="17"/>
        <v>1</v>
      </c>
      <c r="J1153" s="8">
        <v>41150</v>
      </c>
      <c r="K1153" s="6">
        <v>96</v>
      </c>
      <c r="L1153">
        <f>VLOOKUP(A1153,Marketing_df2!$A$1:$F$2241,3,FALSE)</f>
        <v>126</v>
      </c>
      <c r="M1153">
        <f>VLOOKUP(A1153,Marketing_df2!$A$1:$F$2241,4,FALSE)</f>
        <v>112</v>
      </c>
      <c r="N1153">
        <f>VLOOKUP(A1153,Marketing_df2!$A$1:$F$2241,5,FALSE)</f>
        <v>10</v>
      </c>
      <c r="O1153">
        <f>VLOOKUP(A1153,Marketing_df2!$A$1:$F$2241,6,FALSE)</f>
        <v>7</v>
      </c>
    </row>
    <row r="1154" spans="1:15" ht="12.5">
      <c r="A1154" s="6">
        <v>1152</v>
      </c>
      <c r="B1154" s="6">
        <v>10710</v>
      </c>
      <c r="C1154" s="6">
        <v>1979</v>
      </c>
      <c r="D1154" s="7" t="s">
        <v>9</v>
      </c>
      <c r="E1154" s="7" t="s">
        <v>13</v>
      </c>
      <c r="F1154" s="6">
        <v>7500</v>
      </c>
      <c r="G1154" s="6">
        <v>0</v>
      </c>
      <c r="H1154" s="6">
        <v>1</v>
      </c>
      <c r="I1154" s="6">
        <f t="shared" si="17"/>
        <v>1</v>
      </c>
      <c r="J1154" s="8">
        <v>41150</v>
      </c>
      <c r="K1154" s="6">
        <v>61</v>
      </c>
      <c r="L1154">
        <f>VLOOKUP(A1154,Marketing_df2!$A$1:$F$2241,3,FALSE)</f>
        <v>2</v>
      </c>
      <c r="M1154">
        <f>VLOOKUP(A1154,Marketing_df2!$A$1:$F$2241,4,FALSE)</f>
        <v>0</v>
      </c>
      <c r="N1154">
        <f>VLOOKUP(A1154,Marketing_df2!$A$1:$F$2241,5,FALSE)</f>
        <v>1</v>
      </c>
      <c r="O1154">
        <f>VLOOKUP(A1154,Marketing_df2!$A$1:$F$2241,6,FALSE)</f>
        <v>2</v>
      </c>
    </row>
    <row r="1155" spans="1:15" ht="12.5">
      <c r="A1155" s="6">
        <v>1153</v>
      </c>
      <c r="B1155" s="6">
        <v>5031</v>
      </c>
      <c r="C1155" s="6">
        <v>1974</v>
      </c>
      <c r="D1155" s="7" t="s">
        <v>9</v>
      </c>
      <c r="E1155" s="7" t="s">
        <v>11</v>
      </c>
      <c r="F1155" s="6">
        <v>83145</v>
      </c>
      <c r="G1155" s="6">
        <v>0</v>
      </c>
      <c r="H1155" s="6">
        <v>0</v>
      </c>
      <c r="I1155" s="6">
        <f t="shared" ref="I1155:I1218" si="18">G1155+H1155</f>
        <v>0</v>
      </c>
      <c r="J1155" s="8">
        <v>41174</v>
      </c>
      <c r="K1155" s="6">
        <v>14</v>
      </c>
      <c r="L1155">
        <f>VLOOKUP(A1155,Marketing_df2!$A$1:$F$2241,3,FALSE)</f>
        <v>35</v>
      </c>
      <c r="M1155">
        <f>VLOOKUP(A1155,Marketing_df2!$A$1:$F$2241,4,FALSE)</f>
        <v>137</v>
      </c>
      <c r="N1155">
        <f>VLOOKUP(A1155,Marketing_df2!$A$1:$F$2241,5,FALSE)</f>
        <v>5</v>
      </c>
      <c r="O1155">
        <f>VLOOKUP(A1155,Marketing_df2!$A$1:$F$2241,6,FALSE)</f>
        <v>11</v>
      </c>
    </row>
    <row r="1156" spans="1:15" ht="12.5">
      <c r="A1156" s="6">
        <v>1154</v>
      </c>
      <c r="B1156" s="6">
        <v>2613</v>
      </c>
      <c r="C1156" s="6">
        <v>1960</v>
      </c>
      <c r="D1156" s="7" t="s">
        <v>14</v>
      </c>
      <c r="E1156" s="7" t="s">
        <v>13</v>
      </c>
      <c r="F1156" s="6">
        <v>54197</v>
      </c>
      <c r="G1156" s="6">
        <v>0</v>
      </c>
      <c r="H1156" s="6">
        <v>1</v>
      </c>
      <c r="I1156" s="6">
        <f t="shared" si="18"/>
        <v>1</v>
      </c>
      <c r="J1156" s="8">
        <v>41732</v>
      </c>
      <c r="K1156" s="6">
        <v>16</v>
      </c>
      <c r="L1156">
        <f>VLOOKUP(A1156,Marketing_df2!$A$1:$F$2241,3,FALSE)</f>
        <v>6</v>
      </c>
      <c r="M1156">
        <f>VLOOKUP(A1156,Marketing_df2!$A$1:$F$2241,4,FALSE)</f>
        <v>13</v>
      </c>
      <c r="N1156">
        <f>VLOOKUP(A1156,Marketing_df2!$A$1:$F$2241,5,FALSE)</f>
        <v>1</v>
      </c>
      <c r="O1156">
        <f>VLOOKUP(A1156,Marketing_df2!$A$1:$F$2241,6,FALSE)</f>
        <v>6</v>
      </c>
    </row>
    <row r="1157" spans="1:15" ht="12.5">
      <c r="A1157" s="6">
        <v>1155</v>
      </c>
      <c r="B1157" s="6">
        <v>213</v>
      </c>
      <c r="C1157" s="6">
        <v>1963</v>
      </c>
      <c r="D1157" s="7" t="s">
        <v>12</v>
      </c>
      <c r="E1157" s="7" t="s">
        <v>10</v>
      </c>
      <c r="F1157" s="6">
        <v>23091</v>
      </c>
      <c r="G1157" s="6">
        <v>1</v>
      </c>
      <c r="H1157" s="6">
        <v>1</v>
      </c>
      <c r="I1157" s="6">
        <f t="shared" si="18"/>
        <v>2</v>
      </c>
      <c r="J1157" s="8">
        <v>41787</v>
      </c>
      <c r="K1157" s="6">
        <v>98</v>
      </c>
      <c r="L1157">
        <f>VLOOKUP(A1157,Marketing_df2!$A$1:$F$2241,3,FALSE)</f>
        <v>0</v>
      </c>
      <c r="M1157">
        <f>VLOOKUP(A1157,Marketing_df2!$A$1:$F$2241,4,FALSE)</f>
        <v>0</v>
      </c>
      <c r="N1157">
        <f>VLOOKUP(A1157,Marketing_df2!$A$1:$F$2241,5,FALSE)</f>
        <v>2</v>
      </c>
      <c r="O1157">
        <f>VLOOKUP(A1157,Marketing_df2!$A$1:$F$2241,6,FALSE)</f>
        <v>3</v>
      </c>
    </row>
    <row r="1158" spans="1:15" ht="12.5">
      <c r="A1158" s="6">
        <v>1156</v>
      </c>
      <c r="B1158" s="6">
        <v>967</v>
      </c>
      <c r="C1158" s="6">
        <v>1976</v>
      </c>
      <c r="D1158" s="7" t="s">
        <v>9</v>
      </c>
      <c r="E1158" s="7" t="s">
        <v>13</v>
      </c>
      <c r="F1158" s="6">
        <v>46049</v>
      </c>
      <c r="G1158" s="6">
        <v>1</v>
      </c>
      <c r="H1158" s="6">
        <v>1</v>
      </c>
      <c r="I1158" s="6">
        <f t="shared" si="18"/>
        <v>2</v>
      </c>
      <c r="J1158" s="8">
        <v>41476</v>
      </c>
      <c r="K1158" s="6">
        <v>11</v>
      </c>
      <c r="L1158">
        <f>VLOOKUP(A1158,Marketing_df2!$A$1:$F$2241,3,FALSE)</f>
        <v>9</v>
      </c>
      <c r="M1158">
        <f>VLOOKUP(A1158,Marketing_df2!$A$1:$F$2241,4,FALSE)</f>
        <v>14</v>
      </c>
      <c r="N1158">
        <f>VLOOKUP(A1158,Marketing_df2!$A$1:$F$2241,5,FALSE)</f>
        <v>5</v>
      </c>
      <c r="O1158">
        <f>VLOOKUP(A1158,Marketing_df2!$A$1:$F$2241,6,FALSE)</f>
        <v>9</v>
      </c>
    </row>
    <row r="1159" spans="1:15" ht="12.5">
      <c r="A1159" s="6">
        <v>1157</v>
      </c>
      <c r="B1159" s="6">
        <v>1077</v>
      </c>
      <c r="C1159" s="6">
        <v>1974</v>
      </c>
      <c r="D1159" s="7" t="s">
        <v>9</v>
      </c>
      <c r="E1159" s="7" t="s">
        <v>11</v>
      </c>
      <c r="F1159" s="6">
        <v>56715</v>
      </c>
      <c r="G1159" s="6">
        <v>0</v>
      </c>
      <c r="H1159" s="6">
        <v>0</v>
      </c>
      <c r="I1159" s="6">
        <f t="shared" si="18"/>
        <v>0</v>
      </c>
      <c r="J1159" s="8">
        <v>41248</v>
      </c>
      <c r="K1159" s="6">
        <v>52</v>
      </c>
      <c r="L1159">
        <f>VLOOKUP(A1159,Marketing_df2!$A$1:$F$2241,3,FALSE)</f>
        <v>105</v>
      </c>
      <c r="M1159">
        <f>VLOOKUP(A1159,Marketing_df2!$A$1:$F$2241,4,FALSE)</f>
        <v>172</v>
      </c>
      <c r="N1159">
        <f>VLOOKUP(A1159,Marketing_df2!$A$1:$F$2241,5,FALSE)</f>
        <v>7</v>
      </c>
      <c r="O1159">
        <f>VLOOKUP(A1159,Marketing_df2!$A$1:$F$2241,6,FALSE)</f>
        <v>4</v>
      </c>
    </row>
    <row r="1160" spans="1:15" ht="12.5">
      <c r="A1160" s="6">
        <v>1158</v>
      </c>
      <c r="B1160" s="6">
        <v>7959</v>
      </c>
      <c r="C1160" s="6">
        <v>1961</v>
      </c>
      <c r="D1160" s="7" t="s">
        <v>9</v>
      </c>
      <c r="E1160" s="7" t="s">
        <v>13</v>
      </c>
      <c r="F1160" s="6">
        <v>79410</v>
      </c>
      <c r="G1160" s="6">
        <v>0</v>
      </c>
      <c r="H1160" s="6">
        <v>0</v>
      </c>
      <c r="I1160" s="6">
        <f t="shared" si="18"/>
        <v>0</v>
      </c>
      <c r="J1160" s="8">
        <v>41788</v>
      </c>
      <c r="K1160" s="6">
        <v>19</v>
      </c>
      <c r="L1160">
        <f>VLOOKUP(A1160,Marketing_df2!$A$1:$F$2241,3,FALSE)</f>
        <v>80</v>
      </c>
      <c r="M1160">
        <f>VLOOKUP(A1160,Marketing_df2!$A$1:$F$2241,4,FALSE)</f>
        <v>13</v>
      </c>
      <c r="N1160">
        <f>VLOOKUP(A1160,Marketing_df2!$A$1:$F$2241,5,FALSE)</f>
        <v>3</v>
      </c>
      <c r="O1160">
        <f>VLOOKUP(A1160,Marketing_df2!$A$1:$F$2241,6,FALSE)</f>
        <v>5</v>
      </c>
    </row>
    <row r="1161" spans="1:15" ht="12.5">
      <c r="A1161" s="6">
        <v>1159</v>
      </c>
      <c r="B1161" s="6">
        <v>640</v>
      </c>
      <c r="C1161" s="6">
        <v>1951</v>
      </c>
      <c r="D1161" s="7" t="s">
        <v>9</v>
      </c>
      <c r="E1161" s="7" t="s">
        <v>13</v>
      </c>
      <c r="F1161" s="6">
        <v>57304</v>
      </c>
      <c r="G1161" s="6">
        <v>0</v>
      </c>
      <c r="H1161" s="6">
        <v>1</v>
      </c>
      <c r="I1161" s="6">
        <f t="shared" si="18"/>
        <v>1</v>
      </c>
      <c r="J1161" s="8">
        <v>41344</v>
      </c>
      <c r="K1161" s="6">
        <v>61</v>
      </c>
      <c r="L1161">
        <f>VLOOKUP(A1161,Marketing_df2!$A$1:$F$2241,3,FALSE)</f>
        <v>80</v>
      </c>
      <c r="M1161">
        <f>VLOOKUP(A1161,Marketing_df2!$A$1:$F$2241,4,FALSE)</f>
        <v>17</v>
      </c>
      <c r="N1161">
        <f>VLOOKUP(A1161,Marketing_df2!$A$1:$F$2241,5,FALSE)</f>
        <v>7</v>
      </c>
      <c r="O1161">
        <f>VLOOKUP(A1161,Marketing_df2!$A$1:$F$2241,6,FALSE)</f>
        <v>10</v>
      </c>
    </row>
    <row r="1162" spans="1:15" ht="12.5">
      <c r="A1162" s="6">
        <v>1160</v>
      </c>
      <c r="B1162" s="6">
        <v>4252</v>
      </c>
      <c r="C1162" s="6">
        <v>1965</v>
      </c>
      <c r="D1162" s="7" t="s">
        <v>9</v>
      </c>
      <c r="E1162" s="7" t="s">
        <v>13</v>
      </c>
      <c r="F1162" s="6">
        <v>44375</v>
      </c>
      <c r="G1162" s="6">
        <v>0</v>
      </c>
      <c r="H1162" s="6">
        <v>1</v>
      </c>
      <c r="I1162" s="6">
        <f t="shared" si="18"/>
        <v>1</v>
      </c>
      <c r="J1162" s="8">
        <v>41721</v>
      </c>
      <c r="K1162" s="6">
        <v>73</v>
      </c>
      <c r="L1162">
        <f>VLOOKUP(A1162,Marketing_df2!$A$1:$F$2241,3,FALSE)</f>
        <v>5</v>
      </c>
      <c r="M1162">
        <f>VLOOKUP(A1162,Marketing_df2!$A$1:$F$2241,4,FALSE)</f>
        <v>7</v>
      </c>
      <c r="N1162">
        <f>VLOOKUP(A1162,Marketing_df2!$A$1:$F$2241,5,FALSE)</f>
        <v>4</v>
      </c>
      <c r="O1162">
        <f>VLOOKUP(A1162,Marketing_df2!$A$1:$F$2241,6,FALSE)</f>
        <v>6</v>
      </c>
    </row>
    <row r="1163" spans="1:15" ht="12.5">
      <c r="A1163" s="6">
        <v>1161</v>
      </c>
      <c r="B1163" s="6">
        <v>8432</v>
      </c>
      <c r="C1163" s="6">
        <v>1956</v>
      </c>
      <c r="D1163" s="7" t="s">
        <v>9</v>
      </c>
      <c r="E1163" s="7" t="s">
        <v>11</v>
      </c>
      <c r="F1163" s="6">
        <v>54450</v>
      </c>
      <c r="G1163" s="6">
        <v>1</v>
      </c>
      <c r="H1163" s="6">
        <v>1</v>
      </c>
      <c r="I1163" s="6">
        <f t="shared" si="18"/>
        <v>2</v>
      </c>
      <c r="J1163" s="8">
        <v>41166</v>
      </c>
      <c r="K1163" s="6">
        <v>0</v>
      </c>
      <c r="L1163">
        <f>VLOOKUP(A1163,Marketing_df2!$A$1:$F$2241,3,FALSE)</f>
        <v>0</v>
      </c>
      <c r="M1163">
        <f>VLOOKUP(A1163,Marketing_df2!$A$1:$F$2241,4,FALSE)</f>
        <v>19</v>
      </c>
      <c r="N1163">
        <f>VLOOKUP(A1163,Marketing_df2!$A$1:$F$2241,5,FALSE)</f>
        <v>9</v>
      </c>
      <c r="O1163">
        <f>VLOOKUP(A1163,Marketing_df2!$A$1:$F$2241,6,FALSE)</f>
        <v>8</v>
      </c>
    </row>
    <row r="1164" spans="1:15" ht="12.5">
      <c r="A1164" s="6">
        <v>1162</v>
      </c>
      <c r="B1164" s="6">
        <v>6218</v>
      </c>
      <c r="C1164" s="6">
        <v>1965</v>
      </c>
      <c r="D1164" s="7" t="s">
        <v>9</v>
      </c>
      <c r="E1164" s="7" t="s">
        <v>13</v>
      </c>
      <c r="F1164" s="6">
        <v>59594</v>
      </c>
      <c r="G1164" s="6">
        <v>0</v>
      </c>
      <c r="H1164" s="6">
        <v>1</v>
      </c>
      <c r="I1164" s="6">
        <f t="shared" si="18"/>
        <v>1</v>
      </c>
      <c r="J1164" s="9">
        <v>41202</v>
      </c>
      <c r="K1164" s="6">
        <v>74</v>
      </c>
      <c r="L1164">
        <f>VLOOKUP(A1164,Marketing_df2!$A$1:$F$2241,3,FALSE)</f>
        <v>4</v>
      </c>
      <c r="M1164">
        <f>VLOOKUP(A1164,Marketing_df2!$A$1:$F$2241,4,FALSE)</f>
        <v>0</v>
      </c>
      <c r="N1164">
        <f>VLOOKUP(A1164,Marketing_df2!$A$1:$F$2241,5,FALSE)</f>
        <v>8</v>
      </c>
      <c r="O1164">
        <f>VLOOKUP(A1164,Marketing_df2!$A$1:$F$2241,6,FALSE)</f>
        <v>7</v>
      </c>
    </row>
    <row r="1165" spans="1:15" ht="12.5">
      <c r="A1165" s="6">
        <v>1163</v>
      </c>
      <c r="B1165" s="6">
        <v>6905</v>
      </c>
      <c r="C1165" s="6">
        <v>1994</v>
      </c>
      <c r="D1165" s="7" t="s">
        <v>9</v>
      </c>
      <c r="E1165" s="7" t="s">
        <v>11</v>
      </c>
      <c r="F1165" s="6">
        <v>80685</v>
      </c>
      <c r="G1165" s="6">
        <v>0</v>
      </c>
      <c r="H1165" s="6">
        <v>0</v>
      </c>
      <c r="I1165" s="6">
        <f t="shared" si="18"/>
        <v>0</v>
      </c>
      <c r="J1165" s="8">
        <v>41143</v>
      </c>
      <c r="K1165" s="6">
        <v>55</v>
      </c>
      <c r="L1165">
        <f>VLOOKUP(A1165,Marketing_df2!$A$1:$F$2241,3,FALSE)</f>
        <v>45</v>
      </c>
      <c r="M1165">
        <f>VLOOKUP(A1165,Marketing_df2!$A$1:$F$2241,4,FALSE)</f>
        <v>26</v>
      </c>
      <c r="N1165">
        <f>VLOOKUP(A1165,Marketing_df2!$A$1:$F$2241,5,FALSE)</f>
        <v>6</v>
      </c>
      <c r="O1165">
        <f>VLOOKUP(A1165,Marketing_df2!$A$1:$F$2241,6,FALSE)</f>
        <v>10</v>
      </c>
    </row>
    <row r="1166" spans="1:15" ht="12.5">
      <c r="A1166" s="6">
        <v>1164</v>
      </c>
      <c r="B1166" s="6">
        <v>5922</v>
      </c>
      <c r="C1166" s="6">
        <v>1974</v>
      </c>
      <c r="D1166" s="7" t="s">
        <v>12</v>
      </c>
      <c r="E1166" s="7" t="s">
        <v>13</v>
      </c>
      <c r="F1166" s="6">
        <v>40344</v>
      </c>
      <c r="G1166" s="6">
        <v>0</v>
      </c>
      <c r="H1166" s="6">
        <v>1</v>
      </c>
      <c r="I1166" s="6">
        <f t="shared" si="18"/>
        <v>1</v>
      </c>
      <c r="J1166" s="9">
        <v>41560</v>
      </c>
      <c r="K1166" s="6">
        <v>48</v>
      </c>
      <c r="L1166">
        <f>VLOOKUP(A1166,Marketing_df2!$A$1:$F$2241,3,FALSE)</f>
        <v>0</v>
      </c>
      <c r="M1166">
        <f>VLOOKUP(A1166,Marketing_df2!$A$1:$F$2241,4,FALSE)</f>
        <v>0</v>
      </c>
      <c r="N1166">
        <f>VLOOKUP(A1166,Marketing_df2!$A$1:$F$2241,5,FALSE)</f>
        <v>4</v>
      </c>
      <c r="O1166">
        <f>VLOOKUP(A1166,Marketing_df2!$A$1:$F$2241,6,FALSE)</f>
        <v>5</v>
      </c>
    </row>
    <row r="1167" spans="1:15" ht="12.5">
      <c r="A1167" s="6">
        <v>1165</v>
      </c>
      <c r="B1167" s="6">
        <v>3598</v>
      </c>
      <c r="C1167" s="6">
        <v>1972</v>
      </c>
      <c r="D1167" s="7" t="s">
        <v>9</v>
      </c>
      <c r="E1167" s="7" t="s">
        <v>13</v>
      </c>
      <c r="F1167" s="6">
        <v>62710</v>
      </c>
      <c r="G1167" s="6">
        <v>0</v>
      </c>
      <c r="H1167" s="6">
        <v>1</v>
      </c>
      <c r="I1167" s="6">
        <f t="shared" si="18"/>
        <v>1</v>
      </c>
      <c r="J1167" s="8">
        <v>41417</v>
      </c>
      <c r="K1167" s="6">
        <v>53</v>
      </c>
      <c r="L1167">
        <f>VLOOKUP(A1167,Marketing_df2!$A$1:$F$2241,3,FALSE)</f>
        <v>35</v>
      </c>
      <c r="M1167">
        <f>VLOOKUP(A1167,Marketing_df2!$A$1:$F$2241,4,FALSE)</f>
        <v>29</v>
      </c>
      <c r="N1167">
        <f>VLOOKUP(A1167,Marketing_df2!$A$1:$F$2241,5,FALSE)</f>
        <v>4</v>
      </c>
      <c r="O1167">
        <f>VLOOKUP(A1167,Marketing_df2!$A$1:$F$2241,6,FALSE)</f>
        <v>12</v>
      </c>
    </row>
    <row r="1168" spans="1:15" ht="12.5">
      <c r="A1168" s="6">
        <v>1166</v>
      </c>
      <c r="B1168" s="6">
        <v>6116</v>
      </c>
      <c r="C1168" s="6">
        <v>1968</v>
      </c>
      <c r="D1168" s="7" t="s">
        <v>17</v>
      </c>
      <c r="E1168" s="7" t="s">
        <v>13</v>
      </c>
      <c r="F1168" s="6">
        <v>48985</v>
      </c>
      <c r="G1168" s="6">
        <v>0</v>
      </c>
      <c r="H1168" s="6">
        <v>1</v>
      </c>
      <c r="I1168" s="6">
        <f t="shared" si="18"/>
        <v>1</v>
      </c>
      <c r="J1168" s="8">
        <v>41460</v>
      </c>
      <c r="K1168" s="6">
        <v>13</v>
      </c>
      <c r="L1168">
        <f>VLOOKUP(A1168,Marketing_df2!$A$1:$F$2241,3,FALSE)</f>
        <v>13</v>
      </c>
      <c r="M1168">
        <f>VLOOKUP(A1168,Marketing_df2!$A$1:$F$2241,4,FALSE)</f>
        <v>7</v>
      </c>
      <c r="N1168">
        <f>VLOOKUP(A1168,Marketing_df2!$A$1:$F$2241,5,FALSE)</f>
        <v>1</v>
      </c>
      <c r="O1168">
        <f>VLOOKUP(A1168,Marketing_df2!$A$1:$F$2241,6,FALSE)</f>
        <v>3</v>
      </c>
    </row>
    <row r="1169" spans="1:15" ht="12.5">
      <c r="A1169" s="6">
        <v>1167</v>
      </c>
      <c r="B1169" s="6">
        <v>6263</v>
      </c>
      <c r="C1169" s="6">
        <v>1968</v>
      </c>
      <c r="D1169" s="7" t="s">
        <v>9</v>
      </c>
      <c r="E1169" s="7" t="s">
        <v>11</v>
      </c>
      <c r="F1169" s="6">
        <v>35322</v>
      </c>
      <c r="G1169" s="6">
        <v>1</v>
      </c>
      <c r="H1169" s="6">
        <v>2</v>
      </c>
      <c r="I1169" s="6">
        <f t="shared" si="18"/>
        <v>3</v>
      </c>
      <c r="J1169" s="8">
        <v>41143</v>
      </c>
      <c r="K1169" s="6">
        <v>34</v>
      </c>
      <c r="L1169">
        <f>VLOOKUP(A1169,Marketing_df2!$A$1:$F$2241,3,FALSE)</f>
        <v>9</v>
      </c>
      <c r="M1169">
        <f>VLOOKUP(A1169,Marketing_df2!$A$1:$F$2241,4,FALSE)</f>
        <v>7</v>
      </c>
      <c r="N1169">
        <f>VLOOKUP(A1169,Marketing_df2!$A$1:$F$2241,5,FALSE)</f>
        <v>2</v>
      </c>
      <c r="O1169">
        <f>VLOOKUP(A1169,Marketing_df2!$A$1:$F$2241,6,FALSE)</f>
        <v>4</v>
      </c>
    </row>
    <row r="1170" spans="1:15" ht="12.5">
      <c r="A1170" s="6">
        <v>1168</v>
      </c>
      <c r="B1170" s="6">
        <v>10486</v>
      </c>
      <c r="C1170" s="6">
        <v>1948</v>
      </c>
      <c r="D1170" s="7" t="s">
        <v>9</v>
      </c>
      <c r="E1170" s="7" t="s">
        <v>13</v>
      </c>
      <c r="F1170" s="6">
        <v>77142</v>
      </c>
      <c r="G1170" s="6">
        <v>0</v>
      </c>
      <c r="H1170" s="6">
        <v>0</v>
      </c>
      <c r="I1170" s="6">
        <f t="shared" si="18"/>
        <v>0</v>
      </c>
      <c r="J1170" s="8">
        <v>41423</v>
      </c>
      <c r="K1170" s="6">
        <v>54</v>
      </c>
      <c r="L1170">
        <f>VLOOKUP(A1170,Marketing_df2!$A$1:$F$2241,3,FALSE)</f>
        <v>75</v>
      </c>
      <c r="M1170">
        <f>VLOOKUP(A1170,Marketing_df2!$A$1:$F$2241,4,FALSE)</f>
        <v>151</v>
      </c>
      <c r="N1170">
        <f>VLOOKUP(A1170,Marketing_df2!$A$1:$F$2241,5,FALSE)</f>
        <v>4</v>
      </c>
      <c r="O1170">
        <f>VLOOKUP(A1170,Marketing_df2!$A$1:$F$2241,6,FALSE)</f>
        <v>8</v>
      </c>
    </row>
    <row r="1171" spans="1:15" ht="12.5">
      <c r="A1171" s="6">
        <v>1169</v>
      </c>
      <c r="B1171" s="6">
        <v>2410</v>
      </c>
      <c r="C1171" s="6">
        <v>1969</v>
      </c>
      <c r="D1171" s="7" t="s">
        <v>9</v>
      </c>
      <c r="E1171" s="7" t="s">
        <v>10</v>
      </c>
      <c r="F1171" s="6">
        <v>81657</v>
      </c>
      <c r="G1171" s="6">
        <v>0</v>
      </c>
      <c r="H1171" s="6">
        <v>0</v>
      </c>
      <c r="I1171" s="6">
        <f t="shared" si="18"/>
        <v>0</v>
      </c>
      <c r="J1171" s="8">
        <v>41661</v>
      </c>
      <c r="K1171" s="6">
        <v>69</v>
      </c>
      <c r="L1171">
        <f>VLOOKUP(A1171,Marketing_df2!$A$1:$F$2241,3,FALSE)</f>
        <v>40</v>
      </c>
      <c r="M1171">
        <f>VLOOKUP(A1171,Marketing_df2!$A$1:$F$2241,4,FALSE)</f>
        <v>60</v>
      </c>
      <c r="N1171">
        <f>VLOOKUP(A1171,Marketing_df2!$A$1:$F$2241,5,FALSE)</f>
        <v>3</v>
      </c>
      <c r="O1171">
        <f>VLOOKUP(A1171,Marketing_df2!$A$1:$F$2241,6,FALSE)</f>
        <v>8</v>
      </c>
    </row>
    <row r="1172" spans="1:15" ht="12.5">
      <c r="A1172" s="6">
        <v>1170</v>
      </c>
      <c r="B1172" s="6">
        <v>193</v>
      </c>
      <c r="C1172" s="6">
        <v>1996</v>
      </c>
      <c r="D1172" s="7" t="s">
        <v>16</v>
      </c>
      <c r="E1172" s="7" t="s">
        <v>13</v>
      </c>
      <c r="F1172" s="6">
        <v>14421</v>
      </c>
      <c r="G1172" s="6">
        <v>0</v>
      </c>
      <c r="H1172" s="6">
        <v>0</v>
      </c>
      <c r="I1172" s="6">
        <f t="shared" si="18"/>
        <v>0</v>
      </c>
      <c r="J1172" s="8">
        <v>41687</v>
      </c>
      <c r="K1172" s="6">
        <v>81</v>
      </c>
      <c r="L1172">
        <f>VLOOKUP(A1172,Marketing_df2!$A$1:$F$2241,3,FALSE)</f>
        <v>0</v>
      </c>
      <c r="M1172">
        <f>VLOOKUP(A1172,Marketing_df2!$A$1:$F$2241,4,FALSE)</f>
        <v>3</v>
      </c>
      <c r="N1172">
        <f>VLOOKUP(A1172,Marketing_df2!$A$1:$F$2241,5,FALSE)</f>
        <v>1</v>
      </c>
      <c r="O1172">
        <f>VLOOKUP(A1172,Marketing_df2!$A$1:$F$2241,6,FALSE)</f>
        <v>2</v>
      </c>
    </row>
    <row r="1173" spans="1:15" ht="12.5">
      <c r="A1173" s="6">
        <v>1171</v>
      </c>
      <c r="B1173" s="6">
        <v>3363</v>
      </c>
      <c r="C1173" s="6">
        <v>1974</v>
      </c>
      <c r="D1173" s="7" t="s">
        <v>17</v>
      </c>
      <c r="E1173" s="7" t="s">
        <v>13</v>
      </c>
      <c r="F1173" s="6">
        <v>20130</v>
      </c>
      <c r="G1173" s="6">
        <v>0</v>
      </c>
      <c r="H1173" s="6">
        <v>0</v>
      </c>
      <c r="I1173" s="6">
        <f t="shared" si="18"/>
        <v>0</v>
      </c>
      <c r="J1173" s="8">
        <v>41715</v>
      </c>
      <c r="K1173" s="6">
        <v>99</v>
      </c>
      <c r="L1173">
        <f>VLOOKUP(A1173,Marketing_df2!$A$1:$F$2241,3,FALSE)</f>
        <v>6</v>
      </c>
      <c r="M1173">
        <f>VLOOKUP(A1173,Marketing_df2!$A$1:$F$2241,4,FALSE)</f>
        <v>6</v>
      </c>
      <c r="N1173">
        <f>VLOOKUP(A1173,Marketing_df2!$A$1:$F$2241,5,FALSE)</f>
        <v>1</v>
      </c>
      <c r="O1173">
        <f>VLOOKUP(A1173,Marketing_df2!$A$1:$F$2241,6,FALSE)</f>
        <v>3</v>
      </c>
    </row>
    <row r="1174" spans="1:15" ht="12.5">
      <c r="A1174" s="6">
        <v>1172</v>
      </c>
      <c r="B1174" s="6">
        <v>8278</v>
      </c>
      <c r="C1174" s="6">
        <v>1990</v>
      </c>
      <c r="D1174" s="7" t="s">
        <v>12</v>
      </c>
      <c r="E1174" s="7" t="s">
        <v>13</v>
      </c>
      <c r="F1174" s="6">
        <v>74214</v>
      </c>
      <c r="G1174" s="6">
        <v>0</v>
      </c>
      <c r="H1174" s="6">
        <v>0</v>
      </c>
      <c r="I1174" s="6">
        <f t="shared" si="18"/>
        <v>0</v>
      </c>
      <c r="J1174" s="8">
        <v>41147</v>
      </c>
      <c r="K1174" s="6">
        <v>3</v>
      </c>
      <c r="L1174">
        <f>VLOOKUP(A1174,Marketing_df2!$A$1:$F$2241,3,FALSE)</f>
        <v>83</v>
      </c>
      <c r="M1174">
        <f>VLOOKUP(A1174,Marketing_df2!$A$1:$F$2241,4,FALSE)</f>
        <v>99</v>
      </c>
      <c r="N1174">
        <f>VLOOKUP(A1174,Marketing_df2!$A$1:$F$2241,5,FALSE)</f>
        <v>8</v>
      </c>
      <c r="O1174">
        <f>VLOOKUP(A1174,Marketing_df2!$A$1:$F$2241,6,FALSE)</f>
        <v>5</v>
      </c>
    </row>
    <row r="1175" spans="1:15" ht="12.5">
      <c r="A1175" s="6">
        <v>1173</v>
      </c>
      <c r="B1175" s="6">
        <v>10660</v>
      </c>
      <c r="C1175" s="6">
        <v>1957</v>
      </c>
      <c r="D1175" s="7" t="s">
        <v>14</v>
      </c>
      <c r="E1175" s="7" t="s">
        <v>13</v>
      </c>
      <c r="F1175" s="6">
        <v>66726</v>
      </c>
      <c r="G1175" s="6">
        <v>1</v>
      </c>
      <c r="H1175" s="6">
        <v>1</v>
      </c>
      <c r="I1175" s="6">
        <f t="shared" si="18"/>
        <v>2</v>
      </c>
      <c r="J1175" s="8">
        <v>41651</v>
      </c>
      <c r="K1175" s="6">
        <v>61</v>
      </c>
      <c r="L1175">
        <f>VLOOKUP(A1175,Marketing_df2!$A$1:$F$2241,3,FALSE)</f>
        <v>7</v>
      </c>
      <c r="M1175">
        <f>VLOOKUP(A1175,Marketing_df2!$A$1:$F$2241,4,FALSE)</f>
        <v>0</v>
      </c>
      <c r="N1175">
        <f>VLOOKUP(A1175,Marketing_df2!$A$1:$F$2241,5,FALSE)</f>
        <v>8</v>
      </c>
      <c r="O1175">
        <f>VLOOKUP(A1175,Marketing_df2!$A$1:$F$2241,6,FALSE)</f>
        <v>4</v>
      </c>
    </row>
    <row r="1176" spans="1:15" ht="12.5">
      <c r="A1176" s="6">
        <v>1174</v>
      </c>
      <c r="B1176" s="6">
        <v>8686</v>
      </c>
      <c r="C1176" s="6">
        <v>1979</v>
      </c>
      <c r="D1176" s="7" t="s">
        <v>16</v>
      </c>
      <c r="E1176" s="7" t="s">
        <v>11</v>
      </c>
      <c r="F1176" s="6">
        <v>23724</v>
      </c>
      <c r="G1176" s="6">
        <v>1</v>
      </c>
      <c r="H1176" s="6">
        <v>0</v>
      </c>
      <c r="I1176" s="6">
        <f t="shared" si="18"/>
        <v>1</v>
      </c>
      <c r="J1176" s="8">
        <v>41282</v>
      </c>
      <c r="K1176" s="6">
        <v>65</v>
      </c>
      <c r="L1176">
        <f>VLOOKUP(A1176,Marketing_df2!$A$1:$F$2241,3,FALSE)</f>
        <v>23</v>
      </c>
      <c r="M1176">
        <f>VLOOKUP(A1176,Marketing_df2!$A$1:$F$2241,4,FALSE)</f>
        <v>18</v>
      </c>
      <c r="N1176">
        <f>VLOOKUP(A1176,Marketing_df2!$A$1:$F$2241,5,FALSE)</f>
        <v>2</v>
      </c>
      <c r="O1176">
        <f>VLOOKUP(A1176,Marketing_df2!$A$1:$F$2241,6,FALSE)</f>
        <v>3</v>
      </c>
    </row>
    <row r="1177" spans="1:15" ht="12.5">
      <c r="A1177" s="6">
        <v>1175</v>
      </c>
      <c r="B1177" s="6">
        <v>1604</v>
      </c>
      <c r="C1177" s="6">
        <v>1960</v>
      </c>
      <c r="D1177" s="7" t="s">
        <v>14</v>
      </c>
      <c r="E1177" s="7" t="s">
        <v>13</v>
      </c>
      <c r="F1177" s="6">
        <v>47353</v>
      </c>
      <c r="G1177" s="6">
        <v>0</v>
      </c>
      <c r="H1177" s="6">
        <v>1</v>
      </c>
      <c r="I1177" s="6">
        <f t="shared" si="18"/>
        <v>1</v>
      </c>
      <c r="J1177" s="9">
        <v>41591</v>
      </c>
      <c r="K1177" s="6">
        <v>93</v>
      </c>
      <c r="L1177">
        <f>VLOOKUP(A1177,Marketing_df2!$A$1:$F$2241,3,FALSE)</f>
        <v>2</v>
      </c>
      <c r="M1177">
        <f>VLOOKUP(A1177,Marketing_df2!$A$1:$F$2241,4,FALSE)</f>
        <v>8</v>
      </c>
      <c r="N1177">
        <f>VLOOKUP(A1177,Marketing_df2!$A$1:$F$2241,5,FALSE)</f>
        <v>2</v>
      </c>
      <c r="O1177">
        <f>VLOOKUP(A1177,Marketing_df2!$A$1:$F$2241,6,FALSE)</f>
        <v>6</v>
      </c>
    </row>
    <row r="1178" spans="1:15" ht="12.5">
      <c r="A1178" s="6">
        <v>1176</v>
      </c>
      <c r="B1178" s="6">
        <v>5907</v>
      </c>
      <c r="C1178" s="6">
        <v>1952</v>
      </c>
      <c r="D1178" s="7" t="s">
        <v>14</v>
      </c>
      <c r="E1178" s="7" t="s">
        <v>13</v>
      </c>
      <c r="F1178" s="6">
        <v>33444</v>
      </c>
      <c r="G1178" s="6">
        <v>1</v>
      </c>
      <c r="H1178" s="6">
        <v>1</v>
      </c>
      <c r="I1178" s="6">
        <f t="shared" si="18"/>
        <v>2</v>
      </c>
      <c r="J1178" s="8">
        <v>41216</v>
      </c>
      <c r="K1178" s="6">
        <v>24</v>
      </c>
      <c r="L1178">
        <f>VLOOKUP(A1178,Marketing_df2!$A$1:$F$2241,3,FALSE)</f>
        <v>0</v>
      </c>
      <c r="M1178">
        <f>VLOOKUP(A1178,Marketing_df2!$A$1:$F$2241,4,FALSE)</f>
        <v>0</v>
      </c>
      <c r="N1178">
        <f>VLOOKUP(A1178,Marketing_df2!$A$1:$F$2241,5,FALSE)</f>
        <v>1</v>
      </c>
      <c r="O1178">
        <f>VLOOKUP(A1178,Marketing_df2!$A$1:$F$2241,6,FALSE)</f>
        <v>2</v>
      </c>
    </row>
    <row r="1179" spans="1:15" ht="12.5">
      <c r="A1179" s="6">
        <v>1177</v>
      </c>
      <c r="B1179" s="6">
        <v>10669</v>
      </c>
      <c r="C1179" s="6">
        <v>1981</v>
      </c>
      <c r="D1179" s="7" t="s">
        <v>9</v>
      </c>
      <c r="E1179" s="7" t="s">
        <v>13</v>
      </c>
      <c r="F1179" s="6">
        <v>54386</v>
      </c>
      <c r="G1179" s="6">
        <v>0</v>
      </c>
      <c r="H1179" s="6">
        <v>1</v>
      </c>
      <c r="I1179" s="6">
        <f t="shared" si="18"/>
        <v>1</v>
      </c>
      <c r="J1179" s="8">
        <v>41411</v>
      </c>
      <c r="K1179" s="6">
        <v>8</v>
      </c>
      <c r="L1179">
        <f>VLOOKUP(A1179,Marketing_df2!$A$1:$F$2241,3,FALSE)</f>
        <v>21</v>
      </c>
      <c r="M1179">
        <f>VLOOKUP(A1179,Marketing_df2!$A$1:$F$2241,4,FALSE)</f>
        <v>21</v>
      </c>
      <c r="N1179">
        <f>VLOOKUP(A1179,Marketing_df2!$A$1:$F$2241,5,FALSE)</f>
        <v>3</v>
      </c>
      <c r="O1179">
        <f>VLOOKUP(A1179,Marketing_df2!$A$1:$F$2241,6,FALSE)</f>
        <v>10</v>
      </c>
    </row>
    <row r="1180" spans="1:15" ht="12.5">
      <c r="A1180" s="6">
        <v>1178</v>
      </c>
      <c r="B1180" s="6">
        <v>2918</v>
      </c>
      <c r="C1180" s="6">
        <v>1981</v>
      </c>
      <c r="D1180" s="7" t="s">
        <v>9</v>
      </c>
      <c r="E1180" s="7" t="s">
        <v>15</v>
      </c>
      <c r="F1180" s="6">
        <v>28510</v>
      </c>
      <c r="G1180" s="6">
        <v>1</v>
      </c>
      <c r="H1180" s="6">
        <v>1</v>
      </c>
      <c r="I1180" s="6">
        <f t="shared" si="18"/>
        <v>2</v>
      </c>
      <c r="J1180" s="8">
        <v>41377</v>
      </c>
      <c r="K1180" s="6">
        <v>72</v>
      </c>
      <c r="L1180">
        <f>VLOOKUP(A1180,Marketing_df2!$A$1:$F$2241,3,FALSE)</f>
        <v>5</v>
      </c>
      <c r="M1180">
        <f>VLOOKUP(A1180,Marketing_df2!$A$1:$F$2241,4,FALSE)</f>
        <v>4</v>
      </c>
      <c r="N1180">
        <f>VLOOKUP(A1180,Marketing_df2!$A$1:$F$2241,5,FALSE)</f>
        <v>2</v>
      </c>
      <c r="O1180">
        <f>VLOOKUP(A1180,Marketing_df2!$A$1:$F$2241,6,FALSE)</f>
        <v>4</v>
      </c>
    </row>
    <row r="1181" spans="1:15" ht="12.5">
      <c r="A1181" s="6">
        <v>1179</v>
      </c>
      <c r="B1181" s="6">
        <v>5735</v>
      </c>
      <c r="C1181" s="6">
        <v>1991</v>
      </c>
      <c r="D1181" s="7" t="s">
        <v>14</v>
      </c>
      <c r="E1181" s="7" t="s">
        <v>10</v>
      </c>
      <c r="F1181" s="6">
        <v>90638</v>
      </c>
      <c r="G1181" s="6">
        <v>0</v>
      </c>
      <c r="H1181" s="6">
        <v>0</v>
      </c>
      <c r="I1181" s="6">
        <f t="shared" si="18"/>
        <v>0</v>
      </c>
      <c r="J1181" s="8">
        <v>41683</v>
      </c>
      <c r="K1181" s="6">
        <v>29</v>
      </c>
      <c r="L1181">
        <f>VLOOKUP(A1181,Marketing_df2!$A$1:$F$2241,3,FALSE)</f>
        <v>120</v>
      </c>
      <c r="M1181">
        <f>VLOOKUP(A1181,Marketing_df2!$A$1:$F$2241,4,FALSE)</f>
        <v>144</v>
      </c>
      <c r="N1181">
        <f>VLOOKUP(A1181,Marketing_df2!$A$1:$F$2241,5,FALSE)</f>
        <v>3</v>
      </c>
      <c r="O1181">
        <f>VLOOKUP(A1181,Marketing_df2!$A$1:$F$2241,6,FALSE)</f>
        <v>10</v>
      </c>
    </row>
    <row r="1182" spans="1:15" ht="12.5">
      <c r="A1182" s="6">
        <v>1180</v>
      </c>
      <c r="B1182" s="6">
        <v>359</v>
      </c>
      <c r="C1182" s="6">
        <v>1950</v>
      </c>
      <c r="D1182" s="7" t="s">
        <v>9</v>
      </c>
      <c r="E1182" s="7" t="s">
        <v>11</v>
      </c>
      <c r="F1182" s="6">
        <v>48070</v>
      </c>
      <c r="G1182" s="6">
        <v>0</v>
      </c>
      <c r="H1182" s="6">
        <v>1</v>
      </c>
      <c r="I1182" s="6">
        <f t="shared" si="18"/>
        <v>1</v>
      </c>
      <c r="J1182" s="8">
        <v>41287</v>
      </c>
      <c r="K1182" s="6">
        <v>33</v>
      </c>
      <c r="L1182">
        <f>VLOOKUP(A1182,Marketing_df2!$A$1:$F$2241,3,FALSE)</f>
        <v>14</v>
      </c>
      <c r="M1182">
        <f>VLOOKUP(A1182,Marketing_df2!$A$1:$F$2241,4,FALSE)</f>
        <v>9</v>
      </c>
      <c r="N1182">
        <f>VLOOKUP(A1182,Marketing_df2!$A$1:$F$2241,5,FALSE)</f>
        <v>8</v>
      </c>
      <c r="O1182">
        <f>VLOOKUP(A1182,Marketing_df2!$A$1:$F$2241,6,FALSE)</f>
        <v>6</v>
      </c>
    </row>
    <row r="1183" spans="1:15" ht="12.5">
      <c r="A1183" s="6">
        <v>1181</v>
      </c>
      <c r="B1183" s="6">
        <v>8387</v>
      </c>
      <c r="C1183" s="6">
        <v>1957</v>
      </c>
      <c r="D1183" s="7" t="s">
        <v>9</v>
      </c>
      <c r="E1183" s="7" t="s">
        <v>13</v>
      </c>
      <c r="F1183" s="6">
        <v>43140</v>
      </c>
      <c r="G1183" s="6">
        <v>0</v>
      </c>
      <c r="H1183" s="6">
        <v>1</v>
      </c>
      <c r="I1183" s="6">
        <f t="shared" si="18"/>
        <v>1</v>
      </c>
      <c r="J1183" s="8">
        <v>41279</v>
      </c>
      <c r="K1183" s="6">
        <v>68</v>
      </c>
      <c r="L1183">
        <f>VLOOKUP(A1183,Marketing_df2!$A$1:$F$2241,3,FALSE)</f>
        <v>8</v>
      </c>
      <c r="M1183">
        <f>VLOOKUP(A1183,Marketing_df2!$A$1:$F$2241,4,FALSE)</f>
        <v>0</v>
      </c>
      <c r="N1183">
        <f>VLOOKUP(A1183,Marketing_df2!$A$1:$F$2241,5,FALSE)</f>
        <v>4</v>
      </c>
      <c r="O1183">
        <f>VLOOKUP(A1183,Marketing_df2!$A$1:$F$2241,6,FALSE)</f>
        <v>5</v>
      </c>
    </row>
    <row r="1184" spans="1:15" ht="12.5">
      <c r="A1184" s="6">
        <v>1182</v>
      </c>
      <c r="B1184" s="6">
        <v>1829</v>
      </c>
      <c r="C1184" s="6">
        <v>1961</v>
      </c>
      <c r="D1184" s="7" t="s">
        <v>12</v>
      </c>
      <c r="E1184" s="7" t="s">
        <v>15</v>
      </c>
      <c r="F1184" s="6">
        <v>54959</v>
      </c>
      <c r="G1184" s="6">
        <v>0</v>
      </c>
      <c r="H1184" s="6">
        <v>1</v>
      </c>
      <c r="I1184" s="6">
        <f t="shared" si="18"/>
        <v>1</v>
      </c>
      <c r="J1184" s="8">
        <v>41293</v>
      </c>
      <c r="K1184" s="6">
        <v>55</v>
      </c>
      <c r="L1184">
        <f>VLOOKUP(A1184,Marketing_df2!$A$1:$F$2241,3,FALSE)</f>
        <v>0</v>
      </c>
      <c r="M1184">
        <f>VLOOKUP(A1184,Marketing_df2!$A$1:$F$2241,4,FALSE)</f>
        <v>0</v>
      </c>
      <c r="N1184">
        <f>VLOOKUP(A1184,Marketing_df2!$A$1:$F$2241,5,FALSE)</f>
        <v>9</v>
      </c>
      <c r="O1184">
        <f>VLOOKUP(A1184,Marketing_df2!$A$1:$F$2241,6,FALSE)</f>
        <v>4</v>
      </c>
    </row>
    <row r="1185" spans="1:15" ht="12.5">
      <c r="A1185" s="6">
        <v>1183</v>
      </c>
      <c r="B1185" s="6">
        <v>3839</v>
      </c>
      <c r="C1185" s="6">
        <v>1958</v>
      </c>
      <c r="D1185" s="7" t="s">
        <v>16</v>
      </c>
      <c r="E1185" s="7" t="s">
        <v>10</v>
      </c>
      <c r="F1185" s="6">
        <v>15056</v>
      </c>
      <c r="G1185" s="6">
        <v>1</v>
      </c>
      <c r="H1185" s="6">
        <v>1</v>
      </c>
      <c r="I1185" s="6">
        <f t="shared" si="18"/>
        <v>2</v>
      </c>
      <c r="J1185" s="8">
        <v>41397</v>
      </c>
      <c r="K1185" s="6">
        <v>76</v>
      </c>
      <c r="L1185">
        <f>VLOOKUP(A1185,Marketing_df2!$A$1:$F$2241,3,FALSE)</f>
        <v>12</v>
      </c>
      <c r="M1185">
        <f>VLOOKUP(A1185,Marketing_df2!$A$1:$F$2241,4,FALSE)</f>
        <v>6</v>
      </c>
      <c r="N1185">
        <f>VLOOKUP(A1185,Marketing_df2!$A$1:$F$2241,5,FALSE)</f>
        <v>2</v>
      </c>
      <c r="O1185">
        <f>VLOOKUP(A1185,Marketing_df2!$A$1:$F$2241,6,FALSE)</f>
        <v>3</v>
      </c>
    </row>
    <row r="1186" spans="1:15" ht="12.5">
      <c r="A1186" s="6">
        <v>1184</v>
      </c>
      <c r="B1186" s="6">
        <v>9392</v>
      </c>
      <c r="C1186" s="6">
        <v>1971</v>
      </c>
      <c r="D1186" s="7" t="s">
        <v>9</v>
      </c>
      <c r="E1186" s="7" t="s">
        <v>10</v>
      </c>
      <c r="F1186" s="6">
        <v>26954</v>
      </c>
      <c r="G1186" s="6">
        <v>1</v>
      </c>
      <c r="H1186" s="6">
        <v>0</v>
      </c>
      <c r="I1186" s="6">
        <f t="shared" si="18"/>
        <v>1</v>
      </c>
      <c r="J1186" s="8">
        <v>41767</v>
      </c>
      <c r="K1186" s="6">
        <v>17</v>
      </c>
      <c r="L1186">
        <f>VLOOKUP(A1186,Marketing_df2!$A$1:$F$2241,3,FALSE)</f>
        <v>1</v>
      </c>
      <c r="M1186">
        <f>VLOOKUP(A1186,Marketing_df2!$A$1:$F$2241,4,FALSE)</f>
        <v>0</v>
      </c>
      <c r="N1186">
        <f>VLOOKUP(A1186,Marketing_df2!$A$1:$F$2241,5,FALSE)</f>
        <v>1</v>
      </c>
      <c r="O1186">
        <f>VLOOKUP(A1186,Marketing_df2!$A$1:$F$2241,6,FALSE)</f>
        <v>2</v>
      </c>
    </row>
    <row r="1187" spans="1:15" ht="12.5">
      <c r="A1187" s="6">
        <v>1185</v>
      </c>
      <c r="B1187" s="6">
        <v>2292</v>
      </c>
      <c r="C1187" s="6">
        <v>1985</v>
      </c>
      <c r="D1187" s="7" t="s">
        <v>9</v>
      </c>
      <c r="E1187" s="7" t="s">
        <v>10</v>
      </c>
      <c r="F1187" s="6">
        <v>22327</v>
      </c>
      <c r="G1187" s="6">
        <v>1</v>
      </c>
      <c r="H1187" s="6">
        <v>0</v>
      </c>
      <c r="I1187" s="6">
        <f t="shared" si="18"/>
        <v>1</v>
      </c>
      <c r="J1187" s="8">
        <v>41488</v>
      </c>
      <c r="K1187" s="6">
        <v>94</v>
      </c>
      <c r="L1187">
        <f>VLOOKUP(A1187,Marketing_df2!$A$1:$F$2241,3,FALSE)</f>
        <v>4</v>
      </c>
      <c r="M1187">
        <f>VLOOKUP(A1187,Marketing_df2!$A$1:$F$2241,4,FALSE)</f>
        <v>0</v>
      </c>
      <c r="N1187">
        <f>VLOOKUP(A1187,Marketing_df2!$A$1:$F$2241,5,FALSE)</f>
        <v>1</v>
      </c>
      <c r="O1187">
        <f>VLOOKUP(A1187,Marketing_df2!$A$1:$F$2241,6,FALSE)</f>
        <v>3</v>
      </c>
    </row>
    <row r="1188" spans="1:15" ht="12.5">
      <c r="A1188" s="6">
        <v>1186</v>
      </c>
      <c r="B1188" s="6">
        <v>10466</v>
      </c>
      <c r="C1188" s="6">
        <v>1965</v>
      </c>
      <c r="D1188" s="7" t="s">
        <v>9</v>
      </c>
      <c r="E1188" s="7" t="s">
        <v>13</v>
      </c>
      <c r="F1188" s="6">
        <v>44393</v>
      </c>
      <c r="G1188" s="6">
        <v>1</v>
      </c>
      <c r="H1188" s="6">
        <v>1</v>
      </c>
      <c r="I1188" s="6">
        <f t="shared" si="18"/>
        <v>2</v>
      </c>
      <c r="J1188" s="8">
        <v>41508</v>
      </c>
      <c r="K1188" s="6">
        <v>86</v>
      </c>
      <c r="L1188">
        <f>VLOOKUP(A1188,Marketing_df2!$A$1:$F$2241,3,FALSE)</f>
        <v>2</v>
      </c>
      <c r="M1188">
        <f>VLOOKUP(A1188,Marketing_df2!$A$1:$F$2241,4,FALSE)</f>
        <v>2</v>
      </c>
      <c r="N1188">
        <f>VLOOKUP(A1188,Marketing_df2!$A$1:$F$2241,5,FALSE)</f>
        <v>1</v>
      </c>
      <c r="O1188">
        <f>VLOOKUP(A1188,Marketing_df2!$A$1:$F$2241,6,FALSE)</f>
        <v>4</v>
      </c>
    </row>
    <row r="1189" spans="1:15" ht="12.5">
      <c r="A1189" s="6">
        <v>1187</v>
      </c>
      <c r="B1189" s="6">
        <v>9855</v>
      </c>
      <c r="C1189" s="6">
        <v>1952</v>
      </c>
      <c r="D1189" s="7" t="s">
        <v>12</v>
      </c>
      <c r="E1189" s="7" t="s">
        <v>10</v>
      </c>
      <c r="F1189" s="6">
        <v>62000</v>
      </c>
      <c r="G1189" s="6">
        <v>0</v>
      </c>
      <c r="H1189" s="6">
        <v>1</v>
      </c>
      <c r="I1189" s="6">
        <f t="shared" si="18"/>
        <v>1</v>
      </c>
      <c r="J1189" s="8">
        <v>41511</v>
      </c>
      <c r="K1189" s="6">
        <v>25</v>
      </c>
      <c r="L1189">
        <f>VLOOKUP(A1189,Marketing_df2!$A$1:$F$2241,3,FALSE)</f>
        <v>0</v>
      </c>
      <c r="M1189">
        <f>VLOOKUP(A1189,Marketing_df2!$A$1:$F$2241,4,FALSE)</f>
        <v>0</v>
      </c>
      <c r="N1189">
        <f>VLOOKUP(A1189,Marketing_df2!$A$1:$F$2241,5,FALSE)</f>
        <v>6</v>
      </c>
      <c r="O1189">
        <f>VLOOKUP(A1189,Marketing_df2!$A$1:$F$2241,6,FALSE)</f>
        <v>13</v>
      </c>
    </row>
    <row r="1190" spans="1:15" ht="12.5">
      <c r="A1190" s="6">
        <v>1188</v>
      </c>
      <c r="B1190" s="6">
        <v>4088</v>
      </c>
      <c r="C1190" s="6">
        <v>1962</v>
      </c>
      <c r="D1190" s="7" t="s">
        <v>12</v>
      </c>
      <c r="E1190" s="7" t="s">
        <v>11</v>
      </c>
      <c r="F1190" s="6">
        <v>31497</v>
      </c>
      <c r="G1190" s="6">
        <v>0</v>
      </c>
      <c r="H1190" s="6">
        <v>1</v>
      </c>
      <c r="I1190" s="6">
        <f t="shared" si="18"/>
        <v>1</v>
      </c>
      <c r="J1190" s="8">
        <v>41249</v>
      </c>
      <c r="K1190" s="6">
        <v>22</v>
      </c>
      <c r="L1190">
        <f>VLOOKUP(A1190,Marketing_df2!$A$1:$F$2241,3,FALSE)</f>
        <v>1</v>
      </c>
      <c r="M1190">
        <f>VLOOKUP(A1190,Marketing_df2!$A$1:$F$2241,4,FALSE)</f>
        <v>1</v>
      </c>
      <c r="N1190">
        <f>VLOOKUP(A1190,Marketing_df2!$A$1:$F$2241,5,FALSE)</f>
        <v>3</v>
      </c>
      <c r="O1190">
        <f>VLOOKUP(A1190,Marketing_df2!$A$1:$F$2241,6,FALSE)</f>
        <v>4</v>
      </c>
    </row>
    <row r="1191" spans="1:15" ht="12.5">
      <c r="A1191" s="6">
        <v>1189</v>
      </c>
      <c r="B1191" s="6">
        <v>5231</v>
      </c>
      <c r="C1191" s="6">
        <v>1974</v>
      </c>
      <c r="D1191" s="7" t="s">
        <v>17</v>
      </c>
      <c r="E1191" s="7" t="s">
        <v>13</v>
      </c>
      <c r="F1191" s="6">
        <v>45894</v>
      </c>
      <c r="G1191" s="6">
        <v>0</v>
      </c>
      <c r="H1191" s="6">
        <v>2</v>
      </c>
      <c r="I1191" s="6">
        <f t="shared" si="18"/>
        <v>2</v>
      </c>
      <c r="J1191" s="8">
        <v>41697</v>
      </c>
      <c r="K1191" s="6">
        <v>15</v>
      </c>
      <c r="L1191">
        <f>VLOOKUP(A1191,Marketing_df2!$A$1:$F$2241,3,FALSE)</f>
        <v>2</v>
      </c>
      <c r="M1191">
        <f>VLOOKUP(A1191,Marketing_df2!$A$1:$F$2241,4,FALSE)</f>
        <v>2</v>
      </c>
      <c r="N1191">
        <f>VLOOKUP(A1191,Marketing_df2!$A$1:$F$2241,5,FALSE)</f>
        <v>1</v>
      </c>
      <c r="O1191">
        <f>VLOOKUP(A1191,Marketing_df2!$A$1:$F$2241,6,FALSE)</f>
        <v>3</v>
      </c>
    </row>
    <row r="1192" spans="1:15" ht="12.5">
      <c r="A1192" s="6">
        <v>1190</v>
      </c>
      <c r="B1192" s="6">
        <v>590</v>
      </c>
      <c r="C1192" s="6">
        <v>1970</v>
      </c>
      <c r="D1192" s="7" t="s">
        <v>14</v>
      </c>
      <c r="E1192" s="7" t="s">
        <v>15</v>
      </c>
      <c r="F1192" s="6">
        <v>78579</v>
      </c>
      <c r="G1192" s="6">
        <v>0</v>
      </c>
      <c r="H1192" s="6">
        <v>0</v>
      </c>
      <c r="I1192" s="6">
        <f t="shared" si="18"/>
        <v>0</v>
      </c>
      <c r="J1192" s="9">
        <v>41265</v>
      </c>
      <c r="K1192" s="6">
        <v>35</v>
      </c>
      <c r="L1192">
        <f>VLOOKUP(A1192,Marketing_df2!$A$1:$F$2241,3,FALSE)</f>
        <v>66</v>
      </c>
      <c r="M1192">
        <f>VLOOKUP(A1192,Marketing_df2!$A$1:$F$2241,4,FALSE)</f>
        <v>66</v>
      </c>
      <c r="N1192">
        <f>VLOOKUP(A1192,Marketing_df2!$A$1:$F$2241,5,FALSE)</f>
        <v>5</v>
      </c>
      <c r="O1192">
        <f>VLOOKUP(A1192,Marketing_df2!$A$1:$F$2241,6,FALSE)</f>
        <v>4</v>
      </c>
    </row>
    <row r="1193" spans="1:15" ht="12.5">
      <c r="A1193" s="6">
        <v>1191</v>
      </c>
      <c r="B1193" s="6">
        <v>8732</v>
      </c>
      <c r="C1193" s="6">
        <v>1969</v>
      </c>
      <c r="D1193" s="7" t="s">
        <v>14</v>
      </c>
      <c r="E1193" s="7" t="s">
        <v>18</v>
      </c>
      <c r="F1193" s="6">
        <v>67369</v>
      </c>
      <c r="G1193" s="6">
        <v>0</v>
      </c>
      <c r="H1193" s="6">
        <v>1</v>
      </c>
      <c r="I1193" s="6">
        <f t="shared" si="18"/>
        <v>1</v>
      </c>
      <c r="J1193" s="9">
        <v>41230</v>
      </c>
      <c r="K1193" s="6">
        <v>81</v>
      </c>
      <c r="L1193">
        <f>VLOOKUP(A1193,Marketing_df2!$A$1:$F$2241,3,FALSE)</f>
        <v>0</v>
      </c>
      <c r="M1193">
        <f>VLOOKUP(A1193,Marketing_df2!$A$1:$F$2241,4,FALSE)</f>
        <v>14</v>
      </c>
      <c r="N1193">
        <f>VLOOKUP(A1193,Marketing_df2!$A$1:$F$2241,5,FALSE)</f>
        <v>7</v>
      </c>
      <c r="O1193">
        <f>VLOOKUP(A1193,Marketing_df2!$A$1:$F$2241,6,FALSE)</f>
        <v>10</v>
      </c>
    </row>
    <row r="1194" spans="1:15" ht="12.5">
      <c r="A1194" s="6">
        <v>1192</v>
      </c>
      <c r="B1194" s="6">
        <v>2315</v>
      </c>
      <c r="C1194" s="6">
        <v>1960</v>
      </c>
      <c r="D1194" s="7" t="s">
        <v>9</v>
      </c>
      <c r="E1194" s="7" t="s">
        <v>15</v>
      </c>
      <c r="F1194" s="6">
        <v>58401</v>
      </c>
      <c r="G1194" s="6">
        <v>0</v>
      </c>
      <c r="H1194" s="6">
        <v>1</v>
      </c>
      <c r="I1194" s="6">
        <f t="shared" si="18"/>
        <v>1</v>
      </c>
      <c r="J1194" s="8">
        <v>41749</v>
      </c>
      <c r="K1194" s="6">
        <v>55</v>
      </c>
      <c r="L1194">
        <f>VLOOKUP(A1194,Marketing_df2!$A$1:$F$2241,3,FALSE)</f>
        <v>0</v>
      </c>
      <c r="M1194">
        <f>VLOOKUP(A1194,Marketing_df2!$A$1:$F$2241,4,FALSE)</f>
        <v>29</v>
      </c>
      <c r="N1194">
        <f>VLOOKUP(A1194,Marketing_df2!$A$1:$F$2241,5,FALSE)</f>
        <v>1</v>
      </c>
      <c r="O1194">
        <f>VLOOKUP(A1194,Marketing_df2!$A$1:$F$2241,6,FALSE)</f>
        <v>2</v>
      </c>
    </row>
    <row r="1195" spans="1:15" ht="12.5">
      <c r="A1195" s="6">
        <v>1193</v>
      </c>
      <c r="B1195" s="6">
        <v>3515</v>
      </c>
      <c r="C1195" s="6">
        <v>1952</v>
      </c>
      <c r="D1195" s="7" t="s">
        <v>9</v>
      </c>
      <c r="E1195" s="7" t="s">
        <v>10</v>
      </c>
      <c r="F1195" s="6">
        <v>62307</v>
      </c>
      <c r="G1195" s="6">
        <v>0</v>
      </c>
      <c r="H1195" s="6">
        <v>1</v>
      </c>
      <c r="I1195" s="6">
        <f t="shared" si="18"/>
        <v>1</v>
      </c>
      <c r="J1195" s="8">
        <v>41687</v>
      </c>
      <c r="K1195" s="6">
        <v>94</v>
      </c>
      <c r="L1195">
        <f>VLOOKUP(A1195,Marketing_df2!$A$1:$F$2241,3,FALSE)</f>
        <v>13</v>
      </c>
      <c r="M1195">
        <f>VLOOKUP(A1195,Marketing_df2!$A$1:$F$2241,4,FALSE)</f>
        <v>6</v>
      </c>
      <c r="N1195">
        <f>VLOOKUP(A1195,Marketing_df2!$A$1:$F$2241,5,FALSE)</f>
        <v>4</v>
      </c>
      <c r="O1195">
        <f>VLOOKUP(A1195,Marketing_df2!$A$1:$F$2241,6,FALSE)</f>
        <v>4</v>
      </c>
    </row>
    <row r="1196" spans="1:15" ht="12.5">
      <c r="A1196" s="6">
        <v>1194</v>
      </c>
      <c r="B1196" s="6">
        <v>2245</v>
      </c>
      <c r="C1196" s="6">
        <v>1969</v>
      </c>
      <c r="D1196" s="7" t="s">
        <v>14</v>
      </c>
      <c r="E1196" s="7" t="s">
        <v>13</v>
      </c>
      <c r="F1196" s="6">
        <v>43641</v>
      </c>
      <c r="G1196" s="6">
        <v>1</v>
      </c>
      <c r="H1196" s="6">
        <v>1</v>
      </c>
      <c r="I1196" s="6">
        <f t="shared" si="18"/>
        <v>2</v>
      </c>
      <c r="J1196" s="8">
        <v>41386</v>
      </c>
      <c r="K1196" s="6">
        <v>50</v>
      </c>
      <c r="L1196">
        <f>VLOOKUP(A1196,Marketing_df2!$A$1:$F$2241,3,FALSE)</f>
        <v>2</v>
      </c>
      <c r="M1196">
        <f>VLOOKUP(A1196,Marketing_df2!$A$1:$F$2241,4,FALSE)</f>
        <v>2</v>
      </c>
      <c r="N1196">
        <f>VLOOKUP(A1196,Marketing_df2!$A$1:$F$2241,5,FALSE)</f>
        <v>2</v>
      </c>
      <c r="O1196">
        <f>VLOOKUP(A1196,Marketing_df2!$A$1:$F$2241,6,FALSE)</f>
        <v>4</v>
      </c>
    </row>
    <row r="1197" spans="1:15" ht="12.5">
      <c r="A1197" s="6">
        <v>1195</v>
      </c>
      <c r="B1197" s="6">
        <v>6283</v>
      </c>
      <c r="C1197" s="6">
        <v>1968</v>
      </c>
      <c r="D1197" s="7" t="s">
        <v>14</v>
      </c>
      <c r="E1197" s="7" t="s">
        <v>15</v>
      </c>
      <c r="F1197" s="6">
        <v>63841</v>
      </c>
      <c r="G1197" s="6">
        <v>0</v>
      </c>
      <c r="H1197" s="6">
        <v>1</v>
      </c>
      <c r="I1197" s="6">
        <f t="shared" si="18"/>
        <v>1</v>
      </c>
      <c r="J1197" s="8">
        <v>41385</v>
      </c>
      <c r="K1197" s="6">
        <v>64</v>
      </c>
      <c r="L1197">
        <f>VLOOKUP(A1197,Marketing_df2!$A$1:$F$2241,3,FALSE)</f>
        <v>15</v>
      </c>
      <c r="M1197">
        <f>VLOOKUP(A1197,Marketing_df2!$A$1:$F$2241,4,FALSE)</f>
        <v>7</v>
      </c>
      <c r="N1197">
        <f>VLOOKUP(A1197,Marketing_df2!$A$1:$F$2241,5,FALSE)</f>
        <v>9</v>
      </c>
      <c r="O1197">
        <f>VLOOKUP(A1197,Marketing_df2!$A$1:$F$2241,6,FALSE)</f>
        <v>9</v>
      </c>
    </row>
    <row r="1198" spans="1:15" ht="12.5">
      <c r="A1198" s="6">
        <v>1196</v>
      </c>
      <c r="B1198" s="6">
        <v>2246</v>
      </c>
      <c r="C1198" s="6">
        <v>1965</v>
      </c>
      <c r="D1198" s="7" t="s">
        <v>17</v>
      </c>
      <c r="E1198" s="7" t="s">
        <v>13</v>
      </c>
      <c r="F1198" s="6">
        <v>46891</v>
      </c>
      <c r="G1198" s="6">
        <v>0</v>
      </c>
      <c r="H1198" s="6">
        <v>1</v>
      </c>
      <c r="I1198" s="6">
        <f t="shared" si="18"/>
        <v>1</v>
      </c>
      <c r="J1198" s="8">
        <v>41518</v>
      </c>
      <c r="K1198" s="6">
        <v>91</v>
      </c>
      <c r="L1198">
        <f>VLOOKUP(A1198,Marketing_df2!$A$1:$F$2241,3,FALSE)</f>
        <v>12</v>
      </c>
      <c r="M1198">
        <f>VLOOKUP(A1198,Marketing_df2!$A$1:$F$2241,4,FALSE)</f>
        <v>15</v>
      </c>
      <c r="N1198">
        <f>VLOOKUP(A1198,Marketing_df2!$A$1:$F$2241,5,FALSE)</f>
        <v>2</v>
      </c>
      <c r="O1198">
        <f>VLOOKUP(A1198,Marketing_df2!$A$1:$F$2241,6,FALSE)</f>
        <v>4</v>
      </c>
    </row>
    <row r="1199" spans="1:15" ht="12.5">
      <c r="A1199" s="6">
        <v>1197</v>
      </c>
      <c r="B1199" s="6">
        <v>6606</v>
      </c>
      <c r="C1199" s="6">
        <v>1969</v>
      </c>
      <c r="D1199" s="7" t="s">
        <v>14</v>
      </c>
      <c r="E1199" s="7" t="s">
        <v>13</v>
      </c>
      <c r="F1199" s="6">
        <v>70091</v>
      </c>
      <c r="G1199" s="6">
        <v>1</v>
      </c>
      <c r="H1199" s="6">
        <v>0</v>
      </c>
      <c r="I1199" s="6">
        <f t="shared" si="18"/>
        <v>1</v>
      </c>
      <c r="J1199" s="8">
        <v>41364</v>
      </c>
      <c r="K1199" s="6">
        <v>11</v>
      </c>
      <c r="L1199">
        <f>VLOOKUP(A1199,Marketing_df2!$A$1:$F$2241,3,FALSE)</f>
        <v>34</v>
      </c>
      <c r="M1199">
        <f>VLOOKUP(A1199,Marketing_df2!$A$1:$F$2241,4,FALSE)</f>
        <v>0</v>
      </c>
      <c r="N1199">
        <f>VLOOKUP(A1199,Marketing_df2!$A$1:$F$2241,5,FALSE)</f>
        <v>5</v>
      </c>
      <c r="O1199">
        <f>VLOOKUP(A1199,Marketing_df2!$A$1:$F$2241,6,FALSE)</f>
        <v>10</v>
      </c>
    </row>
    <row r="1200" spans="1:15" ht="12.5">
      <c r="A1200" s="6">
        <v>1198</v>
      </c>
      <c r="B1200" s="6">
        <v>5545</v>
      </c>
      <c r="C1200" s="6">
        <v>1972</v>
      </c>
      <c r="D1200" s="7" t="s">
        <v>12</v>
      </c>
      <c r="E1200" s="7" t="s">
        <v>13</v>
      </c>
      <c r="F1200" s="6">
        <v>78075</v>
      </c>
      <c r="G1200" s="6">
        <v>0</v>
      </c>
      <c r="H1200" s="6">
        <v>0</v>
      </c>
      <c r="I1200" s="6">
        <f t="shared" si="18"/>
        <v>0</v>
      </c>
      <c r="J1200" s="8">
        <v>41734</v>
      </c>
      <c r="K1200" s="6">
        <v>72</v>
      </c>
      <c r="L1200">
        <f>VLOOKUP(A1200,Marketing_df2!$A$1:$F$2241,3,FALSE)</f>
        <v>8</v>
      </c>
      <c r="M1200">
        <f>VLOOKUP(A1200,Marketing_df2!$A$1:$F$2241,4,FALSE)</f>
        <v>35</v>
      </c>
      <c r="N1200">
        <f>VLOOKUP(A1200,Marketing_df2!$A$1:$F$2241,5,FALSE)</f>
        <v>3</v>
      </c>
      <c r="O1200">
        <f>VLOOKUP(A1200,Marketing_df2!$A$1:$F$2241,6,FALSE)</f>
        <v>5</v>
      </c>
    </row>
    <row r="1201" spans="1:15" ht="12.5">
      <c r="A1201" s="6">
        <v>1199</v>
      </c>
      <c r="B1201" s="6">
        <v>7342</v>
      </c>
      <c r="C1201" s="6">
        <v>1961</v>
      </c>
      <c r="D1201" s="7" t="s">
        <v>17</v>
      </c>
      <c r="E1201" s="7" t="s">
        <v>18</v>
      </c>
      <c r="F1201" s="6">
        <v>59184</v>
      </c>
      <c r="G1201" s="6">
        <v>0</v>
      </c>
      <c r="H1201" s="6">
        <v>1</v>
      </c>
      <c r="I1201" s="6">
        <f t="shared" si="18"/>
        <v>1</v>
      </c>
      <c r="J1201" s="8">
        <v>41161</v>
      </c>
      <c r="K1201" s="6">
        <v>6</v>
      </c>
      <c r="L1201">
        <f>VLOOKUP(A1201,Marketing_df2!$A$1:$F$2241,3,FALSE)</f>
        <v>142</v>
      </c>
      <c r="M1201">
        <f>VLOOKUP(A1201,Marketing_df2!$A$1:$F$2241,4,FALSE)</f>
        <v>151</v>
      </c>
      <c r="N1201">
        <f>VLOOKUP(A1201,Marketing_df2!$A$1:$F$2241,5,FALSE)</f>
        <v>6</v>
      </c>
      <c r="O1201">
        <f>VLOOKUP(A1201,Marketing_df2!$A$1:$F$2241,6,FALSE)</f>
        <v>12</v>
      </c>
    </row>
    <row r="1202" spans="1:15" ht="12.5">
      <c r="A1202" s="6">
        <v>1200</v>
      </c>
      <c r="B1202" s="6">
        <v>837</v>
      </c>
      <c r="C1202" s="6">
        <v>1977</v>
      </c>
      <c r="D1202" s="7" t="s">
        <v>9</v>
      </c>
      <c r="E1202" s="7" t="s">
        <v>13</v>
      </c>
      <c r="F1202" s="6">
        <v>54809</v>
      </c>
      <c r="G1202" s="6">
        <v>1</v>
      </c>
      <c r="H1202" s="6">
        <v>1</v>
      </c>
      <c r="I1202" s="6">
        <f t="shared" si="18"/>
        <v>2</v>
      </c>
      <c r="J1202" s="8">
        <v>41528</v>
      </c>
      <c r="K1202" s="6">
        <v>0</v>
      </c>
      <c r="L1202">
        <f>VLOOKUP(A1202,Marketing_df2!$A$1:$F$2241,3,FALSE)</f>
        <v>6</v>
      </c>
      <c r="M1202">
        <f>VLOOKUP(A1202,Marketing_df2!$A$1:$F$2241,4,FALSE)</f>
        <v>13</v>
      </c>
      <c r="N1202">
        <f>VLOOKUP(A1202,Marketing_df2!$A$1:$F$2241,5,FALSE)</f>
        <v>2</v>
      </c>
      <c r="O1202">
        <f>VLOOKUP(A1202,Marketing_df2!$A$1:$F$2241,6,FALSE)</f>
        <v>5</v>
      </c>
    </row>
    <row r="1203" spans="1:15" ht="12.5">
      <c r="A1203" s="6">
        <v>1201</v>
      </c>
      <c r="B1203" s="6">
        <v>9500</v>
      </c>
      <c r="C1203" s="6">
        <v>1959</v>
      </c>
      <c r="D1203" s="7" t="s">
        <v>9</v>
      </c>
      <c r="E1203" s="7" t="s">
        <v>13</v>
      </c>
      <c r="F1203" s="6">
        <v>58113</v>
      </c>
      <c r="G1203" s="6">
        <v>0</v>
      </c>
      <c r="H1203" s="6">
        <v>1</v>
      </c>
      <c r="I1203" s="6">
        <f t="shared" si="18"/>
        <v>1</v>
      </c>
      <c r="J1203" s="8">
        <v>41299</v>
      </c>
      <c r="K1203" s="6">
        <v>66</v>
      </c>
      <c r="L1203">
        <f>VLOOKUP(A1203,Marketing_df2!$A$1:$F$2241,3,FALSE)</f>
        <v>104</v>
      </c>
      <c r="M1203">
        <f>VLOOKUP(A1203,Marketing_df2!$A$1:$F$2241,4,FALSE)</f>
        <v>78</v>
      </c>
      <c r="N1203">
        <f>VLOOKUP(A1203,Marketing_df2!$A$1:$F$2241,5,FALSE)</f>
        <v>9</v>
      </c>
      <c r="O1203">
        <f>VLOOKUP(A1203,Marketing_df2!$A$1:$F$2241,6,FALSE)</f>
        <v>8</v>
      </c>
    </row>
    <row r="1204" spans="1:15" ht="12.5">
      <c r="A1204" s="6">
        <v>1202</v>
      </c>
      <c r="B1204" s="6">
        <v>3602</v>
      </c>
      <c r="C1204" s="6">
        <v>1958</v>
      </c>
      <c r="D1204" s="7" t="s">
        <v>14</v>
      </c>
      <c r="E1204" s="7" t="s">
        <v>13</v>
      </c>
      <c r="F1204" s="6">
        <v>51412</v>
      </c>
      <c r="G1204" s="6">
        <v>0</v>
      </c>
      <c r="H1204" s="6">
        <v>1</v>
      </c>
      <c r="I1204" s="6">
        <f t="shared" si="18"/>
        <v>1</v>
      </c>
      <c r="J1204" s="9">
        <v>41639</v>
      </c>
      <c r="K1204" s="6">
        <v>42</v>
      </c>
      <c r="L1204">
        <f>VLOOKUP(A1204,Marketing_df2!$A$1:$F$2241,3,FALSE)</f>
        <v>3</v>
      </c>
      <c r="M1204">
        <f>VLOOKUP(A1204,Marketing_df2!$A$1:$F$2241,4,FALSE)</f>
        <v>5</v>
      </c>
      <c r="N1204">
        <f>VLOOKUP(A1204,Marketing_df2!$A$1:$F$2241,5,FALSE)</f>
        <v>3</v>
      </c>
      <c r="O1204">
        <f>VLOOKUP(A1204,Marketing_df2!$A$1:$F$2241,6,FALSE)</f>
        <v>4</v>
      </c>
    </row>
    <row r="1205" spans="1:15" ht="12.5">
      <c r="A1205" s="6">
        <v>1203</v>
      </c>
      <c r="B1205" s="6">
        <v>234</v>
      </c>
      <c r="C1205" s="6">
        <v>1979</v>
      </c>
      <c r="D1205" s="7" t="s">
        <v>9</v>
      </c>
      <c r="E1205" s="7" t="s">
        <v>15</v>
      </c>
      <c r="F1205" s="6">
        <v>15287</v>
      </c>
      <c r="G1205" s="6">
        <v>1</v>
      </c>
      <c r="H1205" s="6">
        <v>0</v>
      </c>
      <c r="I1205" s="6">
        <f t="shared" si="18"/>
        <v>1</v>
      </c>
      <c r="J1205" s="9">
        <v>41192</v>
      </c>
      <c r="K1205" s="6">
        <v>60</v>
      </c>
      <c r="L1205">
        <f>VLOOKUP(A1205,Marketing_df2!$A$1:$F$2241,3,FALSE)</f>
        <v>2</v>
      </c>
      <c r="M1205">
        <f>VLOOKUP(A1205,Marketing_df2!$A$1:$F$2241,4,FALSE)</f>
        <v>3</v>
      </c>
      <c r="N1205">
        <f>VLOOKUP(A1205,Marketing_df2!$A$1:$F$2241,5,FALSE)</f>
        <v>1</v>
      </c>
      <c r="O1205">
        <f>VLOOKUP(A1205,Marketing_df2!$A$1:$F$2241,6,FALSE)</f>
        <v>2</v>
      </c>
    </row>
    <row r="1206" spans="1:15" ht="12.5">
      <c r="A1206" s="6">
        <v>1204</v>
      </c>
      <c r="B1206" s="6">
        <v>2995</v>
      </c>
      <c r="C1206" s="6">
        <v>1957</v>
      </c>
      <c r="D1206" s="7" t="s">
        <v>14</v>
      </c>
      <c r="E1206" s="7" t="s">
        <v>11</v>
      </c>
      <c r="F1206" s="6">
        <v>66636</v>
      </c>
      <c r="G1206" s="6">
        <v>0</v>
      </c>
      <c r="H1206" s="6">
        <v>0</v>
      </c>
      <c r="I1206" s="6">
        <f t="shared" si="18"/>
        <v>0</v>
      </c>
      <c r="J1206" s="8">
        <v>41503</v>
      </c>
      <c r="K1206" s="6">
        <v>64</v>
      </c>
      <c r="L1206">
        <f>VLOOKUP(A1206,Marketing_df2!$A$1:$F$2241,3,FALSE)</f>
        <v>10</v>
      </c>
      <c r="M1206">
        <f>VLOOKUP(A1206,Marketing_df2!$A$1:$F$2241,4,FALSE)</f>
        <v>10</v>
      </c>
      <c r="N1206">
        <f>VLOOKUP(A1206,Marketing_df2!$A$1:$F$2241,5,FALSE)</f>
        <v>3</v>
      </c>
      <c r="O1206">
        <f>VLOOKUP(A1206,Marketing_df2!$A$1:$F$2241,6,FALSE)</f>
        <v>9</v>
      </c>
    </row>
    <row r="1207" spans="1:15" ht="12.5">
      <c r="A1207" s="6">
        <v>1205</v>
      </c>
      <c r="B1207" s="6">
        <v>1118</v>
      </c>
      <c r="C1207" s="6">
        <v>1956</v>
      </c>
      <c r="D1207" s="7" t="s">
        <v>14</v>
      </c>
      <c r="E1207" s="7" t="s">
        <v>13</v>
      </c>
      <c r="F1207" s="6">
        <v>50965</v>
      </c>
      <c r="G1207" s="6">
        <v>0</v>
      </c>
      <c r="H1207" s="6">
        <v>1</v>
      </c>
      <c r="I1207" s="6">
        <f t="shared" si="18"/>
        <v>1</v>
      </c>
      <c r="J1207" s="8">
        <v>41325</v>
      </c>
      <c r="K1207" s="6">
        <v>87</v>
      </c>
      <c r="L1207">
        <f>VLOOKUP(A1207,Marketing_df2!$A$1:$F$2241,3,FALSE)</f>
        <v>13</v>
      </c>
      <c r="M1207">
        <f>VLOOKUP(A1207,Marketing_df2!$A$1:$F$2241,4,FALSE)</f>
        <v>6</v>
      </c>
      <c r="N1207">
        <f>VLOOKUP(A1207,Marketing_df2!$A$1:$F$2241,5,FALSE)</f>
        <v>10</v>
      </c>
      <c r="O1207">
        <f>VLOOKUP(A1207,Marketing_df2!$A$1:$F$2241,6,FALSE)</f>
        <v>5</v>
      </c>
    </row>
    <row r="1208" spans="1:15" ht="12.5">
      <c r="A1208" s="6">
        <v>1206</v>
      </c>
      <c r="B1208" s="6">
        <v>7789</v>
      </c>
      <c r="C1208" s="6">
        <v>1965</v>
      </c>
      <c r="D1208" s="7" t="s">
        <v>12</v>
      </c>
      <c r="E1208" s="7" t="s">
        <v>13</v>
      </c>
      <c r="F1208" s="6">
        <v>84618</v>
      </c>
      <c r="G1208" s="6">
        <v>0</v>
      </c>
      <c r="H1208" s="6">
        <v>0</v>
      </c>
      <c r="I1208" s="6">
        <f t="shared" si="18"/>
        <v>0</v>
      </c>
      <c r="J1208" s="9">
        <v>41600</v>
      </c>
      <c r="K1208" s="6">
        <v>96</v>
      </c>
      <c r="L1208">
        <f>VLOOKUP(A1208,Marketing_df2!$A$1:$F$2241,3,FALSE)</f>
        <v>100</v>
      </c>
      <c r="M1208">
        <f>VLOOKUP(A1208,Marketing_df2!$A$1:$F$2241,4,FALSE)</f>
        <v>66</v>
      </c>
      <c r="N1208">
        <f>VLOOKUP(A1208,Marketing_df2!$A$1:$F$2241,5,FALSE)</f>
        <v>6</v>
      </c>
      <c r="O1208">
        <f>VLOOKUP(A1208,Marketing_df2!$A$1:$F$2241,6,FALSE)</f>
        <v>10</v>
      </c>
    </row>
    <row r="1209" spans="1:15" ht="12.5">
      <c r="A1209" s="6">
        <v>1207</v>
      </c>
      <c r="B1209" s="6">
        <v>3068</v>
      </c>
      <c r="C1209" s="6">
        <v>1990</v>
      </c>
      <c r="D1209" s="7" t="s">
        <v>9</v>
      </c>
      <c r="E1209" s="7" t="s">
        <v>13</v>
      </c>
      <c r="F1209" s="6">
        <v>18351</v>
      </c>
      <c r="G1209" s="6">
        <v>0</v>
      </c>
      <c r="H1209" s="6">
        <v>0</v>
      </c>
      <c r="I1209" s="6">
        <f t="shared" si="18"/>
        <v>0</v>
      </c>
      <c r="J1209" s="9">
        <v>41576</v>
      </c>
      <c r="K1209" s="6">
        <v>1</v>
      </c>
      <c r="L1209">
        <f>VLOOKUP(A1209,Marketing_df2!$A$1:$F$2241,3,FALSE)</f>
        <v>12</v>
      </c>
      <c r="M1209">
        <f>VLOOKUP(A1209,Marketing_df2!$A$1:$F$2241,4,FALSE)</f>
        <v>14</v>
      </c>
      <c r="N1209">
        <f>VLOOKUP(A1209,Marketing_df2!$A$1:$F$2241,5,FALSE)</f>
        <v>2</v>
      </c>
      <c r="O1209">
        <f>VLOOKUP(A1209,Marketing_df2!$A$1:$F$2241,6,FALSE)</f>
        <v>3</v>
      </c>
    </row>
    <row r="1210" spans="1:15" ht="12.5">
      <c r="A1210" s="6">
        <v>1208</v>
      </c>
      <c r="B1210" s="6">
        <v>8955</v>
      </c>
      <c r="C1210" s="6">
        <v>1957</v>
      </c>
      <c r="D1210" s="7" t="s">
        <v>12</v>
      </c>
      <c r="E1210" s="7" t="s">
        <v>11</v>
      </c>
      <c r="F1210" s="6">
        <v>40451</v>
      </c>
      <c r="G1210" s="6">
        <v>0</v>
      </c>
      <c r="H1210" s="6">
        <v>2</v>
      </c>
      <c r="I1210" s="6">
        <f t="shared" si="18"/>
        <v>2</v>
      </c>
      <c r="J1210" s="8">
        <v>41686</v>
      </c>
      <c r="K1210" s="6">
        <v>54</v>
      </c>
      <c r="L1210">
        <f>VLOOKUP(A1210,Marketing_df2!$A$1:$F$2241,3,FALSE)</f>
        <v>0</v>
      </c>
      <c r="M1210">
        <f>VLOOKUP(A1210,Marketing_df2!$A$1:$F$2241,4,FALSE)</f>
        <v>0</v>
      </c>
      <c r="N1210">
        <f>VLOOKUP(A1210,Marketing_df2!$A$1:$F$2241,5,FALSE)</f>
        <v>1</v>
      </c>
      <c r="O1210">
        <f>VLOOKUP(A1210,Marketing_df2!$A$1:$F$2241,6,FALSE)</f>
        <v>2</v>
      </c>
    </row>
    <row r="1211" spans="1:15" ht="12.5">
      <c r="A1211" s="6">
        <v>1209</v>
      </c>
      <c r="B1211" s="6">
        <v>945</v>
      </c>
      <c r="C1211" s="6">
        <v>1965</v>
      </c>
      <c r="D1211" s="7" t="s">
        <v>9</v>
      </c>
      <c r="E1211" s="7" t="s">
        <v>11</v>
      </c>
      <c r="F1211" s="6">
        <v>36317</v>
      </c>
      <c r="G1211" s="6">
        <v>0</v>
      </c>
      <c r="H1211" s="6">
        <v>1</v>
      </c>
      <c r="I1211" s="6">
        <f t="shared" si="18"/>
        <v>1</v>
      </c>
      <c r="J1211" s="8">
        <v>41416</v>
      </c>
      <c r="K1211" s="6">
        <v>53</v>
      </c>
      <c r="L1211">
        <f>VLOOKUP(A1211,Marketing_df2!$A$1:$F$2241,3,FALSE)</f>
        <v>3</v>
      </c>
      <c r="M1211">
        <f>VLOOKUP(A1211,Marketing_df2!$A$1:$F$2241,4,FALSE)</f>
        <v>2</v>
      </c>
      <c r="N1211">
        <f>VLOOKUP(A1211,Marketing_df2!$A$1:$F$2241,5,FALSE)</f>
        <v>3</v>
      </c>
      <c r="O1211">
        <f>VLOOKUP(A1211,Marketing_df2!$A$1:$F$2241,6,FALSE)</f>
        <v>4</v>
      </c>
    </row>
    <row r="1212" spans="1:15" ht="12.5">
      <c r="A1212" s="6">
        <v>1210</v>
      </c>
      <c r="B1212" s="6">
        <v>5644</v>
      </c>
      <c r="C1212" s="6">
        <v>1957</v>
      </c>
      <c r="D1212" s="7" t="s">
        <v>9</v>
      </c>
      <c r="E1212" s="7" t="s">
        <v>11</v>
      </c>
      <c r="F1212" s="6">
        <v>42213</v>
      </c>
      <c r="G1212" s="6">
        <v>0</v>
      </c>
      <c r="H1212" s="6">
        <v>1</v>
      </c>
      <c r="I1212" s="6">
        <f t="shared" si="18"/>
        <v>1</v>
      </c>
      <c r="J1212" s="9">
        <v>41559</v>
      </c>
      <c r="K1212" s="6">
        <v>96</v>
      </c>
      <c r="L1212">
        <f>VLOOKUP(A1212,Marketing_df2!$A$1:$F$2241,3,FALSE)</f>
        <v>3</v>
      </c>
      <c r="M1212">
        <f>VLOOKUP(A1212,Marketing_df2!$A$1:$F$2241,4,FALSE)</f>
        <v>3</v>
      </c>
      <c r="N1212">
        <f>VLOOKUP(A1212,Marketing_df2!$A$1:$F$2241,5,FALSE)</f>
        <v>5</v>
      </c>
      <c r="O1212">
        <f>VLOOKUP(A1212,Marketing_df2!$A$1:$F$2241,6,FALSE)</f>
        <v>7</v>
      </c>
    </row>
    <row r="1213" spans="1:15" ht="12.5">
      <c r="A1213" s="6">
        <v>1211</v>
      </c>
      <c r="B1213" s="6">
        <v>7192</v>
      </c>
      <c r="C1213" s="6">
        <v>1955</v>
      </c>
      <c r="D1213" s="7" t="s">
        <v>9</v>
      </c>
      <c r="E1213" s="7" t="s">
        <v>11</v>
      </c>
      <c r="F1213" s="6">
        <v>65748</v>
      </c>
      <c r="G1213" s="6">
        <v>0</v>
      </c>
      <c r="H1213" s="6">
        <v>1</v>
      </c>
      <c r="I1213" s="6">
        <f t="shared" si="18"/>
        <v>1</v>
      </c>
      <c r="J1213" s="8">
        <v>41379</v>
      </c>
      <c r="K1213" s="6">
        <v>58</v>
      </c>
      <c r="L1213">
        <f>VLOOKUP(A1213,Marketing_df2!$A$1:$F$2241,3,FALSE)</f>
        <v>73</v>
      </c>
      <c r="M1213">
        <f>VLOOKUP(A1213,Marketing_df2!$A$1:$F$2241,4,FALSE)</f>
        <v>78</v>
      </c>
      <c r="N1213">
        <f>VLOOKUP(A1213,Marketing_df2!$A$1:$F$2241,5,FALSE)</f>
        <v>2</v>
      </c>
      <c r="O1213">
        <f>VLOOKUP(A1213,Marketing_df2!$A$1:$F$2241,6,FALSE)</f>
        <v>10</v>
      </c>
    </row>
    <row r="1214" spans="1:15" ht="12.5">
      <c r="A1214" s="6">
        <v>1212</v>
      </c>
      <c r="B1214" s="6">
        <v>2324</v>
      </c>
      <c r="C1214" s="6">
        <v>1972</v>
      </c>
      <c r="D1214" s="7" t="s">
        <v>9</v>
      </c>
      <c r="E1214" s="7" t="s">
        <v>11</v>
      </c>
      <c r="F1214" s="6">
        <v>77044</v>
      </c>
      <c r="G1214" s="6">
        <v>0</v>
      </c>
      <c r="H1214" s="6">
        <v>1</v>
      </c>
      <c r="I1214" s="6">
        <f t="shared" si="18"/>
        <v>1</v>
      </c>
      <c r="J1214" s="9">
        <v>41574</v>
      </c>
      <c r="K1214" s="6">
        <v>12</v>
      </c>
      <c r="L1214">
        <f>VLOOKUP(A1214,Marketing_df2!$A$1:$F$2241,3,FALSE)</f>
        <v>38</v>
      </c>
      <c r="M1214">
        <f>VLOOKUP(A1214,Marketing_df2!$A$1:$F$2241,4,FALSE)</f>
        <v>34</v>
      </c>
      <c r="N1214">
        <f>VLOOKUP(A1214,Marketing_df2!$A$1:$F$2241,5,FALSE)</f>
        <v>7</v>
      </c>
      <c r="O1214">
        <f>VLOOKUP(A1214,Marketing_df2!$A$1:$F$2241,6,FALSE)</f>
        <v>11</v>
      </c>
    </row>
    <row r="1215" spans="1:15" ht="12.5">
      <c r="A1215" s="6">
        <v>1213</v>
      </c>
      <c r="B1215" s="6">
        <v>697</v>
      </c>
      <c r="C1215" s="6">
        <v>1969</v>
      </c>
      <c r="D1215" s="7" t="s">
        <v>9</v>
      </c>
      <c r="E1215" s="7" t="s">
        <v>11</v>
      </c>
      <c r="F1215" s="6">
        <v>74918</v>
      </c>
      <c r="G1215" s="6">
        <v>0</v>
      </c>
      <c r="H1215" s="6">
        <v>0</v>
      </c>
      <c r="I1215" s="6">
        <f t="shared" si="18"/>
        <v>0</v>
      </c>
      <c r="J1215" s="8">
        <v>41345</v>
      </c>
      <c r="K1215" s="6">
        <v>78</v>
      </c>
      <c r="L1215">
        <f>VLOOKUP(A1215,Marketing_df2!$A$1:$F$2241,3,FALSE)</f>
        <v>59</v>
      </c>
      <c r="M1215">
        <f>VLOOKUP(A1215,Marketing_df2!$A$1:$F$2241,4,FALSE)</f>
        <v>19</v>
      </c>
      <c r="N1215">
        <f>VLOOKUP(A1215,Marketing_df2!$A$1:$F$2241,5,FALSE)</f>
        <v>5</v>
      </c>
      <c r="O1215">
        <f>VLOOKUP(A1215,Marketing_df2!$A$1:$F$2241,6,FALSE)</f>
        <v>6</v>
      </c>
    </row>
    <row r="1216" spans="1:15" ht="12.5">
      <c r="A1216" s="6">
        <v>1214</v>
      </c>
      <c r="B1216" s="6">
        <v>3439</v>
      </c>
      <c r="C1216" s="6">
        <v>1972</v>
      </c>
      <c r="D1216" s="7" t="s">
        <v>9</v>
      </c>
      <c r="E1216" s="7" t="s">
        <v>13</v>
      </c>
      <c r="F1216" s="6">
        <v>56721</v>
      </c>
      <c r="G1216" s="6">
        <v>1</v>
      </c>
      <c r="H1216" s="6">
        <v>1</v>
      </c>
      <c r="I1216" s="6">
        <f t="shared" si="18"/>
        <v>2</v>
      </c>
      <c r="J1216" s="9">
        <v>41213</v>
      </c>
      <c r="K1216" s="6">
        <v>64</v>
      </c>
      <c r="L1216">
        <f>VLOOKUP(A1216,Marketing_df2!$A$1:$F$2241,3,FALSE)</f>
        <v>6</v>
      </c>
      <c r="M1216">
        <f>VLOOKUP(A1216,Marketing_df2!$A$1:$F$2241,4,FALSE)</f>
        <v>13</v>
      </c>
      <c r="N1216">
        <f>VLOOKUP(A1216,Marketing_df2!$A$1:$F$2241,5,FALSE)</f>
        <v>4</v>
      </c>
      <c r="O1216">
        <f>VLOOKUP(A1216,Marketing_df2!$A$1:$F$2241,6,FALSE)</f>
        <v>5</v>
      </c>
    </row>
    <row r="1217" spans="1:15" ht="12.5">
      <c r="A1217" s="6">
        <v>1215</v>
      </c>
      <c r="B1217" s="6">
        <v>1506</v>
      </c>
      <c r="C1217" s="6">
        <v>1975</v>
      </c>
      <c r="D1217" s="7" t="s">
        <v>9</v>
      </c>
      <c r="E1217" s="7" t="s">
        <v>10</v>
      </c>
      <c r="F1217" s="6">
        <v>42160</v>
      </c>
      <c r="G1217" s="6">
        <v>1</v>
      </c>
      <c r="H1217" s="6">
        <v>1</v>
      </c>
      <c r="I1217" s="6">
        <f t="shared" si="18"/>
        <v>2</v>
      </c>
      <c r="J1217" s="8">
        <v>41453</v>
      </c>
      <c r="K1217" s="6">
        <v>26</v>
      </c>
      <c r="L1217">
        <f>VLOOKUP(A1217,Marketing_df2!$A$1:$F$2241,3,FALSE)</f>
        <v>9</v>
      </c>
      <c r="M1217">
        <f>VLOOKUP(A1217,Marketing_df2!$A$1:$F$2241,4,FALSE)</f>
        <v>15</v>
      </c>
      <c r="N1217">
        <f>VLOOKUP(A1217,Marketing_df2!$A$1:$F$2241,5,FALSE)</f>
        <v>2</v>
      </c>
      <c r="O1217">
        <f>VLOOKUP(A1217,Marketing_df2!$A$1:$F$2241,6,FALSE)</f>
        <v>4</v>
      </c>
    </row>
    <row r="1218" spans="1:15" ht="12.5">
      <c r="A1218" s="6">
        <v>1216</v>
      </c>
      <c r="B1218" s="6">
        <v>232</v>
      </c>
      <c r="C1218" s="6">
        <v>1965</v>
      </c>
      <c r="D1218" s="7" t="s">
        <v>9</v>
      </c>
      <c r="E1218" s="7" t="s">
        <v>10</v>
      </c>
      <c r="F1218" s="6">
        <v>61559</v>
      </c>
      <c r="G1218" s="6">
        <v>0</v>
      </c>
      <c r="H1218" s="6">
        <v>1</v>
      </c>
      <c r="I1218" s="6">
        <f t="shared" si="18"/>
        <v>1</v>
      </c>
      <c r="J1218" s="8">
        <v>41472</v>
      </c>
      <c r="K1218" s="6">
        <v>8</v>
      </c>
      <c r="L1218">
        <f>VLOOKUP(A1218,Marketing_df2!$A$1:$F$2241,3,FALSE)</f>
        <v>83</v>
      </c>
      <c r="M1218">
        <f>VLOOKUP(A1218,Marketing_df2!$A$1:$F$2241,4,FALSE)</f>
        <v>14</v>
      </c>
      <c r="N1218">
        <f>VLOOKUP(A1218,Marketing_df2!$A$1:$F$2241,5,FALSE)</f>
        <v>4</v>
      </c>
      <c r="O1218">
        <f>VLOOKUP(A1218,Marketing_df2!$A$1:$F$2241,6,FALSE)</f>
        <v>10</v>
      </c>
    </row>
    <row r="1219" spans="1:15" ht="12.5">
      <c r="A1219" s="6">
        <v>1217</v>
      </c>
      <c r="B1219" s="6">
        <v>8876</v>
      </c>
      <c r="C1219" s="6">
        <v>1963</v>
      </c>
      <c r="D1219" s="7" t="s">
        <v>12</v>
      </c>
      <c r="E1219" s="7" t="s">
        <v>11</v>
      </c>
      <c r="F1219" s="6">
        <v>33629</v>
      </c>
      <c r="G1219" s="6">
        <v>1</v>
      </c>
      <c r="H1219" s="6">
        <v>1</v>
      </c>
      <c r="I1219" s="6">
        <f t="shared" ref="I1219:I1282" si="19">G1219+H1219</f>
        <v>2</v>
      </c>
      <c r="J1219" s="8">
        <v>41129</v>
      </c>
      <c r="K1219" s="6">
        <v>49</v>
      </c>
      <c r="L1219">
        <f>VLOOKUP(A1219,Marketing_df2!$A$1:$F$2241,3,FALSE)</f>
        <v>0</v>
      </c>
      <c r="M1219">
        <f>VLOOKUP(A1219,Marketing_df2!$A$1:$F$2241,4,FALSE)</f>
        <v>0</v>
      </c>
      <c r="N1219">
        <f>VLOOKUP(A1219,Marketing_df2!$A$1:$F$2241,5,FALSE)</f>
        <v>3</v>
      </c>
      <c r="O1219">
        <f>VLOOKUP(A1219,Marketing_df2!$A$1:$F$2241,6,FALSE)</f>
        <v>4</v>
      </c>
    </row>
    <row r="1220" spans="1:15" ht="12.5">
      <c r="A1220" s="6">
        <v>1218</v>
      </c>
      <c r="B1220" s="6">
        <v>4500</v>
      </c>
      <c r="C1220" s="6">
        <v>1991</v>
      </c>
      <c r="D1220" s="7" t="s">
        <v>12</v>
      </c>
      <c r="E1220" s="7" t="s">
        <v>11</v>
      </c>
      <c r="F1220" s="6">
        <v>68682</v>
      </c>
      <c r="G1220" s="6">
        <v>0</v>
      </c>
      <c r="H1220" s="6">
        <v>0</v>
      </c>
      <c r="I1220" s="6">
        <f t="shared" si="19"/>
        <v>0</v>
      </c>
      <c r="J1220" s="8">
        <v>41553</v>
      </c>
      <c r="K1220" s="6">
        <v>56</v>
      </c>
      <c r="L1220">
        <f>VLOOKUP(A1220,Marketing_df2!$A$1:$F$2241,3,FALSE)</f>
        <v>0</v>
      </c>
      <c r="M1220">
        <f>VLOOKUP(A1220,Marketing_df2!$A$1:$F$2241,4,FALSE)</f>
        <v>30</v>
      </c>
      <c r="N1220">
        <f>VLOOKUP(A1220,Marketing_df2!$A$1:$F$2241,5,FALSE)</f>
        <v>4</v>
      </c>
      <c r="O1220">
        <f>VLOOKUP(A1220,Marketing_df2!$A$1:$F$2241,6,FALSE)</f>
        <v>10</v>
      </c>
    </row>
    <row r="1221" spans="1:15" ht="12.5">
      <c r="A1221" s="6">
        <v>1219</v>
      </c>
      <c r="B1221" s="6">
        <v>9739</v>
      </c>
      <c r="C1221" s="6">
        <v>1963</v>
      </c>
      <c r="D1221" s="7" t="s">
        <v>9</v>
      </c>
      <c r="E1221" s="7" t="s">
        <v>10</v>
      </c>
      <c r="F1221" s="6">
        <v>34377</v>
      </c>
      <c r="G1221" s="6">
        <v>0</v>
      </c>
      <c r="H1221" s="6">
        <v>1</v>
      </c>
      <c r="I1221" s="6">
        <f t="shared" si="19"/>
        <v>1</v>
      </c>
      <c r="J1221" s="8">
        <v>41293</v>
      </c>
      <c r="K1221" s="6">
        <v>55</v>
      </c>
      <c r="L1221">
        <f>VLOOKUP(A1221,Marketing_df2!$A$1:$F$2241,3,FALSE)</f>
        <v>0</v>
      </c>
      <c r="M1221">
        <f>VLOOKUP(A1221,Marketing_df2!$A$1:$F$2241,4,FALSE)</f>
        <v>1</v>
      </c>
      <c r="N1221">
        <f>VLOOKUP(A1221,Marketing_df2!$A$1:$F$2241,5,FALSE)</f>
        <v>2</v>
      </c>
      <c r="O1221">
        <f>VLOOKUP(A1221,Marketing_df2!$A$1:$F$2241,6,FALSE)</f>
        <v>2</v>
      </c>
    </row>
    <row r="1222" spans="1:15" ht="12.5">
      <c r="A1222" s="6">
        <v>1220</v>
      </c>
      <c r="B1222" s="6">
        <v>10395</v>
      </c>
      <c r="C1222" s="6">
        <v>1986</v>
      </c>
      <c r="D1222" s="7" t="s">
        <v>16</v>
      </c>
      <c r="E1222" s="7" t="s">
        <v>10</v>
      </c>
      <c r="F1222" s="6">
        <v>8940</v>
      </c>
      <c r="G1222" s="6">
        <v>1</v>
      </c>
      <c r="H1222" s="6">
        <v>0</v>
      </c>
      <c r="I1222" s="6">
        <f t="shared" si="19"/>
        <v>1</v>
      </c>
      <c r="J1222" s="8">
        <v>41143</v>
      </c>
      <c r="K1222" s="6">
        <v>25</v>
      </c>
      <c r="L1222">
        <f>VLOOKUP(A1222,Marketing_df2!$A$1:$F$2241,3,FALSE)</f>
        <v>45</v>
      </c>
      <c r="M1222">
        <f>VLOOKUP(A1222,Marketing_df2!$A$1:$F$2241,4,FALSE)</f>
        <v>6</v>
      </c>
      <c r="N1222">
        <f>VLOOKUP(A1222,Marketing_df2!$A$1:$F$2241,5,FALSE)</f>
        <v>3</v>
      </c>
      <c r="O1222">
        <f>VLOOKUP(A1222,Marketing_df2!$A$1:$F$2241,6,FALSE)</f>
        <v>3</v>
      </c>
    </row>
    <row r="1223" spans="1:15" ht="12.5">
      <c r="A1223" s="6">
        <v>1221</v>
      </c>
      <c r="B1223" s="6">
        <v>1176</v>
      </c>
      <c r="C1223" s="6">
        <v>1973</v>
      </c>
      <c r="D1223" s="7" t="s">
        <v>9</v>
      </c>
      <c r="E1223" s="7" t="s">
        <v>13</v>
      </c>
      <c r="F1223" s="6">
        <v>26228</v>
      </c>
      <c r="G1223" s="6">
        <v>1</v>
      </c>
      <c r="H1223" s="6">
        <v>0</v>
      </c>
      <c r="I1223" s="6">
        <f t="shared" si="19"/>
        <v>1</v>
      </c>
      <c r="J1223" s="8">
        <v>41539</v>
      </c>
      <c r="K1223" s="6">
        <v>50</v>
      </c>
      <c r="L1223">
        <f>VLOOKUP(A1223,Marketing_df2!$A$1:$F$2241,3,FALSE)</f>
        <v>6</v>
      </c>
      <c r="M1223">
        <f>VLOOKUP(A1223,Marketing_df2!$A$1:$F$2241,4,FALSE)</f>
        <v>1</v>
      </c>
      <c r="N1223">
        <f>VLOOKUP(A1223,Marketing_df2!$A$1:$F$2241,5,FALSE)</f>
        <v>1</v>
      </c>
      <c r="O1223">
        <f>VLOOKUP(A1223,Marketing_df2!$A$1:$F$2241,6,FALSE)</f>
        <v>2</v>
      </c>
    </row>
    <row r="1224" spans="1:15" ht="12.5">
      <c r="A1224" s="6">
        <v>1222</v>
      </c>
      <c r="B1224" s="6">
        <v>1627</v>
      </c>
      <c r="C1224" s="6">
        <v>1957</v>
      </c>
      <c r="D1224" s="7" t="s">
        <v>17</v>
      </c>
      <c r="E1224" s="7" t="s">
        <v>15</v>
      </c>
      <c r="F1224" s="6">
        <v>77297</v>
      </c>
      <c r="G1224" s="6">
        <v>0</v>
      </c>
      <c r="H1224" s="6">
        <v>0</v>
      </c>
      <c r="I1224" s="6">
        <f t="shared" si="19"/>
        <v>0</v>
      </c>
      <c r="J1224" s="8">
        <v>41300</v>
      </c>
      <c r="K1224" s="6">
        <v>84</v>
      </c>
      <c r="L1224">
        <f>VLOOKUP(A1224,Marketing_df2!$A$1:$F$2241,3,FALSE)</f>
        <v>61</v>
      </c>
      <c r="M1224">
        <f>VLOOKUP(A1224,Marketing_df2!$A$1:$F$2241,4,FALSE)</f>
        <v>122</v>
      </c>
      <c r="N1224">
        <f>VLOOKUP(A1224,Marketing_df2!$A$1:$F$2241,5,FALSE)</f>
        <v>5</v>
      </c>
      <c r="O1224">
        <f>VLOOKUP(A1224,Marketing_df2!$A$1:$F$2241,6,FALSE)</f>
        <v>9</v>
      </c>
    </row>
    <row r="1225" spans="1:15" ht="12.5">
      <c r="A1225" s="6">
        <v>1223</v>
      </c>
      <c r="B1225" s="6">
        <v>938</v>
      </c>
      <c r="C1225" s="6">
        <v>1981</v>
      </c>
      <c r="D1225" s="7" t="s">
        <v>9</v>
      </c>
      <c r="E1225" s="7" t="s">
        <v>13</v>
      </c>
      <c r="F1225" s="6">
        <v>40211</v>
      </c>
      <c r="G1225" s="6">
        <v>1</v>
      </c>
      <c r="H1225" s="6">
        <v>1</v>
      </c>
      <c r="I1225" s="6">
        <f t="shared" si="19"/>
        <v>2</v>
      </c>
      <c r="J1225" s="8">
        <v>41485</v>
      </c>
      <c r="K1225" s="6">
        <v>30</v>
      </c>
      <c r="L1225">
        <f>VLOOKUP(A1225,Marketing_df2!$A$1:$F$2241,3,FALSE)</f>
        <v>1</v>
      </c>
      <c r="M1225">
        <f>VLOOKUP(A1225,Marketing_df2!$A$1:$F$2241,4,FALSE)</f>
        <v>1</v>
      </c>
      <c r="N1225">
        <f>VLOOKUP(A1225,Marketing_df2!$A$1:$F$2241,5,FALSE)</f>
        <v>2</v>
      </c>
      <c r="O1225">
        <f>VLOOKUP(A1225,Marketing_df2!$A$1:$F$2241,6,FALSE)</f>
        <v>2</v>
      </c>
    </row>
    <row r="1226" spans="1:15" ht="12.5">
      <c r="A1226" s="6">
        <v>1224</v>
      </c>
      <c r="B1226" s="6">
        <v>2740</v>
      </c>
      <c r="C1226" s="6">
        <v>1958</v>
      </c>
      <c r="D1226" s="7" t="s">
        <v>12</v>
      </c>
      <c r="E1226" s="7" t="s">
        <v>18</v>
      </c>
      <c r="F1226" s="6">
        <v>33438</v>
      </c>
      <c r="G1226" s="6">
        <v>1</v>
      </c>
      <c r="H1226" s="6">
        <v>1</v>
      </c>
      <c r="I1226" s="6">
        <f t="shared" si="19"/>
        <v>2</v>
      </c>
      <c r="J1226" s="8">
        <v>41539</v>
      </c>
      <c r="K1226" s="6">
        <v>81</v>
      </c>
      <c r="L1226">
        <f>VLOOKUP(A1226,Marketing_df2!$A$1:$F$2241,3,FALSE)</f>
        <v>1</v>
      </c>
      <c r="M1226">
        <f>VLOOKUP(A1226,Marketing_df2!$A$1:$F$2241,4,FALSE)</f>
        <v>2</v>
      </c>
      <c r="N1226">
        <f>VLOOKUP(A1226,Marketing_df2!$A$1:$F$2241,5,FALSE)</f>
        <v>2</v>
      </c>
      <c r="O1226">
        <f>VLOOKUP(A1226,Marketing_df2!$A$1:$F$2241,6,FALSE)</f>
        <v>4</v>
      </c>
    </row>
    <row r="1227" spans="1:15" ht="12.5">
      <c r="A1227" s="6">
        <v>1225</v>
      </c>
      <c r="B1227" s="6">
        <v>257</v>
      </c>
      <c r="C1227" s="6">
        <v>1959</v>
      </c>
      <c r="D1227" s="7" t="s">
        <v>12</v>
      </c>
      <c r="E1227" s="7" t="s">
        <v>13</v>
      </c>
      <c r="F1227" s="6">
        <v>75032</v>
      </c>
      <c r="G1227" s="6">
        <v>0</v>
      </c>
      <c r="H1227" s="6">
        <v>1</v>
      </c>
      <c r="I1227" s="6">
        <f t="shared" si="19"/>
        <v>1</v>
      </c>
      <c r="J1227" s="8">
        <v>41392</v>
      </c>
      <c r="K1227" s="6">
        <v>74</v>
      </c>
      <c r="L1227">
        <f>VLOOKUP(A1227,Marketing_df2!$A$1:$F$2241,3,FALSE)</f>
        <v>12</v>
      </c>
      <c r="M1227">
        <f>VLOOKUP(A1227,Marketing_df2!$A$1:$F$2241,4,FALSE)</f>
        <v>12</v>
      </c>
      <c r="N1227">
        <f>VLOOKUP(A1227,Marketing_df2!$A$1:$F$2241,5,FALSE)</f>
        <v>5</v>
      </c>
      <c r="O1227">
        <f>VLOOKUP(A1227,Marketing_df2!$A$1:$F$2241,6,FALSE)</f>
        <v>9</v>
      </c>
    </row>
    <row r="1228" spans="1:15" ht="12.5">
      <c r="A1228" s="6">
        <v>1226</v>
      </c>
      <c r="B1228" s="6">
        <v>4058</v>
      </c>
      <c r="C1228" s="6">
        <v>1955</v>
      </c>
      <c r="D1228" s="7" t="s">
        <v>12</v>
      </c>
      <c r="E1228" s="7" t="s">
        <v>10</v>
      </c>
      <c r="F1228" s="6">
        <v>61284</v>
      </c>
      <c r="G1228" s="6">
        <v>0</v>
      </c>
      <c r="H1228" s="6">
        <v>0</v>
      </c>
      <c r="I1228" s="6">
        <f t="shared" si="19"/>
        <v>0</v>
      </c>
      <c r="J1228" s="9">
        <v>41559</v>
      </c>
      <c r="K1228" s="6">
        <v>76</v>
      </c>
      <c r="L1228">
        <f>VLOOKUP(A1228,Marketing_df2!$A$1:$F$2241,3,FALSE)</f>
        <v>15</v>
      </c>
      <c r="M1228">
        <f>VLOOKUP(A1228,Marketing_df2!$A$1:$F$2241,4,FALSE)</f>
        <v>7</v>
      </c>
      <c r="N1228">
        <f>VLOOKUP(A1228,Marketing_df2!$A$1:$F$2241,5,FALSE)</f>
        <v>11</v>
      </c>
      <c r="O1228">
        <f>VLOOKUP(A1228,Marketing_df2!$A$1:$F$2241,6,FALSE)</f>
        <v>8</v>
      </c>
    </row>
    <row r="1229" spans="1:15" ht="12.5">
      <c r="A1229" s="6">
        <v>1227</v>
      </c>
      <c r="B1229" s="6">
        <v>7736</v>
      </c>
      <c r="C1229" s="6">
        <v>1986</v>
      </c>
      <c r="D1229" s="7" t="s">
        <v>9</v>
      </c>
      <c r="E1229" s="7" t="s">
        <v>13</v>
      </c>
      <c r="F1229" s="6">
        <v>22518</v>
      </c>
      <c r="G1229" s="6">
        <v>1</v>
      </c>
      <c r="H1229" s="6">
        <v>0</v>
      </c>
      <c r="I1229" s="6">
        <f t="shared" si="19"/>
        <v>1</v>
      </c>
      <c r="J1229" s="9">
        <v>41204</v>
      </c>
      <c r="K1229" s="6">
        <v>36</v>
      </c>
      <c r="L1229">
        <f>VLOOKUP(A1229,Marketing_df2!$A$1:$F$2241,3,FALSE)</f>
        <v>7</v>
      </c>
      <c r="M1229">
        <f>VLOOKUP(A1229,Marketing_df2!$A$1:$F$2241,4,FALSE)</f>
        <v>2</v>
      </c>
      <c r="N1229">
        <f>VLOOKUP(A1229,Marketing_df2!$A$1:$F$2241,5,FALSE)</f>
        <v>2</v>
      </c>
      <c r="O1229">
        <f>VLOOKUP(A1229,Marketing_df2!$A$1:$F$2241,6,FALSE)</f>
        <v>2</v>
      </c>
    </row>
    <row r="1230" spans="1:15" ht="12.5">
      <c r="A1230" s="6">
        <v>1228</v>
      </c>
      <c r="B1230" s="6">
        <v>8210</v>
      </c>
      <c r="C1230" s="6">
        <v>1975</v>
      </c>
      <c r="D1230" s="7" t="s">
        <v>14</v>
      </c>
      <c r="E1230" s="7" t="s">
        <v>13</v>
      </c>
      <c r="F1230" s="6">
        <v>54730</v>
      </c>
      <c r="G1230" s="6">
        <v>0</v>
      </c>
      <c r="H1230" s="6">
        <v>1</v>
      </c>
      <c r="I1230" s="6">
        <f t="shared" si="19"/>
        <v>1</v>
      </c>
      <c r="J1230" s="8">
        <v>41501</v>
      </c>
      <c r="K1230" s="6">
        <v>64</v>
      </c>
      <c r="L1230">
        <f>VLOOKUP(A1230,Marketing_df2!$A$1:$F$2241,3,FALSE)</f>
        <v>3</v>
      </c>
      <c r="M1230">
        <f>VLOOKUP(A1230,Marketing_df2!$A$1:$F$2241,4,FALSE)</f>
        <v>7</v>
      </c>
      <c r="N1230">
        <f>VLOOKUP(A1230,Marketing_df2!$A$1:$F$2241,5,FALSE)</f>
        <v>4</v>
      </c>
      <c r="O1230">
        <f>VLOOKUP(A1230,Marketing_df2!$A$1:$F$2241,6,FALSE)</f>
        <v>8</v>
      </c>
    </row>
    <row r="1231" spans="1:15" ht="12.5">
      <c r="A1231" s="6">
        <v>1229</v>
      </c>
      <c r="B1231" s="6">
        <v>833</v>
      </c>
      <c r="C1231" s="6">
        <v>1955</v>
      </c>
      <c r="D1231" s="7" t="s">
        <v>14</v>
      </c>
      <c r="E1231" s="7" t="s">
        <v>13</v>
      </c>
      <c r="F1231" s="6">
        <v>38452</v>
      </c>
      <c r="G1231" s="6">
        <v>1</v>
      </c>
      <c r="H1231" s="6">
        <v>1</v>
      </c>
      <c r="I1231" s="6">
        <f t="shared" si="19"/>
        <v>2</v>
      </c>
      <c r="J1231" s="8">
        <v>41728</v>
      </c>
      <c r="K1231" s="6">
        <v>62</v>
      </c>
      <c r="L1231">
        <f>VLOOKUP(A1231,Marketing_df2!$A$1:$F$2241,3,FALSE)</f>
        <v>0</v>
      </c>
      <c r="M1231">
        <f>VLOOKUP(A1231,Marketing_df2!$A$1:$F$2241,4,FALSE)</f>
        <v>0</v>
      </c>
      <c r="N1231">
        <f>VLOOKUP(A1231,Marketing_df2!$A$1:$F$2241,5,FALSE)</f>
        <v>3</v>
      </c>
      <c r="O1231">
        <f>VLOOKUP(A1231,Marketing_df2!$A$1:$F$2241,6,FALSE)</f>
        <v>3</v>
      </c>
    </row>
    <row r="1232" spans="1:15" ht="12.5">
      <c r="A1232" s="6">
        <v>1230</v>
      </c>
      <c r="B1232" s="6">
        <v>6230</v>
      </c>
      <c r="C1232" s="6">
        <v>1971</v>
      </c>
      <c r="D1232" s="7" t="s">
        <v>9</v>
      </c>
      <c r="E1232" s="7" t="s">
        <v>15</v>
      </c>
      <c r="F1232" s="6">
        <v>44421</v>
      </c>
      <c r="G1232" s="6">
        <v>1</v>
      </c>
      <c r="H1232" s="6">
        <v>1</v>
      </c>
      <c r="I1232" s="6">
        <f t="shared" si="19"/>
        <v>2</v>
      </c>
      <c r="J1232" s="8">
        <v>41320</v>
      </c>
      <c r="K1232" s="6">
        <v>53</v>
      </c>
      <c r="L1232">
        <f>VLOOKUP(A1232,Marketing_df2!$A$1:$F$2241,3,FALSE)</f>
        <v>5</v>
      </c>
      <c r="M1232">
        <f>VLOOKUP(A1232,Marketing_df2!$A$1:$F$2241,4,FALSE)</f>
        <v>1</v>
      </c>
      <c r="N1232">
        <f>VLOOKUP(A1232,Marketing_df2!$A$1:$F$2241,5,FALSE)</f>
        <v>5</v>
      </c>
      <c r="O1232">
        <f>VLOOKUP(A1232,Marketing_df2!$A$1:$F$2241,6,FALSE)</f>
        <v>4</v>
      </c>
    </row>
    <row r="1233" spans="1:15" ht="12.5">
      <c r="A1233" s="6">
        <v>1231</v>
      </c>
      <c r="B1233" s="6">
        <v>7325</v>
      </c>
      <c r="C1233" s="6">
        <v>1986</v>
      </c>
      <c r="D1233" s="7" t="s">
        <v>12</v>
      </c>
      <c r="E1233" s="7" t="s">
        <v>11</v>
      </c>
      <c r="F1233" s="6">
        <v>38197</v>
      </c>
      <c r="G1233" s="6">
        <v>1</v>
      </c>
      <c r="H1233" s="6">
        <v>0</v>
      </c>
      <c r="I1233" s="6">
        <f t="shared" si="19"/>
        <v>1</v>
      </c>
      <c r="J1233" s="8">
        <v>41454</v>
      </c>
      <c r="K1233" s="6">
        <v>86</v>
      </c>
      <c r="L1233">
        <f>VLOOKUP(A1233,Marketing_df2!$A$1:$F$2241,3,FALSE)</f>
        <v>0</v>
      </c>
      <c r="M1233">
        <f>VLOOKUP(A1233,Marketing_df2!$A$1:$F$2241,4,FALSE)</f>
        <v>1</v>
      </c>
      <c r="N1233">
        <f>VLOOKUP(A1233,Marketing_df2!$A$1:$F$2241,5,FALSE)</f>
        <v>1</v>
      </c>
      <c r="O1233">
        <f>VLOOKUP(A1233,Marketing_df2!$A$1:$F$2241,6,FALSE)</f>
        <v>3</v>
      </c>
    </row>
    <row r="1234" spans="1:15" ht="12.5">
      <c r="A1234" s="6">
        <v>1232</v>
      </c>
      <c r="B1234" s="6">
        <v>1307</v>
      </c>
      <c r="C1234" s="6">
        <v>1978</v>
      </c>
      <c r="D1234" s="7" t="s">
        <v>9</v>
      </c>
      <c r="E1234" s="7" t="s">
        <v>15</v>
      </c>
      <c r="F1234" s="6">
        <v>41986</v>
      </c>
      <c r="G1234" s="6">
        <v>0</v>
      </c>
      <c r="H1234" s="6">
        <v>1</v>
      </c>
      <c r="I1234" s="6">
        <f t="shared" si="19"/>
        <v>1</v>
      </c>
      <c r="J1234" s="8">
        <v>41679</v>
      </c>
      <c r="K1234" s="6">
        <v>15</v>
      </c>
      <c r="L1234">
        <f>VLOOKUP(A1234,Marketing_df2!$A$1:$F$2241,3,FALSE)</f>
        <v>5</v>
      </c>
      <c r="M1234">
        <f>VLOOKUP(A1234,Marketing_df2!$A$1:$F$2241,4,FALSE)</f>
        <v>3</v>
      </c>
      <c r="N1234">
        <f>VLOOKUP(A1234,Marketing_df2!$A$1:$F$2241,5,FALSE)</f>
        <v>3</v>
      </c>
      <c r="O1234">
        <f>VLOOKUP(A1234,Marketing_df2!$A$1:$F$2241,6,FALSE)</f>
        <v>4</v>
      </c>
    </row>
    <row r="1235" spans="1:15" ht="12.5">
      <c r="A1235" s="6">
        <v>1233</v>
      </c>
      <c r="B1235" s="6">
        <v>1502</v>
      </c>
      <c r="C1235" s="6">
        <v>1983</v>
      </c>
      <c r="D1235" s="7" t="s">
        <v>9</v>
      </c>
      <c r="E1235" s="7" t="s">
        <v>11</v>
      </c>
      <c r="F1235" s="6">
        <v>28427</v>
      </c>
      <c r="G1235" s="6">
        <v>1</v>
      </c>
      <c r="H1235" s="6">
        <v>0</v>
      </c>
      <c r="I1235" s="6">
        <f t="shared" si="19"/>
        <v>1</v>
      </c>
      <c r="J1235" s="8">
        <v>41354</v>
      </c>
      <c r="K1235" s="6">
        <v>67</v>
      </c>
      <c r="L1235">
        <f>VLOOKUP(A1235,Marketing_df2!$A$1:$F$2241,3,FALSE)</f>
        <v>3</v>
      </c>
      <c r="M1235">
        <f>VLOOKUP(A1235,Marketing_df2!$A$1:$F$2241,4,FALSE)</f>
        <v>3</v>
      </c>
      <c r="N1235">
        <f>VLOOKUP(A1235,Marketing_df2!$A$1:$F$2241,5,FALSE)</f>
        <v>2</v>
      </c>
      <c r="O1235">
        <f>VLOOKUP(A1235,Marketing_df2!$A$1:$F$2241,6,FALSE)</f>
        <v>3</v>
      </c>
    </row>
    <row r="1236" spans="1:15" ht="12.5">
      <c r="A1236" s="6">
        <v>1234</v>
      </c>
      <c r="B1236" s="6">
        <v>6211</v>
      </c>
      <c r="C1236" s="6">
        <v>1976</v>
      </c>
      <c r="D1236" s="7" t="s">
        <v>12</v>
      </c>
      <c r="E1236" s="7" t="s">
        <v>11</v>
      </c>
      <c r="F1236" s="6">
        <v>37395</v>
      </c>
      <c r="G1236" s="6">
        <v>1</v>
      </c>
      <c r="H1236" s="6">
        <v>0</v>
      </c>
      <c r="I1236" s="6">
        <f t="shared" si="19"/>
        <v>1</v>
      </c>
      <c r="J1236" s="8">
        <v>41761</v>
      </c>
      <c r="K1236" s="6">
        <v>47</v>
      </c>
      <c r="L1236">
        <f>VLOOKUP(A1236,Marketing_df2!$A$1:$F$2241,3,FALSE)</f>
        <v>0</v>
      </c>
      <c r="M1236">
        <f>VLOOKUP(A1236,Marketing_df2!$A$1:$F$2241,4,FALSE)</f>
        <v>1</v>
      </c>
      <c r="N1236">
        <f>VLOOKUP(A1236,Marketing_df2!$A$1:$F$2241,5,FALSE)</f>
        <v>1</v>
      </c>
      <c r="O1236">
        <f>VLOOKUP(A1236,Marketing_df2!$A$1:$F$2241,6,FALSE)</f>
        <v>3</v>
      </c>
    </row>
    <row r="1237" spans="1:15" ht="12.5">
      <c r="A1237" s="6">
        <v>1235</v>
      </c>
      <c r="B1237" s="6">
        <v>843</v>
      </c>
      <c r="C1237" s="6">
        <v>1971</v>
      </c>
      <c r="D1237" s="7" t="s">
        <v>9</v>
      </c>
      <c r="E1237" s="7" t="s">
        <v>13</v>
      </c>
      <c r="F1237" s="6">
        <v>64722</v>
      </c>
      <c r="G1237" s="6">
        <v>1</v>
      </c>
      <c r="H1237" s="6">
        <v>0</v>
      </c>
      <c r="I1237" s="6">
        <f t="shared" si="19"/>
        <v>1</v>
      </c>
      <c r="J1237" s="8">
        <v>41785</v>
      </c>
      <c r="K1237" s="6">
        <v>47</v>
      </c>
      <c r="L1237">
        <f>VLOOKUP(A1237,Marketing_df2!$A$1:$F$2241,3,FALSE)</f>
        <v>0</v>
      </c>
      <c r="M1237">
        <f>VLOOKUP(A1237,Marketing_df2!$A$1:$F$2241,4,FALSE)</f>
        <v>147</v>
      </c>
      <c r="N1237">
        <f>VLOOKUP(A1237,Marketing_df2!$A$1:$F$2241,5,FALSE)</f>
        <v>8</v>
      </c>
      <c r="O1237">
        <f>VLOOKUP(A1237,Marketing_df2!$A$1:$F$2241,6,FALSE)</f>
        <v>11</v>
      </c>
    </row>
    <row r="1238" spans="1:15" ht="12.5">
      <c r="A1238" s="6">
        <v>1236</v>
      </c>
      <c r="B1238" s="6">
        <v>4174</v>
      </c>
      <c r="C1238" s="6">
        <v>1956</v>
      </c>
      <c r="D1238" s="7" t="s">
        <v>14</v>
      </c>
      <c r="E1238" s="7" t="s">
        <v>11</v>
      </c>
      <c r="F1238" s="6">
        <v>55249</v>
      </c>
      <c r="G1238" s="6">
        <v>0</v>
      </c>
      <c r="H1238" s="6">
        <v>1</v>
      </c>
      <c r="I1238" s="6">
        <f t="shared" si="19"/>
        <v>1</v>
      </c>
      <c r="J1238" s="8">
        <v>41746</v>
      </c>
      <c r="K1238" s="6">
        <v>81</v>
      </c>
      <c r="L1238">
        <f>VLOOKUP(A1238,Marketing_df2!$A$1:$F$2241,3,FALSE)</f>
        <v>1</v>
      </c>
      <c r="M1238">
        <f>VLOOKUP(A1238,Marketing_df2!$A$1:$F$2241,4,FALSE)</f>
        <v>0</v>
      </c>
      <c r="N1238">
        <f>VLOOKUP(A1238,Marketing_df2!$A$1:$F$2241,5,FALSE)</f>
        <v>2</v>
      </c>
      <c r="O1238">
        <f>VLOOKUP(A1238,Marketing_df2!$A$1:$F$2241,6,FALSE)</f>
        <v>4</v>
      </c>
    </row>
    <row r="1239" spans="1:15" ht="12.5">
      <c r="A1239" s="6">
        <v>1237</v>
      </c>
      <c r="B1239" s="6">
        <v>9757</v>
      </c>
      <c r="C1239" s="6">
        <v>1972</v>
      </c>
      <c r="D1239" s="7" t="s">
        <v>9</v>
      </c>
      <c r="E1239" s="7" t="s">
        <v>11</v>
      </c>
      <c r="F1239" s="6">
        <v>84906</v>
      </c>
      <c r="G1239" s="6">
        <v>0</v>
      </c>
      <c r="H1239" s="6">
        <v>0</v>
      </c>
      <c r="I1239" s="6">
        <f t="shared" si="19"/>
        <v>0</v>
      </c>
      <c r="J1239" s="8">
        <v>41551</v>
      </c>
      <c r="K1239" s="6">
        <v>98</v>
      </c>
      <c r="L1239">
        <f>VLOOKUP(A1239,Marketing_df2!$A$1:$F$2241,3,FALSE)</f>
        <v>15</v>
      </c>
      <c r="M1239">
        <f>VLOOKUP(A1239,Marketing_df2!$A$1:$F$2241,4,FALSE)</f>
        <v>30</v>
      </c>
      <c r="N1239">
        <f>VLOOKUP(A1239,Marketing_df2!$A$1:$F$2241,5,FALSE)</f>
        <v>5</v>
      </c>
      <c r="O1239">
        <f>VLOOKUP(A1239,Marketing_df2!$A$1:$F$2241,6,FALSE)</f>
        <v>12</v>
      </c>
    </row>
    <row r="1240" spans="1:15" ht="12.5">
      <c r="A1240" s="6">
        <v>1238</v>
      </c>
      <c r="B1240" s="6">
        <v>6918</v>
      </c>
      <c r="C1240" s="6">
        <v>1989</v>
      </c>
      <c r="D1240" s="7" t="s">
        <v>9</v>
      </c>
      <c r="E1240" s="7" t="s">
        <v>13</v>
      </c>
      <c r="F1240" s="6">
        <v>28691</v>
      </c>
      <c r="G1240" s="6">
        <v>1</v>
      </c>
      <c r="H1240" s="6">
        <v>0</v>
      </c>
      <c r="I1240" s="6">
        <f t="shared" si="19"/>
        <v>1</v>
      </c>
      <c r="J1240" s="8">
        <v>41459</v>
      </c>
      <c r="K1240" s="6">
        <v>56</v>
      </c>
      <c r="L1240">
        <f>VLOOKUP(A1240,Marketing_df2!$A$1:$F$2241,3,FALSE)</f>
        <v>4</v>
      </c>
      <c r="M1240">
        <f>VLOOKUP(A1240,Marketing_df2!$A$1:$F$2241,4,FALSE)</f>
        <v>0</v>
      </c>
      <c r="N1240">
        <f>VLOOKUP(A1240,Marketing_df2!$A$1:$F$2241,5,FALSE)</f>
        <v>1</v>
      </c>
      <c r="O1240">
        <f>VLOOKUP(A1240,Marketing_df2!$A$1:$F$2241,6,FALSE)</f>
        <v>3</v>
      </c>
    </row>
    <row r="1241" spans="1:15" ht="12.5">
      <c r="A1241" s="6">
        <v>1239</v>
      </c>
      <c r="B1241" s="6">
        <v>286</v>
      </c>
      <c r="C1241" s="6">
        <v>1952</v>
      </c>
      <c r="D1241" s="7" t="s">
        <v>9</v>
      </c>
      <c r="E1241" s="7" t="s">
        <v>10</v>
      </c>
      <c r="F1241" s="6">
        <v>44213</v>
      </c>
      <c r="G1241" s="6">
        <v>1</v>
      </c>
      <c r="H1241" s="6">
        <v>1</v>
      </c>
      <c r="I1241" s="6">
        <f t="shared" si="19"/>
        <v>2</v>
      </c>
      <c r="J1241" s="9">
        <v>41607</v>
      </c>
      <c r="K1241" s="6">
        <v>48</v>
      </c>
      <c r="L1241">
        <f>VLOOKUP(A1241,Marketing_df2!$A$1:$F$2241,3,FALSE)</f>
        <v>11</v>
      </c>
      <c r="M1241">
        <f>VLOOKUP(A1241,Marketing_df2!$A$1:$F$2241,4,FALSE)</f>
        <v>4</v>
      </c>
      <c r="N1241">
        <f>VLOOKUP(A1241,Marketing_df2!$A$1:$F$2241,5,FALSE)</f>
        <v>2</v>
      </c>
      <c r="O1241">
        <f>VLOOKUP(A1241,Marketing_df2!$A$1:$F$2241,6,FALSE)</f>
        <v>5</v>
      </c>
    </row>
    <row r="1242" spans="1:15" ht="12.5">
      <c r="A1242" s="6">
        <v>1240</v>
      </c>
      <c r="B1242" s="6">
        <v>11086</v>
      </c>
      <c r="C1242" s="6">
        <v>1984</v>
      </c>
      <c r="D1242" s="7" t="s">
        <v>16</v>
      </c>
      <c r="E1242" s="7" t="s">
        <v>10</v>
      </c>
      <c r="F1242" s="6">
        <v>25707</v>
      </c>
      <c r="G1242" s="6">
        <v>1</v>
      </c>
      <c r="H1242" s="6">
        <v>0</v>
      </c>
      <c r="I1242" s="6">
        <f t="shared" si="19"/>
        <v>1</v>
      </c>
      <c r="J1242" s="8">
        <v>41657</v>
      </c>
      <c r="K1242" s="6">
        <v>18</v>
      </c>
      <c r="L1242">
        <f>VLOOKUP(A1242,Marketing_df2!$A$1:$F$2241,3,FALSE)</f>
        <v>6</v>
      </c>
      <c r="M1242">
        <f>VLOOKUP(A1242,Marketing_df2!$A$1:$F$2241,4,FALSE)</f>
        <v>6</v>
      </c>
      <c r="N1242">
        <f>VLOOKUP(A1242,Marketing_df2!$A$1:$F$2241,5,FALSE)</f>
        <v>1</v>
      </c>
      <c r="O1242">
        <f>VLOOKUP(A1242,Marketing_df2!$A$1:$F$2241,6,FALSE)</f>
        <v>3</v>
      </c>
    </row>
    <row r="1243" spans="1:15" ht="12.5">
      <c r="A1243" s="6">
        <v>1241</v>
      </c>
      <c r="B1243" s="6">
        <v>1921</v>
      </c>
      <c r="C1243" s="6">
        <v>1967</v>
      </c>
      <c r="D1243" s="7" t="s">
        <v>12</v>
      </c>
      <c r="E1243" s="7" t="s">
        <v>13</v>
      </c>
      <c r="F1243" s="6">
        <v>59062</v>
      </c>
      <c r="G1243" s="6">
        <v>2</v>
      </c>
      <c r="H1243" s="6">
        <v>1</v>
      </c>
      <c r="I1243" s="6">
        <f t="shared" si="19"/>
        <v>3</v>
      </c>
      <c r="J1243" s="8">
        <v>41550</v>
      </c>
      <c r="K1243" s="6">
        <v>74</v>
      </c>
      <c r="L1243">
        <f>VLOOKUP(A1243,Marketing_df2!$A$1:$F$2241,3,FALSE)</f>
        <v>1</v>
      </c>
      <c r="M1243">
        <f>VLOOKUP(A1243,Marketing_df2!$A$1:$F$2241,4,FALSE)</f>
        <v>0</v>
      </c>
      <c r="N1243">
        <f>VLOOKUP(A1243,Marketing_df2!$A$1:$F$2241,5,FALSE)</f>
        <v>2</v>
      </c>
      <c r="O1243">
        <f>VLOOKUP(A1243,Marketing_df2!$A$1:$F$2241,6,FALSE)</f>
        <v>3</v>
      </c>
    </row>
    <row r="1244" spans="1:15" ht="12.5">
      <c r="A1244" s="6">
        <v>1242</v>
      </c>
      <c r="B1244" s="6">
        <v>4138</v>
      </c>
      <c r="C1244" s="6">
        <v>1962</v>
      </c>
      <c r="D1244" s="7" t="s">
        <v>9</v>
      </c>
      <c r="E1244" s="7" t="s">
        <v>10</v>
      </c>
      <c r="F1244" s="6">
        <v>76624</v>
      </c>
      <c r="G1244" s="6">
        <v>0</v>
      </c>
      <c r="H1244" s="6">
        <v>1</v>
      </c>
      <c r="I1244" s="6">
        <f t="shared" si="19"/>
        <v>1</v>
      </c>
      <c r="J1244" s="8">
        <v>41783</v>
      </c>
      <c r="K1244" s="6">
        <v>68</v>
      </c>
      <c r="L1244">
        <f>VLOOKUP(A1244,Marketing_df2!$A$1:$F$2241,3,FALSE)</f>
        <v>106</v>
      </c>
      <c r="M1244">
        <f>VLOOKUP(A1244,Marketing_df2!$A$1:$F$2241,4,FALSE)</f>
        <v>115</v>
      </c>
      <c r="N1244">
        <f>VLOOKUP(A1244,Marketing_df2!$A$1:$F$2241,5,FALSE)</f>
        <v>5</v>
      </c>
      <c r="O1244">
        <f>VLOOKUP(A1244,Marketing_df2!$A$1:$F$2241,6,FALSE)</f>
        <v>7</v>
      </c>
    </row>
    <row r="1245" spans="1:15" ht="12.5">
      <c r="A1245" s="6">
        <v>1243</v>
      </c>
      <c r="B1245" s="6">
        <v>7718</v>
      </c>
      <c r="C1245" s="6">
        <v>1947</v>
      </c>
      <c r="D1245" s="7" t="s">
        <v>14</v>
      </c>
      <c r="E1245" s="7" t="s">
        <v>11</v>
      </c>
      <c r="F1245" s="6">
        <v>66000</v>
      </c>
      <c r="G1245" s="6">
        <v>0</v>
      </c>
      <c r="H1245" s="6">
        <v>0</v>
      </c>
      <c r="I1245" s="6">
        <f t="shared" si="19"/>
        <v>0</v>
      </c>
      <c r="J1245" s="8">
        <v>41749</v>
      </c>
      <c r="K1245" s="6">
        <v>36</v>
      </c>
      <c r="L1245">
        <f>VLOOKUP(A1245,Marketing_df2!$A$1:$F$2241,3,FALSE)</f>
        <v>51</v>
      </c>
      <c r="M1245">
        <f>VLOOKUP(A1245,Marketing_df2!$A$1:$F$2241,4,FALSE)</f>
        <v>0</v>
      </c>
      <c r="N1245">
        <f>VLOOKUP(A1245,Marketing_df2!$A$1:$F$2241,5,FALSE)</f>
        <v>1</v>
      </c>
      <c r="O1245">
        <f>VLOOKUP(A1245,Marketing_df2!$A$1:$F$2241,6,FALSE)</f>
        <v>5</v>
      </c>
    </row>
    <row r="1246" spans="1:15" ht="12.5">
      <c r="A1246" s="6">
        <v>1244</v>
      </c>
      <c r="B1246" s="6">
        <v>1291</v>
      </c>
      <c r="C1246" s="6">
        <v>1978</v>
      </c>
      <c r="D1246" s="7" t="s">
        <v>12</v>
      </c>
      <c r="E1246" s="7" t="s">
        <v>11</v>
      </c>
      <c r="F1246" s="6">
        <v>27683</v>
      </c>
      <c r="G1246" s="6">
        <v>1</v>
      </c>
      <c r="H1246" s="6">
        <v>0</v>
      </c>
      <c r="I1246" s="6">
        <f t="shared" si="19"/>
        <v>1</v>
      </c>
      <c r="J1246" s="8">
        <v>41125</v>
      </c>
      <c r="K1246" s="6">
        <v>90</v>
      </c>
      <c r="L1246">
        <f>VLOOKUP(A1246,Marketing_df2!$A$1:$F$2241,3,FALSE)</f>
        <v>9</v>
      </c>
      <c r="M1246">
        <f>VLOOKUP(A1246,Marketing_df2!$A$1:$F$2241,4,FALSE)</f>
        <v>12</v>
      </c>
      <c r="N1246">
        <f>VLOOKUP(A1246,Marketing_df2!$A$1:$F$2241,5,FALSE)</f>
        <v>6</v>
      </c>
      <c r="O1246">
        <f>VLOOKUP(A1246,Marketing_df2!$A$1:$F$2241,6,FALSE)</f>
        <v>4</v>
      </c>
    </row>
    <row r="1247" spans="1:15" ht="12.5">
      <c r="A1247" s="6">
        <v>1245</v>
      </c>
      <c r="B1247" s="6">
        <v>6862</v>
      </c>
      <c r="C1247" s="6">
        <v>1971</v>
      </c>
      <c r="D1247" s="7" t="s">
        <v>9</v>
      </c>
      <c r="E1247" s="7" t="s">
        <v>15</v>
      </c>
      <c r="F1247" s="6">
        <v>1730</v>
      </c>
      <c r="G1247" s="6">
        <v>0</v>
      </c>
      <c r="H1247" s="6">
        <v>0</v>
      </c>
      <c r="I1247" s="6">
        <f t="shared" si="19"/>
        <v>0</v>
      </c>
      <c r="J1247" s="8">
        <v>41777</v>
      </c>
      <c r="K1247" s="6">
        <v>65</v>
      </c>
      <c r="L1247">
        <f>VLOOKUP(A1247,Marketing_df2!$A$1:$F$2241,3,FALSE)</f>
        <v>1</v>
      </c>
      <c r="M1247">
        <f>VLOOKUP(A1247,Marketing_df2!$A$1:$F$2241,4,FALSE)</f>
        <v>1</v>
      </c>
      <c r="N1247">
        <f>VLOOKUP(A1247,Marketing_df2!$A$1:$F$2241,5,FALSE)</f>
        <v>0</v>
      </c>
      <c r="O1247">
        <f>VLOOKUP(A1247,Marketing_df2!$A$1:$F$2241,6,FALSE)</f>
        <v>0</v>
      </c>
    </row>
    <row r="1248" spans="1:15" ht="12.5">
      <c r="A1248" s="6">
        <v>1246</v>
      </c>
      <c r="B1248" s="6">
        <v>4136</v>
      </c>
      <c r="C1248" s="6">
        <v>1992</v>
      </c>
      <c r="D1248" s="7" t="s">
        <v>16</v>
      </c>
      <c r="E1248" s="7" t="s">
        <v>10</v>
      </c>
      <c r="F1248" s="6">
        <v>7500</v>
      </c>
      <c r="G1248" s="6">
        <v>1</v>
      </c>
      <c r="H1248" s="6">
        <v>0</v>
      </c>
      <c r="I1248" s="6">
        <f t="shared" si="19"/>
        <v>1</v>
      </c>
      <c r="J1248" s="8">
        <v>41246</v>
      </c>
      <c r="K1248" s="6">
        <v>63</v>
      </c>
      <c r="L1248">
        <f>VLOOKUP(A1248,Marketing_df2!$A$1:$F$2241,3,FALSE)</f>
        <v>17</v>
      </c>
      <c r="M1248">
        <f>VLOOKUP(A1248,Marketing_df2!$A$1:$F$2241,4,FALSE)</f>
        <v>26</v>
      </c>
      <c r="N1248">
        <f>VLOOKUP(A1248,Marketing_df2!$A$1:$F$2241,5,FALSE)</f>
        <v>3</v>
      </c>
      <c r="O1248">
        <f>VLOOKUP(A1248,Marketing_df2!$A$1:$F$2241,6,FALSE)</f>
        <v>2</v>
      </c>
    </row>
    <row r="1249" spans="1:15" ht="12.5">
      <c r="A1249" s="6">
        <v>1247</v>
      </c>
      <c r="B1249" s="6">
        <v>803</v>
      </c>
      <c r="C1249" s="6">
        <v>1968</v>
      </c>
      <c r="D1249" s="7" t="s">
        <v>9</v>
      </c>
      <c r="E1249" s="7" t="s">
        <v>11</v>
      </c>
      <c r="F1249" s="6">
        <v>40521</v>
      </c>
      <c r="G1249" s="6">
        <v>1</v>
      </c>
      <c r="H1249" s="6">
        <v>1</v>
      </c>
      <c r="I1249" s="6">
        <f t="shared" si="19"/>
        <v>2</v>
      </c>
      <c r="J1249" s="8">
        <v>41369</v>
      </c>
      <c r="K1249" s="6">
        <v>82</v>
      </c>
      <c r="L1249">
        <f>VLOOKUP(A1249,Marketing_df2!$A$1:$F$2241,3,FALSE)</f>
        <v>0</v>
      </c>
      <c r="M1249">
        <f>VLOOKUP(A1249,Marketing_df2!$A$1:$F$2241,4,FALSE)</f>
        <v>0</v>
      </c>
      <c r="N1249">
        <f>VLOOKUP(A1249,Marketing_df2!$A$1:$F$2241,5,FALSE)</f>
        <v>0</v>
      </c>
      <c r="O1249">
        <f>VLOOKUP(A1249,Marketing_df2!$A$1:$F$2241,6,FALSE)</f>
        <v>2</v>
      </c>
    </row>
    <row r="1250" spans="1:15" ht="12.5">
      <c r="A1250" s="6">
        <v>1248</v>
      </c>
      <c r="B1250" s="6">
        <v>4298</v>
      </c>
      <c r="C1250" s="6">
        <v>1973</v>
      </c>
      <c r="D1250" s="7" t="s">
        <v>12</v>
      </c>
      <c r="E1250" s="7" t="s">
        <v>11</v>
      </c>
      <c r="F1250" s="6">
        <v>20427</v>
      </c>
      <c r="G1250" s="6">
        <v>1</v>
      </c>
      <c r="H1250" s="6">
        <v>0</v>
      </c>
      <c r="I1250" s="6">
        <f t="shared" si="19"/>
        <v>1</v>
      </c>
      <c r="J1250" s="8">
        <v>41722</v>
      </c>
      <c r="K1250" s="6">
        <v>63</v>
      </c>
      <c r="L1250">
        <f>VLOOKUP(A1250,Marketing_df2!$A$1:$F$2241,3,FALSE)</f>
        <v>0</v>
      </c>
      <c r="M1250">
        <f>VLOOKUP(A1250,Marketing_df2!$A$1:$F$2241,4,FALSE)</f>
        <v>0</v>
      </c>
      <c r="N1250">
        <f>VLOOKUP(A1250,Marketing_df2!$A$1:$F$2241,5,FALSE)</f>
        <v>1</v>
      </c>
      <c r="O1250">
        <f>VLOOKUP(A1250,Marketing_df2!$A$1:$F$2241,6,FALSE)</f>
        <v>2</v>
      </c>
    </row>
    <row r="1251" spans="1:15" ht="12.5">
      <c r="A1251" s="6">
        <v>1249</v>
      </c>
      <c r="B1251" s="6">
        <v>10833</v>
      </c>
      <c r="C1251" s="6">
        <v>1975</v>
      </c>
      <c r="D1251" s="7" t="s">
        <v>9</v>
      </c>
      <c r="E1251" s="7" t="s">
        <v>13</v>
      </c>
      <c r="F1251" s="6">
        <v>65106</v>
      </c>
      <c r="G1251" s="6">
        <v>0</v>
      </c>
      <c r="H1251" s="6">
        <v>1</v>
      </c>
      <c r="I1251" s="6">
        <f t="shared" si="19"/>
        <v>1</v>
      </c>
      <c r="J1251" s="8">
        <v>41783</v>
      </c>
      <c r="K1251" s="6">
        <v>55</v>
      </c>
      <c r="L1251">
        <f>VLOOKUP(A1251,Marketing_df2!$A$1:$F$2241,3,FALSE)</f>
        <v>19</v>
      </c>
      <c r="M1251">
        <f>VLOOKUP(A1251,Marketing_df2!$A$1:$F$2241,4,FALSE)</f>
        <v>0</v>
      </c>
      <c r="N1251">
        <f>VLOOKUP(A1251,Marketing_df2!$A$1:$F$2241,5,FALSE)</f>
        <v>8</v>
      </c>
      <c r="O1251">
        <f>VLOOKUP(A1251,Marketing_df2!$A$1:$F$2241,6,FALSE)</f>
        <v>13</v>
      </c>
    </row>
    <row r="1252" spans="1:15" ht="12.5">
      <c r="A1252" s="6">
        <v>1250</v>
      </c>
      <c r="B1252" s="6">
        <v>9606</v>
      </c>
      <c r="C1252" s="6">
        <v>1965</v>
      </c>
      <c r="D1252" s="7" t="s">
        <v>12</v>
      </c>
      <c r="E1252" s="7" t="s">
        <v>13</v>
      </c>
      <c r="F1252" s="6">
        <v>69969</v>
      </c>
      <c r="G1252" s="6">
        <v>0</v>
      </c>
      <c r="H1252" s="6">
        <v>0</v>
      </c>
      <c r="I1252" s="6">
        <f t="shared" si="19"/>
        <v>0</v>
      </c>
      <c r="J1252" s="8">
        <v>41513</v>
      </c>
      <c r="K1252" s="6">
        <v>64</v>
      </c>
      <c r="L1252">
        <f>VLOOKUP(A1252,Marketing_df2!$A$1:$F$2241,3,FALSE)</f>
        <v>29</v>
      </c>
      <c r="M1252">
        <f>VLOOKUP(A1252,Marketing_df2!$A$1:$F$2241,4,FALSE)</f>
        <v>29</v>
      </c>
      <c r="N1252">
        <f>VLOOKUP(A1252,Marketing_df2!$A$1:$F$2241,5,FALSE)</f>
        <v>4</v>
      </c>
      <c r="O1252">
        <f>VLOOKUP(A1252,Marketing_df2!$A$1:$F$2241,6,FALSE)</f>
        <v>6</v>
      </c>
    </row>
    <row r="1253" spans="1:15" ht="12.5">
      <c r="A1253" s="6">
        <v>1251</v>
      </c>
      <c r="B1253" s="6">
        <v>8534</v>
      </c>
      <c r="C1253" s="6">
        <v>1952</v>
      </c>
      <c r="D1253" s="7" t="s">
        <v>9</v>
      </c>
      <c r="E1253" s="7" t="s">
        <v>13</v>
      </c>
      <c r="F1253" s="6">
        <v>67433</v>
      </c>
      <c r="G1253" s="6">
        <v>0</v>
      </c>
      <c r="H1253" s="6">
        <v>2</v>
      </c>
      <c r="I1253" s="6">
        <f t="shared" si="19"/>
        <v>2</v>
      </c>
      <c r="J1253" s="8">
        <v>41471</v>
      </c>
      <c r="K1253" s="6">
        <v>51</v>
      </c>
      <c r="L1253">
        <f>VLOOKUP(A1253,Marketing_df2!$A$1:$F$2241,3,FALSE)</f>
        <v>28</v>
      </c>
      <c r="M1253">
        <f>VLOOKUP(A1253,Marketing_df2!$A$1:$F$2241,4,FALSE)</f>
        <v>48</v>
      </c>
      <c r="N1253">
        <f>VLOOKUP(A1253,Marketing_df2!$A$1:$F$2241,5,FALSE)</f>
        <v>6</v>
      </c>
      <c r="O1253">
        <f>VLOOKUP(A1253,Marketing_df2!$A$1:$F$2241,6,FALSE)</f>
        <v>13</v>
      </c>
    </row>
    <row r="1254" spans="1:15" ht="12.5">
      <c r="A1254" s="6">
        <v>1252</v>
      </c>
      <c r="B1254" s="6">
        <v>5153</v>
      </c>
      <c r="C1254" s="6">
        <v>1967</v>
      </c>
      <c r="D1254" s="7" t="s">
        <v>12</v>
      </c>
      <c r="E1254" s="7" t="s">
        <v>13</v>
      </c>
      <c r="F1254" s="6">
        <v>77766</v>
      </c>
      <c r="G1254" s="6">
        <v>0</v>
      </c>
      <c r="H1254" s="6">
        <v>1</v>
      </c>
      <c r="I1254" s="6">
        <f t="shared" si="19"/>
        <v>1</v>
      </c>
      <c r="J1254" s="8">
        <v>41327</v>
      </c>
      <c r="K1254" s="6">
        <v>97</v>
      </c>
      <c r="L1254">
        <f>VLOOKUP(A1254,Marketing_df2!$A$1:$F$2241,3,FALSE)</f>
        <v>59</v>
      </c>
      <c r="M1254">
        <f>VLOOKUP(A1254,Marketing_df2!$A$1:$F$2241,4,FALSE)</f>
        <v>59</v>
      </c>
      <c r="N1254">
        <f>VLOOKUP(A1254,Marketing_df2!$A$1:$F$2241,5,FALSE)</f>
        <v>11</v>
      </c>
      <c r="O1254">
        <f>VLOOKUP(A1254,Marketing_df2!$A$1:$F$2241,6,FALSE)</f>
        <v>11</v>
      </c>
    </row>
    <row r="1255" spans="1:15" ht="12.5">
      <c r="A1255" s="6">
        <v>1253</v>
      </c>
      <c r="B1255" s="6">
        <v>961</v>
      </c>
      <c r="C1255" s="6">
        <v>1972</v>
      </c>
      <c r="D1255" s="7" t="s">
        <v>9</v>
      </c>
      <c r="E1255" s="7" t="s">
        <v>13</v>
      </c>
      <c r="F1255" s="6">
        <v>74716</v>
      </c>
      <c r="G1255" s="6">
        <v>0</v>
      </c>
      <c r="H1255" s="6">
        <v>1</v>
      </c>
      <c r="I1255" s="6">
        <f t="shared" si="19"/>
        <v>1</v>
      </c>
      <c r="J1255" s="8">
        <v>41529</v>
      </c>
      <c r="K1255" s="6">
        <v>92</v>
      </c>
      <c r="L1255">
        <f>VLOOKUP(A1255,Marketing_df2!$A$1:$F$2241,3,FALSE)</f>
        <v>27</v>
      </c>
      <c r="M1255">
        <f>VLOOKUP(A1255,Marketing_df2!$A$1:$F$2241,4,FALSE)</f>
        <v>195</v>
      </c>
      <c r="N1255">
        <f>VLOOKUP(A1255,Marketing_df2!$A$1:$F$2241,5,FALSE)</f>
        <v>7</v>
      </c>
      <c r="O1255">
        <f>VLOOKUP(A1255,Marketing_df2!$A$1:$F$2241,6,FALSE)</f>
        <v>5</v>
      </c>
    </row>
    <row r="1256" spans="1:15" ht="12.5">
      <c r="A1256" s="6">
        <v>1254</v>
      </c>
      <c r="B1256" s="6">
        <v>5011</v>
      </c>
      <c r="C1256" s="6">
        <v>1963</v>
      </c>
      <c r="D1256" s="7" t="s">
        <v>9</v>
      </c>
      <c r="E1256" s="7" t="s">
        <v>15</v>
      </c>
      <c r="F1256" s="6">
        <v>68118</v>
      </c>
      <c r="G1256" s="6">
        <v>0</v>
      </c>
      <c r="H1256" s="6">
        <v>1</v>
      </c>
      <c r="I1256" s="6">
        <f t="shared" si="19"/>
        <v>1</v>
      </c>
      <c r="J1256" s="9">
        <v>41565</v>
      </c>
      <c r="K1256" s="6">
        <v>51</v>
      </c>
      <c r="L1256">
        <f>VLOOKUP(A1256,Marketing_df2!$A$1:$F$2241,3,FALSE)</f>
        <v>23</v>
      </c>
      <c r="M1256">
        <f>VLOOKUP(A1256,Marketing_df2!$A$1:$F$2241,4,FALSE)</f>
        <v>23</v>
      </c>
      <c r="N1256">
        <f>VLOOKUP(A1256,Marketing_df2!$A$1:$F$2241,5,FALSE)</f>
        <v>8</v>
      </c>
      <c r="O1256">
        <f>VLOOKUP(A1256,Marketing_df2!$A$1:$F$2241,6,FALSE)</f>
        <v>4</v>
      </c>
    </row>
    <row r="1257" spans="1:15" ht="12.5">
      <c r="A1257" s="6">
        <v>1255</v>
      </c>
      <c r="B1257" s="6">
        <v>6653</v>
      </c>
      <c r="C1257" s="6">
        <v>1970</v>
      </c>
      <c r="D1257" s="7" t="s">
        <v>12</v>
      </c>
      <c r="E1257" s="7" t="s">
        <v>13</v>
      </c>
      <c r="F1257" s="6">
        <v>55158</v>
      </c>
      <c r="G1257" s="6">
        <v>1</v>
      </c>
      <c r="H1257" s="6">
        <v>1</v>
      </c>
      <c r="I1257" s="6">
        <f t="shared" si="19"/>
        <v>2</v>
      </c>
      <c r="J1257" s="8">
        <v>41120</v>
      </c>
      <c r="K1257" s="6">
        <v>72</v>
      </c>
      <c r="L1257">
        <f>VLOOKUP(A1257,Marketing_df2!$A$1:$F$2241,3,FALSE)</f>
        <v>0</v>
      </c>
      <c r="M1257">
        <f>VLOOKUP(A1257,Marketing_df2!$A$1:$F$2241,4,FALSE)</f>
        <v>11</v>
      </c>
      <c r="N1257">
        <f>VLOOKUP(A1257,Marketing_df2!$A$1:$F$2241,5,FALSE)</f>
        <v>7</v>
      </c>
      <c r="O1257">
        <f>VLOOKUP(A1257,Marketing_df2!$A$1:$F$2241,6,FALSE)</f>
        <v>5</v>
      </c>
    </row>
    <row r="1258" spans="1:15" ht="12.5">
      <c r="A1258" s="6">
        <v>1256</v>
      </c>
      <c r="B1258" s="6">
        <v>9094</v>
      </c>
      <c r="C1258" s="6">
        <v>1955</v>
      </c>
      <c r="D1258" s="7" t="s">
        <v>17</v>
      </c>
      <c r="E1258" s="7" t="s">
        <v>13</v>
      </c>
      <c r="F1258" s="6">
        <v>62972</v>
      </c>
      <c r="G1258" s="6">
        <v>0</v>
      </c>
      <c r="H1258" s="6">
        <v>1</v>
      </c>
      <c r="I1258" s="6">
        <f t="shared" si="19"/>
        <v>1</v>
      </c>
      <c r="J1258" s="8">
        <v>41124</v>
      </c>
      <c r="K1258" s="6">
        <v>39</v>
      </c>
      <c r="L1258">
        <f>VLOOKUP(A1258,Marketing_df2!$A$1:$F$2241,3,FALSE)</f>
        <v>15</v>
      </c>
      <c r="M1258">
        <f>VLOOKUP(A1258,Marketing_df2!$A$1:$F$2241,4,FALSE)</f>
        <v>0</v>
      </c>
      <c r="N1258">
        <f>VLOOKUP(A1258,Marketing_df2!$A$1:$F$2241,5,FALSE)</f>
        <v>7</v>
      </c>
      <c r="O1258">
        <f>VLOOKUP(A1258,Marketing_df2!$A$1:$F$2241,6,FALSE)</f>
        <v>3</v>
      </c>
    </row>
    <row r="1259" spans="1:15" ht="12.5">
      <c r="A1259" s="6">
        <v>1257</v>
      </c>
      <c r="B1259" s="6">
        <v>810</v>
      </c>
      <c r="C1259" s="6">
        <v>1975</v>
      </c>
      <c r="D1259" s="7" t="s">
        <v>9</v>
      </c>
      <c r="E1259" s="7" t="s">
        <v>13</v>
      </c>
      <c r="F1259" s="6">
        <v>74190</v>
      </c>
      <c r="G1259" s="6">
        <v>0</v>
      </c>
      <c r="H1259" s="6">
        <v>1</v>
      </c>
      <c r="I1259" s="6">
        <f t="shared" si="19"/>
        <v>1</v>
      </c>
      <c r="J1259" s="8">
        <v>41771</v>
      </c>
      <c r="K1259" s="6">
        <v>49</v>
      </c>
      <c r="L1259">
        <f>VLOOKUP(A1259,Marketing_df2!$A$1:$F$2241,3,FALSE)</f>
        <v>81</v>
      </c>
      <c r="M1259">
        <f>VLOOKUP(A1259,Marketing_df2!$A$1:$F$2241,4,FALSE)</f>
        <v>91</v>
      </c>
      <c r="N1259">
        <f>VLOOKUP(A1259,Marketing_df2!$A$1:$F$2241,5,FALSE)</f>
        <v>4</v>
      </c>
      <c r="O1259">
        <f>VLOOKUP(A1259,Marketing_df2!$A$1:$F$2241,6,FALSE)</f>
        <v>11</v>
      </c>
    </row>
    <row r="1260" spans="1:15" ht="12.5">
      <c r="A1260" s="6">
        <v>1258</v>
      </c>
      <c r="B1260" s="6">
        <v>5493</v>
      </c>
      <c r="C1260" s="6">
        <v>1976</v>
      </c>
      <c r="D1260" s="7" t="s">
        <v>9</v>
      </c>
      <c r="E1260" s="7" t="s">
        <v>13</v>
      </c>
      <c r="F1260" s="6">
        <v>39356</v>
      </c>
      <c r="G1260" s="6">
        <v>1</v>
      </c>
      <c r="H1260" s="6">
        <v>1</v>
      </c>
      <c r="I1260" s="6">
        <f t="shared" si="19"/>
        <v>2</v>
      </c>
      <c r="J1260" s="8">
        <v>41717</v>
      </c>
      <c r="K1260" s="6">
        <v>21</v>
      </c>
      <c r="L1260">
        <f>VLOOKUP(A1260,Marketing_df2!$A$1:$F$2241,3,FALSE)</f>
        <v>0</v>
      </c>
      <c r="M1260">
        <f>VLOOKUP(A1260,Marketing_df2!$A$1:$F$2241,4,FALSE)</f>
        <v>0</v>
      </c>
      <c r="N1260">
        <f>VLOOKUP(A1260,Marketing_df2!$A$1:$F$2241,5,FALSE)</f>
        <v>1</v>
      </c>
      <c r="O1260">
        <f>VLOOKUP(A1260,Marketing_df2!$A$1:$F$2241,6,FALSE)</f>
        <v>2</v>
      </c>
    </row>
    <row r="1261" spans="1:15" ht="12.5">
      <c r="A1261" s="6">
        <v>1259</v>
      </c>
      <c r="B1261" s="6">
        <v>2147</v>
      </c>
      <c r="C1261" s="6">
        <v>1969</v>
      </c>
      <c r="D1261" s="7" t="s">
        <v>9</v>
      </c>
      <c r="E1261" s="7" t="s">
        <v>11</v>
      </c>
      <c r="F1261" s="6">
        <v>76653</v>
      </c>
      <c r="G1261" s="6">
        <v>0</v>
      </c>
      <c r="H1261" s="6">
        <v>0</v>
      </c>
      <c r="I1261" s="6">
        <f t="shared" si="19"/>
        <v>0</v>
      </c>
      <c r="J1261" s="8">
        <v>41502</v>
      </c>
      <c r="K1261" s="6">
        <v>91</v>
      </c>
      <c r="L1261">
        <f>VLOOKUP(A1261,Marketing_df2!$A$1:$F$2241,3,FALSE)</f>
        <v>63</v>
      </c>
      <c r="M1261">
        <f>VLOOKUP(A1261,Marketing_df2!$A$1:$F$2241,4,FALSE)</f>
        <v>189</v>
      </c>
      <c r="N1261">
        <f>VLOOKUP(A1261,Marketing_df2!$A$1:$F$2241,5,FALSE)</f>
        <v>4</v>
      </c>
      <c r="O1261">
        <f>VLOOKUP(A1261,Marketing_df2!$A$1:$F$2241,6,FALSE)</f>
        <v>11</v>
      </c>
    </row>
    <row r="1262" spans="1:15" ht="12.5">
      <c r="A1262" s="6">
        <v>1260</v>
      </c>
      <c r="B1262" s="6">
        <v>5107</v>
      </c>
      <c r="C1262" s="6">
        <v>1973</v>
      </c>
      <c r="D1262" s="7" t="s">
        <v>12</v>
      </c>
      <c r="E1262" s="7" t="s">
        <v>15</v>
      </c>
      <c r="F1262" s="6">
        <v>35860</v>
      </c>
      <c r="G1262" s="6">
        <v>1</v>
      </c>
      <c r="H1262" s="6">
        <v>1</v>
      </c>
      <c r="I1262" s="6">
        <f t="shared" si="19"/>
        <v>2</v>
      </c>
      <c r="J1262" s="8">
        <v>41778</v>
      </c>
      <c r="K1262" s="6">
        <v>37</v>
      </c>
      <c r="L1262">
        <f>VLOOKUP(A1262,Marketing_df2!$A$1:$F$2241,3,FALSE)</f>
        <v>0</v>
      </c>
      <c r="M1262">
        <f>VLOOKUP(A1262,Marketing_df2!$A$1:$F$2241,4,FALSE)</f>
        <v>2</v>
      </c>
      <c r="N1262">
        <f>VLOOKUP(A1262,Marketing_df2!$A$1:$F$2241,5,FALSE)</f>
        <v>1</v>
      </c>
      <c r="O1262">
        <f>VLOOKUP(A1262,Marketing_df2!$A$1:$F$2241,6,FALSE)</f>
        <v>2</v>
      </c>
    </row>
    <row r="1263" spans="1:15" ht="12.5">
      <c r="A1263" s="6">
        <v>1261</v>
      </c>
      <c r="B1263" s="6">
        <v>3979</v>
      </c>
      <c r="C1263" s="6">
        <v>1983</v>
      </c>
      <c r="D1263" s="7" t="s">
        <v>12</v>
      </c>
      <c r="E1263" s="7" t="s">
        <v>15</v>
      </c>
      <c r="F1263" s="6">
        <v>90687</v>
      </c>
      <c r="G1263" s="6">
        <v>0</v>
      </c>
      <c r="H1263" s="6">
        <v>0</v>
      </c>
      <c r="I1263" s="6">
        <f t="shared" si="19"/>
        <v>0</v>
      </c>
      <c r="J1263" s="8">
        <v>41416</v>
      </c>
      <c r="K1263" s="6">
        <v>98</v>
      </c>
      <c r="L1263">
        <f>VLOOKUP(A1263,Marketing_df2!$A$1:$F$2241,3,FALSE)</f>
        <v>17</v>
      </c>
      <c r="M1263">
        <f>VLOOKUP(A1263,Marketing_df2!$A$1:$F$2241,4,FALSE)</f>
        <v>34</v>
      </c>
      <c r="N1263">
        <f>VLOOKUP(A1263,Marketing_df2!$A$1:$F$2241,5,FALSE)</f>
        <v>6</v>
      </c>
      <c r="O1263">
        <f>VLOOKUP(A1263,Marketing_df2!$A$1:$F$2241,6,FALSE)</f>
        <v>8</v>
      </c>
    </row>
    <row r="1264" spans="1:15" ht="12.5">
      <c r="A1264" s="6">
        <v>1262</v>
      </c>
      <c r="B1264" s="6">
        <v>6049</v>
      </c>
      <c r="C1264" s="6">
        <v>1982</v>
      </c>
      <c r="D1264" s="7" t="s">
        <v>14</v>
      </c>
      <c r="E1264" s="7" t="s">
        <v>11</v>
      </c>
      <c r="F1264" s="6">
        <v>73450</v>
      </c>
      <c r="G1264" s="6">
        <v>0</v>
      </c>
      <c r="H1264" s="6">
        <v>0</v>
      </c>
      <c r="I1264" s="6">
        <f t="shared" si="19"/>
        <v>0</v>
      </c>
      <c r="J1264" s="8">
        <v>41613</v>
      </c>
      <c r="K1264" s="6">
        <v>85</v>
      </c>
      <c r="L1264">
        <f>VLOOKUP(A1264,Marketing_df2!$A$1:$F$2241,3,FALSE)</f>
        <v>51</v>
      </c>
      <c r="M1264">
        <f>VLOOKUP(A1264,Marketing_df2!$A$1:$F$2241,4,FALSE)</f>
        <v>69</v>
      </c>
      <c r="N1264">
        <f>VLOOKUP(A1264,Marketing_df2!$A$1:$F$2241,5,FALSE)</f>
        <v>7</v>
      </c>
      <c r="O1264">
        <f>VLOOKUP(A1264,Marketing_df2!$A$1:$F$2241,6,FALSE)</f>
        <v>11</v>
      </c>
    </row>
    <row r="1265" spans="1:15" ht="12.5">
      <c r="A1265" s="6">
        <v>1263</v>
      </c>
      <c r="B1265" s="6">
        <v>8147</v>
      </c>
      <c r="C1265" s="6">
        <v>1960</v>
      </c>
      <c r="D1265" s="7" t="s">
        <v>9</v>
      </c>
      <c r="E1265" s="7" t="s">
        <v>13</v>
      </c>
      <c r="F1265" s="6">
        <v>31454</v>
      </c>
      <c r="G1265" s="6">
        <v>1</v>
      </c>
      <c r="H1265" s="6">
        <v>1</v>
      </c>
      <c r="I1265" s="6">
        <f t="shared" si="19"/>
        <v>2</v>
      </c>
      <c r="J1265" s="8">
        <v>41461</v>
      </c>
      <c r="K1265" s="6">
        <v>40</v>
      </c>
      <c r="L1265">
        <f>VLOOKUP(A1265,Marketing_df2!$A$1:$F$2241,3,FALSE)</f>
        <v>0</v>
      </c>
      <c r="M1265">
        <f>VLOOKUP(A1265,Marketing_df2!$A$1:$F$2241,4,FALSE)</f>
        <v>0</v>
      </c>
      <c r="N1265">
        <f>VLOOKUP(A1265,Marketing_df2!$A$1:$F$2241,5,FALSE)</f>
        <v>2</v>
      </c>
      <c r="O1265">
        <f>VLOOKUP(A1265,Marketing_df2!$A$1:$F$2241,6,FALSE)</f>
        <v>3</v>
      </c>
    </row>
    <row r="1266" spans="1:15" ht="12.5">
      <c r="A1266" s="6">
        <v>1264</v>
      </c>
      <c r="B1266" s="6">
        <v>1857</v>
      </c>
      <c r="C1266" s="6">
        <v>1952</v>
      </c>
      <c r="D1266" s="7" t="s">
        <v>9</v>
      </c>
      <c r="E1266" s="7" t="s">
        <v>10</v>
      </c>
      <c r="F1266" s="6">
        <v>47139</v>
      </c>
      <c r="G1266" s="6">
        <v>1</v>
      </c>
      <c r="H1266" s="6">
        <v>1</v>
      </c>
      <c r="I1266" s="6">
        <f t="shared" si="19"/>
        <v>2</v>
      </c>
      <c r="J1266" s="8">
        <v>41704</v>
      </c>
      <c r="K1266" s="6">
        <v>2</v>
      </c>
      <c r="L1266">
        <f>VLOOKUP(A1266,Marketing_df2!$A$1:$F$2241,3,FALSE)</f>
        <v>0</v>
      </c>
      <c r="M1266">
        <f>VLOOKUP(A1266,Marketing_df2!$A$1:$F$2241,4,FALSE)</f>
        <v>2</v>
      </c>
      <c r="N1266">
        <f>VLOOKUP(A1266,Marketing_df2!$A$1:$F$2241,5,FALSE)</f>
        <v>2</v>
      </c>
      <c r="O1266">
        <f>VLOOKUP(A1266,Marketing_df2!$A$1:$F$2241,6,FALSE)</f>
        <v>2</v>
      </c>
    </row>
    <row r="1267" spans="1:15" ht="12.5">
      <c r="A1267" s="6">
        <v>1265</v>
      </c>
      <c r="B1267" s="6">
        <v>3910</v>
      </c>
      <c r="C1267" s="6">
        <v>1975</v>
      </c>
      <c r="D1267" s="7" t="s">
        <v>9</v>
      </c>
      <c r="E1267" s="7" t="s">
        <v>15</v>
      </c>
      <c r="F1267" s="6">
        <v>83829</v>
      </c>
      <c r="G1267" s="6">
        <v>0</v>
      </c>
      <c r="H1267" s="6">
        <v>0</v>
      </c>
      <c r="I1267" s="6">
        <f t="shared" si="19"/>
        <v>0</v>
      </c>
      <c r="J1267" s="8">
        <v>41555</v>
      </c>
      <c r="K1267" s="6">
        <v>78</v>
      </c>
      <c r="L1267">
        <f>VLOOKUP(A1267,Marketing_df2!$A$1:$F$2241,3,FALSE)</f>
        <v>161</v>
      </c>
      <c r="M1267">
        <f>VLOOKUP(A1267,Marketing_df2!$A$1:$F$2241,4,FALSE)</f>
        <v>161</v>
      </c>
      <c r="N1267">
        <f>VLOOKUP(A1267,Marketing_df2!$A$1:$F$2241,5,FALSE)</f>
        <v>4</v>
      </c>
      <c r="O1267">
        <f>VLOOKUP(A1267,Marketing_df2!$A$1:$F$2241,6,FALSE)</f>
        <v>6</v>
      </c>
    </row>
    <row r="1268" spans="1:15" ht="12.5">
      <c r="A1268" s="6">
        <v>1266</v>
      </c>
      <c r="B1268" s="6">
        <v>5207</v>
      </c>
      <c r="C1268" s="6">
        <v>1963</v>
      </c>
      <c r="D1268" s="7" t="s">
        <v>12</v>
      </c>
      <c r="E1268" s="7" t="s">
        <v>13</v>
      </c>
      <c r="F1268" s="6">
        <v>53378</v>
      </c>
      <c r="G1268" s="6">
        <v>1</v>
      </c>
      <c r="H1268" s="6">
        <v>1</v>
      </c>
      <c r="I1268" s="6">
        <f t="shared" si="19"/>
        <v>2</v>
      </c>
      <c r="J1268" s="8">
        <v>41176</v>
      </c>
      <c r="K1268" s="6">
        <v>41</v>
      </c>
      <c r="L1268">
        <f>VLOOKUP(A1268,Marketing_df2!$A$1:$F$2241,3,FALSE)</f>
        <v>6</v>
      </c>
      <c r="M1268">
        <f>VLOOKUP(A1268,Marketing_df2!$A$1:$F$2241,4,FALSE)</f>
        <v>6</v>
      </c>
      <c r="N1268">
        <f>VLOOKUP(A1268,Marketing_df2!$A$1:$F$2241,5,FALSE)</f>
        <v>9</v>
      </c>
      <c r="O1268">
        <f>VLOOKUP(A1268,Marketing_df2!$A$1:$F$2241,6,FALSE)</f>
        <v>6</v>
      </c>
    </row>
    <row r="1269" spans="1:15" ht="12.5">
      <c r="A1269" s="6">
        <v>1267</v>
      </c>
      <c r="B1269" s="6">
        <v>11114</v>
      </c>
      <c r="C1269" s="6">
        <v>1970</v>
      </c>
      <c r="D1269" s="7" t="s">
        <v>9</v>
      </c>
      <c r="E1269" s="7" t="s">
        <v>11</v>
      </c>
      <c r="F1269" s="6">
        <v>19656</v>
      </c>
      <c r="G1269" s="6">
        <v>1</v>
      </c>
      <c r="H1269" s="6">
        <v>0</v>
      </c>
      <c r="I1269" s="6">
        <f t="shared" si="19"/>
        <v>1</v>
      </c>
      <c r="J1269" s="8">
        <v>41313</v>
      </c>
      <c r="K1269" s="6">
        <v>94</v>
      </c>
      <c r="L1269">
        <f>VLOOKUP(A1269,Marketing_df2!$A$1:$F$2241,3,FALSE)</f>
        <v>4</v>
      </c>
      <c r="M1269">
        <f>VLOOKUP(A1269,Marketing_df2!$A$1:$F$2241,4,FALSE)</f>
        <v>8</v>
      </c>
      <c r="N1269">
        <f>VLOOKUP(A1269,Marketing_df2!$A$1:$F$2241,5,FALSE)</f>
        <v>2</v>
      </c>
      <c r="O1269">
        <f>VLOOKUP(A1269,Marketing_df2!$A$1:$F$2241,6,FALSE)</f>
        <v>3</v>
      </c>
    </row>
    <row r="1270" spans="1:15" ht="12.5">
      <c r="A1270" s="6">
        <v>1268</v>
      </c>
      <c r="B1270" s="6">
        <v>5429</v>
      </c>
      <c r="C1270" s="6">
        <v>1948</v>
      </c>
      <c r="D1270" s="7" t="s">
        <v>12</v>
      </c>
      <c r="E1270" s="7" t="s">
        <v>13</v>
      </c>
      <c r="F1270" s="6">
        <v>45579</v>
      </c>
      <c r="G1270" s="6">
        <v>0</v>
      </c>
      <c r="H1270" s="6">
        <v>1</v>
      </c>
      <c r="I1270" s="6">
        <f t="shared" si="19"/>
        <v>1</v>
      </c>
      <c r="J1270" s="8">
        <v>41506</v>
      </c>
      <c r="K1270" s="6">
        <v>10</v>
      </c>
      <c r="L1270">
        <f>VLOOKUP(A1270,Marketing_df2!$A$1:$F$2241,3,FALSE)</f>
        <v>1</v>
      </c>
      <c r="M1270">
        <f>VLOOKUP(A1270,Marketing_df2!$A$1:$F$2241,4,FALSE)</f>
        <v>1</v>
      </c>
      <c r="N1270">
        <f>VLOOKUP(A1270,Marketing_df2!$A$1:$F$2241,5,FALSE)</f>
        <v>4</v>
      </c>
      <c r="O1270">
        <f>VLOOKUP(A1270,Marketing_df2!$A$1:$F$2241,6,FALSE)</f>
        <v>4</v>
      </c>
    </row>
    <row r="1271" spans="1:15" ht="12.5">
      <c r="A1271" s="6">
        <v>1269</v>
      </c>
      <c r="B1271" s="6">
        <v>9400</v>
      </c>
      <c r="C1271" s="6">
        <v>1958</v>
      </c>
      <c r="D1271" s="7" t="s">
        <v>17</v>
      </c>
      <c r="E1271" s="7" t="s">
        <v>10</v>
      </c>
      <c r="F1271" s="6">
        <v>85485</v>
      </c>
      <c r="G1271" s="6">
        <v>0</v>
      </c>
      <c r="H1271" s="6">
        <v>0</v>
      </c>
      <c r="I1271" s="6">
        <f t="shared" si="19"/>
        <v>0</v>
      </c>
      <c r="J1271" s="8">
        <v>41811</v>
      </c>
      <c r="K1271" s="6">
        <v>73</v>
      </c>
      <c r="L1271">
        <f>VLOOKUP(A1271,Marketing_df2!$A$1:$F$2241,3,FALSE)</f>
        <v>26</v>
      </c>
      <c r="M1271">
        <f>VLOOKUP(A1271,Marketing_df2!$A$1:$F$2241,4,FALSE)</f>
        <v>18</v>
      </c>
      <c r="N1271">
        <f>VLOOKUP(A1271,Marketing_df2!$A$1:$F$2241,5,FALSE)</f>
        <v>6</v>
      </c>
      <c r="O1271">
        <f>VLOOKUP(A1271,Marketing_df2!$A$1:$F$2241,6,FALSE)</f>
        <v>6</v>
      </c>
    </row>
    <row r="1272" spans="1:15" ht="12.5">
      <c r="A1272" s="6">
        <v>1270</v>
      </c>
      <c r="B1272" s="6">
        <v>1740</v>
      </c>
      <c r="C1272" s="6">
        <v>1944</v>
      </c>
      <c r="D1272" s="7" t="s">
        <v>9</v>
      </c>
      <c r="E1272" s="7" t="s">
        <v>13</v>
      </c>
      <c r="F1272" s="6">
        <v>55956</v>
      </c>
      <c r="G1272" s="6">
        <v>0</v>
      </c>
      <c r="H1272" s="6">
        <v>0</v>
      </c>
      <c r="I1272" s="6">
        <f t="shared" si="19"/>
        <v>0</v>
      </c>
      <c r="J1272" s="8">
        <v>41736</v>
      </c>
      <c r="K1272" s="6">
        <v>22</v>
      </c>
      <c r="L1272">
        <f>VLOOKUP(A1272,Marketing_df2!$A$1:$F$2241,3,FALSE)</f>
        <v>38</v>
      </c>
      <c r="M1272">
        <f>VLOOKUP(A1272,Marketing_df2!$A$1:$F$2241,4,FALSE)</f>
        <v>9</v>
      </c>
      <c r="N1272">
        <f>VLOOKUP(A1272,Marketing_df2!$A$1:$F$2241,5,FALSE)</f>
        <v>7</v>
      </c>
      <c r="O1272">
        <f>VLOOKUP(A1272,Marketing_df2!$A$1:$F$2241,6,FALSE)</f>
        <v>4</v>
      </c>
    </row>
    <row r="1273" spans="1:15" ht="12.5">
      <c r="A1273" s="6">
        <v>1271</v>
      </c>
      <c r="B1273" s="6">
        <v>7488</v>
      </c>
      <c r="C1273" s="6">
        <v>1963</v>
      </c>
      <c r="D1273" s="7" t="s">
        <v>14</v>
      </c>
      <c r="E1273" s="7" t="s">
        <v>10</v>
      </c>
      <c r="F1273" s="6">
        <v>64191</v>
      </c>
      <c r="G1273" s="6">
        <v>0</v>
      </c>
      <c r="H1273" s="6">
        <v>1</v>
      </c>
      <c r="I1273" s="6">
        <f t="shared" si="19"/>
        <v>1</v>
      </c>
      <c r="J1273" s="8">
        <v>41296</v>
      </c>
      <c r="K1273" s="6">
        <v>30</v>
      </c>
      <c r="L1273">
        <f>VLOOKUP(A1273,Marketing_df2!$A$1:$F$2241,3,FALSE)</f>
        <v>15</v>
      </c>
      <c r="M1273">
        <f>VLOOKUP(A1273,Marketing_df2!$A$1:$F$2241,4,FALSE)</f>
        <v>38</v>
      </c>
      <c r="N1273">
        <f>VLOOKUP(A1273,Marketing_df2!$A$1:$F$2241,5,FALSE)</f>
        <v>5</v>
      </c>
      <c r="O1273">
        <f>VLOOKUP(A1273,Marketing_df2!$A$1:$F$2241,6,FALSE)</f>
        <v>13</v>
      </c>
    </row>
    <row r="1274" spans="1:15" ht="12.5">
      <c r="A1274" s="6">
        <v>1272</v>
      </c>
      <c r="B1274" s="6">
        <v>195</v>
      </c>
      <c r="C1274" s="6">
        <v>1972</v>
      </c>
      <c r="D1274" s="7" t="s">
        <v>9</v>
      </c>
      <c r="E1274" s="7" t="s">
        <v>10</v>
      </c>
      <c r="F1274" s="6">
        <v>38808</v>
      </c>
      <c r="G1274" s="6">
        <v>1</v>
      </c>
      <c r="H1274" s="6">
        <v>0</v>
      </c>
      <c r="I1274" s="6">
        <f t="shared" si="19"/>
        <v>1</v>
      </c>
      <c r="J1274" s="8">
        <v>41147</v>
      </c>
      <c r="K1274" s="6">
        <v>21</v>
      </c>
      <c r="L1274">
        <f>VLOOKUP(A1274,Marketing_df2!$A$1:$F$2241,3,FALSE)</f>
        <v>17</v>
      </c>
      <c r="M1274">
        <f>VLOOKUP(A1274,Marketing_df2!$A$1:$F$2241,4,FALSE)</f>
        <v>19</v>
      </c>
      <c r="N1274">
        <f>VLOOKUP(A1274,Marketing_df2!$A$1:$F$2241,5,FALSE)</f>
        <v>5</v>
      </c>
      <c r="O1274">
        <f>VLOOKUP(A1274,Marketing_df2!$A$1:$F$2241,6,FALSE)</f>
        <v>4</v>
      </c>
    </row>
    <row r="1275" spans="1:15" ht="12.5">
      <c r="A1275" s="6">
        <v>1273</v>
      </c>
      <c r="B1275" s="6">
        <v>635</v>
      </c>
      <c r="C1275" s="6">
        <v>1966</v>
      </c>
      <c r="D1275" s="7" t="s">
        <v>14</v>
      </c>
      <c r="E1275" s="7" t="s">
        <v>13</v>
      </c>
      <c r="F1275" s="6">
        <v>57183</v>
      </c>
      <c r="G1275" s="6">
        <v>1</v>
      </c>
      <c r="H1275" s="6">
        <v>1</v>
      </c>
      <c r="I1275" s="6">
        <f t="shared" si="19"/>
        <v>2</v>
      </c>
      <c r="J1275" s="8">
        <v>41352</v>
      </c>
      <c r="K1275" s="6">
        <v>51</v>
      </c>
      <c r="L1275">
        <f>VLOOKUP(A1275,Marketing_df2!$A$1:$F$2241,3,FALSE)</f>
        <v>5</v>
      </c>
      <c r="M1275">
        <f>VLOOKUP(A1275,Marketing_df2!$A$1:$F$2241,4,FALSE)</f>
        <v>0</v>
      </c>
      <c r="N1275">
        <f>VLOOKUP(A1275,Marketing_df2!$A$1:$F$2241,5,FALSE)</f>
        <v>9</v>
      </c>
      <c r="O1275">
        <f>VLOOKUP(A1275,Marketing_df2!$A$1:$F$2241,6,FALSE)</f>
        <v>7</v>
      </c>
    </row>
    <row r="1276" spans="1:15" ht="12.5">
      <c r="A1276" s="6">
        <v>1274</v>
      </c>
      <c r="B1276" s="6">
        <v>7527</v>
      </c>
      <c r="C1276" s="6">
        <v>1968</v>
      </c>
      <c r="D1276" s="7" t="s">
        <v>14</v>
      </c>
      <c r="E1276" s="7" t="s">
        <v>15</v>
      </c>
      <c r="F1276" s="6">
        <v>23748</v>
      </c>
      <c r="G1276" s="6">
        <v>1</v>
      </c>
      <c r="H1276" s="6">
        <v>0</v>
      </c>
      <c r="I1276" s="6">
        <f t="shared" si="19"/>
        <v>1</v>
      </c>
      <c r="J1276" s="9">
        <v>41234</v>
      </c>
      <c r="K1276" s="6">
        <v>97</v>
      </c>
      <c r="L1276">
        <f>VLOOKUP(A1276,Marketing_df2!$A$1:$F$2241,3,FALSE)</f>
        <v>6</v>
      </c>
      <c r="M1276">
        <f>VLOOKUP(A1276,Marketing_df2!$A$1:$F$2241,4,FALSE)</f>
        <v>15</v>
      </c>
      <c r="N1276">
        <f>VLOOKUP(A1276,Marketing_df2!$A$1:$F$2241,5,FALSE)</f>
        <v>2</v>
      </c>
      <c r="O1276">
        <f>VLOOKUP(A1276,Marketing_df2!$A$1:$F$2241,6,FALSE)</f>
        <v>3</v>
      </c>
    </row>
    <row r="1277" spans="1:15" ht="12.5">
      <c r="A1277" s="6">
        <v>1275</v>
      </c>
      <c r="B1277" s="6">
        <v>10319</v>
      </c>
      <c r="C1277" s="6">
        <v>1971</v>
      </c>
      <c r="D1277" s="7" t="s">
        <v>9</v>
      </c>
      <c r="E1277" s="7" t="s">
        <v>13</v>
      </c>
      <c r="F1277" s="6">
        <v>66303</v>
      </c>
      <c r="G1277" s="6">
        <v>0</v>
      </c>
      <c r="H1277" s="6">
        <v>1</v>
      </c>
      <c r="I1277" s="6">
        <f t="shared" si="19"/>
        <v>1</v>
      </c>
      <c r="J1277" s="8">
        <v>41331</v>
      </c>
      <c r="K1277" s="6">
        <v>56</v>
      </c>
      <c r="L1277">
        <f>VLOOKUP(A1277,Marketing_df2!$A$1:$F$2241,3,FALSE)</f>
        <v>12</v>
      </c>
      <c r="M1277">
        <f>VLOOKUP(A1277,Marketing_df2!$A$1:$F$2241,4,FALSE)</f>
        <v>12</v>
      </c>
      <c r="N1277">
        <f>VLOOKUP(A1277,Marketing_df2!$A$1:$F$2241,5,FALSE)</f>
        <v>3</v>
      </c>
      <c r="O1277">
        <f>VLOOKUP(A1277,Marketing_df2!$A$1:$F$2241,6,FALSE)</f>
        <v>11</v>
      </c>
    </row>
    <row r="1278" spans="1:15" ht="12.5">
      <c r="A1278" s="6">
        <v>1276</v>
      </c>
      <c r="B1278" s="6">
        <v>2296</v>
      </c>
      <c r="C1278" s="6">
        <v>1975</v>
      </c>
      <c r="D1278" s="7" t="s">
        <v>14</v>
      </c>
      <c r="E1278" s="7" t="s">
        <v>13</v>
      </c>
      <c r="F1278" s="6">
        <v>37368</v>
      </c>
      <c r="G1278" s="6">
        <v>1</v>
      </c>
      <c r="H1278" s="6">
        <v>0</v>
      </c>
      <c r="I1278" s="6">
        <f t="shared" si="19"/>
        <v>1</v>
      </c>
      <c r="J1278" s="9">
        <v>41624</v>
      </c>
      <c r="K1278" s="6">
        <v>4</v>
      </c>
      <c r="L1278">
        <f>VLOOKUP(A1278,Marketing_df2!$A$1:$F$2241,3,FALSE)</f>
        <v>2</v>
      </c>
      <c r="M1278">
        <f>VLOOKUP(A1278,Marketing_df2!$A$1:$F$2241,4,FALSE)</f>
        <v>2</v>
      </c>
      <c r="N1278">
        <f>VLOOKUP(A1278,Marketing_df2!$A$1:$F$2241,5,FALSE)</f>
        <v>1</v>
      </c>
      <c r="O1278">
        <f>VLOOKUP(A1278,Marketing_df2!$A$1:$F$2241,6,FALSE)</f>
        <v>2</v>
      </c>
    </row>
    <row r="1279" spans="1:15" ht="12.5">
      <c r="A1279" s="6">
        <v>1277</v>
      </c>
      <c r="B1279" s="6">
        <v>10637</v>
      </c>
      <c r="C1279" s="6">
        <v>1964</v>
      </c>
      <c r="D1279" s="7" t="s">
        <v>9</v>
      </c>
      <c r="E1279" s="7" t="s">
        <v>13</v>
      </c>
      <c r="F1279" s="6">
        <v>40800</v>
      </c>
      <c r="G1279" s="6">
        <v>1</v>
      </c>
      <c r="H1279" s="6">
        <v>2</v>
      </c>
      <c r="I1279" s="6">
        <f t="shared" si="19"/>
        <v>3</v>
      </c>
      <c r="J1279" s="8">
        <v>41275</v>
      </c>
      <c r="K1279" s="6">
        <v>77</v>
      </c>
      <c r="L1279">
        <f>VLOOKUP(A1279,Marketing_df2!$A$1:$F$2241,3,FALSE)</f>
        <v>0</v>
      </c>
      <c r="M1279">
        <f>VLOOKUP(A1279,Marketing_df2!$A$1:$F$2241,4,FALSE)</f>
        <v>30</v>
      </c>
      <c r="N1279">
        <f>VLOOKUP(A1279,Marketing_df2!$A$1:$F$2241,5,FALSE)</f>
        <v>3</v>
      </c>
      <c r="O1279">
        <f>VLOOKUP(A1279,Marketing_df2!$A$1:$F$2241,6,FALSE)</f>
        <v>3</v>
      </c>
    </row>
    <row r="1280" spans="1:15" ht="12.5">
      <c r="A1280" s="6">
        <v>1278</v>
      </c>
      <c r="B1280" s="6">
        <v>2931</v>
      </c>
      <c r="C1280" s="6">
        <v>1978</v>
      </c>
      <c r="D1280" s="7" t="s">
        <v>9</v>
      </c>
      <c r="E1280" s="7" t="s">
        <v>15</v>
      </c>
      <c r="F1280" s="6">
        <v>71847</v>
      </c>
      <c r="G1280" s="6">
        <v>0</v>
      </c>
      <c r="H1280" s="6">
        <v>0</v>
      </c>
      <c r="I1280" s="6">
        <f t="shared" si="19"/>
        <v>0</v>
      </c>
      <c r="J1280" s="8">
        <v>41173</v>
      </c>
      <c r="K1280" s="6">
        <v>95</v>
      </c>
      <c r="L1280">
        <f>VLOOKUP(A1280,Marketing_df2!$A$1:$F$2241,3,FALSE)</f>
        <v>21</v>
      </c>
      <c r="M1280">
        <f>VLOOKUP(A1280,Marketing_df2!$A$1:$F$2241,4,FALSE)</f>
        <v>63</v>
      </c>
      <c r="N1280">
        <f>VLOOKUP(A1280,Marketing_df2!$A$1:$F$2241,5,FALSE)</f>
        <v>6</v>
      </c>
      <c r="O1280">
        <f>VLOOKUP(A1280,Marketing_df2!$A$1:$F$2241,6,FALSE)</f>
        <v>9</v>
      </c>
    </row>
    <row r="1281" spans="1:15" ht="12.5">
      <c r="A1281" s="6">
        <v>1279</v>
      </c>
      <c r="B1281" s="6">
        <v>907</v>
      </c>
      <c r="C1281" s="6">
        <v>1975</v>
      </c>
      <c r="D1281" s="7" t="s">
        <v>9</v>
      </c>
      <c r="E1281" s="7" t="s">
        <v>13</v>
      </c>
      <c r="F1281" s="6">
        <v>46149</v>
      </c>
      <c r="G1281" s="6">
        <v>0</v>
      </c>
      <c r="H1281" s="6">
        <v>1</v>
      </c>
      <c r="I1281" s="6">
        <f t="shared" si="19"/>
        <v>1</v>
      </c>
      <c r="J1281" s="9">
        <v>41607</v>
      </c>
      <c r="K1281" s="6">
        <v>36</v>
      </c>
      <c r="L1281">
        <f>VLOOKUP(A1281,Marketing_df2!$A$1:$F$2241,3,FALSE)</f>
        <v>6</v>
      </c>
      <c r="M1281">
        <f>VLOOKUP(A1281,Marketing_df2!$A$1:$F$2241,4,FALSE)</f>
        <v>0</v>
      </c>
      <c r="N1281">
        <f>VLOOKUP(A1281,Marketing_df2!$A$1:$F$2241,5,FALSE)</f>
        <v>5</v>
      </c>
      <c r="O1281">
        <f>VLOOKUP(A1281,Marketing_df2!$A$1:$F$2241,6,FALSE)</f>
        <v>7</v>
      </c>
    </row>
    <row r="1282" spans="1:15" ht="12.5">
      <c r="A1282" s="6">
        <v>1280</v>
      </c>
      <c r="B1282" s="6">
        <v>3698</v>
      </c>
      <c r="C1282" s="6">
        <v>1983</v>
      </c>
      <c r="D1282" s="7" t="s">
        <v>9</v>
      </c>
      <c r="E1282" s="7" t="s">
        <v>11</v>
      </c>
      <c r="F1282" s="6">
        <v>78687</v>
      </c>
      <c r="G1282" s="6">
        <v>0</v>
      </c>
      <c r="H1282" s="6">
        <v>0</v>
      </c>
      <c r="I1282" s="6">
        <f t="shared" si="19"/>
        <v>0</v>
      </c>
      <c r="J1282" s="8">
        <v>41130</v>
      </c>
      <c r="K1282" s="6">
        <v>13</v>
      </c>
      <c r="L1282">
        <f>VLOOKUP(A1282,Marketing_df2!$A$1:$F$2241,3,FALSE)</f>
        <v>185</v>
      </c>
      <c r="M1282">
        <f>VLOOKUP(A1282,Marketing_df2!$A$1:$F$2241,4,FALSE)</f>
        <v>55</v>
      </c>
      <c r="N1282">
        <f>VLOOKUP(A1282,Marketing_df2!$A$1:$F$2241,5,FALSE)</f>
        <v>4</v>
      </c>
      <c r="O1282">
        <f>VLOOKUP(A1282,Marketing_df2!$A$1:$F$2241,6,FALSE)</f>
        <v>8</v>
      </c>
    </row>
    <row r="1283" spans="1:15" ht="12.5">
      <c r="A1283" s="6">
        <v>1281</v>
      </c>
      <c r="B1283" s="6">
        <v>9516</v>
      </c>
      <c r="C1283" s="6">
        <v>1971</v>
      </c>
      <c r="D1283" s="7" t="s">
        <v>17</v>
      </c>
      <c r="E1283" s="7" t="s">
        <v>15</v>
      </c>
      <c r="F1283" s="6">
        <v>49118</v>
      </c>
      <c r="G1283" s="6">
        <v>0</v>
      </c>
      <c r="H1283" s="6">
        <v>0</v>
      </c>
      <c r="I1283" s="6">
        <f t="shared" ref="I1283:I1346" si="20">G1283+H1283</f>
        <v>0</v>
      </c>
      <c r="J1283" s="8">
        <v>41139</v>
      </c>
      <c r="K1283" s="6">
        <v>90</v>
      </c>
      <c r="L1283">
        <f>VLOOKUP(A1283,Marketing_df2!$A$1:$F$2241,3,FALSE)</f>
        <v>54</v>
      </c>
      <c r="M1283">
        <f>VLOOKUP(A1283,Marketing_df2!$A$1:$F$2241,4,FALSE)</f>
        <v>98</v>
      </c>
      <c r="N1283">
        <f>VLOOKUP(A1283,Marketing_df2!$A$1:$F$2241,5,FALSE)</f>
        <v>9</v>
      </c>
      <c r="O1283">
        <f>VLOOKUP(A1283,Marketing_df2!$A$1:$F$2241,6,FALSE)</f>
        <v>10</v>
      </c>
    </row>
    <row r="1284" spans="1:15" ht="12.5">
      <c r="A1284" s="6">
        <v>1282</v>
      </c>
      <c r="B1284" s="6">
        <v>679</v>
      </c>
      <c r="C1284" s="6">
        <v>1957</v>
      </c>
      <c r="D1284" s="7" t="s">
        <v>12</v>
      </c>
      <c r="E1284" s="7" t="s">
        <v>13</v>
      </c>
      <c r="F1284" s="6">
        <v>37633</v>
      </c>
      <c r="G1284" s="6">
        <v>1</v>
      </c>
      <c r="H1284" s="6">
        <v>1</v>
      </c>
      <c r="I1284" s="6">
        <f t="shared" si="20"/>
        <v>2</v>
      </c>
      <c r="J1284" s="8">
        <v>41172</v>
      </c>
      <c r="K1284" s="6">
        <v>49</v>
      </c>
      <c r="L1284">
        <f>VLOOKUP(A1284,Marketing_df2!$A$1:$F$2241,3,FALSE)</f>
        <v>4</v>
      </c>
      <c r="M1284">
        <f>VLOOKUP(A1284,Marketing_df2!$A$1:$F$2241,4,FALSE)</f>
        <v>0</v>
      </c>
      <c r="N1284">
        <f>VLOOKUP(A1284,Marketing_df2!$A$1:$F$2241,5,FALSE)</f>
        <v>1</v>
      </c>
      <c r="O1284">
        <f>VLOOKUP(A1284,Marketing_df2!$A$1:$F$2241,6,FALSE)</f>
        <v>3</v>
      </c>
    </row>
    <row r="1285" spans="1:15" ht="12.5">
      <c r="A1285" s="6">
        <v>1283</v>
      </c>
      <c r="B1285" s="6">
        <v>7384</v>
      </c>
      <c r="C1285" s="6">
        <v>1951</v>
      </c>
      <c r="D1285" s="7" t="s">
        <v>14</v>
      </c>
      <c r="E1285" s="7" t="s">
        <v>11</v>
      </c>
      <c r="F1285" s="6">
        <v>39767</v>
      </c>
      <c r="G1285" s="6">
        <v>0</v>
      </c>
      <c r="H1285" s="6">
        <v>0</v>
      </c>
      <c r="I1285" s="6">
        <f t="shared" si="20"/>
        <v>0</v>
      </c>
      <c r="J1285" s="8">
        <v>41476</v>
      </c>
      <c r="K1285" s="6">
        <v>18</v>
      </c>
      <c r="L1285">
        <f>VLOOKUP(A1285,Marketing_df2!$A$1:$F$2241,3,FALSE)</f>
        <v>61</v>
      </c>
      <c r="M1285">
        <f>VLOOKUP(A1285,Marketing_df2!$A$1:$F$2241,4,FALSE)</f>
        <v>26</v>
      </c>
      <c r="N1285">
        <f>VLOOKUP(A1285,Marketing_df2!$A$1:$F$2241,5,FALSE)</f>
        <v>7</v>
      </c>
      <c r="O1285">
        <f>VLOOKUP(A1285,Marketing_df2!$A$1:$F$2241,6,FALSE)</f>
        <v>7</v>
      </c>
    </row>
    <row r="1286" spans="1:15" ht="12.5">
      <c r="A1286" s="6">
        <v>1284</v>
      </c>
      <c r="B1286" s="6">
        <v>5043</v>
      </c>
      <c r="C1286" s="6">
        <v>1951</v>
      </c>
      <c r="D1286" s="7" t="s">
        <v>16</v>
      </c>
      <c r="E1286" s="7" t="s">
        <v>13</v>
      </c>
      <c r="F1286" s="6">
        <v>26997</v>
      </c>
      <c r="G1286" s="6">
        <v>0</v>
      </c>
      <c r="H1286" s="6">
        <v>0</v>
      </c>
      <c r="I1286" s="6">
        <f t="shared" si="20"/>
        <v>0</v>
      </c>
      <c r="J1286" s="8">
        <v>41218</v>
      </c>
      <c r="K1286" s="6">
        <v>89</v>
      </c>
      <c r="L1286">
        <f>VLOOKUP(A1286,Marketing_df2!$A$1:$F$2241,3,FALSE)</f>
        <v>23</v>
      </c>
      <c r="M1286">
        <f>VLOOKUP(A1286,Marketing_df2!$A$1:$F$2241,4,FALSE)</f>
        <v>49</v>
      </c>
      <c r="N1286">
        <f>VLOOKUP(A1286,Marketing_df2!$A$1:$F$2241,5,FALSE)</f>
        <v>4</v>
      </c>
      <c r="O1286">
        <f>VLOOKUP(A1286,Marketing_df2!$A$1:$F$2241,6,FALSE)</f>
        <v>5</v>
      </c>
    </row>
    <row r="1287" spans="1:15" ht="12.5">
      <c r="A1287" s="6">
        <v>1285</v>
      </c>
      <c r="B1287" s="6">
        <v>5267</v>
      </c>
      <c r="C1287" s="6">
        <v>1970</v>
      </c>
      <c r="D1287" s="7" t="s">
        <v>9</v>
      </c>
      <c r="E1287" s="7" t="s">
        <v>15</v>
      </c>
      <c r="F1287" s="6">
        <v>33986</v>
      </c>
      <c r="G1287" s="6">
        <v>1</v>
      </c>
      <c r="H1287" s="6">
        <v>0</v>
      </c>
      <c r="I1287" s="6">
        <f t="shared" si="20"/>
        <v>1</v>
      </c>
      <c r="J1287" s="8">
        <v>41347</v>
      </c>
      <c r="K1287" s="6">
        <v>43</v>
      </c>
      <c r="L1287">
        <f>VLOOKUP(A1287,Marketing_df2!$A$1:$F$2241,3,FALSE)</f>
        <v>2</v>
      </c>
      <c r="M1287">
        <f>VLOOKUP(A1287,Marketing_df2!$A$1:$F$2241,4,FALSE)</f>
        <v>1</v>
      </c>
      <c r="N1287">
        <f>VLOOKUP(A1287,Marketing_df2!$A$1:$F$2241,5,FALSE)</f>
        <v>1</v>
      </c>
      <c r="O1287">
        <f>VLOOKUP(A1287,Marketing_df2!$A$1:$F$2241,6,FALSE)</f>
        <v>3</v>
      </c>
    </row>
    <row r="1288" spans="1:15" ht="12.5">
      <c r="A1288" s="6">
        <v>1286</v>
      </c>
      <c r="B1288" s="6">
        <v>339</v>
      </c>
      <c r="C1288" s="6">
        <v>1972</v>
      </c>
      <c r="D1288" s="7" t="s">
        <v>12</v>
      </c>
      <c r="E1288" s="7" t="s">
        <v>13</v>
      </c>
      <c r="F1288" s="6">
        <v>57091</v>
      </c>
      <c r="G1288" s="6">
        <v>0</v>
      </c>
      <c r="H1288" s="6">
        <v>1</v>
      </c>
      <c r="I1288" s="6">
        <f t="shared" si="20"/>
        <v>1</v>
      </c>
      <c r="J1288" s="9">
        <v>41236</v>
      </c>
      <c r="K1288" s="6">
        <v>82</v>
      </c>
      <c r="L1288">
        <f>VLOOKUP(A1288,Marketing_df2!$A$1:$F$2241,3,FALSE)</f>
        <v>0</v>
      </c>
      <c r="M1288">
        <f>VLOOKUP(A1288,Marketing_df2!$A$1:$F$2241,4,FALSE)</f>
        <v>0</v>
      </c>
      <c r="N1288">
        <f>VLOOKUP(A1288,Marketing_df2!$A$1:$F$2241,5,FALSE)</f>
        <v>9</v>
      </c>
      <c r="O1288">
        <f>VLOOKUP(A1288,Marketing_df2!$A$1:$F$2241,6,FALSE)</f>
        <v>5</v>
      </c>
    </row>
    <row r="1289" spans="1:15" ht="12.5">
      <c r="A1289" s="6">
        <v>1287</v>
      </c>
      <c r="B1289" s="6">
        <v>2516</v>
      </c>
      <c r="C1289" s="6">
        <v>1969</v>
      </c>
      <c r="D1289" s="7" t="s">
        <v>17</v>
      </c>
      <c r="E1289" s="7" t="s">
        <v>13</v>
      </c>
      <c r="F1289" s="6">
        <v>46831</v>
      </c>
      <c r="G1289" s="6">
        <v>1</v>
      </c>
      <c r="H1289" s="6">
        <v>1</v>
      </c>
      <c r="I1289" s="6">
        <f t="shared" si="20"/>
        <v>2</v>
      </c>
      <c r="J1289" s="8">
        <v>41433</v>
      </c>
      <c r="K1289" s="6">
        <v>84</v>
      </c>
      <c r="L1289">
        <f>VLOOKUP(A1289,Marketing_df2!$A$1:$F$2241,3,FALSE)</f>
        <v>2</v>
      </c>
      <c r="M1289">
        <f>VLOOKUP(A1289,Marketing_df2!$A$1:$F$2241,4,FALSE)</f>
        <v>4</v>
      </c>
      <c r="N1289">
        <f>VLOOKUP(A1289,Marketing_df2!$A$1:$F$2241,5,FALSE)</f>
        <v>1</v>
      </c>
      <c r="O1289">
        <f>VLOOKUP(A1289,Marketing_df2!$A$1:$F$2241,6,FALSE)</f>
        <v>2</v>
      </c>
    </row>
    <row r="1290" spans="1:15" ht="12.5">
      <c r="A1290" s="6">
        <v>1288</v>
      </c>
      <c r="B1290" s="6">
        <v>9010</v>
      </c>
      <c r="C1290" s="6">
        <v>1972</v>
      </c>
      <c r="D1290" s="7" t="s">
        <v>14</v>
      </c>
      <c r="E1290" s="7" t="s">
        <v>13</v>
      </c>
      <c r="F1290" s="6">
        <v>83151</v>
      </c>
      <c r="G1290" s="6">
        <v>0</v>
      </c>
      <c r="H1290" s="6">
        <v>0</v>
      </c>
      <c r="I1290" s="6">
        <f t="shared" si="20"/>
        <v>0</v>
      </c>
      <c r="J1290" s="8">
        <v>41315</v>
      </c>
      <c r="K1290" s="6">
        <v>80</v>
      </c>
      <c r="L1290">
        <f>VLOOKUP(A1290,Marketing_df2!$A$1:$F$2241,3,FALSE)</f>
        <v>147</v>
      </c>
      <c r="M1290">
        <f>VLOOKUP(A1290,Marketing_df2!$A$1:$F$2241,4,FALSE)</f>
        <v>42</v>
      </c>
      <c r="N1290">
        <f>VLOOKUP(A1290,Marketing_df2!$A$1:$F$2241,5,FALSE)</f>
        <v>5</v>
      </c>
      <c r="O1290">
        <f>VLOOKUP(A1290,Marketing_df2!$A$1:$F$2241,6,FALSE)</f>
        <v>10</v>
      </c>
    </row>
    <row r="1291" spans="1:15" ht="12.5">
      <c r="A1291" s="6">
        <v>1289</v>
      </c>
      <c r="B1291" s="6">
        <v>378</v>
      </c>
      <c r="C1291" s="6">
        <v>1971</v>
      </c>
      <c r="D1291" s="7" t="s">
        <v>9</v>
      </c>
      <c r="E1291" s="7" t="s">
        <v>13</v>
      </c>
      <c r="F1291" s="6">
        <v>52531</v>
      </c>
      <c r="G1291" s="6">
        <v>0</v>
      </c>
      <c r="H1291" s="6">
        <v>0</v>
      </c>
      <c r="I1291" s="6">
        <f t="shared" si="20"/>
        <v>0</v>
      </c>
      <c r="J1291" s="9">
        <v>41273</v>
      </c>
      <c r="K1291" s="6">
        <v>68</v>
      </c>
      <c r="L1291">
        <f>VLOOKUP(A1291,Marketing_df2!$A$1:$F$2241,3,FALSE)</f>
        <v>112</v>
      </c>
      <c r="M1291">
        <f>VLOOKUP(A1291,Marketing_df2!$A$1:$F$2241,4,FALSE)</f>
        <v>72</v>
      </c>
      <c r="N1291">
        <f>VLOOKUP(A1291,Marketing_df2!$A$1:$F$2241,5,FALSE)</f>
        <v>7</v>
      </c>
      <c r="O1291">
        <f>VLOOKUP(A1291,Marketing_df2!$A$1:$F$2241,6,FALSE)</f>
        <v>10</v>
      </c>
    </row>
    <row r="1292" spans="1:15" ht="12.5">
      <c r="A1292" s="6">
        <v>1290</v>
      </c>
      <c r="B1292" s="6">
        <v>4808</v>
      </c>
      <c r="C1292" s="6">
        <v>1956</v>
      </c>
      <c r="D1292" s="7" t="s">
        <v>9</v>
      </c>
      <c r="E1292" s="7" t="s">
        <v>13</v>
      </c>
      <c r="F1292" s="6">
        <v>15759</v>
      </c>
      <c r="G1292" s="6">
        <v>0</v>
      </c>
      <c r="H1292" s="6">
        <v>0</v>
      </c>
      <c r="I1292" s="6">
        <f t="shared" si="20"/>
        <v>0</v>
      </c>
      <c r="J1292" s="8">
        <v>41522</v>
      </c>
      <c r="K1292" s="6">
        <v>12</v>
      </c>
      <c r="L1292">
        <f>VLOOKUP(A1292,Marketing_df2!$A$1:$F$2241,3,FALSE)</f>
        <v>2</v>
      </c>
      <c r="M1292">
        <f>VLOOKUP(A1292,Marketing_df2!$A$1:$F$2241,4,FALSE)</f>
        <v>0</v>
      </c>
      <c r="N1292">
        <f>VLOOKUP(A1292,Marketing_df2!$A$1:$F$2241,5,FALSE)</f>
        <v>1</v>
      </c>
      <c r="O1292">
        <f>VLOOKUP(A1292,Marketing_df2!$A$1:$F$2241,6,FALSE)</f>
        <v>2</v>
      </c>
    </row>
    <row r="1293" spans="1:15" ht="12.5">
      <c r="A1293" s="6">
        <v>1291</v>
      </c>
      <c r="B1293" s="6">
        <v>5068</v>
      </c>
      <c r="C1293" s="6">
        <v>1971</v>
      </c>
      <c r="D1293" s="7" t="s">
        <v>9</v>
      </c>
      <c r="E1293" s="7" t="s">
        <v>10</v>
      </c>
      <c r="F1293" s="6">
        <v>22804</v>
      </c>
      <c r="G1293" s="6">
        <v>1</v>
      </c>
      <c r="H1293" s="6">
        <v>0</v>
      </c>
      <c r="I1293" s="6">
        <f t="shared" si="20"/>
        <v>1</v>
      </c>
      <c r="J1293" s="8">
        <v>41486</v>
      </c>
      <c r="K1293" s="6">
        <v>75</v>
      </c>
      <c r="L1293">
        <f>VLOOKUP(A1293,Marketing_df2!$A$1:$F$2241,3,FALSE)</f>
        <v>1</v>
      </c>
      <c r="M1293">
        <f>VLOOKUP(A1293,Marketing_df2!$A$1:$F$2241,4,FALSE)</f>
        <v>1</v>
      </c>
      <c r="N1293">
        <f>VLOOKUP(A1293,Marketing_df2!$A$1:$F$2241,5,FALSE)</f>
        <v>2</v>
      </c>
      <c r="O1293">
        <f>VLOOKUP(A1293,Marketing_df2!$A$1:$F$2241,6,FALSE)</f>
        <v>2</v>
      </c>
    </row>
    <row r="1294" spans="1:15" ht="12.5">
      <c r="A1294" s="6">
        <v>1292</v>
      </c>
      <c r="B1294" s="6">
        <v>7628</v>
      </c>
      <c r="C1294" s="6">
        <v>1973</v>
      </c>
      <c r="D1294" s="7" t="s">
        <v>17</v>
      </c>
      <c r="E1294" s="7" t="s">
        <v>13</v>
      </c>
      <c r="F1294" s="6">
        <v>43050</v>
      </c>
      <c r="G1294" s="6">
        <v>1</v>
      </c>
      <c r="H1294" s="6">
        <v>0</v>
      </c>
      <c r="I1294" s="6">
        <f t="shared" si="20"/>
        <v>1</v>
      </c>
      <c r="J1294" s="8">
        <v>41716</v>
      </c>
      <c r="K1294" s="6">
        <v>10</v>
      </c>
      <c r="L1294">
        <f>VLOOKUP(A1294,Marketing_df2!$A$1:$F$2241,3,FALSE)</f>
        <v>5</v>
      </c>
      <c r="M1294">
        <f>VLOOKUP(A1294,Marketing_df2!$A$1:$F$2241,4,FALSE)</f>
        <v>3</v>
      </c>
      <c r="N1294">
        <f>VLOOKUP(A1294,Marketing_df2!$A$1:$F$2241,5,FALSE)</f>
        <v>2</v>
      </c>
      <c r="O1294">
        <f>VLOOKUP(A1294,Marketing_df2!$A$1:$F$2241,6,FALSE)</f>
        <v>4</v>
      </c>
    </row>
    <row r="1295" spans="1:15" ht="12.5">
      <c r="A1295" s="6">
        <v>1293</v>
      </c>
      <c r="B1295" s="6">
        <v>7128</v>
      </c>
      <c r="C1295" s="6">
        <v>1977</v>
      </c>
      <c r="D1295" s="7" t="s">
        <v>12</v>
      </c>
      <c r="E1295" s="7" t="s">
        <v>10</v>
      </c>
      <c r="F1295" s="6">
        <v>42997</v>
      </c>
      <c r="G1295" s="6">
        <v>1</v>
      </c>
      <c r="H1295" s="6">
        <v>1</v>
      </c>
      <c r="I1295" s="6">
        <f t="shared" si="20"/>
        <v>2</v>
      </c>
      <c r="J1295" s="8">
        <v>41615</v>
      </c>
      <c r="K1295" s="6">
        <v>91</v>
      </c>
      <c r="L1295">
        <f>VLOOKUP(A1295,Marketing_df2!$A$1:$F$2241,3,FALSE)</f>
        <v>0</v>
      </c>
      <c r="M1295">
        <f>VLOOKUP(A1295,Marketing_df2!$A$1:$F$2241,4,FALSE)</f>
        <v>1</v>
      </c>
      <c r="N1295">
        <f>VLOOKUP(A1295,Marketing_df2!$A$1:$F$2241,5,FALSE)</f>
        <v>1</v>
      </c>
      <c r="O1295">
        <f>VLOOKUP(A1295,Marketing_df2!$A$1:$F$2241,6,FALSE)</f>
        <v>2</v>
      </c>
    </row>
    <row r="1296" spans="1:15" ht="12.5">
      <c r="A1296" s="6">
        <v>1294</v>
      </c>
      <c r="B1296" s="6">
        <v>2811</v>
      </c>
      <c r="C1296" s="6">
        <v>1963</v>
      </c>
      <c r="D1296" s="7" t="s">
        <v>12</v>
      </c>
      <c r="E1296" s="7" t="s">
        <v>10</v>
      </c>
      <c r="F1296" s="6">
        <v>48918</v>
      </c>
      <c r="G1296" s="6">
        <v>1</v>
      </c>
      <c r="H1296" s="6">
        <v>1</v>
      </c>
      <c r="I1296" s="6">
        <f t="shared" si="20"/>
        <v>2</v>
      </c>
      <c r="J1296" s="8">
        <v>41741</v>
      </c>
      <c r="K1296" s="6">
        <v>21</v>
      </c>
      <c r="L1296">
        <f>VLOOKUP(A1296,Marketing_df2!$A$1:$F$2241,3,FALSE)</f>
        <v>0</v>
      </c>
      <c r="M1296">
        <f>VLOOKUP(A1296,Marketing_df2!$A$1:$F$2241,4,FALSE)</f>
        <v>0</v>
      </c>
      <c r="N1296">
        <f>VLOOKUP(A1296,Marketing_df2!$A$1:$F$2241,5,FALSE)</f>
        <v>1</v>
      </c>
      <c r="O1296">
        <f>VLOOKUP(A1296,Marketing_df2!$A$1:$F$2241,6,FALSE)</f>
        <v>4</v>
      </c>
    </row>
    <row r="1297" spans="1:15" ht="12.5">
      <c r="A1297" s="6">
        <v>1295</v>
      </c>
      <c r="B1297" s="6">
        <v>3551</v>
      </c>
      <c r="C1297" s="6">
        <v>1954</v>
      </c>
      <c r="D1297" s="7" t="s">
        <v>14</v>
      </c>
      <c r="E1297" s="7" t="s">
        <v>11</v>
      </c>
      <c r="F1297" s="6">
        <v>60033</v>
      </c>
      <c r="G1297" s="6">
        <v>0</v>
      </c>
      <c r="H1297" s="6">
        <v>1</v>
      </c>
      <c r="I1297" s="6">
        <f t="shared" si="20"/>
        <v>1</v>
      </c>
      <c r="J1297" s="8">
        <v>41727</v>
      </c>
      <c r="K1297" s="6">
        <v>28</v>
      </c>
      <c r="L1297">
        <f>VLOOKUP(A1297,Marketing_df2!$A$1:$F$2241,3,FALSE)</f>
        <v>1</v>
      </c>
      <c r="M1297">
        <f>VLOOKUP(A1297,Marketing_df2!$A$1:$F$2241,4,FALSE)</f>
        <v>11</v>
      </c>
      <c r="N1297">
        <f>VLOOKUP(A1297,Marketing_df2!$A$1:$F$2241,5,FALSE)</f>
        <v>2</v>
      </c>
      <c r="O1297">
        <f>VLOOKUP(A1297,Marketing_df2!$A$1:$F$2241,6,FALSE)</f>
        <v>5</v>
      </c>
    </row>
    <row r="1298" spans="1:15" ht="12.5">
      <c r="A1298" s="6">
        <v>1296</v>
      </c>
      <c r="B1298" s="6">
        <v>1663</v>
      </c>
      <c r="C1298" s="6">
        <v>1978</v>
      </c>
      <c r="D1298" s="7" t="s">
        <v>12</v>
      </c>
      <c r="E1298" s="7" t="s">
        <v>11</v>
      </c>
      <c r="F1298" s="6">
        <v>34043</v>
      </c>
      <c r="G1298" s="6">
        <v>1</v>
      </c>
      <c r="H1298" s="6">
        <v>0</v>
      </c>
      <c r="I1298" s="6">
        <f t="shared" si="20"/>
        <v>1</v>
      </c>
      <c r="J1298" s="9">
        <v>41572</v>
      </c>
      <c r="K1298" s="6">
        <v>97</v>
      </c>
      <c r="L1298">
        <f>VLOOKUP(A1298,Marketing_df2!$A$1:$F$2241,3,FALSE)</f>
        <v>2</v>
      </c>
      <c r="M1298">
        <f>VLOOKUP(A1298,Marketing_df2!$A$1:$F$2241,4,FALSE)</f>
        <v>0</v>
      </c>
      <c r="N1298">
        <f>VLOOKUP(A1298,Marketing_df2!$A$1:$F$2241,5,FALSE)</f>
        <v>2</v>
      </c>
      <c r="O1298">
        <f>VLOOKUP(A1298,Marketing_df2!$A$1:$F$2241,6,FALSE)</f>
        <v>2</v>
      </c>
    </row>
    <row r="1299" spans="1:15" ht="12.5">
      <c r="A1299" s="6">
        <v>1297</v>
      </c>
      <c r="B1299" s="6">
        <v>5543</v>
      </c>
      <c r="C1299" s="6">
        <v>1966</v>
      </c>
      <c r="D1299" s="7" t="s">
        <v>9</v>
      </c>
      <c r="E1299" s="7" t="s">
        <v>11</v>
      </c>
      <c r="F1299" s="6">
        <v>57811</v>
      </c>
      <c r="G1299" s="6">
        <v>0</v>
      </c>
      <c r="H1299" s="6">
        <v>1</v>
      </c>
      <c r="I1299" s="6">
        <f t="shared" si="20"/>
        <v>1</v>
      </c>
      <c r="J1299" s="8">
        <v>41449</v>
      </c>
      <c r="K1299" s="6">
        <v>49</v>
      </c>
      <c r="L1299">
        <f>VLOOKUP(A1299,Marketing_df2!$A$1:$F$2241,3,FALSE)</f>
        <v>7</v>
      </c>
      <c r="M1299">
        <f>VLOOKUP(A1299,Marketing_df2!$A$1:$F$2241,4,FALSE)</f>
        <v>21</v>
      </c>
      <c r="N1299">
        <f>VLOOKUP(A1299,Marketing_df2!$A$1:$F$2241,5,FALSE)</f>
        <v>7</v>
      </c>
      <c r="O1299">
        <f>VLOOKUP(A1299,Marketing_df2!$A$1:$F$2241,6,FALSE)</f>
        <v>11</v>
      </c>
    </row>
    <row r="1300" spans="1:15" ht="12.5">
      <c r="A1300" s="6">
        <v>1298</v>
      </c>
      <c r="B1300" s="6">
        <v>1577</v>
      </c>
      <c r="C1300" s="6">
        <v>1946</v>
      </c>
      <c r="D1300" s="7" t="s">
        <v>9</v>
      </c>
      <c r="E1300" s="7" t="s">
        <v>13</v>
      </c>
      <c r="F1300" s="6">
        <v>78569</v>
      </c>
      <c r="G1300" s="6">
        <v>0</v>
      </c>
      <c r="H1300" s="6">
        <v>0</v>
      </c>
      <c r="I1300" s="6">
        <f t="shared" si="20"/>
        <v>0</v>
      </c>
      <c r="J1300" s="8">
        <v>41689</v>
      </c>
      <c r="K1300" s="6">
        <v>14</v>
      </c>
      <c r="L1300">
        <f>VLOOKUP(A1300,Marketing_df2!$A$1:$F$2241,3,FALSE)</f>
        <v>79</v>
      </c>
      <c r="M1300">
        <f>VLOOKUP(A1300,Marketing_df2!$A$1:$F$2241,4,FALSE)</f>
        <v>175</v>
      </c>
      <c r="N1300">
        <f>VLOOKUP(A1300,Marketing_df2!$A$1:$F$2241,5,FALSE)</f>
        <v>4</v>
      </c>
      <c r="O1300">
        <f>VLOOKUP(A1300,Marketing_df2!$A$1:$F$2241,6,FALSE)</f>
        <v>4</v>
      </c>
    </row>
    <row r="1301" spans="1:15" ht="12.5">
      <c r="A1301" s="6">
        <v>1299</v>
      </c>
      <c r="B1301" s="6">
        <v>10641</v>
      </c>
      <c r="C1301" s="6">
        <v>1978</v>
      </c>
      <c r="D1301" s="7" t="s">
        <v>9</v>
      </c>
      <c r="E1301" s="7" t="s">
        <v>10</v>
      </c>
      <c r="F1301" s="6">
        <v>7500</v>
      </c>
      <c r="G1301" s="6">
        <v>1</v>
      </c>
      <c r="H1301" s="6">
        <v>1</v>
      </c>
      <c r="I1301" s="6">
        <f t="shared" si="20"/>
        <v>2</v>
      </c>
      <c r="J1301" s="9">
        <v>41270</v>
      </c>
      <c r="K1301" s="6">
        <v>5</v>
      </c>
      <c r="L1301">
        <f>VLOOKUP(A1301,Marketing_df2!$A$1:$F$2241,3,FALSE)</f>
        <v>5</v>
      </c>
      <c r="M1301">
        <f>VLOOKUP(A1301,Marketing_df2!$A$1:$F$2241,4,FALSE)</f>
        <v>4</v>
      </c>
      <c r="N1301">
        <f>VLOOKUP(A1301,Marketing_df2!$A$1:$F$2241,5,FALSE)</f>
        <v>2</v>
      </c>
      <c r="O1301">
        <f>VLOOKUP(A1301,Marketing_df2!$A$1:$F$2241,6,FALSE)</f>
        <v>3</v>
      </c>
    </row>
    <row r="1302" spans="1:15" ht="12.5">
      <c r="A1302" s="6">
        <v>1300</v>
      </c>
      <c r="B1302" s="6">
        <v>5336</v>
      </c>
      <c r="C1302" s="6">
        <v>1971</v>
      </c>
      <c r="D1302" s="7" t="s">
        <v>14</v>
      </c>
      <c r="E1302" s="7" t="s">
        <v>11</v>
      </c>
      <c r="F1302" s="6">
        <v>157733</v>
      </c>
      <c r="G1302" s="6">
        <v>1</v>
      </c>
      <c r="H1302" s="6">
        <v>0</v>
      </c>
      <c r="I1302" s="6">
        <f t="shared" si="20"/>
        <v>1</v>
      </c>
      <c r="J1302" s="8">
        <v>41429</v>
      </c>
      <c r="K1302" s="6">
        <v>37</v>
      </c>
      <c r="L1302">
        <f>VLOOKUP(A1302,Marketing_df2!$A$1:$F$2241,3,FALSE)</f>
        <v>1</v>
      </c>
      <c r="M1302">
        <f>VLOOKUP(A1302,Marketing_df2!$A$1:$F$2241,4,FALSE)</f>
        <v>0</v>
      </c>
      <c r="N1302">
        <f>VLOOKUP(A1302,Marketing_df2!$A$1:$F$2241,5,FALSE)</f>
        <v>1</v>
      </c>
      <c r="O1302">
        <f>VLOOKUP(A1302,Marketing_df2!$A$1:$F$2241,6,FALSE)</f>
        <v>1</v>
      </c>
    </row>
    <row r="1303" spans="1:15" ht="12.5">
      <c r="A1303" s="6">
        <v>1301</v>
      </c>
      <c r="B1303" s="6">
        <v>6024</v>
      </c>
      <c r="C1303" s="6">
        <v>1953</v>
      </c>
      <c r="D1303" s="7" t="s">
        <v>9</v>
      </c>
      <c r="E1303" s="7" t="s">
        <v>11</v>
      </c>
      <c r="F1303" s="6">
        <v>94384</v>
      </c>
      <c r="G1303" s="6">
        <v>0</v>
      </c>
      <c r="H1303" s="6">
        <v>0</v>
      </c>
      <c r="I1303" s="6">
        <f t="shared" si="20"/>
        <v>0</v>
      </c>
      <c r="J1303" s="8">
        <v>41337</v>
      </c>
      <c r="K1303" s="6">
        <v>62</v>
      </c>
      <c r="L1303">
        <f>VLOOKUP(A1303,Marketing_df2!$A$1:$F$2241,3,FALSE)</f>
        <v>24</v>
      </c>
      <c r="M1303">
        <f>VLOOKUP(A1303,Marketing_df2!$A$1:$F$2241,4,FALSE)</f>
        <v>45</v>
      </c>
      <c r="N1303">
        <f>VLOOKUP(A1303,Marketing_df2!$A$1:$F$2241,5,FALSE)</f>
        <v>5</v>
      </c>
      <c r="O1303">
        <f>VLOOKUP(A1303,Marketing_df2!$A$1:$F$2241,6,FALSE)</f>
        <v>5</v>
      </c>
    </row>
    <row r="1304" spans="1:15" ht="12.5">
      <c r="A1304" s="6">
        <v>1302</v>
      </c>
      <c r="B1304" s="6">
        <v>1878</v>
      </c>
      <c r="C1304" s="6">
        <v>1985</v>
      </c>
      <c r="D1304" s="7" t="s">
        <v>17</v>
      </c>
      <c r="E1304" s="7" t="s">
        <v>13</v>
      </c>
      <c r="F1304" s="6">
        <v>23148</v>
      </c>
      <c r="G1304" s="6">
        <v>0</v>
      </c>
      <c r="H1304" s="6">
        <v>0</v>
      </c>
      <c r="I1304" s="6">
        <f t="shared" si="20"/>
        <v>0</v>
      </c>
      <c r="J1304" s="8">
        <v>41688</v>
      </c>
      <c r="K1304" s="6">
        <v>83</v>
      </c>
      <c r="L1304">
        <f>VLOOKUP(A1304,Marketing_df2!$A$1:$F$2241,3,FALSE)</f>
        <v>6</v>
      </c>
      <c r="M1304">
        <f>VLOOKUP(A1304,Marketing_df2!$A$1:$F$2241,4,FALSE)</f>
        <v>3</v>
      </c>
      <c r="N1304">
        <f>VLOOKUP(A1304,Marketing_df2!$A$1:$F$2241,5,FALSE)</f>
        <v>2</v>
      </c>
      <c r="O1304">
        <f>VLOOKUP(A1304,Marketing_df2!$A$1:$F$2241,6,FALSE)</f>
        <v>3</v>
      </c>
    </row>
    <row r="1305" spans="1:15" ht="12.5">
      <c r="A1305" s="6">
        <v>1303</v>
      </c>
      <c r="B1305" s="6">
        <v>3099</v>
      </c>
      <c r="C1305" s="6">
        <v>1970</v>
      </c>
      <c r="D1305" s="7" t="s">
        <v>9</v>
      </c>
      <c r="E1305" s="7" t="s">
        <v>15</v>
      </c>
      <c r="F1305" s="6">
        <v>44267</v>
      </c>
      <c r="G1305" s="6">
        <v>1</v>
      </c>
      <c r="H1305" s="6">
        <v>1</v>
      </c>
      <c r="I1305" s="6">
        <f t="shared" si="20"/>
        <v>2</v>
      </c>
      <c r="J1305" s="8">
        <v>41330</v>
      </c>
      <c r="K1305" s="6">
        <v>48</v>
      </c>
      <c r="L1305">
        <f>VLOOKUP(A1305,Marketing_df2!$A$1:$F$2241,3,FALSE)</f>
        <v>5</v>
      </c>
      <c r="M1305">
        <f>VLOOKUP(A1305,Marketing_df2!$A$1:$F$2241,4,FALSE)</f>
        <v>5</v>
      </c>
      <c r="N1305">
        <f>VLOOKUP(A1305,Marketing_df2!$A$1:$F$2241,5,FALSE)</f>
        <v>5</v>
      </c>
      <c r="O1305">
        <f>VLOOKUP(A1305,Marketing_df2!$A$1:$F$2241,6,FALSE)</f>
        <v>4</v>
      </c>
    </row>
    <row r="1306" spans="1:15" ht="12.5">
      <c r="A1306" s="6">
        <v>1304</v>
      </c>
      <c r="B1306" s="6">
        <v>6055</v>
      </c>
      <c r="C1306" s="6">
        <v>1979</v>
      </c>
      <c r="D1306" s="7" t="s">
        <v>9</v>
      </c>
      <c r="E1306" s="7" t="s">
        <v>13</v>
      </c>
      <c r="F1306" s="6">
        <v>71626</v>
      </c>
      <c r="G1306" s="6">
        <v>0</v>
      </c>
      <c r="H1306" s="6">
        <v>0</v>
      </c>
      <c r="I1306" s="6">
        <f t="shared" si="20"/>
        <v>0</v>
      </c>
      <c r="J1306" s="8">
        <v>41214</v>
      </c>
      <c r="K1306" s="6">
        <v>94</v>
      </c>
      <c r="L1306">
        <f>VLOOKUP(A1306,Marketing_df2!$A$1:$F$2241,3,FALSE)</f>
        <v>72</v>
      </c>
      <c r="M1306">
        <f>VLOOKUP(A1306,Marketing_df2!$A$1:$F$2241,4,FALSE)</f>
        <v>145</v>
      </c>
      <c r="N1306">
        <f>VLOOKUP(A1306,Marketing_df2!$A$1:$F$2241,5,FALSE)</f>
        <v>5</v>
      </c>
      <c r="O1306">
        <f>VLOOKUP(A1306,Marketing_df2!$A$1:$F$2241,6,FALSE)</f>
        <v>8</v>
      </c>
    </row>
    <row r="1307" spans="1:15" ht="12.5">
      <c r="A1307" s="6">
        <v>1305</v>
      </c>
      <c r="B1307" s="6">
        <v>5841</v>
      </c>
      <c r="C1307" s="6">
        <v>1966</v>
      </c>
      <c r="D1307" s="7" t="s">
        <v>9</v>
      </c>
      <c r="E1307" s="7" t="s">
        <v>11</v>
      </c>
      <c r="F1307" s="6">
        <v>60894</v>
      </c>
      <c r="G1307" s="6">
        <v>0</v>
      </c>
      <c r="H1307" s="6">
        <v>1</v>
      </c>
      <c r="I1307" s="6">
        <f t="shared" si="20"/>
        <v>1</v>
      </c>
      <c r="J1307" s="8">
        <v>41453</v>
      </c>
      <c r="K1307" s="6">
        <v>61</v>
      </c>
      <c r="L1307">
        <f>VLOOKUP(A1307,Marketing_df2!$A$1:$F$2241,3,FALSE)</f>
        <v>7</v>
      </c>
      <c r="M1307">
        <f>VLOOKUP(A1307,Marketing_df2!$A$1:$F$2241,4,FALSE)</f>
        <v>0</v>
      </c>
      <c r="N1307">
        <f>VLOOKUP(A1307,Marketing_df2!$A$1:$F$2241,5,FALSE)</f>
        <v>10</v>
      </c>
      <c r="O1307">
        <f>VLOOKUP(A1307,Marketing_df2!$A$1:$F$2241,6,FALSE)</f>
        <v>8</v>
      </c>
    </row>
    <row r="1308" spans="1:15" ht="12.5">
      <c r="A1308" s="6">
        <v>1306</v>
      </c>
      <c r="B1308" s="6">
        <v>3972</v>
      </c>
      <c r="C1308" s="6">
        <v>1976</v>
      </c>
      <c r="D1308" s="7" t="s">
        <v>9</v>
      </c>
      <c r="E1308" s="7" t="s">
        <v>11</v>
      </c>
      <c r="F1308" s="6">
        <v>50200</v>
      </c>
      <c r="G1308" s="6">
        <v>1</v>
      </c>
      <c r="H1308" s="6">
        <v>1</v>
      </c>
      <c r="I1308" s="6">
        <f t="shared" si="20"/>
        <v>2</v>
      </c>
      <c r="J1308" s="8">
        <v>41367</v>
      </c>
      <c r="K1308" s="6">
        <v>70</v>
      </c>
      <c r="L1308">
        <f>VLOOKUP(A1308,Marketing_df2!$A$1:$F$2241,3,FALSE)</f>
        <v>6</v>
      </c>
      <c r="M1308">
        <f>VLOOKUP(A1308,Marketing_df2!$A$1:$F$2241,4,FALSE)</f>
        <v>6</v>
      </c>
      <c r="N1308">
        <f>VLOOKUP(A1308,Marketing_df2!$A$1:$F$2241,5,FALSE)</f>
        <v>7</v>
      </c>
      <c r="O1308">
        <f>VLOOKUP(A1308,Marketing_df2!$A$1:$F$2241,6,FALSE)</f>
        <v>5</v>
      </c>
    </row>
    <row r="1309" spans="1:15" ht="12.5">
      <c r="A1309" s="6">
        <v>1307</v>
      </c>
      <c r="B1309" s="6">
        <v>4394</v>
      </c>
      <c r="C1309" s="6">
        <v>1965</v>
      </c>
      <c r="D1309" s="7" t="s">
        <v>12</v>
      </c>
      <c r="E1309" s="7" t="s">
        <v>13</v>
      </c>
      <c r="F1309" s="6">
        <v>81051</v>
      </c>
      <c r="G1309" s="6">
        <v>0</v>
      </c>
      <c r="H1309" s="6">
        <v>0</v>
      </c>
      <c r="I1309" s="6">
        <f t="shared" si="20"/>
        <v>0</v>
      </c>
      <c r="J1309" s="8">
        <v>41782</v>
      </c>
      <c r="K1309" s="6">
        <v>43</v>
      </c>
      <c r="L1309">
        <f>VLOOKUP(A1309,Marketing_df2!$A$1:$F$2241,3,FALSE)</f>
        <v>29</v>
      </c>
      <c r="M1309">
        <f>VLOOKUP(A1309,Marketing_df2!$A$1:$F$2241,4,FALSE)</f>
        <v>29</v>
      </c>
      <c r="N1309">
        <f>VLOOKUP(A1309,Marketing_df2!$A$1:$F$2241,5,FALSE)</f>
        <v>5</v>
      </c>
      <c r="O1309">
        <f>VLOOKUP(A1309,Marketing_df2!$A$1:$F$2241,6,FALSE)</f>
        <v>12</v>
      </c>
    </row>
    <row r="1310" spans="1:15" ht="12.5">
      <c r="A1310" s="6">
        <v>1308</v>
      </c>
      <c r="B1310" s="6">
        <v>5758</v>
      </c>
      <c r="C1310" s="6">
        <v>1982</v>
      </c>
      <c r="D1310" s="7" t="s">
        <v>9</v>
      </c>
      <c r="E1310" s="7" t="s">
        <v>13</v>
      </c>
      <c r="F1310" s="6">
        <v>65169</v>
      </c>
      <c r="G1310" s="6">
        <v>0</v>
      </c>
      <c r="H1310" s="6">
        <v>0</v>
      </c>
      <c r="I1310" s="6">
        <f t="shared" si="20"/>
        <v>0</v>
      </c>
      <c r="J1310" s="8">
        <v>41653</v>
      </c>
      <c r="K1310" s="6">
        <v>23</v>
      </c>
      <c r="L1310">
        <f>VLOOKUP(A1310,Marketing_df2!$A$1:$F$2241,3,FALSE)</f>
        <v>0</v>
      </c>
      <c r="M1310">
        <f>VLOOKUP(A1310,Marketing_df2!$A$1:$F$2241,4,FALSE)</f>
        <v>0</v>
      </c>
      <c r="N1310">
        <f>VLOOKUP(A1310,Marketing_df2!$A$1:$F$2241,5,FALSE)</f>
        <v>10</v>
      </c>
      <c r="O1310">
        <f>VLOOKUP(A1310,Marketing_df2!$A$1:$F$2241,6,FALSE)</f>
        <v>13</v>
      </c>
    </row>
    <row r="1311" spans="1:15" ht="12.5">
      <c r="A1311" s="6">
        <v>1309</v>
      </c>
      <c r="B1311" s="6">
        <v>6658</v>
      </c>
      <c r="C1311" s="6">
        <v>1972</v>
      </c>
      <c r="D1311" s="7" t="s">
        <v>9</v>
      </c>
      <c r="E1311" s="7" t="s">
        <v>11</v>
      </c>
      <c r="F1311" s="6">
        <v>59868</v>
      </c>
      <c r="G1311" s="6">
        <v>0</v>
      </c>
      <c r="H1311" s="6">
        <v>1</v>
      </c>
      <c r="I1311" s="6">
        <f t="shared" si="20"/>
        <v>1</v>
      </c>
      <c r="J1311" s="8">
        <v>41477</v>
      </c>
      <c r="K1311" s="6">
        <v>37</v>
      </c>
      <c r="L1311">
        <f>VLOOKUP(A1311,Marketing_df2!$A$1:$F$2241,3,FALSE)</f>
        <v>51</v>
      </c>
      <c r="M1311">
        <f>VLOOKUP(A1311,Marketing_df2!$A$1:$F$2241,4,FALSE)</f>
        <v>10</v>
      </c>
      <c r="N1311">
        <f>VLOOKUP(A1311,Marketing_df2!$A$1:$F$2241,5,FALSE)</f>
        <v>11</v>
      </c>
      <c r="O1311">
        <f>VLOOKUP(A1311,Marketing_df2!$A$1:$F$2241,6,FALSE)</f>
        <v>12</v>
      </c>
    </row>
    <row r="1312" spans="1:15" ht="12.5">
      <c r="A1312" s="6">
        <v>1310</v>
      </c>
      <c r="B1312" s="6">
        <v>4603</v>
      </c>
      <c r="C1312" s="6">
        <v>1960</v>
      </c>
      <c r="D1312" s="7" t="s">
        <v>12</v>
      </c>
      <c r="E1312" s="7" t="s">
        <v>13</v>
      </c>
      <c r="F1312" s="6">
        <v>65695</v>
      </c>
      <c r="G1312" s="6">
        <v>0</v>
      </c>
      <c r="H1312" s="6">
        <v>1</v>
      </c>
      <c r="I1312" s="6">
        <f t="shared" si="20"/>
        <v>1</v>
      </c>
      <c r="J1312" s="8">
        <v>41670</v>
      </c>
      <c r="K1312" s="6">
        <v>50</v>
      </c>
      <c r="L1312">
        <f>VLOOKUP(A1312,Marketing_df2!$A$1:$F$2241,3,FALSE)</f>
        <v>32</v>
      </c>
      <c r="M1312">
        <f>VLOOKUP(A1312,Marketing_df2!$A$1:$F$2241,4,FALSE)</f>
        <v>58</v>
      </c>
      <c r="N1312">
        <f>VLOOKUP(A1312,Marketing_df2!$A$1:$F$2241,5,FALSE)</f>
        <v>5</v>
      </c>
      <c r="O1312">
        <f>VLOOKUP(A1312,Marketing_df2!$A$1:$F$2241,6,FALSE)</f>
        <v>10</v>
      </c>
    </row>
    <row r="1313" spans="1:15" ht="12.5">
      <c r="A1313" s="6">
        <v>1311</v>
      </c>
      <c r="B1313" s="6">
        <v>8427</v>
      </c>
      <c r="C1313" s="6">
        <v>1956</v>
      </c>
      <c r="D1313" s="7" t="s">
        <v>14</v>
      </c>
      <c r="E1313" s="7" t="s">
        <v>10</v>
      </c>
      <c r="F1313" s="6">
        <v>64857</v>
      </c>
      <c r="G1313" s="6">
        <v>0</v>
      </c>
      <c r="H1313" s="6">
        <v>0</v>
      </c>
      <c r="I1313" s="6">
        <f t="shared" si="20"/>
        <v>0</v>
      </c>
      <c r="J1313" s="9">
        <v>41236</v>
      </c>
      <c r="K1313" s="6">
        <v>78</v>
      </c>
      <c r="L1313">
        <f>VLOOKUP(A1313,Marketing_df2!$A$1:$F$2241,3,FALSE)</f>
        <v>14</v>
      </c>
      <c r="M1313">
        <f>VLOOKUP(A1313,Marketing_df2!$A$1:$F$2241,4,FALSE)</f>
        <v>0</v>
      </c>
      <c r="N1313">
        <f>VLOOKUP(A1313,Marketing_df2!$A$1:$F$2241,5,FALSE)</f>
        <v>7</v>
      </c>
      <c r="O1313">
        <f>VLOOKUP(A1313,Marketing_df2!$A$1:$F$2241,6,FALSE)</f>
        <v>10</v>
      </c>
    </row>
    <row r="1314" spans="1:15" ht="12.5">
      <c r="A1314" s="6">
        <v>1312</v>
      </c>
      <c r="B1314" s="6">
        <v>10260</v>
      </c>
      <c r="C1314" s="6">
        <v>1965</v>
      </c>
      <c r="D1314" s="7" t="s">
        <v>14</v>
      </c>
      <c r="E1314" s="7" t="s">
        <v>11</v>
      </c>
      <c r="F1314" s="6">
        <v>45143</v>
      </c>
      <c r="G1314" s="6">
        <v>0</v>
      </c>
      <c r="H1314" s="6">
        <v>1</v>
      </c>
      <c r="I1314" s="6">
        <f t="shared" si="20"/>
        <v>1</v>
      </c>
      <c r="J1314" s="8">
        <v>41512</v>
      </c>
      <c r="K1314" s="6">
        <v>74</v>
      </c>
      <c r="L1314">
        <f>VLOOKUP(A1314,Marketing_df2!$A$1:$F$2241,3,FALSE)</f>
        <v>5</v>
      </c>
      <c r="M1314">
        <f>VLOOKUP(A1314,Marketing_df2!$A$1:$F$2241,4,FALSE)</f>
        <v>5</v>
      </c>
      <c r="N1314">
        <f>VLOOKUP(A1314,Marketing_df2!$A$1:$F$2241,5,FALSE)</f>
        <v>6</v>
      </c>
      <c r="O1314">
        <f>VLOOKUP(A1314,Marketing_df2!$A$1:$F$2241,6,FALSE)</f>
        <v>5</v>
      </c>
    </row>
    <row r="1315" spans="1:15" ht="12.5">
      <c r="A1315" s="6">
        <v>1313</v>
      </c>
      <c r="B1315" s="6">
        <v>7143</v>
      </c>
      <c r="C1315" s="6">
        <v>1955</v>
      </c>
      <c r="D1315" s="7" t="s">
        <v>17</v>
      </c>
      <c r="E1315" s="7" t="s">
        <v>11</v>
      </c>
      <c r="F1315" s="6">
        <v>74805</v>
      </c>
      <c r="G1315" s="6">
        <v>0</v>
      </c>
      <c r="H1315" s="6">
        <v>1</v>
      </c>
      <c r="I1315" s="6">
        <f t="shared" si="20"/>
        <v>1</v>
      </c>
      <c r="J1315" s="8">
        <v>41584</v>
      </c>
      <c r="K1315" s="6">
        <v>14</v>
      </c>
      <c r="L1315">
        <f>VLOOKUP(A1315,Marketing_df2!$A$1:$F$2241,3,FALSE)</f>
        <v>162</v>
      </c>
      <c r="M1315">
        <f>VLOOKUP(A1315,Marketing_df2!$A$1:$F$2241,4,FALSE)</f>
        <v>162</v>
      </c>
      <c r="N1315">
        <f>VLOOKUP(A1315,Marketing_df2!$A$1:$F$2241,5,FALSE)</f>
        <v>4</v>
      </c>
      <c r="O1315">
        <f>VLOOKUP(A1315,Marketing_df2!$A$1:$F$2241,6,FALSE)</f>
        <v>10</v>
      </c>
    </row>
    <row r="1316" spans="1:15" ht="12.5">
      <c r="A1316" s="6">
        <v>1314</v>
      </c>
      <c r="B1316" s="6">
        <v>8789</v>
      </c>
      <c r="C1316" s="6">
        <v>1989</v>
      </c>
      <c r="D1316" s="7" t="s">
        <v>17</v>
      </c>
      <c r="E1316" s="7" t="s">
        <v>13</v>
      </c>
      <c r="F1316" s="6">
        <v>59060</v>
      </c>
      <c r="G1316" s="6">
        <v>1</v>
      </c>
      <c r="H1316" s="6">
        <v>0</v>
      </c>
      <c r="I1316" s="6">
        <f t="shared" si="20"/>
        <v>1</v>
      </c>
      <c r="J1316" s="8">
        <v>41650</v>
      </c>
      <c r="K1316" s="6">
        <v>77</v>
      </c>
      <c r="L1316">
        <f>VLOOKUP(A1316,Marketing_df2!$A$1:$F$2241,3,FALSE)</f>
        <v>40</v>
      </c>
      <c r="M1316">
        <f>VLOOKUP(A1316,Marketing_df2!$A$1:$F$2241,4,FALSE)</f>
        <v>40</v>
      </c>
      <c r="N1316">
        <f>VLOOKUP(A1316,Marketing_df2!$A$1:$F$2241,5,FALSE)</f>
        <v>3</v>
      </c>
      <c r="O1316">
        <f>VLOOKUP(A1316,Marketing_df2!$A$1:$F$2241,6,FALSE)</f>
        <v>7</v>
      </c>
    </row>
    <row r="1317" spans="1:15" ht="12.5">
      <c r="A1317" s="6">
        <v>1315</v>
      </c>
      <c r="B1317" s="6">
        <v>6197</v>
      </c>
      <c r="C1317" s="6">
        <v>1962</v>
      </c>
      <c r="D1317" s="7" t="s">
        <v>12</v>
      </c>
      <c r="E1317" s="7" t="s">
        <v>10</v>
      </c>
      <c r="F1317" s="6">
        <v>27238</v>
      </c>
      <c r="G1317" s="6">
        <v>1</v>
      </c>
      <c r="H1317" s="6">
        <v>1</v>
      </c>
      <c r="I1317" s="6">
        <f t="shared" si="20"/>
        <v>2</v>
      </c>
      <c r="J1317" s="8">
        <v>41384</v>
      </c>
      <c r="K1317" s="6">
        <v>39</v>
      </c>
      <c r="L1317">
        <f>VLOOKUP(A1317,Marketing_df2!$A$1:$F$2241,3,FALSE)</f>
        <v>0</v>
      </c>
      <c r="M1317">
        <f>VLOOKUP(A1317,Marketing_df2!$A$1:$F$2241,4,FALSE)</f>
        <v>0</v>
      </c>
      <c r="N1317">
        <f>VLOOKUP(A1317,Marketing_df2!$A$1:$F$2241,5,FALSE)</f>
        <v>3</v>
      </c>
      <c r="O1317">
        <f>VLOOKUP(A1317,Marketing_df2!$A$1:$F$2241,6,FALSE)</f>
        <v>3</v>
      </c>
    </row>
    <row r="1318" spans="1:15" ht="12.5">
      <c r="A1318" s="6">
        <v>1316</v>
      </c>
      <c r="B1318" s="6">
        <v>4554</v>
      </c>
      <c r="C1318" s="6">
        <v>1965</v>
      </c>
      <c r="D1318" s="7" t="s">
        <v>9</v>
      </c>
      <c r="E1318" s="7" t="s">
        <v>11</v>
      </c>
      <c r="F1318" s="6">
        <v>47009</v>
      </c>
      <c r="G1318" s="6">
        <v>0</v>
      </c>
      <c r="H1318" s="6">
        <v>1</v>
      </c>
      <c r="I1318" s="6">
        <f t="shared" si="20"/>
        <v>1</v>
      </c>
      <c r="J1318" s="8">
        <v>41548</v>
      </c>
      <c r="K1318" s="6">
        <v>89</v>
      </c>
      <c r="L1318">
        <f>VLOOKUP(A1318,Marketing_df2!$A$1:$F$2241,3,FALSE)</f>
        <v>45</v>
      </c>
      <c r="M1318">
        <f>VLOOKUP(A1318,Marketing_df2!$A$1:$F$2241,4,FALSE)</f>
        <v>10</v>
      </c>
      <c r="N1318">
        <f>VLOOKUP(A1318,Marketing_df2!$A$1:$F$2241,5,FALSE)</f>
        <v>3</v>
      </c>
      <c r="O1318">
        <f>VLOOKUP(A1318,Marketing_df2!$A$1:$F$2241,6,FALSE)</f>
        <v>8</v>
      </c>
    </row>
    <row r="1319" spans="1:15" ht="12.5">
      <c r="A1319" s="6">
        <v>1317</v>
      </c>
      <c r="B1319" s="6">
        <v>4937</v>
      </c>
      <c r="C1319" s="6">
        <v>1973</v>
      </c>
      <c r="D1319" s="7" t="s">
        <v>17</v>
      </c>
      <c r="E1319" s="7" t="s">
        <v>13</v>
      </c>
      <c r="F1319" s="6">
        <v>46094</v>
      </c>
      <c r="G1319" s="6">
        <v>1</v>
      </c>
      <c r="H1319" s="6">
        <v>1</v>
      </c>
      <c r="I1319" s="6">
        <f t="shared" si="20"/>
        <v>2</v>
      </c>
      <c r="J1319" s="8">
        <v>41800</v>
      </c>
      <c r="K1319" s="6">
        <v>62</v>
      </c>
      <c r="L1319">
        <f>VLOOKUP(A1319,Marketing_df2!$A$1:$F$2241,3,FALSE)</f>
        <v>2</v>
      </c>
      <c r="M1319">
        <f>VLOOKUP(A1319,Marketing_df2!$A$1:$F$2241,4,FALSE)</f>
        <v>2</v>
      </c>
      <c r="N1319">
        <f>VLOOKUP(A1319,Marketing_df2!$A$1:$F$2241,5,FALSE)</f>
        <v>1</v>
      </c>
      <c r="O1319">
        <f>VLOOKUP(A1319,Marketing_df2!$A$1:$F$2241,6,FALSE)</f>
        <v>3</v>
      </c>
    </row>
    <row r="1320" spans="1:15" ht="12.5">
      <c r="A1320" s="6">
        <v>1318</v>
      </c>
      <c r="B1320" s="6">
        <v>1920</v>
      </c>
      <c r="C1320" s="6">
        <v>1972</v>
      </c>
      <c r="D1320" s="7" t="s">
        <v>9</v>
      </c>
      <c r="E1320" s="7" t="s">
        <v>13</v>
      </c>
      <c r="F1320" s="6">
        <v>40321</v>
      </c>
      <c r="G1320" s="6">
        <v>1</v>
      </c>
      <c r="H1320" s="6">
        <v>1</v>
      </c>
      <c r="I1320" s="6">
        <f t="shared" si="20"/>
        <v>2</v>
      </c>
      <c r="J1320" s="8">
        <v>41484</v>
      </c>
      <c r="K1320" s="6">
        <v>59</v>
      </c>
      <c r="L1320">
        <f>VLOOKUP(A1320,Marketing_df2!$A$1:$F$2241,3,FALSE)</f>
        <v>4</v>
      </c>
      <c r="M1320">
        <f>VLOOKUP(A1320,Marketing_df2!$A$1:$F$2241,4,FALSE)</f>
        <v>0</v>
      </c>
      <c r="N1320">
        <f>VLOOKUP(A1320,Marketing_df2!$A$1:$F$2241,5,FALSE)</f>
        <v>3</v>
      </c>
      <c r="O1320">
        <f>VLOOKUP(A1320,Marketing_df2!$A$1:$F$2241,6,FALSE)</f>
        <v>3</v>
      </c>
    </row>
    <row r="1321" spans="1:15" ht="12.5">
      <c r="A1321" s="6">
        <v>1319</v>
      </c>
      <c r="B1321" s="6">
        <v>8749</v>
      </c>
      <c r="C1321" s="6">
        <v>1984</v>
      </c>
      <c r="D1321" s="7" t="s">
        <v>9</v>
      </c>
      <c r="E1321" s="7" t="s">
        <v>11</v>
      </c>
      <c r="F1321" s="6">
        <v>37235</v>
      </c>
      <c r="G1321" s="6">
        <v>1</v>
      </c>
      <c r="H1321" s="6">
        <v>0</v>
      </c>
      <c r="I1321" s="6">
        <f t="shared" si="20"/>
        <v>1</v>
      </c>
      <c r="J1321" s="8">
        <v>41671</v>
      </c>
      <c r="K1321" s="6">
        <v>68</v>
      </c>
      <c r="L1321">
        <f>VLOOKUP(A1321,Marketing_df2!$A$1:$F$2241,3,FALSE)</f>
        <v>2</v>
      </c>
      <c r="M1321">
        <f>VLOOKUP(A1321,Marketing_df2!$A$1:$F$2241,4,FALSE)</f>
        <v>6</v>
      </c>
      <c r="N1321">
        <f>VLOOKUP(A1321,Marketing_df2!$A$1:$F$2241,5,FALSE)</f>
        <v>1</v>
      </c>
      <c r="O1321">
        <f>VLOOKUP(A1321,Marketing_df2!$A$1:$F$2241,6,FALSE)</f>
        <v>2</v>
      </c>
    </row>
    <row r="1322" spans="1:15" ht="12.5">
      <c r="A1322" s="6">
        <v>1320</v>
      </c>
      <c r="B1322" s="6">
        <v>1650</v>
      </c>
      <c r="C1322" s="6">
        <v>1960</v>
      </c>
      <c r="D1322" s="7" t="s">
        <v>14</v>
      </c>
      <c r="E1322" s="7" t="s">
        <v>13</v>
      </c>
      <c r="F1322" s="6">
        <v>81843</v>
      </c>
      <c r="G1322" s="6">
        <v>0</v>
      </c>
      <c r="H1322" s="6">
        <v>0</v>
      </c>
      <c r="I1322" s="6">
        <f t="shared" si="20"/>
        <v>0</v>
      </c>
      <c r="J1322" s="8">
        <v>41386</v>
      </c>
      <c r="K1322" s="6">
        <v>13</v>
      </c>
      <c r="L1322">
        <f>VLOOKUP(A1322,Marketing_df2!$A$1:$F$2241,3,FALSE)</f>
        <v>86</v>
      </c>
      <c r="M1322">
        <f>VLOOKUP(A1322,Marketing_df2!$A$1:$F$2241,4,FALSE)</f>
        <v>69</v>
      </c>
      <c r="N1322">
        <f>VLOOKUP(A1322,Marketing_df2!$A$1:$F$2241,5,FALSE)</f>
        <v>5</v>
      </c>
      <c r="O1322">
        <f>VLOOKUP(A1322,Marketing_df2!$A$1:$F$2241,6,FALSE)</f>
        <v>12</v>
      </c>
    </row>
    <row r="1323" spans="1:15" ht="12.5">
      <c r="A1323" s="6">
        <v>1321</v>
      </c>
      <c r="B1323" s="6">
        <v>10377</v>
      </c>
      <c r="C1323" s="6">
        <v>1958</v>
      </c>
      <c r="D1323" s="7" t="s">
        <v>14</v>
      </c>
      <c r="E1323" s="7" t="s">
        <v>11</v>
      </c>
      <c r="F1323" s="6">
        <v>46692</v>
      </c>
      <c r="G1323" s="6">
        <v>0</v>
      </c>
      <c r="H1323" s="6">
        <v>1</v>
      </c>
      <c r="I1323" s="6">
        <f t="shared" si="20"/>
        <v>1</v>
      </c>
      <c r="J1323" s="8">
        <v>41431</v>
      </c>
      <c r="K1323" s="6">
        <v>37</v>
      </c>
      <c r="L1323">
        <f>VLOOKUP(A1323,Marketing_df2!$A$1:$F$2241,3,FALSE)</f>
        <v>6</v>
      </c>
      <c r="M1323">
        <f>VLOOKUP(A1323,Marketing_df2!$A$1:$F$2241,4,FALSE)</f>
        <v>12</v>
      </c>
      <c r="N1323">
        <f>VLOOKUP(A1323,Marketing_df2!$A$1:$F$2241,5,FALSE)</f>
        <v>6</v>
      </c>
      <c r="O1323">
        <f>VLOOKUP(A1323,Marketing_df2!$A$1:$F$2241,6,FALSE)</f>
        <v>5</v>
      </c>
    </row>
    <row r="1324" spans="1:15" ht="12.5">
      <c r="A1324" s="6">
        <v>1322</v>
      </c>
      <c r="B1324" s="6">
        <v>9206</v>
      </c>
      <c r="C1324" s="6">
        <v>1968</v>
      </c>
      <c r="D1324" s="7" t="s">
        <v>9</v>
      </c>
      <c r="E1324" s="7" t="s">
        <v>11</v>
      </c>
      <c r="F1324" s="6">
        <v>77382</v>
      </c>
      <c r="G1324" s="6">
        <v>0</v>
      </c>
      <c r="H1324" s="6">
        <v>1</v>
      </c>
      <c r="I1324" s="6">
        <f t="shared" si="20"/>
        <v>1</v>
      </c>
      <c r="J1324" s="8">
        <v>41646</v>
      </c>
      <c r="K1324" s="6">
        <v>36</v>
      </c>
      <c r="L1324">
        <f>VLOOKUP(A1324,Marketing_df2!$A$1:$F$2241,3,FALSE)</f>
        <v>48</v>
      </c>
      <c r="M1324">
        <f>VLOOKUP(A1324,Marketing_df2!$A$1:$F$2241,4,FALSE)</f>
        <v>105</v>
      </c>
      <c r="N1324">
        <f>VLOOKUP(A1324,Marketing_df2!$A$1:$F$2241,5,FALSE)</f>
        <v>5</v>
      </c>
      <c r="O1324">
        <f>VLOOKUP(A1324,Marketing_df2!$A$1:$F$2241,6,FALSE)</f>
        <v>12</v>
      </c>
    </row>
    <row r="1325" spans="1:15" ht="12.5">
      <c r="A1325" s="6">
        <v>1323</v>
      </c>
      <c r="B1325" s="6">
        <v>10971</v>
      </c>
      <c r="C1325" s="6">
        <v>1977</v>
      </c>
      <c r="D1325" s="7" t="s">
        <v>9</v>
      </c>
      <c r="E1325" s="7" t="s">
        <v>10</v>
      </c>
      <c r="F1325" s="6">
        <v>37774</v>
      </c>
      <c r="G1325" s="6">
        <v>2</v>
      </c>
      <c r="H1325" s="6">
        <v>0</v>
      </c>
      <c r="I1325" s="6">
        <f t="shared" si="20"/>
        <v>2</v>
      </c>
      <c r="J1325" s="8">
        <v>41155</v>
      </c>
      <c r="K1325" s="6">
        <v>28</v>
      </c>
      <c r="L1325">
        <f>VLOOKUP(A1325,Marketing_df2!$A$1:$F$2241,3,FALSE)</f>
        <v>8</v>
      </c>
      <c r="M1325">
        <f>VLOOKUP(A1325,Marketing_df2!$A$1:$F$2241,4,FALSE)</f>
        <v>2</v>
      </c>
      <c r="N1325">
        <f>VLOOKUP(A1325,Marketing_df2!$A$1:$F$2241,5,FALSE)</f>
        <v>7</v>
      </c>
      <c r="O1325">
        <f>VLOOKUP(A1325,Marketing_df2!$A$1:$F$2241,6,FALSE)</f>
        <v>3</v>
      </c>
    </row>
    <row r="1326" spans="1:15" ht="12.5">
      <c r="A1326" s="6">
        <v>1324</v>
      </c>
      <c r="B1326" s="6">
        <v>6398</v>
      </c>
      <c r="C1326" s="6">
        <v>1974</v>
      </c>
      <c r="D1326" s="7" t="s">
        <v>16</v>
      </c>
      <c r="E1326" s="7" t="s">
        <v>13</v>
      </c>
      <c r="F1326" s="6">
        <v>18393</v>
      </c>
      <c r="G1326" s="6">
        <v>1</v>
      </c>
      <c r="H1326" s="6">
        <v>0</v>
      </c>
      <c r="I1326" s="6">
        <f t="shared" si="20"/>
        <v>1</v>
      </c>
      <c r="J1326" s="8">
        <v>41727</v>
      </c>
      <c r="K1326" s="6">
        <v>2</v>
      </c>
      <c r="L1326">
        <f>VLOOKUP(A1326,Marketing_df2!$A$1:$F$2241,3,FALSE)</f>
        <v>10</v>
      </c>
      <c r="M1326">
        <f>VLOOKUP(A1326,Marketing_df2!$A$1:$F$2241,4,FALSE)</f>
        <v>0</v>
      </c>
      <c r="N1326">
        <f>VLOOKUP(A1326,Marketing_df2!$A$1:$F$2241,5,FALSE)</f>
        <v>3</v>
      </c>
      <c r="O1326">
        <f>VLOOKUP(A1326,Marketing_df2!$A$1:$F$2241,6,FALSE)</f>
        <v>3</v>
      </c>
    </row>
    <row r="1327" spans="1:15" ht="12.5">
      <c r="A1327" s="6">
        <v>1325</v>
      </c>
      <c r="B1327" s="6">
        <v>9212</v>
      </c>
      <c r="C1327" s="6">
        <v>1962</v>
      </c>
      <c r="D1327" s="7" t="s">
        <v>14</v>
      </c>
      <c r="E1327" s="7" t="s">
        <v>13</v>
      </c>
      <c r="F1327" s="6">
        <v>72828</v>
      </c>
      <c r="G1327" s="6">
        <v>0</v>
      </c>
      <c r="H1327" s="6">
        <v>1</v>
      </c>
      <c r="I1327" s="6">
        <f t="shared" si="20"/>
        <v>1</v>
      </c>
      <c r="J1327" s="8">
        <v>41319</v>
      </c>
      <c r="K1327" s="6">
        <v>17</v>
      </c>
      <c r="L1327">
        <f>VLOOKUP(A1327,Marketing_df2!$A$1:$F$2241,3,FALSE)</f>
        <v>0</v>
      </c>
      <c r="M1327">
        <f>VLOOKUP(A1327,Marketing_df2!$A$1:$F$2241,4,FALSE)</f>
        <v>14</v>
      </c>
      <c r="N1327">
        <f>VLOOKUP(A1327,Marketing_df2!$A$1:$F$2241,5,FALSE)</f>
        <v>6</v>
      </c>
      <c r="O1327">
        <f>VLOOKUP(A1327,Marketing_df2!$A$1:$F$2241,6,FALSE)</f>
        <v>13</v>
      </c>
    </row>
    <row r="1328" spans="1:15" ht="12.5">
      <c r="A1328" s="6">
        <v>1326</v>
      </c>
      <c r="B1328" s="6">
        <v>7937</v>
      </c>
      <c r="C1328" s="6">
        <v>1982</v>
      </c>
      <c r="D1328" s="7" t="s">
        <v>9</v>
      </c>
      <c r="E1328" s="7" t="s">
        <v>13</v>
      </c>
      <c r="F1328" s="6">
        <v>24711</v>
      </c>
      <c r="G1328" s="6">
        <v>0</v>
      </c>
      <c r="H1328" s="6">
        <v>0</v>
      </c>
      <c r="I1328" s="6">
        <f t="shared" si="20"/>
        <v>0</v>
      </c>
      <c r="J1328" s="8">
        <v>41747</v>
      </c>
      <c r="K1328" s="6">
        <v>86</v>
      </c>
      <c r="L1328">
        <f>VLOOKUP(A1328,Marketing_df2!$A$1:$F$2241,3,FALSE)</f>
        <v>7</v>
      </c>
      <c r="M1328">
        <f>VLOOKUP(A1328,Marketing_df2!$A$1:$F$2241,4,FALSE)</f>
        <v>3</v>
      </c>
      <c r="N1328">
        <f>VLOOKUP(A1328,Marketing_df2!$A$1:$F$2241,5,FALSE)</f>
        <v>3</v>
      </c>
      <c r="O1328">
        <f>VLOOKUP(A1328,Marketing_df2!$A$1:$F$2241,6,FALSE)</f>
        <v>3</v>
      </c>
    </row>
    <row r="1329" spans="1:15" ht="12.5">
      <c r="A1329" s="6">
        <v>1327</v>
      </c>
      <c r="B1329" s="6">
        <v>839</v>
      </c>
      <c r="C1329" s="6">
        <v>1975</v>
      </c>
      <c r="D1329" s="7" t="s">
        <v>12</v>
      </c>
      <c r="E1329" s="7" t="s">
        <v>13</v>
      </c>
      <c r="F1329" s="6">
        <v>45503</v>
      </c>
      <c r="G1329" s="6">
        <v>1</v>
      </c>
      <c r="H1329" s="6">
        <v>0</v>
      </c>
      <c r="I1329" s="6">
        <f t="shared" si="20"/>
        <v>1</v>
      </c>
      <c r="J1329" s="8">
        <v>41542</v>
      </c>
      <c r="K1329" s="6">
        <v>54</v>
      </c>
      <c r="L1329">
        <f>VLOOKUP(A1329,Marketing_df2!$A$1:$F$2241,3,FALSE)</f>
        <v>4</v>
      </c>
      <c r="M1329">
        <f>VLOOKUP(A1329,Marketing_df2!$A$1:$F$2241,4,FALSE)</f>
        <v>1</v>
      </c>
      <c r="N1329">
        <f>VLOOKUP(A1329,Marketing_df2!$A$1:$F$2241,5,FALSE)</f>
        <v>3</v>
      </c>
      <c r="O1329">
        <f>VLOOKUP(A1329,Marketing_df2!$A$1:$F$2241,6,FALSE)</f>
        <v>4</v>
      </c>
    </row>
    <row r="1330" spans="1:15" ht="12.5">
      <c r="A1330" s="6">
        <v>1328</v>
      </c>
      <c r="B1330" s="6">
        <v>4246</v>
      </c>
      <c r="C1330" s="6">
        <v>1982</v>
      </c>
      <c r="D1330" s="7" t="s">
        <v>14</v>
      </c>
      <c r="E1330" s="7" t="s">
        <v>10</v>
      </c>
      <c r="F1330" s="6">
        <v>6560</v>
      </c>
      <c r="G1330" s="6">
        <v>0</v>
      </c>
      <c r="H1330" s="6">
        <v>0</v>
      </c>
      <c r="I1330" s="6">
        <f t="shared" si="20"/>
        <v>0</v>
      </c>
      <c r="J1330" s="9">
        <v>41620</v>
      </c>
      <c r="K1330" s="6">
        <v>2</v>
      </c>
      <c r="L1330">
        <f>VLOOKUP(A1330,Marketing_df2!$A$1:$F$2241,3,FALSE)</f>
        <v>11</v>
      </c>
      <c r="M1330">
        <f>VLOOKUP(A1330,Marketing_df2!$A$1:$F$2241,4,FALSE)</f>
        <v>3</v>
      </c>
      <c r="N1330">
        <f>VLOOKUP(A1330,Marketing_df2!$A$1:$F$2241,5,FALSE)</f>
        <v>1</v>
      </c>
      <c r="O1330">
        <f>VLOOKUP(A1330,Marketing_df2!$A$1:$F$2241,6,FALSE)</f>
        <v>1</v>
      </c>
    </row>
    <row r="1331" spans="1:15" ht="12.5">
      <c r="A1331" s="6">
        <v>1329</v>
      </c>
      <c r="B1331" s="6">
        <v>158</v>
      </c>
      <c r="C1331" s="6">
        <v>1945</v>
      </c>
      <c r="D1331" s="7" t="s">
        <v>12</v>
      </c>
      <c r="E1331" s="7" t="s">
        <v>11</v>
      </c>
      <c r="F1331" s="6">
        <v>71604</v>
      </c>
      <c r="G1331" s="6">
        <v>0</v>
      </c>
      <c r="H1331" s="6">
        <v>0</v>
      </c>
      <c r="I1331" s="6">
        <f t="shared" si="20"/>
        <v>0</v>
      </c>
      <c r="J1331" s="9">
        <v>41595</v>
      </c>
      <c r="K1331" s="6">
        <v>3</v>
      </c>
      <c r="L1331">
        <f>VLOOKUP(A1331,Marketing_df2!$A$1:$F$2241,3,FALSE)</f>
        <v>53</v>
      </c>
      <c r="M1331">
        <f>VLOOKUP(A1331,Marketing_df2!$A$1:$F$2241,4,FALSE)</f>
        <v>75</v>
      </c>
      <c r="N1331">
        <f>VLOOKUP(A1331,Marketing_df2!$A$1:$F$2241,5,FALSE)</f>
        <v>8</v>
      </c>
      <c r="O1331">
        <f>VLOOKUP(A1331,Marketing_df2!$A$1:$F$2241,6,FALSE)</f>
        <v>5</v>
      </c>
    </row>
    <row r="1332" spans="1:15" ht="12.5">
      <c r="A1332" s="6">
        <v>1330</v>
      </c>
      <c r="B1332" s="6">
        <v>4832</v>
      </c>
      <c r="C1332" s="6">
        <v>1979</v>
      </c>
      <c r="D1332" s="7" t="s">
        <v>9</v>
      </c>
      <c r="E1332" s="7" t="s">
        <v>13</v>
      </c>
      <c r="F1332" s="6">
        <v>27244</v>
      </c>
      <c r="G1332" s="6">
        <v>1</v>
      </c>
      <c r="H1332" s="6">
        <v>0</v>
      </c>
      <c r="I1332" s="6">
        <f t="shared" si="20"/>
        <v>1</v>
      </c>
      <c r="J1332" s="8">
        <v>41705</v>
      </c>
      <c r="K1332" s="6">
        <v>84</v>
      </c>
      <c r="L1332">
        <f>VLOOKUP(A1332,Marketing_df2!$A$1:$F$2241,3,FALSE)</f>
        <v>5</v>
      </c>
      <c r="M1332">
        <f>VLOOKUP(A1332,Marketing_df2!$A$1:$F$2241,4,FALSE)</f>
        <v>24</v>
      </c>
      <c r="N1332">
        <f>VLOOKUP(A1332,Marketing_df2!$A$1:$F$2241,5,FALSE)</f>
        <v>2</v>
      </c>
      <c r="O1332">
        <f>VLOOKUP(A1332,Marketing_df2!$A$1:$F$2241,6,FALSE)</f>
        <v>2</v>
      </c>
    </row>
    <row r="1333" spans="1:15" ht="12.5">
      <c r="A1333" s="6">
        <v>1331</v>
      </c>
      <c r="B1333" s="6">
        <v>5621</v>
      </c>
      <c r="C1333" s="6">
        <v>1969</v>
      </c>
      <c r="D1333" s="7" t="s">
        <v>9</v>
      </c>
      <c r="E1333" s="7" t="s">
        <v>13</v>
      </c>
      <c r="F1333" s="6">
        <v>48752</v>
      </c>
      <c r="G1333" s="6">
        <v>1</v>
      </c>
      <c r="H1333" s="6">
        <v>1</v>
      </c>
      <c r="I1333" s="6">
        <f t="shared" si="20"/>
        <v>2</v>
      </c>
      <c r="J1333" s="9">
        <v>41255</v>
      </c>
      <c r="K1333" s="6">
        <v>8</v>
      </c>
      <c r="L1333">
        <f>VLOOKUP(A1333,Marketing_df2!$A$1:$F$2241,3,FALSE)</f>
        <v>57</v>
      </c>
      <c r="M1333">
        <f>VLOOKUP(A1333,Marketing_df2!$A$1:$F$2241,4,FALSE)</f>
        <v>15</v>
      </c>
      <c r="N1333">
        <f>VLOOKUP(A1333,Marketing_df2!$A$1:$F$2241,5,FALSE)</f>
        <v>6</v>
      </c>
      <c r="O1333">
        <f>VLOOKUP(A1333,Marketing_df2!$A$1:$F$2241,6,FALSE)</f>
        <v>5</v>
      </c>
    </row>
    <row r="1334" spans="1:15" ht="12.5">
      <c r="A1334" s="6">
        <v>1332</v>
      </c>
      <c r="B1334" s="6">
        <v>1945</v>
      </c>
      <c r="C1334" s="6">
        <v>1962</v>
      </c>
      <c r="D1334" s="7" t="s">
        <v>9</v>
      </c>
      <c r="E1334" s="7" t="s">
        <v>13</v>
      </c>
      <c r="F1334" s="6">
        <v>71434</v>
      </c>
      <c r="G1334" s="6">
        <v>0</v>
      </c>
      <c r="H1334" s="6">
        <v>1</v>
      </c>
      <c r="I1334" s="6">
        <f t="shared" si="20"/>
        <v>1</v>
      </c>
      <c r="J1334" s="8">
        <v>41535</v>
      </c>
      <c r="K1334" s="6">
        <v>4</v>
      </c>
      <c r="L1334">
        <f>VLOOKUP(A1334,Marketing_df2!$A$1:$F$2241,3,FALSE)</f>
        <v>36</v>
      </c>
      <c r="M1334">
        <f>VLOOKUP(A1334,Marketing_df2!$A$1:$F$2241,4,FALSE)</f>
        <v>96</v>
      </c>
      <c r="N1334">
        <f>VLOOKUP(A1334,Marketing_df2!$A$1:$F$2241,5,FALSE)</f>
        <v>7</v>
      </c>
      <c r="O1334">
        <f>VLOOKUP(A1334,Marketing_df2!$A$1:$F$2241,6,FALSE)</f>
        <v>7</v>
      </c>
    </row>
    <row r="1335" spans="1:15" ht="12.5">
      <c r="A1335" s="6">
        <v>1333</v>
      </c>
      <c r="B1335" s="6">
        <v>5147</v>
      </c>
      <c r="C1335" s="6">
        <v>1948</v>
      </c>
      <c r="D1335" s="7" t="s">
        <v>9</v>
      </c>
      <c r="E1335" s="7" t="s">
        <v>10</v>
      </c>
      <c r="F1335" s="6">
        <v>90842</v>
      </c>
      <c r="G1335" s="6">
        <v>0</v>
      </c>
      <c r="H1335" s="6">
        <v>0</v>
      </c>
      <c r="I1335" s="6">
        <f t="shared" si="20"/>
        <v>0</v>
      </c>
      <c r="J1335" s="8">
        <v>41484</v>
      </c>
      <c r="K1335" s="6">
        <v>57</v>
      </c>
      <c r="L1335">
        <f>VLOOKUP(A1335,Marketing_df2!$A$1:$F$2241,3,FALSE)</f>
        <v>70</v>
      </c>
      <c r="M1335">
        <f>VLOOKUP(A1335,Marketing_df2!$A$1:$F$2241,4,FALSE)</f>
        <v>187</v>
      </c>
      <c r="N1335">
        <f>VLOOKUP(A1335,Marketing_df2!$A$1:$F$2241,5,FALSE)</f>
        <v>4</v>
      </c>
      <c r="O1335">
        <f>VLOOKUP(A1335,Marketing_df2!$A$1:$F$2241,6,FALSE)</f>
        <v>13</v>
      </c>
    </row>
    <row r="1336" spans="1:15" ht="12.5">
      <c r="A1336" s="6">
        <v>1334</v>
      </c>
      <c r="B1336" s="6">
        <v>2535</v>
      </c>
      <c r="C1336" s="6">
        <v>1978</v>
      </c>
      <c r="D1336" s="7" t="s">
        <v>14</v>
      </c>
      <c r="E1336" s="7" t="s">
        <v>13</v>
      </c>
      <c r="F1336" s="6">
        <v>88097</v>
      </c>
      <c r="G1336" s="6">
        <v>1</v>
      </c>
      <c r="H1336" s="6">
        <v>0</v>
      </c>
      <c r="I1336" s="6">
        <f t="shared" si="20"/>
        <v>1</v>
      </c>
      <c r="J1336" s="8">
        <v>41139</v>
      </c>
      <c r="K1336" s="6">
        <v>24</v>
      </c>
      <c r="L1336">
        <f>VLOOKUP(A1336,Marketing_df2!$A$1:$F$2241,3,FALSE)</f>
        <v>0</v>
      </c>
      <c r="M1336">
        <f>VLOOKUP(A1336,Marketing_df2!$A$1:$F$2241,4,FALSE)</f>
        <v>126</v>
      </c>
      <c r="N1336">
        <f>VLOOKUP(A1336,Marketing_df2!$A$1:$F$2241,5,FALSE)</f>
        <v>6</v>
      </c>
      <c r="O1336">
        <f>VLOOKUP(A1336,Marketing_df2!$A$1:$F$2241,6,FALSE)</f>
        <v>8</v>
      </c>
    </row>
    <row r="1337" spans="1:15" ht="12.5">
      <c r="A1337" s="6">
        <v>1335</v>
      </c>
      <c r="B1337" s="6">
        <v>11039</v>
      </c>
      <c r="C1337" s="6">
        <v>1975</v>
      </c>
      <c r="D1337" s="7" t="s">
        <v>9</v>
      </c>
      <c r="E1337" s="7" t="s">
        <v>13</v>
      </c>
      <c r="F1337" s="6">
        <v>51948</v>
      </c>
      <c r="G1337" s="6">
        <v>0</v>
      </c>
      <c r="H1337" s="6">
        <v>1</v>
      </c>
      <c r="I1337" s="6">
        <f t="shared" si="20"/>
        <v>1</v>
      </c>
      <c r="J1337" s="8">
        <v>41534</v>
      </c>
      <c r="K1337" s="6">
        <v>51</v>
      </c>
      <c r="L1337">
        <f>VLOOKUP(A1337,Marketing_df2!$A$1:$F$2241,3,FALSE)</f>
        <v>33</v>
      </c>
      <c r="M1337">
        <f>VLOOKUP(A1337,Marketing_df2!$A$1:$F$2241,4,FALSE)</f>
        <v>30</v>
      </c>
      <c r="N1337">
        <f>VLOOKUP(A1337,Marketing_df2!$A$1:$F$2241,5,FALSE)</f>
        <v>5</v>
      </c>
      <c r="O1337">
        <f>VLOOKUP(A1337,Marketing_df2!$A$1:$F$2241,6,FALSE)</f>
        <v>4</v>
      </c>
    </row>
    <row r="1338" spans="1:15" ht="12.5">
      <c r="A1338" s="6">
        <v>1336</v>
      </c>
      <c r="B1338" s="6">
        <v>9495</v>
      </c>
      <c r="C1338" s="6">
        <v>1982</v>
      </c>
      <c r="D1338" s="7" t="s">
        <v>9</v>
      </c>
      <c r="E1338" s="7" t="s">
        <v>11</v>
      </c>
      <c r="F1338" s="6">
        <v>71853</v>
      </c>
      <c r="G1338" s="6">
        <v>0</v>
      </c>
      <c r="H1338" s="6">
        <v>0</v>
      </c>
      <c r="I1338" s="6">
        <f t="shared" si="20"/>
        <v>0</v>
      </c>
      <c r="J1338" s="8">
        <v>41402</v>
      </c>
      <c r="K1338" s="6">
        <v>29</v>
      </c>
      <c r="L1338">
        <f>VLOOKUP(A1338,Marketing_df2!$A$1:$F$2241,3,FALSE)</f>
        <v>108</v>
      </c>
      <c r="M1338">
        <f>VLOOKUP(A1338,Marketing_df2!$A$1:$F$2241,4,FALSE)</f>
        <v>97</v>
      </c>
      <c r="N1338">
        <f>VLOOKUP(A1338,Marketing_df2!$A$1:$F$2241,5,FALSE)</f>
        <v>2</v>
      </c>
      <c r="O1338">
        <f>VLOOKUP(A1338,Marketing_df2!$A$1:$F$2241,6,FALSE)</f>
        <v>6</v>
      </c>
    </row>
    <row r="1339" spans="1:15" ht="12.5">
      <c r="A1339" s="6">
        <v>1337</v>
      </c>
      <c r="B1339" s="6">
        <v>9635</v>
      </c>
      <c r="C1339" s="6">
        <v>1983</v>
      </c>
      <c r="D1339" s="7" t="s">
        <v>14</v>
      </c>
      <c r="E1339" s="7" t="s">
        <v>13</v>
      </c>
      <c r="F1339" s="6">
        <v>35876</v>
      </c>
      <c r="G1339" s="6">
        <v>0</v>
      </c>
      <c r="H1339" s="6">
        <v>0</v>
      </c>
      <c r="I1339" s="6">
        <f t="shared" si="20"/>
        <v>0</v>
      </c>
      <c r="J1339" s="8">
        <v>41749</v>
      </c>
      <c r="K1339" s="6">
        <v>13</v>
      </c>
      <c r="L1339">
        <f>VLOOKUP(A1339,Marketing_df2!$A$1:$F$2241,3,FALSE)</f>
        <v>2</v>
      </c>
      <c r="M1339">
        <f>VLOOKUP(A1339,Marketing_df2!$A$1:$F$2241,4,FALSE)</f>
        <v>3</v>
      </c>
      <c r="N1339">
        <f>VLOOKUP(A1339,Marketing_df2!$A$1:$F$2241,5,FALSE)</f>
        <v>3</v>
      </c>
      <c r="O1339">
        <f>VLOOKUP(A1339,Marketing_df2!$A$1:$F$2241,6,FALSE)</f>
        <v>3</v>
      </c>
    </row>
    <row r="1340" spans="1:15" ht="12.5">
      <c r="A1340" s="6">
        <v>1338</v>
      </c>
      <c r="B1340" s="6">
        <v>2173</v>
      </c>
      <c r="C1340" s="6">
        <v>1952</v>
      </c>
      <c r="D1340" s="7" t="s">
        <v>9</v>
      </c>
      <c r="E1340" s="7" t="s">
        <v>18</v>
      </c>
      <c r="F1340" s="6">
        <v>40049</v>
      </c>
      <c r="G1340" s="6">
        <v>0</v>
      </c>
      <c r="H1340" s="6">
        <v>1</v>
      </c>
      <c r="I1340" s="6">
        <f t="shared" si="20"/>
        <v>1</v>
      </c>
      <c r="J1340" s="9">
        <v>41563</v>
      </c>
      <c r="K1340" s="6">
        <v>23</v>
      </c>
      <c r="L1340">
        <f>VLOOKUP(A1340,Marketing_df2!$A$1:$F$2241,3,FALSE)</f>
        <v>6</v>
      </c>
      <c r="M1340">
        <f>VLOOKUP(A1340,Marketing_df2!$A$1:$F$2241,4,FALSE)</f>
        <v>3</v>
      </c>
      <c r="N1340">
        <f>VLOOKUP(A1340,Marketing_df2!$A$1:$F$2241,5,FALSE)</f>
        <v>1</v>
      </c>
      <c r="O1340">
        <f>VLOOKUP(A1340,Marketing_df2!$A$1:$F$2241,6,FALSE)</f>
        <v>3</v>
      </c>
    </row>
    <row r="1341" spans="1:15" ht="12.5">
      <c r="A1341" s="6">
        <v>1339</v>
      </c>
      <c r="B1341" s="6">
        <v>942</v>
      </c>
      <c r="C1341" s="6">
        <v>1982</v>
      </c>
      <c r="D1341" s="7" t="s">
        <v>9</v>
      </c>
      <c r="E1341" s="7" t="s">
        <v>10</v>
      </c>
      <c r="F1341" s="6">
        <v>39660</v>
      </c>
      <c r="G1341" s="6">
        <v>1</v>
      </c>
      <c r="H1341" s="6">
        <v>0</v>
      </c>
      <c r="I1341" s="6">
        <f t="shared" si="20"/>
        <v>1</v>
      </c>
      <c r="J1341" s="8">
        <v>41129</v>
      </c>
      <c r="K1341" s="6">
        <v>36</v>
      </c>
      <c r="L1341">
        <f>VLOOKUP(A1341,Marketing_df2!$A$1:$F$2241,3,FALSE)</f>
        <v>13</v>
      </c>
      <c r="M1341">
        <f>VLOOKUP(A1341,Marketing_df2!$A$1:$F$2241,4,FALSE)</f>
        <v>13</v>
      </c>
      <c r="N1341">
        <f>VLOOKUP(A1341,Marketing_df2!$A$1:$F$2241,5,FALSE)</f>
        <v>7</v>
      </c>
      <c r="O1341">
        <f>VLOOKUP(A1341,Marketing_df2!$A$1:$F$2241,6,FALSE)</f>
        <v>3</v>
      </c>
    </row>
    <row r="1342" spans="1:15" ht="12.5">
      <c r="A1342" s="6">
        <v>1340</v>
      </c>
      <c r="B1342" s="6">
        <v>9386</v>
      </c>
      <c r="C1342" s="6">
        <v>1962</v>
      </c>
      <c r="D1342" s="7" t="s">
        <v>9</v>
      </c>
      <c r="E1342" s="7" t="s">
        <v>11</v>
      </c>
      <c r="F1342" s="6">
        <v>50127</v>
      </c>
      <c r="G1342" s="6">
        <v>0</v>
      </c>
      <c r="H1342" s="6">
        <v>1</v>
      </c>
      <c r="I1342" s="6">
        <f t="shared" si="20"/>
        <v>1</v>
      </c>
      <c r="J1342" s="8">
        <v>41788</v>
      </c>
      <c r="K1342" s="6">
        <v>88</v>
      </c>
      <c r="L1342">
        <f>VLOOKUP(A1342,Marketing_df2!$A$1:$F$2241,3,FALSE)</f>
        <v>0</v>
      </c>
      <c r="M1342">
        <f>VLOOKUP(A1342,Marketing_df2!$A$1:$F$2241,4,FALSE)</f>
        <v>6</v>
      </c>
      <c r="N1342">
        <f>VLOOKUP(A1342,Marketing_df2!$A$1:$F$2241,5,FALSE)</f>
        <v>5</v>
      </c>
      <c r="O1342">
        <f>VLOOKUP(A1342,Marketing_df2!$A$1:$F$2241,6,FALSE)</f>
        <v>6</v>
      </c>
    </row>
    <row r="1343" spans="1:15" ht="12.5">
      <c r="A1343" s="6">
        <v>1341</v>
      </c>
      <c r="B1343" s="6">
        <v>5510</v>
      </c>
      <c r="C1343" s="6">
        <v>1977</v>
      </c>
      <c r="D1343" s="7" t="s">
        <v>14</v>
      </c>
      <c r="E1343" s="7" t="s">
        <v>13</v>
      </c>
      <c r="F1343" s="6">
        <v>43263</v>
      </c>
      <c r="G1343" s="6">
        <v>0</v>
      </c>
      <c r="H1343" s="6">
        <v>1</v>
      </c>
      <c r="I1343" s="6">
        <f t="shared" si="20"/>
        <v>1</v>
      </c>
      <c r="J1343" s="9">
        <v>41234</v>
      </c>
      <c r="K1343" s="6">
        <v>2</v>
      </c>
      <c r="L1343">
        <f>VLOOKUP(A1343,Marketing_df2!$A$1:$F$2241,3,FALSE)</f>
        <v>6</v>
      </c>
      <c r="M1343">
        <f>VLOOKUP(A1343,Marketing_df2!$A$1:$F$2241,4,FALSE)</f>
        <v>10</v>
      </c>
      <c r="N1343">
        <f>VLOOKUP(A1343,Marketing_df2!$A$1:$F$2241,5,FALSE)</f>
        <v>5</v>
      </c>
      <c r="O1343">
        <f>VLOOKUP(A1343,Marketing_df2!$A$1:$F$2241,6,FALSE)</f>
        <v>6</v>
      </c>
    </row>
    <row r="1344" spans="1:15" ht="12.5">
      <c r="A1344" s="6">
        <v>1342</v>
      </c>
      <c r="B1344" s="6">
        <v>873</v>
      </c>
      <c r="C1344" s="6">
        <v>1949</v>
      </c>
      <c r="D1344" s="7" t="s">
        <v>14</v>
      </c>
      <c r="E1344" s="7" t="s">
        <v>13</v>
      </c>
      <c r="F1344" s="6">
        <v>62845</v>
      </c>
      <c r="G1344" s="6">
        <v>1</v>
      </c>
      <c r="H1344" s="6">
        <v>1</v>
      </c>
      <c r="I1344" s="6">
        <f t="shared" si="20"/>
        <v>2</v>
      </c>
      <c r="J1344" s="8">
        <v>41183</v>
      </c>
      <c r="K1344" s="6">
        <v>3</v>
      </c>
      <c r="L1344">
        <f>VLOOKUP(A1344,Marketing_df2!$A$1:$F$2241,3,FALSE)</f>
        <v>0</v>
      </c>
      <c r="M1344">
        <f>VLOOKUP(A1344,Marketing_df2!$A$1:$F$2241,4,FALSE)</f>
        <v>0</v>
      </c>
      <c r="N1344">
        <f>VLOOKUP(A1344,Marketing_df2!$A$1:$F$2241,5,FALSE)</f>
        <v>3</v>
      </c>
      <c r="O1344">
        <f>VLOOKUP(A1344,Marketing_df2!$A$1:$F$2241,6,FALSE)</f>
        <v>10</v>
      </c>
    </row>
    <row r="1345" spans="1:15" ht="12.5">
      <c r="A1345" s="6">
        <v>1343</v>
      </c>
      <c r="B1345" s="6">
        <v>2253</v>
      </c>
      <c r="C1345" s="6">
        <v>1990</v>
      </c>
      <c r="D1345" s="7" t="s">
        <v>9</v>
      </c>
      <c r="E1345" s="7" t="s">
        <v>13</v>
      </c>
      <c r="F1345" s="6">
        <v>18929</v>
      </c>
      <c r="G1345" s="6">
        <v>0</v>
      </c>
      <c r="H1345" s="6">
        <v>0</v>
      </c>
      <c r="I1345" s="6">
        <f t="shared" si="20"/>
        <v>0</v>
      </c>
      <c r="J1345" s="8">
        <v>41321</v>
      </c>
      <c r="K1345" s="6">
        <v>15</v>
      </c>
      <c r="L1345">
        <f>VLOOKUP(A1345,Marketing_df2!$A$1:$F$2241,3,FALSE)</f>
        <v>0</v>
      </c>
      <c r="M1345">
        <f>VLOOKUP(A1345,Marketing_df2!$A$1:$F$2241,4,FALSE)</f>
        <v>4</v>
      </c>
      <c r="N1345">
        <f>VLOOKUP(A1345,Marketing_df2!$A$1:$F$2241,5,FALSE)</f>
        <v>1</v>
      </c>
      <c r="O1345">
        <f>VLOOKUP(A1345,Marketing_df2!$A$1:$F$2241,6,FALSE)</f>
        <v>4</v>
      </c>
    </row>
    <row r="1346" spans="1:15" ht="12.5">
      <c r="A1346" s="6">
        <v>1344</v>
      </c>
      <c r="B1346" s="6">
        <v>5181</v>
      </c>
      <c r="C1346" s="6">
        <v>1982</v>
      </c>
      <c r="D1346" s="7" t="s">
        <v>16</v>
      </c>
      <c r="E1346" s="7" t="s">
        <v>10</v>
      </c>
      <c r="F1346" s="6">
        <v>24367</v>
      </c>
      <c r="G1346" s="6">
        <v>1</v>
      </c>
      <c r="H1346" s="6">
        <v>0</v>
      </c>
      <c r="I1346" s="6">
        <f t="shared" si="20"/>
        <v>1</v>
      </c>
      <c r="J1346" s="8">
        <v>41353</v>
      </c>
      <c r="K1346" s="6">
        <v>58</v>
      </c>
      <c r="L1346">
        <f>VLOOKUP(A1346,Marketing_df2!$A$1:$F$2241,3,FALSE)</f>
        <v>4</v>
      </c>
      <c r="M1346">
        <f>VLOOKUP(A1346,Marketing_df2!$A$1:$F$2241,4,FALSE)</f>
        <v>11</v>
      </c>
      <c r="N1346">
        <f>VLOOKUP(A1346,Marketing_df2!$A$1:$F$2241,5,FALSE)</f>
        <v>1</v>
      </c>
      <c r="O1346">
        <f>VLOOKUP(A1346,Marketing_df2!$A$1:$F$2241,6,FALSE)</f>
        <v>2</v>
      </c>
    </row>
    <row r="1347" spans="1:15" ht="12.5">
      <c r="A1347" s="6">
        <v>1345</v>
      </c>
      <c r="B1347" s="6">
        <v>979</v>
      </c>
      <c r="C1347" s="6">
        <v>1975</v>
      </c>
      <c r="D1347" s="7" t="s">
        <v>9</v>
      </c>
      <c r="E1347" s="7" t="s">
        <v>10</v>
      </c>
      <c r="F1347" s="6">
        <v>33249</v>
      </c>
      <c r="G1347" s="6">
        <v>1</v>
      </c>
      <c r="H1347" s="6">
        <v>0</v>
      </c>
      <c r="I1347" s="6">
        <f t="shared" ref="I1347:I1410" si="21">G1347+H1347</f>
        <v>1</v>
      </c>
      <c r="J1347" s="8">
        <v>41325</v>
      </c>
      <c r="K1347" s="6">
        <v>11</v>
      </c>
      <c r="L1347">
        <f>VLOOKUP(A1347,Marketing_df2!$A$1:$F$2241,3,FALSE)</f>
        <v>10</v>
      </c>
      <c r="M1347">
        <f>VLOOKUP(A1347,Marketing_df2!$A$1:$F$2241,4,FALSE)</f>
        <v>14</v>
      </c>
      <c r="N1347">
        <f>VLOOKUP(A1347,Marketing_df2!$A$1:$F$2241,5,FALSE)</f>
        <v>2</v>
      </c>
      <c r="O1347">
        <f>VLOOKUP(A1347,Marketing_df2!$A$1:$F$2241,6,FALSE)</f>
        <v>3</v>
      </c>
    </row>
    <row r="1348" spans="1:15" ht="12.5">
      <c r="A1348" s="6">
        <v>1346</v>
      </c>
      <c r="B1348" s="6">
        <v>10390</v>
      </c>
      <c r="C1348" s="6">
        <v>1959</v>
      </c>
      <c r="D1348" s="7" t="s">
        <v>17</v>
      </c>
      <c r="E1348" s="7" t="s">
        <v>13</v>
      </c>
      <c r="F1348" s="6">
        <v>26887</v>
      </c>
      <c r="G1348" s="6">
        <v>0</v>
      </c>
      <c r="H1348" s="6">
        <v>1</v>
      </c>
      <c r="I1348" s="6">
        <f t="shared" si="21"/>
        <v>1</v>
      </c>
      <c r="J1348" s="8">
        <v>41315</v>
      </c>
      <c r="K1348" s="6">
        <v>27</v>
      </c>
      <c r="L1348">
        <f>VLOOKUP(A1348,Marketing_df2!$A$1:$F$2241,3,FALSE)</f>
        <v>7</v>
      </c>
      <c r="M1348">
        <f>VLOOKUP(A1348,Marketing_df2!$A$1:$F$2241,4,FALSE)</f>
        <v>4</v>
      </c>
      <c r="N1348">
        <f>VLOOKUP(A1348,Marketing_df2!$A$1:$F$2241,5,FALSE)</f>
        <v>1</v>
      </c>
      <c r="O1348">
        <f>VLOOKUP(A1348,Marketing_df2!$A$1:$F$2241,6,FALSE)</f>
        <v>3</v>
      </c>
    </row>
    <row r="1349" spans="1:15" ht="12.5">
      <c r="A1349" s="6">
        <v>1347</v>
      </c>
      <c r="B1349" s="6">
        <v>4698</v>
      </c>
      <c r="C1349" s="6">
        <v>1983</v>
      </c>
      <c r="D1349" s="7" t="s">
        <v>12</v>
      </c>
      <c r="E1349" s="7" t="s">
        <v>13</v>
      </c>
      <c r="F1349" s="6">
        <v>50150</v>
      </c>
      <c r="G1349" s="6">
        <v>0</v>
      </c>
      <c r="H1349" s="6">
        <v>0</v>
      </c>
      <c r="I1349" s="6">
        <f t="shared" si="21"/>
        <v>0</v>
      </c>
      <c r="J1349" s="8">
        <v>41445</v>
      </c>
      <c r="K1349" s="6">
        <v>32</v>
      </c>
      <c r="L1349">
        <f>VLOOKUP(A1349,Marketing_df2!$A$1:$F$2241,3,FALSE)</f>
        <v>46</v>
      </c>
      <c r="M1349">
        <f>VLOOKUP(A1349,Marketing_df2!$A$1:$F$2241,4,FALSE)</f>
        <v>61</v>
      </c>
      <c r="N1349">
        <f>VLOOKUP(A1349,Marketing_df2!$A$1:$F$2241,5,FALSE)</f>
        <v>5</v>
      </c>
      <c r="O1349">
        <f>VLOOKUP(A1349,Marketing_df2!$A$1:$F$2241,6,FALSE)</f>
        <v>7</v>
      </c>
    </row>
    <row r="1350" spans="1:15" ht="12.5">
      <c r="A1350" s="6">
        <v>1348</v>
      </c>
      <c r="B1350" s="6">
        <v>7793</v>
      </c>
      <c r="C1350" s="6">
        <v>1976</v>
      </c>
      <c r="D1350" s="7" t="s">
        <v>9</v>
      </c>
      <c r="E1350" s="7" t="s">
        <v>11</v>
      </c>
      <c r="F1350" s="6">
        <v>62061</v>
      </c>
      <c r="G1350" s="6">
        <v>0</v>
      </c>
      <c r="H1350" s="6">
        <v>1</v>
      </c>
      <c r="I1350" s="6">
        <f t="shared" si="21"/>
        <v>1</v>
      </c>
      <c r="J1350" s="8">
        <v>41517</v>
      </c>
      <c r="K1350" s="6">
        <v>12</v>
      </c>
      <c r="L1350">
        <f>VLOOKUP(A1350,Marketing_df2!$A$1:$F$2241,3,FALSE)</f>
        <v>7</v>
      </c>
      <c r="M1350">
        <f>VLOOKUP(A1350,Marketing_df2!$A$1:$F$2241,4,FALSE)</f>
        <v>30</v>
      </c>
      <c r="N1350">
        <f>VLOOKUP(A1350,Marketing_df2!$A$1:$F$2241,5,FALSE)</f>
        <v>10</v>
      </c>
      <c r="O1350">
        <f>VLOOKUP(A1350,Marketing_df2!$A$1:$F$2241,6,FALSE)</f>
        <v>7</v>
      </c>
    </row>
    <row r="1351" spans="1:15" ht="12.5">
      <c r="A1351" s="6">
        <v>1349</v>
      </c>
      <c r="B1351" s="6">
        <v>1745</v>
      </c>
      <c r="C1351" s="6">
        <v>1962</v>
      </c>
      <c r="D1351" s="7" t="s">
        <v>12</v>
      </c>
      <c r="E1351" s="7" t="s">
        <v>15</v>
      </c>
      <c r="F1351" s="6">
        <v>85696</v>
      </c>
      <c r="G1351" s="6">
        <v>0</v>
      </c>
      <c r="H1351" s="6">
        <v>0</v>
      </c>
      <c r="I1351" s="6">
        <f t="shared" si="21"/>
        <v>0</v>
      </c>
      <c r="J1351" s="8">
        <v>41397</v>
      </c>
      <c r="K1351" s="6">
        <v>88</v>
      </c>
      <c r="L1351">
        <f>VLOOKUP(A1351,Marketing_df2!$A$1:$F$2241,3,FALSE)</f>
        <v>76</v>
      </c>
      <c r="M1351">
        <f>VLOOKUP(A1351,Marketing_df2!$A$1:$F$2241,4,FALSE)</f>
        <v>0</v>
      </c>
      <c r="N1351">
        <f>VLOOKUP(A1351,Marketing_df2!$A$1:$F$2241,5,FALSE)</f>
        <v>4</v>
      </c>
      <c r="O1351">
        <f>VLOOKUP(A1351,Marketing_df2!$A$1:$F$2241,6,FALSE)</f>
        <v>9</v>
      </c>
    </row>
    <row r="1352" spans="1:15" ht="12.5">
      <c r="A1352" s="6">
        <v>1350</v>
      </c>
      <c r="B1352" s="6">
        <v>10590</v>
      </c>
      <c r="C1352" s="6">
        <v>1956</v>
      </c>
      <c r="D1352" s="7" t="s">
        <v>12</v>
      </c>
      <c r="E1352" s="7" t="s">
        <v>11</v>
      </c>
      <c r="F1352" s="6">
        <v>76542</v>
      </c>
      <c r="G1352" s="6">
        <v>0</v>
      </c>
      <c r="H1352" s="6">
        <v>0</v>
      </c>
      <c r="I1352" s="6">
        <f t="shared" si="21"/>
        <v>0</v>
      </c>
      <c r="J1352" s="8">
        <v>41363</v>
      </c>
      <c r="K1352" s="6">
        <v>91</v>
      </c>
      <c r="L1352">
        <f>VLOOKUP(A1352,Marketing_df2!$A$1:$F$2241,3,FALSE)</f>
        <v>73</v>
      </c>
      <c r="M1352">
        <f>VLOOKUP(A1352,Marketing_df2!$A$1:$F$2241,4,FALSE)</f>
        <v>29</v>
      </c>
      <c r="N1352">
        <f>VLOOKUP(A1352,Marketing_df2!$A$1:$F$2241,5,FALSE)</f>
        <v>4</v>
      </c>
      <c r="O1352">
        <f>VLOOKUP(A1352,Marketing_df2!$A$1:$F$2241,6,FALSE)</f>
        <v>10</v>
      </c>
    </row>
    <row r="1353" spans="1:15" ht="12.5">
      <c r="A1353" s="6">
        <v>1351</v>
      </c>
      <c r="B1353" s="6">
        <v>5080</v>
      </c>
      <c r="C1353" s="6">
        <v>1993</v>
      </c>
      <c r="D1353" s="7" t="s">
        <v>9</v>
      </c>
      <c r="E1353" s="7" t="s">
        <v>10</v>
      </c>
      <c r="F1353" s="6">
        <v>70515</v>
      </c>
      <c r="G1353" s="6">
        <v>0</v>
      </c>
      <c r="H1353" s="6">
        <v>0</v>
      </c>
      <c r="I1353" s="6">
        <f t="shared" si="21"/>
        <v>0</v>
      </c>
      <c r="J1353" s="9">
        <v>41568</v>
      </c>
      <c r="K1353" s="6">
        <v>12</v>
      </c>
      <c r="L1353">
        <f>VLOOKUP(A1353,Marketing_df2!$A$1:$F$2241,3,FALSE)</f>
        <v>0</v>
      </c>
      <c r="M1353">
        <f>VLOOKUP(A1353,Marketing_df2!$A$1:$F$2241,4,FALSE)</f>
        <v>64</v>
      </c>
      <c r="N1353">
        <f>VLOOKUP(A1353,Marketing_df2!$A$1:$F$2241,5,FALSE)</f>
        <v>6</v>
      </c>
      <c r="O1353">
        <f>VLOOKUP(A1353,Marketing_df2!$A$1:$F$2241,6,FALSE)</f>
        <v>4</v>
      </c>
    </row>
    <row r="1354" spans="1:15" ht="12.5">
      <c r="A1354" s="6">
        <v>1352</v>
      </c>
      <c r="B1354" s="6">
        <v>8369</v>
      </c>
      <c r="C1354" s="6">
        <v>1987</v>
      </c>
      <c r="D1354" s="7" t="s">
        <v>9</v>
      </c>
      <c r="E1354" s="7" t="s">
        <v>11</v>
      </c>
      <c r="F1354" s="6">
        <v>18227</v>
      </c>
      <c r="G1354" s="6">
        <v>1</v>
      </c>
      <c r="H1354" s="6">
        <v>0</v>
      </c>
      <c r="I1354" s="6">
        <f t="shared" si="21"/>
        <v>1</v>
      </c>
      <c r="J1354" s="8">
        <v>41221</v>
      </c>
      <c r="K1354" s="6">
        <v>21</v>
      </c>
      <c r="L1354">
        <f>VLOOKUP(A1354,Marketing_df2!$A$1:$F$2241,3,FALSE)</f>
        <v>2</v>
      </c>
      <c r="M1354">
        <f>VLOOKUP(A1354,Marketing_df2!$A$1:$F$2241,4,FALSE)</f>
        <v>3</v>
      </c>
      <c r="N1354">
        <f>VLOOKUP(A1354,Marketing_df2!$A$1:$F$2241,5,FALSE)</f>
        <v>0</v>
      </c>
      <c r="O1354">
        <f>VLOOKUP(A1354,Marketing_df2!$A$1:$F$2241,6,FALSE)</f>
        <v>2</v>
      </c>
    </row>
    <row r="1355" spans="1:15" ht="12.5">
      <c r="A1355" s="6">
        <v>1353</v>
      </c>
      <c r="B1355" s="6">
        <v>5232</v>
      </c>
      <c r="C1355" s="6">
        <v>1965</v>
      </c>
      <c r="D1355" s="7" t="s">
        <v>9</v>
      </c>
      <c r="E1355" s="7" t="s">
        <v>13</v>
      </c>
      <c r="F1355" s="6">
        <v>69139</v>
      </c>
      <c r="G1355" s="6">
        <v>0</v>
      </c>
      <c r="H1355" s="6">
        <v>1</v>
      </c>
      <c r="I1355" s="6">
        <f t="shared" si="21"/>
        <v>1</v>
      </c>
      <c r="J1355" s="8">
        <v>41666</v>
      </c>
      <c r="K1355" s="6">
        <v>23</v>
      </c>
      <c r="L1355">
        <f>VLOOKUP(A1355,Marketing_df2!$A$1:$F$2241,3,FALSE)</f>
        <v>12</v>
      </c>
      <c r="M1355">
        <f>VLOOKUP(A1355,Marketing_df2!$A$1:$F$2241,4,FALSE)</f>
        <v>15</v>
      </c>
      <c r="N1355">
        <f>VLOOKUP(A1355,Marketing_df2!$A$1:$F$2241,5,FALSE)</f>
        <v>4</v>
      </c>
      <c r="O1355">
        <f>VLOOKUP(A1355,Marketing_df2!$A$1:$F$2241,6,FALSE)</f>
        <v>5</v>
      </c>
    </row>
    <row r="1356" spans="1:15" ht="12.5">
      <c r="A1356" s="6">
        <v>1354</v>
      </c>
      <c r="B1356" s="6">
        <v>2407</v>
      </c>
      <c r="C1356" s="6">
        <v>1982</v>
      </c>
      <c r="D1356" s="7" t="s">
        <v>9</v>
      </c>
      <c r="E1356" s="7" t="s">
        <v>13</v>
      </c>
      <c r="F1356" s="6">
        <v>69109</v>
      </c>
      <c r="G1356" s="6">
        <v>0</v>
      </c>
      <c r="H1356" s="6">
        <v>0</v>
      </c>
      <c r="I1356" s="6">
        <f t="shared" si="21"/>
        <v>0</v>
      </c>
      <c r="J1356" s="8">
        <v>41222</v>
      </c>
      <c r="K1356" s="6">
        <v>10</v>
      </c>
      <c r="L1356">
        <f>VLOOKUP(A1356,Marketing_df2!$A$1:$F$2241,3,FALSE)</f>
        <v>25</v>
      </c>
      <c r="M1356">
        <f>VLOOKUP(A1356,Marketing_df2!$A$1:$F$2241,4,FALSE)</f>
        <v>29</v>
      </c>
      <c r="N1356">
        <f>VLOOKUP(A1356,Marketing_df2!$A$1:$F$2241,5,FALSE)</f>
        <v>6</v>
      </c>
      <c r="O1356">
        <f>VLOOKUP(A1356,Marketing_df2!$A$1:$F$2241,6,FALSE)</f>
        <v>7</v>
      </c>
    </row>
    <row r="1357" spans="1:15" ht="12.5">
      <c r="A1357" s="6">
        <v>1355</v>
      </c>
      <c r="B1357" s="6">
        <v>3834</v>
      </c>
      <c r="C1357" s="6">
        <v>1962</v>
      </c>
      <c r="D1357" s="7" t="s">
        <v>9</v>
      </c>
      <c r="E1357" s="7" t="s">
        <v>10</v>
      </c>
      <c r="F1357" s="6">
        <v>69627</v>
      </c>
      <c r="G1357" s="6">
        <v>0</v>
      </c>
      <c r="H1357" s="6">
        <v>1</v>
      </c>
      <c r="I1357" s="6">
        <f t="shared" si="21"/>
        <v>1</v>
      </c>
      <c r="J1357" s="8">
        <v>41350</v>
      </c>
      <c r="K1357" s="6">
        <v>35</v>
      </c>
      <c r="L1357">
        <f>VLOOKUP(A1357,Marketing_df2!$A$1:$F$2241,3,FALSE)</f>
        <v>161</v>
      </c>
      <c r="M1357">
        <f>VLOOKUP(A1357,Marketing_df2!$A$1:$F$2241,4,FALSE)</f>
        <v>30</v>
      </c>
      <c r="N1357">
        <f>VLOOKUP(A1357,Marketing_df2!$A$1:$F$2241,5,FALSE)</f>
        <v>8</v>
      </c>
      <c r="O1357">
        <f>VLOOKUP(A1357,Marketing_df2!$A$1:$F$2241,6,FALSE)</f>
        <v>11</v>
      </c>
    </row>
    <row r="1358" spans="1:15" ht="12.5">
      <c r="A1358" s="6">
        <v>1356</v>
      </c>
      <c r="B1358" s="6">
        <v>7912</v>
      </c>
      <c r="C1358" s="6">
        <v>1978</v>
      </c>
      <c r="D1358" s="7" t="s">
        <v>9</v>
      </c>
      <c r="E1358" s="7" t="s">
        <v>13</v>
      </c>
      <c r="F1358" s="6">
        <v>38136</v>
      </c>
      <c r="G1358" s="6">
        <v>1</v>
      </c>
      <c r="H1358" s="6">
        <v>0</v>
      </c>
      <c r="I1358" s="6">
        <f t="shared" si="21"/>
        <v>1</v>
      </c>
      <c r="J1358" s="8">
        <v>41386</v>
      </c>
      <c r="K1358" s="6">
        <v>69</v>
      </c>
      <c r="L1358">
        <f>VLOOKUP(A1358,Marketing_df2!$A$1:$F$2241,3,FALSE)</f>
        <v>15</v>
      </c>
      <c r="M1358">
        <f>VLOOKUP(A1358,Marketing_df2!$A$1:$F$2241,4,FALSE)</f>
        <v>20</v>
      </c>
      <c r="N1358">
        <f>VLOOKUP(A1358,Marketing_df2!$A$1:$F$2241,5,FALSE)</f>
        <v>3</v>
      </c>
      <c r="O1358">
        <f>VLOOKUP(A1358,Marketing_df2!$A$1:$F$2241,6,FALSE)</f>
        <v>2</v>
      </c>
    </row>
    <row r="1359" spans="1:15" ht="12.5">
      <c r="A1359" s="6">
        <v>1357</v>
      </c>
      <c r="B1359" s="6">
        <v>7712</v>
      </c>
      <c r="C1359" s="6">
        <v>1946</v>
      </c>
      <c r="D1359" s="7" t="s">
        <v>12</v>
      </c>
      <c r="E1359" s="7" t="s">
        <v>10</v>
      </c>
      <c r="F1359" s="6">
        <v>62159</v>
      </c>
      <c r="G1359" s="6">
        <v>0</v>
      </c>
      <c r="H1359" s="6">
        <v>0</v>
      </c>
      <c r="I1359" s="6">
        <f t="shared" si="21"/>
        <v>0</v>
      </c>
      <c r="J1359" s="8">
        <v>41757</v>
      </c>
      <c r="K1359" s="6">
        <v>68</v>
      </c>
      <c r="L1359">
        <f>VLOOKUP(A1359,Marketing_df2!$A$1:$F$2241,3,FALSE)</f>
        <v>17</v>
      </c>
      <c r="M1359">
        <f>VLOOKUP(A1359,Marketing_df2!$A$1:$F$2241,4,FALSE)</f>
        <v>70</v>
      </c>
      <c r="N1359">
        <f>VLOOKUP(A1359,Marketing_df2!$A$1:$F$2241,5,FALSE)</f>
        <v>6</v>
      </c>
      <c r="O1359">
        <f>VLOOKUP(A1359,Marketing_df2!$A$1:$F$2241,6,FALSE)</f>
        <v>10</v>
      </c>
    </row>
    <row r="1360" spans="1:15" ht="12.5">
      <c r="A1360" s="6">
        <v>1358</v>
      </c>
      <c r="B1360" s="6">
        <v>1065</v>
      </c>
      <c r="C1360" s="6">
        <v>1963</v>
      </c>
      <c r="D1360" s="7" t="s">
        <v>9</v>
      </c>
      <c r="E1360" s="7" t="s">
        <v>10</v>
      </c>
      <c r="F1360" s="6">
        <v>80695</v>
      </c>
      <c r="G1360" s="6">
        <v>0</v>
      </c>
      <c r="H1360" s="6">
        <v>0</v>
      </c>
      <c r="I1360" s="6">
        <f t="shared" si="21"/>
        <v>0</v>
      </c>
      <c r="J1360" s="9">
        <v>41637</v>
      </c>
      <c r="K1360" s="6">
        <v>85</v>
      </c>
      <c r="L1360">
        <f>VLOOKUP(A1360,Marketing_df2!$A$1:$F$2241,3,FALSE)</f>
        <v>129</v>
      </c>
      <c r="M1360">
        <f>VLOOKUP(A1360,Marketing_df2!$A$1:$F$2241,4,FALSE)</f>
        <v>37</v>
      </c>
      <c r="N1360">
        <f>VLOOKUP(A1360,Marketing_df2!$A$1:$F$2241,5,FALSE)</f>
        <v>5</v>
      </c>
      <c r="O1360">
        <f>VLOOKUP(A1360,Marketing_df2!$A$1:$F$2241,6,FALSE)</f>
        <v>5</v>
      </c>
    </row>
    <row r="1361" spans="1:15" ht="12.5">
      <c r="A1361" s="6">
        <v>1359</v>
      </c>
      <c r="B1361" s="6">
        <v>7275</v>
      </c>
      <c r="C1361" s="6">
        <v>1971</v>
      </c>
      <c r="D1361" s="7" t="s">
        <v>14</v>
      </c>
      <c r="E1361" s="7" t="s">
        <v>10</v>
      </c>
      <c r="F1361" s="6">
        <v>33316</v>
      </c>
      <c r="G1361" s="6">
        <v>1</v>
      </c>
      <c r="H1361" s="6">
        <v>1</v>
      </c>
      <c r="I1361" s="6">
        <f t="shared" si="21"/>
        <v>2</v>
      </c>
      <c r="J1361" s="8">
        <v>41551</v>
      </c>
      <c r="K1361" s="6">
        <v>34</v>
      </c>
      <c r="L1361">
        <f>VLOOKUP(A1361,Marketing_df2!$A$1:$F$2241,3,FALSE)</f>
        <v>1</v>
      </c>
      <c r="M1361">
        <f>VLOOKUP(A1361,Marketing_df2!$A$1:$F$2241,4,FALSE)</f>
        <v>4</v>
      </c>
      <c r="N1361">
        <f>VLOOKUP(A1361,Marketing_df2!$A$1:$F$2241,5,FALSE)</f>
        <v>2</v>
      </c>
      <c r="O1361">
        <f>VLOOKUP(A1361,Marketing_df2!$A$1:$F$2241,6,FALSE)</f>
        <v>4</v>
      </c>
    </row>
    <row r="1362" spans="1:15" ht="12.5">
      <c r="A1362" s="6">
        <v>1360</v>
      </c>
      <c r="B1362" s="6">
        <v>1343</v>
      </c>
      <c r="C1362" s="6">
        <v>1968</v>
      </c>
      <c r="D1362" s="7" t="s">
        <v>9</v>
      </c>
      <c r="E1362" s="7" t="s">
        <v>11</v>
      </c>
      <c r="F1362" s="6">
        <v>58554</v>
      </c>
      <c r="G1362" s="6">
        <v>1</v>
      </c>
      <c r="H1362" s="6">
        <v>1</v>
      </c>
      <c r="I1362" s="6">
        <f t="shared" si="21"/>
        <v>2</v>
      </c>
      <c r="J1362" s="8">
        <v>41178</v>
      </c>
      <c r="K1362" s="6">
        <v>55</v>
      </c>
      <c r="L1362">
        <f>VLOOKUP(A1362,Marketing_df2!$A$1:$F$2241,3,FALSE)</f>
        <v>24</v>
      </c>
      <c r="M1362">
        <f>VLOOKUP(A1362,Marketing_df2!$A$1:$F$2241,4,FALSE)</f>
        <v>0</v>
      </c>
      <c r="N1362">
        <f>VLOOKUP(A1362,Marketing_df2!$A$1:$F$2241,5,FALSE)</f>
        <v>8</v>
      </c>
      <c r="O1362">
        <f>VLOOKUP(A1362,Marketing_df2!$A$1:$F$2241,6,FALSE)</f>
        <v>6</v>
      </c>
    </row>
    <row r="1363" spans="1:15" ht="12.5">
      <c r="A1363" s="6">
        <v>1361</v>
      </c>
      <c r="B1363" s="6">
        <v>1384</v>
      </c>
      <c r="C1363" s="6">
        <v>1992</v>
      </c>
      <c r="D1363" s="7" t="s">
        <v>16</v>
      </c>
      <c r="E1363" s="7" t="s">
        <v>13</v>
      </c>
      <c r="F1363" s="6">
        <v>17256</v>
      </c>
      <c r="G1363" s="6">
        <v>1</v>
      </c>
      <c r="H1363" s="6">
        <v>0</v>
      </c>
      <c r="I1363" s="6">
        <f t="shared" si="21"/>
        <v>1</v>
      </c>
      <c r="J1363" s="9">
        <v>41601</v>
      </c>
      <c r="K1363" s="6">
        <v>10</v>
      </c>
      <c r="L1363">
        <f>VLOOKUP(A1363,Marketing_df2!$A$1:$F$2241,3,FALSE)</f>
        <v>4</v>
      </c>
      <c r="M1363">
        <f>VLOOKUP(A1363,Marketing_df2!$A$1:$F$2241,4,FALSE)</f>
        <v>8</v>
      </c>
      <c r="N1363">
        <f>VLOOKUP(A1363,Marketing_df2!$A$1:$F$2241,5,FALSE)</f>
        <v>2</v>
      </c>
      <c r="O1363">
        <f>VLOOKUP(A1363,Marketing_df2!$A$1:$F$2241,6,FALSE)</f>
        <v>2</v>
      </c>
    </row>
    <row r="1364" spans="1:15" ht="12.5">
      <c r="A1364" s="6">
        <v>1362</v>
      </c>
      <c r="B1364" s="6">
        <v>9967</v>
      </c>
      <c r="C1364" s="6">
        <v>1974</v>
      </c>
      <c r="D1364" s="7" t="s">
        <v>9</v>
      </c>
      <c r="E1364" s="7" t="s">
        <v>15</v>
      </c>
      <c r="F1364" s="6">
        <v>53034</v>
      </c>
      <c r="G1364" s="6">
        <v>1</v>
      </c>
      <c r="H1364" s="6">
        <v>1</v>
      </c>
      <c r="I1364" s="6">
        <f t="shared" si="21"/>
        <v>2</v>
      </c>
      <c r="J1364" s="8">
        <v>41424</v>
      </c>
      <c r="K1364" s="6">
        <v>30</v>
      </c>
      <c r="L1364">
        <f>VLOOKUP(A1364,Marketing_df2!$A$1:$F$2241,3,FALSE)</f>
        <v>15</v>
      </c>
      <c r="M1364">
        <f>VLOOKUP(A1364,Marketing_df2!$A$1:$F$2241,4,FALSE)</f>
        <v>11</v>
      </c>
      <c r="N1364">
        <f>VLOOKUP(A1364,Marketing_df2!$A$1:$F$2241,5,FALSE)</f>
        <v>6</v>
      </c>
      <c r="O1364">
        <f>VLOOKUP(A1364,Marketing_df2!$A$1:$F$2241,6,FALSE)</f>
        <v>7</v>
      </c>
    </row>
    <row r="1365" spans="1:15" ht="12.5">
      <c r="A1365" s="6">
        <v>1363</v>
      </c>
      <c r="B1365" s="6">
        <v>6181</v>
      </c>
      <c r="C1365" s="6">
        <v>1950</v>
      </c>
      <c r="D1365" s="7" t="s">
        <v>17</v>
      </c>
      <c r="E1365" s="7" t="s">
        <v>11</v>
      </c>
      <c r="F1365" s="6">
        <v>52203</v>
      </c>
      <c r="G1365" s="6">
        <v>0</v>
      </c>
      <c r="H1365" s="6">
        <v>0</v>
      </c>
      <c r="I1365" s="6">
        <f t="shared" si="21"/>
        <v>0</v>
      </c>
      <c r="J1365" s="8">
        <v>41121</v>
      </c>
      <c r="K1365" s="6">
        <v>36</v>
      </c>
      <c r="L1365">
        <f>VLOOKUP(A1365,Marketing_df2!$A$1:$F$2241,3,FALSE)</f>
        <v>21</v>
      </c>
      <c r="M1365">
        <f>VLOOKUP(A1365,Marketing_df2!$A$1:$F$2241,4,FALSE)</f>
        <v>108</v>
      </c>
      <c r="N1365">
        <f>VLOOKUP(A1365,Marketing_df2!$A$1:$F$2241,5,FALSE)</f>
        <v>8</v>
      </c>
      <c r="O1365">
        <f>VLOOKUP(A1365,Marketing_df2!$A$1:$F$2241,6,FALSE)</f>
        <v>11</v>
      </c>
    </row>
    <row r="1366" spans="1:15" ht="12.5">
      <c r="A1366" s="6">
        <v>1364</v>
      </c>
      <c r="B1366" s="6">
        <v>10507</v>
      </c>
      <c r="C1366" s="6">
        <v>1977</v>
      </c>
      <c r="D1366" s="7" t="s">
        <v>17</v>
      </c>
      <c r="E1366" s="7" t="s">
        <v>15</v>
      </c>
      <c r="F1366" s="6">
        <v>59601</v>
      </c>
      <c r="G1366" s="6">
        <v>0</v>
      </c>
      <c r="H1366" s="6">
        <v>1</v>
      </c>
      <c r="I1366" s="6">
        <f t="shared" si="21"/>
        <v>1</v>
      </c>
      <c r="J1366" s="8">
        <v>41480</v>
      </c>
      <c r="K1366" s="6">
        <v>14</v>
      </c>
      <c r="L1366">
        <f>VLOOKUP(A1366,Marketing_df2!$A$1:$F$2241,3,FALSE)</f>
        <v>7</v>
      </c>
      <c r="M1366">
        <f>VLOOKUP(A1366,Marketing_df2!$A$1:$F$2241,4,FALSE)</f>
        <v>7</v>
      </c>
      <c r="N1366">
        <f>VLOOKUP(A1366,Marketing_df2!$A$1:$F$2241,5,FALSE)</f>
        <v>2</v>
      </c>
      <c r="O1366">
        <f>VLOOKUP(A1366,Marketing_df2!$A$1:$F$2241,6,FALSE)</f>
        <v>7</v>
      </c>
    </row>
    <row r="1367" spans="1:15" ht="12.5">
      <c r="A1367" s="6">
        <v>1365</v>
      </c>
      <c r="B1367" s="6">
        <v>2674</v>
      </c>
      <c r="C1367" s="6">
        <v>1958</v>
      </c>
      <c r="D1367" s="7" t="s">
        <v>14</v>
      </c>
      <c r="E1367" s="7" t="s">
        <v>10</v>
      </c>
      <c r="F1367" s="6">
        <v>75154</v>
      </c>
      <c r="G1367" s="6">
        <v>0</v>
      </c>
      <c r="H1367" s="6">
        <v>1</v>
      </c>
      <c r="I1367" s="6">
        <f t="shared" si="21"/>
        <v>1</v>
      </c>
      <c r="J1367" s="8">
        <v>41156</v>
      </c>
      <c r="K1367" s="6">
        <v>79</v>
      </c>
      <c r="L1367">
        <f>VLOOKUP(A1367,Marketing_df2!$A$1:$F$2241,3,FALSE)</f>
        <v>10</v>
      </c>
      <c r="M1367">
        <f>VLOOKUP(A1367,Marketing_df2!$A$1:$F$2241,4,FALSE)</f>
        <v>143</v>
      </c>
      <c r="N1367">
        <f>VLOOKUP(A1367,Marketing_df2!$A$1:$F$2241,5,FALSE)</f>
        <v>6</v>
      </c>
      <c r="O1367">
        <f>VLOOKUP(A1367,Marketing_df2!$A$1:$F$2241,6,FALSE)</f>
        <v>6</v>
      </c>
    </row>
    <row r="1368" spans="1:15" ht="12.5">
      <c r="A1368" s="6">
        <v>1366</v>
      </c>
      <c r="B1368" s="6">
        <v>2698</v>
      </c>
      <c r="C1368" s="6">
        <v>1976</v>
      </c>
      <c r="D1368" s="7" t="s">
        <v>9</v>
      </c>
      <c r="E1368" s="7" t="s">
        <v>10</v>
      </c>
      <c r="F1368" s="6">
        <v>47025</v>
      </c>
      <c r="G1368" s="6">
        <v>0</v>
      </c>
      <c r="H1368" s="6">
        <v>1</v>
      </c>
      <c r="I1368" s="6">
        <f t="shared" si="21"/>
        <v>1</v>
      </c>
      <c r="J1368" s="8">
        <v>41585</v>
      </c>
      <c r="K1368" s="6">
        <v>52</v>
      </c>
      <c r="L1368">
        <f>VLOOKUP(A1368,Marketing_df2!$A$1:$F$2241,3,FALSE)</f>
        <v>7</v>
      </c>
      <c r="M1368">
        <f>VLOOKUP(A1368,Marketing_df2!$A$1:$F$2241,4,FALSE)</f>
        <v>0</v>
      </c>
      <c r="N1368">
        <f>VLOOKUP(A1368,Marketing_df2!$A$1:$F$2241,5,FALSE)</f>
        <v>6</v>
      </c>
      <c r="O1368">
        <f>VLOOKUP(A1368,Marketing_df2!$A$1:$F$2241,6,FALSE)</f>
        <v>5</v>
      </c>
    </row>
    <row r="1369" spans="1:15" ht="12.5">
      <c r="A1369" s="6">
        <v>1367</v>
      </c>
      <c r="B1369" s="6">
        <v>3231</v>
      </c>
      <c r="C1369" s="6">
        <v>1973</v>
      </c>
      <c r="D1369" s="7" t="s">
        <v>9</v>
      </c>
      <c r="E1369" s="7" t="s">
        <v>13</v>
      </c>
      <c r="F1369" s="6">
        <v>37971</v>
      </c>
      <c r="G1369" s="6">
        <v>1</v>
      </c>
      <c r="H1369" s="6">
        <v>0</v>
      </c>
      <c r="I1369" s="6">
        <f t="shared" si="21"/>
        <v>1</v>
      </c>
      <c r="J1369" s="9">
        <v>41603</v>
      </c>
      <c r="K1369" s="6">
        <v>97</v>
      </c>
      <c r="L1369">
        <f>VLOOKUP(A1369,Marketing_df2!$A$1:$F$2241,3,FALSE)</f>
        <v>4</v>
      </c>
      <c r="M1369">
        <f>VLOOKUP(A1369,Marketing_df2!$A$1:$F$2241,4,FALSE)</f>
        <v>2</v>
      </c>
      <c r="N1369">
        <f>VLOOKUP(A1369,Marketing_df2!$A$1:$F$2241,5,FALSE)</f>
        <v>1</v>
      </c>
      <c r="O1369">
        <f>VLOOKUP(A1369,Marketing_df2!$A$1:$F$2241,6,FALSE)</f>
        <v>3</v>
      </c>
    </row>
    <row r="1370" spans="1:15" ht="12.5">
      <c r="A1370" s="6">
        <v>1368</v>
      </c>
      <c r="B1370" s="6">
        <v>4096</v>
      </c>
      <c r="C1370" s="6">
        <v>1968</v>
      </c>
      <c r="D1370" s="7" t="s">
        <v>14</v>
      </c>
      <c r="E1370" s="7" t="s">
        <v>15</v>
      </c>
      <c r="F1370" s="6">
        <v>41335</v>
      </c>
      <c r="G1370" s="6">
        <v>1</v>
      </c>
      <c r="H1370" s="6">
        <v>0</v>
      </c>
      <c r="I1370" s="6">
        <f t="shared" si="21"/>
        <v>1</v>
      </c>
      <c r="J1370" s="9">
        <v>41634</v>
      </c>
      <c r="K1370" s="6">
        <v>24</v>
      </c>
      <c r="L1370">
        <f>VLOOKUP(A1370,Marketing_df2!$A$1:$F$2241,3,FALSE)</f>
        <v>19</v>
      </c>
      <c r="M1370">
        <f>VLOOKUP(A1370,Marketing_df2!$A$1:$F$2241,4,FALSE)</f>
        <v>14</v>
      </c>
      <c r="N1370">
        <f>VLOOKUP(A1370,Marketing_df2!$A$1:$F$2241,5,FALSE)</f>
        <v>4</v>
      </c>
      <c r="O1370">
        <f>VLOOKUP(A1370,Marketing_df2!$A$1:$F$2241,6,FALSE)</f>
        <v>4</v>
      </c>
    </row>
    <row r="1371" spans="1:15" ht="12.5">
      <c r="A1371" s="6">
        <v>1369</v>
      </c>
      <c r="B1371" s="6">
        <v>10476</v>
      </c>
      <c r="C1371" s="6">
        <v>1958</v>
      </c>
      <c r="D1371" s="7" t="s">
        <v>9</v>
      </c>
      <c r="E1371" s="7" t="s">
        <v>13</v>
      </c>
      <c r="F1371" s="6">
        <v>67267</v>
      </c>
      <c r="G1371" s="6">
        <v>0</v>
      </c>
      <c r="H1371" s="6">
        <v>1</v>
      </c>
      <c r="I1371" s="6">
        <f t="shared" si="21"/>
        <v>1</v>
      </c>
      <c r="J1371" s="8">
        <v>41772</v>
      </c>
      <c r="K1371" s="6">
        <v>0</v>
      </c>
      <c r="L1371">
        <f>VLOOKUP(A1371,Marketing_df2!$A$1:$F$2241,3,FALSE)</f>
        <v>11</v>
      </c>
      <c r="M1371">
        <f>VLOOKUP(A1371,Marketing_df2!$A$1:$F$2241,4,FALSE)</f>
        <v>2</v>
      </c>
      <c r="N1371">
        <f>VLOOKUP(A1371,Marketing_df2!$A$1:$F$2241,5,FALSE)</f>
        <v>3</v>
      </c>
      <c r="O1371">
        <f>VLOOKUP(A1371,Marketing_df2!$A$1:$F$2241,6,FALSE)</f>
        <v>5</v>
      </c>
    </row>
    <row r="1372" spans="1:15" ht="12.5">
      <c r="A1372" s="6">
        <v>1370</v>
      </c>
      <c r="B1372" s="6">
        <v>5948</v>
      </c>
      <c r="C1372" s="6">
        <v>1975</v>
      </c>
      <c r="D1372" s="7" t="s">
        <v>9</v>
      </c>
      <c r="E1372" s="7" t="s">
        <v>10</v>
      </c>
      <c r="F1372" s="6">
        <v>57338</v>
      </c>
      <c r="G1372" s="6">
        <v>0</v>
      </c>
      <c r="H1372" s="6">
        <v>1</v>
      </c>
      <c r="I1372" s="6">
        <f t="shared" si="21"/>
        <v>1</v>
      </c>
      <c r="J1372" s="8">
        <v>41758</v>
      </c>
      <c r="K1372" s="6">
        <v>96</v>
      </c>
      <c r="L1372">
        <f>VLOOKUP(A1372,Marketing_df2!$A$1:$F$2241,3,FALSE)</f>
        <v>6</v>
      </c>
      <c r="M1372">
        <f>VLOOKUP(A1372,Marketing_df2!$A$1:$F$2241,4,FALSE)</f>
        <v>8</v>
      </c>
      <c r="N1372">
        <f>VLOOKUP(A1372,Marketing_df2!$A$1:$F$2241,5,FALSE)</f>
        <v>4</v>
      </c>
      <c r="O1372">
        <f>VLOOKUP(A1372,Marketing_df2!$A$1:$F$2241,6,FALSE)</f>
        <v>5</v>
      </c>
    </row>
    <row r="1373" spans="1:15" ht="12.5">
      <c r="A1373" s="6">
        <v>1371</v>
      </c>
      <c r="B1373" s="6">
        <v>9140</v>
      </c>
      <c r="C1373" s="6">
        <v>1960</v>
      </c>
      <c r="D1373" s="7" t="s">
        <v>17</v>
      </c>
      <c r="E1373" s="7" t="s">
        <v>11</v>
      </c>
      <c r="F1373" s="6">
        <v>50523</v>
      </c>
      <c r="G1373" s="6">
        <v>1</v>
      </c>
      <c r="H1373" s="6">
        <v>1</v>
      </c>
      <c r="I1373" s="6">
        <f t="shared" si="21"/>
        <v>2</v>
      </c>
      <c r="J1373" s="9">
        <v>41633</v>
      </c>
      <c r="K1373" s="6">
        <v>89</v>
      </c>
      <c r="L1373">
        <f>VLOOKUP(A1373,Marketing_df2!$A$1:$F$2241,3,FALSE)</f>
        <v>4</v>
      </c>
      <c r="M1373">
        <f>VLOOKUP(A1373,Marketing_df2!$A$1:$F$2241,4,FALSE)</f>
        <v>7</v>
      </c>
      <c r="N1373">
        <f>VLOOKUP(A1373,Marketing_df2!$A$1:$F$2241,5,FALSE)</f>
        <v>2</v>
      </c>
      <c r="O1373">
        <f>VLOOKUP(A1373,Marketing_df2!$A$1:$F$2241,6,FALSE)</f>
        <v>4</v>
      </c>
    </row>
    <row r="1374" spans="1:15" ht="12.5">
      <c r="A1374" s="6">
        <v>1372</v>
      </c>
      <c r="B1374" s="6">
        <v>10258</v>
      </c>
      <c r="C1374" s="6">
        <v>1965</v>
      </c>
      <c r="D1374" s="7" t="s">
        <v>14</v>
      </c>
      <c r="E1374" s="7" t="s">
        <v>10</v>
      </c>
      <c r="F1374" s="6">
        <v>35791</v>
      </c>
      <c r="G1374" s="6">
        <v>2</v>
      </c>
      <c r="H1374" s="6">
        <v>1</v>
      </c>
      <c r="I1374" s="6">
        <f t="shared" si="21"/>
        <v>3</v>
      </c>
      <c r="J1374" s="8">
        <v>41400</v>
      </c>
      <c r="K1374" s="6">
        <v>94</v>
      </c>
      <c r="L1374">
        <f>VLOOKUP(A1374,Marketing_df2!$A$1:$F$2241,3,FALSE)</f>
        <v>0</v>
      </c>
      <c r="M1374">
        <f>VLOOKUP(A1374,Marketing_df2!$A$1:$F$2241,4,FALSE)</f>
        <v>0</v>
      </c>
      <c r="N1374">
        <f>VLOOKUP(A1374,Marketing_df2!$A$1:$F$2241,5,FALSE)</f>
        <v>1</v>
      </c>
      <c r="O1374">
        <f>VLOOKUP(A1374,Marketing_df2!$A$1:$F$2241,6,FALSE)</f>
        <v>3</v>
      </c>
    </row>
    <row r="1375" spans="1:15" ht="12.5">
      <c r="A1375" s="6">
        <v>1373</v>
      </c>
      <c r="B1375" s="6">
        <v>5675</v>
      </c>
      <c r="C1375" s="6">
        <v>1960</v>
      </c>
      <c r="D1375" s="7" t="s">
        <v>12</v>
      </c>
      <c r="E1375" s="7" t="s">
        <v>15</v>
      </c>
      <c r="F1375" s="6">
        <v>50611</v>
      </c>
      <c r="G1375" s="6">
        <v>0</v>
      </c>
      <c r="H1375" s="6">
        <v>1</v>
      </c>
      <c r="I1375" s="6">
        <f t="shared" si="21"/>
        <v>1</v>
      </c>
      <c r="J1375" s="8">
        <v>41186</v>
      </c>
      <c r="K1375" s="6">
        <v>98</v>
      </c>
      <c r="L1375">
        <f>VLOOKUP(A1375,Marketing_df2!$A$1:$F$2241,3,FALSE)</f>
        <v>0</v>
      </c>
      <c r="M1375">
        <f>VLOOKUP(A1375,Marketing_df2!$A$1:$F$2241,4,FALSE)</f>
        <v>0</v>
      </c>
      <c r="N1375">
        <f>VLOOKUP(A1375,Marketing_df2!$A$1:$F$2241,5,FALSE)</f>
        <v>4</v>
      </c>
      <c r="O1375">
        <f>VLOOKUP(A1375,Marketing_df2!$A$1:$F$2241,6,FALSE)</f>
        <v>7</v>
      </c>
    </row>
    <row r="1376" spans="1:15" ht="12.5">
      <c r="A1376" s="6">
        <v>1374</v>
      </c>
      <c r="B1376" s="6">
        <v>4743</v>
      </c>
      <c r="C1376" s="6">
        <v>1969</v>
      </c>
      <c r="D1376" s="7" t="s">
        <v>12</v>
      </c>
      <c r="E1376" s="7" t="s">
        <v>13</v>
      </c>
      <c r="F1376" s="6">
        <v>56242</v>
      </c>
      <c r="G1376" s="6">
        <v>0</v>
      </c>
      <c r="H1376" s="6">
        <v>1</v>
      </c>
      <c r="I1376" s="6">
        <f t="shared" si="21"/>
        <v>1</v>
      </c>
      <c r="J1376" s="8">
        <v>41336</v>
      </c>
      <c r="K1376" s="6">
        <v>72</v>
      </c>
      <c r="L1376">
        <f>VLOOKUP(A1376,Marketing_df2!$A$1:$F$2241,3,FALSE)</f>
        <v>8</v>
      </c>
      <c r="M1376">
        <f>VLOOKUP(A1376,Marketing_df2!$A$1:$F$2241,4,FALSE)</f>
        <v>8</v>
      </c>
      <c r="N1376">
        <f>VLOOKUP(A1376,Marketing_df2!$A$1:$F$2241,5,FALSE)</f>
        <v>8</v>
      </c>
      <c r="O1376">
        <f>VLOOKUP(A1376,Marketing_df2!$A$1:$F$2241,6,FALSE)</f>
        <v>11</v>
      </c>
    </row>
    <row r="1377" spans="1:15" ht="12.5">
      <c r="A1377" s="6">
        <v>1375</v>
      </c>
      <c r="B1377" s="6">
        <v>8805</v>
      </c>
      <c r="C1377" s="6">
        <v>1960</v>
      </c>
      <c r="D1377" s="7" t="s">
        <v>9</v>
      </c>
      <c r="E1377" s="7" t="s">
        <v>10</v>
      </c>
      <c r="F1377" s="6">
        <v>48904</v>
      </c>
      <c r="G1377" s="6">
        <v>0</v>
      </c>
      <c r="H1377" s="6">
        <v>1</v>
      </c>
      <c r="I1377" s="6">
        <f t="shared" si="21"/>
        <v>1</v>
      </c>
      <c r="J1377" s="8">
        <v>41245</v>
      </c>
      <c r="K1377" s="6">
        <v>1</v>
      </c>
      <c r="L1377">
        <f>VLOOKUP(A1377,Marketing_df2!$A$1:$F$2241,3,FALSE)</f>
        <v>10</v>
      </c>
      <c r="M1377">
        <f>VLOOKUP(A1377,Marketing_df2!$A$1:$F$2241,4,FALSE)</f>
        <v>13</v>
      </c>
      <c r="N1377">
        <f>VLOOKUP(A1377,Marketing_df2!$A$1:$F$2241,5,FALSE)</f>
        <v>7</v>
      </c>
      <c r="O1377">
        <f>VLOOKUP(A1377,Marketing_df2!$A$1:$F$2241,6,FALSE)</f>
        <v>4</v>
      </c>
    </row>
    <row r="1378" spans="1:15" ht="12.5">
      <c r="A1378" s="6">
        <v>1376</v>
      </c>
      <c r="B1378" s="6">
        <v>1542</v>
      </c>
      <c r="C1378" s="6">
        <v>1975</v>
      </c>
      <c r="D1378" s="7" t="s">
        <v>9</v>
      </c>
      <c r="E1378" s="7" t="s">
        <v>10</v>
      </c>
      <c r="F1378" s="6">
        <v>56243</v>
      </c>
      <c r="G1378" s="6">
        <v>1</v>
      </c>
      <c r="H1378" s="6">
        <v>2</v>
      </c>
      <c r="I1378" s="6">
        <f t="shared" si="21"/>
        <v>3</v>
      </c>
      <c r="J1378" s="9">
        <v>41638</v>
      </c>
      <c r="K1378" s="6">
        <v>26</v>
      </c>
      <c r="L1378">
        <f>VLOOKUP(A1378,Marketing_df2!$A$1:$F$2241,3,FALSE)</f>
        <v>0</v>
      </c>
      <c r="M1378">
        <f>VLOOKUP(A1378,Marketing_df2!$A$1:$F$2241,4,FALSE)</f>
        <v>3</v>
      </c>
      <c r="N1378">
        <f>VLOOKUP(A1378,Marketing_df2!$A$1:$F$2241,5,FALSE)</f>
        <v>4</v>
      </c>
      <c r="O1378">
        <f>VLOOKUP(A1378,Marketing_df2!$A$1:$F$2241,6,FALSE)</f>
        <v>8</v>
      </c>
    </row>
    <row r="1379" spans="1:15" ht="12.5">
      <c r="A1379" s="6">
        <v>1377</v>
      </c>
      <c r="B1379" s="6">
        <v>6770</v>
      </c>
      <c r="C1379" s="6">
        <v>1985</v>
      </c>
      <c r="D1379" s="7" t="s">
        <v>9</v>
      </c>
      <c r="E1379" s="7" t="s">
        <v>13</v>
      </c>
      <c r="F1379" s="6">
        <v>21355</v>
      </c>
      <c r="G1379" s="6">
        <v>1</v>
      </c>
      <c r="H1379" s="6">
        <v>0</v>
      </c>
      <c r="I1379" s="6">
        <f t="shared" si="21"/>
        <v>1</v>
      </c>
      <c r="J1379" s="8">
        <v>41506</v>
      </c>
      <c r="K1379" s="6">
        <v>5</v>
      </c>
      <c r="L1379">
        <f>VLOOKUP(A1379,Marketing_df2!$A$1:$F$2241,3,FALSE)</f>
        <v>13</v>
      </c>
      <c r="M1379">
        <f>VLOOKUP(A1379,Marketing_df2!$A$1:$F$2241,4,FALSE)</f>
        <v>5</v>
      </c>
      <c r="N1379">
        <f>VLOOKUP(A1379,Marketing_df2!$A$1:$F$2241,5,FALSE)</f>
        <v>2</v>
      </c>
      <c r="O1379">
        <f>VLOOKUP(A1379,Marketing_df2!$A$1:$F$2241,6,FALSE)</f>
        <v>2</v>
      </c>
    </row>
    <row r="1380" spans="1:15" ht="12.5">
      <c r="A1380" s="6">
        <v>1378</v>
      </c>
      <c r="B1380" s="6">
        <v>8773</v>
      </c>
      <c r="C1380" s="6">
        <v>1971</v>
      </c>
      <c r="D1380" s="7" t="s">
        <v>14</v>
      </c>
      <c r="E1380" s="7" t="s">
        <v>11</v>
      </c>
      <c r="F1380" s="6">
        <v>57420</v>
      </c>
      <c r="G1380" s="6">
        <v>0</v>
      </c>
      <c r="H1380" s="6">
        <v>1</v>
      </c>
      <c r="I1380" s="6">
        <f t="shared" si="21"/>
        <v>1</v>
      </c>
      <c r="J1380" s="8">
        <v>41450</v>
      </c>
      <c r="K1380" s="6">
        <v>22</v>
      </c>
      <c r="L1380">
        <f>VLOOKUP(A1380,Marketing_df2!$A$1:$F$2241,3,FALSE)</f>
        <v>0</v>
      </c>
      <c r="M1380">
        <f>VLOOKUP(A1380,Marketing_df2!$A$1:$F$2241,4,FALSE)</f>
        <v>0</v>
      </c>
      <c r="N1380">
        <f>VLOOKUP(A1380,Marketing_df2!$A$1:$F$2241,5,FALSE)</f>
        <v>5</v>
      </c>
      <c r="O1380">
        <f>VLOOKUP(A1380,Marketing_df2!$A$1:$F$2241,6,FALSE)</f>
        <v>6</v>
      </c>
    </row>
    <row r="1381" spans="1:15" ht="12.5">
      <c r="A1381" s="6">
        <v>1379</v>
      </c>
      <c r="B1381" s="6">
        <v>10475</v>
      </c>
      <c r="C1381" s="6">
        <v>1970</v>
      </c>
      <c r="D1381" s="7" t="s">
        <v>14</v>
      </c>
      <c r="E1381" s="7" t="s">
        <v>11</v>
      </c>
      <c r="F1381" s="7"/>
      <c r="G1381" s="6">
        <v>0</v>
      </c>
      <c r="H1381" s="6">
        <v>1</v>
      </c>
      <c r="I1381" s="6">
        <f t="shared" si="21"/>
        <v>1</v>
      </c>
      <c r="J1381" s="8">
        <v>41365</v>
      </c>
      <c r="K1381" s="6">
        <v>39</v>
      </c>
      <c r="L1381">
        <f>VLOOKUP(A1381,Marketing_df2!$A$1:$F$2241,3,FALSE)</f>
        <v>5</v>
      </c>
      <c r="M1381">
        <f>VLOOKUP(A1381,Marketing_df2!$A$1:$F$2241,4,FALSE)</f>
        <v>20</v>
      </c>
      <c r="N1381">
        <f>VLOOKUP(A1381,Marketing_df2!$A$1:$F$2241,5,FALSE)</f>
        <v>4</v>
      </c>
      <c r="O1381">
        <f>VLOOKUP(A1381,Marketing_df2!$A$1:$F$2241,6,FALSE)</f>
        <v>6</v>
      </c>
    </row>
    <row r="1382" spans="1:15" ht="12.5">
      <c r="A1382" s="6">
        <v>1380</v>
      </c>
      <c r="B1382" s="6">
        <v>10420</v>
      </c>
      <c r="C1382" s="6">
        <v>1955</v>
      </c>
      <c r="D1382" s="7" t="s">
        <v>14</v>
      </c>
      <c r="E1382" s="7" t="s">
        <v>15</v>
      </c>
      <c r="F1382" s="6">
        <v>46390</v>
      </c>
      <c r="G1382" s="6">
        <v>0</v>
      </c>
      <c r="H1382" s="6">
        <v>1</v>
      </c>
      <c r="I1382" s="6">
        <f t="shared" si="21"/>
        <v>1</v>
      </c>
      <c r="J1382" s="8">
        <v>41764</v>
      </c>
      <c r="K1382" s="6">
        <v>56</v>
      </c>
      <c r="L1382">
        <f>VLOOKUP(A1382,Marketing_df2!$A$1:$F$2241,3,FALSE)</f>
        <v>14</v>
      </c>
      <c r="M1382">
        <f>VLOOKUP(A1382,Marketing_df2!$A$1:$F$2241,4,FALSE)</f>
        <v>9</v>
      </c>
      <c r="N1382">
        <f>VLOOKUP(A1382,Marketing_df2!$A$1:$F$2241,5,FALSE)</f>
        <v>4</v>
      </c>
      <c r="O1382">
        <f>VLOOKUP(A1382,Marketing_df2!$A$1:$F$2241,6,FALSE)</f>
        <v>3</v>
      </c>
    </row>
    <row r="1383" spans="1:15" ht="12.5">
      <c r="A1383" s="6">
        <v>1381</v>
      </c>
      <c r="B1383" s="6">
        <v>7514</v>
      </c>
      <c r="C1383" s="6">
        <v>1956</v>
      </c>
      <c r="D1383" s="7" t="s">
        <v>17</v>
      </c>
      <c r="E1383" s="7" t="s">
        <v>11</v>
      </c>
      <c r="F1383" s="6">
        <v>54342</v>
      </c>
      <c r="G1383" s="6">
        <v>1</v>
      </c>
      <c r="H1383" s="6">
        <v>1</v>
      </c>
      <c r="I1383" s="6">
        <f t="shared" si="21"/>
        <v>2</v>
      </c>
      <c r="J1383" s="8">
        <v>41458</v>
      </c>
      <c r="K1383" s="6">
        <v>74</v>
      </c>
      <c r="L1383">
        <f>VLOOKUP(A1383,Marketing_df2!$A$1:$F$2241,3,FALSE)</f>
        <v>10</v>
      </c>
      <c r="M1383">
        <f>VLOOKUP(A1383,Marketing_df2!$A$1:$F$2241,4,FALSE)</f>
        <v>10</v>
      </c>
      <c r="N1383">
        <f>VLOOKUP(A1383,Marketing_df2!$A$1:$F$2241,5,FALSE)</f>
        <v>3</v>
      </c>
      <c r="O1383">
        <f>VLOOKUP(A1383,Marketing_df2!$A$1:$F$2241,6,FALSE)</f>
        <v>4</v>
      </c>
    </row>
    <row r="1384" spans="1:15" ht="12.5">
      <c r="A1384" s="6">
        <v>1382</v>
      </c>
      <c r="B1384" s="6">
        <v>2902</v>
      </c>
      <c r="C1384" s="6">
        <v>1958</v>
      </c>
      <c r="D1384" s="7" t="s">
        <v>9</v>
      </c>
      <c r="E1384" s="7" t="s">
        <v>11</v>
      </c>
      <c r="F1384" s="7"/>
      <c r="G1384" s="6">
        <v>1</v>
      </c>
      <c r="H1384" s="6">
        <v>1</v>
      </c>
      <c r="I1384" s="6">
        <f t="shared" si="21"/>
        <v>2</v>
      </c>
      <c r="J1384" s="8">
        <v>41155</v>
      </c>
      <c r="K1384" s="6">
        <v>87</v>
      </c>
      <c r="L1384">
        <f>VLOOKUP(A1384,Marketing_df2!$A$1:$F$2241,3,FALSE)</f>
        <v>4</v>
      </c>
      <c r="M1384">
        <f>VLOOKUP(A1384,Marketing_df2!$A$1:$F$2241,4,FALSE)</f>
        <v>2</v>
      </c>
      <c r="N1384">
        <f>VLOOKUP(A1384,Marketing_df2!$A$1:$F$2241,5,FALSE)</f>
        <v>1</v>
      </c>
      <c r="O1384">
        <f>VLOOKUP(A1384,Marketing_df2!$A$1:$F$2241,6,FALSE)</f>
        <v>3</v>
      </c>
    </row>
    <row r="1385" spans="1:15" ht="12.5">
      <c r="A1385" s="6">
        <v>1383</v>
      </c>
      <c r="B1385" s="6">
        <v>4345</v>
      </c>
      <c r="C1385" s="6">
        <v>1964</v>
      </c>
      <c r="D1385" s="7" t="s">
        <v>17</v>
      </c>
      <c r="E1385" s="7" t="s">
        <v>10</v>
      </c>
      <c r="F1385" s="7"/>
      <c r="G1385" s="6">
        <v>1</v>
      </c>
      <c r="H1385" s="6">
        <v>1</v>
      </c>
      <c r="I1385" s="6">
        <f t="shared" si="21"/>
        <v>2</v>
      </c>
      <c r="J1385" s="8">
        <v>41651</v>
      </c>
      <c r="K1385" s="6">
        <v>49</v>
      </c>
      <c r="L1385">
        <f>VLOOKUP(A1385,Marketing_df2!$A$1:$F$2241,3,FALSE)</f>
        <v>1</v>
      </c>
      <c r="M1385">
        <f>VLOOKUP(A1385,Marketing_df2!$A$1:$F$2241,4,FALSE)</f>
        <v>0</v>
      </c>
      <c r="N1385">
        <f>VLOOKUP(A1385,Marketing_df2!$A$1:$F$2241,5,FALSE)</f>
        <v>1</v>
      </c>
      <c r="O1385">
        <f>VLOOKUP(A1385,Marketing_df2!$A$1:$F$2241,6,FALSE)</f>
        <v>2</v>
      </c>
    </row>
    <row r="1386" spans="1:15" ht="12.5">
      <c r="A1386" s="6">
        <v>1384</v>
      </c>
      <c r="B1386" s="6">
        <v>793</v>
      </c>
      <c r="C1386" s="6">
        <v>1973</v>
      </c>
      <c r="D1386" s="7" t="s">
        <v>9</v>
      </c>
      <c r="E1386" s="7" t="s">
        <v>13</v>
      </c>
      <c r="F1386" s="6">
        <v>20895</v>
      </c>
      <c r="G1386" s="6">
        <v>1</v>
      </c>
      <c r="H1386" s="6">
        <v>0</v>
      </c>
      <c r="I1386" s="6">
        <f t="shared" si="21"/>
        <v>1</v>
      </c>
      <c r="J1386" s="8">
        <v>41188</v>
      </c>
      <c r="K1386" s="6">
        <v>24</v>
      </c>
      <c r="L1386">
        <f>VLOOKUP(A1386,Marketing_df2!$A$1:$F$2241,3,FALSE)</f>
        <v>3</v>
      </c>
      <c r="M1386">
        <f>VLOOKUP(A1386,Marketing_df2!$A$1:$F$2241,4,FALSE)</f>
        <v>0</v>
      </c>
      <c r="N1386">
        <f>VLOOKUP(A1386,Marketing_df2!$A$1:$F$2241,5,FALSE)</f>
        <v>2</v>
      </c>
      <c r="O1386">
        <f>VLOOKUP(A1386,Marketing_df2!$A$1:$F$2241,6,FALSE)</f>
        <v>3</v>
      </c>
    </row>
    <row r="1387" spans="1:15" ht="12.5">
      <c r="A1387" s="6">
        <v>1385</v>
      </c>
      <c r="B1387" s="6">
        <v>10909</v>
      </c>
      <c r="C1387" s="6">
        <v>1948</v>
      </c>
      <c r="D1387" s="7" t="s">
        <v>9</v>
      </c>
      <c r="E1387" s="7" t="s">
        <v>13</v>
      </c>
      <c r="F1387" s="6">
        <v>92344</v>
      </c>
      <c r="G1387" s="6">
        <v>0</v>
      </c>
      <c r="H1387" s="6">
        <v>0</v>
      </c>
      <c r="I1387" s="6">
        <f t="shared" si="21"/>
        <v>0</v>
      </c>
      <c r="J1387" s="8">
        <v>41654</v>
      </c>
      <c r="K1387" s="6">
        <v>9</v>
      </c>
      <c r="L1387">
        <f>VLOOKUP(A1387,Marketing_df2!$A$1:$F$2241,3,FALSE)</f>
        <v>24</v>
      </c>
      <c r="M1387">
        <f>VLOOKUP(A1387,Marketing_df2!$A$1:$F$2241,4,FALSE)</f>
        <v>19</v>
      </c>
      <c r="N1387">
        <f>VLOOKUP(A1387,Marketing_df2!$A$1:$F$2241,5,FALSE)</f>
        <v>5</v>
      </c>
      <c r="O1387">
        <f>VLOOKUP(A1387,Marketing_df2!$A$1:$F$2241,6,FALSE)</f>
        <v>5</v>
      </c>
    </row>
    <row r="1388" spans="1:15" ht="12.5">
      <c r="A1388" s="6">
        <v>1386</v>
      </c>
      <c r="B1388" s="6">
        <v>3769</v>
      </c>
      <c r="C1388" s="6">
        <v>1972</v>
      </c>
      <c r="D1388" s="7" t="s">
        <v>12</v>
      </c>
      <c r="E1388" s="7" t="s">
        <v>11</v>
      </c>
      <c r="F1388" s="7"/>
      <c r="G1388" s="6">
        <v>1</v>
      </c>
      <c r="H1388" s="6">
        <v>0</v>
      </c>
      <c r="I1388" s="6">
        <f t="shared" si="21"/>
        <v>1</v>
      </c>
      <c r="J1388" s="8">
        <v>41700</v>
      </c>
      <c r="K1388" s="6">
        <v>17</v>
      </c>
      <c r="L1388">
        <f>VLOOKUP(A1388,Marketing_df2!$A$1:$F$2241,3,FALSE)</f>
        <v>1</v>
      </c>
      <c r="M1388">
        <f>VLOOKUP(A1388,Marketing_df2!$A$1:$F$2241,4,FALSE)</f>
        <v>0</v>
      </c>
      <c r="N1388">
        <f>VLOOKUP(A1388,Marketing_df2!$A$1:$F$2241,5,FALSE)</f>
        <v>1</v>
      </c>
      <c r="O1388">
        <f>VLOOKUP(A1388,Marketing_df2!$A$1:$F$2241,6,FALSE)</f>
        <v>3</v>
      </c>
    </row>
    <row r="1389" spans="1:15" ht="12.5">
      <c r="A1389" s="6">
        <v>1387</v>
      </c>
      <c r="B1389" s="6">
        <v>8702</v>
      </c>
      <c r="C1389" s="6">
        <v>1976</v>
      </c>
      <c r="D1389" s="7" t="s">
        <v>17</v>
      </c>
      <c r="E1389" s="7" t="s">
        <v>11</v>
      </c>
      <c r="F1389" s="6">
        <v>26907</v>
      </c>
      <c r="G1389" s="6">
        <v>1</v>
      </c>
      <c r="H1389" s="6">
        <v>1</v>
      </c>
      <c r="I1389" s="6">
        <f t="shared" si="21"/>
        <v>2</v>
      </c>
      <c r="J1389" s="8">
        <v>41506</v>
      </c>
      <c r="K1389" s="6">
        <v>10</v>
      </c>
      <c r="L1389">
        <f>VLOOKUP(A1389,Marketing_df2!$A$1:$F$2241,3,FALSE)</f>
        <v>1</v>
      </c>
      <c r="M1389">
        <f>VLOOKUP(A1389,Marketing_df2!$A$1:$F$2241,4,FALSE)</f>
        <v>3</v>
      </c>
      <c r="N1389">
        <f>VLOOKUP(A1389,Marketing_df2!$A$1:$F$2241,5,FALSE)</f>
        <v>1</v>
      </c>
      <c r="O1389">
        <f>VLOOKUP(A1389,Marketing_df2!$A$1:$F$2241,6,FALSE)</f>
        <v>3</v>
      </c>
    </row>
    <row r="1390" spans="1:15" ht="12.5">
      <c r="A1390" s="6">
        <v>1388</v>
      </c>
      <c r="B1390" s="6">
        <v>4791</v>
      </c>
      <c r="C1390" s="6">
        <v>1980</v>
      </c>
      <c r="D1390" s="7" t="s">
        <v>9</v>
      </c>
      <c r="E1390" s="7" t="s">
        <v>11</v>
      </c>
      <c r="F1390" s="6">
        <v>44964</v>
      </c>
      <c r="G1390" s="6">
        <v>1</v>
      </c>
      <c r="H1390" s="6">
        <v>1</v>
      </c>
      <c r="I1390" s="6">
        <f t="shared" si="21"/>
        <v>2</v>
      </c>
      <c r="J1390" s="9">
        <v>41259</v>
      </c>
      <c r="K1390" s="6">
        <v>35</v>
      </c>
      <c r="L1390">
        <f>VLOOKUP(A1390,Marketing_df2!$A$1:$F$2241,3,FALSE)</f>
        <v>1</v>
      </c>
      <c r="M1390">
        <f>VLOOKUP(A1390,Marketing_df2!$A$1:$F$2241,4,FALSE)</f>
        <v>0</v>
      </c>
      <c r="N1390">
        <f>VLOOKUP(A1390,Marketing_df2!$A$1:$F$2241,5,FALSE)</f>
        <v>1</v>
      </c>
      <c r="O1390">
        <f>VLOOKUP(A1390,Marketing_df2!$A$1:$F$2241,6,FALSE)</f>
        <v>3</v>
      </c>
    </row>
    <row r="1391" spans="1:15" ht="12.5">
      <c r="A1391" s="6">
        <v>1389</v>
      </c>
      <c r="B1391" s="6">
        <v>2963</v>
      </c>
      <c r="C1391" s="6">
        <v>1979</v>
      </c>
      <c r="D1391" s="7" t="s">
        <v>9</v>
      </c>
      <c r="E1391" s="7" t="s">
        <v>11</v>
      </c>
      <c r="F1391" s="6">
        <v>75507</v>
      </c>
      <c r="G1391" s="6">
        <v>0</v>
      </c>
      <c r="H1391" s="6">
        <v>0</v>
      </c>
      <c r="I1391" s="6">
        <f t="shared" si="21"/>
        <v>0</v>
      </c>
      <c r="J1391" s="8">
        <v>41761</v>
      </c>
      <c r="K1391" s="6">
        <v>56</v>
      </c>
      <c r="L1391">
        <f>VLOOKUP(A1391,Marketing_df2!$A$1:$F$2241,3,FALSE)</f>
        <v>93</v>
      </c>
      <c r="M1391">
        <f>VLOOKUP(A1391,Marketing_df2!$A$1:$F$2241,4,FALSE)</f>
        <v>80</v>
      </c>
      <c r="N1391">
        <f>VLOOKUP(A1391,Marketing_df2!$A$1:$F$2241,5,FALSE)</f>
        <v>8</v>
      </c>
      <c r="O1391">
        <f>VLOOKUP(A1391,Marketing_df2!$A$1:$F$2241,6,FALSE)</f>
        <v>6</v>
      </c>
    </row>
    <row r="1392" spans="1:15" ht="12.5">
      <c r="A1392" s="6">
        <v>1390</v>
      </c>
      <c r="B1392" s="6">
        <v>8216</v>
      </c>
      <c r="C1392" s="6">
        <v>1972</v>
      </c>
      <c r="D1392" s="7" t="s">
        <v>14</v>
      </c>
      <c r="E1392" s="7" t="s">
        <v>13</v>
      </c>
      <c r="F1392" s="6">
        <v>53761</v>
      </c>
      <c r="G1392" s="6">
        <v>1</v>
      </c>
      <c r="H1392" s="6">
        <v>1</v>
      </c>
      <c r="I1392" s="6">
        <f t="shared" si="21"/>
        <v>2</v>
      </c>
      <c r="J1392" s="9">
        <v>41558</v>
      </c>
      <c r="K1392" s="6">
        <v>7</v>
      </c>
      <c r="L1392">
        <f>VLOOKUP(A1392,Marketing_df2!$A$1:$F$2241,3,FALSE)</f>
        <v>0</v>
      </c>
      <c r="M1392">
        <f>VLOOKUP(A1392,Marketing_df2!$A$1:$F$2241,4,FALSE)</f>
        <v>7</v>
      </c>
      <c r="N1392">
        <f>VLOOKUP(A1392,Marketing_df2!$A$1:$F$2241,5,FALSE)</f>
        <v>4</v>
      </c>
      <c r="O1392">
        <f>VLOOKUP(A1392,Marketing_df2!$A$1:$F$2241,6,FALSE)</f>
        <v>3</v>
      </c>
    </row>
    <row r="1393" spans="1:15" ht="12.5">
      <c r="A1393" s="6">
        <v>1391</v>
      </c>
      <c r="B1393" s="6">
        <v>8140</v>
      </c>
      <c r="C1393" s="6">
        <v>1973</v>
      </c>
      <c r="D1393" s="7" t="s">
        <v>9</v>
      </c>
      <c r="E1393" s="7" t="s">
        <v>11</v>
      </c>
      <c r="F1393" s="6">
        <v>22682</v>
      </c>
      <c r="G1393" s="6">
        <v>1</v>
      </c>
      <c r="H1393" s="6">
        <v>0</v>
      </c>
      <c r="I1393" s="6">
        <f t="shared" si="21"/>
        <v>1</v>
      </c>
      <c r="J1393" s="8">
        <v>41550</v>
      </c>
      <c r="K1393" s="6">
        <v>51</v>
      </c>
      <c r="L1393">
        <f>VLOOKUP(A1393,Marketing_df2!$A$1:$F$2241,3,FALSE)</f>
        <v>14</v>
      </c>
      <c r="M1393">
        <f>VLOOKUP(A1393,Marketing_df2!$A$1:$F$2241,4,FALSE)</f>
        <v>2</v>
      </c>
      <c r="N1393">
        <f>VLOOKUP(A1393,Marketing_df2!$A$1:$F$2241,5,FALSE)</f>
        <v>2</v>
      </c>
      <c r="O1393">
        <f>VLOOKUP(A1393,Marketing_df2!$A$1:$F$2241,6,FALSE)</f>
        <v>4</v>
      </c>
    </row>
    <row r="1394" spans="1:15" ht="12.5">
      <c r="A1394" s="6">
        <v>1392</v>
      </c>
      <c r="B1394" s="6">
        <v>10146</v>
      </c>
      <c r="C1394" s="6">
        <v>1972</v>
      </c>
      <c r="D1394" s="7" t="s">
        <v>12</v>
      </c>
      <c r="E1394" s="7" t="s">
        <v>11</v>
      </c>
      <c r="F1394" s="6">
        <v>38887</v>
      </c>
      <c r="G1394" s="6">
        <v>1</v>
      </c>
      <c r="H1394" s="6">
        <v>0</v>
      </c>
      <c r="I1394" s="6">
        <f t="shared" si="21"/>
        <v>1</v>
      </c>
      <c r="J1394" s="8">
        <v>41700</v>
      </c>
      <c r="K1394" s="6">
        <v>17</v>
      </c>
      <c r="L1394">
        <f>VLOOKUP(A1394,Marketing_df2!$A$1:$F$2241,3,FALSE)</f>
        <v>1</v>
      </c>
      <c r="M1394">
        <f>VLOOKUP(A1394,Marketing_df2!$A$1:$F$2241,4,FALSE)</f>
        <v>0</v>
      </c>
      <c r="N1394">
        <f>VLOOKUP(A1394,Marketing_df2!$A$1:$F$2241,5,FALSE)</f>
        <v>1</v>
      </c>
      <c r="O1394">
        <f>VLOOKUP(A1394,Marketing_df2!$A$1:$F$2241,6,FALSE)</f>
        <v>3</v>
      </c>
    </row>
    <row r="1395" spans="1:15" ht="12.5">
      <c r="A1395" s="6">
        <v>1393</v>
      </c>
      <c r="B1395" s="6">
        <v>5289</v>
      </c>
      <c r="C1395" s="6">
        <v>1975</v>
      </c>
      <c r="D1395" s="7" t="s">
        <v>17</v>
      </c>
      <c r="E1395" s="7" t="s">
        <v>10</v>
      </c>
      <c r="F1395" s="6">
        <v>41658</v>
      </c>
      <c r="G1395" s="6">
        <v>1</v>
      </c>
      <c r="H1395" s="6">
        <v>1</v>
      </c>
      <c r="I1395" s="6">
        <f t="shared" si="21"/>
        <v>2</v>
      </c>
      <c r="J1395" s="8">
        <v>41222</v>
      </c>
      <c r="K1395" s="6">
        <v>30</v>
      </c>
      <c r="L1395">
        <f>VLOOKUP(A1395,Marketing_df2!$A$1:$F$2241,3,FALSE)</f>
        <v>4</v>
      </c>
      <c r="M1395">
        <f>VLOOKUP(A1395,Marketing_df2!$A$1:$F$2241,4,FALSE)</f>
        <v>4</v>
      </c>
      <c r="N1395">
        <f>VLOOKUP(A1395,Marketing_df2!$A$1:$F$2241,5,FALSE)</f>
        <v>1</v>
      </c>
      <c r="O1395">
        <f>VLOOKUP(A1395,Marketing_df2!$A$1:$F$2241,6,FALSE)</f>
        <v>2</v>
      </c>
    </row>
    <row r="1396" spans="1:15" ht="12.5">
      <c r="A1396" s="6">
        <v>1394</v>
      </c>
      <c r="B1396" s="6">
        <v>2587</v>
      </c>
      <c r="C1396" s="6">
        <v>1972</v>
      </c>
      <c r="D1396" s="7" t="s">
        <v>12</v>
      </c>
      <c r="E1396" s="7" t="s">
        <v>13</v>
      </c>
      <c r="F1396" s="6">
        <v>29791</v>
      </c>
      <c r="G1396" s="6">
        <v>1</v>
      </c>
      <c r="H1396" s="6">
        <v>0</v>
      </c>
      <c r="I1396" s="6">
        <f t="shared" si="21"/>
        <v>1</v>
      </c>
      <c r="J1396" s="8">
        <v>41774</v>
      </c>
      <c r="K1396" s="6">
        <v>21</v>
      </c>
      <c r="L1396">
        <f>VLOOKUP(A1396,Marketing_df2!$A$1:$F$2241,3,FALSE)</f>
        <v>0</v>
      </c>
      <c r="M1396">
        <f>VLOOKUP(A1396,Marketing_df2!$A$1:$F$2241,4,FALSE)</f>
        <v>0</v>
      </c>
      <c r="N1396">
        <f>VLOOKUP(A1396,Marketing_df2!$A$1:$F$2241,5,FALSE)</f>
        <v>2</v>
      </c>
      <c r="O1396">
        <f>VLOOKUP(A1396,Marketing_df2!$A$1:$F$2241,6,FALSE)</f>
        <v>3</v>
      </c>
    </row>
    <row r="1397" spans="1:15" ht="12.5">
      <c r="A1397" s="6">
        <v>1395</v>
      </c>
      <c r="B1397" s="6">
        <v>4405</v>
      </c>
      <c r="C1397" s="6">
        <v>1956</v>
      </c>
      <c r="D1397" s="7" t="s">
        <v>14</v>
      </c>
      <c r="E1397" s="7" t="s">
        <v>13</v>
      </c>
      <c r="F1397" s="6">
        <v>63915</v>
      </c>
      <c r="G1397" s="6">
        <v>0</v>
      </c>
      <c r="H1397" s="6">
        <v>2</v>
      </c>
      <c r="I1397" s="6">
        <f t="shared" si="21"/>
        <v>2</v>
      </c>
      <c r="J1397" s="8">
        <v>41485</v>
      </c>
      <c r="K1397" s="6">
        <v>2</v>
      </c>
      <c r="L1397">
        <f>VLOOKUP(A1397,Marketing_df2!$A$1:$F$2241,3,FALSE)</f>
        <v>7</v>
      </c>
      <c r="M1397">
        <f>VLOOKUP(A1397,Marketing_df2!$A$1:$F$2241,4,FALSE)</f>
        <v>0</v>
      </c>
      <c r="N1397">
        <f>VLOOKUP(A1397,Marketing_df2!$A$1:$F$2241,5,FALSE)</f>
        <v>6</v>
      </c>
      <c r="O1397">
        <f>VLOOKUP(A1397,Marketing_df2!$A$1:$F$2241,6,FALSE)</f>
        <v>12</v>
      </c>
    </row>
    <row r="1398" spans="1:15" ht="12.5">
      <c r="A1398" s="6">
        <v>1396</v>
      </c>
      <c r="B1398" s="6">
        <v>8663</v>
      </c>
      <c r="C1398" s="6">
        <v>1974</v>
      </c>
      <c r="D1398" s="7" t="s">
        <v>9</v>
      </c>
      <c r="E1398" s="7" t="s">
        <v>15</v>
      </c>
      <c r="F1398" s="6">
        <v>39996</v>
      </c>
      <c r="G1398" s="6">
        <v>1</v>
      </c>
      <c r="H1398" s="6">
        <v>1</v>
      </c>
      <c r="I1398" s="6">
        <f t="shared" si="21"/>
        <v>2</v>
      </c>
      <c r="J1398" s="8">
        <v>41781</v>
      </c>
      <c r="K1398" s="6">
        <v>85</v>
      </c>
      <c r="L1398">
        <f>VLOOKUP(A1398,Marketing_df2!$A$1:$F$2241,3,FALSE)</f>
        <v>0</v>
      </c>
      <c r="M1398">
        <f>VLOOKUP(A1398,Marketing_df2!$A$1:$F$2241,4,FALSE)</f>
        <v>0</v>
      </c>
      <c r="N1398">
        <f>VLOOKUP(A1398,Marketing_df2!$A$1:$F$2241,5,FALSE)</f>
        <v>1</v>
      </c>
      <c r="O1398">
        <f>VLOOKUP(A1398,Marketing_df2!$A$1:$F$2241,6,FALSE)</f>
        <v>2</v>
      </c>
    </row>
    <row r="1399" spans="1:15" ht="12.5">
      <c r="A1399" s="6">
        <v>1397</v>
      </c>
      <c r="B1399" s="6">
        <v>2589</v>
      </c>
      <c r="C1399" s="6">
        <v>1972</v>
      </c>
      <c r="D1399" s="7" t="s">
        <v>9</v>
      </c>
      <c r="E1399" s="7" t="s">
        <v>15</v>
      </c>
      <c r="F1399" s="6">
        <v>26759</v>
      </c>
      <c r="G1399" s="6">
        <v>1</v>
      </c>
      <c r="H1399" s="6">
        <v>0</v>
      </c>
      <c r="I1399" s="6">
        <f t="shared" si="21"/>
        <v>1</v>
      </c>
      <c r="J1399" s="8">
        <v>41677</v>
      </c>
      <c r="K1399" s="6">
        <v>65</v>
      </c>
      <c r="L1399">
        <f>VLOOKUP(A1399,Marketing_df2!$A$1:$F$2241,3,FALSE)</f>
        <v>3</v>
      </c>
      <c r="M1399">
        <f>VLOOKUP(A1399,Marketing_df2!$A$1:$F$2241,4,FALSE)</f>
        <v>5</v>
      </c>
      <c r="N1399">
        <f>VLOOKUP(A1399,Marketing_df2!$A$1:$F$2241,5,FALSE)</f>
        <v>2</v>
      </c>
      <c r="O1399">
        <f>VLOOKUP(A1399,Marketing_df2!$A$1:$F$2241,6,FALSE)</f>
        <v>3</v>
      </c>
    </row>
    <row r="1400" spans="1:15" ht="12.5">
      <c r="A1400" s="6">
        <v>1398</v>
      </c>
      <c r="B1400" s="6">
        <v>3421</v>
      </c>
      <c r="C1400" s="6">
        <v>1968</v>
      </c>
      <c r="D1400" s="7" t="s">
        <v>14</v>
      </c>
      <c r="E1400" s="7" t="s">
        <v>15</v>
      </c>
      <c r="F1400" s="6">
        <v>63841</v>
      </c>
      <c r="G1400" s="6">
        <v>0</v>
      </c>
      <c r="H1400" s="6">
        <v>1</v>
      </c>
      <c r="I1400" s="6">
        <f t="shared" si="21"/>
        <v>1</v>
      </c>
      <c r="J1400" s="8">
        <v>41385</v>
      </c>
      <c r="K1400" s="6">
        <v>64</v>
      </c>
      <c r="L1400">
        <f>VLOOKUP(A1400,Marketing_df2!$A$1:$F$2241,3,FALSE)</f>
        <v>15</v>
      </c>
      <c r="M1400">
        <f>VLOOKUP(A1400,Marketing_df2!$A$1:$F$2241,4,FALSE)</f>
        <v>7</v>
      </c>
      <c r="N1400">
        <f>VLOOKUP(A1400,Marketing_df2!$A$1:$F$2241,5,FALSE)</f>
        <v>9</v>
      </c>
      <c r="O1400">
        <f>VLOOKUP(A1400,Marketing_df2!$A$1:$F$2241,6,FALSE)</f>
        <v>9</v>
      </c>
    </row>
    <row r="1401" spans="1:15" ht="12.5">
      <c r="A1401" s="6">
        <v>1399</v>
      </c>
      <c r="B1401" s="6">
        <v>10490</v>
      </c>
      <c r="C1401" s="6">
        <v>1969</v>
      </c>
      <c r="D1401" s="7" t="s">
        <v>12</v>
      </c>
      <c r="E1401" s="7" t="s">
        <v>13</v>
      </c>
      <c r="F1401" s="6">
        <v>51039</v>
      </c>
      <c r="G1401" s="6">
        <v>1</v>
      </c>
      <c r="H1401" s="6">
        <v>1</v>
      </c>
      <c r="I1401" s="6">
        <f t="shared" si="21"/>
        <v>2</v>
      </c>
      <c r="J1401" s="9">
        <v>41253</v>
      </c>
      <c r="K1401" s="6">
        <v>11</v>
      </c>
      <c r="L1401">
        <f>VLOOKUP(A1401,Marketing_df2!$A$1:$F$2241,3,FALSE)</f>
        <v>64</v>
      </c>
      <c r="M1401">
        <f>VLOOKUP(A1401,Marketing_df2!$A$1:$F$2241,4,FALSE)</f>
        <v>0</v>
      </c>
      <c r="N1401">
        <f>VLOOKUP(A1401,Marketing_df2!$A$1:$F$2241,5,FALSE)</f>
        <v>6</v>
      </c>
      <c r="O1401">
        <f>VLOOKUP(A1401,Marketing_df2!$A$1:$F$2241,6,FALSE)</f>
        <v>4</v>
      </c>
    </row>
    <row r="1402" spans="1:15" ht="12.5">
      <c r="A1402" s="6">
        <v>1400</v>
      </c>
      <c r="B1402" s="6">
        <v>4094</v>
      </c>
      <c r="C1402" s="6">
        <v>1961</v>
      </c>
      <c r="D1402" s="7" t="s">
        <v>9</v>
      </c>
      <c r="E1402" s="7" t="s">
        <v>13</v>
      </c>
      <c r="F1402" s="6">
        <v>60544</v>
      </c>
      <c r="G1402" s="6">
        <v>1</v>
      </c>
      <c r="H1402" s="6">
        <v>1</v>
      </c>
      <c r="I1402" s="6">
        <f t="shared" si="21"/>
        <v>2</v>
      </c>
      <c r="J1402" s="8">
        <v>41146</v>
      </c>
      <c r="K1402" s="6">
        <v>92</v>
      </c>
      <c r="L1402">
        <f>VLOOKUP(A1402,Marketing_df2!$A$1:$F$2241,3,FALSE)</f>
        <v>2</v>
      </c>
      <c r="M1402">
        <f>VLOOKUP(A1402,Marketing_df2!$A$1:$F$2241,4,FALSE)</f>
        <v>5</v>
      </c>
      <c r="N1402">
        <f>VLOOKUP(A1402,Marketing_df2!$A$1:$F$2241,5,FALSE)</f>
        <v>5</v>
      </c>
      <c r="O1402">
        <f>VLOOKUP(A1402,Marketing_df2!$A$1:$F$2241,6,FALSE)</f>
        <v>5</v>
      </c>
    </row>
    <row r="1403" spans="1:15" ht="12.5">
      <c r="A1403" s="6">
        <v>1401</v>
      </c>
      <c r="B1403" s="6">
        <v>9958</v>
      </c>
      <c r="C1403" s="6">
        <v>1972</v>
      </c>
      <c r="D1403" s="7" t="s">
        <v>9</v>
      </c>
      <c r="E1403" s="7" t="s">
        <v>13</v>
      </c>
      <c r="F1403" s="6">
        <v>65685</v>
      </c>
      <c r="G1403" s="6">
        <v>0</v>
      </c>
      <c r="H1403" s="6">
        <v>1</v>
      </c>
      <c r="I1403" s="6">
        <f t="shared" si="21"/>
        <v>1</v>
      </c>
      <c r="J1403" s="8">
        <v>41727</v>
      </c>
      <c r="K1403" s="6">
        <v>54</v>
      </c>
      <c r="L1403">
        <f>VLOOKUP(A1403,Marketing_df2!$A$1:$F$2241,3,FALSE)</f>
        <v>14</v>
      </c>
      <c r="M1403">
        <f>VLOOKUP(A1403,Marketing_df2!$A$1:$F$2241,4,FALSE)</f>
        <v>7</v>
      </c>
      <c r="N1403">
        <f>VLOOKUP(A1403,Marketing_df2!$A$1:$F$2241,5,FALSE)</f>
        <v>9</v>
      </c>
      <c r="O1403">
        <f>VLOOKUP(A1403,Marketing_df2!$A$1:$F$2241,6,FALSE)</f>
        <v>9</v>
      </c>
    </row>
    <row r="1404" spans="1:15" ht="12.5">
      <c r="A1404" s="6">
        <v>1402</v>
      </c>
      <c r="B1404" s="6">
        <v>2534</v>
      </c>
      <c r="C1404" s="6">
        <v>1953</v>
      </c>
      <c r="D1404" s="7" t="s">
        <v>9</v>
      </c>
      <c r="E1404" s="7" t="s">
        <v>13</v>
      </c>
      <c r="F1404" s="6">
        <v>37716</v>
      </c>
      <c r="G1404" s="6">
        <v>0</v>
      </c>
      <c r="H1404" s="6">
        <v>1</v>
      </c>
      <c r="I1404" s="6">
        <f t="shared" si="21"/>
        <v>1</v>
      </c>
      <c r="J1404" s="8">
        <v>41750</v>
      </c>
      <c r="K1404" s="6">
        <v>4</v>
      </c>
      <c r="L1404">
        <f>VLOOKUP(A1404,Marketing_df2!$A$1:$F$2241,3,FALSE)</f>
        <v>1</v>
      </c>
      <c r="M1404">
        <f>VLOOKUP(A1404,Marketing_df2!$A$1:$F$2241,4,FALSE)</f>
        <v>2</v>
      </c>
      <c r="N1404">
        <f>VLOOKUP(A1404,Marketing_df2!$A$1:$F$2241,5,FALSE)</f>
        <v>4</v>
      </c>
      <c r="O1404">
        <f>VLOOKUP(A1404,Marketing_df2!$A$1:$F$2241,6,FALSE)</f>
        <v>3</v>
      </c>
    </row>
    <row r="1405" spans="1:15" ht="12.5">
      <c r="A1405" s="6">
        <v>1403</v>
      </c>
      <c r="B1405" s="6">
        <v>4188</v>
      </c>
      <c r="C1405" s="6">
        <v>1957</v>
      </c>
      <c r="D1405" s="7" t="s">
        <v>9</v>
      </c>
      <c r="E1405" s="7" t="s">
        <v>10</v>
      </c>
      <c r="F1405" s="6">
        <v>36864</v>
      </c>
      <c r="G1405" s="6">
        <v>0</v>
      </c>
      <c r="H1405" s="6">
        <v>1</v>
      </c>
      <c r="I1405" s="6">
        <f t="shared" si="21"/>
        <v>1</v>
      </c>
      <c r="J1405" s="8">
        <v>41134</v>
      </c>
      <c r="K1405" s="6">
        <v>53</v>
      </c>
      <c r="L1405">
        <f>VLOOKUP(A1405,Marketing_df2!$A$1:$F$2241,3,FALSE)</f>
        <v>5</v>
      </c>
      <c r="M1405">
        <f>VLOOKUP(A1405,Marketing_df2!$A$1:$F$2241,4,FALSE)</f>
        <v>0</v>
      </c>
      <c r="N1405">
        <f>VLOOKUP(A1405,Marketing_df2!$A$1:$F$2241,5,FALSE)</f>
        <v>5</v>
      </c>
      <c r="O1405">
        <f>VLOOKUP(A1405,Marketing_df2!$A$1:$F$2241,6,FALSE)</f>
        <v>4</v>
      </c>
    </row>
    <row r="1406" spans="1:15" ht="12.5">
      <c r="A1406" s="6">
        <v>1404</v>
      </c>
      <c r="B1406" s="6">
        <v>6613</v>
      </c>
      <c r="C1406" s="6">
        <v>1970</v>
      </c>
      <c r="D1406" s="7" t="s">
        <v>14</v>
      </c>
      <c r="E1406" s="7" t="s">
        <v>13</v>
      </c>
      <c r="F1406" s="6">
        <v>44511</v>
      </c>
      <c r="G1406" s="6">
        <v>1</v>
      </c>
      <c r="H1406" s="6">
        <v>0</v>
      </c>
      <c r="I1406" s="6">
        <f t="shared" si="21"/>
        <v>1</v>
      </c>
      <c r="J1406" s="9">
        <v>41194</v>
      </c>
      <c r="K1406" s="6">
        <v>39</v>
      </c>
      <c r="L1406">
        <f>VLOOKUP(A1406,Marketing_df2!$A$1:$F$2241,3,FALSE)</f>
        <v>7</v>
      </c>
      <c r="M1406">
        <f>VLOOKUP(A1406,Marketing_df2!$A$1:$F$2241,4,FALSE)</f>
        <v>14</v>
      </c>
      <c r="N1406">
        <f>VLOOKUP(A1406,Marketing_df2!$A$1:$F$2241,5,FALSE)</f>
        <v>8</v>
      </c>
      <c r="O1406">
        <f>VLOOKUP(A1406,Marketing_df2!$A$1:$F$2241,6,FALSE)</f>
        <v>8</v>
      </c>
    </row>
    <row r="1407" spans="1:15" ht="12.5">
      <c r="A1407" s="6">
        <v>1405</v>
      </c>
      <c r="B1407" s="6">
        <v>10827</v>
      </c>
      <c r="C1407" s="6">
        <v>1967</v>
      </c>
      <c r="D1407" s="7" t="s">
        <v>12</v>
      </c>
      <c r="E1407" s="7" t="s">
        <v>13</v>
      </c>
      <c r="F1407" s="6">
        <v>36947</v>
      </c>
      <c r="G1407" s="6">
        <v>1</v>
      </c>
      <c r="H1407" s="6">
        <v>1</v>
      </c>
      <c r="I1407" s="6">
        <f t="shared" si="21"/>
        <v>2</v>
      </c>
      <c r="J1407" s="8">
        <v>41128</v>
      </c>
      <c r="K1407" s="6">
        <v>49</v>
      </c>
      <c r="L1407">
        <f>VLOOKUP(A1407,Marketing_df2!$A$1:$F$2241,3,FALSE)</f>
        <v>3</v>
      </c>
      <c r="M1407">
        <f>VLOOKUP(A1407,Marketing_df2!$A$1:$F$2241,4,FALSE)</f>
        <v>1</v>
      </c>
      <c r="N1407">
        <f>VLOOKUP(A1407,Marketing_df2!$A$1:$F$2241,5,FALSE)</f>
        <v>3</v>
      </c>
      <c r="O1407">
        <f>VLOOKUP(A1407,Marketing_df2!$A$1:$F$2241,6,FALSE)</f>
        <v>4</v>
      </c>
    </row>
    <row r="1408" spans="1:15" ht="12.5">
      <c r="A1408" s="6">
        <v>1406</v>
      </c>
      <c r="B1408" s="6">
        <v>5491</v>
      </c>
      <c r="C1408" s="6">
        <v>1951</v>
      </c>
      <c r="D1408" s="7" t="s">
        <v>14</v>
      </c>
      <c r="E1408" s="7" t="s">
        <v>11</v>
      </c>
      <c r="F1408" s="6">
        <v>47352</v>
      </c>
      <c r="G1408" s="6">
        <v>0</v>
      </c>
      <c r="H1408" s="6">
        <v>1</v>
      </c>
      <c r="I1408" s="6">
        <f t="shared" si="21"/>
        <v>1</v>
      </c>
      <c r="J1408" s="8">
        <v>41375</v>
      </c>
      <c r="K1408" s="6">
        <v>70</v>
      </c>
      <c r="L1408">
        <f>VLOOKUP(A1408,Marketing_df2!$A$1:$F$2241,3,FALSE)</f>
        <v>12</v>
      </c>
      <c r="M1408">
        <f>VLOOKUP(A1408,Marketing_df2!$A$1:$F$2241,4,FALSE)</f>
        <v>0</v>
      </c>
      <c r="N1408">
        <f>VLOOKUP(A1408,Marketing_df2!$A$1:$F$2241,5,FALSE)</f>
        <v>6</v>
      </c>
      <c r="O1408">
        <f>VLOOKUP(A1408,Marketing_df2!$A$1:$F$2241,6,FALSE)</f>
        <v>5</v>
      </c>
    </row>
    <row r="1409" spans="1:15" ht="12.5">
      <c r="A1409" s="6">
        <v>1407</v>
      </c>
      <c r="B1409" s="6">
        <v>8402</v>
      </c>
      <c r="C1409" s="6">
        <v>1953</v>
      </c>
      <c r="D1409" s="7" t="s">
        <v>14</v>
      </c>
      <c r="E1409" s="7" t="s">
        <v>13</v>
      </c>
      <c r="F1409" s="6">
        <v>67087</v>
      </c>
      <c r="G1409" s="6">
        <v>0</v>
      </c>
      <c r="H1409" s="6">
        <v>1</v>
      </c>
      <c r="I1409" s="6">
        <f t="shared" si="21"/>
        <v>1</v>
      </c>
      <c r="J1409" s="9">
        <v>41625</v>
      </c>
      <c r="K1409" s="6">
        <v>40</v>
      </c>
      <c r="L1409">
        <f>VLOOKUP(A1409,Marketing_df2!$A$1:$F$2241,3,FALSE)</f>
        <v>35</v>
      </c>
      <c r="M1409">
        <f>VLOOKUP(A1409,Marketing_df2!$A$1:$F$2241,4,FALSE)</f>
        <v>35</v>
      </c>
      <c r="N1409">
        <f>VLOOKUP(A1409,Marketing_df2!$A$1:$F$2241,5,FALSE)</f>
        <v>7</v>
      </c>
      <c r="O1409">
        <f>VLOOKUP(A1409,Marketing_df2!$A$1:$F$2241,6,FALSE)</f>
        <v>8</v>
      </c>
    </row>
    <row r="1410" spans="1:15" ht="12.5">
      <c r="A1410" s="6">
        <v>1408</v>
      </c>
      <c r="B1410" s="6">
        <v>8783</v>
      </c>
      <c r="C1410" s="6">
        <v>1950</v>
      </c>
      <c r="D1410" s="7" t="s">
        <v>9</v>
      </c>
      <c r="E1410" s="7" t="s">
        <v>13</v>
      </c>
      <c r="F1410" s="6">
        <v>57045</v>
      </c>
      <c r="G1410" s="6">
        <v>0</v>
      </c>
      <c r="H1410" s="6">
        <v>1</v>
      </c>
      <c r="I1410" s="6">
        <f t="shared" si="21"/>
        <v>1</v>
      </c>
      <c r="J1410" s="8">
        <v>41160</v>
      </c>
      <c r="K1410" s="6">
        <v>40</v>
      </c>
      <c r="L1410">
        <f>VLOOKUP(A1410,Marketing_df2!$A$1:$F$2241,3,FALSE)</f>
        <v>13</v>
      </c>
      <c r="M1410">
        <f>VLOOKUP(A1410,Marketing_df2!$A$1:$F$2241,4,FALSE)</f>
        <v>13</v>
      </c>
      <c r="N1410">
        <f>VLOOKUP(A1410,Marketing_df2!$A$1:$F$2241,5,FALSE)</f>
        <v>4</v>
      </c>
      <c r="O1410">
        <f>VLOOKUP(A1410,Marketing_df2!$A$1:$F$2241,6,FALSE)</f>
        <v>9</v>
      </c>
    </row>
    <row r="1411" spans="1:15" ht="12.5">
      <c r="A1411" s="6">
        <v>1409</v>
      </c>
      <c r="B1411" s="6">
        <v>10010</v>
      </c>
      <c r="C1411" s="6">
        <v>1953</v>
      </c>
      <c r="D1411" s="7" t="s">
        <v>12</v>
      </c>
      <c r="E1411" s="7" t="s">
        <v>15</v>
      </c>
      <c r="F1411" s="6">
        <v>36957</v>
      </c>
      <c r="G1411" s="6">
        <v>1</v>
      </c>
      <c r="H1411" s="6">
        <v>1</v>
      </c>
      <c r="I1411" s="6">
        <f t="shared" ref="I1411:I1474" si="22">G1411+H1411</f>
        <v>2</v>
      </c>
      <c r="J1411" s="8">
        <v>41158</v>
      </c>
      <c r="K1411" s="6">
        <v>43</v>
      </c>
      <c r="L1411">
        <f>VLOOKUP(A1411,Marketing_df2!$A$1:$F$2241,3,FALSE)</f>
        <v>2</v>
      </c>
      <c r="M1411">
        <f>VLOOKUP(A1411,Marketing_df2!$A$1:$F$2241,4,FALSE)</f>
        <v>1</v>
      </c>
      <c r="N1411">
        <f>VLOOKUP(A1411,Marketing_df2!$A$1:$F$2241,5,FALSE)</f>
        <v>3</v>
      </c>
      <c r="O1411">
        <f>VLOOKUP(A1411,Marketing_df2!$A$1:$F$2241,6,FALSE)</f>
        <v>2</v>
      </c>
    </row>
    <row r="1412" spans="1:15" ht="12.5">
      <c r="A1412" s="6">
        <v>1410</v>
      </c>
      <c r="B1412" s="6">
        <v>618</v>
      </c>
      <c r="C1412" s="6">
        <v>1977</v>
      </c>
      <c r="D1412" s="7" t="s">
        <v>12</v>
      </c>
      <c r="E1412" s="7" t="s">
        <v>13</v>
      </c>
      <c r="F1412" s="6">
        <v>69389</v>
      </c>
      <c r="G1412" s="6">
        <v>0</v>
      </c>
      <c r="H1412" s="6">
        <v>1</v>
      </c>
      <c r="I1412" s="6">
        <f t="shared" si="22"/>
        <v>1</v>
      </c>
      <c r="J1412" s="8">
        <v>41180</v>
      </c>
      <c r="K1412" s="6">
        <v>17</v>
      </c>
      <c r="L1412">
        <f>VLOOKUP(A1412,Marketing_df2!$A$1:$F$2241,3,FALSE)</f>
        <v>7</v>
      </c>
      <c r="M1412">
        <f>VLOOKUP(A1412,Marketing_df2!$A$1:$F$2241,4,FALSE)</f>
        <v>46</v>
      </c>
      <c r="N1412">
        <f>VLOOKUP(A1412,Marketing_df2!$A$1:$F$2241,5,FALSE)</f>
        <v>7</v>
      </c>
      <c r="O1412">
        <f>VLOOKUP(A1412,Marketing_df2!$A$1:$F$2241,6,FALSE)</f>
        <v>12</v>
      </c>
    </row>
    <row r="1413" spans="1:15" ht="12.5">
      <c r="A1413" s="6">
        <v>1411</v>
      </c>
      <c r="B1413" s="6">
        <v>9121</v>
      </c>
      <c r="C1413" s="6">
        <v>1972</v>
      </c>
      <c r="D1413" s="7" t="s">
        <v>9</v>
      </c>
      <c r="E1413" s="7" t="s">
        <v>13</v>
      </c>
      <c r="F1413" s="6">
        <v>80134</v>
      </c>
      <c r="G1413" s="6">
        <v>1</v>
      </c>
      <c r="H1413" s="6">
        <v>0</v>
      </c>
      <c r="I1413" s="6">
        <f t="shared" si="22"/>
        <v>1</v>
      </c>
      <c r="J1413" s="8">
        <v>41414</v>
      </c>
      <c r="K1413" s="6">
        <v>40</v>
      </c>
      <c r="L1413">
        <f>VLOOKUP(A1413,Marketing_df2!$A$1:$F$2241,3,FALSE)</f>
        <v>16</v>
      </c>
      <c r="M1413">
        <f>VLOOKUP(A1413,Marketing_df2!$A$1:$F$2241,4,FALSE)</f>
        <v>0</v>
      </c>
      <c r="N1413">
        <f>VLOOKUP(A1413,Marketing_df2!$A$1:$F$2241,5,FALSE)</f>
        <v>5</v>
      </c>
      <c r="O1413">
        <f>VLOOKUP(A1413,Marketing_df2!$A$1:$F$2241,6,FALSE)</f>
        <v>6</v>
      </c>
    </row>
    <row r="1414" spans="1:15" ht="12.5">
      <c r="A1414" s="6">
        <v>1412</v>
      </c>
      <c r="B1414" s="6">
        <v>361</v>
      </c>
      <c r="C1414" s="6">
        <v>1969</v>
      </c>
      <c r="D1414" s="7" t="s">
        <v>14</v>
      </c>
      <c r="E1414" s="7" t="s">
        <v>13</v>
      </c>
      <c r="F1414" s="6">
        <v>43142</v>
      </c>
      <c r="G1414" s="6">
        <v>1</v>
      </c>
      <c r="H1414" s="6">
        <v>1</v>
      </c>
      <c r="I1414" s="6">
        <f t="shared" si="22"/>
        <v>2</v>
      </c>
      <c r="J1414" s="8">
        <v>41688</v>
      </c>
      <c r="K1414" s="6">
        <v>84</v>
      </c>
      <c r="L1414">
        <f>VLOOKUP(A1414,Marketing_df2!$A$1:$F$2241,3,FALSE)</f>
        <v>1</v>
      </c>
      <c r="M1414">
        <f>VLOOKUP(A1414,Marketing_df2!$A$1:$F$2241,4,FALSE)</f>
        <v>1</v>
      </c>
      <c r="N1414">
        <f>VLOOKUP(A1414,Marketing_df2!$A$1:$F$2241,5,FALSE)</f>
        <v>1</v>
      </c>
      <c r="O1414">
        <f>VLOOKUP(A1414,Marketing_df2!$A$1:$F$2241,6,FALSE)</f>
        <v>2</v>
      </c>
    </row>
    <row r="1415" spans="1:15" ht="12.5">
      <c r="A1415" s="6">
        <v>1413</v>
      </c>
      <c r="B1415" s="6">
        <v>4310</v>
      </c>
      <c r="C1415" s="6">
        <v>1944</v>
      </c>
      <c r="D1415" s="7" t="s">
        <v>9</v>
      </c>
      <c r="E1415" s="7" t="s">
        <v>13</v>
      </c>
      <c r="F1415" s="6">
        <v>80589</v>
      </c>
      <c r="G1415" s="6">
        <v>0</v>
      </c>
      <c r="H1415" s="6">
        <v>0</v>
      </c>
      <c r="I1415" s="6">
        <f t="shared" si="22"/>
        <v>0</v>
      </c>
      <c r="J1415" s="8">
        <v>41661</v>
      </c>
      <c r="K1415" s="6">
        <v>25</v>
      </c>
      <c r="L1415">
        <f>VLOOKUP(A1415,Marketing_df2!$A$1:$F$2241,3,FALSE)</f>
        <v>93</v>
      </c>
      <c r="M1415">
        <f>VLOOKUP(A1415,Marketing_df2!$A$1:$F$2241,4,FALSE)</f>
        <v>40</v>
      </c>
      <c r="N1415">
        <f>VLOOKUP(A1415,Marketing_df2!$A$1:$F$2241,5,FALSE)</f>
        <v>5</v>
      </c>
      <c r="O1415">
        <f>VLOOKUP(A1415,Marketing_df2!$A$1:$F$2241,6,FALSE)</f>
        <v>5</v>
      </c>
    </row>
    <row r="1416" spans="1:15" ht="12.5">
      <c r="A1416" s="6">
        <v>1414</v>
      </c>
      <c r="B1416" s="6">
        <v>2678</v>
      </c>
      <c r="C1416" s="6">
        <v>1990</v>
      </c>
      <c r="D1416" s="7" t="s">
        <v>9</v>
      </c>
      <c r="E1416" s="7" t="s">
        <v>10</v>
      </c>
      <c r="F1416" s="6">
        <v>34412</v>
      </c>
      <c r="G1416" s="6">
        <v>1</v>
      </c>
      <c r="H1416" s="6">
        <v>0</v>
      </c>
      <c r="I1416" s="6">
        <f t="shared" si="22"/>
        <v>1</v>
      </c>
      <c r="J1416" s="8">
        <v>41318</v>
      </c>
      <c r="K1416" s="6">
        <v>62</v>
      </c>
      <c r="L1416">
        <f>VLOOKUP(A1416,Marketing_df2!$A$1:$F$2241,3,FALSE)</f>
        <v>12</v>
      </c>
      <c r="M1416">
        <f>VLOOKUP(A1416,Marketing_df2!$A$1:$F$2241,4,FALSE)</f>
        <v>36</v>
      </c>
      <c r="N1416">
        <f>VLOOKUP(A1416,Marketing_df2!$A$1:$F$2241,5,FALSE)</f>
        <v>5</v>
      </c>
      <c r="O1416">
        <f>VLOOKUP(A1416,Marketing_df2!$A$1:$F$2241,6,FALSE)</f>
        <v>3</v>
      </c>
    </row>
    <row r="1417" spans="1:15" ht="12.5">
      <c r="A1417" s="6">
        <v>1415</v>
      </c>
      <c r="B1417" s="6">
        <v>6376</v>
      </c>
      <c r="C1417" s="6">
        <v>1979</v>
      </c>
      <c r="D1417" s="7" t="s">
        <v>9</v>
      </c>
      <c r="E1417" s="7" t="s">
        <v>10</v>
      </c>
      <c r="F1417" s="6">
        <v>57537</v>
      </c>
      <c r="G1417" s="6">
        <v>1</v>
      </c>
      <c r="H1417" s="6">
        <v>0</v>
      </c>
      <c r="I1417" s="6">
        <f t="shared" si="22"/>
        <v>1</v>
      </c>
      <c r="J1417" s="8">
        <v>41435</v>
      </c>
      <c r="K1417" s="6">
        <v>83</v>
      </c>
      <c r="L1417">
        <f>VLOOKUP(A1417,Marketing_df2!$A$1:$F$2241,3,FALSE)</f>
        <v>56</v>
      </c>
      <c r="M1417">
        <f>VLOOKUP(A1417,Marketing_df2!$A$1:$F$2241,4,FALSE)</f>
        <v>8</v>
      </c>
      <c r="N1417">
        <f>VLOOKUP(A1417,Marketing_df2!$A$1:$F$2241,5,FALSE)</f>
        <v>4</v>
      </c>
      <c r="O1417">
        <f>VLOOKUP(A1417,Marketing_df2!$A$1:$F$2241,6,FALSE)</f>
        <v>8</v>
      </c>
    </row>
    <row r="1418" spans="1:15" ht="12.5">
      <c r="A1418" s="6">
        <v>1416</v>
      </c>
      <c r="B1418" s="6">
        <v>524</v>
      </c>
      <c r="C1418" s="6">
        <v>1966</v>
      </c>
      <c r="D1418" s="7" t="s">
        <v>16</v>
      </c>
      <c r="E1418" s="7" t="s">
        <v>11</v>
      </c>
      <c r="F1418" s="6">
        <v>22634</v>
      </c>
      <c r="G1418" s="6">
        <v>0</v>
      </c>
      <c r="H1418" s="6">
        <v>0</v>
      </c>
      <c r="I1418" s="6">
        <f t="shared" si="22"/>
        <v>0</v>
      </c>
      <c r="J1418" s="8">
        <v>41290</v>
      </c>
      <c r="K1418" s="6">
        <v>47</v>
      </c>
      <c r="L1418">
        <f>VLOOKUP(A1418,Marketing_df2!$A$1:$F$2241,3,FALSE)</f>
        <v>23</v>
      </c>
      <c r="M1418">
        <f>VLOOKUP(A1418,Marketing_df2!$A$1:$F$2241,4,FALSE)</f>
        <v>6</v>
      </c>
      <c r="N1418">
        <f>VLOOKUP(A1418,Marketing_df2!$A$1:$F$2241,5,FALSE)</f>
        <v>2</v>
      </c>
      <c r="O1418">
        <f>VLOOKUP(A1418,Marketing_df2!$A$1:$F$2241,6,FALSE)</f>
        <v>2</v>
      </c>
    </row>
    <row r="1419" spans="1:15" ht="12.5">
      <c r="A1419" s="6">
        <v>1417</v>
      </c>
      <c r="B1419" s="6">
        <v>10341</v>
      </c>
      <c r="C1419" s="6">
        <v>1948</v>
      </c>
      <c r="D1419" s="7" t="s">
        <v>9</v>
      </c>
      <c r="E1419" s="7" t="s">
        <v>11</v>
      </c>
      <c r="F1419" s="6">
        <v>51315</v>
      </c>
      <c r="G1419" s="6">
        <v>0</v>
      </c>
      <c r="H1419" s="6">
        <v>0</v>
      </c>
      <c r="I1419" s="6">
        <f t="shared" si="22"/>
        <v>0</v>
      </c>
      <c r="J1419" s="8">
        <v>41693</v>
      </c>
      <c r="K1419" s="6">
        <v>45</v>
      </c>
      <c r="L1419">
        <f>VLOOKUP(A1419,Marketing_df2!$A$1:$F$2241,3,FALSE)</f>
        <v>28</v>
      </c>
      <c r="M1419">
        <f>VLOOKUP(A1419,Marketing_df2!$A$1:$F$2241,4,FALSE)</f>
        <v>30</v>
      </c>
      <c r="N1419">
        <f>VLOOKUP(A1419,Marketing_df2!$A$1:$F$2241,5,FALSE)</f>
        <v>2</v>
      </c>
      <c r="O1419">
        <f>VLOOKUP(A1419,Marketing_df2!$A$1:$F$2241,6,FALSE)</f>
        <v>5</v>
      </c>
    </row>
    <row r="1420" spans="1:15" ht="12.5">
      <c r="A1420" s="6">
        <v>1418</v>
      </c>
      <c r="B1420" s="6">
        <v>5654</v>
      </c>
      <c r="C1420" s="6">
        <v>1972</v>
      </c>
      <c r="D1420" s="7" t="s">
        <v>9</v>
      </c>
      <c r="E1420" s="7" t="s">
        <v>13</v>
      </c>
      <c r="F1420" s="6">
        <v>36026</v>
      </c>
      <c r="G1420" s="6">
        <v>2</v>
      </c>
      <c r="H1420" s="6">
        <v>1</v>
      </c>
      <c r="I1420" s="6">
        <f t="shared" si="22"/>
        <v>3</v>
      </c>
      <c r="J1420" s="8">
        <v>41714</v>
      </c>
      <c r="K1420" s="6">
        <v>34</v>
      </c>
      <c r="L1420">
        <f>VLOOKUP(A1420,Marketing_df2!$A$1:$F$2241,3,FALSE)</f>
        <v>4</v>
      </c>
      <c r="M1420">
        <f>VLOOKUP(A1420,Marketing_df2!$A$1:$F$2241,4,FALSE)</f>
        <v>4</v>
      </c>
      <c r="N1420">
        <f>VLOOKUP(A1420,Marketing_df2!$A$1:$F$2241,5,FALSE)</f>
        <v>2</v>
      </c>
      <c r="O1420">
        <f>VLOOKUP(A1420,Marketing_df2!$A$1:$F$2241,6,FALSE)</f>
        <v>3</v>
      </c>
    </row>
    <row r="1421" spans="1:15" ht="12.5">
      <c r="A1421" s="6">
        <v>1419</v>
      </c>
      <c r="B1421" s="6">
        <v>4098</v>
      </c>
      <c r="C1421" s="6">
        <v>1973</v>
      </c>
      <c r="D1421" s="7" t="s">
        <v>9</v>
      </c>
      <c r="E1421" s="7" t="s">
        <v>13</v>
      </c>
      <c r="F1421" s="6">
        <v>24639</v>
      </c>
      <c r="G1421" s="6">
        <v>1</v>
      </c>
      <c r="H1421" s="6">
        <v>1</v>
      </c>
      <c r="I1421" s="6">
        <f t="shared" si="22"/>
        <v>2</v>
      </c>
      <c r="J1421" s="8">
        <v>41667</v>
      </c>
      <c r="K1421" s="6">
        <v>3</v>
      </c>
      <c r="L1421">
        <f>VLOOKUP(A1421,Marketing_df2!$A$1:$F$2241,3,FALSE)</f>
        <v>3</v>
      </c>
      <c r="M1421">
        <f>VLOOKUP(A1421,Marketing_df2!$A$1:$F$2241,4,FALSE)</f>
        <v>4</v>
      </c>
      <c r="N1421">
        <f>VLOOKUP(A1421,Marketing_df2!$A$1:$F$2241,5,FALSE)</f>
        <v>2</v>
      </c>
      <c r="O1421">
        <f>VLOOKUP(A1421,Marketing_df2!$A$1:$F$2241,6,FALSE)</f>
        <v>4</v>
      </c>
    </row>
    <row r="1422" spans="1:15" ht="12.5">
      <c r="A1422" s="6">
        <v>1420</v>
      </c>
      <c r="B1422" s="6">
        <v>5824</v>
      </c>
      <c r="C1422" s="6">
        <v>1972</v>
      </c>
      <c r="D1422" s="7" t="s">
        <v>12</v>
      </c>
      <c r="E1422" s="7" t="s">
        <v>11</v>
      </c>
      <c r="F1422" s="6">
        <v>34578</v>
      </c>
      <c r="G1422" s="6">
        <v>2</v>
      </c>
      <c r="H1422" s="6">
        <v>1</v>
      </c>
      <c r="I1422" s="6">
        <f t="shared" si="22"/>
        <v>3</v>
      </c>
      <c r="J1422" s="8">
        <v>41740</v>
      </c>
      <c r="K1422" s="6">
        <v>1</v>
      </c>
      <c r="L1422">
        <f>VLOOKUP(A1422,Marketing_df2!$A$1:$F$2241,3,FALSE)</f>
        <v>0</v>
      </c>
      <c r="M1422">
        <f>VLOOKUP(A1422,Marketing_df2!$A$1:$F$2241,4,FALSE)</f>
        <v>0</v>
      </c>
      <c r="N1422">
        <f>VLOOKUP(A1422,Marketing_df2!$A$1:$F$2241,5,FALSE)</f>
        <v>1</v>
      </c>
      <c r="O1422">
        <f>VLOOKUP(A1422,Marketing_df2!$A$1:$F$2241,6,FALSE)</f>
        <v>2</v>
      </c>
    </row>
    <row r="1423" spans="1:15" ht="12.5">
      <c r="A1423" s="6">
        <v>1421</v>
      </c>
      <c r="B1423" s="6">
        <v>7000</v>
      </c>
      <c r="C1423" s="6">
        <v>1972</v>
      </c>
      <c r="D1423" s="7" t="s">
        <v>17</v>
      </c>
      <c r="E1423" s="7" t="s">
        <v>10</v>
      </c>
      <c r="F1423" s="6">
        <v>65704</v>
      </c>
      <c r="G1423" s="6">
        <v>0</v>
      </c>
      <c r="H1423" s="6">
        <v>0</v>
      </c>
      <c r="I1423" s="6">
        <f t="shared" si="22"/>
        <v>0</v>
      </c>
      <c r="J1423" s="9">
        <v>41560</v>
      </c>
      <c r="K1423" s="6">
        <v>18</v>
      </c>
      <c r="L1423">
        <f>VLOOKUP(A1423,Marketing_df2!$A$1:$F$2241,3,FALSE)</f>
        <v>172</v>
      </c>
      <c r="M1423">
        <f>VLOOKUP(A1423,Marketing_df2!$A$1:$F$2241,4,FALSE)</f>
        <v>8</v>
      </c>
      <c r="N1423">
        <f>VLOOKUP(A1423,Marketing_df2!$A$1:$F$2241,5,FALSE)</f>
        <v>2</v>
      </c>
      <c r="O1423">
        <f>VLOOKUP(A1423,Marketing_df2!$A$1:$F$2241,6,FALSE)</f>
        <v>10</v>
      </c>
    </row>
    <row r="1424" spans="1:15" ht="12.5">
      <c r="A1424" s="6">
        <v>1422</v>
      </c>
      <c r="B1424" s="6">
        <v>2561</v>
      </c>
      <c r="C1424" s="6">
        <v>1966</v>
      </c>
      <c r="D1424" s="7" t="s">
        <v>9</v>
      </c>
      <c r="E1424" s="7" t="s">
        <v>10</v>
      </c>
      <c r="F1424" s="6">
        <v>63810</v>
      </c>
      <c r="G1424" s="6">
        <v>0</v>
      </c>
      <c r="H1424" s="6">
        <v>1</v>
      </c>
      <c r="I1424" s="6">
        <f t="shared" si="22"/>
        <v>1</v>
      </c>
      <c r="J1424" s="9">
        <v>41224</v>
      </c>
      <c r="K1424" s="6">
        <v>45</v>
      </c>
      <c r="L1424">
        <f>VLOOKUP(A1424,Marketing_df2!$A$1:$F$2241,3,FALSE)</f>
        <v>12</v>
      </c>
      <c r="M1424">
        <f>VLOOKUP(A1424,Marketing_df2!$A$1:$F$2241,4,FALSE)</f>
        <v>12</v>
      </c>
      <c r="N1424">
        <f>VLOOKUP(A1424,Marketing_df2!$A$1:$F$2241,5,FALSE)</f>
        <v>4</v>
      </c>
      <c r="O1424">
        <f>VLOOKUP(A1424,Marketing_df2!$A$1:$F$2241,6,FALSE)</f>
        <v>12</v>
      </c>
    </row>
    <row r="1425" spans="1:15" ht="12.5">
      <c r="A1425" s="6">
        <v>1423</v>
      </c>
      <c r="B1425" s="6">
        <v>5229</v>
      </c>
      <c r="C1425" s="6">
        <v>1969</v>
      </c>
      <c r="D1425" s="7" t="s">
        <v>12</v>
      </c>
      <c r="E1425" s="7" t="s">
        <v>11</v>
      </c>
      <c r="F1425" s="6">
        <v>54132</v>
      </c>
      <c r="G1425" s="6">
        <v>0</v>
      </c>
      <c r="H1425" s="6">
        <v>1</v>
      </c>
      <c r="I1425" s="6">
        <f t="shared" si="22"/>
        <v>1</v>
      </c>
      <c r="J1425" s="8">
        <v>41686</v>
      </c>
      <c r="K1425" s="6">
        <v>81</v>
      </c>
      <c r="L1425">
        <f>VLOOKUP(A1425,Marketing_df2!$A$1:$F$2241,3,FALSE)</f>
        <v>1</v>
      </c>
      <c r="M1425">
        <f>VLOOKUP(A1425,Marketing_df2!$A$1:$F$2241,4,FALSE)</f>
        <v>0</v>
      </c>
      <c r="N1425">
        <f>VLOOKUP(A1425,Marketing_df2!$A$1:$F$2241,5,FALSE)</f>
        <v>1</v>
      </c>
      <c r="O1425">
        <f>VLOOKUP(A1425,Marketing_df2!$A$1:$F$2241,6,FALSE)</f>
        <v>3</v>
      </c>
    </row>
    <row r="1426" spans="1:15" ht="12.5">
      <c r="A1426" s="6">
        <v>1424</v>
      </c>
      <c r="B1426" s="6">
        <v>4086</v>
      </c>
      <c r="C1426" s="6">
        <v>1959</v>
      </c>
      <c r="D1426" s="7" t="s">
        <v>9</v>
      </c>
      <c r="E1426" s="7" t="s">
        <v>13</v>
      </c>
      <c r="F1426" s="6">
        <v>18690</v>
      </c>
      <c r="G1426" s="6">
        <v>0</v>
      </c>
      <c r="H1426" s="6">
        <v>0</v>
      </c>
      <c r="I1426" s="6">
        <f t="shared" si="22"/>
        <v>0</v>
      </c>
      <c r="J1426" s="9">
        <v>41271</v>
      </c>
      <c r="K1426" s="6">
        <v>77</v>
      </c>
      <c r="L1426">
        <f>VLOOKUP(A1426,Marketing_df2!$A$1:$F$2241,3,FALSE)</f>
        <v>1</v>
      </c>
      <c r="M1426">
        <f>VLOOKUP(A1426,Marketing_df2!$A$1:$F$2241,4,FALSE)</f>
        <v>4</v>
      </c>
      <c r="N1426">
        <f>VLOOKUP(A1426,Marketing_df2!$A$1:$F$2241,5,FALSE)</f>
        <v>1</v>
      </c>
      <c r="O1426">
        <f>VLOOKUP(A1426,Marketing_df2!$A$1:$F$2241,6,FALSE)</f>
        <v>2</v>
      </c>
    </row>
    <row r="1427" spans="1:15" ht="12.5">
      <c r="A1427" s="6">
        <v>1425</v>
      </c>
      <c r="B1427" s="6">
        <v>2428</v>
      </c>
      <c r="C1427" s="6">
        <v>1970</v>
      </c>
      <c r="D1427" s="7" t="s">
        <v>9</v>
      </c>
      <c r="E1427" s="7" t="s">
        <v>13</v>
      </c>
      <c r="F1427" s="6">
        <v>28164</v>
      </c>
      <c r="G1427" s="6">
        <v>1</v>
      </c>
      <c r="H1427" s="6">
        <v>0</v>
      </c>
      <c r="I1427" s="6">
        <f t="shared" si="22"/>
        <v>1</v>
      </c>
      <c r="J1427" s="8">
        <v>41398</v>
      </c>
      <c r="K1427" s="6">
        <v>23</v>
      </c>
      <c r="L1427">
        <f>VLOOKUP(A1427,Marketing_df2!$A$1:$F$2241,3,FALSE)</f>
        <v>18</v>
      </c>
      <c r="M1427">
        <f>VLOOKUP(A1427,Marketing_df2!$A$1:$F$2241,4,FALSE)</f>
        <v>8</v>
      </c>
      <c r="N1427">
        <f>VLOOKUP(A1427,Marketing_df2!$A$1:$F$2241,5,FALSE)</f>
        <v>2</v>
      </c>
      <c r="O1427">
        <f>VLOOKUP(A1427,Marketing_df2!$A$1:$F$2241,6,FALSE)</f>
        <v>4</v>
      </c>
    </row>
    <row r="1428" spans="1:15" ht="12.5">
      <c r="A1428" s="6">
        <v>1426</v>
      </c>
      <c r="B1428" s="6">
        <v>8254</v>
      </c>
      <c r="C1428" s="6">
        <v>1974</v>
      </c>
      <c r="D1428" s="7" t="s">
        <v>12</v>
      </c>
      <c r="E1428" s="7" t="s">
        <v>13</v>
      </c>
      <c r="F1428" s="6">
        <v>34596</v>
      </c>
      <c r="G1428" s="6">
        <v>1</v>
      </c>
      <c r="H1428" s="6">
        <v>0</v>
      </c>
      <c r="I1428" s="6">
        <f t="shared" si="22"/>
        <v>1</v>
      </c>
      <c r="J1428" s="8">
        <v>41377</v>
      </c>
      <c r="K1428" s="6">
        <v>48</v>
      </c>
      <c r="L1428">
        <f>VLOOKUP(A1428,Marketing_df2!$A$1:$F$2241,3,FALSE)</f>
        <v>0</v>
      </c>
      <c r="M1428">
        <f>VLOOKUP(A1428,Marketing_df2!$A$1:$F$2241,4,FALSE)</f>
        <v>0</v>
      </c>
      <c r="N1428">
        <f>VLOOKUP(A1428,Marketing_df2!$A$1:$F$2241,5,FALSE)</f>
        <v>1</v>
      </c>
      <c r="O1428">
        <f>VLOOKUP(A1428,Marketing_df2!$A$1:$F$2241,6,FALSE)</f>
        <v>2</v>
      </c>
    </row>
    <row r="1429" spans="1:15" ht="12.5">
      <c r="A1429" s="6">
        <v>1427</v>
      </c>
      <c r="B1429" s="6">
        <v>2836</v>
      </c>
      <c r="C1429" s="6">
        <v>1972</v>
      </c>
      <c r="D1429" s="7" t="s">
        <v>12</v>
      </c>
      <c r="E1429" s="7" t="s">
        <v>13</v>
      </c>
      <c r="F1429" s="6">
        <v>43269</v>
      </c>
      <c r="G1429" s="6">
        <v>1</v>
      </c>
      <c r="H1429" s="6">
        <v>0</v>
      </c>
      <c r="I1429" s="6">
        <f t="shared" si="22"/>
        <v>1</v>
      </c>
      <c r="J1429" s="8">
        <v>41533</v>
      </c>
      <c r="K1429" s="6">
        <v>61</v>
      </c>
      <c r="L1429">
        <f>VLOOKUP(A1429,Marketing_df2!$A$1:$F$2241,3,FALSE)</f>
        <v>1</v>
      </c>
      <c r="M1429">
        <f>VLOOKUP(A1429,Marketing_df2!$A$1:$F$2241,4,FALSE)</f>
        <v>0</v>
      </c>
      <c r="N1429">
        <f>VLOOKUP(A1429,Marketing_df2!$A$1:$F$2241,5,FALSE)</f>
        <v>1</v>
      </c>
      <c r="O1429">
        <f>VLOOKUP(A1429,Marketing_df2!$A$1:$F$2241,6,FALSE)</f>
        <v>2</v>
      </c>
    </row>
    <row r="1430" spans="1:15" ht="12.5">
      <c r="A1430" s="6">
        <v>1428</v>
      </c>
      <c r="B1430" s="6">
        <v>8418</v>
      </c>
      <c r="C1430" s="6">
        <v>1958</v>
      </c>
      <c r="D1430" s="7" t="s">
        <v>17</v>
      </c>
      <c r="E1430" s="7" t="s">
        <v>10</v>
      </c>
      <c r="F1430" s="6">
        <v>38741</v>
      </c>
      <c r="G1430" s="6">
        <v>1</v>
      </c>
      <c r="H1430" s="6">
        <v>1</v>
      </c>
      <c r="I1430" s="6">
        <f t="shared" si="22"/>
        <v>2</v>
      </c>
      <c r="J1430" s="8">
        <v>41728</v>
      </c>
      <c r="K1430" s="6">
        <v>60</v>
      </c>
      <c r="L1430">
        <f>VLOOKUP(A1430,Marketing_df2!$A$1:$F$2241,3,FALSE)</f>
        <v>10</v>
      </c>
      <c r="M1430">
        <f>VLOOKUP(A1430,Marketing_df2!$A$1:$F$2241,4,FALSE)</f>
        <v>6</v>
      </c>
      <c r="N1430">
        <f>VLOOKUP(A1430,Marketing_df2!$A$1:$F$2241,5,FALSE)</f>
        <v>2</v>
      </c>
      <c r="O1430">
        <f>VLOOKUP(A1430,Marketing_df2!$A$1:$F$2241,6,FALSE)</f>
        <v>3</v>
      </c>
    </row>
    <row r="1431" spans="1:15" ht="12.5">
      <c r="A1431" s="6">
        <v>1429</v>
      </c>
      <c r="B1431" s="6">
        <v>1362</v>
      </c>
      <c r="C1431" s="6">
        <v>1972</v>
      </c>
      <c r="D1431" s="7" t="s">
        <v>9</v>
      </c>
      <c r="E1431" s="7" t="s">
        <v>10</v>
      </c>
      <c r="F1431" s="6">
        <v>31907</v>
      </c>
      <c r="G1431" s="6">
        <v>0</v>
      </c>
      <c r="H1431" s="6">
        <v>0</v>
      </c>
      <c r="I1431" s="6">
        <f t="shared" si="22"/>
        <v>0</v>
      </c>
      <c r="J1431" s="8">
        <v>41337</v>
      </c>
      <c r="K1431" s="6">
        <v>75</v>
      </c>
      <c r="L1431">
        <f>VLOOKUP(A1431,Marketing_df2!$A$1:$F$2241,3,FALSE)</f>
        <v>87</v>
      </c>
      <c r="M1431">
        <f>VLOOKUP(A1431,Marketing_df2!$A$1:$F$2241,4,FALSE)</f>
        <v>16</v>
      </c>
      <c r="N1431">
        <f>VLOOKUP(A1431,Marketing_df2!$A$1:$F$2241,5,FALSE)</f>
        <v>6</v>
      </c>
      <c r="O1431">
        <f>VLOOKUP(A1431,Marketing_df2!$A$1:$F$2241,6,FALSE)</f>
        <v>6</v>
      </c>
    </row>
    <row r="1432" spans="1:15" ht="12.5">
      <c r="A1432" s="6">
        <v>1430</v>
      </c>
      <c r="B1432" s="6">
        <v>7152</v>
      </c>
      <c r="C1432" s="6">
        <v>1983</v>
      </c>
      <c r="D1432" s="7" t="s">
        <v>14</v>
      </c>
      <c r="E1432" s="7" t="s">
        <v>13</v>
      </c>
      <c r="F1432" s="6">
        <v>27100</v>
      </c>
      <c r="G1432" s="6">
        <v>1</v>
      </c>
      <c r="H1432" s="6">
        <v>0</v>
      </c>
      <c r="I1432" s="6">
        <f t="shared" si="22"/>
        <v>1</v>
      </c>
      <c r="J1432" s="8">
        <v>41369</v>
      </c>
      <c r="K1432" s="6">
        <v>64</v>
      </c>
      <c r="L1432">
        <f>VLOOKUP(A1432,Marketing_df2!$A$1:$F$2241,3,FALSE)</f>
        <v>0</v>
      </c>
      <c r="M1432">
        <f>VLOOKUP(A1432,Marketing_df2!$A$1:$F$2241,4,FALSE)</f>
        <v>0</v>
      </c>
      <c r="N1432">
        <f>VLOOKUP(A1432,Marketing_df2!$A$1:$F$2241,5,FALSE)</f>
        <v>1</v>
      </c>
      <c r="O1432">
        <f>VLOOKUP(A1432,Marketing_df2!$A$1:$F$2241,6,FALSE)</f>
        <v>3</v>
      </c>
    </row>
    <row r="1433" spans="1:15" ht="12.5">
      <c r="A1433" s="6">
        <v>1431</v>
      </c>
      <c r="B1433" s="6">
        <v>10033</v>
      </c>
      <c r="C1433" s="6">
        <v>1973</v>
      </c>
      <c r="D1433" s="7" t="s">
        <v>17</v>
      </c>
      <c r="E1433" s="7" t="s">
        <v>15</v>
      </c>
      <c r="F1433" s="6">
        <v>31163</v>
      </c>
      <c r="G1433" s="6">
        <v>1</v>
      </c>
      <c r="H1433" s="6">
        <v>0</v>
      </c>
      <c r="I1433" s="6">
        <f t="shared" si="22"/>
        <v>1</v>
      </c>
      <c r="J1433" s="8">
        <v>41683</v>
      </c>
      <c r="K1433" s="6">
        <v>54</v>
      </c>
      <c r="L1433">
        <f>VLOOKUP(A1433,Marketing_df2!$A$1:$F$2241,3,FALSE)</f>
        <v>3</v>
      </c>
      <c r="M1433">
        <f>VLOOKUP(A1433,Marketing_df2!$A$1:$F$2241,4,FALSE)</f>
        <v>2</v>
      </c>
      <c r="N1433">
        <f>VLOOKUP(A1433,Marketing_df2!$A$1:$F$2241,5,FALSE)</f>
        <v>1</v>
      </c>
      <c r="O1433">
        <f>VLOOKUP(A1433,Marketing_df2!$A$1:$F$2241,6,FALSE)</f>
        <v>3</v>
      </c>
    </row>
    <row r="1434" spans="1:15" ht="12.5">
      <c r="A1434" s="6">
        <v>1432</v>
      </c>
      <c r="B1434" s="6">
        <v>9349</v>
      </c>
      <c r="C1434" s="6">
        <v>1985</v>
      </c>
      <c r="D1434" s="7" t="s">
        <v>9</v>
      </c>
      <c r="E1434" s="7" t="s">
        <v>13</v>
      </c>
      <c r="F1434" s="6">
        <v>92533</v>
      </c>
      <c r="G1434" s="6">
        <v>0</v>
      </c>
      <c r="H1434" s="6">
        <v>0</v>
      </c>
      <c r="I1434" s="6">
        <f t="shared" si="22"/>
        <v>0</v>
      </c>
      <c r="J1434" s="9">
        <v>41627</v>
      </c>
      <c r="K1434" s="6">
        <v>84</v>
      </c>
      <c r="L1434">
        <f>VLOOKUP(A1434,Marketing_df2!$A$1:$F$2241,3,FALSE)</f>
        <v>21</v>
      </c>
      <c r="M1434">
        <f>VLOOKUP(A1434,Marketing_df2!$A$1:$F$2241,4,FALSE)</f>
        <v>147</v>
      </c>
      <c r="N1434">
        <f>VLOOKUP(A1434,Marketing_df2!$A$1:$F$2241,5,FALSE)</f>
        <v>6</v>
      </c>
      <c r="O1434">
        <f>VLOOKUP(A1434,Marketing_df2!$A$1:$F$2241,6,FALSE)</f>
        <v>11</v>
      </c>
    </row>
    <row r="1435" spans="1:15" ht="12.5">
      <c r="A1435" s="6">
        <v>1433</v>
      </c>
      <c r="B1435" s="6">
        <v>274</v>
      </c>
      <c r="C1435" s="6">
        <v>1973</v>
      </c>
      <c r="D1435" s="7" t="s">
        <v>9</v>
      </c>
      <c r="E1435" s="7" t="s">
        <v>10</v>
      </c>
      <c r="F1435" s="6">
        <v>34853</v>
      </c>
      <c r="G1435" s="6">
        <v>1</v>
      </c>
      <c r="H1435" s="6">
        <v>1</v>
      </c>
      <c r="I1435" s="6">
        <f t="shared" si="22"/>
        <v>2</v>
      </c>
      <c r="J1435" s="9">
        <v>41631</v>
      </c>
      <c r="K1435" s="6">
        <v>75</v>
      </c>
      <c r="L1435">
        <f>VLOOKUP(A1435,Marketing_df2!$A$1:$F$2241,3,FALSE)</f>
        <v>3</v>
      </c>
      <c r="M1435">
        <f>VLOOKUP(A1435,Marketing_df2!$A$1:$F$2241,4,FALSE)</f>
        <v>3</v>
      </c>
      <c r="N1435">
        <f>VLOOKUP(A1435,Marketing_df2!$A$1:$F$2241,5,FALSE)</f>
        <v>2</v>
      </c>
      <c r="O1435">
        <f>VLOOKUP(A1435,Marketing_df2!$A$1:$F$2241,6,FALSE)</f>
        <v>3</v>
      </c>
    </row>
    <row r="1436" spans="1:15" ht="12.5">
      <c r="A1436" s="6">
        <v>1434</v>
      </c>
      <c r="B1436" s="6">
        <v>3388</v>
      </c>
      <c r="C1436" s="6">
        <v>1967</v>
      </c>
      <c r="D1436" s="7" t="s">
        <v>9</v>
      </c>
      <c r="E1436" s="7" t="s">
        <v>15</v>
      </c>
      <c r="F1436" s="6">
        <v>70844</v>
      </c>
      <c r="G1436" s="6">
        <v>1</v>
      </c>
      <c r="H1436" s="6">
        <v>1</v>
      </c>
      <c r="I1436" s="6">
        <f t="shared" si="22"/>
        <v>2</v>
      </c>
      <c r="J1436" s="9">
        <v>41577</v>
      </c>
      <c r="K1436" s="6">
        <v>16</v>
      </c>
      <c r="L1436">
        <f>VLOOKUP(A1436,Marketing_df2!$A$1:$F$2241,3,FALSE)</f>
        <v>26</v>
      </c>
      <c r="M1436">
        <f>VLOOKUP(A1436,Marketing_df2!$A$1:$F$2241,4,FALSE)</f>
        <v>67</v>
      </c>
      <c r="N1436">
        <f>VLOOKUP(A1436,Marketing_df2!$A$1:$F$2241,5,FALSE)</f>
        <v>6</v>
      </c>
      <c r="O1436">
        <f>VLOOKUP(A1436,Marketing_df2!$A$1:$F$2241,6,FALSE)</f>
        <v>5</v>
      </c>
    </row>
    <row r="1437" spans="1:15" ht="12.5">
      <c r="A1437" s="6">
        <v>1435</v>
      </c>
      <c r="B1437" s="6">
        <v>922</v>
      </c>
      <c r="C1437" s="6">
        <v>1979</v>
      </c>
      <c r="D1437" s="7" t="s">
        <v>17</v>
      </c>
      <c r="E1437" s="7" t="s">
        <v>13</v>
      </c>
      <c r="F1437" s="6">
        <v>31086</v>
      </c>
      <c r="G1437" s="6">
        <v>1</v>
      </c>
      <c r="H1437" s="6">
        <v>1</v>
      </c>
      <c r="I1437" s="6">
        <f t="shared" si="22"/>
        <v>2</v>
      </c>
      <c r="J1437" s="8">
        <v>41398</v>
      </c>
      <c r="K1437" s="6">
        <v>79</v>
      </c>
      <c r="L1437">
        <f>VLOOKUP(A1437,Marketing_df2!$A$1:$F$2241,3,FALSE)</f>
        <v>2</v>
      </c>
      <c r="M1437">
        <f>VLOOKUP(A1437,Marketing_df2!$A$1:$F$2241,4,FALSE)</f>
        <v>0</v>
      </c>
      <c r="N1437">
        <f>VLOOKUP(A1437,Marketing_df2!$A$1:$F$2241,5,FALSE)</f>
        <v>1</v>
      </c>
      <c r="O1437">
        <f>VLOOKUP(A1437,Marketing_df2!$A$1:$F$2241,6,FALSE)</f>
        <v>2</v>
      </c>
    </row>
    <row r="1438" spans="1:15" ht="12.5">
      <c r="A1438" s="6">
        <v>1436</v>
      </c>
      <c r="B1438" s="6">
        <v>8588</v>
      </c>
      <c r="C1438" s="6">
        <v>1961</v>
      </c>
      <c r="D1438" s="7" t="s">
        <v>9</v>
      </c>
      <c r="E1438" s="7" t="s">
        <v>13</v>
      </c>
      <c r="F1438" s="6">
        <v>60544</v>
      </c>
      <c r="G1438" s="6">
        <v>1</v>
      </c>
      <c r="H1438" s="6">
        <v>1</v>
      </c>
      <c r="I1438" s="6">
        <f t="shared" si="22"/>
        <v>2</v>
      </c>
      <c r="J1438" s="8">
        <v>41146</v>
      </c>
      <c r="K1438" s="6">
        <v>92</v>
      </c>
      <c r="L1438">
        <f>VLOOKUP(A1438,Marketing_df2!$A$1:$F$2241,3,FALSE)</f>
        <v>2</v>
      </c>
      <c r="M1438">
        <f>VLOOKUP(A1438,Marketing_df2!$A$1:$F$2241,4,FALSE)</f>
        <v>5</v>
      </c>
      <c r="N1438">
        <f>VLOOKUP(A1438,Marketing_df2!$A$1:$F$2241,5,FALSE)</f>
        <v>5</v>
      </c>
      <c r="O1438">
        <f>VLOOKUP(A1438,Marketing_df2!$A$1:$F$2241,6,FALSE)</f>
        <v>5</v>
      </c>
    </row>
    <row r="1439" spans="1:15" ht="12.5">
      <c r="A1439" s="6">
        <v>1437</v>
      </c>
      <c r="B1439" s="6">
        <v>2518</v>
      </c>
      <c r="C1439" s="6">
        <v>1986</v>
      </c>
      <c r="D1439" s="7" t="s">
        <v>17</v>
      </c>
      <c r="E1439" s="7" t="s">
        <v>11</v>
      </c>
      <c r="F1439" s="6">
        <v>20491</v>
      </c>
      <c r="G1439" s="6">
        <v>0</v>
      </c>
      <c r="H1439" s="6">
        <v>0</v>
      </c>
      <c r="I1439" s="6">
        <f t="shared" si="22"/>
        <v>0</v>
      </c>
      <c r="J1439" s="8">
        <v>41299</v>
      </c>
      <c r="K1439" s="6">
        <v>16</v>
      </c>
      <c r="L1439">
        <f>VLOOKUP(A1439,Marketing_df2!$A$1:$F$2241,3,FALSE)</f>
        <v>4</v>
      </c>
      <c r="M1439">
        <f>VLOOKUP(A1439,Marketing_df2!$A$1:$F$2241,4,FALSE)</f>
        <v>2</v>
      </c>
      <c r="N1439">
        <f>VLOOKUP(A1439,Marketing_df2!$A$1:$F$2241,5,FALSE)</f>
        <v>0</v>
      </c>
      <c r="O1439">
        <f>VLOOKUP(A1439,Marketing_df2!$A$1:$F$2241,6,FALSE)</f>
        <v>2</v>
      </c>
    </row>
    <row r="1440" spans="1:15" ht="12.5">
      <c r="A1440" s="6">
        <v>1438</v>
      </c>
      <c r="B1440" s="6">
        <v>574</v>
      </c>
      <c r="C1440" s="6">
        <v>1964</v>
      </c>
      <c r="D1440" s="7" t="s">
        <v>9</v>
      </c>
      <c r="E1440" s="7" t="s">
        <v>13</v>
      </c>
      <c r="F1440" s="6">
        <v>42523</v>
      </c>
      <c r="G1440" s="6">
        <v>0</v>
      </c>
      <c r="H1440" s="6">
        <v>0</v>
      </c>
      <c r="I1440" s="6">
        <f t="shared" si="22"/>
        <v>0</v>
      </c>
      <c r="J1440" s="8">
        <v>41752</v>
      </c>
      <c r="K1440" s="6">
        <v>96</v>
      </c>
      <c r="L1440">
        <f>VLOOKUP(A1440,Marketing_df2!$A$1:$F$2241,3,FALSE)</f>
        <v>36</v>
      </c>
      <c r="M1440">
        <f>VLOOKUP(A1440,Marketing_df2!$A$1:$F$2241,4,FALSE)</f>
        <v>26</v>
      </c>
      <c r="N1440">
        <f>VLOOKUP(A1440,Marketing_df2!$A$1:$F$2241,5,FALSE)</f>
        <v>1</v>
      </c>
      <c r="O1440">
        <f>VLOOKUP(A1440,Marketing_df2!$A$1:$F$2241,6,FALSE)</f>
        <v>4</v>
      </c>
    </row>
    <row r="1441" spans="1:15" ht="12.5">
      <c r="A1441" s="6">
        <v>1439</v>
      </c>
      <c r="B1441" s="6">
        <v>3220</v>
      </c>
      <c r="C1441" s="6">
        <v>1983</v>
      </c>
      <c r="D1441" s="7" t="s">
        <v>9</v>
      </c>
      <c r="E1441" s="7" t="s">
        <v>13</v>
      </c>
      <c r="F1441" s="6">
        <v>39922</v>
      </c>
      <c r="G1441" s="6">
        <v>1</v>
      </c>
      <c r="H1441" s="6">
        <v>0</v>
      </c>
      <c r="I1441" s="6">
        <f t="shared" si="22"/>
        <v>1</v>
      </c>
      <c r="J1441" s="8">
        <v>41319</v>
      </c>
      <c r="K1441" s="6">
        <v>30</v>
      </c>
      <c r="L1441">
        <f>VLOOKUP(A1441,Marketing_df2!$A$1:$F$2241,3,FALSE)</f>
        <v>12</v>
      </c>
      <c r="M1441">
        <f>VLOOKUP(A1441,Marketing_df2!$A$1:$F$2241,4,FALSE)</f>
        <v>1</v>
      </c>
      <c r="N1441">
        <f>VLOOKUP(A1441,Marketing_df2!$A$1:$F$2241,5,FALSE)</f>
        <v>3</v>
      </c>
      <c r="O1441">
        <f>VLOOKUP(A1441,Marketing_df2!$A$1:$F$2241,6,FALSE)</f>
        <v>4</v>
      </c>
    </row>
    <row r="1442" spans="1:15" ht="12.5">
      <c r="A1442" s="6">
        <v>1440</v>
      </c>
      <c r="B1442" s="6">
        <v>5967</v>
      </c>
      <c r="C1442" s="6">
        <v>1952</v>
      </c>
      <c r="D1442" s="7" t="s">
        <v>9</v>
      </c>
      <c r="E1442" s="7" t="s">
        <v>11</v>
      </c>
      <c r="F1442" s="6">
        <v>33402</v>
      </c>
      <c r="G1442" s="6">
        <v>1</v>
      </c>
      <c r="H1442" s="6">
        <v>1</v>
      </c>
      <c r="I1442" s="6">
        <f t="shared" si="22"/>
        <v>2</v>
      </c>
      <c r="J1442" s="8">
        <v>41473</v>
      </c>
      <c r="K1442" s="6">
        <v>60</v>
      </c>
      <c r="L1442">
        <f>VLOOKUP(A1442,Marketing_df2!$A$1:$F$2241,3,FALSE)</f>
        <v>2</v>
      </c>
      <c r="M1442">
        <f>VLOOKUP(A1442,Marketing_df2!$A$1:$F$2241,4,FALSE)</f>
        <v>5</v>
      </c>
      <c r="N1442">
        <f>VLOOKUP(A1442,Marketing_df2!$A$1:$F$2241,5,FALSE)</f>
        <v>2</v>
      </c>
      <c r="O1442">
        <f>VLOOKUP(A1442,Marketing_df2!$A$1:$F$2241,6,FALSE)</f>
        <v>3</v>
      </c>
    </row>
    <row r="1443" spans="1:15" ht="12.5">
      <c r="A1443" s="6">
        <v>1441</v>
      </c>
      <c r="B1443" s="6">
        <v>1183</v>
      </c>
      <c r="C1443" s="6">
        <v>1949</v>
      </c>
      <c r="D1443" s="7" t="s">
        <v>14</v>
      </c>
      <c r="E1443" s="7" t="s">
        <v>13</v>
      </c>
      <c r="F1443" s="6">
        <v>36408</v>
      </c>
      <c r="G1443" s="6">
        <v>1</v>
      </c>
      <c r="H1443" s="6">
        <v>1</v>
      </c>
      <c r="I1443" s="6">
        <f t="shared" si="22"/>
        <v>2</v>
      </c>
      <c r="J1443" s="8">
        <v>41538</v>
      </c>
      <c r="K1443" s="6">
        <v>11</v>
      </c>
      <c r="L1443">
        <f>VLOOKUP(A1443,Marketing_df2!$A$1:$F$2241,3,FALSE)</f>
        <v>1</v>
      </c>
      <c r="M1443">
        <f>VLOOKUP(A1443,Marketing_df2!$A$1:$F$2241,4,FALSE)</f>
        <v>2</v>
      </c>
      <c r="N1443">
        <f>VLOOKUP(A1443,Marketing_df2!$A$1:$F$2241,5,FALSE)</f>
        <v>1</v>
      </c>
      <c r="O1443">
        <f>VLOOKUP(A1443,Marketing_df2!$A$1:$F$2241,6,FALSE)</f>
        <v>2</v>
      </c>
    </row>
    <row r="1444" spans="1:15" ht="12.5">
      <c r="A1444" s="6">
        <v>1442</v>
      </c>
      <c r="B1444" s="6">
        <v>6856</v>
      </c>
      <c r="C1444" s="6">
        <v>1979</v>
      </c>
      <c r="D1444" s="7" t="s">
        <v>9</v>
      </c>
      <c r="E1444" s="7" t="s">
        <v>11</v>
      </c>
      <c r="F1444" s="6">
        <v>21645</v>
      </c>
      <c r="G1444" s="6">
        <v>1</v>
      </c>
      <c r="H1444" s="6">
        <v>0</v>
      </c>
      <c r="I1444" s="6">
        <f t="shared" si="22"/>
        <v>1</v>
      </c>
      <c r="J1444" s="8">
        <v>41155</v>
      </c>
      <c r="K1444" s="6">
        <v>75</v>
      </c>
      <c r="L1444">
        <f>VLOOKUP(A1444,Marketing_df2!$A$1:$F$2241,3,FALSE)</f>
        <v>0</v>
      </c>
      <c r="M1444">
        <f>VLOOKUP(A1444,Marketing_df2!$A$1:$F$2241,4,FALSE)</f>
        <v>5</v>
      </c>
      <c r="N1444">
        <f>VLOOKUP(A1444,Marketing_df2!$A$1:$F$2241,5,FALSE)</f>
        <v>3</v>
      </c>
      <c r="O1444">
        <f>VLOOKUP(A1444,Marketing_df2!$A$1:$F$2241,6,FALSE)</f>
        <v>3</v>
      </c>
    </row>
    <row r="1445" spans="1:15" ht="12.5">
      <c r="A1445" s="6">
        <v>1443</v>
      </c>
      <c r="B1445" s="6">
        <v>4530</v>
      </c>
      <c r="C1445" s="6">
        <v>1948</v>
      </c>
      <c r="D1445" s="7" t="s">
        <v>14</v>
      </c>
      <c r="E1445" s="7" t="s">
        <v>18</v>
      </c>
      <c r="F1445" s="6">
        <v>78427</v>
      </c>
      <c r="G1445" s="6">
        <v>0</v>
      </c>
      <c r="H1445" s="6">
        <v>0</v>
      </c>
      <c r="I1445" s="6">
        <f t="shared" si="22"/>
        <v>0</v>
      </c>
      <c r="J1445" s="9">
        <v>41206</v>
      </c>
      <c r="K1445" s="6">
        <v>36</v>
      </c>
      <c r="L1445">
        <f>VLOOKUP(A1445,Marketing_df2!$A$1:$F$2241,3,FALSE)</f>
        <v>19</v>
      </c>
      <c r="M1445">
        <f>VLOOKUP(A1445,Marketing_df2!$A$1:$F$2241,4,FALSE)</f>
        <v>26</v>
      </c>
      <c r="N1445">
        <f>VLOOKUP(A1445,Marketing_df2!$A$1:$F$2241,5,FALSE)</f>
        <v>3</v>
      </c>
      <c r="O1445">
        <f>VLOOKUP(A1445,Marketing_df2!$A$1:$F$2241,6,FALSE)</f>
        <v>10</v>
      </c>
    </row>
    <row r="1446" spans="1:15" ht="12.5">
      <c r="A1446" s="6">
        <v>1444</v>
      </c>
      <c r="B1446" s="6">
        <v>1553</v>
      </c>
      <c r="C1446" s="6">
        <v>1946</v>
      </c>
      <c r="D1446" s="7" t="s">
        <v>9</v>
      </c>
      <c r="E1446" s="7" t="s">
        <v>11</v>
      </c>
      <c r="F1446" s="6">
        <v>82657</v>
      </c>
      <c r="G1446" s="6">
        <v>0</v>
      </c>
      <c r="H1446" s="6">
        <v>0</v>
      </c>
      <c r="I1446" s="6">
        <f t="shared" si="22"/>
        <v>0</v>
      </c>
      <c r="J1446" s="8">
        <v>41544</v>
      </c>
      <c r="K1446" s="6">
        <v>71</v>
      </c>
      <c r="L1446">
        <f>VLOOKUP(A1446,Marketing_df2!$A$1:$F$2241,3,FALSE)</f>
        <v>168</v>
      </c>
      <c r="M1446">
        <f>VLOOKUP(A1446,Marketing_df2!$A$1:$F$2241,4,FALSE)</f>
        <v>105</v>
      </c>
      <c r="N1446">
        <f>VLOOKUP(A1446,Marketing_df2!$A$1:$F$2241,5,FALSE)</f>
        <v>7</v>
      </c>
      <c r="O1446">
        <f>VLOOKUP(A1446,Marketing_df2!$A$1:$F$2241,6,FALSE)</f>
        <v>10</v>
      </c>
    </row>
    <row r="1447" spans="1:15" ht="12.5">
      <c r="A1447" s="6">
        <v>1445</v>
      </c>
      <c r="B1447" s="6">
        <v>4682</v>
      </c>
      <c r="C1447" s="6">
        <v>1958</v>
      </c>
      <c r="D1447" s="7" t="s">
        <v>9</v>
      </c>
      <c r="E1447" s="7" t="s">
        <v>13</v>
      </c>
      <c r="F1447" s="6">
        <v>51876</v>
      </c>
      <c r="G1447" s="6">
        <v>0</v>
      </c>
      <c r="H1447" s="6">
        <v>0</v>
      </c>
      <c r="I1447" s="6">
        <f t="shared" si="22"/>
        <v>0</v>
      </c>
      <c r="J1447" s="9">
        <v>41562</v>
      </c>
      <c r="K1447" s="6">
        <v>88</v>
      </c>
      <c r="L1447">
        <f>VLOOKUP(A1447,Marketing_df2!$A$1:$F$2241,3,FALSE)</f>
        <v>27</v>
      </c>
      <c r="M1447">
        <f>VLOOKUP(A1447,Marketing_df2!$A$1:$F$2241,4,FALSE)</f>
        <v>48</v>
      </c>
      <c r="N1447">
        <f>VLOOKUP(A1447,Marketing_df2!$A$1:$F$2241,5,FALSE)</f>
        <v>2</v>
      </c>
      <c r="O1447">
        <f>VLOOKUP(A1447,Marketing_df2!$A$1:$F$2241,6,FALSE)</f>
        <v>8</v>
      </c>
    </row>
    <row r="1448" spans="1:15" ht="12.5">
      <c r="A1448" s="6">
        <v>1446</v>
      </c>
      <c r="B1448" s="6">
        <v>8204</v>
      </c>
      <c r="C1448" s="6">
        <v>1971</v>
      </c>
      <c r="D1448" s="7" t="s">
        <v>17</v>
      </c>
      <c r="E1448" s="7" t="s">
        <v>13</v>
      </c>
      <c r="F1448" s="6">
        <v>78041</v>
      </c>
      <c r="G1448" s="6">
        <v>0</v>
      </c>
      <c r="H1448" s="6">
        <v>0</v>
      </c>
      <c r="I1448" s="6">
        <f t="shared" si="22"/>
        <v>0</v>
      </c>
      <c r="J1448" s="9">
        <v>41259</v>
      </c>
      <c r="K1448" s="6">
        <v>93</v>
      </c>
      <c r="L1448">
        <f>VLOOKUP(A1448,Marketing_df2!$A$1:$F$2241,3,FALSE)</f>
        <v>35</v>
      </c>
      <c r="M1448">
        <f>VLOOKUP(A1448,Marketing_df2!$A$1:$F$2241,4,FALSE)</f>
        <v>160</v>
      </c>
      <c r="N1448">
        <f>VLOOKUP(A1448,Marketing_df2!$A$1:$F$2241,5,FALSE)</f>
        <v>4</v>
      </c>
      <c r="O1448">
        <f>VLOOKUP(A1448,Marketing_df2!$A$1:$F$2241,6,FALSE)</f>
        <v>9</v>
      </c>
    </row>
    <row r="1449" spans="1:15" ht="12.5">
      <c r="A1449" s="6">
        <v>1447</v>
      </c>
      <c r="B1449" s="6">
        <v>5221</v>
      </c>
      <c r="C1449" s="6">
        <v>1957</v>
      </c>
      <c r="D1449" s="7" t="s">
        <v>9</v>
      </c>
      <c r="E1449" s="7" t="s">
        <v>13</v>
      </c>
      <c r="F1449" s="6">
        <v>52852</v>
      </c>
      <c r="G1449" s="6">
        <v>0</v>
      </c>
      <c r="H1449" s="6">
        <v>1</v>
      </c>
      <c r="I1449" s="6">
        <f t="shared" si="22"/>
        <v>1</v>
      </c>
      <c r="J1449" s="8">
        <v>41244</v>
      </c>
      <c r="K1449" s="6">
        <v>93</v>
      </c>
      <c r="L1449">
        <f>VLOOKUP(A1449,Marketing_df2!$A$1:$F$2241,3,FALSE)</f>
        <v>8</v>
      </c>
      <c r="M1449">
        <f>VLOOKUP(A1449,Marketing_df2!$A$1:$F$2241,4,FALSE)</f>
        <v>0</v>
      </c>
      <c r="N1449">
        <f>VLOOKUP(A1449,Marketing_df2!$A$1:$F$2241,5,FALSE)</f>
        <v>10</v>
      </c>
      <c r="O1449">
        <f>VLOOKUP(A1449,Marketing_df2!$A$1:$F$2241,6,FALSE)</f>
        <v>5</v>
      </c>
    </row>
    <row r="1450" spans="1:15" ht="12.5">
      <c r="A1450" s="6">
        <v>1448</v>
      </c>
      <c r="B1450" s="6">
        <v>1232</v>
      </c>
      <c r="C1450" s="6">
        <v>1982</v>
      </c>
      <c r="D1450" s="7" t="s">
        <v>12</v>
      </c>
      <c r="E1450" s="7" t="s">
        <v>11</v>
      </c>
      <c r="F1450" s="6">
        <v>70038</v>
      </c>
      <c r="G1450" s="6">
        <v>0</v>
      </c>
      <c r="H1450" s="6">
        <v>0</v>
      </c>
      <c r="I1450" s="6">
        <f t="shared" si="22"/>
        <v>0</v>
      </c>
      <c r="J1450" s="9">
        <v>41572</v>
      </c>
      <c r="K1450" s="6">
        <v>54</v>
      </c>
      <c r="L1450">
        <f>VLOOKUP(A1450,Marketing_df2!$A$1:$F$2241,3,FALSE)</f>
        <v>54</v>
      </c>
      <c r="M1450">
        <f>VLOOKUP(A1450,Marketing_df2!$A$1:$F$2241,4,FALSE)</f>
        <v>54</v>
      </c>
      <c r="N1450">
        <f>VLOOKUP(A1450,Marketing_df2!$A$1:$F$2241,5,FALSE)</f>
        <v>4</v>
      </c>
      <c r="O1450">
        <f>VLOOKUP(A1450,Marketing_df2!$A$1:$F$2241,6,FALSE)</f>
        <v>8</v>
      </c>
    </row>
    <row r="1451" spans="1:15" ht="12.5">
      <c r="A1451" s="6">
        <v>1449</v>
      </c>
      <c r="B1451" s="6">
        <v>1927</v>
      </c>
      <c r="C1451" s="6">
        <v>1973</v>
      </c>
      <c r="D1451" s="7" t="s">
        <v>17</v>
      </c>
      <c r="E1451" s="7" t="s">
        <v>11</v>
      </c>
      <c r="F1451" s="6">
        <v>69401</v>
      </c>
      <c r="G1451" s="6">
        <v>0</v>
      </c>
      <c r="H1451" s="6">
        <v>1</v>
      </c>
      <c r="I1451" s="6">
        <f t="shared" si="22"/>
        <v>1</v>
      </c>
      <c r="J1451" s="8">
        <v>41721</v>
      </c>
      <c r="K1451" s="6">
        <v>41</v>
      </c>
      <c r="L1451">
        <f>VLOOKUP(A1451,Marketing_df2!$A$1:$F$2241,3,FALSE)</f>
        <v>27</v>
      </c>
      <c r="M1451">
        <f>VLOOKUP(A1451,Marketing_df2!$A$1:$F$2241,4,FALSE)</f>
        <v>8</v>
      </c>
      <c r="N1451">
        <f>VLOOKUP(A1451,Marketing_df2!$A$1:$F$2241,5,FALSE)</f>
        <v>4</v>
      </c>
      <c r="O1451">
        <f>VLOOKUP(A1451,Marketing_df2!$A$1:$F$2241,6,FALSE)</f>
        <v>5</v>
      </c>
    </row>
    <row r="1452" spans="1:15" ht="12.5">
      <c r="A1452" s="6">
        <v>1450</v>
      </c>
      <c r="B1452" s="6">
        <v>5788</v>
      </c>
      <c r="C1452" s="6">
        <v>1972</v>
      </c>
      <c r="D1452" s="7" t="s">
        <v>9</v>
      </c>
      <c r="E1452" s="7" t="s">
        <v>11</v>
      </c>
      <c r="F1452" s="6">
        <v>46053</v>
      </c>
      <c r="G1452" s="6">
        <v>1</v>
      </c>
      <c r="H1452" s="6">
        <v>0</v>
      </c>
      <c r="I1452" s="6">
        <f t="shared" si="22"/>
        <v>1</v>
      </c>
      <c r="J1452" s="8">
        <v>41322</v>
      </c>
      <c r="K1452" s="6">
        <v>46</v>
      </c>
      <c r="L1452">
        <f>VLOOKUP(A1452,Marketing_df2!$A$1:$F$2241,3,FALSE)</f>
        <v>10</v>
      </c>
      <c r="M1452">
        <f>VLOOKUP(A1452,Marketing_df2!$A$1:$F$2241,4,FALSE)</f>
        <v>7</v>
      </c>
      <c r="N1452">
        <f>VLOOKUP(A1452,Marketing_df2!$A$1:$F$2241,5,FALSE)</f>
        <v>3</v>
      </c>
      <c r="O1452">
        <f>VLOOKUP(A1452,Marketing_df2!$A$1:$F$2241,6,FALSE)</f>
        <v>4</v>
      </c>
    </row>
    <row r="1453" spans="1:15" ht="12.5">
      <c r="A1453" s="6">
        <v>1451</v>
      </c>
      <c r="B1453" s="6">
        <v>6652</v>
      </c>
      <c r="C1453" s="6">
        <v>1965</v>
      </c>
      <c r="D1453" s="7" t="s">
        <v>9</v>
      </c>
      <c r="E1453" s="7" t="s">
        <v>13</v>
      </c>
      <c r="F1453" s="6">
        <v>77343</v>
      </c>
      <c r="G1453" s="6">
        <v>0</v>
      </c>
      <c r="H1453" s="6">
        <v>0</v>
      </c>
      <c r="I1453" s="6">
        <f t="shared" si="22"/>
        <v>0</v>
      </c>
      <c r="J1453" s="8">
        <v>41799</v>
      </c>
      <c r="K1453" s="6">
        <v>28</v>
      </c>
      <c r="L1453">
        <f>VLOOKUP(A1453,Marketing_df2!$A$1:$F$2241,3,FALSE)</f>
        <v>151</v>
      </c>
      <c r="M1453">
        <f>VLOOKUP(A1453,Marketing_df2!$A$1:$F$2241,4,FALSE)</f>
        <v>54</v>
      </c>
      <c r="N1453">
        <f>VLOOKUP(A1453,Marketing_df2!$A$1:$F$2241,5,FALSE)</f>
        <v>3</v>
      </c>
      <c r="O1453">
        <f>VLOOKUP(A1453,Marketing_df2!$A$1:$F$2241,6,FALSE)</f>
        <v>9</v>
      </c>
    </row>
    <row r="1454" spans="1:15" ht="12.5">
      <c r="A1454" s="6">
        <v>1452</v>
      </c>
      <c r="B1454" s="6">
        <v>6246</v>
      </c>
      <c r="C1454" s="6">
        <v>1953</v>
      </c>
      <c r="D1454" s="7" t="s">
        <v>9</v>
      </c>
      <c r="E1454" s="7" t="s">
        <v>10</v>
      </c>
      <c r="F1454" s="6">
        <v>73892</v>
      </c>
      <c r="G1454" s="6">
        <v>0</v>
      </c>
      <c r="H1454" s="6">
        <v>0</v>
      </c>
      <c r="I1454" s="6">
        <f t="shared" si="22"/>
        <v>0</v>
      </c>
      <c r="J1454" s="9">
        <v>41591</v>
      </c>
      <c r="K1454" s="6">
        <v>40</v>
      </c>
      <c r="L1454">
        <f>VLOOKUP(A1454,Marketing_df2!$A$1:$F$2241,3,FALSE)</f>
        <v>102</v>
      </c>
      <c r="M1454">
        <f>VLOOKUP(A1454,Marketing_df2!$A$1:$F$2241,4,FALSE)</f>
        <v>58</v>
      </c>
      <c r="N1454">
        <f>VLOOKUP(A1454,Marketing_df2!$A$1:$F$2241,5,FALSE)</f>
        <v>3</v>
      </c>
      <c r="O1454">
        <f>VLOOKUP(A1454,Marketing_df2!$A$1:$F$2241,6,FALSE)</f>
        <v>8</v>
      </c>
    </row>
    <row r="1455" spans="1:15" ht="12.5">
      <c r="A1455" s="6">
        <v>1453</v>
      </c>
      <c r="B1455" s="6">
        <v>5975</v>
      </c>
      <c r="C1455" s="6">
        <v>1967</v>
      </c>
      <c r="D1455" s="7" t="s">
        <v>12</v>
      </c>
      <c r="E1455" s="7" t="s">
        <v>10</v>
      </c>
      <c r="F1455" s="6">
        <v>40304</v>
      </c>
      <c r="G1455" s="6">
        <v>1</v>
      </c>
      <c r="H1455" s="6">
        <v>0</v>
      </c>
      <c r="I1455" s="6">
        <f t="shared" si="22"/>
        <v>1</v>
      </c>
      <c r="J1455" s="8">
        <v>41547</v>
      </c>
      <c r="K1455" s="6">
        <v>82</v>
      </c>
      <c r="L1455">
        <f>VLOOKUP(A1455,Marketing_df2!$A$1:$F$2241,3,FALSE)</f>
        <v>0</v>
      </c>
      <c r="M1455">
        <f>VLOOKUP(A1455,Marketing_df2!$A$1:$F$2241,4,FALSE)</f>
        <v>0</v>
      </c>
      <c r="N1455">
        <f>VLOOKUP(A1455,Marketing_df2!$A$1:$F$2241,5,FALSE)</f>
        <v>2</v>
      </c>
      <c r="O1455">
        <f>VLOOKUP(A1455,Marketing_df2!$A$1:$F$2241,6,FALSE)</f>
        <v>3</v>
      </c>
    </row>
    <row r="1456" spans="1:15" ht="12.5">
      <c r="A1456" s="6">
        <v>1454</v>
      </c>
      <c r="B1456" s="6">
        <v>6875</v>
      </c>
      <c r="C1456" s="6">
        <v>1965</v>
      </c>
      <c r="D1456" s="7" t="s">
        <v>12</v>
      </c>
      <c r="E1456" s="7" t="s">
        <v>11</v>
      </c>
      <c r="F1456" s="6">
        <v>32727</v>
      </c>
      <c r="G1456" s="6">
        <v>0</v>
      </c>
      <c r="H1456" s="6">
        <v>0</v>
      </c>
      <c r="I1456" s="6">
        <f t="shared" si="22"/>
        <v>0</v>
      </c>
      <c r="J1456" s="8">
        <v>41149</v>
      </c>
      <c r="K1456" s="6">
        <v>38</v>
      </c>
      <c r="L1456">
        <f>VLOOKUP(A1456,Marketing_df2!$A$1:$F$2241,3,FALSE)</f>
        <v>13</v>
      </c>
      <c r="M1456">
        <f>VLOOKUP(A1456,Marketing_df2!$A$1:$F$2241,4,FALSE)</f>
        <v>13</v>
      </c>
      <c r="N1456">
        <f>VLOOKUP(A1456,Marketing_df2!$A$1:$F$2241,5,FALSE)</f>
        <v>7</v>
      </c>
      <c r="O1456">
        <f>VLOOKUP(A1456,Marketing_df2!$A$1:$F$2241,6,FALSE)</f>
        <v>5</v>
      </c>
    </row>
    <row r="1457" spans="1:15" ht="12.5">
      <c r="A1457" s="6">
        <v>1455</v>
      </c>
      <c r="B1457" s="6">
        <v>4399</v>
      </c>
      <c r="C1457" s="6">
        <v>1969</v>
      </c>
      <c r="D1457" s="7" t="s">
        <v>9</v>
      </c>
      <c r="E1457" s="7" t="s">
        <v>11</v>
      </c>
      <c r="F1457" s="6">
        <v>68695</v>
      </c>
      <c r="G1457" s="6">
        <v>0</v>
      </c>
      <c r="H1457" s="6">
        <v>0</v>
      </c>
      <c r="I1457" s="6">
        <f t="shared" si="22"/>
        <v>0</v>
      </c>
      <c r="J1457" s="8">
        <v>41815</v>
      </c>
      <c r="K1457" s="6">
        <v>3</v>
      </c>
      <c r="L1457">
        <f>VLOOKUP(A1457,Marketing_df2!$A$1:$F$2241,3,FALSE)</f>
        <v>81</v>
      </c>
      <c r="M1457">
        <f>VLOOKUP(A1457,Marketing_df2!$A$1:$F$2241,4,FALSE)</f>
        <v>50</v>
      </c>
      <c r="N1457">
        <f>VLOOKUP(A1457,Marketing_df2!$A$1:$F$2241,5,FALSE)</f>
        <v>4</v>
      </c>
      <c r="O1457">
        <f>VLOOKUP(A1457,Marketing_df2!$A$1:$F$2241,6,FALSE)</f>
        <v>7</v>
      </c>
    </row>
    <row r="1458" spans="1:15" ht="12.5">
      <c r="A1458" s="6">
        <v>1456</v>
      </c>
      <c r="B1458" s="6">
        <v>4042</v>
      </c>
      <c r="C1458" s="6">
        <v>1971</v>
      </c>
      <c r="D1458" s="7" t="s">
        <v>9</v>
      </c>
      <c r="E1458" s="7" t="s">
        <v>15</v>
      </c>
      <c r="F1458" s="6">
        <v>43300</v>
      </c>
      <c r="G1458" s="6">
        <v>0</v>
      </c>
      <c r="H1458" s="6">
        <v>1</v>
      </c>
      <c r="I1458" s="6">
        <f t="shared" si="22"/>
        <v>1</v>
      </c>
      <c r="J1458" s="9">
        <v>41195</v>
      </c>
      <c r="K1458" s="6">
        <v>87</v>
      </c>
      <c r="L1458">
        <f>VLOOKUP(A1458,Marketing_df2!$A$1:$F$2241,3,FALSE)</f>
        <v>3</v>
      </c>
      <c r="M1458">
        <f>VLOOKUP(A1458,Marketing_df2!$A$1:$F$2241,4,FALSE)</f>
        <v>1</v>
      </c>
      <c r="N1458">
        <f>VLOOKUP(A1458,Marketing_df2!$A$1:$F$2241,5,FALSE)</f>
        <v>4</v>
      </c>
      <c r="O1458">
        <f>VLOOKUP(A1458,Marketing_df2!$A$1:$F$2241,6,FALSE)</f>
        <v>4</v>
      </c>
    </row>
    <row r="1459" spans="1:15" ht="12.5">
      <c r="A1459" s="6">
        <v>1457</v>
      </c>
      <c r="B1459" s="6">
        <v>2157</v>
      </c>
      <c r="C1459" s="6">
        <v>1972</v>
      </c>
      <c r="D1459" s="7" t="s">
        <v>9</v>
      </c>
      <c r="E1459" s="7" t="s">
        <v>11</v>
      </c>
      <c r="F1459" s="6">
        <v>26290</v>
      </c>
      <c r="G1459" s="6">
        <v>1</v>
      </c>
      <c r="H1459" s="6">
        <v>1</v>
      </c>
      <c r="I1459" s="6">
        <f t="shared" si="22"/>
        <v>2</v>
      </c>
      <c r="J1459" s="8">
        <v>41286</v>
      </c>
      <c r="K1459" s="6">
        <v>49</v>
      </c>
      <c r="L1459">
        <f>VLOOKUP(A1459,Marketing_df2!$A$1:$F$2241,3,FALSE)</f>
        <v>8</v>
      </c>
      <c r="M1459">
        <f>VLOOKUP(A1459,Marketing_df2!$A$1:$F$2241,4,FALSE)</f>
        <v>5</v>
      </c>
      <c r="N1459">
        <f>VLOOKUP(A1459,Marketing_df2!$A$1:$F$2241,5,FALSE)</f>
        <v>2</v>
      </c>
      <c r="O1459">
        <f>VLOOKUP(A1459,Marketing_df2!$A$1:$F$2241,6,FALSE)</f>
        <v>4</v>
      </c>
    </row>
    <row r="1460" spans="1:15" ht="12.5">
      <c r="A1460" s="6">
        <v>1458</v>
      </c>
      <c r="B1460" s="6">
        <v>10133</v>
      </c>
      <c r="C1460" s="6">
        <v>1970</v>
      </c>
      <c r="D1460" s="7" t="s">
        <v>9</v>
      </c>
      <c r="E1460" s="7" t="s">
        <v>10</v>
      </c>
      <c r="F1460" s="6">
        <v>93790</v>
      </c>
      <c r="G1460" s="6">
        <v>0</v>
      </c>
      <c r="H1460" s="6">
        <v>0</v>
      </c>
      <c r="I1460" s="6">
        <f t="shared" si="22"/>
        <v>0</v>
      </c>
      <c r="J1460" s="8">
        <v>41682</v>
      </c>
      <c r="K1460" s="6">
        <v>16</v>
      </c>
      <c r="L1460">
        <f>VLOOKUP(A1460,Marketing_df2!$A$1:$F$2241,3,FALSE)</f>
        <v>68</v>
      </c>
      <c r="M1460">
        <f>VLOOKUP(A1460,Marketing_df2!$A$1:$F$2241,4,FALSE)</f>
        <v>114</v>
      </c>
      <c r="N1460">
        <f>VLOOKUP(A1460,Marketing_df2!$A$1:$F$2241,5,FALSE)</f>
        <v>6</v>
      </c>
      <c r="O1460">
        <f>VLOOKUP(A1460,Marketing_df2!$A$1:$F$2241,6,FALSE)</f>
        <v>12</v>
      </c>
    </row>
    <row r="1461" spans="1:15" ht="12.5">
      <c r="A1461" s="6">
        <v>1459</v>
      </c>
      <c r="B1461" s="6">
        <v>2525</v>
      </c>
      <c r="C1461" s="6">
        <v>1974</v>
      </c>
      <c r="D1461" s="7" t="s">
        <v>12</v>
      </c>
      <c r="E1461" s="7" t="s">
        <v>13</v>
      </c>
      <c r="F1461" s="6">
        <v>38410</v>
      </c>
      <c r="G1461" s="6">
        <v>0</v>
      </c>
      <c r="H1461" s="6">
        <v>0</v>
      </c>
      <c r="I1461" s="6">
        <f t="shared" si="22"/>
        <v>0</v>
      </c>
      <c r="J1461" s="8">
        <v>41166</v>
      </c>
      <c r="K1461" s="6">
        <v>65</v>
      </c>
      <c r="L1461">
        <f>VLOOKUP(A1461,Marketing_df2!$A$1:$F$2241,3,FALSE)</f>
        <v>64</v>
      </c>
      <c r="M1461">
        <f>VLOOKUP(A1461,Marketing_df2!$A$1:$F$2241,4,FALSE)</f>
        <v>64</v>
      </c>
      <c r="N1461">
        <f>VLOOKUP(A1461,Marketing_df2!$A$1:$F$2241,5,FALSE)</f>
        <v>5</v>
      </c>
      <c r="O1461">
        <f>VLOOKUP(A1461,Marketing_df2!$A$1:$F$2241,6,FALSE)</f>
        <v>9</v>
      </c>
    </row>
    <row r="1462" spans="1:15" ht="12.5">
      <c r="A1462" s="6">
        <v>1460</v>
      </c>
      <c r="B1462" s="6">
        <v>8233</v>
      </c>
      <c r="C1462" s="6">
        <v>1950</v>
      </c>
      <c r="D1462" s="7" t="s">
        <v>14</v>
      </c>
      <c r="E1462" s="7" t="s">
        <v>18</v>
      </c>
      <c r="F1462" s="6">
        <v>64866</v>
      </c>
      <c r="G1462" s="6">
        <v>0</v>
      </c>
      <c r="H1462" s="6">
        <v>1</v>
      </c>
      <c r="I1462" s="6">
        <f t="shared" si="22"/>
        <v>1</v>
      </c>
      <c r="J1462" s="8">
        <v>41665</v>
      </c>
      <c r="K1462" s="6">
        <v>9</v>
      </c>
      <c r="L1462">
        <f>VLOOKUP(A1462,Marketing_df2!$A$1:$F$2241,3,FALSE)</f>
        <v>5</v>
      </c>
      <c r="M1462">
        <f>VLOOKUP(A1462,Marketing_df2!$A$1:$F$2241,4,FALSE)</f>
        <v>5</v>
      </c>
      <c r="N1462">
        <f>VLOOKUP(A1462,Marketing_df2!$A$1:$F$2241,5,FALSE)</f>
        <v>7</v>
      </c>
      <c r="O1462">
        <f>VLOOKUP(A1462,Marketing_df2!$A$1:$F$2241,6,FALSE)</f>
        <v>7</v>
      </c>
    </row>
    <row r="1463" spans="1:15" ht="12.5">
      <c r="A1463" s="6">
        <v>1461</v>
      </c>
      <c r="B1463" s="6">
        <v>9483</v>
      </c>
      <c r="C1463" s="6">
        <v>1959</v>
      </c>
      <c r="D1463" s="7" t="s">
        <v>9</v>
      </c>
      <c r="E1463" s="7" t="s">
        <v>11</v>
      </c>
      <c r="F1463" s="6">
        <v>57957</v>
      </c>
      <c r="G1463" s="6">
        <v>0</v>
      </c>
      <c r="H1463" s="6">
        <v>1</v>
      </c>
      <c r="I1463" s="6">
        <f t="shared" si="22"/>
        <v>1</v>
      </c>
      <c r="J1463" s="8">
        <v>41505</v>
      </c>
      <c r="K1463" s="6">
        <v>24</v>
      </c>
      <c r="L1463">
        <f>VLOOKUP(A1463,Marketing_df2!$A$1:$F$2241,3,FALSE)</f>
        <v>59</v>
      </c>
      <c r="M1463">
        <f>VLOOKUP(A1463,Marketing_df2!$A$1:$F$2241,4,FALSE)</f>
        <v>5</v>
      </c>
      <c r="N1463">
        <f>VLOOKUP(A1463,Marketing_df2!$A$1:$F$2241,5,FALSE)</f>
        <v>4</v>
      </c>
      <c r="O1463">
        <f>VLOOKUP(A1463,Marketing_df2!$A$1:$F$2241,6,FALSE)</f>
        <v>8</v>
      </c>
    </row>
    <row r="1464" spans="1:15" ht="12.5">
      <c r="A1464" s="6">
        <v>1462</v>
      </c>
      <c r="B1464" s="6">
        <v>2945</v>
      </c>
      <c r="C1464" s="6">
        <v>1955</v>
      </c>
      <c r="D1464" s="7" t="s">
        <v>12</v>
      </c>
      <c r="E1464" s="7" t="s">
        <v>11</v>
      </c>
      <c r="F1464" s="6">
        <v>46015</v>
      </c>
      <c r="G1464" s="6">
        <v>1</v>
      </c>
      <c r="H1464" s="6">
        <v>1</v>
      </c>
      <c r="I1464" s="6">
        <f t="shared" si="22"/>
        <v>2</v>
      </c>
      <c r="J1464" s="8">
        <v>41742</v>
      </c>
      <c r="K1464" s="6">
        <v>25</v>
      </c>
      <c r="L1464">
        <f>VLOOKUP(A1464,Marketing_df2!$A$1:$F$2241,3,FALSE)</f>
        <v>0</v>
      </c>
      <c r="M1464">
        <f>VLOOKUP(A1464,Marketing_df2!$A$1:$F$2241,4,FALSE)</f>
        <v>0</v>
      </c>
      <c r="N1464">
        <f>VLOOKUP(A1464,Marketing_df2!$A$1:$F$2241,5,FALSE)</f>
        <v>1</v>
      </c>
      <c r="O1464">
        <f>VLOOKUP(A1464,Marketing_df2!$A$1:$F$2241,6,FALSE)</f>
        <v>3</v>
      </c>
    </row>
    <row r="1465" spans="1:15" ht="12.5">
      <c r="A1465" s="6">
        <v>1463</v>
      </c>
      <c r="B1465" s="6">
        <v>10403</v>
      </c>
      <c r="C1465" s="6">
        <v>1978</v>
      </c>
      <c r="D1465" s="7" t="s">
        <v>9</v>
      </c>
      <c r="E1465" s="7" t="s">
        <v>11</v>
      </c>
      <c r="F1465" s="6">
        <v>16531</v>
      </c>
      <c r="G1465" s="6">
        <v>1</v>
      </c>
      <c r="H1465" s="6">
        <v>0</v>
      </c>
      <c r="I1465" s="6">
        <f t="shared" si="22"/>
        <v>1</v>
      </c>
      <c r="J1465" s="8">
        <v>41808</v>
      </c>
      <c r="K1465" s="6">
        <v>43</v>
      </c>
      <c r="L1465">
        <f>VLOOKUP(A1465,Marketing_df2!$A$1:$F$2241,3,FALSE)</f>
        <v>13</v>
      </c>
      <c r="M1465">
        <f>VLOOKUP(A1465,Marketing_df2!$A$1:$F$2241,4,FALSE)</f>
        <v>5</v>
      </c>
      <c r="N1465">
        <f>VLOOKUP(A1465,Marketing_df2!$A$1:$F$2241,5,FALSE)</f>
        <v>3</v>
      </c>
      <c r="O1465">
        <f>VLOOKUP(A1465,Marketing_df2!$A$1:$F$2241,6,FALSE)</f>
        <v>3</v>
      </c>
    </row>
    <row r="1466" spans="1:15" ht="12.5">
      <c r="A1466" s="6">
        <v>1464</v>
      </c>
      <c r="B1466" s="6">
        <v>5074</v>
      </c>
      <c r="C1466" s="6">
        <v>1986</v>
      </c>
      <c r="D1466" s="7" t="s">
        <v>14</v>
      </c>
      <c r="E1466" s="7" t="s">
        <v>13</v>
      </c>
      <c r="F1466" s="6">
        <v>28072</v>
      </c>
      <c r="G1466" s="6">
        <v>1</v>
      </c>
      <c r="H1466" s="6">
        <v>0</v>
      </c>
      <c r="I1466" s="6">
        <f t="shared" si="22"/>
        <v>1</v>
      </c>
      <c r="J1466" s="8">
        <v>41463</v>
      </c>
      <c r="K1466" s="6">
        <v>10</v>
      </c>
      <c r="L1466">
        <f>VLOOKUP(A1466,Marketing_df2!$A$1:$F$2241,3,FALSE)</f>
        <v>0</v>
      </c>
      <c r="M1466">
        <f>VLOOKUP(A1466,Marketing_df2!$A$1:$F$2241,4,FALSE)</f>
        <v>0</v>
      </c>
      <c r="N1466">
        <f>VLOOKUP(A1466,Marketing_df2!$A$1:$F$2241,5,FALSE)</f>
        <v>1</v>
      </c>
      <c r="O1466">
        <f>VLOOKUP(A1466,Marketing_df2!$A$1:$F$2241,6,FALSE)</f>
        <v>3</v>
      </c>
    </row>
    <row r="1467" spans="1:15" ht="12.5">
      <c r="A1467" s="6">
        <v>1465</v>
      </c>
      <c r="B1467" s="6">
        <v>10524</v>
      </c>
      <c r="C1467" s="6">
        <v>1963</v>
      </c>
      <c r="D1467" s="7" t="s">
        <v>14</v>
      </c>
      <c r="E1467" s="7" t="s">
        <v>15</v>
      </c>
      <c r="F1467" s="6">
        <v>49476</v>
      </c>
      <c r="G1467" s="6">
        <v>0</v>
      </c>
      <c r="H1467" s="6">
        <v>1</v>
      </c>
      <c r="I1467" s="6">
        <f t="shared" si="22"/>
        <v>1</v>
      </c>
      <c r="J1467" s="8">
        <v>41445</v>
      </c>
      <c r="K1467" s="6">
        <v>29</v>
      </c>
      <c r="L1467">
        <f>VLOOKUP(A1467,Marketing_df2!$A$1:$F$2241,3,FALSE)</f>
        <v>23</v>
      </c>
      <c r="M1467">
        <f>VLOOKUP(A1467,Marketing_df2!$A$1:$F$2241,4,FALSE)</f>
        <v>41</v>
      </c>
      <c r="N1467">
        <f>VLOOKUP(A1467,Marketing_df2!$A$1:$F$2241,5,FALSE)</f>
        <v>2</v>
      </c>
      <c r="O1467">
        <f>VLOOKUP(A1467,Marketing_df2!$A$1:$F$2241,6,FALSE)</f>
        <v>5</v>
      </c>
    </row>
    <row r="1468" spans="1:15" ht="12.5">
      <c r="A1468" s="6">
        <v>1466</v>
      </c>
      <c r="B1468" s="6">
        <v>4690</v>
      </c>
      <c r="C1468" s="6">
        <v>1953</v>
      </c>
      <c r="D1468" s="7" t="s">
        <v>9</v>
      </c>
      <c r="E1468" s="7" t="s">
        <v>13</v>
      </c>
      <c r="F1468" s="6">
        <v>50725</v>
      </c>
      <c r="G1468" s="6">
        <v>0</v>
      </c>
      <c r="H1468" s="6">
        <v>1</v>
      </c>
      <c r="I1468" s="6">
        <f t="shared" si="22"/>
        <v>1</v>
      </c>
      <c r="J1468" s="8">
        <v>41318</v>
      </c>
      <c r="K1468" s="6">
        <v>45</v>
      </c>
      <c r="L1468">
        <f>VLOOKUP(A1468,Marketing_df2!$A$1:$F$2241,3,FALSE)</f>
        <v>10</v>
      </c>
      <c r="M1468">
        <f>VLOOKUP(A1468,Marketing_df2!$A$1:$F$2241,4,FALSE)</f>
        <v>10</v>
      </c>
      <c r="N1468">
        <f>VLOOKUP(A1468,Marketing_df2!$A$1:$F$2241,5,FALSE)</f>
        <v>8</v>
      </c>
      <c r="O1468">
        <f>VLOOKUP(A1468,Marketing_df2!$A$1:$F$2241,6,FALSE)</f>
        <v>8</v>
      </c>
    </row>
    <row r="1469" spans="1:15" ht="12.5">
      <c r="A1469" s="6">
        <v>1467</v>
      </c>
      <c r="B1469" s="6">
        <v>7521</v>
      </c>
      <c r="C1469" s="6">
        <v>1952</v>
      </c>
      <c r="D1469" s="7" t="s">
        <v>9</v>
      </c>
      <c r="E1469" s="7" t="s">
        <v>11</v>
      </c>
      <c r="F1469" s="6">
        <v>83844</v>
      </c>
      <c r="G1469" s="6">
        <v>0</v>
      </c>
      <c r="H1469" s="6">
        <v>0</v>
      </c>
      <c r="I1469" s="6">
        <f t="shared" si="22"/>
        <v>0</v>
      </c>
      <c r="J1469" s="8">
        <v>41406</v>
      </c>
      <c r="K1469" s="6">
        <v>57</v>
      </c>
      <c r="L1469">
        <f>VLOOKUP(A1469,Marketing_df2!$A$1:$F$2241,3,FALSE)</f>
        <v>31</v>
      </c>
      <c r="M1469">
        <f>VLOOKUP(A1469,Marketing_df2!$A$1:$F$2241,4,FALSE)</f>
        <v>31</v>
      </c>
      <c r="N1469">
        <f>VLOOKUP(A1469,Marketing_df2!$A$1:$F$2241,5,FALSE)</f>
        <v>4</v>
      </c>
      <c r="O1469">
        <f>VLOOKUP(A1469,Marketing_df2!$A$1:$F$2241,6,FALSE)</f>
        <v>11</v>
      </c>
    </row>
    <row r="1470" spans="1:15" ht="12.5">
      <c r="A1470" s="6">
        <v>1468</v>
      </c>
      <c r="B1470" s="6">
        <v>7196</v>
      </c>
      <c r="C1470" s="6">
        <v>1950</v>
      </c>
      <c r="D1470" s="7" t="s">
        <v>12</v>
      </c>
      <c r="E1470" s="7" t="s">
        <v>13</v>
      </c>
      <c r="F1470" s="6">
        <v>41145</v>
      </c>
      <c r="G1470" s="6">
        <v>1</v>
      </c>
      <c r="H1470" s="6">
        <v>1</v>
      </c>
      <c r="I1470" s="6">
        <f t="shared" si="22"/>
        <v>2</v>
      </c>
      <c r="J1470" s="8">
        <v>41678</v>
      </c>
      <c r="K1470" s="6">
        <v>20</v>
      </c>
      <c r="L1470">
        <f>VLOOKUP(A1470,Marketing_df2!$A$1:$F$2241,3,FALSE)</f>
        <v>0</v>
      </c>
      <c r="M1470">
        <f>VLOOKUP(A1470,Marketing_df2!$A$1:$F$2241,4,FALSE)</f>
        <v>0</v>
      </c>
      <c r="N1470">
        <f>VLOOKUP(A1470,Marketing_df2!$A$1:$F$2241,5,FALSE)</f>
        <v>0</v>
      </c>
      <c r="O1470">
        <f>VLOOKUP(A1470,Marketing_df2!$A$1:$F$2241,6,FALSE)</f>
        <v>3</v>
      </c>
    </row>
    <row r="1471" spans="1:15" ht="12.5">
      <c r="A1471" s="6">
        <v>1469</v>
      </c>
      <c r="B1471" s="6">
        <v>4406</v>
      </c>
      <c r="C1471" s="6">
        <v>1970</v>
      </c>
      <c r="D1471" s="7" t="s">
        <v>9</v>
      </c>
      <c r="E1471" s="7" t="s">
        <v>11</v>
      </c>
      <c r="F1471" s="6">
        <v>67419</v>
      </c>
      <c r="G1471" s="6">
        <v>0</v>
      </c>
      <c r="H1471" s="6">
        <v>1</v>
      </c>
      <c r="I1471" s="6">
        <f t="shared" si="22"/>
        <v>1</v>
      </c>
      <c r="J1471" s="8">
        <v>41290</v>
      </c>
      <c r="K1471" s="6">
        <v>29</v>
      </c>
      <c r="L1471">
        <f>VLOOKUP(A1471,Marketing_df2!$A$1:$F$2241,3,FALSE)</f>
        <v>84</v>
      </c>
      <c r="M1471">
        <f>VLOOKUP(A1471,Marketing_df2!$A$1:$F$2241,4,FALSE)</f>
        <v>56</v>
      </c>
      <c r="N1471">
        <f>VLOOKUP(A1471,Marketing_df2!$A$1:$F$2241,5,FALSE)</f>
        <v>9</v>
      </c>
      <c r="O1471">
        <f>VLOOKUP(A1471,Marketing_df2!$A$1:$F$2241,6,FALSE)</f>
        <v>8</v>
      </c>
    </row>
    <row r="1472" spans="1:15" ht="12.5">
      <c r="A1472" s="6">
        <v>1470</v>
      </c>
      <c r="B1472" s="6">
        <v>9672</v>
      </c>
      <c r="C1472" s="6">
        <v>1970</v>
      </c>
      <c r="D1472" s="7" t="s">
        <v>17</v>
      </c>
      <c r="E1472" s="7" t="s">
        <v>13</v>
      </c>
      <c r="F1472" s="6">
        <v>23162</v>
      </c>
      <c r="G1472" s="6">
        <v>1</v>
      </c>
      <c r="H1472" s="6">
        <v>1</v>
      </c>
      <c r="I1472" s="6">
        <f t="shared" si="22"/>
        <v>2</v>
      </c>
      <c r="J1472" s="9">
        <v>41629</v>
      </c>
      <c r="K1472" s="6">
        <v>82</v>
      </c>
      <c r="L1472">
        <f>VLOOKUP(A1472,Marketing_df2!$A$1:$F$2241,3,FALSE)</f>
        <v>3</v>
      </c>
      <c r="M1472">
        <f>VLOOKUP(A1472,Marketing_df2!$A$1:$F$2241,4,FALSE)</f>
        <v>4</v>
      </c>
      <c r="N1472">
        <f>VLOOKUP(A1472,Marketing_df2!$A$1:$F$2241,5,FALSE)</f>
        <v>1</v>
      </c>
      <c r="O1472">
        <f>VLOOKUP(A1472,Marketing_df2!$A$1:$F$2241,6,FALSE)</f>
        <v>3</v>
      </c>
    </row>
    <row r="1473" spans="1:15" ht="12.5">
      <c r="A1473" s="6">
        <v>1471</v>
      </c>
      <c r="B1473" s="6">
        <v>4864</v>
      </c>
      <c r="C1473" s="6">
        <v>1977</v>
      </c>
      <c r="D1473" s="7" t="s">
        <v>9</v>
      </c>
      <c r="E1473" s="7" t="s">
        <v>13</v>
      </c>
      <c r="F1473" s="6">
        <v>34380</v>
      </c>
      <c r="G1473" s="6">
        <v>1</v>
      </c>
      <c r="H1473" s="6">
        <v>0</v>
      </c>
      <c r="I1473" s="6">
        <f t="shared" si="22"/>
        <v>1</v>
      </c>
      <c r="J1473" s="8">
        <v>41396</v>
      </c>
      <c r="K1473" s="6">
        <v>68</v>
      </c>
      <c r="L1473">
        <f>VLOOKUP(A1473,Marketing_df2!$A$1:$F$2241,3,FALSE)</f>
        <v>7</v>
      </c>
      <c r="M1473">
        <f>VLOOKUP(A1473,Marketing_df2!$A$1:$F$2241,4,FALSE)</f>
        <v>1</v>
      </c>
      <c r="N1473">
        <f>VLOOKUP(A1473,Marketing_df2!$A$1:$F$2241,5,FALSE)</f>
        <v>4</v>
      </c>
      <c r="O1473">
        <f>VLOOKUP(A1473,Marketing_df2!$A$1:$F$2241,6,FALSE)</f>
        <v>3</v>
      </c>
    </row>
    <row r="1474" spans="1:15" ht="12.5">
      <c r="A1474" s="6">
        <v>1472</v>
      </c>
      <c r="B1474" s="6">
        <v>4706</v>
      </c>
      <c r="C1474" s="6">
        <v>1966</v>
      </c>
      <c r="D1474" s="7" t="s">
        <v>9</v>
      </c>
      <c r="E1474" s="7" t="s">
        <v>10</v>
      </c>
      <c r="F1474" s="6">
        <v>34704</v>
      </c>
      <c r="G1474" s="6">
        <v>0</v>
      </c>
      <c r="H1474" s="6">
        <v>1</v>
      </c>
      <c r="I1474" s="6">
        <f t="shared" si="22"/>
        <v>1</v>
      </c>
      <c r="J1474" s="8">
        <v>41391</v>
      </c>
      <c r="K1474" s="6">
        <v>65</v>
      </c>
      <c r="L1474">
        <f>VLOOKUP(A1474,Marketing_df2!$A$1:$F$2241,3,FALSE)</f>
        <v>0</v>
      </c>
      <c r="M1474">
        <f>VLOOKUP(A1474,Marketing_df2!$A$1:$F$2241,4,FALSE)</f>
        <v>1</v>
      </c>
      <c r="N1474">
        <f>VLOOKUP(A1474,Marketing_df2!$A$1:$F$2241,5,FALSE)</f>
        <v>1</v>
      </c>
      <c r="O1474">
        <f>VLOOKUP(A1474,Marketing_df2!$A$1:$F$2241,6,FALSE)</f>
        <v>3</v>
      </c>
    </row>
    <row r="1475" spans="1:15" ht="12.5">
      <c r="A1475" s="6">
        <v>1473</v>
      </c>
      <c r="B1475" s="6">
        <v>4070</v>
      </c>
      <c r="C1475" s="6">
        <v>1969</v>
      </c>
      <c r="D1475" s="7" t="s">
        <v>12</v>
      </c>
      <c r="E1475" s="7" t="s">
        <v>13</v>
      </c>
      <c r="F1475" s="6">
        <v>94871</v>
      </c>
      <c r="G1475" s="6">
        <v>0</v>
      </c>
      <c r="H1475" s="6">
        <v>2</v>
      </c>
      <c r="I1475" s="6">
        <f t="shared" ref="I1475:I1538" si="23">G1475+H1475</f>
        <v>2</v>
      </c>
      <c r="J1475" s="8">
        <v>41153</v>
      </c>
      <c r="K1475" s="6">
        <v>99</v>
      </c>
      <c r="L1475">
        <f>VLOOKUP(A1475,Marketing_df2!$A$1:$F$2241,3,FALSE)</f>
        <v>24</v>
      </c>
      <c r="M1475">
        <f>VLOOKUP(A1475,Marketing_df2!$A$1:$F$2241,4,FALSE)</f>
        <v>0</v>
      </c>
      <c r="N1475">
        <f>VLOOKUP(A1475,Marketing_df2!$A$1:$F$2241,5,FALSE)</f>
        <v>8</v>
      </c>
      <c r="O1475">
        <f>VLOOKUP(A1475,Marketing_df2!$A$1:$F$2241,6,FALSE)</f>
        <v>4</v>
      </c>
    </row>
    <row r="1476" spans="1:15" ht="12.5">
      <c r="A1476" s="6">
        <v>1474</v>
      </c>
      <c r="B1476" s="6">
        <v>25</v>
      </c>
      <c r="C1476" s="6">
        <v>1958</v>
      </c>
      <c r="D1476" s="7" t="s">
        <v>9</v>
      </c>
      <c r="E1476" s="7" t="s">
        <v>13</v>
      </c>
      <c r="F1476" s="6">
        <v>65148</v>
      </c>
      <c r="G1476" s="6">
        <v>0</v>
      </c>
      <c r="H1476" s="6">
        <v>1</v>
      </c>
      <c r="I1476" s="6">
        <f t="shared" si="23"/>
        <v>1</v>
      </c>
      <c r="J1476" s="9">
        <v>41229</v>
      </c>
      <c r="K1476" s="6">
        <v>9</v>
      </c>
      <c r="L1476">
        <f>VLOOKUP(A1476,Marketing_df2!$A$1:$F$2241,3,FALSE)</f>
        <v>35</v>
      </c>
      <c r="M1476">
        <f>VLOOKUP(A1476,Marketing_df2!$A$1:$F$2241,4,FALSE)</f>
        <v>12</v>
      </c>
      <c r="N1476">
        <f>VLOOKUP(A1476,Marketing_df2!$A$1:$F$2241,5,FALSE)</f>
        <v>6</v>
      </c>
      <c r="O1476">
        <f>VLOOKUP(A1476,Marketing_df2!$A$1:$F$2241,6,FALSE)</f>
        <v>7</v>
      </c>
    </row>
    <row r="1477" spans="1:15" ht="12.5">
      <c r="A1477" s="6">
        <v>1475</v>
      </c>
      <c r="B1477" s="6">
        <v>3697</v>
      </c>
      <c r="C1477" s="6">
        <v>1954</v>
      </c>
      <c r="D1477" s="7" t="s">
        <v>9</v>
      </c>
      <c r="E1477" s="7" t="s">
        <v>11</v>
      </c>
      <c r="F1477" s="6">
        <v>39898</v>
      </c>
      <c r="G1477" s="6">
        <v>0</v>
      </c>
      <c r="H1477" s="6">
        <v>1</v>
      </c>
      <c r="I1477" s="6">
        <f t="shared" si="23"/>
        <v>1</v>
      </c>
      <c r="J1477" s="8">
        <v>41317</v>
      </c>
      <c r="K1477" s="6">
        <v>20</v>
      </c>
      <c r="L1477">
        <f>VLOOKUP(A1477,Marketing_df2!$A$1:$F$2241,3,FALSE)</f>
        <v>8</v>
      </c>
      <c r="M1477">
        <f>VLOOKUP(A1477,Marketing_df2!$A$1:$F$2241,4,FALSE)</f>
        <v>7</v>
      </c>
      <c r="N1477">
        <f>VLOOKUP(A1477,Marketing_df2!$A$1:$F$2241,5,FALSE)</f>
        <v>3</v>
      </c>
      <c r="O1477">
        <f>VLOOKUP(A1477,Marketing_df2!$A$1:$F$2241,6,FALSE)</f>
        <v>4</v>
      </c>
    </row>
    <row r="1478" spans="1:15" ht="12.5">
      <c r="A1478" s="6">
        <v>1476</v>
      </c>
      <c r="B1478" s="6">
        <v>217</v>
      </c>
      <c r="C1478" s="6">
        <v>1956</v>
      </c>
      <c r="D1478" s="7" t="s">
        <v>14</v>
      </c>
      <c r="E1478" s="7" t="s">
        <v>10</v>
      </c>
      <c r="F1478" s="6">
        <v>64857</v>
      </c>
      <c r="G1478" s="6">
        <v>0</v>
      </c>
      <c r="H1478" s="6">
        <v>0</v>
      </c>
      <c r="I1478" s="6">
        <f t="shared" si="23"/>
        <v>0</v>
      </c>
      <c r="J1478" s="9">
        <v>41236</v>
      </c>
      <c r="K1478" s="6">
        <v>78</v>
      </c>
      <c r="L1478">
        <f>VLOOKUP(A1478,Marketing_df2!$A$1:$F$2241,3,FALSE)</f>
        <v>14</v>
      </c>
      <c r="M1478">
        <f>VLOOKUP(A1478,Marketing_df2!$A$1:$F$2241,4,FALSE)</f>
        <v>0</v>
      </c>
      <c r="N1478">
        <f>VLOOKUP(A1478,Marketing_df2!$A$1:$F$2241,5,FALSE)</f>
        <v>7</v>
      </c>
      <c r="O1478">
        <f>VLOOKUP(A1478,Marketing_df2!$A$1:$F$2241,6,FALSE)</f>
        <v>10</v>
      </c>
    </row>
    <row r="1479" spans="1:15" ht="12.5">
      <c r="A1479" s="6">
        <v>1477</v>
      </c>
      <c r="B1479" s="6">
        <v>4220</v>
      </c>
      <c r="C1479" s="6">
        <v>1970</v>
      </c>
      <c r="D1479" s="7" t="s">
        <v>12</v>
      </c>
      <c r="E1479" s="7" t="s">
        <v>13</v>
      </c>
      <c r="F1479" s="6">
        <v>59892</v>
      </c>
      <c r="G1479" s="6">
        <v>0</v>
      </c>
      <c r="H1479" s="6">
        <v>1</v>
      </c>
      <c r="I1479" s="6">
        <f t="shared" si="23"/>
        <v>1</v>
      </c>
      <c r="J1479" s="8">
        <v>41580</v>
      </c>
      <c r="K1479" s="6">
        <v>26</v>
      </c>
      <c r="L1479">
        <f>VLOOKUP(A1479,Marketing_df2!$A$1:$F$2241,3,FALSE)</f>
        <v>0</v>
      </c>
      <c r="M1479">
        <f>VLOOKUP(A1479,Marketing_df2!$A$1:$F$2241,4,FALSE)</f>
        <v>1</v>
      </c>
      <c r="N1479">
        <f>VLOOKUP(A1479,Marketing_df2!$A$1:$F$2241,5,FALSE)</f>
        <v>2</v>
      </c>
      <c r="O1479">
        <f>VLOOKUP(A1479,Marketing_df2!$A$1:$F$2241,6,FALSE)</f>
        <v>3</v>
      </c>
    </row>
    <row r="1480" spans="1:15" ht="12.5">
      <c r="A1480" s="6">
        <v>1478</v>
      </c>
      <c r="B1480" s="6">
        <v>5286</v>
      </c>
      <c r="C1480" s="6">
        <v>1987</v>
      </c>
      <c r="D1480" s="7" t="s">
        <v>14</v>
      </c>
      <c r="E1480" s="7" t="s">
        <v>10</v>
      </c>
      <c r="F1480" s="6">
        <v>41020</v>
      </c>
      <c r="G1480" s="6">
        <v>0</v>
      </c>
      <c r="H1480" s="6">
        <v>0</v>
      </c>
      <c r="I1480" s="6">
        <f t="shared" si="23"/>
        <v>0</v>
      </c>
      <c r="J1480" s="9">
        <v>41575</v>
      </c>
      <c r="K1480" s="6">
        <v>68</v>
      </c>
      <c r="L1480">
        <f>VLOOKUP(A1480,Marketing_df2!$A$1:$F$2241,3,FALSE)</f>
        <v>1</v>
      </c>
      <c r="M1480">
        <f>VLOOKUP(A1480,Marketing_df2!$A$1:$F$2241,4,FALSE)</f>
        <v>7</v>
      </c>
      <c r="N1480">
        <f>VLOOKUP(A1480,Marketing_df2!$A$1:$F$2241,5,FALSE)</f>
        <v>3</v>
      </c>
      <c r="O1480">
        <f>VLOOKUP(A1480,Marketing_df2!$A$1:$F$2241,6,FALSE)</f>
        <v>4</v>
      </c>
    </row>
    <row r="1481" spans="1:15" ht="12.5">
      <c r="A1481" s="6">
        <v>1479</v>
      </c>
      <c r="B1481" s="6">
        <v>9559</v>
      </c>
      <c r="C1481" s="6">
        <v>1961</v>
      </c>
      <c r="D1481" s="7" t="s">
        <v>12</v>
      </c>
      <c r="E1481" s="7" t="s">
        <v>13</v>
      </c>
      <c r="F1481" s="6">
        <v>57072</v>
      </c>
      <c r="G1481" s="6">
        <v>0</v>
      </c>
      <c r="H1481" s="6">
        <v>1</v>
      </c>
      <c r="I1481" s="6">
        <f t="shared" si="23"/>
        <v>1</v>
      </c>
      <c r="J1481" s="8">
        <v>41663</v>
      </c>
      <c r="K1481" s="6">
        <v>79</v>
      </c>
      <c r="L1481">
        <f>VLOOKUP(A1481,Marketing_df2!$A$1:$F$2241,3,FALSE)</f>
        <v>0</v>
      </c>
      <c r="M1481">
        <f>VLOOKUP(A1481,Marketing_df2!$A$1:$F$2241,4,FALSE)</f>
        <v>0</v>
      </c>
      <c r="N1481">
        <f>VLOOKUP(A1481,Marketing_df2!$A$1:$F$2241,5,FALSE)</f>
        <v>7</v>
      </c>
      <c r="O1481">
        <f>VLOOKUP(A1481,Marketing_df2!$A$1:$F$2241,6,FALSE)</f>
        <v>13</v>
      </c>
    </row>
    <row r="1482" spans="1:15" ht="12.5">
      <c r="A1482" s="6">
        <v>1480</v>
      </c>
      <c r="B1482" s="6">
        <v>2849</v>
      </c>
      <c r="C1482" s="6">
        <v>1979</v>
      </c>
      <c r="D1482" s="7" t="s">
        <v>9</v>
      </c>
      <c r="E1482" s="7" t="s">
        <v>10</v>
      </c>
      <c r="F1482" s="6">
        <v>60474</v>
      </c>
      <c r="G1482" s="6">
        <v>0</v>
      </c>
      <c r="H1482" s="6">
        <v>1</v>
      </c>
      <c r="I1482" s="6">
        <f t="shared" si="23"/>
        <v>1</v>
      </c>
      <c r="J1482" s="8">
        <v>41365</v>
      </c>
      <c r="K1482" s="6">
        <v>25</v>
      </c>
      <c r="L1482">
        <f>VLOOKUP(A1482,Marketing_df2!$A$1:$F$2241,3,FALSE)</f>
        <v>199</v>
      </c>
      <c r="M1482">
        <f>VLOOKUP(A1482,Marketing_df2!$A$1:$F$2241,4,FALSE)</f>
        <v>9</v>
      </c>
      <c r="N1482">
        <f>VLOOKUP(A1482,Marketing_df2!$A$1:$F$2241,5,FALSE)</f>
        <v>10</v>
      </c>
      <c r="O1482">
        <f>VLOOKUP(A1482,Marketing_df2!$A$1:$F$2241,6,FALSE)</f>
        <v>12</v>
      </c>
    </row>
    <row r="1483" spans="1:15" ht="12.5">
      <c r="A1483" s="6">
        <v>1481</v>
      </c>
      <c r="B1483" s="6">
        <v>7787</v>
      </c>
      <c r="C1483" s="6">
        <v>1960</v>
      </c>
      <c r="D1483" s="7" t="s">
        <v>9</v>
      </c>
      <c r="E1483" s="7" t="s">
        <v>11</v>
      </c>
      <c r="F1483" s="6">
        <v>62807</v>
      </c>
      <c r="G1483" s="6">
        <v>0</v>
      </c>
      <c r="H1483" s="6">
        <v>1</v>
      </c>
      <c r="I1483" s="6">
        <f t="shared" si="23"/>
        <v>1</v>
      </c>
      <c r="J1483" s="8">
        <v>41152</v>
      </c>
      <c r="K1483" s="6">
        <v>83</v>
      </c>
      <c r="L1483">
        <f>VLOOKUP(A1483,Marketing_df2!$A$1:$F$2241,3,FALSE)</f>
        <v>28</v>
      </c>
      <c r="M1483">
        <f>VLOOKUP(A1483,Marketing_df2!$A$1:$F$2241,4,FALSE)</f>
        <v>21</v>
      </c>
      <c r="N1483">
        <f>VLOOKUP(A1483,Marketing_df2!$A$1:$F$2241,5,FALSE)</f>
        <v>5</v>
      </c>
      <c r="O1483">
        <f>VLOOKUP(A1483,Marketing_df2!$A$1:$F$2241,6,FALSE)</f>
        <v>12</v>
      </c>
    </row>
    <row r="1484" spans="1:15" ht="12.5">
      <c r="A1484" s="6">
        <v>1482</v>
      </c>
      <c r="B1484" s="6">
        <v>3102</v>
      </c>
      <c r="C1484" s="6">
        <v>1981</v>
      </c>
      <c r="D1484" s="7" t="s">
        <v>17</v>
      </c>
      <c r="E1484" s="7" t="s">
        <v>11</v>
      </c>
      <c r="F1484" s="6">
        <v>19414</v>
      </c>
      <c r="G1484" s="6">
        <v>1</v>
      </c>
      <c r="H1484" s="6">
        <v>0</v>
      </c>
      <c r="I1484" s="6">
        <f t="shared" si="23"/>
        <v>1</v>
      </c>
      <c r="J1484" s="9">
        <v>41563</v>
      </c>
      <c r="K1484" s="6">
        <v>32</v>
      </c>
      <c r="L1484">
        <f>VLOOKUP(A1484,Marketing_df2!$A$1:$F$2241,3,FALSE)</f>
        <v>3</v>
      </c>
      <c r="M1484">
        <f>VLOOKUP(A1484,Marketing_df2!$A$1:$F$2241,4,FALSE)</f>
        <v>5</v>
      </c>
      <c r="N1484">
        <f>VLOOKUP(A1484,Marketing_df2!$A$1:$F$2241,5,FALSE)</f>
        <v>1</v>
      </c>
      <c r="O1484">
        <f>VLOOKUP(A1484,Marketing_df2!$A$1:$F$2241,6,FALSE)</f>
        <v>3</v>
      </c>
    </row>
    <row r="1485" spans="1:15" ht="12.5">
      <c r="A1485" s="6">
        <v>1483</v>
      </c>
      <c r="B1485" s="6">
        <v>5868</v>
      </c>
      <c r="C1485" s="6">
        <v>1980</v>
      </c>
      <c r="D1485" s="7" t="s">
        <v>9</v>
      </c>
      <c r="E1485" s="7" t="s">
        <v>13</v>
      </c>
      <c r="F1485" s="6">
        <v>19107</v>
      </c>
      <c r="G1485" s="6">
        <v>1</v>
      </c>
      <c r="H1485" s="6">
        <v>0</v>
      </c>
      <c r="I1485" s="6">
        <f t="shared" si="23"/>
        <v>1</v>
      </c>
      <c r="J1485" s="8">
        <v>41508</v>
      </c>
      <c r="K1485" s="6">
        <v>49</v>
      </c>
      <c r="L1485">
        <f>VLOOKUP(A1485,Marketing_df2!$A$1:$F$2241,3,FALSE)</f>
        <v>4</v>
      </c>
      <c r="M1485">
        <f>VLOOKUP(A1485,Marketing_df2!$A$1:$F$2241,4,FALSE)</f>
        <v>5</v>
      </c>
      <c r="N1485">
        <f>VLOOKUP(A1485,Marketing_df2!$A$1:$F$2241,5,FALSE)</f>
        <v>1</v>
      </c>
      <c r="O1485">
        <f>VLOOKUP(A1485,Marketing_df2!$A$1:$F$2241,6,FALSE)</f>
        <v>3</v>
      </c>
    </row>
    <row r="1486" spans="1:15" ht="12.5">
      <c r="A1486" s="6">
        <v>1484</v>
      </c>
      <c r="B1486" s="6">
        <v>8370</v>
      </c>
      <c r="C1486" s="6">
        <v>1976</v>
      </c>
      <c r="D1486" s="7" t="s">
        <v>17</v>
      </c>
      <c r="E1486" s="7" t="s">
        <v>11</v>
      </c>
      <c r="F1486" s="6">
        <v>75484</v>
      </c>
      <c r="G1486" s="6">
        <v>0</v>
      </c>
      <c r="H1486" s="6">
        <v>1</v>
      </c>
      <c r="I1486" s="6">
        <f t="shared" si="23"/>
        <v>1</v>
      </c>
      <c r="J1486" s="8">
        <v>41123</v>
      </c>
      <c r="K1486" s="6">
        <v>50</v>
      </c>
      <c r="L1486">
        <f>VLOOKUP(A1486,Marketing_df2!$A$1:$F$2241,3,FALSE)</f>
        <v>97</v>
      </c>
      <c r="M1486">
        <f>VLOOKUP(A1486,Marketing_df2!$A$1:$F$2241,4,FALSE)</f>
        <v>194</v>
      </c>
      <c r="N1486">
        <f>VLOOKUP(A1486,Marketing_df2!$A$1:$F$2241,5,FALSE)</f>
        <v>7</v>
      </c>
      <c r="O1486">
        <f>VLOOKUP(A1486,Marketing_df2!$A$1:$F$2241,6,FALSE)</f>
        <v>6</v>
      </c>
    </row>
    <row r="1487" spans="1:15" ht="12.5">
      <c r="A1487" s="6">
        <v>1485</v>
      </c>
      <c r="B1487" s="6">
        <v>9988</v>
      </c>
      <c r="C1487" s="6">
        <v>1976</v>
      </c>
      <c r="D1487" s="7" t="s">
        <v>14</v>
      </c>
      <c r="E1487" s="7" t="s">
        <v>10</v>
      </c>
      <c r="F1487" s="6">
        <v>70379</v>
      </c>
      <c r="G1487" s="6">
        <v>0</v>
      </c>
      <c r="H1487" s="6">
        <v>1</v>
      </c>
      <c r="I1487" s="6">
        <f t="shared" si="23"/>
        <v>1</v>
      </c>
      <c r="J1487" s="8">
        <v>41336</v>
      </c>
      <c r="K1487" s="6">
        <v>84</v>
      </c>
      <c r="L1487">
        <f>VLOOKUP(A1487,Marketing_df2!$A$1:$F$2241,3,FALSE)</f>
        <v>25</v>
      </c>
      <c r="M1487">
        <f>VLOOKUP(A1487,Marketing_df2!$A$1:$F$2241,4,FALSE)</f>
        <v>67</v>
      </c>
      <c r="N1487">
        <f>VLOOKUP(A1487,Marketing_df2!$A$1:$F$2241,5,FALSE)</f>
        <v>6</v>
      </c>
      <c r="O1487">
        <f>VLOOKUP(A1487,Marketing_df2!$A$1:$F$2241,6,FALSE)</f>
        <v>13</v>
      </c>
    </row>
    <row r="1488" spans="1:15" ht="12.5">
      <c r="A1488" s="6">
        <v>1486</v>
      </c>
      <c r="B1488" s="6">
        <v>2939</v>
      </c>
      <c r="C1488" s="6">
        <v>1970</v>
      </c>
      <c r="D1488" s="7" t="s">
        <v>14</v>
      </c>
      <c r="E1488" s="7" t="s">
        <v>11</v>
      </c>
      <c r="F1488" s="6">
        <v>79419</v>
      </c>
      <c r="G1488" s="6">
        <v>0</v>
      </c>
      <c r="H1488" s="6">
        <v>0</v>
      </c>
      <c r="I1488" s="6">
        <f t="shared" si="23"/>
        <v>0</v>
      </c>
      <c r="J1488" s="8">
        <v>41812</v>
      </c>
      <c r="K1488" s="6">
        <v>96</v>
      </c>
      <c r="L1488">
        <f>VLOOKUP(A1488,Marketing_df2!$A$1:$F$2241,3,FALSE)</f>
        <v>127</v>
      </c>
      <c r="M1488">
        <f>VLOOKUP(A1488,Marketing_df2!$A$1:$F$2241,4,FALSE)</f>
        <v>15</v>
      </c>
      <c r="N1488">
        <f>VLOOKUP(A1488,Marketing_df2!$A$1:$F$2241,5,FALSE)</f>
        <v>4</v>
      </c>
      <c r="O1488">
        <f>VLOOKUP(A1488,Marketing_df2!$A$1:$F$2241,6,FALSE)</f>
        <v>4</v>
      </c>
    </row>
    <row r="1489" spans="1:15" ht="12.5">
      <c r="A1489" s="6">
        <v>1487</v>
      </c>
      <c r="B1489" s="6">
        <v>5529</v>
      </c>
      <c r="C1489" s="6">
        <v>1946</v>
      </c>
      <c r="D1489" s="7" t="s">
        <v>12</v>
      </c>
      <c r="E1489" s="7" t="s">
        <v>11</v>
      </c>
      <c r="F1489" s="6">
        <v>64014</v>
      </c>
      <c r="G1489" s="6">
        <v>2</v>
      </c>
      <c r="H1489" s="6">
        <v>1</v>
      </c>
      <c r="I1489" s="6">
        <f t="shared" si="23"/>
        <v>3</v>
      </c>
      <c r="J1489" s="8">
        <v>41800</v>
      </c>
      <c r="K1489" s="6">
        <v>56</v>
      </c>
      <c r="L1489">
        <f>VLOOKUP(A1489,Marketing_df2!$A$1:$F$2241,3,FALSE)</f>
        <v>0</v>
      </c>
      <c r="M1489">
        <f>VLOOKUP(A1489,Marketing_df2!$A$1:$F$2241,4,FALSE)</f>
        <v>0</v>
      </c>
      <c r="N1489">
        <f>VLOOKUP(A1489,Marketing_df2!$A$1:$F$2241,5,FALSE)</f>
        <v>8</v>
      </c>
      <c r="O1489">
        <f>VLOOKUP(A1489,Marketing_df2!$A$1:$F$2241,6,FALSE)</f>
        <v>5</v>
      </c>
    </row>
    <row r="1490" spans="1:15" ht="12.5">
      <c r="A1490" s="6">
        <v>1488</v>
      </c>
      <c r="B1490" s="6">
        <v>9743</v>
      </c>
      <c r="C1490" s="6">
        <v>1955</v>
      </c>
      <c r="D1490" s="7" t="s">
        <v>9</v>
      </c>
      <c r="E1490" s="7" t="s">
        <v>13</v>
      </c>
      <c r="F1490" s="6">
        <v>76998</v>
      </c>
      <c r="G1490" s="6">
        <v>0</v>
      </c>
      <c r="H1490" s="6">
        <v>1</v>
      </c>
      <c r="I1490" s="6">
        <f t="shared" si="23"/>
        <v>1</v>
      </c>
      <c r="J1490" s="8">
        <v>41285</v>
      </c>
      <c r="K1490" s="6">
        <v>85</v>
      </c>
      <c r="L1490">
        <f>VLOOKUP(A1490,Marketing_df2!$A$1:$F$2241,3,FALSE)</f>
        <v>89</v>
      </c>
      <c r="M1490">
        <f>VLOOKUP(A1490,Marketing_df2!$A$1:$F$2241,4,FALSE)</f>
        <v>35</v>
      </c>
      <c r="N1490">
        <f>VLOOKUP(A1490,Marketing_df2!$A$1:$F$2241,5,FALSE)</f>
        <v>11</v>
      </c>
      <c r="O1490">
        <f>VLOOKUP(A1490,Marketing_df2!$A$1:$F$2241,6,FALSE)</f>
        <v>8</v>
      </c>
    </row>
    <row r="1491" spans="1:15" ht="12.5">
      <c r="A1491" s="6">
        <v>1489</v>
      </c>
      <c r="B1491" s="6">
        <v>5763</v>
      </c>
      <c r="C1491" s="6">
        <v>1972</v>
      </c>
      <c r="D1491" s="7" t="s">
        <v>14</v>
      </c>
      <c r="E1491" s="7" t="s">
        <v>11</v>
      </c>
      <c r="F1491" s="6">
        <v>49854</v>
      </c>
      <c r="G1491" s="6">
        <v>1</v>
      </c>
      <c r="H1491" s="6">
        <v>0</v>
      </c>
      <c r="I1491" s="6">
        <f t="shared" si="23"/>
        <v>1</v>
      </c>
      <c r="J1491" s="9">
        <v>41588</v>
      </c>
      <c r="K1491" s="6">
        <v>63</v>
      </c>
      <c r="L1491">
        <f>VLOOKUP(A1491,Marketing_df2!$A$1:$F$2241,3,FALSE)</f>
        <v>17</v>
      </c>
      <c r="M1491">
        <f>VLOOKUP(A1491,Marketing_df2!$A$1:$F$2241,4,FALSE)</f>
        <v>0</v>
      </c>
      <c r="N1491">
        <f>VLOOKUP(A1491,Marketing_df2!$A$1:$F$2241,5,FALSE)</f>
        <v>6</v>
      </c>
      <c r="O1491">
        <f>VLOOKUP(A1491,Marketing_df2!$A$1:$F$2241,6,FALSE)</f>
        <v>5</v>
      </c>
    </row>
    <row r="1492" spans="1:15" ht="12.5">
      <c r="A1492" s="6">
        <v>1490</v>
      </c>
      <c r="B1492" s="6">
        <v>3478</v>
      </c>
      <c r="C1492" s="6">
        <v>1971</v>
      </c>
      <c r="D1492" s="7" t="s">
        <v>12</v>
      </c>
      <c r="E1492" s="7" t="s">
        <v>13</v>
      </c>
      <c r="F1492" s="6">
        <v>60585</v>
      </c>
      <c r="G1492" s="6">
        <v>1</v>
      </c>
      <c r="H1492" s="6">
        <v>1</v>
      </c>
      <c r="I1492" s="6">
        <f t="shared" si="23"/>
        <v>2</v>
      </c>
      <c r="J1492" s="8">
        <v>41449</v>
      </c>
      <c r="K1492" s="6">
        <v>17</v>
      </c>
      <c r="L1492">
        <f>VLOOKUP(A1492,Marketing_df2!$A$1:$F$2241,3,FALSE)</f>
        <v>42</v>
      </c>
      <c r="M1492">
        <f>VLOOKUP(A1492,Marketing_df2!$A$1:$F$2241,4,FALSE)</f>
        <v>42</v>
      </c>
      <c r="N1492">
        <f>VLOOKUP(A1492,Marketing_df2!$A$1:$F$2241,5,FALSE)</f>
        <v>7</v>
      </c>
      <c r="O1492">
        <f>VLOOKUP(A1492,Marketing_df2!$A$1:$F$2241,6,FALSE)</f>
        <v>9</v>
      </c>
    </row>
    <row r="1493" spans="1:15" ht="12.5">
      <c r="A1493" s="6">
        <v>1491</v>
      </c>
      <c r="B1493" s="6">
        <v>7494</v>
      </c>
      <c r="C1493" s="6">
        <v>1950</v>
      </c>
      <c r="D1493" s="7" t="s">
        <v>12</v>
      </c>
      <c r="E1493" s="7" t="s">
        <v>15</v>
      </c>
      <c r="F1493" s="6">
        <v>42873</v>
      </c>
      <c r="G1493" s="6">
        <v>1</v>
      </c>
      <c r="H1493" s="6">
        <v>1</v>
      </c>
      <c r="I1493" s="6">
        <f t="shared" si="23"/>
        <v>2</v>
      </c>
      <c r="J1493" s="8">
        <v>41295</v>
      </c>
      <c r="K1493" s="6">
        <v>11</v>
      </c>
      <c r="L1493">
        <f>VLOOKUP(A1493,Marketing_df2!$A$1:$F$2241,3,FALSE)</f>
        <v>0</v>
      </c>
      <c r="M1493">
        <f>VLOOKUP(A1493,Marketing_df2!$A$1:$F$2241,4,FALSE)</f>
        <v>2</v>
      </c>
      <c r="N1493">
        <f>VLOOKUP(A1493,Marketing_df2!$A$1:$F$2241,5,FALSE)</f>
        <v>6</v>
      </c>
      <c r="O1493">
        <f>VLOOKUP(A1493,Marketing_df2!$A$1:$F$2241,6,FALSE)</f>
        <v>4</v>
      </c>
    </row>
    <row r="1494" spans="1:15" ht="12.5">
      <c r="A1494" s="6">
        <v>1492</v>
      </c>
      <c r="B1494" s="6">
        <v>1763</v>
      </c>
      <c r="C1494" s="6">
        <v>1988</v>
      </c>
      <c r="D1494" s="7" t="s">
        <v>9</v>
      </c>
      <c r="E1494" s="7" t="s">
        <v>11</v>
      </c>
      <c r="F1494" s="6">
        <v>87679</v>
      </c>
      <c r="G1494" s="6">
        <v>0</v>
      </c>
      <c r="H1494" s="6">
        <v>0</v>
      </c>
      <c r="I1494" s="6">
        <f t="shared" si="23"/>
        <v>0</v>
      </c>
      <c r="J1494" s="8">
        <v>41482</v>
      </c>
      <c r="K1494" s="6">
        <v>62</v>
      </c>
      <c r="L1494">
        <f>VLOOKUP(A1494,Marketing_df2!$A$1:$F$2241,3,FALSE)</f>
        <v>172</v>
      </c>
      <c r="M1494">
        <f>VLOOKUP(A1494,Marketing_df2!$A$1:$F$2241,4,FALSE)</f>
        <v>148</v>
      </c>
      <c r="N1494">
        <f>VLOOKUP(A1494,Marketing_df2!$A$1:$F$2241,5,FALSE)</f>
        <v>7</v>
      </c>
      <c r="O1494">
        <f>VLOOKUP(A1494,Marketing_df2!$A$1:$F$2241,6,FALSE)</f>
        <v>10</v>
      </c>
    </row>
    <row r="1495" spans="1:15" ht="12.5">
      <c r="A1495" s="6">
        <v>1493</v>
      </c>
      <c r="B1495" s="6">
        <v>7250</v>
      </c>
      <c r="C1495" s="6">
        <v>1978</v>
      </c>
      <c r="D1495" s="7" t="s">
        <v>9</v>
      </c>
      <c r="E1495" s="7" t="s">
        <v>11</v>
      </c>
      <c r="F1495" s="6">
        <v>57867</v>
      </c>
      <c r="G1495" s="6">
        <v>1</v>
      </c>
      <c r="H1495" s="6">
        <v>0</v>
      </c>
      <c r="I1495" s="6">
        <f t="shared" si="23"/>
        <v>1</v>
      </c>
      <c r="J1495" s="8">
        <v>41548</v>
      </c>
      <c r="K1495" s="6">
        <v>48</v>
      </c>
      <c r="L1495">
        <f>VLOOKUP(A1495,Marketing_df2!$A$1:$F$2241,3,FALSE)</f>
        <v>35</v>
      </c>
      <c r="M1495">
        <f>VLOOKUP(A1495,Marketing_df2!$A$1:$F$2241,4,FALSE)</f>
        <v>23</v>
      </c>
      <c r="N1495">
        <f>VLOOKUP(A1495,Marketing_df2!$A$1:$F$2241,5,FALSE)</f>
        <v>7</v>
      </c>
      <c r="O1495">
        <f>VLOOKUP(A1495,Marketing_df2!$A$1:$F$2241,6,FALSE)</f>
        <v>9</v>
      </c>
    </row>
    <row r="1496" spans="1:15" ht="12.5">
      <c r="A1496" s="6">
        <v>1494</v>
      </c>
      <c r="B1496" s="6">
        <v>2005</v>
      </c>
      <c r="C1496" s="6">
        <v>1990</v>
      </c>
      <c r="D1496" s="7" t="s">
        <v>9</v>
      </c>
      <c r="E1496" s="7" t="s">
        <v>13</v>
      </c>
      <c r="F1496" s="6">
        <v>35765</v>
      </c>
      <c r="G1496" s="6">
        <v>1</v>
      </c>
      <c r="H1496" s="6">
        <v>0</v>
      </c>
      <c r="I1496" s="6">
        <f t="shared" si="23"/>
        <v>1</v>
      </c>
      <c r="J1496" s="9">
        <v>41619</v>
      </c>
      <c r="K1496" s="6">
        <v>86</v>
      </c>
      <c r="L1496">
        <f>VLOOKUP(A1496,Marketing_df2!$A$1:$F$2241,3,FALSE)</f>
        <v>3</v>
      </c>
      <c r="M1496">
        <f>VLOOKUP(A1496,Marketing_df2!$A$1:$F$2241,4,FALSE)</f>
        <v>5</v>
      </c>
      <c r="N1496">
        <f>VLOOKUP(A1496,Marketing_df2!$A$1:$F$2241,5,FALSE)</f>
        <v>2</v>
      </c>
      <c r="O1496">
        <f>VLOOKUP(A1496,Marketing_df2!$A$1:$F$2241,6,FALSE)</f>
        <v>4</v>
      </c>
    </row>
    <row r="1497" spans="1:15" ht="12.5">
      <c r="A1497" s="6">
        <v>1495</v>
      </c>
      <c r="B1497" s="6">
        <v>10770</v>
      </c>
      <c r="C1497" s="6">
        <v>1959</v>
      </c>
      <c r="D1497" s="7" t="s">
        <v>9</v>
      </c>
      <c r="E1497" s="7" t="s">
        <v>13</v>
      </c>
      <c r="F1497" s="6">
        <v>65492</v>
      </c>
      <c r="G1497" s="6">
        <v>0</v>
      </c>
      <c r="H1497" s="6">
        <v>0</v>
      </c>
      <c r="I1497" s="6">
        <f t="shared" si="23"/>
        <v>0</v>
      </c>
      <c r="J1497" s="8">
        <v>41665</v>
      </c>
      <c r="K1497" s="6">
        <v>73</v>
      </c>
      <c r="L1497">
        <f>VLOOKUP(A1497,Marketing_df2!$A$1:$F$2241,3,FALSE)</f>
        <v>161</v>
      </c>
      <c r="M1497">
        <f>VLOOKUP(A1497,Marketing_df2!$A$1:$F$2241,4,FALSE)</f>
        <v>85</v>
      </c>
      <c r="N1497">
        <f>VLOOKUP(A1497,Marketing_df2!$A$1:$F$2241,5,FALSE)</f>
        <v>4</v>
      </c>
      <c r="O1497">
        <f>VLOOKUP(A1497,Marketing_df2!$A$1:$F$2241,6,FALSE)</f>
        <v>13</v>
      </c>
    </row>
    <row r="1498" spans="1:15" ht="12.5">
      <c r="A1498" s="6">
        <v>1496</v>
      </c>
      <c r="B1498" s="6">
        <v>6885</v>
      </c>
      <c r="C1498" s="6">
        <v>1977</v>
      </c>
      <c r="D1498" s="7" t="s">
        <v>9</v>
      </c>
      <c r="E1498" s="7" t="s">
        <v>15</v>
      </c>
      <c r="F1498" s="6">
        <v>32952</v>
      </c>
      <c r="G1498" s="6">
        <v>1</v>
      </c>
      <c r="H1498" s="6">
        <v>0</v>
      </c>
      <c r="I1498" s="6">
        <f t="shared" si="23"/>
        <v>1</v>
      </c>
      <c r="J1498" s="8">
        <v>41609</v>
      </c>
      <c r="K1498" s="6">
        <v>36</v>
      </c>
      <c r="L1498">
        <f>VLOOKUP(A1498,Marketing_df2!$A$1:$F$2241,3,FALSE)</f>
        <v>0</v>
      </c>
      <c r="M1498">
        <f>VLOOKUP(A1498,Marketing_df2!$A$1:$F$2241,4,FALSE)</f>
        <v>1</v>
      </c>
      <c r="N1498">
        <f>VLOOKUP(A1498,Marketing_df2!$A$1:$F$2241,5,FALSE)</f>
        <v>2</v>
      </c>
      <c r="O1498">
        <f>VLOOKUP(A1498,Marketing_df2!$A$1:$F$2241,6,FALSE)</f>
        <v>3</v>
      </c>
    </row>
    <row r="1499" spans="1:15" ht="12.5">
      <c r="A1499" s="6">
        <v>1497</v>
      </c>
      <c r="B1499" s="6">
        <v>2072</v>
      </c>
      <c r="C1499" s="6">
        <v>1969</v>
      </c>
      <c r="D1499" s="7" t="s">
        <v>12</v>
      </c>
      <c r="E1499" s="7" t="s">
        <v>11</v>
      </c>
      <c r="F1499" s="6">
        <v>53374</v>
      </c>
      <c r="G1499" s="6">
        <v>0</v>
      </c>
      <c r="H1499" s="6">
        <v>1</v>
      </c>
      <c r="I1499" s="6">
        <f t="shared" si="23"/>
        <v>1</v>
      </c>
      <c r="J1499" s="8">
        <v>41137</v>
      </c>
      <c r="K1499" s="6">
        <v>34</v>
      </c>
      <c r="L1499">
        <f>VLOOKUP(A1499,Marketing_df2!$A$1:$F$2241,3,FALSE)</f>
        <v>10</v>
      </c>
      <c r="M1499">
        <f>VLOOKUP(A1499,Marketing_df2!$A$1:$F$2241,4,FALSE)</f>
        <v>10</v>
      </c>
      <c r="N1499">
        <f>VLOOKUP(A1499,Marketing_df2!$A$1:$F$2241,5,FALSE)</f>
        <v>4</v>
      </c>
      <c r="O1499">
        <f>VLOOKUP(A1499,Marketing_df2!$A$1:$F$2241,6,FALSE)</f>
        <v>9</v>
      </c>
    </row>
    <row r="1500" spans="1:15" ht="12.5">
      <c r="A1500" s="6">
        <v>1498</v>
      </c>
      <c r="B1500" s="6">
        <v>9463</v>
      </c>
      <c r="C1500" s="6">
        <v>1959</v>
      </c>
      <c r="D1500" s="7" t="s">
        <v>9</v>
      </c>
      <c r="E1500" s="7" t="s">
        <v>11</v>
      </c>
      <c r="F1500" s="6">
        <v>71706</v>
      </c>
      <c r="G1500" s="6">
        <v>0</v>
      </c>
      <c r="H1500" s="6">
        <v>1</v>
      </c>
      <c r="I1500" s="6">
        <f t="shared" si="23"/>
        <v>1</v>
      </c>
      <c r="J1500" s="9">
        <v>41226</v>
      </c>
      <c r="K1500" s="6">
        <v>16</v>
      </c>
      <c r="L1500">
        <f>VLOOKUP(A1500,Marketing_df2!$A$1:$F$2241,3,FALSE)</f>
        <v>56</v>
      </c>
      <c r="M1500">
        <f>VLOOKUP(A1500,Marketing_df2!$A$1:$F$2241,4,FALSE)</f>
        <v>98</v>
      </c>
      <c r="N1500">
        <f>VLOOKUP(A1500,Marketing_df2!$A$1:$F$2241,5,FALSE)</f>
        <v>9</v>
      </c>
      <c r="O1500">
        <f>VLOOKUP(A1500,Marketing_df2!$A$1:$F$2241,6,FALSE)</f>
        <v>7</v>
      </c>
    </row>
    <row r="1501" spans="1:15" ht="12.5">
      <c r="A1501" s="6">
        <v>1499</v>
      </c>
      <c r="B1501" s="6">
        <v>6318</v>
      </c>
      <c r="C1501" s="6">
        <v>1988</v>
      </c>
      <c r="D1501" s="7" t="s">
        <v>9</v>
      </c>
      <c r="E1501" s="7" t="s">
        <v>13</v>
      </c>
      <c r="F1501" s="6">
        <v>68487</v>
      </c>
      <c r="G1501" s="6">
        <v>0</v>
      </c>
      <c r="H1501" s="6">
        <v>0</v>
      </c>
      <c r="I1501" s="6">
        <f t="shared" si="23"/>
        <v>0</v>
      </c>
      <c r="J1501" s="8">
        <v>41287</v>
      </c>
      <c r="K1501" s="6">
        <v>48</v>
      </c>
      <c r="L1501">
        <f>VLOOKUP(A1501,Marketing_df2!$A$1:$F$2241,3,FALSE)</f>
        <v>12</v>
      </c>
      <c r="M1501">
        <f>VLOOKUP(A1501,Marketing_df2!$A$1:$F$2241,4,FALSE)</f>
        <v>89</v>
      </c>
      <c r="N1501">
        <f>VLOOKUP(A1501,Marketing_df2!$A$1:$F$2241,5,FALSE)</f>
        <v>9</v>
      </c>
      <c r="O1501">
        <f>VLOOKUP(A1501,Marketing_df2!$A$1:$F$2241,6,FALSE)</f>
        <v>13</v>
      </c>
    </row>
    <row r="1502" spans="1:15" ht="12.5">
      <c r="A1502" s="6">
        <v>1500</v>
      </c>
      <c r="B1502" s="6">
        <v>4093</v>
      </c>
      <c r="C1502" s="6">
        <v>1975</v>
      </c>
      <c r="D1502" s="7" t="s">
        <v>14</v>
      </c>
      <c r="E1502" s="7" t="s">
        <v>11</v>
      </c>
      <c r="F1502" s="6">
        <v>53253</v>
      </c>
      <c r="G1502" s="6">
        <v>1</v>
      </c>
      <c r="H1502" s="6">
        <v>1</v>
      </c>
      <c r="I1502" s="6">
        <f t="shared" si="23"/>
        <v>2</v>
      </c>
      <c r="J1502" s="8">
        <v>41316</v>
      </c>
      <c r="K1502" s="6">
        <v>61</v>
      </c>
      <c r="L1502">
        <f>VLOOKUP(A1502,Marketing_df2!$A$1:$F$2241,3,FALSE)</f>
        <v>9</v>
      </c>
      <c r="M1502">
        <f>VLOOKUP(A1502,Marketing_df2!$A$1:$F$2241,4,FALSE)</f>
        <v>9</v>
      </c>
      <c r="N1502">
        <f>VLOOKUP(A1502,Marketing_df2!$A$1:$F$2241,5,FALSE)</f>
        <v>4</v>
      </c>
      <c r="O1502">
        <f>VLOOKUP(A1502,Marketing_df2!$A$1:$F$2241,6,FALSE)</f>
        <v>5</v>
      </c>
    </row>
    <row r="1503" spans="1:15" ht="12.5">
      <c r="A1503" s="6">
        <v>1501</v>
      </c>
      <c r="B1503" s="6">
        <v>5751</v>
      </c>
      <c r="C1503" s="6">
        <v>1973</v>
      </c>
      <c r="D1503" s="7" t="s">
        <v>17</v>
      </c>
      <c r="E1503" s="7" t="s">
        <v>15</v>
      </c>
      <c r="F1503" s="6">
        <v>31163</v>
      </c>
      <c r="G1503" s="6">
        <v>1</v>
      </c>
      <c r="H1503" s="6">
        <v>0</v>
      </c>
      <c r="I1503" s="6">
        <f t="shared" si="23"/>
        <v>1</v>
      </c>
      <c r="J1503" s="8">
        <v>41683</v>
      </c>
      <c r="K1503" s="6">
        <v>54</v>
      </c>
      <c r="L1503">
        <f>VLOOKUP(A1503,Marketing_df2!$A$1:$F$2241,3,FALSE)</f>
        <v>3</v>
      </c>
      <c r="M1503">
        <f>VLOOKUP(A1503,Marketing_df2!$A$1:$F$2241,4,FALSE)</f>
        <v>2</v>
      </c>
      <c r="N1503">
        <f>VLOOKUP(A1503,Marketing_df2!$A$1:$F$2241,5,FALSE)</f>
        <v>1</v>
      </c>
      <c r="O1503">
        <f>VLOOKUP(A1503,Marketing_df2!$A$1:$F$2241,6,FALSE)</f>
        <v>3</v>
      </c>
    </row>
    <row r="1504" spans="1:15" ht="12.5">
      <c r="A1504" s="6">
        <v>1502</v>
      </c>
      <c r="B1504" s="6">
        <v>3340</v>
      </c>
      <c r="C1504" s="6">
        <v>1977</v>
      </c>
      <c r="D1504" s="7" t="s">
        <v>9</v>
      </c>
      <c r="E1504" s="7" t="s">
        <v>13</v>
      </c>
      <c r="F1504" s="6">
        <v>42014</v>
      </c>
      <c r="G1504" s="6">
        <v>1</v>
      </c>
      <c r="H1504" s="6">
        <v>0</v>
      </c>
      <c r="I1504" s="6">
        <f t="shared" si="23"/>
        <v>1</v>
      </c>
      <c r="J1504" s="8">
        <v>41138</v>
      </c>
      <c r="K1504" s="6">
        <v>56</v>
      </c>
      <c r="L1504">
        <f>VLOOKUP(A1504,Marketing_df2!$A$1:$F$2241,3,FALSE)</f>
        <v>15</v>
      </c>
      <c r="M1504">
        <f>VLOOKUP(A1504,Marketing_df2!$A$1:$F$2241,4,FALSE)</f>
        <v>15</v>
      </c>
      <c r="N1504">
        <f>VLOOKUP(A1504,Marketing_df2!$A$1:$F$2241,5,FALSE)</f>
        <v>7</v>
      </c>
      <c r="O1504">
        <f>VLOOKUP(A1504,Marketing_df2!$A$1:$F$2241,6,FALSE)</f>
        <v>6</v>
      </c>
    </row>
    <row r="1505" spans="1:15" ht="12.5">
      <c r="A1505" s="6">
        <v>1503</v>
      </c>
      <c r="B1505" s="6">
        <v>3594</v>
      </c>
      <c r="C1505" s="6">
        <v>1973</v>
      </c>
      <c r="D1505" s="7" t="s">
        <v>14</v>
      </c>
      <c r="E1505" s="7" t="s">
        <v>13</v>
      </c>
      <c r="F1505" s="6">
        <v>54108</v>
      </c>
      <c r="G1505" s="6">
        <v>1</v>
      </c>
      <c r="H1505" s="6">
        <v>1</v>
      </c>
      <c r="I1505" s="6">
        <f t="shared" si="23"/>
        <v>2</v>
      </c>
      <c r="J1505" s="8">
        <v>41218</v>
      </c>
      <c r="K1505" s="6">
        <v>74</v>
      </c>
      <c r="L1505">
        <f>VLOOKUP(A1505,Marketing_df2!$A$1:$F$2241,3,FALSE)</f>
        <v>6</v>
      </c>
      <c r="M1505">
        <f>VLOOKUP(A1505,Marketing_df2!$A$1:$F$2241,4,FALSE)</f>
        <v>6</v>
      </c>
      <c r="N1505">
        <f>VLOOKUP(A1505,Marketing_df2!$A$1:$F$2241,5,FALSE)</f>
        <v>8</v>
      </c>
      <c r="O1505">
        <f>VLOOKUP(A1505,Marketing_df2!$A$1:$F$2241,6,FALSE)</f>
        <v>9</v>
      </c>
    </row>
    <row r="1506" spans="1:15" ht="12.5">
      <c r="A1506" s="6">
        <v>1504</v>
      </c>
      <c r="B1506" s="6">
        <v>3584</v>
      </c>
      <c r="C1506" s="6">
        <v>1955</v>
      </c>
      <c r="D1506" s="7" t="s">
        <v>12</v>
      </c>
      <c r="E1506" s="7" t="s">
        <v>10</v>
      </c>
      <c r="F1506" s="6">
        <v>49667</v>
      </c>
      <c r="G1506" s="6">
        <v>0</v>
      </c>
      <c r="H1506" s="6">
        <v>0</v>
      </c>
      <c r="I1506" s="6">
        <f t="shared" si="23"/>
        <v>0</v>
      </c>
      <c r="J1506" s="8">
        <v>41141</v>
      </c>
      <c r="K1506" s="6">
        <v>35</v>
      </c>
      <c r="L1506">
        <f>VLOOKUP(A1506,Marketing_df2!$A$1:$F$2241,3,FALSE)</f>
        <v>26</v>
      </c>
      <c r="M1506">
        <f>VLOOKUP(A1506,Marketing_df2!$A$1:$F$2241,4,FALSE)</f>
        <v>13</v>
      </c>
      <c r="N1506">
        <f>VLOOKUP(A1506,Marketing_df2!$A$1:$F$2241,5,FALSE)</f>
        <v>5</v>
      </c>
      <c r="O1506">
        <f>VLOOKUP(A1506,Marketing_df2!$A$1:$F$2241,6,FALSE)</f>
        <v>5</v>
      </c>
    </row>
    <row r="1507" spans="1:15" ht="12.5">
      <c r="A1507" s="6">
        <v>1505</v>
      </c>
      <c r="B1507" s="6">
        <v>3643</v>
      </c>
      <c r="C1507" s="6">
        <v>1974</v>
      </c>
      <c r="D1507" s="7" t="s">
        <v>14</v>
      </c>
      <c r="E1507" s="7" t="s">
        <v>13</v>
      </c>
      <c r="F1507" s="6">
        <v>63206</v>
      </c>
      <c r="G1507" s="6">
        <v>0</v>
      </c>
      <c r="H1507" s="6">
        <v>0</v>
      </c>
      <c r="I1507" s="6">
        <f t="shared" si="23"/>
        <v>0</v>
      </c>
      <c r="J1507" s="8">
        <v>41718</v>
      </c>
      <c r="K1507" s="6">
        <v>65</v>
      </c>
      <c r="L1507">
        <f>VLOOKUP(A1507,Marketing_df2!$A$1:$F$2241,3,FALSE)</f>
        <v>8</v>
      </c>
      <c r="M1507">
        <f>VLOOKUP(A1507,Marketing_df2!$A$1:$F$2241,4,FALSE)</f>
        <v>8</v>
      </c>
      <c r="N1507">
        <f>VLOOKUP(A1507,Marketing_df2!$A$1:$F$2241,5,FALSE)</f>
        <v>4</v>
      </c>
      <c r="O1507">
        <f>VLOOKUP(A1507,Marketing_df2!$A$1:$F$2241,6,FALSE)</f>
        <v>6</v>
      </c>
    </row>
    <row r="1508" spans="1:15" ht="12.5">
      <c r="A1508" s="6">
        <v>1506</v>
      </c>
      <c r="B1508" s="6">
        <v>851</v>
      </c>
      <c r="C1508" s="6">
        <v>1972</v>
      </c>
      <c r="D1508" s="7" t="s">
        <v>14</v>
      </c>
      <c r="E1508" s="7" t="s">
        <v>13</v>
      </c>
      <c r="F1508" s="6">
        <v>57136</v>
      </c>
      <c r="G1508" s="6">
        <v>1</v>
      </c>
      <c r="H1508" s="6">
        <v>1</v>
      </c>
      <c r="I1508" s="6">
        <f t="shared" si="23"/>
        <v>2</v>
      </c>
      <c r="J1508" s="8">
        <v>41464</v>
      </c>
      <c r="K1508" s="6">
        <v>48</v>
      </c>
      <c r="L1508">
        <f>VLOOKUP(A1508,Marketing_df2!$A$1:$F$2241,3,FALSE)</f>
        <v>5</v>
      </c>
      <c r="M1508">
        <f>VLOOKUP(A1508,Marketing_df2!$A$1:$F$2241,4,FALSE)</f>
        <v>109</v>
      </c>
      <c r="N1508">
        <f>VLOOKUP(A1508,Marketing_df2!$A$1:$F$2241,5,FALSE)</f>
        <v>5</v>
      </c>
      <c r="O1508">
        <f>VLOOKUP(A1508,Marketing_df2!$A$1:$F$2241,6,FALSE)</f>
        <v>10</v>
      </c>
    </row>
    <row r="1509" spans="1:15" ht="12.5">
      <c r="A1509" s="6">
        <v>1507</v>
      </c>
      <c r="B1509" s="6">
        <v>7706</v>
      </c>
      <c r="C1509" s="6">
        <v>1975</v>
      </c>
      <c r="D1509" s="7" t="s">
        <v>17</v>
      </c>
      <c r="E1509" s="7" t="s">
        <v>11</v>
      </c>
      <c r="F1509" s="6">
        <v>46772</v>
      </c>
      <c r="G1509" s="6">
        <v>0</v>
      </c>
      <c r="H1509" s="6">
        <v>1</v>
      </c>
      <c r="I1509" s="6">
        <f t="shared" si="23"/>
        <v>1</v>
      </c>
      <c r="J1509" s="8">
        <v>41220</v>
      </c>
      <c r="K1509" s="6">
        <v>88</v>
      </c>
      <c r="L1509">
        <f>VLOOKUP(A1509,Marketing_df2!$A$1:$F$2241,3,FALSE)</f>
        <v>104</v>
      </c>
      <c r="M1509">
        <f>VLOOKUP(A1509,Marketing_df2!$A$1:$F$2241,4,FALSE)</f>
        <v>151</v>
      </c>
      <c r="N1509">
        <f>VLOOKUP(A1509,Marketing_df2!$A$1:$F$2241,5,FALSE)</f>
        <v>11</v>
      </c>
      <c r="O1509">
        <f>VLOOKUP(A1509,Marketing_df2!$A$1:$F$2241,6,FALSE)</f>
        <v>5</v>
      </c>
    </row>
    <row r="1510" spans="1:15" ht="12.5">
      <c r="A1510" s="6">
        <v>1508</v>
      </c>
      <c r="B1510" s="6">
        <v>3967</v>
      </c>
      <c r="C1510" s="6">
        <v>1971</v>
      </c>
      <c r="D1510" s="7" t="s">
        <v>12</v>
      </c>
      <c r="E1510" s="7" t="s">
        <v>13</v>
      </c>
      <c r="F1510" s="6">
        <v>78931</v>
      </c>
      <c r="G1510" s="6">
        <v>0</v>
      </c>
      <c r="H1510" s="6">
        <v>0</v>
      </c>
      <c r="I1510" s="6">
        <f t="shared" si="23"/>
        <v>0</v>
      </c>
      <c r="J1510" s="9">
        <v>41572</v>
      </c>
      <c r="K1510" s="6">
        <v>19</v>
      </c>
      <c r="L1510">
        <f>VLOOKUP(A1510,Marketing_df2!$A$1:$F$2241,3,FALSE)</f>
        <v>197</v>
      </c>
      <c r="M1510">
        <f>VLOOKUP(A1510,Marketing_df2!$A$1:$F$2241,4,FALSE)</f>
        <v>152</v>
      </c>
      <c r="N1510">
        <f>VLOOKUP(A1510,Marketing_df2!$A$1:$F$2241,5,FALSE)</f>
        <v>2</v>
      </c>
      <c r="O1510">
        <f>VLOOKUP(A1510,Marketing_df2!$A$1:$F$2241,6,FALSE)</f>
        <v>13</v>
      </c>
    </row>
    <row r="1511" spans="1:15" ht="12.5">
      <c r="A1511" s="6">
        <v>1509</v>
      </c>
      <c r="B1511" s="6">
        <v>10128</v>
      </c>
      <c r="C1511" s="6">
        <v>1958</v>
      </c>
      <c r="D1511" s="7" t="s">
        <v>9</v>
      </c>
      <c r="E1511" s="7" t="s">
        <v>11</v>
      </c>
      <c r="F1511" s="6">
        <v>53977</v>
      </c>
      <c r="G1511" s="6">
        <v>0</v>
      </c>
      <c r="H1511" s="6">
        <v>1</v>
      </c>
      <c r="I1511" s="6">
        <f t="shared" si="23"/>
        <v>1</v>
      </c>
      <c r="J1511" s="8">
        <v>41433</v>
      </c>
      <c r="K1511" s="6">
        <v>21</v>
      </c>
      <c r="L1511">
        <f>VLOOKUP(A1511,Marketing_df2!$A$1:$F$2241,3,FALSE)</f>
        <v>16</v>
      </c>
      <c r="M1511">
        <f>VLOOKUP(A1511,Marketing_df2!$A$1:$F$2241,4,FALSE)</f>
        <v>24</v>
      </c>
      <c r="N1511">
        <f>VLOOKUP(A1511,Marketing_df2!$A$1:$F$2241,5,FALSE)</f>
        <v>5</v>
      </c>
      <c r="O1511">
        <f>VLOOKUP(A1511,Marketing_df2!$A$1:$F$2241,6,FALSE)</f>
        <v>12</v>
      </c>
    </row>
    <row r="1512" spans="1:15" ht="12.5">
      <c r="A1512" s="6">
        <v>1510</v>
      </c>
      <c r="B1512" s="6">
        <v>486</v>
      </c>
      <c r="C1512" s="6">
        <v>1988</v>
      </c>
      <c r="D1512" s="7" t="s">
        <v>9</v>
      </c>
      <c r="E1512" s="7" t="s">
        <v>13</v>
      </c>
      <c r="F1512" s="6">
        <v>84219</v>
      </c>
      <c r="G1512" s="6">
        <v>0</v>
      </c>
      <c r="H1512" s="6">
        <v>0</v>
      </c>
      <c r="I1512" s="6">
        <f t="shared" si="23"/>
        <v>0</v>
      </c>
      <c r="J1512" s="8">
        <v>41672</v>
      </c>
      <c r="K1512" s="6">
        <v>27</v>
      </c>
      <c r="L1512">
        <f>VLOOKUP(A1512,Marketing_df2!$A$1:$F$2241,3,FALSE)</f>
        <v>137</v>
      </c>
      <c r="M1512">
        <f>VLOOKUP(A1512,Marketing_df2!$A$1:$F$2241,4,FALSE)</f>
        <v>137</v>
      </c>
      <c r="N1512">
        <f>VLOOKUP(A1512,Marketing_df2!$A$1:$F$2241,5,FALSE)</f>
        <v>3</v>
      </c>
      <c r="O1512">
        <f>VLOOKUP(A1512,Marketing_df2!$A$1:$F$2241,6,FALSE)</f>
        <v>10</v>
      </c>
    </row>
    <row r="1513" spans="1:15" ht="12.5">
      <c r="A1513" s="6">
        <v>1511</v>
      </c>
      <c r="B1513" s="6">
        <v>9</v>
      </c>
      <c r="C1513" s="6">
        <v>1975</v>
      </c>
      <c r="D1513" s="7" t="s">
        <v>14</v>
      </c>
      <c r="E1513" s="7" t="s">
        <v>10</v>
      </c>
      <c r="F1513" s="6">
        <v>46098</v>
      </c>
      <c r="G1513" s="6">
        <v>1</v>
      </c>
      <c r="H1513" s="6">
        <v>1</v>
      </c>
      <c r="I1513" s="6">
        <f t="shared" si="23"/>
        <v>2</v>
      </c>
      <c r="J1513" s="8">
        <v>41139</v>
      </c>
      <c r="K1513" s="6">
        <v>86</v>
      </c>
      <c r="L1513">
        <f>VLOOKUP(A1513,Marketing_df2!$A$1:$F$2241,3,FALSE)</f>
        <v>0</v>
      </c>
      <c r="M1513">
        <f>VLOOKUP(A1513,Marketing_df2!$A$1:$F$2241,4,FALSE)</f>
        <v>0</v>
      </c>
      <c r="N1513">
        <f>VLOOKUP(A1513,Marketing_df2!$A$1:$F$2241,5,FALSE)</f>
        <v>3</v>
      </c>
      <c r="O1513">
        <f>VLOOKUP(A1513,Marketing_df2!$A$1:$F$2241,6,FALSE)</f>
        <v>2</v>
      </c>
    </row>
    <row r="1514" spans="1:15" ht="12.5">
      <c r="A1514" s="6">
        <v>1512</v>
      </c>
      <c r="B1514" s="6">
        <v>9451</v>
      </c>
      <c r="C1514" s="6">
        <v>1965</v>
      </c>
      <c r="D1514" s="7" t="s">
        <v>9</v>
      </c>
      <c r="E1514" s="7" t="s">
        <v>13</v>
      </c>
      <c r="F1514" s="6">
        <v>73538</v>
      </c>
      <c r="G1514" s="6">
        <v>0</v>
      </c>
      <c r="H1514" s="6">
        <v>1</v>
      </c>
      <c r="I1514" s="6">
        <f t="shared" si="23"/>
        <v>1</v>
      </c>
      <c r="J1514" s="9">
        <v>41238</v>
      </c>
      <c r="K1514" s="6">
        <v>92</v>
      </c>
      <c r="L1514">
        <f>VLOOKUP(A1514,Marketing_df2!$A$1:$F$2241,3,FALSE)</f>
        <v>76</v>
      </c>
      <c r="M1514">
        <f>VLOOKUP(A1514,Marketing_df2!$A$1:$F$2241,4,FALSE)</f>
        <v>137</v>
      </c>
      <c r="N1514">
        <f>VLOOKUP(A1514,Marketing_df2!$A$1:$F$2241,5,FALSE)</f>
        <v>10</v>
      </c>
      <c r="O1514">
        <f>VLOOKUP(A1514,Marketing_df2!$A$1:$F$2241,6,FALSE)</f>
        <v>9</v>
      </c>
    </row>
    <row r="1515" spans="1:15" ht="12.5">
      <c r="A1515" s="6">
        <v>1513</v>
      </c>
      <c r="B1515" s="6">
        <v>9264</v>
      </c>
      <c r="C1515" s="6">
        <v>1986</v>
      </c>
      <c r="D1515" s="7" t="s">
        <v>9</v>
      </c>
      <c r="E1515" s="7" t="s">
        <v>13</v>
      </c>
      <c r="F1515" s="6">
        <v>79529</v>
      </c>
      <c r="G1515" s="6">
        <v>0</v>
      </c>
      <c r="H1515" s="6">
        <v>0</v>
      </c>
      <c r="I1515" s="6">
        <f t="shared" si="23"/>
        <v>0</v>
      </c>
      <c r="J1515" s="8">
        <v>41756</v>
      </c>
      <c r="K1515" s="6">
        <v>1</v>
      </c>
      <c r="L1515">
        <f>VLOOKUP(A1515,Marketing_df2!$A$1:$F$2241,3,FALSE)</f>
        <v>42</v>
      </c>
      <c r="M1515">
        <f>VLOOKUP(A1515,Marketing_df2!$A$1:$F$2241,4,FALSE)</f>
        <v>197</v>
      </c>
      <c r="N1515">
        <f>VLOOKUP(A1515,Marketing_df2!$A$1:$F$2241,5,FALSE)</f>
        <v>4</v>
      </c>
      <c r="O1515">
        <f>VLOOKUP(A1515,Marketing_df2!$A$1:$F$2241,6,FALSE)</f>
        <v>9</v>
      </c>
    </row>
    <row r="1516" spans="1:15" ht="12.5">
      <c r="A1516" s="6">
        <v>1514</v>
      </c>
      <c r="B1516" s="6">
        <v>3865</v>
      </c>
      <c r="C1516" s="6">
        <v>1977</v>
      </c>
      <c r="D1516" s="7" t="s">
        <v>17</v>
      </c>
      <c r="E1516" s="7" t="s">
        <v>11</v>
      </c>
      <c r="F1516" s="6">
        <v>20981</v>
      </c>
      <c r="G1516" s="6">
        <v>0</v>
      </c>
      <c r="H1516" s="6">
        <v>0</v>
      </c>
      <c r="I1516" s="6">
        <f t="shared" si="23"/>
        <v>0</v>
      </c>
      <c r="J1516" s="8">
        <v>41394</v>
      </c>
      <c r="K1516" s="6">
        <v>14</v>
      </c>
      <c r="L1516">
        <f>VLOOKUP(A1516,Marketing_df2!$A$1:$F$2241,3,FALSE)</f>
        <v>12</v>
      </c>
      <c r="M1516">
        <f>VLOOKUP(A1516,Marketing_df2!$A$1:$F$2241,4,FALSE)</f>
        <v>13</v>
      </c>
      <c r="N1516">
        <f>VLOOKUP(A1516,Marketing_df2!$A$1:$F$2241,5,FALSE)</f>
        <v>3</v>
      </c>
      <c r="O1516">
        <f>VLOOKUP(A1516,Marketing_df2!$A$1:$F$2241,6,FALSE)</f>
        <v>2</v>
      </c>
    </row>
    <row r="1517" spans="1:15" ht="12.5">
      <c r="A1517" s="6">
        <v>1515</v>
      </c>
      <c r="B1517" s="6">
        <v>2853</v>
      </c>
      <c r="C1517" s="6">
        <v>1980</v>
      </c>
      <c r="D1517" s="7" t="s">
        <v>9</v>
      </c>
      <c r="E1517" s="7" t="s">
        <v>10</v>
      </c>
      <c r="F1517" s="6">
        <v>51766</v>
      </c>
      <c r="G1517" s="6">
        <v>1</v>
      </c>
      <c r="H1517" s="6">
        <v>0</v>
      </c>
      <c r="I1517" s="6">
        <f t="shared" si="23"/>
        <v>1</v>
      </c>
      <c r="J1517" s="8">
        <v>41709</v>
      </c>
      <c r="K1517" s="6">
        <v>74</v>
      </c>
      <c r="L1517">
        <f>VLOOKUP(A1517,Marketing_df2!$A$1:$F$2241,3,FALSE)</f>
        <v>51</v>
      </c>
      <c r="M1517">
        <f>VLOOKUP(A1517,Marketing_df2!$A$1:$F$2241,4,FALSE)</f>
        <v>20</v>
      </c>
      <c r="N1517">
        <f>VLOOKUP(A1517,Marketing_df2!$A$1:$F$2241,5,FALSE)</f>
        <v>4</v>
      </c>
      <c r="O1517">
        <f>VLOOKUP(A1517,Marketing_df2!$A$1:$F$2241,6,FALSE)</f>
        <v>4</v>
      </c>
    </row>
    <row r="1518" spans="1:15" ht="12.5">
      <c r="A1518" s="6">
        <v>1516</v>
      </c>
      <c r="B1518" s="6">
        <v>1490</v>
      </c>
      <c r="C1518" s="6">
        <v>1962</v>
      </c>
      <c r="D1518" s="7" t="s">
        <v>9</v>
      </c>
      <c r="E1518" s="7" t="s">
        <v>13</v>
      </c>
      <c r="F1518" s="6">
        <v>55759</v>
      </c>
      <c r="G1518" s="6">
        <v>0</v>
      </c>
      <c r="H1518" s="6">
        <v>1</v>
      </c>
      <c r="I1518" s="6">
        <f t="shared" si="23"/>
        <v>1</v>
      </c>
      <c r="J1518" s="9">
        <v>41241</v>
      </c>
      <c r="K1518" s="6">
        <v>84</v>
      </c>
      <c r="L1518">
        <f>VLOOKUP(A1518,Marketing_df2!$A$1:$F$2241,3,FALSE)</f>
        <v>0</v>
      </c>
      <c r="M1518">
        <f>VLOOKUP(A1518,Marketing_df2!$A$1:$F$2241,4,FALSE)</f>
        <v>7</v>
      </c>
      <c r="N1518">
        <f>VLOOKUP(A1518,Marketing_df2!$A$1:$F$2241,5,FALSE)</f>
        <v>10</v>
      </c>
      <c r="O1518">
        <f>VLOOKUP(A1518,Marketing_df2!$A$1:$F$2241,6,FALSE)</f>
        <v>8</v>
      </c>
    </row>
    <row r="1519" spans="1:15" ht="12.5">
      <c r="A1519" s="6">
        <v>1517</v>
      </c>
      <c r="B1519" s="6">
        <v>6310</v>
      </c>
      <c r="C1519" s="6">
        <v>1978</v>
      </c>
      <c r="D1519" s="7" t="s">
        <v>9</v>
      </c>
      <c r="E1519" s="7" t="s">
        <v>13</v>
      </c>
      <c r="F1519" s="6">
        <v>33039</v>
      </c>
      <c r="G1519" s="6">
        <v>1</v>
      </c>
      <c r="H1519" s="6">
        <v>0</v>
      </c>
      <c r="I1519" s="6">
        <f t="shared" si="23"/>
        <v>1</v>
      </c>
      <c r="J1519" s="8">
        <v>41526</v>
      </c>
      <c r="K1519" s="6">
        <v>4</v>
      </c>
      <c r="L1519">
        <f>VLOOKUP(A1519,Marketing_df2!$A$1:$F$2241,3,FALSE)</f>
        <v>8</v>
      </c>
      <c r="M1519">
        <f>VLOOKUP(A1519,Marketing_df2!$A$1:$F$2241,4,FALSE)</f>
        <v>8</v>
      </c>
      <c r="N1519">
        <f>VLOOKUP(A1519,Marketing_df2!$A$1:$F$2241,5,FALSE)</f>
        <v>2</v>
      </c>
      <c r="O1519">
        <f>VLOOKUP(A1519,Marketing_df2!$A$1:$F$2241,6,FALSE)</f>
        <v>4</v>
      </c>
    </row>
    <row r="1520" spans="1:15" ht="12.5">
      <c r="A1520" s="6">
        <v>1518</v>
      </c>
      <c r="B1520" s="6">
        <v>10380</v>
      </c>
      <c r="C1520" s="6">
        <v>1972</v>
      </c>
      <c r="D1520" s="7" t="s">
        <v>14</v>
      </c>
      <c r="E1520" s="7" t="s">
        <v>13</v>
      </c>
      <c r="F1520" s="6">
        <v>37787</v>
      </c>
      <c r="G1520" s="6">
        <v>1</v>
      </c>
      <c r="H1520" s="6">
        <v>0</v>
      </c>
      <c r="I1520" s="6">
        <f t="shared" si="23"/>
        <v>1</v>
      </c>
      <c r="J1520" s="8">
        <v>41537</v>
      </c>
      <c r="K1520" s="6">
        <v>50</v>
      </c>
      <c r="L1520">
        <f>VLOOKUP(A1520,Marketing_df2!$A$1:$F$2241,3,FALSE)</f>
        <v>1</v>
      </c>
      <c r="M1520">
        <f>VLOOKUP(A1520,Marketing_df2!$A$1:$F$2241,4,FALSE)</f>
        <v>3</v>
      </c>
      <c r="N1520">
        <f>VLOOKUP(A1520,Marketing_df2!$A$1:$F$2241,5,FALSE)</f>
        <v>3</v>
      </c>
      <c r="O1520">
        <f>VLOOKUP(A1520,Marketing_df2!$A$1:$F$2241,6,FALSE)</f>
        <v>3</v>
      </c>
    </row>
    <row r="1521" spans="1:15" ht="12.5">
      <c r="A1521" s="6">
        <v>1519</v>
      </c>
      <c r="B1521" s="6">
        <v>3887</v>
      </c>
      <c r="C1521" s="6">
        <v>1970</v>
      </c>
      <c r="D1521" s="7" t="s">
        <v>9</v>
      </c>
      <c r="E1521" s="7" t="s">
        <v>10</v>
      </c>
      <c r="F1521" s="6">
        <v>27242</v>
      </c>
      <c r="G1521" s="6">
        <v>1</v>
      </c>
      <c r="H1521" s="6">
        <v>0</v>
      </c>
      <c r="I1521" s="6">
        <f t="shared" si="23"/>
        <v>1</v>
      </c>
      <c r="J1521" s="9">
        <v>41224</v>
      </c>
      <c r="K1521" s="6">
        <v>2</v>
      </c>
      <c r="L1521">
        <f>VLOOKUP(A1521,Marketing_df2!$A$1:$F$2241,3,FALSE)</f>
        <v>17</v>
      </c>
      <c r="M1521">
        <f>VLOOKUP(A1521,Marketing_df2!$A$1:$F$2241,4,FALSE)</f>
        <v>1</v>
      </c>
      <c r="N1521">
        <f>VLOOKUP(A1521,Marketing_df2!$A$1:$F$2241,5,FALSE)</f>
        <v>2</v>
      </c>
      <c r="O1521">
        <f>VLOOKUP(A1521,Marketing_df2!$A$1:$F$2241,6,FALSE)</f>
        <v>3</v>
      </c>
    </row>
    <row r="1522" spans="1:15" ht="12.5">
      <c r="A1522" s="6">
        <v>1520</v>
      </c>
      <c r="B1522" s="6">
        <v>4278</v>
      </c>
      <c r="C1522" s="6">
        <v>1983</v>
      </c>
      <c r="D1522" s="7" t="s">
        <v>12</v>
      </c>
      <c r="E1522" s="7" t="s">
        <v>10</v>
      </c>
      <c r="F1522" s="6">
        <v>87188</v>
      </c>
      <c r="G1522" s="6">
        <v>0</v>
      </c>
      <c r="H1522" s="6">
        <v>0</v>
      </c>
      <c r="I1522" s="6">
        <f t="shared" si="23"/>
        <v>0</v>
      </c>
      <c r="J1522" s="8">
        <v>41428</v>
      </c>
      <c r="K1522" s="6">
        <v>73</v>
      </c>
      <c r="L1522">
        <f>VLOOKUP(A1522,Marketing_df2!$A$1:$F$2241,3,FALSE)</f>
        <v>111</v>
      </c>
      <c r="M1522">
        <f>VLOOKUP(A1522,Marketing_df2!$A$1:$F$2241,4,FALSE)</f>
        <v>74</v>
      </c>
      <c r="N1522">
        <f>VLOOKUP(A1522,Marketing_df2!$A$1:$F$2241,5,FALSE)</f>
        <v>10</v>
      </c>
      <c r="O1522">
        <f>VLOOKUP(A1522,Marketing_df2!$A$1:$F$2241,6,FALSE)</f>
        <v>6</v>
      </c>
    </row>
    <row r="1523" spans="1:15" ht="12.5">
      <c r="A1523" s="6">
        <v>1521</v>
      </c>
      <c r="B1523" s="6">
        <v>8643</v>
      </c>
      <c r="C1523" s="6">
        <v>1971</v>
      </c>
      <c r="D1523" s="7" t="s">
        <v>9</v>
      </c>
      <c r="E1523" s="7" t="s">
        <v>11</v>
      </c>
      <c r="F1523" s="6">
        <v>69930</v>
      </c>
      <c r="G1523" s="6">
        <v>0</v>
      </c>
      <c r="H1523" s="6">
        <v>0</v>
      </c>
      <c r="I1523" s="6">
        <f t="shared" si="23"/>
        <v>0</v>
      </c>
      <c r="J1523" s="8">
        <v>41420</v>
      </c>
      <c r="K1523" s="6">
        <v>21</v>
      </c>
      <c r="L1523">
        <f>VLOOKUP(A1523,Marketing_df2!$A$1:$F$2241,3,FALSE)</f>
        <v>98</v>
      </c>
      <c r="M1523">
        <f>VLOOKUP(A1523,Marketing_df2!$A$1:$F$2241,4,FALSE)</f>
        <v>70</v>
      </c>
      <c r="N1523">
        <f>VLOOKUP(A1523,Marketing_df2!$A$1:$F$2241,5,FALSE)</f>
        <v>4</v>
      </c>
      <c r="O1523">
        <f>VLOOKUP(A1523,Marketing_df2!$A$1:$F$2241,6,FALSE)</f>
        <v>12</v>
      </c>
    </row>
    <row r="1524" spans="1:15" ht="12.5">
      <c r="A1524" s="6">
        <v>1522</v>
      </c>
      <c r="B1524" s="6">
        <v>1998</v>
      </c>
      <c r="C1524" s="6">
        <v>1976</v>
      </c>
      <c r="D1524" s="7" t="s">
        <v>9</v>
      </c>
      <c r="E1524" s="7" t="s">
        <v>10</v>
      </c>
      <c r="F1524" s="6">
        <v>37697</v>
      </c>
      <c r="G1524" s="6">
        <v>1</v>
      </c>
      <c r="H1524" s="6">
        <v>0</v>
      </c>
      <c r="I1524" s="6">
        <f t="shared" si="23"/>
        <v>1</v>
      </c>
      <c r="J1524" s="8">
        <v>41677</v>
      </c>
      <c r="K1524" s="6">
        <v>82</v>
      </c>
      <c r="L1524">
        <f>VLOOKUP(A1524,Marketing_df2!$A$1:$F$2241,3,FALSE)</f>
        <v>6</v>
      </c>
      <c r="M1524">
        <f>VLOOKUP(A1524,Marketing_df2!$A$1:$F$2241,4,FALSE)</f>
        <v>4</v>
      </c>
      <c r="N1524">
        <f>VLOOKUP(A1524,Marketing_df2!$A$1:$F$2241,5,FALSE)</f>
        <v>2</v>
      </c>
      <c r="O1524">
        <f>VLOOKUP(A1524,Marketing_df2!$A$1:$F$2241,6,FALSE)</f>
        <v>3</v>
      </c>
    </row>
    <row r="1525" spans="1:15" ht="12.5">
      <c r="A1525" s="6">
        <v>1523</v>
      </c>
      <c r="B1525" s="6">
        <v>10795</v>
      </c>
      <c r="C1525" s="6">
        <v>1973</v>
      </c>
      <c r="D1525" s="7" t="s">
        <v>12</v>
      </c>
      <c r="E1525" s="7" t="s">
        <v>13</v>
      </c>
      <c r="F1525" s="6">
        <v>37401</v>
      </c>
      <c r="G1525" s="6">
        <v>1</v>
      </c>
      <c r="H1525" s="6">
        <v>0</v>
      </c>
      <c r="I1525" s="6">
        <f t="shared" si="23"/>
        <v>1</v>
      </c>
      <c r="J1525" s="8">
        <v>41765</v>
      </c>
      <c r="K1525" s="6">
        <v>14</v>
      </c>
      <c r="L1525">
        <f>VLOOKUP(A1525,Marketing_df2!$A$1:$F$2241,3,FALSE)</f>
        <v>3</v>
      </c>
      <c r="M1525">
        <f>VLOOKUP(A1525,Marketing_df2!$A$1:$F$2241,4,FALSE)</f>
        <v>1</v>
      </c>
      <c r="N1525">
        <f>VLOOKUP(A1525,Marketing_df2!$A$1:$F$2241,5,FALSE)</f>
        <v>2</v>
      </c>
      <c r="O1525">
        <f>VLOOKUP(A1525,Marketing_df2!$A$1:$F$2241,6,FALSE)</f>
        <v>3</v>
      </c>
    </row>
    <row r="1526" spans="1:15" ht="12.5">
      <c r="A1526" s="6">
        <v>1524</v>
      </c>
      <c r="B1526" s="6">
        <v>11110</v>
      </c>
      <c r="C1526" s="6">
        <v>1973</v>
      </c>
      <c r="D1526" s="7" t="s">
        <v>9</v>
      </c>
      <c r="E1526" s="7" t="s">
        <v>10</v>
      </c>
      <c r="F1526" s="6">
        <v>3502</v>
      </c>
      <c r="G1526" s="6">
        <v>1</v>
      </c>
      <c r="H1526" s="6">
        <v>0</v>
      </c>
      <c r="I1526" s="6">
        <f t="shared" si="23"/>
        <v>1</v>
      </c>
      <c r="J1526" s="8">
        <v>41377</v>
      </c>
      <c r="K1526" s="6">
        <v>56</v>
      </c>
      <c r="L1526">
        <f>VLOOKUP(A1526,Marketing_df2!$A$1:$F$2241,3,FALSE)</f>
        <v>1</v>
      </c>
      <c r="M1526">
        <f>VLOOKUP(A1526,Marketing_df2!$A$1:$F$2241,4,FALSE)</f>
        <v>0</v>
      </c>
      <c r="N1526">
        <f>VLOOKUP(A1526,Marketing_df2!$A$1:$F$2241,5,FALSE)</f>
        <v>0</v>
      </c>
      <c r="O1526">
        <f>VLOOKUP(A1526,Marketing_df2!$A$1:$F$2241,6,FALSE)</f>
        <v>0</v>
      </c>
    </row>
    <row r="1527" spans="1:15" ht="12.5">
      <c r="A1527" s="6">
        <v>1525</v>
      </c>
      <c r="B1527" s="6">
        <v>2408</v>
      </c>
      <c r="C1527" s="6">
        <v>1976</v>
      </c>
      <c r="D1527" s="7" t="s">
        <v>9</v>
      </c>
      <c r="E1527" s="7" t="s">
        <v>13</v>
      </c>
      <c r="F1527" s="6">
        <v>58597</v>
      </c>
      <c r="G1527" s="6">
        <v>1</v>
      </c>
      <c r="H1527" s="6">
        <v>1</v>
      </c>
      <c r="I1527" s="6">
        <f t="shared" si="23"/>
        <v>2</v>
      </c>
      <c r="J1527" s="9">
        <v>41233</v>
      </c>
      <c r="K1527" s="6">
        <v>20</v>
      </c>
      <c r="L1527">
        <f>VLOOKUP(A1527,Marketing_df2!$A$1:$F$2241,3,FALSE)</f>
        <v>0</v>
      </c>
      <c r="M1527">
        <f>VLOOKUP(A1527,Marketing_df2!$A$1:$F$2241,4,FALSE)</f>
        <v>28</v>
      </c>
      <c r="N1527">
        <f>VLOOKUP(A1527,Marketing_df2!$A$1:$F$2241,5,FALSE)</f>
        <v>7</v>
      </c>
      <c r="O1527">
        <f>VLOOKUP(A1527,Marketing_df2!$A$1:$F$2241,6,FALSE)</f>
        <v>9</v>
      </c>
    </row>
    <row r="1528" spans="1:15" ht="12.5">
      <c r="A1528" s="6">
        <v>1526</v>
      </c>
      <c r="B1528" s="6">
        <v>202</v>
      </c>
      <c r="C1528" s="6">
        <v>1948</v>
      </c>
      <c r="D1528" s="7" t="s">
        <v>12</v>
      </c>
      <c r="E1528" s="7" t="s">
        <v>18</v>
      </c>
      <c r="F1528" s="6">
        <v>82032</v>
      </c>
      <c r="G1528" s="6">
        <v>0</v>
      </c>
      <c r="H1528" s="6">
        <v>0</v>
      </c>
      <c r="I1528" s="6">
        <f t="shared" si="23"/>
        <v>0</v>
      </c>
      <c r="J1528" s="8">
        <v>41734</v>
      </c>
      <c r="K1528" s="6">
        <v>54</v>
      </c>
      <c r="L1528">
        <f>VLOOKUP(A1528,Marketing_df2!$A$1:$F$2241,3,FALSE)</f>
        <v>194</v>
      </c>
      <c r="M1528">
        <f>VLOOKUP(A1528,Marketing_df2!$A$1:$F$2241,4,FALSE)</f>
        <v>125</v>
      </c>
      <c r="N1528">
        <f>VLOOKUP(A1528,Marketing_df2!$A$1:$F$2241,5,FALSE)</f>
        <v>4</v>
      </c>
      <c r="O1528">
        <f>VLOOKUP(A1528,Marketing_df2!$A$1:$F$2241,6,FALSE)</f>
        <v>7</v>
      </c>
    </row>
    <row r="1529" spans="1:15" ht="12.5">
      <c r="A1529" s="6">
        <v>1527</v>
      </c>
      <c r="B1529" s="6">
        <v>7998</v>
      </c>
      <c r="C1529" s="6">
        <v>1958</v>
      </c>
      <c r="D1529" s="7" t="s">
        <v>9</v>
      </c>
      <c r="E1529" s="7" t="s">
        <v>11</v>
      </c>
      <c r="F1529" s="6">
        <v>28087</v>
      </c>
      <c r="G1529" s="6">
        <v>1</v>
      </c>
      <c r="H1529" s="6">
        <v>1</v>
      </c>
      <c r="I1529" s="6">
        <f t="shared" si="23"/>
        <v>2</v>
      </c>
      <c r="J1529" s="9">
        <v>41254</v>
      </c>
      <c r="K1529" s="6">
        <v>77</v>
      </c>
      <c r="L1529">
        <f>VLOOKUP(A1529,Marketing_df2!$A$1:$F$2241,3,FALSE)</f>
        <v>8</v>
      </c>
      <c r="M1529">
        <f>VLOOKUP(A1529,Marketing_df2!$A$1:$F$2241,4,FALSE)</f>
        <v>0</v>
      </c>
      <c r="N1529">
        <f>VLOOKUP(A1529,Marketing_df2!$A$1:$F$2241,5,FALSE)</f>
        <v>2</v>
      </c>
      <c r="O1529">
        <f>VLOOKUP(A1529,Marketing_df2!$A$1:$F$2241,6,FALSE)</f>
        <v>2</v>
      </c>
    </row>
    <row r="1530" spans="1:15" ht="12.5">
      <c r="A1530" s="6">
        <v>1528</v>
      </c>
      <c r="B1530" s="6">
        <v>830</v>
      </c>
      <c r="C1530" s="6">
        <v>1987</v>
      </c>
      <c r="D1530" s="7" t="s">
        <v>12</v>
      </c>
      <c r="E1530" s="7" t="s">
        <v>10</v>
      </c>
      <c r="F1530" s="6">
        <v>74004</v>
      </c>
      <c r="G1530" s="6">
        <v>0</v>
      </c>
      <c r="H1530" s="6">
        <v>0</v>
      </c>
      <c r="I1530" s="6">
        <f t="shared" si="23"/>
        <v>0</v>
      </c>
      <c r="J1530" s="8">
        <v>41694</v>
      </c>
      <c r="K1530" s="6">
        <v>5</v>
      </c>
      <c r="L1530">
        <f>VLOOKUP(A1530,Marketing_df2!$A$1:$F$2241,3,FALSE)</f>
        <v>48</v>
      </c>
      <c r="M1530">
        <f>VLOOKUP(A1530,Marketing_df2!$A$1:$F$2241,4,FALSE)</f>
        <v>176</v>
      </c>
      <c r="N1530">
        <f>VLOOKUP(A1530,Marketing_df2!$A$1:$F$2241,5,FALSE)</f>
        <v>4</v>
      </c>
      <c r="O1530">
        <f>VLOOKUP(A1530,Marketing_df2!$A$1:$F$2241,6,FALSE)</f>
        <v>4</v>
      </c>
    </row>
    <row r="1531" spans="1:15" ht="12.5">
      <c r="A1531" s="6">
        <v>1529</v>
      </c>
      <c r="B1531" s="6">
        <v>3536</v>
      </c>
      <c r="C1531" s="6">
        <v>1960</v>
      </c>
      <c r="D1531" s="7" t="s">
        <v>9</v>
      </c>
      <c r="E1531" s="7" t="s">
        <v>11</v>
      </c>
      <c r="F1531" s="6">
        <v>19740</v>
      </c>
      <c r="G1531" s="6">
        <v>0</v>
      </c>
      <c r="H1531" s="6">
        <v>1</v>
      </c>
      <c r="I1531" s="6">
        <f t="shared" si="23"/>
        <v>1</v>
      </c>
      <c r="J1531" s="8">
        <v>41357</v>
      </c>
      <c r="K1531" s="6">
        <v>65</v>
      </c>
      <c r="L1531">
        <f>VLOOKUP(A1531,Marketing_df2!$A$1:$F$2241,3,FALSE)</f>
        <v>11</v>
      </c>
      <c r="M1531">
        <f>VLOOKUP(A1531,Marketing_df2!$A$1:$F$2241,4,FALSE)</f>
        <v>4</v>
      </c>
      <c r="N1531">
        <f>VLOOKUP(A1531,Marketing_df2!$A$1:$F$2241,5,FALSE)</f>
        <v>1</v>
      </c>
      <c r="O1531">
        <f>VLOOKUP(A1531,Marketing_df2!$A$1:$F$2241,6,FALSE)</f>
        <v>3</v>
      </c>
    </row>
    <row r="1532" spans="1:15" ht="12.5">
      <c r="A1532" s="6">
        <v>1530</v>
      </c>
      <c r="B1532" s="6">
        <v>6050</v>
      </c>
      <c r="C1532" s="6">
        <v>1975</v>
      </c>
      <c r="D1532" s="7" t="s">
        <v>17</v>
      </c>
      <c r="E1532" s="7" t="s">
        <v>13</v>
      </c>
      <c r="F1532" s="6">
        <v>57036</v>
      </c>
      <c r="G1532" s="6">
        <v>0</v>
      </c>
      <c r="H1532" s="6">
        <v>1</v>
      </c>
      <c r="I1532" s="6">
        <f t="shared" si="23"/>
        <v>1</v>
      </c>
      <c r="J1532" s="9">
        <v>41254</v>
      </c>
      <c r="K1532" s="6">
        <v>33</v>
      </c>
      <c r="L1532">
        <f>VLOOKUP(A1532,Marketing_df2!$A$1:$F$2241,3,FALSE)</f>
        <v>43</v>
      </c>
      <c r="M1532">
        <f>VLOOKUP(A1532,Marketing_df2!$A$1:$F$2241,4,FALSE)</f>
        <v>14</v>
      </c>
      <c r="N1532">
        <f>VLOOKUP(A1532,Marketing_df2!$A$1:$F$2241,5,FALSE)</f>
        <v>6</v>
      </c>
      <c r="O1532">
        <f>VLOOKUP(A1532,Marketing_df2!$A$1:$F$2241,6,FALSE)</f>
        <v>13</v>
      </c>
    </row>
    <row r="1533" spans="1:15" ht="12.5">
      <c r="A1533" s="6">
        <v>1531</v>
      </c>
      <c r="B1533" s="6">
        <v>125</v>
      </c>
      <c r="C1533" s="6">
        <v>1958</v>
      </c>
      <c r="D1533" s="7" t="s">
        <v>17</v>
      </c>
      <c r="E1533" s="7" t="s">
        <v>11</v>
      </c>
      <c r="F1533" s="6">
        <v>53083</v>
      </c>
      <c r="G1533" s="6">
        <v>1</v>
      </c>
      <c r="H1533" s="6">
        <v>1</v>
      </c>
      <c r="I1533" s="6">
        <f t="shared" si="23"/>
        <v>2</v>
      </c>
      <c r="J1533" s="8">
        <v>41409</v>
      </c>
      <c r="K1533" s="6">
        <v>65</v>
      </c>
      <c r="L1533">
        <f>VLOOKUP(A1533,Marketing_df2!$A$1:$F$2241,3,FALSE)</f>
        <v>7</v>
      </c>
      <c r="M1533">
        <f>VLOOKUP(A1533,Marketing_df2!$A$1:$F$2241,4,FALSE)</f>
        <v>0</v>
      </c>
      <c r="N1533">
        <f>VLOOKUP(A1533,Marketing_df2!$A$1:$F$2241,5,FALSE)</f>
        <v>5</v>
      </c>
      <c r="O1533">
        <f>VLOOKUP(A1533,Marketing_df2!$A$1:$F$2241,6,FALSE)</f>
        <v>5</v>
      </c>
    </row>
    <row r="1534" spans="1:15" ht="12.5">
      <c r="A1534" s="6">
        <v>1532</v>
      </c>
      <c r="B1534" s="6">
        <v>3463</v>
      </c>
      <c r="C1534" s="6">
        <v>1975</v>
      </c>
      <c r="D1534" s="7" t="s">
        <v>12</v>
      </c>
      <c r="E1534" s="7" t="s">
        <v>13</v>
      </c>
      <c r="F1534" s="6">
        <v>69283</v>
      </c>
      <c r="G1534" s="6">
        <v>0</v>
      </c>
      <c r="H1534" s="6">
        <v>1</v>
      </c>
      <c r="I1534" s="6">
        <f t="shared" si="23"/>
        <v>1</v>
      </c>
      <c r="J1534" s="8">
        <v>41804</v>
      </c>
      <c r="K1534" s="6">
        <v>41</v>
      </c>
      <c r="L1534">
        <f>VLOOKUP(A1534,Marketing_df2!$A$1:$F$2241,3,FALSE)</f>
        <v>62</v>
      </c>
      <c r="M1534">
        <f>VLOOKUP(A1534,Marketing_df2!$A$1:$F$2241,4,FALSE)</f>
        <v>26</v>
      </c>
      <c r="N1534">
        <f>VLOOKUP(A1534,Marketing_df2!$A$1:$F$2241,5,FALSE)</f>
        <v>7</v>
      </c>
      <c r="O1534">
        <f>VLOOKUP(A1534,Marketing_df2!$A$1:$F$2241,6,FALSE)</f>
        <v>13</v>
      </c>
    </row>
    <row r="1535" spans="1:15" ht="12.5">
      <c r="A1535" s="6">
        <v>1533</v>
      </c>
      <c r="B1535" s="6">
        <v>2804</v>
      </c>
      <c r="C1535" s="6">
        <v>1975</v>
      </c>
      <c r="D1535" s="7" t="s">
        <v>14</v>
      </c>
      <c r="E1535" s="7" t="s">
        <v>10</v>
      </c>
      <c r="F1535" s="6">
        <v>46098</v>
      </c>
      <c r="G1535" s="6">
        <v>1</v>
      </c>
      <c r="H1535" s="6">
        <v>1</v>
      </c>
      <c r="I1535" s="6">
        <f t="shared" si="23"/>
        <v>2</v>
      </c>
      <c r="J1535" s="8">
        <v>41139</v>
      </c>
      <c r="K1535" s="6">
        <v>86</v>
      </c>
      <c r="L1535">
        <f>VLOOKUP(A1535,Marketing_df2!$A$1:$F$2241,3,FALSE)</f>
        <v>0</v>
      </c>
      <c r="M1535">
        <f>VLOOKUP(A1535,Marketing_df2!$A$1:$F$2241,4,FALSE)</f>
        <v>0</v>
      </c>
      <c r="N1535">
        <f>VLOOKUP(A1535,Marketing_df2!$A$1:$F$2241,5,FALSE)</f>
        <v>3</v>
      </c>
      <c r="O1535">
        <f>VLOOKUP(A1535,Marketing_df2!$A$1:$F$2241,6,FALSE)</f>
        <v>2</v>
      </c>
    </row>
    <row r="1536" spans="1:15" ht="12.5">
      <c r="A1536" s="6">
        <v>1534</v>
      </c>
      <c r="B1536" s="6">
        <v>3745</v>
      </c>
      <c r="C1536" s="6">
        <v>1988</v>
      </c>
      <c r="D1536" s="7" t="s">
        <v>17</v>
      </c>
      <c r="E1536" s="7" t="s">
        <v>13</v>
      </c>
      <c r="F1536" s="6">
        <v>23331</v>
      </c>
      <c r="G1536" s="6">
        <v>1</v>
      </c>
      <c r="H1536" s="6">
        <v>0</v>
      </c>
      <c r="I1536" s="6">
        <f t="shared" si="23"/>
        <v>1</v>
      </c>
      <c r="J1536" s="8">
        <v>41156</v>
      </c>
      <c r="K1536" s="6">
        <v>92</v>
      </c>
      <c r="L1536">
        <f>VLOOKUP(A1536,Marketing_df2!$A$1:$F$2241,3,FALSE)</f>
        <v>36</v>
      </c>
      <c r="M1536">
        <f>VLOOKUP(A1536,Marketing_df2!$A$1:$F$2241,4,FALSE)</f>
        <v>10</v>
      </c>
      <c r="N1536">
        <f>VLOOKUP(A1536,Marketing_df2!$A$1:$F$2241,5,FALSE)</f>
        <v>3</v>
      </c>
      <c r="O1536">
        <f>VLOOKUP(A1536,Marketing_df2!$A$1:$F$2241,6,FALSE)</f>
        <v>3</v>
      </c>
    </row>
    <row r="1537" spans="1:15" ht="12.5">
      <c r="A1537" s="6">
        <v>1535</v>
      </c>
      <c r="B1537" s="6">
        <v>9771</v>
      </c>
      <c r="C1537" s="6">
        <v>1988</v>
      </c>
      <c r="D1537" s="7" t="s">
        <v>17</v>
      </c>
      <c r="E1537" s="7" t="s">
        <v>10</v>
      </c>
      <c r="F1537" s="6">
        <v>23331</v>
      </c>
      <c r="G1537" s="6">
        <v>1</v>
      </c>
      <c r="H1537" s="6">
        <v>0</v>
      </c>
      <c r="I1537" s="6">
        <f t="shared" si="23"/>
        <v>1</v>
      </c>
      <c r="J1537" s="8">
        <v>41187</v>
      </c>
      <c r="K1537" s="6">
        <v>97</v>
      </c>
      <c r="L1537">
        <f>VLOOKUP(A1537,Marketing_df2!$A$1:$F$2241,3,FALSE)</f>
        <v>20</v>
      </c>
      <c r="M1537">
        <f>VLOOKUP(A1537,Marketing_df2!$A$1:$F$2241,4,FALSE)</f>
        <v>15</v>
      </c>
      <c r="N1537">
        <f>VLOOKUP(A1537,Marketing_df2!$A$1:$F$2241,5,FALSE)</f>
        <v>5</v>
      </c>
      <c r="O1537">
        <f>VLOOKUP(A1537,Marketing_df2!$A$1:$F$2241,6,FALSE)</f>
        <v>5</v>
      </c>
    </row>
    <row r="1538" spans="1:15" ht="12.5">
      <c r="A1538" s="6">
        <v>1536</v>
      </c>
      <c r="B1538" s="6">
        <v>451</v>
      </c>
      <c r="C1538" s="6">
        <v>1989</v>
      </c>
      <c r="D1538" s="7" t="s">
        <v>9</v>
      </c>
      <c r="E1538" s="7" t="s">
        <v>10</v>
      </c>
      <c r="F1538" s="6">
        <v>9255</v>
      </c>
      <c r="G1538" s="6">
        <v>1</v>
      </c>
      <c r="H1538" s="6">
        <v>0</v>
      </c>
      <c r="I1538" s="6">
        <f t="shared" si="23"/>
        <v>1</v>
      </c>
      <c r="J1538" s="9">
        <v>41628</v>
      </c>
      <c r="K1538" s="6">
        <v>91</v>
      </c>
      <c r="L1538">
        <f>VLOOKUP(A1538,Marketing_df2!$A$1:$F$2241,3,FALSE)</f>
        <v>0</v>
      </c>
      <c r="M1538">
        <f>VLOOKUP(A1538,Marketing_df2!$A$1:$F$2241,4,FALSE)</f>
        <v>0</v>
      </c>
      <c r="N1538">
        <f>VLOOKUP(A1538,Marketing_df2!$A$1:$F$2241,5,FALSE)</f>
        <v>1</v>
      </c>
      <c r="O1538">
        <f>VLOOKUP(A1538,Marketing_df2!$A$1:$F$2241,6,FALSE)</f>
        <v>2</v>
      </c>
    </row>
    <row r="1539" spans="1:15" ht="12.5">
      <c r="A1539" s="6">
        <v>1537</v>
      </c>
      <c r="B1539" s="6">
        <v>10530</v>
      </c>
      <c r="C1539" s="6">
        <v>1959</v>
      </c>
      <c r="D1539" s="7" t="s">
        <v>12</v>
      </c>
      <c r="E1539" s="7" t="s">
        <v>18</v>
      </c>
      <c r="F1539" s="6">
        <v>67786</v>
      </c>
      <c r="G1539" s="6">
        <v>0</v>
      </c>
      <c r="H1539" s="6">
        <v>0</v>
      </c>
      <c r="I1539" s="6">
        <f t="shared" ref="I1539:I1602" si="24">G1539+H1539</f>
        <v>0</v>
      </c>
      <c r="J1539" s="8">
        <v>41615</v>
      </c>
      <c r="K1539" s="6">
        <v>0</v>
      </c>
      <c r="L1539">
        <f>VLOOKUP(A1539,Marketing_df2!$A$1:$F$2241,3,FALSE)</f>
        <v>82</v>
      </c>
      <c r="M1539">
        <f>VLOOKUP(A1539,Marketing_df2!$A$1:$F$2241,4,FALSE)</f>
        <v>20</v>
      </c>
      <c r="N1539">
        <f>VLOOKUP(A1539,Marketing_df2!$A$1:$F$2241,5,FALSE)</f>
        <v>3</v>
      </c>
      <c r="O1539">
        <f>VLOOKUP(A1539,Marketing_df2!$A$1:$F$2241,6,FALSE)</f>
        <v>6</v>
      </c>
    </row>
    <row r="1540" spans="1:15" ht="12.5">
      <c r="A1540" s="6">
        <v>1538</v>
      </c>
      <c r="B1540" s="6">
        <v>1079</v>
      </c>
      <c r="C1540" s="6">
        <v>1971</v>
      </c>
      <c r="D1540" s="7" t="s">
        <v>12</v>
      </c>
      <c r="E1540" s="7" t="s">
        <v>13</v>
      </c>
      <c r="F1540" s="6">
        <v>71969</v>
      </c>
      <c r="G1540" s="6">
        <v>0</v>
      </c>
      <c r="H1540" s="6">
        <v>1</v>
      </c>
      <c r="I1540" s="6">
        <f t="shared" si="24"/>
        <v>1</v>
      </c>
      <c r="J1540" s="9">
        <v>41198</v>
      </c>
      <c r="K1540" s="6">
        <v>59</v>
      </c>
      <c r="L1540">
        <f>VLOOKUP(A1540,Marketing_df2!$A$1:$F$2241,3,FALSE)</f>
        <v>0</v>
      </c>
      <c r="M1540">
        <f>VLOOKUP(A1540,Marketing_df2!$A$1:$F$2241,4,FALSE)</f>
        <v>0</v>
      </c>
      <c r="N1540">
        <f>VLOOKUP(A1540,Marketing_df2!$A$1:$F$2241,5,FALSE)</f>
        <v>3</v>
      </c>
      <c r="O1540">
        <f>VLOOKUP(A1540,Marketing_df2!$A$1:$F$2241,6,FALSE)</f>
        <v>9</v>
      </c>
    </row>
    <row r="1541" spans="1:15" ht="12.5">
      <c r="A1541" s="6">
        <v>1539</v>
      </c>
      <c r="B1541" s="6">
        <v>8920</v>
      </c>
      <c r="C1541" s="6">
        <v>1967</v>
      </c>
      <c r="D1541" s="7" t="s">
        <v>14</v>
      </c>
      <c r="E1541" s="7" t="s">
        <v>10</v>
      </c>
      <c r="F1541" s="6">
        <v>59235</v>
      </c>
      <c r="G1541" s="6">
        <v>1</v>
      </c>
      <c r="H1541" s="6">
        <v>0</v>
      </c>
      <c r="I1541" s="6">
        <f t="shared" si="24"/>
        <v>1</v>
      </c>
      <c r="J1541" s="8">
        <v>41286</v>
      </c>
      <c r="K1541" s="6">
        <v>4</v>
      </c>
      <c r="L1541">
        <f>VLOOKUP(A1541,Marketing_df2!$A$1:$F$2241,3,FALSE)</f>
        <v>40</v>
      </c>
      <c r="M1541">
        <f>VLOOKUP(A1541,Marketing_df2!$A$1:$F$2241,4,FALSE)</f>
        <v>0</v>
      </c>
      <c r="N1541">
        <f>VLOOKUP(A1541,Marketing_df2!$A$1:$F$2241,5,FALSE)</f>
        <v>11</v>
      </c>
      <c r="O1541">
        <f>VLOOKUP(A1541,Marketing_df2!$A$1:$F$2241,6,FALSE)</f>
        <v>12</v>
      </c>
    </row>
    <row r="1542" spans="1:15" ht="12.5">
      <c r="A1542" s="6">
        <v>1540</v>
      </c>
      <c r="B1542" s="6">
        <v>6678</v>
      </c>
      <c r="C1542" s="6">
        <v>1989</v>
      </c>
      <c r="D1542" s="7" t="s">
        <v>9</v>
      </c>
      <c r="E1542" s="7" t="s">
        <v>11</v>
      </c>
      <c r="F1542" s="6">
        <v>31928</v>
      </c>
      <c r="G1542" s="6">
        <v>1</v>
      </c>
      <c r="H1542" s="6">
        <v>0</v>
      </c>
      <c r="I1542" s="6">
        <f t="shared" si="24"/>
        <v>1</v>
      </c>
      <c r="J1542" s="8">
        <v>41726</v>
      </c>
      <c r="K1542" s="6">
        <v>5</v>
      </c>
      <c r="L1542">
        <f>VLOOKUP(A1542,Marketing_df2!$A$1:$F$2241,3,FALSE)</f>
        <v>4</v>
      </c>
      <c r="M1542">
        <f>VLOOKUP(A1542,Marketing_df2!$A$1:$F$2241,4,FALSE)</f>
        <v>2</v>
      </c>
      <c r="N1542">
        <f>VLOOKUP(A1542,Marketing_df2!$A$1:$F$2241,5,FALSE)</f>
        <v>3</v>
      </c>
      <c r="O1542">
        <f>VLOOKUP(A1542,Marketing_df2!$A$1:$F$2241,6,FALSE)</f>
        <v>4</v>
      </c>
    </row>
    <row r="1543" spans="1:15" ht="12.5">
      <c r="A1543" s="6">
        <v>1541</v>
      </c>
      <c r="B1543" s="6">
        <v>3852</v>
      </c>
      <c r="C1543" s="6">
        <v>1961</v>
      </c>
      <c r="D1543" s="7" t="s">
        <v>14</v>
      </c>
      <c r="E1543" s="7" t="s">
        <v>11</v>
      </c>
      <c r="F1543" s="6">
        <v>74881</v>
      </c>
      <c r="G1543" s="6">
        <v>1</v>
      </c>
      <c r="H1543" s="6">
        <v>1</v>
      </c>
      <c r="I1543" s="6">
        <f t="shared" si="24"/>
        <v>2</v>
      </c>
      <c r="J1543" s="8">
        <v>41341</v>
      </c>
      <c r="K1543" s="6">
        <v>48</v>
      </c>
      <c r="L1543">
        <f>VLOOKUP(A1543,Marketing_df2!$A$1:$F$2241,3,FALSE)</f>
        <v>72</v>
      </c>
      <c r="M1543">
        <f>VLOOKUP(A1543,Marketing_df2!$A$1:$F$2241,4,FALSE)</f>
        <v>27</v>
      </c>
      <c r="N1543">
        <f>VLOOKUP(A1543,Marketing_df2!$A$1:$F$2241,5,FALSE)</f>
        <v>9</v>
      </c>
      <c r="O1543">
        <f>VLOOKUP(A1543,Marketing_df2!$A$1:$F$2241,6,FALSE)</f>
        <v>12</v>
      </c>
    </row>
    <row r="1544" spans="1:15" ht="12.5">
      <c r="A1544" s="6">
        <v>1542</v>
      </c>
      <c r="B1544" s="6">
        <v>528</v>
      </c>
      <c r="C1544" s="6">
        <v>1978</v>
      </c>
      <c r="D1544" s="7" t="s">
        <v>9</v>
      </c>
      <c r="E1544" s="7" t="s">
        <v>13</v>
      </c>
      <c r="F1544" s="6">
        <v>65819</v>
      </c>
      <c r="G1544" s="6">
        <v>0</v>
      </c>
      <c r="H1544" s="6">
        <v>0</v>
      </c>
      <c r="I1544" s="6">
        <f t="shared" si="24"/>
        <v>0</v>
      </c>
      <c r="J1544" s="9">
        <v>41242</v>
      </c>
      <c r="K1544" s="6">
        <v>99</v>
      </c>
      <c r="L1544">
        <f>VLOOKUP(A1544,Marketing_df2!$A$1:$F$2241,3,FALSE)</f>
        <v>38</v>
      </c>
      <c r="M1544">
        <f>VLOOKUP(A1544,Marketing_df2!$A$1:$F$2241,4,FALSE)</f>
        <v>165</v>
      </c>
      <c r="N1544">
        <f>VLOOKUP(A1544,Marketing_df2!$A$1:$F$2241,5,FALSE)</f>
        <v>5</v>
      </c>
      <c r="O1544">
        <f>VLOOKUP(A1544,Marketing_df2!$A$1:$F$2241,6,FALSE)</f>
        <v>10</v>
      </c>
    </row>
    <row r="1545" spans="1:15" ht="12.5">
      <c r="A1545" s="6">
        <v>1543</v>
      </c>
      <c r="B1545" s="6">
        <v>73</v>
      </c>
      <c r="C1545" s="6">
        <v>1953</v>
      </c>
      <c r="D1545" s="7" t="s">
        <v>12</v>
      </c>
      <c r="E1545" s="7" t="s">
        <v>10</v>
      </c>
      <c r="F1545" s="6">
        <v>51411</v>
      </c>
      <c r="G1545" s="6">
        <v>1</v>
      </c>
      <c r="H1545" s="6">
        <v>2</v>
      </c>
      <c r="I1545" s="6">
        <f t="shared" si="24"/>
        <v>3</v>
      </c>
      <c r="J1545" s="8">
        <v>41420</v>
      </c>
      <c r="K1545" s="6">
        <v>81</v>
      </c>
      <c r="L1545">
        <f>VLOOKUP(A1545,Marketing_df2!$A$1:$F$2241,3,FALSE)</f>
        <v>0</v>
      </c>
      <c r="M1545">
        <f>VLOOKUP(A1545,Marketing_df2!$A$1:$F$2241,4,FALSE)</f>
        <v>0</v>
      </c>
      <c r="N1545">
        <f>VLOOKUP(A1545,Marketing_df2!$A$1:$F$2241,5,FALSE)</f>
        <v>0</v>
      </c>
      <c r="O1545">
        <f>VLOOKUP(A1545,Marketing_df2!$A$1:$F$2241,6,FALSE)</f>
        <v>3</v>
      </c>
    </row>
    <row r="1546" spans="1:15" ht="12.5">
      <c r="A1546" s="6">
        <v>1544</v>
      </c>
      <c r="B1546" s="6">
        <v>5589</v>
      </c>
      <c r="C1546" s="6">
        <v>1964</v>
      </c>
      <c r="D1546" s="7" t="s">
        <v>9</v>
      </c>
      <c r="E1546" s="7" t="s">
        <v>15</v>
      </c>
      <c r="F1546" s="6">
        <v>51983</v>
      </c>
      <c r="G1546" s="6">
        <v>0</v>
      </c>
      <c r="H1546" s="6">
        <v>1</v>
      </c>
      <c r="I1546" s="6">
        <f t="shared" si="24"/>
        <v>1</v>
      </c>
      <c r="J1546" s="8">
        <v>41152</v>
      </c>
      <c r="K1546" s="6">
        <v>95</v>
      </c>
      <c r="L1546">
        <f>VLOOKUP(A1546,Marketing_df2!$A$1:$F$2241,3,FALSE)</f>
        <v>0</v>
      </c>
      <c r="M1546">
        <f>VLOOKUP(A1546,Marketing_df2!$A$1:$F$2241,4,FALSE)</f>
        <v>7</v>
      </c>
      <c r="N1546">
        <f>VLOOKUP(A1546,Marketing_df2!$A$1:$F$2241,5,FALSE)</f>
        <v>9</v>
      </c>
      <c r="O1546">
        <f>VLOOKUP(A1546,Marketing_df2!$A$1:$F$2241,6,FALSE)</f>
        <v>10</v>
      </c>
    </row>
    <row r="1547" spans="1:15" ht="12.5">
      <c r="A1547" s="6">
        <v>1545</v>
      </c>
      <c r="B1547" s="6">
        <v>10212</v>
      </c>
      <c r="C1547" s="6">
        <v>1986</v>
      </c>
      <c r="D1547" s="7" t="s">
        <v>14</v>
      </c>
      <c r="E1547" s="7" t="s">
        <v>11</v>
      </c>
      <c r="F1547" s="6">
        <v>42386</v>
      </c>
      <c r="G1547" s="6">
        <v>1</v>
      </c>
      <c r="H1547" s="6">
        <v>0</v>
      </c>
      <c r="I1547" s="6">
        <f t="shared" si="24"/>
        <v>1</v>
      </c>
      <c r="J1547" s="8">
        <v>41287</v>
      </c>
      <c r="K1547" s="6">
        <v>43</v>
      </c>
      <c r="L1547">
        <f>VLOOKUP(A1547,Marketing_df2!$A$1:$F$2241,3,FALSE)</f>
        <v>4</v>
      </c>
      <c r="M1547">
        <f>VLOOKUP(A1547,Marketing_df2!$A$1:$F$2241,4,FALSE)</f>
        <v>4</v>
      </c>
      <c r="N1547">
        <f>VLOOKUP(A1547,Marketing_df2!$A$1:$F$2241,5,FALSE)</f>
        <v>3</v>
      </c>
      <c r="O1547">
        <f>VLOOKUP(A1547,Marketing_df2!$A$1:$F$2241,6,FALSE)</f>
        <v>3</v>
      </c>
    </row>
    <row r="1548" spans="1:15" ht="12.5">
      <c r="A1548" s="6">
        <v>1546</v>
      </c>
      <c r="B1548" s="6">
        <v>6365</v>
      </c>
      <c r="C1548" s="6">
        <v>1987</v>
      </c>
      <c r="D1548" s="7" t="s">
        <v>17</v>
      </c>
      <c r="E1548" s="7" t="s">
        <v>13</v>
      </c>
      <c r="F1548" s="6">
        <v>30390</v>
      </c>
      <c r="G1548" s="6">
        <v>0</v>
      </c>
      <c r="H1548" s="6">
        <v>0</v>
      </c>
      <c r="I1548" s="6">
        <f t="shared" si="24"/>
        <v>0</v>
      </c>
      <c r="J1548" s="8">
        <v>41519</v>
      </c>
      <c r="K1548" s="6">
        <v>5</v>
      </c>
      <c r="L1548">
        <f>VLOOKUP(A1548,Marketing_df2!$A$1:$F$2241,3,FALSE)</f>
        <v>12</v>
      </c>
      <c r="M1548">
        <f>VLOOKUP(A1548,Marketing_df2!$A$1:$F$2241,4,FALSE)</f>
        <v>1</v>
      </c>
      <c r="N1548">
        <f>VLOOKUP(A1548,Marketing_df2!$A$1:$F$2241,5,FALSE)</f>
        <v>2</v>
      </c>
      <c r="O1548">
        <f>VLOOKUP(A1548,Marketing_df2!$A$1:$F$2241,6,FALSE)</f>
        <v>3</v>
      </c>
    </row>
    <row r="1549" spans="1:15" ht="12.5">
      <c r="A1549" s="6">
        <v>1547</v>
      </c>
      <c r="B1549" s="6">
        <v>5636</v>
      </c>
      <c r="C1549" s="6">
        <v>1963</v>
      </c>
      <c r="D1549" s="7" t="s">
        <v>9</v>
      </c>
      <c r="E1549" s="7" t="s">
        <v>10</v>
      </c>
      <c r="F1549" s="6">
        <v>30983</v>
      </c>
      <c r="G1549" s="6">
        <v>0</v>
      </c>
      <c r="H1549" s="6">
        <v>0</v>
      </c>
      <c r="I1549" s="6">
        <f t="shared" si="24"/>
        <v>0</v>
      </c>
      <c r="J1549" s="8">
        <v>41222</v>
      </c>
      <c r="K1549" s="6">
        <v>50</v>
      </c>
      <c r="L1549">
        <f>VLOOKUP(A1549,Marketing_df2!$A$1:$F$2241,3,FALSE)</f>
        <v>4</v>
      </c>
      <c r="M1549">
        <f>VLOOKUP(A1549,Marketing_df2!$A$1:$F$2241,4,FALSE)</f>
        <v>1</v>
      </c>
      <c r="N1549">
        <f>VLOOKUP(A1549,Marketing_df2!$A$1:$F$2241,5,FALSE)</f>
        <v>4</v>
      </c>
      <c r="O1549">
        <f>VLOOKUP(A1549,Marketing_df2!$A$1:$F$2241,6,FALSE)</f>
        <v>3</v>
      </c>
    </row>
    <row r="1550" spans="1:15" ht="12.5">
      <c r="A1550" s="6">
        <v>1548</v>
      </c>
      <c r="B1550" s="6">
        <v>591</v>
      </c>
      <c r="C1550" s="6">
        <v>1957</v>
      </c>
      <c r="D1550" s="7" t="s">
        <v>9</v>
      </c>
      <c r="E1550" s="7" t="s">
        <v>18</v>
      </c>
      <c r="F1550" s="6">
        <v>66033</v>
      </c>
      <c r="G1550" s="6">
        <v>0</v>
      </c>
      <c r="H1550" s="6">
        <v>1</v>
      </c>
      <c r="I1550" s="6">
        <f t="shared" si="24"/>
        <v>1</v>
      </c>
      <c r="J1550" s="8">
        <v>41294</v>
      </c>
      <c r="K1550" s="6">
        <v>76</v>
      </c>
      <c r="L1550">
        <f>VLOOKUP(A1550,Marketing_df2!$A$1:$F$2241,3,FALSE)</f>
        <v>35</v>
      </c>
      <c r="M1550">
        <f>VLOOKUP(A1550,Marketing_df2!$A$1:$F$2241,4,FALSE)</f>
        <v>59</v>
      </c>
      <c r="N1550">
        <f>VLOOKUP(A1550,Marketing_df2!$A$1:$F$2241,5,FALSE)</f>
        <v>8</v>
      </c>
      <c r="O1550">
        <f>VLOOKUP(A1550,Marketing_df2!$A$1:$F$2241,6,FALSE)</f>
        <v>7</v>
      </c>
    </row>
    <row r="1551" spans="1:15" ht="12.5">
      <c r="A1551" s="6">
        <v>1549</v>
      </c>
      <c r="B1551" s="6">
        <v>2217</v>
      </c>
      <c r="C1551" s="6">
        <v>1975</v>
      </c>
      <c r="D1551" s="7" t="s">
        <v>17</v>
      </c>
      <c r="E1551" s="7" t="s">
        <v>13</v>
      </c>
      <c r="F1551" s="6">
        <v>37284</v>
      </c>
      <c r="G1551" s="6">
        <v>1</v>
      </c>
      <c r="H1551" s="6">
        <v>1</v>
      </c>
      <c r="I1551" s="6">
        <f t="shared" si="24"/>
        <v>2</v>
      </c>
      <c r="J1551" s="8">
        <v>41362</v>
      </c>
      <c r="K1551" s="6">
        <v>46</v>
      </c>
      <c r="L1551">
        <f>VLOOKUP(A1551,Marketing_df2!$A$1:$F$2241,3,FALSE)</f>
        <v>1</v>
      </c>
      <c r="M1551">
        <f>VLOOKUP(A1551,Marketing_df2!$A$1:$F$2241,4,FALSE)</f>
        <v>1</v>
      </c>
      <c r="N1551">
        <f>VLOOKUP(A1551,Marketing_df2!$A$1:$F$2241,5,FALSE)</f>
        <v>0</v>
      </c>
      <c r="O1551">
        <f>VLOOKUP(A1551,Marketing_df2!$A$1:$F$2241,6,FALSE)</f>
        <v>3</v>
      </c>
    </row>
    <row r="1552" spans="1:15" ht="12.5">
      <c r="A1552" s="6">
        <v>1550</v>
      </c>
      <c r="B1552" s="6">
        <v>2544</v>
      </c>
      <c r="C1552" s="6">
        <v>1951</v>
      </c>
      <c r="D1552" s="7" t="s">
        <v>14</v>
      </c>
      <c r="E1552" s="7" t="s">
        <v>15</v>
      </c>
      <c r="F1552" s="6">
        <v>57530</v>
      </c>
      <c r="G1552" s="6">
        <v>0</v>
      </c>
      <c r="H1552" s="6">
        <v>1</v>
      </c>
      <c r="I1552" s="6">
        <f t="shared" si="24"/>
        <v>1</v>
      </c>
      <c r="J1552" s="9">
        <v>41559</v>
      </c>
      <c r="K1552" s="6">
        <v>68</v>
      </c>
      <c r="L1552">
        <f>VLOOKUP(A1552,Marketing_df2!$A$1:$F$2241,3,FALSE)</f>
        <v>1</v>
      </c>
      <c r="M1552">
        <f>VLOOKUP(A1552,Marketing_df2!$A$1:$F$2241,4,FALSE)</f>
        <v>7</v>
      </c>
      <c r="N1552">
        <f>VLOOKUP(A1552,Marketing_df2!$A$1:$F$2241,5,FALSE)</f>
        <v>1</v>
      </c>
      <c r="O1552">
        <f>VLOOKUP(A1552,Marketing_df2!$A$1:$F$2241,6,FALSE)</f>
        <v>4</v>
      </c>
    </row>
    <row r="1553" spans="1:15" ht="12.5">
      <c r="A1553" s="6">
        <v>1551</v>
      </c>
      <c r="B1553" s="6">
        <v>7725</v>
      </c>
      <c r="C1553" s="6">
        <v>1965</v>
      </c>
      <c r="D1553" s="7" t="s">
        <v>17</v>
      </c>
      <c r="E1553" s="7" t="s">
        <v>13</v>
      </c>
      <c r="F1553" s="6">
        <v>76800</v>
      </c>
      <c r="G1553" s="6">
        <v>0</v>
      </c>
      <c r="H1553" s="6">
        <v>0</v>
      </c>
      <c r="I1553" s="6">
        <f t="shared" si="24"/>
        <v>0</v>
      </c>
      <c r="J1553" s="8">
        <v>41706</v>
      </c>
      <c r="K1553" s="6">
        <v>33</v>
      </c>
      <c r="L1553">
        <f>VLOOKUP(A1553,Marketing_df2!$A$1:$F$2241,3,FALSE)</f>
        <v>26</v>
      </c>
      <c r="M1553">
        <f>VLOOKUP(A1553,Marketing_df2!$A$1:$F$2241,4,FALSE)</f>
        <v>71</v>
      </c>
      <c r="N1553">
        <f>VLOOKUP(A1553,Marketing_df2!$A$1:$F$2241,5,FALSE)</f>
        <v>4</v>
      </c>
      <c r="O1553">
        <f>VLOOKUP(A1553,Marketing_df2!$A$1:$F$2241,6,FALSE)</f>
        <v>7</v>
      </c>
    </row>
    <row r="1554" spans="1:15" ht="12.5">
      <c r="A1554" s="6">
        <v>1552</v>
      </c>
      <c r="B1554" s="6">
        <v>8091</v>
      </c>
      <c r="C1554" s="6">
        <v>1956</v>
      </c>
      <c r="D1554" s="7" t="s">
        <v>9</v>
      </c>
      <c r="E1554" s="7" t="s">
        <v>13</v>
      </c>
      <c r="F1554" s="6">
        <v>63943</v>
      </c>
      <c r="G1554" s="6">
        <v>0</v>
      </c>
      <c r="H1554" s="6">
        <v>1</v>
      </c>
      <c r="I1554" s="6">
        <f t="shared" si="24"/>
        <v>1</v>
      </c>
      <c r="J1554" s="8">
        <v>41154</v>
      </c>
      <c r="K1554" s="6">
        <v>50</v>
      </c>
      <c r="L1554">
        <f>VLOOKUP(A1554,Marketing_df2!$A$1:$F$2241,3,FALSE)</f>
        <v>184</v>
      </c>
      <c r="M1554">
        <f>VLOOKUP(A1554,Marketing_df2!$A$1:$F$2241,4,FALSE)</f>
        <v>97</v>
      </c>
      <c r="N1554">
        <f>VLOOKUP(A1554,Marketing_df2!$A$1:$F$2241,5,FALSE)</f>
        <v>6</v>
      </c>
      <c r="O1554">
        <f>VLOOKUP(A1554,Marketing_df2!$A$1:$F$2241,6,FALSE)</f>
        <v>6</v>
      </c>
    </row>
    <row r="1555" spans="1:15" ht="12.5">
      <c r="A1555" s="6">
        <v>1553</v>
      </c>
      <c r="B1555" s="6">
        <v>7321</v>
      </c>
      <c r="C1555" s="6">
        <v>1962</v>
      </c>
      <c r="D1555" s="7" t="s">
        <v>9</v>
      </c>
      <c r="E1555" s="7" t="s">
        <v>11</v>
      </c>
      <c r="F1555" s="6">
        <v>76081</v>
      </c>
      <c r="G1555" s="6">
        <v>0</v>
      </c>
      <c r="H1555" s="6">
        <v>0</v>
      </c>
      <c r="I1555" s="6">
        <f t="shared" si="24"/>
        <v>0</v>
      </c>
      <c r="J1555" s="8">
        <v>41782</v>
      </c>
      <c r="K1555" s="6">
        <v>85</v>
      </c>
      <c r="L1555">
        <f>VLOOKUP(A1555,Marketing_df2!$A$1:$F$2241,3,FALSE)</f>
        <v>30</v>
      </c>
      <c r="M1555">
        <f>VLOOKUP(A1555,Marketing_df2!$A$1:$F$2241,4,FALSE)</f>
        <v>33</v>
      </c>
      <c r="N1555">
        <f>VLOOKUP(A1555,Marketing_df2!$A$1:$F$2241,5,FALSE)</f>
        <v>4</v>
      </c>
      <c r="O1555">
        <f>VLOOKUP(A1555,Marketing_df2!$A$1:$F$2241,6,FALSE)</f>
        <v>4</v>
      </c>
    </row>
    <row r="1556" spans="1:15" ht="12.5">
      <c r="A1556" s="6">
        <v>1554</v>
      </c>
      <c r="B1556" s="6">
        <v>5462</v>
      </c>
      <c r="C1556" s="6">
        <v>1974</v>
      </c>
      <c r="D1556" s="7" t="s">
        <v>9</v>
      </c>
      <c r="E1556" s="7" t="s">
        <v>13</v>
      </c>
      <c r="F1556" s="6">
        <v>67445</v>
      </c>
      <c r="G1556" s="6">
        <v>0</v>
      </c>
      <c r="H1556" s="6">
        <v>1</v>
      </c>
      <c r="I1556" s="6">
        <f t="shared" si="24"/>
        <v>1</v>
      </c>
      <c r="J1556" s="8">
        <v>41133</v>
      </c>
      <c r="K1556" s="6">
        <v>63</v>
      </c>
      <c r="L1556">
        <f>VLOOKUP(A1556,Marketing_df2!$A$1:$F$2241,3,FALSE)</f>
        <v>80</v>
      </c>
      <c r="M1556">
        <f>VLOOKUP(A1556,Marketing_df2!$A$1:$F$2241,4,FALSE)</f>
        <v>80</v>
      </c>
      <c r="N1556">
        <f>VLOOKUP(A1556,Marketing_df2!$A$1:$F$2241,5,FALSE)</f>
        <v>9</v>
      </c>
      <c r="O1556">
        <f>VLOOKUP(A1556,Marketing_df2!$A$1:$F$2241,6,FALSE)</f>
        <v>12</v>
      </c>
    </row>
    <row r="1557" spans="1:15" ht="12.5">
      <c r="A1557" s="6">
        <v>1555</v>
      </c>
      <c r="B1557" s="6">
        <v>7791</v>
      </c>
      <c r="C1557" s="6">
        <v>1967</v>
      </c>
      <c r="D1557" s="7" t="s">
        <v>14</v>
      </c>
      <c r="E1557" s="7" t="s">
        <v>13</v>
      </c>
      <c r="F1557" s="6">
        <v>37054</v>
      </c>
      <c r="G1557" s="6">
        <v>1</v>
      </c>
      <c r="H1557" s="6">
        <v>1</v>
      </c>
      <c r="I1557" s="6">
        <f t="shared" si="24"/>
        <v>2</v>
      </c>
      <c r="J1557" s="8">
        <v>41532</v>
      </c>
      <c r="K1557" s="6">
        <v>89</v>
      </c>
      <c r="L1557">
        <f>VLOOKUP(A1557,Marketing_df2!$A$1:$F$2241,3,FALSE)</f>
        <v>1</v>
      </c>
      <c r="M1557">
        <f>VLOOKUP(A1557,Marketing_df2!$A$1:$F$2241,4,FALSE)</f>
        <v>1</v>
      </c>
      <c r="N1557">
        <f>VLOOKUP(A1557,Marketing_df2!$A$1:$F$2241,5,FALSE)</f>
        <v>1</v>
      </c>
      <c r="O1557">
        <f>VLOOKUP(A1557,Marketing_df2!$A$1:$F$2241,6,FALSE)</f>
        <v>3</v>
      </c>
    </row>
    <row r="1558" spans="1:15" ht="12.5">
      <c r="A1558" s="6">
        <v>1556</v>
      </c>
      <c r="B1558" s="6">
        <v>955</v>
      </c>
      <c r="C1558" s="6">
        <v>1962</v>
      </c>
      <c r="D1558" s="7" t="s">
        <v>14</v>
      </c>
      <c r="E1558" s="7" t="s">
        <v>11</v>
      </c>
      <c r="F1558" s="6">
        <v>47175</v>
      </c>
      <c r="G1558" s="6">
        <v>1</v>
      </c>
      <c r="H1558" s="6">
        <v>1</v>
      </c>
      <c r="I1558" s="6">
        <f t="shared" si="24"/>
        <v>2</v>
      </c>
      <c r="J1558" s="9">
        <v>41210</v>
      </c>
      <c r="K1558" s="6">
        <v>81</v>
      </c>
      <c r="L1558">
        <f>VLOOKUP(A1558,Marketing_df2!$A$1:$F$2241,3,FALSE)</f>
        <v>2</v>
      </c>
      <c r="M1558">
        <f>VLOOKUP(A1558,Marketing_df2!$A$1:$F$2241,4,FALSE)</f>
        <v>2</v>
      </c>
      <c r="N1558">
        <f>VLOOKUP(A1558,Marketing_df2!$A$1:$F$2241,5,FALSE)</f>
        <v>4</v>
      </c>
      <c r="O1558">
        <f>VLOOKUP(A1558,Marketing_df2!$A$1:$F$2241,6,FALSE)</f>
        <v>4</v>
      </c>
    </row>
    <row r="1559" spans="1:15" ht="12.5">
      <c r="A1559" s="6">
        <v>1557</v>
      </c>
      <c r="B1559" s="6">
        <v>4037</v>
      </c>
      <c r="C1559" s="6">
        <v>1976</v>
      </c>
      <c r="D1559" s="7" t="s">
        <v>9</v>
      </c>
      <c r="E1559" s="7" t="s">
        <v>15</v>
      </c>
      <c r="F1559" s="6">
        <v>31859</v>
      </c>
      <c r="G1559" s="6">
        <v>1</v>
      </c>
      <c r="H1559" s="6">
        <v>0</v>
      </c>
      <c r="I1559" s="6">
        <f t="shared" si="24"/>
        <v>1</v>
      </c>
      <c r="J1559" s="8">
        <v>41439</v>
      </c>
      <c r="K1559" s="6">
        <v>77</v>
      </c>
      <c r="L1559">
        <f>VLOOKUP(A1559,Marketing_df2!$A$1:$F$2241,3,FALSE)</f>
        <v>1</v>
      </c>
      <c r="M1559">
        <f>VLOOKUP(A1559,Marketing_df2!$A$1:$F$2241,4,FALSE)</f>
        <v>0</v>
      </c>
      <c r="N1559">
        <f>VLOOKUP(A1559,Marketing_df2!$A$1:$F$2241,5,FALSE)</f>
        <v>1</v>
      </c>
      <c r="O1559">
        <f>VLOOKUP(A1559,Marketing_df2!$A$1:$F$2241,6,FALSE)</f>
        <v>2</v>
      </c>
    </row>
    <row r="1560" spans="1:15" ht="12.5">
      <c r="A1560" s="6">
        <v>1558</v>
      </c>
      <c r="B1560" s="6">
        <v>6642</v>
      </c>
      <c r="C1560" s="6">
        <v>1961</v>
      </c>
      <c r="D1560" s="7" t="s">
        <v>9</v>
      </c>
      <c r="E1560" s="7" t="s">
        <v>15</v>
      </c>
      <c r="F1560" s="6">
        <v>27215</v>
      </c>
      <c r="G1560" s="6">
        <v>2</v>
      </c>
      <c r="H1560" s="6">
        <v>1</v>
      </c>
      <c r="I1560" s="6">
        <f t="shared" si="24"/>
        <v>3</v>
      </c>
      <c r="J1560" s="8">
        <v>41297</v>
      </c>
      <c r="K1560" s="6">
        <v>50</v>
      </c>
      <c r="L1560">
        <f>VLOOKUP(A1560,Marketing_df2!$A$1:$F$2241,3,FALSE)</f>
        <v>5</v>
      </c>
      <c r="M1560">
        <f>VLOOKUP(A1560,Marketing_df2!$A$1:$F$2241,4,FALSE)</f>
        <v>9</v>
      </c>
      <c r="N1560">
        <f>VLOOKUP(A1560,Marketing_df2!$A$1:$F$2241,5,FALSE)</f>
        <v>2</v>
      </c>
      <c r="O1560">
        <f>VLOOKUP(A1560,Marketing_df2!$A$1:$F$2241,6,FALSE)</f>
        <v>4</v>
      </c>
    </row>
    <row r="1561" spans="1:15" ht="12.5">
      <c r="A1561" s="6">
        <v>1559</v>
      </c>
      <c r="B1561" s="6">
        <v>2793</v>
      </c>
      <c r="C1561" s="6">
        <v>1976</v>
      </c>
      <c r="D1561" s="7" t="s">
        <v>12</v>
      </c>
      <c r="E1561" s="7" t="s">
        <v>15</v>
      </c>
      <c r="F1561" s="6">
        <v>70179</v>
      </c>
      <c r="G1561" s="6">
        <v>0</v>
      </c>
      <c r="H1561" s="6">
        <v>1</v>
      </c>
      <c r="I1561" s="6">
        <f t="shared" si="24"/>
        <v>1</v>
      </c>
      <c r="J1561" s="8">
        <v>41476</v>
      </c>
      <c r="K1561" s="6">
        <v>10</v>
      </c>
      <c r="L1561">
        <f>VLOOKUP(A1561,Marketing_df2!$A$1:$F$2241,3,FALSE)</f>
        <v>88</v>
      </c>
      <c r="M1561">
        <f>VLOOKUP(A1561,Marketing_df2!$A$1:$F$2241,4,FALSE)</f>
        <v>44</v>
      </c>
      <c r="N1561">
        <f>VLOOKUP(A1561,Marketing_df2!$A$1:$F$2241,5,FALSE)</f>
        <v>7</v>
      </c>
      <c r="O1561">
        <f>VLOOKUP(A1561,Marketing_df2!$A$1:$F$2241,6,FALSE)</f>
        <v>13</v>
      </c>
    </row>
    <row r="1562" spans="1:15" ht="12.5">
      <c r="A1562" s="6">
        <v>1560</v>
      </c>
      <c r="B1562" s="6">
        <v>5424</v>
      </c>
      <c r="C1562" s="6">
        <v>1983</v>
      </c>
      <c r="D1562" s="7" t="s">
        <v>9</v>
      </c>
      <c r="E1562" s="7" t="s">
        <v>13</v>
      </c>
      <c r="F1562" s="6">
        <v>39922</v>
      </c>
      <c r="G1562" s="6">
        <v>1</v>
      </c>
      <c r="H1562" s="6">
        <v>0</v>
      </c>
      <c r="I1562" s="6">
        <f t="shared" si="24"/>
        <v>1</v>
      </c>
      <c r="J1562" s="8">
        <v>41319</v>
      </c>
      <c r="K1562" s="6">
        <v>30</v>
      </c>
      <c r="L1562">
        <f>VLOOKUP(A1562,Marketing_df2!$A$1:$F$2241,3,FALSE)</f>
        <v>12</v>
      </c>
      <c r="M1562">
        <f>VLOOKUP(A1562,Marketing_df2!$A$1:$F$2241,4,FALSE)</f>
        <v>1</v>
      </c>
      <c r="N1562">
        <f>VLOOKUP(A1562,Marketing_df2!$A$1:$F$2241,5,FALSE)</f>
        <v>3</v>
      </c>
      <c r="O1562">
        <f>VLOOKUP(A1562,Marketing_df2!$A$1:$F$2241,6,FALSE)</f>
        <v>4</v>
      </c>
    </row>
    <row r="1563" spans="1:15" ht="12.5">
      <c r="A1563" s="6">
        <v>1561</v>
      </c>
      <c r="B1563" s="6">
        <v>879</v>
      </c>
      <c r="C1563" s="6">
        <v>1976</v>
      </c>
      <c r="D1563" s="7" t="s">
        <v>14</v>
      </c>
      <c r="E1563" s="7" t="s">
        <v>13</v>
      </c>
      <c r="F1563" s="6">
        <v>49681</v>
      </c>
      <c r="G1563" s="6">
        <v>0</v>
      </c>
      <c r="H1563" s="6">
        <v>2</v>
      </c>
      <c r="I1563" s="6">
        <f t="shared" si="24"/>
        <v>2</v>
      </c>
      <c r="J1563" s="8">
        <v>41582</v>
      </c>
      <c r="K1563" s="6">
        <v>66</v>
      </c>
      <c r="L1563">
        <f>VLOOKUP(A1563,Marketing_df2!$A$1:$F$2241,3,FALSE)</f>
        <v>0</v>
      </c>
      <c r="M1563">
        <f>VLOOKUP(A1563,Marketing_df2!$A$1:$F$2241,4,FALSE)</f>
        <v>0</v>
      </c>
      <c r="N1563">
        <f>VLOOKUP(A1563,Marketing_df2!$A$1:$F$2241,5,FALSE)</f>
        <v>7</v>
      </c>
      <c r="O1563">
        <f>VLOOKUP(A1563,Marketing_df2!$A$1:$F$2241,6,FALSE)</f>
        <v>7</v>
      </c>
    </row>
    <row r="1564" spans="1:15" ht="12.5">
      <c r="A1564" s="6">
        <v>1562</v>
      </c>
      <c r="B1564" s="6">
        <v>9530</v>
      </c>
      <c r="C1564" s="6">
        <v>1988</v>
      </c>
      <c r="D1564" s="7" t="s">
        <v>9</v>
      </c>
      <c r="E1564" s="7" t="s">
        <v>13</v>
      </c>
      <c r="F1564" s="6">
        <v>24645</v>
      </c>
      <c r="G1564" s="6">
        <v>1</v>
      </c>
      <c r="H1564" s="6">
        <v>0</v>
      </c>
      <c r="I1564" s="6">
        <f t="shared" si="24"/>
        <v>1</v>
      </c>
      <c r="J1564" s="8">
        <v>41214</v>
      </c>
      <c r="K1564" s="6">
        <v>16</v>
      </c>
      <c r="L1564">
        <f>VLOOKUP(A1564,Marketing_df2!$A$1:$F$2241,3,FALSE)</f>
        <v>3</v>
      </c>
      <c r="M1564">
        <f>VLOOKUP(A1564,Marketing_df2!$A$1:$F$2241,4,FALSE)</f>
        <v>1</v>
      </c>
      <c r="N1564">
        <f>VLOOKUP(A1564,Marketing_df2!$A$1:$F$2241,5,FALSE)</f>
        <v>1</v>
      </c>
      <c r="O1564">
        <f>VLOOKUP(A1564,Marketing_df2!$A$1:$F$2241,6,FALSE)</f>
        <v>2</v>
      </c>
    </row>
    <row r="1565" spans="1:15" ht="12.5">
      <c r="A1565" s="6">
        <v>1563</v>
      </c>
      <c r="B1565" s="6">
        <v>4828</v>
      </c>
      <c r="C1565" s="6">
        <v>1954</v>
      </c>
      <c r="D1565" s="7" t="s">
        <v>9</v>
      </c>
      <c r="E1565" s="7" t="s">
        <v>15</v>
      </c>
      <c r="F1565" s="6">
        <v>79865</v>
      </c>
      <c r="G1565" s="6">
        <v>0</v>
      </c>
      <c r="H1565" s="6">
        <v>1</v>
      </c>
      <c r="I1565" s="6">
        <f t="shared" si="24"/>
        <v>1</v>
      </c>
      <c r="J1565" s="8">
        <v>41808</v>
      </c>
      <c r="K1565" s="6">
        <v>12</v>
      </c>
      <c r="L1565">
        <f>VLOOKUP(A1565,Marketing_df2!$A$1:$F$2241,3,FALSE)</f>
        <v>99</v>
      </c>
      <c r="M1565">
        <f>VLOOKUP(A1565,Marketing_df2!$A$1:$F$2241,4,FALSE)</f>
        <v>121</v>
      </c>
      <c r="N1565">
        <f>VLOOKUP(A1565,Marketing_df2!$A$1:$F$2241,5,FALSE)</f>
        <v>5</v>
      </c>
      <c r="O1565">
        <f>VLOOKUP(A1565,Marketing_df2!$A$1:$F$2241,6,FALSE)</f>
        <v>5</v>
      </c>
    </row>
    <row r="1566" spans="1:15" ht="12.5">
      <c r="A1566" s="6">
        <v>1564</v>
      </c>
      <c r="B1566" s="6">
        <v>10699</v>
      </c>
      <c r="C1566" s="6">
        <v>1985</v>
      </c>
      <c r="D1566" s="7" t="s">
        <v>9</v>
      </c>
      <c r="E1566" s="7" t="s">
        <v>13</v>
      </c>
      <c r="F1566" s="6">
        <v>44322</v>
      </c>
      <c r="G1566" s="6">
        <v>1</v>
      </c>
      <c r="H1566" s="6">
        <v>0</v>
      </c>
      <c r="I1566" s="6">
        <f t="shared" si="24"/>
        <v>1</v>
      </c>
      <c r="J1566" s="8">
        <v>41806</v>
      </c>
      <c r="K1566" s="6">
        <v>30</v>
      </c>
      <c r="L1566">
        <f>VLOOKUP(A1566,Marketing_df2!$A$1:$F$2241,3,FALSE)</f>
        <v>0</v>
      </c>
      <c r="M1566">
        <f>VLOOKUP(A1566,Marketing_df2!$A$1:$F$2241,4,FALSE)</f>
        <v>0</v>
      </c>
      <c r="N1566">
        <f>VLOOKUP(A1566,Marketing_df2!$A$1:$F$2241,5,FALSE)</f>
        <v>3</v>
      </c>
      <c r="O1566">
        <f>VLOOKUP(A1566,Marketing_df2!$A$1:$F$2241,6,FALSE)</f>
        <v>3</v>
      </c>
    </row>
    <row r="1567" spans="1:15" ht="12.5">
      <c r="A1567" s="6">
        <v>1565</v>
      </c>
      <c r="B1567" s="6">
        <v>1497</v>
      </c>
      <c r="C1567" s="6">
        <v>1952</v>
      </c>
      <c r="D1567" s="7" t="s">
        <v>9</v>
      </c>
      <c r="E1567" s="7" t="s">
        <v>10</v>
      </c>
      <c r="F1567" s="6">
        <v>47958</v>
      </c>
      <c r="G1567" s="6">
        <v>0</v>
      </c>
      <c r="H1567" s="6">
        <v>1</v>
      </c>
      <c r="I1567" s="6">
        <f t="shared" si="24"/>
        <v>1</v>
      </c>
      <c r="J1567" s="8">
        <v>41293</v>
      </c>
      <c r="K1567" s="6">
        <v>8</v>
      </c>
      <c r="L1567">
        <f>VLOOKUP(A1567,Marketing_df2!$A$1:$F$2241,3,FALSE)</f>
        <v>11</v>
      </c>
      <c r="M1567">
        <f>VLOOKUP(A1567,Marketing_df2!$A$1:$F$2241,4,FALSE)</f>
        <v>3</v>
      </c>
      <c r="N1567">
        <f>VLOOKUP(A1567,Marketing_df2!$A$1:$F$2241,5,FALSE)</f>
        <v>6</v>
      </c>
      <c r="O1567">
        <f>VLOOKUP(A1567,Marketing_df2!$A$1:$F$2241,6,FALSE)</f>
        <v>5</v>
      </c>
    </row>
    <row r="1568" spans="1:15" ht="12.5">
      <c r="A1568" s="6">
        <v>1566</v>
      </c>
      <c r="B1568" s="6">
        <v>7476</v>
      </c>
      <c r="C1568" s="6">
        <v>1964</v>
      </c>
      <c r="D1568" s="7" t="s">
        <v>14</v>
      </c>
      <c r="E1568" s="7" t="s">
        <v>10</v>
      </c>
      <c r="F1568" s="6">
        <v>63972</v>
      </c>
      <c r="G1568" s="6">
        <v>0</v>
      </c>
      <c r="H1568" s="6">
        <v>1</v>
      </c>
      <c r="I1568" s="6">
        <f t="shared" si="24"/>
        <v>1</v>
      </c>
      <c r="J1568" s="8">
        <v>41245</v>
      </c>
      <c r="K1568" s="6">
        <v>93</v>
      </c>
      <c r="L1568">
        <f>VLOOKUP(A1568,Marketing_df2!$A$1:$F$2241,3,FALSE)</f>
        <v>63</v>
      </c>
      <c r="M1568">
        <f>VLOOKUP(A1568,Marketing_df2!$A$1:$F$2241,4,FALSE)</f>
        <v>12</v>
      </c>
      <c r="N1568">
        <f>VLOOKUP(A1568,Marketing_df2!$A$1:$F$2241,5,FALSE)</f>
        <v>5</v>
      </c>
      <c r="O1568">
        <f>VLOOKUP(A1568,Marketing_df2!$A$1:$F$2241,6,FALSE)</f>
        <v>10</v>
      </c>
    </row>
    <row r="1569" spans="1:15" ht="12.5">
      <c r="A1569" s="6">
        <v>1567</v>
      </c>
      <c r="B1569" s="6">
        <v>4390</v>
      </c>
      <c r="C1569" s="6">
        <v>1954</v>
      </c>
      <c r="D1569" s="7" t="s">
        <v>9</v>
      </c>
      <c r="E1569" s="7" t="s">
        <v>11</v>
      </c>
      <c r="F1569" s="6">
        <v>75315</v>
      </c>
      <c r="G1569" s="6">
        <v>0</v>
      </c>
      <c r="H1569" s="6">
        <v>1</v>
      </c>
      <c r="I1569" s="6">
        <f t="shared" si="24"/>
        <v>1</v>
      </c>
      <c r="J1569" s="8">
        <v>41744</v>
      </c>
      <c r="K1569" s="6">
        <v>14</v>
      </c>
      <c r="L1569">
        <f>VLOOKUP(A1569,Marketing_df2!$A$1:$F$2241,3,FALSE)</f>
        <v>15</v>
      </c>
      <c r="M1569">
        <f>VLOOKUP(A1569,Marketing_df2!$A$1:$F$2241,4,FALSE)</f>
        <v>23</v>
      </c>
      <c r="N1569">
        <f>VLOOKUP(A1569,Marketing_df2!$A$1:$F$2241,5,FALSE)</f>
        <v>5</v>
      </c>
      <c r="O1569">
        <f>VLOOKUP(A1569,Marketing_df2!$A$1:$F$2241,6,FALSE)</f>
        <v>12</v>
      </c>
    </row>
    <row r="1570" spans="1:15" ht="12.5">
      <c r="A1570" s="6">
        <v>1568</v>
      </c>
      <c r="B1570" s="6">
        <v>10478</v>
      </c>
      <c r="C1570" s="6">
        <v>1950</v>
      </c>
      <c r="D1570" s="7" t="s">
        <v>12</v>
      </c>
      <c r="E1570" s="7" t="s">
        <v>13</v>
      </c>
      <c r="F1570" s="6">
        <v>55517</v>
      </c>
      <c r="G1570" s="6">
        <v>1</v>
      </c>
      <c r="H1570" s="6">
        <v>1</v>
      </c>
      <c r="I1570" s="6">
        <f t="shared" si="24"/>
        <v>2</v>
      </c>
      <c r="J1570" s="8">
        <v>41179</v>
      </c>
      <c r="K1570" s="6">
        <v>53</v>
      </c>
      <c r="L1570">
        <f>VLOOKUP(A1570,Marketing_df2!$A$1:$F$2241,3,FALSE)</f>
        <v>0</v>
      </c>
      <c r="M1570">
        <f>VLOOKUP(A1570,Marketing_df2!$A$1:$F$2241,4,FALSE)</f>
        <v>6</v>
      </c>
      <c r="N1570">
        <f>VLOOKUP(A1570,Marketing_df2!$A$1:$F$2241,5,FALSE)</f>
        <v>11</v>
      </c>
      <c r="O1570">
        <f>VLOOKUP(A1570,Marketing_df2!$A$1:$F$2241,6,FALSE)</f>
        <v>6</v>
      </c>
    </row>
    <row r="1571" spans="1:15" ht="12.5">
      <c r="A1571" s="6">
        <v>1569</v>
      </c>
      <c r="B1571" s="6">
        <v>1081</v>
      </c>
      <c r="C1571" s="6">
        <v>1957</v>
      </c>
      <c r="D1571" s="7" t="s">
        <v>12</v>
      </c>
      <c r="E1571" s="7" t="s">
        <v>13</v>
      </c>
      <c r="F1571" s="6">
        <v>75283</v>
      </c>
      <c r="G1571" s="6">
        <v>1</v>
      </c>
      <c r="H1571" s="6">
        <v>2</v>
      </c>
      <c r="I1571" s="6">
        <f t="shared" si="24"/>
        <v>3</v>
      </c>
      <c r="J1571" s="8">
        <v>41360</v>
      </c>
      <c r="K1571" s="6">
        <v>26</v>
      </c>
      <c r="L1571">
        <f>VLOOKUP(A1571,Marketing_df2!$A$1:$F$2241,3,FALSE)</f>
        <v>9</v>
      </c>
      <c r="M1571">
        <f>VLOOKUP(A1571,Marketing_df2!$A$1:$F$2241,4,FALSE)</f>
        <v>19</v>
      </c>
      <c r="N1571">
        <f>VLOOKUP(A1571,Marketing_df2!$A$1:$F$2241,5,FALSE)</f>
        <v>6</v>
      </c>
      <c r="O1571">
        <f>VLOOKUP(A1571,Marketing_df2!$A$1:$F$2241,6,FALSE)</f>
        <v>5</v>
      </c>
    </row>
    <row r="1572" spans="1:15" ht="12.5">
      <c r="A1572" s="6">
        <v>1570</v>
      </c>
      <c r="B1572" s="6">
        <v>4261</v>
      </c>
      <c r="C1572" s="6">
        <v>1946</v>
      </c>
      <c r="D1572" s="7" t="s">
        <v>12</v>
      </c>
      <c r="E1572" s="7" t="s">
        <v>10</v>
      </c>
      <c r="F1572" s="6">
        <v>82800</v>
      </c>
      <c r="G1572" s="6">
        <v>0</v>
      </c>
      <c r="H1572" s="6">
        <v>0</v>
      </c>
      <c r="I1572" s="6">
        <f t="shared" si="24"/>
        <v>0</v>
      </c>
      <c r="J1572" s="9">
        <v>41237</v>
      </c>
      <c r="K1572" s="6">
        <v>23</v>
      </c>
      <c r="L1572">
        <f>VLOOKUP(A1572,Marketing_df2!$A$1:$F$2241,3,FALSE)</f>
        <v>22</v>
      </c>
      <c r="M1572">
        <f>VLOOKUP(A1572,Marketing_df2!$A$1:$F$2241,4,FALSE)</f>
        <v>68</v>
      </c>
      <c r="N1572">
        <f>VLOOKUP(A1572,Marketing_df2!$A$1:$F$2241,5,FALSE)</f>
        <v>7</v>
      </c>
      <c r="O1572">
        <f>VLOOKUP(A1572,Marketing_df2!$A$1:$F$2241,6,FALSE)</f>
        <v>12</v>
      </c>
    </row>
    <row r="1573" spans="1:15" ht="12.5">
      <c r="A1573" s="6">
        <v>1571</v>
      </c>
      <c r="B1573" s="6">
        <v>9916</v>
      </c>
      <c r="C1573" s="6">
        <v>1954</v>
      </c>
      <c r="D1573" s="7" t="s">
        <v>9</v>
      </c>
      <c r="E1573" s="7" t="s">
        <v>13</v>
      </c>
      <c r="F1573" s="6">
        <v>38998</v>
      </c>
      <c r="G1573" s="6">
        <v>1</v>
      </c>
      <c r="H1573" s="6">
        <v>1</v>
      </c>
      <c r="I1573" s="6">
        <f t="shared" si="24"/>
        <v>2</v>
      </c>
      <c r="J1573" s="8">
        <v>41216</v>
      </c>
      <c r="K1573" s="6">
        <v>92</v>
      </c>
      <c r="L1573">
        <f>VLOOKUP(A1573,Marketing_df2!$A$1:$F$2241,3,FALSE)</f>
        <v>1</v>
      </c>
      <c r="M1573">
        <f>VLOOKUP(A1573,Marketing_df2!$A$1:$F$2241,4,FALSE)</f>
        <v>0</v>
      </c>
      <c r="N1573">
        <f>VLOOKUP(A1573,Marketing_df2!$A$1:$F$2241,5,FALSE)</f>
        <v>2</v>
      </c>
      <c r="O1573">
        <f>VLOOKUP(A1573,Marketing_df2!$A$1:$F$2241,6,FALSE)</f>
        <v>3</v>
      </c>
    </row>
    <row r="1574" spans="1:15" ht="12.5">
      <c r="A1574" s="6">
        <v>1572</v>
      </c>
      <c r="B1574" s="6">
        <v>5350</v>
      </c>
      <c r="C1574" s="6">
        <v>1991</v>
      </c>
      <c r="D1574" s="7" t="s">
        <v>14</v>
      </c>
      <c r="E1574" s="7" t="s">
        <v>10</v>
      </c>
      <c r="F1574" s="6">
        <v>90638</v>
      </c>
      <c r="G1574" s="6">
        <v>0</v>
      </c>
      <c r="H1574" s="6">
        <v>0</v>
      </c>
      <c r="I1574" s="6">
        <f t="shared" si="24"/>
        <v>0</v>
      </c>
      <c r="J1574" s="8">
        <v>41683</v>
      </c>
      <c r="K1574" s="6">
        <v>29</v>
      </c>
      <c r="L1574">
        <f>VLOOKUP(A1574,Marketing_df2!$A$1:$F$2241,3,FALSE)</f>
        <v>120</v>
      </c>
      <c r="M1574">
        <f>VLOOKUP(A1574,Marketing_df2!$A$1:$F$2241,4,FALSE)</f>
        <v>144</v>
      </c>
      <c r="N1574">
        <f>VLOOKUP(A1574,Marketing_df2!$A$1:$F$2241,5,FALSE)</f>
        <v>3</v>
      </c>
      <c r="O1574">
        <f>VLOOKUP(A1574,Marketing_df2!$A$1:$F$2241,6,FALSE)</f>
        <v>10</v>
      </c>
    </row>
    <row r="1575" spans="1:15" ht="12.5">
      <c r="A1575" s="6">
        <v>1573</v>
      </c>
      <c r="B1575" s="6">
        <v>8135</v>
      </c>
      <c r="C1575" s="6">
        <v>1986</v>
      </c>
      <c r="D1575" s="7" t="s">
        <v>14</v>
      </c>
      <c r="E1575" s="7" t="s">
        <v>13</v>
      </c>
      <c r="F1575" s="6">
        <v>27161</v>
      </c>
      <c r="G1575" s="6">
        <v>1</v>
      </c>
      <c r="H1575" s="6">
        <v>0</v>
      </c>
      <c r="I1575" s="6">
        <f t="shared" si="24"/>
        <v>1</v>
      </c>
      <c r="J1575" s="9">
        <v>41575</v>
      </c>
      <c r="K1575" s="6">
        <v>41</v>
      </c>
      <c r="L1575">
        <f>VLOOKUP(A1575,Marketing_df2!$A$1:$F$2241,3,FALSE)</f>
        <v>4</v>
      </c>
      <c r="M1575">
        <f>VLOOKUP(A1575,Marketing_df2!$A$1:$F$2241,4,FALSE)</f>
        <v>0</v>
      </c>
      <c r="N1575">
        <f>VLOOKUP(A1575,Marketing_df2!$A$1:$F$2241,5,FALSE)</f>
        <v>1</v>
      </c>
      <c r="O1575">
        <f>VLOOKUP(A1575,Marketing_df2!$A$1:$F$2241,6,FALSE)</f>
        <v>3</v>
      </c>
    </row>
    <row r="1576" spans="1:15" ht="12.5">
      <c r="A1576" s="6">
        <v>1574</v>
      </c>
      <c r="B1576" s="6">
        <v>8685</v>
      </c>
      <c r="C1576" s="6">
        <v>1977</v>
      </c>
      <c r="D1576" s="7" t="s">
        <v>9</v>
      </c>
      <c r="E1576" s="7" t="s">
        <v>13</v>
      </c>
      <c r="F1576" s="6">
        <v>42014</v>
      </c>
      <c r="G1576" s="6">
        <v>1</v>
      </c>
      <c r="H1576" s="6">
        <v>0</v>
      </c>
      <c r="I1576" s="6">
        <f t="shared" si="24"/>
        <v>1</v>
      </c>
      <c r="J1576" s="8">
        <v>41138</v>
      </c>
      <c r="K1576" s="6">
        <v>56</v>
      </c>
      <c r="L1576">
        <f>VLOOKUP(A1576,Marketing_df2!$A$1:$F$2241,3,FALSE)</f>
        <v>15</v>
      </c>
      <c r="M1576">
        <f>VLOOKUP(A1576,Marketing_df2!$A$1:$F$2241,4,FALSE)</f>
        <v>15</v>
      </c>
      <c r="N1576">
        <f>VLOOKUP(A1576,Marketing_df2!$A$1:$F$2241,5,FALSE)</f>
        <v>7</v>
      </c>
      <c r="O1576">
        <f>VLOOKUP(A1576,Marketing_df2!$A$1:$F$2241,6,FALSE)</f>
        <v>6</v>
      </c>
    </row>
    <row r="1577" spans="1:15" ht="12.5">
      <c r="A1577" s="6">
        <v>1575</v>
      </c>
      <c r="B1577" s="6">
        <v>4967</v>
      </c>
      <c r="C1577" s="6">
        <v>1960</v>
      </c>
      <c r="D1577" s="7" t="s">
        <v>12</v>
      </c>
      <c r="E1577" s="7" t="s">
        <v>11</v>
      </c>
      <c r="F1577" s="6">
        <v>38201</v>
      </c>
      <c r="G1577" s="6">
        <v>0</v>
      </c>
      <c r="H1577" s="6">
        <v>1</v>
      </c>
      <c r="I1577" s="6">
        <f t="shared" si="24"/>
        <v>1</v>
      </c>
      <c r="J1577" s="8">
        <v>41362</v>
      </c>
      <c r="K1577" s="6">
        <v>19</v>
      </c>
      <c r="L1577">
        <f>VLOOKUP(A1577,Marketing_df2!$A$1:$F$2241,3,FALSE)</f>
        <v>0</v>
      </c>
      <c r="M1577">
        <f>VLOOKUP(A1577,Marketing_df2!$A$1:$F$2241,4,FALSE)</f>
        <v>0</v>
      </c>
      <c r="N1577">
        <f>VLOOKUP(A1577,Marketing_df2!$A$1:$F$2241,5,FALSE)</f>
        <v>5</v>
      </c>
      <c r="O1577">
        <f>VLOOKUP(A1577,Marketing_df2!$A$1:$F$2241,6,FALSE)</f>
        <v>5</v>
      </c>
    </row>
    <row r="1578" spans="1:15" ht="12.5">
      <c r="A1578" s="6">
        <v>1576</v>
      </c>
      <c r="B1578" s="6">
        <v>2130</v>
      </c>
      <c r="C1578" s="6">
        <v>1982</v>
      </c>
      <c r="D1578" s="7" t="s">
        <v>9</v>
      </c>
      <c r="E1578" s="7" t="s">
        <v>11</v>
      </c>
      <c r="F1578" s="6">
        <v>45203</v>
      </c>
      <c r="G1578" s="6">
        <v>2</v>
      </c>
      <c r="H1578" s="6">
        <v>0</v>
      </c>
      <c r="I1578" s="6">
        <f t="shared" si="24"/>
        <v>2</v>
      </c>
      <c r="J1578" s="8">
        <v>41721</v>
      </c>
      <c r="K1578" s="6">
        <v>4</v>
      </c>
      <c r="L1578">
        <f>VLOOKUP(A1578,Marketing_df2!$A$1:$F$2241,3,FALSE)</f>
        <v>3</v>
      </c>
      <c r="M1578">
        <f>VLOOKUP(A1578,Marketing_df2!$A$1:$F$2241,4,FALSE)</f>
        <v>8</v>
      </c>
      <c r="N1578">
        <f>VLOOKUP(A1578,Marketing_df2!$A$1:$F$2241,5,FALSE)</f>
        <v>3</v>
      </c>
      <c r="O1578">
        <f>VLOOKUP(A1578,Marketing_df2!$A$1:$F$2241,6,FALSE)</f>
        <v>3</v>
      </c>
    </row>
    <row r="1579" spans="1:15" ht="12.5">
      <c r="A1579" s="6">
        <v>1577</v>
      </c>
      <c r="B1579" s="6">
        <v>9298</v>
      </c>
      <c r="C1579" s="6">
        <v>1947</v>
      </c>
      <c r="D1579" s="7" t="s">
        <v>12</v>
      </c>
      <c r="E1579" s="7" t="s">
        <v>11</v>
      </c>
      <c r="F1579" s="6">
        <v>81574</v>
      </c>
      <c r="G1579" s="6">
        <v>0</v>
      </c>
      <c r="H1579" s="6">
        <v>0</v>
      </c>
      <c r="I1579" s="6">
        <f t="shared" si="24"/>
        <v>0</v>
      </c>
      <c r="J1579" s="8">
        <v>41757</v>
      </c>
      <c r="K1579" s="6">
        <v>89</v>
      </c>
      <c r="L1579">
        <f>VLOOKUP(A1579,Marketing_df2!$A$1:$F$2241,3,FALSE)</f>
        <v>0</v>
      </c>
      <c r="M1579">
        <f>VLOOKUP(A1579,Marketing_df2!$A$1:$F$2241,4,FALSE)</f>
        <v>35</v>
      </c>
      <c r="N1579">
        <f>VLOOKUP(A1579,Marketing_df2!$A$1:$F$2241,5,FALSE)</f>
        <v>4</v>
      </c>
      <c r="O1579">
        <f>VLOOKUP(A1579,Marketing_df2!$A$1:$F$2241,6,FALSE)</f>
        <v>8</v>
      </c>
    </row>
    <row r="1580" spans="1:15" ht="12.5">
      <c r="A1580" s="6">
        <v>1578</v>
      </c>
      <c r="B1580" s="6">
        <v>8175</v>
      </c>
      <c r="C1580" s="6">
        <v>1992</v>
      </c>
      <c r="D1580" s="7" t="s">
        <v>9</v>
      </c>
      <c r="E1580" s="7" t="s">
        <v>13</v>
      </c>
      <c r="F1580" s="6">
        <v>34935</v>
      </c>
      <c r="G1580" s="6">
        <v>0</v>
      </c>
      <c r="H1580" s="6">
        <v>0</v>
      </c>
      <c r="I1580" s="6">
        <f t="shared" si="24"/>
        <v>0</v>
      </c>
      <c r="J1580" s="8">
        <v>41446</v>
      </c>
      <c r="K1580" s="6">
        <v>71</v>
      </c>
      <c r="L1580">
        <f>VLOOKUP(A1580,Marketing_df2!$A$1:$F$2241,3,FALSE)</f>
        <v>4</v>
      </c>
      <c r="M1580">
        <f>VLOOKUP(A1580,Marketing_df2!$A$1:$F$2241,4,FALSE)</f>
        <v>10</v>
      </c>
      <c r="N1580">
        <f>VLOOKUP(A1580,Marketing_df2!$A$1:$F$2241,5,FALSE)</f>
        <v>2</v>
      </c>
      <c r="O1580">
        <f>VLOOKUP(A1580,Marketing_df2!$A$1:$F$2241,6,FALSE)</f>
        <v>4</v>
      </c>
    </row>
    <row r="1581" spans="1:15" ht="12.5">
      <c r="A1581" s="6">
        <v>1579</v>
      </c>
      <c r="B1581" s="6">
        <v>6257</v>
      </c>
      <c r="C1581" s="6">
        <v>1976</v>
      </c>
      <c r="D1581" s="7" t="s">
        <v>14</v>
      </c>
      <c r="E1581" s="7" t="s">
        <v>10</v>
      </c>
      <c r="F1581" s="6">
        <v>60482</v>
      </c>
      <c r="G1581" s="6">
        <v>0</v>
      </c>
      <c r="H1581" s="6">
        <v>1</v>
      </c>
      <c r="I1581" s="6">
        <f t="shared" si="24"/>
        <v>1</v>
      </c>
      <c r="J1581" s="8">
        <v>41297</v>
      </c>
      <c r="K1581" s="6">
        <v>81</v>
      </c>
      <c r="L1581">
        <f>VLOOKUP(A1581,Marketing_df2!$A$1:$F$2241,3,FALSE)</f>
        <v>43</v>
      </c>
      <c r="M1581">
        <f>VLOOKUP(A1581,Marketing_df2!$A$1:$F$2241,4,FALSE)</f>
        <v>14</v>
      </c>
      <c r="N1581">
        <f>VLOOKUP(A1581,Marketing_df2!$A$1:$F$2241,5,FALSE)</f>
        <v>7</v>
      </c>
      <c r="O1581">
        <f>VLOOKUP(A1581,Marketing_df2!$A$1:$F$2241,6,FALSE)</f>
        <v>7</v>
      </c>
    </row>
    <row r="1582" spans="1:15" ht="12.5">
      <c r="A1582" s="6">
        <v>1580</v>
      </c>
      <c r="B1582" s="6">
        <v>3790</v>
      </c>
      <c r="C1582" s="6">
        <v>1956</v>
      </c>
      <c r="D1582" s="7" t="s">
        <v>9</v>
      </c>
      <c r="E1582" s="7" t="s">
        <v>11</v>
      </c>
      <c r="F1582" s="6">
        <v>34633</v>
      </c>
      <c r="G1582" s="6">
        <v>2</v>
      </c>
      <c r="H1582" s="6">
        <v>1</v>
      </c>
      <c r="I1582" s="6">
        <f t="shared" si="24"/>
        <v>3</v>
      </c>
      <c r="J1582" s="8">
        <v>41662</v>
      </c>
      <c r="K1582" s="6">
        <v>31</v>
      </c>
      <c r="L1582">
        <f>VLOOKUP(A1582,Marketing_df2!$A$1:$F$2241,3,FALSE)</f>
        <v>1</v>
      </c>
      <c r="M1582">
        <f>VLOOKUP(A1582,Marketing_df2!$A$1:$F$2241,4,FALSE)</f>
        <v>0</v>
      </c>
      <c r="N1582">
        <f>VLOOKUP(A1582,Marketing_df2!$A$1:$F$2241,5,FALSE)</f>
        <v>1</v>
      </c>
      <c r="O1582">
        <f>VLOOKUP(A1582,Marketing_df2!$A$1:$F$2241,6,FALSE)</f>
        <v>2</v>
      </c>
    </row>
    <row r="1583" spans="1:15" ht="12.5">
      <c r="A1583" s="6">
        <v>1581</v>
      </c>
      <c r="B1583" s="6">
        <v>9952</v>
      </c>
      <c r="C1583" s="6">
        <v>1947</v>
      </c>
      <c r="D1583" s="7" t="s">
        <v>14</v>
      </c>
      <c r="E1583" s="7" t="s">
        <v>11</v>
      </c>
      <c r="F1583" s="6">
        <v>78093</v>
      </c>
      <c r="G1583" s="6">
        <v>0</v>
      </c>
      <c r="H1583" s="6">
        <v>0</v>
      </c>
      <c r="I1583" s="6">
        <f t="shared" si="24"/>
        <v>0</v>
      </c>
      <c r="J1583" s="9">
        <v>41619</v>
      </c>
      <c r="K1583" s="6">
        <v>53</v>
      </c>
      <c r="L1583">
        <f>VLOOKUP(A1583,Marketing_df2!$A$1:$F$2241,3,FALSE)</f>
        <v>32</v>
      </c>
      <c r="M1583">
        <f>VLOOKUP(A1583,Marketing_df2!$A$1:$F$2241,4,FALSE)</f>
        <v>43</v>
      </c>
      <c r="N1583">
        <f>VLOOKUP(A1583,Marketing_df2!$A$1:$F$2241,5,FALSE)</f>
        <v>4</v>
      </c>
      <c r="O1583">
        <f>VLOOKUP(A1583,Marketing_df2!$A$1:$F$2241,6,FALSE)</f>
        <v>5</v>
      </c>
    </row>
    <row r="1584" spans="1:15" ht="12.5">
      <c r="A1584" s="6">
        <v>1582</v>
      </c>
      <c r="B1584" s="6">
        <v>3503</v>
      </c>
      <c r="C1584" s="6">
        <v>1950</v>
      </c>
      <c r="D1584" s="7" t="s">
        <v>9</v>
      </c>
      <c r="E1584" s="7" t="s">
        <v>15</v>
      </c>
      <c r="F1584" s="6">
        <v>82460</v>
      </c>
      <c r="G1584" s="6">
        <v>0</v>
      </c>
      <c r="H1584" s="6">
        <v>0</v>
      </c>
      <c r="I1584" s="6">
        <f t="shared" si="24"/>
        <v>0</v>
      </c>
      <c r="J1584" s="8">
        <v>41610</v>
      </c>
      <c r="K1584" s="6">
        <v>78</v>
      </c>
      <c r="L1584">
        <f>VLOOKUP(A1584,Marketing_df2!$A$1:$F$2241,3,FALSE)</f>
        <v>47</v>
      </c>
      <c r="M1584">
        <f>VLOOKUP(A1584,Marketing_df2!$A$1:$F$2241,4,FALSE)</f>
        <v>32</v>
      </c>
      <c r="N1584">
        <f>VLOOKUP(A1584,Marketing_df2!$A$1:$F$2241,5,FALSE)</f>
        <v>5</v>
      </c>
      <c r="O1584">
        <f>VLOOKUP(A1584,Marketing_df2!$A$1:$F$2241,6,FALSE)</f>
        <v>6</v>
      </c>
    </row>
    <row r="1585" spans="1:15" ht="12.5">
      <c r="A1585" s="6">
        <v>1583</v>
      </c>
      <c r="B1585" s="6">
        <v>5223</v>
      </c>
      <c r="C1585" s="6">
        <v>1966</v>
      </c>
      <c r="D1585" s="7" t="s">
        <v>14</v>
      </c>
      <c r="E1585" s="7" t="s">
        <v>11</v>
      </c>
      <c r="F1585" s="6">
        <v>45903</v>
      </c>
      <c r="G1585" s="6">
        <v>0</v>
      </c>
      <c r="H1585" s="6">
        <v>1</v>
      </c>
      <c r="I1585" s="6">
        <f t="shared" si="24"/>
        <v>1</v>
      </c>
      <c r="J1585" s="8">
        <v>41752</v>
      </c>
      <c r="K1585" s="6">
        <v>80</v>
      </c>
      <c r="L1585">
        <f>VLOOKUP(A1585,Marketing_df2!$A$1:$F$2241,3,FALSE)</f>
        <v>8</v>
      </c>
      <c r="M1585">
        <f>VLOOKUP(A1585,Marketing_df2!$A$1:$F$2241,4,FALSE)</f>
        <v>10</v>
      </c>
      <c r="N1585">
        <f>VLOOKUP(A1585,Marketing_df2!$A$1:$F$2241,5,FALSE)</f>
        <v>2</v>
      </c>
      <c r="O1585">
        <f>VLOOKUP(A1585,Marketing_df2!$A$1:$F$2241,6,FALSE)</f>
        <v>3</v>
      </c>
    </row>
    <row r="1586" spans="1:15" ht="12.5">
      <c r="A1586" s="6">
        <v>1584</v>
      </c>
      <c r="B1586" s="6">
        <v>4608</v>
      </c>
      <c r="C1586" s="6">
        <v>1987</v>
      </c>
      <c r="D1586" s="7" t="s">
        <v>9</v>
      </c>
      <c r="E1586" s="7" t="s">
        <v>15</v>
      </c>
      <c r="F1586" s="6">
        <v>81361</v>
      </c>
      <c r="G1586" s="6">
        <v>0</v>
      </c>
      <c r="H1586" s="6">
        <v>0</v>
      </c>
      <c r="I1586" s="6">
        <f t="shared" si="24"/>
        <v>0</v>
      </c>
      <c r="J1586" s="8">
        <v>41695</v>
      </c>
      <c r="K1586" s="6">
        <v>18</v>
      </c>
      <c r="L1586">
        <f>VLOOKUP(A1586,Marketing_df2!$A$1:$F$2241,3,FALSE)</f>
        <v>23</v>
      </c>
      <c r="M1586">
        <f>VLOOKUP(A1586,Marketing_df2!$A$1:$F$2241,4,FALSE)</f>
        <v>65</v>
      </c>
      <c r="N1586">
        <f>VLOOKUP(A1586,Marketing_df2!$A$1:$F$2241,5,FALSE)</f>
        <v>3</v>
      </c>
      <c r="O1586">
        <f>VLOOKUP(A1586,Marketing_df2!$A$1:$F$2241,6,FALSE)</f>
        <v>13</v>
      </c>
    </row>
    <row r="1587" spans="1:15" ht="12.5">
      <c r="A1587" s="6">
        <v>1585</v>
      </c>
      <c r="B1587" s="6">
        <v>1626</v>
      </c>
      <c r="C1587" s="6">
        <v>1973</v>
      </c>
      <c r="D1587" s="7" t="s">
        <v>12</v>
      </c>
      <c r="E1587" s="7" t="s">
        <v>15</v>
      </c>
      <c r="F1587" s="6">
        <v>35860</v>
      </c>
      <c r="G1587" s="6">
        <v>1</v>
      </c>
      <c r="H1587" s="6">
        <v>1</v>
      </c>
      <c r="I1587" s="6">
        <f t="shared" si="24"/>
        <v>2</v>
      </c>
      <c r="J1587" s="8">
        <v>41778</v>
      </c>
      <c r="K1587" s="6">
        <v>37</v>
      </c>
      <c r="L1587">
        <f>VLOOKUP(A1587,Marketing_df2!$A$1:$F$2241,3,FALSE)</f>
        <v>0</v>
      </c>
      <c r="M1587">
        <f>VLOOKUP(A1587,Marketing_df2!$A$1:$F$2241,4,FALSE)</f>
        <v>2</v>
      </c>
      <c r="N1587">
        <f>VLOOKUP(A1587,Marketing_df2!$A$1:$F$2241,5,FALSE)</f>
        <v>1</v>
      </c>
      <c r="O1587">
        <f>VLOOKUP(A1587,Marketing_df2!$A$1:$F$2241,6,FALSE)</f>
        <v>2</v>
      </c>
    </row>
    <row r="1588" spans="1:15" ht="12.5">
      <c r="A1588" s="6">
        <v>1586</v>
      </c>
      <c r="B1588" s="6">
        <v>4764</v>
      </c>
      <c r="C1588" s="6">
        <v>1952</v>
      </c>
      <c r="D1588" s="7" t="s">
        <v>14</v>
      </c>
      <c r="E1588" s="7" t="s">
        <v>11</v>
      </c>
      <c r="F1588" s="6">
        <v>40442</v>
      </c>
      <c r="G1588" s="6">
        <v>1</v>
      </c>
      <c r="H1588" s="6">
        <v>1</v>
      </c>
      <c r="I1588" s="6">
        <f t="shared" si="24"/>
        <v>2</v>
      </c>
      <c r="J1588" s="8">
        <v>41140</v>
      </c>
      <c r="K1588" s="6">
        <v>52</v>
      </c>
      <c r="L1588">
        <f>VLOOKUP(A1588,Marketing_df2!$A$1:$F$2241,3,FALSE)</f>
        <v>12</v>
      </c>
      <c r="M1588">
        <f>VLOOKUP(A1588,Marketing_df2!$A$1:$F$2241,4,FALSE)</f>
        <v>22</v>
      </c>
      <c r="N1588">
        <f>VLOOKUP(A1588,Marketing_df2!$A$1:$F$2241,5,FALSE)</f>
        <v>3</v>
      </c>
      <c r="O1588">
        <f>VLOOKUP(A1588,Marketing_df2!$A$1:$F$2241,6,FALSE)</f>
        <v>4</v>
      </c>
    </row>
    <row r="1589" spans="1:15" ht="12.5">
      <c r="A1589" s="6">
        <v>1587</v>
      </c>
      <c r="B1589" s="6">
        <v>2471</v>
      </c>
      <c r="C1589" s="6">
        <v>1965</v>
      </c>
      <c r="D1589" s="7" t="s">
        <v>9</v>
      </c>
      <c r="E1589" s="7" t="s">
        <v>13</v>
      </c>
      <c r="F1589" s="6">
        <v>61482</v>
      </c>
      <c r="G1589" s="6">
        <v>0</v>
      </c>
      <c r="H1589" s="6">
        <v>0</v>
      </c>
      <c r="I1589" s="6">
        <f t="shared" si="24"/>
        <v>0</v>
      </c>
      <c r="J1589" s="8">
        <v>41817</v>
      </c>
      <c r="K1589" s="6">
        <v>39</v>
      </c>
      <c r="L1589">
        <f>VLOOKUP(A1589,Marketing_df2!$A$1:$F$2241,3,FALSE)</f>
        <v>58</v>
      </c>
      <c r="M1589">
        <f>VLOOKUP(A1589,Marketing_df2!$A$1:$F$2241,4,FALSE)</f>
        <v>66</v>
      </c>
      <c r="N1589">
        <f>VLOOKUP(A1589,Marketing_df2!$A$1:$F$2241,5,FALSE)</f>
        <v>3</v>
      </c>
      <c r="O1589">
        <f>VLOOKUP(A1589,Marketing_df2!$A$1:$F$2241,6,FALSE)</f>
        <v>6</v>
      </c>
    </row>
    <row r="1590" spans="1:15" ht="12.5">
      <c r="A1590" s="6">
        <v>1588</v>
      </c>
      <c r="B1590" s="6">
        <v>5892</v>
      </c>
      <c r="C1590" s="6">
        <v>1980</v>
      </c>
      <c r="D1590" s="7" t="s">
        <v>9</v>
      </c>
      <c r="E1590" s="7" t="s">
        <v>13</v>
      </c>
      <c r="F1590" s="6">
        <v>34968</v>
      </c>
      <c r="G1590" s="6">
        <v>1</v>
      </c>
      <c r="H1590" s="6">
        <v>0</v>
      </c>
      <c r="I1590" s="6">
        <f t="shared" si="24"/>
        <v>1</v>
      </c>
      <c r="J1590" s="8">
        <v>41374</v>
      </c>
      <c r="K1590" s="6">
        <v>11</v>
      </c>
      <c r="L1590">
        <f>VLOOKUP(A1590,Marketing_df2!$A$1:$F$2241,3,FALSE)</f>
        <v>6</v>
      </c>
      <c r="M1590">
        <f>VLOOKUP(A1590,Marketing_df2!$A$1:$F$2241,4,FALSE)</f>
        <v>2</v>
      </c>
      <c r="N1590">
        <f>VLOOKUP(A1590,Marketing_df2!$A$1:$F$2241,5,FALSE)</f>
        <v>3</v>
      </c>
      <c r="O1590">
        <f>VLOOKUP(A1590,Marketing_df2!$A$1:$F$2241,6,FALSE)</f>
        <v>5</v>
      </c>
    </row>
    <row r="1591" spans="1:15" ht="12.5">
      <c r="A1591" s="6">
        <v>1589</v>
      </c>
      <c r="B1591" s="6">
        <v>2612</v>
      </c>
      <c r="C1591" s="6">
        <v>1987</v>
      </c>
      <c r="D1591" s="7" t="s">
        <v>9</v>
      </c>
      <c r="E1591" s="7" t="s">
        <v>13</v>
      </c>
      <c r="F1591" s="6">
        <v>75794</v>
      </c>
      <c r="G1591" s="6">
        <v>0</v>
      </c>
      <c r="H1591" s="6">
        <v>0</v>
      </c>
      <c r="I1591" s="6">
        <f t="shared" si="24"/>
        <v>0</v>
      </c>
      <c r="J1591" s="9">
        <v>41632</v>
      </c>
      <c r="K1591" s="6">
        <v>33</v>
      </c>
      <c r="L1591">
        <f>VLOOKUP(A1591,Marketing_df2!$A$1:$F$2241,3,FALSE)</f>
        <v>160</v>
      </c>
      <c r="M1591">
        <f>VLOOKUP(A1591,Marketing_df2!$A$1:$F$2241,4,FALSE)</f>
        <v>32</v>
      </c>
      <c r="N1591">
        <f>VLOOKUP(A1591,Marketing_df2!$A$1:$F$2241,5,FALSE)</f>
        <v>7</v>
      </c>
      <c r="O1591">
        <f>VLOOKUP(A1591,Marketing_df2!$A$1:$F$2241,6,FALSE)</f>
        <v>12</v>
      </c>
    </row>
    <row r="1592" spans="1:15" ht="12.5">
      <c r="A1592" s="6">
        <v>1590</v>
      </c>
      <c r="B1592" s="6">
        <v>4971</v>
      </c>
      <c r="C1592" s="6">
        <v>1962</v>
      </c>
      <c r="D1592" s="7" t="s">
        <v>12</v>
      </c>
      <c r="E1592" s="7" t="s">
        <v>11</v>
      </c>
      <c r="F1592" s="6">
        <v>31497</v>
      </c>
      <c r="G1592" s="6">
        <v>0</v>
      </c>
      <c r="H1592" s="6">
        <v>1</v>
      </c>
      <c r="I1592" s="6">
        <f t="shared" si="24"/>
        <v>1</v>
      </c>
      <c r="J1592" s="8">
        <v>41249</v>
      </c>
      <c r="K1592" s="6">
        <v>22</v>
      </c>
      <c r="L1592">
        <f>VLOOKUP(A1592,Marketing_df2!$A$1:$F$2241,3,FALSE)</f>
        <v>1</v>
      </c>
      <c r="M1592">
        <f>VLOOKUP(A1592,Marketing_df2!$A$1:$F$2241,4,FALSE)</f>
        <v>1</v>
      </c>
      <c r="N1592">
        <f>VLOOKUP(A1592,Marketing_df2!$A$1:$F$2241,5,FALSE)</f>
        <v>3</v>
      </c>
      <c r="O1592">
        <f>VLOOKUP(A1592,Marketing_df2!$A$1:$F$2241,6,FALSE)</f>
        <v>4</v>
      </c>
    </row>
    <row r="1593" spans="1:15" ht="12.5">
      <c r="A1593" s="6">
        <v>1591</v>
      </c>
      <c r="B1593" s="6">
        <v>5185</v>
      </c>
      <c r="C1593" s="6">
        <v>1955</v>
      </c>
      <c r="D1593" s="7" t="s">
        <v>9</v>
      </c>
      <c r="E1593" s="7" t="s">
        <v>13</v>
      </c>
      <c r="F1593" s="6">
        <v>74268</v>
      </c>
      <c r="G1593" s="6">
        <v>0</v>
      </c>
      <c r="H1593" s="6">
        <v>0</v>
      </c>
      <c r="I1593" s="6">
        <f t="shared" si="24"/>
        <v>0</v>
      </c>
      <c r="J1593" s="8">
        <v>41319</v>
      </c>
      <c r="K1593" s="6">
        <v>83</v>
      </c>
      <c r="L1593">
        <f>VLOOKUP(A1593,Marketing_df2!$A$1:$F$2241,3,FALSE)</f>
        <v>66</v>
      </c>
      <c r="M1593">
        <f>VLOOKUP(A1593,Marketing_df2!$A$1:$F$2241,4,FALSE)</f>
        <v>174</v>
      </c>
      <c r="N1593">
        <f>VLOOKUP(A1593,Marketing_df2!$A$1:$F$2241,5,FALSE)</f>
        <v>4</v>
      </c>
      <c r="O1593">
        <f>VLOOKUP(A1593,Marketing_df2!$A$1:$F$2241,6,FALSE)</f>
        <v>5</v>
      </c>
    </row>
    <row r="1594" spans="1:15" ht="12.5">
      <c r="A1594" s="6">
        <v>1592</v>
      </c>
      <c r="B1594" s="6">
        <v>10069</v>
      </c>
      <c r="C1594" s="6">
        <v>1988</v>
      </c>
      <c r="D1594" s="7" t="s">
        <v>16</v>
      </c>
      <c r="E1594" s="7" t="s">
        <v>11</v>
      </c>
      <c r="F1594" s="6">
        <v>13724</v>
      </c>
      <c r="G1594" s="6">
        <v>1</v>
      </c>
      <c r="H1594" s="6">
        <v>0</v>
      </c>
      <c r="I1594" s="6">
        <f t="shared" si="24"/>
        <v>1</v>
      </c>
      <c r="J1594" s="8">
        <v>41152</v>
      </c>
      <c r="K1594" s="6">
        <v>43</v>
      </c>
      <c r="L1594">
        <f>VLOOKUP(A1594,Marketing_df2!$A$1:$F$2241,3,FALSE)</f>
        <v>7</v>
      </c>
      <c r="M1594">
        <f>VLOOKUP(A1594,Marketing_df2!$A$1:$F$2241,4,FALSE)</f>
        <v>15</v>
      </c>
      <c r="N1594">
        <f>VLOOKUP(A1594,Marketing_df2!$A$1:$F$2241,5,FALSE)</f>
        <v>2</v>
      </c>
      <c r="O1594">
        <f>VLOOKUP(A1594,Marketing_df2!$A$1:$F$2241,6,FALSE)</f>
        <v>2</v>
      </c>
    </row>
    <row r="1595" spans="1:15" ht="12.5">
      <c r="A1595" s="6">
        <v>1593</v>
      </c>
      <c r="B1595" s="6">
        <v>2262</v>
      </c>
      <c r="C1595" s="6">
        <v>1965</v>
      </c>
      <c r="D1595" s="7" t="s">
        <v>14</v>
      </c>
      <c r="E1595" s="7" t="s">
        <v>11</v>
      </c>
      <c r="F1595" s="6">
        <v>45143</v>
      </c>
      <c r="G1595" s="6">
        <v>0</v>
      </c>
      <c r="H1595" s="6">
        <v>1</v>
      </c>
      <c r="I1595" s="6">
        <f t="shared" si="24"/>
        <v>1</v>
      </c>
      <c r="J1595" s="8">
        <v>41512</v>
      </c>
      <c r="K1595" s="6">
        <v>74</v>
      </c>
      <c r="L1595">
        <f>VLOOKUP(A1595,Marketing_df2!$A$1:$F$2241,3,FALSE)</f>
        <v>5</v>
      </c>
      <c r="M1595">
        <f>VLOOKUP(A1595,Marketing_df2!$A$1:$F$2241,4,FALSE)</f>
        <v>5</v>
      </c>
      <c r="N1595">
        <f>VLOOKUP(A1595,Marketing_df2!$A$1:$F$2241,5,FALSE)</f>
        <v>6</v>
      </c>
      <c r="O1595">
        <f>VLOOKUP(A1595,Marketing_df2!$A$1:$F$2241,6,FALSE)</f>
        <v>5</v>
      </c>
    </row>
    <row r="1596" spans="1:15" ht="12.5">
      <c r="A1596" s="6">
        <v>1594</v>
      </c>
      <c r="B1596" s="6">
        <v>1131</v>
      </c>
      <c r="C1596" s="6">
        <v>1967</v>
      </c>
      <c r="D1596" s="7" t="s">
        <v>12</v>
      </c>
      <c r="E1596" s="7" t="s">
        <v>10</v>
      </c>
      <c r="F1596" s="6">
        <v>52569</v>
      </c>
      <c r="G1596" s="6">
        <v>0</v>
      </c>
      <c r="H1596" s="6">
        <v>1</v>
      </c>
      <c r="I1596" s="6">
        <f t="shared" si="24"/>
        <v>1</v>
      </c>
      <c r="J1596" s="8">
        <v>41734</v>
      </c>
      <c r="K1596" s="6">
        <v>54</v>
      </c>
      <c r="L1596">
        <f>VLOOKUP(A1596,Marketing_df2!$A$1:$F$2241,3,FALSE)</f>
        <v>0</v>
      </c>
      <c r="M1596">
        <f>VLOOKUP(A1596,Marketing_df2!$A$1:$F$2241,4,FALSE)</f>
        <v>0</v>
      </c>
      <c r="N1596">
        <f>VLOOKUP(A1596,Marketing_df2!$A$1:$F$2241,5,FALSE)</f>
        <v>2</v>
      </c>
      <c r="O1596">
        <f>VLOOKUP(A1596,Marketing_df2!$A$1:$F$2241,6,FALSE)</f>
        <v>4</v>
      </c>
    </row>
    <row r="1597" spans="1:15" ht="12.5">
      <c r="A1597" s="6">
        <v>1595</v>
      </c>
      <c r="B1597" s="6">
        <v>1041</v>
      </c>
      <c r="C1597" s="6">
        <v>1973</v>
      </c>
      <c r="D1597" s="7" t="s">
        <v>12</v>
      </c>
      <c r="E1597" s="7" t="s">
        <v>10</v>
      </c>
      <c r="F1597" s="6">
        <v>48432</v>
      </c>
      <c r="G1597" s="6">
        <v>0</v>
      </c>
      <c r="H1597" s="6">
        <v>1</v>
      </c>
      <c r="I1597" s="6">
        <f t="shared" si="24"/>
        <v>1</v>
      </c>
      <c r="J1597" s="9">
        <v>41200</v>
      </c>
      <c r="K1597" s="6">
        <v>3</v>
      </c>
      <c r="L1597">
        <f>VLOOKUP(A1597,Marketing_df2!$A$1:$F$2241,3,FALSE)</f>
        <v>3</v>
      </c>
      <c r="M1597">
        <f>VLOOKUP(A1597,Marketing_df2!$A$1:$F$2241,4,FALSE)</f>
        <v>3</v>
      </c>
      <c r="N1597">
        <f>VLOOKUP(A1597,Marketing_df2!$A$1:$F$2241,5,FALSE)</f>
        <v>7</v>
      </c>
      <c r="O1597">
        <f>VLOOKUP(A1597,Marketing_df2!$A$1:$F$2241,6,FALSE)</f>
        <v>6</v>
      </c>
    </row>
    <row r="1598" spans="1:15" ht="12.5">
      <c r="A1598" s="6">
        <v>1596</v>
      </c>
      <c r="B1598" s="6">
        <v>24</v>
      </c>
      <c r="C1598" s="6">
        <v>1960</v>
      </c>
      <c r="D1598" s="7" t="s">
        <v>14</v>
      </c>
      <c r="E1598" s="7" t="s">
        <v>11</v>
      </c>
      <c r="F1598" s="6">
        <v>17144</v>
      </c>
      <c r="G1598" s="6">
        <v>1</v>
      </c>
      <c r="H1598" s="6">
        <v>1</v>
      </c>
      <c r="I1598" s="6">
        <f t="shared" si="24"/>
        <v>2</v>
      </c>
      <c r="J1598" s="8">
        <v>41685</v>
      </c>
      <c r="K1598" s="6">
        <v>96</v>
      </c>
      <c r="L1598">
        <f>VLOOKUP(A1598,Marketing_df2!$A$1:$F$2241,3,FALSE)</f>
        <v>2</v>
      </c>
      <c r="M1598">
        <f>VLOOKUP(A1598,Marketing_df2!$A$1:$F$2241,4,FALSE)</f>
        <v>2</v>
      </c>
      <c r="N1598">
        <f>VLOOKUP(A1598,Marketing_df2!$A$1:$F$2241,5,FALSE)</f>
        <v>3</v>
      </c>
      <c r="O1598">
        <f>VLOOKUP(A1598,Marketing_df2!$A$1:$F$2241,6,FALSE)</f>
        <v>4</v>
      </c>
    </row>
    <row r="1599" spans="1:15" ht="12.5">
      <c r="A1599" s="6">
        <v>1597</v>
      </c>
      <c r="B1599" s="6">
        <v>3409</v>
      </c>
      <c r="C1599" s="6">
        <v>1984</v>
      </c>
      <c r="D1599" s="7" t="s">
        <v>9</v>
      </c>
      <c r="E1599" s="7" t="s">
        <v>10</v>
      </c>
      <c r="F1599" s="6">
        <v>36108</v>
      </c>
      <c r="G1599" s="6">
        <v>1</v>
      </c>
      <c r="H1599" s="6">
        <v>0</v>
      </c>
      <c r="I1599" s="6">
        <f t="shared" si="24"/>
        <v>1</v>
      </c>
      <c r="J1599" s="9">
        <v>41562</v>
      </c>
      <c r="K1599" s="6">
        <v>68</v>
      </c>
      <c r="L1599">
        <f>VLOOKUP(A1599,Marketing_df2!$A$1:$F$2241,3,FALSE)</f>
        <v>8</v>
      </c>
      <c r="M1599">
        <f>VLOOKUP(A1599,Marketing_df2!$A$1:$F$2241,4,FALSE)</f>
        <v>11</v>
      </c>
      <c r="N1599">
        <f>VLOOKUP(A1599,Marketing_df2!$A$1:$F$2241,5,FALSE)</f>
        <v>7</v>
      </c>
      <c r="O1599">
        <f>VLOOKUP(A1599,Marketing_df2!$A$1:$F$2241,6,FALSE)</f>
        <v>4</v>
      </c>
    </row>
    <row r="1600" spans="1:15" ht="12.5">
      <c r="A1600" s="6">
        <v>1598</v>
      </c>
      <c r="B1600" s="6">
        <v>7022</v>
      </c>
      <c r="C1600" s="6">
        <v>1971</v>
      </c>
      <c r="D1600" s="7" t="s">
        <v>9</v>
      </c>
      <c r="E1600" s="7" t="s">
        <v>13</v>
      </c>
      <c r="F1600" s="6">
        <v>76445</v>
      </c>
      <c r="G1600" s="6">
        <v>1</v>
      </c>
      <c r="H1600" s="6">
        <v>0</v>
      </c>
      <c r="I1600" s="6">
        <f t="shared" si="24"/>
        <v>1</v>
      </c>
      <c r="J1600" s="8">
        <v>41180</v>
      </c>
      <c r="K1600" s="6">
        <v>2</v>
      </c>
      <c r="L1600">
        <f>VLOOKUP(A1600,Marketing_df2!$A$1:$F$2241,3,FALSE)</f>
        <v>107</v>
      </c>
      <c r="M1600">
        <f>VLOOKUP(A1600,Marketing_df2!$A$1:$F$2241,4,FALSE)</f>
        <v>80</v>
      </c>
      <c r="N1600">
        <f>VLOOKUP(A1600,Marketing_df2!$A$1:$F$2241,5,FALSE)</f>
        <v>2</v>
      </c>
      <c r="O1600">
        <f>VLOOKUP(A1600,Marketing_df2!$A$1:$F$2241,6,FALSE)</f>
        <v>13</v>
      </c>
    </row>
    <row r="1601" spans="1:15" ht="12.5">
      <c r="A1601" s="6">
        <v>1599</v>
      </c>
      <c r="B1601" s="6">
        <v>7943</v>
      </c>
      <c r="C1601" s="6">
        <v>1975</v>
      </c>
      <c r="D1601" s="7" t="s">
        <v>12</v>
      </c>
      <c r="E1601" s="7" t="s">
        <v>13</v>
      </c>
      <c r="F1601" s="6">
        <v>36663</v>
      </c>
      <c r="G1601" s="6">
        <v>1</v>
      </c>
      <c r="H1601" s="6">
        <v>0</v>
      </c>
      <c r="I1601" s="6">
        <f t="shared" si="24"/>
        <v>1</v>
      </c>
      <c r="J1601" s="8">
        <v>41754</v>
      </c>
      <c r="K1601" s="6">
        <v>40</v>
      </c>
      <c r="L1601">
        <f>VLOOKUP(A1601,Marketing_df2!$A$1:$F$2241,3,FALSE)</f>
        <v>0</v>
      </c>
      <c r="M1601">
        <f>VLOOKUP(A1601,Marketing_df2!$A$1:$F$2241,4,FALSE)</f>
        <v>3</v>
      </c>
      <c r="N1601">
        <f>VLOOKUP(A1601,Marketing_df2!$A$1:$F$2241,5,FALSE)</f>
        <v>1</v>
      </c>
      <c r="O1601">
        <f>VLOOKUP(A1601,Marketing_df2!$A$1:$F$2241,6,FALSE)</f>
        <v>3</v>
      </c>
    </row>
    <row r="1602" spans="1:15" ht="12.5">
      <c r="A1602" s="6">
        <v>1600</v>
      </c>
      <c r="B1602" s="6">
        <v>5272</v>
      </c>
      <c r="C1602" s="6">
        <v>1965</v>
      </c>
      <c r="D1602" s="7" t="s">
        <v>14</v>
      </c>
      <c r="E1602" s="7" t="s">
        <v>13</v>
      </c>
      <c r="F1602" s="6">
        <v>53843</v>
      </c>
      <c r="G1602" s="6">
        <v>0</v>
      </c>
      <c r="H1602" s="6">
        <v>1</v>
      </c>
      <c r="I1602" s="6">
        <f t="shared" si="24"/>
        <v>1</v>
      </c>
      <c r="J1602" s="8">
        <v>41452</v>
      </c>
      <c r="K1602" s="6">
        <v>64</v>
      </c>
      <c r="L1602">
        <f>VLOOKUP(A1602,Marketing_df2!$A$1:$F$2241,3,FALSE)</f>
        <v>0</v>
      </c>
      <c r="M1602">
        <f>VLOOKUP(A1602,Marketing_df2!$A$1:$F$2241,4,FALSE)</f>
        <v>4</v>
      </c>
      <c r="N1602">
        <f>VLOOKUP(A1602,Marketing_df2!$A$1:$F$2241,5,FALSE)</f>
        <v>8</v>
      </c>
      <c r="O1602">
        <f>VLOOKUP(A1602,Marketing_df2!$A$1:$F$2241,6,FALSE)</f>
        <v>3</v>
      </c>
    </row>
    <row r="1603" spans="1:15" ht="12.5">
      <c r="A1603" s="6">
        <v>1601</v>
      </c>
      <c r="B1603" s="6">
        <v>5453</v>
      </c>
      <c r="C1603" s="6">
        <v>1956</v>
      </c>
      <c r="D1603" s="7" t="s">
        <v>14</v>
      </c>
      <c r="E1603" s="7" t="s">
        <v>13</v>
      </c>
      <c r="F1603" s="6">
        <v>90226</v>
      </c>
      <c r="G1603" s="6">
        <v>0</v>
      </c>
      <c r="H1603" s="6">
        <v>0</v>
      </c>
      <c r="I1603" s="6">
        <f t="shared" ref="I1603:I1666" si="25">G1603+H1603</f>
        <v>0</v>
      </c>
      <c r="J1603" s="8">
        <v>41178</v>
      </c>
      <c r="K1603" s="6">
        <v>26</v>
      </c>
      <c r="L1603">
        <f>VLOOKUP(A1603,Marketing_df2!$A$1:$F$2241,3,FALSE)</f>
        <v>108</v>
      </c>
      <c r="M1603">
        <f>VLOOKUP(A1603,Marketing_df2!$A$1:$F$2241,4,FALSE)</f>
        <v>151</v>
      </c>
      <c r="N1603">
        <f>VLOOKUP(A1603,Marketing_df2!$A$1:$F$2241,5,FALSE)</f>
        <v>4</v>
      </c>
      <c r="O1603">
        <f>VLOOKUP(A1603,Marketing_df2!$A$1:$F$2241,6,FALSE)</f>
        <v>12</v>
      </c>
    </row>
    <row r="1604" spans="1:15" ht="12.5">
      <c r="A1604" s="6">
        <v>1602</v>
      </c>
      <c r="B1604" s="6">
        <v>2565</v>
      </c>
      <c r="C1604" s="6">
        <v>1955</v>
      </c>
      <c r="D1604" s="7" t="s">
        <v>14</v>
      </c>
      <c r="E1604" s="7" t="s">
        <v>15</v>
      </c>
      <c r="F1604" s="6">
        <v>70638</v>
      </c>
      <c r="G1604" s="6">
        <v>0</v>
      </c>
      <c r="H1604" s="6">
        <v>0</v>
      </c>
      <c r="I1604" s="6">
        <f t="shared" si="25"/>
        <v>0</v>
      </c>
      <c r="J1604" s="8">
        <v>41426</v>
      </c>
      <c r="K1604" s="6">
        <v>69</v>
      </c>
      <c r="L1604">
        <f>VLOOKUP(A1604,Marketing_df2!$A$1:$F$2241,3,FALSE)</f>
        <v>12</v>
      </c>
      <c r="M1604">
        <f>VLOOKUP(A1604,Marketing_df2!$A$1:$F$2241,4,FALSE)</f>
        <v>12</v>
      </c>
      <c r="N1604">
        <f>VLOOKUP(A1604,Marketing_df2!$A$1:$F$2241,5,FALSE)</f>
        <v>4</v>
      </c>
      <c r="O1604">
        <f>VLOOKUP(A1604,Marketing_df2!$A$1:$F$2241,6,FALSE)</f>
        <v>10</v>
      </c>
    </row>
    <row r="1605" spans="1:15" ht="12.5">
      <c r="A1605" s="6">
        <v>1603</v>
      </c>
      <c r="B1605" s="6">
        <v>800</v>
      </c>
      <c r="C1605" s="6">
        <v>1960</v>
      </c>
      <c r="D1605" s="7" t="s">
        <v>9</v>
      </c>
      <c r="E1605" s="7" t="s">
        <v>11</v>
      </c>
      <c r="F1605" s="6">
        <v>44512</v>
      </c>
      <c r="G1605" s="6">
        <v>1</v>
      </c>
      <c r="H1605" s="6">
        <v>1</v>
      </c>
      <c r="I1605" s="6">
        <f t="shared" si="25"/>
        <v>2</v>
      </c>
      <c r="J1605" s="8">
        <v>41516</v>
      </c>
      <c r="K1605" s="6">
        <v>57</v>
      </c>
      <c r="L1605">
        <f>VLOOKUP(A1605,Marketing_df2!$A$1:$F$2241,3,FALSE)</f>
        <v>1</v>
      </c>
      <c r="M1605">
        <f>VLOOKUP(A1605,Marketing_df2!$A$1:$F$2241,4,FALSE)</f>
        <v>0</v>
      </c>
      <c r="N1605">
        <f>VLOOKUP(A1605,Marketing_df2!$A$1:$F$2241,5,FALSE)</f>
        <v>1</v>
      </c>
      <c r="O1605">
        <f>VLOOKUP(A1605,Marketing_df2!$A$1:$F$2241,6,FALSE)</f>
        <v>3</v>
      </c>
    </row>
    <row r="1606" spans="1:15" ht="12.5">
      <c r="A1606" s="6">
        <v>1604</v>
      </c>
      <c r="B1606" s="6">
        <v>11092</v>
      </c>
      <c r="C1606" s="6">
        <v>1961</v>
      </c>
      <c r="D1606" s="7" t="s">
        <v>9</v>
      </c>
      <c r="E1606" s="7" t="s">
        <v>13</v>
      </c>
      <c r="F1606" s="6">
        <v>27116</v>
      </c>
      <c r="G1606" s="6">
        <v>1</v>
      </c>
      <c r="H1606" s="6">
        <v>1</v>
      </c>
      <c r="I1606" s="6">
        <f t="shared" si="25"/>
        <v>2</v>
      </c>
      <c r="J1606" s="8">
        <v>41700</v>
      </c>
      <c r="K1606" s="6">
        <v>78</v>
      </c>
      <c r="L1606">
        <f>VLOOKUP(A1606,Marketing_df2!$A$1:$F$2241,3,FALSE)</f>
        <v>1</v>
      </c>
      <c r="M1606">
        <f>VLOOKUP(A1606,Marketing_df2!$A$1:$F$2241,4,FALSE)</f>
        <v>2</v>
      </c>
      <c r="N1606">
        <f>VLOOKUP(A1606,Marketing_df2!$A$1:$F$2241,5,FALSE)</f>
        <v>2</v>
      </c>
      <c r="O1606">
        <f>VLOOKUP(A1606,Marketing_df2!$A$1:$F$2241,6,FALSE)</f>
        <v>3</v>
      </c>
    </row>
    <row r="1607" spans="1:15" ht="12.5">
      <c r="A1607" s="6">
        <v>1605</v>
      </c>
      <c r="B1607" s="6">
        <v>5062</v>
      </c>
      <c r="C1607" s="6">
        <v>1963</v>
      </c>
      <c r="D1607" s="7" t="s">
        <v>12</v>
      </c>
      <c r="E1607" s="7" t="s">
        <v>13</v>
      </c>
      <c r="F1607" s="6">
        <v>54072</v>
      </c>
      <c r="G1607" s="6">
        <v>1</v>
      </c>
      <c r="H1607" s="6">
        <v>1</v>
      </c>
      <c r="I1607" s="6">
        <f t="shared" si="25"/>
        <v>2</v>
      </c>
      <c r="J1607" s="8">
        <v>41482</v>
      </c>
      <c r="K1607" s="6">
        <v>71</v>
      </c>
      <c r="L1607">
        <f>VLOOKUP(A1607,Marketing_df2!$A$1:$F$2241,3,FALSE)</f>
        <v>0</v>
      </c>
      <c r="M1607">
        <f>VLOOKUP(A1607,Marketing_df2!$A$1:$F$2241,4,FALSE)</f>
        <v>0</v>
      </c>
      <c r="N1607">
        <f>VLOOKUP(A1607,Marketing_df2!$A$1:$F$2241,5,FALSE)</f>
        <v>2</v>
      </c>
      <c r="O1607">
        <f>VLOOKUP(A1607,Marketing_df2!$A$1:$F$2241,6,FALSE)</f>
        <v>2</v>
      </c>
    </row>
    <row r="1608" spans="1:15" ht="12.5">
      <c r="A1608" s="6">
        <v>1606</v>
      </c>
      <c r="B1608" s="6">
        <v>8969</v>
      </c>
      <c r="C1608" s="6">
        <v>1977</v>
      </c>
      <c r="D1608" s="7" t="s">
        <v>9</v>
      </c>
      <c r="E1608" s="7" t="s">
        <v>13</v>
      </c>
      <c r="F1608" s="6">
        <v>71855</v>
      </c>
      <c r="G1608" s="6">
        <v>0</v>
      </c>
      <c r="H1608" s="6">
        <v>1</v>
      </c>
      <c r="I1608" s="6">
        <f t="shared" si="25"/>
        <v>1</v>
      </c>
      <c r="J1608" s="8">
        <v>41290</v>
      </c>
      <c r="K1608" s="6">
        <v>59</v>
      </c>
      <c r="L1608">
        <f>VLOOKUP(A1608,Marketing_df2!$A$1:$F$2241,3,FALSE)</f>
        <v>31</v>
      </c>
      <c r="M1608">
        <f>VLOOKUP(A1608,Marketing_df2!$A$1:$F$2241,4,FALSE)</f>
        <v>112</v>
      </c>
      <c r="N1608">
        <f>VLOOKUP(A1608,Marketing_df2!$A$1:$F$2241,5,FALSE)</f>
        <v>5</v>
      </c>
      <c r="O1608">
        <f>VLOOKUP(A1608,Marketing_df2!$A$1:$F$2241,6,FALSE)</f>
        <v>11</v>
      </c>
    </row>
    <row r="1609" spans="1:15" ht="12.5">
      <c r="A1609" s="6">
        <v>1607</v>
      </c>
      <c r="B1609" s="6">
        <v>4656</v>
      </c>
      <c r="C1609" s="6">
        <v>1990</v>
      </c>
      <c r="D1609" s="7" t="s">
        <v>17</v>
      </c>
      <c r="E1609" s="7" t="s">
        <v>10</v>
      </c>
      <c r="F1609" s="6">
        <v>51250</v>
      </c>
      <c r="G1609" s="6">
        <v>1</v>
      </c>
      <c r="H1609" s="6">
        <v>0</v>
      </c>
      <c r="I1609" s="6">
        <f t="shared" si="25"/>
        <v>1</v>
      </c>
      <c r="J1609" s="8">
        <v>41363</v>
      </c>
      <c r="K1609" s="6">
        <v>28</v>
      </c>
      <c r="L1609">
        <f>VLOOKUP(A1609,Marketing_df2!$A$1:$F$2241,3,FALSE)</f>
        <v>32</v>
      </c>
      <c r="M1609">
        <f>VLOOKUP(A1609,Marketing_df2!$A$1:$F$2241,4,FALSE)</f>
        <v>32</v>
      </c>
      <c r="N1609">
        <f>VLOOKUP(A1609,Marketing_df2!$A$1:$F$2241,5,FALSE)</f>
        <v>10</v>
      </c>
      <c r="O1609">
        <f>VLOOKUP(A1609,Marketing_df2!$A$1:$F$2241,6,FALSE)</f>
        <v>4</v>
      </c>
    </row>
    <row r="1610" spans="1:15" ht="12.5">
      <c r="A1610" s="6">
        <v>1608</v>
      </c>
      <c r="B1610" s="6">
        <v>4480</v>
      </c>
      <c r="C1610" s="6">
        <v>1973</v>
      </c>
      <c r="D1610" s="7" t="s">
        <v>14</v>
      </c>
      <c r="E1610" s="7" t="s">
        <v>13</v>
      </c>
      <c r="F1610" s="6">
        <v>60432</v>
      </c>
      <c r="G1610" s="6">
        <v>0</v>
      </c>
      <c r="H1610" s="6">
        <v>1</v>
      </c>
      <c r="I1610" s="6">
        <f t="shared" si="25"/>
        <v>1</v>
      </c>
      <c r="J1610" s="8">
        <v>41707</v>
      </c>
      <c r="K1610" s="6">
        <v>61</v>
      </c>
      <c r="L1610">
        <f>VLOOKUP(A1610,Marketing_df2!$A$1:$F$2241,3,FALSE)</f>
        <v>3</v>
      </c>
      <c r="M1610">
        <f>VLOOKUP(A1610,Marketing_df2!$A$1:$F$2241,4,FALSE)</f>
        <v>3</v>
      </c>
      <c r="N1610">
        <f>VLOOKUP(A1610,Marketing_df2!$A$1:$F$2241,5,FALSE)</f>
        <v>7</v>
      </c>
      <c r="O1610">
        <f>VLOOKUP(A1610,Marketing_df2!$A$1:$F$2241,6,FALSE)</f>
        <v>5</v>
      </c>
    </row>
    <row r="1611" spans="1:15" ht="12.5">
      <c r="A1611" s="6">
        <v>1609</v>
      </c>
      <c r="B1611" s="6">
        <v>9971</v>
      </c>
      <c r="C1611" s="6">
        <v>1964</v>
      </c>
      <c r="D1611" s="7" t="s">
        <v>12</v>
      </c>
      <c r="E1611" s="7" t="s">
        <v>13</v>
      </c>
      <c r="F1611" s="6">
        <v>65526</v>
      </c>
      <c r="G1611" s="6">
        <v>0</v>
      </c>
      <c r="H1611" s="6">
        <v>1</v>
      </c>
      <c r="I1611" s="6">
        <f t="shared" si="25"/>
        <v>1</v>
      </c>
      <c r="J1611" s="8">
        <v>41740</v>
      </c>
      <c r="K1611" s="6">
        <v>22</v>
      </c>
      <c r="L1611">
        <f>VLOOKUP(A1611,Marketing_df2!$A$1:$F$2241,3,FALSE)</f>
        <v>19</v>
      </c>
      <c r="M1611">
        <f>VLOOKUP(A1611,Marketing_df2!$A$1:$F$2241,4,FALSE)</f>
        <v>0</v>
      </c>
      <c r="N1611">
        <f>VLOOKUP(A1611,Marketing_df2!$A$1:$F$2241,5,FALSE)</f>
        <v>4</v>
      </c>
      <c r="O1611">
        <f>VLOOKUP(A1611,Marketing_df2!$A$1:$F$2241,6,FALSE)</f>
        <v>8</v>
      </c>
    </row>
    <row r="1612" spans="1:15" ht="12.5">
      <c r="A1612" s="6">
        <v>1610</v>
      </c>
      <c r="B1612" s="6">
        <v>6729</v>
      </c>
      <c r="C1612" s="6">
        <v>1988</v>
      </c>
      <c r="D1612" s="7" t="s">
        <v>9</v>
      </c>
      <c r="E1612" s="7" t="s">
        <v>10</v>
      </c>
      <c r="F1612" s="6">
        <v>68655</v>
      </c>
      <c r="G1612" s="6">
        <v>0</v>
      </c>
      <c r="H1612" s="6">
        <v>0</v>
      </c>
      <c r="I1612" s="6">
        <f t="shared" si="25"/>
        <v>0</v>
      </c>
      <c r="J1612" s="8">
        <v>41131</v>
      </c>
      <c r="K1612" s="6">
        <v>95</v>
      </c>
      <c r="L1612">
        <f>VLOOKUP(A1612,Marketing_df2!$A$1:$F$2241,3,FALSE)</f>
        <v>19</v>
      </c>
      <c r="M1612">
        <f>VLOOKUP(A1612,Marketing_df2!$A$1:$F$2241,4,FALSE)</f>
        <v>118</v>
      </c>
      <c r="N1612">
        <f>VLOOKUP(A1612,Marketing_df2!$A$1:$F$2241,5,FALSE)</f>
        <v>4</v>
      </c>
      <c r="O1612">
        <f>VLOOKUP(A1612,Marketing_df2!$A$1:$F$2241,6,FALSE)</f>
        <v>11</v>
      </c>
    </row>
    <row r="1613" spans="1:15" ht="12.5">
      <c r="A1613" s="6">
        <v>1611</v>
      </c>
      <c r="B1613" s="6">
        <v>1773</v>
      </c>
      <c r="C1613" s="6">
        <v>1978</v>
      </c>
      <c r="D1613" s="7" t="s">
        <v>17</v>
      </c>
      <c r="E1613" s="7" t="s">
        <v>13</v>
      </c>
      <c r="F1613" s="6">
        <v>12393</v>
      </c>
      <c r="G1613" s="6">
        <v>0</v>
      </c>
      <c r="H1613" s="6">
        <v>0</v>
      </c>
      <c r="I1613" s="6">
        <f t="shared" si="25"/>
        <v>0</v>
      </c>
      <c r="J1613" s="8">
        <v>41247</v>
      </c>
      <c r="K1613" s="6">
        <v>38</v>
      </c>
      <c r="L1613">
        <f>VLOOKUP(A1613,Marketing_df2!$A$1:$F$2241,3,FALSE)</f>
        <v>6</v>
      </c>
      <c r="M1613">
        <f>VLOOKUP(A1613,Marketing_df2!$A$1:$F$2241,4,FALSE)</f>
        <v>7</v>
      </c>
      <c r="N1613">
        <f>VLOOKUP(A1613,Marketing_df2!$A$1:$F$2241,5,FALSE)</f>
        <v>2</v>
      </c>
      <c r="O1613">
        <f>VLOOKUP(A1613,Marketing_df2!$A$1:$F$2241,6,FALSE)</f>
        <v>3</v>
      </c>
    </row>
    <row r="1614" spans="1:15" ht="12.5">
      <c r="A1614" s="6">
        <v>1612</v>
      </c>
      <c r="B1614" s="6">
        <v>9242</v>
      </c>
      <c r="C1614" s="6">
        <v>1990</v>
      </c>
      <c r="D1614" s="7" t="s">
        <v>9</v>
      </c>
      <c r="E1614" s="7" t="s">
        <v>10</v>
      </c>
      <c r="F1614" s="6">
        <v>64509</v>
      </c>
      <c r="G1614" s="6">
        <v>0</v>
      </c>
      <c r="H1614" s="6">
        <v>0</v>
      </c>
      <c r="I1614" s="6">
        <f t="shared" si="25"/>
        <v>0</v>
      </c>
      <c r="J1614" s="8">
        <v>41503</v>
      </c>
      <c r="K1614" s="6">
        <v>19</v>
      </c>
      <c r="L1614">
        <f>VLOOKUP(A1614,Marketing_df2!$A$1:$F$2241,3,FALSE)</f>
        <v>185</v>
      </c>
      <c r="M1614">
        <f>VLOOKUP(A1614,Marketing_df2!$A$1:$F$2241,4,FALSE)</f>
        <v>25</v>
      </c>
      <c r="N1614">
        <f>VLOOKUP(A1614,Marketing_df2!$A$1:$F$2241,5,FALSE)</f>
        <v>6</v>
      </c>
      <c r="O1614">
        <f>VLOOKUP(A1614,Marketing_df2!$A$1:$F$2241,6,FALSE)</f>
        <v>9</v>
      </c>
    </row>
    <row r="1615" spans="1:15" ht="12.5">
      <c r="A1615" s="6">
        <v>1613</v>
      </c>
      <c r="B1615" s="6">
        <v>1764</v>
      </c>
      <c r="C1615" s="6">
        <v>1975</v>
      </c>
      <c r="D1615" s="7" t="s">
        <v>9</v>
      </c>
      <c r="E1615" s="7" t="s">
        <v>10</v>
      </c>
      <c r="F1615" s="6">
        <v>33955</v>
      </c>
      <c r="G1615" s="6">
        <v>1</v>
      </c>
      <c r="H1615" s="6">
        <v>0</v>
      </c>
      <c r="I1615" s="6">
        <f t="shared" si="25"/>
        <v>1</v>
      </c>
      <c r="J1615" s="8">
        <v>41495</v>
      </c>
      <c r="K1615" s="6">
        <v>92</v>
      </c>
      <c r="L1615">
        <f>VLOOKUP(A1615,Marketing_df2!$A$1:$F$2241,3,FALSE)</f>
        <v>2</v>
      </c>
      <c r="M1615">
        <f>VLOOKUP(A1615,Marketing_df2!$A$1:$F$2241,4,FALSE)</f>
        <v>7</v>
      </c>
      <c r="N1615">
        <f>VLOOKUP(A1615,Marketing_df2!$A$1:$F$2241,5,FALSE)</f>
        <v>5</v>
      </c>
      <c r="O1615">
        <f>VLOOKUP(A1615,Marketing_df2!$A$1:$F$2241,6,FALSE)</f>
        <v>5</v>
      </c>
    </row>
    <row r="1616" spans="1:15" ht="12.5">
      <c r="A1616" s="6">
        <v>1614</v>
      </c>
      <c r="B1616" s="6">
        <v>6215</v>
      </c>
      <c r="C1616" s="6">
        <v>1977</v>
      </c>
      <c r="D1616" s="7" t="s">
        <v>9</v>
      </c>
      <c r="E1616" s="7" t="s">
        <v>13</v>
      </c>
      <c r="F1616" s="6">
        <v>31353</v>
      </c>
      <c r="G1616" s="6">
        <v>1</v>
      </c>
      <c r="H1616" s="6">
        <v>1</v>
      </c>
      <c r="I1616" s="6">
        <f t="shared" si="25"/>
        <v>2</v>
      </c>
      <c r="J1616" s="9">
        <v>41637</v>
      </c>
      <c r="K1616" s="6">
        <v>24</v>
      </c>
      <c r="L1616">
        <f>VLOOKUP(A1616,Marketing_df2!$A$1:$F$2241,3,FALSE)</f>
        <v>0</v>
      </c>
      <c r="M1616">
        <f>VLOOKUP(A1616,Marketing_df2!$A$1:$F$2241,4,FALSE)</f>
        <v>1</v>
      </c>
      <c r="N1616">
        <f>VLOOKUP(A1616,Marketing_df2!$A$1:$F$2241,5,FALSE)</f>
        <v>1</v>
      </c>
      <c r="O1616">
        <f>VLOOKUP(A1616,Marketing_df2!$A$1:$F$2241,6,FALSE)</f>
        <v>2</v>
      </c>
    </row>
    <row r="1617" spans="1:15" ht="12.5">
      <c r="A1617" s="6">
        <v>1615</v>
      </c>
      <c r="B1617" s="6">
        <v>10099</v>
      </c>
      <c r="C1617" s="6">
        <v>1984</v>
      </c>
      <c r="D1617" s="7" t="s">
        <v>9</v>
      </c>
      <c r="E1617" s="7" t="s">
        <v>13</v>
      </c>
      <c r="F1617" s="6">
        <v>55434</v>
      </c>
      <c r="G1617" s="6">
        <v>1</v>
      </c>
      <c r="H1617" s="6">
        <v>0</v>
      </c>
      <c r="I1617" s="6">
        <f t="shared" si="25"/>
        <v>1</v>
      </c>
      <c r="J1617" s="8">
        <v>41552</v>
      </c>
      <c r="K1617" s="6">
        <v>21</v>
      </c>
      <c r="L1617">
        <f>VLOOKUP(A1617,Marketing_df2!$A$1:$F$2241,3,FALSE)</f>
        <v>115</v>
      </c>
      <c r="M1617">
        <f>VLOOKUP(A1617,Marketing_df2!$A$1:$F$2241,4,FALSE)</f>
        <v>69</v>
      </c>
      <c r="N1617">
        <f>VLOOKUP(A1617,Marketing_df2!$A$1:$F$2241,5,FALSE)</f>
        <v>5</v>
      </c>
      <c r="O1617">
        <f>VLOOKUP(A1617,Marketing_df2!$A$1:$F$2241,6,FALSE)</f>
        <v>13</v>
      </c>
    </row>
    <row r="1618" spans="1:15" ht="12.5">
      <c r="A1618" s="6">
        <v>1616</v>
      </c>
      <c r="B1618" s="6">
        <v>5423</v>
      </c>
      <c r="C1618" s="6">
        <v>1983</v>
      </c>
      <c r="D1618" s="7" t="s">
        <v>9</v>
      </c>
      <c r="E1618" s="7" t="s">
        <v>11</v>
      </c>
      <c r="F1618" s="6">
        <v>28359</v>
      </c>
      <c r="G1618" s="6">
        <v>1</v>
      </c>
      <c r="H1618" s="6">
        <v>0</v>
      </c>
      <c r="I1618" s="6">
        <f t="shared" si="25"/>
        <v>1</v>
      </c>
      <c r="J1618" s="9">
        <v>41574</v>
      </c>
      <c r="K1618" s="6">
        <v>35</v>
      </c>
      <c r="L1618">
        <f>VLOOKUP(A1618,Marketing_df2!$A$1:$F$2241,3,FALSE)</f>
        <v>0</v>
      </c>
      <c r="M1618">
        <f>VLOOKUP(A1618,Marketing_df2!$A$1:$F$2241,4,FALSE)</f>
        <v>1</v>
      </c>
      <c r="N1618">
        <f>VLOOKUP(A1618,Marketing_df2!$A$1:$F$2241,5,FALSE)</f>
        <v>1</v>
      </c>
      <c r="O1618">
        <f>VLOOKUP(A1618,Marketing_df2!$A$1:$F$2241,6,FALSE)</f>
        <v>2</v>
      </c>
    </row>
    <row r="1619" spans="1:15" ht="12.5">
      <c r="A1619" s="6">
        <v>1617</v>
      </c>
      <c r="B1619" s="6">
        <v>940</v>
      </c>
      <c r="C1619" s="6">
        <v>1987</v>
      </c>
      <c r="D1619" s="7" t="s">
        <v>9</v>
      </c>
      <c r="E1619" s="7" t="s">
        <v>10</v>
      </c>
      <c r="F1619" s="6">
        <v>57100</v>
      </c>
      <c r="G1619" s="6">
        <v>1</v>
      </c>
      <c r="H1619" s="6">
        <v>0</v>
      </c>
      <c r="I1619" s="6">
        <f t="shared" si="25"/>
        <v>1</v>
      </c>
      <c r="J1619" s="8">
        <v>41777</v>
      </c>
      <c r="K1619" s="6">
        <v>9</v>
      </c>
      <c r="L1619">
        <f>VLOOKUP(A1619,Marketing_df2!$A$1:$F$2241,3,FALSE)</f>
        <v>11</v>
      </c>
      <c r="M1619">
        <f>VLOOKUP(A1619,Marketing_df2!$A$1:$F$2241,4,FALSE)</f>
        <v>11</v>
      </c>
      <c r="N1619">
        <f>VLOOKUP(A1619,Marketing_df2!$A$1:$F$2241,5,FALSE)</f>
        <v>3</v>
      </c>
      <c r="O1619">
        <f>VLOOKUP(A1619,Marketing_df2!$A$1:$F$2241,6,FALSE)</f>
        <v>7</v>
      </c>
    </row>
    <row r="1620" spans="1:15" ht="12.5">
      <c r="A1620" s="6">
        <v>1618</v>
      </c>
      <c r="B1620" s="6">
        <v>3011</v>
      </c>
      <c r="C1620" s="6">
        <v>1965</v>
      </c>
      <c r="D1620" s="7" t="s">
        <v>9</v>
      </c>
      <c r="E1620" s="7" t="s">
        <v>13</v>
      </c>
      <c r="F1620" s="6">
        <v>69139</v>
      </c>
      <c r="G1620" s="6">
        <v>0</v>
      </c>
      <c r="H1620" s="6">
        <v>1</v>
      </c>
      <c r="I1620" s="6">
        <f t="shared" si="25"/>
        <v>1</v>
      </c>
      <c r="J1620" s="8">
        <v>41666</v>
      </c>
      <c r="K1620" s="6">
        <v>23</v>
      </c>
      <c r="L1620">
        <f>VLOOKUP(A1620,Marketing_df2!$A$1:$F$2241,3,FALSE)</f>
        <v>12</v>
      </c>
      <c r="M1620">
        <f>VLOOKUP(A1620,Marketing_df2!$A$1:$F$2241,4,FALSE)</f>
        <v>15</v>
      </c>
      <c r="N1620">
        <f>VLOOKUP(A1620,Marketing_df2!$A$1:$F$2241,5,FALSE)</f>
        <v>4</v>
      </c>
      <c r="O1620">
        <f>VLOOKUP(A1620,Marketing_df2!$A$1:$F$2241,6,FALSE)</f>
        <v>5</v>
      </c>
    </row>
    <row r="1621" spans="1:15" ht="12.5">
      <c r="A1621" s="6">
        <v>1619</v>
      </c>
      <c r="B1621" s="6">
        <v>3298</v>
      </c>
      <c r="C1621" s="6">
        <v>1956</v>
      </c>
      <c r="D1621" s="7" t="s">
        <v>14</v>
      </c>
      <c r="E1621" s="7" t="s">
        <v>13</v>
      </c>
      <c r="F1621" s="6">
        <v>52973</v>
      </c>
      <c r="G1621" s="6">
        <v>0</v>
      </c>
      <c r="H1621" s="6">
        <v>1</v>
      </c>
      <c r="I1621" s="6">
        <f t="shared" si="25"/>
        <v>1</v>
      </c>
      <c r="J1621" s="8">
        <v>41221</v>
      </c>
      <c r="K1621" s="6">
        <v>92</v>
      </c>
      <c r="L1621">
        <f>VLOOKUP(A1621,Marketing_df2!$A$1:$F$2241,3,FALSE)</f>
        <v>0</v>
      </c>
      <c r="M1621">
        <f>VLOOKUP(A1621,Marketing_df2!$A$1:$F$2241,4,FALSE)</f>
        <v>9</v>
      </c>
      <c r="N1621">
        <f>VLOOKUP(A1621,Marketing_df2!$A$1:$F$2241,5,FALSE)</f>
        <v>9</v>
      </c>
      <c r="O1621">
        <f>VLOOKUP(A1621,Marketing_df2!$A$1:$F$2241,6,FALSE)</f>
        <v>9</v>
      </c>
    </row>
    <row r="1622" spans="1:15" ht="12.5">
      <c r="A1622" s="6">
        <v>1620</v>
      </c>
      <c r="B1622" s="6">
        <v>8286</v>
      </c>
      <c r="C1622" s="6">
        <v>1965</v>
      </c>
      <c r="D1622" s="7" t="s">
        <v>12</v>
      </c>
      <c r="E1622" s="7" t="s">
        <v>11</v>
      </c>
      <c r="F1622" s="6">
        <v>51717</v>
      </c>
      <c r="G1622" s="6">
        <v>0</v>
      </c>
      <c r="H1622" s="6">
        <v>1</v>
      </c>
      <c r="I1622" s="6">
        <f t="shared" si="25"/>
        <v>1</v>
      </c>
      <c r="J1622" s="8">
        <v>41506</v>
      </c>
      <c r="K1622" s="6">
        <v>55</v>
      </c>
      <c r="L1622">
        <f>VLOOKUP(A1622,Marketing_df2!$A$1:$F$2241,3,FALSE)</f>
        <v>1</v>
      </c>
      <c r="M1622">
        <f>VLOOKUP(A1622,Marketing_df2!$A$1:$F$2241,4,FALSE)</f>
        <v>1</v>
      </c>
      <c r="N1622">
        <f>VLOOKUP(A1622,Marketing_df2!$A$1:$F$2241,5,FALSE)</f>
        <v>3</v>
      </c>
      <c r="O1622">
        <f>VLOOKUP(A1622,Marketing_df2!$A$1:$F$2241,6,FALSE)</f>
        <v>4</v>
      </c>
    </row>
    <row r="1623" spans="1:15" ht="12.5">
      <c r="A1623" s="6">
        <v>1621</v>
      </c>
      <c r="B1623" s="6">
        <v>9668</v>
      </c>
      <c r="C1623" s="6">
        <v>1971</v>
      </c>
      <c r="D1623" s="7" t="s">
        <v>9</v>
      </c>
      <c r="E1623" s="7" t="s">
        <v>13</v>
      </c>
      <c r="F1623" s="6">
        <v>18793</v>
      </c>
      <c r="G1623" s="6">
        <v>1</v>
      </c>
      <c r="H1623" s="6">
        <v>0</v>
      </c>
      <c r="I1623" s="6">
        <f t="shared" si="25"/>
        <v>1</v>
      </c>
      <c r="J1623" s="8">
        <v>41286</v>
      </c>
      <c r="K1623" s="6">
        <v>14</v>
      </c>
      <c r="L1623">
        <f>VLOOKUP(A1623,Marketing_df2!$A$1:$F$2241,3,FALSE)</f>
        <v>16</v>
      </c>
      <c r="M1623">
        <f>VLOOKUP(A1623,Marketing_df2!$A$1:$F$2241,4,FALSE)</f>
        <v>17</v>
      </c>
      <c r="N1623">
        <f>VLOOKUP(A1623,Marketing_df2!$A$1:$F$2241,5,FALSE)</f>
        <v>2</v>
      </c>
      <c r="O1623">
        <f>VLOOKUP(A1623,Marketing_df2!$A$1:$F$2241,6,FALSE)</f>
        <v>4</v>
      </c>
    </row>
    <row r="1624" spans="1:15" ht="12.5">
      <c r="A1624" s="6">
        <v>1622</v>
      </c>
      <c r="B1624" s="6">
        <v>5120</v>
      </c>
      <c r="C1624" s="6">
        <v>1982</v>
      </c>
      <c r="D1624" s="7" t="s">
        <v>17</v>
      </c>
      <c r="E1624" s="7" t="s">
        <v>11</v>
      </c>
      <c r="F1624" s="6">
        <v>66664</v>
      </c>
      <c r="G1624" s="6">
        <v>0</v>
      </c>
      <c r="H1624" s="6">
        <v>0</v>
      </c>
      <c r="I1624" s="6">
        <f t="shared" si="25"/>
        <v>0</v>
      </c>
      <c r="J1624" s="8">
        <v>41177</v>
      </c>
      <c r="K1624" s="6">
        <v>78</v>
      </c>
      <c r="L1624">
        <f>VLOOKUP(A1624,Marketing_df2!$A$1:$F$2241,3,FALSE)</f>
        <v>96</v>
      </c>
      <c r="M1624">
        <f>VLOOKUP(A1624,Marketing_df2!$A$1:$F$2241,4,FALSE)</f>
        <v>96</v>
      </c>
      <c r="N1624">
        <f>VLOOKUP(A1624,Marketing_df2!$A$1:$F$2241,5,FALSE)</f>
        <v>5</v>
      </c>
      <c r="O1624">
        <f>VLOOKUP(A1624,Marketing_df2!$A$1:$F$2241,6,FALSE)</f>
        <v>6</v>
      </c>
    </row>
    <row r="1625" spans="1:15" ht="12.5">
      <c r="A1625" s="6">
        <v>1623</v>
      </c>
      <c r="B1625" s="6">
        <v>6097</v>
      </c>
      <c r="C1625" s="6">
        <v>1959</v>
      </c>
      <c r="D1625" s="7" t="s">
        <v>9</v>
      </c>
      <c r="E1625" s="7" t="s">
        <v>10</v>
      </c>
      <c r="F1625" s="6">
        <v>50664</v>
      </c>
      <c r="G1625" s="6">
        <v>1</v>
      </c>
      <c r="H1625" s="6">
        <v>1</v>
      </c>
      <c r="I1625" s="6">
        <f t="shared" si="25"/>
        <v>2</v>
      </c>
      <c r="J1625" s="8">
        <v>41290</v>
      </c>
      <c r="K1625" s="6">
        <v>64</v>
      </c>
      <c r="L1625">
        <f>VLOOKUP(A1625,Marketing_df2!$A$1:$F$2241,3,FALSE)</f>
        <v>8</v>
      </c>
      <c r="M1625">
        <f>VLOOKUP(A1625,Marketing_df2!$A$1:$F$2241,4,FALSE)</f>
        <v>4</v>
      </c>
      <c r="N1625">
        <f>VLOOKUP(A1625,Marketing_df2!$A$1:$F$2241,5,FALSE)</f>
        <v>8</v>
      </c>
      <c r="O1625">
        <f>VLOOKUP(A1625,Marketing_df2!$A$1:$F$2241,6,FALSE)</f>
        <v>6</v>
      </c>
    </row>
    <row r="1626" spans="1:15" ht="12.5">
      <c r="A1626" s="6">
        <v>1624</v>
      </c>
      <c r="B1626" s="6">
        <v>7019</v>
      </c>
      <c r="C1626" s="6">
        <v>1963</v>
      </c>
      <c r="D1626" s="7" t="s">
        <v>9</v>
      </c>
      <c r="E1626" s="7" t="s">
        <v>11</v>
      </c>
      <c r="F1626" s="6">
        <v>54414</v>
      </c>
      <c r="G1626" s="6">
        <v>1</v>
      </c>
      <c r="H1626" s="6">
        <v>1</v>
      </c>
      <c r="I1626" s="6">
        <f t="shared" si="25"/>
        <v>2</v>
      </c>
      <c r="J1626" s="8">
        <v>41297</v>
      </c>
      <c r="K1626" s="6">
        <v>49</v>
      </c>
      <c r="L1626">
        <f>VLOOKUP(A1626,Marketing_df2!$A$1:$F$2241,3,FALSE)</f>
        <v>18</v>
      </c>
      <c r="M1626">
        <f>VLOOKUP(A1626,Marketing_df2!$A$1:$F$2241,4,FALSE)</f>
        <v>26</v>
      </c>
      <c r="N1626">
        <f>VLOOKUP(A1626,Marketing_df2!$A$1:$F$2241,5,FALSE)</f>
        <v>3</v>
      </c>
      <c r="O1626">
        <f>VLOOKUP(A1626,Marketing_df2!$A$1:$F$2241,6,FALSE)</f>
        <v>5</v>
      </c>
    </row>
    <row r="1627" spans="1:15" ht="12.5">
      <c r="A1627" s="6">
        <v>1625</v>
      </c>
      <c r="B1627" s="6">
        <v>7408</v>
      </c>
      <c r="C1627" s="6">
        <v>1952</v>
      </c>
      <c r="D1627" s="7" t="s">
        <v>12</v>
      </c>
      <c r="E1627" s="7" t="s">
        <v>13</v>
      </c>
      <c r="F1627" s="6">
        <v>54549</v>
      </c>
      <c r="G1627" s="6">
        <v>0</v>
      </c>
      <c r="H1627" s="6">
        <v>1</v>
      </c>
      <c r="I1627" s="6">
        <f t="shared" si="25"/>
        <v>1</v>
      </c>
      <c r="J1627" s="8">
        <v>41701</v>
      </c>
      <c r="K1627" s="6">
        <v>8</v>
      </c>
      <c r="L1627">
        <f>VLOOKUP(A1627,Marketing_df2!$A$1:$F$2241,3,FALSE)</f>
        <v>2</v>
      </c>
      <c r="M1627">
        <f>VLOOKUP(A1627,Marketing_df2!$A$1:$F$2241,4,FALSE)</f>
        <v>0</v>
      </c>
      <c r="N1627">
        <f>VLOOKUP(A1627,Marketing_df2!$A$1:$F$2241,5,FALSE)</f>
        <v>5</v>
      </c>
      <c r="O1627">
        <f>VLOOKUP(A1627,Marketing_df2!$A$1:$F$2241,6,FALSE)</f>
        <v>4</v>
      </c>
    </row>
    <row r="1628" spans="1:15" ht="12.5">
      <c r="A1628" s="6">
        <v>1626</v>
      </c>
      <c r="B1628" s="6">
        <v>8041</v>
      </c>
      <c r="C1628" s="6">
        <v>1971</v>
      </c>
      <c r="D1628" s="7" t="s">
        <v>12</v>
      </c>
      <c r="E1628" s="7" t="s">
        <v>18</v>
      </c>
      <c r="F1628" s="6">
        <v>47111</v>
      </c>
      <c r="G1628" s="6">
        <v>0</v>
      </c>
      <c r="H1628" s="6">
        <v>1</v>
      </c>
      <c r="I1628" s="6">
        <f t="shared" si="25"/>
        <v>1</v>
      </c>
      <c r="J1628" s="8">
        <v>41160</v>
      </c>
      <c r="K1628" s="6">
        <v>35</v>
      </c>
      <c r="L1628">
        <f>VLOOKUP(A1628,Marketing_df2!$A$1:$F$2241,3,FALSE)</f>
        <v>71</v>
      </c>
      <c r="M1628">
        <f>VLOOKUP(A1628,Marketing_df2!$A$1:$F$2241,4,FALSE)</f>
        <v>112</v>
      </c>
      <c r="N1628">
        <f>VLOOKUP(A1628,Marketing_df2!$A$1:$F$2241,5,FALSE)</f>
        <v>3</v>
      </c>
      <c r="O1628">
        <f>VLOOKUP(A1628,Marketing_df2!$A$1:$F$2241,6,FALSE)</f>
        <v>10</v>
      </c>
    </row>
    <row r="1629" spans="1:15" ht="12.5">
      <c r="A1629" s="6">
        <v>1627</v>
      </c>
      <c r="B1629" s="6">
        <v>252</v>
      </c>
      <c r="C1629" s="6">
        <v>1963</v>
      </c>
      <c r="D1629" s="7" t="s">
        <v>12</v>
      </c>
      <c r="E1629" s="7" t="s">
        <v>15</v>
      </c>
      <c r="F1629" s="6">
        <v>41003</v>
      </c>
      <c r="G1629" s="6">
        <v>0</v>
      </c>
      <c r="H1629" s="6">
        <v>0</v>
      </c>
      <c r="I1629" s="6">
        <f t="shared" si="25"/>
        <v>0</v>
      </c>
      <c r="J1629" s="8">
        <v>41350</v>
      </c>
      <c r="K1629" s="6">
        <v>11</v>
      </c>
      <c r="L1629">
        <f>VLOOKUP(A1629,Marketing_df2!$A$1:$F$2241,3,FALSE)</f>
        <v>133</v>
      </c>
      <c r="M1629">
        <f>VLOOKUP(A1629,Marketing_df2!$A$1:$F$2241,4,FALSE)</f>
        <v>44</v>
      </c>
      <c r="N1629">
        <f>VLOOKUP(A1629,Marketing_df2!$A$1:$F$2241,5,FALSE)</f>
        <v>6</v>
      </c>
      <c r="O1629">
        <f>VLOOKUP(A1629,Marketing_df2!$A$1:$F$2241,6,FALSE)</f>
        <v>8</v>
      </c>
    </row>
    <row r="1630" spans="1:15" ht="12.5">
      <c r="A1630" s="6">
        <v>1628</v>
      </c>
      <c r="B1630" s="6">
        <v>9986</v>
      </c>
      <c r="C1630" s="6">
        <v>1982</v>
      </c>
      <c r="D1630" s="7" t="s">
        <v>9</v>
      </c>
      <c r="E1630" s="7" t="s">
        <v>11</v>
      </c>
      <c r="F1630" s="6">
        <v>19444</v>
      </c>
      <c r="G1630" s="6">
        <v>1</v>
      </c>
      <c r="H1630" s="6">
        <v>0</v>
      </c>
      <c r="I1630" s="6">
        <f t="shared" si="25"/>
        <v>1</v>
      </c>
      <c r="J1630" s="8">
        <v>41692</v>
      </c>
      <c r="K1630" s="6">
        <v>8</v>
      </c>
      <c r="L1630">
        <f>VLOOKUP(A1630,Marketing_df2!$A$1:$F$2241,3,FALSE)</f>
        <v>0</v>
      </c>
      <c r="M1630">
        <f>VLOOKUP(A1630,Marketing_df2!$A$1:$F$2241,4,FALSE)</f>
        <v>2</v>
      </c>
      <c r="N1630">
        <f>VLOOKUP(A1630,Marketing_df2!$A$1:$F$2241,5,FALSE)</f>
        <v>4</v>
      </c>
      <c r="O1630">
        <f>VLOOKUP(A1630,Marketing_df2!$A$1:$F$2241,6,FALSE)</f>
        <v>2</v>
      </c>
    </row>
    <row r="1631" spans="1:15" ht="12.5">
      <c r="A1631" s="6">
        <v>1629</v>
      </c>
      <c r="B1631" s="6">
        <v>3276</v>
      </c>
      <c r="C1631" s="6">
        <v>1976</v>
      </c>
      <c r="D1631" s="7" t="s">
        <v>17</v>
      </c>
      <c r="E1631" s="7" t="s">
        <v>11</v>
      </c>
      <c r="F1631" s="6">
        <v>36301</v>
      </c>
      <c r="G1631" s="6">
        <v>1</v>
      </c>
      <c r="H1631" s="6">
        <v>0</v>
      </c>
      <c r="I1631" s="6">
        <f t="shared" si="25"/>
        <v>1</v>
      </c>
      <c r="J1631" s="9">
        <v>41572</v>
      </c>
      <c r="K1631" s="6">
        <v>53</v>
      </c>
      <c r="L1631">
        <f>VLOOKUP(A1631,Marketing_df2!$A$1:$F$2241,3,FALSE)</f>
        <v>12</v>
      </c>
      <c r="M1631">
        <f>VLOOKUP(A1631,Marketing_df2!$A$1:$F$2241,4,FALSE)</f>
        <v>5</v>
      </c>
      <c r="N1631">
        <f>VLOOKUP(A1631,Marketing_df2!$A$1:$F$2241,5,FALSE)</f>
        <v>3</v>
      </c>
      <c r="O1631">
        <f>VLOOKUP(A1631,Marketing_df2!$A$1:$F$2241,6,FALSE)</f>
        <v>3</v>
      </c>
    </row>
    <row r="1632" spans="1:15" ht="12.5">
      <c r="A1632" s="6">
        <v>1630</v>
      </c>
      <c r="B1632" s="6">
        <v>3859</v>
      </c>
      <c r="C1632" s="6">
        <v>1947</v>
      </c>
      <c r="D1632" s="7" t="s">
        <v>12</v>
      </c>
      <c r="E1632" s="7" t="s">
        <v>11</v>
      </c>
      <c r="F1632" s="6">
        <v>73059</v>
      </c>
      <c r="G1632" s="6">
        <v>0</v>
      </c>
      <c r="H1632" s="6">
        <v>1</v>
      </c>
      <c r="I1632" s="6">
        <f t="shared" si="25"/>
        <v>1</v>
      </c>
      <c r="J1632" s="8">
        <v>41517</v>
      </c>
      <c r="K1632" s="6">
        <v>36</v>
      </c>
      <c r="L1632">
        <f>VLOOKUP(A1632,Marketing_df2!$A$1:$F$2241,3,FALSE)</f>
        <v>112</v>
      </c>
      <c r="M1632">
        <f>VLOOKUP(A1632,Marketing_df2!$A$1:$F$2241,4,FALSE)</f>
        <v>82</v>
      </c>
      <c r="N1632">
        <f>VLOOKUP(A1632,Marketing_df2!$A$1:$F$2241,5,FALSE)</f>
        <v>9</v>
      </c>
      <c r="O1632">
        <f>VLOOKUP(A1632,Marketing_df2!$A$1:$F$2241,6,FALSE)</f>
        <v>13</v>
      </c>
    </row>
    <row r="1633" spans="1:15" ht="12.5">
      <c r="A1633" s="6">
        <v>1631</v>
      </c>
      <c r="B1633" s="6">
        <v>3570</v>
      </c>
      <c r="C1633" s="6">
        <v>1969</v>
      </c>
      <c r="D1633" s="7" t="s">
        <v>12</v>
      </c>
      <c r="E1633" s="7" t="s">
        <v>11</v>
      </c>
      <c r="F1633" s="6">
        <v>42731</v>
      </c>
      <c r="G1633" s="6">
        <v>1</v>
      </c>
      <c r="H1633" s="6">
        <v>0</v>
      </c>
      <c r="I1633" s="6">
        <f t="shared" si="25"/>
        <v>1</v>
      </c>
      <c r="J1633" s="9">
        <v>41568</v>
      </c>
      <c r="K1633" s="6">
        <v>64</v>
      </c>
      <c r="L1633">
        <f>VLOOKUP(A1633,Marketing_df2!$A$1:$F$2241,3,FALSE)</f>
        <v>2</v>
      </c>
      <c r="M1633">
        <f>VLOOKUP(A1633,Marketing_df2!$A$1:$F$2241,4,FALSE)</f>
        <v>2</v>
      </c>
      <c r="N1633">
        <f>VLOOKUP(A1633,Marketing_df2!$A$1:$F$2241,5,FALSE)</f>
        <v>4</v>
      </c>
      <c r="O1633">
        <f>VLOOKUP(A1633,Marketing_df2!$A$1:$F$2241,6,FALSE)</f>
        <v>5</v>
      </c>
    </row>
    <row r="1634" spans="1:15" ht="12.5">
      <c r="A1634" s="6">
        <v>1632</v>
      </c>
      <c r="B1634" s="6">
        <v>3783</v>
      </c>
      <c r="C1634" s="6">
        <v>1959</v>
      </c>
      <c r="D1634" s="7" t="s">
        <v>12</v>
      </c>
      <c r="E1634" s="7" t="s">
        <v>13</v>
      </c>
      <c r="F1634" s="6">
        <v>52854</v>
      </c>
      <c r="G1634" s="6">
        <v>1</v>
      </c>
      <c r="H1634" s="6">
        <v>1</v>
      </c>
      <c r="I1634" s="6">
        <f t="shared" si="25"/>
        <v>2</v>
      </c>
      <c r="J1634" s="8">
        <v>41722</v>
      </c>
      <c r="K1634" s="6">
        <v>43</v>
      </c>
      <c r="L1634">
        <f>VLOOKUP(A1634,Marketing_df2!$A$1:$F$2241,3,FALSE)</f>
        <v>0</v>
      </c>
      <c r="M1634">
        <f>VLOOKUP(A1634,Marketing_df2!$A$1:$F$2241,4,FALSE)</f>
        <v>1</v>
      </c>
      <c r="N1634">
        <f>VLOOKUP(A1634,Marketing_df2!$A$1:$F$2241,5,FALSE)</f>
        <v>2</v>
      </c>
      <c r="O1634">
        <f>VLOOKUP(A1634,Marketing_df2!$A$1:$F$2241,6,FALSE)</f>
        <v>4</v>
      </c>
    </row>
    <row r="1635" spans="1:15" ht="12.5">
      <c r="A1635" s="6">
        <v>1633</v>
      </c>
      <c r="B1635" s="6">
        <v>10207</v>
      </c>
      <c r="C1635" s="6">
        <v>1978</v>
      </c>
      <c r="D1635" s="7" t="s">
        <v>9</v>
      </c>
      <c r="E1635" s="7" t="s">
        <v>11</v>
      </c>
      <c r="F1635" s="6">
        <v>22775</v>
      </c>
      <c r="G1635" s="6">
        <v>1</v>
      </c>
      <c r="H1635" s="6">
        <v>0</v>
      </c>
      <c r="I1635" s="6">
        <f t="shared" si="25"/>
        <v>1</v>
      </c>
      <c r="J1635" s="8">
        <v>41444</v>
      </c>
      <c r="K1635" s="6">
        <v>40</v>
      </c>
      <c r="L1635">
        <f>VLOOKUP(A1635,Marketing_df2!$A$1:$F$2241,3,FALSE)</f>
        <v>1</v>
      </c>
      <c r="M1635">
        <f>VLOOKUP(A1635,Marketing_df2!$A$1:$F$2241,4,FALSE)</f>
        <v>0</v>
      </c>
      <c r="N1635">
        <f>VLOOKUP(A1635,Marketing_df2!$A$1:$F$2241,5,FALSE)</f>
        <v>1</v>
      </c>
      <c r="O1635">
        <f>VLOOKUP(A1635,Marketing_df2!$A$1:$F$2241,6,FALSE)</f>
        <v>2</v>
      </c>
    </row>
    <row r="1636" spans="1:15" ht="12.5">
      <c r="A1636" s="6">
        <v>1634</v>
      </c>
      <c r="B1636" s="6">
        <v>10906</v>
      </c>
      <c r="C1636" s="6">
        <v>1948</v>
      </c>
      <c r="D1636" s="7" t="s">
        <v>12</v>
      </c>
      <c r="E1636" s="7" t="s">
        <v>11</v>
      </c>
      <c r="F1636" s="6">
        <v>46681</v>
      </c>
      <c r="G1636" s="6">
        <v>0</v>
      </c>
      <c r="H1636" s="6">
        <v>2</v>
      </c>
      <c r="I1636" s="6">
        <f t="shared" si="25"/>
        <v>2</v>
      </c>
      <c r="J1636" s="8">
        <v>41555</v>
      </c>
      <c r="K1636" s="6">
        <v>52</v>
      </c>
      <c r="L1636">
        <f>VLOOKUP(A1636,Marketing_df2!$A$1:$F$2241,3,FALSE)</f>
        <v>15</v>
      </c>
      <c r="M1636">
        <f>VLOOKUP(A1636,Marketing_df2!$A$1:$F$2241,4,FALSE)</f>
        <v>19</v>
      </c>
      <c r="N1636">
        <f>VLOOKUP(A1636,Marketing_df2!$A$1:$F$2241,5,FALSE)</f>
        <v>4</v>
      </c>
      <c r="O1636">
        <f>VLOOKUP(A1636,Marketing_df2!$A$1:$F$2241,6,FALSE)</f>
        <v>4</v>
      </c>
    </row>
    <row r="1637" spans="1:15" ht="12.5">
      <c r="A1637" s="6">
        <v>1635</v>
      </c>
      <c r="B1637" s="6">
        <v>3427</v>
      </c>
      <c r="C1637" s="6">
        <v>1955</v>
      </c>
      <c r="D1637" s="7" t="s">
        <v>12</v>
      </c>
      <c r="E1637" s="7" t="s">
        <v>13</v>
      </c>
      <c r="F1637" s="6">
        <v>59821</v>
      </c>
      <c r="G1637" s="6">
        <v>0</v>
      </c>
      <c r="H1637" s="6">
        <v>1</v>
      </c>
      <c r="I1637" s="6">
        <f t="shared" si="25"/>
        <v>1</v>
      </c>
      <c r="J1637" s="8">
        <v>41376</v>
      </c>
      <c r="K1637" s="6">
        <v>11</v>
      </c>
      <c r="L1637">
        <f>VLOOKUP(A1637,Marketing_df2!$A$1:$F$2241,3,FALSE)</f>
        <v>0</v>
      </c>
      <c r="M1637">
        <f>VLOOKUP(A1637,Marketing_df2!$A$1:$F$2241,4,FALSE)</f>
        <v>0</v>
      </c>
      <c r="N1637">
        <f>VLOOKUP(A1637,Marketing_df2!$A$1:$F$2241,5,FALSE)</f>
        <v>11</v>
      </c>
      <c r="O1637">
        <f>VLOOKUP(A1637,Marketing_df2!$A$1:$F$2241,6,FALSE)</f>
        <v>7</v>
      </c>
    </row>
    <row r="1638" spans="1:15" ht="12.5">
      <c r="A1638" s="6">
        <v>1636</v>
      </c>
      <c r="B1638" s="6">
        <v>5209</v>
      </c>
      <c r="C1638" s="6">
        <v>1954</v>
      </c>
      <c r="D1638" s="7" t="s">
        <v>9</v>
      </c>
      <c r="E1638" s="7" t="s">
        <v>15</v>
      </c>
      <c r="F1638" s="6">
        <v>50002</v>
      </c>
      <c r="G1638" s="6">
        <v>0</v>
      </c>
      <c r="H1638" s="6">
        <v>1</v>
      </c>
      <c r="I1638" s="6">
        <f t="shared" si="25"/>
        <v>1</v>
      </c>
      <c r="J1638" s="8">
        <v>41442</v>
      </c>
      <c r="K1638" s="6">
        <v>21</v>
      </c>
      <c r="L1638">
        <f>VLOOKUP(A1638,Marketing_df2!$A$1:$F$2241,3,FALSE)</f>
        <v>5</v>
      </c>
      <c r="M1638">
        <f>VLOOKUP(A1638,Marketing_df2!$A$1:$F$2241,4,FALSE)</f>
        <v>16</v>
      </c>
      <c r="N1638">
        <f>VLOOKUP(A1638,Marketing_df2!$A$1:$F$2241,5,FALSE)</f>
        <v>8</v>
      </c>
      <c r="O1638">
        <f>VLOOKUP(A1638,Marketing_df2!$A$1:$F$2241,6,FALSE)</f>
        <v>7</v>
      </c>
    </row>
    <row r="1639" spans="1:15" ht="12.5">
      <c r="A1639" s="6">
        <v>1637</v>
      </c>
      <c r="B1639" s="6">
        <v>10711</v>
      </c>
      <c r="C1639" s="6">
        <v>1945</v>
      </c>
      <c r="D1639" s="7" t="s">
        <v>9</v>
      </c>
      <c r="E1639" s="7" t="s">
        <v>13</v>
      </c>
      <c r="F1639" s="6">
        <v>69755</v>
      </c>
      <c r="G1639" s="6">
        <v>0</v>
      </c>
      <c r="H1639" s="6">
        <v>0</v>
      </c>
      <c r="I1639" s="6">
        <f t="shared" si="25"/>
        <v>0</v>
      </c>
      <c r="J1639" s="8">
        <v>41549</v>
      </c>
      <c r="K1639" s="6">
        <v>23</v>
      </c>
      <c r="L1639">
        <f>VLOOKUP(A1639,Marketing_df2!$A$1:$F$2241,3,FALSE)</f>
        <v>77</v>
      </c>
      <c r="M1639">
        <f>VLOOKUP(A1639,Marketing_df2!$A$1:$F$2241,4,FALSE)</f>
        <v>23</v>
      </c>
      <c r="N1639">
        <f>VLOOKUP(A1639,Marketing_df2!$A$1:$F$2241,5,FALSE)</f>
        <v>3</v>
      </c>
      <c r="O1639">
        <f>VLOOKUP(A1639,Marketing_df2!$A$1:$F$2241,6,FALSE)</f>
        <v>12</v>
      </c>
    </row>
    <row r="1640" spans="1:15" ht="12.5">
      <c r="A1640" s="6">
        <v>1638</v>
      </c>
      <c r="B1640" s="6">
        <v>10785</v>
      </c>
      <c r="C1640" s="6">
        <v>1969</v>
      </c>
      <c r="D1640" s="7" t="s">
        <v>9</v>
      </c>
      <c r="E1640" s="7" t="s">
        <v>13</v>
      </c>
      <c r="F1640" s="6">
        <v>44078</v>
      </c>
      <c r="G1640" s="6">
        <v>1</v>
      </c>
      <c r="H1640" s="6">
        <v>1</v>
      </c>
      <c r="I1640" s="6">
        <f t="shared" si="25"/>
        <v>2</v>
      </c>
      <c r="J1640" s="8">
        <v>41809</v>
      </c>
      <c r="K1640" s="6">
        <v>17</v>
      </c>
      <c r="L1640">
        <f>VLOOKUP(A1640,Marketing_df2!$A$1:$F$2241,3,FALSE)</f>
        <v>1</v>
      </c>
      <c r="M1640">
        <f>VLOOKUP(A1640,Marketing_df2!$A$1:$F$2241,4,FALSE)</f>
        <v>0</v>
      </c>
      <c r="N1640">
        <f>VLOOKUP(A1640,Marketing_df2!$A$1:$F$2241,5,FALSE)</f>
        <v>2</v>
      </c>
      <c r="O1640">
        <f>VLOOKUP(A1640,Marketing_df2!$A$1:$F$2241,6,FALSE)</f>
        <v>3</v>
      </c>
    </row>
    <row r="1641" spans="1:15" ht="12.5">
      <c r="A1641" s="6">
        <v>1639</v>
      </c>
      <c r="B1641" s="6">
        <v>2814</v>
      </c>
      <c r="C1641" s="6">
        <v>1976</v>
      </c>
      <c r="D1641" s="7" t="s">
        <v>14</v>
      </c>
      <c r="E1641" s="7" t="s">
        <v>11</v>
      </c>
      <c r="F1641" s="6">
        <v>30560</v>
      </c>
      <c r="G1641" s="6">
        <v>1</v>
      </c>
      <c r="H1641" s="6">
        <v>0</v>
      </c>
      <c r="I1641" s="6">
        <f t="shared" si="25"/>
        <v>1</v>
      </c>
      <c r="J1641" s="8">
        <v>41452</v>
      </c>
      <c r="K1641" s="6">
        <v>6</v>
      </c>
      <c r="L1641">
        <f>VLOOKUP(A1641,Marketing_df2!$A$1:$F$2241,3,FALSE)</f>
        <v>1</v>
      </c>
      <c r="M1641">
        <f>VLOOKUP(A1641,Marketing_df2!$A$1:$F$2241,4,FALSE)</f>
        <v>5</v>
      </c>
      <c r="N1641">
        <f>VLOOKUP(A1641,Marketing_df2!$A$1:$F$2241,5,FALSE)</f>
        <v>1</v>
      </c>
      <c r="O1641">
        <f>VLOOKUP(A1641,Marketing_df2!$A$1:$F$2241,6,FALSE)</f>
        <v>3</v>
      </c>
    </row>
    <row r="1642" spans="1:15" ht="12.5">
      <c r="A1642" s="6">
        <v>1640</v>
      </c>
      <c r="B1642" s="6">
        <v>6866</v>
      </c>
      <c r="C1642" s="6">
        <v>1969</v>
      </c>
      <c r="D1642" s="7" t="s">
        <v>14</v>
      </c>
      <c r="E1642" s="7" t="s">
        <v>11</v>
      </c>
      <c r="F1642" s="6">
        <v>35924</v>
      </c>
      <c r="G1642" s="6">
        <v>1</v>
      </c>
      <c r="H1642" s="6">
        <v>1</v>
      </c>
      <c r="I1642" s="6">
        <f t="shared" si="25"/>
        <v>2</v>
      </c>
      <c r="J1642" s="8">
        <v>41721</v>
      </c>
      <c r="K1642" s="6">
        <v>56</v>
      </c>
      <c r="L1642">
        <f>VLOOKUP(A1642,Marketing_df2!$A$1:$F$2241,3,FALSE)</f>
        <v>0</v>
      </c>
      <c r="M1642">
        <f>VLOOKUP(A1642,Marketing_df2!$A$1:$F$2241,4,FALSE)</f>
        <v>3</v>
      </c>
      <c r="N1642">
        <f>VLOOKUP(A1642,Marketing_df2!$A$1:$F$2241,5,FALSE)</f>
        <v>1</v>
      </c>
      <c r="O1642">
        <f>VLOOKUP(A1642,Marketing_df2!$A$1:$F$2241,6,FALSE)</f>
        <v>3</v>
      </c>
    </row>
    <row r="1643" spans="1:15" ht="12.5">
      <c r="A1643" s="6">
        <v>1641</v>
      </c>
      <c r="B1643" s="6">
        <v>1665</v>
      </c>
      <c r="C1643" s="6">
        <v>1964</v>
      </c>
      <c r="D1643" s="7" t="s">
        <v>12</v>
      </c>
      <c r="E1643" s="7" t="s">
        <v>15</v>
      </c>
      <c r="F1643" s="6">
        <v>64140</v>
      </c>
      <c r="G1643" s="6">
        <v>0</v>
      </c>
      <c r="H1643" s="6">
        <v>2</v>
      </c>
      <c r="I1643" s="6">
        <f t="shared" si="25"/>
        <v>2</v>
      </c>
      <c r="J1643" s="8">
        <v>41540</v>
      </c>
      <c r="K1643" s="6">
        <v>71</v>
      </c>
      <c r="L1643">
        <f>VLOOKUP(A1643,Marketing_df2!$A$1:$F$2241,3,FALSE)</f>
        <v>0</v>
      </c>
      <c r="M1643">
        <f>VLOOKUP(A1643,Marketing_df2!$A$1:$F$2241,4,FALSE)</f>
        <v>15</v>
      </c>
      <c r="N1643">
        <f>VLOOKUP(A1643,Marketing_df2!$A$1:$F$2241,5,FALSE)</f>
        <v>2</v>
      </c>
      <c r="O1643">
        <f>VLOOKUP(A1643,Marketing_df2!$A$1:$F$2241,6,FALSE)</f>
        <v>6</v>
      </c>
    </row>
    <row r="1644" spans="1:15" ht="12.5">
      <c r="A1644" s="6">
        <v>1642</v>
      </c>
      <c r="B1644" s="6">
        <v>6575</v>
      </c>
      <c r="C1644" s="6">
        <v>1981</v>
      </c>
      <c r="D1644" s="7" t="s">
        <v>9</v>
      </c>
      <c r="E1644" s="7" t="s">
        <v>11</v>
      </c>
      <c r="F1644" s="6">
        <v>56386</v>
      </c>
      <c r="G1644" s="6">
        <v>1</v>
      </c>
      <c r="H1644" s="6">
        <v>1</v>
      </c>
      <c r="I1644" s="6">
        <f t="shared" si="25"/>
        <v>2</v>
      </c>
      <c r="J1644" s="9">
        <v>41209</v>
      </c>
      <c r="K1644" s="6">
        <v>51</v>
      </c>
      <c r="L1644">
        <f>VLOOKUP(A1644,Marketing_df2!$A$1:$F$2241,3,FALSE)</f>
        <v>48</v>
      </c>
      <c r="M1644">
        <f>VLOOKUP(A1644,Marketing_df2!$A$1:$F$2241,4,FALSE)</f>
        <v>32</v>
      </c>
      <c r="N1644">
        <f>VLOOKUP(A1644,Marketing_df2!$A$1:$F$2241,5,FALSE)</f>
        <v>9</v>
      </c>
      <c r="O1644">
        <f>VLOOKUP(A1644,Marketing_df2!$A$1:$F$2241,6,FALSE)</f>
        <v>7</v>
      </c>
    </row>
    <row r="1645" spans="1:15" ht="12.5">
      <c r="A1645" s="6">
        <v>1643</v>
      </c>
      <c r="B1645" s="6">
        <v>3829</v>
      </c>
      <c r="C1645" s="6">
        <v>1979</v>
      </c>
      <c r="D1645" s="7" t="s">
        <v>16</v>
      </c>
      <c r="E1645" s="7" t="s">
        <v>11</v>
      </c>
      <c r="F1645" s="6">
        <v>24594</v>
      </c>
      <c r="G1645" s="6">
        <v>1</v>
      </c>
      <c r="H1645" s="6">
        <v>0</v>
      </c>
      <c r="I1645" s="6">
        <f t="shared" si="25"/>
        <v>1</v>
      </c>
      <c r="J1645" s="9">
        <v>41618</v>
      </c>
      <c r="K1645" s="6">
        <v>94</v>
      </c>
      <c r="L1645">
        <f>VLOOKUP(A1645,Marketing_df2!$A$1:$F$2241,3,FALSE)</f>
        <v>3</v>
      </c>
      <c r="M1645">
        <f>VLOOKUP(A1645,Marketing_df2!$A$1:$F$2241,4,FALSE)</f>
        <v>0</v>
      </c>
      <c r="N1645">
        <f>VLOOKUP(A1645,Marketing_df2!$A$1:$F$2241,5,FALSE)</f>
        <v>1</v>
      </c>
      <c r="O1645">
        <f>VLOOKUP(A1645,Marketing_df2!$A$1:$F$2241,6,FALSE)</f>
        <v>3</v>
      </c>
    </row>
    <row r="1646" spans="1:15" ht="12.5">
      <c r="A1646" s="6">
        <v>1644</v>
      </c>
      <c r="B1646" s="6">
        <v>3091</v>
      </c>
      <c r="C1646" s="6">
        <v>1981</v>
      </c>
      <c r="D1646" s="7" t="s">
        <v>17</v>
      </c>
      <c r="E1646" s="7" t="s">
        <v>11</v>
      </c>
      <c r="F1646" s="6">
        <v>75774</v>
      </c>
      <c r="G1646" s="6">
        <v>1</v>
      </c>
      <c r="H1646" s="6">
        <v>0</v>
      </c>
      <c r="I1646" s="6">
        <f t="shared" si="25"/>
        <v>1</v>
      </c>
      <c r="J1646" s="8">
        <v>41761</v>
      </c>
      <c r="K1646" s="6">
        <v>27</v>
      </c>
      <c r="L1646">
        <f>VLOOKUP(A1646,Marketing_df2!$A$1:$F$2241,3,FALSE)</f>
        <v>21</v>
      </c>
      <c r="M1646">
        <f>VLOOKUP(A1646,Marketing_df2!$A$1:$F$2241,4,FALSE)</f>
        <v>14</v>
      </c>
      <c r="N1646">
        <f>VLOOKUP(A1646,Marketing_df2!$A$1:$F$2241,5,FALSE)</f>
        <v>7</v>
      </c>
      <c r="O1646">
        <f>VLOOKUP(A1646,Marketing_df2!$A$1:$F$2241,6,FALSE)</f>
        <v>8</v>
      </c>
    </row>
    <row r="1647" spans="1:15" ht="12.5">
      <c r="A1647" s="6">
        <v>1645</v>
      </c>
      <c r="B1647" s="6">
        <v>10141</v>
      </c>
      <c r="C1647" s="6">
        <v>1960</v>
      </c>
      <c r="D1647" s="7" t="s">
        <v>14</v>
      </c>
      <c r="E1647" s="7" t="s">
        <v>15</v>
      </c>
      <c r="F1647" s="6">
        <v>39228</v>
      </c>
      <c r="G1647" s="6">
        <v>0</v>
      </c>
      <c r="H1647" s="6">
        <v>0</v>
      </c>
      <c r="I1647" s="6">
        <f t="shared" si="25"/>
        <v>0</v>
      </c>
      <c r="J1647" s="8">
        <v>41404</v>
      </c>
      <c r="K1647" s="6">
        <v>1</v>
      </c>
      <c r="L1647">
        <f>VLOOKUP(A1647,Marketing_df2!$A$1:$F$2241,3,FALSE)</f>
        <v>1</v>
      </c>
      <c r="M1647">
        <f>VLOOKUP(A1647,Marketing_df2!$A$1:$F$2241,4,FALSE)</f>
        <v>3</v>
      </c>
      <c r="N1647">
        <f>VLOOKUP(A1647,Marketing_df2!$A$1:$F$2241,5,FALSE)</f>
        <v>0</v>
      </c>
      <c r="O1647">
        <f>VLOOKUP(A1647,Marketing_df2!$A$1:$F$2241,6,FALSE)</f>
        <v>3</v>
      </c>
    </row>
    <row r="1648" spans="1:15" ht="12.5">
      <c r="A1648" s="6">
        <v>1646</v>
      </c>
      <c r="B1648" s="6">
        <v>5177</v>
      </c>
      <c r="C1648" s="6">
        <v>1974</v>
      </c>
      <c r="D1648" s="7" t="s">
        <v>14</v>
      </c>
      <c r="E1648" s="7" t="s">
        <v>13</v>
      </c>
      <c r="F1648" s="6">
        <v>58494</v>
      </c>
      <c r="G1648" s="6">
        <v>0</v>
      </c>
      <c r="H1648" s="6">
        <v>1</v>
      </c>
      <c r="I1648" s="6">
        <f t="shared" si="25"/>
        <v>1</v>
      </c>
      <c r="J1648" s="9">
        <v>41620</v>
      </c>
      <c r="K1648" s="6">
        <v>56</v>
      </c>
      <c r="L1648">
        <f>VLOOKUP(A1648,Marketing_df2!$A$1:$F$2241,3,FALSE)</f>
        <v>7</v>
      </c>
      <c r="M1648">
        <f>VLOOKUP(A1648,Marketing_df2!$A$1:$F$2241,4,FALSE)</f>
        <v>0</v>
      </c>
      <c r="N1648">
        <f>VLOOKUP(A1648,Marketing_df2!$A$1:$F$2241,5,FALSE)</f>
        <v>6</v>
      </c>
      <c r="O1648">
        <f>VLOOKUP(A1648,Marketing_df2!$A$1:$F$2241,6,FALSE)</f>
        <v>6</v>
      </c>
    </row>
    <row r="1649" spans="1:15" ht="12.5">
      <c r="A1649" s="6">
        <v>1647</v>
      </c>
      <c r="B1649" s="6">
        <v>7005</v>
      </c>
      <c r="C1649" s="6">
        <v>1981</v>
      </c>
      <c r="D1649" s="7" t="s">
        <v>9</v>
      </c>
      <c r="E1649" s="7" t="s">
        <v>10</v>
      </c>
      <c r="F1649" s="6">
        <v>58684</v>
      </c>
      <c r="G1649" s="6">
        <v>0</v>
      </c>
      <c r="H1649" s="6">
        <v>0</v>
      </c>
      <c r="I1649" s="6">
        <f t="shared" si="25"/>
        <v>0</v>
      </c>
      <c r="J1649" s="8">
        <v>41806</v>
      </c>
      <c r="K1649" s="6">
        <v>71</v>
      </c>
      <c r="L1649">
        <f>VLOOKUP(A1649,Marketing_df2!$A$1:$F$2241,3,FALSE)</f>
        <v>35</v>
      </c>
      <c r="M1649">
        <f>VLOOKUP(A1649,Marketing_df2!$A$1:$F$2241,4,FALSE)</f>
        <v>7</v>
      </c>
      <c r="N1649">
        <f>VLOOKUP(A1649,Marketing_df2!$A$1:$F$2241,5,FALSE)</f>
        <v>5</v>
      </c>
      <c r="O1649">
        <f>VLOOKUP(A1649,Marketing_df2!$A$1:$F$2241,6,FALSE)</f>
        <v>12</v>
      </c>
    </row>
    <row r="1650" spans="1:15" ht="12.5">
      <c r="A1650" s="6">
        <v>1648</v>
      </c>
      <c r="B1650" s="6">
        <v>6409</v>
      </c>
      <c r="C1650" s="6">
        <v>1967</v>
      </c>
      <c r="D1650" s="7" t="s">
        <v>9</v>
      </c>
      <c r="E1650" s="7" t="s">
        <v>15</v>
      </c>
      <c r="F1650" s="6">
        <v>57136</v>
      </c>
      <c r="G1650" s="6">
        <v>0</v>
      </c>
      <c r="H1650" s="6">
        <v>0</v>
      </c>
      <c r="I1650" s="6">
        <f t="shared" si="25"/>
        <v>0</v>
      </c>
      <c r="J1650" s="8">
        <v>41412</v>
      </c>
      <c r="K1650" s="6">
        <v>18</v>
      </c>
      <c r="L1650">
        <f>VLOOKUP(A1650,Marketing_df2!$A$1:$F$2241,3,FALSE)</f>
        <v>140</v>
      </c>
      <c r="M1650">
        <f>VLOOKUP(A1650,Marketing_df2!$A$1:$F$2241,4,FALSE)</f>
        <v>12</v>
      </c>
      <c r="N1650">
        <f>VLOOKUP(A1650,Marketing_df2!$A$1:$F$2241,5,FALSE)</f>
        <v>7</v>
      </c>
      <c r="O1650">
        <f>VLOOKUP(A1650,Marketing_df2!$A$1:$F$2241,6,FALSE)</f>
        <v>7</v>
      </c>
    </row>
    <row r="1651" spans="1:15" ht="12.5">
      <c r="A1651" s="6">
        <v>1649</v>
      </c>
      <c r="B1651" s="6">
        <v>7485</v>
      </c>
      <c r="C1651" s="6">
        <v>1950</v>
      </c>
      <c r="D1651" s="7" t="s">
        <v>12</v>
      </c>
      <c r="E1651" s="7" t="s">
        <v>18</v>
      </c>
      <c r="F1651" s="6">
        <v>56551</v>
      </c>
      <c r="G1651" s="6">
        <v>1</v>
      </c>
      <c r="H1651" s="6">
        <v>1</v>
      </c>
      <c r="I1651" s="6">
        <f t="shared" si="25"/>
        <v>2</v>
      </c>
      <c r="J1651" s="8">
        <v>41766</v>
      </c>
      <c r="K1651" s="6">
        <v>48</v>
      </c>
      <c r="L1651">
        <f>VLOOKUP(A1651,Marketing_df2!$A$1:$F$2241,3,FALSE)</f>
        <v>4</v>
      </c>
      <c r="M1651">
        <f>VLOOKUP(A1651,Marketing_df2!$A$1:$F$2241,4,FALSE)</f>
        <v>2</v>
      </c>
      <c r="N1651">
        <f>VLOOKUP(A1651,Marketing_df2!$A$1:$F$2241,5,FALSE)</f>
        <v>2</v>
      </c>
      <c r="O1651">
        <f>VLOOKUP(A1651,Marketing_df2!$A$1:$F$2241,6,FALSE)</f>
        <v>4</v>
      </c>
    </row>
    <row r="1652" spans="1:15" ht="12.5">
      <c r="A1652" s="6">
        <v>1650</v>
      </c>
      <c r="B1652" s="6">
        <v>8079</v>
      </c>
      <c r="C1652" s="6">
        <v>1982</v>
      </c>
      <c r="D1652" s="7" t="s">
        <v>9</v>
      </c>
      <c r="E1652" s="7" t="s">
        <v>13</v>
      </c>
      <c r="F1652" s="6">
        <v>22448</v>
      </c>
      <c r="G1652" s="6">
        <v>1</v>
      </c>
      <c r="H1652" s="6">
        <v>0</v>
      </c>
      <c r="I1652" s="6">
        <f t="shared" si="25"/>
        <v>1</v>
      </c>
      <c r="J1652" s="8">
        <v>41696</v>
      </c>
      <c r="K1652" s="6">
        <v>86</v>
      </c>
      <c r="L1652">
        <f>VLOOKUP(A1652,Marketing_df2!$A$1:$F$2241,3,FALSE)</f>
        <v>1</v>
      </c>
      <c r="M1652">
        <f>VLOOKUP(A1652,Marketing_df2!$A$1:$F$2241,4,FALSE)</f>
        <v>2</v>
      </c>
      <c r="N1652">
        <f>VLOOKUP(A1652,Marketing_df2!$A$1:$F$2241,5,FALSE)</f>
        <v>2</v>
      </c>
      <c r="O1652">
        <f>VLOOKUP(A1652,Marketing_df2!$A$1:$F$2241,6,FALSE)</f>
        <v>3</v>
      </c>
    </row>
    <row r="1653" spans="1:15" ht="12.5">
      <c r="A1653" s="6">
        <v>1651</v>
      </c>
      <c r="B1653" s="6">
        <v>8395</v>
      </c>
      <c r="C1653" s="6">
        <v>1961</v>
      </c>
      <c r="D1653" s="7" t="s">
        <v>9</v>
      </c>
      <c r="E1653" s="7" t="s">
        <v>10</v>
      </c>
      <c r="F1653" s="6">
        <v>82014</v>
      </c>
      <c r="G1653" s="6">
        <v>0</v>
      </c>
      <c r="H1653" s="6">
        <v>0</v>
      </c>
      <c r="I1653" s="6">
        <f t="shared" si="25"/>
        <v>0</v>
      </c>
      <c r="J1653" s="8">
        <v>41141</v>
      </c>
      <c r="K1653" s="6">
        <v>48</v>
      </c>
      <c r="L1653">
        <f>VLOOKUP(A1653,Marketing_df2!$A$1:$F$2241,3,FALSE)</f>
        <v>37</v>
      </c>
      <c r="M1653">
        <f>VLOOKUP(A1653,Marketing_df2!$A$1:$F$2241,4,FALSE)</f>
        <v>163</v>
      </c>
      <c r="N1653">
        <f>VLOOKUP(A1653,Marketing_df2!$A$1:$F$2241,5,FALSE)</f>
        <v>3</v>
      </c>
      <c r="O1653">
        <f>VLOOKUP(A1653,Marketing_df2!$A$1:$F$2241,6,FALSE)</f>
        <v>12</v>
      </c>
    </row>
    <row r="1654" spans="1:15" ht="12.5">
      <c r="A1654" s="6">
        <v>1652</v>
      </c>
      <c r="B1654" s="6">
        <v>10352</v>
      </c>
      <c r="C1654" s="6">
        <v>1963</v>
      </c>
      <c r="D1654" s="7" t="s">
        <v>9</v>
      </c>
      <c r="E1654" s="7" t="s">
        <v>18</v>
      </c>
      <c r="F1654" s="6">
        <v>34213</v>
      </c>
      <c r="G1654" s="6">
        <v>1</v>
      </c>
      <c r="H1654" s="6">
        <v>1</v>
      </c>
      <c r="I1654" s="6">
        <f t="shared" si="25"/>
        <v>2</v>
      </c>
      <c r="J1654" s="8">
        <v>41159</v>
      </c>
      <c r="K1654" s="6">
        <v>2</v>
      </c>
      <c r="L1654">
        <f>VLOOKUP(A1654,Marketing_df2!$A$1:$F$2241,3,FALSE)</f>
        <v>4</v>
      </c>
      <c r="M1654">
        <f>VLOOKUP(A1654,Marketing_df2!$A$1:$F$2241,4,FALSE)</f>
        <v>3</v>
      </c>
      <c r="N1654">
        <f>VLOOKUP(A1654,Marketing_df2!$A$1:$F$2241,5,FALSE)</f>
        <v>3</v>
      </c>
      <c r="O1654">
        <f>VLOOKUP(A1654,Marketing_df2!$A$1:$F$2241,6,FALSE)</f>
        <v>2</v>
      </c>
    </row>
    <row r="1655" spans="1:15" ht="12.5">
      <c r="A1655" s="6">
        <v>1653</v>
      </c>
      <c r="B1655" s="6">
        <v>4931</v>
      </c>
      <c r="C1655" s="6">
        <v>1977</v>
      </c>
      <c r="D1655" s="7" t="s">
        <v>9</v>
      </c>
      <c r="E1655" s="7" t="s">
        <v>11</v>
      </c>
      <c r="F1655" s="6">
        <v>157146</v>
      </c>
      <c r="G1655" s="6">
        <v>0</v>
      </c>
      <c r="H1655" s="6">
        <v>0</v>
      </c>
      <c r="I1655" s="6">
        <f t="shared" si="25"/>
        <v>0</v>
      </c>
      <c r="J1655" s="8">
        <v>41393</v>
      </c>
      <c r="K1655" s="6">
        <v>13</v>
      </c>
      <c r="L1655">
        <f>VLOOKUP(A1655,Marketing_df2!$A$1:$F$2241,3,FALSE)</f>
        <v>0</v>
      </c>
      <c r="M1655">
        <f>VLOOKUP(A1655,Marketing_df2!$A$1:$F$2241,4,FALSE)</f>
        <v>1</v>
      </c>
      <c r="N1655">
        <f>VLOOKUP(A1655,Marketing_df2!$A$1:$F$2241,5,FALSE)</f>
        <v>0</v>
      </c>
      <c r="O1655">
        <f>VLOOKUP(A1655,Marketing_df2!$A$1:$F$2241,6,FALSE)</f>
        <v>0</v>
      </c>
    </row>
    <row r="1656" spans="1:15" ht="12.5">
      <c r="A1656" s="6">
        <v>1654</v>
      </c>
      <c r="B1656" s="6">
        <v>13</v>
      </c>
      <c r="C1656" s="6">
        <v>1947</v>
      </c>
      <c r="D1656" s="7" t="s">
        <v>12</v>
      </c>
      <c r="E1656" s="7" t="s">
        <v>18</v>
      </c>
      <c r="F1656" s="6">
        <v>25358</v>
      </c>
      <c r="G1656" s="6">
        <v>0</v>
      </c>
      <c r="H1656" s="6">
        <v>1</v>
      </c>
      <c r="I1656" s="6">
        <f t="shared" si="25"/>
        <v>1</v>
      </c>
      <c r="J1656" s="8">
        <v>41477</v>
      </c>
      <c r="K1656" s="6">
        <v>57</v>
      </c>
      <c r="L1656">
        <f>VLOOKUP(A1656,Marketing_df2!$A$1:$F$2241,3,FALSE)</f>
        <v>0</v>
      </c>
      <c r="M1656">
        <f>VLOOKUP(A1656,Marketing_df2!$A$1:$F$2241,4,FALSE)</f>
        <v>0</v>
      </c>
      <c r="N1656">
        <f>VLOOKUP(A1656,Marketing_df2!$A$1:$F$2241,5,FALSE)</f>
        <v>1</v>
      </c>
      <c r="O1656">
        <f>VLOOKUP(A1656,Marketing_df2!$A$1:$F$2241,6,FALSE)</f>
        <v>3</v>
      </c>
    </row>
    <row r="1657" spans="1:15" ht="12.5">
      <c r="A1657" s="6">
        <v>1655</v>
      </c>
      <c r="B1657" s="6">
        <v>1834</v>
      </c>
      <c r="C1657" s="6">
        <v>1978</v>
      </c>
      <c r="D1657" s="7" t="s">
        <v>14</v>
      </c>
      <c r="E1657" s="7" t="s">
        <v>10</v>
      </c>
      <c r="F1657" s="6">
        <v>35544</v>
      </c>
      <c r="G1657" s="6">
        <v>1</v>
      </c>
      <c r="H1657" s="6">
        <v>0</v>
      </c>
      <c r="I1657" s="6">
        <f t="shared" si="25"/>
        <v>1</v>
      </c>
      <c r="J1657" s="8">
        <v>41706</v>
      </c>
      <c r="K1657" s="6">
        <v>77</v>
      </c>
      <c r="L1657">
        <f>VLOOKUP(A1657,Marketing_df2!$A$1:$F$2241,3,FALSE)</f>
        <v>5</v>
      </c>
      <c r="M1657">
        <f>VLOOKUP(A1657,Marketing_df2!$A$1:$F$2241,4,FALSE)</f>
        <v>1</v>
      </c>
      <c r="N1657">
        <f>VLOOKUP(A1657,Marketing_df2!$A$1:$F$2241,5,FALSE)</f>
        <v>2</v>
      </c>
      <c r="O1657">
        <f>VLOOKUP(A1657,Marketing_df2!$A$1:$F$2241,6,FALSE)</f>
        <v>3</v>
      </c>
    </row>
    <row r="1658" spans="1:15" ht="12.5">
      <c r="A1658" s="6">
        <v>1656</v>
      </c>
      <c r="B1658" s="6">
        <v>2285</v>
      </c>
      <c r="C1658" s="6">
        <v>1954</v>
      </c>
      <c r="D1658" s="7" t="s">
        <v>14</v>
      </c>
      <c r="E1658" s="7" t="s">
        <v>11</v>
      </c>
      <c r="F1658" s="6">
        <v>36634</v>
      </c>
      <c r="G1658" s="6">
        <v>0</v>
      </c>
      <c r="H1658" s="6">
        <v>1</v>
      </c>
      <c r="I1658" s="6">
        <f t="shared" si="25"/>
        <v>1</v>
      </c>
      <c r="J1658" s="8">
        <v>41422</v>
      </c>
      <c r="K1658" s="6">
        <v>0</v>
      </c>
      <c r="L1658">
        <f>VLOOKUP(A1658,Marketing_df2!$A$1:$F$2241,3,FALSE)</f>
        <v>9</v>
      </c>
      <c r="M1658">
        <f>VLOOKUP(A1658,Marketing_df2!$A$1:$F$2241,4,FALSE)</f>
        <v>3</v>
      </c>
      <c r="N1658">
        <f>VLOOKUP(A1658,Marketing_df2!$A$1:$F$2241,5,FALSE)</f>
        <v>5</v>
      </c>
      <c r="O1658">
        <f>VLOOKUP(A1658,Marketing_df2!$A$1:$F$2241,6,FALSE)</f>
        <v>5</v>
      </c>
    </row>
    <row r="1659" spans="1:15" ht="12.5">
      <c r="A1659" s="6">
        <v>1657</v>
      </c>
      <c r="B1659" s="6">
        <v>2295</v>
      </c>
      <c r="C1659" s="6">
        <v>1954</v>
      </c>
      <c r="D1659" s="7" t="s">
        <v>12</v>
      </c>
      <c r="E1659" s="7" t="s">
        <v>13</v>
      </c>
      <c r="F1659" s="6">
        <v>62670</v>
      </c>
      <c r="G1659" s="6">
        <v>0</v>
      </c>
      <c r="H1659" s="6">
        <v>1</v>
      </c>
      <c r="I1659" s="6">
        <f t="shared" si="25"/>
        <v>1</v>
      </c>
      <c r="J1659" s="8">
        <v>41672</v>
      </c>
      <c r="K1659" s="6">
        <v>57</v>
      </c>
      <c r="L1659">
        <f>VLOOKUP(A1659,Marketing_df2!$A$1:$F$2241,3,FALSE)</f>
        <v>30</v>
      </c>
      <c r="M1659">
        <f>VLOOKUP(A1659,Marketing_df2!$A$1:$F$2241,4,FALSE)</f>
        <v>46</v>
      </c>
      <c r="N1659">
        <f>VLOOKUP(A1659,Marketing_df2!$A$1:$F$2241,5,FALSE)</f>
        <v>5</v>
      </c>
      <c r="O1659">
        <f>VLOOKUP(A1659,Marketing_df2!$A$1:$F$2241,6,FALSE)</f>
        <v>13</v>
      </c>
    </row>
    <row r="1660" spans="1:15" ht="12.5">
      <c r="A1660" s="6">
        <v>1658</v>
      </c>
      <c r="B1660" s="6">
        <v>1378</v>
      </c>
      <c r="C1660" s="6">
        <v>1972</v>
      </c>
      <c r="D1660" s="7" t="s">
        <v>17</v>
      </c>
      <c r="E1660" s="7" t="s">
        <v>11</v>
      </c>
      <c r="F1660" s="6">
        <v>50334</v>
      </c>
      <c r="G1660" s="6">
        <v>0</v>
      </c>
      <c r="H1660" s="6">
        <v>1</v>
      </c>
      <c r="I1660" s="6">
        <f t="shared" si="25"/>
        <v>1</v>
      </c>
      <c r="J1660" s="8">
        <v>41479</v>
      </c>
      <c r="K1660" s="6">
        <v>24</v>
      </c>
      <c r="L1660">
        <f>VLOOKUP(A1660,Marketing_df2!$A$1:$F$2241,3,FALSE)</f>
        <v>16</v>
      </c>
      <c r="M1660">
        <f>VLOOKUP(A1660,Marketing_df2!$A$1:$F$2241,4,FALSE)</f>
        <v>16</v>
      </c>
      <c r="N1660">
        <f>VLOOKUP(A1660,Marketing_df2!$A$1:$F$2241,5,FALSE)</f>
        <v>7</v>
      </c>
      <c r="O1660">
        <f>VLOOKUP(A1660,Marketing_df2!$A$1:$F$2241,6,FALSE)</f>
        <v>6</v>
      </c>
    </row>
    <row r="1661" spans="1:15" ht="12.5">
      <c r="A1661" s="6">
        <v>1659</v>
      </c>
      <c r="B1661" s="6">
        <v>2781</v>
      </c>
      <c r="C1661" s="6">
        <v>1981</v>
      </c>
      <c r="D1661" s="7" t="s">
        <v>9</v>
      </c>
      <c r="E1661" s="7" t="s">
        <v>10</v>
      </c>
      <c r="F1661" s="6">
        <v>72066</v>
      </c>
      <c r="G1661" s="6">
        <v>0</v>
      </c>
      <c r="H1661" s="6">
        <v>0</v>
      </c>
      <c r="I1661" s="6">
        <f t="shared" si="25"/>
        <v>0</v>
      </c>
      <c r="J1661" s="8">
        <v>41813</v>
      </c>
      <c r="K1661" s="6">
        <v>55</v>
      </c>
      <c r="L1661">
        <f>VLOOKUP(A1661,Marketing_df2!$A$1:$F$2241,3,FALSE)</f>
        <v>34</v>
      </c>
      <c r="M1661">
        <f>VLOOKUP(A1661,Marketing_df2!$A$1:$F$2241,4,FALSE)</f>
        <v>51</v>
      </c>
      <c r="N1661">
        <f>VLOOKUP(A1661,Marketing_df2!$A$1:$F$2241,5,FALSE)</f>
        <v>4</v>
      </c>
      <c r="O1661">
        <f>VLOOKUP(A1661,Marketing_df2!$A$1:$F$2241,6,FALSE)</f>
        <v>6</v>
      </c>
    </row>
    <row r="1662" spans="1:15" ht="12.5">
      <c r="A1662" s="6">
        <v>1660</v>
      </c>
      <c r="B1662" s="6">
        <v>1165</v>
      </c>
      <c r="C1662" s="6">
        <v>1958</v>
      </c>
      <c r="D1662" s="7" t="s">
        <v>12</v>
      </c>
      <c r="E1662" s="7" t="s">
        <v>10</v>
      </c>
      <c r="F1662" s="6">
        <v>50729</v>
      </c>
      <c r="G1662" s="6">
        <v>1</v>
      </c>
      <c r="H1662" s="6">
        <v>1</v>
      </c>
      <c r="I1662" s="6">
        <f t="shared" si="25"/>
        <v>2</v>
      </c>
      <c r="J1662" s="8">
        <v>41396</v>
      </c>
      <c r="K1662" s="6">
        <v>62</v>
      </c>
      <c r="L1662">
        <f>VLOOKUP(A1662,Marketing_df2!$A$1:$F$2241,3,FALSE)</f>
        <v>13</v>
      </c>
      <c r="M1662">
        <f>VLOOKUP(A1662,Marketing_df2!$A$1:$F$2241,4,FALSE)</f>
        <v>4</v>
      </c>
      <c r="N1662">
        <f>VLOOKUP(A1662,Marketing_df2!$A$1:$F$2241,5,FALSE)</f>
        <v>6</v>
      </c>
      <c r="O1662">
        <f>VLOOKUP(A1662,Marketing_df2!$A$1:$F$2241,6,FALSE)</f>
        <v>7</v>
      </c>
    </row>
    <row r="1663" spans="1:15" ht="12.5">
      <c r="A1663" s="6">
        <v>1661</v>
      </c>
      <c r="B1663" s="6">
        <v>1404</v>
      </c>
      <c r="C1663" s="6">
        <v>1968</v>
      </c>
      <c r="D1663" s="7" t="s">
        <v>9</v>
      </c>
      <c r="E1663" s="7" t="s">
        <v>11</v>
      </c>
      <c r="F1663" s="6">
        <v>34916</v>
      </c>
      <c r="G1663" s="6">
        <v>2</v>
      </c>
      <c r="H1663" s="6">
        <v>0</v>
      </c>
      <c r="I1663" s="6">
        <f t="shared" si="25"/>
        <v>2</v>
      </c>
      <c r="J1663" s="8">
        <v>41409</v>
      </c>
      <c r="K1663" s="6">
        <v>89</v>
      </c>
      <c r="L1663">
        <f>VLOOKUP(A1663,Marketing_df2!$A$1:$F$2241,3,FALSE)</f>
        <v>23</v>
      </c>
      <c r="M1663">
        <f>VLOOKUP(A1663,Marketing_df2!$A$1:$F$2241,4,FALSE)</f>
        <v>0</v>
      </c>
      <c r="N1663">
        <f>VLOOKUP(A1663,Marketing_df2!$A$1:$F$2241,5,FALSE)</f>
        <v>5</v>
      </c>
      <c r="O1663">
        <f>VLOOKUP(A1663,Marketing_df2!$A$1:$F$2241,6,FALSE)</f>
        <v>3</v>
      </c>
    </row>
    <row r="1664" spans="1:15" ht="12.5">
      <c r="A1664" s="6">
        <v>1662</v>
      </c>
      <c r="B1664" s="6">
        <v>6457</v>
      </c>
      <c r="C1664" s="6">
        <v>1976</v>
      </c>
      <c r="D1664" s="7" t="s">
        <v>9</v>
      </c>
      <c r="E1664" s="7" t="s">
        <v>15</v>
      </c>
      <c r="F1664" s="6">
        <v>64892</v>
      </c>
      <c r="G1664" s="6">
        <v>0</v>
      </c>
      <c r="H1664" s="6">
        <v>1</v>
      </c>
      <c r="I1664" s="6">
        <f t="shared" si="25"/>
        <v>1</v>
      </c>
      <c r="J1664" s="8">
        <v>41788</v>
      </c>
      <c r="K1664" s="6">
        <v>77</v>
      </c>
      <c r="L1664">
        <f>VLOOKUP(A1664,Marketing_df2!$A$1:$F$2241,3,FALSE)</f>
        <v>24</v>
      </c>
      <c r="M1664">
        <f>VLOOKUP(A1664,Marketing_df2!$A$1:$F$2241,4,FALSE)</f>
        <v>24</v>
      </c>
      <c r="N1664">
        <f>VLOOKUP(A1664,Marketing_df2!$A$1:$F$2241,5,FALSE)</f>
        <v>6</v>
      </c>
      <c r="O1664">
        <f>VLOOKUP(A1664,Marketing_df2!$A$1:$F$2241,6,FALSE)</f>
        <v>12</v>
      </c>
    </row>
    <row r="1665" spans="1:15" ht="12.5">
      <c r="A1665" s="6">
        <v>1663</v>
      </c>
      <c r="B1665" s="6">
        <v>2639</v>
      </c>
      <c r="C1665" s="6">
        <v>1966</v>
      </c>
      <c r="D1665" s="7" t="s">
        <v>9</v>
      </c>
      <c r="E1665" s="7" t="s">
        <v>10</v>
      </c>
      <c r="F1665" s="6">
        <v>43602</v>
      </c>
      <c r="G1665" s="6">
        <v>1</v>
      </c>
      <c r="H1665" s="6">
        <v>1</v>
      </c>
      <c r="I1665" s="6">
        <f t="shared" si="25"/>
        <v>2</v>
      </c>
      <c r="J1665" s="8">
        <v>41649</v>
      </c>
      <c r="K1665" s="6">
        <v>45</v>
      </c>
      <c r="L1665">
        <f>VLOOKUP(A1665,Marketing_df2!$A$1:$F$2241,3,FALSE)</f>
        <v>5</v>
      </c>
      <c r="M1665">
        <f>VLOOKUP(A1665,Marketing_df2!$A$1:$F$2241,4,FALSE)</f>
        <v>3</v>
      </c>
      <c r="N1665">
        <f>VLOOKUP(A1665,Marketing_df2!$A$1:$F$2241,5,FALSE)</f>
        <v>3</v>
      </c>
      <c r="O1665">
        <f>VLOOKUP(A1665,Marketing_df2!$A$1:$F$2241,6,FALSE)</f>
        <v>2</v>
      </c>
    </row>
    <row r="1666" spans="1:15" ht="12.5">
      <c r="A1666" s="6">
        <v>1664</v>
      </c>
      <c r="B1666" s="6">
        <v>8299</v>
      </c>
      <c r="C1666" s="6">
        <v>1989</v>
      </c>
      <c r="D1666" s="7" t="s">
        <v>12</v>
      </c>
      <c r="E1666" s="7" t="s">
        <v>10</v>
      </c>
      <c r="F1666" s="6">
        <v>33996</v>
      </c>
      <c r="G1666" s="6">
        <v>0</v>
      </c>
      <c r="H1666" s="6">
        <v>0</v>
      </c>
      <c r="I1666" s="6">
        <f t="shared" si="25"/>
        <v>0</v>
      </c>
      <c r="J1666" s="8">
        <v>41528</v>
      </c>
      <c r="K1666" s="6">
        <v>46</v>
      </c>
      <c r="L1666">
        <f>VLOOKUP(A1666,Marketing_df2!$A$1:$F$2241,3,FALSE)</f>
        <v>2</v>
      </c>
      <c r="M1666">
        <f>VLOOKUP(A1666,Marketing_df2!$A$1:$F$2241,4,FALSE)</f>
        <v>0</v>
      </c>
      <c r="N1666">
        <f>VLOOKUP(A1666,Marketing_df2!$A$1:$F$2241,5,FALSE)</f>
        <v>1</v>
      </c>
      <c r="O1666">
        <f>VLOOKUP(A1666,Marketing_df2!$A$1:$F$2241,6,FALSE)</f>
        <v>3</v>
      </c>
    </row>
    <row r="1667" spans="1:15" ht="12.5">
      <c r="A1667" s="6">
        <v>1665</v>
      </c>
      <c r="B1667" s="6">
        <v>6437</v>
      </c>
      <c r="C1667" s="6">
        <v>1985</v>
      </c>
      <c r="D1667" s="7" t="s">
        <v>17</v>
      </c>
      <c r="E1667" s="7" t="s">
        <v>10</v>
      </c>
      <c r="F1667" s="6">
        <v>41473</v>
      </c>
      <c r="G1667" s="6">
        <v>1</v>
      </c>
      <c r="H1667" s="6">
        <v>0</v>
      </c>
      <c r="I1667" s="6">
        <f t="shared" ref="I1667:I1730" si="26">G1667+H1667</f>
        <v>1</v>
      </c>
      <c r="J1667" s="8">
        <v>41444</v>
      </c>
      <c r="K1667" s="6">
        <v>80</v>
      </c>
      <c r="L1667">
        <f>VLOOKUP(A1667,Marketing_df2!$A$1:$F$2241,3,FALSE)</f>
        <v>8</v>
      </c>
      <c r="M1667">
        <f>VLOOKUP(A1667,Marketing_df2!$A$1:$F$2241,4,FALSE)</f>
        <v>3</v>
      </c>
      <c r="N1667">
        <f>VLOOKUP(A1667,Marketing_df2!$A$1:$F$2241,5,FALSE)</f>
        <v>2</v>
      </c>
      <c r="O1667">
        <f>VLOOKUP(A1667,Marketing_df2!$A$1:$F$2241,6,FALSE)</f>
        <v>3</v>
      </c>
    </row>
    <row r="1668" spans="1:15" ht="12.5">
      <c r="A1668" s="6">
        <v>1666</v>
      </c>
      <c r="B1668" s="6">
        <v>6912</v>
      </c>
      <c r="C1668" s="6">
        <v>1967</v>
      </c>
      <c r="D1668" s="7" t="s">
        <v>12</v>
      </c>
      <c r="E1668" s="7" t="s">
        <v>13</v>
      </c>
      <c r="F1668" s="6">
        <v>63246</v>
      </c>
      <c r="G1668" s="6">
        <v>0</v>
      </c>
      <c r="H1668" s="6">
        <v>2</v>
      </c>
      <c r="I1668" s="6">
        <f t="shared" si="26"/>
        <v>2</v>
      </c>
      <c r="J1668" s="8">
        <v>41506</v>
      </c>
      <c r="K1668" s="6">
        <v>60</v>
      </c>
      <c r="L1668">
        <f>VLOOKUP(A1668,Marketing_df2!$A$1:$F$2241,3,FALSE)</f>
        <v>30</v>
      </c>
      <c r="M1668">
        <f>VLOOKUP(A1668,Marketing_df2!$A$1:$F$2241,4,FALSE)</f>
        <v>22</v>
      </c>
      <c r="N1668">
        <f>VLOOKUP(A1668,Marketing_df2!$A$1:$F$2241,5,FALSE)</f>
        <v>6</v>
      </c>
      <c r="O1668">
        <f>VLOOKUP(A1668,Marketing_df2!$A$1:$F$2241,6,FALSE)</f>
        <v>12</v>
      </c>
    </row>
    <row r="1669" spans="1:15" ht="12.5">
      <c r="A1669" s="6">
        <v>1667</v>
      </c>
      <c r="B1669" s="6">
        <v>7327</v>
      </c>
      <c r="C1669" s="6">
        <v>1959</v>
      </c>
      <c r="D1669" s="7" t="s">
        <v>12</v>
      </c>
      <c r="E1669" s="7" t="s">
        <v>13</v>
      </c>
      <c r="F1669" s="6">
        <v>36732</v>
      </c>
      <c r="G1669" s="6">
        <v>1</v>
      </c>
      <c r="H1669" s="6">
        <v>1</v>
      </c>
      <c r="I1669" s="6">
        <f t="shared" si="26"/>
        <v>2</v>
      </c>
      <c r="J1669" s="9">
        <v>41637</v>
      </c>
      <c r="K1669" s="6">
        <v>71</v>
      </c>
      <c r="L1669">
        <f>VLOOKUP(A1669,Marketing_df2!$A$1:$F$2241,3,FALSE)</f>
        <v>5</v>
      </c>
      <c r="M1669">
        <f>VLOOKUP(A1669,Marketing_df2!$A$1:$F$2241,4,FALSE)</f>
        <v>1</v>
      </c>
      <c r="N1669">
        <f>VLOOKUP(A1669,Marketing_df2!$A$1:$F$2241,5,FALSE)</f>
        <v>1</v>
      </c>
      <c r="O1669">
        <f>VLOOKUP(A1669,Marketing_df2!$A$1:$F$2241,6,FALSE)</f>
        <v>4</v>
      </c>
    </row>
    <row r="1670" spans="1:15" ht="12.5">
      <c r="A1670" s="6">
        <v>1668</v>
      </c>
      <c r="B1670" s="6">
        <v>5299</v>
      </c>
      <c r="C1670" s="6">
        <v>1970</v>
      </c>
      <c r="D1670" s="7" t="s">
        <v>12</v>
      </c>
      <c r="E1670" s="7" t="s">
        <v>13</v>
      </c>
      <c r="F1670" s="6">
        <v>69084</v>
      </c>
      <c r="G1670" s="6">
        <v>1</v>
      </c>
      <c r="H1670" s="6">
        <v>0</v>
      </c>
      <c r="I1670" s="6">
        <f t="shared" si="26"/>
        <v>1</v>
      </c>
      <c r="J1670" s="9">
        <v>41597</v>
      </c>
      <c r="K1670" s="6">
        <v>43</v>
      </c>
      <c r="L1670">
        <f>VLOOKUP(A1670,Marketing_df2!$A$1:$F$2241,3,FALSE)</f>
        <v>107</v>
      </c>
      <c r="M1670">
        <f>VLOOKUP(A1670,Marketing_df2!$A$1:$F$2241,4,FALSE)</f>
        <v>30</v>
      </c>
      <c r="N1670">
        <f>VLOOKUP(A1670,Marketing_df2!$A$1:$F$2241,5,FALSE)</f>
        <v>7</v>
      </c>
      <c r="O1670">
        <f>VLOOKUP(A1670,Marketing_df2!$A$1:$F$2241,6,FALSE)</f>
        <v>13</v>
      </c>
    </row>
    <row r="1671" spans="1:15" ht="12.5">
      <c r="A1671" s="6">
        <v>1669</v>
      </c>
      <c r="B1671" s="6">
        <v>4127</v>
      </c>
      <c r="C1671" s="6">
        <v>1967</v>
      </c>
      <c r="D1671" s="7" t="s">
        <v>12</v>
      </c>
      <c r="E1671" s="7" t="s">
        <v>13</v>
      </c>
      <c r="F1671" s="6">
        <v>77766</v>
      </c>
      <c r="G1671" s="6">
        <v>0</v>
      </c>
      <c r="H1671" s="6">
        <v>1</v>
      </c>
      <c r="I1671" s="6">
        <f t="shared" si="26"/>
        <v>1</v>
      </c>
      <c r="J1671" s="8">
        <v>41327</v>
      </c>
      <c r="K1671" s="6">
        <v>97</v>
      </c>
      <c r="L1671">
        <f>VLOOKUP(A1671,Marketing_df2!$A$1:$F$2241,3,FALSE)</f>
        <v>59</v>
      </c>
      <c r="M1671">
        <f>VLOOKUP(A1671,Marketing_df2!$A$1:$F$2241,4,FALSE)</f>
        <v>59</v>
      </c>
      <c r="N1671">
        <f>VLOOKUP(A1671,Marketing_df2!$A$1:$F$2241,5,FALSE)</f>
        <v>11</v>
      </c>
      <c r="O1671">
        <f>VLOOKUP(A1671,Marketing_df2!$A$1:$F$2241,6,FALSE)</f>
        <v>11</v>
      </c>
    </row>
    <row r="1672" spans="1:15" ht="12.5">
      <c r="A1672" s="6">
        <v>1670</v>
      </c>
      <c r="B1672" s="6">
        <v>8143</v>
      </c>
      <c r="C1672" s="6">
        <v>1985</v>
      </c>
      <c r="D1672" s="7" t="s">
        <v>12</v>
      </c>
      <c r="E1672" s="7" t="s">
        <v>10</v>
      </c>
      <c r="F1672" s="6">
        <v>37929</v>
      </c>
      <c r="G1672" s="6">
        <v>0</v>
      </c>
      <c r="H1672" s="6">
        <v>0</v>
      </c>
      <c r="I1672" s="6">
        <f t="shared" si="26"/>
        <v>0</v>
      </c>
      <c r="J1672" s="8">
        <v>41485</v>
      </c>
      <c r="K1672" s="6">
        <v>49</v>
      </c>
      <c r="L1672">
        <f>VLOOKUP(A1672,Marketing_df2!$A$1:$F$2241,3,FALSE)</f>
        <v>2</v>
      </c>
      <c r="M1672">
        <f>VLOOKUP(A1672,Marketing_df2!$A$1:$F$2241,4,FALSE)</f>
        <v>2</v>
      </c>
      <c r="N1672">
        <f>VLOOKUP(A1672,Marketing_df2!$A$1:$F$2241,5,FALSE)</f>
        <v>4</v>
      </c>
      <c r="O1672">
        <f>VLOOKUP(A1672,Marketing_df2!$A$1:$F$2241,6,FALSE)</f>
        <v>5</v>
      </c>
    </row>
    <row r="1673" spans="1:15" ht="12.5">
      <c r="A1673" s="6">
        <v>1671</v>
      </c>
      <c r="B1673" s="6">
        <v>1964</v>
      </c>
      <c r="C1673" s="6">
        <v>1951</v>
      </c>
      <c r="D1673" s="7" t="s">
        <v>9</v>
      </c>
      <c r="E1673" s="7" t="s">
        <v>11</v>
      </c>
      <c r="F1673" s="6">
        <v>86610</v>
      </c>
      <c r="G1673" s="6">
        <v>0</v>
      </c>
      <c r="H1673" s="6">
        <v>0</v>
      </c>
      <c r="I1673" s="6">
        <f t="shared" si="26"/>
        <v>0</v>
      </c>
      <c r="J1673" s="8">
        <v>41522</v>
      </c>
      <c r="K1673" s="6">
        <v>66</v>
      </c>
      <c r="L1673">
        <f>VLOOKUP(A1673,Marketing_df2!$A$1:$F$2241,3,FALSE)</f>
        <v>107</v>
      </c>
      <c r="M1673">
        <f>VLOOKUP(A1673,Marketing_df2!$A$1:$F$2241,4,FALSE)</f>
        <v>196</v>
      </c>
      <c r="N1673">
        <f>VLOOKUP(A1673,Marketing_df2!$A$1:$F$2241,5,FALSE)</f>
        <v>5</v>
      </c>
      <c r="O1673">
        <f>VLOOKUP(A1673,Marketing_df2!$A$1:$F$2241,6,FALSE)</f>
        <v>6</v>
      </c>
    </row>
    <row r="1674" spans="1:15" ht="12.5">
      <c r="A1674" s="6">
        <v>1672</v>
      </c>
      <c r="B1674" s="6">
        <v>3690</v>
      </c>
      <c r="C1674" s="6">
        <v>1986</v>
      </c>
      <c r="D1674" s="7" t="s">
        <v>14</v>
      </c>
      <c r="E1674" s="7" t="s">
        <v>13</v>
      </c>
      <c r="F1674" s="6">
        <v>80141</v>
      </c>
      <c r="G1674" s="6">
        <v>0</v>
      </c>
      <c r="H1674" s="6">
        <v>0</v>
      </c>
      <c r="I1674" s="6">
        <f t="shared" si="26"/>
        <v>0</v>
      </c>
      <c r="J1674" s="8">
        <v>41285</v>
      </c>
      <c r="K1674" s="6">
        <v>20</v>
      </c>
      <c r="L1674">
        <f>VLOOKUP(A1674,Marketing_df2!$A$1:$F$2241,3,FALSE)</f>
        <v>102</v>
      </c>
      <c r="M1674">
        <f>VLOOKUP(A1674,Marketing_df2!$A$1:$F$2241,4,FALSE)</f>
        <v>40</v>
      </c>
      <c r="N1674">
        <f>VLOOKUP(A1674,Marketing_df2!$A$1:$F$2241,5,FALSE)</f>
        <v>7</v>
      </c>
      <c r="O1674">
        <f>VLOOKUP(A1674,Marketing_df2!$A$1:$F$2241,6,FALSE)</f>
        <v>10</v>
      </c>
    </row>
    <row r="1675" spans="1:15" ht="12.5">
      <c r="A1675" s="6">
        <v>1673</v>
      </c>
      <c r="B1675" s="6">
        <v>3433</v>
      </c>
      <c r="C1675" s="6">
        <v>1955</v>
      </c>
      <c r="D1675" s="7" t="s">
        <v>17</v>
      </c>
      <c r="E1675" s="7" t="s">
        <v>13</v>
      </c>
      <c r="F1675" s="6">
        <v>72635</v>
      </c>
      <c r="G1675" s="6">
        <v>0</v>
      </c>
      <c r="H1675" s="6">
        <v>0</v>
      </c>
      <c r="I1675" s="6">
        <f t="shared" si="26"/>
        <v>0</v>
      </c>
      <c r="J1675" s="8">
        <v>41428</v>
      </c>
      <c r="K1675" s="6">
        <v>54</v>
      </c>
      <c r="L1675">
        <f>VLOOKUP(A1675,Marketing_df2!$A$1:$F$2241,3,FALSE)</f>
        <v>22</v>
      </c>
      <c r="M1675">
        <f>VLOOKUP(A1675,Marketing_df2!$A$1:$F$2241,4,FALSE)</f>
        <v>35</v>
      </c>
      <c r="N1675">
        <f>VLOOKUP(A1675,Marketing_df2!$A$1:$F$2241,5,FALSE)</f>
        <v>6</v>
      </c>
      <c r="O1675">
        <f>VLOOKUP(A1675,Marketing_df2!$A$1:$F$2241,6,FALSE)</f>
        <v>6</v>
      </c>
    </row>
    <row r="1676" spans="1:15" ht="12.5">
      <c r="A1676" s="6">
        <v>1674</v>
      </c>
      <c r="B1676" s="6">
        <v>3389</v>
      </c>
      <c r="C1676" s="6">
        <v>1970</v>
      </c>
      <c r="D1676" s="7" t="s">
        <v>9</v>
      </c>
      <c r="E1676" s="7" t="s">
        <v>13</v>
      </c>
      <c r="F1676" s="6">
        <v>69016</v>
      </c>
      <c r="G1676" s="6">
        <v>0</v>
      </c>
      <c r="H1676" s="6">
        <v>1</v>
      </c>
      <c r="I1676" s="6">
        <f t="shared" si="26"/>
        <v>1</v>
      </c>
      <c r="J1676" s="9">
        <v>41235</v>
      </c>
      <c r="K1676" s="6">
        <v>61</v>
      </c>
      <c r="L1676">
        <f>VLOOKUP(A1676,Marketing_df2!$A$1:$F$2241,3,FALSE)</f>
        <v>53</v>
      </c>
      <c r="M1676">
        <f>VLOOKUP(A1676,Marketing_df2!$A$1:$F$2241,4,FALSE)</f>
        <v>107</v>
      </c>
      <c r="N1676">
        <f>VLOOKUP(A1676,Marketing_df2!$A$1:$F$2241,5,FALSE)</f>
        <v>8</v>
      </c>
      <c r="O1676">
        <f>VLOOKUP(A1676,Marketing_df2!$A$1:$F$2241,6,FALSE)</f>
        <v>13</v>
      </c>
    </row>
    <row r="1677" spans="1:15" ht="12.5">
      <c r="A1677" s="6">
        <v>1675</v>
      </c>
      <c r="B1677" s="6">
        <v>4712</v>
      </c>
      <c r="C1677" s="6">
        <v>1991</v>
      </c>
      <c r="D1677" s="7" t="s">
        <v>17</v>
      </c>
      <c r="E1677" s="7" t="s">
        <v>11</v>
      </c>
      <c r="F1677" s="6">
        <v>20193</v>
      </c>
      <c r="G1677" s="6">
        <v>0</v>
      </c>
      <c r="H1677" s="6">
        <v>0</v>
      </c>
      <c r="I1677" s="6">
        <f t="shared" si="26"/>
        <v>0</v>
      </c>
      <c r="J1677" s="9">
        <v>41241</v>
      </c>
      <c r="K1677" s="6">
        <v>18</v>
      </c>
      <c r="L1677">
        <f>VLOOKUP(A1677,Marketing_df2!$A$1:$F$2241,3,FALSE)</f>
        <v>8</v>
      </c>
      <c r="M1677">
        <f>VLOOKUP(A1677,Marketing_df2!$A$1:$F$2241,4,FALSE)</f>
        <v>11</v>
      </c>
      <c r="N1677">
        <f>VLOOKUP(A1677,Marketing_df2!$A$1:$F$2241,5,FALSE)</f>
        <v>1</v>
      </c>
      <c r="O1677">
        <f>VLOOKUP(A1677,Marketing_df2!$A$1:$F$2241,6,FALSE)</f>
        <v>4</v>
      </c>
    </row>
    <row r="1678" spans="1:15" ht="12.5">
      <c r="A1678" s="6">
        <v>1676</v>
      </c>
      <c r="B1678" s="6">
        <v>1170</v>
      </c>
      <c r="C1678" s="6">
        <v>1975</v>
      </c>
      <c r="D1678" s="7" t="s">
        <v>9</v>
      </c>
      <c r="E1678" s="7" t="s">
        <v>13</v>
      </c>
      <c r="F1678" s="6">
        <v>27573</v>
      </c>
      <c r="G1678" s="6">
        <v>1</v>
      </c>
      <c r="H1678" s="6">
        <v>0</v>
      </c>
      <c r="I1678" s="6">
        <f t="shared" si="26"/>
        <v>1</v>
      </c>
      <c r="J1678" s="8">
        <v>41358</v>
      </c>
      <c r="K1678" s="6">
        <v>45</v>
      </c>
      <c r="L1678">
        <f>VLOOKUP(A1678,Marketing_df2!$A$1:$F$2241,3,FALSE)</f>
        <v>15</v>
      </c>
      <c r="M1678">
        <f>VLOOKUP(A1678,Marketing_df2!$A$1:$F$2241,4,FALSE)</f>
        <v>15</v>
      </c>
      <c r="N1678">
        <f>VLOOKUP(A1678,Marketing_df2!$A$1:$F$2241,5,FALSE)</f>
        <v>5</v>
      </c>
      <c r="O1678">
        <f>VLOOKUP(A1678,Marketing_df2!$A$1:$F$2241,6,FALSE)</f>
        <v>4</v>
      </c>
    </row>
    <row r="1679" spans="1:15" ht="12.5">
      <c r="A1679" s="6">
        <v>1677</v>
      </c>
      <c r="B1679" s="6">
        <v>6347</v>
      </c>
      <c r="C1679" s="6">
        <v>1979</v>
      </c>
      <c r="D1679" s="7" t="s">
        <v>16</v>
      </c>
      <c r="E1679" s="7" t="s">
        <v>10</v>
      </c>
      <c r="F1679" s="6">
        <v>15862</v>
      </c>
      <c r="G1679" s="6">
        <v>1</v>
      </c>
      <c r="H1679" s="6">
        <v>0</v>
      </c>
      <c r="I1679" s="6">
        <f t="shared" si="26"/>
        <v>1</v>
      </c>
      <c r="J1679" s="8">
        <v>41452</v>
      </c>
      <c r="K1679" s="6">
        <v>26</v>
      </c>
      <c r="L1679">
        <f>VLOOKUP(A1679,Marketing_df2!$A$1:$F$2241,3,FALSE)</f>
        <v>1</v>
      </c>
      <c r="M1679">
        <f>VLOOKUP(A1679,Marketing_df2!$A$1:$F$2241,4,FALSE)</f>
        <v>9</v>
      </c>
      <c r="N1679">
        <f>VLOOKUP(A1679,Marketing_df2!$A$1:$F$2241,5,FALSE)</f>
        <v>1</v>
      </c>
      <c r="O1679">
        <f>VLOOKUP(A1679,Marketing_df2!$A$1:$F$2241,6,FALSE)</f>
        <v>3</v>
      </c>
    </row>
    <row r="1680" spans="1:15" ht="12.5">
      <c r="A1680" s="6">
        <v>1678</v>
      </c>
      <c r="B1680" s="6">
        <v>4065</v>
      </c>
      <c r="C1680" s="6">
        <v>1976</v>
      </c>
      <c r="D1680" s="7" t="s">
        <v>12</v>
      </c>
      <c r="E1680" s="7" t="s">
        <v>13</v>
      </c>
      <c r="F1680" s="6">
        <v>49544</v>
      </c>
      <c r="G1680" s="6">
        <v>1</v>
      </c>
      <c r="H1680" s="6">
        <v>0</v>
      </c>
      <c r="I1680" s="6">
        <f t="shared" si="26"/>
        <v>1</v>
      </c>
      <c r="J1680" s="8">
        <v>41317</v>
      </c>
      <c r="K1680" s="6">
        <v>0</v>
      </c>
      <c r="L1680">
        <f>VLOOKUP(A1680,Marketing_df2!$A$1:$F$2241,3,FALSE)</f>
        <v>0</v>
      </c>
      <c r="M1680">
        <f>VLOOKUP(A1680,Marketing_df2!$A$1:$F$2241,4,FALSE)</f>
        <v>0</v>
      </c>
      <c r="N1680">
        <f>VLOOKUP(A1680,Marketing_df2!$A$1:$F$2241,5,FALSE)</f>
        <v>5</v>
      </c>
      <c r="O1680">
        <f>VLOOKUP(A1680,Marketing_df2!$A$1:$F$2241,6,FALSE)</f>
        <v>8</v>
      </c>
    </row>
    <row r="1681" spans="1:15" ht="12.5">
      <c r="A1681" s="6">
        <v>1679</v>
      </c>
      <c r="B1681" s="6">
        <v>8230</v>
      </c>
      <c r="C1681" s="6">
        <v>1980</v>
      </c>
      <c r="D1681" s="7" t="s">
        <v>9</v>
      </c>
      <c r="E1681" s="7" t="s">
        <v>13</v>
      </c>
      <c r="F1681" s="6">
        <v>33228</v>
      </c>
      <c r="G1681" s="6">
        <v>1</v>
      </c>
      <c r="H1681" s="6">
        <v>0</v>
      </c>
      <c r="I1681" s="6">
        <f t="shared" si="26"/>
        <v>1</v>
      </c>
      <c r="J1681" s="8">
        <v>41662</v>
      </c>
      <c r="K1681" s="6">
        <v>28</v>
      </c>
      <c r="L1681">
        <f>VLOOKUP(A1681,Marketing_df2!$A$1:$F$2241,3,FALSE)</f>
        <v>2</v>
      </c>
      <c r="M1681">
        <f>VLOOKUP(A1681,Marketing_df2!$A$1:$F$2241,4,FALSE)</f>
        <v>4</v>
      </c>
      <c r="N1681">
        <f>VLOOKUP(A1681,Marketing_df2!$A$1:$F$2241,5,FALSE)</f>
        <v>2</v>
      </c>
      <c r="O1681">
        <f>VLOOKUP(A1681,Marketing_df2!$A$1:$F$2241,6,FALSE)</f>
        <v>3</v>
      </c>
    </row>
    <row r="1682" spans="1:15" ht="12.5">
      <c r="A1682" s="6">
        <v>1680</v>
      </c>
      <c r="B1682" s="6">
        <v>1215</v>
      </c>
      <c r="C1682" s="6">
        <v>1978</v>
      </c>
      <c r="D1682" s="7" t="s">
        <v>9</v>
      </c>
      <c r="E1682" s="7" t="s">
        <v>11</v>
      </c>
      <c r="F1682" s="6">
        <v>70440</v>
      </c>
      <c r="G1682" s="6">
        <v>0</v>
      </c>
      <c r="H1682" s="6">
        <v>0</v>
      </c>
      <c r="I1682" s="6">
        <f t="shared" si="26"/>
        <v>0</v>
      </c>
      <c r="J1682" s="8">
        <v>41555</v>
      </c>
      <c r="K1682" s="6">
        <v>49</v>
      </c>
      <c r="L1682">
        <f>VLOOKUP(A1682,Marketing_df2!$A$1:$F$2241,3,FALSE)</f>
        <v>117</v>
      </c>
      <c r="M1682">
        <f>VLOOKUP(A1682,Marketing_df2!$A$1:$F$2241,4,FALSE)</f>
        <v>102</v>
      </c>
      <c r="N1682">
        <f>VLOOKUP(A1682,Marketing_df2!$A$1:$F$2241,5,FALSE)</f>
        <v>5</v>
      </c>
      <c r="O1682">
        <f>VLOOKUP(A1682,Marketing_df2!$A$1:$F$2241,6,FALSE)</f>
        <v>7</v>
      </c>
    </row>
    <row r="1683" spans="1:15" ht="12.5">
      <c r="A1683" s="6">
        <v>1681</v>
      </c>
      <c r="B1683" s="6">
        <v>5939</v>
      </c>
      <c r="C1683" s="6">
        <v>1971</v>
      </c>
      <c r="D1683" s="7" t="s">
        <v>9</v>
      </c>
      <c r="E1683" s="7" t="s">
        <v>11</v>
      </c>
      <c r="F1683" s="6">
        <v>38232</v>
      </c>
      <c r="G1683" s="6">
        <v>1</v>
      </c>
      <c r="H1683" s="6">
        <v>1</v>
      </c>
      <c r="I1683" s="6">
        <f t="shared" si="26"/>
        <v>2</v>
      </c>
      <c r="J1683" s="8">
        <v>41656</v>
      </c>
      <c r="K1683" s="6">
        <v>84</v>
      </c>
      <c r="L1683">
        <f>VLOOKUP(A1683,Marketing_df2!$A$1:$F$2241,3,FALSE)</f>
        <v>5</v>
      </c>
      <c r="M1683">
        <f>VLOOKUP(A1683,Marketing_df2!$A$1:$F$2241,4,FALSE)</f>
        <v>6</v>
      </c>
      <c r="N1683">
        <f>VLOOKUP(A1683,Marketing_df2!$A$1:$F$2241,5,FALSE)</f>
        <v>3</v>
      </c>
      <c r="O1683">
        <f>VLOOKUP(A1683,Marketing_df2!$A$1:$F$2241,6,FALSE)</f>
        <v>3</v>
      </c>
    </row>
    <row r="1684" spans="1:15" ht="12.5">
      <c r="A1684" s="6">
        <v>1682</v>
      </c>
      <c r="B1684" s="6">
        <v>2156</v>
      </c>
      <c r="C1684" s="6">
        <v>1955</v>
      </c>
      <c r="D1684" s="7" t="s">
        <v>12</v>
      </c>
      <c r="E1684" s="7" t="s">
        <v>13</v>
      </c>
      <c r="F1684" s="6">
        <v>22554</v>
      </c>
      <c r="G1684" s="6">
        <v>1</v>
      </c>
      <c r="H1684" s="6">
        <v>1</v>
      </c>
      <c r="I1684" s="6">
        <f t="shared" si="26"/>
        <v>2</v>
      </c>
      <c r="J1684" s="8">
        <v>41216</v>
      </c>
      <c r="K1684" s="6">
        <v>38</v>
      </c>
      <c r="L1684">
        <f>VLOOKUP(A1684,Marketing_df2!$A$1:$F$2241,3,FALSE)</f>
        <v>0</v>
      </c>
      <c r="M1684">
        <f>VLOOKUP(A1684,Marketing_df2!$A$1:$F$2241,4,FALSE)</f>
        <v>0</v>
      </c>
      <c r="N1684">
        <f>VLOOKUP(A1684,Marketing_df2!$A$1:$F$2241,5,FALSE)</f>
        <v>2</v>
      </c>
      <c r="O1684">
        <f>VLOOKUP(A1684,Marketing_df2!$A$1:$F$2241,6,FALSE)</f>
        <v>4</v>
      </c>
    </row>
    <row r="1685" spans="1:15" ht="12.5">
      <c r="A1685" s="6">
        <v>1683</v>
      </c>
      <c r="B1685" s="6">
        <v>7788</v>
      </c>
      <c r="C1685" s="6">
        <v>1983</v>
      </c>
      <c r="D1685" s="7" t="s">
        <v>12</v>
      </c>
      <c r="E1685" s="7" t="s">
        <v>13</v>
      </c>
      <c r="F1685" s="6">
        <v>23536</v>
      </c>
      <c r="G1685" s="6">
        <v>1</v>
      </c>
      <c r="H1685" s="6">
        <v>0</v>
      </c>
      <c r="I1685" s="6">
        <f t="shared" si="26"/>
        <v>1</v>
      </c>
      <c r="J1685" s="8">
        <v>41794</v>
      </c>
      <c r="K1685" s="6">
        <v>53</v>
      </c>
      <c r="L1685">
        <f>VLOOKUP(A1685,Marketing_df2!$A$1:$F$2241,3,FALSE)</f>
        <v>0</v>
      </c>
      <c r="M1685">
        <f>VLOOKUP(A1685,Marketing_df2!$A$1:$F$2241,4,FALSE)</f>
        <v>0</v>
      </c>
      <c r="N1685">
        <f>VLOOKUP(A1685,Marketing_df2!$A$1:$F$2241,5,FALSE)</f>
        <v>0</v>
      </c>
      <c r="O1685">
        <f>VLOOKUP(A1685,Marketing_df2!$A$1:$F$2241,6,FALSE)</f>
        <v>3</v>
      </c>
    </row>
    <row r="1686" spans="1:15" ht="12.5">
      <c r="A1686" s="6">
        <v>1684</v>
      </c>
      <c r="B1686" s="6">
        <v>10323</v>
      </c>
      <c r="C1686" s="6">
        <v>1952</v>
      </c>
      <c r="D1686" s="7" t="s">
        <v>9</v>
      </c>
      <c r="E1686" s="7" t="s">
        <v>13</v>
      </c>
      <c r="F1686" s="6">
        <v>49413</v>
      </c>
      <c r="G1686" s="6">
        <v>0</v>
      </c>
      <c r="H1686" s="6">
        <v>1</v>
      </c>
      <c r="I1686" s="6">
        <f t="shared" si="26"/>
        <v>1</v>
      </c>
      <c r="J1686" s="9">
        <v>41572</v>
      </c>
      <c r="K1686" s="6">
        <v>88</v>
      </c>
      <c r="L1686">
        <f>VLOOKUP(A1686,Marketing_df2!$A$1:$F$2241,3,FALSE)</f>
        <v>7</v>
      </c>
      <c r="M1686">
        <f>VLOOKUP(A1686,Marketing_df2!$A$1:$F$2241,4,FALSE)</f>
        <v>2</v>
      </c>
      <c r="N1686">
        <f>VLOOKUP(A1686,Marketing_df2!$A$1:$F$2241,5,FALSE)</f>
        <v>4</v>
      </c>
      <c r="O1686">
        <f>VLOOKUP(A1686,Marketing_df2!$A$1:$F$2241,6,FALSE)</f>
        <v>5</v>
      </c>
    </row>
    <row r="1687" spans="1:15" ht="12.5">
      <c r="A1687" s="6">
        <v>1685</v>
      </c>
      <c r="B1687" s="6">
        <v>7947</v>
      </c>
      <c r="C1687" s="6">
        <v>1969</v>
      </c>
      <c r="D1687" s="7" t="s">
        <v>9</v>
      </c>
      <c r="E1687" s="7" t="s">
        <v>13</v>
      </c>
      <c r="F1687" s="6">
        <v>42231</v>
      </c>
      <c r="G1687" s="6">
        <v>1</v>
      </c>
      <c r="H1687" s="6">
        <v>1</v>
      </c>
      <c r="I1687" s="6">
        <f t="shared" si="26"/>
        <v>2</v>
      </c>
      <c r="J1687" s="8">
        <v>41723</v>
      </c>
      <c r="K1687" s="6">
        <v>99</v>
      </c>
      <c r="L1687">
        <f>VLOOKUP(A1687,Marketing_df2!$A$1:$F$2241,3,FALSE)</f>
        <v>0</v>
      </c>
      <c r="M1687">
        <f>VLOOKUP(A1687,Marketing_df2!$A$1:$F$2241,4,FALSE)</f>
        <v>1</v>
      </c>
      <c r="N1687">
        <f>VLOOKUP(A1687,Marketing_df2!$A$1:$F$2241,5,FALSE)</f>
        <v>1</v>
      </c>
      <c r="O1687">
        <f>VLOOKUP(A1687,Marketing_df2!$A$1:$F$2241,6,FALSE)</f>
        <v>3</v>
      </c>
    </row>
    <row r="1688" spans="1:15" ht="12.5">
      <c r="A1688" s="6">
        <v>1686</v>
      </c>
      <c r="B1688" s="6">
        <v>1891</v>
      </c>
      <c r="C1688" s="6">
        <v>1980</v>
      </c>
      <c r="D1688" s="7" t="s">
        <v>14</v>
      </c>
      <c r="E1688" s="7" t="s">
        <v>15</v>
      </c>
      <c r="F1688" s="6">
        <v>78789</v>
      </c>
      <c r="G1688" s="6">
        <v>0</v>
      </c>
      <c r="H1688" s="6">
        <v>0</v>
      </c>
      <c r="I1688" s="6">
        <f t="shared" si="26"/>
        <v>0</v>
      </c>
      <c r="J1688" s="8">
        <v>41129</v>
      </c>
      <c r="K1688" s="6">
        <v>12</v>
      </c>
      <c r="L1688">
        <f>VLOOKUP(A1688,Marketing_df2!$A$1:$F$2241,3,FALSE)</f>
        <v>50</v>
      </c>
      <c r="M1688">
        <f>VLOOKUP(A1688,Marketing_df2!$A$1:$F$2241,4,FALSE)</f>
        <v>83</v>
      </c>
      <c r="N1688">
        <f>VLOOKUP(A1688,Marketing_df2!$A$1:$F$2241,5,FALSE)</f>
        <v>4</v>
      </c>
      <c r="O1688">
        <f>VLOOKUP(A1688,Marketing_df2!$A$1:$F$2241,6,FALSE)</f>
        <v>5</v>
      </c>
    </row>
    <row r="1689" spans="1:15" ht="12.5">
      <c r="A1689" s="6">
        <v>1687</v>
      </c>
      <c r="B1689" s="6">
        <v>2570</v>
      </c>
      <c r="C1689" s="6">
        <v>1968</v>
      </c>
      <c r="D1689" s="7" t="s">
        <v>9</v>
      </c>
      <c r="E1689" s="7" t="s">
        <v>11</v>
      </c>
      <c r="F1689" s="6">
        <v>56534</v>
      </c>
      <c r="G1689" s="6">
        <v>0</v>
      </c>
      <c r="H1689" s="6">
        <v>1</v>
      </c>
      <c r="I1689" s="6">
        <f t="shared" si="26"/>
        <v>1</v>
      </c>
      <c r="J1689" s="8">
        <v>41478</v>
      </c>
      <c r="K1689" s="6">
        <v>35</v>
      </c>
      <c r="L1689">
        <f>VLOOKUP(A1689,Marketing_df2!$A$1:$F$2241,3,FALSE)</f>
        <v>7</v>
      </c>
      <c r="M1689">
        <f>VLOOKUP(A1689,Marketing_df2!$A$1:$F$2241,4,FALSE)</f>
        <v>0</v>
      </c>
      <c r="N1689">
        <f>VLOOKUP(A1689,Marketing_df2!$A$1:$F$2241,5,FALSE)</f>
        <v>10</v>
      </c>
      <c r="O1689">
        <f>VLOOKUP(A1689,Marketing_df2!$A$1:$F$2241,6,FALSE)</f>
        <v>7</v>
      </c>
    </row>
    <row r="1690" spans="1:15" ht="12.5">
      <c r="A1690" s="6">
        <v>1688</v>
      </c>
      <c r="B1690" s="6">
        <v>9256</v>
      </c>
      <c r="C1690" s="6">
        <v>1971</v>
      </c>
      <c r="D1690" s="7" t="s">
        <v>9</v>
      </c>
      <c r="E1690" s="7" t="s">
        <v>10</v>
      </c>
      <c r="F1690" s="6">
        <v>58350</v>
      </c>
      <c r="G1690" s="6">
        <v>0</v>
      </c>
      <c r="H1690" s="6">
        <v>1</v>
      </c>
      <c r="I1690" s="6">
        <f t="shared" si="26"/>
        <v>1</v>
      </c>
      <c r="J1690" s="8">
        <v>41278</v>
      </c>
      <c r="K1690" s="6">
        <v>5</v>
      </c>
      <c r="L1690">
        <f>VLOOKUP(A1690,Marketing_df2!$A$1:$F$2241,3,FALSE)</f>
        <v>26</v>
      </c>
      <c r="M1690">
        <f>VLOOKUP(A1690,Marketing_df2!$A$1:$F$2241,4,FALSE)</f>
        <v>80</v>
      </c>
      <c r="N1690">
        <f>VLOOKUP(A1690,Marketing_df2!$A$1:$F$2241,5,FALSE)</f>
        <v>8</v>
      </c>
      <c r="O1690">
        <f>VLOOKUP(A1690,Marketing_df2!$A$1:$F$2241,6,FALSE)</f>
        <v>12</v>
      </c>
    </row>
    <row r="1691" spans="1:15" ht="12.5">
      <c r="A1691" s="6">
        <v>1689</v>
      </c>
      <c r="B1691" s="6">
        <v>295</v>
      </c>
      <c r="C1691" s="6">
        <v>1989</v>
      </c>
      <c r="D1691" s="7" t="s">
        <v>9</v>
      </c>
      <c r="E1691" s="7" t="s">
        <v>10</v>
      </c>
      <c r="F1691" s="6">
        <v>81217</v>
      </c>
      <c r="G1691" s="6">
        <v>0</v>
      </c>
      <c r="H1691" s="6">
        <v>0</v>
      </c>
      <c r="I1691" s="6">
        <f t="shared" si="26"/>
        <v>0</v>
      </c>
      <c r="J1691" s="8">
        <v>41474</v>
      </c>
      <c r="K1691" s="6">
        <v>77</v>
      </c>
      <c r="L1691">
        <f>VLOOKUP(A1691,Marketing_df2!$A$1:$F$2241,3,FALSE)</f>
        <v>70</v>
      </c>
      <c r="M1691">
        <f>VLOOKUP(A1691,Marketing_df2!$A$1:$F$2241,4,FALSE)</f>
        <v>40</v>
      </c>
      <c r="N1691">
        <f>VLOOKUP(A1691,Marketing_df2!$A$1:$F$2241,5,FALSE)</f>
        <v>3</v>
      </c>
      <c r="O1691">
        <f>VLOOKUP(A1691,Marketing_df2!$A$1:$F$2241,6,FALSE)</f>
        <v>11</v>
      </c>
    </row>
    <row r="1692" spans="1:15" ht="12.5">
      <c r="A1692" s="6">
        <v>1690</v>
      </c>
      <c r="B1692" s="6">
        <v>7397</v>
      </c>
      <c r="C1692" s="6">
        <v>1951</v>
      </c>
      <c r="D1692" s="7" t="s">
        <v>9</v>
      </c>
      <c r="E1692" s="7" t="s">
        <v>10</v>
      </c>
      <c r="F1692" s="6">
        <v>49090</v>
      </c>
      <c r="G1692" s="6">
        <v>0</v>
      </c>
      <c r="H1692" s="6">
        <v>1</v>
      </c>
      <c r="I1692" s="6">
        <f t="shared" si="26"/>
        <v>1</v>
      </c>
      <c r="J1692" s="8">
        <v>41474</v>
      </c>
      <c r="K1692" s="6">
        <v>45</v>
      </c>
      <c r="L1692">
        <f>VLOOKUP(A1692,Marketing_df2!$A$1:$F$2241,3,FALSE)</f>
        <v>5</v>
      </c>
      <c r="M1692">
        <f>VLOOKUP(A1692,Marketing_df2!$A$1:$F$2241,4,FALSE)</f>
        <v>0</v>
      </c>
      <c r="N1692">
        <f>VLOOKUP(A1692,Marketing_df2!$A$1:$F$2241,5,FALSE)</f>
        <v>7</v>
      </c>
      <c r="O1692">
        <f>VLOOKUP(A1692,Marketing_df2!$A$1:$F$2241,6,FALSE)</f>
        <v>9</v>
      </c>
    </row>
    <row r="1693" spans="1:15" ht="12.5">
      <c r="A1693" s="6">
        <v>1691</v>
      </c>
      <c r="B1693" s="6">
        <v>6349</v>
      </c>
      <c r="C1693" s="6">
        <v>1987</v>
      </c>
      <c r="D1693" s="7" t="s">
        <v>14</v>
      </c>
      <c r="E1693" s="7" t="s">
        <v>15</v>
      </c>
      <c r="F1693" s="6">
        <v>61787</v>
      </c>
      <c r="G1693" s="6">
        <v>0</v>
      </c>
      <c r="H1693" s="6">
        <v>0</v>
      </c>
      <c r="I1693" s="6">
        <f t="shared" si="26"/>
        <v>0</v>
      </c>
      <c r="J1693" s="8">
        <v>41461</v>
      </c>
      <c r="K1693" s="6">
        <v>71</v>
      </c>
      <c r="L1693">
        <f>VLOOKUP(A1693,Marketing_df2!$A$1:$F$2241,3,FALSE)</f>
        <v>73</v>
      </c>
      <c r="M1693">
        <f>VLOOKUP(A1693,Marketing_df2!$A$1:$F$2241,4,FALSE)</f>
        <v>48</v>
      </c>
      <c r="N1693">
        <f>VLOOKUP(A1693,Marketing_df2!$A$1:$F$2241,5,FALSE)</f>
        <v>8</v>
      </c>
      <c r="O1693">
        <f>VLOOKUP(A1693,Marketing_df2!$A$1:$F$2241,6,FALSE)</f>
        <v>6</v>
      </c>
    </row>
    <row r="1694" spans="1:15" ht="12.5">
      <c r="A1694" s="6">
        <v>1692</v>
      </c>
      <c r="B1694" s="6">
        <v>10790</v>
      </c>
      <c r="C1694" s="6">
        <v>1985</v>
      </c>
      <c r="D1694" s="7" t="s">
        <v>12</v>
      </c>
      <c r="E1694" s="7" t="s">
        <v>13</v>
      </c>
      <c r="F1694" s="6">
        <v>18169</v>
      </c>
      <c r="G1694" s="6">
        <v>1</v>
      </c>
      <c r="H1694" s="6">
        <v>0</v>
      </c>
      <c r="I1694" s="6">
        <f t="shared" si="26"/>
        <v>1</v>
      </c>
      <c r="J1694" s="8">
        <v>41324</v>
      </c>
      <c r="K1694" s="6">
        <v>40</v>
      </c>
      <c r="L1694">
        <f>VLOOKUP(A1694,Marketing_df2!$A$1:$F$2241,3,FALSE)</f>
        <v>0</v>
      </c>
      <c r="M1694">
        <f>VLOOKUP(A1694,Marketing_df2!$A$1:$F$2241,4,FALSE)</f>
        <v>0</v>
      </c>
      <c r="N1694">
        <f>VLOOKUP(A1694,Marketing_df2!$A$1:$F$2241,5,FALSE)</f>
        <v>1</v>
      </c>
      <c r="O1694">
        <f>VLOOKUP(A1694,Marketing_df2!$A$1:$F$2241,6,FALSE)</f>
        <v>2</v>
      </c>
    </row>
    <row r="1695" spans="1:15" ht="12.5">
      <c r="A1695" s="6">
        <v>1693</v>
      </c>
      <c r="B1695" s="6">
        <v>10398</v>
      </c>
      <c r="C1695" s="6">
        <v>1981</v>
      </c>
      <c r="D1695" s="7" t="s">
        <v>17</v>
      </c>
      <c r="E1695" s="7" t="s">
        <v>10</v>
      </c>
      <c r="F1695" s="6">
        <v>24336</v>
      </c>
      <c r="G1695" s="6">
        <v>1</v>
      </c>
      <c r="H1695" s="6">
        <v>0</v>
      </c>
      <c r="I1695" s="6">
        <f t="shared" si="26"/>
        <v>1</v>
      </c>
      <c r="J1695" s="8">
        <v>41148</v>
      </c>
      <c r="K1695" s="6">
        <v>82</v>
      </c>
      <c r="L1695">
        <f>VLOOKUP(A1695,Marketing_df2!$A$1:$F$2241,3,FALSE)</f>
        <v>6</v>
      </c>
      <c r="M1695">
        <f>VLOOKUP(A1695,Marketing_df2!$A$1:$F$2241,4,FALSE)</f>
        <v>2</v>
      </c>
      <c r="N1695">
        <f>VLOOKUP(A1695,Marketing_df2!$A$1:$F$2241,5,FALSE)</f>
        <v>1</v>
      </c>
      <c r="O1695">
        <f>VLOOKUP(A1695,Marketing_df2!$A$1:$F$2241,6,FALSE)</f>
        <v>2</v>
      </c>
    </row>
    <row r="1696" spans="1:15" ht="12.5">
      <c r="A1696" s="6">
        <v>1694</v>
      </c>
      <c r="B1696" s="6">
        <v>2431</v>
      </c>
      <c r="C1696" s="6">
        <v>1990</v>
      </c>
      <c r="D1696" s="7" t="s">
        <v>9</v>
      </c>
      <c r="E1696" s="7" t="s">
        <v>13</v>
      </c>
      <c r="F1696" s="6">
        <v>18222</v>
      </c>
      <c r="G1696" s="6">
        <v>0</v>
      </c>
      <c r="H1696" s="6">
        <v>0</v>
      </c>
      <c r="I1696" s="6">
        <f t="shared" si="26"/>
        <v>0</v>
      </c>
      <c r="J1696" s="9">
        <v>41274</v>
      </c>
      <c r="K1696" s="6">
        <v>70</v>
      </c>
      <c r="L1696">
        <f>VLOOKUP(A1696,Marketing_df2!$A$1:$F$2241,3,FALSE)</f>
        <v>4</v>
      </c>
      <c r="M1696">
        <f>VLOOKUP(A1696,Marketing_df2!$A$1:$F$2241,4,FALSE)</f>
        <v>6</v>
      </c>
      <c r="N1696">
        <f>VLOOKUP(A1696,Marketing_df2!$A$1:$F$2241,5,FALSE)</f>
        <v>2</v>
      </c>
      <c r="O1696">
        <f>VLOOKUP(A1696,Marketing_df2!$A$1:$F$2241,6,FALSE)</f>
        <v>3</v>
      </c>
    </row>
    <row r="1697" spans="1:15" ht="12.5">
      <c r="A1697" s="6">
        <v>1695</v>
      </c>
      <c r="B1697" s="6">
        <v>550</v>
      </c>
      <c r="C1697" s="6">
        <v>1952</v>
      </c>
      <c r="D1697" s="7" t="s">
        <v>9</v>
      </c>
      <c r="E1697" s="7" t="s">
        <v>15</v>
      </c>
      <c r="F1697" s="6">
        <v>62335</v>
      </c>
      <c r="G1697" s="6">
        <v>0</v>
      </c>
      <c r="H1697" s="6">
        <v>1</v>
      </c>
      <c r="I1697" s="6">
        <f t="shared" si="26"/>
        <v>1</v>
      </c>
      <c r="J1697" s="8">
        <v>41417</v>
      </c>
      <c r="K1697" s="6">
        <v>87</v>
      </c>
      <c r="L1697">
        <f>VLOOKUP(A1697,Marketing_df2!$A$1:$F$2241,3,FALSE)</f>
        <v>131</v>
      </c>
      <c r="M1697">
        <f>VLOOKUP(A1697,Marketing_df2!$A$1:$F$2241,4,FALSE)</f>
        <v>6</v>
      </c>
      <c r="N1697">
        <f>VLOOKUP(A1697,Marketing_df2!$A$1:$F$2241,5,FALSE)</f>
        <v>3</v>
      </c>
      <c r="O1697">
        <f>VLOOKUP(A1697,Marketing_df2!$A$1:$F$2241,6,FALSE)</f>
        <v>13</v>
      </c>
    </row>
    <row r="1698" spans="1:15" ht="12.5">
      <c r="A1698" s="6">
        <v>1696</v>
      </c>
      <c r="B1698" s="6">
        <v>1890</v>
      </c>
      <c r="C1698" s="6">
        <v>1971</v>
      </c>
      <c r="D1698" s="7" t="s">
        <v>17</v>
      </c>
      <c r="E1698" s="7" t="s">
        <v>11</v>
      </c>
      <c r="F1698" s="6">
        <v>42033</v>
      </c>
      <c r="G1698" s="6">
        <v>1</v>
      </c>
      <c r="H1698" s="6">
        <v>1</v>
      </c>
      <c r="I1698" s="6">
        <f t="shared" si="26"/>
        <v>2</v>
      </c>
      <c r="J1698" s="8">
        <v>41171</v>
      </c>
      <c r="K1698" s="6">
        <v>95</v>
      </c>
      <c r="L1698">
        <f>VLOOKUP(A1698,Marketing_df2!$A$1:$F$2241,3,FALSE)</f>
        <v>1</v>
      </c>
      <c r="M1698">
        <f>VLOOKUP(A1698,Marketing_df2!$A$1:$F$2241,4,FALSE)</f>
        <v>0</v>
      </c>
      <c r="N1698">
        <f>VLOOKUP(A1698,Marketing_df2!$A$1:$F$2241,5,FALSE)</f>
        <v>1</v>
      </c>
      <c r="O1698">
        <f>VLOOKUP(A1698,Marketing_df2!$A$1:$F$2241,6,FALSE)</f>
        <v>2</v>
      </c>
    </row>
    <row r="1699" spans="1:15" ht="12.5">
      <c r="A1699" s="6">
        <v>1697</v>
      </c>
      <c r="B1699" s="6">
        <v>10742</v>
      </c>
      <c r="C1699" s="6">
        <v>1983</v>
      </c>
      <c r="D1699" s="7" t="s">
        <v>12</v>
      </c>
      <c r="E1699" s="7" t="s">
        <v>13</v>
      </c>
      <c r="F1699" s="6">
        <v>86580</v>
      </c>
      <c r="G1699" s="6">
        <v>0</v>
      </c>
      <c r="H1699" s="6">
        <v>0</v>
      </c>
      <c r="I1699" s="6">
        <f t="shared" si="26"/>
        <v>0</v>
      </c>
      <c r="J1699" s="8">
        <v>41332</v>
      </c>
      <c r="K1699" s="6">
        <v>72</v>
      </c>
      <c r="L1699">
        <f>VLOOKUP(A1699,Marketing_df2!$A$1:$F$2241,3,FALSE)</f>
        <v>21</v>
      </c>
      <c r="M1699">
        <f>VLOOKUP(A1699,Marketing_df2!$A$1:$F$2241,4,FALSE)</f>
        <v>20</v>
      </c>
      <c r="N1699">
        <f>VLOOKUP(A1699,Marketing_df2!$A$1:$F$2241,5,FALSE)</f>
        <v>4</v>
      </c>
      <c r="O1699">
        <f>VLOOKUP(A1699,Marketing_df2!$A$1:$F$2241,6,FALSE)</f>
        <v>5</v>
      </c>
    </row>
    <row r="1700" spans="1:15" ht="12.5">
      <c r="A1700" s="6">
        <v>1698</v>
      </c>
      <c r="B1700" s="6">
        <v>10356</v>
      </c>
      <c r="C1700" s="6">
        <v>1957</v>
      </c>
      <c r="D1700" s="7" t="s">
        <v>12</v>
      </c>
      <c r="E1700" s="7" t="s">
        <v>15</v>
      </c>
      <c r="F1700" s="6">
        <v>41437</v>
      </c>
      <c r="G1700" s="6">
        <v>1</v>
      </c>
      <c r="H1700" s="6">
        <v>1</v>
      </c>
      <c r="I1700" s="6">
        <f t="shared" si="26"/>
        <v>2</v>
      </c>
      <c r="J1700" s="8">
        <v>41174</v>
      </c>
      <c r="K1700" s="6">
        <v>5</v>
      </c>
      <c r="L1700">
        <f>VLOOKUP(A1700,Marketing_df2!$A$1:$F$2241,3,FALSE)</f>
        <v>0</v>
      </c>
      <c r="M1700">
        <f>VLOOKUP(A1700,Marketing_df2!$A$1:$F$2241,4,FALSE)</f>
        <v>0</v>
      </c>
      <c r="N1700">
        <f>VLOOKUP(A1700,Marketing_df2!$A$1:$F$2241,5,FALSE)</f>
        <v>1</v>
      </c>
      <c r="O1700">
        <f>VLOOKUP(A1700,Marketing_df2!$A$1:$F$2241,6,FALSE)</f>
        <v>3</v>
      </c>
    </row>
    <row r="1701" spans="1:15" ht="12.5">
      <c r="A1701" s="6">
        <v>1699</v>
      </c>
      <c r="B1701" s="6">
        <v>4676</v>
      </c>
      <c r="C1701" s="6">
        <v>1951</v>
      </c>
      <c r="D1701" s="7" t="s">
        <v>14</v>
      </c>
      <c r="E1701" s="7" t="s">
        <v>18</v>
      </c>
      <c r="F1701" s="6">
        <v>73705</v>
      </c>
      <c r="G1701" s="6">
        <v>0</v>
      </c>
      <c r="H1701" s="6">
        <v>2</v>
      </c>
      <c r="I1701" s="6">
        <f t="shared" si="26"/>
        <v>2</v>
      </c>
      <c r="J1701" s="8">
        <v>41703</v>
      </c>
      <c r="K1701" s="6">
        <v>86</v>
      </c>
      <c r="L1701">
        <f>VLOOKUP(A1701,Marketing_df2!$A$1:$F$2241,3,FALSE)</f>
        <v>91</v>
      </c>
      <c r="M1701">
        <f>VLOOKUP(A1701,Marketing_df2!$A$1:$F$2241,4,FALSE)</f>
        <v>107</v>
      </c>
      <c r="N1701">
        <f>VLOOKUP(A1701,Marketing_df2!$A$1:$F$2241,5,FALSE)</f>
        <v>9</v>
      </c>
      <c r="O1701">
        <f>VLOOKUP(A1701,Marketing_df2!$A$1:$F$2241,6,FALSE)</f>
        <v>8</v>
      </c>
    </row>
    <row r="1702" spans="1:15" ht="12.5">
      <c r="A1702" s="6">
        <v>1700</v>
      </c>
      <c r="B1702" s="6">
        <v>8852</v>
      </c>
      <c r="C1702" s="6">
        <v>1976</v>
      </c>
      <c r="D1702" s="7" t="s">
        <v>9</v>
      </c>
      <c r="E1702" s="7" t="s">
        <v>13</v>
      </c>
      <c r="F1702" s="6">
        <v>61064</v>
      </c>
      <c r="G1702" s="6">
        <v>0</v>
      </c>
      <c r="H1702" s="6">
        <v>1</v>
      </c>
      <c r="I1702" s="6">
        <f t="shared" si="26"/>
        <v>1</v>
      </c>
      <c r="J1702" s="8">
        <v>41152</v>
      </c>
      <c r="K1702" s="6">
        <v>80</v>
      </c>
      <c r="L1702">
        <f>VLOOKUP(A1702,Marketing_df2!$A$1:$F$2241,3,FALSE)</f>
        <v>126</v>
      </c>
      <c r="M1702">
        <f>VLOOKUP(A1702,Marketing_df2!$A$1:$F$2241,4,FALSE)</f>
        <v>45</v>
      </c>
      <c r="N1702">
        <f>VLOOKUP(A1702,Marketing_df2!$A$1:$F$2241,5,FALSE)</f>
        <v>8</v>
      </c>
      <c r="O1702">
        <f>VLOOKUP(A1702,Marketing_df2!$A$1:$F$2241,6,FALSE)</f>
        <v>11</v>
      </c>
    </row>
    <row r="1703" spans="1:15" ht="12.5">
      <c r="A1703" s="6">
        <v>1701</v>
      </c>
      <c r="B1703" s="6">
        <v>3565</v>
      </c>
      <c r="C1703" s="6">
        <v>1955</v>
      </c>
      <c r="D1703" s="7" t="s">
        <v>14</v>
      </c>
      <c r="E1703" s="7" t="s">
        <v>13</v>
      </c>
      <c r="F1703" s="6">
        <v>38452</v>
      </c>
      <c r="G1703" s="6">
        <v>1</v>
      </c>
      <c r="H1703" s="6">
        <v>1</v>
      </c>
      <c r="I1703" s="6">
        <f t="shared" si="26"/>
        <v>2</v>
      </c>
      <c r="J1703" s="8">
        <v>41728</v>
      </c>
      <c r="K1703" s="6">
        <v>62</v>
      </c>
      <c r="L1703">
        <f>VLOOKUP(A1703,Marketing_df2!$A$1:$F$2241,3,FALSE)</f>
        <v>0</v>
      </c>
      <c r="M1703">
        <f>VLOOKUP(A1703,Marketing_df2!$A$1:$F$2241,4,FALSE)</f>
        <v>0</v>
      </c>
      <c r="N1703">
        <f>VLOOKUP(A1703,Marketing_df2!$A$1:$F$2241,5,FALSE)</f>
        <v>3</v>
      </c>
      <c r="O1703">
        <f>VLOOKUP(A1703,Marketing_df2!$A$1:$F$2241,6,FALSE)</f>
        <v>3</v>
      </c>
    </row>
    <row r="1704" spans="1:15" ht="12.5">
      <c r="A1704" s="6">
        <v>1702</v>
      </c>
      <c r="B1704" s="6">
        <v>5294</v>
      </c>
      <c r="C1704" s="6">
        <v>1989</v>
      </c>
      <c r="D1704" s="7" t="s">
        <v>9</v>
      </c>
      <c r="E1704" s="7" t="s">
        <v>10</v>
      </c>
      <c r="F1704" s="6">
        <v>18358</v>
      </c>
      <c r="G1704" s="6">
        <v>1</v>
      </c>
      <c r="H1704" s="6">
        <v>0</v>
      </c>
      <c r="I1704" s="6">
        <f t="shared" si="26"/>
        <v>1</v>
      </c>
      <c r="J1704" s="9">
        <v>41598</v>
      </c>
      <c r="K1704" s="6">
        <v>49</v>
      </c>
      <c r="L1704">
        <f>VLOOKUP(A1704,Marketing_df2!$A$1:$F$2241,3,FALSE)</f>
        <v>8</v>
      </c>
      <c r="M1704">
        <f>VLOOKUP(A1704,Marketing_df2!$A$1:$F$2241,4,FALSE)</f>
        <v>4</v>
      </c>
      <c r="N1704">
        <f>VLOOKUP(A1704,Marketing_df2!$A$1:$F$2241,5,FALSE)</f>
        <v>3</v>
      </c>
      <c r="O1704">
        <f>VLOOKUP(A1704,Marketing_df2!$A$1:$F$2241,6,FALSE)</f>
        <v>4</v>
      </c>
    </row>
    <row r="1705" spans="1:15" ht="12.5">
      <c r="A1705" s="6">
        <v>1703</v>
      </c>
      <c r="B1705" s="6">
        <v>1958</v>
      </c>
      <c r="C1705" s="6">
        <v>1973</v>
      </c>
      <c r="D1705" s="7" t="s">
        <v>12</v>
      </c>
      <c r="E1705" s="7" t="s">
        <v>11</v>
      </c>
      <c r="F1705" s="6">
        <v>55012</v>
      </c>
      <c r="G1705" s="6">
        <v>0</v>
      </c>
      <c r="H1705" s="6">
        <v>1</v>
      </c>
      <c r="I1705" s="6">
        <f t="shared" si="26"/>
        <v>1</v>
      </c>
      <c r="J1705" s="8">
        <v>41719</v>
      </c>
      <c r="K1705" s="6">
        <v>85</v>
      </c>
      <c r="L1705">
        <f>VLOOKUP(A1705,Marketing_df2!$A$1:$F$2241,3,FALSE)</f>
        <v>0</v>
      </c>
      <c r="M1705">
        <f>VLOOKUP(A1705,Marketing_df2!$A$1:$F$2241,4,FALSE)</f>
        <v>0</v>
      </c>
      <c r="N1705">
        <f>VLOOKUP(A1705,Marketing_df2!$A$1:$F$2241,5,FALSE)</f>
        <v>8</v>
      </c>
      <c r="O1705">
        <f>VLOOKUP(A1705,Marketing_df2!$A$1:$F$2241,6,FALSE)</f>
        <v>9</v>
      </c>
    </row>
    <row r="1706" spans="1:15" ht="12.5">
      <c r="A1706" s="6">
        <v>1704</v>
      </c>
      <c r="B1706" s="6">
        <v>7349</v>
      </c>
      <c r="C1706" s="6">
        <v>1973</v>
      </c>
      <c r="D1706" s="7" t="s">
        <v>16</v>
      </c>
      <c r="E1706" s="7" t="s">
        <v>11</v>
      </c>
      <c r="F1706" s="6">
        <v>9722</v>
      </c>
      <c r="G1706" s="6">
        <v>1</v>
      </c>
      <c r="H1706" s="6">
        <v>0</v>
      </c>
      <c r="I1706" s="6">
        <f t="shared" si="26"/>
        <v>1</v>
      </c>
      <c r="J1706" s="8">
        <v>41184</v>
      </c>
      <c r="K1706" s="6">
        <v>7</v>
      </c>
      <c r="L1706">
        <f>VLOOKUP(A1706,Marketing_df2!$A$1:$F$2241,3,FALSE)</f>
        <v>17</v>
      </c>
      <c r="M1706">
        <f>VLOOKUP(A1706,Marketing_df2!$A$1:$F$2241,4,FALSE)</f>
        <v>16</v>
      </c>
      <c r="N1706">
        <f>VLOOKUP(A1706,Marketing_df2!$A$1:$F$2241,5,FALSE)</f>
        <v>3</v>
      </c>
      <c r="O1706">
        <f>VLOOKUP(A1706,Marketing_df2!$A$1:$F$2241,6,FALSE)</f>
        <v>3</v>
      </c>
    </row>
    <row r="1707" spans="1:15" ht="12.5">
      <c r="A1707" s="6">
        <v>1705</v>
      </c>
      <c r="B1707" s="6">
        <v>8799</v>
      </c>
      <c r="C1707" s="6">
        <v>1984</v>
      </c>
      <c r="D1707" s="7" t="s">
        <v>12</v>
      </c>
      <c r="E1707" s="7" t="s">
        <v>13</v>
      </c>
      <c r="F1707" s="6">
        <v>38175</v>
      </c>
      <c r="G1707" s="6">
        <v>1</v>
      </c>
      <c r="H1707" s="6">
        <v>0</v>
      </c>
      <c r="I1707" s="6">
        <f t="shared" si="26"/>
        <v>1</v>
      </c>
      <c r="J1707" s="8">
        <v>41540</v>
      </c>
      <c r="K1707" s="6">
        <v>6</v>
      </c>
      <c r="L1707">
        <f>VLOOKUP(A1707,Marketing_df2!$A$1:$F$2241,3,FALSE)</f>
        <v>6</v>
      </c>
      <c r="M1707">
        <f>VLOOKUP(A1707,Marketing_df2!$A$1:$F$2241,4,FALSE)</f>
        <v>3</v>
      </c>
      <c r="N1707">
        <f>VLOOKUP(A1707,Marketing_df2!$A$1:$F$2241,5,FALSE)</f>
        <v>3</v>
      </c>
      <c r="O1707">
        <f>VLOOKUP(A1707,Marketing_df2!$A$1:$F$2241,6,FALSE)</f>
        <v>4</v>
      </c>
    </row>
    <row r="1708" spans="1:15" ht="12.5">
      <c r="A1708" s="6">
        <v>1706</v>
      </c>
      <c r="B1708" s="6">
        <v>1351</v>
      </c>
      <c r="C1708" s="6">
        <v>1956</v>
      </c>
      <c r="D1708" s="7" t="s">
        <v>14</v>
      </c>
      <c r="E1708" s="7" t="s">
        <v>11</v>
      </c>
      <c r="F1708" s="6">
        <v>58656</v>
      </c>
      <c r="G1708" s="6">
        <v>0</v>
      </c>
      <c r="H1708" s="6">
        <v>1</v>
      </c>
      <c r="I1708" s="6">
        <f t="shared" si="26"/>
        <v>1</v>
      </c>
      <c r="J1708" s="8">
        <v>41172</v>
      </c>
      <c r="K1708" s="6">
        <v>25</v>
      </c>
      <c r="L1708">
        <f>VLOOKUP(A1708,Marketing_df2!$A$1:$F$2241,3,FALSE)</f>
        <v>12</v>
      </c>
      <c r="M1708">
        <f>VLOOKUP(A1708,Marketing_df2!$A$1:$F$2241,4,FALSE)</f>
        <v>24</v>
      </c>
      <c r="N1708">
        <f>VLOOKUP(A1708,Marketing_df2!$A$1:$F$2241,5,FALSE)</f>
        <v>7</v>
      </c>
      <c r="O1708">
        <f>VLOOKUP(A1708,Marketing_df2!$A$1:$F$2241,6,FALSE)</f>
        <v>13</v>
      </c>
    </row>
    <row r="1709" spans="1:15" ht="12.5">
      <c r="A1709" s="6">
        <v>1707</v>
      </c>
      <c r="B1709" s="6">
        <v>1045</v>
      </c>
      <c r="C1709" s="6">
        <v>1965</v>
      </c>
      <c r="D1709" s="7" t="s">
        <v>9</v>
      </c>
      <c r="E1709" s="7" t="s">
        <v>11</v>
      </c>
      <c r="F1709" s="6">
        <v>52117</v>
      </c>
      <c r="G1709" s="6">
        <v>0</v>
      </c>
      <c r="H1709" s="6">
        <v>1</v>
      </c>
      <c r="I1709" s="6">
        <f t="shared" si="26"/>
        <v>1</v>
      </c>
      <c r="J1709" s="8">
        <v>41137</v>
      </c>
      <c r="K1709" s="6">
        <v>55</v>
      </c>
      <c r="L1709">
        <f>VLOOKUP(A1709,Marketing_df2!$A$1:$F$2241,3,FALSE)</f>
        <v>10</v>
      </c>
      <c r="M1709">
        <f>VLOOKUP(A1709,Marketing_df2!$A$1:$F$2241,4,FALSE)</f>
        <v>0</v>
      </c>
      <c r="N1709">
        <f>VLOOKUP(A1709,Marketing_df2!$A$1:$F$2241,5,FALSE)</f>
        <v>5</v>
      </c>
      <c r="O1709">
        <f>VLOOKUP(A1709,Marketing_df2!$A$1:$F$2241,6,FALSE)</f>
        <v>4</v>
      </c>
    </row>
    <row r="1710" spans="1:15" ht="12.5">
      <c r="A1710" s="6">
        <v>1708</v>
      </c>
      <c r="B1710" s="6">
        <v>7732</v>
      </c>
      <c r="C1710" s="6">
        <v>1978</v>
      </c>
      <c r="D1710" s="7" t="s">
        <v>9</v>
      </c>
      <c r="E1710" s="7" t="s">
        <v>13</v>
      </c>
      <c r="F1710" s="6">
        <v>64813</v>
      </c>
      <c r="G1710" s="6">
        <v>1</v>
      </c>
      <c r="H1710" s="6">
        <v>0</v>
      </c>
      <c r="I1710" s="6">
        <f t="shared" si="26"/>
        <v>1</v>
      </c>
      <c r="J1710" s="8">
        <v>41641</v>
      </c>
      <c r="K1710" s="6">
        <v>81</v>
      </c>
      <c r="L1710">
        <f>VLOOKUP(A1710,Marketing_df2!$A$1:$F$2241,3,FALSE)</f>
        <v>0</v>
      </c>
      <c r="M1710">
        <f>VLOOKUP(A1710,Marketing_df2!$A$1:$F$2241,4,FALSE)</f>
        <v>97</v>
      </c>
      <c r="N1710">
        <f>VLOOKUP(A1710,Marketing_df2!$A$1:$F$2241,5,FALSE)</f>
        <v>7</v>
      </c>
      <c r="O1710">
        <f>VLOOKUP(A1710,Marketing_df2!$A$1:$F$2241,6,FALSE)</f>
        <v>10</v>
      </c>
    </row>
    <row r="1711" spans="1:15" ht="12.5">
      <c r="A1711" s="6">
        <v>1709</v>
      </c>
      <c r="B1711" s="6">
        <v>8070</v>
      </c>
      <c r="C1711" s="6">
        <v>1973</v>
      </c>
      <c r="D1711" s="7" t="s">
        <v>12</v>
      </c>
      <c r="E1711" s="7" t="s">
        <v>13</v>
      </c>
      <c r="F1711" s="6">
        <v>54222</v>
      </c>
      <c r="G1711" s="6">
        <v>0</v>
      </c>
      <c r="H1711" s="6">
        <v>1</v>
      </c>
      <c r="I1711" s="6">
        <f t="shared" si="26"/>
        <v>1</v>
      </c>
      <c r="J1711" s="8">
        <v>41699</v>
      </c>
      <c r="K1711" s="6">
        <v>98</v>
      </c>
      <c r="L1711">
        <f>VLOOKUP(A1711,Marketing_df2!$A$1:$F$2241,3,FALSE)</f>
        <v>12</v>
      </c>
      <c r="M1711">
        <f>VLOOKUP(A1711,Marketing_df2!$A$1:$F$2241,4,FALSE)</f>
        <v>12</v>
      </c>
      <c r="N1711">
        <f>VLOOKUP(A1711,Marketing_df2!$A$1:$F$2241,5,FALSE)</f>
        <v>3</v>
      </c>
      <c r="O1711">
        <f>VLOOKUP(A1711,Marketing_df2!$A$1:$F$2241,6,FALSE)</f>
        <v>5</v>
      </c>
    </row>
    <row r="1712" spans="1:15" ht="12.5">
      <c r="A1712" s="6">
        <v>1710</v>
      </c>
      <c r="B1712" s="6">
        <v>477</v>
      </c>
      <c r="C1712" s="6">
        <v>1986</v>
      </c>
      <c r="D1712" s="7" t="s">
        <v>9</v>
      </c>
      <c r="E1712" s="7" t="s">
        <v>13</v>
      </c>
      <c r="F1712" s="6">
        <v>83512</v>
      </c>
      <c r="G1712" s="6">
        <v>0</v>
      </c>
      <c r="H1712" s="6">
        <v>0</v>
      </c>
      <c r="I1712" s="6">
        <f t="shared" si="26"/>
        <v>0</v>
      </c>
      <c r="J1712" s="8">
        <v>41807</v>
      </c>
      <c r="K1712" s="6">
        <v>31</v>
      </c>
      <c r="L1712">
        <f>VLOOKUP(A1712,Marketing_df2!$A$1:$F$2241,3,FALSE)</f>
        <v>61</v>
      </c>
      <c r="M1712">
        <f>VLOOKUP(A1712,Marketing_df2!$A$1:$F$2241,4,FALSE)</f>
        <v>20</v>
      </c>
      <c r="N1712">
        <f>VLOOKUP(A1712,Marketing_df2!$A$1:$F$2241,5,FALSE)</f>
        <v>4</v>
      </c>
      <c r="O1712">
        <f>VLOOKUP(A1712,Marketing_df2!$A$1:$F$2241,6,FALSE)</f>
        <v>10</v>
      </c>
    </row>
    <row r="1713" spans="1:15" ht="12.5">
      <c r="A1713" s="6">
        <v>1711</v>
      </c>
      <c r="B1713" s="6">
        <v>7832</v>
      </c>
      <c r="C1713" s="6">
        <v>1959</v>
      </c>
      <c r="D1713" s="7" t="s">
        <v>14</v>
      </c>
      <c r="E1713" s="7" t="s">
        <v>13</v>
      </c>
      <c r="F1713" s="6">
        <v>77520</v>
      </c>
      <c r="G1713" s="6">
        <v>0</v>
      </c>
      <c r="H1713" s="6">
        <v>1</v>
      </c>
      <c r="I1713" s="6">
        <f t="shared" si="26"/>
        <v>1</v>
      </c>
      <c r="J1713" s="8">
        <v>41514</v>
      </c>
      <c r="K1713" s="6">
        <v>30</v>
      </c>
      <c r="L1713">
        <f>VLOOKUP(A1713,Marketing_df2!$A$1:$F$2241,3,FALSE)</f>
        <v>44</v>
      </c>
      <c r="M1713">
        <f>VLOOKUP(A1713,Marketing_df2!$A$1:$F$2241,4,FALSE)</f>
        <v>88</v>
      </c>
      <c r="N1713">
        <f>VLOOKUP(A1713,Marketing_df2!$A$1:$F$2241,5,FALSE)</f>
        <v>8</v>
      </c>
      <c r="O1713">
        <f>VLOOKUP(A1713,Marketing_df2!$A$1:$F$2241,6,FALSE)</f>
        <v>7</v>
      </c>
    </row>
    <row r="1714" spans="1:15" ht="12.5">
      <c r="A1714" s="6">
        <v>1712</v>
      </c>
      <c r="B1714" s="6">
        <v>2202</v>
      </c>
      <c r="C1714" s="6">
        <v>1978</v>
      </c>
      <c r="D1714" s="7" t="s">
        <v>9</v>
      </c>
      <c r="E1714" s="7" t="s">
        <v>11</v>
      </c>
      <c r="F1714" s="6">
        <v>41154</v>
      </c>
      <c r="G1714" s="6">
        <v>0</v>
      </c>
      <c r="H1714" s="6">
        <v>1</v>
      </c>
      <c r="I1714" s="6">
        <f t="shared" si="26"/>
        <v>1</v>
      </c>
      <c r="J1714" s="8">
        <v>41373</v>
      </c>
      <c r="K1714" s="6">
        <v>98</v>
      </c>
      <c r="L1714">
        <f>VLOOKUP(A1714,Marketing_df2!$A$1:$F$2241,3,FALSE)</f>
        <v>2</v>
      </c>
      <c r="M1714">
        <f>VLOOKUP(A1714,Marketing_df2!$A$1:$F$2241,4,FALSE)</f>
        <v>3</v>
      </c>
      <c r="N1714">
        <f>VLOOKUP(A1714,Marketing_df2!$A$1:$F$2241,5,FALSE)</f>
        <v>1</v>
      </c>
      <c r="O1714">
        <f>VLOOKUP(A1714,Marketing_df2!$A$1:$F$2241,6,FALSE)</f>
        <v>4</v>
      </c>
    </row>
    <row r="1715" spans="1:15" ht="12.5">
      <c r="A1715" s="6">
        <v>1713</v>
      </c>
      <c r="B1715" s="6">
        <v>7396</v>
      </c>
      <c r="C1715" s="6">
        <v>1966</v>
      </c>
      <c r="D1715" s="7" t="s">
        <v>9</v>
      </c>
      <c r="E1715" s="7" t="s">
        <v>13</v>
      </c>
      <c r="F1715" s="6">
        <v>80398</v>
      </c>
      <c r="G1715" s="6">
        <v>0</v>
      </c>
      <c r="H1715" s="6">
        <v>0</v>
      </c>
      <c r="I1715" s="6">
        <f t="shared" si="26"/>
        <v>0</v>
      </c>
      <c r="J1715" s="9">
        <v>41223</v>
      </c>
      <c r="K1715" s="6">
        <v>92</v>
      </c>
      <c r="L1715">
        <f>VLOOKUP(A1715,Marketing_df2!$A$1:$F$2241,3,FALSE)</f>
        <v>51</v>
      </c>
      <c r="M1715">
        <f>VLOOKUP(A1715,Marketing_df2!$A$1:$F$2241,4,FALSE)</f>
        <v>35</v>
      </c>
      <c r="N1715">
        <f>VLOOKUP(A1715,Marketing_df2!$A$1:$F$2241,5,FALSE)</f>
        <v>5</v>
      </c>
      <c r="O1715">
        <f>VLOOKUP(A1715,Marketing_df2!$A$1:$F$2241,6,FALSE)</f>
        <v>12</v>
      </c>
    </row>
    <row r="1716" spans="1:15" ht="12.5">
      <c r="A1716" s="6">
        <v>1714</v>
      </c>
      <c r="B1716" s="6">
        <v>4055</v>
      </c>
      <c r="C1716" s="6">
        <v>1992</v>
      </c>
      <c r="D1716" s="7" t="s">
        <v>16</v>
      </c>
      <c r="E1716" s="7" t="s">
        <v>10</v>
      </c>
      <c r="F1716" s="6">
        <v>18746</v>
      </c>
      <c r="G1716" s="6">
        <v>1</v>
      </c>
      <c r="H1716" s="6">
        <v>0</v>
      </c>
      <c r="I1716" s="6">
        <f t="shared" si="26"/>
        <v>1</v>
      </c>
      <c r="J1716" s="8">
        <v>41788</v>
      </c>
      <c r="K1716" s="6">
        <v>41</v>
      </c>
      <c r="L1716">
        <f>VLOOKUP(A1716,Marketing_df2!$A$1:$F$2241,3,FALSE)</f>
        <v>10</v>
      </c>
      <c r="M1716">
        <f>VLOOKUP(A1716,Marketing_df2!$A$1:$F$2241,4,FALSE)</f>
        <v>9</v>
      </c>
      <c r="N1716">
        <f>VLOOKUP(A1716,Marketing_df2!$A$1:$F$2241,5,FALSE)</f>
        <v>3</v>
      </c>
      <c r="O1716">
        <f>VLOOKUP(A1716,Marketing_df2!$A$1:$F$2241,6,FALSE)</f>
        <v>3</v>
      </c>
    </row>
    <row r="1717" spans="1:15" ht="12.5">
      <c r="A1717" s="6">
        <v>1715</v>
      </c>
      <c r="B1717" s="6">
        <v>10340</v>
      </c>
      <c r="C1717" s="6">
        <v>1984</v>
      </c>
      <c r="D1717" s="7" t="s">
        <v>9</v>
      </c>
      <c r="E1717" s="7" t="s">
        <v>11</v>
      </c>
      <c r="F1717" s="6">
        <v>35196</v>
      </c>
      <c r="G1717" s="6">
        <v>1</v>
      </c>
      <c r="H1717" s="6">
        <v>0</v>
      </c>
      <c r="I1717" s="6">
        <f t="shared" si="26"/>
        <v>1</v>
      </c>
      <c r="J1717" s="9">
        <v>41226</v>
      </c>
      <c r="K1717" s="6">
        <v>68</v>
      </c>
      <c r="L1717">
        <f>VLOOKUP(A1717,Marketing_df2!$A$1:$F$2241,3,FALSE)</f>
        <v>12</v>
      </c>
      <c r="M1717">
        <f>VLOOKUP(A1717,Marketing_df2!$A$1:$F$2241,4,FALSE)</f>
        <v>39</v>
      </c>
      <c r="N1717">
        <f>VLOOKUP(A1717,Marketing_df2!$A$1:$F$2241,5,FALSE)</f>
        <v>6</v>
      </c>
      <c r="O1717">
        <f>VLOOKUP(A1717,Marketing_df2!$A$1:$F$2241,6,FALSE)</f>
        <v>5</v>
      </c>
    </row>
    <row r="1718" spans="1:15" ht="12.5">
      <c r="A1718" s="6">
        <v>1716</v>
      </c>
      <c r="B1718" s="6">
        <v>10091</v>
      </c>
      <c r="C1718" s="6">
        <v>1956</v>
      </c>
      <c r="D1718" s="7" t="s">
        <v>9</v>
      </c>
      <c r="E1718" s="7" t="s">
        <v>10</v>
      </c>
      <c r="F1718" s="6">
        <v>60230</v>
      </c>
      <c r="G1718" s="6">
        <v>0</v>
      </c>
      <c r="H1718" s="6">
        <v>1</v>
      </c>
      <c r="I1718" s="6">
        <f t="shared" si="26"/>
        <v>1</v>
      </c>
      <c r="J1718" s="8">
        <v>41414</v>
      </c>
      <c r="K1718" s="6">
        <v>78</v>
      </c>
      <c r="L1718">
        <f>VLOOKUP(A1718,Marketing_df2!$A$1:$F$2241,3,FALSE)</f>
        <v>20</v>
      </c>
      <c r="M1718">
        <f>VLOOKUP(A1718,Marketing_df2!$A$1:$F$2241,4,FALSE)</f>
        <v>81</v>
      </c>
      <c r="N1718">
        <f>VLOOKUP(A1718,Marketing_df2!$A$1:$F$2241,5,FALSE)</f>
        <v>6</v>
      </c>
      <c r="O1718">
        <f>VLOOKUP(A1718,Marketing_df2!$A$1:$F$2241,6,FALSE)</f>
        <v>6</v>
      </c>
    </row>
    <row r="1719" spans="1:15" ht="12.5">
      <c r="A1719" s="6">
        <v>1717</v>
      </c>
      <c r="B1719" s="6">
        <v>7629</v>
      </c>
      <c r="C1719" s="6">
        <v>1977</v>
      </c>
      <c r="D1719" s="7" t="s">
        <v>9</v>
      </c>
      <c r="E1719" s="7" t="s">
        <v>13</v>
      </c>
      <c r="F1719" s="6">
        <v>22108</v>
      </c>
      <c r="G1719" s="6">
        <v>1</v>
      </c>
      <c r="H1719" s="6">
        <v>1</v>
      </c>
      <c r="I1719" s="6">
        <f t="shared" si="26"/>
        <v>2</v>
      </c>
      <c r="J1719" s="8">
        <v>41767</v>
      </c>
      <c r="K1719" s="6">
        <v>46</v>
      </c>
      <c r="L1719">
        <f>VLOOKUP(A1719,Marketing_df2!$A$1:$F$2241,3,FALSE)</f>
        <v>3</v>
      </c>
      <c r="M1719">
        <f>VLOOKUP(A1719,Marketing_df2!$A$1:$F$2241,4,FALSE)</f>
        <v>2</v>
      </c>
      <c r="N1719">
        <f>VLOOKUP(A1719,Marketing_df2!$A$1:$F$2241,5,FALSE)</f>
        <v>2</v>
      </c>
      <c r="O1719">
        <f>VLOOKUP(A1719,Marketing_df2!$A$1:$F$2241,6,FALSE)</f>
        <v>3</v>
      </c>
    </row>
    <row r="1720" spans="1:15" ht="12.5">
      <c r="A1720" s="6">
        <v>1718</v>
      </c>
      <c r="B1720" s="6">
        <v>10640</v>
      </c>
      <c r="C1720" s="6">
        <v>1974</v>
      </c>
      <c r="D1720" s="7" t="s">
        <v>9</v>
      </c>
      <c r="E1720" s="7" t="s">
        <v>11</v>
      </c>
      <c r="F1720" s="6">
        <v>44392</v>
      </c>
      <c r="G1720" s="6">
        <v>1</v>
      </c>
      <c r="H1720" s="6">
        <v>1</v>
      </c>
      <c r="I1720" s="6">
        <f t="shared" si="26"/>
        <v>2</v>
      </c>
      <c r="J1720" s="8">
        <v>41522</v>
      </c>
      <c r="K1720" s="6">
        <v>71</v>
      </c>
      <c r="L1720">
        <f>VLOOKUP(A1720,Marketing_df2!$A$1:$F$2241,3,FALSE)</f>
        <v>5</v>
      </c>
      <c r="M1720">
        <f>VLOOKUP(A1720,Marketing_df2!$A$1:$F$2241,4,FALSE)</f>
        <v>12</v>
      </c>
      <c r="N1720">
        <f>VLOOKUP(A1720,Marketing_df2!$A$1:$F$2241,5,FALSE)</f>
        <v>4</v>
      </c>
      <c r="O1720">
        <f>VLOOKUP(A1720,Marketing_df2!$A$1:$F$2241,6,FALSE)</f>
        <v>4</v>
      </c>
    </row>
    <row r="1721" spans="1:15" ht="12.5">
      <c r="A1721" s="6">
        <v>1719</v>
      </c>
      <c r="B1721" s="6">
        <v>3498</v>
      </c>
      <c r="C1721" s="6">
        <v>1976</v>
      </c>
      <c r="D1721" s="7" t="s">
        <v>12</v>
      </c>
      <c r="E1721" s="7" t="s">
        <v>13</v>
      </c>
      <c r="F1721" s="6">
        <v>55424</v>
      </c>
      <c r="G1721" s="6">
        <v>0</v>
      </c>
      <c r="H1721" s="6">
        <v>1</v>
      </c>
      <c r="I1721" s="6">
        <f t="shared" si="26"/>
        <v>1</v>
      </c>
      <c r="J1721" s="9">
        <v>41238</v>
      </c>
      <c r="K1721" s="6">
        <v>6</v>
      </c>
      <c r="L1721">
        <f>VLOOKUP(A1721,Marketing_df2!$A$1:$F$2241,3,FALSE)</f>
        <v>61</v>
      </c>
      <c r="M1721">
        <f>VLOOKUP(A1721,Marketing_df2!$A$1:$F$2241,4,FALSE)</f>
        <v>53</v>
      </c>
      <c r="N1721">
        <f>VLOOKUP(A1721,Marketing_df2!$A$1:$F$2241,5,FALSE)</f>
        <v>7</v>
      </c>
      <c r="O1721">
        <f>VLOOKUP(A1721,Marketing_df2!$A$1:$F$2241,6,FALSE)</f>
        <v>9</v>
      </c>
    </row>
    <row r="1722" spans="1:15" ht="12.5">
      <c r="A1722" s="6">
        <v>1720</v>
      </c>
      <c r="B1722" s="6">
        <v>6742</v>
      </c>
      <c r="C1722" s="6">
        <v>1979</v>
      </c>
      <c r="D1722" s="7" t="s">
        <v>9</v>
      </c>
      <c r="E1722" s="7" t="s">
        <v>13</v>
      </c>
      <c r="F1722" s="6">
        <v>17688</v>
      </c>
      <c r="G1722" s="6">
        <v>1</v>
      </c>
      <c r="H1722" s="6">
        <v>0</v>
      </c>
      <c r="I1722" s="6">
        <f t="shared" si="26"/>
        <v>1</v>
      </c>
      <c r="J1722" s="8">
        <v>41287</v>
      </c>
      <c r="K1722" s="6">
        <v>82</v>
      </c>
      <c r="L1722">
        <f>VLOOKUP(A1722,Marketing_df2!$A$1:$F$2241,3,FALSE)</f>
        <v>2</v>
      </c>
      <c r="M1722">
        <f>VLOOKUP(A1722,Marketing_df2!$A$1:$F$2241,4,FALSE)</f>
        <v>1</v>
      </c>
      <c r="N1722">
        <f>VLOOKUP(A1722,Marketing_df2!$A$1:$F$2241,5,FALSE)</f>
        <v>1</v>
      </c>
      <c r="O1722">
        <f>VLOOKUP(A1722,Marketing_df2!$A$1:$F$2241,6,FALSE)</f>
        <v>2</v>
      </c>
    </row>
    <row r="1723" spans="1:15" ht="12.5">
      <c r="A1723" s="6">
        <v>1721</v>
      </c>
      <c r="B1723" s="6">
        <v>1172</v>
      </c>
      <c r="C1723" s="6">
        <v>1983</v>
      </c>
      <c r="D1723" s="7" t="s">
        <v>12</v>
      </c>
      <c r="E1723" s="7" t="s">
        <v>13</v>
      </c>
      <c r="F1723" s="6">
        <v>92491</v>
      </c>
      <c r="G1723" s="6">
        <v>0</v>
      </c>
      <c r="H1723" s="6">
        <v>0</v>
      </c>
      <c r="I1723" s="6">
        <f t="shared" si="26"/>
        <v>0</v>
      </c>
      <c r="J1723" s="8">
        <v>41395</v>
      </c>
      <c r="K1723" s="6">
        <v>71</v>
      </c>
      <c r="L1723">
        <f>VLOOKUP(A1723,Marketing_df2!$A$1:$F$2241,3,FALSE)</f>
        <v>44</v>
      </c>
      <c r="M1723">
        <f>VLOOKUP(A1723,Marketing_df2!$A$1:$F$2241,4,FALSE)</f>
        <v>25</v>
      </c>
      <c r="N1723">
        <f>VLOOKUP(A1723,Marketing_df2!$A$1:$F$2241,5,FALSE)</f>
        <v>7</v>
      </c>
      <c r="O1723">
        <f>VLOOKUP(A1723,Marketing_df2!$A$1:$F$2241,6,FALSE)</f>
        <v>12</v>
      </c>
    </row>
    <row r="1724" spans="1:15" ht="12.5">
      <c r="A1724" s="6">
        <v>1722</v>
      </c>
      <c r="B1724" s="6">
        <v>569</v>
      </c>
      <c r="C1724" s="6">
        <v>1991</v>
      </c>
      <c r="D1724" s="7" t="s">
        <v>9</v>
      </c>
      <c r="E1724" s="7" t="s">
        <v>10</v>
      </c>
      <c r="F1724" s="6">
        <v>90273</v>
      </c>
      <c r="G1724" s="6">
        <v>0</v>
      </c>
      <c r="H1724" s="6">
        <v>0</v>
      </c>
      <c r="I1724" s="6">
        <f t="shared" si="26"/>
        <v>0</v>
      </c>
      <c r="J1724" s="9">
        <v>41622</v>
      </c>
      <c r="K1724" s="6">
        <v>32</v>
      </c>
      <c r="L1724">
        <f>VLOOKUP(A1724,Marketing_df2!$A$1:$F$2241,3,FALSE)</f>
        <v>129</v>
      </c>
      <c r="M1724">
        <f>VLOOKUP(A1724,Marketing_df2!$A$1:$F$2241,4,FALSE)</f>
        <v>74</v>
      </c>
      <c r="N1724">
        <f>VLOOKUP(A1724,Marketing_df2!$A$1:$F$2241,5,FALSE)</f>
        <v>5</v>
      </c>
      <c r="O1724">
        <f>VLOOKUP(A1724,Marketing_df2!$A$1:$F$2241,6,FALSE)</f>
        <v>7</v>
      </c>
    </row>
    <row r="1725" spans="1:15" ht="12.5">
      <c r="A1725" s="6">
        <v>1723</v>
      </c>
      <c r="B1725" s="6">
        <v>4686</v>
      </c>
      <c r="C1725" s="6">
        <v>1962</v>
      </c>
      <c r="D1725" s="7" t="s">
        <v>12</v>
      </c>
      <c r="E1725" s="7" t="s">
        <v>18</v>
      </c>
      <c r="F1725" s="6">
        <v>82571</v>
      </c>
      <c r="G1725" s="6">
        <v>0</v>
      </c>
      <c r="H1725" s="6">
        <v>0</v>
      </c>
      <c r="I1725" s="6">
        <f t="shared" si="26"/>
        <v>0</v>
      </c>
      <c r="J1725" s="8">
        <v>41731</v>
      </c>
      <c r="K1725" s="6">
        <v>28</v>
      </c>
      <c r="L1725">
        <f>VLOOKUP(A1725,Marketing_df2!$A$1:$F$2241,3,FALSE)</f>
        <v>31</v>
      </c>
      <c r="M1725">
        <f>VLOOKUP(A1725,Marketing_df2!$A$1:$F$2241,4,FALSE)</f>
        <v>95</v>
      </c>
      <c r="N1725">
        <f>VLOOKUP(A1725,Marketing_df2!$A$1:$F$2241,5,FALSE)</f>
        <v>6</v>
      </c>
      <c r="O1725">
        <f>VLOOKUP(A1725,Marketing_df2!$A$1:$F$2241,6,FALSE)</f>
        <v>13</v>
      </c>
    </row>
    <row r="1726" spans="1:15" ht="12.5">
      <c r="A1726" s="6">
        <v>1724</v>
      </c>
      <c r="B1726" s="6">
        <v>1381</v>
      </c>
      <c r="C1726" s="6">
        <v>1982</v>
      </c>
      <c r="D1726" s="7" t="s">
        <v>12</v>
      </c>
      <c r="E1726" s="7" t="s">
        <v>10</v>
      </c>
      <c r="F1726" s="6">
        <v>38513</v>
      </c>
      <c r="G1726" s="6">
        <v>1</v>
      </c>
      <c r="H1726" s="6">
        <v>0</v>
      </c>
      <c r="I1726" s="6">
        <f t="shared" si="26"/>
        <v>1</v>
      </c>
      <c r="J1726" s="8">
        <v>41667</v>
      </c>
      <c r="K1726" s="6">
        <v>20</v>
      </c>
      <c r="L1726">
        <f>VLOOKUP(A1726,Marketing_df2!$A$1:$F$2241,3,FALSE)</f>
        <v>3</v>
      </c>
      <c r="M1726">
        <f>VLOOKUP(A1726,Marketing_df2!$A$1:$F$2241,4,FALSE)</f>
        <v>0</v>
      </c>
      <c r="N1726">
        <f>VLOOKUP(A1726,Marketing_df2!$A$1:$F$2241,5,FALSE)</f>
        <v>6</v>
      </c>
      <c r="O1726">
        <f>VLOOKUP(A1726,Marketing_df2!$A$1:$F$2241,6,FALSE)</f>
        <v>5</v>
      </c>
    </row>
    <row r="1727" spans="1:15" ht="12.5">
      <c r="A1727" s="6">
        <v>1725</v>
      </c>
      <c r="B1727" s="6">
        <v>2634</v>
      </c>
      <c r="C1727" s="6">
        <v>1979</v>
      </c>
      <c r="D1727" s="7" t="s">
        <v>14</v>
      </c>
      <c r="E1727" s="7" t="s">
        <v>10</v>
      </c>
      <c r="F1727" s="6">
        <v>16653</v>
      </c>
      <c r="G1727" s="6">
        <v>1</v>
      </c>
      <c r="H1727" s="6">
        <v>0</v>
      </c>
      <c r="I1727" s="6">
        <f t="shared" si="26"/>
        <v>1</v>
      </c>
      <c r="J1727" s="8">
        <v>41747</v>
      </c>
      <c r="K1727" s="6">
        <v>10</v>
      </c>
      <c r="L1727">
        <f>VLOOKUP(A1727,Marketing_df2!$A$1:$F$2241,3,FALSE)</f>
        <v>7</v>
      </c>
      <c r="M1727">
        <f>VLOOKUP(A1727,Marketing_df2!$A$1:$F$2241,4,FALSE)</f>
        <v>4</v>
      </c>
      <c r="N1727">
        <f>VLOOKUP(A1727,Marketing_df2!$A$1:$F$2241,5,FALSE)</f>
        <v>2</v>
      </c>
      <c r="O1727">
        <f>VLOOKUP(A1727,Marketing_df2!$A$1:$F$2241,6,FALSE)</f>
        <v>3</v>
      </c>
    </row>
    <row r="1728" spans="1:15" ht="12.5">
      <c r="A1728" s="6">
        <v>1726</v>
      </c>
      <c r="B1728" s="6">
        <v>10905</v>
      </c>
      <c r="C1728" s="6">
        <v>1955</v>
      </c>
      <c r="D1728" s="7" t="s">
        <v>9</v>
      </c>
      <c r="E1728" s="7" t="s">
        <v>11</v>
      </c>
      <c r="F1728" s="6">
        <v>42586</v>
      </c>
      <c r="G1728" s="6">
        <v>1</v>
      </c>
      <c r="H1728" s="6">
        <v>1</v>
      </c>
      <c r="I1728" s="6">
        <f t="shared" si="26"/>
        <v>2</v>
      </c>
      <c r="J1728" s="9">
        <v>41211</v>
      </c>
      <c r="K1728" s="6">
        <v>7</v>
      </c>
      <c r="L1728">
        <f>VLOOKUP(A1728,Marketing_df2!$A$1:$F$2241,3,FALSE)</f>
        <v>2</v>
      </c>
      <c r="M1728">
        <f>VLOOKUP(A1728,Marketing_df2!$A$1:$F$2241,4,FALSE)</f>
        <v>0</v>
      </c>
      <c r="N1728">
        <f>VLOOKUP(A1728,Marketing_df2!$A$1:$F$2241,5,FALSE)</f>
        <v>4</v>
      </c>
      <c r="O1728">
        <f>VLOOKUP(A1728,Marketing_df2!$A$1:$F$2241,6,FALSE)</f>
        <v>6</v>
      </c>
    </row>
    <row r="1729" spans="1:15" ht="12.5">
      <c r="A1729" s="6">
        <v>1727</v>
      </c>
      <c r="B1729" s="6">
        <v>1744</v>
      </c>
      <c r="C1729" s="6">
        <v>1965</v>
      </c>
      <c r="D1729" s="7" t="s">
        <v>16</v>
      </c>
      <c r="E1729" s="7" t="s">
        <v>10</v>
      </c>
      <c r="F1729" s="6">
        <v>23529</v>
      </c>
      <c r="G1729" s="6">
        <v>0</v>
      </c>
      <c r="H1729" s="6">
        <v>1</v>
      </c>
      <c r="I1729" s="6">
        <f t="shared" si="26"/>
        <v>1</v>
      </c>
      <c r="J1729" s="8">
        <v>41281</v>
      </c>
      <c r="K1729" s="6">
        <v>67</v>
      </c>
      <c r="L1729">
        <f>VLOOKUP(A1729,Marketing_df2!$A$1:$F$2241,3,FALSE)</f>
        <v>7</v>
      </c>
      <c r="M1729">
        <f>VLOOKUP(A1729,Marketing_df2!$A$1:$F$2241,4,FALSE)</f>
        <v>2</v>
      </c>
      <c r="N1729">
        <f>VLOOKUP(A1729,Marketing_df2!$A$1:$F$2241,5,FALSE)</f>
        <v>1</v>
      </c>
      <c r="O1729">
        <f>VLOOKUP(A1729,Marketing_df2!$A$1:$F$2241,6,FALSE)</f>
        <v>2</v>
      </c>
    </row>
    <row r="1730" spans="1:15" ht="12.5">
      <c r="A1730" s="6">
        <v>1728</v>
      </c>
      <c r="B1730" s="6">
        <v>1000</v>
      </c>
      <c r="C1730" s="6">
        <v>1961</v>
      </c>
      <c r="D1730" s="7" t="s">
        <v>14</v>
      </c>
      <c r="E1730" s="7" t="s">
        <v>11</v>
      </c>
      <c r="F1730" s="6">
        <v>74881</v>
      </c>
      <c r="G1730" s="6">
        <v>1</v>
      </c>
      <c r="H1730" s="6">
        <v>1</v>
      </c>
      <c r="I1730" s="6">
        <f t="shared" si="26"/>
        <v>2</v>
      </c>
      <c r="J1730" s="8">
        <v>41341</v>
      </c>
      <c r="K1730" s="6">
        <v>48</v>
      </c>
      <c r="L1730">
        <f>VLOOKUP(A1730,Marketing_df2!$A$1:$F$2241,3,FALSE)</f>
        <v>72</v>
      </c>
      <c r="M1730">
        <f>VLOOKUP(A1730,Marketing_df2!$A$1:$F$2241,4,FALSE)</f>
        <v>27</v>
      </c>
      <c r="N1730">
        <f>VLOOKUP(A1730,Marketing_df2!$A$1:$F$2241,5,FALSE)</f>
        <v>9</v>
      </c>
      <c r="O1730">
        <f>VLOOKUP(A1730,Marketing_df2!$A$1:$F$2241,6,FALSE)</f>
        <v>12</v>
      </c>
    </row>
    <row r="1731" spans="1:15" ht="12.5">
      <c r="A1731" s="6">
        <v>1729</v>
      </c>
      <c r="B1731" s="6">
        <v>3828</v>
      </c>
      <c r="C1731" s="6">
        <v>1951</v>
      </c>
      <c r="D1731" s="7" t="s">
        <v>9</v>
      </c>
      <c r="E1731" s="7" t="s">
        <v>13</v>
      </c>
      <c r="F1731" s="6">
        <v>71107</v>
      </c>
      <c r="G1731" s="6">
        <v>0</v>
      </c>
      <c r="H1731" s="6">
        <v>1</v>
      </c>
      <c r="I1731" s="6">
        <f t="shared" ref="I1731:I1794" si="27">G1731+H1731</f>
        <v>1</v>
      </c>
      <c r="J1731" s="8">
        <v>41322</v>
      </c>
      <c r="K1731" s="6">
        <v>61</v>
      </c>
      <c r="L1731">
        <f>VLOOKUP(A1731,Marketing_df2!$A$1:$F$2241,3,FALSE)</f>
        <v>10</v>
      </c>
      <c r="M1731">
        <f>VLOOKUP(A1731,Marketing_df2!$A$1:$F$2241,4,FALSE)</f>
        <v>174</v>
      </c>
      <c r="N1731">
        <f>VLOOKUP(A1731,Marketing_df2!$A$1:$F$2241,5,FALSE)</f>
        <v>7</v>
      </c>
      <c r="O1731">
        <f>VLOOKUP(A1731,Marketing_df2!$A$1:$F$2241,6,FALSE)</f>
        <v>13</v>
      </c>
    </row>
    <row r="1732" spans="1:15" ht="12.5">
      <c r="A1732" s="6">
        <v>1730</v>
      </c>
      <c r="B1732" s="6">
        <v>8605</v>
      </c>
      <c r="C1732" s="6">
        <v>1964</v>
      </c>
      <c r="D1732" s="7" t="s">
        <v>12</v>
      </c>
      <c r="E1732" s="7" t="s">
        <v>11</v>
      </c>
      <c r="F1732" s="6">
        <v>46910</v>
      </c>
      <c r="G1732" s="6">
        <v>1</v>
      </c>
      <c r="H1732" s="6">
        <v>1</v>
      </c>
      <c r="I1732" s="6">
        <f t="shared" si="27"/>
        <v>2</v>
      </c>
      <c r="J1732" s="8">
        <v>41721</v>
      </c>
      <c r="K1732" s="6">
        <v>36</v>
      </c>
      <c r="L1732">
        <f>VLOOKUP(A1732,Marketing_df2!$A$1:$F$2241,3,FALSE)</f>
        <v>0</v>
      </c>
      <c r="M1732">
        <f>VLOOKUP(A1732,Marketing_df2!$A$1:$F$2241,4,FALSE)</f>
        <v>0</v>
      </c>
      <c r="N1732">
        <f>VLOOKUP(A1732,Marketing_df2!$A$1:$F$2241,5,FALSE)</f>
        <v>2</v>
      </c>
      <c r="O1732">
        <f>VLOOKUP(A1732,Marketing_df2!$A$1:$F$2241,6,FALSE)</f>
        <v>3</v>
      </c>
    </row>
    <row r="1733" spans="1:15" ht="12.5">
      <c r="A1733" s="6">
        <v>1731</v>
      </c>
      <c r="B1733" s="6">
        <v>10304</v>
      </c>
      <c r="C1733" s="6">
        <v>1959</v>
      </c>
      <c r="D1733" s="7" t="s">
        <v>9</v>
      </c>
      <c r="E1733" s="7" t="s">
        <v>13</v>
      </c>
      <c r="F1733" s="6">
        <v>18690</v>
      </c>
      <c r="G1733" s="6">
        <v>0</v>
      </c>
      <c r="H1733" s="6">
        <v>0</v>
      </c>
      <c r="I1733" s="6">
        <f t="shared" si="27"/>
        <v>0</v>
      </c>
      <c r="J1733" s="9">
        <v>41271</v>
      </c>
      <c r="K1733" s="6">
        <v>77</v>
      </c>
      <c r="L1733">
        <f>VLOOKUP(A1733,Marketing_df2!$A$1:$F$2241,3,FALSE)</f>
        <v>1</v>
      </c>
      <c r="M1733">
        <f>VLOOKUP(A1733,Marketing_df2!$A$1:$F$2241,4,FALSE)</f>
        <v>4</v>
      </c>
      <c r="N1733">
        <f>VLOOKUP(A1733,Marketing_df2!$A$1:$F$2241,5,FALSE)</f>
        <v>1</v>
      </c>
      <c r="O1733">
        <f>VLOOKUP(A1733,Marketing_df2!$A$1:$F$2241,6,FALSE)</f>
        <v>2</v>
      </c>
    </row>
    <row r="1734" spans="1:15" ht="12.5">
      <c r="A1734" s="6">
        <v>1732</v>
      </c>
      <c r="B1734" s="6">
        <v>4351</v>
      </c>
      <c r="C1734" s="6">
        <v>1955</v>
      </c>
      <c r="D1734" s="7" t="s">
        <v>9</v>
      </c>
      <c r="E1734" s="7" t="s">
        <v>15</v>
      </c>
      <c r="F1734" s="6">
        <v>37244</v>
      </c>
      <c r="G1734" s="6">
        <v>1</v>
      </c>
      <c r="H1734" s="6">
        <v>1</v>
      </c>
      <c r="I1734" s="6">
        <f t="shared" si="27"/>
        <v>2</v>
      </c>
      <c r="J1734" s="8">
        <v>41391</v>
      </c>
      <c r="K1734" s="6">
        <v>90</v>
      </c>
      <c r="L1734">
        <f>VLOOKUP(A1734,Marketing_df2!$A$1:$F$2241,3,FALSE)</f>
        <v>2</v>
      </c>
      <c r="M1734">
        <f>VLOOKUP(A1734,Marketing_df2!$A$1:$F$2241,4,FALSE)</f>
        <v>0</v>
      </c>
      <c r="N1734">
        <f>VLOOKUP(A1734,Marketing_df2!$A$1:$F$2241,5,FALSE)</f>
        <v>1</v>
      </c>
      <c r="O1734">
        <f>VLOOKUP(A1734,Marketing_df2!$A$1:$F$2241,6,FALSE)</f>
        <v>2</v>
      </c>
    </row>
    <row r="1735" spans="1:15" ht="12.5">
      <c r="A1735" s="6">
        <v>1733</v>
      </c>
      <c r="B1735" s="6">
        <v>10129</v>
      </c>
      <c r="C1735" s="6">
        <v>1966</v>
      </c>
      <c r="D1735" s="7" t="s">
        <v>9</v>
      </c>
      <c r="E1735" s="7" t="s">
        <v>11</v>
      </c>
      <c r="F1735" s="6">
        <v>82427</v>
      </c>
      <c r="G1735" s="6">
        <v>0</v>
      </c>
      <c r="H1735" s="6">
        <v>0</v>
      </c>
      <c r="I1735" s="6">
        <f t="shared" si="27"/>
        <v>0</v>
      </c>
      <c r="J1735" s="8">
        <v>41710</v>
      </c>
      <c r="K1735" s="6">
        <v>35</v>
      </c>
      <c r="L1735">
        <f>VLOOKUP(A1735,Marketing_df2!$A$1:$F$2241,3,FALSE)</f>
        <v>147</v>
      </c>
      <c r="M1735">
        <f>VLOOKUP(A1735,Marketing_df2!$A$1:$F$2241,4,FALSE)</f>
        <v>107</v>
      </c>
      <c r="N1735">
        <f>VLOOKUP(A1735,Marketing_df2!$A$1:$F$2241,5,FALSE)</f>
        <v>3</v>
      </c>
      <c r="O1735">
        <f>VLOOKUP(A1735,Marketing_df2!$A$1:$F$2241,6,FALSE)</f>
        <v>12</v>
      </c>
    </row>
    <row r="1736" spans="1:15" ht="12.5">
      <c r="A1736" s="6">
        <v>1734</v>
      </c>
      <c r="B1736" s="6">
        <v>2499</v>
      </c>
      <c r="C1736" s="6">
        <v>1958</v>
      </c>
      <c r="D1736" s="7" t="s">
        <v>17</v>
      </c>
      <c r="E1736" s="7" t="s">
        <v>10</v>
      </c>
      <c r="F1736" s="6">
        <v>75342</v>
      </c>
      <c r="G1736" s="6">
        <v>0</v>
      </c>
      <c r="H1736" s="6">
        <v>1</v>
      </c>
      <c r="I1736" s="6">
        <f t="shared" si="27"/>
        <v>1</v>
      </c>
      <c r="J1736" s="8">
        <v>41400</v>
      </c>
      <c r="K1736" s="6">
        <v>38</v>
      </c>
      <c r="L1736">
        <f>VLOOKUP(A1736,Marketing_df2!$A$1:$F$2241,3,FALSE)</f>
        <v>97</v>
      </c>
      <c r="M1736">
        <f>VLOOKUP(A1736,Marketing_df2!$A$1:$F$2241,4,FALSE)</f>
        <v>118</v>
      </c>
      <c r="N1736">
        <f>VLOOKUP(A1736,Marketing_df2!$A$1:$F$2241,5,FALSE)</f>
        <v>5</v>
      </c>
      <c r="O1736">
        <f>VLOOKUP(A1736,Marketing_df2!$A$1:$F$2241,6,FALSE)</f>
        <v>10</v>
      </c>
    </row>
    <row r="1737" spans="1:15" ht="12.5">
      <c r="A1737" s="6">
        <v>1735</v>
      </c>
      <c r="B1737" s="6">
        <v>10092</v>
      </c>
      <c r="C1737" s="6">
        <v>1954</v>
      </c>
      <c r="D1737" s="7" t="s">
        <v>9</v>
      </c>
      <c r="E1737" s="7" t="s">
        <v>15</v>
      </c>
      <c r="F1737" s="6">
        <v>70044</v>
      </c>
      <c r="G1737" s="6">
        <v>0</v>
      </c>
      <c r="H1737" s="6">
        <v>1</v>
      </c>
      <c r="I1737" s="6">
        <f t="shared" si="27"/>
        <v>1</v>
      </c>
      <c r="J1737" s="8">
        <v>41323</v>
      </c>
      <c r="K1737" s="6">
        <v>46</v>
      </c>
      <c r="L1737">
        <f>VLOOKUP(A1737,Marketing_df2!$A$1:$F$2241,3,FALSE)</f>
        <v>0</v>
      </c>
      <c r="M1737">
        <f>VLOOKUP(A1737,Marketing_df2!$A$1:$F$2241,4,FALSE)</f>
        <v>14</v>
      </c>
      <c r="N1737">
        <f>VLOOKUP(A1737,Marketing_df2!$A$1:$F$2241,5,FALSE)</f>
        <v>7</v>
      </c>
      <c r="O1737">
        <f>VLOOKUP(A1737,Marketing_df2!$A$1:$F$2241,6,FALSE)</f>
        <v>5</v>
      </c>
    </row>
    <row r="1738" spans="1:15" ht="12.5">
      <c r="A1738" s="6">
        <v>1736</v>
      </c>
      <c r="B1738" s="6">
        <v>7500</v>
      </c>
      <c r="C1738" s="6">
        <v>1967</v>
      </c>
      <c r="D1738" s="7" t="s">
        <v>9</v>
      </c>
      <c r="E1738" s="7" t="s">
        <v>10</v>
      </c>
      <c r="F1738" s="6">
        <v>79146</v>
      </c>
      <c r="G1738" s="6">
        <v>1</v>
      </c>
      <c r="H1738" s="6">
        <v>1</v>
      </c>
      <c r="I1738" s="6">
        <f t="shared" si="27"/>
        <v>2</v>
      </c>
      <c r="J1738" s="8">
        <v>41753</v>
      </c>
      <c r="K1738" s="6">
        <v>33</v>
      </c>
      <c r="L1738">
        <f>VLOOKUP(A1738,Marketing_df2!$A$1:$F$2241,3,FALSE)</f>
        <v>16</v>
      </c>
      <c r="M1738">
        <f>VLOOKUP(A1738,Marketing_df2!$A$1:$F$2241,4,FALSE)</f>
        <v>43</v>
      </c>
      <c r="N1738">
        <f>VLOOKUP(A1738,Marketing_df2!$A$1:$F$2241,5,FALSE)</f>
        <v>8</v>
      </c>
      <c r="O1738">
        <f>VLOOKUP(A1738,Marketing_df2!$A$1:$F$2241,6,FALSE)</f>
        <v>8</v>
      </c>
    </row>
    <row r="1739" spans="1:15" ht="12.5">
      <c r="A1739" s="6">
        <v>1737</v>
      </c>
      <c r="B1739" s="6">
        <v>5796</v>
      </c>
      <c r="C1739" s="6">
        <v>1963</v>
      </c>
      <c r="D1739" s="7" t="s">
        <v>9</v>
      </c>
      <c r="E1739" s="7" t="s">
        <v>13</v>
      </c>
      <c r="F1739" s="6">
        <v>77437</v>
      </c>
      <c r="G1739" s="6">
        <v>0</v>
      </c>
      <c r="H1739" s="6">
        <v>0</v>
      </c>
      <c r="I1739" s="6">
        <f t="shared" si="27"/>
        <v>0</v>
      </c>
      <c r="J1739" s="9">
        <v>41604</v>
      </c>
      <c r="K1739" s="6">
        <v>70</v>
      </c>
      <c r="L1739">
        <f>VLOOKUP(A1739,Marketing_df2!$A$1:$F$2241,3,FALSE)</f>
        <v>21</v>
      </c>
      <c r="M1739">
        <f>VLOOKUP(A1739,Marketing_df2!$A$1:$F$2241,4,FALSE)</f>
        <v>44</v>
      </c>
      <c r="N1739">
        <f>VLOOKUP(A1739,Marketing_df2!$A$1:$F$2241,5,FALSE)</f>
        <v>4</v>
      </c>
      <c r="O1739">
        <f>VLOOKUP(A1739,Marketing_df2!$A$1:$F$2241,6,FALSE)</f>
        <v>13</v>
      </c>
    </row>
    <row r="1740" spans="1:15" ht="12.5">
      <c r="A1740" s="6">
        <v>1738</v>
      </c>
      <c r="B1740" s="6">
        <v>10556</v>
      </c>
      <c r="C1740" s="6">
        <v>1959</v>
      </c>
      <c r="D1740" s="7" t="s">
        <v>9</v>
      </c>
      <c r="E1740" s="7" t="s">
        <v>13</v>
      </c>
      <c r="F1740" s="6">
        <v>54984</v>
      </c>
      <c r="G1740" s="6">
        <v>0</v>
      </c>
      <c r="H1740" s="6">
        <v>1</v>
      </c>
      <c r="I1740" s="6">
        <f t="shared" si="27"/>
        <v>1</v>
      </c>
      <c r="J1740" s="8">
        <v>41783</v>
      </c>
      <c r="K1740" s="6">
        <v>51</v>
      </c>
      <c r="L1740">
        <f>VLOOKUP(A1740,Marketing_df2!$A$1:$F$2241,3,FALSE)</f>
        <v>13</v>
      </c>
      <c r="M1740">
        <f>VLOOKUP(A1740,Marketing_df2!$A$1:$F$2241,4,FALSE)</f>
        <v>3</v>
      </c>
      <c r="N1740">
        <f>VLOOKUP(A1740,Marketing_df2!$A$1:$F$2241,5,FALSE)</f>
        <v>6</v>
      </c>
      <c r="O1740">
        <f>VLOOKUP(A1740,Marketing_df2!$A$1:$F$2241,6,FALSE)</f>
        <v>6</v>
      </c>
    </row>
    <row r="1741" spans="1:15" ht="12.5">
      <c r="A1741" s="6">
        <v>1739</v>
      </c>
      <c r="B1741" s="6">
        <v>1064</v>
      </c>
      <c r="C1741" s="6">
        <v>1971</v>
      </c>
      <c r="D1741" s="7" t="s">
        <v>12</v>
      </c>
      <c r="E1741" s="7" t="s">
        <v>13</v>
      </c>
      <c r="F1741" s="6">
        <v>42403</v>
      </c>
      <c r="G1741" s="6">
        <v>1</v>
      </c>
      <c r="H1741" s="6">
        <v>0</v>
      </c>
      <c r="I1741" s="6">
        <f t="shared" si="27"/>
        <v>1</v>
      </c>
      <c r="J1741" s="9">
        <v>41619</v>
      </c>
      <c r="K1741" s="6">
        <v>18</v>
      </c>
      <c r="L1741">
        <f>VLOOKUP(A1741,Marketing_df2!$A$1:$F$2241,3,FALSE)</f>
        <v>1</v>
      </c>
      <c r="M1741">
        <f>VLOOKUP(A1741,Marketing_df2!$A$1:$F$2241,4,FALSE)</f>
        <v>5</v>
      </c>
      <c r="N1741">
        <f>VLOOKUP(A1741,Marketing_df2!$A$1:$F$2241,5,FALSE)</f>
        <v>1</v>
      </c>
      <c r="O1741">
        <f>VLOOKUP(A1741,Marketing_df2!$A$1:$F$2241,6,FALSE)</f>
        <v>3</v>
      </c>
    </row>
    <row r="1742" spans="1:15" ht="12.5">
      <c r="A1742" s="6">
        <v>1740</v>
      </c>
      <c r="B1742" s="6">
        <v>48</v>
      </c>
      <c r="C1742" s="6">
        <v>1964</v>
      </c>
      <c r="D1742" s="7" t="s">
        <v>9</v>
      </c>
      <c r="E1742" s="7" t="s">
        <v>11</v>
      </c>
      <c r="F1742" s="6">
        <v>55761</v>
      </c>
      <c r="G1742" s="6">
        <v>0</v>
      </c>
      <c r="H1742" s="6">
        <v>1</v>
      </c>
      <c r="I1742" s="6">
        <f t="shared" si="27"/>
        <v>1</v>
      </c>
      <c r="J1742" s="8">
        <v>41753</v>
      </c>
      <c r="K1742" s="6">
        <v>97</v>
      </c>
      <c r="L1742">
        <f>VLOOKUP(A1742,Marketing_df2!$A$1:$F$2241,3,FALSE)</f>
        <v>1</v>
      </c>
      <c r="M1742">
        <f>VLOOKUP(A1742,Marketing_df2!$A$1:$F$2241,4,FALSE)</f>
        <v>3</v>
      </c>
      <c r="N1742">
        <f>VLOOKUP(A1742,Marketing_df2!$A$1:$F$2241,5,FALSE)</f>
        <v>4</v>
      </c>
      <c r="O1742">
        <f>VLOOKUP(A1742,Marketing_df2!$A$1:$F$2241,6,FALSE)</f>
        <v>3</v>
      </c>
    </row>
    <row r="1743" spans="1:15" ht="12.5">
      <c r="A1743" s="6">
        <v>1741</v>
      </c>
      <c r="B1743" s="6">
        <v>7610</v>
      </c>
      <c r="C1743" s="6">
        <v>1983</v>
      </c>
      <c r="D1743" s="7" t="s">
        <v>9</v>
      </c>
      <c r="E1743" s="7" t="s">
        <v>11</v>
      </c>
      <c r="F1743" s="6">
        <v>37292</v>
      </c>
      <c r="G1743" s="6">
        <v>1</v>
      </c>
      <c r="H1743" s="6">
        <v>0</v>
      </c>
      <c r="I1743" s="6">
        <f t="shared" si="27"/>
        <v>1</v>
      </c>
      <c r="J1743" s="8">
        <v>41382</v>
      </c>
      <c r="K1743" s="6">
        <v>32</v>
      </c>
      <c r="L1743">
        <f>VLOOKUP(A1743,Marketing_df2!$A$1:$F$2241,3,FALSE)</f>
        <v>0</v>
      </c>
      <c r="M1743">
        <f>VLOOKUP(A1743,Marketing_df2!$A$1:$F$2241,4,FALSE)</f>
        <v>23</v>
      </c>
      <c r="N1743">
        <f>VLOOKUP(A1743,Marketing_df2!$A$1:$F$2241,5,FALSE)</f>
        <v>6</v>
      </c>
      <c r="O1743">
        <f>VLOOKUP(A1743,Marketing_df2!$A$1:$F$2241,6,FALSE)</f>
        <v>5</v>
      </c>
    </row>
    <row r="1744" spans="1:15" ht="12.5">
      <c r="A1744" s="6">
        <v>1742</v>
      </c>
      <c r="B1744" s="6">
        <v>263</v>
      </c>
      <c r="C1744" s="6">
        <v>1945</v>
      </c>
      <c r="D1744" s="7" t="s">
        <v>12</v>
      </c>
      <c r="E1744" s="7" t="s">
        <v>10</v>
      </c>
      <c r="F1744" s="6">
        <v>45576</v>
      </c>
      <c r="G1744" s="6">
        <v>0</v>
      </c>
      <c r="H1744" s="6">
        <v>0</v>
      </c>
      <c r="I1744" s="6">
        <f t="shared" si="27"/>
        <v>0</v>
      </c>
      <c r="J1744" s="8">
        <v>41787</v>
      </c>
      <c r="K1744" s="6">
        <v>9</v>
      </c>
      <c r="L1744">
        <f>VLOOKUP(A1744,Marketing_df2!$A$1:$F$2241,3,FALSE)</f>
        <v>19</v>
      </c>
      <c r="M1744">
        <f>VLOOKUP(A1744,Marketing_df2!$A$1:$F$2241,4,FALSE)</f>
        <v>14</v>
      </c>
      <c r="N1744">
        <f>VLOOKUP(A1744,Marketing_df2!$A$1:$F$2241,5,FALSE)</f>
        <v>3</v>
      </c>
      <c r="O1744">
        <f>VLOOKUP(A1744,Marketing_df2!$A$1:$F$2241,6,FALSE)</f>
        <v>3</v>
      </c>
    </row>
    <row r="1745" spans="1:15" ht="12.5">
      <c r="A1745" s="6">
        <v>1743</v>
      </c>
      <c r="B1745" s="6">
        <v>10814</v>
      </c>
      <c r="C1745" s="6">
        <v>1947</v>
      </c>
      <c r="D1745" s="7" t="s">
        <v>9</v>
      </c>
      <c r="E1745" s="7" t="s">
        <v>11</v>
      </c>
      <c r="F1745" s="6">
        <v>70321</v>
      </c>
      <c r="G1745" s="6">
        <v>0</v>
      </c>
      <c r="H1745" s="6">
        <v>0</v>
      </c>
      <c r="I1745" s="6">
        <f t="shared" si="27"/>
        <v>0</v>
      </c>
      <c r="J1745" s="8">
        <v>41290</v>
      </c>
      <c r="K1745" s="6">
        <v>6</v>
      </c>
      <c r="L1745">
        <f>VLOOKUP(A1745,Marketing_df2!$A$1:$F$2241,3,FALSE)</f>
        <v>23</v>
      </c>
      <c r="M1745">
        <f>VLOOKUP(A1745,Marketing_df2!$A$1:$F$2241,4,FALSE)</f>
        <v>26</v>
      </c>
      <c r="N1745">
        <f>VLOOKUP(A1745,Marketing_df2!$A$1:$F$2241,5,FALSE)</f>
        <v>6</v>
      </c>
      <c r="O1745">
        <f>VLOOKUP(A1745,Marketing_df2!$A$1:$F$2241,6,FALSE)</f>
        <v>13</v>
      </c>
    </row>
    <row r="1746" spans="1:15" ht="12.5">
      <c r="A1746" s="6">
        <v>1744</v>
      </c>
      <c r="B1746" s="6">
        <v>9710</v>
      </c>
      <c r="C1746" s="6">
        <v>1969</v>
      </c>
      <c r="D1746" s="7" t="s">
        <v>12</v>
      </c>
      <c r="E1746" s="7" t="s">
        <v>15</v>
      </c>
      <c r="F1746" s="6">
        <v>58086</v>
      </c>
      <c r="G1746" s="6">
        <v>0</v>
      </c>
      <c r="H1746" s="6">
        <v>1</v>
      </c>
      <c r="I1746" s="6">
        <f t="shared" si="27"/>
        <v>1</v>
      </c>
      <c r="J1746" s="8">
        <v>41294</v>
      </c>
      <c r="K1746" s="6">
        <v>80</v>
      </c>
      <c r="L1746">
        <f>VLOOKUP(A1746,Marketing_df2!$A$1:$F$2241,3,FALSE)</f>
        <v>7</v>
      </c>
      <c r="M1746">
        <f>VLOOKUP(A1746,Marketing_df2!$A$1:$F$2241,4,FALSE)</f>
        <v>0</v>
      </c>
      <c r="N1746">
        <f>VLOOKUP(A1746,Marketing_df2!$A$1:$F$2241,5,FALSE)</f>
        <v>11</v>
      </c>
      <c r="O1746">
        <f>VLOOKUP(A1746,Marketing_df2!$A$1:$F$2241,6,FALSE)</f>
        <v>7</v>
      </c>
    </row>
    <row r="1747" spans="1:15" ht="12.5">
      <c r="A1747" s="6">
        <v>1745</v>
      </c>
      <c r="B1747" s="6">
        <v>9292</v>
      </c>
      <c r="C1747" s="6">
        <v>1952</v>
      </c>
      <c r="D1747" s="7" t="s">
        <v>9</v>
      </c>
      <c r="E1747" s="7" t="s">
        <v>13</v>
      </c>
      <c r="F1747" s="6">
        <v>81795</v>
      </c>
      <c r="G1747" s="6">
        <v>0</v>
      </c>
      <c r="H1747" s="6">
        <v>0</v>
      </c>
      <c r="I1747" s="6">
        <f t="shared" si="27"/>
        <v>0</v>
      </c>
      <c r="J1747" s="9">
        <v>41208</v>
      </c>
      <c r="K1747" s="6">
        <v>74</v>
      </c>
      <c r="L1747">
        <f>VLOOKUP(A1747,Marketing_df2!$A$1:$F$2241,3,FALSE)</f>
        <v>132</v>
      </c>
      <c r="M1747">
        <f>VLOOKUP(A1747,Marketing_df2!$A$1:$F$2241,4,FALSE)</f>
        <v>118</v>
      </c>
      <c r="N1747">
        <f>VLOOKUP(A1747,Marketing_df2!$A$1:$F$2241,5,FALSE)</f>
        <v>4</v>
      </c>
      <c r="O1747">
        <f>VLOOKUP(A1747,Marketing_df2!$A$1:$F$2241,6,FALSE)</f>
        <v>7</v>
      </c>
    </row>
    <row r="1748" spans="1:15" ht="12.5">
      <c r="A1748" s="6">
        <v>1746</v>
      </c>
      <c r="B1748" s="6">
        <v>10250</v>
      </c>
      <c r="C1748" s="6">
        <v>1947</v>
      </c>
      <c r="D1748" s="7" t="s">
        <v>16</v>
      </c>
      <c r="E1748" s="7" t="s">
        <v>11</v>
      </c>
      <c r="F1748" s="6">
        <v>28389</v>
      </c>
      <c r="G1748" s="6">
        <v>0</v>
      </c>
      <c r="H1748" s="6">
        <v>0</v>
      </c>
      <c r="I1748" s="6">
        <f t="shared" si="27"/>
        <v>0</v>
      </c>
      <c r="J1748" s="9">
        <v>41233</v>
      </c>
      <c r="K1748" s="6">
        <v>49</v>
      </c>
      <c r="L1748">
        <f>VLOOKUP(A1748,Marketing_df2!$A$1:$F$2241,3,FALSE)</f>
        <v>5</v>
      </c>
      <c r="M1748">
        <f>VLOOKUP(A1748,Marketing_df2!$A$1:$F$2241,4,FALSE)</f>
        <v>4</v>
      </c>
      <c r="N1748">
        <f>VLOOKUP(A1748,Marketing_df2!$A$1:$F$2241,5,FALSE)</f>
        <v>1</v>
      </c>
      <c r="O1748">
        <f>VLOOKUP(A1748,Marketing_df2!$A$1:$F$2241,6,FALSE)</f>
        <v>2</v>
      </c>
    </row>
    <row r="1749" spans="1:15" ht="12.5">
      <c r="A1749" s="6">
        <v>1747</v>
      </c>
      <c r="B1749" s="6">
        <v>7881</v>
      </c>
      <c r="C1749" s="6">
        <v>1946</v>
      </c>
      <c r="D1749" s="7" t="s">
        <v>14</v>
      </c>
      <c r="E1749" s="7" t="s">
        <v>13</v>
      </c>
      <c r="F1749" s="6">
        <v>66835</v>
      </c>
      <c r="G1749" s="6">
        <v>0</v>
      </c>
      <c r="H1749" s="6">
        <v>0</v>
      </c>
      <c r="I1749" s="6">
        <f t="shared" si="27"/>
        <v>0</v>
      </c>
      <c r="J1749" s="8">
        <v>41545</v>
      </c>
      <c r="K1749" s="6">
        <v>21</v>
      </c>
      <c r="L1749">
        <f>VLOOKUP(A1749,Marketing_df2!$A$1:$F$2241,3,FALSE)</f>
        <v>26</v>
      </c>
      <c r="M1749">
        <f>VLOOKUP(A1749,Marketing_df2!$A$1:$F$2241,4,FALSE)</f>
        <v>17</v>
      </c>
      <c r="N1749">
        <f>VLOOKUP(A1749,Marketing_df2!$A$1:$F$2241,5,FALSE)</f>
        <v>6</v>
      </c>
      <c r="O1749">
        <f>VLOOKUP(A1749,Marketing_df2!$A$1:$F$2241,6,FALSE)</f>
        <v>13</v>
      </c>
    </row>
    <row r="1750" spans="1:15" ht="12.5">
      <c r="A1750" s="6">
        <v>1748</v>
      </c>
      <c r="B1750" s="6">
        <v>5847</v>
      </c>
      <c r="C1750" s="6">
        <v>1969</v>
      </c>
      <c r="D1750" s="7" t="s">
        <v>9</v>
      </c>
      <c r="E1750" s="7" t="s">
        <v>15</v>
      </c>
      <c r="F1750" s="6">
        <v>69901</v>
      </c>
      <c r="G1750" s="6">
        <v>0</v>
      </c>
      <c r="H1750" s="6">
        <v>1</v>
      </c>
      <c r="I1750" s="6">
        <f t="shared" si="27"/>
        <v>1</v>
      </c>
      <c r="J1750" s="8">
        <v>41423</v>
      </c>
      <c r="K1750" s="6">
        <v>95</v>
      </c>
      <c r="L1750">
        <f>VLOOKUP(A1750,Marketing_df2!$A$1:$F$2241,3,FALSE)</f>
        <v>21</v>
      </c>
      <c r="M1750">
        <f>VLOOKUP(A1750,Marketing_df2!$A$1:$F$2241,4,FALSE)</f>
        <v>92</v>
      </c>
      <c r="N1750">
        <f>VLOOKUP(A1750,Marketing_df2!$A$1:$F$2241,5,FALSE)</f>
        <v>7</v>
      </c>
      <c r="O1750">
        <f>VLOOKUP(A1750,Marketing_df2!$A$1:$F$2241,6,FALSE)</f>
        <v>10</v>
      </c>
    </row>
    <row r="1751" spans="1:15" ht="12.5">
      <c r="A1751" s="6">
        <v>1749</v>
      </c>
      <c r="B1751" s="6">
        <v>737</v>
      </c>
      <c r="C1751" s="6">
        <v>1949</v>
      </c>
      <c r="D1751" s="7" t="s">
        <v>12</v>
      </c>
      <c r="E1751" s="7" t="s">
        <v>13</v>
      </c>
      <c r="F1751" s="6">
        <v>80360</v>
      </c>
      <c r="G1751" s="6">
        <v>0</v>
      </c>
      <c r="H1751" s="6">
        <v>0</v>
      </c>
      <c r="I1751" s="6">
        <f t="shared" si="27"/>
        <v>0</v>
      </c>
      <c r="J1751" s="8">
        <v>41336</v>
      </c>
      <c r="K1751" s="6">
        <v>56</v>
      </c>
      <c r="L1751">
        <f>VLOOKUP(A1751,Marketing_df2!$A$1:$F$2241,3,FALSE)</f>
        <v>86</v>
      </c>
      <c r="M1751">
        <f>VLOOKUP(A1751,Marketing_df2!$A$1:$F$2241,4,FALSE)</f>
        <v>43</v>
      </c>
      <c r="N1751">
        <f>VLOOKUP(A1751,Marketing_df2!$A$1:$F$2241,5,FALSE)</f>
        <v>4</v>
      </c>
      <c r="O1751">
        <f>VLOOKUP(A1751,Marketing_df2!$A$1:$F$2241,6,FALSE)</f>
        <v>5</v>
      </c>
    </row>
    <row r="1752" spans="1:15" ht="12.5">
      <c r="A1752" s="6">
        <v>1750</v>
      </c>
      <c r="B1752" s="6">
        <v>3571</v>
      </c>
      <c r="C1752" s="6">
        <v>1961</v>
      </c>
      <c r="D1752" s="7" t="s">
        <v>12</v>
      </c>
      <c r="E1752" s="7" t="s">
        <v>11</v>
      </c>
      <c r="F1752" s="6">
        <v>63342</v>
      </c>
      <c r="G1752" s="6">
        <v>0</v>
      </c>
      <c r="H1752" s="6">
        <v>1</v>
      </c>
      <c r="I1752" s="6">
        <f t="shared" si="27"/>
        <v>1</v>
      </c>
      <c r="J1752" s="9">
        <v>41198</v>
      </c>
      <c r="K1752" s="6">
        <v>48</v>
      </c>
      <c r="L1752">
        <f>VLOOKUP(A1752,Marketing_df2!$A$1:$F$2241,3,FALSE)</f>
        <v>21</v>
      </c>
      <c r="M1752">
        <f>VLOOKUP(A1752,Marketing_df2!$A$1:$F$2241,4,FALSE)</f>
        <v>10</v>
      </c>
      <c r="N1752">
        <f>VLOOKUP(A1752,Marketing_df2!$A$1:$F$2241,5,FALSE)</f>
        <v>8</v>
      </c>
      <c r="O1752">
        <f>VLOOKUP(A1752,Marketing_df2!$A$1:$F$2241,6,FALSE)</f>
        <v>5</v>
      </c>
    </row>
    <row r="1753" spans="1:15" ht="12.5">
      <c r="A1753" s="6">
        <v>1751</v>
      </c>
      <c r="B1753" s="6">
        <v>7807</v>
      </c>
      <c r="C1753" s="6">
        <v>1974</v>
      </c>
      <c r="D1753" s="7" t="s">
        <v>9</v>
      </c>
      <c r="E1753" s="7" t="s">
        <v>13</v>
      </c>
      <c r="F1753" s="6">
        <v>44989</v>
      </c>
      <c r="G1753" s="6">
        <v>0</v>
      </c>
      <c r="H1753" s="6">
        <v>1</v>
      </c>
      <c r="I1753" s="6">
        <f t="shared" si="27"/>
        <v>1</v>
      </c>
      <c r="J1753" s="8">
        <v>41164</v>
      </c>
      <c r="K1753" s="6">
        <v>26</v>
      </c>
      <c r="L1753">
        <f>VLOOKUP(A1753,Marketing_df2!$A$1:$F$2241,3,FALSE)</f>
        <v>0</v>
      </c>
      <c r="M1753">
        <f>VLOOKUP(A1753,Marketing_df2!$A$1:$F$2241,4,FALSE)</f>
        <v>10</v>
      </c>
      <c r="N1753">
        <f>VLOOKUP(A1753,Marketing_df2!$A$1:$F$2241,5,FALSE)</f>
        <v>5</v>
      </c>
      <c r="O1753">
        <f>VLOOKUP(A1753,Marketing_df2!$A$1:$F$2241,6,FALSE)</f>
        <v>5</v>
      </c>
    </row>
    <row r="1754" spans="1:15" ht="12.5">
      <c r="A1754" s="6">
        <v>1752</v>
      </c>
      <c r="B1754" s="6">
        <v>3878</v>
      </c>
      <c r="C1754" s="6">
        <v>1980</v>
      </c>
      <c r="D1754" s="7" t="s">
        <v>17</v>
      </c>
      <c r="E1754" s="7" t="s">
        <v>10</v>
      </c>
      <c r="F1754" s="6">
        <v>31859</v>
      </c>
      <c r="G1754" s="6">
        <v>1</v>
      </c>
      <c r="H1754" s="6">
        <v>0</v>
      </c>
      <c r="I1754" s="6">
        <f t="shared" si="27"/>
        <v>1</v>
      </c>
      <c r="J1754" s="8">
        <v>41697</v>
      </c>
      <c r="K1754" s="6">
        <v>3</v>
      </c>
      <c r="L1754">
        <f>VLOOKUP(A1754,Marketing_df2!$A$1:$F$2241,3,FALSE)</f>
        <v>4</v>
      </c>
      <c r="M1754">
        <f>VLOOKUP(A1754,Marketing_df2!$A$1:$F$2241,4,FALSE)</f>
        <v>8</v>
      </c>
      <c r="N1754">
        <f>VLOOKUP(A1754,Marketing_df2!$A$1:$F$2241,5,FALSE)</f>
        <v>1</v>
      </c>
      <c r="O1754">
        <f>VLOOKUP(A1754,Marketing_df2!$A$1:$F$2241,6,FALSE)</f>
        <v>3</v>
      </c>
    </row>
    <row r="1755" spans="1:15" ht="12.5">
      <c r="A1755" s="6">
        <v>1753</v>
      </c>
      <c r="B1755" s="6">
        <v>5092</v>
      </c>
      <c r="C1755" s="6">
        <v>1949</v>
      </c>
      <c r="D1755" s="7" t="s">
        <v>12</v>
      </c>
      <c r="E1755" s="7" t="s">
        <v>18</v>
      </c>
      <c r="F1755" s="6">
        <v>51569</v>
      </c>
      <c r="G1755" s="6">
        <v>0</v>
      </c>
      <c r="H1755" s="6">
        <v>1</v>
      </c>
      <c r="I1755" s="6">
        <f t="shared" si="27"/>
        <v>1</v>
      </c>
      <c r="J1755" s="8">
        <v>41317</v>
      </c>
      <c r="K1755" s="6">
        <v>39</v>
      </c>
      <c r="L1755">
        <f>VLOOKUP(A1755,Marketing_df2!$A$1:$F$2241,3,FALSE)</f>
        <v>0</v>
      </c>
      <c r="M1755">
        <f>VLOOKUP(A1755,Marketing_df2!$A$1:$F$2241,4,FALSE)</f>
        <v>0</v>
      </c>
      <c r="N1755">
        <f>VLOOKUP(A1755,Marketing_df2!$A$1:$F$2241,5,FALSE)</f>
        <v>7</v>
      </c>
      <c r="O1755">
        <f>VLOOKUP(A1755,Marketing_df2!$A$1:$F$2241,6,FALSE)</f>
        <v>7</v>
      </c>
    </row>
    <row r="1756" spans="1:15" ht="12.5">
      <c r="A1756" s="6">
        <v>1754</v>
      </c>
      <c r="B1756" s="6">
        <v>2154</v>
      </c>
      <c r="C1756" s="6">
        <v>1971</v>
      </c>
      <c r="D1756" s="7" t="s">
        <v>9</v>
      </c>
      <c r="E1756" s="7" t="s">
        <v>18</v>
      </c>
      <c r="F1756" s="6">
        <v>30372</v>
      </c>
      <c r="G1756" s="6">
        <v>1</v>
      </c>
      <c r="H1756" s="6">
        <v>1</v>
      </c>
      <c r="I1756" s="6">
        <f t="shared" si="27"/>
        <v>2</v>
      </c>
      <c r="J1756" s="9">
        <v>41268</v>
      </c>
      <c r="K1756" s="6">
        <v>33</v>
      </c>
      <c r="L1756">
        <f>VLOOKUP(A1756,Marketing_df2!$A$1:$F$2241,3,FALSE)</f>
        <v>0</v>
      </c>
      <c r="M1756">
        <f>VLOOKUP(A1756,Marketing_df2!$A$1:$F$2241,4,FALSE)</f>
        <v>3</v>
      </c>
      <c r="N1756">
        <f>VLOOKUP(A1756,Marketing_df2!$A$1:$F$2241,5,FALSE)</f>
        <v>2</v>
      </c>
      <c r="O1756">
        <f>VLOOKUP(A1756,Marketing_df2!$A$1:$F$2241,6,FALSE)</f>
        <v>3</v>
      </c>
    </row>
    <row r="1757" spans="1:15" ht="12.5">
      <c r="A1757" s="6">
        <v>1755</v>
      </c>
      <c r="B1757" s="6">
        <v>5394</v>
      </c>
      <c r="C1757" s="6">
        <v>1979</v>
      </c>
      <c r="D1757" s="7" t="s">
        <v>16</v>
      </c>
      <c r="E1757" s="7" t="s">
        <v>10</v>
      </c>
      <c r="F1757" s="6">
        <v>16014</v>
      </c>
      <c r="G1757" s="6">
        <v>1</v>
      </c>
      <c r="H1757" s="6">
        <v>1</v>
      </c>
      <c r="I1757" s="6">
        <f t="shared" si="27"/>
        <v>2</v>
      </c>
      <c r="J1757" s="8">
        <v>41350</v>
      </c>
      <c r="K1757" s="6">
        <v>42</v>
      </c>
      <c r="L1757">
        <f>VLOOKUP(A1757,Marketing_df2!$A$1:$F$2241,3,FALSE)</f>
        <v>9</v>
      </c>
      <c r="M1757">
        <f>VLOOKUP(A1757,Marketing_df2!$A$1:$F$2241,4,FALSE)</f>
        <v>8</v>
      </c>
      <c r="N1757">
        <f>VLOOKUP(A1757,Marketing_df2!$A$1:$F$2241,5,FALSE)</f>
        <v>1</v>
      </c>
      <c r="O1757">
        <f>VLOOKUP(A1757,Marketing_df2!$A$1:$F$2241,6,FALSE)</f>
        <v>4</v>
      </c>
    </row>
    <row r="1758" spans="1:15" ht="12.5">
      <c r="A1758" s="6">
        <v>1756</v>
      </c>
      <c r="B1758" s="6">
        <v>3798</v>
      </c>
      <c r="C1758" s="6">
        <v>1968</v>
      </c>
      <c r="D1758" s="7" t="s">
        <v>9</v>
      </c>
      <c r="E1758" s="7" t="s">
        <v>13</v>
      </c>
      <c r="F1758" s="6">
        <v>41120</v>
      </c>
      <c r="G1758" s="6">
        <v>1</v>
      </c>
      <c r="H1758" s="6">
        <v>1</v>
      </c>
      <c r="I1758" s="6">
        <f t="shared" si="27"/>
        <v>2</v>
      </c>
      <c r="J1758" s="8">
        <v>41584</v>
      </c>
      <c r="K1758" s="6">
        <v>80</v>
      </c>
      <c r="L1758">
        <f>VLOOKUP(A1758,Marketing_df2!$A$1:$F$2241,3,FALSE)</f>
        <v>2</v>
      </c>
      <c r="M1758">
        <f>VLOOKUP(A1758,Marketing_df2!$A$1:$F$2241,4,FALSE)</f>
        <v>8</v>
      </c>
      <c r="N1758">
        <f>VLOOKUP(A1758,Marketing_df2!$A$1:$F$2241,5,FALSE)</f>
        <v>2</v>
      </c>
      <c r="O1758">
        <f>VLOOKUP(A1758,Marketing_df2!$A$1:$F$2241,6,FALSE)</f>
        <v>3</v>
      </c>
    </row>
    <row r="1759" spans="1:15" ht="12.5">
      <c r="A1759" s="6">
        <v>1757</v>
      </c>
      <c r="B1759" s="6">
        <v>3524</v>
      </c>
      <c r="C1759" s="6">
        <v>1971</v>
      </c>
      <c r="D1759" s="7" t="s">
        <v>14</v>
      </c>
      <c r="E1759" s="7" t="s">
        <v>10</v>
      </c>
      <c r="F1759" s="6">
        <v>39763</v>
      </c>
      <c r="G1759" s="6">
        <v>1</v>
      </c>
      <c r="H1759" s="6">
        <v>0</v>
      </c>
      <c r="I1759" s="6">
        <f t="shared" si="27"/>
        <v>1</v>
      </c>
      <c r="J1759" s="8">
        <v>41490</v>
      </c>
      <c r="K1759" s="6">
        <v>9</v>
      </c>
      <c r="L1759">
        <f>VLOOKUP(A1759,Marketing_df2!$A$1:$F$2241,3,FALSE)</f>
        <v>1</v>
      </c>
      <c r="M1759">
        <f>VLOOKUP(A1759,Marketing_df2!$A$1:$F$2241,4,FALSE)</f>
        <v>6</v>
      </c>
      <c r="N1759">
        <f>VLOOKUP(A1759,Marketing_df2!$A$1:$F$2241,5,FALSE)</f>
        <v>5</v>
      </c>
      <c r="O1759">
        <f>VLOOKUP(A1759,Marketing_df2!$A$1:$F$2241,6,FALSE)</f>
        <v>2</v>
      </c>
    </row>
    <row r="1760" spans="1:15" ht="12.5">
      <c r="A1760" s="6">
        <v>1758</v>
      </c>
      <c r="B1760" s="6">
        <v>5247</v>
      </c>
      <c r="C1760" s="6">
        <v>1955</v>
      </c>
      <c r="D1760" s="7" t="s">
        <v>12</v>
      </c>
      <c r="E1760" s="7" t="s">
        <v>13</v>
      </c>
      <c r="F1760" s="6">
        <v>38725</v>
      </c>
      <c r="G1760" s="6">
        <v>1</v>
      </c>
      <c r="H1760" s="6">
        <v>1</v>
      </c>
      <c r="I1760" s="6">
        <f t="shared" si="27"/>
        <v>2</v>
      </c>
      <c r="J1760" s="8">
        <v>41769</v>
      </c>
      <c r="K1760" s="6">
        <v>52</v>
      </c>
      <c r="L1760">
        <f>VLOOKUP(A1760,Marketing_df2!$A$1:$F$2241,3,FALSE)</f>
        <v>0</v>
      </c>
      <c r="M1760">
        <f>VLOOKUP(A1760,Marketing_df2!$A$1:$F$2241,4,FALSE)</f>
        <v>1</v>
      </c>
      <c r="N1760">
        <f>VLOOKUP(A1760,Marketing_df2!$A$1:$F$2241,5,FALSE)</f>
        <v>1</v>
      </c>
      <c r="O1760">
        <f>VLOOKUP(A1760,Marketing_df2!$A$1:$F$2241,6,FALSE)</f>
        <v>4</v>
      </c>
    </row>
    <row r="1761" spans="1:15" ht="12.5">
      <c r="A1761" s="6">
        <v>1759</v>
      </c>
      <c r="B1761" s="6">
        <v>5883</v>
      </c>
      <c r="C1761" s="6">
        <v>1972</v>
      </c>
      <c r="D1761" s="7" t="s">
        <v>9</v>
      </c>
      <c r="E1761" s="7" t="s">
        <v>13</v>
      </c>
      <c r="F1761" s="6">
        <v>77981</v>
      </c>
      <c r="G1761" s="6">
        <v>1</v>
      </c>
      <c r="H1761" s="6">
        <v>0</v>
      </c>
      <c r="I1761" s="6">
        <f t="shared" si="27"/>
        <v>1</v>
      </c>
      <c r="J1761" s="8">
        <v>41420</v>
      </c>
      <c r="K1761" s="6">
        <v>78</v>
      </c>
      <c r="L1761">
        <f>VLOOKUP(A1761,Marketing_df2!$A$1:$F$2241,3,FALSE)</f>
        <v>120</v>
      </c>
      <c r="M1761">
        <f>VLOOKUP(A1761,Marketing_df2!$A$1:$F$2241,4,FALSE)</f>
        <v>126</v>
      </c>
      <c r="N1761">
        <f>VLOOKUP(A1761,Marketing_df2!$A$1:$F$2241,5,FALSE)</f>
        <v>7</v>
      </c>
      <c r="O1761">
        <f>VLOOKUP(A1761,Marketing_df2!$A$1:$F$2241,6,FALSE)</f>
        <v>7</v>
      </c>
    </row>
    <row r="1762" spans="1:15" ht="12.5">
      <c r="A1762" s="6">
        <v>1760</v>
      </c>
      <c r="B1762" s="6">
        <v>2118</v>
      </c>
      <c r="C1762" s="6">
        <v>1964</v>
      </c>
      <c r="D1762" s="7" t="s">
        <v>17</v>
      </c>
      <c r="E1762" s="7" t="s">
        <v>13</v>
      </c>
      <c r="F1762" s="6">
        <v>62905</v>
      </c>
      <c r="G1762" s="6">
        <v>0</v>
      </c>
      <c r="H1762" s="6">
        <v>1</v>
      </c>
      <c r="I1762" s="6">
        <f t="shared" si="27"/>
        <v>1</v>
      </c>
      <c r="J1762" s="8">
        <v>41527</v>
      </c>
      <c r="K1762" s="6">
        <v>68</v>
      </c>
      <c r="L1762">
        <f>VLOOKUP(A1762,Marketing_df2!$A$1:$F$2241,3,FALSE)</f>
        <v>75</v>
      </c>
      <c r="M1762">
        <f>VLOOKUP(A1762,Marketing_df2!$A$1:$F$2241,4,FALSE)</f>
        <v>107</v>
      </c>
      <c r="N1762">
        <f>VLOOKUP(A1762,Marketing_df2!$A$1:$F$2241,5,FALSE)</f>
        <v>7</v>
      </c>
      <c r="O1762">
        <f>VLOOKUP(A1762,Marketing_df2!$A$1:$F$2241,6,FALSE)</f>
        <v>8</v>
      </c>
    </row>
    <row r="1763" spans="1:15" ht="12.5">
      <c r="A1763" s="6">
        <v>1761</v>
      </c>
      <c r="B1763" s="6">
        <v>8812</v>
      </c>
      <c r="C1763" s="6">
        <v>1979</v>
      </c>
      <c r="D1763" s="7" t="s">
        <v>17</v>
      </c>
      <c r="E1763" s="7" t="s">
        <v>15</v>
      </c>
      <c r="F1763" s="6">
        <v>13533</v>
      </c>
      <c r="G1763" s="6">
        <v>1</v>
      </c>
      <c r="H1763" s="6">
        <v>0</v>
      </c>
      <c r="I1763" s="6">
        <f t="shared" si="27"/>
        <v>1</v>
      </c>
      <c r="J1763" s="8">
        <v>41343</v>
      </c>
      <c r="K1763" s="6">
        <v>45</v>
      </c>
      <c r="L1763">
        <f>VLOOKUP(A1763,Marketing_df2!$A$1:$F$2241,3,FALSE)</f>
        <v>3</v>
      </c>
      <c r="M1763">
        <f>VLOOKUP(A1763,Marketing_df2!$A$1:$F$2241,4,FALSE)</f>
        <v>0</v>
      </c>
      <c r="N1763">
        <f>VLOOKUP(A1763,Marketing_df2!$A$1:$F$2241,5,FALSE)</f>
        <v>2</v>
      </c>
      <c r="O1763">
        <f>VLOOKUP(A1763,Marketing_df2!$A$1:$F$2241,6,FALSE)</f>
        <v>3</v>
      </c>
    </row>
    <row r="1764" spans="1:15" ht="12.5">
      <c r="A1764" s="6">
        <v>1762</v>
      </c>
      <c r="B1764" s="6">
        <v>6616</v>
      </c>
      <c r="C1764" s="6">
        <v>1975</v>
      </c>
      <c r="D1764" s="7" t="s">
        <v>9</v>
      </c>
      <c r="E1764" s="7" t="s">
        <v>11</v>
      </c>
      <c r="F1764" s="6">
        <v>59481</v>
      </c>
      <c r="G1764" s="6">
        <v>0</v>
      </c>
      <c r="H1764" s="6">
        <v>1</v>
      </c>
      <c r="I1764" s="6">
        <f t="shared" si="27"/>
        <v>1</v>
      </c>
      <c r="J1764" s="9">
        <v>41570</v>
      </c>
      <c r="K1764" s="6">
        <v>47</v>
      </c>
      <c r="L1764">
        <f>VLOOKUP(A1764,Marketing_df2!$A$1:$F$2241,3,FALSE)</f>
        <v>3</v>
      </c>
      <c r="M1764">
        <f>VLOOKUP(A1764,Marketing_df2!$A$1:$F$2241,4,FALSE)</f>
        <v>66</v>
      </c>
      <c r="N1764">
        <f>VLOOKUP(A1764,Marketing_df2!$A$1:$F$2241,5,FALSE)</f>
        <v>3</v>
      </c>
      <c r="O1764">
        <f>VLOOKUP(A1764,Marketing_df2!$A$1:$F$2241,6,FALSE)</f>
        <v>8</v>
      </c>
    </row>
    <row r="1765" spans="1:15" ht="12.5">
      <c r="A1765" s="6">
        <v>1763</v>
      </c>
      <c r="B1765" s="6">
        <v>2797</v>
      </c>
      <c r="C1765" s="6">
        <v>1977</v>
      </c>
      <c r="D1765" s="7" t="s">
        <v>9</v>
      </c>
      <c r="E1765" s="7" t="s">
        <v>13</v>
      </c>
      <c r="F1765" s="6">
        <v>72117</v>
      </c>
      <c r="G1765" s="6">
        <v>0</v>
      </c>
      <c r="H1765" s="6">
        <v>1</v>
      </c>
      <c r="I1765" s="6">
        <f t="shared" si="27"/>
        <v>1</v>
      </c>
      <c r="J1765" s="8">
        <v>41506</v>
      </c>
      <c r="K1765" s="6">
        <v>34</v>
      </c>
      <c r="L1765">
        <f>VLOOKUP(A1765,Marketing_df2!$A$1:$F$2241,3,FALSE)</f>
        <v>20</v>
      </c>
      <c r="M1765">
        <f>VLOOKUP(A1765,Marketing_df2!$A$1:$F$2241,4,FALSE)</f>
        <v>60</v>
      </c>
      <c r="N1765">
        <f>VLOOKUP(A1765,Marketing_df2!$A$1:$F$2241,5,FALSE)</f>
        <v>9</v>
      </c>
      <c r="O1765">
        <f>VLOOKUP(A1765,Marketing_df2!$A$1:$F$2241,6,FALSE)</f>
        <v>9</v>
      </c>
    </row>
    <row r="1766" spans="1:15" ht="12.5">
      <c r="A1766" s="6">
        <v>1764</v>
      </c>
      <c r="B1766" s="6">
        <v>4328</v>
      </c>
      <c r="C1766" s="6">
        <v>1986</v>
      </c>
      <c r="D1766" s="7" t="s">
        <v>17</v>
      </c>
      <c r="E1766" s="7" t="s">
        <v>13</v>
      </c>
      <c r="F1766" s="6">
        <v>21955</v>
      </c>
      <c r="G1766" s="6">
        <v>1</v>
      </c>
      <c r="H1766" s="6">
        <v>0</v>
      </c>
      <c r="I1766" s="6">
        <f t="shared" si="27"/>
        <v>1</v>
      </c>
      <c r="J1766" s="8">
        <v>41524</v>
      </c>
      <c r="K1766" s="6">
        <v>81</v>
      </c>
      <c r="L1766">
        <f>VLOOKUP(A1766,Marketing_df2!$A$1:$F$2241,3,FALSE)</f>
        <v>1</v>
      </c>
      <c r="M1766">
        <f>VLOOKUP(A1766,Marketing_df2!$A$1:$F$2241,4,FALSE)</f>
        <v>14</v>
      </c>
      <c r="N1766">
        <f>VLOOKUP(A1766,Marketing_df2!$A$1:$F$2241,5,FALSE)</f>
        <v>2</v>
      </c>
      <c r="O1766">
        <f>VLOOKUP(A1766,Marketing_df2!$A$1:$F$2241,6,FALSE)</f>
        <v>3</v>
      </c>
    </row>
    <row r="1767" spans="1:15" ht="12.5">
      <c r="A1767" s="6">
        <v>1765</v>
      </c>
      <c r="B1767" s="6">
        <v>9167</v>
      </c>
      <c r="C1767" s="6">
        <v>1956</v>
      </c>
      <c r="D1767" s="7" t="s">
        <v>9</v>
      </c>
      <c r="E1767" s="7" t="s">
        <v>13</v>
      </c>
      <c r="F1767" s="6">
        <v>67131</v>
      </c>
      <c r="G1767" s="6">
        <v>0</v>
      </c>
      <c r="H1767" s="6">
        <v>1</v>
      </c>
      <c r="I1767" s="6">
        <f t="shared" si="27"/>
        <v>1</v>
      </c>
      <c r="J1767" s="8">
        <v>41359</v>
      </c>
      <c r="K1767" s="6">
        <v>72</v>
      </c>
      <c r="L1767">
        <f>VLOOKUP(A1767,Marketing_df2!$A$1:$F$2241,3,FALSE)</f>
        <v>71</v>
      </c>
      <c r="M1767">
        <f>VLOOKUP(A1767,Marketing_df2!$A$1:$F$2241,4,FALSE)</f>
        <v>35</v>
      </c>
      <c r="N1767">
        <f>VLOOKUP(A1767,Marketing_df2!$A$1:$F$2241,5,FALSE)</f>
        <v>9</v>
      </c>
      <c r="O1767">
        <f>VLOOKUP(A1767,Marketing_df2!$A$1:$F$2241,6,FALSE)</f>
        <v>12</v>
      </c>
    </row>
    <row r="1768" spans="1:15" ht="12.5">
      <c r="A1768" s="6">
        <v>1766</v>
      </c>
      <c r="B1768" s="6">
        <v>10560</v>
      </c>
      <c r="C1768" s="6">
        <v>1980</v>
      </c>
      <c r="D1768" s="7" t="s">
        <v>12</v>
      </c>
      <c r="E1768" s="7" t="s">
        <v>10</v>
      </c>
      <c r="F1768" s="6">
        <v>36802</v>
      </c>
      <c r="G1768" s="6">
        <v>1</v>
      </c>
      <c r="H1768" s="6">
        <v>0</v>
      </c>
      <c r="I1768" s="6">
        <f t="shared" si="27"/>
        <v>1</v>
      </c>
      <c r="J1768" s="8">
        <v>41806</v>
      </c>
      <c r="K1768" s="6">
        <v>23</v>
      </c>
      <c r="L1768">
        <f>VLOOKUP(A1768,Marketing_df2!$A$1:$F$2241,3,FALSE)</f>
        <v>1</v>
      </c>
      <c r="M1768">
        <f>VLOOKUP(A1768,Marketing_df2!$A$1:$F$2241,4,FALSE)</f>
        <v>0</v>
      </c>
      <c r="N1768">
        <f>VLOOKUP(A1768,Marketing_df2!$A$1:$F$2241,5,FALSE)</f>
        <v>1</v>
      </c>
      <c r="O1768">
        <f>VLOOKUP(A1768,Marketing_df2!$A$1:$F$2241,6,FALSE)</f>
        <v>3</v>
      </c>
    </row>
    <row r="1769" spans="1:15" ht="12.5">
      <c r="A1769" s="6">
        <v>1767</v>
      </c>
      <c r="B1769" s="6">
        <v>2631</v>
      </c>
      <c r="C1769" s="6">
        <v>1982</v>
      </c>
      <c r="D1769" s="7" t="s">
        <v>9</v>
      </c>
      <c r="E1769" s="7" t="s">
        <v>11</v>
      </c>
      <c r="F1769" s="6">
        <v>71853</v>
      </c>
      <c r="G1769" s="6">
        <v>0</v>
      </c>
      <c r="H1769" s="6">
        <v>0</v>
      </c>
      <c r="I1769" s="6">
        <f t="shared" si="27"/>
        <v>0</v>
      </c>
      <c r="J1769" s="8">
        <v>41402</v>
      </c>
      <c r="K1769" s="6">
        <v>29</v>
      </c>
      <c r="L1769">
        <f>VLOOKUP(A1769,Marketing_df2!$A$1:$F$2241,3,FALSE)</f>
        <v>108</v>
      </c>
      <c r="M1769">
        <f>VLOOKUP(A1769,Marketing_df2!$A$1:$F$2241,4,FALSE)</f>
        <v>97</v>
      </c>
      <c r="N1769">
        <f>VLOOKUP(A1769,Marketing_df2!$A$1:$F$2241,5,FALSE)</f>
        <v>2</v>
      </c>
      <c r="O1769">
        <f>VLOOKUP(A1769,Marketing_df2!$A$1:$F$2241,6,FALSE)</f>
        <v>6</v>
      </c>
    </row>
    <row r="1770" spans="1:15" ht="12.5">
      <c r="A1770" s="6">
        <v>1768</v>
      </c>
      <c r="B1770" s="6">
        <v>8312</v>
      </c>
      <c r="C1770" s="6">
        <v>1961</v>
      </c>
      <c r="D1770" s="7" t="s">
        <v>16</v>
      </c>
      <c r="E1770" s="7" t="s">
        <v>13</v>
      </c>
      <c r="F1770" s="6">
        <v>28249</v>
      </c>
      <c r="G1770" s="6">
        <v>0</v>
      </c>
      <c r="H1770" s="6">
        <v>0</v>
      </c>
      <c r="I1770" s="6">
        <f t="shared" si="27"/>
        <v>0</v>
      </c>
      <c r="J1770" s="8">
        <v>41805</v>
      </c>
      <c r="K1770" s="6">
        <v>80</v>
      </c>
      <c r="L1770">
        <f>VLOOKUP(A1770,Marketing_df2!$A$1:$F$2241,3,FALSE)</f>
        <v>9</v>
      </c>
      <c r="M1770">
        <f>VLOOKUP(A1770,Marketing_df2!$A$1:$F$2241,4,FALSE)</f>
        <v>14</v>
      </c>
      <c r="N1770">
        <f>VLOOKUP(A1770,Marketing_df2!$A$1:$F$2241,5,FALSE)</f>
        <v>2</v>
      </c>
      <c r="O1770">
        <f>VLOOKUP(A1770,Marketing_df2!$A$1:$F$2241,6,FALSE)</f>
        <v>3</v>
      </c>
    </row>
    <row r="1771" spans="1:15" ht="12.5">
      <c r="A1771" s="6">
        <v>1769</v>
      </c>
      <c r="B1771" s="6">
        <v>5534</v>
      </c>
      <c r="C1771" s="6">
        <v>1975</v>
      </c>
      <c r="D1771" s="7" t="s">
        <v>14</v>
      </c>
      <c r="E1771" s="7" t="s">
        <v>13</v>
      </c>
      <c r="F1771" s="6">
        <v>47808</v>
      </c>
      <c r="G1771" s="6">
        <v>0</v>
      </c>
      <c r="H1771" s="6">
        <v>1</v>
      </c>
      <c r="I1771" s="6">
        <f t="shared" si="27"/>
        <v>1</v>
      </c>
      <c r="J1771" s="9">
        <v>41567</v>
      </c>
      <c r="K1771" s="6">
        <v>30</v>
      </c>
      <c r="L1771">
        <f>VLOOKUP(A1771,Marketing_df2!$A$1:$F$2241,3,FALSE)</f>
        <v>1</v>
      </c>
      <c r="M1771">
        <f>VLOOKUP(A1771,Marketing_df2!$A$1:$F$2241,4,FALSE)</f>
        <v>0</v>
      </c>
      <c r="N1771">
        <f>VLOOKUP(A1771,Marketing_df2!$A$1:$F$2241,5,FALSE)</f>
        <v>3</v>
      </c>
      <c r="O1771">
        <f>VLOOKUP(A1771,Marketing_df2!$A$1:$F$2241,6,FALSE)</f>
        <v>3</v>
      </c>
    </row>
    <row r="1772" spans="1:15" ht="12.5">
      <c r="A1772" s="6">
        <v>1770</v>
      </c>
      <c r="B1772" s="6">
        <v>5093</v>
      </c>
      <c r="C1772" s="6">
        <v>1974</v>
      </c>
      <c r="D1772" s="7" t="s">
        <v>12</v>
      </c>
      <c r="E1772" s="7" t="s">
        <v>15</v>
      </c>
      <c r="F1772" s="6">
        <v>25509</v>
      </c>
      <c r="G1772" s="6">
        <v>1</v>
      </c>
      <c r="H1772" s="6">
        <v>0</v>
      </c>
      <c r="I1772" s="6">
        <f t="shared" si="27"/>
        <v>1</v>
      </c>
      <c r="J1772" s="8">
        <v>41170</v>
      </c>
      <c r="K1772" s="6">
        <v>15</v>
      </c>
      <c r="L1772">
        <f>VLOOKUP(A1772,Marketing_df2!$A$1:$F$2241,3,FALSE)</f>
        <v>3</v>
      </c>
      <c r="M1772">
        <f>VLOOKUP(A1772,Marketing_df2!$A$1:$F$2241,4,FALSE)</f>
        <v>7</v>
      </c>
      <c r="N1772">
        <f>VLOOKUP(A1772,Marketing_df2!$A$1:$F$2241,5,FALSE)</f>
        <v>3</v>
      </c>
      <c r="O1772">
        <f>VLOOKUP(A1772,Marketing_df2!$A$1:$F$2241,6,FALSE)</f>
        <v>3</v>
      </c>
    </row>
    <row r="1773" spans="1:15" ht="12.5">
      <c r="A1773" s="6">
        <v>1771</v>
      </c>
      <c r="B1773" s="6">
        <v>7592</v>
      </c>
      <c r="C1773" s="6">
        <v>1946</v>
      </c>
      <c r="D1773" s="7" t="s">
        <v>12</v>
      </c>
      <c r="E1773" s="7" t="s">
        <v>13</v>
      </c>
      <c r="F1773" s="6">
        <v>51012</v>
      </c>
      <c r="G1773" s="6">
        <v>0</v>
      </c>
      <c r="H1773" s="6">
        <v>0</v>
      </c>
      <c r="I1773" s="6">
        <f t="shared" si="27"/>
        <v>0</v>
      </c>
      <c r="J1773" s="8">
        <v>41382</v>
      </c>
      <c r="K1773" s="6">
        <v>86</v>
      </c>
      <c r="L1773">
        <f>VLOOKUP(A1773,Marketing_df2!$A$1:$F$2241,3,FALSE)</f>
        <v>9</v>
      </c>
      <c r="M1773">
        <f>VLOOKUP(A1773,Marketing_df2!$A$1:$F$2241,4,FALSE)</f>
        <v>9</v>
      </c>
      <c r="N1773">
        <f>VLOOKUP(A1773,Marketing_df2!$A$1:$F$2241,5,FALSE)</f>
        <v>4</v>
      </c>
      <c r="O1773">
        <f>VLOOKUP(A1773,Marketing_df2!$A$1:$F$2241,6,FALSE)</f>
        <v>4</v>
      </c>
    </row>
    <row r="1774" spans="1:15" ht="12.5">
      <c r="A1774" s="6">
        <v>1772</v>
      </c>
      <c r="B1774" s="6">
        <v>8895</v>
      </c>
      <c r="C1774" s="6">
        <v>1985</v>
      </c>
      <c r="D1774" s="7" t="s">
        <v>9</v>
      </c>
      <c r="E1774" s="7" t="s">
        <v>10</v>
      </c>
      <c r="F1774" s="6">
        <v>70596</v>
      </c>
      <c r="G1774" s="6">
        <v>0</v>
      </c>
      <c r="H1774" s="6">
        <v>0</v>
      </c>
      <c r="I1774" s="6">
        <f t="shared" si="27"/>
        <v>0</v>
      </c>
      <c r="J1774" s="8">
        <v>41187</v>
      </c>
      <c r="K1774" s="6">
        <v>68</v>
      </c>
      <c r="L1774">
        <f>VLOOKUP(A1774,Marketing_df2!$A$1:$F$2241,3,FALSE)</f>
        <v>44</v>
      </c>
      <c r="M1774">
        <f>VLOOKUP(A1774,Marketing_df2!$A$1:$F$2241,4,FALSE)</f>
        <v>0</v>
      </c>
      <c r="N1774">
        <f>VLOOKUP(A1774,Marketing_df2!$A$1:$F$2241,5,FALSE)</f>
        <v>3</v>
      </c>
      <c r="O1774">
        <f>VLOOKUP(A1774,Marketing_df2!$A$1:$F$2241,6,FALSE)</f>
        <v>12</v>
      </c>
    </row>
    <row r="1775" spans="1:15" ht="12.5">
      <c r="A1775" s="6">
        <v>1773</v>
      </c>
      <c r="B1775" s="6">
        <v>8584</v>
      </c>
      <c r="C1775" s="6">
        <v>1952</v>
      </c>
      <c r="D1775" s="7" t="s">
        <v>12</v>
      </c>
      <c r="E1775" s="7" t="s">
        <v>11</v>
      </c>
      <c r="F1775" s="6">
        <v>85431</v>
      </c>
      <c r="G1775" s="6">
        <v>0</v>
      </c>
      <c r="H1775" s="6">
        <v>0</v>
      </c>
      <c r="I1775" s="6">
        <f t="shared" si="27"/>
        <v>0</v>
      </c>
      <c r="J1775" s="8">
        <v>41433</v>
      </c>
      <c r="K1775" s="6">
        <v>54</v>
      </c>
      <c r="L1775">
        <f>VLOOKUP(A1775,Marketing_df2!$A$1:$F$2241,3,FALSE)</f>
        <v>53</v>
      </c>
      <c r="M1775">
        <f>VLOOKUP(A1775,Marketing_df2!$A$1:$F$2241,4,FALSE)</f>
        <v>53</v>
      </c>
      <c r="N1775">
        <f>VLOOKUP(A1775,Marketing_df2!$A$1:$F$2241,5,FALSE)</f>
        <v>2</v>
      </c>
      <c r="O1775">
        <f>VLOOKUP(A1775,Marketing_df2!$A$1:$F$2241,6,FALSE)</f>
        <v>7</v>
      </c>
    </row>
    <row r="1776" spans="1:15" ht="12.5">
      <c r="A1776" s="6">
        <v>1774</v>
      </c>
      <c r="B1776" s="6">
        <v>2694</v>
      </c>
      <c r="C1776" s="6">
        <v>1967</v>
      </c>
      <c r="D1776" s="7" t="s">
        <v>9</v>
      </c>
      <c r="E1776" s="7" t="s">
        <v>13</v>
      </c>
      <c r="F1776" s="6">
        <v>42664</v>
      </c>
      <c r="G1776" s="6">
        <v>0</v>
      </c>
      <c r="H1776" s="6">
        <v>1</v>
      </c>
      <c r="I1776" s="6">
        <f t="shared" si="27"/>
        <v>1</v>
      </c>
      <c r="J1776" s="8">
        <v>41716</v>
      </c>
      <c r="K1776" s="6">
        <v>44</v>
      </c>
      <c r="L1776">
        <f>VLOOKUP(A1776,Marketing_df2!$A$1:$F$2241,3,FALSE)</f>
        <v>0</v>
      </c>
      <c r="M1776">
        <f>VLOOKUP(A1776,Marketing_df2!$A$1:$F$2241,4,FALSE)</f>
        <v>0</v>
      </c>
      <c r="N1776">
        <f>VLOOKUP(A1776,Marketing_df2!$A$1:$F$2241,5,FALSE)</f>
        <v>1</v>
      </c>
      <c r="O1776">
        <f>VLOOKUP(A1776,Marketing_df2!$A$1:$F$2241,6,FALSE)</f>
        <v>3</v>
      </c>
    </row>
    <row r="1777" spans="1:15" ht="12.5">
      <c r="A1777" s="6">
        <v>1775</v>
      </c>
      <c r="B1777" s="6">
        <v>8910</v>
      </c>
      <c r="C1777" s="6">
        <v>1955</v>
      </c>
      <c r="D1777" s="7" t="s">
        <v>9</v>
      </c>
      <c r="E1777" s="7" t="s">
        <v>11</v>
      </c>
      <c r="F1777" s="6">
        <v>42586</v>
      </c>
      <c r="G1777" s="6">
        <v>1</v>
      </c>
      <c r="H1777" s="6">
        <v>1</v>
      </c>
      <c r="I1777" s="6">
        <f t="shared" si="27"/>
        <v>2</v>
      </c>
      <c r="J1777" s="9">
        <v>41211</v>
      </c>
      <c r="K1777" s="6">
        <v>7</v>
      </c>
      <c r="L1777">
        <f>VLOOKUP(A1777,Marketing_df2!$A$1:$F$2241,3,FALSE)</f>
        <v>2</v>
      </c>
      <c r="M1777">
        <f>VLOOKUP(A1777,Marketing_df2!$A$1:$F$2241,4,FALSE)</f>
        <v>0</v>
      </c>
      <c r="N1777">
        <f>VLOOKUP(A1777,Marketing_df2!$A$1:$F$2241,5,FALSE)</f>
        <v>4</v>
      </c>
      <c r="O1777">
        <f>VLOOKUP(A1777,Marketing_df2!$A$1:$F$2241,6,FALSE)</f>
        <v>6</v>
      </c>
    </row>
    <row r="1778" spans="1:15" ht="12.5">
      <c r="A1778" s="6">
        <v>1776</v>
      </c>
      <c r="B1778" s="6">
        <v>7433</v>
      </c>
      <c r="C1778" s="6">
        <v>1985</v>
      </c>
      <c r="D1778" s="7" t="s">
        <v>9</v>
      </c>
      <c r="E1778" s="7" t="s">
        <v>10</v>
      </c>
      <c r="F1778" s="6">
        <v>29760</v>
      </c>
      <c r="G1778" s="6">
        <v>1</v>
      </c>
      <c r="H1778" s="6">
        <v>0</v>
      </c>
      <c r="I1778" s="6">
        <f t="shared" si="27"/>
        <v>1</v>
      </c>
      <c r="J1778" s="8">
        <v>41150</v>
      </c>
      <c r="K1778" s="6">
        <v>87</v>
      </c>
      <c r="L1778">
        <f>VLOOKUP(A1778,Marketing_df2!$A$1:$F$2241,3,FALSE)</f>
        <v>4</v>
      </c>
      <c r="M1778">
        <f>VLOOKUP(A1778,Marketing_df2!$A$1:$F$2241,4,FALSE)</f>
        <v>5</v>
      </c>
      <c r="N1778">
        <f>VLOOKUP(A1778,Marketing_df2!$A$1:$F$2241,5,FALSE)</f>
        <v>3</v>
      </c>
      <c r="O1778">
        <f>VLOOKUP(A1778,Marketing_df2!$A$1:$F$2241,6,FALSE)</f>
        <v>4</v>
      </c>
    </row>
    <row r="1779" spans="1:15" ht="12.5">
      <c r="A1779" s="6">
        <v>1777</v>
      </c>
      <c r="B1779" s="6">
        <v>164</v>
      </c>
      <c r="C1779" s="6">
        <v>1977</v>
      </c>
      <c r="D1779" s="7" t="s">
        <v>12</v>
      </c>
      <c r="E1779" s="7" t="s">
        <v>13</v>
      </c>
      <c r="F1779" s="6">
        <v>28973</v>
      </c>
      <c r="G1779" s="6">
        <v>0</v>
      </c>
      <c r="H1779" s="6">
        <v>0</v>
      </c>
      <c r="I1779" s="6">
        <f t="shared" si="27"/>
        <v>0</v>
      </c>
      <c r="J1779" s="9">
        <v>41195</v>
      </c>
      <c r="K1779" s="6">
        <v>59</v>
      </c>
      <c r="L1779">
        <f>VLOOKUP(A1779,Marketing_df2!$A$1:$F$2241,3,FALSE)</f>
        <v>0</v>
      </c>
      <c r="M1779">
        <f>VLOOKUP(A1779,Marketing_df2!$A$1:$F$2241,4,FALSE)</f>
        <v>2</v>
      </c>
      <c r="N1779">
        <f>VLOOKUP(A1779,Marketing_df2!$A$1:$F$2241,5,FALSE)</f>
        <v>5</v>
      </c>
      <c r="O1779">
        <f>VLOOKUP(A1779,Marketing_df2!$A$1:$F$2241,6,FALSE)</f>
        <v>5</v>
      </c>
    </row>
    <row r="1780" spans="1:15" ht="12.5">
      <c r="A1780" s="6">
        <v>1778</v>
      </c>
      <c r="B1780" s="6">
        <v>10477</v>
      </c>
      <c r="C1780" s="6">
        <v>1973</v>
      </c>
      <c r="D1780" s="7" t="s">
        <v>12</v>
      </c>
      <c r="E1780" s="7" t="s">
        <v>11</v>
      </c>
      <c r="F1780" s="6">
        <v>39435</v>
      </c>
      <c r="G1780" s="6">
        <v>1</v>
      </c>
      <c r="H1780" s="6">
        <v>0</v>
      </c>
      <c r="I1780" s="6">
        <f t="shared" si="27"/>
        <v>1</v>
      </c>
      <c r="J1780" s="8">
        <v>41492</v>
      </c>
      <c r="K1780" s="6">
        <v>16</v>
      </c>
      <c r="L1780">
        <f>VLOOKUP(A1780,Marketing_df2!$A$1:$F$2241,3,FALSE)</f>
        <v>0</v>
      </c>
      <c r="M1780">
        <f>VLOOKUP(A1780,Marketing_df2!$A$1:$F$2241,4,FALSE)</f>
        <v>0</v>
      </c>
      <c r="N1780">
        <f>VLOOKUP(A1780,Marketing_df2!$A$1:$F$2241,5,FALSE)</f>
        <v>3</v>
      </c>
      <c r="O1780">
        <f>VLOOKUP(A1780,Marketing_df2!$A$1:$F$2241,6,FALSE)</f>
        <v>2</v>
      </c>
    </row>
    <row r="1781" spans="1:15" ht="12.5">
      <c r="A1781" s="6">
        <v>1779</v>
      </c>
      <c r="B1781" s="6">
        <v>2681</v>
      </c>
      <c r="C1781" s="6">
        <v>1984</v>
      </c>
      <c r="D1781" s="7" t="s">
        <v>17</v>
      </c>
      <c r="E1781" s="7" t="s">
        <v>13</v>
      </c>
      <c r="F1781" s="6">
        <v>65370</v>
      </c>
      <c r="G1781" s="6">
        <v>0</v>
      </c>
      <c r="H1781" s="6">
        <v>0</v>
      </c>
      <c r="I1781" s="6">
        <f t="shared" si="27"/>
        <v>0</v>
      </c>
      <c r="J1781" s="8">
        <v>41487</v>
      </c>
      <c r="K1781" s="6">
        <v>1</v>
      </c>
      <c r="L1781">
        <f>VLOOKUP(A1781,Marketing_df2!$A$1:$F$2241,3,FALSE)</f>
        <v>22</v>
      </c>
      <c r="M1781">
        <f>VLOOKUP(A1781,Marketing_df2!$A$1:$F$2241,4,FALSE)</f>
        <v>89</v>
      </c>
      <c r="N1781">
        <f>VLOOKUP(A1781,Marketing_df2!$A$1:$F$2241,5,FALSE)</f>
        <v>2</v>
      </c>
      <c r="O1781">
        <f>VLOOKUP(A1781,Marketing_df2!$A$1:$F$2241,6,FALSE)</f>
        <v>13</v>
      </c>
    </row>
    <row r="1782" spans="1:15" ht="12.5">
      <c r="A1782" s="6">
        <v>1780</v>
      </c>
      <c r="B1782" s="6">
        <v>5150</v>
      </c>
      <c r="C1782" s="6">
        <v>1979</v>
      </c>
      <c r="D1782" s="7" t="s">
        <v>16</v>
      </c>
      <c r="E1782" s="7" t="s">
        <v>10</v>
      </c>
      <c r="F1782" s="6">
        <v>20194</v>
      </c>
      <c r="G1782" s="6">
        <v>1</v>
      </c>
      <c r="H1782" s="6">
        <v>0</v>
      </c>
      <c r="I1782" s="6">
        <f t="shared" si="27"/>
        <v>1</v>
      </c>
      <c r="J1782" s="9">
        <v>41260</v>
      </c>
      <c r="K1782" s="6">
        <v>64</v>
      </c>
      <c r="L1782">
        <f>VLOOKUP(A1782,Marketing_df2!$A$1:$F$2241,3,FALSE)</f>
        <v>4</v>
      </c>
      <c r="M1782">
        <f>VLOOKUP(A1782,Marketing_df2!$A$1:$F$2241,4,FALSE)</f>
        <v>10</v>
      </c>
      <c r="N1782">
        <f>VLOOKUP(A1782,Marketing_df2!$A$1:$F$2241,5,FALSE)</f>
        <v>2</v>
      </c>
      <c r="O1782">
        <f>VLOOKUP(A1782,Marketing_df2!$A$1:$F$2241,6,FALSE)</f>
        <v>3</v>
      </c>
    </row>
    <row r="1783" spans="1:15" ht="12.5">
      <c r="A1783" s="6">
        <v>1781</v>
      </c>
      <c r="B1783" s="6">
        <v>5283</v>
      </c>
      <c r="C1783" s="6">
        <v>1976</v>
      </c>
      <c r="D1783" s="7" t="s">
        <v>12</v>
      </c>
      <c r="E1783" s="7" t="s">
        <v>10</v>
      </c>
      <c r="F1783" s="6">
        <v>42473</v>
      </c>
      <c r="G1783" s="6">
        <v>1</v>
      </c>
      <c r="H1783" s="6">
        <v>1</v>
      </c>
      <c r="I1783" s="6">
        <f t="shared" si="27"/>
        <v>2</v>
      </c>
      <c r="J1783" s="8">
        <v>41687</v>
      </c>
      <c r="K1783" s="6">
        <v>72</v>
      </c>
      <c r="L1783">
        <f>VLOOKUP(A1783,Marketing_df2!$A$1:$F$2241,3,FALSE)</f>
        <v>1</v>
      </c>
      <c r="M1783">
        <f>VLOOKUP(A1783,Marketing_df2!$A$1:$F$2241,4,FALSE)</f>
        <v>4</v>
      </c>
      <c r="N1783">
        <f>VLOOKUP(A1783,Marketing_df2!$A$1:$F$2241,5,FALSE)</f>
        <v>2</v>
      </c>
      <c r="O1783">
        <f>VLOOKUP(A1783,Marketing_df2!$A$1:$F$2241,6,FALSE)</f>
        <v>4</v>
      </c>
    </row>
    <row r="1784" spans="1:15" ht="12.5">
      <c r="A1784" s="6">
        <v>1782</v>
      </c>
      <c r="B1784" s="6">
        <v>9645</v>
      </c>
      <c r="C1784" s="6">
        <v>1968</v>
      </c>
      <c r="D1784" s="7" t="s">
        <v>9</v>
      </c>
      <c r="E1784" s="7" t="s">
        <v>13</v>
      </c>
      <c r="F1784" s="6">
        <v>64590</v>
      </c>
      <c r="G1784" s="6">
        <v>0</v>
      </c>
      <c r="H1784" s="6">
        <v>0</v>
      </c>
      <c r="I1784" s="6">
        <f t="shared" si="27"/>
        <v>0</v>
      </c>
      <c r="J1784" s="9">
        <v>41196</v>
      </c>
      <c r="K1784" s="6">
        <v>98</v>
      </c>
      <c r="L1784">
        <f>VLOOKUP(A1784,Marketing_df2!$A$1:$F$2241,3,FALSE)</f>
        <v>138</v>
      </c>
      <c r="M1784">
        <f>VLOOKUP(A1784,Marketing_df2!$A$1:$F$2241,4,FALSE)</f>
        <v>46</v>
      </c>
      <c r="N1784">
        <f>VLOOKUP(A1784,Marketing_df2!$A$1:$F$2241,5,FALSE)</f>
        <v>9</v>
      </c>
      <c r="O1784">
        <f>VLOOKUP(A1784,Marketing_df2!$A$1:$F$2241,6,FALSE)</f>
        <v>10</v>
      </c>
    </row>
    <row r="1785" spans="1:15" ht="12.5">
      <c r="A1785" s="6">
        <v>1783</v>
      </c>
      <c r="B1785" s="6">
        <v>10678</v>
      </c>
      <c r="C1785" s="6">
        <v>1959</v>
      </c>
      <c r="D1785" s="7" t="s">
        <v>9</v>
      </c>
      <c r="E1785" s="7" t="s">
        <v>11</v>
      </c>
      <c r="F1785" s="6">
        <v>71232</v>
      </c>
      <c r="G1785" s="6">
        <v>0</v>
      </c>
      <c r="H1785" s="6">
        <v>1</v>
      </c>
      <c r="I1785" s="6">
        <f t="shared" si="27"/>
        <v>1</v>
      </c>
      <c r="J1785" s="9">
        <v>41606</v>
      </c>
      <c r="K1785" s="6">
        <v>91</v>
      </c>
      <c r="L1785">
        <f>VLOOKUP(A1785,Marketing_df2!$A$1:$F$2241,3,FALSE)</f>
        <v>17</v>
      </c>
      <c r="M1785">
        <f>VLOOKUP(A1785,Marketing_df2!$A$1:$F$2241,4,FALSE)</f>
        <v>26</v>
      </c>
      <c r="N1785">
        <f>VLOOKUP(A1785,Marketing_df2!$A$1:$F$2241,5,FALSE)</f>
        <v>11</v>
      </c>
      <c r="O1785">
        <f>VLOOKUP(A1785,Marketing_df2!$A$1:$F$2241,6,FALSE)</f>
        <v>10</v>
      </c>
    </row>
    <row r="1786" spans="1:15" ht="12.5">
      <c r="A1786" s="6">
        <v>1784</v>
      </c>
      <c r="B1786" s="6">
        <v>7261</v>
      </c>
      <c r="C1786" s="6">
        <v>1971</v>
      </c>
      <c r="D1786" s="7" t="s">
        <v>9</v>
      </c>
      <c r="E1786" s="7" t="s">
        <v>11</v>
      </c>
      <c r="F1786" s="6">
        <v>34600</v>
      </c>
      <c r="G1786" s="6">
        <v>1</v>
      </c>
      <c r="H1786" s="6">
        <v>1</v>
      </c>
      <c r="I1786" s="6">
        <f t="shared" si="27"/>
        <v>2</v>
      </c>
      <c r="J1786" s="8">
        <v>41275</v>
      </c>
      <c r="K1786" s="6">
        <v>8</v>
      </c>
      <c r="L1786">
        <f>VLOOKUP(A1786,Marketing_df2!$A$1:$F$2241,3,FALSE)</f>
        <v>33</v>
      </c>
      <c r="M1786">
        <f>VLOOKUP(A1786,Marketing_df2!$A$1:$F$2241,4,FALSE)</f>
        <v>3</v>
      </c>
      <c r="N1786">
        <f>VLOOKUP(A1786,Marketing_df2!$A$1:$F$2241,5,FALSE)</f>
        <v>5</v>
      </c>
      <c r="O1786">
        <f>VLOOKUP(A1786,Marketing_df2!$A$1:$F$2241,6,FALSE)</f>
        <v>5</v>
      </c>
    </row>
    <row r="1787" spans="1:15" ht="12.5">
      <c r="A1787" s="6">
        <v>1785</v>
      </c>
      <c r="B1787" s="6">
        <v>9648</v>
      </c>
      <c r="C1787" s="6">
        <v>1967</v>
      </c>
      <c r="D1787" s="7" t="s">
        <v>9</v>
      </c>
      <c r="E1787" s="7" t="s">
        <v>10</v>
      </c>
      <c r="F1787" s="6">
        <v>46904</v>
      </c>
      <c r="G1787" s="6">
        <v>1</v>
      </c>
      <c r="H1787" s="6">
        <v>1</v>
      </c>
      <c r="I1787" s="6">
        <f t="shared" si="27"/>
        <v>2</v>
      </c>
      <c r="J1787" s="8">
        <v>41216</v>
      </c>
      <c r="K1787" s="6">
        <v>20</v>
      </c>
      <c r="L1787">
        <f>VLOOKUP(A1787,Marketing_df2!$A$1:$F$2241,3,FALSE)</f>
        <v>4</v>
      </c>
      <c r="M1787">
        <f>VLOOKUP(A1787,Marketing_df2!$A$1:$F$2241,4,FALSE)</f>
        <v>9</v>
      </c>
      <c r="N1787">
        <f>VLOOKUP(A1787,Marketing_df2!$A$1:$F$2241,5,FALSE)</f>
        <v>5</v>
      </c>
      <c r="O1787">
        <f>VLOOKUP(A1787,Marketing_df2!$A$1:$F$2241,6,FALSE)</f>
        <v>4</v>
      </c>
    </row>
    <row r="1788" spans="1:15" ht="12.5">
      <c r="A1788" s="6">
        <v>1786</v>
      </c>
      <c r="B1788" s="6">
        <v>2870</v>
      </c>
      <c r="C1788" s="6">
        <v>1973</v>
      </c>
      <c r="D1788" s="7" t="s">
        <v>9</v>
      </c>
      <c r="E1788" s="7" t="s">
        <v>13</v>
      </c>
      <c r="F1788" s="6">
        <v>49094</v>
      </c>
      <c r="G1788" s="6">
        <v>0</v>
      </c>
      <c r="H1788" s="6">
        <v>1</v>
      </c>
      <c r="I1788" s="6">
        <f t="shared" si="27"/>
        <v>1</v>
      </c>
      <c r="J1788" s="8">
        <v>41173</v>
      </c>
      <c r="K1788" s="6">
        <v>6</v>
      </c>
      <c r="L1788">
        <f>VLOOKUP(A1788,Marketing_df2!$A$1:$F$2241,3,FALSE)</f>
        <v>0</v>
      </c>
      <c r="M1788">
        <f>VLOOKUP(A1788,Marketing_df2!$A$1:$F$2241,4,FALSE)</f>
        <v>8</v>
      </c>
      <c r="N1788">
        <f>VLOOKUP(A1788,Marketing_df2!$A$1:$F$2241,5,FALSE)</f>
        <v>6</v>
      </c>
      <c r="O1788">
        <f>VLOOKUP(A1788,Marketing_df2!$A$1:$F$2241,6,FALSE)</f>
        <v>6</v>
      </c>
    </row>
    <row r="1789" spans="1:15" ht="12.5">
      <c r="A1789" s="6">
        <v>1787</v>
      </c>
      <c r="B1789" s="6">
        <v>8008</v>
      </c>
      <c r="C1789" s="6">
        <v>1983</v>
      </c>
      <c r="D1789" s="7" t="s">
        <v>9</v>
      </c>
      <c r="E1789" s="7" t="s">
        <v>11</v>
      </c>
      <c r="F1789" s="6">
        <v>36075</v>
      </c>
      <c r="G1789" s="6">
        <v>1</v>
      </c>
      <c r="H1789" s="6">
        <v>0</v>
      </c>
      <c r="I1789" s="6">
        <f t="shared" si="27"/>
        <v>1</v>
      </c>
      <c r="J1789" s="8">
        <v>41617</v>
      </c>
      <c r="K1789" s="6">
        <v>54</v>
      </c>
      <c r="L1789">
        <f>VLOOKUP(A1789,Marketing_df2!$A$1:$F$2241,3,FALSE)</f>
        <v>0</v>
      </c>
      <c r="M1789">
        <f>VLOOKUP(A1789,Marketing_df2!$A$1:$F$2241,4,FALSE)</f>
        <v>1</v>
      </c>
      <c r="N1789">
        <f>VLOOKUP(A1789,Marketing_df2!$A$1:$F$2241,5,FALSE)</f>
        <v>2</v>
      </c>
      <c r="O1789">
        <f>VLOOKUP(A1789,Marketing_df2!$A$1:$F$2241,6,FALSE)</f>
        <v>4</v>
      </c>
    </row>
    <row r="1790" spans="1:15" ht="12.5">
      <c r="A1790" s="6">
        <v>1788</v>
      </c>
      <c r="B1790" s="6">
        <v>1513</v>
      </c>
      <c r="C1790" s="6">
        <v>1979</v>
      </c>
      <c r="D1790" s="7" t="s">
        <v>17</v>
      </c>
      <c r="E1790" s="7" t="s">
        <v>11</v>
      </c>
      <c r="F1790" s="6">
        <v>60839</v>
      </c>
      <c r="G1790" s="6">
        <v>1</v>
      </c>
      <c r="H1790" s="6">
        <v>1</v>
      </c>
      <c r="I1790" s="6">
        <f t="shared" si="27"/>
        <v>2</v>
      </c>
      <c r="J1790" s="8">
        <v>41149</v>
      </c>
      <c r="K1790" s="6">
        <v>72</v>
      </c>
      <c r="L1790">
        <f>VLOOKUP(A1790,Marketing_df2!$A$1:$F$2241,3,FALSE)</f>
        <v>21</v>
      </c>
      <c r="M1790">
        <f>VLOOKUP(A1790,Marketing_df2!$A$1:$F$2241,4,FALSE)</f>
        <v>150</v>
      </c>
      <c r="N1790">
        <f>VLOOKUP(A1790,Marketing_df2!$A$1:$F$2241,5,FALSE)</f>
        <v>2</v>
      </c>
      <c r="O1790">
        <f>VLOOKUP(A1790,Marketing_df2!$A$1:$F$2241,6,FALSE)</f>
        <v>12</v>
      </c>
    </row>
    <row r="1791" spans="1:15" ht="12.5">
      <c r="A1791" s="6">
        <v>1789</v>
      </c>
      <c r="B1791" s="6">
        <v>6173</v>
      </c>
      <c r="C1791" s="6">
        <v>1979</v>
      </c>
      <c r="D1791" s="7" t="s">
        <v>9</v>
      </c>
      <c r="E1791" s="7" t="s">
        <v>11</v>
      </c>
      <c r="F1791" s="6">
        <v>77298</v>
      </c>
      <c r="G1791" s="6">
        <v>0</v>
      </c>
      <c r="H1791" s="6">
        <v>1</v>
      </c>
      <c r="I1791" s="6">
        <f t="shared" si="27"/>
        <v>1</v>
      </c>
      <c r="J1791" s="8">
        <v>41580</v>
      </c>
      <c r="K1791" s="6">
        <v>46</v>
      </c>
      <c r="L1791">
        <f>VLOOKUP(A1791,Marketing_df2!$A$1:$F$2241,3,FALSE)</f>
        <v>115</v>
      </c>
      <c r="M1791">
        <f>VLOOKUP(A1791,Marketing_df2!$A$1:$F$2241,4,FALSE)</f>
        <v>35</v>
      </c>
      <c r="N1791">
        <f>VLOOKUP(A1791,Marketing_df2!$A$1:$F$2241,5,FALSE)</f>
        <v>6</v>
      </c>
      <c r="O1791">
        <f>VLOOKUP(A1791,Marketing_df2!$A$1:$F$2241,6,FALSE)</f>
        <v>11</v>
      </c>
    </row>
    <row r="1792" spans="1:15" ht="12.5">
      <c r="A1792" s="6">
        <v>1790</v>
      </c>
      <c r="B1792" s="6">
        <v>1419</v>
      </c>
      <c r="C1792" s="6">
        <v>1950</v>
      </c>
      <c r="D1792" s="7" t="s">
        <v>9</v>
      </c>
      <c r="E1792" s="7" t="s">
        <v>11</v>
      </c>
      <c r="F1792" s="6">
        <v>34026</v>
      </c>
      <c r="G1792" s="6">
        <v>1</v>
      </c>
      <c r="H1792" s="6">
        <v>1</v>
      </c>
      <c r="I1792" s="6">
        <f t="shared" si="27"/>
        <v>2</v>
      </c>
      <c r="J1792" s="8">
        <v>41491</v>
      </c>
      <c r="K1792" s="6">
        <v>11</v>
      </c>
      <c r="L1792">
        <f>VLOOKUP(A1792,Marketing_df2!$A$1:$F$2241,3,FALSE)</f>
        <v>6</v>
      </c>
      <c r="M1792">
        <f>VLOOKUP(A1792,Marketing_df2!$A$1:$F$2241,4,FALSE)</f>
        <v>8</v>
      </c>
      <c r="N1792">
        <f>VLOOKUP(A1792,Marketing_df2!$A$1:$F$2241,5,FALSE)</f>
        <v>2</v>
      </c>
      <c r="O1792">
        <f>VLOOKUP(A1792,Marketing_df2!$A$1:$F$2241,6,FALSE)</f>
        <v>3</v>
      </c>
    </row>
    <row r="1793" spans="1:15" ht="12.5">
      <c r="A1793" s="6">
        <v>1791</v>
      </c>
      <c r="B1793" s="6">
        <v>9150</v>
      </c>
      <c r="C1793" s="6">
        <v>1963</v>
      </c>
      <c r="D1793" s="7" t="s">
        <v>12</v>
      </c>
      <c r="E1793" s="7" t="s">
        <v>10</v>
      </c>
      <c r="F1793" s="6">
        <v>48918</v>
      </c>
      <c r="G1793" s="6">
        <v>1</v>
      </c>
      <c r="H1793" s="6">
        <v>1</v>
      </c>
      <c r="I1793" s="6">
        <f t="shared" si="27"/>
        <v>2</v>
      </c>
      <c r="J1793" s="8">
        <v>41741</v>
      </c>
      <c r="K1793" s="6">
        <v>21</v>
      </c>
      <c r="L1793">
        <f>VLOOKUP(A1793,Marketing_df2!$A$1:$F$2241,3,FALSE)</f>
        <v>0</v>
      </c>
      <c r="M1793">
        <f>VLOOKUP(A1793,Marketing_df2!$A$1:$F$2241,4,FALSE)</f>
        <v>0</v>
      </c>
      <c r="N1793">
        <f>VLOOKUP(A1793,Marketing_df2!$A$1:$F$2241,5,FALSE)</f>
        <v>1</v>
      </c>
      <c r="O1793">
        <f>VLOOKUP(A1793,Marketing_df2!$A$1:$F$2241,6,FALSE)</f>
        <v>4</v>
      </c>
    </row>
    <row r="1794" spans="1:15" ht="12.5">
      <c r="A1794" s="6">
        <v>1792</v>
      </c>
      <c r="B1794" s="6">
        <v>7960</v>
      </c>
      <c r="C1794" s="6">
        <v>1962</v>
      </c>
      <c r="D1794" s="7" t="s">
        <v>17</v>
      </c>
      <c r="E1794" s="7" t="s">
        <v>11</v>
      </c>
      <c r="F1794" s="6">
        <v>82122</v>
      </c>
      <c r="G1794" s="6">
        <v>0</v>
      </c>
      <c r="H1794" s="6">
        <v>0</v>
      </c>
      <c r="I1794" s="6">
        <f t="shared" si="27"/>
        <v>0</v>
      </c>
      <c r="J1794" s="8">
        <v>41501</v>
      </c>
      <c r="K1794" s="6">
        <v>89</v>
      </c>
      <c r="L1794">
        <f>VLOOKUP(A1794,Marketing_df2!$A$1:$F$2241,3,FALSE)</f>
        <v>22</v>
      </c>
      <c r="M1794">
        <f>VLOOKUP(A1794,Marketing_df2!$A$1:$F$2241,4,FALSE)</f>
        <v>25</v>
      </c>
      <c r="N1794">
        <f>VLOOKUP(A1794,Marketing_df2!$A$1:$F$2241,5,FALSE)</f>
        <v>3</v>
      </c>
      <c r="O1794">
        <f>VLOOKUP(A1794,Marketing_df2!$A$1:$F$2241,6,FALSE)</f>
        <v>13</v>
      </c>
    </row>
    <row r="1795" spans="1:15" ht="12.5">
      <c r="A1795" s="6">
        <v>1793</v>
      </c>
      <c r="B1795" s="6">
        <v>1250</v>
      </c>
      <c r="C1795" s="6">
        <v>1976</v>
      </c>
      <c r="D1795" s="7" t="s">
        <v>9</v>
      </c>
      <c r="E1795" s="7" t="s">
        <v>10</v>
      </c>
      <c r="F1795" s="6">
        <v>37697</v>
      </c>
      <c r="G1795" s="6">
        <v>1</v>
      </c>
      <c r="H1795" s="6">
        <v>0</v>
      </c>
      <c r="I1795" s="6">
        <f t="shared" ref="I1795:I1858" si="28">G1795+H1795</f>
        <v>1</v>
      </c>
      <c r="J1795" s="8">
        <v>41677</v>
      </c>
      <c r="K1795" s="6">
        <v>82</v>
      </c>
      <c r="L1795">
        <f>VLOOKUP(A1795,Marketing_df2!$A$1:$F$2241,3,FALSE)</f>
        <v>6</v>
      </c>
      <c r="M1795">
        <f>VLOOKUP(A1795,Marketing_df2!$A$1:$F$2241,4,FALSE)</f>
        <v>4</v>
      </c>
      <c r="N1795">
        <f>VLOOKUP(A1795,Marketing_df2!$A$1:$F$2241,5,FALSE)</f>
        <v>2</v>
      </c>
      <c r="O1795">
        <f>VLOOKUP(A1795,Marketing_df2!$A$1:$F$2241,6,FALSE)</f>
        <v>3</v>
      </c>
    </row>
    <row r="1796" spans="1:15" ht="12.5">
      <c r="A1796" s="6">
        <v>1794</v>
      </c>
      <c r="B1796" s="6">
        <v>9905</v>
      </c>
      <c r="C1796" s="6">
        <v>1952</v>
      </c>
      <c r="D1796" s="7" t="s">
        <v>9</v>
      </c>
      <c r="E1796" s="7" t="s">
        <v>11</v>
      </c>
      <c r="F1796" s="6">
        <v>34074</v>
      </c>
      <c r="G1796" s="6">
        <v>1</v>
      </c>
      <c r="H1796" s="6">
        <v>1</v>
      </c>
      <c r="I1796" s="6">
        <f t="shared" si="28"/>
        <v>2</v>
      </c>
      <c r="J1796" s="8">
        <v>41468</v>
      </c>
      <c r="K1796" s="6">
        <v>69</v>
      </c>
      <c r="L1796">
        <f>VLOOKUP(A1796,Marketing_df2!$A$1:$F$2241,3,FALSE)</f>
        <v>1</v>
      </c>
      <c r="M1796">
        <f>VLOOKUP(A1796,Marketing_df2!$A$1:$F$2241,4,FALSE)</f>
        <v>1</v>
      </c>
      <c r="N1796">
        <f>VLOOKUP(A1796,Marketing_df2!$A$1:$F$2241,5,FALSE)</f>
        <v>3</v>
      </c>
      <c r="O1796">
        <f>VLOOKUP(A1796,Marketing_df2!$A$1:$F$2241,6,FALSE)</f>
        <v>3</v>
      </c>
    </row>
    <row r="1797" spans="1:15" ht="12.5">
      <c r="A1797" s="6">
        <v>1795</v>
      </c>
      <c r="B1797" s="6">
        <v>10691</v>
      </c>
      <c r="C1797" s="6">
        <v>1960</v>
      </c>
      <c r="D1797" s="7" t="s">
        <v>14</v>
      </c>
      <c r="E1797" s="7" t="s">
        <v>13</v>
      </c>
      <c r="F1797" s="6">
        <v>28520</v>
      </c>
      <c r="G1797" s="6">
        <v>1</v>
      </c>
      <c r="H1797" s="6">
        <v>1</v>
      </c>
      <c r="I1797" s="6">
        <f t="shared" si="28"/>
        <v>2</v>
      </c>
      <c r="J1797" s="8">
        <v>41439</v>
      </c>
      <c r="K1797" s="6">
        <v>55</v>
      </c>
      <c r="L1797">
        <f>VLOOKUP(A1797,Marketing_df2!$A$1:$F$2241,3,FALSE)</f>
        <v>0</v>
      </c>
      <c r="M1797">
        <f>VLOOKUP(A1797,Marketing_df2!$A$1:$F$2241,4,FALSE)</f>
        <v>2</v>
      </c>
      <c r="N1797">
        <f>VLOOKUP(A1797,Marketing_df2!$A$1:$F$2241,5,FALSE)</f>
        <v>1</v>
      </c>
      <c r="O1797">
        <f>VLOOKUP(A1797,Marketing_df2!$A$1:$F$2241,6,FALSE)</f>
        <v>2</v>
      </c>
    </row>
    <row r="1798" spans="1:15" ht="12.5">
      <c r="A1798" s="6">
        <v>1796</v>
      </c>
      <c r="B1798" s="6">
        <v>7002</v>
      </c>
      <c r="C1798" s="6">
        <v>1955</v>
      </c>
      <c r="D1798" s="7" t="s">
        <v>9</v>
      </c>
      <c r="E1798" s="7" t="s">
        <v>10</v>
      </c>
      <c r="F1798" s="6">
        <v>62535</v>
      </c>
      <c r="G1798" s="6">
        <v>0</v>
      </c>
      <c r="H1798" s="6">
        <v>1</v>
      </c>
      <c r="I1798" s="6">
        <f t="shared" si="28"/>
        <v>1</v>
      </c>
      <c r="J1798" s="8">
        <v>41550</v>
      </c>
      <c r="K1798" s="6">
        <v>13</v>
      </c>
      <c r="L1798">
        <f>VLOOKUP(A1798,Marketing_df2!$A$1:$F$2241,3,FALSE)</f>
        <v>48</v>
      </c>
      <c r="M1798">
        <f>VLOOKUP(A1798,Marketing_df2!$A$1:$F$2241,4,FALSE)</f>
        <v>45</v>
      </c>
      <c r="N1798">
        <f>VLOOKUP(A1798,Marketing_df2!$A$1:$F$2241,5,FALSE)</f>
        <v>3</v>
      </c>
      <c r="O1798">
        <f>VLOOKUP(A1798,Marketing_df2!$A$1:$F$2241,6,FALSE)</f>
        <v>8</v>
      </c>
    </row>
    <row r="1799" spans="1:15" ht="12.5">
      <c r="A1799" s="6">
        <v>1797</v>
      </c>
      <c r="B1799" s="6">
        <v>2952</v>
      </c>
      <c r="C1799" s="6">
        <v>1977</v>
      </c>
      <c r="D1799" s="7" t="s">
        <v>14</v>
      </c>
      <c r="E1799" s="7" t="s">
        <v>10</v>
      </c>
      <c r="F1799" s="6">
        <v>36273</v>
      </c>
      <c r="G1799" s="6">
        <v>1</v>
      </c>
      <c r="H1799" s="6">
        <v>0</v>
      </c>
      <c r="I1799" s="6">
        <f t="shared" si="28"/>
        <v>1</v>
      </c>
      <c r="J1799" s="8">
        <v>41745</v>
      </c>
      <c r="K1799" s="6">
        <v>80</v>
      </c>
      <c r="L1799">
        <f>VLOOKUP(A1799,Marketing_df2!$A$1:$F$2241,3,FALSE)</f>
        <v>3</v>
      </c>
      <c r="M1799">
        <f>VLOOKUP(A1799,Marketing_df2!$A$1:$F$2241,4,FALSE)</f>
        <v>2</v>
      </c>
      <c r="N1799">
        <f>VLOOKUP(A1799,Marketing_df2!$A$1:$F$2241,5,FALSE)</f>
        <v>3</v>
      </c>
      <c r="O1799">
        <f>VLOOKUP(A1799,Marketing_df2!$A$1:$F$2241,6,FALSE)</f>
        <v>3</v>
      </c>
    </row>
    <row r="1800" spans="1:15" ht="12.5">
      <c r="A1800" s="6">
        <v>1798</v>
      </c>
      <c r="B1800" s="6">
        <v>8439</v>
      </c>
      <c r="C1800" s="6">
        <v>1964</v>
      </c>
      <c r="D1800" s="7" t="s">
        <v>9</v>
      </c>
      <c r="E1800" s="7" t="s">
        <v>11</v>
      </c>
      <c r="F1800" s="6">
        <v>63404</v>
      </c>
      <c r="G1800" s="6">
        <v>0</v>
      </c>
      <c r="H1800" s="6">
        <v>2</v>
      </c>
      <c r="I1800" s="6">
        <f t="shared" si="28"/>
        <v>2</v>
      </c>
      <c r="J1800" s="8">
        <v>41796</v>
      </c>
      <c r="K1800" s="6">
        <v>97</v>
      </c>
      <c r="L1800">
        <f>VLOOKUP(A1800,Marketing_df2!$A$1:$F$2241,3,FALSE)</f>
        <v>26</v>
      </c>
      <c r="M1800">
        <f>VLOOKUP(A1800,Marketing_df2!$A$1:$F$2241,4,FALSE)</f>
        <v>44</v>
      </c>
      <c r="N1800">
        <f>VLOOKUP(A1800,Marketing_df2!$A$1:$F$2241,5,FALSE)</f>
        <v>6</v>
      </c>
      <c r="O1800">
        <f>VLOOKUP(A1800,Marketing_df2!$A$1:$F$2241,6,FALSE)</f>
        <v>4</v>
      </c>
    </row>
    <row r="1801" spans="1:15" ht="12.5">
      <c r="A1801" s="6">
        <v>1799</v>
      </c>
      <c r="B1801" s="6">
        <v>762</v>
      </c>
      <c r="C1801" s="6">
        <v>1981</v>
      </c>
      <c r="D1801" s="7" t="s">
        <v>17</v>
      </c>
      <c r="E1801" s="7" t="s">
        <v>11</v>
      </c>
      <c r="F1801" s="6">
        <v>75774</v>
      </c>
      <c r="G1801" s="6">
        <v>1</v>
      </c>
      <c r="H1801" s="6">
        <v>0</v>
      </c>
      <c r="I1801" s="6">
        <f t="shared" si="28"/>
        <v>1</v>
      </c>
      <c r="J1801" s="8">
        <v>41761</v>
      </c>
      <c r="K1801" s="6">
        <v>27</v>
      </c>
      <c r="L1801">
        <f>VLOOKUP(A1801,Marketing_df2!$A$1:$F$2241,3,FALSE)</f>
        <v>21</v>
      </c>
      <c r="M1801">
        <f>VLOOKUP(A1801,Marketing_df2!$A$1:$F$2241,4,FALSE)</f>
        <v>14</v>
      </c>
      <c r="N1801">
        <f>VLOOKUP(A1801,Marketing_df2!$A$1:$F$2241,5,FALSE)</f>
        <v>7</v>
      </c>
      <c r="O1801">
        <f>VLOOKUP(A1801,Marketing_df2!$A$1:$F$2241,6,FALSE)</f>
        <v>8</v>
      </c>
    </row>
    <row r="1802" spans="1:15" ht="12.5">
      <c r="A1802" s="6">
        <v>1800</v>
      </c>
      <c r="B1802" s="6">
        <v>2831</v>
      </c>
      <c r="C1802" s="6">
        <v>1976</v>
      </c>
      <c r="D1802" s="7" t="s">
        <v>9</v>
      </c>
      <c r="E1802" s="7" t="s">
        <v>11</v>
      </c>
      <c r="F1802" s="6">
        <v>78416</v>
      </c>
      <c r="G1802" s="6">
        <v>0</v>
      </c>
      <c r="H1802" s="6">
        <v>1</v>
      </c>
      <c r="I1802" s="6">
        <f t="shared" si="28"/>
        <v>1</v>
      </c>
      <c r="J1802" s="8">
        <v>41817</v>
      </c>
      <c r="K1802" s="6">
        <v>99</v>
      </c>
      <c r="L1802">
        <f>VLOOKUP(A1802,Marketing_df2!$A$1:$F$2241,3,FALSE)</f>
        <v>38</v>
      </c>
      <c r="M1802">
        <f>VLOOKUP(A1802,Marketing_df2!$A$1:$F$2241,4,FALSE)</f>
        <v>38</v>
      </c>
      <c r="N1802">
        <f>VLOOKUP(A1802,Marketing_df2!$A$1:$F$2241,5,FALSE)</f>
        <v>7</v>
      </c>
      <c r="O1802">
        <f>VLOOKUP(A1802,Marketing_df2!$A$1:$F$2241,6,FALSE)</f>
        <v>10</v>
      </c>
    </row>
    <row r="1803" spans="1:15" ht="12.5">
      <c r="A1803" s="6">
        <v>1801</v>
      </c>
      <c r="B1803" s="6">
        <v>6977</v>
      </c>
      <c r="C1803" s="6">
        <v>1974</v>
      </c>
      <c r="D1803" s="7" t="s">
        <v>9</v>
      </c>
      <c r="E1803" s="7" t="s">
        <v>11</v>
      </c>
      <c r="F1803" s="6">
        <v>75702</v>
      </c>
      <c r="G1803" s="6">
        <v>0</v>
      </c>
      <c r="H1803" s="6">
        <v>1</v>
      </c>
      <c r="I1803" s="6">
        <f t="shared" si="28"/>
        <v>1</v>
      </c>
      <c r="J1803" s="9">
        <v>41196</v>
      </c>
      <c r="K1803" s="6">
        <v>87</v>
      </c>
      <c r="L1803">
        <f>VLOOKUP(A1803,Marketing_df2!$A$1:$F$2241,3,FALSE)</f>
        <v>0</v>
      </c>
      <c r="M1803">
        <f>VLOOKUP(A1803,Marketing_df2!$A$1:$F$2241,4,FALSE)</f>
        <v>37</v>
      </c>
      <c r="N1803">
        <f>VLOOKUP(A1803,Marketing_df2!$A$1:$F$2241,5,FALSE)</f>
        <v>10</v>
      </c>
      <c r="O1803">
        <f>VLOOKUP(A1803,Marketing_df2!$A$1:$F$2241,6,FALSE)</f>
        <v>13</v>
      </c>
    </row>
    <row r="1804" spans="1:15" ht="12.5">
      <c r="A1804" s="6">
        <v>1802</v>
      </c>
      <c r="B1804" s="6">
        <v>6289</v>
      </c>
      <c r="C1804" s="6">
        <v>1951</v>
      </c>
      <c r="D1804" s="7" t="s">
        <v>14</v>
      </c>
      <c r="E1804" s="7" t="s">
        <v>11</v>
      </c>
      <c r="F1804" s="6">
        <v>59385</v>
      </c>
      <c r="G1804" s="6">
        <v>1</v>
      </c>
      <c r="H1804" s="6">
        <v>1</v>
      </c>
      <c r="I1804" s="6">
        <f t="shared" si="28"/>
        <v>2</v>
      </c>
      <c r="J1804" s="8">
        <v>41392</v>
      </c>
      <c r="K1804" s="6">
        <v>85</v>
      </c>
      <c r="L1804">
        <f>VLOOKUP(A1804,Marketing_df2!$A$1:$F$2241,3,FALSE)</f>
        <v>0</v>
      </c>
      <c r="M1804">
        <f>VLOOKUP(A1804,Marketing_df2!$A$1:$F$2241,4,FALSE)</f>
        <v>4</v>
      </c>
      <c r="N1804">
        <f>VLOOKUP(A1804,Marketing_df2!$A$1:$F$2241,5,FALSE)</f>
        <v>3</v>
      </c>
      <c r="O1804">
        <f>VLOOKUP(A1804,Marketing_df2!$A$1:$F$2241,6,FALSE)</f>
        <v>4</v>
      </c>
    </row>
    <row r="1805" spans="1:15" ht="12.5">
      <c r="A1805" s="6">
        <v>1803</v>
      </c>
      <c r="B1805" s="6">
        <v>4168</v>
      </c>
      <c r="C1805" s="6">
        <v>1966</v>
      </c>
      <c r="D1805" s="7" t="s">
        <v>9</v>
      </c>
      <c r="E1805" s="7" t="s">
        <v>10</v>
      </c>
      <c r="F1805" s="6">
        <v>37070</v>
      </c>
      <c r="G1805" s="6">
        <v>1</v>
      </c>
      <c r="H1805" s="6">
        <v>1</v>
      </c>
      <c r="I1805" s="6">
        <f t="shared" si="28"/>
        <v>2</v>
      </c>
      <c r="J1805" s="8">
        <v>41353</v>
      </c>
      <c r="K1805" s="6">
        <v>30</v>
      </c>
      <c r="L1805">
        <f>VLOOKUP(A1805,Marketing_df2!$A$1:$F$2241,3,FALSE)</f>
        <v>7</v>
      </c>
      <c r="M1805">
        <f>VLOOKUP(A1805,Marketing_df2!$A$1:$F$2241,4,FALSE)</f>
        <v>15</v>
      </c>
      <c r="N1805">
        <f>VLOOKUP(A1805,Marketing_df2!$A$1:$F$2241,5,FALSE)</f>
        <v>5</v>
      </c>
      <c r="O1805">
        <f>VLOOKUP(A1805,Marketing_df2!$A$1:$F$2241,6,FALSE)</f>
        <v>8</v>
      </c>
    </row>
    <row r="1806" spans="1:15" ht="12.5">
      <c r="A1806" s="6">
        <v>1804</v>
      </c>
      <c r="B1806" s="6">
        <v>8397</v>
      </c>
      <c r="C1806" s="6">
        <v>1951</v>
      </c>
      <c r="D1806" s="7" t="s">
        <v>9</v>
      </c>
      <c r="E1806" s="7" t="s">
        <v>13</v>
      </c>
      <c r="F1806" s="6">
        <v>44689</v>
      </c>
      <c r="G1806" s="6">
        <v>1</v>
      </c>
      <c r="H1806" s="6">
        <v>1</v>
      </c>
      <c r="I1806" s="6">
        <f t="shared" si="28"/>
        <v>2</v>
      </c>
      <c r="J1806" s="8">
        <v>41649</v>
      </c>
      <c r="K1806" s="6">
        <v>82</v>
      </c>
      <c r="L1806">
        <f>VLOOKUP(A1806,Marketing_df2!$A$1:$F$2241,3,FALSE)</f>
        <v>0</v>
      </c>
      <c r="M1806">
        <f>VLOOKUP(A1806,Marketing_df2!$A$1:$F$2241,4,FALSE)</f>
        <v>0</v>
      </c>
      <c r="N1806">
        <f>VLOOKUP(A1806,Marketing_df2!$A$1:$F$2241,5,FALSE)</f>
        <v>1</v>
      </c>
      <c r="O1806">
        <f>VLOOKUP(A1806,Marketing_df2!$A$1:$F$2241,6,FALSE)</f>
        <v>2</v>
      </c>
    </row>
    <row r="1807" spans="1:15" ht="12.5">
      <c r="A1807" s="6">
        <v>1805</v>
      </c>
      <c r="B1807" s="6">
        <v>9284</v>
      </c>
      <c r="C1807" s="6">
        <v>1958</v>
      </c>
      <c r="D1807" s="7" t="s">
        <v>9</v>
      </c>
      <c r="E1807" s="7" t="s">
        <v>11</v>
      </c>
      <c r="F1807" s="6">
        <v>53977</v>
      </c>
      <c r="G1807" s="6">
        <v>0</v>
      </c>
      <c r="H1807" s="6">
        <v>1</v>
      </c>
      <c r="I1807" s="6">
        <f t="shared" si="28"/>
        <v>1</v>
      </c>
      <c r="J1807" s="8">
        <v>41433</v>
      </c>
      <c r="K1807" s="6">
        <v>21</v>
      </c>
      <c r="L1807">
        <f>VLOOKUP(A1807,Marketing_df2!$A$1:$F$2241,3,FALSE)</f>
        <v>16</v>
      </c>
      <c r="M1807">
        <f>VLOOKUP(A1807,Marketing_df2!$A$1:$F$2241,4,FALSE)</f>
        <v>24</v>
      </c>
      <c r="N1807">
        <f>VLOOKUP(A1807,Marketing_df2!$A$1:$F$2241,5,FALSE)</f>
        <v>5</v>
      </c>
      <c r="O1807">
        <f>VLOOKUP(A1807,Marketing_df2!$A$1:$F$2241,6,FALSE)</f>
        <v>12</v>
      </c>
    </row>
    <row r="1808" spans="1:15" ht="12.5">
      <c r="A1808" s="6">
        <v>1806</v>
      </c>
      <c r="B1808" s="6">
        <v>6237</v>
      </c>
      <c r="C1808" s="6">
        <v>1966</v>
      </c>
      <c r="D1808" s="7" t="s">
        <v>12</v>
      </c>
      <c r="E1808" s="7" t="s">
        <v>10</v>
      </c>
      <c r="F1808" s="6">
        <v>7144</v>
      </c>
      <c r="G1808" s="6">
        <v>0</v>
      </c>
      <c r="H1808" s="6">
        <v>2</v>
      </c>
      <c r="I1808" s="6">
        <f t="shared" si="28"/>
        <v>2</v>
      </c>
      <c r="J1808" s="8">
        <v>41615</v>
      </c>
      <c r="K1808" s="6">
        <v>92</v>
      </c>
      <c r="L1808">
        <f>VLOOKUP(A1808,Marketing_df2!$A$1:$F$2241,3,FALSE)</f>
        <v>4</v>
      </c>
      <c r="M1808">
        <f>VLOOKUP(A1808,Marketing_df2!$A$1:$F$2241,4,FALSE)</f>
        <v>2</v>
      </c>
      <c r="N1808">
        <f>VLOOKUP(A1808,Marketing_df2!$A$1:$F$2241,5,FALSE)</f>
        <v>23</v>
      </c>
      <c r="O1808">
        <f>VLOOKUP(A1808,Marketing_df2!$A$1:$F$2241,6,FALSE)</f>
        <v>1</v>
      </c>
    </row>
    <row r="1809" spans="1:15" ht="12.5">
      <c r="A1809" s="6">
        <v>1807</v>
      </c>
      <c r="B1809" s="6">
        <v>3130</v>
      </c>
      <c r="C1809" s="6">
        <v>1964</v>
      </c>
      <c r="D1809" s="7" t="s">
        <v>9</v>
      </c>
      <c r="E1809" s="7" t="s">
        <v>10</v>
      </c>
      <c r="F1809" s="6">
        <v>18701</v>
      </c>
      <c r="G1809" s="6">
        <v>1</v>
      </c>
      <c r="H1809" s="6">
        <v>1</v>
      </c>
      <c r="I1809" s="6">
        <f t="shared" si="28"/>
        <v>2</v>
      </c>
      <c r="J1809" s="8">
        <v>41429</v>
      </c>
      <c r="K1809" s="6">
        <v>95</v>
      </c>
      <c r="L1809">
        <f>VLOOKUP(A1809,Marketing_df2!$A$1:$F$2241,3,FALSE)</f>
        <v>4</v>
      </c>
      <c r="M1809">
        <f>VLOOKUP(A1809,Marketing_df2!$A$1:$F$2241,4,FALSE)</f>
        <v>6</v>
      </c>
      <c r="N1809">
        <f>VLOOKUP(A1809,Marketing_df2!$A$1:$F$2241,5,FALSE)</f>
        <v>2</v>
      </c>
      <c r="O1809">
        <f>VLOOKUP(A1809,Marketing_df2!$A$1:$F$2241,6,FALSE)</f>
        <v>4</v>
      </c>
    </row>
    <row r="1810" spans="1:15" ht="12.5">
      <c r="A1810" s="6">
        <v>1808</v>
      </c>
      <c r="B1810" s="6">
        <v>1619</v>
      </c>
      <c r="C1810" s="6">
        <v>1956</v>
      </c>
      <c r="D1810" s="7" t="s">
        <v>9</v>
      </c>
      <c r="E1810" s="7" t="s">
        <v>13</v>
      </c>
      <c r="F1810" s="6">
        <v>90369</v>
      </c>
      <c r="G1810" s="6">
        <v>0</v>
      </c>
      <c r="H1810" s="6">
        <v>0</v>
      </c>
      <c r="I1810" s="6">
        <f t="shared" si="28"/>
        <v>0</v>
      </c>
      <c r="J1810" s="8">
        <v>41757</v>
      </c>
      <c r="K1810" s="6">
        <v>2</v>
      </c>
      <c r="L1810">
        <f>VLOOKUP(A1810,Marketing_df2!$A$1:$F$2241,3,FALSE)</f>
        <v>51</v>
      </c>
      <c r="M1810">
        <f>VLOOKUP(A1810,Marketing_df2!$A$1:$F$2241,4,FALSE)</f>
        <v>23</v>
      </c>
      <c r="N1810">
        <f>VLOOKUP(A1810,Marketing_df2!$A$1:$F$2241,5,FALSE)</f>
        <v>4</v>
      </c>
      <c r="O1810">
        <f>VLOOKUP(A1810,Marketing_df2!$A$1:$F$2241,6,FALSE)</f>
        <v>6</v>
      </c>
    </row>
    <row r="1811" spans="1:15" ht="12.5">
      <c r="A1811" s="6">
        <v>1809</v>
      </c>
      <c r="B1811" s="6">
        <v>1990</v>
      </c>
      <c r="C1811" s="6">
        <v>1974</v>
      </c>
      <c r="D1811" s="7" t="s">
        <v>12</v>
      </c>
      <c r="E1811" s="7" t="s">
        <v>10</v>
      </c>
      <c r="F1811" s="6">
        <v>63159</v>
      </c>
      <c r="G1811" s="6">
        <v>0</v>
      </c>
      <c r="H1811" s="6">
        <v>0</v>
      </c>
      <c r="I1811" s="6">
        <f t="shared" si="28"/>
        <v>0</v>
      </c>
      <c r="J1811" s="8">
        <v>41218</v>
      </c>
      <c r="K1811" s="6">
        <v>74</v>
      </c>
      <c r="L1811">
        <f>VLOOKUP(A1811,Marketing_df2!$A$1:$F$2241,3,FALSE)</f>
        <v>34</v>
      </c>
      <c r="M1811">
        <f>VLOOKUP(A1811,Marketing_df2!$A$1:$F$2241,4,FALSE)</f>
        <v>86</v>
      </c>
      <c r="N1811">
        <f>VLOOKUP(A1811,Marketing_df2!$A$1:$F$2241,5,FALSE)</f>
        <v>3</v>
      </c>
      <c r="O1811">
        <f>VLOOKUP(A1811,Marketing_df2!$A$1:$F$2241,6,FALSE)</f>
        <v>8</v>
      </c>
    </row>
    <row r="1812" spans="1:15" ht="12.5">
      <c r="A1812" s="6">
        <v>1810</v>
      </c>
      <c r="B1812" s="6">
        <v>5513</v>
      </c>
      <c r="C1812" s="6">
        <v>1966</v>
      </c>
      <c r="D1812" s="7" t="s">
        <v>9</v>
      </c>
      <c r="E1812" s="7" t="s">
        <v>11</v>
      </c>
      <c r="F1812" s="6">
        <v>37758</v>
      </c>
      <c r="G1812" s="6">
        <v>1</v>
      </c>
      <c r="H1812" s="6">
        <v>1</v>
      </c>
      <c r="I1812" s="6">
        <f t="shared" si="28"/>
        <v>2</v>
      </c>
      <c r="J1812" s="8">
        <v>41186</v>
      </c>
      <c r="K1812" s="6">
        <v>49</v>
      </c>
      <c r="L1812">
        <f>VLOOKUP(A1812,Marketing_df2!$A$1:$F$2241,3,FALSE)</f>
        <v>2</v>
      </c>
      <c r="M1812">
        <f>VLOOKUP(A1812,Marketing_df2!$A$1:$F$2241,4,FALSE)</f>
        <v>0</v>
      </c>
      <c r="N1812">
        <f>VLOOKUP(A1812,Marketing_df2!$A$1:$F$2241,5,FALSE)</f>
        <v>1</v>
      </c>
      <c r="O1812">
        <f>VLOOKUP(A1812,Marketing_df2!$A$1:$F$2241,6,FALSE)</f>
        <v>3</v>
      </c>
    </row>
    <row r="1813" spans="1:15" ht="12.5">
      <c r="A1813" s="6">
        <v>1811</v>
      </c>
      <c r="B1813" s="6">
        <v>269</v>
      </c>
      <c r="C1813" s="6">
        <v>1963</v>
      </c>
      <c r="D1813" s="7" t="s">
        <v>12</v>
      </c>
      <c r="E1813" s="7" t="s">
        <v>10</v>
      </c>
      <c r="F1813" s="6">
        <v>46757</v>
      </c>
      <c r="G1813" s="6">
        <v>0</v>
      </c>
      <c r="H1813" s="6">
        <v>1</v>
      </c>
      <c r="I1813" s="6">
        <f t="shared" si="28"/>
        <v>1</v>
      </c>
      <c r="J1813" s="9">
        <v>41229</v>
      </c>
      <c r="K1813" s="6">
        <v>71</v>
      </c>
      <c r="L1813">
        <f>VLOOKUP(A1813,Marketing_df2!$A$1:$F$2241,3,FALSE)</f>
        <v>30</v>
      </c>
      <c r="M1813">
        <f>VLOOKUP(A1813,Marketing_df2!$A$1:$F$2241,4,FALSE)</f>
        <v>51</v>
      </c>
      <c r="N1813">
        <f>VLOOKUP(A1813,Marketing_df2!$A$1:$F$2241,5,FALSE)</f>
        <v>4</v>
      </c>
      <c r="O1813">
        <f>VLOOKUP(A1813,Marketing_df2!$A$1:$F$2241,6,FALSE)</f>
        <v>7</v>
      </c>
    </row>
    <row r="1814" spans="1:15" ht="12.5">
      <c r="A1814" s="6">
        <v>1812</v>
      </c>
      <c r="B1814" s="6">
        <v>8093</v>
      </c>
      <c r="C1814" s="6">
        <v>1969</v>
      </c>
      <c r="D1814" s="7" t="s">
        <v>14</v>
      </c>
      <c r="E1814" s="7" t="s">
        <v>13</v>
      </c>
      <c r="F1814" s="6">
        <v>79734</v>
      </c>
      <c r="G1814" s="6">
        <v>0</v>
      </c>
      <c r="H1814" s="6">
        <v>0</v>
      </c>
      <c r="I1814" s="6">
        <f t="shared" si="28"/>
        <v>0</v>
      </c>
      <c r="J1814" s="8">
        <v>41818</v>
      </c>
      <c r="K1814" s="6">
        <v>72</v>
      </c>
      <c r="L1814">
        <f>VLOOKUP(A1814,Marketing_df2!$A$1:$F$2241,3,FALSE)</f>
        <v>8</v>
      </c>
      <c r="M1814">
        <f>VLOOKUP(A1814,Marketing_df2!$A$1:$F$2241,4,FALSE)</f>
        <v>62</v>
      </c>
      <c r="N1814">
        <f>VLOOKUP(A1814,Marketing_df2!$A$1:$F$2241,5,FALSE)</f>
        <v>4</v>
      </c>
      <c r="O1814">
        <f>VLOOKUP(A1814,Marketing_df2!$A$1:$F$2241,6,FALSE)</f>
        <v>6</v>
      </c>
    </row>
    <row r="1815" spans="1:15" ht="12.5">
      <c r="A1815" s="6">
        <v>1813</v>
      </c>
      <c r="B1815" s="6">
        <v>10513</v>
      </c>
      <c r="C1815" s="6">
        <v>1992</v>
      </c>
      <c r="D1815" s="7" t="s">
        <v>9</v>
      </c>
      <c r="E1815" s="7" t="s">
        <v>11</v>
      </c>
      <c r="F1815" s="6">
        <v>63207</v>
      </c>
      <c r="G1815" s="6">
        <v>0</v>
      </c>
      <c r="H1815" s="6">
        <v>0</v>
      </c>
      <c r="I1815" s="6">
        <f t="shared" si="28"/>
        <v>0</v>
      </c>
      <c r="J1815" s="8">
        <v>41294</v>
      </c>
      <c r="K1815" s="6">
        <v>68</v>
      </c>
      <c r="L1815">
        <f>VLOOKUP(A1815,Marketing_df2!$A$1:$F$2241,3,FALSE)</f>
        <v>169</v>
      </c>
      <c r="M1815">
        <f>VLOOKUP(A1815,Marketing_df2!$A$1:$F$2241,4,FALSE)</f>
        <v>169</v>
      </c>
      <c r="N1815">
        <f>VLOOKUP(A1815,Marketing_df2!$A$1:$F$2241,5,FALSE)</f>
        <v>2</v>
      </c>
      <c r="O1815">
        <f>VLOOKUP(A1815,Marketing_df2!$A$1:$F$2241,6,FALSE)</f>
        <v>6</v>
      </c>
    </row>
    <row r="1816" spans="1:15" ht="12.5">
      <c r="A1816" s="6">
        <v>1814</v>
      </c>
      <c r="B1816" s="6">
        <v>10177</v>
      </c>
      <c r="C1816" s="6">
        <v>1954</v>
      </c>
      <c r="D1816" s="7" t="s">
        <v>9</v>
      </c>
      <c r="E1816" s="7" t="s">
        <v>15</v>
      </c>
      <c r="F1816" s="6">
        <v>72071</v>
      </c>
      <c r="G1816" s="6">
        <v>0</v>
      </c>
      <c r="H1816" s="6">
        <v>1</v>
      </c>
      <c r="I1816" s="6">
        <f t="shared" si="28"/>
        <v>1</v>
      </c>
      <c r="J1816" s="8">
        <v>41319</v>
      </c>
      <c r="K1816" s="6">
        <v>4</v>
      </c>
      <c r="L1816">
        <f>VLOOKUP(A1816,Marketing_df2!$A$1:$F$2241,3,FALSE)</f>
        <v>69</v>
      </c>
      <c r="M1816">
        <f>VLOOKUP(A1816,Marketing_df2!$A$1:$F$2241,4,FALSE)</f>
        <v>138</v>
      </c>
      <c r="N1816">
        <f>VLOOKUP(A1816,Marketing_df2!$A$1:$F$2241,5,FALSE)</f>
        <v>5</v>
      </c>
      <c r="O1816">
        <f>VLOOKUP(A1816,Marketing_df2!$A$1:$F$2241,6,FALSE)</f>
        <v>8</v>
      </c>
    </row>
    <row r="1817" spans="1:15" ht="12.5">
      <c r="A1817" s="6">
        <v>1815</v>
      </c>
      <c r="B1817" s="6">
        <v>2549</v>
      </c>
      <c r="C1817" s="6">
        <v>1983</v>
      </c>
      <c r="D1817" s="7" t="s">
        <v>12</v>
      </c>
      <c r="E1817" s="7" t="s">
        <v>11</v>
      </c>
      <c r="F1817" s="6">
        <v>21840</v>
      </c>
      <c r="G1817" s="6">
        <v>1</v>
      </c>
      <c r="H1817" s="6">
        <v>0</v>
      </c>
      <c r="I1817" s="6">
        <f t="shared" si="28"/>
        <v>1</v>
      </c>
      <c r="J1817" s="8">
        <v>41476</v>
      </c>
      <c r="K1817" s="6">
        <v>80</v>
      </c>
      <c r="L1817">
        <f>VLOOKUP(A1817,Marketing_df2!$A$1:$F$2241,3,FALSE)</f>
        <v>0</v>
      </c>
      <c r="M1817">
        <f>VLOOKUP(A1817,Marketing_df2!$A$1:$F$2241,4,FALSE)</f>
        <v>0</v>
      </c>
      <c r="N1817">
        <f>VLOOKUP(A1817,Marketing_df2!$A$1:$F$2241,5,FALSE)</f>
        <v>1</v>
      </c>
      <c r="O1817">
        <f>VLOOKUP(A1817,Marketing_df2!$A$1:$F$2241,6,FALSE)</f>
        <v>3</v>
      </c>
    </row>
    <row r="1818" spans="1:15" ht="12.5">
      <c r="A1818" s="6">
        <v>1816</v>
      </c>
      <c r="B1818" s="6">
        <v>5782</v>
      </c>
      <c r="C1818" s="6">
        <v>1982</v>
      </c>
      <c r="D1818" s="7" t="s">
        <v>17</v>
      </c>
      <c r="E1818" s="7" t="s">
        <v>11</v>
      </c>
      <c r="F1818" s="6">
        <v>58582</v>
      </c>
      <c r="G1818" s="6">
        <v>0</v>
      </c>
      <c r="H1818" s="6">
        <v>1</v>
      </c>
      <c r="I1818" s="6">
        <f t="shared" si="28"/>
        <v>1</v>
      </c>
      <c r="J1818" s="8">
        <v>41545</v>
      </c>
      <c r="K1818" s="6">
        <v>15</v>
      </c>
      <c r="L1818">
        <f>VLOOKUP(A1818,Marketing_df2!$A$1:$F$2241,3,FALSE)</f>
        <v>35</v>
      </c>
      <c r="M1818">
        <f>VLOOKUP(A1818,Marketing_df2!$A$1:$F$2241,4,FALSE)</f>
        <v>77</v>
      </c>
      <c r="N1818">
        <f>VLOOKUP(A1818,Marketing_df2!$A$1:$F$2241,5,FALSE)</f>
        <v>9</v>
      </c>
      <c r="O1818">
        <f>VLOOKUP(A1818,Marketing_df2!$A$1:$F$2241,6,FALSE)</f>
        <v>9</v>
      </c>
    </row>
    <row r="1819" spans="1:15" ht="12.5">
      <c r="A1819" s="6">
        <v>1817</v>
      </c>
      <c r="B1819" s="6">
        <v>10057</v>
      </c>
      <c r="C1819" s="6">
        <v>1951</v>
      </c>
      <c r="D1819" s="7" t="s">
        <v>9</v>
      </c>
      <c r="E1819" s="7" t="s">
        <v>10</v>
      </c>
      <c r="F1819" s="6">
        <v>72282</v>
      </c>
      <c r="G1819" s="6">
        <v>0</v>
      </c>
      <c r="H1819" s="6">
        <v>0</v>
      </c>
      <c r="I1819" s="6">
        <f t="shared" si="28"/>
        <v>0</v>
      </c>
      <c r="J1819" s="8">
        <v>41474</v>
      </c>
      <c r="K1819" s="6">
        <v>70</v>
      </c>
      <c r="L1819">
        <f>VLOOKUP(A1819,Marketing_df2!$A$1:$F$2241,3,FALSE)</f>
        <v>27</v>
      </c>
      <c r="M1819">
        <f>VLOOKUP(A1819,Marketing_df2!$A$1:$F$2241,4,FALSE)</f>
        <v>139</v>
      </c>
      <c r="N1819">
        <f>VLOOKUP(A1819,Marketing_df2!$A$1:$F$2241,5,FALSE)</f>
        <v>5</v>
      </c>
      <c r="O1819">
        <f>VLOOKUP(A1819,Marketing_df2!$A$1:$F$2241,6,FALSE)</f>
        <v>9</v>
      </c>
    </row>
    <row r="1820" spans="1:15" ht="12.5">
      <c r="A1820" s="6">
        <v>1818</v>
      </c>
      <c r="B1820" s="6">
        <v>10307</v>
      </c>
      <c r="C1820" s="6">
        <v>1956</v>
      </c>
      <c r="D1820" s="7" t="s">
        <v>9</v>
      </c>
      <c r="E1820" s="7" t="s">
        <v>13</v>
      </c>
      <c r="F1820" s="6">
        <v>50387</v>
      </c>
      <c r="G1820" s="6">
        <v>0</v>
      </c>
      <c r="H1820" s="6">
        <v>2</v>
      </c>
      <c r="I1820" s="6">
        <f t="shared" si="28"/>
        <v>2</v>
      </c>
      <c r="J1820" s="8">
        <v>41517</v>
      </c>
      <c r="K1820" s="6">
        <v>91</v>
      </c>
      <c r="L1820">
        <f>VLOOKUP(A1820,Marketing_df2!$A$1:$F$2241,3,FALSE)</f>
        <v>9</v>
      </c>
      <c r="M1820">
        <f>VLOOKUP(A1820,Marketing_df2!$A$1:$F$2241,4,FALSE)</f>
        <v>14</v>
      </c>
      <c r="N1820">
        <f>VLOOKUP(A1820,Marketing_df2!$A$1:$F$2241,5,FALSE)</f>
        <v>6</v>
      </c>
      <c r="O1820">
        <f>VLOOKUP(A1820,Marketing_df2!$A$1:$F$2241,6,FALSE)</f>
        <v>8</v>
      </c>
    </row>
    <row r="1821" spans="1:15" ht="12.5">
      <c r="A1821" s="6">
        <v>1819</v>
      </c>
      <c r="B1821" s="6">
        <v>8566</v>
      </c>
      <c r="C1821" s="6">
        <v>1961</v>
      </c>
      <c r="D1821" s="7" t="s">
        <v>12</v>
      </c>
      <c r="E1821" s="7" t="s">
        <v>11</v>
      </c>
      <c r="F1821" s="6">
        <v>32583</v>
      </c>
      <c r="G1821" s="6">
        <v>1</v>
      </c>
      <c r="H1821" s="6">
        <v>1</v>
      </c>
      <c r="I1821" s="6">
        <f t="shared" si="28"/>
        <v>2</v>
      </c>
      <c r="J1821" s="8">
        <v>41805</v>
      </c>
      <c r="K1821" s="6">
        <v>10</v>
      </c>
      <c r="L1821">
        <f>VLOOKUP(A1821,Marketing_df2!$A$1:$F$2241,3,FALSE)</f>
        <v>0</v>
      </c>
      <c r="M1821">
        <f>VLOOKUP(A1821,Marketing_df2!$A$1:$F$2241,4,FALSE)</f>
        <v>0</v>
      </c>
      <c r="N1821">
        <f>VLOOKUP(A1821,Marketing_df2!$A$1:$F$2241,5,FALSE)</f>
        <v>1</v>
      </c>
      <c r="O1821">
        <f>VLOOKUP(A1821,Marketing_df2!$A$1:$F$2241,6,FALSE)</f>
        <v>2</v>
      </c>
    </row>
    <row r="1822" spans="1:15" ht="12.5">
      <c r="A1822" s="6">
        <v>1820</v>
      </c>
      <c r="B1822" s="6">
        <v>2415</v>
      </c>
      <c r="C1822" s="6">
        <v>1962</v>
      </c>
      <c r="D1822" s="7" t="s">
        <v>9</v>
      </c>
      <c r="E1822" s="7" t="s">
        <v>11</v>
      </c>
      <c r="F1822" s="6">
        <v>62568</v>
      </c>
      <c r="G1822" s="6">
        <v>0</v>
      </c>
      <c r="H1822" s="6">
        <v>1</v>
      </c>
      <c r="I1822" s="6">
        <f t="shared" si="28"/>
        <v>1</v>
      </c>
      <c r="J1822" s="8">
        <v>41736</v>
      </c>
      <c r="K1822" s="6">
        <v>99</v>
      </c>
      <c r="L1822">
        <f>VLOOKUP(A1822,Marketing_df2!$A$1:$F$2241,3,FALSE)</f>
        <v>17</v>
      </c>
      <c r="M1822">
        <f>VLOOKUP(A1822,Marketing_df2!$A$1:$F$2241,4,FALSE)</f>
        <v>35</v>
      </c>
      <c r="N1822">
        <f>VLOOKUP(A1822,Marketing_df2!$A$1:$F$2241,5,FALSE)</f>
        <v>5</v>
      </c>
      <c r="O1822">
        <f>VLOOKUP(A1822,Marketing_df2!$A$1:$F$2241,6,FALSE)</f>
        <v>5</v>
      </c>
    </row>
    <row r="1823" spans="1:15" ht="12.5">
      <c r="A1823" s="6">
        <v>1821</v>
      </c>
      <c r="B1823" s="6">
        <v>5684</v>
      </c>
      <c r="C1823" s="6">
        <v>1971</v>
      </c>
      <c r="D1823" s="7" t="s">
        <v>14</v>
      </c>
      <c r="E1823" s="7" t="s">
        <v>15</v>
      </c>
      <c r="F1823" s="6">
        <v>44635</v>
      </c>
      <c r="G1823" s="6">
        <v>1</v>
      </c>
      <c r="H1823" s="6">
        <v>1</v>
      </c>
      <c r="I1823" s="6">
        <f t="shared" si="28"/>
        <v>2</v>
      </c>
      <c r="J1823" s="9">
        <v>41558</v>
      </c>
      <c r="K1823" s="6">
        <v>25</v>
      </c>
      <c r="L1823">
        <f>VLOOKUP(A1823,Marketing_df2!$A$1:$F$2241,3,FALSE)</f>
        <v>0</v>
      </c>
      <c r="M1823">
        <f>VLOOKUP(A1823,Marketing_df2!$A$1:$F$2241,4,FALSE)</f>
        <v>0</v>
      </c>
      <c r="N1823">
        <f>VLOOKUP(A1823,Marketing_df2!$A$1:$F$2241,5,FALSE)</f>
        <v>2</v>
      </c>
      <c r="O1823">
        <f>VLOOKUP(A1823,Marketing_df2!$A$1:$F$2241,6,FALSE)</f>
        <v>3</v>
      </c>
    </row>
    <row r="1824" spans="1:15" ht="12.5">
      <c r="A1824" s="6">
        <v>1822</v>
      </c>
      <c r="B1824" s="6">
        <v>8334</v>
      </c>
      <c r="C1824" s="6">
        <v>1971</v>
      </c>
      <c r="D1824" s="7" t="s">
        <v>14</v>
      </c>
      <c r="E1824" s="7" t="s">
        <v>10</v>
      </c>
      <c r="F1824" s="6">
        <v>33316</v>
      </c>
      <c r="G1824" s="6">
        <v>1</v>
      </c>
      <c r="H1824" s="6">
        <v>1</v>
      </c>
      <c r="I1824" s="6">
        <f t="shared" si="28"/>
        <v>2</v>
      </c>
      <c r="J1824" s="8">
        <v>41551</v>
      </c>
      <c r="K1824" s="6">
        <v>34</v>
      </c>
      <c r="L1824">
        <f>VLOOKUP(A1824,Marketing_df2!$A$1:$F$2241,3,FALSE)</f>
        <v>1</v>
      </c>
      <c r="M1824">
        <f>VLOOKUP(A1824,Marketing_df2!$A$1:$F$2241,4,FALSE)</f>
        <v>4</v>
      </c>
      <c r="N1824">
        <f>VLOOKUP(A1824,Marketing_df2!$A$1:$F$2241,5,FALSE)</f>
        <v>2</v>
      </c>
      <c r="O1824">
        <f>VLOOKUP(A1824,Marketing_df2!$A$1:$F$2241,6,FALSE)</f>
        <v>4</v>
      </c>
    </row>
    <row r="1825" spans="1:15" ht="12.5">
      <c r="A1825" s="6">
        <v>1823</v>
      </c>
      <c r="B1825" s="6">
        <v>9166</v>
      </c>
      <c r="C1825" s="6">
        <v>1968</v>
      </c>
      <c r="D1825" s="7" t="s">
        <v>9</v>
      </c>
      <c r="E1825" s="7" t="s">
        <v>13</v>
      </c>
      <c r="F1825" s="6">
        <v>63967</v>
      </c>
      <c r="G1825" s="6">
        <v>0</v>
      </c>
      <c r="H1825" s="6">
        <v>1</v>
      </c>
      <c r="I1825" s="6">
        <f t="shared" si="28"/>
        <v>1</v>
      </c>
      <c r="J1825" s="8">
        <v>41495</v>
      </c>
      <c r="K1825" s="6">
        <v>57</v>
      </c>
      <c r="L1825">
        <f>VLOOKUP(A1825,Marketing_df2!$A$1:$F$2241,3,FALSE)</f>
        <v>84</v>
      </c>
      <c r="M1825">
        <f>VLOOKUP(A1825,Marketing_df2!$A$1:$F$2241,4,FALSE)</f>
        <v>35</v>
      </c>
      <c r="N1825">
        <f>VLOOKUP(A1825,Marketing_df2!$A$1:$F$2241,5,FALSE)</f>
        <v>4</v>
      </c>
      <c r="O1825">
        <f>VLOOKUP(A1825,Marketing_df2!$A$1:$F$2241,6,FALSE)</f>
        <v>12</v>
      </c>
    </row>
    <row r="1826" spans="1:15" ht="12.5">
      <c r="A1826" s="6">
        <v>1824</v>
      </c>
      <c r="B1826" s="6">
        <v>1440</v>
      </c>
      <c r="C1826" s="6">
        <v>1978</v>
      </c>
      <c r="D1826" s="7" t="s">
        <v>17</v>
      </c>
      <c r="E1826" s="7" t="s">
        <v>11</v>
      </c>
      <c r="F1826" s="6">
        <v>52513</v>
      </c>
      <c r="G1826" s="6">
        <v>0</v>
      </c>
      <c r="H1826" s="6">
        <v>0</v>
      </c>
      <c r="I1826" s="6">
        <f t="shared" si="28"/>
        <v>0</v>
      </c>
      <c r="J1826" s="8">
        <v>41156</v>
      </c>
      <c r="K1826" s="6">
        <v>84</v>
      </c>
      <c r="L1826">
        <f>VLOOKUP(A1826,Marketing_df2!$A$1:$F$2241,3,FALSE)</f>
        <v>17</v>
      </c>
      <c r="M1826">
        <f>VLOOKUP(A1826,Marketing_df2!$A$1:$F$2241,4,FALSE)</f>
        <v>188</v>
      </c>
      <c r="N1826">
        <f>VLOOKUP(A1826,Marketing_df2!$A$1:$F$2241,5,FALSE)</f>
        <v>9</v>
      </c>
      <c r="O1826">
        <f>VLOOKUP(A1826,Marketing_df2!$A$1:$F$2241,6,FALSE)</f>
        <v>9</v>
      </c>
    </row>
    <row r="1827" spans="1:15" ht="12.5">
      <c r="A1827" s="6">
        <v>1825</v>
      </c>
      <c r="B1827" s="6">
        <v>78</v>
      </c>
      <c r="C1827" s="6">
        <v>1969</v>
      </c>
      <c r="D1827" s="7" t="s">
        <v>9</v>
      </c>
      <c r="E1827" s="7" t="s">
        <v>13</v>
      </c>
      <c r="F1827" s="6">
        <v>25293</v>
      </c>
      <c r="G1827" s="6">
        <v>1</v>
      </c>
      <c r="H1827" s="6">
        <v>0</v>
      </c>
      <c r="I1827" s="6">
        <f t="shared" si="28"/>
        <v>1</v>
      </c>
      <c r="J1827" s="8">
        <v>41532</v>
      </c>
      <c r="K1827" s="6">
        <v>51</v>
      </c>
      <c r="L1827">
        <f>VLOOKUP(A1827,Marketing_df2!$A$1:$F$2241,3,FALSE)</f>
        <v>0</v>
      </c>
      <c r="M1827">
        <f>VLOOKUP(A1827,Marketing_df2!$A$1:$F$2241,4,FALSE)</f>
        <v>2</v>
      </c>
      <c r="N1827">
        <f>VLOOKUP(A1827,Marketing_df2!$A$1:$F$2241,5,FALSE)</f>
        <v>1</v>
      </c>
      <c r="O1827">
        <f>VLOOKUP(A1827,Marketing_df2!$A$1:$F$2241,6,FALSE)</f>
        <v>2</v>
      </c>
    </row>
    <row r="1828" spans="1:15" ht="12.5">
      <c r="A1828" s="6">
        <v>1826</v>
      </c>
      <c r="B1828" s="6">
        <v>5441</v>
      </c>
      <c r="C1828" s="6">
        <v>1965</v>
      </c>
      <c r="D1828" s="7" t="s">
        <v>12</v>
      </c>
      <c r="E1828" s="7" t="s">
        <v>18</v>
      </c>
      <c r="F1828" s="6">
        <v>54111</v>
      </c>
      <c r="G1828" s="6">
        <v>0</v>
      </c>
      <c r="H1828" s="6">
        <v>1</v>
      </c>
      <c r="I1828" s="6">
        <f t="shared" si="28"/>
        <v>1</v>
      </c>
      <c r="J1828" s="8">
        <v>41511</v>
      </c>
      <c r="K1828" s="6">
        <v>97</v>
      </c>
      <c r="L1828">
        <f>VLOOKUP(A1828,Marketing_df2!$A$1:$F$2241,3,FALSE)</f>
        <v>6</v>
      </c>
      <c r="M1828">
        <f>VLOOKUP(A1828,Marketing_df2!$A$1:$F$2241,4,FALSE)</f>
        <v>3</v>
      </c>
      <c r="N1828">
        <f>VLOOKUP(A1828,Marketing_df2!$A$1:$F$2241,5,FALSE)</f>
        <v>5</v>
      </c>
      <c r="O1828">
        <f>VLOOKUP(A1828,Marketing_df2!$A$1:$F$2241,6,FALSE)</f>
        <v>6</v>
      </c>
    </row>
    <row r="1829" spans="1:15" ht="12.5">
      <c r="A1829" s="6">
        <v>1827</v>
      </c>
      <c r="B1829" s="6">
        <v>5302</v>
      </c>
      <c r="C1829" s="6">
        <v>1986</v>
      </c>
      <c r="D1829" s="7" t="s">
        <v>9</v>
      </c>
      <c r="E1829" s="7" t="s">
        <v>11</v>
      </c>
      <c r="F1829" s="6">
        <v>78394</v>
      </c>
      <c r="G1829" s="6">
        <v>0</v>
      </c>
      <c r="H1829" s="6">
        <v>0</v>
      </c>
      <c r="I1829" s="6">
        <f t="shared" si="28"/>
        <v>0</v>
      </c>
      <c r="J1829" s="8">
        <v>41320</v>
      </c>
      <c r="K1829" s="6">
        <v>13</v>
      </c>
      <c r="L1829">
        <f>VLOOKUP(A1829,Marketing_df2!$A$1:$F$2241,3,FALSE)</f>
        <v>27</v>
      </c>
      <c r="M1829">
        <f>VLOOKUP(A1829,Marketing_df2!$A$1:$F$2241,4,FALSE)</f>
        <v>24</v>
      </c>
      <c r="N1829">
        <f>VLOOKUP(A1829,Marketing_df2!$A$1:$F$2241,5,FALSE)</f>
        <v>4</v>
      </c>
      <c r="O1829">
        <f>VLOOKUP(A1829,Marketing_df2!$A$1:$F$2241,6,FALSE)</f>
        <v>5</v>
      </c>
    </row>
    <row r="1830" spans="1:15" ht="12.5">
      <c r="A1830" s="6">
        <v>1828</v>
      </c>
      <c r="B1830" s="6">
        <v>4687</v>
      </c>
      <c r="C1830" s="6">
        <v>1958</v>
      </c>
      <c r="D1830" s="7" t="s">
        <v>14</v>
      </c>
      <c r="E1830" s="7" t="s">
        <v>13</v>
      </c>
      <c r="F1830" s="6">
        <v>80739</v>
      </c>
      <c r="G1830" s="6">
        <v>0</v>
      </c>
      <c r="H1830" s="6">
        <v>0</v>
      </c>
      <c r="I1830" s="6">
        <f t="shared" si="28"/>
        <v>0</v>
      </c>
      <c r="J1830" s="8">
        <v>41417</v>
      </c>
      <c r="K1830" s="6">
        <v>92</v>
      </c>
      <c r="L1830">
        <f>VLOOKUP(A1830,Marketing_df2!$A$1:$F$2241,3,FALSE)</f>
        <v>92</v>
      </c>
      <c r="M1830">
        <f>VLOOKUP(A1830,Marketing_df2!$A$1:$F$2241,4,FALSE)</f>
        <v>0</v>
      </c>
      <c r="N1830">
        <f>VLOOKUP(A1830,Marketing_df2!$A$1:$F$2241,5,FALSE)</f>
        <v>3</v>
      </c>
      <c r="O1830">
        <f>VLOOKUP(A1830,Marketing_df2!$A$1:$F$2241,6,FALSE)</f>
        <v>9</v>
      </c>
    </row>
    <row r="1831" spans="1:15" ht="12.5">
      <c r="A1831" s="6">
        <v>1829</v>
      </c>
      <c r="B1831" s="6">
        <v>1087</v>
      </c>
      <c r="C1831" s="6">
        <v>1975</v>
      </c>
      <c r="D1831" s="7" t="s">
        <v>14</v>
      </c>
      <c r="E1831" s="7" t="s">
        <v>11</v>
      </c>
      <c r="F1831" s="6">
        <v>22669</v>
      </c>
      <c r="G1831" s="6">
        <v>1</v>
      </c>
      <c r="H1831" s="6">
        <v>0</v>
      </c>
      <c r="I1831" s="6">
        <f t="shared" si="28"/>
        <v>1</v>
      </c>
      <c r="J1831" s="8">
        <v>41416</v>
      </c>
      <c r="K1831" s="6">
        <v>30</v>
      </c>
      <c r="L1831">
        <f>VLOOKUP(A1831,Marketing_df2!$A$1:$F$2241,3,FALSE)</f>
        <v>14</v>
      </c>
      <c r="M1831">
        <f>VLOOKUP(A1831,Marketing_df2!$A$1:$F$2241,4,FALSE)</f>
        <v>22</v>
      </c>
      <c r="N1831">
        <f>VLOOKUP(A1831,Marketing_df2!$A$1:$F$2241,5,FALSE)</f>
        <v>4</v>
      </c>
      <c r="O1831">
        <f>VLOOKUP(A1831,Marketing_df2!$A$1:$F$2241,6,FALSE)</f>
        <v>2</v>
      </c>
    </row>
    <row r="1832" spans="1:15" ht="12.5">
      <c r="A1832" s="6">
        <v>1830</v>
      </c>
      <c r="B1832" s="6">
        <v>6859</v>
      </c>
      <c r="C1832" s="6">
        <v>1987</v>
      </c>
      <c r="D1832" s="7" t="s">
        <v>9</v>
      </c>
      <c r="E1832" s="7" t="s">
        <v>10</v>
      </c>
      <c r="F1832" s="6">
        <v>29236</v>
      </c>
      <c r="G1832" s="6">
        <v>1</v>
      </c>
      <c r="H1832" s="6">
        <v>0</v>
      </c>
      <c r="I1832" s="6">
        <f t="shared" si="28"/>
        <v>1</v>
      </c>
      <c r="J1832" s="8">
        <v>41555</v>
      </c>
      <c r="K1832" s="6">
        <v>30</v>
      </c>
      <c r="L1832">
        <f>VLOOKUP(A1832,Marketing_df2!$A$1:$F$2241,3,FALSE)</f>
        <v>4</v>
      </c>
      <c r="M1832">
        <f>VLOOKUP(A1832,Marketing_df2!$A$1:$F$2241,4,FALSE)</f>
        <v>9</v>
      </c>
      <c r="N1832">
        <f>VLOOKUP(A1832,Marketing_df2!$A$1:$F$2241,5,FALSE)</f>
        <v>4</v>
      </c>
      <c r="O1832">
        <f>VLOOKUP(A1832,Marketing_df2!$A$1:$F$2241,6,FALSE)</f>
        <v>3</v>
      </c>
    </row>
    <row r="1833" spans="1:15" ht="12.5">
      <c r="A1833" s="6">
        <v>1831</v>
      </c>
      <c r="B1833" s="6">
        <v>9860</v>
      </c>
      <c r="C1833" s="6">
        <v>1959</v>
      </c>
      <c r="D1833" s="7" t="s">
        <v>9</v>
      </c>
      <c r="E1833" s="7" t="s">
        <v>11</v>
      </c>
      <c r="F1833" s="6">
        <v>44911</v>
      </c>
      <c r="G1833" s="6">
        <v>0</v>
      </c>
      <c r="H1833" s="6">
        <v>1</v>
      </c>
      <c r="I1833" s="6">
        <f t="shared" si="28"/>
        <v>1</v>
      </c>
      <c r="J1833" s="8">
        <v>41348</v>
      </c>
      <c r="K1833" s="6">
        <v>11</v>
      </c>
      <c r="L1833">
        <f>VLOOKUP(A1833,Marketing_df2!$A$1:$F$2241,3,FALSE)</f>
        <v>0</v>
      </c>
      <c r="M1833">
        <f>VLOOKUP(A1833,Marketing_df2!$A$1:$F$2241,4,FALSE)</f>
        <v>1</v>
      </c>
      <c r="N1833">
        <f>VLOOKUP(A1833,Marketing_df2!$A$1:$F$2241,5,FALSE)</f>
        <v>4</v>
      </c>
      <c r="O1833">
        <f>VLOOKUP(A1833,Marketing_df2!$A$1:$F$2241,6,FALSE)</f>
        <v>4</v>
      </c>
    </row>
    <row r="1834" spans="1:15" ht="12.5">
      <c r="A1834" s="6">
        <v>1832</v>
      </c>
      <c r="B1834" s="6">
        <v>7129</v>
      </c>
      <c r="C1834" s="6">
        <v>1962</v>
      </c>
      <c r="D1834" s="7" t="s">
        <v>12</v>
      </c>
      <c r="E1834" s="7" t="s">
        <v>13</v>
      </c>
      <c r="F1834" s="6">
        <v>54693</v>
      </c>
      <c r="G1834" s="6">
        <v>0</v>
      </c>
      <c r="H1834" s="6">
        <v>1</v>
      </c>
      <c r="I1834" s="6">
        <f t="shared" si="28"/>
        <v>1</v>
      </c>
      <c r="J1834" s="8">
        <v>41322</v>
      </c>
      <c r="K1834" s="6">
        <v>72</v>
      </c>
      <c r="L1834">
        <f>VLOOKUP(A1834,Marketing_df2!$A$1:$F$2241,3,FALSE)</f>
        <v>17</v>
      </c>
      <c r="M1834">
        <f>VLOOKUP(A1834,Marketing_df2!$A$1:$F$2241,4,FALSE)</f>
        <v>26</v>
      </c>
      <c r="N1834">
        <f>VLOOKUP(A1834,Marketing_df2!$A$1:$F$2241,5,FALSE)</f>
        <v>6</v>
      </c>
      <c r="O1834">
        <f>VLOOKUP(A1834,Marketing_df2!$A$1:$F$2241,6,FALSE)</f>
        <v>13</v>
      </c>
    </row>
    <row r="1835" spans="1:15" ht="12.5">
      <c r="A1835" s="6">
        <v>1833</v>
      </c>
      <c r="B1835" s="6">
        <v>5866</v>
      </c>
      <c r="C1835" s="6">
        <v>1974</v>
      </c>
      <c r="D1835" s="7" t="s">
        <v>9</v>
      </c>
      <c r="E1835" s="7" t="s">
        <v>11</v>
      </c>
      <c r="F1835" s="6">
        <v>48186</v>
      </c>
      <c r="G1835" s="6">
        <v>1</v>
      </c>
      <c r="H1835" s="6">
        <v>0</v>
      </c>
      <c r="I1835" s="6">
        <f t="shared" si="28"/>
        <v>1</v>
      </c>
      <c r="J1835" s="8">
        <v>41718</v>
      </c>
      <c r="K1835" s="6">
        <v>39</v>
      </c>
      <c r="L1835">
        <f>VLOOKUP(A1835,Marketing_df2!$A$1:$F$2241,3,FALSE)</f>
        <v>3</v>
      </c>
      <c r="M1835">
        <f>VLOOKUP(A1835,Marketing_df2!$A$1:$F$2241,4,FALSE)</f>
        <v>7</v>
      </c>
      <c r="N1835">
        <f>VLOOKUP(A1835,Marketing_df2!$A$1:$F$2241,5,FALSE)</f>
        <v>4</v>
      </c>
      <c r="O1835">
        <f>VLOOKUP(A1835,Marketing_df2!$A$1:$F$2241,6,FALSE)</f>
        <v>4</v>
      </c>
    </row>
    <row r="1836" spans="1:15" ht="12.5">
      <c r="A1836" s="6">
        <v>1834</v>
      </c>
      <c r="B1836" s="6">
        <v>10521</v>
      </c>
      <c r="C1836" s="6">
        <v>1977</v>
      </c>
      <c r="D1836" s="7" t="s">
        <v>9</v>
      </c>
      <c r="E1836" s="7" t="s">
        <v>13</v>
      </c>
      <c r="F1836" s="6">
        <v>54809</v>
      </c>
      <c r="G1836" s="6">
        <v>1</v>
      </c>
      <c r="H1836" s="6">
        <v>1</v>
      </c>
      <c r="I1836" s="6">
        <f t="shared" si="28"/>
        <v>2</v>
      </c>
      <c r="J1836" s="8">
        <v>41528</v>
      </c>
      <c r="K1836" s="6">
        <v>0</v>
      </c>
      <c r="L1836">
        <f>VLOOKUP(A1836,Marketing_df2!$A$1:$F$2241,3,FALSE)</f>
        <v>6</v>
      </c>
      <c r="M1836">
        <f>VLOOKUP(A1836,Marketing_df2!$A$1:$F$2241,4,FALSE)</f>
        <v>13</v>
      </c>
      <c r="N1836">
        <f>VLOOKUP(A1836,Marketing_df2!$A$1:$F$2241,5,FALSE)</f>
        <v>2</v>
      </c>
      <c r="O1836">
        <f>VLOOKUP(A1836,Marketing_df2!$A$1:$F$2241,6,FALSE)</f>
        <v>5</v>
      </c>
    </row>
    <row r="1837" spans="1:15" ht="12.5">
      <c r="A1837" s="6">
        <v>1835</v>
      </c>
      <c r="B1837" s="6">
        <v>7393</v>
      </c>
      <c r="C1837" s="6">
        <v>1978</v>
      </c>
      <c r="D1837" s="7" t="s">
        <v>9</v>
      </c>
      <c r="E1837" s="7" t="s">
        <v>11</v>
      </c>
      <c r="F1837" s="6">
        <v>41580</v>
      </c>
      <c r="G1837" s="6">
        <v>1</v>
      </c>
      <c r="H1837" s="6">
        <v>1</v>
      </c>
      <c r="I1837" s="6">
        <f t="shared" si="28"/>
        <v>2</v>
      </c>
      <c r="J1837" s="9">
        <v>41253</v>
      </c>
      <c r="K1837" s="6">
        <v>15</v>
      </c>
      <c r="L1837">
        <f>VLOOKUP(A1837,Marketing_df2!$A$1:$F$2241,3,FALSE)</f>
        <v>5</v>
      </c>
      <c r="M1837">
        <f>VLOOKUP(A1837,Marketing_df2!$A$1:$F$2241,4,FALSE)</f>
        <v>0</v>
      </c>
      <c r="N1837">
        <f>VLOOKUP(A1837,Marketing_df2!$A$1:$F$2241,5,FALSE)</f>
        <v>2</v>
      </c>
      <c r="O1837">
        <f>VLOOKUP(A1837,Marketing_df2!$A$1:$F$2241,6,FALSE)</f>
        <v>3</v>
      </c>
    </row>
    <row r="1838" spans="1:15" ht="12.5">
      <c r="A1838" s="6">
        <v>1836</v>
      </c>
      <c r="B1838" s="6">
        <v>7849</v>
      </c>
      <c r="C1838" s="6">
        <v>1970</v>
      </c>
      <c r="D1838" s="7" t="s">
        <v>12</v>
      </c>
      <c r="E1838" s="7" t="s">
        <v>13</v>
      </c>
      <c r="F1838" s="6">
        <v>80336</v>
      </c>
      <c r="G1838" s="6">
        <v>0</v>
      </c>
      <c r="H1838" s="6">
        <v>0</v>
      </c>
      <c r="I1838" s="6">
        <f t="shared" si="28"/>
        <v>0</v>
      </c>
      <c r="J1838" s="8">
        <v>41526</v>
      </c>
      <c r="K1838" s="6">
        <v>12</v>
      </c>
      <c r="L1838">
        <f>VLOOKUP(A1838,Marketing_df2!$A$1:$F$2241,3,FALSE)</f>
        <v>19</v>
      </c>
      <c r="M1838">
        <f>VLOOKUP(A1838,Marketing_df2!$A$1:$F$2241,4,FALSE)</f>
        <v>142</v>
      </c>
      <c r="N1838">
        <f>VLOOKUP(A1838,Marketing_df2!$A$1:$F$2241,5,FALSE)</f>
        <v>2</v>
      </c>
      <c r="O1838">
        <f>VLOOKUP(A1838,Marketing_df2!$A$1:$F$2241,6,FALSE)</f>
        <v>13</v>
      </c>
    </row>
    <row r="1839" spans="1:15" ht="12.5">
      <c r="A1839" s="6">
        <v>1837</v>
      </c>
      <c r="B1839" s="6">
        <v>332</v>
      </c>
      <c r="C1839" s="6">
        <v>1957</v>
      </c>
      <c r="D1839" s="7" t="s">
        <v>9</v>
      </c>
      <c r="E1839" s="7" t="s">
        <v>13</v>
      </c>
      <c r="F1839" s="6">
        <v>47743</v>
      </c>
      <c r="G1839" s="6">
        <v>0</v>
      </c>
      <c r="H1839" s="6">
        <v>1</v>
      </c>
      <c r="I1839" s="6">
        <f t="shared" si="28"/>
        <v>1</v>
      </c>
      <c r="J1839" s="8">
        <v>41355</v>
      </c>
      <c r="K1839" s="6">
        <v>56</v>
      </c>
      <c r="L1839">
        <f>VLOOKUP(A1839,Marketing_df2!$A$1:$F$2241,3,FALSE)</f>
        <v>2</v>
      </c>
      <c r="M1839">
        <f>VLOOKUP(A1839,Marketing_df2!$A$1:$F$2241,4,FALSE)</f>
        <v>12</v>
      </c>
      <c r="N1839">
        <f>VLOOKUP(A1839,Marketing_df2!$A$1:$F$2241,5,FALSE)</f>
        <v>4</v>
      </c>
      <c r="O1839">
        <f>VLOOKUP(A1839,Marketing_df2!$A$1:$F$2241,6,FALSE)</f>
        <v>6</v>
      </c>
    </row>
    <row r="1840" spans="1:15" ht="12.5">
      <c r="A1840" s="6">
        <v>1838</v>
      </c>
      <c r="B1840" s="6">
        <v>9847</v>
      </c>
      <c r="C1840" s="6">
        <v>1955</v>
      </c>
      <c r="D1840" s="7" t="s">
        <v>17</v>
      </c>
      <c r="E1840" s="7" t="s">
        <v>13</v>
      </c>
      <c r="F1840" s="6">
        <v>62972</v>
      </c>
      <c r="G1840" s="6">
        <v>0</v>
      </c>
      <c r="H1840" s="6">
        <v>1</v>
      </c>
      <c r="I1840" s="6">
        <f t="shared" si="28"/>
        <v>1</v>
      </c>
      <c r="J1840" s="8">
        <v>41124</v>
      </c>
      <c r="K1840" s="6">
        <v>39</v>
      </c>
      <c r="L1840">
        <f>VLOOKUP(A1840,Marketing_df2!$A$1:$F$2241,3,FALSE)</f>
        <v>15</v>
      </c>
      <c r="M1840">
        <f>VLOOKUP(A1840,Marketing_df2!$A$1:$F$2241,4,FALSE)</f>
        <v>0</v>
      </c>
      <c r="N1840">
        <f>VLOOKUP(A1840,Marketing_df2!$A$1:$F$2241,5,FALSE)</f>
        <v>7</v>
      </c>
      <c r="O1840">
        <f>VLOOKUP(A1840,Marketing_df2!$A$1:$F$2241,6,FALSE)</f>
        <v>3</v>
      </c>
    </row>
    <row r="1841" spans="1:15" ht="12.5">
      <c r="A1841" s="6">
        <v>1839</v>
      </c>
      <c r="B1841" s="6">
        <v>531</v>
      </c>
      <c r="C1841" s="6">
        <v>1954</v>
      </c>
      <c r="D1841" s="7" t="s">
        <v>12</v>
      </c>
      <c r="E1841" s="7" t="s">
        <v>15</v>
      </c>
      <c r="F1841" s="6">
        <v>57333</v>
      </c>
      <c r="G1841" s="6">
        <v>0</v>
      </c>
      <c r="H1841" s="6">
        <v>1</v>
      </c>
      <c r="I1841" s="6">
        <f t="shared" si="28"/>
        <v>1</v>
      </c>
      <c r="J1841" s="8">
        <v>41174</v>
      </c>
      <c r="K1841" s="6">
        <v>55</v>
      </c>
      <c r="L1841">
        <f>VLOOKUP(A1841,Marketing_df2!$A$1:$F$2241,3,FALSE)</f>
        <v>14</v>
      </c>
      <c r="M1841">
        <f>VLOOKUP(A1841,Marketing_df2!$A$1:$F$2241,4,FALSE)</f>
        <v>58</v>
      </c>
      <c r="N1841">
        <f>VLOOKUP(A1841,Marketing_df2!$A$1:$F$2241,5,FALSE)</f>
        <v>8</v>
      </c>
      <c r="O1841">
        <f>VLOOKUP(A1841,Marketing_df2!$A$1:$F$2241,6,FALSE)</f>
        <v>9</v>
      </c>
    </row>
    <row r="1842" spans="1:15" ht="12.5">
      <c r="A1842" s="6">
        <v>1840</v>
      </c>
      <c r="B1842" s="6">
        <v>9576</v>
      </c>
      <c r="C1842" s="6">
        <v>1982</v>
      </c>
      <c r="D1842" s="7" t="s">
        <v>12</v>
      </c>
      <c r="E1842" s="7" t="s">
        <v>11</v>
      </c>
      <c r="F1842" s="6">
        <v>32313</v>
      </c>
      <c r="G1842" s="6">
        <v>1</v>
      </c>
      <c r="H1842" s="6">
        <v>0</v>
      </c>
      <c r="I1842" s="6">
        <f t="shared" si="28"/>
        <v>1</v>
      </c>
      <c r="J1842" s="8">
        <v>41316</v>
      </c>
      <c r="K1842" s="6">
        <v>60</v>
      </c>
      <c r="L1842">
        <f>VLOOKUP(A1842,Marketing_df2!$A$1:$F$2241,3,FALSE)</f>
        <v>4</v>
      </c>
      <c r="M1842">
        <f>VLOOKUP(A1842,Marketing_df2!$A$1:$F$2241,4,FALSE)</f>
        <v>4</v>
      </c>
      <c r="N1842">
        <f>VLOOKUP(A1842,Marketing_df2!$A$1:$F$2241,5,FALSE)</f>
        <v>4</v>
      </c>
      <c r="O1842">
        <f>VLOOKUP(A1842,Marketing_df2!$A$1:$F$2241,6,FALSE)</f>
        <v>4</v>
      </c>
    </row>
    <row r="1843" spans="1:15" ht="12.5">
      <c r="A1843" s="6">
        <v>1841</v>
      </c>
      <c r="B1843" s="6">
        <v>6906</v>
      </c>
      <c r="C1843" s="6">
        <v>1953</v>
      </c>
      <c r="D1843" s="7" t="s">
        <v>14</v>
      </c>
      <c r="E1843" s="7" t="s">
        <v>18</v>
      </c>
      <c r="F1843" s="6">
        <v>84953</v>
      </c>
      <c r="G1843" s="6">
        <v>0</v>
      </c>
      <c r="H1843" s="6">
        <v>0</v>
      </c>
      <c r="I1843" s="6">
        <f t="shared" si="28"/>
        <v>0</v>
      </c>
      <c r="J1843" s="8">
        <v>41428</v>
      </c>
      <c r="K1843" s="6">
        <v>73</v>
      </c>
      <c r="L1843">
        <f>VLOOKUP(A1843,Marketing_df2!$A$1:$F$2241,3,FALSE)</f>
        <v>48</v>
      </c>
      <c r="M1843">
        <f>VLOOKUP(A1843,Marketing_df2!$A$1:$F$2241,4,FALSE)</f>
        <v>72</v>
      </c>
      <c r="N1843">
        <f>VLOOKUP(A1843,Marketing_df2!$A$1:$F$2241,5,FALSE)</f>
        <v>3</v>
      </c>
      <c r="O1843">
        <f>VLOOKUP(A1843,Marketing_df2!$A$1:$F$2241,6,FALSE)</f>
        <v>4</v>
      </c>
    </row>
    <row r="1844" spans="1:15" ht="12.5">
      <c r="A1844" s="6">
        <v>1842</v>
      </c>
      <c r="B1844" s="6">
        <v>7419</v>
      </c>
      <c r="C1844" s="6">
        <v>1968</v>
      </c>
      <c r="D1844" s="7" t="s">
        <v>14</v>
      </c>
      <c r="E1844" s="7" t="s">
        <v>15</v>
      </c>
      <c r="F1844" s="6">
        <v>27071</v>
      </c>
      <c r="G1844" s="6">
        <v>1</v>
      </c>
      <c r="H1844" s="6">
        <v>0</v>
      </c>
      <c r="I1844" s="6">
        <f t="shared" si="28"/>
        <v>1</v>
      </c>
      <c r="J1844" s="8">
        <v>41752</v>
      </c>
      <c r="K1844" s="6">
        <v>90</v>
      </c>
      <c r="L1844">
        <f>VLOOKUP(A1844,Marketing_df2!$A$1:$F$2241,3,FALSE)</f>
        <v>3</v>
      </c>
      <c r="M1844">
        <f>VLOOKUP(A1844,Marketing_df2!$A$1:$F$2241,4,FALSE)</f>
        <v>2</v>
      </c>
      <c r="N1844">
        <f>VLOOKUP(A1844,Marketing_df2!$A$1:$F$2241,5,FALSE)</f>
        <v>2</v>
      </c>
      <c r="O1844">
        <f>VLOOKUP(A1844,Marketing_df2!$A$1:$F$2241,6,FALSE)</f>
        <v>3</v>
      </c>
    </row>
    <row r="1845" spans="1:15" ht="12.5">
      <c r="A1845" s="6">
        <v>1843</v>
      </c>
      <c r="B1845" s="6">
        <v>3170</v>
      </c>
      <c r="C1845" s="6">
        <v>1957</v>
      </c>
      <c r="D1845" s="7" t="s">
        <v>14</v>
      </c>
      <c r="E1845" s="7" t="s">
        <v>11</v>
      </c>
      <c r="F1845" s="6">
        <v>68148</v>
      </c>
      <c r="G1845" s="6">
        <v>0</v>
      </c>
      <c r="H1845" s="6">
        <v>0</v>
      </c>
      <c r="I1845" s="6">
        <f t="shared" si="28"/>
        <v>0</v>
      </c>
      <c r="J1845" s="8">
        <v>41517</v>
      </c>
      <c r="K1845" s="6">
        <v>86</v>
      </c>
      <c r="L1845">
        <f>VLOOKUP(A1845,Marketing_df2!$A$1:$F$2241,3,FALSE)</f>
        <v>66</v>
      </c>
      <c r="M1845">
        <f>VLOOKUP(A1845,Marketing_df2!$A$1:$F$2241,4,FALSE)</f>
        <v>57</v>
      </c>
      <c r="N1845">
        <f>VLOOKUP(A1845,Marketing_df2!$A$1:$F$2241,5,FALSE)</f>
        <v>4</v>
      </c>
      <c r="O1845">
        <f>VLOOKUP(A1845,Marketing_df2!$A$1:$F$2241,6,FALSE)</f>
        <v>6</v>
      </c>
    </row>
    <row r="1846" spans="1:15" ht="12.5">
      <c r="A1846" s="6">
        <v>1844</v>
      </c>
      <c r="B1846" s="6">
        <v>8527</v>
      </c>
      <c r="C1846" s="6">
        <v>1965</v>
      </c>
      <c r="D1846" s="7" t="s">
        <v>14</v>
      </c>
      <c r="E1846" s="7" t="s">
        <v>11</v>
      </c>
      <c r="F1846" s="6">
        <v>65735</v>
      </c>
      <c r="G1846" s="6">
        <v>1</v>
      </c>
      <c r="H1846" s="6">
        <v>1</v>
      </c>
      <c r="I1846" s="6">
        <f t="shared" si="28"/>
        <v>2</v>
      </c>
      <c r="J1846" s="8">
        <v>41615</v>
      </c>
      <c r="K1846" s="6">
        <v>37</v>
      </c>
      <c r="L1846">
        <f>VLOOKUP(A1846,Marketing_df2!$A$1:$F$2241,3,FALSE)</f>
        <v>7</v>
      </c>
      <c r="M1846">
        <f>VLOOKUP(A1846,Marketing_df2!$A$1:$F$2241,4,FALSE)</f>
        <v>15</v>
      </c>
      <c r="N1846">
        <f>VLOOKUP(A1846,Marketing_df2!$A$1:$F$2241,5,FALSE)</f>
        <v>6</v>
      </c>
      <c r="O1846">
        <f>VLOOKUP(A1846,Marketing_df2!$A$1:$F$2241,6,FALSE)</f>
        <v>6</v>
      </c>
    </row>
    <row r="1847" spans="1:15" ht="12.5">
      <c r="A1847" s="6">
        <v>1845</v>
      </c>
      <c r="B1847" s="6">
        <v>7872</v>
      </c>
      <c r="C1847" s="6">
        <v>1975</v>
      </c>
      <c r="D1847" s="7" t="s">
        <v>12</v>
      </c>
      <c r="E1847" s="7" t="s">
        <v>13</v>
      </c>
      <c r="F1847" s="6">
        <v>86836</v>
      </c>
      <c r="G1847" s="6">
        <v>0</v>
      </c>
      <c r="H1847" s="6">
        <v>0</v>
      </c>
      <c r="I1847" s="6">
        <f t="shared" si="28"/>
        <v>0</v>
      </c>
      <c r="J1847" s="8">
        <v>41164</v>
      </c>
      <c r="K1847" s="6">
        <v>7</v>
      </c>
      <c r="L1847">
        <f>VLOOKUP(A1847,Marketing_df2!$A$1:$F$2241,3,FALSE)</f>
        <v>21</v>
      </c>
      <c r="M1847">
        <f>VLOOKUP(A1847,Marketing_df2!$A$1:$F$2241,4,FALSE)</f>
        <v>21</v>
      </c>
      <c r="N1847">
        <f>VLOOKUP(A1847,Marketing_df2!$A$1:$F$2241,5,FALSE)</f>
        <v>6</v>
      </c>
      <c r="O1847">
        <f>VLOOKUP(A1847,Marketing_df2!$A$1:$F$2241,6,FALSE)</f>
        <v>6</v>
      </c>
    </row>
    <row r="1848" spans="1:15" ht="12.5">
      <c r="A1848" s="6">
        <v>1846</v>
      </c>
      <c r="B1848" s="6">
        <v>9931</v>
      </c>
      <c r="C1848" s="6">
        <v>1963</v>
      </c>
      <c r="D1848" s="7" t="s">
        <v>12</v>
      </c>
      <c r="E1848" s="7" t="s">
        <v>13</v>
      </c>
      <c r="F1848" s="6">
        <v>4023</v>
      </c>
      <c r="G1848" s="6">
        <v>1</v>
      </c>
      <c r="H1848" s="6">
        <v>1</v>
      </c>
      <c r="I1848" s="6">
        <f t="shared" si="28"/>
        <v>2</v>
      </c>
      <c r="J1848" s="8">
        <v>41813</v>
      </c>
      <c r="K1848" s="6">
        <v>29</v>
      </c>
      <c r="L1848">
        <f>VLOOKUP(A1848,Marketing_df2!$A$1:$F$2241,3,FALSE)</f>
        <v>0</v>
      </c>
      <c r="M1848">
        <f>VLOOKUP(A1848,Marketing_df2!$A$1:$F$2241,4,FALSE)</f>
        <v>1</v>
      </c>
      <c r="N1848">
        <f>VLOOKUP(A1848,Marketing_df2!$A$1:$F$2241,5,FALSE)</f>
        <v>0</v>
      </c>
      <c r="O1848">
        <f>VLOOKUP(A1848,Marketing_df2!$A$1:$F$2241,6,FALSE)</f>
        <v>0</v>
      </c>
    </row>
    <row r="1849" spans="1:15" ht="12.5">
      <c r="A1849" s="6">
        <v>1847</v>
      </c>
      <c r="B1849" s="6">
        <v>10595</v>
      </c>
      <c r="C1849" s="6">
        <v>1990</v>
      </c>
      <c r="D1849" s="7" t="s">
        <v>9</v>
      </c>
      <c r="E1849" s="7" t="s">
        <v>13</v>
      </c>
      <c r="F1849" s="6">
        <v>30093</v>
      </c>
      <c r="G1849" s="6">
        <v>0</v>
      </c>
      <c r="H1849" s="6">
        <v>0</v>
      </c>
      <c r="I1849" s="6">
        <f t="shared" si="28"/>
        <v>0</v>
      </c>
      <c r="J1849" s="8">
        <v>41463</v>
      </c>
      <c r="K1849" s="6">
        <v>19</v>
      </c>
      <c r="L1849">
        <f>VLOOKUP(A1849,Marketing_df2!$A$1:$F$2241,3,FALSE)</f>
        <v>6</v>
      </c>
      <c r="M1849">
        <f>VLOOKUP(A1849,Marketing_df2!$A$1:$F$2241,4,FALSE)</f>
        <v>4</v>
      </c>
      <c r="N1849">
        <f>VLOOKUP(A1849,Marketing_df2!$A$1:$F$2241,5,FALSE)</f>
        <v>2</v>
      </c>
      <c r="O1849">
        <f>VLOOKUP(A1849,Marketing_df2!$A$1:$F$2241,6,FALSE)</f>
        <v>3</v>
      </c>
    </row>
    <row r="1850" spans="1:15" ht="12.5">
      <c r="A1850" s="6">
        <v>1848</v>
      </c>
      <c r="B1850" s="6">
        <v>4609</v>
      </c>
      <c r="C1850" s="6">
        <v>1966</v>
      </c>
      <c r="D1850" s="7" t="s">
        <v>12</v>
      </c>
      <c r="E1850" s="7" t="s">
        <v>13</v>
      </c>
      <c r="F1850" s="6">
        <v>57705</v>
      </c>
      <c r="G1850" s="6">
        <v>0</v>
      </c>
      <c r="H1850" s="6">
        <v>1</v>
      </c>
      <c r="I1850" s="6">
        <f t="shared" si="28"/>
        <v>1</v>
      </c>
      <c r="J1850" s="8">
        <v>41650</v>
      </c>
      <c r="K1850" s="6">
        <v>14</v>
      </c>
      <c r="L1850">
        <f>VLOOKUP(A1850,Marketing_df2!$A$1:$F$2241,3,FALSE)</f>
        <v>0</v>
      </c>
      <c r="M1850">
        <f>VLOOKUP(A1850,Marketing_df2!$A$1:$F$2241,4,FALSE)</f>
        <v>4</v>
      </c>
      <c r="N1850">
        <f>VLOOKUP(A1850,Marketing_df2!$A$1:$F$2241,5,FALSE)</f>
        <v>8</v>
      </c>
      <c r="O1850">
        <f>VLOOKUP(A1850,Marketing_df2!$A$1:$F$2241,6,FALSE)</f>
        <v>6</v>
      </c>
    </row>
    <row r="1851" spans="1:15" ht="12.5">
      <c r="A1851" s="6">
        <v>1849</v>
      </c>
      <c r="B1851" s="6">
        <v>5010</v>
      </c>
      <c r="C1851" s="6">
        <v>1988</v>
      </c>
      <c r="D1851" s="7" t="s">
        <v>9</v>
      </c>
      <c r="E1851" s="7" t="s">
        <v>10</v>
      </c>
      <c r="F1851" s="6">
        <v>25008</v>
      </c>
      <c r="G1851" s="6">
        <v>1</v>
      </c>
      <c r="H1851" s="6">
        <v>0</v>
      </c>
      <c r="I1851" s="6">
        <f t="shared" si="28"/>
        <v>1</v>
      </c>
      <c r="J1851" s="8">
        <v>41672</v>
      </c>
      <c r="K1851" s="6">
        <v>72</v>
      </c>
      <c r="L1851">
        <f>VLOOKUP(A1851,Marketing_df2!$A$1:$F$2241,3,FALSE)</f>
        <v>8</v>
      </c>
      <c r="M1851">
        <f>VLOOKUP(A1851,Marketing_df2!$A$1:$F$2241,4,FALSE)</f>
        <v>1</v>
      </c>
      <c r="N1851">
        <f>VLOOKUP(A1851,Marketing_df2!$A$1:$F$2241,5,FALSE)</f>
        <v>1</v>
      </c>
      <c r="O1851">
        <f>VLOOKUP(A1851,Marketing_df2!$A$1:$F$2241,6,FALSE)</f>
        <v>3</v>
      </c>
    </row>
    <row r="1852" spans="1:15" ht="12.5">
      <c r="A1852" s="6">
        <v>1850</v>
      </c>
      <c r="B1852" s="6">
        <v>4427</v>
      </c>
      <c r="C1852" s="6">
        <v>1995</v>
      </c>
      <c r="D1852" s="7" t="s">
        <v>17</v>
      </c>
      <c r="E1852" s="7" t="s">
        <v>10</v>
      </c>
      <c r="F1852" s="6">
        <v>83257</v>
      </c>
      <c r="G1852" s="6">
        <v>0</v>
      </c>
      <c r="H1852" s="6">
        <v>0</v>
      </c>
      <c r="I1852" s="6">
        <f t="shared" si="28"/>
        <v>0</v>
      </c>
      <c r="J1852" s="8">
        <v>41170</v>
      </c>
      <c r="K1852" s="6">
        <v>56</v>
      </c>
      <c r="L1852">
        <f>VLOOKUP(A1852,Marketing_df2!$A$1:$F$2241,3,FALSE)</f>
        <v>27</v>
      </c>
      <c r="M1852">
        <f>VLOOKUP(A1852,Marketing_df2!$A$1:$F$2241,4,FALSE)</f>
        <v>107</v>
      </c>
      <c r="N1852">
        <f>VLOOKUP(A1852,Marketing_df2!$A$1:$F$2241,5,FALSE)</f>
        <v>5</v>
      </c>
      <c r="O1852">
        <f>VLOOKUP(A1852,Marketing_df2!$A$1:$F$2241,6,FALSE)</f>
        <v>12</v>
      </c>
    </row>
    <row r="1853" spans="1:15" ht="12.5">
      <c r="A1853" s="6">
        <v>1851</v>
      </c>
      <c r="B1853" s="6">
        <v>11148</v>
      </c>
      <c r="C1853" s="6">
        <v>1975</v>
      </c>
      <c r="D1853" s="7" t="s">
        <v>9</v>
      </c>
      <c r="E1853" s="7" t="s">
        <v>11</v>
      </c>
      <c r="F1853" s="6">
        <v>22280</v>
      </c>
      <c r="G1853" s="6">
        <v>1</v>
      </c>
      <c r="H1853" s="6">
        <v>0</v>
      </c>
      <c r="I1853" s="6">
        <f t="shared" si="28"/>
        <v>1</v>
      </c>
      <c r="J1853" s="8">
        <v>41413</v>
      </c>
      <c r="K1853" s="6">
        <v>85</v>
      </c>
      <c r="L1853">
        <f>VLOOKUP(A1853,Marketing_df2!$A$1:$F$2241,3,FALSE)</f>
        <v>1</v>
      </c>
      <c r="M1853">
        <f>VLOOKUP(A1853,Marketing_df2!$A$1:$F$2241,4,FALSE)</f>
        <v>1</v>
      </c>
      <c r="N1853">
        <f>VLOOKUP(A1853,Marketing_df2!$A$1:$F$2241,5,FALSE)</f>
        <v>1</v>
      </c>
      <c r="O1853">
        <f>VLOOKUP(A1853,Marketing_df2!$A$1:$F$2241,6,FALSE)</f>
        <v>2</v>
      </c>
    </row>
    <row r="1854" spans="1:15" ht="12.5">
      <c r="A1854" s="6">
        <v>1852</v>
      </c>
      <c r="B1854" s="6">
        <v>1168</v>
      </c>
      <c r="C1854" s="6">
        <v>1978</v>
      </c>
      <c r="D1854" s="7" t="s">
        <v>12</v>
      </c>
      <c r="E1854" s="7" t="s">
        <v>13</v>
      </c>
      <c r="F1854" s="6">
        <v>72159</v>
      </c>
      <c r="G1854" s="6">
        <v>0</v>
      </c>
      <c r="H1854" s="6">
        <v>0</v>
      </c>
      <c r="I1854" s="6">
        <f t="shared" si="28"/>
        <v>0</v>
      </c>
      <c r="J1854" s="9">
        <v>41211</v>
      </c>
      <c r="K1854" s="6">
        <v>62</v>
      </c>
      <c r="L1854">
        <f>VLOOKUP(A1854,Marketing_df2!$A$1:$F$2241,3,FALSE)</f>
        <v>53</v>
      </c>
      <c r="M1854">
        <f>VLOOKUP(A1854,Marketing_df2!$A$1:$F$2241,4,FALSE)</f>
        <v>40</v>
      </c>
      <c r="N1854">
        <f>VLOOKUP(A1854,Marketing_df2!$A$1:$F$2241,5,FALSE)</f>
        <v>4</v>
      </c>
      <c r="O1854">
        <f>VLOOKUP(A1854,Marketing_df2!$A$1:$F$2241,6,FALSE)</f>
        <v>10</v>
      </c>
    </row>
    <row r="1855" spans="1:15" ht="12.5">
      <c r="A1855" s="6">
        <v>1853</v>
      </c>
      <c r="B1855" s="6">
        <v>9595</v>
      </c>
      <c r="C1855" s="6">
        <v>1961</v>
      </c>
      <c r="D1855" s="7" t="s">
        <v>9</v>
      </c>
      <c r="E1855" s="7" t="s">
        <v>11</v>
      </c>
      <c r="F1855" s="6">
        <v>64260</v>
      </c>
      <c r="G1855" s="6">
        <v>0</v>
      </c>
      <c r="H1855" s="6">
        <v>0</v>
      </c>
      <c r="I1855" s="6">
        <f t="shared" si="28"/>
        <v>0</v>
      </c>
      <c r="J1855" s="8">
        <v>41285</v>
      </c>
      <c r="K1855" s="6">
        <v>1</v>
      </c>
      <c r="L1855">
        <f>VLOOKUP(A1855,Marketing_df2!$A$1:$F$2241,3,FALSE)</f>
        <v>169</v>
      </c>
      <c r="M1855">
        <f>VLOOKUP(A1855,Marketing_df2!$A$1:$F$2241,4,FALSE)</f>
        <v>0</v>
      </c>
      <c r="N1855">
        <f>VLOOKUP(A1855,Marketing_df2!$A$1:$F$2241,5,FALSE)</f>
        <v>4</v>
      </c>
      <c r="O1855">
        <f>VLOOKUP(A1855,Marketing_df2!$A$1:$F$2241,6,FALSE)</f>
        <v>4</v>
      </c>
    </row>
    <row r="1856" spans="1:15" ht="12.5">
      <c r="A1856" s="6">
        <v>1854</v>
      </c>
      <c r="B1856" s="6">
        <v>10163</v>
      </c>
      <c r="C1856" s="6">
        <v>1984</v>
      </c>
      <c r="D1856" s="7" t="s">
        <v>12</v>
      </c>
      <c r="E1856" s="7" t="s">
        <v>10</v>
      </c>
      <c r="F1856" s="6">
        <v>82733</v>
      </c>
      <c r="G1856" s="6">
        <v>0</v>
      </c>
      <c r="H1856" s="6">
        <v>0</v>
      </c>
      <c r="I1856" s="6">
        <f t="shared" si="28"/>
        <v>0</v>
      </c>
      <c r="J1856" s="8">
        <v>41527</v>
      </c>
      <c r="K1856" s="6">
        <v>28</v>
      </c>
      <c r="L1856">
        <f>VLOOKUP(A1856,Marketing_df2!$A$1:$F$2241,3,FALSE)</f>
        <v>50</v>
      </c>
      <c r="M1856">
        <f>VLOOKUP(A1856,Marketing_df2!$A$1:$F$2241,4,FALSE)</f>
        <v>38</v>
      </c>
      <c r="N1856">
        <f>VLOOKUP(A1856,Marketing_df2!$A$1:$F$2241,5,FALSE)</f>
        <v>8</v>
      </c>
      <c r="O1856">
        <f>VLOOKUP(A1856,Marketing_df2!$A$1:$F$2241,6,FALSE)</f>
        <v>7</v>
      </c>
    </row>
    <row r="1857" spans="1:15" ht="12.5">
      <c r="A1857" s="6">
        <v>1855</v>
      </c>
      <c r="B1857" s="6">
        <v>2886</v>
      </c>
      <c r="C1857" s="6">
        <v>1971</v>
      </c>
      <c r="D1857" s="7" t="s">
        <v>14</v>
      </c>
      <c r="E1857" s="7" t="s">
        <v>15</v>
      </c>
      <c r="F1857" s="6">
        <v>74290</v>
      </c>
      <c r="G1857" s="6">
        <v>0</v>
      </c>
      <c r="H1857" s="6">
        <v>1</v>
      </c>
      <c r="I1857" s="6">
        <f t="shared" si="28"/>
        <v>1</v>
      </c>
      <c r="J1857" s="8">
        <v>41498</v>
      </c>
      <c r="K1857" s="6">
        <v>70</v>
      </c>
      <c r="L1857">
        <f>VLOOKUP(A1857,Marketing_df2!$A$1:$F$2241,3,FALSE)</f>
        <v>0</v>
      </c>
      <c r="M1857">
        <f>VLOOKUP(A1857,Marketing_df2!$A$1:$F$2241,4,FALSE)</f>
        <v>12</v>
      </c>
      <c r="N1857">
        <f>VLOOKUP(A1857,Marketing_df2!$A$1:$F$2241,5,FALSE)</f>
        <v>10</v>
      </c>
      <c r="O1857">
        <f>VLOOKUP(A1857,Marketing_df2!$A$1:$F$2241,6,FALSE)</f>
        <v>10</v>
      </c>
    </row>
    <row r="1858" spans="1:15" ht="12.5">
      <c r="A1858" s="6">
        <v>1856</v>
      </c>
      <c r="B1858" s="6">
        <v>6710</v>
      </c>
      <c r="C1858" s="6">
        <v>1951</v>
      </c>
      <c r="D1858" s="7" t="s">
        <v>14</v>
      </c>
      <c r="E1858" s="7" t="s">
        <v>10</v>
      </c>
      <c r="F1858" s="6">
        <v>58217</v>
      </c>
      <c r="G1858" s="6">
        <v>2</v>
      </c>
      <c r="H1858" s="6">
        <v>1</v>
      </c>
      <c r="I1858" s="6">
        <f t="shared" si="28"/>
        <v>3</v>
      </c>
      <c r="J1858" s="9">
        <v>41230</v>
      </c>
      <c r="K1858" s="6">
        <v>84</v>
      </c>
      <c r="L1858">
        <f>VLOOKUP(A1858,Marketing_df2!$A$1:$F$2241,3,FALSE)</f>
        <v>1</v>
      </c>
      <c r="M1858">
        <f>VLOOKUP(A1858,Marketing_df2!$A$1:$F$2241,4,FALSE)</f>
        <v>5</v>
      </c>
      <c r="N1858">
        <f>VLOOKUP(A1858,Marketing_df2!$A$1:$F$2241,5,FALSE)</f>
        <v>2</v>
      </c>
      <c r="O1858">
        <f>VLOOKUP(A1858,Marketing_df2!$A$1:$F$2241,6,FALSE)</f>
        <v>4</v>
      </c>
    </row>
    <row r="1859" spans="1:15" ht="12.5">
      <c r="A1859" s="6">
        <v>1857</v>
      </c>
      <c r="B1859" s="6">
        <v>5316</v>
      </c>
      <c r="C1859" s="6">
        <v>1976</v>
      </c>
      <c r="D1859" s="7" t="s">
        <v>14</v>
      </c>
      <c r="E1859" s="7" t="s">
        <v>11</v>
      </c>
      <c r="F1859" s="6">
        <v>21024</v>
      </c>
      <c r="G1859" s="6">
        <v>0</v>
      </c>
      <c r="H1859" s="6">
        <v>0</v>
      </c>
      <c r="I1859" s="6">
        <f t="shared" ref="I1859:I1922" si="29">G1859+H1859</f>
        <v>0</v>
      </c>
      <c r="J1859" s="8">
        <v>41459</v>
      </c>
      <c r="K1859" s="6">
        <v>89</v>
      </c>
      <c r="L1859">
        <f>VLOOKUP(A1859,Marketing_df2!$A$1:$F$2241,3,FALSE)</f>
        <v>4</v>
      </c>
      <c r="M1859">
        <f>VLOOKUP(A1859,Marketing_df2!$A$1:$F$2241,4,FALSE)</f>
        <v>2</v>
      </c>
      <c r="N1859">
        <f>VLOOKUP(A1859,Marketing_df2!$A$1:$F$2241,5,FALSE)</f>
        <v>2</v>
      </c>
      <c r="O1859">
        <f>VLOOKUP(A1859,Marketing_df2!$A$1:$F$2241,6,FALSE)</f>
        <v>4</v>
      </c>
    </row>
    <row r="1860" spans="1:15" ht="12.5">
      <c r="A1860" s="6">
        <v>1858</v>
      </c>
      <c r="B1860" s="6">
        <v>9029</v>
      </c>
      <c r="C1860" s="6">
        <v>1972</v>
      </c>
      <c r="D1860" s="7" t="s">
        <v>12</v>
      </c>
      <c r="E1860" s="7" t="s">
        <v>13</v>
      </c>
      <c r="F1860" s="6">
        <v>70116</v>
      </c>
      <c r="G1860" s="6">
        <v>0</v>
      </c>
      <c r="H1860" s="6">
        <v>0</v>
      </c>
      <c r="I1860" s="6">
        <f t="shared" si="29"/>
        <v>0</v>
      </c>
      <c r="J1860" s="8">
        <v>41300</v>
      </c>
      <c r="K1860" s="6">
        <v>73</v>
      </c>
      <c r="L1860">
        <f>VLOOKUP(A1860,Marketing_df2!$A$1:$F$2241,3,FALSE)</f>
        <v>44</v>
      </c>
      <c r="M1860">
        <f>VLOOKUP(A1860,Marketing_df2!$A$1:$F$2241,4,FALSE)</f>
        <v>58</v>
      </c>
      <c r="N1860">
        <f>VLOOKUP(A1860,Marketing_df2!$A$1:$F$2241,5,FALSE)</f>
        <v>2</v>
      </c>
      <c r="O1860">
        <f>VLOOKUP(A1860,Marketing_df2!$A$1:$F$2241,6,FALSE)</f>
        <v>12</v>
      </c>
    </row>
    <row r="1861" spans="1:15" ht="12.5">
      <c r="A1861" s="6">
        <v>1859</v>
      </c>
      <c r="B1861" s="6">
        <v>521</v>
      </c>
      <c r="C1861" s="6">
        <v>1985</v>
      </c>
      <c r="D1861" s="7" t="s">
        <v>9</v>
      </c>
      <c r="E1861" s="7" t="s">
        <v>11</v>
      </c>
      <c r="F1861" s="6">
        <v>54006</v>
      </c>
      <c r="G1861" s="6">
        <v>1</v>
      </c>
      <c r="H1861" s="6">
        <v>0</v>
      </c>
      <c r="I1861" s="6">
        <f t="shared" si="29"/>
        <v>1</v>
      </c>
      <c r="J1861" s="8">
        <v>41170</v>
      </c>
      <c r="K1861" s="6">
        <v>42</v>
      </c>
      <c r="L1861">
        <f>VLOOKUP(A1861,Marketing_df2!$A$1:$F$2241,3,FALSE)</f>
        <v>77</v>
      </c>
      <c r="M1861">
        <f>VLOOKUP(A1861,Marketing_df2!$A$1:$F$2241,4,FALSE)</f>
        <v>24</v>
      </c>
      <c r="N1861">
        <f>VLOOKUP(A1861,Marketing_df2!$A$1:$F$2241,5,FALSE)</f>
        <v>8</v>
      </c>
      <c r="O1861">
        <f>VLOOKUP(A1861,Marketing_df2!$A$1:$F$2241,6,FALSE)</f>
        <v>7</v>
      </c>
    </row>
    <row r="1862" spans="1:15" ht="12.5">
      <c r="A1862" s="6">
        <v>1860</v>
      </c>
      <c r="B1862" s="6">
        <v>1459</v>
      </c>
      <c r="C1862" s="6">
        <v>1966</v>
      </c>
      <c r="D1862" s="7" t="s">
        <v>12</v>
      </c>
      <c r="E1862" s="7" t="s">
        <v>13</v>
      </c>
      <c r="F1862" s="6">
        <v>69063</v>
      </c>
      <c r="G1862" s="6">
        <v>0</v>
      </c>
      <c r="H1862" s="6">
        <v>1</v>
      </c>
      <c r="I1862" s="6">
        <f t="shared" si="29"/>
        <v>1</v>
      </c>
      <c r="J1862" s="8">
        <v>41220</v>
      </c>
      <c r="K1862" s="6">
        <v>16</v>
      </c>
      <c r="L1862">
        <f>VLOOKUP(A1862,Marketing_df2!$A$1:$F$2241,3,FALSE)</f>
        <v>35</v>
      </c>
      <c r="M1862">
        <f>VLOOKUP(A1862,Marketing_df2!$A$1:$F$2241,4,FALSE)</f>
        <v>8</v>
      </c>
      <c r="N1862">
        <f>VLOOKUP(A1862,Marketing_df2!$A$1:$F$2241,5,FALSE)</f>
        <v>5</v>
      </c>
      <c r="O1862">
        <f>VLOOKUP(A1862,Marketing_df2!$A$1:$F$2241,6,FALSE)</f>
        <v>5</v>
      </c>
    </row>
    <row r="1863" spans="1:15" ht="12.5">
      <c r="A1863" s="6">
        <v>1861</v>
      </c>
      <c r="B1863" s="6">
        <v>10241</v>
      </c>
      <c r="C1863" s="6">
        <v>1975</v>
      </c>
      <c r="D1863" s="7" t="s">
        <v>17</v>
      </c>
      <c r="E1863" s="7" t="s">
        <v>15</v>
      </c>
      <c r="F1863" s="6">
        <v>11448</v>
      </c>
      <c r="G1863" s="6">
        <v>0</v>
      </c>
      <c r="H1863" s="6">
        <v>0</v>
      </c>
      <c r="I1863" s="6">
        <f t="shared" si="29"/>
        <v>0</v>
      </c>
      <c r="J1863" s="9">
        <v>41623</v>
      </c>
      <c r="K1863" s="6">
        <v>16</v>
      </c>
      <c r="L1863">
        <f>VLOOKUP(A1863,Marketing_df2!$A$1:$F$2241,3,FALSE)</f>
        <v>0</v>
      </c>
      <c r="M1863">
        <f>VLOOKUP(A1863,Marketing_df2!$A$1:$F$2241,4,FALSE)</f>
        <v>2</v>
      </c>
      <c r="N1863">
        <f>VLOOKUP(A1863,Marketing_df2!$A$1:$F$2241,5,FALSE)</f>
        <v>1</v>
      </c>
      <c r="O1863">
        <f>VLOOKUP(A1863,Marketing_df2!$A$1:$F$2241,6,FALSE)</f>
        <v>2</v>
      </c>
    </row>
    <row r="1864" spans="1:15" ht="12.5">
      <c r="A1864" s="6">
        <v>1862</v>
      </c>
      <c r="B1864" s="6">
        <v>1630</v>
      </c>
      <c r="C1864" s="6">
        <v>1979</v>
      </c>
      <c r="D1864" s="7" t="s">
        <v>9</v>
      </c>
      <c r="E1864" s="7" t="s">
        <v>10</v>
      </c>
      <c r="F1864" s="6">
        <v>61825</v>
      </c>
      <c r="G1864" s="6">
        <v>0</v>
      </c>
      <c r="H1864" s="6">
        <v>1</v>
      </c>
      <c r="I1864" s="6">
        <f t="shared" si="29"/>
        <v>1</v>
      </c>
      <c r="J1864" s="8">
        <v>41493</v>
      </c>
      <c r="K1864" s="6">
        <v>56</v>
      </c>
      <c r="L1864">
        <f>VLOOKUP(A1864,Marketing_df2!$A$1:$F$2241,3,FALSE)</f>
        <v>50</v>
      </c>
      <c r="M1864">
        <f>VLOOKUP(A1864,Marketing_df2!$A$1:$F$2241,4,FALSE)</f>
        <v>30</v>
      </c>
      <c r="N1864">
        <f>VLOOKUP(A1864,Marketing_df2!$A$1:$F$2241,5,FALSE)</f>
        <v>4</v>
      </c>
      <c r="O1864">
        <f>VLOOKUP(A1864,Marketing_df2!$A$1:$F$2241,6,FALSE)</f>
        <v>8</v>
      </c>
    </row>
    <row r="1865" spans="1:15" ht="12.5">
      <c r="A1865" s="6">
        <v>1863</v>
      </c>
      <c r="B1865" s="6">
        <v>3254</v>
      </c>
      <c r="C1865" s="6">
        <v>1971</v>
      </c>
      <c r="D1865" s="7" t="s">
        <v>9</v>
      </c>
      <c r="E1865" s="7" t="s">
        <v>13</v>
      </c>
      <c r="F1865" s="6">
        <v>70886</v>
      </c>
      <c r="G1865" s="6">
        <v>1</v>
      </c>
      <c r="H1865" s="6">
        <v>0</v>
      </c>
      <c r="I1865" s="6">
        <f t="shared" si="29"/>
        <v>1</v>
      </c>
      <c r="J1865" s="9">
        <v>41561</v>
      </c>
      <c r="K1865" s="6">
        <v>65</v>
      </c>
      <c r="L1865">
        <f>VLOOKUP(A1865,Marketing_df2!$A$1:$F$2241,3,FALSE)</f>
        <v>70</v>
      </c>
      <c r="M1865">
        <f>VLOOKUP(A1865,Marketing_df2!$A$1:$F$2241,4,FALSE)</f>
        <v>88</v>
      </c>
      <c r="N1865">
        <f>VLOOKUP(A1865,Marketing_df2!$A$1:$F$2241,5,FALSE)</f>
        <v>5</v>
      </c>
      <c r="O1865">
        <f>VLOOKUP(A1865,Marketing_df2!$A$1:$F$2241,6,FALSE)</f>
        <v>4</v>
      </c>
    </row>
    <row r="1866" spans="1:15" ht="12.5">
      <c r="A1866" s="6">
        <v>1864</v>
      </c>
      <c r="B1866" s="6">
        <v>9064</v>
      </c>
      <c r="C1866" s="6">
        <v>1982</v>
      </c>
      <c r="D1866" s="7" t="s">
        <v>9</v>
      </c>
      <c r="E1866" s="7" t="s">
        <v>13</v>
      </c>
      <c r="F1866" s="6">
        <v>69109</v>
      </c>
      <c r="G1866" s="6">
        <v>0</v>
      </c>
      <c r="H1866" s="6">
        <v>0</v>
      </c>
      <c r="I1866" s="6">
        <f t="shared" si="29"/>
        <v>0</v>
      </c>
      <c r="J1866" s="8">
        <v>41222</v>
      </c>
      <c r="K1866" s="6">
        <v>10</v>
      </c>
      <c r="L1866">
        <f>VLOOKUP(A1866,Marketing_df2!$A$1:$F$2241,3,FALSE)</f>
        <v>25</v>
      </c>
      <c r="M1866">
        <f>VLOOKUP(A1866,Marketing_df2!$A$1:$F$2241,4,FALSE)</f>
        <v>29</v>
      </c>
      <c r="N1866">
        <f>VLOOKUP(A1866,Marketing_df2!$A$1:$F$2241,5,FALSE)</f>
        <v>6</v>
      </c>
      <c r="O1866">
        <f>VLOOKUP(A1866,Marketing_df2!$A$1:$F$2241,6,FALSE)</f>
        <v>7</v>
      </c>
    </row>
    <row r="1867" spans="1:15" ht="12.5">
      <c r="A1867" s="6">
        <v>1865</v>
      </c>
      <c r="B1867" s="6">
        <v>3678</v>
      </c>
      <c r="C1867" s="6">
        <v>1973</v>
      </c>
      <c r="D1867" s="7" t="s">
        <v>9</v>
      </c>
      <c r="E1867" s="7" t="s">
        <v>18</v>
      </c>
      <c r="F1867" s="6">
        <v>60208</v>
      </c>
      <c r="G1867" s="6">
        <v>1</v>
      </c>
      <c r="H1867" s="6">
        <v>1</v>
      </c>
      <c r="I1867" s="6">
        <f t="shared" si="29"/>
        <v>2</v>
      </c>
      <c r="J1867" s="8">
        <v>41189</v>
      </c>
      <c r="K1867" s="6">
        <v>13</v>
      </c>
      <c r="L1867">
        <f>VLOOKUP(A1867,Marketing_df2!$A$1:$F$2241,3,FALSE)</f>
        <v>23</v>
      </c>
      <c r="M1867">
        <f>VLOOKUP(A1867,Marketing_df2!$A$1:$F$2241,4,FALSE)</f>
        <v>0</v>
      </c>
      <c r="N1867">
        <f>VLOOKUP(A1867,Marketing_df2!$A$1:$F$2241,5,FALSE)</f>
        <v>8</v>
      </c>
      <c r="O1867">
        <f>VLOOKUP(A1867,Marketing_df2!$A$1:$F$2241,6,FALSE)</f>
        <v>7</v>
      </c>
    </row>
    <row r="1868" spans="1:15" ht="12.5">
      <c r="A1868" s="6">
        <v>1866</v>
      </c>
      <c r="B1868" s="6">
        <v>4227</v>
      </c>
      <c r="C1868" s="6">
        <v>1968</v>
      </c>
      <c r="D1868" s="7" t="s">
        <v>14</v>
      </c>
      <c r="E1868" s="7" t="s">
        <v>11</v>
      </c>
      <c r="F1868" s="6">
        <v>32889</v>
      </c>
      <c r="G1868" s="6">
        <v>1</v>
      </c>
      <c r="H1868" s="6">
        <v>1</v>
      </c>
      <c r="I1868" s="6">
        <f t="shared" si="29"/>
        <v>2</v>
      </c>
      <c r="J1868" s="8">
        <v>41523</v>
      </c>
      <c r="K1868" s="6">
        <v>78</v>
      </c>
      <c r="L1868">
        <f>VLOOKUP(A1868,Marketing_df2!$A$1:$F$2241,3,FALSE)</f>
        <v>0</v>
      </c>
      <c r="M1868">
        <f>VLOOKUP(A1868,Marketing_df2!$A$1:$F$2241,4,FALSE)</f>
        <v>2</v>
      </c>
      <c r="N1868">
        <f>VLOOKUP(A1868,Marketing_df2!$A$1:$F$2241,5,FALSE)</f>
        <v>2</v>
      </c>
      <c r="O1868">
        <f>VLOOKUP(A1868,Marketing_df2!$A$1:$F$2241,6,FALSE)</f>
        <v>3</v>
      </c>
    </row>
    <row r="1869" spans="1:15" ht="12.5">
      <c r="A1869" s="6">
        <v>1867</v>
      </c>
      <c r="B1869" s="6">
        <v>9467</v>
      </c>
      <c r="C1869" s="6">
        <v>1984</v>
      </c>
      <c r="D1869" s="7" t="s">
        <v>9</v>
      </c>
      <c r="E1869" s="7" t="s">
        <v>10</v>
      </c>
      <c r="F1869" s="6">
        <v>34738</v>
      </c>
      <c r="G1869" s="6">
        <v>1</v>
      </c>
      <c r="H1869" s="6">
        <v>0</v>
      </c>
      <c r="I1869" s="6">
        <f t="shared" si="29"/>
        <v>1</v>
      </c>
      <c r="J1869" s="8">
        <v>41770</v>
      </c>
      <c r="K1869" s="6">
        <v>51</v>
      </c>
      <c r="L1869">
        <f>VLOOKUP(A1869,Marketing_df2!$A$1:$F$2241,3,FALSE)</f>
        <v>2</v>
      </c>
      <c r="M1869">
        <f>VLOOKUP(A1869,Marketing_df2!$A$1:$F$2241,4,FALSE)</f>
        <v>0</v>
      </c>
      <c r="N1869">
        <f>VLOOKUP(A1869,Marketing_df2!$A$1:$F$2241,5,FALSE)</f>
        <v>1</v>
      </c>
      <c r="O1869">
        <f>VLOOKUP(A1869,Marketing_df2!$A$1:$F$2241,6,FALSE)</f>
        <v>3</v>
      </c>
    </row>
    <row r="1870" spans="1:15" ht="12.5">
      <c r="A1870" s="6">
        <v>1868</v>
      </c>
      <c r="B1870" s="6">
        <v>8486</v>
      </c>
      <c r="C1870" s="6">
        <v>1971</v>
      </c>
      <c r="D1870" s="7" t="s">
        <v>14</v>
      </c>
      <c r="E1870" s="7" t="s">
        <v>11</v>
      </c>
      <c r="F1870" s="6">
        <v>30538</v>
      </c>
      <c r="G1870" s="6">
        <v>1</v>
      </c>
      <c r="H1870" s="6">
        <v>0</v>
      </c>
      <c r="I1870" s="6">
        <f t="shared" si="29"/>
        <v>1</v>
      </c>
      <c r="J1870" s="8">
        <v>41183</v>
      </c>
      <c r="K1870" s="6">
        <v>27</v>
      </c>
      <c r="L1870">
        <f>VLOOKUP(A1870,Marketing_df2!$A$1:$F$2241,3,FALSE)</f>
        <v>0</v>
      </c>
      <c r="M1870">
        <f>VLOOKUP(A1870,Marketing_df2!$A$1:$F$2241,4,FALSE)</f>
        <v>3</v>
      </c>
      <c r="N1870">
        <f>VLOOKUP(A1870,Marketing_df2!$A$1:$F$2241,5,FALSE)</f>
        <v>9</v>
      </c>
      <c r="O1870">
        <f>VLOOKUP(A1870,Marketing_df2!$A$1:$F$2241,6,FALSE)</f>
        <v>4</v>
      </c>
    </row>
    <row r="1871" spans="1:15" ht="12.5">
      <c r="A1871" s="6">
        <v>1869</v>
      </c>
      <c r="B1871" s="6">
        <v>2186</v>
      </c>
      <c r="C1871" s="6">
        <v>1977</v>
      </c>
      <c r="D1871" s="7" t="s">
        <v>17</v>
      </c>
      <c r="E1871" s="7" t="s">
        <v>11</v>
      </c>
      <c r="F1871" s="6">
        <v>82326</v>
      </c>
      <c r="G1871" s="6">
        <v>0</v>
      </c>
      <c r="H1871" s="6">
        <v>0</v>
      </c>
      <c r="I1871" s="6">
        <f t="shared" si="29"/>
        <v>0</v>
      </c>
      <c r="J1871" s="8">
        <v>41708</v>
      </c>
      <c r="K1871" s="6">
        <v>30</v>
      </c>
      <c r="L1871">
        <f>VLOOKUP(A1871,Marketing_df2!$A$1:$F$2241,3,FALSE)</f>
        <v>142</v>
      </c>
      <c r="M1871">
        <f>VLOOKUP(A1871,Marketing_df2!$A$1:$F$2241,4,FALSE)</f>
        <v>81</v>
      </c>
      <c r="N1871">
        <f>VLOOKUP(A1871,Marketing_df2!$A$1:$F$2241,5,FALSE)</f>
        <v>5</v>
      </c>
      <c r="O1871">
        <f>VLOOKUP(A1871,Marketing_df2!$A$1:$F$2241,6,FALSE)</f>
        <v>6</v>
      </c>
    </row>
    <row r="1872" spans="1:15" ht="12.5">
      <c r="A1872" s="6">
        <v>1870</v>
      </c>
      <c r="B1872" s="6">
        <v>3286</v>
      </c>
      <c r="C1872" s="6">
        <v>1967</v>
      </c>
      <c r="D1872" s="7" t="s">
        <v>12</v>
      </c>
      <c r="E1872" s="7" t="s">
        <v>15</v>
      </c>
      <c r="F1872" s="6">
        <v>26642</v>
      </c>
      <c r="G1872" s="6">
        <v>1</v>
      </c>
      <c r="H1872" s="6">
        <v>0</v>
      </c>
      <c r="I1872" s="6">
        <f t="shared" si="29"/>
        <v>1</v>
      </c>
      <c r="J1872" s="8">
        <v>41699</v>
      </c>
      <c r="K1872" s="6">
        <v>71</v>
      </c>
      <c r="L1872">
        <f>VLOOKUP(A1872,Marketing_df2!$A$1:$F$2241,3,FALSE)</f>
        <v>2</v>
      </c>
      <c r="M1872">
        <f>VLOOKUP(A1872,Marketing_df2!$A$1:$F$2241,4,FALSE)</f>
        <v>2</v>
      </c>
      <c r="N1872">
        <f>VLOOKUP(A1872,Marketing_df2!$A$1:$F$2241,5,FALSE)</f>
        <v>2</v>
      </c>
      <c r="O1872">
        <f>VLOOKUP(A1872,Marketing_df2!$A$1:$F$2241,6,FALSE)</f>
        <v>3</v>
      </c>
    </row>
    <row r="1873" spans="1:15" ht="12.5">
      <c r="A1873" s="6">
        <v>1871</v>
      </c>
      <c r="B1873" s="6">
        <v>8602</v>
      </c>
      <c r="C1873" s="6">
        <v>1964</v>
      </c>
      <c r="D1873" s="7" t="s">
        <v>9</v>
      </c>
      <c r="E1873" s="7" t="s">
        <v>15</v>
      </c>
      <c r="F1873" s="6">
        <v>69932</v>
      </c>
      <c r="G1873" s="6">
        <v>0</v>
      </c>
      <c r="H1873" s="6">
        <v>1</v>
      </c>
      <c r="I1873" s="6">
        <f t="shared" si="29"/>
        <v>1</v>
      </c>
      <c r="J1873" s="8">
        <v>41437</v>
      </c>
      <c r="K1873" s="6">
        <v>97</v>
      </c>
      <c r="L1873">
        <f>VLOOKUP(A1873,Marketing_df2!$A$1:$F$2241,3,FALSE)</f>
        <v>172</v>
      </c>
      <c r="M1873">
        <f>VLOOKUP(A1873,Marketing_df2!$A$1:$F$2241,4,FALSE)</f>
        <v>105</v>
      </c>
      <c r="N1873">
        <f>VLOOKUP(A1873,Marketing_df2!$A$1:$F$2241,5,FALSE)</f>
        <v>7</v>
      </c>
      <c r="O1873">
        <f>VLOOKUP(A1873,Marketing_df2!$A$1:$F$2241,6,FALSE)</f>
        <v>11</v>
      </c>
    </row>
    <row r="1874" spans="1:15" ht="12.5">
      <c r="A1874" s="6">
        <v>1872</v>
      </c>
      <c r="B1874" s="6">
        <v>3722</v>
      </c>
      <c r="C1874" s="6">
        <v>1972</v>
      </c>
      <c r="D1874" s="7" t="s">
        <v>9</v>
      </c>
      <c r="E1874" s="7" t="s">
        <v>10</v>
      </c>
      <c r="F1874" s="6">
        <v>44503</v>
      </c>
      <c r="G1874" s="6">
        <v>1</v>
      </c>
      <c r="H1874" s="6">
        <v>1</v>
      </c>
      <c r="I1874" s="6">
        <f t="shared" si="29"/>
        <v>2</v>
      </c>
      <c r="J1874" s="8">
        <v>41745</v>
      </c>
      <c r="K1874" s="6">
        <v>83</v>
      </c>
      <c r="L1874">
        <f>VLOOKUP(A1874,Marketing_df2!$A$1:$F$2241,3,FALSE)</f>
        <v>1</v>
      </c>
      <c r="M1874">
        <f>VLOOKUP(A1874,Marketing_df2!$A$1:$F$2241,4,FALSE)</f>
        <v>0</v>
      </c>
      <c r="N1874">
        <f>VLOOKUP(A1874,Marketing_df2!$A$1:$F$2241,5,FALSE)</f>
        <v>2</v>
      </c>
      <c r="O1874">
        <f>VLOOKUP(A1874,Marketing_df2!$A$1:$F$2241,6,FALSE)</f>
        <v>3</v>
      </c>
    </row>
    <row r="1875" spans="1:15" ht="12.5">
      <c r="A1875" s="6">
        <v>1873</v>
      </c>
      <c r="B1875" s="6">
        <v>6715</v>
      </c>
      <c r="C1875" s="6">
        <v>1948</v>
      </c>
      <c r="D1875" s="7" t="s">
        <v>12</v>
      </c>
      <c r="E1875" s="7" t="s">
        <v>10</v>
      </c>
      <c r="F1875" s="6">
        <v>60200</v>
      </c>
      <c r="G1875" s="6">
        <v>0</v>
      </c>
      <c r="H1875" s="6">
        <v>1</v>
      </c>
      <c r="I1875" s="6">
        <f t="shared" si="29"/>
        <v>1</v>
      </c>
      <c r="J1875" s="8">
        <v>41276</v>
      </c>
      <c r="K1875" s="6">
        <v>3</v>
      </c>
      <c r="L1875">
        <f>VLOOKUP(A1875,Marketing_df2!$A$1:$F$2241,3,FALSE)</f>
        <v>19</v>
      </c>
      <c r="M1875">
        <f>VLOOKUP(A1875,Marketing_df2!$A$1:$F$2241,4,FALSE)</f>
        <v>6</v>
      </c>
      <c r="N1875">
        <f>VLOOKUP(A1875,Marketing_df2!$A$1:$F$2241,5,FALSE)</f>
        <v>6</v>
      </c>
      <c r="O1875">
        <f>VLOOKUP(A1875,Marketing_df2!$A$1:$F$2241,6,FALSE)</f>
        <v>11</v>
      </c>
    </row>
    <row r="1876" spans="1:15" ht="12.5">
      <c r="A1876" s="6">
        <v>1874</v>
      </c>
      <c r="B1876" s="6">
        <v>4796</v>
      </c>
      <c r="C1876" s="6">
        <v>1952</v>
      </c>
      <c r="D1876" s="7" t="s">
        <v>9</v>
      </c>
      <c r="E1876" s="7" t="s">
        <v>15</v>
      </c>
      <c r="F1876" s="6">
        <v>49638</v>
      </c>
      <c r="G1876" s="6">
        <v>0</v>
      </c>
      <c r="H1876" s="6">
        <v>1</v>
      </c>
      <c r="I1876" s="6">
        <f t="shared" si="29"/>
        <v>1</v>
      </c>
      <c r="J1876" s="8">
        <v>41748</v>
      </c>
      <c r="K1876" s="6">
        <v>71</v>
      </c>
      <c r="L1876">
        <f>VLOOKUP(A1876,Marketing_df2!$A$1:$F$2241,3,FALSE)</f>
        <v>10</v>
      </c>
      <c r="M1876">
        <f>VLOOKUP(A1876,Marketing_df2!$A$1:$F$2241,4,FALSE)</f>
        <v>5</v>
      </c>
      <c r="N1876">
        <f>VLOOKUP(A1876,Marketing_df2!$A$1:$F$2241,5,FALSE)</f>
        <v>1</v>
      </c>
      <c r="O1876">
        <f>VLOOKUP(A1876,Marketing_df2!$A$1:$F$2241,6,FALSE)</f>
        <v>3</v>
      </c>
    </row>
    <row r="1877" spans="1:15" ht="12.5">
      <c r="A1877" s="6">
        <v>1875</v>
      </c>
      <c r="B1877" s="6">
        <v>9612</v>
      </c>
      <c r="C1877" s="6">
        <v>1987</v>
      </c>
      <c r="D1877" s="7" t="s">
        <v>17</v>
      </c>
      <c r="E1877" s="7" t="s">
        <v>10</v>
      </c>
      <c r="F1877" s="6">
        <v>23830</v>
      </c>
      <c r="G1877" s="6">
        <v>0</v>
      </c>
      <c r="H1877" s="6">
        <v>0</v>
      </c>
      <c r="I1877" s="6">
        <f t="shared" si="29"/>
        <v>0</v>
      </c>
      <c r="J1877" s="8">
        <v>41677</v>
      </c>
      <c r="K1877" s="6">
        <v>3</v>
      </c>
      <c r="L1877">
        <f>VLOOKUP(A1877,Marketing_df2!$A$1:$F$2241,3,FALSE)</f>
        <v>8</v>
      </c>
      <c r="M1877">
        <f>VLOOKUP(A1877,Marketing_df2!$A$1:$F$2241,4,FALSE)</f>
        <v>8</v>
      </c>
      <c r="N1877">
        <f>VLOOKUP(A1877,Marketing_df2!$A$1:$F$2241,5,FALSE)</f>
        <v>1</v>
      </c>
      <c r="O1877">
        <f>VLOOKUP(A1877,Marketing_df2!$A$1:$F$2241,6,FALSE)</f>
        <v>3</v>
      </c>
    </row>
    <row r="1878" spans="1:15" ht="12.5">
      <c r="A1878" s="6">
        <v>1876</v>
      </c>
      <c r="B1878" s="6">
        <v>3766</v>
      </c>
      <c r="C1878" s="6">
        <v>1959</v>
      </c>
      <c r="D1878" s="7" t="s">
        <v>14</v>
      </c>
      <c r="E1878" s="7" t="s">
        <v>18</v>
      </c>
      <c r="F1878" s="6">
        <v>33051</v>
      </c>
      <c r="G1878" s="6">
        <v>0</v>
      </c>
      <c r="H1878" s="6">
        <v>0</v>
      </c>
      <c r="I1878" s="6">
        <f t="shared" si="29"/>
        <v>0</v>
      </c>
      <c r="J1878" s="8">
        <v>41137</v>
      </c>
      <c r="K1878" s="6">
        <v>15</v>
      </c>
      <c r="L1878">
        <f>VLOOKUP(A1878,Marketing_df2!$A$1:$F$2241,3,FALSE)</f>
        <v>71</v>
      </c>
      <c r="M1878">
        <f>VLOOKUP(A1878,Marketing_df2!$A$1:$F$2241,4,FALSE)</f>
        <v>94</v>
      </c>
      <c r="N1878">
        <f>VLOOKUP(A1878,Marketing_df2!$A$1:$F$2241,5,FALSE)</f>
        <v>9</v>
      </c>
      <c r="O1878">
        <f>VLOOKUP(A1878,Marketing_df2!$A$1:$F$2241,6,FALSE)</f>
        <v>8</v>
      </c>
    </row>
    <row r="1879" spans="1:15" ht="12.5">
      <c r="A1879" s="6">
        <v>1877</v>
      </c>
      <c r="B1879" s="6">
        <v>1399</v>
      </c>
      <c r="C1879" s="6">
        <v>1958</v>
      </c>
      <c r="D1879" s="7" t="s">
        <v>9</v>
      </c>
      <c r="E1879" s="7" t="s">
        <v>13</v>
      </c>
      <c r="F1879" s="6">
        <v>72905</v>
      </c>
      <c r="G1879" s="6">
        <v>0</v>
      </c>
      <c r="H1879" s="6">
        <v>0</v>
      </c>
      <c r="I1879" s="6">
        <f t="shared" si="29"/>
        <v>0</v>
      </c>
      <c r="J1879" s="8">
        <v>41660</v>
      </c>
      <c r="K1879" s="6">
        <v>52</v>
      </c>
      <c r="L1879">
        <f>VLOOKUP(A1879,Marketing_df2!$A$1:$F$2241,3,FALSE)</f>
        <v>114</v>
      </c>
      <c r="M1879">
        <f>VLOOKUP(A1879,Marketing_df2!$A$1:$F$2241,4,FALSE)</f>
        <v>165</v>
      </c>
      <c r="N1879">
        <f>VLOOKUP(A1879,Marketing_df2!$A$1:$F$2241,5,FALSE)</f>
        <v>3</v>
      </c>
      <c r="O1879">
        <f>VLOOKUP(A1879,Marketing_df2!$A$1:$F$2241,6,FALSE)</f>
        <v>9</v>
      </c>
    </row>
    <row r="1880" spans="1:15" ht="12.5">
      <c r="A1880" s="6">
        <v>1878</v>
      </c>
      <c r="B1880" s="6">
        <v>1570</v>
      </c>
      <c r="C1880" s="6">
        <v>1951</v>
      </c>
      <c r="D1880" s="7" t="s">
        <v>12</v>
      </c>
      <c r="E1880" s="7" t="s">
        <v>11</v>
      </c>
      <c r="F1880" s="6">
        <v>69702</v>
      </c>
      <c r="G1880" s="6">
        <v>0</v>
      </c>
      <c r="H1880" s="6">
        <v>1</v>
      </c>
      <c r="I1880" s="6">
        <f t="shared" si="29"/>
        <v>1</v>
      </c>
      <c r="J1880" s="8">
        <v>41324</v>
      </c>
      <c r="K1880" s="6">
        <v>8</v>
      </c>
      <c r="L1880">
        <f>VLOOKUP(A1880,Marketing_df2!$A$1:$F$2241,3,FALSE)</f>
        <v>9</v>
      </c>
      <c r="M1880">
        <f>VLOOKUP(A1880,Marketing_df2!$A$1:$F$2241,4,FALSE)</f>
        <v>19</v>
      </c>
      <c r="N1880">
        <f>VLOOKUP(A1880,Marketing_df2!$A$1:$F$2241,5,FALSE)</f>
        <v>7</v>
      </c>
      <c r="O1880">
        <f>VLOOKUP(A1880,Marketing_df2!$A$1:$F$2241,6,FALSE)</f>
        <v>10</v>
      </c>
    </row>
    <row r="1881" spans="1:15" ht="12.5">
      <c r="A1881" s="6">
        <v>1879</v>
      </c>
      <c r="B1881" s="6">
        <v>3426</v>
      </c>
      <c r="C1881" s="6">
        <v>1975</v>
      </c>
      <c r="D1881" s="7" t="s">
        <v>9</v>
      </c>
      <c r="E1881" s="7" t="s">
        <v>15</v>
      </c>
      <c r="F1881" s="6">
        <v>70300</v>
      </c>
      <c r="G1881" s="6">
        <v>1</v>
      </c>
      <c r="H1881" s="6">
        <v>0</v>
      </c>
      <c r="I1881" s="6">
        <f t="shared" si="29"/>
        <v>1</v>
      </c>
      <c r="J1881" s="8">
        <v>41470</v>
      </c>
      <c r="K1881" s="6">
        <v>89</v>
      </c>
      <c r="L1881">
        <f>VLOOKUP(A1881,Marketing_df2!$A$1:$F$2241,3,FALSE)</f>
        <v>61</v>
      </c>
      <c r="M1881">
        <f>VLOOKUP(A1881,Marketing_df2!$A$1:$F$2241,4,FALSE)</f>
        <v>46</v>
      </c>
      <c r="N1881">
        <f>VLOOKUP(A1881,Marketing_df2!$A$1:$F$2241,5,FALSE)</f>
        <v>5</v>
      </c>
      <c r="O1881">
        <f>VLOOKUP(A1881,Marketing_df2!$A$1:$F$2241,6,FALSE)</f>
        <v>13</v>
      </c>
    </row>
    <row r="1882" spans="1:15" ht="12.5">
      <c r="A1882" s="6">
        <v>1880</v>
      </c>
      <c r="B1882" s="6">
        <v>3074</v>
      </c>
      <c r="C1882" s="6">
        <v>1984</v>
      </c>
      <c r="D1882" s="7" t="s">
        <v>12</v>
      </c>
      <c r="E1882" s="7" t="s">
        <v>13</v>
      </c>
      <c r="F1882" s="6">
        <v>70643</v>
      </c>
      <c r="G1882" s="6">
        <v>0</v>
      </c>
      <c r="H1882" s="6">
        <v>0</v>
      </c>
      <c r="I1882" s="6">
        <f t="shared" si="29"/>
        <v>0</v>
      </c>
      <c r="J1882" s="9">
        <v>41197</v>
      </c>
      <c r="K1882" s="6">
        <v>66</v>
      </c>
      <c r="L1882">
        <f>VLOOKUP(A1882,Marketing_df2!$A$1:$F$2241,3,FALSE)</f>
        <v>107</v>
      </c>
      <c r="M1882">
        <f>VLOOKUP(A1882,Marketing_df2!$A$1:$F$2241,4,FALSE)</f>
        <v>143</v>
      </c>
      <c r="N1882">
        <f>VLOOKUP(A1882,Marketing_df2!$A$1:$F$2241,5,FALSE)</f>
        <v>5</v>
      </c>
      <c r="O1882">
        <f>VLOOKUP(A1882,Marketing_df2!$A$1:$F$2241,6,FALSE)</f>
        <v>4</v>
      </c>
    </row>
    <row r="1883" spans="1:15" ht="12.5">
      <c r="A1883" s="6">
        <v>1881</v>
      </c>
      <c r="B1883" s="6">
        <v>8341</v>
      </c>
      <c r="C1883" s="6">
        <v>1969</v>
      </c>
      <c r="D1883" s="7" t="s">
        <v>12</v>
      </c>
      <c r="E1883" s="7" t="s">
        <v>13</v>
      </c>
      <c r="F1883" s="6">
        <v>30396</v>
      </c>
      <c r="G1883" s="6">
        <v>1</v>
      </c>
      <c r="H1883" s="6">
        <v>0</v>
      </c>
      <c r="I1883" s="6">
        <f t="shared" si="29"/>
        <v>1</v>
      </c>
      <c r="J1883" s="8">
        <v>41759</v>
      </c>
      <c r="K1883" s="6">
        <v>22</v>
      </c>
      <c r="L1883">
        <f>VLOOKUP(A1883,Marketing_df2!$A$1:$F$2241,3,FALSE)</f>
        <v>0</v>
      </c>
      <c r="M1883">
        <f>VLOOKUP(A1883,Marketing_df2!$A$1:$F$2241,4,FALSE)</f>
        <v>1</v>
      </c>
      <c r="N1883">
        <f>VLOOKUP(A1883,Marketing_df2!$A$1:$F$2241,5,FALSE)</f>
        <v>1</v>
      </c>
      <c r="O1883">
        <f>VLOOKUP(A1883,Marketing_df2!$A$1:$F$2241,6,FALSE)</f>
        <v>2</v>
      </c>
    </row>
    <row r="1884" spans="1:15" ht="12.5">
      <c r="A1884" s="6">
        <v>1882</v>
      </c>
      <c r="B1884" s="6">
        <v>5180</v>
      </c>
      <c r="C1884" s="6">
        <v>1968</v>
      </c>
      <c r="D1884" s="7" t="s">
        <v>12</v>
      </c>
      <c r="E1884" s="7" t="s">
        <v>15</v>
      </c>
      <c r="F1884" s="6">
        <v>50616</v>
      </c>
      <c r="G1884" s="6">
        <v>0</v>
      </c>
      <c r="H1884" s="6">
        <v>1</v>
      </c>
      <c r="I1884" s="6">
        <f t="shared" si="29"/>
        <v>1</v>
      </c>
      <c r="J1884" s="8">
        <v>41747</v>
      </c>
      <c r="K1884" s="6">
        <v>56</v>
      </c>
      <c r="L1884">
        <f>VLOOKUP(A1884,Marketing_df2!$A$1:$F$2241,3,FALSE)</f>
        <v>0</v>
      </c>
      <c r="M1884">
        <f>VLOOKUP(A1884,Marketing_df2!$A$1:$F$2241,4,FALSE)</f>
        <v>1</v>
      </c>
      <c r="N1884">
        <f>VLOOKUP(A1884,Marketing_df2!$A$1:$F$2241,5,FALSE)</f>
        <v>4</v>
      </c>
      <c r="O1884">
        <f>VLOOKUP(A1884,Marketing_df2!$A$1:$F$2241,6,FALSE)</f>
        <v>4</v>
      </c>
    </row>
    <row r="1885" spans="1:15" ht="12.5">
      <c r="A1885" s="6">
        <v>1883</v>
      </c>
      <c r="B1885" s="6">
        <v>6461</v>
      </c>
      <c r="C1885" s="6">
        <v>1969</v>
      </c>
      <c r="D1885" s="7" t="s">
        <v>14</v>
      </c>
      <c r="E1885" s="7" t="s">
        <v>10</v>
      </c>
      <c r="F1885" s="6">
        <v>62772</v>
      </c>
      <c r="G1885" s="6">
        <v>0</v>
      </c>
      <c r="H1885" s="6">
        <v>1</v>
      </c>
      <c r="I1885" s="6">
        <f t="shared" si="29"/>
        <v>1</v>
      </c>
      <c r="J1885" s="8">
        <v>41413</v>
      </c>
      <c r="K1885" s="6">
        <v>74</v>
      </c>
      <c r="L1885">
        <f>VLOOKUP(A1885,Marketing_df2!$A$1:$F$2241,3,FALSE)</f>
        <v>49</v>
      </c>
      <c r="M1885">
        <f>VLOOKUP(A1885,Marketing_df2!$A$1:$F$2241,4,FALSE)</f>
        <v>8</v>
      </c>
      <c r="N1885">
        <f>VLOOKUP(A1885,Marketing_df2!$A$1:$F$2241,5,FALSE)</f>
        <v>5</v>
      </c>
      <c r="O1885">
        <f>VLOOKUP(A1885,Marketing_df2!$A$1:$F$2241,6,FALSE)</f>
        <v>11</v>
      </c>
    </row>
    <row r="1886" spans="1:15" ht="12.5">
      <c r="A1886" s="6">
        <v>1884</v>
      </c>
      <c r="B1886" s="6">
        <v>7679</v>
      </c>
      <c r="C1886" s="6">
        <v>1985</v>
      </c>
      <c r="D1886" s="7" t="s">
        <v>12</v>
      </c>
      <c r="E1886" s="7" t="s">
        <v>10</v>
      </c>
      <c r="F1886" s="6">
        <v>30298</v>
      </c>
      <c r="G1886" s="6">
        <v>0</v>
      </c>
      <c r="H1886" s="6">
        <v>0</v>
      </c>
      <c r="I1886" s="6">
        <f t="shared" si="29"/>
        <v>0</v>
      </c>
      <c r="J1886" s="8">
        <v>41778</v>
      </c>
      <c r="K1886" s="6">
        <v>48</v>
      </c>
      <c r="L1886">
        <f>VLOOKUP(A1886,Marketing_df2!$A$1:$F$2241,3,FALSE)</f>
        <v>3</v>
      </c>
      <c r="M1886">
        <f>VLOOKUP(A1886,Marketing_df2!$A$1:$F$2241,4,FALSE)</f>
        <v>1</v>
      </c>
      <c r="N1886">
        <f>VLOOKUP(A1886,Marketing_df2!$A$1:$F$2241,5,FALSE)</f>
        <v>1</v>
      </c>
      <c r="O1886">
        <f>VLOOKUP(A1886,Marketing_df2!$A$1:$F$2241,6,FALSE)</f>
        <v>3</v>
      </c>
    </row>
    <row r="1887" spans="1:15" ht="12.5">
      <c r="A1887" s="6">
        <v>1885</v>
      </c>
      <c r="B1887" s="6">
        <v>10702</v>
      </c>
      <c r="C1887" s="6">
        <v>1984</v>
      </c>
      <c r="D1887" s="7" t="s">
        <v>9</v>
      </c>
      <c r="E1887" s="7" t="s">
        <v>10</v>
      </c>
      <c r="F1887" s="6">
        <v>52413</v>
      </c>
      <c r="G1887" s="6">
        <v>1</v>
      </c>
      <c r="H1887" s="6">
        <v>0</v>
      </c>
      <c r="I1887" s="6">
        <f t="shared" si="29"/>
        <v>1</v>
      </c>
      <c r="J1887" s="8">
        <v>41216</v>
      </c>
      <c r="K1887" s="6">
        <v>67</v>
      </c>
      <c r="L1887">
        <f>VLOOKUP(A1887,Marketing_df2!$A$1:$F$2241,3,FALSE)</f>
        <v>8</v>
      </c>
      <c r="M1887">
        <f>VLOOKUP(A1887,Marketing_df2!$A$1:$F$2241,4,FALSE)</f>
        <v>56</v>
      </c>
      <c r="N1887">
        <f>VLOOKUP(A1887,Marketing_df2!$A$1:$F$2241,5,FALSE)</f>
        <v>7</v>
      </c>
      <c r="O1887">
        <f>VLOOKUP(A1887,Marketing_df2!$A$1:$F$2241,6,FALSE)</f>
        <v>7</v>
      </c>
    </row>
    <row r="1888" spans="1:15" ht="12.5">
      <c r="A1888" s="6">
        <v>1886</v>
      </c>
      <c r="B1888" s="6">
        <v>7505</v>
      </c>
      <c r="C1888" s="6">
        <v>1957</v>
      </c>
      <c r="D1888" s="7" t="s">
        <v>12</v>
      </c>
      <c r="E1888" s="7" t="s">
        <v>13</v>
      </c>
      <c r="F1888" s="6">
        <v>44155</v>
      </c>
      <c r="G1888" s="6">
        <v>1</v>
      </c>
      <c r="H1888" s="6">
        <v>1</v>
      </c>
      <c r="I1888" s="6">
        <f t="shared" si="29"/>
        <v>2</v>
      </c>
      <c r="J1888" s="8">
        <v>41658</v>
      </c>
      <c r="K1888" s="6">
        <v>24</v>
      </c>
      <c r="L1888">
        <f>VLOOKUP(A1888,Marketing_df2!$A$1:$F$2241,3,FALSE)</f>
        <v>1</v>
      </c>
      <c r="M1888">
        <f>VLOOKUP(A1888,Marketing_df2!$A$1:$F$2241,4,FALSE)</f>
        <v>0</v>
      </c>
      <c r="N1888">
        <f>VLOOKUP(A1888,Marketing_df2!$A$1:$F$2241,5,FALSE)</f>
        <v>1</v>
      </c>
      <c r="O1888">
        <f>VLOOKUP(A1888,Marketing_df2!$A$1:$F$2241,6,FALSE)</f>
        <v>2</v>
      </c>
    </row>
    <row r="1889" spans="1:15" ht="12.5">
      <c r="A1889" s="6">
        <v>1887</v>
      </c>
      <c r="B1889" s="6">
        <v>5113</v>
      </c>
      <c r="C1889" s="6">
        <v>1971</v>
      </c>
      <c r="D1889" s="7" t="s">
        <v>12</v>
      </c>
      <c r="E1889" s="7" t="s">
        <v>15</v>
      </c>
      <c r="F1889" s="6">
        <v>86979</v>
      </c>
      <c r="G1889" s="6">
        <v>0</v>
      </c>
      <c r="H1889" s="6">
        <v>0</v>
      </c>
      <c r="I1889" s="6">
        <f t="shared" si="29"/>
        <v>0</v>
      </c>
      <c r="J1889" s="8">
        <v>41585</v>
      </c>
      <c r="K1889" s="6">
        <v>67</v>
      </c>
      <c r="L1889">
        <f>VLOOKUP(A1889,Marketing_df2!$A$1:$F$2241,3,FALSE)</f>
        <v>100</v>
      </c>
      <c r="M1889">
        <f>VLOOKUP(A1889,Marketing_df2!$A$1:$F$2241,4,FALSE)</f>
        <v>83</v>
      </c>
      <c r="N1889">
        <f>VLOOKUP(A1889,Marketing_df2!$A$1:$F$2241,5,FALSE)</f>
        <v>5</v>
      </c>
      <c r="O1889">
        <f>VLOOKUP(A1889,Marketing_df2!$A$1:$F$2241,6,FALSE)</f>
        <v>5</v>
      </c>
    </row>
    <row r="1890" spans="1:15" ht="12.5">
      <c r="A1890" s="6">
        <v>1888</v>
      </c>
      <c r="B1890" s="6">
        <v>10858</v>
      </c>
      <c r="C1890" s="6">
        <v>1975</v>
      </c>
      <c r="D1890" s="7" t="s">
        <v>9</v>
      </c>
      <c r="E1890" s="7" t="s">
        <v>11</v>
      </c>
      <c r="F1890" s="6">
        <v>76532</v>
      </c>
      <c r="G1890" s="6">
        <v>1</v>
      </c>
      <c r="H1890" s="6">
        <v>1</v>
      </c>
      <c r="I1890" s="6">
        <f t="shared" si="29"/>
        <v>2</v>
      </c>
      <c r="J1890" s="8">
        <v>41526</v>
      </c>
      <c r="K1890" s="6">
        <v>38</v>
      </c>
      <c r="L1890">
        <f>VLOOKUP(A1890,Marketing_df2!$A$1:$F$2241,3,FALSE)</f>
        <v>30</v>
      </c>
      <c r="M1890">
        <f>VLOOKUP(A1890,Marketing_df2!$A$1:$F$2241,4,FALSE)</f>
        <v>138</v>
      </c>
      <c r="N1890">
        <f>VLOOKUP(A1890,Marketing_df2!$A$1:$F$2241,5,FALSE)</f>
        <v>9</v>
      </c>
      <c r="O1890">
        <f>VLOOKUP(A1890,Marketing_df2!$A$1:$F$2241,6,FALSE)</f>
        <v>7</v>
      </c>
    </row>
    <row r="1891" spans="1:15" ht="12.5">
      <c r="A1891" s="6">
        <v>1889</v>
      </c>
      <c r="B1891" s="6">
        <v>2961</v>
      </c>
      <c r="C1891" s="6">
        <v>1982</v>
      </c>
      <c r="D1891" s="7" t="s">
        <v>9</v>
      </c>
      <c r="E1891" s="7" t="s">
        <v>13</v>
      </c>
      <c r="F1891" s="6">
        <v>42081</v>
      </c>
      <c r="G1891" s="6">
        <v>1</v>
      </c>
      <c r="H1891" s="6">
        <v>0</v>
      </c>
      <c r="I1891" s="6">
        <f t="shared" si="29"/>
        <v>1</v>
      </c>
      <c r="J1891" s="8">
        <v>41331</v>
      </c>
      <c r="K1891" s="6">
        <v>86</v>
      </c>
      <c r="L1891">
        <f>VLOOKUP(A1891,Marketing_df2!$A$1:$F$2241,3,FALSE)</f>
        <v>10</v>
      </c>
      <c r="M1891">
        <f>VLOOKUP(A1891,Marketing_df2!$A$1:$F$2241,4,FALSE)</f>
        <v>6</v>
      </c>
      <c r="N1891">
        <f>VLOOKUP(A1891,Marketing_df2!$A$1:$F$2241,5,FALSE)</f>
        <v>6</v>
      </c>
      <c r="O1891">
        <f>VLOOKUP(A1891,Marketing_df2!$A$1:$F$2241,6,FALSE)</f>
        <v>4</v>
      </c>
    </row>
    <row r="1892" spans="1:15" ht="12.5">
      <c r="A1892" s="6">
        <v>1890</v>
      </c>
      <c r="B1892" s="6">
        <v>2747</v>
      </c>
      <c r="C1892" s="6">
        <v>1988</v>
      </c>
      <c r="D1892" s="7" t="s">
        <v>12</v>
      </c>
      <c r="E1892" s="7" t="s">
        <v>13</v>
      </c>
      <c r="F1892" s="6">
        <v>67546</v>
      </c>
      <c r="G1892" s="6">
        <v>0</v>
      </c>
      <c r="H1892" s="6">
        <v>0</v>
      </c>
      <c r="I1892" s="6">
        <f t="shared" si="29"/>
        <v>0</v>
      </c>
      <c r="J1892" s="8">
        <v>41152</v>
      </c>
      <c r="K1892" s="6">
        <v>90</v>
      </c>
      <c r="L1892">
        <f>VLOOKUP(A1892,Marketing_df2!$A$1:$F$2241,3,FALSE)</f>
        <v>134</v>
      </c>
      <c r="M1892">
        <f>VLOOKUP(A1892,Marketing_df2!$A$1:$F$2241,4,FALSE)</f>
        <v>38</v>
      </c>
      <c r="N1892">
        <f>VLOOKUP(A1892,Marketing_df2!$A$1:$F$2241,5,FALSE)</f>
        <v>4</v>
      </c>
      <c r="O1892">
        <f>VLOOKUP(A1892,Marketing_df2!$A$1:$F$2241,6,FALSE)</f>
        <v>5</v>
      </c>
    </row>
    <row r="1893" spans="1:15" ht="12.5">
      <c r="A1893" s="6">
        <v>1891</v>
      </c>
      <c r="B1893" s="6">
        <v>3010</v>
      </c>
      <c r="C1893" s="6">
        <v>1989</v>
      </c>
      <c r="D1893" s="7" t="s">
        <v>14</v>
      </c>
      <c r="E1893" s="7" t="s">
        <v>11</v>
      </c>
      <c r="F1893" s="6">
        <v>88420</v>
      </c>
      <c r="G1893" s="6">
        <v>0</v>
      </c>
      <c r="H1893" s="6">
        <v>0</v>
      </c>
      <c r="I1893" s="6">
        <f t="shared" si="29"/>
        <v>0</v>
      </c>
      <c r="J1893" s="8">
        <v>41761</v>
      </c>
      <c r="K1893" s="6">
        <v>87</v>
      </c>
      <c r="L1893">
        <f>VLOOKUP(A1893,Marketing_df2!$A$1:$F$2241,3,FALSE)</f>
        <v>153</v>
      </c>
      <c r="M1893">
        <f>VLOOKUP(A1893,Marketing_df2!$A$1:$F$2241,4,FALSE)</f>
        <v>95</v>
      </c>
      <c r="N1893">
        <f>VLOOKUP(A1893,Marketing_df2!$A$1:$F$2241,5,FALSE)</f>
        <v>4</v>
      </c>
      <c r="O1893">
        <f>VLOOKUP(A1893,Marketing_df2!$A$1:$F$2241,6,FALSE)</f>
        <v>8</v>
      </c>
    </row>
    <row r="1894" spans="1:15" ht="12.5">
      <c r="A1894" s="6">
        <v>1892</v>
      </c>
      <c r="B1894" s="6">
        <v>5790</v>
      </c>
      <c r="C1894" s="6">
        <v>1985</v>
      </c>
      <c r="D1894" s="7" t="s">
        <v>9</v>
      </c>
      <c r="E1894" s="7" t="s">
        <v>13</v>
      </c>
      <c r="F1894" s="6">
        <v>31158</v>
      </c>
      <c r="G1894" s="6">
        <v>1</v>
      </c>
      <c r="H1894" s="6">
        <v>0</v>
      </c>
      <c r="I1894" s="6">
        <f t="shared" si="29"/>
        <v>1</v>
      </c>
      <c r="J1894" s="8">
        <v>41301</v>
      </c>
      <c r="K1894" s="6">
        <v>62</v>
      </c>
      <c r="L1894">
        <f>VLOOKUP(A1894,Marketing_df2!$A$1:$F$2241,3,FALSE)</f>
        <v>6</v>
      </c>
      <c r="M1894">
        <f>VLOOKUP(A1894,Marketing_df2!$A$1:$F$2241,4,FALSE)</f>
        <v>0</v>
      </c>
      <c r="N1894">
        <f>VLOOKUP(A1894,Marketing_df2!$A$1:$F$2241,5,FALSE)</f>
        <v>2</v>
      </c>
      <c r="O1894">
        <f>VLOOKUP(A1894,Marketing_df2!$A$1:$F$2241,6,FALSE)</f>
        <v>3</v>
      </c>
    </row>
    <row r="1895" spans="1:15" ht="12.5">
      <c r="A1895" s="6">
        <v>1893</v>
      </c>
      <c r="B1895" s="6">
        <v>6892</v>
      </c>
      <c r="C1895" s="6">
        <v>1968</v>
      </c>
      <c r="D1895" s="7" t="s">
        <v>9</v>
      </c>
      <c r="E1895" s="7" t="s">
        <v>15</v>
      </c>
      <c r="F1895" s="6">
        <v>61671</v>
      </c>
      <c r="G1895" s="6">
        <v>0</v>
      </c>
      <c r="H1895" s="6">
        <v>1</v>
      </c>
      <c r="I1895" s="6">
        <f t="shared" si="29"/>
        <v>1</v>
      </c>
      <c r="J1895" s="8">
        <v>41793</v>
      </c>
      <c r="K1895" s="6">
        <v>23</v>
      </c>
      <c r="L1895">
        <f>VLOOKUP(A1895,Marketing_df2!$A$1:$F$2241,3,FALSE)</f>
        <v>7</v>
      </c>
      <c r="M1895">
        <f>VLOOKUP(A1895,Marketing_df2!$A$1:$F$2241,4,FALSE)</f>
        <v>0</v>
      </c>
      <c r="N1895">
        <f>VLOOKUP(A1895,Marketing_df2!$A$1:$F$2241,5,FALSE)</f>
        <v>10</v>
      </c>
      <c r="O1895">
        <f>VLOOKUP(A1895,Marketing_df2!$A$1:$F$2241,6,FALSE)</f>
        <v>6</v>
      </c>
    </row>
    <row r="1896" spans="1:15" ht="12.5">
      <c r="A1896" s="6">
        <v>1894</v>
      </c>
      <c r="B1896" s="6">
        <v>1743</v>
      </c>
      <c r="C1896" s="6">
        <v>1974</v>
      </c>
      <c r="D1896" s="7" t="s">
        <v>9</v>
      </c>
      <c r="E1896" s="7" t="s">
        <v>10</v>
      </c>
      <c r="F1896" s="6">
        <v>69719</v>
      </c>
      <c r="G1896" s="6">
        <v>0</v>
      </c>
      <c r="H1896" s="6">
        <v>0</v>
      </c>
      <c r="I1896" s="6">
        <f t="shared" si="29"/>
        <v>0</v>
      </c>
      <c r="J1896" s="8">
        <v>41785</v>
      </c>
      <c r="K1896" s="6">
        <v>99</v>
      </c>
      <c r="L1896">
        <f>VLOOKUP(A1896,Marketing_df2!$A$1:$F$2241,3,FALSE)</f>
        <v>86</v>
      </c>
      <c r="M1896">
        <f>VLOOKUP(A1896,Marketing_df2!$A$1:$F$2241,4,FALSE)</f>
        <v>14</v>
      </c>
      <c r="N1896">
        <f>VLOOKUP(A1896,Marketing_df2!$A$1:$F$2241,5,FALSE)</f>
        <v>2</v>
      </c>
      <c r="O1896">
        <f>VLOOKUP(A1896,Marketing_df2!$A$1:$F$2241,6,FALSE)</f>
        <v>5</v>
      </c>
    </row>
    <row r="1897" spans="1:15" ht="12.5">
      <c r="A1897" s="6">
        <v>1895</v>
      </c>
      <c r="B1897" s="6">
        <v>3578</v>
      </c>
      <c r="C1897" s="6">
        <v>1949</v>
      </c>
      <c r="D1897" s="7" t="s">
        <v>9</v>
      </c>
      <c r="E1897" s="7" t="s">
        <v>15</v>
      </c>
      <c r="F1897" s="6">
        <v>49160</v>
      </c>
      <c r="G1897" s="6">
        <v>0</v>
      </c>
      <c r="H1897" s="6">
        <v>1</v>
      </c>
      <c r="I1897" s="6">
        <f t="shared" si="29"/>
        <v>1</v>
      </c>
      <c r="J1897" s="9">
        <v>41567</v>
      </c>
      <c r="K1897" s="6">
        <v>29</v>
      </c>
      <c r="L1897">
        <f>VLOOKUP(A1897,Marketing_df2!$A$1:$F$2241,3,FALSE)</f>
        <v>21</v>
      </c>
      <c r="M1897">
        <f>VLOOKUP(A1897,Marketing_df2!$A$1:$F$2241,4,FALSE)</f>
        <v>10</v>
      </c>
      <c r="N1897">
        <f>VLOOKUP(A1897,Marketing_df2!$A$1:$F$2241,5,FALSE)</f>
        <v>3</v>
      </c>
      <c r="O1897">
        <f>VLOOKUP(A1897,Marketing_df2!$A$1:$F$2241,6,FALSE)</f>
        <v>6</v>
      </c>
    </row>
    <row r="1898" spans="1:15" ht="12.5">
      <c r="A1898" s="6">
        <v>1896</v>
      </c>
      <c r="B1898" s="6">
        <v>8462</v>
      </c>
      <c r="C1898" s="6">
        <v>1978</v>
      </c>
      <c r="D1898" s="7" t="s">
        <v>16</v>
      </c>
      <c r="E1898" s="7" t="s">
        <v>11</v>
      </c>
      <c r="F1898" s="6">
        <v>24882</v>
      </c>
      <c r="G1898" s="6">
        <v>1</v>
      </c>
      <c r="H1898" s="6">
        <v>0</v>
      </c>
      <c r="I1898" s="6">
        <f t="shared" si="29"/>
        <v>1</v>
      </c>
      <c r="J1898" s="8">
        <v>41161</v>
      </c>
      <c r="K1898" s="6">
        <v>52</v>
      </c>
      <c r="L1898">
        <f>VLOOKUP(A1898,Marketing_df2!$A$1:$F$2241,3,FALSE)</f>
        <v>4</v>
      </c>
      <c r="M1898">
        <f>VLOOKUP(A1898,Marketing_df2!$A$1:$F$2241,4,FALSE)</f>
        <v>0</v>
      </c>
      <c r="N1898">
        <f>VLOOKUP(A1898,Marketing_df2!$A$1:$F$2241,5,FALSE)</f>
        <v>1</v>
      </c>
      <c r="O1898">
        <f>VLOOKUP(A1898,Marketing_df2!$A$1:$F$2241,6,FALSE)</f>
        <v>2</v>
      </c>
    </row>
    <row r="1899" spans="1:15" ht="12.5">
      <c r="A1899" s="6">
        <v>1897</v>
      </c>
      <c r="B1899" s="6">
        <v>5558</v>
      </c>
      <c r="C1899" s="6">
        <v>1954</v>
      </c>
      <c r="D1899" s="7" t="s">
        <v>12</v>
      </c>
      <c r="E1899" s="7" t="s">
        <v>10</v>
      </c>
      <c r="F1899" s="6">
        <v>90933</v>
      </c>
      <c r="G1899" s="6">
        <v>0</v>
      </c>
      <c r="H1899" s="6">
        <v>0</v>
      </c>
      <c r="I1899" s="6">
        <f t="shared" si="29"/>
        <v>0</v>
      </c>
      <c r="J1899" s="8">
        <v>41729</v>
      </c>
      <c r="K1899" s="6">
        <v>90</v>
      </c>
      <c r="L1899">
        <f>VLOOKUP(A1899,Marketing_df2!$A$1:$F$2241,3,FALSE)</f>
        <v>31</v>
      </c>
      <c r="M1899">
        <f>VLOOKUP(A1899,Marketing_df2!$A$1:$F$2241,4,FALSE)</f>
        <v>63</v>
      </c>
      <c r="N1899">
        <f>VLOOKUP(A1899,Marketing_df2!$A$1:$F$2241,5,FALSE)</f>
        <v>4</v>
      </c>
      <c r="O1899">
        <f>VLOOKUP(A1899,Marketing_df2!$A$1:$F$2241,6,FALSE)</f>
        <v>4</v>
      </c>
    </row>
    <row r="1900" spans="1:15" ht="12.5">
      <c r="A1900" s="6">
        <v>1898</v>
      </c>
      <c r="B1900" s="6">
        <v>4619</v>
      </c>
      <c r="C1900" s="6">
        <v>1945</v>
      </c>
      <c r="D1900" s="7" t="s">
        <v>12</v>
      </c>
      <c r="E1900" s="7" t="s">
        <v>10</v>
      </c>
      <c r="F1900" s="6">
        <v>113734</v>
      </c>
      <c r="G1900" s="6">
        <v>0</v>
      </c>
      <c r="H1900" s="6">
        <v>0</v>
      </c>
      <c r="I1900" s="6">
        <f t="shared" si="29"/>
        <v>0</v>
      </c>
      <c r="J1900" s="8">
        <v>41787</v>
      </c>
      <c r="K1900" s="6">
        <v>9</v>
      </c>
      <c r="L1900">
        <f>VLOOKUP(A1900,Marketing_df2!$A$1:$F$2241,3,FALSE)</f>
        <v>2</v>
      </c>
      <c r="M1900">
        <f>VLOOKUP(A1900,Marketing_df2!$A$1:$F$2241,4,FALSE)</f>
        <v>262</v>
      </c>
      <c r="N1900">
        <f>VLOOKUP(A1900,Marketing_df2!$A$1:$F$2241,5,FALSE)</f>
        <v>27</v>
      </c>
      <c r="O1900">
        <f>VLOOKUP(A1900,Marketing_df2!$A$1:$F$2241,6,FALSE)</f>
        <v>0</v>
      </c>
    </row>
    <row r="1901" spans="1:15" ht="12.5">
      <c r="A1901" s="6">
        <v>1899</v>
      </c>
      <c r="B1901" s="6">
        <v>8780</v>
      </c>
      <c r="C1901" s="6">
        <v>1950</v>
      </c>
      <c r="D1901" s="7" t="s">
        <v>12</v>
      </c>
      <c r="E1901" s="7" t="s">
        <v>11</v>
      </c>
      <c r="F1901" s="6">
        <v>59292</v>
      </c>
      <c r="G1901" s="6">
        <v>0</v>
      </c>
      <c r="H1901" s="6">
        <v>1</v>
      </c>
      <c r="I1901" s="6">
        <f t="shared" si="29"/>
        <v>1</v>
      </c>
      <c r="J1901" s="8">
        <v>41438</v>
      </c>
      <c r="K1901" s="6">
        <v>71</v>
      </c>
      <c r="L1901">
        <f>VLOOKUP(A1901,Marketing_df2!$A$1:$F$2241,3,FALSE)</f>
        <v>14</v>
      </c>
      <c r="M1901">
        <f>VLOOKUP(A1901,Marketing_df2!$A$1:$F$2241,4,FALSE)</f>
        <v>14</v>
      </c>
      <c r="N1901">
        <f>VLOOKUP(A1901,Marketing_df2!$A$1:$F$2241,5,FALSE)</f>
        <v>3</v>
      </c>
      <c r="O1901">
        <f>VLOOKUP(A1901,Marketing_df2!$A$1:$F$2241,6,FALSE)</f>
        <v>8</v>
      </c>
    </row>
    <row r="1902" spans="1:15" ht="12.5">
      <c r="A1902" s="6">
        <v>1900</v>
      </c>
      <c r="B1902" s="6">
        <v>10789</v>
      </c>
      <c r="C1902" s="6">
        <v>1964</v>
      </c>
      <c r="D1902" s="7" t="s">
        <v>12</v>
      </c>
      <c r="E1902" s="7" t="s">
        <v>13</v>
      </c>
      <c r="F1902" s="6">
        <v>45759</v>
      </c>
      <c r="G1902" s="6">
        <v>1</v>
      </c>
      <c r="H1902" s="6">
        <v>1</v>
      </c>
      <c r="I1902" s="6">
        <f t="shared" si="29"/>
        <v>2</v>
      </c>
      <c r="J1902" s="8">
        <v>41328</v>
      </c>
      <c r="K1902" s="6">
        <v>13</v>
      </c>
      <c r="L1902">
        <f>VLOOKUP(A1902,Marketing_df2!$A$1:$F$2241,3,FALSE)</f>
        <v>1</v>
      </c>
      <c r="M1902">
        <f>VLOOKUP(A1902,Marketing_df2!$A$1:$F$2241,4,FALSE)</f>
        <v>0</v>
      </c>
      <c r="N1902">
        <f>VLOOKUP(A1902,Marketing_df2!$A$1:$F$2241,5,FALSE)</f>
        <v>2</v>
      </c>
      <c r="O1902">
        <f>VLOOKUP(A1902,Marketing_df2!$A$1:$F$2241,6,FALSE)</f>
        <v>3</v>
      </c>
    </row>
    <row r="1903" spans="1:15" ht="12.5">
      <c r="A1903" s="6">
        <v>1901</v>
      </c>
      <c r="B1903" s="6">
        <v>10779</v>
      </c>
      <c r="C1903" s="6">
        <v>1983</v>
      </c>
      <c r="D1903" s="7" t="s">
        <v>9</v>
      </c>
      <c r="E1903" s="7" t="s">
        <v>10</v>
      </c>
      <c r="F1903" s="6">
        <v>22148</v>
      </c>
      <c r="G1903" s="6">
        <v>0</v>
      </c>
      <c r="H1903" s="6">
        <v>0</v>
      </c>
      <c r="I1903" s="6">
        <f t="shared" si="29"/>
        <v>0</v>
      </c>
      <c r="J1903" s="8">
        <v>41742</v>
      </c>
      <c r="K1903" s="6">
        <v>16</v>
      </c>
      <c r="L1903">
        <f>VLOOKUP(A1903,Marketing_df2!$A$1:$F$2241,3,FALSE)</f>
        <v>5</v>
      </c>
      <c r="M1903">
        <f>VLOOKUP(A1903,Marketing_df2!$A$1:$F$2241,4,FALSE)</f>
        <v>4</v>
      </c>
      <c r="N1903">
        <f>VLOOKUP(A1903,Marketing_df2!$A$1:$F$2241,5,FALSE)</f>
        <v>1</v>
      </c>
      <c r="O1903">
        <f>VLOOKUP(A1903,Marketing_df2!$A$1:$F$2241,6,FALSE)</f>
        <v>3</v>
      </c>
    </row>
    <row r="1904" spans="1:15" ht="12.5">
      <c r="A1904" s="6">
        <v>1902</v>
      </c>
      <c r="B1904" s="6">
        <v>5896</v>
      </c>
      <c r="C1904" s="6">
        <v>1987</v>
      </c>
      <c r="D1904" s="7" t="s">
        <v>14</v>
      </c>
      <c r="E1904" s="7" t="s">
        <v>13</v>
      </c>
      <c r="F1904" s="6">
        <v>73395</v>
      </c>
      <c r="G1904" s="6">
        <v>0</v>
      </c>
      <c r="H1904" s="6">
        <v>0</v>
      </c>
      <c r="I1904" s="6">
        <f t="shared" si="29"/>
        <v>0</v>
      </c>
      <c r="J1904" s="8">
        <v>41716</v>
      </c>
      <c r="K1904" s="6">
        <v>94</v>
      </c>
      <c r="L1904">
        <f>VLOOKUP(A1904,Marketing_df2!$A$1:$F$2241,3,FALSE)</f>
        <v>7</v>
      </c>
      <c r="M1904">
        <f>VLOOKUP(A1904,Marketing_df2!$A$1:$F$2241,4,FALSE)</f>
        <v>7</v>
      </c>
      <c r="N1904">
        <f>VLOOKUP(A1904,Marketing_df2!$A$1:$F$2241,5,FALSE)</f>
        <v>4</v>
      </c>
      <c r="O1904">
        <f>VLOOKUP(A1904,Marketing_df2!$A$1:$F$2241,6,FALSE)</f>
        <v>6</v>
      </c>
    </row>
    <row r="1905" spans="1:15" ht="12.5">
      <c r="A1905" s="6">
        <v>1903</v>
      </c>
      <c r="B1905" s="6">
        <v>2337</v>
      </c>
      <c r="C1905" s="6">
        <v>1971</v>
      </c>
      <c r="D1905" s="7" t="s">
        <v>9</v>
      </c>
      <c r="E1905" s="7" t="s">
        <v>15</v>
      </c>
      <c r="F1905" s="6">
        <v>29819</v>
      </c>
      <c r="G1905" s="6">
        <v>1</v>
      </c>
      <c r="H1905" s="6">
        <v>0</v>
      </c>
      <c r="I1905" s="6">
        <f t="shared" si="29"/>
        <v>1</v>
      </c>
      <c r="J1905" s="9">
        <v>41571</v>
      </c>
      <c r="K1905" s="6">
        <v>77</v>
      </c>
      <c r="L1905">
        <f>VLOOKUP(A1905,Marketing_df2!$A$1:$F$2241,3,FALSE)</f>
        <v>1</v>
      </c>
      <c r="M1905">
        <f>VLOOKUP(A1905,Marketing_df2!$A$1:$F$2241,4,FALSE)</f>
        <v>1</v>
      </c>
      <c r="N1905">
        <f>VLOOKUP(A1905,Marketing_df2!$A$1:$F$2241,5,FALSE)</f>
        <v>3</v>
      </c>
      <c r="O1905">
        <f>VLOOKUP(A1905,Marketing_df2!$A$1:$F$2241,6,FALSE)</f>
        <v>3</v>
      </c>
    </row>
    <row r="1906" spans="1:15" ht="12.5">
      <c r="A1906" s="6">
        <v>1904</v>
      </c>
      <c r="B1906" s="6">
        <v>10951</v>
      </c>
      <c r="C1906" s="6">
        <v>1968</v>
      </c>
      <c r="D1906" s="7" t="s">
        <v>9</v>
      </c>
      <c r="E1906" s="7" t="s">
        <v>13</v>
      </c>
      <c r="F1906" s="6">
        <v>45688</v>
      </c>
      <c r="G1906" s="6">
        <v>0</v>
      </c>
      <c r="H1906" s="6">
        <v>1</v>
      </c>
      <c r="I1906" s="6">
        <f t="shared" si="29"/>
        <v>1</v>
      </c>
      <c r="J1906" s="8">
        <v>41664</v>
      </c>
      <c r="K1906" s="6">
        <v>20</v>
      </c>
      <c r="L1906">
        <f>VLOOKUP(A1906,Marketing_df2!$A$1:$F$2241,3,FALSE)</f>
        <v>0</v>
      </c>
      <c r="M1906">
        <f>VLOOKUP(A1906,Marketing_df2!$A$1:$F$2241,4,FALSE)</f>
        <v>0</v>
      </c>
      <c r="N1906">
        <f>VLOOKUP(A1906,Marketing_df2!$A$1:$F$2241,5,FALSE)</f>
        <v>3</v>
      </c>
      <c r="O1906">
        <f>VLOOKUP(A1906,Marketing_df2!$A$1:$F$2241,6,FALSE)</f>
        <v>8</v>
      </c>
    </row>
    <row r="1907" spans="1:15" ht="12.5">
      <c r="A1907" s="6">
        <v>1905</v>
      </c>
      <c r="B1907" s="6">
        <v>544</v>
      </c>
      <c r="C1907" s="6">
        <v>1954</v>
      </c>
      <c r="D1907" s="7" t="s">
        <v>9</v>
      </c>
      <c r="E1907" s="7" t="s">
        <v>13</v>
      </c>
      <c r="F1907" s="6">
        <v>62820</v>
      </c>
      <c r="G1907" s="6">
        <v>0</v>
      </c>
      <c r="H1907" s="6">
        <v>0</v>
      </c>
      <c r="I1907" s="6">
        <f t="shared" si="29"/>
        <v>0</v>
      </c>
      <c r="J1907" s="8">
        <v>41405</v>
      </c>
      <c r="K1907" s="6">
        <v>51</v>
      </c>
      <c r="L1907">
        <f>VLOOKUP(A1907,Marketing_df2!$A$1:$F$2241,3,FALSE)</f>
        <v>61</v>
      </c>
      <c r="M1907">
        <f>VLOOKUP(A1907,Marketing_df2!$A$1:$F$2241,4,FALSE)</f>
        <v>61</v>
      </c>
      <c r="N1907">
        <f>VLOOKUP(A1907,Marketing_df2!$A$1:$F$2241,5,FALSE)</f>
        <v>3</v>
      </c>
      <c r="O1907">
        <f>VLOOKUP(A1907,Marketing_df2!$A$1:$F$2241,6,FALSE)</f>
        <v>6</v>
      </c>
    </row>
    <row r="1908" spans="1:15" ht="12.5">
      <c r="A1908" s="6">
        <v>1906</v>
      </c>
      <c r="B1908" s="6">
        <v>17</v>
      </c>
      <c r="C1908" s="6">
        <v>1971</v>
      </c>
      <c r="D1908" s="7" t="s">
        <v>12</v>
      </c>
      <c r="E1908" s="7" t="s">
        <v>13</v>
      </c>
      <c r="F1908" s="6">
        <v>60491</v>
      </c>
      <c r="G1908" s="6">
        <v>0</v>
      </c>
      <c r="H1908" s="6">
        <v>1</v>
      </c>
      <c r="I1908" s="6">
        <f t="shared" si="29"/>
        <v>1</v>
      </c>
      <c r="J1908" s="8">
        <v>41523</v>
      </c>
      <c r="K1908" s="6">
        <v>81</v>
      </c>
      <c r="L1908">
        <f>VLOOKUP(A1908,Marketing_df2!$A$1:$F$2241,3,FALSE)</f>
        <v>47</v>
      </c>
      <c r="M1908">
        <f>VLOOKUP(A1908,Marketing_df2!$A$1:$F$2241,4,FALSE)</f>
        <v>19</v>
      </c>
      <c r="N1908">
        <f>VLOOKUP(A1908,Marketing_df2!$A$1:$F$2241,5,FALSE)</f>
        <v>6</v>
      </c>
      <c r="O1908">
        <f>VLOOKUP(A1908,Marketing_df2!$A$1:$F$2241,6,FALSE)</f>
        <v>7</v>
      </c>
    </row>
    <row r="1909" spans="1:15" ht="12.5">
      <c r="A1909" s="6">
        <v>1907</v>
      </c>
      <c r="B1909" s="6">
        <v>10680</v>
      </c>
      <c r="C1909" s="6">
        <v>1986</v>
      </c>
      <c r="D1909" s="7" t="s">
        <v>9</v>
      </c>
      <c r="E1909" s="7" t="s">
        <v>11</v>
      </c>
      <c r="F1909" s="6">
        <v>33235</v>
      </c>
      <c r="G1909" s="6">
        <v>1</v>
      </c>
      <c r="H1909" s="6">
        <v>0</v>
      </c>
      <c r="I1909" s="6">
        <f t="shared" si="29"/>
        <v>1</v>
      </c>
      <c r="J1909" s="8">
        <v>41675</v>
      </c>
      <c r="K1909" s="6">
        <v>71</v>
      </c>
      <c r="L1909">
        <f>VLOOKUP(A1909,Marketing_df2!$A$1:$F$2241,3,FALSE)</f>
        <v>0</v>
      </c>
      <c r="M1909">
        <f>VLOOKUP(A1909,Marketing_df2!$A$1:$F$2241,4,FALSE)</f>
        <v>1</v>
      </c>
      <c r="N1909">
        <f>VLOOKUP(A1909,Marketing_df2!$A$1:$F$2241,5,FALSE)</f>
        <v>3</v>
      </c>
      <c r="O1909">
        <f>VLOOKUP(A1909,Marketing_df2!$A$1:$F$2241,6,FALSE)</f>
        <v>3</v>
      </c>
    </row>
    <row r="1910" spans="1:15" ht="12.5">
      <c r="A1910" s="6">
        <v>1908</v>
      </c>
      <c r="B1910" s="6">
        <v>3265</v>
      </c>
      <c r="C1910" s="6">
        <v>1959</v>
      </c>
      <c r="D1910" s="7" t="s">
        <v>9</v>
      </c>
      <c r="E1910" s="7" t="s">
        <v>13</v>
      </c>
      <c r="F1910" s="6">
        <v>35701</v>
      </c>
      <c r="G1910" s="6">
        <v>0</v>
      </c>
      <c r="H1910" s="6">
        <v>0</v>
      </c>
      <c r="I1910" s="6">
        <f t="shared" si="29"/>
        <v>0</v>
      </c>
      <c r="J1910" s="8">
        <v>41352</v>
      </c>
      <c r="K1910" s="6">
        <v>36</v>
      </c>
      <c r="L1910">
        <f>VLOOKUP(A1910,Marketing_df2!$A$1:$F$2241,3,FALSE)</f>
        <v>1</v>
      </c>
      <c r="M1910">
        <f>VLOOKUP(A1910,Marketing_df2!$A$1:$F$2241,4,FALSE)</f>
        <v>3</v>
      </c>
      <c r="N1910">
        <f>VLOOKUP(A1910,Marketing_df2!$A$1:$F$2241,5,FALSE)</f>
        <v>1</v>
      </c>
      <c r="O1910">
        <f>VLOOKUP(A1910,Marketing_df2!$A$1:$F$2241,6,FALSE)</f>
        <v>3</v>
      </c>
    </row>
    <row r="1911" spans="1:15" ht="12.5">
      <c r="A1911" s="6">
        <v>1909</v>
      </c>
      <c r="B1911" s="6">
        <v>5623</v>
      </c>
      <c r="C1911" s="6">
        <v>1980</v>
      </c>
      <c r="D1911" s="7" t="s">
        <v>14</v>
      </c>
      <c r="E1911" s="7" t="s">
        <v>13</v>
      </c>
      <c r="F1911" s="6">
        <v>31535</v>
      </c>
      <c r="G1911" s="6">
        <v>1</v>
      </c>
      <c r="H1911" s="6">
        <v>0</v>
      </c>
      <c r="I1911" s="6">
        <f t="shared" si="29"/>
        <v>1</v>
      </c>
      <c r="J1911" s="8">
        <v>41543</v>
      </c>
      <c r="K1911" s="6">
        <v>95</v>
      </c>
      <c r="L1911">
        <f>VLOOKUP(A1911,Marketing_df2!$A$1:$F$2241,3,FALSE)</f>
        <v>4</v>
      </c>
      <c r="M1911">
        <f>VLOOKUP(A1911,Marketing_df2!$A$1:$F$2241,4,FALSE)</f>
        <v>0</v>
      </c>
      <c r="N1911">
        <f>VLOOKUP(A1911,Marketing_df2!$A$1:$F$2241,5,FALSE)</f>
        <v>1</v>
      </c>
      <c r="O1911">
        <f>VLOOKUP(A1911,Marketing_df2!$A$1:$F$2241,6,FALSE)</f>
        <v>2</v>
      </c>
    </row>
    <row r="1912" spans="1:15" ht="12.5">
      <c r="A1912" s="6">
        <v>1910</v>
      </c>
      <c r="B1912" s="6">
        <v>5832</v>
      </c>
      <c r="C1912" s="6">
        <v>1960</v>
      </c>
      <c r="D1912" s="7" t="s">
        <v>17</v>
      </c>
      <c r="E1912" s="7" t="s">
        <v>11</v>
      </c>
      <c r="F1912" s="6">
        <v>92556</v>
      </c>
      <c r="G1912" s="6">
        <v>0</v>
      </c>
      <c r="H1912" s="6">
        <v>0</v>
      </c>
      <c r="I1912" s="6">
        <f t="shared" si="29"/>
        <v>0</v>
      </c>
      <c r="J1912" s="8">
        <v>41749</v>
      </c>
      <c r="K1912" s="6">
        <v>32</v>
      </c>
      <c r="L1912">
        <f>VLOOKUP(A1912,Marketing_df2!$A$1:$F$2241,3,FALSE)</f>
        <v>183</v>
      </c>
      <c r="M1912">
        <f>VLOOKUP(A1912,Marketing_df2!$A$1:$F$2241,4,FALSE)</f>
        <v>23</v>
      </c>
      <c r="N1912">
        <f>VLOOKUP(A1912,Marketing_df2!$A$1:$F$2241,5,FALSE)</f>
        <v>3</v>
      </c>
      <c r="O1912">
        <f>VLOOKUP(A1912,Marketing_df2!$A$1:$F$2241,6,FALSE)</f>
        <v>13</v>
      </c>
    </row>
    <row r="1913" spans="1:15" ht="12.5">
      <c r="A1913" s="6">
        <v>1911</v>
      </c>
      <c r="B1913" s="6">
        <v>5544</v>
      </c>
      <c r="C1913" s="6">
        <v>1970</v>
      </c>
      <c r="D1913" s="7" t="s">
        <v>9</v>
      </c>
      <c r="E1913" s="7" t="s">
        <v>10</v>
      </c>
      <c r="F1913" s="6">
        <v>67384</v>
      </c>
      <c r="G1913" s="6">
        <v>0</v>
      </c>
      <c r="H1913" s="6">
        <v>1</v>
      </c>
      <c r="I1913" s="6">
        <f t="shared" si="29"/>
        <v>1</v>
      </c>
      <c r="J1913" s="9">
        <v>41223</v>
      </c>
      <c r="K1913" s="6">
        <v>32</v>
      </c>
      <c r="L1913">
        <f>VLOOKUP(A1913,Marketing_df2!$A$1:$F$2241,3,FALSE)</f>
        <v>40</v>
      </c>
      <c r="M1913">
        <f>VLOOKUP(A1913,Marketing_df2!$A$1:$F$2241,4,FALSE)</f>
        <v>53</v>
      </c>
      <c r="N1913">
        <f>VLOOKUP(A1913,Marketing_df2!$A$1:$F$2241,5,FALSE)</f>
        <v>7</v>
      </c>
      <c r="O1913">
        <f>VLOOKUP(A1913,Marketing_df2!$A$1:$F$2241,6,FALSE)</f>
        <v>5</v>
      </c>
    </row>
    <row r="1914" spans="1:15" ht="12.5">
      <c r="A1914" s="6">
        <v>1912</v>
      </c>
      <c r="B1914" s="6">
        <v>6417</v>
      </c>
      <c r="C1914" s="6">
        <v>1971</v>
      </c>
      <c r="D1914" s="7" t="s">
        <v>14</v>
      </c>
      <c r="E1914" s="7" t="s">
        <v>11</v>
      </c>
      <c r="F1914" s="6">
        <v>80573</v>
      </c>
      <c r="G1914" s="6">
        <v>0</v>
      </c>
      <c r="H1914" s="6">
        <v>0</v>
      </c>
      <c r="I1914" s="6">
        <f t="shared" si="29"/>
        <v>0</v>
      </c>
      <c r="J1914" s="9">
        <v>41196</v>
      </c>
      <c r="K1914" s="6">
        <v>85</v>
      </c>
      <c r="L1914">
        <f>VLOOKUP(A1914,Marketing_df2!$A$1:$F$2241,3,FALSE)</f>
        <v>138</v>
      </c>
      <c r="M1914">
        <f>VLOOKUP(A1914,Marketing_df2!$A$1:$F$2241,4,FALSE)</f>
        <v>92</v>
      </c>
      <c r="N1914">
        <f>VLOOKUP(A1914,Marketing_df2!$A$1:$F$2241,5,FALSE)</f>
        <v>4</v>
      </c>
      <c r="O1914">
        <f>VLOOKUP(A1914,Marketing_df2!$A$1:$F$2241,6,FALSE)</f>
        <v>13</v>
      </c>
    </row>
    <row r="1915" spans="1:15" ht="12.5">
      <c r="A1915" s="6">
        <v>1913</v>
      </c>
      <c r="B1915" s="6">
        <v>5831</v>
      </c>
      <c r="C1915" s="6">
        <v>1967</v>
      </c>
      <c r="D1915" s="7" t="s">
        <v>9</v>
      </c>
      <c r="E1915" s="7" t="s">
        <v>13</v>
      </c>
      <c r="F1915" s="6">
        <v>77870</v>
      </c>
      <c r="G1915" s="6">
        <v>0</v>
      </c>
      <c r="H1915" s="6">
        <v>1</v>
      </c>
      <c r="I1915" s="6">
        <f t="shared" si="29"/>
        <v>1</v>
      </c>
      <c r="J1915" s="8">
        <v>41143</v>
      </c>
      <c r="K1915" s="6">
        <v>93</v>
      </c>
      <c r="L1915">
        <f>VLOOKUP(A1915,Marketing_df2!$A$1:$F$2241,3,FALSE)</f>
        <v>50</v>
      </c>
      <c r="M1915">
        <f>VLOOKUP(A1915,Marketing_df2!$A$1:$F$2241,4,FALSE)</f>
        <v>50</v>
      </c>
      <c r="N1915">
        <f>VLOOKUP(A1915,Marketing_df2!$A$1:$F$2241,5,FALSE)</f>
        <v>5</v>
      </c>
      <c r="O1915">
        <f>VLOOKUP(A1915,Marketing_df2!$A$1:$F$2241,6,FALSE)</f>
        <v>5</v>
      </c>
    </row>
    <row r="1916" spans="1:15" ht="12.5">
      <c r="A1916" s="6">
        <v>1914</v>
      </c>
      <c r="B1916" s="6">
        <v>7101</v>
      </c>
      <c r="C1916" s="6">
        <v>1963</v>
      </c>
      <c r="D1916" s="7" t="s">
        <v>12</v>
      </c>
      <c r="E1916" s="7" t="s">
        <v>18</v>
      </c>
      <c r="F1916" s="6">
        <v>52278</v>
      </c>
      <c r="G1916" s="6">
        <v>0</v>
      </c>
      <c r="H1916" s="6">
        <v>1</v>
      </c>
      <c r="I1916" s="6">
        <f t="shared" si="29"/>
        <v>1</v>
      </c>
      <c r="J1916" s="8">
        <v>41299</v>
      </c>
      <c r="K1916" s="6">
        <v>24</v>
      </c>
      <c r="L1916">
        <f>VLOOKUP(A1916,Marketing_df2!$A$1:$F$2241,3,FALSE)</f>
        <v>0</v>
      </c>
      <c r="M1916">
        <f>VLOOKUP(A1916,Marketing_df2!$A$1:$F$2241,4,FALSE)</f>
        <v>0</v>
      </c>
      <c r="N1916">
        <f>VLOOKUP(A1916,Marketing_df2!$A$1:$F$2241,5,FALSE)</f>
        <v>10</v>
      </c>
      <c r="O1916">
        <f>VLOOKUP(A1916,Marketing_df2!$A$1:$F$2241,6,FALSE)</f>
        <v>10</v>
      </c>
    </row>
    <row r="1917" spans="1:15" ht="12.5">
      <c r="A1917" s="6">
        <v>1915</v>
      </c>
      <c r="B1917" s="6">
        <v>10176</v>
      </c>
      <c r="C1917" s="6">
        <v>1968</v>
      </c>
      <c r="D1917" s="7" t="s">
        <v>9</v>
      </c>
      <c r="E1917" s="7" t="s">
        <v>10</v>
      </c>
      <c r="F1917" s="6">
        <v>57107</v>
      </c>
      <c r="G1917" s="6">
        <v>0</v>
      </c>
      <c r="H1917" s="6">
        <v>1</v>
      </c>
      <c r="I1917" s="6">
        <f t="shared" si="29"/>
        <v>1</v>
      </c>
      <c r="J1917" s="8">
        <v>41145</v>
      </c>
      <c r="K1917" s="6">
        <v>44</v>
      </c>
      <c r="L1917">
        <f>VLOOKUP(A1917,Marketing_df2!$A$1:$F$2241,3,FALSE)</f>
        <v>0</v>
      </c>
      <c r="M1917">
        <f>VLOOKUP(A1917,Marketing_df2!$A$1:$F$2241,4,FALSE)</f>
        <v>0</v>
      </c>
      <c r="N1917">
        <f>VLOOKUP(A1917,Marketing_df2!$A$1:$F$2241,5,FALSE)</f>
        <v>4</v>
      </c>
      <c r="O1917">
        <f>VLOOKUP(A1917,Marketing_df2!$A$1:$F$2241,6,FALSE)</f>
        <v>8</v>
      </c>
    </row>
    <row r="1918" spans="1:15" ht="12.5">
      <c r="A1918" s="6">
        <v>1916</v>
      </c>
      <c r="B1918" s="6">
        <v>2326</v>
      </c>
      <c r="C1918" s="6">
        <v>1990</v>
      </c>
      <c r="D1918" s="7" t="s">
        <v>9</v>
      </c>
      <c r="E1918" s="7" t="s">
        <v>13</v>
      </c>
      <c r="F1918" s="6">
        <v>18929</v>
      </c>
      <c r="G1918" s="6">
        <v>0</v>
      </c>
      <c r="H1918" s="6">
        <v>0</v>
      </c>
      <c r="I1918" s="6">
        <f t="shared" si="29"/>
        <v>0</v>
      </c>
      <c r="J1918" s="8">
        <v>41321</v>
      </c>
      <c r="K1918" s="6">
        <v>15</v>
      </c>
      <c r="L1918">
        <f>VLOOKUP(A1918,Marketing_df2!$A$1:$F$2241,3,FALSE)</f>
        <v>0</v>
      </c>
      <c r="M1918">
        <f>VLOOKUP(A1918,Marketing_df2!$A$1:$F$2241,4,FALSE)</f>
        <v>4</v>
      </c>
      <c r="N1918">
        <f>VLOOKUP(A1918,Marketing_df2!$A$1:$F$2241,5,FALSE)</f>
        <v>1</v>
      </c>
      <c r="O1918">
        <f>VLOOKUP(A1918,Marketing_df2!$A$1:$F$2241,6,FALSE)</f>
        <v>4</v>
      </c>
    </row>
    <row r="1919" spans="1:15" ht="12.5">
      <c r="A1919" s="6">
        <v>1917</v>
      </c>
      <c r="B1919" s="6">
        <v>4385</v>
      </c>
      <c r="C1919" s="6">
        <v>1981</v>
      </c>
      <c r="D1919" s="7" t="s">
        <v>12</v>
      </c>
      <c r="E1919" s="7" t="s">
        <v>10</v>
      </c>
      <c r="F1919" s="6">
        <v>36038</v>
      </c>
      <c r="G1919" s="6">
        <v>1</v>
      </c>
      <c r="H1919" s="6">
        <v>0</v>
      </c>
      <c r="I1919" s="6">
        <f t="shared" si="29"/>
        <v>1</v>
      </c>
      <c r="J1919" s="8">
        <v>41425</v>
      </c>
      <c r="K1919" s="6">
        <v>82</v>
      </c>
      <c r="L1919">
        <f>VLOOKUP(A1919,Marketing_df2!$A$1:$F$2241,3,FALSE)</f>
        <v>0</v>
      </c>
      <c r="M1919">
        <f>VLOOKUP(A1919,Marketing_df2!$A$1:$F$2241,4,FALSE)</f>
        <v>2</v>
      </c>
      <c r="N1919">
        <f>VLOOKUP(A1919,Marketing_df2!$A$1:$F$2241,5,FALSE)</f>
        <v>3</v>
      </c>
      <c r="O1919">
        <f>VLOOKUP(A1919,Marketing_df2!$A$1:$F$2241,6,FALSE)</f>
        <v>3</v>
      </c>
    </row>
    <row r="1920" spans="1:15" ht="12.5">
      <c r="A1920" s="6">
        <v>1918</v>
      </c>
      <c r="B1920" s="6">
        <v>2929</v>
      </c>
      <c r="C1920" s="6">
        <v>1976</v>
      </c>
      <c r="D1920" s="7" t="s">
        <v>9</v>
      </c>
      <c r="E1920" s="7" t="s">
        <v>10</v>
      </c>
      <c r="F1920" s="6">
        <v>20180</v>
      </c>
      <c r="G1920" s="6">
        <v>0</v>
      </c>
      <c r="H1920" s="6">
        <v>0</v>
      </c>
      <c r="I1920" s="6">
        <f t="shared" si="29"/>
        <v>0</v>
      </c>
      <c r="J1920" s="8">
        <v>41325</v>
      </c>
      <c r="K1920" s="6">
        <v>27</v>
      </c>
      <c r="L1920">
        <f>VLOOKUP(A1920,Marketing_df2!$A$1:$F$2241,3,FALSE)</f>
        <v>42</v>
      </c>
      <c r="M1920">
        <f>VLOOKUP(A1920,Marketing_df2!$A$1:$F$2241,4,FALSE)</f>
        <v>20</v>
      </c>
      <c r="N1920">
        <f>VLOOKUP(A1920,Marketing_df2!$A$1:$F$2241,5,FALSE)</f>
        <v>2</v>
      </c>
      <c r="O1920">
        <f>VLOOKUP(A1920,Marketing_df2!$A$1:$F$2241,6,FALSE)</f>
        <v>4</v>
      </c>
    </row>
    <row r="1921" spans="1:15" ht="12.5">
      <c r="A1921" s="6">
        <v>1919</v>
      </c>
      <c r="B1921" s="6">
        <v>10686</v>
      </c>
      <c r="C1921" s="6">
        <v>1965</v>
      </c>
      <c r="D1921" s="7" t="s">
        <v>12</v>
      </c>
      <c r="E1921" s="7" t="s">
        <v>11</v>
      </c>
      <c r="F1921" s="6">
        <v>34230</v>
      </c>
      <c r="G1921" s="6">
        <v>1</v>
      </c>
      <c r="H1921" s="6">
        <v>1</v>
      </c>
      <c r="I1921" s="6">
        <f t="shared" si="29"/>
        <v>2</v>
      </c>
      <c r="J1921" s="9">
        <v>41269</v>
      </c>
      <c r="K1921" s="6">
        <v>72</v>
      </c>
      <c r="L1921">
        <f>VLOOKUP(A1921,Marketing_df2!$A$1:$F$2241,3,FALSE)</f>
        <v>0</v>
      </c>
      <c r="M1921">
        <f>VLOOKUP(A1921,Marketing_df2!$A$1:$F$2241,4,FALSE)</f>
        <v>0</v>
      </c>
      <c r="N1921">
        <f>VLOOKUP(A1921,Marketing_df2!$A$1:$F$2241,5,FALSE)</f>
        <v>1</v>
      </c>
      <c r="O1921">
        <f>VLOOKUP(A1921,Marketing_df2!$A$1:$F$2241,6,FALSE)</f>
        <v>2</v>
      </c>
    </row>
    <row r="1922" spans="1:15" ht="12.5">
      <c r="A1922" s="6">
        <v>1920</v>
      </c>
      <c r="B1922" s="6">
        <v>2546</v>
      </c>
      <c r="C1922" s="6">
        <v>1977</v>
      </c>
      <c r="D1922" s="7" t="s">
        <v>17</v>
      </c>
      <c r="E1922" s="7" t="s">
        <v>10</v>
      </c>
      <c r="F1922" s="6">
        <v>31878</v>
      </c>
      <c r="G1922" s="6">
        <v>0</v>
      </c>
      <c r="H1922" s="6">
        <v>1</v>
      </c>
      <c r="I1922" s="6">
        <f t="shared" si="29"/>
        <v>1</v>
      </c>
      <c r="J1922" s="8">
        <v>41812</v>
      </c>
      <c r="K1922" s="6">
        <v>7</v>
      </c>
      <c r="L1922">
        <f>VLOOKUP(A1922,Marketing_df2!$A$1:$F$2241,3,FALSE)</f>
        <v>4</v>
      </c>
      <c r="M1922">
        <f>VLOOKUP(A1922,Marketing_df2!$A$1:$F$2241,4,FALSE)</f>
        <v>5</v>
      </c>
      <c r="N1922">
        <f>VLOOKUP(A1922,Marketing_df2!$A$1:$F$2241,5,FALSE)</f>
        <v>1</v>
      </c>
      <c r="O1922">
        <f>VLOOKUP(A1922,Marketing_df2!$A$1:$F$2241,6,FALSE)</f>
        <v>4</v>
      </c>
    </row>
    <row r="1923" spans="1:15" ht="12.5">
      <c r="A1923" s="6">
        <v>1921</v>
      </c>
      <c r="B1923" s="6">
        <v>3283</v>
      </c>
      <c r="C1923" s="6">
        <v>1972</v>
      </c>
      <c r="D1923" s="7" t="s">
        <v>17</v>
      </c>
      <c r="E1923" s="7" t="s">
        <v>13</v>
      </c>
      <c r="F1923" s="6">
        <v>70932</v>
      </c>
      <c r="G1923" s="6">
        <v>0</v>
      </c>
      <c r="H1923" s="6">
        <v>1</v>
      </c>
      <c r="I1923" s="6">
        <f t="shared" ref="I1923:I1986" si="30">G1923+H1923</f>
        <v>1</v>
      </c>
      <c r="J1923" s="8">
        <v>41658</v>
      </c>
      <c r="K1923" s="6">
        <v>57</v>
      </c>
      <c r="L1923">
        <f>VLOOKUP(A1923,Marketing_df2!$A$1:$F$2241,3,FALSE)</f>
        <v>193</v>
      </c>
      <c r="M1923">
        <f>VLOOKUP(A1923,Marketing_df2!$A$1:$F$2241,4,FALSE)</f>
        <v>185</v>
      </c>
      <c r="N1923">
        <f>VLOOKUP(A1923,Marketing_df2!$A$1:$F$2241,5,FALSE)</f>
        <v>6</v>
      </c>
      <c r="O1923">
        <f>VLOOKUP(A1923,Marketing_df2!$A$1:$F$2241,6,FALSE)</f>
        <v>12</v>
      </c>
    </row>
    <row r="1924" spans="1:15" ht="12.5">
      <c r="A1924" s="6">
        <v>1922</v>
      </c>
      <c r="B1924" s="6">
        <v>3138</v>
      </c>
      <c r="C1924" s="6">
        <v>1956</v>
      </c>
      <c r="D1924" s="7" t="s">
        <v>9</v>
      </c>
      <c r="E1924" s="7" t="s">
        <v>10</v>
      </c>
      <c r="F1924" s="6">
        <v>91249</v>
      </c>
      <c r="G1924" s="6">
        <v>0</v>
      </c>
      <c r="H1924" s="6">
        <v>0</v>
      </c>
      <c r="I1924" s="6">
        <f t="shared" si="30"/>
        <v>0</v>
      </c>
      <c r="J1924" s="9">
        <v>41202</v>
      </c>
      <c r="K1924" s="6">
        <v>84</v>
      </c>
      <c r="L1924">
        <f>VLOOKUP(A1924,Marketing_df2!$A$1:$F$2241,3,FALSE)</f>
        <v>27</v>
      </c>
      <c r="M1924">
        <f>VLOOKUP(A1924,Marketing_df2!$A$1:$F$2241,4,FALSE)</f>
        <v>108</v>
      </c>
      <c r="N1924">
        <f>VLOOKUP(A1924,Marketing_df2!$A$1:$F$2241,5,FALSE)</f>
        <v>7</v>
      </c>
      <c r="O1924">
        <f>VLOOKUP(A1924,Marketing_df2!$A$1:$F$2241,6,FALSE)</f>
        <v>6</v>
      </c>
    </row>
    <row r="1925" spans="1:15" ht="12.5">
      <c r="A1925" s="6">
        <v>1923</v>
      </c>
      <c r="B1925" s="6">
        <v>4994</v>
      </c>
      <c r="C1925" s="6">
        <v>1943</v>
      </c>
      <c r="D1925" s="7" t="s">
        <v>14</v>
      </c>
      <c r="E1925" s="7" t="s">
        <v>10</v>
      </c>
      <c r="F1925" s="6">
        <v>77598</v>
      </c>
      <c r="G1925" s="6">
        <v>0</v>
      </c>
      <c r="H1925" s="6">
        <v>0</v>
      </c>
      <c r="I1925" s="6">
        <f t="shared" si="30"/>
        <v>0</v>
      </c>
      <c r="J1925" s="8">
        <v>41548</v>
      </c>
      <c r="K1925" s="6">
        <v>53</v>
      </c>
      <c r="L1925">
        <f>VLOOKUP(A1925,Marketing_df2!$A$1:$F$2241,3,FALSE)</f>
        <v>33</v>
      </c>
      <c r="M1925">
        <f>VLOOKUP(A1925,Marketing_df2!$A$1:$F$2241,4,FALSE)</f>
        <v>66</v>
      </c>
      <c r="N1925">
        <f>VLOOKUP(A1925,Marketing_df2!$A$1:$F$2241,5,FALSE)</f>
        <v>7</v>
      </c>
      <c r="O1925">
        <f>VLOOKUP(A1925,Marketing_df2!$A$1:$F$2241,6,FALSE)</f>
        <v>13</v>
      </c>
    </row>
    <row r="1926" spans="1:15" ht="12.5">
      <c r="A1926" s="6">
        <v>1924</v>
      </c>
      <c r="B1926" s="6">
        <v>7966</v>
      </c>
      <c r="C1926" s="6">
        <v>1959</v>
      </c>
      <c r="D1926" s="7" t="s">
        <v>9</v>
      </c>
      <c r="E1926" s="7" t="s">
        <v>10</v>
      </c>
      <c r="F1926" s="6">
        <v>80982</v>
      </c>
      <c r="G1926" s="6">
        <v>1</v>
      </c>
      <c r="H1926" s="6">
        <v>1</v>
      </c>
      <c r="I1926" s="6">
        <f t="shared" si="30"/>
        <v>2</v>
      </c>
      <c r="J1926" s="8">
        <v>41282</v>
      </c>
      <c r="K1926" s="6">
        <v>48</v>
      </c>
      <c r="L1926">
        <f>VLOOKUP(A1926,Marketing_df2!$A$1:$F$2241,3,FALSE)</f>
        <v>137</v>
      </c>
      <c r="M1926">
        <f>VLOOKUP(A1926,Marketing_df2!$A$1:$F$2241,4,FALSE)</f>
        <v>22</v>
      </c>
      <c r="N1926">
        <f>VLOOKUP(A1926,Marketing_df2!$A$1:$F$2241,5,FALSE)</f>
        <v>11</v>
      </c>
      <c r="O1926">
        <f>VLOOKUP(A1926,Marketing_df2!$A$1:$F$2241,6,FALSE)</f>
        <v>11</v>
      </c>
    </row>
    <row r="1927" spans="1:15" ht="12.5">
      <c r="A1927" s="6">
        <v>1925</v>
      </c>
      <c r="B1927" s="6">
        <v>3112</v>
      </c>
      <c r="C1927" s="6">
        <v>1977</v>
      </c>
      <c r="D1927" s="7" t="s">
        <v>14</v>
      </c>
      <c r="E1927" s="7" t="s">
        <v>13</v>
      </c>
      <c r="F1927" s="6">
        <v>22701</v>
      </c>
      <c r="G1927" s="6">
        <v>1</v>
      </c>
      <c r="H1927" s="6">
        <v>0</v>
      </c>
      <c r="I1927" s="6">
        <f t="shared" si="30"/>
        <v>1</v>
      </c>
      <c r="J1927" s="8">
        <v>41522</v>
      </c>
      <c r="K1927" s="6">
        <v>2</v>
      </c>
      <c r="L1927">
        <f>VLOOKUP(A1927,Marketing_df2!$A$1:$F$2241,3,FALSE)</f>
        <v>4</v>
      </c>
      <c r="M1927">
        <f>VLOOKUP(A1927,Marketing_df2!$A$1:$F$2241,4,FALSE)</f>
        <v>4</v>
      </c>
      <c r="N1927">
        <f>VLOOKUP(A1927,Marketing_df2!$A$1:$F$2241,5,FALSE)</f>
        <v>1</v>
      </c>
      <c r="O1927">
        <f>VLOOKUP(A1927,Marketing_df2!$A$1:$F$2241,6,FALSE)</f>
        <v>3</v>
      </c>
    </row>
    <row r="1928" spans="1:15" ht="12.5">
      <c r="A1928" s="6">
        <v>1926</v>
      </c>
      <c r="B1928" s="6">
        <v>10872</v>
      </c>
      <c r="C1928" s="6">
        <v>1969</v>
      </c>
      <c r="D1928" s="7" t="s">
        <v>12</v>
      </c>
      <c r="E1928" s="7" t="s">
        <v>13</v>
      </c>
      <c r="F1928" s="6">
        <v>55212</v>
      </c>
      <c r="G1928" s="6">
        <v>0</v>
      </c>
      <c r="H1928" s="6">
        <v>1</v>
      </c>
      <c r="I1928" s="6">
        <f t="shared" si="30"/>
        <v>1</v>
      </c>
      <c r="J1928" s="9">
        <v>41236</v>
      </c>
      <c r="K1928" s="6">
        <v>65</v>
      </c>
      <c r="L1928">
        <f>VLOOKUP(A1928,Marketing_df2!$A$1:$F$2241,3,FALSE)</f>
        <v>0</v>
      </c>
      <c r="M1928">
        <f>VLOOKUP(A1928,Marketing_df2!$A$1:$F$2241,4,FALSE)</f>
        <v>0</v>
      </c>
      <c r="N1928">
        <f>VLOOKUP(A1928,Marketing_df2!$A$1:$F$2241,5,FALSE)</f>
        <v>4</v>
      </c>
      <c r="O1928">
        <f>VLOOKUP(A1928,Marketing_df2!$A$1:$F$2241,6,FALSE)</f>
        <v>11</v>
      </c>
    </row>
    <row r="1929" spans="1:15" ht="12.5">
      <c r="A1929" s="6">
        <v>1927</v>
      </c>
      <c r="B1929" s="6">
        <v>2181</v>
      </c>
      <c r="C1929" s="6">
        <v>1970</v>
      </c>
      <c r="D1929" s="7" t="s">
        <v>9</v>
      </c>
      <c r="E1929" s="7" t="s">
        <v>13</v>
      </c>
      <c r="F1929" s="6">
        <v>70617</v>
      </c>
      <c r="G1929" s="6">
        <v>0</v>
      </c>
      <c r="H1929" s="6">
        <v>0</v>
      </c>
      <c r="I1929" s="6">
        <f t="shared" si="30"/>
        <v>0</v>
      </c>
      <c r="J1929" s="8">
        <v>41448</v>
      </c>
      <c r="K1929" s="6">
        <v>45</v>
      </c>
      <c r="L1929">
        <f>VLOOKUP(A1929,Marketing_df2!$A$1:$F$2241,3,FALSE)</f>
        <v>61</v>
      </c>
      <c r="M1929">
        <f>VLOOKUP(A1929,Marketing_df2!$A$1:$F$2241,4,FALSE)</f>
        <v>46</v>
      </c>
      <c r="N1929">
        <f>VLOOKUP(A1929,Marketing_df2!$A$1:$F$2241,5,FALSE)</f>
        <v>3</v>
      </c>
      <c r="O1929">
        <f>VLOOKUP(A1929,Marketing_df2!$A$1:$F$2241,6,FALSE)</f>
        <v>7</v>
      </c>
    </row>
    <row r="1930" spans="1:15" ht="12.5">
      <c r="A1930" s="6">
        <v>1928</v>
      </c>
      <c r="B1930" s="6">
        <v>1867</v>
      </c>
      <c r="C1930" s="6">
        <v>1957</v>
      </c>
      <c r="D1930" s="7" t="s">
        <v>9</v>
      </c>
      <c r="E1930" s="7" t="s">
        <v>10</v>
      </c>
      <c r="F1930" s="6">
        <v>64849</v>
      </c>
      <c r="G1930" s="6">
        <v>0</v>
      </c>
      <c r="H1930" s="6">
        <v>0</v>
      </c>
      <c r="I1930" s="6">
        <f t="shared" si="30"/>
        <v>0</v>
      </c>
      <c r="J1930" s="9">
        <v>41226</v>
      </c>
      <c r="K1930" s="6">
        <v>42</v>
      </c>
      <c r="L1930">
        <f>VLOOKUP(A1930,Marketing_df2!$A$1:$F$2241,3,FALSE)</f>
        <v>48</v>
      </c>
      <c r="M1930">
        <f>VLOOKUP(A1930,Marketing_df2!$A$1:$F$2241,4,FALSE)</f>
        <v>84</v>
      </c>
      <c r="N1930">
        <f>VLOOKUP(A1930,Marketing_df2!$A$1:$F$2241,5,FALSE)</f>
        <v>9</v>
      </c>
      <c r="O1930">
        <f>VLOOKUP(A1930,Marketing_df2!$A$1:$F$2241,6,FALSE)</f>
        <v>6</v>
      </c>
    </row>
    <row r="1931" spans="1:15" ht="12.5">
      <c r="A1931" s="6">
        <v>1929</v>
      </c>
      <c r="B1931" s="6">
        <v>1518</v>
      </c>
      <c r="C1931" s="6">
        <v>1965</v>
      </c>
      <c r="D1931" s="7" t="s">
        <v>14</v>
      </c>
      <c r="E1931" s="7" t="s">
        <v>13</v>
      </c>
      <c r="F1931" s="6">
        <v>62694</v>
      </c>
      <c r="G1931" s="6">
        <v>1</v>
      </c>
      <c r="H1931" s="6">
        <v>1</v>
      </c>
      <c r="I1931" s="6">
        <f t="shared" si="30"/>
        <v>2</v>
      </c>
      <c r="J1931" s="8">
        <v>41442</v>
      </c>
      <c r="K1931" s="6">
        <v>29</v>
      </c>
      <c r="L1931">
        <f>VLOOKUP(A1931,Marketing_df2!$A$1:$F$2241,3,FALSE)</f>
        <v>6</v>
      </c>
      <c r="M1931">
        <f>VLOOKUP(A1931,Marketing_df2!$A$1:$F$2241,4,FALSE)</f>
        <v>91</v>
      </c>
      <c r="N1931">
        <f>VLOOKUP(A1931,Marketing_df2!$A$1:$F$2241,5,FALSE)</f>
        <v>9</v>
      </c>
      <c r="O1931">
        <f>VLOOKUP(A1931,Marketing_df2!$A$1:$F$2241,6,FALSE)</f>
        <v>7</v>
      </c>
    </row>
    <row r="1932" spans="1:15" ht="12.5">
      <c r="A1932" s="6">
        <v>1930</v>
      </c>
      <c r="B1932" s="6">
        <v>5734</v>
      </c>
      <c r="C1932" s="6">
        <v>1974</v>
      </c>
      <c r="D1932" s="7" t="s">
        <v>12</v>
      </c>
      <c r="E1932" s="7" t="s">
        <v>13</v>
      </c>
      <c r="F1932" s="6">
        <v>61917</v>
      </c>
      <c r="G1932" s="6">
        <v>1</v>
      </c>
      <c r="H1932" s="6">
        <v>1</v>
      </c>
      <c r="I1932" s="6">
        <f t="shared" si="30"/>
        <v>2</v>
      </c>
      <c r="J1932" s="9">
        <v>41598</v>
      </c>
      <c r="K1932" s="6">
        <v>83</v>
      </c>
      <c r="L1932">
        <f>VLOOKUP(A1932,Marketing_df2!$A$1:$F$2241,3,FALSE)</f>
        <v>4</v>
      </c>
      <c r="M1932">
        <f>VLOOKUP(A1932,Marketing_df2!$A$1:$F$2241,4,FALSE)</f>
        <v>2</v>
      </c>
      <c r="N1932">
        <f>VLOOKUP(A1932,Marketing_df2!$A$1:$F$2241,5,FALSE)</f>
        <v>2</v>
      </c>
      <c r="O1932">
        <f>VLOOKUP(A1932,Marketing_df2!$A$1:$F$2241,6,FALSE)</f>
        <v>4</v>
      </c>
    </row>
    <row r="1933" spans="1:15" ht="12.5">
      <c r="A1933" s="6">
        <v>1931</v>
      </c>
      <c r="B1933" s="6">
        <v>2878</v>
      </c>
      <c r="C1933" s="6">
        <v>1947</v>
      </c>
      <c r="D1933" s="7" t="s">
        <v>12</v>
      </c>
      <c r="E1933" s="7" t="s">
        <v>13</v>
      </c>
      <c r="F1933" s="6">
        <v>67472</v>
      </c>
      <c r="G1933" s="6">
        <v>0</v>
      </c>
      <c r="H1933" s="6">
        <v>1</v>
      </c>
      <c r="I1933" s="6">
        <f t="shared" si="30"/>
        <v>1</v>
      </c>
      <c r="J1933" s="8">
        <v>41545</v>
      </c>
      <c r="K1933" s="6">
        <v>93</v>
      </c>
      <c r="L1933">
        <f>VLOOKUP(A1933,Marketing_df2!$A$1:$F$2241,3,FALSE)</f>
        <v>31</v>
      </c>
      <c r="M1933">
        <f>VLOOKUP(A1933,Marketing_df2!$A$1:$F$2241,4,FALSE)</f>
        <v>17</v>
      </c>
      <c r="N1933">
        <f>VLOOKUP(A1933,Marketing_df2!$A$1:$F$2241,5,FALSE)</f>
        <v>4</v>
      </c>
      <c r="O1933">
        <f>VLOOKUP(A1933,Marketing_df2!$A$1:$F$2241,6,FALSE)</f>
        <v>7</v>
      </c>
    </row>
    <row r="1934" spans="1:15" ht="12.5">
      <c r="A1934" s="6">
        <v>1932</v>
      </c>
      <c r="B1934" s="6">
        <v>1458</v>
      </c>
      <c r="C1934" s="6">
        <v>1982</v>
      </c>
      <c r="D1934" s="7" t="s">
        <v>14</v>
      </c>
      <c r="E1934" s="7" t="s">
        <v>13</v>
      </c>
      <c r="F1934" s="6">
        <v>21059</v>
      </c>
      <c r="G1934" s="6">
        <v>1</v>
      </c>
      <c r="H1934" s="6">
        <v>0</v>
      </c>
      <c r="I1934" s="6">
        <f t="shared" si="30"/>
        <v>1</v>
      </c>
      <c r="J1934" s="8">
        <v>41646</v>
      </c>
      <c r="K1934" s="6">
        <v>40</v>
      </c>
      <c r="L1934">
        <f>VLOOKUP(A1934,Marketing_df2!$A$1:$F$2241,3,FALSE)</f>
        <v>3</v>
      </c>
      <c r="M1934">
        <f>VLOOKUP(A1934,Marketing_df2!$A$1:$F$2241,4,FALSE)</f>
        <v>3</v>
      </c>
      <c r="N1934">
        <f>VLOOKUP(A1934,Marketing_df2!$A$1:$F$2241,5,FALSE)</f>
        <v>3</v>
      </c>
      <c r="O1934">
        <f>VLOOKUP(A1934,Marketing_df2!$A$1:$F$2241,6,FALSE)</f>
        <v>3</v>
      </c>
    </row>
    <row r="1935" spans="1:15" ht="12.5">
      <c r="A1935" s="6">
        <v>1933</v>
      </c>
      <c r="B1935" s="6">
        <v>7007</v>
      </c>
      <c r="C1935" s="6">
        <v>1968</v>
      </c>
      <c r="D1935" s="7" t="s">
        <v>14</v>
      </c>
      <c r="E1935" s="7" t="s">
        <v>13</v>
      </c>
      <c r="F1935" s="6">
        <v>29543</v>
      </c>
      <c r="G1935" s="6">
        <v>2</v>
      </c>
      <c r="H1935" s="6">
        <v>0</v>
      </c>
      <c r="I1935" s="6">
        <f t="shared" si="30"/>
        <v>2</v>
      </c>
      <c r="J1935" s="8">
        <v>41730</v>
      </c>
      <c r="K1935" s="6">
        <v>47</v>
      </c>
      <c r="L1935">
        <f>VLOOKUP(A1935,Marketing_df2!$A$1:$F$2241,3,FALSE)</f>
        <v>3</v>
      </c>
      <c r="M1935">
        <f>VLOOKUP(A1935,Marketing_df2!$A$1:$F$2241,4,FALSE)</f>
        <v>4</v>
      </c>
      <c r="N1935">
        <f>VLOOKUP(A1935,Marketing_df2!$A$1:$F$2241,5,FALSE)</f>
        <v>3</v>
      </c>
      <c r="O1935">
        <f>VLOOKUP(A1935,Marketing_df2!$A$1:$F$2241,6,FALSE)</f>
        <v>2</v>
      </c>
    </row>
    <row r="1936" spans="1:15" ht="12.5">
      <c r="A1936" s="6">
        <v>1934</v>
      </c>
      <c r="B1936" s="6">
        <v>6200</v>
      </c>
      <c r="C1936" s="6">
        <v>1951</v>
      </c>
      <c r="D1936" s="7" t="s">
        <v>9</v>
      </c>
      <c r="E1936" s="7" t="s">
        <v>13</v>
      </c>
      <c r="F1936" s="6">
        <v>75903</v>
      </c>
      <c r="G1936" s="6">
        <v>0</v>
      </c>
      <c r="H1936" s="6">
        <v>1</v>
      </c>
      <c r="I1936" s="6">
        <f t="shared" si="30"/>
        <v>1</v>
      </c>
      <c r="J1936" s="8">
        <v>41372</v>
      </c>
      <c r="K1936" s="6">
        <v>50</v>
      </c>
      <c r="L1936">
        <f>VLOOKUP(A1936,Marketing_df2!$A$1:$F$2241,3,FALSE)</f>
        <v>108</v>
      </c>
      <c r="M1936">
        <f>VLOOKUP(A1936,Marketing_df2!$A$1:$F$2241,4,FALSE)</f>
        <v>38</v>
      </c>
      <c r="N1936">
        <f>VLOOKUP(A1936,Marketing_df2!$A$1:$F$2241,5,FALSE)</f>
        <v>6</v>
      </c>
      <c r="O1936">
        <f>VLOOKUP(A1936,Marketing_df2!$A$1:$F$2241,6,FALSE)</f>
        <v>9</v>
      </c>
    </row>
    <row r="1937" spans="1:15" ht="12.5">
      <c r="A1937" s="6">
        <v>1935</v>
      </c>
      <c r="B1937" s="6">
        <v>1403</v>
      </c>
      <c r="C1937" s="6">
        <v>1975</v>
      </c>
      <c r="D1937" s="7" t="s">
        <v>17</v>
      </c>
      <c r="E1937" s="7" t="s">
        <v>11</v>
      </c>
      <c r="F1937" s="6">
        <v>34984</v>
      </c>
      <c r="G1937" s="6">
        <v>1</v>
      </c>
      <c r="H1937" s="6">
        <v>1</v>
      </c>
      <c r="I1937" s="6">
        <f t="shared" si="30"/>
        <v>2</v>
      </c>
      <c r="J1937" s="8">
        <v>41158</v>
      </c>
      <c r="K1937" s="6">
        <v>40</v>
      </c>
      <c r="L1937">
        <f>VLOOKUP(A1937,Marketing_df2!$A$1:$F$2241,3,FALSE)</f>
        <v>4</v>
      </c>
      <c r="M1937">
        <f>VLOOKUP(A1937,Marketing_df2!$A$1:$F$2241,4,FALSE)</f>
        <v>5</v>
      </c>
      <c r="N1937">
        <f>VLOOKUP(A1937,Marketing_df2!$A$1:$F$2241,5,FALSE)</f>
        <v>1</v>
      </c>
      <c r="O1937">
        <f>VLOOKUP(A1937,Marketing_df2!$A$1:$F$2241,6,FALSE)</f>
        <v>3</v>
      </c>
    </row>
    <row r="1938" spans="1:15" ht="12.5">
      <c r="A1938" s="6">
        <v>1936</v>
      </c>
      <c r="B1938" s="6">
        <v>4827</v>
      </c>
      <c r="C1938" s="6">
        <v>1956</v>
      </c>
      <c r="D1938" s="7" t="s">
        <v>12</v>
      </c>
      <c r="E1938" s="7" t="s">
        <v>10</v>
      </c>
      <c r="F1938" s="6">
        <v>54998</v>
      </c>
      <c r="G1938" s="6">
        <v>0</v>
      </c>
      <c r="H1938" s="6">
        <v>1</v>
      </c>
      <c r="I1938" s="6">
        <f t="shared" si="30"/>
        <v>1</v>
      </c>
      <c r="J1938" s="8">
        <v>41343</v>
      </c>
      <c r="K1938" s="6">
        <v>3</v>
      </c>
      <c r="L1938">
        <f>VLOOKUP(A1938,Marketing_df2!$A$1:$F$2241,3,FALSE)</f>
        <v>22</v>
      </c>
      <c r="M1938">
        <f>VLOOKUP(A1938,Marketing_df2!$A$1:$F$2241,4,FALSE)</f>
        <v>30</v>
      </c>
      <c r="N1938">
        <f>VLOOKUP(A1938,Marketing_df2!$A$1:$F$2241,5,FALSE)</f>
        <v>4</v>
      </c>
      <c r="O1938">
        <f>VLOOKUP(A1938,Marketing_df2!$A$1:$F$2241,6,FALSE)</f>
        <v>9</v>
      </c>
    </row>
    <row r="1939" spans="1:15" ht="12.5">
      <c r="A1939" s="6">
        <v>1937</v>
      </c>
      <c r="B1939" s="6">
        <v>6250</v>
      </c>
      <c r="C1939" s="6">
        <v>1949</v>
      </c>
      <c r="D1939" s="7" t="s">
        <v>12</v>
      </c>
      <c r="E1939" s="7" t="s">
        <v>18</v>
      </c>
      <c r="F1939" s="6">
        <v>54356</v>
      </c>
      <c r="G1939" s="6">
        <v>0</v>
      </c>
      <c r="H1939" s="6">
        <v>1</v>
      </c>
      <c r="I1939" s="6">
        <f t="shared" si="30"/>
        <v>1</v>
      </c>
      <c r="J1939" s="9">
        <v>41232</v>
      </c>
      <c r="K1939" s="6">
        <v>62</v>
      </c>
      <c r="L1939">
        <f>VLOOKUP(A1939,Marketing_df2!$A$1:$F$2241,3,FALSE)</f>
        <v>15</v>
      </c>
      <c r="M1939">
        <f>VLOOKUP(A1939,Marketing_df2!$A$1:$F$2241,4,FALSE)</f>
        <v>0</v>
      </c>
      <c r="N1939">
        <f>VLOOKUP(A1939,Marketing_df2!$A$1:$F$2241,5,FALSE)</f>
        <v>11</v>
      </c>
      <c r="O1939">
        <f>VLOOKUP(A1939,Marketing_df2!$A$1:$F$2241,6,FALSE)</f>
        <v>8</v>
      </c>
    </row>
    <row r="1940" spans="1:15" ht="12.5">
      <c r="A1940" s="6">
        <v>1938</v>
      </c>
      <c r="B1940" s="6">
        <v>9291</v>
      </c>
      <c r="C1940" s="6">
        <v>1959</v>
      </c>
      <c r="D1940" s="7" t="s">
        <v>14</v>
      </c>
      <c r="E1940" s="7" t="s">
        <v>13</v>
      </c>
      <c r="F1940" s="6">
        <v>34242</v>
      </c>
      <c r="G1940" s="6">
        <v>0</v>
      </c>
      <c r="H1940" s="6">
        <v>1</v>
      </c>
      <c r="I1940" s="6">
        <f t="shared" si="30"/>
        <v>1</v>
      </c>
      <c r="J1940" s="8">
        <v>41721</v>
      </c>
      <c r="K1940" s="6">
        <v>25</v>
      </c>
      <c r="L1940">
        <f>VLOOKUP(A1940,Marketing_df2!$A$1:$F$2241,3,FALSE)</f>
        <v>2</v>
      </c>
      <c r="M1940">
        <f>VLOOKUP(A1940,Marketing_df2!$A$1:$F$2241,4,FALSE)</f>
        <v>0</v>
      </c>
      <c r="N1940">
        <f>VLOOKUP(A1940,Marketing_df2!$A$1:$F$2241,5,FALSE)</f>
        <v>0</v>
      </c>
      <c r="O1940">
        <f>VLOOKUP(A1940,Marketing_df2!$A$1:$F$2241,6,FALSE)</f>
        <v>3</v>
      </c>
    </row>
    <row r="1941" spans="1:15" ht="12.5">
      <c r="A1941" s="6">
        <v>1939</v>
      </c>
      <c r="B1941" s="6">
        <v>2478</v>
      </c>
      <c r="C1941" s="6">
        <v>1973</v>
      </c>
      <c r="D1941" s="7" t="s">
        <v>9</v>
      </c>
      <c r="E1941" s="7" t="s">
        <v>13</v>
      </c>
      <c r="F1941" s="6">
        <v>25410</v>
      </c>
      <c r="G1941" s="6">
        <v>1</v>
      </c>
      <c r="H1941" s="6">
        <v>0</v>
      </c>
      <c r="I1941" s="6">
        <f t="shared" si="30"/>
        <v>1</v>
      </c>
      <c r="J1941" s="8">
        <v>41517</v>
      </c>
      <c r="K1941" s="6">
        <v>48</v>
      </c>
      <c r="L1941">
        <f>VLOOKUP(A1941,Marketing_df2!$A$1:$F$2241,3,FALSE)</f>
        <v>2</v>
      </c>
      <c r="M1941">
        <f>VLOOKUP(A1941,Marketing_df2!$A$1:$F$2241,4,FALSE)</f>
        <v>13</v>
      </c>
      <c r="N1941">
        <f>VLOOKUP(A1941,Marketing_df2!$A$1:$F$2241,5,FALSE)</f>
        <v>1</v>
      </c>
      <c r="O1941">
        <f>VLOOKUP(A1941,Marketing_df2!$A$1:$F$2241,6,FALSE)</f>
        <v>4</v>
      </c>
    </row>
    <row r="1942" spans="1:15" ht="12.5">
      <c r="A1942" s="6">
        <v>1940</v>
      </c>
      <c r="B1942" s="6">
        <v>1139</v>
      </c>
      <c r="C1942" s="6">
        <v>1984</v>
      </c>
      <c r="D1942" s="7" t="s">
        <v>12</v>
      </c>
      <c r="E1942" s="7" t="s">
        <v>13</v>
      </c>
      <c r="F1942" s="6">
        <v>73356</v>
      </c>
      <c r="G1942" s="6">
        <v>0</v>
      </c>
      <c r="H1942" s="6">
        <v>0</v>
      </c>
      <c r="I1942" s="6">
        <f t="shared" si="30"/>
        <v>0</v>
      </c>
      <c r="J1942" s="8">
        <v>41676</v>
      </c>
      <c r="K1942" s="6">
        <v>56</v>
      </c>
      <c r="L1942">
        <f>VLOOKUP(A1942,Marketing_df2!$A$1:$F$2241,3,FALSE)</f>
        <v>14</v>
      </c>
      <c r="M1942">
        <f>VLOOKUP(A1942,Marketing_df2!$A$1:$F$2241,4,FALSE)</f>
        <v>14</v>
      </c>
      <c r="N1942">
        <f>VLOOKUP(A1942,Marketing_df2!$A$1:$F$2241,5,FALSE)</f>
        <v>5</v>
      </c>
      <c r="O1942">
        <f>VLOOKUP(A1942,Marketing_df2!$A$1:$F$2241,6,FALSE)</f>
        <v>5</v>
      </c>
    </row>
    <row r="1943" spans="1:15" ht="12.5">
      <c r="A1943" s="6">
        <v>1941</v>
      </c>
      <c r="B1943" s="6">
        <v>5138</v>
      </c>
      <c r="C1943" s="6">
        <v>1950</v>
      </c>
      <c r="D1943" s="7" t="s">
        <v>9</v>
      </c>
      <c r="E1943" s="7" t="s">
        <v>11</v>
      </c>
      <c r="F1943" s="6">
        <v>28320</v>
      </c>
      <c r="G1943" s="6">
        <v>0</v>
      </c>
      <c r="H1943" s="6">
        <v>1</v>
      </c>
      <c r="I1943" s="6">
        <f t="shared" si="30"/>
        <v>1</v>
      </c>
      <c r="J1943" s="8">
        <v>41288</v>
      </c>
      <c r="K1943" s="6">
        <v>68</v>
      </c>
      <c r="L1943">
        <f>VLOOKUP(A1943,Marketing_df2!$A$1:$F$2241,3,FALSE)</f>
        <v>1</v>
      </c>
      <c r="M1943">
        <f>VLOOKUP(A1943,Marketing_df2!$A$1:$F$2241,4,FALSE)</f>
        <v>2</v>
      </c>
      <c r="N1943">
        <f>VLOOKUP(A1943,Marketing_df2!$A$1:$F$2241,5,FALSE)</f>
        <v>1</v>
      </c>
      <c r="O1943">
        <f>VLOOKUP(A1943,Marketing_df2!$A$1:$F$2241,6,FALSE)</f>
        <v>3</v>
      </c>
    </row>
    <row r="1944" spans="1:15" ht="12.5">
      <c r="A1944" s="6">
        <v>1942</v>
      </c>
      <c r="B1944" s="6">
        <v>5393</v>
      </c>
      <c r="C1944" s="6">
        <v>1977</v>
      </c>
      <c r="D1944" s="7" t="s">
        <v>9</v>
      </c>
      <c r="E1944" s="7" t="s">
        <v>10</v>
      </c>
      <c r="F1944" s="6">
        <v>23763</v>
      </c>
      <c r="G1944" s="6">
        <v>1</v>
      </c>
      <c r="H1944" s="6">
        <v>0</v>
      </c>
      <c r="I1944" s="6">
        <f t="shared" si="30"/>
        <v>1</v>
      </c>
      <c r="J1944" s="8">
        <v>41128</v>
      </c>
      <c r="K1944" s="6">
        <v>64</v>
      </c>
      <c r="L1944">
        <f>VLOOKUP(A1944,Marketing_df2!$A$1:$F$2241,3,FALSE)</f>
        <v>0</v>
      </c>
      <c r="M1944">
        <f>VLOOKUP(A1944,Marketing_df2!$A$1:$F$2241,4,FALSE)</f>
        <v>2</v>
      </c>
      <c r="N1944">
        <f>VLOOKUP(A1944,Marketing_df2!$A$1:$F$2241,5,FALSE)</f>
        <v>1</v>
      </c>
      <c r="O1944">
        <f>VLOOKUP(A1944,Marketing_df2!$A$1:$F$2241,6,FALSE)</f>
        <v>3</v>
      </c>
    </row>
    <row r="1945" spans="1:15" ht="12.5">
      <c r="A1945" s="6">
        <v>1943</v>
      </c>
      <c r="B1945" s="6">
        <v>10413</v>
      </c>
      <c r="C1945" s="6">
        <v>1984</v>
      </c>
      <c r="D1945" s="7" t="s">
        <v>9</v>
      </c>
      <c r="E1945" s="7" t="s">
        <v>13</v>
      </c>
      <c r="F1945" s="6">
        <v>72570</v>
      </c>
      <c r="G1945" s="6">
        <v>0</v>
      </c>
      <c r="H1945" s="6">
        <v>0</v>
      </c>
      <c r="I1945" s="6">
        <f t="shared" si="30"/>
        <v>0</v>
      </c>
      <c r="J1945" s="8">
        <v>41754</v>
      </c>
      <c r="K1945" s="6">
        <v>67</v>
      </c>
      <c r="L1945">
        <f>VLOOKUP(A1945,Marketing_df2!$A$1:$F$2241,3,FALSE)</f>
        <v>83</v>
      </c>
      <c r="M1945">
        <f>VLOOKUP(A1945,Marketing_df2!$A$1:$F$2241,4,FALSE)</f>
        <v>141</v>
      </c>
      <c r="N1945">
        <f>VLOOKUP(A1945,Marketing_df2!$A$1:$F$2241,5,FALSE)</f>
        <v>4</v>
      </c>
      <c r="O1945">
        <f>VLOOKUP(A1945,Marketing_df2!$A$1:$F$2241,6,FALSE)</f>
        <v>12</v>
      </c>
    </row>
    <row r="1946" spans="1:15" ht="12.5">
      <c r="A1946" s="6">
        <v>1944</v>
      </c>
      <c r="B1946" s="6">
        <v>5015</v>
      </c>
      <c r="C1946" s="6">
        <v>1976</v>
      </c>
      <c r="D1946" s="7" t="s">
        <v>14</v>
      </c>
      <c r="E1946" s="7" t="s">
        <v>13</v>
      </c>
      <c r="F1946" s="6">
        <v>34529</v>
      </c>
      <c r="G1946" s="6">
        <v>1</v>
      </c>
      <c r="H1946" s="6">
        <v>0</v>
      </c>
      <c r="I1946" s="6">
        <f t="shared" si="30"/>
        <v>1</v>
      </c>
      <c r="J1946" s="8">
        <v>41166</v>
      </c>
      <c r="K1946" s="6">
        <v>94</v>
      </c>
      <c r="L1946">
        <f>VLOOKUP(A1946,Marketing_df2!$A$1:$F$2241,3,FALSE)</f>
        <v>6</v>
      </c>
      <c r="M1946">
        <f>VLOOKUP(A1946,Marketing_df2!$A$1:$F$2241,4,FALSE)</f>
        <v>6</v>
      </c>
      <c r="N1946">
        <f>VLOOKUP(A1946,Marketing_df2!$A$1:$F$2241,5,FALSE)</f>
        <v>2</v>
      </c>
      <c r="O1946">
        <f>VLOOKUP(A1946,Marketing_df2!$A$1:$F$2241,6,FALSE)</f>
        <v>3</v>
      </c>
    </row>
    <row r="1947" spans="1:15" ht="12.5">
      <c r="A1947" s="6">
        <v>1945</v>
      </c>
      <c r="B1947" s="6">
        <v>10868</v>
      </c>
      <c r="C1947" s="6">
        <v>1951</v>
      </c>
      <c r="D1947" s="7" t="s">
        <v>9</v>
      </c>
      <c r="E1947" s="7" t="s">
        <v>18</v>
      </c>
      <c r="F1947" s="6">
        <v>70792</v>
      </c>
      <c r="G1947" s="6">
        <v>0</v>
      </c>
      <c r="H1947" s="6">
        <v>0</v>
      </c>
      <c r="I1947" s="6">
        <f t="shared" si="30"/>
        <v>0</v>
      </c>
      <c r="J1947" s="8">
        <v>41311</v>
      </c>
      <c r="K1947" s="6">
        <v>82</v>
      </c>
      <c r="L1947">
        <f>VLOOKUP(A1947,Marketing_df2!$A$1:$F$2241,3,FALSE)</f>
        <v>45</v>
      </c>
      <c r="M1947">
        <f>VLOOKUP(A1947,Marketing_df2!$A$1:$F$2241,4,FALSE)</f>
        <v>11</v>
      </c>
      <c r="N1947">
        <f>VLOOKUP(A1947,Marketing_df2!$A$1:$F$2241,5,FALSE)</f>
        <v>3</v>
      </c>
      <c r="O1947">
        <f>VLOOKUP(A1947,Marketing_df2!$A$1:$F$2241,6,FALSE)</f>
        <v>10</v>
      </c>
    </row>
    <row r="1948" spans="1:15" ht="12.5">
      <c r="A1948" s="6">
        <v>1946</v>
      </c>
      <c r="B1948" s="6">
        <v>10676</v>
      </c>
      <c r="C1948" s="6">
        <v>1982</v>
      </c>
      <c r="D1948" s="7" t="s">
        <v>9</v>
      </c>
      <c r="E1948" s="7" t="s">
        <v>13</v>
      </c>
      <c r="F1948" s="6">
        <v>63211</v>
      </c>
      <c r="G1948" s="6">
        <v>0</v>
      </c>
      <c r="H1948" s="6">
        <v>0</v>
      </c>
      <c r="I1948" s="6">
        <f t="shared" si="30"/>
        <v>0</v>
      </c>
      <c r="J1948" s="8">
        <v>41215</v>
      </c>
      <c r="K1948" s="6">
        <v>3</v>
      </c>
      <c r="L1948">
        <f>VLOOKUP(A1948,Marketing_df2!$A$1:$F$2241,3,FALSE)</f>
        <v>193</v>
      </c>
      <c r="M1948">
        <f>VLOOKUP(A1948,Marketing_df2!$A$1:$F$2241,4,FALSE)</f>
        <v>26</v>
      </c>
      <c r="N1948">
        <f>VLOOKUP(A1948,Marketing_df2!$A$1:$F$2241,5,FALSE)</f>
        <v>3</v>
      </c>
      <c r="O1948">
        <f>VLOOKUP(A1948,Marketing_df2!$A$1:$F$2241,6,FALSE)</f>
        <v>7</v>
      </c>
    </row>
    <row r="1949" spans="1:15" ht="12.5">
      <c r="A1949" s="6">
        <v>1947</v>
      </c>
      <c r="B1949" s="6">
        <v>2495</v>
      </c>
      <c r="C1949" s="6">
        <v>1974</v>
      </c>
      <c r="D1949" s="7" t="s">
        <v>14</v>
      </c>
      <c r="E1949" s="7" t="s">
        <v>13</v>
      </c>
      <c r="F1949" s="6">
        <v>83891</v>
      </c>
      <c r="G1949" s="6">
        <v>0</v>
      </c>
      <c r="H1949" s="6">
        <v>1</v>
      </c>
      <c r="I1949" s="6">
        <f t="shared" si="30"/>
        <v>1</v>
      </c>
      <c r="J1949" s="8">
        <v>41810</v>
      </c>
      <c r="K1949" s="6">
        <v>24</v>
      </c>
      <c r="L1949">
        <f>VLOOKUP(A1949,Marketing_df2!$A$1:$F$2241,3,FALSE)</f>
        <v>38</v>
      </c>
      <c r="M1949">
        <f>VLOOKUP(A1949,Marketing_df2!$A$1:$F$2241,4,FALSE)</f>
        <v>85</v>
      </c>
      <c r="N1949">
        <f>VLOOKUP(A1949,Marketing_df2!$A$1:$F$2241,5,FALSE)</f>
        <v>4</v>
      </c>
      <c r="O1949">
        <f>VLOOKUP(A1949,Marketing_df2!$A$1:$F$2241,6,FALSE)</f>
        <v>10</v>
      </c>
    </row>
    <row r="1950" spans="1:15" ht="12.5">
      <c r="A1950" s="6">
        <v>1948</v>
      </c>
      <c r="B1950" s="6">
        <v>7842</v>
      </c>
      <c r="C1950" s="6">
        <v>1968</v>
      </c>
      <c r="D1950" s="7" t="s">
        <v>9</v>
      </c>
      <c r="E1950" s="7" t="s">
        <v>10</v>
      </c>
      <c r="F1950" s="6">
        <v>36065</v>
      </c>
      <c r="G1950" s="6">
        <v>1</v>
      </c>
      <c r="H1950" s="6">
        <v>1</v>
      </c>
      <c r="I1950" s="6">
        <f t="shared" si="30"/>
        <v>2</v>
      </c>
      <c r="J1950" s="8">
        <v>41364</v>
      </c>
      <c r="K1950" s="6">
        <v>54</v>
      </c>
      <c r="L1950">
        <f>VLOOKUP(A1950,Marketing_df2!$A$1:$F$2241,3,FALSE)</f>
        <v>7</v>
      </c>
      <c r="M1950">
        <f>VLOOKUP(A1950,Marketing_df2!$A$1:$F$2241,4,FALSE)</f>
        <v>2</v>
      </c>
      <c r="N1950">
        <f>VLOOKUP(A1950,Marketing_df2!$A$1:$F$2241,5,FALSE)</f>
        <v>3</v>
      </c>
      <c r="O1950">
        <f>VLOOKUP(A1950,Marketing_df2!$A$1:$F$2241,6,FALSE)</f>
        <v>3</v>
      </c>
    </row>
    <row r="1951" spans="1:15" ht="12.5">
      <c r="A1951" s="6">
        <v>1949</v>
      </c>
      <c r="B1951" s="6">
        <v>9955</v>
      </c>
      <c r="C1951" s="6">
        <v>1954</v>
      </c>
      <c r="D1951" s="7" t="s">
        <v>9</v>
      </c>
      <c r="E1951" s="7" t="s">
        <v>11</v>
      </c>
      <c r="F1951" s="6">
        <v>39898</v>
      </c>
      <c r="G1951" s="6">
        <v>0</v>
      </c>
      <c r="H1951" s="6">
        <v>1</v>
      </c>
      <c r="I1951" s="6">
        <f t="shared" si="30"/>
        <v>1</v>
      </c>
      <c r="J1951" s="8">
        <v>41317</v>
      </c>
      <c r="K1951" s="6">
        <v>20</v>
      </c>
      <c r="L1951">
        <f>VLOOKUP(A1951,Marketing_df2!$A$1:$F$2241,3,FALSE)</f>
        <v>8</v>
      </c>
      <c r="M1951">
        <f>VLOOKUP(A1951,Marketing_df2!$A$1:$F$2241,4,FALSE)</f>
        <v>7</v>
      </c>
      <c r="N1951">
        <f>VLOOKUP(A1951,Marketing_df2!$A$1:$F$2241,5,FALSE)</f>
        <v>3</v>
      </c>
      <c r="O1951">
        <f>VLOOKUP(A1951,Marketing_df2!$A$1:$F$2241,6,FALSE)</f>
        <v>4</v>
      </c>
    </row>
    <row r="1952" spans="1:15" ht="12.5">
      <c r="A1952" s="6">
        <v>1950</v>
      </c>
      <c r="B1952" s="6">
        <v>6663</v>
      </c>
      <c r="C1952" s="6">
        <v>1940</v>
      </c>
      <c r="D1952" s="7" t="s">
        <v>12</v>
      </c>
      <c r="E1952" s="7" t="s">
        <v>10</v>
      </c>
      <c r="F1952" s="6">
        <v>51141</v>
      </c>
      <c r="G1952" s="6">
        <v>0</v>
      </c>
      <c r="H1952" s="6">
        <v>0</v>
      </c>
      <c r="I1952" s="6">
        <f t="shared" si="30"/>
        <v>0</v>
      </c>
      <c r="J1952" s="8">
        <v>41463</v>
      </c>
      <c r="K1952" s="6">
        <v>96</v>
      </c>
      <c r="L1952">
        <f>VLOOKUP(A1952,Marketing_df2!$A$1:$F$2241,3,FALSE)</f>
        <v>0</v>
      </c>
      <c r="M1952">
        <f>VLOOKUP(A1952,Marketing_df2!$A$1:$F$2241,4,FALSE)</f>
        <v>0</v>
      </c>
      <c r="N1952">
        <f>VLOOKUP(A1952,Marketing_df2!$A$1:$F$2241,5,FALSE)</f>
        <v>3</v>
      </c>
      <c r="O1952">
        <f>VLOOKUP(A1952,Marketing_df2!$A$1:$F$2241,6,FALSE)</f>
        <v>4</v>
      </c>
    </row>
    <row r="1953" spans="1:15" ht="12.5">
      <c r="A1953" s="6">
        <v>1951</v>
      </c>
      <c r="B1953" s="6">
        <v>2162</v>
      </c>
      <c r="C1953" s="6">
        <v>1976</v>
      </c>
      <c r="D1953" s="7" t="s">
        <v>9</v>
      </c>
      <c r="E1953" s="7" t="s">
        <v>13</v>
      </c>
      <c r="F1953" s="6">
        <v>56939</v>
      </c>
      <c r="G1953" s="6">
        <v>0</v>
      </c>
      <c r="H1953" s="6">
        <v>1</v>
      </c>
      <c r="I1953" s="6">
        <f t="shared" si="30"/>
        <v>1</v>
      </c>
      <c r="J1953" s="8">
        <v>41535</v>
      </c>
      <c r="K1953" s="6">
        <v>19</v>
      </c>
      <c r="L1953">
        <f>VLOOKUP(A1953,Marketing_df2!$A$1:$F$2241,3,FALSE)</f>
        <v>34</v>
      </c>
      <c r="M1953">
        <f>VLOOKUP(A1953,Marketing_df2!$A$1:$F$2241,4,FALSE)</f>
        <v>29</v>
      </c>
      <c r="N1953">
        <f>VLOOKUP(A1953,Marketing_df2!$A$1:$F$2241,5,FALSE)</f>
        <v>3</v>
      </c>
      <c r="O1953">
        <f>VLOOKUP(A1953,Marketing_df2!$A$1:$F$2241,6,FALSE)</f>
        <v>10</v>
      </c>
    </row>
    <row r="1954" spans="1:15" ht="12.5">
      <c r="A1954" s="6">
        <v>1952</v>
      </c>
      <c r="B1954" s="6">
        <v>3434</v>
      </c>
      <c r="C1954" s="6">
        <v>1951</v>
      </c>
      <c r="D1954" s="7" t="s">
        <v>9</v>
      </c>
      <c r="E1954" s="7" t="s">
        <v>10</v>
      </c>
      <c r="F1954" s="6">
        <v>80872</v>
      </c>
      <c r="G1954" s="6">
        <v>0</v>
      </c>
      <c r="H1954" s="6">
        <v>0</v>
      </c>
      <c r="I1954" s="6">
        <f t="shared" si="30"/>
        <v>0</v>
      </c>
      <c r="J1954" s="8">
        <v>41771</v>
      </c>
      <c r="K1954" s="6">
        <v>60</v>
      </c>
      <c r="L1954">
        <f>VLOOKUP(A1954,Marketing_df2!$A$1:$F$2241,3,FALSE)</f>
        <v>72</v>
      </c>
      <c r="M1954">
        <f>VLOOKUP(A1954,Marketing_df2!$A$1:$F$2241,4,FALSE)</f>
        <v>12</v>
      </c>
      <c r="N1954">
        <f>VLOOKUP(A1954,Marketing_df2!$A$1:$F$2241,5,FALSE)</f>
        <v>4</v>
      </c>
      <c r="O1954">
        <f>VLOOKUP(A1954,Marketing_df2!$A$1:$F$2241,6,FALSE)</f>
        <v>10</v>
      </c>
    </row>
    <row r="1955" spans="1:15" ht="12.5">
      <c r="A1955" s="6">
        <v>1953</v>
      </c>
      <c r="B1955" s="6">
        <v>7919</v>
      </c>
      <c r="C1955" s="6">
        <v>1976</v>
      </c>
      <c r="D1955" s="7" t="s">
        <v>12</v>
      </c>
      <c r="E1955" s="7" t="s">
        <v>11</v>
      </c>
      <c r="F1955" s="6">
        <v>72335</v>
      </c>
      <c r="G1955" s="6">
        <v>0</v>
      </c>
      <c r="H1955" s="6">
        <v>0</v>
      </c>
      <c r="I1955" s="6">
        <f t="shared" si="30"/>
        <v>0</v>
      </c>
      <c r="J1955" s="8">
        <v>41134</v>
      </c>
      <c r="K1955" s="6">
        <v>2</v>
      </c>
      <c r="L1955">
        <f>VLOOKUP(A1955,Marketing_df2!$A$1:$F$2241,3,FALSE)</f>
        <v>105</v>
      </c>
      <c r="M1955">
        <f>VLOOKUP(A1955,Marketing_df2!$A$1:$F$2241,4,FALSE)</f>
        <v>21</v>
      </c>
      <c r="N1955">
        <f>VLOOKUP(A1955,Marketing_df2!$A$1:$F$2241,5,FALSE)</f>
        <v>10</v>
      </c>
      <c r="O1955">
        <f>VLOOKUP(A1955,Marketing_df2!$A$1:$F$2241,6,FALSE)</f>
        <v>8</v>
      </c>
    </row>
    <row r="1956" spans="1:15" ht="12.5">
      <c r="A1956" s="6">
        <v>1954</v>
      </c>
      <c r="B1956" s="6">
        <v>5626</v>
      </c>
      <c r="C1956" s="6">
        <v>1964</v>
      </c>
      <c r="D1956" s="7" t="s">
        <v>12</v>
      </c>
      <c r="E1956" s="7" t="s">
        <v>10</v>
      </c>
      <c r="F1956" s="6">
        <v>61798</v>
      </c>
      <c r="G1956" s="6">
        <v>0</v>
      </c>
      <c r="H1956" s="6">
        <v>0</v>
      </c>
      <c r="I1956" s="6">
        <f t="shared" si="30"/>
        <v>0</v>
      </c>
      <c r="J1956" s="9">
        <v>41601</v>
      </c>
      <c r="K1956" s="6">
        <v>13</v>
      </c>
      <c r="L1956">
        <f>VLOOKUP(A1956,Marketing_df2!$A$1:$F$2241,3,FALSE)</f>
        <v>4</v>
      </c>
      <c r="M1956">
        <f>VLOOKUP(A1956,Marketing_df2!$A$1:$F$2241,4,FALSE)</f>
        <v>8</v>
      </c>
      <c r="N1956">
        <f>VLOOKUP(A1956,Marketing_df2!$A$1:$F$2241,5,FALSE)</f>
        <v>4</v>
      </c>
      <c r="O1956">
        <f>VLOOKUP(A1956,Marketing_df2!$A$1:$F$2241,6,FALSE)</f>
        <v>9</v>
      </c>
    </row>
    <row r="1957" spans="1:15" ht="12.5">
      <c r="A1957" s="6">
        <v>1955</v>
      </c>
      <c r="B1957" s="6">
        <v>6428</v>
      </c>
      <c r="C1957" s="6">
        <v>1950</v>
      </c>
      <c r="D1957" s="7" t="s">
        <v>12</v>
      </c>
      <c r="E1957" s="7" t="s">
        <v>18</v>
      </c>
      <c r="F1957" s="6">
        <v>76842</v>
      </c>
      <c r="G1957" s="6">
        <v>0</v>
      </c>
      <c r="H1957" s="6">
        <v>0</v>
      </c>
      <c r="I1957" s="6">
        <f t="shared" si="30"/>
        <v>0</v>
      </c>
      <c r="J1957" s="8">
        <v>41762</v>
      </c>
      <c r="K1957" s="6">
        <v>37</v>
      </c>
      <c r="L1957">
        <f>VLOOKUP(A1957,Marketing_df2!$A$1:$F$2241,3,FALSE)</f>
        <v>10</v>
      </c>
      <c r="M1957">
        <f>VLOOKUP(A1957,Marketing_df2!$A$1:$F$2241,4,FALSE)</f>
        <v>54</v>
      </c>
      <c r="N1957">
        <f>VLOOKUP(A1957,Marketing_df2!$A$1:$F$2241,5,FALSE)</f>
        <v>1</v>
      </c>
      <c r="O1957">
        <f>VLOOKUP(A1957,Marketing_df2!$A$1:$F$2241,6,FALSE)</f>
        <v>7</v>
      </c>
    </row>
    <row r="1958" spans="1:15" ht="12.5">
      <c r="A1958" s="6">
        <v>1956</v>
      </c>
      <c r="B1958" s="6">
        <v>8514</v>
      </c>
      <c r="C1958" s="6">
        <v>1976</v>
      </c>
      <c r="D1958" s="7" t="s">
        <v>9</v>
      </c>
      <c r="E1958" s="7" t="s">
        <v>11</v>
      </c>
      <c r="F1958" s="6">
        <v>29478</v>
      </c>
      <c r="G1958" s="6">
        <v>1</v>
      </c>
      <c r="H1958" s="6">
        <v>0</v>
      </c>
      <c r="I1958" s="6">
        <f t="shared" si="30"/>
        <v>1</v>
      </c>
      <c r="J1958" s="8">
        <v>41656</v>
      </c>
      <c r="K1958" s="6">
        <v>59</v>
      </c>
      <c r="L1958">
        <f>VLOOKUP(A1958,Marketing_df2!$A$1:$F$2241,3,FALSE)</f>
        <v>0</v>
      </c>
      <c r="M1958">
        <f>VLOOKUP(A1958,Marketing_df2!$A$1:$F$2241,4,FALSE)</f>
        <v>1</v>
      </c>
      <c r="N1958">
        <f>VLOOKUP(A1958,Marketing_df2!$A$1:$F$2241,5,FALSE)</f>
        <v>1</v>
      </c>
      <c r="O1958">
        <f>VLOOKUP(A1958,Marketing_df2!$A$1:$F$2241,6,FALSE)</f>
        <v>3</v>
      </c>
    </row>
    <row r="1959" spans="1:15" ht="12.5">
      <c r="A1959" s="6">
        <v>1957</v>
      </c>
      <c r="B1959" s="6">
        <v>10448</v>
      </c>
      <c r="C1959" s="6">
        <v>1956</v>
      </c>
      <c r="D1959" s="7" t="s">
        <v>9</v>
      </c>
      <c r="E1959" s="7" t="s">
        <v>10</v>
      </c>
      <c r="F1959" s="6">
        <v>46998</v>
      </c>
      <c r="G1959" s="6">
        <v>0</v>
      </c>
      <c r="H1959" s="6">
        <v>1</v>
      </c>
      <c r="I1959" s="6">
        <f t="shared" si="30"/>
        <v>1</v>
      </c>
      <c r="J1959" s="9">
        <v>41204</v>
      </c>
      <c r="K1959" s="6">
        <v>55</v>
      </c>
      <c r="L1959">
        <f>VLOOKUP(A1959,Marketing_df2!$A$1:$F$2241,3,FALSE)</f>
        <v>41</v>
      </c>
      <c r="M1959">
        <f>VLOOKUP(A1959,Marketing_df2!$A$1:$F$2241,4,FALSE)</f>
        <v>6</v>
      </c>
      <c r="N1959">
        <f>VLOOKUP(A1959,Marketing_df2!$A$1:$F$2241,5,FALSE)</f>
        <v>5</v>
      </c>
      <c r="O1959">
        <f>VLOOKUP(A1959,Marketing_df2!$A$1:$F$2241,6,FALSE)</f>
        <v>5</v>
      </c>
    </row>
    <row r="1960" spans="1:15" ht="12.5">
      <c r="A1960" s="6">
        <v>1958</v>
      </c>
      <c r="B1960" s="6">
        <v>2109</v>
      </c>
      <c r="C1960" s="6">
        <v>1990</v>
      </c>
      <c r="D1960" s="7" t="s">
        <v>9</v>
      </c>
      <c r="E1960" s="7" t="s">
        <v>10</v>
      </c>
      <c r="F1960" s="6">
        <v>96843</v>
      </c>
      <c r="G1960" s="6">
        <v>0</v>
      </c>
      <c r="H1960" s="6">
        <v>0</v>
      </c>
      <c r="I1960" s="6">
        <f t="shared" si="30"/>
        <v>0</v>
      </c>
      <c r="J1960" s="8">
        <v>41387</v>
      </c>
      <c r="K1960" s="6">
        <v>60</v>
      </c>
      <c r="L1960">
        <f>VLOOKUP(A1960,Marketing_df2!$A$1:$F$2241,3,FALSE)</f>
        <v>71</v>
      </c>
      <c r="M1960">
        <f>VLOOKUP(A1960,Marketing_df2!$A$1:$F$2241,4,FALSE)</f>
        <v>17</v>
      </c>
      <c r="N1960">
        <f>VLOOKUP(A1960,Marketing_df2!$A$1:$F$2241,5,FALSE)</f>
        <v>6</v>
      </c>
      <c r="O1960">
        <f>VLOOKUP(A1960,Marketing_df2!$A$1:$F$2241,6,FALSE)</f>
        <v>10</v>
      </c>
    </row>
    <row r="1961" spans="1:15" ht="12.5">
      <c r="A1961" s="6">
        <v>1959</v>
      </c>
      <c r="B1961" s="6">
        <v>7530</v>
      </c>
      <c r="C1961" s="6">
        <v>1950</v>
      </c>
      <c r="D1961" s="7" t="s">
        <v>12</v>
      </c>
      <c r="E1961" s="7" t="s">
        <v>18</v>
      </c>
      <c r="F1961" s="6">
        <v>56551</v>
      </c>
      <c r="G1961" s="6">
        <v>1</v>
      </c>
      <c r="H1961" s="6">
        <v>1</v>
      </c>
      <c r="I1961" s="6">
        <f t="shared" si="30"/>
        <v>2</v>
      </c>
      <c r="J1961" s="8">
        <v>41766</v>
      </c>
      <c r="K1961" s="6">
        <v>48</v>
      </c>
      <c r="L1961">
        <f>VLOOKUP(A1961,Marketing_df2!$A$1:$F$2241,3,FALSE)</f>
        <v>4</v>
      </c>
      <c r="M1961">
        <f>VLOOKUP(A1961,Marketing_df2!$A$1:$F$2241,4,FALSE)</f>
        <v>2</v>
      </c>
      <c r="N1961">
        <f>VLOOKUP(A1961,Marketing_df2!$A$1:$F$2241,5,FALSE)</f>
        <v>2</v>
      </c>
      <c r="O1961">
        <f>VLOOKUP(A1961,Marketing_df2!$A$1:$F$2241,6,FALSE)</f>
        <v>4</v>
      </c>
    </row>
    <row r="1962" spans="1:15" ht="12.5">
      <c r="A1962" s="6">
        <v>1960</v>
      </c>
      <c r="B1962" s="6">
        <v>8925</v>
      </c>
      <c r="C1962" s="6">
        <v>1965</v>
      </c>
      <c r="D1962" s="7" t="s">
        <v>14</v>
      </c>
      <c r="E1962" s="7" t="s">
        <v>13</v>
      </c>
      <c r="F1962" s="6">
        <v>70053</v>
      </c>
      <c r="G1962" s="6">
        <v>0</v>
      </c>
      <c r="H1962" s="6">
        <v>1</v>
      </c>
      <c r="I1962" s="6">
        <f t="shared" si="30"/>
        <v>1</v>
      </c>
      <c r="J1962" s="8">
        <v>41458</v>
      </c>
      <c r="K1962" s="6">
        <v>38</v>
      </c>
      <c r="L1962">
        <f>VLOOKUP(A1962,Marketing_df2!$A$1:$F$2241,3,FALSE)</f>
        <v>53</v>
      </c>
      <c r="M1962">
        <f>VLOOKUP(A1962,Marketing_df2!$A$1:$F$2241,4,FALSE)</f>
        <v>179</v>
      </c>
      <c r="N1962">
        <f>VLOOKUP(A1962,Marketing_df2!$A$1:$F$2241,5,FALSE)</f>
        <v>8</v>
      </c>
      <c r="O1962">
        <f>VLOOKUP(A1962,Marketing_df2!$A$1:$F$2241,6,FALSE)</f>
        <v>10</v>
      </c>
    </row>
    <row r="1963" spans="1:15" ht="12.5">
      <c r="A1963" s="6">
        <v>1961</v>
      </c>
      <c r="B1963" s="6">
        <v>3009</v>
      </c>
      <c r="C1963" s="6">
        <v>1962</v>
      </c>
      <c r="D1963" s="7" t="s">
        <v>12</v>
      </c>
      <c r="E1963" s="7" t="s">
        <v>18</v>
      </c>
      <c r="F1963" s="6">
        <v>71670</v>
      </c>
      <c r="G1963" s="6">
        <v>0</v>
      </c>
      <c r="H1963" s="6">
        <v>0</v>
      </c>
      <c r="I1963" s="6">
        <f t="shared" si="30"/>
        <v>0</v>
      </c>
      <c r="J1963" s="8">
        <v>41464</v>
      </c>
      <c r="K1963" s="6">
        <v>8</v>
      </c>
      <c r="L1963">
        <f>VLOOKUP(A1963,Marketing_df2!$A$1:$F$2241,3,FALSE)</f>
        <v>16</v>
      </c>
      <c r="M1963">
        <f>VLOOKUP(A1963,Marketing_df2!$A$1:$F$2241,4,FALSE)</f>
        <v>0</v>
      </c>
      <c r="N1963">
        <f>VLOOKUP(A1963,Marketing_df2!$A$1:$F$2241,5,FALSE)</f>
        <v>5</v>
      </c>
      <c r="O1963">
        <f>VLOOKUP(A1963,Marketing_df2!$A$1:$F$2241,6,FALSE)</f>
        <v>6</v>
      </c>
    </row>
    <row r="1964" spans="1:15" ht="12.5">
      <c r="A1964" s="6">
        <v>1962</v>
      </c>
      <c r="B1964" s="6">
        <v>6355</v>
      </c>
      <c r="C1964" s="6">
        <v>1978</v>
      </c>
      <c r="D1964" s="7" t="s">
        <v>9</v>
      </c>
      <c r="E1964" s="7" t="s">
        <v>13</v>
      </c>
      <c r="F1964" s="6">
        <v>44359</v>
      </c>
      <c r="G1964" s="6">
        <v>1</v>
      </c>
      <c r="H1964" s="6">
        <v>1</v>
      </c>
      <c r="I1964" s="6">
        <f t="shared" si="30"/>
        <v>2</v>
      </c>
      <c r="J1964" s="8">
        <v>41807</v>
      </c>
      <c r="K1964" s="6">
        <v>19</v>
      </c>
      <c r="L1964">
        <f>VLOOKUP(A1964,Marketing_df2!$A$1:$F$2241,3,FALSE)</f>
        <v>0</v>
      </c>
      <c r="M1964">
        <f>VLOOKUP(A1964,Marketing_df2!$A$1:$F$2241,4,FALSE)</f>
        <v>3</v>
      </c>
      <c r="N1964">
        <f>VLOOKUP(A1964,Marketing_df2!$A$1:$F$2241,5,FALSE)</f>
        <v>2</v>
      </c>
      <c r="O1964">
        <f>VLOOKUP(A1964,Marketing_df2!$A$1:$F$2241,6,FALSE)</f>
        <v>4</v>
      </c>
    </row>
    <row r="1965" spans="1:15" ht="12.5">
      <c r="A1965" s="6">
        <v>1963</v>
      </c>
      <c r="B1965" s="6">
        <v>3517</v>
      </c>
      <c r="C1965" s="6">
        <v>1952</v>
      </c>
      <c r="D1965" s="7" t="s">
        <v>9</v>
      </c>
      <c r="E1965" s="7" t="s">
        <v>10</v>
      </c>
      <c r="F1965" s="6">
        <v>40887</v>
      </c>
      <c r="G1965" s="6">
        <v>1</v>
      </c>
      <c r="H1965" s="6">
        <v>1</v>
      </c>
      <c r="I1965" s="6">
        <f t="shared" si="30"/>
        <v>2</v>
      </c>
      <c r="J1965" s="8">
        <v>41400</v>
      </c>
      <c r="K1965" s="6">
        <v>32</v>
      </c>
      <c r="L1965">
        <f>VLOOKUP(A1965,Marketing_df2!$A$1:$F$2241,3,FALSE)</f>
        <v>4</v>
      </c>
      <c r="M1965">
        <f>VLOOKUP(A1965,Marketing_df2!$A$1:$F$2241,4,FALSE)</f>
        <v>10</v>
      </c>
      <c r="N1965">
        <f>VLOOKUP(A1965,Marketing_df2!$A$1:$F$2241,5,FALSE)</f>
        <v>3</v>
      </c>
      <c r="O1965">
        <f>VLOOKUP(A1965,Marketing_df2!$A$1:$F$2241,6,FALSE)</f>
        <v>3</v>
      </c>
    </row>
    <row r="1966" spans="1:15" ht="12.5">
      <c r="A1966" s="6">
        <v>1964</v>
      </c>
      <c r="B1966" s="6">
        <v>1158</v>
      </c>
      <c r="C1966" s="6">
        <v>1966</v>
      </c>
      <c r="D1966" s="7" t="s">
        <v>9</v>
      </c>
      <c r="E1966" s="7" t="s">
        <v>15</v>
      </c>
      <c r="F1966" s="6">
        <v>48877</v>
      </c>
      <c r="G1966" s="6">
        <v>0</v>
      </c>
      <c r="H1966" s="6">
        <v>1</v>
      </c>
      <c r="I1966" s="6">
        <f t="shared" si="30"/>
        <v>1</v>
      </c>
      <c r="J1966" s="8">
        <v>41644</v>
      </c>
      <c r="K1966" s="6">
        <v>27</v>
      </c>
      <c r="L1966">
        <f>VLOOKUP(A1966,Marketing_df2!$A$1:$F$2241,3,FALSE)</f>
        <v>1</v>
      </c>
      <c r="M1966">
        <f>VLOOKUP(A1966,Marketing_df2!$A$1:$F$2241,4,FALSE)</f>
        <v>0</v>
      </c>
      <c r="N1966">
        <f>VLOOKUP(A1966,Marketing_df2!$A$1:$F$2241,5,FALSE)</f>
        <v>3</v>
      </c>
      <c r="O1966">
        <f>VLOOKUP(A1966,Marketing_df2!$A$1:$F$2241,6,FALSE)</f>
        <v>4</v>
      </c>
    </row>
    <row r="1967" spans="1:15" ht="12.5">
      <c r="A1967" s="6">
        <v>1965</v>
      </c>
      <c r="B1967" s="6">
        <v>6203</v>
      </c>
      <c r="C1967" s="6">
        <v>1947</v>
      </c>
      <c r="D1967" s="7" t="s">
        <v>9</v>
      </c>
      <c r="E1967" s="7" t="s">
        <v>11</v>
      </c>
      <c r="F1967" s="6">
        <v>74485</v>
      </c>
      <c r="G1967" s="6">
        <v>0</v>
      </c>
      <c r="H1967" s="6">
        <v>0</v>
      </c>
      <c r="I1967" s="6">
        <f t="shared" si="30"/>
        <v>0</v>
      </c>
      <c r="J1967" s="8">
        <v>41510</v>
      </c>
      <c r="K1967" s="6">
        <v>58</v>
      </c>
      <c r="L1967">
        <f>VLOOKUP(A1967,Marketing_df2!$A$1:$F$2241,3,FALSE)</f>
        <v>149</v>
      </c>
      <c r="M1967">
        <f>VLOOKUP(A1967,Marketing_df2!$A$1:$F$2241,4,FALSE)</f>
        <v>49</v>
      </c>
      <c r="N1967">
        <f>VLOOKUP(A1967,Marketing_df2!$A$1:$F$2241,5,FALSE)</f>
        <v>6</v>
      </c>
      <c r="O1967">
        <f>VLOOKUP(A1967,Marketing_df2!$A$1:$F$2241,6,FALSE)</f>
        <v>12</v>
      </c>
    </row>
    <row r="1968" spans="1:15" ht="12.5">
      <c r="A1968" s="6">
        <v>1966</v>
      </c>
      <c r="B1968" s="6">
        <v>7165</v>
      </c>
      <c r="C1968" s="6">
        <v>1972</v>
      </c>
      <c r="D1968" s="7" t="s">
        <v>9</v>
      </c>
      <c r="E1968" s="7" t="s">
        <v>11</v>
      </c>
      <c r="F1968" s="6">
        <v>64474</v>
      </c>
      <c r="G1968" s="6">
        <v>0</v>
      </c>
      <c r="H1968" s="6">
        <v>1</v>
      </c>
      <c r="I1968" s="6">
        <f t="shared" si="30"/>
        <v>1</v>
      </c>
      <c r="J1968" s="9">
        <v>41569</v>
      </c>
      <c r="K1968" s="6">
        <v>59</v>
      </c>
      <c r="L1968">
        <f>VLOOKUP(A1968,Marketing_df2!$A$1:$F$2241,3,FALSE)</f>
        <v>35</v>
      </c>
      <c r="M1968">
        <f>VLOOKUP(A1968,Marketing_df2!$A$1:$F$2241,4,FALSE)</f>
        <v>86</v>
      </c>
      <c r="N1968">
        <f>VLOOKUP(A1968,Marketing_df2!$A$1:$F$2241,5,FALSE)</f>
        <v>8</v>
      </c>
      <c r="O1968">
        <f>VLOOKUP(A1968,Marketing_df2!$A$1:$F$2241,6,FALSE)</f>
        <v>10</v>
      </c>
    </row>
    <row r="1969" spans="1:15" ht="12.5">
      <c r="A1969" s="6">
        <v>1967</v>
      </c>
      <c r="B1969" s="6">
        <v>3595</v>
      </c>
      <c r="C1969" s="6">
        <v>1963</v>
      </c>
      <c r="D1969" s="7" t="s">
        <v>9</v>
      </c>
      <c r="E1969" s="7" t="s">
        <v>11</v>
      </c>
      <c r="F1969" s="6">
        <v>77226</v>
      </c>
      <c r="G1969" s="6">
        <v>0</v>
      </c>
      <c r="H1969" s="6">
        <v>1</v>
      </c>
      <c r="I1969" s="6">
        <f t="shared" si="30"/>
        <v>1</v>
      </c>
      <c r="J1969" s="8">
        <v>41698</v>
      </c>
      <c r="K1969" s="6">
        <v>29</v>
      </c>
      <c r="L1969">
        <f>VLOOKUP(A1969,Marketing_df2!$A$1:$F$2241,3,FALSE)</f>
        <v>43</v>
      </c>
      <c r="M1969">
        <f>VLOOKUP(A1969,Marketing_df2!$A$1:$F$2241,4,FALSE)</f>
        <v>76</v>
      </c>
      <c r="N1969">
        <f>VLOOKUP(A1969,Marketing_df2!$A$1:$F$2241,5,FALSE)</f>
        <v>6</v>
      </c>
      <c r="O1969">
        <f>VLOOKUP(A1969,Marketing_df2!$A$1:$F$2241,6,FALSE)</f>
        <v>12</v>
      </c>
    </row>
    <row r="1970" spans="1:15" ht="12.5">
      <c r="A1970" s="6">
        <v>1968</v>
      </c>
      <c r="B1970" s="6">
        <v>8537</v>
      </c>
      <c r="C1970" s="6">
        <v>1949</v>
      </c>
      <c r="D1970" s="7" t="s">
        <v>9</v>
      </c>
      <c r="E1970" s="7" t="s">
        <v>18</v>
      </c>
      <c r="F1970" s="6">
        <v>72643</v>
      </c>
      <c r="G1970" s="6">
        <v>0</v>
      </c>
      <c r="H1970" s="6">
        <v>0</v>
      </c>
      <c r="I1970" s="6">
        <f t="shared" si="30"/>
        <v>0</v>
      </c>
      <c r="J1970" s="8">
        <v>41332</v>
      </c>
      <c r="K1970" s="6">
        <v>60</v>
      </c>
      <c r="L1970">
        <f>VLOOKUP(A1970,Marketing_df2!$A$1:$F$2241,3,FALSE)</f>
        <v>80</v>
      </c>
      <c r="M1970">
        <f>VLOOKUP(A1970,Marketing_df2!$A$1:$F$2241,4,FALSE)</f>
        <v>94</v>
      </c>
      <c r="N1970">
        <f>VLOOKUP(A1970,Marketing_df2!$A$1:$F$2241,5,FALSE)</f>
        <v>3</v>
      </c>
      <c r="O1970">
        <f>VLOOKUP(A1970,Marketing_df2!$A$1:$F$2241,6,FALSE)</f>
        <v>7</v>
      </c>
    </row>
    <row r="1971" spans="1:15" ht="12.5">
      <c r="A1971" s="6">
        <v>1969</v>
      </c>
      <c r="B1971" s="6">
        <v>4331</v>
      </c>
      <c r="C1971" s="6">
        <v>1978</v>
      </c>
      <c r="D1971" s="7" t="s">
        <v>14</v>
      </c>
      <c r="E1971" s="7" t="s">
        <v>11</v>
      </c>
      <c r="F1971" s="6">
        <v>85738</v>
      </c>
      <c r="G1971" s="6">
        <v>0</v>
      </c>
      <c r="H1971" s="6">
        <v>0</v>
      </c>
      <c r="I1971" s="6">
        <f t="shared" si="30"/>
        <v>0</v>
      </c>
      <c r="J1971" s="8">
        <v>41662</v>
      </c>
      <c r="K1971" s="6">
        <v>41</v>
      </c>
      <c r="L1971">
        <f>VLOOKUP(A1971,Marketing_df2!$A$1:$F$2241,3,FALSE)</f>
        <v>26</v>
      </c>
      <c r="M1971">
        <f>VLOOKUP(A1971,Marketing_df2!$A$1:$F$2241,4,FALSE)</f>
        <v>26</v>
      </c>
      <c r="N1971">
        <f>VLOOKUP(A1971,Marketing_df2!$A$1:$F$2241,5,FALSE)</f>
        <v>3</v>
      </c>
      <c r="O1971">
        <f>VLOOKUP(A1971,Marketing_df2!$A$1:$F$2241,6,FALSE)</f>
        <v>11</v>
      </c>
    </row>
    <row r="1972" spans="1:15" ht="12.5">
      <c r="A1972" s="6">
        <v>1970</v>
      </c>
      <c r="B1972" s="6">
        <v>6281</v>
      </c>
      <c r="C1972" s="6">
        <v>1966</v>
      </c>
      <c r="D1972" s="7" t="s">
        <v>9</v>
      </c>
      <c r="E1972" s="7" t="s">
        <v>15</v>
      </c>
      <c r="F1972" s="6">
        <v>55686</v>
      </c>
      <c r="G1972" s="6">
        <v>0</v>
      </c>
      <c r="H1972" s="6">
        <v>1</v>
      </c>
      <c r="I1972" s="6">
        <f t="shared" si="30"/>
        <v>1</v>
      </c>
      <c r="J1972" s="8">
        <v>41319</v>
      </c>
      <c r="K1972" s="6">
        <v>27</v>
      </c>
      <c r="L1972">
        <f>VLOOKUP(A1972,Marketing_df2!$A$1:$F$2241,3,FALSE)</f>
        <v>0</v>
      </c>
      <c r="M1972">
        <f>VLOOKUP(A1972,Marketing_df2!$A$1:$F$2241,4,FALSE)</f>
        <v>47</v>
      </c>
      <c r="N1972">
        <f>VLOOKUP(A1972,Marketing_df2!$A$1:$F$2241,5,FALSE)</f>
        <v>6</v>
      </c>
      <c r="O1972">
        <f>VLOOKUP(A1972,Marketing_df2!$A$1:$F$2241,6,FALSE)</f>
        <v>5</v>
      </c>
    </row>
    <row r="1973" spans="1:15" ht="12.5">
      <c r="A1973" s="6">
        <v>1971</v>
      </c>
      <c r="B1973" s="6">
        <v>4338</v>
      </c>
      <c r="C1973" s="6">
        <v>1983</v>
      </c>
      <c r="D1973" s="7" t="s">
        <v>9</v>
      </c>
      <c r="E1973" s="7" t="s">
        <v>10</v>
      </c>
      <c r="F1973" s="6">
        <v>39062</v>
      </c>
      <c r="G1973" s="6">
        <v>1</v>
      </c>
      <c r="H1973" s="6">
        <v>0</v>
      </c>
      <c r="I1973" s="6">
        <f t="shared" si="30"/>
        <v>1</v>
      </c>
      <c r="J1973" s="8">
        <v>41723</v>
      </c>
      <c r="K1973" s="6">
        <v>28</v>
      </c>
      <c r="L1973">
        <f>VLOOKUP(A1973,Marketing_df2!$A$1:$F$2241,3,FALSE)</f>
        <v>0</v>
      </c>
      <c r="M1973">
        <f>VLOOKUP(A1973,Marketing_df2!$A$1:$F$2241,4,FALSE)</f>
        <v>0</v>
      </c>
      <c r="N1973">
        <f>VLOOKUP(A1973,Marketing_df2!$A$1:$F$2241,5,FALSE)</f>
        <v>1</v>
      </c>
      <c r="O1973">
        <f>VLOOKUP(A1973,Marketing_df2!$A$1:$F$2241,6,FALSE)</f>
        <v>3</v>
      </c>
    </row>
    <row r="1974" spans="1:15" ht="12.5">
      <c r="A1974" s="6">
        <v>1972</v>
      </c>
      <c r="B1974" s="6">
        <v>2452</v>
      </c>
      <c r="C1974" s="6">
        <v>1971</v>
      </c>
      <c r="D1974" s="7" t="s">
        <v>9</v>
      </c>
      <c r="E1974" s="7" t="s">
        <v>11</v>
      </c>
      <c r="F1974" s="6">
        <v>34600</v>
      </c>
      <c r="G1974" s="6">
        <v>1</v>
      </c>
      <c r="H1974" s="6">
        <v>1</v>
      </c>
      <c r="I1974" s="6">
        <f t="shared" si="30"/>
        <v>2</v>
      </c>
      <c r="J1974" s="8">
        <v>41275</v>
      </c>
      <c r="K1974" s="6">
        <v>8</v>
      </c>
      <c r="L1974">
        <f>VLOOKUP(A1974,Marketing_df2!$A$1:$F$2241,3,FALSE)</f>
        <v>33</v>
      </c>
      <c r="M1974">
        <f>VLOOKUP(A1974,Marketing_df2!$A$1:$F$2241,4,FALSE)</f>
        <v>3</v>
      </c>
      <c r="N1974">
        <f>VLOOKUP(A1974,Marketing_df2!$A$1:$F$2241,5,FALSE)</f>
        <v>5</v>
      </c>
      <c r="O1974">
        <f>VLOOKUP(A1974,Marketing_df2!$A$1:$F$2241,6,FALSE)</f>
        <v>5</v>
      </c>
    </row>
    <row r="1975" spans="1:15" ht="12.5">
      <c r="A1975" s="6">
        <v>1973</v>
      </c>
      <c r="B1975" s="6">
        <v>9507</v>
      </c>
      <c r="C1975" s="6">
        <v>1975</v>
      </c>
      <c r="D1975" s="7" t="s">
        <v>9</v>
      </c>
      <c r="E1975" s="7" t="s">
        <v>13</v>
      </c>
      <c r="F1975" s="6">
        <v>40794</v>
      </c>
      <c r="G1975" s="6">
        <v>0</v>
      </c>
      <c r="H1975" s="6">
        <v>1</v>
      </c>
      <c r="I1975" s="6">
        <f t="shared" si="30"/>
        <v>1</v>
      </c>
      <c r="J1975" s="8">
        <v>41371</v>
      </c>
      <c r="K1975" s="6">
        <v>18</v>
      </c>
      <c r="L1975">
        <f>VLOOKUP(A1975,Marketing_df2!$A$1:$F$2241,3,FALSE)</f>
        <v>23</v>
      </c>
      <c r="M1975">
        <f>VLOOKUP(A1975,Marketing_df2!$A$1:$F$2241,4,FALSE)</f>
        <v>23</v>
      </c>
      <c r="N1975">
        <f>VLOOKUP(A1975,Marketing_df2!$A$1:$F$2241,5,FALSE)</f>
        <v>6</v>
      </c>
      <c r="O1975">
        <f>VLOOKUP(A1975,Marketing_df2!$A$1:$F$2241,6,FALSE)</f>
        <v>5</v>
      </c>
    </row>
    <row r="1976" spans="1:15" ht="12.5">
      <c r="A1976" s="6">
        <v>1974</v>
      </c>
      <c r="B1976" s="6">
        <v>8360</v>
      </c>
      <c r="C1976" s="6">
        <v>1971</v>
      </c>
      <c r="D1976" s="7" t="s">
        <v>17</v>
      </c>
      <c r="E1976" s="7" t="s">
        <v>13</v>
      </c>
      <c r="F1976" s="6">
        <v>54690</v>
      </c>
      <c r="G1976" s="6">
        <v>1</v>
      </c>
      <c r="H1976" s="6">
        <v>1</v>
      </c>
      <c r="I1976" s="6">
        <f t="shared" si="30"/>
        <v>2</v>
      </c>
      <c r="J1976" s="8">
        <v>41585</v>
      </c>
      <c r="K1976" s="6">
        <v>76</v>
      </c>
      <c r="L1976">
        <f>VLOOKUP(A1976,Marketing_df2!$A$1:$F$2241,3,FALSE)</f>
        <v>16</v>
      </c>
      <c r="M1976">
        <f>VLOOKUP(A1976,Marketing_df2!$A$1:$F$2241,4,FALSE)</f>
        <v>9</v>
      </c>
      <c r="N1976">
        <f>VLOOKUP(A1976,Marketing_df2!$A$1:$F$2241,5,FALSE)</f>
        <v>3</v>
      </c>
      <c r="O1976">
        <f>VLOOKUP(A1976,Marketing_df2!$A$1:$F$2241,6,FALSE)</f>
        <v>5</v>
      </c>
    </row>
    <row r="1977" spans="1:15" ht="12.5">
      <c r="A1977" s="6">
        <v>1975</v>
      </c>
      <c r="B1977" s="6">
        <v>10311</v>
      </c>
      <c r="C1977" s="6">
        <v>1969</v>
      </c>
      <c r="D1977" s="7" t="s">
        <v>9</v>
      </c>
      <c r="E1977" s="7" t="s">
        <v>13</v>
      </c>
      <c r="F1977" s="6">
        <v>4428</v>
      </c>
      <c r="G1977" s="6">
        <v>0</v>
      </c>
      <c r="H1977" s="6">
        <v>1</v>
      </c>
      <c r="I1977" s="6">
        <f t="shared" si="30"/>
        <v>1</v>
      </c>
      <c r="J1977" s="8">
        <v>41552</v>
      </c>
      <c r="K1977" s="6">
        <v>0</v>
      </c>
      <c r="L1977">
        <f>VLOOKUP(A1977,Marketing_df2!$A$1:$F$2241,3,FALSE)</f>
        <v>4</v>
      </c>
      <c r="M1977">
        <f>VLOOKUP(A1977,Marketing_df2!$A$1:$F$2241,4,FALSE)</f>
        <v>4</v>
      </c>
      <c r="N1977">
        <f>VLOOKUP(A1977,Marketing_df2!$A$1:$F$2241,5,FALSE)</f>
        <v>25</v>
      </c>
      <c r="O1977">
        <f>VLOOKUP(A1977,Marketing_df2!$A$1:$F$2241,6,FALSE)</f>
        <v>0</v>
      </c>
    </row>
    <row r="1978" spans="1:15" ht="12.5">
      <c r="A1978" s="6">
        <v>1976</v>
      </c>
      <c r="B1978" s="6">
        <v>5117</v>
      </c>
      <c r="C1978" s="6">
        <v>1963</v>
      </c>
      <c r="D1978" s="7" t="s">
        <v>17</v>
      </c>
      <c r="E1978" s="7" t="s">
        <v>13</v>
      </c>
      <c r="F1978" s="6">
        <v>32632</v>
      </c>
      <c r="G1978" s="6">
        <v>0</v>
      </c>
      <c r="H1978" s="6">
        <v>0</v>
      </c>
      <c r="I1978" s="6">
        <f t="shared" si="30"/>
        <v>0</v>
      </c>
      <c r="J1978" s="8">
        <v>41123</v>
      </c>
      <c r="K1978" s="6">
        <v>32</v>
      </c>
      <c r="L1978">
        <f>VLOOKUP(A1978,Marketing_df2!$A$1:$F$2241,3,FALSE)</f>
        <v>151</v>
      </c>
      <c r="M1978">
        <f>VLOOKUP(A1978,Marketing_df2!$A$1:$F$2241,4,FALSE)</f>
        <v>19</v>
      </c>
      <c r="N1978">
        <f>VLOOKUP(A1978,Marketing_df2!$A$1:$F$2241,5,FALSE)</f>
        <v>4</v>
      </c>
      <c r="O1978">
        <f>VLOOKUP(A1978,Marketing_df2!$A$1:$F$2241,6,FALSE)</f>
        <v>8</v>
      </c>
    </row>
    <row r="1979" spans="1:15" ht="12.5">
      <c r="A1979" s="6">
        <v>1977</v>
      </c>
      <c r="B1979" s="6">
        <v>4867</v>
      </c>
      <c r="C1979" s="6">
        <v>1968</v>
      </c>
      <c r="D1979" s="7" t="s">
        <v>12</v>
      </c>
      <c r="E1979" s="7" t="s">
        <v>10</v>
      </c>
      <c r="F1979" s="6">
        <v>38236</v>
      </c>
      <c r="G1979" s="6">
        <v>1</v>
      </c>
      <c r="H1979" s="6">
        <v>1</v>
      </c>
      <c r="I1979" s="6">
        <f t="shared" si="30"/>
        <v>2</v>
      </c>
      <c r="J1979" s="8">
        <v>41537</v>
      </c>
      <c r="K1979" s="6">
        <v>2</v>
      </c>
      <c r="L1979">
        <f>VLOOKUP(A1979,Marketing_df2!$A$1:$F$2241,3,FALSE)</f>
        <v>0</v>
      </c>
      <c r="M1979">
        <f>VLOOKUP(A1979,Marketing_df2!$A$1:$F$2241,4,FALSE)</f>
        <v>0</v>
      </c>
      <c r="N1979">
        <f>VLOOKUP(A1979,Marketing_df2!$A$1:$F$2241,5,FALSE)</f>
        <v>3</v>
      </c>
      <c r="O1979">
        <f>VLOOKUP(A1979,Marketing_df2!$A$1:$F$2241,6,FALSE)</f>
        <v>4</v>
      </c>
    </row>
    <row r="1980" spans="1:15" ht="12.5">
      <c r="A1980" s="6">
        <v>1978</v>
      </c>
      <c r="B1980" s="6">
        <v>9289</v>
      </c>
      <c r="C1980" s="6">
        <v>1979</v>
      </c>
      <c r="D1980" s="7" t="s">
        <v>9</v>
      </c>
      <c r="E1980" s="7" t="s">
        <v>13</v>
      </c>
      <c r="F1980" s="6">
        <v>36781</v>
      </c>
      <c r="G1980" s="6">
        <v>1</v>
      </c>
      <c r="H1980" s="6">
        <v>0</v>
      </c>
      <c r="I1980" s="6">
        <f t="shared" si="30"/>
        <v>1</v>
      </c>
      <c r="J1980" s="8">
        <v>41739</v>
      </c>
      <c r="K1980" s="6">
        <v>16</v>
      </c>
      <c r="L1980">
        <f>VLOOKUP(A1980,Marketing_df2!$A$1:$F$2241,3,FALSE)</f>
        <v>1</v>
      </c>
      <c r="M1980">
        <f>VLOOKUP(A1980,Marketing_df2!$A$1:$F$2241,4,FALSE)</f>
        <v>3</v>
      </c>
      <c r="N1980">
        <f>VLOOKUP(A1980,Marketing_df2!$A$1:$F$2241,5,FALSE)</f>
        <v>2</v>
      </c>
      <c r="O1980">
        <f>VLOOKUP(A1980,Marketing_df2!$A$1:$F$2241,6,FALSE)</f>
        <v>2</v>
      </c>
    </row>
    <row r="1981" spans="1:15" ht="12.5">
      <c r="A1981" s="6">
        <v>1979</v>
      </c>
      <c r="B1981" s="6">
        <v>10913</v>
      </c>
      <c r="C1981" s="6">
        <v>1984</v>
      </c>
      <c r="D1981" s="7" t="s">
        <v>14</v>
      </c>
      <c r="E1981" s="7" t="s">
        <v>10</v>
      </c>
      <c r="F1981" s="6">
        <v>31385</v>
      </c>
      <c r="G1981" s="6">
        <v>1</v>
      </c>
      <c r="H1981" s="6">
        <v>0</v>
      </c>
      <c r="I1981" s="6">
        <f t="shared" si="30"/>
        <v>1</v>
      </c>
      <c r="J1981" s="8">
        <v>41248</v>
      </c>
      <c r="K1981" s="6">
        <v>56</v>
      </c>
      <c r="L1981">
        <f>VLOOKUP(A1981,Marketing_df2!$A$1:$F$2241,3,FALSE)</f>
        <v>2</v>
      </c>
      <c r="M1981">
        <f>VLOOKUP(A1981,Marketing_df2!$A$1:$F$2241,4,FALSE)</f>
        <v>1</v>
      </c>
      <c r="N1981">
        <f>VLOOKUP(A1981,Marketing_df2!$A$1:$F$2241,5,FALSE)</f>
        <v>1</v>
      </c>
      <c r="O1981">
        <f>VLOOKUP(A1981,Marketing_df2!$A$1:$F$2241,6,FALSE)</f>
        <v>2</v>
      </c>
    </row>
    <row r="1982" spans="1:15" ht="12.5">
      <c r="A1982" s="6">
        <v>1980</v>
      </c>
      <c r="B1982" s="6">
        <v>3032</v>
      </c>
      <c r="C1982" s="6">
        <v>1984</v>
      </c>
      <c r="D1982" s="7" t="s">
        <v>9</v>
      </c>
      <c r="E1982" s="7" t="s">
        <v>13</v>
      </c>
      <c r="F1982" s="6">
        <v>24570</v>
      </c>
      <c r="G1982" s="6">
        <v>1</v>
      </c>
      <c r="H1982" s="6">
        <v>0</v>
      </c>
      <c r="I1982" s="6">
        <f t="shared" si="30"/>
        <v>1</v>
      </c>
      <c r="J1982" s="8">
        <v>41332</v>
      </c>
      <c r="K1982" s="6">
        <v>97</v>
      </c>
      <c r="L1982">
        <f>VLOOKUP(A1982,Marketing_df2!$A$1:$F$2241,3,FALSE)</f>
        <v>34</v>
      </c>
      <c r="M1982">
        <f>VLOOKUP(A1982,Marketing_df2!$A$1:$F$2241,4,FALSE)</f>
        <v>14</v>
      </c>
      <c r="N1982">
        <f>VLOOKUP(A1982,Marketing_df2!$A$1:$F$2241,5,FALSE)</f>
        <v>4</v>
      </c>
      <c r="O1982">
        <f>VLOOKUP(A1982,Marketing_df2!$A$1:$F$2241,6,FALSE)</f>
        <v>4</v>
      </c>
    </row>
    <row r="1983" spans="1:15" ht="12.5">
      <c r="A1983" s="6">
        <v>1981</v>
      </c>
      <c r="B1983" s="6">
        <v>8524</v>
      </c>
      <c r="C1983" s="6">
        <v>1974</v>
      </c>
      <c r="D1983" s="7" t="s">
        <v>12</v>
      </c>
      <c r="E1983" s="7" t="s">
        <v>15</v>
      </c>
      <c r="F1983" s="6">
        <v>25509</v>
      </c>
      <c r="G1983" s="6">
        <v>1</v>
      </c>
      <c r="H1983" s="6">
        <v>0</v>
      </c>
      <c r="I1983" s="6">
        <f t="shared" si="30"/>
        <v>1</v>
      </c>
      <c r="J1983" s="8">
        <v>41170</v>
      </c>
      <c r="K1983" s="6">
        <v>15</v>
      </c>
      <c r="L1983">
        <f>VLOOKUP(A1983,Marketing_df2!$A$1:$F$2241,3,FALSE)</f>
        <v>3</v>
      </c>
      <c r="M1983">
        <f>VLOOKUP(A1983,Marketing_df2!$A$1:$F$2241,4,FALSE)</f>
        <v>7</v>
      </c>
      <c r="N1983">
        <f>VLOOKUP(A1983,Marketing_df2!$A$1:$F$2241,5,FALSE)</f>
        <v>3</v>
      </c>
      <c r="O1983">
        <f>VLOOKUP(A1983,Marketing_df2!$A$1:$F$2241,6,FALSE)</f>
        <v>3</v>
      </c>
    </row>
    <row r="1984" spans="1:15" ht="12.5">
      <c r="A1984" s="6">
        <v>1982</v>
      </c>
      <c r="B1984" s="6">
        <v>3334</v>
      </c>
      <c r="C1984" s="6">
        <v>1951</v>
      </c>
      <c r="D1984" s="7" t="s">
        <v>9</v>
      </c>
      <c r="E1984" s="7" t="s">
        <v>13</v>
      </c>
      <c r="F1984" s="6">
        <v>94642</v>
      </c>
      <c r="G1984" s="6">
        <v>0</v>
      </c>
      <c r="H1984" s="6">
        <v>0</v>
      </c>
      <c r="I1984" s="6">
        <f t="shared" si="30"/>
        <v>0</v>
      </c>
      <c r="J1984" s="8">
        <v>41682</v>
      </c>
      <c r="K1984" s="6">
        <v>35</v>
      </c>
      <c r="L1984">
        <f>VLOOKUP(A1984,Marketing_df2!$A$1:$F$2241,3,FALSE)</f>
        <v>143</v>
      </c>
      <c r="M1984">
        <f>VLOOKUP(A1984,Marketing_df2!$A$1:$F$2241,4,FALSE)</f>
        <v>143</v>
      </c>
      <c r="N1984">
        <f>VLOOKUP(A1984,Marketing_df2!$A$1:$F$2241,5,FALSE)</f>
        <v>5</v>
      </c>
      <c r="O1984">
        <f>VLOOKUP(A1984,Marketing_df2!$A$1:$F$2241,6,FALSE)</f>
        <v>9</v>
      </c>
    </row>
    <row r="1985" spans="1:15" ht="12.5">
      <c r="A1985" s="6">
        <v>1983</v>
      </c>
      <c r="B1985" s="6">
        <v>4470</v>
      </c>
      <c r="C1985" s="6">
        <v>1962</v>
      </c>
      <c r="D1985" s="7" t="s">
        <v>14</v>
      </c>
      <c r="E1985" s="7" t="s">
        <v>13</v>
      </c>
      <c r="F1985" s="6">
        <v>58646</v>
      </c>
      <c r="G1985" s="6">
        <v>0</v>
      </c>
      <c r="H1985" s="6">
        <v>1</v>
      </c>
      <c r="I1985" s="6">
        <f t="shared" si="30"/>
        <v>1</v>
      </c>
      <c r="J1985" s="8">
        <v>41435</v>
      </c>
      <c r="K1985" s="6">
        <v>3</v>
      </c>
      <c r="L1985">
        <f>VLOOKUP(A1985,Marketing_df2!$A$1:$F$2241,3,FALSE)</f>
        <v>1</v>
      </c>
      <c r="M1985">
        <f>VLOOKUP(A1985,Marketing_df2!$A$1:$F$2241,4,FALSE)</f>
        <v>5</v>
      </c>
      <c r="N1985">
        <f>VLOOKUP(A1985,Marketing_df2!$A$1:$F$2241,5,FALSE)</f>
        <v>2</v>
      </c>
      <c r="O1985">
        <f>VLOOKUP(A1985,Marketing_df2!$A$1:$F$2241,6,FALSE)</f>
        <v>4</v>
      </c>
    </row>
    <row r="1986" spans="1:15" ht="12.5">
      <c r="A1986" s="6">
        <v>1984</v>
      </c>
      <c r="B1986" s="6">
        <v>1406</v>
      </c>
      <c r="C1986" s="6">
        <v>1975</v>
      </c>
      <c r="D1986" s="7" t="s">
        <v>9</v>
      </c>
      <c r="E1986" s="7" t="s">
        <v>10</v>
      </c>
      <c r="F1986" s="6">
        <v>53201</v>
      </c>
      <c r="G1986" s="6">
        <v>1</v>
      </c>
      <c r="H1986" s="6">
        <v>1</v>
      </c>
      <c r="I1986" s="6">
        <f t="shared" si="30"/>
        <v>2</v>
      </c>
      <c r="J1986" s="8">
        <v>41317</v>
      </c>
      <c r="K1986" s="6">
        <v>49</v>
      </c>
      <c r="L1986">
        <f>VLOOKUP(A1986,Marketing_df2!$A$1:$F$2241,3,FALSE)</f>
        <v>7</v>
      </c>
      <c r="M1986">
        <f>VLOOKUP(A1986,Marketing_df2!$A$1:$F$2241,4,FALSE)</f>
        <v>0</v>
      </c>
      <c r="N1986">
        <f>VLOOKUP(A1986,Marketing_df2!$A$1:$F$2241,5,FALSE)</f>
        <v>6</v>
      </c>
      <c r="O1986">
        <f>VLOOKUP(A1986,Marketing_df2!$A$1:$F$2241,6,FALSE)</f>
        <v>5</v>
      </c>
    </row>
    <row r="1987" spans="1:15" ht="12.5">
      <c r="A1987" s="6">
        <v>1985</v>
      </c>
      <c r="B1987" s="6">
        <v>8619</v>
      </c>
      <c r="C1987" s="6">
        <v>1957</v>
      </c>
      <c r="D1987" s="7" t="s">
        <v>9</v>
      </c>
      <c r="E1987" s="7" t="s">
        <v>11</v>
      </c>
      <c r="F1987" s="6">
        <v>21994</v>
      </c>
      <c r="G1987" s="6">
        <v>0</v>
      </c>
      <c r="H1987" s="6">
        <v>1</v>
      </c>
      <c r="I1987" s="6">
        <f t="shared" ref="I1987:I2050" si="31">G1987+H1987</f>
        <v>1</v>
      </c>
      <c r="J1987" s="9">
        <v>41267</v>
      </c>
      <c r="K1987" s="6">
        <v>4</v>
      </c>
      <c r="L1987">
        <f>VLOOKUP(A1987,Marketing_df2!$A$1:$F$2241,3,FALSE)</f>
        <v>0</v>
      </c>
      <c r="M1987">
        <f>VLOOKUP(A1987,Marketing_df2!$A$1:$F$2241,4,FALSE)</f>
        <v>1</v>
      </c>
      <c r="N1987">
        <f>VLOOKUP(A1987,Marketing_df2!$A$1:$F$2241,5,FALSE)</f>
        <v>0</v>
      </c>
      <c r="O1987">
        <f>VLOOKUP(A1987,Marketing_df2!$A$1:$F$2241,6,FALSE)</f>
        <v>3</v>
      </c>
    </row>
    <row r="1988" spans="1:15" ht="12.5">
      <c r="A1988" s="6">
        <v>1986</v>
      </c>
      <c r="B1988" s="6">
        <v>10821</v>
      </c>
      <c r="C1988" s="6">
        <v>1978</v>
      </c>
      <c r="D1988" s="7" t="s">
        <v>9</v>
      </c>
      <c r="E1988" s="7" t="s">
        <v>13</v>
      </c>
      <c r="F1988" s="6">
        <v>57113</v>
      </c>
      <c r="G1988" s="6">
        <v>1</v>
      </c>
      <c r="H1988" s="6">
        <v>1</v>
      </c>
      <c r="I1988" s="6">
        <f t="shared" si="31"/>
        <v>2</v>
      </c>
      <c r="J1988" s="8">
        <v>41311</v>
      </c>
      <c r="K1988" s="6">
        <v>45</v>
      </c>
      <c r="L1988">
        <f>VLOOKUP(A1988,Marketing_df2!$A$1:$F$2241,3,FALSE)</f>
        <v>4</v>
      </c>
      <c r="M1988">
        <f>VLOOKUP(A1988,Marketing_df2!$A$1:$F$2241,4,FALSE)</f>
        <v>2</v>
      </c>
      <c r="N1988">
        <f>VLOOKUP(A1988,Marketing_df2!$A$1:$F$2241,5,FALSE)</f>
        <v>4</v>
      </c>
      <c r="O1988">
        <f>VLOOKUP(A1988,Marketing_df2!$A$1:$F$2241,6,FALSE)</f>
        <v>5</v>
      </c>
    </row>
    <row r="1989" spans="1:15" ht="12.5">
      <c r="A1989" s="6">
        <v>1987</v>
      </c>
      <c r="B1989" s="6">
        <v>4552</v>
      </c>
      <c r="C1989" s="6">
        <v>1991</v>
      </c>
      <c r="D1989" s="7" t="s">
        <v>9</v>
      </c>
      <c r="E1989" s="7" t="s">
        <v>13</v>
      </c>
      <c r="F1989" s="6">
        <v>51373</v>
      </c>
      <c r="G1989" s="6">
        <v>0</v>
      </c>
      <c r="H1989" s="6">
        <v>0</v>
      </c>
      <c r="I1989" s="6">
        <f t="shared" si="31"/>
        <v>0</v>
      </c>
      <c r="J1989" s="8">
        <v>41447</v>
      </c>
      <c r="K1989" s="6">
        <v>37</v>
      </c>
      <c r="L1989">
        <f>VLOOKUP(A1989,Marketing_df2!$A$1:$F$2241,3,FALSE)</f>
        <v>2</v>
      </c>
      <c r="M1989">
        <f>VLOOKUP(A1989,Marketing_df2!$A$1:$F$2241,4,FALSE)</f>
        <v>26</v>
      </c>
      <c r="N1989">
        <f>VLOOKUP(A1989,Marketing_df2!$A$1:$F$2241,5,FALSE)</f>
        <v>3</v>
      </c>
      <c r="O1989">
        <f>VLOOKUP(A1989,Marketing_df2!$A$1:$F$2241,6,FALSE)</f>
        <v>3</v>
      </c>
    </row>
    <row r="1990" spans="1:15" ht="12.5">
      <c r="A1990" s="6">
        <v>1988</v>
      </c>
      <c r="B1990" s="6">
        <v>898</v>
      </c>
      <c r="C1990" s="6">
        <v>1986</v>
      </c>
      <c r="D1990" s="7" t="s">
        <v>9</v>
      </c>
      <c r="E1990" s="7" t="s">
        <v>13</v>
      </c>
      <c r="F1990" s="6">
        <v>23477</v>
      </c>
      <c r="G1990" s="6">
        <v>1</v>
      </c>
      <c r="H1990" s="6">
        <v>0</v>
      </c>
      <c r="I1990" s="6">
        <f t="shared" si="31"/>
        <v>1</v>
      </c>
      <c r="J1990" s="9">
        <v>41568</v>
      </c>
      <c r="K1990" s="6">
        <v>39</v>
      </c>
      <c r="L1990">
        <f>VLOOKUP(A1990,Marketing_df2!$A$1:$F$2241,3,FALSE)</f>
        <v>15</v>
      </c>
      <c r="M1990">
        <f>VLOOKUP(A1990,Marketing_df2!$A$1:$F$2241,4,FALSE)</f>
        <v>8</v>
      </c>
      <c r="N1990">
        <f>VLOOKUP(A1990,Marketing_df2!$A$1:$F$2241,5,FALSE)</f>
        <v>3</v>
      </c>
      <c r="O1990">
        <f>VLOOKUP(A1990,Marketing_df2!$A$1:$F$2241,6,FALSE)</f>
        <v>4</v>
      </c>
    </row>
    <row r="1991" spans="1:15" ht="12.5">
      <c r="A1991" s="6">
        <v>1989</v>
      </c>
      <c r="B1991" s="6">
        <v>9797</v>
      </c>
      <c r="C1991" s="6">
        <v>1956</v>
      </c>
      <c r="D1991" s="7" t="s">
        <v>9</v>
      </c>
      <c r="E1991" s="7" t="s">
        <v>13</v>
      </c>
      <c r="F1991" s="6">
        <v>58116</v>
      </c>
      <c r="G1991" s="6">
        <v>0</v>
      </c>
      <c r="H1991" s="6">
        <v>1</v>
      </c>
      <c r="I1991" s="6">
        <f t="shared" si="31"/>
        <v>1</v>
      </c>
      <c r="J1991" s="8">
        <v>41742</v>
      </c>
      <c r="K1991" s="6">
        <v>38</v>
      </c>
      <c r="L1991">
        <f>VLOOKUP(A1991,Marketing_df2!$A$1:$F$2241,3,FALSE)</f>
        <v>19</v>
      </c>
      <c r="M1991">
        <f>VLOOKUP(A1991,Marketing_df2!$A$1:$F$2241,4,FALSE)</f>
        <v>11</v>
      </c>
      <c r="N1991">
        <f>VLOOKUP(A1991,Marketing_df2!$A$1:$F$2241,5,FALSE)</f>
        <v>3</v>
      </c>
      <c r="O1991">
        <f>VLOOKUP(A1991,Marketing_df2!$A$1:$F$2241,6,FALSE)</f>
        <v>8</v>
      </c>
    </row>
    <row r="1992" spans="1:15" ht="12.5">
      <c r="A1992" s="6">
        <v>1990</v>
      </c>
      <c r="B1992" s="6">
        <v>10949</v>
      </c>
      <c r="C1992" s="6">
        <v>1963</v>
      </c>
      <c r="D1992" s="7" t="s">
        <v>12</v>
      </c>
      <c r="E1992" s="7" t="s">
        <v>15</v>
      </c>
      <c r="F1992" s="6">
        <v>72968</v>
      </c>
      <c r="G1992" s="6">
        <v>0</v>
      </c>
      <c r="H1992" s="6">
        <v>0</v>
      </c>
      <c r="I1992" s="6">
        <f t="shared" si="31"/>
        <v>0</v>
      </c>
      <c r="J1992" s="9">
        <v>41624</v>
      </c>
      <c r="K1992" s="6">
        <v>8</v>
      </c>
      <c r="L1992">
        <f>VLOOKUP(A1992,Marketing_df2!$A$1:$F$2241,3,FALSE)</f>
        <v>37</v>
      </c>
      <c r="M1992">
        <f>VLOOKUP(A1992,Marketing_df2!$A$1:$F$2241,4,FALSE)</f>
        <v>37</v>
      </c>
      <c r="N1992">
        <f>VLOOKUP(A1992,Marketing_df2!$A$1:$F$2241,5,FALSE)</f>
        <v>5</v>
      </c>
      <c r="O1992">
        <f>VLOOKUP(A1992,Marketing_df2!$A$1:$F$2241,6,FALSE)</f>
        <v>8</v>
      </c>
    </row>
    <row r="1993" spans="1:15" ht="12.5">
      <c r="A1993" s="6">
        <v>1991</v>
      </c>
      <c r="B1993" s="6">
        <v>8212</v>
      </c>
      <c r="C1993" s="6">
        <v>1971</v>
      </c>
      <c r="D1993" s="7" t="s">
        <v>14</v>
      </c>
      <c r="E1993" s="7" t="s">
        <v>13</v>
      </c>
      <c r="F1993" s="6">
        <v>39791</v>
      </c>
      <c r="G1993" s="6">
        <v>0</v>
      </c>
      <c r="H1993" s="6">
        <v>1</v>
      </c>
      <c r="I1993" s="6">
        <f t="shared" si="31"/>
        <v>1</v>
      </c>
      <c r="J1993" s="8">
        <v>41361</v>
      </c>
      <c r="K1993" s="6">
        <v>89</v>
      </c>
      <c r="L1993">
        <f>VLOOKUP(A1993,Marketing_df2!$A$1:$F$2241,3,FALSE)</f>
        <v>15</v>
      </c>
      <c r="M1993">
        <f>VLOOKUP(A1993,Marketing_df2!$A$1:$F$2241,4,FALSE)</f>
        <v>13</v>
      </c>
      <c r="N1993">
        <f>VLOOKUP(A1993,Marketing_df2!$A$1:$F$2241,5,FALSE)</f>
        <v>3</v>
      </c>
      <c r="O1993">
        <f>VLOOKUP(A1993,Marketing_df2!$A$1:$F$2241,6,FALSE)</f>
        <v>4</v>
      </c>
    </row>
    <row r="1994" spans="1:15" ht="12.5">
      <c r="A1994" s="6">
        <v>1992</v>
      </c>
      <c r="B1994" s="6">
        <v>6248</v>
      </c>
      <c r="C1994" s="6">
        <v>1947</v>
      </c>
      <c r="D1994" s="7" t="s">
        <v>14</v>
      </c>
      <c r="E1994" s="7" t="s">
        <v>10</v>
      </c>
      <c r="F1994" s="6">
        <v>91712</v>
      </c>
      <c r="G1994" s="6">
        <v>0</v>
      </c>
      <c r="H1994" s="6">
        <v>0</v>
      </c>
      <c r="I1994" s="6">
        <f t="shared" si="31"/>
        <v>0</v>
      </c>
      <c r="J1994" s="9">
        <v>41564</v>
      </c>
      <c r="K1994" s="6">
        <v>47</v>
      </c>
      <c r="L1994">
        <f>VLOOKUP(A1994,Marketing_df2!$A$1:$F$2241,3,FALSE)</f>
        <v>24</v>
      </c>
      <c r="M1994">
        <f>VLOOKUP(A1994,Marketing_df2!$A$1:$F$2241,4,FALSE)</f>
        <v>29</v>
      </c>
      <c r="N1994">
        <f>VLOOKUP(A1994,Marketing_df2!$A$1:$F$2241,5,FALSE)</f>
        <v>9</v>
      </c>
      <c r="O1994">
        <f>VLOOKUP(A1994,Marketing_df2!$A$1:$F$2241,6,FALSE)</f>
        <v>11</v>
      </c>
    </row>
    <row r="1995" spans="1:15" ht="12.5">
      <c r="A1995" s="6">
        <v>1993</v>
      </c>
      <c r="B1995" s="6">
        <v>10164</v>
      </c>
      <c r="C1995" s="6">
        <v>1958</v>
      </c>
      <c r="D1995" s="7" t="s">
        <v>9</v>
      </c>
      <c r="E1995" s="7" t="s">
        <v>10</v>
      </c>
      <c r="F1995" s="6">
        <v>94472</v>
      </c>
      <c r="G1995" s="6">
        <v>0</v>
      </c>
      <c r="H1995" s="6">
        <v>1</v>
      </c>
      <c r="I1995" s="6">
        <f t="shared" si="31"/>
        <v>1</v>
      </c>
      <c r="J1995" s="8">
        <v>41732</v>
      </c>
      <c r="K1995" s="6">
        <v>75</v>
      </c>
      <c r="L1995">
        <f>VLOOKUP(A1995,Marketing_df2!$A$1:$F$2241,3,FALSE)</f>
        <v>33</v>
      </c>
      <c r="M1995">
        <f>VLOOKUP(A1995,Marketing_df2!$A$1:$F$2241,4,FALSE)</f>
        <v>100</v>
      </c>
      <c r="N1995">
        <f>VLOOKUP(A1995,Marketing_df2!$A$1:$F$2241,5,FALSE)</f>
        <v>5</v>
      </c>
      <c r="O1995">
        <f>VLOOKUP(A1995,Marketing_df2!$A$1:$F$2241,6,FALSE)</f>
        <v>5</v>
      </c>
    </row>
    <row r="1996" spans="1:15" ht="12.5">
      <c r="A1996" s="6">
        <v>1994</v>
      </c>
      <c r="B1996" s="6">
        <v>4547</v>
      </c>
      <c r="C1996" s="6">
        <v>1960</v>
      </c>
      <c r="D1996" s="7" t="s">
        <v>9</v>
      </c>
      <c r="E1996" s="7" t="s">
        <v>11</v>
      </c>
      <c r="F1996" s="6">
        <v>13672</v>
      </c>
      <c r="G1996" s="6">
        <v>1</v>
      </c>
      <c r="H1996" s="6">
        <v>1</v>
      </c>
      <c r="I1996" s="6">
        <f t="shared" si="31"/>
        <v>2</v>
      </c>
      <c r="J1996" s="8">
        <v>41381</v>
      </c>
      <c r="K1996" s="6">
        <v>86</v>
      </c>
      <c r="L1996">
        <f>VLOOKUP(A1996,Marketing_df2!$A$1:$F$2241,3,FALSE)</f>
        <v>2</v>
      </c>
      <c r="M1996">
        <f>VLOOKUP(A1996,Marketing_df2!$A$1:$F$2241,4,FALSE)</f>
        <v>1</v>
      </c>
      <c r="N1996">
        <f>VLOOKUP(A1996,Marketing_df2!$A$1:$F$2241,5,FALSE)</f>
        <v>1</v>
      </c>
      <c r="O1996">
        <f>VLOOKUP(A1996,Marketing_df2!$A$1:$F$2241,6,FALSE)</f>
        <v>3</v>
      </c>
    </row>
    <row r="1997" spans="1:15" ht="12.5">
      <c r="A1997" s="6">
        <v>1995</v>
      </c>
      <c r="B1997" s="6">
        <v>6815</v>
      </c>
      <c r="C1997" s="6">
        <v>1980</v>
      </c>
      <c r="D1997" s="7" t="s">
        <v>17</v>
      </c>
      <c r="E1997" s="7" t="s">
        <v>13</v>
      </c>
      <c r="F1997" s="6">
        <v>96547</v>
      </c>
      <c r="G1997" s="6">
        <v>0</v>
      </c>
      <c r="H1997" s="6">
        <v>0</v>
      </c>
      <c r="I1997" s="6">
        <f t="shared" si="31"/>
        <v>0</v>
      </c>
      <c r="J1997" s="8">
        <v>41782</v>
      </c>
      <c r="K1997" s="6">
        <v>4</v>
      </c>
      <c r="L1997">
        <f>VLOOKUP(A1997,Marketing_df2!$A$1:$F$2241,3,FALSE)</f>
        <v>21</v>
      </c>
      <c r="M1997">
        <f>VLOOKUP(A1997,Marketing_df2!$A$1:$F$2241,4,FALSE)</f>
        <v>101</v>
      </c>
      <c r="N1997">
        <f>VLOOKUP(A1997,Marketing_df2!$A$1:$F$2241,5,FALSE)</f>
        <v>7</v>
      </c>
      <c r="O1997">
        <f>VLOOKUP(A1997,Marketing_df2!$A$1:$F$2241,6,FALSE)</f>
        <v>8</v>
      </c>
    </row>
    <row r="1998" spans="1:15" ht="12.5">
      <c r="A1998" s="6">
        <v>1996</v>
      </c>
      <c r="B1998" s="6">
        <v>4122</v>
      </c>
      <c r="C1998" s="6">
        <v>1975</v>
      </c>
      <c r="D1998" s="7" t="s">
        <v>9</v>
      </c>
      <c r="E1998" s="7" t="s">
        <v>13</v>
      </c>
      <c r="F1998" s="6">
        <v>79205</v>
      </c>
      <c r="G1998" s="6">
        <v>0</v>
      </c>
      <c r="H1998" s="6">
        <v>0</v>
      </c>
      <c r="I1998" s="6">
        <f t="shared" si="31"/>
        <v>0</v>
      </c>
      <c r="J1998" s="8">
        <v>41150</v>
      </c>
      <c r="K1998" s="6">
        <v>73</v>
      </c>
      <c r="L1998">
        <f>VLOOKUP(A1998,Marketing_df2!$A$1:$F$2241,3,FALSE)</f>
        <v>23</v>
      </c>
      <c r="M1998">
        <f>VLOOKUP(A1998,Marketing_df2!$A$1:$F$2241,4,FALSE)</f>
        <v>28</v>
      </c>
      <c r="N1998">
        <f>VLOOKUP(A1998,Marketing_df2!$A$1:$F$2241,5,FALSE)</f>
        <v>6</v>
      </c>
      <c r="O1998">
        <f>VLOOKUP(A1998,Marketing_df2!$A$1:$F$2241,6,FALSE)</f>
        <v>4</v>
      </c>
    </row>
    <row r="1999" spans="1:15" ht="12.5">
      <c r="A1999" s="6">
        <v>1997</v>
      </c>
      <c r="B1999" s="6">
        <v>10841</v>
      </c>
      <c r="C1999" s="6">
        <v>1975</v>
      </c>
      <c r="D1999" s="7" t="s">
        <v>12</v>
      </c>
      <c r="E1999" s="7" t="s">
        <v>11</v>
      </c>
      <c r="F1999" s="6">
        <v>56559</v>
      </c>
      <c r="G1999" s="6">
        <v>0</v>
      </c>
      <c r="H1999" s="6">
        <v>1</v>
      </c>
      <c r="I1999" s="6">
        <f t="shared" si="31"/>
        <v>1</v>
      </c>
      <c r="J1999" s="9">
        <v>41268</v>
      </c>
      <c r="K1999" s="6">
        <v>46</v>
      </c>
      <c r="L1999">
        <f>VLOOKUP(A1999,Marketing_df2!$A$1:$F$2241,3,FALSE)</f>
        <v>22</v>
      </c>
      <c r="M1999">
        <f>VLOOKUP(A1999,Marketing_df2!$A$1:$F$2241,4,FALSE)</f>
        <v>31</v>
      </c>
      <c r="N1999">
        <f>VLOOKUP(A1999,Marketing_df2!$A$1:$F$2241,5,FALSE)</f>
        <v>4</v>
      </c>
      <c r="O1999">
        <f>VLOOKUP(A1999,Marketing_df2!$A$1:$F$2241,6,FALSE)</f>
        <v>8</v>
      </c>
    </row>
    <row r="2000" spans="1:15" ht="12.5">
      <c r="A2000" s="6">
        <v>1998</v>
      </c>
      <c r="B2000" s="6">
        <v>5370</v>
      </c>
      <c r="C2000" s="6">
        <v>1973</v>
      </c>
      <c r="D2000" s="7" t="s">
        <v>12</v>
      </c>
      <c r="E2000" s="7" t="s">
        <v>13</v>
      </c>
      <c r="F2000" s="6">
        <v>32644</v>
      </c>
      <c r="G2000" s="6">
        <v>1</v>
      </c>
      <c r="H2000" s="6">
        <v>0</v>
      </c>
      <c r="I2000" s="6">
        <f t="shared" si="31"/>
        <v>1</v>
      </c>
      <c r="J2000" s="8">
        <v>41290</v>
      </c>
      <c r="K2000" s="6">
        <v>38</v>
      </c>
      <c r="L2000">
        <f>VLOOKUP(A2000,Marketing_df2!$A$1:$F$2241,3,FALSE)</f>
        <v>3</v>
      </c>
      <c r="M2000">
        <f>VLOOKUP(A2000,Marketing_df2!$A$1:$F$2241,4,FALSE)</f>
        <v>7</v>
      </c>
      <c r="N2000">
        <f>VLOOKUP(A2000,Marketing_df2!$A$1:$F$2241,5,FALSE)</f>
        <v>7</v>
      </c>
      <c r="O2000">
        <f>VLOOKUP(A2000,Marketing_df2!$A$1:$F$2241,6,FALSE)</f>
        <v>6</v>
      </c>
    </row>
    <row r="2001" spans="1:15" ht="12.5">
      <c r="A2001" s="6">
        <v>1999</v>
      </c>
      <c r="B2001" s="6">
        <v>176</v>
      </c>
      <c r="C2001" s="6">
        <v>1980</v>
      </c>
      <c r="D2001" s="7" t="s">
        <v>17</v>
      </c>
      <c r="E2001" s="7" t="s">
        <v>10</v>
      </c>
      <c r="F2001" s="6">
        <v>67506</v>
      </c>
      <c r="G2001" s="6">
        <v>0</v>
      </c>
      <c r="H2001" s="6">
        <v>1</v>
      </c>
      <c r="I2001" s="6">
        <f t="shared" si="31"/>
        <v>1</v>
      </c>
      <c r="J2001" s="8">
        <v>41641</v>
      </c>
      <c r="K2001" s="6">
        <v>73</v>
      </c>
      <c r="L2001">
        <f>VLOOKUP(A2001,Marketing_df2!$A$1:$F$2241,3,FALSE)</f>
        <v>38</v>
      </c>
      <c r="M2001">
        <f>VLOOKUP(A2001,Marketing_df2!$A$1:$F$2241,4,FALSE)</f>
        <v>36</v>
      </c>
      <c r="N2001">
        <f>VLOOKUP(A2001,Marketing_df2!$A$1:$F$2241,5,FALSE)</f>
        <v>4</v>
      </c>
      <c r="O2001">
        <f>VLOOKUP(A2001,Marketing_df2!$A$1:$F$2241,6,FALSE)</f>
        <v>6</v>
      </c>
    </row>
    <row r="2002" spans="1:15" ht="12.5">
      <c r="A2002" s="6">
        <v>2000</v>
      </c>
      <c r="B2002" s="6">
        <v>4860</v>
      </c>
      <c r="C2002" s="6">
        <v>1970</v>
      </c>
      <c r="D2002" s="7" t="s">
        <v>9</v>
      </c>
      <c r="E2002" s="7" t="s">
        <v>10</v>
      </c>
      <c r="F2002" s="6">
        <v>24206</v>
      </c>
      <c r="G2002" s="6">
        <v>1</v>
      </c>
      <c r="H2002" s="6">
        <v>0</v>
      </c>
      <c r="I2002" s="6">
        <f t="shared" si="31"/>
        <v>1</v>
      </c>
      <c r="J2002" s="8">
        <v>41341</v>
      </c>
      <c r="K2002" s="6">
        <v>66</v>
      </c>
      <c r="L2002">
        <f>VLOOKUP(A2002,Marketing_df2!$A$1:$F$2241,3,FALSE)</f>
        <v>2</v>
      </c>
      <c r="M2002">
        <f>VLOOKUP(A2002,Marketing_df2!$A$1:$F$2241,4,FALSE)</f>
        <v>2</v>
      </c>
      <c r="N2002">
        <f>VLOOKUP(A2002,Marketing_df2!$A$1:$F$2241,5,FALSE)</f>
        <v>1</v>
      </c>
      <c r="O2002">
        <f>VLOOKUP(A2002,Marketing_df2!$A$1:$F$2241,6,FALSE)</f>
        <v>3</v>
      </c>
    </row>
    <row r="2003" spans="1:15" ht="12.5">
      <c r="A2003" s="6">
        <v>2001</v>
      </c>
      <c r="B2003" s="6">
        <v>10757</v>
      </c>
      <c r="C2003" s="6">
        <v>1967</v>
      </c>
      <c r="D2003" s="7" t="s">
        <v>12</v>
      </c>
      <c r="E2003" s="7" t="s">
        <v>15</v>
      </c>
      <c r="F2003" s="6">
        <v>28420</v>
      </c>
      <c r="G2003" s="6">
        <v>1</v>
      </c>
      <c r="H2003" s="6">
        <v>0</v>
      </c>
      <c r="I2003" s="6">
        <f t="shared" si="31"/>
        <v>1</v>
      </c>
      <c r="J2003" s="9">
        <v>41632</v>
      </c>
      <c r="K2003" s="6">
        <v>36</v>
      </c>
      <c r="L2003">
        <f>VLOOKUP(A2003,Marketing_df2!$A$1:$F$2241,3,FALSE)</f>
        <v>2</v>
      </c>
      <c r="M2003">
        <f>VLOOKUP(A2003,Marketing_df2!$A$1:$F$2241,4,FALSE)</f>
        <v>0</v>
      </c>
      <c r="N2003">
        <f>VLOOKUP(A2003,Marketing_df2!$A$1:$F$2241,5,FALSE)</f>
        <v>1</v>
      </c>
      <c r="O2003">
        <f>VLOOKUP(A2003,Marketing_df2!$A$1:$F$2241,6,FALSE)</f>
        <v>2</v>
      </c>
    </row>
    <row r="2004" spans="1:15" ht="12.5">
      <c r="A2004" s="6">
        <v>2002</v>
      </c>
      <c r="B2004" s="6">
        <v>4023</v>
      </c>
      <c r="C2004" s="6">
        <v>1970</v>
      </c>
      <c r="D2004" s="7" t="s">
        <v>9</v>
      </c>
      <c r="E2004" s="7" t="s">
        <v>13</v>
      </c>
      <c r="F2004" s="6">
        <v>22979</v>
      </c>
      <c r="G2004" s="6">
        <v>1</v>
      </c>
      <c r="H2004" s="6">
        <v>0</v>
      </c>
      <c r="I2004" s="6">
        <f t="shared" si="31"/>
        <v>1</v>
      </c>
      <c r="J2004" s="8">
        <v>41158</v>
      </c>
      <c r="K2004" s="6">
        <v>29</v>
      </c>
      <c r="L2004">
        <f>VLOOKUP(A2004,Marketing_df2!$A$1:$F$2241,3,FALSE)</f>
        <v>17</v>
      </c>
      <c r="M2004">
        <f>VLOOKUP(A2004,Marketing_df2!$A$1:$F$2241,4,FALSE)</f>
        <v>21</v>
      </c>
      <c r="N2004">
        <f>VLOOKUP(A2004,Marketing_df2!$A$1:$F$2241,5,FALSE)</f>
        <v>3</v>
      </c>
      <c r="O2004">
        <f>VLOOKUP(A2004,Marketing_df2!$A$1:$F$2241,6,FALSE)</f>
        <v>2</v>
      </c>
    </row>
    <row r="2005" spans="1:15" ht="12.5">
      <c r="A2005" s="6">
        <v>2003</v>
      </c>
      <c r="B2005" s="6">
        <v>6679</v>
      </c>
      <c r="C2005" s="6">
        <v>1966</v>
      </c>
      <c r="D2005" s="7" t="s">
        <v>9</v>
      </c>
      <c r="E2005" s="7" t="s">
        <v>10</v>
      </c>
      <c r="F2005" s="6">
        <v>33279</v>
      </c>
      <c r="G2005" s="6">
        <v>0</v>
      </c>
      <c r="H2005" s="6">
        <v>0</v>
      </c>
      <c r="I2005" s="6">
        <f t="shared" si="31"/>
        <v>0</v>
      </c>
      <c r="J2005" s="8">
        <v>41802</v>
      </c>
      <c r="K2005" s="6">
        <v>29</v>
      </c>
      <c r="L2005">
        <f>VLOOKUP(A2005,Marketing_df2!$A$1:$F$2241,3,FALSE)</f>
        <v>3</v>
      </c>
      <c r="M2005">
        <f>VLOOKUP(A2005,Marketing_df2!$A$1:$F$2241,4,FALSE)</f>
        <v>0</v>
      </c>
      <c r="N2005">
        <f>VLOOKUP(A2005,Marketing_df2!$A$1:$F$2241,5,FALSE)</f>
        <v>0</v>
      </c>
      <c r="O2005">
        <f>VLOOKUP(A2005,Marketing_df2!$A$1:$F$2241,6,FALSE)</f>
        <v>3</v>
      </c>
    </row>
    <row r="2006" spans="1:15" ht="12.5">
      <c r="A2006" s="6">
        <v>2004</v>
      </c>
      <c r="B2006" s="6">
        <v>9923</v>
      </c>
      <c r="C2006" s="6">
        <v>1972</v>
      </c>
      <c r="D2006" s="7" t="s">
        <v>14</v>
      </c>
      <c r="E2006" s="7" t="s">
        <v>10</v>
      </c>
      <c r="F2006" s="6">
        <v>46423</v>
      </c>
      <c r="G2006" s="6">
        <v>1</v>
      </c>
      <c r="H2006" s="6">
        <v>1</v>
      </c>
      <c r="I2006" s="6">
        <f t="shared" si="31"/>
        <v>2</v>
      </c>
      <c r="J2006" s="8">
        <v>41535</v>
      </c>
      <c r="K2006" s="6">
        <v>6</v>
      </c>
      <c r="L2006">
        <f>VLOOKUP(A2006,Marketing_df2!$A$1:$F$2241,3,FALSE)</f>
        <v>0</v>
      </c>
      <c r="M2006">
        <f>VLOOKUP(A2006,Marketing_df2!$A$1:$F$2241,4,FALSE)</f>
        <v>0</v>
      </c>
      <c r="N2006">
        <f>VLOOKUP(A2006,Marketing_df2!$A$1:$F$2241,5,FALSE)</f>
        <v>2</v>
      </c>
      <c r="O2006">
        <f>VLOOKUP(A2006,Marketing_df2!$A$1:$F$2241,6,FALSE)</f>
        <v>4</v>
      </c>
    </row>
    <row r="2007" spans="1:15" ht="12.5">
      <c r="A2007" s="6">
        <v>2005</v>
      </c>
      <c r="B2007" s="6">
        <v>7181</v>
      </c>
      <c r="C2007" s="6">
        <v>1977</v>
      </c>
      <c r="D2007" s="7" t="s">
        <v>9</v>
      </c>
      <c r="E2007" s="7" t="s">
        <v>13</v>
      </c>
      <c r="F2007" s="6">
        <v>30368</v>
      </c>
      <c r="G2007" s="6">
        <v>0</v>
      </c>
      <c r="H2007" s="6">
        <v>1</v>
      </c>
      <c r="I2007" s="6">
        <f t="shared" si="31"/>
        <v>1</v>
      </c>
      <c r="J2007" s="8">
        <v>41585</v>
      </c>
      <c r="K2007" s="6">
        <v>97</v>
      </c>
      <c r="L2007">
        <f>VLOOKUP(A2007,Marketing_df2!$A$1:$F$2241,3,FALSE)</f>
        <v>0</v>
      </c>
      <c r="M2007">
        <f>VLOOKUP(A2007,Marketing_df2!$A$1:$F$2241,4,FALSE)</f>
        <v>0</v>
      </c>
      <c r="N2007">
        <f>VLOOKUP(A2007,Marketing_df2!$A$1:$F$2241,5,FALSE)</f>
        <v>2</v>
      </c>
      <c r="O2007">
        <f>VLOOKUP(A2007,Marketing_df2!$A$1:$F$2241,6,FALSE)</f>
        <v>3</v>
      </c>
    </row>
    <row r="2008" spans="1:15" ht="12.5">
      <c r="A2008" s="6">
        <v>2006</v>
      </c>
      <c r="B2008" s="6">
        <v>3599</v>
      </c>
      <c r="C2008" s="6">
        <v>1970</v>
      </c>
      <c r="D2008" s="7" t="s">
        <v>9</v>
      </c>
      <c r="E2008" s="7" t="s">
        <v>13</v>
      </c>
      <c r="F2008" s="6">
        <v>63684</v>
      </c>
      <c r="G2008" s="6">
        <v>0</v>
      </c>
      <c r="H2008" s="6">
        <v>1</v>
      </c>
      <c r="I2008" s="6">
        <f t="shared" si="31"/>
        <v>1</v>
      </c>
      <c r="J2008" s="9">
        <v>41239</v>
      </c>
      <c r="K2008" s="6">
        <v>61</v>
      </c>
      <c r="L2008">
        <f>VLOOKUP(A2008,Marketing_df2!$A$1:$F$2241,3,FALSE)</f>
        <v>80</v>
      </c>
      <c r="M2008">
        <f>VLOOKUP(A2008,Marketing_df2!$A$1:$F$2241,4,FALSE)</f>
        <v>93</v>
      </c>
      <c r="N2008">
        <f>VLOOKUP(A2008,Marketing_df2!$A$1:$F$2241,5,FALSE)</f>
        <v>8</v>
      </c>
      <c r="O2008">
        <f>VLOOKUP(A2008,Marketing_df2!$A$1:$F$2241,6,FALSE)</f>
        <v>8</v>
      </c>
    </row>
    <row r="2009" spans="1:15" ht="12.5">
      <c r="A2009" s="6">
        <v>2007</v>
      </c>
      <c r="B2009" s="6">
        <v>405</v>
      </c>
      <c r="C2009" s="6">
        <v>1964</v>
      </c>
      <c r="D2009" s="7" t="s">
        <v>9</v>
      </c>
      <c r="E2009" s="7" t="s">
        <v>15</v>
      </c>
      <c r="F2009" s="6">
        <v>41638</v>
      </c>
      <c r="G2009" s="6">
        <v>0</v>
      </c>
      <c r="H2009" s="6">
        <v>1</v>
      </c>
      <c r="I2009" s="6">
        <f t="shared" si="31"/>
        <v>1</v>
      </c>
      <c r="J2009" s="8">
        <v>41318</v>
      </c>
      <c r="K2009" s="6">
        <v>68</v>
      </c>
      <c r="L2009">
        <f>VLOOKUP(A2009,Marketing_df2!$A$1:$F$2241,3,FALSE)</f>
        <v>0</v>
      </c>
      <c r="M2009">
        <f>VLOOKUP(A2009,Marketing_df2!$A$1:$F$2241,4,FALSE)</f>
        <v>0</v>
      </c>
      <c r="N2009">
        <f>VLOOKUP(A2009,Marketing_df2!$A$1:$F$2241,5,FALSE)</f>
        <v>5</v>
      </c>
      <c r="O2009">
        <f>VLOOKUP(A2009,Marketing_df2!$A$1:$F$2241,6,FALSE)</f>
        <v>3</v>
      </c>
    </row>
    <row r="2010" spans="1:15" ht="12.5">
      <c r="A2010" s="6">
        <v>2008</v>
      </c>
      <c r="B2010" s="6">
        <v>6870</v>
      </c>
      <c r="C2010" s="6">
        <v>1959</v>
      </c>
      <c r="D2010" s="7" t="s">
        <v>12</v>
      </c>
      <c r="E2010" s="7" t="s">
        <v>15</v>
      </c>
      <c r="F2010" s="6">
        <v>68805</v>
      </c>
      <c r="G2010" s="6">
        <v>0</v>
      </c>
      <c r="H2010" s="6">
        <v>1</v>
      </c>
      <c r="I2010" s="6">
        <f t="shared" si="31"/>
        <v>1</v>
      </c>
      <c r="J2010" s="8">
        <v>41534</v>
      </c>
      <c r="K2010" s="6">
        <v>73</v>
      </c>
      <c r="L2010">
        <f>VLOOKUP(A2010,Marketing_df2!$A$1:$F$2241,3,FALSE)</f>
        <v>2</v>
      </c>
      <c r="M2010">
        <f>VLOOKUP(A2010,Marketing_df2!$A$1:$F$2241,4,FALSE)</f>
        <v>13</v>
      </c>
      <c r="N2010">
        <f>VLOOKUP(A2010,Marketing_df2!$A$1:$F$2241,5,FALSE)</f>
        <v>3</v>
      </c>
      <c r="O2010">
        <f>VLOOKUP(A2010,Marketing_df2!$A$1:$F$2241,6,FALSE)</f>
        <v>7</v>
      </c>
    </row>
    <row r="2011" spans="1:15" ht="12.5">
      <c r="A2011" s="6">
        <v>2009</v>
      </c>
      <c r="B2011" s="6">
        <v>832</v>
      </c>
      <c r="C2011" s="6">
        <v>1966</v>
      </c>
      <c r="D2011" s="7" t="s">
        <v>12</v>
      </c>
      <c r="E2011" s="7" t="s">
        <v>11</v>
      </c>
      <c r="F2011" s="6">
        <v>65814</v>
      </c>
      <c r="G2011" s="6">
        <v>0</v>
      </c>
      <c r="H2011" s="6">
        <v>1</v>
      </c>
      <c r="I2011" s="6">
        <f t="shared" si="31"/>
        <v>1</v>
      </c>
      <c r="J2011" s="8">
        <v>41700</v>
      </c>
      <c r="K2011" s="6">
        <v>90</v>
      </c>
      <c r="L2011">
        <f>VLOOKUP(A2011,Marketing_df2!$A$1:$F$2241,3,FALSE)</f>
        <v>14</v>
      </c>
      <c r="M2011">
        <f>VLOOKUP(A2011,Marketing_df2!$A$1:$F$2241,4,FALSE)</f>
        <v>14</v>
      </c>
      <c r="N2011">
        <f>VLOOKUP(A2011,Marketing_df2!$A$1:$F$2241,5,FALSE)</f>
        <v>8</v>
      </c>
      <c r="O2011">
        <f>VLOOKUP(A2011,Marketing_df2!$A$1:$F$2241,6,FALSE)</f>
        <v>10</v>
      </c>
    </row>
    <row r="2012" spans="1:15" ht="12.5">
      <c r="A2012" s="6">
        <v>2010</v>
      </c>
      <c r="B2012" s="6">
        <v>2002</v>
      </c>
      <c r="C2012" s="6">
        <v>1958</v>
      </c>
      <c r="D2012" s="7" t="s">
        <v>9</v>
      </c>
      <c r="E2012" s="7" t="s">
        <v>15</v>
      </c>
      <c r="F2012" s="6">
        <v>71964</v>
      </c>
      <c r="G2012" s="6">
        <v>0</v>
      </c>
      <c r="H2012" s="6">
        <v>0</v>
      </c>
      <c r="I2012" s="6">
        <f t="shared" si="31"/>
        <v>0</v>
      </c>
      <c r="J2012" s="8">
        <v>41414</v>
      </c>
      <c r="K2012" s="6">
        <v>81</v>
      </c>
      <c r="L2012">
        <f>VLOOKUP(A2012,Marketing_df2!$A$1:$F$2241,3,FALSE)</f>
        <v>51</v>
      </c>
      <c r="M2012">
        <f>VLOOKUP(A2012,Marketing_df2!$A$1:$F$2241,4,FALSE)</f>
        <v>34</v>
      </c>
      <c r="N2012">
        <f>VLOOKUP(A2012,Marketing_df2!$A$1:$F$2241,5,FALSE)</f>
        <v>5</v>
      </c>
      <c r="O2012">
        <f>VLOOKUP(A2012,Marketing_df2!$A$1:$F$2241,6,FALSE)</f>
        <v>5</v>
      </c>
    </row>
    <row r="2013" spans="1:15" ht="12.5">
      <c r="A2013" s="6">
        <v>2011</v>
      </c>
      <c r="B2013" s="6">
        <v>3657</v>
      </c>
      <c r="C2013" s="6">
        <v>1986</v>
      </c>
      <c r="D2013" s="7" t="s">
        <v>9</v>
      </c>
      <c r="E2013" s="7" t="s">
        <v>10</v>
      </c>
      <c r="F2013" s="6">
        <v>39146</v>
      </c>
      <c r="G2013" s="6">
        <v>1</v>
      </c>
      <c r="H2013" s="6">
        <v>0</v>
      </c>
      <c r="I2013" s="6">
        <f t="shared" si="31"/>
        <v>1</v>
      </c>
      <c r="J2013" s="8">
        <v>41319</v>
      </c>
      <c r="K2013" s="6">
        <v>1</v>
      </c>
      <c r="L2013">
        <f>VLOOKUP(A2013,Marketing_df2!$A$1:$F$2241,3,FALSE)</f>
        <v>1</v>
      </c>
      <c r="M2013">
        <f>VLOOKUP(A2013,Marketing_df2!$A$1:$F$2241,4,FALSE)</f>
        <v>12</v>
      </c>
      <c r="N2013">
        <f>VLOOKUP(A2013,Marketing_df2!$A$1:$F$2241,5,FALSE)</f>
        <v>4</v>
      </c>
      <c r="O2013">
        <f>VLOOKUP(A2013,Marketing_df2!$A$1:$F$2241,6,FALSE)</f>
        <v>4</v>
      </c>
    </row>
    <row r="2014" spans="1:15" ht="12.5">
      <c r="A2014" s="6">
        <v>2012</v>
      </c>
      <c r="B2014" s="6">
        <v>500</v>
      </c>
      <c r="C2014" s="6">
        <v>1977</v>
      </c>
      <c r="D2014" s="7" t="s">
        <v>9</v>
      </c>
      <c r="E2014" s="7" t="s">
        <v>11</v>
      </c>
      <c r="F2014" s="6">
        <v>96876</v>
      </c>
      <c r="G2014" s="6">
        <v>0</v>
      </c>
      <c r="H2014" s="6">
        <v>0</v>
      </c>
      <c r="I2014" s="6">
        <f t="shared" si="31"/>
        <v>0</v>
      </c>
      <c r="J2014" s="8">
        <v>41492</v>
      </c>
      <c r="K2014" s="6">
        <v>79</v>
      </c>
      <c r="L2014">
        <f>VLOOKUP(A2014,Marketing_df2!$A$1:$F$2241,3,FALSE)</f>
        <v>43</v>
      </c>
      <c r="M2014">
        <f>VLOOKUP(A2014,Marketing_df2!$A$1:$F$2241,4,FALSE)</f>
        <v>194</v>
      </c>
      <c r="N2014">
        <f>VLOOKUP(A2014,Marketing_df2!$A$1:$F$2241,5,FALSE)</f>
        <v>7</v>
      </c>
      <c r="O2014">
        <f>VLOOKUP(A2014,Marketing_df2!$A$1:$F$2241,6,FALSE)</f>
        <v>9</v>
      </c>
    </row>
    <row r="2015" spans="1:15" ht="12.5">
      <c r="A2015" s="6">
        <v>2013</v>
      </c>
      <c r="B2015" s="6">
        <v>1951</v>
      </c>
      <c r="C2015" s="6">
        <v>1981</v>
      </c>
      <c r="D2015" s="7" t="s">
        <v>16</v>
      </c>
      <c r="E2015" s="7" t="s">
        <v>13</v>
      </c>
      <c r="F2015" s="6">
        <v>34445</v>
      </c>
      <c r="G2015" s="6">
        <v>0</v>
      </c>
      <c r="H2015" s="6">
        <v>0</v>
      </c>
      <c r="I2015" s="6">
        <f t="shared" si="31"/>
        <v>0</v>
      </c>
      <c r="J2015" s="8">
        <v>41301</v>
      </c>
      <c r="K2015" s="6">
        <v>92</v>
      </c>
      <c r="L2015">
        <f>VLOOKUP(A2015,Marketing_df2!$A$1:$F$2241,3,FALSE)</f>
        <v>122</v>
      </c>
      <c r="M2015">
        <f>VLOOKUP(A2015,Marketing_df2!$A$1:$F$2241,4,FALSE)</f>
        <v>129</v>
      </c>
      <c r="N2015">
        <f>VLOOKUP(A2015,Marketing_df2!$A$1:$F$2241,5,FALSE)</f>
        <v>11</v>
      </c>
      <c r="O2015">
        <f>VLOOKUP(A2015,Marketing_df2!$A$1:$F$2241,6,FALSE)</f>
        <v>8</v>
      </c>
    </row>
    <row r="2016" spans="1:15" ht="12.5">
      <c r="A2016" s="6">
        <v>2014</v>
      </c>
      <c r="B2016" s="6">
        <v>3262</v>
      </c>
      <c r="C2016" s="6">
        <v>1958</v>
      </c>
      <c r="D2016" s="7" t="s">
        <v>9</v>
      </c>
      <c r="E2016" s="7" t="s">
        <v>10</v>
      </c>
      <c r="F2016" s="6">
        <v>68281</v>
      </c>
      <c r="G2016" s="6">
        <v>0</v>
      </c>
      <c r="H2016" s="6">
        <v>0</v>
      </c>
      <c r="I2016" s="6">
        <f t="shared" si="31"/>
        <v>0</v>
      </c>
      <c r="J2016" s="8">
        <v>41128</v>
      </c>
      <c r="K2016" s="6">
        <v>31</v>
      </c>
      <c r="L2016">
        <f>VLOOKUP(A2016,Marketing_df2!$A$1:$F$2241,3,FALSE)</f>
        <v>112</v>
      </c>
      <c r="M2016">
        <f>VLOOKUP(A2016,Marketing_df2!$A$1:$F$2241,4,FALSE)</f>
        <v>48</v>
      </c>
      <c r="N2016">
        <f>VLOOKUP(A2016,Marketing_df2!$A$1:$F$2241,5,FALSE)</f>
        <v>2</v>
      </c>
      <c r="O2016">
        <f>VLOOKUP(A2016,Marketing_df2!$A$1:$F$2241,6,FALSE)</f>
        <v>13</v>
      </c>
    </row>
    <row r="2017" spans="1:15" ht="12.5">
      <c r="A2017" s="6">
        <v>2015</v>
      </c>
      <c r="B2017" s="6">
        <v>4102</v>
      </c>
      <c r="C2017" s="6">
        <v>1975</v>
      </c>
      <c r="D2017" s="7" t="s">
        <v>17</v>
      </c>
      <c r="E2017" s="7" t="s">
        <v>13</v>
      </c>
      <c r="F2017" s="6">
        <v>37284</v>
      </c>
      <c r="G2017" s="6">
        <v>1</v>
      </c>
      <c r="H2017" s="6">
        <v>1</v>
      </c>
      <c r="I2017" s="6">
        <f t="shared" si="31"/>
        <v>2</v>
      </c>
      <c r="J2017" s="8">
        <v>41362</v>
      </c>
      <c r="K2017" s="6">
        <v>46</v>
      </c>
      <c r="L2017">
        <f>VLOOKUP(A2017,Marketing_df2!$A$1:$F$2241,3,FALSE)</f>
        <v>1</v>
      </c>
      <c r="M2017">
        <f>VLOOKUP(A2017,Marketing_df2!$A$1:$F$2241,4,FALSE)</f>
        <v>1</v>
      </c>
      <c r="N2017">
        <f>VLOOKUP(A2017,Marketing_df2!$A$1:$F$2241,5,FALSE)</f>
        <v>0</v>
      </c>
      <c r="O2017">
        <f>VLOOKUP(A2017,Marketing_df2!$A$1:$F$2241,6,FALSE)</f>
        <v>3</v>
      </c>
    </row>
    <row r="2018" spans="1:15" ht="12.5">
      <c r="A2018" s="6">
        <v>2016</v>
      </c>
      <c r="B2018" s="6">
        <v>7042</v>
      </c>
      <c r="C2018" s="6">
        <v>1983</v>
      </c>
      <c r="D2018" s="7" t="s">
        <v>9</v>
      </c>
      <c r="E2018" s="7" t="s">
        <v>13</v>
      </c>
      <c r="F2018" s="6">
        <v>36790</v>
      </c>
      <c r="G2018" s="6">
        <v>0</v>
      </c>
      <c r="H2018" s="6">
        <v>0</v>
      </c>
      <c r="I2018" s="6">
        <f t="shared" si="31"/>
        <v>0</v>
      </c>
      <c r="J2018" s="8">
        <v>41334</v>
      </c>
      <c r="K2018" s="6">
        <v>14</v>
      </c>
      <c r="L2018">
        <f>VLOOKUP(A2018,Marketing_df2!$A$1:$F$2241,3,FALSE)</f>
        <v>3</v>
      </c>
      <c r="M2018">
        <f>VLOOKUP(A2018,Marketing_df2!$A$1:$F$2241,4,FALSE)</f>
        <v>21</v>
      </c>
      <c r="N2018">
        <f>VLOOKUP(A2018,Marketing_df2!$A$1:$F$2241,5,FALSE)</f>
        <v>2</v>
      </c>
      <c r="O2018">
        <f>VLOOKUP(A2018,Marketing_df2!$A$1:$F$2241,6,FALSE)</f>
        <v>2</v>
      </c>
    </row>
    <row r="2019" spans="1:15" ht="12.5">
      <c r="A2019" s="6">
        <v>2017</v>
      </c>
      <c r="B2019" s="6">
        <v>10598</v>
      </c>
      <c r="C2019" s="6">
        <v>1967</v>
      </c>
      <c r="D2019" s="7" t="s">
        <v>9</v>
      </c>
      <c r="E2019" s="7" t="s">
        <v>11</v>
      </c>
      <c r="F2019" s="6">
        <v>27943</v>
      </c>
      <c r="G2019" s="6">
        <v>1</v>
      </c>
      <c r="H2019" s="6">
        <v>1</v>
      </c>
      <c r="I2019" s="6">
        <f t="shared" si="31"/>
        <v>2</v>
      </c>
      <c r="J2019" s="8">
        <v>41379</v>
      </c>
      <c r="K2019" s="6">
        <v>89</v>
      </c>
      <c r="L2019">
        <f>VLOOKUP(A2019,Marketing_df2!$A$1:$F$2241,3,FALSE)</f>
        <v>1</v>
      </c>
      <c r="M2019">
        <f>VLOOKUP(A2019,Marketing_df2!$A$1:$F$2241,4,FALSE)</f>
        <v>1</v>
      </c>
      <c r="N2019">
        <f>VLOOKUP(A2019,Marketing_df2!$A$1:$F$2241,5,FALSE)</f>
        <v>2</v>
      </c>
      <c r="O2019">
        <f>VLOOKUP(A2019,Marketing_df2!$A$1:$F$2241,6,FALSE)</f>
        <v>3</v>
      </c>
    </row>
    <row r="2020" spans="1:15" ht="12.5">
      <c r="A2020" s="6">
        <v>2018</v>
      </c>
      <c r="B2020" s="6">
        <v>255</v>
      </c>
      <c r="C2020" s="6">
        <v>1951</v>
      </c>
      <c r="D2020" s="7" t="s">
        <v>9</v>
      </c>
      <c r="E2020" s="7" t="s">
        <v>15</v>
      </c>
      <c r="F2020" s="6">
        <v>22263</v>
      </c>
      <c r="G2020" s="6">
        <v>1</v>
      </c>
      <c r="H2020" s="6">
        <v>1</v>
      </c>
      <c r="I2020" s="6">
        <f t="shared" si="31"/>
        <v>2</v>
      </c>
      <c r="J2020" s="8">
        <v>41728</v>
      </c>
      <c r="K2020" s="6">
        <v>31</v>
      </c>
      <c r="L2020">
        <f>VLOOKUP(A2020,Marketing_df2!$A$1:$F$2241,3,FALSE)</f>
        <v>0</v>
      </c>
      <c r="M2020">
        <f>VLOOKUP(A2020,Marketing_df2!$A$1:$F$2241,4,FALSE)</f>
        <v>0</v>
      </c>
      <c r="N2020">
        <f>VLOOKUP(A2020,Marketing_df2!$A$1:$F$2241,5,FALSE)</f>
        <v>1</v>
      </c>
      <c r="O2020">
        <f>VLOOKUP(A2020,Marketing_df2!$A$1:$F$2241,6,FALSE)</f>
        <v>3</v>
      </c>
    </row>
    <row r="2021" spans="1:15" ht="12.5">
      <c r="A2021" s="6">
        <v>2019</v>
      </c>
      <c r="B2021" s="6">
        <v>2375</v>
      </c>
      <c r="C2021" s="6">
        <v>1972</v>
      </c>
      <c r="D2021" s="7" t="s">
        <v>9</v>
      </c>
      <c r="E2021" s="7" t="s">
        <v>11</v>
      </c>
      <c r="F2021" s="6">
        <v>30261</v>
      </c>
      <c r="G2021" s="6">
        <v>1</v>
      </c>
      <c r="H2021" s="6">
        <v>2</v>
      </c>
      <c r="I2021" s="6">
        <f t="shared" si="31"/>
        <v>3</v>
      </c>
      <c r="J2021" s="8">
        <v>41177</v>
      </c>
      <c r="K2021" s="6">
        <v>75</v>
      </c>
      <c r="L2021">
        <f>VLOOKUP(A2021,Marketing_df2!$A$1:$F$2241,3,FALSE)</f>
        <v>0</v>
      </c>
      <c r="M2021">
        <f>VLOOKUP(A2021,Marketing_df2!$A$1:$F$2241,4,FALSE)</f>
        <v>3</v>
      </c>
      <c r="N2021">
        <f>VLOOKUP(A2021,Marketing_df2!$A$1:$F$2241,5,FALSE)</f>
        <v>0</v>
      </c>
      <c r="O2021">
        <f>VLOOKUP(A2021,Marketing_df2!$A$1:$F$2241,6,FALSE)</f>
        <v>3</v>
      </c>
    </row>
    <row r="2022" spans="1:15" ht="12.5">
      <c r="A2022" s="6">
        <v>2020</v>
      </c>
      <c r="B2022" s="6">
        <v>9829</v>
      </c>
      <c r="C2022" s="6">
        <v>1978</v>
      </c>
      <c r="D2022" s="7" t="s">
        <v>9</v>
      </c>
      <c r="E2022" s="7" t="s">
        <v>11</v>
      </c>
      <c r="F2022" s="6">
        <v>28587</v>
      </c>
      <c r="G2022" s="6">
        <v>1</v>
      </c>
      <c r="H2022" s="6">
        <v>0</v>
      </c>
      <c r="I2022" s="6">
        <f t="shared" si="31"/>
        <v>1</v>
      </c>
      <c r="J2022" s="8">
        <v>41682</v>
      </c>
      <c r="K2022" s="6">
        <v>42</v>
      </c>
      <c r="L2022">
        <f>VLOOKUP(A2022,Marketing_df2!$A$1:$F$2241,3,FALSE)</f>
        <v>4</v>
      </c>
      <c r="M2022">
        <f>VLOOKUP(A2022,Marketing_df2!$A$1:$F$2241,4,FALSE)</f>
        <v>10</v>
      </c>
      <c r="N2022">
        <f>VLOOKUP(A2022,Marketing_df2!$A$1:$F$2241,5,FALSE)</f>
        <v>2</v>
      </c>
      <c r="O2022">
        <f>VLOOKUP(A2022,Marketing_df2!$A$1:$F$2241,6,FALSE)</f>
        <v>4</v>
      </c>
    </row>
    <row r="2023" spans="1:15" ht="12.5">
      <c r="A2023" s="6">
        <v>2021</v>
      </c>
      <c r="B2023" s="6">
        <v>6214</v>
      </c>
      <c r="C2023" s="6">
        <v>1982</v>
      </c>
      <c r="D2023" s="7" t="s">
        <v>14</v>
      </c>
      <c r="E2023" s="7" t="s">
        <v>13</v>
      </c>
      <c r="F2023" s="6">
        <v>43815</v>
      </c>
      <c r="G2023" s="6">
        <v>1</v>
      </c>
      <c r="H2023" s="6">
        <v>0</v>
      </c>
      <c r="I2023" s="6">
        <f t="shared" si="31"/>
        <v>1</v>
      </c>
      <c r="J2023" s="8">
        <v>41369</v>
      </c>
      <c r="K2023" s="6">
        <v>53</v>
      </c>
      <c r="L2023">
        <f>VLOOKUP(A2023,Marketing_df2!$A$1:$F$2241,3,FALSE)</f>
        <v>10</v>
      </c>
      <c r="M2023">
        <f>VLOOKUP(A2023,Marketing_df2!$A$1:$F$2241,4,FALSE)</f>
        <v>7</v>
      </c>
      <c r="N2023">
        <f>VLOOKUP(A2023,Marketing_df2!$A$1:$F$2241,5,FALSE)</f>
        <v>2</v>
      </c>
      <c r="O2023">
        <f>VLOOKUP(A2023,Marketing_df2!$A$1:$F$2241,6,FALSE)</f>
        <v>3</v>
      </c>
    </row>
    <row r="2024" spans="1:15" ht="12.5">
      <c r="A2024" s="6">
        <v>2022</v>
      </c>
      <c r="B2024" s="6">
        <v>4954</v>
      </c>
      <c r="C2024" s="6">
        <v>1956</v>
      </c>
      <c r="D2024" s="7" t="s">
        <v>9</v>
      </c>
      <c r="E2024" s="7" t="s">
        <v>13</v>
      </c>
      <c r="F2024" s="6">
        <v>48195</v>
      </c>
      <c r="G2024" s="6">
        <v>1</v>
      </c>
      <c r="H2024" s="6">
        <v>1</v>
      </c>
      <c r="I2024" s="6">
        <f t="shared" si="31"/>
        <v>2</v>
      </c>
      <c r="J2024" s="8">
        <v>41660</v>
      </c>
      <c r="K2024" s="6">
        <v>53</v>
      </c>
      <c r="L2024">
        <f>VLOOKUP(A2024,Marketing_df2!$A$1:$F$2241,3,FALSE)</f>
        <v>27</v>
      </c>
      <c r="M2024">
        <f>VLOOKUP(A2024,Marketing_df2!$A$1:$F$2241,4,FALSE)</f>
        <v>7</v>
      </c>
      <c r="N2024">
        <f>VLOOKUP(A2024,Marketing_df2!$A$1:$F$2241,5,FALSE)</f>
        <v>4</v>
      </c>
      <c r="O2024">
        <f>VLOOKUP(A2024,Marketing_df2!$A$1:$F$2241,6,FALSE)</f>
        <v>5</v>
      </c>
    </row>
    <row r="2025" spans="1:15" ht="12.5">
      <c r="A2025" s="6">
        <v>2023</v>
      </c>
      <c r="B2025" s="6">
        <v>7861</v>
      </c>
      <c r="C2025" s="6">
        <v>1952</v>
      </c>
      <c r="D2025" s="7" t="s">
        <v>14</v>
      </c>
      <c r="E2025" s="7" t="s">
        <v>13</v>
      </c>
      <c r="F2025" s="6">
        <v>77027</v>
      </c>
      <c r="G2025" s="6">
        <v>0</v>
      </c>
      <c r="H2025" s="6">
        <v>1</v>
      </c>
      <c r="I2025" s="6">
        <f t="shared" si="31"/>
        <v>1</v>
      </c>
      <c r="J2025" s="8">
        <v>41675</v>
      </c>
      <c r="K2025" s="6">
        <v>23</v>
      </c>
      <c r="L2025">
        <f>VLOOKUP(A2025,Marketing_df2!$A$1:$F$2241,3,FALSE)</f>
        <v>57</v>
      </c>
      <c r="M2025">
        <f>VLOOKUP(A2025,Marketing_df2!$A$1:$F$2241,4,FALSE)</f>
        <v>0</v>
      </c>
      <c r="N2025">
        <f>VLOOKUP(A2025,Marketing_df2!$A$1:$F$2241,5,FALSE)</f>
        <v>8</v>
      </c>
      <c r="O2025">
        <f>VLOOKUP(A2025,Marketing_df2!$A$1:$F$2241,6,FALSE)</f>
        <v>6</v>
      </c>
    </row>
    <row r="2026" spans="1:15" ht="12.5">
      <c r="A2026" s="6">
        <v>2024</v>
      </c>
      <c r="B2026" s="6">
        <v>4837</v>
      </c>
      <c r="C2026" s="6">
        <v>1965</v>
      </c>
      <c r="D2026" s="7" t="s">
        <v>12</v>
      </c>
      <c r="E2026" s="7" t="s">
        <v>13</v>
      </c>
      <c r="F2026" s="6">
        <v>71322</v>
      </c>
      <c r="G2026" s="6">
        <v>0</v>
      </c>
      <c r="H2026" s="6">
        <v>1</v>
      </c>
      <c r="I2026" s="6">
        <f t="shared" si="31"/>
        <v>1</v>
      </c>
      <c r="J2026" s="8">
        <v>41321</v>
      </c>
      <c r="K2026" s="6">
        <v>57</v>
      </c>
      <c r="L2026">
        <f>VLOOKUP(A2026,Marketing_df2!$A$1:$F$2241,3,FALSE)</f>
        <v>43</v>
      </c>
      <c r="M2026">
        <f>VLOOKUP(A2026,Marketing_df2!$A$1:$F$2241,4,FALSE)</f>
        <v>10</v>
      </c>
      <c r="N2026">
        <f>VLOOKUP(A2026,Marketing_df2!$A$1:$F$2241,5,FALSE)</f>
        <v>8</v>
      </c>
      <c r="O2026">
        <f>VLOOKUP(A2026,Marketing_df2!$A$1:$F$2241,6,FALSE)</f>
        <v>13</v>
      </c>
    </row>
    <row r="2027" spans="1:15" ht="12.5">
      <c r="A2027" s="6">
        <v>2025</v>
      </c>
      <c r="B2027" s="6">
        <v>9423</v>
      </c>
      <c r="C2027" s="6">
        <v>1979</v>
      </c>
      <c r="D2027" s="7" t="s">
        <v>14</v>
      </c>
      <c r="E2027" s="7" t="s">
        <v>13</v>
      </c>
      <c r="F2027" s="6">
        <v>32765</v>
      </c>
      <c r="G2027" s="6">
        <v>1</v>
      </c>
      <c r="H2027" s="6">
        <v>0</v>
      </c>
      <c r="I2027" s="6">
        <f t="shared" si="31"/>
        <v>1</v>
      </c>
      <c r="J2027" s="8">
        <v>41693</v>
      </c>
      <c r="K2027" s="6">
        <v>49</v>
      </c>
      <c r="L2027">
        <f>VLOOKUP(A2027,Marketing_df2!$A$1:$F$2241,3,FALSE)</f>
        <v>3</v>
      </c>
      <c r="M2027">
        <f>VLOOKUP(A2027,Marketing_df2!$A$1:$F$2241,4,FALSE)</f>
        <v>3</v>
      </c>
      <c r="N2027">
        <f>VLOOKUP(A2027,Marketing_df2!$A$1:$F$2241,5,FALSE)</f>
        <v>2</v>
      </c>
      <c r="O2027">
        <f>VLOOKUP(A2027,Marketing_df2!$A$1:$F$2241,6,FALSE)</f>
        <v>4</v>
      </c>
    </row>
    <row r="2028" spans="1:15" ht="12.5">
      <c r="A2028" s="6">
        <v>2026</v>
      </c>
      <c r="B2028" s="6">
        <v>4198</v>
      </c>
      <c r="C2028" s="6">
        <v>1965</v>
      </c>
      <c r="D2028" s="7" t="s">
        <v>9</v>
      </c>
      <c r="E2028" s="7" t="s">
        <v>11</v>
      </c>
      <c r="F2028" s="6">
        <v>29672</v>
      </c>
      <c r="G2028" s="6">
        <v>1</v>
      </c>
      <c r="H2028" s="6">
        <v>1</v>
      </c>
      <c r="I2028" s="6">
        <f t="shared" si="31"/>
        <v>2</v>
      </c>
      <c r="J2028" s="8">
        <v>41345</v>
      </c>
      <c r="K2028" s="6">
        <v>6</v>
      </c>
      <c r="L2028">
        <f>VLOOKUP(A2028,Marketing_df2!$A$1:$F$2241,3,FALSE)</f>
        <v>1</v>
      </c>
      <c r="M2028">
        <f>VLOOKUP(A2028,Marketing_df2!$A$1:$F$2241,4,FALSE)</f>
        <v>4</v>
      </c>
      <c r="N2028">
        <f>VLOOKUP(A2028,Marketing_df2!$A$1:$F$2241,5,FALSE)</f>
        <v>0</v>
      </c>
      <c r="O2028">
        <f>VLOOKUP(A2028,Marketing_df2!$A$1:$F$2241,6,FALSE)</f>
        <v>3</v>
      </c>
    </row>
    <row r="2029" spans="1:15" ht="12.5">
      <c r="A2029" s="6">
        <v>2027</v>
      </c>
      <c r="B2029" s="6">
        <v>153</v>
      </c>
      <c r="C2029" s="6">
        <v>1953</v>
      </c>
      <c r="D2029" s="7" t="s">
        <v>9</v>
      </c>
      <c r="E2029" s="7" t="s">
        <v>15</v>
      </c>
      <c r="F2029" s="6">
        <v>23272</v>
      </c>
      <c r="G2029" s="6">
        <v>0</v>
      </c>
      <c r="H2029" s="6">
        <v>0</v>
      </c>
      <c r="I2029" s="6">
        <f t="shared" si="31"/>
        <v>0</v>
      </c>
      <c r="J2029" s="9">
        <v>41564</v>
      </c>
      <c r="K2029" s="6">
        <v>29</v>
      </c>
      <c r="L2029">
        <f>VLOOKUP(A2029,Marketing_df2!$A$1:$F$2241,3,FALSE)</f>
        <v>3</v>
      </c>
      <c r="M2029">
        <f>VLOOKUP(A2029,Marketing_df2!$A$1:$F$2241,4,FALSE)</f>
        <v>2</v>
      </c>
      <c r="N2029">
        <f>VLOOKUP(A2029,Marketing_df2!$A$1:$F$2241,5,FALSE)</f>
        <v>1</v>
      </c>
      <c r="O2029">
        <f>VLOOKUP(A2029,Marketing_df2!$A$1:$F$2241,6,FALSE)</f>
        <v>3</v>
      </c>
    </row>
    <row r="2030" spans="1:15" ht="12.5">
      <c r="A2030" s="6">
        <v>2028</v>
      </c>
      <c r="B2030" s="6">
        <v>9323</v>
      </c>
      <c r="C2030" s="6">
        <v>1949</v>
      </c>
      <c r="D2030" s="7" t="s">
        <v>14</v>
      </c>
      <c r="E2030" s="7" t="s">
        <v>11</v>
      </c>
      <c r="F2030" s="6">
        <v>49912</v>
      </c>
      <c r="G2030" s="6">
        <v>0</v>
      </c>
      <c r="H2030" s="6">
        <v>1</v>
      </c>
      <c r="I2030" s="6">
        <f t="shared" si="31"/>
        <v>1</v>
      </c>
      <c r="J2030" s="8">
        <v>41159</v>
      </c>
      <c r="K2030" s="6">
        <v>5</v>
      </c>
      <c r="L2030">
        <f>VLOOKUP(A2030,Marketing_df2!$A$1:$F$2241,3,FALSE)</f>
        <v>8</v>
      </c>
      <c r="M2030">
        <f>VLOOKUP(A2030,Marketing_df2!$A$1:$F$2241,4,FALSE)</f>
        <v>49</v>
      </c>
      <c r="N2030">
        <f>VLOOKUP(A2030,Marketing_df2!$A$1:$F$2241,5,FALSE)</f>
        <v>10</v>
      </c>
      <c r="O2030">
        <f>VLOOKUP(A2030,Marketing_df2!$A$1:$F$2241,6,FALSE)</f>
        <v>7</v>
      </c>
    </row>
    <row r="2031" spans="1:15" ht="12.5">
      <c r="A2031" s="6">
        <v>2029</v>
      </c>
      <c r="B2031" s="6">
        <v>10001</v>
      </c>
      <c r="C2031" s="6">
        <v>1985</v>
      </c>
      <c r="D2031" s="7" t="s">
        <v>17</v>
      </c>
      <c r="E2031" s="7" t="s">
        <v>11</v>
      </c>
      <c r="F2031" s="6">
        <v>7500</v>
      </c>
      <c r="G2031" s="6">
        <v>1</v>
      </c>
      <c r="H2031" s="6">
        <v>0</v>
      </c>
      <c r="I2031" s="6">
        <f t="shared" si="31"/>
        <v>1</v>
      </c>
      <c r="J2031" s="8">
        <v>41122</v>
      </c>
      <c r="K2031" s="6">
        <v>98</v>
      </c>
      <c r="L2031">
        <f>VLOOKUP(A2031,Marketing_df2!$A$1:$F$2241,3,FALSE)</f>
        <v>17</v>
      </c>
      <c r="M2031">
        <f>VLOOKUP(A2031,Marketing_df2!$A$1:$F$2241,4,FALSE)</f>
        <v>14</v>
      </c>
      <c r="N2031">
        <f>VLOOKUP(A2031,Marketing_df2!$A$1:$F$2241,5,FALSE)</f>
        <v>2</v>
      </c>
      <c r="O2031">
        <f>VLOOKUP(A2031,Marketing_df2!$A$1:$F$2241,6,FALSE)</f>
        <v>3</v>
      </c>
    </row>
    <row r="2032" spans="1:15" ht="12.5">
      <c r="A2032" s="6">
        <v>2030</v>
      </c>
      <c r="B2032" s="6">
        <v>3945</v>
      </c>
      <c r="C2032" s="6">
        <v>1947</v>
      </c>
      <c r="D2032" s="7" t="s">
        <v>12</v>
      </c>
      <c r="E2032" s="7" t="s">
        <v>18</v>
      </c>
      <c r="F2032" s="6">
        <v>68117</v>
      </c>
      <c r="G2032" s="6">
        <v>0</v>
      </c>
      <c r="H2032" s="6">
        <v>1</v>
      </c>
      <c r="I2032" s="6">
        <f t="shared" si="31"/>
        <v>1</v>
      </c>
      <c r="J2032" s="8">
        <v>41343</v>
      </c>
      <c r="K2032" s="6">
        <v>80</v>
      </c>
      <c r="L2032">
        <f>VLOOKUP(A2032,Marketing_df2!$A$1:$F$2241,3,FALSE)</f>
        <v>44</v>
      </c>
      <c r="M2032">
        <f>VLOOKUP(A2032,Marketing_df2!$A$1:$F$2241,4,FALSE)</f>
        <v>17</v>
      </c>
      <c r="N2032">
        <f>VLOOKUP(A2032,Marketing_df2!$A$1:$F$2241,5,FALSE)</f>
        <v>11</v>
      </c>
      <c r="O2032">
        <f>VLOOKUP(A2032,Marketing_df2!$A$1:$F$2241,6,FALSE)</f>
        <v>4</v>
      </c>
    </row>
    <row r="2033" spans="1:15" ht="12.5">
      <c r="A2033" s="6">
        <v>2031</v>
      </c>
      <c r="B2033" s="6">
        <v>3799</v>
      </c>
      <c r="C2033" s="6">
        <v>1955</v>
      </c>
      <c r="D2033" s="7" t="s">
        <v>9</v>
      </c>
      <c r="E2033" s="7" t="s">
        <v>13</v>
      </c>
      <c r="F2033" s="6">
        <v>67225</v>
      </c>
      <c r="G2033" s="6">
        <v>0</v>
      </c>
      <c r="H2033" s="6">
        <v>1</v>
      </c>
      <c r="I2033" s="6">
        <f t="shared" si="31"/>
        <v>1</v>
      </c>
      <c r="J2033" s="9">
        <v>41604</v>
      </c>
      <c r="K2033" s="6">
        <v>4</v>
      </c>
      <c r="L2033">
        <f>VLOOKUP(A2033,Marketing_df2!$A$1:$F$2241,3,FALSE)</f>
        <v>35</v>
      </c>
      <c r="M2033">
        <f>VLOOKUP(A2033,Marketing_df2!$A$1:$F$2241,4,FALSE)</f>
        <v>7</v>
      </c>
      <c r="N2033">
        <f>VLOOKUP(A2033,Marketing_df2!$A$1:$F$2241,5,FALSE)</f>
        <v>7</v>
      </c>
      <c r="O2033">
        <f>VLOOKUP(A2033,Marketing_df2!$A$1:$F$2241,6,FALSE)</f>
        <v>11</v>
      </c>
    </row>
    <row r="2034" spans="1:15" ht="12.5">
      <c r="A2034" s="6">
        <v>2032</v>
      </c>
      <c r="B2034" s="6">
        <v>8625</v>
      </c>
      <c r="C2034" s="6">
        <v>1976</v>
      </c>
      <c r="D2034" s="7" t="s">
        <v>9</v>
      </c>
      <c r="E2034" s="7" t="s">
        <v>13</v>
      </c>
      <c r="F2034" s="6">
        <v>17649</v>
      </c>
      <c r="G2034" s="6">
        <v>1</v>
      </c>
      <c r="H2034" s="6">
        <v>0</v>
      </c>
      <c r="I2034" s="6">
        <f t="shared" si="31"/>
        <v>1</v>
      </c>
      <c r="J2034" s="9">
        <v>41590</v>
      </c>
      <c r="K2034" s="6">
        <v>70</v>
      </c>
      <c r="L2034">
        <f>VLOOKUP(A2034,Marketing_df2!$A$1:$F$2241,3,FALSE)</f>
        <v>1</v>
      </c>
      <c r="M2034">
        <f>VLOOKUP(A2034,Marketing_df2!$A$1:$F$2241,4,FALSE)</f>
        <v>5</v>
      </c>
      <c r="N2034">
        <f>VLOOKUP(A2034,Marketing_df2!$A$1:$F$2241,5,FALSE)</f>
        <v>3</v>
      </c>
      <c r="O2034">
        <f>VLOOKUP(A2034,Marketing_df2!$A$1:$F$2241,6,FALSE)</f>
        <v>3</v>
      </c>
    </row>
    <row r="2035" spans="1:15" ht="12.5">
      <c r="A2035" s="6">
        <v>2033</v>
      </c>
      <c r="B2035" s="6">
        <v>3491</v>
      </c>
      <c r="C2035" s="6">
        <v>1975</v>
      </c>
      <c r="D2035" s="7" t="s">
        <v>9</v>
      </c>
      <c r="E2035" s="7" t="s">
        <v>11</v>
      </c>
      <c r="F2035" s="6">
        <v>55914</v>
      </c>
      <c r="G2035" s="6">
        <v>0</v>
      </c>
      <c r="H2035" s="6">
        <v>1</v>
      </c>
      <c r="I2035" s="6">
        <f t="shared" si="31"/>
        <v>1</v>
      </c>
      <c r="J2035" s="8">
        <v>41393</v>
      </c>
      <c r="K2035" s="6">
        <v>32</v>
      </c>
      <c r="L2035">
        <f>VLOOKUP(A2035,Marketing_df2!$A$1:$F$2241,3,FALSE)</f>
        <v>60</v>
      </c>
      <c r="M2035">
        <f>VLOOKUP(A2035,Marketing_df2!$A$1:$F$2241,4,FALSE)</f>
        <v>101</v>
      </c>
      <c r="N2035">
        <f>VLOOKUP(A2035,Marketing_df2!$A$1:$F$2241,5,FALSE)</f>
        <v>11</v>
      </c>
      <c r="O2035">
        <f>VLOOKUP(A2035,Marketing_df2!$A$1:$F$2241,6,FALSE)</f>
        <v>8</v>
      </c>
    </row>
    <row r="2036" spans="1:15" ht="12.5">
      <c r="A2036" s="6">
        <v>2034</v>
      </c>
      <c r="B2036" s="6">
        <v>983</v>
      </c>
      <c r="C2036" s="6">
        <v>1984</v>
      </c>
      <c r="D2036" s="7" t="s">
        <v>9</v>
      </c>
      <c r="E2036" s="7" t="s">
        <v>13</v>
      </c>
      <c r="F2036" s="6">
        <v>40059</v>
      </c>
      <c r="G2036" s="6">
        <v>1</v>
      </c>
      <c r="H2036" s="6">
        <v>0</v>
      </c>
      <c r="I2036" s="6">
        <f t="shared" si="31"/>
        <v>1</v>
      </c>
      <c r="J2036" s="8">
        <v>41545</v>
      </c>
      <c r="K2036" s="6">
        <v>82</v>
      </c>
      <c r="L2036">
        <f>VLOOKUP(A2036,Marketing_df2!$A$1:$F$2241,3,FALSE)</f>
        <v>29</v>
      </c>
      <c r="M2036">
        <f>VLOOKUP(A2036,Marketing_df2!$A$1:$F$2241,4,FALSE)</f>
        <v>10</v>
      </c>
      <c r="N2036">
        <f>VLOOKUP(A2036,Marketing_df2!$A$1:$F$2241,5,FALSE)</f>
        <v>6</v>
      </c>
      <c r="O2036">
        <f>VLOOKUP(A2036,Marketing_df2!$A$1:$F$2241,6,FALSE)</f>
        <v>3</v>
      </c>
    </row>
    <row r="2037" spans="1:15" ht="12.5">
      <c r="A2037" s="6">
        <v>2035</v>
      </c>
      <c r="B2037" s="6">
        <v>9119</v>
      </c>
      <c r="C2037" s="6">
        <v>1950</v>
      </c>
      <c r="D2037" s="7" t="s">
        <v>9</v>
      </c>
      <c r="E2037" s="7" t="s">
        <v>11</v>
      </c>
      <c r="F2037" s="6">
        <v>60905</v>
      </c>
      <c r="G2037" s="6">
        <v>0</v>
      </c>
      <c r="H2037" s="6">
        <v>1</v>
      </c>
      <c r="I2037" s="6">
        <f t="shared" si="31"/>
        <v>1</v>
      </c>
      <c r="J2037" s="8">
        <v>41613</v>
      </c>
      <c r="K2037" s="6">
        <v>27</v>
      </c>
      <c r="L2037">
        <f>VLOOKUP(A2037,Marketing_df2!$A$1:$F$2241,3,FALSE)</f>
        <v>17</v>
      </c>
      <c r="M2037">
        <f>VLOOKUP(A2037,Marketing_df2!$A$1:$F$2241,4,FALSE)</f>
        <v>17</v>
      </c>
      <c r="N2037">
        <f>VLOOKUP(A2037,Marketing_df2!$A$1:$F$2241,5,FALSE)</f>
        <v>3</v>
      </c>
      <c r="O2037">
        <f>VLOOKUP(A2037,Marketing_df2!$A$1:$F$2241,6,FALSE)</f>
        <v>7</v>
      </c>
    </row>
    <row r="2038" spans="1:15" ht="12.5">
      <c r="A2038" s="6">
        <v>2036</v>
      </c>
      <c r="B2038" s="6">
        <v>4786</v>
      </c>
      <c r="C2038" s="6">
        <v>1977</v>
      </c>
      <c r="D2038" s="7" t="s">
        <v>9</v>
      </c>
      <c r="E2038" s="7" t="s">
        <v>13</v>
      </c>
      <c r="F2038" s="6">
        <v>75330</v>
      </c>
      <c r="G2038" s="6">
        <v>1</v>
      </c>
      <c r="H2038" s="6">
        <v>1</v>
      </c>
      <c r="I2038" s="6">
        <f t="shared" si="31"/>
        <v>2</v>
      </c>
      <c r="J2038" s="8">
        <v>41186</v>
      </c>
      <c r="K2038" s="6">
        <v>94</v>
      </c>
      <c r="L2038">
        <f>VLOOKUP(A2038,Marketing_df2!$A$1:$F$2241,3,FALSE)</f>
        <v>82</v>
      </c>
      <c r="M2038">
        <f>VLOOKUP(A2038,Marketing_df2!$A$1:$F$2241,4,FALSE)</f>
        <v>61</v>
      </c>
      <c r="N2038">
        <f>VLOOKUP(A2038,Marketing_df2!$A$1:$F$2241,5,FALSE)</f>
        <v>10</v>
      </c>
      <c r="O2038">
        <f>VLOOKUP(A2038,Marketing_df2!$A$1:$F$2241,6,FALSE)</f>
        <v>12</v>
      </c>
    </row>
    <row r="2039" spans="1:15" ht="12.5">
      <c r="A2039" s="6">
        <v>2037</v>
      </c>
      <c r="B2039" s="6">
        <v>5872</v>
      </c>
      <c r="C2039" s="6">
        <v>1951</v>
      </c>
      <c r="D2039" s="7" t="s">
        <v>9</v>
      </c>
      <c r="E2039" s="7" t="s">
        <v>10</v>
      </c>
      <c r="F2039" s="6">
        <v>60689</v>
      </c>
      <c r="G2039" s="6">
        <v>0</v>
      </c>
      <c r="H2039" s="6">
        <v>1</v>
      </c>
      <c r="I2039" s="6">
        <f t="shared" si="31"/>
        <v>1</v>
      </c>
      <c r="J2039" s="8">
        <v>41426</v>
      </c>
      <c r="K2039" s="6">
        <v>23</v>
      </c>
      <c r="L2039">
        <f>VLOOKUP(A2039,Marketing_df2!$A$1:$F$2241,3,FALSE)</f>
        <v>90</v>
      </c>
      <c r="M2039">
        <f>VLOOKUP(A2039,Marketing_df2!$A$1:$F$2241,4,FALSE)</f>
        <v>6</v>
      </c>
      <c r="N2039">
        <f>VLOOKUP(A2039,Marketing_df2!$A$1:$F$2241,5,FALSE)</f>
        <v>4</v>
      </c>
      <c r="O2039">
        <f>VLOOKUP(A2039,Marketing_df2!$A$1:$F$2241,6,FALSE)</f>
        <v>10</v>
      </c>
    </row>
    <row r="2040" spans="1:15" ht="12.5">
      <c r="A2040" s="6">
        <v>2038</v>
      </c>
      <c r="B2040" s="6">
        <v>6568</v>
      </c>
      <c r="C2040" s="6">
        <v>1984</v>
      </c>
      <c r="D2040" s="7" t="s">
        <v>9</v>
      </c>
      <c r="E2040" s="7" t="s">
        <v>13</v>
      </c>
      <c r="F2040" s="6">
        <v>38680</v>
      </c>
      <c r="G2040" s="6">
        <v>1</v>
      </c>
      <c r="H2040" s="6">
        <v>0</v>
      </c>
      <c r="I2040" s="6">
        <f t="shared" si="31"/>
        <v>1</v>
      </c>
      <c r="J2040" s="8">
        <v>41361</v>
      </c>
      <c r="K2040" s="6">
        <v>97</v>
      </c>
      <c r="L2040">
        <f>VLOOKUP(A2040,Marketing_df2!$A$1:$F$2241,3,FALSE)</f>
        <v>0</v>
      </c>
      <c r="M2040">
        <f>VLOOKUP(A2040,Marketing_df2!$A$1:$F$2241,4,FALSE)</f>
        <v>5</v>
      </c>
      <c r="N2040">
        <f>VLOOKUP(A2040,Marketing_df2!$A$1:$F$2241,5,FALSE)</f>
        <v>2</v>
      </c>
      <c r="O2040">
        <f>VLOOKUP(A2040,Marketing_df2!$A$1:$F$2241,6,FALSE)</f>
        <v>3</v>
      </c>
    </row>
    <row r="2041" spans="1:15" ht="12.5">
      <c r="A2041" s="6">
        <v>2039</v>
      </c>
      <c r="B2041" s="6">
        <v>5628</v>
      </c>
      <c r="C2041" s="6">
        <v>1982</v>
      </c>
      <c r="D2041" s="7" t="s">
        <v>9</v>
      </c>
      <c r="E2041" s="7" t="s">
        <v>11</v>
      </c>
      <c r="F2041" s="6">
        <v>61416</v>
      </c>
      <c r="G2041" s="6">
        <v>0</v>
      </c>
      <c r="H2041" s="6">
        <v>0</v>
      </c>
      <c r="I2041" s="6">
        <f t="shared" si="31"/>
        <v>0</v>
      </c>
      <c r="J2041" s="8">
        <v>41313</v>
      </c>
      <c r="K2041" s="6">
        <v>25</v>
      </c>
      <c r="L2041">
        <f>VLOOKUP(A2041,Marketing_df2!$A$1:$F$2241,3,FALSE)</f>
        <v>154</v>
      </c>
      <c r="M2041">
        <f>VLOOKUP(A2041,Marketing_df2!$A$1:$F$2241,4,FALSE)</f>
        <v>61</v>
      </c>
      <c r="N2041">
        <f>VLOOKUP(A2041,Marketing_df2!$A$1:$F$2241,5,FALSE)</f>
        <v>10</v>
      </c>
      <c r="O2041">
        <f>VLOOKUP(A2041,Marketing_df2!$A$1:$F$2241,6,FALSE)</f>
        <v>10</v>
      </c>
    </row>
    <row r="2042" spans="1:15" ht="12.5">
      <c r="A2042" s="6">
        <v>2040</v>
      </c>
      <c r="B2042" s="6">
        <v>5631</v>
      </c>
      <c r="C2042" s="6">
        <v>1991</v>
      </c>
      <c r="D2042" s="7" t="s">
        <v>9</v>
      </c>
      <c r="E2042" s="7" t="s">
        <v>10</v>
      </c>
      <c r="F2042" s="6">
        <v>49767</v>
      </c>
      <c r="G2042" s="6">
        <v>0</v>
      </c>
      <c r="H2042" s="6">
        <v>0</v>
      </c>
      <c r="I2042" s="6">
        <f t="shared" si="31"/>
        <v>0</v>
      </c>
      <c r="J2042" s="8">
        <v>41396</v>
      </c>
      <c r="K2042" s="6">
        <v>92</v>
      </c>
      <c r="L2042">
        <f>VLOOKUP(A2042,Marketing_df2!$A$1:$F$2241,3,FALSE)</f>
        <v>47</v>
      </c>
      <c r="M2042">
        <f>VLOOKUP(A2042,Marketing_df2!$A$1:$F$2241,4,FALSE)</f>
        <v>42</v>
      </c>
      <c r="N2042">
        <f>VLOOKUP(A2042,Marketing_df2!$A$1:$F$2241,5,FALSE)</f>
        <v>5</v>
      </c>
      <c r="O2042">
        <f>VLOOKUP(A2042,Marketing_df2!$A$1:$F$2241,6,FALSE)</f>
        <v>8</v>
      </c>
    </row>
    <row r="2043" spans="1:15" ht="12.5">
      <c r="A2043" s="6">
        <v>2041</v>
      </c>
      <c r="B2043" s="6">
        <v>4974</v>
      </c>
      <c r="C2043" s="6">
        <v>1970</v>
      </c>
      <c r="D2043" s="7" t="s">
        <v>9</v>
      </c>
      <c r="E2043" s="7" t="s">
        <v>10</v>
      </c>
      <c r="F2043" s="6">
        <v>83273</v>
      </c>
      <c r="G2043" s="6">
        <v>1</v>
      </c>
      <c r="H2043" s="6">
        <v>2</v>
      </c>
      <c r="I2043" s="6">
        <f t="shared" si="31"/>
        <v>3</v>
      </c>
      <c r="J2043" s="8">
        <v>41177</v>
      </c>
      <c r="K2043" s="6">
        <v>98</v>
      </c>
      <c r="L2043">
        <f>VLOOKUP(A2043,Marketing_df2!$A$1:$F$2241,3,FALSE)</f>
        <v>89</v>
      </c>
      <c r="M2043">
        <f>VLOOKUP(A2043,Marketing_df2!$A$1:$F$2241,4,FALSE)</f>
        <v>102</v>
      </c>
      <c r="N2043">
        <f>VLOOKUP(A2043,Marketing_df2!$A$1:$F$2241,5,FALSE)</f>
        <v>4</v>
      </c>
      <c r="O2043">
        <f>VLOOKUP(A2043,Marketing_df2!$A$1:$F$2241,6,FALSE)</f>
        <v>9</v>
      </c>
    </row>
    <row r="2044" spans="1:15" ht="12.5">
      <c r="A2044" s="6">
        <v>2042</v>
      </c>
      <c r="B2044" s="6">
        <v>8416</v>
      </c>
      <c r="C2044" s="6">
        <v>1981</v>
      </c>
      <c r="D2044" s="7" t="s">
        <v>9</v>
      </c>
      <c r="E2044" s="7" t="s">
        <v>13</v>
      </c>
      <c r="F2044" s="6">
        <v>29009</v>
      </c>
      <c r="G2044" s="6">
        <v>1</v>
      </c>
      <c r="H2044" s="6">
        <v>0</v>
      </c>
      <c r="I2044" s="6">
        <f t="shared" si="31"/>
        <v>1</v>
      </c>
      <c r="J2044" s="9">
        <v>41607</v>
      </c>
      <c r="K2044" s="6">
        <v>19</v>
      </c>
      <c r="L2044">
        <f>VLOOKUP(A2044,Marketing_df2!$A$1:$F$2241,3,FALSE)</f>
        <v>6</v>
      </c>
      <c r="M2044">
        <f>VLOOKUP(A2044,Marketing_df2!$A$1:$F$2241,4,FALSE)</f>
        <v>5</v>
      </c>
      <c r="N2044">
        <f>VLOOKUP(A2044,Marketing_df2!$A$1:$F$2241,5,FALSE)</f>
        <v>2</v>
      </c>
      <c r="O2044">
        <f>VLOOKUP(A2044,Marketing_df2!$A$1:$F$2241,6,FALSE)</f>
        <v>3</v>
      </c>
    </row>
    <row r="2045" spans="1:15" ht="12.5">
      <c r="A2045" s="6">
        <v>2043</v>
      </c>
      <c r="B2045" s="6">
        <v>5454</v>
      </c>
      <c r="C2045" s="6">
        <v>1979</v>
      </c>
      <c r="D2045" s="7" t="s">
        <v>14</v>
      </c>
      <c r="E2045" s="7" t="s">
        <v>13</v>
      </c>
      <c r="F2045" s="6">
        <v>45057</v>
      </c>
      <c r="G2045" s="6">
        <v>1</v>
      </c>
      <c r="H2045" s="6">
        <v>0</v>
      </c>
      <c r="I2045" s="6">
        <f t="shared" si="31"/>
        <v>1</v>
      </c>
      <c r="J2045" s="8">
        <v>41609</v>
      </c>
      <c r="K2045" s="6">
        <v>80</v>
      </c>
      <c r="L2045">
        <f>VLOOKUP(A2045,Marketing_df2!$A$1:$F$2241,3,FALSE)</f>
        <v>0</v>
      </c>
      <c r="M2045">
        <f>VLOOKUP(A2045,Marketing_df2!$A$1:$F$2241,4,FALSE)</f>
        <v>0</v>
      </c>
      <c r="N2045">
        <f>VLOOKUP(A2045,Marketing_df2!$A$1:$F$2241,5,FALSE)</f>
        <v>2</v>
      </c>
      <c r="O2045">
        <f>VLOOKUP(A2045,Marketing_df2!$A$1:$F$2241,6,FALSE)</f>
        <v>3</v>
      </c>
    </row>
    <row r="2046" spans="1:15" ht="12.5">
      <c r="A2046" s="6">
        <v>2044</v>
      </c>
      <c r="B2046" s="6">
        <v>4095</v>
      </c>
      <c r="C2046" s="6">
        <v>1971</v>
      </c>
      <c r="D2046" s="7" t="s">
        <v>9</v>
      </c>
      <c r="E2046" s="7" t="s">
        <v>13</v>
      </c>
      <c r="F2046" s="6">
        <v>37150</v>
      </c>
      <c r="G2046" s="6">
        <v>1</v>
      </c>
      <c r="H2046" s="6">
        <v>0</v>
      </c>
      <c r="I2046" s="6">
        <f t="shared" si="31"/>
        <v>1</v>
      </c>
      <c r="J2046" s="8">
        <v>41163</v>
      </c>
      <c r="K2046" s="6">
        <v>80</v>
      </c>
      <c r="L2046">
        <f>VLOOKUP(A2046,Marketing_df2!$A$1:$F$2241,3,FALSE)</f>
        <v>37</v>
      </c>
      <c r="M2046">
        <f>VLOOKUP(A2046,Marketing_df2!$A$1:$F$2241,4,FALSE)</f>
        <v>34</v>
      </c>
      <c r="N2046">
        <f>VLOOKUP(A2046,Marketing_df2!$A$1:$F$2241,5,FALSE)</f>
        <v>4</v>
      </c>
      <c r="O2046">
        <f>VLOOKUP(A2046,Marketing_df2!$A$1:$F$2241,6,FALSE)</f>
        <v>6</v>
      </c>
    </row>
    <row r="2047" spans="1:15" ht="12.5">
      <c r="A2047" s="6">
        <v>2045</v>
      </c>
      <c r="B2047" s="6">
        <v>5474</v>
      </c>
      <c r="C2047" s="6">
        <v>1970</v>
      </c>
      <c r="D2047" s="7" t="s">
        <v>9</v>
      </c>
      <c r="E2047" s="7" t="s">
        <v>10</v>
      </c>
      <c r="F2047" s="6">
        <v>43020</v>
      </c>
      <c r="G2047" s="6">
        <v>1</v>
      </c>
      <c r="H2047" s="6">
        <v>0</v>
      </c>
      <c r="I2047" s="6">
        <f t="shared" si="31"/>
        <v>1</v>
      </c>
      <c r="J2047" s="9">
        <v>41608</v>
      </c>
      <c r="K2047" s="6">
        <v>79</v>
      </c>
      <c r="L2047">
        <f>VLOOKUP(A2047,Marketing_df2!$A$1:$F$2241,3,FALSE)</f>
        <v>7</v>
      </c>
      <c r="M2047">
        <f>VLOOKUP(A2047,Marketing_df2!$A$1:$F$2241,4,FALSE)</f>
        <v>25</v>
      </c>
      <c r="N2047">
        <f>VLOOKUP(A2047,Marketing_df2!$A$1:$F$2241,5,FALSE)</f>
        <v>4</v>
      </c>
      <c r="O2047">
        <f>VLOOKUP(A2047,Marketing_df2!$A$1:$F$2241,6,FALSE)</f>
        <v>4</v>
      </c>
    </row>
    <row r="2048" spans="1:15" ht="12.5">
      <c r="A2048" s="6">
        <v>2046</v>
      </c>
      <c r="B2048" s="6">
        <v>4268</v>
      </c>
      <c r="C2048" s="6">
        <v>1959</v>
      </c>
      <c r="D2048" s="7" t="s">
        <v>9</v>
      </c>
      <c r="E2048" s="7" t="s">
        <v>13</v>
      </c>
      <c r="F2048" s="6">
        <v>53154</v>
      </c>
      <c r="G2048" s="6">
        <v>0</v>
      </c>
      <c r="H2048" s="6">
        <v>1</v>
      </c>
      <c r="I2048" s="6">
        <f t="shared" si="31"/>
        <v>1</v>
      </c>
      <c r="J2048" s="8">
        <v>41799</v>
      </c>
      <c r="K2048" s="6">
        <v>50</v>
      </c>
      <c r="L2048">
        <f>VLOOKUP(A2048,Marketing_df2!$A$1:$F$2241,3,FALSE)</f>
        <v>0</v>
      </c>
      <c r="M2048">
        <f>VLOOKUP(A2048,Marketing_df2!$A$1:$F$2241,4,FALSE)</f>
        <v>1</v>
      </c>
      <c r="N2048">
        <f>VLOOKUP(A2048,Marketing_df2!$A$1:$F$2241,5,FALSE)</f>
        <v>3</v>
      </c>
      <c r="O2048">
        <f>VLOOKUP(A2048,Marketing_df2!$A$1:$F$2241,6,FALSE)</f>
        <v>4</v>
      </c>
    </row>
    <row r="2049" spans="1:15" ht="12.5">
      <c r="A2049" s="6">
        <v>2047</v>
      </c>
      <c r="B2049" s="6">
        <v>10701</v>
      </c>
      <c r="C2049" s="6">
        <v>1973</v>
      </c>
      <c r="D2049" s="7" t="s">
        <v>9</v>
      </c>
      <c r="E2049" s="7" t="s">
        <v>13</v>
      </c>
      <c r="F2049" s="6">
        <v>65308</v>
      </c>
      <c r="G2049" s="6">
        <v>0</v>
      </c>
      <c r="H2049" s="6">
        <v>0</v>
      </c>
      <c r="I2049" s="6">
        <f t="shared" si="31"/>
        <v>0</v>
      </c>
      <c r="J2049" s="8">
        <v>41528</v>
      </c>
      <c r="K2049" s="6">
        <v>60</v>
      </c>
      <c r="L2049">
        <f>VLOOKUP(A2049,Marketing_df2!$A$1:$F$2241,3,FALSE)</f>
        <v>0</v>
      </c>
      <c r="M2049">
        <f>VLOOKUP(A2049,Marketing_df2!$A$1:$F$2241,4,FALSE)</f>
        <v>80</v>
      </c>
      <c r="N2049">
        <f>VLOOKUP(A2049,Marketing_df2!$A$1:$F$2241,5,FALSE)</f>
        <v>7</v>
      </c>
      <c r="O2049">
        <f>VLOOKUP(A2049,Marketing_df2!$A$1:$F$2241,6,FALSE)</f>
        <v>12</v>
      </c>
    </row>
    <row r="2050" spans="1:15" ht="12.5">
      <c r="A2050" s="6">
        <v>2048</v>
      </c>
      <c r="B2050" s="6">
        <v>3507</v>
      </c>
      <c r="C2050" s="6">
        <v>1970</v>
      </c>
      <c r="D2050" s="7" t="s">
        <v>9</v>
      </c>
      <c r="E2050" s="7" t="s">
        <v>10</v>
      </c>
      <c r="F2050" s="6">
        <v>76467</v>
      </c>
      <c r="G2050" s="6">
        <v>1</v>
      </c>
      <c r="H2050" s="6">
        <v>0</v>
      </c>
      <c r="I2050" s="6">
        <f t="shared" si="31"/>
        <v>1</v>
      </c>
      <c r="J2050" s="8">
        <v>41138</v>
      </c>
      <c r="K2050" s="6">
        <v>44</v>
      </c>
      <c r="L2050">
        <f>VLOOKUP(A2050,Marketing_df2!$A$1:$F$2241,3,FALSE)</f>
        <v>161</v>
      </c>
      <c r="M2050">
        <f>VLOOKUP(A2050,Marketing_df2!$A$1:$F$2241,4,FALSE)</f>
        <v>44</v>
      </c>
      <c r="N2050">
        <f>VLOOKUP(A2050,Marketing_df2!$A$1:$F$2241,5,FALSE)</f>
        <v>2</v>
      </c>
      <c r="O2050">
        <f>VLOOKUP(A2050,Marketing_df2!$A$1:$F$2241,6,FALSE)</f>
        <v>5</v>
      </c>
    </row>
    <row r="2051" spans="1:15" ht="12.5">
      <c r="A2051" s="6">
        <v>2049</v>
      </c>
      <c r="B2051" s="6">
        <v>2079</v>
      </c>
      <c r="C2051" s="6">
        <v>1947</v>
      </c>
      <c r="D2051" s="7" t="s">
        <v>17</v>
      </c>
      <c r="E2051" s="7" t="s">
        <v>13</v>
      </c>
      <c r="F2051" s="6">
        <v>81044</v>
      </c>
      <c r="G2051" s="6">
        <v>0</v>
      </c>
      <c r="H2051" s="6">
        <v>0</v>
      </c>
      <c r="I2051" s="6">
        <f t="shared" ref="I2051:I2114" si="32">G2051+H2051</f>
        <v>0</v>
      </c>
      <c r="J2051" s="9">
        <v>41635</v>
      </c>
      <c r="K2051" s="6">
        <v>0</v>
      </c>
      <c r="L2051">
        <f>VLOOKUP(A2051,Marketing_df2!$A$1:$F$2241,3,FALSE)</f>
        <v>26</v>
      </c>
      <c r="M2051">
        <f>VLOOKUP(A2051,Marketing_df2!$A$1:$F$2241,4,FALSE)</f>
        <v>98</v>
      </c>
      <c r="N2051">
        <f>VLOOKUP(A2051,Marketing_df2!$A$1:$F$2241,5,FALSE)</f>
        <v>5</v>
      </c>
      <c r="O2051">
        <f>VLOOKUP(A2051,Marketing_df2!$A$1:$F$2241,6,FALSE)</f>
        <v>10</v>
      </c>
    </row>
    <row r="2052" spans="1:15" ht="12.5">
      <c r="A2052" s="6">
        <v>2050</v>
      </c>
      <c r="B2052" s="6">
        <v>626</v>
      </c>
      <c r="C2052" s="6">
        <v>1951</v>
      </c>
      <c r="D2052" s="7" t="s">
        <v>9</v>
      </c>
      <c r="E2052" s="7" t="s">
        <v>13</v>
      </c>
      <c r="F2052" s="6">
        <v>32871</v>
      </c>
      <c r="G2052" s="6">
        <v>1</v>
      </c>
      <c r="H2052" s="6">
        <v>1</v>
      </c>
      <c r="I2052" s="6">
        <f t="shared" si="32"/>
        <v>2</v>
      </c>
      <c r="J2052" s="8">
        <v>41342</v>
      </c>
      <c r="K2052" s="6">
        <v>28</v>
      </c>
      <c r="L2052">
        <f>VLOOKUP(A2052,Marketing_df2!$A$1:$F$2241,3,FALSE)</f>
        <v>2</v>
      </c>
      <c r="M2052">
        <f>VLOOKUP(A2052,Marketing_df2!$A$1:$F$2241,4,FALSE)</f>
        <v>2</v>
      </c>
      <c r="N2052">
        <f>VLOOKUP(A2052,Marketing_df2!$A$1:$F$2241,5,FALSE)</f>
        <v>1</v>
      </c>
      <c r="O2052">
        <f>VLOOKUP(A2052,Marketing_df2!$A$1:$F$2241,6,FALSE)</f>
        <v>3</v>
      </c>
    </row>
    <row r="2053" spans="1:15" ht="12.5">
      <c r="A2053" s="6">
        <v>2051</v>
      </c>
      <c r="B2053" s="6">
        <v>4426</v>
      </c>
      <c r="C2053" s="6">
        <v>1975</v>
      </c>
      <c r="D2053" s="7" t="s">
        <v>9</v>
      </c>
      <c r="E2053" s="7" t="s">
        <v>10</v>
      </c>
      <c r="F2053" s="6">
        <v>55801</v>
      </c>
      <c r="G2053" s="6">
        <v>1</v>
      </c>
      <c r="H2053" s="6">
        <v>1</v>
      </c>
      <c r="I2053" s="6">
        <f t="shared" si="32"/>
        <v>2</v>
      </c>
      <c r="J2053" s="8">
        <v>41539</v>
      </c>
      <c r="K2053" s="6">
        <v>35</v>
      </c>
      <c r="L2053">
        <f>VLOOKUP(A2053,Marketing_df2!$A$1:$F$2241,3,FALSE)</f>
        <v>4</v>
      </c>
      <c r="M2053">
        <f>VLOOKUP(A2053,Marketing_df2!$A$1:$F$2241,4,FALSE)</f>
        <v>4</v>
      </c>
      <c r="N2053">
        <f>VLOOKUP(A2053,Marketing_df2!$A$1:$F$2241,5,FALSE)</f>
        <v>7</v>
      </c>
      <c r="O2053">
        <f>VLOOKUP(A2053,Marketing_df2!$A$1:$F$2241,6,FALSE)</f>
        <v>6</v>
      </c>
    </row>
    <row r="2054" spans="1:15" ht="12.5">
      <c r="A2054" s="6">
        <v>2052</v>
      </c>
      <c r="B2054" s="6">
        <v>2591</v>
      </c>
      <c r="C2054" s="6">
        <v>1959</v>
      </c>
      <c r="D2054" s="7" t="s">
        <v>9</v>
      </c>
      <c r="E2054" s="7" t="s">
        <v>18</v>
      </c>
      <c r="F2054" s="6">
        <v>76320</v>
      </c>
      <c r="G2054" s="6">
        <v>0</v>
      </c>
      <c r="H2054" s="6">
        <v>1</v>
      </c>
      <c r="I2054" s="6">
        <f t="shared" si="32"/>
        <v>1</v>
      </c>
      <c r="J2054" s="8">
        <v>41812</v>
      </c>
      <c r="K2054" s="6">
        <v>49</v>
      </c>
      <c r="L2054">
        <f>VLOOKUP(A2054,Marketing_df2!$A$1:$F$2241,3,FALSE)</f>
        <v>35</v>
      </c>
      <c r="M2054">
        <f>VLOOKUP(A2054,Marketing_df2!$A$1:$F$2241,4,FALSE)</f>
        <v>53</v>
      </c>
      <c r="N2054">
        <f>VLOOKUP(A2054,Marketing_df2!$A$1:$F$2241,5,FALSE)</f>
        <v>6</v>
      </c>
      <c r="O2054">
        <f>VLOOKUP(A2054,Marketing_df2!$A$1:$F$2241,6,FALSE)</f>
        <v>4</v>
      </c>
    </row>
    <row r="2055" spans="1:15" ht="12.5">
      <c r="A2055" s="6">
        <v>2053</v>
      </c>
      <c r="B2055" s="6">
        <v>10509</v>
      </c>
      <c r="C2055" s="6">
        <v>1955</v>
      </c>
      <c r="D2055" s="7" t="s">
        <v>14</v>
      </c>
      <c r="E2055" s="7" t="s">
        <v>10</v>
      </c>
      <c r="F2055" s="6">
        <v>36927</v>
      </c>
      <c r="G2055" s="6">
        <v>1</v>
      </c>
      <c r="H2055" s="6">
        <v>1</v>
      </c>
      <c r="I2055" s="6">
        <f t="shared" si="32"/>
        <v>2</v>
      </c>
      <c r="J2055" s="8">
        <v>41792</v>
      </c>
      <c r="K2055" s="6">
        <v>46</v>
      </c>
      <c r="L2055">
        <f>VLOOKUP(A2055,Marketing_df2!$A$1:$F$2241,3,FALSE)</f>
        <v>0</v>
      </c>
      <c r="M2055">
        <f>VLOOKUP(A2055,Marketing_df2!$A$1:$F$2241,4,FALSE)</f>
        <v>0</v>
      </c>
      <c r="N2055">
        <f>VLOOKUP(A2055,Marketing_df2!$A$1:$F$2241,5,FALSE)</f>
        <v>3</v>
      </c>
      <c r="O2055">
        <f>VLOOKUP(A2055,Marketing_df2!$A$1:$F$2241,6,FALSE)</f>
        <v>3</v>
      </c>
    </row>
    <row r="2056" spans="1:15" ht="12.5">
      <c r="A2056" s="6">
        <v>2054</v>
      </c>
      <c r="B2056" s="6">
        <v>6382</v>
      </c>
      <c r="C2056" s="6">
        <v>1953</v>
      </c>
      <c r="D2056" s="7" t="s">
        <v>9</v>
      </c>
      <c r="E2056" s="7" t="s">
        <v>11</v>
      </c>
      <c r="F2056" s="6">
        <v>48794</v>
      </c>
      <c r="G2056" s="6">
        <v>1</v>
      </c>
      <c r="H2056" s="6">
        <v>1</v>
      </c>
      <c r="I2056" s="6">
        <f t="shared" si="32"/>
        <v>2</v>
      </c>
      <c r="J2056" s="8">
        <v>41816</v>
      </c>
      <c r="K2056" s="6">
        <v>97</v>
      </c>
      <c r="L2056">
        <f>VLOOKUP(A2056,Marketing_df2!$A$1:$F$2241,3,FALSE)</f>
        <v>0</v>
      </c>
      <c r="M2056">
        <f>VLOOKUP(A2056,Marketing_df2!$A$1:$F$2241,4,FALSE)</f>
        <v>0</v>
      </c>
      <c r="N2056">
        <f>VLOOKUP(A2056,Marketing_df2!$A$1:$F$2241,5,FALSE)</f>
        <v>1</v>
      </c>
      <c r="O2056">
        <f>VLOOKUP(A2056,Marketing_df2!$A$1:$F$2241,6,FALSE)</f>
        <v>3</v>
      </c>
    </row>
    <row r="2057" spans="1:15" ht="12.5">
      <c r="A2057" s="6">
        <v>2055</v>
      </c>
      <c r="B2057" s="6">
        <v>6673</v>
      </c>
      <c r="C2057" s="6">
        <v>1965</v>
      </c>
      <c r="D2057" s="7" t="s">
        <v>9</v>
      </c>
      <c r="E2057" s="7" t="s">
        <v>10</v>
      </c>
      <c r="F2057" s="6">
        <v>23478</v>
      </c>
      <c r="G2057" s="6">
        <v>0</v>
      </c>
      <c r="H2057" s="6">
        <v>0</v>
      </c>
      <c r="I2057" s="6">
        <f t="shared" si="32"/>
        <v>0</v>
      </c>
      <c r="J2057" s="8">
        <v>41352</v>
      </c>
      <c r="K2057" s="6">
        <v>51</v>
      </c>
      <c r="L2057">
        <f>VLOOKUP(A2057,Marketing_df2!$A$1:$F$2241,3,FALSE)</f>
        <v>6</v>
      </c>
      <c r="M2057">
        <f>VLOOKUP(A2057,Marketing_df2!$A$1:$F$2241,4,FALSE)</f>
        <v>17</v>
      </c>
      <c r="N2057">
        <f>VLOOKUP(A2057,Marketing_df2!$A$1:$F$2241,5,FALSE)</f>
        <v>3</v>
      </c>
      <c r="O2057">
        <f>VLOOKUP(A2057,Marketing_df2!$A$1:$F$2241,6,FALSE)</f>
        <v>3</v>
      </c>
    </row>
    <row r="2058" spans="1:15" ht="12.5">
      <c r="A2058" s="6">
        <v>2056</v>
      </c>
      <c r="B2058" s="6">
        <v>7441</v>
      </c>
      <c r="C2058" s="6">
        <v>1973</v>
      </c>
      <c r="D2058" s="7" t="s">
        <v>9</v>
      </c>
      <c r="E2058" s="7" t="s">
        <v>15</v>
      </c>
      <c r="F2058" s="6">
        <v>71128</v>
      </c>
      <c r="G2058" s="6">
        <v>1</v>
      </c>
      <c r="H2058" s="6">
        <v>0</v>
      </c>
      <c r="I2058" s="6">
        <f t="shared" si="32"/>
        <v>1</v>
      </c>
      <c r="J2058" s="8">
        <v>41188</v>
      </c>
      <c r="K2058" s="6">
        <v>80</v>
      </c>
      <c r="L2058">
        <f>VLOOKUP(A2058,Marketing_df2!$A$1:$F$2241,3,FALSE)</f>
        <v>159</v>
      </c>
      <c r="M2058">
        <f>VLOOKUP(A2058,Marketing_df2!$A$1:$F$2241,4,FALSE)</f>
        <v>0</v>
      </c>
      <c r="N2058">
        <f>VLOOKUP(A2058,Marketing_df2!$A$1:$F$2241,5,FALSE)</f>
        <v>2</v>
      </c>
      <c r="O2058">
        <f>VLOOKUP(A2058,Marketing_df2!$A$1:$F$2241,6,FALSE)</f>
        <v>12</v>
      </c>
    </row>
    <row r="2059" spans="1:15" ht="12.5">
      <c r="A2059" s="6">
        <v>2057</v>
      </c>
      <c r="B2059" s="6">
        <v>1071</v>
      </c>
      <c r="C2059" s="6">
        <v>1976</v>
      </c>
      <c r="D2059" s="7" t="s">
        <v>12</v>
      </c>
      <c r="E2059" s="7" t="s">
        <v>15</v>
      </c>
      <c r="F2059" s="6">
        <v>70179</v>
      </c>
      <c r="G2059" s="6">
        <v>0</v>
      </c>
      <c r="H2059" s="6">
        <v>1</v>
      </c>
      <c r="I2059" s="6">
        <f t="shared" si="32"/>
        <v>1</v>
      </c>
      <c r="J2059" s="8">
        <v>41476</v>
      </c>
      <c r="K2059" s="6">
        <v>10</v>
      </c>
      <c r="L2059">
        <f>VLOOKUP(A2059,Marketing_df2!$A$1:$F$2241,3,FALSE)</f>
        <v>88</v>
      </c>
      <c r="M2059">
        <f>VLOOKUP(A2059,Marketing_df2!$A$1:$F$2241,4,FALSE)</f>
        <v>44</v>
      </c>
      <c r="N2059">
        <f>VLOOKUP(A2059,Marketing_df2!$A$1:$F$2241,5,FALSE)</f>
        <v>7</v>
      </c>
      <c r="O2059">
        <f>VLOOKUP(A2059,Marketing_df2!$A$1:$F$2241,6,FALSE)</f>
        <v>13</v>
      </c>
    </row>
    <row r="2060" spans="1:15" ht="12.5">
      <c r="A2060" s="6">
        <v>2058</v>
      </c>
      <c r="B2060" s="6">
        <v>10061</v>
      </c>
      <c r="C2060" s="6">
        <v>1950</v>
      </c>
      <c r="D2060" s="7" t="s">
        <v>9</v>
      </c>
      <c r="E2060" s="7" t="s">
        <v>13</v>
      </c>
      <c r="F2060" s="6">
        <v>59462</v>
      </c>
      <c r="G2060" s="6">
        <v>0</v>
      </c>
      <c r="H2060" s="6">
        <v>1</v>
      </c>
      <c r="I2060" s="6">
        <f t="shared" si="32"/>
        <v>1</v>
      </c>
      <c r="J2060" s="8">
        <v>41279</v>
      </c>
      <c r="K2060" s="6">
        <v>29</v>
      </c>
      <c r="L2060">
        <f>VLOOKUP(A2060,Marketing_df2!$A$1:$F$2241,3,FALSE)</f>
        <v>17</v>
      </c>
      <c r="M2060">
        <f>VLOOKUP(A2060,Marketing_df2!$A$1:$F$2241,4,FALSE)</f>
        <v>8</v>
      </c>
      <c r="N2060">
        <f>VLOOKUP(A2060,Marketing_df2!$A$1:$F$2241,5,FALSE)</f>
        <v>9</v>
      </c>
      <c r="O2060">
        <f>VLOOKUP(A2060,Marketing_df2!$A$1:$F$2241,6,FALSE)</f>
        <v>12</v>
      </c>
    </row>
    <row r="2061" spans="1:15" ht="12.5">
      <c r="A2061" s="6">
        <v>2059</v>
      </c>
      <c r="B2061" s="6">
        <v>7187</v>
      </c>
      <c r="C2061" s="6">
        <v>1969</v>
      </c>
      <c r="D2061" s="7" t="s">
        <v>14</v>
      </c>
      <c r="E2061" s="7" t="s">
        <v>11</v>
      </c>
      <c r="F2061" s="7"/>
      <c r="G2061" s="6">
        <v>1</v>
      </c>
      <c r="H2061" s="6">
        <v>1</v>
      </c>
      <c r="I2061" s="6">
        <f t="shared" si="32"/>
        <v>2</v>
      </c>
      <c r="J2061" s="8">
        <v>41412</v>
      </c>
      <c r="K2061" s="6">
        <v>52</v>
      </c>
      <c r="L2061">
        <f>VLOOKUP(A2061,Marketing_df2!$A$1:$F$2241,3,FALSE)</f>
        <v>42</v>
      </c>
      <c r="M2061">
        <f>VLOOKUP(A2061,Marketing_df2!$A$1:$F$2241,4,FALSE)</f>
        <v>66</v>
      </c>
      <c r="N2061">
        <f>VLOOKUP(A2061,Marketing_df2!$A$1:$F$2241,5,FALSE)</f>
        <v>4</v>
      </c>
      <c r="O2061">
        <f>VLOOKUP(A2061,Marketing_df2!$A$1:$F$2241,6,FALSE)</f>
        <v>4</v>
      </c>
    </row>
    <row r="2062" spans="1:15" ht="12.5">
      <c r="A2062" s="6">
        <v>2060</v>
      </c>
      <c r="B2062" s="6">
        <v>8775</v>
      </c>
      <c r="C2062" s="6">
        <v>1969</v>
      </c>
      <c r="D2062" s="7" t="s">
        <v>9</v>
      </c>
      <c r="E2062" s="7" t="s">
        <v>11</v>
      </c>
      <c r="F2062" s="6">
        <v>38361</v>
      </c>
      <c r="G2062" s="6">
        <v>1</v>
      </c>
      <c r="H2062" s="6">
        <v>0</v>
      </c>
      <c r="I2062" s="6">
        <f t="shared" si="32"/>
        <v>1</v>
      </c>
      <c r="J2062" s="9">
        <v>41635</v>
      </c>
      <c r="K2062" s="6">
        <v>74</v>
      </c>
      <c r="L2062">
        <f>VLOOKUP(A2062,Marketing_df2!$A$1:$F$2241,3,FALSE)</f>
        <v>0</v>
      </c>
      <c r="M2062">
        <f>VLOOKUP(A2062,Marketing_df2!$A$1:$F$2241,4,FALSE)</f>
        <v>8</v>
      </c>
      <c r="N2062">
        <f>VLOOKUP(A2062,Marketing_df2!$A$1:$F$2241,5,FALSE)</f>
        <v>3</v>
      </c>
      <c r="O2062">
        <f>VLOOKUP(A2062,Marketing_df2!$A$1:$F$2241,6,FALSE)</f>
        <v>3</v>
      </c>
    </row>
    <row r="2063" spans="1:15" ht="12.5">
      <c r="A2063" s="6">
        <v>2061</v>
      </c>
      <c r="B2063" s="6">
        <v>1612</v>
      </c>
      <c r="C2063" s="6">
        <v>1981</v>
      </c>
      <c r="D2063" s="7" t="s">
        <v>12</v>
      </c>
      <c r="E2063" s="7" t="s">
        <v>10</v>
      </c>
      <c r="F2063" s="7"/>
      <c r="G2063" s="6">
        <v>1</v>
      </c>
      <c r="H2063" s="6">
        <v>0</v>
      </c>
      <c r="I2063" s="6">
        <f t="shared" si="32"/>
        <v>1</v>
      </c>
      <c r="J2063" s="8">
        <v>41425</v>
      </c>
      <c r="K2063" s="6">
        <v>82</v>
      </c>
      <c r="L2063">
        <f>VLOOKUP(A2063,Marketing_df2!$A$1:$F$2241,3,FALSE)</f>
        <v>0</v>
      </c>
      <c r="M2063">
        <f>VLOOKUP(A2063,Marketing_df2!$A$1:$F$2241,4,FALSE)</f>
        <v>2</v>
      </c>
      <c r="N2063">
        <f>VLOOKUP(A2063,Marketing_df2!$A$1:$F$2241,5,FALSE)</f>
        <v>3</v>
      </c>
      <c r="O2063">
        <f>VLOOKUP(A2063,Marketing_df2!$A$1:$F$2241,6,FALSE)</f>
        <v>3</v>
      </c>
    </row>
    <row r="2064" spans="1:15" ht="12.5">
      <c r="A2064" s="6">
        <v>2062</v>
      </c>
      <c r="B2064" s="6">
        <v>2345</v>
      </c>
      <c r="C2064" s="6">
        <v>1982</v>
      </c>
      <c r="D2064" s="7" t="s">
        <v>12</v>
      </c>
      <c r="E2064" s="7" t="s">
        <v>11</v>
      </c>
      <c r="F2064" s="6">
        <v>70038</v>
      </c>
      <c r="G2064" s="6">
        <v>0</v>
      </c>
      <c r="H2064" s="6">
        <v>0</v>
      </c>
      <c r="I2064" s="6">
        <f t="shared" si="32"/>
        <v>0</v>
      </c>
      <c r="J2064" s="9">
        <v>41572</v>
      </c>
      <c r="K2064" s="6">
        <v>54</v>
      </c>
      <c r="L2064">
        <f>VLOOKUP(A2064,Marketing_df2!$A$1:$F$2241,3,FALSE)</f>
        <v>54</v>
      </c>
      <c r="M2064">
        <f>VLOOKUP(A2064,Marketing_df2!$A$1:$F$2241,4,FALSE)</f>
        <v>54</v>
      </c>
      <c r="N2064">
        <f>VLOOKUP(A2064,Marketing_df2!$A$1:$F$2241,5,FALSE)</f>
        <v>4</v>
      </c>
      <c r="O2064">
        <f>VLOOKUP(A2064,Marketing_df2!$A$1:$F$2241,6,FALSE)</f>
        <v>8</v>
      </c>
    </row>
    <row r="2065" spans="1:15" ht="12.5">
      <c r="A2065" s="6">
        <v>2063</v>
      </c>
      <c r="B2065" s="6">
        <v>322</v>
      </c>
      <c r="C2065" s="6">
        <v>1978</v>
      </c>
      <c r="D2065" s="7" t="s">
        <v>9</v>
      </c>
      <c r="E2065" s="7" t="s">
        <v>11</v>
      </c>
      <c r="F2065" s="6">
        <v>42554</v>
      </c>
      <c r="G2065" s="6">
        <v>1</v>
      </c>
      <c r="H2065" s="6">
        <v>1</v>
      </c>
      <c r="I2065" s="6">
        <f t="shared" si="32"/>
        <v>2</v>
      </c>
      <c r="J2065" s="8">
        <v>41286</v>
      </c>
      <c r="K2065" s="6">
        <v>93</v>
      </c>
      <c r="L2065">
        <f>VLOOKUP(A2065,Marketing_df2!$A$1:$F$2241,3,FALSE)</f>
        <v>1</v>
      </c>
      <c r="M2065">
        <f>VLOOKUP(A2065,Marketing_df2!$A$1:$F$2241,4,FALSE)</f>
        <v>0</v>
      </c>
      <c r="N2065">
        <f>VLOOKUP(A2065,Marketing_df2!$A$1:$F$2241,5,FALSE)</f>
        <v>2</v>
      </c>
      <c r="O2065">
        <f>VLOOKUP(A2065,Marketing_df2!$A$1:$F$2241,6,FALSE)</f>
        <v>3</v>
      </c>
    </row>
    <row r="2066" spans="1:15" ht="12.5">
      <c r="A2066" s="6">
        <v>2064</v>
      </c>
      <c r="B2066" s="6">
        <v>10897</v>
      </c>
      <c r="C2066" s="6">
        <v>1974</v>
      </c>
      <c r="D2066" s="7" t="s">
        <v>9</v>
      </c>
      <c r="E2066" s="7" t="s">
        <v>13</v>
      </c>
      <c r="F2066" s="6">
        <v>67445</v>
      </c>
      <c r="G2066" s="6">
        <v>0</v>
      </c>
      <c r="H2066" s="6">
        <v>1</v>
      </c>
      <c r="I2066" s="6">
        <f t="shared" si="32"/>
        <v>1</v>
      </c>
      <c r="J2066" s="8">
        <v>41133</v>
      </c>
      <c r="K2066" s="6">
        <v>63</v>
      </c>
      <c r="L2066">
        <f>VLOOKUP(A2066,Marketing_df2!$A$1:$F$2241,3,FALSE)</f>
        <v>80</v>
      </c>
      <c r="M2066">
        <f>VLOOKUP(A2066,Marketing_df2!$A$1:$F$2241,4,FALSE)</f>
        <v>80</v>
      </c>
      <c r="N2066">
        <f>VLOOKUP(A2066,Marketing_df2!$A$1:$F$2241,5,FALSE)</f>
        <v>9</v>
      </c>
      <c r="O2066">
        <f>VLOOKUP(A2066,Marketing_df2!$A$1:$F$2241,6,FALSE)</f>
        <v>12</v>
      </c>
    </row>
    <row r="2067" spans="1:15" ht="12.5">
      <c r="A2067" s="6">
        <v>2065</v>
      </c>
      <c r="B2067" s="6">
        <v>123</v>
      </c>
      <c r="C2067" s="6">
        <v>1951</v>
      </c>
      <c r="D2067" s="7" t="s">
        <v>9</v>
      </c>
      <c r="E2067" s="7" t="s">
        <v>18</v>
      </c>
      <c r="F2067" s="6">
        <v>67046</v>
      </c>
      <c r="G2067" s="6">
        <v>0</v>
      </c>
      <c r="H2067" s="6">
        <v>1</v>
      </c>
      <c r="I2067" s="6">
        <f t="shared" si="32"/>
        <v>1</v>
      </c>
      <c r="J2067" s="8">
        <v>41280</v>
      </c>
      <c r="K2067" s="6">
        <v>92</v>
      </c>
      <c r="L2067">
        <f>VLOOKUP(A2067,Marketing_df2!$A$1:$F$2241,3,FALSE)</f>
        <v>35</v>
      </c>
      <c r="M2067">
        <f>VLOOKUP(A2067,Marketing_df2!$A$1:$F$2241,4,FALSE)</f>
        <v>151</v>
      </c>
      <c r="N2067">
        <f>VLOOKUP(A2067,Marketing_df2!$A$1:$F$2241,5,FALSE)</f>
        <v>4</v>
      </c>
      <c r="O2067">
        <f>VLOOKUP(A2067,Marketing_df2!$A$1:$F$2241,6,FALSE)</f>
        <v>4</v>
      </c>
    </row>
    <row r="2068" spans="1:15" ht="12.5">
      <c r="A2068" s="6">
        <v>2066</v>
      </c>
      <c r="B2068" s="6">
        <v>6103</v>
      </c>
      <c r="C2068" s="6">
        <v>1948</v>
      </c>
      <c r="D2068" s="7" t="s">
        <v>9</v>
      </c>
      <c r="E2068" s="7" t="s">
        <v>13</v>
      </c>
      <c r="F2068" s="6">
        <v>42192</v>
      </c>
      <c r="G2068" s="6">
        <v>0</v>
      </c>
      <c r="H2068" s="6">
        <v>0</v>
      </c>
      <c r="I2068" s="6">
        <f t="shared" si="32"/>
        <v>0</v>
      </c>
      <c r="J2068" s="8">
        <v>41523</v>
      </c>
      <c r="K2068" s="6">
        <v>40</v>
      </c>
      <c r="L2068">
        <f>VLOOKUP(A2068,Marketing_df2!$A$1:$F$2241,3,FALSE)</f>
        <v>15</v>
      </c>
      <c r="M2068">
        <f>VLOOKUP(A2068,Marketing_df2!$A$1:$F$2241,4,FALSE)</f>
        <v>6</v>
      </c>
      <c r="N2068">
        <f>VLOOKUP(A2068,Marketing_df2!$A$1:$F$2241,5,FALSE)</f>
        <v>2</v>
      </c>
      <c r="O2068">
        <f>VLOOKUP(A2068,Marketing_df2!$A$1:$F$2241,6,FALSE)</f>
        <v>3</v>
      </c>
    </row>
    <row r="2069" spans="1:15" ht="12.5">
      <c r="A2069" s="6">
        <v>2067</v>
      </c>
      <c r="B2069" s="6">
        <v>7899</v>
      </c>
      <c r="C2069" s="6">
        <v>1952</v>
      </c>
      <c r="D2069" s="7" t="s">
        <v>12</v>
      </c>
      <c r="E2069" s="7" t="s">
        <v>13</v>
      </c>
      <c r="F2069" s="6">
        <v>77610</v>
      </c>
      <c r="G2069" s="6">
        <v>0</v>
      </c>
      <c r="H2069" s="6">
        <v>1</v>
      </c>
      <c r="I2069" s="6">
        <f t="shared" si="32"/>
        <v>1</v>
      </c>
      <c r="J2069" s="9">
        <v>41211</v>
      </c>
      <c r="K2069" s="6">
        <v>70</v>
      </c>
      <c r="L2069">
        <f>VLOOKUP(A2069,Marketing_df2!$A$1:$F$2241,3,FALSE)</f>
        <v>33</v>
      </c>
      <c r="M2069">
        <f>VLOOKUP(A2069,Marketing_df2!$A$1:$F$2241,4,FALSE)</f>
        <v>33</v>
      </c>
      <c r="N2069">
        <f>VLOOKUP(A2069,Marketing_df2!$A$1:$F$2241,5,FALSE)</f>
        <v>4</v>
      </c>
      <c r="O2069">
        <f>VLOOKUP(A2069,Marketing_df2!$A$1:$F$2241,6,FALSE)</f>
        <v>4</v>
      </c>
    </row>
    <row r="2070" spans="1:15" ht="12.5">
      <c r="A2070" s="6">
        <v>2068</v>
      </c>
      <c r="B2070" s="6">
        <v>10500</v>
      </c>
      <c r="C2070" s="6">
        <v>1984</v>
      </c>
      <c r="D2070" s="7" t="s">
        <v>9</v>
      </c>
      <c r="E2070" s="7" t="s">
        <v>13</v>
      </c>
      <c r="F2070" s="6">
        <v>31761</v>
      </c>
      <c r="G2070" s="6">
        <v>1</v>
      </c>
      <c r="H2070" s="6">
        <v>0</v>
      </c>
      <c r="I2070" s="6">
        <f t="shared" si="32"/>
        <v>1</v>
      </c>
      <c r="J2070" s="8">
        <v>41734</v>
      </c>
      <c r="K2070" s="6">
        <v>96</v>
      </c>
      <c r="L2070">
        <f>VLOOKUP(A2070,Marketing_df2!$A$1:$F$2241,3,FALSE)</f>
        <v>1</v>
      </c>
      <c r="M2070">
        <f>VLOOKUP(A2070,Marketing_df2!$A$1:$F$2241,4,FALSE)</f>
        <v>14</v>
      </c>
      <c r="N2070">
        <f>VLOOKUP(A2070,Marketing_df2!$A$1:$F$2241,5,FALSE)</f>
        <v>3</v>
      </c>
      <c r="O2070">
        <f>VLOOKUP(A2070,Marketing_df2!$A$1:$F$2241,6,FALSE)</f>
        <v>4</v>
      </c>
    </row>
    <row r="2071" spans="1:15" ht="12.5">
      <c r="A2071" s="6">
        <v>2069</v>
      </c>
      <c r="B2071" s="6">
        <v>1655</v>
      </c>
      <c r="C2071" s="6">
        <v>1979</v>
      </c>
      <c r="D2071" s="7" t="s">
        <v>9</v>
      </c>
      <c r="E2071" s="7" t="s">
        <v>11</v>
      </c>
      <c r="F2071" s="6">
        <v>34350</v>
      </c>
      <c r="G2071" s="6">
        <v>1</v>
      </c>
      <c r="H2071" s="6">
        <v>0</v>
      </c>
      <c r="I2071" s="6">
        <f t="shared" si="32"/>
        <v>1</v>
      </c>
      <c r="J2071" s="9">
        <v>41566</v>
      </c>
      <c r="K2071" s="6">
        <v>81</v>
      </c>
      <c r="L2071">
        <f>VLOOKUP(A2071,Marketing_df2!$A$1:$F$2241,3,FALSE)</f>
        <v>3</v>
      </c>
      <c r="M2071">
        <f>VLOOKUP(A2071,Marketing_df2!$A$1:$F$2241,4,FALSE)</f>
        <v>1</v>
      </c>
      <c r="N2071">
        <f>VLOOKUP(A2071,Marketing_df2!$A$1:$F$2241,5,FALSE)</f>
        <v>1</v>
      </c>
      <c r="O2071">
        <f>VLOOKUP(A2071,Marketing_df2!$A$1:$F$2241,6,FALSE)</f>
        <v>3</v>
      </c>
    </row>
    <row r="2072" spans="1:15" ht="12.5">
      <c r="A2072" s="6">
        <v>2070</v>
      </c>
      <c r="B2072" s="6">
        <v>2406</v>
      </c>
      <c r="C2072" s="6">
        <v>1949</v>
      </c>
      <c r="D2072" s="7" t="s">
        <v>9</v>
      </c>
      <c r="E2072" s="7" t="s">
        <v>11</v>
      </c>
      <c r="F2072" s="6">
        <v>54591</v>
      </c>
      <c r="G2072" s="6">
        <v>0</v>
      </c>
      <c r="H2072" s="6">
        <v>1</v>
      </c>
      <c r="I2072" s="6">
        <f t="shared" si="32"/>
        <v>1</v>
      </c>
      <c r="J2072" s="8">
        <v>41491</v>
      </c>
      <c r="K2072" s="6">
        <v>63</v>
      </c>
      <c r="L2072">
        <f>VLOOKUP(A2072,Marketing_df2!$A$1:$F$2241,3,FALSE)</f>
        <v>4</v>
      </c>
      <c r="M2072">
        <f>VLOOKUP(A2072,Marketing_df2!$A$1:$F$2241,4,FALSE)</f>
        <v>9</v>
      </c>
      <c r="N2072">
        <f>VLOOKUP(A2072,Marketing_df2!$A$1:$F$2241,5,FALSE)</f>
        <v>6</v>
      </c>
      <c r="O2072">
        <f>VLOOKUP(A2072,Marketing_df2!$A$1:$F$2241,6,FALSE)</f>
        <v>8</v>
      </c>
    </row>
    <row r="2073" spans="1:15" ht="12.5">
      <c r="A2073" s="6">
        <v>2071</v>
      </c>
      <c r="B2073" s="6">
        <v>2712</v>
      </c>
      <c r="C2073" s="6">
        <v>1956</v>
      </c>
      <c r="D2073" s="7" t="s">
        <v>9</v>
      </c>
      <c r="E2073" s="7" t="s">
        <v>13</v>
      </c>
      <c r="F2073" s="6">
        <v>71866</v>
      </c>
      <c r="G2073" s="6">
        <v>0</v>
      </c>
      <c r="H2073" s="6">
        <v>1</v>
      </c>
      <c r="I2073" s="6">
        <f t="shared" si="32"/>
        <v>1</v>
      </c>
      <c r="J2073" s="9">
        <v>41633</v>
      </c>
      <c r="K2073" s="6">
        <v>85</v>
      </c>
      <c r="L2073">
        <f>VLOOKUP(A2073,Marketing_df2!$A$1:$F$2241,3,FALSE)</f>
        <v>178</v>
      </c>
      <c r="M2073">
        <f>VLOOKUP(A2073,Marketing_df2!$A$1:$F$2241,4,FALSE)</f>
        <v>39</v>
      </c>
      <c r="N2073">
        <f>VLOOKUP(A2073,Marketing_df2!$A$1:$F$2241,5,FALSE)</f>
        <v>6</v>
      </c>
      <c r="O2073">
        <f>VLOOKUP(A2073,Marketing_df2!$A$1:$F$2241,6,FALSE)</f>
        <v>10</v>
      </c>
    </row>
    <row r="2074" spans="1:15" ht="12.5">
      <c r="A2074" s="6">
        <v>2072</v>
      </c>
      <c r="B2074" s="6">
        <v>5517</v>
      </c>
      <c r="C2074" s="6">
        <v>1969</v>
      </c>
      <c r="D2074" s="7" t="s">
        <v>9</v>
      </c>
      <c r="E2074" s="7" t="s">
        <v>13</v>
      </c>
      <c r="F2074" s="6">
        <v>25293</v>
      </c>
      <c r="G2074" s="6">
        <v>1</v>
      </c>
      <c r="H2074" s="6">
        <v>0</v>
      </c>
      <c r="I2074" s="6">
        <f t="shared" si="32"/>
        <v>1</v>
      </c>
      <c r="J2074" s="8">
        <v>41532</v>
      </c>
      <c r="K2074" s="6">
        <v>51</v>
      </c>
      <c r="L2074">
        <f>VLOOKUP(A2074,Marketing_df2!$A$1:$F$2241,3,FALSE)</f>
        <v>0</v>
      </c>
      <c r="M2074">
        <f>VLOOKUP(A2074,Marketing_df2!$A$1:$F$2241,4,FALSE)</f>
        <v>2</v>
      </c>
      <c r="N2074">
        <f>VLOOKUP(A2074,Marketing_df2!$A$1:$F$2241,5,FALSE)</f>
        <v>1</v>
      </c>
      <c r="O2074">
        <f>VLOOKUP(A2074,Marketing_df2!$A$1:$F$2241,6,FALSE)</f>
        <v>2</v>
      </c>
    </row>
    <row r="2075" spans="1:15" ht="12.5">
      <c r="A2075" s="6">
        <v>2073</v>
      </c>
      <c r="B2075" s="6">
        <v>10643</v>
      </c>
      <c r="C2075" s="6">
        <v>1987</v>
      </c>
      <c r="D2075" s="7" t="s">
        <v>12</v>
      </c>
      <c r="E2075" s="7" t="s">
        <v>10</v>
      </c>
      <c r="F2075" s="6">
        <v>42000</v>
      </c>
      <c r="G2075" s="6">
        <v>0</v>
      </c>
      <c r="H2075" s="6">
        <v>0</v>
      </c>
      <c r="I2075" s="6">
        <f t="shared" si="32"/>
        <v>0</v>
      </c>
      <c r="J2075" s="8">
        <v>41284</v>
      </c>
      <c r="K2075" s="6">
        <v>23</v>
      </c>
      <c r="L2075">
        <f>VLOOKUP(A2075,Marketing_df2!$A$1:$F$2241,3,FALSE)</f>
        <v>83</v>
      </c>
      <c r="M2075">
        <f>VLOOKUP(A2075,Marketing_df2!$A$1:$F$2241,4,FALSE)</f>
        <v>59</v>
      </c>
      <c r="N2075">
        <f>VLOOKUP(A2075,Marketing_df2!$A$1:$F$2241,5,FALSE)</f>
        <v>5</v>
      </c>
      <c r="O2075">
        <f>VLOOKUP(A2075,Marketing_df2!$A$1:$F$2241,6,FALSE)</f>
        <v>11</v>
      </c>
    </row>
    <row r="2076" spans="1:15" ht="12.5">
      <c r="A2076" s="6">
        <v>2074</v>
      </c>
      <c r="B2076" s="6">
        <v>2254</v>
      </c>
      <c r="C2076" s="6">
        <v>1983</v>
      </c>
      <c r="D2076" s="7" t="s">
        <v>9</v>
      </c>
      <c r="E2076" s="7" t="s">
        <v>13</v>
      </c>
      <c r="F2076" s="6">
        <v>69520</v>
      </c>
      <c r="G2076" s="6">
        <v>0</v>
      </c>
      <c r="H2076" s="6">
        <v>0</v>
      </c>
      <c r="I2076" s="6">
        <f t="shared" si="32"/>
        <v>0</v>
      </c>
      <c r="J2076" s="8">
        <v>41462</v>
      </c>
      <c r="K2076" s="6">
        <v>95</v>
      </c>
      <c r="L2076">
        <f>VLOOKUP(A2076,Marketing_df2!$A$1:$F$2241,3,FALSE)</f>
        <v>120</v>
      </c>
      <c r="M2076">
        <f>VLOOKUP(A2076,Marketing_df2!$A$1:$F$2241,4,FALSE)</f>
        <v>80</v>
      </c>
      <c r="N2076">
        <f>VLOOKUP(A2076,Marketing_df2!$A$1:$F$2241,5,FALSE)</f>
        <v>9</v>
      </c>
      <c r="O2076">
        <f>VLOOKUP(A2076,Marketing_df2!$A$1:$F$2241,6,FALSE)</f>
        <v>5</v>
      </c>
    </row>
    <row r="2077" spans="1:15" ht="12.5">
      <c r="A2077" s="6">
        <v>2075</v>
      </c>
      <c r="B2077" s="6">
        <v>10281</v>
      </c>
      <c r="C2077" s="6">
        <v>1970</v>
      </c>
      <c r="D2077" s="7" t="s">
        <v>9</v>
      </c>
      <c r="E2077" s="7" t="s">
        <v>15</v>
      </c>
      <c r="F2077" s="6">
        <v>64713</v>
      </c>
      <c r="G2077" s="6">
        <v>1</v>
      </c>
      <c r="H2077" s="6">
        <v>0</v>
      </c>
      <c r="I2077" s="6">
        <f t="shared" si="32"/>
        <v>1</v>
      </c>
      <c r="J2077" s="8">
        <v>41677</v>
      </c>
      <c r="K2077" s="6">
        <v>11</v>
      </c>
      <c r="L2077">
        <f>VLOOKUP(A2077,Marketing_df2!$A$1:$F$2241,3,FALSE)</f>
        <v>60</v>
      </c>
      <c r="M2077">
        <f>VLOOKUP(A2077,Marketing_df2!$A$1:$F$2241,4,FALSE)</f>
        <v>54</v>
      </c>
      <c r="N2077">
        <f>VLOOKUP(A2077,Marketing_df2!$A$1:$F$2241,5,FALSE)</f>
        <v>5</v>
      </c>
      <c r="O2077">
        <f>VLOOKUP(A2077,Marketing_df2!$A$1:$F$2241,6,FALSE)</f>
        <v>7</v>
      </c>
    </row>
    <row r="2078" spans="1:15" ht="12.5">
      <c r="A2078" s="6">
        <v>2076</v>
      </c>
      <c r="B2078" s="6">
        <v>6958</v>
      </c>
      <c r="C2078" s="6">
        <v>1977</v>
      </c>
      <c r="D2078" s="7" t="s">
        <v>14</v>
      </c>
      <c r="E2078" s="7" t="s">
        <v>13</v>
      </c>
      <c r="F2078" s="6">
        <v>27889</v>
      </c>
      <c r="G2078" s="6">
        <v>1</v>
      </c>
      <c r="H2078" s="6">
        <v>0</v>
      </c>
      <c r="I2078" s="6">
        <f t="shared" si="32"/>
        <v>1</v>
      </c>
      <c r="J2078" s="8">
        <v>41460</v>
      </c>
      <c r="K2078" s="6">
        <v>42</v>
      </c>
      <c r="L2078">
        <f>VLOOKUP(A2078,Marketing_df2!$A$1:$F$2241,3,FALSE)</f>
        <v>0</v>
      </c>
      <c r="M2078">
        <f>VLOOKUP(A2078,Marketing_df2!$A$1:$F$2241,4,FALSE)</f>
        <v>0</v>
      </c>
      <c r="N2078">
        <f>VLOOKUP(A2078,Marketing_df2!$A$1:$F$2241,5,FALSE)</f>
        <v>1</v>
      </c>
      <c r="O2078">
        <f>VLOOKUP(A2078,Marketing_df2!$A$1:$F$2241,6,FALSE)</f>
        <v>2</v>
      </c>
    </row>
    <row r="2079" spans="1:15" ht="12.5">
      <c r="A2079" s="6">
        <v>2077</v>
      </c>
      <c r="B2079" s="6">
        <v>954</v>
      </c>
      <c r="C2079" s="6">
        <v>1960</v>
      </c>
      <c r="D2079" s="7" t="s">
        <v>16</v>
      </c>
      <c r="E2079" s="7" t="s">
        <v>18</v>
      </c>
      <c r="F2079" s="6">
        <v>22123</v>
      </c>
      <c r="G2079" s="6">
        <v>0</v>
      </c>
      <c r="H2079" s="6">
        <v>0</v>
      </c>
      <c r="I2079" s="6">
        <f t="shared" si="32"/>
        <v>0</v>
      </c>
      <c r="J2079" s="8">
        <v>41725</v>
      </c>
      <c r="K2079" s="6">
        <v>77</v>
      </c>
      <c r="L2079">
        <f>VLOOKUP(A2079,Marketing_df2!$A$1:$F$2241,3,FALSE)</f>
        <v>3</v>
      </c>
      <c r="M2079">
        <f>VLOOKUP(A2079,Marketing_df2!$A$1:$F$2241,4,FALSE)</f>
        <v>7</v>
      </c>
      <c r="N2079">
        <f>VLOOKUP(A2079,Marketing_df2!$A$1:$F$2241,5,FALSE)</f>
        <v>2</v>
      </c>
      <c r="O2079">
        <f>VLOOKUP(A2079,Marketing_df2!$A$1:$F$2241,6,FALSE)</f>
        <v>3</v>
      </c>
    </row>
    <row r="2080" spans="1:15" ht="12.5">
      <c r="A2080" s="6">
        <v>2078</v>
      </c>
      <c r="B2080" s="6">
        <v>5079</v>
      </c>
      <c r="C2080" s="6">
        <v>1971</v>
      </c>
      <c r="D2080" s="7" t="s">
        <v>9</v>
      </c>
      <c r="E2080" s="7" t="s">
        <v>13</v>
      </c>
      <c r="F2080" s="7"/>
      <c r="G2080" s="6">
        <v>1</v>
      </c>
      <c r="H2080" s="6">
        <v>1</v>
      </c>
      <c r="I2080" s="6">
        <f t="shared" si="32"/>
        <v>2</v>
      </c>
      <c r="J2080" s="8">
        <v>41336</v>
      </c>
      <c r="K2080" s="6">
        <v>82</v>
      </c>
      <c r="L2080">
        <f>VLOOKUP(A2080,Marketing_df2!$A$1:$F$2241,3,FALSE)</f>
        <v>1</v>
      </c>
      <c r="M2080">
        <f>VLOOKUP(A2080,Marketing_df2!$A$1:$F$2241,4,FALSE)</f>
        <v>0</v>
      </c>
      <c r="N2080">
        <f>VLOOKUP(A2080,Marketing_df2!$A$1:$F$2241,5,FALSE)</f>
        <v>2</v>
      </c>
      <c r="O2080">
        <f>VLOOKUP(A2080,Marketing_df2!$A$1:$F$2241,6,FALSE)</f>
        <v>3</v>
      </c>
    </row>
    <row r="2081" spans="1:15" ht="12.5">
      <c r="A2081" s="6">
        <v>2079</v>
      </c>
      <c r="B2081" s="6">
        <v>10339</v>
      </c>
      <c r="C2081" s="6">
        <v>1954</v>
      </c>
      <c r="D2081" s="7" t="s">
        <v>14</v>
      </c>
      <c r="E2081" s="7" t="s">
        <v>11</v>
      </c>
      <c r="F2081" s="7"/>
      <c r="G2081" s="6">
        <v>0</v>
      </c>
      <c r="H2081" s="6">
        <v>1</v>
      </c>
      <c r="I2081" s="6">
        <f t="shared" si="32"/>
        <v>1</v>
      </c>
      <c r="J2081" s="8">
        <v>41448</v>
      </c>
      <c r="K2081" s="6">
        <v>83</v>
      </c>
      <c r="L2081">
        <f>VLOOKUP(A2081,Marketing_df2!$A$1:$F$2241,3,FALSE)</f>
        <v>0</v>
      </c>
      <c r="M2081">
        <f>VLOOKUP(A2081,Marketing_df2!$A$1:$F$2241,4,FALSE)</f>
        <v>0</v>
      </c>
      <c r="N2081">
        <f>VLOOKUP(A2081,Marketing_df2!$A$1:$F$2241,5,FALSE)</f>
        <v>4</v>
      </c>
      <c r="O2081">
        <f>VLOOKUP(A2081,Marketing_df2!$A$1:$F$2241,6,FALSE)</f>
        <v>4</v>
      </c>
    </row>
    <row r="2082" spans="1:15" ht="12.5">
      <c r="A2082" s="6">
        <v>2080</v>
      </c>
      <c r="B2082" s="6">
        <v>4643</v>
      </c>
      <c r="C2082" s="6">
        <v>1973</v>
      </c>
      <c r="D2082" s="7" t="s">
        <v>9</v>
      </c>
      <c r="E2082" s="7" t="s">
        <v>13</v>
      </c>
      <c r="F2082" s="6">
        <v>27803</v>
      </c>
      <c r="G2082" s="6">
        <v>1</v>
      </c>
      <c r="H2082" s="6">
        <v>0</v>
      </c>
      <c r="I2082" s="6">
        <f t="shared" si="32"/>
        <v>1</v>
      </c>
      <c r="J2082" s="8">
        <v>41147</v>
      </c>
      <c r="K2082" s="6">
        <v>40</v>
      </c>
      <c r="L2082">
        <f>VLOOKUP(A2082,Marketing_df2!$A$1:$F$2241,3,FALSE)</f>
        <v>26</v>
      </c>
      <c r="M2082">
        <f>VLOOKUP(A2082,Marketing_df2!$A$1:$F$2241,4,FALSE)</f>
        <v>9</v>
      </c>
      <c r="N2082">
        <f>VLOOKUP(A2082,Marketing_df2!$A$1:$F$2241,5,FALSE)</f>
        <v>3</v>
      </c>
      <c r="O2082">
        <f>VLOOKUP(A2082,Marketing_df2!$A$1:$F$2241,6,FALSE)</f>
        <v>4</v>
      </c>
    </row>
    <row r="2083" spans="1:15" ht="12.5">
      <c r="A2083" s="6">
        <v>2081</v>
      </c>
      <c r="B2083" s="6">
        <v>3117</v>
      </c>
      <c r="C2083" s="6">
        <v>1955</v>
      </c>
      <c r="D2083" s="7" t="s">
        <v>9</v>
      </c>
      <c r="E2083" s="7" t="s">
        <v>10</v>
      </c>
      <c r="F2083" s="7"/>
      <c r="G2083" s="6">
        <v>0</v>
      </c>
      <c r="H2083" s="6">
        <v>1</v>
      </c>
      <c r="I2083" s="6">
        <f t="shared" si="32"/>
        <v>1</v>
      </c>
      <c r="J2083" s="9">
        <v>41565</v>
      </c>
      <c r="K2083" s="6">
        <v>95</v>
      </c>
      <c r="L2083">
        <f>VLOOKUP(A2083,Marketing_df2!$A$1:$F$2241,3,FALSE)</f>
        <v>0</v>
      </c>
      <c r="M2083">
        <f>VLOOKUP(A2083,Marketing_df2!$A$1:$F$2241,4,FALSE)</f>
        <v>6</v>
      </c>
      <c r="N2083">
        <f>VLOOKUP(A2083,Marketing_df2!$A$1:$F$2241,5,FALSE)</f>
        <v>6</v>
      </c>
      <c r="O2083">
        <f>VLOOKUP(A2083,Marketing_df2!$A$1:$F$2241,6,FALSE)</f>
        <v>5</v>
      </c>
    </row>
    <row r="2084" spans="1:15" ht="12.5">
      <c r="A2084" s="6">
        <v>2082</v>
      </c>
      <c r="B2084" s="6">
        <v>6497</v>
      </c>
      <c r="C2084" s="6">
        <v>1960</v>
      </c>
      <c r="D2084" s="7" t="s">
        <v>9</v>
      </c>
      <c r="E2084" s="7" t="s">
        <v>13</v>
      </c>
      <c r="F2084" s="6">
        <v>51651</v>
      </c>
      <c r="G2084" s="6">
        <v>0</v>
      </c>
      <c r="H2084" s="6">
        <v>1</v>
      </c>
      <c r="I2084" s="6">
        <f t="shared" si="32"/>
        <v>1</v>
      </c>
      <c r="J2084" s="8">
        <v>41220</v>
      </c>
      <c r="K2084" s="6">
        <v>32</v>
      </c>
      <c r="L2084">
        <f>VLOOKUP(A2084,Marketing_df2!$A$1:$F$2241,3,FALSE)</f>
        <v>6</v>
      </c>
      <c r="M2084">
        <f>VLOOKUP(A2084,Marketing_df2!$A$1:$F$2241,4,FALSE)</f>
        <v>6</v>
      </c>
      <c r="N2084">
        <f>VLOOKUP(A2084,Marketing_df2!$A$1:$F$2241,5,FALSE)</f>
        <v>6</v>
      </c>
      <c r="O2084">
        <f>VLOOKUP(A2084,Marketing_df2!$A$1:$F$2241,6,FALSE)</f>
        <v>5</v>
      </c>
    </row>
    <row r="2085" spans="1:15" ht="12.5">
      <c r="A2085" s="6">
        <v>2083</v>
      </c>
      <c r="B2085" s="6">
        <v>5396</v>
      </c>
      <c r="C2085" s="6">
        <v>1988</v>
      </c>
      <c r="D2085" s="7" t="s">
        <v>9</v>
      </c>
      <c r="E2085" s="7" t="s">
        <v>13</v>
      </c>
      <c r="F2085" s="6">
        <v>68487</v>
      </c>
      <c r="G2085" s="6">
        <v>0</v>
      </c>
      <c r="H2085" s="6">
        <v>0</v>
      </c>
      <c r="I2085" s="6">
        <f t="shared" si="32"/>
        <v>0</v>
      </c>
      <c r="J2085" s="8">
        <v>41287</v>
      </c>
      <c r="K2085" s="6">
        <v>48</v>
      </c>
      <c r="L2085">
        <f>VLOOKUP(A2085,Marketing_df2!$A$1:$F$2241,3,FALSE)</f>
        <v>12</v>
      </c>
      <c r="M2085">
        <f>VLOOKUP(A2085,Marketing_df2!$A$1:$F$2241,4,FALSE)</f>
        <v>89</v>
      </c>
      <c r="N2085">
        <f>VLOOKUP(A2085,Marketing_df2!$A$1:$F$2241,5,FALSE)</f>
        <v>9</v>
      </c>
      <c r="O2085">
        <f>VLOOKUP(A2085,Marketing_df2!$A$1:$F$2241,6,FALSE)</f>
        <v>13</v>
      </c>
    </row>
    <row r="2086" spans="1:15" ht="12.5">
      <c r="A2086" s="6">
        <v>2084</v>
      </c>
      <c r="B2086" s="6">
        <v>5250</v>
      </c>
      <c r="C2086" s="6">
        <v>1943</v>
      </c>
      <c r="D2086" s="7" t="s">
        <v>14</v>
      </c>
      <c r="E2086" s="7" t="s">
        <v>18</v>
      </c>
      <c r="F2086" s="7"/>
      <c r="G2086" s="6">
        <v>0</v>
      </c>
      <c r="H2086" s="6">
        <v>0</v>
      </c>
      <c r="I2086" s="6">
        <f t="shared" si="32"/>
        <v>0</v>
      </c>
      <c r="J2086" s="9">
        <v>41577</v>
      </c>
      <c r="K2086" s="6">
        <v>75</v>
      </c>
      <c r="L2086">
        <f>VLOOKUP(A2086,Marketing_df2!$A$1:$F$2241,3,FALSE)</f>
        <v>126</v>
      </c>
      <c r="M2086">
        <f>VLOOKUP(A2086,Marketing_df2!$A$1:$F$2241,4,FALSE)</f>
        <v>126</v>
      </c>
      <c r="N2086">
        <f>VLOOKUP(A2086,Marketing_df2!$A$1:$F$2241,5,FALSE)</f>
        <v>5</v>
      </c>
      <c r="O2086">
        <f>VLOOKUP(A2086,Marketing_df2!$A$1:$F$2241,6,FALSE)</f>
        <v>11</v>
      </c>
    </row>
    <row r="2087" spans="1:15" ht="12.5">
      <c r="A2087" s="6">
        <v>2085</v>
      </c>
      <c r="B2087" s="6">
        <v>1052</v>
      </c>
      <c r="C2087" s="6">
        <v>1969</v>
      </c>
      <c r="D2087" s="7" t="s">
        <v>9</v>
      </c>
      <c r="E2087" s="7" t="s">
        <v>13</v>
      </c>
      <c r="F2087" s="6">
        <v>56796</v>
      </c>
      <c r="G2087" s="6">
        <v>0</v>
      </c>
      <c r="H2087" s="6">
        <v>1</v>
      </c>
      <c r="I2087" s="6">
        <f t="shared" si="32"/>
        <v>1</v>
      </c>
      <c r="J2087" s="8">
        <v>41321</v>
      </c>
      <c r="K2087" s="6">
        <v>24</v>
      </c>
      <c r="L2087">
        <f>VLOOKUP(A2087,Marketing_df2!$A$1:$F$2241,3,FALSE)</f>
        <v>38</v>
      </c>
      <c r="M2087">
        <f>VLOOKUP(A2087,Marketing_df2!$A$1:$F$2241,4,FALSE)</f>
        <v>47</v>
      </c>
      <c r="N2087">
        <f>VLOOKUP(A2087,Marketing_df2!$A$1:$F$2241,5,FALSE)</f>
        <v>8</v>
      </c>
      <c r="O2087">
        <f>VLOOKUP(A2087,Marketing_df2!$A$1:$F$2241,6,FALSE)</f>
        <v>7</v>
      </c>
    </row>
    <row r="2088" spans="1:15" ht="12.5">
      <c r="A2088" s="6">
        <v>2086</v>
      </c>
      <c r="B2088" s="6">
        <v>2802</v>
      </c>
      <c r="C2088" s="6">
        <v>1992</v>
      </c>
      <c r="D2088" s="7" t="s">
        <v>17</v>
      </c>
      <c r="E2088" s="7" t="s">
        <v>13</v>
      </c>
      <c r="F2088" s="6">
        <v>87000</v>
      </c>
      <c r="G2088" s="6">
        <v>0</v>
      </c>
      <c r="H2088" s="6">
        <v>0</v>
      </c>
      <c r="I2088" s="6">
        <f t="shared" si="32"/>
        <v>0</v>
      </c>
      <c r="J2088" s="9">
        <v>41258</v>
      </c>
      <c r="K2088" s="6">
        <v>61</v>
      </c>
      <c r="L2088">
        <f>VLOOKUP(A2088,Marketing_df2!$A$1:$F$2241,3,FALSE)</f>
        <v>25</v>
      </c>
      <c r="M2088">
        <f>VLOOKUP(A2088,Marketing_df2!$A$1:$F$2241,4,FALSE)</f>
        <v>17</v>
      </c>
      <c r="N2088">
        <f>VLOOKUP(A2088,Marketing_df2!$A$1:$F$2241,5,FALSE)</f>
        <v>4</v>
      </c>
      <c r="O2088">
        <f>VLOOKUP(A2088,Marketing_df2!$A$1:$F$2241,6,FALSE)</f>
        <v>7</v>
      </c>
    </row>
    <row r="2089" spans="1:15" ht="12.5">
      <c r="A2089" s="6">
        <v>2087</v>
      </c>
      <c r="B2089" s="6">
        <v>6343</v>
      </c>
      <c r="C2089" s="6">
        <v>1959</v>
      </c>
      <c r="D2089" s="7" t="s">
        <v>9</v>
      </c>
      <c r="E2089" s="7" t="s">
        <v>13</v>
      </c>
      <c r="F2089" s="6">
        <v>79823</v>
      </c>
      <c r="G2089" s="6">
        <v>0</v>
      </c>
      <c r="H2089" s="6">
        <v>1</v>
      </c>
      <c r="I2089" s="6">
        <f t="shared" si="32"/>
        <v>1</v>
      </c>
      <c r="J2089" s="8">
        <v>41729</v>
      </c>
      <c r="K2089" s="6">
        <v>6</v>
      </c>
      <c r="L2089">
        <f>VLOOKUP(A2089,Marketing_df2!$A$1:$F$2241,3,FALSE)</f>
        <v>73</v>
      </c>
      <c r="M2089">
        <f>VLOOKUP(A2089,Marketing_df2!$A$1:$F$2241,4,FALSE)</f>
        <v>73</v>
      </c>
      <c r="N2089">
        <f>VLOOKUP(A2089,Marketing_df2!$A$1:$F$2241,5,FALSE)</f>
        <v>6</v>
      </c>
      <c r="O2089">
        <f>VLOOKUP(A2089,Marketing_df2!$A$1:$F$2241,6,FALSE)</f>
        <v>7</v>
      </c>
    </row>
    <row r="2090" spans="1:15" ht="12.5">
      <c r="A2090" s="6">
        <v>2088</v>
      </c>
      <c r="B2090" s="6">
        <v>6507</v>
      </c>
      <c r="C2090" s="6">
        <v>1980</v>
      </c>
      <c r="D2090" s="7" t="s">
        <v>9</v>
      </c>
      <c r="E2090" s="7" t="s">
        <v>10</v>
      </c>
      <c r="F2090" s="6">
        <v>30828</v>
      </c>
      <c r="G2090" s="6">
        <v>1</v>
      </c>
      <c r="H2090" s="6">
        <v>0</v>
      </c>
      <c r="I2090" s="6">
        <f t="shared" si="32"/>
        <v>1</v>
      </c>
      <c r="J2090" s="8">
        <v>41551</v>
      </c>
      <c r="K2090" s="6">
        <v>16</v>
      </c>
      <c r="L2090">
        <f>VLOOKUP(A2090,Marketing_df2!$A$1:$F$2241,3,FALSE)</f>
        <v>11</v>
      </c>
      <c r="M2090">
        <f>VLOOKUP(A2090,Marketing_df2!$A$1:$F$2241,4,FALSE)</f>
        <v>0</v>
      </c>
      <c r="N2090">
        <f>VLOOKUP(A2090,Marketing_df2!$A$1:$F$2241,5,FALSE)</f>
        <v>1</v>
      </c>
      <c r="O2090">
        <f>VLOOKUP(A2090,Marketing_df2!$A$1:$F$2241,6,FALSE)</f>
        <v>4</v>
      </c>
    </row>
    <row r="2091" spans="1:15" ht="12.5">
      <c r="A2091" s="6">
        <v>2089</v>
      </c>
      <c r="B2091" s="6">
        <v>7901</v>
      </c>
      <c r="C2091" s="6">
        <v>1971</v>
      </c>
      <c r="D2091" s="7" t="s">
        <v>14</v>
      </c>
      <c r="E2091" s="7" t="s">
        <v>13</v>
      </c>
      <c r="F2091" s="6">
        <v>34109</v>
      </c>
      <c r="G2091" s="6">
        <v>0</v>
      </c>
      <c r="H2091" s="6">
        <v>1</v>
      </c>
      <c r="I2091" s="6">
        <f t="shared" si="32"/>
        <v>1</v>
      </c>
      <c r="J2091" s="8">
        <v>41584</v>
      </c>
      <c r="K2091" s="6">
        <v>39</v>
      </c>
      <c r="L2091">
        <f>VLOOKUP(A2091,Marketing_df2!$A$1:$F$2241,3,FALSE)</f>
        <v>1</v>
      </c>
      <c r="M2091">
        <f>VLOOKUP(A2091,Marketing_df2!$A$1:$F$2241,4,FALSE)</f>
        <v>1</v>
      </c>
      <c r="N2091">
        <f>VLOOKUP(A2091,Marketing_df2!$A$1:$F$2241,5,FALSE)</f>
        <v>0</v>
      </c>
      <c r="O2091">
        <f>VLOOKUP(A2091,Marketing_df2!$A$1:$F$2241,6,FALSE)</f>
        <v>3</v>
      </c>
    </row>
    <row r="2092" spans="1:15" ht="12.5">
      <c r="A2092" s="6">
        <v>2090</v>
      </c>
      <c r="B2092" s="6">
        <v>4865</v>
      </c>
      <c r="C2092" s="6">
        <v>1974</v>
      </c>
      <c r="D2092" s="7" t="s">
        <v>14</v>
      </c>
      <c r="E2092" s="7" t="s">
        <v>15</v>
      </c>
      <c r="F2092" s="6">
        <v>53367</v>
      </c>
      <c r="G2092" s="6">
        <v>1</v>
      </c>
      <c r="H2092" s="6">
        <v>1</v>
      </c>
      <c r="I2092" s="6">
        <f t="shared" si="32"/>
        <v>2</v>
      </c>
      <c r="J2092" s="8">
        <v>41517</v>
      </c>
      <c r="K2092" s="6">
        <v>2</v>
      </c>
      <c r="L2092">
        <f>VLOOKUP(A2092,Marketing_df2!$A$1:$F$2241,3,FALSE)</f>
        <v>7</v>
      </c>
      <c r="M2092">
        <f>VLOOKUP(A2092,Marketing_df2!$A$1:$F$2241,4,FALSE)</f>
        <v>3</v>
      </c>
      <c r="N2092">
        <f>VLOOKUP(A2092,Marketing_df2!$A$1:$F$2241,5,FALSE)</f>
        <v>5</v>
      </c>
      <c r="O2092">
        <f>VLOOKUP(A2092,Marketing_df2!$A$1:$F$2241,6,FALSE)</f>
        <v>8</v>
      </c>
    </row>
    <row r="2093" spans="1:15" ht="12.5">
      <c r="A2093" s="6">
        <v>2091</v>
      </c>
      <c r="B2093" s="6">
        <v>2686</v>
      </c>
      <c r="C2093" s="6">
        <v>1969</v>
      </c>
      <c r="D2093" s="7" t="s">
        <v>16</v>
      </c>
      <c r="E2093" s="7" t="s">
        <v>11</v>
      </c>
      <c r="F2093" s="6">
        <v>22390</v>
      </c>
      <c r="G2093" s="6">
        <v>0</v>
      </c>
      <c r="H2093" s="6">
        <v>0</v>
      </c>
      <c r="I2093" s="6">
        <f t="shared" si="32"/>
        <v>0</v>
      </c>
      <c r="J2093" s="9">
        <v>41568</v>
      </c>
      <c r="K2093" s="6">
        <v>49</v>
      </c>
      <c r="L2093">
        <f>VLOOKUP(A2093,Marketing_df2!$A$1:$F$2241,3,FALSE)</f>
        <v>1</v>
      </c>
      <c r="M2093">
        <f>VLOOKUP(A2093,Marketing_df2!$A$1:$F$2241,4,FALSE)</f>
        <v>1</v>
      </c>
      <c r="N2093">
        <f>VLOOKUP(A2093,Marketing_df2!$A$1:$F$2241,5,FALSE)</f>
        <v>1</v>
      </c>
      <c r="O2093">
        <f>VLOOKUP(A2093,Marketing_df2!$A$1:$F$2241,6,FALSE)</f>
        <v>2</v>
      </c>
    </row>
    <row r="2094" spans="1:15" ht="12.5">
      <c r="A2094" s="6">
        <v>2092</v>
      </c>
      <c r="B2094" s="6">
        <v>3107</v>
      </c>
      <c r="C2094" s="6">
        <v>1976</v>
      </c>
      <c r="D2094" s="7" t="s">
        <v>9</v>
      </c>
      <c r="E2094" s="7" t="s">
        <v>11</v>
      </c>
      <c r="F2094" s="6">
        <v>71322</v>
      </c>
      <c r="G2094" s="6">
        <v>0</v>
      </c>
      <c r="H2094" s="6">
        <v>1</v>
      </c>
      <c r="I2094" s="6">
        <f t="shared" si="32"/>
        <v>1</v>
      </c>
      <c r="J2094" s="8">
        <v>41761</v>
      </c>
      <c r="K2094" s="6">
        <v>31</v>
      </c>
      <c r="L2094">
        <f>VLOOKUP(A2094,Marketing_df2!$A$1:$F$2241,3,FALSE)</f>
        <v>24</v>
      </c>
      <c r="M2094">
        <f>VLOOKUP(A2094,Marketing_df2!$A$1:$F$2241,4,FALSE)</f>
        <v>15</v>
      </c>
      <c r="N2094">
        <f>VLOOKUP(A2094,Marketing_df2!$A$1:$F$2241,5,FALSE)</f>
        <v>4</v>
      </c>
      <c r="O2094">
        <f>VLOOKUP(A2094,Marketing_df2!$A$1:$F$2241,6,FALSE)</f>
        <v>7</v>
      </c>
    </row>
    <row r="2095" spans="1:15" ht="12.5">
      <c r="A2095" s="6">
        <v>2093</v>
      </c>
      <c r="B2095" s="6">
        <v>7734</v>
      </c>
      <c r="C2095" s="6">
        <v>1993</v>
      </c>
      <c r="D2095" s="7" t="s">
        <v>9</v>
      </c>
      <c r="E2095" s="7" t="s">
        <v>20</v>
      </c>
      <c r="F2095" s="6">
        <v>79244</v>
      </c>
      <c r="G2095" s="6">
        <v>0</v>
      </c>
      <c r="H2095" s="6">
        <v>0</v>
      </c>
      <c r="I2095" s="6">
        <f t="shared" si="32"/>
        <v>0</v>
      </c>
      <c r="J2095" s="9">
        <v>41262</v>
      </c>
      <c r="K2095" s="6">
        <v>58</v>
      </c>
      <c r="L2095">
        <f>VLOOKUP(A2095,Marketing_df2!$A$1:$F$2241,3,FALSE)</f>
        <v>102</v>
      </c>
      <c r="M2095">
        <f>VLOOKUP(A2095,Marketing_df2!$A$1:$F$2241,4,FALSE)</f>
        <v>61</v>
      </c>
      <c r="N2095">
        <f>VLOOKUP(A2095,Marketing_df2!$A$1:$F$2241,5,FALSE)</f>
        <v>4</v>
      </c>
      <c r="O2095">
        <f>VLOOKUP(A2095,Marketing_df2!$A$1:$F$2241,6,FALSE)</f>
        <v>7</v>
      </c>
    </row>
    <row r="2096" spans="1:15" ht="12.5">
      <c r="A2096" s="6">
        <v>2094</v>
      </c>
      <c r="B2096" s="6">
        <v>1146</v>
      </c>
      <c r="C2096" s="6">
        <v>1949</v>
      </c>
      <c r="D2096" s="7" t="s">
        <v>14</v>
      </c>
      <c r="E2096" s="7" t="s">
        <v>11</v>
      </c>
      <c r="F2096" s="6">
        <v>49912</v>
      </c>
      <c r="G2096" s="6">
        <v>0</v>
      </c>
      <c r="H2096" s="6">
        <v>1</v>
      </c>
      <c r="I2096" s="6">
        <f t="shared" si="32"/>
        <v>1</v>
      </c>
      <c r="J2096" s="8">
        <v>41159</v>
      </c>
      <c r="K2096" s="6">
        <v>5</v>
      </c>
      <c r="L2096">
        <f>VLOOKUP(A2096,Marketing_df2!$A$1:$F$2241,3,FALSE)</f>
        <v>8</v>
      </c>
      <c r="M2096">
        <f>VLOOKUP(A2096,Marketing_df2!$A$1:$F$2241,4,FALSE)</f>
        <v>49</v>
      </c>
      <c r="N2096">
        <f>VLOOKUP(A2096,Marketing_df2!$A$1:$F$2241,5,FALSE)</f>
        <v>10</v>
      </c>
      <c r="O2096">
        <f>VLOOKUP(A2096,Marketing_df2!$A$1:$F$2241,6,FALSE)</f>
        <v>7</v>
      </c>
    </row>
    <row r="2097" spans="1:15" ht="12.5">
      <c r="A2097" s="6">
        <v>2095</v>
      </c>
      <c r="B2097" s="6">
        <v>11031</v>
      </c>
      <c r="C2097" s="6">
        <v>1950</v>
      </c>
      <c r="D2097" s="7" t="s">
        <v>12</v>
      </c>
      <c r="E2097" s="7" t="s">
        <v>13</v>
      </c>
      <c r="F2097" s="6">
        <v>48699</v>
      </c>
      <c r="G2097" s="6">
        <v>1</v>
      </c>
      <c r="H2097" s="6">
        <v>1</v>
      </c>
      <c r="I2097" s="6">
        <f t="shared" si="32"/>
        <v>2</v>
      </c>
      <c r="J2097" s="8">
        <v>41415</v>
      </c>
      <c r="K2097" s="6">
        <v>90</v>
      </c>
      <c r="L2097">
        <f>VLOOKUP(A2097,Marketing_df2!$A$1:$F$2241,3,FALSE)</f>
        <v>1</v>
      </c>
      <c r="M2097">
        <f>VLOOKUP(A2097,Marketing_df2!$A$1:$F$2241,4,FALSE)</f>
        <v>0</v>
      </c>
      <c r="N2097">
        <f>VLOOKUP(A2097,Marketing_df2!$A$1:$F$2241,5,FALSE)</f>
        <v>1</v>
      </c>
      <c r="O2097">
        <f>VLOOKUP(A2097,Marketing_df2!$A$1:$F$2241,6,FALSE)</f>
        <v>3</v>
      </c>
    </row>
    <row r="2098" spans="1:15" ht="12.5">
      <c r="A2098" s="6">
        <v>2096</v>
      </c>
      <c r="B2098" s="6">
        <v>7428</v>
      </c>
      <c r="C2098" s="6">
        <v>1975</v>
      </c>
      <c r="D2098" s="7" t="s">
        <v>9</v>
      </c>
      <c r="E2098" s="7" t="s">
        <v>11</v>
      </c>
      <c r="F2098" s="6">
        <v>80144</v>
      </c>
      <c r="G2098" s="6">
        <v>0</v>
      </c>
      <c r="H2098" s="6">
        <v>0</v>
      </c>
      <c r="I2098" s="6">
        <f t="shared" si="32"/>
        <v>0</v>
      </c>
      <c r="J2098" s="8">
        <v>41547</v>
      </c>
      <c r="K2098" s="6">
        <v>47</v>
      </c>
      <c r="L2098">
        <f>VLOOKUP(A2098,Marketing_df2!$A$1:$F$2241,3,FALSE)</f>
        <v>132</v>
      </c>
      <c r="M2098">
        <f>VLOOKUP(A2098,Marketing_df2!$A$1:$F$2241,4,FALSE)</f>
        <v>192</v>
      </c>
      <c r="N2098">
        <f>VLOOKUP(A2098,Marketing_df2!$A$1:$F$2241,5,FALSE)</f>
        <v>3</v>
      </c>
      <c r="O2098">
        <f>VLOOKUP(A2098,Marketing_df2!$A$1:$F$2241,6,FALSE)</f>
        <v>8</v>
      </c>
    </row>
    <row r="2099" spans="1:15" ht="12.5">
      <c r="A2099" s="6">
        <v>2097</v>
      </c>
      <c r="B2099" s="6">
        <v>975</v>
      </c>
      <c r="C2099" s="6">
        <v>1956</v>
      </c>
      <c r="D2099" s="7" t="s">
        <v>9</v>
      </c>
      <c r="E2099" s="7" t="s">
        <v>10</v>
      </c>
      <c r="F2099" s="6">
        <v>54252</v>
      </c>
      <c r="G2099" s="6">
        <v>1</v>
      </c>
      <c r="H2099" s="6">
        <v>1</v>
      </c>
      <c r="I2099" s="6">
        <f t="shared" si="32"/>
        <v>2</v>
      </c>
      <c r="J2099" s="8">
        <v>41422</v>
      </c>
      <c r="K2099" s="6">
        <v>25</v>
      </c>
      <c r="L2099">
        <f>VLOOKUP(A2099,Marketing_df2!$A$1:$F$2241,3,FALSE)</f>
        <v>4</v>
      </c>
      <c r="M2099">
        <f>VLOOKUP(A2099,Marketing_df2!$A$1:$F$2241,4,FALSE)</f>
        <v>4</v>
      </c>
      <c r="N2099">
        <f>VLOOKUP(A2099,Marketing_df2!$A$1:$F$2241,5,FALSE)</f>
        <v>4</v>
      </c>
      <c r="O2099">
        <f>VLOOKUP(A2099,Marketing_df2!$A$1:$F$2241,6,FALSE)</f>
        <v>5</v>
      </c>
    </row>
    <row r="2100" spans="1:15" ht="12.5">
      <c r="A2100" s="6">
        <v>2098</v>
      </c>
      <c r="B2100" s="6">
        <v>1103</v>
      </c>
      <c r="C2100" s="6">
        <v>1976</v>
      </c>
      <c r="D2100" s="7" t="s">
        <v>14</v>
      </c>
      <c r="E2100" s="7" t="s">
        <v>13</v>
      </c>
      <c r="F2100" s="6">
        <v>81929</v>
      </c>
      <c r="G2100" s="6">
        <v>1</v>
      </c>
      <c r="H2100" s="6">
        <v>0</v>
      </c>
      <c r="I2100" s="6">
        <f t="shared" si="32"/>
        <v>1</v>
      </c>
      <c r="J2100" s="8">
        <v>41181</v>
      </c>
      <c r="K2100" s="6">
        <v>60</v>
      </c>
      <c r="L2100">
        <f>VLOOKUP(A2100,Marketing_df2!$A$1:$F$2241,3,FALSE)</f>
        <v>55</v>
      </c>
      <c r="M2100">
        <f>VLOOKUP(A2100,Marketing_df2!$A$1:$F$2241,4,FALSE)</f>
        <v>0</v>
      </c>
      <c r="N2100">
        <f>VLOOKUP(A2100,Marketing_df2!$A$1:$F$2241,5,FALSE)</f>
        <v>4</v>
      </c>
      <c r="O2100">
        <f>VLOOKUP(A2100,Marketing_df2!$A$1:$F$2241,6,FALSE)</f>
        <v>10</v>
      </c>
    </row>
    <row r="2101" spans="1:15" ht="12.5">
      <c r="A2101" s="6">
        <v>2099</v>
      </c>
      <c r="B2101" s="6">
        <v>3422</v>
      </c>
      <c r="C2101" s="6">
        <v>1975</v>
      </c>
      <c r="D2101" s="7" t="s">
        <v>9</v>
      </c>
      <c r="E2101" s="7" t="s">
        <v>13</v>
      </c>
      <c r="F2101" s="6">
        <v>76068</v>
      </c>
      <c r="G2101" s="6">
        <v>0</v>
      </c>
      <c r="H2101" s="6">
        <v>1</v>
      </c>
      <c r="I2101" s="6">
        <f t="shared" si="32"/>
        <v>1</v>
      </c>
      <c r="J2101" s="9">
        <v>41242</v>
      </c>
      <c r="K2101" s="6">
        <v>67</v>
      </c>
      <c r="L2101">
        <f>VLOOKUP(A2101,Marketing_df2!$A$1:$F$2241,3,FALSE)</f>
        <v>12</v>
      </c>
      <c r="M2101">
        <f>VLOOKUP(A2101,Marketing_df2!$A$1:$F$2241,4,FALSE)</f>
        <v>12</v>
      </c>
      <c r="N2101">
        <f>VLOOKUP(A2101,Marketing_df2!$A$1:$F$2241,5,FALSE)</f>
        <v>2</v>
      </c>
      <c r="O2101">
        <f>VLOOKUP(A2101,Marketing_df2!$A$1:$F$2241,6,FALSE)</f>
        <v>4</v>
      </c>
    </row>
    <row r="2102" spans="1:15" ht="12.5">
      <c r="A2102" s="6">
        <v>2100</v>
      </c>
      <c r="B2102" s="6">
        <v>1055</v>
      </c>
      <c r="C2102" s="6">
        <v>1976</v>
      </c>
      <c r="D2102" s="7" t="s">
        <v>14</v>
      </c>
      <c r="E2102" s="7" t="s">
        <v>13</v>
      </c>
      <c r="F2102" s="6">
        <v>53204</v>
      </c>
      <c r="G2102" s="6">
        <v>1</v>
      </c>
      <c r="H2102" s="6">
        <v>1</v>
      </c>
      <c r="I2102" s="6">
        <f t="shared" si="32"/>
        <v>2</v>
      </c>
      <c r="J2102" s="8">
        <v>41718</v>
      </c>
      <c r="K2102" s="6">
        <v>40</v>
      </c>
      <c r="L2102">
        <f>VLOOKUP(A2102,Marketing_df2!$A$1:$F$2241,3,FALSE)</f>
        <v>0</v>
      </c>
      <c r="M2102">
        <f>VLOOKUP(A2102,Marketing_df2!$A$1:$F$2241,4,FALSE)</f>
        <v>0</v>
      </c>
      <c r="N2102">
        <f>VLOOKUP(A2102,Marketing_df2!$A$1:$F$2241,5,FALSE)</f>
        <v>1</v>
      </c>
      <c r="O2102">
        <f>VLOOKUP(A2102,Marketing_df2!$A$1:$F$2241,6,FALSE)</f>
        <v>3</v>
      </c>
    </row>
    <row r="2103" spans="1:15" ht="12.5">
      <c r="A2103" s="6">
        <v>2101</v>
      </c>
      <c r="B2103" s="6">
        <v>6544</v>
      </c>
      <c r="C2103" s="6">
        <v>1949</v>
      </c>
      <c r="D2103" s="7" t="s">
        <v>12</v>
      </c>
      <c r="E2103" s="7" t="s">
        <v>11</v>
      </c>
      <c r="F2103" s="6">
        <v>67911</v>
      </c>
      <c r="G2103" s="6">
        <v>0</v>
      </c>
      <c r="H2103" s="6">
        <v>1</v>
      </c>
      <c r="I2103" s="6">
        <f t="shared" si="32"/>
        <v>1</v>
      </c>
      <c r="J2103" s="8">
        <v>41781</v>
      </c>
      <c r="K2103" s="6">
        <v>63</v>
      </c>
      <c r="L2103">
        <f>VLOOKUP(A2103,Marketing_df2!$A$1:$F$2241,3,FALSE)</f>
        <v>0</v>
      </c>
      <c r="M2103">
        <f>VLOOKUP(A2103,Marketing_df2!$A$1:$F$2241,4,FALSE)</f>
        <v>28</v>
      </c>
      <c r="N2103">
        <f>VLOOKUP(A2103,Marketing_df2!$A$1:$F$2241,5,FALSE)</f>
        <v>6</v>
      </c>
      <c r="O2103">
        <f>VLOOKUP(A2103,Marketing_df2!$A$1:$F$2241,6,FALSE)</f>
        <v>11</v>
      </c>
    </row>
    <row r="2104" spans="1:15" ht="12.5">
      <c r="A2104" s="6">
        <v>2102</v>
      </c>
      <c r="B2104" s="6">
        <v>1241</v>
      </c>
      <c r="C2104" s="6">
        <v>1984</v>
      </c>
      <c r="D2104" s="7" t="s">
        <v>17</v>
      </c>
      <c r="E2104" s="7" t="s">
        <v>13</v>
      </c>
      <c r="F2104" s="6">
        <v>14796</v>
      </c>
      <c r="G2104" s="6">
        <v>1</v>
      </c>
      <c r="H2104" s="6">
        <v>0</v>
      </c>
      <c r="I2104" s="6">
        <f t="shared" si="32"/>
        <v>1</v>
      </c>
      <c r="J2104" s="8">
        <v>41169</v>
      </c>
      <c r="K2104" s="6">
        <v>1</v>
      </c>
      <c r="L2104">
        <f>VLOOKUP(A2104,Marketing_df2!$A$1:$F$2241,3,FALSE)</f>
        <v>3</v>
      </c>
      <c r="M2104">
        <f>VLOOKUP(A2104,Marketing_df2!$A$1:$F$2241,4,FALSE)</f>
        <v>4</v>
      </c>
      <c r="N2104">
        <f>VLOOKUP(A2104,Marketing_df2!$A$1:$F$2241,5,FALSE)</f>
        <v>1</v>
      </c>
      <c r="O2104">
        <f>VLOOKUP(A2104,Marketing_df2!$A$1:$F$2241,6,FALSE)</f>
        <v>3</v>
      </c>
    </row>
    <row r="2105" spans="1:15" ht="12.5">
      <c r="A2105" s="6">
        <v>2103</v>
      </c>
      <c r="B2105" s="6">
        <v>2909</v>
      </c>
      <c r="C2105" s="6">
        <v>1974</v>
      </c>
      <c r="D2105" s="7" t="s">
        <v>12</v>
      </c>
      <c r="E2105" s="7" t="s">
        <v>13</v>
      </c>
      <c r="F2105" s="6">
        <v>78128</v>
      </c>
      <c r="G2105" s="6">
        <v>0</v>
      </c>
      <c r="H2105" s="6">
        <v>1</v>
      </c>
      <c r="I2105" s="6">
        <f t="shared" si="32"/>
        <v>1</v>
      </c>
      <c r="J2105" s="8">
        <v>41689</v>
      </c>
      <c r="K2105" s="6">
        <v>89</v>
      </c>
      <c r="L2105">
        <f>VLOOKUP(A2105,Marketing_df2!$A$1:$F$2241,3,FALSE)</f>
        <v>24</v>
      </c>
      <c r="M2105">
        <f>VLOOKUP(A2105,Marketing_df2!$A$1:$F$2241,4,FALSE)</f>
        <v>24</v>
      </c>
      <c r="N2105">
        <f>VLOOKUP(A2105,Marketing_df2!$A$1:$F$2241,5,FALSE)</f>
        <v>8</v>
      </c>
      <c r="O2105">
        <f>VLOOKUP(A2105,Marketing_df2!$A$1:$F$2241,6,FALSE)</f>
        <v>6</v>
      </c>
    </row>
    <row r="2106" spans="1:15" ht="12.5">
      <c r="A2106" s="6">
        <v>2104</v>
      </c>
      <c r="B2106" s="6">
        <v>5802</v>
      </c>
      <c r="C2106" s="6">
        <v>1972</v>
      </c>
      <c r="D2106" s="7" t="s">
        <v>16</v>
      </c>
      <c r="E2106" s="7" t="s">
        <v>13</v>
      </c>
      <c r="F2106" s="6">
        <v>14188</v>
      </c>
      <c r="G2106" s="6">
        <v>0</v>
      </c>
      <c r="H2106" s="6">
        <v>0</v>
      </c>
      <c r="I2106" s="6">
        <f t="shared" si="32"/>
        <v>0</v>
      </c>
      <c r="J2106" s="8">
        <v>41333</v>
      </c>
      <c r="K2106" s="6">
        <v>40</v>
      </c>
      <c r="L2106">
        <f>VLOOKUP(A2106,Marketing_df2!$A$1:$F$2241,3,FALSE)</f>
        <v>7</v>
      </c>
      <c r="M2106">
        <f>VLOOKUP(A2106,Marketing_df2!$A$1:$F$2241,4,FALSE)</f>
        <v>12</v>
      </c>
      <c r="N2106">
        <f>VLOOKUP(A2106,Marketing_df2!$A$1:$F$2241,5,FALSE)</f>
        <v>2</v>
      </c>
      <c r="O2106">
        <f>VLOOKUP(A2106,Marketing_df2!$A$1:$F$2241,6,FALSE)</f>
        <v>4</v>
      </c>
    </row>
    <row r="2107" spans="1:15" ht="12.5">
      <c r="A2107" s="6">
        <v>2105</v>
      </c>
      <c r="B2107" s="6">
        <v>1407</v>
      </c>
      <c r="C2107" s="6">
        <v>1986</v>
      </c>
      <c r="D2107" s="7" t="s">
        <v>16</v>
      </c>
      <c r="E2107" s="7" t="s">
        <v>13</v>
      </c>
      <c r="F2107" s="6">
        <v>20425</v>
      </c>
      <c r="G2107" s="6">
        <v>1</v>
      </c>
      <c r="H2107" s="6">
        <v>0</v>
      </c>
      <c r="I2107" s="6">
        <f t="shared" si="32"/>
        <v>1</v>
      </c>
      <c r="J2107" s="9">
        <v>41211</v>
      </c>
      <c r="K2107" s="6">
        <v>5</v>
      </c>
      <c r="L2107">
        <f>VLOOKUP(A2107,Marketing_df2!$A$1:$F$2241,3,FALSE)</f>
        <v>12</v>
      </c>
      <c r="M2107">
        <f>VLOOKUP(A2107,Marketing_df2!$A$1:$F$2241,4,FALSE)</f>
        <v>16</v>
      </c>
      <c r="N2107">
        <f>VLOOKUP(A2107,Marketing_df2!$A$1:$F$2241,5,FALSE)</f>
        <v>2</v>
      </c>
      <c r="O2107">
        <f>VLOOKUP(A2107,Marketing_df2!$A$1:$F$2241,6,FALSE)</f>
        <v>3</v>
      </c>
    </row>
    <row r="2108" spans="1:15" ht="12.5">
      <c r="A2108" s="6">
        <v>2106</v>
      </c>
      <c r="B2108" s="6">
        <v>6183</v>
      </c>
      <c r="C2108" s="6">
        <v>1962</v>
      </c>
      <c r="D2108" s="7" t="s">
        <v>14</v>
      </c>
      <c r="E2108" s="7" t="s">
        <v>13</v>
      </c>
      <c r="F2108" s="6">
        <v>58646</v>
      </c>
      <c r="G2108" s="6">
        <v>0</v>
      </c>
      <c r="H2108" s="6">
        <v>1</v>
      </c>
      <c r="I2108" s="6">
        <f t="shared" si="32"/>
        <v>1</v>
      </c>
      <c r="J2108" s="8">
        <v>41435</v>
      </c>
      <c r="K2108" s="6">
        <v>3</v>
      </c>
      <c r="L2108">
        <f>VLOOKUP(A2108,Marketing_df2!$A$1:$F$2241,3,FALSE)</f>
        <v>1</v>
      </c>
      <c r="M2108">
        <f>VLOOKUP(A2108,Marketing_df2!$A$1:$F$2241,4,FALSE)</f>
        <v>5</v>
      </c>
      <c r="N2108">
        <f>VLOOKUP(A2108,Marketing_df2!$A$1:$F$2241,5,FALSE)</f>
        <v>2</v>
      </c>
      <c r="O2108">
        <f>VLOOKUP(A2108,Marketing_df2!$A$1:$F$2241,6,FALSE)</f>
        <v>4</v>
      </c>
    </row>
    <row r="2109" spans="1:15" ht="12.5">
      <c r="A2109" s="6">
        <v>2107</v>
      </c>
      <c r="B2109" s="6">
        <v>340</v>
      </c>
      <c r="C2109" s="6">
        <v>1970</v>
      </c>
      <c r="D2109" s="7" t="s">
        <v>9</v>
      </c>
      <c r="E2109" s="7" t="s">
        <v>15</v>
      </c>
      <c r="F2109" s="6">
        <v>72967</v>
      </c>
      <c r="G2109" s="6">
        <v>0</v>
      </c>
      <c r="H2109" s="6">
        <v>1</v>
      </c>
      <c r="I2109" s="6">
        <f t="shared" si="32"/>
        <v>1</v>
      </c>
      <c r="J2109" s="9">
        <v>41258</v>
      </c>
      <c r="K2109" s="6">
        <v>1</v>
      </c>
      <c r="L2109">
        <f>VLOOKUP(A2109,Marketing_df2!$A$1:$F$2241,3,FALSE)</f>
        <v>35</v>
      </c>
      <c r="M2109">
        <f>VLOOKUP(A2109,Marketing_df2!$A$1:$F$2241,4,FALSE)</f>
        <v>0</v>
      </c>
      <c r="N2109">
        <f>VLOOKUP(A2109,Marketing_df2!$A$1:$F$2241,5,FALSE)</f>
        <v>7</v>
      </c>
      <c r="O2109">
        <f>VLOOKUP(A2109,Marketing_df2!$A$1:$F$2241,6,FALSE)</f>
        <v>8</v>
      </c>
    </row>
    <row r="2110" spans="1:15" ht="12.5">
      <c r="A2110" s="6">
        <v>2108</v>
      </c>
      <c r="B2110" s="6">
        <v>5991</v>
      </c>
      <c r="C2110" s="6">
        <v>1949</v>
      </c>
      <c r="D2110" s="7" t="s">
        <v>14</v>
      </c>
      <c r="E2110" s="7" t="s">
        <v>13</v>
      </c>
      <c r="F2110" s="6">
        <v>48150</v>
      </c>
      <c r="G2110" s="6">
        <v>0</v>
      </c>
      <c r="H2110" s="6">
        <v>1</v>
      </c>
      <c r="I2110" s="6">
        <f t="shared" si="32"/>
        <v>1</v>
      </c>
      <c r="J2110" s="8">
        <v>41433</v>
      </c>
      <c r="K2110" s="6">
        <v>24</v>
      </c>
      <c r="L2110">
        <f>VLOOKUP(A2110,Marketing_df2!$A$1:$F$2241,3,FALSE)</f>
        <v>2</v>
      </c>
      <c r="M2110">
        <f>VLOOKUP(A2110,Marketing_df2!$A$1:$F$2241,4,FALSE)</f>
        <v>2</v>
      </c>
      <c r="N2110">
        <f>VLOOKUP(A2110,Marketing_df2!$A$1:$F$2241,5,FALSE)</f>
        <v>5</v>
      </c>
      <c r="O2110">
        <f>VLOOKUP(A2110,Marketing_df2!$A$1:$F$2241,6,FALSE)</f>
        <v>4</v>
      </c>
    </row>
    <row r="2111" spans="1:15" ht="12.5">
      <c r="A2111" s="6">
        <v>2109</v>
      </c>
      <c r="B2111" s="6">
        <v>3104</v>
      </c>
      <c r="C2111" s="6">
        <v>1961</v>
      </c>
      <c r="D2111" s="7" t="s">
        <v>9</v>
      </c>
      <c r="E2111" s="7" t="s">
        <v>10</v>
      </c>
      <c r="F2111" s="6">
        <v>82332</v>
      </c>
      <c r="G2111" s="6">
        <v>0</v>
      </c>
      <c r="H2111" s="6">
        <v>0</v>
      </c>
      <c r="I2111" s="6">
        <f t="shared" si="32"/>
        <v>0</v>
      </c>
      <c r="J2111" s="8">
        <v>41169</v>
      </c>
      <c r="K2111" s="6">
        <v>89</v>
      </c>
      <c r="L2111">
        <f>VLOOKUP(A2111,Marketing_df2!$A$1:$F$2241,3,FALSE)</f>
        <v>59</v>
      </c>
      <c r="M2111">
        <f>VLOOKUP(A2111,Marketing_df2!$A$1:$F$2241,4,FALSE)</f>
        <v>79</v>
      </c>
      <c r="N2111">
        <f>VLOOKUP(A2111,Marketing_df2!$A$1:$F$2241,5,FALSE)</f>
        <v>5</v>
      </c>
      <c r="O2111">
        <f>VLOOKUP(A2111,Marketing_df2!$A$1:$F$2241,6,FALSE)</f>
        <v>12</v>
      </c>
    </row>
    <row r="2112" spans="1:15" ht="12.5">
      <c r="A2112" s="6">
        <v>2110</v>
      </c>
      <c r="B2112" s="6">
        <v>9729</v>
      </c>
      <c r="C2112" s="6">
        <v>1955</v>
      </c>
      <c r="D2112" s="7" t="s">
        <v>9</v>
      </c>
      <c r="E2112" s="7" t="s">
        <v>18</v>
      </c>
      <c r="F2112" s="6">
        <v>58275</v>
      </c>
      <c r="G2112" s="6">
        <v>1</v>
      </c>
      <c r="H2112" s="6">
        <v>1</v>
      </c>
      <c r="I2112" s="6">
        <f t="shared" si="32"/>
        <v>2</v>
      </c>
      <c r="J2112" s="8">
        <v>41427</v>
      </c>
      <c r="K2112" s="6">
        <v>48</v>
      </c>
      <c r="L2112">
        <f>VLOOKUP(A2112,Marketing_df2!$A$1:$F$2241,3,FALSE)</f>
        <v>10</v>
      </c>
      <c r="M2112">
        <f>VLOOKUP(A2112,Marketing_df2!$A$1:$F$2241,4,FALSE)</f>
        <v>43</v>
      </c>
      <c r="N2112">
        <f>VLOOKUP(A2112,Marketing_df2!$A$1:$F$2241,5,FALSE)</f>
        <v>8</v>
      </c>
      <c r="O2112">
        <f>VLOOKUP(A2112,Marketing_df2!$A$1:$F$2241,6,FALSE)</f>
        <v>7</v>
      </c>
    </row>
    <row r="2113" spans="1:15" ht="12.5">
      <c r="A2113" s="6">
        <v>2111</v>
      </c>
      <c r="B2113" s="6">
        <v>1008</v>
      </c>
      <c r="C2113" s="6">
        <v>1981</v>
      </c>
      <c r="D2113" s="7" t="s">
        <v>12</v>
      </c>
      <c r="E2113" s="7" t="s">
        <v>11</v>
      </c>
      <c r="F2113" s="6">
        <v>44953</v>
      </c>
      <c r="G2113" s="6">
        <v>0</v>
      </c>
      <c r="H2113" s="6">
        <v>0</v>
      </c>
      <c r="I2113" s="6">
        <f t="shared" si="32"/>
        <v>0</v>
      </c>
      <c r="J2113" s="9">
        <v>41264</v>
      </c>
      <c r="K2113" s="6">
        <v>31</v>
      </c>
      <c r="L2113">
        <f>VLOOKUP(A2113,Marketing_df2!$A$1:$F$2241,3,FALSE)</f>
        <v>17</v>
      </c>
      <c r="M2113">
        <f>VLOOKUP(A2113,Marketing_df2!$A$1:$F$2241,4,FALSE)</f>
        <v>8</v>
      </c>
      <c r="N2113">
        <f>VLOOKUP(A2113,Marketing_df2!$A$1:$F$2241,5,FALSE)</f>
        <v>7</v>
      </c>
      <c r="O2113">
        <f>VLOOKUP(A2113,Marketing_df2!$A$1:$F$2241,6,FALSE)</f>
        <v>13</v>
      </c>
    </row>
    <row r="2114" spans="1:15" ht="12.5">
      <c r="A2114" s="6">
        <v>2112</v>
      </c>
      <c r="B2114" s="6">
        <v>11091</v>
      </c>
      <c r="C2114" s="6">
        <v>1953</v>
      </c>
      <c r="D2114" s="7" t="s">
        <v>9</v>
      </c>
      <c r="E2114" s="7" t="s">
        <v>11</v>
      </c>
      <c r="F2114" s="6">
        <v>34587</v>
      </c>
      <c r="G2114" s="6">
        <v>1</v>
      </c>
      <c r="H2114" s="6">
        <v>1</v>
      </c>
      <c r="I2114" s="6">
        <f t="shared" si="32"/>
        <v>2</v>
      </c>
      <c r="J2114" s="8">
        <v>41775</v>
      </c>
      <c r="K2114" s="6">
        <v>68</v>
      </c>
      <c r="L2114">
        <f>VLOOKUP(A2114,Marketing_df2!$A$1:$F$2241,3,FALSE)</f>
        <v>2</v>
      </c>
      <c r="M2114">
        <f>VLOOKUP(A2114,Marketing_df2!$A$1:$F$2241,4,FALSE)</f>
        <v>0</v>
      </c>
      <c r="N2114">
        <f>VLOOKUP(A2114,Marketing_df2!$A$1:$F$2241,5,FALSE)</f>
        <v>1</v>
      </c>
      <c r="O2114">
        <f>VLOOKUP(A2114,Marketing_df2!$A$1:$F$2241,6,FALSE)</f>
        <v>3</v>
      </c>
    </row>
    <row r="2115" spans="1:15" ht="12.5">
      <c r="A2115" s="6">
        <v>2113</v>
      </c>
      <c r="B2115" s="6">
        <v>3969</v>
      </c>
      <c r="C2115" s="6">
        <v>1974</v>
      </c>
      <c r="D2115" s="7" t="s">
        <v>14</v>
      </c>
      <c r="E2115" s="7" t="s">
        <v>11</v>
      </c>
      <c r="F2115" s="6">
        <v>43018</v>
      </c>
      <c r="G2115" s="6">
        <v>0</v>
      </c>
      <c r="H2115" s="6">
        <v>1</v>
      </c>
      <c r="I2115" s="6">
        <f t="shared" ref="I2115:I2178" si="33">G2115+H2115</f>
        <v>1</v>
      </c>
      <c r="J2115" s="8">
        <v>41579</v>
      </c>
      <c r="K2115" s="6">
        <v>46</v>
      </c>
      <c r="L2115">
        <f>VLOOKUP(A2115,Marketing_df2!$A$1:$F$2241,3,FALSE)</f>
        <v>4</v>
      </c>
      <c r="M2115">
        <f>VLOOKUP(A2115,Marketing_df2!$A$1:$F$2241,4,FALSE)</f>
        <v>6</v>
      </c>
      <c r="N2115">
        <f>VLOOKUP(A2115,Marketing_df2!$A$1:$F$2241,5,FALSE)</f>
        <v>2</v>
      </c>
      <c r="O2115">
        <f>VLOOKUP(A2115,Marketing_df2!$A$1:$F$2241,6,FALSE)</f>
        <v>2</v>
      </c>
    </row>
    <row r="2116" spans="1:15" ht="12.5">
      <c r="A2116" s="6">
        <v>2114</v>
      </c>
      <c r="B2116" s="6">
        <v>1916</v>
      </c>
      <c r="C2116" s="6">
        <v>1954</v>
      </c>
      <c r="D2116" s="7" t="s">
        <v>14</v>
      </c>
      <c r="E2116" s="7" t="s">
        <v>13</v>
      </c>
      <c r="F2116" s="6">
        <v>45736</v>
      </c>
      <c r="G2116" s="6">
        <v>0</v>
      </c>
      <c r="H2116" s="6">
        <v>1</v>
      </c>
      <c r="I2116" s="6">
        <f t="shared" si="33"/>
        <v>1</v>
      </c>
      <c r="J2116" s="8">
        <v>41479</v>
      </c>
      <c r="K2116" s="6">
        <v>92</v>
      </c>
      <c r="L2116">
        <f>VLOOKUP(A2116,Marketing_df2!$A$1:$F$2241,3,FALSE)</f>
        <v>3</v>
      </c>
      <c r="M2116">
        <f>VLOOKUP(A2116,Marketing_df2!$A$1:$F$2241,4,FALSE)</f>
        <v>3</v>
      </c>
      <c r="N2116">
        <f>VLOOKUP(A2116,Marketing_df2!$A$1:$F$2241,5,FALSE)</f>
        <v>7</v>
      </c>
      <c r="O2116">
        <f>VLOOKUP(A2116,Marketing_df2!$A$1:$F$2241,6,FALSE)</f>
        <v>6</v>
      </c>
    </row>
    <row r="2117" spans="1:15" ht="12.5">
      <c r="A2117" s="6">
        <v>2115</v>
      </c>
      <c r="B2117" s="6">
        <v>9907</v>
      </c>
      <c r="C2117" s="6">
        <v>1969</v>
      </c>
      <c r="D2117" s="7" t="s">
        <v>14</v>
      </c>
      <c r="E2117" s="7" t="s">
        <v>11</v>
      </c>
      <c r="F2117" s="6">
        <v>66476</v>
      </c>
      <c r="G2117" s="6">
        <v>0</v>
      </c>
      <c r="H2117" s="6">
        <v>1</v>
      </c>
      <c r="I2117" s="6">
        <f t="shared" si="33"/>
        <v>1</v>
      </c>
      <c r="J2117" s="8">
        <v>41612</v>
      </c>
      <c r="K2117" s="6">
        <v>80</v>
      </c>
      <c r="L2117">
        <f>VLOOKUP(A2117,Marketing_df2!$A$1:$F$2241,3,FALSE)</f>
        <v>28</v>
      </c>
      <c r="M2117">
        <f>VLOOKUP(A2117,Marketing_df2!$A$1:$F$2241,4,FALSE)</f>
        <v>9</v>
      </c>
      <c r="N2117">
        <f>VLOOKUP(A2117,Marketing_df2!$A$1:$F$2241,5,FALSE)</f>
        <v>6</v>
      </c>
      <c r="O2117">
        <f>VLOOKUP(A2117,Marketing_df2!$A$1:$F$2241,6,FALSE)</f>
        <v>10</v>
      </c>
    </row>
    <row r="2118" spans="1:15" ht="12.5">
      <c r="A2118" s="6">
        <v>2116</v>
      </c>
      <c r="B2118" s="6">
        <v>87</v>
      </c>
      <c r="C2118" s="6">
        <v>1981</v>
      </c>
      <c r="D2118" s="7" t="s">
        <v>17</v>
      </c>
      <c r="E2118" s="7" t="s">
        <v>13</v>
      </c>
      <c r="F2118" s="6">
        <v>27733</v>
      </c>
      <c r="G2118" s="6">
        <v>1</v>
      </c>
      <c r="H2118" s="6">
        <v>0</v>
      </c>
      <c r="I2118" s="6">
        <f t="shared" si="33"/>
        <v>1</v>
      </c>
      <c r="J2118" s="8">
        <v>41512</v>
      </c>
      <c r="K2118" s="6">
        <v>16</v>
      </c>
      <c r="L2118">
        <f>VLOOKUP(A2118,Marketing_df2!$A$1:$F$2241,3,FALSE)</f>
        <v>7</v>
      </c>
      <c r="M2118">
        <f>VLOOKUP(A2118,Marketing_df2!$A$1:$F$2241,4,FALSE)</f>
        <v>2</v>
      </c>
      <c r="N2118">
        <f>VLOOKUP(A2118,Marketing_df2!$A$1:$F$2241,5,FALSE)</f>
        <v>2</v>
      </c>
      <c r="O2118">
        <f>VLOOKUP(A2118,Marketing_df2!$A$1:$F$2241,6,FALSE)</f>
        <v>3</v>
      </c>
    </row>
    <row r="2119" spans="1:15" ht="12.5">
      <c r="A2119" s="6">
        <v>2117</v>
      </c>
      <c r="B2119" s="6">
        <v>8659</v>
      </c>
      <c r="C2119" s="6">
        <v>1952</v>
      </c>
      <c r="D2119" s="7" t="s">
        <v>12</v>
      </c>
      <c r="E2119" s="7" t="s">
        <v>11</v>
      </c>
      <c r="F2119" s="6">
        <v>69805</v>
      </c>
      <c r="G2119" s="6">
        <v>0</v>
      </c>
      <c r="H2119" s="6">
        <v>1</v>
      </c>
      <c r="I2119" s="6">
        <f t="shared" si="33"/>
        <v>1</v>
      </c>
      <c r="J2119" s="8">
        <v>41660</v>
      </c>
      <c r="K2119" s="6">
        <v>50</v>
      </c>
      <c r="L2119">
        <f>VLOOKUP(A2119,Marketing_df2!$A$1:$F$2241,3,FALSE)</f>
        <v>71</v>
      </c>
      <c r="M2119">
        <f>VLOOKUP(A2119,Marketing_df2!$A$1:$F$2241,4,FALSE)</f>
        <v>10</v>
      </c>
      <c r="N2119">
        <f>VLOOKUP(A2119,Marketing_df2!$A$1:$F$2241,5,FALSE)</f>
        <v>6</v>
      </c>
      <c r="O2119">
        <f>VLOOKUP(A2119,Marketing_df2!$A$1:$F$2241,6,FALSE)</f>
        <v>11</v>
      </c>
    </row>
    <row r="2120" spans="1:15" ht="12.5">
      <c r="A2120" s="6">
        <v>2118</v>
      </c>
      <c r="B2120" s="6">
        <v>6262</v>
      </c>
      <c r="C2120" s="6">
        <v>1962</v>
      </c>
      <c r="D2120" s="7" t="s">
        <v>14</v>
      </c>
      <c r="E2120" s="7" t="s">
        <v>10</v>
      </c>
      <c r="F2120" s="6">
        <v>72217</v>
      </c>
      <c r="G2120" s="6">
        <v>0</v>
      </c>
      <c r="H2120" s="6">
        <v>0</v>
      </c>
      <c r="I2120" s="6">
        <f t="shared" si="33"/>
        <v>0</v>
      </c>
      <c r="J2120" s="8">
        <v>41374</v>
      </c>
      <c r="K2120" s="6">
        <v>93</v>
      </c>
      <c r="L2120">
        <f>VLOOKUP(A2120,Marketing_df2!$A$1:$F$2241,3,FALSE)</f>
        <v>42</v>
      </c>
      <c r="M2120">
        <f>VLOOKUP(A2120,Marketing_df2!$A$1:$F$2241,4,FALSE)</f>
        <v>56</v>
      </c>
      <c r="N2120">
        <f>VLOOKUP(A2120,Marketing_df2!$A$1:$F$2241,5,FALSE)</f>
        <v>3</v>
      </c>
      <c r="O2120">
        <f>VLOOKUP(A2120,Marketing_df2!$A$1:$F$2241,6,FALSE)</f>
        <v>8</v>
      </c>
    </row>
    <row r="2121" spans="1:15" ht="12.5">
      <c r="A2121" s="6">
        <v>2119</v>
      </c>
      <c r="B2121" s="6">
        <v>6147</v>
      </c>
      <c r="C2121" s="6">
        <v>1971</v>
      </c>
      <c r="D2121" s="7" t="s">
        <v>9</v>
      </c>
      <c r="E2121" s="7" t="s">
        <v>15</v>
      </c>
      <c r="F2121" s="6">
        <v>25818</v>
      </c>
      <c r="G2121" s="6">
        <v>1</v>
      </c>
      <c r="H2121" s="6">
        <v>0</v>
      </c>
      <c r="I2121" s="6">
        <f t="shared" si="33"/>
        <v>1</v>
      </c>
      <c r="J2121" s="9">
        <v>41200</v>
      </c>
      <c r="K2121" s="6">
        <v>51</v>
      </c>
      <c r="L2121">
        <f>VLOOKUP(A2121,Marketing_df2!$A$1:$F$2241,3,FALSE)</f>
        <v>2</v>
      </c>
      <c r="M2121">
        <f>VLOOKUP(A2121,Marketing_df2!$A$1:$F$2241,4,FALSE)</f>
        <v>2</v>
      </c>
      <c r="N2121">
        <f>VLOOKUP(A2121,Marketing_df2!$A$1:$F$2241,5,FALSE)</f>
        <v>0</v>
      </c>
      <c r="O2121">
        <f>VLOOKUP(A2121,Marketing_df2!$A$1:$F$2241,6,FALSE)</f>
        <v>2</v>
      </c>
    </row>
    <row r="2122" spans="1:15" ht="12.5">
      <c r="A2122" s="6">
        <v>2120</v>
      </c>
      <c r="B2122" s="6">
        <v>8832</v>
      </c>
      <c r="C2122" s="6">
        <v>1976</v>
      </c>
      <c r="D2122" s="7" t="s">
        <v>14</v>
      </c>
      <c r="E2122" s="7" t="s">
        <v>11</v>
      </c>
      <c r="F2122" s="6">
        <v>37509</v>
      </c>
      <c r="G2122" s="6">
        <v>1</v>
      </c>
      <c r="H2122" s="6">
        <v>0</v>
      </c>
      <c r="I2122" s="6">
        <f t="shared" si="33"/>
        <v>1</v>
      </c>
      <c r="J2122" s="8">
        <v>41164</v>
      </c>
      <c r="K2122" s="6">
        <v>24</v>
      </c>
      <c r="L2122">
        <f>VLOOKUP(A2122,Marketing_df2!$A$1:$F$2241,3,FALSE)</f>
        <v>5</v>
      </c>
      <c r="M2122">
        <f>VLOOKUP(A2122,Marketing_df2!$A$1:$F$2241,4,FALSE)</f>
        <v>8</v>
      </c>
      <c r="N2122">
        <f>VLOOKUP(A2122,Marketing_df2!$A$1:$F$2241,5,FALSE)</f>
        <v>3</v>
      </c>
      <c r="O2122">
        <f>VLOOKUP(A2122,Marketing_df2!$A$1:$F$2241,6,FALSE)</f>
        <v>4</v>
      </c>
    </row>
    <row r="2123" spans="1:15" ht="12.5">
      <c r="A2123" s="6">
        <v>2121</v>
      </c>
      <c r="B2123" s="6">
        <v>10067</v>
      </c>
      <c r="C2123" s="6">
        <v>1976</v>
      </c>
      <c r="D2123" s="7" t="s">
        <v>17</v>
      </c>
      <c r="E2123" s="7" t="s">
        <v>11</v>
      </c>
      <c r="F2123" s="6">
        <v>25176</v>
      </c>
      <c r="G2123" s="6">
        <v>1</v>
      </c>
      <c r="H2123" s="6">
        <v>1</v>
      </c>
      <c r="I2123" s="6">
        <f t="shared" si="33"/>
        <v>2</v>
      </c>
      <c r="J2123" s="8">
        <v>41496</v>
      </c>
      <c r="K2123" s="6">
        <v>79</v>
      </c>
      <c r="L2123">
        <f>VLOOKUP(A2123,Marketing_df2!$A$1:$F$2241,3,FALSE)</f>
        <v>0</v>
      </c>
      <c r="M2123">
        <f>VLOOKUP(A2123,Marketing_df2!$A$1:$F$2241,4,FALSE)</f>
        <v>0</v>
      </c>
      <c r="N2123">
        <f>VLOOKUP(A2123,Marketing_df2!$A$1:$F$2241,5,FALSE)</f>
        <v>1</v>
      </c>
      <c r="O2123">
        <f>VLOOKUP(A2123,Marketing_df2!$A$1:$F$2241,6,FALSE)</f>
        <v>2</v>
      </c>
    </row>
    <row r="2124" spans="1:15" ht="12.5">
      <c r="A2124" s="6">
        <v>2122</v>
      </c>
      <c r="B2124" s="6">
        <v>7532</v>
      </c>
      <c r="C2124" s="6">
        <v>1980</v>
      </c>
      <c r="D2124" s="7" t="s">
        <v>9</v>
      </c>
      <c r="E2124" s="7" t="s">
        <v>13</v>
      </c>
      <c r="F2124" s="6">
        <v>43586</v>
      </c>
      <c r="G2124" s="6">
        <v>0</v>
      </c>
      <c r="H2124" s="6">
        <v>1</v>
      </c>
      <c r="I2124" s="6">
        <f t="shared" si="33"/>
        <v>1</v>
      </c>
      <c r="J2124" s="8">
        <v>41151</v>
      </c>
      <c r="K2124" s="6">
        <v>26</v>
      </c>
      <c r="L2124">
        <f>VLOOKUP(A2124,Marketing_df2!$A$1:$F$2241,3,FALSE)</f>
        <v>2</v>
      </c>
      <c r="M2124">
        <f>VLOOKUP(A2124,Marketing_df2!$A$1:$F$2241,4,FALSE)</f>
        <v>0</v>
      </c>
      <c r="N2124">
        <f>VLOOKUP(A2124,Marketing_df2!$A$1:$F$2241,5,FALSE)</f>
        <v>3</v>
      </c>
      <c r="O2124">
        <f>VLOOKUP(A2124,Marketing_df2!$A$1:$F$2241,6,FALSE)</f>
        <v>4</v>
      </c>
    </row>
    <row r="2125" spans="1:15" ht="12.5">
      <c r="A2125" s="6">
        <v>2123</v>
      </c>
      <c r="B2125" s="6">
        <v>4915</v>
      </c>
      <c r="C2125" s="6">
        <v>1956</v>
      </c>
      <c r="D2125" s="7" t="s">
        <v>17</v>
      </c>
      <c r="E2125" s="7" t="s">
        <v>13</v>
      </c>
      <c r="F2125" s="6">
        <v>53230</v>
      </c>
      <c r="G2125" s="6">
        <v>0</v>
      </c>
      <c r="H2125" s="6">
        <v>1</v>
      </c>
      <c r="I2125" s="6">
        <f t="shared" si="33"/>
        <v>1</v>
      </c>
      <c r="J2125" s="8">
        <v>41124</v>
      </c>
      <c r="K2125" s="6">
        <v>86</v>
      </c>
      <c r="L2125">
        <f>VLOOKUP(A2125,Marketing_df2!$A$1:$F$2241,3,FALSE)</f>
        <v>72</v>
      </c>
      <c r="M2125">
        <f>VLOOKUP(A2125,Marketing_df2!$A$1:$F$2241,4,FALSE)</f>
        <v>21</v>
      </c>
      <c r="N2125">
        <f>VLOOKUP(A2125,Marketing_df2!$A$1:$F$2241,5,FALSE)</f>
        <v>5</v>
      </c>
      <c r="O2125">
        <f>VLOOKUP(A2125,Marketing_df2!$A$1:$F$2241,6,FALSE)</f>
        <v>12</v>
      </c>
    </row>
    <row r="2126" spans="1:15" ht="12.5">
      <c r="A2126" s="6">
        <v>2124</v>
      </c>
      <c r="B2126" s="6">
        <v>2115</v>
      </c>
      <c r="C2126" s="6">
        <v>1957</v>
      </c>
      <c r="D2126" s="7" t="s">
        <v>9</v>
      </c>
      <c r="E2126" s="7" t="s">
        <v>11</v>
      </c>
      <c r="F2126" s="6">
        <v>50116</v>
      </c>
      <c r="G2126" s="6">
        <v>1</v>
      </c>
      <c r="H2126" s="6">
        <v>1</v>
      </c>
      <c r="I2126" s="6">
        <f t="shared" si="33"/>
        <v>2</v>
      </c>
      <c r="J2126" s="8">
        <v>41810</v>
      </c>
      <c r="K2126" s="6">
        <v>68</v>
      </c>
      <c r="L2126">
        <f>VLOOKUP(A2126,Marketing_df2!$A$1:$F$2241,3,FALSE)</f>
        <v>0</v>
      </c>
      <c r="M2126">
        <f>VLOOKUP(A2126,Marketing_df2!$A$1:$F$2241,4,FALSE)</f>
        <v>0</v>
      </c>
      <c r="N2126">
        <f>VLOOKUP(A2126,Marketing_df2!$A$1:$F$2241,5,FALSE)</f>
        <v>1</v>
      </c>
      <c r="O2126">
        <f>VLOOKUP(A2126,Marketing_df2!$A$1:$F$2241,6,FALSE)</f>
        <v>4</v>
      </c>
    </row>
    <row r="2127" spans="1:15" ht="12.5">
      <c r="A2127" s="6">
        <v>2125</v>
      </c>
      <c r="B2127" s="6">
        <v>2088</v>
      </c>
      <c r="C2127" s="6">
        <v>1972</v>
      </c>
      <c r="D2127" s="7" t="s">
        <v>9</v>
      </c>
      <c r="E2127" s="7" t="s">
        <v>11</v>
      </c>
      <c r="F2127" s="6">
        <v>84906</v>
      </c>
      <c r="G2127" s="6">
        <v>0</v>
      </c>
      <c r="H2127" s="6">
        <v>0</v>
      </c>
      <c r="I2127" s="6">
        <f t="shared" si="33"/>
        <v>0</v>
      </c>
      <c r="J2127" s="8">
        <v>41551</v>
      </c>
      <c r="K2127" s="6">
        <v>98</v>
      </c>
      <c r="L2127">
        <f>VLOOKUP(A2127,Marketing_df2!$A$1:$F$2241,3,FALSE)</f>
        <v>15</v>
      </c>
      <c r="M2127">
        <f>VLOOKUP(A2127,Marketing_df2!$A$1:$F$2241,4,FALSE)</f>
        <v>30</v>
      </c>
      <c r="N2127">
        <f>VLOOKUP(A2127,Marketing_df2!$A$1:$F$2241,5,FALSE)</f>
        <v>5</v>
      </c>
      <c r="O2127">
        <f>VLOOKUP(A2127,Marketing_df2!$A$1:$F$2241,6,FALSE)</f>
        <v>12</v>
      </c>
    </row>
    <row r="2128" spans="1:15" ht="12.5">
      <c r="A2128" s="6">
        <v>2126</v>
      </c>
      <c r="B2128" s="6">
        <v>2493</v>
      </c>
      <c r="C2128" s="6">
        <v>1966</v>
      </c>
      <c r="D2128" s="7" t="s">
        <v>9</v>
      </c>
      <c r="E2128" s="7" t="s">
        <v>13</v>
      </c>
      <c r="F2128" s="6">
        <v>61286</v>
      </c>
      <c r="G2128" s="6">
        <v>0</v>
      </c>
      <c r="H2128" s="6">
        <v>1</v>
      </c>
      <c r="I2128" s="6">
        <f t="shared" si="33"/>
        <v>1</v>
      </c>
      <c r="J2128" s="8">
        <v>41488</v>
      </c>
      <c r="K2128" s="6">
        <v>34</v>
      </c>
      <c r="L2128">
        <f>VLOOKUP(A2128,Marketing_df2!$A$1:$F$2241,3,FALSE)</f>
        <v>0</v>
      </c>
      <c r="M2128">
        <f>VLOOKUP(A2128,Marketing_df2!$A$1:$F$2241,4,FALSE)</f>
        <v>9</v>
      </c>
      <c r="N2128">
        <f>VLOOKUP(A2128,Marketing_df2!$A$1:$F$2241,5,FALSE)</f>
        <v>7</v>
      </c>
      <c r="O2128">
        <f>VLOOKUP(A2128,Marketing_df2!$A$1:$F$2241,6,FALSE)</f>
        <v>8</v>
      </c>
    </row>
    <row r="2129" spans="1:15" ht="12.5">
      <c r="A2129" s="6">
        <v>2127</v>
      </c>
      <c r="B2129" s="6">
        <v>6292</v>
      </c>
      <c r="C2129" s="6">
        <v>1986</v>
      </c>
      <c r="D2129" s="7" t="s">
        <v>12</v>
      </c>
      <c r="E2129" s="7" t="s">
        <v>13</v>
      </c>
      <c r="F2129" s="6">
        <v>82333</v>
      </c>
      <c r="G2129" s="6">
        <v>0</v>
      </c>
      <c r="H2129" s="6">
        <v>0</v>
      </c>
      <c r="I2129" s="6">
        <f t="shared" si="33"/>
        <v>0</v>
      </c>
      <c r="J2129" s="8">
        <v>41363</v>
      </c>
      <c r="K2129" s="6">
        <v>60</v>
      </c>
      <c r="L2129">
        <f>VLOOKUP(A2129,Marketing_df2!$A$1:$F$2241,3,FALSE)</f>
        <v>0</v>
      </c>
      <c r="M2129">
        <f>VLOOKUP(A2129,Marketing_df2!$A$1:$F$2241,4,FALSE)</f>
        <v>89</v>
      </c>
      <c r="N2129">
        <f>VLOOKUP(A2129,Marketing_df2!$A$1:$F$2241,5,FALSE)</f>
        <v>4</v>
      </c>
      <c r="O2129">
        <f>VLOOKUP(A2129,Marketing_df2!$A$1:$F$2241,6,FALSE)</f>
        <v>10</v>
      </c>
    </row>
    <row r="2130" spans="1:15" ht="12.5">
      <c r="A2130" s="6">
        <v>2128</v>
      </c>
      <c r="B2130" s="6">
        <v>1631</v>
      </c>
      <c r="C2130" s="6">
        <v>1965</v>
      </c>
      <c r="D2130" s="7" t="s">
        <v>12</v>
      </c>
      <c r="E2130" s="7" t="s">
        <v>11</v>
      </c>
      <c r="F2130" s="6">
        <v>65220</v>
      </c>
      <c r="G2130" s="6">
        <v>0</v>
      </c>
      <c r="H2130" s="6">
        <v>0</v>
      </c>
      <c r="I2130" s="6">
        <f t="shared" si="33"/>
        <v>0</v>
      </c>
      <c r="J2130" s="8">
        <v>41155</v>
      </c>
      <c r="K2130" s="6">
        <v>3</v>
      </c>
      <c r="L2130">
        <f>VLOOKUP(A2130,Marketing_df2!$A$1:$F$2241,3,FALSE)</f>
        <v>63</v>
      </c>
      <c r="M2130">
        <f>VLOOKUP(A2130,Marketing_df2!$A$1:$F$2241,4,FALSE)</f>
        <v>25</v>
      </c>
      <c r="N2130">
        <f>VLOOKUP(A2130,Marketing_df2!$A$1:$F$2241,5,FALSE)</f>
        <v>8</v>
      </c>
      <c r="O2130">
        <f>VLOOKUP(A2130,Marketing_df2!$A$1:$F$2241,6,FALSE)</f>
        <v>7</v>
      </c>
    </row>
    <row r="2131" spans="1:15" ht="12.5">
      <c r="A2131" s="6">
        <v>2129</v>
      </c>
      <c r="B2131" s="6">
        <v>10104</v>
      </c>
      <c r="C2131" s="6">
        <v>1974</v>
      </c>
      <c r="D2131" s="7" t="s">
        <v>9</v>
      </c>
      <c r="E2131" s="7" t="s">
        <v>11</v>
      </c>
      <c r="F2131" s="6">
        <v>33590</v>
      </c>
      <c r="G2131" s="6">
        <v>2</v>
      </c>
      <c r="H2131" s="6">
        <v>1</v>
      </c>
      <c r="I2131" s="6">
        <f t="shared" si="33"/>
        <v>3</v>
      </c>
      <c r="J2131" s="8">
        <v>41581</v>
      </c>
      <c r="K2131" s="6">
        <v>65</v>
      </c>
      <c r="L2131">
        <f>VLOOKUP(A2131,Marketing_df2!$A$1:$F$2241,3,FALSE)</f>
        <v>0</v>
      </c>
      <c r="M2131">
        <f>VLOOKUP(A2131,Marketing_df2!$A$1:$F$2241,4,FALSE)</f>
        <v>0</v>
      </c>
      <c r="N2131">
        <f>VLOOKUP(A2131,Marketing_df2!$A$1:$F$2241,5,FALSE)</f>
        <v>1</v>
      </c>
      <c r="O2131">
        <f>VLOOKUP(A2131,Marketing_df2!$A$1:$F$2241,6,FALSE)</f>
        <v>2</v>
      </c>
    </row>
    <row r="2132" spans="1:15" ht="12.5">
      <c r="A2132" s="6">
        <v>2130</v>
      </c>
      <c r="B2132" s="6">
        <v>3006</v>
      </c>
      <c r="C2132" s="6">
        <v>1976</v>
      </c>
      <c r="D2132" s="7" t="s">
        <v>9</v>
      </c>
      <c r="E2132" s="7" t="s">
        <v>15</v>
      </c>
      <c r="F2132" s="6">
        <v>30992</v>
      </c>
      <c r="G2132" s="6">
        <v>1</v>
      </c>
      <c r="H2132" s="6">
        <v>0</v>
      </c>
      <c r="I2132" s="6">
        <f t="shared" si="33"/>
        <v>1</v>
      </c>
      <c r="J2132" s="8">
        <v>41386</v>
      </c>
      <c r="K2132" s="6">
        <v>83</v>
      </c>
      <c r="L2132">
        <f>VLOOKUP(A2132,Marketing_df2!$A$1:$F$2241,3,FALSE)</f>
        <v>0</v>
      </c>
      <c r="M2132">
        <f>VLOOKUP(A2132,Marketing_df2!$A$1:$F$2241,4,FALSE)</f>
        <v>3</v>
      </c>
      <c r="N2132">
        <f>VLOOKUP(A2132,Marketing_df2!$A$1:$F$2241,5,FALSE)</f>
        <v>1</v>
      </c>
      <c r="O2132">
        <f>VLOOKUP(A2132,Marketing_df2!$A$1:$F$2241,6,FALSE)</f>
        <v>3</v>
      </c>
    </row>
    <row r="2133" spans="1:15" ht="12.5">
      <c r="A2133" s="6">
        <v>2131</v>
      </c>
      <c r="B2133" s="6">
        <v>3919</v>
      </c>
      <c r="C2133" s="6">
        <v>1976</v>
      </c>
      <c r="D2133" s="7" t="s">
        <v>14</v>
      </c>
      <c r="E2133" s="7" t="s">
        <v>10</v>
      </c>
      <c r="F2133" s="6">
        <v>72309</v>
      </c>
      <c r="G2133" s="6">
        <v>0</v>
      </c>
      <c r="H2133" s="6">
        <v>0</v>
      </c>
      <c r="I2133" s="6">
        <f t="shared" si="33"/>
        <v>0</v>
      </c>
      <c r="J2133" s="8">
        <v>41344</v>
      </c>
      <c r="K2133" s="6">
        <v>64</v>
      </c>
      <c r="L2133">
        <f>VLOOKUP(A2133,Marketing_df2!$A$1:$F$2241,3,FALSE)</f>
        <v>0</v>
      </c>
      <c r="M2133">
        <f>VLOOKUP(A2133,Marketing_df2!$A$1:$F$2241,4,FALSE)</f>
        <v>38</v>
      </c>
      <c r="N2133">
        <f>VLOOKUP(A2133,Marketing_df2!$A$1:$F$2241,5,FALSE)</f>
        <v>5</v>
      </c>
      <c r="O2133">
        <f>VLOOKUP(A2133,Marketing_df2!$A$1:$F$2241,6,FALSE)</f>
        <v>8</v>
      </c>
    </row>
    <row r="2134" spans="1:15" ht="12.5">
      <c r="A2134" s="6">
        <v>2132</v>
      </c>
      <c r="B2134" s="6">
        <v>11181</v>
      </c>
      <c r="C2134" s="6">
        <v>1949</v>
      </c>
      <c r="D2134" s="7" t="s">
        <v>12</v>
      </c>
      <c r="E2134" s="7" t="s">
        <v>13</v>
      </c>
      <c r="F2134" s="6">
        <v>156924</v>
      </c>
      <c r="G2134" s="6">
        <v>0</v>
      </c>
      <c r="H2134" s="6">
        <v>0</v>
      </c>
      <c r="I2134" s="6">
        <f t="shared" si="33"/>
        <v>0</v>
      </c>
      <c r="J2134" s="8">
        <v>41515</v>
      </c>
      <c r="K2134" s="6">
        <v>85</v>
      </c>
      <c r="L2134">
        <f>VLOOKUP(A2134,Marketing_df2!$A$1:$F$2241,3,FALSE)</f>
        <v>1</v>
      </c>
      <c r="M2134">
        <f>VLOOKUP(A2134,Marketing_df2!$A$1:$F$2241,4,FALSE)</f>
        <v>1</v>
      </c>
      <c r="N2134">
        <f>VLOOKUP(A2134,Marketing_df2!$A$1:$F$2241,5,FALSE)</f>
        <v>0</v>
      </c>
      <c r="O2134">
        <f>VLOOKUP(A2134,Marketing_df2!$A$1:$F$2241,6,FALSE)</f>
        <v>0</v>
      </c>
    </row>
    <row r="2135" spans="1:15" ht="12.5">
      <c r="A2135" s="6">
        <v>2133</v>
      </c>
      <c r="B2135" s="6">
        <v>642</v>
      </c>
      <c r="C2135" s="6">
        <v>1980</v>
      </c>
      <c r="D2135" s="7" t="s">
        <v>16</v>
      </c>
      <c r="E2135" s="7" t="s">
        <v>13</v>
      </c>
      <c r="F2135" s="6">
        <v>16005</v>
      </c>
      <c r="G2135" s="6">
        <v>1</v>
      </c>
      <c r="H2135" s="6">
        <v>0</v>
      </c>
      <c r="I2135" s="6">
        <f t="shared" si="33"/>
        <v>1</v>
      </c>
      <c r="J2135" s="8">
        <v>41135</v>
      </c>
      <c r="K2135" s="6">
        <v>69</v>
      </c>
      <c r="L2135">
        <f>VLOOKUP(A2135,Marketing_df2!$A$1:$F$2241,3,FALSE)</f>
        <v>3</v>
      </c>
      <c r="M2135">
        <f>VLOOKUP(A2135,Marketing_df2!$A$1:$F$2241,4,FALSE)</f>
        <v>30</v>
      </c>
      <c r="N2135">
        <f>VLOOKUP(A2135,Marketing_df2!$A$1:$F$2241,5,FALSE)</f>
        <v>2</v>
      </c>
      <c r="O2135">
        <f>VLOOKUP(A2135,Marketing_df2!$A$1:$F$2241,6,FALSE)</f>
        <v>2</v>
      </c>
    </row>
    <row r="2136" spans="1:15" ht="12.5">
      <c r="A2136" s="6">
        <v>2134</v>
      </c>
      <c r="B2136" s="6">
        <v>4369</v>
      </c>
      <c r="C2136" s="6">
        <v>1957</v>
      </c>
      <c r="D2136" s="7" t="s">
        <v>14</v>
      </c>
      <c r="E2136" s="7" t="s">
        <v>20</v>
      </c>
      <c r="F2136" s="6">
        <v>65487</v>
      </c>
      <c r="G2136" s="6">
        <v>0</v>
      </c>
      <c r="H2136" s="6">
        <v>0</v>
      </c>
      <c r="I2136" s="6">
        <f t="shared" si="33"/>
        <v>0</v>
      </c>
      <c r="J2136" s="8">
        <v>41649</v>
      </c>
      <c r="K2136" s="6">
        <v>48</v>
      </c>
      <c r="L2136">
        <f>VLOOKUP(A2136,Marketing_df2!$A$1:$F$2241,3,FALSE)</f>
        <v>67</v>
      </c>
      <c r="M2136">
        <f>VLOOKUP(A2136,Marketing_df2!$A$1:$F$2241,4,FALSE)</f>
        <v>0</v>
      </c>
      <c r="N2136">
        <f>VLOOKUP(A2136,Marketing_df2!$A$1:$F$2241,5,FALSE)</f>
        <v>3</v>
      </c>
      <c r="O2136">
        <f>VLOOKUP(A2136,Marketing_df2!$A$1:$F$2241,6,FALSE)</f>
        <v>6</v>
      </c>
    </row>
    <row r="2137" spans="1:15" ht="12.5">
      <c r="A2137" s="6">
        <v>2135</v>
      </c>
      <c r="B2137" s="6">
        <v>10127</v>
      </c>
      <c r="C2137" s="6">
        <v>1965</v>
      </c>
      <c r="D2137" s="7" t="s">
        <v>9</v>
      </c>
      <c r="E2137" s="7" t="s">
        <v>13</v>
      </c>
      <c r="F2137" s="6">
        <v>58692</v>
      </c>
      <c r="G2137" s="6">
        <v>0</v>
      </c>
      <c r="H2137" s="6">
        <v>1</v>
      </c>
      <c r="I2137" s="6">
        <f t="shared" si="33"/>
        <v>1</v>
      </c>
      <c r="J2137" s="8">
        <v>41735</v>
      </c>
      <c r="K2137" s="6">
        <v>21</v>
      </c>
      <c r="L2137">
        <f>VLOOKUP(A2137,Marketing_df2!$A$1:$F$2241,3,FALSE)</f>
        <v>11</v>
      </c>
      <c r="M2137">
        <f>VLOOKUP(A2137,Marketing_df2!$A$1:$F$2241,4,FALSE)</f>
        <v>7</v>
      </c>
      <c r="N2137">
        <f>VLOOKUP(A2137,Marketing_df2!$A$1:$F$2241,5,FALSE)</f>
        <v>8</v>
      </c>
      <c r="O2137">
        <f>VLOOKUP(A2137,Marketing_df2!$A$1:$F$2241,6,FALSE)</f>
        <v>4</v>
      </c>
    </row>
    <row r="2138" spans="1:15" ht="12.5">
      <c r="A2138" s="6">
        <v>2136</v>
      </c>
      <c r="B2138" s="6">
        <v>271</v>
      </c>
      <c r="C2138" s="6">
        <v>1969</v>
      </c>
      <c r="D2138" s="7" t="s">
        <v>9</v>
      </c>
      <c r="E2138" s="7" t="s">
        <v>18</v>
      </c>
      <c r="F2138" s="6">
        <v>40590</v>
      </c>
      <c r="G2138" s="6">
        <v>1</v>
      </c>
      <c r="H2138" s="6">
        <v>1</v>
      </c>
      <c r="I2138" s="6">
        <f t="shared" si="33"/>
        <v>2</v>
      </c>
      <c r="J2138" s="8">
        <v>41549</v>
      </c>
      <c r="K2138" s="6">
        <v>30</v>
      </c>
      <c r="L2138">
        <f>VLOOKUP(A2138,Marketing_df2!$A$1:$F$2241,3,FALSE)</f>
        <v>0</v>
      </c>
      <c r="M2138">
        <f>VLOOKUP(A2138,Marketing_df2!$A$1:$F$2241,4,FALSE)</f>
        <v>11</v>
      </c>
      <c r="N2138">
        <f>VLOOKUP(A2138,Marketing_df2!$A$1:$F$2241,5,FALSE)</f>
        <v>3</v>
      </c>
      <c r="O2138">
        <f>VLOOKUP(A2138,Marketing_df2!$A$1:$F$2241,6,FALSE)</f>
        <v>3</v>
      </c>
    </row>
    <row r="2139" spans="1:15" ht="12.5">
      <c r="A2139" s="6">
        <v>2137</v>
      </c>
      <c r="B2139" s="6">
        <v>4973</v>
      </c>
      <c r="C2139" s="6">
        <v>1970</v>
      </c>
      <c r="D2139" s="7" t="s">
        <v>9</v>
      </c>
      <c r="E2139" s="7" t="s">
        <v>10</v>
      </c>
      <c r="F2139" s="6">
        <v>20587</v>
      </c>
      <c r="G2139" s="6">
        <v>1</v>
      </c>
      <c r="H2139" s="6">
        <v>0</v>
      </c>
      <c r="I2139" s="6">
        <f t="shared" si="33"/>
        <v>1</v>
      </c>
      <c r="J2139" s="8">
        <v>41770</v>
      </c>
      <c r="K2139" s="6">
        <v>39</v>
      </c>
      <c r="L2139">
        <f>VLOOKUP(A2139,Marketing_df2!$A$1:$F$2241,3,FALSE)</f>
        <v>3</v>
      </c>
      <c r="M2139">
        <f>VLOOKUP(A2139,Marketing_df2!$A$1:$F$2241,4,FALSE)</f>
        <v>1</v>
      </c>
      <c r="N2139">
        <f>VLOOKUP(A2139,Marketing_df2!$A$1:$F$2241,5,FALSE)</f>
        <v>1</v>
      </c>
      <c r="O2139">
        <f>VLOOKUP(A2139,Marketing_df2!$A$1:$F$2241,6,FALSE)</f>
        <v>2</v>
      </c>
    </row>
    <row r="2140" spans="1:15" ht="12.5">
      <c r="A2140" s="6">
        <v>2138</v>
      </c>
      <c r="B2140" s="6">
        <v>2948</v>
      </c>
      <c r="C2140" s="6">
        <v>1954</v>
      </c>
      <c r="D2140" s="7" t="s">
        <v>14</v>
      </c>
      <c r="E2140" s="7" t="s">
        <v>15</v>
      </c>
      <c r="F2140" s="6">
        <v>62637</v>
      </c>
      <c r="G2140" s="6">
        <v>0</v>
      </c>
      <c r="H2140" s="6">
        <v>1</v>
      </c>
      <c r="I2140" s="6">
        <f t="shared" si="33"/>
        <v>1</v>
      </c>
      <c r="J2140" s="8">
        <v>41699</v>
      </c>
      <c r="K2140" s="6">
        <v>76</v>
      </c>
      <c r="L2140">
        <f>VLOOKUP(A2140,Marketing_df2!$A$1:$F$2241,3,FALSE)</f>
        <v>12</v>
      </c>
      <c r="M2140">
        <f>VLOOKUP(A2140,Marketing_df2!$A$1:$F$2241,4,FALSE)</f>
        <v>12</v>
      </c>
      <c r="N2140">
        <f>VLOOKUP(A2140,Marketing_df2!$A$1:$F$2241,5,FALSE)</f>
        <v>2</v>
      </c>
      <c r="O2140">
        <f>VLOOKUP(A2140,Marketing_df2!$A$1:$F$2241,6,FALSE)</f>
        <v>5</v>
      </c>
    </row>
    <row r="2141" spans="1:15" ht="12.5">
      <c r="A2141" s="6">
        <v>2139</v>
      </c>
      <c r="B2141" s="6">
        <v>2715</v>
      </c>
      <c r="C2141" s="6">
        <v>1966</v>
      </c>
      <c r="D2141" s="7" t="s">
        <v>14</v>
      </c>
      <c r="E2141" s="7" t="s">
        <v>15</v>
      </c>
      <c r="F2141" s="6">
        <v>29435</v>
      </c>
      <c r="G2141" s="6">
        <v>1</v>
      </c>
      <c r="H2141" s="6">
        <v>1</v>
      </c>
      <c r="I2141" s="6">
        <f t="shared" si="33"/>
        <v>2</v>
      </c>
      <c r="J2141" s="8">
        <v>41127</v>
      </c>
      <c r="K2141" s="6">
        <v>11</v>
      </c>
      <c r="L2141">
        <f>VLOOKUP(A2141,Marketing_df2!$A$1:$F$2241,3,FALSE)</f>
        <v>3</v>
      </c>
      <c r="M2141">
        <f>VLOOKUP(A2141,Marketing_df2!$A$1:$F$2241,4,FALSE)</f>
        <v>2</v>
      </c>
      <c r="N2141">
        <f>VLOOKUP(A2141,Marketing_df2!$A$1:$F$2241,5,FALSE)</f>
        <v>3</v>
      </c>
      <c r="O2141">
        <f>VLOOKUP(A2141,Marketing_df2!$A$1:$F$2241,6,FALSE)</f>
        <v>2</v>
      </c>
    </row>
    <row r="2142" spans="1:15" ht="12.5">
      <c r="A2142" s="6">
        <v>2140</v>
      </c>
      <c r="B2142" s="6">
        <v>10432</v>
      </c>
      <c r="C2142" s="6">
        <v>1974</v>
      </c>
      <c r="D2142" s="7" t="s">
        <v>9</v>
      </c>
      <c r="E2142" s="7" t="s">
        <v>15</v>
      </c>
      <c r="F2142" s="6">
        <v>19346</v>
      </c>
      <c r="G2142" s="6">
        <v>1</v>
      </c>
      <c r="H2142" s="6">
        <v>0</v>
      </c>
      <c r="I2142" s="6">
        <f t="shared" si="33"/>
        <v>1</v>
      </c>
      <c r="J2142" s="8">
        <v>41669</v>
      </c>
      <c r="K2142" s="6">
        <v>26</v>
      </c>
      <c r="L2142">
        <f>VLOOKUP(A2142,Marketing_df2!$A$1:$F$2241,3,FALSE)</f>
        <v>0</v>
      </c>
      <c r="M2142">
        <f>VLOOKUP(A2142,Marketing_df2!$A$1:$F$2241,4,FALSE)</f>
        <v>6</v>
      </c>
      <c r="N2142">
        <f>VLOOKUP(A2142,Marketing_df2!$A$1:$F$2241,5,FALSE)</f>
        <v>1</v>
      </c>
      <c r="O2142">
        <f>VLOOKUP(A2142,Marketing_df2!$A$1:$F$2241,6,FALSE)</f>
        <v>3</v>
      </c>
    </row>
    <row r="2143" spans="1:15" ht="12.5">
      <c r="A2143" s="6">
        <v>2141</v>
      </c>
      <c r="B2143" s="6">
        <v>9216</v>
      </c>
      <c r="C2143" s="6">
        <v>1971</v>
      </c>
      <c r="D2143" s="7" t="s">
        <v>9</v>
      </c>
      <c r="E2143" s="7" t="s">
        <v>13</v>
      </c>
      <c r="F2143" s="6">
        <v>35788</v>
      </c>
      <c r="G2143" s="6">
        <v>1</v>
      </c>
      <c r="H2143" s="6">
        <v>1</v>
      </c>
      <c r="I2143" s="6">
        <f t="shared" si="33"/>
        <v>2</v>
      </c>
      <c r="J2143" s="8">
        <v>41662</v>
      </c>
      <c r="K2143" s="6">
        <v>34</v>
      </c>
      <c r="L2143">
        <f>VLOOKUP(A2143,Marketing_df2!$A$1:$F$2241,3,FALSE)</f>
        <v>2</v>
      </c>
      <c r="M2143">
        <f>VLOOKUP(A2143,Marketing_df2!$A$1:$F$2241,4,FALSE)</f>
        <v>1</v>
      </c>
      <c r="N2143">
        <f>VLOOKUP(A2143,Marketing_df2!$A$1:$F$2241,5,FALSE)</f>
        <v>2</v>
      </c>
      <c r="O2143">
        <f>VLOOKUP(A2143,Marketing_df2!$A$1:$F$2241,6,FALSE)</f>
        <v>3</v>
      </c>
    </row>
    <row r="2144" spans="1:15" ht="12.5">
      <c r="A2144" s="6">
        <v>2142</v>
      </c>
      <c r="B2144" s="6">
        <v>7124</v>
      </c>
      <c r="C2144" s="6">
        <v>1968</v>
      </c>
      <c r="D2144" s="7" t="s">
        <v>9</v>
      </c>
      <c r="E2144" s="7" t="s">
        <v>15</v>
      </c>
      <c r="F2144" s="6">
        <v>36997</v>
      </c>
      <c r="G2144" s="6">
        <v>1</v>
      </c>
      <c r="H2144" s="6">
        <v>1</v>
      </c>
      <c r="I2144" s="6">
        <f t="shared" si="33"/>
        <v>2</v>
      </c>
      <c r="J2144" s="8">
        <v>41306</v>
      </c>
      <c r="K2144" s="6">
        <v>72</v>
      </c>
      <c r="L2144">
        <f>VLOOKUP(A2144,Marketing_df2!$A$1:$F$2241,3,FALSE)</f>
        <v>4</v>
      </c>
      <c r="M2144">
        <f>VLOOKUP(A2144,Marketing_df2!$A$1:$F$2241,4,FALSE)</f>
        <v>0</v>
      </c>
      <c r="N2144">
        <f>VLOOKUP(A2144,Marketing_df2!$A$1:$F$2241,5,FALSE)</f>
        <v>2</v>
      </c>
      <c r="O2144">
        <f>VLOOKUP(A2144,Marketing_df2!$A$1:$F$2241,6,FALSE)</f>
        <v>4</v>
      </c>
    </row>
    <row r="2145" spans="1:15" ht="12.5">
      <c r="A2145" s="6">
        <v>2143</v>
      </c>
      <c r="B2145" s="6">
        <v>9727</v>
      </c>
      <c r="C2145" s="6">
        <v>1957</v>
      </c>
      <c r="D2145" s="7" t="s">
        <v>9</v>
      </c>
      <c r="E2145" s="7" t="s">
        <v>13</v>
      </c>
      <c r="F2145" s="6">
        <v>23539</v>
      </c>
      <c r="G2145" s="6">
        <v>0</v>
      </c>
      <c r="H2145" s="6">
        <v>0</v>
      </c>
      <c r="I2145" s="6">
        <f t="shared" si="33"/>
        <v>0</v>
      </c>
      <c r="J2145" s="8">
        <v>41698</v>
      </c>
      <c r="K2145" s="6">
        <v>13</v>
      </c>
      <c r="L2145">
        <f>VLOOKUP(A2145,Marketing_df2!$A$1:$F$2241,3,FALSE)</f>
        <v>24</v>
      </c>
      <c r="M2145">
        <f>VLOOKUP(A2145,Marketing_df2!$A$1:$F$2241,4,FALSE)</f>
        <v>1</v>
      </c>
      <c r="N2145">
        <f>VLOOKUP(A2145,Marketing_df2!$A$1:$F$2241,5,FALSE)</f>
        <v>2</v>
      </c>
      <c r="O2145">
        <f>VLOOKUP(A2145,Marketing_df2!$A$1:$F$2241,6,FALSE)</f>
        <v>4</v>
      </c>
    </row>
    <row r="2146" spans="1:15" ht="12.5">
      <c r="A2146" s="6">
        <v>2144</v>
      </c>
      <c r="B2146" s="6">
        <v>5136</v>
      </c>
      <c r="C2146" s="6">
        <v>1973</v>
      </c>
      <c r="D2146" s="7" t="s">
        <v>9</v>
      </c>
      <c r="E2146" s="7" t="s">
        <v>10</v>
      </c>
      <c r="F2146" s="6">
        <v>65333</v>
      </c>
      <c r="G2146" s="6">
        <v>0</v>
      </c>
      <c r="H2146" s="6">
        <v>1</v>
      </c>
      <c r="I2146" s="6">
        <f t="shared" si="33"/>
        <v>1</v>
      </c>
      <c r="J2146" s="8">
        <v>41656</v>
      </c>
      <c r="K2146" s="6">
        <v>58</v>
      </c>
      <c r="L2146">
        <f>VLOOKUP(A2146,Marketing_df2!$A$1:$F$2241,3,FALSE)</f>
        <v>7</v>
      </c>
      <c r="M2146">
        <f>VLOOKUP(A2146,Marketing_df2!$A$1:$F$2241,4,FALSE)</f>
        <v>15</v>
      </c>
      <c r="N2146">
        <f>VLOOKUP(A2146,Marketing_df2!$A$1:$F$2241,5,FALSE)</f>
        <v>9</v>
      </c>
      <c r="O2146">
        <f>VLOOKUP(A2146,Marketing_df2!$A$1:$F$2241,6,FALSE)</f>
        <v>8</v>
      </c>
    </row>
    <row r="2147" spans="1:15" ht="12.5">
      <c r="A2147" s="6">
        <v>2145</v>
      </c>
      <c r="B2147" s="6">
        <v>9790</v>
      </c>
      <c r="C2147" s="6">
        <v>1957</v>
      </c>
      <c r="D2147" s="7" t="s">
        <v>9</v>
      </c>
      <c r="E2147" s="7" t="s">
        <v>10</v>
      </c>
      <c r="F2147" s="6">
        <v>78499</v>
      </c>
      <c r="G2147" s="6">
        <v>0</v>
      </c>
      <c r="H2147" s="6">
        <v>0</v>
      </c>
      <c r="I2147" s="6">
        <f t="shared" si="33"/>
        <v>0</v>
      </c>
      <c r="J2147" s="9">
        <v>41601</v>
      </c>
      <c r="K2147" s="6">
        <v>12</v>
      </c>
      <c r="L2147">
        <f>VLOOKUP(A2147,Marketing_df2!$A$1:$F$2241,3,FALSE)</f>
        <v>72</v>
      </c>
      <c r="M2147">
        <f>VLOOKUP(A2147,Marketing_df2!$A$1:$F$2241,4,FALSE)</f>
        <v>36</v>
      </c>
      <c r="N2147">
        <f>VLOOKUP(A2147,Marketing_df2!$A$1:$F$2241,5,FALSE)</f>
        <v>11</v>
      </c>
      <c r="O2147">
        <f>VLOOKUP(A2147,Marketing_df2!$A$1:$F$2241,6,FALSE)</f>
        <v>4</v>
      </c>
    </row>
    <row r="2148" spans="1:15" ht="12.5">
      <c r="A2148" s="6">
        <v>2146</v>
      </c>
      <c r="B2148" s="6">
        <v>1818</v>
      </c>
      <c r="C2148" s="6">
        <v>1971</v>
      </c>
      <c r="D2148" s="7" t="s">
        <v>12</v>
      </c>
      <c r="E2148" s="7" t="s">
        <v>11</v>
      </c>
      <c r="F2148" s="6">
        <v>29732</v>
      </c>
      <c r="G2148" s="6">
        <v>1</v>
      </c>
      <c r="H2148" s="6">
        <v>0</v>
      </c>
      <c r="I2148" s="6">
        <f t="shared" si="33"/>
        <v>1</v>
      </c>
      <c r="J2148" s="8">
        <v>41723</v>
      </c>
      <c r="K2148" s="6">
        <v>23</v>
      </c>
      <c r="L2148">
        <f>VLOOKUP(A2148,Marketing_df2!$A$1:$F$2241,3,FALSE)</f>
        <v>0</v>
      </c>
      <c r="M2148">
        <f>VLOOKUP(A2148,Marketing_df2!$A$1:$F$2241,4,FALSE)</f>
        <v>1</v>
      </c>
      <c r="N2148">
        <f>VLOOKUP(A2148,Marketing_df2!$A$1:$F$2241,5,FALSE)</f>
        <v>2</v>
      </c>
      <c r="O2148">
        <f>VLOOKUP(A2148,Marketing_df2!$A$1:$F$2241,6,FALSE)</f>
        <v>2</v>
      </c>
    </row>
    <row r="2149" spans="1:15" ht="12.5">
      <c r="A2149" s="6">
        <v>2147</v>
      </c>
      <c r="B2149" s="6">
        <v>1100</v>
      </c>
      <c r="C2149" s="6">
        <v>1960</v>
      </c>
      <c r="D2149" s="7" t="s">
        <v>14</v>
      </c>
      <c r="E2149" s="7" t="s">
        <v>11</v>
      </c>
      <c r="F2149" s="6">
        <v>41275</v>
      </c>
      <c r="G2149" s="6">
        <v>1</v>
      </c>
      <c r="H2149" s="6">
        <v>2</v>
      </c>
      <c r="I2149" s="6">
        <f t="shared" si="33"/>
        <v>3</v>
      </c>
      <c r="J2149" s="8">
        <v>41722</v>
      </c>
      <c r="K2149" s="6">
        <v>33</v>
      </c>
      <c r="L2149">
        <f>VLOOKUP(A2149,Marketing_df2!$A$1:$F$2241,3,FALSE)</f>
        <v>4</v>
      </c>
      <c r="M2149">
        <f>VLOOKUP(A2149,Marketing_df2!$A$1:$F$2241,4,FALSE)</f>
        <v>2</v>
      </c>
      <c r="N2149">
        <f>VLOOKUP(A2149,Marketing_df2!$A$1:$F$2241,5,FALSE)</f>
        <v>3</v>
      </c>
      <c r="O2149">
        <f>VLOOKUP(A2149,Marketing_df2!$A$1:$F$2241,6,FALSE)</f>
        <v>3</v>
      </c>
    </row>
    <row r="2150" spans="1:15" ht="12.5">
      <c r="A2150" s="6">
        <v>2148</v>
      </c>
      <c r="B2150" s="6">
        <v>7873</v>
      </c>
      <c r="C2150" s="6">
        <v>1973</v>
      </c>
      <c r="D2150" s="7" t="s">
        <v>12</v>
      </c>
      <c r="E2150" s="7" t="s">
        <v>11</v>
      </c>
      <c r="F2150" s="6">
        <v>63516</v>
      </c>
      <c r="G2150" s="6">
        <v>1</v>
      </c>
      <c r="H2150" s="6">
        <v>1</v>
      </c>
      <c r="I2150" s="6">
        <f t="shared" si="33"/>
        <v>2</v>
      </c>
      <c r="J2150" s="8">
        <v>41461</v>
      </c>
      <c r="K2150" s="6">
        <v>30</v>
      </c>
      <c r="L2150">
        <f>VLOOKUP(A2150,Marketing_df2!$A$1:$F$2241,3,FALSE)</f>
        <v>11</v>
      </c>
      <c r="M2150">
        <f>VLOOKUP(A2150,Marketing_df2!$A$1:$F$2241,4,FALSE)</f>
        <v>14</v>
      </c>
      <c r="N2150">
        <f>VLOOKUP(A2150,Marketing_df2!$A$1:$F$2241,5,FALSE)</f>
        <v>4</v>
      </c>
      <c r="O2150">
        <f>VLOOKUP(A2150,Marketing_df2!$A$1:$F$2241,6,FALSE)</f>
        <v>7</v>
      </c>
    </row>
    <row r="2151" spans="1:15" ht="12.5">
      <c r="A2151" s="6">
        <v>2149</v>
      </c>
      <c r="B2151" s="6">
        <v>10609</v>
      </c>
      <c r="C2151" s="6">
        <v>1962</v>
      </c>
      <c r="D2151" s="7" t="s">
        <v>12</v>
      </c>
      <c r="E2151" s="7" t="s">
        <v>13</v>
      </c>
      <c r="F2151" s="6">
        <v>42769</v>
      </c>
      <c r="G2151" s="6">
        <v>0</v>
      </c>
      <c r="H2151" s="6">
        <v>1</v>
      </c>
      <c r="I2151" s="6">
        <f t="shared" si="33"/>
        <v>1</v>
      </c>
      <c r="J2151" s="9">
        <v>41559</v>
      </c>
      <c r="K2151" s="6">
        <v>15</v>
      </c>
      <c r="L2151">
        <f>VLOOKUP(A2151,Marketing_df2!$A$1:$F$2241,3,FALSE)</f>
        <v>0</v>
      </c>
      <c r="M2151">
        <f>VLOOKUP(A2151,Marketing_df2!$A$1:$F$2241,4,FALSE)</f>
        <v>1</v>
      </c>
      <c r="N2151">
        <f>VLOOKUP(A2151,Marketing_df2!$A$1:$F$2241,5,FALSE)</f>
        <v>1</v>
      </c>
      <c r="O2151">
        <f>VLOOKUP(A2151,Marketing_df2!$A$1:$F$2241,6,FALSE)</f>
        <v>4</v>
      </c>
    </row>
    <row r="2152" spans="1:15" ht="12.5">
      <c r="A2152" s="6">
        <v>2150</v>
      </c>
      <c r="B2152" s="6">
        <v>6950</v>
      </c>
      <c r="C2152" s="6">
        <v>1958</v>
      </c>
      <c r="D2152" s="7" t="s">
        <v>14</v>
      </c>
      <c r="E2152" s="7" t="s">
        <v>13</v>
      </c>
      <c r="F2152" s="6">
        <v>49572</v>
      </c>
      <c r="G2152" s="6">
        <v>1</v>
      </c>
      <c r="H2152" s="6">
        <v>1</v>
      </c>
      <c r="I2152" s="6">
        <f t="shared" si="33"/>
        <v>2</v>
      </c>
      <c r="J2152" s="9">
        <v>41623</v>
      </c>
      <c r="K2152" s="6">
        <v>25</v>
      </c>
      <c r="L2152">
        <f>VLOOKUP(A2152,Marketing_df2!$A$1:$F$2241,3,FALSE)</f>
        <v>1</v>
      </c>
      <c r="M2152">
        <f>VLOOKUP(A2152,Marketing_df2!$A$1:$F$2241,4,FALSE)</f>
        <v>1</v>
      </c>
      <c r="N2152">
        <f>VLOOKUP(A2152,Marketing_df2!$A$1:$F$2241,5,FALSE)</f>
        <v>2</v>
      </c>
      <c r="O2152">
        <f>VLOOKUP(A2152,Marketing_df2!$A$1:$F$2241,6,FALSE)</f>
        <v>3</v>
      </c>
    </row>
    <row r="2153" spans="1:15" ht="12.5">
      <c r="A2153" s="6">
        <v>2151</v>
      </c>
      <c r="B2153" s="6">
        <v>7233</v>
      </c>
      <c r="C2153" s="6">
        <v>1972</v>
      </c>
      <c r="D2153" s="7" t="s">
        <v>9</v>
      </c>
      <c r="E2153" s="7" t="s">
        <v>13</v>
      </c>
      <c r="F2153" s="6">
        <v>69209</v>
      </c>
      <c r="G2153" s="6">
        <v>0</v>
      </c>
      <c r="H2153" s="6">
        <v>0</v>
      </c>
      <c r="I2153" s="6">
        <f t="shared" si="33"/>
        <v>0</v>
      </c>
      <c r="J2153" s="8">
        <v>41169</v>
      </c>
      <c r="K2153" s="6">
        <v>4</v>
      </c>
      <c r="L2153">
        <f>VLOOKUP(A2153,Marketing_df2!$A$1:$F$2241,3,FALSE)</f>
        <v>32</v>
      </c>
      <c r="M2153">
        <f>VLOOKUP(A2153,Marketing_df2!$A$1:$F$2241,4,FALSE)</f>
        <v>48</v>
      </c>
      <c r="N2153">
        <f>VLOOKUP(A2153,Marketing_df2!$A$1:$F$2241,5,FALSE)</f>
        <v>5</v>
      </c>
      <c r="O2153">
        <f>VLOOKUP(A2153,Marketing_df2!$A$1:$F$2241,6,FALSE)</f>
        <v>6</v>
      </c>
    </row>
    <row r="2154" spans="1:15" ht="12.5">
      <c r="A2154" s="6">
        <v>2152</v>
      </c>
      <c r="B2154" s="6">
        <v>9481</v>
      </c>
      <c r="C2154" s="6">
        <v>1976</v>
      </c>
      <c r="D2154" s="7" t="s">
        <v>9</v>
      </c>
      <c r="E2154" s="7" t="s">
        <v>13</v>
      </c>
      <c r="F2154" s="6">
        <v>17148</v>
      </c>
      <c r="G2154" s="6">
        <v>1</v>
      </c>
      <c r="H2154" s="6">
        <v>0</v>
      </c>
      <c r="I2154" s="6">
        <f t="shared" si="33"/>
        <v>1</v>
      </c>
      <c r="J2154" s="8">
        <v>41667</v>
      </c>
      <c r="K2154" s="6">
        <v>80</v>
      </c>
      <c r="L2154">
        <f>VLOOKUP(A2154,Marketing_df2!$A$1:$F$2241,3,FALSE)</f>
        <v>9</v>
      </c>
      <c r="M2154">
        <f>VLOOKUP(A2154,Marketing_df2!$A$1:$F$2241,4,FALSE)</f>
        <v>10</v>
      </c>
      <c r="N2154">
        <f>VLOOKUP(A2154,Marketing_df2!$A$1:$F$2241,5,FALSE)</f>
        <v>3</v>
      </c>
      <c r="O2154">
        <f>VLOOKUP(A2154,Marketing_df2!$A$1:$F$2241,6,FALSE)</f>
        <v>3</v>
      </c>
    </row>
    <row r="2155" spans="1:15" ht="12.5">
      <c r="A2155" s="6">
        <v>2153</v>
      </c>
      <c r="B2155" s="6">
        <v>7699</v>
      </c>
      <c r="C2155" s="6">
        <v>1969</v>
      </c>
      <c r="D2155" s="7" t="s">
        <v>9</v>
      </c>
      <c r="E2155" s="7" t="s">
        <v>18</v>
      </c>
      <c r="F2155" s="6">
        <v>40590</v>
      </c>
      <c r="G2155" s="6">
        <v>1</v>
      </c>
      <c r="H2155" s="6">
        <v>1</v>
      </c>
      <c r="I2155" s="6">
        <f t="shared" si="33"/>
        <v>2</v>
      </c>
      <c r="J2155" s="8">
        <v>41549</v>
      </c>
      <c r="K2155" s="6">
        <v>30</v>
      </c>
      <c r="L2155">
        <f>VLOOKUP(A2155,Marketing_df2!$A$1:$F$2241,3,FALSE)</f>
        <v>0</v>
      </c>
      <c r="M2155">
        <f>VLOOKUP(A2155,Marketing_df2!$A$1:$F$2241,4,FALSE)</f>
        <v>11</v>
      </c>
      <c r="N2155">
        <f>VLOOKUP(A2155,Marketing_df2!$A$1:$F$2241,5,FALSE)</f>
        <v>3</v>
      </c>
      <c r="O2155">
        <f>VLOOKUP(A2155,Marketing_df2!$A$1:$F$2241,6,FALSE)</f>
        <v>3</v>
      </c>
    </row>
    <row r="2156" spans="1:15" ht="12.5">
      <c r="A2156" s="6">
        <v>2154</v>
      </c>
      <c r="B2156" s="6">
        <v>2711</v>
      </c>
      <c r="C2156" s="6">
        <v>1976</v>
      </c>
      <c r="D2156" s="7" t="s">
        <v>14</v>
      </c>
      <c r="E2156" s="7" t="s">
        <v>11</v>
      </c>
      <c r="F2156" s="6">
        <v>30560</v>
      </c>
      <c r="G2156" s="6">
        <v>1</v>
      </c>
      <c r="H2156" s="6">
        <v>0</v>
      </c>
      <c r="I2156" s="6">
        <f t="shared" si="33"/>
        <v>1</v>
      </c>
      <c r="J2156" s="8">
        <v>41452</v>
      </c>
      <c r="K2156" s="6">
        <v>6</v>
      </c>
      <c r="L2156">
        <f>VLOOKUP(A2156,Marketing_df2!$A$1:$F$2241,3,FALSE)</f>
        <v>1</v>
      </c>
      <c r="M2156">
        <f>VLOOKUP(A2156,Marketing_df2!$A$1:$F$2241,4,FALSE)</f>
        <v>5</v>
      </c>
      <c r="N2156">
        <f>VLOOKUP(A2156,Marketing_df2!$A$1:$F$2241,5,FALSE)</f>
        <v>1</v>
      </c>
      <c r="O2156">
        <f>VLOOKUP(A2156,Marketing_df2!$A$1:$F$2241,6,FALSE)</f>
        <v>3</v>
      </c>
    </row>
    <row r="2157" spans="1:15" ht="12.5">
      <c r="A2157" s="6">
        <v>2155</v>
      </c>
      <c r="B2157" s="6">
        <v>8933</v>
      </c>
      <c r="C2157" s="6">
        <v>1983</v>
      </c>
      <c r="D2157" s="7" t="s">
        <v>17</v>
      </c>
      <c r="E2157" s="7" t="s">
        <v>13</v>
      </c>
      <c r="F2157" s="6">
        <v>32146</v>
      </c>
      <c r="G2157" s="6">
        <v>1</v>
      </c>
      <c r="H2157" s="6">
        <v>0</v>
      </c>
      <c r="I2157" s="6">
        <f t="shared" si="33"/>
        <v>1</v>
      </c>
      <c r="J2157" s="8">
        <v>41771</v>
      </c>
      <c r="K2157" s="6">
        <v>16</v>
      </c>
      <c r="L2157">
        <f>VLOOKUP(A2157,Marketing_df2!$A$1:$F$2241,3,FALSE)</f>
        <v>3</v>
      </c>
      <c r="M2157">
        <f>VLOOKUP(A2157,Marketing_df2!$A$1:$F$2241,4,FALSE)</f>
        <v>7</v>
      </c>
      <c r="N2157">
        <f>VLOOKUP(A2157,Marketing_df2!$A$1:$F$2241,5,FALSE)</f>
        <v>2</v>
      </c>
      <c r="O2157">
        <f>VLOOKUP(A2157,Marketing_df2!$A$1:$F$2241,6,FALSE)</f>
        <v>4</v>
      </c>
    </row>
    <row r="2158" spans="1:15" ht="12.5">
      <c r="A2158" s="6">
        <v>2156</v>
      </c>
      <c r="B2158" s="6">
        <v>8726</v>
      </c>
      <c r="C2158" s="6">
        <v>1964</v>
      </c>
      <c r="D2158" s="7" t="s">
        <v>17</v>
      </c>
      <c r="E2158" s="7" t="s">
        <v>15</v>
      </c>
      <c r="F2158" s="6">
        <v>41713</v>
      </c>
      <c r="G2158" s="6">
        <v>1</v>
      </c>
      <c r="H2158" s="6">
        <v>1</v>
      </c>
      <c r="I2158" s="6">
        <f t="shared" si="33"/>
        <v>2</v>
      </c>
      <c r="J2158" s="8">
        <v>41758</v>
      </c>
      <c r="K2158" s="6">
        <v>57</v>
      </c>
      <c r="L2158">
        <f>VLOOKUP(A2158,Marketing_df2!$A$1:$F$2241,3,FALSE)</f>
        <v>8</v>
      </c>
      <c r="M2158">
        <f>VLOOKUP(A2158,Marketing_df2!$A$1:$F$2241,4,FALSE)</f>
        <v>10</v>
      </c>
      <c r="N2158">
        <f>VLOOKUP(A2158,Marketing_df2!$A$1:$F$2241,5,FALSE)</f>
        <v>3</v>
      </c>
      <c r="O2158">
        <f>VLOOKUP(A2158,Marketing_df2!$A$1:$F$2241,6,FALSE)</f>
        <v>4</v>
      </c>
    </row>
    <row r="2159" spans="1:15" ht="12.5">
      <c r="A2159" s="6">
        <v>2157</v>
      </c>
      <c r="B2159" s="6">
        <v>1515</v>
      </c>
      <c r="C2159" s="6">
        <v>1975</v>
      </c>
      <c r="D2159" s="7" t="s">
        <v>14</v>
      </c>
      <c r="E2159" s="7" t="s">
        <v>11</v>
      </c>
      <c r="F2159" s="6">
        <v>34176</v>
      </c>
      <c r="G2159" s="6">
        <v>0</v>
      </c>
      <c r="H2159" s="6">
        <v>1</v>
      </c>
      <c r="I2159" s="6">
        <f t="shared" si="33"/>
        <v>1</v>
      </c>
      <c r="J2159" s="8">
        <v>41661</v>
      </c>
      <c r="K2159" s="6">
        <v>9</v>
      </c>
      <c r="L2159">
        <f>VLOOKUP(A2159,Marketing_df2!$A$1:$F$2241,3,FALSE)</f>
        <v>2</v>
      </c>
      <c r="M2159">
        <f>VLOOKUP(A2159,Marketing_df2!$A$1:$F$2241,4,FALSE)</f>
        <v>2</v>
      </c>
      <c r="N2159">
        <f>VLOOKUP(A2159,Marketing_df2!$A$1:$F$2241,5,FALSE)</f>
        <v>1</v>
      </c>
      <c r="O2159">
        <f>VLOOKUP(A2159,Marketing_df2!$A$1:$F$2241,6,FALSE)</f>
        <v>3</v>
      </c>
    </row>
    <row r="2160" spans="1:15" ht="12.5">
      <c r="A2160" s="6">
        <v>2158</v>
      </c>
      <c r="B2160" s="6">
        <v>5186</v>
      </c>
      <c r="C2160" s="6">
        <v>1955</v>
      </c>
      <c r="D2160" s="7" t="s">
        <v>12</v>
      </c>
      <c r="E2160" s="7" t="s">
        <v>13</v>
      </c>
      <c r="F2160" s="6">
        <v>58482</v>
      </c>
      <c r="G2160" s="6">
        <v>0</v>
      </c>
      <c r="H2160" s="6">
        <v>1</v>
      </c>
      <c r="I2160" s="6">
        <f t="shared" si="33"/>
        <v>1</v>
      </c>
      <c r="J2160" s="8">
        <v>41710</v>
      </c>
      <c r="K2160" s="6">
        <v>59</v>
      </c>
      <c r="L2160">
        <f>VLOOKUP(A2160,Marketing_df2!$A$1:$F$2241,3,FALSE)</f>
        <v>7</v>
      </c>
      <c r="M2160">
        <f>VLOOKUP(A2160,Marketing_df2!$A$1:$F$2241,4,FALSE)</f>
        <v>7</v>
      </c>
      <c r="N2160">
        <f>VLOOKUP(A2160,Marketing_df2!$A$1:$F$2241,5,FALSE)</f>
        <v>7</v>
      </c>
      <c r="O2160">
        <f>VLOOKUP(A2160,Marketing_df2!$A$1:$F$2241,6,FALSE)</f>
        <v>9</v>
      </c>
    </row>
    <row r="2161" spans="1:15" ht="12.5">
      <c r="A2161" s="6">
        <v>2159</v>
      </c>
      <c r="B2161" s="6">
        <v>10157</v>
      </c>
      <c r="C2161" s="6">
        <v>1965</v>
      </c>
      <c r="D2161" s="7" t="s">
        <v>9</v>
      </c>
      <c r="E2161" s="7" t="s">
        <v>10</v>
      </c>
      <c r="F2161" s="6">
        <v>59686</v>
      </c>
      <c r="G2161" s="6">
        <v>0</v>
      </c>
      <c r="H2161" s="6">
        <v>1</v>
      </c>
      <c r="I2161" s="6">
        <f t="shared" si="33"/>
        <v>1</v>
      </c>
      <c r="J2161" s="8">
        <v>41664</v>
      </c>
      <c r="K2161" s="6">
        <v>78</v>
      </c>
      <c r="L2161">
        <f>VLOOKUP(A2161,Marketing_df2!$A$1:$F$2241,3,FALSE)</f>
        <v>15</v>
      </c>
      <c r="M2161">
        <f>VLOOKUP(A2161,Marketing_df2!$A$1:$F$2241,4,FALSE)</f>
        <v>42</v>
      </c>
      <c r="N2161">
        <f>VLOOKUP(A2161,Marketing_df2!$A$1:$F$2241,5,FALSE)</f>
        <v>4</v>
      </c>
      <c r="O2161">
        <f>VLOOKUP(A2161,Marketing_df2!$A$1:$F$2241,6,FALSE)</f>
        <v>6</v>
      </c>
    </row>
    <row r="2162" spans="1:15" ht="12.5">
      <c r="A2162" s="6">
        <v>2160</v>
      </c>
      <c r="B2162" s="6">
        <v>5667</v>
      </c>
      <c r="C2162" s="6">
        <v>1964</v>
      </c>
      <c r="D2162" s="7" t="s">
        <v>12</v>
      </c>
      <c r="E2162" s="7" t="s">
        <v>13</v>
      </c>
      <c r="F2162" s="6">
        <v>60896</v>
      </c>
      <c r="G2162" s="6">
        <v>0</v>
      </c>
      <c r="H2162" s="6">
        <v>1</v>
      </c>
      <c r="I2162" s="6">
        <f t="shared" si="33"/>
        <v>1</v>
      </c>
      <c r="J2162" s="9">
        <v>41193</v>
      </c>
      <c r="K2162" s="6">
        <v>90</v>
      </c>
      <c r="L2162">
        <f>VLOOKUP(A2162,Marketing_df2!$A$1:$F$2241,3,FALSE)</f>
        <v>30</v>
      </c>
      <c r="M2162">
        <f>VLOOKUP(A2162,Marketing_df2!$A$1:$F$2241,4,FALSE)</f>
        <v>46</v>
      </c>
      <c r="N2162">
        <f>VLOOKUP(A2162,Marketing_df2!$A$1:$F$2241,5,FALSE)</f>
        <v>9</v>
      </c>
      <c r="O2162">
        <f>VLOOKUP(A2162,Marketing_df2!$A$1:$F$2241,6,FALSE)</f>
        <v>4</v>
      </c>
    </row>
    <row r="2163" spans="1:15" ht="12.5">
      <c r="A2163" s="6">
        <v>2161</v>
      </c>
      <c r="B2163" s="6">
        <v>902</v>
      </c>
      <c r="C2163" s="6">
        <v>1980</v>
      </c>
      <c r="D2163" s="7" t="s">
        <v>9</v>
      </c>
      <c r="E2163" s="7" t="s">
        <v>11</v>
      </c>
      <c r="F2163" s="6">
        <v>62994</v>
      </c>
      <c r="G2163" s="6">
        <v>1</v>
      </c>
      <c r="H2163" s="6">
        <v>0</v>
      </c>
      <c r="I2163" s="6">
        <f t="shared" si="33"/>
        <v>1</v>
      </c>
      <c r="J2163" s="8">
        <v>41702</v>
      </c>
      <c r="K2163" s="6">
        <v>74</v>
      </c>
      <c r="L2163">
        <f>VLOOKUP(A2163,Marketing_df2!$A$1:$F$2241,3,FALSE)</f>
        <v>12</v>
      </c>
      <c r="M2163">
        <f>VLOOKUP(A2163,Marketing_df2!$A$1:$F$2241,4,FALSE)</f>
        <v>12</v>
      </c>
      <c r="N2163">
        <f>VLOOKUP(A2163,Marketing_df2!$A$1:$F$2241,5,FALSE)</f>
        <v>6</v>
      </c>
      <c r="O2163">
        <f>VLOOKUP(A2163,Marketing_df2!$A$1:$F$2241,6,FALSE)</f>
        <v>4</v>
      </c>
    </row>
    <row r="2164" spans="1:15" ht="12.5">
      <c r="A2164" s="6">
        <v>2162</v>
      </c>
      <c r="B2164" s="6">
        <v>977</v>
      </c>
      <c r="C2164" s="6">
        <v>1957</v>
      </c>
      <c r="D2164" s="7" t="s">
        <v>9</v>
      </c>
      <c r="E2164" s="7" t="s">
        <v>11</v>
      </c>
      <c r="F2164" s="6">
        <v>47320</v>
      </c>
      <c r="G2164" s="6">
        <v>0</v>
      </c>
      <c r="H2164" s="6">
        <v>1</v>
      </c>
      <c r="I2164" s="6">
        <f t="shared" si="33"/>
        <v>1</v>
      </c>
      <c r="J2164" s="8">
        <v>41487</v>
      </c>
      <c r="K2164" s="6">
        <v>10</v>
      </c>
      <c r="L2164">
        <f>VLOOKUP(A2164,Marketing_df2!$A$1:$F$2241,3,FALSE)</f>
        <v>19</v>
      </c>
      <c r="M2164">
        <f>VLOOKUP(A2164,Marketing_df2!$A$1:$F$2241,4,FALSE)</f>
        <v>15</v>
      </c>
      <c r="N2164">
        <f>VLOOKUP(A2164,Marketing_df2!$A$1:$F$2241,5,FALSE)</f>
        <v>5</v>
      </c>
      <c r="O2164">
        <f>VLOOKUP(A2164,Marketing_df2!$A$1:$F$2241,6,FALSE)</f>
        <v>8</v>
      </c>
    </row>
    <row r="2165" spans="1:15" ht="12.5">
      <c r="A2165" s="6">
        <v>2163</v>
      </c>
      <c r="B2165" s="6">
        <v>7313</v>
      </c>
      <c r="C2165" s="6">
        <v>1949</v>
      </c>
      <c r="D2165" s="7" t="s">
        <v>17</v>
      </c>
      <c r="E2165" s="7" t="s">
        <v>18</v>
      </c>
      <c r="F2165" s="6">
        <v>74859</v>
      </c>
      <c r="G2165" s="6">
        <v>0</v>
      </c>
      <c r="H2165" s="6">
        <v>0</v>
      </c>
      <c r="I2165" s="6">
        <f t="shared" si="33"/>
        <v>0</v>
      </c>
      <c r="J2165" s="8">
        <v>41428</v>
      </c>
      <c r="K2165" s="6">
        <v>63</v>
      </c>
      <c r="L2165">
        <f>VLOOKUP(A2165,Marketing_df2!$A$1:$F$2241,3,FALSE)</f>
        <v>73</v>
      </c>
      <c r="M2165">
        <f>VLOOKUP(A2165,Marketing_df2!$A$1:$F$2241,4,FALSE)</f>
        <v>102</v>
      </c>
      <c r="N2165">
        <f>VLOOKUP(A2165,Marketing_df2!$A$1:$F$2241,5,FALSE)</f>
        <v>6</v>
      </c>
      <c r="O2165">
        <f>VLOOKUP(A2165,Marketing_df2!$A$1:$F$2241,6,FALSE)</f>
        <v>11</v>
      </c>
    </row>
    <row r="2166" spans="1:15" ht="12.5">
      <c r="A2166" s="6">
        <v>2164</v>
      </c>
      <c r="B2166" s="6">
        <v>7600</v>
      </c>
      <c r="C2166" s="6">
        <v>1992</v>
      </c>
      <c r="D2166" s="7" t="s">
        <v>16</v>
      </c>
      <c r="E2166" s="7" t="s">
        <v>10</v>
      </c>
      <c r="F2166" s="6">
        <v>15253</v>
      </c>
      <c r="G2166" s="6">
        <v>1</v>
      </c>
      <c r="H2166" s="6">
        <v>0</v>
      </c>
      <c r="I2166" s="6">
        <f t="shared" si="33"/>
        <v>1</v>
      </c>
      <c r="J2166" s="9">
        <v>41575</v>
      </c>
      <c r="K2166" s="6">
        <v>13</v>
      </c>
      <c r="L2166">
        <f>VLOOKUP(A2166,Marketing_df2!$A$1:$F$2241,3,FALSE)</f>
        <v>3</v>
      </c>
      <c r="M2166">
        <f>VLOOKUP(A2166,Marketing_df2!$A$1:$F$2241,4,FALSE)</f>
        <v>1</v>
      </c>
      <c r="N2166">
        <f>VLOOKUP(A2166,Marketing_df2!$A$1:$F$2241,5,FALSE)</f>
        <v>1</v>
      </c>
      <c r="O2166">
        <f>VLOOKUP(A2166,Marketing_df2!$A$1:$F$2241,6,FALSE)</f>
        <v>3</v>
      </c>
    </row>
    <row r="2167" spans="1:15" ht="12.5">
      <c r="A2167" s="6">
        <v>2165</v>
      </c>
      <c r="B2167" s="6">
        <v>9706</v>
      </c>
      <c r="C2167" s="6">
        <v>1974</v>
      </c>
      <c r="D2167" s="7" t="s">
        <v>12</v>
      </c>
      <c r="E2167" s="7" t="s">
        <v>10</v>
      </c>
      <c r="F2167" s="6">
        <v>31560</v>
      </c>
      <c r="G2167" s="6">
        <v>1</v>
      </c>
      <c r="H2167" s="6">
        <v>0</v>
      </c>
      <c r="I2167" s="6">
        <f t="shared" si="33"/>
        <v>1</v>
      </c>
      <c r="J2167" s="8">
        <v>41449</v>
      </c>
      <c r="K2167" s="6">
        <v>98</v>
      </c>
      <c r="L2167">
        <f>VLOOKUP(A2167,Marketing_df2!$A$1:$F$2241,3,FALSE)</f>
        <v>1</v>
      </c>
      <c r="M2167">
        <f>VLOOKUP(A2167,Marketing_df2!$A$1:$F$2241,4,FALSE)</f>
        <v>0</v>
      </c>
      <c r="N2167">
        <f>VLOOKUP(A2167,Marketing_df2!$A$1:$F$2241,5,FALSE)</f>
        <v>2</v>
      </c>
      <c r="O2167">
        <f>VLOOKUP(A2167,Marketing_df2!$A$1:$F$2241,6,FALSE)</f>
        <v>3</v>
      </c>
    </row>
    <row r="2168" spans="1:15" ht="12.5">
      <c r="A2168" s="6">
        <v>2166</v>
      </c>
      <c r="B2168" s="6">
        <v>2429</v>
      </c>
      <c r="C2168" s="6">
        <v>1954</v>
      </c>
      <c r="D2168" s="7" t="s">
        <v>9</v>
      </c>
      <c r="E2168" s="7" t="s">
        <v>15</v>
      </c>
      <c r="F2168" s="6">
        <v>72071</v>
      </c>
      <c r="G2168" s="6">
        <v>0</v>
      </c>
      <c r="H2168" s="6">
        <v>1</v>
      </c>
      <c r="I2168" s="6">
        <f t="shared" si="33"/>
        <v>1</v>
      </c>
      <c r="J2168" s="8">
        <v>41319</v>
      </c>
      <c r="K2168" s="6">
        <v>4</v>
      </c>
      <c r="L2168">
        <f>VLOOKUP(A2168,Marketing_df2!$A$1:$F$2241,3,FALSE)</f>
        <v>69</v>
      </c>
      <c r="M2168">
        <f>VLOOKUP(A2168,Marketing_df2!$A$1:$F$2241,4,FALSE)</f>
        <v>138</v>
      </c>
      <c r="N2168">
        <f>VLOOKUP(A2168,Marketing_df2!$A$1:$F$2241,5,FALSE)</f>
        <v>5</v>
      </c>
      <c r="O2168">
        <f>VLOOKUP(A2168,Marketing_df2!$A$1:$F$2241,6,FALSE)</f>
        <v>8</v>
      </c>
    </row>
    <row r="2169" spans="1:15" ht="12.5">
      <c r="A2169" s="6">
        <v>2167</v>
      </c>
      <c r="B2169" s="6">
        <v>3520</v>
      </c>
      <c r="C2169" s="6">
        <v>1990</v>
      </c>
      <c r="D2169" s="7" t="s">
        <v>14</v>
      </c>
      <c r="E2169" s="7" t="s">
        <v>10</v>
      </c>
      <c r="F2169" s="6">
        <v>91172</v>
      </c>
      <c r="G2169" s="6">
        <v>0</v>
      </c>
      <c r="H2169" s="6">
        <v>0</v>
      </c>
      <c r="I2169" s="6">
        <f t="shared" si="33"/>
        <v>0</v>
      </c>
      <c r="J2169" s="8">
        <v>41360</v>
      </c>
      <c r="K2169" s="6">
        <v>94</v>
      </c>
      <c r="L2169">
        <f>VLOOKUP(A2169,Marketing_df2!$A$1:$F$2241,3,FALSE)</f>
        <v>28</v>
      </c>
      <c r="M2169">
        <f>VLOOKUP(A2169,Marketing_df2!$A$1:$F$2241,4,FALSE)</f>
        <v>28</v>
      </c>
      <c r="N2169">
        <f>VLOOKUP(A2169,Marketing_df2!$A$1:$F$2241,5,FALSE)</f>
        <v>4</v>
      </c>
      <c r="O2169">
        <f>VLOOKUP(A2169,Marketing_df2!$A$1:$F$2241,6,FALSE)</f>
        <v>7</v>
      </c>
    </row>
    <row r="2170" spans="1:15" ht="12.5">
      <c r="A2170" s="6">
        <v>2168</v>
      </c>
      <c r="B2170" s="6">
        <v>10394</v>
      </c>
      <c r="C2170" s="6">
        <v>1984</v>
      </c>
      <c r="D2170" s="7" t="s">
        <v>9</v>
      </c>
      <c r="E2170" s="7" t="s">
        <v>13</v>
      </c>
      <c r="F2170" s="6">
        <v>90000</v>
      </c>
      <c r="G2170" s="6">
        <v>0</v>
      </c>
      <c r="H2170" s="6">
        <v>0</v>
      </c>
      <c r="I2170" s="6">
        <f t="shared" si="33"/>
        <v>0</v>
      </c>
      <c r="J2170" s="9">
        <v>41631</v>
      </c>
      <c r="K2170" s="6">
        <v>91</v>
      </c>
      <c r="L2170">
        <f>VLOOKUP(A2170,Marketing_df2!$A$1:$F$2241,3,FALSE)</f>
        <v>144</v>
      </c>
      <c r="M2170">
        <f>VLOOKUP(A2170,Marketing_df2!$A$1:$F$2241,4,FALSE)</f>
        <v>192</v>
      </c>
      <c r="N2170">
        <f>VLOOKUP(A2170,Marketing_df2!$A$1:$F$2241,5,FALSE)</f>
        <v>4</v>
      </c>
      <c r="O2170">
        <f>VLOOKUP(A2170,Marketing_df2!$A$1:$F$2241,6,FALSE)</f>
        <v>5</v>
      </c>
    </row>
    <row r="2171" spans="1:15" ht="12.5">
      <c r="A2171" s="6">
        <v>2169</v>
      </c>
      <c r="B2171" s="6">
        <v>4548</v>
      </c>
      <c r="C2171" s="6">
        <v>1981</v>
      </c>
      <c r="D2171" s="7" t="s">
        <v>9</v>
      </c>
      <c r="E2171" s="7" t="s">
        <v>10</v>
      </c>
      <c r="F2171" s="6">
        <v>41967</v>
      </c>
      <c r="G2171" s="6">
        <v>1</v>
      </c>
      <c r="H2171" s="6">
        <v>1</v>
      </c>
      <c r="I2171" s="6">
        <f t="shared" si="33"/>
        <v>2</v>
      </c>
      <c r="J2171" s="9">
        <v>41601</v>
      </c>
      <c r="K2171" s="6">
        <v>66</v>
      </c>
      <c r="L2171">
        <f>VLOOKUP(A2171,Marketing_df2!$A$1:$F$2241,3,FALSE)</f>
        <v>4</v>
      </c>
      <c r="M2171">
        <f>VLOOKUP(A2171,Marketing_df2!$A$1:$F$2241,4,FALSE)</f>
        <v>2</v>
      </c>
      <c r="N2171">
        <f>VLOOKUP(A2171,Marketing_df2!$A$1:$F$2241,5,FALSE)</f>
        <v>1</v>
      </c>
      <c r="O2171">
        <f>VLOOKUP(A2171,Marketing_df2!$A$1:$F$2241,6,FALSE)</f>
        <v>3</v>
      </c>
    </row>
    <row r="2172" spans="1:15" ht="12.5">
      <c r="A2172" s="6">
        <v>2170</v>
      </c>
      <c r="B2172" s="6">
        <v>9362</v>
      </c>
      <c r="C2172" s="6">
        <v>1965</v>
      </c>
      <c r="D2172" s="7" t="s">
        <v>9</v>
      </c>
      <c r="E2172" s="7" t="s">
        <v>10</v>
      </c>
      <c r="F2172" s="6">
        <v>69263</v>
      </c>
      <c r="G2172" s="6">
        <v>0</v>
      </c>
      <c r="H2172" s="6">
        <v>1</v>
      </c>
      <c r="I2172" s="6">
        <f t="shared" si="33"/>
        <v>1</v>
      </c>
      <c r="J2172" s="8">
        <v>41703</v>
      </c>
      <c r="K2172" s="6">
        <v>14</v>
      </c>
      <c r="L2172">
        <f>VLOOKUP(A2172,Marketing_df2!$A$1:$F$2241,3,FALSE)</f>
        <v>5</v>
      </c>
      <c r="M2172">
        <f>VLOOKUP(A2172,Marketing_df2!$A$1:$F$2241,4,FALSE)</f>
        <v>5</v>
      </c>
      <c r="N2172">
        <f>VLOOKUP(A2172,Marketing_df2!$A$1:$F$2241,5,FALSE)</f>
        <v>9</v>
      </c>
      <c r="O2172">
        <f>VLOOKUP(A2172,Marketing_df2!$A$1:$F$2241,6,FALSE)</f>
        <v>7</v>
      </c>
    </row>
    <row r="2173" spans="1:15" ht="12.5">
      <c r="A2173" s="6">
        <v>2171</v>
      </c>
      <c r="B2173" s="6">
        <v>3968</v>
      </c>
      <c r="C2173" s="6">
        <v>1970</v>
      </c>
      <c r="D2173" s="7" t="s">
        <v>17</v>
      </c>
      <c r="E2173" s="7" t="s">
        <v>15</v>
      </c>
      <c r="F2173" s="6">
        <v>65706</v>
      </c>
      <c r="G2173" s="6">
        <v>0</v>
      </c>
      <c r="H2173" s="6">
        <v>0</v>
      </c>
      <c r="I2173" s="6">
        <f t="shared" si="33"/>
        <v>0</v>
      </c>
      <c r="J2173" s="8">
        <v>41453</v>
      </c>
      <c r="K2173" s="6">
        <v>77</v>
      </c>
      <c r="L2173">
        <f>VLOOKUP(A2173,Marketing_df2!$A$1:$F$2241,3,FALSE)</f>
        <v>10</v>
      </c>
      <c r="M2173">
        <f>VLOOKUP(A2173,Marketing_df2!$A$1:$F$2241,4,FALSE)</f>
        <v>0</v>
      </c>
      <c r="N2173">
        <f>VLOOKUP(A2173,Marketing_df2!$A$1:$F$2241,5,FALSE)</f>
        <v>11</v>
      </c>
      <c r="O2173">
        <f>VLOOKUP(A2173,Marketing_df2!$A$1:$F$2241,6,FALSE)</f>
        <v>12</v>
      </c>
    </row>
    <row r="2174" spans="1:15" ht="12.5">
      <c r="A2174" s="6">
        <v>2172</v>
      </c>
      <c r="B2174" s="6">
        <v>4084</v>
      </c>
      <c r="C2174" s="6">
        <v>1975</v>
      </c>
      <c r="D2174" s="7" t="s">
        <v>9</v>
      </c>
      <c r="E2174" s="7" t="s">
        <v>11</v>
      </c>
      <c r="F2174" s="6">
        <v>60934</v>
      </c>
      <c r="G2174" s="6">
        <v>0</v>
      </c>
      <c r="H2174" s="6">
        <v>1</v>
      </c>
      <c r="I2174" s="6">
        <f t="shared" si="33"/>
        <v>1</v>
      </c>
      <c r="J2174" s="8">
        <v>41656</v>
      </c>
      <c r="K2174" s="6">
        <v>41</v>
      </c>
      <c r="L2174">
        <f>VLOOKUP(A2174,Marketing_df2!$A$1:$F$2241,3,FALSE)</f>
        <v>155</v>
      </c>
      <c r="M2174">
        <f>VLOOKUP(A2174,Marketing_df2!$A$1:$F$2241,4,FALSE)</f>
        <v>93</v>
      </c>
      <c r="N2174">
        <f>VLOOKUP(A2174,Marketing_df2!$A$1:$F$2241,5,FALSE)</f>
        <v>6</v>
      </c>
      <c r="O2174">
        <f>VLOOKUP(A2174,Marketing_df2!$A$1:$F$2241,6,FALSE)</f>
        <v>11</v>
      </c>
    </row>
    <row r="2175" spans="1:15" ht="12.5">
      <c r="A2175" s="6">
        <v>2173</v>
      </c>
      <c r="B2175" s="6">
        <v>6721</v>
      </c>
      <c r="C2175" s="6">
        <v>1951</v>
      </c>
      <c r="D2175" s="7" t="s">
        <v>9</v>
      </c>
      <c r="E2175" s="7" t="s">
        <v>13</v>
      </c>
      <c r="F2175" s="6">
        <v>71965</v>
      </c>
      <c r="G2175" s="6">
        <v>0</v>
      </c>
      <c r="H2175" s="6">
        <v>1</v>
      </c>
      <c r="I2175" s="6">
        <f t="shared" si="33"/>
        <v>1</v>
      </c>
      <c r="J2175" s="8">
        <v>41484</v>
      </c>
      <c r="K2175" s="6">
        <v>21</v>
      </c>
      <c r="L2175">
        <f>VLOOKUP(A2175,Marketing_df2!$A$1:$F$2241,3,FALSE)</f>
        <v>19</v>
      </c>
      <c r="M2175">
        <f>VLOOKUP(A2175,Marketing_df2!$A$1:$F$2241,4,FALSE)</f>
        <v>38</v>
      </c>
      <c r="N2175">
        <f>VLOOKUP(A2175,Marketing_df2!$A$1:$F$2241,5,FALSE)</f>
        <v>6</v>
      </c>
      <c r="O2175">
        <f>VLOOKUP(A2175,Marketing_df2!$A$1:$F$2241,6,FALSE)</f>
        <v>5</v>
      </c>
    </row>
    <row r="2176" spans="1:15" ht="12.5">
      <c r="A2176" s="6">
        <v>2174</v>
      </c>
      <c r="B2176" s="6">
        <v>2829</v>
      </c>
      <c r="C2176" s="6">
        <v>1955</v>
      </c>
      <c r="D2176" s="7" t="s">
        <v>9</v>
      </c>
      <c r="E2176" s="7" t="s">
        <v>13</v>
      </c>
      <c r="F2176" s="6">
        <v>65210</v>
      </c>
      <c r="G2176" s="6">
        <v>0</v>
      </c>
      <c r="H2176" s="6">
        <v>1</v>
      </c>
      <c r="I2176" s="6">
        <f t="shared" si="33"/>
        <v>1</v>
      </c>
      <c r="J2176" s="8">
        <v>41708</v>
      </c>
      <c r="K2176" s="6">
        <v>25</v>
      </c>
      <c r="L2176">
        <f>VLOOKUP(A2176,Marketing_df2!$A$1:$F$2241,3,FALSE)</f>
        <v>0</v>
      </c>
      <c r="M2176">
        <f>VLOOKUP(A2176,Marketing_df2!$A$1:$F$2241,4,FALSE)</f>
        <v>7</v>
      </c>
      <c r="N2176">
        <f>VLOOKUP(A2176,Marketing_df2!$A$1:$F$2241,5,FALSE)</f>
        <v>9</v>
      </c>
      <c r="O2176">
        <f>VLOOKUP(A2176,Marketing_df2!$A$1:$F$2241,6,FALSE)</f>
        <v>8</v>
      </c>
    </row>
    <row r="2177" spans="1:15" ht="12.5">
      <c r="A2177" s="6">
        <v>2175</v>
      </c>
      <c r="B2177" s="6">
        <v>1772</v>
      </c>
      <c r="C2177" s="6">
        <v>1975</v>
      </c>
      <c r="D2177" s="7" t="s">
        <v>12</v>
      </c>
      <c r="E2177" s="7" t="s">
        <v>13</v>
      </c>
      <c r="F2177" s="6">
        <v>79174</v>
      </c>
      <c r="G2177" s="6">
        <v>0</v>
      </c>
      <c r="H2177" s="6">
        <v>0</v>
      </c>
      <c r="I2177" s="6">
        <f t="shared" si="33"/>
        <v>0</v>
      </c>
      <c r="J2177" s="8">
        <v>41285</v>
      </c>
      <c r="K2177" s="6">
        <v>2</v>
      </c>
      <c r="L2177">
        <f>VLOOKUP(A2177,Marketing_df2!$A$1:$F$2241,3,FALSE)</f>
        <v>37</v>
      </c>
      <c r="M2177">
        <f>VLOOKUP(A2177,Marketing_df2!$A$1:$F$2241,4,FALSE)</f>
        <v>92</v>
      </c>
      <c r="N2177">
        <f>VLOOKUP(A2177,Marketing_df2!$A$1:$F$2241,5,FALSE)</f>
        <v>5</v>
      </c>
      <c r="O2177">
        <f>VLOOKUP(A2177,Marketing_df2!$A$1:$F$2241,6,FALSE)</f>
        <v>7</v>
      </c>
    </row>
    <row r="2178" spans="1:15" ht="12.5">
      <c r="A2178" s="6">
        <v>2176</v>
      </c>
      <c r="B2178" s="6">
        <v>1544</v>
      </c>
      <c r="C2178" s="6">
        <v>1967</v>
      </c>
      <c r="D2178" s="7" t="s">
        <v>14</v>
      </c>
      <c r="E2178" s="7" t="s">
        <v>15</v>
      </c>
      <c r="F2178" s="6">
        <v>81380</v>
      </c>
      <c r="G2178" s="6">
        <v>0</v>
      </c>
      <c r="H2178" s="6">
        <v>0</v>
      </c>
      <c r="I2178" s="6">
        <f t="shared" si="33"/>
        <v>0</v>
      </c>
      <c r="J2178" s="9">
        <v>41265</v>
      </c>
      <c r="K2178" s="6">
        <v>51</v>
      </c>
      <c r="L2178">
        <f>VLOOKUP(A2178,Marketing_df2!$A$1:$F$2241,3,FALSE)</f>
        <v>68</v>
      </c>
      <c r="M2178">
        <f>VLOOKUP(A2178,Marketing_df2!$A$1:$F$2241,4,FALSE)</f>
        <v>68</v>
      </c>
      <c r="N2178">
        <f>VLOOKUP(A2178,Marketing_df2!$A$1:$F$2241,5,FALSE)</f>
        <v>4</v>
      </c>
      <c r="O2178">
        <f>VLOOKUP(A2178,Marketing_df2!$A$1:$F$2241,6,FALSE)</f>
        <v>10</v>
      </c>
    </row>
    <row r="2179" spans="1:15" ht="12.5">
      <c r="A2179" s="6">
        <v>2177</v>
      </c>
      <c r="B2179" s="6">
        <v>492</v>
      </c>
      <c r="C2179" s="6">
        <v>1973</v>
      </c>
      <c r="D2179" s="7" t="s">
        <v>12</v>
      </c>
      <c r="E2179" s="7" t="s">
        <v>21</v>
      </c>
      <c r="F2179" s="6">
        <v>48432</v>
      </c>
      <c r="G2179" s="6">
        <v>0</v>
      </c>
      <c r="H2179" s="6">
        <v>1</v>
      </c>
      <c r="I2179" s="6">
        <f t="shared" ref="I2179:I2241" si="34">G2179+H2179</f>
        <v>1</v>
      </c>
      <c r="J2179" s="9">
        <v>41200</v>
      </c>
      <c r="K2179" s="6">
        <v>3</v>
      </c>
      <c r="L2179">
        <f>VLOOKUP(A2179,Marketing_df2!$A$1:$F$2241,3,FALSE)</f>
        <v>3</v>
      </c>
      <c r="M2179">
        <f>VLOOKUP(A2179,Marketing_df2!$A$1:$F$2241,4,FALSE)</f>
        <v>3</v>
      </c>
      <c r="N2179">
        <f>VLOOKUP(A2179,Marketing_df2!$A$1:$F$2241,5,FALSE)</f>
        <v>7</v>
      </c>
      <c r="O2179">
        <f>VLOOKUP(A2179,Marketing_df2!$A$1:$F$2241,6,FALSE)</f>
        <v>6</v>
      </c>
    </row>
    <row r="2180" spans="1:15" ht="12.5">
      <c r="A2180" s="6">
        <v>2178</v>
      </c>
      <c r="B2180" s="6">
        <v>4377</v>
      </c>
      <c r="C2180" s="6">
        <v>1971</v>
      </c>
      <c r="D2180" s="7" t="s">
        <v>9</v>
      </c>
      <c r="E2180" s="7" t="s">
        <v>13</v>
      </c>
      <c r="F2180" s="6">
        <v>52914</v>
      </c>
      <c r="G2180" s="6">
        <v>0</v>
      </c>
      <c r="H2180" s="6">
        <v>1</v>
      </c>
      <c r="I2180" s="6">
        <f t="shared" si="34"/>
        <v>1</v>
      </c>
      <c r="J2180" s="8">
        <v>41281</v>
      </c>
      <c r="K2180" s="6">
        <v>32</v>
      </c>
      <c r="L2180">
        <f>VLOOKUP(A2180,Marketing_df2!$A$1:$F$2241,3,FALSE)</f>
        <v>10</v>
      </c>
      <c r="M2180">
        <f>VLOOKUP(A2180,Marketing_df2!$A$1:$F$2241,4,FALSE)</f>
        <v>10</v>
      </c>
      <c r="N2180">
        <f>VLOOKUP(A2180,Marketing_df2!$A$1:$F$2241,5,FALSE)</f>
        <v>7</v>
      </c>
      <c r="O2180">
        <f>VLOOKUP(A2180,Marketing_df2!$A$1:$F$2241,6,FALSE)</f>
        <v>3</v>
      </c>
    </row>
    <row r="2181" spans="1:15" ht="12.5">
      <c r="A2181" s="6">
        <v>2179</v>
      </c>
      <c r="B2181" s="6">
        <v>4541</v>
      </c>
      <c r="C2181" s="6">
        <v>1955</v>
      </c>
      <c r="D2181" s="7" t="s">
        <v>9</v>
      </c>
      <c r="E2181" s="7" t="s">
        <v>11</v>
      </c>
      <c r="F2181" s="6">
        <v>38946</v>
      </c>
      <c r="G2181" s="6">
        <v>0</v>
      </c>
      <c r="H2181" s="6">
        <v>1</v>
      </c>
      <c r="I2181" s="6">
        <f t="shared" si="34"/>
        <v>1</v>
      </c>
      <c r="J2181" s="9">
        <v>41571</v>
      </c>
      <c r="K2181" s="6">
        <v>84</v>
      </c>
      <c r="L2181">
        <f>VLOOKUP(A2181,Marketing_df2!$A$1:$F$2241,3,FALSE)</f>
        <v>6</v>
      </c>
      <c r="M2181">
        <f>VLOOKUP(A2181,Marketing_df2!$A$1:$F$2241,4,FALSE)</f>
        <v>6</v>
      </c>
      <c r="N2181">
        <f>VLOOKUP(A2181,Marketing_df2!$A$1:$F$2241,5,FALSE)</f>
        <v>3</v>
      </c>
      <c r="O2181">
        <f>VLOOKUP(A2181,Marketing_df2!$A$1:$F$2241,6,FALSE)</f>
        <v>6</v>
      </c>
    </row>
    <row r="2182" spans="1:15" ht="12.5">
      <c r="A2182" s="6">
        <v>2180</v>
      </c>
      <c r="B2182" s="6">
        <v>1321</v>
      </c>
      <c r="C2182" s="6">
        <v>1974</v>
      </c>
      <c r="D2182" s="7" t="s">
        <v>9</v>
      </c>
      <c r="E2182" s="7" t="s">
        <v>13</v>
      </c>
      <c r="F2182" s="6">
        <v>26067</v>
      </c>
      <c r="G2182" s="6">
        <v>1</v>
      </c>
      <c r="H2182" s="6">
        <v>0</v>
      </c>
      <c r="I2182" s="6">
        <f t="shared" si="34"/>
        <v>1</v>
      </c>
      <c r="J2182" s="8">
        <v>41582</v>
      </c>
      <c r="K2182" s="6">
        <v>49</v>
      </c>
      <c r="L2182">
        <f>VLOOKUP(A2182,Marketing_df2!$A$1:$F$2241,3,FALSE)</f>
        <v>2</v>
      </c>
      <c r="M2182">
        <f>VLOOKUP(A2182,Marketing_df2!$A$1:$F$2241,4,FALSE)</f>
        <v>2</v>
      </c>
      <c r="N2182">
        <f>VLOOKUP(A2182,Marketing_df2!$A$1:$F$2241,5,FALSE)</f>
        <v>3</v>
      </c>
      <c r="O2182">
        <f>VLOOKUP(A2182,Marketing_df2!$A$1:$F$2241,6,FALSE)</f>
        <v>3</v>
      </c>
    </row>
    <row r="2183" spans="1:15" ht="12.5">
      <c r="A2183" s="6">
        <v>2181</v>
      </c>
      <c r="B2183" s="6">
        <v>8858</v>
      </c>
      <c r="C2183" s="6">
        <v>1972</v>
      </c>
      <c r="D2183" s="7" t="s">
        <v>12</v>
      </c>
      <c r="E2183" s="7" t="s">
        <v>13</v>
      </c>
      <c r="F2183" s="6">
        <v>44325</v>
      </c>
      <c r="G2183" s="6">
        <v>0</v>
      </c>
      <c r="H2183" s="6">
        <v>1</v>
      </c>
      <c r="I2183" s="6">
        <f t="shared" si="34"/>
        <v>1</v>
      </c>
      <c r="J2183" s="8">
        <v>41340</v>
      </c>
      <c r="K2183" s="6">
        <v>69</v>
      </c>
      <c r="L2183">
        <f>VLOOKUP(A2183,Marketing_df2!$A$1:$F$2241,3,FALSE)</f>
        <v>0</v>
      </c>
      <c r="M2183">
        <f>VLOOKUP(A2183,Marketing_df2!$A$1:$F$2241,4,FALSE)</f>
        <v>0</v>
      </c>
      <c r="N2183">
        <f>VLOOKUP(A2183,Marketing_df2!$A$1:$F$2241,5,FALSE)</f>
        <v>8</v>
      </c>
      <c r="O2183">
        <f>VLOOKUP(A2183,Marketing_df2!$A$1:$F$2241,6,FALSE)</f>
        <v>7</v>
      </c>
    </row>
    <row r="2184" spans="1:15" ht="12.5">
      <c r="A2184" s="6">
        <v>2182</v>
      </c>
      <c r="B2184" s="6">
        <v>3266</v>
      </c>
      <c r="C2184" s="6">
        <v>1964</v>
      </c>
      <c r="D2184" s="7" t="s">
        <v>9</v>
      </c>
      <c r="E2184" s="7" t="s">
        <v>13</v>
      </c>
      <c r="F2184" s="6">
        <v>42523</v>
      </c>
      <c r="G2184" s="6">
        <v>0</v>
      </c>
      <c r="H2184" s="6">
        <v>0</v>
      </c>
      <c r="I2184" s="6">
        <f t="shared" si="34"/>
        <v>0</v>
      </c>
      <c r="J2184" s="8">
        <v>41752</v>
      </c>
      <c r="K2184" s="6">
        <v>96</v>
      </c>
      <c r="L2184">
        <f>VLOOKUP(A2184,Marketing_df2!$A$1:$F$2241,3,FALSE)</f>
        <v>36</v>
      </c>
      <c r="M2184">
        <f>VLOOKUP(A2184,Marketing_df2!$A$1:$F$2241,4,FALSE)</f>
        <v>26</v>
      </c>
      <c r="N2184">
        <f>VLOOKUP(A2184,Marketing_df2!$A$1:$F$2241,5,FALSE)</f>
        <v>1</v>
      </c>
      <c r="O2184">
        <f>VLOOKUP(A2184,Marketing_df2!$A$1:$F$2241,6,FALSE)</f>
        <v>4</v>
      </c>
    </row>
    <row r="2185" spans="1:15" ht="12.5">
      <c r="A2185" s="6">
        <v>2183</v>
      </c>
      <c r="B2185" s="6">
        <v>11187</v>
      </c>
      <c r="C2185" s="6">
        <v>1978</v>
      </c>
      <c r="D2185" s="7" t="s">
        <v>16</v>
      </c>
      <c r="E2185" s="7" t="s">
        <v>10</v>
      </c>
      <c r="F2185" s="6">
        <v>26487</v>
      </c>
      <c r="G2185" s="6">
        <v>1</v>
      </c>
      <c r="H2185" s="6">
        <v>0</v>
      </c>
      <c r="I2185" s="6">
        <f t="shared" si="34"/>
        <v>1</v>
      </c>
      <c r="J2185" s="8">
        <v>41414</v>
      </c>
      <c r="K2185" s="6">
        <v>23</v>
      </c>
      <c r="L2185">
        <f>VLOOKUP(A2185,Marketing_df2!$A$1:$F$2241,3,FALSE)</f>
        <v>8</v>
      </c>
      <c r="M2185">
        <f>VLOOKUP(A2185,Marketing_df2!$A$1:$F$2241,4,FALSE)</f>
        <v>14</v>
      </c>
      <c r="N2185">
        <f>VLOOKUP(A2185,Marketing_df2!$A$1:$F$2241,5,FALSE)</f>
        <v>2</v>
      </c>
      <c r="O2185">
        <f>VLOOKUP(A2185,Marketing_df2!$A$1:$F$2241,6,FALSE)</f>
        <v>3</v>
      </c>
    </row>
    <row r="2186" spans="1:15" ht="12.5">
      <c r="A2186" s="6">
        <v>2184</v>
      </c>
      <c r="B2186" s="6">
        <v>8207</v>
      </c>
      <c r="C2186" s="6">
        <v>1957</v>
      </c>
      <c r="D2186" s="7" t="s">
        <v>17</v>
      </c>
      <c r="E2186" s="7" t="s">
        <v>13</v>
      </c>
      <c r="F2186" s="6">
        <v>53233</v>
      </c>
      <c r="G2186" s="6">
        <v>0</v>
      </c>
      <c r="H2186" s="6">
        <v>1</v>
      </c>
      <c r="I2186" s="6">
        <f t="shared" si="34"/>
        <v>1</v>
      </c>
      <c r="J2186" s="8">
        <v>41716</v>
      </c>
      <c r="K2186" s="6">
        <v>18</v>
      </c>
      <c r="L2186">
        <f>VLOOKUP(A2186,Marketing_df2!$A$1:$F$2241,3,FALSE)</f>
        <v>0</v>
      </c>
      <c r="M2186">
        <f>VLOOKUP(A2186,Marketing_df2!$A$1:$F$2241,4,FALSE)</f>
        <v>0</v>
      </c>
      <c r="N2186">
        <f>VLOOKUP(A2186,Marketing_df2!$A$1:$F$2241,5,FALSE)</f>
        <v>1</v>
      </c>
      <c r="O2186">
        <f>VLOOKUP(A2186,Marketing_df2!$A$1:$F$2241,6,FALSE)</f>
        <v>3</v>
      </c>
    </row>
    <row r="2187" spans="1:15" ht="12.5">
      <c r="A2187" s="6">
        <v>2185</v>
      </c>
      <c r="B2187" s="6">
        <v>9723</v>
      </c>
      <c r="C2187" s="6">
        <v>1960</v>
      </c>
      <c r="D2187" s="7" t="s">
        <v>9</v>
      </c>
      <c r="E2187" s="7" t="s">
        <v>13</v>
      </c>
      <c r="F2187" s="6">
        <v>67716</v>
      </c>
      <c r="G2187" s="6">
        <v>0</v>
      </c>
      <c r="H2187" s="6">
        <v>1</v>
      </c>
      <c r="I2187" s="6">
        <f t="shared" si="34"/>
        <v>1</v>
      </c>
      <c r="J2187" s="8">
        <v>41284</v>
      </c>
      <c r="K2187" s="6">
        <v>8</v>
      </c>
      <c r="L2187">
        <f>VLOOKUP(A2187,Marketing_df2!$A$1:$F$2241,3,FALSE)</f>
        <v>142</v>
      </c>
      <c r="M2187">
        <f>VLOOKUP(A2187,Marketing_df2!$A$1:$F$2241,4,FALSE)</f>
        <v>9</v>
      </c>
      <c r="N2187">
        <f>VLOOKUP(A2187,Marketing_df2!$A$1:$F$2241,5,FALSE)</f>
        <v>7</v>
      </c>
      <c r="O2187">
        <f>VLOOKUP(A2187,Marketing_df2!$A$1:$F$2241,6,FALSE)</f>
        <v>13</v>
      </c>
    </row>
    <row r="2188" spans="1:15" ht="12.5">
      <c r="A2188" s="6">
        <v>2186</v>
      </c>
      <c r="B2188" s="6">
        <v>2666</v>
      </c>
      <c r="C2188" s="6">
        <v>1972</v>
      </c>
      <c r="D2188" s="7" t="s">
        <v>14</v>
      </c>
      <c r="E2188" s="7" t="s">
        <v>13</v>
      </c>
      <c r="F2188" s="6">
        <v>76234</v>
      </c>
      <c r="G2188" s="6">
        <v>0</v>
      </c>
      <c r="H2188" s="6">
        <v>1</v>
      </c>
      <c r="I2188" s="6">
        <f t="shared" si="34"/>
        <v>1</v>
      </c>
      <c r="J2188" s="8">
        <v>41676</v>
      </c>
      <c r="K2188" s="6">
        <v>21</v>
      </c>
      <c r="L2188">
        <f>VLOOKUP(A2188,Marketing_df2!$A$1:$F$2241,3,FALSE)</f>
        <v>50</v>
      </c>
      <c r="M2188">
        <f>VLOOKUP(A2188,Marketing_df2!$A$1:$F$2241,4,FALSE)</f>
        <v>0</v>
      </c>
      <c r="N2188">
        <f>VLOOKUP(A2188,Marketing_df2!$A$1:$F$2241,5,FALSE)</f>
        <v>8</v>
      </c>
      <c r="O2188">
        <f>VLOOKUP(A2188,Marketing_df2!$A$1:$F$2241,6,FALSE)</f>
        <v>11</v>
      </c>
    </row>
    <row r="2189" spans="1:15" ht="12.5">
      <c r="A2189" s="6">
        <v>2187</v>
      </c>
      <c r="B2189" s="6">
        <v>5721</v>
      </c>
      <c r="C2189" s="6">
        <v>1956</v>
      </c>
      <c r="D2189" s="7" t="s">
        <v>12</v>
      </c>
      <c r="E2189" s="7" t="s">
        <v>13</v>
      </c>
      <c r="F2189" s="6">
        <v>84117</v>
      </c>
      <c r="G2189" s="6">
        <v>0</v>
      </c>
      <c r="H2189" s="6">
        <v>0</v>
      </c>
      <c r="I2189" s="6">
        <f t="shared" si="34"/>
        <v>0</v>
      </c>
      <c r="J2189" s="8">
        <v>41770</v>
      </c>
      <c r="K2189" s="6">
        <v>60</v>
      </c>
      <c r="L2189">
        <f>VLOOKUP(A2189,Marketing_df2!$A$1:$F$2241,3,FALSE)</f>
        <v>76</v>
      </c>
      <c r="M2189">
        <f>VLOOKUP(A2189,Marketing_df2!$A$1:$F$2241,4,FALSE)</f>
        <v>45</v>
      </c>
      <c r="N2189">
        <f>VLOOKUP(A2189,Marketing_df2!$A$1:$F$2241,5,FALSE)</f>
        <v>7</v>
      </c>
      <c r="O2189">
        <f>VLOOKUP(A2189,Marketing_df2!$A$1:$F$2241,6,FALSE)</f>
        <v>6</v>
      </c>
    </row>
    <row r="2190" spans="1:15" ht="12.5">
      <c r="A2190" s="6">
        <v>2188</v>
      </c>
      <c r="B2190" s="6">
        <v>10652</v>
      </c>
      <c r="C2190" s="6">
        <v>1957</v>
      </c>
      <c r="D2190" s="7" t="s">
        <v>14</v>
      </c>
      <c r="E2190" s="7" t="s">
        <v>11</v>
      </c>
      <c r="F2190" s="6">
        <v>65487</v>
      </c>
      <c r="G2190" s="6">
        <v>0</v>
      </c>
      <c r="H2190" s="6">
        <v>0</v>
      </c>
      <c r="I2190" s="6">
        <f t="shared" si="34"/>
        <v>0</v>
      </c>
      <c r="J2190" s="8">
        <v>41649</v>
      </c>
      <c r="K2190" s="6">
        <v>48</v>
      </c>
      <c r="L2190">
        <f>VLOOKUP(A2190,Marketing_df2!$A$1:$F$2241,3,FALSE)</f>
        <v>67</v>
      </c>
      <c r="M2190">
        <f>VLOOKUP(A2190,Marketing_df2!$A$1:$F$2241,4,FALSE)</f>
        <v>0</v>
      </c>
      <c r="N2190">
        <f>VLOOKUP(A2190,Marketing_df2!$A$1:$F$2241,5,FALSE)</f>
        <v>3</v>
      </c>
      <c r="O2190">
        <f>VLOOKUP(A2190,Marketing_df2!$A$1:$F$2241,6,FALSE)</f>
        <v>6</v>
      </c>
    </row>
    <row r="2191" spans="1:15" ht="12.5">
      <c r="A2191" s="6">
        <v>2189</v>
      </c>
      <c r="B2191" s="6">
        <v>1646</v>
      </c>
      <c r="C2191" s="6">
        <v>1972</v>
      </c>
      <c r="D2191" s="7" t="s">
        <v>16</v>
      </c>
      <c r="E2191" s="7" t="s">
        <v>13</v>
      </c>
      <c r="F2191" s="6">
        <v>25224</v>
      </c>
      <c r="G2191" s="6">
        <v>1</v>
      </c>
      <c r="H2191" s="6">
        <v>0</v>
      </c>
      <c r="I2191" s="6">
        <f t="shared" si="34"/>
        <v>1</v>
      </c>
      <c r="J2191" s="8">
        <v>41714</v>
      </c>
      <c r="K2191" s="6">
        <v>36</v>
      </c>
      <c r="L2191">
        <f>VLOOKUP(A2191,Marketing_df2!$A$1:$F$2241,3,FALSE)</f>
        <v>9</v>
      </c>
      <c r="M2191">
        <f>VLOOKUP(A2191,Marketing_df2!$A$1:$F$2241,4,FALSE)</f>
        <v>2</v>
      </c>
      <c r="N2191">
        <f>VLOOKUP(A2191,Marketing_df2!$A$1:$F$2241,5,FALSE)</f>
        <v>1</v>
      </c>
      <c r="O2191">
        <f>VLOOKUP(A2191,Marketing_df2!$A$1:$F$2241,6,FALSE)</f>
        <v>3</v>
      </c>
    </row>
    <row r="2192" spans="1:15" ht="12.5">
      <c r="A2192" s="6">
        <v>2190</v>
      </c>
      <c r="B2192" s="6">
        <v>4418</v>
      </c>
      <c r="C2192" s="6">
        <v>1983</v>
      </c>
      <c r="D2192" s="7" t="s">
        <v>14</v>
      </c>
      <c r="E2192" s="7" t="s">
        <v>10</v>
      </c>
      <c r="F2192" s="6">
        <v>89616</v>
      </c>
      <c r="G2192" s="6">
        <v>0</v>
      </c>
      <c r="H2192" s="6">
        <v>0</v>
      </c>
      <c r="I2192" s="6">
        <f t="shared" si="34"/>
        <v>0</v>
      </c>
      <c r="J2192" s="8">
        <v>41330</v>
      </c>
      <c r="K2192" s="6">
        <v>36</v>
      </c>
      <c r="L2192">
        <f>VLOOKUP(A2192,Marketing_df2!$A$1:$F$2241,3,FALSE)</f>
        <v>47</v>
      </c>
      <c r="M2192">
        <f>VLOOKUP(A2192,Marketing_df2!$A$1:$F$2241,4,FALSE)</f>
        <v>111</v>
      </c>
      <c r="N2192">
        <f>VLOOKUP(A2192,Marketing_df2!$A$1:$F$2241,5,FALSE)</f>
        <v>7</v>
      </c>
      <c r="O2192">
        <f>VLOOKUP(A2192,Marketing_df2!$A$1:$F$2241,6,FALSE)</f>
        <v>12</v>
      </c>
    </row>
    <row r="2193" spans="1:15" ht="12.5">
      <c r="A2193" s="6">
        <v>2191</v>
      </c>
      <c r="B2193" s="6">
        <v>2656</v>
      </c>
      <c r="C2193" s="6">
        <v>1971</v>
      </c>
      <c r="D2193" s="7" t="s">
        <v>9</v>
      </c>
      <c r="E2193" s="7" t="s">
        <v>15</v>
      </c>
      <c r="F2193" s="6">
        <v>40851</v>
      </c>
      <c r="G2193" s="6">
        <v>1</v>
      </c>
      <c r="H2193" s="6">
        <v>1</v>
      </c>
      <c r="I2193" s="6">
        <f t="shared" si="34"/>
        <v>2</v>
      </c>
      <c r="J2193" s="8">
        <v>41326</v>
      </c>
      <c r="K2193" s="6">
        <v>63</v>
      </c>
      <c r="L2193">
        <f>VLOOKUP(A2193,Marketing_df2!$A$1:$F$2241,3,FALSE)</f>
        <v>1</v>
      </c>
      <c r="M2193">
        <f>VLOOKUP(A2193,Marketing_df2!$A$1:$F$2241,4,FALSE)</f>
        <v>4</v>
      </c>
      <c r="N2193">
        <f>VLOOKUP(A2193,Marketing_df2!$A$1:$F$2241,5,FALSE)</f>
        <v>1</v>
      </c>
      <c r="O2193">
        <f>VLOOKUP(A2193,Marketing_df2!$A$1:$F$2241,6,FALSE)</f>
        <v>2</v>
      </c>
    </row>
    <row r="2194" spans="1:15" ht="12.5">
      <c r="A2194" s="6">
        <v>2192</v>
      </c>
      <c r="B2194" s="6">
        <v>7990</v>
      </c>
      <c r="C2194" s="6">
        <v>1947</v>
      </c>
      <c r="D2194" s="7" t="s">
        <v>9</v>
      </c>
      <c r="E2194" s="7" t="s">
        <v>13</v>
      </c>
      <c r="F2194" s="6">
        <v>27469</v>
      </c>
      <c r="G2194" s="6">
        <v>0</v>
      </c>
      <c r="H2194" s="6">
        <v>0</v>
      </c>
      <c r="I2194" s="6">
        <f t="shared" si="34"/>
        <v>0</v>
      </c>
      <c r="J2194" s="8">
        <v>41123</v>
      </c>
      <c r="K2194" s="6">
        <v>2</v>
      </c>
      <c r="L2194">
        <f>VLOOKUP(A2194,Marketing_df2!$A$1:$F$2241,3,FALSE)</f>
        <v>1</v>
      </c>
      <c r="M2194">
        <f>VLOOKUP(A2194,Marketing_df2!$A$1:$F$2241,4,FALSE)</f>
        <v>2</v>
      </c>
      <c r="N2194">
        <f>VLOOKUP(A2194,Marketing_df2!$A$1:$F$2241,5,FALSE)</f>
        <v>0</v>
      </c>
      <c r="O2194">
        <f>VLOOKUP(A2194,Marketing_df2!$A$1:$F$2241,6,FALSE)</f>
        <v>3</v>
      </c>
    </row>
    <row r="2195" spans="1:15" ht="12.5">
      <c r="A2195" s="6">
        <v>2193</v>
      </c>
      <c r="B2195" s="6">
        <v>8722</v>
      </c>
      <c r="C2195" s="6">
        <v>1957</v>
      </c>
      <c r="D2195" s="7" t="s">
        <v>17</v>
      </c>
      <c r="E2195" s="7" t="s">
        <v>13</v>
      </c>
      <c r="F2195" s="6">
        <v>82347</v>
      </c>
      <c r="G2195" s="6">
        <v>0</v>
      </c>
      <c r="H2195" s="6">
        <v>0</v>
      </c>
      <c r="I2195" s="6">
        <f t="shared" si="34"/>
        <v>0</v>
      </c>
      <c r="J2195" s="8">
        <v>41219</v>
      </c>
      <c r="K2195" s="6">
        <v>38</v>
      </c>
      <c r="L2195">
        <f>VLOOKUP(A2195,Marketing_df2!$A$1:$F$2241,3,FALSE)</f>
        <v>54</v>
      </c>
      <c r="M2195">
        <f>VLOOKUP(A2195,Marketing_df2!$A$1:$F$2241,4,FALSE)</f>
        <v>133</v>
      </c>
      <c r="N2195">
        <f>VLOOKUP(A2195,Marketing_df2!$A$1:$F$2241,5,FALSE)</f>
        <v>7</v>
      </c>
      <c r="O2195">
        <f>VLOOKUP(A2195,Marketing_df2!$A$1:$F$2241,6,FALSE)</f>
        <v>10</v>
      </c>
    </row>
    <row r="2196" spans="1:15" ht="12.5">
      <c r="A2196" s="6">
        <v>2194</v>
      </c>
      <c r="B2196" s="6">
        <v>7118</v>
      </c>
      <c r="C2196" s="6">
        <v>1957</v>
      </c>
      <c r="D2196" s="7" t="s">
        <v>9</v>
      </c>
      <c r="E2196" s="7" t="s">
        <v>13</v>
      </c>
      <c r="F2196" s="6">
        <v>73803</v>
      </c>
      <c r="G2196" s="6">
        <v>0</v>
      </c>
      <c r="H2196" s="6">
        <v>1</v>
      </c>
      <c r="I2196" s="6">
        <f t="shared" si="34"/>
        <v>1</v>
      </c>
      <c r="J2196" s="8">
        <v>41122</v>
      </c>
      <c r="K2196" s="6">
        <v>61</v>
      </c>
      <c r="L2196">
        <f>VLOOKUP(A2196,Marketing_df2!$A$1:$F$2241,3,FALSE)</f>
        <v>80</v>
      </c>
      <c r="M2196">
        <f>VLOOKUP(A2196,Marketing_df2!$A$1:$F$2241,4,FALSE)</f>
        <v>26</v>
      </c>
      <c r="N2196">
        <f>VLOOKUP(A2196,Marketing_df2!$A$1:$F$2241,5,FALSE)</f>
        <v>9</v>
      </c>
      <c r="O2196">
        <f>VLOOKUP(A2196,Marketing_df2!$A$1:$F$2241,6,FALSE)</f>
        <v>6</v>
      </c>
    </row>
    <row r="2197" spans="1:15" ht="12.5">
      <c r="A2197" s="6">
        <v>2195</v>
      </c>
      <c r="B2197" s="6">
        <v>2980</v>
      </c>
      <c r="C2197" s="6">
        <v>1952</v>
      </c>
      <c r="D2197" s="7" t="s">
        <v>14</v>
      </c>
      <c r="E2197" s="7" t="s">
        <v>10</v>
      </c>
      <c r="F2197" s="6">
        <v>8820</v>
      </c>
      <c r="G2197" s="6">
        <v>1</v>
      </c>
      <c r="H2197" s="6">
        <v>1</v>
      </c>
      <c r="I2197" s="6">
        <f t="shared" si="34"/>
        <v>2</v>
      </c>
      <c r="J2197" s="8">
        <v>41355</v>
      </c>
      <c r="K2197" s="6">
        <v>52</v>
      </c>
      <c r="L2197">
        <f>VLOOKUP(A2197,Marketing_df2!$A$1:$F$2241,3,FALSE)</f>
        <v>0</v>
      </c>
      <c r="M2197">
        <f>VLOOKUP(A2197,Marketing_df2!$A$1:$F$2241,4,FALSE)</f>
        <v>2</v>
      </c>
      <c r="N2197">
        <f>VLOOKUP(A2197,Marketing_df2!$A$1:$F$2241,5,FALSE)</f>
        <v>3</v>
      </c>
      <c r="O2197">
        <f>VLOOKUP(A2197,Marketing_df2!$A$1:$F$2241,6,FALSE)</f>
        <v>3</v>
      </c>
    </row>
    <row r="2198" spans="1:15" ht="12.5">
      <c r="A2198" s="6">
        <v>2196</v>
      </c>
      <c r="B2198" s="6">
        <v>1839</v>
      </c>
      <c r="C2198" s="6">
        <v>1974</v>
      </c>
      <c r="D2198" s="7" t="s">
        <v>9</v>
      </c>
      <c r="E2198" s="7" t="s">
        <v>10</v>
      </c>
      <c r="F2198" s="6">
        <v>43322</v>
      </c>
      <c r="G2198" s="6">
        <v>0</v>
      </c>
      <c r="H2198" s="6">
        <v>0</v>
      </c>
      <c r="I2198" s="6">
        <f t="shared" si="34"/>
        <v>0</v>
      </c>
      <c r="J2198" s="8">
        <v>41750</v>
      </c>
      <c r="K2198" s="6">
        <v>25</v>
      </c>
      <c r="L2198">
        <f>VLOOKUP(A2198,Marketing_df2!$A$1:$F$2241,3,FALSE)</f>
        <v>7</v>
      </c>
      <c r="M2198">
        <f>VLOOKUP(A2198,Marketing_df2!$A$1:$F$2241,4,FALSE)</f>
        <v>2</v>
      </c>
      <c r="N2198">
        <f>VLOOKUP(A2198,Marketing_df2!$A$1:$F$2241,5,FALSE)</f>
        <v>3</v>
      </c>
      <c r="O2198">
        <f>VLOOKUP(A2198,Marketing_df2!$A$1:$F$2241,6,FALSE)</f>
        <v>4</v>
      </c>
    </row>
    <row r="2199" spans="1:15" ht="12.5">
      <c r="A2199" s="6">
        <v>2197</v>
      </c>
      <c r="B2199" s="6">
        <v>10722</v>
      </c>
      <c r="C2199" s="6">
        <v>1973</v>
      </c>
      <c r="D2199" s="7" t="s">
        <v>9</v>
      </c>
      <c r="E2199" s="7" t="s">
        <v>11</v>
      </c>
      <c r="F2199" s="6">
        <v>55593</v>
      </c>
      <c r="G2199" s="6">
        <v>0</v>
      </c>
      <c r="H2199" s="6">
        <v>1</v>
      </c>
      <c r="I2199" s="6">
        <f t="shared" si="34"/>
        <v>1</v>
      </c>
      <c r="J2199" s="8">
        <v>41507</v>
      </c>
      <c r="K2199" s="6">
        <v>63</v>
      </c>
      <c r="L2199">
        <f>VLOOKUP(A2199,Marketing_df2!$A$1:$F$2241,3,FALSE)</f>
        <v>8</v>
      </c>
      <c r="M2199">
        <f>VLOOKUP(A2199,Marketing_df2!$A$1:$F$2241,4,FALSE)</f>
        <v>4</v>
      </c>
      <c r="N2199">
        <f>VLOOKUP(A2199,Marketing_df2!$A$1:$F$2241,5,FALSE)</f>
        <v>6</v>
      </c>
      <c r="O2199">
        <f>VLOOKUP(A2199,Marketing_df2!$A$1:$F$2241,6,FALSE)</f>
        <v>3</v>
      </c>
    </row>
    <row r="2200" spans="1:15" ht="12.5">
      <c r="A2200" s="6">
        <v>2198</v>
      </c>
      <c r="B2200" s="6">
        <v>2632</v>
      </c>
      <c r="C2200" s="6">
        <v>1954</v>
      </c>
      <c r="D2200" s="7" t="s">
        <v>9</v>
      </c>
      <c r="E2200" s="7" t="s">
        <v>13</v>
      </c>
      <c r="F2200" s="6">
        <v>50501</v>
      </c>
      <c r="G2200" s="6">
        <v>1</v>
      </c>
      <c r="H2200" s="6">
        <v>1</v>
      </c>
      <c r="I2200" s="6">
        <f t="shared" si="34"/>
        <v>2</v>
      </c>
      <c r="J2200" s="8">
        <v>41443</v>
      </c>
      <c r="K2200" s="6">
        <v>10</v>
      </c>
      <c r="L2200">
        <f>VLOOKUP(A2200,Marketing_df2!$A$1:$F$2241,3,FALSE)</f>
        <v>0</v>
      </c>
      <c r="M2200">
        <f>VLOOKUP(A2200,Marketing_df2!$A$1:$F$2241,4,FALSE)</f>
        <v>0</v>
      </c>
      <c r="N2200">
        <f>VLOOKUP(A2200,Marketing_df2!$A$1:$F$2241,5,FALSE)</f>
        <v>5</v>
      </c>
      <c r="O2200">
        <f>VLOOKUP(A2200,Marketing_df2!$A$1:$F$2241,6,FALSE)</f>
        <v>4</v>
      </c>
    </row>
    <row r="2201" spans="1:15" ht="12.5">
      <c r="A2201" s="6">
        <v>2199</v>
      </c>
      <c r="B2201" s="6">
        <v>9014</v>
      </c>
      <c r="C2201" s="6">
        <v>1975</v>
      </c>
      <c r="D2201" s="7" t="s">
        <v>9</v>
      </c>
      <c r="E2201" s="7" t="s">
        <v>13</v>
      </c>
      <c r="F2201" s="6">
        <v>37085</v>
      </c>
      <c r="G2201" s="6">
        <v>1</v>
      </c>
      <c r="H2201" s="6">
        <v>1</v>
      </c>
      <c r="I2201" s="6">
        <f t="shared" si="34"/>
        <v>2</v>
      </c>
      <c r="J2201" s="8">
        <v>41816</v>
      </c>
      <c r="K2201" s="6">
        <v>65</v>
      </c>
      <c r="L2201">
        <f>VLOOKUP(A2201,Marketing_df2!$A$1:$F$2241,3,FALSE)</f>
        <v>1</v>
      </c>
      <c r="M2201">
        <f>VLOOKUP(A2201,Marketing_df2!$A$1:$F$2241,4,FALSE)</f>
        <v>0</v>
      </c>
      <c r="N2201">
        <f>VLOOKUP(A2201,Marketing_df2!$A$1:$F$2241,5,FALSE)</f>
        <v>3</v>
      </c>
      <c r="O2201">
        <f>VLOOKUP(A2201,Marketing_df2!$A$1:$F$2241,6,FALSE)</f>
        <v>3</v>
      </c>
    </row>
    <row r="2202" spans="1:15" ht="12.5">
      <c r="A2202" s="6">
        <v>2200</v>
      </c>
      <c r="B2202" s="6">
        <v>7620</v>
      </c>
      <c r="C2202" s="6">
        <v>1990</v>
      </c>
      <c r="D2202" s="7" t="s">
        <v>16</v>
      </c>
      <c r="E2202" s="7" t="s">
        <v>10</v>
      </c>
      <c r="F2202" s="6">
        <v>16185</v>
      </c>
      <c r="G2202" s="6">
        <v>1</v>
      </c>
      <c r="H2202" s="6">
        <v>0</v>
      </c>
      <c r="I2202" s="6">
        <f t="shared" si="34"/>
        <v>1</v>
      </c>
      <c r="J2202" s="8">
        <v>41491</v>
      </c>
      <c r="K2202" s="6">
        <v>71</v>
      </c>
      <c r="L2202">
        <f>VLOOKUP(A2202,Marketing_df2!$A$1:$F$2241,3,FALSE)</f>
        <v>11</v>
      </c>
      <c r="M2202">
        <f>VLOOKUP(A2202,Marketing_df2!$A$1:$F$2241,4,FALSE)</f>
        <v>8</v>
      </c>
      <c r="N2202">
        <f>VLOOKUP(A2202,Marketing_df2!$A$1:$F$2241,5,FALSE)</f>
        <v>2</v>
      </c>
      <c r="O2202">
        <f>VLOOKUP(A2202,Marketing_df2!$A$1:$F$2241,6,FALSE)</f>
        <v>2</v>
      </c>
    </row>
    <row r="2203" spans="1:15" ht="12.5">
      <c r="A2203" s="6">
        <v>2201</v>
      </c>
      <c r="B2203" s="6">
        <v>10968</v>
      </c>
      <c r="C2203" s="6">
        <v>1969</v>
      </c>
      <c r="D2203" s="7" t="s">
        <v>9</v>
      </c>
      <c r="E2203" s="7" t="s">
        <v>10</v>
      </c>
      <c r="F2203" s="6">
        <v>57731</v>
      </c>
      <c r="G2203" s="6">
        <v>0</v>
      </c>
      <c r="H2203" s="6">
        <v>1</v>
      </c>
      <c r="I2203" s="6">
        <f t="shared" si="34"/>
        <v>1</v>
      </c>
      <c r="J2203" s="9">
        <v>41236</v>
      </c>
      <c r="K2203" s="6">
        <v>0</v>
      </c>
      <c r="L2203">
        <f>VLOOKUP(A2203,Marketing_df2!$A$1:$F$2241,3,FALSE)</f>
        <v>21</v>
      </c>
      <c r="M2203">
        <f>VLOOKUP(A2203,Marketing_df2!$A$1:$F$2241,4,FALSE)</f>
        <v>8</v>
      </c>
      <c r="N2203">
        <f>VLOOKUP(A2203,Marketing_df2!$A$1:$F$2241,5,FALSE)</f>
        <v>8</v>
      </c>
      <c r="O2203">
        <f>VLOOKUP(A2203,Marketing_df2!$A$1:$F$2241,6,FALSE)</f>
        <v>6</v>
      </c>
    </row>
    <row r="2204" spans="1:15" ht="12.5">
      <c r="A2204" s="6">
        <v>2202</v>
      </c>
      <c r="B2204" s="6">
        <v>11133</v>
      </c>
      <c r="C2204" s="6">
        <v>1973</v>
      </c>
      <c r="D2204" s="7" t="s">
        <v>12</v>
      </c>
      <c r="E2204" s="7" t="s">
        <v>21</v>
      </c>
      <c r="F2204" s="6">
        <v>48432</v>
      </c>
      <c r="G2204" s="6">
        <v>0</v>
      </c>
      <c r="H2204" s="6">
        <v>1</v>
      </c>
      <c r="I2204" s="6">
        <f t="shared" si="34"/>
        <v>1</v>
      </c>
      <c r="J2204" s="9">
        <v>41200</v>
      </c>
      <c r="K2204" s="6">
        <v>3</v>
      </c>
      <c r="L2204">
        <f>VLOOKUP(A2204,Marketing_df2!$A$1:$F$2241,3,FALSE)</f>
        <v>3</v>
      </c>
      <c r="M2204">
        <f>VLOOKUP(A2204,Marketing_df2!$A$1:$F$2241,4,FALSE)</f>
        <v>3</v>
      </c>
      <c r="N2204">
        <f>VLOOKUP(A2204,Marketing_df2!$A$1:$F$2241,5,FALSE)</f>
        <v>7</v>
      </c>
      <c r="O2204">
        <f>VLOOKUP(A2204,Marketing_df2!$A$1:$F$2241,6,FALSE)</f>
        <v>6</v>
      </c>
    </row>
    <row r="2205" spans="1:15" ht="12.5">
      <c r="A2205" s="6">
        <v>2203</v>
      </c>
      <c r="B2205" s="6">
        <v>2736</v>
      </c>
      <c r="C2205" s="6">
        <v>1978</v>
      </c>
      <c r="D2205" s="7" t="s">
        <v>9</v>
      </c>
      <c r="E2205" s="7" t="s">
        <v>13</v>
      </c>
      <c r="F2205" s="6">
        <v>73807</v>
      </c>
      <c r="G2205" s="6">
        <v>0</v>
      </c>
      <c r="H2205" s="6">
        <v>1</v>
      </c>
      <c r="I2205" s="6">
        <f t="shared" si="34"/>
        <v>1</v>
      </c>
      <c r="J2205" s="8">
        <v>41276</v>
      </c>
      <c r="K2205" s="6">
        <v>88</v>
      </c>
      <c r="L2205">
        <f>VLOOKUP(A2205,Marketing_df2!$A$1:$F$2241,3,FALSE)</f>
        <v>124</v>
      </c>
      <c r="M2205">
        <f>VLOOKUP(A2205,Marketing_df2!$A$1:$F$2241,4,FALSE)</f>
        <v>78</v>
      </c>
      <c r="N2205">
        <f>VLOOKUP(A2205,Marketing_df2!$A$1:$F$2241,5,FALSE)</f>
        <v>5</v>
      </c>
      <c r="O2205">
        <f>VLOOKUP(A2205,Marketing_df2!$A$1:$F$2241,6,FALSE)</f>
        <v>11</v>
      </c>
    </row>
    <row r="2206" spans="1:15" ht="12.5">
      <c r="A2206" s="6">
        <v>2204</v>
      </c>
      <c r="B2206" s="6">
        <v>1876</v>
      </c>
      <c r="C2206" s="6">
        <v>1990</v>
      </c>
      <c r="D2206" s="7" t="s">
        <v>9</v>
      </c>
      <c r="E2206" s="7" t="s">
        <v>13</v>
      </c>
      <c r="F2206" s="6">
        <v>18929</v>
      </c>
      <c r="G2206" s="6">
        <v>0</v>
      </c>
      <c r="H2206" s="6">
        <v>0</v>
      </c>
      <c r="I2206" s="6">
        <f t="shared" si="34"/>
        <v>0</v>
      </c>
      <c r="J2206" s="8">
        <v>41321</v>
      </c>
      <c r="K2206" s="6">
        <v>15</v>
      </c>
      <c r="L2206">
        <f>VLOOKUP(A2206,Marketing_df2!$A$1:$F$2241,3,FALSE)</f>
        <v>0</v>
      </c>
      <c r="M2206">
        <f>VLOOKUP(A2206,Marketing_df2!$A$1:$F$2241,4,FALSE)</f>
        <v>4</v>
      </c>
      <c r="N2206">
        <f>VLOOKUP(A2206,Marketing_df2!$A$1:$F$2241,5,FALSE)</f>
        <v>1</v>
      </c>
      <c r="O2206">
        <f>VLOOKUP(A2206,Marketing_df2!$A$1:$F$2241,6,FALSE)</f>
        <v>4</v>
      </c>
    </row>
    <row r="2207" spans="1:15" ht="12.5">
      <c r="A2207" s="6">
        <v>2205</v>
      </c>
      <c r="B2207" s="6">
        <v>5959</v>
      </c>
      <c r="C2207" s="6">
        <v>1968</v>
      </c>
      <c r="D2207" s="7" t="s">
        <v>9</v>
      </c>
      <c r="E2207" s="7" t="s">
        <v>10</v>
      </c>
      <c r="F2207" s="6">
        <v>35893</v>
      </c>
      <c r="G2207" s="6">
        <v>1</v>
      </c>
      <c r="H2207" s="6">
        <v>1</v>
      </c>
      <c r="I2207" s="6">
        <f t="shared" si="34"/>
        <v>2</v>
      </c>
      <c r="J2207" s="9">
        <v>41197</v>
      </c>
      <c r="K2207" s="6">
        <v>80</v>
      </c>
      <c r="L2207">
        <f>VLOOKUP(A2207,Marketing_df2!$A$1:$F$2241,3,FALSE)</f>
        <v>0</v>
      </c>
      <c r="M2207">
        <f>VLOOKUP(A2207,Marketing_df2!$A$1:$F$2241,4,FALSE)</f>
        <v>0</v>
      </c>
      <c r="N2207">
        <f>VLOOKUP(A2207,Marketing_df2!$A$1:$F$2241,5,FALSE)</f>
        <v>3</v>
      </c>
      <c r="O2207">
        <f>VLOOKUP(A2207,Marketing_df2!$A$1:$F$2241,6,FALSE)</f>
        <v>5</v>
      </c>
    </row>
    <row r="2208" spans="1:15" ht="12.5">
      <c r="A2208" s="6">
        <v>2206</v>
      </c>
      <c r="B2208" s="6">
        <v>1092</v>
      </c>
      <c r="C2208" s="6">
        <v>1980</v>
      </c>
      <c r="D2208" s="7" t="s">
        <v>9</v>
      </c>
      <c r="E2208" s="7" t="s">
        <v>13</v>
      </c>
      <c r="F2208" s="6">
        <v>61014</v>
      </c>
      <c r="G2208" s="6">
        <v>0</v>
      </c>
      <c r="H2208" s="6">
        <v>1</v>
      </c>
      <c r="I2208" s="6">
        <f t="shared" si="34"/>
        <v>1</v>
      </c>
      <c r="J2208" s="8">
        <v>41132</v>
      </c>
      <c r="K2208" s="6">
        <v>17</v>
      </c>
      <c r="L2208">
        <f>VLOOKUP(A2208,Marketing_df2!$A$1:$F$2241,3,FALSE)</f>
        <v>129</v>
      </c>
      <c r="M2208">
        <f>VLOOKUP(A2208,Marketing_df2!$A$1:$F$2241,4,FALSE)</f>
        <v>43</v>
      </c>
      <c r="N2208">
        <f>VLOOKUP(A2208,Marketing_df2!$A$1:$F$2241,5,FALSE)</f>
        <v>9</v>
      </c>
      <c r="O2208">
        <f>VLOOKUP(A2208,Marketing_df2!$A$1:$F$2241,6,FALSE)</f>
        <v>4</v>
      </c>
    </row>
    <row r="2209" spans="1:15" ht="12.5">
      <c r="A2209" s="6">
        <v>2207</v>
      </c>
      <c r="B2209" s="6">
        <v>4333</v>
      </c>
      <c r="C2209" s="6">
        <v>1954</v>
      </c>
      <c r="D2209" s="7" t="s">
        <v>9</v>
      </c>
      <c r="E2209" s="7" t="s">
        <v>11</v>
      </c>
      <c r="F2209" s="6">
        <v>32144</v>
      </c>
      <c r="G2209" s="6">
        <v>1</v>
      </c>
      <c r="H2209" s="6">
        <v>1</v>
      </c>
      <c r="I2209" s="6">
        <f t="shared" si="34"/>
        <v>2</v>
      </c>
      <c r="J2209" s="8">
        <v>41721</v>
      </c>
      <c r="K2209" s="6">
        <v>76</v>
      </c>
      <c r="L2209">
        <f>VLOOKUP(A2209,Marketing_df2!$A$1:$F$2241,3,FALSE)</f>
        <v>0</v>
      </c>
      <c r="M2209">
        <f>VLOOKUP(A2209,Marketing_df2!$A$1:$F$2241,4,FALSE)</f>
        <v>0</v>
      </c>
      <c r="N2209">
        <f>VLOOKUP(A2209,Marketing_df2!$A$1:$F$2241,5,FALSE)</f>
        <v>2</v>
      </c>
      <c r="O2209">
        <f>VLOOKUP(A2209,Marketing_df2!$A$1:$F$2241,6,FALSE)</f>
        <v>3</v>
      </c>
    </row>
    <row r="2210" spans="1:15" ht="12.5">
      <c r="A2210" s="6">
        <v>2208</v>
      </c>
      <c r="B2210" s="6">
        <v>3850</v>
      </c>
      <c r="C2210" s="6">
        <v>1963</v>
      </c>
      <c r="D2210" s="7" t="s">
        <v>16</v>
      </c>
      <c r="E2210" s="7" t="s">
        <v>11</v>
      </c>
      <c r="F2210" s="6">
        <v>14918</v>
      </c>
      <c r="G2210" s="6">
        <v>0</v>
      </c>
      <c r="H2210" s="6">
        <v>1</v>
      </c>
      <c r="I2210" s="6">
        <f t="shared" si="34"/>
        <v>1</v>
      </c>
      <c r="J2210" s="8">
        <v>41250</v>
      </c>
      <c r="K2210" s="6">
        <v>52</v>
      </c>
      <c r="L2210">
        <f>VLOOKUP(A2210,Marketing_df2!$A$1:$F$2241,3,FALSE)</f>
        <v>3</v>
      </c>
      <c r="M2210">
        <f>VLOOKUP(A2210,Marketing_df2!$A$1:$F$2241,4,FALSE)</f>
        <v>4</v>
      </c>
      <c r="N2210">
        <f>VLOOKUP(A2210,Marketing_df2!$A$1:$F$2241,5,FALSE)</f>
        <v>1</v>
      </c>
      <c r="O2210">
        <f>VLOOKUP(A2210,Marketing_df2!$A$1:$F$2241,6,FALSE)</f>
        <v>3</v>
      </c>
    </row>
    <row r="2211" spans="1:15" ht="12.5">
      <c r="A2211" s="6">
        <v>2209</v>
      </c>
      <c r="B2211" s="6">
        <v>6168</v>
      </c>
      <c r="C2211" s="6">
        <v>1963</v>
      </c>
      <c r="D2211" s="7" t="s">
        <v>9</v>
      </c>
      <c r="E2211" s="7" t="s">
        <v>15</v>
      </c>
      <c r="F2211" s="6">
        <v>45146</v>
      </c>
      <c r="G2211" s="6">
        <v>1</v>
      </c>
      <c r="H2211" s="6">
        <v>1</v>
      </c>
      <c r="I2211" s="6">
        <f t="shared" si="34"/>
        <v>2</v>
      </c>
      <c r="J2211" s="8">
        <v>41470</v>
      </c>
      <c r="K2211" s="6">
        <v>28</v>
      </c>
      <c r="L2211">
        <f>VLOOKUP(A2211,Marketing_df2!$A$1:$F$2241,3,FALSE)</f>
        <v>0</v>
      </c>
      <c r="M2211">
        <f>VLOOKUP(A2211,Marketing_df2!$A$1:$F$2241,4,FALSE)</f>
        <v>0</v>
      </c>
      <c r="N2211">
        <f>VLOOKUP(A2211,Marketing_df2!$A$1:$F$2241,5,FALSE)</f>
        <v>1</v>
      </c>
      <c r="O2211">
        <f>VLOOKUP(A2211,Marketing_df2!$A$1:$F$2241,6,FALSE)</f>
        <v>2</v>
      </c>
    </row>
    <row r="2212" spans="1:15" ht="12.5">
      <c r="A2212" s="6">
        <v>2210</v>
      </c>
      <c r="B2212" s="6">
        <v>607</v>
      </c>
      <c r="C2212" s="6">
        <v>1955</v>
      </c>
      <c r="D2212" s="7" t="s">
        <v>17</v>
      </c>
      <c r="E2212" s="7" t="s">
        <v>15</v>
      </c>
      <c r="F2212" s="6">
        <v>41769</v>
      </c>
      <c r="G2212" s="6">
        <v>0</v>
      </c>
      <c r="H2212" s="6">
        <v>1</v>
      </c>
      <c r="I2212" s="6">
        <f t="shared" si="34"/>
        <v>1</v>
      </c>
      <c r="J2212" s="8">
        <v>41318</v>
      </c>
      <c r="K2212" s="6">
        <v>31</v>
      </c>
      <c r="L2212">
        <f>VLOOKUP(A2212,Marketing_df2!$A$1:$F$2241,3,FALSE)</f>
        <v>29</v>
      </c>
      <c r="M2212">
        <f>VLOOKUP(A2212,Marketing_df2!$A$1:$F$2241,4,FALSE)</f>
        <v>0</v>
      </c>
      <c r="N2212">
        <f>VLOOKUP(A2212,Marketing_df2!$A$1:$F$2241,5,FALSE)</f>
        <v>8</v>
      </c>
      <c r="O2212">
        <f>VLOOKUP(A2212,Marketing_df2!$A$1:$F$2241,6,FALSE)</f>
        <v>7</v>
      </c>
    </row>
    <row r="2213" spans="1:15" ht="12.5">
      <c r="A2213" s="6">
        <v>2211</v>
      </c>
      <c r="B2213" s="6">
        <v>10469</v>
      </c>
      <c r="C2213" s="6">
        <v>1981</v>
      </c>
      <c r="D2213" s="7" t="s">
        <v>9</v>
      </c>
      <c r="E2213" s="7" t="s">
        <v>11</v>
      </c>
      <c r="F2213" s="6">
        <v>88325</v>
      </c>
      <c r="G2213" s="6">
        <v>0</v>
      </c>
      <c r="H2213" s="6">
        <v>0</v>
      </c>
      <c r="I2213" s="6">
        <f t="shared" si="34"/>
        <v>0</v>
      </c>
      <c r="J2213" s="8">
        <v>41675</v>
      </c>
      <c r="K2213" s="6">
        <v>42</v>
      </c>
      <c r="L2213">
        <f>VLOOKUP(A2213,Marketing_df2!$A$1:$F$2241,3,FALSE)</f>
        <v>71</v>
      </c>
      <c r="M2213">
        <f>VLOOKUP(A2213,Marketing_df2!$A$1:$F$2241,4,FALSE)</f>
        <v>27</v>
      </c>
      <c r="N2213">
        <f>VLOOKUP(A2213,Marketing_df2!$A$1:$F$2241,5,FALSE)</f>
        <v>6</v>
      </c>
      <c r="O2213">
        <f>VLOOKUP(A2213,Marketing_df2!$A$1:$F$2241,6,FALSE)</f>
        <v>9</v>
      </c>
    </row>
    <row r="2214" spans="1:15" ht="12.5">
      <c r="A2214" s="6">
        <v>2212</v>
      </c>
      <c r="B2214" s="6">
        <v>6983</v>
      </c>
      <c r="C2214" s="6">
        <v>1950</v>
      </c>
      <c r="D2214" s="7" t="s">
        <v>14</v>
      </c>
      <c r="E2214" s="7" t="s">
        <v>15</v>
      </c>
      <c r="F2214" s="6">
        <v>38054</v>
      </c>
      <c r="G2214" s="6">
        <v>1</v>
      </c>
      <c r="H2214" s="6">
        <v>1</v>
      </c>
      <c r="I2214" s="6">
        <f t="shared" si="34"/>
        <v>2</v>
      </c>
      <c r="J2214" s="8">
        <v>41760</v>
      </c>
      <c r="K2214" s="6">
        <v>24</v>
      </c>
      <c r="L2214">
        <f>VLOOKUP(A2214,Marketing_df2!$A$1:$F$2241,3,FALSE)</f>
        <v>2</v>
      </c>
      <c r="M2214">
        <f>VLOOKUP(A2214,Marketing_df2!$A$1:$F$2241,4,FALSE)</f>
        <v>1</v>
      </c>
      <c r="N2214">
        <f>VLOOKUP(A2214,Marketing_df2!$A$1:$F$2241,5,FALSE)</f>
        <v>2</v>
      </c>
      <c r="O2214">
        <f>VLOOKUP(A2214,Marketing_df2!$A$1:$F$2241,6,FALSE)</f>
        <v>3</v>
      </c>
    </row>
    <row r="2215" spans="1:15" ht="12.5">
      <c r="A2215" s="6">
        <v>2213</v>
      </c>
      <c r="B2215" s="6">
        <v>3661</v>
      </c>
      <c r="C2215" s="6">
        <v>1995</v>
      </c>
      <c r="D2215" s="7" t="s">
        <v>17</v>
      </c>
      <c r="E2215" s="7" t="s">
        <v>10</v>
      </c>
      <c r="F2215" s="6">
        <v>80617</v>
      </c>
      <c r="G2215" s="6">
        <v>0</v>
      </c>
      <c r="H2215" s="6">
        <v>0</v>
      </c>
      <c r="I2215" s="6">
        <f t="shared" si="34"/>
        <v>0</v>
      </c>
      <c r="J2215" s="9">
        <v>41194</v>
      </c>
      <c r="K2215" s="6">
        <v>42</v>
      </c>
      <c r="L2215">
        <f>VLOOKUP(A2215,Marketing_df2!$A$1:$F$2241,3,FALSE)</f>
        <v>51</v>
      </c>
      <c r="M2215">
        <f>VLOOKUP(A2215,Marketing_df2!$A$1:$F$2241,4,FALSE)</f>
        <v>55</v>
      </c>
      <c r="N2215">
        <f>VLOOKUP(A2215,Marketing_df2!$A$1:$F$2241,5,FALSE)</f>
        <v>4</v>
      </c>
      <c r="O2215">
        <f>VLOOKUP(A2215,Marketing_df2!$A$1:$F$2241,6,FALSE)</f>
        <v>8</v>
      </c>
    </row>
    <row r="2216" spans="1:15" ht="12.5">
      <c r="A2216" s="6">
        <v>2214</v>
      </c>
      <c r="B2216" s="6">
        <v>9303</v>
      </c>
      <c r="C2216" s="6">
        <v>1976</v>
      </c>
      <c r="D2216" s="7" t="s">
        <v>9</v>
      </c>
      <c r="E2216" s="7" t="s">
        <v>13</v>
      </c>
      <c r="F2216" s="6">
        <v>5305</v>
      </c>
      <c r="G2216" s="6">
        <v>0</v>
      </c>
      <c r="H2216" s="6">
        <v>1</v>
      </c>
      <c r="I2216" s="6">
        <f t="shared" si="34"/>
        <v>1</v>
      </c>
      <c r="J2216" s="8">
        <v>41485</v>
      </c>
      <c r="K2216" s="6">
        <v>12</v>
      </c>
      <c r="L2216">
        <f>VLOOKUP(A2216,Marketing_df2!$A$1:$F$2241,3,FALSE)</f>
        <v>4</v>
      </c>
      <c r="M2216">
        <f>VLOOKUP(A2216,Marketing_df2!$A$1:$F$2241,4,FALSE)</f>
        <v>3</v>
      </c>
      <c r="N2216">
        <f>VLOOKUP(A2216,Marketing_df2!$A$1:$F$2241,5,FALSE)</f>
        <v>1</v>
      </c>
      <c r="O2216">
        <f>VLOOKUP(A2216,Marketing_df2!$A$1:$F$2241,6,FALSE)</f>
        <v>0</v>
      </c>
    </row>
    <row r="2217" spans="1:15" ht="12.5">
      <c r="A2217" s="6">
        <v>2215</v>
      </c>
      <c r="B2217" s="6">
        <v>692</v>
      </c>
      <c r="C2217" s="6">
        <v>1954</v>
      </c>
      <c r="D2217" s="7" t="s">
        <v>9</v>
      </c>
      <c r="E2217" s="7" t="s">
        <v>11</v>
      </c>
      <c r="F2217" s="6">
        <v>36807</v>
      </c>
      <c r="G2217" s="6">
        <v>1</v>
      </c>
      <c r="H2217" s="6">
        <v>1</v>
      </c>
      <c r="I2217" s="6">
        <f t="shared" si="34"/>
        <v>2</v>
      </c>
      <c r="J2217" s="9">
        <v>41263</v>
      </c>
      <c r="K2217" s="6">
        <v>88</v>
      </c>
      <c r="L2217">
        <f>VLOOKUP(A2217,Marketing_df2!$A$1:$F$2241,3,FALSE)</f>
        <v>2</v>
      </c>
      <c r="M2217">
        <f>VLOOKUP(A2217,Marketing_df2!$A$1:$F$2241,4,FALSE)</f>
        <v>0</v>
      </c>
      <c r="N2217">
        <f>VLOOKUP(A2217,Marketing_df2!$A$1:$F$2241,5,FALSE)</f>
        <v>1</v>
      </c>
      <c r="O2217">
        <f>VLOOKUP(A2217,Marketing_df2!$A$1:$F$2241,6,FALSE)</f>
        <v>2</v>
      </c>
    </row>
    <row r="2218" spans="1:15" ht="12.5">
      <c r="A2218" s="6">
        <v>2216</v>
      </c>
      <c r="B2218" s="6">
        <v>736</v>
      </c>
      <c r="C2218" s="6">
        <v>1983</v>
      </c>
      <c r="D2218" s="7" t="s">
        <v>9</v>
      </c>
      <c r="E2218" s="7" t="s">
        <v>11</v>
      </c>
      <c r="F2218" s="6">
        <v>28427</v>
      </c>
      <c r="G2218" s="6">
        <v>1</v>
      </c>
      <c r="H2218" s="6">
        <v>0</v>
      </c>
      <c r="I2218" s="6">
        <f t="shared" si="34"/>
        <v>1</v>
      </c>
      <c r="J2218" s="8">
        <v>41354</v>
      </c>
      <c r="K2218" s="6">
        <v>67</v>
      </c>
      <c r="L2218">
        <f>VLOOKUP(A2218,Marketing_df2!$A$1:$F$2241,3,FALSE)</f>
        <v>3</v>
      </c>
      <c r="M2218">
        <f>VLOOKUP(A2218,Marketing_df2!$A$1:$F$2241,4,FALSE)</f>
        <v>3</v>
      </c>
      <c r="N2218">
        <f>VLOOKUP(A2218,Marketing_df2!$A$1:$F$2241,5,FALSE)</f>
        <v>2</v>
      </c>
      <c r="O2218">
        <f>VLOOKUP(A2218,Marketing_df2!$A$1:$F$2241,6,FALSE)</f>
        <v>3</v>
      </c>
    </row>
    <row r="2219" spans="1:15" ht="12.5">
      <c r="A2219" s="6">
        <v>2217</v>
      </c>
      <c r="B2219" s="6">
        <v>9589</v>
      </c>
      <c r="C2219" s="6">
        <v>1948</v>
      </c>
      <c r="D2219" s="7" t="s">
        <v>12</v>
      </c>
      <c r="E2219" s="7" t="s">
        <v>18</v>
      </c>
      <c r="F2219" s="6">
        <v>82032</v>
      </c>
      <c r="G2219" s="6">
        <v>0</v>
      </c>
      <c r="H2219" s="6">
        <v>0</v>
      </c>
      <c r="I2219" s="6">
        <f t="shared" si="34"/>
        <v>0</v>
      </c>
      <c r="J2219" s="8">
        <v>41734</v>
      </c>
      <c r="K2219" s="6">
        <v>54</v>
      </c>
      <c r="L2219">
        <f>VLOOKUP(A2219,Marketing_df2!$A$1:$F$2241,3,FALSE)</f>
        <v>194</v>
      </c>
      <c r="M2219">
        <f>VLOOKUP(A2219,Marketing_df2!$A$1:$F$2241,4,FALSE)</f>
        <v>125</v>
      </c>
      <c r="N2219">
        <f>VLOOKUP(A2219,Marketing_df2!$A$1:$F$2241,5,FALSE)</f>
        <v>4</v>
      </c>
      <c r="O2219">
        <f>VLOOKUP(A2219,Marketing_df2!$A$1:$F$2241,6,FALSE)</f>
        <v>7</v>
      </c>
    </row>
    <row r="2220" spans="1:15" ht="12.5">
      <c r="A2220" s="6">
        <v>2218</v>
      </c>
      <c r="B2220" s="6">
        <v>4838</v>
      </c>
      <c r="C2220" s="6">
        <v>1978</v>
      </c>
      <c r="D2220" s="7" t="s">
        <v>9</v>
      </c>
      <c r="E2220" s="7" t="s">
        <v>11</v>
      </c>
      <c r="F2220" s="6">
        <v>22775</v>
      </c>
      <c r="G2220" s="6">
        <v>1</v>
      </c>
      <c r="H2220" s="6">
        <v>0</v>
      </c>
      <c r="I2220" s="6">
        <f t="shared" si="34"/>
        <v>1</v>
      </c>
      <c r="J2220" s="8">
        <v>41444</v>
      </c>
      <c r="K2220" s="6">
        <v>40</v>
      </c>
      <c r="L2220">
        <f>VLOOKUP(A2220,Marketing_df2!$A$1:$F$2241,3,FALSE)</f>
        <v>1</v>
      </c>
      <c r="M2220">
        <f>VLOOKUP(A2220,Marketing_df2!$A$1:$F$2241,4,FALSE)</f>
        <v>0</v>
      </c>
      <c r="N2220">
        <f>VLOOKUP(A2220,Marketing_df2!$A$1:$F$2241,5,FALSE)</f>
        <v>1</v>
      </c>
      <c r="O2220">
        <f>VLOOKUP(A2220,Marketing_df2!$A$1:$F$2241,6,FALSE)</f>
        <v>2</v>
      </c>
    </row>
    <row r="2221" spans="1:15" ht="12.5">
      <c r="A2221" s="6">
        <v>2219</v>
      </c>
      <c r="B2221" s="6">
        <v>9246</v>
      </c>
      <c r="C2221" s="6">
        <v>1985</v>
      </c>
      <c r="D2221" s="7" t="s">
        <v>14</v>
      </c>
      <c r="E2221" s="7" t="s">
        <v>11</v>
      </c>
      <c r="F2221" s="6">
        <v>40101</v>
      </c>
      <c r="G2221" s="6">
        <v>1</v>
      </c>
      <c r="H2221" s="6">
        <v>0</v>
      </c>
      <c r="I2221" s="6">
        <f t="shared" si="34"/>
        <v>1</v>
      </c>
      <c r="J2221" s="9">
        <v>41196</v>
      </c>
      <c r="K2221" s="6">
        <v>73</v>
      </c>
      <c r="L2221">
        <f>VLOOKUP(A2221,Marketing_df2!$A$1:$F$2241,3,FALSE)</f>
        <v>3</v>
      </c>
      <c r="M2221">
        <f>VLOOKUP(A2221,Marketing_df2!$A$1:$F$2241,4,FALSE)</f>
        <v>24</v>
      </c>
      <c r="N2221">
        <f>VLOOKUP(A2221,Marketing_df2!$A$1:$F$2241,5,FALSE)</f>
        <v>6</v>
      </c>
      <c r="O2221">
        <f>VLOOKUP(A2221,Marketing_df2!$A$1:$F$2241,6,FALSE)</f>
        <v>6</v>
      </c>
    </row>
    <row r="2222" spans="1:15" ht="12.5">
      <c r="A2222" s="6">
        <v>2220</v>
      </c>
      <c r="B2222" s="6">
        <v>6261</v>
      </c>
      <c r="C2222" s="6">
        <v>1979</v>
      </c>
      <c r="D2222" s="7" t="s">
        <v>9</v>
      </c>
      <c r="E2222" s="7" t="s">
        <v>13</v>
      </c>
      <c r="F2222" s="6">
        <v>58025</v>
      </c>
      <c r="G2222" s="6">
        <v>0</v>
      </c>
      <c r="H2222" s="6">
        <v>1</v>
      </c>
      <c r="I2222" s="6">
        <f t="shared" si="34"/>
        <v>1</v>
      </c>
      <c r="J2222" s="9">
        <v>41604</v>
      </c>
      <c r="K2222" s="6">
        <v>81</v>
      </c>
      <c r="L2222">
        <f>VLOOKUP(A2222,Marketing_df2!$A$1:$F$2241,3,FALSE)</f>
        <v>31</v>
      </c>
      <c r="M2222">
        <f>VLOOKUP(A2222,Marketing_df2!$A$1:$F$2241,4,FALSE)</f>
        <v>48</v>
      </c>
      <c r="N2222">
        <f>VLOOKUP(A2222,Marketing_df2!$A$1:$F$2241,5,FALSE)</f>
        <v>3</v>
      </c>
      <c r="O2222">
        <f>VLOOKUP(A2222,Marketing_df2!$A$1:$F$2241,6,FALSE)</f>
        <v>10</v>
      </c>
    </row>
    <row r="2223" spans="1:15" ht="12.5">
      <c r="A2223" s="6">
        <v>2221</v>
      </c>
      <c r="B2223" s="6">
        <v>7366</v>
      </c>
      <c r="C2223" s="6">
        <v>1982</v>
      </c>
      <c r="D2223" s="7" t="s">
        <v>14</v>
      </c>
      <c r="E2223" s="7" t="s">
        <v>10</v>
      </c>
      <c r="F2223" s="6">
        <v>75777</v>
      </c>
      <c r="G2223" s="6">
        <v>0</v>
      </c>
      <c r="H2223" s="6">
        <v>0</v>
      </c>
      <c r="I2223" s="6">
        <f t="shared" si="34"/>
        <v>0</v>
      </c>
      <c r="J2223" s="8">
        <v>41459</v>
      </c>
      <c r="K2223" s="6">
        <v>12</v>
      </c>
      <c r="L2223">
        <f>VLOOKUP(A2223,Marketing_df2!$A$1:$F$2241,3,FALSE)</f>
        <v>26</v>
      </c>
      <c r="M2223">
        <f>VLOOKUP(A2223,Marketing_df2!$A$1:$F$2241,4,FALSE)</f>
        <v>13</v>
      </c>
      <c r="N2223">
        <f>VLOOKUP(A2223,Marketing_df2!$A$1:$F$2241,5,FALSE)</f>
        <v>3</v>
      </c>
      <c r="O2223">
        <f>VLOOKUP(A2223,Marketing_df2!$A$1:$F$2241,6,FALSE)</f>
        <v>11</v>
      </c>
    </row>
    <row r="2224" spans="1:15" ht="12.5">
      <c r="A2224" s="6">
        <v>2222</v>
      </c>
      <c r="B2224" s="6">
        <v>10659</v>
      </c>
      <c r="C2224" s="6">
        <v>1979</v>
      </c>
      <c r="D2224" s="7" t="s">
        <v>17</v>
      </c>
      <c r="E2224" s="7" t="s">
        <v>11</v>
      </c>
      <c r="F2224" s="6">
        <v>7500</v>
      </c>
      <c r="G2224" s="6">
        <v>1</v>
      </c>
      <c r="H2224" s="6">
        <v>0</v>
      </c>
      <c r="I2224" s="6">
        <f t="shared" si="34"/>
        <v>1</v>
      </c>
      <c r="J2224" s="8">
        <v>41401</v>
      </c>
      <c r="K2224" s="6">
        <v>7</v>
      </c>
      <c r="L2224">
        <f>VLOOKUP(A2224,Marketing_df2!$A$1:$F$2241,3,FALSE)</f>
        <v>8</v>
      </c>
      <c r="M2224">
        <f>VLOOKUP(A2224,Marketing_df2!$A$1:$F$2241,4,FALSE)</f>
        <v>8</v>
      </c>
      <c r="N2224">
        <f>VLOOKUP(A2224,Marketing_df2!$A$1:$F$2241,5,FALSE)</f>
        <v>3</v>
      </c>
      <c r="O2224">
        <f>VLOOKUP(A2224,Marketing_df2!$A$1:$F$2241,6,FALSE)</f>
        <v>2</v>
      </c>
    </row>
    <row r="2225" spans="1:15" ht="12.5">
      <c r="A2225" s="6">
        <v>2223</v>
      </c>
      <c r="B2225" s="6">
        <v>1448</v>
      </c>
      <c r="C2225" s="6">
        <v>1963</v>
      </c>
      <c r="D2225" s="7" t="s">
        <v>14</v>
      </c>
      <c r="E2225" s="7" t="s">
        <v>13</v>
      </c>
      <c r="F2225" s="6">
        <v>33562</v>
      </c>
      <c r="G2225" s="6">
        <v>1</v>
      </c>
      <c r="H2225" s="6">
        <v>2</v>
      </c>
      <c r="I2225" s="6">
        <f t="shared" si="34"/>
        <v>3</v>
      </c>
      <c r="J2225" s="8">
        <v>41815</v>
      </c>
      <c r="K2225" s="6">
        <v>33</v>
      </c>
      <c r="L2225">
        <f>VLOOKUP(A2225,Marketing_df2!$A$1:$F$2241,3,FALSE)</f>
        <v>12</v>
      </c>
      <c r="M2225">
        <f>VLOOKUP(A2225,Marketing_df2!$A$1:$F$2241,4,FALSE)</f>
        <v>3</v>
      </c>
      <c r="N2225">
        <f>VLOOKUP(A2225,Marketing_df2!$A$1:$F$2241,5,FALSE)</f>
        <v>2</v>
      </c>
      <c r="O2225">
        <f>VLOOKUP(A2225,Marketing_df2!$A$1:$F$2241,6,FALSE)</f>
        <v>4</v>
      </c>
    </row>
    <row r="2226" spans="1:15" ht="12.5">
      <c r="A2226" s="6">
        <v>2224</v>
      </c>
      <c r="B2226" s="6">
        <v>4286</v>
      </c>
      <c r="C2226" s="6">
        <v>1970</v>
      </c>
      <c r="D2226" s="7" t="s">
        <v>12</v>
      </c>
      <c r="E2226" s="7" t="s">
        <v>10</v>
      </c>
      <c r="F2226" s="6">
        <v>57642</v>
      </c>
      <c r="G2226" s="6">
        <v>0</v>
      </c>
      <c r="H2226" s="6">
        <v>1</v>
      </c>
      <c r="I2226" s="6">
        <f t="shared" si="34"/>
        <v>1</v>
      </c>
      <c r="J2226" s="8">
        <v>41648</v>
      </c>
      <c r="K2226" s="6">
        <v>24</v>
      </c>
      <c r="L2226">
        <f>VLOOKUP(A2226,Marketing_df2!$A$1:$F$2241,3,FALSE)</f>
        <v>6</v>
      </c>
      <c r="M2226">
        <f>VLOOKUP(A2226,Marketing_df2!$A$1:$F$2241,4,FALSE)</f>
        <v>0</v>
      </c>
      <c r="N2226">
        <f>VLOOKUP(A2226,Marketing_df2!$A$1:$F$2241,5,FALSE)</f>
        <v>7</v>
      </c>
      <c r="O2226">
        <f>VLOOKUP(A2226,Marketing_df2!$A$1:$F$2241,6,FALSE)</f>
        <v>6</v>
      </c>
    </row>
    <row r="2227" spans="1:15" ht="12.5">
      <c r="A2227" s="6">
        <v>2225</v>
      </c>
      <c r="B2227" s="6">
        <v>4749</v>
      </c>
      <c r="C2227" s="6">
        <v>1968</v>
      </c>
      <c r="D2227" s="7" t="s">
        <v>9</v>
      </c>
      <c r="E2227" s="7" t="s">
        <v>11</v>
      </c>
      <c r="F2227" s="6">
        <v>58554</v>
      </c>
      <c r="G2227" s="6">
        <v>1</v>
      </c>
      <c r="H2227" s="6">
        <v>1</v>
      </c>
      <c r="I2227" s="6">
        <f t="shared" si="34"/>
        <v>2</v>
      </c>
      <c r="J2227" s="8">
        <v>41178</v>
      </c>
      <c r="K2227" s="6">
        <v>55</v>
      </c>
      <c r="L2227">
        <f>VLOOKUP(A2227,Marketing_df2!$A$1:$F$2241,3,FALSE)</f>
        <v>24</v>
      </c>
      <c r="M2227">
        <f>VLOOKUP(A2227,Marketing_df2!$A$1:$F$2241,4,FALSE)</f>
        <v>0</v>
      </c>
      <c r="N2227">
        <f>VLOOKUP(A2227,Marketing_df2!$A$1:$F$2241,5,FALSE)</f>
        <v>8</v>
      </c>
      <c r="O2227">
        <f>VLOOKUP(A2227,Marketing_df2!$A$1:$F$2241,6,FALSE)</f>
        <v>6</v>
      </c>
    </row>
    <row r="2228" spans="1:15" ht="12.5">
      <c r="A2228" s="6">
        <v>2226</v>
      </c>
      <c r="B2228" s="6">
        <v>4478</v>
      </c>
      <c r="C2228" s="6">
        <v>1979</v>
      </c>
      <c r="D2228" s="7" t="s">
        <v>9</v>
      </c>
      <c r="E2228" s="7" t="s">
        <v>13</v>
      </c>
      <c r="F2228" s="6">
        <v>63777</v>
      </c>
      <c r="G2228" s="6">
        <v>1</v>
      </c>
      <c r="H2228" s="6">
        <v>1</v>
      </c>
      <c r="I2228" s="6">
        <f t="shared" si="34"/>
        <v>2</v>
      </c>
      <c r="J2228" s="8">
        <v>41357</v>
      </c>
      <c r="K2228" s="6">
        <v>87</v>
      </c>
      <c r="L2228">
        <f>VLOOKUP(A2228,Marketing_df2!$A$1:$F$2241,3,FALSE)</f>
        <v>5</v>
      </c>
      <c r="M2228">
        <f>VLOOKUP(A2228,Marketing_df2!$A$1:$F$2241,4,FALSE)</f>
        <v>17</v>
      </c>
      <c r="N2228">
        <f>VLOOKUP(A2228,Marketing_df2!$A$1:$F$2241,5,FALSE)</f>
        <v>11</v>
      </c>
      <c r="O2228">
        <f>VLOOKUP(A2228,Marketing_df2!$A$1:$F$2241,6,FALSE)</f>
        <v>6</v>
      </c>
    </row>
    <row r="2229" spans="1:15" ht="12.5">
      <c r="A2229" s="6">
        <v>2227</v>
      </c>
      <c r="B2229" s="6">
        <v>4201</v>
      </c>
      <c r="C2229" s="6">
        <v>1962</v>
      </c>
      <c r="D2229" s="7" t="s">
        <v>9</v>
      </c>
      <c r="E2229" s="7" t="s">
        <v>10</v>
      </c>
      <c r="F2229" s="6">
        <v>57967</v>
      </c>
      <c r="G2229" s="6">
        <v>0</v>
      </c>
      <c r="H2229" s="6">
        <v>1</v>
      </c>
      <c r="I2229" s="6">
        <f t="shared" si="34"/>
        <v>1</v>
      </c>
      <c r="J2229" s="8">
        <v>41336</v>
      </c>
      <c r="K2229" s="6">
        <v>39</v>
      </c>
      <c r="L2229">
        <f>VLOOKUP(A2229,Marketing_df2!$A$1:$F$2241,3,FALSE)</f>
        <v>7</v>
      </c>
      <c r="M2229">
        <f>VLOOKUP(A2229,Marketing_df2!$A$1:$F$2241,4,FALSE)</f>
        <v>0</v>
      </c>
      <c r="N2229">
        <f>VLOOKUP(A2229,Marketing_df2!$A$1:$F$2241,5,FALSE)</f>
        <v>4</v>
      </c>
      <c r="O2229">
        <f>VLOOKUP(A2229,Marketing_df2!$A$1:$F$2241,6,FALSE)</f>
        <v>8</v>
      </c>
    </row>
    <row r="2230" spans="1:15" ht="12.5">
      <c r="A2230" s="6">
        <v>2228</v>
      </c>
      <c r="B2230" s="6">
        <v>8720</v>
      </c>
      <c r="C2230" s="6">
        <v>1978</v>
      </c>
      <c r="D2230" s="7" t="s">
        <v>17</v>
      </c>
      <c r="E2230" s="7" t="s">
        <v>11</v>
      </c>
      <c r="F2230" s="7"/>
      <c r="G2230" s="6">
        <v>0</v>
      </c>
      <c r="H2230" s="6">
        <v>0</v>
      </c>
      <c r="I2230" s="6">
        <f t="shared" si="34"/>
        <v>0</v>
      </c>
      <c r="J2230" s="8">
        <v>41133</v>
      </c>
      <c r="K2230" s="6">
        <v>53</v>
      </c>
      <c r="L2230">
        <f>VLOOKUP(A2230,Marketing_df2!$A$1:$F$2241,3,FALSE)</f>
        <v>2</v>
      </c>
      <c r="M2230">
        <f>VLOOKUP(A2230,Marketing_df2!$A$1:$F$2241,4,FALSE)</f>
        <v>4</v>
      </c>
      <c r="N2230">
        <f>VLOOKUP(A2230,Marketing_df2!$A$1:$F$2241,5,FALSE)</f>
        <v>0</v>
      </c>
      <c r="O2230">
        <f>VLOOKUP(A2230,Marketing_df2!$A$1:$F$2241,6,FALSE)</f>
        <v>1</v>
      </c>
    </row>
    <row r="2231" spans="1:15" ht="12.5">
      <c r="A2231" s="6">
        <v>2229</v>
      </c>
      <c r="B2231" s="6">
        <v>10084</v>
      </c>
      <c r="C2231" s="6">
        <v>1972</v>
      </c>
      <c r="D2231" s="7" t="s">
        <v>9</v>
      </c>
      <c r="E2231" s="7" t="s">
        <v>13</v>
      </c>
      <c r="F2231" s="6">
        <v>24434</v>
      </c>
      <c r="G2231" s="6">
        <v>2</v>
      </c>
      <c r="H2231" s="6">
        <v>0</v>
      </c>
      <c r="I2231" s="6">
        <f t="shared" si="34"/>
        <v>2</v>
      </c>
      <c r="J2231" s="8">
        <v>41777</v>
      </c>
      <c r="K2231" s="6">
        <v>9</v>
      </c>
      <c r="L2231">
        <f>VLOOKUP(A2231,Marketing_df2!$A$1:$F$2241,3,FALSE)</f>
        <v>2</v>
      </c>
      <c r="M2231">
        <f>VLOOKUP(A2231,Marketing_df2!$A$1:$F$2241,4,FALSE)</f>
        <v>0</v>
      </c>
      <c r="N2231">
        <f>VLOOKUP(A2231,Marketing_df2!$A$1:$F$2241,5,FALSE)</f>
        <v>2</v>
      </c>
      <c r="O2231">
        <f>VLOOKUP(A2231,Marketing_df2!$A$1:$F$2241,6,FALSE)</f>
        <v>2</v>
      </c>
    </row>
    <row r="2232" spans="1:15" ht="12.5">
      <c r="A2232" s="6">
        <v>2230</v>
      </c>
      <c r="B2232" s="6">
        <v>7004</v>
      </c>
      <c r="C2232" s="6">
        <v>1984</v>
      </c>
      <c r="D2232" s="7" t="s">
        <v>9</v>
      </c>
      <c r="E2232" s="7" t="s">
        <v>10</v>
      </c>
      <c r="F2232" s="6">
        <v>11012</v>
      </c>
      <c r="G2232" s="6">
        <v>1</v>
      </c>
      <c r="H2232" s="6">
        <v>0</v>
      </c>
      <c r="I2232" s="6">
        <f t="shared" si="34"/>
        <v>1</v>
      </c>
      <c r="J2232" s="8">
        <v>41349</v>
      </c>
      <c r="K2232" s="6">
        <v>82</v>
      </c>
      <c r="L2232">
        <f>VLOOKUP(A2232,Marketing_df2!$A$1:$F$2241,3,FALSE)</f>
        <v>3</v>
      </c>
      <c r="M2232">
        <f>VLOOKUP(A2232,Marketing_df2!$A$1:$F$2241,4,FALSE)</f>
        <v>1</v>
      </c>
      <c r="N2232">
        <f>VLOOKUP(A2232,Marketing_df2!$A$1:$F$2241,5,FALSE)</f>
        <v>3</v>
      </c>
      <c r="O2232">
        <f>VLOOKUP(A2232,Marketing_df2!$A$1:$F$2241,6,FALSE)</f>
        <v>2</v>
      </c>
    </row>
    <row r="2233" spans="1:15" ht="12.5">
      <c r="A2233" s="6">
        <v>2231</v>
      </c>
      <c r="B2233" s="6">
        <v>9817</v>
      </c>
      <c r="C2233" s="6">
        <v>1970</v>
      </c>
      <c r="D2233" s="7" t="s">
        <v>14</v>
      </c>
      <c r="E2233" s="7" t="s">
        <v>10</v>
      </c>
      <c r="F2233" s="6">
        <v>44802</v>
      </c>
      <c r="G2233" s="6">
        <v>0</v>
      </c>
      <c r="H2233" s="6">
        <v>0</v>
      </c>
      <c r="I2233" s="6">
        <f t="shared" si="34"/>
        <v>0</v>
      </c>
      <c r="J2233" s="8">
        <v>41142</v>
      </c>
      <c r="K2233" s="6">
        <v>71</v>
      </c>
      <c r="L2233">
        <f>VLOOKUP(A2233,Marketing_df2!$A$1:$F$2241,3,FALSE)</f>
        <v>10</v>
      </c>
      <c r="M2233">
        <f>VLOOKUP(A2233,Marketing_df2!$A$1:$F$2241,4,FALSE)</f>
        <v>10</v>
      </c>
      <c r="N2233">
        <f>VLOOKUP(A2233,Marketing_df2!$A$1:$F$2241,5,FALSE)</f>
        <v>9</v>
      </c>
      <c r="O2233">
        <f>VLOOKUP(A2233,Marketing_df2!$A$1:$F$2241,6,FALSE)</f>
        <v>12</v>
      </c>
    </row>
    <row r="2234" spans="1:15" ht="12.5">
      <c r="A2234" s="6">
        <v>2232</v>
      </c>
      <c r="B2234" s="6">
        <v>8080</v>
      </c>
      <c r="C2234" s="6">
        <v>1986</v>
      </c>
      <c r="D2234" s="7" t="s">
        <v>9</v>
      </c>
      <c r="E2234" s="7" t="s">
        <v>10</v>
      </c>
      <c r="F2234" s="6">
        <v>26816</v>
      </c>
      <c r="G2234" s="6">
        <v>0</v>
      </c>
      <c r="H2234" s="6">
        <v>0</v>
      </c>
      <c r="I2234" s="6">
        <f t="shared" si="34"/>
        <v>0</v>
      </c>
      <c r="J2234" s="8">
        <v>41138</v>
      </c>
      <c r="K2234" s="6">
        <v>50</v>
      </c>
      <c r="L2234">
        <f>VLOOKUP(A2234,Marketing_df2!$A$1:$F$2241,3,FALSE)</f>
        <v>1</v>
      </c>
      <c r="M2234">
        <f>VLOOKUP(A2234,Marketing_df2!$A$1:$F$2241,4,FALSE)</f>
        <v>4</v>
      </c>
      <c r="N2234">
        <f>VLOOKUP(A2234,Marketing_df2!$A$1:$F$2241,5,FALSE)</f>
        <v>0</v>
      </c>
      <c r="O2234">
        <f>VLOOKUP(A2234,Marketing_df2!$A$1:$F$2241,6,FALSE)</f>
        <v>3</v>
      </c>
    </row>
    <row r="2235" spans="1:15" ht="12.5">
      <c r="A2235" s="6">
        <v>2233</v>
      </c>
      <c r="B2235" s="6">
        <v>9432</v>
      </c>
      <c r="C2235" s="6">
        <v>1977</v>
      </c>
      <c r="D2235" s="7" t="s">
        <v>9</v>
      </c>
      <c r="E2235" s="7" t="s">
        <v>11</v>
      </c>
      <c r="F2235" s="6">
        <v>666666</v>
      </c>
      <c r="G2235" s="6">
        <v>1</v>
      </c>
      <c r="H2235" s="6">
        <v>0</v>
      </c>
      <c r="I2235" s="6">
        <f t="shared" si="34"/>
        <v>1</v>
      </c>
      <c r="J2235" s="8">
        <v>41427</v>
      </c>
      <c r="K2235" s="6">
        <v>23</v>
      </c>
      <c r="L2235">
        <f>VLOOKUP(A2235,Marketing_df2!$A$1:$F$2241,3,FALSE)</f>
        <v>14</v>
      </c>
      <c r="M2235">
        <f>VLOOKUP(A2235,Marketing_df2!$A$1:$F$2241,4,FALSE)</f>
        <v>1</v>
      </c>
      <c r="N2235">
        <f>VLOOKUP(A2235,Marketing_df2!$A$1:$F$2241,5,FALSE)</f>
        <v>3</v>
      </c>
      <c r="O2235">
        <f>VLOOKUP(A2235,Marketing_df2!$A$1:$F$2241,6,FALSE)</f>
        <v>3</v>
      </c>
    </row>
    <row r="2236" spans="1:15" ht="12.5">
      <c r="A2236" s="6">
        <v>2234</v>
      </c>
      <c r="B2236" s="6">
        <v>8372</v>
      </c>
      <c r="C2236" s="6">
        <v>1974</v>
      </c>
      <c r="D2236" s="7" t="s">
        <v>9</v>
      </c>
      <c r="E2236" s="7" t="s">
        <v>13</v>
      </c>
      <c r="F2236" s="6">
        <v>34421</v>
      </c>
      <c r="G2236" s="6">
        <v>1</v>
      </c>
      <c r="H2236" s="6">
        <v>0</v>
      </c>
      <c r="I2236" s="6">
        <f t="shared" si="34"/>
        <v>1</v>
      </c>
      <c r="J2236" s="8">
        <v>41456</v>
      </c>
      <c r="K2236" s="6">
        <v>81</v>
      </c>
      <c r="L2236">
        <f>VLOOKUP(A2236,Marketing_df2!$A$1:$F$2241,3,FALSE)</f>
        <v>3</v>
      </c>
      <c r="M2236">
        <f>VLOOKUP(A2236,Marketing_df2!$A$1:$F$2241,4,FALSE)</f>
        <v>2</v>
      </c>
      <c r="N2236">
        <f>VLOOKUP(A2236,Marketing_df2!$A$1:$F$2241,5,FALSE)</f>
        <v>1</v>
      </c>
      <c r="O2236">
        <f>VLOOKUP(A2236,Marketing_df2!$A$1:$F$2241,6,FALSE)</f>
        <v>2</v>
      </c>
    </row>
    <row r="2237" spans="1:15" ht="12.5">
      <c r="A2237" s="6">
        <v>2235</v>
      </c>
      <c r="B2237" s="6">
        <v>10870</v>
      </c>
      <c r="C2237" s="6">
        <v>1967</v>
      </c>
      <c r="D2237" s="7" t="s">
        <v>9</v>
      </c>
      <c r="E2237" s="7" t="s">
        <v>13</v>
      </c>
      <c r="F2237" s="6">
        <v>61223</v>
      </c>
      <c r="G2237" s="6">
        <v>0</v>
      </c>
      <c r="H2237" s="6">
        <v>1</v>
      </c>
      <c r="I2237" s="6">
        <f t="shared" si="34"/>
        <v>1</v>
      </c>
      <c r="J2237" s="8">
        <v>41438</v>
      </c>
      <c r="K2237" s="6">
        <v>46</v>
      </c>
      <c r="L2237">
        <f>VLOOKUP(A2237,Marketing_df2!$A$1:$F$2241,3,FALSE)</f>
        <v>43</v>
      </c>
      <c r="M2237">
        <f>VLOOKUP(A2237,Marketing_df2!$A$1:$F$2241,4,FALSE)</f>
        <v>118</v>
      </c>
      <c r="N2237">
        <f>VLOOKUP(A2237,Marketing_df2!$A$1:$F$2241,5,FALSE)</f>
        <v>9</v>
      </c>
      <c r="O2237">
        <f>VLOOKUP(A2237,Marketing_df2!$A$1:$F$2241,6,FALSE)</f>
        <v>4</v>
      </c>
    </row>
    <row r="2238" spans="1:15" ht="12.5">
      <c r="A2238" s="6">
        <v>2236</v>
      </c>
      <c r="B2238" s="6">
        <v>4001</v>
      </c>
      <c r="C2238" s="6">
        <v>1946</v>
      </c>
      <c r="D2238" s="7" t="s">
        <v>12</v>
      </c>
      <c r="E2238" s="7" t="s">
        <v>11</v>
      </c>
      <c r="F2238" s="6">
        <v>64014</v>
      </c>
      <c r="G2238" s="6">
        <v>2</v>
      </c>
      <c r="H2238" s="6">
        <v>1</v>
      </c>
      <c r="I2238" s="6">
        <f t="shared" si="34"/>
        <v>3</v>
      </c>
      <c r="J2238" s="8">
        <v>41800</v>
      </c>
      <c r="K2238" s="6">
        <v>56</v>
      </c>
      <c r="L2238">
        <f>VLOOKUP(A2238,Marketing_df2!$A$1:$F$2241,3,FALSE)</f>
        <v>0</v>
      </c>
      <c r="M2238">
        <f>VLOOKUP(A2238,Marketing_df2!$A$1:$F$2241,4,FALSE)</f>
        <v>0</v>
      </c>
      <c r="N2238">
        <f>VLOOKUP(A2238,Marketing_df2!$A$1:$F$2241,5,FALSE)</f>
        <v>8</v>
      </c>
      <c r="O2238">
        <f>VLOOKUP(A2238,Marketing_df2!$A$1:$F$2241,6,FALSE)</f>
        <v>5</v>
      </c>
    </row>
    <row r="2239" spans="1:15" ht="12.5">
      <c r="A2239" s="6">
        <v>2237</v>
      </c>
      <c r="B2239" s="6">
        <v>7270</v>
      </c>
      <c r="C2239" s="6">
        <v>1981</v>
      </c>
      <c r="D2239" s="7" t="s">
        <v>9</v>
      </c>
      <c r="E2239" s="7" t="s">
        <v>15</v>
      </c>
      <c r="F2239" s="6">
        <v>56981</v>
      </c>
      <c r="G2239" s="6">
        <v>0</v>
      </c>
      <c r="H2239" s="6">
        <v>0</v>
      </c>
      <c r="I2239" s="6">
        <f t="shared" si="34"/>
        <v>0</v>
      </c>
      <c r="J2239" s="8">
        <v>41664</v>
      </c>
      <c r="K2239" s="6">
        <v>91</v>
      </c>
      <c r="L2239">
        <f>VLOOKUP(A2239,Marketing_df2!$A$1:$F$2241,3,FALSE)</f>
        <v>48</v>
      </c>
      <c r="M2239">
        <f>VLOOKUP(A2239,Marketing_df2!$A$1:$F$2241,4,FALSE)</f>
        <v>12</v>
      </c>
      <c r="N2239">
        <f>VLOOKUP(A2239,Marketing_df2!$A$1:$F$2241,5,FALSE)</f>
        <v>2</v>
      </c>
      <c r="O2239">
        <f>VLOOKUP(A2239,Marketing_df2!$A$1:$F$2241,6,FALSE)</f>
        <v>13</v>
      </c>
    </row>
    <row r="2240" spans="1:15" ht="12.5">
      <c r="A2240" s="6">
        <v>2238</v>
      </c>
      <c r="B2240" s="6">
        <v>8235</v>
      </c>
      <c r="C2240" s="6">
        <v>1956</v>
      </c>
      <c r="D2240" s="7" t="s">
        <v>14</v>
      </c>
      <c r="E2240" s="7" t="s">
        <v>11</v>
      </c>
      <c r="F2240" s="6">
        <v>69245</v>
      </c>
      <c r="G2240" s="6">
        <v>0</v>
      </c>
      <c r="H2240" s="6">
        <v>1</v>
      </c>
      <c r="I2240" s="6">
        <f t="shared" si="34"/>
        <v>1</v>
      </c>
      <c r="J2240" s="8">
        <v>41663</v>
      </c>
      <c r="K2240" s="6">
        <v>8</v>
      </c>
      <c r="L2240">
        <f>VLOOKUP(A2240,Marketing_df2!$A$1:$F$2241,3,FALSE)</f>
        <v>30</v>
      </c>
      <c r="M2240">
        <f>VLOOKUP(A2240,Marketing_df2!$A$1:$F$2241,4,FALSE)</f>
        <v>30</v>
      </c>
      <c r="N2240">
        <f>VLOOKUP(A2240,Marketing_df2!$A$1:$F$2241,5,FALSE)</f>
        <v>6</v>
      </c>
      <c r="O2240">
        <f>VLOOKUP(A2240,Marketing_df2!$A$1:$F$2241,6,FALSE)</f>
        <v>10</v>
      </c>
    </row>
    <row r="2241" spans="1:15" ht="12.5">
      <c r="A2241" s="6">
        <v>2239</v>
      </c>
      <c r="B2241" s="6">
        <v>9405</v>
      </c>
      <c r="C2241" s="6">
        <v>1954</v>
      </c>
      <c r="D2241" s="7" t="s">
        <v>12</v>
      </c>
      <c r="E2241" s="7" t="s">
        <v>13</v>
      </c>
      <c r="F2241" s="6">
        <v>52869</v>
      </c>
      <c r="G2241" s="6">
        <v>1</v>
      </c>
      <c r="H2241" s="6">
        <v>1</v>
      </c>
      <c r="I2241" s="6">
        <f t="shared" si="34"/>
        <v>2</v>
      </c>
      <c r="J2241" s="9">
        <v>41197</v>
      </c>
      <c r="K2241" s="6">
        <v>40</v>
      </c>
      <c r="L2241">
        <f>VLOOKUP(A2241,Marketing_df2!$A$1:$F$2241,3,FALSE)</f>
        <v>3</v>
      </c>
      <c r="M2241">
        <f>VLOOKUP(A2241,Marketing_df2!$A$1:$F$2241,4,FALSE)</f>
        <v>1</v>
      </c>
      <c r="N2241">
        <f>VLOOKUP(A2241,Marketing_df2!$A$1:$F$2241,5,FALSE)</f>
        <v>3</v>
      </c>
      <c r="O2241">
        <f>VLOOKUP(A2241,Marketing_df2!$A$1:$F$2241,6,FALSE)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C3E2-75DA-A745-A48F-AEBF4805EED4}">
  <sheetPr>
    <outlinePr summaryBelow="0" summaryRight="0"/>
  </sheetPr>
  <dimension ref="A1:T2245"/>
  <sheetViews>
    <sheetView tabSelected="1" zoomScale="55" zoomScaleNormal="80" workbookViewId="0">
      <pane ySplit="1" topLeftCell="A2195" activePane="bottomLeft" state="frozen"/>
      <selection pane="bottomLeft" activeCell="L2210" sqref="L2210"/>
    </sheetView>
  </sheetViews>
  <sheetFormatPr defaultColWidth="12.6328125" defaultRowHeight="15.75" customHeight="1"/>
  <cols>
    <col min="4" max="4" width="13.6328125" customWidth="1"/>
    <col min="6" max="6" width="15.1796875" customWidth="1"/>
    <col min="8" max="8" width="17.6328125" customWidth="1"/>
    <col min="11" max="11" width="20.6328125" bestFit="1" customWidth="1"/>
    <col min="12" max="12" width="14" customWidth="1"/>
    <col min="13" max="13" width="17.1796875" bestFit="1" customWidth="1"/>
    <col min="16" max="16" width="18.6328125" customWidth="1"/>
    <col min="17" max="17" width="16.453125" customWidth="1"/>
    <col min="18" max="18" width="19.453125" customWidth="1"/>
    <col min="19" max="19" width="20.36328125" customWidth="1"/>
    <col min="20" max="20" width="17.453125" bestFit="1" customWidth="1"/>
  </cols>
  <sheetData>
    <row r="1" spans="1:20" ht="15.75" customHeight="1">
      <c r="A1" s="10" t="s">
        <v>27</v>
      </c>
      <c r="B1" s="10" t="s">
        <v>0</v>
      </c>
      <c r="C1" s="10" t="s">
        <v>1</v>
      </c>
      <c r="D1" s="10" t="s">
        <v>28</v>
      </c>
      <c r="E1" s="10" t="s">
        <v>2</v>
      </c>
      <c r="F1" s="10" t="s">
        <v>3</v>
      </c>
      <c r="G1" s="10" t="s">
        <v>4</v>
      </c>
      <c r="H1" s="10" t="s">
        <v>30</v>
      </c>
      <c r="I1" s="10" t="s">
        <v>5</v>
      </c>
      <c r="J1" s="10" t="s">
        <v>6</v>
      </c>
      <c r="K1" s="10" t="s">
        <v>42</v>
      </c>
      <c r="L1" s="10" t="s">
        <v>7</v>
      </c>
      <c r="M1" s="10" t="s">
        <v>29</v>
      </c>
      <c r="N1" s="10" t="s">
        <v>8</v>
      </c>
      <c r="O1" s="10" t="s">
        <v>22</v>
      </c>
      <c r="P1" s="10" t="s">
        <v>23</v>
      </c>
      <c r="Q1" s="10" t="s">
        <v>41</v>
      </c>
      <c r="R1" s="10" t="s">
        <v>24</v>
      </c>
      <c r="S1" s="10" t="s">
        <v>25</v>
      </c>
      <c r="T1" s="10" t="s">
        <v>38</v>
      </c>
    </row>
    <row r="2" spans="1:20" ht="15.75" customHeight="1">
      <c r="A2" s="6">
        <v>0</v>
      </c>
      <c r="B2" s="6">
        <v>5524</v>
      </c>
      <c r="C2" s="6">
        <v>1957</v>
      </c>
      <c r="D2" s="6">
        <f>2025-C2</f>
        <v>68</v>
      </c>
      <c r="E2" s="7" t="s">
        <v>9</v>
      </c>
      <c r="F2" s="7" t="s">
        <v>10</v>
      </c>
      <c r="G2" s="6">
        <v>58138</v>
      </c>
      <c r="H2" s="6" t="str" cm="1">
        <f t="array" ref="H2">_xlfn.IFS(
  G2 &lt; 25000, "Low",
  AND(G2 &gt;= 25000, G2 &lt; 75000), "Medium",
  AND(G2 &gt;= 75000, G2 &lt; 150000), "High",
  G2 &gt;= 150000, "Very High"
)</f>
        <v>Medium</v>
      </c>
      <c r="I2" s="6">
        <v>0</v>
      </c>
      <c r="J2" s="6">
        <v>0</v>
      </c>
      <c r="K2" s="6">
        <f>I2+J2</f>
        <v>0</v>
      </c>
      <c r="L2" s="8">
        <v>41156</v>
      </c>
      <c r="M2" t="str">
        <f ca="1">DATEDIF(L2, TODAY(), "Y") &amp; " years, " &amp; DATEDIF(L2, TODAY(), "YM") &amp; " months"</f>
        <v>13 years, 6 months</v>
      </c>
      <c r="N2" s="6">
        <v>58</v>
      </c>
      <c r="O2">
        <v>88</v>
      </c>
      <c r="P2">
        <v>88</v>
      </c>
      <c r="Q2">
        <f>O2+P2</f>
        <v>176</v>
      </c>
      <c r="R2">
        <v>8</v>
      </c>
      <c r="S2">
        <v>4</v>
      </c>
      <c r="T2">
        <f>Table[[#This Row],[NumWebPurchases]]+Table[[#This Row],[NumStorePurchases]]</f>
        <v>12</v>
      </c>
    </row>
    <row r="3" spans="1:20" ht="15.75" customHeight="1">
      <c r="A3" s="6">
        <v>1</v>
      </c>
      <c r="B3" s="6">
        <v>2174</v>
      </c>
      <c r="C3" s="6">
        <v>1954</v>
      </c>
      <c r="D3" s="6">
        <f t="shared" ref="D3:D66" si="0">2025-C3</f>
        <v>71</v>
      </c>
      <c r="E3" s="7" t="s">
        <v>9</v>
      </c>
      <c r="F3" s="7" t="s">
        <v>10</v>
      </c>
      <c r="G3" s="6">
        <v>46344</v>
      </c>
      <c r="H3" s="6" t="str" cm="1">
        <f t="array" ref="H3">_xlfn.IFS(
  G3 &lt; 25000, "Low",
  AND(G3 &gt;= 25000, G3 &lt; 75000), "Medium",
  AND(G3 &gt;= 75000, G3 &lt; 150000), "High",
  G3 &gt;= 150000, "Very High"
)</f>
        <v>Medium</v>
      </c>
      <c r="I3" s="6">
        <v>1</v>
      </c>
      <c r="J3" s="6">
        <v>1</v>
      </c>
      <c r="K3" s="6">
        <f t="shared" ref="K3:K66" si="1">I3+J3</f>
        <v>2</v>
      </c>
      <c r="L3" s="8">
        <v>41706</v>
      </c>
      <c r="M3" t="str">
        <f t="shared" ref="M3:M66" ca="1" si="2">DATEDIF(L3, TODAY(), "Y") &amp; " years, " &amp; DATEDIF(L3, TODAY(), "YM") &amp; " months"</f>
        <v>11 years, 11 months</v>
      </c>
      <c r="N3" s="6">
        <v>38</v>
      </c>
      <c r="O3">
        <v>1</v>
      </c>
      <c r="P3">
        <v>1</v>
      </c>
      <c r="Q3">
        <f t="shared" ref="Q3:Q66" si="3">O3+P3</f>
        <v>2</v>
      </c>
      <c r="R3">
        <v>1</v>
      </c>
      <c r="S3">
        <v>2</v>
      </c>
      <c r="T3">
        <f>Table[[#This Row],[NumWebPurchases]]+Table[[#This Row],[NumStorePurchases]]</f>
        <v>3</v>
      </c>
    </row>
    <row r="4" spans="1:20" ht="15.75" customHeight="1">
      <c r="A4" s="6">
        <v>2</v>
      </c>
      <c r="B4" s="6">
        <v>4141</v>
      </c>
      <c r="C4" s="6">
        <v>1965</v>
      </c>
      <c r="D4" s="6">
        <f t="shared" si="0"/>
        <v>60</v>
      </c>
      <c r="E4" s="7" t="s">
        <v>9</v>
      </c>
      <c r="F4" s="7" t="s">
        <v>11</v>
      </c>
      <c r="G4" s="6">
        <v>71613</v>
      </c>
      <c r="H4" s="6" t="str" cm="1">
        <f t="array" ref="H4">_xlfn.IFS(
  G4 &lt; 25000, "Low",
  AND(G4 &gt;= 25000, G4 &lt; 75000), "Medium",
  AND(G4 &gt;= 75000, G4 &lt; 150000), "High",
  G4 &gt;= 150000, "Very High"
)</f>
        <v>Medium</v>
      </c>
      <c r="I4" s="6">
        <v>0</v>
      </c>
      <c r="J4" s="6">
        <v>0</v>
      </c>
      <c r="K4" s="6">
        <f t="shared" si="1"/>
        <v>0</v>
      </c>
      <c r="L4" s="8">
        <v>41507</v>
      </c>
      <c r="M4" t="str">
        <f t="shared" ca="1" si="2"/>
        <v>12 years, 6 months</v>
      </c>
      <c r="N4" s="6">
        <v>26</v>
      </c>
      <c r="O4">
        <v>49</v>
      </c>
      <c r="P4">
        <v>21</v>
      </c>
      <c r="Q4">
        <f t="shared" si="3"/>
        <v>70</v>
      </c>
      <c r="R4">
        <v>8</v>
      </c>
      <c r="S4">
        <v>10</v>
      </c>
      <c r="T4">
        <f>Table[[#This Row],[NumWebPurchases]]+Table[[#This Row],[NumStorePurchases]]</f>
        <v>18</v>
      </c>
    </row>
    <row r="5" spans="1:20" ht="15.75" customHeight="1">
      <c r="A5" s="6">
        <v>3</v>
      </c>
      <c r="B5" s="6">
        <v>6182</v>
      </c>
      <c r="C5" s="6">
        <v>1984</v>
      </c>
      <c r="D5" s="6">
        <f t="shared" si="0"/>
        <v>41</v>
      </c>
      <c r="E5" s="7" t="s">
        <v>9</v>
      </c>
      <c r="F5" s="7" t="s">
        <v>11</v>
      </c>
      <c r="G5" s="6">
        <v>26646</v>
      </c>
      <c r="H5" s="6" t="str" cm="1">
        <f t="array" ref="H5">_xlfn.IFS(
  G5 &lt; 25000, "Low",
  AND(G5 &gt;= 25000, G5 &lt; 75000), "Medium",
  AND(G5 &gt;= 75000, G5 &lt; 150000), "High",
  G5 &gt;= 150000, "Very High"
)</f>
        <v>Medium</v>
      </c>
      <c r="I5" s="6">
        <v>1</v>
      </c>
      <c r="J5" s="6">
        <v>0</v>
      </c>
      <c r="K5" s="6">
        <f t="shared" si="1"/>
        <v>1</v>
      </c>
      <c r="L5" s="8">
        <v>41680</v>
      </c>
      <c r="M5" t="str">
        <f t="shared" ca="1" si="2"/>
        <v>12 years, 0 months</v>
      </c>
      <c r="N5" s="6">
        <v>26</v>
      </c>
      <c r="O5">
        <v>4</v>
      </c>
      <c r="P5">
        <v>3</v>
      </c>
      <c r="Q5">
        <f t="shared" si="3"/>
        <v>7</v>
      </c>
      <c r="R5">
        <v>2</v>
      </c>
      <c r="S5">
        <v>4</v>
      </c>
      <c r="T5">
        <f>Table[[#This Row],[NumWebPurchases]]+Table[[#This Row],[NumStorePurchases]]</f>
        <v>6</v>
      </c>
    </row>
    <row r="6" spans="1:20" ht="15.75" customHeight="1">
      <c r="A6" s="6">
        <v>4</v>
      </c>
      <c r="B6" s="6">
        <v>5324</v>
      </c>
      <c r="C6" s="6">
        <v>1981</v>
      </c>
      <c r="D6" s="6">
        <f t="shared" si="0"/>
        <v>44</v>
      </c>
      <c r="E6" s="7" t="s">
        <v>12</v>
      </c>
      <c r="F6" s="7" t="s">
        <v>13</v>
      </c>
      <c r="G6" s="6">
        <v>58293</v>
      </c>
      <c r="H6" s="6" t="str" cm="1">
        <f t="array" ref="H6">_xlfn.IFS(
  G6 &lt; 25000, "Low",
  AND(G6 &gt;= 25000, G6 &lt; 75000), "Medium",
  AND(G6 &gt;= 75000, G6 &lt; 150000), "High",
  G6 &gt;= 150000, "Very High"
)</f>
        <v>Medium</v>
      </c>
      <c r="I6" s="6">
        <v>1</v>
      </c>
      <c r="J6" s="6">
        <v>0</v>
      </c>
      <c r="K6" s="6">
        <f t="shared" si="1"/>
        <v>1</v>
      </c>
      <c r="L6" s="8">
        <v>41658</v>
      </c>
      <c r="M6" t="str">
        <f t="shared" ca="1" si="2"/>
        <v>12 years, 1 months</v>
      </c>
      <c r="N6" s="6">
        <v>94</v>
      </c>
      <c r="O6">
        <v>43</v>
      </c>
      <c r="P6">
        <v>27</v>
      </c>
      <c r="Q6">
        <f t="shared" si="3"/>
        <v>70</v>
      </c>
      <c r="R6">
        <v>5</v>
      </c>
      <c r="S6">
        <v>6</v>
      </c>
      <c r="T6">
        <f>Table[[#This Row],[NumWebPurchases]]+Table[[#This Row],[NumStorePurchases]]</f>
        <v>11</v>
      </c>
    </row>
    <row r="7" spans="1:20" ht="15.75" customHeight="1">
      <c r="A7" s="6">
        <v>5</v>
      </c>
      <c r="B7" s="6">
        <v>7446</v>
      </c>
      <c r="C7" s="6">
        <v>1967</v>
      </c>
      <c r="D7" s="6">
        <f t="shared" si="0"/>
        <v>58</v>
      </c>
      <c r="E7" s="7" t="s">
        <v>14</v>
      </c>
      <c r="F7" s="7" t="s">
        <v>11</v>
      </c>
      <c r="G7" s="6">
        <v>62513</v>
      </c>
      <c r="H7" s="6" t="str" cm="1">
        <f t="array" ref="H7">_xlfn.IFS(
  G7 &lt; 25000, "Low",
  AND(G7 &gt;= 25000, G7 &lt; 75000), "Medium",
  AND(G7 &gt;= 75000, G7 &lt; 150000), "High",
  G7 &gt;= 150000, "Very High"
)</f>
        <v>Medium</v>
      </c>
      <c r="I7" s="6">
        <v>0</v>
      </c>
      <c r="J7" s="6">
        <v>1</v>
      </c>
      <c r="K7" s="6">
        <f t="shared" si="1"/>
        <v>1</v>
      </c>
      <c r="L7" s="8">
        <v>41526</v>
      </c>
      <c r="M7" t="str">
        <f t="shared" ca="1" si="2"/>
        <v>12 years, 5 months</v>
      </c>
      <c r="N7" s="6">
        <v>16</v>
      </c>
      <c r="O7">
        <v>42</v>
      </c>
      <c r="P7">
        <v>42</v>
      </c>
      <c r="Q7">
        <f t="shared" si="3"/>
        <v>84</v>
      </c>
      <c r="R7">
        <v>6</v>
      </c>
      <c r="S7">
        <v>10</v>
      </c>
      <c r="T7">
        <f>Table[[#This Row],[NumWebPurchases]]+Table[[#This Row],[NumStorePurchases]]</f>
        <v>16</v>
      </c>
    </row>
    <row r="8" spans="1:20" ht="15.75" customHeight="1">
      <c r="A8" s="6">
        <v>6</v>
      </c>
      <c r="B8" s="6">
        <v>965</v>
      </c>
      <c r="C8" s="6">
        <v>1971</v>
      </c>
      <c r="D8" s="6">
        <f t="shared" si="0"/>
        <v>54</v>
      </c>
      <c r="E8" s="7" t="s">
        <v>9</v>
      </c>
      <c r="F8" s="7" t="s">
        <v>15</v>
      </c>
      <c r="G8" s="6">
        <v>55635</v>
      </c>
      <c r="H8" s="6" t="str" cm="1">
        <f t="array" ref="H8">_xlfn.IFS(
  G8 &lt; 25000, "Low",
  AND(G8 &gt;= 25000, G8 &lt; 75000), "Medium",
  AND(G8 &gt;= 75000, G8 &lt; 150000), "High",
  G8 &gt;= 150000, "Very High"
)</f>
        <v>Medium</v>
      </c>
      <c r="I8" s="6">
        <v>0</v>
      </c>
      <c r="J8" s="6">
        <v>1</v>
      </c>
      <c r="K8" s="6">
        <f t="shared" si="1"/>
        <v>1</v>
      </c>
      <c r="L8" s="9">
        <v>41226</v>
      </c>
      <c r="M8" t="str">
        <f t="shared" ca="1" si="2"/>
        <v>13 years, 3 months</v>
      </c>
      <c r="N8" s="6">
        <v>34</v>
      </c>
      <c r="O8">
        <v>65</v>
      </c>
      <c r="P8">
        <v>49</v>
      </c>
      <c r="Q8">
        <f t="shared" si="3"/>
        <v>114</v>
      </c>
      <c r="R8">
        <v>7</v>
      </c>
      <c r="S8">
        <v>7</v>
      </c>
      <c r="T8">
        <f>Table[[#This Row],[NumWebPurchases]]+Table[[#This Row],[NumStorePurchases]]</f>
        <v>14</v>
      </c>
    </row>
    <row r="9" spans="1:20" ht="15.75" customHeight="1">
      <c r="A9" s="6">
        <v>7</v>
      </c>
      <c r="B9" s="6">
        <v>6177</v>
      </c>
      <c r="C9" s="6">
        <v>1985</v>
      </c>
      <c r="D9" s="6">
        <f t="shared" si="0"/>
        <v>40</v>
      </c>
      <c r="E9" s="7" t="s">
        <v>12</v>
      </c>
      <c r="F9" s="7" t="s">
        <v>13</v>
      </c>
      <c r="G9" s="6">
        <v>33454</v>
      </c>
      <c r="H9" s="6" t="str" cm="1">
        <f t="array" ref="H9">_xlfn.IFS(
  G9 &lt; 25000, "Low",
  AND(G9 &gt;= 25000, G9 &lt; 75000), "Medium",
  AND(G9 &gt;= 75000, G9 &lt; 150000), "High",
  G9 &gt;= 150000, "Very High"
)</f>
        <v>Medium</v>
      </c>
      <c r="I9" s="6">
        <v>1</v>
      </c>
      <c r="J9" s="6">
        <v>0</v>
      </c>
      <c r="K9" s="6">
        <f t="shared" si="1"/>
        <v>1</v>
      </c>
      <c r="L9" s="8">
        <v>41402</v>
      </c>
      <c r="M9" t="str">
        <f t="shared" ca="1" si="2"/>
        <v>12 years, 9 months</v>
      </c>
      <c r="N9" s="6">
        <v>32</v>
      </c>
      <c r="O9">
        <v>10</v>
      </c>
      <c r="P9">
        <v>1</v>
      </c>
      <c r="Q9">
        <f t="shared" si="3"/>
        <v>11</v>
      </c>
      <c r="R9">
        <v>4</v>
      </c>
      <c r="S9">
        <v>4</v>
      </c>
      <c r="T9">
        <f>Table[[#This Row],[NumWebPurchases]]+Table[[#This Row],[NumStorePurchases]]</f>
        <v>8</v>
      </c>
    </row>
    <row r="10" spans="1:20" ht="15.75" customHeight="1">
      <c r="A10" s="6">
        <v>8</v>
      </c>
      <c r="B10" s="6">
        <v>4855</v>
      </c>
      <c r="C10" s="6">
        <v>1974</v>
      </c>
      <c r="D10" s="6">
        <f t="shared" si="0"/>
        <v>51</v>
      </c>
      <c r="E10" s="7" t="s">
        <v>12</v>
      </c>
      <c r="F10" s="7" t="s">
        <v>11</v>
      </c>
      <c r="G10" s="6">
        <v>30351</v>
      </c>
      <c r="H10" s="6" t="str" cm="1">
        <f t="array" ref="H10">_xlfn.IFS(
  G10 &lt; 25000, "Low",
  AND(G10 &gt;= 25000, G10 &lt; 75000), "Medium",
  AND(G10 &gt;= 75000, G10 &lt; 150000), "High",
  G10 &gt;= 150000, "Very High"
)</f>
        <v>Medium</v>
      </c>
      <c r="I10" s="6">
        <v>1</v>
      </c>
      <c r="J10" s="6">
        <v>0</v>
      </c>
      <c r="K10" s="6">
        <f t="shared" si="1"/>
        <v>1</v>
      </c>
      <c r="L10" s="8">
        <v>41431</v>
      </c>
      <c r="M10" t="str">
        <f t="shared" ca="1" si="2"/>
        <v>12 years, 9 months</v>
      </c>
      <c r="N10" s="6">
        <v>19</v>
      </c>
      <c r="O10">
        <v>0</v>
      </c>
      <c r="P10">
        <v>3</v>
      </c>
      <c r="Q10">
        <f t="shared" si="3"/>
        <v>3</v>
      </c>
      <c r="R10">
        <v>3</v>
      </c>
      <c r="S10">
        <v>2</v>
      </c>
      <c r="T10">
        <f>Table[[#This Row],[NumWebPurchases]]+Table[[#This Row],[NumStorePurchases]]</f>
        <v>5</v>
      </c>
    </row>
    <row r="11" spans="1:20" ht="15.75" customHeight="1">
      <c r="A11" s="6">
        <v>9</v>
      </c>
      <c r="B11" s="6">
        <v>5899</v>
      </c>
      <c r="C11" s="6">
        <v>1950</v>
      </c>
      <c r="D11" s="6">
        <f t="shared" si="0"/>
        <v>75</v>
      </c>
      <c r="E11" s="7" t="s">
        <v>12</v>
      </c>
      <c r="F11" s="7" t="s">
        <v>11</v>
      </c>
      <c r="G11" s="6">
        <v>5648</v>
      </c>
      <c r="H11" s="6" t="str" cm="1">
        <f t="array" ref="H11">_xlfn.IFS(
  G11 &lt; 25000, "Low",
  AND(G11 &gt;= 25000, G11 &lt; 75000), "Medium",
  AND(G11 &gt;= 75000, G11 &lt; 150000), "High",
  G11 &gt;= 150000, "Very High"
)</f>
        <v>Low</v>
      </c>
      <c r="I11" s="6">
        <v>1</v>
      </c>
      <c r="J11" s="6">
        <v>1</v>
      </c>
      <c r="K11" s="6">
        <f t="shared" si="1"/>
        <v>2</v>
      </c>
      <c r="L11" s="8">
        <v>41711</v>
      </c>
      <c r="M11" t="str">
        <f t="shared" ca="1" si="2"/>
        <v>11 years, 11 months</v>
      </c>
      <c r="N11" s="6">
        <v>68</v>
      </c>
      <c r="O11">
        <v>0</v>
      </c>
      <c r="P11">
        <v>1</v>
      </c>
      <c r="Q11">
        <f t="shared" si="3"/>
        <v>1</v>
      </c>
      <c r="R11">
        <v>1</v>
      </c>
      <c r="S11">
        <v>0</v>
      </c>
      <c r="T11">
        <f>Table[[#This Row],[NumWebPurchases]]+Table[[#This Row],[NumStorePurchases]]</f>
        <v>1</v>
      </c>
    </row>
    <row r="12" spans="1:20" ht="15.75" customHeight="1">
      <c r="A12" s="6">
        <v>10</v>
      </c>
      <c r="B12" s="6">
        <v>1994</v>
      </c>
      <c r="C12" s="6">
        <v>1983</v>
      </c>
      <c r="D12" s="6">
        <f t="shared" si="0"/>
        <v>42</v>
      </c>
      <c r="E12" s="7" t="s">
        <v>9</v>
      </c>
      <c r="F12" s="7" t="s">
        <v>13</v>
      </c>
      <c r="G12" s="7">
        <v>51371</v>
      </c>
      <c r="H12" s="6" t="str" cm="1">
        <f t="array" ref="H12">_xlfn.IFS(
  G12 &lt; 25000, "Low",
  AND(G12 &gt;= 25000, G12 &lt; 75000), "Medium",
  AND(G12 &gt;= 75000, G12 &lt; 150000), "High",
  G12 &gt;= 150000, "Very High"
)</f>
        <v>Medium</v>
      </c>
      <c r="I12" s="6">
        <v>1</v>
      </c>
      <c r="J12" s="6">
        <v>0</v>
      </c>
      <c r="K12" s="6">
        <f t="shared" si="1"/>
        <v>1</v>
      </c>
      <c r="L12" s="9">
        <v>41593</v>
      </c>
      <c r="M12" t="str">
        <f t="shared" ca="1" si="2"/>
        <v>12 years, 3 months</v>
      </c>
      <c r="N12" s="6">
        <v>11</v>
      </c>
      <c r="O12">
        <v>5</v>
      </c>
      <c r="P12">
        <v>2</v>
      </c>
      <c r="Q12">
        <f t="shared" si="3"/>
        <v>7</v>
      </c>
      <c r="R12">
        <v>1</v>
      </c>
      <c r="S12">
        <v>2</v>
      </c>
      <c r="T12">
        <f>Table[[#This Row],[NumWebPurchases]]+Table[[#This Row],[NumStorePurchases]]</f>
        <v>3</v>
      </c>
    </row>
    <row r="13" spans="1:20" ht="15.75" customHeight="1">
      <c r="A13" s="6">
        <v>11</v>
      </c>
      <c r="B13" s="6">
        <v>387</v>
      </c>
      <c r="C13" s="6">
        <v>1976</v>
      </c>
      <c r="D13" s="6">
        <f t="shared" si="0"/>
        <v>49</v>
      </c>
      <c r="E13" s="7" t="s">
        <v>16</v>
      </c>
      <c r="F13" s="7" t="s">
        <v>13</v>
      </c>
      <c r="G13" s="6">
        <v>7500</v>
      </c>
      <c r="H13" s="6" t="str" cm="1">
        <f t="array" ref="H13">_xlfn.IFS(
  G13 &lt; 25000, "Low",
  AND(G13 &gt;= 25000, G13 &lt; 75000), "Medium",
  AND(G13 &gt;= 75000, G13 &lt; 150000), "High",
  G13 &gt;= 150000, "Very High"
)</f>
        <v>Low</v>
      </c>
      <c r="I13" s="6">
        <v>0</v>
      </c>
      <c r="J13" s="6">
        <v>0</v>
      </c>
      <c r="K13" s="6">
        <f t="shared" si="1"/>
        <v>0</v>
      </c>
      <c r="L13" s="9">
        <v>41226</v>
      </c>
      <c r="M13" t="str">
        <f t="shared" ca="1" si="2"/>
        <v>13 years, 3 months</v>
      </c>
      <c r="N13" s="6">
        <v>59</v>
      </c>
      <c r="O13">
        <v>16</v>
      </c>
      <c r="P13">
        <v>1</v>
      </c>
      <c r="Q13">
        <f t="shared" si="3"/>
        <v>17</v>
      </c>
      <c r="R13">
        <v>2</v>
      </c>
      <c r="S13">
        <v>3</v>
      </c>
      <c r="T13">
        <f>Table[[#This Row],[NumWebPurchases]]+Table[[#This Row],[NumStorePurchases]]</f>
        <v>5</v>
      </c>
    </row>
    <row r="14" spans="1:20" ht="15.75" customHeight="1">
      <c r="A14" s="6">
        <v>12</v>
      </c>
      <c r="B14" s="6">
        <v>2125</v>
      </c>
      <c r="C14" s="6">
        <v>1959</v>
      </c>
      <c r="D14" s="6">
        <f t="shared" si="0"/>
        <v>66</v>
      </c>
      <c r="E14" s="7" t="s">
        <v>9</v>
      </c>
      <c r="F14" s="7" t="s">
        <v>15</v>
      </c>
      <c r="G14" s="6">
        <v>63033</v>
      </c>
      <c r="H14" s="6" t="str" cm="1">
        <f t="array" ref="H14">_xlfn.IFS(
  G14 &lt; 25000, "Low",
  AND(G14 &gt;= 25000, G14 &lt; 75000), "Medium",
  AND(G14 &gt;= 75000, G14 &lt; 150000), "High",
  G14 &gt;= 150000, "Very High"
)</f>
        <v>Medium</v>
      </c>
      <c r="I14" s="6">
        <v>0</v>
      </c>
      <c r="J14" s="6">
        <v>0</v>
      </c>
      <c r="K14" s="6">
        <f t="shared" si="1"/>
        <v>0</v>
      </c>
      <c r="L14" s="9">
        <v>41593</v>
      </c>
      <c r="M14" t="str">
        <f t="shared" ca="1" si="2"/>
        <v>12 years, 3 months</v>
      </c>
      <c r="N14" s="6">
        <v>82</v>
      </c>
      <c r="O14">
        <v>61</v>
      </c>
      <c r="P14">
        <v>112</v>
      </c>
      <c r="Q14">
        <f t="shared" si="3"/>
        <v>173</v>
      </c>
      <c r="R14">
        <v>3</v>
      </c>
      <c r="S14">
        <v>8</v>
      </c>
      <c r="T14">
        <f>Table[[#This Row],[NumWebPurchases]]+Table[[#This Row],[NumStorePurchases]]</f>
        <v>11</v>
      </c>
    </row>
    <row r="15" spans="1:20" ht="15.75" customHeight="1">
      <c r="A15" s="6">
        <v>13</v>
      </c>
      <c r="B15" s="6">
        <v>8180</v>
      </c>
      <c r="C15" s="6">
        <v>1952</v>
      </c>
      <c r="D15" s="6">
        <f t="shared" si="0"/>
        <v>73</v>
      </c>
      <c r="E15" s="7" t="s">
        <v>14</v>
      </c>
      <c r="F15" s="7" t="s">
        <v>15</v>
      </c>
      <c r="G15" s="6">
        <v>59354</v>
      </c>
      <c r="H15" s="6" t="str" cm="1">
        <f t="array" ref="H15">_xlfn.IFS(
  G15 &lt; 25000, "Low",
  AND(G15 &gt;= 25000, G15 &lt; 75000), "Medium",
  AND(G15 &gt;= 75000, G15 &lt; 150000), "High",
  G15 &gt;= 150000, "Very High"
)</f>
        <v>Medium</v>
      </c>
      <c r="I15" s="6">
        <v>1</v>
      </c>
      <c r="J15" s="6">
        <v>1</v>
      </c>
      <c r="K15" s="6">
        <f t="shared" si="1"/>
        <v>2</v>
      </c>
      <c r="L15" s="9">
        <v>41593</v>
      </c>
      <c r="M15" t="str">
        <f t="shared" ca="1" si="2"/>
        <v>12 years, 3 months</v>
      </c>
      <c r="N15" s="6">
        <v>53</v>
      </c>
      <c r="O15">
        <v>2</v>
      </c>
      <c r="P15">
        <v>5</v>
      </c>
      <c r="Q15">
        <f t="shared" si="3"/>
        <v>7</v>
      </c>
      <c r="R15">
        <v>6</v>
      </c>
      <c r="S15">
        <v>5</v>
      </c>
      <c r="T15">
        <f>Table[[#This Row],[NumWebPurchases]]+Table[[#This Row],[NumStorePurchases]]</f>
        <v>11</v>
      </c>
    </row>
    <row r="16" spans="1:20" ht="15.75" customHeight="1">
      <c r="A16" s="6">
        <v>14</v>
      </c>
      <c r="B16" s="6">
        <v>2569</v>
      </c>
      <c r="C16" s="6">
        <v>1987</v>
      </c>
      <c r="D16" s="6">
        <f t="shared" si="0"/>
        <v>38</v>
      </c>
      <c r="E16" s="7" t="s">
        <v>9</v>
      </c>
      <c r="F16" s="7" t="s">
        <v>13</v>
      </c>
      <c r="G16" s="6">
        <v>17323</v>
      </c>
      <c r="H16" s="6" t="str" cm="1">
        <f t="array" ref="H16">_xlfn.IFS(
  G16 &lt; 25000, "Low",
  AND(G16 &gt;= 25000, G16 &lt; 75000), "Medium",
  AND(G16 &gt;= 75000, G16 &lt; 150000), "High",
  G16 &gt;= 150000, "Very High"
)</f>
        <v>Low</v>
      </c>
      <c r="I16" s="6">
        <v>0</v>
      </c>
      <c r="J16" s="6">
        <v>0</v>
      </c>
      <c r="K16" s="6">
        <f t="shared" si="1"/>
        <v>0</v>
      </c>
      <c r="L16" s="9">
        <v>41192</v>
      </c>
      <c r="M16" t="str">
        <f t="shared" ca="1" si="2"/>
        <v>13 years, 4 months</v>
      </c>
      <c r="N16" s="6">
        <v>38</v>
      </c>
      <c r="O16">
        <v>14</v>
      </c>
      <c r="P16">
        <v>1</v>
      </c>
      <c r="Q16">
        <f t="shared" si="3"/>
        <v>15</v>
      </c>
      <c r="R16">
        <v>1</v>
      </c>
      <c r="S16">
        <v>3</v>
      </c>
      <c r="T16">
        <f>Table[[#This Row],[NumWebPurchases]]+Table[[#This Row],[NumStorePurchases]]</f>
        <v>4</v>
      </c>
    </row>
    <row r="17" spans="1:20" ht="15.75" customHeight="1">
      <c r="A17" s="6">
        <v>15</v>
      </c>
      <c r="B17" s="6">
        <v>2114</v>
      </c>
      <c r="C17" s="6">
        <v>1946</v>
      </c>
      <c r="D17" s="6">
        <f t="shared" si="0"/>
        <v>79</v>
      </c>
      <c r="E17" s="7" t="s">
        <v>12</v>
      </c>
      <c r="F17" s="7" t="s">
        <v>10</v>
      </c>
      <c r="G17" s="6">
        <v>82800</v>
      </c>
      <c r="H17" s="6" t="str" cm="1">
        <f t="array" ref="H17">_xlfn.IFS(
  G17 &lt; 25000, "Low",
  AND(G17 &gt;= 25000, G17 &lt; 75000), "Medium",
  AND(G17 &gt;= 75000, G17 &lt; 150000), "High",
  G17 &gt;= 150000, "Very High"
)</f>
        <v>High</v>
      </c>
      <c r="I17" s="6">
        <v>0</v>
      </c>
      <c r="J17" s="6">
        <v>0</v>
      </c>
      <c r="K17" s="6">
        <f t="shared" si="1"/>
        <v>0</v>
      </c>
      <c r="L17" s="9">
        <v>41237</v>
      </c>
      <c r="M17" t="str">
        <f t="shared" ca="1" si="2"/>
        <v>13 years, 3 months</v>
      </c>
      <c r="N17" s="6">
        <v>23</v>
      </c>
      <c r="O17">
        <v>22</v>
      </c>
      <c r="P17">
        <v>68</v>
      </c>
      <c r="Q17">
        <f t="shared" si="3"/>
        <v>90</v>
      </c>
      <c r="R17">
        <v>7</v>
      </c>
      <c r="S17">
        <v>12</v>
      </c>
      <c r="T17">
        <f>Table[[#This Row],[NumWebPurchases]]+Table[[#This Row],[NumStorePurchases]]</f>
        <v>19</v>
      </c>
    </row>
    <row r="18" spans="1:20" ht="15.75" customHeight="1">
      <c r="A18" s="6">
        <v>16</v>
      </c>
      <c r="B18" s="6">
        <v>9736</v>
      </c>
      <c r="C18" s="6">
        <v>1980</v>
      </c>
      <c r="D18" s="6">
        <f t="shared" si="0"/>
        <v>45</v>
      </c>
      <c r="E18" s="7" t="s">
        <v>9</v>
      </c>
      <c r="F18" s="7" t="s">
        <v>13</v>
      </c>
      <c r="G18" s="6">
        <v>41850</v>
      </c>
      <c r="H18" s="6" t="str" cm="1">
        <f t="array" ref="H18">_xlfn.IFS(
  G18 &lt; 25000, "Low",
  AND(G18 &gt;= 25000, G18 &lt; 75000), "Medium",
  AND(G18 &gt;= 75000, G18 &lt; 150000), "High",
  G18 &gt;= 150000, "Very High"
)</f>
        <v>Medium</v>
      </c>
      <c r="I18" s="6">
        <v>1</v>
      </c>
      <c r="J18" s="6">
        <v>1</v>
      </c>
      <c r="K18" s="6">
        <f t="shared" si="1"/>
        <v>2</v>
      </c>
      <c r="L18" s="9">
        <v>41267</v>
      </c>
      <c r="M18" t="str">
        <f t="shared" ca="1" si="2"/>
        <v>13 years, 2 months</v>
      </c>
      <c r="N18" s="6">
        <v>51</v>
      </c>
      <c r="O18">
        <v>5</v>
      </c>
      <c r="P18">
        <v>13</v>
      </c>
      <c r="Q18">
        <f t="shared" si="3"/>
        <v>18</v>
      </c>
      <c r="R18">
        <v>3</v>
      </c>
      <c r="S18">
        <v>3</v>
      </c>
      <c r="T18">
        <f>Table[[#This Row],[NumWebPurchases]]+Table[[#This Row],[NumStorePurchases]]</f>
        <v>6</v>
      </c>
    </row>
    <row r="19" spans="1:20" ht="15.75" customHeight="1">
      <c r="A19" s="6">
        <v>17</v>
      </c>
      <c r="B19" s="6">
        <v>4939</v>
      </c>
      <c r="C19" s="6">
        <v>1946</v>
      </c>
      <c r="D19" s="6">
        <f t="shared" si="0"/>
        <v>79</v>
      </c>
      <c r="E19" s="7" t="s">
        <v>9</v>
      </c>
      <c r="F19" s="7" t="s">
        <v>11</v>
      </c>
      <c r="G19" s="6">
        <v>37760</v>
      </c>
      <c r="H19" s="6" t="str" cm="1">
        <f t="array" ref="H19">_xlfn.IFS(
  G19 &lt; 25000, "Low",
  AND(G19 &gt;= 25000, G19 &lt; 75000), "Medium",
  AND(G19 &gt;= 75000, G19 &lt; 150000), "High",
  G19 &gt;= 150000, "Very High"
)</f>
        <v>Medium</v>
      </c>
      <c r="I19" s="6">
        <v>0</v>
      </c>
      <c r="J19" s="6">
        <v>0</v>
      </c>
      <c r="K19" s="6">
        <f t="shared" si="1"/>
        <v>0</v>
      </c>
      <c r="L19" s="8">
        <v>41152</v>
      </c>
      <c r="M19" t="str">
        <f t="shared" ca="1" si="2"/>
        <v>13 years, 6 months</v>
      </c>
      <c r="N19" s="6">
        <v>20</v>
      </c>
      <c r="O19">
        <v>5</v>
      </c>
      <c r="P19">
        <v>12</v>
      </c>
      <c r="Q19">
        <f t="shared" si="3"/>
        <v>17</v>
      </c>
      <c r="R19">
        <v>4</v>
      </c>
      <c r="S19">
        <v>6</v>
      </c>
      <c r="T19">
        <f>Table[[#This Row],[NumWebPurchases]]+Table[[#This Row],[NumStorePurchases]]</f>
        <v>10</v>
      </c>
    </row>
    <row r="20" spans="1:20" ht="15.75" customHeight="1">
      <c r="A20" s="6">
        <v>18</v>
      </c>
      <c r="B20" s="6">
        <v>6565</v>
      </c>
      <c r="C20" s="6">
        <v>1949</v>
      </c>
      <c r="D20" s="6">
        <f t="shared" si="0"/>
        <v>76</v>
      </c>
      <c r="E20" s="7" t="s">
        <v>14</v>
      </c>
      <c r="F20" s="7" t="s">
        <v>13</v>
      </c>
      <c r="G20" s="6">
        <v>76995</v>
      </c>
      <c r="H20" s="6" t="str" cm="1">
        <f t="array" ref="H20">_xlfn.IFS(
  G20 &lt; 25000, "Low",
  AND(G20 &gt;= 25000, G20 &lt; 75000), "Medium",
  AND(G20 &gt;= 75000, G20 &lt; 150000), "High",
  G20 &gt;= 150000, "Very High"
)</f>
        <v>High</v>
      </c>
      <c r="I20" s="6">
        <v>0</v>
      </c>
      <c r="J20" s="6">
        <v>1</v>
      </c>
      <c r="K20" s="6">
        <f t="shared" si="1"/>
        <v>1</v>
      </c>
      <c r="L20" s="8">
        <v>41361</v>
      </c>
      <c r="M20" t="str">
        <f t="shared" ca="1" si="2"/>
        <v>12 years, 11 months</v>
      </c>
      <c r="N20" s="6">
        <v>91</v>
      </c>
      <c r="O20">
        <v>80</v>
      </c>
      <c r="P20">
        <v>16</v>
      </c>
      <c r="Q20">
        <f t="shared" si="3"/>
        <v>96</v>
      </c>
      <c r="R20">
        <v>11</v>
      </c>
      <c r="S20">
        <v>9</v>
      </c>
      <c r="T20">
        <f>Table[[#This Row],[NumWebPurchases]]+Table[[#This Row],[NumStorePurchases]]</f>
        <v>20</v>
      </c>
    </row>
    <row r="21" spans="1:20" ht="15.75" customHeight="1">
      <c r="A21" s="6">
        <v>19</v>
      </c>
      <c r="B21" s="6">
        <v>2278</v>
      </c>
      <c r="C21" s="6">
        <v>1985</v>
      </c>
      <c r="D21" s="6">
        <f t="shared" si="0"/>
        <v>40</v>
      </c>
      <c r="E21" s="7" t="s">
        <v>17</v>
      </c>
      <c r="F21" s="7" t="s">
        <v>10</v>
      </c>
      <c r="G21" s="6">
        <v>33812</v>
      </c>
      <c r="H21" s="6" t="str" cm="1">
        <f t="array" ref="H21">_xlfn.IFS(
  G21 &lt; 25000, "Low",
  AND(G21 &gt;= 25000, G21 &lt; 75000), "Medium",
  AND(G21 &gt;= 75000, G21 &lt; 150000), "High",
  G21 &gt;= 150000, "Very High"
)</f>
        <v>Medium</v>
      </c>
      <c r="I21" s="6">
        <v>1</v>
      </c>
      <c r="J21" s="6">
        <v>0</v>
      </c>
      <c r="K21" s="6">
        <f t="shared" si="1"/>
        <v>1</v>
      </c>
      <c r="L21" s="8">
        <v>41216</v>
      </c>
      <c r="M21" t="str">
        <f t="shared" ca="1" si="2"/>
        <v>13 years, 4 months</v>
      </c>
      <c r="N21" s="6">
        <v>86</v>
      </c>
      <c r="O21">
        <v>17</v>
      </c>
      <c r="P21">
        <v>24</v>
      </c>
      <c r="Q21">
        <f t="shared" si="3"/>
        <v>41</v>
      </c>
      <c r="R21">
        <v>2</v>
      </c>
      <c r="S21">
        <v>3</v>
      </c>
      <c r="T21">
        <f>Table[[#This Row],[NumWebPurchases]]+Table[[#This Row],[NumStorePurchases]]</f>
        <v>5</v>
      </c>
    </row>
    <row r="22" spans="1:20" ht="15.75" customHeight="1">
      <c r="A22" s="6">
        <v>20</v>
      </c>
      <c r="B22" s="6">
        <v>9360</v>
      </c>
      <c r="C22" s="6">
        <v>1982</v>
      </c>
      <c r="D22" s="6">
        <f t="shared" si="0"/>
        <v>43</v>
      </c>
      <c r="E22" s="7" t="s">
        <v>9</v>
      </c>
      <c r="F22" s="7" t="s">
        <v>13</v>
      </c>
      <c r="G22" s="6">
        <v>37040</v>
      </c>
      <c r="H22" s="6" t="str" cm="1">
        <f t="array" ref="H22">_xlfn.IFS(
  G22 &lt; 25000, "Low",
  AND(G22 &gt;= 25000, G22 &lt; 75000), "Medium",
  AND(G22 &gt;= 75000, G22 &lt; 150000), "High",
  G22 &gt;= 150000, "Very High"
)</f>
        <v>Medium</v>
      </c>
      <c r="I22" s="6">
        <v>0</v>
      </c>
      <c r="J22" s="6">
        <v>0</v>
      </c>
      <c r="K22" s="6">
        <f t="shared" si="1"/>
        <v>0</v>
      </c>
      <c r="L22" s="8">
        <v>41129</v>
      </c>
      <c r="M22" t="str">
        <f t="shared" ca="1" si="2"/>
        <v>13 years, 6 months</v>
      </c>
      <c r="N22" s="6">
        <v>41</v>
      </c>
      <c r="O22">
        <v>2</v>
      </c>
      <c r="P22">
        <v>38</v>
      </c>
      <c r="Q22">
        <f t="shared" si="3"/>
        <v>40</v>
      </c>
      <c r="R22">
        <v>4</v>
      </c>
      <c r="S22">
        <v>5</v>
      </c>
      <c r="T22">
        <f>Table[[#This Row],[NumWebPurchases]]+Table[[#This Row],[NumStorePurchases]]</f>
        <v>9</v>
      </c>
    </row>
    <row r="23" spans="1:20" ht="15.75" customHeight="1">
      <c r="A23" s="6">
        <v>21</v>
      </c>
      <c r="B23" s="6">
        <v>5376</v>
      </c>
      <c r="C23" s="6">
        <v>1979</v>
      </c>
      <c r="D23" s="6">
        <f t="shared" si="0"/>
        <v>46</v>
      </c>
      <c r="E23" s="7" t="s">
        <v>9</v>
      </c>
      <c r="F23" s="7" t="s">
        <v>13</v>
      </c>
      <c r="G23" s="6">
        <v>2447</v>
      </c>
      <c r="H23" s="6" t="str" cm="1">
        <f t="array" ref="H23">_xlfn.IFS(
  G23 &lt; 25000, "Low",
  AND(G23 &gt;= 25000, G23 &lt; 75000), "Medium",
  AND(G23 &gt;= 75000, G23 &lt; 150000), "High",
  G23 &gt;= 150000, "Very High"
)</f>
        <v>Low</v>
      </c>
      <c r="I23" s="6">
        <v>1</v>
      </c>
      <c r="J23" s="6">
        <v>0</v>
      </c>
      <c r="K23" s="6">
        <f t="shared" si="1"/>
        <v>1</v>
      </c>
      <c r="L23" s="8">
        <v>41280</v>
      </c>
      <c r="M23" t="str">
        <f t="shared" ca="1" si="2"/>
        <v>13 years, 2 months</v>
      </c>
      <c r="N23" s="6">
        <v>42</v>
      </c>
      <c r="O23">
        <v>1</v>
      </c>
      <c r="P23">
        <v>1</v>
      </c>
      <c r="Q23">
        <f t="shared" si="3"/>
        <v>2</v>
      </c>
      <c r="R23">
        <v>0</v>
      </c>
      <c r="S23">
        <v>0</v>
      </c>
      <c r="T23">
        <f>Table[[#This Row],[NumWebPurchases]]+Table[[#This Row],[NumStorePurchases]]</f>
        <v>0</v>
      </c>
    </row>
    <row r="24" spans="1:20" ht="15.75" customHeight="1">
      <c r="A24" s="6">
        <v>22</v>
      </c>
      <c r="B24" s="6">
        <v>1993</v>
      </c>
      <c r="C24" s="6">
        <v>1949</v>
      </c>
      <c r="D24" s="6">
        <f t="shared" si="0"/>
        <v>76</v>
      </c>
      <c r="E24" s="7" t="s">
        <v>12</v>
      </c>
      <c r="F24" s="7" t="s">
        <v>13</v>
      </c>
      <c r="G24" s="6">
        <v>58607</v>
      </c>
      <c r="H24" s="6" t="str" cm="1">
        <f t="array" ref="H24">_xlfn.IFS(
  G24 &lt; 25000, "Low",
  AND(G24 &gt;= 25000, G24 &lt; 75000), "Medium",
  AND(G24 &gt;= 75000, G24 &lt; 150000), "High",
  G24 &gt;= 150000, "Very High"
)</f>
        <v>Medium</v>
      </c>
      <c r="I24" s="6">
        <v>0</v>
      </c>
      <c r="J24" s="6">
        <v>1</v>
      </c>
      <c r="K24" s="6">
        <f t="shared" si="1"/>
        <v>1</v>
      </c>
      <c r="L24" s="9">
        <v>41266</v>
      </c>
      <c r="M24" t="str">
        <f t="shared" ca="1" si="2"/>
        <v>13 years, 2 months</v>
      </c>
      <c r="N24" s="6">
        <v>63</v>
      </c>
      <c r="O24">
        <v>0</v>
      </c>
      <c r="P24">
        <v>0</v>
      </c>
      <c r="Q24">
        <f t="shared" si="3"/>
        <v>0</v>
      </c>
      <c r="R24">
        <v>2</v>
      </c>
      <c r="S24">
        <v>9</v>
      </c>
      <c r="T24">
        <f>Table[[#This Row],[NumWebPurchases]]+Table[[#This Row],[NumStorePurchases]]</f>
        <v>11</v>
      </c>
    </row>
    <row r="25" spans="1:20" ht="15.75" customHeight="1">
      <c r="A25" s="6">
        <v>23</v>
      </c>
      <c r="B25" s="6">
        <v>4047</v>
      </c>
      <c r="C25" s="6">
        <v>1954</v>
      </c>
      <c r="D25" s="6">
        <f t="shared" si="0"/>
        <v>71</v>
      </c>
      <c r="E25" s="7" t="s">
        <v>12</v>
      </c>
      <c r="F25" s="7" t="s">
        <v>13</v>
      </c>
      <c r="G25" s="6">
        <v>65324</v>
      </c>
      <c r="H25" s="6" t="str" cm="1">
        <f t="array" ref="H25">_xlfn.IFS(
  G25 &lt; 25000, "Low",
  AND(G25 &gt;= 25000, G25 &lt; 75000), "Medium",
  AND(G25 &gt;= 75000, G25 &lt; 150000), "High",
  G25 &gt;= 150000, "Very High"
)</f>
        <v>Medium</v>
      </c>
      <c r="I25" s="6">
        <v>0</v>
      </c>
      <c r="J25" s="6">
        <v>1</v>
      </c>
      <c r="K25" s="6">
        <f t="shared" si="1"/>
        <v>1</v>
      </c>
      <c r="L25" s="8">
        <v>41650</v>
      </c>
      <c r="M25" t="str">
        <f t="shared" ca="1" si="2"/>
        <v>12 years, 1 months</v>
      </c>
      <c r="N25" s="6">
        <v>0</v>
      </c>
      <c r="O25">
        <v>0</v>
      </c>
      <c r="P25">
        <v>32</v>
      </c>
      <c r="Q25">
        <f t="shared" si="3"/>
        <v>32</v>
      </c>
      <c r="R25">
        <v>6</v>
      </c>
      <c r="S25">
        <v>9</v>
      </c>
      <c r="T25">
        <f>Table[[#This Row],[NumWebPurchases]]+Table[[#This Row],[NumStorePurchases]]</f>
        <v>15</v>
      </c>
    </row>
    <row r="26" spans="1:20" ht="15.75" customHeight="1">
      <c r="A26" s="6">
        <v>24</v>
      </c>
      <c r="B26" s="6">
        <v>1409</v>
      </c>
      <c r="C26" s="6">
        <v>1951</v>
      </c>
      <c r="D26" s="6">
        <f t="shared" si="0"/>
        <v>74</v>
      </c>
      <c r="E26" s="7" t="s">
        <v>9</v>
      </c>
      <c r="F26" s="7" t="s">
        <v>11</v>
      </c>
      <c r="G26" s="6">
        <v>40689</v>
      </c>
      <c r="H26" s="6" t="str" cm="1">
        <f t="array" ref="H26">_xlfn.IFS(
  G26 &lt; 25000, "Low",
  AND(G26 &gt;= 25000, G26 &lt; 75000), "Medium",
  AND(G26 &gt;= 75000, G26 &lt; 150000), "High",
  G26 &gt;= 150000, "Very High"
)</f>
        <v>Medium</v>
      </c>
      <c r="I26" s="6">
        <v>0</v>
      </c>
      <c r="J26" s="6">
        <v>1</v>
      </c>
      <c r="K26" s="6">
        <f t="shared" si="1"/>
        <v>1</v>
      </c>
      <c r="L26" s="8">
        <v>41351</v>
      </c>
      <c r="M26" t="str">
        <f t="shared" ca="1" si="2"/>
        <v>12 years, 11 months</v>
      </c>
      <c r="N26" s="6">
        <v>69</v>
      </c>
      <c r="O26">
        <v>3</v>
      </c>
      <c r="P26">
        <v>6</v>
      </c>
      <c r="Q26">
        <f t="shared" si="3"/>
        <v>9</v>
      </c>
      <c r="R26">
        <v>7</v>
      </c>
      <c r="S26">
        <v>5</v>
      </c>
      <c r="T26">
        <f>Table[[#This Row],[NumWebPurchases]]+Table[[#This Row],[NumStorePurchases]]</f>
        <v>12</v>
      </c>
    </row>
    <row r="27" spans="1:20" ht="15.75" customHeight="1">
      <c r="A27" s="6">
        <v>25</v>
      </c>
      <c r="B27" s="6">
        <v>7892</v>
      </c>
      <c r="C27" s="6">
        <v>1969</v>
      </c>
      <c r="D27" s="6">
        <f t="shared" si="0"/>
        <v>56</v>
      </c>
      <c r="E27" s="7" t="s">
        <v>9</v>
      </c>
      <c r="F27" s="7" t="s">
        <v>10</v>
      </c>
      <c r="G27" s="6">
        <v>18589</v>
      </c>
      <c r="H27" s="6" t="str" cm="1">
        <f t="array" ref="H27">_xlfn.IFS(
  G27 &lt; 25000, "Low",
  AND(G27 &gt;= 25000, G27 &lt; 75000), "Medium",
  AND(G27 &gt;= 75000, G27 &lt; 150000), "High",
  G27 &gt;= 150000, "Very High"
)</f>
        <v>Low</v>
      </c>
      <c r="I27" s="6">
        <v>0</v>
      </c>
      <c r="J27" s="6">
        <v>0</v>
      </c>
      <c r="K27" s="6">
        <f t="shared" si="1"/>
        <v>0</v>
      </c>
      <c r="L27" s="8">
        <v>41276</v>
      </c>
      <c r="M27" t="str">
        <f t="shared" ca="1" si="2"/>
        <v>13 years, 2 months</v>
      </c>
      <c r="N27" s="6">
        <v>89</v>
      </c>
      <c r="O27">
        <v>4</v>
      </c>
      <c r="P27">
        <v>12</v>
      </c>
      <c r="Q27">
        <f t="shared" si="3"/>
        <v>16</v>
      </c>
      <c r="R27">
        <v>2</v>
      </c>
      <c r="S27">
        <v>3</v>
      </c>
      <c r="T27">
        <f>Table[[#This Row],[NumWebPurchases]]+Table[[#This Row],[NumStorePurchases]]</f>
        <v>5</v>
      </c>
    </row>
    <row r="28" spans="1:20" ht="15.75" customHeight="1">
      <c r="A28" s="6">
        <v>26</v>
      </c>
      <c r="B28" s="6">
        <v>2404</v>
      </c>
      <c r="C28" s="6">
        <v>1976</v>
      </c>
      <c r="D28" s="6">
        <f t="shared" si="0"/>
        <v>49</v>
      </c>
      <c r="E28" s="7" t="s">
        <v>9</v>
      </c>
      <c r="F28" s="7" t="s">
        <v>13</v>
      </c>
      <c r="G28" s="6">
        <v>53359</v>
      </c>
      <c r="H28" s="6" t="str" cm="1">
        <f t="array" ref="H28">_xlfn.IFS(
  G28 &lt; 25000, "Low",
  AND(G28 &gt;= 25000, G28 &lt; 75000), "Medium",
  AND(G28 &gt;= 75000, G28 &lt; 150000), "High",
  G28 &gt;= 150000, "Very High"
)</f>
        <v>Medium</v>
      </c>
      <c r="I28" s="6">
        <v>1</v>
      </c>
      <c r="J28" s="6">
        <v>1</v>
      </c>
      <c r="K28" s="6">
        <f t="shared" si="1"/>
        <v>2</v>
      </c>
      <c r="L28" s="8">
        <v>41421</v>
      </c>
      <c r="M28" t="str">
        <f t="shared" ca="1" si="2"/>
        <v>12 years, 9 months</v>
      </c>
      <c r="N28" s="6">
        <v>4</v>
      </c>
      <c r="O28">
        <v>4</v>
      </c>
      <c r="P28">
        <v>6</v>
      </c>
      <c r="Q28">
        <f t="shared" si="3"/>
        <v>10</v>
      </c>
      <c r="R28">
        <v>5</v>
      </c>
      <c r="S28">
        <v>4</v>
      </c>
      <c r="T28">
        <f>Table[[#This Row],[NumWebPurchases]]+Table[[#This Row],[NumStorePurchases]]</f>
        <v>9</v>
      </c>
    </row>
    <row r="29" spans="1:20" ht="15.75" customHeight="1">
      <c r="A29" s="6">
        <v>27</v>
      </c>
      <c r="B29" s="6">
        <v>5255</v>
      </c>
      <c r="C29" s="6">
        <v>1986</v>
      </c>
      <c r="D29" s="6">
        <f t="shared" si="0"/>
        <v>39</v>
      </c>
      <c r="E29" s="7" t="s">
        <v>9</v>
      </c>
      <c r="F29" s="7" t="s">
        <v>10</v>
      </c>
      <c r="G29" s="7">
        <v>51371</v>
      </c>
      <c r="H29" s="6" t="str" cm="1">
        <f t="array" ref="H29">_xlfn.IFS(
  G29 &lt; 25000, "Low",
  AND(G29 &gt;= 25000, G29 &lt; 75000), "Medium",
  AND(G29 &gt;= 75000, G29 &lt; 150000), "High",
  G29 &gt;= 150000, "Very High"
)</f>
        <v>Medium</v>
      </c>
      <c r="I29" s="6">
        <v>1</v>
      </c>
      <c r="J29" s="6">
        <v>0</v>
      </c>
      <c r="K29" s="6">
        <f t="shared" si="1"/>
        <v>1</v>
      </c>
      <c r="L29" s="8">
        <v>41325</v>
      </c>
      <c r="M29" t="str">
        <f t="shared" ca="1" si="2"/>
        <v>13 years, 0 months</v>
      </c>
      <c r="N29" s="6">
        <v>19</v>
      </c>
      <c r="O29">
        <v>1</v>
      </c>
      <c r="P29">
        <v>263</v>
      </c>
      <c r="Q29">
        <f t="shared" si="3"/>
        <v>264</v>
      </c>
      <c r="R29">
        <v>27</v>
      </c>
      <c r="S29">
        <v>0</v>
      </c>
      <c r="T29">
        <f>Table[[#This Row],[NumWebPurchases]]+Table[[#This Row],[NumStorePurchases]]</f>
        <v>27</v>
      </c>
    </row>
    <row r="30" spans="1:20" ht="15.75" customHeight="1">
      <c r="A30" s="6">
        <v>28</v>
      </c>
      <c r="B30" s="6">
        <v>9422</v>
      </c>
      <c r="C30" s="6">
        <v>1989</v>
      </c>
      <c r="D30" s="6">
        <f t="shared" si="0"/>
        <v>36</v>
      </c>
      <c r="E30" s="7" t="s">
        <v>9</v>
      </c>
      <c r="F30" s="7" t="s">
        <v>13</v>
      </c>
      <c r="G30" s="6">
        <v>38360</v>
      </c>
      <c r="H30" s="6" t="str" cm="1">
        <f t="array" ref="H30">_xlfn.IFS(
  G30 &lt; 25000, "Low",
  AND(G30 &gt;= 25000, G30 &lt; 75000), "Medium",
  AND(G30 &gt;= 75000, G30 &lt; 150000), "High",
  G30 &gt;= 150000, "Very High"
)</f>
        <v>Medium</v>
      </c>
      <c r="I30" s="6">
        <v>1</v>
      </c>
      <c r="J30" s="6">
        <v>0</v>
      </c>
      <c r="K30" s="6">
        <f t="shared" si="1"/>
        <v>1</v>
      </c>
      <c r="L30" s="8">
        <v>41425</v>
      </c>
      <c r="M30" t="str">
        <f t="shared" ca="1" si="2"/>
        <v>12 years, 9 months</v>
      </c>
      <c r="N30" s="6">
        <v>26</v>
      </c>
      <c r="O30">
        <v>2</v>
      </c>
      <c r="P30">
        <v>21</v>
      </c>
      <c r="Q30">
        <f t="shared" si="3"/>
        <v>23</v>
      </c>
      <c r="R30">
        <v>2</v>
      </c>
      <c r="S30">
        <v>4</v>
      </c>
      <c r="T30">
        <f>Table[[#This Row],[NumWebPurchases]]+Table[[#This Row],[NumStorePurchases]]</f>
        <v>6</v>
      </c>
    </row>
    <row r="31" spans="1:20" ht="15.75" customHeight="1">
      <c r="A31" s="6">
        <v>29</v>
      </c>
      <c r="B31" s="6">
        <v>1966</v>
      </c>
      <c r="C31" s="6">
        <v>1965</v>
      </c>
      <c r="D31" s="6">
        <f t="shared" si="0"/>
        <v>60</v>
      </c>
      <c r="E31" s="7" t="s">
        <v>12</v>
      </c>
      <c r="F31" s="7" t="s">
        <v>13</v>
      </c>
      <c r="G31" s="6">
        <v>84618</v>
      </c>
      <c r="H31" s="6" t="str" cm="1">
        <f t="array" ref="H31">_xlfn.IFS(
  G31 &lt; 25000, "Low",
  AND(G31 &gt;= 25000, G31 &lt; 75000), "Medium",
  AND(G31 &gt;= 75000, G31 &lt; 150000), "High",
  G31 &gt;= 150000, "Very High"
)</f>
        <v>High</v>
      </c>
      <c r="I31" s="6">
        <v>0</v>
      </c>
      <c r="J31" s="6">
        <v>0</v>
      </c>
      <c r="K31" s="6">
        <f t="shared" si="1"/>
        <v>0</v>
      </c>
      <c r="L31" s="9">
        <v>41600</v>
      </c>
      <c r="M31" t="str">
        <f t="shared" ca="1" si="2"/>
        <v>12 years, 3 months</v>
      </c>
      <c r="N31" s="6">
        <v>96</v>
      </c>
      <c r="O31">
        <v>100</v>
      </c>
      <c r="P31">
        <v>66</v>
      </c>
      <c r="Q31">
        <f t="shared" si="3"/>
        <v>166</v>
      </c>
      <c r="R31">
        <v>6</v>
      </c>
      <c r="S31">
        <v>10</v>
      </c>
      <c r="T31">
        <f>Table[[#This Row],[NumWebPurchases]]+Table[[#This Row],[NumStorePurchases]]</f>
        <v>16</v>
      </c>
    </row>
    <row r="32" spans="1:20" ht="15.75" customHeight="1">
      <c r="A32" s="6">
        <v>30</v>
      </c>
      <c r="B32" s="6">
        <v>6864</v>
      </c>
      <c r="C32" s="6">
        <v>1989</v>
      </c>
      <c r="D32" s="6">
        <f t="shared" si="0"/>
        <v>36</v>
      </c>
      <c r="E32" s="7" t="s">
        <v>14</v>
      </c>
      <c r="F32" s="7" t="s">
        <v>15</v>
      </c>
      <c r="G32" s="6">
        <v>10979</v>
      </c>
      <c r="H32" s="6" t="str" cm="1">
        <f t="array" ref="H32">_xlfn.IFS(
  G32 &lt; 25000, "Low",
  AND(G32 &gt;= 25000, G32 &lt; 75000), "Medium",
  AND(G32 &gt;= 75000, G32 &lt; 150000), "High",
  G32 &gt;= 150000, "Very High"
)</f>
        <v>Low</v>
      </c>
      <c r="I32" s="6">
        <v>0</v>
      </c>
      <c r="J32" s="6">
        <v>0</v>
      </c>
      <c r="K32" s="6">
        <f t="shared" si="1"/>
        <v>0</v>
      </c>
      <c r="L32" s="8">
        <v>41781</v>
      </c>
      <c r="M32" t="str">
        <f t="shared" ca="1" si="2"/>
        <v>11 years, 9 months</v>
      </c>
      <c r="N32" s="6">
        <v>34</v>
      </c>
      <c r="O32">
        <v>4</v>
      </c>
      <c r="P32">
        <v>2</v>
      </c>
      <c r="Q32">
        <f t="shared" si="3"/>
        <v>6</v>
      </c>
      <c r="R32">
        <v>3</v>
      </c>
      <c r="S32">
        <v>3</v>
      </c>
      <c r="T32">
        <f>Table[[#This Row],[NumWebPurchases]]+Table[[#This Row],[NumStorePurchases]]</f>
        <v>6</v>
      </c>
    </row>
    <row r="33" spans="1:20" ht="15.75" customHeight="1">
      <c r="A33" s="6">
        <v>31</v>
      </c>
      <c r="B33" s="6">
        <v>3033</v>
      </c>
      <c r="C33" s="6">
        <v>1963</v>
      </c>
      <c r="D33" s="6">
        <f t="shared" si="0"/>
        <v>62</v>
      </c>
      <c r="E33" s="7" t="s">
        <v>14</v>
      </c>
      <c r="F33" s="7" t="s">
        <v>11</v>
      </c>
      <c r="G33" s="6">
        <v>38620</v>
      </c>
      <c r="H33" s="6" t="str" cm="1">
        <f t="array" ref="H33">_xlfn.IFS(
  G33 &lt; 25000, "Low",
  AND(G33 &gt;= 25000, G33 &lt; 75000), "Medium",
  AND(G33 &gt;= 75000, G33 &lt; 150000), "High",
  G33 &gt;= 150000, "Very High"
)</f>
        <v>Medium</v>
      </c>
      <c r="I33" s="6">
        <v>0</v>
      </c>
      <c r="J33" s="6">
        <v>0</v>
      </c>
      <c r="K33" s="6">
        <f t="shared" si="1"/>
        <v>0</v>
      </c>
      <c r="L33" s="8">
        <v>41405</v>
      </c>
      <c r="M33" t="str">
        <f t="shared" ca="1" si="2"/>
        <v>12 years, 9 months</v>
      </c>
      <c r="N33" s="6">
        <v>56</v>
      </c>
      <c r="O33">
        <v>17</v>
      </c>
      <c r="P33">
        <v>22</v>
      </c>
      <c r="Q33">
        <f t="shared" si="3"/>
        <v>39</v>
      </c>
      <c r="R33">
        <v>2</v>
      </c>
      <c r="S33">
        <v>3</v>
      </c>
      <c r="T33">
        <f>Table[[#This Row],[NumWebPurchases]]+Table[[#This Row],[NumStorePurchases]]</f>
        <v>5</v>
      </c>
    </row>
    <row r="34" spans="1:20" ht="15.75" customHeight="1">
      <c r="A34" s="6">
        <v>32</v>
      </c>
      <c r="B34" s="6">
        <v>5710</v>
      </c>
      <c r="C34" s="6">
        <v>1970</v>
      </c>
      <c r="D34" s="6">
        <f t="shared" si="0"/>
        <v>55</v>
      </c>
      <c r="E34" s="7" t="s">
        <v>9</v>
      </c>
      <c r="F34" s="7" t="s">
        <v>11</v>
      </c>
      <c r="G34" s="6">
        <v>40548</v>
      </c>
      <c r="H34" s="6" t="str" cm="1">
        <f t="array" ref="H34">_xlfn.IFS(
  G34 &lt; 25000, "Low",
  AND(G34 &gt;= 25000, G34 &lt; 75000), "Medium",
  AND(G34 &gt;= 75000, G34 &lt; 150000), "High",
  G34 &gt;= 150000, "Very High"
)</f>
        <v>Medium</v>
      </c>
      <c r="I34" s="6">
        <v>0</v>
      </c>
      <c r="J34" s="6">
        <v>1</v>
      </c>
      <c r="K34" s="6">
        <f t="shared" si="1"/>
        <v>1</v>
      </c>
      <c r="L34" s="9">
        <v>41192</v>
      </c>
      <c r="M34" t="str">
        <f t="shared" ca="1" si="2"/>
        <v>13 years, 4 months</v>
      </c>
      <c r="N34" s="6">
        <v>31</v>
      </c>
      <c r="O34">
        <v>0</v>
      </c>
      <c r="P34">
        <v>0</v>
      </c>
      <c r="Q34">
        <f t="shared" si="3"/>
        <v>0</v>
      </c>
      <c r="R34">
        <v>2</v>
      </c>
      <c r="S34">
        <v>4</v>
      </c>
      <c r="T34">
        <f>Table[[#This Row],[NumWebPurchases]]+Table[[#This Row],[NumStorePurchases]]</f>
        <v>6</v>
      </c>
    </row>
    <row r="35" spans="1:20" ht="15.75" customHeight="1">
      <c r="A35" s="6">
        <v>33</v>
      </c>
      <c r="B35" s="6">
        <v>7373</v>
      </c>
      <c r="C35" s="6">
        <v>1952</v>
      </c>
      <c r="D35" s="6">
        <f t="shared" si="0"/>
        <v>73</v>
      </c>
      <c r="E35" s="7" t="s">
        <v>12</v>
      </c>
      <c r="F35" s="7" t="s">
        <v>15</v>
      </c>
      <c r="G35" s="6">
        <v>46610</v>
      </c>
      <c r="H35" s="6" t="str" cm="1">
        <f t="array" ref="H35">_xlfn.IFS(
  G35 &lt; 25000, "Low",
  AND(G35 &gt;= 25000, G35 &lt; 75000), "Medium",
  AND(G35 &gt;= 75000, G35 &lt; 150000), "High",
  G35 &gt;= 150000, "Very High"
)</f>
        <v>Medium</v>
      </c>
      <c r="I35" s="6">
        <v>0</v>
      </c>
      <c r="J35" s="6">
        <v>2</v>
      </c>
      <c r="K35" s="6">
        <f t="shared" si="1"/>
        <v>2</v>
      </c>
      <c r="L35" s="9">
        <v>41211</v>
      </c>
      <c r="M35" t="str">
        <f t="shared" ca="1" si="2"/>
        <v>13 years, 4 months</v>
      </c>
      <c r="N35" s="6">
        <v>8</v>
      </c>
      <c r="O35">
        <v>12</v>
      </c>
      <c r="P35">
        <v>22</v>
      </c>
      <c r="Q35">
        <f t="shared" si="3"/>
        <v>34</v>
      </c>
      <c r="R35">
        <v>4</v>
      </c>
      <c r="S35">
        <v>6</v>
      </c>
      <c r="T35">
        <f>Table[[#This Row],[NumWebPurchases]]+Table[[#This Row],[NumStorePurchases]]</f>
        <v>10</v>
      </c>
    </row>
    <row r="36" spans="1:20" ht="15.75" customHeight="1">
      <c r="A36" s="6">
        <v>34</v>
      </c>
      <c r="B36" s="6">
        <v>8755</v>
      </c>
      <c r="C36" s="6">
        <v>1946</v>
      </c>
      <c r="D36" s="6">
        <f t="shared" si="0"/>
        <v>79</v>
      </c>
      <c r="E36" s="7" t="s">
        <v>14</v>
      </c>
      <c r="F36" s="7" t="s">
        <v>13</v>
      </c>
      <c r="G36" s="6">
        <v>68657</v>
      </c>
      <c r="H36" s="6" t="str" cm="1">
        <f t="array" ref="H36">_xlfn.IFS(
  G36 &lt; 25000, "Low",
  AND(G36 &gt;= 25000, G36 &lt; 75000), "Medium",
  AND(G36 &gt;= 75000, G36 &lt; 150000), "High",
  G36 &gt;= 150000, "Very High"
)</f>
        <v>Medium</v>
      </c>
      <c r="I36" s="6">
        <v>0</v>
      </c>
      <c r="J36" s="6">
        <v>0</v>
      </c>
      <c r="K36" s="6">
        <f t="shared" si="1"/>
        <v>0</v>
      </c>
      <c r="L36" s="8">
        <v>41325</v>
      </c>
      <c r="M36" t="str">
        <f t="shared" ca="1" si="2"/>
        <v>13 years, 0 months</v>
      </c>
      <c r="N36" s="6">
        <v>4</v>
      </c>
      <c r="O36">
        <v>34</v>
      </c>
      <c r="P36">
        <v>68</v>
      </c>
      <c r="Q36">
        <f t="shared" si="3"/>
        <v>102</v>
      </c>
      <c r="R36">
        <v>3</v>
      </c>
      <c r="S36">
        <v>9</v>
      </c>
      <c r="T36">
        <f>Table[[#This Row],[NumWebPurchases]]+Table[[#This Row],[NumStorePurchases]]</f>
        <v>12</v>
      </c>
    </row>
    <row r="37" spans="1:20" ht="15.75" customHeight="1">
      <c r="A37" s="6">
        <v>35</v>
      </c>
      <c r="B37" s="6">
        <v>10738</v>
      </c>
      <c r="C37" s="6">
        <v>1951</v>
      </c>
      <c r="D37" s="6">
        <f t="shared" si="0"/>
        <v>74</v>
      </c>
      <c r="E37" s="7" t="s">
        <v>14</v>
      </c>
      <c r="F37" s="7" t="s">
        <v>10</v>
      </c>
      <c r="G37" s="6">
        <v>49389</v>
      </c>
      <c r="H37" s="6" t="str" cm="1">
        <f t="array" ref="H37">_xlfn.IFS(
  G37 &lt; 25000, "Low",
  AND(G37 &gt;= 25000, G37 &lt; 75000), "Medium",
  AND(G37 &gt;= 75000, G37 &lt; 150000), "High",
  G37 &gt;= 150000, "Very High"
)</f>
        <v>Medium</v>
      </c>
      <c r="I37" s="6">
        <v>1</v>
      </c>
      <c r="J37" s="6">
        <v>1</v>
      </c>
      <c r="K37" s="6">
        <f t="shared" si="1"/>
        <v>2</v>
      </c>
      <c r="L37" s="8">
        <v>41515</v>
      </c>
      <c r="M37" t="str">
        <f t="shared" ca="1" si="2"/>
        <v>12 years, 6 months</v>
      </c>
      <c r="N37" s="6">
        <v>55</v>
      </c>
      <c r="O37">
        <v>0</v>
      </c>
      <c r="P37">
        <v>1</v>
      </c>
      <c r="Q37">
        <f t="shared" si="3"/>
        <v>1</v>
      </c>
      <c r="R37">
        <v>2</v>
      </c>
      <c r="S37">
        <v>3</v>
      </c>
      <c r="T37">
        <f>Table[[#This Row],[NumWebPurchases]]+Table[[#This Row],[NumStorePurchases]]</f>
        <v>5</v>
      </c>
    </row>
    <row r="38" spans="1:20" ht="15.75" customHeight="1">
      <c r="A38" s="6">
        <v>36</v>
      </c>
      <c r="B38" s="6">
        <v>4339</v>
      </c>
      <c r="C38" s="6">
        <v>1970</v>
      </c>
      <c r="D38" s="6">
        <f t="shared" si="0"/>
        <v>55</v>
      </c>
      <c r="E38" s="7" t="s">
        <v>12</v>
      </c>
      <c r="F38" s="7" t="s">
        <v>13</v>
      </c>
      <c r="G38" s="6">
        <v>67353</v>
      </c>
      <c r="H38" s="6" t="str" cm="1">
        <f t="array" ref="H38">_xlfn.IFS(
  G38 &lt; 25000, "Low",
  AND(G38 &gt;= 25000, G38 &lt; 75000), "Medium",
  AND(G38 &gt;= 75000, G38 &lt; 150000), "High",
  G38 &gt;= 150000, "Very High"
)</f>
        <v>Medium</v>
      </c>
      <c r="I38" s="6">
        <v>0</v>
      </c>
      <c r="J38" s="6">
        <v>1</v>
      </c>
      <c r="K38" s="6">
        <f t="shared" si="1"/>
        <v>1</v>
      </c>
      <c r="L38" s="9">
        <v>41639</v>
      </c>
      <c r="M38" t="str">
        <f t="shared" ca="1" si="2"/>
        <v>12 years, 2 months</v>
      </c>
      <c r="N38" s="6">
        <v>37</v>
      </c>
      <c r="O38">
        <v>17</v>
      </c>
      <c r="P38">
        <v>8</v>
      </c>
      <c r="Q38">
        <f t="shared" si="3"/>
        <v>25</v>
      </c>
      <c r="R38">
        <v>5</v>
      </c>
      <c r="S38">
        <v>12</v>
      </c>
      <c r="T38">
        <f>Table[[#This Row],[NumWebPurchases]]+Table[[#This Row],[NumStorePurchases]]</f>
        <v>17</v>
      </c>
    </row>
    <row r="39" spans="1:20" ht="15.75" customHeight="1">
      <c r="A39" s="6">
        <v>37</v>
      </c>
      <c r="B39" s="6">
        <v>10755</v>
      </c>
      <c r="C39" s="6">
        <v>1976</v>
      </c>
      <c r="D39" s="6">
        <f t="shared" si="0"/>
        <v>49</v>
      </c>
      <c r="E39" s="7" t="s">
        <v>17</v>
      </c>
      <c r="F39" s="7" t="s">
        <v>13</v>
      </c>
      <c r="G39" s="6">
        <v>23718</v>
      </c>
      <c r="H39" s="6" t="str" cm="1">
        <f t="array" ref="H39">_xlfn.IFS(
  G39 &lt; 25000, "Low",
  AND(G39 &gt;= 25000, G39 &lt; 75000), "Medium",
  AND(G39 &gt;= 75000, G39 &lt; 150000), "High",
  G39 &gt;= 150000, "Very High"
)</f>
        <v>Low</v>
      </c>
      <c r="I39" s="6">
        <v>1</v>
      </c>
      <c r="J39" s="6">
        <v>0</v>
      </c>
      <c r="K39" s="6">
        <f t="shared" si="1"/>
        <v>1</v>
      </c>
      <c r="L39" s="8">
        <v>41519</v>
      </c>
      <c r="M39" t="str">
        <f t="shared" ca="1" si="2"/>
        <v>12 years, 6 months</v>
      </c>
      <c r="N39" s="6">
        <v>76</v>
      </c>
      <c r="O39">
        <v>3</v>
      </c>
      <c r="P39">
        <v>7</v>
      </c>
      <c r="Q39">
        <f t="shared" si="3"/>
        <v>10</v>
      </c>
      <c r="R39">
        <v>3</v>
      </c>
      <c r="S39">
        <v>2</v>
      </c>
      <c r="T39">
        <f>Table[[#This Row],[NumWebPurchases]]+Table[[#This Row],[NumStorePurchases]]</f>
        <v>5</v>
      </c>
    </row>
    <row r="40" spans="1:20" ht="15.75" customHeight="1">
      <c r="A40" s="6">
        <v>38</v>
      </c>
      <c r="B40" s="6">
        <v>8595</v>
      </c>
      <c r="C40" s="6">
        <v>1973</v>
      </c>
      <c r="D40" s="6">
        <f t="shared" si="0"/>
        <v>52</v>
      </c>
      <c r="E40" s="7" t="s">
        <v>9</v>
      </c>
      <c r="F40" s="7" t="s">
        <v>18</v>
      </c>
      <c r="G40" s="6">
        <v>42429</v>
      </c>
      <c r="H40" s="6" t="str" cm="1">
        <f t="array" ref="H40">_xlfn.IFS(
  G40 &lt; 25000, "Low",
  AND(G40 &gt;= 25000, G40 &lt; 75000), "Medium",
  AND(G40 &gt;= 75000, G40 &lt; 150000), "High",
  G40 &gt;= 150000, "Very High"
)</f>
        <v>Medium</v>
      </c>
      <c r="I40" s="6">
        <v>0</v>
      </c>
      <c r="J40" s="6">
        <v>1</v>
      </c>
      <c r="K40" s="6">
        <f t="shared" si="1"/>
        <v>1</v>
      </c>
      <c r="L40" s="8">
        <v>41681</v>
      </c>
      <c r="M40" t="str">
        <f t="shared" ca="1" si="2"/>
        <v>12 years, 0 months</v>
      </c>
      <c r="N40" s="6">
        <v>99</v>
      </c>
      <c r="O40">
        <v>0</v>
      </c>
      <c r="P40">
        <v>0</v>
      </c>
      <c r="Q40">
        <f t="shared" si="3"/>
        <v>0</v>
      </c>
      <c r="R40">
        <v>1</v>
      </c>
      <c r="S40">
        <v>3</v>
      </c>
      <c r="T40">
        <f>Table[[#This Row],[NumWebPurchases]]+Table[[#This Row],[NumStorePurchases]]</f>
        <v>4</v>
      </c>
    </row>
    <row r="41" spans="1:20" ht="15.75" customHeight="1">
      <c r="A41" s="6">
        <v>39</v>
      </c>
      <c r="B41" s="6">
        <v>2968</v>
      </c>
      <c r="C41" s="6">
        <v>1943</v>
      </c>
      <c r="D41" s="6">
        <f t="shared" si="0"/>
        <v>82</v>
      </c>
      <c r="E41" s="7" t="s">
        <v>12</v>
      </c>
      <c r="F41" s="7" t="s">
        <v>15</v>
      </c>
      <c r="G41" s="6">
        <v>48948</v>
      </c>
      <c r="H41" s="6" t="str" cm="1">
        <f t="array" ref="H41">_xlfn.IFS(
  G41 &lt; 25000, "Low",
  AND(G41 &gt;= 25000, G41 &lt; 75000), "Medium",
  AND(G41 &gt;= 75000, G41 &lt; 150000), "High",
  G41 &gt;= 150000, "Very High"
)</f>
        <v>Medium</v>
      </c>
      <c r="I41" s="6">
        <v>0</v>
      </c>
      <c r="J41" s="6">
        <v>0</v>
      </c>
      <c r="K41" s="6">
        <f t="shared" si="1"/>
        <v>0</v>
      </c>
      <c r="L41" s="8">
        <v>41306</v>
      </c>
      <c r="M41" t="str">
        <f t="shared" ca="1" si="2"/>
        <v>13 years, 1 months</v>
      </c>
      <c r="N41" s="6">
        <v>53</v>
      </c>
      <c r="O41">
        <v>8</v>
      </c>
      <c r="P41">
        <v>49</v>
      </c>
      <c r="Q41">
        <f t="shared" si="3"/>
        <v>57</v>
      </c>
      <c r="R41">
        <v>7</v>
      </c>
      <c r="S41">
        <v>5</v>
      </c>
      <c r="T41">
        <f>Table[[#This Row],[NumWebPurchases]]+Table[[#This Row],[NumStorePurchases]]</f>
        <v>12</v>
      </c>
    </row>
    <row r="42" spans="1:20" ht="15.75" customHeight="1">
      <c r="A42" s="6">
        <v>40</v>
      </c>
      <c r="B42" s="6">
        <v>8601</v>
      </c>
      <c r="C42" s="6">
        <v>1980</v>
      </c>
      <c r="D42" s="6">
        <f t="shared" si="0"/>
        <v>45</v>
      </c>
      <c r="E42" s="7" t="s">
        <v>9</v>
      </c>
      <c r="F42" s="7" t="s">
        <v>13</v>
      </c>
      <c r="G42" s="6">
        <v>80011</v>
      </c>
      <c r="H42" s="6" t="str" cm="1">
        <f t="array" ref="H42">_xlfn.IFS(
  G42 &lt; 25000, "Low",
  AND(G42 &gt;= 25000, G42 &lt; 75000), "Medium",
  AND(G42 &gt;= 75000, G42 &lt; 150000), "High",
  G42 &gt;= 150000, "Very High"
)</f>
        <v>High</v>
      </c>
      <c r="I42" s="6">
        <v>0</v>
      </c>
      <c r="J42" s="6">
        <v>1</v>
      </c>
      <c r="K42" s="6">
        <f t="shared" si="1"/>
        <v>1</v>
      </c>
      <c r="L42" s="8">
        <v>41393</v>
      </c>
      <c r="M42" t="str">
        <f t="shared" ca="1" si="2"/>
        <v>12 years, 10 months</v>
      </c>
      <c r="N42" s="6">
        <v>3</v>
      </c>
      <c r="O42">
        <v>76</v>
      </c>
      <c r="P42">
        <v>178</v>
      </c>
      <c r="Q42">
        <f t="shared" si="3"/>
        <v>254</v>
      </c>
      <c r="R42">
        <v>8</v>
      </c>
      <c r="S42">
        <v>5</v>
      </c>
      <c r="T42">
        <f>Table[[#This Row],[NumWebPurchases]]+Table[[#This Row],[NumStorePurchases]]</f>
        <v>13</v>
      </c>
    </row>
    <row r="43" spans="1:20" ht="15.75" customHeight="1">
      <c r="A43" s="6">
        <v>41</v>
      </c>
      <c r="B43" s="6">
        <v>503</v>
      </c>
      <c r="C43" s="6">
        <v>1985</v>
      </c>
      <c r="D43" s="6">
        <f t="shared" si="0"/>
        <v>40</v>
      </c>
      <c r="E43" s="7" t="s">
        <v>14</v>
      </c>
      <c r="F43" s="7" t="s">
        <v>13</v>
      </c>
      <c r="G43" s="6">
        <v>20559</v>
      </c>
      <c r="H43" s="6" t="str" cm="1">
        <f t="array" ref="H43">_xlfn.IFS(
  G43 &lt; 25000, "Low",
  AND(G43 &gt;= 25000, G43 &lt; 75000), "Medium",
  AND(G43 &gt;= 75000, G43 &lt; 150000), "High",
  G43 &gt;= 150000, "Very High"
)</f>
        <v>Low</v>
      </c>
      <c r="I43" s="6">
        <v>1</v>
      </c>
      <c r="J43" s="6">
        <v>0</v>
      </c>
      <c r="K43" s="6">
        <f t="shared" si="1"/>
        <v>1</v>
      </c>
      <c r="L43" s="8">
        <v>41345</v>
      </c>
      <c r="M43" t="str">
        <f t="shared" ca="1" si="2"/>
        <v>12 years, 11 months</v>
      </c>
      <c r="N43" s="6">
        <v>88</v>
      </c>
      <c r="O43">
        <v>1</v>
      </c>
      <c r="P43">
        <v>0</v>
      </c>
      <c r="Q43">
        <f t="shared" si="3"/>
        <v>1</v>
      </c>
      <c r="R43">
        <v>2</v>
      </c>
      <c r="S43">
        <v>3</v>
      </c>
      <c r="T43">
        <f>Table[[#This Row],[NumWebPurchases]]+Table[[#This Row],[NumStorePurchases]]</f>
        <v>5</v>
      </c>
    </row>
    <row r="44" spans="1:20" ht="15.75" customHeight="1">
      <c r="A44" s="6">
        <v>42</v>
      </c>
      <c r="B44" s="6">
        <v>8430</v>
      </c>
      <c r="C44" s="6">
        <v>1957</v>
      </c>
      <c r="D44" s="6">
        <f t="shared" si="0"/>
        <v>68</v>
      </c>
      <c r="E44" s="7" t="s">
        <v>9</v>
      </c>
      <c r="F44" s="7" t="s">
        <v>11</v>
      </c>
      <c r="G44" s="6">
        <v>21994</v>
      </c>
      <c r="H44" s="6" t="str" cm="1">
        <f t="array" ref="H44">_xlfn.IFS(
  G44 &lt; 25000, "Low",
  AND(G44 &gt;= 25000, G44 &lt; 75000), "Medium",
  AND(G44 &gt;= 75000, G44 &lt; 150000), "High",
  G44 &gt;= 150000, "Very High"
)</f>
        <v>Low</v>
      </c>
      <c r="I44" s="6">
        <v>0</v>
      </c>
      <c r="J44" s="6">
        <v>1</v>
      </c>
      <c r="K44" s="6">
        <f t="shared" si="1"/>
        <v>1</v>
      </c>
      <c r="L44" s="9">
        <v>41267</v>
      </c>
      <c r="M44" t="str">
        <f t="shared" ca="1" si="2"/>
        <v>13 years, 2 months</v>
      </c>
      <c r="N44" s="6">
        <v>4</v>
      </c>
      <c r="O44">
        <v>0</v>
      </c>
      <c r="P44">
        <v>1</v>
      </c>
      <c r="Q44">
        <f t="shared" si="3"/>
        <v>1</v>
      </c>
      <c r="R44">
        <v>0</v>
      </c>
      <c r="S44">
        <v>3</v>
      </c>
      <c r="T44">
        <f>Table[[#This Row],[NumWebPurchases]]+Table[[#This Row],[NumStorePurchases]]</f>
        <v>3</v>
      </c>
    </row>
    <row r="45" spans="1:20" ht="15.75" customHeight="1">
      <c r="A45" s="6">
        <v>43</v>
      </c>
      <c r="B45" s="6">
        <v>7281</v>
      </c>
      <c r="C45" s="6">
        <v>1959</v>
      </c>
      <c r="D45" s="6">
        <f t="shared" si="0"/>
        <v>66</v>
      </c>
      <c r="E45" s="7" t="s">
        <v>12</v>
      </c>
      <c r="F45" s="7" t="s">
        <v>10</v>
      </c>
      <c r="G45" s="7">
        <v>51371</v>
      </c>
      <c r="H45" s="6" t="str" cm="1">
        <f t="array" ref="H45">_xlfn.IFS(
  G45 &lt; 25000, "Low",
  AND(G45 &gt;= 25000, G45 &lt; 75000), "Medium",
  AND(G45 &gt;= 75000, G45 &lt; 150000), "High",
  G45 &gt;= 150000, "Very High"
)</f>
        <v>Medium</v>
      </c>
      <c r="I45" s="6">
        <v>0</v>
      </c>
      <c r="J45" s="6">
        <v>0</v>
      </c>
      <c r="K45" s="6">
        <f t="shared" si="1"/>
        <v>0</v>
      </c>
      <c r="L45" s="8">
        <v>41583</v>
      </c>
      <c r="M45" t="str">
        <f t="shared" ca="1" si="2"/>
        <v>12 years, 4 months</v>
      </c>
      <c r="N45" s="6">
        <v>80</v>
      </c>
      <c r="O45">
        <v>11</v>
      </c>
      <c r="P45">
        <v>2</v>
      </c>
      <c r="Q45">
        <f t="shared" si="3"/>
        <v>13</v>
      </c>
      <c r="R45">
        <v>1</v>
      </c>
      <c r="S45">
        <v>4</v>
      </c>
      <c r="T45">
        <f>Table[[#This Row],[NumWebPurchases]]+Table[[#This Row],[NumStorePurchases]]</f>
        <v>5</v>
      </c>
    </row>
    <row r="46" spans="1:20" ht="12.5">
      <c r="A46" s="6">
        <v>44</v>
      </c>
      <c r="B46" s="6">
        <v>2139</v>
      </c>
      <c r="C46" s="6">
        <v>1975</v>
      </c>
      <c r="D46" s="6">
        <f t="shared" si="0"/>
        <v>50</v>
      </c>
      <c r="E46" s="7" t="s">
        <v>14</v>
      </c>
      <c r="F46" s="7" t="s">
        <v>13</v>
      </c>
      <c r="G46" s="6">
        <v>7500</v>
      </c>
      <c r="H46" s="6" t="str" cm="1">
        <f t="array" ref="H46">_xlfn.IFS(
  G46 &lt; 25000, "Low",
  AND(G46 &gt;= 25000, G46 &lt; 75000), "Medium",
  AND(G46 &gt;= 75000, G46 &lt; 150000), "High",
  G46 &gt;= 150000, "Very High"
)</f>
        <v>Low</v>
      </c>
      <c r="I46" s="6">
        <v>1</v>
      </c>
      <c r="J46" s="6">
        <v>0</v>
      </c>
      <c r="K46" s="6">
        <f t="shared" si="1"/>
        <v>1</v>
      </c>
      <c r="L46" s="8">
        <v>41549</v>
      </c>
      <c r="M46" t="str">
        <f t="shared" ca="1" si="2"/>
        <v>12 years, 5 months</v>
      </c>
      <c r="N46" s="6">
        <v>19</v>
      </c>
      <c r="O46">
        <v>1</v>
      </c>
      <c r="P46">
        <v>2</v>
      </c>
      <c r="Q46">
        <f t="shared" si="3"/>
        <v>3</v>
      </c>
      <c r="R46">
        <v>2</v>
      </c>
      <c r="S46">
        <v>3</v>
      </c>
      <c r="T46">
        <f>Table[[#This Row],[NumWebPurchases]]+Table[[#This Row],[NumStorePurchases]]</f>
        <v>5</v>
      </c>
    </row>
    <row r="47" spans="1:20" ht="12.5">
      <c r="A47" s="6">
        <v>45</v>
      </c>
      <c r="B47" s="6">
        <v>1371</v>
      </c>
      <c r="C47" s="6">
        <v>1976</v>
      </c>
      <c r="D47" s="6">
        <f t="shared" si="0"/>
        <v>49</v>
      </c>
      <c r="E47" s="7" t="s">
        <v>9</v>
      </c>
      <c r="F47" s="7" t="s">
        <v>10</v>
      </c>
      <c r="G47" s="6">
        <v>79941</v>
      </c>
      <c r="H47" s="6" t="str" cm="1">
        <f t="array" ref="H47">_xlfn.IFS(
  G47 &lt; 25000, "Low",
  AND(G47 &gt;= 25000, G47 &lt; 75000), "Medium",
  AND(G47 &gt;= 75000, G47 &lt; 150000), "High",
  G47 &gt;= 150000, "Very High"
)</f>
        <v>High</v>
      </c>
      <c r="I47" s="6">
        <v>0</v>
      </c>
      <c r="J47" s="6">
        <v>0</v>
      </c>
      <c r="K47" s="6">
        <f t="shared" si="1"/>
        <v>0</v>
      </c>
      <c r="L47" s="8">
        <v>41818</v>
      </c>
      <c r="M47" t="str">
        <f t="shared" ca="1" si="2"/>
        <v>11 years, 8 months</v>
      </c>
      <c r="N47" s="6">
        <v>72</v>
      </c>
      <c r="O47">
        <v>164</v>
      </c>
      <c r="P47">
        <v>30</v>
      </c>
      <c r="Q47">
        <f t="shared" si="3"/>
        <v>194</v>
      </c>
      <c r="R47">
        <v>2</v>
      </c>
      <c r="S47">
        <v>9</v>
      </c>
      <c r="T47">
        <f>Table[[#This Row],[NumWebPurchases]]+Table[[#This Row],[NumStorePurchases]]</f>
        <v>11</v>
      </c>
    </row>
    <row r="48" spans="1:20" ht="12.5">
      <c r="A48" s="6">
        <v>46</v>
      </c>
      <c r="B48" s="6">
        <v>9909</v>
      </c>
      <c r="C48" s="6">
        <v>1996</v>
      </c>
      <c r="D48" s="6">
        <f t="shared" si="0"/>
        <v>29</v>
      </c>
      <c r="E48" s="7" t="s">
        <v>17</v>
      </c>
      <c r="F48" s="7" t="s">
        <v>13</v>
      </c>
      <c r="G48" s="6">
        <v>7500</v>
      </c>
      <c r="H48" s="6" t="str" cm="1">
        <f t="array" ref="H48">_xlfn.IFS(
  G48 &lt; 25000, "Low",
  AND(G48 &gt;= 25000, G48 &lt; 75000), "Medium",
  AND(G48 &gt;= 75000, G48 &lt; 150000), "High",
  G48 &gt;= 150000, "Very High"
)</f>
        <v>Low</v>
      </c>
      <c r="I48" s="6">
        <v>0</v>
      </c>
      <c r="J48" s="6">
        <v>0</v>
      </c>
      <c r="K48" s="6">
        <f t="shared" si="1"/>
        <v>0</v>
      </c>
      <c r="L48" s="8">
        <v>41222</v>
      </c>
      <c r="M48" t="str">
        <f t="shared" ca="1" si="2"/>
        <v>13 years, 3 months</v>
      </c>
      <c r="N48" s="6">
        <v>24</v>
      </c>
      <c r="O48">
        <v>18</v>
      </c>
      <c r="P48">
        <v>22</v>
      </c>
      <c r="Q48">
        <f t="shared" si="3"/>
        <v>40</v>
      </c>
      <c r="R48">
        <v>3</v>
      </c>
      <c r="S48">
        <v>3</v>
      </c>
      <c r="T48">
        <f>Table[[#This Row],[NumWebPurchases]]+Table[[#This Row],[NumStorePurchases]]</f>
        <v>6</v>
      </c>
    </row>
    <row r="49" spans="1:20" ht="12.5">
      <c r="A49" s="6">
        <v>47</v>
      </c>
      <c r="B49" s="6">
        <v>7286</v>
      </c>
      <c r="C49" s="6">
        <v>1968</v>
      </c>
      <c r="D49" s="6">
        <f t="shared" si="0"/>
        <v>57</v>
      </c>
      <c r="E49" s="7" t="s">
        <v>9</v>
      </c>
      <c r="F49" s="7" t="s">
        <v>11</v>
      </c>
      <c r="G49" s="6">
        <v>41728</v>
      </c>
      <c r="H49" s="6" t="str" cm="1">
        <f t="array" ref="H49">_xlfn.IFS(
  G49 &lt; 25000, "Low",
  AND(G49 &gt;= 25000, G49 &lt; 75000), "Medium",
  AND(G49 &gt;= 75000, G49 &lt; 150000), "High",
  G49 &gt;= 150000, "Very High"
)</f>
        <v>Medium</v>
      </c>
      <c r="I49" s="6">
        <v>1</v>
      </c>
      <c r="J49" s="6">
        <v>0</v>
      </c>
      <c r="K49" s="6">
        <f t="shared" si="1"/>
        <v>1</v>
      </c>
      <c r="L49" s="8">
        <v>41418</v>
      </c>
      <c r="M49" t="str">
        <f t="shared" ca="1" si="2"/>
        <v>12 years, 9 months</v>
      </c>
      <c r="N49" s="6">
        <v>92</v>
      </c>
      <c r="O49">
        <v>6</v>
      </c>
      <c r="P49">
        <v>5</v>
      </c>
      <c r="Q49">
        <f t="shared" si="3"/>
        <v>11</v>
      </c>
      <c r="R49">
        <v>2</v>
      </c>
      <c r="S49">
        <v>2</v>
      </c>
      <c r="T49">
        <f>Table[[#This Row],[NumWebPurchases]]+Table[[#This Row],[NumStorePurchases]]</f>
        <v>4</v>
      </c>
    </row>
    <row r="50" spans="1:20" ht="12.5">
      <c r="A50" s="6">
        <v>48</v>
      </c>
      <c r="B50" s="6">
        <v>7244</v>
      </c>
      <c r="C50" s="6">
        <v>1951</v>
      </c>
      <c r="D50" s="6">
        <f t="shared" si="0"/>
        <v>74</v>
      </c>
      <c r="E50" s="7" t="s">
        <v>9</v>
      </c>
      <c r="F50" s="7" t="s">
        <v>10</v>
      </c>
      <c r="G50" s="7">
        <v>51371</v>
      </c>
      <c r="H50" s="6" t="str" cm="1">
        <f t="array" ref="H50">_xlfn.IFS(
  G50 &lt; 25000, "Low",
  AND(G50 &gt;= 25000, G50 &lt; 75000), "Medium",
  AND(G50 &gt;= 75000, G50 &lt; 150000), "High",
  G50 &gt;= 150000, "Very High"
)</f>
        <v>Medium</v>
      </c>
      <c r="I50" s="6">
        <v>2</v>
      </c>
      <c r="J50" s="6">
        <v>1</v>
      </c>
      <c r="K50" s="6">
        <f t="shared" si="1"/>
        <v>3</v>
      </c>
      <c r="L50" s="8">
        <v>41640</v>
      </c>
      <c r="M50" t="str">
        <f t="shared" ca="1" si="2"/>
        <v>12 years, 2 months</v>
      </c>
      <c r="N50" s="6">
        <v>96</v>
      </c>
      <c r="O50">
        <v>5</v>
      </c>
      <c r="P50">
        <v>10</v>
      </c>
      <c r="Q50">
        <f t="shared" si="3"/>
        <v>15</v>
      </c>
      <c r="R50">
        <v>2</v>
      </c>
      <c r="S50">
        <v>4</v>
      </c>
      <c r="T50">
        <f>Table[[#This Row],[NumWebPurchases]]+Table[[#This Row],[NumStorePurchases]]</f>
        <v>6</v>
      </c>
    </row>
    <row r="51" spans="1:20" ht="12.5">
      <c r="A51" s="6">
        <v>49</v>
      </c>
      <c r="B51" s="6">
        <v>6566</v>
      </c>
      <c r="C51" s="6">
        <v>1954</v>
      </c>
      <c r="D51" s="6">
        <f t="shared" si="0"/>
        <v>71</v>
      </c>
      <c r="E51" s="7" t="s">
        <v>12</v>
      </c>
      <c r="F51" s="7" t="s">
        <v>13</v>
      </c>
      <c r="G51" s="6">
        <v>72550</v>
      </c>
      <c r="H51" s="6" t="str" cm="1">
        <f t="array" ref="H51">_xlfn.IFS(
  G51 &lt; 25000, "Low",
  AND(G51 &gt;= 25000, G51 &lt; 75000), "Medium",
  AND(G51 &gt;= 75000, G51 &lt; 150000), "High",
  G51 &gt;= 150000, "Very High"
)</f>
        <v>Medium</v>
      </c>
      <c r="I51" s="6">
        <v>1</v>
      </c>
      <c r="J51" s="6">
        <v>1</v>
      </c>
      <c r="K51" s="6">
        <f t="shared" si="1"/>
        <v>2</v>
      </c>
      <c r="L51" s="8">
        <v>41221</v>
      </c>
      <c r="M51" t="str">
        <f t="shared" ca="1" si="2"/>
        <v>13 years, 3 months</v>
      </c>
      <c r="N51" s="6">
        <v>39</v>
      </c>
      <c r="O51">
        <v>50</v>
      </c>
      <c r="P51">
        <v>38</v>
      </c>
      <c r="Q51">
        <f t="shared" si="3"/>
        <v>88</v>
      </c>
      <c r="R51">
        <v>5</v>
      </c>
      <c r="S51">
        <v>12</v>
      </c>
      <c r="T51">
        <f>Table[[#This Row],[NumWebPurchases]]+Table[[#This Row],[NumStorePurchases]]</f>
        <v>17</v>
      </c>
    </row>
    <row r="52" spans="1:20" ht="12.5">
      <c r="A52" s="6">
        <v>50</v>
      </c>
      <c r="B52" s="6">
        <v>8614</v>
      </c>
      <c r="C52" s="6">
        <v>1957</v>
      </c>
      <c r="D52" s="6">
        <f t="shared" si="0"/>
        <v>68</v>
      </c>
      <c r="E52" s="7" t="s">
        <v>9</v>
      </c>
      <c r="F52" s="7" t="s">
        <v>18</v>
      </c>
      <c r="G52" s="6">
        <v>65486</v>
      </c>
      <c r="H52" s="6" t="str" cm="1">
        <f t="array" ref="H52">_xlfn.IFS(
  G52 &lt; 25000, "Low",
  AND(G52 &gt;= 25000, G52 &lt; 75000), "Medium",
  AND(G52 &gt;= 75000, G52 &lt; 150000), "High",
  G52 &gt;= 150000, "Very High"
)</f>
        <v>Medium</v>
      </c>
      <c r="I52" s="6">
        <v>0</v>
      </c>
      <c r="J52" s="6">
        <v>1</v>
      </c>
      <c r="K52" s="6">
        <f t="shared" si="1"/>
        <v>1</v>
      </c>
      <c r="L52" s="8">
        <v>41771</v>
      </c>
      <c r="M52" t="str">
        <f t="shared" ca="1" si="2"/>
        <v>11 years, 9 months</v>
      </c>
      <c r="N52" s="6">
        <v>29</v>
      </c>
      <c r="O52">
        <v>19</v>
      </c>
      <c r="P52">
        <v>67</v>
      </c>
      <c r="Q52">
        <f t="shared" si="3"/>
        <v>86</v>
      </c>
      <c r="R52">
        <v>4</v>
      </c>
      <c r="S52">
        <v>10</v>
      </c>
      <c r="T52">
        <f>Table[[#This Row],[NumWebPurchases]]+Table[[#This Row],[NumStorePurchases]]</f>
        <v>14</v>
      </c>
    </row>
    <row r="53" spans="1:20" ht="12.5">
      <c r="A53" s="6">
        <v>51</v>
      </c>
      <c r="B53" s="6">
        <v>4114</v>
      </c>
      <c r="C53" s="6">
        <v>1964</v>
      </c>
      <c r="D53" s="6">
        <f t="shared" si="0"/>
        <v>61</v>
      </c>
      <c r="E53" s="7" t="s">
        <v>14</v>
      </c>
      <c r="F53" s="7" t="s">
        <v>13</v>
      </c>
      <c r="G53" s="6">
        <v>79143</v>
      </c>
      <c r="H53" s="6" t="str" cm="1">
        <f t="array" ref="H53">_xlfn.IFS(
  G53 &lt; 25000, "Low",
  AND(G53 &gt;= 25000, G53 &lt; 75000), "Medium",
  AND(G53 &gt;= 75000, G53 &lt; 150000), "High",
  G53 &gt;= 150000, "Very High"
)</f>
        <v>High</v>
      </c>
      <c r="I53" s="6">
        <v>0</v>
      </c>
      <c r="J53" s="6">
        <v>0</v>
      </c>
      <c r="K53" s="6">
        <f t="shared" si="1"/>
        <v>0</v>
      </c>
      <c r="L53" s="8">
        <v>41132</v>
      </c>
      <c r="M53" t="str">
        <f t="shared" ca="1" si="2"/>
        <v>13 years, 6 months</v>
      </c>
      <c r="N53" s="6">
        <v>2</v>
      </c>
      <c r="O53">
        <v>37</v>
      </c>
      <c r="P53">
        <v>167</v>
      </c>
      <c r="Q53">
        <f t="shared" si="3"/>
        <v>204</v>
      </c>
      <c r="R53">
        <v>6</v>
      </c>
      <c r="S53">
        <v>13</v>
      </c>
      <c r="T53">
        <f>Table[[#This Row],[NumWebPurchases]]+Table[[#This Row],[NumStorePurchases]]</f>
        <v>19</v>
      </c>
    </row>
    <row r="54" spans="1:20" ht="12.5">
      <c r="A54" s="6">
        <v>52</v>
      </c>
      <c r="B54" s="6">
        <v>1331</v>
      </c>
      <c r="C54" s="6">
        <v>1977</v>
      </c>
      <c r="D54" s="6">
        <f t="shared" si="0"/>
        <v>48</v>
      </c>
      <c r="E54" s="7" t="s">
        <v>9</v>
      </c>
      <c r="F54" s="7" t="s">
        <v>10</v>
      </c>
      <c r="G54" s="6">
        <v>35790</v>
      </c>
      <c r="H54" s="6" t="str" cm="1">
        <f t="array" ref="H54">_xlfn.IFS(
  G54 &lt; 25000, "Low",
  AND(G54 &gt;= 25000, G54 &lt; 75000), "Medium",
  AND(G54 &gt;= 75000, G54 &lt; 150000), "High",
  G54 &gt;= 150000, "Very High"
)</f>
        <v>Medium</v>
      </c>
      <c r="I54" s="6">
        <v>1</v>
      </c>
      <c r="J54" s="6">
        <v>0</v>
      </c>
      <c r="K54" s="6">
        <f t="shared" si="1"/>
        <v>1</v>
      </c>
      <c r="L54" s="8">
        <v>41276</v>
      </c>
      <c r="M54" t="str">
        <f t="shared" ca="1" si="2"/>
        <v>13 years, 2 months</v>
      </c>
      <c r="N54" s="6">
        <v>54</v>
      </c>
      <c r="O54">
        <v>6</v>
      </c>
      <c r="P54">
        <v>1</v>
      </c>
      <c r="Q54">
        <f t="shared" si="3"/>
        <v>7</v>
      </c>
      <c r="R54">
        <v>2</v>
      </c>
      <c r="S54">
        <v>3</v>
      </c>
      <c r="T54">
        <f>Table[[#This Row],[NumWebPurchases]]+Table[[#This Row],[NumStorePurchases]]</f>
        <v>5</v>
      </c>
    </row>
    <row r="55" spans="1:20" ht="12.5">
      <c r="A55" s="6">
        <v>53</v>
      </c>
      <c r="B55" s="6">
        <v>2225</v>
      </c>
      <c r="C55" s="6">
        <v>1977</v>
      </c>
      <c r="D55" s="6">
        <f t="shared" si="0"/>
        <v>48</v>
      </c>
      <c r="E55" s="7" t="s">
        <v>9</v>
      </c>
      <c r="F55" s="7" t="s">
        <v>15</v>
      </c>
      <c r="G55" s="6">
        <v>82582</v>
      </c>
      <c r="H55" s="6" t="str" cm="1">
        <f t="array" ref="H55">_xlfn.IFS(
  G55 &lt; 25000, "Low",
  AND(G55 &gt;= 25000, G55 &lt; 75000), "Medium",
  AND(G55 &gt;= 75000, G55 &lt; 150000), "High",
  G55 &gt;= 150000, "Very High"
)</f>
        <v>High</v>
      </c>
      <c r="I55" s="6">
        <v>0</v>
      </c>
      <c r="J55" s="6">
        <v>0</v>
      </c>
      <c r="K55" s="6">
        <f t="shared" si="1"/>
        <v>0</v>
      </c>
      <c r="L55" s="8">
        <v>41797</v>
      </c>
      <c r="M55" t="str">
        <f t="shared" ca="1" si="2"/>
        <v>11 years, 8 months</v>
      </c>
      <c r="N55" s="6">
        <v>54</v>
      </c>
      <c r="O55">
        <v>120</v>
      </c>
      <c r="P55">
        <v>40</v>
      </c>
      <c r="Q55">
        <f t="shared" si="3"/>
        <v>160</v>
      </c>
      <c r="R55">
        <v>4</v>
      </c>
      <c r="S55">
        <v>7</v>
      </c>
      <c r="T55">
        <f>Table[[#This Row],[NumWebPurchases]]+Table[[#This Row],[NumStorePurchases]]</f>
        <v>11</v>
      </c>
    </row>
    <row r="56" spans="1:20" ht="12.5">
      <c r="A56" s="6">
        <v>54</v>
      </c>
      <c r="B56" s="6">
        <v>9381</v>
      </c>
      <c r="C56" s="6">
        <v>1978</v>
      </c>
      <c r="D56" s="6">
        <f t="shared" si="0"/>
        <v>47</v>
      </c>
      <c r="E56" s="7" t="s">
        <v>9</v>
      </c>
      <c r="F56" s="7" t="s">
        <v>13</v>
      </c>
      <c r="G56" s="6">
        <v>66373</v>
      </c>
      <c r="H56" s="6" t="str" cm="1">
        <f t="array" ref="H56">_xlfn.IFS(
  G56 &lt; 25000, "Low",
  AND(G56 &gt;= 25000, G56 &lt; 75000), "Medium",
  AND(G56 &gt;= 75000, G56 &lt; 150000), "High",
  G56 &gt;= 150000, "Very High"
)</f>
        <v>Medium</v>
      </c>
      <c r="I56" s="6">
        <v>1</v>
      </c>
      <c r="J56" s="6">
        <v>1</v>
      </c>
      <c r="K56" s="6">
        <f t="shared" si="1"/>
        <v>2</v>
      </c>
      <c r="L56" s="8">
        <v>41437</v>
      </c>
      <c r="M56" t="str">
        <f t="shared" ca="1" si="2"/>
        <v>12 years, 8 months</v>
      </c>
      <c r="N56" s="6">
        <v>57</v>
      </c>
      <c r="O56">
        <v>9</v>
      </c>
      <c r="P56">
        <v>24</v>
      </c>
      <c r="Q56">
        <f t="shared" si="3"/>
        <v>33</v>
      </c>
      <c r="R56">
        <v>4</v>
      </c>
      <c r="S56">
        <v>10</v>
      </c>
      <c r="T56">
        <f>Table[[#This Row],[NumWebPurchases]]+Table[[#This Row],[NumStorePurchases]]</f>
        <v>14</v>
      </c>
    </row>
    <row r="57" spans="1:20" ht="12.5">
      <c r="A57" s="6">
        <v>55</v>
      </c>
      <c r="B57" s="6">
        <v>6260</v>
      </c>
      <c r="C57" s="6">
        <v>1955</v>
      </c>
      <c r="D57" s="6">
        <f t="shared" si="0"/>
        <v>70</v>
      </c>
      <c r="E57" s="7" t="s">
        <v>14</v>
      </c>
      <c r="F57" s="7" t="s">
        <v>11</v>
      </c>
      <c r="G57" s="6">
        <v>82384</v>
      </c>
      <c r="H57" s="6" t="str" cm="1">
        <f t="array" ref="H57">_xlfn.IFS(
  G57 &lt; 25000, "Low",
  AND(G57 &gt;= 25000, G57 &lt; 75000), "Medium",
  AND(G57 &gt;= 75000, G57 &lt; 150000), "High",
  G57 &gt;= 150000, "Very High"
)</f>
        <v>High</v>
      </c>
      <c r="I57" s="6">
        <v>0</v>
      </c>
      <c r="J57" s="6">
        <v>0</v>
      </c>
      <c r="K57" s="6">
        <f t="shared" si="1"/>
        <v>0</v>
      </c>
      <c r="L57" s="9">
        <v>41232</v>
      </c>
      <c r="M57" t="str">
        <f t="shared" ca="1" si="2"/>
        <v>13 years, 3 months</v>
      </c>
      <c r="N57" s="6">
        <v>55</v>
      </c>
      <c r="O57">
        <v>51</v>
      </c>
      <c r="P57">
        <v>120</v>
      </c>
      <c r="Q57">
        <f t="shared" si="3"/>
        <v>171</v>
      </c>
      <c r="R57">
        <v>3</v>
      </c>
      <c r="S57">
        <v>13</v>
      </c>
      <c r="T57">
        <f>Table[[#This Row],[NumWebPurchases]]+Table[[#This Row],[NumStorePurchases]]</f>
        <v>16</v>
      </c>
    </row>
    <row r="58" spans="1:20" ht="12.5">
      <c r="A58" s="6">
        <v>56</v>
      </c>
      <c r="B58" s="6">
        <v>10383</v>
      </c>
      <c r="C58" s="6">
        <v>1966</v>
      </c>
      <c r="D58" s="6">
        <f t="shared" si="0"/>
        <v>59</v>
      </c>
      <c r="E58" s="7" t="s">
        <v>9</v>
      </c>
      <c r="F58" s="7" t="s">
        <v>15</v>
      </c>
      <c r="G58" s="6">
        <v>70287</v>
      </c>
      <c r="H58" s="6" t="str" cm="1">
        <f t="array" ref="H58">_xlfn.IFS(
  G58 &lt; 25000, "Low",
  AND(G58 &gt;= 25000, G58 &lt; 75000), "Medium",
  AND(G58 &gt;= 75000, G58 &lt; 150000), "High",
  G58 &gt;= 150000, "Very High"
)</f>
        <v>Medium</v>
      </c>
      <c r="I58" s="6">
        <v>0</v>
      </c>
      <c r="J58" s="6">
        <v>0</v>
      </c>
      <c r="K58" s="6">
        <f t="shared" si="1"/>
        <v>0</v>
      </c>
      <c r="L58" s="8">
        <v>41366</v>
      </c>
      <c r="M58" t="str">
        <f t="shared" ca="1" si="2"/>
        <v>12 years, 11 months</v>
      </c>
      <c r="N58" s="6">
        <v>30</v>
      </c>
      <c r="O58">
        <v>35</v>
      </c>
      <c r="P58">
        <v>120</v>
      </c>
      <c r="Q58">
        <f t="shared" si="3"/>
        <v>155</v>
      </c>
      <c r="R58">
        <v>5</v>
      </c>
      <c r="S58">
        <v>10</v>
      </c>
      <c r="T58">
        <f>Table[[#This Row],[NumWebPurchases]]+Table[[#This Row],[NumStorePurchases]]</f>
        <v>15</v>
      </c>
    </row>
    <row r="59" spans="1:20" ht="12.5">
      <c r="A59" s="6">
        <v>57</v>
      </c>
      <c r="B59" s="6">
        <v>7437</v>
      </c>
      <c r="C59" s="6">
        <v>1988</v>
      </c>
      <c r="D59" s="6">
        <f t="shared" si="0"/>
        <v>37</v>
      </c>
      <c r="E59" s="7" t="s">
        <v>9</v>
      </c>
      <c r="F59" s="7" t="s">
        <v>10</v>
      </c>
      <c r="G59" s="6">
        <v>27938</v>
      </c>
      <c r="H59" s="6" t="str" cm="1">
        <f t="array" ref="H59">_xlfn.IFS(
  G59 &lt; 25000, "Low",
  AND(G59 &gt;= 25000, G59 &lt; 75000), "Medium",
  AND(G59 &gt;= 75000, G59 &lt; 150000), "High",
  G59 &gt;= 150000, "Very High"
)</f>
        <v>Medium</v>
      </c>
      <c r="I59" s="6">
        <v>1</v>
      </c>
      <c r="J59" s="6">
        <v>0</v>
      </c>
      <c r="K59" s="6">
        <f t="shared" si="1"/>
        <v>1</v>
      </c>
      <c r="L59" s="8">
        <v>41757</v>
      </c>
      <c r="M59" t="str">
        <f t="shared" ca="1" si="2"/>
        <v>11 years, 10 months</v>
      </c>
      <c r="N59" s="6">
        <v>31</v>
      </c>
      <c r="O59">
        <v>0</v>
      </c>
      <c r="P59">
        <v>1</v>
      </c>
      <c r="Q59">
        <f t="shared" si="3"/>
        <v>1</v>
      </c>
      <c r="R59">
        <v>1</v>
      </c>
      <c r="S59">
        <v>4</v>
      </c>
      <c r="T59">
        <f>Table[[#This Row],[NumWebPurchases]]+Table[[#This Row],[NumStorePurchases]]</f>
        <v>5</v>
      </c>
    </row>
    <row r="60" spans="1:20" ht="12.5">
      <c r="A60" s="6">
        <v>58</v>
      </c>
      <c r="B60" s="6">
        <v>8557</v>
      </c>
      <c r="C60" s="6">
        <v>1982</v>
      </c>
      <c r="D60" s="6">
        <f t="shared" si="0"/>
        <v>43</v>
      </c>
      <c r="E60" s="7" t="s">
        <v>9</v>
      </c>
      <c r="F60" s="7" t="s">
        <v>10</v>
      </c>
      <c r="G60" s="7">
        <v>51371</v>
      </c>
      <c r="H60" s="6" t="str" cm="1">
        <f t="array" ref="H60">_xlfn.IFS(
  G60 &lt; 25000, "Low",
  AND(G60 &gt;= 25000, G60 &lt; 75000), "Medium",
  AND(G60 &gt;= 75000, G60 &lt; 150000), "High",
  G60 &gt;= 150000, "Very High"
)</f>
        <v>Medium</v>
      </c>
      <c r="I60" s="6">
        <v>1</v>
      </c>
      <c r="J60" s="6">
        <v>0</v>
      </c>
      <c r="K60" s="6">
        <f t="shared" si="1"/>
        <v>1</v>
      </c>
      <c r="L60" s="8">
        <v>41442</v>
      </c>
      <c r="M60" t="str">
        <f t="shared" ca="1" si="2"/>
        <v>12 years, 8 months</v>
      </c>
      <c r="N60" s="6">
        <v>57</v>
      </c>
      <c r="O60">
        <v>3</v>
      </c>
      <c r="P60">
        <v>2</v>
      </c>
      <c r="Q60">
        <f t="shared" si="3"/>
        <v>5</v>
      </c>
      <c r="R60">
        <v>2</v>
      </c>
      <c r="S60">
        <v>3</v>
      </c>
      <c r="T60">
        <f>Table[[#This Row],[NumWebPurchases]]+Table[[#This Row],[NumStorePurchases]]</f>
        <v>5</v>
      </c>
    </row>
    <row r="61" spans="1:20" ht="12.5">
      <c r="A61" s="6">
        <v>59</v>
      </c>
      <c r="B61" s="6">
        <v>8375</v>
      </c>
      <c r="C61" s="6">
        <v>1968</v>
      </c>
      <c r="D61" s="6">
        <f t="shared" si="0"/>
        <v>57</v>
      </c>
      <c r="E61" s="7" t="s">
        <v>12</v>
      </c>
      <c r="F61" s="7" t="s">
        <v>13</v>
      </c>
      <c r="G61" s="6">
        <v>55954</v>
      </c>
      <c r="H61" s="6" t="str" cm="1">
        <f t="array" ref="H61">_xlfn.IFS(
  G61 &lt; 25000, "Low",
  AND(G61 &gt;= 25000, G61 &lt; 75000), "Medium",
  AND(G61 &gt;= 75000, G61 &lt; 150000), "High",
  G61 &gt;= 150000, "Very High"
)</f>
        <v>Medium</v>
      </c>
      <c r="I61" s="6">
        <v>0</v>
      </c>
      <c r="J61" s="6">
        <v>1</v>
      </c>
      <c r="K61" s="6">
        <f t="shared" si="1"/>
        <v>1</v>
      </c>
      <c r="L61" s="8">
        <v>41701</v>
      </c>
      <c r="M61" t="str">
        <f t="shared" ca="1" si="2"/>
        <v>12 years, 0 months</v>
      </c>
      <c r="N61" s="6">
        <v>63</v>
      </c>
      <c r="O61">
        <v>0</v>
      </c>
      <c r="P61">
        <v>0</v>
      </c>
      <c r="Q61">
        <f t="shared" si="3"/>
        <v>0</v>
      </c>
      <c r="R61">
        <v>8</v>
      </c>
      <c r="S61">
        <v>6</v>
      </c>
      <c r="T61">
        <f>Table[[#This Row],[NumWebPurchases]]+Table[[#This Row],[NumStorePurchases]]</f>
        <v>14</v>
      </c>
    </row>
    <row r="62" spans="1:20" ht="12.5">
      <c r="A62" s="6">
        <v>60</v>
      </c>
      <c r="B62" s="6">
        <v>6853</v>
      </c>
      <c r="C62" s="6">
        <v>1982</v>
      </c>
      <c r="D62" s="6">
        <f t="shared" si="0"/>
        <v>43</v>
      </c>
      <c r="E62" s="7" t="s">
        <v>14</v>
      </c>
      <c r="F62" s="7" t="s">
        <v>10</v>
      </c>
      <c r="G62" s="6">
        <v>75777</v>
      </c>
      <c r="H62" s="6" t="str" cm="1">
        <f t="array" ref="H62">_xlfn.IFS(
  G62 &lt; 25000, "Low",
  AND(G62 &gt;= 25000, G62 &lt; 75000), "Medium",
  AND(G62 &gt;= 75000, G62 &lt; 150000), "High",
  G62 &gt;= 150000, "Very High"
)</f>
        <v>High</v>
      </c>
      <c r="I62" s="6">
        <v>0</v>
      </c>
      <c r="J62" s="6">
        <v>0</v>
      </c>
      <c r="K62" s="6">
        <f t="shared" si="1"/>
        <v>0</v>
      </c>
      <c r="L62" s="8">
        <v>41459</v>
      </c>
      <c r="M62" t="str">
        <f t="shared" ca="1" si="2"/>
        <v>12 years, 8 months</v>
      </c>
      <c r="N62" s="6">
        <v>12</v>
      </c>
      <c r="O62">
        <v>26</v>
      </c>
      <c r="P62">
        <v>13</v>
      </c>
      <c r="Q62">
        <f t="shared" si="3"/>
        <v>39</v>
      </c>
      <c r="R62">
        <v>3</v>
      </c>
      <c r="S62">
        <v>11</v>
      </c>
      <c r="T62">
        <f>Table[[#This Row],[NumWebPurchases]]+Table[[#This Row],[NumStorePurchases]]</f>
        <v>14</v>
      </c>
    </row>
    <row r="63" spans="1:20" ht="12.5">
      <c r="A63" s="6">
        <v>61</v>
      </c>
      <c r="B63" s="6">
        <v>3076</v>
      </c>
      <c r="C63" s="6">
        <v>1975</v>
      </c>
      <c r="D63" s="6">
        <f t="shared" si="0"/>
        <v>50</v>
      </c>
      <c r="E63" s="7" t="s">
        <v>9</v>
      </c>
      <c r="F63" s="7" t="s">
        <v>11</v>
      </c>
      <c r="G63" s="6">
        <v>66653</v>
      </c>
      <c r="H63" s="6" t="str" cm="1">
        <f t="array" ref="H63">_xlfn.IFS(
  G63 &lt; 25000, "Low",
  AND(G63 &gt;= 25000, G63 &lt; 75000), "Medium",
  AND(G63 &gt;= 75000, G63 &lt; 150000), "High",
  G63 &gt;= 150000, "Very High"
)</f>
        <v>Medium</v>
      </c>
      <c r="I63" s="6">
        <v>1</v>
      </c>
      <c r="J63" s="6">
        <v>1</v>
      </c>
      <c r="K63" s="6">
        <f t="shared" si="1"/>
        <v>2</v>
      </c>
      <c r="L63" s="8">
        <v>41159</v>
      </c>
      <c r="M63" t="str">
        <f t="shared" ca="1" si="2"/>
        <v>13 years, 5 months</v>
      </c>
      <c r="N63" s="6">
        <v>18</v>
      </c>
      <c r="O63">
        <v>18</v>
      </c>
      <c r="P63">
        <v>18</v>
      </c>
      <c r="Q63">
        <f t="shared" si="3"/>
        <v>36</v>
      </c>
      <c r="R63">
        <v>4</v>
      </c>
      <c r="S63">
        <v>12</v>
      </c>
      <c r="T63">
        <f>Table[[#This Row],[NumWebPurchases]]+Table[[#This Row],[NumStorePurchases]]</f>
        <v>16</v>
      </c>
    </row>
    <row r="64" spans="1:20" ht="12.5">
      <c r="A64" s="6">
        <v>62</v>
      </c>
      <c r="B64" s="6">
        <v>1012</v>
      </c>
      <c r="C64" s="6">
        <v>1952</v>
      </c>
      <c r="D64" s="6">
        <f t="shared" si="0"/>
        <v>73</v>
      </c>
      <c r="E64" s="7" t="s">
        <v>9</v>
      </c>
      <c r="F64" s="7" t="s">
        <v>10</v>
      </c>
      <c r="G64" s="6">
        <v>61823</v>
      </c>
      <c r="H64" s="6" t="str" cm="1">
        <f t="array" ref="H64">_xlfn.IFS(
  G64 &lt; 25000, "Low",
  AND(G64 &gt;= 25000, G64 &lt; 75000), "Medium",
  AND(G64 &gt;= 75000, G64 &lt; 150000), "High",
  G64 &gt;= 150000, "Very High"
)</f>
        <v>Medium</v>
      </c>
      <c r="I64" s="6">
        <v>0</v>
      </c>
      <c r="J64" s="6">
        <v>1</v>
      </c>
      <c r="K64" s="6">
        <f t="shared" si="1"/>
        <v>1</v>
      </c>
      <c r="L64" s="8">
        <v>41323</v>
      </c>
      <c r="M64" t="str">
        <f t="shared" ca="1" si="2"/>
        <v>13 years, 0 months</v>
      </c>
      <c r="N64" s="6">
        <v>26</v>
      </c>
      <c r="O64">
        <v>7</v>
      </c>
      <c r="P64">
        <v>14</v>
      </c>
      <c r="Q64">
        <f t="shared" si="3"/>
        <v>21</v>
      </c>
      <c r="R64">
        <v>8</v>
      </c>
      <c r="S64">
        <v>10</v>
      </c>
      <c r="T64">
        <f>Table[[#This Row],[NumWebPurchases]]+Table[[#This Row],[NumStorePurchases]]</f>
        <v>18</v>
      </c>
    </row>
    <row r="65" spans="1:20" ht="12.5">
      <c r="A65" s="6">
        <v>63</v>
      </c>
      <c r="B65" s="6">
        <v>6518</v>
      </c>
      <c r="C65" s="6">
        <v>1951</v>
      </c>
      <c r="D65" s="6">
        <f t="shared" si="0"/>
        <v>74</v>
      </c>
      <c r="E65" s="7" t="s">
        <v>12</v>
      </c>
      <c r="F65" s="7" t="s">
        <v>18</v>
      </c>
      <c r="G65" s="6">
        <v>67680</v>
      </c>
      <c r="H65" s="6" t="str" cm="1">
        <f t="array" ref="H65">_xlfn.IFS(
  G65 &lt; 25000, "Low",
  AND(G65 &gt;= 25000, G65 &lt; 75000), "Medium",
  AND(G65 &gt;= 75000, G65 &lt; 150000), "High",
  G65 &gt;= 150000, "Very High"
)</f>
        <v>Medium</v>
      </c>
      <c r="I65" s="6">
        <v>0</v>
      </c>
      <c r="J65" s="6">
        <v>1</v>
      </c>
      <c r="K65" s="6">
        <f t="shared" si="1"/>
        <v>1</v>
      </c>
      <c r="L65" s="8">
        <v>41436</v>
      </c>
      <c r="M65" t="str">
        <f t="shared" ca="1" si="2"/>
        <v>12 years, 8 months</v>
      </c>
      <c r="N65" s="6">
        <v>8</v>
      </c>
      <c r="O65">
        <v>0</v>
      </c>
      <c r="P65">
        <v>6</v>
      </c>
      <c r="Q65">
        <f t="shared" si="3"/>
        <v>6</v>
      </c>
      <c r="R65">
        <v>7</v>
      </c>
      <c r="S65">
        <v>8</v>
      </c>
      <c r="T65">
        <f>Table[[#This Row],[NumWebPurchases]]+Table[[#This Row],[NumStorePurchases]]</f>
        <v>15</v>
      </c>
    </row>
    <row r="66" spans="1:20" ht="12.5">
      <c r="A66" s="6">
        <v>64</v>
      </c>
      <c r="B66" s="6">
        <v>4137</v>
      </c>
      <c r="C66" s="6">
        <v>1948</v>
      </c>
      <c r="D66" s="6">
        <f t="shared" si="0"/>
        <v>77</v>
      </c>
      <c r="E66" s="7" t="s">
        <v>9</v>
      </c>
      <c r="F66" s="7" t="s">
        <v>11</v>
      </c>
      <c r="G66" s="6">
        <v>70666</v>
      </c>
      <c r="H66" s="6" t="str" cm="1">
        <f t="array" ref="H66">_xlfn.IFS(
  G66 &lt; 25000, "Low",
  AND(G66 &gt;= 25000, G66 &lt; 75000), "Medium",
  AND(G66 &gt;= 75000, G66 &lt; 150000), "High",
  G66 &gt;= 150000, "Very High"
)</f>
        <v>Medium</v>
      </c>
      <c r="I66" s="6">
        <v>0</v>
      </c>
      <c r="J66" s="6">
        <v>0</v>
      </c>
      <c r="K66" s="6">
        <f t="shared" si="1"/>
        <v>0</v>
      </c>
      <c r="L66" s="8">
        <v>41614</v>
      </c>
      <c r="M66" t="str">
        <f t="shared" ca="1" si="2"/>
        <v>12 years, 3 months</v>
      </c>
      <c r="N66" s="6">
        <v>29</v>
      </c>
      <c r="O66">
        <v>40</v>
      </c>
      <c r="P66">
        <v>122</v>
      </c>
      <c r="Q66">
        <f t="shared" si="3"/>
        <v>162</v>
      </c>
      <c r="R66">
        <v>7</v>
      </c>
      <c r="S66">
        <v>4</v>
      </c>
      <c r="T66">
        <f>Table[[#This Row],[NumWebPurchases]]+Table[[#This Row],[NumStorePurchases]]</f>
        <v>11</v>
      </c>
    </row>
    <row r="67" spans="1:20" ht="12.5">
      <c r="A67" s="6">
        <v>65</v>
      </c>
      <c r="B67" s="6">
        <v>8082</v>
      </c>
      <c r="C67" s="6">
        <v>1971</v>
      </c>
      <c r="D67" s="6">
        <f t="shared" ref="D67:D130" si="4">2025-C67</f>
        <v>54</v>
      </c>
      <c r="E67" s="7" t="s">
        <v>9</v>
      </c>
      <c r="F67" s="7" t="s">
        <v>13</v>
      </c>
      <c r="G67" s="6">
        <v>25721</v>
      </c>
      <c r="H67" s="6" t="str" cm="1">
        <f t="array" ref="H67">_xlfn.IFS(
  G67 &lt; 25000, "Low",
  AND(G67 &gt;= 25000, G67 &lt; 75000), "Medium",
  AND(G67 &gt;= 75000, G67 &lt; 150000), "High",
  G67 &gt;= 150000, "Very High"
)</f>
        <v>Medium</v>
      </c>
      <c r="I67" s="6">
        <v>1</v>
      </c>
      <c r="J67" s="6">
        <v>0</v>
      </c>
      <c r="K67" s="6">
        <f t="shared" ref="K67:K130" si="5">I67+J67</f>
        <v>1</v>
      </c>
      <c r="L67" s="8">
        <v>41415</v>
      </c>
      <c r="M67" t="str">
        <f t="shared" ref="M67:M130" ca="1" si="6">DATEDIF(L67, TODAY(), "Y") &amp; " years, " &amp; DATEDIF(L67, TODAY(), "YM") &amp; " months"</f>
        <v>12 years, 9 months</v>
      </c>
      <c r="N67" s="6">
        <v>75</v>
      </c>
      <c r="O67">
        <v>3</v>
      </c>
      <c r="P67">
        <v>6</v>
      </c>
      <c r="Q67">
        <f t="shared" ref="Q67:Q130" si="7">O67+P67</f>
        <v>9</v>
      </c>
      <c r="R67">
        <v>1</v>
      </c>
      <c r="S67">
        <v>2</v>
      </c>
      <c r="T67">
        <f>Table[[#This Row],[NumWebPurchases]]+Table[[#This Row],[NumStorePurchases]]</f>
        <v>3</v>
      </c>
    </row>
    <row r="68" spans="1:20" ht="12.5">
      <c r="A68" s="6">
        <v>66</v>
      </c>
      <c r="B68" s="6">
        <v>1386</v>
      </c>
      <c r="C68" s="6">
        <v>1967</v>
      </c>
      <c r="D68" s="6">
        <f t="shared" si="4"/>
        <v>58</v>
      </c>
      <c r="E68" s="7" t="s">
        <v>9</v>
      </c>
      <c r="F68" s="7" t="s">
        <v>11</v>
      </c>
      <c r="G68" s="6">
        <v>32474</v>
      </c>
      <c r="H68" s="6" t="str" cm="1">
        <f t="array" ref="H68">_xlfn.IFS(
  G68 &lt; 25000, "Low",
  AND(G68 &gt;= 25000, G68 &lt; 75000), "Medium",
  AND(G68 &gt;= 75000, G68 &lt; 150000), "High",
  G68 &gt;= 150000, "Very High"
)</f>
        <v>Medium</v>
      </c>
      <c r="I68" s="6">
        <v>1</v>
      </c>
      <c r="J68" s="6">
        <v>1</v>
      </c>
      <c r="K68" s="6">
        <f t="shared" si="5"/>
        <v>2</v>
      </c>
      <c r="L68" s="8">
        <v>41770</v>
      </c>
      <c r="M68" t="str">
        <f t="shared" ca="1" si="6"/>
        <v>11 years, 9 months</v>
      </c>
      <c r="N68" s="6">
        <v>0</v>
      </c>
      <c r="O68">
        <v>0</v>
      </c>
      <c r="P68">
        <v>0</v>
      </c>
      <c r="Q68">
        <f t="shared" si="7"/>
        <v>0</v>
      </c>
      <c r="R68">
        <v>1</v>
      </c>
      <c r="S68">
        <v>2</v>
      </c>
      <c r="T68">
        <f>Table[[#This Row],[NumWebPurchases]]+Table[[#This Row],[NumStorePurchases]]</f>
        <v>3</v>
      </c>
    </row>
    <row r="69" spans="1:20" ht="12.5">
      <c r="A69" s="6">
        <v>67</v>
      </c>
      <c r="B69" s="6">
        <v>9369</v>
      </c>
      <c r="C69" s="6">
        <v>1979</v>
      </c>
      <c r="D69" s="6">
        <f t="shared" si="4"/>
        <v>46</v>
      </c>
      <c r="E69" s="7" t="s">
        <v>17</v>
      </c>
      <c r="F69" s="7" t="s">
        <v>10</v>
      </c>
      <c r="G69" s="6">
        <v>88194</v>
      </c>
      <c r="H69" s="6" t="str" cm="1">
        <f t="array" ref="H69">_xlfn.IFS(
  G69 &lt; 25000, "Low",
  AND(G69 &gt;= 25000, G69 &lt; 75000), "Medium",
  AND(G69 &gt;= 75000, G69 &lt; 150000), "High",
  G69 &gt;= 150000, "Very High"
)</f>
        <v>High</v>
      </c>
      <c r="I69" s="6">
        <v>0</v>
      </c>
      <c r="J69" s="6">
        <v>1</v>
      </c>
      <c r="K69" s="6">
        <f t="shared" si="5"/>
        <v>1</v>
      </c>
      <c r="L69" s="8">
        <v>41717</v>
      </c>
      <c r="M69" t="str">
        <f t="shared" ca="1" si="6"/>
        <v>11 years, 11 months</v>
      </c>
      <c r="N69" s="6">
        <v>19</v>
      </c>
      <c r="O69">
        <v>14</v>
      </c>
      <c r="P69">
        <v>24</v>
      </c>
      <c r="Q69">
        <f t="shared" si="7"/>
        <v>38</v>
      </c>
      <c r="R69">
        <v>11</v>
      </c>
      <c r="S69">
        <v>10</v>
      </c>
      <c r="T69">
        <f>Table[[#This Row],[NumWebPurchases]]+Table[[#This Row],[NumStorePurchases]]</f>
        <v>21</v>
      </c>
    </row>
    <row r="70" spans="1:20" ht="12.5">
      <c r="A70" s="6">
        <v>68</v>
      </c>
      <c r="B70" s="6">
        <v>4477</v>
      </c>
      <c r="C70" s="6">
        <v>1958</v>
      </c>
      <c r="D70" s="6">
        <f t="shared" si="4"/>
        <v>67</v>
      </c>
      <c r="E70" s="7" t="s">
        <v>9</v>
      </c>
      <c r="F70" s="7" t="s">
        <v>11</v>
      </c>
      <c r="G70" s="6">
        <v>69096</v>
      </c>
      <c r="H70" s="6" t="str" cm="1">
        <f t="array" ref="H70">_xlfn.IFS(
  G70 &lt; 25000, "Low",
  AND(G70 &gt;= 25000, G70 &lt; 75000), "Medium",
  AND(G70 &gt;= 75000, G70 &lt; 150000), "High",
  G70 &gt;= 150000, "Very High"
)</f>
        <v>Medium</v>
      </c>
      <c r="I70" s="6">
        <v>0</v>
      </c>
      <c r="J70" s="6">
        <v>1</v>
      </c>
      <c r="K70" s="6">
        <f t="shared" si="5"/>
        <v>1</v>
      </c>
      <c r="L70" s="8">
        <v>41544</v>
      </c>
      <c r="M70" t="str">
        <f t="shared" ca="1" si="6"/>
        <v>12 years, 5 months</v>
      </c>
      <c r="N70" s="6">
        <v>4</v>
      </c>
      <c r="O70">
        <v>49</v>
      </c>
      <c r="P70">
        <v>82</v>
      </c>
      <c r="Q70">
        <f t="shared" si="7"/>
        <v>131</v>
      </c>
      <c r="R70">
        <v>5</v>
      </c>
      <c r="S70">
        <v>10</v>
      </c>
      <c r="T70">
        <f>Table[[#This Row],[NumWebPurchases]]+Table[[#This Row],[NumStorePurchases]]</f>
        <v>15</v>
      </c>
    </row>
    <row r="71" spans="1:20" ht="12.5">
      <c r="A71" s="6">
        <v>69</v>
      </c>
      <c r="B71" s="6">
        <v>1357</v>
      </c>
      <c r="C71" s="6">
        <v>1970</v>
      </c>
      <c r="D71" s="6">
        <f t="shared" si="4"/>
        <v>55</v>
      </c>
      <c r="E71" s="7" t="s">
        <v>9</v>
      </c>
      <c r="F71" s="7" t="s">
        <v>11</v>
      </c>
      <c r="G71" s="6">
        <v>74854</v>
      </c>
      <c r="H71" s="6" t="str" cm="1">
        <f t="array" ref="H71">_xlfn.IFS(
  G71 &lt; 25000, "Low",
  AND(G71 &gt;= 25000, G71 &lt; 75000), "Medium",
  AND(G71 &gt;= 75000, G71 &lt; 150000), "High",
  G71 &gt;= 150000, "Very High"
)</f>
        <v>Medium</v>
      </c>
      <c r="I71" s="6">
        <v>1</v>
      </c>
      <c r="J71" s="6">
        <v>2</v>
      </c>
      <c r="K71" s="6">
        <f t="shared" si="5"/>
        <v>3</v>
      </c>
      <c r="L71" s="8">
        <v>41372</v>
      </c>
      <c r="M71" t="str">
        <f t="shared" ca="1" si="6"/>
        <v>12 years, 10 months</v>
      </c>
      <c r="N71" s="6">
        <v>90</v>
      </c>
      <c r="O71">
        <v>59</v>
      </c>
      <c r="P71">
        <v>29</v>
      </c>
      <c r="Q71">
        <f t="shared" si="7"/>
        <v>88</v>
      </c>
      <c r="R71">
        <v>2</v>
      </c>
      <c r="S71">
        <v>5</v>
      </c>
      <c r="T71">
        <f>Table[[#This Row],[NumWebPurchases]]+Table[[#This Row],[NumStorePurchases]]</f>
        <v>7</v>
      </c>
    </row>
    <row r="72" spans="1:20" ht="12.5">
      <c r="A72" s="6">
        <v>70</v>
      </c>
      <c r="B72" s="6">
        <v>1402</v>
      </c>
      <c r="C72" s="6">
        <v>1954</v>
      </c>
      <c r="D72" s="6">
        <f t="shared" si="4"/>
        <v>71</v>
      </c>
      <c r="E72" s="7" t="s">
        <v>14</v>
      </c>
      <c r="F72" s="7" t="s">
        <v>13</v>
      </c>
      <c r="G72" s="6">
        <v>66991</v>
      </c>
      <c r="H72" s="6" t="str" cm="1">
        <f t="array" ref="H72">_xlfn.IFS(
  G72 &lt; 25000, "Low",
  AND(G72 &gt;= 25000, G72 &lt; 75000), "Medium",
  AND(G72 &gt;= 75000, G72 &lt; 150000), "High",
  G72 &gt;= 150000, "Very High"
)</f>
        <v>Medium</v>
      </c>
      <c r="I72" s="6">
        <v>0</v>
      </c>
      <c r="J72" s="6">
        <v>0</v>
      </c>
      <c r="K72" s="6">
        <f t="shared" si="5"/>
        <v>0</v>
      </c>
      <c r="L72" s="8">
        <v>41163</v>
      </c>
      <c r="M72" t="str">
        <f t="shared" ca="1" si="6"/>
        <v>13 years, 5 months</v>
      </c>
      <c r="N72" s="6">
        <v>1</v>
      </c>
      <c r="O72">
        <v>36</v>
      </c>
      <c r="P72">
        <v>60</v>
      </c>
      <c r="Q72">
        <f t="shared" si="7"/>
        <v>96</v>
      </c>
      <c r="R72">
        <v>4</v>
      </c>
      <c r="S72">
        <v>6</v>
      </c>
      <c r="T72">
        <f>Table[[#This Row],[NumWebPurchases]]+Table[[#This Row],[NumStorePurchases]]</f>
        <v>10</v>
      </c>
    </row>
    <row r="73" spans="1:20" ht="12.5">
      <c r="A73" s="6">
        <v>71</v>
      </c>
      <c r="B73" s="6">
        <v>10629</v>
      </c>
      <c r="C73" s="6">
        <v>1973</v>
      </c>
      <c r="D73" s="6">
        <f t="shared" si="4"/>
        <v>52</v>
      </c>
      <c r="E73" s="7" t="s">
        <v>17</v>
      </c>
      <c r="F73" s="7" t="s">
        <v>13</v>
      </c>
      <c r="G73" s="7">
        <v>51371</v>
      </c>
      <c r="H73" s="6" t="str" cm="1">
        <f t="array" ref="H73">_xlfn.IFS(
  G73 &lt; 25000, "Low",
  AND(G73 &gt;= 25000, G73 &lt; 75000), "Medium",
  AND(G73 &gt;= 75000, G73 &lt; 150000), "High",
  G73 &gt;= 150000, "Very High"
)</f>
        <v>Medium</v>
      </c>
      <c r="I73" s="6">
        <v>1</v>
      </c>
      <c r="J73" s="6">
        <v>0</v>
      </c>
      <c r="K73" s="6">
        <f t="shared" si="5"/>
        <v>1</v>
      </c>
      <c r="L73" s="8">
        <v>41166</v>
      </c>
      <c r="M73" t="str">
        <f t="shared" ca="1" si="6"/>
        <v>13 years, 5 months</v>
      </c>
      <c r="N73" s="6">
        <v>25</v>
      </c>
      <c r="O73">
        <v>3</v>
      </c>
      <c r="P73">
        <v>4</v>
      </c>
      <c r="Q73">
        <f t="shared" si="7"/>
        <v>7</v>
      </c>
      <c r="R73">
        <v>3</v>
      </c>
      <c r="S73">
        <v>3</v>
      </c>
      <c r="T73">
        <f>Table[[#This Row],[NumWebPurchases]]+Table[[#This Row],[NumStorePurchases]]</f>
        <v>6</v>
      </c>
    </row>
    <row r="74" spans="1:20" ht="12.5">
      <c r="A74" s="6">
        <v>72</v>
      </c>
      <c r="B74" s="6">
        <v>6312</v>
      </c>
      <c r="C74" s="6">
        <v>1959</v>
      </c>
      <c r="D74" s="6">
        <f t="shared" si="4"/>
        <v>66</v>
      </c>
      <c r="E74" s="7" t="s">
        <v>9</v>
      </c>
      <c r="F74" s="7" t="s">
        <v>13</v>
      </c>
      <c r="G74" s="6">
        <v>65031</v>
      </c>
      <c r="H74" s="6" t="str" cm="1">
        <f t="array" ref="H74">_xlfn.IFS(
  G74 &lt; 25000, "Low",
  AND(G74 &gt;= 25000, G74 &lt; 75000), "Medium",
  AND(G74 &gt;= 75000, G74 &lt; 150000), "High",
  G74 &gt;= 150000, "Very High"
)</f>
        <v>Medium</v>
      </c>
      <c r="I74" s="6">
        <v>0</v>
      </c>
      <c r="J74" s="6">
        <v>1</v>
      </c>
      <c r="K74" s="6">
        <f t="shared" si="5"/>
        <v>1</v>
      </c>
      <c r="L74" s="8">
        <v>41350</v>
      </c>
      <c r="M74" t="str">
        <f t="shared" ca="1" si="6"/>
        <v>12 years, 11 months</v>
      </c>
      <c r="N74" s="6">
        <v>29</v>
      </c>
      <c r="O74">
        <v>107</v>
      </c>
      <c r="P74">
        <v>37</v>
      </c>
      <c r="Q74">
        <f t="shared" si="7"/>
        <v>144</v>
      </c>
      <c r="R74">
        <v>10</v>
      </c>
      <c r="S74">
        <v>13</v>
      </c>
      <c r="T74">
        <f>Table[[#This Row],[NumWebPurchases]]+Table[[#This Row],[NumStorePurchases]]</f>
        <v>23</v>
      </c>
    </row>
    <row r="75" spans="1:20" ht="12.5">
      <c r="A75" s="6">
        <v>73</v>
      </c>
      <c r="B75" s="6">
        <v>8132</v>
      </c>
      <c r="C75" s="6">
        <v>1975</v>
      </c>
      <c r="D75" s="6">
        <f t="shared" si="4"/>
        <v>50</v>
      </c>
      <c r="E75" s="7" t="s">
        <v>12</v>
      </c>
      <c r="F75" s="7" t="s">
        <v>13</v>
      </c>
      <c r="G75" s="6">
        <v>60631</v>
      </c>
      <c r="H75" s="6" t="str" cm="1">
        <f t="array" ref="H75">_xlfn.IFS(
  G75 &lt; 25000, "Low",
  AND(G75 &gt;= 25000, G75 &lt; 75000), "Medium",
  AND(G75 &gt;= 75000, G75 &lt; 150000), "High",
  G75 &gt;= 150000, "Very High"
)</f>
        <v>Medium</v>
      </c>
      <c r="I75" s="6">
        <v>1</v>
      </c>
      <c r="J75" s="6">
        <v>1</v>
      </c>
      <c r="K75" s="6">
        <f t="shared" si="5"/>
        <v>2</v>
      </c>
      <c r="L75" s="8">
        <v>41369</v>
      </c>
      <c r="M75" t="str">
        <f t="shared" ca="1" si="6"/>
        <v>12 years, 11 months</v>
      </c>
      <c r="N75" s="6">
        <v>88</v>
      </c>
      <c r="O75">
        <v>6</v>
      </c>
      <c r="P75">
        <v>6</v>
      </c>
      <c r="Q75">
        <f t="shared" si="7"/>
        <v>12</v>
      </c>
      <c r="R75">
        <v>9</v>
      </c>
      <c r="S75">
        <v>8</v>
      </c>
      <c r="T75">
        <f>Table[[#This Row],[NumWebPurchases]]+Table[[#This Row],[NumStorePurchases]]</f>
        <v>17</v>
      </c>
    </row>
    <row r="76" spans="1:20" ht="12.5">
      <c r="A76" s="6">
        <v>74</v>
      </c>
      <c r="B76" s="6">
        <v>1050</v>
      </c>
      <c r="C76" s="6">
        <v>1952</v>
      </c>
      <c r="D76" s="6">
        <f t="shared" si="4"/>
        <v>73</v>
      </c>
      <c r="E76" s="7" t="s">
        <v>9</v>
      </c>
      <c r="F76" s="7" t="s">
        <v>13</v>
      </c>
      <c r="G76" s="6">
        <v>28332</v>
      </c>
      <c r="H76" s="6" t="str" cm="1">
        <f t="array" ref="H76">_xlfn.IFS(
  G76 &lt; 25000, "Low",
  AND(G76 &gt;= 25000, G76 &lt; 75000), "Medium",
  AND(G76 &gt;= 75000, G76 &lt; 150000), "High",
  G76 &gt;= 150000, "Very High"
)</f>
        <v>Medium</v>
      </c>
      <c r="I76" s="6">
        <v>0</v>
      </c>
      <c r="J76" s="6">
        <v>0</v>
      </c>
      <c r="K76" s="6">
        <f t="shared" si="5"/>
        <v>0</v>
      </c>
      <c r="L76" s="8">
        <v>41759</v>
      </c>
      <c r="M76" t="str">
        <f t="shared" ca="1" si="6"/>
        <v>11 years, 10 months</v>
      </c>
      <c r="N76" s="6">
        <v>58</v>
      </c>
      <c r="O76">
        <v>10</v>
      </c>
      <c r="P76">
        <v>15</v>
      </c>
      <c r="Q76">
        <f t="shared" si="7"/>
        <v>25</v>
      </c>
      <c r="R76">
        <v>2</v>
      </c>
      <c r="S76">
        <v>4</v>
      </c>
      <c r="T76">
        <f>Table[[#This Row],[NumWebPurchases]]+Table[[#This Row],[NumStorePurchases]]</f>
        <v>6</v>
      </c>
    </row>
    <row r="77" spans="1:20" ht="12.5">
      <c r="A77" s="6">
        <v>75</v>
      </c>
      <c r="B77" s="6">
        <v>5846</v>
      </c>
      <c r="C77" s="6">
        <v>1977</v>
      </c>
      <c r="D77" s="6">
        <f t="shared" si="4"/>
        <v>48</v>
      </c>
      <c r="E77" s="7" t="s">
        <v>9</v>
      </c>
      <c r="F77" s="7" t="s">
        <v>15</v>
      </c>
      <c r="G77" s="6">
        <v>40246</v>
      </c>
      <c r="H77" s="6" t="str" cm="1">
        <f t="array" ref="H77">_xlfn.IFS(
  G77 &lt; 25000, "Low",
  AND(G77 &gt;= 25000, G77 &lt; 75000), "Medium",
  AND(G77 &gt;= 75000, G77 &lt; 150000), "High",
  G77 &gt;= 150000, "Very High"
)</f>
        <v>Medium</v>
      </c>
      <c r="I77" s="6">
        <v>1</v>
      </c>
      <c r="J77" s="6">
        <v>0</v>
      </c>
      <c r="K77" s="6">
        <f t="shared" si="5"/>
        <v>1</v>
      </c>
      <c r="L77" s="9">
        <v>41262</v>
      </c>
      <c r="M77" t="str">
        <f t="shared" ca="1" si="6"/>
        <v>13 years, 2 months</v>
      </c>
      <c r="N77" s="6">
        <v>68</v>
      </c>
      <c r="O77">
        <v>1</v>
      </c>
      <c r="P77">
        <v>1</v>
      </c>
      <c r="Q77">
        <f t="shared" si="7"/>
        <v>2</v>
      </c>
      <c r="R77">
        <v>1</v>
      </c>
      <c r="S77">
        <v>2</v>
      </c>
      <c r="T77">
        <f>Table[[#This Row],[NumWebPurchases]]+Table[[#This Row],[NumStorePurchases]]</f>
        <v>3</v>
      </c>
    </row>
    <row r="78" spans="1:20" ht="12.5">
      <c r="A78" s="6">
        <v>76</v>
      </c>
      <c r="B78" s="6">
        <v>1859</v>
      </c>
      <c r="C78" s="6">
        <v>1972</v>
      </c>
      <c r="D78" s="6">
        <f t="shared" si="4"/>
        <v>53</v>
      </c>
      <c r="E78" s="7" t="s">
        <v>14</v>
      </c>
      <c r="F78" s="7" t="s">
        <v>13</v>
      </c>
      <c r="G78" s="6">
        <v>75251</v>
      </c>
      <c r="H78" s="6" t="str" cm="1">
        <f t="array" ref="H78">_xlfn.IFS(
  G78 &lt; 25000, "Low",
  AND(G78 &gt;= 25000, G78 &lt; 75000), "Medium",
  AND(G78 &gt;= 75000, G78 &lt; 150000), "High",
  G78 &gt;= 150000, "Very High"
)</f>
        <v>High</v>
      </c>
      <c r="I78" s="6">
        <v>0</v>
      </c>
      <c r="J78" s="6">
        <v>0</v>
      </c>
      <c r="K78" s="6">
        <f t="shared" si="5"/>
        <v>0</v>
      </c>
      <c r="L78" s="8">
        <v>41148</v>
      </c>
      <c r="M78" t="str">
        <f t="shared" ca="1" si="6"/>
        <v>13 years, 6 months</v>
      </c>
      <c r="N78" s="6">
        <v>34</v>
      </c>
      <c r="O78">
        <v>111</v>
      </c>
      <c r="P78">
        <v>18</v>
      </c>
      <c r="Q78">
        <f t="shared" si="7"/>
        <v>129</v>
      </c>
      <c r="R78">
        <v>7</v>
      </c>
      <c r="S78">
        <v>5</v>
      </c>
      <c r="T78">
        <f>Table[[#This Row],[NumWebPurchases]]+Table[[#This Row],[NumStorePurchases]]</f>
        <v>12</v>
      </c>
    </row>
    <row r="79" spans="1:20" ht="12.5">
      <c r="A79" s="6">
        <v>77</v>
      </c>
      <c r="B79" s="6">
        <v>7503</v>
      </c>
      <c r="C79" s="6">
        <v>1976</v>
      </c>
      <c r="D79" s="6">
        <f t="shared" si="4"/>
        <v>49</v>
      </c>
      <c r="E79" s="7" t="s">
        <v>9</v>
      </c>
      <c r="F79" s="7" t="s">
        <v>10</v>
      </c>
      <c r="G79" s="6">
        <v>75825</v>
      </c>
      <c r="H79" s="6" t="str" cm="1">
        <f t="array" ref="H79">_xlfn.IFS(
  G79 &lt; 25000, "Low",
  AND(G79 &gt;= 25000, G79 &lt; 75000), "Medium",
  AND(G79 &gt;= 75000, G79 &lt; 150000), "High",
  G79 &gt;= 150000, "Very High"
)</f>
        <v>High</v>
      </c>
      <c r="I79" s="6">
        <v>0</v>
      </c>
      <c r="J79" s="6">
        <v>0</v>
      </c>
      <c r="K79" s="6">
        <f t="shared" si="5"/>
        <v>0</v>
      </c>
      <c r="L79" s="9">
        <v>41194</v>
      </c>
      <c r="M79" t="str">
        <f t="shared" ca="1" si="6"/>
        <v>13 years, 4 months</v>
      </c>
      <c r="N79" s="6">
        <v>40</v>
      </c>
      <c r="O79">
        <v>105</v>
      </c>
      <c r="P79">
        <v>105</v>
      </c>
      <c r="Q79">
        <f t="shared" si="7"/>
        <v>210</v>
      </c>
      <c r="R79">
        <v>5</v>
      </c>
      <c r="S79">
        <v>9</v>
      </c>
      <c r="T79">
        <f>Table[[#This Row],[NumWebPurchases]]+Table[[#This Row],[NumStorePurchases]]</f>
        <v>14</v>
      </c>
    </row>
    <row r="80" spans="1:20" ht="12.5">
      <c r="A80" s="6">
        <v>78</v>
      </c>
      <c r="B80" s="6">
        <v>10401</v>
      </c>
      <c r="C80" s="6">
        <v>1976</v>
      </c>
      <c r="D80" s="6">
        <f t="shared" si="4"/>
        <v>49</v>
      </c>
      <c r="E80" s="7" t="s">
        <v>17</v>
      </c>
      <c r="F80" s="7" t="s">
        <v>11</v>
      </c>
      <c r="G80" s="6">
        <v>26326</v>
      </c>
      <c r="H80" s="6" t="str" cm="1">
        <f t="array" ref="H80">_xlfn.IFS(
  G80 &lt; 25000, "Low",
  AND(G80 &gt;= 25000, G80 &lt; 75000), "Medium",
  AND(G80 &gt;= 75000, G80 &lt; 150000), "High",
  G80 &gt;= 150000, "Very High"
)</f>
        <v>Medium</v>
      </c>
      <c r="I80" s="6">
        <v>0</v>
      </c>
      <c r="J80" s="6">
        <v>0</v>
      </c>
      <c r="K80" s="6">
        <f t="shared" si="5"/>
        <v>0</v>
      </c>
      <c r="L80" s="8">
        <v>41521</v>
      </c>
      <c r="M80" t="str">
        <f t="shared" ca="1" si="6"/>
        <v>12 years, 6 months</v>
      </c>
      <c r="N80" s="6">
        <v>12</v>
      </c>
      <c r="O80">
        <v>0</v>
      </c>
      <c r="P80">
        <v>3</v>
      </c>
      <c r="Q80">
        <f t="shared" si="7"/>
        <v>3</v>
      </c>
      <c r="R80">
        <v>0</v>
      </c>
      <c r="S80">
        <v>3</v>
      </c>
      <c r="T80">
        <f>Table[[#This Row],[NumWebPurchases]]+Table[[#This Row],[NumStorePurchases]]</f>
        <v>3</v>
      </c>
    </row>
    <row r="81" spans="1:20" ht="12.5">
      <c r="A81" s="6">
        <v>79</v>
      </c>
      <c r="B81" s="6">
        <v>1618</v>
      </c>
      <c r="C81" s="6">
        <v>1965</v>
      </c>
      <c r="D81" s="6">
        <f t="shared" si="4"/>
        <v>60</v>
      </c>
      <c r="E81" s="7" t="s">
        <v>9</v>
      </c>
      <c r="F81" s="7" t="s">
        <v>11</v>
      </c>
      <c r="G81" s="6">
        <v>56046</v>
      </c>
      <c r="H81" s="6" t="str" cm="1">
        <f t="array" ref="H81">_xlfn.IFS(
  G81 &lt; 25000, "Low",
  AND(G81 &gt;= 25000, G81 &lt; 75000), "Medium",
  AND(G81 &gt;= 75000, G81 &lt; 150000), "High",
  G81 &gt;= 150000, "Very High"
)</f>
        <v>Medium</v>
      </c>
      <c r="I81" s="6">
        <v>0</v>
      </c>
      <c r="J81" s="6">
        <v>0</v>
      </c>
      <c r="K81" s="6">
        <f t="shared" si="5"/>
        <v>0</v>
      </c>
      <c r="L81" s="8">
        <v>41276</v>
      </c>
      <c r="M81" t="str">
        <f t="shared" ca="1" si="6"/>
        <v>13 years, 2 months</v>
      </c>
      <c r="N81" s="6">
        <v>9</v>
      </c>
      <c r="O81">
        <v>0</v>
      </c>
      <c r="P81">
        <v>0</v>
      </c>
      <c r="Q81">
        <f t="shared" si="7"/>
        <v>0</v>
      </c>
      <c r="R81">
        <v>10</v>
      </c>
      <c r="S81">
        <v>8</v>
      </c>
      <c r="T81">
        <f>Table[[#This Row],[NumWebPurchases]]+Table[[#This Row],[NumStorePurchases]]</f>
        <v>18</v>
      </c>
    </row>
    <row r="82" spans="1:20" ht="12.5">
      <c r="A82" s="6">
        <v>80</v>
      </c>
      <c r="B82" s="6">
        <v>3332</v>
      </c>
      <c r="C82" s="6">
        <v>1985</v>
      </c>
      <c r="D82" s="6">
        <f t="shared" si="4"/>
        <v>40</v>
      </c>
      <c r="E82" s="7" t="s">
        <v>9</v>
      </c>
      <c r="F82" s="7" t="s">
        <v>10</v>
      </c>
      <c r="G82" s="6">
        <v>29760</v>
      </c>
      <c r="H82" s="6" t="str" cm="1">
        <f t="array" ref="H82">_xlfn.IFS(
  G82 &lt; 25000, "Low",
  AND(G82 &gt;= 25000, G82 &lt; 75000), "Medium",
  AND(G82 &gt;= 75000, G82 &lt; 150000), "High",
  G82 &gt;= 150000, "Very High"
)</f>
        <v>Medium</v>
      </c>
      <c r="I82" s="6">
        <v>1</v>
      </c>
      <c r="J82" s="6">
        <v>0</v>
      </c>
      <c r="K82" s="6">
        <f t="shared" si="5"/>
        <v>1</v>
      </c>
      <c r="L82" s="8">
        <v>41150</v>
      </c>
      <c r="M82" t="str">
        <f t="shared" ca="1" si="6"/>
        <v>13 years, 6 months</v>
      </c>
      <c r="N82" s="6">
        <v>87</v>
      </c>
      <c r="O82">
        <v>4</v>
      </c>
      <c r="P82">
        <v>5</v>
      </c>
      <c r="Q82">
        <f t="shared" si="7"/>
        <v>9</v>
      </c>
      <c r="R82">
        <v>3</v>
      </c>
      <c r="S82">
        <v>4</v>
      </c>
      <c r="T82">
        <f>Table[[#This Row],[NumWebPurchases]]+Table[[#This Row],[NumStorePurchases]]</f>
        <v>7</v>
      </c>
    </row>
    <row r="83" spans="1:20" ht="12.5">
      <c r="A83" s="6">
        <v>81</v>
      </c>
      <c r="B83" s="6">
        <v>2261</v>
      </c>
      <c r="C83" s="6">
        <v>1969</v>
      </c>
      <c r="D83" s="6">
        <f t="shared" si="4"/>
        <v>56</v>
      </c>
      <c r="E83" s="7" t="s">
        <v>9</v>
      </c>
      <c r="F83" s="7" t="s">
        <v>13</v>
      </c>
      <c r="G83" s="6">
        <v>26304</v>
      </c>
      <c r="H83" s="6" t="str" cm="1">
        <f t="array" ref="H83">_xlfn.IFS(
  G83 &lt; 25000, "Low",
  AND(G83 &gt;= 25000, G83 &lt; 75000), "Medium",
  AND(G83 &gt;= 75000, G83 &lt; 150000), "High",
  G83 &gt;= 150000, "Very High"
)</f>
        <v>Medium</v>
      </c>
      <c r="I83" s="6">
        <v>1</v>
      </c>
      <c r="J83" s="6">
        <v>0</v>
      </c>
      <c r="K83" s="6">
        <f t="shared" si="5"/>
        <v>1</v>
      </c>
      <c r="L83" s="8">
        <v>41448</v>
      </c>
      <c r="M83" t="str">
        <f t="shared" ca="1" si="6"/>
        <v>12 years, 8 months</v>
      </c>
      <c r="N83" s="6">
        <v>5</v>
      </c>
      <c r="O83">
        <v>1</v>
      </c>
      <c r="P83">
        <v>0</v>
      </c>
      <c r="Q83">
        <f t="shared" si="7"/>
        <v>1</v>
      </c>
      <c r="R83">
        <v>1</v>
      </c>
      <c r="S83">
        <v>2</v>
      </c>
      <c r="T83">
        <f>Table[[#This Row],[NumWebPurchases]]+Table[[#This Row],[NumStorePurchases]]</f>
        <v>3</v>
      </c>
    </row>
    <row r="84" spans="1:20" ht="12.5">
      <c r="A84" s="6">
        <v>82</v>
      </c>
      <c r="B84" s="6">
        <v>5346</v>
      </c>
      <c r="C84" s="6">
        <v>1973</v>
      </c>
      <c r="D84" s="6">
        <f t="shared" si="4"/>
        <v>52</v>
      </c>
      <c r="E84" s="7" t="s">
        <v>17</v>
      </c>
      <c r="F84" s="7" t="s">
        <v>13</v>
      </c>
      <c r="G84" s="6">
        <v>23559</v>
      </c>
      <c r="H84" s="6" t="str" cm="1">
        <f t="array" ref="H84">_xlfn.IFS(
  G84 &lt; 25000, "Low",
  AND(G84 &gt;= 25000, G84 &lt; 75000), "Medium",
  AND(G84 &gt;= 75000, G84 &lt; 150000), "High",
  G84 &gt;= 150000, "Very High"
)</f>
        <v>Low</v>
      </c>
      <c r="I84" s="6">
        <v>1</v>
      </c>
      <c r="J84" s="6">
        <v>0</v>
      </c>
      <c r="K84" s="6">
        <f t="shared" si="5"/>
        <v>1</v>
      </c>
      <c r="L84" s="8">
        <v>41458</v>
      </c>
      <c r="M84" t="str">
        <f t="shared" ca="1" si="6"/>
        <v>12 years, 8 months</v>
      </c>
      <c r="N84" s="6">
        <v>87</v>
      </c>
      <c r="O84">
        <v>5</v>
      </c>
      <c r="P84">
        <v>0</v>
      </c>
      <c r="Q84">
        <f t="shared" si="7"/>
        <v>5</v>
      </c>
      <c r="R84">
        <v>3</v>
      </c>
      <c r="S84">
        <v>3</v>
      </c>
      <c r="T84">
        <f>Table[[#This Row],[NumWebPurchases]]+Table[[#This Row],[NumStorePurchases]]</f>
        <v>6</v>
      </c>
    </row>
    <row r="85" spans="1:20" ht="12.5">
      <c r="A85" s="6">
        <v>83</v>
      </c>
      <c r="B85" s="6">
        <v>4119</v>
      </c>
      <c r="C85" s="6">
        <v>1963</v>
      </c>
      <c r="D85" s="6">
        <f t="shared" si="4"/>
        <v>62</v>
      </c>
      <c r="E85" s="7" t="s">
        <v>14</v>
      </c>
      <c r="F85" s="7" t="s">
        <v>11</v>
      </c>
      <c r="G85" s="6">
        <v>38620</v>
      </c>
      <c r="H85" s="6" t="str" cm="1">
        <f t="array" ref="H85">_xlfn.IFS(
  G85 &lt; 25000, "Low",
  AND(G85 &gt;= 25000, G85 &lt; 75000), "Medium",
  AND(G85 &gt;= 75000, G85 &lt; 150000), "High",
  G85 &gt;= 150000, "Very High"
)</f>
        <v>Medium</v>
      </c>
      <c r="I85" s="6">
        <v>0</v>
      </c>
      <c r="J85" s="6">
        <v>0</v>
      </c>
      <c r="K85" s="6">
        <f t="shared" si="5"/>
        <v>0</v>
      </c>
      <c r="L85" s="8">
        <v>41405</v>
      </c>
      <c r="M85" t="str">
        <f t="shared" ca="1" si="6"/>
        <v>12 years, 9 months</v>
      </c>
      <c r="N85" s="6">
        <v>56</v>
      </c>
      <c r="O85">
        <v>17</v>
      </c>
      <c r="P85">
        <v>22</v>
      </c>
      <c r="Q85">
        <f t="shared" si="7"/>
        <v>39</v>
      </c>
      <c r="R85">
        <v>2</v>
      </c>
      <c r="S85">
        <v>3</v>
      </c>
      <c r="T85">
        <f>Table[[#This Row],[NumWebPurchases]]+Table[[#This Row],[NumStorePurchases]]</f>
        <v>5</v>
      </c>
    </row>
    <row r="86" spans="1:20" ht="12.5">
      <c r="A86" s="6">
        <v>84</v>
      </c>
      <c r="B86" s="6">
        <v>535</v>
      </c>
      <c r="C86" s="6">
        <v>1987</v>
      </c>
      <c r="D86" s="6">
        <f t="shared" si="4"/>
        <v>38</v>
      </c>
      <c r="E86" s="7" t="s">
        <v>9</v>
      </c>
      <c r="F86" s="7" t="s">
        <v>15</v>
      </c>
      <c r="G86" s="6">
        <v>81361</v>
      </c>
      <c r="H86" s="6" t="str" cm="1">
        <f t="array" ref="H86">_xlfn.IFS(
  G86 &lt; 25000, "Low",
  AND(G86 &gt;= 25000, G86 &lt; 75000), "Medium",
  AND(G86 &gt;= 75000, G86 &lt; 150000), "High",
  G86 &gt;= 150000, "Very High"
)</f>
        <v>High</v>
      </c>
      <c r="I86" s="6">
        <v>0</v>
      </c>
      <c r="J86" s="6">
        <v>0</v>
      </c>
      <c r="K86" s="6">
        <f t="shared" si="5"/>
        <v>0</v>
      </c>
      <c r="L86" s="8">
        <v>41695</v>
      </c>
      <c r="M86" t="str">
        <f t="shared" ca="1" si="6"/>
        <v>12 years, 0 months</v>
      </c>
      <c r="N86" s="6">
        <v>18</v>
      </c>
      <c r="O86">
        <v>23</v>
      </c>
      <c r="P86">
        <v>65</v>
      </c>
      <c r="Q86">
        <f t="shared" si="7"/>
        <v>88</v>
      </c>
      <c r="R86">
        <v>3</v>
      </c>
      <c r="S86">
        <v>13</v>
      </c>
      <c r="T86">
        <f>Table[[#This Row],[NumWebPurchases]]+Table[[#This Row],[NumStorePurchases]]</f>
        <v>16</v>
      </c>
    </row>
    <row r="87" spans="1:20" ht="12.5">
      <c r="A87" s="6">
        <v>85</v>
      </c>
      <c r="B87" s="6">
        <v>5268</v>
      </c>
      <c r="C87" s="6">
        <v>1960</v>
      </c>
      <c r="D87" s="6">
        <f t="shared" si="4"/>
        <v>65</v>
      </c>
      <c r="E87" s="7" t="s">
        <v>9</v>
      </c>
      <c r="F87" s="7" t="s">
        <v>13</v>
      </c>
      <c r="G87" s="6">
        <v>29440</v>
      </c>
      <c r="H87" s="6" t="str" cm="1">
        <f t="array" ref="H87">_xlfn.IFS(
  G87 &lt; 25000, "Low",
  AND(G87 &gt;= 25000, G87 &lt; 75000), "Medium",
  AND(G87 &gt;= 75000, G87 &lt; 150000), "High",
  G87 &gt;= 150000, "Very High"
)</f>
        <v>Medium</v>
      </c>
      <c r="I87" s="6">
        <v>1</v>
      </c>
      <c r="J87" s="6">
        <v>1</v>
      </c>
      <c r="K87" s="6">
        <f t="shared" si="5"/>
        <v>2</v>
      </c>
      <c r="L87" s="8">
        <v>41497</v>
      </c>
      <c r="M87" t="str">
        <f t="shared" ca="1" si="6"/>
        <v>12 years, 6 months</v>
      </c>
      <c r="N87" s="6">
        <v>95</v>
      </c>
      <c r="O87">
        <v>8</v>
      </c>
      <c r="P87">
        <v>4</v>
      </c>
      <c r="Q87">
        <f t="shared" si="7"/>
        <v>12</v>
      </c>
      <c r="R87">
        <v>1</v>
      </c>
      <c r="S87">
        <v>4</v>
      </c>
      <c r="T87">
        <f>Table[[#This Row],[NumWebPurchases]]+Table[[#This Row],[NumStorePurchases]]</f>
        <v>5</v>
      </c>
    </row>
    <row r="88" spans="1:20" ht="12.5">
      <c r="A88" s="6">
        <v>86</v>
      </c>
      <c r="B88" s="6">
        <v>273</v>
      </c>
      <c r="C88" s="6">
        <v>1970</v>
      </c>
      <c r="D88" s="6">
        <f t="shared" si="4"/>
        <v>55</v>
      </c>
      <c r="E88" s="7" t="s">
        <v>14</v>
      </c>
      <c r="F88" s="7" t="s">
        <v>13</v>
      </c>
      <c r="G88" s="6">
        <v>36138</v>
      </c>
      <c r="H88" s="6" t="str" cm="1">
        <f t="array" ref="H88">_xlfn.IFS(
  G88 &lt; 25000, "Low",
  AND(G88 &gt;= 25000, G88 &lt; 75000), "Medium",
  AND(G88 &gt;= 75000, G88 &lt; 150000), "High",
  G88 &gt;= 150000, "Very High"
)</f>
        <v>Medium</v>
      </c>
      <c r="I88" s="6">
        <v>1</v>
      </c>
      <c r="J88" s="6">
        <v>1</v>
      </c>
      <c r="K88" s="6">
        <f t="shared" si="5"/>
        <v>2</v>
      </c>
      <c r="L88" s="8">
        <v>41471</v>
      </c>
      <c r="M88" t="str">
        <f t="shared" ca="1" si="6"/>
        <v>12 years, 7 months</v>
      </c>
      <c r="N88" s="6">
        <v>48</v>
      </c>
      <c r="O88">
        <v>0</v>
      </c>
      <c r="P88">
        <v>0</v>
      </c>
      <c r="Q88">
        <f t="shared" si="7"/>
        <v>0</v>
      </c>
      <c r="R88">
        <v>3</v>
      </c>
      <c r="S88">
        <v>4</v>
      </c>
      <c r="T88">
        <f>Table[[#This Row],[NumWebPurchases]]+Table[[#This Row],[NumStorePurchases]]</f>
        <v>7</v>
      </c>
    </row>
    <row r="89" spans="1:20" ht="12.5">
      <c r="A89" s="6">
        <v>87</v>
      </c>
      <c r="B89" s="6">
        <v>4452</v>
      </c>
      <c r="C89" s="6">
        <v>1957</v>
      </c>
      <c r="D89" s="6">
        <f t="shared" si="4"/>
        <v>68</v>
      </c>
      <c r="E89" s="7" t="s">
        <v>9</v>
      </c>
      <c r="F89" s="7" t="s">
        <v>10</v>
      </c>
      <c r="G89" s="6">
        <v>50388</v>
      </c>
      <c r="H89" s="6" t="str" cm="1">
        <f t="array" ref="H89">_xlfn.IFS(
  G89 &lt; 25000, "Low",
  AND(G89 &gt;= 25000, G89 &lt; 75000), "Medium",
  AND(G89 &gt;= 75000, G89 &lt; 150000), "High",
  G89 &gt;= 150000, "Very High"
)</f>
        <v>Medium</v>
      </c>
      <c r="I89" s="6">
        <v>0</v>
      </c>
      <c r="J89" s="6">
        <v>1</v>
      </c>
      <c r="K89" s="6">
        <f t="shared" si="5"/>
        <v>1</v>
      </c>
      <c r="L89" s="8">
        <v>41787</v>
      </c>
      <c r="M89" t="str">
        <f t="shared" ca="1" si="6"/>
        <v>11 years, 9 months</v>
      </c>
      <c r="N89" s="6">
        <v>3</v>
      </c>
      <c r="O89">
        <v>6</v>
      </c>
      <c r="P89">
        <v>3</v>
      </c>
      <c r="Q89">
        <f t="shared" si="7"/>
        <v>9</v>
      </c>
      <c r="R89">
        <v>6</v>
      </c>
      <c r="S89">
        <v>6</v>
      </c>
      <c r="T89">
        <f>Table[[#This Row],[NumWebPurchases]]+Table[[#This Row],[NumStorePurchases]]</f>
        <v>12</v>
      </c>
    </row>
    <row r="90" spans="1:20" ht="12.5">
      <c r="A90" s="6">
        <v>88</v>
      </c>
      <c r="B90" s="6">
        <v>8504</v>
      </c>
      <c r="C90" s="6">
        <v>1973</v>
      </c>
      <c r="D90" s="6">
        <f t="shared" si="4"/>
        <v>52</v>
      </c>
      <c r="E90" s="7" t="s">
        <v>9</v>
      </c>
      <c r="F90" s="7" t="s">
        <v>13</v>
      </c>
      <c r="G90" s="6">
        <v>79593</v>
      </c>
      <c r="H90" s="6" t="str" cm="1">
        <f t="array" ref="H90">_xlfn.IFS(
  G90 &lt; 25000, "Low",
  AND(G90 &gt;= 25000, G90 &lt; 75000), "Medium",
  AND(G90 &gt;= 75000, G90 &lt; 150000), "High",
  G90 &gt;= 150000, "Very High"
)</f>
        <v>High</v>
      </c>
      <c r="I90" s="6">
        <v>0</v>
      </c>
      <c r="J90" s="6">
        <v>0</v>
      </c>
      <c r="K90" s="6">
        <f t="shared" si="5"/>
        <v>0</v>
      </c>
      <c r="L90" s="8">
        <v>41771</v>
      </c>
      <c r="M90" t="str">
        <f t="shared" ca="1" si="6"/>
        <v>11 years, 9 months</v>
      </c>
      <c r="N90" s="6">
        <v>70</v>
      </c>
      <c r="O90">
        <v>60</v>
      </c>
      <c r="P90">
        <v>133</v>
      </c>
      <c r="Q90">
        <f t="shared" si="7"/>
        <v>193</v>
      </c>
      <c r="R90">
        <v>5</v>
      </c>
      <c r="S90">
        <v>7</v>
      </c>
      <c r="T90">
        <f>Table[[#This Row],[NumWebPurchases]]+Table[[#This Row],[NumStorePurchases]]</f>
        <v>12</v>
      </c>
    </row>
    <row r="91" spans="1:20" ht="12.5">
      <c r="A91" s="6">
        <v>89</v>
      </c>
      <c r="B91" s="6">
        <v>771</v>
      </c>
      <c r="C91" s="6">
        <v>1967</v>
      </c>
      <c r="D91" s="6">
        <f t="shared" si="4"/>
        <v>58</v>
      </c>
      <c r="E91" s="7" t="s">
        <v>9</v>
      </c>
      <c r="F91" s="7" t="s">
        <v>11</v>
      </c>
      <c r="G91" s="6">
        <v>54178</v>
      </c>
      <c r="H91" s="6" t="str" cm="1">
        <f t="array" ref="H91">_xlfn.IFS(
  G91 &lt; 25000, "Low",
  AND(G91 &gt;= 25000, G91 &lt; 75000), "Medium",
  AND(G91 &gt;= 75000, G91 &lt; 150000), "High",
  G91 &gt;= 150000, "Very High"
)</f>
        <v>Medium</v>
      </c>
      <c r="I91" s="6">
        <v>0</v>
      </c>
      <c r="J91" s="6">
        <v>1</v>
      </c>
      <c r="K91" s="6">
        <f t="shared" si="5"/>
        <v>1</v>
      </c>
      <c r="L91" s="8">
        <v>41660</v>
      </c>
      <c r="M91" t="str">
        <f t="shared" ca="1" si="6"/>
        <v>12 years, 1 months</v>
      </c>
      <c r="N91" s="6">
        <v>79</v>
      </c>
      <c r="O91">
        <v>9</v>
      </c>
      <c r="P91">
        <v>0</v>
      </c>
      <c r="Q91">
        <f t="shared" si="7"/>
        <v>9</v>
      </c>
      <c r="R91">
        <v>2</v>
      </c>
      <c r="S91">
        <v>5</v>
      </c>
      <c r="T91">
        <f>Table[[#This Row],[NumWebPurchases]]+Table[[#This Row],[NumStorePurchases]]</f>
        <v>7</v>
      </c>
    </row>
    <row r="92" spans="1:20" ht="12.5">
      <c r="A92" s="6">
        <v>90</v>
      </c>
      <c r="B92" s="6">
        <v>8996</v>
      </c>
      <c r="C92" s="6">
        <v>1957</v>
      </c>
      <c r="D92" s="6">
        <f t="shared" si="4"/>
        <v>68</v>
      </c>
      <c r="E92" s="7" t="s">
        <v>12</v>
      </c>
      <c r="F92" s="7" t="s">
        <v>13</v>
      </c>
      <c r="G92" s="7">
        <v>51371</v>
      </c>
      <c r="H92" s="6" t="str" cm="1">
        <f t="array" ref="H92">_xlfn.IFS(
  G92 &lt; 25000, "Low",
  AND(G92 &gt;= 25000, G92 &lt; 75000), "Medium",
  AND(G92 &gt;= 75000, G92 &lt; 150000), "High",
  G92 &gt;= 150000, "Very High"
)</f>
        <v>Medium</v>
      </c>
      <c r="I92" s="6">
        <v>2</v>
      </c>
      <c r="J92" s="6">
        <v>1</v>
      </c>
      <c r="K92" s="6">
        <f t="shared" si="5"/>
        <v>3</v>
      </c>
      <c r="L92" s="9">
        <v>41232</v>
      </c>
      <c r="M92" t="str">
        <f t="shared" ca="1" si="6"/>
        <v>13 years, 3 months</v>
      </c>
      <c r="N92" s="6">
        <v>4</v>
      </c>
      <c r="O92">
        <v>42</v>
      </c>
      <c r="P92">
        <v>37</v>
      </c>
      <c r="Q92">
        <f t="shared" si="7"/>
        <v>79</v>
      </c>
      <c r="R92">
        <v>7</v>
      </c>
      <c r="S92">
        <v>8</v>
      </c>
      <c r="T92">
        <f>Table[[#This Row],[NumWebPurchases]]+Table[[#This Row],[NumStorePurchases]]</f>
        <v>15</v>
      </c>
    </row>
    <row r="93" spans="1:20" ht="12.5">
      <c r="A93" s="6">
        <v>91</v>
      </c>
      <c r="B93" s="6">
        <v>9235</v>
      </c>
      <c r="C93" s="6">
        <v>1957</v>
      </c>
      <c r="D93" s="6">
        <f t="shared" si="4"/>
        <v>68</v>
      </c>
      <c r="E93" s="7" t="s">
        <v>9</v>
      </c>
      <c r="F93" s="7" t="s">
        <v>10</v>
      </c>
      <c r="G93" s="7">
        <v>51371</v>
      </c>
      <c r="H93" s="6" t="str" cm="1">
        <f t="array" ref="H93">_xlfn.IFS(
  G93 &lt; 25000, "Low",
  AND(G93 &gt;= 25000, G93 &lt; 75000), "Medium",
  AND(G93 &gt;= 75000, G93 &lt; 150000), "High",
  G93 &gt;= 150000, "Very High"
)</f>
        <v>Medium</v>
      </c>
      <c r="I93" s="6">
        <v>1</v>
      </c>
      <c r="J93" s="6">
        <v>1</v>
      </c>
      <c r="K93" s="6">
        <f t="shared" si="5"/>
        <v>2</v>
      </c>
      <c r="L93" s="8">
        <v>41786</v>
      </c>
      <c r="M93" t="str">
        <f t="shared" ca="1" si="6"/>
        <v>11 years, 9 months</v>
      </c>
      <c r="N93" s="6">
        <v>45</v>
      </c>
      <c r="O93">
        <v>0</v>
      </c>
      <c r="P93">
        <v>0</v>
      </c>
      <c r="Q93">
        <f t="shared" si="7"/>
        <v>0</v>
      </c>
      <c r="R93">
        <v>1</v>
      </c>
      <c r="S93">
        <v>2</v>
      </c>
      <c r="T93">
        <f>Table[[#This Row],[NumWebPurchases]]+Table[[#This Row],[NumStorePurchases]]</f>
        <v>3</v>
      </c>
    </row>
    <row r="94" spans="1:20" ht="12.5">
      <c r="A94" s="6">
        <v>92</v>
      </c>
      <c r="B94" s="6">
        <v>5798</v>
      </c>
      <c r="C94" s="6">
        <v>1973</v>
      </c>
      <c r="D94" s="6">
        <f t="shared" si="4"/>
        <v>52</v>
      </c>
      <c r="E94" s="7" t="s">
        <v>14</v>
      </c>
      <c r="F94" s="7" t="s">
        <v>11</v>
      </c>
      <c r="G94" s="7">
        <v>51371</v>
      </c>
      <c r="H94" s="6" t="str" cm="1">
        <f t="array" ref="H94">_xlfn.IFS(
  G94 &lt; 25000, "Low",
  AND(G94 &gt;= 25000, G94 &lt; 75000), "Medium",
  AND(G94 &gt;= 75000, G94 &lt; 150000), "High",
  G94 &gt;= 150000, "Very High"
)</f>
        <v>Medium</v>
      </c>
      <c r="I94" s="6">
        <v>0</v>
      </c>
      <c r="J94" s="6">
        <v>0</v>
      </c>
      <c r="K94" s="6">
        <f t="shared" si="5"/>
        <v>0</v>
      </c>
      <c r="L94" s="9">
        <v>41601</v>
      </c>
      <c r="M94" t="str">
        <f t="shared" ca="1" si="6"/>
        <v>12 years, 3 months</v>
      </c>
      <c r="N94" s="6">
        <v>87</v>
      </c>
      <c r="O94">
        <v>37</v>
      </c>
      <c r="P94">
        <v>28</v>
      </c>
      <c r="Q94">
        <f t="shared" si="7"/>
        <v>65</v>
      </c>
      <c r="R94">
        <v>2</v>
      </c>
      <c r="S94">
        <v>8</v>
      </c>
      <c r="T94">
        <f>Table[[#This Row],[NumWebPurchases]]+Table[[#This Row],[NumStorePurchases]]</f>
        <v>10</v>
      </c>
    </row>
    <row r="95" spans="1:20" ht="12.5">
      <c r="A95" s="6">
        <v>93</v>
      </c>
      <c r="B95" s="6">
        <v>11178</v>
      </c>
      <c r="C95" s="6">
        <v>1972</v>
      </c>
      <c r="D95" s="6">
        <f t="shared" si="4"/>
        <v>53</v>
      </c>
      <c r="E95" s="7" t="s">
        <v>14</v>
      </c>
      <c r="F95" s="7" t="s">
        <v>10</v>
      </c>
      <c r="G95" s="6">
        <v>42394</v>
      </c>
      <c r="H95" s="6" t="str" cm="1">
        <f t="array" ref="H95">_xlfn.IFS(
  G95 &lt; 25000, "Low",
  AND(G95 &gt;= 25000, G95 &lt; 75000), "Medium",
  AND(G95 &gt;= 75000, G95 &lt; 150000), "High",
  G95 &gt;= 150000, "Very High"
)</f>
        <v>Medium</v>
      </c>
      <c r="I95" s="6">
        <v>1</v>
      </c>
      <c r="J95" s="6">
        <v>0</v>
      </c>
      <c r="K95" s="6">
        <f t="shared" si="5"/>
        <v>1</v>
      </c>
      <c r="L95" s="8">
        <v>41721</v>
      </c>
      <c r="M95" t="str">
        <f t="shared" ca="1" si="6"/>
        <v>11 years, 11 months</v>
      </c>
      <c r="N95" s="6">
        <v>69</v>
      </c>
      <c r="O95">
        <v>2</v>
      </c>
      <c r="P95">
        <v>1</v>
      </c>
      <c r="Q95">
        <f t="shared" si="7"/>
        <v>3</v>
      </c>
      <c r="R95">
        <v>1</v>
      </c>
      <c r="S95">
        <v>3</v>
      </c>
      <c r="T95">
        <f>Table[[#This Row],[NumWebPurchases]]+Table[[#This Row],[NumStorePurchases]]</f>
        <v>4</v>
      </c>
    </row>
    <row r="96" spans="1:20" ht="12.5">
      <c r="A96" s="6">
        <v>94</v>
      </c>
      <c r="B96" s="6">
        <v>2230</v>
      </c>
      <c r="C96" s="6">
        <v>1970</v>
      </c>
      <c r="D96" s="6">
        <f t="shared" si="4"/>
        <v>55</v>
      </c>
      <c r="E96" s="7" t="s">
        <v>12</v>
      </c>
      <c r="F96" s="7" t="s">
        <v>13</v>
      </c>
      <c r="G96" s="6">
        <v>23626</v>
      </c>
      <c r="H96" s="6" t="str" cm="1">
        <f t="array" ref="H96">_xlfn.IFS(
  G96 &lt; 25000, "Low",
  AND(G96 &gt;= 25000, G96 &lt; 75000), "Medium",
  AND(G96 &gt;= 75000, G96 &lt; 150000), "High",
  G96 &gt;= 150000, "Very High"
)</f>
        <v>Low</v>
      </c>
      <c r="I96" s="6">
        <v>1</v>
      </c>
      <c r="J96" s="6">
        <v>0</v>
      </c>
      <c r="K96" s="6">
        <f t="shared" si="5"/>
        <v>1</v>
      </c>
      <c r="L96" s="8">
        <v>41783</v>
      </c>
      <c r="M96" t="str">
        <f t="shared" ca="1" si="6"/>
        <v>11 years, 9 months</v>
      </c>
      <c r="N96" s="6">
        <v>84</v>
      </c>
      <c r="O96">
        <v>2</v>
      </c>
      <c r="P96">
        <v>0</v>
      </c>
      <c r="Q96">
        <f t="shared" si="7"/>
        <v>2</v>
      </c>
      <c r="R96">
        <v>3</v>
      </c>
      <c r="S96">
        <v>3</v>
      </c>
      <c r="T96">
        <f>Table[[#This Row],[NumWebPurchases]]+Table[[#This Row],[NumStorePurchases]]</f>
        <v>6</v>
      </c>
    </row>
    <row r="97" spans="1:20" ht="12.5">
      <c r="A97" s="6">
        <v>95</v>
      </c>
      <c r="B97" s="6">
        <v>7516</v>
      </c>
      <c r="C97" s="6">
        <v>1983</v>
      </c>
      <c r="D97" s="6">
        <f t="shared" si="4"/>
        <v>42</v>
      </c>
      <c r="E97" s="7" t="s">
        <v>9</v>
      </c>
      <c r="F97" s="7" t="s">
        <v>13</v>
      </c>
      <c r="G97" s="6">
        <v>30096</v>
      </c>
      <c r="H97" s="6" t="str" cm="1">
        <f t="array" ref="H97">_xlfn.IFS(
  G97 &lt; 25000, "Low",
  AND(G97 &gt;= 25000, G97 &lt; 75000), "Medium",
  AND(G97 &gt;= 75000, G97 &lt; 150000), "High",
  G97 &gt;= 150000, "Very High"
)</f>
        <v>Medium</v>
      </c>
      <c r="I97" s="6">
        <v>1</v>
      </c>
      <c r="J97" s="6">
        <v>0</v>
      </c>
      <c r="K97" s="6">
        <f t="shared" si="5"/>
        <v>1</v>
      </c>
      <c r="L97" s="8">
        <v>41781</v>
      </c>
      <c r="M97" t="str">
        <f t="shared" ca="1" si="6"/>
        <v>11 years, 9 months</v>
      </c>
      <c r="N97" s="6">
        <v>30</v>
      </c>
      <c r="O97">
        <v>3</v>
      </c>
      <c r="P97">
        <v>5</v>
      </c>
      <c r="Q97">
        <f t="shared" si="7"/>
        <v>8</v>
      </c>
      <c r="R97">
        <v>2</v>
      </c>
      <c r="S97">
        <v>3</v>
      </c>
      <c r="T97">
        <f>Table[[#This Row],[NumWebPurchases]]+Table[[#This Row],[NumStorePurchases]]</f>
        <v>5</v>
      </c>
    </row>
    <row r="98" spans="1:20" ht="12.5">
      <c r="A98" s="6">
        <v>96</v>
      </c>
      <c r="B98" s="6">
        <v>7247</v>
      </c>
      <c r="C98" s="6">
        <v>1960</v>
      </c>
      <c r="D98" s="6">
        <f t="shared" si="4"/>
        <v>65</v>
      </c>
      <c r="E98" s="7" t="s">
        <v>9</v>
      </c>
      <c r="F98" s="7" t="s">
        <v>18</v>
      </c>
      <c r="G98" s="6">
        <v>47916</v>
      </c>
      <c r="H98" s="6" t="str" cm="1">
        <f t="array" ref="H98">_xlfn.IFS(
  G98 &lt; 25000, "Low",
  AND(G98 &gt;= 25000, G98 &lt; 75000), "Medium",
  AND(G98 &gt;= 75000, G98 &lt; 150000), "High",
  G98 &gt;= 150000, "Very High"
)</f>
        <v>Medium</v>
      </c>
      <c r="I98" s="6">
        <v>0</v>
      </c>
      <c r="J98" s="6">
        <v>1</v>
      </c>
      <c r="K98" s="6">
        <f t="shared" si="5"/>
        <v>1</v>
      </c>
      <c r="L98" s="9">
        <v>41235</v>
      </c>
      <c r="M98" t="str">
        <f t="shared" ca="1" si="6"/>
        <v>13 years, 3 months</v>
      </c>
      <c r="N98" s="6">
        <v>72</v>
      </c>
      <c r="O98">
        <v>0</v>
      </c>
      <c r="P98">
        <v>0</v>
      </c>
      <c r="Q98">
        <f t="shared" si="7"/>
        <v>0</v>
      </c>
      <c r="R98">
        <v>7</v>
      </c>
      <c r="S98">
        <v>6</v>
      </c>
      <c r="T98">
        <f>Table[[#This Row],[NumWebPurchases]]+Table[[#This Row],[NumStorePurchases]]</f>
        <v>13</v>
      </c>
    </row>
    <row r="99" spans="1:20" ht="12.5">
      <c r="A99" s="6">
        <v>97</v>
      </c>
      <c r="B99" s="6">
        <v>11100</v>
      </c>
      <c r="C99" s="6">
        <v>1972</v>
      </c>
      <c r="D99" s="6">
        <f t="shared" si="4"/>
        <v>53</v>
      </c>
      <c r="E99" s="7" t="s">
        <v>9</v>
      </c>
      <c r="F99" s="7" t="s">
        <v>15</v>
      </c>
      <c r="G99" s="6">
        <v>51813</v>
      </c>
      <c r="H99" s="6" t="str" cm="1">
        <f t="array" ref="H99">_xlfn.IFS(
  G99 &lt; 25000, "Low",
  AND(G99 &gt;= 25000, G99 &lt; 75000), "Medium",
  AND(G99 &gt;= 75000, G99 &lt; 150000), "High",
  G99 &gt;= 150000, "Very High"
)</f>
        <v>Medium</v>
      </c>
      <c r="I99" s="6">
        <v>1</v>
      </c>
      <c r="J99" s="6">
        <v>1</v>
      </c>
      <c r="K99" s="6">
        <f t="shared" si="5"/>
        <v>2</v>
      </c>
      <c r="L99" s="8">
        <v>41375</v>
      </c>
      <c r="M99" t="str">
        <f t="shared" ca="1" si="6"/>
        <v>12 years, 10 months</v>
      </c>
      <c r="N99" s="6">
        <v>37</v>
      </c>
      <c r="O99">
        <v>2</v>
      </c>
      <c r="P99">
        <v>1</v>
      </c>
      <c r="Q99">
        <f t="shared" si="7"/>
        <v>3</v>
      </c>
      <c r="R99">
        <v>2</v>
      </c>
      <c r="S99">
        <v>3</v>
      </c>
      <c r="T99">
        <f>Table[[#This Row],[NumWebPurchases]]+Table[[#This Row],[NumStorePurchases]]</f>
        <v>5</v>
      </c>
    </row>
    <row r="100" spans="1:20" ht="12.5">
      <c r="A100" s="6">
        <v>98</v>
      </c>
      <c r="B100" s="6">
        <v>4646</v>
      </c>
      <c r="C100" s="6">
        <v>1951</v>
      </c>
      <c r="D100" s="6">
        <f t="shared" si="4"/>
        <v>74</v>
      </c>
      <c r="E100" s="7" t="s">
        <v>17</v>
      </c>
      <c r="F100" s="7" t="s">
        <v>13</v>
      </c>
      <c r="G100" s="6">
        <v>78497</v>
      </c>
      <c r="H100" s="6" t="str" cm="1">
        <f t="array" ref="H100">_xlfn.IFS(
  G100 &lt; 25000, "Low",
  AND(G100 &gt;= 25000, G100 &lt; 75000), "Medium",
  AND(G100 &gt;= 75000, G100 &lt; 150000), "High",
  G100 &gt;= 150000, "Very High"
)</f>
        <v>High</v>
      </c>
      <c r="I100" s="6">
        <v>0</v>
      </c>
      <c r="J100" s="6">
        <v>0</v>
      </c>
      <c r="K100" s="6">
        <f t="shared" si="5"/>
        <v>0</v>
      </c>
      <c r="L100" s="8">
        <v>41609</v>
      </c>
      <c r="M100" t="str">
        <f t="shared" ca="1" si="6"/>
        <v>12 years, 3 months</v>
      </c>
      <c r="N100" s="6">
        <v>44</v>
      </c>
      <c r="O100">
        <v>26</v>
      </c>
      <c r="P100">
        <v>0</v>
      </c>
      <c r="Q100">
        <f t="shared" si="7"/>
        <v>26</v>
      </c>
      <c r="R100">
        <v>5</v>
      </c>
      <c r="S100">
        <v>12</v>
      </c>
      <c r="T100">
        <f>Table[[#This Row],[NumWebPurchases]]+Table[[#This Row],[NumStorePurchases]]</f>
        <v>17</v>
      </c>
    </row>
    <row r="101" spans="1:20" ht="12.5">
      <c r="A101" s="6">
        <v>99</v>
      </c>
      <c r="B101" s="6">
        <v>3037</v>
      </c>
      <c r="C101" s="6">
        <v>1983</v>
      </c>
      <c r="D101" s="6">
        <f t="shared" si="4"/>
        <v>42</v>
      </c>
      <c r="E101" s="7" t="s">
        <v>12</v>
      </c>
      <c r="F101" s="7" t="s">
        <v>13</v>
      </c>
      <c r="G101" s="6">
        <v>50150</v>
      </c>
      <c r="H101" s="6" t="str" cm="1">
        <f t="array" ref="H101">_xlfn.IFS(
  G101 &lt; 25000, "Low",
  AND(G101 &gt;= 25000, G101 &lt; 75000), "Medium",
  AND(G101 &gt;= 75000, G101 &lt; 150000), "High",
  G101 &gt;= 150000, "Very High"
)</f>
        <v>Medium</v>
      </c>
      <c r="I101" s="6">
        <v>0</v>
      </c>
      <c r="J101" s="6">
        <v>0</v>
      </c>
      <c r="K101" s="6">
        <f t="shared" si="5"/>
        <v>0</v>
      </c>
      <c r="L101" s="8">
        <v>41445</v>
      </c>
      <c r="M101" t="str">
        <f t="shared" ca="1" si="6"/>
        <v>12 years, 8 months</v>
      </c>
      <c r="N101" s="6">
        <v>32</v>
      </c>
      <c r="O101">
        <v>46</v>
      </c>
      <c r="P101">
        <v>61</v>
      </c>
      <c r="Q101">
        <f t="shared" si="7"/>
        <v>107</v>
      </c>
      <c r="R101">
        <v>5</v>
      </c>
      <c r="S101">
        <v>7</v>
      </c>
      <c r="T101">
        <f>Table[[#This Row],[NumWebPurchases]]+Table[[#This Row],[NumStorePurchases]]</f>
        <v>12</v>
      </c>
    </row>
    <row r="102" spans="1:20" ht="12.5">
      <c r="A102" s="6">
        <v>100</v>
      </c>
      <c r="B102" s="6">
        <v>1473</v>
      </c>
      <c r="C102" s="6">
        <v>1960</v>
      </c>
      <c r="D102" s="6">
        <f t="shared" si="4"/>
        <v>65</v>
      </c>
      <c r="E102" s="7" t="s">
        <v>17</v>
      </c>
      <c r="F102" s="7" t="s">
        <v>10</v>
      </c>
      <c r="G102" s="6">
        <v>47823</v>
      </c>
      <c r="H102" s="6" t="str" cm="1">
        <f t="array" ref="H102">_xlfn.IFS(
  G102 &lt; 25000, "Low",
  AND(G102 &gt;= 25000, G102 &lt; 75000), "Medium",
  AND(G102 &gt;= 75000, G102 &lt; 150000), "High",
  G102 &gt;= 150000, "Very High"
)</f>
        <v>Medium</v>
      </c>
      <c r="I102" s="6">
        <v>0</v>
      </c>
      <c r="J102" s="6">
        <v>1</v>
      </c>
      <c r="K102" s="6">
        <f t="shared" si="5"/>
        <v>1</v>
      </c>
      <c r="L102" s="8">
        <v>41478</v>
      </c>
      <c r="M102" t="str">
        <f t="shared" ca="1" si="6"/>
        <v>12 years, 7 months</v>
      </c>
      <c r="N102" s="6">
        <v>0</v>
      </c>
      <c r="O102">
        <v>1</v>
      </c>
      <c r="P102">
        <v>1</v>
      </c>
      <c r="Q102">
        <f t="shared" si="7"/>
        <v>2</v>
      </c>
      <c r="R102">
        <v>2</v>
      </c>
      <c r="S102">
        <v>3</v>
      </c>
      <c r="T102">
        <f>Table[[#This Row],[NumWebPurchases]]+Table[[#This Row],[NumStorePurchases]]</f>
        <v>5</v>
      </c>
    </row>
    <row r="103" spans="1:20" ht="12.5">
      <c r="A103" s="6">
        <v>101</v>
      </c>
      <c r="B103" s="6">
        <v>1016</v>
      </c>
      <c r="C103" s="6">
        <v>1959</v>
      </c>
      <c r="D103" s="6">
        <f t="shared" si="4"/>
        <v>66</v>
      </c>
      <c r="E103" s="7" t="s">
        <v>12</v>
      </c>
      <c r="F103" s="7" t="s">
        <v>10</v>
      </c>
      <c r="G103" s="6">
        <v>34554</v>
      </c>
      <c r="H103" s="6" t="str" cm="1">
        <f t="array" ref="H103">_xlfn.IFS(
  G103 &lt; 25000, "Low",
  AND(G103 &gt;= 25000, G103 &lt; 75000), "Medium",
  AND(G103 &gt;= 75000, G103 &lt; 150000), "High",
  G103 &gt;= 150000, "Very High"
)</f>
        <v>Medium</v>
      </c>
      <c r="I103" s="6">
        <v>0</v>
      </c>
      <c r="J103" s="6">
        <v>1</v>
      </c>
      <c r="K103" s="6">
        <f t="shared" si="5"/>
        <v>1</v>
      </c>
      <c r="L103" s="8">
        <v>41728</v>
      </c>
      <c r="M103" t="str">
        <f t="shared" ca="1" si="6"/>
        <v>11 years, 11 months</v>
      </c>
      <c r="N103" s="6">
        <v>43</v>
      </c>
      <c r="O103">
        <v>1</v>
      </c>
      <c r="P103">
        <v>0</v>
      </c>
      <c r="Q103">
        <f t="shared" si="7"/>
        <v>1</v>
      </c>
      <c r="R103">
        <v>2</v>
      </c>
      <c r="S103">
        <v>3</v>
      </c>
      <c r="T103">
        <f>Table[[#This Row],[NumWebPurchases]]+Table[[#This Row],[NumStorePurchases]]</f>
        <v>5</v>
      </c>
    </row>
    <row r="104" spans="1:20" ht="12.5">
      <c r="A104" s="6">
        <v>102</v>
      </c>
      <c r="B104" s="6">
        <v>4518</v>
      </c>
      <c r="C104" s="6">
        <v>1979</v>
      </c>
      <c r="D104" s="6">
        <f t="shared" si="4"/>
        <v>46</v>
      </c>
      <c r="E104" s="7" t="s">
        <v>9</v>
      </c>
      <c r="F104" s="7" t="s">
        <v>11</v>
      </c>
      <c r="G104" s="6">
        <v>85693</v>
      </c>
      <c r="H104" s="6" t="str" cm="1">
        <f t="array" ref="H104">_xlfn.IFS(
  G104 &lt; 25000, "Low",
  AND(G104 &gt;= 25000, G104 &lt; 75000), "Medium",
  AND(G104 &gt;= 75000, G104 &lt; 150000), "High",
  G104 &gt;= 150000, "Very High"
)</f>
        <v>High</v>
      </c>
      <c r="I104" s="6">
        <v>0</v>
      </c>
      <c r="J104" s="6">
        <v>1</v>
      </c>
      <c r="K104" s="6">
        <f t="shared" si="5"/>
        <v>1</v>
      </c>
      <c r="L104" s="8">
        <v>41384</v>
      </c>
      <c r="M104" t="str">
        <f t="shared" ca="1" si="6"/>
        <v>12 years, 10 months</v>
      </c>
      <c r="N104" s="6">
        <v>59</v>
      </c>
      <c r="O104">
        <v>172</v>
      </c>
      <c r="P104">
        <v>132</v>
      </c>
      <c r="Q104">
        <f t="shared" si="7"/>
        <v>304</v>
      </c>
      <c r="R104">
        <v>9</v>
      </c>
      <c r="S104">
        <v>11</v>
      </c>
      <c r="T104">
        <f>Table[[#This Row],[NumWebPurchases]]+Table[[#This Row],[NumStorePurchases]]</f>
        <v>20</v>
      </c>
    </row>
    <row r="105" spans="1:20" ht="12.5">
      <c r="A105" s="6">
        <v>103</v>
      </c>
      <c r="B105" s="6">
        <v>9370</v>
      </c>
      <c r="C105" s="6">
        <v>1945</v>
      </c>
      <c r="D105" s="6">
        <f t="shared" si="4"/>
        <v>80</v>
      </c>
      <c r="E105" s="7" t="s">
        <v>12</v>
      </c>
      <c r="F105" s="7" t="s">
        <v>13</v>
      </c>
      <c r="G105" s="6">
        <v>65846</v>
      </c>
      <c r="H105" s="6" t="str" cm="1">
        <f t="array" ref="H105">_xlfn.IFS(
  G105 &lt; 25000, "Low",
  AND(G105 &gt;= 25000, G105 &lt; 75000), "Medium",
  AND(G105 &gt;= 75000, G105 &lt; 150000), "High",
  G105 &gt;= 150000, "Very High"
)</f>
        <v>Medium</v>
      </c>
      <c r="I105" s="6">
        <v>0</v>
      </c>
      <c r="J105" s="6">
        <v>0</v>
      </c>
      <c r="K105" s="6">
        <f t="shared" si="5"/>
        <v>0</v>
      </c>
      <c r="L105" s="8">
        <v>41411</v>
      </c>
      <c r="M105" t="str">
        <f t="shared" ca="1" si="6"/>
        <v>12 years, 9 months</v>
      </c>
      <c r="N105" s="6">
        <v>68</v>
      </c>
      <c r="O105">
        <v>81</v>
      </c>
      <c r="P105">
        <v>40</v>
      </c>
      <c r="Q105">
        <f t="shared" si="7"/>
        <v>121</v>
      </c>
      <c r="R105">
        <v>6</v>
      </c>
      <c r="S105">
        <v>6</v>
      </c>
      <c r="T105">
        <f>Table[[#This Row],[NumWebPurchases]]+Table[[#This Row],[NumStorePurchases]]</f>
        <v>12</v>
      </c>
    </row>
    <row r="106" spans="1:20" ht="12.5">
      <c r="A106" s="6">
        <v>104</v>
      </c>
      <c r="B106" s="6">
        <v>8908</v>
      </c>
      <c r="C106" s="6">
        <v>1959</v>
      </c>
      <c r="D106" s="6">
        <f t="shared" si="4"/>
        <v>66</v>
      </c>
      <c r="E106" s="7" t="s">
        <v>9</v>
      </c>
      <c r="F106" s="7" t="s">
        <v>13</v>
      </c>
      <c r="G106" s="6">
        <v>87195</v>
      </c>
      <c r="H106" s="6" t="str" cm="1">
        <f t="array" ref="H106">_xlfn.IFS(
  G106 &lt; 25000, "Low",
  AND(G106 &gt;= 25000, G106 &lt; 75000), "Medium",
  AND(G106 &gt;= 75000, G106 &lt; 150000), "High",
  G106 &gt;= 150000, "Very High"
)</f>
        <v>High</v>
      </c>
      <c r="I106" s="6">
        <v>0</v>
      </c>
      <c r="J106" s="6">
        <v>0</v>
      </c>
      <c r="K106" s="6">
        <f t="shared" si="5"/>
        <v>0</v>
      </c>
      <c r="L106" s="8">
        <v>41767</v>
      </c>
      <c r="M106" t="str">
        <f t="shared" ca="1" si="6"/>
        <v>11 years, 9 months</v>
      </c>
      <c r="N106" s="6">
        <v>35</v>
      </c>
      <c r="O106">
        <v>76</v>
      </c>
      <c r="P106">
        <v>26</v>
      </c>
      <c r="Q106">
        <f t="shared" si="7"/>
        <v>102</v>
      </c>
      <c r="R106">
        <v>3</v>
      </c>
      <c r="S106">
        <v>5</v>
      </c>
      <c r="T106">
        <f>Table[[#This Row],[NumWebPurchases]]+Table[[#This Row],[NumStorePurchases]]</f>
        <v>8</v>
      </c>
    </row>
    <row r="107" spans="1:20" ht="12.5">
      <c r="A107" s="6">
        <v>105</v>
      </c>
      <c r="B107" s="6">
        <v>8373</v>
      </c>
      <c r="C107" s="6">
        <v>1979</v>
      </c>
      <c r="D107" s="6">
        <f t="shared" si="4"/>
        <v>46</v>
      </c>
      <c r="E107" s="7" t="s">
        <v>16</v>
      </c>
      <c r="F107" s="7" t="s">
        <v>11</v>
      </c>
      <c r="G107" s="6">
        <v>24594</v>
      </c>
      <c r="H107" s="6" t="str" cm="1">
        <f t="array" ref="H107">_xlfn.IFS(
  G107 &lt; 25000, "Low",
  AND(G107 &gt;= 25000, G107 &lt; 75000), "Medium",
  AND(G107 &gt;= 75000, G107 &lt; 150000), "High",
  G107 &gt;= 150000, "Very High"
)</f>
        <v>Low</v>
      </c>
      <c r="I107" s="6">
        <v>1</v>
      </c>
      <c r="J107" s="6">
        <v>0</v>
      </c>
      <c r="K107" s="6">
        <f t="shared" si="5"/>
        <v>1</v>
      </c>
      <c r="L107" s="9">
        <v>41618</v>
      </c>
      <c r="M107" t="str">
        <f t="shared" ca="1" si="6"/>
        <v>12 years, 2 months</v>
      </c>
      <c r="N107" s="6">
        <v>94</v>
      </c>
      <c r="O107">
        <v>3</v>
      </c>
      <c r="P107">
        <v>0</v>
      </c>
      <c r="Q107">
        <f t="shared" si="7"/>
        <v>3</v>
      </c>
      <c r="R107">
        <v>1</v>
      </c>
      <c r="S107">
        <v>3</v>
      </c>
      <c r="T107">
        <f>Table[[#This Row],[NumWebPurchases]]+Table[[#This Row],[NumStorePurchases]]</f>
        <v>4</v>
      </c>
    </row>
    <row r="108" spans="1:20" ht="12.5">
      <c r="A108" s="6">
        <v>106</v>
      </c>
      <c r="B108" s="6">
        <v>7533</v>
      </c>
      <c r="C108" s="6">
        <v>1964</v>
      </c>
      <c r="D108" s="6">
        <f t="shared" si="4"/>
        <v>61</v>
      </c>
      <c r="E108" s="7" t="s">
        <v>9</v>
      </c>
      <c r="F108" s="7" t="s">
        <v>13</v>
      </c>
      <c r="G108" s="6">
        <v>49096</v>
      </c>
      <c r="H108" s="6" t="str" cm="1">
        <f t="array" ref="H108">_xlfn.IFS(
  G108 &lt; 25000, "Low",
  AND(G108 &gt;= 25000, G108 &lt; 75000), "Medium",
  AND(G108 &gt;= 75000, G108 &lt; 150000), "High",
  G108 &gt;= 150000, "Very High"
)</f>
        <v>Medium</v>
      </c>
      <c r="I108" s="6">
        <v>1</v>
      </c>
      <c r="J108" s="6">
        <v>1</v>
      </c>
      <c r="K108" s="6">
        <f t="shared" si="5"/>
        <v>2</v>
      </c>
      <c r="L108" s="8">
        <v>41541</v>
      </c>
      <c r="M108" t="str">
        <f t="shared" ca="1" si="6"/>
        <v>12 years, 5 months</v>
      </c>
      <c r="N108" s="6">
        <v>15</v>
      </c>
      <c r="O108">
        <v>1</v>
      </c>
      <c r="P108">
        <v>1</v>
      </c>
      <c r="Q108">
        <f t="shared" si="7"/>
        <v>2</v>
      </c>
      <c r="R108">
        <v>4</v>
      </c>
      <c r="S108">
        <v>4</v>
      </c>
      <c r="T108">
        <f>Table[[#This Row],[NumWebPurchases]]+Table[[#This Row],[NumStorePurchases]]</f>
        <v>8</v>
      </c>
    </row>
    <row r="109" spans="1:20" ht="12.5">
      <c r="A109" s="6">
        <v>107</v>
      </c>
      <c r="B109" s="6">
        <v>2683</v>
      </c>
      <c r="C109" s="6">
        <v>1969</v>
      </c>
      <c r="D109" s="6">
        <f t="shared" si="4"/>
        <v>56</v>
      </c>
      <c r="E109" s="7" t="s">
        <v>9</v>
      </c>
      <c r="F109" s="7" t="s">
        <v>13</v>
      </c>
      <c r="G109" s="6">
        <v>52413</v>
      </c>
      <c r="H109" s="6" t="str" cm="1">
        <f t="array" ref="H109">_xlfn.IFS(
  G109 &lt; 25000, "Low",
  AND(G109 &gt;= 25000, G109 &lt; 75000), "Medium",
  AND(G109 &gt;= 75000, G109 &lt; 150000), "High",
  G109 &gt;= 150000, "Very High"
)</f>
        <v>Medium</v>
      </c>
      <c r="I109" s="6">
        <v>0</v>
      </c>
      <c r="J109" s="6">
        <v>2</v>
      </c>
      <c r="K109" s="6">
        <f t="shared" si="5"/>
        <v>2</v>
      </c>
      <c r="L109" s="8">
        <v>41307</v>
      </c>
      <c r="M109" t="str">
        <f t="shared" ca="1" si="6"/>
        <v>13 years, 1 months</v>
      </c>
      <c r="N109" s="6">
        <v>56</v>
      </c>
      <c r="O109">
        <v>106</v>
      </c>
      <c r="P109">
        <v>98</v>
      </c>
      <c r="Q109">
        <f t="shared" si="7"/>
        <v>204</v>
      </c>
      <c r="R109">
        <v>6</v>
      </c>
      <c r="S109">
        <v>12</v>
      </c>
      <c r="T109">
        <f>Table[[#This Row],[NumWebPurchases]]+Table[[#This Row],[NumStorePurchases]]</f>
        <v>18</v>
      </c>
    </row>
    <row r="110" spans="1:20" ht="12.5">
      <c r="A110" s="6">
        <v>108</v>
      </c>
      <c r="B110" s="6">
        <v>3629</v>
      </c>
      <c r="C110" s="6">
        <v>1978</v>
      </c>
      <c r="D110" s="6">
        <f t="shared" si="4"/>
        <v>47</v>
      </c>
      <c r="E110" s="7" t="s">
        <v>9</v>
      </c>
      <c r="F110" s="7" t="s">
        <v>10</v>
      </c>
      <c r="G110" s="6">
        <v>38557</v>
      </c>
      <c r="H110" s="6" t="str" cm="1">
        <f t="array" ref="H110">_xlfn.IFS(
  G110 &lt; 25000, "Low",
  AND(G110 &gt;= 25000, G110 &lt; 75000), "Medium",
  AND(G110 &gt;= 75000, G110 &lt; 150000), "High",
  G110 &gt;= 150000, "Very High"
)</f>
        <v>Medium</v>
      </c>
      <c r="I110" s="6">
        <v>1</v>
      </c>
      <c r="J110" s="6">
        <v>0</v>
      </c>
      <c r="K110" s="6">
        <f t="shared" si="5"/>
        <v>1</v>
      </c>
      <c r="L110" s="9">
        <v>41262</v>
      </c>
      <c r="M110" t="str">
        <f t="shared" ca="1" si="6"/>
        <v>13 years, 2 months</v>
      </c>
      <c r="N110" s="6">
        <v>17</v>
      </c>
      <c r="O110">
        <v>3</v>
      </c>
      <c r="P110">
        <v>4</v>
      </c>
      <c r="Q110">
        <f t="shared" si="7"/>
        <v>7</v>
      </c>
      <c r="R110">
        <v>3</v>
      </c>
      <c r="S110">
        <v>3</v>
      </c>
      <c r="T110">
        <f>Table[[#This Row],[NumWebPurchases]]+Table[[#This Row],[NumStorePurchases]]</f>
        <v>6</v>
      </c>
    </row>
    <row r="111" spans="1:20" ht="12.5">
      <c r="A111" s="6">
        <v>109</v>
      </c>
      <c r="B111" s="6">
        <v>10991</v>
      </c>
      <c r="C111" s="6">
        <v>1960</v>
      </c>
      <c r="D111" s="6">
        <f t="shared" si="4"/>
        <v>65</v>
      </c>
      <c r="E111" s="7" t="s">
        <v>14</v>
      </c>
      <c r="F111" s="7" t="s">
        <v>13</v>
      </c>
      <c r="G111" s="6">
        <v>89058</v>
      </c>
      <c r="H111" s="6" t="str" cm="1">
        <f t="array" ref="H111">_xlfn.IFS(
  G111 &lt; 25000, "Low",
  AND(G111 &gt;= 25000, G111 &lt; 75000), "Medium",
  AND(G111 &gt;= 75000, G111 &lt; 150000), "High",
  G111 &gt;= 150000, "Very High"
)</f>
        <v>High</v>
      </c>
      <c r="I111" s="6">
        <v>0</v>
      </c>
      <c r="J111" s="6">
        <v>0</v>
      </c>
      <c r="K111" s="6">
        <f t="shared" si="5"/>
        <v>0</v>
      </c>
      <c r="L111" s="8">
        <v>41250</v>
      </c>
      <c r="M111" t="str">
        <f t="shared" ca="1" si="6"/>
        <v>13 years, 2 months</v>
      </c>
      <c r="N111" s="6">
        <v>18</v>
      </c>
      <c r="O111">
        <v>194</v>
      </c>
      <c r="P111">
        <v>22</v>
      </c>
      <c r="Q111">
        <f t="shared" si="7"/>
        <v>216</v>
      </c>
      <c r="R111">
        <v>5</v>
      </c>
      <c r="S111">
        <v>4</v>
      </c>
      <c r="T111">
        <f>Table[[#This Row],[NumWebPurchases]]+Table[[#This Row],[NumStorePurchases]]</f>
        <v>9</v>
      </c>
    </row>
    <row r="112" spans="1:20" ht="12.5">
      <c r="A112" s="6">
        <v>110</v>
      </c>
      <c r="B112" s="6">
        <v>5077</v>
      </c>
      <c r="C112" s="6">
        <v>1979</v>
      </c>
      <c r="D112" s="6">
        <f t="shared" si="4"/>
        <v>46</v>
      </c>
      <c r="E112" s="7" t="s">
        <v>9</v>
      </c>
      <c r="F112" s="7" t="s">
        <v>11</v>
      </c>
      <c r="G112" s="6">
        <v>77298</v>
      </c>
      <c r="H112" s="6" t="str" cm="1">
        <f t="array" ref="H112">_xlfn.IFS(
  G112 &lt; 25000, "Low",
  AND(G112 &gt;= 25000, G112 &lt; 75000), "Medium",
  AND(G112 &gt;= 75000, G112 &lt; 150000), "High",
  G112 &gt;= 150000, "Very High"
)</f>
        <v>High</v>
      </c>
      <c r="I112" s="6">
        <v>0</v>
      </c>
      <c r="J112" s="6">
        <v>1</v>
      </c>
      <c r="K112" s="6">
        <f t="shared" si="5"/>
        <v>1</v>
      </c>
      <c r="L112" s="8">
        <v>41580</v>
      </c>
      <c r="M112" t="str">
        <f t="shared" ca="1" si="6"/>
        <v>12 years, 4 months</v>
      </c>
      <c r="N112" s="6">
        <v>46</v>
      </c>
      <c r="O112">
        <v>115</v>
      </c>
      <c r="P112">
        <v>35</v>
      </c>
      <c r="Q112">
        <f t="shared" si="7"/>
        <v>150</v>
      </c>
      <c r="R112">
        <v>6</v>
      </c>
      <c r="S112">
        <v>11</v>
      </c>
      <c r="T112">
        <f>Table[[#This Row],[NumWebPurchases]]+Table[[#This Row],[NumStorePurchases]]</f>
        <v>17</v>
      </c>
    </row>
    <row r="113" spans="1:20" ht="12.5">
      <c r="A113" s="6">
        <v>111</v>
      </c>
      <c r="B113" s="6">
        <v>7431</v>
      </c>
      <c r="C113" s="6">
        <v>1991</v>
      </c>
      <c r="D113" s="6">
        <f t="shared" si="4"/>
        <v>34</v>
      </c>
      <c r="E113" s="7" t="s">
        <v>12</v>
      </c>
      <c r="F113" s="7" t="s">
        <v>10</v>
      </c>
      <c r="G113" s="6">
        <v>68126</v>
      </c>
      <c r="H113" s="6" t="str" cm="1">
        <f t="array" ref="H113">_xlfn.IFS(
  G113 &lt; 25000, "Low",
  AND(G113 &gt;= 25000, G113 &lt; 75000), "Medium",
  AND(G113 &gt;= 75000, G113 &lt; 150000), "High",
  G113 &gt;= 150000, "Very High"
)</f>
        <v>Medium</v>
      </c>
      <c r="I113" s="6">
        <v>0</v>
      </c>
      <c r="J113" s="6">
        <v>0</v>
      </c>
      <c r="K113" s="6">
        <f t="shared" si="5"/>
        <v>0</v>
      </c>
      <c r="L113" s="9">
        <v>41223</v>
      </c>
      <c r="M113" t="str">
        <f t="shared" ca="1" si="6"/>
        <v>13 years, 3 months</v>
      </c>
      <c r="N113" s="6">
        <v>40</v>
      </c>
      <c r="O113">
        <v>17</v>
      </c>
      <c r="P113">
        <v>51</v>
      </c>
      <c r="Q113">
        <f t="shared" si="7"/>
        <v>68</v>
      </c>
      <c r="R113">
        <v>7</v>
      </c>
      <c r="S113">
        <v>5</v>
      </c>
      <c r="T113">
        <f>Table[[#This Row],[NumWebPurchases]]+Table[[#This Row],[NumStorePurchases]]</f>
        <v>12</v>
      </c>
    </row>
    <row r="114" spans="1:20" ht="12.5">
      <c r="A114" s="6">
        <v>112</v>
      </c>
      <c r="B114" s="6">
        <v>3267</v>
      </c>
      <c r="C114" s="6">
        <v>1963</v>
      </c>
      <c r="D114" s="6">
        <f t="shared" si="4"/>
        <v>62</v>
      </c>
      <c r="E114" s="7" t="s">
        <v>14</v>
      </c>
      <c r="F114" s="7" t="s">
        <v>11</v>
      </c>
      <c r="G114" s="6">
        <v>57288</v>
      </c>
      <c r="H114" s="6" t="str" cm="1">
        <f t="array" ref="H114">_xlfn.IFS(
  G114 &lt; 25000, "Low",
  AND(G114 &gt;= 25000, G114 &lt; 75000), "Medium",
  AND(G114 &gt;= 75000, G114 &lt; 150000), "High",
  G114 &gt;= 150000, "Very High"
)</f>
        <v>Medium</v>
      </c>
      <c r="I114" s="6">
        <v>0</v>
      </c>
      <c r="J114" s="6">
        <v>1</v>
      </c>
      <c r="K114" s="6">
        <f t="shared" si="5"/>
        <v>1</v>
      </c>
      <c r="L114" s="8">
        <v>41815</v>
      </c>
      <c r="M114" t="str">
        <f t="shared" ca="1" si="6"/>
        <v>11 years, 8 months</v>
      </c>
      <c r="N114" s="6">
        <v>27</v>
      </c>
      <c r="O114">
        <v>0</v>
      </c>
      <c r="P114">
        <v>0</v>
      </c>
      <c r="Q114">
        <f t="shared" si="7"/>
        <v>0</v>
      </c>
      <c r="R114">
        <v>8</v>
      </c>
      <c r="S114">
        <v>8</v>
      </c>
      <c r="T114">
        <f>Table[[#This Row],[NumWebPurchases]]+Table[[#This Row],[NumStorePurchases]]</f>
        <v>16</v>
      </c>
    </row>
    <row r="115" spans="1:20" ht="12.5">
      <c r="A115" s="6">
        <v>113</v>
      </c>
      <c r="B115" s="6">
        <v>999</v>
      </c>
      <c r="C115" s="6">
        <v>1991</v>
      </c>
      <c r="D115" s="6">
        <f t="shared" si="4"/>
        <v>34</v>
      </c>
      <c r="E115" s="7" t="s">
        <v>9</v>
      </c>
      <c r="F115" s="7" t="s">
        <v>10</v>
      </c>
      <c r="G115" s="6">
        <v>86037</v>
      </c>
      <c r="H115" s="6" t="str" cm="1">
        <f t="array" ref="H115">_xlfn.IFS(
  G115 &lt; 25000, "Low",
  AND(G115 &gt;= 25000, G115 &lt; 75000), "Medium",
  AND(G115 &gt;= 75000, G115 &lt; 150000), "High",
  G115 &gt;= 150000, "Very High"
)</f>
        <v>High</v>
      </c>
      <c r="I115" s="6">
        <v>0</v>
      </c>
      <c r="J115" s="6">
        <v>0</v>
      </c>
      <c r="K115" s="6">
        <f t="shared" si="5"/>
        <v>0</v>
      </c>
      <c r="L115" s="8">
        <v>41276</v>
      </c>
      <c r="M115" t="str">
        <f t="shared" ca="1" si="6"/>
        <v>13 years, 2 months</v>
      </c>
      <c r="N115" s="6">
        <v>95</v>
      </c>
      <c r="O115">
        <v>44</v>
      </c>
      <c r="P115">
        <v>20</v>
      </c>
      <c r="Q115">
        <f t="shared" si="7"/>
        <v>64</v>
      </c>
      <c r="R115">
        <v>6</v>
      </c>
      <c r="S115">
        <v>11</v>
      </c>
      <c r="T115">
        <f>Table[[#This Row],[NumWebPurchases]]+Table[[#This Row],[NumStorePurchases]]</f>
        <v>17</v>
      </c>
    </row>
    <row r="116" spans="1:20" ht="12.5">
      <c r="A116" s="6">
        <v>114</v>
      </c>
      <c r="B116" s="6">
        <v>9215</v>
      </c>
      <c r="C116" s="6">
        <v>1980</v>
      </c>
      <c r="D116" s="6">
        <f t="shared" si="4"/>
        <v>45</v>
      </c>
      <c r="E116" s="7" t="s">
        <v>12</v>
      </c>
      <c r="F116" s="7" t="s">
        <v>13</v>
      </c>
      <c r="G116" s="6">
        <v>43974</v>
      </c>
      <c r="H116" s="6" t="str" cm="1">
        <f t="array" ref="H116">_xlfn.IFS(
  G116 &lt; 25000, "Low",
  AND(G116 &gt;= 25000, G116 &lt; 75000), "Medium",
  AND(G116 &gt;= 75000, G116 &lt; 150000), "High",
  G116 &gt;= 150000, "Very High"
)</f>
        <v>Medium</v>
      </c>
      <c r="I116" s="6">
        <v>1</v>
      </c>
      <c r="J116" s="6">
        <v>0</v>
      </c>
      <c r="K116" s="6">
        <f t="shared" si="5"/>
        <v>1</v>
      </c>
      <c r="L116" s="9">
        <v>41255</v>
      </c>
      <c r="M116" t="str">
        <f t="shared" ca="1" si="6"/>
        <v>13 years, 2 months</v>
      </c>
      <c r="N116" s="6">
        <v>19</v>
      </c>
      <c r="O116">
        <v>0</v>
      </c>
      <c r="P116">
        <v>0</v>
      </c>
      <c r="Q116">
        <f t="shared" si="7"/>
        <v>0</v>
      </c>
      <c r="R116">
        <v>6</v>
      </c>
      <c r="S116">
        <v>6</v>
      </c>
      <c r="T116">
        <f>Table[[#This Row],[NumWebPurchases]]+Table[[#This Row],[NumStorePurchases]]</f>
        <v>12</v>
      </c>
    </row>
    <row r="117" spans="1:20" ht="12.5">
      <c r="A117" s="6">
        <v>115</v>
      </c>
      <c r="B117" s="6">
        <v>2286</v>
      </c>
      <c r="C117" s="6">
        <v>1962</v>
      </c>
      <c r="D117" s="6">
        <f t="shared" si="4"/>
        <v>63</v>
      </c>
      <c r="E117" s="7" t="s">
        <v>9</v>
      </c>
      <c r="F117" s="7" t="s">
        <v>10</v>
      </c>
      <c r="G117" s="6">
        <v>50785</v>
      </c>
      <c r="H117" s="6" t="str" cm="1">
        <f t="array" ref="H117">_xlfn.IFS(
  G117 &lt; 25000, "Low",
  AND(G117 &gt;= 25000, G117 &lt; 75000), "Medium",
  AND(G117 &gt;= 75000, G117 &lt; 150000), "High",
  G117 &gt;= 150000, "Very High"
)</f>
        <v>Medium</v>
      </c>
      <c r="I117" s="6">
        <v>1</v>
      </c>
      <c r="J117" s="6">
        <v>1</v>
      </c>
      <c r="K117" s="6">
        <f t="shared" si="5"/>
        <v>2</v>
      </c>
      <c r="L117" s="8">
        <v>41527</v>
      </c>
      <c r="M117" t="str">
        <f t="shared" ca="1" si="6"/>
        <v>12 years, 5 months</v>
      </c>
      <c r="N117" s="6">
        <v>27</v>
      </c>
      <c r="O117">
        <v>1</v>
      </c>
      <c r="P117">
        <v>1</v>
      </c>
      <c r="Q117">
        <f t="shared" si="7"/>
        <v>2</v>
      </c>
      <c r="R117">
        <v>2</v>
      </c>
      <c r="S117">
        <v>3</v>
      </c>
      <c r="T117">
        <f>Table[[#This Row],[NumWebPurchases]]+Table[[#This Row],[NumStorePurchases]]</f>
        <v>5</v>
      </c>
    </row>
    <row r="118" spans="1:20" ht="12.5">
      <c r="A118" s="6">
        <v>116</v>
      </c>
      <c r="B118" s="6">
        <v>1592</v>
      </c>
      <c r="C118" s="6">
        <v>1970</v>
      </c>
      <c r="D118" s="6">
        <f t="shared" si="4"/>
        <v>55</v>
      </c>
      <c r="E118" s="7" t="s">
        <v>9</v>
      </c>
      <c r="F118" s="7" t="s">
        <v>13</v>
      </c>
      <c r="G118" s="6">
        <v>90765</v>
      </c>
      <c r="H118" s="6" t="str" cm="1">
        <f t="array" ref="H118">_xlfn.IFS(
  G118 &lt; 25000, "Low",
  AND(G118 &gt;= 25000, G118 &lt; 75000), "Medium",
  AND(G118 &gt;= 75000, G118 &lt; 150000), "High",
  G118 &gt;= 150000, "Very High"
)</f>
        <v>High</v>
      </c>
      <c r="I118" s="6">
        <v>0</v>
      </c>
      <c r="J118" s="6">
        <v>0</v>
      </c>
      <c r="K118" s="6">
        <f t="shared" si="5"/>
        <v>0</v>
      </c>
      <c r="L118" s="8">
        <v>41663</v>
      </c>
      <c r="M118" t="str">
        <f t="shared" ca="1" si="6"/>
        <v>12 years, 1 months</v>
      </c>
      <c r="N118" s="6">
        <v>25</v>
      </c>
      <c r="O118">
        <v>99</v>
      </c>
      <c r="P118">
        <v>82</v>
      </c>
      <c r="Q118">
        <f t="shared" si="7"/>
        <v>181</v>
      </c>
      <c r="R118">
        <v>4</v>
      </c>
      <c r="S118">
        <v>5</v>
      </c>
      <c r="T118">
        <f>Table[[#This Row],[NumWebPurchases]]+Table[[#This Row],[NumStorePurchases]]</f>
        <v>9</v>
      </c>
    </row>
    <row r="119" spans="1:20" ht="12.5">
      <c r="A119" s="6">
        <v>117</v>
      </c>
      <c r="B119" s="6">
        <v>367</v>
      </c>
      <c r="C119" s="6">
        <v>1978</v>
      </c>
      <c r="D119" s="6">
        <f t="shared" si="4"/>
        <v>47</v>
      </c>
      <c r="E119" s="7" t="s">
        <v>17</v>
      </c>
      <c r="F119" s="7" t="s">
        <v>13</v>
      </c>
      <c r="G119" s="6">
        <v>36550</v>
      </c>
      <c r="H119" s="6" t="str" cm="1">
        <f t="array" ref="H119">_xlfn.IFS(
  G119 &lt; 25000, "Low",
  AND(G119 &gt;= 25000, G119 &lt; 75000), "Medium",
  AND(G119 &gt;= 75000, G119 &lt; 150000), "High",
  G119 &gt;= 150000, "Very High"
)</f>
        <v>Medium</v>
      </c>
      <c r="I119" s="6">
        <v>1</v>
      </c>
      <c r="J119" s="6">
        <v>0</v>
      </c>
      <c r="K119" s="6">
        <f t="shared" si="5"/>
        <v>1</v>
      </c>
      <c r="L119" s="8">
        <v>41324</v>
      </c>
      <c r="M119" t="str">
        <f t="shared" ca="1" si="6"/>
        <v>13 years, 0 months</v>
      </c>
      <c r="N119" s="6">
        <v>74</v>
      </c>
      <c r="O119">
        <v>90</v>
      </c>
      <c r="P119">
        <v>103</v>
      </c>
      <c r="Q119">
        <f t="shared" si="7"/>
        <v>193</v>
      </c>
      <c r="R119">
        <v>9</v>
      </c>
      <c r="S119">
        <v>5</v>
      </c>
      <c r="T119">
        <f>Table[[#This Row],[NumWebPurchases]]+Table[[#This Row],[NumStorePurchases]]</f>
        <v>14</v>
      </c>
    </row>
    <row r="120" spans="1:20" ht="12.5">
      <c r="A120" s="6">
        <v>118</v>
      </c>
      <c r="B120" s="6">
        <v>5234</v>
      </c>
      <c r="C120" s="6">
        <v>1967</v>
      </c>
      <c r="D120" s="6">
        <f t="shared" si="4"/>
        <v>58</v>
      </c>
      <c r="E120" s="7" t="s">
        <v>17</v>
      </c>
      <c r="F120" s="7" t="s">
        <v>11</v>
      </c>
      <c r="G120" s="6">
        <v>30753</v>
      </c>
      <c r="H120" s="6" t="str" cm="1">
        <f t="array" ref="H120">_xlfn.IFS(
  G120 &lt; 25000, "Low",
  AND(G120 &gt;= 25000, G120 &lt; 75000), "Medium",
  AND(G120 &gt;= 75000, G120 &lt; 150000), "High",
  G120 &gt;= 150000, "Very High"
)</f>
        <v>Medium</v>
      </c>
      <c r="I120" s="6">
        <v>1</v>
      </c>
      <c r="J120" s="6">
        <v>1</v>
      </c>
      <c r="K120" s="6">
        <f t="shared" si="5"/>
        <v>2</v>
      </c>
      <c r="L120" s="8">
        <v>41466</v>
      </c>
      <c r="M120" t="str">
        <f t="shared" ca="1" si="6"/>
        <v>12 years, 7 months</v>
      </c>
      <c r="N120" s="6">
        <v>85</v>
      </c>
      <c r="O120">
        <v>5</v>
      </c>
      <c r="P120">
        <v>9</v>
      </c>
      <c r="Q120">
        <f t="shared" si="7"/>
        <v>14</v>
      </c>
      <c r="R120">
        <v>1</v>
      </c>
      <c r="S120">
        <v>3</v>
      </c>
      <c r="T120">
        <f>Table[[#This Row],[NumWebPurchases]]+Table[[#This Row],[NumStorePurchases]]</f>
        <v>4</v>
      </c>
    </row>
    <row r="121" spans="1:20" ht="12.5">
      <c r="A121" s="6">
        <v>119</v>
      </c>
      <c r="B121" s="6">
        <v>9862</v>
      </c>
      <c r="C121" s="6">
        <v>1969</v>
      </c>
      <c r="D121" s="6">
        <f t="shared" si="4"/>
        <v>56</v>
      </c>
      <c r="E121" s="7" t="s">
        <v>9</v>
      </c>
      <c r="F121" s="7" t="s">
        <v>11</v>
      </c>
      <c r="G121" s="6">
        <v>21918</v>
      </c>
      <c r="H121" s="6" t="str" cm="1">
        <f t="array" ref="H121">_xlfn.IFS(
  G121 &lt; 25000, "Low",
  AND(G121 &gt;= 25000, G121 &lt; 75000), "Medium",
  AND(G121 &gt;= 75000, G121 &lt; 150000), "High",
  G121 &gt;= 150000, "Very High"
)</f>
        <v>Low</v>
      </c>
      <c r="I121" s="6">
        <v>1</v>
      </c>
      <c r="J121" s="6">
        <v>0</v>
      </c>
      <c r="K121" s="6">
        <f t="shared" si="5"/>
        <v>1</v>
      </c>
      <c r="L121" s="9">
        <v>41592</v>
      </c>
      <c r="M121" t="str">
        <f t="shared" ca="1" si="6"/>
        <v>12 years, 3 months</v>
      </c>
      <c r="N121" s="6">
        <v>37</v>
      </c>
      <c r="O121">
        <v>6</v>
      </c>
      <c r="P121">
        <v>5</v>
      </c>
      <c r="Q121">
        <f t="shared" si="7"/>
        <v>11</v>
      </c>
      <c r="R121">
        <v>2</v>
      </c>
      <c r="S121">
        <v>3</v>
      </c>
      <c r="T121">
        <f>Table[[#This Row],[NumWebPurchases]]+Table[[#This Row],[NumStorePurchases]]</f>
        <v>5</v>
      </c>
    </row>
    <row r="122" spans="1:20" ht="12.5">
      <c r="A122" s="6">
        <v>120</v>
      </c>
      <c r="B122" s="6">
        <v>9805</v>
      </c>
      <c r="C122" s="6">
        <v>1953</v>
      </c>
      <c r="D122" s="6">
        <f t="shared" si="4"/>
        <v>72</v>
      </c>
      <c r="E122" s="7" t="s">
        <v>14</v>
      </c>
      <c r="F122" s="7" t="s">
        <v>11</v>
      </c>
      <c r="G122" s="6">
        <v>56129</v>
      </c>
      <c r="H122" s="6" t="str" cm="1">
        <f t="array" ref="H122">_xlfn.IFS(
  G122 &lt; 25000, "Low",
  AND(G122 &gt;= 25000, G122 &lt; 75000), "Medium",
  AND(G122 &gt;= 75000, G122 &lt; 150000), "High",
  G122 &gt;= 150000, "Very High"
)</f>
        <v>Medium</v>
      </c>
      <c r="I122" s="6">
        <v>0</v>
      </c>
      <c r="J122" s="6">
        <v>1</v>
      </c>
      <c r="K122" s="6">
        <f t="shared" si="5"/>
        <v>1</v>
      </c>
      <c r="L122" s="8">
        <v>41445</v>
      </c>
      <c r="M122" t="str">
        <f t="shared" ca="1" si="6"/>
        <v>12 years, 8 months</v>
      </c>
      <c r="N122" s="6">
        <v>65</v>
      </c>
      <c r="O122">
        <v>48</v>
      </c>
      <c r="P122">
        <v>72</v>
      </c>
      <c r="Q122">
        <f t="shared" si="7"/>
        <v>120</v>
      </c>
      <c r="R122">
        <v>6</v>
      </c>
      <c r="S122">
        <v>10</v>
      </c>
      <c r="T122">
        <f>Table[[#This Row],[NumWebPurchases]]+Table[[#This Row],[NumStorePurchases]]</f>
        <v>16</v>
      </c>
    </row>
    <row r="123" spans="1:20" ht="12.5">
      <c r="A123" s="6">
        <v>121</v>
      </c>
      <c r="B123" s="6">
        <v>6205</v>
      </c>
      <c r="C123" s="6">
        <v>1967</v>
      </c>
      <c r="D123" s="6">
        <f t="shared" si="4"/>
        <v>58</v>
      </c>
      <c r="E123" s="7" t="s">
        <v>14</v>
      </c>
      <c r="F123" s="7" t="s">
        <v>10</v>
      </c>
      <c r="G123" s="6">
        <v>32557</v>
      </c>
      <c r="H123" s="6" t="str" cm="1">
        <f t="array" ref="H123">_xlfn.IFS(
  G123 &lt; 25000, "Low",
  AND(G123 &gt;= 25000, G123 &lt; 75000), "Medium",
  AND(G123 &gt;= 75000, G123 &lt; 150000), "High",
  G123 &gt;= 150000, "Very High"
)</f>
        <v>Medium</v>
      </c>
      <c r="I123" s="6">
        <v>1</v>
      </c>
      <c r="J123" s="6">
        <v>0</v>
      </c>
      <c r="K123" s="6">
        <f t="shared" si="5"/>
        <v>1</v>
      </c>
      <c r="L123" s="8">
        <v>41694</v>
      </c>
      <c r="M123" t="str">
        <f t="shared" ca="1" si="6"/>
        <v>12 years, 0 months</v>
      </c>
      <c r="N123" s="6">
        <v>13</v>
      </c>
      <c r="O123">
        <v>3</v>
      </c>
      <c r="P123">
        <v>4</v>
      </c>
      <c r="Q123">
        <f t="shared" si="7"/>
        <v>7</v>
      </c>
      <c r="R123">
        <v>2</v>
      </c>
      <c r="S123">
        <v>3</v>
      </c>
      <c r="T123">
        <f>Table[[#This Row],[NumWebPurchases]]+Table[[#This Row],[NumStorePurchases]]</f>
        <v>5</v>
      </c>
    </row>
    <row r="124" spans="1:20" ht="12.5">
      <c r="A124" s="6">
        <v>122</v>
      </c>
      <c r="B124" s="6">
        <v>8442</v>
      </c>
      <c r="C124" s="6">
        <v>1985</v>
      </c>
      <c r="D124" s="6">
        <f t="shared" si="4"/>
        <v>40</v>
      </c>
      <c r="E124" s="7" t="s">
        <v>14</v>
      </c>
      <c r="F124" s="7" t="s">
        <v>13</v>
      </c>
      <c r="G124" s="6">
        <v>19510</v>
      </c>
      <c r="H124" s="6" t="str" cm="1">
        <f t="array" ref="H124">_xlfn.IFS(
  G124 &lt; 25000, "Low",
  AND(G124 &gt;= 25000, G124 &lt; 75000), "Medium",
  AND(G124 &gt;= 75000, G124 &lt; 150000), "High",
  G124 &gt;= 150000, "Very High"
)</f>
        <v>Low</v>
      </c>
      <c r="I124" s="6">
        <v>2</v>
      </c>
      <c r="J124" s="6">
        <v>0</v>
      </c>
      <c r="K124" s="6">
        <f t="shared" si="5"/>
        <v>2</v>
      </c>
      <c r="L124" s="8">
        <v>41521</v>
      </c>
      <c r="M124" t="str">
        <f t="shared" ca="1" si="6"/>
        <v>12 years, 6 months</v>
      </c>
      <c r="N124" s="6">
        <v>63</v>
      </c>
      <c r="O124">
        <v>0</v>
      </c>
      <c r="P124">
        <v>4</v>
      </c>
      <c r="Q124">
        <f t="shared" si="7"/>
        <v>4</v>
      </c>
      <c r="R124">
        <v>1</v>
      </c>
      <c r="S124">
        <v>3</v>
      </c>
      <c r="T124">
        <f>Table[[#This Row],[NumWebPurchases]]+Table[[#This Row],[NumStorePurchases]]</f>
        <v>4</v>
      </c>
    </row>
    <row r="125" spans="1:20" ht="12.5">
      <c r="A125" s="6">
        <v>123</v>
      </c>
      <c r="B125" s="6">
        <v>7386</v>
      </c>
      <c r="C125" s="6">
        <v>1976</v>
      </c>
      <c r="D125" s="6">
        <f t="shared" si="4"/>
        <v>49</v>
      </c>
      <c r="E125" s="7" t="s">
        <v>9</v>
      </c>
      <c r="F125" s="7" t="s">
        <v>15</v>
      </c>
      <c r="G125" s="6">
        <v>30992</v>
      </c>
      <c r="H125" s="6" t="str" cm="1">
        <f t="array" ref="H125">_xlfn.IFS(
  G125 &lt; 25000, "Low",
  AND(G125 &gt;= 25000, G125 &lt; 75000), "Medium",
  AND(G125 &gt;= 75000, G125 &lt; 150000), "High",
  G125 &gt;= 150000, "Very High"
)</f>
        <v>Medium</v>
      </c>
      <c r="I125" s="6">
        <v>1</v>
      </c>
      <c r="J125" s="6">
        <v>0</v>
      </c>
      <c r="K125" s="6">
        <f t="shared" si="5"/>
        <v>1</v>
      </c>
      <c r="L125" s="8">
        <v>41386</v>
      </c>
      <c r="M125" t="str">
        <f t="shared" ca="1" si="6"/>
        <v>12 years, 10 months</v>
      </c>
      <c r="N125" s="6">
        <v>83</v>
      </c>
      <c r="O125">
        <v>0</v>
      </c>
      <c r="P125">
        <v>3</v>
      </c>
      <c r="Q125">
        <f t="shared" si="7"/>
        <v>3</v>
      </c>
      <c r="R125">
        <v>1</v>
      </c>
      <c r="S125">
        <v>3</v>
      </c>
      <c r="T125">
        <f>Table[[#This Row],[NumWebPurchases]]+Table[[#This Row],[NumStorePurchases]]</f>
        <v>4</v>
      </c>
    </row>
    <row r="126" spans="1:20" ht="12.5">
      <c r="A126" s="6">
        <v>124</v>
      </c>
      <c r="B126" s="6">
        <v>7215</v>
      </c>
      <c r="C126" s="6">
        <v>1983</v>
      </c>
      <c r="D126" s="6">
        <f t="shared" si="4"/>
        <v>42</v>
      </c>
      <c r="E126" s="7" t="s">
        <v>9</v>
      </c>
      <c r="F126" s="7" t="s">
        <v>10</v>
      </c>
      <c r="G126" s="6">
        <v>101970</v>
      </c>
      <c r="H126" s="6" t="str" cm="1">
        <f t="array" ref="H126">_xlfn.IFS(
  G126 &lt; 25000, "Low",
  AND(G126 &gt;= 25000, G126 &lt; 75000), "Medium",
  AND(G126 &gt;= 75000, G126 &lt; 150000), "High",
  G126 &gt;= 150000, "Very High"
)</f>
        <v>High</v>
      </c>
      <c r="I126" s="6">
        <v>0</v>
      </c>
      <c r="J126" s="6">
        <v>0</v>
      </c>
      <c r="K126" s="6">
        <f t="shared" si="5"/>
        <v>0</v>
      </c>
      <c r="L126" s="8">
        <v>41345</v>
      </c>
      <c r="M126" t="str">
        <f t="shared" ca="1" si="6"/>
        <v>12 years, 11 months</v>
      </c>
      <c r="N126" s="6">
        <v>69</v>
      </c>
      <c r="O126">
        <v>27</v>
      </c>
      <c r="P126">
        <v>72</v>
      </c>
      <c r="Q126">
        <f t="shared" si="7"/>
        <v>99</v>
      </c>
      <c r="R126">
        <v>6</v>
      </c>
      <c r="S126">
        <v>13</v>
      </c>
      <c r="T126">
        <f>Table[[#This Row],[NumWebPurchases]]+Table[[#This Row],[NumStorePurchases]]</f>
        <v>19</v>
      </c>
    </row>
    <row r="127" spans="1:20" ht="12.5">
      <c r="A127" s="6">
        <v>125</v>
      </c>
      <c r="B127" s="6">
        <v>1491</v>
      </c>
      <c r="C127" s="6">
        <v>1965</v>
      </c>
      <c r="D127" s="6">
        <f t="shared" si="4"/>
        <v>60</v>
      </c>
      <c r="E127" s="7" t="s">
        <v>17</v>
      </c>
      <c r="F127" s="7" t="s">
        <v>11</v>
      </c>
      <c r="G127" s="6">
        <v>71488</v>
      </c>
      <c r="H127" s="6" t="str" cm="1">
        <f t="array" ref="H127">_xlfn.IFS(
  G127 &lt; 25000, "Low",
  AND(G127 &gt;= 25000, G127 &lt; 75000), "Medium",
  AND(G127 &gt;= 75000, G127 &lt; 150000), "High",
  G127 &gt;= 150000, "Very High"
)</f>
        <v>Medium</v>
      </c>
      <c r="I127" s="6">
        <v>0</v>
      </c>
      <c r="J127" s="6">
        <v>0</v>
      </c>
      <c r="K127" s="6">
        <f t="shared" si="5"/>
        <v>0</v>
      </c>
      <c r="L127" s="8">
        <v>41323</v>
      </c>
      <c r="M127" t="str">
        <f t="shared" ca="1" si="6"/>
        <v>13 years, 0 months</v>
      </c>
      <c r="N127" s="6">
        <v>87</v>
      </c>
      <c r="O127">
        <v>33</v>
      </c>
      <c r="P127">
        <v>28</v>
      </c>
      <c r="Q127">
        <f t="shared" si="7"/>
        <v>61</v>
      </c>
      <c r="R127">
        <v>3</v>
      </c>
      <c r="S127">
        <v>7</v>
      </c>
      <c r="T127">
        <f>Table[[#This Row],[NumWebPurchases]]+Table[[#This Row],[NumStorePurchases]]</f>
        <v>10</v>
      </c>
    </row>
    <row r="128" spans="1:20" ht="12.5">
      <c r="A128" s="6">
        <v>126</v>
      </c>
      <c r="B128" s="6">
        <v>11071</v>
      </c>
      <c r="C128" s="6">
        <v>1984</v>
      </c>
      <c r="D128" s="6">
        <f t="shared" si="4"/>
        <v>41</v>
      </c>
      <c r="E128" s="7" t="s">
        <v>9</v>
      </c>
      <c r="F128" s="7" t="s">
        <v>10</v>
      </c>
      <c r="G128" s="6">
        <v>79607</v>
      </c>
      <c r="H128" s="6" t="str" cm="1">
        <f t="array" ref="H128">_xlfn.IFS(
  G128 &lt; 25000, "Low",
  AND(G128 &gt;= 25000, G128 &lt; 75000), "Medium",
  AND(G128 &gt;= 75000, G128 &lt; 150000), "High",
  G128 &gt;= 150000, "Very High"
)</f>
        <v>High</v>
      </c>
      <c r="I128" s="6">
        <v>0</v>
      </c>
      <c r="J128" s="6">
        <v>0</v>
      </c>
      <c r="K128" s="6">
        <f t="shared" si="5"/>
        <v>0</v>
      </c>
      <c r="L128" s="8">
        <v>41385</v>
      </c>
      <c r="M128" t="str">
        <f t="shared" ca="1" si="6"/>
        <v>12 years, 10 months</v>
      </c>
      <c r="N128" s="6">
        <v>37</v>
      </c>
      <c r="O128">
        <v>133</v>
      </c>
      <c r="P128">
        <v>0</v>
      </c>
      <c r="Q128">
        <f t="shared" si="7"/>
        <v>133</v>
      </c>
      <c r="R128">
        <v>3</v>
      </c>
      <c r="S128">
        <v>6</v>
      </c>
      <c r="T128">
        <f>Table[[#This Row],[NumWebPurchases]]+Table[[#This Row],[NumStorePurchases]]</f>
        <v>9</v>
      </c>
    </row>
    <row r="129" spans="1:20" ht="12.5">
      <c r="A129" s="6">
        <v>127</v>
      </c>
      <c r="B129" s="6">
        <v>3381</v>
      </c>
      <c r="C129" s="6">
        <v>1953</v>
      </c>
      <c r="D129" s="6">
        <f t="shared" si="4"/>
        <v>72</v>
      </c>
      <c r="E129" s="7" t="s">
        <v>14</v>
      </c>
      <c r="F129" s="7" t="s">
        <v>13</v>
      </c>
      <c r="G129" s="6">
        <v>54348</v>
      </c>
      <c r="H129" s="6" t="str" cm="1">
        <f t="array" ref="H129">_xlfn.IFS(
  G129 &lt; 25000, "Low",
  AND(G129 &gt;= 25000, G129 &lt; 75000), "Medium",
  AND(G129 &gt;= 75000, G129 &lt; 150000), "High",
  G129 &gt;= 150000, "Very High"
)</f>
        <v>Medium</v>
      </c>
      <c r="I129" s="6">
        <v>1</v>
      </c>
      <c r="J129" s="6">
        <v>1</v>
      </c>
      <c r="K129" s="6">
        <f t="shared" si="5"/>
        <v>2</v>
      </c>
      <c r="L129" s="8">
        <v>41798</v>
      </c>
      <c r="M129" t="str">
        <f t="shared" ca="1" si="6"/>
        <v>11 years, 8 months</v>
      </c>
      <c r="N129" s="6">
        <v>51</v>
      </c>
      <c r="O129">
        <v>0</v>
      </c>
      <c r="P129">
        <v>0</v>
      </c>
      <c r="Q129">
        <f t="shared" si="7"/>
        <v>0</v>
      </c>
      <c r="R129">
        <v>2</v>
      </c>
      <c r="S129">
        <v>4</v>
      </c>
      <c r="T129">
        <f>Table[[#This Row],[NumWebPurchases]]+Table[[#This Row],[NumStorePurchases]]</f>
        <v>6</v>
      </c>
    </row>
    <row r="130" spans="1:20" ht="12.5">
      <c r="A130" s="6">
        <v>128</v>
      </c>
      <c r="B130" s="6">
        <v>8268</v>
      </c>
      <c r="C130" s="6">
        <v>1961</v>
      </c>
      <c r="D130" s="6">
        <f t="shared" si="4"/>
        <v>64</v>
      </c>
      <c r="E130" s="7" t="s">
        <v>12</v>
      </c>
      <c r="F130" s="7" t="s">
        <v>13</v>
      </c>
      <c r="G130" s="7">
        <v>51371</v>
      </c>
      <c r="H130" s="6" t="str" cm="1">
        <f t="array" ref="H130">_xlfn.IFS(
  G130 &lt; 25000, "Low",
  AND(G130 &gt;= 25000, G130 &lt; 75000), "Medium",
  AND(G130 &gt;= 75000, G130 &lt; 150000), "High",
  G130 &gt;= 150000, "Very High"
)</f>
        <v>Medium</v>
      </c>
      <c r="I130" s="6">
        <v>0</v>
      </c>
      <c r="J130" s="6">
        <v>1</v>
      </c>
      <c r="K130" s="6">
        <f t="shared" si="5"/>
        <v>1</v>
      </c>
      <c r="L130" s="8">
        <v>41466</v>
      </c>
      <c r="M130" t="str">
        <f t="shared" ca="1" si="6"/>
        <v>12 years, 7 months</v>
      </c>
      <c r="N130" s="6">
        <v>23</v>
      </c>
      <c r="O130">
        <v>0</v>
      </c>
      <c r="P130">
        <v>0</v>
      </c>
      <c r="Q130">
        <f t="shared" si="7"/>
        <v>0</v>
      </c>
      <c r="R130">
        <v>6</v>
      </c>
      <c r="S130">
        <v>7</v>
      </c>
      <c r="T130">
        <f>Table[[#This Row],[NumWebPurchases]]+Table[[#This Row],[NumStorePurchases]]</f>
        <v>13</v>
      </c>
    </row>
    <row r="131" spans="1:20" ht="12.5">
      <c r="A131" s="6">
        <v>129</v>
      </c>
      <c r="B131" s="6">
        <v>11051</v>
      </c>
      <c r="C131" s="6">
        <v>1956</v>
      </c>
      <c r="D131" s="6">
        <f t="shared" ref="D131:D194" si="8">2025-C131</f>
        <v>69</v>
      </c>
      <c r="E131" s="7" t="s">
        <v>12</v>
      </c>
      <c r="F131" s="7" t="s">
        <v>11</v>
      </c>
      <c r="G131" s="6">
        <v>77376</v>
      </c>
      <c r="H131" s="6" t="str" cm="1">
        <f t="array" ref="H131">_xlfn.IFS(
  G131 &lt; 25000, "Low",
  AND(G131 &gt;= 25000, G131 &lt; 75000), "Medium",
  AND(G131 &gt;= 75000, G131 &lt; 150000), "High",
  G131 &gt;= 150000, "Very High"
)</f>
        <v>High</v>
      </c>
      <c r="I131" s="6">
        <v>1</v>
      </c>
      <c r="J131" s="6">
        <v>1</v>
      </c>
      <c r="K131" s="6">
        <f t="shared" ref="K131:K194" si="9">I131+J131</f>
        <v>2</v>
      </c>
      <c r="L131" s="8">
        <v>41769</v>
      </c>
      <c r="M131" t="str">
        <f t="shared" ref="M131:M194" ca="1" si="10">DATEDIF(L131, TODAY(), "Y") &amp; " years, " &amp; DATEDIF(L131, TODAY(), "YM") &amp; " months"</f>
        <v>11 years, 9 months</v>
      </c>
      <c r="N131" s="6">
        <v>72</v>
      </c>
      <c r="O131">
        <v>19</v>
      </c>
      <c r="P131">
        <v>12</v>
      </c>
      <c r="Q131">
        <f t="shared" ref="Q131:Q194" si="11">O131+P131</f>
        <v>31</v>
      </c>
      <c r="R131">
        <v>6</v>
      </c>
      <c r="S131">
        <v>10</v>
      </c>
      <c r="T131">
        <f>Table[[#This Row],[NumWebPurchases]]+Table[[#This Row],[NumStorePurchases]]</f>
        <v>16</v>
      </c>
    </row>
    <row r="132" spans="1:20" ht="12.5">
      <c r="A132" s="6">
        <v>130</v>
      </c>
      <c r="B132" s="6">
        <v>8026</v>
      </c>
      <c r="C132" s="6">
        <v>1952</v>
      </c>
      <c r="D132" s="6">
        <f t="shared" si="8"/>
        <v>73</v>
      </c>
      <c r="E132" s="7" t="s">
        <v>9</v>
      </c>
      <c r="F132" s="7" t="s">
        <v>13</v>
      </c>
      <c r="G132" s="6">
        <v>62998</v>
      </c>
      <c r="H132" s="6" t="str" cm="1">
        <f t="array" ref="H132">_xlfn.IFS(
  G132 &lt; 25000, "Low",
  AND(G132 &gt;= 25000, G132 &lt; 75000), "Medium",
  AND(G132 &gt;= 75000, G132 &lt; 150000), "High",
  G132 &gt;= 150000, "Very High"
)</f>
        <v>Medium</v>
      </c>
      <c r="I132" s="6">
        <v>0</v>
      </c>
      <c r="J132" s="6">
        <v>1</v>
      </c>
      <c r="K132" s="6">
        <f t="shared" si="9"/>
        <v>1</v>
      </c>
      <c r="L132" s="8">
        <v>41547</v>
      </c>
      <c r="M132" t="str">
        <f t="shared" ca="1" si="10"/>
        <v>12 years, 5 months</v>
      </c>
      <c r="N132" s="6">
        <v>10</v>
      </c>
      <c r="O132">
        <v>58</v>
      </c>
      <c r="P132">
        <v>89</v>
      </c>
      <c r="Q132">
        <f t="shared" si="11"/>
        <v>147</v>
      </c>
      <c r="R132">
        <v>5</v>
      </c>
      <c r="S132">
        <v>5</v>
      </c>
      <c r="T132">
        <f>Table[[#This Row],[NumWebPurchases]]+Table[[#This Row],[NumStorePurchases]]</f>
        <v>10</v>
      </c>
    </row>
    <row r="133" spans="1:20" ht="12.5">
      <c r="A133" s="6">
        <v>131</v>
      </c>
      <c r="B133" s="6">
        <v>433</v>
      </c>
      <c r="C133" s="6">
        <v>1958</v>
      </c>
      <c r="D133" s="6">
        <f t="shared" si="8"/>
        <v>67</v>
      </c>
      <c r="E133" s="7" t="s">
        <v>14</v>
      </c>
      <c r="F133" s="7" t="s">
        <v>19</v>
      </c>
      <c r="G133" s="6">
        <v>61331</v>
      </c>
      <c r="H133" s="6" t="str" cm="1">
        <f t="array" ref="H133">_xlfn.IFS(
  G133 &lt; 25000, "Low",
  AND(G133 &gt;= 25000, G133 &lt; 75000), "Medium",
  AND(G133 &gt;= 75000, G133 &lt; 150000), "High",
  G133 &gt;= 150000, "Very High"
)</f>
        <v>Medium</v>
      </c>
      <c r="I133" s="6">
        <v>1</v>
      </c>
      <c r="J133" s="6">
        <v>1</v>
      </c>
      <c r="K133" s="6">
        <f t="shared" si="9"/>
        <v>2</v>
      </c>
      <c r="L133" s="8">
        <v>41343</v>
      </c>
      <c r="M133" t="str">
        <f t="shared" ca="1" si="10"/>
        <v>12 years, 11 months</v>
      </c>
      <c r="N133" s="6">
        <v>42</v>
      </c>
      <c r="O133">
        <v>5</v>
      </c>
      <c r="P133">
        <v>5</v>
      </c>
      <c r="Q133">
        <f t="shared" si="11"/>
        <v>10</v>
      </c>
      <c r="R133">
        <v>11</v>
      </c>
      <c r="S133">
        <v>6</v>
      </c>
      <c r="T133">
        <f>Table[[#This Row],[NumWebPurchases]]+Table[[#This Row],[NumStorePurchases]]</f>
        <v>17</v>
      </c>
    </row>
    <row r="134" spans="1:20" ht="12.5">
      <c r="A134" s="6">
        <v>132</v>
      </c>
      <c r="B134" s="6">
        <v>9597</v>
      </c>
      <c r="C134" s="6">
        <v>1969</v>
      </c>
      <c r="D134" s="6">
        <f t="shared" si="8"/>
        <v>56</v>
      </c>
      <c r="E134" s="7" t="s">
        <v>9</v>
      </c>
      <c r="F134" s="7" t="s">
        <v>13</v>
      </c>
      <c r="G134" s="6">
        <v>73448</v>
      </c>
      <c r="H134" s="6" t="str" cm="1">
        <f t="array" ref="H134">_xlfn.IFS(
  G134 &lt; 25000, "Low",
  AND(G134 &gt;= 25000, G134 &lt; 75000), "Medium",
  AND(G134 &gt;= 75000, G134 &lt; 150000), "High",
  G134 &gt;= 150000, "Very High"
)</f>
        <v>Medium</v>
      </c>
      <c r="I134" s="6">
        <v>0</v>
      </c>
      <c r="J134" s="6">
        <v>0</v>
      </c>
      <c r="K134" s="6">
        <f t="shared" si="9"/>
        <v>0</v>
      </c>
      <c r="L134" s="8">
        <v>41680</v>
      </c>
      <c r="M134" t="str">
        <f t="shared" ca="1" si="10"/>
        <v>12 years, 0 months</v>
      </c>
      <c r="N134" s="6">
        <v>10</v>
      </c>
      <c r="O134">
        <v>106</v>
      </c>
      <c r="P134">
        <v>41</v>
      </c>
      <c r="Q134">
        <f t="shared" si="11"/>
        <v>147</v>
      </c>
      <c r="R134">
        <v>7</v>
      </c>
      <c r="S134">
        <v>9</v>
      </c>
      <c r="T134">
        <f>Table[[#This Row],[NumWebPurchases]]+Table[[#This Row],[NumStorePurchases]]</f>
        <v>16</v>
      </c>
    </row>
    <row r="135" spans="1:20" ht="12.5">
      <c r="A135" s="6">
        <v>133</v>
      </c>
      <c r="B135" s="6">
        <v>1295</v>
      </c>
      <c r="C135" s="6">
        <v>1963</v>
      </c>
      <c r="D135" s="6">
        <f t="shared" si="8"/>
        <v>62</v>
      </c>
      <c r="E135" s="7" t="s">
        <v>9</v>
      </c>
      <c r="F135" s="7" t="s">
        <v>13</v>
      </c>
      <c r="G135" s="7">
        <v>51371</v>
      </c>
      <c r="H135" s="6" t="str" cm="1">
        <f t="array" ref="H135">_xlfn.IFS(
  G135 &lt; 25000, "Low",
  AND(G135 &gt;= 25000, G135 &lt; 75000), "Medium",
  AND(G135 &gt;= 75000, G135 &lt; 150000), "High",
  G135 &gt;= 150000, "Very High"
)</f>
        <v>Medium</v>
      </c>
      <c r="I135" s="6">
        <v>0</v>
      </c>
      <c r="J135" s="6">
        <v>1</v>
      </c>
      <c r="K135" s="6">
        <f t="shared" si="9"/>
        <v>1</v>
      </c>
      <c r="L135" s="8">
        <v>41497</v>
      </c>
      <c r="M135" t="str">
        <f t="shared" ca="1" si="10"/>
        <v>12 years, 6 months</v>
      </c>
      <c r="N135" s="6">
        <v>96</v>
      </c>
      <c r="O135">
        <v>65</v>
      </c>
      <c r="P135">
        <v>71</v>
      </c>
      <c r="Q135">
        <f t="shared" si="11"/>
        <v>136</v>
      </c>
      <c r="R135">
        <v>6</v>
      </c>
      <c r="S135">
        <v>7</v>
      </c>
      <c r="T135">
        <f>Table[[#This Row],[NumWebPurchases]]+Table[[#This Row],[NumStorePurchases]]</f>
        <v>13</v>
      </c>
    </row>
    <row r="136" spans="1:20" ht="12.5">
      <c r="A136" s="6">
        <v>134</v>
      </c>
      <c r="B136" s="6">
        <v>5290</v>
      </c>
      <c r="C136" s="6">
        <v>1964</v>
      </c>
      <c r="D136" s="6">
        <f t="shared" si="8"/>
        <v>61</v>
      </c>
      <c r="E136" s="7" t="s">
        <v>12</v>
      </c>
      <c r="F136" s="7" t="s">
        <v>13</v>
      </c>
      <c r="G136" s="6">
        <v>41551</v>
      </c>
      <c r="H136" s="6" t="str" cm="1">
        <f t="array" ref="H136">_xlfn.IFS(
  G136 &lt; 25000, "Low",
  AND(G136 &gt;= 25000, G136 &lt; 75000), "Medium",
  AND(G136 &gt;= 75000, G136 &lt; 150000), "High",
  G136 &gt;= 150000, "Very High"
)</f>
        <v>Medium</v>
      </c>
      <c r="I136" s="6">
        <v>1</v>
      </c>
      <c r="J136" s="6">
        <v>1</v>
      </c>
      <c r="K136" s="6">
        <f t="shared" si="9"/>
        <v>2</v>
      </c>
      <c r="L136" s="8">
        <v>41500</v>
      </c>
      <c r="M136" t="str">
        <f t="shared" ca="1" si="10"/>
        <v>12 years, 6 months</v>
      </c>
      <c r="N136" s="6">
        <v>51</v>
      </c>
      <c r="O136">
        <v>0</v>
      </c>
      <c r="P136">
        <v>0</v>
      </c>
      <c r="Q136">
        <f t="shared" si="11"/>
        <v>0</v>
      </c>
      <c r="R136">
        <v>5</v>
      </c>
      <c r="S136">
        <v>5</v>
      </c>
      <c r="T136">
        <f>Table[[#This Row],[NumWebPurchases]]+Table[[#This Row],[NumStorePurchases]]</f>
        <v>10</v>
      </c>
    </row>
    <row r="137" spans="1:20" ht="12.5">
      <c r="A137" s="6">
        <v>135</v>
      </c>
      <c r="B137" s="6">
        <v>1685</v>
      </c>
      <c r="C137" s="6">
        <v>1967</v>
      </c>
      <c r="D137" s="6">
        <f t="shared" si="8"/>
        <v>58</v>
      </c>
      <c r="E137" s="7" t="s">
        <v>12</v>
      </c>
      <c r="F137" s="7" t="s">
        <v>11</v>
      </c>
      <c r="G137" s="6">
        <v>62981</v>
      </c>
      <c r="H137" s="6" t="str" cm="1">
        <f t="array" ref="H137">_xlfn.IFS(
  G137 &lt; 25000, "Low",
  AND(G137 &gt;= 25000, G137 &lt; 75000), "Medium",
  AND(G137 &gt;= 75000, G137 &lt; 150000), "High",
  G137 &gt;= 150000, "Very High"
)</f>
        <v>Medium</v>
      </c>
      <c r="I137" s="6">
        <v>0</v>
      </c>
      <c r="J137" s="6">
        <v>0</v>
      </c>
      <c r="K137" s="6">
        <f t="shared" si="9"/>
        <v>0</v>
      </c>
      <c r="L137" s="8">
        <v>41350</v>
      </c>
      <c r="M137" t="str">
        <f t="shared" ca="1" si="10"/>
        <v>12 years, 11 months</v>
      </c>
      <c r="N137" s="6">
        <v>21</v>
      </c>
      <c r="O137">
        <v>14</v>
      </c>
      <c r="P137">
        <v>44</v>
      </c>
      <c r="Q137">
        <f t="shared" si="11"/>
        <v>58</v>
      </c>
      <c r="R137">
        <v>4</v>
      </c>
      <c r="S137">
        <v>13</v>
      </c>
      <c r="T137">
        <f>Table[[#This Row],[NumWebPurchases]]+Table[[#This Row],[NumStorePurchases]]</f>
        <v>17</v>
      </c>
    </row>
    <row r="138" spans="1:20" ht="12.5">
      <c r="A138" s="6">
        <v>136</v>
      </c>
      <c r="B138" s="6">
        <v>5342</v>
      </c>
      <c r="C138" s="6">
        <v>1976</v>
      </c>
      <c r="D138" s="6">
        <f t="shared" si="8"/>
        <v>49</v>
      </c>
      <c r="E138" s="7" t="s">
        <v>16</v>
      </c>
      <c r="F138" s="7" t="s">
        <v>15</v>
      </c>
      <c r="G138" s="6">
        <v>9548</v>
      </c>
      <c r="H138" s="6" t="str" cm="1">
        <f t="array" ref="H138">_xlfn.IFS(
  G138 &lt; 25000, "Low",
  AND(G138 &gt;= 25000, G138 &lt; 75000), "Medium",
  AND(G138 &gt;= 75000, G138 &lt; 150000), "High",
  G138 &gt;= 150000, "Very High"
)</f>
        <v>Low</v>
      </c>
      <c r="I138" s="6">
        <v>1</v>
      </c>
      <c r="J138" s="6">
        <v>0</v>
      </c>
      <c r="K138" s="6">
        <f t="shared" si="9"/>
        <v>1</v>
      </c>
      <c r="L138" s="8">
        <v>41129</v>
      </c>
      <c r="M138" t="str">
        <f t="shared" ca="1" si="10"/>
        <v>13 years, 6 months</v>
      </c>
      <c r="N138" s="6">
        <v>31</v>
      </c>
      <c r="O138">
        <v>1</v>
      </c>
      <c r="P138">
        <v>6</v>
      </c>
      <c r="Q138">
        <f t="shared" si="11"/>
        <v>7</v>
      </c>
      <c r="R138">
        <v>1</v>
      </c>
      <c r="S138">
        <v>3</v>
      </c>
      <c r="T138">
        <f>Table[[#This Row],[NumWebPurchases]]+Table[[#This Row],[NumStorePurchases]]</f>
        <v>4</v>
      </c>
    </row>
    <row r="139" spans="1:20" ht="12.5">
      <c r="A139" s="6">
        <v>137</v>
      </c>
      <c r="B139" s="6">
        <v>9579</v>
      </c>
      <c r="C139" s="6">
        <v>1959</v>
      </c>
      <c r="D139" s="6">
        <f t="shared" si="8"/>
        <v>66</v>
      </c>
      <c r="E139" s="7" t="s">
        <v>12</v>
      </c>
      <c r="F139" s="7" t="s">
        <v>13</v>
      </c>
      <c r="G139" s="6">
        <v>33762</v>
      </c>
      <c r="H139" s="6" t="str" cm="1">
        <f t="array" ref="H139">_xlfn.IFS(
  G139 &lt; 25000, "Low",
  AND(G139 &gt;= 25000, G139 &lt; 75000), "Medium",
  AND(G139 &gt;= 75000, G139 &lt; 150000), "High",
  G139 &gt;= 150000, "Very High"
)</f>
        <v>Medium</v>
      </c>
      <c r="I139" s="6">
        <v>2</v>
      </c>
      <c r="J139" s="6">
        <v>1</v>
      </c>
      <c r="K139" s="6">
        <f t="shared" si="9"/>
        <v>3</v>
      </c>
      <c r="L139" s="8">
        <v>41462</v>
      </c>
      <c r="M139" t="str">
        <f t="shared" ca="1" si="10"/>
        <v>12 years, 7 months</v>
      </c>
      <c r="N139" s="6">
        <v>61</v>
      </c>
      <c r="O139">
        <v>1</v>
      </c>
      <c r="P139">
        <v>0</v>
      </c>
      <c r="Q139">
        <f t="shared" si="11"/>
        <v>1</v>
      </c>
      <c r="R139">
        <v>2</v>
      </c>
      <c r="S139">
        <v>2</v>
      </c>
      <c r="T139">
        <f>Table[[#This Row],[NumWebPurchases]]+Table[[#This Row],[NumStorePurchases]]</f>
        <v>4</v>
      </c>
    </row>
    <row r="140" spans="1:20" ht="12.5">
      <c r="A140" s="6">
        <v>138</v>
      </c>
      <c r="B140" s="6">
        <v>7660</v>
      </c>
      <c r="C140" s="6">
        <v>1973</v>
      </c>
      <c r="D140" s="6">
        <f t="shared" si="8"/>
        <v>52</v>
      </c>
      <c r="E140" s="7" t="s">
        <v>12</v>
      </c>
      <c r="F140" s="7" t="s">
        <v>19</v>
      </c>
      <c r="G140" s="6">
        <v>35860</v>
      </c>
      <c r="H140" s="6" t="str" cm="1">
        <f t="array" ref="H140">_xlfn.IFS(
  G140 &lt; 25000, "Low",
  AND(G140 &gt;= 25000, G140 &lt; 75000), "Medium",
  AND(G140 &gt;= 75000, G140 &lt; 150000), "High",
  G140 &gt;= 150000, "Very High"
)</f>
        <v>Medium</v>
      </c>
      <c r="I140" s="6">
        <v>1</v>
      </c>
      <c r="J140" s="6">
        <v>1</v>
      </c>
      <c r="K140" s="6">
        <f t="shared" si="9"/>
        <v>2</v>
      </c>
      <c r="L140" s="8">
        <v>41778</v>
      </c>
      <c r="M140" t="str">
        <f t="shared" ca="1" si="10"/>
        <v>11 years, 9 months</v>
      </c>
      <c r="N140" s="6">
        <v>37</v>
      </c>
      <c r="O140">
        <v>0</v>
      </c>
      <c r="P140">
        <v>2</v>
      </c>
      <c r="Q140">
        <f t="shared" si="11"/>
        <v>2</v>
      </c>
      <c r="R140">
        <v>1</v>
      </c>
      <c r="S140">
        <v>2</v>
      </c>
      <c r="T140">
        <f>Table[[#This Row],[NumWebPurchases]]+Table[[#This Row],[NumStorePurchases]]</f>
        <v>3</v>
      </c>
    </row>
    <row r="141" spans="1:20" ht="12.5">
      <c r="A141" s="6">
        <v>139</v>
      </c>
      <c r="B141" s="6">
        <v>1461</v>
      </c>
      <c r="C141" s="6">
        <v>1965</v>
      </c>
      <c r="D141" s="6">
        <f t="shared" si="8"/>
        <v>60</v>
      </c>
      <c r="E141" s="7" t="s">
        <v>12</v>
      </c>
      <c r="F141" s="7" t="s">
        <v>15</v>
      </c>
      <c r="G141" s="6">
        <v>36921</v>
      </c>
      <c r="H141" s="6" t="str" cm="1">
        <f t="array" ref="H141">_xlfn.IFS(
  G141 &lt; 25000, "Low",
  AND(G141 &gt;= 25000, G141 &lt; 75000), "Medium",
  AND(G141 &gt;= 75000, G141 &lt; 150000), "High",
  G141 &gt;= 150000, "Very High"
)</f>
        <v>Medium</v>
      </c>
      <c r="I141" s="6">
        <v>1</v>
      </c>
      <c r="J141" s="6">
        <v>1</v>
      </c>
      <c r="K141" s="6">
        <f t="shared" si="9"/>
        <v>2</v>
      </c>
      <c r="L141" s="8">
        <v>41483</v>
      </c>
      <c r="M141" t="str">
        <f t="shared" ca="1" si="10"/>
        <v>12 years, 7 months</v>
      </c>
      <c r="N141" s="6">
        <v>74</v>
      </c>
      <c r="O141">
        <v>1</v>
      </c>
      <c r="P141">
        <v>1</v>
      </c>
      <c r="Q141">
        <f t="shared" si="11"/>
        <v>2</v>
      </c>
      <c r="R141">
        <v>2</v>
      </c>
      <c r="S141">
        <v>3</v>
      </c>
      <c r="T141">
        <f>Table[[#This Row],[NumWebPurchases]]+Table[[#This Row],[NumStorePurchases]]</f>
        <v>5</v>
      </c>
    </row>
    <row r="142" spans="1:20" ht="12.5">
      <c r="A142" s="6">
        <v>140</v>
      </c>
      <c r="B142" s="6">
        <v>821</v>
      </c>
      <c r="C142" s="6">
        <v>1992</v>
      </c>
      <c r="D142" s="6">
        <f t="shared" si="8"/>
        <v>33</v>
      </c>
      <c r="E142" s="7" t="s">
        <v>14</v>
      </c>
      <c r="F142" s="7" t="s">
        <v>10</v>
      </c>
      <c r="G142" s="6">
        <v>92859</v>
      </c>
      <c r="H142" s="6" t="str" cm="1">
        <f t="array" ref="H142">_xlfn.IFS(
  G142 &lt; 25000, "Low",
  AND(G142 &gt;= 25000, G142 &lt; 75000), "Medium",
  AND(G142 &gt;= 75000, G142 &lt; 150000), "High",
  G142 &gt;= 150000, "Very High"
)</f>
        <v>High</v>
      </c>
      <c r="I142" s="6">
        <v>0</v>
      </c>
      <c r="J142" s="6">
        <v>0</v>
      </c>
      <c r="K142" s="6">
        <f t="shared" si="9"/>
        <v>0</v>
      </c>
      <c r="L142" s="9">
        <v>41201</v>
      </c>
      <c r="M142" t="str">
        <f t="shared" ca="1" si="10"/>
        <v>13 years, 4 months</v>
      </c>
      <c r="N142" s="6">
        <v>46</v>
      </c>
      <c r="O142">
        <v>61</v>
      </c>
      <c r="P142">
        <v>61</v>
      </c>
      <c r="Q142">
        <f t="shared" si="11"/>
        <v>122</v>
      </c>
      <c r="R142">
        <v>5</v>
      </c>
      <c r="S142">
        <v>12</v>
      </c>
      <c r="T142">
        <f>Table[[#This Row],[NumWebPurchases]]+Table[[#This Row],[NumStorePurchases]]</f>
        <v>17</v>
      </c>
    </row>
    <row r="143" spans="1:20" ht="12.5">
      <c r="A143" s="6">
        <v>141</v>
      </c>
      <c r="B143" s="6">
        <v>11084</v>
      </c>
      <c r="C143" s="6">
        <v>1976</v>
      </c>
      <c r="D143" s="6">
        <f t="shared" si="8"/>
        <v>49</v>
      </c>
      <c r="E143" s="7" t="s">
        <v>14</v>
      </c>
      <c r="F143" s="7" t="s">
        <v>11</v>
      </c>
      <c r="G143" s="6">
        <v>65104</v>
      </c>
      <c r="H143" s="6" t="str" cm="1">
        <f t="array" ref="H143">_xlfn.IFS(
  G143 &lt; 25000, "Low",
  AND(G143 &gt;= 25000, G143 &lt; 75000), "Medium",
  AND(G143 &gt;= 75000, G143 &lt; 150000), "High",
  G143 &gt;= 150000, "Very High"
)</f>
        <v>Medium</v>
      </c>
      <c r="I143" s="6">
        <v>0</v>
      </c>
      <c r="J143" s="6">
        <v>1</v>
      </c>
      <c r="K143" s="6">
        <f t="shared" si="9"/>
        <v>1</v>
      </c>
      <c r="L143" s="9">
        <v>41592</v>
      </c>
      <c r="M143" t="str">
        <f t="shared" ca="1" si="10"/>
        <v>12 years, 3 months</v>
      </c>
      <c r="N143" s="6">
        <v>4</v>
      </c>
      <c r="O143">
        <v>0</v>
      </c>
      <c r="P143">
        <v>20</v>
      </c>
      <c r="Q143">
        <f t="shared" si="11"/>
        <v>20</v>
      </c>
      <c r="R143">
        <v>3</v>
      </c>
      <c r="S143">
        <v>7</v>
      </c>
      <c r="T143">
        <f>Table[[#This Row],[NumWebPurchases]]+Table[[#This Row],[NumStorePurchases]]</f>
        <v>10</v>
      </c>
    </row>
    <row r="144" spans="1:20" ht="12.5">
      <c r="A144" s="6">
        <v>142</v>
      </c>
      <c r="B144" s="6">
        <v>8690</v>
      </c>
      <c r="C144" s="6">
        <v>1962</v>
      </c>
      <c r="D144" s="6">
        <f t="shared" si="8"/>
        <v>63</v>
      </c>
      <c r="E144" s="7" t="s">
        <v>9</v>
      </c>
      <c r="F144" s="7" t="s">
        <v>13</v>
      </c>
      <c r="G144" s="6">
        <v>86111</v>
      </c>
      <c r="H144" s="6" t="str" cm="1">
        <f t="array" ref="H144">_xlfn.IFS(
  G144 &lt; 25000, "Low",
  AND(G144 &gt;= 25000, G144 &lt; 75000), "Medium",
  AND(G144 &gt;= 75000, G144 &lt; 150000), "High",
  G144 &gt;= 150000, "Very High"
)</f>
        <v>High</v>
      </c>
      <c r="I144" s="6">
        <v>0</v>
      </c>
      <c r="J144" s="6">
        <v>0</v>
      </c>
      <c r="K144" s="6">
        <f t="shared" si="9"/>
        <v>0</v>
      </c>
      <c r="L144" s="8">
        <v>41383</v>
      </c>
      <c r="M144" t="str">
        <f t="shared" ca="1" si="10"/>
        <v>12 years, 10 months</v>
      </c>
      <c r="N144" s="6">
        <v>73</v>
      </c>
      <c r="O144">
        <v>28</v>
      </c>
      <c r="P144">
        <v>40</v>
      </c>
      <c r="Q144">
        <f t="shared" si="11"/>
        <v>68</v>
      </c>
      <c r="R144">
        <v>5</v>
      </c>
      <c r="S144">
        <v>10</v>
      </c>
      <c r="T144">
        <f>Table[[#This Row],[NumWebPurchases]]+Table[[#This Row],[NumStorePurchases]]</f>
        <v>15</v>
      </c>
    </row>
    <row r="145" spans="1:20" ht="12.5">
      <c r="A145" s="6">
        <v>143</v>
      </c>
      <c r="B145" s="6">
        <v>2937</v>
      </c>
      <c r="C145" s="6">
        <v>1974</v>
      </c>
      <c r="D145" s="6">
        <f t="shared" si="8"/>
        <v>51</v>
      </c>
      <c r="E145" s="7" t="s">
        <v>12</v>
      </c>
      <c r="F145" s="7" t="s">
        <v>10</v>
      </c>
      <c r="G145" s="6">
        <v>68352</v>
      </c>
      <c r="H145" s="6" t="str" cm="1">
        <f t="array" ref="H145">_xlfn.IFS(
  G145 &lt; 25000, "Low",
  AND(G145 &gt;= 25000, G145 &lt; 75000), "Medium",
  AND(G145 &gt;= 75000, G145 &lt; 150000), "High",
  G145 &gt;= 150000, "Very High"
)</f>
        <v>Medium</v>
      </c>
      <c r="I145" s="6">
        <v>0</v>
      </c>
      <c r="J145" s="6">
        <v>1</v>
      </c>
      <c r="K145" s="6">
        <f t="shared" si="9"/>
        <v>1</v>
      </c>
      <c r="L145" s="8">
        <v>41514</v>
      </c>
      <c r="M145" t="str">
        <f t="shared" ca="1" si="10"/>
        <v>12 years, 6 months</v>
      </c>
      <c r="N145" s="6">
        <v>47</v>
      </c>
      <c r="O145">
        <v>16</v>
      </c>
      <c r="P145">
        <v>33</v>
      </c>
      <c r="Q145">
        <f t="shared" si="11"/>
        <v>49</v>
      </c>
      <c r="R145">
        <v>8</v>
      </c>
      <c r="S145">
        <v>9</v>
      </c>
      <c r="T145">
        <f>Table[[#This Row],[NumWebPurchases]]+Table[[#This Row],[NumStorePurchases]]</f>
        <v>17</v>
      </c>
    </row>
    <row r="146" spans="1:20" ht="12.5">
      <c r="A146" s="6">
        <v>144</v>
      </c>
      <c r="B146" s="6">
        <v>9701</v>
      </c>
      <c r="C146" s="6">
        <v>1988</v>
      </c>
      <c r="D146" s="6">
        <f t="shared" si="8"/>
        <v>37</v>
      </c>
      <c r="E146" s="7" t="s">
        <v>9</v>
      </c>
      <c r="F146" s="7" t="s">
        <v>11</v>
      </c>
      <c r="G146" s="6">
        <v>41883</v>
      </c>
      <c r="H146" s="6" t="str" cm="1">
        <f t="array" ref="H146">_xlfn.IFS(
  G146 &lt; 25000, "Low",
  AND(G146 &gt;= 25000, G146 &lt; 75000), "Medium",
  AND(G146 &gt;= 75000, G146 &lt; 150000), "High",
  G146 &gt;= 150000, "Very High"
)</f>
        <v>Medium</v>
      </c>
      <c r="I146" s="6">
        <v>1</v>
      </c>
      <c r="J146" s="6">
        <v>0</v>
      </c>
      <c r="K146" s="6">
        <f t="shared" si="9"/>
        <v>1</v>
      </c>
      <c r="L146" s="8">
        <v>41352</v>
      </c>
      <c r="M146" t="str">
        <f t="shared" ca="1" si="10"/>
        <v>12 years, 11 months</v>
      </c>
      <c r="N146" s="6">
        <v>13</v>
      </c>
      <c r="O146">
        <v>34</v>
      </c>
      <c r="P146">
        <v>16</v>
      </c>
      <c r="Q146">
        <f t="shared" si="11"/>
        <v>50</v>
      </c>
      <c r="R146">
        <v>4</v>
      </c>
      <c r="S146">
        <v>3</v>
      </c>
      <c r="T146">
        <f>Table[[#This Row],[NumWebPurchases]]+Table[[#This Row],[NumStorePurchases]]</f>
        <v>7</v>
      </c>
    </row>
    <row r="147" spans="1:20" ht="12.5">
      <c r="A147" s="6">
        <v>145</v>
      </c>
      <c r="B147" s="6">
        <v>9949</v>
      </c>
      <c r="C147" s="6">
        <v>1976</v>
      </c>
      <c r="D147" s="6">
        <f t="shared" si="8"/>
        <v>49</v>
      </c>
      <c r="E147" s="7" t="s">
        <v>9</v>
      </c>
      <c r="F147" s="7" t="s">
        <v>13</v>
      </c>
      <c r="G147" s="6">
        <v>59809</v>
      </c>
      <c r="H147" s="6" t="str" cm="1">
        <f t="array" ref="H147">_xlfn.IFS(
  G147 &lt; 25000, "Low",
  AND(G147 &gt;= 25000, G147 &lt; 75000), "Medium",
  AND(G147 &gt;= 75000, G147 &lt; 150000), "High",
  G147 &gt;= 150000, "Very High"
)</f>
        <v>Medium</v>
      </c>
      <c r="I147" s="6">
        <v>0</v>
      </c>
      <c r="J147" s="6">
        <v>2</v>
      </c>
      <c r="K147" s="6">
        <f t="shared" si="9"/>
        <v>2</v>
      </c>
      <c r="L147" s="9">
        <v>41200</v>
      </c>
      <c r="M147" t="str">
        <f t="shared" ca="1" si="10"/>
        <v>13 years, 4 months</v>
      </c>
      <c r="N147" s="6">
        <v>36</v>
      </c>
      <c r="O147">
        <v>16</v>
      </c>
      <c r="P147">
        <v>41</v>
      </c>
      <c r="Q147">
        <f t="shared" si="11"/>
        <v>57</v>
      </c>
      <c r="R147">
        <v>3</v>
      </c>
      <c r="S147">
        <v>6</v>
      </c>
      <c r="T147">
        <f>Table[[#This Row],[NumWebPurchases]]+Table[[#This Row],[NumStorePurchases]]</f>
        <v>9</v>
      </c>
    </row>
    <row r="148" spans="1:20" ht="12.5">
      <c r="A148" s="6">
        <v>146</v>
      </c>
      <c r="B148" s="6">
        <v>10837</v>
      </c>
      <c r="C148" s="6">
        <v>1975</v>
      </c>
      <c r="D148" s="6">
        <f t="shared" si="8"/>
        <v>50</v>
      </c>
      <c r="E148" s="7" t="s">
        <v>9</v>
      </c>
      <c r="F148" s="7" t="s">
        <v>13</v>
      </c>
      <c r="G148" s="6">
        <v>23957</v>
      </c>
      <c r="H148" s="6" t="str" cm="1">
        <f t="array" ref="H148">_xlfn.IFS(
  G148 &lt; 25000, "Low",
  AND(G148 &gt;= 25000, G148 &lt; 75000), "Medium",
  AND(G148 &gt;= 75000, G148 &lt; 150000), "High",
  G148 &gt;= 150000, "Very High"
)</f>
        <v>Low</v>
      </c>
      <c r="I148" s="6">
        <v>1</v>
      </c>
      <c r="J148" s="6">
        <v>0</v>
      </c>
      <c r="K148" s="6">
        <f t="shared" si="9"/>
        <v>1</v>
      </c>
      <c r="L148" s="9">
        <v>41210</v>
      </c>
      <c r="M148" t="str">
        <f t="shared" ca="1" si="10"/>
        <v>13 years, 4 months</v>
      </c>
      <c r="N148" s="6">
        <v>47</v>
      </c>
      <c r="O148">
        <v>1</v>
      </c>
      <c r="P148">
        <v>11</v>
      </c>
      <c r="Q148">
        <f t="shared" si="11"/>
        <v>12</v>
      </c>
      <c r="R148">
        <v>2</v>
      </c>
      <c r="S148">
        <v>3</v>
      </c>
      <c r="T148">
        <f>Table[[#This Row],[NumWebPurchases]]+Table[[#This Row],[NumStorePurchases]]</f>
        <v>5</v>
      </c>
    </row>
    <row r="149" spans="1:20" ht="12.5">
      <c r="A149" s="6">
        <v>147</v>
      </c>
      <c r="B149" s="6">
        <v>3120</v>
      </c>
      <c r="C149" s="6">
        <v>1981</v>
      </c>
      <c r="D149" s="6">
        <f t="shared" si="8"/>
        <v>44</v>
      </c>
      <c r="E149" s="7" t="s">
        <v>9</v>
      </c>
      <c r="F149" s="7" t="s">
        <v>11</v>
      </c>
      <c r="G149" s="6">
        <v>38547</v>
      </c>
      <c r="H149" s="6" t="str" cm="1">
        <f t="array" ref="H149">_xlfn.IFS(
  G149 &lt; 25000, "Low",
  AND(G149 &gt;= 25000, G149 &lt; 75000), "Medium",
  AND(G149 &gt;= 75000, G149 &lt; 150000), "High",
  G149 &gt;= 150000, "Very High"
)</f>
        <v>Medium</v>
      </c>
      <c r="I149" s="6">
        <v>1</v>
      </c>
      <c r="J149" s="6">
        <v>0</v>
      </c>
      <c r="K149" s="6">
        <f t="shared" si="9"/>
        <v>1</v>
      </c>
      <c r="L149" s="8">
        <v>41514</v>
      </c>
      <c r="M149" t="str">
        <f t="shared" ca="1" si="10"/>
        <v>12 years, 6 months</v>
      </c>
      <c r="N149" s="6">
        <v>49</v>
      </c>
      <c r="O149">
        <v>1</v>
      </c>
      <c r="P149">
        <v>1</v>
      </c>
      <c r="Q149">
        <f t="shared" si="11"/>
        <v>2</v>
      </c>
      <c r="R149">
        <v>1</v>
      </c>
      <c r="S149">
        <v>2</v>
      </c>
      <c r="T149">
        <f>Table[[#This Row],[NumWebPurchases]]+Table[[#This Row],[NumStorePurchases]]</f>
        <v>3</v>
      </c>
    </row>
    <row r="150" spans="1:20" ht="12.5">
      <c r="A150" s="6">
        <v>148</v>
      </c>
      <c r="B150" s="6">
        <v>5885</v>
      </c>
      <c r="C150" s="6">
        <v>1973</v>
      </c>
      <c r="D150" s="6">
        <f t="shared" si="8"/>
        <v>52</v>
      </c>
      <c r="E150" s="7" t="s">
        <v>17</v>
      </c>
      <c r="F150" s="7" t="s">
        <v>13</v>
      </c>
      <c r="G150" s="6">
        <v>35688</v>
      </c>
      <c r="H150" s="6" t="str" cm="1">
        <f t="array" ref="H150">_xlfn.IFS(
  G150 &lt; 25000, "Low",
  AND(G150 &gt;= 25000, G150 &lt; 75000), "Medium",
  AND(G150 &gt;= 75000, G150 &lt; 150000), "High",
  G150 &gt;= 150000, "Very High"
)</f>
        <v>Medium</v>
      </c>
      <c r="I150" s="6">
        <v>2</v>
      </c>
      <c r="J150" s="6">
        <v>1</v>
      </c>
      <c r="K150" s="6">
        <f t="shared" si="9"/>
        <v>3</v>
      </c>
      <c r="L150" s="8">
        <v>41143</v>
      </c>
      <c r="M150" t="str">
        <f t="shared" ca="1" si="10"/>
        <v>13 years, 6 months</v>
      </c>
      <c r="N150" s="6">
        <v>94</v>
      </c>
      <c r="O150">
        <v>3</v>
      </c>
      <c r="P150">
        <v>1</v>
      </c>
      <c r="Q150">
        <f t="shared" si="11"/>
        <v>4</v>
      </c>
      <c r="R150">
        <v>4</v>
      </c>
      <c r="S150">
        <v>4</v>
      </c>
      <c r="T150">
        <f>Table[[#This Row],[NumWebPurchases]]+Table[[#This Row],[NumStorePurchases]]</f>
        <v>8</v>
      </c>
    </row>
    <row r="151" spans="1:20" ht="12.5">
      <c r="A151" s="6">
        <v>149</v>
      </c>
      <c r="B151" s="6">
        <v>4050</v>
      </c>
      <c r="C151" s="6">
        <v>1966</v>
      </c>
      <c r="D151" s="6">
        <f t="shared" si="8"/>
        <v>59</v>
      </c>
      <c r="E151" s="7" t="s">
        <v>14</v>
      </c>
      <c r="F151" s="7" t="s">
        <v>13</v>
      </c>
      <c r="G151" s="6">
        <v>49605</v>
      </c>
      <c r="H151" s="6" t="str" cm="1">
        <f t="array" ref="H151">_xlfn.IFS(
  G151 &lt; 25000, "Low",
  AND(G151 &gt;= 25000, G151 &lt; 75000), "Medium",
  AND(G151 &gt;= 75000, G151 &lt; 150000), "High",
  G151 &gt;= 150000, "Very High"
)</f>
        <v>Medium</v>
      </c>
      <c r="I151" s="6">
        <v>0</v>
      </c>
      <c r="J151" s="6">
        <v>0</v>
      </c>
      <c r="K151" s="6">
        <f t="shared" si="9"/>
        <v>0</v>
      </c>
      <c r="L151" s="8">
        <v>41811</v>
      </c>
      <c r="M151" t="str">
        <f t="shared" ca="1" si="10"/>
        <v>11 years, 8 months</v>
      </c>
      <c r="N151" s="6">
        <v>65</v>
      </c>
      <c r="O151">
        <v>16</v>
      </c>
      <c r="P151">
        <v>20</v>
      </c>
      <c r="Q151">
        <f t="shared" si="11"/>
        <v>36</v>
      </c>
      <c r="R151">
        <v>2</v>
      </c>
      <c r="S151">
        <v>4</v>
      </c>
      <c r="T151">
        <f>Table[[#This Row],[NumWebPurchases]]+Table[[#This Row],[NumStorePurchases]]</f>
        <v>6</v>
      </c>
    </row>
    <row r="152" spans="1:20" ht="12.5">
      <c r="A152" s="6">
        <v>150</v>
      </c>
      <c r="B152" s="6">
        <v>3830</v>
      </c>
      <c r="C152" s="6">
        <v>1953</v>
      </c>
      <c r="D152" s="6">
        <f t="shared" si="8"/>
        <v>72</v>
      </c>
      <c r="E152" s="7" t="s">
        <v>14</v>
      </c>
      <c r="F152" s="7" t="s">
        <v>13</v>
      </c>
      <c r="G152" s="6">
        <v>59354</v>
      </c>
      <c r="H152" s="6" t="str" cm="1">
        <f t="array" ref="H152">_xlfn.IFS(
  G152 &lt; 25000, "Low",
  AND(G152 &gt;= 25000, G152 &lt; 75000), "Medium",
  AND(G152 &gt;= 75000, G152 &lt; 150000), "High",
  G152 &gt;= 150000, "Very High"
)</f>
        <v>Medium</v>
      </c>
      <c r="I152" s="6">
        <v>0</v>
      </c>
      <c r="J152" s="6">
        <v>2</v>
      </c>
      <c r="K152" s="6">
        <f t="shared" si="9"/>
        <v>2</v>
      </c>
      <c r="L152" s="8">
        <v>41753</v>
      </c>
      <c r="M152" t="str">
        <f t="shared" ca="1" si="10"/>
        <v>11 years, 10 months</v>
      </c>
      <c r="N152" s="6">
        <v>59</v>
      </c>
      <c r="O152">
        <v>21</v>
      </c>
      <c r="P152">
        <v>13</v>
      </c>
      <c r="Q152">
        <f t="shared" si="11"/>
        <v>34</v>
      </c>
      <c r="R152">
        <v>4</v>
      </c>
      <c r="S152">
        <v>7</v>
      </c>
      <c r="T152">
        <f>Table[[#This Row],[NumWebPurchases]]+Table[[#This Row],[NumStorePurchases]]</f>
        <v>11</v>
      </c>
    </row>
    <row r="153" spans="1:20" ht="12.5">
      <c r="A153" s="6">
        <v>151</v>
      </c>
      <c r="B153" s="6">
        <v>7987</v>
      </c>
      <c r="C153" s="6">
        <v>1969</v>
      </c>
      <c r="D153" s="6">
        <f t="shared" si="8"/>
        <v>56</v>
      </c>
      <c r="E153" s="7" t="s">
        <v>9</v>
      </c>
      <c r="F153" s="7" t="s">
        <v>13</v>
      </c>
      <c r="G153" s="6">
        <v>65747</v>
      </c>
      <c r="H153" s="6" t="str" cm="1">
        <f t="array" ref="H153">_xlfn.IFS(
  G153 &lt; 25000, "Low",
  AND(G153 &gt;= 25000, G153 &lt; 75000), "Medium",
  AND(G153 &gt;= 75000, G153 &lt; 150000), "High",
  G153 &gt;= 150000, "Very High"
)</f>
        <v>Medium</v>
      </c>
      <c r="I153" s="6">
        <v>0</v>
      </c>
      <c r="J153" s="6">
        <v>1</v>
      </c>
      <c r="K153" s="6">
        <f t="shared" si="9"/>
        <v>1</v>
      </c>
      <c r="L153" s="8">
        <v>41705</v>
      </c>
      <c r="M153" t="str">
        <f t="shared" ca="1" si="10"/>
        <v>11 years, 11 months</v>
      </c>
      <c r="N153" s="6">
        <v>96</v>
      </c>
      <c r="O153">
        <v>17</v>
      </c>
      <c r="P153">
        <v>13</v>
      </c>
      <c r="Q153">
        <f t="shared" si="11"/>
        <v>30</v>
      </c>
      <c r="R153">
        <v>8</v>
      </c>
      <c r="S153">
        <v>6</v>
      </c>
      <c r="T153">
        <f>Table[[#This Row],[NumWebPurchases]]+Table[[#This Row],[NumStorePurchases]]</f>
        <v>14</v>
      </c>
    </row>
    <row r="154" spans="1:20" ht="12.5">
      <c r="A154" s="6">
        <v>152</v>
      </c>
      <c r="B154" s="6">
        <v>7798</v>
      </c>
      <c r="C154" s="6">
        <v>1972</v>
      </c>
      <c r="D154" s="6">
        <f t="shared" si="8"/>
        <v>53</v>
      </c>
      <c r="E154" s="7" t="s">
        <v>17</v>
      </c>
      <c r="F154" s="7" t="s">
        <v>11</v>
      </c>
      <c r="G154" s="6">
        <v>46344</v>
      </c>
      <c r="H154" s="6" t="str" cm="1">
        <f t="array" ref="H154">_xlfn.IFS(
  G154 &lt; 25000, "Low",
  AND(G154 &gt;= 25000, G154 &lt; 75000), "Medium",
  AND(G154 &gt;= 75000, G154 &lt; 150000), "High",
  G154 &gt;= 150000, "Very High"
)</f>
        <v>Medium</v>
      </c>
      <c r="I154" s="6">
        <v>0</v>
      </c>
      <c r="J154" s="6">
        <v>1</v>
      </c>
      <c r="K154" s="6">
        <f t="shared" si="9"/>
        <v>1</v>
      </c>
      <c r="L154" s="9">
        <v>41257</v>
      </c>
      <c r="M154" t="str">
        <f t="shared" ca="1" si="10"/>
        <v>13 years, 2 months</v>
      </c>
      <c r="N154" s="6">
        <v>28</v>
      </c>
      <c r="O154">
        <v>20</v>
      </c>
      <c r="P154">
        <v>20</v>
      </c>
      <c r="Q154">
        <f t="shared" si="11"/>
        <v>40</v>
      </c>
      <c r="R154">
        <v>7</v>
      </c>
      <c r="S154">
        <v>5</v>
      </c>
      <c r="T154">
        <f>Table[[#This Row],[NumWebPurchases]]+Table[[#This Row],[NumStorePurchases]]</f>
        <v>12</v>
      </c>
    </row>
    <row r="155" spans="1:20" ht="12.5">
      <c r="A155" s="6">
        <v>153</v>
      </c>
      <c r="B155" s="6">
        <v>92</v>
      </c>
      <c r="C155" s="6">
        <v>1988</v>
      </c>
      <c r="D155" s="6">
        <f t="shared" si="8"/>
        <v>37</v>
      </c>
      <c r="E155" s="7" t="s">
        <v>9</v>
      </c>
      <c r="F155" s="7" t="s">
        <v>19</v>
      </c>
      <c r="G155" s="6">
        <v>34176</v>
      </c>
      <c r="H155" s="6" t="str" cm="1">
        <f t="array" ref="H155">_xlfn.IFS(
  G155 &lt; 25000, "Low",
  AND(G155 &gt;= 25000, G155 &lt; 75000), "Medium",
  AND(G155 &gt;= 75000, G155 &lt; 150000), "High",
  G155 &gt;= 150000, "Very High"
)</f>
        <v>Medium</v>
      </c>
      <c r="I155" s="6">
        <v>1</v>
      </c>
      <c r="J155" s="6">
        <v>0</v>
      </c>
      <c r="K155" s="6">
        <f t="shared" si="9"/>
        <v>1</v>
      </c>
      <c r="L155" s="8">
        <v>41771</v>
      </c>
      <c r="M155" t="str">
        <f t="shared" ca="1" si="10"/>
        <v>11 years, 9 months</v>
      </c>
      <c r="N155" s="6">
        <v>12</v>
      </c>
      <c r="O155">
        <v>7</v>
      </c>
      <c r="P155">
        <v>14</v>
      </c>
      <c r="Q155">
        <f t="shared" si="11"/>
        <v>21</v>
      </c>
      <c r="R155">
        <v>3</v>
      </c>
      <c r="S155">
        <v>4</v>
      </c>
      <c r="T155">
        <f>Table[[#This Row],[NumWebPurchases]]+Table[[#This Row],[NumStorePurchases]]</f>
        <v>7</v>
      </c>
    </row>
    <row r="156" spans="1:20" ht="12.5">
      <c r="A156" s="6">
        <v>154</v>
      </c>
      <c r="B156" s="6">
        <v>7055</v>
      </c>
      <c r="C156" s="6">
        <v>1952</v>
      </c>
      <c r="D156" s="6">
        <f t="shared" si="8"/>
        <v>73</v>
      </c>
      <c r="E156" s="7" t="s">
        <v>12</v>
      </c>
      <c r="F156" s="7" t="s">
        <v>11</v>
      </c>
      <c r="G156" s="6">
        <v>61010</v>
      </c>
      <c r="H156" s="6" t="str" cm="1">
        <f t="array" ref="H156">_xlfn.IFS(
  G156 &lt; 25000, "Low",
  AND(G156 &gt;= 25000, G156 &lt; 75000), "Medium",
  AND(G156 &gt;= 75000, G156 &lt; 150000), "High",
  G156 &gt;= 150000, "Very High"
)</f>
        <v>Medium</v>
      </c>
      <c r="I156" s="6">
        <v>0</v>
      </c>
      <c r="J156" s="6">
        <v>1</v>
      </c>
      <c r="K156" s="6">
        <f t="shared" si="9"/>
        <v>1</v>
      </c>
      <c r="L156" s="8">
        <v>41191</v>
      </c>
      <c r="M156" t="str">
        <f t="shared" ca="1" si="10"/>
        <v>13 years, 4 months</v>
      </c>
      <c r="N156" s="6">
        <v>57</v>
      </c>
      <c r="O156">
        <v>0</v>
      </c>
      <c r="P156">
        <v>0</v>
      </c>
      <c r="Q156">
        <f t="shared" si="11"/>
        <v>0</v>
      </c>
      <c r="R156">
        <v>8</v>
      </c>
      <c r="S156">
        <v>11</v>
      </c>
      <c r="T156">
        <f>Table[[#This Row],[NumWebPurchases]]+Table[[#This Row],[NumStorePurchases]]</f>
        <v>19</v>
      </c>
    </row>
    <row r="157" spans="1:20" ht="12.5">
      <c r="A157" s="6">
        <v>155</v>
      </c>
      <c r="B157" s="6">
        <v>10240</v>
      </c>
      <c r="C157" s="6">
        <v>1949</v>
      </c>
      <c r="D157" s="6">
        <f t="shared" si="8"/>
        <v>76</v>
      </c>
      <c r="E157" s="7" t="s">
        <v>9</v>
      </c>
      <c r="F157" s="7" t="s">
        <v>11</v>
      </c>
      <c r="G157" s="6">
        <v>69372</v>
      </c>
      <c r="H157" s="6" t="str" cm="1">
        <f t="array" ref="H157">_xlfn.IFS(
  G157 &lt; 25000, "Low",
  AND(G157 &gt;= 25000, G157 &lt; 75000), "Medium",
  AND(G157 &gt;= 75000, G157 &lt; 150000), "High",
  G157 &gt;= 150000, "Very High"
)</f>
        <v>Medium</v>
      </c>
      <c r="I157" s="6">
        <v>0</v>
      </c>
      <c r="J157" s="6">
        <v>0</v>
      </c>
      <c r="K157" s="6">
        <f t="shared" si="9"/>
        <v>0</v>
      </c>
      <c r="L157" s="8">
        <v>41324</v>
      </c>
      <c r="M157" t="str">
        <f t="shared" ca="1" si="10"/>
        <v>13 years, 0 months</v>
      </c>
      <c r="N157" s="6">
        <v>10</v>
      </c>
      <c r="O157">
        <v>26</v>
      </c>
      <c r="P157">
        <v>13</v>
      </c>
      <c r="Q157">
        <f t="shared" si="11"/>
        <v>39</v>
      </c>
      <c r="R157">
        <v>10</v>
      </c>
      <c r="S157">
        <v>6</v>
      </c>
      <c r="T157">
        <f>Table[[#This Row],[NumWebPurchases]]+Table[[#This Row],[NumStorePurchases]]</f>
        <v>16</v>
      </c>
    </row>
    <row r="158" spans="1:20" ht="12.5">
      <c r="A158" s="6">
        <v>156</v>
      </c>
      <c r="B158" s="6">
        <v>3025</v>
      </c>
      <c r="C158" s="6">
        <v>1958</v>
      </c>
      <c r="D158" s="6">
        <f t="shared" si="8"/>
        <v>67</v>
      </c>
      <c r="E158" s="7" t="s">
        <v>9</v>
      </c>
      <c r="F158" s="7" t="s">
        <v>10</v>
      </c>
      <c r="G158" s="6">
        <v>49967</v>
      </c>
      <c r="H158" s="6" t="str" cm="1">
        <f t="array" ref="H158">_xlfn.IFS(
  G158 &lt; 25000, "Low",
  AND(G158 &gt;= 25000, G158 &lt; 75000), "Medium",
  AND(G158 &gt;= 75000, G158 &lt; 150000), "High",
  G158 &gt;= 150000, "Very High"
)</f>
        <v>Medium</v>
      </c>
      <c r="I158" s="6">
        <v>0</v>
      </c>
      <c r="J158" s="6">
        <v>1</v>
      </c>
      <c r="K158" s="6">
        <f t="shared" si="9"/>
        <v>1</v>
      </c>
      <c r="L158" s="8">
        <v>41463</v>
      </c>
      <c r="M158" t="str">
        <f t="shared" ca="1" si="10"/>
        <v>12 years, 7 months</v>
      </c>
      <c r="N158" s="6">
        <v>4</v>
      </c>
      <c r="O158">
        <v>6</v>
      </c>
      <c r="P158">
        <v>12</v>
      </c>
      <c r="Q158">
        <f t="shared" si="11"/>
        <v>18</v>
      </c>
      <c r="R158">
        <v>6</v>
      </c>
      <c r="S158">
        <v>5</v>
      </c>
      <c r="T158">
        <f>Table[[#This Row],[NumWebPurchases]]+Table[[#This Row],[NumStorePurchases]]</f>
        <v>11</v>
      </c>
    </row>
    <row r="159" spans="1:20" ht="12.5">
      <c r="A159" s="6">
        <v>157</v>
      </c>
      <c r="B159" s="6">
        <v>9283</v>
      </c>
      <c r="C159" s="6">
        <v>1978</v>
      </c>
      <c r="D159" s="6">
        <f t="shared" si="8"/>
        <v>47</v>
      </c>
      <c r="E159" s="7" t="s">
        <v>9</v>
      </c>
      <c r="F159" s="7" t="s">
        <v>10</v>
      </c>
      <c r="G159" s="6">
        <v>60199</v>
      </c>
      <c r="H159" s="6" t="str" cm="1">
        <f t="array" ref="H159">_xlfn.IFS(
  G159 &lt; 25000, "Low",
  AND(G159 &gt;= 25000, G159 &lt; 75000), "Medium",
  AND(G159 &gt;= 75000, G159 &lt; 150000), "High",
  G159 &gt;= 150000, "Very High"
)</f>
        <v>Medium</v>
      </c>
      <c r="I159" s="6">
        <v>1</v>
      </c>
      <c r="J159" s="6">
        <v>2</v>
      </c>
      <c r="K159" s="6">
        <f t="shared" si="9"/>
        <v>3</v>
      </c>
      <c r="L159" s="8">
        <v>41529</v>
      </c>
      <c r="M159" t="str">
        <f t="shared" ca="1" si="10"/>
        <v>12 years, 5 months</v>
      </c>
      <c r="N159" s="6">
        <v>49</v>
      </c>
      <c r="O159">
        <v>1</v>
      </c>
      <c r="P159">
        <v>0</v>
      </c>
      <c r="Q159">
        <f t="shared" si="11"/>
        <v>1</v>
      </c>
      <c r="R159">
        <v>0</v>
      </c>
      <c r="S159">
        <v>3</v>
      </c>
      <c r="T159">
        <f>Table[[#This Row],[NumWebPurchases]]+Table[[#This Row],[NumStorePurchases]]</f>
        <v>3</v>
      </c>
    </row>
    <row r="160" spans="1:20" ht="12.5">
      <c r="A160" s="6">
        <v>158</v>
      </c>
      <c r="B160" s="6">
        <v>9970</v>
      </c>
      <c r="C160" s="6">
        <v>1977</v>
      </c>
      <c r="D160" s="6">
        <f t="shared" si="8"/>
        <v>48</v>
      </c>
      <c r="E160" s="7" t="s">
        <v>9</v>
      </c>
      <c r="F160" s="7" t="s">
        <v>11</v>
      </c>
      <c r="G160" s="6">
        <v>55375</v>
      </c>
      <c r="H160" s="6" t="str" cm="1">
        <f t="array" ref="H160">_xlfn.IFS(
  G160 &lt; 25000, "Low",
  AND(G160 &gt;= 25000, G160 &lt; 75000), "Medium",
  AND(G160 &gt;= 75000, G160 &lt; 150000), "High",
  G160 &gt;= 150000, "Very High"
)</f>
        <v>Medium</v>
      </c>
      <c r="I160" s="6">
        <v>0</v>
      </c>
      <c r="J160" s="6">
        <v>1</v>
      </c>
      <c r="K160" s="6">
        <f t="shared" si="9"/>
        <v>1</v>
      </c>
      <c r="L160" s="9">
        <v>41564</v>
      </c>
      <c r="M160" t="str">
        <f t="shared" ca="1" si="10"/>
        <v>12 years, 4 months</v>
      </c>
      <c r="N160" s="6">
        <v>3</v>
      </c>
      <c r="O160">
        <v>11</v>
      </c>
      <c r="P160">
        <v>28</v>
      </c>
      <c r="Q160">
        <f t="shared" si="11"/>
        <v>39</v>
      </c>
      <c r="R160">
        <v>1</v>
      </c>
      <c r="S160">
        <v>6</v>
      </c>
      <c r="T160">
        <f>Table[[#This Row],[NumWebPurchases]]+Table[[#This Row],[NumStorePurchases]]</f>
        <v>7</v>
      </c>
    </row>
    <row r="161" spans="1:20" ht="12.5">
      <c r="A161" s="6">
        <v>159</v>
      </c>
      <c r="B161" s="6">
        <v>2730</v>
      </c>
      <c r="C161" s="6">
        <v>1955</v>
      </c>
      <c r="D161" s="6">
        <f t="shared" si="8"/>
        <v>70</v>
      </c>
      <c r="E161" s="7" t="s">
        <v>9</v>
      </c>
      <c r="F161" s="7" t="s">
        <v>10</v>
      </c>
      <c r="G161" s="6">
        <v>80317</v>
      </c>
      <c r="H161" s="6" t="str" cm="1">
        <f t="array" ref="H161">_xlfn.IFS(
  G161 &lt; 25000, "Low",
  AND(G161 &gt;= 25000, G161 &lt; 75000), "Medium",
  AND(G161 &gt;= 75000, G161 &lt; 150000), "High",
  G161 &gt;= 150000, "Very High"
)</f>
        <v>High</v>
      </c>
      <c r="I161" s="6">
        <v>0</v>
      </c>
      <c r="J161" s="6">
        <v>0</v>
      </c>
      <c r="K161" s="6">
        <f t="shared" si="9"/>
        <v>0</v>
      </c>
      <c r="L161" s="8">
        <v>41506</v>
      </c>
      <c r="M161" t="str">
        <f t="shared" ca="1" si="10"/>
        <v>12 years, 6 months</v>
      </c>
      <c r="N161" s="6">
        <v>64</v>
      </c>
      <c r="O161">
        <v>11</v>
      </c>
      <c r="P161">
        <v>91</v>
      </c>
      <c r="Q161">
        <f t="shared" si="11"/>
        <v>102</v>
      </c>
      <c r="R161">
        <v>3</v>
      </c>
      <c r="S161">
        <v>10</v>
      </c>
      <c r="T161">
        <f>Table[[#This Row],[NumWebPurchases]]+Table[[#This Row],[NumStorePurchases]]</f>
        <v>13</v>
      </c>
    </row>
    <row r="162" spans="1:20" ht="12.5">
      <c r="A162" s="6">
        <v>160</v>
      </c>
      <c r="B162" s="6">
        <v>2795</v>
      </c>
      <c r="C162" s="6">
        <v>1958</v>
      </c>
      <c r="D162" s="6">
        <f t="shared" si="8"/>
        <v>67</v>
      </c>
      <c r="E162" s="7" t="s">
        <v>14</v>
      </c>
      <c r="F162" s="7" t="s">
        <v>10</v>
      </c>
      <c r="G162" s="6">
        <v>30523</v>
      </c>
      <c r="H162" s="6" t="str" cm="1">
        <f t="array" ref="H162">_xlfn.IFS(
  G162 &lt; 25000, "Low",
  AND(G162 &gt;= 25000, G162 &lt; 75000), "Medium",
  AND(G162 &gt;= 75000, G162 &lt; 150000), "High",
  G162 &gt;= 150000, "Very High"
)</f>
        <v>Medium</v>
      </c>
      <c r="I162" s="6">
        <v>2</v>
      </c>
      <c r="J162" s="6">
        <v>1</v>
      </c>
      <c r="K162" s="6">
        <f t="shared" si="9"/>
        <v>3</v>
      </c>
      <c r="L162" s="8">
        <v>41456</v>
      </c>
      <c r="M162" t="str">
        <f t="shared" ca="1" si="10"/>
        <v>12 years, 8 months</v>
      </c>
      <c r="N162" s="6">
        <v>0</v>
      </c>
      <c r="O162">
        <v>0</v>
      </c>
      <c r="P162">
        <v>0</v>
      </c>
      <c r="Q162">
        <f t="shared" si="11"/>
        <v>0</v>
      </c>
      <c r="R162">
        <v>1</v>
      </c>
      <c r="S162">
        <v>2</v>
      </c>
      <c r="T162">
        <f>Table[[#This Row],[NumWebPurchases]]+Table[[#This Row],[NumStorePurchases]]</f>
        <v>3</v>
      </c>
    </row>
    <row r="163" spans="1:20" ht="12.5">
      <c r="A163" s="6">
        <v>161</v>
      </c>
      <c r="B163" s="6">
        <v>9260</v>
      </c>
      <c r="C163" s="6">
        <v>1945</v>
      </c>
      <c r="D163" s="6">
        <f t="shared" si="8"/>
        <v>80</v>
      </c>
      <c r="E163" s="7" t="s">
        <v>12</v>
      </c>
      <c r="F163" s="7" t="s">
        <v>13</v>
      </c>
      <c r="G163" s="6">
        <v>70356</v>
      </c>
      <c r="H163" s="6" t="str" cm="1">
        <f t="array" ref="H163">_xlfn.IFS(
  G163 &lt; 25000, "Low",
  AND(G163 &gt;= 25000, G163 &lt; 75000), "Medium",
  AND(G163 &gt;= 75000, G163 &lt; 150000), "High",
  G163 &gt;= 150000, "Very High"
)</f>
        <v>Medium</v>
      </c>
      <c r="I163" s="6">
        <v>0</v>
      </c>
      <c r="J163" s="6">
        <v>0</v>
      </c>
      <c r="K163" s="6">
        <f t="shared" si="9"/>
        <v>0</v>
      </c>
      <c r="L163" s="8">
        <v>41218</v>
      </c>
      <c r="M163" t="str">
        <f t="shared" ca="1" si="10"/>
        <v>13 years, 4 months</v>
      </c>
      <c r="N163" s="6">
        <v>20</v>
      </c>
      <c r="O163">
        <v>16</v>
      </c>
      <c r="P163">
        <v>16</v>
      </c>
      <c r="Q163">
        <f t="shared" si="11"/>
        <v>32</v>
      </c>
      <c r="R163">
        <v>10</v>
      </c>
      <c r="S163">
        <v>9</v>
      </c>
      <c r="T163">
        <f>Table[[#This Row],[NumWebPurchases]]+Table[[#This Row],[NumStorePurchases]]</f>
        <v>19</v>
      </c>
    </row>
    <row r="164" spans="1:20" ht="12.5">
      <c r="A164" s="6">
        <v>162</v>
      </c>
      <c r="B164" s="6">
        <v>8182</v>
      </c>
      <c r="C164" s="6">
        <v>1984</v>
      </c>
      <c r="D164" s="6">
        <f t="shared" si="8"/>
        <v>41</v>
      </c>
      <c r="E164" s="7" t="s">
        <v>9</v>
      </c>
      <c r="F164" s="7" t="s">
        <v>13</v>
      </c>
      <c r="G164" s="6">
        <v>23228</v>
      </c>
      <c r="H164" s="6" t="str" cm="1">
        <f t="array" ref="H164">_xlfn.IFS(
  G164 &lt; 25000, "Low",
  AND(G164 &gt;= 25000, G164 &lt; 75000), "Medium",
  AND(G164 &gt;= 75000, G164 &lt; 150000), "High",
  G164 &gt;= 150000, "Very High"
)</f>
        <v>Low</v>
      </c>
      <c r="I164" s="6">
        <v>1</v>
      </c>
      <c r="J164" s="6">
        <v>0</v>
      </c>
      <c r="K164" s="6">
        <f t="shared" si="9"/>
        <v>1</v>
      </c>
      <c r="L164" s="8">
        <v>41644</v>
      </c>
      <c r="M164" t="str">
        <f t="shared" ca="1" si="10"/>
        <v>12 years, 2 months</v>
      </c>
      <c r="N164" s="6">
        <v>91</v>
      </c>
      <c r="O164">
        <v>3</v>
      </c>
      <c r="P164">
        <v>4</v>
      </c>
      <c r="Q164">
        <f t="shared" si="11"/>
        <v>7</v>
      </c>
      <c r="R164">
        <v>3</v>
      </c>
      <c r="S164">
        <v>4</v>
      </c>
      <c r="T164">
        <f>Table[[#This Row],[NumWebPurchases]]+Table[[#This Row],[NumStorePurchases]]</f>
        <v>7</v>
      </c>
    </row>
    <row r="165" spans="1:20" ht="12.5">
      <c r="A165" s="6">
        <v>163</v>
      </c>
      <c r="B165" s="6">
        <v>10095</v>
      </c>
      <c r="C165" s="6">
        <v>1975</v>
      </c>
      <c r="D165" s="6">
        <f t="shared" si="8"/>
        <v>50</v>
      </c>
      <c r="E165" s="7" t="s">
        <v>12</v>
      </c>
      <c r="F165" s="7" t="s">
        <v>15</v>
      </c>
      <c r="G165" s="6">
        <v>74165</v>
      </c>
      <c r="H165" s="6" t="str" cm="1">
        <f t="array" ref="H165">_xlfn.IFS(
  G165 &lt; 25000, "Low",
  AND(G165 &gt;= 25000, G165 &lt; 75000), "Medium",
  AND(G165 &gt;= 75000, G165 &lt; 150000), "High",
  G165 &gt;= 150000, "Very High"
)</f>
        <v>Medium</v>
      </c>
      <c r="I165" s="6">
        <v>0</v>
      </c>
      <c r="J165" s="6">
        <v>0</v>
      </c>
      <c r="K165" s="6">
        <f t="shared" si="9"/>
        <v>0</v>
      </c>
      <c r="L165" s="8">
        <v>41395</v>
      </c>
      <c r="M165" t="str">
        <f t="shared" ca="1" si="10"/>
        <v>12 years, 10 months</v>
      </c>
      <c r="N165" s="6">
        <v>9</v>
      </c>
      <c r="O165">
        <v>12</v>
      </c>
      <c r="P165">
        <v>12</v>
      </c>
      <c r="Q165">
        <f t="shared" si="11"/>
        <v>24</v>
      </c>
      <c r="R165">
        <v>5</v>
      </c>
      <c r="S165">
        <v>10</v>
      </c>
      <c r="T165">
        <f>Table[[#This Row],[NumWebPurchases]]+Table[[#This Row],[NumStorePurchases]]</f>
        <v>15</v>
      </c>
    </row>
    <row r="166" spans="1:20" ht="12.5">
      <c r="A166" s="6">
        <v>164</v>
      </c>
      <c r="B166" s="6">
        <v>8475</v>
      </c>
      <c r="C166" s="6">
        <v>1973</v>
      </c>
      <c r="D166" s="6">
        <f t="shared" si="8"/>
        <v>52</v>
      </c>
      <c r="E166" s="7" t="s">
        <v>12</v>
      </c>
      <c r="F166" s="7" t="s">
        <v>13</v>
      </c>
      <c r="G166" s="6">
        <v>157243</v>
      </c>
      <c r="H166" s="6" t="str" cm="1">
        <f t="array" ref="H166">_xlfn.IFS(
  G166 &lt; 25000, "Low",
  AND(G166 &gt;= 25000, G166 &lt; 75000), "Medium",
  AND(G166 &gt;= 75000, G166 &lt; 150000), "High",
  G166 &gt;= 150000, "Very High"
)</f>
        <v>Very High</v>
      </c>
      <c r="I166" s="6">
        <v>0</v>
      </c>
      <c r="J166" s="6">
        <v>1</v>
      </c>
      <c r="K166" s="6">
        <f t="shared" si="9"/>
        <v>1</v>
      </c>
      <c r="L166" s="8">
        <v>41699</v>
      </c>
      <c r="M166" t="str">
        <f t="shared" ca="1" si="10"/>
        <v>12 years, 0 months</v>
      </c>
      <c r="N166" s="6">
        <v>98</v>
      </c>
      <c r="O166">
        <v>2</v>
      </c>
      <c r="P166">
        <v>2</v>
      </c>
      <c r="Q166">
        <f t="shared" si="11"/>
        <v>4</v>
      </c>
      <c r="R166">
        <v>0</v>
      </c>
      <c r="S166">
        <v>0</v>
      </c>
      <c r="T166">
        <f>Table[[#This Row],[NumWebPurchases]]+Table[[#This Row],[NumStorePurchases]]</f>
        <v>0</v>
      </c>
    </row>
    <row r="167" spans="1:20" ht="12.5">
      <c r="A167" s="6">
        <v>165</v>
      </c>
      <c r="B167" s="6">
        <v>4370</v>
      </c>
      <c r="C167" s="6">
        <v>1966</v>
      </c>
      <c r="D167" s="6">
        <f t="shared" si="8"/>
        <v>59</v>
      </c>
      <c r="E167" s="7" t="s">
        <v>9</v>
      </c>
      <c r="F167" s="7" t="s">
        <v>11</v>
      </c>
      <c r="G167" s="6">
        <v>43482</v>
      </c>
      <c r="H167" s="6" t="str" cm="1">
        <f t="array" ref="H167">_xlfn.IFS(
  G167 &lt; 25000, "Low",
  AND(G167 &gt;= 25000, G167 &lt; 75000), "Medium",
  AND(G167 &gt;= 75000, G167 &lt; 150000), "High",
  G167 &gt;= 150000, "Very High"
)</f>
        <v>Medium</v>
      </c>
      <c r="I167" s="6">
        <v>2</v>
      </c>
      <c r="J167" s="6">
        <v>1</v>
      </c>
      <c r="K167" s="6">
        <f t="shared" si="9"/>
        <v>3</v>
      </c>
      <c r="L167" s="9">
        <v>41591</v>
      </c>
      <c r="M167" t="str">
        <f t="shared" ca="1" si="10"/>
        <v>12 years, 3 months</v>
      </c>
      <c r="N167" s="6">
        <v>83</v>
      </c>
      <c r="O167">
        <v>1</v>
      </c>
      <c r="P167">
        <v>3</v>
      </c>
      <c r="Q167">
        <f t="shared" si="11"/>
        <v>4</v>
      </c>
      <c r="R167">
        <v>2</v>
      </c>
      <c r="S167">
        <v>4</v>
      </c>
      <c r="T167">
        <f>Table[[#This Row],[NumWebPurchases]]+Table[[#This Row],[NumStorePurchases]]</f>
        <v>6</v>
      </c>
    </row>
    <row r="168" spans="1:20" ht="12.5">
      <c r="A168" s="6">
        <v>166</v>
      </c>
      <c r="B168" s="6">
        <v>10573</v>
      </c>
      <c r="C168" s="6">
        <v>1953</v>
      </c>
      <c r="D168" s="6">
        <f t="shared" si="8"/>
        <v>72</v>
      </c>
      <c r="E168" s="7" t="s">
        <v>9</v>
      </c>
      <c r="F168" s="7" t="s">
        <v>15</v>
      </c>
      <c r="G168" s="6">
        <v>62551</v>
      </c>
      <c r="H168" s="6" t="str" cm="1">
        <f t="array" ref="H168">_xlfn.IFS(
  G168 &lt; 25000, "Low",
  AND(G168 &gt;= 25000, G168 &lt; 75000), "Medium",
  AND(G168 &gt;= 75000, G168 &lt; 150000), "High",
  G168 &gt;= 150000, "Very High"
)</f>
        <v>Medium</v>
      </c>
      <c r="I168" s="6">
        <v>0</v>
      </c>
      <c r="J168" s="6">
        <v>0</v>
      </c>
      <c r="K168" s="6">
        <f t="shared" si="9"/>
        <v>0</v>
      </c>
      <c r="L168" s="9">
        <v>41596</v>
      </c>
      <c r="M168" t="str">
        <f t="shared" ca="1" si="10"/>
        <v>12 years, 3 months</v>
      </c>
      <c r="N168" s="6">
        <v>27</v>
      </c>
      <c r="O168">
        <v>16</v>
      </c>
      <c r="P168">
        <v>21</v>
      </c>
      <c r="Q168">
        <f t="shared" si="11"/>
        <v>37</v>
      </c>
      <c r="R168">
        <v>6</v>
      </c>
      <c r="S168">
        <v>4</v>
      </c>
      <c r="T168">
        <f>Table[[#This Row],[NumWebPurchases]]+Table[[#This Row],[NumStorePurchases]]</f>
        <v>10</v>
      </c>
    </row>
    <row r="169" spans="1:20" ht="12.5">
      <c r="A169" s="6">
        <v>167</v>
      </c>
      <c r="B169" s="6">
        <v>3712</v>
      </c>
      <c r="C169" s="6">
        <v>1959</v>
      </c>
      <c r="D169" s="6">
        <f t="shared" si="8"/>
        <v>66</v>
      </c>
      <c r="E169" s="7" t="s">
        <v>9</v>
      </c>
      <c r="F169" s="7" t="s">
        <v>15</v>
      </c>
      <c r="G169" s="6">
        <v>52332</v>
      </c>
      <c r="H169" s="6" t="str" cm="1">
        <f t="array" ref="H169">_xlfn.IFS(
  G169 &lt; 25000, "Low",
  AND(G169 &gt;= 25000, G169 &lt; 75000), "Medium",
  AND(G169 &gt;= 75000, G169 &lt; 150000), "High",
  G169 &gt;= 150000, "Very High"
)</f>
        <v>Medium</v>
      </c>
      <c r="I169" s="6">
        <v>0</v>
      </c>
      <c r="J169" s="6">
        <v>0</v>
      </c>
      <c r="K169" s="6">
        <f t="shared" si="9"/>
        <v>0</v>
      </c>
      <c r="L169" s="8">
        <v>41514</v>
      </c>
      <c r="M169" t="str">
        <f t="shared" ca="1" si="10"/>
        <v>12 years, 6 months</v>
      </c>
      <c r="N169" s="6">
        <v>63</v>
      </c>
      <c r="O169">
        <v>5</v>
      </c>
      <c r="P169">
        <v>0</v>
      </c>
      <c r="Q169">
        <f t="shared" si="11"/>
        <v>5</v>
      </c>
      <c r="R169">
        <v>3</v>
      </c>
      <c r="S169">
        <v>6</v>
      </c>
      <c r="T169">
        <f>Table[[#This Row],[NumWebPurchases]]+Table[[#This Row],[NumStorePurchases]]</f>
        <v>9</v>
      </c>
    </row>
    <row r="170" spans="1:20" ht="12.5">
      <c r="A170" s="6">
        <v>168</v>
      </c>
      <c r="B170" s="6">
        <v>6637</v>
      </c>
      <c r="C170" s="6">
        <v>1988</v>
      </c>
      <c r="D170" s="6">
        <f t="shared" si="8"/>
        <v>37</v>
      </c>
      <c r="E170" s="7" t="s">
        <v>9</v>
      </c>
      <c r="F170" s="7" t="s">
        <v>10</v>
      </c>
      <c r="G170" s="6">
        <v>66951</v>
      </c>
      <c r="H170" s="6" t="str" cm="1">
        <f t="array" ref="H170">_xlfn.IFS(
  G170 &lt; 25000, "Low",
  AND(G170 &gt;= 25000, G170 &lt; 75000), "Medium",
  AND(G170 &gt;= 75000, G170 &lt; 150000), "High",
  G170 &gt;= 150000, "Very High"
)</f>
        <v>Medium</v>
      </c>
      <c r="I170" s="6">
        <v>0</v>
      </c>
      <c r="J170" s="6">
        <v>0</v>
      </c>
      <c r="K170" s="6">
        <f t="shared" si="9"/>
        <v>0</v>
      </c>
      <c r="L170" s="8">
        <v>41580</v>
      </c>
      <c r="M170" t="str">
        <f t="shared" ca="1" si="10"/>
        <v>12 years, 4 months</v>
      </c>
      <c r="N170" s="6">
        <v>46</v>
      </c>
      <c r="O170">
        <v>162</v>
      </c>
      <c r="P170">
        <v>76</v>
      </c>
      <c r="Q170">
        <f t="shared" si="11"/>
        <v>238</v>
      </c>
      <c r="R170">
        <v>3</v>
      </c>
      <c r="S170">
        <v>7</v>
      </c>
      <c r="T170">
        <f>Table[[#This Row],[NumWebPurchases]]+Table[[#This Row],[NumStorePurchases]]</f>
        <v>10</v>
      </c>
    </row>
    <row r="171" spans="1:20" ht="12.5">
      <c r="A171" s="6">
        <v>169</v>
      </c>
      <c r="B171" s="6">
        <v>3152</v>
      </c>
      <c r="C171" s="6">
        <v>1957</v>
      </c>
      <c r="D171" s="6">
        <f t="shared" si="8"/>
        <v>68</v>
      </c>
      <c r="E171" s="7" t="s">
        <v>9</v>
      </c>
      <c r="F171" s="7" t="s">
        <v>11</v>
      </c>
      <c r="G171" s="6">
        <v>26091</v>
      </c>
      <c r="H171" s="6" t="str" cm="1">
        <f t="array" ref="H171">_xlfn.IFS(
  G171 &lt; 25000, "Low",
  AND(G171 &gt;= 25000, G171 &lt; 75000), "Medium",
  AND(G171 &gt;= 75000, G171 &lt; 150000), "High",
  G171 &gt;= 150000, "Very High"
)</f>
        <v>Medium</v>
      </c>
      <c r="I171" s="6">
        <v>1</v>
      </c>
      <c r="J171" s="6">
        <v>1</v>
      </c>
      <c r="K171" s="6">
        <f t="shared" si="9"/>
        <v>2</v>
      </c>
      <c r="L171" s="8">
        <v>41695</v>
      </c>
      <c r="M171" t="str">
        <f t="shared" ca="1" si="10"/>
        <v>12 years, 0 months</v>
      </c>
      <c r="N171" s="6">
        <v>84</v>
      </c>
      <c r="O171">
        <v>10</v>
      </c>
      <c r="P171">
        <v>17</v>
      </c>
      <c r="Q171">
        <f t="shared" si="11"/>
        <v>27</v>
      </c>
      <c r="R171">
        <v>2</v>
      </c>
      <c r="S171">
        <v>3</v>
      </c>
      <c r="T171">
        <f>Table[[#This Row],[NumWebPurchases]]+Table[[#This Row],[NumStorePurchases]]</f>
        <v>5</v>
      </c>
    </row>
    <row r="172" spans="1:20" ht="12.5">
      <c r="A172" s="6">
        <v>170</v>
      </c>
      <c r="B172" s="6">
        <v>5610</v>
      </c>
      <c r="C172" s="6">
        <v>1965</v>
      </c>
      <c r="D172" s="6">
        <f t="shared" si="8"/>
        <v>60</v>
      </c>
      <c r="E172" s="7" t="s">
        <v>9</v>
      </c>
      <c r="F172" s="7" t="s">
        <v>11</v>
      </c>
      <c r="G172" s="6">
        <v>33456</v>
      </c>
      <c r="H172" s="6" t="str" cm="1">
        <f t="array" ref="H172">_xlfn.IFS(
  G172 &lt; 25000, "Low",
  AND(G172 &gt;= 25000, G172 &lt; 75000), "Medium",
  AND(G172 &gt;= 75000, G172 &lt; 150000), "High",
  G172 &gt;= 150000, "Very High"
)</f>
        <v>Medium</v>
      </c>
      <c r="I172" s="6">
        <v>1</v>
      </c>
      <c r="J172" s="6">
        <v>1</v>
      </c>
      <c r="K172" s="6">
        <f t="shared" si="9"/>
        <v>2</v>
      </c>
      <c r="L172" s="8">
        <v>41750</v>
      </c>
      <c r="M172" t="str">
        <f t="shared" ca="1" si="10"/>
        <v>11 years, 10 months</v>
      </c>
      <c r="N172" s="6">
        <v>58</v>
      </c>
      <c r="O172">
        <v>3</v>
      </c>
      <c r="P172">
        <v>1</v>
      </c>
      <c r="Q172">
        <f t="shared" si="11"/>
        <v>4</v>
      </c>
      <c r="R172">
        <v>1</v>
      </c>
      <c r="S172">
        <v>3</v>
      </c>
      <c r="T172">
        <f>Table[[#This Row],[NumWebPurchases]]+Table[[#This Row],[NumStorePurchases]]</f>
        <v>4</v>
      </c>
    </row>
    <row r="173" spans="1:20" ht="12.5">
      <c r="A173" s="6">
        <v>171</v>
      </c>
      <c r="B173" s="6">
        <v>6460</v>
      </c>
      <c r="C173" s="6">
        <v>1982</v>
      </c>
      <c r="D173" s="6">
        <f t="shared" si="8"/>
        <v>43</v>
      </c>
      <c r="E173" s="7" t="s">
        <v>9</v>
      </c>
      <c r="F173" s="7" t="s">
        <v>13</v>
      </c>
      <c r="G173" s="6">
        <v>28718</v>
      </c>
      <c r="H173" s="6" t="str" cm="1">
        <f t="array" ref="H173">_xlfn.IFS(
  G173 &lt; 25000, "Low",
  AND(G173 &gt;= 25000, G173 &lt; 75000), "Medium",
  AND(G173 &gt;= 75000, G173 &lt; 150000), "High",
  G173 &gt;= 150000, "Very High"
)</f>
        <v>Medium</v>
      </c>
      <c r="I173" s="6">
        <v>1</v>
      </c>
      <c r="J173" s="6">
        <v>0</v>
      </c>
      <c r="K173" s="6">
        <f t="shared" si="9"/>
        <v>1</v>
      </c>
      <c r="L173" s="8">
        <v>41468</v>
      </c>
      <c r="M173" t="str">
        <f t="shared" ca="1" si="10"/>
        <v>12 years, 7 months</v>
      </c>
      <c r="N173" s="6">
        <v>78</v>
      </c>
      <c r="O173">
        <v>4</v>
      </c>
      <c r="P173">
        <v>8</v>
      </c>
      <c r="Q173">
        <f t="shared" si="11"/>
        <v>12</v>
      </c>
      <c r="R173">
        <v>2</v>
      </c>
      <c r="S173">
        <v>3</v>
      </c>
      <c r="T173">
        <f>Table[[#This Row],[NumWebPurchases]]+Table[[#This Row],[NumStorePurchases]]</f>
        <v>5</v>
      </c>
    </row>
    <row r="174" spans="1:20" ht="12.5">
      <c r="A174" s="6">
        <v>172</v>
      </c>
      <c r="B174" s="6">
        <v>1349</v>
      </c>
      <c r="C174" s="6">
        <v>1970</v>
      </c>
      <c r="D174" s="6">
        <f t="shared" si="8"/>
        <v>55</v>
      </c>
      <c r="E174" s="7" t="s">
        <v>9</v>
      </c>
      <c r="F174" s="7" t="s">
        <v>13</v>
      </c>
      <c r="G174" s="6">
        <v>50447</v>
      </c>
      <c r="H174" s="6" t="str" cm="1">
        <f t="array" ref="H174">_xlfn.IFS(
  G174 &lt; 25000, "Low",
  AND(G174 &gt;= 25000, G174 &lt; 75000), "Medium",
  AND(G174 &gt;= 75000, G174 &lt; 150000), "High",
  G174 &gt;= 150000, "Very High"
)</f>
        <v>Medium</v>
      </c>
      <c r="I174" s="6">
        <v>2</v>
      </c>
      <c r="J174" s="6">
        <v>0</v>
      </c>
      <c r="K174" s="6">
        <f t="shared" si="9"/>
        <v>2</v>
      </c>
      <c r="L174" s="8">
        <v>41750</v>
      </c>
      <c r="M174" t="str">
        <f t="shared" ca="1" si="10"/>
        <v>11 years, 10 months</v>
      </c>
      <c r="N174" s="6">
        <v>4</v>
      </c>
      <c r="O174">
        <v>7</v>
      </c>
      <c r="P174">
        <v>3</v>
      </c>
      <c r="Q174">
        <f t="shared" si="11"/>
        <v>10</v>
      </c>
      <c r="R174">
        <v>3</v>
      </c>
      <c r="S174">
        <v>3</v>
      </c>
      <c r="T174">
        <f>Table[[#This Row],[NumWebPurchases]]+Table[[#This Row],[NumStorePurchases]]</f>
        <v>6</v>
      </c>
    </row>
    <row r="175" spans="1:20" ht="12.5">
      <c r="A175" s="6">
        <v>173</v>
      </c>
      <c r="B175" s="6">
        <v>1880</v>
      </c>
      <c r="C175" s="6">
        <v>1959</v>
      </c>
      <c r="D175" s="6">
        <f t="shared" si="8"/>
        <v>66</v>
      </c>
      <c r="E175" s="7" t="s">
        <v>12</v>
      </c>
      <c r="F175" s="7" t="s">
        <v>11</v>
      </c>
      <c r="G175" s="6">
        <v>53537</v>
      </c>
      <c r="H175" s="6" t="str" cm="1">
        <f t="array" ref="H175">_xlfn.IFS(
  G175 &lt; 25000, "Low",
  AND(G175 &gt;= 25000, G175 &lt; 75000), "Medium",
  AND(G175 &gt;= 75000, G175 &lt; 150000), "High",
  G175 &gt;= 150000, "Very High"
)</f>
        <v>Medium</v>
      </c>
      <c r="I175" s="6">
        <v>1</v>
      </c>
      <c r="J175" s="6">
        <v>1</v>
      </c>
      <c r="K175" s="6">
        <f t="shared" si="9"/>
        <v>2</v>
      </c>
      <c r="L175" s="8">
        <v>41669</v>
      </c>
      <c r="M175" t="str">
        <f t="shared" ca="1" si="10"/>
        <v>12 years, 1 months</v>
      </c>
      <c r="N175" s="6">
        <v>17</v>
      </c>
      <c r="O175">
        <v>0</v>
      </c>
      <c r="P175">
        <v>0</v>
      </c>
      <c r="Q175">
        <f t="shared" si="11"/>
        <v>0</v>
      </c>
      <c r="R175">
        <v>2</v>
      </c>
      <c r="S175">
        <v>3</v>
      </c>
      <c r="T175">
        <f>Table[[#This Row],[NumWebPurchases]]+Table[[#This Row],[NumStorePurchases]]</f>
        <v>5</v>
      </c>
    </row>
    <row r="176" spans="1:20" ht="12.5">
      <c r="A176" s="6">
        <v>174</v>
      </c>
      <c r="B176" s="6">
        <v>641</v>
      </c>
      <c r="C176" s="6">
        <v>1967</v>
      </c>
      <c r="D176" s="6">
        <f t="shared" si="8"/>
        <v>58</v>
      </c>
      <c r="E176" s="7" t="s">
        <v>9</v>
      </c>
      <c r="F176" s="7" t="s">
        <v>10</v>
      </c>
      <c r="G176" s="6">
        <v>52074</v>
      </c>
      <c r="H176" s="6" t="str" cm="1">
        <f t="array" ref="H176">_xlfn.IFS(
  G176 &lt; 25000, "Low",
  AND(G176 &gt;= 25000, G176 &lt; 75000), "Medium",
  AND(G176 &gt;= 75000, G176 &lt; 150000), "High",
  G176 &gt;= 150000, "Very High"
)</f>
        <v>Medium</v>
      </c>
      <c r="I176" s="6">
        <v>0</v>
      </c>
      <c r="J176" s="6">
        <v>1</v>
      </c>
      <c r="K176" s="6">
        <f t="shared" si="9"/>
        <v>1</v>
      </c>
      <c r="L176" s="8">
        <v>41733</v>
      </c>
      <c r="M176" t="str">
        <f t="shared" ca="1" si="10"/>
        <v>11 years, 11 months</v>
      </c>
      <c r="N176" s="6">
        <v>77</v>
      </c>
      <c r="O176">
        <v>0</v>
      </c>
      <c r="P176">
        <v>0</v>
      </c>
      <c r="Q176">
        <f t="shared" si="11"/>
        <v>0</v>
      </c>
      <c r="R176">
        <v>2</v>
      </c>
      <c r="S176">
        <v>2</v>
      </c>
      <c r="T176">
        <f>Table[[#This Row],[NumWebPurchases]]+Table[[#This Row],[NumStorePurchases]]</f>
        <v>4</v>
      </c>
    </row>
    <row r="177" spans="1:20" ht="12.5">
      <c r="A177" s="6">
        <v>175</v>
      </c>
      <c r="B177" s="6">
        <v>8717</v>
      </c>
      <c r="C177" s="6">
        <v>1975</v>
      </c>
      <c r="D177" s="6">
        <f t="shared" si="8"/>
        <v>50</v>
      </c>
      <c r="E177" s="7" t="s">
        <v>12</v>
      </c>
      <c r="F177" s="7" t="s">
        <v>13</v>
      </c>
      <c r="G177" s="6">
        <v>80427</v>
      </c>
      <c r="H177" s="6" t="str" cm="1">
        <f t="array" ref="H177">_xlfn.IFS(
  G177 &lt; 25000, "Low",
  AND(G177 &gt;= 25000, G177 &lt; 75000), "Medium",
  AND(G177 &gt;= 75000, G177 &lt; 150000), "High",
  G177 &gt;= 150000, "Very High"
)</f>
        <v>High</v>
      </c>
      <c r="I177" s="6">
        <v>0</v>
      </c>
      <c r="J177" s="6">
        <v>1</v>
      </c>
      <c r="K177" s="6">
        <f t="shared" si="9"/>
        <v>1</v>
      </c>
      <c r="L177" s="8">
        <v>41164</v>
      </c>
      <c r="M177" t="str">
        <f t="shared" ca="1" si="10"/>
        <v>13 years, 5 months</v>
      </c>
      <c r="N177" s="6">
        <v>56</v>
      </c>
      <c r="O177">
        <v>71</v>
      </c>
      <c r="P177">
        <v>71</v>
      </c>
      <c r="Q177">
        <f t="shared" si="11"/>
        <v>142</v>
      </c>
      <c r="R177">
        <v>11</v>
      </c>
      <c r="S177">
        <v>8</v>
      </c>
      <c r="T177">
        <f>Table[[#This Row],[NumWebPurchases]]+Table[[#This Row],[NumStorePurchases]]</f>
        <v>19</v>
      </c>
    </row>
    <row r="178" spans="1:20" ht="12.5">
      <c r="A178" s="6">
        <v>176</v>
      </c>
      <c r="B178" s="6">
        <v>10314</v>
      </c>
      <c r="C178" s="6">
        <v>1948</v>
      </c>
      <c r="D178" s="6">
        <f t="shared" si="8"/>
        <v>77</v>
      </c>
      <c r="E178" s="7" t="s">
        <v>12</v>
      </c>
      <c r="F178" s="7" t="s">
        <v>13</v>
      </c>
      <c r="G178" s="6">
        <v>83837</v>
      </c>
      <c r="H178" s="6" t="str" cm="1">
        <f t="array" ref="H178">_xlfn.IFS(
  G178 &lt; 25000, "Low",
  AND(G178 &gt;= 25000, G178 &lt; 75000), "Medium",
  AND(G178 &gt;= 75000, G178 &lt; 150000), "High",
  G178 &gt;= 150000, "Very High"
)</f>
        <v>High</v>
      </c>
      <c r="I178" s="6">
        <v>0</v>
      </c>
      <c r="J178" s="6">
        <v>0</v>
      </c>
      <c r="K178" s="6">
        <f t="shared" si="9"/>
        <v>0</v>
      </c>
      <c r="L178" s="9">
        <v>41259</v>
      </c>
      <c r="M178" t="str">
        <f t="shared" ca="1" si="10"/>
        <v>13 years, 2 months</v>
      </c>
      <c r="N178" s="6">
        <v>79</v>
      </c>
      <c r="O178">
        <v>66</v>
      </c>
      <c r="P178">
        <v>89</v>
      </c>
      <c r="Q178">
        <f t="shared" si="11"/>
        <v>155</v>
      </c>
      <c r="R178">
        <v>9</v>
      </c>
      <c r="S178">
        <v>5</v>
      </c>
      <c r="T178">
        <f>Table[[#This Row],[NumWebPurchases]]+Table[[#This Row],[NumStorePurchases]]</f>
        <v>14</v>
      </c>
    </row>
    <row r="179" spans="1:20" ht="12.5">
      <c r="A179" s="6">
        <v>177</v>
      </c>
      <c r="B179" s="6">
        <v>10854</v>
      </c>
      <c r="C179" s="6">
        <v>1970</v>
      </c>
      <c r="D179" s="6">
        <f t="shared" si="8"/>
        <v>55</v>
      </c>
      <c r="E179" s="7" t="s">
        <v>12</v>
      </c>
      <c r="F179" s="7" t="s">
        <v>13</v>
      </c>
      <c r="G179" s="6">
        <v>38853</v>
      </c>
      <c r="H179" s="6" t="str" cm="1">
        <f t="array" ref="H179">_xlfn.IFS(
  G179 &lt; 25000, "Low",
  AND(G179 &gt;= 25000, G179 &lt; 75000), "Medium",
  AND(G179 &gt;= 75000, G179 &lt; 150000), "High",
  G179 &gt;= 150000, "Very High"
)</f>
        <v>Medium</v>
      </c>
      <c r="I179" s="6">
        <v>1</v>
      </c>
      <c r="J179" s="6">
        <v>1</v>
      </c>
      <c r="K179" s="6">
        <f t="shared" si="9"/>
        <v>2</v>
      </c>
      <c r="L179" s="8">
        <v>41782</v>
      </c>
      <c r="M179" t="str">
        <f t="shared" ca="1" si="10"/>
        <v>11 years, 9 months</v>
      </c>
      <c r="N179" s="6">
        <v>90</v>
      </c>
      <c r="O179">
        <v>0</v>
      </c>
      <c r="P179">
        <v>0</v>
      </c>
      <c r="Q179">
        <f t="shared" si="11"/>
        <v>0</v>
      </c>
      <c r="R179">
        <v>2</v>
      </c>
      <c r="S179">
        <v>3</v>
      </c>
      <c r="T179">
        <f>Table[[#This Row],[NumWebPurchases]]+Table[[#This Row],[NumStorePurchases]]</f>
        <v>5</v>
      </c>
    </row>
    <row r="180" spans="1:20" ht="12.5">
      <c r="A180" s="6">
        <v>178</v>
      </c>
      <c r="B180" s="6">
        <v>10492</v>
      </c>
      <c r="C180" s="6">
        <v>1959</v>
      </c>
      <c r="D180" s="6">
        <f t="shared" si="8"/>
        <v>66</v>
      </c>
      <c r="E180" s="7" t="s">
        <v>9</v>
      </c>
      <c r="F180" s="7" t="s">
        <v>11</v>
      </c>
      <c r="G180" s="6">
        <v>38285</v>
      </c>
      <c r="H180" s="6" t="str" cm="1">
        <f t="array" ref="H180">_xlfn.IFS(
  G180 &lt; 25000, "Low",
  AND(G180 &gt;= 25000, G180 &lt; 75000), "Medium",
  AND(G180 &gt;= 75000, G180 &lt; 150000), "High",
  G180 &gt;= 150000, "Very High"
)</f>
        <v>Medium</v>
      </c>
      <c r="I180" s="6">
        <v>2</v>
      </c>
      <c r="J180" s="6">
        <v>1</v>
      </c>
      <c r="K180" s="6">
        <f t="shared" si="9"/>
        <v>3</v>
      </c>
      <c r="L180" s="8">
        <v>41814</v>
      </c>
      <c r="M180" t="str">
        <f t="shared" ca="1" si="10"/>
        <v>11 years, 8 months</v>
      </c>
      <c r="N180" s="6">
        <v>96</v>
      </c>
      <c r="O180">
        <v>0</v>
      </c>
      <c r="P180">
        <v>0</v>
      </c>
      <c r="Q180">
        <f t="shared" si="11"/>
        <v>0</v>
      </c>
      <c r="R180">
        <v>0</v>
      </c>
      <c r="S180">
        <v>3</v>
      </c>
      <c r="T180">
        <f>Table[[#This Row],[NumWebPurchases]]+Table[[#This Row],[NumStorePurchases]]</f>
        <v>3</v>
      </c>
    </row>
    <row r="181" spans="1:20" ht="12.5">
      <c r="A181" s="6">
        <v>179</v>
      </c>
      <c r="B181" s="6">
        <v>6935</v>
      </c>
      <c r="C181" s="6">
        <v>1951</v>
      </c>
      <c r="D181" s="6">
        <f t="shared" si="8"/>
        <v>74</v>
      </c>
      <c r="E181" s="7" t="s">
        <v>17</v>
      </c>
      <c r="F181" s="7" t="s">
        <v>13</v>
      </c>
      <c r="G181" s="6">
        <v>78497</v>
      </c>
      <c r="H181" s="6" t="str" cm="1">
        <f t="array" ref="H181">_xlfn.IFS(
  G181 &lt; 25000, "Low",
  AND(G181 &gt;= 25000, G181 &lt; 75000), "Medium",
  AND(G181 &gt;= 75000, G181 &lt; 150000), "High",
  G181 &gt;= 150000, "Very High"
)</f>
        <v>High</v>
      </c>
      <c r="I181" s="6">
        <v>0</v>
      </c>
      <c r="J181" s="6">
        <v>0</v>
      </c>
      <c r="K181" s="6">
        <f t="shared" si="9"/>
        <v>0</v>
      </c>
      <c r="L181" s="8">
        <v>41609</v>
      </c>
      <c r="M181" t="str">
        <f t="shared" ca="1" si="10"/>
        <v>12 years, 3 months</v>
      </c>
      <c r="N181" s="6">
        <v>44</v>
      </c>
      <c r="O181">
        <v>26</v>
      </c>
      <c r="P181">
        <v>0</v>
      </c>
      <c r="Q181">
        <f t="shared" si="11"/>
        <v>26</v>
      </c>
      <c r="R181">
        <v>5</v>
      </c>
      <c r="S181">
        <v>12</v>
      </c>
      <c r="T181">
        <f>Table[[#This Row],[NumWebPurchases]]+Table[[#This Row],[NumStorePurchases]]</f>
        <v>17</v>
      </c>
    </row>
    <row r="182" spans="1:20" ht="12.5">
      <c r="A182" s="6">
        <v>180</v>
      </c>
      <c r="B182" s="6">
        <v>7698</v>
      </c>
      <c r="C182" s="6">
        <v>1976</v>
      </c>
      <c r="D182" s="6">
        <f t="shared" si="8"/>
        <v>49</v>
      </c>
      <c r="E182" s="7" t="s">
        <v>12</v>
      </c>
      <c r="F182" s="7" t="s">
        <v>13</v>
      </c>
      <c r="G182" s="6">
        <v>51650</v>
      </c>
      <c r="H182" s="6" t="str" cm="1">
        <f t="array" ref="H182">_xlfn.IFS(
  G182 &lt; 25000, "Low",
  AND(G182 &gt;= 25000, G182 &lt; 75000), "Medium",
  AND(G182 &gt;= 75000, G182 &lt; 150000), "High",
  G182 &gt;= 150000, "Very High"
)</f>
        <v>Medium</v>
      </c>
      <c r="I182" s="6">
        <v>0</v>
      </c>
      <c r="J182" s="6">
        <v>1</v>
      </c>
      <c r="K182" s="6">
        <f t="shared" si="9"/>
        <v>1</v>
      </c>
      <c r="L182" s="8">
        <v>41770</v>
      </c>
      <c r="M182" t="str">
        <f t="shared" ca="1" si="10"/>
        <v>11 years, 9 months</v>
      </c>
      <c r="N182" s="6">
        <v>81</v>
      </c>
      <c r="O182">
        <v>3</v>
      </c>
      <c r="P182">
        <v>5</v>
      </c>
      <c r="Q182">
        <f t="shared" si="11"/>
        <v>8</v>
      </c>
      <c r="R182">
        <v>4</v>
      </c>
      <c r="S182">
        <v>4</v>
      </c>
      <c r="T182">
        <f>Table[[#This Row],[NumWebPurchases]]+Table[[#This Row],[NumStorePurchases]]</f>
        <v>8</v>
      </c>
    </row>
    <row r="183" spans="1:20" ht="12.5">
      <c r="A183" s="6">
        <v>181</v>
      </c>
      <c r="B183" s="6">
        <v>3559</v>
      </c>
      <c r="C183" s="6">
        <v>1988</v>
      </c>
      <c r="D183" s="6">
        <f t="shared" si="8"/>
        <v>37</v>
      </c>
      <c r="E183" s="7" t="s">
        <v>17</v>
      </c>
      <c r="F183" s="7" t="s">
        <v>13</v>
      </c>
      <c r="G183" s="6">
        <v>16248</v>
      </c>
      <c r="H183" s="6" t="str" cm="1">
        <f t="array" ref="H183">_xlfn.IFS(
  G183 &lt; 25000, "Low",
  AND(G183 &gt;= 25000, G183 &lt; 75000), "Medium",
  AND(G183 &gt;= 75000, G183 &lt; 150000), "High",
  G183 &gt;= 150000, "Very High"
)</f>
        <v>Low</v>
      </c>
      <c r="I183" s="6">
        <v>1</v>
      </c>
      <c r="J183" s="6">
        <v>0</v>
      </c>
      <c r="K183" s="6">
        <f t="shared" si="9"/>
        <v>1</v>
      </c>
      <c r="L183" s="8">
        <v>41769</v>
      </c>
      <c r="M183" t="str">
        <f t="shared" ca="1" si="10"/>
        <v>11 years, 9 months</v>
      </c>
      <c r="N183" s="6">
        <v>77</v>
      </c>
      <c r="O183">
        <v>11</v>
      </c>
      <c r="P183">
        <v>12</v>
      </c>
      <c r="Q183">
        <f t="shared" si="11"/>
        <v>23</v>
      </c>
      <c r="R183">
        <v>2</v>
      </c>
      <c r="S183">
        <v>3</v>
      </c>
      <c r="T183">
        <f>Table[[#This Row],[NumWebPurchases]]+Table[[#This Row],[NumStorePurchases]]</f>
        <v>5</v>
      </c>
    </row>
    <row r="184" spans="1:20" ht="12.5">
      <c r="A184" s="6">
        <v>182</v>
      </c>
      <c r="B184" s="6">
        <v>10562</v>
      </c>
      <c r="C184" s="6">
        <v>1946</v>
      </c>
      <c r="D184" s="6">
        <f t="shared" si="8"/>
        <v>79</v>
      </c>
      <c r="E184" s="7" t="s">
        <v>14</v>
      </c>
      <c r="F184" s="7" t="s">
        <v>13</v>
      </c>
      <c r="G184" s="6">
        <v>66835</v>
      </c>
      <c r="H184" s="6" t="str" cm="1">
        <f t="array" ref="H184">_xlfn.IFS(
  G184 &lt; 25000, "Low",
  AND(G184 &gt;= 25000, G184 &lt; 75000), "Medium",
  AND(G184 &gt;= 75000, G184 &lt; 150000), "High",
  G184 &gt;= 150000, "Very High"
)</f>
        <v>Medium</v>
      </c>
      <c r="I184" s="6">
        <v>0</v>
      </c>
      <c r="J184" s="6">
        <v>0</v>
      </c>
      <c r="K184" s="6">
        <f t="shared" si="9"/>
        <v>0</v>
      </c>
      <c r="L184" s="8">
        <v>41545</v>
      </c>
      <c r="M184" t="str">
        <f t="shared" ca="1" si="10"/>
        <v>12 years, 5 months</v>
      </c>
      <c r="N184" s="6">
        <v>21</v>
      </c>
      <c r="O184">
        <v>26</v>
      </c>
      <c r="P184">
        <v>17</v>
      </c>
      <c r="Q184">
        <f t="shared" si="11"/>
        <v>43</v>
      </c>
      <c r="R184">
        <v>6</v>
      </c>
      <c r="S184">
        <v>13</v>
      </c>
      <c r="T184">
        <f>Table[[#This Row],[NumWebPurchases]]+Table[[#This Row],[NumStorePurchases]]</f>
        <v>19</v>
      </c>
    </row>
    <row r="185" spans="1:20" ht="12.5">
      <c r="A185" s="6">
        <v>183</v>
      </c>
      <c r="B185" s="6">
        <v>10796</v>
      </c>
      <c r="C185" s="6">
        <v>1984</v>
      </c>
      <c r="D185" s="6">
        <f t="shared" si="8"/>
        <v>41</v>
      </c>
      <c r="E185" s="7" t="s">
        <v>14</v>
      </c>
      <c r="F185" s="7" t="s">
        <v>13</v>
      </c>
      <c r="G185" s="6">
        <v>30477</v>
      </c>
      <c r="H185" s="6" t="str" cm="1">
        <f t="array" ref="H185">_xlfn.IFS(
  G185 &lt; 25000, "Low",
  AND(G185 &gt;= 25000, G185 &lt; 75000), "Medium",
  AND(G185 &gt;= 75000, G185 &lt; 150000), "High",
  G185 &gt;= 150000, "Very High"
)</f>
        <v>Medium</v>
      </c>
      <c r="I185" s="6">
        <v>1</v>
      </c>
      <c r="J185" s="6">
        <v>0</v>
      </c>
      <c r="K185" s="6">
        <f t="shared" si="9"/>
        <v>1</v>
      </c>
      <c r="L185" s="8">
        <v>41661</v>
      </c>
      <c r="M185" t="str">
        <f t="shared" ca="1" si="10"/>
        <v>12 years, 1 months</v>
      </c>
      <c r="N185" s="6">
        <v>16</v>
      </c>
      <c r="O185">
        <v>1</v>
      </c>
      <c r="P185">
        <v>0</v>
      </c>
      <c r="Q185">
        <f t="shared" si="11"/>
        <v>1</v>
      </c>
      <c r="R185">
        <v>1</v>
      </c>
      <c r="S185">
        <v>3</v>
      </c>
      <c r="T185">
        <f>Table[[#This Row],[NumWebPurchases]]+Table[[#This Row],[NumStorePurchases]]</f>
        <v>4</v>
      </c>
    </row>
    <row r="186" spans="1:20" ht="12.5">
      <c r="A186" s="6">
        <v>184</v>
      </c>
      <c r="B186" s="6">
        <v>2563</v>
      </c>
      <c r="C186" s="6">
        <v>1961</v>
      </c>
      <c r="D186" s="6">
        <f t="shared" si="8"/>
        <v>64</v>
      </c>
      <c r="E186" s="7" t="s">
        <v>16</v>
      </c>
      <c r="F186" s="7" t="s">
        <v>13</v>
      </c>
      <c r="G186" s="6">
        <v>28249</v>
      </c>
      <c r="H186" s="6" t="str" cm="1">
        <f t="array" ref="H186">_xlfn.IFS(
  G186 &lt; 25000, "Low",
  AND(G186 &gt;= 25000, G186 &lt; 75000), "Medium",
  AND(G186 &gt;= 75000, G186 &lt; 150000), "High",
  G186 &gt;= 150000, "Very High"
)</f>
        <v>Medium</v>
      </c>
      <c r="I186" s="6">
        <v>0</v>
      </c>
      <c r="J186" s="6">
        <v>0</v>
      </c>
      <c r="K186" s="6">
        <f t="shared" si="9"/>
        <v>0</v>
      </c>
      <c r="L186" s="8">
        <v>41805</v>
      </c>
      <c r="M186" t="str">
        <f t="shared" ca="1" si="10"/>
        <v>11 years, 8 months</v>
      </c>
      <c r="N186" s="6">
        <v>80</v>
      </c>
      <c r="O186">
        <v>9</v>
      </c>
      <c r="P186">
        <v>14</v>
      </c>
      <c r="Q186">
        <f t="shared" si="11"/>
        <v>23</v>
      </c>
      <c r="R186">
        <v>2</v>
      </c>
      <c r="S186">
        <v>3</v>
      </c>
      <c r="T186">
        <f>Table[[#This Row],[NumWebPurchases]]+Table[[#This Row],[NumStorePurchases]]</f>
        <v>5</v>
      </c>
    </row>
    <row r="187" spans="1:20" ht="12.5">
      <c r="A187" s="6">
        <v>185</v>
      </c>
      <c r="B187" s="6">
        <v>3518</v>
      </c>
      <c r="C187" s="6">
        <v>1983</v>
      </c>
      <c r="D187" s="6">
        <f t="shared" si="8"/>
        <v>42</v>
      </c>
      <c r="E187" s="7" t="s">
        <v>9</v>
      </c>
      <c r="F187" s="7" t="s">
        <v>13</v>
      </c>
      <c r="G187" s="6">
        <v>25271</v>
      </c>
      <c r="H187" s="6" t="str" cm="1">
        <f t="array" ref="H187">_xlfn.IFS(
  G187 &lt; 25000, "Low",
  AND(G187 &gt;= 25000, G187 &lt; 75000), "Medium",
  AND(G187 &gt;= 75000, G187 &lt; 150000), "High",
  G187 &gt;= 150000, "Very High"
)</f>
        <v>Medium</v>
      </c>
      <c r="I187" s="6">
        <v>1</v>
      </c>
      <c r="J187" s="6">
        <v>0</v>
      </c>
      <c r="K187" s="6">
        <f t="shared" si="9"/>
        <v>1</v>
      </c>
      <c r="L187" s="8">
        <v>41248</v>
      </c>
      <c r="M187" t="str">
        <f t="shared" ca="1" si="10"/>
        <v>13 years, 3 months</v>
      </c>
      <c r="N187" s="6">
        <v>45</v>
      </c>
      <c r="O187">
        <v>1</v>
      </c>
      <c r="P187">
        <v>4</v>
      </c>
      <c r="Q187">
        <f t="shared" si="11"/>
        <v>5</v>
      </c>
      <c r="R187">
        <v>1</v>
      </c>
      <c r="S187">
        <v>2</v>
      </c>
      <c r="T187">
        <f>Table[[#This Row],[NumWebPurchases]]+Table[[#This Row],[NumStorePurchases]]</f>
        <v>3</v>
      </c>
    </row>
    <row r="188" spans="1:20" ht="12.5">
      <c r="A188" s="6">
        <v>186</v>
      </c>
      <c r="B188" s="6">
        <v>5823</v>
      </c>
      <c r="C188" s="6">
        <v>1970</v>
      </c>
      <c r="D188" s="6">
        <f t="shared" si="8"/>
        <v>55</v>
      </c>
      <c r="E188" s="7" t="s">
        <v>12</v>
      </c>
      <c r="F188" s="7" t="s">
        <v>10</v>
      </c>
      <c r="G188" s="6">
        <v>32303</v>
      </c>
      <c r="H188" s="6" t="str" cm="1">
        <f t="array" ref="H188">_xlfn.IFS(
  G188 &lt; 25000, "Low",
  AND(G188 &gt;= 25000, G188 &lt; 75000), "Medium",
  AND(G188 &gt;= 75000, G188 &lt; 150000), "High",
  G188 &gt;= 150000, "Very High"
)</f>
        <v>Medium</v>
      </c>
      <c r="I188" s="6">
        <v>0</v>
      </c>
      <c r="J188" s="6">
        <v>1</v>
      </c>
      <c r="K188" s="6">
        <f t="shared" si="9"/>
        <v>1</v>
      </c>
      <c r="L188" s="8">
        <v>41706</v>
      </c>
      <c r="M188" t="str">
        <f t="shared" ca="1" si="10"/>
        <v>11 years, 11 months</v>
      </c>
      <c r="N188" s="6">
        <v>63</v>
      </c>
      <c r="O188">
        <v>0</v>
      </c>
      <c r="P188">
        <v>0</v>
      </c>
      <c r="Q188">
        <f t="shared" si="11"/>
        <v>0</v>
      </c>
      <c r="R188">
        <v>1</v>
      </c>
      <c r="S188">
        <v>4</v>
      </c>
      <c r="T188">
        <f>Table[[#This Row],[NumWebPurchases]]+Table[[#This Row],[NumStorePurchases]]</f>
        <v>5</v>
      </c>
    </row>
    <row r="189" spans="1:20" ht="12.5">
      <c r="A189" s="6">
        <v>187</v>
      </c>
      <c r="B189" s="6">
        <v>3934</v>
      </c>
      <c r="C189" s="6">
        <v>1966</v>
      </c>
      <c r="D189" s="6">
        <f t="shared" si="8"/>
        <v>59</v>
      </c>
      <c r="E189" s="7" t="s">
        <v>9</v>
      </c>
      <c r="F189" s="7" t="s">
        <v>13</v>
      </c>
      <c r="G189" s="6">
        <v>61286</v>
      </c>
      <c r="H189" s="6" t="str" cm="1">
        <f t="array" ref="H189">_xlfn.IFS(
  G189 &lt; 25000, "Low",
  AND(G189 &gt;= 25000, G189 &lt; 75000), "Medium",
  AND(G189 &gt;= 75000, G189 &lt; 150000), "High",
  G189 &gt;= 150000, "Very High"
)</f>
        <v>Medium</v>
      </c>
      <c r="I189" s="6">
        <v>0</v>
      </c>
      <c r="J189" s="6">
        <v>1</v>
      </c>
      <c r="K189" s="6">
        <f t="shared" si="9"/>
        <v>1</v>
      </c>
      <c r="L189" s="8">
        <v>41488</v>
      </c>
      <c r="M189" t="str">
        <f t="shared" ca="1" si="10"/>
        <v>12 years, 7 months</v>
      </c>
      <c r="N189" s="6">
        <v>34</v>
      </c>
      <c r="O189">
        <v>0</v>
      </c>
      <c r="P189">
        <v>9</v>
      </c>
      <c r="Q189">
        <f t="shared" si="11"/>
        <v>9</v>
      </c>
      <c r="R189">
        <v>7</v>
      </c>
      <c r="S189">
        <v>8</v>
      </c>
      <c r="T189">
        <f>Table[[#This Row],[NumWebPurchases]]+Table[[#This Row],[NumStorePurchases]]</f>
        <v>15</v>
      </c>
    </row>
    <row r="190" spans="1:20" ht="12.5">
      <c r="A190" s="6">
        <v>188</v>
      </c>
      <c r="B190" s="6">
        <v>6982</v>
      </c>
      <c r="C190" s="6">
        <v>1976</v>
      </c>
      <c r="D190" s="6">
        <f t="shared" si="8"/>
        <v>49</v>
      </c>
      <c r="E190" s="7" t="s">
        <v>9</v>
      </c>
      <c r="F190" s="7" t="s">
        <v>13</v>
      </c>
      <c r="G190" s="6">
        <v>74068</v>
      </c>
      <c r="H190" s="6" t="str" cm="1">
        <f t="array" ref="H190">_xlfn.IFS(
  G190 &lt; 25000, "Low",
  AND(G190 &gt;= 25000, G190 &lt; 75000), "Medium",
  AND(G190 &gt;= 75000, G190 &lt; 150000), "High",
  G190 &gt;= 150000, "Very High"
)</f>
        <v>Medium</v>
      </c>
      <c r="I190" s="6">
        <v>0</v>
      </c>
      <c r="J190" s="6">
        <v>0</v>
      </c>
      <c r="K190" s="6">
        <f t="shared" si="9"/>
        <v>0</v>
      </c>
      <c r="L190" s="8">
        <v>41352</v>
      </c>
      <c r="M190" t="str">
        <f t="shared" ca="1" si="10"/>
        <v>12 years, 11 months</v>
      </c>
      <c r="N190" s="6">
        <v>14</v>
      </c>
      <c r="O190">
        <v>30</v>
      </c>
      <c r="P190">
        <v>76</v>
      </c>
      <c r="Q190">
        <f t="shared" si="11"/>
        <v>106</v>
      </c>
      <c r="R190">
        <v>4</v>
      </c>
      <c r="S190">
        <v>9</v>
      </c>
      <c r="T190">
        <f>Table[[#This Row],[NumWebPurchases]]+Table[[#This Row],[NumStorePurchases]]</f>
        <v>13</v>
      </c>
    </row>
    <row r="191" spans="1:20" ht="12.5">
      <c r="A191" s="6">
        <v>189</v>
      </c>
      <c r="B191" s="6">
        <v>6431</v>
      </c>
      <c r="C191" s="6">
        <v>1964</v>
      </c>
      <c r="D191" s="6">
        <f t="shared" si="8"/>
        <v>61</v>
      </c>
      <c r="E191" s="7" t="s">
        <v>12</v>
      </c>
      <c r="F191" s="7" t="s">
        <v>13</v>
      </c>
      <c r="G191" s="6">
        <v>45759</v>
      </c>
      <c r="H191" s="6" t="str" cm="1">
        <f t="array" ref="H191">_xlfn.IFS(
  G191 &lt; 25000, "Low",
  AND(G191 &gt;= 25000, G191 &lt; 75000), "Medium",
  AND(G191 &gt;= 75000, G191 &lt; 150000), "High",
  G191 &gt;= 150000, "Very High"
)</f>
        <v>Medium</v>
      </c>
      <c r="I191" s="6">
        <v>1</v>
      </c>
      <c r="J191" s="6">
        <v>1</v>
      </c>
      <c r="K191" s="6">
        <f t="shared" si="9"/>
        <v>2</v>
      </c>
      <c r="L191" s="8">
        <v>41328</v>
      </c>
      <c r="M191" t="str">
        <f t="shared" ca="1" si="10"/>
        <v>13 years, 0 months</v>
      </c>
      <c r="N191" s="6">
        <v>13</v>
      </c>
      <c r="O191">
        <v>1</v>
      </c>
      <c r="P191">
        <v>0</v>
      </c>
      <c r="Q191">
        <f t="shared" si="11"/>
        <v>1</v>
      </c>
      <c r="R191">
        <v>2</v>
      </c>
      <c r="S191">
        <v>3</v>
      </c>
      <c r="T191">
        <f>Table[[#This Row],[NumWebPurchases]]+Table[[#This Row],[NumStorePurchases]]</f>
        <v>5</v>
      </c>
    </row>
    <row r="192" spans="1:20" ht="12.5">
      <c r="A192" s="6">
        <v>190</v>
      </c>
      <c r="B192" s="6">
        <v>9733</v>
      </c>
      <c r="C192" s="6">
        <v>1978</v>
      </c>
      <c r="D192" s="6">
        <f t="shared" si="8"/>
        <v>47</v>
      </c>
      <c r="E192" s="7" t="s">
        <v>16</v>
      </c>
      <c r="F192" s="7" t="s">
        <v>11</v>
      </c>
      <c r="G192" s="6">
        <v>24882</v>
      </c>
      <c r="H192" s="6" t="str" cm="1">
        <f t="array" ref="H192">_xlfn.IFS(
  G192 &lt; 25000, "Low",
  AND(G192 &gt;= 25000, G192 &lt; 75000), "Medium",
  AND(G192 &gt;= 75000, G192 &lt; 150000), "High",
  G192 &gt;= 150000, "Very High"
)</f>
        <v>Low</v>
      </c>
      <c r="I192" s="6">
        <v>1</v>
      </c>
      <c r="J192" s="6">
        <v>0</v>
      </c>
      <c r="K192" s="6">
        <f t="shared" si="9"/>
        <v>1</v>
      </c>
      <c r="L192" s="8">
        <v>41161</v>
      </c>
      <c r="M192" t="str">
        <f t="shared" ca="1" si="10"/>
        <v>13 years, 5 months</v>
      </c>
      <c r="N192" s="6">
        <v>52</v>
      </c>
      <c r="O192">
        <v>4</v>
      </c>
      <c r="P192">
        <v>0</v>
      </c>
      <c r="Q192">
        <f t="shared" si="11"/>
        <v>4</v>
      </c>
      <c r="R192">
        <v>1</v>
      </c>
      <c r="S192">
        <v>2</v>
      </c>
      <c r="T192">
        <f>Table[[#This Row],[NumWebPurchases]]+Table[[#This Row],[NumStorePurchases]]</f>
        <v>3</v>
      </c>
    </row>
    <row r="193" spans="1:20" ht="12.5">
      <c r="A193" s="6">
        <v>191</v>
      </c>
      <c r="B193" s="6">
        <v>5602</v>
      </c>
      <c r="C193" s="6">
        <v>1989</v>
      </c>
      <c r="D193" s="6">
        <f t="shared" si="8"/>
        <v>36</v>
      </c>
      <c r="E193" s="7" t="s">
        <v>12</v>
      </c>
      <c r="F193" s="7" t="s">
        <v>11</v>
      </c>
      <c r="G193" s="6">
        <v>66973</v>
      </c>
      <c r="H193" s="6" t="str" cm="1">
        <f t="array" ref="H193">_xlfn.IFS(
  G193 &lt; 25000, "Low",
  AND(G193 &gt;= 25000, G193 &lt; 75000), "Medium",
  AND(G193 &gt;= 75000, G193 &lt; 150000), "High",
  G193 &gt;= 150000, "Very High"
)</f>
        <v>Medium</v>
      </c>
      <c r="I193" s="6">
        <v>0</v>
      </c>
      <c r="J193" s="6">
        <v>0</v>
      </c>
      <c r="K193" s="6">
        <f t="shared" si="9"/>
        <v>0</v>
      </c>
      <c r="L193" s="8">
        <v>41411</v>
      </c>
      <c r="M193" t="str">
        <f t="shared" ca="1" si="10"/>
        <v>12 years, 9 months</v>
      </c>
      <c r="N193" s="6">
        <v>98</v>
      </c>
      <c r="O193">
        <v>22</v>
      </c>
      <c r="P193">
        <v>113</v>
      </c>
      <c r="Q193">
        <f t="shared" si="11"/>
        <v>135</v>
      </c>
      <c r="R193">
        <v>8</v>
      </c>
      <c r="S193">
        <v>12</v>
      </c>
      <c r="T193">
        <f>Table[[#This Row],[NumWebPurchases]]+Table[[#This Row],[NumStorePurchases]]</f>
        <v>20</v>
      </c>
    </row>
    <row r="194" spans="1:20" ht="12.5">
      <c r="A194" s="6">
        <v>192</v>
      </c>
      <c r="B194" s="6">
        <v>7829</v>
      </c>
      <c r="C194" s="6">
        <v>1900</v>
      </c>
      <c r="D194" s="6">
        <f t="shared" si="8"/>
        <v>125</v>
      </c>
      <c r="E194" s="7" t="s">
        <v>17</v>
      </c>
      <c r="F194" s="7" t="s">
        <v>15</v>
      </c>
      <c r="G194" s="6">
        <v>36640</v>
      </c>
      <c r="H194" s="6" t="str" cm="1">
        <f t="array" ref="H194">_xlfn.IFS(
  G194 &lt; 25000, "Low",
  AND(G194 &gt;= 25000, G194 &lt; 75000), "Medium",
  AND(G194 &gt;= 75000, G194 &lt; 150000), "High",
  G194 &gt;= 150000, "Very High"
)</f>
        <v>Medium</v>
      </c>
      <c r="I194" s="6">
        <v>1</v>
      </c>
      <c r="J194" s="6">
        <v>0</v>
      </c>
      <c r="K194" s="6">
        <f t="shared" si="9"/>
        <v>1</v>
      </c>
      <c r="L194" s="8">
        <v>41543</v>
      </c>
      <c r="M194" t="str">
        <f t="shared" ca="1" si="10"/>
        <v>12 years, 5 months</v>
      </c>
      <c r="N194" s="6">
        <v>99</v>
      </c>
      <c r="O194">
        <v>6</v>
      </c>
      <c r="P194">
        <v>4</v>
      </c>
      <c r="Q194">
        <f t="shared" si="11"/>
        <v>10</v>
      </c>
      <c r="R194">
        <v>2</v>
      </c>
      <c r="S194">
        <v>2</v>
      </c>
      <c r="T194">
        <f>Table[[#This Row],[NumWebPurchases]]+Table[[#This Row],[NumStorePurchases]]</f>
        <v>4</v>
      </c>
    </row>
    <row r="195" spans="1:20" ht="12.5">
      <c r="A195" s="6">
        <v>193</v>
      </c>
      <c r="B195" s="6">
        <v>1324</v>
      </c>
      <c r="C195" s="6">
        <v>1988</v>
      </c>
      <c r="D195" s="6">
        <f t="shared" ref="D195:D258" si="12">2025-C195</f>
        <v>37</v>
      </c>
      <c r="E195" s="7" t="s">
        <v>9</v>
      </c>
      <c r="F195" s="7" t="s">
        <v>13</v>
      </c>
      <c r="G195" s="6">
        <v>38872</v>
      </c>
      <c r="H195" s="6" t="str" cm="1">
        <f t="array" ref="H195">_xlfn.IFS(
  G195 &lt; 25000, "Low",
  AND(G195 &gt;= 25000, G195 &lt; 75000), "Medium",
  AND(G195 &gt;= 75000, G195 &lt; 150000), "High",
  G195 &gt;= 150000, "Very High"
)</f>
        <v>Medium</v>
      </c>
      <c r="I195" s="6">
        <v>1</v>
      </c>
      <c r="J195" s="6">
        <v>0</v>
      </c>
      <c r="K195" s="6">
        <f t="shared" ref="K195:K258" si="13">I195+J195</f>
        <v>1</v>
      </c>
      <c r="L195" s="8">
        <v>41424</v>
      </c>
      <c r="M195" t="str">
        <f t="shared" ref="M195:M258" ca="1" si="14">DATEDIF(L195, TODAY(), "Y") &amp; " years, " &amp; DATEDIF(L195, TODAY(), "YM") &amp; " months"</f>
        <v>12 years, 9 months</v>
      </c>
      <c r="N195" s="6">
        <v>93</v>
      </c>
      <c r="O195">
        <v>3</v>
      </c>
      <c r="P195">
        <v>19</v>
      </c>
      <c r="Q195">
        <f t="shared" ref="Q195:Q258" si="15">O195+P195</f>
        <v>22</v>
      </c>
      <c r="R195">
        <v>3</v>
      </c>
      <c r="S195">
        <v>3</v>
      </c>
      <c r="T195">
        <f>Table[[#This Row],[NumWebPurchases]]+Table[[#This Row],[NumStorePurchases]]</f>
        <v>6</v>
      </c>
    </row>
    <row r="196" spans="1:20" ht="12.5">
      <c r="A196" s="6">
        <v>194</v>
      </c>
      <c r="B196" s="6">
        <v>326</v>
      </c>
      <c r="C196" s="6">
        <v>1973</v>
      </c>
      <c r="D196" s="6">
        <f t="shared" si="12"/>
        <v>52</v>
      </c>
      <c r="E196" s="7" t="s">
        <v>9</v>
      </c>
      <c r="F196" s="7" t="s">
        <v>13</v>
      </c>
      <c r="G196" s="6">
        <v>51148</v>
      </c>
      <c r="H196" s="6" t="str" cm="1">
        <f t="array" ref="H196">_xlfn.IFS(
  G196 &lt; 25000, "Low",
  AND(G196 &gt;= 25000, G196 &lt; 75000), "Medium",
  AND(G196 &gt;= 75000, G196 &lt; 150000), "High",
  G196 &gt;= 150000, "Very High"
)</f>
        <v>Medium</v>
      </c>
      <c r="I196" s="6">
        <v>1</v>
      </c>
      <c r="J196" s="6">
        <v>1</v>
      </c>
      <c r="K196" s="6">
        <f t="shared" si="13"/>
        <v>2</v>
      </c>
      <c r="L196" s="8">
        <v>41323</v>
      </c>
      <c r="M196" t="str">
        <f t="shared" ca="1" si="14"/>
        <v>13 years, 0 months</v>
      </c>
      <c r="N196" s="6">
        <v>38</v>
      </c>
      <c r="O196">
        <v>6</v>
      </c>
      <c r="P196">
        <v>9</v>
      </c>
      <c r="Q196">
        <f t="shared" si="15"/>
        <v>15</v>
      </c>
      <c r="R196">
        <v>5</v>
      </c>
      <c r="S196">
        <v>6</v>
      </c>
      <c r="T196">
        <f>Table[[#This Row],[NumWebPurchases]]+Table[[#This Row],[NumStorePurchases]]</f>
        <v>11</v>
      </c>
    </row>
    <row r="197" spans="1:20" ht="12.5">
      <c r="A197" s="6">
        <v>195</v>
      </c>
      <c r="B197" s="6">
        <v>7224</v>
      </c>
      <c r="C197" s="6">
        <v>1977</v>
      </c>
      <c r="D197" s="6">
        <f t="shared" si="12"/>
        <v>48</v>
      </c>
      <c r="E197" s="7" t="s">
        <v>9</v>
      </c>
      <c r="F197" s="7" t="s">
        <v>13</v>
      </c>
      <c r="G197" s="6">
        <v>31353</v>
      </c>
      <c r="H197" s="6" t="str" cm="1">
        <f t="array" ref="H197">_xlfn.IFS(
  G197 &lt; 25000, "Low",
  AND(G197 &gt;= 25000, G197 &lt; 75000), "Medium",
  AND(G197 &gt;= 75000, G197 &lt; 150000), "High",
  G197 &gt;= 150000, "Very High"
)</f>
        <v>Medium</v>
      </c>
      <c r="I197" s="6">
        <v>1</v>
      </c>
      <c r="J197" s="6">
        <v>1</v>
      </c>
      <c r="K197" s="6">
        <f t="shared" si="13"/>
        <v>2</v>
      </c>
      <c r="L197" s="9">
        <v>41637</v>
      </c>
      <c r="M197" t="str">
        <f t="shared" ca="1" si="14"/>
        <v>12 years, 2 months</v>
      </c>
      <c r="N197" s="6">
        <v>24</v>
      </c>
      <c r="O197">
        <v>0</v>
      </c>
      <c r="P197">
        <v>1</v>
      </c>
      <c r="Q197">
        <f t="shared" si="15"/>
        <v>1</v>
      </c>
      <c r="R197">
        <v>1</v>
      </c>
      <c r="S197">
        <v>2</v>
      </c>
      <c r="T197">
        <f>Table[[#This Row],[NumWebPurchases]]+Table[[#This Row],[NumStorePurchases]]</f>
        <v>3</v>
      </c>
    </row>
    <row r="198" spans="1:20" ht="12.5">
      <c r="A198" s="6">
        <v>196</v>
      </c>
      <c r="B198" s="6">
        <v>6999</v>
      </c>
      <c r="C198" s="6">
        <v>1980</v>
      </c>
      <c r="D198" s="6">
        <f t="shared" si="12"/>
        <v>45</v>
      </c>
      <c r="E198" s="7" t="s">
        <v>14</v>
      </c>
      <c r="F198" s="7" t="s">
        <v>13</v>
      </c>
      <c r="G198" s="6">
        <v>69661</v>
      </c>
      <c r="H198" s="6" t="str" cm="1">
        <f t="array" ref="H198">_xlfn.IFS(
  G198 &lt; 25000, "Low",
  AND(G198 &gt;= 25000, G198 &lt; 75000), "Medium",
  AND(G198 &gt;= 75000, G198 &lt; 150000), "High",
  G198 &gt;= 150000, "Very High"
)</f>
        <v>Medium</v>
      </c>
      <c r="I198" s="6">
        <v>0</v>
      </c>
      <c r="J198" s="6">
        <v>0</v>
      </c>
      <c r="K198" s="6">
        <f t="shared" si="13"/>
        <v>0</v>
      </c>
      <c r="L198" s="8">
        <v>41772</v>
      </c>
      <c r="M198" t="str">
        <f t="shared" ca="1" si="14"/>
        <v>11 years, 9 months</v>
      </c>
      <c r="N198" s="6">
        <v>80</v>
      </c>
      <c r="O198">
        <v>16</v>
      </c>
      <c r="P198">
        <v>16</v>
      </c>
      <c r="Q198">
        <f t="shared" si="15"/>
        <v>32</v>
      </c>
      <c r="R198">
        <v>7</v>
      </c>
      <c r="S198">
        <v>12</v>
      </c>
      <c r="T198">
        <f>Table[[#This Row],[NumWebPurchases]]+Table[[#This Row],[NumStorePurchases]]</f>
        <v>19</v>
      </c>
    </row>
    <row r="199" spans="1:20" ht="12.5">
      <c r="A199" s="6">
        <v>197</v>
      </c>
      <c r="B199" s="6">
        <v>9938</v>
      </c>
      <c r="C199" s="6">
        <v>1954</v>
      </c>
      <c r="D199" s="6">
        <f t="shared" si="12"/>
        <v>71</v>
      </c>
      <c r="E199" s="7" t="s">
        <v>9</v>
      </c>
      <c r="F199" s="7" t="s">
        <v>13</v>
      </c>
      <c r="G199" s="6">
        <v>80067</v>
      </c>
      <c r="H199" s="6" t="str" cm="1">
        <f t="array" ref="H199">_xlfn.IFS(
  G199 &lt; 25000, "Low",
  AND(G199 &gt;= 25000, G199 &lt; 75000), "Medium",
  AND(G199 &gt;= 75000, G199 &lt; 150000), "High",
  G199 &gt;= 150000, "Very High"
)</f>
        <v>High</v>
      </c>
      <c r="I199" s="6">
        <v>0</v>
      </c>
      <c r="J199" s="6">
        <v>0</v>
      </c>
      <c r="K199" s="6">
        <f t="shared" si="13"/>
        <v>0</v>
      </c>
      <c r="L199" s="8">
        <v>41536</v>
      </c>
      <c r="M199" t="str">
        <f t="shared" ca="1" si="14"/>
        <v>12 years, 5 months</v>
      </c>
      <c r="N199" s="6">
        <v>82</v>
      </c>
      <c r="O199">
        <v>17</v>
      </c>
      <c r="P199">
        <v>173</v>
      </c>
      <c r="Q199">
        <f t="shared" si="15"/>
        <v>190</v>
      </c>
      <c r="R199">
        <v>4</v>
      </c>
      <c r="S199">
        <v>6</v>
      </c>
      <c r="T199">
        <f>Table[[#This Row],[NumWebPurchases]]+Table[[#This Row],[NumStorePurchases]]</f>
        <v>10</v>
      </c>
    </row>
    <row r="200" spans="1:20" ht="12.5">
      <c r="A200" s="6">
        <v>198</v>
      </c>
      <c r="B200" s="6">
        <v>6422</v>
      </c>
      <c r="C200" s="6">
        <v>1954</v>
      </c>
      <c r="D200" s="6">
        <f t="shared" si="12"/>
        <v>71</v>
      </c>
      <c r="E200" s="7" t="s">
        <v>9</v>
      </c>
      <c r="F200" s="7" t="s">
        <v>13</v>
      </c>
      <c r="G200" s="6">
        <v>86718</v>
      </c>
      <c r="H200" s="6" t="str" cm="1">
        <f t="array" ref="H200">_xlfn.IFS(
  G200 &lt; 25000, "Low",
  AND(G200 &gt;= 25000, G200 &lt; 75000), "Medium",
  AND(G200 &gt;= 75000, G200 &lt; 150000), "High",
  G200 &gt;= 150000, "Very High"
)</f>
        <v>High</v>
      </c>
      <c r="I200" s="6">
        <v>0</v>
      </c>
      <c r="J200" s="6">
        <v>0</v>
      </c>
      <c r="K200" s="6">
        <f t="shared" si="13"/>
        <v>0</v>
      </c>
      <c r="L200" s="8">
        <v>41291</v>
      </c>
      <c r="M200" t="str">
        <f t="shared" ca="1" si="14"/>
        <v>13 years, 1 months</v>
      </c>
      <c r="N200" s="6">
        <v>20</v>
      </c>
      <c r="O200">
        <v>189</v>
      </c>
      <c r="P200">
        <v>33</v>
      </c>
      <c r="Q200">
        <f t="shared" si="15"/>
        <v>222</v>
      </c>
      <c r="R200">
        <v>5</v>
      </c>
      <c r="S200">
        <v>5</v>
      </c>
      <c r="T200">
        <f>Table[[#This Row],[NumWebPurchases]]+Table[[#This Row],[NumStorePurchases]]</f>
        <v>10</v>
      </c>
    </row>
    <row r="201" spans="1:20" ht="12.5">
      <c r="A201" s="6">
        <v>199</v>
      </c>
      <c r="B201" s="6">
        <v>3182</v>
      </c>
      <c r="C201" s="6">
        <v>1973</v>
      </c>
      <c r="D201" s="6">
        <f t="shared" si="12"/>
        <v>52</v>
      </c>
      <c r="E201" s="7" t="s">
        <v>12</v>
      </c>
      <c r="F201" s="7" t="s">
        <v>10</v>
      </c>
      <c r="G201" s="6">
        <v>46854</v>
      </c>
      <c r="H201" s="6" t="str" cm="1">
        <f t="array" ref="H201">_xlfn.IFS(
  G201 &lt; 25000, "Low",
  AND(G201 &gt;= 25000, G201 &lt; 75000), "Medium",
  AND(G201 &gt;= 75000, G201 &lt; 150000), "High",
  G201 &gt;= 150000, "Very High"
)</f>
        <v>Medium</v>
      </c>
      <c r="I201" s="6">
        <v>1</v>
      </c>
      <c r="J201" s="6">
        <v>1</v>
      </c>
      <c r="K201" s="6">
        <f t="shared" si="13"/>
        <v>2</v>
      </c>
      <c r="L201" s="8">
        <v>41729</v>
      </c>
      <c r="M201" t="str">
        <f t="shared" ca="1" si="14"/>
        <v>11 years, 11 months</v>
      </c>
      <c r="N201" s="6">
        <v>81</v>
      </c>
      <c r="O201">
        <v>1</v>
      </c>
      <c r="P201">
        <v>1</v>
      </c>
      <c r="Q201">
        <f t="shared" si="15"/>
        <v>2</v>
      </c>
      <c r="R201">
        <v>5</v>
      </c>
      <c r="S201">
        <v>3</v>
      </c>
      <c r="T201">
        <f>Table[[#This Row],[NumWebPurchases]]+Table[[#This Row],[NumStorePurchases]]</f>
        <v>8</v>
      </c>
    </row>
    <row r="202" spans="1:20" ht="12.5">
      <c r="A202" s="6">
        <v>200</v>
      </c>
      <c r="B202" s="6">
        <v>7300</v>
      </c>
      <c r="C202" s="6">
        <v>1952</v>
      </c>
      <c r="D202" s="6">
        <f t="shared" si="12"/>
        <v>73</v>
      </c>
      <c r="E202" s="7" t="s">
        <v>9</v>
      </c>
      <c r="F202" s="7" t="s">
        <v>15</v>
      </c>
      <c r="G202" s="6">
        <v>69142</v>
      </c>
      <c r="H202" s="6" t="str" cm="1">
        <f t="array" ref="H202">_xlfn.IFS(
  G202 &lt; 25000, "Low",
  AND(G202 &gt;= 25000, G202 &lt; 75000), "Medium",
  AND(G202 &gt;= 75000, G202 &lt; 150000), "High",
  G202 &gt;= 150000, "Very High"
)</f>
        <v>Medium</v>
      </c>
      <c r="I202" s="6">
        <v>0</v>
      </c>
      <c r="J202" s="6">
        <v>1</v>
      </c>
      <c r="K202" s="6">
        <f t="shared" si="13"/>
        <v>1</v>
      </c>
      <c r="L202" s="8">
        <v>41819</v>
      </c>
      <c r="M202" t="str">
        <f t="shared" ca="1" si="14"/>
        <v>11 years, 8 months</v>
      </c>
      <c r="N202" s="6">
        <v>50</v>
      </c>
      <c r="O202">
        <v>4</v>
      </c>
      <c r="P202">
        <v>4</v>
      </c>
      <c r="Q202">
        <f t="shared" si="15"/>
        <v>8</v>
      </c>
      <c r="R202">
        <v>8</v>
      </c>
      <c r="S202">
        <v>7</v>
      </c>
      <c r="T202">
        <f>Table[[#This Row],[NumWebPurchases]]+Table[[#This Row],[NumStorePurchases]]</f>
        <v>15</v>
      </c>
    </row>
    <row r="203" spans="1:20" ht="12.5">
      <c r="A203" s="6">
        <v>201</v>
      </c>
      <c r="B203" s="6">
        <v>10424</v>
      </c>
      <c r="C203" s="6">
        <v>1968</v>
      </c>
      <c r="D203" s="6">
        <f t="shared" si="12"/>
        <v>57</v>
      </c>
      <c r="E203" s="7" t="s">
        <v>9</v>
      </c>
      <c r="F203" s="7" t="s">
        <v>10</v>
      </c>
      <c r="G203" s="6">
        <v>75922</v>
      </c>
      <c r="H203" s="6" t="str" cm="1">
        <f t="array" ref="H203">_xlfn.IFS(
  G203 &lt; 25000, "Low",
  AND(G203 &gt;= 25000, G203 &lt; 75000), "Medium",
  AND(G203 &gt;= 75000, G203 &lt; 150000), "High",
  G203 &gt;= 150000, "Very High"
)</f>
        <v>High</v>
      </c>
      <c r="I203" s="6">
        <v>0</v>
      </c>
      <c r="J203" s="6">
        <v>0</v>
      </c>
      <c r="K203" s="6">
        <f t="shared" si="13"/>
        <v>0</v>
      </c>
      <c r="L203" s="8">
        <v>41617</v>
      </c>
      <c r="M203" t="str">
        <f t="shared" ca="1" si="14"/>
        <v>12 years, 2 months</v>
      </c>
      <c r="N203" s="6">
        <v>60</v>
      </c>
      <c r="O203">
        <v>138</v>
      </c>
      <c r="P203">
        <v>23</v>
      </c>
      <c r="Q203">
        <f t="shared" si="15"/>
        <v>161</v>
      </c>
      <c r="R203">
        <v>4</v>
      </c>
      <c r="S203">
        <v>9</v>
      </c>
      <c r="T203">
        <f>Table[[#This Row],[NumWebPurchases]]+Table[[#This Row],[NumStorePurchases]]</f>
        <v>13</v>
      </c>
    </row>
    <row r="204" spans="1:20" ht="12.5">
      <c r="A204" s="6">
        <v>202</v>
      </c>
      <c r="B204" s="6">
        <v>8727</v>
      </c>
      <c r="C204" s="6">
        <v>1978</v>
      </c>
      <c r="D204" s="6">
        <f t="shared" si="12"/>
        <v>47</v>
      </c>
      <c r="E204" s="7" t="s">
        <v>9</v>
      </c>
      <c r="F204" s="7" t="s">
        <v>15</v>
      </c>
      <c r="G204" s="6">
        <v>63693</v>
      </c>
      <c r="H204" s="6" t="str" cm="1">
        <f t="array" ref="H204">_xlfn.IFS(
  G204 &lt; 25000, "Low",
  AND(G204 &gt;= 25000, G204 &lt; 75000), "Medium",
  AND(G204 &gt;= 75000, G204 &lt; 150000), "High",
  G204 &gt;= 150000, "Very High"
)</f>
        <v>Medium</v>
      </c>
      <c r="I204" s="6">
        <v>0</v>
      </c>
      <c r="J204" s="6">
        <v>1</v>
      </c>
      <c r="K204" s="6">
        <f t="shared" si="13"/>
        <v>1</v>
      </c>
      <c r="L204" s="9">
        <v>41561</v>
      </c>
      <c r="M204" t="str">
        <f t="shared" ca="1" si="14"/>
        <v>12 years, 4 months</v>
      </c>
      <c r="N204" s="6">
        <v>63</v>
      </c>
      <c r="O204">
        <v>43</v>
      </c>
      <c r="P204">
        <v>87</v>
      </c>
      <c r="Q204">
        <f t="shared" si="15"/>
        <v>130</v>
      </c>
      <c r="R204">
        <v>11</v>
      </c>
      <c r="S204">
        <v>9</v>
      </c>
      <c r="T204">
        <f>Table[[#This Row],[NumWebPurchases]]+Table[[#This Row],[NumStorePurchases]]</f>
        <v>20</v>
      </c>
    </row>
    <row r="205" spans="1:20" ht="12.5">
      <c r="A205" s="6">
        <v>203</v>
      </c>
      <c r="B205" s="6">
        <v>2798</v>
      </c>
      <c r="C205" s="6">
        <v>1977</v>
      </c>
      <c r="D205" s="6">
        <f t="shared" si="12"/>
        <v>48</v>
      </c>
      <c r="E205" s="7" t="s">
        <v>12</v>
      </c>
      <c r="F205" s="7" t="s">
        <v>11</v>
      </c>
      <c r="G205" s="6">
        <v>102160</v>
      </c>
      <c r="H205" s="6" t="str" cm="1">
        <f t="array" ref="H205">_xlfn.IFS(
  G205 &lt; 25000, "Low",
  AND(G205 &gt;= 25000, G205 &lt; 75000), "Medium",
  AND(G205 &gt;= 75000, G205 &lt; 150000), "High",
  G205 &gt;= 150000, "Very High"
)</f>
        <v>High</v>
      </c>
      <c r="I205" s="6">
        <v>0</v>
      </c>
      <c r="J205" s="6">
        <v>0</v>
      </c>
      <c r="K205" s="6">
        <f t="shared" si="13"/>
        <v>0</v>
      </c>
      <c r="L205" s="8">
        <v>41215</v>
      </c>
      <c r="M205" t="str">
        <f t="shared" ca="1" si="14"/>
        <v>13 years, 4 months</v>
      </c>
      <c r="N205" s="6">
        <v>54</v>
      </c>
      <c r="O205">
        <v>29</v>
      </c>
      <c r="P205">
        <v>176</v>
      </c>
      <c r="Q205">
        <f t="shared" si="15"/>
        <v>205</v>
      </c>
      <c r="R205">
        <v>7</v>
      </c>
      <c r="S205">
        <v>10</v>
      </c>
      <c r="T205">
        <f>Table[[#This Row],[NumWebPurchases]]+Table[[#This Row],[NumStorePurchases]]</f>
        <v>17</v>
      </c>
    </row>
    <row r="206" spans="1:20" ht="12.5">
      <c r="A206" s="6">
        <v>204</v>
      </c>
      <c r="B206" s="6">
        <v>1030</v>
      </c>
      <c r="C206" s="6">
        <v>1965</v>
      </c>
      <c r="D206" s="6">
        <f t="shared" si="12"/>
        <v>60</v>
      </c>
      <c r="E206" s="7" t="s">
        <v>12</v>
      </c>
      <c r="F206" s="7" t="s">
        <v>10</v>
      </c>
      <c r="G206" s="6">
        <v>40637</v>
      </c>
      <c r="H206" s="6" t="str" cm="1">
        <f t="array" ref="H206">_xlfn.IFS(
  G206 &lt; 25000, "Low",
  AND(G206 &gt;= 25000, G206 &lt; 75000), "Medium",
  AND(G206 &gt;= 75000, G206 &lt; 150000), "High",
  G206 &gt;= 150000, "Very High"
)</f>
        <v>Medium</v>
      </c>
      <c r="I206" s="6">
        <v>1</v>
      </c>
      <c r="J206" s="6">
        <v>1</v>
      </c>
      <c r="K206" s="6">
        <f t="shared" si="13"/>
        <v>2</v>
      </c>
      <c r="L206" s="8">
        <v>41472</v>
      </c>
      <c r="M206" t="str">
        <f t="shared" ca="1" si="14"/>
        <v>12 years, 7 months</v>
      </c>
      <c r="N206" s="6">
        <v>72</v>
      </c>
      <c r="O206">
        <v>0</v>
      </c>
      <c r="P206">
        <v>0</v>
      </c>
      <c r="Q206">
        <f t="shared" si="15"/>
        <v>0</v>
      </c>
      <c r="R206">
        <v>1</v>
      </c>
      <c r="S206">
        <v>3</v>
      </c>
      <c r="T206">
        <f>Table[[#This Row],[NumWebPurchases]]+Table[[#This Row],[NumStorePurchases]]</f>
        <v>4</v>
      </c>
    </row>
    <row r="207" spans="1:20" ht="12.5">
      <c r="A207" s="6">
        <v>205</v>
      </c>
      <c r="B207" s="6">
        <v>624</v>
      </c>
      <c r="C207" s="6">
        <v>1984</v>
      </c>
      <c r="D207" s="6">
        <f t="shared" si="12"/>
        <v>41</v>
      </c>
      <c r="E207" s="7" t="s">
        <v>14</v>
      </c>
      <c r="F207" s="7" t="s">
        <v>10</v>
      </c>
      <c r="G207" s="6">
        <v>18890</v>
      </c>
      <c r="H207" s="6" t="str" cm="1">
        <f t="array" ref="H207">_xlfn.IFS(
  G207 &lt; 25000, "Low",
  AND(G207 &gt;= 25000, G207 &lt; 75000), "Medium",
  AND(G207 &gt;= 75000, G207 &lt; 150000), "High",
  G207 &gt;= 150000, "Very High"
)</f>
        <v>Low</v>
      </c>
      <c r="I207" s="6">
        <v>0</v>
      </c>
      <c r="J207" s="6">
        <v>0</v>
      </c>
      <c r="K207" s="6">
        <f t="shared" si="13"/>
        <v>0</v>
      </c>
      <c r="L207" s="9">
        <v>41223</v>
      </c>
      <c r="M207" t="str">
        <f t="shared" ca="1" si="14"/>
        <v>13 years, 3 months</v>
      </c>
      <c r="N207" s="6">
        <v>5</v>
      </c>
      <c r="O207">
        <v>4</v>
      </c>
      <c r="P207">
        <v>2</v>
      </c>
      <c r="Q207">
        <f t="shared" si="15"/>
        <v>6</v>
      </c>
      <c r="R207">
        <v>0</v>
      </c>
      <c r="S207">
        <v>2</v>
      </c>
      <c r="T207">
        <f>Table[[#This Row],[NumWebPurchases]]+Table[[#This Row],[NumStorePurchases]]</f>
        <v>2</v>
      </c>
    </row>
    <row r="208" spans="1:20" ht="12.5">
      <c r="A208" s="6">
        <v>206</v>
      </c>
      <c r="B208" s="6">
        <v>5176</v>
      </c>
      <c r="C208" s="6">
        <v>1988</v>
      </c>
      <c r="D208" s="6">
        <f t="shared" si="12"/>
        <v>37</v>
      </c>
      <c r="E208" s="7" t="s">
        <v>9</v>
      </c>
      <c r="F208" s="7" t="s">
        <v>11</v>
      </c>
      <c r="G208" s="6">
        <v>29604</v>
      </c>
      <c r="H208" s="6" t="str" cm="1">
        <f t="array" ref="H208">_xlfn.IFS(
  G208 &lt; 25000, "Low",
  AND(G208 &gt;= 25000, G208 &lt; 75000), "Medium",
  AND(G208 &gt;= 75000, G208 &lt; 150000), "High",
  G208 &gt;= 150000, "Very High"
)</f>
        <v>Medium</v>
      </c>
      <c r="I208" s="6">
        <v>1</v>
      </c>
      <c r="J208" s="6">
        <v>0</v>
      </c>
      <c r="K208" s="6">
        <f t="shared" si="13"/>
        <v>1</v>
      </c>
      <c r="L208" s="8">
        <v>41616</v>
      </c>
      <c r="M208" t="str">
        <f t="shared" ca="1" si="14"/>
        <v>12 years, 2 months</v>
      </c>
      <c r="N208" s="6">
        <v>88</v>
      </c>
      <c r="O208">
        <v>6</v>
      </c>
      <c r="P208">
        <v>6</v>
      </c>
      <c r="Q208">
        <f t="shared" si="15"/>
        <v>12</v>
      </c>
      <c r="R208">
        <v>1</v>
      </c>
      <c r="S208">
        <v>3</v>
      </c>
      <c r="T208">
        <f>Table[[#This Row],[NumWebPurchases]]+Table[[#This Row],[NumStorePurchases]]</f>
        <v>4</v>
      </c>
    </row>
    <row r="209" spans="1:20" ht="12.5">
      <c r="A209" s="6">
        <v>207</v>
      </c>
      <c r="B209" s="6">
        <v>5552</v>
      </c>
      <c r="C209" s="6">
        <v>1963</v>
      </c>
      <c r="D209" s="6">
        <f t="shared" si="12"/>
        <v>62</v>
      </c>
      <c r="E209" s="7" t="s">
        <v>14</v>
      </c>
      <c r="F209" s="7" t="s">
        <v>15</v>
      </c>
      <c r="G209" s="6">
        <v>48721</v>
      </c>
      <c r="H209" s="6" t="str" cm="1">
        <f t="array" ref="H209">_xlfn.IFS(
  G209 &lt; 25000, "Low",
  AND(G209 &gt;= 25000, G209 &lt; 75000), "Medium",
  AND(G209 &gt;= 75000, G209 &lt; 150000), "High",
  G209 &gt;= 150000, "Very High"
)</f>
        <v>Medium</v>
      </c>
      <c r="I209" s="6">
        <v>1</v>
      </c>
      <c r="J209" s="6">
        <v>1</v>
      </c>
      <c r="K209" s="6">
        <f t="shared" si="13"/>
        <v>2</v>
      </c>
      <c r="L209" s="8">
        <v>41407</v>
      </c>
      <c r="M209" t="str">
        <f t="shared" ca="1" si="14"/>
        <v>12 years, 9 months</v>
      </c>
      <c r="N209" s="6">
        <v>50</v>
      </c>
      <c r="O209">
        <v>18</v>
      </c>
      <c r="P209">
        <v>13</v>
      </c>
      <c r="Q209">
        <f t="shared" si="15"/>
        <v>31</v>
      </c>
      <c r="R209">
        <v>4</v>
      </c>
      <c r="S209">
        <v>5</v>
      </c>
      <c r="T209">
        <f>Table[[#This Row],[NumWebPurchases]]+Table[[#This Row],[NumStorePurchases]]</f>
        <v>9</v>
      </c>
    </row>
    <row r="210" spans="1:20" ht="12.5">
      <c r="A210" s="6">
        <v>208</v>
      </c>
      <c r="B210" s="6">
        <v>868</v>
      </c>
      <c r="C210" s="6">
        <v>1966</v>
      </c>
      <c r="D210" s="6">
        <f t="shared" si="12"/>
        <v>59</v>
      </c>
      <c r="E210" s="7" t="s">
        <v>9</v>
      </c>
      <c r="F210" s="7" t="s">
        <v>13</v>
      </c>
      <c r="G210" s="6">
        <v>44794</v>
      </c>
      <c r="H210" s="6" t="str" cm="1">
        <f t="array" ref="H210">_xlfn.IFS(
  G210 &lt; 25000, "Low",
  AND(G210 &gt;= 25000, G210 &lt; 75000), "Medium",
  AND(G210 &gt;= 75000, G210 &lt; 150000), "High",
  G210 &gt;= 150000, "Very High"
)</f>
        <v>Medium</v>
      </c>
      <c r="I210" s="6">
        <v>0</v>
      </c>
      <c r="J210" s="6">
        <v>1</v>
      </c>
      <c r="K210" s="6">
        <f t="shared" si="13"/>
        <v>1</v>
      </c>
      <c r="L210" s="8">
        <v>41798</v>
      </c>
      <c r="M210" t="str">
        <f t="shared" ca="1" si="14"/>
        <v>11 years, 8 months</v>
      </c>
      <c r="N210" s="6">
        <v>99</v>
      </c>
      <c r="O210">
        <v>0</v>
      </c>
      <c r="P210">
        <v>0</v>
      </c>
      <c r="Q210">
        <f t="shared" si="15"/>
        <v>0</v>
      </c>
      <c r="R210">
        <v>2</v>
      </c>
      <c r="S210">
        <v>3</v>
      </c>
      <c r="T210">
        <f>Table[[#This Row],[NumWebPurchases]]+Table[[#This Row],[NumStorePurchases]]</f>
        <v>5</v>
      </c>
    </row>
    <row r="211" spans="1:20" ht="12.5">
      <c r="A211" s="6">
        <v>209</v>
      </c>
      <c r="B211" s="6">
        <v>380</v>
      </c>
      <c r="C211" s="6">
        <v>1954</v>
      </c>
      <c r="D211" s="6">
        <f t="shared" si="12"/>
        <v>71</v>
      </c>
      <c r="E211" s="7" t="s">
        <v>9</v>
      </c>
      <c r="F211" s="7" t="s">
        <v>15</v>
      </c>
      <c r="G211" s="6">
        <v>64497</v>
      </c>
      <c r="H211" s="6" t="str" cm="1">
        <f t="array" ref="H211">_xlfn.IFS(
  G211 &lt; 25000, "Low",
  AND(G211 &gt;= 25000, G211 &lt; 75000), "Medium",
  AND(G211 &gt;= 75000, G211 &lt; 150000), "High",
  G211 &gt;= 150000, "Very High"
)</f>
        <v>Medium</v>
      </c>
      <c r="I211" s="6">
        <v>0</v>
      </c>
      <c r="J211" s="6">
        <v>1</v>
      </c>
      <c r="K211" s="6">
        <f t="shared" si="13"/>
        <v>1</v>
      </c>
      <c r="L211" s="8">
        <v>41162</v>
      </c>
      <c r="M211" t="str">
        <f t="shared" ca="1" si="14"/>
        <v>13 years, 5 months</v>
      </c>
      <c r="N211" s="6">
        <v>17</v>
      </c>
      <c r="O211">
        <v>48</v>
      </c>
      <c r="P211">
        <v>32</v>
      </c>
      <c r="Q211">
        <f t="shared" si="15"/>
        <v>80</v>
      </c>
      <c r="R211">
        <v>11</v>
      </c>
      <c r="S211">
        <v>9</v>
      </c>
      <c r="T211">
        <f>Table[[#This Row],[NumWebPurchases]]+Table[[#This Row],[NumStorePurchases]]</f>
        <v>20</v>
      </c>
    </row>
    <row r="212" spans="1:20" ht="12.5">
      <c r="A212" s="6">
        <v>210</v>
      </c>
      <c r="B212" s="6">
        <v>2677</v>
      </c>
      <c r="C212" s="6">
        <v>1956</v>
      </c>
      <c r="D212" s="6">
        <f t="shared" si="12"/>
        <v>69</v>
      </c>
      <c r="E212" s="7" t="s">
        <v>9</v>
      </c>
      <c r="F212" s="7" t="s">
        <v>11</v>
      </c>
      <c r="G212" s="6">
        <v>46097</v>
      </c>
      <c r="H212" s="6" t="str" cm="1">
        <f t="array" ref="H212">_xlfn.IFS(
  G212 &lt; 25000, "Low",
  AND(G212 &gt;= 25000, G212 &lt; 75000), "Medium",
  AND(G212 &gt;= 75000, G212 &lt; 150000), "High",
  G212 &gt;= 150000, "Very High"
)</f>
        <v>Medium</v>
      </c>
      <c r="I212" s="6">
        <v>0</v>
      </c>
      <c r="J212" s="6">
        <v>1</v>
      </c>
      <c r="K212" s="6">
        <f t="shared" si="13"/>
        <v>1</v>
      </c>
      <c r="L212" s="8">
        <v>41364</v>
      </c>
      <c r="M212" t="str">
        <f t="shared" ca="1" si="14"/>
        <v>12 years, 11 months</v>
      </c>
      <c r="N212" s="6">
        <v>11</v>
      </c>
      <c r="O212">
        <v>24</v>
      </c>
      <c r="P212">
        <v>4</v>
      </c>
      <c r="Q212">
        <f t="shared" si="15"/>
        <v>28</v>
      </c>
      <c r="R212">
        <v>3</v>
      </c>
      <c r="S212">
        <v>6</v>
      </c>
      <c r="T212">
        <f>Table[[#This Row],[NumWebPurchases]]+Table[[#This Row],[NumStorePurchases]]</f>
        <v>9</v>
      </c>
    </row>
    <row r="213" spans="1:20" ht="12.5">
      <c r="A213" s="6">
        <v>211</v>
      </c>
      <c r="B213" s="6">
        <v>6521</v>
      </c>
      <c r="C213" s="6">
        <v>1954</v>
      </c>
      <c r="D213" s="6">
        <f t="shared" si="12"/>
        <v>71</v>
      </c>
      <c r="E213" s="7" t="s">
        <v>9</v>
      </c>
      <c r="F213" s="7" t="s">
        <v>11</v>
      </c>
      <c r="G213" s="6">
        <v>77972</v>
      </c>
      <c r="H213" s="6" t="str" cm="1">
        <f t="array" ref="H213">_xlfn.IFS(
  G213 &lt; 25000, "Low",
  AND(G213 &gt;= 25000, G213 &lt; 75000), "Medium",
  AND(G213 &gt;= 75000, G213 &lt; 150000), "High",
  G213 &gt;= 150000, "Very High"
)</f>
        <v>High</v>
      </c>
      <c r="I213" s="6">
        <v>0</v>
      </c>
      <c r="J213" s="6">
        <v>0</v>
      </c>
      <c r="K213" s="6">
        <f t="shared" si="13"/>
        <v>0</v>
      </c>
      <c r="L213" s="8">
        <v>41716</v>
      </c>
      <c r="M213" t="str">
        <f t="shared" ca="1" si="14"/>
        <v>11 years, 11 months</v>
      </c>
      <c r="N213" s="6">
        <v>18</v>
      </c>
      <c r="O213">
        <v>22</v>
      </c>
      <c r="P213">
        <v>102</v>
      </c>
      <c r="Q213">
        <f t="shared" si="15"/>
        <v>124</v>
      </c>
      <c r="R213">
        <v>4</v>
      </c>
      <c r="S213">
        <v>9</v>
      </c>
      <c r="T213">
        <f>Table[[#This Row],[NumWebPurchases]]+Table[[#This Row],[NumStorePurchases]]</f>
        <v>13</v>
      </c>
    </row>
    <row r="214" spans="1:20" ht="12.5">
      <c r="A214" s="6">
        <v>212</v>
      </c>
      <c r="B214" s="6">
        <v>6927</v>
      </c>
      <c r="C214" s="6">
        <v>1968</v>
      </c>
      <c r="D214" s="6">
        <f t="shared" si="12"/>
        <v>57</v>
      </c>
      <c r="E214" s="7" t="s">
        <v>12</v>
      </c>
      <c r="F214" s="7" t="s">
        <v>13</v>
      </c>
      <c r="G214" s="6">
        <v>44377</v>
      </c>
      <c r="H214" s="6" t="str" cm="1">
        <f t="array" ref="H214">_xlfn.IFS(
  G214 &lt; 25000, "Low",
  AND(G214 &gt;= 25000, G214 &lt; 75000), "Medium",
  AND(G214 &gt;= 75000, G214 &lt; 150000), "High",
  G214 &gt;= 150000, "Very High"
)</f>
        <v>Medium</v>
      </c>
      <c r="I214" s="6">
        <v>1</v>
      </c>
      <c r="J214" s="6">
        <v>1</v>
      </c>
      <c r="K214" s="6">
        <f t="shared" si="13"/>
        <v>2</v>
      </c>
      <c r="L214" s="8">
        <v>41187</v>
      </c>
      <c r="M214" t="str">
        <f t="shared" ca="1" si="14"/>
        <v>13 years, 5 months</v>
      </c>
      <c r="N214" s="6">
        <v>70</v>
      </c>
      <c r="O214">
        <v>0</v>
      </c>
      <c r="P214">
        <v>0</v>
      </c>
      <c r="Q214">
        <f t="shared" si="15"/>
        <v>0</v>
      </c>
      <c r="R214">
        <v>5</v>
      </c>
      <c r="S214">
        <v>5</v>
      </c>
      <c r="T214">
        <f>Table[[#This Row],[NumWebPurchases]]+Table[[#This Row],[NumStorePurchases]]</f>
        <v>10</v>
      </c>
    </row>
    <row r="215" spans="1:20" ht="12.5">
      <c r="A215" s="6">
        <v>213</v>
      </c>
      <c r="B215" s="6">
        <v>2877</v>
      </c>
      <c r="C215" s="6">
        <v>1974</v>
      </c>
      <c r="D215" s="6">
        <f t="shared" si="12"/>
        <v>51</v>
      </c>
      <c r="E215" s="7" t="s">
        <v>14</v>
      </c>
      <c r="F215" s="7" t="s">
        <v>11</v>
      </c>
      <c r="G215" s="6">
        <v>46014</v>
      </c>
      <c r="H215" s="6" t="str" cm="1">
        <f t="array" ref="H215">_xlfn.IFS(
  G215 &lt; 25000, "Low",
  AND(G215 &gt;= 25000, G215 &lt; 75000), "Medium",
  AND(G215 &gt;= 75000, G215 &lt; 150000), "High",
  G215 &gt;= 150000, "Very High"
)</f>
        <v>Medium</v>
      </c>
      <c r="I215" s="6">
        <v>1</v>
      </c>
      <c r="J215" s="6">
        <v>1</v>
      </c>
      <c r="K215" s="6">
        <f t="shared" si="13"/>
        <v>2</v>
      </c>
      <c r="L215" s="8">
        <v>41295</v>
      </c>
      <c r="M215" t="str">
        <f t="shared" ca="1" si="14"/>
        <v>13 years, 1 months</v>
      </c>
      <c r="N215" s="6">
        <v>21</v>
      </c>
      <c r="O215">
        <v>0</v>
      </c>
      <c r="P215">
        <v>9</v>
      </c>
      <c r="Q215">
        <f t="shared" si="15"/>
        <v>9</v>
      </c>
      <c r="R215">
        <v>7</v>
      </c>
      <c r="S215">
        <v>8</v>
      </c>
      <c r="T215">
        <f>Table[[#This Row],[NumWebPurchases]]+Table[[#This Row],[NumStorePurchases]]</f>
        <v>15</v>
      </c>
    </row>
    <row r="216" spans="1:20" ht="12.5">
      <c r="A216" s="6">
        <v>214</v>
      </c>
      <c r="B216" s="6">
        <v>0</v>
      </c>
      <c r="C216" s="6">
        <v>1985</v>
      </c>
      <c r="D216" s="6">
        <f t="shared" si="12"/>
        <v>40</v>
      </c>
      <c r="E216" s="7" t="s">
        <v>9</v>
      </c>
      <c r="F216" s="7" t="s">
        <v>13</v>
      </c>
      <c r="G216" s="6">
        <v>70951</v>
      </c>
      <c r="H216" s="6" t="str" cm="1">
        <f t="array" ref="H216">_xlfn.IFS(
  G216 &lt; 25000, "Low",
  AND(G216 &gt;= 25000, G216 &lt; 75000), "Medium",
  AND(G216 &gt;= 75000, G216 &lt; 150000), "High",
  G216 &gt;= 150000, "Very High"
)</f>
        <v>Medium</v>
      </c>
      <c r="I216" s="6">
        <v>0</v>
      </c>
      <c r="J216" s="6">
        <v>0</v>
      </c>
      <c r="K216" s="6">
        <f t="shared" si="13"/>
        <v>0</v>
      </c>
      <c r="L216" s="8">
        <v>41398</v>
      </c>
      <c r="M216" t="str">
        <f t="shared" ca="1" si="14"/>
        <v>12 years, 10 months</v>
      </c>
      <c r="N216" s="6">
        <v>66</v>
      </c>
      <c r="O216">
        <v>10</v>
      </c>
      <c r="P216">
        <v>87</v>
      </c>
      <c r="Q216">
        <f t="shared" si="15"/>
        <v>97</v>
      </c>
      <c r="R216">
        <v>3</v>
      </c>
      <c r="S216">
        <v>9</v>
      </c>
      <c r="T216">
        <f>Table[[#This Row],[NumWebPurchases]]+Table[[#This Row],[NumStorePurchases]]</f>
        <v>12</v>
      </c>
    </row>
    <row r="217" spans="1:20" ht="12.5">
      <c r="A217" s="6">
        <v>215</v>
      </c>
      <c r="B217" s="6">
        <v>1584</v>
      </c>
      <c r="C217" s="6">
        <v>1977</v>
      </c>
      <c r="D217" s="6">
        <f t="shared" si="12"/>
        <v>48</v>
      </c>
      <c r="E217" s="7" t="s">
        <v>9</v>
      </c>
      <c r="F217" s="7" t="s">
        <v>13</v>
      </c>
      <c r="G217" s="6">
        <v>41443</v>
      </c>
      <c r="H217" s="6" t="str" cm="1">
        <f t="array" ref="H217">_xlfn.IFS(
  G217 &lt; 25000, "Low",
  AND(G217 &gt;= 25000, G217 &lt; 75000), "Medium",
  AND(G217 &gt;= 75000, G217 &lt; 150000), "High",
  G217 &gt;= 150000, "Very High"
)</f>
        <v>Medium</v>
      </c>
      <c r="I217" s="6">
        <v>1</v>
      </c>
      <c r="J217" s="6">
        <v>0</v>
      </c>
      <c r="K217" s="6">
        <f t="shared" si="13"/>
        <v>1</v>
      </c>
      <c r="L217" s="8">
        <v>41730</v>
      </c>
      <c r="M217" t="str">
        <f t="shared" ca="1" si="14"/>
        <v>11 years, 11 months</v>
      </c>
      <c r="N217" s="6">
        <v>79</v>
      </c>
      <c r="O217">
        <v>7</v>
      </c>
      <c r="P217">
        <v>19</v>
      </c>
      <c r="Q217">
        <f t="shared" si="15"/>
        <v>26</v>
      </c>
      <c r="R217">
        <v>8</v>
      </c>
      <c r="S217">
        <v>5</v>
      </c>
      <c r="T217">
        <f>Table[[#This Row],[NumWebPurchases]]+Table[[#This Row],[NumStorePurchases]]</f>
        <v>13</v>
      </c>
    </row>
    <row r="218" spans="1:20" ht="12.5">
      <c r="A218" s="6">
        <v>216</v>
      </c>
      <c r="B218" s="6">
        <v>7264</v>
      </c>
      <c r="C218" s="6">
        <v>1978</v>
      </c>
      <c r="D218" s="6">
        <f t="shared" si="12"/>
        <v>47</v>
      </c>
      <c r="E218" s="7" t="s">
        <v>17</v>
      </c>
      <c r="F218" s="7" t="s">
        <v>10</v>
      </c>
      <c r="G218" s="6">
        <v>52195</v>
      </c>
      <c r="H218" s="6" t="str" cm="1">
        <f t="array" ref="H218">_xlfn.IFS(
  G218 &lt; 25000, "Low",
  AND(G218 &gt;= 25000, G218 &lt; 75000), "Medium",
  AND(G218 &gt;= 75000, G218 &lt; 150000), "High",
  G218 &gt;= 150000, "Very High"
)</f>
        <v>Medium</v>
      </c>
      <c r="I218" s="6">
        <v>2</v>
      </c>
      <c r="J218" s="6">
        <v>1</v>
      </c>
      <c r="K218" s="6">
        <f t="shared" si="13"/>
        <v>3</v>
      </c>
      <c r="L218" s="8">
        <v>41771</v>
      </c>
      <c r="M218" t="str">
        <f t="shared" ca="1" si="14"/>
        <v>11 years, 9 months</v>
      </c>
      <c r="N218" s="6">
        <v>2</v>
      </c>
      <c r="O218">
        <v>0</v>
      </c>
      <c r="P218">
        <v>0</v>
      </c>
      <c r="Q218">
        <f t="shared" si="15"/>
        <v>0</v>
      </c>
      <c r="R218">
        <v>1</v>
      </c>
      <c r="S218">
        <v>2</v>
      </c>
      <c r="T218">
        <f>Table[[#This Row],[NumWebPurchases]]+Table[[#This Row],[NumStorePurchases]]</f>
        <v>3</v>
      </c>
    </row>
    <row r="219" spans="1:20" ht="12.5">
      <c r="A219" s="6">
        <v>217</v>
      </c>
      <c r="B219" s="6">
        <v>6274</v>
      </c>
      <c r="C219" s="6">
        <v>1948</v>
      </c>
      <c r="D219" s="6">
        <f t="shared" si="12"/>
        <v>77</v>
      </c>
      <c r="E219" s="7" t="s">
        <v>14</v>
      </c>
      <c r="F219" s="7" t="s">
        <v>13</v>
      </c>
      <c r="G219" s="6">
        <v>83790</v>
      </c>
      <c r="H219" s="6" t="str" cm="1">
        <f t="array" ref="H219">_xlfn.IFS(
  G219 &lt; 25000, "Low",
  AND(G219 &gt;= 25000, G219 &lt; 75000), "Medium",
  AND(G219 &gt;= 75000, G219 &lt; 150000), "High",
  G219 &gt;= 150000, "Very High"
)</f>
        <v>High</v>
      </c>
      <c r="I219" s="6">
        <v>0</v>
      </c>
      <c r="J219" s="6">
        <v>0</v>
      </c>
      <c r="K219" s="6">
        <f t="shared" si="13"/>
        <v>0</v>
      </c>
      <c r="L219" s="9">
        <v>41593</v>
      </c>
      <c r="M219" t="str">
        <f t="shared" ca="1" si="14"/>
        <v>12 years, 3 months</v>
      </c>
      <c r="N219" s="6">
        <v>81</v>
      </c>
      <c r="O219">
        <v>16</v>
      </c>
      <c r="P219">
        <v>48</v>
      </c>
      <c r="Q219">
        <f t="shared" si="15"/>
        <v>64</v>
      </c>
      <c r="R219">
        <v>8</v>
      </c>
      <c r="S219">
        <v>6</v>
      </c>
      <c r="T219">
        <f>Table[[#This Row],[NumWebPurchases]]+Table[[#This Row],[NumStorePurchases]]</f>
        <v>14</v>
      </c>
    </row>
    <row r="220" spans="1:20" ht="12.5">
      <c r="A220" s="6">
        <v>218</v>
      </c>
      <c r="B220" s="6">
        <v>1377</v>
      </c>
      <c r="C220" s="6">
        <v>1954</v>
      </c>
      <c r="D220" s="6">
        <f t="shared" si="12"/>
        <v>71</v>
      </c>
      <c r="E220" s="7" t="s">
        <v>14</v>
      </c>
      <c r="F220" s="7" t="s">
        <v>18</v>
      </c>
      <c r="G220" s="6">
        <v>44551</v>
      </c>
      <c r="H220" s="6" t="str" cm="1">
        <f t="array" ref="H220">_xlfn.IFS(
  G220 &lt; 25000, "Low",
  AND(G220 &gt;= 25000, G220 &lt; 75000), "Medium",
  AND(G220 &gt;= 75000, G220 &lt; 150000), "High",
  G220 &gt;= 150000, "Very High"
)</f>
        <v>Medium</v>
      </c>
      <c r="I220" s="6">
        <v>0</v>
      </c>
      <c r="J220" s="6">
        <v>1</v>
      </c>
      <c r="K220" s="6">
        <f t="shared" si="13"/>
        <v>1</v>
      </c>
      <c r="L220" s="8">
        <v>41517</v>
      </c>
      <c r="M220" t="str">
        <f t="shared" ca="1" si="14"/>
        <v>12 years, 6 months</v>
      </c>
      <c r="N220" s="6">
        <v>24</v>
      </c>
      <c r="O220">
        <v>4</v>
      </c>
      <c r="P220">
        <v>0</v>
      </c>
      <c r="Q220">
        <f t="shared" si="15"/>
        <v>4</v>
      </c>
      <c r="R220">
        <v>4</v>
      </c>
      <c r="S220">
        <v>5</v>
      </c>
      <c r="T220">
        <f>Table[[#This Row],[NumWebPurchases]]+Table[[#This Row],[NumStorePurchases]]</f>
        <v>9</v>
      </c>
    </row>
    <row r="221" spans="1:20" ht="12.5">
      <c r="A221" s="6">
        <v>219</v>
      </c>
      <c r="B221" s="6">
        <v>454</v>
      </c>
      <c r="C221" s="6">
        <v>1980</v>
      </c>
      <c r="D221" s="6">
        <f t="shared" si="12"/>
        <v>45</v>
      </c>
      <c r="E221" s="7" t="s">
        <v>9</v>
      </c>
      <c r="F221" s="7" t="s">
        <v>11</v>
      </c>
      <c r="G221" s="6">
        <v>69508</v>
      </c>
      <c r="H221" s="6" t="str" cm="1">
        <f t="array" ref="H221">_xlfn.IFS(
  G221 &lt; 25000, "Low",
  AND(G221 &gt;= 25000, G221 &lt; 75000), "Medium",
  AND(G221 &gt;= 75000, G221 &lt; 150000), "High",
  G221 &gt;= 150000, "Very High"
)</f>
        <v>Medium</v>
      </c>
      <c r="I221" s="6">
        <v>1</v>
      </c>
      <c r="J221" s="6">
        <v>0</v>
      </c>
      <c r="K221" s="6">
        <f t="shared" si="13"/>
        <v>1</v>
      </c>
      <c r="L221" s="9">
        <v>41227</v>
      </c>
      <c r="M221" t="str">
        <f t="shared" ca="1" si="14"/>
        <v>13 years, 3 months</v>
      </c>
      <c r="N221" s="6">
        <v>48</v>
      </c>
      <c r="O221">
        <v>32</v>
      </c>
      <c r="P221">
        <v>32</v>
      </c>
      <c r="Q221">
        <f t="shared" si="15"/>
        <v>64</v>
      </c>
      <c r="R221">
        <v>11</v>
      </c>
      <c r="S221">
        <v>11</v>
      </c>
      <c r="T221">
        <f>Table[[#This Row],[NumWebPurchases]]+Table[[#This Row],[NumStorePurchases]]</f>
        <v>22</v>
      </c>
    </row>
    <row r="222" spans="1:20" ht="12.5">
      <c r="A222" s="6">
        <v>220</v>
      </c>
      <c r="B222" s="6">
        <v>1755</v>
      </c>
      <c r="C222" s="6">
        <v>1988</v>
      </c>
      <c r="D222" s="6">
        <f t="shared" si="12"/>
        <v>37</v>
      </c>
      <c r="E222" s="7" t="s">
        <v>17</v>
      </c>
      <c r="F222" s="7" t="s">
        <v>11</v>
      </c>
      <c r="G222" s="6">
        <v>45204</v>
      </c>
      <c r="H222" s="6" t="str" cm="1">
        <f t="array" ref="H222">_xlfn.IFS(
  G222 &lt; 25000, "Low",
  AND(G222 &gt;= 25000, G222 &lt; 75000), "Medium",
  AND(G222 &gt;= 75000, G222 &lt; 150000), "High",
  G222 &gt;= 150000, "Very High"
)</f>
        <v>Medium</v>
      </c>
      <c r="I222" s="6">
        <v>1</v>
      </c>
      <c r="J222" s="6">
        <v>0</v>
      </c>
      <c r="K222" s="6">
        <f t="shared" si="13"/>
        <v>1</v>
      </c>
      <c r="L222" s="8">
        <v>41740</v>
      </c>
      <c r="M222" t="str">
        <f t="shared" ca="1" si="14"/>
        <v>11 years, 10 months</v>
      </c>
      <c r="N222" s="6">
        <v>93</v>
      </c>
      <c r="O222">
        <v>11</v>
      </c>
      <c r="P222">
        <v>1</v>
      </c>
      <c r="Q222">
        <f t="shared" si="15"/>
        <v>12</v>
      </c>
      <c r="R222">
        <v>1</v>
      </c>
      <c r="S222">
        <v>4</v>
      </c>
      <c r="T222">
        <f>Table[[#This Row],[NumWebPurchases]]+Table[[#This Row],[NumStorePurchases]]</f>
        <v>5</v>
      </c>
    </row>
    <row r="223" spans="1:20" ht="12.5">
      <c r="A223" s="6">
        <v>221</v>
      </c>
      <c r="B223" s="6">
        <v>2075</v>
      </c>
      <c r="C223" s="6">
        <v>1969</v>
      </c>
      <c r="D223" s="6">
        <f t="shared" si="12"/>
        <v>56</v>
      </c>
      <c r="E223" s="7" t="s">
        <v>9</v>
      </c>
      <c r="F223" s="7" t="s">
        <v>13</v>
      </c>
      <c r="G223" s="6">
        <v>72460</v>
      </c>
      <c r="H223" s="6" t="str" cm="1">
        <f t="array" ref="H223">_xlfn.IFS(
  G223 &lt; 25000, "Low",
  AND(G223 &gt;= 25000, G223 &lt; 75000), "Medium",
  AND(G223 &gt;= 75000, G223 &lt; 150000), "High",
  G223 &gt;= 150000, "Very High"
)</f>
        <v>Medium</v>
      </c>
      <c r="I223" s="6">
        <v>0</v>
      </c>
      <c r="J223" s="6">
        <v>0</v>
      </c>
      <c r="K223" s="6">
        <f t="shared" si="13"/>
        <v>0</v>
      </c>
      <c r="L223" s="9">
        <v>41592</v>
      </c>
      <c r="M223" t="str">
        <f t="shared" ca="1" si="14"/>
        <v>12 years, 3 months</v>
      </c>
      <c r="N223" s="6">
        <v>56</v>
      </c>
      <c r="O223">
        <v>10</v>
      </c>
      <c r="P223">
        <v>30</v>
      </c>
      <c r="Q223">
        <f t="shared" si="15"/>
        <v>40</v>
      </c>
      <c r="R223">
        <v>3</v>
      </c>
      <c r="S223">
        <v>7</v>
      </c>
      <c r="T223">
        <f>Table[[#This Row],[NumWebPurchases]]+Table[[#This Row],[NumStorePurchases]]</f>
        <v>10</v>
      </c>
    </row>
    <row r="224" spans="1:20" ht="12.5">
      <c r="A224" s="6">
        <v>222</v>
      </c>
      <c r="B224" s="6">
        <v>4785</v>
      </c>
      <c r="C224" s="6">
        <v>1970</v>
      </c>
      <c r="D224" s="6">
        <f t="shared" si="12"/>
        <v>55</v>
      </c>
      <c r="E224" s="7" t="s">
        <v>12</v>
      </c>
      <c r="F224" s="7" t="s">
        <v>11</v>
      </c>
      <c r="G224" s="6">
        <v>77622</v>
      </c>
      <c r="H224" s="6" t="str" cm="1">
        <f t="array" ref="H224">_xlfn.IFS(
  G224 &lt; 25000, "Low",
  AND(G224 &gt;= 25000, G224 &lt; 75000), "Medium",
  AND(G224 &gt;= 75000, G224 &lt; 150000), "High",
  G224 &gt;= 150000, "Very High"
)</f>
        <v>High</v>
      </c>
      <c r="I224" s="6">
        <v>0</v>
      </c>
      <c r="J224" s="6">
        <v>2</v>
      </c>
      <c r="K224" s="6">
        <f t="shared" si="13"/>
        <v>2</v>
      </c>
      <c r="L224" s="8">
        <v>41743</v>
      </c>
      <c r="M224" t="str">
        <f t="shared" ca="1" si="14"/>
        <v>11 years, 10 months</v>
      </c>
      <c r="N224" s="6">
        <v>3</v>
      </c>
      <c r="O224">
        <v>7</v>
      </c>
      <c r="P224">
        <v>0</v>
      </c>
      <c r="Q224">
        <f t="shared" si="15"/>
        <v>7</v>
      </c>
      <c r="R224">
        <v>6</v>
      </c>
      <c r="S224">
        <v>11</v>
      </c>
      <c r="T224">
        <f>Table[[#This Row],[NumWebPurchases]]+Table[[#This Row],[NumStorePurchases]]</f>
        <v>17</v>
      </c>
    </row>
    <row r="225" spans="1:20" ht="12.5">
      <c r="A225" s="6">
        <v>223</v>
      </c>
      <c r="B225" s="6">
        <v>9076</v>
      </c>
      <c r="C225" s="6">
        <v>1980</v>
      </c>
      <c r="D225" s="6">
        <f t="shared" si="12"/>
        <v>45</v>
      </c>
      <c r="E225" s="7" t="s">
        <v>12</v>
      </c>
      <c r="F225" s="7" t="s">
        <v>13</v>
      </c>
      <c r="G225" s="6">
        <v>30732</v>
      </c>
      <c r="H225" s="6" t="str" cm="1">
        <f t="array" ref="H225">_xlfn.IFS(
  G225 &lt; 25000, "Low",
  AND(G225 &gt;= 25000, G225 &lt; 75000), "Medium",
  AND(G225 &gt;= 75000, G225 &lt; 150000), "High",
  G225 &gt;= 150000, "Very High"
)</f>
        <v>Medium</v>
      </c>
      <c r="I225" s="6">
        <v>1</v>
      </c>
      <c r="J225" s="6">
        <v>0</v>
      </c>
      <c r="K225" s="6">
        <f t="shared" si="13"/>
        <v>1</v>
      </c>
      <c r="L225" s="8">
        <v>41279</v>
      </c>
      <c r="M225" t="str">
        <f t="shared" ca="1" si="14"/>
        <v>13 years, 2 months</v>
      </c>
      <c r="N225" s="6">
        <v>44</v>
      </c>
      <c r="O225">
        <v>1</v>
      </c>
      <c r="P225">
        <v>1</v>
      </c>
      <c r="Q225">
        <f t="shared" si="15"/>
        <v>2</v>
      </c>
      <c r="R225">
        <v>4</v>
      </c>
      <c r="S225">
        <v>4</v>
      </c>
      <c r="T225">
        <f>Table[[#This Row],[NumWebPurchases]]+Table[[#This Row],[NumStorePurchases]]</f>
        <v>8</v>
      </c>
    </row>
    <row r="226" spans="1:20" ht="12.5">
      <c r="A226" s="6">
        <v>224</v>
      </c>
      <c r="B226" s="6">
        <v>7079</v>
      </c>
      <c r="C226" s="6">
        <v>1962</v>
      </c>
      <c r="D226" s="6">
        <f t="shared" si="12"/>
        <v>63</v>
      </c>
      <c r="E226" s="7" t="s">
        <v>9</v>
      </c>
      <c r="F226" s="7" t="s">
        <v>15</v>
      </c>
      <c r="G226" s="6">
        <v>63887</v>
      </c>
      <c r="H226" s="6" t="str" cm="1">
        <f t="array" ref="H226">_xlfn.IFS(
  G226 &lt; 25000, "Low",
  AND(G226 &gt;= 25000, G226 &lt; 75000), "Medium",
  AND(G226 &gt;= 75000, G226 &lt; 150000), "High",
  G226 &gt;= 150000, "Very High"
)</f>
        <v>Medium</v>
      </c>
      <c r="I226" s="6">
        <v>0</v>
      </c>
      <c r="J226" s="6">
        <v>1</v>
      </c>
      <c r="K226" s="6">
        <f t="shared" si="13"/>
        <v>1</v>
      </c>
      <c r="L226" s="8">
        <v>41160</v>
      </c>
      <c r="M226" t="str">
        <f t="shared" ca="1" si="14"/>
        <v>13 years, 5 months</v>
      </c>
      <c r="N226" s="6">
        <v>38</v>
      </c>
      <c r="O226">
        <v>23</v>
      </c>
      <c r="P226">
        <v>11</v>
      </c>
      <c r="Q226">
        <f t="shared" si="15"/>
        <v>34</v>
      </c>
      <c r="R226">
        <v>9</v>
      </c>
      <c r="S226">
        <v>12</v>
      </c>
      <c r="T226">
        <f>Table[[#This Row],[NumWebPurchases]]+Table[[#This Row],[NumStorePurchases]]</f>
        <v>21</v>
      </c>
    </row>
    <row r="227" spans="1:20" ht="12.5">
      <c r="A227" s="6">
        <v>225</v>
      </c>
      <c r="B227" s="6">
        <v>4653</v>
      </c>
      <c r="C227" s="6">
        <v>1978</v>
      </c>
      <c r="D227" s="6">
        <f t="shared" si="12"/>
        <v>47</v>
      </c>
      <c r="E227" s="7" t="s">
        <v>9</v>
      </c>
      <c r="F227" s="7" t="s">
        <v>11</v>
      </c>
      <c r="G227" s="6">
        <v>42011</v>
      </c>
      <c r="H227" s="6" t="str" cm="1">
        <f t="array" ref="H227">_xlfn.IFS(
  G227 &lt; 25000, "Low",
  AND(G227 &gt;= 25000, G227 &lt; 75000), "Medium",
  AND(G227 &gt;= 75000, G227 &lt; 150000), "High",
  G227 &gt;= 150000, "Very High"
)</f>
        <v>Medium</v>
      </c>
      <c r="I227" s="6">
        <v>1</v>
      </c>
      <c r="J227" s="6">
        <v>0</v>
      </c>
      <c r="K227" s="6">
        <f t="shared" si="13"/>
        <v>1</v>
      </c>
      <c r="L227" s="8">
        <v>41359</v>
      </c>
      <c r="M227" t="str">
        <f t="shared" ca="1" si="14"/>
        <v>12 years, 11 months</v>
      </c>
      <c r="N227" s="6">
        <v>46</v>
      </c>
      <c r="O227">
        <v>0</v>
      </c>
      <c r="P227">
        <v>1</v>
      </c>
      <c r="Q227">
        <f t="shared" si="15"/>
        <v>1</v>
      </c>
      <c r="R227">
        <v>3</v>
      </c>
      <c r="S227">
        <v>4</v>
      </c>
      <c r="T227">
        <f>Table[[#This Row],[NumWebPurchases]]+Table[[#This Row],[NumStorePurchases]]</f>
        <v>7</v>
      </c>
    </row>
    <row r="228" spans="1:20" ht="12.5">
      <c r="A228" s="6">
        <v>226</v>
      </c>
      <c r="B228" s="6">
        <v>7375</v>
      </c>
      <c r="C228" s="6">
        <v>1976</v>
      </c>
      <c r="D228" s="6">
        <f t="shared" si="12"/>
        <v>49</v>
      </c>
      <c r="E228" s="7" t="s">
        <v>9</v>
      </c>
      <c r="F228" s="7" t="s">
        <v>11</v>
      </c>
      <c r="G228" s="6">
        <v>51369</v>
      </c>
      <c r="H228" s="6" t="str" cm="1">
        <f t="array" ref="H228">_xlfn.IFS(
  G228 &lt; 25000, "Low",
  AND(G228 &gt;= 25000, G228 &lt; 75000), "Medium",
  AND(G228 &gt;= 75000, G228 &lt; 150000), "High",
  G228 &gt;= 150000, "Very High"
)</f>
        <v>Medium</v>
      </c>
      <c r="I228" s="6">
        <v>0</v>
      </c>
      <c r="J228" s="6">
        <v>1</v>
      </c>
      <c r="K228" s="6">
        <f t="shared" si="13"/>
        <v>1</v>
      </c>
      <c r="L228" s="9">
        <v>41207</v>
      </c>
      <c r="M228" t="str">
        <f t="shared" ca="1" si="14"/>
        <v>13 years, 4 months</v>
      </c>
      <c r="N228" s="6">
        <v>84</v>
      </c>
      <c r="O228">
        <v>7</v>
      </c>
      <c r="P228">
        <v>11</v>
      </c>
      <c r="Q228">
        <f t="shared" si="15"/>
        <v>18</v>
      </c>
      <c r="R228">
        <v>8</v>
      </c>
      <c r="S228">
        <v>4</v>
      </c>
      <c r="T228">
        <f>Table[[#This Row],[NumWebPurchases]]+Table[[#This Row],[NumStorePurchases]]</f>
        <v>12</v>
      </c>
    </row>
    <row r="229" spans="1:20" ht="12.5">
      <c r="A229" s="6">
        <v>227</v>
      </c>
      <c r="B229" s="6">
        <v>709</v>
      </c>
      <c r="C229" s="6">
        <v>1952</v>
      </c>
      <c r="D229" s="6">
        <f t="shared" si="12"/>
        <v>73</v>
      </c>
      <c r="E229" s="7" t="s">
        <v>9</v>
      </c>
      <c r="F229" s="7" t="s">
        <v>15</v>
      </c>
      <c r="G229" s="6">
        <v>51537</v>
      </c>
      <c r="H229" s="6" t="str" cm="1">
        <f t="array" ref="H229">_xlfn.IFS(
  G229 &lt; 25000, "Low",
  AND(G229 &gt;= 25000, G229 &lt; 75000), "Medium",
  AND(G229 &gt;= 75000, G229 &lt; 150000), "High",
  G229 &gt;= 150000, "Very High"
)</f>
        <v>Medium</v>
      </c>
      <c r="I229" s="6">
        <v>0</v>
      </c>
      <c r="J229" s="6">
        <v>1</v>
      </c>
      <c r="K229" s="6">
        <f t="shared" si="13"/>
        <v>1</v>
      </c>
      <c r="L229" s="8">
        <v>41252</v>
      </c>
      <c r="M229" t="str">
        <f t="shared" ca="1" si="14"/>
        <v>13 years, 2 months</v>
      </c>
      <c r="N229" s="6">
        <v>27</v>
      </c>
      <c r="O229">
        <v>20</v>
      </c>
      <c r="P229">
        <v>0</v>
      </c>
      <c r="Q229">
        <f t="shared" si="15"/>
        <v>20</v>
      </c>
      <c r="R229">
        <v>2</v>
      </c>
      <c r="S229">
        <v>11</v>
      </c>
      <c r="T229">
        <f>Table[[#This Row],[NumWebPurchases]]+Table[[#This Row],[NumStorePurchases]]</f>
        <v>13</v>
      </c>
    </row>
    <row r="230" spans="1:20" ht="12.5">
      <c r="A230" s="6">
        <v>228</v>
      </c>
      <c r="B230" s="6">
        <v>460</v>
      </c>
      <c r="C230" s="6">
        <v>1972</v>
      </c>
      <c r="D230" s="6">
        <f t="shared" si="12"/>
        <v>53</v>
      </c>
      <c r="E230" s="7" t="s">
        <v>12</v>
      </c>
      <c r="F230" s="7" t="s">
        <v>13</v>
      </c>
      <c r="G230" s="6">
        <v>79930</v>
      </c>
      <c r="H230" s="6" t="str" cm="1">
        <f t="array" ref="H230">_xlfn.IFS(
  G230 &lt; 25000, "Low",
  AND(G230 &gt;= 25000, G230 &lt; 75000), "Medium",
  AND(G230 &gt;= 75000, G230 &lt; 150000), "High",
  G230 &gt;= 150000, "Very High"
)</f>
        <v>High</v>
      </c>
      <c r="I230" s="6">
        <v>0</v>
      </c>
      <c r="J230" s="6">
        <v>0</v>
      </c>
      <c r="K230" s="6">
        <f t="shared" si="13"/>
        <v>0</v>
      </c>
      <c r="L230" s="8">
        <v>41129</v>
      </c>
      <c r="M230" t="str">
        <f t="shared" ca="1" si="14"/>
        <v>13 years, 6 months</v>
      </c>
      <c r="N230" s="6">
        <v>72</v>
      </c>
      <c r="O230">
        <v>86</v>
      </c>
      <c r="P230">
        <v>51</v>
      </c>
      <c r="Q230">
        <f t="shared" si="15"/>
        <v>137</v>
      </c>
      <c r="R230">
        <v>3</v>
      </c>
      <c r="S230">
        <v>8</v>
      </c>
      <c r="T230">
        <f>Table[[#This Row],[NumWebPurchases]]+Table[[#This Row],[NumStorePurchases]]</f>
        <v>11</v>
      </c>
    </row>
    <row r="231" spans="1:20" ht="12.5">
      <c r="A231" s="6">
        <v>229</v>
      </c>
      <c r="B231" s="6">
        <v>3726</v>
      </c>
      <c r="C231" s="6">
        <v>1986</v>
      </c>
      <c r="D231" s="6">
        <f t="shared" si="12"/>
        <v>39</v>
      </c>
      <c r="E231" s="7" t="s">
        <v>12</v>
      </c>
      <c r="F231" s="7" t="s">
        <v>11</v>
      </c>
      <c r="G231" s="6">
        <v>34320</v>
      </c>
      <c r="H231" s="6" t="str" cm="1">
        <f t="array" ref="H231">_xlfn.IFS(
  G231 &lt; 25000, "Low",
  AND(G231 &gt;= 25000, G231 &lt; 75000), "Medium",
  AND(G231 &gt;= 75000, G231 &lt; 150000), "High",
  G231 &gt;= 150000, "Very High"
)</f>
        <v>Medium</v>
      </c>
      <c r="I231" s="6">
        <v>1</v>
      </c>
      <c r="J231" s="6">
        <v>0</v>
      </c>
      <c r="K231" s="6">
        <f t="shared" si="13"/>
        <v>1</v>
      </c>
      <c r="L231" s="8">
        <v>41686</v>
      </c>
      <c r="M231" t="str">
        <f t="shared" ca="1" si="14"/>
        <v>12 years, 0 months</v>
      </c>
      <c r="N231" s="6">
        <v>66</v>
      </c>
      <c r="O231">
        <v>1</v>
      </c>
      <c r="P231">
        <v>0</v>
      </c>
      <c r="Q231">
        <f t="shared" si="15"/>
        <v>1</v>
      </c>
      <c r="R231">
        <v>1</v>
      </c>
      <c r="S231">
        <v>2</v>
      </c>
      <c r="T231">
        <f>Table[[#This Row],[NumWebPurchases]]+Table[[#This Row],[NumStorePurchases]]</f>
        <v>3</v>
      </c>
    </row>
    <row r="232" spans="1:20" ht="12.5">
      <c r="A232" s="6">
        <v>230</v>
      </c>
      <c r="B232" s="6">
        <v>6798</v>
      </c>
      <c r="C232" s="6">
        <v>1966</v>
      </c>
      <c r="D232" s="6">
        <f t="shared" si="12"/>
        <v>59</v>
      </c>
      <c r="E232" s="7" t="s">
        <v>9</v>
      </c>
      <c r="F232" s="7" t="s">
        <v>10</v>
      </c>
      <c r="G232" s="6">
        <v>37070</v>
      </c>
      <c r="H232" s="6" t="str" cm="1">
        <f t="array" ref="H232">_xlfn.IFS(
  G232 &lt; 25000, "Low",
  AND(G232 &gt;= 25000, G232 &lt; 75000), "Medium",
  AND(G232 &gt;= 75000, G232 &lt; 150000), "High",
  G232 &gt;= 150000, "Very High"
)</f>
        <v>Medium</v>
      </c>
      <c r="I232" s="6">
        <v>1</v>
      </c>
      <c r="J232" s="6">
        <v>1</v>
      </c>
      <c r="K232" s="6">
        <f t="shared" si="13"/>
        <v>2</v>
      </c>
      <c r="L232" s="8">
        <v>41353</v>
      </c>
      <c r="M232" t="str">
        <f t="shared" ca="1" si="14"/>
        <v>12 years, 11 months</v>
      </c>
      <c r="N232" s="6">
        <v>30</v>
      </c>
      <c r="O232">
        <v>7</v>
      </c>
      <c r="P232">
        <v>15</v>
      </c>
      <c r="Q232">
        <f t="shared" si="15"/>
        <v>22</v>
      </c>
      <c r="R232">
        <v>5</v>
      </c>
      <c r="S232">
        <v>8</v>
      </c>
      <c r="T232">
        <f>Table[[#This Row],[NumWebPurchases]]+Table[[#This Row],[NumStorePurchases]]</f>
        <v>13</v>
      </c>
    </row>
    <row r="233" spans="1:20" ht="12.5">
      <c r="A233" s="6">
        <v>231</v>
      </c>
      <c r="B233" s="6">
        <v>5341</v>
      </c>
      <c r="C233" s="6">
        <v>1962</v>
      </c>
      <c r="D233" s="6">
        <f t="shared" si="12"/>
        <v>63</v>
      </c>
      <c r="E233" s="7" t="s">
        <v>17</v>
      </c>
      <c r="F233" s="7" t="s">
        <v>15</v>
      </c>
      <c r="G233" s="6">
        <v>81975</v>
      </c>
      <c r="H233" s="6" t="str" cm="1">
        <f t="array" ref="H233">_xlfn.IFS(
  G233 &lt; 25000, "Low",
  AND(G233 &gt;= 25000, G233 &lt; 75000), "Medium",
  AND(G233 &gt;= 75000, G233 &lt; 150000), "High",
  G233 &gt;= 150000, "Very High"
)</f>
        <v>High</v>
      </c>
      <c r="I233" s="6">
        <v>0</v>
      </c>
      <c r="J233" s="6">
        <v>1</v>
      </c>
      <c r="K233" s="6">
        <f t="shared" si="13"/>
        <v>1</v>
      </c>
      <c r="L233" s="8">
        <v>41279</v>
      </c>
      <c r="M233" t="str">
        <f t="shared" ca="1" si="14"/>
        <v>13 years, 2 months</v>
      </c>
      <c r="N233" s="6">
        <v>2</v>
      </c>
      <c r="O233">
        <v>76</v>
      </c>
      <c r="P233">
        <v>138</v>
      </c>
      <c r="Q233">
        <f t="shared" si="15"/>
        <v>214</v>
      </c>
      <c r="R233">
        <v>6</v>
      </c>
      <c r="S233">
        <v>4</v>
      </c>
      <c r="T233">
        <f>Table[[#This Row],[NumWebPurchases]]+Table[[#This Row],[NumStorePurchases]]</f>
        <v>10</v>
      </c>
    </row>
    <row r="234" spans="1:20" ht="12.5">
      <c r="A234" s="6">
        <v>232</v>
      </c>
      <c r="B234" s="6">
        <v>1606</v>
      </c>
      <c r="C234" s="6">
        <v>1971</v>
      </c>
      <c r="D234" s="6">
        <f t="shared" si="12"/>
        <v>54</v>
      </c>
      <c r="E234" s="7" t="s">
        <v>9</v>
      </c>
      <c r="F234" s="7" t="s">
        <v>11</v>
      </c>
      <c r="G234" s="6">
        <v>38590</v>
      </c>
      <c r="H234" s="6" t="str" cm="1">
        <f t="array" ref="H234">_xlfn.IFS(
  G234 &lt; 25000, "Low",
  AND(G234 &gt;= 25000, G234 &lt; 75000), "Medium",
  AND(G234 &gt;= 75000, G234 &lt; 150000), "High",
  G234 &gt;= 150000, "Very High"
)</f>
        <v>Medium</v>
      </c>
      <c r="I234" s="6">
        <v>1</v>
      </c>
      <c r="J234" s="6">
        <v>0</v>
      </c>
      <c r="K234" s="6">
        <f t="shared" si="13"/>
        <v>1</v>
      </c>
      <c r="L234" s="8">
        <v>41409</v>
      </c>
      <c r="M234" t="str">
        <f t="shared" ca="1" si="14"/>
        <v>12 years, 9 months</v>
      </c>
      <c r="N234" s="6">
        <v>65</v>
      </c>
      <c r="O234">
        <v>1</v>
      </c>
      <c r="P234">
        <v>3</v>
      </c>
      <c r="Q234">
        <f t="shared" si="15"/>
        <v>4</v>
      </c>
      <c r="R234">
        <v>1</v>
      </c>
      <c r="S234">
        <v>2</v>
      </c>
      <c r="T234">
        <f>Table[[#This Row],[NumWebPurchases]]+Table[[#This Row],[NumStorePurchases]]</f>
        <v>3</v>
      </c>
    </row>
    <row r="235" spans="1:20" ht="12.5">
      <c r="A235" s="6">
        <v>233</v>
      </c>
      <c r="B235" s="6">
        <v>9617</v>
      </c>
      <c r="C235" s="6">
        <v>1951</v>
      </c>
      <c r="D235" s="6">
        <f t="shared" si="12"/>
        <v>74</v>
      </c>
      <c r="E235" s="7" t="s">
        <v>9</v>
      </c>
      <c r="F235" s="7" t="s">
        <v>10</v>
      </c>
      <c r="G235" s="6">
        <v>15033</v>
      </c>
      <c r="H235" s="6" t="str" cm="1">
        <f t="array" ref="H235">_xlfn.IFS(
  G235 &lt; 25000, "Low",
  AND(G235 &gt;= 25000, G235 &lt; 75000), "Medium",
  AND(G235 &gt;= 75000, G235 &lt; 150000), "High",
  G235 &gt;= 150000, "Very High"
)</f>
        <v>Low</v>
      </c>
      <c r="I235" s="6">
        <v>0</v>
      </c>
      <c r="J235" s="6">
        <v>0</v>
      </c>
      <c r="K235" s="6">
        <f t="shared" si="13"/>
        <v>0</v>
      </c>
      <c r="L235" s="8">
        <v>41745</v>
      </c>
      <c r="M235" t="str">
        <f t="shared" ca="1" si="14"/>
        <v>11 years, 10 months</v>
      </c>
      <c r="N235" s="6">
        <v>37</v>
      </c>
      <c r="O235">
        <v>4</v>
      </c>
      <c r="P235">
        <v>0</v>
      </c>
      <c r="Q235">
        <f t="shared" si="15"/>
        <v>4</v>
      </c>
      <c r="R235">
        <v>1</v>
      </c>
      <c r="S235">
        <v>3</v>
      </c>
      <c r="T235">
        <f>Table[[#This Row],[NumWebPurchases]]+Table[[#This Row],[NumStorePurchases]]</f>
        <v>4</v>
      </c>
    </row>
    <row r="236" spans="1:20" ht="12.5">
      <c r="A236" s="6">
        <v>234</v>
      </c>
      <c r="B236" s="6">
        <v>3233</v>
      </c>
      <c r="C236" s="6">
        <v>1965</v>
      </c>
      <c r="D236" s="6">
        <f t="shared" si="12"/>
        <v>60</v>
      </c>
      <c r="E236" s="7" t="s">
        <v>12</v>
      </c>
      <c r="F236" s="7" t="s">
        <v>13</v>
      </c>
      <c r="G236" s="6">
        <v>62745</v>
      </c>
      <c r="H236" s="6" t="str" cm="1">
        <f t="array" ref="H236">_xlfn.IFS(
  G236 &lt; 25000, "Low",
  AND(G236 &gt;= 25000, G236 &lt; 75000), "Medium",
  AND(G236 &gt;= 75000, G236 &lt; 150000), "High",
  G236 &gt;= 150000, "Very High"
)</f>
        <v>Medium</v>
      </c>
      <c r="I236" s="6">
        <v>0</v>
      </c>
      <c r="J236" s="6">
        <v>1</v>
      </c>
      <c r="K236" s="6">
        <f t="shared" si="13"/>
        <v>1</v>
      </c>
      <c r="L236" s="8">
        <v>41356</v>
      </c>
      <c r="M236" t="str">
        <f t="shared" ca="1" si="14"/>
        <v>12 years, 11 months</v>
      </c>
      <c r="N236" s="6">
        <v>89</v>
      </c>
      <c r="O236">
        <v>21</v>
      </c>
      <c r="P236">
        <v>10</v>
      </c>
      <c r="Q236">
        <f t="shared" si="15"/>
        <v>31</v>
      </c>
      <c r="R236">
        <v>7</v>
      </c>
      <c r="S236">
        <v>11</v>
      </c>
      <c r="T236">
        <f>Table[[#This Row],[NumWebPurchases]]+Table[[#This Row],[NumStorePurchases]]</f>
        <v>18</v>
      </c>
    </row>
    <row r="237" spans="1:20" ht="12.5">
      <c r="A237" s="6">
        <v>235</v>
      </c>
      <c r="B237" s="6">
        <v>89</v>
      </c>
      <c r="C237" s="6">
        <v>1975</v>
      </c>
      <c r="D237" s="6">
        <f t="shared" si="12"/>
        <v>50</v>
      </c>
      <c r="E237" s="7" t="s">
        <v>17</v>
      </c>
      <c r="F237" s="7" t="s">
        <v>13</v>
      </c>
      <c r="G237" s="6">
        <v>22212</v>
      </c>
      <c r="H237" s="6" t="str" cm="1">
        <f t="array" ref="H237">_xlfn.IFS(
  G237 &lt; 25000, "Low",
  AND(G237 &gt;= 25000, G237 &lt; 75000), "Medium",
  AND(G237 &gt;= 75000, G237 &lt; 150000), "High",
  G237 &gt;= 150000, "Very High"
)</f>
        <v>Low</v>
      </c>
      <c r="I237" s="6">
        <v>1</v>
      </c>
      <c r="J237" s="6">
        <v>0</v>
      </c>
      <c r="K237" s="6">
        <f t="shared" si="13"/>
        <v>1</v>
      </c>
      <c r="L237" s="8">
        <v>41617</v>
      </c>
      <c r="M237" t="str">
        <f t="shared" ca="1" si="14"/>
        <v>12 years, 2 months</v>
      </c>
      <c r="N237" s="6">
        <v>49</v>
      </c>
      <c r="O237">
        <v>9</v>
      </c>
      <c r="P237">
        <v>8</v>
      </c>
      <c r="Q237">
        <f t="shared" si="15"/>
        <v>17</v>
      </c>
      <c r="R237">
        <v>2</v>
      </c>
      <c r="S237">
        <v>4</v>
      </c>
      <c r="T237">
        <f>Table[[#This Row],[NumWebPurchases]]+Table[[#This Row],[NumStorePurchases]]</f>
        <v>6</v>
      </c>
    </row>
    <row r="238" spans="1:20" ht="12.5">
      <c r="A238" s="6">
        <v>236</v>
      </c>
      <c r="B238" s="6">
        <v>2936</v>
      </c>
      <c r="C238" s="6">
        <v>1982</v>
      </c>
      <c r="D238" s="6">
        <f t="shared" si="12"/>
        <v>43</v>
      </c>
      <c r="E238" s="7" t="s">
        <v>14</v>
      </c>
      <c r="F238" s="7" t="s">
        <v>11</v>
      </c>
      <c r="G238" s="6">
        <v>23661</v>
      </c>
      <c r="H238" s="6" t="str" cm="1">
        <f t="array" ref="H238">_xlfn.IFS(
  G238 &lt; 25000, "Low",
  AND(G238 &gt;= 25000, G238 &lt; 75000), "Medium",
  AND(G238 &gt;= 75000, G238 &lt; 150000), "High",
  G238 &gt;= 150000, "Very High"
)</f>
        <v>Low</v>
      </c>
      <c r="I238" s="6">
        <v>1</v>
      </c>
      <c r="J238" s="6">
        <v>0</v>
      </c>
      <c r="K238" s="6">
        <f t="shared" si="13"/>
        <v>1</v>
      </c>
      <c r="L238" s="8">
        <v>41612</v>
      </c>
      <c r="M238" t="str">
        <f t="shared" ca="1" si="14"/>
        <v>12 years, 3 months</v>
      </c>
      <c r="N238" s="6">
        <v>46</v>
      </c>
      <c r="O238">
        <v>0</v>
      </c>
      <c r="P238">
        <v>0</v>
      </c>
      <c r="Q238">
        <f t="shared" si="15"/>
        <v>0</v>
      </c>
      <c r="R238">
        <v>1</v>
      </c>
      <c r="S238">
        <v>3</v>
      </c>
      <c r="T238">
        <f>Table[[#This Row],[NumWebPurchases]]+Table[[#This Row],[NumStorePurchases]]</f>
        <v>4</v>
      </c>
    </row>
    <row r="239" spans="1:20" ht="12.5">
      <c r="A239" s="6">
        <v>237</v>
      </c>
      <c r="B239" s="6">
        <v>9449</v>
      </c>
      <c r="C239" s="6">
        <v>1958</v>
      </c>
      <c r="D239" s="6">
        <f t="shared" si="12"/>
        <v>67</v>
      </c>
      <c r="E239" s="7" t="s">
        <v>12</v>
      </c>
      <c r="F239" s="7" t="s">
        <v>10</v>
      </c>
      <c r="G239" s="6">
        <v>79761</v>
      </c>
      <c r="H239" s="6" t="str" cm="1">
        <f t="array" ref="H239">_xlfn.IFS(
  G239 &lt; 25000, "Low",
  AND(G239 &gt;= 25000, G239 &lt; 75000), "Medium",
  AND(G239 &gt;= 75000, G239 &lt; 150000), "High",
  G239 &gt;= 150000, "Very High"
)</f>
        <v>High</v>
      </c>
      <c r="I239" s="6">
        <v>0</v>
      </c>
      <c r="J239" s="6">
        <v>1</v>
      </c>
      <c r="K239" s="6">
        <f t="shared" si="13"/>
        <v>1</v>
      </c>
      <c r="L239" s="8">
        <v>41551</v>
      </c>
      <c r="M239" t="str">
        <f t="shared" ca="1" si="14"/>
        <v>12 years, 5 months</v>
      </c>
      <c r="N239" s="6">
        <v>32</v>
      </c>
      <c r="O239">
        <v>5</v>
      </c>
      <c r="P239">
        <v>35</v>
      </c>
      <c r="Q239">
        <f t="shared" si="15"/>
        <v>40</v>
      </c>
      <c r="R239">
        <v>5</v>
      </c>
      <c r="S239">
        <v>11</v>
      </c>
      <c r="T239">
        <f>Table[[#This Row],[NumWebPurchases]]+Table[[#This Row],[NumStorePurchases]]</f>
        <v>16</v>
      </c>
    </row>
    <row r="240" spans="1:20" ht="12.5">
      <c r="A240" s="6">
        <v>238</v>
      </c>
      <c r="B240" s="6">
        <v>7297</v>
      </c>
      <c r="C240" s="6">
        <v>1973</v>
      </c>
      <c r="D240" s="6">
        <f t="shared" si="12"/>
        <v>52</v>
      </c>
      <c r="E240" s="7" t="s">
        <v>9</v>
      </c>
      <c r="F240" s="7" t="s">
        <v>10</v>
      </c>
      <c r="G240" s="6">
        <v>7500</v>
      </c>
      <c r="H240" s="6" t="str" cm="1">
        <f t="array" ref="H240">_xlfn.IFS(
  G240 &lt; 25000, "Low",
  AND(G240 &gt;= 25000, G240 &lt; 75000), "Medium",
  AND(G240 &gt;= 75000, G240 &lt; 150000), "High",
  G240 &gt;= 150000, "Very High"
)</f>
        <v>Low</v>
      </c>
      <c r="I240" s="6">
        <v>1</v>
      </c>
      <c r="J240" s="6">
        <v>0</v>
      </c>
      <c r="K240" s="6">
        <f t="shared" si="13"/>
        <v>1</v>
      </c>
      <c r="L240" s="9">
        <v>41634</v>
      </c>
      <c r="M240" t="str">
        <f t="shared" ca="1" si="14"/>
        <v>12 years, 2 months</v>
      </c>
      <c r="N240" s="6">
        <v>54</v>
      </c>
      <c r="O240">
        <v>3</v>
      </c>
      <c r="P240">
        <v>7</v>
      </c>
      <c r="Q240">
        <f t="shared" si="15"/>
        <v>10</v>
      </c>
      <c r="R240">
        <v>3</v>
      </c>
      <c r="S240">
        <v>3</v>
      </c>
      <c r="T240">
        <f>Table[[#This Row],[NumWebPurchases]]+Table[[#This Row],[NumStorePurchases]]</f>
        <v>6</v>
      </c>
    </row>
    <row r="241" spans="1:20" ht="12.5">
      <c r="A241" s="6">
        <v>239</v>
      </c>
      <c r="B241" s="6">
        <v>11004</v>
      </c>
      <c r="C241" s="6">
        <v>1893</v>
      </c>
      <c r="D241" s="6">
        <f t="shared" si="12"/>
        <v>132</v>
      </c>
      <c r="E241" s="7" t="s">
        <v>17</v>
      </c>
      <c r="F241" s="7" t="s">
        <v>10</v>
      </c>
      <c r="G241" s="6">
        <v>60182</v>
      </c>
      <c r="H241" s="6" t="str" cm="1">
        <f t="array" ref="H241">_xlfn.IFS(
  G241 &lt; 25000, "Low",
  AND(G241 &gt;= 25000, G241 &lt; 75000), "Medium",
  AND(G241 &gt;= 75000, G241 &lt; 150000), "High",
  G241 &gt;= 150000, "Very High"
)</f>
        <v>Medium</v>
      </c>
      <c r="I241" s="6">
        <v>0</v>
      </c>
      <c r="J241" s="6">
        <v>1</v>
      </c>
      <c r="K241" s="6">
        <f t="shared" si="13"/>
        <v>1</v>
      </c>
      <c r="L241" s="8">
        <v>41776</v>
      </c>
      <c r="M241" t="str">
        <f t="shared" ca="1" si="14"/>
        <v>11 years, 9 months</v>
      </c>
      <c r="N241" s="6">
        <v>23</v>
      </c>
      <c r="O241">
        <v>0</v>
      </c>
      <c r="P241">
        <v>0</v>
      </c>
      <c r="Q241">
        <f t="shared" si="15"/>
        <v>0</v>
      </c>
      <c r="R241">
        <v>1</v>
      </c>
      <c r="S241">
        <v>2</v>
      </c>
      <c r="T241">
        <f>Table[[#This Row],[NumWebPurchases]]+Table[[#This Row],[NumStorePurchases]]</f>
        <v>3</v>
      </c>
    </row>
    <row r="242" spans="1:20" ht="12.5">
      <c r="A242" s="6">
        <v>240</v>
      </c>
      <c r="B242" s="6">
        <v>313</v>
      </c>
      <c r="C242" s="6">
        <v>1968</v>
      </c>
      <c r="D242" s="6">
        <f t="shared" si="12"/>
        <v>57</v>
      </c>
      <c r="E242" s="7" t="s">
        <v>9</v>
      </c>
      <c r="F242" s="7" t="s">
        <v>18</v>
      </c>
      <c r="G242" s="6">
        <v>73455</v>
      </c>
      <c r="H242" s="6" t="str" cm="1">
        <f t="array" ref="H242">_xlfn.IFS(
  G242 &lt; 25000, "Low",
  AND(G242 &gt;= 25000, G242 &lt; 75000), "Medium",
  AND(G242 &gt;= 75000, G242 &lt; 150000), "High",
  G242 &gt;= 150000, "Very High"
)</f>
        <v>Medium</v>
      </c>
      <c r="I242" s="6">
        <v>0</v>
      </c>
      <c r="J242" s="6">
        <v>0</v>
      </c>
      <c r="K242" s="6">
        <f t="shared" si="13"/>
        <v>0</v>
      </c>
      <c r="L242" s="9">
        <v>41575</v>
      </c>
      <c r="M242" t="str">
        <f t="shared" ca="1" si="14"/>
        <v>12 years, 4 months</v>
      </c>
      <c r="N242" s="6">
        <v>98</v>
      </c>
      <c r="O242">
        <v>61</v>
      </c>
      <c r="P242">
        <v>163</v>
      </c>
      <c r="Q242">
        <f t="shared" si="15"/>
        <v>224</v>
      </c>
      <c r="R242">
        <v>6</v>
      </c>
      <c r="S242">
        <v>10</v>
      </c>
      <c r="T242">
        <f>Table[[#This Row],[NumWebPurchases]]+Table[[#This Row],[NumStorePurchases]]</f>
        <v>16</v>
      </c>
    </row>
    <row r="243" spans="1:20" ht="12.5">
      <c r="A243" s="6">
        <v>241</v>
      </c>
      <c r="B243" s="6">
        <v>9940</v>
      </c>
      <c r="C243" s="6">
        <v>1958</v>
      </c>
      <c r="D243" s="6">
        <f t="shared" si="12"/>
        <v>67</v>
      </c>
      <c r="E243" s="7" t="s">
        <v>9</v>
      </c>
      <c r="F243" s="7" t="s">
        <v>11</v>
      </c>
      <c r="G243" s="6">
        <v>64961</v>
      </c>
      <c r="H243" s="6" t="str" cm="1">
        <f t="array" ref="H243">_xlfn.IFS(
  G243 &lt; 25000, "Low",
  AND(G243 &gt;= 25000, G243 &lt; 75000), "Medium",
  AND(G243 &gt;= 75000, G243 &lt; 150000), "High",
  G243 &gt;= 150000, "Very High"
)</f>
        <v>Medium</v>
      </c>
      <c r="I243" s="6">
        <v>0</v>
      </c>
      <c r="J243" s="6">
        <v>1</v>
      </c>
      <c r="K243" s="6">
        <f t="shared" si="13"/>
        <v>1</v>
      </c>
      <c r="L243" s="9">
        <v>41266</v>
      </c>
      <c r="M243" t="str">
        <f t="shared" ca="1" si="14"/>
        <v>13 years, 2 months</v>
      </c>
      <c r="N243" s="6">
        <v>97</v>
      </c>
      <c r="O243">
        <v>114</v>
      </c>
      <c r="P243">
        <v>124</v>
      </c>
      <c r="Q243">
        <f t="shared" si="15"/>
        <v>238</v>
      </c>
      <c r="R243">
        <v>6</v>
      </c>
      <c r="S243">
        <v>4</v>
      </c>
      <c r="T243">
        <f>Table[[#This Row],[NumWebPurchases]]+Table[[#This Row],[NumStorePurchases]]</f>
        <v>10</v>
      </c>
    </row>
    <row r="244" spans="1:20" ht="12.5">
      <c r="A244" s="6">
        <v>242</v>
      </c>
      <c r="B244" s="6">
        <v>10735</v>
      </c>
      <c r="C244" s="6">
        <v>1971</v>
      </c>
      <c r="D244" s="6">
        <f t="shared" si="12"/>
        <v>54</v>
      </c>
      <c r="E244" s="7" t="s">
        <v>9</v>
      </c>
      <c r="F244" s="7" t="s">
        <v>10</v>
      </c>
      <c r="G244" s="6">
        <v>22804</v>
      </c>
      <c r="H244" s="6" t="str" cm="1">
        <f t="array" ref="H244">_xlfn.IFS(
  G244 &lt; 25000, "Low",
  AND(G244 &gt;= 25000, G244 &lt; 75000), "Medium",
  AND(G244 &gt;= 75000, G244 &lt; 150000), "High",
  G244 &gt;= 150000, "Very High"
)</f>
        <v>Low</v>
      </c>
      <c r="I244" s="6">
        <v>1</v>
      </c>
      <c r="J244" s="6">
        <v>0</v>
      </c>
      <c r="K244" s="6">
        <f t="shared" si="13"/>
        <v>1</v>
      </c>
      <c r="L244" s="8">
        <v>41486</v>
      </c>
      <c r="M244" t="str">
        <f t="shared" ca="1" si="14"/>
        <v>12 years, 7 months</v>
      </c>
      <c r="N244" s="6">
        <v>75</v>
      </c>
      <c r="O244">
        <v>1</v>
      </c>
      <c r="P244">
        <v>1</v>
      </c>
      <c r="Q244">
        <f t="shared" si="15"/>
        <v>2</v>
      </c>
      <c r="R244">
        <v>2</v>
      </c>
      <c r="S244">
        <v>2</v>
      </c>
      <c r="T244">
        <f>Table[[#This Row],[NumWebPurchases]]+Table[[#This Row],[NumStorePurchases]]</f>
        <v>4</v>
      </c>
    </row>
    <row r="245" spans="1:20" ht="12.5">
      <c r="A245" s="6">
        <v>243</v>
      </c>
      <c r="B245" s="6">
        <v>9529</v>
      </c>
      <c r="C245" s="6">
        <v>1990</v>
      </c>
      <c r="D245" s="6">
        <f t="shared" si="12"/>
        <v>35</v>
      </c>
      <c r="E245" s="7" t="s">
        <v>9</v>
      </c>
      <c r="F245" s="7" t="s">
        <v>13</v>
      </c>
      <c r="G245" s="6">
        <v>73687</v>
      </c>
      <c r="H245" s="6" t="str" cm="1">
        <f t="array" ref="H245">_xlfn.IFS(
  G245 &lt; 25000, "Low",
  AND(G245 &gt;= 25000, G245 &lt; 75000), "Medium",
  AND(G245 &gt;= 75000, G245 &lt; 150000), "High",
  G245 &gt;= 150000, "Very High"
)</f>
        <v>Medium</v>
      </c>
      <c r="I245" s="6">
        <v>0</v>
      </c>
      <c r="J245" s="6">
        <v>0</v>
      </c>
      <c r="K245" s="6">
        <f t="shared" si="13"/>
        <v>0</v>
      </c>
      <c r="L245" s="9">
        <v>41606</v>
      </c>
      <c r="M245" t="str">
        <f t="shared" ca="1" si="14"/>
        <v>12 years, 3 months</v>
      </c>
      <c r="N245" s="6">
        <v>8</v>
      </c>
      <c r="O245">
        <v>153</v>
      </c>
      <c r="P245">
        <v>13</v>
      </c>
      <c r="Q245">
        <f t="shared" si="15"/>
        <v>166</v>
      </c>
      <c r="R245">
        <v>3</v>
      </c>
      <c r="S245">
        <v>9</v>
      </c>
      <c r="T245">
        <f>Table[[#This Row],[NumWebPurchases]]+Table[[#This Row],[NumStorePurchases]]</f>
        <v>12</v>
      </c>
    </row>
    <row r="246" spans="1:20" ht="12.5">
      <c r="A246" s="6">
        <v>244</v>
      </c>
      <c r="B246" s="6">
        <v>6439</v>
      </c>
      <c r="C246" s="6">
        <v>1958</v>
      </c>
      <c r="D246" s="6">
        <f t="shared" si="12"/>
        <v>67</v>
      </c>
      <c r="E246" s="7" t="s">
        <v>9</v>
      </c>
      <c r="F246" s="7" t="s">
        <v>13</v>
      </c>
      <c r="G246" s="6">
        <v>61074</v>
      </c>
      <c r="H246" s="6" t="str" cm="1">
        <f t="array" ref="H246">_xlfn.IFS(
  G246 &lt; 25000, "Low",
  AND(G246 &gt;= 25000, G246 &lt; 75000), "Medium",
  AND(G246 &gt;= 75000, G246 &lt; 150000), "High",
  G246 &gt;= 150000, "Very High"
)</f>
        <v>Medium</v>
      </c>
      <c r="I246" s="6">
        <v>0</v>
      </c>
      <c r="J246" s="6">
        <v>1</v>
      </c>
      <c r="K246" s="6">
        <f t="shared" si="13"/>
        <v>1</v>
      </c>
      <c r="L246" s="8">
        <v>41138</v>
      </c>
      <c r="M246" t="str">
        <f t="shared" ca="1" si="14"/>
        <v>13 years, 6 months</v>
      </c>
      <c r="N246" s="6">
        <v>37</v>
      </c>
      <c r="O246">
        <v>0</v>
      </c>
      <c r="P246">
        <v>28</v>
      </c>
      <c r="Q246">
        <f t="shared" si="15"/>
        <v>28</v>
      </c>
      <c r="R246">
        <v>11</v>
      </c>
      <c r="S246">
        <v>8</v>
      </c>
      <c r="T246">
        <f>Table[[#This Row],[NumWebPurchases]]+Table[[#This Row],[NumStorePurchases]]</f>
        <v>19</v>
      </c>
    </row>
    <row r="247" spans="1:20" ht="12.5">
      <c r="A247" s="6">
        <v>245</v>
      </c>
      <c r="B247" s="6">
        <v>7411</v>
      </c>
      <c r="C247" s="6">
        <v>1964</v>
      </c>
      <c r="D247" s="6">
        <f t="shared" si="12"/>
        <v>61</v>
      </c>
      <c r="E247" s="7" t="s">
        <v>12</v>
      </c>
      <c r="F247" s="7" t="s">
        <v>13</v>
      </c>
      <c r="G247" s="6">
        <v>31686</v>
      </c>
      <c r="H247" s="6" t="str" cm="1">
        <f t="array" ref="H247">_xlfn.IFS(
  G247 &lt; 25000, "Low",
  AND(G247 &gt;= 25000, G247 &lt; 75000), "Medium",
  AND(G247 &gt;= 75000, G247 &lt; 150000), "High",
  G247 &gt;= 150000, "Very High"
)</f>
        <v>Medium</v>
      </c>
      <c r="I247" s="6">
        <v>1</v>
      </c>
      <c r="J247" s="6">
        <v>1</v>
      </c>
      <c r="K247" s="6">
        <f t="shared" si="13"/>
        <v>2</v>
      </c>
      <c r="L247" s="8">
        <v>41795</v>
      </c>
      <c r="M247" t="str">
        <f t="shared" ca="1" si="14"/>
        <v>11 years, 9 months</v>
      </c>
      <c r="N247" s="6">
        <v>31</v>
      </c>
      <c r="O247">
        <v>0</v>
      </c>
      <c r="P247">
        <v>0</v>
      </c>
      <c r="Q247">
        <f t="shared" si="15"/>
        <v>0</v>
      </c>
      <c r="R247">
        <v>1</v>
      </c>
      <c r="S247">
        <v>3</v>
      </c>
      <c r="T247">
        <f>Table[[#This Row],[NumWebPurchases]]+Table[[#This Row],[NumStorePurchases]]</f>
        <v>4</v>
      </c>
    </row>
    <row r="248" spans="1:20" ht="12.5">
      <c r="A248" s="6">
        <v>246</v>
      </c>
      <c r="B248" s="6">
        <v>2176</v>
      </c>
      <c r="C248" s="6">
        <v>1972</v>
      </c>
      <c r="D248" s="6">
        <f t="shared" si="12"/>
        <v>53</v>
      </c>
      <c r="E248" s="7" t="s">
        <v>9</v>
      </c>
      <c r="F248" s="7" t="s">
        <v>13</v>
      </c>
      <c r="G248" s="6">
        <v>80134</v>
      </c>
      <c r="H248" s="6" t="str" cm="1">
        <f t="array" ref="H248">_xlfn.IFS(
  G248 &lt; 25000, "Low",
  AND(G248 &gt;= 25000, G248 &lt; 75000), "Medium",
  AND(G248 &gt;= 75000, G248 &lt; 150000), "High",
  G248 &gt;= 150000, "Very High"
)</f>
        <v>High</v>
      </c>
      <c r="I248" s="6">
        <v>1</v>
      </c>
      <c r="J248" s="6">
        <v>0</v>
      </c>
      <c r="K248" s="6">
        <f t="shared" si="13"/>
        <v>1</v>
      </c>
      <c r="L248" s="8">
        <v>41414</v>
      </c>
      <c r="M248" t="str">
        <f t="shared" ca="1" si="14"/>
        <v>12 years, 9 months</v>
      </c>
      <c r="N248" s="6">
        <v>40</v>
      </c>
      <c r="O248">
        <v>16</v>
      </c>
      <c r="P248">
        <v>0</v>
      </c>
      <c r="Q248">
        <f t="shared" si="15"/>
        <v>16</v>
      </c>
      <c r="R248">
        <v>5</v>
      </c>
      <c r="S248">
        <v>6</v>
      </c>
      <c r="T248">
        <f>Table[[#This Row],[NumWebPurchases]]+Table[[#This Row],[NumStorePurchases]]</f>
        <v>11</v>
      </c>
    </row>
    <row r="249" spans="1:20" ht="12.5">
      <c r="A249" s="6">
        <v>247</v>
      </c>
      <c r="B249" s="6">
        <v>9265</v>
      </c>
      <c r="C249" s="6">
        <v>1953</v>
      </c>
      <c r="D249" s="6">
        <f t="shared" si="12"/>
        <v>72</v>
      </c>
      <c r="E249" s="7" t="s">
        <v>9</v>
      </c>
      <c r="F249" s="7" t="s">
        <v>13</v>
      </c>
      <c r="G249" s="6">
        <v>75027</v>
      </c>
      <c r="H249" s="6" t="str" cm="1">
        <f t="array" ref="H249">_xlfn.IFS(
  G249 &lt; 25000, "Low",
  AND(G249 &gt;= 25000, G249 &lt; 75000), "Medium",
  AND(G249 &gt;= 75000, G249 &lt; 150000), "High",
  G249 &gt;= 150000, "Very High"
)</f>
        <v>High</v>
      </c>
      <c r="I249" s="6">
        <v>0</v>
      </c>
      <c r="J249" s="6">
        <v>1</v>
      </c>
      <c r="K249" s="6">
        <f t="shared" si="13"/>
        <v>1</v>
      </c>
      <c r="L249" s="8">
        <v>41283</v>
      </c>
      <c r="M249" t="str">
        <f t="shared" ca="1" si="14"/>
        <v>13 years, 1 months</v>
      </c>
      <c r="N249" s="6">
        <v>74</v>
      </c>
      <c r="O249">
        <v>64</v>
      </c>
      <c r="P249">
        <v>12</v>
      </c>
      <c r="Q249">
        <f t="shared" si="15"/>
        <v>76</v>
      </c>
      <c r="R249">
        <v>9</v>
      </c>
      <c r="S249">
        <v>6</v>
      </c>
      <c r="T249">
        <f>Table[[#This Row],[NumWebPurchases]]+Table[[#This Row],[NumStorePurchases]]</f>
        <v>15</v>
      </c>
    </row>
    <row r="250" spans="1:20" ht="12.5">
      <c r="A250" s="6">
        <v>248</v>
      </c>
      <c r="B250" s="6">
        <v>8867</v>
      </c>
      <c r="C250" s="6">
        <v>1988</v>
      </c>
      <c r="D250" s="6">
        <f t="shared" si="12"/>
        <v>37</v>
      </c>
      <c r="E250" s="7" t="s">
        <v>12</v>
      </c>
      <c r="F250" s="7" t="s">
        <v>13</v>
      </c>
      <c r="G250" s="6">
        <v>67546</v>
      </c>
      <c r="H250" s="6" t="str" cm="1">
        <f t="array" ref="H250">_xlfn.IFS(
  G250 &lt; 25000, "Low",
  AND(G250 &gt;= 25000, G250 &lt; 75000), "Medium",
  AND(G250 &gt;= 75000, G250 &lt; 150000), "High",
  G250 &gt;= 150000, "Very High"
)</f>
        <v>Medium</v>
      </c>
      <c r="I250" s="6">
        <v>0</v>
      </c>
      <c r="J250" s="6">
        <v>0</v>
      </c>
      <c r="K250" s="6">
        <f t="shared" si="13"/>
        <v>0</v>
      </c>
      <c r="L250" s="8">
        <v>41152</v>
      </c>
      <c r="M250" t="str">
        <f t="shared" ca="1" si="14"/>
        <v>13 years, 6 months</v>
      </c>
      <c r="N250" s="6">
        <v>90</v>
      </c>
      <c r="O250">
        <v>134</v>
      </c>
      <c r="P250">
        <v>38</v>
      </c>
      <c r="Q250">
        <f t="shared" si="15"/>
        <v>172</v>
      </c>
      <c r="R250">
        <v>4</v>
      </c>
      <c r="S250">
        <v>5</v>
      </c>
      <c r="T250">
        <f>Table[[#This Row],[NumWebPurchases]]+Table[[#This Row],[NumStorePurchases]]</f>
        <v>9</v>
      </c>
    </row>
    <row r="251" spans="1:20" ht="12.5">
      <c r="A251" s="6">
        <v>249</v>
      </c>
      <c r="B251" s="6">
        <v>8932</v>
      </c>
      <c r="C251" s="6">
        <v>1969</v>
      </c>
      <c r="D251" s="6">
        <f t="shared" si="12"/>
        <v>56</v>
      </c>
      <c r="E251" s="7" t="s">
        <v>14</v>
      </c>
      <c r="F251" s="7" t="s">
        <v>11</v>
      </c>
      <c r="G251" s="6">
        <v>65176</v>
      </c>
      <c r="H251" s="6" t="str" cm="1">
        <f t="array" ref="H251">_xlfn.IFS(
  G251 &lt; 25000, "Low",
  AND(G251 &gt;= 25000, G251 &lt; 75000), "Medium",
  AND(G251 &gt;= 75000, G251 &lt; 150000), "High",
  G251 &gt;= 150000, "Very High"
)</f>
        <v>Medium</v>
      </c>
      <c r="I251" s="6">
        <v>0</v>
      </c>
      <c r="J251" s="6">
        <v>1</v>
      </c>
      <c r="K251" s="6">
        <f t="shared" si="13"/>
        <v>1</v>
      </c>
      <c r="L251" s="9">
        <v>41211</v>
      </c>
      <c r="M251" t="str">
        <f t="shared" ca="1" si="14"/>
        <v>13 years, 4 months</v>
      </c>
      <c r="N251" s="6">
        <v>57</v>
      </c>
      <c r="O251">
        <v>28</v>
      </c>
      <c r="P251">
        <v>70</v>
      </c>
      <c r="Q251">
        <f t="shared" si="15"/>
        <v>98</v>
      </c>
      <c r="R251">
        <v>9</v>
      </c>
      <c r="S251">
        <v>6</v>
      </c>
      <c r="T251">
        <f>Table[[#This Row],[NumWebPurchases]]+Table[[#This Row],[NumStorePurchases]]</f>
        <v>15</v>
      </c>
    </row>
    <row r="252" spans="1:20" ht="12.5">
      <c r="A252" s="6">
        <v>250</v>
      </c>
      <c r="B252" s="6">
        <v>10236</v>
      </c>
      <c r="C252" s="6">
        <v>1975</v>
      </c>
      <c r="D252" s="6">
        <f t="shared" si="12"/>
        <v>50</v>
      </c>
      <c r="E252" s="7" t="s">
        <v>14</v>
      </c>
      <c r="F252" s="7" t="s">
        <v>10</v>
      </c>
      <c r="G252" s="6">
        <v>31160</v>
      </c>
      <c r="H252" s="6" t="str" cm="1">
        <f t="array" ref="H252">_xlfn.IFS(
  G252 &lt; 25000, "Low",
  AND(G252 &gt;= 25000, G252 &lt; 75000), "Medium",
  AND(G252 &gt;= 75000, G252 &lt; 150000), "High",
  G252 &gt;= 150000, "Very High"
)</f>
        <v>Medium</v>
      </c>
      <c r="I252" s="6">
        <v>1</v>
      </c>
      <c r="J252" s="6">
        <v>0</v>
      </c>
      <c r="K252" s="6">
        <f t="shared" si="13"/>
        <v>1</v>
      </c>
      <c r="L252" s="8">
        <v>41533</v>
      </c>
      <c r="M252" t="str">
        <f t="shared" ca="1" si="14"/>
        <v>12 years, 5 months</v>
      </c>
      <c r="N252" s="6">
        <v>59</v>
      </c>
      <c r="O252">
        <v>3</v>
      </c>
      <c r="P252">
        <v>1</v>
      </c>
      <c r="Q252">
        <f t="shared" si="15"/>
        <v>4</v>
      </c>
      <c r="R252">
        <v>2</v>
      </c>
      <c r="S252">
        <v>3</v>
      </c>
      <c r="T252">
        <f>Table[[#This Row],[NumWebPurchases]]+Table[[#This Row],[NumStorePurchases]]</f>
        <v>5</v>
      </c>
    </row>
    <row r="253" spans="1:20" ht="12.5">
      <c r="A253" s="6">
        <v>251</v>
      </c>
      <c r="B253" s="6">
        <v>6340</v>
      </c>
      <c r="C253" s="6">
        <v>1985</v>
      </c>
      <c r="D253" s="6">
        <f t="shared" si="12"/>
        <v>40</v>
      </c>
      <c r="E253" s="7" t="s">
        <v>9</v>
      </c>
      <c r="F253" s="7" t="s">
        <v>10</v>
      </c>
      <c r="G253" s="6">
        <v>29938</v>
      </c>
      <c r="H253" s="6" t="str" cm="1">
        <f t="array" ref="H253">_xlfn.IFS(
  G253 &lt; 25000, "Low",
  AND(G253 &gt;= 25000, G253 &lt; 75000), "Medium",
  AND(G253 &gt;= 75000, G253 &lt; 150000), "High",
  G253 &gt;= 150000, "Very High"
)</f>
        <v>Medium</v>
      </c>
      <c r="I253" s="6">
        <v>1</v>
      </c>
      <c r="J253" s="6">
        <v>0</v>
      </c>
      <c r="K253" s="6">
        <f t="shared" si="13"/>
        <v>1</v>
      </c>
      <c r="L253" s="9">
        <v>41574</v>
      </c>
      <c r="M253" t="str">
        <f t="shared" ca="1" si="14"/>
        <v>12 years, 4 months</v>
      </c>
      <c r="N253" s="6">
        <v>52</v>
      </c>
      <c r="O253">
        <v>3</v>
      </c>
      <c r="P253">
        <v>2</v>
      </c>
      <c r="Q253">
        <f t="shared" si="15"/>
        <v>5</v>
      </c>
      <c r="R253">
        <v>1</v>
      </c>
      <c r="S253">
        <v>3</v>
      </c>
      <c r="T253">
        <f>Table[[#This Row],[NumWebPurchases]]+Table[[#This Row],[NumStorePurchases]]</f>
        <v>4</v>
      </c>
    </row>
    <row r="254" spans="1:20" ht="12.5">
      <c r="A254" s="6">
        <v>252</v>
      </c>
      <c r="B254" s="6">
        <v>10089</v>
      </c>
      <c r="C254" s="6">
        <v>1974</v>
      </c>
      <c r="D254" s="6">
        <f t="shared" si="12"/>
        <v>51</v>
      </c>
      <c r="E254" s="7" t="s">
        <v>9</v>
      </c>
      <c r="F254" s="7" t="s">
        <v>15</v>
      </c>
      <c r="G254" s="6">
        <v>102692</v>
      </c>
      <c r="H254" s="6" t="str" cm="1">
        <f t="array" ref="H254">_xlfn.IFS(
  G254 &lt; 25000, "Low",
  AND(G254 &gt;= 25000, G254 &lt; 75000), "Medium",
  AND(G254 &gt;= 75000, G254 &lt; 150000), "High",
  G254 &gt;= 150000, "Very High"
)</f>
        <v>High</v>
      </c>
      <c r="I254" s="6">
        <v>0</v>
      </c>
      <c r="J254" s="6">
        <v>0</v>
      </c>
      <c r="K254" s="6">
        <f t="shared" si="13"/>
        <v>0</v>
      </c>
      <c r="L254" s="8">
        <v>41369</v>
      </c>
      <c r="M254" t="str">
        <f t="shared" ca="1" si="14"/>
        <v>12 years, 11 months</v>
      </c>
      <c r="N254" s="6">
        <v>5</v>
      </c>
      <c r="O254">
        <v>148</v>
      </c>
      <c r="P254">
        <v>172</v>
      </c>
      <c r="Q254">
        <f t="shared" si="15"/>
        <v>320</v>
      </c>
      <c r="R254">
        <v>6</v>
      </c>
      <c r="S254">
        <v>13</v>
      </c>
      <c r="T254">
        <f>Table[[#This Row],[NumWebPurchases]]+Table[[#This Row],[NumStorePurchases]]</f>
        <v>19</v>
      </c>
    </row>
    <row r="255" spans="1:20" ht="12.5">
      <c r="A255" s="6">
        <v>253</v>
      </c>
      <c r="B255" s="6">
        <v>2227</v>
      </c>
      <c r="C255" s="6">
        <v>1958</v>
      </c>
      <c r="D255" s="6">
        <f t="shared" si="12"/>
        <v>67</v>
      </c>
      <c r="E255" s="7" t="s">
        <v>17</v>
      </c>
      <c r="F255" s="7" t="s">
        <v>11</v>
      </c>
      <c r="G255" s="6">
        <v>26490</v>
      </c>
      <c r="H255" s="6" t="str" cm="1">
        <f t="array" ref="H255">_xlfn.IFS(
  G255 &lt; 25000, "Low",
  AND(G255 &gt;= 25000, G255 &lt; 75000), "Medium",
  AND(G255 &gt;= 75000, G255 &lt; 150000), "High",
  G255 &gt;= 150000, "Very High"
)</f>
        <v>Medium</v>
      </c>
      <c r="I255" s="6">
        <v>0</v>
      </c>
      <c r="J255" s="6">
        <v>0</v>
      </c>
      <c r="K255" s="6">
        <f t="shared" si="13"/>
        <v>0</v>
      </c>
      <c r="L255" s="8">
        <v>41174</v>
      </c>
      <c r="M255" t="str">
        <f t="shared" ca="1" si="14"/>
        <v>13 years, 5 months</v>
      </c>
      <c r="N255" s="6">
        <v>92</v>
      </c>
      <c r="O255">
        <v>47</v>
      </c>
      <c r="P255">
        <v>20</v>
      </c>
      <c r="Q255">
        <f t="shared" si="15"/>
        <v>67</v>
      </c>
      <c r="R255">
        <v>3</v>
      </c>
      <c r="S255">
        <v>5</v>
      </c>
      <c r="T255">
        <f>Table[[#This Row],[NumWebPurchases]]+Table[[#This Row],[NumStorePurchases]]</f>
        <v>8</v>
      </c>
    </row>
    <row r="256" spans="1:20" ht="12.5">
      <c r="A256" s="6">
        <v>254</v>
      </c>
      <c r="B256" s="6">
        <v>10992</v>
      </c>
      <c r="C256" s="6">
        <v>1967</v>
      </c>
      <c r="D256" s="6">
        <f t="shared" si="12"/>
        <v>58</v>
      </c>
      <c r="E256" s="7" t="s">
        <v>9</v>
      </c>
      <c r="F256" s="7" t="s">
        <v>11</v>
      </c>
      <c r="G256" s="6">
        <v>75702</v>
      </c>
      <c r="H256" s="6" t="str" cm="1">
        <f t="array" ref="H256">_xlfn.IFS(
  G256 &lt; 25000, "Low",
  AND(G256 &gt;= 25000, G256 &lt; 75000), "Medium",
  AND(G256 &gt;= 75000, G256 &lt; 150000), "High",
  G256 &gt;= 150000, "Very High"
)</f>
        <v>High</v>
      </c>
      <c r="I256" s="6">
        <v>1</v>
      </c>
      <c r="J256" s="6">
        <v>1</v>
      </c>
      <c r="K256" s="6">
        <f t="shared" si="13"/>
        <v>2</v>
      </c>
      <c r="L256" s="8">
        <v>41150</v>
      </c>
      <c r="M256" t="str">
        <f t="shared" ca="1" si="14"/>
        <v>13 years, 6 months</v>
      </c>
      <c r="N256" s="6">
        <v>77</v>
      </c>
      <c r="O256">
        <v>28</v>
      </c>
      <c r="P256">
        <v>42</v>
      </c>
      <c r="Q256">
        <f t="shared" si="15"/>
        <v>70</v>
      </c>
      <c r="R256">
        <v>4</v>
      </c>
      <c r="S256">
        <v>11</v>
      </c>
      <c r="T256">
        <f>Table[[#This Row],[NumWebPurchases]]+Table[[#This Row],[NumStorePurchases]]</f>
        <v>15</v>
      </c>
    </row>
    <row r="257" spans="1:20" ht="12.5">
      <c r="A257" s="6">
        <v>255</v>
      </c>
      <c r="B257" s="6">
        <v>5304</v>
      </c>
      <c r="C257" s="6">
        <v>1974</v>
      </c>
      <c r="D257" s="6">
        <f t="shared" si="12"/>
        <v>51</v>
      </c>
      <c r="E257" s="7" t="s">
        <v>12</v>
      </c>
      <c r="F257" s="7" t="s">
        <v>10</v>
      </c>
      <c r="G257" s="6">
        <v>30899</v>
      </c>
      <c r="H257" s="6" t="str" cm="1">
        <f t="array" ref="H257">_xlfn.IFS(
  G257 &lt; 25000, "Low",
  AND(G257 &gt;= 25000, G257 &lt; 75000), "Medium",
  AND(G257 &gt;= 75000, G257 &lt; 150000), "High",
  G257 &gt;= 150000, "Very High"
)</f>
        <v>Medium</v>
      </c>
      <c r="I257" s="6">
        <v>1</v>
      </c>
      <c r="J257" s="6">
        <v>0</v>
      </c>
      <c r="K257" s="6">
        <f t="shared" si="13"/>
        <v>1</v>
      </c>
      <c r="L257" s="9">
        <v>41195</v>
      </c>
      <c r="M257" t="str">
        <f t="shared" ca="1" si="14"/>
        <v>13 years, 4 months</v>
      </c>
      <c r="N257" s="6">
        <v>35</v>
      </c>
      <c r="O257">
        <v>0</v>
      </c>
      <c r="P257">
        <v>0</v>
      </c>
      <c r="Q257">
        <f t="shared" si="15"/>
        <v>0</v>
      </c>
      <c r="R257">
        <v>1</v>
      </c>
      <c r="S257">
        <v>3</v>
      </c>
      <c r="T257">
        <f>Table[[#This Row],[NumWebPurchases]]+Table[[#This Row],[NumStorePurchases]]</f>
        <v>4</v>
      </c>
    </row>
    <row r="258" spans="1:20" ht="12.5">
      <c r="A258" s="6">
        <v>256</v>
      </c>
      <c r="B258" s="6">
        <v>309</v>
      </c>
      <c r="C258" s="6">
        <v>1961</v>
      </c>
      <c r="D258" s="6">
        <f t="shared" si="12"/>
        <v>64</v>
      </c>
      <c r="E258" s="7" t="s">
        <v>12</v>
      </c>
      <c r="F258" s="7" t="s">
        <v>11</v>
      </c>
      <c r="G258" s="6">
        <v>63342</v>
      </c>
      <c r="H258" s="6" t="str" cm="1">
        <f t="array" ref="H258">_xlfn.IFS(
  G258 &lt; 25000, "Low",
  AND(G258 &gt;= 25000, G258 &lt; 75000), "Medium",
  AND(G258 &gt;= 75000, G258 &lt; 150000), "High",
  G258 &gt;= 150000, "Very High"
)</f>
        <v>Medium</v>
      </c>
      <c r="I258" s="6">
        <v>0</v>
      </c>
      <c r="J258" s="6">
        <v>1</v>
      </c>
      <c r="K258" s="6">
        <f t="shared" si="13"/>
        <v>1</v>
      </c>
      <c r="L258" s="9">
        <v>41198</v>
      </c>
      <c r="M258" t="str">
        <f t="shared" ca="1" si="14"/>
        <v>13 years, 4 months</v>
      </c>
      <c r="N258" s="6">
        <v>48</v>
      </c>
      <c r="O258">
        <v>21</v>
      </c>
      <c r="P258">
        <v>10</v>
      </c>
      <c r="Q258">
        <f t="shared" si="15"/>
        <v>31</v>
      </c>
      <c r="R258">
        <v>8</v>
      </c>
      <c r="S258">
        <v>5</v>
      </c>
      <c r="T258">
        <f>Table[[#This Row],[NumWebPurchases]]+Table[[#This Row],[NumStorePurchases]]</f>
        <v>13</v>
      </c>
    </row>
    <row r="259" spans="1:20" ht="12.5">
      <c r="A259" s="6">
        <v>257</v>
      </c>
      <c r="B259" s="6">
        <v>3406</v>
      </c>
      <c r="C259" s="6">
        <v>1964</v>
      </c>
      <c r="D259" s="6">
        <f t="shared" ref="D259:D322" si="16">2025-C259</f>
        <v>61</v>
      </c>
      <c r="E259" s="7" t="s">
        <v>9</v>
      </c>
      <c r="F259" s="7" t="s">
        <v>10</v>
      </c>
      <c r="G259" s="6">
        <v>45989</v>
      </c>
      <c r="H259" s="6" t="str" cm="1">
        <f t="array" ref="H259">_xlfn.IFS(
  G259 &lt; 25000, "Low",
  AND(G259 &gt;= 25000, G259 &lt; 75000), "Medium",
  AND(G259 &gt;= 75000, G259 &lt; 150000), "High",
  G259 &gt;= 150000, "Very High"
)</f>
        <v>Medium</v>
      </c>
      <c r="I259" s="6">
        <v>0</v>
      </c>
      <c r="J259" s="6">
        <v>1</v>
      </c>
      <c r="K259" s="6">
        <f t="shared" ref="K259:K322" si="17">I259+J259</f>
        <v>1</v>
      </c>
      <c r="L259" s="9">
        <v>41204</v>
      </c>
      <c r="M259" t="str">
        <f t="shared" ref="M259:M322" ca="1" si="18">DATEDIF(L259, TODAY(), "Y") &amp; " years, " &amp; DATEDIF(L259, TODAY(), "YM") &amp; " months"</f>
        <v>13 years, 4 months</v>
      </c>
      <c r="N259" s="6">
        <v>97</v>
      </c>
      <c r="O259">
        <v>33</v>
      </c>
      <c r="P259">
        <v>24</v>
      </c>
      <c r="Q259">
        <f t="shared" ref="Q259:Q322" si="19">O259+P259</f>
        <v>57</v>
      </c>
      <c r="R259">
        <v>3</v>
      </c>
      <c r="S259">
        <v>7</v>
      </c>
      <c r="T259">
        <f>Table[[#This Row],[NumWebPurchases]]+Table[[#This Row],[NumStorePurchases]]</f>
        <v>10</v>
      </c>
    </row>
    <row r="260" spans="1:20" ht="12.5">
      <c r="A260" s="6">
        <v>258</v>
      </c>
      <c r="B260" s="6">
        <v>2661</v>
      </c>
      <c r="C260" s="6">
        <v>1964</v>
      </c>
      <c r="D260" s="6">
        <f t="shared" si="16"/>
        <v>61</v>
      </c>
      <c r="E260" s="7" t="s">
        <v>9</v>
      </c>
      <c r="F260" s="7" t="s">
        <v>10</v>
      </c>
      <c r="G260" s="6">
        <v>18701</v>
      </c>
      <c r="H260" s="6" t="str" cm="1">
        <f t="array" ref="H260">_xlfn.IFS(
  G260 &lt; 25000, "Low",
  AND(G260 &gt;= 25000, G260 &lt; 75000), "Medium",
  AND(G260 &gt;= 75000, G260 &lt; 150000), "High",
  G260 &gt;= 150000, "Very High"
)</f>
        <v>Low</v>
      </c>
      <c r="I260" s="6">
        <v>1</v>
      </c>
      <c r="J260" s="6">
        <v>1</v>
      </c>
      <c r="K260" s="6">
        <f t="shared" si="17"/>
        <v>2</v>
      </c>
      <c r="L260" s="8">
        <v>41429</v>
      </c>
      <c r="M260" t="str">
        <f t="shared" ca="1" si="18"/>
        <v>12 years, 9 months</v>
      </c>
      <c r="N260" s="6">
        <v>95</v>
      </c>
      <c r="O260">
        <v>4</v>
      </c>
      <c r="P260">
        <v>6</v>
      </c>
      <c r="Q260">
        <f t="shared" si="19"/>
        <v>10</v>
      </c>
      <c r="R260">
        <v>2</v>
      </c>
      <c r="S260">
        <v>4</v>
      </c>
      <c r="T260">
        <f>Table[[#This Row],[NumWebPurchases]]+Table[[#This Row],[NumStorePurchases]]</f>
        <v>6</v>
      </c>
    </row>
    <row r="261" spans="1:20" ht="12.5">
      <c r="A261" s="6">
        <v>259</v>
      </c>
      <c r="B261" s="6">
        <v>3153</v>
      </c>
      <c r="C261" s="6">
        <v>1957</v>
      </c>
      <c r="D261" s="6">
        <f t="shared" si="16"/>
        <v>68</v>
      </c>
      <c r="E261" s="7" t="s">
        <v>12</v>
      </c>
      <c r="F261" s="7" t="s">
        <v>10</v>
      </c>
      <c r="G261" s="6">
        <v>40737</v>
      </c>
      <c r="H261" s="6" t="str" cm="1">
        <f t="array" ref="H261">_xlfn.IFS(
  G261 &lt; 25000, "Low",
  AND(G261 &gt;= 25000, G261 &lt; 75000), "Medium",
  AND(G261 &gt;= 75000, G261 &lt; 150000), "High",
  G261 &gt;= 150000, "Very High"
)</f>
        <v>Medium</v>
      </c>
      <c r="I261" s="6">
        <v>2</v>
      </c>
      <c r="J261" s="6">
        <v>1</v>
      </c>
      <c r="K261" s="6">
        <f t="shared" si="17"/>
        <v>3</v>
      </c>
      <c r="L261" s="8">
        <v>41616</v>
      </c>
      <c r="M261" t="str">
        <f t="shared" ca="1" si="18"/>
        <v>12 years, 2 months</v>
      </c>
      <c r="N261" s="6">
        <v>24</v>
      </c>
      <c r="O261">
        <v>0</v>
      </c>
      <c r="P261">
        <v>0</v>
      </c>
      <c r="Q261">
        <f t="shared" si="19"/>
        <v>0</v>
      </c>
      <c r="R261">
        <v>1</v>
      </c>
      <c r="S261">
        <v>2</v>
      </c>
      <c r="T261">
        <f>Table[[#This Row],[NumWebPurchases]]+Table[[#This Row],[NumStorePurchases]]</f>
        <v>3</v>
      </c>
    </row>
    <row r="262" spans="1:20" ht="12.5">
      <c r="A262" s="6">
        <v>260</v>
      </c>
      <c r="B262" s="6">
        <v>10264</v>
      </c>
      <c r="C262" s="6">
        <v>1979</v>
      </c>
      <c r="D262" s="6">
        <f t="shared" si="16"/>
        <v>46</v>
      </c>
      <c r="E262" s="7" t="s">
        <v>9</v>
      </c>
      <c r="F262" s="7" t="s">
        <v>15</v>
      </c>
      <c r="G262" s="6">
        <v>15287</v>
      </c>
      <c r="H262" s="6" t="str" cm="1">
        <f t="array" ref="H262">_xlfn.IFS(
  G262 &lt; 25000, "Low",
  AND(G262 &gt;= 25000, G262 &lt; 75000), "Medium",
  AND(G262 &gt;= 75000, G262 &lt; 150000), "High",
  G262 &gt;= 150000, "Very High"
)</f>
        <v>Low</v>
      </c>
      <c r="I262" s="6">
        <v>1</v>
      </c>
      <c r="J262" s="6">
        <v>0</v>
      </c>
      <c r="K262" s="6">
        <f t="shared" si="17"/>
        <v>1</v>
      </c>
      <c r="L262" s="9">
        <v>41192</v>
      </c>
      <c r="M262" t="str">
        <f t="shared" ca="1" si="18"/>
        <v>13 years, 4 months</v>
      </c>
      <c r="N262" s="6">
        <v>60</v>
      </c>
      <c r="O262">
        <v>2</v>
      </c>
      <c r="P262">
        <v>3</v>
      </c>
      <c r="Q262">
        <f t="shared" si="19"/>
        <v>5</v>
      </c>
      <c r="R262">
        <v>1</v>
      </c>
      <c r="S262">
        <v>2</v>
      </c>
      <c r="T262">
        <f>Table[[#This Row],[NumWebPurchases]]+Table[[#This Row],[NumStorePurchases]]</f>
        <v>3</v>
      </c>
    </row>
    <row r="263" spans="1:20" ht="12.5">
      <c r="A263" s="6">
        <v>261</v>
      </c>
      <c r="B263" s="6">
        <v>1184</v>
      </c>
      <c r="C263" s="6">
        <v>1968</v>
      </c>
      <c r="D263" s="6">
        <f t="shared" si="16"/>
        <v>57</v>
      </c>
      <c r="E263" s="7" t="s">
        <v>12</v>
      </c>
      <c r="F263" s="7" t="s">
        <v>15</v>
      </c>
      <c r="G263" s="6">
        <v>69674</v>
      </c>
      <c r="H263" s="6" t="str" cm="1">
        <f t="array" ref="H263">_xlfn.IFS(
  G263 &lt; 25000, "Low",
  AND(G263 &gt;= 25000, G263 &lt; 75000), "Medium",
  AND(G263 &gt;= 75000, G263 &lt; 150000), "High",
  G263 &gt;= 150000, "Very High"
)</f>
        <v>Medium</v>
      </c>
      <c r="I263" s="6">
        <v>0</v>
      </c>
      <c r="J263" s="6">
        <v>2</v>
      </c>
      <c r="K263" s="6">
        <f t="shared" si="17"/>
        <v>2</v>
      </c>
      <c r="L263" s="8">
        <v>41416</v>
      </c>
      <c r="M263" t="str">
        <f t="shared" ca="1" si="18"/>
        <v>12 years, 9 months</v>
      </c>
      <c r="N263" s="6">
        <v>46</v>
      </c>
      <c r="O263">
        <v>41</v>
      </c>
      <c r="P263">
        <v>0</v>
      </c>
      <c r="Q263">
        <f t="shared" si="19"/>
        <v>41</v>
      </c>
      <c r="R263">
        <v>10</v>
      </c>
      <c r="S263">
        <v>10</v>
      </c>
      <c r="T263">
        <f>Table[[#This Row],[NumWebPurchases]]+Table[[#This Row],[NumStorePurchases]]</f>
        <v>20</v>
      </c>
    </row>
    <row r="264" spans="1:20" ht="12.5">
      <c r="A264" s="6">
        <v>262</v>
      </c>
      <c r="B264" s="6">
        <v>4200</v>
      </c>
      <c r="C264" s="6">
        <v>1970</v>
      </c>
      <c r="D264" s="6">
        <f t="shared" si="16"/>
        <v>55</v>
      </c>
      <c r="E264" s="7" t="s">
        <v>14</v>
      </c>
      <c r="F264" s="7" t="s">
        <v>13</v>
      </c>
      <c r="G264" s="6">
        <v>44159</v>
      </c>
      <c r="H264" s="6" t="str" cm="1">
        <f t="array" ref="H264">_xlfn.IFS(
  G264 &lt; 25000, "Low",
  AND(G264 &gt;= 25000, G264 &lt; 75000), "Medium",
  AND(G264 &gt;= 75000, G264 &lt; 150000), "High",
  G264 &gt;= 150000, "Very High"
)</f>
        <v>Medium</v>
      </c>
      <c r="I264" s="6">
        <v>1</v>
      </c>
      <c r="J264" s="6">
        <v>0</v>
      </c>
      <c r="K264" s="6">
        <f t="shared" si="17"/>
        <v>1</v>
      </c>
      <c r="L264" s="8">
        <v>41807</v>
      </c>
      <c r="M264" t="str">
        <f t="shared" ca="1" si="18"/>
        <v>11 years, 8 months</v>
      </c>
      <c r="N264" s="6">
        <v>85</v>
      </c>
      <c r="O264">
        <v>2</v>
      </c>
      <c r="P264">
        <v>13</v>
      </c>
      <c r="Q264">
        <f t="shared" si="19"/>
        <v>15</v>
      </c>
      <c r="R264">
        <v>4</v>
      </c>
      <c r="S264">
        <v>6</v>
      </c>
      <c r="T264">
        <f>Table[[#This Row],[NumWebPurchases]]+Table[[#This Row],[NumStorePurchases]]</f>
        <v>10</v>
      </c>
    </row>
    <row r="265" spans="1:20" ht="12.5">
      <c r="A265" s="6">
        <v>263</v>
      </c>
      <c r="B265" s="6">
        <v>9396</v>
      </c>
      <c r="C265" s="6">
        <v>1978</v>
      </c>
      <c r="D265" s="6">
        <f t="shared" si="16"/>
        <v>47</v>
      </c>
      <c r="E265" s="7" t="s">
        <v>12</v>
      </c>
      <c r="F265" s="7" t="s">
        <v>13</v>
      </c>
      <c r="G265" s="6">
        <v>37717</v>
      </c>
      <c r="H265" s="6" t="str" cm="1">
        <f t="array" ref="H265">_xlfn.IFS(
  G265 &lt; 25000, "Low",
  AND(G265 &gt;= 25000, G265 &lt; 75000), "Medium",
  AND(G265 &gt;= 75000, G265 &lt; 150000), "High",
  G265 &gt;= 150000, "Very High"
)</f>
        <v>Medium</v>
      </c>
      <c r="I265" s="6">
        <v>1</v>
      </c>
      <c r="J265" s="6">
        <v>0</v>
      </c>
      <c r="K265" s="6">
        <f t="shared" si="17"/>
        <v>1</v>
      </c>
      <c r="L265" s="9">
        <v>41236</v>
      </c>
      <c r="M265" t="str">
        <f t="shared" ca="1" si="18"/>
        <v>13 years, 3 months</v>
      </c>
      <c r="N265" s="6">
        <v>31</v>
      </c>
      <c r="O265">
        <v>0</v>
      </c>
      <c r="P265">
        <v>1</v>
      </c>
      <c r="Q265">
        <f t="shared" si="19"/>
        <v>1</v>
      </c>
      <c r="R265">
        <v>1</v>
      </c>
      <c r="S265">
        <v>2</v>
      </c>
      <c r="T265">
        <f>Table[[#This Row],[NumWebPurchases]]+Table[[#This Row],[NumStorePurchases]]</f>
        <v>3</v>
      </c>
    </row>
    <row r="266" spans="1:20" ht="12.5">
      <c r="A266" s="6">
        <v>264</v>
      </c>
      <c r="B266" s="6">
        <v>2387</v>
      </c>
      <c r="C266" s="6">
        <v>1952</v>
      </c>
      <c r="D266" s="6">
        <f t="shared" si="16"/>
        <v>73</v>
      </c>
      <c r="E266" s="7" t="s">
        <v>14</v>
      </c>
      <c r="F266" s="7" t="s">
        <v>11</v>
      </c>
      <c r="G266" s="6">
        <v>43776</v>
      </c>
      <c r="H266" s="6" t="str" cm="1">
        <f t="array" ref="H266">_xlfn.IFS(
  G266 &lt; 25000, "Low",
  AND(G266 &gt;= 25000, G266 &lt; 75000), "Medium",
  AND(G266 &gt;= 75000, G266 &lt; 150000), "High",
  G266 &gt;= 150000, "Very High"
)</f>
        <v>Medium</v>
      </c>
      <c r="I266" s="6">
        <v>1</v>
      </c>
      <c r="J266" s="6">
        <v>1</v>
      </c>
      <c r="K266" s="6">
        <f t="shared" si="17"/>
        <v>2</v>
      </c>
      <c r="L266" s="8">
        <v>41308</v>
      </c>
      <c r="M266" t="str">
        <f t="shared" ca="1" si="18"/>
        <v>13 years, 1 months</v>
      </c>
      <c r="N266" s="6">
        <v>9</v>
      </c>
      <c r="O266">
        <v>2</v>
      </c>
      <c r="P266">
        <v>2</v>
      </c>
      <c r="Q266">
        <f t="shared" si="19"/>
        <v>4</v>
      </c>
      <c r="R266">
        <v>5</v>
      </c>
      <c r="S266">
        <v>4</v>
      </c>
      <c r="T266">
        <f>Table[[#This Row],[NumWebPurchases]]+Table[[#This Row],[NumStorePurchases]]</f>
        <v>9</v>
      </c>
    </row>
    <row r="267" spans="1:20" ht="12.5">
      <c r="A267" s="6">
        <v>265</v>
      </c>
      <c r="B267" s="6">
        <v>6690</v>
      </c>
      <c r="C267" s="6">
        <v>1966</v>
      </c>
      <c r="D267" s="6">
        <f t="shared" si="16"/>
        <v>59</v>
      </c>
      <c r="E267" s="7" t="s">
        <v>14</v>
      </c>
      <c r="F267" s="7" t="s">
        <v>13</v>
      </c>
      <c r="G267" s="6">
        <v>38179</v>
      </c>
      <c r="H267" s="6" t="str" cm="1">
        <f t="array" ref="H267">_xlfn.IFS(
  G267 &lt; 25000, "Low",
  AND(G267 &gt;= 25000, G267 &lt; 75000), "Medium",
  AND(G267 &gt;= 75000, G267 &lt; 150000), "High",
  G267 &gt;= 150000, "Very High"
)</f>
        <v>Medium</v>
      </c>
      <c r="I267" s="6">
        <v>1</v>
      </c>
      <c r="J267" s="6">
        <v>1</v>
      </c>
      <c r="K267" s="6">
        <f t="shared" si="17"/>
        <v>2</v>
      </c>
      <c r="L267" s="8">
        <v>41347</v>
      </c>
      <c r="M267" t="str">
        <f t="shared" ca="1" si="18"/>
        <v>12 years, 11 months</v>
      </c>
      <c r="N267" s="6">
        <v>30</v>
      </c>
      <c r="O267">
        <v>4</v>
      </c>
      <c r="P267">
        <v>2</v>
      </c>
      <c r="Q267">
        <f t="shared" si="19"/>
        <v>6</v>
      </c>
      <c r="R267">
        <v>3</v>
      </c>
      <c r="S267">
        <v>3</v>
      </c>
      <c r="T267">
        <f>Table[[#This Row],[NumWebPurchases]]+Table[[#This Row],[NumStorePurchases]]</f>
        <v>6</v>
      </c>
    </row>
    <row r="268" spans="1:20" ht="12.5">
      <c r="A268" s="6">
        <v>266</v>
      </c>
      <c r="B268" s="6">
        <v>1225</v>
      </c>
      <c r="C268" s="6">
        <v>1963</v>
      </c>
      <c r="D268" s="6">
        <f t="shared" si="16"/>
        <v>62</v>
      </c>
      <c r="E268" s="7" t="s">
        <v>9</v>
      </c>
      <c r="F268" s="7" t="s">
        <v>13</v>
      </c>
      <c r="G268" s="6">
        <v>80124</v>
      </c>
      <c r="H268" s="6" t="str" cm="1">
        <f t="array" ref="H268">_xlfn.IFS(
  G268 &lt; 25000, "Low",
  AND(G268 &gt;= 25000, G268 &lt; 75000), "Medium",
  AND(G268 &gt;= 75000, G268 &lt; 150000), "High",
  G268 &gt;= 150000, "Very High"
)</f>
        <v>High</v>
      </c>
      <c r="I268" s="6">
        <v>0</v>
      </c>
      <c r="J268" s="6">
        <v>0</v>
      </c>
      <c r="K268" s="6">
        <f t="shared" si="17"/>
        <v>0</v>
      </c>
      <c r="L268" s="8">
        <v>41816</v>
      </c>
      <c r="M268" t="str">
        <f t="shared" ca="1" si="18"/>
        <v>11 years, 8 months</v>
      </c>
      <c r="N268" s="6">
        <v>47</v>
      </c>
      <c r="O268">
        <v>84</v>
      </c>
      <c r="P268">
        <v>84</v>
      </c>
      <c r="Q268">
        <f t="shared" si="19"/>
        <v>168</v>
      </c>
      <c r="R268">
        <v>3</v>
      </c>
      <c r="S268">
        <v>8</v>
      </c>
      <c r="T268">
        <f>Table[[#This Row],[NumWebPurchases]]+Table[[#This Row],[NumStorePurchases]]</f>
        <v>11</v>
      </c>
    </row>
    <row r="269" spans="1:20" ht="12.5">
      <c r="A269" s="6">
        <v>267</v>
      </c>
      <c r="B269" s="6">
        <v>9703</v>
      </c>
      <c r="C269" s="6">
        <v>1970</v>
      </c>
      <c r="D269" s="6">
        <f t="shared" si="16"/>
        <v>55</v>
      </c>
      <c r="E269" s="7" t="s">
        <v>12</v>
      </c>
      <c r="F269" s="7" t="s">
        <v>13</v>
      </c>
      <c r="G269" s="6">
        <v>38097</v>
      </c>
      <c r="H269" s="6" t="str" cm="1">
        <f t="array" ref="H269">_xlfn.IFS(
  G269 &lt; 25000, "Low",
  AND(G269 &gt;= 25000, G269 &lt; 75000), "Medium",
  AND(G269 &gt;= 75000, G269 &lt; 150000), "High",
  G269 &gt;= 150000, "Very High"
)</f>
        <v>Medium</v>
      </c>
      <c r="I269" s="6">
        <v>1</v>
      </c>
      <c r="J269" s="6">
        <v>1</v>
      </c>
      <c r="K269" s="6">
        <f t="shared" si="17"/>
        <v>2</v>
      </c>
      <c r="L269" s="9">
        <v>41197</v>
      </c>
      <c r="M269" t="str">
        <f t="shared" ca="1" si="18"/>
        <v>13 years, 4 months</v>
      </c>
      <c r="N269" s="6">
        <v>70</v>
      </c>
      <c r="O269">
        <v>2</v>
      </c>
      <c r="P269">
        <v>1</v>
      </c>
      <c r="Q269">
        <f t="shared" si="19"/>
        <v>3</v>
      </c>
      <c r="R269">
        <v>3</v>
      </c>
      <c r="S269">
        <v>2</v>
      </c>
      <c r="T269">
        <f>Table[[#This Row],[NumWebPurchases]]+Table[[#This Row],[NumStorePurchases]]</f>
        <v>5</v>
      </c>
    </row>
    <row r="270" spans="1:20" ht="12.5">
      <c r="A270" s="6">
        <v>268</v>
      </c>
      <c r="B270" s="6">
        <v>291</v>
      </c>
      <c r="C270" s="6">
        <v>1970</v>
      </c>
      <c r="D270" s="6">
        <f t="shared" si="16"/>
        <v>55</v>
      </c>
      <c r="E270" s="7" t="s">
        <v>9</v>
      </c>
      <c r="F270" s="7" t="s">
        <v>13</v>
      </c>
      <c r="G270" s="6">
        <v>72940</v>
      </c>
      <c r="H270" s="6" t="str" cm="1">
        <f t="array" ref="H270">_xlfn.IFS(
  G270 &lt; 25000, "Low",
  AND(G270 &gt;= 25000, G270 &lt; 75000), "Medium",
  AND(G270 &gt;= 75000, G270 &lt; 150000), "High",
  G270 &gt;= 150000, "Very High"
)</f>
        <v>Medium</v>
      </c>
      <c r="I270" s="6">
        <v>0</v>
      </c>
      <c r="J270" s="6">
        <v>0</v>
      </c>
      <c r="K270" s="6">
        <f t="shared" si="17"/>
        <v>0</v>
      </c>
      <c r="L270" s="8">
        <v>41444</v>
      </c>
      <c r="M270" t="str">
        <f t="shared" ca="1" si="18"/>
        <v>12 years, 8 months</v>
      </c>
      <c r="N270" s="6">
        <v>13</v>
      </c>
      <c r="O270">
        <v>74</v>
      </c>
      <c r="P270">
        <v>149</v>
      </c>
      <c r="Q270">
        <f t="shared" si="19"/>
        <v>223</v>
      </c>
      <c r="R270">
        <v>3</v>
      </c>
      <c r="S270">
        <v>6</v>
      </c>
      <c r="T270">
        <f>Table[[#This Row],[NumWebPurchases]]+Table[[#This Row],[NumStorePurchases]]</f>
        <v>9</v>
      </c>
    </row>
    <row r="271" spans="1:20" ht="12.5">
      <c r="A271" s="6">
        <v>269</v>
      </c>
      <c r="B271" s="6">
        <v>4557</v>
      </c>
      <c r="C271" s="6">
        <v>1970</v>
      </c>
      <c r="D271" s="6">
        <f t="shared" si="16"/>
        <v>55</v>
      </c>
      <c r="E271" s="7" t="s">
        <v>9</v>
      </c>
      <c r="F271" s="7" t="s">
        <v>11</v>
      </c>
      <c r="G271" s="6">
        <v>22070</v>
      </c>
      <c r="H271" s="6" t="str" cm="1">
        <f t="array" ref="H271">_xlfn.IFS(
  G271 &lt; 25000, "Low",
  AND(G271 &gt;= 25000, G271 &lt; 75000), "Medium",
  AND(G271 &gt;= 75000, G271 &lt; 150000), "High",
  G271 &gt;= 150000, "Very High"
)</f>
        <v>Low</v>
      </c>
      <c r="I271" s="6">
        <v>1</v>
      </c>
      <c r="J271" s="6">
        <v>0</v>
      </c>
      <c r="K271" s="6">
        <f t="shared" si="17"/>
        <v>1</v>
      </c>
      <c r="L271" s="8">
        <v>41551</v>
      </c>
      <c r="M271" t="str">
        <f t="shared" ca="1" si="18"/>
        <v>12 years, 5 months</v>
      </c>
      <c r="N271" s="6">
        <v>11</v>
      </c>
      <c r="O271">
        <v>7</v>
      </c>
      <c r="P271">
        <v>2</v>
      </c>
      <c r="Q271">
        <f t="shared" si="19"/>
        <v>9</v>
      </c>
      <c r="R271">
        <v>2</v>
      </c>
      <c r="S271">
        <v>2</v>
      </c>
      <c r="T271">
        <f>Table[[#This Row],[NumWebPurchases]]+Table[[#This Row],[NumStorePurchases]]</f>
        <v>4</v>
      </c>
    </row>
    <row r="272" spans="1:20" ht="12.5">
      <c r="A272" s="6">
        <v>270</v>
      </c>
      <c r="B272" s="6">
        <v>2379</v>
      </c>
      <c r="C272" s="6">
        <v>1953</v>
      </c>
      <c r="D272" s="6">
        <f t="shared" si="16"/>
        <v>72</v>
      </c>
      <c r="E272" s="7" t="s">
        <v>9</v>
      </c>
      <c r="F272" s="7" t="s">
        <v>10</v>
      </c>
      <c r="G272" s="6">
        <v>69267</v>
      </c>
      <c r="H272" s="6" t="str" cm="1">
        <f t="array" ref="H272">_xlfn.IFS(
  G272 &lt; 25000, "Low",
  AND(G272 &gt;= 25000, G272 &lt; 75000), "Medium",
  AND(G272 &gt;= 75000, G272 &lt; 150000), "High",
  G272 &gt;= 150000, "Very High"
)</f>
        <v>Medium</v>
      </c>
      <c r="I272" s="6">
        <v>0</v>
      </c>
      <c r="J272" s="6">
        <v>0</v>
      </c>
      <c r="K272" s="6">
        <f t="shared" si="17"/>
        <v>0</v>
      </c>
      <c r="L272" s="8">
        <v>41174</v>
      </c>
      <c r="M272" t="str">
        <f t="shared" ca="1" si="18"/>
        <v>13 years, 5 months</v>
      </c>
      <c r="N272" s="6">
        <v>31</v>
      </c>
      <c r="O272">
        <v>44</v>
      </c>
      <c r="P272">
        <v>73</v>
      </c>
      <c r="Q272">
        <f t="shared" si="19"/>
        <v>117</v>
      </c>
      <c r="R272">
        <v>3</v>
      </c>
      <c r="S272">
        <v>5</v>
      </c>
      <c r="T272">
        <f>Table[[#This Row],[NumWebPurchases]]+Table[[#This Row],[NumStorePurchases]]</f>
        <v>8</v>
      </c>
    </row>
    <row r="273" spans="1:20" ht="12.5">
      <c r="A273" s="6">
        <v>271</v>
      </c>
      <c r="B273" s="6">
        <v>5726</v>
      </c>
      <c r="C273" s="6">
        <v>1983</v>
      </c>
      <c r="D273" s="6">
        <f t="shared" si="16"/>
        <v>42</v>
      </c>
      <c r="E273" s="7" t="s">
        <v>14</v>
      </c>
      <c r="F273" s="7" t="s">
        <v>10</v>
      </c>
      <c r="G273" s="6">
        <v>31788</v>
      </c>
      <c r="H273" s="6" t="str" cm="1">
        <f t="array" ref="H273">_xlfn.IFS(
  G273 &lt; 25000, "Low",
  AND(G273 &gt;= 25000, G273 &lt; 75000), "Medium",
  AND(G273 &gt;= 75000, G273 &lt; 150000), "High",
  G273 &gt;= 150000, "Very High"
)</f>
        <v>Medium</v>
      </c>
      <c r="I273" s="6">
        <v>1</v>
      </c>
      <c r="J273" s="6">
        <v>0</v>
      </c>
      <c r="K273" s="6">
        <f t="shared" si="17"/>
        <v>1</v>
      </c>
      <c r="L273" s="8">
        <v>41718</v>
      </c>
      <c r="M273" t="str">
        <f t="shared" ca="1" si="18"/>
        <v>11 years, 11 months</v>
      </c>
      <c r="N273" s="6">
        <v>15</v>
      </c>
      <c r="O273">
        <v>7</v>
      </c>
      <c r="P273">
        <v>8</v>
      </c>
      <c r="Q273">
        <f t="shared" si="19"/>
        <v>15</v>
      </c>
      <c r="R273">
        <v>3</v>
      </c>
      <c r="S273">
        <v>4</v>
      </c>
      <c r="T273">
        <f>Table[[#This Row],[NumWebPurchases]]+Table[[#This Row],[NumStorePurchases]]</f>
        <v>7</v>
      </c>
    </row>
    <row r="274" spans="1:20" ht="12.5">
      <c r="A274" s="6">
        <v>272</v>
      </c>
      <c r="B274" s="6">
        <v>3066</v>
      </c>
      <c r="C274" s="6">
        <v>1975</v>
      </c>
      <c r="D274" s="6">
        <f t="shared" si="16"/>
        <v>50</v>
      </c>
      <c r="E274" s="7" t="s">
        <v>12</v>
      </c>
      <c r="F274" s="7" t="s">
        <v>11</v>
      </c>
      <c r="G274" s="6">
        <v>61905</v>
      </c>
      <c r="H274" s="6" t="str" cm="1">
        <f t="array" ref="H274">_xlfn.IFS(
  G274 &lt; 25000, "Low",
  AND(G274 &gt;= 25000, G274 &lt; 75000), "Medium",
  AND(G274 &gt;= 75000, G274 &lt; 150000), "High",
  G274 &gt;= 150000, "Very High"
)</f>
        <v>Medium</v>
      </c>
      <c r="I274" s="6">
        <v>0</v>
      </c>
      <c r="J274" s="6">
        <v>1</v>
      </c>
      <c r="K274" s="6">
        <f t="shared" si="17"/>
        <v>1</v>
      </c>
      <c r="L274" s="8">
        <v>41674</v>
      </c>
      <c r="M274" t="str">
        <f t="shared" ca="1" si="18"/>
        <v>12 years, 1 months</v>
      </c>
      <c r="N274" s="6">
        <v>2</v>
      </c>
      <c r="O274">
        <v>0</v>
      </c>
      <c r="P274">
        <v>2</v>
      </c>
      <c r="Q274">
        <f t="shared" si="19"/>
        <v>2</v>
      </c>
      <c r="R274">
        <v>4</v>
      </c>
      <c r="S274">
        <v>4</v>
      </c>
      <c r="T274">
        <f>Table[[#This Row],[NumWebPurchases]]+Table[[#This Row],[NumStorePurchases]]</f>
        <v>8</v>
      </c>
    </row>
    <row r="275" spans="1:20" ht="12.5">
      <c r="A275" s="6">
        <v>273</v>
      </c>
      <c r="B275" s="6">
        <v>6336</v>
      </c>
      <c r="C275" s="6">
        <v>1960</v>
      </c>
      <c r="D275" s="6">
        <f t="shared" si="16"/>
        <v>65</v>
      </c>
      <c r="E275" s="7" t="s">
        <v>9</v>
      </c>
      <c r="F275" s="7" t="s">
        <v>13</v>
      </c>
      <c r="G275" s="6">
        <v>29315</v>
      </c>
      <c r="H275" s="6" t="str" cm="1">
        <f t="array" ref="H275">_xlfn.IFS(
  G275 &lt; 25000, "Low",
  AND(G275 &gt;= 25000, G275 &lt; 75000), "Medium",
  AND(G275 &gt;= 75000, G275 &lt; 150000), "High",
  G275 &gt;= 150000, "Very High"
)</f>
        <v>Medium</v>
      </c>
      <c r="I275" s="6">
        <v>1</v>
      </c>
      <c r="J275" s="6">
        <v>1</v>
      </c>
      <c r="K275" s="6">
        <f t="shared" si="17"/>
        <v>2</v>
      </c>
      <c r="L275" s="8">
        <v>41735</v>
      </c>
      <c r="M275" t="str">
        <f t="shared" ca="1" si="18"/>
        <v>11 years, 11 months</v>
      </c>
      <c r="N275" s="6">
        <v>55</v>
      </c>
      <c r="O275">
        <v>2</v>
      </c>
      <c r="P275">
        <v>7</v>
      </c>
      <c r="Q275">
        <f t="shared" si="19"/>
        <v>9</v>
      </c>
      <c r="R275">
        <v>2</v>
      </c>
      <c r="S275">
        <v>4</v>
      </c>
      <c r="T275">
        <f>Table[[#This Row],[NumWebPurchases]]+Table[[#This Row],[NumStorePurchases]]</f>
        <v>6</v>
      </c>
    </row>
    <row r="276" spans="1:20" ht="12.5">
      <c r="A276" s="6">
        <v>274</v>
      </c>
      <c r="B276" s="6">
        <v>10967</v>
      </c>
      <c r="C276" s="6">
        <v>1963</v>
      </c>
      <c r="D276" s="6">
        <f t="shared" si="16"/>
        <v>62</v>
      </c>
      <c r="E276" s="7" t="s">
        <v>9</v>
      </c>
      <c r="F276" s="7" t="s">
        <v>15</v>
      </c>
      <c r="G276" s="6">
        <v>33378</v>
      </c>
      <c r="H276" s="6" t="str" cm="1">
        <f t="array" ref="H276">_xlfn.IFS(
  G276 &lt; 25000, "Low",
  AND(G276 &gt;= 25000, G276 &lt; 75000), "Medium",
  AND(G276 &gt;= 75000, G276 &lt; 150000), "High",
  G276 &gt;= 150000, "Very High"
)</f>
        <v>Medium</v>
      </c>
      <c r="I276" s="6">
        <v>1</v>
      </c>
      <c r="J276" s="6">
        <v>1</v>
      </c>
      <c r="K276" s="6">
        <f t="shared" si="17"/>
        <v>2</v>
      </c>
      <c r="L276" s="8">
        <v>41311</v>
      </c>
      <c r="M276" t="str">
        <f t="shared" ca="1" si="18"/>
        <v>13 years, 1 months</v>
      </c>
      <c r="N276" s="6">
        <v>38</v>
      </c>
      <c r="O276">
        <v>6</v>
      </c>
      <c r="P276">
        <v>7</v>
      </c>
      <c r="Q276">
        <f t="shared" si="19"/>
        <v>13</v>
      </c>
      <c r="R276">
        <v>2</v>
      </c>
      <c r="S276">
        <v>4</v>
      </c>
      <c r="T276">
        <f>Table[[#This Row],[NumWebPurchases]]+Table[[#This Row],[NumStorePurchases]]</f>
        <v>6</v>
      </c>
    </row>
    <row r="277" spans="1:20" ht="12.5">
      <c r="A277" s="6">
        <v>275</v>
      </c>
      <c r="B277" s="6">
        <v>2304</v>
      </c>
      <c r="C277" s="6">
        <v>1963</v>
      </c>
      <c r="D277" s="6">
        <f t="shared" si="16"/>
        <v>62</v>
      </c>
      <c r="E277" s="7" t="s">
        <v>12</v>
      </c>
      <c r="F277" s="7" t="s">
        <v>11</v>
      </c>
      <c r="G277" s="6">
        <v>66313</v>
      </c>
      <c r="H277" s="6" t="str" cm="1">
        <f t="array" ref="H277">_xlfn.IFS(
  G277 &lt; 25000, "Low",
  AND(G277 &gt;= 25000, G277 &lt; 75000), "Medium",
  AND(G277 &gt;= 75000, G277 &lt; 150000), "High",
  G277 &gt;= 150000, "Very High"
)</f>
        <v>Medium</v>
      </c>
      <c r="I277" s="6">
        <v>0</v>
      </c>
      <c r="J277" s="6">
        <v>1</v>
      </c>
      <c r="K277" s="6">
        <f t="shared" si="17"/>
        <v>1</v>
      </c>
      <c r="L277" s="8">
        <v>41533</v>
      </c>
      <c r="M277" t="str">
        <f t="shared" ca="1" si="18"/>
        <v>12 years, 5 months</v>
      </c>
      <c r="N277" s="6">
        <v>86</v>
      </c>
      <c r="O277">
        <v>7</v>
      </c>
      <c r="P277">
        <v>22</v>
      </c>
      <c r="Q277">
        <f t="shared" si="19"/>
        <v>29</v>
      </c>
      <c r="R277">
        <v>6</v>
      </c>
      <c r="S277">
        <v>12</v>
      </c>
      <c r="T277">
        <f>Table[[#This Row],[NumWebPurchases]]+Table[[#This Row],[NumStorePurchases]]</f>
        <v>18</v>
      </c>
    </row>
    <row r="278" spans="1:20" ht="12.5">
      <c r="A278" s="6">
        <v>276</v>
      </c>
      <c r="B278" s="6">
        <v>3445</v>
      </c>
      <c r="C278" s="6">
        <v>1956</v>
      </c>
      <c r="D278" s="6">
        <f t="shared" si="16"/>
        <v>69</v>
      </c>
      <c r="E278" s="7" t="s">
        <v>9</v>
      </c>
      <c r="F278" s="7" t="s">
        <v>10</v>
      </c>
      <c r="G278" s="6">
        <v>60714</v>
      </c>
      <c r="H278" s="6" t="str" cm="1">
        <f t="array" ref="H278">_xlfn.IFS(
  G278 &lt; 25000, "Low",
  AND(G278 &gt;= 25000, G278 &lt; 75000), "Medium",
  AND(G278 &gt;= 75000, G278 &lt; 150000), "High",
  G278 &gt;= 150000, "Very High"
)</f>
        <v>Medium</v>
      </c>
      <c r="I278" s="6">
        <v>0</v>
      </c>
      <c r="J278" s="6">
        <v>0</v>
      </c>
      <c r="K278" s="6">
        <f t="shared" si="17"/>
        <v>0</v>
      </c>
      <c r="L278" s="8">
        <v>41291</v>
      </c>
      <c r="M278" t="str">
        <f t="shared" ca="1" si="18"/>
        <v>13 years, 1 months</v>
      </c>
      <c r="N278" s="6">
        <v>56</v>
      </c>
      <c r="O278">
        <v>162</v>
      </c>
      <c r="P278">
        <v>92</v>
      </c>
      <c r="Q278">
        <f t="shared" si="19"/>
        <v>254</v>
      </c>
      <c r="R278">
        <v>7</v>
      </c>
      <c r="S278">
        <v>10</v>
      </c>
      <c r="T278">
        <f>Table[[#This Row],[NumWebPurchases]]+Table[[#This Row],[NumStorePurchases]]</f>
        <v>17</v>
      </c>
    </row>
    <row r="279" spans="1:20" ht="12.5">
      <c r="A279" s="6">
        <v>277</v>
      </c>
      <c r="B279" s="6">
        <v>7828</v>
      </c>
      <c r="C279" s="6">
        <v>1981</v>
      </c>
      <c r="D279" s="6">
        <f t="shared" si="16"/>
        <v>44</v>
      </c>
      <c r="E279" s="7" t="s">
        <v>14</v>
      </c>
      <c r="F279" s="7" t="s">
        <v>11</v>
      </c>
      <c r="G279" s="6">
        <v>77882</v>
      </c>
      <c r="H279" s="6" t="str" cm="1">
        <f t="array" ref="H279">_xlfn.IFS(
  G279 &lt; 25000, "Low",
  AND(G279 &gt;= 25000, G279 &lt; 75000), "Medium",
  AND(G279 &gt;= 75000, G279 &lt; 150000), "High",
  G279 &gt;= 150000, "Very High"
)</f>
        <v>High</v>
      </c>
      <c r="I279" s="6">
        <v>0</v>
      </c>
      <c r="J279" s="6">
        <v>0</v>
      </c>
      <c r="K279" s="6">
        <f t="shared" si="17"/>
        <v>0</v>
      </c>
      <c r="L279" s="8">
        <v>41759</v>
      </c>
      <c r="M279" t="str">
        <f t="shared" ca="1" si="18"/>
        <v>11 years, 10 months</v>
      </c>
      <c r="N279" s="6">
        <v>29</v>
      </c>
      <c r="O279">
        <v>129</v>
      </c>
      <c r="P279">
        <v>22</v>
      </c>
      <c r="Q279">
        <f t="shared" si="19"/>
        <v>151</v>
      </c>
      <c r="R279">
        <v>3</v>
      </c>
      <c r="S279">
        <v>5</v>
      </c>
      <c r="T279">
        <f>Table[[#This Row],[NumWebPurchases]]+Table[[#This Row],[NumStorePurchases]]</f>
        <v>8</v>
      </c>
    </row>
    <row r="280" spans="1:20" ht="12.5">
      <c r="A280" s="6">
        <v>278</v>
      </c>
      <c r="B280" s="6">
        <v>3762</v>
      </c>
      <c r="C280" s="6">
        <v>1986</v>
      </c>
      <c r="D280" s="6">
        <f t="shared" si="16"/>
        <v>39</v>
      </c>
      <c r="E280" s="7" t="s">
        <v>12</v>
      </c>
      <c r="F280" s="7" t="s">
        <v>10</v>
      </c>
      <c r="G280" s="6">
        <v>69867</v>
      </c>
      <c r="H280" s="6" t="str" cm="1">
        <f t="array" ref="H280">_xlfn.IFS(
  G280 &lt; 25000, "Low",
  AND(G280 &gt;= 25000, G280 &lt; 75000), "Medium",
  AND(G280 &gt;= 75000, G280 &lt; 150000), "High",
  G280 &gt;= 150000, "Very High"
)</f>
        <v>Medium</v>
      </c>
      <c r="I280" s="6">
        <v>0</v>
      </c>
      <c r="J280" s="6">
        <v>0</v>
      </c>
      <c r="K280" s="6">
        <f t="shared" si="17"/>
        <v>0</v>
      </c>
      <c r="L280" s="8">
        <v>41366</v>
      </c>
      <c r="M280" t="str">
        <f t="shared" ca="1" si="18"/>
        <v>12 years, 11 months</v>
      </c>
      <c r="N280" s="6">
        <v>30</v>
      </c>
      <c r="O280">
        <v>0</v>
      </c>
      <c r="P280">
        <v>130</v>
      </c>
      <c r="Q280">
        <f t="shared" si="19"/>
        <v>130</v>
      </c>
      <c r="R280">
        <v>3</v>
      </c>
      <c r="S280">
        <v>8</v>
      </c>
      <c r="T280">
        <f>Table[[#This Row],[NumWebPurchases]]+Table[[#This Row],[NumStorePurchases]]</f>
        <v>11</v>
      </c>
    </row>
    <row r="281" spans="1:20" ht="12.5">
      <c r="A281" s="6">
        <v>279</v>
      </c>
      <c r="B281" s="6">
        <v>4391</v>
      </c>
      <c r="C281" s="6">
        <v>1968</v>
      </c>
      <c r="D281" s="6">
        <f t="shared" si="16"/>
        <v>57</v>
      </c>
      <c r="E281" s="7" t="s">
        <v>14</v>
      </c>
      <c r="F281" s="7" t="s">
        <v>15</v>
      </c>
      <c r="G281" s="6">
        <v>63841</v>
      </c>
      <c r="H281" s="6" t="str" cm="1">
        <f t="array" ref="H281">_xlfn.IFS(
  G281 &lt; 25000, "Low",
  AND(G281 &gt;= 25000, G281 &lt; 75000), "Medium",
  AND(G281 &gt;= 75000, G281 &lt; 150000), "High",
  G281 &gt;= 150000, "Very High"
)</f>
        <v>Medium</v>
      </c>
      <c r="I281" s="6">
        <v>0</v>
      </c>
      <c r="J281" s="6">
        <v>1</v>
      </c>
      <c r="K281" s="6">
        <f t="shared" si="17"/>
        <v>1</v>
      </c>
      <c r="L281" s="8">
        <v>41385</v>
      </c>
      <c r="M281" t="str">
        <f t="shared" ca="1" si="18"/>
        <v>12 years, 10 months</v>
      </c>
      <c r="N281" s="6">
        <v>64</v>
      </c>
      <c r="O281">
        <v>15</v>
      </c>
      <c r="P281">
        <v>7</v>
      </c>
      <c r="Q281">
        <f t="shared" si="19"/>
        <v>22</v>
      </c>
      <c r="R281">
        <v>9</v>
      </c>
      <c r="S281">
        <v>9</v>
      </c>
      <c r="T281">
        <f>Table[[#This Row],[NumWebPurchases]]+Table[[#This Row],[NumStorePurchases]]</f>
        <v>18</v>
      </c>
    </row>
    <row r="282" spans="1:20" ht="12.5">
      <c r="A282" s="6">
        <v>280</v>
      </c>
      <c r="B282" s="6">
        <v>4669</v>
      </c>
      <c r="C282" s="6">
        <v>1981</v>
      </c>
      <c r="D282" s="6">
        <f t="shared" si="16"/>
        <v>44</v>
      </c>
      <c r="E282" s="7" t="s">
        <v>16</v>
      </c>
      <c r="F282" s="7" t="s">
        <v>13</v>
      </c>
      <c r="G282" s="6">
        <v>24480</v>
      </c>
      <c r="H282" s="6" t="str" cm="1">
        <f t="array" ref="H282">_xlfn.IFS(
  G282 &lt; 25000, "Low",
  AND(G282 &gt;= 25000, G282 &lt; 75000), "Medium",
  AND(G282 &gt;= 75000, G282 &lt; 150000), "High",
  G282 &gt;= 150000, "Very High"
)</f>
        <v>Low</v>
      </c>
      <c r="I282" s="6">
        <v>1</v>
      </c>
      <c r="J282" s="6">
        <v>0</v>
      </c>
      <c r="K282" s="6">
        <f t="shared" si="17"/>
        <v>1</v>
      </c>
      <c r="L282" s="8">
        <v>41316</v>
      </c>
      <c r="M282" t="str">
        <f t="shared" ca="1" si="18"/>
        <v>13 years, 0 months</v>
      </c>
      <c r="N282" s="6">
        <v>46</v>
      </c>
      <c r="O282">
        <v>19</v>
      </c>
      <c r="P282">
        <v>25</v>
      </c>
      <c r="Q282">
        <f t="shared" si="19"/>
        <v>44</v>
      </c>
      <c r="R282">
        <v>3</v>
      </c>
      <c r="S282">
        <v>4</v>
      </c>
      <c r="T282">
        <f>Table[[#This Row],[NumWebPurchases]]+Table[[#This Row],[NumStorePurchases]]</f>
        <v>7</v>
      </c>
    </row>
    <row r="283" spans="1:20" ht="12.5">
      <c r="A283" s="6">
        <v>281</v>
      </c>
      <c r="B283" s="6">
        <v>10144</v>
      </c>
      <c r="C283" s="6">
        <v>1976</v>
      </c>
      <c r="D283" s="6">
        <f t="shared" si="16"/>
        <v>49</v>
      </c>
      <c r="E283" s="7" t="s">
        <v>9</v>
      </c>
      <c r="F283" s="7" t="s">
        <v>11</v>
      </c>
      <c r="G283" s="6">
        <v>51369</v>
      </c>
      <c r="H283" s="6" t="str" cm="1">
        <f t="array" ref="H283">_xlfn.IFS(
  G283 &lt; 25000, "Low",
  AND(G283 &gt;= 25000, G283 &lt; 75000), "Medium",
  AND(G283 &gt;= 75000, G283 &lt; 150000), "High",
  G283 &gt;= 150000, "Very High"
)</f>
        <v>Medium</v>
      </c>
      <c r="I283" s="6">
        <v>0</v>
      </c>
      <c r="J283" s="6">
        <v>1</v>
      </c>
      <c r="K283" s="6">
        <f t="shared" si="17"/>
        <v>1</v>
      </c>
      <c r="L283" s="9">
        <v>41207</v>
      </c>
      <c r="M283" t="str">
        <f t="shared" ca="1" si="18"/>
        <v>13 years, 4 months</v>
      </c>
      <c r="N283" s="6">
        <v>84</v>
      </c>
      <c r="O283">
        <v>7</v>
      </c>
      <c r="P283">
        <v>11</v>
      </c>
      <c r="Q283">
        <f t="shared" si="19"/>
        <v>18</v>
      </c>
      <c r="R283">
        <v>8</v>
      </c>
      <c r="S283">
        <v>4</v>
      </c>
      <c r="T283">
        <f>Table[[#This Row],[NumWebPurchases]]+Table[[#This Row],[NumStorePurchases]]</f>
        <v>12</v>
      </c>
    </row>
    <row r="284" spans="1:20" ht="12.5">
      <c r="A284" s="6">
        <v>282</v>
      </c>
      <c r="B284" s="6">
        <v>8652</v>
      </c>
      <c r="C284" s="6">
        <v>1946</v>
      </c>
      <c r="D284" s="6">
        <f t="shared" si="16"/>
        <v>79</v>
      </c>
      <c r="E284" s="7" t="s">
        <v>9</v>
      </c>
      <c r="F284" s="7" t="s">
        <v>11</v>
      </c>
      <c r="G284" s="6">
        <v>37760</v>
      </c>
      <c r="H284" s="6" t="str" cm="1">
        <f t="array" ref="H284">_xlfn.IFS(
  G284 &lt; 25000, "Low",
  AND(G284 &gt;= 25000, G284 &lt; 75000), "Medium",
  AND(G284 &gt;= 75000, G284 &lt; 150000), "High",
  G284 &gt;= 150000, "Very High"
)</f>
        <v>Medium</v>
      </c>
      <c r="I284" s="6">
        <v>0</v>
      </c>
      <c r="J284" s="6">
        <v>0</v>
      </c>
      <c r="K284" s="6">
        <f t="shared" si="17"/>
        <v>0</v>
      </c>
      <c r="L284" s="8">
        <v>41152</v>
      </c>
      <c r="M284" t="str">
        <f t="shared" ca="1" si="18"/>
        <v>13 years, 6 months</v>
      </c>
      <c r="N284" s="6">
        <v>20</v>
      </c>
      <c r="O284">
        <v>5</v>
      </c>
      <c r="P284">
        <v>12</v>
      </c>
      <c r="Q284">
        <f t="shared" si="19"/>
        <v>17</v>
      </c>
      <c r="R284">
        <v>4</v>
      </c>
      <c r="S284">
        <v>6</v>
      </c>
      <c r="T284">
        <f>Table[[#This Row],[NumWebPurchases]]+Table[[#This Row],[NumStorePurchases]]</f>
        <v>10</v>
      </c>
    </row>
    <row r="285" spans="1:20" ht="12.5">
      <c r="A285" s="6">
        <v>283</v>
      </c>
      <c r="B285" s="6">
        <v>1672</v>
      </c>
      <c r="C285" s="6">
        <v>1974</v>
      </c>
      <c r="D285" s="6">
        <f t="shared" si="16"/>
        <v>51</v>
      </c>
      <c r="E285" s="7" t="s">
        <v>12</v>
      </c>
      <c r="F285" s="7" t="s">
        <v>11</v>
      </c>
      <c r="G285" s="6">
        <v>65640</v>
      </c>
      <c r="H285" s="6" t="str" cm="1">
        <f t="array" ref="H285">_xlfn.IFS(
  G285 &lt; 25000, "Low",
  AND(G285 &gt;= 25000, G285 &lt; 75000), "Medium",
  AND(G285 &gt;= 75000, G285 &lt; 150000), "High",
  G285 &gt;= 150000, "Very High"
)</f>
        <v>Medium</v>
      </c>
      <c r="I285" s="6">
        <v>0</v>
      </c>
      <c r="J285" s="6">
        <v>1</v>
      </c>
      <c r="K285" s="6">
        <f t="shared" si="17"/>
        <v>1</v>
      </c>
      <c r="L285" s="8">
        <v>41699</v>
      </c>
      <c r="M285" t="str">
        <f t="shared" ca="1" si="18"/>
        <v>12 years, 0 months</v>
      </c>
      <c r="N285" s="6">
        <v>74</v>
      </c>
      <c r="O285">
        <v>7</v>
      </c>
      <c r="P285">
        <v>15</v>
      </c>
      <c r="Q285">
        <f t="shared" si="19"/>
        <v>22</v>
      </c>
      <c r="R285">
        <v>5</v>
      </c>
      <c r="S285">
        <v>8</v>
      </c>
      <c r="T285">
        <f>Table[[#This Row],[NumWebPurchases]]+Table[[#This Row],[NumStorePurchases]]</f>
        <v>13</v>
      </c>
    </row>
    <row r="286" spans="1:20" ht="12.5">
      <c r="A286" s="6">
        <v>284</v>
      </c>
      <c r="B286" s="6">
        <v>8962</v>
      </c>
      <c r="C286" s="6">
        <v>1975</v>
      </c>
      <c r="D286" s="6">
        <f t="shared" si="16"/>
        <v>50</v>
      </c>
      <c r="E286" s="7" t="s">
        <v>14</v>
      </c>
      <c r="F286" s="7" t="s">
        <v>13</v>
      </c>
      <c r="G286" s="6">
        <v>44319</v>
      </c>
      <c r="H286" s="6" t="str" cm="1">
        <f t="array" ref="H286">_xlfn.IFS(
  G286 &lt; 25000, "Low",
  AND(G286 &gt;= 25000, G286 &lt; 75000), "Medium",
  AND(G286 &gt;= 75000, G286 &lt; 150000), "High",
  G286 &gt;= 150000, "Very High"
)</f>
        <v>Medium</v>
      </c>
      <c r="I286" s="6">
        <v>1</v>
      </c>
      <c r="J286" s="6">
        <v>1</v>
      </c>
      <c r="K286" s="6">
        <f t="shared" si="17"/>
        <v>2</v>
      </c>
      <c r="L286" s="8">
        <v>41746</v>
      </c>
      <c r="M286" t="str">
        <f t="shared" ca="1" si="18"/>
        <v>11 years, 10 months</v>
      </c>
      <c r="N286" s="6">
        <v>18</v>
      </c>
      <c r="O286">
        <v>0</v>
      </c>
      <c r="P286">
        <v>0</v>
      </c>
      <c r="Q286">
        <f t="shared" si="19"/>
        <v>0</v>
      </c>
      <c r="R286">
        <v>2</v>
      </c>
      <c r="S286">
        <v>3</v>
      </c>
      <c r="T286">
        <f>Table[[#This Row],[NumWebPurchases]]+Table[[#This Row],[NumStorePurchases]]</f>
        <v>5</v>
      </c>
    </row>
    <row r="287" spans="1:20" ht="12.5">
      <c r="A287" s="6">
        <v>285</v>
      </c>
      <c r="B287" s="6">
        <v>9974</v>
      </c>
      <c r="C287" s="6">
        <v>1974</v>
      </c>
      <c r="D287" s="6">
        <f t="shared" si="16"/>
        <v>51</v>
      </c>
      <c r="E287" s="7" t="s">
        <v>9</v>
      </c>
      <c r="F287" s="7" t="s">
        <v>13</v>
      </c>
      <c r="G287" s="6">
        <v>30631</v>
      </c>
      <c r="H287" s="6" t="str" cm="1">
        <f t="array" ref="H287">_xlfn.IFS(
  G287 &lt; 25000, "Low",
  AND(G287 &gt;= 25000, G287 &lt; 75000), "Medium",
  AND(G287 &gt;= 75000, G287 &lt; 150000), "High",
  G287 &gt;= 150000, "Very High"
)</f>
        <v>Medium</v>
      </c>
      <c r="I287" s="6">
        <v>1</v>
      </c>
      <c r="J287" s="6">
        <v>0</v>
      </c>
      <c r="K287" s="6">
        <f t="shared" si="17"/>
        <v>1</v>
      </c>
      <c r="L287" s="8">
        <v>41467</v>
      </c>
      <c r="M287" t="str">
        <f t="shared" ca="1" si="18"/>
        <v>12 years, 7 months</v>
      </c>
      <c r="N287" s="6">
        <v>75</v>
      </c>
      <c r="O287">
        <v>6</v>
      </c>
      <c r="P287">
        <v>5</v>
      </c>
      <c r="Q287">
        <f t="shared" si="19"/>
        <v>11</v>
      </c>
      <c r="R287">
        <v>3</v>
      </c>
      <c r="S287">
        <v>2</v>
      </c>
      <c r="T287">
        <f>Table[[#This Row],[NumWebPurchases]]+Table[[#This Row],[NumStorePurchases]]</f>
        <v>5</v>
      </c>
    </row>
    <row r="288" spans="1:20" ht="12.5">
      <c r="A288" s="6">
        <v>286</v>
      </c>
      <c r="B288" s="6">
        <v>10983</v>
      </c>
      <c r="C288" s="6">
        <v>1952</v>
      </c>
      <c r="D288" s="6">
        <f t="shared" si="16"/>
        <v>73</v>
      </c>
      <c r="E288" s="7" t="s">
        <v>9</v>
      </c>
      <c r="F288" s="7" t="s">
        <v>11</v>
      </c>
      <c r="G288" s="6">
        <v>75278</v>
      </c>
      <c r="H288" s="6" t="str" cm="1">
        <f t="array" ref="H288">_xlfn.IFS(
  G288 &lt; 25000, "Low",
  AND(G288 &gt;= 25000, G288 &lt; 75000), "Medium",
  AND(G288 &gt;= 75000, G288 &lt; 150000), "High",
  G288 &gt;= 150000, "Very High"
)</f>
        <v>High</v>
      </c>
      <c r="I288" s="6">
        <v>0</v>
      </c>
      <c r="J288" s="6">
        <v>0</v>
      </c>
      <c r="K288" s="6">
        <f t="shared" si="17"/>
        <v>0</v>
      </c>
      <c r="L288" s="8">
        <v>41303</v>
      </c>
      <c r="M288" t="str">
        <f t="shared" ca="1" si="18"/>
        <v>13 years, 1 months</v>
      </c>
      <c r="N288" s="6">
        <v>17</v>
      </c>
      <c r="O288">
        <v>98</v>
      </c>
      <c r="P288">
        <v>74</v>
      </c>
      <c r="Q288">
        <f t="shared" si="19"/>
        <v>172</v>
      </c>
      <c r="R288">
        <v>6</v>
      </c>
      <c r="S288">
        <v>13</v>
      </c>
      <c r="T288">
        <f>Table[[#This Row],[NumWebPurchases]]+Table[[#This Row],[NumStorePurchases]]</f>
        <v>19</v>
      </c>
    </row>
    <row r="289" spans="1:20" ht="12.5">
      <c r="A289" s="6">
        <v>287</v>
      </c>
      <c r="B289" s="6">
        <v>8148</v>
      </c>
      <c r="C289" s="6">
        <v>1956</v>
      </c>
      <c r="D289" s="6">
        <f t="shared" si="16"/>
        <v>69</v>
      </c>
      <c r="E289" s="7" t="s">
        <v>14</v>
      </c>
      <c r="F289" s="7" t="s">
        <v>11</v>
      </c>
      <c r="G289" s="6">
        <v>50898</v>
      </c>
      <c r="H289" s="6" t="str" cm="1">
        <f t="array" ref="H289">_xlfn.IFS(
  G289 &lt; 25000, "Low",
  AND(G289 &gt;= 25000, G289 &lt; 75000), "Medium",
  AND(G289 &gt;= 75000, G289 &lt; 150000), "High",
  G289 &gt;= 150000, "Very High"
)</f>
        <v>Medium</v>
      </c>
      <c r="I289" s="6">
        <v>1</v>
      </c>
      <c r="J289" s="6">
        <v>1</v>
      </c>
      <c r="K289" s="6">
        <f t="shared" si="17"/>
        <v>2</v>
      </c>
      <c r="L289" s="8">
        <v>41282</v>
      </c>
      <c r="M289" t="str">
        <f t="shared" ca="1" si="18"/>
        <v>13 years, 1 months</v>
      </c>
      <c r="N289" s="6">
        <v>88</v>
      </c>
      <c r="O289">
        <v>28</v>
      </c>
      <c r="P289">
        <v>114</v>
      </c>
      <c r="Q289">
        <f t="shared" si="19"/>
        <v>142</v>
      </c>
      <c r="R289">
        <v>6</v>
      </c>
      <c r="S289">
        <v>12</v>
      </c>
      <c r="T289">
        <f>Table[[#This Row],[NumWebPurchases]]+Table[[#This Row],[NumStorePurchases]]</f>
        <v>18</v>
      </c>
    </row>
    <row r="290" spans="1:20" ht="12.5">
      <c r="A290" s="6">
        <v>288</v>
      </c>
      <c r="B290" s="6">
        <v>10102</v>
      </c>
      <c r="C290" s="6">
        <v>1966</v>
      </c>
      <c r="D290" s="6">
        <f t="shared" si="16"/>
        <v>59</v>
      </c>
      <c r="E290" s="7" t="s">
        <v>9</v>
      </c>
      <c r="F290" s="7" t="s">
        <v>18</v>
      </c>
      <c r="G290" s="6">
        <v>79946</v>
      </c>
      <c r="H290" s="6" t="str" cm="1">
        <f t="array" ref="H290">_xlfn.IFS(
  G290 &lt; 25000, "Low",
  AND(G290 &gt;= 25000, G290 &lt; 75000), "Medium",
  AND(G290 &gt;= 75000, G290 &lt; 150000), "High",
  G290 &gt;= 150000, "Very High"
)</f>
        <v>High</v>
      </c>
      <c r="I290" s="6">
        <v>0</v>
      </c>
      <c r="J290" s="6">
        <v>0</v>
      </c>
      <c r="K290" s="6">
        <f t="shared" si="17"/>
        <v>0</v>
      </c>
      <c r="L290" s="8">
        <v>41771</v>
      </c>
      <c r="M290" t="str">
        <f t="shared" ca="1" si="18"/>
        <v>11 years, 9 months</v>
      </c>
      <c r="N290" s="6">
        <v>19</v>
      </c>
      <c r="O290">
        <v>183</v>
      </c>
      <c r="P290">
        <v>141</v>
      </c>
      <c r="Q290">
        <f t="shared" si="19"/>
        <v>324</v>
      </c>
      <c r="R290">
        <v>5</v>
      </c>
      <c r="S290">
        <v>5</v>
      </c>
      <c r="T290">
        <f>Table[[#This Row],[NumWebPurchases]]+Table[[#This Row],[NumStorePurchases]]</f>
        <v>10</v>
      </c>
    </row>
    <row r="291" spans="1:20" ht="12.5">
      <c r="A291" s="6">
        <v>289</v>
      </c>
      <c r="B291" s="6">
        <v>4697</v>
      </c>
      <c r="C291" s="6">
        <v>1949</v>
      </c>
      <c r="D291" s="6">
        <f t="shared" si="16"/>
        <v>76</v>
      </c>
      <c r="E291" s="7" t="s">
        <v>14</v>
      </c>
      <c r="F291" s="7" t="s">
        <v>15</v>
      </c>
      <c r="G291" s="6">
        <v>35416</v>
      </c>
      <c r="H291" s="6" t="str" cm="1">
        <f t="array" ref="H291">_xlfn.IFS(
  G291 &lt; 25000, "Low",
  AND(G291 &gt;= 25000, G291 &lt; 75000), "Medium",
  AND(G291 &gt;= 75000, G291 &lt; 150000), "High",
  G291 &gt;= 150000, "Very High"
)</f>
        <v>Medium</v>
      </c>
      <c r="I291" s="6">
        <v>0</v>
      </c>
      <c r="J291" s="6">
        <v>0</v>
      </c>
      <c r="K291" s="6">
        <f t="shared" si="17"/>
        <v>0</v>
      </c>
      <c r="L291" s="8">
        <v>41438</v>
      </c>
      <c r="M291" t="str">
        <f t="shared" ca="1" si="18"/>
        <v>12 years, 8 months</v>
      </c>
      <c r="N291" s="6">
        <v>62</v>
      </c>
      <c r="O291">
        <v>3</v>
      </c>
      <c r="P291">
        <v>3</v>
      </c>
      <c r="Q291">
        <f t="shared" si="19"/>
        <v>6</v>
      </c>
      <c r="R291">
        <v>7</v>
      </c>
      <c r="S291">
        <v>5</v>
      </c>
      <c r="T291">
        <f>Table[[#This Row],[NumWebPurchases]]+Table[[#This Row],[NumStorePurchases]]</f>
        <v>12</v>
      </c>
    </row>
    <row r="292" spans="1:20" ht="12.5">
      <c r="A292" s="6">
        <v>290</v>
      </c>
      <c r="B292" s="6">
        <v>9262</v>
      </c>
      <c r="C292" s="6">
        <v>1984</v>
      </c>
      <c r="D292" s="6">
        <f t="shared" si="16"/>
        <v>41</v>
      </c>
      <c r="E292" s="7" t="s">
        <v>17</v>
      </c>
      <c r="F292" s="7" t="s">
        <v>11</v>
      </c>
      <c r="G292" s="6">
        <v>32414</v>
      </c>
      <c r="H292" s="6" t="str" cm="1">
        <f t="array" ref="H292">_xlfn.IFS(
  G292 &lt; 25000, "Low",
  AND(G292 &gt;= 25000, G292 &lt; 75000), "Medium",
  AND(G292 &gt;= 75000, G292 &lt; 150000), "High",
  G292 &gt;= 150000, "Very High"
)</f>
        <v>Medium</v>
      </c>
      <c r="I292" s="6">
        <v>0</v>
      </c>
      <c r="J292" s="6">
        <v>0</v>
      </c>
      <c r="K292" s="6">
        <f t="shared" si="17"/>
        <v>0</v>
      </c>
      <c r="L292" s="8">
        <v>41459</v>
      </c>
      <c r="M292" t="str">
        <f t="shared" ca="1" si="18"/>
        <v>12 years, 8 months</v>
      </c>
      <c r="N292" s="6">
        <v>11</v>
      </c>
      <c r="O292">
        <v>6</v>
      </c>
      <c r="P292">
        <v>9</v>
      </c>
      <c r="Q292">
        <f t="shared" si="19"/>
        <v>15</v>
      </c>
      <c r="R292">
        <v>1</v>
      </c>
      <c r="S292">
        <v>3</v>
      </c>
      <c r="T292">
        <f>Table[[#This Row],[NumWebPurchases]]+Table[[#This Row],[NumStorePurchases]]</f>
        <v>4</v>
      </c>
    </row>
    <row r="293" spans="1:20" ht="12.5">
      <c r="A293" s="6">
        <v>291</v>
      </c>
      <c r="B293" s="6">
        <v>7254</v>
      </c>
      <c r="C293" s="6">
        <v>1969</v>
      </c>
      <c r="D293" s="6">
        <f t="shared" si="16"/>
        <v>56</v>
      </c>
      <c r="E293" s="7" t="s">
        <v>9</v>
      </c>
      <c r="F293" s="7" t="s">
        <v>11</v>
      </c>
      <c r="G293" s="6">
        <v>38361</v>
      </c>
      <c r="H293" s="6" t="str" cm="1">
        <f t="array" ref="H293">_xlfn.IFS(
  G293 &lt; 25000, "Low",
  AND(G293 &gt;= 25000, G293 &lt; 75000), "Medium",
  AND(G293 &gt;= 75000, G293 &lt; 150000), "High",
  G293 &gt;= 150000, "Very High"
)</f>
        <v>Medium</v>
      </c>
      <c r="I293" s="6">
        <v>1</v>
      </c>
      <c r="J293" s="6">
        <v>0</v>
      </c>
      <c r="K293" s="6">
        <f t="shared" si="17"/>
        <v>1</v>
      </c>
      <c r="L293" s="9">
        <v>41635</v>
      </c>
      <c r="M293" t="str">
        <f t="shared" ca="1" si="18"/>
        <v>12 years, 2 months</v>
      </c>
      <c r="N293" s="6">
        <v>74</v>
      </c>
      <c r="O293">
        <v>0</v>
      </c>
      <c r="P293">
        <v>8</v>
      </c>
      <c r="Q293">
        <f t="shared" si="19"/>
        <v>8</v>
      </c>
      <c r="R293">
        <v>3</v>
      </c>
      <c r="S293">
        <v>3</v>
      </c>
      <c r="T293">
        <f>Table[[#This Row],[NumWebPurchases]]+Table[[#This Row],[NumStorePurchases]]</f>
        <v>6</v>
      </c>
    </row>
    <row r="294" spans="1:20" ht="12.5">
      <c r="A294" s="6">
        <v>292</v>
      </c>
      <c r="B294" s="6">
        <v>4543</v>
      </c>
      <c r="C294" s="6">
        <v>1980</v>
      </c>
      <c r="D294" s="6">
        <f t="shared" si="16"/>
        <v>45</v>
      </c>
      <c r="E294" s="7" t="s">
        <v>9</v>
      </c>
      <c r="F294" s="7" t="s">
        <v>13</v>
      </c>
      <c r="G294" s="6">
        <v>82497</v>
      </c>
      <c r="H294" s="6" t="str" cm="1">
        <f t="array" ref="H294">_xlfn.IFS(
  G294 &lt; 25000, "Low",
  AND(G294 &gt;= 25000, G294 &lt; 75000), "Medium",
  AND(G294 &gt;= 75000, G294 &lt; 150000), "High",
  G294 &gt;= 150000, "Very High"
)</f>
        <v>High</v>
      </c>
      <c r="I294" s="6">
        <v>0</v>
      </c>
      <c r="J294" s="6">
        <v>0</v>
      </c>
      <c r="K294" s="6">
        <f t="shared" si="17"/>
        <v>0</v>
      </c>
      <c r="L294" s="9">
        <v>41213</v>
      </c>
      <c r="M294" t="str">
        <f t="shared" ca="1" si="18"/>
        <v>13 years, 4 months</v>
      </c>
      <c r="N294" s="6">
        <v>32</v>
      </c>
      <c r="O294">
        <v>129</v>
      </c>
      <c r="P294">
        <v>21</v>
      </c>
      <c r="Q294">
        <f t="shared" si="19"/>
        <v>150</v>
      </c>
      <c r="R294">
        <v>2</v>
      </c>
      <c r="S294">
        <v>9</v>
      </c>
      <c r="T294">
        <f>Table[[#This Row],[NumWebPurchases]]+Table[[#This Row],[NumStorePurchases]]</f>
        <v>11</v>
      </c>
    </row>
    <row r="295" spans="1:20" ht="12.5">
      <c r="A295" s="6">
        <v>293</v>
      </c>
      <c r="B295" s="6">
        <v>4927</v>
      </c>
      <c r="C295" s="6">
        <v>1971</v>
      </c>
      <c r="D295" s="6">
        <f t="shared" si="16"/>
        <v>54</v>
      </c>
      <c r="E295" s="7" t="s">
        <v>9</v>
      </c>
      <c r="F295" s="7" t="s">
        <v>11</v>
      </c>
      <c r="G295" s="6">
        <v>16626</v>
      </c>
      <c r="H295" s="6" t="str" cm="1">
        <f t="array" ref="H295">_xlfn.IFS(
  G295 &lt; 25000, "Low",
  AND(G295 &gt;= 25000, G295 &lt; 75000), "Medium",
  AND(G295 &gt;= 75000, G295 &lt; 150000), "High",
  G295 &gt;= 150000, "Very High"
)</f>
        <v>Low</v>
      </c>
      <c r="I295" s="6">
        <v>2</v>
      </c>
      <c r="J295" s="6">
        <v>0</v>
      </c>
      <c r="K295" s="6">
        <f t="shared" si="17"/>
        <v>2</v>
      </c>
      <c r="L295" s="8">
        <v>41654</v>
      </c>
      <c r="M295" t="str">
        <f t="shared" ca="1" si="18"/>
        <v>12 years, 1 months</v>
      </c>
      <c r="N295" s="6">
        <v>76</v>
      </c>
      <c r="O295">
        <v>3</v>
      </c>
      <c r="P295">
        <v>1</v>
      </c>
      <c r="Q295">
        <f t="shared" si="19"/>
        <v>4</v>
      </c>
      <c r="R295">
        <v>3</v>
      </c>
      <c r="S295">
        <v>3</v>
      </c>
      <c r="T295">
        <f>Table[[#This Row],[NumWebPurchases]]+Table[[#This Row],[NumStorePurchases]]</f>
        <v>6</v>
      </c>
    </row>
    <row r="296" spans="1:20" ht="12.5">
      <c r="A296" s="6">
        <v>294</v>
      </c>
      <c r="B296" s="6">
        <v>10451</v>
      </c>
      <c r="C296" s="6">
        <v>1965</v>
      </c>
      <c r="D296" s="6">
        <f t="shared" si="16"/>
        <v>60</v>
      </c>
      <c r="E296" s="7" t="s">
        <v>9</v>
      </c>
      <c r="F296" s="7" t="s">
        <v>11</v>
      </c>
      <c r="G296" s="6">
        <v>29672</v>
      </c>
      <c r="H296" s="6" t="str" cm="1">
        <f t="array" ref="H296">_xlfn.IFS(
  G296 &lt; 25000, "Low",
  AND(G296 &gt;= 25000, G296 &lt; 75000), "Medium",
  AND(G296 &gt;= 75000, G296 &lt; 150000), "High",
  G296 &gt;= 150000, "Very High"
)</f>
        <v>Medium</v>
      </c>
      <c r="I296" s="6">
        <v>1</v>
      </c>
      <c r="J296" s="6">
        <v>1</v>
      </c>
      <c r="K296" s="6">
        <f t="shared" si="17"/>
        <v>2</v>
      </c>
      <c r="L296" s="8">
        <v>41345</v>
      </c>
      <c r="M296" t="str">
        <f t="shared" ca="1" si="18"/>
        <v>12 years, 11 months</v>
      </c>
      <c r="N296" s="6">
        <v>6</v>
      </c>
      <c r="O296">
        <v>1</v>
      </c>
      <c r="P296">
        <v>4</v>
      </c>
      <c r="Q296">
        <f t="shared" si="19"/>
        <v>5</v>
      </c>
      <c r="R296">
        <v>0</v>
      </c>
      <c r="S296">
        <v>3</v>
      </c>
      <c r="T296">
        <f>Table[[#This Row],[NumWebPurchases]]+Table[[#This Row],[NumStorePurchases]]</f>
        <v>3</v>
      </c>
    </row>
    <row r="297" spans="1:20" ht="12.5">
      <c r="A297" s="6">
        <v>295</v>
      </c>
      <c r="B297" s="6">
        <v>2926</v>
      </c>
      <c r="C297" s="6">
        <v>1952</v>
      </c>
      <c r="D297" s="6">
        <f t="shared" si="16"/>
        <v>73</v>
      </c>
      <c r="E297" s="7" t="s">
        <v>14</v>
      </c>
      <c r="F297" s="7" t="s">
        <v>11</v>
      </c>
      <c r="G297" s="6">
        <v>55951</v>
      </c>
      <c r="H297" s="6" t="str" cm="1">
        <f t="array" ref="H297">_xlfn.IFS(
  G297 &lt; 25000, "Low",
  AND(G297 &gt;= 25000, G297 &lt; 75000), "Medium",
  AND(G297 &gt;= 75000, G297 &lt; 150000), "High",
  G297 &gt;= 150000, "Very High"
)</f>
        <v>Medium</v>
      </c>
      <c r="I297" s="6">
        <v>0</v>
      </c>
      <c r="J297" s="6">
        <v>1</v>
      </c>
      <c r="K297" s="6">
        <f t="shared" si="17"/>
        <v>1</v>
      </c>
      <c r="L297" s="8">
        <v>41144</v>
      </c>
      <c r="M297" t="str">
        <f t="shared" ca="1" si="18"/>
        <v>13 years, 6 months</v>
      </c>
      <c r="N297" s="6">
        <v>62</v>
      </c>
      <c r="O297">
        <v>0</v>
      </c>
      <c r="P297">
        <v>13</v>
      </c>
      <c r="Q297">
        <f t="shared" si="19"/>
        <v>13</v>
      </c>
      <c r="R297">
        <v>3</v>
      </c>
      <c r="S297">
        <v>11</v>
      </c>
      <c r="T297">
        <f>Table[[#This Row],[NumWebPurchases]]+Table[[#This Row],[NumStorePurchases]]</f>
        <v>14</v>
      </c>
    </row>
    <row r="298" spans="1:20" ht="12.5">
      <c r="A298" s="6">
        <v>296</v>
      </c>
      <c r="B298" s="6">
        <v>2874</v>
      </c>
      <c r="C298" s="6">
        <v>1988</v>
      </c>
      <c r="D298" s="6">
        <f t="shared" si="16"/>
        <v>37</v>
      </c>
      <c r="E298" s="7" t="s">
        <v>17</v>
      </c>
      <c r="F298" s="7" t="s">
        <v>15</v>
      </c>
      <c r="G298" s="6">
        <v>35388</v>
      </c>
      <c r="H298" s="6" t="str" cm="1">
        <f t="array" ref="H298">_xlfn.IFS(
  G298 &lt; 25000, "Low",
  AND(G298 &gt;= 25000, G298 &lt; 75000), "Medium",
  AND(G298 &gt;= 75000, G298 &lt; 150000), "High",
  G298 &gt;= 150000, "Very High"
)</f>
        <v>Medium</v>
      </c>
      <c r="I298" s="6">
        <v>1</v>
      </c>
      <c r="J298" s="6">
        <v>0</v>
      </c>
      <c r="K298" s="6">
        <f t="shared" si="17"/>
        <v>1</v>
      </c>
      <c r="L298" s="8">
        <v>41340</v>
      </c>
      <c r="M298" t="str">
        <f t="shared" ca="1" si="18"/>
        <v>12 years, 11 months</v>
      </c>
      <c r="N298" s="6">
        <v>20</v>
      </c>
      <c r="O298">
        <v>4</v>
      </c>
      <c r="P298">
        <v>3</v>
      </c>
      <c r="Q298">
        <f t="shared" si="19"/>
        <v>7</v>
      </c>
      <c r="R298">
        <v>1</v>
      </c>
      <c r="S298">
        <v>3</v>
      </c>
      <c r="T298">
        <f>Table[[#This Row],[NumWebPurchases]]+Table[[#This Row],[NumStorePurchases]]</f>
        <v>4</v>
      </c>
    </row>
    <row r="299" spans="1:20" ht="12.5">
      <c r="A299" s="6">
        <v>297</v>
      </c>
      <c r="B299" s="6">
        <v>9738</v>
      </c>
      <c r="C299" s="6">
        <v>1986</v>
      </c>
      <c r="D299" s="6">
        <f t="shared" si="16"/>
        <v>39</v>
      </c>
      <c r="E299" s="7" t="s">
        <v>14</v>
      </c>
      <c r="F299" s="7" t="s">
        <v>11</v>
      </c>
      <c r="G299" s="6">
        <v>42386</v>
      </c>
      <c r="H299" s="6" t="str" cm="1">
        <f t="array" ref="H299">_xlfn.IFS(
  G299 &lt; 25000, "Low",
  AND(G299 &gt;= 25000, G299 &lt; 75000), "Medium",
  AND(G299 &gt;= 75000, G299 &lt; 150000), "High",
  G299 &gt;= 150000, "Very High"
)</f>
        <v>Medium</v>
      </c>
      <c r="I299" s="6">
        <v>1</v>
      </c>
      <c r="J299" s="6">
        <v>0</v>
      </c>
      <c r="K299" s="6">
        <f t="shared" si="17"/>
        <v>1</v>
      </c>
      <c r="L299" s="8">
        <v>41287</v>
      </c>
      <c r="M299" t="str">
        <f t="shared" ca="1" si="18"/>
        <v>13 years, 1 months</v>
      </c>
      <c r="N299" s="6">
        <v>43</v>
      </c>
      <c r="O299">
        <v>4</v>
      </c>
      <c r="P299">
        <v>4</v>
      </c>
      <c r="Q299">
        <f t="shared" si="19"/>
        <v>8</v>
      </c>
      <c r="R299">
        <v>3</v>
      </c>
      <c r="S299">
        <v>3</v>
      </c>
      <c r="T299">
        <f>Table[[#This Row],[NumWebPurchases]]+Table[[#This Row],[NumStorePurchases]]</f>
        <v>6</v>
      </c>
    </row>
    <row r="300" spans="1:20" ht="12.5">
      <c r="A300" s="6">
        <v>298</v>
      </c>
      <c r="B300" s="6">
        <v>7119</v>
      </c>
      <c r="C300" s="6">
        <v>1982</v>
      </c>
      <c r="D300" s="6">
        <f t="shared" si="16"/>
        <v>43</v>
      </c>
      <c r="E300" s="7" t="s">
        <v>9</v>
      </c>
      <c r="F300" s="7" t="s">
        <v>10</v>
      </c>
      <c r="G300" s="6">
        <v>68627</v>
      </c>
      <c r="H300" s="6" t="str" cm="1">
        <f t="array" ref="H300">_xlfn.IFS(
  G300 &lt; 25000, "Low",
  AND(G300 &gt;= 25000, G300 &lt; 75000), "Medium",
  AND(G300 &gt;= 75000, G300 &lt; 150000), "High",
  G300 &gt;= 150000, "Very High"
)</f>
        <v>Medium</v>
      </c>
      <c r="I300" s="6">
        <v>0</v>
      </c>
      <c r="J300" s="6">
        <v>0</v>
      </c>
      <c r="K300" s="6">
        <f t="shared" si="17"/>
        <v>0</v>
      </c>
      <c r="L300" s="8">
        <v>41286</v>
      </c>
      <c r="M300" t="str">
        <f t="shared" ca="1" si="18"/>
        <v>13 years, 1 months</v>
      </c>
      <c r="N300" s="6">
        <v>45</v>
      </c>
      <c r="O300">
        <v>15</v>
      </c>
      <c r="P300">
        <v>54</v>
      </c>
      <c r="Q300">
        <f t="shared" si="19"/>
        <v>69</v>
      </c>
      <c r="R300">
        <v>2</v>
      </c>
      <c r="S300">
        <v>6</v>
      </c>
      <c r="T300">
        <f>Table[[#This Row],[NumWebPurchases]]+Table[[#This Row],[NumStorePurchases]]</f>
        <v>8</v>
      </c>
    </row>
    <row r="301" spans="1:20" ht="12.5">
      <c r="A301" s="6">
        <v>299</v>
      </c>
      <c r="B301" s="6">
        <v>3924</v>
      </c>
      <c r="C301" s="6">
        <v>1965</v>
      </c>
      <c r="D301" s="6">
        <f t="shared" si="16"/>
        <v>60</v>
      </c>
      <c r="E301" s="7" t="s">
        <v>12</v>
      </c>
      <c r="F301" s="7" t="s">
        <v>15</v>
      </c>
      <c r="G301" s="6">
        <v>57912</v>
      </c>
      <c r="H301" s="6" t="str" cm="1">
        <f t="array" ref="H301">_xlfn.IFS(
  G301 &lt; 25000, "Low",
  AND(G301 &gt;= 25000, G301 &lt; 75000), "Medium",
  AND(G301 &gt;= 75000, G301 &lt; 150000), "High",
  G301 &gt;= 150000, "Very High"
)</f>
        <v>Medium</v>
      </c>
      <c r="I301" s="6">
        <v>0</v>
      </c>
      <c r="J301" s="6">
        <v>1</v>
      </c>
      <c r="K301" s="6">
        <f t="shared" si="17"/>
        <v>1</v>
      </c>
      <c r="L301" s="8">
        <v>41715</v>
      </c>
      <c r="M301" t="str">
        <f t="shared" ca="1" si="18"/>
        <v>11 years, 11 months</v>
      </c>
      <c r="N301" s="6">
        <v>34</v>
      </c>
      <c r="O301">
        <v>0</v>
      </c>
      <c r="P301">
        <v>0</v>
      </c>
      <c r="Q301">
        <f t="shared" si="19"/>
        <v>0</v>
      </c>
      <c r="R301">
        <v>8</v>
      </c>
      <c r="S301">
        <v>12</v>
      </c>
      <c r="T301">
        <f>Table[[#This Row],[NumWebPurchases]]+Table[[#This Row],[NumStorePurchases]]</f>
        <v>20</v>
      </c>
    </row>
    <row r="302" spans="1:20" ht="12.5">
      <c r="A302" s="6">
        <v>300</v>
      </c>
      <c r="B302" s="6">
        <v>5827</v>
      </c>
      <c r="C302" s="6">
        <v>1958</v>
      </c>
      <c r="D302" s="6">
        <f t="shared" si="16"/>
        <v>67</v>
      </c>
      <c r="E302" s="7" t="s">
        <v>9</v>
      </c>
      <c r="F302" s="7" t="s">
        <v>15</v>
      </c>
      <c r="G302" s="6">
        <v>35246</v>
      </c>
      <c r="H302" s="6" t="str" cm="1">
        <f t="array" ref="H302">_xlfn.IFS(
  G302 &lt; 25000, "Low",
  AND(G302 &gt;= 25000, G302 &lt; 75000), "Medium",
  AND(G302 &gt;= 75000, G302 &lt; 150000), "High",
  G302 &gt;= 150000, "Very High"
)</f>
        <v>Medium</v>
      </c>
      <c r="I302" s="6">
        <v>1</v>
      </c>
      <c r="J302" s="6">
        <v>1</v>
      </c>
      <c r="K302" s="6">
        <f t="shared" si="17"/>
        <v>2</v>
      </c>
      <c r="L302" s="8">
        <v>41745</v>
      </c>
      <c r="M302" t="str">
        <f t="shared" ca="1" si="18"/>
        <v>11 years, 10 months</v>
      </c>
      <c r="N302" s="6">
        <v>53</v>
      </c>
      <c r="O302">
        <v>0</v>
      </c>
      <c r="P302">
        <v>2</v>
      </c>
      <c r="Q302">
        <f t="shared" si="19"/>
        <v>2</v>
      </c>
      <c r="R302">
        <v>3</v>
      </c>
      <c r="S302">
        <v>3</v>
      </c>
      <c r="T302">
        <f>Table[[#This Row],[NumWebPurchases]]+Table[[#This Row],[NumStorePurchases]]</f>
        <v>6</v>
      </c>
    </row>
    <row r="303" spans="1:20" ht="12.5">
      <c r="A303" s="6">
        <v>301</v>
      </c>
      <c r="B303" s="6">
        <v>5596</v>
      </c>
      <c r="C303" s="6">
        <v>1956</v>
      </c>
      <c r="D303" s="6">
        <f t="shared" si="16"/>
        <v>69</v>
      </c>
      <c r="E303" s="7" t="s">
        <v>17</v>
      </c>
      <c r="F303" s="7" t="s">
        <v>11</v>
      </c>
      <c r="G303" s="6">
        <v>58821</v>
      </c>
      <c r="H303" s="6" t="str" cm="1">
        <f t="array" ref="H303">_xlfn.IFS(
  G303 &lt; 25000, "Low",
  AND(G303 &gt;= 25000, G303 &lt; 75000), "Medium",
  AND(G303 &gt;= 75000, G303 &lt; 150000), "High",
  G303 &gt;= 150000, "Very High"
)</f>
        <v>Medium</v>
      </c>
      <c r="I303" s="6">
        <v>0</v>
      </c>
      <c r="J303" s="6">
        <v>1</v>
      </c>
      <c r="K303" s="6">
        <f t="shared" si="17"/>
        <v>1</v>
      </c>
      <c r="L303" s="9">
        <v>41559</v>
      </c>
      <c r="M303" t="str">
        <f t="shared" ca="1" si="18"/>
        <v>12 years, 4 months</v>
      </c>
      <c r="N303" s="6">
        <v>44</v>
      </c>
      <c r="O303">
        <v>14</v>
      </c>
      <c r="P303">
        <v>0</v>
      </c>
      <c r="Q303">
        <f t="shared" si="19"/>
        <v>14</v>
      </c>
      <c r="R303">
        <v>9</v>
      </c>
      <c r="S303">
        <v>9</v>
      </c>
      <c r="T303">
        <f>Table[[#This Row],[NumWebPurchases]]+Table[[#This Row],[NumStorePurchases]]</f>
        <v>18</v>
      </c>
    </row>
    <row r="304" spans="1:20" ht="12.5">
      <c r="A304" s="6">
        <v>302</v>
      </c>
      <c r="B304" s="6">
        <v>10812</v>
      </c>
      <c r="C304" s="6">
        <v>1978</v>
      </c>
      <c r="D304" s="6">
        <f t="shared" si="16"/>
        <v>47</v>
      </c>
      <c r="E304" s="7" t="s">
        <v>12</v>
      </c>
      <c r="F304" s="7" t="s">
        <v>13</v>
      </c>
      <c r="G304" s="6">
        <v>46377</v>
      </c>
      <c r="H304" s="6" t="str" cm="1">
        <f t="array" ref="H304">_xlfn.IFS(
  G304 &lt; 25000, "Low",
  AND(G304 &gt;= 25000, G304 &lt; 75000), "Medium",
  AND(G304 &gt;= 75000, G304 &lt; 150000), "High",
  G304 &gt;= 150000, "Very High"
)</f>
        <v>Medium</v>
      </c>
      <c r="I304" s="6">
        <v>1</v>
      </c>
      <c r="J304" s="6">
        <v>0</v>
      </c>
      <c r="K304" s="6">
        <f t="shared" si="17"/>
        <v>1</v>
      </c>
      <c r="L304" s="8">
        <v>41699</v>
      </c>
      <c r="M304" t="str">
        <f t="shared" ca="1" si="18"/>
        <v>12 years, 0 months</v>
      </c>
      <c r="N304" s="6">
        <v>89</v>
      </c>
      <c r="O304">
        <v>0</v>
      </c>
      <c r="P304">
        <v>3</v>
      </c>
      <c r="Q304">
        <f t="shared" si="19"/>
        <v>3</v>
      </c>
      <c r="R304">
        <v>2</v>
      </c>
      <c r="S304">
        <v>3</v>
      </c>
      <c r="T304">
        <f>Table[[#This Row],[NumWebPurchases]]+Table[[#This Row],[NumStorePurchases]]</f>
        <v>5</v>
      </c>
    </row>
    <row r="305" spans="1:20" ht="12.5">
      <c r="A305" s="6">
        <v>303</v>
      </c>
      <c r="B305" s="6">
        <v>1717</v>
      </c>
      <c r="C305" s="6">
        <v>1988</v>
      </c>
      <c r="D305" s="6">
        <f t="shared" si="16"/>
        <v>37</v>
      </c>
      <c r="E305" s="7" t="s">
        <v>9</v>
      </c>
      <c r="F305" s="7" t="s">
        <v>10</v>
      </c>
      <c r="G305" s="6">
        <v>39747</v>
      </c>
      <c r="H305" s="6" t="str" cm="1">
        <f t="array" ref="H305">_xlfn.IFS(
  G305 &lt; 25000, "Low",
  AND(G305 &gt;= 25000, G305 &lt; 75000), "Medium",
  AND(G305 &gt;= 75000, G305 &lt; 150000), "High",
  G305 &gt;= 150000, "Very High"
)</f>
        <v>Medium</v>
      </c>
      <c r="I305" s="6">
        <v>1</v>
      </c>
      <c r="J305" s="6">
        <v>0</v>
      </c>
      <c r="K305" s="6">
        <f t="shared" si="17"/>
        <v>1</v>
      </c>
      <c r="L305" s="8">
        <v>41742</v>
      </c>
      <c r="M305" t="str">
        <f t="shared" ca="1" si="18"/>
        <v>11 years, 10 months</v>
      </c>
      <c r="N305" s="6">
        <v>43</v>
      </c>
      <c r="O305">
        <v>15</v>
      </c>
      <c r="P305">
        <v>13</v>
      </c>
      <c r="Q305">
        <f t="shared" si="19"/>
        <v>28</v>
      </c>
      <c r="R305">
        <v>5</v>
      </c>
      <c r="S305">
        <v>4</v>
      </c>
      <c r="T305">
        <f>Table[[#This Row],[NumWebPurchases]]+Table[[#This Row],[NumStorePurchases]]</f>
        <v>9</v>
      </c>
    </row>
    <row r="306" spans="1:20" ht="12.5">
      <c r="A306" s="6">
        <v>304</v>
      </c>
      <c r="B306" s="6">
        <v>9491</v>
      </c>
      <c r="C306" s="6">
        <v>1984</v>
      </c>
      <c r="D306" s="6">
        <f t="shared" si="16"/>
        <v>41</v>
      </c>
      <c r="E306" s="7" t="s">
        <v>9</v>
      </c>
      <c r="F306" s="7" t="s">
        <v>11</v>
      </c>
      <c r="G306" s="6">
        <v>23976</v>
      </c>
      <c r="H306" s="6" t="str" cm="1">
        <f t="array" ref="H306">_xlfn.IFS(
  G306 &lt; 25000, "Low",
  AND(G306 &gt;= 25000, G306 &lt; 75000), "Medium",
  AND(G306 &gt;= 75000, G306 &lt; 150000), "High",
  G306 &gt;= 150000, "Very High"
)</f>
        <v>Low</v>
      </c>
      <c r="I306" s="6">
        <v>1</v>
      </c>
      <c r="J306" s="6">
        <v>0</v>
      </c>
      <c r="K306" s="6">
        <f t="shared" si="17"/>
        <v>1</v>
      </c>
      <c r="L306" s="9">
        <v>41635</v>
      </c>
      <c r="M306" t="str">
        <f t="shared" ca="1" si="18"/>
        <v>12 years, 2 months</v>
      </c>
      <c r="N306" s="6">
        <v>68</v>
      </c>
      <c r="O306">
        <v>1</v>
      </c>
      <c r="P306">
        <v>3</v>
      </c>
      <c r="Q306">
        <f t="shared" si="19"/>
        <v>4</v>
      </c>
      <c r="R306">
        <v>3</v>
      </c>
      <c r="S306">
        <v>3</v>
      </c>
      <c r="T306">
        <f>Table[[#This Row],[NumWebPurchases]]+Table[[#This Row],[NumStorePurchases]]</f>
        <v>6</v>
      </c>
    </row>
    <row r="307" spans="1:20" ht="12.5">
      <c r="A307" s="6">
        <v>305</v>
      </c>
      <c r="B307" s="6">
        <v>9274</v>
      </c>
      <c r="C307" s="6">
        <v>1961</v>
      </c>
      <c r="D307" s="6">
        <f t="shared" si="16"/>
        <v>64</v>
      </c>
      <c r="E307" s="7" t="s">
        <v>14</v>
      </c>
      <c r="F307" s="7" t="s">
        <v>13</v>
      </c>
      <c r="G307" s="6">
        <v>80950</v>
      </c>
      <c r="H307" s="6" t="str" cm="1">
        <f t="array" ref="H307">_xlfn.IFS(
  G307 &lt; 25000, "Low",
  AND(G307 &gt;= 25000, G307 &lt; 75000), "Medium",
  AND(G307 &gt;= 75000, G307 &lt; 150000), "High",
  G307 &gt;= 150000, "Very High"
)</f>
        <v>High</v>
      </c>
      <c r="I307" s="6">
        <v>0</v>
      </c>
      <c r="J307" s="6">
        <v>0</v>
      </c>
      <c r="K307" s="6">
        <f t="shared" si="17"/>
        <v>0</v>
      </c>
      <c r="L307" s="8">
        <v>41361</v>
      </c>
      <c r="M307" t="str">
        <f t="shared" ca="1" si="18"/>
        <v>12 years, 11 months</v>
      </c>
      <c r="N307" s="6">
        <v>44</v>
      </c>
      <c r="O307">
        <v>147</v>
      </c>
      <c r="P307">
        <v>147</v>
      </c>
      <c r="Q307">
        <f t="shared" si="19"/>
        <v>294</v>
      </c>
      <c r="R307">
        <v>6</v>
      </c>
      <c r="S307">
        <v>9</v>
      </c>
      <c r="T307">
        <f>Table[[#This Row],[NumWebPurchases]]+Table[[#This Row],[NumStorePurchases]]</f>
        <v>15</v>
      </c>
    </row>
    <row r="308" spans="1:20" ht="12.5">
      <c r="A308" s="6">
        <v>306</v>
      </c>
      <c r="B308" s="6">
        <v>6609</v>
      </c>
      <c r="C308" s="6">
        <v>1966</v>
      </c>
      <c r="D308" s="6">
        <f t="shared" si="16"/>
        <v>59</v>
      </c>
      <c r="E308" s="7" t="s">
        <v>9</v>
      </c>
      <c r="F308" s="7" t="s">
        <v>18</v>
      </c>
      <c r="G308" s="6">
        <v>27038</v>
      </c>
      <c r="H308" s="6" t="str" cm="1">
        <f t="array" ref="H308">_xlfn.IFS(
  G308 &lt; 25000, "Low",
  AND(G308 &gt;= 25000, G308 &lt; 75000), "Medium",
  AND(G308 &gt;= 75000, G308 &lt; 150000), "High",
  G308 &gt;= 150000, "Very High"
)</f>
        <v>Medium</v>
      </c>
      <c r="I308" s="6">
        <v>0</v>
      </c>
      <c r="J308" s="6">
        <v>0</v>
      </c>
      <c r="K308" s="6">
        <f t="shared" si="17"/>
        <v>0</v>
      </c>
      <c r="L308" s="8">
        <v>41170</v>
      </c>
      <c r="M308" t="str">
        <f t="shared" ca="1" si="18"/>
        <v>13 years, 5 months</v>
      </c>
      <c r="N308" s="6">
        <v>64</v>
      </c>
      <c r="O308">
        <v>26</v>
      </c>
      <c r="P308">
        <v>23</v>
      </c>
      <c r="Q308">
        <f t="shared" si="19"/>
        <v>49</v>
      </c>
      <c r="R308">
        <v>3</v>
      </c>
      <c r="S308">
        <v>3</v>
      </c>
      <c r="T308">
        <f>Table[[#This Row],[NumWebPurchases]]+Table[[#This Row],[NumStorePurchases]]</f>
        <v>6</v>
      </c>
    </row>
    <row r="309" spans="1:20" ht="12.5">
      <c r="A309" s="6">
        <v>307</v>
      </c>
      <c r="B309" s="6">
        <v>6963</v>
      </c>
      <c r="C309" s="6">
        <v>1947</v>
      </c>
      <c r="D309" s="6">
        <f t="shared" si="16"/>
        <v>78</v>
      </c>
      <c r="E309" s="7" t="s">
        <v>9</v>
      </c>
      <c r="F309" s="7" t="s">
        <v>10</v>
      </c>
      <c r="G309" s="6">
        <v>77457</v>
      </c>
      <c r="H309" s="6" t="str" cm="1">
        <f t="array" ref="H309">_xlfn.IFS(
  G309 &lt; 25000, "Low",
  AND(G309 &gt;= 25000, G309 &lt; 75000), "Medium",
  AND(G309 &gt;= 75000, G309 &lt; 150000), "High",
  G309 &gt;= 150000, "Very High"
)</f>
        <v>High</v>
      </c>
      <c r="I309" s="6">
        <v>0</v>
      </c>
      <c r="J309" s="6">
        <v>0</v>
      </c>
      <c r="K309" s="6">
        <f t="shared" si="17"/>
        <v>0</v>
      </c>
      <c r="L309" s="8">
        <v>41703</v>
      </c>
      <c r="M309" t="str">
        <f t="shared" ca="1" si="18"/>
        <v>12 years, 0 months</v>
      </c>
      <c r="N309" s="6">
        <v>85</v>
      </c>
      <c r="O309">
        <v>11</v>
      </c>
      <c r="P309">
        <v>45</v>
      </c>
      <c r="Q309">
        <f t="shared" si="19"/>
        <v>56</v>
      </c>
      <c r="R309">
        <v>2</v>
      </c>
      <c r="S309">
        <v>10</v>
      </c>
      <c r="T309">
        <f>Table[[#This Row],[NumWebPurchases]]+Table[[#This Row],[NumStorePurchases]]</f>
        <v>12</v>
      </c>
    </row>
    <row r="310" spans="1:20" ht="12.5">
      <c r="A310" s="6">
        <v>308</v>
      </c>
      <c r="B310" s="6">
        <v>4440</v>
      </c>
      <c r="C310" s="6">
        <v>1964</v>
      </c>
      <c r="D310" s="6">
        <f t="shared" si="16"/>
        <v>61</v>
      </c>
      <c r="E310" s="7" t="s">
        <v>14</v>
      </c>
      <c r="F310" s="7" t="s">
        <v>13</v>
      </c>
      <c r="G310" s="6">
        <v>64100</v>
      </c>
      <c r="H310" s="6" t="str" cm="1">
        <f t="array" ref="H310">_xlfn.IFS(
  G310 &lt; 25000, "Low",
  AND(G310 &gt;= 25000, G310 &lt; 75000), "Medium",
  AND(G310 &gt;= 75000, G310 &lt; 150000), "High",
  G310 &gt;= 150000, "Very High"
)</f>
        <v>Medium</v>
      </c>
      <c r="I310" s="6">
        <v>0</v>
      </c>
      <c r="J310" s="6">
        <v>1</v>
      </c>
      <c r="K310" s="6">
        <f t="shared" si="17"/>
        <v>1</v>
      </c>
      <c r="L310" s="8">
        <v>41527</v>
      </c>
      <c r="M310" t="str">
        <f t="shared" ca="1" si="18"/>
        <v>12 years, 5 months</v>
      </c>
      <c r="N310" s="6">
        <v>93</v>
      </c>
      <c r="O310">
        <v>0</v>
      </c>
      <c r="P310">
        <v>0</v>
      </c>
      <c r="Q310">
        <f t="shared" si="19"/>
        <v>0</v>
      </c>
      <c r="R310">
        <v>8</v>
      </c>
      <c r="S310">
        <v>6</v>
      </c>
      <c r="T310">
        <f>Table[[#This Row],[NumWebPurchases]]+Table[[#This Row],[NumStorePurchases]]</f>
        <v>14</v>
      </c>
    </row>
    <row r="311" spans="1:20" ht="12.5">
      <c r="A311" s="6">
        <v>309</v>
      </c>
      <c r="B311" s="6">
        <v>1379</v>
      </c>
      <c r="C311" s="6">
        <v>1992</v>
      </c>
      <c r="D311" s="6">
        <f t="shared" si="16"/>
        <v>33</v>
      </c>
      <c r="E311" s="7" t="s">
        <v>14</v>
      </c>
      <c r="F311" s="7" t="s">
        <v>11</v>
      </c>
      <c r="G311" s="6">
        <v>42670</v>
      </c>
      <c r="H311" s="6" t="str" cm="1">
        <f t="array" ref="H311">_xlfn.IFS(
  G311 &lt; 25000, "Low",
  AND(G311 &gt;= 25000, G311 &lt; 75000), "Medium",
  AND(G311 &gt;= 75000, G311 &lt; 150000), "High",
  G311 &gt;= 150000, "Very High"
)</f>
        <v>Medium</v>
      </c>
      <c r="I311" s="6">
        <v>0</v>
      </c>
      <c r="J311" s="6">
        <v>0</v>
      </c>
      <c r="K311" s="6">
        <f t="shared" si="17"/>
        <v>0</v>
      </c>
      <c r="L311" s="8">
        <v>41391</v>
      </c>
      <c r="M311" t="str">
        <f t="shared" ca="1" si="18"/>
        <v>12 years, 10 months</v>
      </c>
      <c r="N311" s="6">
        <v>12</v>
      </c>
      <c r="O311">
        <v>2</v>
      </c>
      <c r="P311">
        <v>4</v>
      </c>
      <c r="Q311">
        <f t="shared" si="19"/>
        <v>6</v>
      </c>
      <c r="R311">
        <v>4</v>
      </c>
      <c r="S311">
        <v>4</v>
      </c>
      <c r="T311">
        <f>Table[[#This Row],[NumWebPurchases]]+Table[[#This Row],[NumStorePurchases]]</f>
        <v>8</v>
      </c>
    </row>
    <row r="312" spans="1:20" ht="12.5">
      <c r="A312" s="6">
        <v>310</v>
      </c>
      <c r="B312" s="6">
        <v>10032</v>
      </c>
      <c r="C312" s="6">
        <v>1976</v>
      </c>
      <c r="D312" s="6">
        <f t="shared" si="16"/>
        <v>49</v>
      </c>
      <c r="E312" s="7" t="s">
        <v>9</v>
      </c>
      <c r="F312" s="7" t="s">
        <v>15</v>
      </c>
      <c r="G312" s="6">
        <v>12571</v>
      </c>
      <c r="H312" s="6" t="str" cm="1">
        <f t="array" ref="H312">_xlfn.IFS(
  G312 &lt; 25000, "Low",
  AND(G312 &gt;= 25000, G312 &lt; 75000), "Medium",
  AND(G312 &gt;= 75000, G312 &lt; 150000), "High",
  G312 &gt;= 150000, "Very High"
)</f>
        <v>Low</v>
      </c>
      <c r="I312" s="6">
        <v>1</v>
      </c>
      <c r="J312" s="6">
        <v>0</v>
      </c>
      <c r="K312" s="6">
        <f t="shared" si="17"/>
        <v>1</v>
      </c>
      <c r="L312" s="8">
        <v>41657</v>
      </c>
      <c r="M312" t="str">
        <f t="shared" ca="1" si="18"/>
        <v>12 years, 1 months</v>
      </c>
      <c r="N312" s="6">
        <v>86</v>
      </c>
      <c r="O312">
        <v>5</v>
      </c>
      <c r="P312">
        <v>12</v>
      </c>
      <c r="Q312">
        <f t="shared" si="19"/>
        <v>17</v>
      </c>
      <c r="R312">
        <v>3</v>
      </c>
      <c r="S312">
        <v>3</v>
      </c>
      <c r="T312">
        <f>Table[[#This Row],[NumWebPurchases]]+Table[[#This Row],[NumStorePurchases]]</f>
        <v>6</v>
      </c>
    </row>
    <row r="313" spans="1:20" ht="12.5">
      <c r="A313" s="6">
        <v>311</v>
      </c>
      <c r="B313" s="6">
        <v>2826</v>
      </c>
      <c r="C313" s="6">
        <v>1967</v>
      </c>
      <c r="D313" s="6">
        <f t="shared" si="16"/>
        <v>58</v>
      </c>
      <c r="E313" s="7" t="s">
        <v>9</v>
      </c>
      <c r="F313" s="7" t="s">
        <v>13</v>
      </c>
      <c r="G313" s="6">
        <v>22574</v>
      </c>
      <c r="H313" s="6" t="str" cm="1">
        <f t="array" ref="H313">_xlfn.IFS(
  G313 &lt; 25000, "Low",
  AND(G313 &gt;= 25000, G313 &lt; 75000), "Medium",
  AND(G313 &gt;= 75000, G313 &lt; 150000), "High",
  G313 &gt;= 150000, "Very High"
)</f>
        <v>Low</v>
      </c>
      <c r="I313" s="6">
        <v>2</v>
      </c>
      <c r="J313" s="6">
        <v>1</v>
      </c>
      <c r="K313" s="6">
        <f t="shared" si="17"/>
        <v>3</v>
      </c>
      <c r="L313" s="9">
        <v>41575</v>
      </c>
      <c r="M313" t="str">
        <f t="shared" ca="1" si="18"/>
        <v>12 years, 4 months</v>
      </c>
      <c r="N313" s="6">
        <v>28</v>
      </c>
      <c r="O313">
        <v>0</v>
      </c>
      <c r="P313">
        <v>0</v>
      </c>
      <c r="Q313">
        <f t="shared" si="19"/>
        <v>0</v>
      </c>
      <c r="R313">
        <v>2</v>
      </c>
      <c r="S313">
        <v>3</v>
      </c>
      <c r="T313">
        <f>Table[[#This Row],[NumWebPurchases]]+Table[[#This Row],[NumStorePurchases]]</f>
        <v>5</v>
      </c>
    </row>
    <row r="314" spans="1:20" ht="12.5">
      <c r="A314" s="6">
        <v>312</v>
      </c>
      <c r="B314" s="6">
        <v>2437</v>
      </c>
      <c r="C314" s="6">
        <v>1989</v>
      </c>
      <c r="D314" s="6">
        <f t="shared" si="16"/>
        <v>36</v>
      </c>
      <c r="E314" s="7" t="s">
        <v>9</v>
      </c>
      <c r="F314" s="7" t="s">
        <v>13</v>
      </c>
      <c r="G314" s="7">
        <v>51371</v>
      </c>
      <c r="H314" s="6" t="str" cm="1">
        <f t="array" ref="H314">_xlfn.IFS(
  G314 &lt; 25000, "Low",
  AND(G314 &gt;= 25000, G314 &lt; 75000), "Medium",
  AND(G314 &gt;= 75000, G314 &lt; 150000), "High",
  G314 &gt;= 150000, "Very High"
)</f>
        <v>Medium</v>
      </c>
      <c r="I314" s="6">
        <v>0</v>
      </c>
      <c r="J314" s="6">
        <v>0</v>
      </c>
      <c r="K314" s="6">
        <f t="shared" si="17"/>
        <v>0</v>
      </c>
      <c r="L314" s="8">
        <v>41428</v>
      </c>
      <c r="M314" t="str">
        <f t="shared" ca="1" si="18"/>
        <v>12 years, 9 months</v>
      </c>
      <c r="N314" s="6">
        <v>69</v>
      </c>
      <c r="O314">
        <v>138</v>
      </c>
      <c r="P314">
        <v>30</v>
      </c>
      <c r="Q314">
        <f t="shared" si="19"/>
        <v>168</v>
      </c>
      <c r="R314">
        <v>6</v>
      </c>
      <c r="S314">
        <v>12</v>
      </c>
      <c r="T314">
        <f>Table[[#This Row],[NumWebPurchases]]+Table[[#This Row],[NumStorePurchases]]</f>
        <v>18</v>
      </c>
    </row>
    <row r="315" spans="1:20" ht="12.5">
      <c r="A315" s="6">
        <v>313</v>
      </c>
      <c r="B315" s="6">
        <v>6320</v>
      </c>
      <c r="C315" s="6">
        <v>1976</v>
      </c>
      <c r="D315" s="6">
        <f t="shared" si="16"/>
        <v>49</v>
      </c>
      <c r="E315" s="7" t="s">
        <v>14</v>
      </c>
      <c r="F315" s="7" t="s">
        <v>10</v>
      </c>
      <c r="G315" s="6">
        <v>70893</v>
      </c>
      <c r="H315" s="6" t="str" cm="1">
        <f t="array" ref="H315">_xlfn.IFS(
  G315 &lt; 25000, "Low",
  AND(G315 &gt;= 25000, G315 &lt; 75000), "Medium",
  AND(G315 &gt;= 75000, G315 &lt; 150000), "High",
  G315 &gt;= 150000, "Very High"
)</f>
        <v>Medium</v>
      </c>
      <c r="I315" s="6">
        <v>0</v>
      </c>
      <c r="J315" s="6">
        <v>0</v>
      </c>
      <c r="K315" s="6">
        <f t="shared" si="17"/>
        <v>0</v>
      </c>
      <c r="L315" s="8">
        <v>41311</v>
      </c>
      <c r="M315" t="str">
        <f t="shared" ca="1" si="18"/>
        <v>13 years, 1 months</v>
      </c>
      <c r="N315" s="6">
        <v>42</v>
      </c>
      <c r="O315">
        <v>44</v>
      </c>
      <c r="P315">
        <v>44</v>
      </c>
      <c r="Q315">
        <f t="shared" si="19"/>
        <v>88</v>
      </c>
      <c r="R315">
        <v>6</v>
      </c>
      <c r="S315">
        <v>10</v>
      </c>
      <c r="T315">
        <f>Table[[#This Row],[NumWebPurchases]]+Table[[#This Row],[NumStorePurchases]]</f>
        <v>16</v>
      </c>
    </row>
    <row r="316" spans="1:20" ht="12.5">
      <c r="A316" s="6">
        <v>314</v>
      </c>
      <c r="B316" s="6">
        <v>3050</v>
      </c>
      <c r="C316" s="6">
        <v>1966</v>
      </c>
      <c r="D316" s="6">
        <f t="shared" si="16"/>
        <v>59</v>
      </c>
      <c r="E316" s="7" t="s">
        <v>9</v>
      </c>
      <c r="F316" s="7" t="s">
        <v>13</v>
      </c>
      <c r="G316" s="6">
        <v>54198</v>
      </c>
      <c r="H316" s="6" t="str" cm="1">
        <f t="array" ref="H316">_xlfn.IFS(
  G316 &lt; 25000, "Low",
  AND(G316 &gt;= 25000, G316 &lt; 75000), "Medium",
  AND(G316 &gt;= 75000, G316 &lt; 150000), "High",
  G316 &gt;= 150000, "Very High"
)</f>
        <v>Medium</v>
      </c>
      <c r="I316" s="6">
        <v>1</v>
      </c>
      <c r="J316" s="6">
        <v>1</v>
      </c>
      <c r="K316" s="6">
        <f t="shared" si="17"/>
        <v>2</v>
      </c>
      <c r="L316" s="9">
        <v>41625</v>
      </c>
      <c r="M316" t="str">
        <f t="shared" ca="1" si="18"/>
        <v>12 years, 2 months</v>
      </c>
      <c r="N316" s="6">
        <v>13</v>
      </c>
      <c r="O316">
        <v>0</v>
      </c>
      <c r="P316">
        <v>2</v>
      </c>
      <c r="Q316">
        <f t="shared" si="19"/>
        <v>2</v>
      </c>
      <c r="R316">
        <v>3</v>
      </c>
      <c r="S316">
        <v>6</v>
      </c>
      <c r="T316">
        <f>Table[[#This Row],[NumWebPurchases]]+Table[[#This Row],[NumStorePurchases]]</f>
        <v>9</v>
      </c>
    </row>
    <row r="317" spans="1:20" ht="12.5">
      <c r="A317" s="6">
        <v>315</v>
      </c>
      <c r="B317" s="6">
        <v>231</v>
      </c>
      <c r="C317" s="6">
        <v>1956</v>
      </c>
      <c r="D317" s="6">
        <f t="shared" si="16"/>
        <v>69</v>
      </c>
      <c r="E317" s="7" t="s">
        <v>14</v>
      </c>
      <c r="F317" s="7" t="s">
        <v>11</v>
      </c>
      <c r="G317" s="6">
        <v>28839</v>
      </c>
      <c r="H317" s="6" t="str" cm="1">
        <f t="array" ref="H317">_xlfn.IFS(
  G317 &lt; 25000, "Low",
  AND(G317 &gt;= 25000, G317 &lt; 75000), "Medium",
  AND(G317 &gt;= 75000, G317 &lt; 150000), "High",
  G317 &gt;= 150000, "Very High"
)</f>
        <v>Medium</v>
      </c>
      <c r="I317" s="6">
        <v>1</v>
      </c>
      <c r="J317" s="6">
        <v>1</v>
      </c>
      <c r="K317" s="6">
        <f t="shared" si="17"/>
        <v>2</v>
      </c>
      <c r="L317" s="8">
        <v>41709</v>
      </c>
      <c r="M317" t="str">
        <f t="shared" ca="1" si="18"/>
        <v>11 years, 11 months</v>
      </c>
      <c r="N317" s="6">
        <v>86</v>
      </c>
      <c r="O317">
        <v>0</v>
      </c>
      <c r="P317">
        <v>0</v>
      </c>
      <c r="Q317">
        <f t="shared" si="19"/>
        <v>0</v>
      </c>
      <c r="R317">
        <v>2</v>
      </c>
      <c r="S317">
        <v>3</v>
      </c>
      <c r="T317">
        <f>Table[[#This Row],[NumWebPurchases]]+Table[[#This Row],[NumStorePurchases]]</f>
        <v>5</v>
      </c>
    </row>
    <row r="318" spans="1:20" ht="12.5">
      <c r="A318" s="6">
        <v>316</v>
      </c>
      <c r="B318" s="6">
        <v>2392</v>
      </c>
      <c r="C318" s="6">
        <v>1972</v>
      </c>
      <c r="D318" s="6">
        <f t="shared" si="16"/>
        <v>53</v>
      </c>
      <c r="E318" s="7" t="s">
        <v>9</v>
      </c>
      <c r="F318" s="7" t="s">
        <v>13</v>
      </c>
      <c r="G318" s="6">
        <v>40321</v>
      </c>
      <c r="H318" s="6" t="str" cm="1">
        <f t="array" ref="H318">_xlfn.IFS(
  G318 &lt; 25000, "Low",
  AND(G318 &gt;= 25000, G318 &lt; 75000), "Medium",
  AND(G318 &gt;= 75000, G318 &lt; 150000), "High",
  G318 &gt;= 150000, "Very High"
)</f>
        <v>Medium</v>
      </c>
      <c r="I318" s="6">
        <v>1</v>
      </c>
      <c r="J318" s="6">
        <v>1</v>
      </c>
      <c r="K318" s="6">
        <f t="shared" si="17"/>
        <v>2</v>
      </c>
      <c r="L318" s="8">
        <v>41484</v>
      </c>
      <c r="M318" t="str">
        <f t="shared" ca="1" si="18"/>
        <v>12 years, 7 months</v>
      </c>
      <c r="N318" s="6">
        <v>59</v>
      </c>
      <c r="O318">
        <v>4</v>
      </c>
      <c r="P318">
        <v>0</v>
      </c>
      <c r="Q318">
        <f t="shared" si="19"/>
        <v>4</v>
      </c>
      <c r="R318">
        <v>3</v>
      </c>
      <c r="S318">
        <v>3</v>
      </c>
      <c r="T318">
        <f>Table[[#This Row],[NumWebPurchases]]+Table[[#This Row],[NumStorePurchases]]</f>
        <v>6</v>
      </c>
    </row>
    <row r="319" spans="1:20" ht="12.5">
      <c r="A319" s="6">
        <v>317</v>
      </c>
      <c r="B319" s="6">
        <v>9478</v>
      </c>
      <c r="C319" s="6">
        <v>1985</v>
      </c>
      <c r="D319" s="6">
        <f t="shared" si="16"/>
        <v>40</v>
      </c>
      <c r="E319" s="7" t="s">
        <v>9</v>
      </c>
      <c r="F319" s="7" t="s">
        <v>10</v>
      </c>
      <c r="G319" s="6">
        <v>66503</v>
      </c>
      <c r="H319" s="6" t="str" cm="1">
        <f t="array" ref="H319">_xlfn.IFS(
  G319 &lt; 25000, "Low",
  AND(G319 &gt;= 25000, G319 &lt; 75000), "Medium",
  AND(G319 &gt;= 75000, G319 &lt; 150000), "High",
  G319 &gt;= 150000, "Very High"
)</f>
        <v>Medium</v>
      </c>
      <c r="I319" s="6">
        <v>1</v>
      </c>
      <c r="J319" s="6">
        <v>0</v>
      </c>
      <c r="K319" s="6">
        <f t="shared" si="17"/>
        <v>1</v>
      </c>
      <c r="L319" s="8">
        <v>41135</v>
      </c>
      <c r="M319" t="str">
        <f t="shared" ca="1" si="18"/>
        <v>13 years, 6 months</v>
      </c>
      <c r="N319" s="6">
        <v>30</v>
      </c>
      <c r="O319">
        <v>64</v>
      </c>
      <c r="P319">
        <v>3</v>
      </c>
      <c r="Q319">
        <f t="shared" si="19"/>
        <v>67</v>
      </c>
      <c r="R319">
        <v>4</v>
      </c>
      <c r="S319">
        <v>6</v>
      </c>
      <c r="T319">
        <f>Table[[#This Row],[NumWebPurchases]]+Table[[#This Row],[NumStorePurchases]]</f>
        <v>10</v>
      </c>
    </row>
    <row r="320" spans="1:20" ht="12.5">
      <c r="A320" s="6">
        <v>318</v>
      </c>
      <c r="B320" s="6">
        <v>113</v>
      </c>
      <c r="C320" s="6">
        <v>1951</v>
      </c>
      <c r="D320" s="6">
        <f t="shared" si="16"/>
        <v>74</v>
      </c>
      <c r="E320" s="7" t="s">
        <v>9</v>
      </c>
      <c r="F320" s="7" t="s">
        <v>13</v>
      </c>
      <c r="G320" s="6">
        <v>30833</v>
      </c>
      <c r="H320" s="6" t="str" cm="1">
        <f t="array" ref="H320">_xlfn.IFS(
  G320 &lt; 25000, "Low",
  AND(G320 &gt;= 25000, G320 &lt; 75000), "Medium",
  AND(G320 &gt;= 75000, G320 &lt; 150000), "High",
  G320 &gt;= 150000, "Very High"
)</f>
        <v>Medium</v>
      </c>
      <c r="I320" s="6">
        <v>1</v>
      </c>
      <c r="J320" s="6">
        <v>1</v>
      </c>
      <c r="K320" s="6">
        <f t="shared" si="17"/>
        <v>2</v>
      </c>
      <c r="L320" s="8">
        <v>41471</v>
      </c>
      <c r="M320" t="str">
        <f t="shared" ca="1" si="18"/>
        <v>12 years, 7 months</v>
      </c>
      <c r="N320" s="6">
        <v>33</v>
      </c>
      <c r="O320">
        <v>0</v>
      </c>
      <c r="P320">
        <v>1</v>
      </c>
      <c r="Q320">
        <f t="shared" si="19"/>
        <v>1</v>
      </c>
      <c r="R320">
        <v>1</v>
      </c>
      <c r="S320">
        <v>3</v>
      </c>
      <c r="T320">
        <f>Table[[#This Row],[NumWebPurchases]]+Table[[#This Row],[NumStorePurchases]]</f>
        <v>4</v>
      </c>
    </row>
    <row r="321" spans="1:20" ht="12.5">
      <c r="A321" s="6">
        <v>319</v>
      </c>
      <c r="B321" s="6">
        <v>2863</v>
      </c>
      <c r="C321" s="6">
        <v>1970</v>
      </c>
      <c r="D321" s="6">
        <f t="shared" si="16"/>
        <v>55</v>
      </c>
      <c r="E321" s="7" t="s">
        <v>9</v>
      </c>
      <c r="F321" s="7" t="s">
        <v>10</v>
      </c>
      <c r="G321" s="7">
        <v>51371</v>
      </c>
      <c r="H321" s="6" t="str" cm="1">
        <f t="array" ref="H321">_xlfn.IFS(
  G321 &lt; 25000, "Low",
  AND(G321 &gt;= 25000, G321 &lt; 75000), "Medium",
  AND(G321 &gt;= 75000, G321 &lt; 150000), "High",
  G321 &gt;= 150000, "Very High"
)</f>
        <v>Medium</v>
      </c>
      <c r="I321" s="6">
        <v>1</v>
      </c>
      <c r="J321" s="6">
        <v>2</v>
      </c>
      <c r="K321" s="6">
        <f t="shared" si="17"/>
        <v>3</v>
      </c>
      <c r="L321" s="8">
        <v>41509</v>
      </c>
      <c r="M321" t="str">
        <f t="shared" ca="1" si="18"/>
        <v>12 years, 6 months</v>
      </c>
      <c r="N321" s="6">
        <v>67</v>
      </c>
      <c r="O321">
        <v>20</v>
      </c>
      <c r="P321">
        <v>50</v>
      </c>
      <c r="Q321">
        <f t="shared" si="19"/>
        <v>70</v>
      </c>
      <c r="R321">
        <v>2</v>
      </c>
      <c r="S321">
        <v>10</v>
      </c>
      <c r="T321">
        <f>Table[[#This Row],[NumWebPurchases]]+Table[[#This Row],[NumStorePurchases]]</f>
        <v>12</v>
      </c>
    </row>
    <row r="322" spans="1:20" ht="12.5">
      <c r="A322" s="6">
        <v>320</v>
      </c>
      <c r="B322" s="6">
        <v>1802</v>
      </c>
      <c r="C322" s="6">
        <v>1971</v>
      </c>
      <c r="D322" s="6">
        <f t="shared" si="16"/>
        <v>54</v>
      </c>
      <c r="E322" s="7" t="s">
        <v>9</v>
      </c>
      <c r="F322" s="7" t="s">
        <v>13</v>
      </c>
      <c r="G322" s="6">
        <v>64795</v>
      </c>
      <c r="H322" s="6" t="str" cm="1">
        <f t="array" ref="H322">_xlfn.IFS(
  G322 &lt; 25000, "Low",
  AND(G322 &gt;= 25000, G322 &lt; 75000), "Medium",
  AND(G322 &gt;= 75000, G322 &lt; 150000), "High",
  G322 &gt;= 150000, "Very High"
)</f>
        <v>Medium</v>
      </c>
      <c r="I322" s="6">
        <v>0</v>
      </c>
      <c r="J322" s="6">
        <v>1</v>
      </c>
      <c r="K322" s="6">
        <f t="shared" si="17"/>
        <v>1</v>
      </c>
      <c r="L322" s="8">
        <v>41291</v>
      </c>
      <c r="M322" t="str">
        <f t="shared" ca="1" si="18"/>
        <v>13 years, 1 months</v>
      </c>
      <c r="N322" s="6">
        <v>23</v>
      </c>
      <c r="O322">
        <v>5</v>
      </c>
      <c r="P322">
        <v>29</v>
      </c>
      <c r="Q322">
        <f t="shared" si="19"/>
        <v>34</v>
      </c>
      <c r="R322">
        <v>3</v>
      </c>
      <c r="S322">
        <v>12</v>
      </c>
      <c r="T322">
        <f>Table[[#This Row],[NumWebPurchases]]+Table[[#This Row],[NumStorePurchases]]</f>
        <v>15</v>
      </c>
    </row>
    <row r="323" spans="1:20" ht="12.5">
      <c r="A323" s="6">
        <v>321</v>
      </c>
      <c r="B323" s="6">
        <v>520</v>
      </c>
      <c r="C323" s="6">
        <v>1974</v>
      </c>
      <c r="D323" s="6">
        <f t="shared" ref="D323:D386" si="20">2025-C323</f>
        <v>51</v>
      </c>
      <c r="E323" s="7" t="s">
        <v>9</v>
      </c>
      <c r="F323" s="7" t="s">
        <v>13</v>
      </c>
      <c r="G323" s="6">
        <v>34421</v>
      </c>
      <c r="H323" s="6" t="str" cm="1">
        <f t="array" ref="H323">_xlfn.IFS(
  G323 &lt; 25000, "Low",
  AND(G323 &gt;= 25000, G323 &lt; 75000), "Medium",
  AND(G323 &gt;= 75000, G323 &lt; 150000), "High",
  G323 &gt;= 150000, "Very High"
)</f>
        <v>Medium</v>
      </c>
      <c r="I323" s="6">
        <v>1</v>
      </c>
      <c r="J323" s="6">
        <v>0</v>
      </c>
      <c r="K323" s="6">
        <f t="shared" ref="K323:K386" si="21">I323+J323</f>
        <v>1</v>
      </c>
      <c r="L323" s="8">
        <v>41456</v>
      </c>
      <c r="M323" t="str">
        <f t="shared" ref="M323:M386" ca="1" si="22">DATEDIF(L323, TODAY(), "Y") &amp; " years, " &amp; DATEDIF(L323, TODAY(), "YM") &amp; " months"</f>
        <v>12 years, 8 months</v>
      </c>
      <c r="N323" s="6">
        <v>81</v>
      </c>
      <c r="O323">
        <v>3</v>
      </c>
      <c r="P323">
        <v>2</v>
      </c>
      <c r="Q323">
        <f t="shared" ref="Q323:Q386" si="23">O323+P323</f>
        <v>5</v>
      </c>
      <c r="R323">
        <v>1</v>
      </c>
      <c r="S323">
        <v>2</v>
      </c>
      <c r="T323">
        <f>Table[[#This Row],[NumWebPurchases]]+Table[[#This Row],[NumStorePurchases]]</f>
        <v>3</v>
      </c>
    </row>
    <row r="324" spans="1:20" ht="12.5">
      <c r="A324" s="6">
        <v>322</v>
      </c>
      <c r="B324" s="6">
        <v>8275</v>
      </c>
      <c r="C324" s="6">
        <v>1965</v>
      </c>
      <c r="D324" s="6">
        <f t="shared" si="20"/>
        <v>60</v>
      </c>
      <c r="E324" s="7" t="s">
        <v>12</v>
      </c>
      <c r="F324" s="7" t="s">
        <v>15</v>
      </c>
      <c r="G324" s="6">
        <v>47025</v>
      </c>
      <c r="H324" s="6" t="str" cm="1">
        <f t="array" ref="H324">_xlfn.IFS(
  G324 &lt; 25000, "Low",
  AND(G324 &gt;= 25000, G324 &lt; 75000), "Medium",
  AND(G324 &gt;= 75000, G324 &lt; 150000), "High",
  G324 &gt;= 150000, "Very High"
)</f>
        <v>Medium</v>
      </c>
      <c r="I324" s="6">
        <v>1</v>
      </c>
      <c r="J324" s="6">
        <v>1</v>
      </c>
      <c r="K324" s="6">
        <f t="shared" si="21"/>
        <v>2</v>
      </c>
      <c r="L324" s="8">
        <v>41679</v>
      </c>
      <c r="M324" t="str">
        <f t="shared" ca="1" si="22"/>
        <v>12 years, 0 months</v>
      </c>
      <c r="N324" s="6">
        <v>6</v>
      </c>
      <c r="O324">
        <v>0</v>
      </c>
      <c r="P324">
        <v>0</v>
      </c>
      <c r="Q324">
        <f t="shared" si="23"/>
        <v>0</v>
      </c>
      <c r="R324">
        <v>1</v>
      </c>
      <c r="S324">
        <v>2</v>
      </c>
      <c r="T324">
        <f>Table[[#This Row],[NumWebPurchases]]+Table[[#This Row],[NumStorePurchases]]</f>
        <v>3</v>
      </c>
    </row>
    <row r="325" spans="1:20" ht="12.5">
      <c r="A325" s="6">
        <v>323</v>
      </c>
      <c r="B325" s="6">
        <v>9750</v>
      </c>
      <c r="C325" s="6">
        <v>1961</v>
      </c>
      <c r="D325" s="6">
        <f t="shared" si="20"/>
        <v>64</v>
      </c>
      <c r="E325" s="7" t="s">
        <v>12</v>
      </c>
      <c r="F325" s="7" t="s">
        <v>15</v>
      </c>
      <c r="G325" s="6">
        <v>64325</v>
      </c>
      <c r="H325" s="6" t="str" cm="1">
        <f t="array" ref="H325">_xlfn.IFS(
  G325 &lt; 25000, "Low",
  AND(G325 &gt;= 25000, G325 &lt; 75000), "Medium",
  AND(G325 &gt;= 75000, G325 &lt; 150000), "High",
  G325 &gt;= 150000, "Very High"
)</f>
        <v>Medium</v>
      </c>
      <c r="I325" s="6">
        <v>0</v>
      </c>
      <c r="J325" s="6">
        <v>1</v>
      </c>
      <c r="K325" s="6">
        <f t="shared" si="21"/>
        <v>1</v>
      </c>
      <c r="L325" s="8">
        <v>41312</v>
      </c>
      <c r="M325" t="str">
        <f t="shared" ca="1" si="22"/>
        <v>13 years, 0 months</v>
      </c>
      <c r="N325" s="6">
        <v>41</v>
      </c>
      <c r="O325">
        <v>60</v>
      </c>
      <c r="P325">
        <v>12</v>
      </c>
      <c r="Q325">
        <f t="shared" si="23"/>
        <v>72</v>
      </c>
      <c r="R325">
        <v>10</v>
      </c>
      <c r="S325">
        <v>5</v>
      </c>
      <c r="T325">
        <f>Table[[#This Row],[NumWebPurchases]]+Table[[#This Row],[NumStorePurchases]]</f>
        <v>15</v>
      </c>
    </row>
    <row r="326" spans="1:20" ht="12.5">
      <c r="A326" s="6">
        <v>324</v>
      </c>
      <c r="B326" s="6">
        <v>2607</v>
      </c>
      <c r="C326" s="6">
        <v>1953</v>
      </c>
      <c r="D326" s="6">
        <f t="shared" si="20"/>
        <v>72</v>
      </c>
      <c r="E326" s="7" t="s">
        <v>9</v>
      </c>
      <c r="F326" s="7" t="s">
        <v>10</v>
      </c>
      <c r="G326" s="6">
        <v>40464</v>
      </c>
      <c r="H326" s="6" t="str" cm="1">
        <f t="array" ref="H326">_xlfn.IFS(
  G326 &lt; 25000, "Low",
  AND(G326 &gt;= 25000, G326 &lt; 75000), "Medium",
  AND(G326 &gt;= 75000, G326 &lt; 150000), "High",
  G326 &gt;= 150000, "Very High"
)</f>
        <v>Medium</v>
      </c>
      <c r="I326" s="6">
        <v>0</v>
      </c>
      <c r="J326" s="6">
        <v>1</v>
      </c>
      <c r="K326" s="6">
        <f t="shared" si="21"/>
        <v>1</v>
      </c>
      <c r="L326" s="8">
        <v>41285</v>
      </c>
      <c r="M326" t="str">
        <f t="shared" ca="1" si="22"/>
        <v>13 years, 1 months</v>
      </c>
      <c r="N326" s="6">
        <v>78</v>
      </c>
      <c r="O326">
        <v>17</v>
      </c>
      <c r="P326">
        <v>23</v>
      </c>
      <c r="Q326">
        <f t="shared" si="23"/>
        <v>40</v>
      </c>
      <c r="R326">
        <v>8</v>
      </c>
      <c r="S326">
        <v>8</v>
      </c>
      <c r="T326">
        <f>Table[[#This Row],[NumWebPurchases]]+Table[[#This Row],[NumStorePurchases]]</f>
        <v>16</v>
      </c>
    </row>
    <row r="327" spans="1:20" ht="12.5">
      <c r="A327" s="6">
        <v>325</v>
      </c>
      <c r="B327" s="6">
        <v>7214</v>
      </c>
      <c r="C327" s="6">
        <v>1957</v>
      </c>
      <c r="D327" s="6">
        <f t="shared" si="20"/>
        <v>68</v>
      </c>
      <c r="E327" s="7" t="s">
        <v>9</v>
      </c>
      <c r="F327" s="7" t="s">
        <v>13</v>
      </c>
      <c r="G327" s="6">
        <v>62187</v>
      </c>
      <c r="H327" s="6" t="str" cm="1">
        <f t="array" ref="H327">_xlfn.IFS(
  G327 &lt; 25000, "Low",
  AND(G327 &gt;= 25000, G327 &lt; 75000), "Medium",
  AND(G327 &gt;= 75000, G327 &lt; 150000), "High",
  G327 &gt;= 150000, "Very High"
)</f>
        <v>Medium</v>
      </c>
      <c r="I327" s="6">
        <v>0</v>
      </c>
      <c r="J327" s="6">
        <v>0</v>
      </c>
      <c r="K327" s="6">
        <f t="shared" si="21"/>
        <v>0</v>
      </c>
      <c r="L327" s="8">
        <v>41460</v>
      </c>
      <c r="M327" t="str">
        <f t="shared" ca="1" si="22"/>
        <v>12 years, 8 months</v>
      </c>
      <c r="N327" s="6">
        <v>49</v>
      </c>
      <c r="O327">
        <v>0</v>
      </c>
      <c r="P327">
        <v>45</v>
      </c>
      <c r="Q327">
        <f t="shared" si="23"/>
        <v>45</v>
      </c>
      <c r="R327">
        <v>4</v>
      </c>
      <c r="S327">
        <v>5</v>
      </c>
      <c r="T327">
        <f>Table[[#This Row],[NumWebPurchases]]+Table[[#This Row],[NumStorePurchases]]</f>
        <v>9</v>
      </c>
    </row>
    <row r="328" spans="1:20" ht="12.5">
      <c r="A328" s="6">
        <v>326</v>
      </c>
      <c r="B328" s="6">
        <v>5835</v>
      </c>
      <c r="C328" s="6">
        <v>1976</v>
      </c>
      <c r="D328" s="6">
        <f t="shared" si="20"/>
        <v>49</v>
      </c>
      <c r="E328" s="7" t="s">
        <v>12</v>
      </c>
      <c r="F328" s="7" t="s">
        <v>15</v>
      </c>
      <c r="G328" s="6">
        <v>14849</v>
      </c>
      <c r="H328" s="6" t="str" cm="1">
        <f t="array" ref="H328">_xlfn.IFS(
  G328 &lt; 25000, "Low",
  AND(G328 &gt;= 25000, G328 &lt; 75000), "Medium",
  AND(G328 &gt;= 75000, G328 &lt; 150000), "High",
  G328 &gt;= 150000, "Very High"
)</f>
        <v>Low</v>
      </c>
      <c r="I328" s="6">
        <v>1</v>
      </c>
      <c r="J328" s="6">
        <v>0</v>
      </c>
      <c r="K328" s="6">
        <f t="shared" si="21"/>
        <v>1</v>
      </c>
      <c r="L328" s="8">
        <v>41457</v>
      </c>
      <c r="M328" t="str">
        <f t="shared" ca="1" si="22"/>
        <v>12 years, 8 months</v>
      </c>
      <c r="N328" s="6">
        <v>39</v>
      </c>
      <c r="O328">
        <v>2</v>
      </c>
      <c r="P328">
        <v>2</v>
      </c>
      <c r="Q328">
        <f t="shared" si="23"/>
        <v>4</v>
      </c>
      <c r="R328">
        <v>2</v>
      </c>
      <c r="S328">
        <v>4</v>
      </c>
      <c r="T328">
        <f>Table[[#This Row],[NumWebPurchases]]+Table[[#This Row],[NumStorePurchases]]</f>
        <v>6</v>
      </c>
    </row>
    <row r="329" spans="1:20" ht="12.5">
      <c r="A329" s="6">
        <v>327</v>
      </c>
      <c r="B329" s="6">
        <v>3896</v>
      </c>
      <c r="C329" s="6">
        <v>1984</v>
      </c>
      <c r="D329" s="6">
        <f t="shared" si="20"/>
        <v>41</v>
      </c>
      <c r="E329" s="7" t="s">
        <v>9</v>
      </c>
      <c r="F329" s="7" t="s">
        <v>13</v>
      </c>
      <c r="G329" s="6">
        <v>27255</v>
      </c>
      <c r="H329" s="6" t="str" cm="1">
        <f t="array" ref="H329">_xlfn.IFS(
  G329 &lt; 25000, "Low",
  AND(G329 &gt;= 25000, G329 &lt; 75000), "Medium",
  AND(G329 &gt;= 75000, G329 &lt; 150000), "High",
  G329 &gt;= 150000, "Very High"
)</f>
        <v>Medium</v>
      </c>
      <c r="I329" s="6">
        <v>1</v>
      </c>
      <c r="J329" s="6">
        <v>0</v>
      </c>
      <c r="K329" s="6">
        <f t="shared" si="21"/>
        <v>1</v>
      </c>
      <c r="L329" s="8">
        <v>41585</v>
      </c>
      <c r="M329" t="str">
        <f t="shared" ca="1" si="22"/>
        <v>12 years, 3 months</v>
      </c>
      <c r="N329" s="6">
        <v>3</v>
      </c>
      <c r="O329">
        <v>1</v>
      </c>
      <c r="P329">
        <v>1</v>
      </c>
      <c r="Q329">
        <f t="shared" si="23"/>
        <v>2</v>
      </c>
      <c r="R329">
        <v>1</v>
      </c>
      <c r="S329">
        <v>3</v>
      </c>
      <c r="T329">
        <f>Table[[#This Row],[NumWebPurchases]]+Table[[#This Row],[NumStorePurchases]]</f>
        <v>4</v>
      </c>
    </row>
    <row r="330" spans="1:20" ht="12.5">
      <c r="A330" s="6">
        <v>328</v>
      </c>
      <c r="B330" s="6">
        <v>10350</v>
      </c>
      <c r="C330" s="6">
        <v>1950</v>
      </c>
      <c r="D330" s="6">
        <f t="shared" si="20"/>
        <v>75</v>
      </c>
      <c r="E330" s="7" t="s">
        <v>12</v>
      </c>
      <c r="F330" s="7" t="s">
        <v>13</v>
      </c>
      <c r="G330" s="6">
        <v>54432</v>
      </c>
      <c r="H330" s="6" t="str" cm="1">
        <f t="array" ref="H330">_xlfn.IFS(
  G330 &lt; 25000, "Low",
  AND(G330 &gt;= 25000, G330 &lt; 75000), "Medium",
  AND(G330 &gt;= 75000, G330 &lt; 150000), "High",
  G330 &gt;= 150000, "Very High"
)</f>
        <v>Medium</v>
      </c>
      <c r="I330" s="6">
        <v>2</v>
      </c>
      <c r="J330" s="6">
        <v>1</v>
      </c>
      <c r="K330" s="6">
        <f t="shared" si="21"/>
        <v>3</v>
      </c>
      <c r="L330" s="8">
        <v>41403</v>
      </c>
      <c r="M330" t="str">
        <f t="shared" ca="1" si="22"/>
        <v>12 years, 9 months</v>
      </c>
      <c r="N330" s="6">
        <v>37</v>
      </c>
      <c r="O330">
        <v>0</v>
      </c>
      <c r="P330">
        <v>0</v>
      </c>
      <c r="Q330">
        <f t="shared" si="23"/>
        <v>0</v>
      </c>
      <c r="R330">
        <v>1</v>
      </c>
      <c r="S330">
        <v>3</v>
      </c>
      <c r="T330">
        <f>Table[[#This Row],[NumWebPurchases]]+Table[[#This Row],[NumStorePurchases]]</f>
        <v>4</v>
      </c>
    </row>
    <row r="331" spans="1:20" ht="12.5">
      <c r="A331" s="6">
        <v>329</v>
      </c>
      <c r="B331" s="6">
        <v>7786</v>
      </c>
      <c r="C331" s="6">
        <v>1986</v>
      </c>
      <c r="D331" s="6">
        <f t="shared" si="20"/>
        <v>39</v>
      </c>
      <c r="E331" s="7" t="s">
        <v>12</v>
      </c>
      <c r="F331" s="7" t="s">
        <v>10</v>
      </c>
      <c r="G331" s="6">
        <v>29999</v>
      </c>
      <c r="H331" s="6" t="str" cm="1">
        <f t="array" ref="H331">_xlfn.IFS(
  G331 &lt; 25000, "Low",
  AND(G331 &gt;= 25000, G331 &lt; 75000), "Medium",
  AND(G331 &gt;= 75000, G331 &lt; 150000), "High",
  G331 &gt;= 150000, "Very High"
)</f>
        <v>Medium</v>
      </c>
      <c r="I331" s="6">
        <v>1</v>
      </c>
      <c r="J331" s="6">
        <v>0</v>
      </c>
      <c r="K331" s="6">
        <f t="shared" si="21"/>
        <v>1</v>
      </c>
      <c r="L331" s="8">
        <v>41318</v>
      </c>
      <c r="M331" t="str">
        <f t="shared" ca="1" si="22"/>
        <v>13 years, 0 months</v>
      </c>
      <c r="N331" s="6">
        <v>22</v>
      </c>
      <c r="O331">
        <v>7</v>
      </c>
      <c r="P331">
        <v>5</v>
      </c>
      <c r="Q331">
        <f t="shared" si="23"/>
        <v>12</v>
      </c>
      <c r="R331">
        <v>3</v>
      </c>
      <c r="S331">
        <v>4</v>
      </c>
      <c r="T331">
        <f>Table[[#This Row],[NumWebPurchases]]+Table[[#This Row],[NumStorePurchases]]</f>
        <v>7</v>
      </c>
    </row>
    <row r="332" spans="1:20" ht="12.5">
      <c r="A332" s="6">
        <v>330</v>
      </c>
      <c r="B332" s="6">
        <v>2861</v>
      </c>
      <c r="C332" s="6">
        <v>1983</v>
      </c>
      <c r="D332" s="6">
        <f t="shared" si="20"/>
        <v>42</v>
      </c>
      <c r="E332" s="7" t="s">
        <v>9</v>
      </c>
      <c r="F332" s="7" t="s">
        <v>10</v>
      </c>
      <c r="G332" s="6">
        <v>24072</v>
      </c>
      <c r="H332" s="6" t="str" cm="1">
        <f t="array" ref="H332">_xlfn.IFS(
  G332 &lt; 25000, "Low",
  AND(G332 &gt;= 25000, G332 &lt; 75000), "Medium",
  AND(G332 &gt;= 75000, G332 &lt; 150000), "High",
  G332 &gt;= 150000, "Very High"
)</f>
        <v>Low</v>
      </c>
      <c r="I332" s="6">
        <v>1</v>
      </c>
      <c r="J332" s="6">
        <v>0</v>
      </c>
      <c r="K332" s="6">
        <f t="shared" si="21"/>
        <v>1</v>
      </c>
      <c r="L332" s="8">
        <v>41380</v>
      </c>
      <c r="M332" t="str">
        <f t="shared" ca="1" si="22"/>
        <v>12 years, 10 months</v>
      </c>
      <c r="N332" s="6">
        <v>79</v>
      </c>
      <c r="O332">
        <v>1</v>
      </c>
      <c r="P332">
        <v>0</v>
      </c>
      <c r="Q332">
        <f t="shared" si="23"/>
        <v>1</v>
      </c>
      <c r="R332">
        <v>1</v>
      </c>
      <c r="S332">
        <v>2</v>
      </c>
      <c r="T332">
        <f>Table[[#This Row],[NumWebPurchases]]+Table[[#This Row],[NumStorePurchases]]</f>
        <v>3</v>
      </c>
    </row>
    <row r="333" spans="1:20" ht="12.5">
      <c r="A333" s="6">
        <v>331</v>
      </c>
      <c r="B333" s="6">
        <v>663</v>
      </c>
      <c r="C333" s="6">
        <v>1989</v>
      </c>
      <c r="D333" s="6">
        <f t="shared" si="20"/>
        <v>36</v>
      </c>
      <c r="E333" s="7" t="s">
        <v>12</v>
      </c>
      <c r="F333" s="7" t="s">
        <v>10</v>
      </c>
      <c r="G333" s="6">
        <v>33996</v>
      </c>
      <c r="H333" s="6" t="str" cm="1">
        <f t="array" ref="H333">_xlfn.IFS(
  G333 &lt; 25000, "Low",
  AND(G333 &gt;= 25000, G333 &lt; 75000), "Medium",
  AND(G333 &gt;= 75000, G333 &lt; 150000), "High",
  G333 &gt;= 150000, "Very High"
)</f>
        <v>Medium</v>
      </c>
      <c r="I333" s="6">
        <v>0</v>
      </c>
      <c r="J333" s="6">
        <v>0</v>
      </c>
      <c r="K333" s="6">
        <f t="shared" si="21"/>
        <v>0</v>
      </c>
      <c r="L333" s="8">
        <v>41528</v>
      </c>
      <c r="M333" t="str">
        <f t="shared" ca="1" si="22"/>
        <v>12 years, 5 months</v>
      </c>
      <c r="N333" s="6">
        <v>46</v>
      </c>
      <c r="O333">
        <v>2</v>
      </c>
      <c r="P333">
        <v>0</v>
      </c>
      <c r="Q333">
        <f t="shared" si="23"/>
        <v>2</v>
      </c>
      <c r="R333">
        <v>1</v>
      </c>
      <c r="S333">
        <v>3</v>
      </c>
      <c r="T333">
        <f>Table[[#This Row],[NumWebPurchases]]+Table[[#This Row],[NumStorePurchases]]</f>
        <v>4</v>
      </c>
    </row>
    <row r="334" spans="1:20" ht="12.5">
      <c r="A334" s="6">
        <v>332</v>
      </c>
      <c r="B334" s="6">
        <v>10675</v>
      </c>
      <c r="C334" s="6">
        <v>1956</v>
      </c>
      <c r="D334" s="6">
        <f t="shared" si="20"/>
        <v>69</v>
      </c>
      <c r="E334" s="7" t="s">
        <v>12</v>
      </c>
      <c r="F334" s="7" t="s">
        <v>13</v>
      </c>
      <c r="G334" s="6">
        <v>66334</v>
      </c>
      <c r="H334" s="6" t="str" cm="1">
        <f t="array" ref="H334">_xlfn.IFS(
  G334 &lt; 25000, "Low",
  AND(G334 &gt;= 25000, G334 &lt; 75000), "Medium",
  AND(G334 &gt;= 75000, G334 &lt; 150000), "High",
  G334 &gt;= 150000, "Very High"
)</f>
        <v>Medium</v>
      </c>
      <c r="I334" s="6">
        <v>0</v>
      </c>
      <c r="J334" s="6">
        <v>1</v>
      </c>
      <c r="K334" s="6">
        <f t="shared" si="21"/>
        <v>1</v>
      </c>
      <c r="L334" s="8">
        <v>41367</v>
      </c>
      <c r="M334" t="str">
        <f t="shared" ca="1" si="22"/>
        <v>12 years, 11 months</v>
      </c>
      <c r="N334" s="6">
        <v>82</v>
      </c>
      <c r="O334">
        <v>11</v>
      </c>
      <c r="P334">
        <v>0</v>
      </c>
      <c r="Q334">
        <f t="shared" si="23"/>
        <v>11</v>
      </c>
      <c r="R334">
        <v>9</v>
      </c>
      <c r="S334">
        <v>5</v>
      </c>
      <c r="T334">
        <f>Table[[#This Row],[NumWebPurchases]]+Table[[#This Row],[NumStorePurchases]]</f>
        <v>14</v>
      </c>
    </row>
    <row r="335" spans="1:20" ht="12.5">
      <c r="A335" s="6">
        <v>333</v>
      </c>
      <c r="B335" s="6">
        <v>2521</v>
      </c>
      <c r="C335" s="6">
        <v>1971</v>
      </c>
      <c r="D335" s="6">
        <f t="shared" si="20"/>
        <v>54</v>
      </c>
      <c r="E335" s="7" t="s">
        <v>14</v>
      </c>
      <c r="F335" s="7" t="s">
        <v>13</v>
      </c>
      <c r="G335" s="6">
        <v>35178</v>
      </c>
      <c r="H335" s="6" t="str" cm="1">
        <f t="array" ref="H335">_xlfn.IFS(
  G335 &lt; 25000, "Low",
  AND(G335 &gt;= 25000, G335 &lt; 75000), "Medium",
  AND(G335 &gt;= 75000, G335 &lt; 150000), "High",
  G335 &gt;= 150000, "Very High"
)</f>
        <v>Medium</v>
      </c>
      <c r="I335" s="6">
        <v>1</v>
      </c>
      <c r="J335" s="6">
        <v>0</v>
      </c>
      <c r="K335" s="6">
        <f t="shared" si="21"/>
        <v>1</v>
      </c>
      <c r="L335" s="8">
        <v>41284</v>
      </c>
      <c r="M335" t="str">
        <f t="shared" ca="1" si="22"/>
        <v>13 years, 1 months</v>
      </c>
      <c r="N335" s="6">
        <v>10</v>
      </c>
      <c r="O335">
        <v>1</v>
      </c>
      <c r="P335">
        <v>2</v>
      </c>
      <c r="Q335">
        <f t="shared" si="23"/>
        <v>3</v>
      </c>
      <c r="R335">
        <v>1</v>
      </c>
      <c r="S335">
        <v>2</v>
      </c>
      <c r="T335">
        <f>Table[[#This Row],[NumWebPurchases]]+Table[[#This Row],[NumStorePurchases]]</f>
        <v>3</v>
      </c>
    </row>
    <row r="336" spans="1:20" ht="12.5">
      <c r="A336" s="6">
        <v>334</v>
      </c>
      <c r="B336" s="6">
        <v>9592</v>
      </c>
      <c r="C336" s="6">
        <v>1983</v>
      </c>
      <c r="D336" s="6">
        <f t="shared" si="20"/>
        <v>42</v>
      </c>
      <c r="E336" s="7" t="s">
        <v>9</v>
      </c>
      <c r="F336" s="7" t="s">
        <v>11</v>
      </c>
      <c r="G336" s="6">
        <v>22010</v>
      </c>
      <c r="H336" s="6" t="str" cm="1">
        <f t="array" ref="H336">_xlfn.IFS(
  G336 &lt; 25000, "Low",
  AND(G336 &gt;= 25000, G336 &lt; 75000), "Medium",
  AND(G336 &gt;= 75000, G336 &lt; 150000), "High",
  G336 &gt;= 150000, "Very High"
)</f>
        <v>Low</v>
      </c>
      <c r="I336" s="6">
        <v>1</v>
      </c>
      <c r="J336" s="6">
        <v>0</v>
      </c>
      <c r="K336" s="6">
        <f t="shared" si="21"/>
        <v>1</v>
      </c>
      <c r="L336" s="8">
        <v>41455</v>
      </c>
      <c r="M336" t="str">
        <f t="shared" ca="1" si="22"/>
        <v>12 years, 8 months</v>
      </c>
      <c r="N336" s="6">
        <v>51</v>
      </c>
      <c r="O336">
        <v>2</v>
      </c>
      <c r="P336">
        <v>0</v>
      </c>
      <c r="Q336">
        <f t="shared" si="23"/>
        <v>2</v>
      </c>
      <c r="R336">
        <v>2</v>
      </c>
      <c r="S336">
        <v>3</v>
      </c>
      <c r="T336">
        <f>Table[[#This Row],[NumWebPurchases]]+Table[[#This Row],[NumStorePurchases]]</f>
        <v>5</v>
      </c>
    </row>
    <row r="337" spans="1:20" ht="12.5">
      <c r="A337" s="6">
        <v>335</v>
      </c>
      <c r="B337" s="6">
        <v>10151</v>
      </c>
      <c r="C337" s="6">
        <v>1960</v>
      </c>
      <c r="D337" s="6">
        <f t="shared" si="20"/>
        <v>65</v>
      </c>
      <c r="E337" s="7" t="s">
        <v>9</v>
      </c>
      <c r="F337" s="7" t="s">
        <v>15</v>
      </c>
      <c r="G337" s="6">
        <v>62204</v>
      </c>
      <c r="H337" s="6" t="str" cm="1">
        <f t="array" ref="H337">_xlfn.IFS(
  G337 &lt; 25000, "Low",
  AND(G337 &gt;= 25000, G337 &lt; 75000), "Medium",
  AND(G337 &gt;= 75000, G337 &lt; 150000), "High",
  G337 &gt;= 150000, "Very High"
)</f>
        <v>Medium</v>
      </c>
      <c r="I337" s="6">
        <v>0</v>
      </c>
      <c r="J337" s="6">
        <v>2</v>
      </c>
      <c r="K337" s="6">
        <f t="shared" si="21"/>
        <v>2</v>
      </c>
      <c r="L337" s="8">
        <v>41164</v>
      </c>
      <c r="M337" t="str">
        <f t="shared" ca="1" si="22"/>
        <v>13 years, 5 months</v>
      </c>
      <c r="N337" s="6">
        <v>38</v>
      </c>
      <c r="O337">
        <v>46</v>
      </c>
      <c r="P337">
        <v>46</v>
      </c>
      <c r="Q337">
        <f t="shared" si="23"/>
        <v>92</v>
      </c>
      <c r="R337">
        <v>4</v>
      </c>
      <c r="S337">
        <v>12</v>
      </c>
      <c r="T337">
        <f>Table[[#This Row],[NumWebPurchases]]+Table[[#This Row],[NumStorePurchases]]</f>
        <v>16</v>
      </c>
    </row>
    <row r="338" spans="1:20" ht="12.5">
      <c r="A338" s="6">
        <v>336</v>
      </c>
      <c r="B338" s="6">
        <v>7381</v>
      </c>
      <c r="C338" s="6">
        <v>1968</v>
      </c>
      <c r="D338" s="6">
        <f t="shared" si="20"/>
        <v>57</v>
      </c>
      <c r="E338" s="7" t="s">
        <v>9</v>
      </c>
      <c r="F338" s="7" t="s">
        <v>15</v>
      </c>
      <c r="G338" s="6">
        <v>75693</v>
      </c>
      <c r="H338" s="6" t="str" cm="1">
        <f t="array" ref="H338">_xlfn.IFS(
  G338 &lt; 25000, "Low",
  AND(G338 &gt;= 25000, G338 &lt; 75000), "Medium",
  AND(G338 &gt;= 75000, G338 &lt; 150000), "High",
  G338 &gt;= 150000, "Very High"
)</f>
        <v>High</v>
      </c>
      <c r="I338" s="6">
        <v>0</v>
      </c>
      <c r="J338" s="6">
        <v>0</v>
      </c>
      <c r="K338" s="6">
        <f t="shared" si="21"/>
        <v>0</v>
      </c>
      <c r="L338" s="8">
        <v>41249</v>
      </c>
      <c r="M338" t="str">
        <f t="shared" ca="1" si="22"/>
        <v>13 years, 3 months</v>
      </c>
      <c r="N338" s="6">
        <v>10</v>
      </c>
      <c r="O338">
        <v>153</v>
      </c>
      <c r="P338">
        <v>97</v>
      </c>
      <c r="Q338">
        <f t="shared" si="23"/>
        <v>250</v>
      </c>
      <c r="R338">
        <v>11</v>
      </c>
      <c r="S338">
        <v>6</v>
      </c>
      <c r="T338">
        <f>Table[[#This Row],[NumWebPurchases]]+Table[[#This Row],[NumStorePurchases]]</f>
        <v>17</v>
      </c>
    </row>
    <row r="339" spans="1:20" ht="12.5">
      <c r="A339" s="6">
        <v>337</v>
      </c>
      <c r="B339" s="6">
        <v>4099</v>
      </c>
      <c r="C339" s="6">
        <v>1972</v>
      </c>
      <c r="D339" s="6">
        <f t="shared" si="20"/>
        <v>53</v>
      </c>
      <c r="E339" s="7" t="s">
        <v>9</v>
      </c>
      <c r="F339" s="7" t="s">
        <v>13</v>
      </c>
      <c r="G339" s="6">
        <v>30675</v>
      </c>
      <c r="H339" s="6" t="str" cm="1">
        <f t="array" ref="H339">_xlfn.IFS(
  G339 &lt; 25000, "Low",
  AND(G339 &gt;= 25000, G339 &lt; 75000), "Medium",
  AND(G339 &gt;= 75000, G339 &lt; 150000), "High",
  G339 &gt;= 150000, "Very High"
)</f>
        <v>Medium</v>
      </c>
      <c r="I339" s="6">
        <v>1</v>
      </c>
      <c r="J339" s="6">
        <v>0</v>
      </c>
      <c r="K339" s="6">
        <f t="shared" si="21"/>
        <v>1</v>
      </c>
      <c r="L339" s="9">
        <v>41225</v>
      </c>
      <c r="M339" t="str">
        <f t="shared" ca="1" si="22"/>
        <v>13 years, 3 months</v>
      </c>
      <c r="N339" s="6">
        <v>14</v>
      </c>
      <c r="O339">
        <v>2</v>
      </c>
      <c r="P339">
        <v>2</v>
      </c>
      <c r="Q339">
        <f t="shared" si="23"/>
        <v>4</v>
      </c>
      <c r="R339">
        <v>1</v>
      </c>
      <c r="S339">
        <v>3</v>
      </c>
      <c r="T339">
        <f>Table[[#This Row],[NumWebPurchases]]+Table[[#This Row],[NumStorePurchases]]</f>
        <v>4</v>
      </c>
    </row>
    <row r="340" spans="1:20" ht="12.5">
      <c r="A340" s="6">
        <v>338</v>
      </c>
      <c r="B340" s="6">
        <v>9560</v>
      </c>
      <c r="C340" s="6">
        <v>1965</v>
      </c>
      <c r="D340" s="6">
        <f t="shared" si="20"/>
        <v>60</v>
      </c>
      <c r="E340" s="7" t="s">
        <v>9</v>
      </c>
      <c r="F340" s="7" t="s">
        <v>11</v>
      </c>
      <c r="G340" s="6">
        <v>83003</v>
      </c>
      <c r="H340" s="6" t="str" cm="1">
        <f t="array" ref="H340">_xlfn.IFS(
  G340 &lt; 25000, "Low",
  AND(G340 &gt;= 25000, G340 &lt; 75000), "Medium",
  AND(G340 &gt;= 75000, G340 &lt; 150000), "High",
  G340 &gt;= 150000, "Very High"
)</f>
        <v>High</v>
      </c>
      <c r="I340" s="6">
        <v>0</v>
      </c>
      <c r="J340" s="6">
        <v>0</v>
      </c>
      <c r="K340" s="6">
        <f t="shared" si="21"/>
        <v>0</v>
      </c>
      <c r="L340" s="8">
        <v>41336</v>
      </c>
      <c r="M340" t="str">
        <f t="shared" ca="1" si="22"/>
        <v>13 years, 0 months</v>
      </c>
      <c r="N340" s="6">
        <v>18</v>
      </c>
      <c r="O340">
        <v>61</v>
      </c>
      <c r="P340">
        <v>25</v>
      </c>
      <c r="Q340">
        <f t="shared" si="23"/>
        <v>86</v>
      </c>
      <c r="R340">
        <v>7</v>
      </c>
      <c r="S340">
        <v>8</v>
      </c>
      <c r="T340">
        <f>Table[[#This Row],[NumWebPurchases]]+Table[[#This Row],[NumStorePurchases]]</f>
        <v>15</v>
      </c>
    </row>
    <row r="341" spans="1:20" ht="12.5">
      <c r="A341" s="6">
        <v>339</v>
      </c>
      <c r="B341" s="6">
        <v>1150</v>
      </c>
      <c r="C341" s="6">
        <v>1899</v>
      </c>
      <c r="D341" s="6">
        <f t="shared" si="20"/>
        <v>126</v>
      </c>
      <c r="E341" s="7" t="s">
        <v>12</v>
      </c>
      <c r="F341" s="7" t="s">
        <v>11</v>
      </c>
      <c r="G341" s="6">
        <v>83532</v>
      </c>
      <c r="H341" s="6" t="str" cm="1">
        <f t="array" ref="H341">_xlfn.IFS(
  G341 &lt; 25000, "Low",
  AND(G341 &gt;= 25000, G341 &lt; 75000), "Medium",
  AND(G341 &gt;= 75000, G341 &lt; 150000), "High",
  G341 &gt;= 150000, "Very High"
)</f>
        <v>High</v>
      </c>
      <c r="I341" s="6">
        <v>0</v>
      </c>
      <c r="J341" s="6">
        <v>0</v>
      </c>
      <c r="K341" s="6">
        <f t="shared" si="21"/>
        <v>0</v>
      </c>
      <c r="L341" s="8">
        <v>41543</v>
      </c>
      <c r="M341" t="str">
        <f t="shared" ca="1" si="22"/>
        <v>12 years, 5 months</v>
      </c>
      <c r="N341" s="6">
        <v>36</v>
      </c>
      <c r="O341">
        <v>144</v>
      </c>
      <c r="P341">
        <v>64</v>
      </c>
      <c r="Q341">
        <f t="shared" si="23"/>
        <v>208</v>
      </c>
      <c r="R341">
        <v>4</v>
      </c>
      <c r="S341">
        <v>4</v>
      </c>
      <c r="T341">
        <f>Table[[#This Row],[NumWebPurchases]]+Table[[#This Row],[NumStorePurchases]]</f>
        <v>8</v>
      </c>
    </row>
    <row r="342" spans="1:20" ht="12.5">
      <c r="A342" s="6">
        <v>340</v>
      </c>
      <c r="B342" s="6">
        <v>10172</v>
      </c>
      <c r="C342" s="6">
        <v>1988</v>
      </c>
      <c r="D342" s="6">
        <f t="shared" si="20"/>
        <v>37</v>
      </c>
      <c r="E342" s="7" t="s">
        <v>9</v>
      </c>
      <c r="F342" s="7" t="s">
        <v>10</v>
      </c>
      <c r="G342" s="6">
        <v>68655</v>
      </c>
      <c r="H342" s="6" t="str" cm="1">
        <f t="array" ref="H342">_xlfn.IFS(
  G342 &lt; 25000, "Low",
  AND(G342 &gt;= 25000, G342 &lt; 75000), "Medium",
  AND(G342 &gt;= 75000, G342 &lt; 150000), "High",
  G342 &gt;= 150000, "Very High"
)</f>
        <v>Medium</v>
      </c>
      <c r="I342" s="6">
        <v>0</v>
      </c>
      <c r="J342" s="6">
        <v>0</v>
      </c>
      <c r="K342" s="6">
        <f t="shared" si="21"/>
        <v>0</v>
      </c>
      <c r="L342" s="8">
        <v>41131</v>
      </c>
      <c r="M342" t="str">
        <f t="shared" ca="1" si="22"/>
        <v>13 years, 6 months</v>
      </c>
      <c r="N342" s="6">
        <v>95</v>
      </c>
      <c r="O342">
        <v>19</v>
      </c>
      <c r="P342">
        <v>118</v>
      </c>
      <c r="Q342">
        <f t="shared" si="23"/>
        <v>137</v>
      </c>
      <c r="R342">
        <v>4</v>
      </c>
      <c r="S342">
        <v>11</v>
      </c>
      <c r="T342">
        <f>Table[[#This Row],[NumWebPurchases]]+Table[[#This Row],[NumStorePurchases]]</f>
        <v>15</v>
      </c>
    </row>
    <row r="343" spans="1:20" ht="12.5">
      <c r="A343" s="6">
        <v>341</v>
      </c>
      <c r="B343" s="6">
        <v>11191</v>
      </c>
      <c r="C343" s="6">
        <v>1986</v>
      </c>
      <c r="D343" s="6">
        <f t="shared" si="20"/>
        <v>39</v>
      </c>
      <c r="E343" s="7" t="s">
        <v>9</v>
      </c>
      <c r="F343" s="7" t="s">
        <v>15</v>
      </c>
      <c r="G343" s="6">
        <v>41411</v>
      </c>
      <c r="H343" s="6" t="str" cm="1">
        <f t="array" ref="H343">_xlfn.IFS(
  G343 &lt; 25000, "Low",
  AND(G343 &gt;= 25000, G343 &lt; 75000), "Medium",
  AND(G343 &gt;= 75000, G343 &lt; 150000), "High",
  G343 &gt;= 150000, "Very High"
)</f>
        <v>Medium</v>
      </c>
      <c r="I343" s="6">
        <v>0</v>
      </c>
      <c r="J343" s="6">
        <v>0</v>
      </c>
      <c r="K343" s="6">
        <f t="shared" si="21"/>
        <v>0</v>
      </c>
      <c r="L343" s="8">
        <v>41615</v>
      </c>
      <c r="M343" t="str">
        <f t="shared" ca="1" si="22"/>
        <v>12 years, 2 months</v>
      </c>
      <c r="N343" s="6">
        <v>11</v>
      </c>
      <c r="O343">
        <v>32</v>
      </c>
      <c r="P343">
        <v>3</v>
      </c>
      <c r="Q343">
        <f t="shared" si="23"/>
        <v>35</v>
      </c>
      <c r="R343">
        <v>2</v>
      </c>
      <c r="S343">
        <v>4</v>
      </c>
      <c r="T343">
        <f>Table[[#This Row],[NumWebPurchases]]+Table[[#This Row],[NumStorePurchases]]</f>
        <v>6</v>
      </c>
    </row>
    <row r="344" spans="1:20" ht="12.5">
      <c r="A344" s="6">
        <v>342</v>
      </c>
      <c r="B344" s="6">
        <v>9707</v>
      </c>
      <c r="C344" s="6">
        <v>1969</v>
      </c>
      <c r="D344" s="6">
        <f t="shared" si="20"/>
        <v>56</v>
      </c>
      <c r="E344" s="7" t="s">
        <v>12</v>
      </c>
      <c r="F344" s="7" t="s">
        <v>13</v>
      </c>
      <c r="G344" s="6">
        <v>55212</v>
      </c>
      <c r="H344" s="6" t="str" cm="1">
        <f t="array" ref="H344">_xlfn.IFS(
  G344 &lt; 25000, "Low",
  AND(G344 &gt;= 25000, G344 &lt; 75000), "Medium",
  AND(G344 &gt;= 75000, G344 &lt; 150000), "High",
  G344 &gt;= 150000, "Very High"
)</f>
        <v>Medium</v>
      </c>
      <c r="I344" s="6">
        <v>0</v>
      </c>
      <c r="J344" s="6">
        <v>1</v>
      </c>
      <c r="K344" s="6">
        <f t="shared" si="21"/>
        <v>1</v>
      </c>
      <c r="L344" s="9">
        <v>41236</v>
      </c>
      <c r="M344" t="str">
        <f t="shared" ca="1" si="22"/>
        <v>13 years, 3 months</v>
      </c>
      <c r="N344" s="6">
        <v>65</v>
      </c>
      <c r="O344">
        <v>0</v>
      </c>
      <c r="P344">
        <v>0</v>
      </c>
      <c r="Q344">
        <f t="shared" si="23"/>
        <v>0</v>
      </c>
      <c r="R344">
        <v>4</v>
      </c>
      <c r="S344">
        <v>11</v>
      </c>
      <c r="T344">
        <f>Table[[#This Row],[NumWebPurchases]]+Table[[#This Row],[NumStorePurchases]]</f>
        <v>15</v>
      </c>
    </row>
    <row r="345" spans="1:20" ht="12.5">
      <c r="A345" s="6">
        <v>343</v>
      </c>
      <c r="B345" s="6">
        <v>6245</v>
      </c>
      <c r="C345" s="6">
        <v>1950</v>
      </c>
      <c r="D345" s="6">
        <f t="shared" si="20"/>
        <v>75</v>
      </c>
      <c r="E345" s="7" t="s">
        <v>12</v>
      </c>
      <c r="F345" s="7" t="s">
        <v>11</v>
      </c>
      <c r="G345" s="6">
        <v>59292</v>
      </c>
      <c r="H345" s="6" t="str" cm="1">
        <f t="array" ref="H345">_xlfn.IFS(
  G345 &lt; 25000, "Low",
  AND(G345 &gt;= 25000, G345 &lt; 75000), "Medium",
  AND(G345 &gt;= 75000, G345 &lt; 150000), "High",
  G345 &gt;= 150000, "Very High"
)</f>
        <v>Medium</v>
      </c>
      <c r="I345" s="6">
        <v>0</v>
      </c>
      <c r="J345" s="6">
        <v>1</v>
      </c>
      <c r="K345" s="6">
        <f t="shared" si="21"/>
        <v>1</v>
      </c>
      <c r="L345" s="8">
        <v>41438</v>
      </c>
      <c r="M345" t="str">
        <f t="shared" ca="1" si="22"/>
        <v>12 years, 8 months</v>
      </c>
      <c r="N345" s="6">
        <v>71</v>
      </c>
      <c r="O345">
        <v>14</v>
      </c>
      <c r="P345">
        <v>14</v>
      </c>
      <c r="Q345">
        <f t="shared" si="23"/>
        <v>28</v>
      </c>
      <c r="R345">
        <v>3</v>
      </c>
      <c r="S345">
        <v>8</v>
      </c>
      <c r="T345">
        <f>Table[[#This Row],[NumWebPurchases]]+Table[[#This Row],[NumStorePurchases]]</f>
        <v>11</v>
      </c>
    </row>
    <row r="346" spans="1:20" ht="12.5">
      <c r="A346" s="6">
        <v>344</v>
      </c>
      <c r="B346" s="6">
        <v>8234</v>
      </c>
      <c r="C346" s="6">
        <v>1973</v>
      </c>
      <c r="D346" s="6">
        <f t="shared" si="20"/>
        <v>52</v>
      </c>
      <c r="E346" s="7" t="s">
        <v>16</v>
      </c>
      <c r="F346" s="7" t="s">
        <v>11</v>
      </c>
      <c r="G346" s="6">
        <v>27190</v>
      </c>
      <c r="H346" s="6" t="str" cm="1">
        <f t="array" ref="H346">_xlfn.IFS(
  G346 &lt; 25000, "Low",
  AND(G346 &gt;= 25000, G346 &lt; 75000), "Medium",
  AND(G346 &gt;= 75000, G346 &lt; 150000), "High",
  G346 &gt;= 150000, "Very High"
)</f>
        <v>Medium</v>
      </c>
      <c r="I346" s="6">
        <v>1</v>
      </c>
      <c r="J346" s="6">
        <v>0</v>
      </c>
      <c r="K346" s="6">
        <f t="shared" si="21"/>
        <v>1</v>
      </c>
      <c r="L346" s="8">
        <v>41501</v>
      </c>
      <c r="M346" t="str">
        <f t="shared" ca="1" si="22"/>
        <v>12 years, 6 months</v>
      </c>
      <c r="N346" s="6">
        <v>13</v>
      </c>
      <c r="O346">
        <v>6</v>
      </c>
      <c r="P346">
        <v>1</v>
      </c>
      <c r="Q346">
        <f t="shared" si="23"/>
        <v>7</v>
      </c>
      <c r="R346">
        <v>1</v>
      </c>
      <c r="S346">
        <v>2</v>
      </c>
      <c r="T346">
        <f>Table[[#This Row],[NumWebPurchases]]+Table[[#This Row],[NumStorePurchases]]</f>
        <v>3</v>
      </c>
    </row>
    <row r="347" spans="1:20" ht="12.5">
      <c r="A347" s="6">
        <v>345</v>
      </c>
      <c r="B347" s="6">
        <v>1411</v>
      </c>
      <c r="C347" s="6">
        <v>1952</v>
      </c>
      <c r="D347" s="6">
        <f t="shared" si="20"/>
        <v>73</v>
      </c>
      <c r="E347" s="7" t="s">
        <v>9</v>
      </c>
      <c r="F347" s="7" t="s">
        <v>15</v>
      </c>
      <c r="G347" s="6">
        <v>82623</v>
      </c>
      <c r="H347" s="6" t="str" cm="1">
        <f t="array" ref="H347">_xlfn.IFS(
  G347 &lt; 25000, "Low",
  AND(G347 &gt;= 25000, G347 &lt; 75000), "Medium",
  AND(G347 &gt;= 75000, G347 &lt; 150000), "High",
  G347 &gt;= 150000, "Very High"
)</f>
        <v>High</v>
      </c>
      <c r="I347" s="6">
        <v>0</v>
      </c>
      <c r="J347" s="6">
        <v>0</v>
      </c>
      <c r="K347" s="6">
        <f t="shared" si="21"/>
        <v>0</v>
      </c>
      <c r="L347" s="9">
        <v>41588</v>
      </c>
      <c r="M347" t="str">
        <f t="shared" ca="1" si="22"/>
        <v>12 years, 3 months</v>
      </c>
      <c r="N347" s="6">
        <v>58</v>
      </c>
      <c r="O347">
        <v>34</v>
      </c>
      <c r="P347">
        <v>153</v>
      </c>
      <c r="Q347">
        <f t="shared" si="23"/>
        <v>187</v>
      </c>
      <c r="R347">
        <v>2</v>
      </c>
      <c r="S347">
        <v>4</v>
      </c>
      <c r="T347">
        <f>Table[[#This Row],[NumWebPurchases]]+Table[[#This Row],[NumStorePurchases]]</f>
        <v>6</v>
      </c>
    </row>
    <row r="348" spans="1:20" ht="12.5">
      <c r="A348" s="6">
        <v>346</v>
      </c>
      <c r="B348" s="6">
        <v>8553</v>
      </c>
      <c r="C348" s="6">
        <v>1965</v>
      </c>
      <c r="D348" s="6">
        <f t="shared" si="20"/>
        <v>60</v>
      </c>
      <c r="E348" s="7" t="s">
        <v>9</v>
      </c>
      <c r="F348" s="7" t="s">
        <v>13</v>
      </c>
      <c r="G348" s="6">
        <v>44300</v>
      </c>
      <c r="H348" s="6" t="str" cm="1">
        <f t="array" ref="H348">_xlfn.IFS(
  G348 &lt; 25000, "Low",
  AND(G348 &gt;= 25000, G348 &lt; 75000), "Medium",
  AND(G348 &gt;= 75000, G348 &lt; 150000), "High",
  G348 &gt;= 150000, "Very High"
)</f>
        <v>Medium</v>
      </c>
      <c r="I348" s="6">
        <v>1</v>
      </c>
      <c r="J348" s="6">
        <v>1</v>
      </c>
      <c r="K348" s="6">
        <f t="shared" si="21"/>
        <v>2</v>
      </c>
      <c r="L348" s="8">
        <v>41448</v>
      </c>
      <c r="M348" t="str">
        <f t="shared" ca="1" si="22"/>
        <v>12 years, 8 months</v>
      </c>
      <c r="N348" s="6">
        <v>65</v>
      </c>
      <c r="O348">
        <v>0</v>
      </c>
      <c r="P348">
        <v>0</v>
      </c>
      <c r="Q348">
        <f t="shared" si="23"/>
        <v>0</v>
      </c>
      <c r="R348">
        <v>1</v>
      </c>
      <c r="S348">
        <v>3</v>
      </c>
      <c r="T348">
        <f>Table[[#This Row],[NumWebPurchases]]+Table[[#This Row],[NumStorePurchases]]</f>
        <v>4</v>
      </c>
    </row>
    <row r="349" spans="1:20" ht="12.5">
      <c r="A349" s="6">
        <v>347</v>
      </c>
      <c r="B349" s="6">
        <v>1826</v>
      </c>
      <c r="C349" s="6">
        <v>1970</v>
      </c>
      <c r="D349" s="6">
        <f t="shared" si="20"/>
        <v>55</v>
      </c>
      <c r="E349" s="7" t="s">
        <v>9</v>
      </c>
      <c r="F349" s="7" t="s">
        <v>15</v>
      </c>
      <c r="G349" s="6">
        <v>84835</v>
      </c>
      <c r="H349" s="6" t="str" cm="1">
        <f t="array" ref="H349">_xlfn.IFS(
  G349 &lt; 25000, "Low",
  AND(G349 &gt;= 25000, G349 &lt; 75000), "Medium",
  AND(G349 &gt;= 75000, G349 &lt; 150000), "High",
  G349 &gt;= 150000, "Very High"
)</f>
        <v>High</v>
      </c>
      <c r="I349" s="6">
        <v>0</v>
      </c>
      <c r="J349" s="6">
        <v>0</v>
      </c>
      <c r="K349" s="6">
        <f t="shared" si="21"/>
        <v>0</v>
      </c>
      <c r="L349" s="8">
        <v>41806</v>
      </c>
      <c r="M349" t="str">
        <f t="shared" ca="1" si="22"/>
        <v>11 years, 8 months</v>
      </c>
      <c r="N349" s="6">
        <v>0</v>
      </c>
      <c r="O349">
        <v>104</v>
      </c>
      <c r="P349">
        <v>189</v>
      </c>
      <c r="Q349">
        <f t="shared" si="23"/>
        <v>293</v>
      </c>
      <c r="R349">
        <v>4</v>
      </c>
      <c r="S349">
        <v>6</v>
      </c>
      <c r="T349">
        <f>Table[[#This Row],[NumWebPurchases]]+Table[[#This Row],[NumStorePurchases]]</f>
        <v>10</v>
      </c>
    </row>
    <row r="350" spans="1:20" ht="12.5">
      <c r="A350" s="6">
        <v>348</v>
      </c>
      <c r="B350" s="6">
        <v>8842</v>
      </c>
      <c r="C350" s="6">
        <v>1971</v>
      </c>
      <c r="D350" s="6">
        <f t="shared" si="20"/>
        <v>54</v>
      </c>
      <c r="E350" s="7" t="s">
        <v>9</v>
      </c>
      <c r="F350" s="7" t="s">
        <v>18</v>
      </c>
      <c r="G350" s="6">
        <v>30372</v>
      </c>
      <c r="H350" s="6" t="str" cm="1">
        <f t="array" ref="H350">_xlfn.IFS(
  G350 &lt; 25000, "Low",
  AND(G350 &gt;= 25000, G350 &lt; 75000), "Medium",
  AND(G350 &gt;= 75000, G350 &lt; 150000), "High",
  G350 &gt;= 150000, "Very High"
)</f>
        <v>Medium</v>
      </c>
      <c r="I350" s="6">
        <v>1</v>
      </c>
      <c r="J350" s="6">
        <v>1</v>
      </c>
      <c r="K350" s="6">
        <f t="shared" si="21"/>
        <v>2</v>
      </c>
      <c r="L350" s="9">
        <v>41268</v>
      </c>
      <c r="M350" t="str">
        <f t="shared" ca="1" si="22"/>
        <v>13 years, 2 months</v>
      </c>
      <c r="N350" s="6">
        <v>33</v>
      </c>
      <c r="O350">
        <v>0</v>
      </c>
      <c r="P350">
        <v>3</v>
      </c>
      <c r="Q350">
        <f t="shared" si="23"/>
        <v>3</v>
      </c>
      <c r="R350">
        <v>2</v>
      </c>
      <c r="S350">
        <v>3</v>
      </c>
      <c r="T350">
        <f>Table[[#This Row],[NumWebPurchases]]+Table[[#This Row],[NumStorePurchases]]</f>
        <v>5</v>
      </c>
    </row>
    <row r="351" spans="1:20" ht="12.5">
      <c r="A351" s="6">
        <v>349</v>
      </c>
      <c r="B351" s="6">
        <v>11030</v>
      </c>
      <c r="C351" s="6">
        <v>1976</v>
      </c>
      <c r="D351" s="6">
        <f t="shared" si="20"/>
        <v>49</v>
      </c>
      <c r="E351" s="7" t="s">
        <v>14</v>
      </c>
      <c r="F351" s="7" t="s">
        <v>13</v>
      </c>
      <c r="G351" s="6">
        <v>33181</v>
      </c>
      <c r="H351" s="6" t="str" cm="1">
        <f t="array" ref="H351">_xlfn.IFS(
  G351 &lt; 25000, "Low",
  AND(G351 &gt;= 25000, G351 &lt; 75000), "Medium",
  AND(G351 &gt;= 75000, G351 &lt; 150000), "High",
  G351 &gt;= 150000, "Very High"
)</f>
        <v>Medium</v>
      </c>
      <c r="I351" s="6">
        <v>1</v>
      </c>
      <c r="J351" s="6">
        <v>0</v>
      </c>
      <c r="K351" s="6">
        <f t="shared" si="21"/>
        <v>1</v>
      </c>
      <c r="L351" s="8">
        <v>41642</v>
      </c>
      <c r="M351" t="str">
        <f t="shared" ca="1" si="22"/>
        <v>12 years, 2 months</v>
      </c>
      <c r="N351" s="6">
        <v>90</v>
      </c>
      <c r="O351">
        <v>0</v>
      </c>
      <c r="P351">
        <v>0</v>
      </c>
      <c r="Q351">
        <f t="shared" si="23"/>
        <v>0</v>
      </c>
      <c r="R351">
        <v>1</v>
      </c>
      <c r="S351">
        <v>2</v>
      </c>
      <c r="T351">
        <f>Table[[#This Row],[NumWebPurchases]]+Table[[#This Row],[NumStorePurchases]]</f>
        <v>3</v>
      </c>
    </row>
    <row r="352" spans="1:20" ht="12.5">
      <c r="A352" s="6">
        <v>350</v>
      </c>
      <c r="B352" s="6">
        <v>2579</v>
      </c>
      <c r="C352" s="6">
        <v>1957</v>
      </c>
      <c r="D352" s="6">
        <f t="shared" si="20"/>
        <v>68</v>
      </c>
      <c r="E352" s="7" t="s">
        <v>9</v>
      </c>
      <c r="F352" s="7" t="s">
        <v>13</v>
      </c>
      <c r="G352" s="6">
        <v>71113</v>
      </c>
      <c r="H352" s="6" t="str" cm="1">
        <f t="array" ref="H352">_xlfn.IFS(
  G352 &lt; 25000, "Low",
  AND(G352 &gt;= 25000, G352 &lt; 75000), "Medium",
  AND(G352 &gt;= 75000, G352 &lt; 150000), "High",
  G352 &gt;= 150000, "Very High"
)</f>
        <v>Medium</v>
      </c>
      <c r="I352" s="6">
        <v>0</v>
      </c>
      <c r="J352" s="6">
        <v>1</v>
      </c>
      <c r="K352" s="6">
        <f t="shared" si="21"/>
        <v>1</v>
      </c>
      <c r="L352" s="9">
        <v>41625</v>
      </c>
      <c r="M352" t="str">
        <f t="shared" ca="1" si="22"/>
        <v>12 years, 2 months</v>
      </c>
      <c r="N352" s="6">
        <v>95</v>
      </c>
      <c r="O352">
        <v>33</v>
      </c>
      <c r="P352">
        <v>33</v>
      </c>
      <c r="Q352">
        <f t="shared" si="23"/>
        <v>66</v>
      </c>
      <c r="R352">
        <v>6</v>
      </c>
      <c r="S352">
        <v>9</v>
      </c>
      <c r="T352">
        <f>Table[[#This Row],[NumWebPurchases]]+Table[[#This Row],[NumStorePurchases]]</f>
        <v>15</v>
      </c>
    </row>
    <row r="353" spans="1:20" ht="12.5">
      <c r="A353" s="6">
        <v>351</v>
      </c>
      <c r="B353" s="6">
        <v>175</v>
      </c>
      <c r="C353" s="6">
        <v>1986</v>
      </c>
      <c r="D353" s="6">
        <f t="shared" si="20"/>
        <v>39</v>
      </c>
      <c r="E353" s="7" t="s">
        <v>9</v>
      </c>
      <c r="F353" s="7" t="s">
        <v>13</v>
      </c>
      <c r="G353" s="6">
        <v>71952</v>
      </c>
      <c r="H353" s="6" t="str" cm="1">
        <f t="array" ref="H353">_xlfn.IFS(
  G353 &lt; 25000, "Low",
  AND(G353 &gt;= 25000, G353 &lt; 75000), "Medium",
  AND(G353 &gt;= 75000, G353 &lt; 150000), "High",
  G353 &gt;= 150000, "Very High"
)</f>
        <v>Medium</v>
      </c>
      <c r="I353" s="6">
        <v>1</v>
      </c>
      <c r="J353" s="6">
        <v>0</v>
      </c>
      <c r="K353" s="6">
        <f t="shared" si="21"/>
        <v>1</v>
      </c>
      <c r="L353" s="8">
        <v>41284</v>
      </c>
      <c r="M353" t="str">
        <f t="shared" ca="1" si="22"/>
        <v>13 years, 1 months</v>
      </c>
      <c r="N353" s="6">
        <v>93</v>
      </c>
      <c r="O353">
        <v>80</v>
      </c>
      <c r="P353">
        <v>107</v>
      </c>
      <c r="Q353">
        <f t="shared" si="23"/>
        <v>187</v>
      </c>
      <c r="R353">
        <v>8</v>
      </c>
      <c r="S353">
        <v>8</v>
      </c>
      <c r="T353">
        <f>Table[[#This Row],[NumWebPurchases]]+Table[[#This Row],[NumStorePurchases]]</f>
        <v>16</v>
      </c>
    </row>
    <row r="354" spans="1:20" ht="12.5">
      <c r="A354" s="6">
        <v>352</v>
      </c>
      <c r="B354" s="6">
        <v>9185</v>
      </c>
      <c r="C354" s="6">
        <v>1966</v>
      </c>
      <c r="D354" s="6">
        <f t="shared" si="20"/>
        <v>59</v>
      </c>
      <c r="E354" s="7" t="s">
        <v>12</v>
      </c>
      <c r="F354" s="7" t="s">
        <v>10</v>
      </c>
      <c r="G354" s="6">
        <v>69759</v>
      </c>
      <c r="H354" s="6" t="str" cm="1">
        <f t="array" ref="H354">_xlfn.IFS(
  G354 &lt; 25000, "Low",
  AND(G354 &gt;= 25000, G354 &lt; 75000), "Medium",
  AND(G354 &gt;= 75000, G354 &lt; 150000), "High",
  G354 &gt;= 150000, "Very High"
)</f>
        <v>Medium</v>
      </c>
      <c r="I354" s="6">
        <v>0</v>
      </c>
      <c r="J354" s="6">
        <v>0</v>
      </c>
      <c r="K354" s="6">
        <f t="shared" si="21"/>
        <v>0</v>
      </c>
      <c r="L354" s="9">
        <v>41575</v>
      </c>
      <c r="M354" t="str">
        <f t="shared" ca="1" si="22"/>
        <v>12 years, 4 months</v>
      </c>
      <c r="N354" s="6">
        <v>38</v>
      </c>
      <c r="O354">
        <v>20</v>
      </c>
      <c r="P354">
        <v>30</v>
      </c>
      <c r="Q354">
        <f t="shared" si="23"/>
        <v>50</v>
      </c>
      <c r="R354">
        <v>4</v>
      </c>
      <c r="S354">
        <v>5</v>
      </c>
      <c r="T354">
        <f>Table[[#This Row],[NumWebPurchases]]+Table[[#This Row],[NumStorePurchases]]</f>
        <v>9</v>
      </c>
    </row>
    <row r="355" spans="1:20" ht="12.5">
      <c r="A355" s="6">
        <v>353</v>
      </c>
      <c r="B355" s="6">
        <v>11056</v>
      </c>
      <c r="C355" s="6">
        <v>1974</v>
      </c>
      <c r="D355" s="6">
        <f t="shared" si="20"/>
        <v>51</v>
      </c>
      <c r="E355" s="7" t="s">
        <v>9</v>
      </c>
      <c r="F355" s="7" t="s">
        <v>13</v>
      </c>
      <c r="G355" s="6">
        <v>72099</v>
      </c>
      <c r="H355" s="6" t="str" cm="1">
        <f t="array" ref="H355">_xlfn.IFS(
  G355 &lt; 25000, "Low",
  AND(G355 &gt;= 25000, G355 &lt; 75000), "Medium",
  AND(G355 &gt;= 75000, G355 &lt; 150000), "High",
  G355 &gt;= 150000, "Very High"
)</f>
        <v>Medium</v>
      </c>
      <c r="I355" s="6">
        <v>0</v>
      </c>
      <c r="J355" s="6">
        <v>0</v>
      </c>
      <c r="K355" s="6">
        <f t="shared" si="21"/>
        <v>0</v>
      </c>
      <c r="L355" s="9">
        <v>41209</v>
      </c>
      <c r="M355" t="str">
        <f t="shared" ca="1" si="22"/>
        <v>13 years, 4 months</v>
      </c>
      <c r="N355" s="6">
        <v>18</v>
      </c>
      <c r="O355">
        <v>91</v>
      </c>
      <c r="P355">
        <v>0</v>
      </c>
      <c r="Q355">
        <f t="shared" si="23"/>
        <v>91</v>
      </c>
      <c r="R355">
        <v>3</v>
      </c>
      <c r="S355">
        <v>10</v>
      </c>
      <c r="T355">
        <f>Table[[#This Row],[NumWebPurchases]]+Table[[#This Row],[NumStorePurchases]]</f>
        <v>13</v>
      </c>
    </row>
    <row r="356" spans="1:20" ht="12.5">
      <c r="A356" s="6">
        <v>354</v>
      </c>
      <c r="B356" s="6">
        <v>9365</v>
      </c>
      <c r="C356" s="6">
        <v>1976</v>
      </c>
      <c r="D356" s="6">
        <f t="shared" si="20"/>
        <v>49</v>
      </c>
      <c r="E356" s="7" t="s">
        <v>12</v>
      </c>
      <c r="F356" s="7" t="s">
        <v>10</v>
      </c>
      <c r="G356" s="6">
        <v>60000</v>
      </c>
      <c r="H356" s="6" t="str" cm="1">
        <f t="array" ref="H356">_xlfn.IFS(
  G356 &lt; 25000, "Low",
  AND(G356 &gt;= 25000, G356 &lt; 75000), "Medium",
  AND(G356 &gt;= 75000, G356 &lt; 150000), "High",
  G356 &gt;= 150000, "Very High"
)</f>
        <v>Medium</v>
      </c>
      <c r="I356" s="6">
        <v>0</v>
      </c>
      <c r="J356" s="6">
        <v>1</v>
      </c>
      <c r="K356" s="6">
        <f t="shared" si="21"/>
        <v>1</v>
      </c>
      <c r="L356" s="9">
        <v>41265</v>
      </c>
      <c r="M356" t="str">
        <f t="shared" ca="1" si="22"/>
        <v>13 years, 2 months</v>
      </c>
      <c r="N356" s="6">
        <v>57</v>
      </c>
      <c r="O356">
        <v>0</v>
      </c>
      <c r="P356">
        <v>0</v>
      </c>
      <c r="Q356">
        <f t="shared" si="23"/>
        <v>0</v>
      </c>
      <c r="R356">
        <v>11</v>
      </c>
      <c r="S356">
        <v>5</v>
      </c>
      <c r="T356">
        <f>Table[[#This Row],[NumWebPurchases]]+Table[[#This Row],[NumStorePurchases]]</f>
        <v>16</v>
      </c>
    </row>
    <row r="357" spans="1:20" ht="12.5">
      <c r="A357" s="6">
        <v>355</v>
      </c>
      <c r="B357" s="6">
        <v>6201</v>
      </c>
      <c r="C357" s="6">
        <v>1978</v>
      </c>
      <c r="D357" s="6">
        <f t="shared" si="20"/>
        <v>47</v>
      </c>
      <c r="E357" s="7" t="s">
        <v>9</v>
      </c>
      <c r="F357" s="7" t="s">
        <v>10</v>
      </c>
      <c r="G357" s="6">
        <v>38643</v>
      </c>
      <c r="H357" s="6" t="str" cm="1">
        <f t="array" ref="H357">_xlfn.IFS(
  G357 &lt; 25000, "Low",
  AND(G357 &gt;= 25000, G357 &lt; 75000), "Medium",
  AND(G357 &gt;= 75000, G357 &lt; 150000), "High",
  G357 &gt;= 150000, "Very High"
)</f>
        <v>Medium</v>
      </c>
      <c r="I357" s="6">
        <v>1</v>
      </c>
      <c r="J357" s="6">
        <v>1</v>
      </c>
      <c r="K357" s="6">
        <f t="shared" si="21"/>
        <v>2</v>
      </c>
      <c r="L357" s="9">
        <v>41607</v>
      </c>
      <c r="M357" t="str">
        <f t="shared" ca="1" si="22"/>
        <v>12 years, 3 months</v>
      </c>
      <c r="N357" s="6">
        <v>45</v>
      </c>
      <c r="O357">
        <v>2</v>
      </c>
      <c r="P357">
        <v>1</v>
      </c>
      <c r="Q357">
        <f t="shared" si="23"/>
        <v>3</v>
      </c>
      <c r="R357">
        <v>2</v>
      </c>
      <c r="S357">
        <v>3</v>
      </c>
      <c r="T357">
        <f>Table[[#This Row],[NumWebPurchases]]+Table[[#This Row],[NumStorePurchases]]</f>
        <v>5</v>
      </c>
    </row>
    <row r="358" spans="1:20" ht="12.5">
      <c r="A358" s="6">
        <v>356</v>
      </c>
      <c r="B358" s="6">
        <v>2061</v>
      </c>
      <c r="C358" s="6">
        <v>1955</v>
      </c>
      <c r="D358" s="6">
        <f t="shared" si="20"/>
        <v>70</v>
      </c>
      <c r="E358" s="7" t="s">
        <v>9</v>
      </c>
      <c r="F358" s="7" t="s">
        <v>13</v>
      </c>
      <c r="G358" s="6">
        <v>50737</v>
      </c>
      <c r="H358" s="6" t="str" cm="1">
        <f t="array" ref="H358">_xlfn.IFS(
  G358 &lt; 25000, "Low",
  AND(G358 &gt;= 25000, G358 &lt; 75000), "Medium",
  AND(G358 &gt;= 75000, G358 &lt; 150000), "High",
  G358 &gt;= 150000, "Very High"
)</f>
        <v>Medium</v>
      </c>
      <c r="I358" s="6">
        <v>0</v>
      </c>
      <c r="J358" s="6">
        <v>1</v>
      </c>
      <c r="K358" s="6">
        <f t="shared" si="21"/>
        <v>1</v>
      </c>
      <c r="L358" s="8">
        <v>41405</v>
      </c>
      <c r="M358" t="str">
        <f t="shared" ca="1" si="22"/>
        <v>12 years, 9 months</v>
      </c>
      <c r="N358" s="6">
        <v>61</v>
      </c>
      <c r="O358">
        <v>0</v>
      </c>
      <c r="P358">
        <v>0</v>
      </c>
      <c r="Q358">
        <f t="shared" si="23"/>
        <v>0</v>
      </c>
      <c r="R358">
        <v>2</v>
      </c>
      <c r="S358">
        <v>4</v>
      </c>
      <c r="T358">
        <f>Table[[#This Row],[NumWebPurchases]]+Table[[#This Row],[NumStorePurchases]]</f>
        <v>6</v>
      </c>
    </row>
    <row r="359" spans="1:20" ht="12.5">
      <c r="A359" s="6">
        <v>357</v>
      </c>
      <c r="B359" s="6">
        <v>6184</v>
      </c>
      <c r="C359" s="6">
        <v>1969</v>
      </c>
      <c r="D359" s="6">
        <f t="shared" si="20"/>
        <v>56</v>
      </c>
      <c r="E359" s="7" t="s">
        <v>12</v>
      </c>
      <c r="F359" s="7" t="s">
        <v>13</v>
      </c>
      <c r="G359" s="6">
        <v>68462</v>
      </c>
      <c r="H359" s="6" t="str" cm="1">
        <f t="array" ref="H359">_xlfn.IFS(
  G359 &lt; 25000, "Low",
  AND(G359 &gt;= 25000, G359 &lt; 75000), "Medium",
  AND(G359 &gt;= 75000, G359 &lt; 150000), "High",
  G359 &gt;= 150000, "Very High"
)</f>
        <v>Medium</v>
      </c>
      <c r="I359" s="6">
        <v>0</v>
      </c>
      <c r="J359" s="6">
        <v>0</v>
      </c>
      <c r="K359" s="6">
        <f t="shared" si="21"/>
        <v>0</v>
      </c>
      <c r="L359" s="9">
        <v>41255</v>
      </c>
      <c r="M359" t="str">
        <f t="shared" ca="1" si="22"/>
        <v>13 years, 2 months</v>
      </c>
      <c r="N359" s="6">
        <v>6</v>
      </c>
      <c r="O359">
        <v>64</v>
      </c>
      <c r="P359">
        <v>128</v>
      </c>
      <c r="Q359">
        <f t="shared" si="23"/>
        <v>192</v>
      </c>
      <c r="R359">
        <v>3</v>
      </c>
      <c r="S359">
        <v>8</v>
      </c>
      <c r="T359">
        <f>Table[[#This Row],[NumWebPurchases]]+Table[[#This Row],[NumStorePurchases]]</f>
        <v>11</v>
      </c>
    </row>
    <row r="360" spans="1:20" ht="12.5">
      <c r="A360" s="6">
        <v>358</v>
      </c>
      <c r="B360" s="6">
        <v>6142</v>
      </c>
      <c r="C360" s="6">
        <v>1943</v>
      </c>
      <c r="D360" s="6">
        <f t="shared" si="20"/>
        <v>82</v>
      </c>
      <c r="E360" s="7" t="s">
        <v>14</v>
      </c>
      <c r="F360" s="7" t="s">
        <v>13</v>
      </c>
      <c r="G360" s="6">
        <v>65073</v>
      </c>
      <c r="H360" s="6" t="str" cm="1">
        <f t="array" ref="H360">_xlfn.IFS(
  G360 &lt; 25000, "Low",
  AND(G360 &gt;= 25000, G360 &lt; 75000), "Medium",
  AND(G360 &gt;= 75000, G360 &lt; 150000), "High",
  G360 &gt;= 150000, "Very High"
)</f>
        <v>Medium</v>
      </c>
      <c r="I360" s="6">
        <v>0</v>
      </c>
      <c r="J360" s="6">
        <v>0</v>
      </c>
      <c r="K360" s="6">
        <f t="shared" si="21"/>
        <v>0</v>
      </c>
      <c r="L360" s="8">
        <v>41506</v>
      </c>
      <c r="M360" t="str">
        <f t="shared" ca="1" si="22"/>
        <v>12 years, 6 months</v>
      </c>
      <c r="N360" s="6">
        <v>65</v>
      </c>
      <c r="O360">
        <v>17</v>
      </c>
      <c r="P360">
        <v>0</v>
      </c>
      <c r="Q360">
        <f t="shared" si="23"/>
        <v>17</v>
      </c>
      <c r="R360">
        <v>5</v>
      </c>
      <c r="S360">
        <v>5</v>
      </c>
      <c r="T360">
        <f>Table[[#This Row],[NumWebPurchases]]+Table[[#This Row],[NumStorePurchases]]</f>
        <v>10</v>
      </c>
    </row>
    <row r="361" spans="1:20" ht="12.5">
      <c r="A361" s="6">
        <v>359</v>
      </c>
      <c r="B361" s="6">
        <v>4107</v>
      </c>
      <c r="C361" s="6">
        <v>1948</v>
      </c>
      <c r="D361" s="6">
        <f t="shared" si="20"/>
        <v>77</v>
      </c>
      <c r="E361" s="7" t="s">
        <v>12</v>
      </c>
      <c r="F361" s="7" t="s">
        <v>11</v>
      </c>
      <c r="G361" s="6">
        <v>46681</v>
      </c>
      <c r="H361" s="6" t="str" cm="1">
        <f t="array" ref="H361">_xlfn.IFS(
  G361 &lt; 25000, "Low",
  AND(G361 &gt;= 25000, G361 &lt; 75000), "Medium",
  AND(G361 &gt;= 75000, G361 &lt; 150000), "High",
  G361 &gt;= 150000, "Very High"
)</f>
        <v>Medium</v>
      </c>
      <c r="I361" s="6">
        <v>0</v>
      </c>
      <c r="J361" s="6">
        <v>2</v>
      </c>
      <c r="K361" s="6">
        <f t="shared" si="21"/>
        <v>2</v>
      </c>
      <c r="L361" s="8">
        <v>41555</v>
      </c>
      <c r="M361" t="str">
        <f t="shared" ca="1" si="22"/>
        <v>12 years, 4 months</v>
      </c>
      <c r="N361" s="6">
        <v>52</v>
      </c>
      <c r="O361">
        <v>15</v>
      </c>
      <c r="P361">
        <v>19</v>
      </c>
      <c r="Q361">
        <f t="shared" si="23"/>
        <v>34</v>
      </c>
      <c r="R361">
        <v>4</v>
      </c>
      <c r="S361">
        <v>4</v>
      </c>
      <c r="T361">
        <f>Table[[#This Row],[NumWebPurchases]]+Table[[#This Row],[NumStorePurchases]]</f>
        <v>8</v>
      </c>
    </row>
    <row r="362" spans="1:20" ht="12.5">
      <c r="A362" s="6">
        <v>360</v>
      </c>
      <c r="B362" s="6">
        <v>7274</v>
      </c>
      <c r="C362" s="6">
        <v>1957</v>
      </c>
      <c r="D362" s="6">
        <f t="shared" si="20"/>
        <v>68</v>
      </c>
      <c r="E362" s="7" t="s">
        <v>9</v>
      </c>
      <c r="F362" s="7" t="s">
        <v>13</v>
      </c>
      <c r="G362" s="6">
        <v>78618</v>
      </c>
      <c r="H362" s="6" t="str" cm="1">
        <f t="array" ref="H362">_xlfn.IFS(
  G362 &lt; 25000, "Low",
  AND(G362 &gt;= 25000, G362 &lt; 75000), "Medium",
  AND(G362 &gt;= 75000, G362 &lt; 150000), "High",
  G362 &gt;= 150000, "Very High"
)</f>
        <v>High</v>
      </c>
      <c r="I362" s="6">
        <v>0</v>
      </c>
      <c r="J362" s="6">
        <v>0</v>
      </c>
      <c r="K362" s="6">
        <f t="shared" si="21"/>
        <v>0</v>
      </c>
      <c r="L362" s="8">
        <v>41180</v>
      </c>
      <c r="M362" t="str">
        <f t="shared" ca="1" si="22"/>
        <v>13 years, 5 months</v>
      </c>
      <c r="N362" s="6">
        <v>87</v>
      </c>
      <c r="O362">
        <v>163</v>
      </c>
      <c r="P362">
        <v>163</v>
      </c>
      <c r="Q362">
        <f t="shared" si="23"/>
        <v>326</v>
      </c>
      <c r="R362">
        <v>4</v>
      </c>
      <c r="S362">
        <v>10</v>
      </c>
      <c r="T362">
        <f>Table[[#This Row],[NumWebPurchases]]+Table[[#This Row],[NumStorePurchases]]</f>
        <v>14</v>
      </c>
    </row>
    <row r="363" spans="1:20" ht="12.5">
      <c r="A363" s="6">
        <v>361</v>
      </c>
      <c r="B363" s="6">
        <v>9336</v>
      </c>
      <c r="C363" s="6">
        <v>1969</v>
      </c>
      <c r="D363" s="6">
        <f t="shared" si="20"/>
        <v>56</v>
      </c>
      <c r="E363" s="7" t="s">
        <v>12</v>
      </c>
      <c r="F363" s="7" t="s">
        <v>18</v>
      </c>
      <c r="G363" s="6">
        <v>62187</v>
      </c>
      <c r="H363" s="6" t="str" cm="1">
        <f t="array" ref="H363">_xlfn.IFS(
  G363 &lt; 25000, "Low",
  AND(G363 &gt;= 25000, G363 &lt; 75000), "Medium",
  AND(G363 &gt;= 75000, G363 &lt; 150000), "High",
  G363 &gt;= 150000, "Very High"
)</f>
        <v>Medium</v>
      </c>
      <c r="I363" s="6">
        <v>0</v>
      </c>
      <c r="J363" s="6">
        <v>1</v>
      </c>
      <c r="K363" s="6">
        <f t="shared" si="21"/>
        <v>1</v>
      </c>
      <c r="L363" s="8">
        <v>41720</v>
      </c>
      <c r="M363" t="str">
        <f t="shared" ca="1" si="22"/>
        <v>11 years, 11 months</v>
      </c>
      <c r="N363" s="6">
        <v>38</v>
      </c>
      <c r="O363">
        <v>0</v>
      </c>
      <c r="P363">
        <v>0</v>
      </c>
      <c r="Q363">
        <f t="shared" si="23"/>
        <v>0</v>
      </c>
      <c r="R363">
        <v>6</v>
      </c>
      <c r="S363">
        <v>10</v>
      </c>
      <c r="T363">
        <f>Table[[#This Row],[NumWebPurchases]]+Table[[#This Row],[NumStorePurchases]]</f>
        <v>16</v>
      </c>
    </row>
    <row r="364" spans="1:20" ht="12.5">
      <c r="A364" s="6">
        <v>362</v>
      </c>
      <c r="B364" s="6">
        <v>2958</v>
      </c>
      <c r="C364" s="6">
        <v>1978</v>
      </c>
      <c r="D364" s="6">
        <f t="shared" si="20"/>
        <v>47</v>
      </c>
      <c r="E364" s="7" t="s">
        <v>9</v>
      </c>
      <c r="F364" s="7" t="s">
        <v>13</v>
      </c>
      <c r="G364" s="6">
        <v>28442</v>
      </c>
      <c r="H364" s="6" t="str" cm="1">
        <f t="array" ref="H364">_xlfn.IFS(
  G364 &lt; 25000, "Low",
  AND(G364 &gt;= 25000, G364 &lt; 75000), "Medium",
  AND(G364 &gt;= 75000, G364 &lt; 150000), "High",
  G364 &gt;= 150000, "Very High"
)</f>
        <v>Medium</v>
      </c>
      <c r="I364" s="6">
        <v>2</v>
      </c>
      <c r="J364" s="6">
        <v>0</v>
      </c>
      <c r="K364" s="6">
        <f t="shared" si="21"/>
        <v>2</v>
      </c>
      <c r="L364" s="8">
        <v>41694</v>
      </c>
      <c r="M364" t="str">
        <f t="shared" ca="1" si="22"/>
        <v>12 years, 0 months</v>
      </c>
      <c r="N364" s="6">
        <v>53</v>
      </c>
      <c r="O364">
        <v>3</v>
      </c>
      <c r="P364">
        <v>8</v>
      </c>
      <c r="Q364">
        <f t="shared" si="23"/>
        <v>11</v>
      </c>
      <c r="R364">
        <v>2</v>
      </c>
      <c r="S364">
        <v>4</v>
      </c>
      <c r="T364">
        <f>Table[[#This Row],[NumWebPurchases]]+Table[[#This Row],[NumStorePurchases]]</f>
        <v>6</v>
      </c>
    </row>
    <row r="365" spans="1:20" ht="12.5">
      <c r="A365" s="6">
        <v>363</v>
      </c>
      <c r="B365" s="6">
        <v>933</v>
      </c>
      <c r="C365" s="6">
        <v>1978</v>
      </c>
      <c r="D365" s="6">
        <f t="shared" si="20"/>
        <v>47</v>
      </c>
      <c r="E365" s="7" t="s">
        <v>12</v>
      </c>
      <c r="F365" s="7" t="s">
        <v>13</v>
      </c>
      <c r="G365" s="6">
        <v>37717</v>
      </c>
      <c r="H365" s="6" t="str" cm="1">
        <f t="array" ref="H365">_xlfn.IFS(
  G365 &lt; 25000, "Low",
  AND(G365 &gt;= 25000, G365 &lt; 75000), "Medium",
  AND(G365 &gt;= 75000, G365 &lt; 150000), "High",
  G365 &gt;= 150000, "Very High"
)</f>
        <v>Medium</v>
      </c>
      <c r="I365" s="6">
        <v>1</v>
      </c>
      <c r="J365" s="6">
        <v>0</v>
      </c>
      <c r="K365" s="6">
        <f t="shared" si="21"/>
        <v>1</v>
      </c>
      <c r="L365" s="9">
        <v>41236</v>
      </c>
      <c r="M365" t="str">
        <f t="shared" ca="1" si="22"/>
        <v>13 years, 3 months</v>
      </c>
      <c r="N365" s="6">
        <v>31</v>
      </c>
      <c r="O365">
        <v>0</v>
      </c>
      <c r="P365">
        <v>1</v>
      </c>
      <c r="Q365">
        <f t="shared" si="23"/>
        <v>1</v>
      </c>
      <c r="R365">
        <v>1</v>
      </c>
      <c r="S365">
        <v>2</v>
      </c>
      <c r="T365">
        <f>Table[[#This Row],[NumWebPurchases]]+Table[[#This Row],[NumStorePurchases]]</f>
        <v>3</v>
      </c>
    </row>
    <row r="366" spans="1:20" ht="12.5">
      <c r="A366" s="6">
        <v>364</v>
      </c>
      <c r="B366" s="6">
        <v>5837</v>
      </c>
      <c r="C366" s="6">
        <v>1967</v>
      </c>
      <c r="D366" s="6">
        <f t="shared" si="20"/>
        <v>58</v>
      </c>
      <c r="E366" s="7" t="s">
        <v>9</v>
      </c>
      <c r="F366" s="7" t="s">
        <v>13</v>
      </c>
      <c r="G366" s="6">
        <v>51479</v>
      </c>
      <c r="H366" s="6" t="str" cm="1">
        <f t="array" ref="H366">_xlfn.IFS(
  G366 &lt; 25000, "Low",
  AND(G366 &gt;= 25000, G366 &lt; 75000), "Medium",
  AND(G366 &gt;= 75000, G366 &lt; 150000), "High",
  G366 &gt;= 150000, "Very High"
)</f>
        <v>Medium</v>
      </c>
      <c r="I366" s="6">
        <v>1</v>
      </c>
      <c r="J366" s="6">
        <v>1</v>
      </c>
      <c r="K366" s="6">
        <f t="shared" si="21"/>
        <v>2</v>
      </c>
      <c r="L366" s="9">
        <v>41271</v>
      </c>
      <c r="M366" t="str">
        <f t="shared" ca="1" si="22"/>
        <v>13 years, 2 months</v>
      </c>
      <c r="N366" s="6">
        <v>67</v>
      </c>
      <c r="O366">
        <v>8</v>
      </c>
      <c r="P366">
        <v>8</v>
      </c>
      <c r="Q366">
        <f t="shared" si="23"/>
        <v>16</v>
      </c>
      <c r="R366">
        <v>6</v>
      </c>
      <c r="S366">
        <v>6</v>
      </c>
      <c r="T366">
        <f>Table[[#This Row],[NumWebPurchases]]+Table[[#This Row],[NumStorePurchases]]</f>
        <v>12</v>
      </c>
    </row>
    <row r="367" spans="1:20" ht="12.5">
      <c r="A367" s="6">
        <v>365</v>
      </c>
      <c r="B367" s="6">
        <v>10704</v>
      </c>
      <c r="C367" s="6">
        <v>1969</v>
      </c>
      <c r="D367" s="6">
        <f t="shared" si="20"/>
        <v>56</v>
      </c>
      <c r="E367" s="7" t="s">
        <v>9</v>
      </c>
      <c r="F367" s="7" t="s">
        <v>10</v>
      </c>
      <c r="G367" s="6">
        <v>54803</v>
      </c>
      <c r="H367" s="6" t="str" cm="1">
        <f t="array" ref="H367">_xlfn.IFS(
  G367 &lt; 25000, "Low",
  AND(G367 &gt;= 25000, G367 &lt; 75000), "Medium",
  AND(G367 &gt;= 75000, G367 &lt; 150000), "High",
  G367 &gt;= 150000, "Very High"
)</f>
        <v>Medium</v>
      </c>
      <c r="I367" s="6">
        <v>0</v>
      </c>
      <c r="J367" s="6">
        <v>1</v>
      </c>
      <c r="K367" s="6">
        <f t="shared" si="21"/>
        <v>1</v>
      </c>
      <c r="L367" s="8">
        <v>41142</v>
      </c>
      <c r="M367" t="str">
        <f t="shared" ca="1" si="22"/>
        <v>13 years, 6 months</v>
      </c>
      <c r="N367" s="6">
        <v>65</v>
      </c>
      <c r="O367">
        <v>0</v>
      </c>
      <c r="P367">
        <v>27</v>
      </c>
      <c r="Q367">
        <f t="shared" si="23"/>
        <v>27</v>
      </c>
      <c r="R367">
        <v>6</v>
      </c>
      <c r="S367">
        <v>9</v>
      </c>
      <c r="T367">
        <f>Table[[#This Row],[NumWebPurchases]]+Table[[#This Row],[NumStorePurchases]]</f>
        <v>15</v>
      </c>
    </row>
    <row r="368" spans="1:20" ht="12.5">
      <c r="A368" s="6">
        <v>366</v>
      </c>
      <c r="B368" s="6">
        <v>5125</v>
      </c>
      <c r="C368" s="6">
        <v>1960</v>
      </c>
      <c r="D368" s="6">
        <f t="shared" si="20"/>
        <v>65</v>
      </c>
      <c r="E368" s="7" t="s">
        <v>9</v>
      </c>
      <c r="F368" s="7" t="s">
        <v>13</v>
      </c>
      <c r="G368" s="6">
        <v>79530</v>
      </c>
      <c r="H368" s="6" t="str" cm="1">
        <f t="array" ref="H368">_xlfn.IFS(
  G368 &lt; 25000, "Low",
  AND(G368 &gt;= 25000, G368 &lt; 75000), "Medium",
  AND(G368 &gt;= 75000, G368 &lt; 150000), "High",
  G368 &gt;= 150000, "Very High"
)</f>
        <v>High</v>
      </c>
      <c r="I368" s="6">
        <v>0</v>
      </c>
      <c r="J368" s="6">
        <v>0</v>
      </c>
      <c r="K368" s="6">
        <f t="shared" si="21"/>
        <v>0</v>
      </c>
      <c r="L368" s="8">
        <v>41411</v>
      </c>
      <c r="M368" t="str">
        <f t="shared" ca="1" si="22"/>
        <v>12 years, 9 months</v>
      </c>
      <c r="N368" s="6">
        <v>64</v>
      </c>
      <c r="O368">
        <v>0</v>
      </c>
      <c r="P368">
        <v>42</v>
      </c>
      <c r="Q368">
        <f t="shared" si="23"/>
        <v>42</v>
      </c>
      <c r="R368">
        <v>4</v>
      </c>
      <c r="S368">
        <v>11</v>
      </c>
      <c r="T368">
        <f>Table[[#This Row],[NumWebPurchases]]+Table[[#This Row],[NumStorePurchases]]</f>
        <v>15</v>
      </c>
    </row>
    <row r="369" spans="1:20" ht="12.5">
      <c r="A369" s="6">
        <v>367</v>
      </c>
      <c r="B369" s="6">
        <v>4432</v>
      </c>
      <c r="C369" s="6">
        <v>1976</v>
      </c>
      <c r="D369" s="6">
        <f t="shared" si="20"/>
        <v>49</v>
      </c>
      <c r="E369" s="7" t="s">
        <v>9</v>
      </c>
      <c r="F369" s="7" t="s">
        <v>15</v>
      </c>
      <c r="G369" s="6">
        <v>31615</v>
      </c>
      <c r="H369" s="6" t="str" cm="1">
        <f t="array" ref="H369">_xlfn.IFS(
  G369 &lt; 25000, "Low",
  AND(G369 &gt;= 25000, G369 &lt; 75000), "Medium",
  AND(G369 &gt;= 75000, G369 &lt; 150000), "High",
  G369 &gt;= 150000, "Very High"
)</f>
        <v>Medium</v>
      </c>
      <c r="I369" s="6">
        <v>1</v>
      </c>
      <c r="J369" s="6">
        <v>0</v>
      </c>
      <c r="K369" s="6">
        <f t="shared" si="21"/>
        <v>1</v>
      </c>
      <c r="L369" s="8">
        <v>41349</v>
      </c>
      <c r="M369" t="str">
        <f t="shared" ca="1" si="22"/>
        <v>12 years, 11 months</v>
      </c>
      <c r="N369" s="6">
        <v>82</v>
      </c>
      <c r="O369">
        <v>3</v>
      </c>
      <c r="P369">
        <v>11</v>
      </c>
      <c r="Q369">
        <f t="shared" si="23"/>
        <v>14</v>
      </c>
      <c r="R369">
        <v>2</v>
      </c>
      <c r="S369">
        <v>3</v>
      </c>
      <c r="T369">
        <f>Table[[#This Row],[NumWebPurchases]]+Table[[#This Row],[NumStorePurchases]]</f>
        <v>5</v>
      </c>
    </row>
    <row r="370" spans="1:20" ht="12.5">
      <c r="A370" s="6">
        <v>368</v>
      </c>
      <c r="B370" s="6">
        <v>5955</v>
      </c>
      <c r="C370" s="6">
        <v>1962</v>
      </c>
      <c r="D370" s="6">
        <f t="shared" si="20"/>
        <v>63</v>
      </c>
      <c r="E370" s="7" t="s">
        <v>9</v>
      </c>
      <c r="F370" s="7" t="s">
        <v>11</v>
      </c>
      <c r="G370" s="6">
        <v>72025</v>
      </c>
      <c r="H370" s="6" t="str" cm="1">
        <f t="array" ref="H370">_xlfn.IFS(
  G370 &lt; 25000, "Low",
  AND(G370 &gt;= 25000, G370 &lt; 75000), "Medium",
  AND(G370 &gt;= 75000, G370 &lt; 150000), "High",
  G370 &gt;= 150000, "Very High"
)</f>
        <v>Medium</v>
      </c>
      <c r="I370" s="6">
        <v>0</v>
      </c>
      <c r="J370" s="6">
        <v>0</v>
      </c>
      <c r="K370" s="6">
        <f t="shared" si="21"/>
        <v>0</v>
      </c>
      <c r="L370" s="9">
        <v>41230</v>
      </c>
      <c r="M370" t="str">
        <f t="shared" ca="1" si="22"/>
        <v>13 years, 3 months</v>
      </c>
      <c r="N370" s="6">
        <v>27</v>
      </c>
      <c r="O370">
        <v>33</v>
      </c>
      <c r="P370">
        <v>133</v>
      </c>
      <c r="Q370">
        <f t="shared" si="23"/>
        <v>166</v>
      </c>
      <c r="R370">
        <v>4</v>
      </c>
      <c r="S370">
        <v>8</v>
      </c>
      <c r="T370">
        <f>Table[[#This Row],[NumWebPurchases]]+Table[[#This Row],[NumStorePurchases]]</f>
        <v>12</v>
      </c>
    </row>
    <row r="371" spans="1:20" ht="12.5">
      <c r="A371" s="6">
        <v>369</v>
      </c>
      <c r="B371" s="6">
        <v>2928</v>
      </c>
      <c r="C371" s="6">
        <v>1975</v>
      </c>
      <c r="D371" s="6">
        <f t="shared" si="20"/>
        <v>50</v>
      </c>
      <c r="E371" s="7" t="s">
        <v>12</v>
      </c>
      <c r="F371" s="7" t="s">
        <v>10</v>
      </c>
      <c r="G371" s="6">
        <v>52614</v>
      </c>
      <c r="H371" s="6" t="str" cm="1">
        <f t="array" ref="H371">_xlfn.IFS(
  G371 &lt; 25000, "Low",
  AND(G371 &gt;= 25000, G371 &lt; 75000), "Medium",
  AND(G371 &gt;= 75000, G371 &lt; 150000), "High",
  G371 &gt;= 150000, "Very High"
)</f>
        <v>Medium</v>
      </c>
      <c r="I371" s="6">
        <v>0</v>
      </c>
      <c r="J371" s="6">
        <v>1</v>
      </c>
      <c r="K371" s="6">
        <f t="shared" si="21"/>
        <v>1</v>
      </c>
      <c r="L371" s="8">
        <v>41244</v>
      </c>
      <c r="M371" t="str">
        <f t="shared" ca="1" si="22"/>
        <v>13 years, 3 months</v>
      </c>
      <c r="N371" s="6">
        <v>63</v>
      </c>
      <c r="O371">
        <v>0</v>
      </c>
      <c r="P371">
        <v>9</v>
      </c>
      <c r="Q371">
        <f t="shared" si="23"/>
        <v>9</v>
      </c>
      <c r="R371">
        <v>2</v>
      </c>
      <c r="S371">
        <v>8</v>
      </c>
      <c r="T371">
        <f>Table[[#This Row],[NumWebPurchases]]+Table[[#This Row],[NumStorePurchases]]</f>
        <v>10</v>
      </c>
    </row>
    <row r="372" spans="1:20" ht="12.5">
      <c r="A372" s="6">
        <v>370</v>
      </c>
      <c r="B372" s="6">
        <v>5680</v>
      </c>
      <c r="C372" s="6">
        <v>1984</v>
      </c>
      <c r="D372" s="6">
        <f t="shared" si="20"/>
        <v>41</v>
      </c>
      <c r="E372" s="7" t="s">
        <v>17</v>
      </c>
      <c r="F372" s="7" t="s">
        <v>13</v>
      </c>
      <c r="G372" s="6">
        <v>35684</v>
      </c>
      <c r="H372" s="6" t="str" cm="1">
        <f t="array" ref="H372">_xlfn.IFS(
  G372 &lt; 25000, "Low",
  AND(G372 &gt;= 25000, G372 &lt; 75000), "Medium",
  AND(G372 &gt;= 75000, G372 &lt; 150000), "High",
  G372 &gt;= 150000, "Very High"
)</f>
        <v>Medium</v>
      </c>
      <c r="I372" s="6">
        <v>1</v>
      </c>
      <c r="J372" s="6">
        <v>0</v>
      </c>
      <c r="K372" s="6">
        <f t="shared" si="21"/>
        <v>1</v>
      </c>
      <c r="L372" s="8">
        <v>41751</v>
      </c>
      <c r="M372" t="str">
        <f t="shared" ca="1" si="22"/>
        <v>11 years, 10 months</v>
      </c>
      <c r="N372" s="6">
        <v>66</v>
      </c>
      <c r="O372">
        <v>4</v>
      </c>
      <c r="P372">
        <v>6</v>
      </c>
      <c r="Q372">
        <f t="shared" si="23"/>
        <v>10</v>
      </c>
      <c r="R372">
        <v>1</v>
      </c>
      <c r="S372">
        <v>3</v>
      </c>
      <c r="T372">
        <f>Table[[#This Row],[NumWebPurchases]]+Table[[#This Row],[NumStorePurchases]]</f>
        <v>4</v>
      </c>
    </row>
    <row r="373" spans="1:20" ht="12.5">
      <c r="A373" s="6">
        <v>371</v>
      </c>
      <c r="B373" s="6">
        <v>10313</v>
      </c>
      <c r="C373" s="6">
        <v>1975</v>
      </c>
      <c r="D373" s="6">
        <f t="shared" si="20"/>
        <v>50</v>
      </c>
      <c r="E373" s="7" t="s">
        <v>9</v>
      </c>
      <c r="F373" s="7" t="s">
        <v>13</v>
      </c>
      <c r="G373" s="6">
        <v>48178</v>
      </c>
      <c r="H373" s="6" t="str" cm="1">
        <f t="array" ref="H373">_xlfn.IFS(
  G373 &lt; 25000, "Low",
  AND(G373 &gt;= 25000, G373 &lt; 75000), "Medium",
  AND(G373 &gt;= 75000, G373 &lt; 150000), "High",
  G373 &gt;= 150000, "Very High"
)</f>
        <v>Medium</v>
      </c>
      <c r="I373" s="6">
        <v>1</v>
      </c>
      <c r="J373" s="6">
        <v>1</v>
      </c>
      <c r="K373" s="6">
        <f t="shared" si="21"/>
        <v>2</v>
      </c>
      <c r="L373" s="9">
        <v>41210</v>
      </c>
      <c r="M373" t="str">
        <f t="shared" ca="1" si="22"/>
        <v>13 years, 4 months</v>
      </c>
      <c r="N373" s="6">
        <v>69</v>
      </c>
      <c r="O373">
        <v>4</v>
      </c>
      <c r="P373">
        <v>2</v>
      </c>
      <c r="Q373">
        <f t="shared" si="23"/>
        <v>6</v>
      </c>
      <c r="R373">
        <v>5</v>
      </c>
      <c r="S373">
        <v>4</v>
      </c>
      <c r="T373">
        <f>Table[[#This Row],[NumWebPurchases]]+Table[[#This Row],[NumStorePurchases]]</f>
        <v>9</v>
      </c>
    </row>
    <row r="374" spans="1:20" ht="12.5">
      <c r="A374" s="6">
        <v>372</v>
      </c>
      <c r="B374" s="6">
        <v>2557</v>
      </c>
      <c r="C374" s="6">
        <v>1970</v>
      </c>
      <c r="D374" s="6">
        <f t="shared" si="20"/>
        <v>55</v>
      </c>
      <c r="E374" s="7" t="s">
        <v>14</v>
      </c>
      <c r="F374" s="7" t="s">
        <v>10</v>
      </c>
      <c r="G374" s="6">
        <v>29548</v>
      </c>
      <c r="H374" s="6" t="str" cm="1">
        <f t="array" ref="H374">_xlfn.IFS(
  G374 &lt; 25000, "Low",
  AND(G374 &gt;= 25000, G374 &lt; 75000), "Medium",
  AND(G374 &gt;= 75000, G374 &lt; 150000), "High",
  G374 &gt;= 150000, "Very High"
)</f>
        <v>Medium</v>
      </c>
      <c r="I374" s="6">
        <v>1</v>
      </c>
      <c r="J374" s="6">
        <v>0</v>
      </c>
      <c r="K374" s="6">
        <f t="shared" si="21"/>
        <v>1</v>
      </c>
      <c r="L374" s="8">
        <v>41515</v>
      </c>
      <c r="M374" t="str">
        <f t="shared" ca="1" si="22"/>
        <v>12 years, 6 months</v>
      </c>
      <c r="N374" s="6">
        <v>52</v>
      </c>
      <c r="O374">
        <v>1</v>
      </c>
      <c r="P374">
        <v>1</v>
      </c>
      <c r="Q374">
        <f t="shared" si="23"/>
        <v>2</v>
      </c>
      <c r="R374">
        <v>1</v>
      </c>
      <c r="S374">
        <v>2</v>
      </c>
      <c r="T374">
        <f>Table[[#This Row],[NumWebPurchases]]+Table[[#This Row],[NumStorePurchases]]</f>
        <v>3</v>
      </c>
    </row>
    <row r="375" spans="1:20" ht="12.5">
      <c r="A375" s="6">
        <v>373</v>
      </c>
      <c r="B375" s="6">
        <v>1245</v>
      </c>
      <c r="C375" s="6">
        <v>1966</v>
      </c>
      <c r="D375" s="6">
        <f t="shared" si="20"/>
        <v>59</v>
      </c>
      <c r="E375" s="7" t="s">
        <v>9</v>
      </c>
      <c r="F375" s="7" t="s">
        <v>10</v>
      </c>
      <c r="G375" s="6">
        <v>63810</v>
      </c>
      <c r="H375" s="6" t="str" cm="1">
        <f t="array" ref="H375">_xlfn.IFS(
  G375 &lt; 25000, "Low",
  AND(G375 &gt;= 25000, G375 &lt; 75000), "Medium",
  AND(G375 &gt;= 75000, G375 &lt; 150000), "High",
  G375 &gt;= 150000, "Very High"
)</f>
        <v>Medium</v>
      </c>
      <c r="I375" s="6">
        <v>0</v>
      </c>
      <c r="J375" s="6">
        <v>1</v>
      </c>
      <c r="K375" s="6">
        <f t="shared" si="21"/>
        <v>1</v>
      </c>
      <c r="L375" s="9">
        <v>41224</v>
      </c>
      <c r="M375" t="str">
        <f t="shared" ca="1" si="22"/>
        <v>13 years, 3 months</v>
      </c>
      <c r="N375" s="6">
        <v>45</v>
      </c>
      <c r="O375">
        <v>12</v>
      </c>
      <c r="P375">
        <v>12</v>
      </c>
      <c r="Q375">
        <f t="shared" si="23"/>
        <v>24</v>
      </c>
      <c r="R375">
        <v>4</v>
      </c>
      <c r="S375">
        <v>12</v>
      </c>
      <c r="T375">
        <f>Table[[#This Row],[NumWebPurchases]]+Table[[#This Row],[NumStorePurchases]]</f>
        <v>16</v>
      </c>
    </row>
    <row r="376" spans="1:20" ht="12.5">
      <c r="A376" s="6">
        <v>374</v>
      </c>
      <c r="B376" s="6">
        <v>1519</v>
      </c>
      <c r="C376" s="6">
        <v>1972</v>
      </c>
      <c r="D376" s="6">
        <f t="shared" si="20"/>
        <v>53</v>
      </c>
      <c r="E376" s="7" t="s">
        <v>12</v>
      </c>
      <c r="F376" s="7" t="s">
        <v>10</v>
      </c>
      <c r="G376" s="6">
        <v>38578</v>
      </c>
      <c r="H376" s="6" t="str" cm="1">
        <f t="array" ref="H376">_xlfn.IFS(
  G376 &lt; 25000, "Low",
  AND(G376 &gt;= 25000, G376 &lt; 75000), "Medium",
  AND(G376 &gt;= 75000, G376 &lt; 150000), "High",
  G376 &gt;= 150000, "Very High"
)</f>
        <v>Medium</v>
      </c>
      <c r="I376" s="6">
        <v>1</v>
      </c>
      <c r="J376" s="6">
        <v>1</v>
      </c>
      <c r="K376" s="6">
        <f t="shared" si="21"/>
        <v>2</v>
      </c>
      <c r="L376" s="8">
        <v>41447</v>
      </c>
      <c r="M376" t="str">
        <f t="shared" ca="1" si="22"/>
        <v>12 years, 8 months</v>
      </c>
      <c r="N376" s="6">
        <v>2</v>
      </c>
      <c r="O376">
        <v>4</v>
      </c>
      <c r="P376">
        <v>3</v>
      </c>
      <c r="Q376">
        <f t="shared" si="23"/>
        <v>7</v>
      </c>
      <c r="R376">
        <v>3</v>
      </c>
      <c r="S376">
        <v>3</v>
      </c>
      <c r="T376">
        <f>Table[[#This Row],[NumWebPurchases]]+Table[[#This Row],[NumStorePurchases]]</f>
        <v>6</v>
      </c>
    </row>
    <row r="377" spans="1:20" ht="12.5">
      <c r="A377" s="6">
        <v>375</v>
      </c>
      <c r="B377" s="6">
        <v>10703</v>
      </c>
      <c r="C377" s="6">
        <v>1975</v>
      </c>
      <c r="D377" s="6">
        <f t="shared" si="20"/>
        <v>50</v>
      </c>
      <c r="E377" s="7" t="s">
        <v>14</v>
      </c>
      <c r="F377" s="7" t="s">
        <v>10</v>
      </c>
      <c r="G377" s="6">
        <v>46098</v>
      </c>
      <c r="H377" s="6" t="str" cm="1">
        <f t="array" ref="H377">_xlfn.IFS(
  G377 &lt; 25000, "Low",
  AND(G377 &gt;= 25000, G377 &lt; 75000), "Medium",
  AND(G377 &gt;= 75000, G377 &lt; 150000), "High",
  G377 &gt;= 150000, "Very High"
)</f>
        <v>Medium</v>
      </c>
      <c r="I377" s="6">
        <v>1</v>
      </c>
      <c r="J377" s="6">
        <v>1</v>
      </c>
      <c r="K377" s="6">
        <f t="shared" si="21"/>
        <v>2</v>
      </c>
      <c r="L377" s="8">
        <v>41139</v>
      </c>
      <c r="M377" t="str">
        <f t="shared" ca="1" si="22"/>
        <v>13 years, 6 months</v>
      </c>
      <c r="N377" s="6">
        <v>86</v>
      </c>
      <c r="O377">
        <v>0</v>
      </c>
      <c r="P377">
        <v>0</v>
      </c>
      <c r="Q377">
        <f t="shared" si="23"/>
        <v>0</v>
      </c>
      <c r="R377">
        <v>3</v>
      </c>
      <c r="S377">
        <v>2</v>
      </c>
      <c r="T377">
        <f>Table[[#This Row],[NumWebPurchases]]+Table[[#This Row],[NumStorePurchases]]</f>
        <v>5</v>
      </c>
    </row>
    <row r="378" spans="1:20" ht="12.5">
      <c r="A378" s="6">
        <v>376</v>
      </c>
      <c r="B378" s="6">
        <v>1726</v>
      </c>
      <c r="C378" s="6">
        <v>1970</v>
      </c>
      <c r="D378" s="6">
        <f t="shared" si="20"/>
        <v>55</v>
      </c>
      <c r="E378" s="7" t="s">
        <v>9</v>
      </c>
      <c r="F378" s="7" t="s">
        <v>10</v>
      </c>
      <c r="G378" s="6">
        <v>22585</v>
      </c>
      <c r="H378" s="6" t="str" cm="1">
        <f t="array" ref="H378">_xlfn.IFS(
  G378 &lt; 25000, "Low",
  AND(G378 &gt;= 25000, G378 &lt; 75000), "Medium",
  AND(G378 &gt;= 75000, G378 &lt; 150000), "High",
  G378 &gt;= 150000, "Very High"
)</f>
        <v>Low</v>
      </c>
      <c r="I378" s="6">
        <v>0</v>
      </c>
      <c r="J378" s="6">
        <v>0</v>
      </c>
      <c r="K378" s="6">
        <f t="shared" si="21"/>
        <v>0</v>
      </c>
      <c r="L378" s="8">
        <v>41351</v>
      </c>
      <c r="M378" t="str">
        <f t="shared" ca="1" si="22"/>
        <v>12 years, 11 months</v>
      </c>
      <c r="N378" s="6">
        <v>23</v>
      </c>
      <c r="O378">
        <v>9</v>
      </c>
      <c r="P378">
        <v>2</v>
      </c>
      <c r="Q378">
        <f t="shared" si="23"/>
        <v>11</v>
      </c>
      <c r="R378">
        <v>1</v>
      </c>
      <c r="S378">
        <v>2</v>
      </c>
      <c r="T378">
        <f>Table[[#This Row],[NumWebPurchases]]+Table[[#This Row],[NumStorePurchases]]</f>
        <v>3</v>
      </c>
    </row>
    <row r="379" spans="1:20" ht="12.5">
      <c r="A379" s="6">
        <v>377</v>
      </c>
      <c r="B379" s="6">
        <v>4459</v>
      </c>
      <c r="C379" s="6">
        <v>1989</v>
      </c>
      <c r="D379" s="6">
        <f t="shared" si="20"/>
        <v>36</v>
      </c>
      <c r="E379" s="7" t="s">
        <v>9</v>
      </c>
      <c r="F379" s="7" t="s">
        <v>10</v>
      </c>
      <c r="G379" s="6">
        <v>30279</v>
      </c>
      <c r="H379" s="6" t="str" cm="1">
        <f t="array" ref="H379">_xlfn.IFS(
  G379 &lt; 25000, "Low",
  AND(G379 &gt;= 25000, G379 &lt; 75000), "Medium",
  AND(G379 &gt;= 75000, G379 &lt; 150000), "High",
  G379 &gt;= 150000, "Very High"
)</f>
        <v>Medium</v>
      </c>
      <c r="I379" s="6">
        <v>1</v>
      </c>
      <c r="J379" s="6">
        <v>0</v>
      </c>
      <c r="K379" s="6">
        <f t="shared" si="21"/>
        <v>1</v>
      </c>
      <c r="L379" s="9">
        <v>41273</v>
      </c>
      <c r="M379" t="str">
        <f t="shared" ca="1" si="22"/>
        <v>13 years, 2 months</v>
      </c>
      <c r="N379" s="6">
        <v>13</v>
      </c>
      <c r="O379">
        <v>4</v>
      </c>
      <c r="P379">
        <v>4</v>
      </c>
      <c r="Q379">
        <f t="shared" si="23"/>
        <v>8</v>
      </c>
      <c r="R379">
        <v>1</v>
      </c>
      <c r="S379">
        <v>3</v>
      </c>
      <c r="T379">
        <f>Table[[#This Row],[NumWebPurchases]]+Table[[#This Row],[NumStorePurchases]]</f>
        <v>4</v>
      </c>
    </row>
    <row r="380" spans="1:20" ht="12.5">
      <c r="A380" s="6">
        <v>378</v>
      </c>
      <c r="B380" s="6">
        <v>1729</v>
      </c>
      <c r="C380" s="6">
        <v>1961</v>
      </c>
      <c r="D380" s="6">
        <f t="shared" si="20"/>
        <v>64</v>
      </c>
      <c r="E380" s="7" t="s">
        <v>12</v>
      </c>
      <c r="F380" s="7" t="s">
        <v>11</v>
      </c>
      <c r="G380" s="6">
        <v>66426</v>
      </c>
      <c r="H380" s="6" t="str" cm="1">
        <f t="array" ref="H380">_xlfn.IFS(
  G380 &lt; 25000, "Low",
  AND(G380 &gt;= 25000, G380 &lt; 75000), "Medium",
  AND(G380 &gt;= 75000, G380 &lt; 150000), "High",
  G380 &gt;= 150000, "Very High"
)</f>
        <v>Medium</v>
      </c>
      <c r="I380" s="6">
        <v>0</v>
      </c>
      <c r="J380" s="6">
        <v>1</v>
      </c>
      <c r="K380" s="6">
        <f t="shared" si="21"/>
        <v>1</v>
      </c>
      <c r="L380" s="8">
        <v>41549</v>
      </c>
      <c r="M380" t="str">
        <f t="shared" ca="1" si="22"/>
        <v>12 years, 5 months</v>
      </c>
      <c r="N380" s="6">
        <v>14</v>
      </c>
      <c r="O380">
        <v>24</v>
      </c>
      <c r="P380">
        <v>24</v>
      </c>
      <c r="Q380">
        <f t="shared" si="23"/>
        <v>48</v>
      </c>
      <c r="R380">
        <v>3</v>
      </c>
      <c r="S380">
        <v>10</v>
      </c>
      <c r="T380">
        <f>Table[[#This Row],[NumWebPurchases]]+Table[[#This Row],[NumStorePurchases]]</f>
        <v>13</v>
      </c>
    </row>
    <row r="381" spans="1:20" ht="12.5">
      <c r="A381" s="6">
        <v>379</v>
      </c>
      <c r="B381" s="6">
        <v>1517</v>
      </c>
      <c r="C381" s="6">
        <v>1969</v>
      </c>
      <c r="D381" s="6">
        <f t="shared" si="20"/>
        <v>56</v>
      </c>
      <c r="E381" s="7" t="s">
        <v>9</v>
      </c>
      <c r="F381" s="7" t="s">
        <v>10</v>
      </c>
      <c r="G381" s="6">
        <v>30822</v>
      </c>
      <c r="H381" s="6" t="str" cm="1">
        <f t="array" ref="H381">_xlfn.IFS(
  G381 &lt; 25000, "Low",
  AND(G381 &gt;= 25000, G381 &lt; 75000), "Medium",
  AND(G381 &gt;= 75000, G381 &lt; 150000), "High",
  G381 &gt;= 150000, "Very High"
)</f>
        <v>Medium</v>
      </c>
      <c r="I381" s="6">
        <v>1</v>
      </c>
      <c r="J381" s="6">
        <v>0</v>
      </c>
      <c r="K381" s="6">
        <f t="shared" si="21"/>
        <v>1</v>
      </c>
      <c r="L381" s="8">
        <v>41439</v>
      </c>
      <c r="M381" t="str">
        <f t="shared" ca="1" si="22"/>
        <v>12 years, 8 months</v>
      </c>
      <c r="N381" s="6">
        <v>92</v>
      </c>
      <c r="O381">
        <v>9</v>
      </c>
      <c r="P381">
        <v>12</v>
      </c>
      <c r="Q381">
        <f t="shared" si="23"/>
        <v>21</v>
      </c>
      <c r="R381">
        <v>1</v>
      </c>
      <c r="S381">
        <v>3</v>
      </c>
      <c r="T381">
        <f>Table[[#This Row],[NumWebPurchases]]+Table[[#This Row],[NumStorePurchases]]</f>
        <v>4</v>
      </c>
    </row>
    <row r="382" spans="1:20" ht="12.5">
      <c r="A382" s="6">
        <v>380</v>
      </c>
      <c r="B382" s="6">
        <v>2098</v>
      </c>
      <c r="C382" s="6">
        <v>1969</v>
      </c>
      <c r="D382" s="6">
        <f t="shared" si="20"/>
        <v>56</v>
      </c>
      <c r="E382" s="7" t="s">
        <v>12</v>
      </c>
      <c r="F382" s="7" t="s">
        <v>13</v>
      </c>
      <c r="G382" s="6">
        <v>33581</v>
      </c>
      <c r="H382" s="6" t="str" cm="1">
        <f t="array" ref="H382">_xlfn.IFS(
  G382 &lt; 25000, "Low",
  AND(G382 &gt;= 25000, G382 &lt; 75000), "Medium",
  AND(G382 &gt;= 75000, G382 &lt; 150000), "High",
  G382 &gt;= 150000, "Very High"
)</f>
        <v>Medium</v>
      </c>
      <c r="I382" s="6">
        <v>2</v>
      </c>
      <c r="J382" s="6">
        <v>0</v>
      </c>
      <c r="K382" s="6">
        <f t="shared" si="21"/>
        <v>2</v>
      </c>
      <c r="L382" s="8">
        <v>41282</v>
      </c>
      <c r="M382" t="str">
        <f t="shared" ca="1" si="22"/>
        <v>13 years, 1 months</v>
      </c>
      <c r="N382" s="6">
        <v>38</v>
      </c>
      <c r="O382">
        <v>0</v>
      </c>
      <c r="P382">
        <v>0</v>
      </c>
      <c r="Q382">
        <f t="shared" si="23"/>
        <v>0</v>
      </c>
      <c r="R382">
        <v>1</v>
      </c>
      <c r="S382">
        <v>2</v>
      </c>
      <c r="T382">
        <f>Table[[#This Row],[NumWebPurchases]]+Table[[#This Row],[NumStorePurchases]]</f>
        <v>3</v>
      </c>
    </row>
    <row r="383" spans="1:20" ht="12.5">
      <c r="A383" s="6">
        <v>381</v>
      </c>
      <c r="B383" s="6">
        <v>9543</v>
      </c>
      <c r="C383" s="6">
        <v>1985</v>
      </c>
      <c r="D383" s="6">
        <f t="shared" si="20"/>
        <v>40</v>
      </c>
      <c r="E383" s="7" t="s">
        <v>9</v>
      </c>
      <c r="F383" s="7" t="s">
        <v>13</v>
      </c>
      <c r="G383" s="6">
        <v>19986</v>
      </c>
      <c r="H383" s="6" t="str" cm="1">
        <f t="array" ref="H383">_xlfn.IFS(
  G383 &lt; 25000, "Low",
  AND(G383 &gt;= 25000, G383 &lt; 75000), "Medium",
  AND(G383 &gt;= 75000, G383 &lt; 150000), "High",
  G383 &gt;= 150000, "Very High"
)</f>
        <v>Low</v>
      </c>
      <c r="I383" s="6">
        <v>1</v>
      </c>
      <c r="J383" s="6">
        <v>0</v>
      </c>
      <c r="K383" s="6">
        <f t="shared" si="21"/>
        <v>1</v>
      </c>
      <c r="L383" s="9">
        <v>41592</v>
      </c>
      <c r="M383" t="str">
        <f t="shared" ca="1" si="22"/>
        <v>12 years, 3 months</v>
      </c>
      <c r="N383" s="6">
        <v>74</v>
      </c>
      <c r="O383">
        <v>6</v>
      </c>
      <c r="P383">
        <v>2</v>
      </c>
      <c r="Q383">
        <f t="shared" si="23"/>
        <v>8</v>
      </c>
      <c r="R383">
        <v>0</v>
      </c>
      <c r="S383">
        <v>3</v>
      </c>
      <c r="T383">
        <f>Table[[#This Row],[NumWebPurchases]]+Table[[#This Row],[NumStorePurchases]]</f>
        <v>3</v>
      </c>
    </row>
    <row r="384" spans="1:20" ht="12.5">
      <c r="A384" s="6">
        <v>382</v>
      </c>
      <c r="B384" s="6">
        <v>6878</v>
      </c>
      <c r="C384" s="6">
        <v>1954</v>
      </c>
      <c r="D384" s="6">
        <f t="shared" si="20"/>
        <v>71</v>
      </c>
      <c r="E384" s="7" t="s">
        <v>9</v>
      </c>
      <c r="F384" s="7" t="s">
        <v>18</v>
      </c>
      <c r="G384" s="6">
        <v>27421</v>
      </c>
      <c r="H384" s="6" t="str" cm="1">
        <f t="array" ref="H384">_xlfn.IFS(
  G384 &lt; 25000, "Low",
  AND(G384 &gt;= 25000, G384 &lt; 75000), "Medium",
  AND(G384 &gt;= 75000, G384 &lt; 150000), "High",
  G384 &gt;= 150000, "Very High"
)</f>
        <v>Medium</v>
      </c>
      <c r="I384" s="6">
        <v>0</v>
      </c>
      <c r="J384" s="6">
        <v>0</v>
      </c>
      <c r="K384" s="6">
        <f t="shared" si="21"/>
        <v>0</v>
      </c>
      <c r="L384" s="9">
        <v>41255</v>
      </c>
      <c r="M384" t="str">
        <f t="shared" ca="1" si="22"/>
        <v>13 years, 2 months</v>
      </c>
      <c r="N384" s="6">
        <v>14</v>
      </c>
      <c r="O384">
        <v>12</v>
      </c>
      <c r="P384">
        <v>40</v>
      </c>
      <c r="Q384">
        <f t="shared" si="23"/>
        <v>52</v>
      </c>
      <c r="R384">
        <v>4</v>
      </c>
      <c r="S384">
        <v>6</v>
      </c>
      <c r="T384">
        <f>Table[[#This Row],[NumWebPurchases]]+Table[[#This Row],[NumStorePurchases]]</f>
        <v>10</v>
      </c>
    </row>
    <row r="385" spans="1:20" ht="12.5">
      <c r="A385" s="6">
        <v>383</v>
      </c>
      <c r="B385" s="6">
        <v>3310</v>
      </c>
      <c r="C385" s="6">
        <v>1973</v>
      </c>
      <c r="D385" s="6">
        <f t="shared" si="20"/>
        <v>52</v>
      </c>
      <c r="E385" s="7" t="s">
        <v>17</v>
      </c>
      <c r="F385" s="7" t="s">
        <v>13</v>
      </c>
      <c r="G385" s="6">
        <v>35688</v>
      </c>
      <c r="H385" s="6" t="str" cm="1">
        <f t="array" ref="H385">_xlfn.IFS(
  G385 &lt; 25000, "Low",
  AND(G385 &gt;= 25000, G385 &lt; 75000), "Medium",
  AND(G385 &gt;= 75000, G385 &lt; 150000), "High",
  G385 &gt;= 150000, "Very High"
)</f>
        <v>Medium</v>
      </c>
      <c r="I385" s="6">
        <v>2</v>
      </c>
      <c r="J385" s="6">
        <v>1</v>
      </c>
      <c r="K385" s="6">
        <f t="shared" si="21"/>
        <v>3</v>
      </c>
      <c r="L385" s="8">
        <v>41143</v>
      </c>
      <c r="M385" t="str">
        <f t="shared" ca="1" si="22"/>
        <v>13 years, 6 months</v>
      </c>
      <c r="N385" s="6">
        <v>94</v>
      </c>
      <c r="O385">
        <v>3</v>
      </c>
      <c r="P385">
        <v>1</v>
      </c>
      <c r="Q385">
        <f t="shared" si="23"/>
        <v>4</v>
      </c>
      <c r="R385">
        <v>4</v>
      </c>
      <c r="S385">
        <v>4</v>
      </c>
      <c r="T385">
        <f>Table[[#This Row],[NumWebPurchases]]+Table[[#This Row],[NumStorePurchases]]</f>
        <v>8</v>
      </c>
    </row>
    <row r="386" spans="1:20" ht="12.5">
      <c r="A386" s="6">
        <v>384</v>
      </c>
      <c r="B386" s="6">
        <v>2724</v>
      </c>
      <c r="C386" s="6">
        <v>1981</v>
      </c>
      <c r="D386" s="6">
        <f t="shared" si="20"/>
        <v>44</v>
      </c>
      <c r="E386" s="7" t="s">
        <v>14</v>
      </c>
      <c r="F386" s="7" t="s">
        <v>10</v>
      </c>
      <c r="G386" s="6">
        <v>36143</v>
      </c>
      <c r="H386" s="6" t="str" cm="1">
        <f t="array" ref="H386">_xlfn.IFS(
  G386 &lt; 25000, "Low",
  AND(G386 &gt;= 25000, G386 &lt; 75000), "Medium",
  AND(G386 &gt;= 75000, G386 &lt; 150000), "High",
  G386 &gt;= 150000, "Very High"
)</f>
        <v>Medium</v>
      </c>
      <c r="I386" s="6">
        <v>1</v>
      </c>
      <c r="J386" s="6">
        <v>0</v>
      </c>
      <c r="K386" s="6">
        <f t="shared" si="21"/>
        <v>1</v>
      </c>
      <c r="L386" s="8">
        <v>41728</v>
      </c>
      <c r="M386" t="str">
        <f t="shared" ca="1" si="22"/>
        <v>11 years, 11 months</v>
      </c>
      <c r="N386" s="6">
        <v>33</v>
      </c>
      <c r="O386">
        <v>0</v>
      </c>
      <c r="P386">
        <v>0</v>
      </c>
      <c r="Q386">
        <f t="shared" si="23"/>
        <v>0</v>
      </c>
      <c r="R386">
        <v>0</v>
      </c>
      <c r="S386">
        <v>2</v>
      </c>
      <c r="T386">
        <f>Table[[#This Row],[NumWebPurchases]]+Table[[#This Row],[NumStorePurchases]]</f>
        <v>2</v>
      </c>
    </row>
    <row r="387" spans="1:20" ht="12.5">
      <c r="A387" s="6">
        <v>385</v>
      </c>
      <c r="B387" s="6">
        <v>948</v>
      </c>
      <c r="C387" s="6">
        <v>1971</v>
      </c>
      <c r="D387" s="6">
        <f t="shared" ref="D387:D450" si="24">2025-C387</f>
        <v>54</v>
      </c>
      <c r="E387" s="7" t="s">
        <v>9</v>
      </c>
      <c r="F387" s="7" t="s">
        <v>10</v>
      </c>
      <c r="G387" s="6">
        <v>10245</v>
      </c>
      <c r="H387" s="6" t="str" cm="1">
        <f t="array" ref="H387">_xlfn.IFS(
  G387 &lt; 25000, "Low",
  AND(G387 &gt;= 25000, G387 &lt; 75000), "Medium",
  AND(G387 &gt;= 75000, G387 &lt; 150000), "High",
  G387 &gt;= 150000, "Very High"
)</f>
        <v>Low</v>
      </c>
      <c r="I387" s="6">
        <v>1</v>
      </c>
      <c r="J387" s="6">
        <v>0</v>
      </c>
      <c r="K387" s="6">
        <f t="shared" ref="K387:K450" si="25">I387+J387</f>
        <v>1</v>
      </c>
      <c r="L387" s="8">
        <v>41409</v>
      </c>
      <c r="M387" t="str">
        <f t="shared" ref="M387:M450" ca="1" si="26">DATEDIF(L387, TODAY(), "Y") &amp; " years, " &amp; DATEDIF(L387, TODAY(), "YM") &amp; " months"</f>
        <v>12 years, 9 months</v>
      </c>
      <c r="N387" s="6">
        <v>32</v>
      </c>
      <c r="O387">
        <v>7</v>
      </c>
      <c r="P387">
        <v>4</v>
      </c>
      <c r="Q387">
        <f t="shared" ref="Q387:Q450" si="27">O387+P387</f>
        <v>11</v>
      </c>
      <c r="R387">
        <v>1</v>
      </c>
      <c r="S387">
        <v>2</v>
      </c>
      <c r="T387">
        <f>Table[[#This Row],[NumWebPurchases]]+Table[[#This Row],[NumStorePurchases]]</f>
        <v>3</v>
      </c>
    </row>
    <row r="388" spans="1:20" ht="12.5">
      <c r="A388" s="6">
        <v>386</v>
      </c>
      <c r="B388" s="6">
        <v>6720</v>
      </c>
      <c r="C388" s="6">
        <v>1968</v>
      </c>
      <c r="D388" s="6">
        <f t="shared" si="24"/>
        <v>57</v>
      </c>
      <c r="E388" s="7" t="s">
        <v>14</v>
      </c>
      <c r="F388" s="7" t="s">
        <v>11</v>
      </c>
      <c r="G388" s="6">
        <v>43795</v>
      </c>
      <c r="H388" s="6" t="str" cm="1">
        <f t="array" ref="H388">_xlfn.IFS(
  G388 &lt; 25000, "Low",
  AND(G388 &gt;= 25000, G388 &lt; 75000), "Medium",
  AND(G388 &gt;= 75000, G388 &lt; 150000), "High",
  G388 &gt;= 150000, "Very High"
)</f>
        <v>Medium</v>
      </c>
      <c r="I388" s="6">
        <v>0</v>
      </c>
      <c r="J388" s="6">
        <v>1</v>
      </c>
      <c r="K388" s="6">
        <f t="shared" si="25"/>
        <v>1</v>
      </c>
      <c r="L388" s="9">
        <v>41563</v>
      </c>
      <c r="M388" t="str">
        <f t="shared" ca="1" si="26"/>
        <v>12 years, 4 months</v>
      </c>
      <c r="N388" s="6">
        <v>11</v>
      </c>
      <c r="O388">
        <v>11</v>
      </c>
      <c r="P388">
        <v>3</v>
      </c>
      <c r="Q388">
        <f t="shared" si="27"/>
        <v>14</v>
      </c>
      <c r="R388">
        <v>7</v>
      </c>
      <c r="S388">
        <v>4</v>
      </c>
      <c r="T388">
        <f>Table[[#This Row],[NumWebPurchases]]+Table[[#This Row],[NumStorePurchases]]</f>
        <v>11</v>
      </c>
    </row>
    <row r="389" spans="1:20" ht="12.5">
      <c r="A389" s="6">
        <v>387</v>
      </c>
      <c r="B389" s="6">
        <v>6202</v>
      </c>
      <c r="C389" s="6">
        <v>1960</v>
      </c>
      <c r="D389" s="6">
        <f t="shared" si="24"/>
        <v>65</v>
      </c>
      <c r="E389" s="7" t="s">
        <v>9</v>
      </c>
      <c r="F389" s="7" t="s">
        <v>11</v>
      </c>
      <c r="G389" s="6">
        <v>63381</v>
      </c>
      <c r="H389" s="6" t="str" cm="1">
        <f t="array" ref="H389">_xlfn.IFS(
  G389 &lt; 25000, "Low",
  AND(G389 &gt;= 25000, G389 &lt; 75000), "Medium",
  AND(G389 &gt;= 75000, G389 &lt; 150000), "High",
  G389 &gt;= 150000, "Very High"
)</f>
        <v>Medium</v>
      </c>
      <c r="I389" s="6">
        <v>0</v>
      </c>
      <c r="J389" s="6">
        <v>1</v>
      </c>
      <c r="K389" s="6">
        <f t="shared" si="25"/>
        <v>1</v>
      </c>
      <c r="L389" s="8">
        <v>41187</v>
      </c>
      <c r="M389" t="str">
        <f t="shared" ca="1" si="26"/>
        <v>13 years, 5 months</v>
      </c>
      <c r="N389" s="6">
        <v>78</v>
      </c>
      <c r="O389">
        <v>50</v>
      </c>
      <c r="P389">
        <v>50</v>
      </c>
      <c r="Q389">
        <f t="shared" si="27"/>
        <v>100</v>
      </c>
      <c r="R389">
        <v>4</v>
      </c>
      <c r="S389">
        <v>13</v>
      </c>
      <c r="T389">
        <f>Table[[#This Row],[NumWebPurchases]]+Table[[#This Row],[NumStorePurchases]]</f>
        <v>17</v>
      </c>
    </row>
    <row r="390" spans="1:20" ht="12.5">
      <c r="A390" s="6">
        <v>388</v>
      </c>
      <c r="B390" s="6">
        <v>2066</v>
      </c>
      <c r="C390" s="6">
        <v>1949</v>
      </c>
      <c r="D390" s="6">
        <f t="shared" si="24"/>
        <v>76</v>
      </c>
      <c r="E390" s="7" t="s">
        <v>9</v>
      </c>
      <c r="F390" s="7" t="s">
        <v>11</v>
      </c>
      <c r="G390" s="6">
        <v>38823</v>
      </c>
      <c r="H390" s="6" t="str" cm="1">
        <f t="array" ref="H390">_xlfn.IFS(
  G390 &lt; 25000, "Low",
  AND(G390 &gt;= 25000, G390 &lt; 75000), "Medium",
  AND(G390 &gt;= 75000, G390 &lt; 150000), "High",
  G390 &gt;= 150000, "Very High"
)</f>
        <v>Medium</v>
      </c>
      <c r="I390" s="6">
        <v>0</v>
      </c>
      <c r="J390" s="6">
        <v>1</v>
      </c>
      <c r="K390" s="6">
        <f t="shared" si="25"/>
        <v>1</v>
      </c>
      <c r="L390" s="8">
        <v>41151</v>
      </c>
      <c r="M390" t="str">
        <f t="shared" ca="1" si="26"/>
        <v>13 years, 6 months</v>
      </c>
      <c r="N390" s="6">
        <v>56</v>
      </c>
      <c r="O390">
        <v>0</v>
      </c>
      <c r="P390">
        <v>8</v>
      </c>
      <c r="Q390">
        <f t="shared" si="27"/>
        <v>8</v>
      </c>
      <c r="R390">
        <v>2</v>
      </c>
      <c r="S390">
        <v>3</v>
      </c>
      <c r="T390">
        <f>Table[[#This Row],[NumWebPurchases]]+Table[[#This Row],[NumStorePurchases]]</f>
        <v>5</v>
      </c>
    </row>
    <row r="391" spans="1:20" ht="12.5">
      <c r="A391" s="6">
        <v>389</v>
      </c>
      <c r="B391" s="6">
        <v>9799</v>
      </c>
      <c r="C391" s="6">
        <v>1968</v>
      </c>
      <c r="D391" s="6">
        <f t="shared" si="24"/>
        <v>57</v>
      </c>
      <c r="E391" s="7" t="s">
        <v>12</v>
      </c>
      <c r="F391" s="7" t="s">
        <v>15</v>
      </c>
      <c r="G391" s="6">
        <v>83664</v>
      </c>
      <c r="H391" s="6" t="str" cm="1">
        <f t="array" ref="H391">_xlfn.IFS(
  G391 &lt; 25000, "Low",
  AND(G391 &gt;= 25000, G391 &lt; 75000), "Medium",
  AND(G391 &gt;= 75000, G391 &lt; 150000), "High",
  G391 &gt;= 150000, "Very High"
)</f>
        <v>High</v>
      </c>
      <c r="I391" s="6">
        <v>1</v>
      </c>
      <c r="J391" s="6">
        <v>1</v>
      </c>
      <c r="K391" s="6">
        <f t="shared" si="25"/>
        <v>2</v>
      </c>
      <c r="L391" s="8">
        <v>41402</v>
      </c>
      <c r="M391" t="str">
        <f t="shared" ca="1" si="26"/>
        <v>12 years, 9 months</v>
      </c>
      <c r="N391" s="6">
        <v>57</v>
      </c>
      <c r="O391">
        <v>21</v>
      </c>
      <c r="P391">
        <v>21</v>
      </c>
      <c r="Q391">
        <f t="shared" si="27"/>
        <v>42</v>
      </c>
      <c r="R391">
        <v>2</v>
      </c>
      <c r="S391">
        <v>12</v>
      </c>
      <c r="T391">
        <f>Table[[#This Row],[NumWebPurchases]]+Table[[#This Row],[NumStorePurchases]]</f>
        <v>14</v>
      </c>
    </row>
    <row r="392" spans="1:20" ht="12.5">
      <c r="A392" s="6">
        <v>390</v>
      </c>
      <c r="B392" s="6">
        <v>8318</v>
      </c>
      <c r="C392" s="6">
        <v>1979</v>
      </c>
      <c r="D392" s="6">
        <f t="shared" si="24"/>
        <v>46</v>
      </c>
      <c r="E392" s="7" t="s">
        <v>9</v>
      </c>
      <c r="F392" s="7" t="s">
        <v>11</v>
      </c>
      <c r="G392" s="6">
        <v>90300</v>
      </c>
      <c r="H392" s="6" t="str" cm="1">
        <f t="array" ref="H392">_xlfn.IFS(
  G392 &lt; 25000, "Low",
  AND(G392 &gt;= 25000, G392 &lt; 75000), "Medium",
  AND(G392 &gt;= 75000, G392 &lt; 150000), "High",
  G392 &gt;= 150000, "Very High"
)</f>
        <v>High</v>
      </c>
      <c r="I392" s="6">
        <v>0</v>
      </c>
      <c r="J392" s="6">
        <v>0</v>
      </c>
      <c r="K392" s="6">
        <f t="shared" si="25"/>
        <v>0</v>
      </c>
      <c r="L392" s="8">
        <v>41642</v>
      </c>
      <c r="M392" t="str">
        <f t="shared" ca="1" si="26"/>
        <v>12 years, 2 months</v>
      </c>
      <c r="N392" s="6">
        <v>7</v>
      </c>
      <c r="O392">
        <v>134</v>
      </c>
      <c r="P392">
        <v>134</v>
      </c>
      <c r="Q392">
        <f t="shared" si="27"/>
        <v>268</v>
      </c>
      <c r="R392">
        <v>5</v>
      </c>
      <c r="S392">
        <v>8</v>
      </c>
      <c r="T392">
        <f>Table[[#This Row],[NumWebPurchases]]+Table[[#This Row],[NumStorePurchases]]</f>
        <v>13</v>
      </c>
    </row>
    <row r="393" spans="1:20" ht="12.5">
      <c r="A393" s="6">
        <v>391</v>
      </c>
      <c r="B393" s="6">
        <v>5642</v>
      </c>
      <c r="C393" s="6">
        <v>1979</v>
      </c>
      <c r="D393" s="6">
        <f t="shared" si="24"/>
        <v>46</v>
      </c>
      <c r="E393" s="7" t="s">
        <v>14</v>
      </c>
      <c r="F393" s="7" t="s">
        <v>11</v>
      </c>
      <c r="G393" s="6">
        <v>62499</v>
      </c>
      <c r="H393" s="6" t="str" cm="1">
        <f t="array" ref="H393">_xlfn.IFS(
  G393 &lt; 25000, "Low",
  AND(G393 &gt;= 25000, G393 &lt; 75000), "Medium",
  AND(G393 &gt;= 75000, G393 &lt; 150000), "High",
  G393 &gt;= 150000, "Very High"
)</f>
        <v>Medium</v>
      </c>
      <c r="I393" s="6">
        <v>1</v>
      </c>
      <c r="J393" s="6">
        <v>0</v>
      </c>
      <c r="K393" s="6">
        <f t="shared" si="25"/>
        <v>1</v>
      </c>
      <c r="L393" s="8">
        <v>41617</v>
      </c>
      <c r="M393" t="str">
        <f t="shared" ca="1" si="26"/>
        <v>12 years, 2 months</v>
      </c>
      <c r="N393" s="6">
        <v>0</v>
      </c>
      <c r="O393">
        <v>4</v>
      </c>
      <c r="P393">
        <v>13</v>
      </c>
      <c r="Q393">
        <f t="shared" si="27"/>
        <v>17</v>
      </c>
      <c r="R393">
        <v>3</v>
      </c>
      <c r="S393">
        <v>6</v>
      </c>
      <c r="T393">
        <f>Table[[#This Row],[NumWebPurchases]]+Table[[#This Row],[NumStorePurchases]]</f>
        <v>9</v>
      </c>
    </row>
    <row r="394" spans="1:20" ht="12.5">
      <c r="A394" s="6">
        <v>392</v>
      </c>
      <c r="B394" s="6">
        <v>2669</v>
      </c>
      <c r="C394" s="6">
        <v>1993</v>
      </c>
      <c r="D394" s="6">
        <f t="shared" si="24"/>
        <v>32</v>
      </c>
      <c r="E394" s="7" t="s">
        <v>9</v>
      </c>
      <c r="F394" s="7" t="s">
        <v>10</v>
      </c>
      <c r="G394" s="6">
        <v>74293</v>
      </c>
      <c r="H394" s="6" t="str" cm="1">
        <f t="array" ref="H394">_xlfn.IFS(
  G394 &lt; 25000, "Low",
  AND(G394 &gt;= 25000, G394 &lt; 75000), "Medium",
  AND(G394 &gt;= 75000, G394 &lt; 150000), "High",
  G394 &gt;= 150000, "Very High"
)</f>
        <v>Medium</v>
      </c>
      <c r="I394" s="6">
        <v>0</v>
      </c>
      <c r="J394" s="6">
        <v>0</v>
      </c>
      <c r="K394" s="6">
        <f t="shared" si="25"/>
        <v>0</v>
      </c>
      <c r="L394" s="8">
        <v>41763</v>
      </c>
      <c r="M394" t="str">
        <f t="shared" ca="1" si="26"/>
        <v>11 years, 10 months</v>
      </c>
      <c r="N394" s="6">
        <v>66</v>
      </c>
      <c r="O394">
        <v>152</v>
      </c>
      <c r="P394">
        <v>91</v>
      </c>
      <c r="Q394">
        <f t="shared" si="27"/>
        <v>243</v>
      </c>
      <c r="R394">
        <v>5</v>
      </c>
      <c r="S394">
        <v>6</v>
      </c>
      <c r="T394">
        <f>Table[[#This Row],[NumWebPurchases]]+Table[[#This Row],[NumStorePurchases]]</f>
        <v>11</v>
      </c>
    </row>
    <row r="395" spans="1:20" ht="12.5">
      <c r="A395" s="6">
        <v>393</v>
      </c>
      <c r="B395" s="6">
        <v>455</v>
      </c>
      <c r="C395" s="6">
        <v>1946</v>
      </c>
      <c r="D395" s="6">
        <f t="shared" si="24"/>
        <v>79</v>
      </c>
      <c r="E395" s="7" t="s">
        <v>12</v>
      </c>
      <c r="F395" s="7" t="s">
        <v>13</v>
      </c>
      <c r="G395" s="6">
        <v>51012</v>
      </c>
      <c r="H395" s="6" t="str" cm="1">
        <f t="array" ref="H395">_xlfn.IFS(
  G395 &lt; 25000, "Low",
  AND(G395 &gt;= 25000, G395 &lt; 75000), "Medium",
  AND(G395 &gt;= 75000, G395 &lt; 150000), "High",
  G395 &gt;= 150000, "Very High"
)</f>
        <v>Medium</v>
      </c>
      <c r="I395" s="6">
        <v>0</v>
      </c>
      <c r="J395" s="6">
        <v>0</v>
      </c>
      <c r="K395" s="6">
        <f t="shared" si="25"/>
        <v>0</v>
      </c>
      <c r="L395" s="8">
        <v>41382</v>
      </c>
      <c r="M395" t="str">
        <f t="shared" ca="1" si="26"/>
        <v>12 years, 10 months</v>
      </c>
      <c r="N395" s="6">
        <v>86</v>
      </c>
      <c r="O395">
        <v>9</v>
      </c>
      <c r="P395">
        <v>9</v>
      </c>
      <c r="Q395">
        <f t="shared" si="27"/>
        <v>18</v>
      </c>
      <c r="R395">
        <v>4</v>
      </c>
      <c r="S395">
        <v>4</v>
      </c>
      <c r="T395">
        <f>Table[[#This Row],[NumWebPurchases]]+Table[[#This Row],[NumStorePurchases]]</f>
        <v>8</v>
      </c>
    </row>
    <row r="396" spans="1:20" ht="12.5">
      <c r="A396" s="6">
        <v>394</v>
      </c>
      <c r="B396" s="6">
        <v>7683</v>
      </c>
      <c r="C396" s="6">
        <v>1968</v>
      </c>
      <c r="D396" s="6">
        <f t="shared" si="24"/>
        <v>57</v>
      </c>
      <c r="E396" s="7" t="s">
        <v>14</v>
      </c>
      <c r="F396" s="7" t="s">
        <v>13</v>
      </c>
      <c r="G396" s="6">
        <v>70777</v>
      </c>
      <c r="H396" s="6" t="str" cm="1">
        <f t="array" ref="H396">_xlfn.IFS(
  G396 &lt; 25000, "Low",
  AND(G396 &gt;= 25000, G396 &lt; 75000), "Medium",
  AND(G396 &gt;= 75000, G396 &lt; 150000), "High",
  G396 &gt;= 150000, "Very High"
)</f>
        <v>Medium</v>
      </c>
      <c r="I396" s="6">
        <v>0</v>
      </c>
      <c r="J396" s="6">
        <v>1</v>
      </c>
      <c r="K396" s="6">
        <f t="shared" si="25"/>
        <v>1</v>
      </c>
      <c r="L396" s="8">
        <v>41695</v>
      </c>
      <c r="M396" t="str">
        <f t="shared" ca="1" si="26"/>
        <v>12 years, 0 months</v>
      </c>
      <c r="N396" s="6">
        <v>80</v>
      </c>
      <c r="O396">
        <v>35</v>
      </c>
      <c r="P396">
        <v>7</v>
      </c>
      <c r="Q396">
        <f t="shared" si="27"/>
        <v>42</v>
      </c>
      <c r="R396">
        <v>5</v>
      </c>
      <c r="S396">
        <v>12</v>
      </c>
      <c r="T396">
        <f>Table[[#This Row],[NumWebPurchases]]+Table[[#This Row],[NumStorePurchases]]</f>
        <v>17</v>
      </c>
    </row>
    <row r="397" spans="1:20" ht="12.5">
      <c r="A397" s="6">
        <v>395</v>
      </c>
      <c r="B397" s="6">
        <v>3428</v>
      </c>
      <c r="C397" s="6">
        <v>1991</v>
      </c>
      <c r="D397" s="6">
        <f t="shared" si="24"/>
        <v>34</v>
      </c>
      <c r="E397" s="7" t="s">
        <v>12</v>
      </c>
      <c r="F397" s="7" t="s">
        <v>11</v>
      </c>
      <c r="G397" s="6">
        <v>68682</v>
      </c>
      <c r="H397" s="6" t="str" cm="1">
        <f t="array" ref="H397">_xlfn.IFS(
  G397 &lt; 25000, "Low",
  AND(G397 &gt;= 25000, G397 &lt; 75000), "Medium",
  AND(G397 &gt;= 75000, G397 &lt; 150000), "High",
  G397 &gt;= 150000, "Very High"
)</f>
        <v>Medium</v>
      </c>
      <c r="I397" s="6">
        <v>0</v>
      </c>
      <c r="J397" s="6">
        <v>0</v>
      </c>
      <c r="K397" s="6">
        <f t="shared" si="25"/>
        <v>0</v>
      </c>
      <c r="L397" s="8">
        <v>41553</v>
      </c>
      <c r="M397" t="str">
        <f t="shared" ca="1" si="26"/>
        <v>12 years, 5 months</v>
      </c>
      <c r="N397" s="6">
        <v>56</v>
      </c>
      <c r="O397">
        <v>0</v>
      </c>
      <c r="P397">
        <v>30</v>
      </c>
      <c r="Q397">
        <f t="shared" si="27"/>
        <v>30</v>
      </c>
      <c r="R397">
        <v>4</v>
      </c>
      <c r="S397">
        <v>10</v>
      </c>
      <c r="T397">
        <f>Table[[#This Row],[NumWebPurchases]]+Table[[#This Row],[NumStorePurchases]]</f>
        <v>14</v>
      </c>
    </row>
    <row r="398" spans="1:20" ht="12.5">
      <c r="A398" s="6">
        <v>396</v>
      </c>
      <c r="B398" s="6">
        <v>7414</v>
      </c>
      <c r="C398" s="6">
        <v>1971</v>
      </c>
      <c r="D398" s="6">
        <f t="shared" si="24"/>
        <v>54</v>
      </c>
      <c r="E398" s="7" t="s">
        <v>9</v>
      </c>
      <c r="F398" s="7" t="s">
        <v>13</v>
      </c>
      <c r="G398" s="6">
        <v>43824</v>
      </c>
      <c r="H398" s="6" t="str" cm="1">
        <f t="array" ref="H398">_xlfn.IFS(
  G398 &lt; 25000, "Low",
  AND(G398 &gt;= 25000, G398 &lt; 75000), "Medium",
  AND(G398 &gt;= 75000, G398 &lt; 150000), "High",
  G398 &gt;= 150000, "Very High"
)</f>
        <v>Medium</v>
      </c>
      <c r="I398" s="6">
        <v>1</v>
      </c>
      <c r="J398" s="6">
        <v>1</v>
      </c>
      <c r="K398" s="6">
        <f t="shared" si="25"/>
        <v>2</v>
      </c>
      <c r="L398" s="8">
        <v>41167</v>
      </c>
      <c r="M398" t="str">
        <f t="shared" ca="1" si="26"/>
        <v>13 years, 5 months</v>
      </c>
      <c r="N398" s="6">
        <v>18</v>
      </c>
      <c r="O398">
        <v>1</v>
      </c>
      <c r="P398">
        <v>3</v>
      </c>
      <c r="Q398">
        <f t="shared" si="27"/>
        <v>4</v>
      </c>
      <c r="R398">
        <v>3</v>
      </c>
      <c r="S398">
        <v>4</v>
      </c>
      <c r="T398">
        <f>Table[[#This Row],[NumWebPurchases]]+Table[[#This Row],[NumStorePurchases]]</f>
        <v>7</v>
      </c>
    </row>
    <row r="399" spans="1:20" ht="12.5">
      <c r="A399" s="6">
        <v>397</v>
      </c>
      <c r="B399" s="6">
        <v>6354</v>
      </c>
      <c r="C399" s="6">
        <v>1984</v>
      </c>
      <c r="D399" s="6">
        <f t="shared" si="24"/>
        <v>41</v>
      </c>
      <c r="E399" s="7" t="s">
        <v>9</v>
      </c>
      <c r="F399" s="7" t="s">
        <v>11</v>
      </c>
      <c r="G399" s="6">
        <v>15345</v>
      </c>
      <c r="H399" s="6" t="str" cm="1">
        <f t="array" ref="H399">_xlfn.IFS(
  G399 &lt; 25000, "Low",
  AND(G399 &gt;= 25000, G399 &lt; 75000), "Medium",
  AND(G399 &gt;= 75000, G399 &lt; 150000), "High",
  G399 &gt;= 150000, "Very High"
)</f>
        <v>Low</v>
      </c>
      <c r="I399" s="6">
        <v>1</v>
      </c>
      <c r="J399" s="6">
        <v>0</v>
      </c>
      <c r="K399" s="6">
        <f t="shared" si="25"/>
        <v>1</v>
      </c>
      <c r="L399" s="8">
        <v>41152</v>
      </c>
      <c r="M399" t="str">
        <f t="shared" ca="1" si="26"/>
        <v>13 years, 6 months</v>
      </c>
      <c r="N399" s="6">
        <v>51</v>
      </c>
      <c r="O399">
        <v>2</v>
      </c>
      <c r="P399">
        <v>2</v>
      </c>
      <c r="Q399">
        <f t="shared" si="27"/>
        <v>4</v>
      </c>
      <c r="R399">
        <v>1</v>
      </c>
      <c r="S399">
        <v>2</v>
      </c>
      <c r="T399">
        <f>Table[[#This Row],[NumWebPurchases]]+Table[[#This Row],[NumStorePurchases]]</f>
        <v>3</v>
      </c>
    </row>
    <row r="400" spans="1:20" ht="12.5">
      <c r="A400" s="6">
        <v>398</v>
      </c>
      <c r="B400" s="6">
        <v>798</v>
      </c>
      <c r="C400" s="6">
        <v>1987</v>
      </c>
      <c r="D400" s="6">
        <f t="shared" si="24"/>
        <v>38</v>
      </c>
      <c r="E400" s="7" t="s">
        <v>9</v>
      </c>
      <c r="F400" s="7" t="s">
        <v>10</v>
      </c>
      <c r="G400" s="6">
        <v>23442</v>
      </c>
      <c r="H400" s="6" t="str" cm="1">
        <f t="array" ref="H400">_xlfn.IFS(
  G400 &lt; 25000, "Low",
  AND(G400 &gt;= 25000, G400 &lt; 75000), "Medium",
  AND(G400 &gt;= 75000, G400 &lt; 150000), "High",
  G400 &gt;= 150000, "Very High"
)</f>
        <v>Low</v>
      </c>
      <c r="I400" s="6">
        <v>1</v>
      </c>
      <c r="J400" s="6">
        <v>0</v>
      </c>
      <c r="K400" s="6">
        <f t="shared" si="25"/>
        <v>1</v>
      </c>
      <c r="L400" s="9">
        <v>41267</v>
      </c>
      <c r="M400" t="str">
        <f t="shared" ca="1" si="26"/>
        <v>13 years, 2 months</v>
      </c>
      <c r="N400" s="6">
        <v>71</v>
      </c>
      <c r="O400">
        <v>0</v>
      </c>
      <c r="P400">
        <v>6</v>
      </c>
      <c r="Q400">
        <f t="shared" si="27"/>
        <v>6</v>
      </c>
      <c r="R400">
        <v>1</v>
      </c>
      <c r="S400">
        <v>3</v>
      </c>
      <c r="T400">
        <f>Table[[#This Row],[NumWebPurchases]]+Table[[#This Row],[NumStorePurchases]]</f>
        <v>4</v>
      </c>
    </row>
    <row r="401" spans="1:20" ht="12.5">
      <c r="A401" s="6">
        <v>399</v>
      </c>
      <c r="B401" s="6">
        <v>8213</v>
      </c>
      <c r="C401" s="6">
        <v>1980</v>
      </c>
      <c r="D401" s="6">
        <f t="shared" si="24"/>
        <v>45</v>
      </c>
      <c r="E401" s="7" t="s">
        <v>17</v>
      </c>
      <c r="F401" s="7" t="s">
        <v>11</v>
      </c>
      <c r="G401" s="6">
        <v>14515</v>
      </c>
      <c r="H401" s="6" t="str" cm="1">
        <f t="array" ref="H401">_xlfn.IFS(
  G401 &lt; 25000, "Low",
  AND(G401 &gt;= 25000, G401 &lt; 75000), "Medium",
  AND(G401 &gt;= 75000, G401 &lt; 150000), "High",
  G401 &gt;= 150000, "Very High"
)</f>
        <v>Low</v>
      </c>
      <c r="I401" s="6">
        <v>1</v>
      </c>
      <c r="J401" s="6">
        <v>0</v>
      </c>
      <c r="K401" s="6">
        <f t="shared" si="25"/>
        <v>1</v>
      </c>
      <c r="L401" s="8">
        <v>41222</v>
      </c>
      <c r="M401" t="str">
        <f t="shared" ca="1" si="26"/>
        <v>13 years, 3 months</v>
      </c>
      <c r="N401" s="6">
        <v>71</v>
      </c>
      <c r="O401">
        <v>4</v>
      </c>
      <c r="P401">
        <v>36</v>
      </c>
      <c r="Q401">
        <f t="shared" si="27"/>
        <v>40</v>
      </c>
      <c r="R401">
        <v>2</v>
      </c>
      <c r="S401">
        <v>3</v>
      </c>
      <c r="T401">
        <f>Table[[#This Row],[NumWebPurchases]]+Table[[#This Row],[NumStorePurchases]]</f>
        <v>5</v>
      </c>
    </row>
    <row r="402" spans="1:20" ht="12.5">
      <c r="A402" s="6">
        <v>400</v>
      </c>
      <c r="B402" s="6">
        <v>2488</v>
      </c>
      <c r="C402" s="6">
        <v>1956</v>
      </c>
      <c r="D402" s="6">
        <f t="shared" si="24"/>
        <v>69</v>
      </c>
      <c r="E402" s="7" t="s">
        <v>17</v>
      </c>
      <c r="F402" s="7" t="s">
        <v>15</v>
      </c>
      <c r="G402" s="6">
        <v>31395</v>
      </c>
      <c r="H402" s="6" t="str" cm="1">
        <f t="array" ref="H402">_xlfn.IFS(
  G402 &lt; 25000, "Low",
  AND(G402 &gt;= 25000, G402 &lt; 75000), "Medium",
  AND(G402 &gt;= 75000, G402 &lt; 150000), "High",
  G402 &gt;= 150000, "Very High"
)</f>
        <v>Medium</v>
      </c>
      <c r="I402" s="6">
        <v>1</v>
      </c>
      <c r="J402" s="6">
        <v>1</v>
      </c>
      <c r="K402" s="6">
        <f t="shared" si="25"/>
        <v>2</v>
      </c>
      <c r="L402" s="8">
        <v>41356</v>
      </c>
      <c r="M402" t="str">
        <f t="shared" ca="1" si="26"/>
        <v>12 years, 11 months</v>
      </c>
      <c r="N402" s="6">
        <v>80</v>
      </c>
      <c r="O402">
        <v>1</v>
      </c>
      <c r="P402">
        <v>8</v>
      </c>
      <c r="Q402">
        <f t="shared" si="27"/>
        <v>9</v>
      </c>
      <c r="R402">
        <v>2</v>
      </c>
      <c r="S402">
        <v>3</v>
      </c>
      <c r="T402">
        <f>Table[[#This Row],[NumWebPurchases]]+Table[[#This Row],[NumStorePurchases]]</f>
        <v>5</v>
      </c>
    </row>
    <row r="403" spans="1:20" ht="12.5">
      <c r="A403" s="6">
        <v>401</v>
      </c>
      <c r="B403" s="6">
        <v>9999</v>
      </c>
      <c r="C403" s="6">
        <v>1965</v>
      </c>
      <c r="D403" s="6">
        <f t="shared" si="24"/>
        <v>60</v>
      </c>
      <c r="E403" s="7" t="s">
        <v>9</v>
      </c>
      <c r="F403" s="7" t="s">
        <v>11</v>
      </c>
      <c r="G403" s="6">
        <v>75276</v>
      </c>
      <c r="H403" s="6" t="str" cm="1">
        <f t="array" ref="H403">_xlfn.IFS(
  G403 &lt; 25000, "Low",
  AND(G403 &gt;= 25000, G403 &lt; 75000), "Medium",
  AND(G403 &gt;= 75000, G403 &lt; 150000), "High",
  G403 &gt;= 150000, "Very High"
)</f>
        <v>High</v>
      </c>
      <c r="I403" s="6">
        <v>0</v>
      </c>
      <c r="J403" s="6">
        <v>0</v>
      </c>
      <c r="K403" s="6">
        <f t="shared" si="25"/>
        <v>0</v>
      </c>
      <c r="L403" s="8">
        <v>41179</v>
      </c>
      <c r="M403" t="str">
        <f t="shared" ca="1" si="26"/>
        <v>13 years, 5 months</v>
      </c>
      <c r="N403" s="6">
        <v>2</v>
      </c>
      <c r="O403">
        <v>105</v>
      </c>
      <c r="P403">
        <v>42</v>
      </c>
      <c r="Q403">
        <f t="shared" si="27"/>
        <v>147</v>
      </c>
      <c r="R403">
        <v>9</v>
      </c>
      <c r="S403">
        <v>9</v>
      </c>
      <c r="T403">
        <f>Table[[#This Row],[NumWebPurchases]]+Table[[#This Row],[NumStorePurchases]]</f>
        <v>18</v>
      </c>
    </row>
    <row r="404" spans="1:20" ht="12.5">
      <c r="A404" s="6">
        <v>402</v>
      </c>
      <c r="B404" s="6">
        <v>7617</v>
      </c>
      <c r="C404" s="6">
        <v>1974</v>
      </c>
      <c r="D404" s="6">
        <f t="shared" si="24"/>
        <v>51</v>
      </c>
      <c r="E404" s="7" t="s">
        <v>9</v>
      </c>
      <c r="F404" s="7" t="s">
        <v>10</v>
      </c>
      <c r="G404" s="6">
        <v>42373</v>
      </c>
      <c r="H404" s="6" t="str" cm="1">
        <f t="array" ref="H404">_xlfn.IFS(
  G404 &lt; 25000, "Low",
  AND(G404 &gt;= 25000, G404 &lt; 75000), "Medium",
  AND(G404 &gt;= 75000, G404 &lt; 150000), "High",
  G404 &gt;= 150000, "Very High"
)</f>
        <v>Medium</v>
      </c>
      <c r="I404" s="6">
        <v>1</v>
      </c>
      <c r="J404" s="6">
        <v>1</v>
      </c>
      <c r="K404" s="6">
        <f t="shared" si="25"/>
        <v>2</v>
      </c>
      <c r="L404" s="8">
        <v>41501</v>
      </c>
      <c r="M404" t="str">
        <f t="shared" ca="1" si="26"/>
        <v>12 years, 6 months</v>
      </c>
      <c r="N404" s="6">
        <v>83</v>
      </c>
      <c r="O404">
        <v>5</v>
      </c>
      <c r="P404">
        <v>8</v>
      </c>
      <c r="Q404">
        <f t="shared" si="27"/>
        <v>13</v>
      </c>
      <c r="R404">
        <v>2</v>
      </c>
      <c r="S404">
        <v>5</v>
      </c>
      <c r="T404">
        <f>Table[[#This Row],[NumWebPurchases]]+Table[[#This Row],[NumStorePurchases]]</f>
        <v>7</v>
      </c>
    </row>
    <row r="405" spans="1:20" ht="12.5">
      <c r="A405" s="6">
        <v>403</v>
      </c>
      <c r="B405" s="6">
        <v>615</v>
      </c>
      <c r="C405" s="6">
        <v>1960</v>
      </c>
      <c r="D405" s="6">
        <f t="shared" si="24"/>
        <v>65</v>
      </c>
      <c r="E405" s="7" t="s">
        <v>9</v>
      </c>
      <c r="F405" s="7" t="s">
        <v>11</v>
      </c>
      <c r="G405" s="6">
        <v>30507</v>
      </c>
      <c r="H405" s="6" t="str" cm="1">
        <f t="array" ref="H405">_xlfn.IFS(
  G405 &lt; 25000, "Low",
  AND(G405 &gt;= 25000, G405 &lt; 75000), "Medium",
  AND(G405 &gt;= 75000, G405 &lt; 150000), "High",
  G405 &gt;= 150000, "Very High"
)</f>
        <v>Medium</v>
      </c>
      <c r="I405" s="6">
        <v>0</v>
      </c>
      <c r="J405" s="6">
        <v>0</v>
      </c>
      <c r="K405" s="6">
        <f t="shared" si="25"/>
        <v>0</v>
      </c>
      <c r="L405" s="8">
        <v>41344</v>
      </c>
      <c r="M405" t="str">
        <f t="shared" ca="1" si="26"/>
        <v>12 years, 11 months</v>
      </c>
      <c r="N405" s="6">
        <v>29</v>
      </c>
      <c r="O405">
        <v>36</v>
      </c>
      <c r="P405">
        <v>20</v>
      </c>
      <c r="Q405">
        <f t="shared" si="27"/>
        <v>56</v>
      </c>
      <c r="R405">
        <v>5</v>
      </c>
      <c r="S405">
        <v>4</v>
      </c>
      <c r="T405">
        <f>Table[[#This Row],[NumWebPurchases]]+Table[[#This Row],[NumStorePurchases]]</f>
        <v>9</v>
      </c>
    </row>
    <row r="406" spans="1:20" ht="12.5">
      <c r="A406" s="6">
        <v>404</v>
      </c>
      <c r="B406" s="6">
        <v>2552</v>
      </c>
      <c r="C406" s="6">
        <v>1955</v>
      </c>
      <c r="D406" s="6">
        <f t="shared" si="24"/>
        <v>70</v>
      </c>
      <c r="E406" s="7" t="s">
        <v>12</v>
      </c>
      <c r="F406" s="7" t="s">
        <v>10</v>
      </c>
      <c r="G406" s="6">
        <v>55521</v>
      </c>
      <c r="H406" s="6" t="str" cm="1">
        <f t="array" ref="H406">_xlfn.IFS(
  G406 &lt; 25000, "Low",
  AND(G406 &gt;= 25000, G406 &lt; 75000), "Medium",
  AND(G406 &gt;= 75000, G406 &lt; 150000), "High",
  G406 &gt;= 150000, "Very High"
)</f>
        <v>Medium</v>
      </c>
      <c r="I406" s="6">
        <v>1</v>
      </c>
      <c r="J406" s="6">
        <v>2</v>
      </c>
      <c r="K406" s="6">
        <f t="shared" si="25"/>
        <v>3</v>
      </c>
      <c r="L406" s="9">
        <v>41569</v>
      </c>
      <c r="M406" t="str">
        <f t="shared" ca="1" si="26"/>
        <v>12 years, 4 months</v>
      </c>
      <c r="N406" s="6">
        <v>11</v>
      </c>
      <c r="O406">
        <v>0</v>
      </c>
      <c r="P406">
        <v>0</v>
      </c>
      <c r="Q406">
        <f t="shared" si="27"/>
        <v>0</v>
      </c>
      <c r="R406">
        <v>6</v>
      </c>
      <c r="S406">
        <v>6</v>
      </c>
      <c r="T406">
        <f>Table[[#This Row],[NumWebPurchases]]+Table[[#This Row],[NumStorePurchases]]</f>
        <v>12</v>
      </c>
    </row>
    <row r="407" spans="1:20" ht="12.5">
      <c r="A407" s="6">
        <v>405</v>
      </c>
      <c r="B407" s="6">
        <v>194</v>
      </c>
      <c r="C407" s="6">
        <v>1965</v>
      </c>
      <c r="D407" s="6">
        <f t="shared" si="24"/>
        <v>60</v>
      </c>
      <c r="E407" s="7" t="s">
        <v>9</v>
      </c>
      <c r="F407" s="7" t="s">
        <v>13</v>
      </c>
      <c r="G407" s="6">
        <v>48006</v>
      </c>
      <c r="H407" s="6" t="str" cm="1">
        <f t="array" ref="H407">_xlfn.IFS(
  G407 &lt; 25000, "Low",
  AND(G407 &gt;= 25000, G407 &lt; 75000), "Medium",
  AND(G407 &gt;= 75000, G407 &lt; 150000), "High",
  G407 &gt;= 150000, "Very High"
)</f>
        <v>Medium</v>
      </c>
      <c r="I407" s="6">
        <v>1</v>
      </c>
      <c r="J407" s="6">
        <v>1</v>
      </c>
      <c r="K407" s="6">
        <f t="shared" si="25"/>
        <v>2</v>
      </c>
      <c r="L407" s="8">
        <v>41799</v>
      </c>
      <c r="M407" t="str">
        <f t="shared" ca="1" si="26"/>
        <v>11 years, 8 months</v>
      </c>
      <c r="N407" s="6">
        <v>55</v>
      </c>
      <c r="O407">
        <v>0</v>
      </c>
      <c r="P407">
        <v>2</v>
      </c>
      <c r="Q407">
        <f t="shared" si="27"/>
        <v>2</v>
      </c>
      <c r="R407">
        <v>1</v>
      </c>
      <c r="S407">
        <v>3</v>
      </c>
      <c r="T407">
        <f>Table[[#This Row],[NumWebPurchases]]+Table[[#This Row],[NumStorePurchases]]</f>
        <v>4</v>
      </c>
    </row>
    <row r="408" spans="1:20" ht="12.5">
      <c r="A408" s="6">
        <v>406</v>
      </c>
      <c r="B408" s="6">
        <v>3645</v>
      </c>
      <c r="C408" s="6">
        <v>1972</v>
      </c>
      <c r="D408" s="6">
        <f t="shared" si="24"/>
        <v>53</v>
      </c>
      <c r="E408" s="7" t="s">
        <v>12</v>
      </c>
      <c r="F408" s="7" t="s">
        <v>10</v>
      </c>
      <c r="G408" s="6">
        <v>27213</v>
      </c>
      <c r="H408" s="6" t="str" cm="1">
        <f t="array" ref="H408">_xlfn.IFS(
  G408 &lt; 25000, "Low",
  AND(G408 &gt;= 25000, G408 &lt; 75000), "Medium",
  AND(G408 &gt;= 75000, G408 &lt; 150000), "High",
  G408 &gt;= 150000, "Very High"
)</f>
        <v>Medium</v>
      </c>
      <c r="I408" s="6">
        <v>1</v>
      </c>
      <c r="J408" s="6">
        <v>0</v>
      </c>
      <c r="K408" s="6">
        <f t="shared" si="25"/>
        <v>1</v>
      </c>
      <c r="L408" s="8">
        <v>41151</v>
      </c>
      <c r="M408" t="str">
        <f t="shared" ca="1" si="26"/>
        <v>13 years, 6 months</v>
      </c>
      <c r="N408" s="6">
        <v>19</v>
      </c>
      <c r="O408">
        <v>3</v>
      </c>
      <c r="P408">
        <v>9</v>
      </c>
      <c r="Q408">
        <f t="shared" si="27"/>
        <v>12</v>
      </c>
      <c r="R408">
        <v>2</v>
      </c>
      <c r="S408">
        <v>4</v>
      </c>
      <c r="T408">
        <f>Table[[#This Row],[NumWebPurchases]]+Table[[#This Row],[NumStorePurchases]]</f>
        <v>6</v>
      </c>
    </row>
    <row r="409" spans="1:20" ht="12.5">
      <c r="A409" s="6">
        <v>407</v>
      </c>
      <c r="B409" s="6">
        <v>8890</v>
      </c>
      <c r="C409" s="6">
        <v>1971</v>
      </c>
      <c r="D409" s="6">
        <f t="shared" si="24"/>
        <v>54</v>
      </c>
      <c r="E409" s="7" t="s">
        <v>12</v>
      </c>
      <c r="F409" s="7" t="s">
        <v>15</v>
      </c>
      <c r="G409" s="6">
        <v>65808</v>
      </c>
      <c r="H409" s="6" t="str" cm="1">
        <f t="array" ref="H409">_xlfn.IFS(
  G409 &lt; 25000, "Low",
  AND(G409 &gt;= 25000, G409 &lt; 75000), "Medium",
  AND(G409 &gt;= 75000, G409 &lt; 150000), "High",
  G409 &gt;= 150000, "Very High"
)</f>
        <v>Medium</v>
      </c>
      <c r="I409" s="6">
        <v>1</v>
      </c>
      <c r="J409" s="6">
        <v>1</v>
      </c>
      <c r="K409" s="6">
        <f t="shared" si="25"/>
        <v>2</v>
      </c>
      <c r="L409" s="8">
        <v>41789</v>
      </c>
      <c r="M409" t="str">
        <f t="shared" ca="1" si="26"/>
        <v>11 years, 9 months</v>
      </c>
      <c r="N409" s="6">
        <v>1</v>
      </c>
      <c r="O409">
        <v>7</v>
      </c>
      <c r="P409">
        <v>7</v>
      </c>
      <c r="Q409">
        <f t="shared" si="27"/>
        <v>14</v>
      </c>
      <c r="R409">
        <v>5</v>
      </c>
      <c r="S409">
        <v>5</v>
      </c>
      <c r="T409">
        <f>Table[[#This Row],[NumWebPurchases]]+Table[[#This Row],[NumStorePurchases]]</f>
        <v>10</v>
      </c>
    </row>
    <row r="410" spans="1:20" ht="12.5">
      <c r="A410" s="6">
        <v>408</v>
      </c>
      <c r="B410" s="6">
        <v>5049</v>
      </c>
      <c r="C410" s="6">
        <v>1974</v>
      </c>
      <c r="D410" s="6">
        <f t="shared" si="24"/>
        <v>51</v>
      </c>
      <c r="E410" s="7" t="s">
        <v>12</v>
      </c>
      <c r="F410" s="7" t="s">
        <v>11</v>
      </c>
      <c r="G410" s="6">
        <v>30351</v>
      </c>
      <c r="H410" s="6" t="str" cm="1">
        <f t="array" ref="H410">_xlfn.IFS(
  G410 &lt; 25000, "Low",
  AND(G410 &gt;= 25000, G410 &lt; 75000), "Medium",
  AND(G410 &gt;= 75000, G410 &lt; 150000), "High",
  G410 &gt;= 150000, "Very High"
)</f>
        <v>Medium</v>
      </c>
      <c r="I410" s="6">
        <v>1</v>
      </c>
      <c r="J410" s="6">
        <v>0</v>
      </c>
      <c r="K410" s="6">
        <f t="shared" si="25"/>
        <v>1</v>
      </c>
      <c r="L410" s="8">
        <v>41431</v>
      </c>
      <c r="M410" t="str">
        <f t="shared" ca="1" si="26"/>
        <v>12 years, 9 months</v>
      </c>
      <c r="N410" s="6">
        <v>19</v>
      </c>
      <c r="O410">
        <v>0</v>
      </c>
      <c r="P410">
        <v>3</v>
      </c>
      <c r="Q410">
        <f t="shared" si="27"/>
        <v>3</v>
      </c>
      <c r="R410">
        <v>3</v>
      </c>
      <c r="S410">
        <v>2</v>
      </c>
      <c r="T410">
        <f>Table[[#This Row],[NumWebPurchases]]+Table[[#This Row],[NumStorePurchases]]</f>
        <v>5</v>
      </c>
    </row>
    <row r="411" spans="1:20" ht="12.5">
      <c r="A411" s="6">
        <v>409</v>
      </c>
      <c r="B411" s="6">
        <v>9973</v>
      </c>
      <c r="C411" s="6">
        <v>1963</v>
      </c>
      <c r="D411" s="6">
        <f t="shared" si="24"/>
        <v>62</v>
      </c>
      <c r="E411" s="7" t="s">
        <v>9</v>
      </c>
      <c r="F411" s="7" t="s">
        <v>13</v>
      </c>
      <c r="G411" s="6">
        <v>50437</v>
      </c>
      <c r="H411" s="6" t="str" cm="1">
        <f t="array" ref="H411">_xlfn.IFS(
  G411 &lt; 25000, "Low",
  AND(G411 &gt;= 25000, G411 &lt; 75000), "Medium",
  AND(G411 &gt;= 75000, G411 &lt; 150000), "High",
  G411 &gt;= 150000, "Very High"
)</f>
        <v>Medium</v>
      </c>
      <c r="I411" s="6">
        <v>0</v>
      </c>
      <c r="J411" s="6">
        <v>2</v>
      </c>
      <c r="K411" s="6">
        <f t="shared" si="25"/>
        <v>2</v>
      </c>
      <c r="L411" s="9">
        <v>41199</v>
      </c>
      <c r="M411" t="str">
        <f t="shared" ca="1" si="26"/>
        <v>13 years, 4 months</v>
      </c>
      <c r="N411" s="6">
        <v>28</v>
      </c>
      <c r="O411">
        <v>9</v>
      </c>
      <c r="P411">
        <v>9</v>
      </c>
      <c r="Q411">
        <f t="shared" si="27"/>
        <v>18</v>
      </c>
      <c r="R411">
        <v>7</v>
      </c>
      <c r="S411">
        <v>8</v>
      </c>
      <c r="T411">
        <f>Table[[#This Row],[NumWebPurchases]]+Table[[#This Row],[NumStorePurchases]]</f>
        <v>15</v>
      </c>
    </row>
    <row r="412" spans="1:20" ht="12.5">
      <c r="A412" s="6">
        <v>410</v>
      </c>
      <c r="B412" s="6">
        <v>7301</v>
      </c>
      <c r="C412" s="6">
        <v>1982</v>
      </c>
      <c r="D412" s="6">
        <f t="shared" si="24"/>
        <v>43</v>
      </c>
      <c r="E412" s="7" t="s">
        <v>17</v>
      </c>
      <c r="F412" s="7" t="s">
        <v>10</v>
      </c>
      <c r="G412" s="6">
        <v>23616</v>
      </c>
      <c r="H412" s="6" t="str" cm="1">
        <f t="array" ref="H412">_xlfn.IFS(
  G412 &lt; 25000, "Low",
  AND(G412 &gt;= 25000, G412 &lt; 75000), "Medium",
  AND(G412 &gt;= 75000, G412 &lt; 150000), "High",
  G412 &gt;= 150000, "Very High"
)</f>
        <v>Low</v>
      </c>
      <c r="I412" s="6">
        <v>1</v>
      </c>
      <c r="J412" s="6">
        <v>0</v>
      </c>
      <c r="K412" s="6">
        <f t="shared" si="25"/>
        <v>1</v>
      </c>
      <c r="L412" s="9">
        <v>41230</v>
      </c>
      <c r="M412" t="str">
        <f t="shared" ca="1" si="26"/>
        <v>13 years, 3 months</v>
      </c>
      <c r="N412" s="6">
        <v>76</v>
      </c>
      <c r="O412">
        <v>22</v>
      </c>
      <c r="P412">
        <v>7</v>
      </c>
      <c r="Q412">
        <f t="shared" si="27"/>
        <v>29</v>
      </c>
      <c r="R412">
        <v>3</v>
      </c>
      <c r="S412">
        <v>3</v>
      </c>
      <c r="T412">
        <f>Table[[#This Row],[NumWebPurchases]]+Table[[#This Row],[NumStorePurchases]]</f>
        <v>6</v>
      </c>
    </row>
    <row r="413" spans="1:20" ht="12.5">
      <c r="A413" s="6">
        <v>411</v>
      </c>
      <c r="B413" s="6">
        <v>10882</v>
      </c>
      <c r="C413" s="6">
        <v>1976</v>
      </c>
      <c r="D413" s="6">
        <f t="shared" si="24"/>
        <v>49</v>
      </c>
      <c r="E413" s="7" t="s">
        <v>9</v>
      </c>
      <c r="F413" s="7" t="s">
        <v>13</v>
      </c>
      <c r="G413" s="6">
        <v>53858</v>
      </c>
      <c r="H413" s="6" t="str" cm="1">
        <f t="array" ref="H413">_xlfn.IFS(
  G413 &lt; 25000, "Low",
  AND(G413 &gt;= 25000, G413 &lt; 75000), "Medium",
  AND(G413 &gt;= 75000, G413 &lt; 150000), "High",
  G413 &gt;= 150000, "Very High"
)</f>
        <v>Medium</v>
      </c>
      <c r="I413" s="6">
        <v>0</v>
      </c>
      <c r="J413" s="6">
        <v>1</v>
      </c>
      <c r="K413" s="6">
        <f t="shared" si="25"/>
        <v>1</v>
      </c>
      <c r="L413" s="8">
        <v>41222</v>
      </c>
      <c r="M413" t="str">
        <f t="shared" ca="1" si="26"/>
        <v>13 years, 3 months</v>
      </c>
      <c r="N413" s="6">
        <v>50</v>
      </c>
      <c r="O413">
        <v>53</v>
      </c>
      <c r="P413">
        <v>150</v>
      </c>
      <c r="Q413">
        <f t="shared" si="27"/>
        <v>203</v>
      </c>
      <c r="R413">
        <v>4</v>
      </c>
      <c r="S413">
        <v>6</v>
      </c>
      <c r="T413">
        <f>Table[[#This Row],[NumWebPurchases]]+Table[[#This Row],[NumStorePurchases]]</f>
        <v>10</v>
      </c>
    </row>
    <row r="414" spans="1:20" ht="12.5">
      <c r="A414" s="6">
        <v>412</v>
      </c>
      <c r="B414" s="6">
        <v>7030</v>
      </c>
      <c r="C414" s="6">
        <v>1955</v>
      </c>
      <c r="D414" s="6">
        <f t="shared" si="24"/>
        <v>70</v>
      </c>
      <c r="E414" s="7" t="s">
        <v>12</v>
      </c>
      <c r="F414" s="7" t="s">
        <v>13</v>
      </c>
      <c r="G414" s="6">
        <v>66465</v>
      </c>
      <c r="H414" s="6" t="str" cm="1">
        <f t="array" ref="H414">_xlfn.IFS(
  G414 &lt; 25000, "Low",
  AND(G414 &gt;= 25000, G414 &lt; 75000), "Medium",
  AND(G414 &gt;= 75000, G414 &lt; 150000), "High",
  G414 &gt;= 150000, "Very High"
)</f>
        <v>Medium</v>
      </c>
      <c r="I414" s="6">
        <v>0</v>
      </c>
      <c r="J414" s="6">
        <v>1</v>
      </c>
      <c r="K414" s="6">
        <f t="shared" si="25"/>
        <v>1</v>
      </c>
      <c r="L414" s="8">
        <v>41363</v>
      </c>
      <c r="M414" t="str">
        <f t="shared" ca="1" si="26"/>
        <v>12 years, 11 months</v>
      </c>
      <c r="N414" s="6">
        <v>1</v>
      </c>
      <c r="O414">
        <v>0</v>
      </c>
      <c r="P414">
        <v>29</v>
      </c>
      <c r="Q414">
        <f t="shared" si="27"/>
        <v>29</v>
      </c>
      <c r="R414">
        <v>11</v>
      </c>
      <c r="S414">
        <v>12</v>
      </c>
      <c r="T414">
        <f>Table[[#This Row],[NumWebPurchases]]+Table[[#This Row],[NumStorePurchases]]</f>
        <v>23</v>
      </c>
    </row>
    <row r="415" spans="1:20" ht="12.5">
      <c r="A415" s="6">
        <v>413</v>
      </c>
      <c r="B415" s="6">
        <v>7422</v>
      </c>
      <c r="C415" s="6">
        <v>1987</v>
      </c>
      <c r="D415" s="6">
        <f t="shared" si="24"/>
        <v>38</v>
      </c>
      <c r="E415" s="7" t="s">
        <v>9</v>
      </c>
      <c r="F415" s="7" t="s">
        <v>10</v>
      </c>
      <c r="G415" s="6">
        <v>46923</v>
      </c>
      <c r="H415" s="6" t="str" cm="1">
        <f t="array" ref="H415">_xlfn.IFS(
  G415 &lt; 25000, "Low",
  AND(G415 &gt;= 25000, G415 &lt; 75000), "Medium",
  AND(G415 &gt;= 75000, G415 &lt; 150000), "High",
  G415 &gt;= 150000, "Very High"
)</f>
        <v>Medium</v>
      </c>
      <c r="I415" s="6">
        <v>1</v>
      </c>
      <c r="J415" s="6">
        <v>0</v>
      </c>
      <c r="K415" s="6">
        <f t="shared" si="25"/>
        <v>1</v>
      </c>
      <c r="L415" s="8">
        <v>41143</v>
      </c>
      <c r="M415" t="str">
        <f t="shared" ca="1" si="26"/>
        <v>13 years, 6 months</v>
      </c>
      <c r="N415" s="6">
        <v>90</v>
      </c>
      <c r="O415">
        <v>44</v>
      </c>
      <c r="P415">
        <v>78</v>
      </c>
      <c r="Q415">
        <f t="shared" si="27"/>
        <v>122</v>
      </c>
      <c r="R415">
        <v>5</v>
      </c>
      <c r="S415">
        <v>7</v>
      </c>
      <c r="T415">
        <f>Table[[#This Row],[NumWebPurchases]]+Table[[#This Row],[NumStorePurchases]]</f>
        <v>12</v>
      </c>
    </row>
    <row r="416" spans="1:20" ht="12.5">
      <c r="A416" s="6">
        <v>414</v>
      </c>
      <c r="B416" s="6">
        <v>3523</v>
      </c>
      <c r="C416" s="6">
        <v>1962</v>
      </c>
      <c r="D416" s="6">
        <f t="shared" si="24"/>
        <v>63</v>
      </c>
      <c r="E416" s="7" t="s">
        <v>9</v>
      </c>
      <c r="F416" s="7" t="s">
        <v>11</v>
      </c>
      <c r="G416" s="6">
        <v>75072</v>
      </c>
      <c r="H416" s="6" t="str" cm="1">
        <f t="array" ref="H416">_xlfn.IFS(
  G416 &lt; 25000, "Low",
  AND(G416 &gt;= 25000, G416 &lt; 75000), "Medium",
  AND(G416 &gt;= 75000, G416 &lt; 150000), "High",
  G416 &gt;= 150000, "Very High"
)</f>
        <v>High</v>
      </c>
      <c r="I416" s="6">
        <v>0</v>
      </c>
      <c r="J416" s="6">
        <v>1</v>
      </c>
      <c r="K416" s="6">
        <f t="shared" si="25"/>
        <v>1</v>
      </c>
      <c r="L416" s="8">
        <v>41297</v>
      </c>
      <c r="M416" t="str">
        <f t="shared" ca="1" si="26"/>
        <v>13 years, 1 months</v>
      </c>
      <c r="N416" s="6">
        <v>83</v>
      </c>
      <c r="O416">
        <v>34</v>
      </c>
      <c r="P416">
        <v>22</v>
      </c>
      <c r="Q416">
        <f t="shared" si="27"/>
        <v>56</v>
      </c>
      <c r="R416">
        <v>5</v>
      </c>
      <c r="S416">
        <v>8</v>
      </c>
      <c r="T416">
        <f>Table[[#This Row],[NumWebPurchases]]+Table[[#This Row],[NumStorePurchases]]</f>
        <v>13</v>
      </c>
    </row>
    <row r="417" spans="1:20" ht="12.5">
      <c r="A417" s="6">
        <v>415</v>
      </c>
      <c r="B417" s="6">
        <v>7106</v>
      </c>
      <c r="C417" s="6">
        <v>1943</v>
      </c>
      <c r="D417" s="6">
        <f t="shared" si="24"/>
        <v>82</v>
      </c>
      <c r="E417" s="7" t="s">
        <v>12</v>
      </c>
      <c r="F417" s="7" t="s">
        <v>13</v>
      </c>
      <c r="G417" s="6">
        <v>75865</v>
      </c>
      <c r="H417" s="6" t="str" cm="1">
        <f t="array" ref="H417">_xlfn.IFS(
  G417 &lt; 25000, "Low",
  AND(G417 &gt;= 25000, G417 &lt; 75000), "Medium",
  AND(G417 &gt;= 75000, G417 &lt; 150000), "High",
  G417 &gt;= 150000, "Very High"
)</f>
        <v>High</v>
      </c>
      <c r="I417" s="6">
        <v>0</v>
      </c>
      <c r="J417" s="6">
        <v>0</v>
      </c>
      <c r="K417" s="6">
        <f t="shared" si="25"/>
        <v>0</v>
      </c>
      <c r="L417" s="8">
        <v>41729</v>
      </c>
      <c r="M417" t="str">
        <f t="shared" ca="1" si="26"/>
        <v>11 years, 11 months</v>
      </c>
      <c r="N417" s="6">
        <v>73</v>
      </c>
      <c r="O417">
        <v>0</v>
      </c>
      <c r="P417">
        <v>0</v>
      </c>
      <c r="Q417">
        <f t="shared" si="27"/>
        <v>0</v>
      </c>
      <c r="R417">
        <v>3</v>
      </c>
      <c r="S417">
        <v>10</v>
      </c>
      <c r="T417">
        <f>Table[[#This Row],[NumWebPurchases]]+Table[[#This Row],[NumStorePurchases]]</f>
        <v>13</v>
      </c>
    </row>
    <row r="418" spans="1:20" ht="12.5">
      <c r="A418" s="6">
        <v>416</v>
      </c>
      <c r="B418" s="6">
        <v>6504</v>
      </c>
      <c r="C418" s="6">
        <v>1975</v>
      </c>
      <c r="D418" s="6">
        <f t="shared" si="24"/>
        <v>50</v>
      </c>
      <c r="E418" s="7" t="s">
        <v>17</v>
      </c>
      <c r="F418" s="7" t="s">
        <v>11</v>
      </c>
      <c r="G418" s="6">
        <v>19789</v>
      </c>
      <c r="H418" s="6" t="str" cm="1">
        <f t="array" ref="H418">_xlfn.IFS(
  G418 &lt; 25000, "Low",
  AND(G418 &gt;= 25000, G418 &lt; 75000), "Medium",
  AND(G418 &gt;= 75000, G418 &lt; 150000), "High",
  G418 &gt;= 150000, "Very High"
)</f>
        <v>Low</v>
      </c>
      <c r="I418" s="6">
        <v>1</v>
      </c>
      <c r="J418" s="6">
        <v>0</v>
      </c>
      <c r="K418" s="6">
        <f t="shared" si="25"/>
        <v>1</v>
      </c>
      <c r="L418" s="9">
        <v>41598</v>
      </c>
      <c r="M418" t="str">
        <f t="shared" ca="1" si="26"/>
        <v>12 years, 3 months</v>
      </c>
      <c r="N418" s="6">
        <v>24</v>
      </c>
      <c r="O418">
        <v>5</v>
      </c>
      <c r="P418">
        <v>6</v>
      </c>
      <c r="Q418">
        <f t="shared" si="27"/>
        <v>11</v>
      </c>
      <c r="R418">
        <v>2</v>
      </c>
      <c r="S418">
        <v>3</v>
      </c>
      <c r="T418">
        <f>Table[[#This Row],[NumWebPurchases]]+Table[[#This Row],[NumStorePurchases]]</f>
        <v>5</v>
      </c>
    </row>
    <row r="419" spans="1:20" ht="12.5">
      <c r="A419" s="6">
        <v>417</v>
      </c>
      <c r="B419" s="6">
        <v>5067</v>
      </c>
      <c r="C419" s="6">
        <v>1994</v>
      </c>
      <c r="D419" s="6">
        <f t="shared" si="24"/>
        <v>31</v>
      </c>
      <c r="E419" s="7" t="s">
        <v>9</v>
      </c>
      <c r="F419" s="7" t="s">
        <v>11</v>
      </c>
      <c r="G419" s="6">
        <v>80134</v>
      </c>
      <c r="H419" s="6" t="str" cm="1">
        <f t="array" ref="H419">_xlfn.IFS(
  G419 &lt; 25000, "Low",
  AND(G419 &gt;= 25000, G419 &lt; 75000), "Medium",
  AND(G419 &gt;= 75000, G419 &lt; 150000), "High",
  G419 &gt;= 150000, "Very High"
)</f>
        <v>High</v>
      </c>
      <c r="I419" s="6">
        <v>0</v>
      </c>
      <c r="J419" s="6">
        <v>0</v>
      </c>
      <c r="K419" s="6">
        <f t="shared" si="25"/>
        <v>0</v>
      </c>
      <c r="L419" s="8">
        <v>41684</v>
      </c>
      <c r="M419" t="str">
        <f t="shared" ca="1" si="26"/>
        <v>12 years, 0 months</v>
      </c>
      <c r="N419" s="6">
        <v>11</v>
      </c>
      <c r="O419">
        <v>26</v>
      </c>
      <c r="P419">
        <v>26</v>
      </c>
      <c r="Q419">
        <f t="shared" si="27"/>
        <v>52</v>
      </c>
      <c r="R419">
        <v>2</v>
      </c>
      <c r="S419">
        <v>11</v>
      </c>
      <c r="T419">
        <f>Table[[#This Row],[NumWebPurchases]]+Table[[#This Row],[NumStorePurchases]]</f>
        <v>13</v>
      </c>
    </row>
    <row r="420" spans="1:20" ht="12.5">
      <c r="A420" s="6">
        <v>418</v>
      </c>
      <c r="B420" s="6">
        <v>4216</v>
      </c>
      <c r="C420" s="6">
        <v>1981</v>
      </c>
      <c r="D420" s="6">
        <f t="shared" si="24"/>
        <v>44</v>
      </c>
      <c r="E420" s="7" t="s">
        <v>9</v>
      </c>
      <c r="F420" s="7" t="s">
        <v>10</v>
      </c>
      <c r="G420" s="6">
        <v>91065</v>
      </c>
      <c r="H420" s="6" t="str" cm="1">
        <f t="array" ref="H420">_xlfn.IFS(
  G420 &lt; 25000, "Low",
  AND(G420 &gt;= 25000, G420 &lt; 75000), "Medium",
  AND(G420 &gt;= 75000, G420 &lt; 150000), "High",
  G420 &gt;= 150000, "Very High"
)</f>
        <v>High</v>
      </c>
      <c r="I420" s="6">
        <v>0</v>
      </c>
      <c r="J420" s="6">
        <v>0</v>
      </c>
      <c r="K420" s="6">
        <f t="shared" si="25"/>
        <v>0</v>
      </c>
      <c r="L420" s="8">
        <v>41327</v>
      </c>
      <c r="M420" t="str">
        <f t="shared" ca="1" si="26"/>
        <v>13 years, 0 months</v>
      </c>
      <c r="N420" s="6">
        <v>33</v>
      </c>
      <c r="O420">
        <v>114</v>
      </c>
      <c r="P420">
        <v>137</v>
      </c>
      <c r="Q420">
        <f t="shared" si="27"/>
        <v>251</v>
      </c>
      <c r="R420">
        <v>7</v>
      </c>
      <c r="S420">
        <v>9</v>
      </c>
      <c r="T420">
        <f>Table[[#This Row],[NumWebPurchases]]+Table[[#This Row],[NumStorePurchases]]</f>
        <v>16</v>
      </c>
    </row>
    <row r="421" spans="1:20" ht="12.5">
      <c r="A421" s="6">
        <v>419</v>
      </c>
      <c r="B421" s="6">
        <v>8581</v>
      </c>
      <c r="C421" s="6">
        <v>1971</v>
      </c>
      <c r="D421" s="6">
        <f t="shared" si="24"/>
        <v>54</v>
      </c>
      <c r="E421" s="7" t="s">
        <v>14</v>
      </c>
      <c r="F421" s="7" t="s">
        <v>13</v>
      </c>
      <c r="G421" s="6">
        <v>49505</v>
      </c>
      <c r="H421" s="6" t="str" cm="1">
        <f t="array" ref="H421">_xlfn.IFS(
  G421 &lt; 25000, "Low",
  AND(G421 &gt;= 25000, G421 &lt; 75000), "Medium",
  AND(G421 &gt;= 75000, G421 &lt; 150000), "High",
  G421 &gt;= 150000, "Very High"
)</f>
        <v>Medium</v>
      </c>
      <c r="I421" s="6">
        <v>1</v>
      </c>
      <c r="J421" s="6">
        <v>1</v>
      </c>
      <c r="K421" s="6">
        <f t="shared" si="25"/>
        <v>2</v>
      </c>
      <c r="L421" s="8">
        <v>41338</v>
      </c>
      <c r="M421" t="str">
        <f t="shared" ca="1" si="26"/>
        <v>13 years, 0 months</v>
      </c>
      <c r="N421" s="6">
        <v>4</v>
      </c>
      <c r="O421">
        <v>0</v>
      </c>
      <c r="P421">
        <v>0</v>
      </c>
      <c r="Q421">
        <f t="shared" si="27"/>
        <v>0</v>
      </c>
      <c r="R421">
        <v>10</v>
      </c>
      <c r="S421">
        <v>8</v>
      </c>
      <c r="T421">
        <f>Table[[#This Row],[NumWebPurchases]]+Table[[#This Row],[NumStorePurchases]]</f>
        <v>18</v>
      </c>
    </row>
    <row r="422" spans="1:20" ht="12.5">
      <c r="A422" s="6">
        <v>420</v>
      </c>
      <c r="B422" s="6">
        <v>5929</v>
      </c>
      <c r="C422" s="6">
        <v>1973</v>
      </c>
      <c r="D422" s="6">
        <f t="shared" si="24"/>
        <v>52</v>
      </c>
      <c r="E422" s="7" t="s">
        <v>12</v>
      </c>
      <c r="F422" s="7" t="s">
        <v>13</v>
      </c>
      <c r="G422" s="6">
        <v>37401</v>
      </c>
      <c r="H422" s="6" t="str" cm="1">
        <f t="array" ref="H422">_xlfn.IFS(
  G422 &lt; 25000, "Low",
  AND(G422 &gt;= 25000, G422 &lt; 75000), "Medium",
  AND(G422 &gt;= 75000, G422 &lt; 150000), "High",
  G422 &gt;= 150000, "Very High"
)</f>
        <v>Medium</v>
      </c>
      <c r="I422" s="6">
        <v>1</v>
      </c>
      <c r="J422" s="6">
        <v>0</v>
      </c>
      <c r="K422" s="6">
        <f t="shared" si="25"/>
        <v>1</v>
      </c>
      <c r="L422" s="8">
        <v>41765</v>
      </c>
      <c r="M422" t="str">
        <f t="shared" ca="1" si="26"/>
        <v>11 years, 10 months</v>
      </c>
      <c r="N422" s="6">
        <v>14</v>
      </c>
      <c r="O422">
        <v>3</v>
      </c>
      <c r="P422">
        <v>1</v>
      </c>
      <c r="Q422">
        <f t="shared" si="27"/>
        <v>4</v>
      </c>
      <c r="R422">
        <v>2</v>
      </c>
      <c r="S422">
        <v>3</v>
      </c>
      <c r="T422">
        <f>Table[[#This Row],[NumWebPurchases]]+Table[[#This Row],[NumStorePurchases]]</f>
        <v>5</v>
      </c>
    </row>
    <row r="423" spans="1:20" ht="12.5">
      <c r="A423" s="6">
        <v>421</v>
      </c>
      <c r="B423" s="6">
        <v>3129</v>
      </c>
      <c r="C423" s="6">
        <v>1983</v>
      </c>
      <c r="D423" s="6">
        <f t="shared" si="24"/>
        <v>42</v>
      </c>
      <c r="E423" s="7" t="s">
        <v>9</v>
      </c>
      <c r="F423" s="7" t="s">
        <v>13</v>
      </c>
      <c r="G423" s="6">
        <v>30096</v>
      </c>
      <c r="H423" s="6" t="str" cm="1">
        <f t="array" ref="H423">_xlfn.IFS(
  G423 &lt; 25000, "Low",
  AND(G423 &gt;= 25000, G423 &lt; 75000), "Medium",
  AND(G423 &gt;= 75000, G423 &lt; 150000), "High",
  G423 &gt;= 150000, "Very High"
)</f>
        <v>Medium</v>
      </c>
      <c r="I423" s="6">
        <v>1</v>
      </c>
      <c r="J423" s="6">
        <v>0</v>
      </c>
      <c r="K423" s="6">
        <f t="shared" si="25"/>
        <v>1</v>
      </c>
      <c r="L423" s="8">
        <v>41781</v>
      </c>
      <c r="M423" t="str">
        <f t="shared" ca="1" si="26"/>
        <v>11 years, 9 months</v>
      </c>
      <c r="N423" s="6">
        <v>30</v>
      </c>
      <c r="O423">
        <v>3</v>
      </c>
      <c r="P423">
        <v>5</v>
      </c>
      <c r="Q423">
        <f t="shared" si="27"/>
        <v>8</v>
      </c>
      <c r="R423">
        <v>2</v>
      </c>
      <c r="S423">
        <v>3</v>
      </c>
      <c r="T423">
        <f>Table[[#This Row],[NumWebPurchases]]+Table[[#This Row],[NumStorePurchases]]</f>
        <v>5</v>
      </c>
    </row>
    <row r="424" spans="1:20" ht="12.5">
      <c r="A424" s="6">
        <v>422</v>
      </c>
      <c r="B424" s="6">
        <v>6528</v>
      </c>
      <c r="C424" s="6">
        <v>1982</v>
      </c>
      <c r="D424" s="6">
        <f t="shared" si="24"/>
        <v>43</v>
      </c>
      <c r="E424" s="7" t="s">
        <v>14</v>
      </c>
      <c r="F424" s="7" t="s">
        <v>11</v>
      </c>
      <c r="G424" s="6">
        <v>18492</v>
      </c>
      <c r="H424" s="6" t="str" cm="1">
        <f t="array" ref="H424">_xlfn.IFS(
  G424 &lt; 25000, "Low",
  AND(G424 &gt;= 25000, G424 &lt; 75000), "Medium",
  AND(G424 &gt;= 75000, G424 &lt; 150000), "High",
  G424 &gt;= 150000, "Very High"
)</f>
        <v>Low</v>
      </c>
      <c r="I424" s="6">
        <v>1</v>
      </c>
      <c r="J424" s="6">
        <v>0</v>
      </c>
      <c r="K424" s="6">
        <f t="shared" si="25"/>
        <v>1</v>
      </c>
      <c r="L424" s="8">
        <v>41795</v>
      </c>
      <c r="M424" t="str">
        <f t="shared" ca="1" si="26"/>
        <v>11 years, 9 months</v>
      </c>
      <c r="N424" s="6">
        <v>75</v>
      </c>
      <c r="O424">
        <v>2</v>
      </c>
      <c r="P424">
        <v>1</v>
      </c>
      <c r="Q424">
        <f t="shared" si="27"/>
        <v>3</v>
      </c>
      <c r="R424">
        <v>1</v>
      </c>
      <c r="S424">
        <v>2</v>
      </c>
      <c r="T424">
        <f>Table[[#This Row],[NumWebPurchases]]+Table[[#This Row],[NumStorePurchases]]</f>
        <v>3</v>
      </c>
    </row>
    <row r="425" spans="1:20" ht="12.5">
      <c r="A425" s="6">
        <v>423</v>
      </c>
      <c r="B425" s="6">
        <v>1361</v>
      </c>
      <c r="C425" s="6">
        <v>1974</v>
      </c>
      <c r="D425" s="6">
        <f t="shared" si="24"/>
        <v>51</v>
      </c>
      <c r="E425" s="7" t="s">
        <v>14</v>
      </c>
      <c r="F425" s="7" t="s">
        <v>13</v>
      </c>
      <c r="G425" s="6">
        <v>82584</v>
      </c>
      <c r="H425" s="6" t="str" cm="1">
        <f t="array" ref="H425">_xlfn.IFS(
  G425 &lt; 25000, "Low",
  AND(G425 &gt;= 25000, G425 &lt; 75000), "Medium",
  AND(G425 &gt;= 75000, G425 &lt; 150000), "High",
  G425 &gt;= 150000, "Very High"
)</f>
        <v>High</v>
      </c>
      <c r="I425" s="6">
        <v>0</v>
      </c>
      <c r="J425" s="6">
        <v>0</v>
      </c>
      <c r="K425" s="6">
        <f t="shared" si="25"/>
        <v>0</v>
      </c>
      <c r="L425" s="8">
        <v>41429</v>
      </c>
      <c r="M425" t="str">
        <f t="shared" ca="1" si="26"/>
        <v>12 years, 9 months</v>
      </c>
      <c r="N425" s="6">
        <v>26</v>
      </c>
      <c r="O425">
        <v>68</v>
      </c>
      <c r="P425">
        <v>91</v>
      </c>
      <c r="Q425">
        <f t="shared" si="27"/>
        <v>159</v>
      </c>
      <c r="R425">
        <v>3</v>
      </c>
      <c r="S425">
        <v>8</v>
      </c>
      <c r="T425">
        <f>Table[[#This Row],[NumWebPurchases]]+Table[[#This Row],[NumStorePurchases]]</f>
        <v>11</v>
      </c>
    </row>
    <row r="426" spans="1:20" ht="12.5">
      <c r="A426" s="6">
        <v>424</v>
      </c>
      <c r="B426" s="6">
        <v>6932</v>
      </c>
      <c r="C426" s="6">
        <v>1941</v>
      </c>
      <c r="D426" s="6">
        <f t="shared" si="24"/>
        <v>84</v>
      </c>
      <c r="E426" s="7" t="s">
        <v>12</v>
      </c>
      <c r="F426" s="7" t="s">
        <v>13</v>
      </c>
      <c r="G426" s="6">
        <v>93027</v>
      </c>
      <c r="H426" s="6" t="str" cm="1">
        <f t="array" ref="H426">_xlfn.IFS(
  G426 &lt; 25000, "Low",
  AND(G426 &gt;= 25000, G426 &lt; 75000), "Medium",
  AND(G426 &gt;= 75000, G426 &lt; 150000), "High",
  G426 &gt;= 150000, "Very High"
)</f>
        <v>High</v>
      </c>
      <c r="I426" s="6">
        <v>0</v>
      </c>
      <c r="J426" s="6">
        <v>0</v>
      </c>
      <c r="K426" s="6">
        <f t="shared" si="25"/>
        <v>0</v>
      </c>
      <c r="L426" s="8">
        <v>41377</v>
      </c>
      <c r="M426" t="str">
        <f t="shared" ca="1" si="26"/>
        <v>12 years, 10 months</v>
      </c>
      <c r="N426" s="6">
        <v>77</v>
      </c>
      <c r="O426">
        <v>42</v>
      </c>
      <c r="P426">
        <v>0</v>
      </c>
      <c r="Q426">
        <f t="shared" si="27"/>
        <v>42</v>
      </c>
      <c r="R426">
        <v>7</v>
      </c>
      <c r="S426">
        <v>5</v>
      </c>
      <c r="T426">
        <f>Table[[#This Row],[NumWebPurchases]]+Table[[#This Row],[NumStorePurchases]]</f>
        <v>12</v>
      </c>
    </row>
    <row r="427" spans="1:20" ht="12.5">
      <c r="A427" s="6">
        <v>425</v>
      </c>
      <c r="B427" s="6">
        <v>7284</v>
      </c>
      <c r="C427" s="6">
        <v>1953</v>
      </c>
      <c r="D427" s="6">
        <f t="shared" si="24"/>
        <v>72</v>
      </c>
      <c r="E427" s="7" t="s">
        <v>9</v>
      </c>
      <c r="F427" s="7" t="s">
        <v>13</v>
      </c>
      <c r="G427" s="6">
        <v>48686</v>
      </c>
      <c r="H427" s="6" t="str" cm="1">
        <f t="array" ref="H427">_xlfn.IFS(
  G427 &lt; 25000, "Low",
  AND(G427 &gt;= 25000, G427 &lt; 75000), "Medium",
  AND(G427 &gt;= 75000, G427 &lt; 150000), "High",
  G427 &gt;= 150000, "Very High"
)</f>
        <v>Medium</v>
      </c>
      <c r="I427" s="6">
        <v>1</v>
      </c>
      <c r="J427" s="6">
        <v>2</v>
      </c>
      <c r="K427" s="6">
        <f t="shared" si="25"/>
        <v>3</v>
      </c>
      <c r="L427" s="8">
        <v>41612</v>
      </c>
      <c r="M427" t="str">
        <f t="shared" ca="1" si="26"/>
        <v>12 years, 3 months</v>
      </c>
      <c r="N427" s="6">
        <v>8</v>
      </c>
      <c r="O427">
        <v>0</v>
      </c>
      <c r="P427">
        <v>0</v>
      </c>
      <c r="Q427">
        <f t="shared" si="27"/>
        <v>0</v>
      </c>
      <c r="R427">
        <v>1</v>
      </c>
      <c r="S427">
        <v>2</v>
      </c>
      <c r="T427">
        <f>Table[[#This Row],[NumWebPurchases]]+Table[[#This Row],[NumStorePurchases]]</f>
        <v>3</v>
      </c>
    </row>
    <row r="428" spans="1:20" ht="12.5">
      <c r="A428" s="6">
        <v>426</v>
      </c>
      <c r="B428" s="6">
        <v>1340</v>
      </c>
      <c r="C428" s="6">
        <v>1986</v>
      </c>
      <c r="D428" s="6">
        <f t="shared" si="24"/>
        <v>39</v>
      </c>
      <c r="E428" s="7" t="s">
        <v>9</v>
      </c>
      <c r="F428" s="7" t="s">
        <v>13</v>
      </c>
      <c r="G428" s="6">
        <v>92910</v>
      </c>
      <c r="H428" s="6" t="str" cm="1">
        <f t="array" ref="H428">_xlfn.IFS(
  G428 &lt; 25000, "Low",
  AND(G428 &gt;= 25000, G428 &lt; 75000), "Medium",
  AND(G428 &gt;= 75000, G428 &lt; 150000), "High",
  G428 &gt;= 150000, "Very High"
)</f>
        <v>High</v>
      </c>
      <c r="I428" s="6">
        <v>0</v>
      </c>
      <c r="J428" s="6">
        <v>0</v>
      </c>
      <c r="K428" s="6">
        <f t="shared" si="25"/>
        <v>0</v>
      </c>
      <c r="L428" s="8">
        <v>41753</v>
      </c>
      <c r="M428" t="str">
        <f t="shared" ca="1" si="26"/>
        <v>11 years, 10 months</v>
      </c>
      <c r="N428" s="6">
        <v>42</v>
      </c>
      <c r="O428">
        <v>137</v>
      </c>
      <c r="P428">
        <v>103</v>
      </c>
      <c r="Q428">
        <f t="shared" si="27"/>
        <v>240</v>
      </c>
      <c r="R428">
        <v>6</v>
      </c>
      <c r="S428">
        <v>13</v>
      </c>
      <c r="T428">
        <f>Table[[#This Row],[NumWebPurchases]]+Table[[#This Row],[NumStorePurchases]]</f>
        <v>19</v>
      </c>
    </row>
    <row r="429" spans="1:20" ht="12.5">
      <c r="A429" s="6">
        <v>427</v>
      </c>
      <c r="B429" s="6">
        <v>8746</v>
      </c>
      <c r="C429" s="6">
        <v>1989</v>
      </c>
      <c r="D429" s="6">
        <f t="shared" si="24"/>
        <v>36</v>
      </c>
      <c r="E429" s="7" t="s">
        <v>9</v>
      </c>
      <c r="F429" s="7" t="s">
        <v>13</v>
      </c>
      <c r="G429" s="6">
        <v>75433</v>
      </c>
      <c r="H429" s="6" t="str" cm="1">
        <f t="array" ref="H429">_xlfn.IFS(
  G429 &lt; 25000, "Low",
  AND(G429 &gt;= 25000, G429 &lt; 75000), "Medium",
  AND(G429 &gt;= 75000, G429 &lt; 150000), "High",
  G429 &gt;= 150000, "Very High"
)</f>
        <v>High</v>
      </c>
      <c r="I429" s="6">
        <v>1</v>
      </c>
      <c r="J429" s="6">
        <v>0</v>
      </c>
      <c r="K429" s="6">
        <f t="shared" si="25"/>
        <v>1</v>
      </c>
      <c r="L429" s="8">
        <v>41734</v>
      </c>
      <c r="M429" t="str">
        <f t="shared" ca="1" si="26"/>
        <v>11 years, 11 months</v>
      </c>
      <c r="N429" s="6">
        <v>28</v>
      </c>
      <c r="O429">
        <v>0</v>
      </c>
      <c r="P429">
        <v>34</v>
      </c>
      <c r="Q429">
        <f t="shared" si="27"/>
        <v>34</v>
      </c>
      <c r="R429">
        <v>2</v>
      </c>
      <c r="S429">
        <v>10</v>
      </c>
      <c r="T429">
        <f>Table[[#This Row],[NumWebPurchases]]+Table[[#This Row],[NumStorePurchases]]</f>
        <v>12</v>
      </c>
    </row>
    <row r="430" spans="1:20" ht="12.5">
      <c r="A430" s="6">
        <v>428</v>
      </c>
      <c r="B430" s="6">
        <v>5987</v>
      </c>
      <c r="C430" s="6">
        <v>1989</v>
      </c>
      <c r="D430" s="6">
        <f t="shared" si="24"/>
        <v>36</v>
      </c>
      <c r="E430" s="7" t="s">
        <v>17</v>
      </c>
      <c r="F430" s="7" t="s">
        <v>11</v>
      </c>
      <c r="G430" s="6">
        <v>10404</v>
      </c>
      <c r="H430" s="6" t="str" cm="1">
        <f t="array" ref="H430">_xlfn.IFS(
  G430 &lt; 25000, "Low",
  AND(G430 &gt;= 25000, G430 &lt; 75000), "Medium",
  AND(G430 &gt;= 75000, G430 &lt; 150000), "High",
  G430 &gt;= 150000, "Very High"
)</f>
        <v>Low</v>
      </c>
      <c r="I430" s="6">
        <v>1</v>
      </c>
      <c r="J430" s="6">
        <v>0</v>
      </c>
      <c r="K430" s="6">
        <f t="shared" si="25"/>
        <v>1</v>
      </c>
      <c r="L430" s="8">
        <v>41763</v>
      </c>
      <c r="M430" t="str">
        <f t="shared" ca="1" si="26"/>
        <v>11 years, 10 months</v>
      </c>
      <c r="N430" s="6">
        <v>52</v>
      </c>
      <c r="O430">
        <v>2</v>
      </c>
      <c r="P430">
        <v>6</v>
      </c>
      <c r="Q430">
        <f t="shared" si="27"/>
        <v>8</v>
      </c>
      <c r="R430">
        <v>1</v>
      </c>
      <c r="S430">
        <v>4</v>
      </c>
      <c r="T430">
        <f>Table[[#This Row],[NumWebPurchases]]+Table[[#This Row],[NumStorePurchases]]</f>
        <v>5</v>
      </c>
    </row>
    <row r="431" spans="1:20" ht="12.5">
      <c r="A431" s="6">
        <v>429</v>
      </c>
      <c r="B431" s="6">
        <v>3767</v>
      </c>
      <c r="C431" s="6">
        <v>1968</v>
      </c>
      <c r="D431" s="6">
        <f t="shared" si="24"/>
        <v>57</v>
      </c>
      <c r="E431" s="7" t="s">
        <v>9</v>
      </c>
      <c r="F431" s="7" t="s">
        <v>13</v>
      </c>
      <c r="G431" s="6">
        <v>61314</v>
      </c>
      <c r="H431" s="6" t="str" cm="1">
        <f t="array" ref="H431">_xlfn.IFS(
  G431 &lt; 25000, "Low",
  AND(G431 &gt;= 25000, G431 &lt; 75000), "Medium",
  AND(G431 &gt;= 75000, G431 &lt; 150000), "High",
  G431 &gt;= 150000, "Very High"
)</f>
        <v>Medium</v>
      </c>
      <c r="I431" s="6">
        <v>0</v>
      </c>
      <c r="J431" s="6">
        <v>1</v>
      </c>
      <c r="K431" s="6">
        <f t="shared" si="25"/>
        <v>1</v>
      </c>
      <c r="L431" s="8">
        <v>41389</v>
      </c>
      <c r="M431" t="str">
        <f t="shared" ca="1" si="26"/>
        <v>12 years, 10 months</v>
      </c>
      <c r="N431" s="6">
        <v>1</v>
      </c>
      <c r="O431">
        <v>0</v>
      </c>
      <c r="P431">
        <v>172</v>
      </c>
      <c r="Q431">
        <f t="shared" si="27"/>
        <v>172</v>
      </c>
      <c r="R431">
        <v>5</v>
      </c>
      <c r="S431">
        <v>12</v>
      </c>
      <c r="T431">
        <f>Table[[#This Row],[NumWebPurchases]]+Table[[#This Row],[NumStorePurchases]]</f>
        <v>17</v>
      </c>
    </row>
    <row r="432" spans="1:20" ht="12.5">
      <c r="A432" s="6">
        <v>430</v>
      </c>
      <c r="B432" s="6">
        <v>3725</v>
      </c>
      <c r="C432" s="6">
        <v>1961</v>
      </c>
      <c r="D432" s="6">
        <f t="shared" si="24"/>
        <v>64</v>
      </c>
      <c r="E432" s="7" t="s">
        <v>12</v>
      </c>
      <c r="F432" s="7" t="s">
        <v>10</v>
      </c>
      <c r="G432" s="6">
        <v>84865</v>
      </c>
      <c r="H432" s="6" t="str" cm="1">
        <f t="array" ref="H432">_xlfn.IFS(
  G432 &lt; 25000, "Low",
  AND(G432 &gt;= 25000, G432 &lt; 75000), "Medium",
  AND(G432 &gt;= 75000, G432 &lt; 150000), "High",
  G432 &gt;= 150000, "Very High"
)</f>
        <v>High</v>
      </c>
      <c r="I432" s="6">
        <v>0</v>
      </c>
      <c r="J432" s="6">
        <v>0</v>
      </c>
      <c r="K432" s="6">
        <f t="shared" si="25"/>
        <v>0</v>
      </c>
      <c r="L432" s="8">
        <v>41403</v>
      </c>
      <c r="M432" t="str">
        <f t="shared" ca="1" si="26"/>
        <v>12 years, 9 months</v>
      </c>
      <c r="N432" s="6">
        <v>1</v>
      </c>
      <c r="O432">
        <v>16</v>
      </c>
      <c r="P432">
        <v>16</v>
      </c>
      <c r="Q432">
        <f t="shared" si="27"/>
        <v>32</v>
      </c>
      <c r="R432">
        <v>2</v>
      </c>
      <c r="S432">
        <v>9</v>
      </c>
      <c r="T432">
        <f>Table[[#This Row],[NumWebPurchases]]+Table[[#This Row],[NumStorePurchases]]</f>
        <v>11</v>
      </c>
    </row>
    <row r="433" spans="1:20" ht="12.5">
      <c r="A433" s="6">
        <v>431</v>
      </c>
      <c r="B433" s="6">
        <v>4324</v>
      </c>
      <c r="C433" s="6">
        <v>1989</v>
      </c>
      <c r="D433" s="6">
        <f t="shared" si="24"/>
        <v>36</v>
      </c>
      <c r="E433" s="7" t="s">
        <v>9</v>
      </c>
      <c r="F433" s="7" t="s">
        <v>13</v>
      </c>
      <c r="G433" s="6">
        <v>42387</v>
      </c>
      <c r="H433" s="6" t="str" cm="1">
        <f t="array" ref="H433">_xlfn.IFS(
  G433 &lt; 25000, "Low",
  AND(G433 &gt;= 25000, G433 &lt; 75000), "Medium",
  AND(G433 &gt;= 75000, G433 &lt; 150000), "High",
  G433 &gt;= 150000, "Very High"
)</f>
        <v>Medium</v>
      </c>
      <c r="I433" s="6">
        <v>1</v>
      </c>
      <c r="J433" s="6">
        <v>0</v>
      </c>
      <c r="K433" s="6">
        <f t="shared" si="25"/>
        <v>1</v>
      </c>
      <c r="L433" s="9">
        <v>41211</v>
      </c>
      <c r="M433" t="str">
        <f t="shared" ca="1" si="26"/>
        <v>13 years, 4 months</v>
      </c>
      <c r="N433" s="6">
        <v>42</v>
      </c>
      <c r="O433">
        <v>0</v>
      </c>
      <c r="P433">
        <v>4</v>
      </c>
      <c r="Q433">
        <f t="shared" si="27"/>
        <v>4</v>
      </c>
      <c r="R433">
        <v>8</v>
      </c>
      <c r="S433">
        <v>7</v>
      </c>
      <c r="T433">
        <f>Table[[#This Row],[NumWebPurchases]]+Table[[#This Row],[NumStorePurchases]]</f>
        <v>15</v>
      </c>
    </row>
    <row r="434" spans="1:20" ht="12.5">
      <c r="A434" s="6">
        <v>432</v>
      </c>
      <c r="B434" s="6">
        <v>238</v>
      </c>
      <c r="C434" s="6">
        <v>1967</v>
      </c>
      <c r="D434" s="6">
        <f t="shared" si="24"/>
        <v>58</v>
      </c>
      <c r="E434" s="7" t="s">
        <v>17</v>
      </c>
      <c r="F434" s="7" t="s">
        <v>11</v>
      </c>
      <c r="G434" s="6">
        <v>67309</v>
      </c>
      <c r="H434" s="6" t="str" cm="1">
        <f t="array" ref="H434">_xlfn.IFS(
  G434 &lt; 25000, "Low",
  AND(G434 &gt;= 25000, G434 &lt; 75000), "Medium",
  AND(G434 &gt;= 75000, G434 &lt; 150000), "High",
  G434 &gt;= 150000, "Very High"
)</f>
        <v>Medium</v>
      </c>
      <c r="I434" s="6">
        <v>1</v>
      </c>
      <c r="J434" s="6">
        <v>1</v>
      </c>
      <c r="K434" s="6">
        <f t="shared" si="25"/>
        <v>2</v>
      </c>
      <c r="L434" s="8">
        <v>41297</v>
      </c>
      <c r="M434" t="str">
        <f t="shared" ca="1" si="26"/>
        <v>13 years, 1 months</v>
      </c>
      <c r="N434" s="6">
        <v>76</v>
      </c>
      <c r="O434">
        <v>47</v>
      </c>
      <c r="P434">
        <v>95</v>
      </c>
      <c r="Q434">
        <f t="shared" si="27"/>
        <v>142</v>
      </c>
      <c r="R434">
        <v>9</v>
      </c>
      <c r="S434">
        <v>9</v>
      </c>
      <c r="T434">
        <f>Table[[#This Row],[NumWebPurchases]]+Table[[#This Row],[NumStorePurchases]]</f>
        <v>18</v>
      </c>
    </row>
    <row r="435" spans="1:20" ht="12.5">
      <c r="A435" s="6">
        <v>433</v>
      </c>
      <c r="B435" s="6">
        <v>6694</v>
      </c>
      <c r="C435" s="6">
        <v>1964</v>
      </c>
      <c r="D435" s="6">
        <f t="shared" si="24"/>
        <v>61</v>
      </c>
      <c r="E435" s="7" t="s">
        <v>9</v>
      </c>
      <c r="F435" s="7" t="s">
        <v>13</v>
      </c>
      <c r="G435" s="6">
        <v>75236</v>
      </c>
      <c r="H435" s="6" t="str" cm="1">
        <f t="array" ref="H435">_xlfn.IFS(
  G435 &lt; 25000, "Low",
  AND(G435 &gt;= 25000, G435 &lt; 75000), "Medium",
  AND(G435 &gt;= 75000, G435 &lt; 150000), "High",
  G435 &gt;= 150000, "Very High"
)</f>
        <v>High</v>
      </c>
      <c r="I435" s="6">
        <v>0</v>
      </c>
      <c r="J435" s="6">
        <v>1</v>
      </c>
      <c r="K435" s="6">
        <f t="shared" si="25"/>
        <v>1</v>
      </c>
      <c r="L435" s="9">
        <v>41603</v>
      </c>
      <c r="M435" t="str">
        <f t="shared" ca="1" si="26"/>
        <v>12 years, 3 months</v>
      </c>
      <c r="N435" s="6">
        <v>27</v>
      </c>
      <c r="O435">
        <v>66</v>
      </c>
      <c r="P435">
        <v>38</v>
      </c>
      <c r="Q435">
        <f t="shared" si="27"/>
        <v>104</v>
      </c>
      <c r="R435">
        <v>8</v>
      </c>
      <c r="S435">
        <v>13</v>
      </c>
      <c r="T435">
        <f>Table[[#This Row],[NumWebPurchases]]+Table[[#This Row],[NumStorePurchases]]</f>
        <v>21</v>
      </c>
    </row>
    <row r="436" spans="1:20" ht="12.5">
      <c r="A436" s="6">
        <v>434</v>
      </c>
      <c r="B436" s="6">
        <v>498</v>
      </c>
      <c r="C436" s="6">
        <v>1970</v>
      </c>
      <c r="D436" s="6">
        <f t="shared" si="24"/>
        <v>55</v>
      </c>
      <c r="E436" s="7" t="s">
        <v>9</v>
      </c>
      <c r="F436" s="7" t="s">
        <v>10</v>
      </c>
      <c r="G436" s="6">
        <v>30015</v>
      </c>
      <c r="H436" s="6" t="str" cm="1">
        <f t="array" ref="H436">_xlfn.IFS(
  G436 &lt; 25000, "Low",
  AND(G436 &gt;= 25000, G436 &lt; 75000), "Medium",
  AND(G436 &gt;= 75000, G436 &lt; 150000), "High",
  G436 &gt;= 150000, "Very High"
)</f>
        <v>Medium</v>
      </c>
      <c r="I436" s="6">
        <v>1</v>
      </c>
      <c r="J436" s="6">
        <v>0</v>
      </c>
      <c r="K436" s="6">
        <f t="shared" si="25"/>
        <v>1</v>
      </c>
      <c r="L436" s="8">
        <v>41672</v>
      </c>
      <c r="M436" t="str">
        <f t="shared" ca="1" si="26"/>
        <v>12 years, 1 months</v>
      </c>
      <c r="N436" s="6">
        <v>28</v>
      </c>
      <c r="O436">
        <v>0</v>
      </c>
      <c r="P436">
        <v>3</v>
      </c>
      <c r="Q436">
        <f t="shared" si="27"/>
        <v>3</v>
      </c>
      <c r="R436">
        <v>1</v>
      </c>
      <c r="S436">
        <v>4</v>
      </c>
      <c r="T436">
        <f>Table[[#This Row],[NumWebPurchases]]+Table[[#This Row],[NumStorePurchases]]</f>
        <v>5</v>
      </c>
    </row>
    <row r="437" spans="1:20" ht="12.5">
      <c r="A437" s="6">
        <v>435</v>
      </c>
      <c r="B437" s="6">
        <v>9347</v>
      </c>
      <c r="C437" s="6">
        <v>1956</v>
      </c>
      <c r="D437" s="6">
        <f t="shared" si="24"/>
        <v>69</v>
      </c>
      <c r="E437" s="7" t="s">
        <v>14</v>
      </c>
      <c r="F437" s="7" t="s">
        <v>11</v>
      </c>
      <c r="G437" s="6">
        <v>50943</v>
      </c>
      <c r="H437" s="6" t="str" cm="1">
        <f t="array" ref="H437">_xlfn.IFS(
  G437 &lt; 25000, "Low",
  AND(G437 &gt;= 25000, G437 &lt; 75000), "Medium",
  AND(G437 &gt;= 75000, G437 &lt; 150000), "High",
  G437 &gt;= 150000, "Very High"
)</f>
        <v>Medium</v>
      </c>
      <c r="I437" s="6">
        <v>0</v>
      </c>
      <c r="J437" s="6">
        <v>1</v>
      </c>
      <c r="K437" s="6">
        <f t="shared" si="25"/>
        <v>1</v>
      </c>
      <c r="L437" s="8">
        <v>41446</v>
      </c>
      <c r="M437" t="str">
        <f t="shared" ca="1" si="26"/>
        <v>12 years, 8 months</v>
      </c>
      <c r="N437" s="6">
        <v>49</v>
      </c>
      <c r="O437">
        <v>0</v>
      </c>
      <c r="P437">
        <v>0</v>
      </c>
      <c r="Q437">
        <f t="shared" si="27"/>
        <v>0</v>
      </c>
      <c r="R437">
        <v>1</v>
      </c>
      <c r="S437">
        <v>3</v>
      </c>
      <c r="T437">
        <f>Table[[#This Row],[NumWebPurchases]]+Table[[#This Row],[NumStorePurchases]]</f>
        <v>4</v>
      </c>
    </row>
    <row r="438" spans="1:20" ht="12.5">
      <c r="A438" s="6">
        <v>436</v>
      </c>
      <c r="B438" s="6">
        <v>9699</v>
      </c>
      <c r="C438" s="6">
        <v>1966</v>
      </c>
      <c r="D438" s="6">
        <f t="shared" si="24"/>
        <v>59</v>
      </c>
      <c r="E438" s="7" t="s">
        <v>9</v>
      </c>
      <c r="F438" s="7" t="s">
        <v>15</v>
      </c>
      <c r="G438" s="6">
        <v>67272</v>
      </c>
      <c r="H438" s="6" t="str" cm="1">
        <f t="array" ref="H438">_xlfn.IFS(
  G438 &lt; 25000, "Low",
  AND(G438 &gt;= 25000, G438 &lt; 75000), "Medium",
  AND(G438 &gt;= 75000, G438 &lt; 150000), "High",
  G438 &gt;= 150000, "Very High"
)</f>
        <v>Medium</v>
      </c>
      <c r="I438" s="6">
        <v>0</v>
      </c>
      <c r="J438" s="6">
        <v>1</v>
      </c>
      <c r="K438" s="6">
        <f t="shared" si="25"/>
        <v>1</v>
      </c>
      <c r="L438" s="9">
        <v>41629</v>
      </c>
      <c r="M438" t="str">
        <f t="shared" ca="1" si="26"/>
        <v>12 years, 2 months</v>
      </c>
      <c r="N438" s="6">
        <v>12</v>
      </c>
      <c r="O438">
        <v>35</v>
      </c>
      <c r="P438">
        <v>28</v>
      </c>
      <c r="Q438">
        <f t="shared" si="27"/>
        <v>63</v>
      </c>
      <c r="R438">
        <v>6</v>
      </c>
      <c r="S438">
        <v>12</v>
      </c>
      <c r="T438">
        <f>Table[[#This Row],[NumWebPurchases]]+Table[[#This Row],[NumStorePurchases]]</f>
        <v>18</v>
      </c>
    </row>
    <row r="439" spans="1:20" ht="12.5">
      <c r="A439" s="6">
        <v>437</v>
      </c>
      <c r="B439" s="6">
        <v>10664</v>
      </c>
      <c r="C439" s="6">
        <v>1949</v>
      </c>
      <c r="D439" s="6">
        <f t="shared" si="24"/>
        <v>76</v>
      </c>
      <c r="E439" s="7" t="s">
        <v>14</v>
      </c>
      <c r="F439" s="7" t="s">
        <v>18</v>
      </c>
      <c r="G439" s="6">
        <v>51529</v>
      </c>
      <c r="H439" s="6" t="str" cm="1">
        <f t="array" ref="H439">_xlfn.IFS(
  G439 &lt; 25000, "Low",
  AND(G439 &gt;= 25000, G439 &lt; 75000), "Medium",
  AND(G439 &gt;= 75000, G439 &lt; 150000), "High",
  G439 &gt;= 150000, "Very High"
)</f>
        <v>Medium</v>
      </c>
      <c r="I439" s="6">
        <v>0</v>
      </c>
      <c r="J439" s="6">
        <v>1</v>
      </c>
      <c r="K439" s="6">
        <f t="shared" si="25"/>
        <v>1</v>
      </c>
      <c r="L439" s="8">
        <v>41524</v>
      </c>
      <c r="M439" t="str">
        <f t="shared" ca="1" si="26"/>
        <v>12 years, 5 months</v>
      </c>
      <c r="N439" s="6">
        <v>14</v>
      </c>
      <c r="O439">
        <v>4</v>
      </c>
      <c r="P439">
        <v>0</v>
      </c>
      <c r="Q439">
        <f t="shared" si="27"/>
        <v>4</v>
      </c>
      <c r="R439">
        <v>9</v>
      </c>
      <c r="S439">
        <v>5</v>
      </c>
      <c r="T439">
        <f>Table[[#This Row],[NumWebPurchases]]+Table[[#This Row],[NumStorePurchases]]</f>
        <v>14</v>
      </c>
    </row>
    <row r="440" spans="1:20" ht="12.5">
      <c r="A440" s="6">
        <v>438</v>
      </c>
      <c r="B440" s="6">
        <v>5455</v>
      </c>
      <c r="C440" s="6">
        <v>1971</v>
      </c>
      <c r="D440" s="6">
        <f t="shared" si="24"/>
        <v>54</v>
      </c>
      <c r="E440" s="7" t="s">
        <v>12</v>
      </c>
      <c r="F440" s="7" t="s">
        <v>13</v>
      </c>
      <c r="G440" s="6">
        <v>32011</v>
      </c>
      <c r="H440" s="6" t="str" cm="1">
        <f t="array" ref="H440">_xlfn.IFS(
  G440 &lt; 25000, "Low",
  AND(G440 &gt;= 25000, G440 &lt; 75000), "Medium",
  AND(G440 &gt;= 75000, G440 &lt; 150000), "High",
  G440 &gt;= 150000, "Very High"
)</f>
        <v>Medium</v>
      </c>
      <c r="I440" s="6">
        <v>1</v>
      </c>
      <c r="J440" s="6">
        <v>0</v>
      </c>
      <c r="K440" s="6">
        <f t="shared" si="25"/>
        <v>1</v>
      </c>
      <c r="L440" s="8">
        <v>41508</v>
      </c>
      <c r="M440" t="str">
        <f t="shared" ca="1" si="26"/>
        <v>12 years, 6 months</v>
      </c>
      <c r="N440" s="6">
        <v>89</v>
      </c>
      <c r="O440">
        <v>0</v>
      </c>
      <c r="P440">
        <v>1</v>
      </c>
      <c r="Q440">
        <f t="shared" si="27"/>
        <v>1</v>
      </c>
      <c r="R440">
        <v>2</v>
      </c>
      <c r="S440">
        <v>4</v>
      </c>
      <c r="T440">
        <f>Table[[#This Row],[NumWebPurchases]]+Table[[#This Row],[NumStorePurchases]]</f>
        <v>6</v>
      </c>
    </row>
    <row r="441" spans="1:20" ht="12.5">
      <c r="A441" s="6">
        <v>439</v>
      </c>
      <c r="B441" s="6">
        <v>456</v>
      </c>
      <c r="C441" s="6">
        <v>1986</v>
      </c>
      <c r="D441" s="6">
        <f t="shared" si="24"/>
        <v>39</v>
      </c>
      <c r="E441" s="7" t="s">
        <v>17</v>
      </c>
      <c r="F441" s="7" t="s">
        <v>13</v>
      </c>
      <c r="G441" s="6">
        <v>7500</v>
      </c>
      <c r="H441" s="6" t="str" cm="1">
        <f t="array" ref="H441">_xlfn.IFS(
  G441 &lt; 25000, "Low",
  AND(G441 &gt;= 25000, G441 &lt; 75000), "Medium",
  AND(G441 &gt;= 75000, G441 &lt; 150000), "High",
  G441 &gt;= 150000, "Very High"
)</f>
        <v>Low</v>
      </c>
      <c r="I441" s="6">
        <v>1</v>
      </c>
      <c r="J441" s="6">
        <v>0</v>
      </c>
      <c r="K441" s="6">
        <f t="shared" si="25"/>
        <v>1</v>
      </c>
      <c r="L441" s="8">
        <v>41312</v>
      </c>
      <c r="M441" t="str">
        <f t="shared" ca="1" si="26"/>
        <v>13 years, 0 months</v>
      </c>
      <c r="N441" s="6">
        <v>96</v>
      </c>
      <c r="O441">
        <v>11</v>
      </c>
      <c r="P441">
        <v>6</v>
      </c>
      <c r="Q441">
        <f t="shared" si="27"/>
        <v>17</v>
      </c>
      <c r="R441">
        <v>2</v>
      </c>
      <c r="S441">
        <v>3</v>
      </c>
      <c r="T441">
        <f>Table[[#This Row],[NumWebPurchases]]+Table[[#This Row],[NumStorePurchases]]</f>
        <v>5</v>
      </c>
    </row>
    <row r="442" spans="1:20" ht="12.5">
      <c r="A442" s="6">
        <v>440</v>
      </c>
      <c r="B442" s="6">
        <v>5012</v>
      </c>
      <c r="C442" s="6">
        <v>1989</v>
      </c>
      <c r="D442" s="6">
        <f t="shared" si="24"/>
        <v>36</v>
      </c>
      <c r="E442" s="7" t="s">
        <v>9</v>
      </c>
      <c r="F442" s="7" t="s">
        <v>13</v>
      </c>
      <c r="G442" s="6">
        <v>28691</v>
      </c>
      <c r="H442" s="6" t="str" cm="1">
        <f t="array" ref="H442">_xlfn.IFS(
  G442 &lt; 25000, "Low",
  AND(G442 &gt;= 25000, G442 &lt; 75000), "Medium",
  AND(G442 &gt;= 75000, G442 &lt; 150000), "High",
  G442 &gt;= 150000, "Very High"
)</f>
        <v>Medium</v>
      </c>
      <c r="I442" s="6">
        <v>1</v>
      </c>
      <c r="J442" s="6">
        <v>0</v>
      </c>
      <c r="K442" s="6">
        <f t="shared" si="25"/>
        <v>1</v>
      </c>
      <c r="L442" s="8">
        <v>41459</v>
      </c>
      <c r="M442" t="str">
        <f t="shared" ca="1" si="26"/>
        <v>12 years, 8 months</v>
      </c>
      <c r="N442" s="6">
        <v>56</v>
      </c>
      <c r="O442">
        <v>4</v>
      </c>
      <c r="P442">
        <v>0</v>
      </c>
      <c r="Q442">
        <f t="shared" si="27"/>
        <v>4</v>
      </c>
      <c r="R442">
        <v>1</v>
      </c>
      <c r="S442">
        <v>3</v>
      </c>
      <c r="T442">
        <f>Table[[#This Row],[NumWebPurchases]]+Table[[#This Row],[NumStorePurchases]]</f>
        <v>4</v>
      </c>
    </row>
    <row r="443" spans="1:20" ht="12.5">
      <c r="A443" s="6">
        <v>441</v>
      </c>
      <c r="B443" s="6">
        <v>7495</v>
      </c>
      <c r="C443" s="6">
        <v>1948</v>
      </c>
      <c r="D443" s="6">
        <f t="shared" si="24"/>
        <v>77</v>
      </c>
      <c r="E443" s="7" t="s">
        <v>12</v>
      </c>
      <c r="F443" s="7" t="s">
        <v>13</v>
      </c>
      <c r="G443" s="6">
        <v>56223</v>
      </c>
      <c r="H443" s="6" t="str" cm="1">
        <f t="array" ref="H443">_xlfn.IFS(
  G443 &lt; 25000, "Low",
  AND(G443 &gt;= 25000, G443 &lt; 75000), "Medium",
  AND(G443 &gt;= 75000, G443 &lt; 150000), "High",
  G443 &gt;= 150000, "Very High"
)</f>
        <v>Medium</v>
      </c>
      <c r="I443" s="6">
        <v>0</v>
      </c>
      <c r="J443" s="6">
        <v>1</v>
      </c>
      <c r="K443" s="6">
        <f t="shared" si="25"/>
        <v>1</v>
      </c>
      <c r="L443" s="9">
        <v>41628</v>
      </c>
      <c r="M443" t="str">
        <f t="shared" ca="1" si="26"/>
        <v>12 years, 2 months</v>
      </c>
      <c r="N443" s="6">
        <v>72</v>
      </c>
      <c r="O443">
        <v>28</v>
      </c>
      <c r="P443">
        <v>0</v>
      </c>
      <c r="Q443">
        <f t="shared" si="27"/>
        <v>28</v>
      </c>
      <c r="R443">
        <v>2</v>
      </c>
      <c r="S443">
        <v>5</v>
      </c>
      <c r="T443">
        <f>Table[[#This Row],[NumWebPurchases]]+Table[[#This Row],[NumStorePurchases]]</f>
        <v>7</v>
      </c>
    </row>
    <row r="444" spans="1:20" ht="12.5">
      <c r="A444" s="6">
        <v>442</v>
      </c>
      <c r="B444" s="6">
        <v>5029</v>
      </c>
      <c r="C444" s="6">
        <v>1946</v>
      </c>
      <c r="D444" s="6">
        <f t="shared" si="24"/>
        <v>79</v>
      </c>
      <c r="E444" s="7" t="s">
        <v>9</v>
      </c>
      <c r="F444" s="7" t="s">
        <v>13</v>
      </c>
      <c r="G444" s="6">
        <v>18100</v>
      </c>
      <c r="H444" s="6" t="str" cm="1">
        <f t="array" ref="H444">_xlfn.IFS(
  G444 &lt; 25000, "Low",
  AND(G444 &gt;= 25000, G444 &lt; 75000), "Medium",
  AND(G444 &gt;= 75000, G444 &lt; 150000), "High",
  G444 &gt;= 150000, "Very High"
)</f>
        <v>Low</v>
      </c>
      <c r="I444" s="6">
        <v>0</v>
      </c>
      <c r="J444" s="6">
        <v>0</v>
      </c>
      <c r="K444" s="6">
        <f t="shared" si="25"/>
        <v>0</v>
      </c>
      <c r="L444" s="8">
        <v>41492</v>
      </c>
      <c r="M444" t="str">
        <f t="shared" ca="1" si="26"/>
        <v>12 years, 7 months</v>
      </c>
      <c r="N444" s="6">
        <v>14</v>
      </c>
      <c r="O444">
        <v>1</v>
      </c>
      <c r="P444">
        <v>3</v>
      </c>
      <c r="Q444">
        <f t="shared" si="27"/>
        <v>4</v>
      </c>
      <c r="R444">
        <v>0</v>
      </c>
      <c r="S444">
        <v>3</v>
      </c>
      <c r="T444">
        <f>Table[[#This Row],[NumWebPurchases]]+Table[[#This Row],[NumStorePurchases]]</f>
        <v>3</v>
      </c>
    </row>
    <row r="445" spans="1:20" ht="12.5">
      <c r="A445" s="6">
        <v>443</v>
      </c>
      <c r="B445" s="6">
        <v>10642</v>
      </c>
      <c r="C445" s="6">
        <v>1989</v>
      </c>
      <c r="D445" s="6">
        <f t="shared" si="24"/>
        <v>36</v>
      </c>
      <c r="E445" s="7" t="s">
        <v>9</v>
      </c>
      <c r="F445" s="7" t="s">
        <v>10</v>
      </c>
      <c r="G445" s="6">
        <v>30279</v>
      </c>
      <c r="H445" s="6" t="str" cm="1">
        <f t="array" ref="H445">_xlfn.IFS(
  G445 &lt; 25000, "Low",
  AND(G445 &gt;= 25000, G445 &lt; 75000), "Medium",
  AND(G445 &gt;= 75000, G445 &lt; 150000), "High",
  G445 &gt;= 150000, "Very High"
)</f>
        <v>Medium</v>
      </c>
      <c r="I445" s="6">
        <v>1</v>
      </c>
      <c r="J445" s="6">
        <v>0</v>
      </c>
      <c r="K445" s="6">
        <f t="shared" si="25"/>
        <v>1</v>
      </c>
      <c r="L445" s="9">
        <v>41273</v>
      </c>
      <c r="M445" t="str">
        <f t="shared" ca="1" si="26"/>
        <v>13 years, 2 months</v>
      </c>
      <c r="N445" s="6">
        <v>13</v>
      </c>
      <c r="O445">
        <v>4</v>
      </c>
      <c r="P445">
        <v>4</v>
      </c>
      <c r="Q445">
        <f t="shared" si="27"/>
        <v>8</v>
      </c>
      <c r="R445">
        <v>1</v>
      </c>
      <c r="S445">
        <v>3</v>
      </c>
      <c r="T445">
        <f>Table[[#This Row],[NumWebPurchases]]+Table[[#This Row],[NumStorePurchases]]</f>
        <v>4</v>
      </c>
    </row>
    <row r="446" spans="1:20" ht="12.5">
      <c r="A446" s="6">
        <v>444</v>
      </c>
      <c r="B446" s="6">
        <v>2106</v>
      </c>
      <c r="C446" s="6">
        <v>1974</v>
      </c>
      <c r="D446" s="6">
        <f t="shared" si="24"/>
        <v>51</v>
      </c>
      <c r="E446" s="7" t="s">
        <v>17</v>
      </c>
      <c r="F446" s="7" t="s">
        <v>13</v>
      </c>
      <c r="G446" s="6">
        <v>20130</v>
      </c>
      <c r="H446" s="6" t="str" cm="1">
        <f t="array" ref="H446">_xlfn.IFS(
  G446 &lt; 25000, "Low",
  AND(G446 &gt;= 25000, G446 &lt; 75000), "Medium",
  AND(G446 &gt;= 75000, G446 &lt; 150000), "High",
  G446 &gt;= 150000, "Very High"
)</f>
        <v>Low</v>
      </c>
      <c r="I446" s="6">
        <v>0</v>
      </c>
      <c r="J446" s="6">
        <v>0</v>
      </c>
      <c r="K446" s="6">
        <f t="shared" si="25"/>
        <v>0</v>
      </c>
      <c r="L446" s="8">
        <v>41715</v>
      </c>
      <c r="M446" t="str">
        <f t="shared" ca="1" si="26"/>
        <v>11 years, 11 months</v>
      </c>
      <c r="N446" s="6">
        <v>99</v>
      </c>
      <c r="O446">
        <v>6</v>
      </c>
      <c r="P446">
        <v>6</v>
      </c>
      <c r="Q446">
        <f t="shared" si="27"/>
        <v>12</v>
      </c>
      <c r="R446">
        <v>1</v>
      </c>
      <c r="S446">
        <v>3</v>
      </c>
      <c r="T446">
        <f>Table[[#This Row],[NumWebPurchases]]+Table[[#This Row],[NumStorePurchases]]</f>
        <v>4</v>
      </c>
    </row>
    <row r="447" spans="1:20" ht="12.5">
      <c r="A447" s="6">
        <v>445</v>
      </c>
      <c r="B447" s="6">
        <v>10364</v>
      </c>
      <c r="C447" s="6">
        <v>1959</v>
      </c>
      <c r="D447" s="6">
        <f t="shared" si="24"/>
        <v>66</v>
      </c>
      <c r="E447" s="7" t="s">
        <v>9</v>
      </c>
      <c r="F447" s="7" t="s">
        <v>15</v>
      </c>
      <c r="G447" s="6">
        <v>23295</v>
      </c>
      <c r="H447" s="6" t="str" cm="1">
        <f t="array" ref="H447">_xlfn.IFS(
  G447 &lt; 25000, "Low",
  AND(G447 &gt;= 25000, G447 &lt; 75000), "Medium",
  AND(G447 &gt;= 75000, G447 &lt; 150000), "High",
  G447 &gt;= 150000, "Very High"
)</f>
        <v>Low</v>
      </c>
      <c r="I447" s="6">
        <v>0</v>
      </c>
      <c r="J447" s="6">
        <v>0</v>
      </c>
      <c r="K447" s="6">
        <f t="shared" si="25"/>
        <v>0</v>
      </c>
      <c r="L447" s="8">
        <v>41468</v>
      </c>
      <c r="M447" t="str">
        <f t="shared" ca="1" si="26"/>
        <v>12 years, 7 months</v>
      </c>
      <c r="N447" s="6">
        <v>72</v>
      </c>
      <c r="O447">
        <v>0</v>
      </c>
      <c r="P447">
        <v>12</v>
      </c>
      <c r="Q447">
        <f t="shared" si="27"/>
        <v>12</v>
      </c>
      <c r="R447">
        <v>1</v>
      </c>
      <c r="S447">
        <v>2</v>
      </c>
      <c r="T447">
        <f>Table[[#This Row],[NumWebPurchases]]+Table[[#This Row],[NumStorePurchases]]</f>
        <v>3</v>
      </c>
    </row>
    <row r="448" spans="1:20" ht="12.5">
      <c r="A448" s="6">
        <v>446</v>
      </c>
      <c r="B448" s="6">
        <v>5954</v>
      </c>
      <c r="C448" s="6">
        <v>1972</v>
      </c>
      <c r="D448" s="6">
        <f t="shared" si="24"/>
        <v>53</v>
      </c>
      <c r="E448" s="7" t="s">
        <v>14</v>
      </c>
      <c r="F448" s="7" t="s">
        <v>15</v>
      </c>
      <c r="G448" s="6">
        <v>42618</v>
      </c>
      <c r="H448" s="6" t="str" cm="1">
        <f t="array" ref="H448">_xlfn.IFS(
  G448 &lt; 25000, "Low",
  AND(G448 &gt;= 25000, G448 &lt; 75000), "Medium",
  AND(G448 &gt;= 75000, G448 &lt; 150000), "High",
  G448 &gt;= 150000, "Very High"
)</f>
        <v>Medium</v>
      </c>
      <c r="I448" s="6">
        <v>1</v>
      </c>
      <c r="J448" s="6">
        <v>0</v>
      </c>
      <c r="K448" s="6">
        <f t="shared" si="25"/>
        <v>1</v>
      </c>
      <c r="L448" s="8">
        <v>41556</v>
      </c>
      <c r="M448" t="str">
        <f t="shared" ca="1" si="26"/>
        <v>12 years, 4 months</v>
      </c>
      <c r="N448" s="6">
        <v>92</v>
      </c>
      <c r="O448">
        <v>14</v>
      </c>
      <c r="P448">
        <v>5</v>
      </c>
      <c r="Q448">
        <f t="shared" si="27"/>
        <v>19</v>
      </c>
      <c r="R448">
        <v>5</v>
      </c>
      <c r="S448">
        <v>4</v>
      </c>
      <c r="T448">
        <f>Table[[#This Row],[NumWebPurchases]]+Table[[#This Row],[NumStorePurchases]]</f>
        <v>9</v>
      </c>
    </row>
    <row r="449" spans="1:20" ht="12.5">
      <c r="A449" s="6">
        <v>447</v>
      </c>
      <c r="B449" s="6">
        <v>1137</v>
      </c>
      <c r="C449" s="6">
        <v>1964</v>
      </c>
      <c r="D449" s="6">
        <f t="shared" si="24"/>
        <v>61</v>
      </c>
      <c r="E449" s="7" t="s">
        <v>9</v>
      </c>
      <c r="F449" s="7" t="s">
        <v>10</v>
      </c>
      <c r="G449" s="6">
        <v>81246</v>
      </c>
      <c r="H449" s="6" t="str" cm="1">
        <f t="array" ref="H449">_xlfn.IFS(
  G449 &lt; 25000, "Low",
  AND(G449 &gt;= 25000, G449 &lt; 75000), "Medium",
  AND(G449 &gt;= 75000, G449 &lt; 150000), "High",
  G449 &gt;= 150000, "Very High"
)</f>
        <v>High</v>
      </c>
      <c r="I449" s="6">
        <v>0</v>
      </c>
      <c r="J449" s="6">
        <v>0</v>
      </c>
      <c r="K449" s="6">
        <f t="shared" si="25"/>
        <v>0</v>
      </c>
      <c r="L449" s="9">
        <v>41637</v>
      </c>
      <c r="M449" t="str">
        <f t="shared" ca="1" si="26"/>
        <v>12 years, 2 months</v>
      </c>
      <c r="N449" s="6">
        <v>87</v>
      </c>
      <c r="O449">
        <v>190</v>
      </c>
      <c r="P449">
        <v>156</v>
      </c>
      <c r="Q449">
        <f t="shared" si="27"/>
        <v>346</v>
      </c>
      <c r="R449">
        <v>4</v>
      </c>
      <c r="S449">
        <v>7</v>
      </c>
      <c r="T449">
        <f>Table[[#This Row],[NumWebPurchases]]+Table[[#This Row],[NumStorePurchases]]</f>
        <v>11</v>
      </c>
    </row>
    <row r="450" spans="1:20" ht="12.5">
      <c r="A450" s="6">
        <v>448</v>
      </c>
      <c r="B450" s="6">
        <v>2541</v>
      </c>
      <c r="C450" s="6">
        <v>1976</v>
      </c>
      <c r="D450" s="6">
        <f t="shared" si="24"/>
        <v>49</v>
      </c>
      <c r="E450" s="7" t="s">
        <v>9</v>
      </c>
      <c r="F450" s="7" t="s">
        <v>13</v>
      </c>
      <c r="G450" s="6">
        <v>24027</v>
      </c>
      <c r="H450" s="6" t="str" cm="1">
        <f t="array" ref="H450">_xlfn.IFS(
  G450 &lt; 25000, "Low",
  AND(G450 &gt;= 25000, G450 &lt; 75000), "Medium",
  AND(G450 &gt;= 75000, G450 &lt; 150000), "High",
  G450 &gt;= 150000, "Very High"
)</f>
        <v>Low</v>
      </c>
      <c r="I450" s="6">
        <v>1</v>
      </c>
      <c r="J450" s="6">
        <v>0</v>
      </c>
      <c r="K450" s="6">
        <f t="shared" si="25"/>
        <v>1</v>
      </c>
      <c r="L450" s="8">
        <v>41434</v>
      </c>
      <c r="M450" t="str">
        <f t="shared" ca="1" si="26"/>
        <v>12 years, 8 months</v>
      </c>
      <c r="N450" s="6">
        <v>7</v>
      </c>
      <c r="O450">
        <v>7</v>
      </c>
      <c r="P450">
        <v>0</v>
      </c>
      <c r="Q450">
        <f t="shared" si="27"/>
        <v>7</v>
      </c>
      <c r="R450">
        <v>2</v>
      </c>
      <c r="S450">
        <v>3</v>
      </c>
      <c r="T450">
        <f>Table[[#This Row],[NumWebPurchases]]+Table[[#This Row],[NumStorePurchases]]</f>
        <v>5</v>
      </c>
    </row>
    <row r="451" spans="1:20" ht="12.5">
      <c r="A451" s="6">
        <v>449</v>
      </c>
      <c r="B451" s="6">
        <v>1142</v>
      </c>
      <c r="C451" s="6">
        <v>1953</v>
      </c>
      <c r="D451" s="6">
        <f t="shared" ref="D451:D514" si="28">2025-C451</f>
        <v>72</v>
      </c>
      <c r="E451" s="7" t="s">
        <v>12</v>
      </c>
      <c r="F451" s="7" t="s">
        <v>13</v>
      </c>
      <c r="G451" s="6">
        <v>55707</v>
      </c>
      <c r="H451" s="6" t="str" cm="1">
        <f t="array" ref="H451">_xlfn.IFS(
  G451 &lt; 25000, "Low",
  AND(G451 &gt;= 25000, G451 &lt; 75000), "Medium",
  AND(G451 &gt;= 75000, G451 &lt; 150000), "High",
  G451 &gt;= 150000, "Very High"
)</f>
        <v>Medium</v>
      </c>
      <c r="I451" s="6">
        <v>0</v>
      </c>
      <c r="J451" s="6">
        <v>1</v>
      </c>
      <c r="K451" s="6">
        <f t="shared" ref="K451:K514" si="29">I451+J451</f>
        <v>1</v>
      </c>
      <c r="L451" s="9">
        <v>41630</v>
      </c>
      <c r="M451" t="str">
        <f t="shared" ref="M451:M514" ca="1" si="30">DATEDIF(L451, TODAY(), "Y") &amp; " years, " &amp; DATEDIF(L451, TODAY(), "YM") &amp; " months"</f>
        <v>12 years, 2 months</v>
      </c>
      <c r="N451" s="6">
        <v>91</v>
      </c>
      <c r="O451">
        <v>7</v>
      </c>
      <c r="P451">
        <v>66</v>
      </c>
      <c r="Q451">
        <f t="shared" ref="Q451:Q514" si="31">O451+P451</f>
        <v>73</v>
      </c>
      <c r="R451">
        <v>3</v>
      </c>
      <c r="S451">
        <v>9</v>
      </c>
      <c r="T451">
        <f>Table[[#This Row],[NumWebPurchases]]+Table[[#This Row],[NumStorePurchases]]</f>
        <v>12</v>
      </c>
    </row>
    <row r="452" spans="1:20" ht="12.5">
      <c r="A452" s="6">
        <v>450</v>
      </c>
      <c r="B452" s="6">
        <v>2276</v>
      </c>
      <c r="C452" s="6">
        <v>1955</v>
      </c>
      <c r="D452" s="6">
        <f t="shared" si="28"/>
        <v>70</v>
      </c>
      <c r="E452" s="7" t="s">
        <v>9</v>
      </c>
      <c r="F452" s="7" t="s">
        <v>10</v>
      </c>
      <c r="G452" s="6">
        <v>57959</v>
      </c>
      <c r="H452" s="6" t="str" cm="1">
        <f t="array" ref="H452">_xlfn.IFS(
  G452 &lt; 25000, "Low",
  AND(G452 &gt;= 25000, G452 &lt; 75000), "Medium",
  AND(G452 &gt;= 75000, G452 &lt; 150000), "High",
  G452 &gt;= 150000, "Very High"
)</f>
        <v>Medium</v>
      </c>
      <c r="I452" s="6">
        <v>0</v>
      </c>
      <c r="J452" s="6">
        <v>1</v>
      </c>
      <c r="K452" s="6">
        <f t="shared" si="29"/>
        <v>1</v>
      </c>
      <c r="L452" s="8">
        <v>41396</v>
      </c>
      <c r="M452" t="str">
        <f t="shared" ca="1" si="30"/>
        <v>12 years, 10 months</v>
      </c>
      <c r="N452" s="6">
        <v>71</v>
      </c>
      <c r="O452">
        <v>16</v>
      </c>
      <c r="P452">
        <v>24</v>
      </c>
      <c r="Q452">
        <f t="shared" si="31"/>
        <v>40</v>
      </c>
      <c r="R452">
        <v>4</v>
      </c>
      <c r="S452">
        <v>11</v>
      </c>
      <c r="T452">
        <f>Table[[#This Row],[NumWebPurchases]]+Table[[#This Row],[NumStorePurchases]]</f>
        <v>15</v>
      </c>
    </row>
    <row r="453" spans="1:20" ht="12.5">
      <c r="A453" s="6">
        <v>451</v>
      </c>
      <c r="B453" s="6">
        <v>2807</v>
      </c>
      <c r="C453" s="6">
        <v>1969</v>
      </c>
      <c r="D453" s="6">
        <f t="shared" si="28"/>
        <v>56</v>
      </c>
      <c r="E453" s="7" t="s">
        <v>9</v>
      </c>
      <c r="F453" s="7" t="s">
        <v>13</v>
      </c>
      <c r="G453" s="6">
        <v>56796</v>
      </c>
      <c r="H453" s="6" t="str" cm="1">
        <f t="array" ref="H453">_xlfn.IFS(
  G453 &lt; 25000, "Low",
  AND(G453 &gt;= 25000, G453 &lt; 75000), "Medium",
  AND(G453 &gt;= 75000, G453 &lt; 150000), "High",
  G453 &gt;= 150000, "Very High"
)</f>
        <v>Medium</v>
      </c>
      <c r="I453" s="6">
        <v>0</v>
      </c>
      <c r="J453" s="6">
        <v>1</v>
      </c>
      <c r="K453" s="6">
        <f t="shared" si="29"/>
        <v>1</v>
      </c>
      <c r="L453" s="8">
        <v>41321</v>
      </c>
      <c r="M453" t="str">
        <f t="shared" ca="1" si="30"/>
        <v>13 years, 0 months</v>
      </c>
      <c r="N453" s="6">
        <v>24</v>
      </c>
      <c r="O453">
        <v>38</v>
      </c>
      <c r="P453">
        <v>47</v>
      </c>
      <c r="Q453">
        <f t="shared" si="31"/>
        <v>85</v>
      </c>
      <c r="R453">
        <v>8</v>
      </c>
      <c r="S453">
        <v>7</v>
      </c>
      <c r="T453">
        <f>Table[[#This Row],[NumWebPurchases]]+Table[[#This Row],[NumStorePurchases]]</f>
        <v>15</v>
      </c>
    </row>
    <row r="454" spans="1:20" ht="12.5">
      <c r="A454" s="6">
        <v>452</v>
      </c>
      <c r="B454" s="6">
        <v>6471</v>
      </c>
      <c r="C454" s="6">
        <v>1971</v>
      </c>
      <c r="D454" s="6">
        <f t="shared" si="28"/>
        <v>54</v>
      </c>
      <c r="E454" s="7" t="s">
        <v>14</v>
      </c>
      <c r="F454" s="7" t="s">
        <v>10</v>
      </c>
      <c r="G454" s="6">
        <v>36230</v>
      </c>
      <c r="H454" s="6" t="str" cm="1">
        <f t="array" ref="H454">_xlfn.IFS(
  G454 &lt; 25000, "Low",
  AND(G454 &gt;= 25000, G454 &lt; 75000), "Medium",
  AND(G454 &gt;= 75000, G454 &lt; 150000), "High",
  G454 &gt;= 150000, "Very High"
)</f>
        <v>Medium</v>
      </c>
      <c r="I454" s="6">
        <v>1</v>
      </c>
      <c r="J454" s="6">
        <v>0</v>
      </c>
      <c r="K454" s="6">
        <f t="shared" si="29"/>
        <v>1</v>
      </c>
      <c r="L454" s="9">
        <v>41564</v>
      </c>
      <c r="M454" t="str">
        <f t="shared" ca="1" si="30"/>
        <v>12 years, 4 months</v>
      </c>
      <c r="N454" s="6">
        <v>17</v>
      </c>
      <c r="O454">
        <v>2</v>
      </c>
      <c r="P454">
        <v>2</v>
      </c>
      <c r="Q454">
        <f t="shared" si="31"/>
        <v>4</v>
      </c>
      <c r="R454">
        <v>2</v>
      </c>
      <c r="S454">
        <v>4</v>
      </c>
      <c r="T454">
        <f>Table[[#This Row],[NumWebPurchases]]+Table[[#This Row],[NumStorePurchases]]</f>
        <v>6</v>
      </c>
    </row>
    <row r="455" spans="1:20" ht="12.5">
      <c r="A455" s="6">
        <v>453</v>
      </c>
      <c r="B455" s="6">
        <v>6131</v>
      </c>
      <c r="C455" s="6">
        <v>1980</v>
      </c>
      <c r="D455" s="6">
        <f t="shared" si="28"/>
        <v>45</v>
      </c>
      <c r="E455" s="7" t="s">
        <v>17</v>
      </c>
      <c r="F455" s="7" t="s">
        <v>13</v>
      </c>
      <c r="G455" s="6">
        <v>70829</v>
      </c>
      <c r="H455" s="6" t="str" cm="1">
        <f t="array" ref="H455">_xlfn.IFS(
  G455 &lt; 25000, "Low",
  AND(G455 &gt;= 25000, G455 &lt; 75000), "Medium",
  AND(G455 &gt;= 75000, G455 &lt; 150000), "High",
  G455 &gt;= 150000, "Very High"
)</f>
        <v>Medium</v>
      </c>
      <c r="I455" s="6">
        <v>1</v>
      </c>
      <c r="J455" s="6">
        <v>1</v>
      </c>
      <c r="K455" s="6">
        <f t="shared" si="29"/>
        <v>2</v>
      </c>
      <c r="L455" s="8">
        <v>41609</v>
      </c>
      <c r="M455" t="str">
        <f t="shared" ca="1" si="30"/>
        <v>12 years, 3 months</v>
      </c>
      <c r="N455" s="6">
        <v>87</v>
      </c>
      <c r="O455">
        <v>70</v>
      </c>
      <c r="P455">
        <v>19</v>
      </c>
      <c r="Q455">
        <f t="shared" si="31"/>
        <v>89</v>
      </c>
      <c r="R455">
        <v>4</v>
      </c>
      <c r="S455">
        <v>8</v>
      </c>
      <c r="T455">
        <f>Table[[#This Row],[NumWebPurchases]]+Table[[#This Row],[NumStorePurchases]]</f>
        <v>12</v>
      </c>
    </row>
    <row r="456" spans="1:20" ht="12.5">
      <c r="A456" s="6">
        <v>454</v>
      </c>
      <c r="B456" s="6">
        <v>6233</v>
      </c>
      <c r="C456" s="6">
        <v>1976</v>
      </c>
      <c r="D456" s="6">
        <f t="shared" si="28"/>
        <v>49</v>
      </c>
      <c r="E456" s="7" t="s">
        <v>9</v>
      </c>
      <c r="F456" s="7" t="s">
        <v>13</v>
      </c>
      <c r="G456" s="6">
        <v>65991</v>
      </c>
      <c r="H456" s="6" t="str" cm="1">
        <f t="array" ref="H456">_xlfn.IFS(
  G456 &lt; 25000, "Low",
  AND(G456 &gt;= 25000, G456 &lt; 75000), "Medium",
  AND(G456 &gt;= 75000, G456 &lt; 150000), "High",
  G456 &gt;= 150000, "Very High"
)</f>
        <v>Medium</v>
      </c>
      <c r="I456" s="6">
        <v>0</v>
      </c>
      <c r="J456" s="6">
        <v>1</v>
      </c>
      <c r="K456" s="6">
        <f t="shared" si="29"/>
        <v>1</v>
      </c>
      <c r="L456" s="8">
        <v>41159</v>
      </c>
      <c r="M456" t="str">
        <f t="shared" ca="1" si="30"/>
        <v>13 years, 5 months</v>
      </c>
      <c r="N456" s="6">
        <v>21</v>
      </c>
      <c r="O456">
        <v>19</v>
      </c>
      <c r="P456">
        <v>47</v>
      </c>
      <c r="Q456">
        <f t="shared" si="31"/>
        <v>66</v>
      </c>
      <c r="R456">
        <v>9</v>
      </c>
      <c r="S456">
        <v>10</v>
      </c>
      <c r="T456">
        <f>Table[[#This Row],[NumWebPurchases]]+Table[[#This Row],[NumStorePurchases]]</f>
        <v>19</v>
      </c>
    </row>
    <row r="457" spans="1:20" ht="12.5">
      <c r="A457" s="6">
        <v>455</v>
      </c>
      <c r="B457" s="6">
        <v>4148</v>
      </c>
      <c r="C457" s="6">
        <v>1972</v>
      </c>
      <c r="D457" s="6">
        <f t="shared" si="28"/>
        <v>53</v>
      </c>
      <c r="E457" s="7" t="s">
        <v>9</v>
      </c>
      <c r="F457" s="7" t="s">
        <v>13</v>
      </c>
      <c r="G457" s="6">
        <v>38988</v>
      </c>
      <c r="H457" s="6" t="str" cm="1">
        <f t="array" ref="H457">_xlfn.IFS(
  G457 &lt; 25000, "Low",
  AND(G457 &gt;= 25000, G457 &lt; 75000), "Medium",
  AND(G457 &gt;= 75000, G457 &lt; 150000), "High",
  G457 &gt;= 150000, "Very High"
)</f>
        <v>Medium</v>
      </c>
      <c r="I457" s="6">
        <v>1</v>
      </c>
      <c r="J457" s="6">
        <v>2</v>
      </c>
      <c r="K457" s="6">
        <f t="shared" si="29"/>
        <v>3</v>
      </c>
      <c r="L457" s="8">
        <v>41141</v>
      </c>
      <c r="M457" t="str">
        <f t="shared" ca="1" si="30"/>
        <v>13 years, 6 months</v>
      </c>
      <c r="N457" s="6">
        <v>90</v>
      </c>
      <c r="O457">
        <v>24</v>
      </c>
      <c r="P457">
        <v>3</v>
      </c>
      <c r="Q457">
        <f t="shared" si="31"/>
        <v>27</v>
      </c>
      <c r="R457">
        <v>5</v>
      </c>
      <c r="S457">
        <v>6</v>
      </c>
      <c r="T457">
        <f>Table[[#This Row],[NumWebPurchases]]+Table[[#This Row],[NumStorePurchases]]</f>
        <v>11</v>
      </c>
    </row>
    <row r="458" spans="1:20" ht="12.5">
      <c r="A458" s="6">
        <v>456</v>
      </c>
      <c r="B458" s="6">
        <v>4947</v>
      </c>
      <c r="C458" s="6">
        <v>1966</v>
      </c>
      <c r="D458" s="6">
        <f t="shared" si="28"/>
        <v>59</v>
      </c>
      <c r="E458" s="7" t="s">
        <v>17</v>
      </c>
      <c r="F458" s="7" t="s">
        <v>10</v>
      </c>
      <c r="G458" s="6">
        <v>89572</v>
      </c>
      <c r="H458" s="6" t="str" cm="1">
        <f t="array" ref="H458">_xlfn.IFS(
  G458 &lt; 25000, "Low",
  AND(G458 &gt;= 25000, G458 &lt; 75000), "Medium",
  AND(G458 &gt;= 75000, G458 &lt; 150000), "High",
  G458 &gt;= 150000, "Very High"
)</f>
        <v>High</v>
      </c>
      <c r="I458" s="6">
        <v>0</v>
      </c>
      <c r="J458" s="6">
        <v>0</v>
      </c>
      <c r="K458" s="6">
        <f t="shared" si="29"/>
        <v>0</v>
      </c>
      <c r="L458" s="8">
        <v>41167</v>
      </c>
      <c r="M458" t="str">
        <f t="shared" ca="1" si="30"/>
        <v>13 years, 5 months</v>
      </c>
      <c r="N458" s="6">
        <v>44</v>
      </c>
      <c r="O458">
        <v>24</v>
      </c>
      <c r="P458">
        <v>194</v>
      </c>
      <c r="Q458">
        <f t="shared" si="31"/>
        <v>218</v>
      </c>
      <c r="R458">
        <v>7</v>
      </c>
      <c r="S458">
        <v>9</v>
      </c>
      <c r="T458">
        <f>Table[[#This Row],[NumWebPurchases]]+Table[[#This Row],[NumStorePurchases]]</f>
        <v>16</v>
      </c>
    </row>
    <row r="459" spans="1:20" ht="12.5">
      <c r="A459" s="6">
        <v>457</v>
      </c>
      <c r="B459" s="6">
        <v>3225</v>
      </c>
      <c r="C459" s="6">
        <v>1984</v>
      </c>
      <c r="D459" s="6">
        <f t="shared" si="28"/>
        <v>41</v>
      </c>
      <c r="E459" s="7" t="s">
        <v>14</v>
      </c>
      <c r="F459" s="7" t="s">
        <v>13</v>
      </c>
      <c r="G459" s="6">
        <v>42207</v>
      </c>
      <c r="H459" s="6" t="str" cm="1">
        <f t="array" ref="H459">_xlfn.IFS(
  G459 &lt; 25000, "Low",
  AND(G459 &gt;= 25000, G459 &lt; 75000), "Medium",
  AND(G459 &gt;= 75000, G459 &lt; 150000), "High",
  G459 &gt;= 150000, "Very High"
)</f>
        <v>Medium</v>
      </c>
      <c r="I459" s="6">
        <v>1</v>
      </c>
      <c r="J459" s="6">
        <v>0</v>
      </c>
      <c r="K459" s="6">
        <f t="shared" si="29"/>
        <v>1</v>
      </c>
      <c r="L459" s="8">
        <v>41365</v>
      </c>
      <c r="M459" t="str">
        <f t="shared" ca="1" si="30"/>
        <v>12 years, 11 months</v>
      </c>
      <c r="N459" s="6">
        <v>71</v>
      </c>
      <c r="O459">
        <v>11</v>
      </c>
      <c r="P459">
        <v>17</v>
      </c>
      <c r="Q459">
        <f t="shared" si="31"/>
        <v>28</v>
      </c>
      <c r="R459">
        <v>4</v>
      </c>
      <c r="S459">
        <v>5</v>
      </c>
      <c r="T459">
        <f>Table[[#This Row],[NumWebPurchases]]+Table[[#This Row],[NumStorePurchases]]</f>
        <v>9</v>
      </c>
    </row>
    <row r="460" spans="1:20" ht="12.5">
      <c r="A460" s="6">
        <v>458</v>
      </c>
      <c r="B460" s="6">
        <v>7540</v>
      </c>
      <c r="C460" s="6">
        <v>1952</v>
      </c>
      <c r="D460" s="6">
        <f t="shared" si="28"/>
        <v>73</v>
      </c>
      <c r="E460" s="7" t="s">
        <v>9</v>
      </c>
      <c r="F460" s="7" t="s">
        <v>13</v>
      </c>
      <c r="G460" s="6">
        <v>50300</v>
      </c>
      <c r="H460" s="6" t="str" cm="1">
        <f t="array" ref="H460">_xlfn.IFS(
  G460 &lt; 25000, "Low",
  AND(G460 &gt;= 25000, G460 &lt; 75000), "Medium",
  AND(G460 &gt;= 75000, G460 &lt; 150000), "High",
  G460 &gt;= 150000, "Very High"
)</f>
        <v>Medium</v>
      </c>
      <c r="I460" s="6">
        <v>0</v>
      </c>
      <c r="J460" s="6">
        <v>1</v>
      </c>
      <c r="K460" s="6">
        <f t="shared" si="29"/>
        <v>1</v>
      </c>
      <c r="L460" s="8">
        <v>41784</v>
      </c>
      <c r="M460" t="str">
        <f t="shared" ca="1" si="30"/>
        <v>11 years, 9 months</v>
      </c>
      <c r="N460" s="6">
        <v>52</v>
      </c>
      <c r="O460">
        <v>15</v>
      </c>
      <c r="P460">
        <v>23</v>
      </c>
      <c r="Q460">
        <f t="shared" si="31"/>
        <v>38</v>
      </c>
      <c r="R460">
        <v>2</v>
      </c>
      <c r="S460">
        <v>8</v>
      </c>
      <c r="T460">
        <f>Table[[#This Row],[NumWebPurchases]]+Table[[#This Row],[NumStorePurchases]]</f>
        <v>10</v>
      </c>
    </row>
    <row r="461" spans="1:20" ht="12.5">
      <c r="A461" s="6">
        <v>459</v>
      </c>
      <c r="B461" s="6">
        <v>10648</v>
      </c>
      <c r="C461" s="6">
        <v>1982</v>
      </c>
      <c r="D461" s="6">
        <f t="shared" si="28"/>
        <v>43</v>
      </c>
      <c r="E461" s="7" t="s">
        <v>17</v>
      </c>
      <c r="F461" s="7" t="s">
        <v>11</v>
      </c>
      <c r="G461" s="6">
        <v>66664</v>
      </c>
      <c r="H461" s="6" t="str" cm="1">
        <f t="array" ref="H461">_xlfn.IFS(
  G461 &lt; 25000, "Low",
  AND(G461 &gt;= 25000, G461 &lt; 75000), "Medium",
  AND(G461 &gt;= 75000, G461 &lt; 150000), "High",
  G461 &gt;= 150000, "Very High"
)</f>
        <v>Medium</v>
      </c>
      <c r="I461" s="6">
        <v>0</v>
      </c>
      <c r="J461" s="6">
        <v>0</v>
      </c>
      <c r="K461" s="6">
        <f t="shared" si="29"/>
        <v>0</v>
      </c>
      <c r="L461" s="8">
        <v>41177</v>
      </c>
      <c r="M461" t="str">
        <f t="shared" ca="1" si="30"/>
        <v>13 years, 5 months</v>
      </c>
      <c r="N461" s="6">
        <v>78</v>
      </c>
      <c r="O461">
        <v>96</v>
      </c>
      <c r="P461">
        <v>96</v>
      </c>
      <c r="Q461">
        <f t="shared" si="31"/>
        <v>192</v>
      </c>
      <c r="R461">
        <v>5</v>
      </c>
      <c r="S461">
        <v>6</v>
      </c>
      <c r="T461">
        <f>Table[[#This Row],[NumWebPurchases]]+Table[[#This Row],[NumStorePurchases]]</f>
        <v>11</v>
      </c>
    </row>
    <row r="462" spans="1:20" ht="12.5">
      <c r="A462" s="6">
        <v>460</v>
      </c>
      <c r="B462" s="6">
        <v>1992</v>
      </c>
      <c r="C462" s="6">
        <v>1964</v>
      </c>
      <c r="D462" s="6">
        <f t="shared" si="28"/>
        <v>61</v>
      </c>
      <c r="E462" s="7" t="s">
        <v>9</v>
      </c>
      <c r="F462" s="7" t="s">
        <v>13</v>
      </c>
      <c r="G462" s="6">
        <v>60597</v>
      </c>
      <c r="H462" s="6" t="str" cm="1">
        <f t="array" ref="H462">_xlfn.IFS(
  G462 &lt; 25000, "Low",
  AND(G462 &gt;= 25000, G462 &lt; 75000), "Medium",
  AND(G462 &gt;= 75000, G462 &lt; 150000), "High",
  G462 &gt;= 150000, "Very High"
)</f>
        <v>Medium</v>
      </c>
      <c r="I462" s="6">
        <v>0</v>
      </c>
      <c r="J462" s="6">
        <v>1</v>
      </c>
      <c r="K462" s="6">
        <f t="shared" si="29"/>
        <v>1</v>
      </c>
      <c r="L462" s="8">
        <v>41640</v>
      </c>
      <c r="M462" t="str">
        <f t="shared" ca="1" si="30"/>
        <v>12 years, 2 months</v>
      </c>
      <c r="N462" s="6">
        <v>2</v>
      </c>
      <c r="O462">
        <v>0</v>
      </c>
      <c r="P462">
        <v>16</v>
      </c>
      <c r="Q462">
        <f t="shared" si="31"/>
        <v>16</v>
      </c>
      <c r="R462">
        <v>2</v>
      </c>
      <c r="S462">
        <v>8</v>
      </c>
      <c r="T462">
        <f>Table[[#This Row],[NumWebPurchases]]+Table[[#This Row],[NumStorePurchases]]</f>
        <v>10</v>
      </c>
    </row>
    <row r="463" spans="1:20" ht="12.5">
      <c r="A463" s="6">
        <v>461</v>
      </c>
      <c r="B463" s="6">
        <v>7851</v>
      </c>
      <c r="C463" s="6">
        <v>1949</v>
      </c>
      <c r="D463" s="6">
        <f t="shared" si="28"/>
        <v>76</v>
      </c>
      <c r="E463" s="7" t="s">
        <v>9</v>
      </c>
      <c r="F463" s="7" t="s">
        <v>18</v>
      </c>
      <c r="G463" s="6">
        <v>70165</v>
      </c>
      <c r="H463" s="6" t="str" cm="1">
        <f t="array" ref="H463">_xlfn.IFS(
  G463 &lt; 25000, "Low",
  AND(G463 &gt;= 25000, G463 &lt; 75000), "Medium",
  AND(G463 &gt;= 75000, G463 &lt; 150000), "High",
  G463 &gt;= 150000, "Very High"
)</f>
        <v>Medium</v>
      </c>
      <c r="I463" s="6">
        <v>0</v>
      </c>
      <c r="J463" s="6">
        <v>0</v>
      </c>
      <c r="K463" s="6">
        <f t="shared" si="29"/>
        <v>0</v>
      </c>
      <c r="L463" s="8">
        <v>41539</v>
      </c>
      <c r="M463" t="str">
        <f t="shared" ca="1" si="30"/>
        <v>12 years, 5 months</v>
      </c>
      <c r="N463" s="6">
        <v>60</v>
      </c>
      <c r="O463">
        <v>0</v>
      </c>
      <c r="P463">
        <v>191</v>
      </c>
      <c r="Q463">
        <f t="shared" si="31"/>
        <v>191</v>
      </c>
      <c r="R463">
        <v>3</v>
      </c>
      <c r="S463">
        <v>11</v>
      </c>
      <c r="T463">
        <f>Table[[#This Row],[NumWebPurchases]]+Table[[#This Row],[NumStorePurchases]]</f>
        <v>14</v>
      </c>
    </row>
    <row r="464" spans="1:20" ht="12.5">
      <c r="A464" s="6">
        <v>462</v>
      </c>
      <c r="B464" s="6">
        <v>8594</v>
      </c>
      <c r="C464" s="6">
        <v>1958</v>
      </c>
      <c r="D464" s="6">
        <f t="shared" si="28"/>
        <v>67</v>
      </c>
      <c r="E464" s="7" t="s">
        <v>12</v>
      </c>
      <c r="F464" s="7" t="s">
        <v>18</v>
      </c>
      <c r="G464" s="6">
        <v>50520</v>
      </c>
      <c r="H464" s="6" t="str" cm="1">
        <f t="array" ref="H464">_xlfn.IFS(
  G464 &lt; 25000, "Low",
  AND(G464 &gt;= 25000, G464 &lt; 75000), "Medium",
  AND(G464 &gt;= 75000, G464 &lt; 150000), "High",
  G464 &gt;= 150000, "Very High"
)</f>
        <v>Medium</v>
      </c>
      <c r="I464" s="6">
        <v>0</v>
      </c>
      <c r="J464" s="6">
        <v>1</v>
      </c>
      <c r="K464" s="6">
        <f t="shared" si="29"/>
        <v>1</v>
      </c>
      <c r="L464" s="8">
        <v>41667</v>
      </c>
      <c r="M464" t="str">
        <f t="shared" ca="1" si="30"/>
        <v>12 years, 1 months</v>
      </c>
      <c r="N464" s="6">
        <v>25</v>
      </c>
      <c r="O464">
        <v>0</v>
      </c>
      <c r="P464">
        <v>1</v>
      </c>
      <c r="Q464">
        <f t="shared" si="31"/>
        <v>1</v>
      </c>
      <c r="R464">
        <v>3</v>
      </c>
      <c r="S464">
        <v>3</v>
      </c>
      <c r="T464">
        <f>Table[[#This Row],[NumWebPurchases]]+Table[[#This Row],[NumStorePurchases]]</f>
        <v>6</v>
      </c>
    </row>
    <row r="465" spans="1:20" ht="12.5">
      <c r="A465" s="6">
        <v>463</v>
      </c>
      <c r="B465" s="6">
        <v>7059</v>
      </c>
      <c r="C465" s="6">
        <v>1963</v>
      </c>
      <c r="D465" s="6">
        <f t="shared" si="28"/>
        <v>62</v>
      </c>
      <c r="E465" s="7" t="s">
        <v>9</v>
      </c>
      <c r="F465" s="7" t="s">
        <v>13</v>
      </c>
      <c r="G465" s="6">
        <v>80124</v>
      </c>
      <c r="H465" s="6" t="str" cm="1">
        <f t="array" ref="H465">_xlfn.IFS(
  G465 &lt; 25000, "Low",
  AND(G465 &gt;= 25000, G465 &lt; 75000), "Medium",
  AND(G465 &gt;= 75000, G465 &lt; 150000), "High",
  G465 &gt;= 150000, "Very High"
)</f>
        <v>High</v>
      </c>
      <c r="I465" s="6">
        <v>0</v>
      </c>
      <c r="J465" s="6">
        <v>0</v>
      </c>
      <c r="K465" s="6">
        <f t="shared" si="29"/>
        <v>0</v>
      </c>
      <c r="L465" s="8">
        <v>41816</v>
      </c>
      <c r="M465" t="str">
        <f t="shared" ca="1" si="30"/>
        <v>11 years, 8 months</v>
      </c>
      <c r="N465" s="6">
        <v>47</v>
      </c>
      <c r="O465">
        <v>84</v>
      </c>
      <c r="P465">
        <v>84</v>
      </c>
      <c r="Q465">
        <f t="shared" si="31"/>
        <v>168</v>
      </c>
      <c r="R465">
        <v>3</v>
      </c>
      <c r="S465">
        <v>8</v>
      </c>
      <c r="T465">
        <f>Table[[#This Row],[NumWebPurchases]]+Table[[#This Row],[NumStorePurchases]]</f>
        <v>11</v>
      </c>
    </row>
    <row r="466" spans="1:20" ht="12.5">
      <c r="A466" s="6">
        <v>464</v>
      </c>
      <c r="B466" s="6">
        <v>2815</v>
      </c>
      <c r="C466" s="6">
        <v>1975</v>
      </c>
      <c r="D466" s="6">
        <f t="shared" si="28"/>
        <v>50</v>
      </c>
      <c r="E466" s="7" t="s">
        <v>9</v>
      </c>
      <c r="F466" s="7" t="s">
        <v>13</v>
      </c>
      <c r="G466" s="6">
        <v>33183</v>
      </c>
      <c r="H466" s="6" t="str" cm="1">
        <f t="array" ref="H466">_xlfn.IFS(
  G466 &lt; 25000, "Low",
  AND(G466 &gt;= 25000, G466 &lt; 75000), "Medium",
  AND(G466 &gt;= 75000, G466 &lt; 150000), "High",
  G466 &gt;= 150000, "Very High"
)</f>
        <v>Medium</v>
      </c>
      <c r="I466" s="6">
        <v>1</v>
      </c>
      <c r="J466" s="6">
        <v>0</v>
      </c>
      <c r="K466" s="6">
        <f t="shared" si="29"/>
        <v>1</v>
      </c>
      <c r="L466" s="8">
        <v>41694</v>
      </c>
      <c r="M466" t="str">
        <f t="shared" ca="1" si="30"/>
        <v>12 years, 0 months</v>
      </c>
      <c r="N466" s="6">
        <v>46</v>
      </c>
      <c r="O466">
        <v>5</v>
      </c>
      <c r="P466">
        <v>15</v>
      </c>
      <c r="Q466">
        <f t="shared" si="31"/>
        <v>20</v>
      </c>
      <c r="R466">
        <v>4</v>
      </c>
      <c r="S466">
        <v>3</v>
      </c>
      <c r="T466">
        <f>Table[[#This Row],[NumWebPurchases]]+Table[[#This Row],[NumStorePurchases]]</f>
        <v>7</v>
      </c>
    </row>
    <row r="467" spans="1:20" ht="12.5">
      <c r="A467" s="6">
        <v>465</v>
      </c>
      <c r="B467" s="6">
        <v>2416</v>
      </c>
      <c r="C467" s="6">
        <v>1969</v>
      </c>
      <c r="D467" s="6">
        <f t="shared" si="28"/>
        <v>56</v>
      </c>
      <c r="E467" s="7" t="s">
        <v>12</v>
      </c>
      <c r="F467" s="7" t="s">
        <v>10</v>
      </c>
      <c r="G467" s="6">
        <v>66582</v>
      </c>
      <c r="H467" s="6" t="str" cm="1">
        <f t="array" ref="H467">_xlfn.IFS(
  G467 &lt; 25000, "Low",
  AND(G467 &gt;= 25000, G467 &lt; 75000), "Medium",
  AND(G467 &gt;= 75000, G467 &lt; 150000), "High",
  G467 &gt;= 150000, "Very High"
)</f>
        <v>Medium</v>
      </c>
      <c r="I467" s="6">
        <v>0</v>
      </c>
      <c r="J467" s="6">
        <v>0</v>
      </c>
      <c r="K467" s="6">
        <f t="shared" si="29"/>
        <v>0</v>
      </c>
      <c r="L467" s="8">
        <v>41701</v>
      </c>
      <c r="M467" t="str">
        <f t="shared" ca="1" si="30"/>
        <v>12 years, 0 months</v>
      </c>
      <c r="N467" s="6">
        <v>83</v>
      </c>
      <c r="O467">
        <v>25</v>
      </c>
      <c r="P467">
        <v>38</v>
      </c>
      <c r="Q467">
        <f t="shared" si="31"/>
        <v>63</v>
      </c>
      <c r="R467">
        <v>2</v>
      </c>
      <c r="S467">
        <v>9</v>
      </c>
      <c r="T467">
        <f>Table[[#This Row],[NumWebPurchases]]+Table[[#This Row],[NumStorePurchases]]</f>
        <v>11</v>
      </c>
    </row>
    <row r="468" spans="1:20" ht="12.5">
      <c r="A468" s="6">
        <v>466</v>
      </c>
      <c r="B468" s="6">
        <v>7999</v>
      </c>
      <c r="C468" s="6">
        <v>1955</v>
      </c>
      <c r="D468" s="6">
        <f t="shared" si="28"/>
        <v>70</v>
      </c>
      <c r="E468" s="7" t="s">
        <v>12</v>
      </c>
      <c r="F468" s="7" t="s">
        <v>11</v>
      </c>
      <c r="G468" s="6">
        <v>75261</v>
      </c>
      <c r="H468" s="6" t="str" cm="1">
        <f t="array" ref="H468">_xlfn.IFS(
  G468 &lt; 25000, "Low",
  AND(G468 &gt;= 25000, G468 &lt; 75000), "Medium",
  AND(G468 &gt;= 75000, G468 &lt; 150000), "High",
  G468 &gt;= 150000, "Very High"
)</f>
        <v>High</v>
      </c>
      <c r="I468" s="6">
        <v>0</v>
      </c>
      <c r="J468" s="6">
        <v>0</v>
      </c>
      <c r="K468" s="6">
        <f t="shared" si="29"/>
        <v>0</v>
      </c>
      <c r="L468" s="8">
        <v>41387</v>
      </c>
      <c r="M468" t="str">
        <f t="shared" ca="1" si="30"/>
        <v>12 years, 10 months</v>
      </c>
      <c r="N468" s="6">
        <v>17</v>
      </c>
      <c r="O468">
        <v>17</v>
      </c>
      <c r="P468">
        <v>34</v>
      </c>
      <c r="Q468">
        <f t="shared" si="31"/>
        <v>51</v>
      </c>
      <c r="R468">
        <v>5</v>
      </c>
      <c r="S468">
        <v>5</v>
      </c>
      <c r="T468">
        <f>Table[[#This Row],[NumWebPurchases]]+Table[[#This Row],[NumStorePurchases]]</f>
        <v>10</v>
      </c>
    </row>
    <row r="469" spans="1:20" ht="12.5">
      <c r="A469" s="6">
        <v>467</v>
      </c>
      <c r="B469" s="6">
        <v>9213</v>
      </c>
      <c r="C469" s="6">
        <v>1970</v>
      </c>
      <c r="D469" s="6">
        <f t="shared" si="28"/>
        <v>55</v>
      </c>
      <c r="E469" s="7" t="s">
        <v>9</v>
      </c>
      <c r="F469" s="7" t="s">
        <v>18</v>
      </c>
      <c r="G469" s="6">
        <v>31880</v>
      </c>
      <c r="H469" s="6" t="str" cm="1">
        <f t="array" ref="H469">_xlfn.IFS(
  G469 &lt; 25000, "Low",
  AND(G469 &gt;= 25000, G469 &lt; 75000), "Medium",
  AND(G469 &gt;= 75000, G469 &lt; 150000), "High",
  G469 &gt;= 150000, "Very High"
)</f>
        <v>Medium</v>
      </c>
      <c r="I469" s="6">
        <v>1</v>
      </c>
      <c r="J469" s="6">
        <v>0</v>
      </c>
      <c r="K469" s="6">
        <f t="shared" si="29"/>
        <v>1</v>
      </c>
      <c r="L469" s="9">
        <v>41213</v>
      </c>
      <c r="M469" t="str">
        <f t="shared" ca="1" si="30"/>
        <v>13 years, 4 months</v>
      </c>
      <c r="N469" s="6">
        <v>13</v>
      </c>
      <c r="O469">
        <v>1</v>
      </c>
      <c r="P469">
        <v>0</v>
      </c>
      <c r="Q469">
        <f t="shared" si="31"/>
        <v>1</v>
      </c>
      <c r="R469">
        <v>1</v>
      </c>
      <c r="S469">
        <v>2</v>
      </c>
      <c r="T469">
        <f>Table[[#This Row],[NumWebPurchases]]+Table[[#This Row],[NumStorePurchases]]</f>
        <v>3</v>
      </c>
    </row>
    <row r="470" spans="1:20" ht="12.5">
      <c r="A470" s="6">
        <v>468</v>
      </c>
      <c r="B470" s="6">
        <v>9697</v>
      </c>
      <c r="C470" s="6">
        <v>1951</v>
      </c>
      <c r="D470" s="6">
        <f t="shared" si="28"/>
        <v>74</v>
      </c>
      <c r="E470" s="7" t="s">
        <v>9</v>
      </c>
      <c r="F470" s="7" t="s">
        <v>13</v>
      </c>
      <c r="G470" s="6">
        <v>53790</v>
      </c>
      <c r="H470" s="6" t="str" cm="1">
        <f t="array" ref="H470">_xlfn.IFS(
  G470 &lt; 25000, "Low",
  AND(G470 &gt;= 25000, G470 &lt; 75000), "Medium",
  AND(G470 &gt;= 75000, G470 &lt; 150000), "High",
  G470 &gt;= 150000, "Very High"
)</f>
        <v>Medium</v>
      </c>
      <c r="I470" s="6">
        <v>0</v>
      </c>
      <c r="J470" s="6">
        <v>2</v>
      </c>
      <c r="K470" s="6">
        <f t="shared" si="29"/>
        <v>2</v>
      </c>
      <c r="L470" s="8">
        <v>41704</v>
      </c>
      <c r="M470" t="str">
        <f t="shared" ca="1" si="30"/>
        <v>12 years, 0 months</v>
      </c>
      <c r="N470" s="6">
        <v>86</v>
      </c>
      <c r="O470">
        <v>42</v>
      </c>
      <c r="P470">
        <v>5</v>
      </c>
      <c r="Q470">
        <f t="shared" si="31"/>
        <v>47</v>
      </c>
      <c r="R470">
        <v>7</v>
      </c>
      <c r="S470">
        <v>8</v>
      </c>
      <c r="T470">
        <f>Table[[#This Row],[NumWebPurchases]]+Table[[#This Row],[NumStorePurchases]]</f>
        <v>15</v>
      </c>
    </row>
    <row r="471" spans="1:20" ht="12.5">
      <c r="A471" s="6">
        <v>469</v>
      </c>
      <c r="B471" s="6">
        <v>3916</v>
      </c>
      <c r="C471" s="6">
        <v>1971</v>
      </c>
      <c r="D471" s="6">
        <f t="shared" si="28"/>
        <v>54</v>
      </c>
      <c r="E471" s="7" t="s">
        <v>12</v>
      </c>
      <c r="F471" s="7" t="s">
        <v>11</v>
      </c>
      <c r="G471" s="6">
        <v>49269</v>
      </c>
      <c r="H471" s="6" t="str" cm="1">
        <f t="array" ref="H471">_xlfn.IFS(
  G471 &lt; 25000, "Low",
  AND(G471 &gt;= 25000, G471 &lt; 75000), "Medium",
  AND(G471 &gt;= 75000, G471 &lt; 150000), "High",
  G471 &gt;= 150000, "Very High"
)</f>
        <v>Medium</v>
      </c>
      <c r="I471" s="6">
        <v>1</v>
      </c>
      <c r="J471" s="6">
        <v>0</v>
      </c>
      <c r="K471" s="6">
        <f t="shared" si="29"/>
        <v>1</v>
      </c>
      <c r="L471" s="8">
        <v>41136</v>
      </c>
      <c r="M471" t="str">
        <f t="shared" ca="1" si="30"/>
        <v>13 years, 6 months</v>
      </c>
      <c r="N471" s="6">
        <v>92</v>
      </c>
      <c r="O471">
        <v>8</v>
      </c>
      <c r="P471">
        <v>8</v>
      </c>
      <c r="Q471">
        <f t="shared" si="31"/>
        <v>16</v>
      </c>
      <c r="R471">
        <v>7</v>
      </c>
      <c r="S471">
        <v>12</v>
      </c>
      <c r="T471">
        <f>Table[[#This Row],[NumWebPurchases]]+Table[[#This Row],[NumStorePurchases]]</f>
        <v>19</v>
      </c>
    </row>
    <row r="472" spans="1:20" ht="12.5">
      <c r="A472" s="6">
        <v>470</v>
      </c>
      <c r="B472" s="6">
        <v>2021</v>
      </c>
      <c r="C472" s="6">
        <v>1975</v>
      </c>
      <c r="D472" s="6">
        <f t="shared" si="28"/>
        <v>50</v>
      </c>
      <c r="E472" s="7" t="s">
        <v>9</v>
      </c>
      <c r="F472" s="7" t="s">
        <v>13</v>
      </c>
      <c r="G472" s="6">
        <v>61456</v>
      </c>
      <c r="H472" s="6" t="str" cm="1">
        <f t="array" ref="H472">_xlfn.IFS(
  G472 &lt; 25000, "Low",
  AND(G472 &gt;= 25000, G472 &lt; 75000), "Medium",
  AND(G472 &gt;= 75000, G472 &lt; 150000), "High",
  G472 &gt;= 150000, "Very High"
)</f>
        <v>Medium</v>
      </c>
      <c r="I472" s="6">
        <v>0</v>
      </c>
      <c r="J472" s="6">
        <v>1</v>
      </c>
      <c r="K472" s="6">
        <f t="shared" si="29"/>
        <v>1</v>
      </c>
      <c r="L472" s="8">
        <v>41360</v>
      </c>
      <c r="M472" t="str">
        <f t="shared" ca="1" si="30"/>
        <v>12 years, 11 months</v>
      </c>
      <c r="N472" s="6">
        <v>47</v>
      </c>
      <c r="O472">
        <v>76</v>
      </c>
      <c r="P472">
        <v>192</v>
      </c>
      <c r="Q472">
        <f t="shared" si="31"/>
        <v>268</v>
      </c>
      <c r="R472">
        <v>6</v>
      </c>
      <c r="S472">
        <v>13</v>
      </c>
      <c r="T472">
        <f>Table[[#This Row],[NumWebPurchases]]+Table[[#This Row],[NumStorePurchases]]</f>
        <v>19</v>
      </c>
    </row>
    <row r="473" spans="1:20" ht="12.5">
      <c r="A473" s="6">
        <v>471</v>
      </c>
      <c r="B473" s="6">
        <v>1581</v>
      </c>
      <c r="C473" s="6">
        <v>1980</v>
      </c>
      <c r="D473" s="6">
        <f t="shared" si="28"/>
        <v>45</v>
      </c>
      <c r="E473" s="7" t="s">
        <v>9</v>
      </c>
      <c r="F473" s="7" t="s">
        <v>13</v>
      </c>
      <c r="G473" s="6">
        <v>37406</v>
      </c>
      <c r="H473" s="6" t="str" cm="1">
        <f t="array" ref="H473">_xlfn.IFS(
  G473 &lt; 25000, "Low",
  AND(G473 &gt;= 25000, G473 &lt; 75000), "Medium",
  AND(G473 &gt;= 75000, G473 &lt; 150000), "High",
  G473 &gt;= 150000, "Very High"
)</f>
        <v>Medium</v>
      </c>
      <c r="I473" s="6">
        <v>1</v>
      </c>
      <c r="J473" s="6">
        <v>0</v>
      </c>
      <c r="K473" s="6">
        <f t="shared" si="29"/>
        <v>1</v>
      </c>
      <c r="L473" s="9">
        <v>41557</v>
      </c>
      <c r="M473" t="str">
        <f t="shared" ca="1" si="30"/>
        <v>12 years, 4 months</v>
      </c>
      <c r="N473" s="6">
        <v>18</v>
      </c>
      <c r="O473">
        <v>0</v>
      </c>
      <c r="P473">
        <v>2</v>
      </c>
      <c r="Q473">
        <f t="shared" si="31"/>
        <v>2</v>
      </c>
      <c r="R473">
        <v>1</v>
      </c>
      <c r="S473">
        <v>2</v>
      </c>
      <c r="T473">
        <f>Table[[#This Row],[NumWebPurchases]]+Table[[#This Row],[NumStorePurchases]]</f>
        <v>3</v>
      </c>
    </row>
    <row r="474" spans="1:20" ht="12.5">
      <c r="A474" s="6">
        <v>472</v>
      </c>
      <c r="B474" s="6">
        <v>564</v>
      </c>
      <c r="C474" s="6">
        <v>1981</v>
      </c>
      <c r="D474" s="6">
        <f t="shared" si="28"/>
        <v>44</v>
      </c>
      <c r="E474" s="7" t="s">
        <v>12</v>
      </c>
      <c r="F474" s="7" t="s">
        <v>11</v>
      </c>
      <c r="G474" s="6">
        <v>56937</v>
      </c>
      <c r="H474" s="6" t="str" cm="1">
        <f t="array" ref="H474">_xlfn.IFS(
  G474 &lt; 25000, "Low",
  AND(G474 &gt;= 25000, G474 &lt; 75000), "Medium",
  AND(G474 &gt;= 75000, G474 &lt; 150000), "High",
  G474 &gt;= 150000, "Very High"
)</f>
        <v>Medium</v>
      </c>
      <c r="I474" s="6">
        <v>1</v>
      </c>
      <c r="J474" s="6">
        <v>0</v>
      </c>
      <c r="K474" s="6">
        <f t="shared" si="29"/>
        <v>1</v>
      </c>
      <c r="L474" s="8">
        <v>41125</v>
      </c>
      <c r="M474" t="str">
        <f t="shared" ca="1" si="30"/>
        <v>13 years, 7 months</v>
      </c>
      <c r="N474" s="6">
        <v>81</v>
      </c>
      <c r="O474">
        <v>8</v>
      </c>
      <c r="P474">
        <v>8</v>
      </c>
      <c r="Q474">
        <f t="shared" si="31"/>
        <v>16</v>
      </c>
      <c r="R474">
        <v>8</v>
      </c>
      <c r="S474">
        <v>9</v>
      </c>
      <c r="T474">
        <f>Table[[#This Row],[NumWebPurchases]]+Table[[#This Row],[NumStorePurchases]]</f>
        <v>17</v>
      </c>
    </row>
    <row r="475" spans="1:20" ht="12.5">
      <c r="A475" s="6">
        <v>473</v>
      </c>
      <c r="B475" s="6">
        <v>6619</v>
      </c>
      <c r="C475" s="6">
        <v>1978</v>
      </c>
      <c r="D475" s="6">
        <f t="shared" si="28"/>
        <v>47</v>
      </c>
      <c r="E475" s="7" t="s">
        <v>9</v>
      </c>
      <c r="F475" s="7" t="s">
        <v>13</v>
      </c>
      <c r="G475" s="6">
        <v>38415</v>
      </c>
      <c r="H475" s="6" t="str" cm="1">
        <f t="array" ref="H475">_xlfn.IFS(
  G475 &lt; 25000, "Low",
  AND(G475 &gt;= 25000, G475 &lt; 75000), "Medium",
  AND(G475 &gt;= 75000, G475 &lt; 150000), "High",
  G475 &gt;= 150000, "Very High"
)</f>
        <v>Medium</v>
      </c>
      <c r="I475" s="6">
        <v>1</v>
      </c>
      <c r="J475" s="6">
        <v>1</v>
      </c>
      <c r="K475" s="6">
        <f t="shared" si="29"/>
        <v>2</v>
      </c>
      <c r="L475" s="8">
        <v>41276</v>
      </c>
      <c r="M475" t="str">
        <f t="shared" ca="1" si="30"/>
        <v>13 years, 2 months</v>
      </c>
      <c r="N475" s="6">
        <v>91</v>
      </c>
      <c r="O475">
        <v>1</v>
      </c>
      <c r="P475">
        <v>0</v>
      </c>
      <c r="Q475">
        <f t="shared" si="31"/>
        <v>1</v>
      </c>
      <c r="R475">
        <v>1</v>
      </c>
      <c r="S475">
        <v>3</v>
      </c>
      <c r="T475">
        <f>Table[[#This Row],[NumWebPurchases]]+Table[[#This Row],[NumStorePurchases]]</f>
        <v>4</v>
      </c>
    </row>
    <row r="476" spans="1:20" ht="12.5">
      <c r="A476" s="6">
        <v>474</v>
      </c>
      <c r="B476" s="6">
        <v>9081</v>
      </c>
      <c r="C476" s="6">
        <v>1988</v>
      </c>
      <c r="D476" s="6">
        <f t="shared" si="28"/>
        <v>37</v>
      </c>
      <c r="E476" s="7" t="s">
        <v>9</v>
      </c>
      <c r="F476" s="7" t="s">
        <v>10</v>
      </c>
      <c r="G476" s="6">
        <v>20518</v>
      </c>
      <c r="H476" s="6" t="str" cm="1">
        <f t="array" ref="H476">_xlfn.IFS(
  G476 &lt; 25000, "Low",
  AND(G476 &gt;= 25000, G476 &lt; 75000), "Medium",
  AND(G476 &gt;= 75000, G476 &lt; 150000), "High",
  G476 &gt;= 150000, "Very High"
)</f>
        <v>Low</v>
      </c>
      <c r="I476" s="6">
        <v>1</v>
      </c>
      <c r="J476" s="6">
        <v>0</v>
      </c>
      <c r="K476" s="6">
        <f t="shared" si="29"/>
        <v>1</v>
      </c>
      <c r="L476" s="8">
        <v>41777</v>
      </c>
      <c r="M476" t="str">
        <f t="shared" ca="1" si="30"/>
        <v>11 years, 9 months</v>
      </c>
      <c r="N476" s="6">
        <v>58</v>
      </c>
      <c r="O476">
        <v>1</v>
      </c>
      <c r="P476">
        <v>1</v>
      </c>
      <c r="Q476">
        <f t="shared" si="31"/>
        <v>2</v>
      </c>
      <c r="R476">
        <v>1</v>
      </c>
      <c r="S476">
        <v>2</v>
      </c>
      <c r="T476">
        <f>Table[[#This Row],[NumWebPurchases]]+Table[[#This Row],[NumStorePurchases]]</f>
        <v>3</v>
      </c>
    </row>
    <row r="477" spans="1:20" ht="12.5">
      <c r="A477" s="6">
        <v>475</v>
      </c>
      <c r="B477" s="6">
        <v>178</v>
      </c>
      <c r="C477" s="6">
        <v>1956</v>
      </c>
      <c r="D477" s="6">
        <f t="shared" si="28"/>
        <v>69</v>
      </c>
      <c r="E477" s="7" t="s">
        <v>9</v>
      </c>
      <c r="F477" s="7" t="s">
        <v>13</v>
      </c>
      <c r="G477" s="6">
        <v>62503</v>
      </c>
      <c r="H477" s="6" t="str" cm="1">
        <f t="array" ref="H477">_xlfn.IFS(
  G477 &lt; 25000, "Low",
  AND(G477 &gt;= 25000, G477 &lt; 75000), "Medium",
  AND(G477 &gt;= 75000, G477 &lt; 150000), "High",
  G477 &gt;= 150000, "Very High"
)</f>
        <v>Medium</v>
      </c>
      <c r="I477" s="6">
        <v>0</v>
      </c>
      <c r="J477" s="6">
        <v>1</v>
      </c>
      <c r="K477" s="6">
        <f t="shared" si="29"/>
        <v>1</v>
      </c>
      <c r="L477" s="8">
        <v>41323</v>
      </c>
      <c r="M477" t="str">
        <f t="shared" ca="1" si="30"/>
        <v>13 years, 0 months</v>
      </c>
      <c r="N477" s="6">
        <v>40</v>
      </c>
      <c r="O477">
        <v>0</v>
      </c>
      <c r="P477">
        <v>75</v>
      </c>
      <c r="Q477">
        <f t="shared" si="31"/>
        <v>75</v>
      </c>
      <c r="R477">
        <v>8</v>
      </c>
      <c r="S477">
        <v>11</v>
      </c>
      <c r="T477">
        <f>Table[[#This Row],[NumWebPurchases]]+Table[[#This Row],[NumStorePurchases]]</f>
        <v>19</v>
      </c>
    </row>
    <row r="478" spans="1:20" ht="12.5">
      <c r="A478" s="6">
        <v>476</v>
      </c>
      <c r="B478" s="6">
        <v>916</v>
      </c>
      <c r="C478" s="6">
        <v>1972</v>
      </c>
      <c r="D478" s="6">
        <f t="shared" si="28"/>
        <v>53</v>
      </c>
      <c r="E478" s="7" t="s">
        <v>12</v>
      </c>
      <c r="F478" s="7" t="s">
        <v>10</v>
      </c>
      <c r="G478" s="6">
        <v>41644</v>
      </c>
      <c r="H478" s="6" t="str" cm="1">
        <f t="array" ref="H478">_xlfn.IFS(
  G478 &lt; 25000, "Low",
  AND(G478 &gt;= 25000, G478 &lt; 75000), "Medium",
  AND(G478 &gt;= 75000, G478 &lt; 150000), "High",
  G478 &gt;= 150000, "Very High"
)</f>
        <v>Medium</v>
      </c>
      <c r="I478" s="6">
        <v>1</v>
      </c>
      <c r="J478" s="6">
        <v>1</v>
      </c>
      <c r="K478" s="6">
        <f t="shared" si="29"/>
        <v>2</v>
      </c>
      <c r="L478" s="8">
        <v>41768</v>
      </c>
      <c r="M478" t="str">
        <f t="shared" ca="1" si="30"/>
        <v>11 years, 9 months</v>
      </c>
      <c r="N478" s="6">
        <v>67</v>
      </c>
      <c r="O478">
        <v>3</v>
      </c>
      <c r="P478">
        <v>0</v>
      </c>
      <c r="Q478">
        <f t="shared" si="31"/>
        <v>3</v>
      </c>
      <c r="R478">
        <v>1</v>
      </c>
      <c r="S478">
        <v>3</v>
      </c>
      <c r="T478">
        <f>Table[[#This Row],[NumWebPurchases]]+Table[[#This Row],[NumStorePurchases]]</f>
        <v>4</v>
      </c>
    </row>
    <row r="479" spans="1:20" ht="12.5">
      <c r="A479" s="6">
        <v>477</v>
      </c>
      <c r="B479" s="6">
        <v>5512</v>
      </c>
      <c r="C479" s="6">
        <v>1977</v>
      </c>
      <c r="D479" s="6">
        <f t="shared" si="28"/>
        <v>48</v>
      </c>
      <c r="E479" s="7" t="s">
        <v>14</v>
      </c>
      <c r="F479" s="7" t="s">
        <v>13</v>
      </c>
      <c r="G479" s="6">
        <v>55842</v>
      </c>
      <c r="H479" s="6" t="str" cm="1">
        <f t="array" ref="H479">_xlfn.IFS(
  G479 &lt; 25000, "Low",
  AND(G479 &gt;= 25000, G479 &lt; 75000), "Medium",
  AND(G479 &gt;= 75000, G479 &lt; 150000), "High",
  G479 &gt;= 150000, "Very High"
)</f>
        <v>Medium</v>
      </c>
      <c r="I479" s="6">
        <v>0</v>
      </c>
      <c r="J479" s="6">
        <v>1</v>
      </c>
      <c r="K479" s="6">
        <f t="shared" si="29"/>
        <v>1</v>
      </c>
      <c r="L479" s="8">
        <v>41782</v>
      </c>
      <c r="M479" t="str">
        <f t="shared" ca="1" si="30"/>
        <v>11 years, 9 months</v>
      </c>
      <c r="N479" s="6">
        <v>19</v>
      </c>
      <c r="O479">
        <v>0</v>
      </c>
      <c r="P479">
        <v>4</v>
      </c>
      <c r="Q479">
        <f t="shared" si="31"/>
        <v>4</v>
      </c>
      <c r="R479">
        <v>7</v>
      </c>
      <c r="S479">
        <v>8</v>
      </c>
      <c r="T479">
        <f>Table[[#This Row],[NumWebPurchases]]+Table[[#This Row],[NumStorePurchases]]</f>
        <v>15</v>
      </c>
    </row>
    <row r="480" spans="1:20" ht="12.5">
      <c r="A480" s="6">
        <v>478</v>
      </c>
      <c r="B480" s="6">
        <v>8970</v>
      </c>
      <c r="C480" s="6">
        <v>1972</v>
      </c>
      <c r="D480" s="6">
        <f t="shared" si="28"/>
        <v>53</v>
      </c>
      <c r="E480" s="7" t="s">
        <v>12</v>
      </c>
      <c r="F480" s="7" t="s">
        <v>13</v>
      </c>
      <c r="G480" s="6">
        <v>62010</v>
      </c>
      <c r="H480" s="6" t="str" cm="1">
        <f t="array" ref="H480">_xlfn.IFS(
  G480 &lt; 25000, "Low",
  AND(G480 &gt;= 25000, G480 &lt; 75000), "Medium",
  AND(G480 &gt;= 75000, G480 &lt; 150000), "High",
  G480 &gt;= 150000, "Very High"
)</f>
        <v>Medium</v>
      </c>
      <c r="I480" s="6">
        <v>0</v>
      </c>
      <c r="J480" s="6">
        <v>1</v>
      </c>
      <c r="K480" s="6">
        <f t="shared" si="29"/>
        <v>1</v>
      </c>
      <c r="L480" s="9">
        <v>41205</v>
      </c>
      <c r="M480" t="str">
        <f t="shared" ca="1" si="30"/>
        <v>13 years, 4 months</v>
      </c>
      <c r="N480" s="6">
        <v>93</v>
      </c>
      <c r="O480">
        <v>22</v>
      </c>
      <c r="P480">
        <v>0</v>
      </c>
      <c r="Q480">
        <f t="shared" si="31"/>
        <v>22</v>
      </c>
      <c r="R480">
        <v>6</v>
      </c>
      <c r="S480">
        <v>7</v>
      </c>
      <c r="T480">
        <f>Table[[#This Row],[NumWebPurchases]]+Table[[#This Row],[NumStorePurchases]]</f>
        <v>13</v>
      </c>
    </row>
    <row r="481" spans="1:20" ht="12.5">
      <c r="A481" s="6">
        <v>479</v>
      </c>
      <c r="B481" s="6">
        <v>10581</v>
      </c>
      <c r="C481" s="6">
        <v>1977</v>
      </c>
      <c r="D481" s="6">
        <f t="shared" si="28"/>
        <v>48</v>
      </c>
      <c r="E481" s="7" t="s">
        <v>9</v>
      </c>
      <c r="F481" s="7" t="s">
        <v>13</v>
      </c>
      <c r="G481" s="6">
        <v>41124</v>
      </c>
      <c r="H481" s="6" t="str" cm="1">
        <f t="array" ref="H481">_xlfn.IFS(
  G481 &lt; 25000, "Low",
  AND(G481 &gt;= 25000, G481 &lt; 75000), "Medium",
  AND(G481 &gt;= 75000, G481 &lt; 150000), "High",
  G481 &gt;= 150000, "Very High"
)</f>
        <v>Medium</v>
      </c>
      <c r="I481" s="6">
        <v>1</v>
      </c>
      <c r="J481" s="6">
        <v>0</v>
      </c>
      <c r="K481" s="6">
        <f t="shared" si="29"/>
        <v>1</v>
      </c>
      <c r="L481" s="9">
        <v>41213</v>
      </c>
      <c r="M481" t="str">
        <f t="shared" ca="1" si="30"/>
        <v>13 years, 4 months</v>
      </c>
      <c r="N481" s="6">
        <v>41</v>
      </c>
      <c r="O481">
        <v>7</v>
      </c>
      <c r="P481">
        <v>0</v>
      </c>
      <c r="Q481">
        <f t="shared" si="31"/>
        <v>7</v>
      </c>
      <c r="R481">
        <v>7</v>
      </c>
      <c r="S481">
        <v>4</v>
      </c>
      <c r="T481">
        <f>Table[[#This Row],[NumWebPurchases]]+Table[[#This Row],[NumStorePurchases]]</f>
        <v>11</v>
      </c>
    </row>
    <row r="482" spans="1:20" ht="12.5">
      <c r="A482" s="6">
        <v>480</v>
      </c>
      <c r="B482" s="6">
        <v>5300</v>
      </c>
      <c r="C482" s="6">
        <v>1973</v>
      </c>
      <c r="D482" s="6">
        <f t="shared" si="28"/>
        <v>52</v>
      </c>
      <c r="E482" s="7" t="s">
        <v>14</v>
      </c>
      <c r="F482" s="7" t="s">
        <v>13</v>
      </c>
      <c r="G482" s="6">
        <v>38961</v>
      </c>
      <c r="H482" s="6" t="str" cm="1">
        <f t="array" ref="H482">_xlfn.IFS(
  G482 &lt; 25000, "Low",
  AND(G482 &gt;= 25000, G482 &lt; 75000), "Medium",
  AND(G482 &gt;= 75000, G482 &lt; 150000), "High",
  G482 &gt;= 150000, "Very High"
)</f>
        <v>Medium</v>
      </c>
      <c r="I482" s="6">
        <v>1</v>
      </c>
      <c r="J482" s="6">
        <v>0</v>
      </c>
      <c r="K482" s="6">
        <f t="shared" si="29"/>
        <v>1</v>
      </c>
      <c r="L482" s="9">
        <v>41638</v>
      </c>
      <c r="M482" t="str">
        <f t="shared" ca="1" si="30"/>
        <v>12 years, 2 months</v>
      </c>
      <c r="N482" s="6">
        <v>60</v>
      </c>
      <c r="O482">
        <v>7</v>
      </c>
      <c r="P482">
        <v>1</v>
      </c>
      <c r="Q482">
        <f t="shared" si="31"/>
        <v>8</v>
      </c>
      <c r="R482">
        <v>2</v>
      </c>
      <c r="S482">
        <v>2</v>
      </c>
      <c r="T482">
        <f>Table[[#This Row],[NumWebPurchases]]+Table[[#This Row],[NumStorePurchases]]</f>
        <v>4</v>
      </c>
    </row>
    <row r="483" spans="1:20" ht="12.5">
      <c r="A483" s="6">
        <v>481</v>
      </c>
      <c r="B483" s="6">
        <v>5154</v>
      </c>
      <c r="C483" s="6">
        <v>1972</v>
      </c>
      <c r="D483" s="6">
        <f t="shared" si="28"/>
        <v>53</v>
      </c>
      <c r="E483" s="7" t="s">
        <v>14</v>
      </c>
      <c r="F483" s="7" t="s">
        <v>15</v>
      </c>
      <c r="G483" s="6">
        <v>37760</v>
      </c>
      <c r="H483" s="6" t="str" cm="1">
        <f t="array" ref="H483">_xlfn.IFS(
  G483 &lt; 25000, "Low",
  AND(G483 &gt;= 25000, G483 &lt; 75000), "Medium",
  AND(G483 &gt;= 75000, G483 &lt; 150000), "High",
  G483 &gt;= 150000, "Very High"
)</f>
        <v>Medium</v>
      </c>
      <c r="I483" s="6">
        <v>1</v>
      </c>
      <c r="J483" s="6">
        <v>0</v>
      </c>
      <c r="K483" s="6">
        <f t="shared" si="29"/>
        <v>1</v>
      </c>
      <c r="L483" s="8">
        <v>41497</v>
      </c>
      <c r="M483" t="str">
        <f t="shared" ca="1" si="30"/>
        <v>12 years, 6 months</v>
      </c>
      <c r="N483" s="6">
        <v>54</v>
      </c>
      <c r="O483">
        <v>3</v>
      </c>
      <c r="P483">
        <v>10</v>
      </c>
      <c r="Q483">
        <f t="shared" si="31"/>
        <v>13</v>
      </c>
      <c r="R483">
        <v>2</v>
      </c>
      <c r="S483">
        <v>3</v>
      </c>
      <c r="T483">
        <f>Table[[#This Row],[NumWebPurchases]]+Table[[#This Row],[NumStorePurchases]]</f>
        <v>5</v>
      </c>
    </row>
    <row r="484" spans="1:20" ht="12.5">
      <c r="A484" s="6">
        <v>482</v>
      </c>
      <c r="B484" s="6">
        <v>8346</v>
      </c>
      <c r="C484" s="6">
        <v>1974</v>
      </c>
      <c r="D484" s="6">
        <f t="shared" si="28"/>
        <v>51</v>
      </c>
      <c r="E484" s="7" t="s">
        <v>9</v>
      </c>
      <c r="F484" s="7" t="s">
        <v>10</v>
      </c>
      <c r="G484" s="6">
        <v>32233</v>
      </c>
      <c r="H484" s="6" t="str" cm="1">
        <f t="array" ref="H484">_xlfn.IFS(
  G484 &lt; 25000, "Low",
  AND(G484 &gt;= 25000, G484 &lt; 75000), "Medium",
  AND(G484 &gt;= 75000, G484 &lt; 150000), "High",
  G484 &gt;= 150000, "Very High"
)</f>
        <v>Medium</v>
      </c>
      <c r="I484" s="6">
        <v>1</v>
      </c>
      <c r="J484" s="6">
        <v>0</v>
      </c>
      <c r="K484" s="6">
        <f t="shared" si="29"/>
        <v>1</v>
      </c>
      <c r="L484" s="8">
        <v>41140</v>
      </c>
      <c r="M484" t="str">
        <f t="shared" ca="1" si="30"/>
        <v>13 years, 6 months</v>
      </c>
      <c r="N484" s="6">
        <v>26</v>
      </c>
      <c r="O484">
        <v>15</v>
      </c>
      <c r="P484">
        <v>11</v>
      </c>
      <c r="Q484">
        <f t="shared" si="31"/>
        <v>26</v>
      </c>
      <c r="R484">
        <v>6</v>
      </c>
      <c r="S484">
        <v>2</v>
      </c>
      <c r="T484">
        <f>Table[[#This Row],[NumWebPurchases]]+Table[[#This Row],[NumStorePurchases]]</f>
        <v>8</v>
      </c>
    </row>
    <row r="485" spans="1:20" ht="12.5">
      <c r="A485" s="6">
        <v>483</v>
      </c>
      <c r="B485" s="6">
        <v>1676</v>
      </c>
      <c r="C485" s="6">
        <v>1975</v>
      </c>
      <c r="D485" s="6">
        <f t="shared" si="28"/>
        <v>50</v>
      </c>
      <c r="E485" s="7" t="s">
        <v>9</v>
      </c>
      <c r="F485" s="7" t="s">
        <v>13</v>
      </c>
      <c r="G485" s="6">
        <v>43057</v>
      </c>
      <c r="H485" s="6" t="str" cm="1">
        <f t="array" ref="H485">_xlfn.IFS(
  G485 &lt; 25000, "Low",
  AND(G485 &gt;= 25000, G485 &lt; 75000), "Medium",
  AND(G485 &gt;= 75000, G485 &lt; 150000), "High",
  G485 &gt;= 150000, "Very High"
)</f>
        <v>Medium</v>
      </c>
      <c r="I485" s="6">
        <v>0</v>
      </c>
      <c r="J485" s="6">
        <v>1</v>
      </c>
      <c r="K485" s="6">
        <f t="shared" si="29"/>
        <v>1</v>
      </c>
      <c r="L485" s="9">
        <v>41577</v>
      </c>
      <c r="M485" t="str">
        <f t="shared" ca="1" si="30"/>
        <v>12 years, 4 months</v>
      </c>
      <c r="N485" s="6">
        <v>30</v>
      </c>
      <c r="O485">
        <v>2</v>
      </c>
      <c r="P485">
        <v>2</v>
      </c>
      <c r="Q485">
        <f t="shared" si="31"/>
        <v>4</v>
      </c>
      <c r="R485">
        <v>4</v>
      </c>
      <c r="S485">
        <v>5</v>
      </c>
      <c r="T485">
        <f>Table[[#This Row],[NumWebPurchases]]+Table[[#This Row],[NumStorePurchases]]</f>
        <v>9</v>
      </c>
    </row>
    <row r="486" spans="1:20" ht="12.5">
      <c r="A486" s="6">
        <v>484</v>
      </c>
      <c r="B486" s="6">
        <v>9286</v>
      </c>
      <c r="C486" s="6">
        <v>1960</v>
      </c>
      <c r="D486" s="6">
        <f t="shared" si="28"/>
        <v>65</v>
      </c>
      <c r="E486" s="7" t="s">
        <v>14</v>
      </c>
      <c r="F486" s="7" t="s">
        <v>11</v>
      </c>
      <c r="G486" s="6">
        <v>83151</v>
      </c>
      <c r="H486" s="6" t="str" cm="1">
        <f t="array" ref="H486">_xlfn.IFS(
  G486 &lt; 25000, "Low",
  AND(G486 &gt;= 25000, G486 &lt; 75000), "Medium",
  AND(G486 &gt;= 75000, G486 &lt; 150000), "High",
  G486 &gt;= 150000, "Very High"
)</f>
        <v>High</v>
      </c>
      <c r="I486" s="6">
        <v>0</v>
      </c>
      <c r="J486" s="6">
        <v>0</v>
      </c>
      <c r="K486" s="6">
        <f t="shared" si="29"/>
        <v>0</v>
      </c>
      <c r="L486" s="9">
        <v>41192</v>
      </c>
      <c r="M486" t="str">
        <f t="shared" ca="1" si="30"/>
        <v>13 years, 4 months</v>
      </c>
      <c r="N486" s="6">
        <v>93</v>
      </c>
      <c r="O486">
        <v>28</v>
      </c>
      <c r="P486">
        <v>74</v>
      </c>
      <c r="Q486">
        <f t="shared" si="31"/>
        <v>102</v>
      </c>
      <c r="R486">
        <v>5</v>
      </c>
      <c r="S486">
        <v>4</v>
      </c>
      <c r="T486">
        <f>Table[[#This Row],[NumWebPurchases]]+Table[[#This Row],[NumStorePurchases]]</f>
        <v>9</v>
      </c>
    </row>
    <row r="487" spans="1:20" ht="12.5">
      <c r="A487" s="6">
        <v>485</v>
      </c>
      <c r="B487" s="6">
        <v>2426</v>
      </c>
      <c r="C487" s="6">
        <v>1964</v>
      </c>
      <c r="D487" s="6">
        <f t="shared" si="28"/>
        <v>61</v>
      </c>
      <c r="E487" s="7" t="s">
        <v>12</v>
      </c>
      <c r="F487" s="7" t="s">
        <v>15</v>
      </c>
      <c r="G487" s="6">
        <v>78825</v>
      </c>
      <c r="H487" s="6" t="str" cm="1">
        <f t="array" ref="H487">_xlfn.IFS(
  G487 &lt; 25000, "Low",
  AND(G487 &gt;= 25000, G487 &lt; 75000), "Medium",
  AND(G487 &gt;= 75000, G487 &lt; 150000), "High",
  G487 &gt;= 150000, "Very High"
)</f>
        <v>High</v>
      </c>
      <c r="I487" s="6">
        <v>0</v>
      </c>
      <c r="J487" s="6">
        <v>0</v>
      </c>
      <c r="K487" s="6">
        <f t="shared" si="29"/>
        <v>0</v>
      </c>
      <c r="L487" s="8">
        <v>41166</v>
      </c>
      <c r="M487" t="str">
        <f t="shared" ca="1" si="30"/>
        <v>13 years, 5 months</v>
      </c>
      <c r="N487" s="6">
        <v>35</v>
      </c>
      <c r="O487">
        <v>74</v>
      </c>
      <c r="P487">
        <v>37</v>
      </c>
      <c r="Q487">
        <f t="shared" si="31"/>
        <v>111</v>
      </c>
      <c r="R487">
        <v>5</v>
      </c>
      <c r="S487">
        <v>13</v>
      </c>
      <c r="T487">
        <f>Table[[#This Row],[NumWebPurchases]]+Table[[#This Row],[NumStorePurchases]]</f>
        <v>18</v>
      </c>
    </row>
    <row r="488" spans="1:20" ht="12.5">
      <c r="A488" s="6">
        <v>486</v>
      </c>
      <c r="B488" s="6">
        <v>5172</v>
      </c>
      <c r="C488" s="6">
        <v>1976</v>
      </c>
      <c r="D488" s="6">
        <f t="shared" si="28"/>
        <v>49</v>
      </c>
      <c r="E488" s="7" t="s">
        <v>14</v>
      </c>
      <c r="F488" s="7" t="s">
        <v>11</v>
      </c>
      <c r="G488" s="6">
        <v>65104</v>
      </c>
      <c r="H488" s="6" t="str" cm="1">
        <f t="array" ref="H488">_xlfn.IFS(
  G488 &lt; 25000, "Low",
  AND(G488 &gt;= 25000, G488 &lt; 75000), "Medium",
  AND(G488 &gt;= 75000, G488 &lt; 150000), "High",
  G488 &gt;= 150000, "Very High"
)</f>
        <v>Medium</v>
      </c>
      <c r="I488" s="6">
        <v>0</v>
      </c>
      <c r="J488" s="6">
        <v>1</v>
      </c>
      <c r="K488" s="6">
        <f t="shared" si="29"/>
        <v>1</v>
      </c>
      <c r="L488" s="9">
        <v>41592</v>
      </c>
      <c r="M488" t="str">
        <f t="shared" ca="1" si="30"/>
        <v>12 years, 3 months</v>
      </c>
      <c r="N488" s="6">
        <v>4</v>
      </c>
      <c r="O488">
        <v>0</v>
      </c>
      <c r="P488">
        <v>20</v>
      </c>
      <c r="Q488">
        <f t="shared" si="31"/>
        <v>20</v>
      </c>
      <c r="R488">
        <v>3</v>
      </c>
      <c r="S488">
        <v>7</v>
      </c>
      <c r="T488">
        <f>Table[[#This Row],[NumWebPurchases]]+Table[[#This Row],[NumStorePurchases]]</f>
        <v>10</v>
      </c>
    </row>
    <row r="489" spans="1:20" ht="12.5">
      <c r="A489" s="6">
        <v>487</v>
      </c>
      <c r="B489" s="6">
        <v>5562</v>
      </c>
      <c r="C489" s="6">
        <v>1974</v>
      </c>
      <c r="D489" s="6">
        <f t="shared" si="28"/>
        <v>51</v>
      </c>
      <c r="E489" s="7" t="s">
        <v>9</v>
      </c>
      <c r="F489" s="7" t="s">
        <v>13</v>
      </c>
      <c r="G489" s="6">
        <v>60093</v>
      </c>
      <c r="H489" s="6" t="str" cm="1">
        <f t="array" ref="H489">_xlfn.IFS(
  G489 &lt; 25000, "Low",
  AND(G489 &gt;= 25000, G489 &lt; 75000), "Medium",
  AND(G489 &gt;= 75000, G489 &lt; 150000), "High",
  G489 &gt;= 150000, "Very High"
)</f>
        <v>Medium</v>
      </c>
      <c r="I489" s="6">
        <v>0</v>
      </c>
      <c r="J489" s="6">
        <v>1</v>
      </c>
      <c r="K489" s="6">
        <f t="shared" si="29"/>
        <v>1</v>
      </c>
      <c r="L489" s="8">
        <v>41451</v>
      </c>
      <c r="M489" t="str">
        <f t="shared" ca="1" si="30"/>
        <v>12 years, 8 months</v>
      </c>
      <c r="N489" s="6">
        <v>92</v>
      </c>
      <c r="O489">
        <v>12</v>
      </c>
      <c r="P489">
        <v>6</v>
      </c>
      <c r="Q489">
        <f t="shared" si="31"/>
        <v>18</v>
      </c>
      <c r="R489">
        <v>7</v>
      </c>
      <c r="S489">
        <v>10</v>
      </c>
      <c r="T489">
        <f>Table[[#This Row],[NumWebPurchases]]+Table[[#This Row],[NumStorePurchases]]</f>
        <v>17</v>
      </c>
    </row>
    <row r="490" spans="1:20" ht="12.5">
      <c r="A490" s="6">
        <v>488</v>
      </c>
      <c r="B490" s="6">
        <v>3436</v>
      </c>
      <c r="C490" s="6">
        <v>1969</v>
      </c>
      <c r="D490" s="6">
        <f t="shared" si="28"/>
        <v>56</v>
      </c>
      <c r="E490" s="7" t="s">
        <v>9</v>
      </c>
      <c r="F490" s="7" t="s">
        <v>13</v>
      </c>
      <c r="G490" s="6">
        <v>14045</v>
      </c>
      <c r="H490" s="6" t="str" cm="1">
        <f t="array" ref="H490">_xlfn.IFS(
  G490 &lt; 25000, "Low",
  AND(G490 &gt;= 25000, G490 &lt; 75000), "Medium",
  AND(G490 &gt;= 75000, G490 &lt; 150000), "High",
  G490 &gt;= 150000, "Very High"
)</f>
        <v>Low</v>
      </c>
      <c r="I490" s="6">
        <v>1</v>
      </c>
      <c r="J490" s="6">
        <v>0</v>
      </c>
      <c r="K490" s="6">
        <f t="shared" si="29"/>
        <v>1</v>
      </c>
      <c r="L490" s="8">
        <v>41665</v>
      </c>
      <c r="M490" t="str">
        <f t="shared" ca="1" si="30"/>
        <v>12 years, 1 months</v>
      </c>
      <c r="N490" s="6">
        <v>24</v>
      </c>
      <c r="O490">
        <v>0</v>
      </c>
      <c r="P490">
        <v>1</v>
      </c>
      <c r="Q490">
        <f t="shared" si="31"/>
        <v>1</v>
      </c>
      <c r="R490">
        <v>1</v>
      </c>
      <c r="S490">
        <v>3</v>
      </c>
      <c r="T490">
        <f>Table[[#This Row],[NumWebPurchases]]+Table[[#This Row],[NumStorePurchases]]</f>
        <v>4</v>
      </c>
    </row>
    <row r="491" spans="1:20" ht="12.5">
      <c r="A491" s="6">
        <v>489</v>
      </c>
      <c r="B491" s="6">
        <v>3921</v>
      </c>
      <c r="C491" s="6">
        <v>1952</v>
      </c>
      <c r="D491" s="6">
        <f t="shared" si="28"/>
        <v>73</v>
      </c>
      <c r="E491" s="7" t="s">
        <v>17</v>
      </c>
      <c r="F491" s="7" t="s">
        <v>18</v>
      </c>
      <c r="G491" s="6">
        <v>28457</v>
      </c>
      <c r="H491" s="6" t="str" cm="1">
        <f t="array" ref="H491">_xlfn.IFS(
  G491 &lt; 25000, "Low",
  AND(G491 &gt;= 25000, G491 &lt; 75000), "Medium",
  AND(G491 &gt;= 75000, G491 &lt; 150000), "High",
  G491 &gt;= 150000, "Very High"
)</f>
        <v>Medium</v>
      </c>
      <c r="I491" s="6">
        <v>0</v>
      </c>
      <c r="J491" s="6">
        <v>0</v>
      </c>
      <c r="K491" s="6">
        <f t="shared" si="29"/>
        <v>0</v>
      </c>
      <c r="L491" s="9">
        <v>41210</v>
      </c>
      <c r="M491" t="str">
        <f t="shared" ca="1" si="30"/>
        <v>13 years, 4 months</v>
      </c>
      <c r="N491" s="6">
        <v>96</v>
      </c>
      <c r="O491">
        <v>1</v>
      </c>
      <c r="P491">
        <v>29</v>
      </c>
      <c r="Q491">
        <f t="shared" si="31"/>
        <v>30</v>
      </c>
      <c r="R491">
        <v>4</v>
      </c>
      <c r="S491">
        <v>4</v>
      </c>
      <c r="T491">
        <f>Table[[#This Row],[NumWebPurchases]]+Table[[#This Row],[NumStorePurchases]]</f>
        <v>8</v>
      </c>
    </row>
    <row r="492" spans="1:20" ht="12.5">
      <c r="A492" s="6">
        <v>490</v>
      </c>
      <c r="B492" s="6">
        <v>3403</v>
      </c>
      <c r="C492" s="6">
        <v>1958</v>
      </c>
      <c r="D492" s="6">
        <f t="shared" si="28"/>
        <v>67</v>
      </c>
      <c r="E492" s="7" t="s">
        <v>12</v>
      </c>
      <c r="F492" s="7" t="s">
        <v>11</v>
      </c>
      <c r="G492" s="6">
        <v>78952</v>
      </c>
      <c r="H492" s="6" t="str" cm="1">
        <f t="array" ref="H492">_xlfn.IFS(
  G492 &lt; 25000, "Low",
  AND(G492 &gt;= 25000, G492 &lt; 75000), "Medium",
  AND(G492 &gt;= 75000, G492 &lt; 150000), "High",
  G492 &gt;= 150000, "Very High"
)</f>
        <v>High</v>
      </c>
      <c r="I492" s="6">
        <v>0</v>
      </c>
      <c r="J492" s="6">
        <v>1</v>
      </c>
      <c r="K492" s="6">
        <f t="shared" si="29"/>
        <v>1</v>
      </c>
      <c r="L492" s="8">
        <v>41176</v>
      </c>
      <c r="M492" t="str">
        <f t="shared" ca="1" si="30"/>
        <v>13 years, 5 months</v>
      </c>
      <c r="N492" s="6">
        <v>11</v>
      </c>
      <c r="O492">
        <v>19</v>
      </c>
      <c r="P492">
        <v>76</v>
      </c>
      <c r="Q492">
        <f t="shared" si="31"/>
        <v>95</v>
      </c>
      <c r="R492">
        <v>2</v>
      </c>
      <c r="S492">
        <v>12</v>
      </c>
      <c r="T492">
        <f>Table[[#This Row],[NumWebPurchases]]+Table[[#This Row],[NumStorePurchases]]</f>
        <v>14</v>
      </c>
    </row>
    <row r="493" spans="1:20" ht="12.5">
      <c r="A493" s="6">
        <v>491</v>
      </c>
      <c r="B493" s="6">
        <v>22</v>
      </c>
      <c r="C493" s="6">
        <v>1976</v>
      </c>
      <c r="D493" s="6">
        <f t="shared" si="28"/>
        <v>49</v>
      </c>
      <c r="E493" s="7" t="s">
        <v>9</v>
      </c>
      <c r="F493" s="7" t="s">
        <v>15</v>
      </c>
      <c r="G493" s="6">
        <v>46310</v>
      </c>
      <c r="H493" s="6" t="str" cm="1">
        <f t="array" ref="H493">_xlfn.IFS(
  G493 &lt; 25000, "Low",
  AND(G493 &gt;= 25000, G493 &lt; 75000), "Medium",
  AND(G493 &gt;= 75000, G493 &lt; 150000), "High",
  G493 &gt;= 150000, "Very High"
)</f>
        <v>Medium</v>
      </c>
      <c r="I493" s="6">
        <v>1</v>
      </c>
      <c r="J493" s="6">
        <v>0</v>
      </c>
      <c r="K493" s="6">
        <f t="shared" si="29"/>
        <v>1</v>
      </c>
      <c r="L493" s="8">
        <v>41246</v>
      </c>
      <c r="M493" t="str">
        <f t="shared" ca="1" si="30"/>
        <v>13 years, 3 months</v>
      </c>
      <c r="N493" s="6">
        <v>99</v>
      </c>
      <c r="O493">
        <v>2</v>
      </c>
      <c r="P493">
        <v>5</v>
      </c>
      <c r="Q493">
        <f t="shared" si="31"/>
        <v>7</v>
      </c>
      <c r="R493">
        <v>6</v>
      </c>
      <c r="S493">
        <v>5</v>
      </c>
      <c r="T493">
        <f>Table[[#This Row],[NumWebPurchases]]+Table[[#This Row],[NumStorePurchases]]</f>
        <v>11</v>
      </c>
    </row>
    <row r="494" spans="1:20" ht="12.5">
      <c r="A494" s="6">
        <v>492</v>
      </c>
      <c r="B494" s="6">
        <v>10965</v>
      </c>
      <c r="C494" s="6">
        <v>1955</v>
      </c>
      <c r="D494" s="6">
        <f t="shared" si="28"/>
        <v>70</v>
      </c>
      <c r="E494" s="7" t="s">
        <v>9</v>
      </c>
      <c r="F494" s="7" t="s">
        <v>11</v>
      </c>
      <c r="G494" s="6">
        <v>76005</v>
      </c>
      <c r="H494" s="6" t="str" cm="1">
        <f t="array" ref="H494">_xlfn.IFS(
  G494 &lt; 25000, "Low",
  AND(G494 &gt;= 25000, G494 &lt; 75000), "Medium",
  AND(G494 &gt;= 75000, G494 &lt; 150000), "High",
  G494 &gt;= 150000, "Very High"
)</f>
        <v>High</v>
      </c>
      <c r="I494" s="6">
        <v>0</v>
      </c>
      <c r="J494" s="6">
        <v>0</v>
      </c>
      <c r="K494" s="6">
        <f t="shared" si="29"/>
        <v>0</v>
      </c>
      <c r="L494" s="8">
        <v>41327</v>
      </c>
      <c r="M494" t="str">
        <f t="shared" ca="1" si="30"/>
        <v>13 years, 0 months</v>
      </c>
      <c r="N494" s="6">
        <v>72</v>
      </c>
      <c r="O494">
        <v>20</v>
      </c>
      <c r="P494">
        <v>50</v>
      </c>
      <c r="Q494">
        <f t="shared" si="31"/>
        <v>70</v>
      </c>
      <c r="R494">
        <v>3</v>
      </c>
      <c r="S494">
        <v>13</v>
      </c>
      <c r="T494">
        <f>Table[[#This Row],[NumWebPurchases]]+Table[[#This Row],[NumStorePurchases]]</f>
        <v>16</v>
      </c>
    </row>
    <row r="495" spans="1:20" ht="12.5">
      <c r="A495" s="6">
        <v>493</v>
      </c>
      <c r="B495" s="6">
        <v>9426</v>
      </c>
      <c r="C495" s="6">
        <v>1964</v>
      </c>
      <c r="D495" s="6">
        <f t="shared" si="28"/>
        <v>61</v>
      </c>
      <c r="E495" s="7" t="s">
        <v>14</v>
      </c>
      <c r="F495" s="7" t="s">
        <v>10</v>
      </c>
      <c r="G495" s="6">
        <v>58308</v>
      </c>
      <c r="H495" s="6" t="str" cm="1">
        <f t="array" ref="H495">_xlfn.IFS(
  G495 &lt; 25000, "Low",
  AND(G495 &gt;= 25000, G495 &lt; 75000), "Medium",
  AND(G495 &gt;= 75000, G495 &lt; 150000), "High",
  G495 &gt;= 150000, "Very High"
)</f>
        <v>Medium</v>
      </c>
      <c r="I495" s="6">
        <v>0</v>
      </c>
      <c r="J495" s="6">
        <v>1</v>
      </c>
      <c r="K495" s="6">
        <f t="shared" si="29"/>
        <v>1</v>
      </c>
      <c r="L495" s="8">
        <v>41286</v>
      </c>
      <c r="M495" t="str">
        <f t="shared" ca="1" si="30"/>
        <v>13 years, 1 months</v>
      </c>
      <c r="N495" s="6">
        <v>77</v>
      </c>
      <c r="O495">
        <v>0</v>
      </c>
      <c r="P495">
        <v>0</v>
      </c>
      <c r="Q495">
        <f t="shared" si="31"/>
        <v>0</v>
      </c>
      <c r="R495">
        <v>2</v>
      </c>
      <c r="S495">
        <v>3</v>
      </c>
      <c r="T495">
        <f>Table[[#This Row],[NumWebPurchases]]+Table[[#This Row],[NumStorePurchases]]</f>
        <v>5</v>
      </c>
    </row>
    <row r="496" spans="1:20" ht="12.5">
      <c r="A496" s="6">
        <v>494</v>
      </c>
      <c r="B496" s="6">
        <v>6605</v>
      </c>
      <c r="C496" s="6">
        <v>1944</v>
      </c>
      <c r="D496" s="6">
        <f t="shared" si="28"/>
        <v>81</v>
      </c>
      <c r="E496" s="7" t="s">
        <v>12</v>
      </c>
      <c r="F496" s="7" t="s">
        <v>15</v>
      </c>
      <c r="G496" s="6">
        <v>55614</v>
      </c>
      <c r="H496" s="6" t="str" cm="1">
        <f t="array" ref="H496">_xlfn.IFS(
  G496 &lt; 25000, "Low",
  AND(G496 &gt;= 25000, G496 &lt; 75000), "Medium",
  AND(G496 &gt;= 75000, G496 &lt; 150000), "High",
  G496 &gt;= 150000, "Very High"
)</f>
        <v>Medium</v>
      </c>
      <c r="I496" s="6">
        <v>0</v>
      </c>
      <c r="J496" s="6">
        <v>0</v>
      </c>
      <c r="K496" s="6">
        <f t="shared" si="29"/>
        <v>0</v>
      </c>
      <c r="L496" s="9">
        <v>41605</v>
      </c>
      <c r="M496" t="str">
        <f t="shared" ca="1" si="30"/>
        <v>12 years, 3 months</v>
      </c>
      <c r="N496" s="6">
        <v>85</v>
      </c>
      <c r="O496">
        <v>13</v>
      </c>
      <c r="P496">
        <v>0</v>
      </c>
      <c r="Q496">
        <f t="shared" si="31"/>
        <v>13</v>
      </c>
      <c r="R496">
        <v>9</v>
      </c>
      <c r="S496">
        <v>6</v>
      </c>
      <c r="T496">
        <f>Table[[#This Row],[NumWebPurchases]]+Table[[#This Row],[NumStorePurchases]]</f>
        <v>15</v>
      </c>
    </row>
    <row r="497" spans="1:20" ht="12.5">
      <c r="A497" s="6">
        <v>495</v>
      </c>
      <c r="B497" s="6">
        <v>3136</v>
      </c>
      <c r="C497" s="6">
        <v>1962</v>
      </c>
      <c r="D497" s="6">
        <f t="shared" si="28"/>
        <v>63</v>
      </c>
      <c r="E497" s="7" t="s">
        <v>14</v>
      </c>
      <c r="F497" s="7" t="s">
        <v>15</v>
      </c>
      <c r="G497" s="6">
        <v>59432</v>
      </c>
      <c r="H497" s="6" t="str" cm="1">
        <f t="array" ref="H497">_xlfn.IFS(
  G497 &lt; 25000, "Low",
  AND(G497 &gt;= 25000, G497 &lt; 75000), "Medium",
  AND(G497 &gt;= 75000, G497 &lt; 150000), "High",
  G497 &gt;= 150000, "Very High"
)</f>
        <v>Medium</v>
      </c>
      <c r="I497" s="6">
        <v>0</v>
      </c>
      <c r="J497" s="6">
        <v>1</v>
      </c>
      <c r="K497" s="6">
        <f t="shared" si="29"/>
        <v>1</v>
      </c>
      <c r="L497" s="8">
        <v>41377</v>
      </c>
      <c r="M497" t="str">
        <f t="shared" ca="1" si="30"/>
        <v>12 years, 10 months</v>
      </c>
      <c r="N497" s="6">
        <v>88</v>
      </c>
      <c r="O497">
        <v>25</v>
      </c>
      <c r="P497">
        <v>19</v>
      </c>
      <c r="Q497">
        <f t="shared" si="31"/>
        <v>44</v>
      </c>
      <c r="R497">
        <v>5</v>
      </c>
      <c r="S497">
        <v>11</v>
      </c>
      <c r="T497">
        <f>Table[[#This Row],[NumWebPurchases]]+Table[[#This Row],[NumStorePurchases]]</f>
        <v>16</v>
      </c>
    </row>
    <row r="498" spans="1:20" ht="12.5">
      <c r="A498" s="6">
        <v>496</v>
      </c>
      <c r="B498" s="6">
        <v>8737</v>
      </c>
      <c r="C498" s="6">
        <v>1978</v>
      </c>
      <c r="D498" s="6">
        <f t="shared" si="28"/>
        <v>47</v>
      </c>
      <c r="E498" s="7" t="s">
        <v>9</v>
      </c>
      <c r="F498" s="7" t="s">
        <v>15</v>
      </c>
      <c r="G498" s="6">
        <v>55563</v>
      </c>
      <c r="H498" s="6" t="str" cm="1">
        <f t="array" ref="H498">_xlfn.IFS(
  G498 &lt; 25000, "Low",
  AND(G498 &gt;= 25000, G498 &lt; 75000), "Medium",
  AND(G498 &gt;= 75000, G498 &lt; 150000), "High",
  G498 &gt;= 150000, "Very High"
)</f>
        <v>Medium</v>
      </c>
      <c r="I498" s="6">
        <v>0</v>
      </c>
      <c r="J498" s="6">
        <v>1</v>
      </c>
      <c r="K498" s="6">
        <f t="shared" si="29"/>
        <v>1</v>
      </c>
      <c r="L498" s="8">
        <v>41734</v>
      </c>
      <c r="M498" t="str">
        <f t="shared" ca="1" si="30"/>
        <v>11 years, 11 months</v>
      </c>
      <c r="N498" s="6">
        <v>22</v>
      </c>
      <c r="O498">
        <v>1</v>
      </c>
      <c r="P498">
        <v>0</v>
      </c>
      <c r="Q498">
        <f t="shared" si="31"/>
        <v>1</v>
      </c>
      <c r="R498">
        <v>2</v>
      </c>
      <c r="S498">
        <v>3</v>
      </c>
      <c r="T498">
        <f>Table[[#This Row],[NumWebPurchases]]+Table[[#This Row],[NumStorePurchases]]</f>
        <v>5</v>
      </c>
    </row>
    <row r="499" spans="1:20" ht="12.5">
      <c r="A499" s="6">
        <v>497</v>
      </c>
      <c r="B499" s="6">
        <v>11088</v>
      </c>
      <c r="C499" s="6">
        <v>1971</v>
      </c>
      <c r="D499" s="6">
        <f t="shared" si="28"/>
        <v>54</v>
      </c>
      <c r="E499" s="7" t="s">
        <v>12</v>
      </c>
      <c r="F499" s="7" t="s">
        <v>11</v>
      </c>
      <c r="G499" s="6">
        <v>78642</v>
      </c>
      <c r="H499" s="6" t="str" cm="1">
        <f t="array" ref="H499">_xlfn.IFS(
  G499 &lt; 25000, "Low",
  AND(G499 &gt;= 25000, G499 &lt; 75000), "Medium",
  AND(G499 &gt;= 75000, G499 &lt; 150000), "High",
  G499 &gt;= 150000, "Very High"
)</f>
        <v>High</v>
      </c>
      <c r="I499" s="6">
        <v>0</v>
      </c>
      <c r="J499" s="6">
        <v>1</v>
      </c>
      <c r="K499" s="6">
        <f t="shared" si="29"/>
        <v>1</v>
      </c>
      <c r="L499" s="8">
        <v>41385</v>
      </c>
      <c r="M499" t="str">
        <f t="shared" ca="1" si="30"/>
        <v>12 years, 10 months</v>
      </c>
      <c r="N499" s="6">
        <v>83</v>
      </c>
      <c r="O499">
        <v>0</v>
      </c>
      <c r="P499">
        <v>35</v>
      </c>
      <c r="Q499">
        <f t="shared" si="31"/>
        <v>35</v>
      </c>
      <c r="R499">
        <v>4</v>
      </c>
      <c r="S499">
        <v>4</v>
      </c>
      <c r="T499">
        <f>Table[[#This Row],[NumWebPurchases]]+Table[[#This Row],[NumStorePurchases]]</f>
        <v>8</v>
      </c>
    </row>
    <row r="500" spans="1:20" ht="12.5">
      <c r="A500" s="6">
        <v>498</v>
      </c>
      <c r="B500" s="6">
        <v>716</v>
      </c>
      <c r="C500" s="6">
        <v>1949</v>
      </c>
      <c r="D500" s="6">
        <f t="shared" si="28"/>
        <v>76</v>
      </c>
      <c r="E500" s="7" t="s">
        <v>12</v>
      </c>
      <c r="F500" s="7" t="s">
        <v>11</v>
      </c>
      <c r="G500" s="6">
        <v>67911</v>
      </c>
      <c r="H500" s="6" t="str" cm="1">
        <f t="array" ref="H500">_xlfn.IFS(
  G500 &lt; 25000, "Low",
  AND(G500 &gt;= 25000, G500 &lt; 75000), "Medium",
  AND(G500 &gt;= 75000, G500 &lt; 150000), "High",
  G500 &gt;= 150000, "Very High"
)</f>
        <v>Medium</v>
      </c>
      <c r="I500" s="6">
        <v>0</v>
      </c>
      <c r="J500" s="6">
        <v>1</v>
      </c>
      <c r="K500" s="6">
        <f t="shared" si="29"/>
        <v>1</v>
      </c>
      <c r="L500" s="8">
        <v>41781</v>
      </c>
      <c r="M500" t="str">
        <f t="shared" ca="1" si="30"/>
        <v>11 years, 9 months</v>
      </c>
      <c r="N500" s="6">
        <v>63</v>
      </c>
      <c r="O500">
        <v>0</v>
      </c>
      <c r="P500">
        <v>28</v>
      </c>
      <c r="Q500">
        <f t="shared" si="31"/>
        <v>28</v>
      </c>
      <c r="R500">
        <v>6</v>
      </c>
      <c r="S500">
        <v>11</v>
      </c>
      <c r="T500">
        <f>Table[[#This Row],[NumWebPurchases]]+Table[[#This Row],[NumStorePurchases]]</f>
        <v>17</v>
      </c>
    </row>
    <row r="501" spans="1:20" ht="12.5">
      <c r="A501" s="6">
        <v>499</v>
      </c>
      <c r="B501" s="6">
        <v>466</v>
      </c>
      <c r="C501" s="6">
        <v>1944</v>
      </c>
      <c r="D501" s="6">
        <f t="shared" si="28"/>
        <v>81</v>
      </c>
      <c r="E501" s="7" t="s">
        <v>9</v>
      </c>
      <c r="F501" s="7" t="s">
        <v>13</v>
      </c>
      <c r="G501" s="6">
        <v>65275</v>
      </c>
      <c r="H501" s="6" t="str" cm="1">
        <f t="array" ref="H501">_xlfn.IFS(
  G501 &lt; 25000, "Low",
  AND(G501 &gt;= 25000, G501 &lt; 75000), "Medium",
  AND(G501 &gt;= 75000, G501 &lt; 150000), "High",
  G501 &gt;= 150000, "Very High"
)</f>
        <v>Medium</v>
      </c>
      <c r="I501" s="6">
        <v>0</v>
      </c>
      <c r="J501" s="6">
        <v>0</v>
      </c>
      <c r="K501" s="6">
        <f t="shared" si="29"/>
        <v>0</v>
      </c>
      <c r="L501" s="8">
        <v>41367</v>
      </c>
      <c r="M501" t="str">
        <f t="shared" ca="1" si="30"/>
        <v>12 years, 11 months</v>
      </c>
      <c r="N501" s="6">
        <v>9</v>
      </c>
      <c r="O501">
        <v>14</v>
      </c>
      <c r="P501">
        <v>14</v>
      </c>
      <c r="Q501">
        <f t="shared" si="31"/>
        <v>28</v>
      </c>
      <c r="R501">
        <v>4</v>
      </c>
      <c r="S501">
        <v>13</v>
      </c>
      <c r="T501">
        <f>Table[[#This Row],[NumWebPurchases]]+Table[[#This Row],[NumStorePurchases]]</f>
        <v>17</v>
      </c>
    </row>
    <row r="502" spans="1:20" ht="12.5">
      <c r="A502" s="6">
        <v>500</v>
      </c>
      <c r="B502" s="6">
        <v>9135</v>
      </c>
      <c r="C502" s="6">
        <v>1950</v>
      </c>
      <c r="D502" s="6">
        <f t="shared" si="28"/>
        <v>75</v>
      </c>
      <c r="E502" s="7" t="s">
        <v>9</v>
      </c>
      <c r="F502" s="7" t="s">
        <v>11</v>
      </c>
      <c r="G502" s="6">
        <v>27203</v>
      </c>
      <c r="H502" s="6" t="str" cm="1">
        <f t="array" ref="H502">_xlfn.IFS(
  G502 &lt; 25000, "Low",
  AND(G502 &gt;= 25000, G502 &lt; 75000), "Medium",
  AND(G502 &gt;= 75000, G502 &lt; 150000), "High",
  G502 &gt;= 150000, "Very High"
)</f>
        <v>Medium</v>
      </c>
      <c r="I502" s="6">
        <v>1</v>
      </c>
      <c r="J502" s="6">
        <v>1</v>
      </c>
      <c r="K502" s="6">
        <f t="shared" si="29"/>
        <v>2</v>
      </c>
      <c r="L502" s="8">
        <v>41127</v>
      </c>
      <c r="M502" t="str">
        <f t="shared" ca="1" si="30"/>
        <v>13 years, 7 months</v>
      </c>
      <c r="N502" s="6">
        <v>92</v>
      </c>
      <c r="O502">
        <v>2</v>
      </c>
      <c r="P502">
        <v>0</v>
      </c>
      <c r="Q502">
        <f t="shared" si="31"/>
        <v>2</v>
      </c>
      <c r="R502">
        <v>1</v>
      </c>
      <c r="S502">
        <v>2</v>
      </c>
      <c r="T502">
        <f>Table[[#This Row],[NumWebPurchases]]+Table[[#This Row],[NumStorePurchases]]</f>
        <v>3</v>
      </c>
    </row>
    <row r="503" spans="1:20" ht="12.5">
      <c r="A503" s="6">
        <v>501</v>
      </c>
      <c r="B503" s="6">
        <v>10623</v>
      </c>
      <c r="C503" s="6">
        <v>1961</v>
      </c>
      <c r="D503" s="6">
        <f t="shared" si="28"/>
        <v>64</v>
      </c>
      <c r="E503" s="7" t="s">
        <v>14</v>
      </c>
      <c r="F503" s="7" t="s">
        <v>11</v>
      </c>
      <c r="G503" s="6">
        <v>48330</v>
      </c>
      <c r="H503" s="6" t="str" cm="1">
        <f t="array" ref="H503">_xlfn.IFS(
  G503 &lt; 25000, "Low",
  AND(G503 &gt;= 25000, G503 &lt; 75000), "Medium",
  AND(G503 &gt;= 75000, G503 &lt; 150000), "High",
  G503 &gt;= 150000, "Very High"
)</f>
        <v>Medium</v>
      </c>
      <c r="I503" s="6">
        <v>0</v>
      </c>
      <c r="J503" s="6">
        <v>1</v>
      </c>
      <c r="K503" s="6">
        <f t="shared" si="29"/>
        <v>1</v>
      </c>
      <c r="L503" s="9">
        <v>41593</v>
      </c>
      <c r="M503" t="str">
        <f t="shared" ca="1" si="30"/>
        <v>12 years, 3 months</v>
      </c>
      <c r="N503" s="6">
        <v>2</v>
      </c>
      <c r="O503">
        <v>0</v>
      </c>
      <c r="P503">
        <v>0</v>
      </c>
      <c r="Q503">
        <f t="shared" si="31"/>
        <v>0</v>
      </c>
      <c r="R503">
        <v>1</v>
      </c>
      <c r="S503">
        <v>3</v>
      </c>
      <c r="T503">
        <f>Table[[#This Row],[NumWebPurchases]]+Table[[#This Row],[NumStorePurchases]]</f>
        <v>4</v>
      </c>
    </row>
    <row r="504" spans="1:20" ht="12.5">
      <c r="A504" s="6">
        <v>502</v>
      </c>
      <c r="B504" s="6">
        <v>8151</v>
      </c>
      <c r="C504" s="6">
        <v>1990</v>
      </c>
      <c r="D504" s="6">
        <f t="shared" si="28"/>
        <v>35</v>
      </c>
      <c r="E504" s="7" t="s">
        <v>16</v>
      </c>
      <c r="F504" s="7" t="s">
        <v>13</v>
      </c>
      <c r="G504" s="6">
        <v>24279</v>
      </c>
      <c r="H504" s="6" t="str" cm="1">
        <f t="array" ref="H504">_xlfn.IFS(
  G504 &lt; 25000, "Low",
  AND(G504 &gt;= 25000, G504 &lt; 75000), "Medium",
  AND(G504 &gt;= 75000, G504 &lt; 150000), "High",
  G504 &gt;= 150000, "Very High"
)</f>
        <v>Low</v>
      </c>
      <c r="I504" s="6">
        <v>0</v>
      </c>
      <c r="J504" s="6">
        <v>0</v>
      </c>
      <c r="K504" s="6">
        <f t="shared" si="29"/>
        <v>0</v>
      </c>
      <c r="L504" s="9">
        <v>41272</v>
      </c>
      <c r="M504" t="str">
        <f t="shared" ca="1" si="30"/>
        <v>13 years, 2 months</v>
      </c>
      <c r="N504" s="6">
        <v>6</v>
      </c>
      <c r="O504">
        <v>36</v>
      </c>
      <c r="P504">
        <v>62</v>
      </c>
      <c r="Q504">
        <f t="shared" si="31"/>
        <v>98</v>
      </c>
      <c r="R504">
        <v>4</v>
      </c>
      <c r="S504">
        <v>3</v>
      </c>
      <c r="T504">
        <f>Table[[#This Row],[NumWebPurchases]]+Table[[#This Row],[NumStorePurchases]]</f>
        <v>7</v>
      </c>
    </row>
    <row r="505" spans="1:20" ht="12.5">
      <c r="A505" s="6">
        <v>503</v>
      </c>
      <c r="B505" s="6">
        <v>5140</v>
      </c>
      <c r="C505" s="6">
        <v>1985</v>
      </c>
      <c r="D505" s="6">
        <f t="shared" si="28"/>
        <v>40</v>
      </c>
      <c r="E505" s="7" t="s">
        <v>12</v>
      </c>
      <c r="F505" s="7" t="s">
        <v>13</v>
      </c>
      <c r="G505" s="6">
        <v>64355</v>
      </c>
      <c r="H505" s="6" t="str" cm="1">
        <f t="array" ref="H505">_xlfn.IFS(
  G505 &lt; 25000, "Low",
  AND(G505 &gt;= 25000, G505 &lt; 75000), "Medium",
  AND(G505 &gt;= 75000, G505 &lt; 150000), "High",
  G505 &gt;= 150000, "Very High"
)</f>
        <v>Medium</v>
      </c>
      <c r="I505" s="6">
        <v>1</v>
      </c>
      <c r="J505" s="6">
        <v>0</v>
      </c>
      <c r="K505" s="6">
        <f t="shared" si="29"/>
        <v>1</v>
      </c>
      <c r="L505" s="8">
        <v>41145</v>
      </c>
      <c r="M505" t="str">
        <f t="shared" ca="1" si="30"/>
        <v>13 years, 6 months</v>
      </c>
      <c r="N505" s="6">
        <v>66</v>
      </c>
      <c r="O505">
        <v>0</v>
      </c>
      <c r="P505">
        <v>38</v>
      </c>
      <c r="Q505">
        <f t="shared" si="31"/>
        <v>38</v>
      </c>
      <c r="R505">
        <v>4</v>
      </c>
      <c r="S505">
        <v>12</v>
      </c>
      <c r="T505">
        <f>Table[[#This Row],[NumWebPurchases]]+Table[[#This Row],[NumStorePurchases]]</f>
        <v>16</v>
      </c>
    </row>
    <row r="506" spans="1:20" ht="12.5">
      <c r="A506" s="6">
        <v>504</v>
      </c>
      <c r="B506" s="6">
        <v>10160</v>
      </c>
      <c r="C506" s="6">
        <v>1956</v>
      </c>
      <c r="D506" s="6">
        <f t="shared" si="28"/>
        <v>69</v>
      </c>
      <c r="E506" s="7" t="s">
        <v>14</v>
      </c>
      <c r="F506" s="7" t="s">
        <v>11</v>
      </c>
      <c r="G506" s="6">
        <v>50943</v>
      </c>
      <c r="H506" s="6" t="str" cm="1">
        <f t="array" ref="H506">_xlfn.IFS(
  G506 &lt; 25000, "Low",
  AND(G506 &gt;= 25000, G506 &lt; 75000), "Medium",
  AND(G506 &gt;= 75000, G506 &lt; 150000), "High",
  G506 &gt;= 150000, "Very High"
)</f>
        <v>Medium</v>
      </c>
      <c r="I506" s="6">
        <v>0</v>
      </c>
      <c r="J506" s="6">
        <v>1</v>
      </c>
      <c r="K506" s="6">
        <f t="shared" si="29"/>
        <v>1</v>
      </c>
      <c r="L506" s="8">
        <v>41446</v>
      </c>
      <c r="M506" t="str">
        <f t="shared" ca="1" si="30"/>
        <v>12 years, 8 months</v>
      </c>
      <c r="N506" s="6">
        <v>49</v>
      </c>
      <c r="O506">
        <v>0</v>
      </c>
      <c r="P506">
        <v>0</v>
      </c>
      <c r="Q506">
        <f t="shared" si="31"/>
        <v>0</v>
      </c>
      <c r="R506">
        <v>1</v>
      </c>
      <c r="S506">
        <v>3</v>
      </c>
      <c r="T506">
        <f>Table[[#This Row],[NumWebPurchases]]+Table[[#This Row],[NumStorePurchases]]</f>
        <v>4</v>
      </c>
    </row>
    <row r="507" spans="1:20" ht="12.5">
      <c r="A507" s="6">
        <v>505</v>
      </c>
      <c r="B507" s="6">
        <v>4945</v>
      </c>
      <c r="C507" s="6">
        <v>1953</v>
      </c>
      <c r="D507" s="6">
        <f t="shared" si="28"/>
        <v>72</v>
      </c>
      <c r="E507" s="7" t="s">
        <v>9</v>
      </c>
      <c r="F507" s="7" t="s">
        <v>18</v>
      </c>
      <c r="G507" s="6">
        <v>53653</v>
      </c>
      <c r="H507" s="6" t="str" cm="1">
        <f t="array" ref="H507">_xlfn.IFS(
  G507 &lt; 25000, "Low",
  AND(G507 &gt;= 25000, G507 &lt; 75000), "Medium",
  AND(G507 &gt;= 75000, G507 &lt; 150000), "High",
  G507 &gt;= 150000, "Very High"
)</f>
        <v>Medium</v>
      </c>
      <c r="I507" s="6">
        <v>0</v>
      </c>
      <c r="J507" s="6">
        <v>0</v>
      </c>
      <c r="K507" s="6">
        <f t="shared" si="29"/>
        <v>0</v>
      </c>
      <c r="L507" s="8">
        <v>41220</v>
      </c>
      <c r="M507" t="str">
        <f t="shared" ca="1" si="30"/>
        <v>13 years, 3 months</v>
      </c>
      <c r="N507" s="6">
        <v>29</v>
      </c>
      <c r="O507">
        <v>10</v>
      </c>
      <c r="P507">
        <v>10</v>
      </c>
      <c r="Q507">
        <f t="shared" si="31"/>
        <v>20</v>
      </c>
      <c r="R507">
        <v>10</v>
      </c>
      <c r="S507">
        <v>12</v>
      </c>
      <c r="T507">
        <f>Table[[#This Row],[NumWebPurchases]]+Table[[#This Row],[NumStorePurchases]]</f>
        <v>22</v>
      </c>
    </row>
    <row r="508" spans="1:20" ht="12.5">
      <c r="A508" s="6">
        <v>506</v>
      </c>
      <c r="B508" s="6">
        <v>10584</v>
      </c>
      <c r="C508" s="6">
        <v>1976</v>
      </c>
      <c r="D508" s="6">
        <f t="shared" si="28"/>
        <v>49</v>
      </c>
      <c r="E508" s="7" t="s">
        <v>9</v>
      </c>
      <c r="F508" s="7" t="s">
        <v>13</v>
      </c>
      <c r="G508" s="6">
        <v>65665</v>
      </c>
      <c r="H508" s="6" t="str" cm="1">
        <f t="array" ref="H508">_xlfn.IFS(
  G508 &lt; 25000, "Low",
  AND(G508 &gt;= 25000, G508 &lt; 75000), "Medium",
  AND(G508 &gt;= 75000, G508 &lt; 150000), "High",
  G508 &gt;= 150000, "Very High"
)</f>
        <v>Medium</v>
      </c>
      <c r="I508" s="6">
        <v>0</v>
      </c>
      <c r="J508" s="6">
        <v>1</v>
      </c>
      <c r="K508" s="6">
        <f t="shared" si="29"/>
        <v>1</v>
      </c>
      <c r="L508" s="8">
        <v>41610</v>
      </c>
      <c r="M508" t="str">
        <f t="shared" ca="1" si="30"/>
        <v>12 years, 3 months</v>
      </c>
      <c r="N508" s="6">
        <v>77</v>
      </c>
      <c r="O508">
        <v>162</v>
      </c>
      <c r="P508">
        <v>36</v>
      </c>
      <c r="Q508">
        <f t="shared" si="31"/>
        <v>198</v>
      </c>
      <c r="R508">
        <v>5</v>
      </c>
      <c r="S508">
        <v>8</v>
      </c>
      <c r="T508">
        <f>Table[[#This Row],[NumWebPurchases]]+Table[[#This Row],[NumStorePurchases]]</f>
        <v>13</v>
      </c>
    </row>
    <row r="509" spans="1:20" ht="12.5">
      <c r="A509" s="6">
        <v>507</v>
      </c>
      <c r="B509" s="6">
        <v>6071</v>
      </c>
      <c r="C509" s="6">
        <v>1989</v>
      </c>
      <c r="D509" s="6">
        <f t="shared" si="28"/>
        <v>36</v>
      </c>
      <c r="E509" s="7" t="s">
        <v>9</v>
      </c>
      <c r="F509" s="7" t="s">
        <v>10</v>
      </c>
      <c r="G509" s="6">
        <v>81217</v>
      </c>
      <c r="H509" s="6" t="str" cm="1">
        <f t="array" ref="H509">_xlfn.IFS(
  G509 &lt; 25000, "Low",
  AND(G509 &gt;= 25000, G509 &lt; 75000), "Medium",
  AND(G509 &gt;= 75000, G509 &lt; 150000), "High",
  G509 &gt;= 150000, "Very High"
)</f>
        <v>High</v>
      </c>
      <c r="I509" s="6">
        <v>0</v>
      </c>
      <c r="J509" s="6">
        <v>0</v>
      </c>
      <c r="K509" s="6">
        <f t="shared" si="29"/>
        <v>0</v>
      </c>
      <c r="L509" s="8">
        <v>41474</v>
      </c>
      <c r="M509" t="str">
        <f t="shared" ca="1" si="30"/>
        <v>12 years, 7 months</v>
      </c>
      <c r="N509" s="6">
        <v>77</v>
      </c>
      <c r="O509">
        <v>70</v>
      </c>
      <c r="P509">
        <v>40</v>
      </c>
      <c r="Q509">
        <f t="shared" si="31"/>
        <v>110</v>
      </c>
      <c r="R509">
        <v>3</v>
      </c>
      <c r="S509">
        <v>11</v>
      </c>
      <c r="T509">
        <f>Table[[#This Row],[NumWebPurchases]]+Table[[#This Row],[NumStorePurchases]]</f>
        <v>14</v>
      </c>
    </row>
    <row r="510" spans="1:20" ht="12.5">
      <c r="A510" s="6">
        <v>508</v>
      </c>
      <c r="B510" s="6">
        <v>3386</v>
      </c>
      <c r="C510" s="6">
        <v>1992</v>
      </c>
      <c r="D510" s="6">
        <f t="shared" si="28"/>
        <v>33</v>
      </c>
      <c r="E510" s="7" t="s">
        <v>9</v>
      </c>
      <c r="F510" s="7" t="s">
        <v>13</v>
      </c>
      <c r="G510" s="6">
        <v>34935</v>
      </c>
      <c r="H510" s="6" t="str" cm="1">
        <f t="array" ref="H510">_xlfn.IFS(
  G510 &lt; 25000, "Low",
  AND(G510 &gt;= 25000, G510 &lt; 75000), "Medium",
  AND(G510 &gt;= 75000, G510 &lt; 150000), "High",
  G510 &gt;= 150000, "Very High"
)</f>
        <v>Medium</v>
      </c>
      <c r="I510" s="6">
        <v>0</v>
      </c>
      <c r="J510" s="6">
        <v>0</v>
      </c>
      <c r="K510" s="6">
        <f t="shared" si="29"/>
        <v>0</v>
      </c>
      <c r="L510" s="8">
        <v>41446</v>
      </c>
      <c r="M510" t="str">
        <f t="shared" ca="1" si="30"/>
        <v>12 years, 8 months</v>
      </c>
      <c r="N510" s="6">
        <v>71</v>
      </c>
      <c r="O510">
        <v>4</v>
      </c>
      <c r="P510">
        <v>10</v>
      </c>
      <c r="Q510">
        <f t="shared" si="31"/>
        <v>14</v>
      </c>
      <c r="R510">
        <v>2</v>
      </c>
      <c r="S510">
        <v>4</v>
      </c>
      <c r="T510">
        <f>Table[[#This Row],[NumWebPurchases]]+Table[[#This Row],[NumStorePurchases]]</f>
        <v>6</v>
      </c>
    </row>
    <row r="511" spans="1:20" ht="12.5">
      <c r="A511" s="6">
        <v>509</v>
      </c>
      <c r="B511" s="6">
        <v>8939</v>
      </c>
      <c r="C511" s="6">
        <v>1959</v>
      </c>
      <c r="D511" s="6">
        <f t="shared" si="28"/>
        <v>66</v>
      </c>
      <c r="E511" s="7" t="s">
        <v>9</v>
      </c>
      <c r="F511" s="7" t="s">
        <v>15</v>
      </c>
      <c r="G511" s="6">
        <v>61250</v>
      </c>
      <c r="H511" s="6" t="str" cm="1">
        <f t="array" ref="H511">_xlfn.IFS(
  G511 &lt; 25000, "Low",
  AND(G511 &gt;= 25000, G511 &lt; 75000), "Medium",
  AND(G511 &gt;= 75000, G511 &lt; 150000), "High",
  G511 &gt;= 150000, "Very High"
)</f>
        <v>Medium</v>
      </c>
      <c r="I511" s="6">
        <v>0</v>
      </c>
      <c r="J511" s="6">
        <v>1</v>
      </c>
      <c r="K511" s="6">
        <f t="shared" si="29"/>
        <v>1</v>
      </c>
      <c r="L511" s="9">
        <v>41259</v>
      </c>
      <c r="M511" t="str">
        <f t="shared" ca="1" si="30"/>
        <v>13 years, 2 months</v>
      </c>
      <c r="N511" s="6">
        <v>49</v>
      </c>
      <c r="O511">
        <v>138</v>
      </c>
      <c r="P511">
        <v>26</v>
      </c>
      <c r="Q511">
        <f t="shared" si="31"/>
        <v>164</v>
      </c>
      <c r="R511">
        <v>5</v>
      </c>
      <c r="S511">
        <v>12</v>
      </c>
      <c r="T511">
        <f>Table[[#This Row],[NumWebPurchases]]+Table[[#This Row],[NumStorePurchases]]</f>
        <v>17</v>
      </c>
    </row>
    <row r="512" spans="1:20" ht="12.5">
      <c r="A512" s="6">
        <v>510</v>
      </c>
      <c r="B512" s="6">
        <v>9925</v>
      </c>
      <c r="C512" s="6">
        <v>1981</v>
      </c>
      <c r="D512" s="6">
        <f t="shared" si="28"/>
        <v>44</v>
      </c>
      <c r="E512" s="7" t="s">
        <v>12</v>
      </c>
      <c r="F512" s="7" t="s">
        <v>11</v>
      </c>
      <c r="G512" s="6">
        <v>39665</v>
      </c>
      <c r="H512" s="6" t="str" cm="1">
        <f t="array" ref="H512">_xlfn.IFS(
  G512 &lt; 25000, "Low",
  AND(G512 &gt;= 25000, G512 &lt; 75000), "Medium",
  AND(G512 &gt;= 75000, G512 &lt; 150000), "High",
  G512 &gt;= 150000, "Very High"
)</f>
        <v>Medium</v>
      </c>
      <c r="I512" s="6">
        <v>1</v>
      </c>
      <c r="J512" s="6">
        <v>0</v>
      </c>
      <c r="K512" s="6">
        <f t="shared" si="29"/>
        <v>1</v>
      </c>
      <c r="L512" s="8">
        <v>41419</v>
      </c>
      <c r="M512" t="str">
        <f t="shared" ca="1" si="30"/>
        <v>12 years, 9 months</v>
      </c>
      <c r="N512" s="6">
        <v>97</v>
      </c>
      <c r="O512">
        <v>1</v>
      </c>
      <c r="P512">
        <v>1</v>
      </c>
      <c r="Q512">
        <f t="shared" si="31"/>
        <v>2</v>
      </c>
      <c r="R512">
        <v>4</v>
      </c>
      <c r="S512">
        <v>3</v>
      </c>
      <c r="T512">
        <f>Table[[#This Row],[NumWebPurchases]]+Table[[#This Row],[NumStorePurchases]]</f>
        <v>7</v>
      </c>
    </row>
    <row r="513" spans="1:20" ht="12.5">
      <c r="A513" s="6">
        <v>511</v>
      </c>
      <c r="B513" s="6">
        <v>4320</v>
      </c>
      <c r="C513" s="6">
        <v>1979</v>
      </c>
      <c r="D513" s="6">
        <f t="shared" si="28"/>
        <v>46</v>
      </c>
      <c r="E513" s="7" t="s">
        <v>9</v>
      </c>
      <c r="F513" s="7" t="s">
        <v>10</v>
      </c>
      <c r="G513" s="6">
        <v>60152</v>
      </c>
      <c r="H513" s="6" t="str" cm="1">
        <f t="array" ref="H513">_xlfn.IFS(
  G513 &lt; 25000, "Low",
  AND(G513 &gt;= 25000, G513 &lt; 75000), "Medium",
  AND(G513 &gt;= 75000, G513 &lt; 150000), "High",
  G513 &gt;= 150000, "Very High"
)</f>
        <v>Medium</v>
      </c>
      <c r="I513" s="6">
        <v>0</v>
      </c>
      <c r="J513" s="6">
        <v>1</v>
      </c>
      <c r="K513" s="6">
        <f t="shared" si="29"/>
        <v>1</v>
      </c>
      <c r="L513" s="8">
        <v>41361</v>
      </c>
      <c r="M513" t="str">
        <f t="shared" ca="1" si="30"/>
        <v>12 years, 11 months</v>
      </c>
      <c r="N513" s="6">
        <v>6</v>
      </c>
      <c r="O513">
        <v>83</v>
      </c>
      <c r="P513">
        <v>58</v>
      </c>
      <c r="Q513">
        <f t="shared" si="31"/>
        <v>141</v>
      </c>
      <c r="R513">
        <v>6</v>
      </c>
      <c r="S513">
        <v>12</v>
      </c>
      <c r="T513">
        <f>Table[[#This Row],[NumWebPurchases]]+Table[[#This Row],[NumStorePurchases]]</f>
        <v>18</v>
      </c>
    </row>
    <row r="514" spans="1:20" ht="12.5">
      <c r="A514" s="6">
        <v>512</v>
      </c>
      <c r="B514" s="6">
        <v>5389</v>
      </c>
      <c r="C514" s="6">
        <v>1964</v>
      </c>
      <c r="D514" s="6">
        <f t="shared" si="28"/>
        <v>61</v>
      </c>
      <c r="E514" s="7" t="s">
        <v>9</v>
      </c>
      <c r="F514" s="7" t="s">
        <v>13</v>
      </c>
      <c r="G514" s="6">
        <v>48920</v>
      </c>
      <c r="H514" s="6" t="str" cm="1">
        <f t="array" ref="H514">_xlfn.IFS(
  G514 &lt; 25000, "Low",
  AND(G514 &gt;= 25000, G514 &lt; 75000), "Medium",
  AND(G514 &gt;= 75000, G514 &lt; 150000), "High",
  G514 &gt;= 150000, "Very High"
)</f>
        <v>Medium</v>
      </c>
      <c r="I514" s="6">
        <v>0</v>
      </c>
      <c r="J514" s="6">
        <v>2</v>
      </c>
      <c r="K514" s="6">
        <f t="shared" si="29"/>
        <v>2</v>
      </c>
      <c r="L514" s="9">
        <v>41567</v>
      </c>
      <c r="M514" t="str">
        <f t="shared" ca="1" si="30"/>
        <v>12 years, 4 months</v>
      </c>
      <c r="N514" s="6">
        <v>93</v>
      </c>
      <c r="O514">
        <v>17</v>
      </c>
      <c r="P514">
        <v>10</v>
      </c>
      <c r="Q514">
        <f t="shared" si="31"/>
        <v>27</v>
      </c>
      <c r="R514">
        <v>6</v>
      </c>
      <c r="S514">
        <v>5</v>
      </c>
      <c r="T514">
        <f>Table[[#This Row],[NumWebPurchases]]+Table[[#This Row],[NumStorePurchases]]</f>
        <v>11</v>
      </c>
    </row>
    <row r="515" spans="1:20" ht="12.5">
      <c r="A515" s="6">
        <v>513</v>
      </c>
      <c r="B515" s="6">
        <v>6036</v>
      </c>
      <c r="C515" s="6">
        <v>1959</v>
      </c>
      <c r="D515" s="6">
        <f t="shared" ref="D515:D578" si="32">2025-C515</f>
        <v>66</v>
      </c>
      <c r="E515" s="7" t="s">
        <v>14</v>
      </c>
      <c r="F515" s="7" t="s">
        <v>11</v>
      </c>
      <c r="G515" s="6">
        <v>89120</v>
      </c>
      <c r="H515" s="6" t="str" cm="1">
        <f t="array" ref="H515">_xlfn.IFS(
  G515 &lt; 25000, "Low",
  AND(G515 &gt;= 25000, G515 &lt; 75000), "Medium",
  AND(G515 &gt;= 75000, G515 &lt; 150000), "High",
  G515 &gt;= 150000, "Very High"
)</f>
        <v>High</v>
      </c>
      <c r="I515" s="6">
        <v>0</v>
      </c>
      <c r="J515" s="6">
        <v>0</v>
      </c>
      <c r="K515" s="6">
        <f t="shared" ref="K515:K578" si="33">I515+J515</f>
        <v>0</v>
      </c>
      <c r="L515" s="8">
        <v>41715</v>
      </c>
      <c r="M515" t="str">
        <f t="shared" ref="M515:M578" ca="1" si="34">DATEDIF(L515, TODAY(), "Y") &amp; " years, " &amp; DATEDIF(L515, TODAY(), "YM") &amp; " months"</f>
        <v>11 years, 11 months</v>
      </c>
      <c r="N515" s="6">
        <v>78</v>
      </c>
      <c r="O515">
        <v>92</v>
      </c>
      <c r="P515">
        <v>129</v>
      </c>
      <c r="Q515">
        <f t="shared" ref="Q515:Q578" si="35">O515+P515</f>
        <v>221</v>
      </c>
      <c r="R515">
        <v>5</v>
      </c>
      <c r="S515">
        <v>7</v>
      </c>
      <c r="T515">
        <f>Table[[#This Row],[NumWebPurchases]]+Table[[#This Row],[NumStorePurchases]]</f>
        <v>12</v>
      </c>
    </row>
    <row r="516" spans="1:20" ht="12.5">
      <c r="A516" s="6">
        <v>514</v>
      </c>
      <c r="B516" s="6">
        <v>182</v>
      </c>
      <c r="C516" s="6">
        <v>1946</v>
      </c>
      <c r="D516" s="6">
        <f t="shared" si="32"/>
        <v>79</v>
      </c>
      <c r="E516" s="7" t="s">
        <v>12</v>
      </c>
      <c r="F516" s="7" t="s">
        <v>11</v>
      </c>
      <c r="G516" s="6">
        <v>44124</v>
      </c>
      <c r="H516" s="6" t="str" cm="1">
        <f t="array" ref="H516">_xlfn.IFS(
  G516 &lt; 25000, "Low",
  AND(G516 &gt;= 25000, G516 &lt; 75000), "Medium",
  AND(G516 &gt;= 75000, G516 &lt; 150000), "High",
  G516 &gt;= 150000, "Very High"
)</f>
        <v>Medium</v>
      </c>
      <c r="I516" s="6">
        <v>0</v>
      </c>
      <c r="J516" s="6">
        <v>1</v>
      </c>
      <c r="K516" s="6">
        <f t="shared" si="33"/>
        <v>1</v>
      </c>
      <c r="L516" s="8">
        <v>41405</v>
      </c>
      <c r="M516" t="str">
        <f t="shared" ca="1" si="34"/>
        <v>12 years, 9 months</v>
      </c>
      <c r="N516" s="6">
        <v>62</v>
      </c>
      <c r="O516">
        <v>0</v>
      </c>
      <c r="P516">
        <v>6</v>
      </c>
      <c r="Q516">
        <f t="shared" si="35"/>
        <v>6</v>
      </c>
      <c r="R516">
        <v>6</v>
      </c>
      <c r="S516">
        <v>5</v>
      </c>
      <c r="T516">
        <f>Table[[#This Row],[NumWebPurchases]]+Table[[#This Row],[NumStorePurchases]]</f>
        <v>11</v>
      </c>
    </row>
    <row r="517" spans="1:20" ht="12.5">
      <c r="A517" s="6">
        <v>515</v>
      </c>
      <c r="B517" s="6">
        <v>203</v>
      </c>
      <c r="C517" s="6">
        <v>1975</v>
      </c>
      <c r="D517" s="6">
        <f t="shared" si="32"/>
        <v>50</v>
      </c>
      <c r="E517" s="7" t="s">
        <v>14</v>
      </c>
      <c r="F517" s="7" t="s">
        <v>10</v>
      </c>
      <c r="G517" s="6">
        <v>81169</v>
      </c>
      <c r="H517" s="6" t="str" cm="1">
        <f t="array" ref="H517">_xlfn.IFS(
  G517 &lt; 25000, "Low",
  AND(G517 &gt;= 25000, G517 &lt; 75000), "Medium",
  AND(G517 &gt;= 75000, G517 &lt; 150000), "High",
  G517 &gt;= 150000, "Very High"
)</f>
        <v>High</v>
      </c>
      <c r="I517" s="6">
        <v>0</v>
      </c>
      <c r="J517" s="6">
        <v>0</v>
      </c>
      <c r="K517" s="6">
        <f t="shared" si="33"/>
        <v>0</v>
      </c>
      <c r="L517" s="8">
        <v>41378</v>
      </c>
      <c r="M517" t="str">
        <f t="shared" ca="1" si="34"/>
        <v>12 years, 10 months</v>
      </c>
      <c r="N517" s="6">
        <v>47</v>
      </c>
      <c r="O517">
        <v>20</v>
      </c>
      <c r="P517">
        <v>61</v>
      </c>
      <c r="Q517">
        <f t="shared" si="35"/>
        <v>81</v>
      </c>
      <c r="R517">
        <v>5</v>
      </c>
      <c r="S517">
        <v>9</v>
      </c>
      <c r="T517">
        <f>Table[[#This Row],[NumWebPurchases]]+Table[[#This Row],[NumStorePurchases]]</f>
        <v>14</v>
      </c>
    </row>
    <row r="518" spans="1:20" ht="12.5">
      <c r="A518" s="6">
        <v>516</v>
      </c>
      <c r="B518" s="6">
        <v>11025</v>
      </c>
      <c r="C518" s="6">
        <v>1961</v>
      </c>
      <c r="D518" s="6">
        <f t="shared" si="32"/>
        <v>64</v>
      </c>
      <c r="E518" s="7" t="s">
        <v>9</v>
      </c>
      <c r="F518" s="7" t="s">
        <v>13</v>
      </c>
      <c r="G518" s="6">
        <v>36443</v>
      </c>
      <c r="H518" s="6" t="str" cm="1">
        <f t="array" ref="H518">_xlfn.IFS(
  G518 &lt; 25000, "Low",
  AND(G518 &gt;= 25000, G518 &lt; 75000), "Medium",
  AND(G518 &gt;= 75000, G518 &lt; 150000), "High",
  G518 &gt;= 150000, "Very High"
)</f>
        <v>Medium</v>
      </c>
      <c r="I518" s="6">
        <v>1</v>
      </c>
      <c r="J518" s="6">
        <v>1</v>
      </c>
      <c r="K518" s="6">
        <f t="shared" si="33"/>
        <v>2</v>
      </c>
      <c r="L518" s="8">
        <v>41308</v>
      </c>
      <c r="M518" t="str">
        <f t="shared" ca="1" si="34"/>
        <v>13 years, 1 months</v>
      </c>
      <c r="N518" s="6">
        <v>9</v>
      </c>
      <c r="O518">
        <v>0</v>
      </c>
      <c r="P518">
        <v>3</v>
      </c>
      <c r="Q518">
        <f t="shared" si="35"/>
        <v>3</v>
      </c>
      <c r="R518">
        <v>3</v>
      </c>
      <c r="S518">
        <v>3</v>
      </c>
      <c r="T518">
        <f>Table[[#This Row],[NumWebPurchases]]+Table[[#This Row],[NumStorePurchases]]</f>
        <v>6</v>
      </c>
    </row>
    <row r="519" spans="1:20" ht="12.5">
      <c r="A519" s="6">
        <v>517</v>
      </c>
      <c r="B519" s="6">
        <v>10203</v>
      </c>
      <c r="C519" s="6">
        <v>1990</v>
      </c>
      <c r="D519" s="6">
        <f t="shared" si="32"/>
        <v>35</v>
      </c>
      <c r="E519" s="7" t="s">
        <v>9</v>
      </c>
      <c r="F519" s="7" t="s">
        <v>10</v>
      </c>
      <c r="G519" s="6">
        <v>26095</v>
      </c>
      <c r="H519" s="6" t="str" cm="1">
        <f t="array" ref="H519">_xlfn.IFS(
  G519 &lt; 25000, "Low",
  AND(G519 &gt;= 25000, G519 &lt; 75000), "Medium",
  AND(G519 &gt;= 75000, G519 &lt; 150000), "High",
  G519 &gt;= 150000, "Very High"
)</f>
        <v>Medium</v>
      </c>
      <c r="I519" s="6">
        <v>1</v>
      </c>
      <c r="J519" s="6">
        <v>0</v>
      </c>
      <c r="K519" s="6">
        <f t="shared" si="33"/>
        <v>1</v>
      </c>
      <c r="L519" s="8">
        <v>41455</v>
      </c>
      <c r="M519" t="str">
        <f t="shared" ca="1" si="34"/>
        <v>12 years, 8 months</v>
      </c>
      <c r="N519" s="6">
        <v>77</v>
      </c>
      <c r="O519">
        <v>7</v>
      </c>
      <c r="P519">
        <v>1</v>
      </c>
      <c r="Q519">
        <f t="shared" si="35"/>
        <v>8</v>
      </c>
      <c r="R519">
        <v>1</v>
      </c>
      <c r="S519">
        <v>3</v>
      </c>
      <c r="T519">
        <f>Table[[#This Row],[NumWebPurchases]]+Table[[#This Row],[NumStorePurchases]]</f>
        <v>4</v>
      </c>
    </row>
    <row r="520" spans="1:20" ht="12.5">
      <c r="A520" s="6">
        <v>518</v>
      </c>
      <c r="B520" s="6">
        <v>4607</v>
      </c>
      <c r="C520" s="6">
        <v>1959</v>
      </c>
      <c r="D520" s="6">
        <f t="shared" si="32"/>
        <v>66</v>
      </c>
      <c r="E520" s="7" t="s">
        <v>9</v>
      </c>
      <c r="F520" s="7" t="s">
        <v>11</v>
      </c>
      <c r="G520" s="6">
        <v>71367</v>
      </c>
      <c r="H520" s="6" t="str" cm="1">
        <f t="array" ref="H520">_xlfn.IFS(
  G520 &lt; 25000, "Low",
  AND(G520 &gt;= 25000, G520 &lt; 75000), "Medium",
  AND(G520 &gt;= 75000, G520 &lt; 150000), "High",
  G520 &gt;= 150000, "Very High"
)</f>
        <v>Medium</v>
      </c>
      <c r="I520" s="6">
        <v>0</v>
      </c>
      <c r="J520" s="6">
        <v>0</v>
      </c>
      <c r="K520" s="6">
        <f t="shared" si="33"/>
        <v>0</v>
      </c>
      <c r="L520" s="8">
        <v>41509</v>
      </c>
      <c r="M520" t="str">
        <f t="shared" ca="1" si="34"/>
        <v>12 years, 6 months</v>
      </c>
      <c r="N520" s="6">
        <v>24</v>
      </c>
      <c r="O520">
        <v>23</v>
      </c>
      <c r="P520">
        <v>21</v>
      </c>
      <c r="Q520">
        <f t="shared" si="35"/>
        <v>44</v>
      </c>
      <c r="R520">
        <v>4</v>
      </c>
      <c r="S520">
        <v>7</v>
      </c>
      <c r="T520">
        <f>Table[[#This Row],[NumWebPurchases]]+Table[[#This Row],[NumStorePurchases]]</f>
        <v>11</v>
      </c>
    </row>
    <row r="521" spans="1:20" ht="12.5">
      <c r="A521" s="6">
        <v>519</v>
      </c>
      <c r="B521" s="6">
        <v>3711</v>
      </c>
      <c r="C521" s="6">
        <v>1944</v>
      </c>
      <c r="D521" s="6">
        <f t="shared" si="32"/>
        <v>81</v>
      </c>
      <c r="E521" s="7" t="s">
        <v>14</v>
      </c>
      <c r="F521" s="7" t="s">
        <v>13</v>
      </c>
      <c r="G521" s="6">
        <v>80184</v>
      </c>
      <c r="H521" s="6" t="str" cm="1">
        <f t="array" ref="H521">_xlfn.IFS(
  G521 &lt; 25000, "Low",
  AND(G521 &gt;= 25000, G521 &lt; 75000), "Medium",
  AND(G521 &gt;= 75000, G521 &lt; 150000), "High",
  G521 &gt;= 150000, "Very High"
)</f>
        <v>High</v>
      </c>
      <c r="I521" s="6">
        <v>0</v>
      </c>
      <c r="J521" s="6">
        <v>0</v>
      </c>
      <c r="K521" s="6">
        <f t="shared" si="33"/>
        <v>0</v>
      </c>
      <c r="L521" s="8">
        <v>41699</v>
      </c>
      <c r="M521" t="str">
        <f t="shared" ca="1" si="34"/>
        <v>12 years, 0 months</v>
      </c>
      <c r="N521" s="6">
        <v>19</v>
      </c>
      <c r="O521">
        <v>134</v>
      </c>
      <c r="P521">
        <v>38</v>
      </c>
      <c r="Q521">
        <f t="shared" si="35"/>
        <v>172</v>
      </c>
      <c r="R521">
        <v>6</v>
      </c>
      <c r="S521">
        <v>10</v>
      </c>
      <c r="T521">
        <f>Table[[#This Row],[NumWebPurchases]]+Table[[#This Row],[NumStorePurchases]]</f>
        <v>16</v>
      </c>
    </row>
    <row r="522" spans="1:20" ht="12.5">
      <c r="A522" s="6">
        <v>520</v>
      </c>
      <c r="B522" s="6">
        <v>3696</v>
      </c>
      <c r="C522" s="6">
        <v>1965</v>
      </c>
      <c r="D522" s="6">
        <f t="shared" si="32"/>
        <v>60</v>
      </c>
      <c r="E522" s="7" t="s">
        <v>9</v>
      </c>
      <c r="F522" s="7" t="s">
        <v>15</v>
      </c>
      <c r="G522" s="6">
        <v>30630</v>
      </c>
      <c r="H522" s="6" t="str" cm="1">
        <f t="array" ref="H522">_xlfn.IFS(
  G522 &lt; 25000, "Low",
  AND(G522 &gt;= 25000, G522 &lt; 75000), "Medium",
  AND(G522 &gt;= 75000, G522 &lt; 150000), "High",
  G522 &gt;= 150000, "Very High"
)</f>
        <v>Medium</v>
      </c>
      <c r="I522" s="6">
        <v>1</v>
      </c>
      <c r="J522" s="6">
        <v>1</v>
      </c>
      <c r="K522" s="6">
        <f t="shared" si="33"/>
        <v>2</v>
      </c>
      <c r="L522" s="8">
        <v>41666</v>
      </c>
      <c r="M522" t="str">
        <f t="shared" ca="1" si="34"/>
        <v>12 years, 1 months</v>
      </c>
      <c r="N522" s="6">
        <v>67</v>
      </c>
      <c r="O522">
        <v>1</v>
      </c>
      <c r="P522">
        <v>0</v>
      </c>
      <c r="Q522">
        <f t="shared" si="35"/>
        <v>1</v>
      </c>
      <c r="R522">
        <v>2</v>
      </c>
      <c r="S522">
        <v>3</v>
      </c>
      <c r="T522">
        <f>Table[[#This Row],[NumWebPurchases]]+Table[[#This Row],[NumStorePurchases]]</f>
        <v>5</v>
      </c>
    </row>
    <row r="523" spans="1:20" ht="12.5">
      <c r="A523" s="6">
        <v>521</v>
      </c>
      <c r="B523" s="6">
        <v>2532</v>
      </c>
      <c r="C523" s="6">
        <v>1987</v>
      </c>
      <c r="D523" s="6">
        <f t="shared" si="32"/>
        <v>38</v>
      </c>
      <c r="E523" s="7" t="s">
        <v>14</v>
      </c>
      <c r="F523" s="7" t="s">
        <v>10</v>
      </c>
      <c r="G523" s="6">
        <v>73454</v>
      </c>
      <c r="H523" s="6" t="str" cm="1">
        <f t="array" ref="H523">_xlfn.IFS(
  G523 &lt; 25000, "Low",
  AND(G523 &gt;= 25000, G523 &lt; 75000), "Medium",
  AND(G523 &gt;= 75000, G523 &lt; 150000), "High",
  G523 &gt;= 150000, "Very High"
)</f>
        <v>Medium</v>
      </c>
      <c r="I523" s="6">
        <v>0</v>
      </c>
      <c r="J523" s="6">
        <v>0</v>
      </c>
      <c r="K523" s="6">
        <f t="shared" si="33"/>
        <v>0</v>
      </c>
      <c r="L523" s="8">
        <v>41699</v>
      </c>
      <c r="M523" t="str">
        <f t="shared" ca="1" si="34"/>
        <v>12 years, 0 months</v>
      </c>
      <c r="N523" s="6">
        <v>95</v>
      </c>
      <c r="O523">
        <v>73</v>
      </c>
      <c r="P523">
        <v>14</v>
      </c>
      <c r="Q523">
        <f t="shared" si="35"/>
        <v>87</v>
      </c>
      <c r="R523">
        <v>2</v>
      </c>
      <c r="S523">
        <v>6</v>
      </c>
      <c r="T523">
        <f>Table[[#This Row],[NumWebPurchases]]+Table[[#This Row],[NumStorePurchases]]</f>
        <v>8</v>
      </c>
    </row>
    <row r="524" spans="1:20" ht="12.5">
      <c r="A524" s="6">
        <v>522</v>
      </c>
      <c r="B524" s="6">
        <v>9214</v>
      </c>
      <c r="C524" s="6">
        <v>1991</v>
      </c>
      <c r="D524" s="6">
        <f t="shared" si="32"/>
        <v>34</v>
      </c>
      <c r="E524" s="7" t="s">
        <v>9</v>
      </c>
      <c r="F524" s="7" t="s">
        <v>13</v>
      </c>
      <c r="G524" s="6">
        <v>42691</v>
      </c>
      <c r="H524" s="6" t="str" cm="1">
        <f t="array" ref="H524">_xlfn.IFS(
  G524 &lt; 25000, "Low",
  AND(G524 &gt;= 25000, G524 &lt; 75000), "Medium",
  AND(G524 &gt;= 75000, G524 &lt; 150000), "High",
  G524 &gt;= 150000, "Very High"
)</f>
        <v>Medium</v>
      </c>
      <c r="I524" s="6">
        <v>0</v>
      </c>
      <c r="J524" s="6">
        <v>0</v>
      </c>
      <c r="K524" s="6">
        <f t="shared" si="33"/>
        <v>0</v>
      </c>
      <c r="L524" s="8">
        <v>41502</v>
      </c>
      <c r="M524" t="str">
        <f t="shared" ca="1" si="34"/>
        <v>12 years, 6 months</v>
      </c>
      <c r="N524" s="6">
        <v>48</v>
      </c>
      <c r="O524">
        <v>2</v>
      </c>
      <c r="P524">
        <v>17</v>
      </c>
      <c r="Q524">
        <f t="shared" si="35"/>
        <v>19</v>
      </c>
      <c r="R524">
        <v>5</v>
      </c>
      <c r="S524">
        <v>6</v>
      </c>
      <c r="T524">
        <f>Table[[#This Row],[NumWebPurchases]]+Table[[#This Row],[NumStorePurchases]]</f>
        <v>11</v>
      </c>
    </row>
    <row r="525" spans="1:20" ht="12.5">
      <c r="A525" s="6">
        <v>523</v>
      </c>
      <c r="B525" s="6">
        <v>4943</v>
      </c>
      <c r="C525" s="6">
        <v>1953</v>
      </c>
      <c r="D525" s="6">
        <f t="shared" si="32"/>
        <v>72</v>
      </c>
      <c r="E525" s="7" t="s">
        <v>9</v>
      </c>
      <c r="F525" s="7" t="s">
        <v>13</v>
      </c>
      <c r="G525" s="6">
        <v>70503</v>
      </c>
      <c r="H525" s="6" t="str" cm="1">
        <f t="array" ref="H525">_xlfn.IFS(
  G525 &lt; 25000, "Low",
  AND(G525 &gt;= 25000, G525 &lt; 75000), "Medium",
  AND(G525 &gt;= 75000, G525 &lt; 150000), "High",
  G525 &gt;= 150000, "Very High"
)</f>
        <v>Medium</v>
      </c>
      <c r="I525" s="6">
        <v>0</v>
      </c>
      <c r="J525" s="6">
        <v>0</v>
      </c>
      <c r="K525" s="6">
        <f t="shared" si="33"/>
        <v>0</v>
      </c>
      <c r="L525" s="8">
        <v>41182</v>
      </c>
      <c r="M525" t="str">
        <f t="shared" ca="1" si="34"/>
        <v>13 years, 5 months</v>
      </c>
      <c r="N525" s="6">
        <v>73</v>
      </c>
      <c r="O525">
        <v>33</v>
      </c>
      <c r="P525">
        <v>33</v>
      </c>
      <c r="Q525">
        <f t="shared" si="35"/>
        <v>66</v>
      </c>
      <c r="R525">
        <v>2</v>
      </c>
      <c r="S525">
        <v>9</v>
      </c>
      <c r="T525">
        <f>Table[[#This Row],[NumWebPurchases]]+Table[[#This Row],[NumStorePurchases]]</f>
        <v>11</v>
      </c>
    </row>
    <row r="526" spans="1:20" ht="12.5">
      <c r="A526" s="6">
        <v>524</v>
      </c>
      <c r="B526" s="6">
        <v>35</v>
      </c>
      <c r="C526" s="6">
        <v>1987</v>
      </c>
      <c r="D526" s="6">
        <f t="shared" si="32"/>
        <v>38</v>
      </c>
      <c r="E526" s="7" t="s">
        <v>9</v>
      </c>
      <c r="F526" s="7" t="s">
        <v>13</v>
      </c>
      <c r="G526" s="6">
        <v>25545</v>
      </c>
      <c r="H526" s="6" t="str" cm="1">
        <f t="array" ref="H526">_xlfn.IFS(
  G526 &lt; 25000, "Low",
  AND(G526 &gt;= 25000, G526 &lt; 75000), "Medium",
  AND(G526 &gt;= 75000, G526 &lt; 150000), "High",
  G526 &gt;= 150000, "Very High"
)</f>
        <v>Medium</v>
      </c>
      <c r="I526" s="6">
        <v>1</v>
      </c>
      <c r="J526" s="6">
        <v>0</v>
      </c>
      <c r="K526" s="6">
        <f t="shared" si="33"/>
        <v>1</v>
      </c>
      <c r="L526" s="8">
        <v>41160</v>
      </c>
      <c r="M526" t="str">
        <f t="shared" ca="1" si="34"/>
        <v>13 years, 5 months</v>
      </c>
      <c r="N526" s="6">
        <v>35</v>
      </c>
      <c r="O526">
        <v>1</v>
      </c>
      <c r="P526">
        <v>12</v>
      </c>
      <c r="Q526">
        <f t="shared" si="35"/>
        <v>13</v>
      </c>
      <c r="R526">
        <v>2</v>
      </c>
      <c r="S526">
        <v>3</v>
      </c>
      <c r="T526">
        <f>Table[[#This Row],[NumWebPurchases]]+Table[[#This Row],[NumStorePurchases]]</f>
        <v>5</v>
      </c>
    </row>
    <row r="527" spans="1:20" ht="12.5">
      <c r="A527" s="6">
        <v>525</v>
      </c>
      <c r="B527" s="6">
        <v>2258</v>
      </c>
      <c r="C527" s="6">
        <v>1986</v>
      </c>
      <c r="D527" s="6">
        <f t="shared" si="32"/>
        <v>39</v>
      </c>
      <c r="E527" s="7" t="s">
        <v>9</v>
      </c>
      <c r="F527" s="7" t="s">
        <v>13</v>
      </c>
      <c r="G527" s="6">
        <v>32880</v>
      </c>
      <c r="H527" s="6" t="str" cm="1">
        <f t="array" ref="H527">_xlfn.IFS(
  G527 &lt; 25000, "Low",
  AND(G527 &gt;= 25000, G527 &lt; 75000), "Medium",
  AND(G527 &gt;= 75000, G527 &lt; 150000), "High",
  G527 &gt;= 150000, "Very High"
)</f>
        <v>Medium</v>
      </c>
      <c r="I527" s="6">
        <v>1</v>
      </c>
      <c r="J527" s="6">
        <v>0</v>
      </c>
      <c r="K527" s="6">
        <f t="shared" si="33"/>
        <v>1</v>
      </c>
      <c r="L527" s="8">
        <v>41247</v>
      </c>
      <c r="M527" t="str">
        <f t="shared" ca="1" si="34"/>
        <v>13 years, 3 months</v>
      </c>
      <c r="N527" s="6">
        <v>76</v>
      </c>
      <c r="O527">
        <v>4</v>
      </c>
      <c r="P527">
        <v>6</v>
      </c>
      <c r="Q527">
        <f t="shared" si="35"/>
        <v>10</v>
      </c>
      <c r="R527">
        <v>1</v>
      </c>
      <c r="S527">
        <v>3</v>
      </c>
      <c r="T527">
        <f>Table[[#This Row],[NumWebPurchases]]+Table[[#This Row],[NumStorePurchases]]</f>
        <v>4</v>
      </c>
    </row>
    <row r="528" spans="1:20" ht="12.5">
      <c r="A528" s="6">
        <v>526</v>
      </c>
      <c r="B528" s="6">
        <v>4322</v>
      </c>
      <c r="C528" s="6">
        <v>1958</v>
      </c>
      <c r="D528" s="6">
        <f t="shared" si="32"/>
        <v>67</v>
      </c>
      <c r="E528" s="7" t="s">
        <v>12</v>
      </c>
      <c r="F528" s="7" t="s">
        <v>11</v>
      </c>
      <c r="G528" s="6">
        <v>77863</v>
      </c>
      <c r="H528" s="6" t="str" cm="1">
        <f t="array" ref="H528">_xlfn.IFS(
  G528 &lt; 25000, "Low",
  AND(G528 &gt;= 25000, G528 &lt; 75000), "Medium",
  AND(G528 &gt;= 75000, G528 &lt; 150000), "High",
  G528 &gt;= 150000, "Very High"
)</f>
        <v>High</v>
      </c>
      <c r="I528" s="6">
        <v>0</v>
      </c>
      <c r="J528" s="6">
        <v>0</v>
      </c>
      <c r="K528" s="6">
        <f t="shared" si="33"/>
        <v>0</v>
      </c>
      <c r="L528" s="9">
        <v>41605</v>
      </c>
      <c r="M528" t="str">
        <f t="shared" ca="1" si="34"/>
        <v>12 years, 3 months</v>
      </c>
      <c r="N528" s="6">
        <v>20</v>
      </c>
      <c r="O528">
        <v>38</v>
      </c>
      <c r="P528">
        <v>25</v>
      </c>
      <c r="Q528">
        <f t="shared" si="35"/>
        <v>63</v>
      </c>
      <c r="R528">
        <v>4</v>
      </c>
      <c r="S528">
        <v>10</v>
      </c>
      <c r="T528">
        <f>Table[[#This Row],[NumWebPurchases]]+Table[[#This Row],[NumStorePurchases]]</f>
        <v>14</v>
      </c>
    </row>
    <row r="529" spans="1:20" ht="12.5">
      <c r="A529" s="6">
        <v>527</v>
      </c>
      <c r="B529" s="6">
        <v>713</v>
      </c>
      <c r="C529" s="6">
        <v>1977</v>
      </c>
      <c r="D529" s="6">
        <f t="shared" si="32"/>
        <v>48</v>
      </c>
      <c r="E529" s="7" t="s">
        <v>14</v>
      </c>
      <c r="F529" s="7" t="s">
        <v>13</v>
      </c>
      <c r="G529" s="6">
        <v>50353</v>
      </c>
      <c r="H529" s="6" t="str" cm="1">
        <f t="array" ref="H529">_xlfn.IFS(
  G529 &lt; 25000, "Low",
  AND(G529 &gt;= 25000, G529 &lt; 75000), "Medium",
  AND(G529 &gt;= 75000, G529 &lt; 150000), "High",
  G529 &gt;= 150000, "Very High"
)</f>
        <v>Medium</v>
      </c>
      <c r="I529" s="6">
        <v>0</v>
      </c>
      <c r="J529" s="6">
        <v>0</v>
      </c>
      <c r="K529" s="6">
        <f t="shared" si="33"/>
        <v>0</v>
      </c>
      <c r="L529" s="8">
        <v>41798</v>
      </c>
      <c r="M529" t="str">
        <f t="shared" ca="1" si="34"/>
        <v>11 years, 8 months</v>
      </c>
      <c r="N529" s="6">
        <v>72</v>
      </c>
      <c r="O529">
        <v>15</v>
      </c>
      <c r="P529">
        <v>31</v>
      </c>
      <c r="Q529">
        <f t="shared" si="35"/>
        <v>46</v>
      </c>
      <c r="R529">
        <v>4</v>
      </c>
      <c r="S529">
        <v>6</v>
      </c>
      <c r="T529">
        <f>Table[[#This Row],[NumWebPurchases]]+Table[[#This Row],[NumStorePurchases]]</f>
        <v>10</v>
      </c>
    </row>
    <row r="530" spans="1:20" ht="12.5">
      <c r="A530" s="6">
        <v>528</v>
      </c>
      <c r="B530" s="6">
        <v>4702</v>
      </c>
      <c r="C530" s="6">
        <v>1964</v>
      </c>
      <c r="D530" s="6">
        <f t="shared" si="32"/>
        <v>61</v>
      </c>
      <c r="E530" s="7" t="s">
        <v>9</v>
      </c>
      <c r="F530" s="7" t="s">
        <v>10</v>
      </c>
      <c r="G530" s="6">
        <v>61839</v>
      </c>
      <c r="H530" s="6" t="str" cm="1">
        <f t="array" ref="H530">_xlfn.IFS(
  G530 &lt; 25000, "Low",
  AND(G530 &gt;= 25000, G530 &lt; 75000), "Medium",
  AND(G530 &gt;= 75000, G530 &lt; 150000), "High",
  G530 &gt;= 150000, "Very High"
)</f>
        <v>Medium</v>
      </c>
      <c r="I530" s="6">
        <v>0</v>
      </c>
      <c r="J530" s="6">
        <v>0</v>
      </c>
      <c r="K530" s="6">
        <f t="shared" si="33"/>
        <v>0</v>
      </c>
      <c r="L530" s="8">
        <v>41133</v>
      </c>
      <c r="M530" t="str">
        <f t="shared" ca="1" si="34"/>
        <v>13 years, 6 months</v>
      </c>
      <c r="N530" s="6">
        <v>20</v>
      </c>
      <c r="O530">
        <v>155</v>
      </c>
      <c r="P530">
        <v>17</v>
      </c>
      <c r="Q530">
        <f t="shared" si="35"/>
        <v>172</v>
      </c>
      <c r="R530">
        <v>4</v>
      </c>
      <c r="S530">
        <v>4</v>
      </c>
      <c r="T530">
        <f>Table[[#This Row],[NumWebPurchases]]+Table[[#This Row],[NumStorePurchases]]</f>
        <v>8</v>
      </c>
    </row>
    <row r="531" spans="1:20" ht="12.5">
      <c r="A531" s="6">
        <v>529</v>
      </c>
      <c r="B531" s="6">
        <v>3281</v>
      </c>
      <c r="C531" s="6">
        <v>1960</v>
      </c>
      <c r="D531" s="6">
        <f t="shared" si="32"/>
        <v>65</v>
      </c>
      <c r="E531" s="7" t="s">
        <v>12</v>
      </c>
      <c r="F531" s="7" t="s">
        <v>13</v>
      </c>
      <c r="G531" s="6">
        <v>49154</v>
      </c>
      <c r="H531" s="6" t="str" cm="1">
        <f t="array" ref="H531">_xlfn.IFS(
  G531 &lt; 25000, "Low",
  AND(G531 &gt;= 25000, G531 &lt; 75000), "Medium",
  AND(G531 &gt;= 75000, G531 &lt; 150000), "High",
  G531 &gt;= 150000, "Very High"
)</f>
        <v>Medium</v>
      </c>
      <c r="I531" s="6">
        <v>1</v>
      </c>
      <c r="J531" s="6">
        <v>1</v>
      </c>
      <c r="K531" s="6">
        <f t="shared" si="33"/>
        <v>2</v>
      </c>
      <c r="L531" s="8">
        <v>41581</v>
      </c>
      <c r="M531" t="str">
        <f t="shared" ca="1" si="34"/>
        <v>12 years, 4 months</v>
      </c>
      <c r="N531" s="6">
        <v>69</v>
      </c>
      <c r="O531">
        <v>10</v>
      </c>
      <c r="P531">
        <v>27</v>
      </c>
      <c r="Q531">
        <f t="shared" si="35"/>
        <v>37</v>
      </c>
      <c r="R531">
        <v>4</v>
      </c>
      <c r="S531">
        <v>8</v>
      </c>
      <c r="T531">
        <f>Table[[#This Row],[NumWebPurchases]]+Table[[#This Row],[NumStorePurchases]]</f>
        <v>12</v>
      </c>
    </row>
    <row r="532" spans="1:20" ht="12.5">
      <c r="A532" s="6">
        <v>530</v>
      </c>
      <c r="B532" s="6">
        <v>702</v>
      </c>
      <c r="C532" s="6">
        <v>1975</v>
      </c>
      <c r="D532" s="6">
        <f t="shared" si="32"/>
        <v>50</v>
      </c>
      <c r="E532" s="7" t="s">
        <v>17</v>
      </c>
      <c r="F532" s="7" t="s">
        <v>18</v>
      </c>
      <c r="G532" s="6">
        <v>47682</v>
      </c>
      <c r="H532" s="6" t="str" cm="1">
        <f t="array" ref="H532">_xlfn.IFS(
  G532 &lt; 25000, "Low",
  AND(G532 &gt;= 25000, G532 &lt; 75000), "Medium",
  AND(G532 &gt;= 75000, G532 &lt; 150000), "High",
  G532 &gt;= 150000, "Very High"
)</f>
        <v>Medium</v>
      </c>
      <c r="I532" s="6">
        <v>0</v>
      </c>
      <c r="J532" s="6">
        <v>1</v>
      </c>
      <c r="K532" s="6">
        <f t="shared" si="33"/>
        <v>1</v>
      </c>
      <c r="L532" s="8">
        <v>41320</v>
      </c>
      <c r="M532" t="str">
        <f t="shared" ca="1" si="34"/>
        <v>13 years, 0 months</v>
      </c>
      <c r="N532" s="6">
        <v>80</v>
      </c>
      <c r="O532">
        <v>61</v>
      </c>
      <c r="P532">
        <v>57</v>
      </c>
      <c r="Q532">
        <f t="shared" si="35"/>
        <v>118</v>
      </c>
      <c r="R532">
        <v>4</v>
      </c>
      <c r="S532">
        <v>8</v>
      </c>
      <c r="T532">
        <f>Table[[#This Row],[NumWebPurchases]]+Table[[#This Row],[NumStorePurchases]]</f>
        <v>12</v>
      </c>
    </row>
    <row r="533" spans="1:20" ht="12.5">
      <c r="A533" s="6">
        <v>531</v>
      </c>
      <c r="B533" s="6">
        <v>2004</v>
      </c>
      <c r="C533" s="6">
        <v>1969</v>
      </c>
      <c r="D533" s="6">
        <f t="shared" si="32"/>
        <v>56</v>
      </c>
      <c r="E533" s="7" t="s">
        <v>9</v>
      </c>
      <c r="F533" s="7" t="s">
        <v>10</v>
      </c>
      <c r="G533" s="6">
        <v>72679</v>
      </c>
      <c r="H533" s="6" t="str" cm="1">
        <f t="array" ref="H533">_xlfn.IFS(
  G533 &lt; 25000, "Low",
  AND(G533 &gt;= 25000, G533 &lt; 75000), "Medium",
  AND(G533 &gt;= 75000, G533 &lt; 150000), "High",
  G533 &gt;= 150000, "Very High"
)</f>
        <v>Medium</v>
      </c>
      <c r="I533" s="6">
        <v>0</v>
      </c>
      <c r="J533" s="6">
        <v>1</v>
      </c>
      <c r="K533" s="6">
        <f t="shared" si="33"/>
        <v>1</v>
      </c>
      <c r="L533" s="8">
        <v>41535</v>
      </c>
      <c r="M533" t="str">
        <f t="shared" ca="1" si="34"/>
        <v>12 years, 5 months</v>
      </c>
      <c r="N533" s="6">
        <v>65</v>
      </c>
      <c r="O533">
        <v>54</v>
      </c>
      <c r="P533">
        <v>54</v>
      </c>
      <c r="Q533">
        <f t="shared" si="35"/>
        <v>108</v>
      </c>
      <c r="R533">
        <v>4</v>
      </c>
      <c r="S533">
        <v>5</v>
      </c>
      <c r="T533">
        <f>Table[[#This Row],[NumWebPurchases]]+Table[[#This Row],[NumStorePurchases]]</f>
        <v>9</v>
      </c>
    </row>
    <row r="534" spans="1:20" ht="12.5">
      <c r="A534" s="6">
        <v>532</v>
      </c>
      <c r="B534" s="6">
        <v>4769</v>
      </c>
      <c r="C534" s="6">
        <v>1977</v>
      </c>
      <c r="D534" s="6">
        <f t="shared" si="32"/>
        <v>48</v>
      </c>
      <c r="E534" s="7" t="s">
        <v>14</v>
      </c>
      <c r="F534" s="7" t="s">
        <v>11</v>
      </c>
      <c r="G534" s="6">
        <v>57954</v>
      </c>
      <c r="H534" s="6" t="str" cm="1">
        <f t="array" ref="H534">_xlfn.IFS(
  G534 &lt; 25000, "Low",
  AND(G534 &gt;= 25000, G534 &lt; 75000), "Medium",
  AND(G534 &gt;= 75000, G534 &lt; 150000), "High",
  G534 &gt;= 150000, "Very High"
)</f>
        <v>Medium</v>
      </c>
      <c r="I534" s="6">
        <v>1</v>
      </c>
      <c r="J534" s="6">
        <v>1</v>
      </c>
      <c r="K534" s="6">
        <f t="shared" si="33"/>
        <v>2</v>
      </c>
      <c r="L534" s="8">
        <v>41808</v>
      </c>
      <c r="M534" t="str">
        <f t="shared" ca="1" si="34"/>
        <v>11 years, 8 months</v>
      </c>
      <c r="N534" s="6">
        <v>52</v>
      </c>
      <c r="O534">
        <v>4</v>
      </c>
      <c r="P534">
        <v>0</v>
      </c>
      <c r="Q534">
        <f t="shared" si="35"/>
        <v>4</v>
      </c>
      <c r="R534">
        <v>8</v>
      </c>
      <c r="S534">
        <v>6</v>
      </c>
      <c r="T534">
        <f>Table[[#This Row],[NumWebPurchases]]+Table[[#This Row],[NumStorePurchases]]</f>
        <v>14</v>
      </c>
    </row>
    <row r="535" spans="1:20" ht="12.5">
      <c r="A535" s="6">
        <v>533</v>
      </c>
      <c r="B535" s="6">
        <v>4437</v>
      </c>
      <c r="C535" s="6">
        <v>1962</v>
      </c>
      <c r="D535" s="6">
        <f t="shared" si="32"/>
        <v>63</v>
      </c>
      <c r="E535" s="7" t="s">
        <v>9</v>
      </c>
      <c r="F535" s="7" t="s">
        <v>13</v>
      </c>
      <c r="G535" s="6">
        <v>65316</v>
      </c>
      <c r="H535" s="6" t="str" cm="1">
        <f t="array" ref="H535">_xlfn.IFS(
  G535 &lt; 25000, "Low",
  AND(G535 &gt;= 25000, G535 &lt; 75000), "Medium",
  AND(G535 &gt;= 75000, G535 &lt; 150000), "High",
  G535 &gt;= 150000, "Very High"
)</f>
        <v>Medium</v>
      </c>
      <c r="I535" s="6">
        <v>1</v>
      </c>
      <c r="J535" s="6">
        <v>1</v>
      </c>
      <c r="K535" s="6">
        <f t="shared" si="33"/>
        <v>2</v>
      </c>
      <c r="L535" s="8">
        <v>41388</v>
      </c>
      <c r="M535" t="str">
        <f t="shared" ca="1" si="34"/>
        <v>12 years, 10 months</v>
      </c>
      <c r="N535" s="6">
        <v>65</v>
      </c>
      <c r="O535">
        <v>6</v>
      </c>
      <c r="P535">
        <v>9</v>
      </c>
      <c r="Q535">
        <f t="shared" si="35"/>
        <v>15</v>
      </c>
      <c r="R535">
        <v>3</v>
      </c>
      <c r="S535">
        <v>5</v>
      </c>
      <c r="T535">
        <f>Table[[#This Row],[NumWebPurchases]]+Table[[#This Row],[NumStorePurchases]]</f>
        <v>8</v>
      </c>
    </row>
    <row r="536" spans="1:20" ht="12.5">
      <c r="A536" s="6">
        <v>534</v>
      </c>
      <c r="B536" s="6">
        <v>8724</v>
      </c>
      <c r="C536" s="6">
        <v>1982</v>
      </c>
      <c r="D536" s="6">
        <f t="shared" si="32"/>
        <v>43</v>
      </c>
      <c r="E536" s="7" t="s">
        <v>9</v>
      </c>
      <c r="F536" s="7" t="s">
        <v>10</v>
      </c>
      <c r="G536" s="6">
        <v>28567</v>
      </c>
      <c r="H536" s="6" t="str" cm="1">
        <f t="array" ref="H536">_xlfn.IFS(
  G536 &lt; 25000, "Low",
  AND(G536 &gt;= 25000, G536 &lt; 75000), "Medium",
  AND(G536 &gt;= 75000, G536 &lt; 150000), "High",
  G536 &gt;= 150000, "Very High"
)</f>
        <v>Medium</v>
      </c>
      <c r="I536" s="6">
        <v>1</v>
      </c>
      <c r="J536" s="6">
        <v>0</v>
      </c>
      <c r="K536" s="6">
        <f t="shared" si="33"/>
        <v>1</v>
      </c>
      <c r="L536" s="8">
        <v>41442</v>
      </c>
      <c r="M536" t="str">
        <f t="shared" ca="1" si="34"/>
        <v>12 years, 8 months</v>
      </c>
      <c r="N536" s="6">
        <v>57</v>
      </c>
      <c r="O536">
        <v>3</v>
      </c>
      <c r="P536">
        <v>2</v>
      </c>
      <c r="Q536">
        <f t="shared" si="35"/>
        <v>5</v>
      </c>
      <c r="R536">
        <v>2</v>
      </c>
      <c r="S536">
        <v>3</v>
      </c>
      <c r="T536">
        <f>Table[[#This Row],[NumWebPurchases]]+Table[[#This Row],[NumStorePurchases]]</f>
        <v>5</v>
      </c>
    </row>
    <row r="537" spans="1:20" ht="12.5">
      <c r="A537" s="6">
        <v>535</v>
      </c>
      <c r="B537" s="6">
        <v>10741</v>
      </c>
      <c r="C537" s="6">
        <v>1951</v>
      </c>
      <c r="D537" s="6">
        <f t="shared" si="32"/>
        <v>74</v>
      </c>
      <c r="E537" s="7" t="s">
        <v>14</v>
      </c>
      <c r="F537" s="7" t="s">
        <v>11</v>
      </c>
      <c r="G537" s="6">
        <v>47352</v>
      </c>
      <c r="H537" s="6" t="str" cm="1">
        <f t="array" ref="H537">_xlfn.IFS(
  G537 &lt; 25000, "Low",
  AND(G537 &gt;= 25000, G537 &lt; 75000), "Medium",
  AND(G537 &gt;= 75000, G537 &lt; 150000), "High",
  G537 &gt;= 150000, "Very High"
)</f>
        <v>Medium</v>
      </c>
      <c r="I537" s="6">
        <v>0</v>
      </c>
      <c r="J537" s="6">
        <v>1</v>
      </c>
      <c r="K537" s="6">
        <f t="shared" si="33"/>
        <v>1</v>
      </c>
      <c r="L537" s="8">
        <v>41375</v>
      </c>
      <c r="M537" t="str">
        <f t="shared" ca="1" si="34"/>
        <v>12 years, 10 months</v>
      </c>
      <c r="N537" s="6">
        <v>70</v>
      </c>
      <c r="O537">
        <v>12</v>
      </c>
      <c r="P537">
        <v>0</v>
      </c>
      <c r="Q537">
        <f t="shared" si="35"/>
        <v>12</v>
      </c>
      <c r="R537">
        <v>6</v>
      </c>
      <c r="S537">
        <v>5</v>
      </c>
      <c r="T537">
        <f>Table[[#This Row],[NumWebPurchases]]+Table[[#This Row],[NumStorePurchases]]</f>
        <v>11</v>
      </c>
    </row>
    <row r="538" spans="1:20" ht="12.5">
      <c r="A538" s="6">
        <v>536</v>
      </c>
      <c r="B538" s="6">
        <v>1991</v>
      </c>
      <c r="C538" s="6">
        <v>1967</v>
      </c>
      <c r="D538" s="6">
        <f t="shared" si="32"/>
        <v>58</v>
      </c>
      <c r="E538" s="7" t="s">
        <v>9</v>
      </c>
      <c r="F538" s="7" t="s">
        <v>11</v>
      </c>
      <c r="G538" s="6">
        <v>44931</v>
      </c>
      <c r="H538" s="6" t="str" cm="1">
        <f t="array" ref="H538">_xlfn.IFS(
  G538 &lt; 25000, "Low",
  AND(G538 &gt;= 25000, G538 &lt; 75000), "Medium",
  AND(G538 &gt;= 75000, G538 &lt; 150000), "High",
  G538 &gt;= 150000, "Very High"
)</f>
        <v>Medium</v>
      </c>
      <c r="I538" s="6">
        <v>0</v>
      </c>
      <c r="J538" s="6">
        <v>1</v>
      </c>
      <c r="K538" s="6">
        <f t="shared" si="33"/>
        <v>1</v>
      </c>
      <c r="L538" s="8">
        <v>41657</v>
      </c>
      <c r="M538" t="str">
        <f t="shared" ca="1" si="34"/>
        <v>12 years, 1 months</v>
      </c>
      <c r="N538" s="6">
        <v>0</v>
      </c>
      <c r="O538">
        <v>0</v>
      </c>
      <c r="P538">
        <v>0</v>
      </c>
      <c r="Q538">
        <f t="shared" si="35"/>
        <v>0</v>
      </c>
      <c r="R538">
        <v>2</v>
      </c>
      <c r="S538">
        <v>3</v>
      </c>
      <c r="T538">
        <f>Table[[#This Row],[NumWebPurchases]]+Table[[#This Row],[NumStorePurchases]]</f>
        <v>5</v>
      </c>
    </row>
    <row r="539" spans="1:20" ht="12.5">
      <c r="A539" s="6">
        <v>537</v>
      </c>
      <c r="B539" s="6">
        <v>6931</v>
      </c>
      <c r="C539" s="6">
        <v>1967</v>
      </c>
      <c r="D539" s="6">
        <f t="shared" si="32"/>
        <v>58</v>
      </c>
      <c r="E539" s="7" t="s">
        <v>9</v>
      </c>
      <c r="F539" s="7" t="s">
        <v>15</v>
      </c>
      <c r="G539" s="6">
        <v>76982</v>
      </c>
      <c r="H539" s="6" t="str" cm="1">
        <f t="array" ref="H539">_xlfn.IFS(
  G539 &lt; 25000, "Low",
  AND(G539 &gt;= 25000, G539 &lt; 75000), "Medium",
  AND(G539 &gt;= 75000, G539 &lt; 150000), "High",
  G539 &gt;= 150000, "Very High"
)</f>
        <v>High</v>
      </c>
      <c r="I539" s="6">
        <v>0</v>
      </c>
      <c r="J539" s="6">
        <v>0</v>
      </c>
      <c r="K539" s="6">
        <f t="shared" si="33"/>
        <v>0</v>
      </c>
      <c r="L539" s="8">
        <v>41685</v>
      </c>
      <c r="M539" t="str">
        <f t="shared" ca="1" si="34"/>
        <v>12 years, 0 months</v>
      </c>
      <c r="N539" s="6">
        <v>19</v>
      </c>
      <c r="O539">
        <v>151</v>
      </c>
      <c r="P539">
        <v>60</v>
      </c>
      <c r="Q539">
        <f t="shared" si="35"/>
        <v>211</v>
      </c>
      <c r="R539">
        <v>8</v>
      </c>
      <c r="S539">
        <v>4</v>
      </c>
      <c r="T539">
        <f>Table[[#This Row],[NumWebPurchases]]+Table[[#This Row],[NumStorePurchases]]</f>
        <v>12</v>
      </c>
    </row>
    <row r="540" spans="1:20" ht="12.5">
      <c r="A540" s="6">
        <v>538</v>
      </c>
      <c r="B540" s="6">
        <v>11096</v>
      </c>
      <c r="C540" s="6">
        <v>1952</v>
      </c>
      <c r="D540" s="6">
        <f t="shared" si="32"/>
        <v>73</v>
      </c>
      <c r="E540" s="7" t="s">
        <v>17</v>
      </c>
      <c r="F540" s="7" t="s">
        <v>11</v>
      </c>
      <c r="G540" s="6">
        <v>57247</v>
      </c>
      <c r="H540" s="6" t="str" cm="1">
        <f t="array" ref="H540">_xlfn.IFS(
  G540 &lt; 25000, "Low",
  AND(G540 &gt;= 25000, G540 &lt; 75000), "Medium",
  AND(G540 &gt;= 75000, G540 &lt; 150000), "High",
  G540 &gt;= 150000, "Very High"
)</f>
        <v>Medium</v>
      </c>
      <c r="I540" s="6">
        <v>0</v>
      </c>
      <c r="J540" s="6">
        <v>1</v>
      </c>
      <c r="K540" s="6">
        <f t="shared" si="33"/>
        <v>1</v>
      </c>
      <c r="L540" s="8">
        <v>41494</v>
      </c>
      <c r="M540" t="str">
        <f t="shared" ca="1" si="34"/>
        <v>12 years, 6 months</v>
      </c>
      <c r="N540" s="6">
        <v>50</v>
      </c>
      <c r="O540">
        <v>4</v>
      </c>
      <c r="P540">
        <v>54</v>
      </c>
      <c r="Q540">
        <f t="shared" si="35"/>
        <v>58</v>
      </c>
      <c r="R540">
        <v>2</v>
      </c>
      <c r="S540">
        <v>7</v>
      </c>
      <c r="T540">
        <f>Table[[#This Row],[NumWebPurchases]]+Table[[#This Row],[NumStorePurchases]]</f>
        <v>9</v>
      </c>
    </row>
    <row r="541" spans="1:20" ht="12.5">
      <c r="A541" s="6">
        <v>539</v>
      </c>
      <c r="B541" s="6">
        <v>304</v>
      </c>
      <c r="C541" s="6">
        <v>1981</v>
      </c>
      <c r="D541" s="6">
        <f t="shared" si="32"/>
        <v>44</v>
      </c>
      <c r="E541" s="7" t="s">
        <v>14</v>
      </c>
      <c r="F541" s="7" t="s">
        <v>10</v>
      </c>
      <c r="G541" s="6">
        <v>22944</v>
      </c>
      <c r="H541" s="6" t="str" cm="1">
        <f t="array" ref="H541">_xlfn.IFS(
  G541 &lt; 25000, "Low",
  AND(G541 &gt;= 25000, G541 &lt; 75000), "Medium",
  AND(G541 &gt;= 75000, G541 &lt; 150000), "High",
  G541 &gt;= 150000, "Very High"
)</f>
        <v>Low</v>
      </c>
      <c r="I541" s="6">
        <v>1</v>
      </c>
      <c r="J541" s="6">
        <v>0</v>
      </c>
      <c r="K541" s="6">
        <f t="shared" si="33"/>
        <v>1</v>
      </c>
      <c r="L541" s="9">
        <v>41631</v>
      </c>
      <c r="M541" t="str">
        <f t="shared" ca="1" si="34"/>
        <v>12 years, 2 months</v>
      </c>
      <c r="N541" s="6">
        <v>67</v>
      </c>
      <c r="O541">
        <v>3</v>
      </c>
      <c r="P541">
        <v>5</v>
      </c>
      <c r="Q541">
        <f t="shared" si="35"/>
        <v>8</v>
      </c>
      <c r="R541">
        <v>3</v>
      </c>
      <c r="S541">
        <v>3</v>
      </c>
      <c r="T541">
        <f>Table[[#This Row],[NumWebPurchases]]+Table[[#This Row],[NumStorePurchases]]</f>
        <v>6</v>
      </c>
    </row>
    <row r="542" spans="1:20" ht="12.5">
      <c r="A542" s="6">
        <v>540</v>
      </c>
      <c r="B542" s="6">
        <v>3665</v>
      </c>
      <c r="C542" s="6">
        <v>1977</v>
      </c>
      <c r="D542" s="6">
        <f t="shared" si="32"/>
        <v>48</v>
      </c>
      <c r="E542" s="7" t="s">
        <v>17</v>
      </c>
      <c r="F542" s="7" t="s">
        <v>11</v>
      </c>
      <c r="G542" s="6">
        <v>25315</v>
      </c>
      <c r="H542" s="6" t="str" cm="1">
        <f t="array" ref="H542">_xlfn.IFS(
  G542 &lt; 25000, "Low",
  AND(G542 &gt;= 25000, G542 &lt; 75000), "Medium",
  AND(G542 &gt;= 75000, G542 &lt; 150000), "High",
  G542 &gt;= 150000, "Very High"
)</f>
        <v>Medium</v>
      </c>
      <c r="I542" s="6">
        <v>1</v>
      </c>
      <c r="J542" s="6">
        <v>0</v>
      </c>
      <c r="K542" s="6">
        <f t="shared" si="33"/>
        <v>1</v>
      </c>
      <c r="L542" s="8">
        <v>41585</v>
      </c>
      <c r="M542" t="str">
        <f t="shared" ca="1" si="34"/>
        <v>12 years, 3 months</v>
      </c>
      <c r="N542" s="6">
        <v>46</v>
      </c>
      <c r="O542">
        <v>9</v>
      </c>
      <c r="P542">
        <v>3</v>
      </c>
      <c r="Q542">
        <f t="shared" si="35"/>
        <v>12</v>
      </c>
      <c r="R542">
        <v>3</v>
      </c>
      <c r="S542">
        <v>3</v>
      </c>
      <c r="T542">
        <f>Table[[#This Row],[NumWebPurchases]]+Table[[#This Row],[NumStorePurchases]]</f>
        <v>6</v>
      </c>
    </row>
    <row r="543" spans="1:20" ht="12.5">
      <c r="A543" s="6">
        <v>541</v>
      </c>
      <c r="B543" s="6">
        <v>10591</v>
      </c>
      <c r="C543" s="6">
        <v>1969</v>
      </c>
      <c r="D543" s="6">
        <f t="shared" si="32"/>
        <v>56</v>
      </c>
      <c r="E543" s="7" t="s">
        <v>9</v>
      </c>
      <c r="F543" s="7" t="s">
        <v>18</v>
      </c>
      <c r="G543" s="6">
        <v>43638</v>
      </c>
      <c r="H543" s="6" t="str" cm="1">
        <f t="array" ref="H543">_xlfn.IFS(
  G543 &lt; 25000, "Low",
  AND(G543 &gt;= 25000, G543 &lt; 75000), "Medium",
  AND(G543 &gt;= 75000, G543 &lt; 150000), "High",
  G543 &gt;= 150000, "Very High"
)</f>
        <v>Medium</v>
      </c>
      <c r="I543" s="6">
        <v>0</v>
      </c>
      <c r="J543" s="6">
        <v>1</v>
      </c>
      <c r="K543" s="6">
        <f t="shared" si="33"/>
        <v>1</v>
      </c>
      <c r="L543" s="8">
        <v>41127</v>
      </c>
      <c r="M543" t="str">
        <f t="shared" ca="1" si="34"/>
        <v>13 years, 7 months</v>
      </c>
      <c r="N543" s="6">
        <v>37</v>
      </c>
      <c r="O543">
        <v>10</v>
      </c>
      <c r="P543">
        <v>19</v>
      </c>
      <c r="Q543">
        <f t="shared" si="35"/>
        <v>29</v>
      </c>
      <c r="R543">
        <v>4</v>
      </c>
      <c r="S543">
        <v>4</v>
      </c>
      <c r="T543">
        <f>Table[[#This Row],[NumWebPurchases]]+Table[[#This Row],[NumStorePurchases]]</f>
        <v>8</v>
      </c>
    </row>
    <row r="544" spans="1:20" ht="12.5">
      <c r="A544" s="6">
        <v>542</v>
      </c>
      <c r="B544" s="6">
        <v>5036</v>
      </c>
      <c r="C544" s="6">
        <v>1984</v>
      </c>
      <c r="D544" s="6">
        <f t="shared" si="32"/>
        <v>41</v>
      </c>
      <c r="E544" s="7" t="s">
        <v>12</v>
      </c>
      <c r="F544" s="7" t="s">
        <v>10</v>
      </c>
      <c r="G544" s="6">
        <v>42710</v>
      </c>
      <c r="H544" s="6" t="str" cm="1">
        <f t="array" ref="H544">_xlfn.IFS(
  G544 &lt; 25000, "Low",
  AND(G544 &gt;= 25000, G544 &lt; 75000), "Medium",
  AND(G544 &gt;= 75000, G544 &lt; 150000), "High",
  G544 &gt;= 150000, "Very High"
)</f>
        <v>Medium</v>
      </c>
      <c r="I544" s="6">
        <v>1</v>
      </c>
      <c r="J544" s="6">
        <v>0</v>
      </c>
      <c r="K544" s="6">
        <f t="shared" si="33"/>
        <v>1</v>
      </c>
      <c r="L544" s="9">
        <v>41241</v>
      </c>
      <c r="M544" t="str">
        <f t="shared" ca="1" si="34"/>
        <v>13 years, 3 months</v>
      </c>
      <c r="N544" s="6">
        <v>38</v>
      </c>
      <c r="O544">
        <v>3</v>
      </c>
      <c r="P544">
        <v>3</v>
      </c>
      <c r="Q544">
        <f t="shared" si="35"/>
        <v>6</v>
      </c>
      <c r="R544">
        <v>4</v>
      </c>
      <c r="S544">
        <v>3</v>
      </c>
      <c r="T544">
        <f>Table[[#This Row],[NumWebPurchases]]+Table[[#This Row],[NumStorePurchases]]</f>
        <v>7</v>
      </c>
    </row>
    <row r="545" spans="1:20" ht="12.5">
      <c r="A545" s="6">
        <v>543</v>
      </c>
      <c r="B545" s="6">
        <v>5547</v>
      </c>
      <c r="C545" s="6">
        <v>1982</v>
      </c>
      <c r="D545" s="6">
        <f t="shared" si="32"/>
        <v>43</v>
      </c>
      <c r="E545" s="7" t="s">
        <v>12</v>
      </c>
      <c r="F545" s="7" t="s">
        <v>13</v>
      </c>
      <c r="G545" s="6">
        <v>84169</v>
      </c>
      <c r="H545" s="6" t="str" cm="1">
        <f t="array" ref="H545">_xlfn.IFS(
  G545 &lt; 25000, "Low",
  AND(G545 &gt;= 25000, G545 &lt; 75000), "Medium",
  AND(G545 &gt;= 75000, G545 &lt; 150000), "High",
  G545 &gt;= 150000, "Very High"
)</f>
        <v>High</v>
      </c>
      <c r="I545" s="6">
        <v>0</v>
      </c>
      <c r="J545" s="6">
        <v>0</v>
      </c>
      <c r="K545" s="6">
        <f t="shared" si="33"/>
        <v>0</v>
      </c>
      <c r="L545" s="8">
        <v>41493</v>
      </c>
      <c r="M545" t="str">
        <f t="shared" ca="1" si="34"/>
        <v>12 years, 6 months</v>
      </c>
      <c r="N545" s="6">
        <v>9</v>
      </c>
      <c r="O545">
        <v>19</v>
      </c>
      <c r="P545">
        <v>19</v>
      </c>
      <c r="Q545">
        <f t="shared" si="35"/>
        <v>38</v>
      </c>
      <c r="R545">
        <v>7</v>
      </c>
      <c r="S545">
        <v>6</v>
      </c>
      <c r="T545">
        <f>Table[[#This Row],[NumWebPurchases]]+Table[[#This Row],[NumStorePurchases]]</f>
        <v>13</v>
      </c>
    </row>
    <row r="546" spans="1:20" ht="12.5">
      <c r="A546" s="6">
        <v>544</v>
      </c>
      <c r="B546" s="6">
        <v>7822</v>
      </c>
      <c r="C546" s="6">
        <v>1976</v>
      </c>
      <c r="D546" s="6">
        <f t="shared" si="32"/>
        <v>49</v>
      </c>
      <c r="E546" s="7" t="s">
        <v>9</v>
      </c>
      <c r="F546" s="7" t="s">
        <v>11</v>
      </c>
      <c r="G546" s="6">
        <v>54058</v>
      </c>
      <c r="H546" s="6" t="str" cm="1">
        <f t="array" ref="H546">_xlfn.IFS(
  G546 &lt; 25000, "Low",
  AND(G546 &gt;= 25000, G546 &lt; 75000), "Medium",
  AND(G546 &gt;= 75000, G546 &lt; 150000), "High",
  G546 &gt;= 150000, "Very High"
)</f>
        <v>Medium</v>
      </c>
      <c r="I546" s="6">
        <v>0</v>
      </c>
      <c r="J546" s="6">
        <v>1</v>
      </c>
      <c r="K546" s="6">
        <f t="shared" si="33"/>
        <v>1</v>
      </c>
      <c r="L546" s="8">
        <v>41429</v>
      </c>
      <c r="M546" t="str">
        <f t="shared" ca="1" si="34"/>
        <v>12 years, 9 months</v>
      </c>
      <c r="N546" s="6">
        <v>56</v>
      </c>
      <c r="O546">
        <v>18</v>
      </c>
      <c r="P546">
        <v>108</v>
      </c>
      <c r="Q546">
        <f t="shared" si="35"/>
        <v>126</v>
      </c>
      <c r="R546">
        <v>4</v>
      </c>
      <c r="S546">
        <v>8</v>
      </c>
      <c r="T546">
        <f>Table[[#This Row],[NumWebPurchases]]+Table[[#This Row],[NumStorePurchases]]</f>
        <v>12</v>
      </c>
    </row>
    <row r="547" spans="1:20" ht="12.5">
      <c r="A547" s="6">
        <v>545</v>
      </c>
      <c r="B547" s="6">
        <v>8541</v>
      </c>
      <c r="C547" s="6">
        <v>1990</v>
      </c>
      <c r="D547" s="6">
        <f t="shared" si="32"/>
        <v>35</v>
      </c>
      <c r="E547" s="7" t="s">
        <v>17</v>
      </c>
      <c r="F547" s="7" t="s">
        <v>13</v>
      </c>
      <c r="G547" s="6">
        <v>24683</v>
      </c>
      <c r="H547" s="6" t="str" cm="1">
        <f t="array" ref="H547">_xlfn.IFS(
  G547 &lt; 25000, "Low",
  AND(G547 &gt;= 25000, G547 &lt; 75000), "Medium",
  AND(G547 &gt;= 75000, G547 &lt; 150000), "High",
  G547 &gt;= 150000, "Very High"
)</f>
        <v>Low</v>
      </c>
      <c r="I547" s="6">
        <v>1</v>
      </c>
      <c r="J547" s="6">
        <v>0</v>
      </c>
      <c r="K547" s="6">
        <f t="shared" si="33"/>
        <v>1</v>
      </c>
      <c r="L547" s="8">
        <v>41706</v>
      </c>
      <c r="M547" t="str">
        <f t="shared" ca="1" si="34"/>
        <v>11 years, 11 months</v>
      </c>
      <c r="N547" s="6">
        <v>98</v>
      </c>
      <c r="O547">
        <v>4</v>
      </c>
      <c r="P547">
        <v>7</v>
      </c>
      <c r="Q547">
        <f t="shared" si="35"/>
        <v>11</v>
      </c>
      <c r="R547">
        <v>2</v>
      </c>
      <c r="S547">
        <v>4</v>
      </c>
      <c r="T547">
        <f>Table[[#This Row],[NumWebPurchases]]+Table[[#This Row],[NumStorePurchases]]</f>
        <v>6</v>
      </c>
    </row>
    <row r="548" spans="1:20" ht="12.5">
      <c r="A548" s="6">
        <v>546</v>
      </c>
      <c r="B548" s="6">
        <v>10955</v>
      </c>
      <c r="C548" s="6">
        <v>1964</v>
      </c>
      <c r="D548" s="6">
        <f t="shared" si="32"/>
        <v>61</v>
      </c>
      <c r="E548" s="7" t="s">
        <v>9</v>
      </c>
      <c r="F548" s="7" t="s">
        <v>18</v>
      </c>
      <c r="G548" s="6">
        <v>85620</v>
      </c>
      <c r="H548" s="6" t="str" cm="1">
        <f t="array" ref="H548">_xlfn.IFS(
  G548 &lt; 25000, "Low",
  AND(G548 &gt;= 25000, G548 &lt; 75000), "Medium",
  AND(G548 &gt;= 75000, G548 &lt; 150000), "High",
  G548 &gt;= 150000, "Very High"
)</f>
        <v>High</v>
      </c>
      <c r="I548" s="6">
        <v>0</v>
      </c>
      <c r="J548" s="6">
        <v>0</v>
      </c>
      <c r="K548" s="6">
        <f t="shared" si="33"/>
        <v>0</v>
      </c>
      <c r="L548" s="8">
        <v>41646</v>
      </c>
      <c r="M548" t="str">
        <f t="shared" ca="1" si="34"/>
        <v>12 years, 1 months</v>
      </c>
      <c r="N548" s="6">
        <v>68</v>
      </c>
      <c r="O548">
        <v>46</v>
      </c>
      <c r="P548">
        <v>107</v>
      </c>
      <c r="Q548">
        <f t="shared" si="35"/>
        <v>153</v>
      </c>
      <c r="R548">
        <v>3</v>
      </c>
      <c r="S548">
        <v>4</v>
      </c>
      <c r="T548">
        <f>Table[[#This Row],[NumWebPurchases]]+Table[[#This Row],[NumStorePurchases]]</f>
        <v>7</v>
      </c>
    </row>
    <row r="549" spans="1:20" ht="12.5">
      <c r="A549" s="6">
        <v>547</v>
      </c>
      <c r="B549" s="6">
        <v>4368</v>
      </c>
      <c r="C549" s="6">
        <v>1980</v>
      </c>
      <c r="D549" s="6">
        <f t="shared" si="32"/>
        <v>45</v>
      </c>
      <c r="E549" s="7" t="s">
        <v>9</v>
      </c>
      <c r="F549" s="7" t="s">
        <v>13</v>
      </c>
      <c r="G549" s="6">
        <v>47850</v>
      </c>
      <c r="H549" s="6" t="str" cm="1">
        <f t="array" ref="H549">_xlfn.IFS(
  G549 &lt; 25000, "Low",
  AND(G549 &gt;= 25000, G549 &lt; 75000), "Medium",
  AND(G549 &gt;= 75000, G549 &lt; 150000), "High",
  G549 &gt;= 150000, "Very High"
)</f>
        <v>Medium</v>
      </c>
      <c r="I549" s="6">
        <v>1</v>
      </c>
      <c r="J549" s="6">
        <v>0</v>
      </c>
      <c r="K549" s="6">
        <f t="shared" si="33"/>
        <v>1</v>
      </c>
      <c r="L549" s="8">
        <v>41611</v>
      </c>
      <c r="M549" t="str">
        <f t="shared" ca="1" si="34"/>
        <v>12 years, 3 months</v>
      </c>
      <c r="N549" s="6">
        <v>72</v>
      </c>
      <c r="O549">
        <v>7</v>
      </c>
      <c r="P549">
        <v>12</v>
      </c>
      <c r="Q549">
        <f t="shared" si="35"/>
        <v>19</v>
      </c>
      <c r="R549">
        <v>3</v>
      </c>
      <c r="S549">
        <v>4</v>
      </c>
      <c r="T549">
        <f>Table[[#This Row],[NumWebPurchases]]+Table[[#This Row],[NumStorePurchases]]</f>
        <v>7</v>
      </c>
    </row>
    <row r="550" spans="1:20" ht="12.5">
      <c r="A550" s="6">
        <v>548</v>
      </c>
      <c r="B550" s="6">
        <v>9671</v>
      </c>
      <c r="C550" s="6">
        <v>1968</v>
      </c>
      <c r="D550" s="6">
        <f t="shared" si="32"/>
        <v>57</v>
      </c>
      <c r="E550" s="7" t="s">
        <v>9</v>
      </c>
      <c r="F550" s="7" t="s">
        <v>13</v>
      </c>
      <c r="G550" s="6">
        <v>19514</v>
      </c>
      <c r="H550" s="6" t="str" cm="1">
        <f t="array" ref="H550">_xlfn.IFS(
  G550 &lt; 25000, "Low",
  AND(G550 &gt;= 25000, G550 &lt; 75000), "Medium",
  AND(G550 &gt;= 75000, G550 &lt; 150000), "High",
  G550 &gt;= 150000, "Very High"
)</f>
        <v>Low</v>
      </c>
      <c r="I550" s="6">
        <v>1</v>
      </c>
      <c r="J550" s="6">
        <v>1</v>
      </c>
      <c r="K550" s="6">
        <f t="shared" si="33"/>
        <v>2</v>
      </c>
      <c r="L550" s="8">
        <v>41665</v>
      </c>
      <c r="M550" t="str">
        <f t="shared" ca="1" si="34"/>
        <v>12 years, 1 months</v>
      </c>
      <c r="N550" s="6">
        <v>47</v>
      </c>
      <c r="O550">
        <v>3</v>
      </c>
      <c r="P550">
        <v>1</v>
      </c>
      <c r="Q550">
        <f t="shared" si="35"/>
        <v>4</v>
      </c>
      <c r="R550">
        <v>3</v>
      </c>
      <c r="S550">
        <v>2</v>
      </c>
      <c r="T550">
        <f>Table[[#This Row],[NumWebPurchases]]+Table[[#This Row],[NumStorePurchases]]</f>
        <v>5</v>
      </c>
    </row>
    <row r="551" spans="1:20" ht="12.5">
      <c r="A551" s="6">
        <v>549</v>
      </c>
      <c r="B551" s="6">
        <v>2256</v>
      </c>
      <c r="C551" s="6">
        <v>1973</v>
      </c>
      <c r="D551" s="6">
        <f t="shared" si="32"/>
        <v>52</v>
      </c>
      <c r="E551" s="7" t="s">
        <v>14</v>
      </c>
      <c r="F551" s="7" t="s">
        <v>13</v>
      </c>
      <c r="G551" s="6">
        <v>27159</v>
      </c>
      <c r="H551" s="6" t="str" cm="1">
        <f t="array" ref="H551">_xlfn.IFS(
  G551 &lt; 25000, "Low",
  AND(G551 &gt;= 25000, G551 &lt; 75000), "Medium",
  AND(G551 &gt;= 75000, G551 &lt; 150000), "High",
  G551 &gt;= 150000, "Very High"
)</f>
        <v>Medium</v>
      </c>
      <c r="I551" s="6">
        <v>1</v>
      </c>
      <c r="J551" s="6">
        <v>1</v>
      </c>
      <c r="K551" s="6">
        <f t="shared" si="33"/>
        <v>2</v>
      </c>
      <c r="L551" s="8">
        <v>41727</v>
      </c>
      <c r="M551" t="str">
        <f t="shared" ca="1" si="34"/>
        <v>11 years, 11 months</v>
      </c>
      <c r="N551" s="6">
        <v>33</v>
      </c>
      <c r="O551">
        <v>0</v>
      </c>
      <c r="P551">
        <v>0</v>
      </c>
      <c r="Q551">
        <f t="shared" si="35"/>
        <v>0</v>
      </c>
      <c r="R551">
        <v>1</v>
      </c>
      <c r="S551">
        <v>3</v>
      </c>
      <c r="T551">
        <f>Table[[#This Row],[NumWebPurchases]]+Table[[#This Row],[NumStorePurchases]]</f>
        <v>4</v>
      </c>
    </row>
    <row r="552" spans="1:20" ht="12.5">
      <c r="A552" s="6">
        <v>550</v>
      </c>
      <c r="B552" s="6">
        <v>4279</v>
      </c>
      <c r="C552" s="6">
        <v>1963</v>
      </c>
      <c r="D552" s="6">
        <f t="shared" si="32"/>
        <v>62</v>
      </c>
      <c r="E552" s="7" t="s">
        <v>17</v>
      </c>
      <c r="F552" s="7" t="s">
        <v>10</v>
      </c>
      <c r="G552" s="6">
        <v>39548</v>
      </c>
      <c r="H552" s="6" t="str" cm="1">
        <f t="array" ref="H552">_xlfn.IFS(
  G552 &lt; 25000, "Low",
  AND(G552 &gt;= 25000, G552 &lt; 75000), "Medium",
  AND(G552 &gt;= 75000, G552 &lt; 150000), "High",
  G552 &gt;= 150000, "Very High"
)</f>
        <v>Medium</v>
      </c>
      <c r="I552" s="6">
        <v>1</v>
      </c>
      <c r="J552" s="6">
        <v>1</v>
      </c>
      <c r="K552" s="6">
        <f t="shared" si="33"/>
        <v>2</v>
      </c>
      <c r="L552" s="8">
        <v>41729</v>
      </c>
      <c r="M552" t="str">
        <f t="shared" ca="1" si="34"/>
        <v>11 years, 11 months</v>
      </c>
      <c r="N552" s="6">
        <v>87</v>
      </c>
      <c r="O552">
        <v>4</v>
      </c>
      <c r="P552">
        <v>4</v>
      </c>
      <c r="Q552">
        <f t="shared" si="35"/>
        <v>8</v>
      </c>
      <c r="R552">
        <v>1</v>
      </c>
      <c r="S552">
        <v>3</v>
      </c>
      <c r="T552">
        <f>Table[[#This Row],[NumWebPurchases]]+Table[[#This Row],[NumStorePurchases]]</f>
        <v>4</v>
      </c>
    </row>
    <row r="553" spans="1:20" ht="12.5">
      <c r="A553" s="6">
        <v>551</v>
      </c>
      <c r="B553" s="6">
        <v>5371</v>
      </c>
      <c r="C553" s="6">
        <v>1989</v>
      </c>
      <c r="D553" s="6">
        <f t="shared" si="32"/>
        <v>36</v>
      </c>
      <c r="E553" s="7" t="s">
        <v>9</v>
      </c>
      <c r="F553" s="7" t="s">
        <v>10</v>
      </c>
      <c r="G553" s="6">
        <v>21474</v>
      </c>
      <c r="H553" s="6" t="str" cm="1">
        <f t="array" ref="H553">_xlfn.IFS(
  G553 &lt; 25000, "Low",
  AND(G553 &gt;= 25000, G553 &lt; 75000), "Medium",
  AND(G553 &gt;= 75000, G553 &lt; 150000), "High",
  G553 &gt;= 150000, "Very High"
)</f>
        <v>Low</v>
      </c>
      <c r="I553" s="6">
        <v>1</v>
      </c>
      <c r="J553" s="6">
        <v>0</v>
      </c>
      <c r="K553" s="6">
        <f t="shared" si="33"/>
        <v>1</v>
      </c>
      <c r="L553" s="8">
        <v>41737</v>
      </c>
      <c r="M553" t="str">
        <f t="shared" ca="1" si="34"/>
        <v>11 years, 10 months</v>
      </c>
      <c r="N553" s="6">
        <v>0</v>
      </c>
      <c r="O553">
        <v>16</v>
      </c>
      <c r="P553">
        <v>0</v>
      </c>
      <c r="Q553">
        <f t="shared" si="35"/>
        <v>16</v>
      </c>
      <c r="R553">
        <v>3</v>
      </c>
      <c r="S553">
        <v>2</v>
      </c>
      <c r="T553">
        <f>Table[[#This Row],[NumWebPurchases]]+Table[[#This Row],[NumStorePurchases]]</f>
        <v>5</v>
      </c>
    </row>
    <row r="554" spans="1:20" ht="12.5">
      <c r="A554" s="6">
        <v>552</v>
      </c>
      <c r="B554" s="6">
        <v>9240</v>
      </c>
      <c r="C554" s="6">
        <v>1971</v>
      </c>
      <c r="D554" s="6">
        <f t="shared" si="32"/>
        <v>54</v>
      </c>
      <c r="E554" s="7" t="s">
        <v>12</v>
      </c>
      <c r="F554" s="7" t="s">
        <v>10</v>
      </c>
      <c r="G554" s="6">
        <v>60504</v>
      </c>
      <c r="H554" s="6" t="str" cm="1">
        <f t="array" ref="H554">_xlfn.IFS(
  G554 &lt; 25000, "Low",
  AND(G554 &gt;= 25000, G554 &lt; 75000), "Medium",
  AND(G554 &gt;= 75000, G554 &lt; 150000), "High",
  G554 &gt;= 150000, "Very High"
)</f>
        <v>Medium</v>
      </c>
      <c r="I554" s="6">
        <v>0</v>
      </c>
      <c r="J554" s="6">
        <v>1</v>
      </c>
      <c r="K554" s="6">
        <f t="shared" si="33"/>
        <v>1</v>
      </c>
      <c r="L554" s="8">
        <v>41677</v>
      </c>
      <c r="M554" t="str">
        <f t="shared" ca="1" si="34"/>
        <v>12 years, 0 months</v>
      </c>
      <c r="N554" s="6">
        <v>73</v>
      </c>
      <c r="O554">
        <v>0</v>
      </c>
      <c r="P554">
        <v>4</v>
      </c>
      <c r="Q554">
        <f t="shared" si="35"/>
        <v>4</v>
      </c>
      <c r="R554">
        <v>6</v>
      </c>
      <c r="S554">
        <v>8</v>
      </c>
      <c r="T554">
        <f>Table[[#This Row],[NumWebPurchases]]+Table[[#This Row],[NumStorePurchases]]</f>
        <v>14</v>
      </c>
    </row>
    <row r="555" spans="1:20" ht="12.5">
      <c r="A555" s="6">
        <v>553</v>
      </c>
      <c r="B555" s="6">
        <v>9460</v>
      </c>
      <c r="C555" s="6">
        <v>1963</v>
      </c>
      <c r="D555" s="6">
        <f t="shared" si="32"/>
        <v>62</v>
      </c>
      <c r="E555" s="7" t="s">
        <v>9</v>
      </c>
      <c r="F555" s="7" t="s">
        <v>13</v>
      </c>
      <c r="G555" s="6">
        <v>22419</v>
      </c>
      <c r="H555" s="6" t="str" cm="1">
        <f t="array" ref="H555">_xlfn.IFS(
  G555 &lt; 25000, "Low",
  AND(G555 &gt;= 25000, G555 &lt; 75000), "Medium",
  AND(G555 &gt;= 75000, G555 &lt; 150000), "High",
  G555 &gt;= 150000, "Very High"
)</f>
        <v>Low</v>
      </c>
      <c r="I555" s="6">
        <v>0</v>
      </c>
      <c r="J555" s="6">
        <v>0</v>
      </c>
      <c r="K555" s="6">
        <f t="shared" si="33"/>
        <v>0</v>
      </c>
      <c r="L555" s="8">
        <v>41382</v>
      </c>
      <c r="M555" t="str">
        <f t="shared" ca="1" si="34"/>
        <v>12 years, 10 months</v>
      </c>
      <c r="N555" s="6">
        <v>74</v>
      </c>
      <c r="O555">
        <v>3</v>
      </c>
      <c r="P555">
        <v>21</v>
      </c>
      <c r="Q555">
        <f t="shared" si="35"/>
        <v>24</v>
      </c>
      <c r="R555">
        <v>3</v>
      </c>
      <c r="S555">
        <v>2</v>
      </c>
      <c r="T555">
        <f>Table[[#This Row],[NumWebPurchases]]+Table[[#This Row],[NumStorePurchases]]</f>
        <v>5</v>
      </c>
    </row>
    <row r="556" spans="1:20" ht="12.5">
      <c r="A556" s="6">
        <v>554</v>
      </c>
      <c r="B556" s="6">
        <v>9504</v>
      </c>
      <c r="C556" s="6">
        <v>1949</v>
      </c>
      <c r="D556" s="6">
        <f t="shared" si="32"/>
        <v>76</v>
      </c>
      <c r="E556" s="7" t="s">
        <v>14</v>
      </c>
      <c r="F556" s="7" t="s">
        <v>13</v>
      </c>
      <c r="G556" s="6">
        <v>81698</v>
      </c>
      <c r="H556" s="6" t="str" cm="1">
        <f t="array" ref="H556">_xlfn.IFS(
  G556 &lt; 25000, "Low",
  AND(G556 &gt;= 25000, G556 &lt; 75000), "Medium",
  AND(G556 &gt;= 75000, G556 &lt; 150000), "High",
  G556 &gt;= 150000, "Very High"
)</f>
        <v>High</v>
      </c>
      <c r="I556" s="6">
        <v>0</v>
      </c>
      <c r="J556" s="6">
        <v>0</v>
      </c>
      <c r="K556" s="6">
        <f t="shared" si="33"/>
        <v>0</v>
      </c>
      <c r="L556" s="8">
        <v>41584</v>
      </c>
      <c r="M556" t="str">
        <f t="shared" ca="1" si="34"/>
        <v>12 years, 4 months</v>
      </c>
      <c r="N556" s="6">
        <v>4</v>
      </c>
      <c r="O556">
        <v>28</v>
      </c>
      <c r="P556">
        <v>123</v>
      </c>
      <c r="Q556">
        <f t="shared" si="35"/>
        <v>151</v>
      </c>
      <c r="R556">
        <v>3</v>
      </c>
      <c r="S556">
        <v>13</v>
      </c>
      <c r="T556">
        <f>Table[[#This Row],[NumWebPurchases]]+Table[[#This Row],[NumStorePurchases]]</f>
        <v>16</v>
      </c>
    </row>
    <row r="557" spans="1:20" ht="12.5">
      <c r="A557" s="6">
        <v>555</v>
      </c>
      <c r="B557" s="6">
        <v>8692</v>
      </c>
      <c r="C557" s="6">
        <v>1952</v>
      </c>
      <c r="D557" s="6">
        <f t="shared" si="32"/>
        <v>73</v>
      </c>
      <c r="E557" s="7" t="s">
        <v>9</v>
      </c>
      <c r="F557" s="7" t="s">
        <v>11</v>
      </c>
      <c r="G557" s="6">
        <v>43462</v>
      </c>
      <c r="H557" s="6" t="str" cm="1">
        <f t="array" ref="H557">_xlfn.IFS(
  G557 &lt; 25000, "Low",
  AND(G557 &gt;= 25000, G557 &lt; 75000), "Medium",
  AND(G557 &gt;= 75000, G557 &lt; 150000), "High",
  G557 &gt;= 150000, "Very High"
)</f>
        <v>Medium</v>
      </c>
      <c r="I557" s="6">
        <v>1</v>
      </c>
      <c r="J557" s="6">
        <v>1</v>
      </c>
      <c r="K557" s="6">
        <f t="shared" si="33"/>
        <v>2</v>
      </c>
      <c r="L557" s="8">
        <v>41164</v>
      </c>
      <c r="M557" t="str">
        <f t="shared" ca="1" si="34"/>
        <v>13 years, 5 months</v>
      </c>
      <c r="N557" s="6">
        <v>50</v>
      </c>
      <c r="O557">
        <v>17</v>
      </c>
      <c r="P557">
        <v>6</v>
      </c>
      <c r="Q557">
        <f t="shared" si="35"/>
        <v>23</v>
      </c>
      <c r="R557">
        <v>4</v>
      </c>
      <c r="S557">
        <v>5</v>
      </c>
      <c r="T557">
        <f>Table[[#This Row],[NumWebPurchases]]+Table[[#This Row],[NumStorePurchases]]</f>
        <v>9</v>
      </c>
    </row>
    <row r="558" spans="1:20" ht="12.5">
      <c r="A558" s="6">
        <v>556</v>
      </c>
      <c r="B558" s="6">
        <v>448</v>
      </c>
      <c r="C558" s="6">
        <v>1978</v>
      </c>
      <c r="D558" s="6">
        <f t="shared" si="32"/>
        <v>47</v>
      </c>
      <c r="E558" s="7" t="s">
        <v>12</v>
      </c>
      <c r="F558" s="7" t="s">
        <v>10</v>
      </c>
      <c r="G558" s="6">
        <v>54880</v>
      </c>
      <c r="H558" s="6" t="str" cm="1">
        <f t="array" ref="H558">_xlfn.IFS(
  G558 &lt; 25000, "Low",
  AND(G558 &gt;= 25000, G558 &lt; 75000), "Medium",
  AND(G558 &gt;= 75000, G558 &lt; 150000), "High",
  G558 &gt;= 150000, "Very High"
)</f>
        <v>Medium</v>
      </c>
      <c r="I558" s="6">
        <v>1</v>
      </c>
      <c r="J558" s="6">
        <v>0</v>
      </c>
      <c r="K558" s="6">
        <f t="shared" si="33"/>
        <v>1</v>
      </c>
      <c r="L558" s="8">
        <v>41334</v>
      </c>
      <c r="M558" t="str">
        <f t="shared" ca="1" si="34"/>
        <v>13 years, 0 months</v>
      </c>
      <c r="N558" s="6">
        <v>57</v>
      </c>
      <c r="O558">
        <v>85</v>
      </c>
      <c r="P558">
        <v>45</v>
      </c>
      <c r="Q558">
        <f t="shared" si="35"/>
        <v>130</v>
      </c>
      <c r="R558">
        <v>6</v>
      </c>
      <c r="S558">
        <v>11</v>
      </c>
      <c r="T558">
        <f>Table[[#This Row],[NumWebPurchases]]+Table[[#This Row],[NumStorePurchases]]</f>
        <v>17</v>
      </c>
    </row>
    <row r="559" spans="1:20" ht="12.5">
      <c r="A559" s="6">
        <v>557</v>
      </c>
      <c r="B559" s="6">
        <v>8314</v>
      </c>
      <c r="C559" s="6">
        <v>1982</v>
      </c>
      <c r="D559" s="6">
        <f t="shared" si="32"/>
        <v>43</v>
      </c>
      <c r="E559" s="7" t="s">
        <v>9</v>
      </c>
      <c r="F559" s="7" t="s">
        <v>13</v>
      </c>
      <c r="G559" s="6">
        <v>79908</v>
      </c>
      <c r="H559" s="6" t="str" cm="1">
        <f t="array" ref="H559">_xlfn.IFS(
  G559 &lt; 25000, "Low",
  AND(G559 &gt;= 25000, G559 &lt; 75000), "Medium",
  AND(G559 &gt;= 75000, G559 &lt; 150000), "High",
  G559 &gt;= 150000, "Very High"
)</f>
        <v>High</v>
      </c>
      <c r="I559" s="6">
        <v>0</v>
      </c>
      <c r="J559" s="6">
        <v>0</v>
      </c>
      <c r="K559" s="6">
        <f t="shared" si="33"/>
        <v>0</v>
      </c>
      <c r="L559" s="8">
        <v>41369</v>
      </c>
      <c r="M559" t="str">
        <f t="shared" ca="1" si="34"/>
        <v>12 years, 11 months</v>
      </c>
      <c r="N559" s="6">
        <v>30</v>
      </c>
      <c r="O559">
        <v>129</v>
      </c>
      <c r="P559">
        <v>185</v>
      </c>
      <c r="Q559">
        <f t="shared" si="35"/>
        <v>314</v>
      </c>
      <c r="R559">
        <v>5</v>
      </c>
      <c r="S559">
        <v>7</v>
      </c>
      <c r="T559">
        <f>Table[[#This Row],[NumWebPurchases]]+Table[[#This Row],[NumStorePurchases]]</f>
        <v>12</v>
      </c>
    </row>
    <row r="560" spans="1:20" ht="12.5">
      <c r="A560" s="6">
        <v>558</v>
      </c>
      <c r="B560" s="6">
        <v>8420</v>
      </c>
      <c r="C560" s="6">
        <v>1970</v>
      </c>
      <c r="D560" s="6">
        <f t="shared" si="32"/>
        <v>55</v>
      </c>
      <c r="E560" s="7" t="s">
        <v>17</v>
      </c>
      <c r="F560" s="7" t="s">
        <v>13</v>
      </c>
      <c r="G560" s="6">
        <v>15315</v>
      </c>
      <c r="H560" s="6" t="str" cm="1">
        <f t="array" ref="H560">_xlfn.IFS(
  G560 &lt; 25000, "Low",
  AND(G560 &gt;= 25000, G560 &lt; 75000), "Medium",
  AND(G560 &gt;= 75000, G560 &lt; 150000), "High",
  G560 &gt;= 150000, "Very High"
)</f>
        <v>Low</v>
      </c>
      <c r="I560" s="6">
        <v>0</v>
      </c>
      <c r="J560" s="6">
        <v>0</v>
      </c>
      <c r="K560" s="6">
        <f t="shared" si="33"/>
        <v>0</v>
      </c>
      <c r="L560" s="8">
        <v>41489</v>
      </c>
      <c r="M560" t="str">
        <f t="shared" ca="1" si="34"/>
        <v>12 years, 7 months</v>
      </c>
      <c r="N560" s="6">
        <v>27</v>
      </c>
      <c r="O560">
        <v>4</v>
      </c>
      <c r="P560">
        <v>8</v>
      </c>
      <c r="Q560">
        <f t="shared" si="35"/>
        <v>12</v>
      </c>
      <c r="R560">
        <v>2</v>
      </c>
      <c r="S560">
        <v>4</v>
      </c>
      <c r="T560">
        <f>Table[[#This Row],[NumWebPurchases]]+Table[[#This Row],[NumStorePurchases]]</f>
        <v>6</v>
      </c>
    </row>
    <row r="561" spans="1:20" ht="12.5">
      <c r="A561" s="6">
        <v>559</v>
      </c>
      <c r="B561" s="6">
        <v>3174</v>
      </c>
      <c r="C561" s="6">
        <v>1959</v>
      </c>
      <c r="D561" s="6">
        <f t="shared" si="32"/>
        <v>66</v>
      </c>
      <c r="E561" s="7" t="s">
        <v>9</v>
      </c>
      <c r="F561" s="7" t="s">
        <v>11</v>
      </c>
      <c r="G561" s="6">
        <v>87771</v>
      </c>
      <c r="H561" s="6" t="str" cm="1">
        <f t="array" ref="H561">_xlfn.IFS(
  G561 &lt; 25000, "Low",
  AND(G561 &gt;= 25000, G561 &lt; 75000), "Medium",
  AND(G561 &gt;= 75000, G561 &lt; 150000), "High",
  G561 &gt;= 150000, "Very High"
)</f>
        <v>High</v>
      </c>
      <c r="I561" s="6">
        <v>0</v>
      </c>
      <c r="J561" s="6">
        <v>1</v>
      </c>
      <c r="K561" s="6">
        <f t="shared" si="33"/>
        <v>1</v>
      </c>
      <c r="L561" s="8">
        <v>41416</v>
      </c>
      <c r="M561" t="str">
        <f t="shared" ca="1" si="34"/>
        <v>12 years, 9 months</v>
      </c>
      <c r="N561" s="6">
        <v>61</v>
      </c>
      <c r="O561">
        <v>38</v>
      </c>
      <c r="P561">
        <v>57</v>
      </c>
      <c r="Q561">
        <f t="shared" si="35"/>
        <v>95</v>
      </c>
      <c r="R561">
        <v>5</v>
      </c>
      <c r="S561">
        <v>4</v>
      </c>
      <c r="T561">
        <f>Table[[#This Row],[NumWebPurchases]]+Table[[#This Row],[NumStorePurchases]]</f>
        <v>9</v>
      </c>
    </row>
    <row r="562" spans="1:20" ht="12.5">
      <c r="A562" s="6">
        <v>560</v>
      </c>
      <c r="B562" s="6">
        <v>7685</v>
      </c>
      <c r="C562" s="6">
        <v>1978</v>
      </c>
      <c r="D562" s="6">
        <f t="shared" si="32"/>
        <v>47</v>
      </c>
      <c r="E562" s="7" t="s">
        <v>9</v>
      </c>
      <c r="F562" s="7" t="s">
        <v>13</v>
      </c>
      <c r="G562" s="6">
        <v>33039</v>
      </c>
      <c r="H562" s="6" t="str" cm="1">
        <f t="array" ref="H562">_xlfn.IFS(
  G562 &lt; 25000, "Low",
  AND(G562 &gt;= 25000, G562 &lt; 75000), "Medium",
  AND(G562 &gt;= 75000, G562 &lt; 150000), "High",
  G562 &gt;= 150000, "Very High"
)</f>
        <v>Medium</v>
      </c>
      <c r="I562" s="6">
        <v>1</v>
      </c>
      <c r="J562" s="6">
        <v>0</v>
      </c>
      <c r="K562" s="6">
        <f t="shared" si="33"/>
        <v>1</v>
      </c>
      <c r="L562" s="8">
        <v>41526</v>
      </c>
      <c r="M562" t="str">
        <f t="shared" ca="1" si="34"/>
        <v>12 years, 5 months</v>
      </c>
      <c r="N562" s="6">
        <v>4</v>
      </c>
      <c r="O562">
        <v>8</v>
      </c>
      <c r="P562">
        <v>8</v>
      </c>
      <c r="Q562">
        <f t="shared" si="35"/>
        <v>16</v>
      </c>
      <c r="R562">
        <v>2</v>
      </c>
      <c r="S562">
        <v>4</v>
      </c>
      <c r="T562">
        <f>Table[[#This Row],[NumWebPurchases]]+Table[[#This Row],[NumStorePurchases]]</f>
        <v>6</v>
      </c>
    </row>
    <row r="563" spans="1:20" ht="12.5">
      <c r="A563" s="6">
        <v>561</v>
      </c>
      <c r="B563" s="6">
        <v>3179</v>
      </c>
      <c r="C563" s="6">
        <v>1980</v>
      </c>
      <c r="D563" s="6">
        <f t="shared" si="32"/>
        <v>45</v>
      </c>
      <c r="E563" s="7" t="s">
        <v>9</v>
      </c>
      <c r="F563" s="7" t="s">
        <v>10</v>
      </c>
      <c r="G563" s="6">
        <v>81741</v>
      </c>
      <c r="H563" s="6" t="str" cm="1">
        <f t="array" ref="H563">_xlfn.IFS(
  G563 &lt; 25000, "Low",
  AND(G563 &gt;= 25000, G563 &lt; 75000), "Medium",
  AND(G563 &gt;= 75000, G563 &lt; 150000), "High",
  G563 &gt;= 150000, "Very High"
)</f>
        <v>High</v>
      </c>
      <c r="I563" s="6">
        <v>0</v>
      </c>
      <c r="J563" s="6">
        <v>0</v>
      </c>
      <c r="K563" s="6">
        <f t="shared" si="33"/>
        <v>0</v>
      </c>
      <c r="L563" s="8">
        <v>41441</v>
      </c>
      <c r="M563" t="str">
        <f t="shared" ca="1" si="34"/>
        <v>12 years, 8 months</v>
      </c>
      <c r="N563" s="6">
        <v>75</v>
      </c>
      <c r="O563">
        <v>153</v>
      </c>
      <c r="P563">
        <v>134</v>
      </c>
      <c r="Q563">
        <f t="shared" si="35"/>
        <v>287</v>
      </c>
      <c r="R563">
        <v>6</v>
      </c>
      <c r="S563">
        <v>7</v>
      </c>
      <c r="T563">
        <f>Table[[#This Row],[NumWebPurchases]]+Table[[#This Row],[NumStorePurchases]]</f>
        <v>13</v>
      </c>
    </row>
    <row r="564" spans="1:20" ht="12.5">
      <c r="A564" s="6">
        <v>562</v>
      </c>
      <c r="B564" s="6">
        <v>9780</v>
      </c>
      <c r="C564" s="6">
        <v>1971</v>
      </c>
      <c r="D564" s="6">
        <f t="shared" si="32"/>
        <v>54</v>
      </c>
      <c r="E564" s="7" t="s">
        <v>14</v>
      </c>
      <c r="F564" s="7" t="s">
        <v>11</v>
      </c>
      <c r="G564" s="6">
        <v>71499</v>
      </c>
      <c r="H564" s="6" t="str" cm="1">
        <f t="array" ref="H564">_xlfn.IFS(
  G564 &lt; 25000, "Low",
  AND(G564 &gt;= 25000, G564 &lt; 75000), "Medium",
  AND(G564 &gt;= 75000, G564 &lt; 150000), "High",
  G564 &gt;= 150000, "Very High"
)</f>
        <v>Medium</v>
      </c>
      <c r="I564" s="6">
        <v>0</v>
      </c>
      <c r="J564" s="6">
        <v>1</v>
      </c>
      <c r="K564" s="6">
        <f t="shared" si="33"/>
        <v>1</v>
      </c>
      <c r="L564" s="8">
        <v>41450</v>
      </c>
      <c r="M564" t="str">
        <f t="shared" ca="1" si="34"/>
        <v>12 years, 8 months</v>
      </c>
      <c r="N564" s="6">
        <v>12</v>
      </c>
      <c r="O564">
        <v>25</v>
      </c>
      <c r="P564">
        <v>0</v>
      </c>
      <c r="Q564">
        <f t="shared" si="35"/>
        <v>25</v>
      </c>
      <c r="R564">
        <v>8</v>
      </c>
      <c r="S564">
        <v>13</v>
      </c>
      <c r="T564">
        <f>Table[[#This Row],[NumWebPurchases]]+Table[[#This Row],[NumStorePurchases]]</f>
        <v>21</v>
      </c>
    </row>
    <row r="565" spans="1:20" ht="12.5">
      <c r="A565" s="6">
        <v>563</v>
      </c>
      <c r="B565" s="6">
        <v>10681</v>
      </c>
      <c r="C565" s="6">
        <v>1970</v>
      </c>
      <c r="D565" s="6">
        <f t="shared" si="32"/>
        <v>55</v>
      </c>
      <c r="E565" s="7" t="s">
        <v>17</v>
      </c>
      <c r="F565" s="7" t="s">
        <v>13</v>
      </c>
      <c r="G565" s="6">
        <v>62466</v>
      </c>
      <c r="H565" s="6" t="str" cm="1">
        <f t="array" ref="H565">_xlfn.IFS(
  G565 &lt; 25000, "Low",
  AND(G565 &gt;= 25000, G565 &lt; 75000), "Medium",
  AND(G565 &gt;= 75000, G565 &lt; 150000), "High",
  G565 &gt;= 150000, "Very High"
)</f>
        <v>Medium</v>
      </c>
      <c r="I565" s="6">
        <v>0</v>
      </c>
      <c r="J565" s="6">
        <v>1</v>
      </c>
      <c r="K565" s="6">
        <f t="shared" si="33"/>
        <v>1</v>
      </c>
      <c r="L565" s="8">
        <v>41654</v>
      </c>
      <c r="M565" t="str">
        <f t="shared" ca="1" si="34"/>
        <v>12 years, 1 months</v>
      </c>
      <c r="N565" s="6">
        <v>13</v>
      </c>
      <c r="O565">
        <v>129</v>
      </c>
      <c r="P565">
        <v>121</v>
      </c>
      <c r="Q565">
        <f t="shared" si="35"/>
        <v>250</v>
      </c>
      <c r="R565">
        <v>6</v>
      </c>
      <c r="S565">
        <v>12</v>
      </c>
      <c r="T565">
        <f>Table[[#This Row],[NumWebPurchases]]+Table[[#This Row],[NumStorePurchases]]</f>
        <v>18</v>
      </c>
    </row>
    <row r="566" spans="1:20" ht="12.5">
      <c r="A566" s="6">
        <v>564</v>
      </c>
      <c r="B566" s="6">
        <v>10232</v>
      </c>
      <c r="C566" s="6">
        <v>1963</v>
      </c>
      <c r="D566" s="6">
        <f t="shared" si="32"/>
        <v>62</v>
      </c>
      <c r="E566" s="7" t="s">
        <v>12</v>
      </c>
      <c r="F566" s="7" t="s">
        <v>15</v>
      </c>
      <c r="G566" s="6">
        <v>48799</v>
      </c>
      <c r="H566" s="6" t="str" cm="1">
        <f t="array" ref="H566">_xlfn.IFS(
  G566 &lt; 25000, "Low",
  AND(G566 &gt;= 25000, G566 &lt; 75000), "Medium",
  AND(G566 &gt;= 75000, G566 &lt; 150000), "High",
  G566 &gt;= 150000, "Very High"
)</f>
        <v>Medium</v>
      </c>
      <c r="I566" s="6">
        <v>0</v>
      </c>
      <c r="J566" s="6">
        <v>1</v>
      </c>
      <c r="K566" s="6">
        <f t="shared" si="33"/>
        <v>1</v>
      </c>
      <c r="L566" s="8">
        <v>41583</v>
      </c>
      <c r="M566" t="str">
        <f t="shared" ca="1" si="34"/>
        <v>12 years, 4 months</v>
      </c>
      <c r="N566" s="6">
        <v>9</v>
      </c>
      <c r="O566">
        <v>18</v>
      </c>
      <c r="P566">
        <v>6</v>
      </c>
      <c r="Q566">
        <f t="shared" si="35"/>
        <v>24</v>
      </c>
      <c r="R566">
        <v>3</v>
      </c>
      <c r="S566">
        <v>7</v>
      </c>
      <c r="T566">
        <f>Table[[#This Row],[NumWebPurchases]]+Table[[#This Row],[NumStorePurchases]]</f>
        <v>10</v>
      </c>
    </row>
    <row r="567" spans="1:20" ht="12.5">
      <c r="A567" s="6">
        <v>565</v>
      </c>
      <c r="B567" s="6">
        <v>4184</v>
      </c>
      <c r="C567" s="6">
        <v>1950</v>
      </c>
      <c r="D567" s="6">
        <f t="shared" si="32"/>
        <v>75</v>
      </c>
      <c r="E567" s="7" t="s">
        <v>12</v>
      </c>
      <c r="F567" s="7" t="s">
        <v>11</v>
      </c>
      <c r="G567" s="6">
        <v>52157</v>
      </c>
      <c r="H567" s="6" t="str" cm="1">
        <f t="array" ref="H567">_xlfn.IFS(
  G567 &lt; 25000, "Low",
  AND(G567 &gt;= 25000, G567 &lt; 75000), "Medium",
  AND(G567 &gt;= 75000, G567 &lt; 150000), "High",
  G567 &gt;= 150000, "Very High"
)</f>
        <v>Medium</v>
      </c>
      <c r="I567" s="6">
        <v>0</v>
      </c>
      <c r="J567" s="6">
        <v>1</v>
      </c>
      <c r="K567" s="6">
        <f t="shared" si="33"/>
        <v>1</v>
      </c>
      <c r="L567" s="8">
        <v>41797</v>
      </c>
      <c r="M567" t="str">
        <f t="shared" ca="1" si="34"/>
        <v>11 years, 8 months</v>
      </c>
      <c r="N567" s="6">
        <v>48</v>
      </c>
      <c r="O567">
        <v>2</v>
      </c>
      <c r="P567">
        <v>2</v>
      </c>
      <c r="Q567">
        <f t="shared" si="35"/>
        <v>4</v>
      </c>
      <c r="R567">
        <v>3</v>
      </c>
      <c r="S567">
        <v>5</v>
      </c>
      <c r="T567">
        <f>Table[[#This Row],[NumWebPurchases]]+Table[[#This Row],[NumStorePurchases]]</f>
        <v>8</v>
      </c>
    </row>
    <row r="568" spans="1:20" ht="12.5">
      <c r="A568" s="6">
        <v>566</v>
      </c>
      <c r="B568" s="6">
        <v>9120</v>
      </c>
      <c r="C568" s="6">
        <v>1962</v>
      </c>
      <c r="D568" s="6">
        <f t="shared" si="32"/>
        <v>63</v>
      </c>
      <c r="E568" s="7" t="s">
        <v>9</v>
      </c>
      <c r="F568" s="7" t="s">
        <v>10</v>
      </c>
      <c r="G568" s="6">
        <v>66565</v>
      </c>
      <c r="H568" s="6" t="str" cm="1">
        <f t="array" ref="H568">_xlfn.IFS(
  G568 &lt; 25000, "Low",
  AND(G568 &gt;= 25000, G568 &lt; 75000), "Medium",
  AND(G568 &gt;= 75000, G568 &lt; 150000), "High",
  G568 &gt;= 150000, "Very High"
)</f>
        <v>Medium</v>
      </c>
      <c r="I568" s="6">
        <v>0</v>
      </c>
      <c r="J568" s="6">
        <v>1</v>
      </c>
      <c r="K568" s="6">
        <f t="shared" si="33"/>
        <v>1</v>
      </c>
      <c r="L568" s="8">
        <v>41248</v>
      </c>
      <c r="M568" t="str">
        <f t="shared" ca="1" si="34"/>
        <v>13 years, 3 months</v>
      </c>
      <c r="N568" s="6">
        <v>80</v>
      </c>
      <c r="O568">
        <v>10</v>
      </c>
      <c r="P568">
        <v>40</v>
      </c>
      <c r="Q568">
        <f t="shared" si="35"/>
        <v>50</v>
      </c>
      <c r="R568">
        <v>4</v>
      </c>
      <c r="S568">
        <v>9</v>
      </c>
      <c r="T568">
        <f>Table[[#This Row],[NumWebPurchases]]+Table[[#This Row],[NumStorePurchases]]</f>
        <v>13</v>
      </c>
    </row>
    <row r="569" spans="1:20" ht="12.5">
      <c r="A569" s="6">
        <v>567</v>
      </c>
      <c r="B569" s="6">
        <v>891</v>
      </c>
      <c r="C569" s="6">
        <v>1951</v>
      </c>
      <c r="D569" s="6">
        <f t="shared" si="32"/>
        <v>74</v>
      </c>
      <c r="E569" s="7" t="s">
        <v>14</v>
      </c>
      <c r="F569" s="7" t="s">
        <v>11</v>
      </c>
      <c r="G569" s="6">
        <v>29298</v>
      </c>
      <c r="H569" s="6" t="str" cm="1">
        <f t="array" ref="H569">_xlfn.IFS(
  G569 &lt; 25000, "Low",
  AND(G569 &gt;= 25000, G569 &lt; 75000), "Medium",
  AND(G569 &gt;= 75000, G569 &lt; 150000), "High",
  G569 &gt;= 150000, "Very High"
)</f>
        <v>Medium</v>
      </c>
      <c r="I569" s="6">
        <v>1</v>
      </c>
      <c r="J569" s="6">
        <v>1</v>
      </c>
      <c r="K569" s="6">
        <f t="shared" si="33"/>
        <v>2</v>
      </c>
      <c r="L569" s="8">
        <v>41524</v>
      </c>
      <c r="M569" t="str">
        <f t="shared" ca="1" si="34"/>
        <v>12 years, 5 months</v>
      </c>
      <c r="N569" s="6">
        <v>60</v>
      </c>
      <c r="O569">
        <v>0</v>
      </c>
      <c r="P569">
        <v>0</v>
      </c>
      <c r="Q569">
        <f t="shared" si="35"/>
        <v>0</v>
      </c>
      <c r="R569">
        <v>1</v>
      </c>
      <c r="S569">
        <v>2</v>
      </c>
      <c r="T569">
        <f>Table[[#This Row],[NumWebPurchases]]+Table[[#This Row],[NumStorePurchases]]</f>
        <v>3</v>
      </c>
    </row>
    <row r="570" spans="1:20" ht="12.5">
      <c r="A570" s="6">
        <v>568</v>
      </c>
      <c r="B570" s="6">
        <v>10381</v>
      </c>
      <c r="C570" s="6">
        <v>1979</v>
      </c>
      <c r="D570" s="6">
        <f t="shared" si="32"/>
        <v>46</v>
      </c>
      <c r="E570" s="7" t="s">
        <v>9</v>
      </c>
      <c r="F570" s="7" t="s">
        <v>10</v>
      </c>
      <c r="G570" s="6">
        <v>47691</v>
      </c>
      <c r="H570" s="6" t="str" cm="1">
        <f t="array" ref="H570">_xlfn.IFS(
  G570 &lt; 25000, "Low",
  AND(G570 &gt;= 25000, G570 &lt; 75000), "Medium",
  AND(G570 &gt;= 75000, G570 &lt; 150000), "High",
  G570 &gt;= 150000, "Very High"
)</f>
        <v>Medium</v>
      </c>
      <c r="I570" s="6">
        <v>0</v>
      </c>
      <c r="J570" s="6">
        <v>1</v>
      </c>
      <c r="K570" s="6">
        <f t="shared" si="33"/>
        <v>1</v>
      </c>
      <c r="L570" s="8">
        <v>41460</v>
      </c>
      <c r="M570" t="str">
        <f t="shared" ca="1" si="34"/>
        <v>12 years, 8 months</v>
      </c>
      <c r="N570" s="6">
        <v>43</v>
      </c>
      <c r="O570">
        <v>0</v>
      </c>
      <c r="P570">
        <v>0</v>
      </c>
      <c r="Q570">
        <f t="shared" si="35"/>
        <v>0</v>
      </c>
      <c r="R570">
        <v>1</v>
      </c>
      <c r="S570">
        <v>2</v>
      </c>
      <c r="T570">
        <f>Table[[#This Row],[NumWebPurchases]]+Table[[#This Row],[NumStorePurchases]]</f>
        <v>3</v>
      </c>
    </row>
    <row r="571" spans="1:20" ht="12.5">
      <c r="A571" s="6">
        <v>569</v>
      </c>
      <c r="B571" s="6">
        <v>3525</v>
      </c>
      <c r="C571" s="6">
        <v>1970</v>
      </c>
      <c r="D571" s="6">
        <f t="shared" si="32"/>
        <v>55</v>
      </c>
      <c r="E571" s="7" t="s">
        <v>9</v>
      </c>
      <c r="F571" s="7" t="s">
        <v>11</v>
      </c>
      <c r="G571" s="6">
        <v>38200</v>
      </c>
      <c r="H571" s="6" t="str" cm="1">
        <f t="array" ref="H571">_xlfn.IFS(
  G571 &lt; 25000, "Low",
  AND(G571 &gt;= 25000, G571 &lt; 75000), "Medium",
  AND(G571 &gt;= 75000, G571 &lt; 150000), "High",
  G571 &gt;= 150000, "Very High"
)</f>
        <v>Medium</v>
      </c>
      <c r="I571" s="6">
        <v>1</v>
      </c>
      <c r="J571" s="6">
        <v>1</v>
      </c>
      <c r="K571" s="6">
        <f t="shared" si="33"/>
        <v>2</v>
      </c>
      <c r="L571" s="8">
        <v>41250</v>
      </c>
      <c r="M571" t="str">
        <f t="shared" ca="1" si="34"/>
        <v>13 years, 2 months</v>
      </c>
      <c r="N571" s="6">
        <v>19</v>
      </c>
      <c r="O571">
        <v>0</v>
      </c>
      <c r="P571">
        <v>0</v>
      </c>
      <c r="Q571">
        <f t="shared" si="35"/>
        <v>0</v>
      </c>
      <c r="R571">
        <v>1</v>
      </c>
      <c r="S571">
        <v>2</v>
      </c>
      <c r="T571">
        <f>Table[[#This Row],[NumWebPurchases]]+Table[[#This Row],[NumStorePurchases]]</f>
        <v>3</v>
      </c>
    </row>
    <row r="572" spans="1:20" ht="12.5">
      <c r="A572" s="6">
        <v>570</v>
      </c>
      <c r="B572" s="6">
        <v>6818</v>
      </c>
      <c r="C572" s="6">
        <v>1974</v>
      </c>
      <c r="D572" s="6">
        <f t="shared" si="32"/>
        <v>51</v>
      </c>
      <c r="E572" s="7" t="s">
        <v>9</v>
      </c>
      <c r="F572" s="7" t="s">
        <v>13</v>
      </c>
      <c r="G572" s="6">
        <v>44989</v>
      </c>
      <c r="H572" s="6" t="str" cm="1">
        <f t="array" ref="H572">_xlfn.IFS(
  G572 &lt; 25000, "Low",
  AND(G572 &gt;= 25000, G572 &lt; 75000), "Medium",
  AND(G572 &gt;= 75000, G572 &lt; 150000), "High",
  G572 &gt;= 150000, "Very High"
)</f>
        <v>Medium</v>
      </c>
      <c r="I572" s="6">
        <v>0</v>
      </c>
      <c r="J572" s="6">
        <v>1</v>
      </c>
      <c r="K572" s="6">
        <f t="shared" si="33"/>
        <v>1</v>
      </c>
      <c r="L572" s="8">
        <v>41164</v>
      </c>
      <c r="M572" t="str">
        <f t="shared" ca="1" si="34"/>
        <v>13 years, 5 months</v>
      </c>
      <c r="N572" s="6">
        <v>26</v>
      </c>
      <c r="O572">
        <v>0</v>
      </c>
      <c r="P572">
        <v>10</v>
      </c>
      <c r="Q572">
        <f t="shared" si="35"/>
        <v>10</v>
      </c>
      <c r="R572">
        <v>5</v>
      </c>
      <c r="S572">
        <v>5</v>
      </c>
      <c r="T572">
        <f>Table[[#This Row],[NumWebPurchases]]+Table[[#This Row],[NumStorePurchases]]</f>
        <v>10</v>
      </c>
    </row>
    <row r="573" spans="1:20" ht="12.5">
      <c r="A573" s="6">
        <v>571</v>
      </c>
      <c r="B573" s="6">
        <v>3526</v>
      </c>
      <c r="C573" s="6">
        <v>1968</v>
      </c>
      <c r="D573" s="6">
        <f t="shared" si="32"/>
        <v>57</v>
      </c>
      <c r="E573" s="7" t="s">
        <v>12</v>
      </c>
      <c r="F573" s="7" t="s">
        <v>13</v>
      </c>
      <c r="G573" s="6">
        <v>38443</v>
      </c>
      <c r="H573" s="6" t="str" cm="1">
        <f t="array" ref="H573">_xlfn.IFS(
  G573 &lt; 25000, "Low",
  AND(G573 &gt;= 25000, G573 &lt; 75000), "Medium",
  AND(G573 &gt;= 75000, G573 &lt; 150000), "High",
  G573 &gt;= 150000, "Very High"
)</f>
        <v>Medium</v>
      </c>
      <c r="I573" s="6">
        <v>1</v>
      </c>
      <c r="J573" s="6">
        <v>1</v>
      </c>
      <c r="K573" s="6">
        <f t="shared" si="33"/>
        <v>2</v>
      </c>
      <c r="L573" s="8">
        <v>41666</v>
      </c>
      <c r="M573" t="str">
        <f t="shared" ca="1" si="34"/>
        <v>12 years, 1 months</v>
      </c>
      <c r="N573" s="6">
        <v>58</v>
      </c>
      <c r="O573">
        <v>0</v>
      </c>
      <c r="P573">
        <v>0</v>
      </c>
      <c r="Q573">
        <f t="shared" si="35"/>
        <v>0</v>
      </c>
      <c r="R573">
        <v>1</v>
      </c>
      <c r="S573">
        <v>3</v>
      </c>
      <c r="T573">
        <f>Table[[#This Row],[NumWebPurchases]]+Table[[#This Row],[NumStorePurchases]]</f>
        <v>4</v>
      </c>
    </row>
    <row r="574" spans="1:20" ht="12.5">
      <c r="A574" s="6">
        <v>572</v>
      </c>
      <c r="B574" s="6">
        <v>8181</v>
      </c>
      <c r="C574" s="6">
        <v>1978</v>
      </c>
      <c r="D574" s="6">
        <f t="shared" si="32"/>
        <v>47</v>
      </c>
      <c r="E574" s="7" t="s">
        <v>17</v>
      </c>
      <c r="F574" s="7" t="s">
        <v>10</v>
      </c>
      <c r="G574" s="6">
        <v>38593</v>
      </c>
      <c r="H574" s="6" t="str" cm="1">
        <f t="array" ref="H574">_xlfn.IFS(
  G574 &lt; 25000, "Low",
  AND(G574 &gt;= 25000, G574 &lt; 75000), "Medium",
  AND(G574 &gt;= 75000, G574 &lt; 150000), "High",
  G574 &gt;= 150000, "Very High"
)</f>
        <v>Medium</v>
      </c>
      <c r="I574" s="6">
        <v>1</v>
      </c>
      <c r="J574" s="6">
        <v>0</v>
      </c>
      <c r="K574" s="6">
        <f t="shared" si="33"/>
        <v>1</v>
      </c>
      <c r="L574" s="8">
        <v>41530</v>
      </c>
      <c r="M574" t="str">
        <f t="shared" ca="1" si="34"/>
        <v>12 years, 5 months</v>
      </c>
      <c r="N574" s="6">
        <v>42</v>
      </c>
      <c r="O574">
        <v>12</v>
      </c>
      <c r="P574">
        <v>24</v>
      </c>
      <c r="Q574">
        <f t="shared" si="35"/>
        <v>36</v>
      </c>
      <c r="R574">
        <v>4</v>
      </c>
      <c r="S574">
        <v>3</v>
      </c>
      <c r="T574">
        <f>Table[[#This Row],[NumWebPurchases]]+Table[[#This Row],[NumStorePurchases]]</f>
        <v>7</v>
      </c>
    </row>
    <row r="575" spans="1:20" ht="12.5">
      <c r="A575" s="6">
        <v>573</v>
      </c>
      <c r="B575" s="6">
        <v>1029</v>
      </c>
      <c r="C575" s="6">
        <v>1970</v>
      </c>
      <c r="D575" s="6">
        <f t="shared" si="32"/>
        <v>55</v>
      </c>
      <c r="E575" s="7" t="s">
        <v>12</v>
      </c>
      <c r="F575" s="7" t="s">
        <v>11</v>
      </c>
      <c r="G575" s="6">
        <v>64413</v>
      </c>
      <c r="H575" s="6" t="str" cm="1">
        <f t="array" ref="H575">_xlfn.IFS(
  G575 &lt; 25000, "Low",
  AND(G575 &gt;= 25000, G575 &lt; 75000), "Medium",
  AND(G575 &gt;= 75000, G575 &lt; 150000), "High",
  G575 &gt;= 150000, "Very High"
)</f>
        <v>Medium</v>
      </c>
      <c r="I575" s="6">
        <v>0</v>
      </c>
      <c r="J575" s="6">
        <v>1</v>
      </c>
      <c r="K575" s="6">
        <f t="shared" si="33"/>
        <v>1</v>
      </c>
      <c r="L575" s="8">
        <v>41487</v>
      </c>
      <c r="M575" t="str">
        <f t="shared" ca="1" si="34"/>
        <v>12 years, 7 months</v>
      </c>
      <c r="N575" s="6">
        <v>27</v>
      </c>
      <c r="O575">
        <v>5</v>
      </c>
      <c r="P575">
        <v>10</v>
      </c>
      <c r="Q575">
        <f t="shared" si="35"/>
        <v>15</v>
      </c>
      <c r="R575">
        <v>5</v>
      </c>
      <c r="S575">
        <v>5</v>
      </c>
      <c r="T575">
        <f>Table[[#This Row],[NumWebPurchases]]+Table[[#This Row],[NumStorePurchases]]</f>
        <v>10</v>
      </c>
    </row>
    <row r="576" spans="1:20" ht="12.5">
      <c r="A576" s="6">
        <v>574</v>
      </c>
      <c r="B576" s="6">
        <v>7369</v>
      </c>
      <c r="C576" s="6">
        <v>1981</v>
      </c>
      <c r="D576" s="6">
        <f t="shared" si="32"/>
        <v>44</v>
      </c>
      <c r="E576" s="7" t="s">
        <v>14</v>
      </c>
      <c r="F576" s="7" t="s">
        <v>13</v>
      </c>
      <c r="G576" s="6">
        <v>36959</v>
      </c>
      <c r="H576" s="6" t="str" cm="1">
        <f t="array" ref="H576">_xlfn.IFS(
  G576 &lt; 25000, "Low",
  AND(G576 &gt;= 25000, G576 &lt; 75000), "Medium",
  AND(G576 &gt;= 75000, G576 &lt; 150000), "High",
  G576 &gt;= 150000, "Very High"
)</f>
        <v>Medium</v>
      </c>
      <c r="I576" s="6">
        <v>1</v>
      </c>
      <c r="J576" s="6">
        <v>0</v>
      </c>
      <c r="K576" s="6">
        <f t="shared" si="33"/>
        <v>1</v>
      </c>
      <c r="L576" s="8">
        <v>41549</v>
      </c>
      <c r="M576" t="str">
        <f t="shared" ca="1" si="34"/>
        <v>12 years, 5 months</v>
      </c>
      <c r="N576" s="6">
        <v>56</v>
      </c>
      <c r="O576">
        <v>6</v>
      </c>
      <c r="P576">
        <v>0</v>
      </c>
      <c r="Q576">
        <f t="shared" si="35"/>
        <v>6</v>
      </c>
      <c r="R576">
        <v>2</v>
      </c>
      <c r="S576">
        <v>3</v>
      </c>
      <c r="T576">
        <f>Table[[#This Row],[NumWebPurchases]]+Table[[#This Row],[NumStorePurchases]]</f>
        <v>5</v>
      </c>
    </row>
    <row r="577" spans="1:20" ht="12.5">
      <c r="A577" s="6">
        <v>575</v>
      </c>
      <c r="B577" s="6">
        <v>2574</v>
      </c>
      <c r="C577" s="6">
        <v>1977</v>
      </c>
      <c r="D577" s="6">
        <f t="shared" si="32"/>
        <v>48</v>
      </c>
      <c r="E577" s="7" t="s">
        <v>12</v>
      </c>
      <c r="F577" s="7" t="s">
        <v>13</v>
      </c>
      <c r="G577" s="6">
        <v>61996</v>
      </c>
      <c r="H577" s="6" t="str" cm="1">
        <f t="array" ref="H577">_xlfn.IFS(
  G577 &lt; 25000, "Low",
  AND(G577 &gt;= 25000, G577 &lt; 75000), "Medium",
  AND(G577 &gt;= 75000, G577 &lt; 150000), "High",
  G577 &gt;= 150000, "Very High"
)</f>
        <v>Medium</v>
      </c>
      <c r="I577" s="6">
        <v>0</v>
      </c>
      <c r="J577" s="6">
        <v>1</v>
      </c>
      <c r="K577" s="6">
        <f t="shared" si="33"/>
        <v>1</v>
      </c>
      <c r="L577" s="8">
        <v>41305</v>
      </c>
      <c r="M577" t="str">
        <f t="shared" ca="1" si="34"/>
        <v>13 years, 1 months</v>
      </c>
      <c r="N577" s="6">
        <v>27</v>
      </c>
      <c r="O577">
        <v>12</v>
      </c>
      <c r="P577">
        <v>0</v>
      </c>
      <c r="Q577">
        <f t="shared" si="35"/>
        <v>12</v>
      </c>
      <c r="R577">
        <v>6</v>
      </c>
      <c r="S577">
        <v>8</v>
      </c>
      <c r="T577">
        <f>Table[[#This Row],[NumWebPurchases]]+Table[[#This Row],[NumStorePurchases]]</f>
        <v>14</v>
      </c>
    </row>
    <row r="578" spans="1:20" ht="12.5">
      <c r="A578" s="6">
        <v>576</v>
      </c>
      <c r="B578" s="6">
        <v>8159</v>
      </c>
      <c r="C578" s="6">
        <v>1968</v>
      </c>
      <c r="D578" s="6">
        <f t="shared" si="32"/>
        <v>57</v>
      </c>
      <c r="E578" s="7" t="s">
        <v>9</v>
      </c>
      <c r="F578" s="7" t="s">
        <v>13</v>
      </c>
      <c r="G578" s="6">
        <v>51287</v>
      </c>
      <c r="H578" s="6" t="str" cm="1">
        <f t="array" ref="H578">_xlfn.IFS(
  G578 &lt; 25000, "Low",
  AND(G578 &gt;= 25000, G578 &lt; 75000), "Medium",
  AND(G578 &gt;= 75000, G578 &lt; 150000), "High",
  G578 &gt;= 150000, "Very High"
)</f>
        <v>Medium</v>
      </c>
      <c r="I578" s="6">
        <v>1</v>
      </c>
      <c r="J578" s="6">
        <v>1</v>
      </c>
      <c r="K578" s="6">
        <f t="shared" si="33"/>
        <v>2</v>
      </c>
      <c r="L578" s="8">
        <v>41730</v>
      </c>
      <c r="M578" t="str">
        <f t="shared" ca="1" si="34"/>
        <v>11 years, 11 months</v>
      </c>
      <c r="N578" s="6">
        <v>10</v>
      </c>
      <c r="O578">
        <v>0</v>
      </c>
      <c r="P578">
        <v>0</v>
      </c>
      <c r="Q578">
        <f t="shared" si="35"/>
        <v>0</v>
      </c>
      <c r="R578">
        <v>4</v>
      </c>
      <c r="S578">
        <v>3</v>
      </c>
      <c r="T578">
        <f>Table[[#This Row],[NumWebPurchases]]+Table[[#This Row],[NumStorePurchases]]</f>
        <v>7</v>
      </c>
    </row>
    <row r="579" spans="1:20" ht="12.5">
      <c r="A579" s="6">
        <v>577</v>
      </c>
      <c r="B579" s="6">
        <v>1160</v>
      </c>
      <c r="C579" s="6">
        <v>1970</v>
      </c>
      <c r="D579" s="6">
        <f t="shared" ref="D579:D642" si="36">2025-C579</f>
        <v>55</v>
      </c>
      <c r="E579" s="7" t="s">
        <v>9</v>
      </c>
      <c r="F579" s="7" t="s">
        <v>13</v>
      </c>
      <c r="G579" s="6">
        <v>13260</v>
      </c>
      <c r="H579" s="6" t="str" cm="1">
        <f t="array" ref="H579">_xlfn.IFS(
  G579 &lt; 25000, "Low",
  AND(G579 &gt;= 25000, G579 &lt; 75000), "Medium",
  AND(G579 &gt;= 75000, G579 &lt; 150000), "High",
  G579 &gt;= 150000, "Very High"
)</f>
        <v>Low</v>
      </c>
      <c r="I579" s="6">
        <v>1</v>
      </c>
      <c r="J579" s="6">
        <v>1</v>
      </c>
      <c r="K579" s="6">
        <f t="shared" ref="K579:K642" si="37">I579+J579</f>
        <v>2</v>
      </c>
      <c r="L579" s="8">
        <v>41509</v>
      </c>
      <c r="M579" t="str">
        <f t="shared" ref="M579:M642" ca="1" si="38">DATEDIF(L579, TODAY(), "Y") &amp; " years, " &amp; DATEDIF(L579, TODAY(), "YM") &amp; " months"</f>
        <v>12 years, 6 months</v>
      </c>
      <c r="N579" s="6">
        <v>48</v>
      </c>
      <c r="O579">
        <v>4</v>
      </c>
      <c r="P579">
        <v>2</v>
      </c>
      <c r="Q579">
        <f t="shared" ref="Q579:Q642" si="39">O579+P579</f>
        <v>6</v>
      </c>
      <c r="R579">
        <v>3</v>
      </c>
      <c r="S579">
        <v>3</v>
      </c>
      <c r="T579">
        <f>Table[[#This Row],[NumWebPurchases]]+Table[[#This Row],[NumStorePurchases]]</f>
        <v>6</v>
      </c>
    </row>
    <row r="580" spans="1:20" ht="12.5">
      <c r="A580" s="6">
        <v>578</v>
      </c>
      <c r="B580" s="6">
        <v>10242</v>
      </c>
      <c r="C580" s="6">
        <v>1966</v>
      </c>
      <c r="D580" s="6">
        <f t="shared" si="36"/>
        <v>59</v>
      </c>
      <c r="E580" s="7" t="s">
        <v>12</v>
      </c>
      <c r="F580" s="7" t="s">
        <v>11</v>
      </c>
      <c r="G580" s="6">
        <v>47472</v>
      </c>
      <c r="H580" s="6" t="str" cm="1">
        <f t="array" ref="H580">_xlfn.IFS(
  G580 &lt; 25000, "Low",
  AND(G580 &gt;= 25000, G580 &lt; 75000), "Medium",
  AND(G580 &gt;= 75000, G580 &lt; 150000), "High",
  G580 &gt;= 150000, "Very High"
)</f>
        <v>Medium</v>
      </c>
      <c r="I580" s="6">
        <v>1</v>
      </c>
      <c r="J580" s="6">
        <v>1</v>
      </c>
      <c r="K580" s="6">
        <f t="shared" si="37"/>
        <v>2</v>
      </c>
      <c r="L580" s="8">
        <v>41533</v>
      </c>
      <c r="M580" t="str">
        <f t="shared" ca="1" si="38"/>
        <v>12 years, 5 months</v>
      </c>
      <c r="N580" s="6">
        <v>39</v>
      </c>
      <c r="O580">
        <v>0</v>
      </c>
      <c r="P580">
        <v>0</v>
      </c>
      <c r="Q580">
        <f t="shared" si="39"/>
        <v>0</v>
      </c>
      <c r="R580">
        <v>2</v>
      </c>
      <c r="S580">
        <v>4</v>
      </c>
      <c r="T580">
        <f>Table[[#This Row],[NumWebPurchases]]+Table[[#This Row],[NumStorePurchases]]</f>
        <v>6</v>
      </c>
    </row>
    <row r="581" spans="1:20" ht="12.5">
      <c r="A581" s="6">
        <v>579</v>
      </c>
      <c r="B581" s="6">
        <v>5253</v>
      </c>
      <c r="C581" s="6">
        <v>1956</v>
      </c>
      <c r="D581" s="6">
        <f t="shared" si="36"/>
        <v>69</v>
      </c>
      <c r="E581" s="7" t="s">
        <v>14</v>
      </c>
      <c r="F581" s="7" t="s">
        <v>11</v>
      </c>
      <c r="G581" s="6">
        <v>54603</v>
      </c>
      <c r="H581" s="6" t="str" cm="1">
        <f t="array" ref="H581">_xlfn.IFS(
  G581 &lt; 25000, "Low",
  AND(G581 &gt;= 25000, G581 &lt; 75000), "Medium",
  AND(G581 &gt;= 75000, G581 &lt; 150000), "High",
  G581 &gt;= 150000, "Very High"
)</f>
        <v>Medium</v>
      </c>
      <c r="I581" s="6">
        <v>1</v>
      </c>
      <c r="J581" s="6">
        <v>1</v>
      </c>
      <c r="K581" s="6">
        <f t="shared" si="37"/>
        <v>2</v>
      </c>
      <c r="L581" s="8">
        <v>41464</v>
      </c>
      <c r="M581" t="str">
        <f t="shared" ca="1" si="38"/>
        <v>12 years, 7 months</v>
      </c>
      <c r="N581" s="6">
        <v>85</v>
      </c>
      <c r="O581">
        <v>13</v>
      </c>
      <c r="P581">
        <v>2</v>
      </c>
      <c r="Q581">
        <f t="shared" si="39"/>
        <v>15</v>
      </c>
      <c r="R581">
        <v>4</v>
      </c>
      <c r="S581">
        <v>4</v>
      </c>
      <c r="T581">
        <f>Table[[#This Row],[NumWebPurchases]]+Table[[#This Row],[NumStorePurchases]]</f>
        <v>8</v>
      </c>
    </row>
    <row r="582" spans="1:20" ht="12.5">
      <c r="A582" s="6">
        <v>580</v>
      </c>
      <c r="B582" s="6">
        <v>5966</v>
      </c>
      <c r="C582" s="6">
        <v>1974</v>
      </c>
      <c r="D582" s="6">
        <f t="shared" si="36"/>
        <v>51</v>
      </c>
      <c r="E582" s="7" t="s">
        <v>12</v>
      </c>
      <c r="F582" s="7" t="s">
        <v>13</v>
      </c>
      <c r="G582" s="6">
        <v>45207</v>
      </c>
      <c r="H582" s="6" t="str" cm="1">
        <f t="array" ref="H582">_xlfn.IFS(
  G582 &lt; 25000, "Low",
  AND(G582 &gt;= 25000, G582 &lt; 75000), "Medium",
  AND(G582 &gt;= 75000, G582 &lt; 150000), "High",
  G582 &gt;= 150000, "Very High"
)</f>
        <v>Medium</v>
      </c>
      <c r="I582" s="6">
        <v>1</v>
      </c>
      <c r="J582" s="6">
        <v>1</v>
      </c>
      <c r="K582" s="6">
        <f t="shared" si="37"/>
        <v>2</v>
      </c>
      <c r="L582" s="9">
        <v>41223</v>
      </c>
      <c r="M582" t="str">
        <f t="shared" ca="1" si="38"/>
        <v>13 years, 3 months</v>
      </c>
      <c r="N582" s="6">
        <v>64</v>
      </c>
      <c r="O582">
        <v>0</v>
      </c>
      <c r="P582">
        <v>0</v>
      </c>
      <c r="Q582">
        <f t="shared" si="39"/>
        <v>0</v>
      </c>
      <c r="R582">
        <v>3</v>
      </c>
      <c r="S582">
        <v>6</v>
      </c>
      <c r="T582">
        <f>Table[[#This Row],[NumWebPurchases]]+Table[[#This Row],[NumStorePurchases]]</f>
        <v>9</v>
      </c>
    </row>
    <row r="583" spans="1:20" ht="12.5">
      <c r="A583" s="6">
        <v>581</v>
      </c>
      <c r="B583" s="6">
        <v>5314</v>
      </c>
      <c r="C583" s="6">
        <v>1951</v>
      </c>
      <c r="D583" s="6">
        <f t="shared" si="36"/>
        <v>74</v>
      </c>
      <c r="E583" s="7" t="s">
        <v>9</v>
      </c>
      <c r="F583" s="7" t="s">
        <v>11</v>
      </c>
      <c r="G583" s="6">
        <v>40689</v>
      </c>
      <c r="H583" s="6" t="str" cm="1">
        <f t="array" ref="H583">_xlfn.IFS(
  G583 &lt; 25000, "Low",
  AND(G583 &gt;= 25000, G583 &lt; 75000), "Medium",
  AND(G583 &gt;= 75000, G583 &lt; 150000), "High",
  G583 &gt;= 150000, "Very High"
)</f>
        <v>Medium</v>
      </c>
      <c r="I583" s="6">
        <v>0</v>
      </c>
      <c r="J583" s="6">
        <v>1</v>
      </c>
      <c r="K583" s="6">
        <f t="shared" si="37"/>
        <v>1</v>
      </c>
      <c r="L583" s="8">
        <v>41351</v>
      </c>
      <c r="M583" t="str">
        <f t="shared" ca="1" si="38"/>
        <v>12 years, 11 months</v>
      </c>
      <c r="N583" s="6">
        <v>69</v>
      </c>
      <c r="O583">
        <v>3</v>
      </c>
      <c r="P583">
        <v>6</v>
      </c>
      <c r="Q583">
        <f t="shared" si="39"/>
        <v>9</v>
      </c>
      <c r="R583">
        <v>7</v>
      </c>
      <c r="S583">
        <v>5</v>
      </c>
      <c r="T583">
        <f>Table[[#This Row],[NumWebPurchases]]+Table[[#This Row],[NumStorePurchases]]</f>
        <v>12</v>
      </c>
    </row>
    <row r="584" spans="1:20" ht="12.5">
      <c r="A584" s="6">
        <v>582</v>
      </c>
      <c r="B584" s="6">
        <v>5081</v>
      </c>
      <c r="C584" s="6">
        <v>1967</v>
      </c>
      <c r="D584" s="6">
        <f t="shared" si="36"/>
        <v>58</v>
      </c>
      <c r="E584" s="7" t="s">
        <v>17</v>
      </c>
      <c r="F584" s="7" t="s">
        <v>11</v>
      </c>
      <c r="G584" s="6">
        <v>47821</v>
      </c>
      <c r="H584" s="6" t="str" cm="1">
        <f t="array" ref="H584">_xlfn.IFS(
  G584 &lt; 25000, "Low",
  AND(G584 &gt;= 25000, G584 &lt; 75000), "Medium",
  AND(G584 &gt;= 75000, G584 &lt; 150000), "High",
  G584 &gt;= 150000, "Very High"
)</f>
        <v>Medium</v>
      </c>
      <c r="I584" s="6">
        <v>1</v>
      </c>
      <c r="J584" s="6">
        <v>1</v>
      </c>
      <c r="K584" s="6">
        <f t="shared" si="37"/>
        <v>2</v>
      </c>
      <c r="L584" s="9">
        <v>41567</v>
      </c>
      <c r="M584" t="str">
        <f t="shared" ca="1" si="38"/>
        <v>12 years, 4 months</v>
      </c>
      <c r="N584" s="6">
        <v>54</v>
      </c>
      <c r="O584">
        <v>0</v>
      </c>
      <c r="P584">
        <v>6</v>
      </c>
      <c r="Q584">
        <f t="shared" si="39"/>
        <v>6</v>
      </c>
      <c r="R584">
        <v>1</v>
      </c>
      <c r="S584">
        <v>3</v>
      </c>
      <c r="T584">
        <f>Table[[#This Row],[NumWebPurchases]]+Table[[#This Row],[NumStorePurchases]]</f>
        <v>4</v>
      </c>
    </row>
    <row r="585" spans="1:20" ht="12.5">
      <c r="A585" s="6">
        <v>583</v>
      </c>
      <c r="B585" s="6">
        <v>5123</v>
      </c>
      <c r="C585" s="6">
        <v>1951</v>
      </c>
      <c r="D585" s="6">
        <f t="shared" si="36"/>
        <v>74</v>
      </c>
      <c r="E585" s="7" t="s">
        <v>14</v>
      </c>
      <c r="F585" s="7" t="s">
        <v>13</v>
      </c>
      <c r="G585" s="6">
        <v>27450</v>
      </c>
      <c r="H585" s="6" t="str" cm="1">
        <f t="array" ref="H585">_xlfn.IFS(
  G585 &lt; 25000, "Low",
  AND(G585 &gt;= 25000, G585 &lt; 75000), "Medium",
  AND(G585 &gt;= 75000, G585 &lt; 150000), "High",
  G585 &gt;= 150000, "Very High"
)</f>
        <v>Medium</v>
      </c>
      <c r="I585" s="6">
        <v>0</v>
      </c>
      <c r="J585" s="6">
        <v>0</v>
      </c>
      <c r="K585" s="6">
        <f t="shared" si="37"/>
        <v>0</v>
      </c>
      <c r="L585" s="8">
        <v>41379</v>
      </c>
      <c r="M585" t="str">
        <f t="shared" ca="1" si="38"/>
        <v>12 years, 10 months</v>
      </c>
      <c r="N585" s="6">
        <v>57</v>
      </c>
      <c r="O585">
        <v>12</v>
      </c>
      <c r="P585">
        <v>11</v>
      </c>
      <c r="Q585">
        <f t="shared" si="39"/>
        <v>23</v>
      </c>
      <c r="R585">
        <v>2</v>
      </c>
      <c r="S585">
        <v>3</v>
      </c>
      <c r="T585">
        <f>Table[[#This Row],[NumWebPurchases]]+Table[[#This Row],[NumStorePurchases]]</f>
        <v>5</v>
      </c>
    </row>
    <row r="586" spans="1:20" ht="12.5">
      <c r="A586" s="6">
        <v>584</v>
      </c>
      <c r="B586" s="6">
        <v>5756</v>
      </c>
      <c r="C586" s="6">
        <v>1983</v>
      </c>
      <c r="D586" s="6">
        <f t="shared" si="36"/>
        <v>42</v>
      </c>
      <c r="E586" s="7" t="s">
        <v>9</v>
      </c>
      <c r="F586" s="7" t="s">
        <v>11</v>
      </c>
      <c r="G586" s="6">
        <v>39453</v>
      </c>
      <c r="H586" s="6" t="str" cm="1">
        <f t="array" ref="H586">_xlfn.IFS(
  G586 &lt; 25000, "Low",
  AND(G586 &gt;= 25000, G586 &lt; 75000), "Medium",
  AND(G586 &gt;= 75000, G586 &lt; 150000), "High",
  G586 &gt;= 150000, "Very High"
)</f>
        <v>Medium</v>
      </c>
      <c r="I586" s="6">
        <v>1</v>
      </c>
      <c r="J586" s="6">
        <v>0</v>
      </c>
      <c r="K586" s="6">
        <f t="shared" si="37"/>
        <v>1</v>
      </c>
      <c r="L586" s="8">
        <v>41732</v>
      </c>
      <c r="M586" t="str">
        <f t="shared" ca="1" si="38"/>
        <v>11 years, 11 months</v>
      </c>
      <c r="N586" s="6">
        <v>64</v>
      </c>
      <c r="O586">
        <v>0</v>
      </c>
      <c r="P586">
        <v>0</v>
      </c>
      <c r="Q586">
        <f t="shared" si="39"/>
        <v>0</v>
      </c>
      <c r="R586">
        <v>2</v>
      </c>
      <c r="S586">
        <v>3</v>
      </c>
      <c r="T586">
        <f>Table[[#This Row],[NumWebPurchases]]+Table[[#This Row],[NumStorePurchases]]</f>
        <v>5</v>
      </c>
    </row>
    <row r="587" spans="1:20" ht="12.5">
      <c r="A587" s="6">
        <v>585</v>
      </c>
      <c r="B587" s="6">
        <v>8036</v>
      </c>
      <c r="C587" s="6">
        <v>1971</v>
      </c>
      <c r="D587" s="6">
        <f t="shared" si="36"/>
        <v>54</v>
      </c>
      <c r="E587" s="7" t="s">
        <v>17</v>
      </c>
      <c r="F587" s="7" t="s">
        <v>11</v>
      </c>
      <c r="G587" s="6">
        <v>26850</v>
      </c>
      <c r="H587" s="6" t="str" cm="1">
        <f t="array" ref="H587">_xlfn.IFS(
  G587 &lt; 25000, "Low",
  AND(G587 &gt;= 25000, G587 &lt; 75000), "Medium",
  AND(G587 &gt;= 75000, G587 &lt; 150000), "High",
  G587 &gt;= 150000, "Very High"
)</f>
        <v>Medium</v>
      </c>
      <c r="I587" s="6">
        <v>1</v>
      </c>
      <c r="J587" s="6">
        <v>1</v>
      </c>
      <c r="K587" s="6">
        <f t="shared" si="37"/>
        <v>2</v>
      </c>
      <c r="L587" s="8">
        <v>41747</v>
      </c>
      <c r="M587" t="str">
        <f t="shared" ca="1" si="38"/>
        <v>11 years, 10 months</v>
      </c>
      <c r="N587" s="6">
        <v>10</v>
      </c>
      <c r="O587">
        <v>1</v>
      </c>
      <c r="P587">
        <v>2</v>
      </c>
      <c r="Q587">
        <f t="shared" si="39"/>
        <v>3</v>
      </c>
      <c r="R587">
        <v>2</v>
      </c>
      <c r="S587">
        <v>4</v>
      </c>
      <c r="T587">
        <f>Table[[#This Row],[NumWebPurchases]]+Table[[#This Row],[NumStorePurchases]]</f>
        <v>6</v>
      </c>
    </row>
    <row r="588" spans="1:20" ht="12.5">
      <c r="A588" s="6">
        <v>586</v>
      </c>
      <c r="B588" s="6">
        <v>9058</v>
      </c>
      <c r="C588" s="6">
        <v>1955</v>
      </c>
      <c r="D588" s="6">
        <f t="shared" si="36"/>
        <v>70</v>
      </c>
      <c r="E588" s="7" t="s">
        <v>9</v>
      </c>
      <c r="F588" s="7" t="s">
        <v>18</v>
      </c>
      <c r="G588" s="6">
        <v>79800</v>
      </c>
      <c r="H588" s="6" t="str" cm="1">
        <f t="array" ref="H588">_xlfn.IFS(
  G588 &lt; 25000, "Low",
  AND(G588 &gt;= 25000, G588 &lt; 75000), "Medium",
  AND(G588 &gt;= 75000, G588 &lt; 150000), "High",
  G588 &gt;= 150000, "Very High"
)</f>
        <v>High</v>
      </c>
      <c r="I588" s="6">
        <v>0</v>
      </c>
      <c r="J588" s="6">
        <v>0</v>
      </c>
      <c r="K588" s="6">
        <f t="shared" si="37"/>
        <v>0</v>
      </c>
      <c r="L588" s="8">
        <v>41175</v>
      </c>
      <c r="M588" t="str">
        <f t="shared" ca="1" si="38"/>
        <v>13 years, 5 months</v>
      </c>
      <c r="N588" s="6">
        <v>65</v>
      </c>
      <c r="O588">
        <v>21</v>
      </c>
      <c r="P588">
        <v>0</v>
      </c>
      <c r="Q588">
        <f t="shared" si="39"/>
        <v>21</v>
      </c>
      <c r="R588">
        <v>5</v>
      </c>
      <c r="S588">
        <v>5</v>
      </c>
      <c r="T588">
        <f>Table[[#This Row],[NumWebPurchases]]+Table[[#This Row],[NumStorePurchases]]</f>
        <v>10</v>
      </c>
    </row>
    <row r="589" spans="1:20" ht="12.5">
      <c r="A589" s="6">
        <v>587</v>
      </c>
      <c r="B589" s="6">
        <v>5057</v>
      </c>
      <c r="C589" s="6">
        <v>1961</v>
      </c>
      <c r="D589" s="6">
        <f t="shared" si="36"/>
        <v>64</v>
      </c>
      <c r="E589" s="7" t="s">
        <v>14</v>
      </c>
      <c r="F589" s="7" t="s">
        <v>13</v>
      </c>
      <c r="G589" s="6">
        <v>61794</v>
      </c>
      <c r="H589" s="6" t="str" cm="1">
        <f t="array" ref="H589">_xlfn.IFS(
  G589 &lt; 25000, "Low",
  AND(G589 &gt;= 25000, G589 &lt; 75000), "Medium",
  AND(G589 &gt;= 75000, G589 &lt; 150000), "High",
  G589 &gt;= 150000, "Very High"
)</f>
        <v>Medium</v>
      </c>
      <c r="I589" s="6">
        <v>0</v>
      </c>
      <c r="J589" s="6">
        <v>1</v>
      </c>
      <c r="K589" s="6">
        <f t="shared" si="37"/>
        <v>1</v>
      </c>
      <c r="L589" s="8">
        <v>41531</v>
      </c>
      <c r="M589" t="str">
        <f t="shared" ca="1" si="38"/>
        <v>12 years, 5 months</v>
      </c>
      <c r="N589" s="6">
        <v>74</v>
      </c>
      <c r="O589">
        <v>47</v>
      </c>
      <c r="P589">
        <v>47</v>
      </c>
      <c r="Q589">
        <f t="shared" si="39"/>
        <v>94</v>
      </c>
      <c r="R589">
        <v>4</v>
      </c>
      <c r="S589">
        <v>10</v>
      </c>
      <c r="T589">
        <f>Table[[#This Row],[NumWebPurchases]]+Table[[#This Row],[NumStorePurchases]]</f>
        <v>14</v>
      </c>
    </row>
    <row r="590" spans="1:20" ht="12.5">
      <c r="A590" s="6">
        <v>588</v>
      </c>
      <c r="B590" s="6">
        <v>254</v>
      </c>
      <c r="C590" s="6">
        <v>1955</v>
      </c>
      <c r="D590" s="6">
        <f t="shared" si="36"/>
        <v>70</v>
      </c>
      <c r="E590" s="7" t="s">
        <v>9</v>
      </c>
      <c r="F590" s="7" t="s">
        <v>11</v>
      </c>
      <c r="G590" s="6">
        <v>53863</v>
      </c>
      <c r="H590" s="6" t="str" cm="1">
        <f t="array" ref="H590">_xlfn.IFS(
  G590 &lt; 25000, "Low",
  AND(G590 &gt;= 25000, G590 &lt; 75000), "Medium",
  AND(G590 &gt;= 75000, G590 &lt; 150000), "High",
  G590 &gt;= 150000, "Very High"
)</f>
        <v>Medium</v>
      </c>
      <c r="I590" s="6">
        <v>0</v>
      </c>
      <c r="J590" s="6">
        <v>1</v>
      </c>
      <c r="K590" s="6">
        <f t="shared" si="37"/>
        <v>1</v>
      </c>
      <c r="L590" s="8">
        <v>41776</v>
      </c>
      <c r="M590" t="str">
        <f t="shared" ca="1" si="38"/>
        <v>11 years, 9 months</v>
      </c>
      <c r="N590" s="6">
        <v>4</v>
      </c>
      <c r="O590">
        <v>4</v>
      </c>
      <c r="P590">
        <v>4</v>
      </c>
      <c r="Q590">
        <f t="shared" si="39"/>
        <v>8</v>
      </c>
      <c r="R590">
        <v>7</v>
      </c>
      <c r="S590">
        <v>7</v>
      </c>
      <c r="T590">
        <f>Table[[#This Row],[NumWebPurchases]]+Table[[#This Row],[NumStorePurchases]]</f>
        <v>14</v>
      </c>
    </row>
    <row r="591" spans="1:20" ht="12.5">
      <c r="A591" s="6">
        <v>589</v>
      </c>
      <c r="B591" s="6">
        <v>4179</v>
      </c>
      <c r="C591" s="6">
        <v>1959</v>
      </c>
      <c r="D591" s="6">
        <f t="shared" si="36"/>
        <v>66</v>
      </c>
      <c r="E591" s="7" t="s">
        <v>9</v>
      </c>
      <c r="F591" s="7" t="s">
        <v>11</v>
      </c>
      <c r="G591" s="6">
        <v>24221</v>
      </c>
      <c r="H591" s="6" t="str" cm="1">
        <f t="array" ref="H591">_xlfn.IFS(
  G591 &lt; 25000, "Low",
  AND(G591 &gt;= 25000, G591 &lt; 75000), "Medium",
  AND(G591 &gt;= 75000, G591 &lt; 150000), "High",
  G591 &gt;= 150000, "Very High"
)</f>
        <v>Low</v>
      </c>
      <c r="I591" s="6">
        <v>0</v>
      </c>
      <c r="J591" s="6">
        <v>0</v>
      </c>
      <c r="K591" s="6">
        <f t="shared" si="37"/>
        <v>0</v>
      </c>
      <c r="L591" s="8">
        <v>41506</v>
      </c>
      <c r="M591" t="str">
        <f t="shared" ca="1" si="38"/>
        <v>12 years, 6 months</v>
      </c>
      <c r="N591" s="6">
        <v>94</v>
      </c>
      <c r="O591">
        <v>9</v>
      </c>
      <c r="P591">
        <v>5</v>
      </c>
      <c r="Q591">
        <f t="shared" si="39"/>
        <v>14</v>
      </c>
      <c r="R591">
        <v>1</v>
      </c>
      <c r="S591">
        <v>3</v>
      </c>
      <c r="T591">
        <f>Table[[#This Row],[NumWebPurchases]]+Table[[#This Row],[NumStorePurchases]]</f>
        <v>4</v>
      </c>
    </row>
    <row r="592" spans="1:20" ht="12.5">
      <c r="A592" s="6">
        <v>590</v>
      </c>
      <c r="B592" s="6">
        <v>3710</v>
      </c>
      <c r="C592" s="6">
        <v>1984</v>
      </c>
      <c r="D592" s="6">
        <f t="shared" si="36"/>
        <v>41</v>
      </c>
      <c r="E592" s="7" t="s">
        <v>12</v>
      </c>
      <c r="F592" s="7" t="s">
        <v>10</v>
      </c>
      <c r="G592" s="6">
        <v>39684</v>
      </c>
      <c r="H592" s="6" t="str" cm="1">
        <f t="array" ref="H592">_xlfn.IFS(
  G592 &lt; 25000, "Low",
  AND(G592 &gt;= 25000, G592 &lt; 75000), "Medium",
  AND(G592 &gt;= 75000, G592 &lt; 150000), "High",
  G592 &gt;= 150000, "Very High"
)</f>
        <v>Medium</v>
      </c>
      <c r="I592" s="6">
        <v>1</v>
      </c>
      <c r="J592" s="6">
        <v>0</v>
      </c>
      <c r="K592" s="6">
        <f t="shared" si="37"/>
        <v>1</v>
      </c>
      <c r="L592" s="9">
        <v>41194</v>
      </c>
      <c r="M592" t="str">
        <f t="shared" ca="1" si="38"/>
        <v>13 years, 4 months</v>
      </c>
      <c r="N592" s="6">
        <v>41</v>
      </c>
      <c r="O592">
        <v>0</v>
      </c>
      <c r="P592">
        <v>4</v>
      </c>
      <c r="Q592">
        <f t="shared" si="39"/>
        <v>4</v>
      </c>
      <c r="R592">
        <v>2</v>
      </c>
      <c r="S592">
        <v>2</v>
      </c>
      <c r="T592">
        <f>Table[[#This Row],[NumWebPurchases]]+Table[[#This Row],[NumStorePurchases]]</f>
        <v>4</v>
      </c>
    </row>
    <row r="593" spans="1:20" ht="12.5">
      <c r="A593" s="6">
        <v>591</v>
      </c>
      <c r="B593" s="6">
        <v>7627</v>
      </c>
      <c r="C593" s="6">
        <v>1975</v>
      </c>
      <c r="D593" s="6">
        <f t="shared" si="36"/>
        <v>50</v>
      </c>
      <c r="E593" s="7" t="s">
        <v>14</v>
      </c>
      <c r="F593" s="7" t="s">
        <v>13</v>
      </c>
      <c r="G593" s="6">
        <v>92163</v>
      </c>
      <c r="H593" s="6" t="str" cm="1">
        <f t="array" ref="H593">_xlfn.IFS(
  G593 &lt; 25000, "Low",
  AND(G593 &gt;= 25000, G593 &lt; 75000), "Medium",
  AND(G593 &gt;= 75000, G593 &lt; 150000), "High",
  G593 &gt;= 150000, "Very High"
)</f>
        <v>High</v>
      </c>
      <c r="I593" s="6">
        <v>0</v>
      </c>
      <c r="J593" s="6">
        <v>0</v>
      </c>
      <c r="K593" s="6">
        <f t="shared" si="37"/>
        <v>0</v>
      </c>
      <c r="L593" s="9">
        <v>41255</v>
      </c>
      <c r="M593" t="str">
        <f t="shared" ca="1" si="38"/>
        <v>13 years, 2 months</v>
      </c>
      <c r="N593" s="6">
        <v>25</v>
      </c>
      <c r="O593">
        <v>183</v>
      </c>
      <c r="P593">
        <v>163</v>
      </c>
      <c r="Q593">
        <f t="shared" si="39"/>
        <v>346</v>
      </c>
      <c r="R593">
        <v>5</v>
      </c>
      <c r="S593">
        <v>5</v>
      </c>
      <c r="T593">
        <f>Table[[#This Row],[NumWebPurchases]]+Table[[#This Row],[NumStorePurchases]]</f>
        <v>10</v>
      </c>
    </row>
    <row r="594" spans="1:20" ht="12.5">
      <c r="A594" s="6">
        <v>592</v>
      </c>
      <c r="B594" s="6">
        <v>4501</v>
      </c>
      <c r="C594" s="6">
        <v>1965</v>
      </c>
      <c r="D594" s="6">
        <f t="shared" si="36"/>
        <v>60</v>
      </c>
      <c r="E594" s="7" t="s">
        <v>14</v>
      </c>
      <c r="F594" s="7" t="s">
        <v>10</v>
      </c>
      <c r="G594" s="6">
        <v>69882</v>
      </c>
      <c r="H594" s="6" t="str" cm="1">
        <f t="array" ref="H594">_xlfn.IFS(
  G594 &lt; 25000, "Low",
  AND(G594 &gt;= 25000, G594 &lt; 75000), "Medium",
  AND(G594 &gt;= 75000, G594 &lt; 150000), "High",
  G594 &gt;= 150000, "Very High"
)</f>
        <v>Medium</v>
      </c>
      <c r="I594" s="6">
        <v>0</v>
      </c>
      <c r="J594" s="6">
        <v>0</v>
      </c>
      <c r="K594" s="6">
        <f t="shared" si="37"/>
        <v>0</v>
      </c>
      <c r="L594" s="9">
        <v>41588</v>
      </c>
      <c r="M594" t="str">
        <f t="shared" ca="1" si="38"/>
        <v>12 years, 3 months</v>
      </c>
      <c r="N594" s="6">
        <v>94</v>
      </c>
      <c r="O594">
        <v>127</v>
      </c>
      <c r="P594">
        <v>127</v>
      </c>
      <c r="Q594">
        <f t="shared" si="39"/>
        <v>254</v>
      </c>
      <c r="R594">
        <v>3</v>
      </c>
      <c r="S594">
        <v>9</v>
      </c>
      <c r="T594">
        <f>Table[[#This Row],[NumWebPurchases]]+Table[[#This Row],[NumStorePurchases]]</f>
        <v>12</v>
      </c>
    </row>
    <row r="595" spans="1:20" ht="12.5">
      <c r="A595" s="6">
        <v>593</v>
      </c>
      <c r="B595" s="6">
        <v>6424</v>
      </c>
      <c r="C595" s="6">
        <v>1977</v>
      </c>
      <c r="D595" s="6">
        <f t="shared" si="36"/>
        <v>48</v>
      </c>
      <c r="E595" s="7" t="s">
        <v>9</v>
      </c>
      <c r="F595" s="7" t="s">
        <v>11</v>
      </c>
      <c r="G595" s="6">
        <v>33178</v>
      </c>
      <c r="H595" s="6" t="str" cm="1">
        <f t="array" ref="H595">_xlfn.IFS(
  G595 &lt; 25000, "Low",
  AND(G595 &gt;= 25000, G595 &lt; 75000), "Medium",
  AND(G595 &gt;= 75000, G595 &lt; 150000), "High",
  G595 &gt;= 150000, "Very High"
)</f>
        <v>Medium</v>
      </c>
      <c r="I595" s="6">
        <v>1</v>
      </c>
      <c r="J595" s="6">
        <v>0</v>
      </c>
      <c r="K595" s="6">
        <f t="shared" si="37"/>
        <v>1</v>
      </c>
      <c r="L595" s="8">
        <v>41669</v>
      </c>
      <c r="M595" t="str">
        <f t="shared" ca="1" si="38"/>
        <v>12 years, 1 months</v>
      </c>
      <c r="N595" s="6">
        <v>9</v>
      </c>
      <c r="O595">
        <v>6</v>
      </c>
      <c r="P595">
        <v>2</v>
      </c>
      <c r="Q595">
        <f t="shared" si="39"/>
        <v>8</v>
      </c>
      <c r="R595">
        <v>1</v>
      </c>
      <c r="S595">
        <v>3</v>
      </c>
      <c r="T595">
        <f>Table[[#This Row],[NumWebPurchases]]+Table[[#This Row],[NumStorePurchases]]</f>
        <v>4</v>
      </c>
    </row>
    <row r="596" spans="1:20" ht="12.5">
      <c r="A596" s="6">
        <v>594</v>
      </c>
      <c r="B596" s="6">
        <v>3075</v>
      </c>
      <c r="C596" s="6">
        <v>1972</v>
      </c>
      <c r="D596" s="6">
        <f t="shared" si="36"/>
        <v>53</v>
      </c>
      <c r="E596" s="7" t="s">
        <v>12</v>
      </c>
      <c r="F596" s="7" t="s">
        <v>13</v>
      </c>
      <c r="G596" s="6">
        <v>59973</v>
      </c>
      <c r="H596" s="6" t="str" cm="1">
        <f t="array" ref="H596">_xlfn.IFS(
  G596 &lt; 25000, "Low",
  AND(G596 &gt;= 25000, G596 &lt; 75000), "Medium",
  AND(G596 &gt;= 75000, G596 &lt; 150000), "High",
  G596 &gt;= 150000, "Very High"
)</f>
        <v>Medium</v>
      </c>
      <c r="I596" s="6">
        <v>0</v>
      </c>
      <c r="J596" s="6">
        <v>0</v>
      </c>
      <c r="K596" s="6">
        <f t="shared" si="37"/>
        <v>0</v>
      </c>
      <c r="L596" s="8">
        <v>41528</v>
      </c>
      <c r="M596" t="str">
        <f t="shared" ca="1" si="38"/>
        <v>12 years, 5 months</v>
      </c>
      <c r="N596" s="6">
        <v>47</v>
      </c>
      <c r="O596">
        <v>30</v>
      </c>
      <c r="P596">
        <v>34</v>
      </c>
      <c r="Q596">
        <f t="shared" si="39"/>
        <v>64</v>
      </c>
      <c r="R596">
        <v>3</v>
      </c>
      <c r="S596">
        <v>7</v>
      </c>
      <c r="T596">
        <f>Table[[#This Row],[NumWebPurchases]]+Table[[#This Row],[NumStorePurchases]]</f>
        <v>10</v>
      </c>
    </row>
    <row r="597" spans="1:20" ht="12.5">
      <c r="A597" s="6">
        <v>595</v>
      </c>
      <c r="B597" s="6">
        <v>4992</v>
      </c>
      <c r="C597" s="6">
        <v>1975</v>
      </c>
      <c r="D597" s="6">
        <f t="shared" si="36"/>
        <v>50</v>
      </c>
      <c r="E597" s="7" t="s">
        <v>14</v>
      </c>
      <c r="F597" s="7" t="s">
        <v>11</v>
      </c>
      <c r="G597" s="6">
        <v>17459</v>
      </c>
      <c r="H597" s="6" t="str" cm="1">
        <f t="array" ref="H597">_xlfn.IFS(
  G597 &lt; 25000, "Low",
  AND(G597 &gt;= 25000, G597 &lt; 75000), "Medium",
  AND(G597 &gt;= 75000, G597 &lt; 150000), "High",
  G597 &gt;= 150000, "Very High"
)</f>
        <v>Low</v>
      </c>
      <c r="I597" s="6">
        <v>1</v>
      </c>
      <c r="J597" s="6">
        <v>0</v>
      </c>
      <c r="K597" s="6">
        <f t="shared" si="37"/>
        <v>1</v>
      </c>
      <c r="L597" s="8">
        <v>41536</v>
      </c>
      <c r="M597" t="str">
        <f t="shared" ca="1" si="38"/>
        <v>12 years, 5 months</v>
      </c>
      <c r="N597" s="6">
        <v>12</v>
      </c>
      <c r="O597">
        <v>4</v>
      </c>
      <c r="P597">
        <v>10</v>
      </c>
      <c r="Q597">
        <f t="shared" si="39"/>
        <v>14</v>
      </c>
      <c r="R597">
        <v>3</v>
      </c>
      <c r="S597">
        <v>2</v>
      </c>
      <c r="T597">
        <f>Table[[#This Row],[NumWebPurchases]]+Table[[#This Row],[NumStorePurchases]]</f>
        <v>5</v>
      </c>
    </row>
    <row r="598" spans="1:20" ht="12.5">
      <c r="A598" s="6">
        <v>596</v>
      </c>
      <c r="B598" s="6">
        <v>5252</v>
      </c>
      <c r="C598" s="6">
        <v>1969</v>
      </c>
      <c r="D598" s="6">
        <f t="shared" si="36"/>
        <v>56</v>
      </c>
      <c r="E598" s="7" t="s">
        <v>9</v>
      </c>
      <c r="F598" s="7" t="s">
        <v>15</v>
      </c>
      <c r="G598" s="6">
        <v>23910</v>
      </c>
      <c r="H598" s="6" t="str" cm="1">
        <f t="array" ref="H598">_xlfn.IFS(
  G598 &lt; 25000, "Low",
  AND(G598 &gt;= 25000, G598 &lt; 75000), "Medium",
  AND(G598 &gt;= 75000, G598 &lt; 150000), "High",
  G598 &gt;= 150000, "Very High"
)</f>
        <v>Low</v>
      </c>
      <c r="I598" s="6">
        <v>1</v>
      </c>
      <c r="J598" s="6">
        <v>0</v>
      </c>
      <c r="K598" s="6">
        <f t="shared" si="37"/>
        <v>1</v>
      </c>
      <c r="L598" s="9">
        <v>41208</v>
      </c>
      <c r="M598" t="str">
        <f t="shared" ca="1" si="38"/>
        <v>13 years, 4 months</v>
      </c>
      <c r="N598" s="6">
        <v>80</v>
      </c>
      <c r="O598">
        <v>12</v>
      </c>
      <c r="P598">
        <v>1</v>
      </c>
      <c r="Q598">
        <f t="shared" si="39"/>
        <v>13</v>
      </c>
      <c r="R598">
        <v>2</v>
      </c>
      <c r="S598">
        <v>3</v>
      </c>
      <c r="T598">
        <f>Table[[#This Row],[NumWebPurchases]]+Table[[#This Row],[NumStorePurchases]]</f>
        <v>5</v>
      </c>
    </row>
    <row r="599" spans="1:20" ht="12.5">
      <c r="A599" s="6">
        <v>597</v>
      </c>
      <c r="B599" s="6">
        <v>7444</v>
      </c>
      <c r="C599" s="6">
        <v>1969</v>
      </c>
      <c r="D599" s="6">
        <f t="shared" si="36"/>
        <v>56</v>
      </c>
      <c r="E599" s="7" t="s">
        <v>14</v>
      </c>
      <c r="F599" s="7" t="s">
        <v>13</v>
      </c>
      <c r="G599" s="6">
        <v>42169</v>
      </c>
      <c r="H599" s="6" t="str" cm="1">
        <f t="array" ref="H599">_xlfn.IFS(
  G599 &lt; 25000, "Low",
  AND(G599 &gt;= 25000, G599 &lt; 75000), "Medium",
  AND(G599 &gt;= 75000, G599 &lt; 150000), "High",
  G599 &gt;= 150000, "Very High"
)</f>
        <v>Medium</v>
      </c>
      <c r="I599" s="6">
        <v>1</v>
      </c>
      <c r="J599" s="6">
        <v>1</v>
      </c>
      <c r="K599" s="6">
        <f t="shared" si="37"/>
        <v>2</v>
      </c>
      <c r="L599" s="9">
        <v>41566</v>
      </c>
      <c r="M599" t="str">
        <f t="shared" ca="1" si="38"/>
        <v>12 years, 4 months</v>
      </c>
      <c r="N599" s="6">
        <v>20</v>
      </c>
      <c r="O599">
        <v>0</v>
      </c>
      <c r="P599">
        <v>0</v>
      </c>
      <c r="Q599">
        <f t="shared" si="39"/>
        <v>0</v>
      </c>
      <c r="R599">
        <v>1</v>
      </c>
      <c r="S599">
        <v>3</v>
      </c>
      <c r="T599">
        <f>Table[[#This Row],[NumWebPurchases]]+Table[[#This Row],[NumStorePurchases]]</f>
        <v>4</v>
      </c>
    </row>
    <row r="600" spans="1:20" ht="12.5">
      <c r="A600" s="6">
        <v>598</v>
      </c>
      <c r="B600" s="6">
        <v>6919</v>
      </c>
      <c r="C600" s="6">
        <v>1978</v>
      </c>
      <c r="D600" s="6">
        <f t="shared" si="36"/>
        <v>47</v>
      </c>
      <c r="E600" s="7" t="s">
        <v>17</v>
      </c>
      <c r="F600" s="7" t="s">
        <v>13</v>
      </c>
      <c r="G600" s="6">
        <v>26224</v>
      </c>
      <c r="H600" s="6" t="str" cm="1">
        <f t="array" ref="H600">_xlfn.IFS(
  G600 &lt; 25000, "Low",
  AND(G600 &gt;= 25000, G600 &lt; 75000), "Medium",
  AND(G600 &gt;= 75000, G600 &lt; 150000), "High",
  G600 &gt;= 150000, "Very High"
)</f>
        <v>Medium</v>
      </c>
      <c r="I600" s="6">
        <v>1</v>
      </c>
      <c r="J600" s="6">
        <v>0</v>
      </c>
      <c r="K600" s="6">
        <f t="shared" si="37"/>
        <v>1</v>
      </c>
      <c r="L600" s="8">
        <v>41429</v>
      </c>
      <c r="M600" t="str">
        <f t="shared" ca="1" si="38"/>
        <v>12 years, 9 months</v>
      </c>
      <c r="N600" s="6">
        <v>39</v>
      </c>
      <c r="O600">
        <v>7</v>
      </c>
      <c r="P600">
        <v>9</v>
      </c>
      <c r="Q600">
        <f t="shared" si="39"/>
        <v>16</v>
      </c>
      <c r="R600">
        <v>2</v>
      </c>
      <c r="S600">
        <v>3</v>
      </c>
      <c r="T600">
        <f>Table[[#This Row],[NumWebPurchases]]+Table[[#This Row],[NumStorePurchases]]</f>
        <v>5</v>
      </c>
    </row>
    <row r="601" spans="1:20" ht="12.5">
      <c r="A601" s="6">
        <v>599</v>
      </c>
      <c r="B601" s="6">
        <v>3537</v>
      </c>
      <c r="C601" s="6">
        <v>1981</v>
      </c>
      <c r="D601" s="6">
        <f t="shared" si="36"/>
        <v>44</v>
      </c>
      <c r="E601" s="7" t="s">
        <v>9</v>
      </c>
      <c r="F601" s="7" t="s">
        <v>11</v>
      </c>
      <c r="G601" s="6">
        <v>31089</v>
      </c>
      <c r="H601" s="6" t="str" cm="1">
        <f t="array" ref="H601">_xlfn.IFS(
  G601 &lt; 25000, "Low",
  AND(G601 &gt;= 25000, G601 &lt; 75000), "Medium",
  AND(G601 &gt;= 75000, G601 &lt; 150000), "High",
  G601 &gt;= 150000, "Very High"
)</f>
        <v>Medium</v>
      </c>
      <c r="I601" s="6">
        <v>1</v>
      </c>
      <c r="J601" s="6">
        <v>0</v>
      </c>
      <c r="K601" s="6">
        <f t="shared" si="37"/>
        <v>1</v>
      </c>
      <c r="L601" s="8">
        <v>41138</v>
      </c>
      <c r="M601" t="str">
        <f t="shared" ca="1" si="38"/>
        <v>13 years, 6 months</v>
      </c>
      <c r="N601" s="6">
        <v>57</v>
      </c>
      <c r="O601">
        <v>3</v>
      </c>
      <c r="P601">
        <v>8</v>
      </c>
      <c r="Q601">
        <f t="shared" si="39"/>
        <v>11</v>
      </c>
      <c r="R601">
        <v>3</v>
      </c>
      <c r="S601">
        <v>4</v>
      </c>
      <c r="T601">
        <f>Table[[#This Row],[NumWebPurchases]]+Table[[#This Row],[NumStorePurchases]]</f>
        <v>7</v>
      </c>
    </row>
    <row r="602" spans="1:20" ht="12.5">
      <c r="A602" s="6">
        <v>600</v>
      </c>
      <c r="B602" s="6">
        <v>10277</v>
      </c>
      <c r="C602" s="6">
        <v>1961</v>
      </c>
      <c r="D602" s="6">
        <f t="shared" si="36"/>
        <v>64</v>
      </c>
      <c r="E602" s="7" t="s">
        <v>9</v>
      </c>
      <c r="F602" s="7" t="s">
        <v>10</v>
      </c>
      <c r="G602" s="6">
        <v>30081</v>
      </c>
      <c r="H602" s="6" t="str" cm="1">
        <f t="array" ref="H602">_xlfn.IFS(
  G602 &lt; 25000, "Low",
  AND(G602 &gt;= 25000, G602 &lt; 75000), "Medium",
  AND(G602 &gt;= 75000, G602 &lt; 150000), "High",
  G602 &gt;= 150000, "Very High"
)</f>
        <v>Medium</v>
      </c>
      <c r="I602" s="6">
        <v>0</v>
      </c>
      <c r="J602" s="6">
        <v>1</v>
      </c>
      <c r="K602" s="6">
        <f t="shared" si="37"/>
        <v>1</v>
      </c>
      <c r="L602" s="8">
        <v>41326</v>
      </c>
      <c r="M602" t="str">
        <f t="shared" ca="1" si="38"/>
        <v>13 years, 0 months</v>
      </c>
      <c r="N602" s="6">
        <v>27</v>
      </c>
      <c r="O602">
        <v>0</v>
      </c>
      <c r="P602">
        <v>0</v>
      </c>
      <c r="Q602">
        <f t="shared" si="39"/>
        <v>0</v>
      </c>
      <c r="R602">
        <v>1</v>
      </c>
      <c r="S602">
        <v>3</v>
      </c>
      <c r="T602">
        <f>Table[[#This Row],[NumWebPurchases]]+Table[[#This Row],[NumStorePurchases]]</f>
        <v>4</v>
      </c>
    </row>
    <row r="603" spans="1:20" ht="12.5">
      <c r="A603" s="6">
        <v>601</v>
      </c>
      <c r="B603" s="6">
        <v>2453</v>
      </c>
      <c r="C603" s="6">
        <v>1960</v>
      </c>
      <c r="D603" s="6">
        <f t="shared" si="36"/>
        <v>65</v>
      </c>
      <c r="E603" s="7" t="s">
        <v>9</v>
      </c>
      <c r="F603" s="7" t="s">
        <v>11</v>
      </c>
      <c r="G603" s="6">
        <v>62807</v>
      </c>
      <c r="H603" s="6" t="str" cm="1">
        <f t="array" ref="H603">_xlfn.IFS(
  G603 &lt; 25000, "Low",
  AND(G603 &gt;= 25000, G603 &lt; 75000), "Medium",
  AND(G603 &gt;= 75000, G603 &lt; 150000), "High",
  G603 &gt;= 150000, "Very High"
)</f>
        <v>Medium</v>
      </c>
      <c r="I603" s="6">
        <v>0</v>
      </c>
      <c r="J603" s="6">
        <v>1</v>
      </c>
      <c r="K603" s="6">
        <f t="shared" si="37"/>
        <v>1</v>
      </c>
      <c r="L603" s="8">
        <v>41152</v>
      </c>
      <c r="M603" t="str">
        <f t="shared" ca="1" si="38"/>
        <v>13 years, 6 months</v>
      </c>
      <c r="N603" s="6">
        <v>83</v>
      </c>
      <c r="O603">
        <v>28</v>
      </c>
      <c r="P603">
        <v>21</v>
      </c>
      <c r="Q603">
        <f t="shared" si="39"/>
        <v>49</v>
      </c>
      <c r="R603">
        <v>5</v>
      </c>
      <c r="S603">
        <v>12</v>
      </c>
      <c r="T603">
        <f>Table[[#This Row],[NumWebPurchases]]+Table[[#This Row],[NumStorePurchases]]</f>
        <v>17</v>
      </c>
    </row>
    <row r="604" spans="1:20" ht="12.5">
      <c r="A604" s="6">
        <v>602</v>
      </c>
      <c r="B604" s="6">
        <v>7972</v>
      </c>
      <c r="C604" s="6">
        <v>1955</v>
      </c>
      <c r="D604" s="6">
        <f t="shared" si="36"/>
        <v>70</v>
      </c>
      <c r="E604" s="7" t="s">
        <v>9</v>
      </c>
      <c r="F604" s="7" t="s">
        <v>10</v>
      </c>
      <c r="G604" s="6">
        <v>72906</v>
      </c>
      <c r="H604" s="6" t="str" cm="1">
        <f t="array" ref="H604">_xlfn.IFS(
  G604 &lt; 25000, "Low",
  AND(G604 &gt;= 25000, G604 &lt; 75000), "Medium",
  AND(G604 &gt;= 75000, G604 &lt; 150000), "High",
  G604 &gt;= 150000, "Very High"
)</f>
        <v>Medium</v>
      </c>
      <c r="I604" s="6">
        <v>0</v>
      </c>
      <c r="J604" s="6">
        <v>0</v>
      </c>
      <c r="K604" s="6">
        <f t="shared" si="37"/>
        <v>0</v>
      </c>
      <c r="L604" s="8">
        <v>41534</v>
      </c>
      <c r="M604" t="str">
        <f t="shared" ca="1" si="38"/>
        <v>12 years, 5 months</v>
      </c>
      <c r="N604" s="6">
        <v>79</v>
      </c>
      <c r="O604">
        <v>32</v>
      </c>
      <c r="P604">
        <v>75</v>
      </c>
      <c r="Q604">
        <f t="shared" si="39"/>
        <v>107</v>
      </c>
      <c r="R604">
        <v>3</v>
      </c>
      <c r="S604">
        <v>9</v>
      </c>
      <c r="T604">
        <f>Table[[#This Row],[NumWebPurchases]]+Table[[#This Row],[NumStorePurchases]]</f>
        <v>12</v>
      </c>
    </row>
    <row r="605" spans="1:20" ht="12.5">
      <c r="A605" s="6">
        <v>603</v>
      </c>
      <c r="B605" s="6">
        <v>895</v>
      </c>
      <c r="C605" s="6">
        <v>1948</v>
      </c>
      <c r="D605" s="6">
        <f t="shared" si="36"/>
        <v>77</v>
      </c>
      <c r="E605" s="7" t="s">
        <v>12</v>
      </c>
      <c r="F605" s="7" t="s">
        <v>13</v>
      </c>
      <c r="G605" s="6">
        <v>61467</v>
      </c>
      <c r="H605" s="6" t="str" cm="1">
        <f t="array" ref="H605">_xlfn.IFS(
  G605 &lt; 25000, "Low",
  AND(G605 &gt;= 25000, G605 &lt; 75000), "Medium",
  AND(G605 &gt;= 75000, G605 &lt; 150000), "High",
  G605 &gt;= 150000, "Very High"
)</f>
        <v>Medium</v>
      </c>
      <c r="I605" s="6">
        <v>0</v>
      </c>
      <c r="J605" s="6">
        <v>2</v>
      </c>
      <c r="K605" s="6">
        <f t="shared" si="37"/>
        <v>2</v>
      </c>
      <c r="L605" s="8">
        <v>41252</v>
      </c>
      <c r="M605" t="str">
        <f t="shared" ca="1" si="38"/>
        <v>13 years, 2 months</v>
      </c>
      <c r="N605" s="6">
        <v>69</v>
      </c>
      <c r="O605">
        <v>16</v>
      </c>
      <c r="P605">
        <v>5</v>
      </c>
      <c r="Q605">
        <f t="shared" si="39"/>
        <v>21</v>
      </c>
      <c r="R605">
        <v>5</v>
      </c>
      <c r="S605">
        <v>10</v>
      </c>
      <c r="T605">
        <f>Table[[#This Row],[NumWebPurchases]]+Table[[#This Row],[NumStorePurchases]]</f>
        <v>15</v>
      </c>
    </row>
    <row r="606" spans="1:20" ht="12.5">
      <c r="A606" s="6">
        <v>604</v>
      </c>
      <c r="B606" s="6">
        <v>1177</v>
      </c>
      <c r="C606" s="6">
        <v>1966</v>
      </c>
      <c r="D606" s="6">
        <f t="shared" si="36"/>
        <v>59</v>
      </c>
      <c r="E606" s="7" t="s">
        <v>14</v>
      </c>
      <c r="F606" s="7" t="s">
        <v>11</v>
      </c>
      <c r="G606" s="6">
        <v>49618</v>
      </c>
      <c r="H606" s="6" t="str" cm="1">
        <f t="array" ref="H606">_xlfn.IFS(
  G606 &lt; 25000, "Low",
  AND(G606 &gt;= 25000, G606 &lt; 75000), "Medium",
  AND(G606 &gt;= 75000, G606 &lt; 150000), "High",
  G606 &gt;= 150000, "Very High"
)</f>
        <v>Medium</v>
      </c>
      <c r="I606" s="6">
        <v>1</v>
      </c>
      <c r="J606" s="6">
        <v>1</v>
      </c>
      <c r="K606" s="6">
        <f t="shared" si="37"/>
        <v>2</v>
      </c>
      <c r="L606" s="8">
        <v>41300</v>
      </c>
      <c r="M606" t="str">
        <f t="shared" ca="1" si="38"/>
        <v>13 years, 1 months</v>
      </c>
      <c r="N606" s="6">
        <v>77</v>
      </c>
      <c r="O606">
        <v>3</v>
      </c>
      <c r="P606">
        <v>2</v>
      </c>
      <c r="Q606">
        <f t="shared" si="39"/>
        <v>5</v>
      </c>
      <c r="R606">
        <v>3</v>
      </c>
      <c r="S606">
        <v>3</v>
      </c>
      <c r="T606">
        <f>Table[[#This Row],[NumWebPurchases]]+Table[[#This Row],[NumStorePurchases]]</f>
        <v>6</v>
      </c>
    </row>
    <row r="607" spans="1:20" ht="12.5">
      <c r="A607" s="6">
        <v>605</v>
      </c>
      <c r="B607" s="6">
        <v>7141</v>
      </c>
      <c r="C607" s="6">
        <v>1986</v>
      </c>
      <c r="D607" s="6">
        <f t="shared" si="36"/>
        <v>39</v>
      </c>
      <c r="E607" s="7" t="s">
        <v>14</v>
      </c>
      <c r="F607" s="7" t="s">
        <v>10</v>
      </c>
      <c r="G607" s="6">
        <v>21888</v>
      </c>
      <c r="H607" s="6" t="str" cm="1">
        <f t="array" ref="H607">_xlfn.IFS(
  G607 &lt; 25000, "Low",
  AND(G607 &gt;= 25000, G607 &lt; 75000), "Medium",
  AND(G607 &gt;= 75000, G607 &lt; 150000), "High",
  G607 &gt;= 150000, "Very High"
)</f>
        <v>Low</v>
      </c>
      <c r="I607" s="6">
        <v>1</v>
      </c>
      <c r="J607" s="6">
        <v>0</v>
      </c>
      <c r="K607" s="6">
        <f t="shared" si="37"/>
        <v>1</v>
      </c>
      <c r="L607" s="9">
        <v>41272</v>
      </c>
      <c r="M607" t="str">
        <f t="shared" ca="1" si="38"/>
        <v>13 years, 2 months</v>
      </c>
      <c r="N607" s="6">
        <v>15</v>
      </c>
      <c r="O607">
        <v>10</v>
      </c>
      <c r="P607">
        <v>3</v>
      </c>
      <c r="Q607">
        <f t="shared" si="39"/>
        <v>13</v>
      </c>
      <c r="R607">
        <v>5</v>
      </c>
      <c r="S607">
        <v>2</v>
      </c>
      <c r="T607">
        <f>Table[[#This Row],[NumWebPurchases]]+Table[[#This Row],[NumStorePurchases]]</f>
        <v>7</v>
      </c>
    </row>
    <row r="608" spans="1:20" ht="12.5">
      <c r="A608" s="6">
        <v>606</v>
      </c>
      <c r="B608" s="6">
        <v>7232</v>
      </c>
      <c r="C608" s="6">
        <v>1973</v>
      </c>
      <c r="D608" s="6">
        <f t="shared" si="36"/>
        <v>52</v>
      </c>
      <c r="E608" s="7" t="s">
        <v>9</v>
      </c>
      <c r="F608" s="7" t="s">
        <v>18</v>
      </c>
      <c r="G608" s="6">
        <v>42429</v>
      </c>
      <c r="H608" s="6" t="str" cm="1">
        <f t="array" ref="H608">_xlfn.IFS(
  G608 &lt; 25000, "Low",
  AND(G608 &gt;= 25000, G608 &lt; 75000), "Medium",
  AND(G608 &gt;= 75000, G608 &lt; 150000), "High",
  G608 &gt;= 150000, "Very High"
)</f>
        <v>Medium</v>
      </c>
      <c r="I608" s="6">
        <v>0</v>
      </c>
      <c r="J608" s="6">
        <v>1</v>
      </c>
      <c r="K608" s="6">
        <f t="shared" si="37"/>
        <v>1</v>
      </c>
      <c r="L608" s="8">
        <v>41681</v>
      </c>
      <c r="M608" t="str">
        <f t="shared" ca="1" si="38"/>
        <v>12 years, 0 months</v>
      </c>
      <c r="N608" s="6">
        <v>99</v>
      </c>
      <c r="O608">
        <v>0</v>
      </c>
      <c r="P608">
        <v>0</v>
      </c>
      <c r="Q608">
        <f t="shared" si="39"/>
        <v>0</v>
      </c>
      <c r="R608">
        <v>1</v>
      </c>
      <c r="S608">
        <v>3</v>
      </c>
      <c r="T608">
        <f>Table[[#This Row],[NumWebPurchases]]+Table[[#This Row],[NumStorePurchases]]</f>
        <v>4</v>
      </c>
    </row>
    <row r="609" spans="1:20" ht="12.5">
      <c r="A609" s="6">
        <v>607</v>
      </c>
      <c r="B609" s="6">
        <v>8477</v>
      </c>
      <c r="C609" s="6">
        <v>1956</v>
      </c>
      <c r="D609" s="6">
        <f t="shared" si="36"/>
        <v>69</v>
      </c>
      <c r="E609" s="7" t="s">
        <v>9</v>
      </c>
      <c r="F609" s="7" t="s">
        <v>15</v>
      </c>
      <c r="G609" s="6">
        <v>26150</v>
      </c>
      <c r="H609" s="6" t="str" cm="1">
        <f t="array" ref="H609">_xlfn.IFS(
  G609 &lt; 25000, "Low",
  AND(G609 &gt;= 25000, G609 &lt; 75000), "Medium",
  AND(G609 &gt;= 75000, G609 &lt; 150000), "High",
  G609 &gt;= 150000, "Very High"
)</f>
        <v>Medium</v>
      </c>
      <c r="I609" s="6">
        <v>2</v>
      </c>
      <c r="J609" s="6">
        <v>1</v>
      </c>
      <c r="K609" s="6">
        <f t="shared" si="37"/>
        <v>3</v>
      </c>
      <c r="L609" s="8">
        <v>41344</v>
      </c>
      <c r="M609" t="str">
        <f t="shared" ca="1" si="38"/>
        <v>12 years, 11 months</v>
      </c>
      <c r="N609" s="6">
        <v>61</v>
      </c>
      <c r="O609">
        <v>1</v>
      </c>
      <c r="P609">
        <v>5</v>
      </c>
      <c r="Q609">
        <f t="shared" si="39"/>
        <v>6</v>
      </c>
      <c r="R609">
        <v>1</v>
      </c>
      <c r="S609">
        <v>3</v>
      </c>
      <c r="T609">
        <f>Table[[#This Row],[NumWebPurchases]]+Table[[#This Row],[NumStorePurchases]]</f>
        <v>4</v>
      </c>
    </row>
    <row r="610" spans="1:20" ht="12.5">
      <c r="A610" s="6">
        <v>608</v>
      </c>
      <c r="B610" s="6">
        <v>2457</v>
      </c>
      <c r="C610" s="6">
        <v>1975</v>
      </c>
      <c r="D610" s="6">
        <f t="shared" si="36"/>
        <v>50</v>
      </c>
      <c r="E610" s="7" t="s">
        <v>16</v>
      </c>
      <c r="F610" s="7" t="s">
        <v>13</v>
      </c>
      <c r="G610" s="6">
        <v>30801</v>
      </c>
      <c r="H610" s="6" t="str" cm="1">
        <f t="array" ref="H610">_xlfn.IFS(
  G610 &lt; 25000, "Low",
  AND(G610 &gt;= 25000, G610 &lt; 75000), "Medium",
  AND(G610 &gt;= 75000, G610 &lt; 150000), "High",
  G610 &gt;= 150000, "Very High"
)</f>
        <v>Medium</v>
      </c>
      <c r="I610" s="6">
        <v>0</v>
      </c>
      <c r="J610" s="6">
        <v>1</v>
      </c>
      <c r="K610" s="6">
        <f t="shared" si="37"/>
        <v>1</v>
      </c>
      <c r="L610" s="9">
        <v>41208</v>
      </c>
      <c r="M610" t="str">
        <f t="shared" ca="1" si="38"/>
        <v>13 years, 4 months</v>
      </c>
      <c r="N610" s="6">
        <v>23</v>
      </c>
      <c r="O610">
        <v>4</v>
      </c>
      <c r="P610">
        <v>2</v>
      </c>
      <c r="Q610">
        <f t="shared" si="39"/>
        <v>6</v>
      </c>
      <c r="R610">
        <v>1</v>
      </c>
      <c r="S610">
        <v>3</v>
      </c>
      <c r="T610">
        <f>Table[[#This Row],[NumWebPurchases]]+Table[[#This Row],[NumStorePurchases]]</f>
        <v>4</v>
      </c>
    </row>
    <row r="611" spans="1:20" ht="12.5">
      <c r="A611" s="6">
        <v>609</v>
      </c>
      <c r="B611" s="6">
        <v>988</v>
      </c>
      <c r="C611" s="6">
        <v>1965</v>
      </c>
      <c r="D611" s="6">
        <f t="shared" si="36"/>
        <v>60</v>
      </c>
      <c r="E611" s="7" t="s">
        <v>9</v>
      </c>
      <c r="F611" s="7" t="s">
        <v>13</v>
      </c>
      <c r="G611" s="6">
        <v>81168</v>
      </c>
      <c r="H611" s="6" t="str" cm="1">
        <f t="array" ref="H611">_xlfn.IFS(
  G611 &lt; 25000, "Low",
  AND(G611 &gt;= 25000, G611 &lt; 75000), "Medium",
  AND(G611 &gt;= 75000, G611 &lt; 150000), "High",
  G611 &gt;= 150000, "Very High"
)</f>
        <v>High</v>
      </c>
      <c r="I611" s="6">
        <v>0</v>
      </c>
      <c r="J611" s="6">
        <v>0</v>
      </c>
      <c r="K611" s="6">
        <f t="shared" si="37"/>
        <v>0</v>
      </c>
      <c r="L611" s="8">
        <v>41766</v>
      </c>
      <c r="M611" t="str">
        <f t="shared" ca="1" si="38"/>
        <v>11 years, 9 months</v>
      </c>
      <c r="N611" s="6">
        <v>84</v>
      </c>
      <c r="O611">
        <v>0</v>
      </c>
      <c r="P611">
        <v>22</v>
      </c>
      <c r="Q611">
        <f t="shared" si="39"/>
        <v>22</v>
      </c>
      <c r="R611">
        <v>6</v>
      </c>
      <c r="S611">
        <v>7</v>
      </c>
      <c r="T611">
        <f>Table[[#This Row],[NumWebPurchases]]+Table[[#This Row],[NumStorePurchases]]</f>
        <v>13</v>
      </c>
    </row>
    <row r="612" spans="1:20" ht="12.5">
      <c r="A612" s="6">
        <v>610</v>
      </c>
      <c r="B612" s="6">
        <v>7930</v>
      </c>
      <c r="C612" s="6">
        <v>1969</v>
      </c>
      <c r="D612" s="6">
        <f t="shared" si="36"/>
        <v>56</v>
      </c>
      <c r="E612" s="7" t="s">
        <v>14</v>
      </c>
      <c r="F612" s="7" t="s">
        <v>10</v>
      </c>
      <c r="G612" s="6">
        <v>26877</v>
      </c>
      <c r="H612" s="6" t="str" cm="1">
        <f t="array" ref="H612">_xlfn.IFS(
  G612 &lt; 25000, "Low",
  AND(G612 &gt;= 25000, G612 &lt; 75000), "Medium",
  AND(G612 &gt;= 75000, G612 &lt; 150000), "High",
  G612 &gt;= 150000, "Very High"
)</f>
        <v>Medium</v>
      </c>
      <c r="I612" s="6">
        <v>0</v>
      </c>
      <c r="J612" s="6">
        <v>0</v>
      </c>
      <c r="K612" s="6">
        <f t="shared" si="37"/>
        <v>0</v>
      </c>
      <c r="L612" s="8">
        <v>41505</v>
      </c>
      <c r="M612" t="str">
        <f t="shared" ca="1" si="38"/>
        <v>12 years, 6 months</v>
      </c>
      <c r="N612" s="6">
        <v>74</v>
      </c>
      <c r="O612">
        <v>13</v>
      </c>
      <c r="P612">
        <v>18</v>
      </c>
      <c r="Q612">
        <f t="shared" si="39"/>
        <v>31</v>
      </c>
      <c r="R612">
        <v>3</v>
      </c>
      <c r="S612">
        <v>6</v>
      </c>
      <c r="T612">
        <f>Table[[#This Row],[NumWebPurchases]]+Table[[#This Row],[NumStorePurchases]]</f>
        <v>9</v>
      </c>
    </row>
    <row r="613" spans="1:20" ht="12.5">
      <c r="A613" s="6">
        <v>611</v>
      </c>
      <c r="B613" s="6">
        <v>4587</v>
      </c>
      <c r="C613" s="6">
        <v>1944</v>
      </c>
      <c r="D613" s="6">
        <f t="shared" si="36"/>
        <v>81</v>
      </c>
      <c r="E613" s="7" t="s">
        <v>14</v>
      </c>
      <c r="F613" s="7" t="s">
        <v>18</v>
      </c>
      <c r="G613" s="6">
        <v>45006</v>
      </c>
      <c r="H613" s="6" t="str" cm="1">
        <f t="array" ref="H613">_xlfn.IFS(
  G613 &lt; 25000, "Low",
  AND(G613 &gt;= 25000, G613 &lt; 75000), "Medium",
  AND(G613 &gt;= 75000, G613 &lt; 150000), "High",
  G613 &gt;= 150000, "Very High"
)</f>
        <v>Medium</v>
      </c>
      <c r="I613" s="6">
        <v>0</v>
      </c>
      <c r="J613" s="6">
        <v>0</v>
      </c>
      <c r="K613" s="6">
        <f t="shared" si="37"/>
        <v>0</v>
      </c>
      <c r="L613" s="8">
        <v>41473</v>
      </c>
      <c r="M613" t="str">
        <f t="shared" ca="1" si="38"/>
        <v>12 years, 7 months</v>
      </c>
      <c r="N613" s="6">
        <v>90</v>
      </c>
      <c r="O613">
        <v>25</v>
      </c>
      <c r="P613">
        <v>0</v>
      </c>
      <c r="Q613">
        <f t="shared" si="39"/>
        <v>25</v>
      </c>
      <c r="R613">
        <v>3</v>
      </c>
      <c r="S613">
        <v>7</v>
      </c>
      <c r="T613">
        <f>Table[[#This Row],[NumWebPurchases]]+Table[[#This Row],[NumStorePurchases]]</f>
        <v>10</v>
      </c>
    </row>
    <row r="614" spans="1:20" ht="12.5">
      <c r="A614" s="6">
        <v>612</v>
      </c>
      <c r="B614" s="6">
        <v>6682</v>
      </c>
      <c r="C614" s="6">
        <v>1973</v>
      </c>
      <c r="D614" s="6">
        <f t="shared" si="36"/>
        <v>52</v>
      </c>
      <c r="E614" s="7" t="s">
        <v>16</v>
      </c>
      <c r="F614" s="7" t="s">
        <v>13</v>
      </c>
      <c r="G614" s="6">
        <v>18978</v>
      </c>
      <c r="H614" s="6" t="str" cm="1">
        <f t="array" ref="H614">_xlfn.IFS(
  G614 &lt; 25000, "Low",
  AND(G614 &gt;= 25000, G614 &lt; 75000), "Medium",
  AND(G614 &gt;= 75000, G614 &lt; 150000), "High",
  G614 &gt;= 150000, "Very High"
)</f>
        <v>Low</v>
      </c>
      <c r="I614" s="6">
        <v>1</v>
      </c>
      <c r="J614" s="6">
        <v>0</v>
      </c>
      <c r="K614" s="6">
        <f t="shared" si="37"/>
        <v>1</v>
      </c>
      <c r="L614" s="9">
        <v>41254</v>
      </c>
      <c r="M614" t="str">
        <f t="shared" ca="1" si="38"/>
        <v>13 years, 2 months</v>
      </c>
      <c r="N614" s="6">
        <v>41</v>
      </c>
      <c r="O614">
        <v>8</v>
      </c>
      <c r="P614">
        <v>7</v>
      </c>
      <c r="Q614">
        <f t="shared" si="39"/>
        <v>15</v>
      </c>
      <c r="R614">
        <v>1</v>
      </c>
      <c r="S614">
        <v>3</v>
      </c>
      <c r="T614">
        <f>Table[[#This Row],[NumWebPurchases]]+Table[[#This Row],[NumStorePurchases]]</f>
        <v>4</v>
      </c>
    </row>
    <row r="615" spans="1:20" ht="12.5">
      <c r="A615" s="6">
        <v>613</v>
      </c>
      <c r="B615" s="6">
        <v>6222</v>
      </c>
      <c r="C615" s="6">
        <v>1967</v>
      </c>
      <c r="D615" s="6">
        <f t="shared" si="36"/>
        <v>58</v>
      </c>
      <c r="E615" s="7" t="s">
        <v>9</v>
      </c>
      <c r="F615" s="7" t="s">
        <v>13</v>
      </c>
      <c r="G615" s="6">
        <v>22574</v>
      </c>
      <c r="H615" s="6" t="str" cm="1">
        <f t="array" ref="H615">_xlfn.IFS(
  G615 &lt; 25000, "Low",
  AND(G615 &gt;= 25000, G615 &lt; 75000), "Medium",
  AND(G615 &gt;= 75000, G615 &lt; 150000), "High",
  G615 &gt;= 150000, "Very High"
)</f>
        <v>Low</v>
      </c>
      <c r="I615" s="6">
        <v>2</v>
      </c>
      <c r="J615" s="6">
        <v>1</v>
      </c>
      <c r="K615" s="6">
        <f t="shared" si="37"/>
        <v>3</v>
      </c>
      <c r="L615" s="9">
        <v>41575</v>
      </c>
      <c r="M615" t="str">
        <f t="shared" ca="1" si="38"/>
        <v>12 years, 4 months</v>
      </c>
      <c r="N615" s="6">
        <v>28</v>
      </c>
      <c r="O615">
        <v>0</v>
      </c>
      <c r="P615">
        <v>0</v>
      </c>
      <c r="Q615">
        <f t="shared" si="39"/>
        <v>0</v>
      </c>
      <c r="R615">
        <v>2</v>
      </c>
      <c r="S615">
        <v>3</v>
      </c>
      <c r="T615">
        <f>Table[[#This Row],[NumWebPurchases]]+Table[[#This Row],[NumStorePurchases]]</f>
        <v>5</v>
      </c>
    </row>
    <row r="616" spans="1:20" ht="12.5">
      <c r="A616" s="6">
        <v>614</v>
      </c>
      <c r="B616" s="6">
        <v>10299</v>
      </c>
      <c r="C616" s="6">
        <v>1969</v>
      </c>
      <c r="D616" s="6">
        <f t="shared" si="36"/>
        <v>56</v>
      </c>
      <c r="E616" s="7" t="s">
        <v>12</v>
      </c>
      <c r="F616" s="7" t="s">
        <v>10</v>
      </c>
      <c r="G616" s="6">
        <v>48240</v>
      </c>
      <c r="H616" s="6" t="str" cm="1">
        <f t="array" ref="H616">_xlfn.IFS(
  G616 &lt; 25000, "Low",
  AND(G616 &gt;= 25000, G616 &lt; 75000), "Medium",
  AND(G616 &gt;= 75000, G616 &lt; 150000), "High",
  G616 &gt;= 150000, "Very High"
)</f>
        <v>Medium</v>
      </c>
      <c r="I616" s="6">
        <v>0</v>
      </c>
      <c r="J616" s="6">
        <v>0</v>
      </c>
      <c r="K616" s="6">
        <f t="shared" si="37"/>
        <v>0</v>
      </c>
      <c r="L616" s="8">
        <v>41222</v>
      </c>
      <c r="M616" t="str">
        <f t="shared" ca="1" si="38"/>
        <v>13 years, 3 months</v>
      </c>
      <c r="N616" s="6">
        <v>73</v>
      </c>
      <c r="O616">
        <v>91</v>
      </c>
      <c r="P616">
        <v>49</v>
      </c>
      <c r="Q616">
        <f t="shared" si="39"/>
        <v>140</v>
      </c>
      <c r="R616">
        <v>6</v>
      </c>
      <c r="S616">
        <v>13</v>
      </c>
      <c r="T616">
        <f>Table[[#This Row],[NumWebPurchases]]+Table[[#This Row],[NumStorePurchases]]</f>
        <v>19</v>
      </c>
    </row>
    <row r="617" spans="1:20" ht="12.5">
      <c r="A617" s="6">
        <v>615</v>
      </c>
      <c r="B617" s="6">
        <v>3083</v>
      </c>
      <c r="C617" s="6">
        <v>1974</v>
      </c>
      <c r="D617" s="6">
        <f t="shared" si="36"/>
        <v>51</v>
      </c>
      <c r="E617" s="7" t="s">
        <v>9</v>
      </c>
      <c r="F617" s="7" t="s">
        <v>13</v>
      </c>
      <c r="G617" s="6">
        <v>45837</v>
      </c>
      <c r="H617" s="6" t="str" cm="1">
        <f t="array" ref="H617">_xlfn.IFS(
  G617 &lt; 25000, "Low",
  AND(G617 &gt;= 25000, G617 &lt; 75000), "Medium",
  AND(G617 &gt;= 75000, G617 &lt; 150000), "High",
  G617 &gt;= 150000, "Very High"
)</f>
        <v>Medium</v>
      </c>
      <c r="I617" s="6">
        <v>1</v>
      </c>
      <c r="J617" s="6">
        <v>1</v>
      </c>
      <c r="K617" s="6">
        <f t="shared" si="37"/>
        <v>2</v>
      </c>
      <c r="L617" s="8">
        <v>41481</v>
      </c>
      <c r="M617" t="str">
        <f t="shared" ca="1" si="38"/>
        <v>12 years, 7 months</v>
      </c>
      <c r="N617" s="6">
        <v>88</v>
      </c>
      <c r="O617">
        <v>13</v>
      </c>
      <c r="P617">
        <v>17</v>
      </c>
      <c r="Q617">
        <f t="shared" si="39"/>
        <v>30</v>
      </c>
      <c r="R617">
        <v>6</v>
      </c>
      <c r="S617">
        <v>5</v>
      </c>
      <c r="T617">
        <f>Table[[#This Row],[NumWebPurchases]]+Table[[#This Row],[NumStorePurchases]]</f>
        <v>11</v>
      </c>
    </row>
    <row r="618" spans="1:20" ht="12.5">
      <c r="A618" s="6">
        <v>616</v>
      </c>
      <c r="B618" s="6">
        <v>8953</v>
      </c>
      <c r="C618" s="6">
        <v>1965</v>
      </c>
      <c r="D618" s="6">
        <f t="shared" si="36"/>
        <v>60</v>
      </c>
      <c r="E618" s="7" t="s">
        <v>14</v>
      </c>
      <c r="F618" s="7" t="s">
        <v>10</v>
      </c>
      <c r="G618" s="6">
        <v>35791</v>
      </c>
      <c r="H618" s="6" t="str" cm="1">
        <f t="array" ref="H618">_xlfn.IFS(
  G618 &lt; 25000, "Low",
  AND(G618 &gt;= 25000, G618 &lt; 75000), "Medium",
  AND(G618 &gt;= 75000, G618 &lt; 150000), "High",
  G618 &gt;= 150000, "Very High"
)</f>
        <v>Medium</v>
      </c>
      <c r="I618" s="6">
        <v>2</v>
      </c>
      <c r="J618" s="6">
        <v>1</v>
      </c>
      <c r="K618" s="6">
        <f t="shared" si="37"/>
        <v>3</v>
      </c>
      <c r="L618" s="8">
        <v>41400</v>
      </c>
      <c r="M618" t="str">
        <f t="shared" ca="1" si="38"/>
        <v>12 years, 10 months</v>
      </c>
      <c r="N618" s="6">
        <v>94</v>
      </c>
      <c r="O618">
        <v>0</v>
      </c>
      <c r="P618">
        <v>0</v>
      </c>
      <c r="Q618">
        <f t="shared" si="39"/>
        <v>0</v>
      </c>
      <c r="R618">
        <v>1</v>
      </c>
      <c r="S618">
        <v>3</v>
      </c>
      <c r="T618">
        <f>Table[[#This Row],[NumWebPurchases]]+Table[[#This Row],[NumStorePurchases]]</f>
        <v>4</v>
      </c>
    </row>
    <row r="619" spans="1:20" ht="12.5">
      <c r="A619" s="6">
        <v>617</v>
      </c>
      <c r="B619" s="6">
        <v>1503</v>
      </c>
      <c r="C619" s="6">
        <v>1976</v>
      </c>
      <c r="D619" s="6">
        <f t="shared" si="36"/>
        <v>49</v>
      </c>
      <c r="E619" s="7" t="s">
        <v>12</v>
      </c>
      <c r="F619" s="7" t="s">
        <v>11</v>
      </c>
      <c r="G619" s="6">
        <v>162397</v>
      </c>
      <c r="H619" s="6" t="str" cm="1">
        <f t="array" ref="H619">_xlfn.IFS(
  G619 &lt; 25000, "Low",
  AND(G619 &gt;= 25000, G619 &lt; 75000), "Medium",
  AND(G619 &gt;= 75000, G619 &lt; 150000), "High",
  G619 &gt;= 150000, "Very High"
)</f>
        <v>Very High</v>
      </c>
      <c r="I619" s="6">
        <v>1</v>
      </c>
      <c r="J619" s="6">
        <v>1</v>
      </c>
      <c r="K619" s="6">
        <f t="shared" si="37"/>
        <v>2</v>
      </c>
      <c r="L619" s="8">
        <v>41428</v>
      </c>
      <c r="M619" t="str">
        <f t="shared" ca="1" si="38"/>
        <v>12 years, 9 months</v>
      </c>
      <c r="N619" s="6">
        <v>31</v>
      </c>
      <c r="O619">
        <v>1</v>
      </c>
      <c r="P619">
        <v>1</v>
      </c>
      <c r="Q619">
        <f t="shared" si="39"/>
        <v>2</v>
      </c>
      <c r="R619">
        <v>0</v>
      </c>
      <c r="S619">
        <v>1</v>
      </c>
      <c r="T619">
        <f>Table[[#This Row],[NumWebPurchases]]+Table[[#This Row],[NumStorePurchases]]</f>
        <v>1</v>
      </c>
    </row>
    <row r="620" spans="1:20" ht="12.5">
      <c r="A620" s="6">
        <v>618</v>
      </c>
      <c r="B620" s="6">
        <v>8650</v>
      </c>
      <c r="C620" s="6">
        <v>1978</v>
      </c>
      <c r="D620" s="6">
        <f t="shared" si="36"/>
        <v>47</v>
      </c>
      <c r="E620" s="7" t="s">
        <v>9</v>
      </c>
      <c r="F620" s="7" t="s">
        <v>18</v>
      </c>
      <c r="G620" s="6">
        <v>54162</v>
      </c>
      <c r="H620" s="6" t="str" cm="1">
        <f t="array" ref="H620">_xlfn.IFS(
  G620 &lt; 25000, "Low",
  AND(G620 &gt;= 25000, G620 &lt; 75000), "Medium",
  AND(G620 &gt;= 75000, G620 &lt; 150000), "High",
  G620 &gt;= 150000, "Very High"
)</f>
        <v>Medium</v>
      </c>
      <c r="I620" s="6">
        <v>1</v>
      </c>
      <c r="J620" s="6">
        <v>1</v>
      </c>
      <c r="K620" s="6">
        <f t="shared" si="37"/>
        <v>2</v>
      </c>
      <c r="L620" s="8">
        <v>41351</v>
      </c>
      <c r="M620" t="str">
        <f t="shared" ca="1" si="38"/>
        <v>12 years, 11 months</v>
      </c>
      <c r="N620" s="6">
        <v>31</v>
      </c>
      <c r="O620">
        <v>6</v>
      </c>
      <c r="P620">
        <v>5</v>
      </c>
      <c r="Q620">
        <f t="shared" si="39"/>
        <v>11</v>
      </c>
      <c r="R620">
        <v>1</v>
      </c>
      <c r="S620">
        <v>3</v>
      </c>
      <c r="T620">
        <f>Table[[#This Row],[NumWebPurchases]]+Table[[#This Row],[NumStorePurchases]]</f>
        <v>4</v>
      </c>
    </row>
    <row r="621" spans="1:20" ht="12.5">
      <c r="A621" s="6">
        <v>619</v>
      </c>
      <c r="B621" s="6">
        <v>10862</v>
      </c>
      <c r="C621" s="6">
        <v>1960</v>
      </c>
      <c r="D621" s="6">
        <f t="shared" si="36"/>
        <v>65</v>
      </c>
      <c r="E621" s="7" t="s">
        <v>14</v>
      </c>
      <c r="F621" s="7" t="s">
        <v>13</v>
      </c>
      <c r="G621" s="6">
        <v>30522</v>
      </c>
      <c r="H621" s="6" t="str" cm="1">
        <f t="array" ref="H621">_xlfn.IFS(
  G621 &lt; 25000, "Low",
  AND(G621 &gt;= 25000, G621 &lt; 75000), "Medium",
  AND(G621 &gt;= 75000, G621 &lt; 150000), "High",
  G621 &gt;= 150000, "Very High"
)</f>
        <v>Medium</v>
      </c>
      <c r="I621" s="6">
        <v>0</v>
      </c>
      <c r="J621" s="6">
        <v>1</v>
      </c>
      <c r="K621" s="6">
        <f t="shared" si="37"/>
        <v>1</v>
      </c>
      <c r="L621" s="8">
        <v>41138</v>
      </c>
      <c r="M621" t="str">
        <f t="shared" ca="1" si="38"/>
        <v>13 years, 6 months</v>
      </c>
      <c r="N621" s="6">
        <v>6</v>
      </c>
      <c r="O621">
        <v>8</v>
      </c>
      <c r="P621">
        <v>11</v>
      </c>
      <c r="Q621">
        <f t="shared" si="39"/>
        <v>19</v>
      </c>
      <c r="R621">
        <v>1</v>
      </c>
      <c r="S621">
        <v>9</v>
      </c>
      <c r="T621">
        <f>Table[[#This Row],[NumWebPurchases]]+Table[[#This Row],[NumStorePurchases]]</f>
        <v>10</v>
      </c>
    </row>
    <row r="622" spans="1:20" ht="12.5">
      <c r="A622" s="6">
        <v>620</v>
      </c>
      <c r="B622" s="6">
        <v>2782</v>
      </c>
      <c r="C622" s="6">
        <v>1961</v>
      </c>
      <c r="D622" s="6">
        <f t="shared" si="36"/>
        <v>64</v>
      </c>
      <c r="E622" s="7" t="s">
        <v>12</v>
      </c>
      <c r="F622" s="7" t="s">
        <v>13</v>
      </c>
      <c r="G622" s="6">
        <v>54456</v>
      </c>
      <c r="H622" s="6" t="str" cm="1">
        <f t="array" ref="H622">_xlfn.IFS(
  G622 &lt; 25000, "Low",
  AND(G622 &gt;= 25000, G622 &lt; 75000), "Medium",
  AND(G622 &gt;= 75000, G622 &lt; 150000), "High",
  G622 &gt;= 150000, "Very High"
)</f>
        <v>Medium</v>
      </c>
      <c r="I622" s="6">
        <v>0</v>
      </c>
      <c r="J622" s="6">
        <v>1</v>
      </c>
      <c r="K622" s="6">
        <f t="shared" si="37"/>
        <v>1</v>
      </c>
      <c r="L622" s="8">
        <v>41466</v>
      </c>
      <c r="M622" t="str">
        <f t="shared" ca="1" si="38"/>
        <v>12 years, 7 months</v>
      </c>
      <c r="N622" s="6">
        <v>23</v>
      </c>
      <c r="O622">
        <v>0</v>
      </c>
      <c r="P622">
        <v>0</v>
      </c>
      <c r="Q622">
        <f t="shared" si="39"/>
        <v>0</v>
      </c>
      <c r="R622">
        <v>6</v>
      </c>
      <c r="S622">
        <v>7</v>
      </c>
      <c r="T622">
        <f>Table[[#This Row],[NumWebPurchases]]+Table[[#This Row],[NumStorePurchases]]</f>
        <v>13</v>
      </c>
    </row>
    <row r="623" spans="1:20" ht="12.5">
      <c r="A623" s="6">
        <v>621</v>
      </c>
      <c r="B623" s="6">
        <v>6941</v>
      </c>
      <c r="C623" s="6">
        <v>1971</v>
      </c>
      <c r="D623" s="6">
        <f t="shared" si="36"/>
        <v>54</v>
      </c>
      <c r="E623" s="7" t="s">
        <v>9</v>
      </c>
      <c r="F623" s="7" t="s">
        <v>10</v>
      </c>
      <c r="G623" s="6">
        <v>31632</v>
      </c>
      <c r="H623" s="6" t="str" cm="1">
        <f t="array" ref="H623">_xlfn.IFS(
  G623 &lt; 25000, "Low",
  AND(G623 &gt;= 25000, G623 &lt; 75000), "Medium",
  AND(G623 &gt;= 75000, G623 &lt; 150000), "High",
  G623 &gt;= 150000, "Very High"
)</f>
        <v>Medium</v>
      </c>
      <c r="I623" s="6">
        <v>0</v>
      </c>
      <c r="J623" s="6">
        <v>0</v>
      </c>
      <c r="K623" s="6">
        <f t="shared" si="37"/>
        <v>0</v>
      </c>
      <c r="L623" s="8">
        <v>41469</v>
      </c>
      <c r="M623" t="str">
        <f t="shared" ca="1" si="38"/>
        <v>12 years, 7 months</v>
      </c>
      <c r="N623" s="6">
        <v>92</v>
      </c>
      <c r="O623">
        <v>8</v>
      </c>
      <c r="P623">
        <v>15</v>
      </c>
      <c r="Q623">
        <f t="shared" si="39"/>
        <v>23</v>
      </c>
      <c r="R623">
        <v>2</v>
      </c>
      <c r="S623">
        <v>2</v>
      </c>
      <c r="T623">
        <f>Table[[#This Row],[NumWebPurchases]]+Table[[#This Row],[NumStorePurchases]]</f>
        <v>4</v>
      </c>
    </row>
    <row r="624" spans="1:20" ht="12.5">
      <c r="A624" s="6">
        <v>622</v>
      </c>
      <c r="B624" s="6">
        <v>10972</v>
      </c>
      <c r="C624" s="6">
        <v>1949</v>
      </c>
      <c r="D624" s="6">
        <f t="shared" si="36"/>
        <v>76</v>
      </c>
      <c r="E624" s="7" t="s">
        <v>9</v>
      </c>
      <c r="F624" s="7" t="s">
        <v>18</v>
      </c>
      <c r="G624" s="6">
        <v>72298</v>
      </c>
      <c r="H624" s="6" t="str" cm="1">
        <f t="array" ref="H624">_xlfn.IFS(
  G624 &lt; 25000, "Low",
  AND(G624 &gt;= 25000, G624 &lt; 75000), "Medium",
  AND(G624 &gt;= 75000, G624 &lt; 150000), "High",
  G624 &gt;= 150000, "Very High"
)</f>
        <v>Medium</v>
      </c>
      <c r="I624" s="6">
        <v>0</v>
      </c>
      <c r="J624" s="6">
        <v>0</v>
      </c>
      <c r="K624" s="6">
        <f t="shared" si="37"/>
        <v>0</v>
      </c>
      <c r="L624" s="8">
        <v>41708</v>
      </c>
      <c r="M624" t="str">
        <f t="shared" ca="1" si="38"/>
        <v>11 years, 11 months</v>
      </c>
      <c r="N624" s="6">
        <v>52</v>
      </c>
      <c r="O624">
        <v>35</v>
      </c>
      <c r="P624">
        <v>17</v>
      </c>
      <c r="Q624">
        <f t="shared" si="39"/>
        <v>52</v>
      </c>
      <c r="R624">
        <v>4</v>
      </c>
      <c r="S624">
        <v>6</v>
      </c>
      <c r="T624">
        <f>Table[[#This Row],[NumWebPurchases]]+Table[[#This Row],[NumStorePurchases]]</f>
        <v>10</v>
      </c>
    </row>
    <row r="625" spans="1:20" ht="12.5">
      <c r="A625" s="6">
        <v>623</v>
      </c>
      <c r="B625" s="6">
        <v>10708</v>
      </c>
      <c r="C625" s="6">
        <v>1978</v>
      </c>
      <c r="D625" s="6">
        <f t="shared" si="36"/>
        <v>47</v>
      </c>
      <c r="E625" s="7" t="s">
        <v>17</v>
      </c>
      <c r="F625" s="7" t="s">
        <v>10</v>
      </c>
      <c r="G625" s="6">
        <v>36975</v>
      </c>
      <c r="H625" s="6" t="str" cm="1">
        <f t="array" ref="H625">_xlfn.IFS(
  G625 &lt; 25000, "Low",
  AND(G625 &gt;= 25000, G625 &lt; 75000), "Medium",
  AND(G625 &gt;= 75000, G625 &lt; 150000), "High",
  G625 &gt;= 150000, "Very High"
)</f>
        <v>Medium</v>
      </c>
      <c r="I625" s="6">
        <v>1</v>
      </c>
      <c r="J625" s="6">
        <v>0</v>
      </c>
      <c r="K625" s="6">
        <f t="shared" si="37"/>
        <v>1</v>
      </c>
      <c r="L625" s="9">
        <v>41636</v>
      </c>
      <c r="M625" t="str">
        <f t="shared" ca="1" si="38"/>
        <v>12 years, 2 months</v>
      </c>
      <c r="N625" s="6">
        <v>50</v>
      </c>
      <c r="O625">
        <v>6</v>
      </c>
      <c r="P625">
        <v>4</v>
      </c>
      <c r="Q625">
        <f t="shared" si="39"/>
        <v>10</v>
      </c>
      <c r="R625">
        <v>1</v>
      </c>
      <c r="S625">
        <v>3</v>
      </c>
      <c r="T625">
        <f>Table[[#This Row],[NumWebPurchases]]+Table[[#This Row],[NumStorePurchases]]</f>
        <v>4</v>
      </c>
    </row>
    <row r="626" spans="1:20" ht="12.5">
      <c r="A626" s="6">
        <v>624</v>
      </c>
      <c r="B626" s="6">
        <v>6583</v>
      </c>
      <c r="C626" s="6">
        <v>1955</v>
      </c>
      <c r="D626" s="6">
        <f t="shared" si="36"/>
        <v>70</v>
      </c>
      <c r="E626" s="7" t="s">
        <v>17</v>
      </c>
      <c r="F626" s="7" t="s">
        <v>13</v>
      </c>
      <c r="G626" s="6">
        <v>72635</v>
      </c>
      <c r="H626" s="6" t="str" cm="1">
        <f t="array" ref="H626">_xlfn.IFS(
  G626 &lt; 25000, "Low",
  AND(G626 &gt;= 25000, G626 &lt; 75000), "Medium",
  AND(G626 &gt;= 75000, G626 &lt; 150000), "High",
  G626 &gt;= 150000, "Very High"
)</f>
        <v>Medium</v>
      </c>
      <c r="I626" s="6">
        <v>0</v>
      </c>
      <c r="J626" s="6">
        <v>0</v>
      </c>
      <c r="K626" s="6">
        <f t="shared" si="37"/>
        <v>0</v>
      </c>
      <c r="L626" s="8">
        <v>41428</v>
      </c>
      <c r="M626" t="str">
        <f t="shared" ca="1" si="38"/>
        <v>12 years, 9 months</v>
      </c>
      <c r="N626" s="6">
        <v>54</v>
      </c>
      <c r="O626">
        <v>22</v>
      </c>
      <c r="P626">
        <v>35</v>
      </c>
      <c r="Q626">
        <f t="shared" si="39"/>
        <v>57</v>
      </c>
      <c r="R626">
        <v>6</v>
      </c>
      <c r="S626">
        <v>6</v>
      </c>
      <c r="T626">
        <f>Table[[#This Row],[NumWebPurchases]]+Table[[#This Row],[NumStorePurchases]]</f>
        <v>12</v>
      </c>
    </row>
    <row r="627" spans="1:20" ht="12.5">
      <c r="A627" s="6">
        <v>625</v>
      </c>
      <c r="B627" s="6">
        <v>3641</v>
      </c>
      <c r="C627" s="6">
        <v>1976</v>
      </c>
      <c r="D627" s="6">
        <f t="shared" si="36"/>
        <v>49</v>
      </c>
      <c r="E627" s="7" t="s">
        <v>9</v>
      </c>
      <c r="F627" s="7" t="s">
        <v>13</v>
      </c>
      <c r="G627" s="6">
        <v>13624</v>
      </c>
      <c r="H627" s="6" t="str" cm="1">
        <f t="array" ref="H627">_xlfn.IFS(
  G627 &lt; 25000, "Low",
  AND(G627 &gt;= 25000, G627 &lt; 75000), "Medium",
  AND(G627 &gt;= 75000, G627 &lt; 150000), "High",
  G627 &gt;= 150000, "Very High"
)</f>
        <v>Low</v>
      </c>
      <c r="I627" s="6">
        <v>1</v>
      </c>
      <c r="J627" s="6">
        <v>0</v>
      </c>
      <c r="K627" s="6">
        <f t="shared" si="37"/>
        <v>1</v>
      </c>
      <c r="L627" s="8">
        <v>41294</v>
      </c>
      <c r="M627" t="str">
        <f t="shared" ca="1" si="38"/>
        <v>13 years, 1 months</v>
      </c>
      <c r="N627" s="6">
        <v>93</v>
      </c>
      <c r="O627">
        <v>2</v>
      </c>
      <c r="P627">
        <v>1</v>
      </c>
      <c r="Q627">
        <f t="shared" si="39"/>
        <v>3</v>
      </c>
      <c r="R627">
        <v>2</v>
      </c>
      <c r="S627">
        <v>3</v>
      </c>
      <c r="T627">
        <f>Table[[#This Row],[NumWebPurchases]]+Table[[#This Row],[NumStorePurchases]]</f>
        <v>5</v>
      </c>
    </row>
    <row r="628" spans="1:20" ht="12.5">
      <c r="A628" s="6">
        <v>626</v>
      </c>
      <c r="B628" s="6">
        <v>10156</v>
      </c>
      <c r="C628" s="6">
        <v>1975</v>
      </c>
      <c r="D628" s="6">
        <f t="shared" si="36"/>
        <v>50</v>
      </c>
      <c r="E628" s="7" t="s">
        <v>9</v>
      </c>
      <c r="F628" s="7" t="s">
        <v>10</v>
      </c>
      <c r="G628" s="6">
        <v>84196</v>
      </c>
      <c r="H628" s="6" t="str" cm="1">
        <f t="array" ref="H628">_xlfn.IFS(
  G628 &lt; 25000, "Low",
  AND(G628 &gt;= 25000, G628 &lt; 75000), "Medium",
  AND(G628 &gt;= 75000, G628 &lt; 150000), "High",
  G628 &gt;= 150000, "Very High"
)</f>
        <v>High</v>
      </c>
      <c r="I628" s="6">
        <v>0</v>
      </c>
      <c r="J628" s="6">
        <v>1</v>
      </c>
      <c r="K628" s="6">
        <f t="shared" si="37"/>
        <v>1</v>
      </c>
      <c r="L628" s="8">
        <v>41428</v>
      </c>
      <c r="M628" t="str">
        <f t="shared" ca="1" si="38"/>
        <v>12 years, 9 months</v>
      </c>
      <c r="N628" s="6">
        <v>56</v>
      </c>
      <c r="O628">
        <v>63</v>
      </c>
      <c r="P628">
        <v>31</v>
      </c>
      <c r="Q628">
        <f t="shared" si="39"/>
        <v>94</v>
      </c>
      <c r="R628">
        <v>8</v>
      </c>
      <c r="S628">
        <v>7</v>
      </c>
      <c r="T628">
        <f>Table[[#This Row],[NumWebPurchases]]+Table[[#This Row],[NumStorePurchases]]</f>
        <v>15</v>
      </c>
    </row>
    <row r="629" spans="1:20" ht="12.5">
      <c r="A629" s="6">
        <v>627</v>
      </c>
      <c r="B629" s="6">
        <v>4299</v>
      </c>
      <c r="C629" s="6">
        <v>1960</v>
      </c>
      <c r="D629" s="6">
        <f t="shared" si="36"/>
        <v>65</v>
      </c>
      <c r="E629" s="7" t="s">
        <v>9</v>
      </c>
      <c r="F629" s="7" t="s">
        <v>11</v>
      </c>
      <c r="G629" s="6">
        <v>70971</v>
      </c>
      <c r="H629" s="6" t="str" cm="1">
        <f t="array" ref="H629">_xlfn.IFS(
  G629 &lt; 25000, "Low",
  AND(G629 &gt;= 25000, G629 &lt; 75000), "Medium",
  AND(G629 &gt;= 75000, G629 &lt; 150000), "High",
  G629 &gt;= 150000, "Very High"
)</f>
        <v>Medium</v>
      </c>
      <c r="I629" s="6">
        <v>0</v>
      </c>
      <c r="J629" s="6">
        <v>1</v>
      </c>
      <c r="K629" s="6">
        <f t="shared" si="37"/>
        <v>1</v>
      </c>
      <c r="L629" s="8">
        <v>41173</v>
      </c>
      <c r="M629" t="str">
        <f t="shared" ca="1" si="38"/>
        <v>13 years, 5 months</v>
      </c>
      <c r="N629" s="6">
        <v>28</v>
      </c>
      <c r="O629">
        <v>17</v>
      </c>
      <c r="P629">
        <v>125</v>
      </c>
      <c r="Q629">
        <f t="shared" si="39"/>
        <v>142</v>
      </c>
      <c r="R629">
        <v>11</v>
      </c>
      <c r="S629">
        <v>5</v>
      </c>
      <c r="T629">
        <f>Table[[#This Row],[NumWebPurchases]]+Table[[#This Row],[NumStorePurchases]]</f>
        <v>16</v>
      </c>
    </row>
    <row r="630" spans="1:20" ht="12.5">
      <c r="A630" s="6">
        <v>628</v>
      </c>
      <c r="B630" s="6">
        <v>3469</v>
      </c>
      <c r="C630" s="6">
        <v>1977</v>
      </c>
      <c r="D630" s="6">
        <f t="shared" si="36"/>
        <v>48</v>
      </c>
      <c r="E630" s="7" t="s">
        <v>12</v>
      </c>
      <c r="F630" s="7" t="s">
        <v>15</v>
      </c>
      <c r="G630" s="6">
        <v>34487</v>
      </c>
      <c r="H630" s="6" t="str" cm="1">
        <f t="array" ref="H630">_xlfn.IFS(
  G630 &lt; 25000, "Low",
  AND(G630 &gt;= 25000, G630 &lt; 75000), "Medium",
  AND(G630 &gt;= 75000, G630 &lt; 150000), "High",
  G630 &gt;= 150000, "Very High"
)</f>
        <v>Medium</v>
      </c>
      <c r="I630" s="6">
        <v>1</v>
      </c>
      <c r="J630" s="6">
        <v>1</v>
      </c>
      <c r="K630" s="6">
        <f t="shared" si="37"/>
        <v>2</v>
      </c>
      <c r="L630" s="8">
        <v>41158</v>
      </c>
      <c r="M630" t="str">
        <f t="shared" ca="1" si="38"/>
        <v>13 years, 6 months</v>
      </c>
      <c r="N630" s="6">
        <v>94</v>
      </c>
      <c r="O630">
        <v>18</v>
      </c>
      <c r="P630">
        <v>1</v>
      </c>
      <c r="Q630">
        <f t="shared" si="39"/>
        <v>19</v>
      </c>
      <c r="R630">
        <v>3</v>
      </c>
      <c r="S630">
        <v>3</v>
      </c>
      <c r="T630">
        <f>Table[[#This Row],[NumWebPurchases]]+Table[[#This Row],[NumStorePurchases]]</f>
        <v>6</v>
      </c>
    </row>
    <row r="631" spans="1:20" ht="12.5">
      <c r="A631" s="6">
        <v>629</v>
      </c>
      <c r="B631" s="6">
        <v>5063</v>
      </c>
      <c r="C631" s="6">
        <v>1977</v>
      </c>
      <c r="D631" s="6">
        <f t="shared" si="36"/>
        <v>48</v>
      </c>
      <c r="E631" s="7" t="s">
        <v>9</v>
      </c>
      <c r="F631" s="7" t="s">
        <v>10</v>
      </c>
      <c r="G631" s="6">
        <v>28769</v>
      </c>
      <c r="H631" s="6" t="str" cm="1">
        <f t="array" ref="H631">_xlfn.IFS(
  G631 &lt; 25000, "Low",
  AND(G631 &gt;= 25000, G631 &lt; 75000), "Medium",
  AND(G631 &gt;= 75000, G631 &lt; 150000), "High",
  G631 &gt;= 150000, "Very High"
)</f>
        <v>Medium</v>
      </c>
      <c r="I631" s="6">
        <v>1</v>
      </c>
      <c r="J631" s="6">
        <v>0</v>
      </c>
      <c r="K631" s="6">
        <f t="shared" si="37"/>
        <v>1</v>
      </c>
      <c r="L631" s="9">
        <v>41261</v>
      </c>
      <c r="M631" t="str">
        <f t="shared" ca="1" si="38"/>
        <v>13 years, 2 months</v>
      </c>
      <c r="N631" s="6">
        <v>76</v>
      </c>
      <c r="O631">
        <v>5</v>
      </c>
      <c r="P631">
        <v>3</v>
      </c>
      <c r="Q631">
        <f t="shared" si="39"/>
        <v>8</v>
      </c>
      <c r="R631">
        <v>4</v>
      </c>
      <c r="S631">
        <v>4</v>
      </c>
      <c r="T631">
        <f>Table[[#This Row],[NumWebPurchases]]+Table[[#This Row],[NumStorePurchases]]</f>
        <v>8</v>
      </c>
    </row>
    <row r="632" spans="1:20" ht="12.5">
      <c r="A632" s="6">
        <v>630</v>
      </c>
      <c r="B632" s="6">
        <v>10727</v>
      </c>
      <c r="C632" s="6">
        <v>1970</v>
      </c>
      <c r="D632" s="6">
        <f t="shared" si="36"/>
        <v>55</v>
      </c>
      <c r="E632" s="7" t="s">
        <v>12</v>
      </c>
      <c r="F632" s="7" t="s">
        <v>13</v>
      </c>
      <c r="G632" s="6">
        <v>69084</v>
      </c>
      <c r="H632" s="6" t="str" cm="1">
        <f t="array" ref="H632">_xlfn.IFS(
  G632 &lt; 25000, "Low",
  AND(G632 &gt;= 25000, G632 &lt; 75000), "Medium",
  AND(G632 &gt;= 75000, G632 &lt; 150000), "High",
  G632 &gt;= 150000, "Very High"
)</f>
        <v>Medium</v>
      </c>
      <c r="I632" s="6">
        <v>1</v>
      </c>
      <c r="J632" s="6">
        <v>0</v>
      </c>
      <c r="K632" s="6">
        <f t="shared" si="37"/>
        <v>1</v>
      </c>
      <c r="L632" s="9">
        <v>41597</v>
      </c>
      <c r="M632" t="str">
        <f t="shared" ca="1" si="38"/>
        <v>12 years, 3 months</v>
      </c>
      <c r="N632" s="6">
        <v>43</v>
      </c>
      <c r="O632">
        <v>107</v>
      </c>
      <c r="P632">
        <v>30</v>
      </c>
      <c r="Q632">
        <f t="shared" si="39"/>
        <v>137</v>
      </c>
      <c r="R632">
        <v>7</v>
      </c>
      <c r="S632">
        <v>13</v>
      </c>
      <c r="T632">
        <f>Table[[#This Row],[NumWebPurchases]]+Table[[#This Row],[NumStorePurchases]]</f>
        <v>20</v>
      </c>
    </row>
    <row r="633" spans="1:20" ht="12.5">
      <c r="A633" s="6">
        <v>631</v>
      </c>
      <c r="B633" s="6">
        <v>9624</v>
      </c>
      <c r="C633" s="6">
        <v>1958</v>
      </c>
      <c r="D633" s="6">
        <f t="shared" si="36"/>
        <v>67</v>
      </c>
      <c r="E633" s="7" t="s">
        <v>12</v>
      </c>
      <c r="F633" s="7" t="s">
        <v>11</v>
      </c>
      <c r="G633" s="6">
        <v>65488</v>
      </c>
      <c r="H633" s="6" t="str" cm="1">
        <f t="array" ref="H633">_xlfn.IFS(
  G633 &lt; 25000, "Low",
  AND(G633 &gt;= 25000, G633 &lt; 75000), "Medium",
  AND(G633 &gt;= 75000, G633 &lt; 150000), "High",
  G633 &gt;= 150000, "Very High"
)</f>
        <v>Medium</v>
      </c>
      <c r="I633" s="6">
        <v>0</v>
      </c>
      <c r="J633" s="6">
        <v>0</v>
      </c>
      <c r="K633" s="6">
        <f t="shared" si="37"/>
        <v>0</v>
      </c>
      <c r="L633" s="8">
        <v>41803</v>
      </c>
      <c r="M633" t="str">
        <f t="shared" ca="1" si="38"/>
        <v>11 years, 8 months</v>
      </c>
      <c r="N633" s="6">
        <v>46</v>
      </c>
      <c r="O633">
        <v>45</v>
      </c>
      <c r="P633">
        <v>18</v>
      </c>
      <c r="Q633">
        <f t="shared" si="39"/>
        <v>63</v>
      </c>
      <c r="R633">
        <v>3</v>
      </c>
      <c r="S633">
        <v>6</v>
      </c>
      <c r="T633">
        <f>Table[[#This Row],[NumWebPurchases]]+Table[[#This Row],[NumStorePurchases]]</f>
        <v>9</v>
      </c>
    </row>
    <row r="634" spans="1:20" ht="12.5">
      <c r="A634" s="6">
        <v>632</v>
      </c>
      <c r="B634" s="6">
        <v>5156</v>
      </c>
      <c r="C634" s="6">
        <v>1970</v>
      </c>
      <c r="D634" s="6">
        <f t="shared" si="36"/>
        <v>55</v>
      </c>
      <c r="E634" s="7" t="s">
        <v>17</v>
      </c>
      <c r="F634" s="7" t="s">
        <v>13</v>
      </c>
      <c r="G634" s="6">
        <v>62466</v>
      </c>
      <c r="H634" s="6" t="str" cm="1">
        <f t="array" ref="H634">_xlfn.IFS(
  G634 &lt; 25000, "Low",
  AND(G634 &gt;= 25000, G634 &lt; 75000), "Medium",
  AND(G634 &gt;= 75000, G634 &lt; 150000), "High",
  G634 &gt;= 150000, "Very High"
)</f>
        <v>Medium</v>
      </c>
      <c r="I634" s="6">
        <v>0</v>
      </c>
      <c r="J634" s="6">
        <v>1</v>
      </c>
      <c r="K634" s="6">
        <f t="shared" si="37"/>
        <v>1</v>
      </c>
      <c r="L634" s="8">
        <v>41654</v>
      </c>
      <c r="M634" t="str">
        <f t="shared" ca="1" si="38"/>
        <v>12 years, 1 months</v>
      </c>
      <c r="N634" s="6">
        <v>13</v>
      </c>
      <c r="O634">
        <v>129</v>
      </c>
      <c r="P634">
        <v>121</v>
      </c>
      <c r="Q634">
        <f t="shared" si="39"/>
        <v>250</v>
      </c>
      <c r="R634">
        <v>6</v>
      </c>
      <c r="S634">
        <v>12</v>
      </c>
      <c r="T634">
        <f>Table[[#This Row],[NumWebPurchases]]+Table[[#This Row],[NumStorePurchases]]</f>
        <v>18</v>
      </c>
    </row>
    <row r="635" spans="1:20" ht="12.5">
      <c r="A635" s="6">
        <v>633</v>
      </c>
      <c r="B635" s="6">
        <v>4376</v>
      </c>
      <c r="C635" s="6">
        <v>1960</v>
      </c>
      <c r="D635" s="6">
        <f t="shared" si="36"/>
        <v>65</v>
      </c>
      <c r="E635" s="7" t="s">
        <v>17</v>
      </c>
      <c r="F635" s="7" t="s">
        <v>10</v>
      </c>
      <c r="G635" s="6">
        <v>32218</v>
      </c>
      <c r="H635" s="6" t="str" cm="1">
        <f t="array" ref="H635">_xlfn.IFS(
  G635 &lt; 25000, "Low",
  AND(G635 &gt;= 25000, G635 &lt; 75000), "Medium",
  AND(G635 &gt;= 75000, G635 &lt; 150000), "High",
  G635 &gt;= 150000, "Very High"
)</f>
        <v>Medium</v>
      </c>
      <c r="I635" s="6">
        <v>0</v>
      </c>
      <c r="J635" s="6">
        <v>0</v>
      </c>
      <c r="K635" s="6">
        <f t="shared" si="37"/>
        <v>0</v>
      </c>
      <c r="L635" s="8">
        <v>41685</v>
      </c>
      <c r="M635" t="str">
        <f t="shared" ca="1" si="38"/>
        <v>12 years, 0 months</v>
      </c>
      <c r="N635" s="6">
        <v>27</v>
      </c>
      <c r="O635">
        <v>24</v>
      </c>
      <c r="P635">
        <v>1</v>
      </c>
      <c r="Q635">
        <f t="shared" si="39"/>
        <v>25</v>
      </c>
      <c r="R635">
        <v>2</v>
      </c>
      <c r="S635">
        <v>3</v>
      </c>
      <c r="T635">
        <f>Table[[#This Row],[NumWebPurchases]]+Table[[#This Row],[NumStorePurchases]]</f>
        <v>5</v>
      </c>
    </row>
    <row r="636" spans="1:20" ht="12.5">
      <c r="A636" s="6">
        <v>634</v>
      </c>
      <c r="B636" s="6">
        <v>8923</v>
      </c>
      <c r="C636" s="6">
        <v>1973</v>
      </c>
      <c r="D636" s="6">
        <f t="shared" si="36"/>
        <v>52</v>
      </c>
      <c r="E636" s="7" t="s">
        <v>9</v>
      </c>
      <c r="F636" s="7" t="s">
        <v>10</v>
      </c>
      <c r="G636" s="6">
        <v>83917</v>
      </c>
      <c r="H636" s="6" t="str" cm="1">
        <f t="array" ref="H636">_xlfn.IFS(
  G636 &lt; 25000, "Low",
  AND(G636 &gt;= 25000, G636 &lt; 75000), "Medium",
  AND(G636 &gt;= 75000, G636 &lt; 150000), "High",
  G636 &gt;= 150000, "Very High"
)</f>
        <v>High</v>
      </c>
      <c r="I636" s="6">
        <v>0</v>
      </c>
      <c r="J636" s="6">
        <v>0</v>
      </c>
      <c r="K636" s="6">
        <f t="shared" si="37"/>
        <v>0</v>
      </c>
      <c r="L636" s="8">
        <v>41382</v>
      </c>
      <c r="M636" t="str">
        <f t="shared" ca="1" si="38"/>
        <v>12 years, 10 months</v>
      </c>
      <c r="N636" s="6">
        <v>12</v>
      </c>
      <c r="O636">
        <v>22</v>
      </c>
      <c r="P636">
        <v>198</v>
      </c>
      <c r="Q636">
        <f t="shared" si="39"/>
        <v>220</v>
      </c>
      <c r="R636">
        <v>6</v>
      </c>
      <c r="S636">
        <v>7</v>
      </c>
      <c r="T636">
        <f>Table[[#This Row],[NumWebPurchases]]+Table[[#This Row],[NumStorePurchases]]</f>
        <v>13</v>
      </c>
    </row>
    <row r="637" spans="1:20" ht="12.5">
      <c r="A637" s="6">
        <v>635</v>
      </c>
      <c r="B637" s="6">
        <v>8461</v>
      </c>
      <c r="C637" s="6">
        <v>1962</v>
      </c>
      <c r="D637" s="6">
        <f t="shared" si="36"/>
        <v>63</v>
      </c>
      <c r="E637" s="7" t="s">
        <v>9</v>
      </c>
      <c r="F637" s="7" t="s">
        <v>15</v>
      </c>
      <c r="G637" s="6">
        <v>46102</v>
      </c>
      <c r="H637" s="6" t="str" cm="1">
        <f t="array" ref="H637">_xlfn.IFS(
  G637 &lt; 25000, "Low",
  AND(G637 &gt;= 25000, G637 &lt; 75000), "Medium",
  AND(G637 &gt;= 75000, G637 &lt; 150000), "High",
  G637 &gt;= 150000, "Very High"
)</f>
        <v>Medium</v>
      </c>
      <c r="I637" s="6">
        <v>2</v>
      </c>
      <c r="J637" s="6">
        <v>1</v>
      </c>
      <c r="K637" s="6">
        <f t="shared" si="37"/>
        <v>3</v>
      </c>
      <c r="L637" s="8">
        <v>41708</v>
      </c>
      <c r="M637" t="str">
        <f t="shared" ca="1" si="38"/>
        <v>11 years, 11 months</v>
      </c>
      <c r="N637" s="6">
        <v>3</v>
      </c>
      <c r="O637">
        <v>0</v>
      </c>
      <c r="P637">
        <v>0</v>
      </c>
      <c r="Q637">
        <f t="shared" si="39"/>
        <v>0</v>
      </c>
      <c r="R637">
        <v>1</v>
      </c>
      <c r="S637">
        <v>2</v>
      </c>
      <c r="T637">
        <f>Table[[#This Row],[NumWebPurchases]]+Table[[#This Row],[NumStorePurchases]]</f>
        <v>3</v>
      </c>
    </row>
    <row r="638" spans="1:20" ht="12.5">
      <c r="A638" s="6">
        <v>636</v>
      </c>
      <c r="B638" s="6">
        <v>6945</v>
      </c>
      <c r="C638" s="6">
        <v>1952</v>
      </c>
      <c r="D638" s="6">
        <f t="shared" si="36"/>
        <v>73</v>
      </c>
      <c r="E638" s="7" t="s">
        <v>9</v>
      </c>
      <c r="F638" s="7" t="s">
        <v>10</v>
      </c>
      <c r="G638" s="6">
        <v>84574</v>
      </c>
      <c r="H638" s="6" t="str" cm="1">
        <f t="array" ref="H638">_xlfn.IFS(
  G638 &lt; 25000, "Low",
  AND(G638 &gt;= 25000, G638 &lt; 75000), "Medium",
  AND(G638 &gt;= 75000, G638 &lt; 150000), "High",
  G638 &gt;= 150000, "Very High"
)</f>
        <v>High</v>
      </c>
      <c r="I638" s="6">
        <v>0</v>
      </c>
      <c r="J638" s="6">
        <v>0</v>
      </c>
      <c r="K638" s="6">
        <f t="shared" si="37"/>
        <v>0</v>
      </c>
      <c r="L638" s="8">
        <v>41429</v>
      </c>
      <c r="M638" t="str">
        <f t="shared" ca="1" si="38"/>
        <v>12 years, 9 months</v>
      </c>
      <c r="N638" s="6">
        <v>72</v>
      </c>
      <c r="O638">
        <v>20</v>
      </c>
      <c r="P638">
        <v>54</v>
      </c>
      <c r="Q638">
        <f t="shared" si="39"/>
        <v>74</v>
      </c>
      <c r="R638">
        <v>9</v>
      </c>
      <c r="S638">
        <v>11</v>
      </c>
      <c r="T638">
        <f>Table[[#This Row],[NumWebPurchases]]+Table[[#This Row],[NumStorePurchases]]</f>
        <v>20</v>
      </c>
    </row>
    <row r="639" spans="1:20" ht="12.5">
      <c r="A639" s="6">
        <v>637</v>
      </c>
      <c r="B639" s="6">
        <v>944</v>
      </c>
      <c r="C639" s="6">
        <v>1962</v>
      </c>
      <c r="D639" s="6">
        <f t="shared" si="36"/>
        <v>63</v>
      </c>
      <c r="E639" s="7" t="s">
        <v>9</v>
      </c>
      <c r="F639" s="7" t="s">
        <v>13</v>
      </c>
      <c r="G639" s="6">
        <v>56181</v>
      </c>
      <c r="H639" s="6" t="str" cm="1">
        <f t="array" ref="H639">_xlfn.IFS(
  G639 &lt; 25000, "Low",
  AND(G639 &gt;= 25000, G639 &lt; 75000), "Medium",
  AND(G639 &gt;= 75000, G639 &lt; 150000), "High",
  G639 &gt;= 150000, "Very High"
)</f>
        <v>Medium</v>
      </c>
      <c r="I639" s="6">
        <v>0</v>
      </c>
      <c r="J639" s="6">
        <v>1</v>
      </c>
      <c r="K639" s="6">
        <f t="shared" si="37"/>
        <v>1</v>
      </c>
      <c r="L639" s="8">
        <v>41282</v>
      </c>
      <c r="M639" t="str">
        <f t="shared" ca="1" si="38"/>
        <v>13 years, 1 months</v>
      </c>
      <c r="N639" s="6">
        <v>6</v>
      </c>
      <c r="O639">
        <v>103</v>
      </c>
      <c r="P639">
        <v>44</v>
      </c>
      <c r="Q639">
        <f t="shared" si="39"/>
        <v>147</v>
      </c>
      <c r="R639">
        <v>4</v>
      </c>
      <c r="S639">
        <v>7</v>
      </c>
      <c r="T639">
        <f>Table[[#This Row],[NumWebPurchases]]+Table[[#This Row],[NumStorePurchases]]</f>
        <v>11</v>
      </c>
    </row>
    <row r="640" spans="1:20" ht="12.5">
      <c r="A640" s="6">
        <v>638</v>
      </c>
      <c r="B640" s="6">
        <v>1907</v>
      </c>
      <c r="C640" s="6">
        <v>1950</v>
      </c>
      <c r="D640" s="6">
        <f t="shared" si="36"/>
        <v>75</v>
      </c>
      <c r="E640" s="7" t="s">
        <v>14</v>
      </c>
      <c r="F640" s="7" t="s">
        <v>15</v>
      </c>
      <c r="G640" s="6">
        <v>63120</v>
      </c>
      <c r="H640" s="6" t="str" cm="1">
        <f t="array" ref="H640">_xlfn.IFS(
  G640 &lt; 25000, "Low",
  AND(G640 &gt;= 25000, G640 &lt; 75000), "Medium",
  AND(G640 &gt;= 75000, G640 &lt; 150000), "High",
  G640 &gt;= 150000, "Very High"
)</f>
        <v>Medium</v>
      </c>
      <c r="I640" s="6">
        <v>0</v>
      </c>
      <c r="J640" s="6">
        <v>1</v>
      </c>
      <c r="K640" s="6">
        <f t="shared" si="37"/>
        <v>1</v>
      </c>
      <c r="L640" s="8">
        <v>41180</v>
      </c>
      <c r="M640" t="str">
        <f t="shared" ca="1" si="38"/>
        <v>13 years, 5 months</v>
      </c>
      <c r="N640" s="6">
        <v>53</v>
      </c>
      <c r="O640">
        <v>69</v>
      </c>
      <c r="P640">
        <v>41</v>
      </c>
      <c r="Q640">
        <f t="shared" si="39"/>
        <v>110</v>
      </c>
      <c r="R640">
        <v>8</v>
      </c>
      <c r="S640">
        <v>9</v>
      </c>
      <c r="T640">
        <f>Table[[#This Row],[NumWebPurchases]]+Table[[#This Row],[NumStorePurchases]]</f>
        <v>17</v>
      </c>
    </row>
    <row r="641" spans="1:20" ht="12.5">
      <c r="A641" s="6">
        <v>639</v>
      </c>
      <c r="B641" s="6">
        <v>701</v>
      </c>
      <c r="C641" s="6">
        <v>1971</v>
      </c>
      <c r="D641" s="6">
        <f t="shared" si="36"/>
        <v>54</v>
      </c>
      <c r="E641" s="7" t="s">
        <v>9</v>
      </c>
      <c r="F641" s="7" t="s">
        <v>13</v>
      </c>
      <c r="G641" s="6">
        <v>73691</v>
      </c>
      <c r="H641" s="6" t="str" cm="1">
        <f t="array" ref="H641">_xlfn.IFS(
  G641 &lt; 25000, "Low",
  AND(G641 &gt;= 25000, G641 &lt; 75000), "Medium",
  AND(G641 &gt;= 75000, G641 &lt; 150000), "High",
  G641 &gt;= 150000, "Very High"
)</f>
        <v>Medium</v>
      </c>
      <c r="I641" s="6">
        <v>0</v>
      </c>
      <c r="J641" s="6">
        <v>1</v>
      </c>
      <c r="K641" s="6">
        <f t="shared" si="37"/>
        <v>1</v>
      </c>
      <c r="L641" s="8">
        <v>41584</v>
      </c>
      <c r="M641" t="str">
        <f t="shared" ca="1" si="38"/>
        <v>12 years, 4 months</v>
      </c>
      <c r="N641" s="6">
        <v>58</v>
      </c>
      <c r="O641">
        <v>21</v>
      </c>
      <c r="P641">
        <v>43</v>
      </c>
      <c r="Q641">
        <f t="shared" si="39"/>
        <v>64</v>
      </c>
      <c r="R641">
        <v>6</v>
      </c>
      <c r="S641">
        <v>8</v>
      </c>
      <c r="T641">
        <f>Table[[#This Row],[NumWebPurchases]]+Table[[#This Row],[NumStorePurchases]]</f>
        <v>14</v>
      </c>
    </row>
    <row r="642" spans="1:20" ht="12.5">
      <c r="A642" s="6">
        <v>640</v>
      </c>
      <c r="B642" s="6">
        <v>3856</v>
      </c>
      <c r="C642" s="6">
        <v>1960</v>
      </c>
      <c r="D642" s="6">
        <f t="shared" si="36"/>
        <v>65</v>
      </c>
      <c r="E642" s="7" t="s">
        <v>9</v>
      </c>
      <c r="F642" s="7" t="s">
        <v>11</v>
      </c>
      <c r="G642" s="6">
        <v>63381</v>
      </c>
      <c r="H642" s="6" t="str" cm="1">
        <f t="array" ref="H642">_xlfn.IFS(
  G642 &lt; 25000, "Low",
  AND(G642 &gt;= 25000, G642 &lt; 75000), "Medium",
  AND(G642 &gt;= 75000, G642 &lt; 150000), "High",
  G642 &gt;= 150000, "Very High"
)</f>
        <v>Medium</v>
      </c>
      <c r="I642" s="6">
        <v>0</v>
      </c>
      <c r="J642" s="6">
        <v>1</v>
      </c>
      <c r="K642" s="6">
        <f t="shared" si="37"/>
        <v>1</v>
      </c>
      <c r="L642" s="8">
        <v>41187</v>
      </c>
      <c r="M642" t="str">
        <f t="shared" ca="1" si="38"/>
        <v>13 years, 5 months</v>
      </c>
      <c r="N642" s="6">
        <v>78</v>
      </c>
      <c r="O642">
        <v>50</v>
      </c>
      <c r="P642">
        <v>50</v>
      </c>
      <c r="Q642">
        <f t="shared" si="39"/>
        <v>100</v>
      </c>
      <c r="R642">
        <v>4</v>
      </c>
      <c r="S642">
        <v>13</v>
      </c>
      <c r="T642">
        <f>Table[[#This Row],[NumWebPurchases]]+Table[[#This Row],[NumStorePurchases]]</f>
        <v>17</v>
      </c>
    </row>
    <row r="643" spans="1:20" ht="12.5">
      <c r="A643" s="6">
        <v>641</v>
      </c>
      <c r="B643" s="6">
        <v>4149</v>
      </c>
      <c r="C643" s="6">
        <v>1948</v>
      </c>
      <c r="D643" s="6">
        <f t="shared" ref="D643:D706" si="40">2025-C643</f>
        <v>77</v>
      </c>
      <c r="E643" s="7" t="s">
        <v>12</v>
      </c>
      <c r="F643" s="7" t="s">
        <v>11</v>
      </c>
      <c r="G643" s="6">
        <v>76140</v>
      </c>
      <c r="H643" s="6" t="str" cm="1">
        <f t="array" ref="H643">_xlfn.IFS(
  G643 &lt; 25000, "Low",
  AND(G643 &gt;= 25000, G643 &lt; 75000), "Medium",
  AND(G643 &gt;= 75000, G643 &lt; 150000), "High",
  G643 &gt;= 150000, "Very High"
)</f>
        <v>High</v>
      </c>
      <c r="I643" s="6">
        <v>0</v>
      </c>
      <c r="J643" s="6">
        <v>0</v>
      </c>
      <c r="K643" s="6">
        <f t="shared" ref="K643:K706" si="41">I643+J643</f>
        <v>0</v>
      </c>
      <c r="L643" s="8">
        <v>41772</v>
      </c>
      <c r="M643" t="str">
        <f t="shared" ref="M643:M706" ca="1" si="42">DATEDIF(L643, TODAY(), "Y") &amp; " years, " &amp; DATEDIF(L643, TODAY(), "YM") &amp; " months"</f>
        <v>11 years, 9 months</v>
      </c>
      <c r="N643" s="6">
        <v>57</v>
      </c>
      <c r="O643">
        <v>66</v>
      </c>
      <c r="P643">
        <v>0</v>
      </c>
      <c r="Q643">
        <f t="shared" ref="Q643:Q706" si="43">O643+P643</f>
        <v>66</v>
      </c>
      <c r="R643">
        <v>5</v>
      </c>
      <c r="S643">
        <v>6</v>
      </c>
      <c r="T643">
        <f>Table[[#This Row],[NumWebPurchases]]+Table[[#This Row],[NumStorePurchases]]</f>
        <v>11</v>
      </c>
    </row>
    <row r="644" spans="1:20" ht="12.5">
      <c r="A644" s="6">
        <v>642</v>
      </c>
      <c r="B644" s="6">
        <v>2131</v>
      </c>
      <c r="C644" s="6">
        <v>1959</v>
      </c>
      <c r="D644" s="6">
        <f t="shared" si="40"/>
        <v>66</v>
      </c>
      <c r="E644" s="7" t="s">
        <v>12</v>
      </c>
      <c r="F644" s="7" t="s">
        <v>15</v>
      </c>
      <c r="G644" s="6">
        <v>62859</v>
      </c>
      <c r="H644" s="6" t="str" cm="1">
        <f t="array" ref="H644">_xlfn.IFS(
  G644 &lt; 25000, "Low",
  AND(G644 &gt;= 25000, G644 &lt; 75000), "Medium",
  AND(G644 &gt;= 75000, G644 &lt; 150000), "High",
  G644 &gt;= 150000, "Very High"
)</f>
        <v>Medium</v>
      </c>
      <c r="I644" s="6">
        <v>0</v>
      </c>
      <c r="J644" s="6">
        <v>1</v>
      </c>
      <c r="K644" s="6">
        <f t="shared" si="41"/>
        <v>1</v>
      </c>
      <c r="L644" s="9">
        <v>41273</v>
      </c>
      <c r="M644" t="str">
        <f t="shared" ca="1" si="42"/>
        <v>13 years, 2 months</v>
      </c>
      <c r="N644" s="6">
        <v>37</v>
      </c>
      <c r="O644">
        <v>89</v>
      </c>
      <c r="P644">
        <v>12</v>
      </c>
      <c r="Q644">
        <f t="shared" si="43"/>
        <v>101</v>
      </c>
      <c r="R644">
        <v>9</v>
      </c>
      <c r="S644">
        <v>6</v>
      </c>
      <c r="T644">
        <f>Table[[#This Row],[NumWebPurchases]]+Table[[#This Row],[NumStorePurchases]]</f>
        <v>15</v>
      </c>
    </row>
    <row r="645" spans="1:20" ht="12.5">
      <c r="A645" s="6">
        <v>643</v>
      </c>
      <c r="B645" s="6">
        <v>2942</v>
      </c>
      <c r="C645" s="6">
        <v>1964</v>
      </c>
      <c r="D645" s="6">
        <f t="shared" si="40"/>
        <v>61</v>
      </c>
      <c r="E645" s="7" t="s">
        <v>9</v>
      </c>
      <c r="F645" s="7" t="s">
        <v>10</v>
      </c>
      <c r="G645" s="6">
        <v>45906</v>
      </c>
      <c r="H645" s="6" t="str" cm="1">
        <f t="array" ref="H645">_xlfn.IFS(
  G645 &lt; 25000, "Low",
  AND(G645 &gt;= 25000, G645 &lt; 75000), "Medium",
  AND(G645 &gt;= 75000, G645 &lt; 150000), "High",
  G645 &gt;= 150000, "Very High"
)</f>
        <v>Medium</v>
      </c>
      <c r="I645" s="6">
        <v>0</v>
      </c>
      <c r="J645" s="6">
        <v>1</v>
      </c>
      <c r="K645" s="6">
        <f t="shared" si="41"/>
        <v>1</v>
      </c>
      <c r="L645" s="8">
        <v>41401</v>
      </c>
      <c r="M645" t="str">
        <f t="shared" ca="1" si="42"/>
        <v>12 years, 9 months</v>
      </c>
      <c r="N645" s="6">
        <v>20</v>
      </c>
      <c r="O645">
        <v>3</v>
      </c>
      <c r="P645">
        <v>3</v>
      </c>
      <c r="Q645">
        <f t="shared" si="43"/>
        <v>6</v>
      </c>
      <c r="R645">
        <v>5</v>
      </c>
      <c r="S645">
        <v>4</v>
      </c>
      <c r="T645">
        <f>Table[[#This Row],[NumWebPurchases]]+Table[[#This Row],[NumStorePurchases]]</f>
        <v>9</v>
      </c>
    </row>
    <row r="646" spans="1:20" ht="12.5">
      <c r="A646" s="6">
        <v>644</v>
      </c>
      <c r="B646" s="6">
        <v>1173</v>
      </c>
      <c r="C646" s="6">
        <v>1947</v>
      </c>
      <c r="D646" s="6">
        <f t="shared" si="40"/>
        <v>78</v>
      </c>
      <c r="E646" s="7" t="s">
        <v>14</v>
      </c>
      <c r="F646" s="7" t="s">
        <v>11</v>
      </c>
      <c r="G646" s="6">
        <v>77632</v>
      </c>
      <c r="H646" s="6" t="str" cm="1">
        <f t="array" ref="H646">_xlfn.IFS(
  G646 &lt; 25000, "Low",
  AND(G646 &gt;= 25000, G646 &lt; 75000), "Medium",
  AND(G646 &gt;= 75000, G646 &lt; 150000), "High",
  G646 &gt;= 150000, "Very High"
)</f>
        <v>High</v>
      </c>
      <c r="I646" s="6">
        <v>0</v>
      </c>
      <c r="J646" s="6">
        <v>0</v>
      </c>
      <c r="K646" s="6">
        <f t="shared" si="41"/>
        <v>0</v>
      </c>
      <c r="L646" s="8">
        <v>41343</v>
      </c>
      <c r="M646" t="str">
        <f t="shared" ca="1" si="42"/>
        <v>12 years, 11 months</v>
      </c>
      <c r="N646" s="6">
        <v>73</v>
      </c>
      <c r="O646">
        <v>105</v>
      </c>
      <c r="P646">
        <v>42</v>
      </c>
      <c r="Q646">
        <f t="shared" si="43"/>
        <v>147</v>
      </c>
      <c r="R646">
        <v>4</v>
      </c>
      <c r="S646">
        <v>6</v>
      </c>
      <c r="T646">
        <f>Table[[#This Row],[NumWebPurchases]]+Table[[#This Row],[NumStorePurchases]]</f>
        <v>10</v>
      </c>
    </row>
    <row r="647" spans="1:20" ht="12.5">
      <c r="A647" s="6">
        <v>645</v>
      </c>
      <c r="B647" s="6">
        <v>4381</v>
      </c>
      <c r="C647" s="6">
        <v>1971</v>
      </c>
      <c r="D647" s="6">
        <f t="shared" si="40"/>
        <v>54</v>
      </c>
      <c r="E647" s="7" t="s">
        <v>12</v>
      </c>
      <c r="F647" s="7" t="s">
        <v>13</v>
      </c>
      <c r="G647" s="6">
        <v>46463</v>
      </c>
      <c r="H647" s="6" t="str" cm="1">
        <f t="array" ref="H647">_xlfn.IFS(
  G647 &lt; 25000, "Low",
  AND(G647 &gt;= 25000, G647 &lt; 75000), "Medium",
  AND(G647 &gt;= 75000, G647 &lt; 150000), "High",
  G647 &gt;= 150000, "Very High"
)</f>
        <v>Medium</v>
      </c>
      <c r="I647" s="6">
        <v>1</v>
      </c>
      <c r="J647" s="6">
        <v>1</v>
      </c>
      <c r="K647" s="6">
        <f t="shared" si="41"/>
        <v>2</v>
      </c>
      <c r="L647" s="8">
        <v>41504</v>
      </c>
      <c r="M647" t="str">
        <f t="shared" ca="1" si="42"/>
        <v>12 years, 6 months</v>
      </c>
      <c r="N647" s="6">
        <v>56</v>
      </c>
      <c r="O647">
        <v>2</v>
      </c>
      <c r="P647">
        <v>11</v>
      </c>
      <c r="Q647">
        <f t="shared" si="43"/>
        <v>13</v>
      </c>
      <c r="R647">
        <v>3</v>
      </c>
      <c r="S647">
        <v>6</v>
      </c>
      <c r="T647">
        <f>Table[[#This Row],[NumWebPurchases]]+Table[[#This Row],[NumStorePurchases]]</f>
        <v>9</v>
      </c>
    </row>
    <row r="648" spans="1:20" ht="12.5">
      <c r="A648" s="6">
        <v>646</v>
      </c>
      <c r="B648" s="6">
        <v>4611</v>
      </c>
      <c r="C648" s="6">
        <v>1970</v>
      </c>
      <c r="D648" s="6">
        <f t="shared" si="40"/>
        <v>55</v>
      </c>
      <c r="E648" s="7" t="s">
        <v>9</v>
      </c>
      <c r="F648" s="7" t="s">
        <v>11</v>
      </c>
      <c r="G648" s="6">
        <v>105471</v>
      </c>
      <c r="H648" s="6" t="str" cm="1">
        <f t="array" ref="H648">_xlfn.IFS(
  G648 &lt; 25000, "Low",
  AND(G648 &gt;= 25000, G648 &lt; 75000), "Medium",
  AND(G648 &gt;= 75000, G648 &lt; 150000), "High",
  G648 &gt;= 150000, "Very High"
)</f>
        <v>High</v>
      </c>
      <c r="I648" s="6">
        <v>0</v>
      </c>
      <c r="J648" s="6">
        <v>0</v>
      </c>
      <c r="K648" s="6">
        <f t="shared" si="41"/>
        <v>0</v>
      </c>
      <c r="L648" s="8">
        <v>41295</v>
      </c>
      <c r="M648" t="str">
        <f t="shared" ca="1" si="42"/>
        <v>13 years, 1 months</v>
      </c>
      <c r="N648" s="6">
        <v>36</v>
      </c>
      <c r="O648">
        <v>181</v>
      </c>
      <c r="P648">
        <v>21</v>
      </c>
      <c r="Q648">
        <f t="shared" si="43"/>
        <v>202</v>
      </c>
      <c r="R648">
        <v>9</v>
      </c>
      <c r="S648">
        <v>13</v>
      </c>
      <c r="T648">
        <f>Table[[#This Row],[NumWebPurchases]]+Table[[#This Row],[NumStorePurchases]]</f>
        <v>22</v>
      </c>
    </row>
    <row r="649" spans="1:20" ht="12.5">
      <c r="A649" s="6">
        <v>647</v>
      </c>
      <c r="B649" s="6">
        <v>3376</v>
      </c>
      <c r="C649" s="6">
        <v>1970</v>
      </c>
      <c r="D649" s="6">
        <f t="shared" si="40"/>
        <v>55</v>
      </c>
      <c r="E649" s="7" t="s">
        <v>14</v>
      </c>
      <c r="F649" s="7" t="s">
        <v>15</v>
      </c>
      <c r="G649" s="6">
        <v>55282</v>
      </c>
      <c r="H649" s="6" t="str" cm="1">
        <f t="array" ref="H649">_xlfn.IFS(
  G649 &lt; 25000, "Low",
  AND(G649 &gt;= 25000, G649 &lt; 75000), "Medium",
  AND(G649 &gt;= 75000, G649 &lt; 150000), "High",
  G649 &gt;= 150000, "Very High"
)</f>
        <v>Medium</v>
      </c>
      <c r="I649" s="6">
        <v>1</v>
      </c>
      <c r="J649" s="6">
        <v>0</v>
      </c>
      <c r="K649" s="6">
        <f t="shared" si="41"/>
        <v>1</v>
      </c>
      <c r="L649" s="9">
        <v>41621</v>
      </c>
      <c r="M649" t="str">
        <f t="shared" ca="1" si="42"/>
        <v>12 years, 2 months</v>
      </c>
      <c r="N649" s="6">
        <v>9</v>
      </c>
      <c r="O649">
        <v>6</v>
      </c>
      <c r="P649">
        <v>4</v>
      </c>
      <c r="Q649">
        <f t="shared" si="43"/>
        <v>10</v>
      </c>
      <c r="R649">
        <v>3</v>
      </c>
      <c r="S649">
        <v>6</v>
      </c>
      <c r="T649">
        <f>Table[[#This Row],[NumWebPurchases]]+Table[[#This Row],[NumStorePurchases]]</f>
        <v>9</v>
      </c>
    </row>
    <row r="650" spans="1:20" ht="12.5">
      <c r="A650" s="6">
        <v>648</v>
      </c>
      <c r="B650" s="6">
        <v>4679</v>
      </c>
      <c r="C650" s="6">
        <v>1977</v>
      </c>
      <c r="D650" s="6">
        <f t="shared" si="40"/>
        <v>48</v>
      </c>
      <c r="E650" s="7" t="s">
        <v>14</v>
      </c>
      <c r="F650" s="7" t="s">
        <v>13</v>
      </c>
      <c r="G650" s="6">
        <v>78710</v>
      </c>
      <c r="H650" s="6" t="str" cm="1">
        <f t="array" ref="H650">_xlfn.IFS(
  G650 &lt; 25000, "Low",
  AND(G650 &gt;= 25000, G650 &lt; 75000), "Medium",
  AND(G650 &gt;= 75000, G650 &lt; 150000), "High",
  G650 &gt;= 150000, "Very High"
)</f>
        <v>High</v>
      </c>
      <c r="I650" s="6">
        <v>0</v>
      </c>
      <c r="J650" s="6">
        <v>1</v>
      </c>
      <c r="K650" s="6">
        <f t="shared" si="41"/>
        <v>1</v>
      </c>
      <c r="L650" s="8">
        <v>41782</v>
      </c>
      <c r="M650" t="str">
        <f t="shared" ca="1" si="42"/>
        <v>11 years, 9 months</v>
      </c>
      <c r="N650" s="6">
        <v>42</v>
      </c>
      <c r="O650">
        <v>0</v>
      </c>
      <c r="P650">
        <v>50</v>
      </c>
      <c r="Q650">
        <f t="shared" si="43"/>
        <v>50</v>
      </c>
      <c r="R650">
        <v>7</v>
      </c>
      <c r="S650">
        <v>12</v>
      </c>
      <c r="T650">
        <f>Table[[#This Row],[NumWebPurchases]]+Table[[#This Row],[NumStorePurchases]]</f>
        <v>19</v>
      </c>
    </row>
    <row r="651" spans="1:20" ht="12.5">
      <c r="A651" s="6">
        <v>649</v>
      </c>
      <c r="B651" s="6">
        <v>10928</v>
      </c>
      <c r="C651" s="6">
        <v>1958</v>
      </c>
      <c r="D651" s="6">
        <f t="shared" si="40"/>
        <v>67</v>
      </c>
      <c r="E651" s="7" t="s">
        <v>9</v>
      </c>
      <c r="F651" s="7" t="s">
        <v>11</v>
      </c>
      <c r="G651" s="6">
        <v>66886</v>
      </c>
      <c r="H651" s="6" t="str" cm="1">
        <f t="array" ref="H651">_xlfn.IFS(
  G651 &lt; 25000, "Low",
  AND(G651 &gt;= 25000, G651 &lt; 75000), "Medium",
  AND(G651 &gt;= 75000, G651 &lt; 150000), "High",
  G651 &gt;= 150000, "Very High"
)</f>
        <v>Medium</v>
      </c>
      <c r="I651" s="6">
        <v>0</v>
      </c>
      <c r="J651" s="6">
        <v>1</v>
      </c>
      <c r="K651" s="6">
        <f t="shared" si="41"/>
        <v>1</v>
      </c>
      <c r="L651" s="8">
        <v>41533</v>
      </c>
      <c r="M651" t="str">
        <f t="shared" ca="1" si="42"/>
        <v>12 years, 5 months</v>
      </c>
      <c r="N651" s="6">
        <v>28</v>
      </c>
      <c r="O651">
        <v>4</v>
      </c>
      <c r="P651">
        <v>31</v>
      </c>
      <c r="Q651">
        <f t="shared" si="43"/>
        <v>35</v>
      </c>
      <c r="R651">
        <v>7</v>
      </c>
      <c r="S651">
        <v>7</v>
      </c>
      <c r="T651">
        <f>Table[[#This Row],[NumWebPurchases]]+Table[[#This Row],[NumStorePurchases]]</f>
        <v>14</v>
      </c>
    </row>
    <row r="652" spans="1:20" ht="12.5">
      <c r="A652" s="6">
        <v>650</v>
      </c>
      <c r="B652" s="6">
        <v>4248</v>
      </c>
      <c r="C652" s="6">
        <v>1960</v>
      </c>
      <c r="D652" s="6">
        <f t="shared" si="40"/>
        <v>65</v>
      </c>
      <c r="E652" s="7" t="s">
        <v>14</v>
      </c>
      <c r="F652" s="7" t="s">
        <v>10</v>
      </c>
      <c r="G652" s="6">
        <v>98777</v>
      </c>
      <c r="H652" s="6" t="str" cm="1">
        <f t="array" ref="H652">_xlfn.IFS(
  G652 &lt; 25000, "Low",
  AND(G652 &gt;= 25000, G652 &lt; 75000), "Medium",
  AND(G652 &gt;= 75000, G652 &lt; 150000), "High",
  G652 &gt;= 150000, "Very High"
)</f>
        <v>High</v>
      </c>
      <c r="I652" s="6">
        <v>0</v>
      </c>
      <c r="J652" s="6">
        <v>0</v>
      </c>
      <c r="K652" s="6">
        <f t="shared" si="41"/>
        <v>0</v>
      </c>
      <c r="L652" s="8">
        <v>41687</v>
      </c>
      <c r="M652" t="str">
        <f t="shared" ca="1" si="42"/>
        <v>12 years, 0 months</v>
      </c>
      <c r="N652" s="6">
        <v>23</v>
      </c>
      <c r="O652">
        <v>19</v>
      </c>
      <c r="P652">
        <v>115</v>
      </c>
      <c r="Q652">
        <f t="shared" si="43"/>
        <v>134</v>
      </c>
      <c r="R652">
        <v>4</v>
      </c>
      <c r="S652">
        <v>9</v>
      </c>
      <c r="T652">
        <f>Table[[#This Row],[NumWebPurchases]]+Table[[#This Row],[NumStorePurchases]]</f>
        <v>13</v>
      </c>
    </row>
    <row r="653" spans="1:20" ht="12.5">
      <c r="A653" s="6">
        <v>651</v>
      </c>
      <c r="B653" s="6">
        <v>6728</v>
      </c>
      <c r="C653" s="6">
        <v>1985</v>
      </c>
      <c r="D653" s="6">
        <f t="shared" si="40"/>
        <v>40</v>
      </c>
      <c r="E653" s="7" t="s">
        <v>9</v>
      </c>
      <c r="F653" s="7" t="s">
        <v>11</v>
      </c>
      <c r="G653" s="6">
        <v>29103</v>
      </c>
      <c r="H653" s="6" t="str" cm="1">
        <f t="array" ref="H653">_xlfn.IFS(
  G653 &lt; 25000, "Low",
  AND(G653 &gt;= 25000, G653 &lt; 75000), "Medium",
  AND(G653 &gt;= 75000, G653 &lt; 150000), "High",
  G653 &gt;= 150000, "Very High"
)</f>
        <v>Medium</v>
      </c>
      <c r="I653" s="6">
        <v>1</v>
      </c>
      <c r="J653" s="6">
        <v>0</v>
      </c>
      <c r="K653" s="6">
        <f t="shared" si="41"/>
        <v>1</v>
      </c>
      <c r="L653" s="8">
        <v>41148</v>
      </c>
      <c r="M653" t="str">
        <f t="shared" ca="1" si="42"/>
        <v>13 years, 6 months</v>
      </c>
      <c r="N653" s="6">
        <v>38</v>
      </c>
      <c r="O653">
        <v>0</v>
      </c>
      <c r="P653">
        <v>3</v>
      </c>
      <c r="Q653">
        <f t="shared" si="43"/>
        <v>3</v>
      </c>
      <c r="R653">
        <v>1</v>
      </c>
      <c r="S653">
        <v>3</v>
      </c>
      <c r="T653">
        <f>Table[[#This Row],[NumWebPurchases]]+Table[[#This Row],[NumStorePurchases]]</f>
        <v>4</v>
      </c>
    </row>
    <row r="654" spans="1:20" ht="12.5">
      <c r="A654" s="6">
        <v>652</v>
      </c>
      <c r="B654" s="6">
        <v>6661</v>
      </c>
      <c r="C654" s="6">
        <v>1974</v>
      </c>
      <c r="D654" s="6">
        <f t="shared" si="40"/>
        <v>51</v>
      </c>
      <c r="E654" s="7" t="s">
        <v>9</v>
      </c>
      <c r="F654" s="7" t="s">
        <v>13</v>
      </c>
      <c r="G654" s="6">
        <v>67445</v>
      </c>
      <c r="H654" s="6" t="str" cm="1">
        <f t="array" ref="H654">_xlfn.IFS(
  G654 &lt; 25000, "Low",
  AND(G654 &gt;= 25000, G654 &lt; 75000), "Medium",
  AND(G654 &gt;= 75000, G654 &lt; 150000), "High",
  G654 &gt;= 150000, "Very High"
)</f>
        <v>Medium</v>
      </c>
      <c r="I654" s="6">
        <v>0</v>
      </c>
      <c r="J654" s="6">
        <v>1</v>
      </c>
      <c r="K654" s="6">
        <f t="shared" si="41"/>
        <v>1</v>
      </c>
      <c r="L654" s="8">
        <v>41133</v>
      </c>
      <c r="M654" t="str">
        <f t="shared" ca="1" si="42"/>
        <v>13 years, 6 months</v>
      </c>
      <c r="N654" s="6">
        <v>63</v>
      </c>
      <c r="O654">
        <v>80</v>
      </c>
      <c r="P654">
        <v>80</v>
      </c>
      <c r="Q654">
        <f t="shared" si="43"/>
        <v>160</v>
      </c>
      <c r="R654">
        <v>9</v>
      </c>
      <c r="S654">
        <v>12</v>
      </c>
      <c r="T654">
        <f>Table[[#This Row],[NumWebPurchases]]+Table[[#This Row],[NumStorePurchases]]</f>
        <v>21</v>
      </c>
    </row>
    <row r="655" spans="1:20" ht="12.5">
      <c r="A655" s="6">
        <v>653</v>
      </c>
      <c r="B655" s="6">
        <v>4725</v>
      </c>
      <c r="C655" s="6">
        <v>1950</v>
      </c>
      <c r="D655" s="6">
        <f t="shared" si="40"/>
        <v>75</v>
      </c>
      <c r="E655" s="7" t="s">
        <v>12</v>
      </c>
      <c r="F655" s="7" t="s">
        <v>11</v>
      </c>
      <c r="G655" s="6">
        <v>50616</v>
      </c>
      <c r="H655" s="6" t="str" cm="1">
        <f t="array" ref="H655">_xlfn.IFS(
  G655 &lt; 25000, "Low",
  AND(G655 &gt;= 25000, G655 &lt; 75000), "Medium",
  AND(G655 &gt;= 75000, G655 &lt; 150000), "High",
  G655 &gt;= 150000, "Very High"
)</f>
        <v>Medium</v>
      </c>
      <c r="I655" s="6">
        <v>0</v>
      </c>
      <c r="J655" s="6">
        <v>1</v>
      </c>
      <c r="K655" s="6">
        <f t="shared" si="41"/>
        <v>1</v>
      </c>
      <c r="L655" s="8">
        <v>41742</v>
      </c>
      <c r="M655" t="str">
        <f t="shared" ca="1" si="42"/>
        <v>11 years, 10 months</v>
      </c>
      <c r="N655" s="6">
        <v>71</v>
      </c>
      <c r="O655">
        <v>2</v>
      </c>
      <c r="P655">
        <v>1</v>
      </c>
      <c r="Q655">
        <f t="shared" si="43"/>
        <v>3</v>
      </c>
      <c r="R655">
        <v>1</v>
      </c>
      <c r="S655">
        <v>4</v>
      </c>
      <c r="T655">
        <f>Table[[#This Row],[NumWebPurchases]]+Table[[#This Row],[NumStorePurchases]]</f>
        <v>5</v>
      </c>
    </row>
    <row r="656" spans="1:20" ht="12.5">
      <c r="A656" s="6">
        <v>654</v>
      </c>
      <c r="B656" s="6">
        <v>3277</v>
      </c>
      <c r="C656" s="6">
        <v>1955</v>
      </c>
      <c r="D656" s="6">
        <f t="shared" si="40"/>
        <v>70</v>
      </c>
      <c r="E656" s="7" t="s">
        <v>9</v>
      </c>
      <c r="F656" s="7" t="s">
        <v>15</v>
      </c>
      <c r="G656" s="6">
        <v>49431</v>
      </c>
      <c r="H656" s="6" t="str" cm="1">
        <f t="array" ref="H656">_xlfn.IFS(
  G656 &lt; 25000, "Low",
  AND(G656 &gt;= 25000, G656 &lt; 75000), "Medium",
  AND(G656 &gt;= 75000, G656 &lt; 150000), "High",
  G656 &gt;= 150000, "Very High"
)</f>
        <v>Medium</v>
      </c>
      <c r="I656" s="6">
        <v>0</v>
      </c>
      <c r="J656" s="6">
        <v>1</v>
      </c>
      <c r="K656" s="6">
        <f t="shared" si="41"/>
        <v>1</v>
      </c>
      <c r="L656" s="8">
        <v>41124</v>
      </c>
      <c r="M656" t="str">
        <f t="shared" ca="1" si="42"/>
        <v>13 years, 7 months</v>
      </c>
      <c r="N656" s="6">
        <v>9</v>
      </c>
      <c r="O656">
        <v>3</v>
      </c>
      <c r="P656">
        <v>0</v>
      </c>
      <c r="Q656">
        <f t="shared" si="43"/>
        <v>3</v>
      </c>
      <c r="R656">
        <v>7</v>
      </c>
      <c r="S656">
        <v>5</v>
      </c>
      <c r="T656">
        <f>Table[[#This Row],[NumWebPurchases]]+Table[[#This Row],[NumStorePurchases]]</f>
        <v>12</v>
      </c>
    </row>
    <row r="657" spans="1:20" ht="12.5">
      <c r="A657" s="6">
        <v>655</v>
      </c>
      <c r="B657" s="6">
        <v>5555</v>
      </c>
      <c r="C657" s="6">
        <v>1975</v>
      </c>
      <c r="D657" s="6">
        <f t="shared" si="40"/>
        <v>50</v>
      </c>
      <c r="E657" s="7" t="s">
        <v>9</v>
      </c>
      <c r="F657" s="7" t="s">
        <v>15</v>
      </c>
      <c r="G657" s="6">
        <v>153924</v>
      </c>
      <c r="H657" s="6" t="str" cm="1">
        <f t="array" ref="H657">_xlfn.IFS(
  G657 &lt; 25000, "Low",
  AND(G657 &gt;= 25000, G657 &lt; 75000), "Medium",
  AND(G657 &gt;= 75000, G657 &lt; 150000), "High",
  G657 &gt;= 150000, "Very High"
)</f>
        <v>Very High</v>
      </c>
      <c r="I657" s="6">
        <v>0</v>
      </c>
      <c r="J657" s="6">
        <v>0</v>
      </c>
      <c r="K657" s="6">
        <f t="shared" si="41"/>
        <v>0</v>
      </c>
      <c r="L657" s="8">
        <v>41677</v>
      </c>
      <c r="M657" t="str">
        <f t="shared" ca="1" si="42"/>
        <v>12 years, 0 months</v>
      </c>
      <c r="N657" s="6">
        <v>81</v>
      </c>
      <c r="O657">
        <v>1</v>
      </c>
      <c r="P657">
        <v>1</v>
      </c>
      <c r="Q657">
        <f t="shared" si="43"/>
        <v>2</v>
      </c>
      <c r="R657">
        <v>0</v>
      </c>
      <c r="S657">
        <v>0</v>
      </c>
      <c r="T657">
        <f>Table[[#This Row],[NumWebPurchases]]+Table[[#This Row],[NumStorePurchases]]</f>
        <v>0</v>
      </c>
    </row>
    <row r="658" spans="1:20" ht="12.5">
      <c r="A658" s="6">
        <v>656</v>
      </c>
      <c r="B658" s="6">
        <v>2564</v>
      </c>
      <c r="C658" s="6">
        <v>1953</v>
      </c>
      <c r="D658" s="6">
        <f t="shared" si="40"/>
        <v>72</v>
      </c>
      <c r="E658" s="7" t="s">
        <v>9</v>
      </c>
      <c r="F658" s="7" t="s">
        <v>11</v>
      </c>
      <c r="G658" s="6">
        <v>61278</v>
      </c>
      <c r="H658" s="6" t="str" cm="1">
        <f t="array" ref="H658">_xlfn.IFS(
  G658 &lt; 25000, "Low",
  AND(G658 &gt;= 25000, G658 &lt; 75000), "Medium",
  AND(G658 &gt;= 75000, G658 &lt; 150000), "High",
  G658 &gt;= 150000, "Very High"
)</f>
        <v>Medium</v>
      </c>
      <c r="I658" s="6">
        <v>0</v>
      </c>
      <c r="J658" s="6">
        <v>1</v>
      </c>
      <c r="K658" s="6">
        <f t="shared" si="41"/>
        <v>1</v>
      </c>
      <c r="L658" s="8">
        <v>41643</v>
      </c>
      <c r="M658" t="str">
        <f t="shared" ca="1" si="42"/>
        <v>12 years, 2 months</v>
      </c>
      <c r="N658" s="6">
        <v>87</v>
      </c>
      <c r="O658">
        <v>3</v>
      </c>
      <c r="P658">
        <v>6</v>
      </c>
      <c r="Q658">
        <f t="shared" si="43"/>
        <v>9</v>
      </c>
      <c r="R658">
        <v>3</v>
      </c>
      <c r="S658">
        <v>4</v>
      </c>
      <c r="T658">
        <f>Table[[#This Row],[NumWebPurchases]]+Table[[#This Row],[NumStorePurchases]]</f>
        <v>7</v>
      </c>
    </row>
    <row r="659" spans="1:20" ht="12.5">
      <c r="A659" s="6">
        <v>657</v>
      </c>
      <c r="B659" s="6">
        <v>946</v>
      </c>
      <c r="C659" s="6">
        <v>1958</v>
      </c>
      <c r="D659" s="6">
        <f t="shared" si="40"/>
        <v>67</v>
      </c>
      <c r="E659" s="7" t="s">
        <v>17</v>
      </c>
      <c r="F659" s="7" t="s">
        <v>11</v>
      </c>
      <c r="G659" s="6">
        <v>26490</v>
      </c>
      <c r="H659" s="6" t="str" cm="1">
        <f t="array" ref="H659">_xlfn.IFS(
  G659 &lt; 25000, "Low",
  AND(G659 &gt;= 25000, G659 &lt; 75000), "Medium",
  AND(G659 &gt;= 75000, G659 &lt; 150000), "High",
  G659 &gt;= 150000, "Very High"
)</f>
        <v>Medium</v>
      </c>
      <c r="I659" s="6">
        <v>0</v>
      </c>
      <c r="J659" s="6">
        <v>0</v>
      </c>
      <c r="K659" s="6">
        <f t="shared" si="41"/>
        <v>0</v>
      </c>
      <c r="L659" s="8">
        <v>41174</v>
      </c>
      <c r="M659" t="str">
        <f t="shared" ca="1" si="42"/>
        <v>13 years, 5 months</v>
      </c>
      <c r="N659" s="6">
        <v>92</v>
      </c>
      <c r="O659">
        <v>47</v>
      </c>
      <c r="P659">
        <v>20</v>
      </c>
      <c r="Q659">
        <f t="shared" si="43"/>
        <v>67</v>
      </c>
      <c r="R659">
        <v>3</v>
      </c>
      <c r="S659">
        <v>5</v>
      </c>
      <c r="T659">
        <f>Table[[#This Row],[NumWebPurchases]]+Table[[#This Row],[NumStorePurchases]]</f>
        <v>8</v>
      </c>
    </row>
    <row r="660" spans="1:20" ht="12.5">
      <c r="A660" s="6">
        <v>658</v>
      </c>
      <c r="B660" s="6">
        <v>3867</v>
      </c>
      <c r="C660" s="6">
        <v>1947</v>
      </c>
      <c r="D660" s="6">
        <f t="shared" si="40"/>
        <v>78</v>
      </c>
      <c r="E660" s="7" t="s">
        <v>12</v>
      </c>
      <c r="F660" s="7" t="s">
        <v>11</v>
      </c>
      <c r="G660" s="6">
        <v>73059</v>
      </c>
      <c r="H660" s="6" t="str" cm="1">
        <f t="array" ref="H660">_xlfn.IFS(
  G660 &lt; 25000, "Low",
  AND(G660 &gt;= 25000, G660 &lt; 75000), "Medium",
  AND(G660 &gt;= 75000, G660 &lt; 150000), "High",
  G660 &gt;= 150000, "Very High"
)</f>
        <v>Medium</v>
      </c>
      <c r="I660" s="6">
        <v>0</v>
      </c>
      <c r="J660" s="6">
        <v>1</v>
      </c>
      <c r="K660" s="6">
        <f t="shared" si="41"/>
        <v>1</v>
      </c>
      <c r="L660" s="8">
        <v>41517</v>
      </c>
      <c r="M660" t="str">
        <f t="shared" ca="1" si="42"/>
        <v>12 years, 6 months</v>
      </c>
      <c r="N660" s="6">
        <v>36</v>
      </c>
      <c r="O660">
        <v>112</v>
      </c>
      <c r="P660">
        <v>82</v>
      </c>
      <c r="Q660">
        <f t="shared" si="43"/>
        <v>194</v>
      </c>
      <c r="R660">
        <v>9</v>
      </c>
      <c r="S660">
        <v>13</v>
      </c>
      <c r="T660">
        <f>Table[[#This Row],[NumWebPurchases]]+Table[[#This Row],[NumStorePurchases]]</f>
        <v>22</v>
      </c>
    </row>
    <row r="661" spans="1:20" ht="12.5">
      <c r="A661" s="6">
        <v>659</v>
      </c>
      <c r="B661" s="6">
        <v>6940</v>
      </c>
      <c r="C661" s="6">
        <v>1966</v>
      </c>
      <c r="D661" s="6">
        <f t="shared" si="40"/>
        <v>59</v>
      </c>
      <c r="E661" s="7" t="s">
        <v>12</v>
      </c>
      <c r="F661" s="7" t="s">
        <v>10</v>
      </c>
      <c r="G661" s="6">
        <v>46734</v>
      </c>
      <c r="H661" s="6" t="str" cm="1">
        <f t="array" ref="H661">_xlfn.IFS(
  G661 &lt; 25000, "Low",
  AND(G661 &gt;= 25000, G661 &lt; 75000), "Medium",
  AND(G661 &gt;= 75000, G661 &lt; 150000), "High",
  G661 &gt;= 150000, "Very High"
)</f>
        <v>Medium</v>
      </c>
      <c r="I661" s="6">
        <v>1</v>
      </c>
      <c r="J661" s="6">
        <v>2</v>
      </c>
      <c r="K661" s="6">
        <f t="shared" si="41"/>
        <v>3</v>
      </c>
      <c r="L661" s="9">
        <v>41568</v>
      </c>
      <c r="M661" t="str">
        <f t="shared" ca="1" si="42"/>
        <v>12 years, 4 months</v>
      </c>
      <c r="N661" s="6">
        <v>86</v>
      </c>
      <c r="O661">
        <v>1</v>
      </c>
      <c r="P661">
        <v>1</v>
      </c>
      <c r="Q661">
        <f t="shared" si="43"/>
        <v>2</v>
      </c>
      <c r="R661">
        <v>3</v>
      </c>
      <c r="S661">
        <v>3</v>
      </c>
      <c r="T661">
        <f>Table[[#This Row],[NumWebPurchases]]+Table[[#This Row],[NumStorePurchases]]</f>
        <v>6</v>
      </c>
    </row>
    <row r="662" spans="1:20" ht="12.5">
      <c r="A662" s="6">
        <v>660</v>
      </c>
      <c r="B662" s="6">
        <v>55</v>
      </c>
      <c r="C662" s="6">
        <v>1963</v>
      </c>
      <c r="D662" s="6">
        <f t="shared" si="40"/>
        <v>62</v>
      </c>
      <c r="E662" s="7" t="s">
        <v>9</v>
      </c>
      <c r="F662" s="7" t="s">
        <v>11</v>
      </c>
      <c r="G662" s="6">
        <v>56253</v>
      </c>
      <c r="H662" s="6" t="str" cm="1">
        <f t="array" ref="H662">_xlfn.IFS(
  G662 &lt; 25000, "Low",
  AND(G662 &gt;= 25000, G662 &lt; 75000), "Medium",
  AND(G662 &gt;= 75000, G662 &lt; 150000), "High",
  G662 &gt;= 150000, "Very High"
)</f>
        <v>Medium</v>
      </c>
      <c r="I662" s="6">
        <v>0</v>
      </c>
      <c r="J662" s="6">
        <v>1</v>
      </c>
      <c r="K662" s="6">
        <f t="shared" si="41"/>
        <v>1</v>
      </c>
      <c r="L662" s="8">
        <v>41250</v>
      </c>
      <c r="M662" t="str">
        <f t="shared" ca="1" si="42"/>
        <v>13 years, 2 months</v>
      </c>
      <c r="N662" s="6">
        <v>83</v>
      </c>
      <c r="O662">
        <v>0</v>
      </c>
      <c r="P662">
        <v>11</v>
      </c>
      <c r="Q662">
        <f t="shared" si="43"/>
        <v>11</v>
      </c>
      <c r="R662">
        <v>7</v>
      </c>
      <c r="S662">
        <v>9</v>
      </c>
      <c r="T662">
        <f>Table[[#This Row],[NumWebPurchases]]+Table[[#This Row],[NumStorePurchases]]</f>
        <v>16</v>
      </c>
    </row>
    <row r="663" spans="1:20" ht="12.5">
      <c r="A663" s="6">
        <v>661</v>
      </c>
      <c r="B663" s="6">
        <v>7093</v>
      </c>
      <c r="C663" s="6">
        <v>1985</v>
      </c>
      <c r="D663" s="6">
        <f t="shared" si="40"/>
        <v>40</v>
      </c>
      <c r="E663" s="7" t="s">
        <v>9</v>
      </c>
      <c r="F663" s="7" t="s">
        <v>13</v>
      </c>
      <c r="G663" s="6">
        <v>19986</v>
      </c>
      <c r="H663" s="6" t="str" cm="1">
        <f t="array" ref="H663">_xlfn.IFS(
  G663 &lt; 25000, "Low",
  AND(G663 &gt;= 25000, G663 &lt; 75000), "Medium",
  AND(G663 &gt;= 75000, G663 &lt; 150000), "High",
  G663 &gt;= 150000, "Very High"
)</f>
        <v>Low</v>
      </c>
      <c r="I663" s="6">
        <v>1</v>
      </c>
      <c r="J663" s="6">
        <v>0</v>
      </c>
      <c r="K663" s="6">
        <f t="shared" si="41"/>
        <v>1</v>
      </c>
      <c r="L663" s="9">
        <v>41592</v>
      </c>
      <c r="M663" t="str">
        <f t="shared" ca="1" si="42"/>
        <v>12 years, 3 months</v>
      </c>
      <c r="N663" s="6">
        <v>74</v>
      </c>
      <c r="O663">
        <v>6</v>
      </c>
      <c r="P663">
        <v>2</v>
      </c>
      <c r="Q663">
        <f t="shared" si="43"/>
        <v>8</v>
      </c>
      <c r="R663">
        <v>0</v>
      </c>
      <c r="S663">
        <v>3</v>
      </c>
      <c r="T663">
        <f>Table[[#This Row],[NumWebPurchases]]+Table[[#This Row],[NumStorePurchases]]</f>
        <v>3</v>
      </c>
    </row>
    <row r="664" spans="1:20" ht="12.5">
      <c r="A664" s="6">
        <v>662</v>
      </c>
      <c r="B664" s="6">
        <v>5084</v>
      </c>
      <c r="C664" s="6">
        <v>1975</v>
      </c>
      <c r="D664" s="6">
        <f t="shared" si="40"/>
        <v>50</v>
      </c>
      <c r="E664" s="7" t="s">
        <v>9</v>
      </c>
      <c r="F664" s="7" t="s">
        <v>18</v>
      </c>
      <c r="G664" s="6">
        <v>58330</v>
      </c>
      <c r="H664" s="6" t="str" cm="1">
        <f t="array" ref="H664">_xlfn.IFS(
  G664 &lt; 25000, "Low",
  AND(G664 &gt;= 25000, G664 &lt; 75000), "Medium",
  AND(G664 &gt;= 75000, G664 &lt; 150000), "High",
  G664 &gt;= 150000, "Very High"
)</f>
        <v>Medium</v>
      </c>
      <c r="I664" s="6">
        <v>0</v>
      </c>
      <c r="J664" s="6">
        <v>1</v>
      </c>
      <c r="K664" s="6">
        <f t="shared" si="41"/>
        <v>1</v>
      </c>
      <c r="L664" s="9">
        <v>41633</v>
      </c>
      <c r="M664" t="str">
        <f t="shared" ca="1" si="42"/>
        <v>12 years, 2 months</v>
      </c>
      <c r="N664" s="6">
        <v>87</v>
      </c>
      <c r="O664">
        <v>53</v>
      </c>
      <c r="P664">
        <v>98</v>
      </c>
      <c r="Q664">
        <f t="shared" si="43"/>
        <v>151</v>
      </c>
      <c r="R664">
        <v>6</v>
      </c>
      <c r="S664">
        <v>13</v>
      </c>
      <c r="T664">
        <f>Table[[#This Row],[NumWebPurchases]]+Table[[#This Row],[NumStorePurchases]]</f>
        <v>19</v>
      </c>
    </row>
    <row r="665" spans="1:20" ht="12.5">
      <c r="A665" s="6">
        <v>663</v>
      </c>
      <c r="B665" s="6">
        <v>1777</v>
      </c>
      <c r="C665" s="6">
        <v>1980</v>
      </c>
      <c r="D665" s="6">
        <f t="shared" si="40"/>
        <v>45</v>
      </c>
      <c r="E665" s="7" t="s">
        <v>16</v>
      </c>
      <c r="F665" s="7" t="s">
        <v>13</v>
      </c>
      <c r="G665" s="6">
        <v>25965</v>
      </c>
      <c r="H665" s="6" t="str" cm="1">
        <f t="array" ref="H665">_xlfn.IFS(
  G665 &lt; 25000, "Low",
  AND(G665 &gt;= 25000, G665 &lt; 75000), "Medium",
  AND(G665 &gt;= 75000, G665 &lt; 150000), "High",
  G665 &gt;= 150000, "Very High"
)</f>
        <v>Medium</v>
      </c>
      <c r="I665" s="6">
        <v>0</v>
      </c>
      <c r="J665" s="6">
        <v>0</v>
      </c>
      <c r="K665" s="6">
        <f t="shared" si="41"/>
        <v>0</v>
      </c>
      <c r="L665" s="8">
        <v>41159</v>
      </c>
      <c r="M665" t="str">
        <f t="shared" ca="1" si="42"/>
        <v>13 years, 5 months</v>
      </c>
      <c r="N665" s="6">
        <v>29</v>
      </c>
      <c r="O665">
        <v>2</v>
      </c>
      <c r="P665">
        <v>7</v>
      </c>
      <c r="Q665">
        <f t="shared" si="43"/>
        <v>9</v>
      </c>
      <c r="R665">
        <v>2</v>
      </c>
      <c r="S665">
        <v>3</v>
      </c>
      <c r="T665">
        <f>Table[[#This Row],[NumWebPurchases]]+Table[[#This Row],[NumStorePurchases]]</f>
        <v>5</v>
      </c>
    </row>
    <row r="666" spans="1:20" ht="12.5">
      <c r="A666" s="6">
        <v>664</v>
      </c>
      <c r="B666" s="6">
        <v>8162</v>
      </c>
      <c r="C666" s="6">
        <v>1956</v>
      </c>
      <c r="D666" s="6">
        <f t="shared" si="40"/>
        <v>69</v>
      </c>
      <c r="E666" s="7" t="s">
        <v>14</v>
      </c>
      <c r="F666" s="7" t="s">
        <v>11</v>
      </c>
      <c r="G666" s="6">
        <v>14661</v>
      </c>
      <c r="H666" s="6" t="str" cm="1">
        <f t="array" ref="H666">_xlfn.IFS(
  G666 &lt; 25000, "Low",
  AND(G666 &gt;= 25000, G666 &lt; 75000), "Medium",
  AND(G666 &gt;= 75000, G666 &lt; 150000), "High",
  G666 &gt;= 150000, "Very High"
)</f>
        <v>Low</v>
      </c>
      <c r="I666" s="6">
        <v>0</v>
      </c>
      <c r="J666" s="6">
        <v>0</v>
      </c>
      <c r="K666" s="6">
        <f t="shared" si="41"/>
        <v>0</v>
      </c>
      <c r="L666" s="8">
        <v>41275</v>
      </c>
      <c r="M666" t="str">
        <f t="shared" ca="1" si="42"/>
        <v>13 years, 2 months</v>
      </c>
      <c r="N666" s="6">
        <v>88</v>
      </c>
      <c r="O666">
        <v>1</v>
      </c>
      <c r="P666">
        <v>2</v>
      </c>
      <c r="Q666">
        <f t="shared" si="43"/>
        <v>3</v>
      </c>
      <c r="R666">
        <v>1</v>
      </c>
      <c r="S666">
        <v>3</v>
      </c>
      <c r="T666">
        <f>Table[[#This Row],[NumWebPurchases]]+Table[[#This Row],[NumStorePurchases]]</f>
        <v>4</v>
      </c>
    </row>
    <row r="667" spans="1:20" ht="12.5">
      <c r="A667" s="6">
        <v>665</v>
      </c>
      <c r="B667" s="6">
        <v>10826</v>
      </c>
      <c r="C667" s="6">
        <v>1959</v>
      </c>
      <c r="D667" s="6">
        <f t="shared" si="40"/>
        <v>66</v>
      </c>
      <c r="E667" s="7" t="s">
        <v>9</v>
      </c>
      <c r="F667" s="7" t="s">
        <v>13</v>
      </c>
      <c r="G667" s="6">
        <v>18690</v>
      </c>
      <c r="H667" s="6" t="str" cm="1">
        <f t="array" ref="H667">_xlfn.IFS(
  G667 &lt; 25000, "Low",
  AND(G667 &gt;= 25000, G667 &lt; 75000), "Medium",
  AND(G667 &gt;= 75000, G667 &lt; 150000), "High",
  G667 &gt;= 150000, "Very High"
)</f>
        <v>Low</v>
      </c>
      <c r="I667" s="6">
        <v>0</v>
      </c>
      <c r="J667" s="6">
        <v>0</v>
      </c>
      <c r="K667" s="6">
        <f t="shared" si="41"/>
        <v>0</v>
      </c>
      <c r="L667" s="9">
        <v>41271</v>
      </c>
      <c r="M667" t="str">
        <f t="shared" ca="1" si="42"/>
        <v>13 years, 2 months</v>
      </c>
      <c r="N667" s="6">
        <v>77</v>
      </c>
      <c r="O667">
        <v>1</v>
      </c>
      <c r="P667">
        <v>4</v>
      </c>
      <c r="Q667">
        <f t="shared" si="43"/>
        <v>5</v>
      </c>
      <c r="R667">
        <v>1</v>
      </c>
      <c r="S667">
        <v>2</v>
      </c>
      <c r="T667">
        <f>Table[[#This Row],[NumWebPurchases]]+Table[[#This Row],[NumStorePurchases]]</f>
        <v>3</v>
      </c>
    </row>
    <row r="668" spans="1:20" ht="12.5">
      <c r="A668" s="6">
        <v>666</v>
      </c>
      <c r="B668" s="6">
        <v>8754</v>
      </c>
      <c r="C668" s="6">
        <v>1974</v>
      </c>
      <c r="D668" s="6">
        <f t="shared" si="40"/>
        <v>51</v>
      </c>
      <c r="E668" s="7" t="s">
        <v>12</v>
      </c>
      <c r="F668" s="7" t="s">
        <v>11</v>
      </c>
      <c r="G668" s="6">
        <v>45068</v>
      </c>
      <c r="H668" s="6" t="str" cm="1">
        <f t="array" ref="H668">_xlfn.IFS(
  G668 &lt; 25000, "Low",
  AND(G668 &gt;= 25000, G668 &lt; 75000), "Medium",
  AND(G668 &gt;= 75000, G668 &lt; 150000), "High",
  G668 &gt;= 150000, "Very High"
)</f>
        <v>Medium</v>
      </c>
      <c r="I668" s="6">
        <v>0</v>
      </c>
      <c r="J668" s="6">
        <v>1</v>
      </c>
      <c r="K668" s="6">
        <f t="shared" si="41"/>
        <v>1</v>
      </c>
      <c r="L668" s="8">
        <v>41410</v>
      </c>
      <c r="M668" t="str">
        <f t="shared" ca="1" si="42"/>
        <v>12 years, 9 months</v>
      </c>
      <c r="N668" s="6">
        <v>25</v>
      </c>
      <c r="O668">
        <v>0</v>
      </c>
      <c r="P668">
        <v>0</v>
      </c>
      <c r="Q668">
        <f t="shared" si="43"/>
        <v>0</v>
      </c>
      <c r="R668">
        <v>1</v>
      </c>
      <c r="S668">
        <v>2</v>
      </c>
      <c r="T668">
        <f>Table[[#This Row],[NumWebPurchases]]+Table[[#This Row],[NumStorePurchases]]</f>
        <v>3</v>
      </c>
    </row>
    <row r="669" spans="1:20" ht="12.5">
      <c r="A669" s="6">
        <v>667</v>
      </c>
      <c r="B669" s="6">
        <v>1987</v>
      </c>
      <c r="C669" s="6">
        <v>1987</v>
      </c>
      <c r="D669" s="6">
        <f t="shared" si="40"/>
        <v>38</v>
      </c>
      <c r="E669" s="7" t="s">
        <v>16</v>
      </c>
      <c r="F669" s="7" t="s">
        <v>10</v>
      </c>
      <c r="G669" s="6">
        <v>21063</v>
      </c>
      <c r="H669" s="6" t="str" cm="1">
        <f t="array" ref="H669">_xlfn.IFS(
  G669 &lt; 25000, "Low",
  AND(G669 &gt;= 25000, G669 &lt; 75000), "Medium",
  AND(G669 &gt;= 75000, G669 &lt; 150000), "High",
  G669 &gt;= 150000, "Very High"
)</f>
        <v>Low</v>
      </c>
      <c r="I669" s="6">
        <v>1</v>
      </c>
      <c r="J669" s="6">
        <v>0</v>
      </c>
      <c r="K669" s="6">
        <f t="shared" si="41"/>
        <v>1</v>
      </c>
      <c r="L669" s="8">
        <v>41542</v>
      </c>
      <c r="M669" t="str">
        <f t="shared" ca="1" si="42"/>
        <v>12 years, 5 months</v>
      </c>
      <c r="N669" s="6">
        <v>34</v>
      </c>
      <c r="O669">
        <v>10</v>
      </c>
      <c r="P669">
        <v>3</v>
      </c>
      <c r="Q669">
        <f t="shared" si="43"/>
        <v>13</v>
      </c>
      <c r="R669">
        <v>2</v>
      </c>
      <c r="S669">
        <v>3</v>
      </c>
      <c r="T669">
        <f>Table[[#This Row],[NumWebPurchases]]+Table[[#This Row],[NumStorePurchases]]</f>
        <v>5</v>
      </c>
    </row>
    <row r="670" spans="1:20" ht="12.5">
      <c r="A670" s="6">
        <v>668</v>
      </c>
      <c r="B670" s="6">
        <v>11007</v>
      </c>
      <c r="C670" s="6">
        <v>1968</v>
      </c>
      <c r="D670" s="6">
        <f t="shared" si="40"/>
        <v>57</v>
      </c>
      <c r="E670" s="7" t="s">
        <v>12</v>
      </c>
      <c r="F670" s="7" t="s">
        <v>13</v>
      </c>
      <c r="G670" s="6">
        <v>29187</v>
      </c>
      <c r="H670" s="6" t="str" cm="1">
        <f t="array" ref="H670">_xlfn.IFS(
  G670 &lt; 25000, "Low",
  AND(G670 &gt;= 25000, G670 &lt; 75000), "Medium",
  AND(G670 &gt;= 75000, G670 &lt; 150000), "High",
  G670 &gt;= 150000, "Very High"
)</f>
        <v>Medium</v>
      </c>
      <c r="I670" s="6">
        <v>1</v>
      </c>
      <c r="J670" s="6">
        <v>0</v>
      </c>
      <c r="K670" s="6">
        <f t="shared" si="41"/>
        <v>1</v>
      </c>
      <c r="L670" s="8">
        <v>41403</v>
      </c>
      <c r="M670" t="str">
        <f t="shared" ca="1" si="42"/>
        <v>12 years, 9 months</v>
      </c>
      <c r="N670" s="6">
        <v>43</v>
      </c>
      <c r="O670">
        <v>0</v>
      </c>
      <c r="P670">
        <v>0</v>
      </c>
      <c r="Q670">
        <f t="shared" si="43"/>
        <v>0</v>
      </c>
      <c r="R670">
        <v>1</v>
      </c>
      <c r="S670">
        <v>3</v>
      </c>
      <c r="T670">
        <f>Table[[#This Row],[NumWebPurchases]]+Table[[#This Row],[NumStorePurchases]]</f>
        <v>4</v>
      </c>
    </row>
    <row r="671" spans="1:20" ht="12.5">
      <c r="A671" s="6">
        <v>669</v>
      </c>
      <c r="B671" s="6">
        <v>7426</v>
      </c>
      <c r="C671" s="6">
        <v>1971</v>
      </c>
      <c r="D671" s="6">
        <f t="shared" si="40"/>
        <v>54</v>
      </c>
      <c r="E671" s="7" t="s">
        <v>17</v>
      </c>
      <c r="F671" s="7" t="s">
        <v>13</v>
      </c>
      <c r="G671" s="6">
        <v>54690</v>
      </c>
      <c r="H671" s="6" t="str" cm="1">
        <f t="array" ref="H671">_xlfn.IFS(
  G671 &lt; 25000, "Low",
  AND(G671 &gt;= 25000, G671 &lt; 75000), "Medium",
  AND(G671 &gt;= 75000, G671 &lt; 150000), "High",
  G671 &gt;= 150000, "Very High"
)</f>
        <v>Medium</v>
      </c>
      <c r="I671" s="6">
        <v>1</v>
      </c>
      <c r="J671" s="6">
        <v>1</v>
      </c>
      <c r="K671" s="6">
        <f t="shared" si="41"/>
        <v>2</v>
      </c>
      <c r="L671" s="8">
        <v>41585</v>
      </c>
      <c r="M671" t="str">
        <f t="shared" ca="1" si="42"/>
        <v>12 years, 3 months</v>
      </c>
      <c r="N671" s="6">
        <v>76</v>
      </c>
      <c r="O671">
        <v>16</v>
      </c>
      <c r="P671">
        <v>9</v>
      </c>
      <c r="Q671">
        <f t="shared" si="43"/>
        <v>25</v>
      </c>
      <c r="R671">
        <v>3</v>
      </c>
      <c r="S671">
        <v>5</v>
      </c>
      <c r="T671">
        <f>Table[[#This Row],[NumWebPurchases]]+Table[[#This Row],[NumStorePurchases]]</f>
        <v>8</v>
      </c>
    </row>
    <row r="672" spans="1:20" ht="12.5">
      <c r="A672" s="6">
        <v>670</v>
      </c>
      <c r="B672" s="6">
        <v>9153</v>
      </c>
      <c r="C672" s="6">
        <v>1964</v>
      </c>
      <c r="D672" s="6">
        <f t="shared" si="40"/>
        <v>61</v>
      </c>
      <c r="E672" s="7" t="s">
        <v>12</v>
      </c>
      <c r="F672" s="7" t="s">
        <v>13</v>
      </c>
      <c r="G672" s="6">
        <v>59304</v>
      </c>
      <c r="H672" s="6" t="str" cm="1">
        <f t="array" ref="H672">_xlfn.IFS(
  G672 &lt; 25000, "Low",
  AND(G672 &gt;= 25000, G672 &lt; 75000), "Medium",
  AND(G672 &gt;= 75000, G672 &lt; 150000), "High",
  G672 &gt;= 150000, "Very High"
)</f>
        <v>Medium</v>
      </c>
      <c r="I672" s="6">
        <v>0</v>
      </c>
      <c r="J672" s="6">
        <v>1</v>
      </c>
      <c r="K672" s="6">
        <f t="shared" si="41"/>
        <v>1</v>
      </c>
      <c r="L672" s="8">
        <v>41484</v>
      </c>
      <c r="M672" t="str">
        <f t="shared" ca="1" si="42"/>
        <v>12 years, 7 months</v>
      </c>
      <c r="N672" s="6">
        <v>81</v>
      </c>
      <c r="O672">
        <v>61</v>
      </c>
      <c r="P672">
        <v>51</v>
      </c>
      <c r="Q672">
        <f t="shared" si="43"/>
        <v>112</v>
      </c>
      <c r="R672">
        <v>7</v>
      </c>
      <c r="S672">
        <v>10</v>
      </c>
      <c r="T672">
        <f>Table[[#This Row],[NumWebPurchases]]+Table[[#This Row],[NumStorePurchases]]</f>
        <v>17</v>
      </c>
    </row>
    <row r="673" spans="1:20" ht="12.5">
      <c r="A673" s="6">
        <v>671</v>
      </c>
      <c r="B673" s="6">
        <v>10379</v>
      </c>
      <c r="C673" s="6">
        <v>1962</v>
      </c>
      <c r="D673" s="6">
        <f t="shared" si="40"/>
        <v>63</v>
      </c>
      <c r="E673" s="7" t="s">
        <v>14</v>
      </c>
      <c r="F673" s="7" t="s">
        <v>10</v>
      </c>
      <c r="G673" s="6">
        <v>59247</v>
      </c>
      <c r="H673" s="6" t="str" cm="1">
        <f t="array" ref="H673">_xlfn.IFS(
  G673 &lt; 25000, "Low",
  AND(G673 &gt;= 25000, G673 &lt; 75000), "Medium",
  AND(G673 &gt;= 75000, G673 &lt; 150000), "High",
  G673 &gt;= 150000, "Very High"
)</f>
        <v>Medium</v>
      </c>
      <c r="I673" s="6">
        <v>0</v>
      </c>
      <c r="J673" s="6">
        <v>2</v>
      </c>
      <c r="K673" s="6">
        <f t="shared" si="41"/>
        <v>2</v>
      </c>
      <c r="L673" s="8">
        <v>41586</v>
      </c>
      <c r="M673" t="str">
        <f t="shared" ca="1" si="42"/>
        <v>12 years, 3 months</v>
      </c>
      <c r="N673" s="6">
        <v>87</v>
      </c>
      <c r="O673">
        <v>9</v>
      </c>
      <c r="P673">
        <v>14</v>
      </c>
      <c r="Q673">
        <f t="shared" si="43"/>
        <v>23</v>
      </c>
      <c r="R673">
        <v>5</v>
      </c>
      <c r="S673">
        <v>9</v>
      </c>
      <c r="T673">
        <f>Table[[#This Row],[NumWebPurchases]]+Table[[#This Row],[NumStorePurchases]]</f>
        <v>14</v>
      </c>
    </row>
    <row r="674" spans="1:20" ht="12.5">
      <c r="A674" s="6">
        <v>672</v>
      </c>
      <c r="B674" s="6">
        <v>9204</v>
      </c>
      <c r="C674" s="6">
        <v>1970</v>
      </c>
      <c r="D674" s="6">
        <f t="shared" si="40"/>
        <v>55</v>
      </c>
      <c r="E674" s="7" t="s">
        <v>9</v>
      </c>
      <c r="F674" s="7" t="s">
        <v>18</v>
      </c>
      <c r="G674" s="6">
        <v>66731</v>
      </c>
      <c r="H674" s="6" t="str" cm="1">
        <f t="array" ref="H674">_xlfn.IFS(
  G674 &lt; 25000, "Low",
  AND(G674 &gt;= 25000, G674 &lt; 75000), "Medium",
  AND(G674 &gt;= 75000, G674 &lt; 150000), "High",
  G674 &gt;= 150000, "Very High"
)</f>
        <v>Medium</v>
      </c>
      <c r="I674" s="6">
        <v>0</v>
      </c>
      <c r="J674" s="6">
        <v>1</v>
      </c>
      <c r="K674" s="6">
        <f t="shared" si="41"/>
        <v>1</v>
      </c>
      <c r="L674" s="8">
        <v>41164</v>
      </c>
      <c r="M674" t="str">
        <f t="shared" ca="1" si="42"/>
        <v>13 years, 5 months</v>
      </c>
      <c r="N674" s="6">
        <v>33</v>
      </c>
      <c r="O674">
        <v>159</v>
      </c>
      <c r="P674">
        <v>106</v>
      </c>
      <c r="Q674">
        <f t="shared" si="43"/>
        <v>265</v>
      </c>
      <c r="R674">
        <v>4</v>
      </c>
      <c r="S674">
        <v>6</v>
      </c>
      <c r="T674">
        <f>Table[[#This Row],[NumWebPurchases]]+Table[[#This Row],[NumStorePurchases]]</f>
        <v>10</v>
      </c>
    </row>
    <row r="675" spans="1:20" ht="12.5">
      <c r="A675" s="6">
        <v>673</v>
      </c>
      <c r="B675" s="6">
        <v>3197</v>
      </c>
      <c r="C675" s="6">
        <v>1980</v>
      </c>
      <c r="D675" s="6">
        <f t="shared" si="40"/>
        <v>45</v>
      </c>
      <c r="E675" s="7" t="s">
        <v>9</v>
      </c>
      <c r="F675" s="7" t="s">
        <v>13</v>
      </c>
      <c r="G675" s="6">
        <v>77353</v>
      </c>
      <c r="H675" s="6" t="str" cm="1">
        <f t="array" ref="H675">_xlfn.IFS(
  G675 &lt; 25000, "Low",
  AND(G675 &gt;= 25000, G675 &lt; 75000), "Medium",
  AND(G675 &gt;= 75000, G675 &lt; 150000), "High",
  G675 &gt;= 150000, "Very High"
)</f>
        <v>High</v>
      </c>
      <c r="I675" s="6">
        <v>0</v>
      </c>
      <c r="J675" s="6">
        <v>1</v>
      </c>
      <c r="K675" s="6">
        <f t="shared" si="41"/>
        <v>1</v>
      </c>
      <c r="L675" s="9">
        <v>41624</v>
      </c>
      <c r="M675" t="str">
        <f t="shared" ca="1" si="42"/>
        <v>12 years, 2 months</v>
      </c>
      <c r="N675" s="6">
        <v>38</v>
      </c>
      <c r="O675">
        <v>59</v>
      </c>
      <c r="P675">
        <v>101</v>
      </c>
      <c r="Q675">
        <f t="shared" si="43"/>
        <v>160</v>
      </c>
      <c r="R675">
        <v>6</v>
      </c>
      <c r="S675">
        <v>8</v>
      </c>
      <c r="T675">
        <f>Table[[#This Row],[NumWebPurchases]]+Table[[#This Row],[NumStorePurchases]]</f>
        <v>14</v>
      </c>
    </row>
    <row r="676" spans="1:20" ht="12.5">
      <c r="A676" s="6">
        <v>674</v>
      </c>
      <c r="B676" s="6">
        <v>2920</v>
      </c>
      <c r="C676" s="6">
        <v>1975</v>
      </c>
      <c r="D676" s="6">
        <f t="shared" si="40"/>
        <v>50</v>
      </c>
      <c r="E676" s="7" t="s">
        <v>12</v>
      </c>
      <c r="F676" s="7" t="s">
        <v>10</v>
      </c>
      <c r="G676" s="6">
        <v>52614</v>
      </c>
      <c r="H676" s="6" t="str" cm="1">
        <f t="array" ref="H676">_xlfn.IFS(
  G676 &lt; 25000, "Low",
  AND(G676 &gt;= 25000, G676 &lt; 75000), "Medium",
  AND(G676 &gt;= 75000, G676 &lt; 150000), "High",
  G676 &gt;= 150000, "Very High"
)</f>
        <v>Medium</v>
      </c>
      <c r="I676" s="6">
        <v>0</v>
      </c>
      <c r="J676" s="6">
        <v>1</v>
      </c>
      <c r="K676" s="6">
        <f t="shared" si="41"/>
        <v>1</v>
      </c>
      <c r="L676" s="8">
        <v>41244</v>
      </c>
      <c r="M676" t="str">
        <f t="shared" ca="1" si="42"/>
        <v>13 years, 3 months</v>
      </c>
      <c r="N676" s="6">
        <v>63</v>
      </c>
      <c r="O676">
        <v>0</v>
      </c>
      <c r="P676">
        <v>9</v>
      </c>
      <c r="Q676">
        <f t="shared" si="43"/>
        <v>9</v>
      </c>
      <c r="R676">
        <v>2</v>
      </c>
      <c r="S676">
        <v>8</v>
      </c>
      <c r="T676">
        <f>Table[[#This Row],[NumWebPurchases]]+Table[[#This Row],[NumStorePurchases]]</f>
        <v>10</v>
      </c>
    </row>
    <row r="677" spans="1:20" ht="12.5">
      <c r="A677" s="6">
        <v>675</v>
      </c>
      <c r="B677" s="6">
        <v>6961</v>
      </c>
      <c r="C677" s="6">
        <v>1974</v>
      </c>
      <c r="D677" s="6">
        <f t="shared" si="40"/>
        <v>51</v>
      </c>
      <c r="E677" s="7" t="s">
        <v>9</v>
      </c>
      <c r="F677" s="7" t="s">
        <v>13</v>
      </c>
      <c r="G677" s="6">
        <v>26751</v>
      </c>
      <c r="H677" s="6" t="str" cm="1">
        <f t="array" ref="H677">_xlfn.IFS(
  G677 &lt; 25000, "Low",
  AND(G677 &gt;= 25000, G677 &lt; 75000), "Medium",
  AND(G677 &gt;= 75000, G677 &lt; 150000), "High",
  G677 &gt;= 150000, "Very High"
)</f>
        <v>Medium</v>
      </c>
      <c r="I677" s="6">
        <v>2</v>
      </c>
      <c r="J677" s="6">
        <v>0</v>
      </c>
      <c r="K677" s="6">
        <f t="shared" si="41"/>
        <v>2</v>
      </c>
      <c r="L677" s="8">
        <v>41781</v>
      </c>
      <c r="M677" t="str">
        <f t="shared" ca="1" si="42"/>
        <v>11 years, 9 months</v>
      </c>
      <c r="N677" s="6">
        <v>26</v>
      </c>
      <c r="O677">
        <v>1</v>
      </c>
      <c r="P677">
        <v>3</v>
      </c>
      <c r="Q677">
        <f t="shared" si="43"/>
        <v>4</v>
      </c>
      <c r="R677">
        <v>1</v>
      </c>
      <c r="S677">
        <v>2</v>
      </c>
      <c r="T677">
        <f>Table[[#This Row],[NumWebPurchases]]+Table[[#This Row],[NumStorePurchases]]</f>
        <v>3</v>
      </c>
    </row>
    <row r="678" spans="1:20" ht="12.5">
      <c r="A678" s="6">
        <v>676</v>
      </c>
      <c r="B678" s="6">
        <v>4673</v>
      </c>
      <c r="C678" s="6">
        <v>1963</v>
      </c>
      <c r="D678" s="6">
        <f t="shared" si="40"/>
        <v>62</v>
      </c>
      <c r="E678" s="7" t="s">
        <v>12</v>
      </c>
      <c r="F678" s="7" t="s">
        <v>13</v>
      </c>
      <c r="G678" s="6">
        <v>81300</v>
      </c>
      <c r="H678" s="6" t="str" cm="1">
        <f t="array" ref="H678">_xlfn.IFS(
  G678 &lt; 25000, "Low",
  AND(G678 &gt;= 25000, G678 &lt; 75000), "Medium",
  AND(G678 &gt;= 75000, G678 &lt; 150000), "High",
  G678 &gt;= 150000, "Very High"
)</f>
        <v>High</v>
      </c>
      <c r="I678" s="6">
        <v>0</v>
      </c>
      <c r="J678" s="6">
        <v>1</v>
      </c>
      <c r="K678" s="6">
        <f t="shared" si="41"/>
        <v>1</v>
      </c>
      <c r="L678" s="9">
        <v>41212</v>
      </c>
      <c r="M678" t="str">
        <f t="shared" ca="1" si="42"/>
        <v>13 years, 4 months</v>
      </c>
      <c r="N678" s="6">
        <v>17</v>
      </c>
      <c r="O678">
        <v>12</v>
      </c>
      <c r="P678">
        <v>12</v>
      </c>
      <c r="Q678">
        <f t="shared" si="43"/>
        <v>24</v>
      </c>
      <c r="R678">
        <v>10</v>
      </c>
      <c r="S678">
        <v>5</v>
      </c>
      <c r="T678">
        <f>Table[[#This Row],[NumWebPurchases]]+Table[[#This Row],[NumStorePurchases]]</f>
        <v>15</v>
      </c>
    </row>
    <row r="679" spans="1:20" ht="12.5">
      <c r="A679" s="6">
        <v>677</v>
      </c>
      <c r="B679" s="6">
        <v>9937</v>
      </c>
      <c r="C679" s="6">
        <v>1979</v>
      </c>
      <c r="D679" s="6">
        <f t="shared" si="40"/>
        <v>46</v>
      </c>
      <c r="E679" s="7" t="s">
        <v>9</v>
      </c>
      <c r="F679" s="7" t="s">
        <v>10</v>
      </c>
      <c r="G679" s="6">
        <v>70337</v>
      </c>
      <c r="H679" s="6" t="str" cm="1">
        <f t="array" ref="H679">_xlfn.IFS(
  G679 &lt; 25000, "Low",
  AND(G679 &gt;= 25000, G679 &lt; 75000), "Medium",
  AND(G679 &gt;= 75000, G679 &lt; 150000), "High",
  G679 &gt;= 150000, "Very High"
)</f>
        <v>Medium</v>
      </c>
      <c r="I679" s="6">
        <v>0</v>
      </c>
      <c r="J679" s="6">
        <v>0</v>
      </c>
      <c r="K679" s="6">
        <f t="shared" si="41"/>
        <v>0</v>
      </c>
      <c r="L679" s="8">
        <v>41641</v>
      </c>
      <c r="M679" t="str">
        <f t="shared" ca="1" si="42"/>
        <v>12 years, 2 months</v>
      </c>
      <c r="N679" s="6">
        <v>75</v>
      </c>
      <c r="O679">
        <v>81</v>
      </c>
      <c r="P679">
        <v>43</v>
      </c>
      <c r="Q679">
        <f t="shared" si="43"/>
        <v>124</v>
      </c>
      <c r="R679">
        <v>2</v>
      </c>
      <c r="S679">
        <v>12</v>
      </c>
      <c r="T679">
        <f>Table[[#This Row],[NumWebPurchases]]+Table[[#This Row],[NumStorePurchases]]</f>
        <v>14</v>
      </c>
    </row>
    <row r="680" spans="1:20" ht="12.5">
      <c r="A680" s="6">
        <v>678</v>
      </c>
      <c r="B680" s="6">
        <v>8779</v>
      </c>
      <c r="C680" s="6">
        <v>1985</v>
      </c>
      <c r="D680" s="6">
        <f t="shared" si="40"/>
        <v>40</v>
      </c>
      <c r="E680" s="7" t="s">
        <v>17</v>
      </c>
      <c r="F680" s="7" t="s">
        <v>13</v>
      </c>
      <c r="G680" s="6">
        <v>36145</v>
      </c>
      <c r="H680" s="6" t="str" cm="1">
        <f t="array" ref="H680">_xlfn.IFS(
  G680 &lt; 25000, "Low",
  AND(G680 &gt;= 25000, G680 &lt; 75000), "Medium",
  AND(G680 &gt;= 75000, G680 &lt; 150000), "High",
  G680 &gt;= 150000, "Very High"
)</f>
        <v>Medium</v>
      </c>
      <c r="I680" s="6">
        <v>1</v>
      </c>
      <c r="J680" s="6">
        <v>0</v>
      </c>
      <c r="K680" s="6">
        <f t="shared" si="41"/>
        <v>1</v>
      </c>
      <c r="L680" s="8">
        <v>41441</v>
      </c>
      <c r="M680" t="str">
        <f t="shared" ca="1" si="42"/>
        <v>12 years, 8 months</v>
      </c>
      <c r="N680" s="6">
        <v>13</v>
      </c>
      <c r="O680">
        <v>4</v>
      </c>
      <c r="P680">
        <v>1</v>
      </c>
      <c r="Q680">
        <f t="shared" si="43"/>
        <v>5</v>
      </c>
      <c r="R680">
        <v>4</v>
      </c>
      <c r="S680">
        <v>3</v>
      </c>
      <c r="T680">
        <f>Table[[#This Row],[NumWebPurchases]]+Table[[#This Row],[NumStorePurchases]]</f>
        <v>7</v>
      </c>
    </row>
    <row r="681" spans="1:20" ht="12.5">
      <c r="A681" s="6">
        <v>679</v>
      </c>
      <c r="B681" s="6">
        <v>9596</v>
      </c>
      <c r="C681" s="6">
        <v>1980</v>
      </c>
      <c r="D681" s="6">
        <f t="shared" si="40"/>
        <v>45</v>
      </c>
      <c r="E681" s="7" t="s">
        <v>12</v>
      </c>
      <c r="F681" s="7" t="s">
        <v>10</v>
      </c>
      <c r="G681" s="6">
        <v>65295</v>
      </c>
      <c r="H681" s="6" t="str" cm="1">
        <f t="array" ref="H681">_xlfn.IFS(
  G681 &lt; 25000, "Low",
  AND(G681 &gt;= 25000, G681 &lt; 75000), "Medium",
  AND(G681 &gt;= 75000, G681 &lt; 150000), "High",
  G681 &gt;= 150000, "Very High"
)</f>
        <v>Medium</v>
      </c>
      <c r="I681" s="6">
        <v>0</v>
      </c>
      <c r="J681" s="6">
        <v>0</v>
      </c>
      <c r="K681" s="6">
        <f t="shared" si="41"/>
        <v>0</v>
      </c>
      <c r="L681" s="9">
        <v>41631</v>
      </c>
      <c r="M681" t="str">
        <f t="shared" ca="1" si="42"/>
        <v>12 years, 2 months</v>
      </c>
      <c r="N681" s="6">
        <v>19</v>
      </c>
      <c r="O681">
        <v>32</v>
      </c>
      <c r="P681">
        <v>110</v>
      </c>
      <c r="Q681">
        <f t="shared" si="43"/>
        <v>142</v>
      </c>
      <c r="R681">
        <v>3</v>
      </c>
      <c r="S681">
        <v>13</v>
      </c>
      <c r="T681">
        <f>Table[[#This Row],[NumWebPurchases]]+Table[[#This Row],[NumStorePurchases]]</f>
        <v>16</v>
      </c>
    </row>
    <row r="682" spans="1:20" ht="12.5">
      <c r="A682" s="6">
        <v>680</v>
      </c>
      <c r="B682" s="6">
        <v>2891</v>
      </c>
      <c r="C682" s="6">
        <v>1963</v>
      </c>
      <c r="D682" s="6">
        <f t="shared" si="40"/>
        <v>62</v>
      </c>
      <c r="E682" s="7" t="s">
        <v>9</v>
      </c>
      <c r="F682" s="7" t="s">
        <v>15</v>
      </c>
      <c r="G682" s="6">
        <v>68118</v>
      </c>
      <c r="H682" s="6" t="str" cm="1">
        <f t="array" ref="H682">_xlfn.IFS(
  G682 &lt; 25000, "Low",
  AND(G682 &gt;= 25000, G682 &lt; 75000), "Medium",
  AND(G682 &gt;= 75000, G682 &lt; 150000), "High",
  G682 &gt;= 150000, "Very High"
)</f>
        <v>Medium</v>
      </c>
      <c r="I682" s="6">
        <v>0</v>
      </c>
      <c r="J682" s="6">
        <v>1</v>
      </c>
      <c r="K682" s="6">
        <f t="shared" si="41"/>
        <v>1</v>
      </c>
      <c r="L682" s="9">
        <v>41565</v>
      </c>
      <c r="M682" t="str">
        <f t="shared" ca="1" si="42"/>
        <v>12 years, 4 months</v>
      </c>
      <c r="N682" s="6">
        <v>51</v>
      </c>
      <c r="O682">
        <v>23</v>
      </c>
      <c r="P682">
        <v>23</v>
      </c>
      <c r="Q682">
        <f t="shared" si="43"/>
        <v>46</v>
      </c>
      <c r="R682">
        <v>8</v>
      </c>
      <c r="S682">
        <v>4</v>
      </c>
      <c r="T682">
        <f>Table[[#This Row],[NumWebPurchases]]+Table[[#This Row],[NumStorePurchases]]</f>
        <v>12</v>
      </c>
    </row>
    <row r="683" spans="1:20" ht="12.5">
      <c r="A683" s="6">
        <v>681</v>
      </c>
      <c r="B683" s="6">
        <v>4910</v>
      </c>
      <c r="C683" s="6">
        <v>1967</v>
      </c>
      <c r="D683" s="6">
        <f t="shared" si="40"/>
        <v>58</v>
      </c>
      <c r="E683" s="7" t="s">
        <v>9</v>
      </c>
      <c r="F683" s="7" t="s">
        <v>15</v>
      </c>
      <c r="G683" s="6">
        <v>68743</v>
      </c>
      <c r="H683" s="6" t="str" cm="1">
        <f t="array" ref="H683">_xlfn.IFS(
  G683 &lt; 25000, "Low",
  AND(G683 &gt;= 25000, G683 &lt; 75000), "Medium",
  AND(G683 &gt;= 75000, G683 &lt; 150000), "High",
  G683 &gt;= 150000, "Very High"
)</f>
        <v>Medium</v>
      </c>
      <c r="I683" s="6">
        <v>0</v>
      </c>
      <c r="J683" s="6">
        <v>0</v>
      </c>
      <c r="K683" s="6">
        <f t="shared" si="41"/>
        <v>0</v>
      </c>
      <c r="L683" s="8">
        <v>41151</v>
      </c>
      <c r="M683" t="str">
        <f t="shared" ca="1" si="42"/>
        <v>13 years, 6 months</v>
      </c>
      <c r="N683" s="6">
        <v>81</v>
      </c>
      <c r="O683">
        <v>134</v>
      </c>
      <c r="P683">
        <v>134</v>
      </c>
      <c r="Q683">
        <f t="shared" si="43"/>
        <v>268</v>
      </c>
      <c r="R683">
        <v>11</v>
      </c>
      <c r="S683">
        <v>13</v>
      </c>
      <c r="T683">
        <f>Table[[#This Row],[NumWebPurchases]]+Table[[#This Row],[NumStorePurchases]]</f>
        <v>24</v>
      </c>
    </row>
    <row r="684" spans="1:20" ht="12.5">
      <c r="A684" s="6">
        <v>682</v>
      </c>
      <c r="B684" s="6">
        <v>75</v>
      </c>
      <c r="C684" s="6">
        <v>1982</v>
      </c>
      <c r="D684" s="6">
        <f t="shared" si="40"/>
        <v>43</v>
      </c>
      <c r="E684" s="7" t="s">
        <v>17</v>
      </c>
      <c r="F684" s="7" t="s">
        <v>11</v>
      </c>
      <c r="G684" s="6">
        <v>41039</v>
      </c>
      <c r="H684" s="6" t="str" cm="1">
        <f t="array" ref="H684">_xlfn.IFS(
  G684 &lt; 25000, "Low",
  AND(G684 &gt;= 25000, G684 &lt; 75000), "Medium",
  AND(G684 &gt;= 75000, G684 &lt; 150000), "High",
  G684 &gt;= 150000, "Very High"
)</f>
        <v>Medium</v>
      </c>
      <c r="I684" s="6">
        <v>0</v>
      </c>
      <c r="J684" s="6">
        <v>0</v>
      </c>
      <c r="K684" s="6">
        <f t="shared" si="41"/>
        <v>0</v>
      </c>
      <c r="L684" s="8">
        <v>41480</v>
      </c>
      <c r="M684" t="str">
        <f t="shared" ca="1" si="42"/>
        <v>12 years, 7 months</v>
      </c>
      <c r="N684" s="6">
        <v>32</v>
      </c>
      <c r="O684">
        <v>11</v>
      </c>
      <c r="P684">
        <v>61</v>
      </c>
      <c r="Q684">
        <f t="shared" si="43"/>
        <v>72</v>
      </c>
      <c r="R684">
        <v>8</v>
      </c>
      <c r="S684">
        <v>5</v>
      </c>
      <c r="T684">
        <f>Table[[#This Row],[NumWebPurchases]]+Table[[#This Row],[NumStorePurchases]]</f>
        <v>13</v>
      </c>
    </row>
    <row r="685" spans="1:20" ht="12.5">
      <c r="A685" s="6">
        <v>683</v>
      </c>
      <c r="B685" s="6">
        <v>10120</v>
      </c>
      <c r="C685" s="6">
        <v>1955</v>
      </c>
      <c r="D685" s="6">
        <f t="shared" si="40"/>
        <v>70</v>
      </c>
      <c r="E685" s="7" t="s">
        <v>9</v>
      </c>
      <c r="F685" s="7" t="s">
        <v>11</v>
      </c>
      <c r="G685" s="6">
        <v>38946</v>
      </c>
      <c r="H685" s="6" t="str" cm="1">
        <f t="array" ref="H685">_xlfn.IFS(
  G685 &lt; 25000, "Low",
  AND(G685 &gt;= 25000, G685 &lt; 75000), "Medium",
  AND(G685 &gt;= 75000, G685 &lt; 150000), "High",
  G685 &gt;= 150000, "Very High"
)</f>
        <v>Medium</v>
      </c>
      <c r="I685" s="6">
        <v>0</v>
      </c>
      <c r="J685" s="6">
        <v>1</v>
      </c>
      <c r="K685" s="6">
        <f t="shared" si="41"/>
        <v>1</v>
      </c>
      <c r="L685" s="9">
        <v>41571</v>
      </c>
      <c r="M685" t="str">
        <f t="shared" ca="1" si="42"/>
        <v>12 years, 4 months</v>
      </c>
      <c r="N685" s="6">
        <v>84</v>
      </c>
      <c r="O685">
        <v>6</v>
      </c>
      <c r="P685">
        <v>6</v>
      </c>
      <c r="Q685">
        <f t="shared" si="43"/>
        <v>12</v>
      </c>
      <c r="R685">
        <v>3</v>
      </c>
      <c r="S685">
        <v>6</v>
      </c>
      <c r="T685">
        <f>Table[[#This Row],[NumWebPurchases]]+Table[[#This Row],[NumStorePurchases]]</f>
        <v>9</v>
      </c>
    </row>
    <row r="686" spans="1:20" ht="12.5">
      <c r="A686" s="6">
        <v>684</v>
      </c>
      <c r="B686" s="6">
        <v>6327</v>
      </c>
      <c r="C686" s="6">
        <v>1967</v>
      </c>
      <c r="D686" s="6">
        <f t="shared" si="40"/>
        <v>58</v>
      </c>
      <c r="E686" s="7" t="s">
        <v>9</v>
      </c>
      <c r="F686" s="7" t="s">
        <v>11</v>
      </c>
      <c r="G686" s="6">
        <v>65777</v>
      </c>
      <c r="H686" s="6" t="str" cm="1">
        <f t="array" ref="H686">_xlfn.IFS(
  G686 &lt; 25000, "Low",
  AND(G686 &gt;= 25000, G686 &lt; 75000), "Medium",
  AND(G686 &gt;= 75000, G686 &lt; 150000), "High",
  G686 &gt;= 150000, "Very High"
)</f>
        <v>Medium</v>
      </c>
      <c r="I686" s="6">
        <v>0</v>
      </c>
      <c r="J686" s="6">
        <v>0</v>
      </c>
      <c r="K686" s="6">
        <f t="shared" si="41"/>
        <v>0</v>
      </c>
      <c r="L686" s="9">
        <v>41627</v>
      </c>
      <c r="M686" t="str">
        <f t="shared" ca="1" si="42"/>
        <v>12 years, 2 months</v>
      </c>
      <c r="N686" s="6">
        <v>87</v>
      </c>
      <c r="O686">
        <v>32</v>
      </c>
      <c r="P686">
        <v>32</v>
      </c>
      <c r="Q686">
        <f t="shared" si="43"/>
        <v>64</v>
      </c>
      <c r="R686">
        <v>2</v>
      </c>
      <c r="S686">
        <v>6</v>
      </c>
      <c r="T686">
        <f>Table[[#This Row],[NumWebPurchases]]+Table[[#This Row],[NumStorePurchases]]</f>
        <v>8</v>
      </c>
    </row>
    <row r="687" spans="1:20" ht="12.5">
      <c r="A687" s="6">
        <v>685</v>
      </c>
      <c r="B687" s="6">
        <v>10142</v>
      </c>
      <c r="C687" s="6">
        <v>1976</v>
      </c>
      <c r="D687" s="6">
        <f t="shared" si="40"/>
        <v>49</v>
      </c>
      <c r="E687" s="7" t="s">
        <v>12</v>
      </c>
      <c r="F687" s="7" t="s">
        <v>15</v>
      </c>
      <c r="G687" s="6">
        <v>66476</v>
      </c>
      <c r="H687" s="6" t="str" cm="1">
        <f t="array" ref="H687">_xlfn.IFS(
  G687 &lt; 25000, "Low",
  AND(G687 &gt;= 25000, G687 &lt; 75000), "Medium",
  AND(G687 &gt;= 75000, G687 &lt; 150000), "High",
  G687 &gt;= 150000, "Very High"
)</f>
        <v>Medium</v>
      </c>
      <c r="I687" s="6">
        <v>0</v>
      </c>
      <c r="J687" s="6">
        <v>1</v>
      </c>
      <c r="K687" s="6">
        <f t="shared" si="41"/>
        <v>1</v>
      </c>
      <c r="L687" s="8">
        <v>41340</v>
      </c>
      <c r="M687" t="str">
        <f t="shared" ca="1" si="42"/>
        <v>12 years, 11 months</v>
      </c>
      <c r="N687" s="6">
        <v>99</v>
      </c>
      <c r="O687">
        <v>18</v>
      </c>
      <c r="P687">
        <v>48</v>
      </c>
      <c r="Q687">
        <f t="shared" si="43"/>
        <v>66</v>
      </c>
      <c r="R687">
        <v>5</v>
      </c>
      <c r="S687">
        <v>11</v>
      </c>
      <c r="T687">
        <f>Table[[#This Row],[NumWebPurchases]]+Table[[#This Row],[NumStorePurchases]]</f>
        <v>16</v>
      </c>
    </row>
    <row r="688" spans="1:20" ht="12.5">
      <c r="A688" s="6">
        <v>686</v>
      </c>
      <c r="B688" s="6">
        <v>9826</v>
      </c>
      <c r="C688" s="6">
        <v>1972</v>
      </c>
      <c r="D688" s="6">
        <f t="shared" si="40"/>
        <v>53</v>
      </c>
      <c r="E688" s="7" t="s">
        <v>12</v>
      </c>
      <c r="F688" s="7" t="s">
        <v>10</v>
      </c>
      <c r="G688" s="6">
        <v>86857</v>
      </c>
      <c r="H688" s="6" t="str" cm="1">
        <f t="array" ref="H688">_xlfn.IFS(
  G688 &lt; 25000, "Low",
  AND(G688 &gt;= 25000, G688 &lt; 75000), "Medium",
  AND(G688 &gt;= 75000, G688 &lt; 150000), "High",
  G688 &gt;= 150000, "Very High"
)</f>
        <v>High</v>
      </c>
      <c r="I688" s="6">
        <v>0</v>
      </c>
      <c r="J688" s="6">
        <v>0</v>
      </c>
      <c r="K688" s="6">
        <f t="shared" si="41"/>
        <v>0</v>
      </c>
      <c r="L688" s="8">
        <v>41164</v>
      </c>
      <c r="M688" t="str">
        <f t="shared" ca="1" si="42"/>
        <v>13 years, 5 months</v>
      </c>
      <c r="N688" s="6">
        <v>96</v>
      </c>
      <c r="O688">
        <v>102</v>
      </c>
      <c r="P688">
        <v>102</v>
      </c>
      <c r="Q688">
        <f t="shared" si="43"/>
        <v>204</v>
      </c>
      <c r="R688">
        <v>5</v>
      </c>
      <c r="S688">
        <v>10</v>
      </c>
      <c r="T688">
        <f>Table[[#This Row],[NumWebPurchases]]+Table[[#This Row],[NumStorePurchases]]</f>
        <v>15</v>
      </c>
    </row>
    <row r="689" spans="1:20" ht="12.5">
      <c r="A689" s="6">
        <v>687</v>
      </c>
      <c r="B689" s="6">
        <v>1501</v>
      </c>
      <c r="C689" s="6">
        <v>1982</v>
      </c>
      <c r="D689" s="6">
        <f t="shared" si="40"/>
        <v>43</v>
      </c>
      <c r="E689" s="7" t="s">
        <v>12</v>
      </c>
      <c r="F689" s="7" t="s">
        <v>13</v>
      </c>
      <c r="G689" s="6">
        <v>160803</v>
      </c>
      <c r="H689" s="6" t="str" cm="1">
        <f t="array" ref="H689">_xlfn.IFS(
  G689 &lt; 25000, "Low",
  AND(G689 &gt;= 25000, G689 &lt; 75000), "Medium",
  AND(G689 &gt;= 75000, G689 &lt; 150000), "High",
  G689 &gt;= 150000, "Very High"
)</f>
        <v>Very High</v>
      </c>
      <c r="I689" s="6">
        <v>0</v>
      </c>
      <c r="J689" s="6">
        <v>0</v>
      </c>
      <c r="K689" s="6">
        <f t="shared" si="41"/>
        <v>0</v>
      </c>
      <c r="L689" s="8">
        <v>41125</v>
      </c>
      <c r="M689" t="str">
        <f t="shared" ca="1" si="42"/>
        <v>13 years, 7 months</v>
      </c>
      <c r="N689" s="6">
        <v>21</v>
      </c>
      <c r="O689">
        <v>16</v>
      </c>
      <c r="P689">
        <v>3</v>
      </c>
      <c r="Q689">
        <f t="shared" si="43"/>
        <v>19</v>
      </c>
      <c r="R689">
        <v>0</v>
      </c>
      <c r="S689">
        <v>1</v>
      </c>
      <c r="T689">
        <f>Table[[#This Row],[NumWebPurchases]]+Table[[#This Row],[NumStorePurchases]]</f>
        <v>1</v>
      </c>
    </row>
    <row r="690" spans="1:20" ht="12.5">
      <c r="A690" s="6">
        <v>688</v>
      </c>
      <c r="B690" s="6">
        <v>10767</v>
      </c>
      <c r="C690" s="6">
        <v>1989</v>
      </c>
      <c r="D690" s="6">
        <f t="shared" si="40"/>
        <v>36</v>
      </c>
      <c r="E690" s="7" t="s">
        <v>12</v>
      </c>
      <c r="F690" s="7" t="s">
        <v>11</v>
      </c>
      <c r="G690" s="6">
        <v>77845</v>
      </c>
      <c r="H690" s="6" t="str" cm="1">
        <f t="array" ref="H690">_xlfn.IFS(
  G690 &lt; 25000, "Low",
  AND(G690 &gt;= 25000, G690 &lt; 75000), "Medium",
  AND(G690 &gt;= 75000, G690 &lt; 150000), "High",
  G690 &gt;= 150000, "Very High"
)</f>
        <v>High</v>
      </c>
      <c r="I690" s="6">
        <v>0</v>
      </c>
      <c r="J690" s="6">
        <v>0</v>
      </c>
      <c r="K690" s="6">
        <f t="shared" si="41"/>
        <v>0</v>
      </c>
      <c r="L690" s="8">
        <v>41775</v>
      </c>
      <c r="M690" t="str">
        <f t="shared" ca="1" si="42"/>
        <v>11 years, 9 months</v>
      </c>
      <c r="N690" s="6">
        <v>40</v>
      </c>
      <c r="O690">
        <v>40</v>
      </c>
      <c r="P690">
        <v>40</v>
      </c>
      <c r="Q690">
        <f t="shared" si="43"/>
        <v>80</v>
      </c>
      <c r="R690">
        <v>3</v>
      </c>
      <c r="S690">
        <v>12</v>
      </c>
      <c r="T690">
        <f>Table[[#This Row],[NumWebPurchases]]+Table[[#This Row],[NumStorePurchases]]</f>
        <v>15</v>
      </c>
    </row>
    <row r="691" spans="1:20" ht="12.5">
      <c r="A691" s="6">
        <v>689</v>
      </c>
      <c r="B691" s="6">
        <v>7279</v>
      </c>
      <c r="C691" s="6">
        <v>1969</v>
      </c>
      <c r="D691" s="6">
        <f t="shared" si="40"/>
        <v>56</v>
      </c>
      <c r="E691" s="7" t="s">
        <v>12</v>
      </c>
      <c r="F691" s="7" t="s">
        <v>11</v>
      </c>
      <c r="G691" s="6">
        <v>69476</v>
      </c>
      <c r="H691" s="6" t="str" cm="1">
        <f t="array" ref="H691">_xlfn.IFS(
  G691 &lt; 25000, "Low",
  AND(G691 &gt;= 25000, G691 &lt; 75000), "Medium",
  AND(G691 &gt;= 75000, G691 &lt; 150000), "High",
  G691 &gt;= 150000, "Very High"
)</f>
        <v>Medium</v>
      </c>
      <c r="I691" s="6">
        <v>0</v>
      </c>
      <c r="J691" s="6">
        <v>0</v>
      </c>
      <c r="K691" s="6">
        <f t="shared" si="41"/>
        <v>0</v>
      </c>
      <c r="L691" s="8">
        <v>41547</v>
      </c>
      <c r="M691" t="str">
        <f t="shared" ca="1" si="42"/>
        <v>12 years, 5 months</v>
      </c>
      <c r="N691" s="6">
        <v>3</v>
      </c>
      <c r="O691">
        <v>86</v>
      </c>
      <c r="P691">
        <v>9</v>
      </c>
      <c r="Q691">
        <f t="shared" si="43"/>
        <v>95</v>
      </c>
      <c r="R691">
        <v>4</v>
      </c>
      <c r="S691">
        <v>4</v>
      </c>
      <c r="T691">
        <f>Table[[#This Row],[NumWebPurchases]]+Table[[#This Row],[NumStorePurchases]]</f>
        <v>8</v>
      </c>
    </row>
    <row r="692" spans="1:20" ht="12.5">
      <c r="A692" s="6">
        <v>690</v>
      </c>
      <c r="B692" s="6">
        <v>7230</v>
      </c>
      <c r="C692" s="6">
        <v>1960</v>
      </c>
      <c r="D692" s="6">
        <f t="shared" si="40"/>
        <v>65</v>
      </c>
      <c r="E692" s="7" t="s">
        <v>12</v>
      </c>
      <c r="F692" s="7" t="s">
        <v>15</v>
      </c>
      <c r="G692" s="6">
        <v>50611</v>
      </c>
      <c r="H692" s="6" t="str" cm="1">
        <f t="array" ref="H692">_xlfn.IFS(
  G692 &lt; 25000, "Low",
  AND(G692 &gt;= 25000, G692 &lt; 75000), "Medium",
  AND(G692 &gt;= 75000, G692 &lt; 150000), "High",
  G692 &gt;= 150000, "Very High"
)</f>
        <v>Medium</v>
      </c>
      <c r="I692" s="6">
        <v>0</v>
      </c>
      <c r="J692" s="6">
        <v>1</v>
      </c>
      <c r="K692" s="6">
        <f t="shared" si="41"/>
        <v>1</v>
      </c>
      <c r="L692" s="8">
        <v>41186</v>
      </c>
      <c r="M692" t="str">
        <f t="shared" ca="1" si="42"/>
        <v>13 years, 5 months</v>
      </c>
      <c r="N692" s="6">
        <v>98</v>
      </c>
      <c r="O692">
        <v>0</v>
      </c>
      <c r="P692">
        <v>0</v>
      </c>
      <c r="Q692">
        <f t="shared" si="43"/>
        <v>0</v>
      </c>
      <c r="R692">
        <v>4</v>
      </c>
      <c r="S692">
        <v>7</v>
      </c>
      <c r="T692">
        <f>Table[[#This Row],[NumWebPurchases]]+Table[[#This Row],[NumStorePurchases]]</f>
        <v>11</v>
      </c>
    </row>
    <row r="693" spans="1:20" ht="12.5">
      <c r="A693" s="6">
        <v>691</v>
      </c>
      <c r="B693" s="6">
        <v>143</v>
      </c>
      <c r="C693" s="6">
        <v>1970</v>
      </c>
      <c r="D693" s="6">
        <f t="shared" si="40"/>
        <v>55</v>
      </c>
      <c r="E693" s="7" t="s">
        <v>9</v>
      </c>
      <c r="F693" s="7" t="s">
        <v>10</v>
      </c>
      <c r="G693" s="6">
        <v>61209</v>
      </c>
      <c r="H693" s="6" t="str" cm="1">
        <f t="array" ref="H693">_xlfn.IFS(
  G693 &lt; 25000, "Low",
  AND(G693 &gt;= 25000, G693 &lt; 75000), "Medium",
  AND(G693 &gt;= 75000, G693 &lt; 150000), "High",
  G693 &gt;= 150000, "Very High"
)</f>
        <v>Medium</v>
      </c>
      <c r="I693" s="6">
        <v>0</v>
      </c>
      <c r="J693" s="6">
        <v>0</v>
      </c>
      <c r="K693" s="6">
        <f t="shared" si="41"/>
        <v>0</v>
      </c>
      <c r="L693" s="8">
        <v>41511</v>
      </c>
      <c r="M693" t="str">
        <f t="shared" ca="1" si="42"/>
        <v>12 years, 6 months</v>
      </c>
      <c r="N693" s="6">
        <v>73</v>
      </c>
      <c r="O693">
        <v>0</v>
      </c>
      <c r="P693">
        <v>49</v>
      </c>
      <c r="Q693">
        <f t="shared" si="43"/>
        <v>49</v>
      </c>
      <c r="R693">
        <v>5</v>
      </c>
      <c r="S693">
        <v>4</v>
      </c>
      <c r="T693">
        <f>Table[[#This Row],[NumWebPurchases]]+Table[[#This Row],[NumStorePurchases]]</f>
        <v>9</v>
      </c>
    </row>
    <row r="694" spans="1:20" ht="12.5">
      <c r="A694" s="6">
        <v>692</v>
      </c>
      <c r="B694" s="6">
        <v>450</v>
      </c>
      <c r="C694" s="6">
        <v>1958</v>
      </c>
      <c r="D694" s="6">
        <f t="shared" si="40"/>
        <v>67</v>
      </c>
      <c r="E694" s="7" t="s">
        <v>14</v>
      </c>
      <c r="F694" s="7" t="s">
        <v>11</v>
      </c>
      <c r="G694" s="6">
        <v>42315</v>
      </c>
      <c r="H694" s="6" t="str" cm="1">
        <f t="array" ref="H694">_xlfn.IFS(
  G694 &lt; 25000, "Low",
  AND(G694 &gt;= 25000, G694 &lt; 75000), "Medium",
  AND(G694 &gt;= 75000, G694 &lt; 150000), "High",
  G694 &gt;= 150000, "Very High"
)</f>
        <v>Medium</v>
      </c>
      <c r="I694" s="6">
        <v>0</v>
      </c>
      <c r="J694" s="6">
        <v>1</v>
      </c>
      <c r="K694" s="6">
        <f t="shared" si="41"/>
        <v>1</v>
      </c>
      <c r="L694" s="8">
        <v>41467</v>
      </c>
      <c r="M694" t="str">
        <f t="shared" ca="1" si="42"/>
        <v>12 years, 7 months</v>
      </c>
      <c r="N694" s="6">
        <v>90</v>
      </c>
      <c r="O694">
        <v>15</v>
      </c>
      <c r="P694">
        <v>11</v>
      </c>
      <c r="Q694">
        <f t="shared" si="43"/>
        <v>26</v>
      </c>
      <c r="R694">
        <v>1</v>
      </c>
      <c r="S694">
        <v>4</v>
      </c>
      <c r="T694">
        <f>Table[[#This Row],[NumWebPurchases]]+Table[[#This Row],[NumStorePurchases]]</f>
        <v>5</v>
      </c>
    </row>
    <row r="695" spans="1:20" ht="12.5">
      <c r="A695" s="6">
        <v>693</v>
      </c>
      <c r="B695" s="6">
        <v>9316</v>
      </c>
      <c r="C695" s="6">
        <v>1952</v>
      </c>
      <c r="D695" s="6">
        <f t="shared" si="40"/>
        <v>73</v>
      </c>
      <c r="E695" s="7" t="s">
        <v>16</v>
      </c>
      <c r="F695" s="7" t="s">
        <v>11</v>
      </c>
      <c r="G695" s="6">
        <v>13084</v>
      </c>
      <c r="H695" s="6" t="str" cm="1">
        <f t="array" ref="H695">_xlfn.IFS(
  G695 &lt; 25000, "Low",
  AND(G695 &gt;= 25000, G695 &lt; 75000), "Medium",
  AND(G695 &gt;= 75000, G695 &lt; 150000), "High",
  G695 &gt;= 150000, "Very High"
)</f>
        <v>Low</v>
      </c>
      <c r="I695" s="6">
        <v>0</v>
      </c>
      <c r="J695" s="6">
        <v>0</v>
      </c>
      <c r="K695" s="6">
        <f t="shared" si="41"/>
        <v>0</v>
      </c>
      <c r="L695" s="8">
        <v>41580</v>
      </c>
      <c r="M695" t="str">
        <f t="shared" ca="1" si="42"/>
        <v>12 years, 4 months</v>
      </c>
      <c r="N695" s="6">
        <v>29</v>
      </c>
      <c r="O695">
        <v>0</v>
      </c>
      <c r="P695">
        <v>7</v>
      </c>
      <c r="Q695">
        <f t="shared" si="43"/>
        <v>7</v>
      </c>
      <c r="R695">
        <v>1</v>
      </c>
      <c r="S695">
        <v>3</v>
      </c>
      <c r="T695">
        <f>Table[[#This Row],[NumWebPurchases]]+Table[[#This Row],[NumStorePurchases]]</f>
        <v>4</v>
      </c>
    </row>
    <row r="696" spans="1:20" ht="12.5">
      <c r="A696" s="6">
        <v>694</v>
      </c>
      <c r="B696" s="6">
        <v>6379</v>
      </c>
      <c r="C696" s="6">
        <v>1949</v>
      </c>
      <c r="D696" s="6">
        <f t="shared" si="40"/>
        <v>76</v>
      </c>
      <c r="E696" s="7" t="s">
        <v>14</v>
      </c>
      <c r="F696" s="7" t="s">
        <v>18</v>
      </c>
      <c r="G696" s="6">
        <v>47570</v>
      </c>
      <c r="H696" s="6" t="str" cm="1">
        <f t="array" ref="H696">_xlfn.IFS(
  G696 &lt; 25000, "Low",
  AND(G696 &gt;= 25000, G696 &lt; 75000), "Medium",
  AND(G696 &gt;= 75000, G696 &lt; 150000), "High",
  G696 &gt;= 150000, "Very High"
)</f>
        <v>Medium</v>
      </c>
      <c r="I696" s="6">
        <v>1</v>
      </c>
      <c r="J696" s="6">
        <v>1</v>
      </c>
      <c r="K696" s="6">
        <f t="shared" si="41"/>
        <v>2</v>
      </c>
      <c r="L696" s="8">
        <v>41423</v>
      </c>
      <c r="M696" t="str">
        <f t="shared" ca="1" si="42"/>
        <v>12 years, 9 months</v>
      </c>
      <c r="N696" s="6">
        <v>3</v>
      </c>
      <c r="O696">
        <v>1</v>
      </c>
      <c r="P696">
        <v>2</v>
      </c>
      <c r="Q696">
        <f t="shared" si="43"/>
        <v>3</v>
      </c>
      <c r="R696">
        <v>2</v>
      </c>
      <c r="S696">
        <v>2</v>
      </c>
      <c r="T696">
        <f>Table[[#This Row],[NumWebPurchases]]+Table[[#This Row],[NumStorePurchases]]</f>
        <v>4</v>
      </c>
    </row>
    <row r="697" spans="1:20" ht="12.5">
      <c r="A697" s="6">
        <v>695</v>
      </c>
      <c r="B697" s="6">
        <v>9239</v>
      </c>
      <c r="C697" s="6">
        <v>1961</v>
      </c>
      <c r="D697" s="6">
        <f t="shared" si="40"/>
        <v>64</v>
      </c>
      <c r="E697" s="7" t="s">
        <v>14</v>
      </c>
      <c r="F697" s="7" t="s">
        <v>13</v>
      </c>
      <c r="G697" s="6">
        <v>61923</v>
      </c>
      <c r="H697" s="6" t="str" cm="1">
        <f t="array" ref="H697">_xlfn.IFS(
  G697 &lt; 25000, "Low",
  AND(G697 &gt;= 25000, G697 &lt; 75000), "Medium",
  AND(G697 &gt;= 75000, G697 &lt; 150000), "High",
  G697 &gt;= 150000, "Very High"
)</f>
        <v>Medium</v>
      </c>
      <c r="I697" s="6">
        <v>0</v>
      </c>
      <c r="J697" s="6">
        <v>2</v>
      </c>
      <c r="K697" s="6">
        <f t="shared" si="41"/>
        <v>2</v>
      </c>
      <c r="L697" s="8">
        <v>41481</v>
      </c>
      <c r="M697" t="str">
        <f t="shared" ca="1" si="42"/>
        <v>12 years, 7 months</v>
      </c>
      <c r="N697" s="6">
        <v>94</v>
      </c>
      <c r="O697">
        <v>4</v>
      </c>
      <c r="P697">
        <v>3</v>
      </c>
      <c r="Q697">
        <f t="shared" si="43"/>
        <v>7</v>
      </c>
      <c r="R697">
        <v>2</v>
      </c>
      <c r="S697">
        <v>4</v>
      </c>
      <c r="T697">
        <f>Table[[#This Row],[NumWebPurchases]]+Table[[#This Row],[NumStorePurchases]]</f>
        <v>6</v>
      </c>
    </row>
    <row r="698" spans="1:20" ht="12.5">
      <c r="A698" s="6">
        <v>696</v>
      </c>
      <c r="B698" s="6">
        <v>8315</v>
      </c>
      <c r="C698" s="6">
        <v>1995</v>
      </c>
      <c r="D698" s="6">
        <f t="shared" si="40"/>
        <v>30</v>
      </c>
      <c r="E698" s="7" t="s">
        <v>9</v>
      </c>
      <c r="F698" s="7" t="s">
        <v>10</v>
      </c>
      <c r="G698" s="6">
        <v>34824</v>
      </c>
      <c r="H698" s="6" t="str" cm="1">
        <f t="array" ref="H698">_xlfn.IFS(
  G698 &lt; 25000, "Low",
  AND(G698 &gt;= 25000, G698 &lt; 75000), "Medium",
  AND(G698 &gt;= 75000, G698 &lt; 150000), "High",
  G698 &gt;= 150000, "Very High"
)</f>
        <v>Medium</v>
      </c>
      <c r="I698" s="6">
        <v>0</v>
      </c>
      <c r="J698" s="6">
        <v>0</v>
      </c>
      <c r="K698" s="6">
        <f t="shared" si="41"/>
        <v>0</v>
      </c>
      <c r="L698" s="8">
        <v>41724</v>
      </c>
      <c r="M698" t="str">
        <f t="shared" ca="1" si="42"/>
        <v>11 years, 11 months</v>
      </c>
      <c r="N698" s="6">
        <v>65</v>
      </c>
      <c r="O698">
        <v>2</v>
      </c>
      <c r="P698">
        <v>0</v>
      </c>
      <c r="Q698">
        <f t="shared" si="43"/>
        <v>2</v>
      </c>
      <c r="R698">
        <v>1</v>
      </c>
      <c r="S698">
        <v>2</v>
      </c>
      <c r="T698">
        <f>Table[[#This Row],[NumWebPurchases]]+Table[[#This Row],[NumStorePurchases]]</f>
        <v>3</v>
      </c>
    </row>
    <row r="699" spans="1:20" ht="12.5">
      <c r="A699" s="6">
        <v>697</v>
      </c>
      <c r="B699" s="6">
        <v>2868</v>
      </c>
      <c r="C699" s="6">
        <v>1949</v>
      </c>
      <c r="D699" s="6">
        <f t="shared" si="40"/>
        <v>76</v>
      </c>
      <c r="E699" s="7" t="s">
        <v>12</v>
      </c>
      <c r="F699" s="7" t="s">
        <v>10</v>
      </c>
      <c r="G699" s="6">
        <v>26518</v>
      </c>
      <c r="H699" s="6" t="str" cm="1">
        <f t="array" ref="H699">_xlfn.IFS(
  G699 &lt; 25000, "Low",
  AND(G699 &gt;= 25000, G699 &lt; 75000), "Medium",
  AND(G699 &gt;= 75000, G699 &lt; 150000), "High",
  G699 &gt;= 150000, "Very High"
)</f>
        <v>Medium</v>
      </c>
      <c r="I699" s="6">
        <v>1</v>
      </c>
      <c r="J699" s="6">
        <v>1</v>
      </c>
      <c r="K699" s="6">
        <f t="shared" si="41"/>
        <v>2</v>
      </c>
      <c r="L699" s="8">
        <v>41372</v>
      </c>
      <c r="M699" t="str">
        <f t="shared" ca="1" si="42"/>
        <v>12 years, 10 months</v>
      </c>
      <c r="N699" s="6">
        <v>33</v>
      </c>
      <c r="O699">
        <v>1</v>
      </c>
      <c r="P699">
        <v>3</v>
      </c>
      <c r="Q699">
        <f t="shared" si="43"/>
        <v>4</v>
      </c>
      <c r="R699">
        <v>2</v>
      </c>
      <c r="S699">
        <v>3</v>
      </c>
      <c r="T699">
        <f>Table[[#This Row],[NumWebPurchases]]+Table[[#This Row],[NumStorePurchases]]</f>
        <v>5</v>
      </c>
    </row>
    <row r="700" spans="1:20" ht="12.5">
      <c r="A700" s="6">
        <v>698</v>
      </c>
      <c r="B700" s="6">
        <v>10888</v>
      </c>
      <c r="C700" s="6">
        <v>1961</v>
      </c>
      <c r="D700" s="6">
        <f t="shared" si="40"/>
        <v>64</v>
      </c>
      <c r="E700" s="7" t="s">
        <v>9</v>
      </c>
      <c r="F700" s="7" t="s">
        <v>10</v>
      </c>
      <c r="G700" s="6">
        <v>45938</v>
      </c>
      <c r="H700" s="6" t="str" cm="1">
        <f t="array" ref="H700">_xlfn.IFS(
  G700 &lt; 25000, "Low",
  AND(G700 &gt;= 25000, G700 &lt; 75000), "Medium",
  AND(G700 &gt;= 75000, G700 &lt; 150000), "High",
  G700 &gt;= 150000, "Very High"
)</f>
        <v>Medium</v>
      </c>
      <c r="I700" s="6">
        <v>0</v>
      </c>
      <c r="J700" s="6">
        <v>0</v>
      </c>
      <c r="K700" s="6">
        <f t="shared" si="41"/>
        <v>0</v>
      </c>
      <c r="L700" s="8">
        <v>41581</v>
      </c>
      <c r="M700" t="str">
        <f t="shared" ca="1" si="42"/>
        <v>12 years, 4 months</v>
      </c>
      <c r="N700" s="6">
        <v>46</v>
      </c>
      <c r="O700">
        <v>11</v>
      </c>
      <c r="P700">
        <v>83</v>
      </c>
      <c r="Q700">
        <f t="shared" si="43"/>
        <v>94</v>
      </c>
      <c r="R700">
        <v>8</v>
      </c>
      <c r="S700">
        <v>6</v>
      </c>
      <c r="T700">
        <f>Table[[#This Row],[NumWebPurchases]]+Table[[#This Row],[NumStorePurchases]]</f>
        <v>14</v>
      </c>
    </row>
    <row r="701" spans="1:20" ht="12.5">
      <c r="A701" s="6">
        <v>699</v>
      </c>
      <c r="B701" s="6">
        <v>1277</v>
      </c>
      <c r="C701" s="6">
        <v>1960</v>
      </c>
      <c r="D701" s="6">
        <f t="shared" si="40"/>
        <v>65</v>
      </c>
      <c r="E701" s="7" t="s">
        <v>9</v>
      </c>
      <c r="F701" s="7" t="s">
        <v>11</v>
      </c>
      <c r="G701" s="6">
        <v>78468</v>
      </c>
      <c r="H701" s="6" t="str" cm="1">
        <f t="array" ref="H701">_xlfn.IFS(
  G701 &lt; 25000, "Low",
  AND(G701 &gt;= 25000, G701 &lt; 75000), "Medium",
  AND(G701 &gt;= 75000, G701 &lt; 150000), "High",
  G701 &gt;= 150000, "Very High"
)</f>
        <v>High</v>
      </c>
      <c r="I701" s="6">
        <v>0</v>
      </c>
      <c r="J701" s="6">
        <v>0</v>
      </c>
      <c r="K701" s="6">
        <f t="shared" si="41"/>
        <v>0</v>
      </c>
      <c r="L701" s="8">
        <v>41738</v>
      </c>
      <c r="M701" t="str">
        <f t="shared" ca="1" si="42"/>
        <v>11 years, 10 months</v>
      </c>
      <c r="N701" s="6">
        <v>29</v>
      </c>
      <c r="O701">
        <v>22</v>
      </c>
      <c r="P701">
        <v>22</v>
      </c>
      <c r="Q701">
        <f t="shared" si="43"/>
        <v>44</v>
      </c>
      <c r="R701">
        <v>10</v>
      </c>
      <c r="S701">
        <v>10</v>
      </c>
      <c r="T701">
        <f>Table[[#This Row],[NumWebPurchases]]+Table[[#This Row],[NumStorePurchases]]</f>
        <v>20</v>
      </c>
    </row>
    <row r="702" spans="1:20" ht="12.5">
      <c r="A702" s="6">
        <v>700</v>
      </c>
      <c r="B702" s="6">
        <v>9977</v>
      </c>
      <c r="C702" s="6">
        <v>1973</v>
      </c>
      <c r="D702" s="6">
        <f t="shared" si="40"/>
        <v>52</v>
      </c>
      <c r="E702" s="7" t="s">
        <v>9</v>
      </c>
      <c r="F702" s="7" t="s">
        <v>15</v>
      </c>
      <c r="G702" s="6">
        <v>78901</v>
      </c>
      <c r="H702" s="6" t="str" cm="1">
        <f t="array" ref="H702">_xlfn.IFS(
  G702 &lt; 25000, "Low",
  AND(G702 &gt;= 25000, G702 &lt; 75000), "Medium",
  AND(G702 &gt;= 75000, G702 &lt; 150000), "High",
  G702 &gt;= 150000, "Very High"
)</f>
        <v>High</v>
      </c>
      <c r="I702" s="6">
        <v>0</v>
      </c>
      <c r="J702" s="6">
        <v>1</v>
      </c>
      <c r="K702" s="6">
        <f t="shared" si="41"/>
        <v>1</v>
      </c>
      <c r="L702" s="8">
        <v>41534</v>
      </c>
      <c r="M702" t="str">
        <f t="shared" ca="1" si="42"/>
        <v>12 years, 5 months</v>
      </c>
      <c r="N702" s="6">
        <v>99</v>
      </c>
      <c r="O702">
        <v>11</v>
      </c>
      <c r="P702">
        <v>26</v>
      </c>
      <c r="Q702">
        <f t="shared" si="43"/>
        <v>37</v>
      </c>
      <c r="R702">
        <v>9</v>
      </c>
      <c r="S702">
        <v>5</v>
      </c>
      <c r="T702">
        <f>Table[[#This Row],[NumWebPurchases]]+Table[[#This Row],[NumStorePurchases]]</f>
        <v>14</v>
      </c>
    </row>
    <row r="703" spans="1:20" ht="12.5">
      <c r="A703" s="6">
        <v>701</v>
      </c>
      <c r="B703" s="6">
        <v>10196</v>
      </c>
      <c r="C703" s="6">
        <v>1978</v>
      </c>
      <c r="D703" s="6">
        <f t="shared" si="40"/>
        <v>47</v>
      </c>
      <c r="E703" s="7" t="s">
        <v>9</v>
      </c>
      <c r="F703" s="7" t="s">
        <v>13</v>
      </c>
      <c r="G703" s="6">
        <v>71427</v>
      </c>
      <c r="H703" s="6" t="str" cm="1">
        <f t="array" ref="H703">_xlfn.IFS(
  G703 &lt; 25000, "Low",
  AND(G703 &gt;= 25000, G703 &lt; 75000), "Medium",
  AND(G703 &gt;= 75000, G703 &lt; 150000), "High",
  G703 &gt;= 150000, "Very High"
)</f>
        <v>Medium</v>
      </c>
      <c r="I703" s="6">
        <v>2</v>
      </c>
      <c r="J703" s="6">
        <v>0</v>
      </c>
      <c r="K703" s="6">
        <f t="shared" si="41"/>
        <v>2</v>
      </c>
      <c r="L703" s="8">
        <v>41710</v>
      </c>
      <c r="M703" t="str">
        <f t="shared" ca="1" si="42"/>
        <v>11 years, 11 months</v>
      </c>
      <c r="N703" s="6">
        <v>26</v>
      </c>
      <c r="O703">
        <v>123</v>
      </c>
      <c r="P703">
        <v>64</v>
      </c>
      <c r="Q703">
        <f t="shared" si="43"/>
        <v>187</v>
      </c>
      <c r="R703">
        <v>8</v>
      </c>
      <c r="S703">
        <v>8</v>
      </c>
      <c r="T703">
        <f>Table[[#This Row],[NumWebPurchases]]+Table[[#This Row],[NumStorePurchases]]</f>
        <v>16</v>
      </c>
    </row>
    <row r="704" spans="1:20" ht="12.5">
      <c r="A704" s="6">
        <v>702</v>
      </c>
      <c r="B704" s="6">
        <v>6384</v>
      </c>
      <c r="C704" s="6">
        <v>1978</v>
      </c>
      <c r="D704" s="6">
        <f t="shared" si="40"/>
        <v>47</v>
      </c>
      <c r="E704" s="7" t="s">
        <v>9</v>
      </c>
      <c r="F704" s="7" t="s">
        <v>15</v>
      </c>
      <c r="G704" s="6">
        <v>71022</v>
      </c>
      <c r="H704" s="6" t="str" cm="1">
        <f t="array" ref="H704">_xlfn.IFS(
  G704 &lt; 25000, "Low",
  AND(G704 &gt;= 25000, G704 &lt; 75000), "Medium",
  AND(G704 &gt;= 75000, G704 &lt; 150000), "High",
  G704 &gt;= 150000, "Very High"
)</f>
        <v>Medium</v>
      </c>
      <c r="I704" s="6">
        <v>0</v>
      </c>
      <c r="J704" s="6">
        <v>1</v>
      </c>
      <c r="K704" s="6">
        <f t="shared" si="41"/>
        <v>1</v>
      </c>
      <c r="L704" s="8">
        <v>41681</v>
      </c>
      <c r="M704" t="str">
        <f t="shared" ca="1" si="42"/>
        <v>12 years, 0 months</v>
      </c>
      <c r="N704" s="6">
        <v>30</v>
      </c>
      <c r="O704">
        <v>12</v>
      </c>
      <c r="P704">
        <v>12</v>
      </c>
      <c r="Q704">
        <f t="shared" si="43"/>
        <v>24</v>
      </c>
      <c r="R704">
        <v>5</v>
      </c>
      <c r="S704">
        <v>11</v>
      </c>
      <c r="T704">
        <f>Table[[#This Row],[NumWebPurchases]]+Table[[#This Row],[NumStorePurchases]]</f>
        <v>16</v>
      </c>
    </row>
    <row r="705" spans="1:20" ht="12.5">
      <c r="A705" s="6">
        <v>703</v>
      </c>
      <c r="B705" s="6">
        <v>8029</v>
      </c>
      <c r="C705" s="6">
        <v>1988</v>
      </c>
      <c r="D705" s="6">
        <f t="shared" si="40"/>
        <v>37</v>
      </c>
      <c r="E705" s="7" t="s">
        <v>14</v>
      </c>
      <c r="F705" s="7" t="s">
        <v>10</v>
      </c>
      <c r="G705" s="6">
        <v>90247</v>
      </c>
      <c r="H705" s="6" t="str" cm="1">
        <f t="array" ref="H705">_xlfn.IFS(
  G705 &lt; 25000, "Low",
  AND(G705 &gt;= 25000, G705 &lt; 75000), "Medium",
  AND(G705 &gt;= 75000, G705 &lt; 150000), "High",
  G705 &gt;= 150000, "Very High"
)</f>
        <v>High</v>
      </c>
      <c r="I705" s="6">
        <v>0</v>
      </c>
      <c r="J705" s="6">
        <v>0</v>
      </c>
      <c r="K705" s="6">
        <f t="shared" si="41"/>
        <v>0</v>
      </c>
      <c r="L705" s="8">
        <v>41758</v>
      </c>
      <c r="M705" t="str">
        <f t="shared" ca="1" si="42"/>
        <v>11 years, 10 months</v>
      </c>
      <c r="N705" s="6">
        <v>27</v>
      </c>
      <c r="O705">
        <v>32</v>
      </c>
      <c r="P705">
        <v>16</v>
      </c>
      <c r="Q705">
        <f t="shared" si="43"/>
        <v>48</v>
      </c>
      <c r="R705">
        <v>3</v>
      </c>
      <c r="S705">
        <v>7</v>
      </c>
      <c r="T705">
        <f>Table[[#This Row],[NumWebPurchases]]+Table[[#This Row],[NumStorePurchases]]</f>
        <v>10</v>
      </c>
    </row>
    <row r="706" spans="1:20" ht="12.5">
      <c r="A706" s="6">
        <v>704</v>
      </c>
      <c r="B706" s="6">
        <v>968</v>
      </c>
      <c r="C706" s="6">
        <v>1968</v>
      </c>
      <c r="D706" s="6">
        <f t="shared" si="40"/>
        <v>57</v>
      </c>
      <c r="E706" s="7" t="s">
        <v>14</v>
      </c>
      <c r="F706" s="7" t="s">
        <v>15</v>
      </c>
      <c r="G706" s="6">
        <v>41335</v>
      </c>
      <c r="H706" s="6" t="str" cm="1">
        <f t="array" ref="H706">_xlfn.IFS(
  G706 &lt; 25000, "Low",
  AND(G706 &gt;= 25000, G706 &lt; 75000), "Medium",
  AND(G706 &gt;= 75000, G706 &lt; 150000), "High",
  G706 &gt;= 150000, "Very High"
)</f>
        <v>Medium</v>
      </c>
      <c r="I706" s="6">
        <v>1</v>
      </c>
      <c r="J706" s="6">
        <v>0</v>
      </c>
      <c r="K706" s="6">
        <f t="shared" si="41"/>
        <v>1</v>
      </c>
      <c r="L706" s="9">
        <v>41634</v>
      </c>
      <c r="M706" t="str">
        <f t="shared" ca="1" si="42"/>
        <v>12 years, 2 months</v>
      </c>
      <c r="N706" s="6">
        <v>24</v>
      </c>
      <c r="O706">
        <v>19</v>
      </c>
      <c r="P706">
        <v>14</v>
      </c>
      <c r="Q706">
        <f t="shared" si="43"/>
        <v>33</v>
      </c>
      <c r="R706">
        <v>4</v>
      </c>
      <c r="S706">
        <v>4</v>
      </c>
      <c r="T706">
        <f>Table[[#This Row],[NumWebPurchases]]+Table[[#This Row],[NumStorePurchases]]</f>
        <v>8</v>
      </c>
    </row>
    <row r="707" spans="1:20" ht="12.5">
      <c r="A707" s="6">
        <v>705</v>
      </c>
      <c r="B707" s="6">
        <v>6988</v>
      </c>
      <c r="C707" s="6">
        <v>1986</v>
      </c>
      <c r="D707" s="6">
        <f t="shared" ref="D707:D770" si="44">2025-C707</f>
        <v>39</v>
      </c>
      <c r="E707" s="7" t="s">
        <v>9</v>
      </c>
      <c r="F707" s="7" t="s">
        <v>13</v>
      </c>
      <c r="G707" s="6">
        <v>71952</v>
      </c>
      <c r="H707" s="6" t="str" cm="1">
        <f t="array" ref="H707">_xlfn.IFS(
  G707 &lt; 25000, "Low",
  AND(G707 &gt;= 25000, G707 &lt; 75000), "Medium",
  AND(G707 &gt;= 75000, G707 &lt; 150000), "High",
  G707 &gt;= 150000, "Very High"
)</f>
        <v>Medium</v>
      </c>
      <c r="I707" s="6">
        <v>1</v>
      </c>
      <c r="J707" s="6">
        <v>0</v>
      </c>
      <c r="K707" s="6">
        <f t="shared" ref="K707:K770" si="45">I707+J707</f>
        <v>1</v>
      </c>
      <c r="L707" s="8">
        <v>41284</v>
      </c>
      <c r="M707" t="str">
        <f t="shared" ref="M707:M770" ca="1" si="46">DATEDIF(L707, TODAY(), "Y") &amp; " years, " &amp; DATEDIF(L707, TODAY(), "YM") &amp; " months"</f>
        <v>13 years, 1 months</v>
      </c>
      <c r="N707" s="6">
        <v>93</v>
      </c>
      <c r="O707">
        <v>80</v>
      </c>
      <c r="P707">
        <v>107</v>
      </c>
      <c r="Q707">
        <f t="shared" ref="Q707:Q770" si="47">O707+P707</f>
        <v>187</v>
      </c>
      <c r="R707">
        <v>8</v>
      </c>
      <c r="S707">
        <v>8</v>
      </c>
      <c r="T707">
        <f>Table[[#This Row],[NumWebPurchases]]+Table[[#This Row],[NumStorePurchases]]</f>
        <v>16</v>
      </c>
    </row>
    <row r="708" spans="1:20" ht="12.5">
      <c r="A708" s="6">
        <v>706</v>
      </c>
      <c r="B708" s="6">
        <v>4472</v>
      </c>
      <c r="C708" s="6">
        <v>1970</v>
      </c>
      <c r="D708" s="6">
        <f t="shared" si="44"/>
        <v>55</v>
      </c>
      <c r="E708" s="7" t="s">
        <v>12</v>
      </c>
      <c r="F708" s="7" t="s">
        <v>15</v>
      </c>
      <c r="G708" s="6">
        <v>35682</v>
      </c>
      <c r="H708" s="6" t="str" cm="1">
        <f t="array" ref="H708">_xlfn.IFS(
  G708 &lt; 25000, "Low",
  AND(G708 &gt;= 25000, G708 &lt; 75000), "Medium",
  AND(G708 &gt;= 75000, G708 &lt; 150000), "High",
  G708 &gt;= 150000, "Very High"
)</f>
        <v>Medium</v>
      </c>
      <c r="I708" s="6">
        <v>1</v>
      </c>
      <c r="J708" s="6">
        <v>0</v>
      </c>
      <c r="K708" s="6">
        <f t="shared" si="45"/>
        <v>1</v>
      </c>
      <c r="L708" s="8">
        <v>41817</v>
      </c>
      <c r="M708" t="str">
        <f t="shared" ca="1" si="46"/>
        <v>11 years, 8 months</v>
      </c>
      <c r="N708" s="6">
        <v>34</v>
      </c>
      <c r="O708">
        <v>0</v>
      </c>
      <c r="P708">
        <v>2</v>
      </c>
      <c r="Q708">
        <f t="shared" si="47"/>
        <v>2</v>
      </c>
      <c r="R708">
        <v>1</v>
      </c>
      <c r="S708">
        <v>3</v>
      </c>
      <c r="T708">
        <f>Table[[#This Row],[NumWebPurchases]]+Table[[#This Row],[NumStorePurchases]]</f>
        <v>4</v>
      </c>
    </row>
    <row r="709" spans="1:20" ht="12.5">
      <c r="A709" s="6">
        <v>707</v>
      </c>
      <c r="B709" s="6">
        <v>6991</v>
      </c>
      <c r="C709" s="6">
        <v>1951</v>
      </c>
      <c r="D709" s="6">
        <f t="shared" si="44"/>
        <v>74</v>
      </c>
      <c r="E709" s="7" t="s">
        <v>9</v>
      </c>
      <c r="F709" s="7" t="s">
        <v>15</v>
      </c>
      <c r="G709" s="6">
        <v>43185</v>
      </c>
      <c r="H709" s="6" t="str" cm="1">
        <f t="array" ref="H709">_xlfn.IFS(
  G709 &lt; 25000, "Low",
  AND(G709 &gt;= 25000, G709 &lt; 75000), "Medium",
  AND(G709 &gt;= 75000, G709 &lt; 150000), "High",
  G709 &gt;= 150000, "Very High"
)</f>
        <v>Medium</v>
      </c>
      <c r="I709" s="6">
        <v>0</v>
      </c>
      <c r="J709" s="6">
        <v>1</v>
      </c>
      <c r="K709" s="6">
        <f t="shared" si="45"/>
        <v>1</v>
      </c>
      <c r="L709" s="8">
        <v>41374</v>
      </c>
      <c r="M709" t="str">
        <f t="shared" ca="1" si="46"/>
        <v>12 years, 10 months</v>
      </c>
      <c r="N709" s="6">
        <v>88</v>
      </c>
      <c r="O709">
        <v>6</v>
      </c>
      <c r="P709">
        <v>6</v>
      </c>
      <c r="Q709">
        <f t="shared" si="47"/>
        <v>12</v>
      </c>
      <c r="R709">
        <v>9</v>
      </c>
      <c r="S709">
        <v>6</v>
      </c>
      <c r="T709">
        <f>Table[[#This Row],[NumWebPurchases]]+Table[[#This Row],[NumStorePurchases]]</f>
        <v>15</v>
      </c>
    </row>
    <row r="710" spans="1:20" ht="12.5">
      <c r="A710" s="6">
        <v>708</v>
      </c>
      <c r="B710" s="6">
        <v>3336</v>
      </c>
      <c r="C710" s="6">
        <v>1948</v>
      </c>
      <c r="D710" s="6">
        <f t="shared" si="44"/>
        <v>77</v>
      </c>
      <c r="E710" s="7" t="s">
        <v>12</v>
      </c>
      <c r="F710" s="7" t="s">
        <v>11</v>
      </c>
      <c r="G710" s="6">
        <v>66375</v>
      </c>
      <c r="H710" s="6" t="str" cm="1">
        <f t="array" ref="H710">_xlfn.IFS(
  G710 &lt; 25000, "Low",
  AND(G710 &gt;= 25000, G710 &lt; 75000), "Medium",
  AND(G710 &gt;= 75000, G710 &lt; 150000), "High",
  G710 &gt;= 150000, "Very High"
)</f>
        <v>Medium</v>
      </c>
      <c r="I710" s="6">
        <v>0</v>
      </c>
      <c r="J710" s="6">
        <v>1</v>
      </c>
      <c r="K710" s="6">
        <f t="shared" si="45"/>
        <v>1</v>
      </c>
      <c r="L710" s="9">
        <v>41599</v>
      </c>
      <c r="M710" t="str">
        <f t="shared" ca="1" si="46"/>
        <v>12 years, 3 months</v>
      </c>
      <c r="N710" s="6">
        <v>96</v>
      </c>
      <c r="O710">
        <v>0</v>
      </c>
      <c r="P710">
        <v>0</v>
      </c>
      <c r="Q710">
        <f t="shared" si="47"/>
        <v>0</v>
      </c>
      <c r="R710">
        <v>2</v>
      </c>
      <c r="S710">
        <v>5</v>
      </c>
      <c r="T710">
        <f>Table[[#This Row],[NumWebPurchases]]+Table[[#This Row],[NumStorePurchases]]</f>
        <v>7</v>
      </c>
    </row>
    <row r="711" spans="1:20" ht="12.5">
      <c r="A711" s="6">
        <v>709</v>
      </c>
      <c r="B711" s="6">
        <v>4301</v>
      </c>
      <c r="C711" s="6">
        <v>1971</v>
      </c>
      <c r="D711" s="6">
        <f t="shared" si="44"/>
        <v>54</v>
      </c>
      <c r="E711" s="7" t="s">
        <v>14</v>
      </c>
      <c r="F711" s="7" t="s">
        <v>13</v>
      </c>
      <c r="G711" s="6">
        <v>35178</v>
      </c>
      <c r="H711" s="6" t="str" cm="1">
        <f t="array" ref="H711">_xlfn.IFS(
  G711 &lt; 25000, "Low",
  AND(G711 &gt;= 25000, G711 &lt; 75000), "Medium",
  AND(G711 &gt;= 75000, G711 &lt; 150000), "High",
  G711 &gt;= 150000, "Very High"
)</f>
        <v>Medium</v>
      </c>
      <c r="I711" s="6">
        <v>1</v>
      </c>
      <c r="J711" s="6">
        <v>0</v>
      </c>
      <c r="K711" s="6">
        <f t="shared" si="45"/>
        <v>1</v>
      </c>
      <c r="L711" s="8">
        <v>41284</v>
      </c>
      <c r="M711" t="str">
        <f t="shared" ca="1" si="46"/>
        <v>13 years, 1 months</v>
      </c>
      <c r="N711" s="6">
        <v>10</v>
      </c>
      <c r="O711">
        <v>1</v>
      </c>
      <c r="P711">
        <v>2</v>
      </c>
      <c r="Q711">
        <f t="shared" si="47"/>
        <v>3</v>
      </c>
      <c r="R711">
        <v>1</v>
      </c>
      <c r="S711">
        <v>2</v>
      </c>
      <c r="T711">
        <f>Table[[#This Row],[NumWebPurchases]]+Table[[#This Row],[NumStorePurchases]]</f>
        <v>3</v>
      </c>
    </row>
    <row r="712" spans="1:20" ht="12.5">
      <c r="A712" s="6">
        <v>710</v>
      </c>
      <c r="B712" s="6">
        <v>1940</v>
      </c>
      <c r="C712" s="6">
        <v>1986</v>
      </c>
      <c r="D712" s="6">
        <f t="shared" si="44"/>
        <v>39</v>
      </c>
      <c r="E712" s="7" t="s">
        <v>9</v>
      </c>
      <c r="F712" s="7" t="s">
        <v>13</v>
      </c>
      <c r="G712" s="6">
        <v>25252</v>
      </c>
      <c r="H712" s="6" t="str" cm="1">
        <f t="array" ref="H712">_xlfn.IFS(
  G712 &lt; 25000, "Low",
  AND(G712 &gt;= 25000, G712 &lt; 75000), "Medium",
  AND(G712 &gt;= 75000, G712 &lt; 150000), "High",
  G712 &gt;= 150000, "Very High"
)</f>
        <v>Medium</v>
      </c>
      <c r="I712" s="6">
        <v>1</v>
      </c>
      <c r="J712" s="6">
        <v>0</v>
      </c>
      <c r="K712" s="6">
        <f t="shared" si="45"/>
        <v>1</v>
      </c>
      <c r="L712" s="8">
        <v>41467</v>
      </c>
      <c r="M712" t="str">
        <f t="shared" ca="1" si="46"/>
        <v>12 years, 7 months</v>
      </c>
      <c r="N712" s="6">
        <v>26</v>
      </c>
      <c r="O712">
        <v>3</v>
      </c>
      <c r="P712">
        <v>2</v>
      </c>
      <c r="Q712">
        <f t="shared" si="47"/>
        <v>5</v>
      </c>
      <c r="R712">
        <v>1</v>
      </c>
      <c r="S712">
        <v>2</v>
      </c>
      <c r="T712">
        <f>Table[[#This Row],[NumWebPurchases]]+Table[[#This Row],[NumStorePurchases]]</f>
        <v>3</v>
      </c>
    </row>
    <row r="713" spans="1:20" ht="12.5">
      <c r="A713" s="6">
        <v>711</v>
      </c>
      <c r="B713" s="6">
        <v>1272</v>
      </c>
      <c r="C713" s="6">
        <v>1965</v>
      </c>
      <c r="D713" s="6">
        <f t="shared" si="44"/>
        <v>60</v>
      </c>
      <c r="E713" s="7" t="s">
        <v>14</v>
      </c>
      <c r="F713" s="7" t="s">
        <v>10</v>
      </c>
      <c r="G713" s="6">
        <v>55250</v>
      </c>
      <c r="H713" s="6" t="str" cm="1">
        <f t="array" ref="H713">_xlfn.IFS(
  G713 &lt; 25000, "Low",
  AND(G713 &gt;= 25000, G713 &lt; 75000), "Medium",
  AND(G713 &gt;= 75000, G713 &lt; 150000), "High",
  G713 &gt;= 150000, "Very High"
)</f>
        <v>Medium</v>
      </c>
      <c r="I713" s="6">
        <v>0</v>
      </c>
      <c r="J713" s="6">
        <v>1</v>
      </c>
      <c r="K713" s="6">
        <f t="shared" si="45"/>
        <v>1</v>
      </c>
      <c r="L713" s="9">
        <v>41203</v>
      </c>
      <c r="M713" t="str">
        <f t="shared" ca="1" si="46"/>
        <v>13 years, 4 months</v>
      </c>
      <c r="N713" s="6">
        <v>49</v>
      </c>
      <c r="O713">
        <v>58</v>
      </c>
      <c r="P713">
        <v>0</v>
      </c>
      <c r="Q713">
        <f t="shared" si="47"/>
        <v>58</v>
      </c>
      <c r="R713">
        <v>7</v>
      </c>
      <c r="S713">
        <v>10</v>
      </c>
      <c r="T713">
        <f>Table[[#This Row],[NumWebPurchases]]+Table[[#This Row],[NumStorePurchases]]</f>
        <v>17</v>
      </c>
    </row>
    <row r="714" spans="1:20" ht="12.5">
      <c r="A714" s="6">
        <v>712</v>
      </c>
      <c r="B714" s="6">
        <v>1388</v>
      </c>
      <c r="C714" s="6">
        <v>1975</v>
      </c>
      <c r="D714" s="6">
        <f t="shared" si="44"/>
        <v>50</v>
      </c>
      <c r="E714" s="7" t="s">
        <v>9</v>
      </c>
      <c r="F714" s="7" t="s">
        <v>10</v>
      </c>
      <c r="G714" s="6">
        <v>33249</v>
      </c>
      <c r="H714" s="6" t="str" cm="1">
        <f t="array" ref="H714">_xlfn.IFS(
  G714 &lt; 25000, "Low",
  AND(G714 &gt;= 25000, G714 &lt; 75000), "Medium",
  AND(G714 &gt;= 75000, G714 &lt; 150000), "High",
  G714 &gt;= 150000, "Very High"
)</f>
        <v>Medium</v>
      </c>
      <c r="I714" s="6">
        <v>1</v>
      </c>
      <c r="J714" s="6">
        <v>0</v>
      </c>
      <c r="K714" s="6">
        <f t="shared" si="45"/>
        <v>1</v>
      </c>
      <c r="L714" s="8">
        <v>41325</v>
      </c>
      <c r="M714" t="str">
        <f t="shared" ca="1" si="46"/>
        <v>13 years, 0 months</v>
      </c>
      <c r="N714" s="6">
        <v>11</v>
      </c>
      <c r="O714">
        <v>10</v>
      </c>
      <c r="P714">
        <v>14</v>
      </c>
      <c r="Q714">
        <f t="shared" si="47"/>
        <v>24</v>
      </c>
      <c r="R714">
        <v>2</v>
      </c>
      <c r="S714">
        <v>3</v>
      </c>
      <c r="T714">
        <f>Table[[#This Row],[NumWebPurchases]]+Table[[#This Row],[NumStorePurchases]]</f>
        <v>5</v>
      </c>
    </row>
    <row r="715" spans="1:20" ht="12.5">
      <c r="A715" s="6">
        <v>713</v>
      </c>
      <c r="B715" s="6">
        <v>1044</v>
      </c>
      <c r="C715" s="6">
        <v>1953</v>
      </c>
      <c r="D715" s="6">
        <f t="shared" si="44"/>
        <v>72</v>
      </c>
      <c r="E715" s="7" t="s">
        <v>9</v>
      </c>
      <c r="F715" s="7" t="s">
        <v>11</v>
      </c>
      <c r="G715" s="6">
        <v>58398</v>
      </c>
      <c r="H715" s="6" t="str" cm="1">
        <f t="array" ref="H715">_xlfn.IFS(
  G715 &lt; 25000, "Low",
  AND(G715 &gt;= 25000, G715 &lt; 75000), "Medium",
  AND(G715 &gt;= 75000, G715 &lt; 150000), "High",
  G715 &gt;= 150000, "Very High"
)</f>
        <v>Medium</v>
      </c>
      <c r="I715" s="6">
        <v>0</v>
      </c>
      <c r="J715" s="6">
        <v>0</v>
      </c>
      <c r="K715" s="6">
        <f t="shared" si="45"/>
        <v>0</v>
      </c>
      <c r="L715" s="8">
        <v>41408</v>
      </c>
      <c r="M715" t="str">
        <f t="shared" ca="1" si="46"/>
        <v>12 years, 9 months</v>
      </c>
      <c r="N715" s="6">
        <v>44</v>
      </c>
      <c r="O715">
        <v>5</v>
      </c>
      <c r="P715">
        <v>21</v>
      </c>
      <c r="Q715">
        <f t="shared" si="47"/>
        <v>26</v>
      </c>
      <c r="R715">
        <v>5</v>
      </c>
      <c r="S715">
        <v>8</v>
      </c>
      <c r="T715">
        <f>Table[[#This Row],[NumWebPurchases]]+Table[[#This Row],[NumStorePurchases]]</f>
        <v>13</v>
      </c>
    </row>
    <row r="716" spans="1:20" ht="12.5">
      <c r="A716" s="6">
        <v>714</v>
      </c>
      <c r="B716" s="6">
        <v>6969</v>
      </c>
      <c r="C716" s="6">
        <v>1982</v>
      </c>
      <c r="D716" s="6">
        <f t="shared" si="44"/>
        <v>43</v>
      </c>
      <c r="E716" s="7" t="s">
        <v>9</v>
      </c>
      <c r="F716" s="7" t="s">
        <v>11</v>
      </c>
      <c r="G716" s="6">
        <v>50272</v>
      </c>
      <c r="H716" s="6" t="str" cm="1">
        <f t="array" ref="H716">_xlfn.IFS(
  G716 &lt; 25000, "Low",
  AND(G716 &gt;= 25000, G716 &lt; 75000), "Medium",
  AND(G716 &gt;= 75000, G716 &lt; 150000), "High",
  G716 &gt;= 150000, "Very High"
)</f>
        <v>Medium</v>
      </c>
      <c r="I716" s="6">
        <v>1</v>
      </c>
      <c r="J716" s="6">
        <v>0</v>
      </c>
      <c r="K716" s="6">
        <f t="shared" si="45"/>
        <v>1</v>
      </c>
      <c r="L716" s="8">
        <v>41493</v>
      </c>
      <c r="M716" t="str">
        <f t="shared" ca="1" si="46"/>
        <v>12 years, 6 months</v>
      </c>
      <c r="N716" s="6">
        <v>75</v>
      </c>
      <c r="O716">
        <v>13</v>
      </c>
      <c r="P716">
        <v>8</v>
      </c>
      <c r="Q716">
        <f t="shared" si="47"/>
        <v>21</v>
      </c>
      <c r="R716">
        <v>4</v>
      </c>
      <c r="S716">
        <v>5</v>
      </c>
      <c r="T716">
        <f>Table[[#This Row],[NumWebPurchases]]+Table[[#This Row],[NumStorePurchases]]</f>
        <v>9</v>
      </c>
    </row>
    <row r="717" spans="1:20" ht="12.5">
      <c r="A717" s="6">
        <v>715</v>
      </c>
      <c r="B717" s="6">
        <v>10479</v>
      </c>
      <c r="C717" s="6">
        <v>1975</v>
      </c>
      <c r="D717" s="6">
        <f t="shared" si="44"/>
        <v>50</v>
      </c>
      <c r="E717" s="7" t="s">
        <v>12</v>
      </c>
      <c r="F717" s="7" t="s">
        <v>13</v>
      </c>
      <c r="G717" s="6">
        <v>76618</v>
      </c>
      <c r="H717" s="6" t="str" cm="1">
        <f t="array" ref="H717">_xlfn.IFS(
  G717 &lt; 25000, "Low",
  AND(G717 &gt;= 25000, G717 &lt; 75000), "Medium",
  AND(G717 &gt;= 75000, G717 &lt; 150000), "High",
  G717 &gt;= 150000, "Very High"
)</f>
        <v>High</v>
      </c>
      <c r="I717" s="6">
        <v>0</v>
      </c>
      <c r="J717" s="6">
        <v>0</v>
      </c>
      <c r="K717" s="6">
        <f t="shared" si="45"/>
        <v>0</v>
      </c>
      <c r="L717" s="8">
        <v>41250</v>
      </c>
      <c r="M717" t="str">
        <f t="shared" ca="1" si="46"/>
        <v>13 years, 2 months</v>
      </c>
      <c r="N717" s="6">
        <v>64</v>
      </c>
      <c r="O717">
        <v>40</v>
      </c>
      <c r="P717">
        <v>160</v>
      </c>
      <c r="Q717">
        <f t="shared" si="47"/>
        <v>200</v>
      </c>
      <c r="R717">
        <v>3</v>
      </c>
      <c r="S717">
        <v>5</v>
      </c>
      <c r="T717">
        <f>Table[[#This Row],[NumWebPurchases]]+Table[[#This Row],[NumStorePurchases]]</f>
        <v>8</v>
      </c>
    </row>
    <row r="718" spans="1:20" ht="12.5">
      <c r="A718" s="6">
        <v>716</v>
      </c>
      <c r="B718" s="6">
        <v>3619</v>
      </c>
      <c r="C718" s="6">
        <v>1960</v>
      </c>
      <c r="D718" s="6">
        <f t="shared" si="44"/>
        <v>65</v>
      </c>
      <c r="E718" s="7" t="s">
        <v>17</v>
      </c>
      <c r="F718" s="7" t="s">
        <v>15</v>
      </c>
      <c r="G718" s="6">
        <v>87305</v>
      </c>
      <c r="H718" s="6" t="str" cm="1">
        <f t="array" ref="H718">_xlfn.IFS(
  G718 &lt; 25000, "Low",
  AND(G718 &gt;= 25000, G718 &lt; 75000), "Medium",
  AND(G718 &gt;= 75000, G718 &lt; 150000), "High",
  G718 &gt;= 150000, "Very High"
)</f>
        <v>High</v>
      </c>
      <c r="I718" s="6">
        <v>0</v>
      </c>
      <c r="J718" s="6">
        <v>0</v>
      </c>
      <c r="K718" s="6">
        <f t="shared" si="45"/>
        <v>0</v>
      </c>
      <c r="L718" s="8">
        <v>41175</v>
      </c>
      <c r="M718" t="str">
        <f t="shared" ca="1" si="46"/>
        <v>13 years, 5 months</v>
      </c>
      <c r="N718" s="6">
        <v>19</v>
      </c>
      <c r="O718">
        <v>25</v>
      </c>
      <c r="P718">
        <v>138</v>
      </c>
      <c r="Q718">
        <f t="shared" si="47"/>
        <v>163</v>
      </c>
      <c r="R718">
        <v>5</v>
      </c>
      <c r="S718">
        <v>8</v>
      </c>
      <c r="T718">
        <f>Table[[#This Row],[NumWebPurchases]]+Table[[#This Row],[NumStorePurchases]]</f>
        <v>13</v>
      </c>
    </row>
    <row r="719" spans="1:20" ht="12.5">
      <c r="A719" s="6">
        <v>717</v>
      </c>
      <c r="B719" s="6">
        <v>1715</v>
      </c>
      <c r="C719" s="6">
        <v>1978</v>
      </c>
      <c r="D719" s="6">
        <f t="shared" si="44"/>
        <v>47</v>
      </c>
      <c r="E719" s="7" t="s">
        <v>9</v>
      </c>
      <c r="F719" s="7" t="s">
        <v>11</v>
      </c>
      <c r="G719" s="6">
        <v>25851</v>
      </c>
      <c r="H719" s="6" t="str" cm="1">
        <f t="array" ref="H719">_xlfn.IFS(
  G719 &lt; 25000, "Low",
  AND(G719 &gt;= 25000, G719 &lt; 75000), "Medium",
  AND(G719 &gt;= 75000, G719 &lt; 150000), "High",
  G719 &gt;= 150000, "Very High"
)</f>
        <v>Medium</v>
      </c>
      <c r="I719" s="6">
        <v>1</v>
      </c>
      <c r="J719" s="6">
        <v>0</v>
      </c>
      <c r="K719" s="6">
        <f t="shared" si="45"/>
        <v>1</v>
      </c>
      <c r="L719" s="8">
        <v>41316</v>
      </c>
      <c r="M719" t="str">
        <f t="shared" ca="1" si="46"/>
        <v>13 years, 0 months</v>
      </c>
      <c r="N719" s="6">
        <v>45</v>
      </c>
      <c r="O719">
        <v>4</v>
      </c>
      <c r="P719">
        <v>5</v>
      </c>
      <c r="Q719">
        <f t="shared" si="47"/>
        <v>9</v>
      </c>
      <c r="R719">
        <v>2</v>
      </c>
      <c r="S719">
        <v>3</v>
      </c>
      <c r="T719">
        <f>Table[[#This Row],[NumWebPurchases]]+Table[[#This Row],[NumStorePurchases]]</f>
        <v>5</v>
      </c>
    </row>
    <row r="720" spans="1:20" ht="12.5">
      <c r="A720" s="6">
        <v>718</v>
      </c>
      <c r="B720" s="6">
        <v>10159</v>
      </c>
      <c r="C720" s="6">
        <v>1970</v>
      </c>
      <c r="D720" s="6">
        <f t="shared" si="44"/>
        <v>55</v>
      </c>
      <c r="E720" s="7" t="s">
        <v>9</v>
      </c>
      <c r="F720" s="7" t="s">
        <v>15</v>
      </c>
      <c r="G720" s="6">
        <v>58710</v>
      </c>
      <c r="H720" s="6" t="str" cm="1">
        <f t="array" ref="H720">_xlfn.IFS(
  G720 &lt; 25000, "Low",
  AND(G720 &gt;= 25000, G720 &lt; 75000), "Medium",
  AND(G720 &gt;= 75000, G720 &lt; 150000), "High",
  G720 &gt;= 150000, "Very High"
)</f>
        <v>Medium</v>
      </c>
      <c r="I720" s="6">
        <v>0</v>
      </c>
      <c r="J720" s="6">
        <v>1</v>
      </c>
      <c r="K720" s="6">
        <f t="shared" si="45"/>
        <v>1</v>
      </c>
      <c r="L720" s="8">
        <v>41364</v>
      </c>
      <c r="M720" t="str">
        <f t="shared" ca="1" si="46"/>
        <v>12 years, 11 months</v>
      </c>
      <c r="N720" s="6">
        <v>77</v>
      </c>
      <c r="O720">
        <v>81</v>
      </c>
      <c r="P720">
        <v>122</v>
      </c>
      <c r="Q720">
        <f t="shared" si="47"/>
        <v>203</v>
      </c>
      <c r="R720">
        <v>11</v>
      </c>
      <c r="S720">
        <v>9</v>
      </c>
      <c r="T720">
        <f>Table[[#This Row],[NumWebPurchases]]+Table[[#This Row],[NumStorePurchases]]</f>
        <v>20</v>
      </c>
    </row>
    <row r="721" spans="1:20" ht="12.5">
      <c r="A721" s="6">
        <v>719</v>
      </c>
      <c r="B721" s="6">
        <v>1463</v>
      </c>
      <c r="C721" s="6">
        <v>1958</v>
      </c>
      <c r="D721" s="6">
        <f t="shared" si="44"/>
        <v>67</v>
      </c>
      <c r="E721" s="7" t="s">
        <v>9</v>
      </c>
      <c r="F721" s="7" t="s">
        <v>10</v>
      </c>
      <c r="G721" s="6">
        <v>45160</v>
      </c>
      <c r="H721" s="6" t="str" cm="1">
        <f t="array" ref="H721">_xlfn.IFS(
  G721 &lt; 25000, "Low",
  AND(G721 &gt;= 25000, G721 &lt; 75000), "Medium",
  AND(G721 &gt;= 75000, G721 &lt; 150000), "High",
  G721 &gt;= 150000, "Very High"
)</f>
        <v>Medium</v>
      </c>
      <c r="I721" s="6">
        <v>1</v>
      </c>
      <c r="J721" s="6">
        <v>1</v>
      </c>
      <c r="K721" s="6">
        <f t="shared" si="45"/>
        <v>2</v>
      </c>
      <c r="L721" s="8">
        <v>41727</v>
      </c>
      <c r="M721" t="str">
        <f t="shared" ca="1" si="46"/>
        <v>11 years, 11 months</v>
      </c>
      <c r="N721" s="6">
        <v>9</v>
      </c>
      <c r="O721">
        <v>2</v>
      </c>
      <c r="P721">
        <v>0</v>
      </c>
      <c r="Q721">
        <f t="shared" si="47"/>
        <v>2</v>
      </c>
      <c r="R721">
        <v>1</v>
      </c>
      <c r="S721">
        <v>2</v>
      </c>
      <c r="T721">
        <f>Table[[#This Row],[NumWebPurchases]]+Table[[#This Row],[NumStorePurchases]]</f>
        <v>3</v>
      </c>
    </row>
    <row r="722" spans="1:20" ht="12.5">
      <c r="A722" s="6">
        <v>720</v>
      </c>
      <c r="B722" s="6">
        <v>5114</v>
      </c>
      <c r="C722" s="6">
        <v>1965</v>
      </c>
      <c r="D722" s="6">
        <f t="shared" si="44"/>
        <v>60</v>
      </c>
      <c r="E722" s="7" t="s">
        <v>14</v>
      </c>
      <c r="F722" s="7" t="s">
        <v>13</v>
      </c>
      <c r="G722" s="6">
        <v>74806</v>
      </c>
      <c r="H722" s="6" t="str" cm="1">
        <f t="array" ref="H722">_xlfn.IFS(
  G722 &lt; 25000, "Low",
  AND(G722 &gt;= 25000, G722 &lt; 75000), "Medium",
  AND(G722 &gt;= 75000, G722 &lt; 150000), "High",
  G722 &gt;= 150000, "Very High"
)</f>
        <v>Medium</v>
      </c>
      <c r="I722" s="6">
        <v>0</v>
      </c>
      <c r="J722" s="6">
        <v>1</v>
      </c>
      <c r="K722" s="6">
        <f t="shared" si="45"/>
        <v>1</v>
      </c>
      <c r="L722" s="9">
        <v>41262</v>
      </c>
      <c r="M722" t="str">
        <f t="shared" ca="1" si="46"/>
        <v>13 years, 2 months</v>
      </c>
      <c r="N722" s="6">
        <v>1</v>
      </c>
      <c r="O722">
        <v>9</v>
      </c>
      <c r="P722">
        <v>28</v>
      </c>
      <c r="Q722">
        <f t="shared" si="47"/>
        <v>37</v>
      </c>
      <c r="R722">
        <v>5</v>
      </c>
      <c r="S722">
        <v>5</v>
      </c>
      <c r="T722">
        <f>Table[[#This Row],[NumWebPurchases]]+Table[[#This Row],[NumStorePurchases]]</f>
        <v>10</v>
      </c>
    </row>
    <row r="723" spans="1:20" ht="12.5">
      <c r="A723" s="6">
        <v>721</v>
      </c>
      <c r="B723" s="6">
        <v>4990</v>
      </c>
      <c r="C723" s="6">
        <v>1954</v>
      </c>
      <c r="D723" s="6">
        <f t="shared" si="44"/>
        <v>71</v>
      </c>
      <c r="E723" s="7" t="s">
        <v>9</v>
      </c>
      <c r="F723" s="7" t="s">
        <v>13</v>
      </c>
      <c r="G723" s="6">
        <v>59111</v>
      </c>
      <c r="H723" s="6" t="str" cm="1">
        <f t="array" ref="H723">_xlfn.IFS(
  G723 &lt; 25000, "Low",
  AND(G723 &gt;= 25000, G723 &lt; 75000), "Medium",
  AND(G723 &gt;= 75000, G723 &lt; 150000), "High",
  G723 &gt;= 150000, "Very High"
)</f>
        <v>Medium</v>
      </c>
      <c r="I723" s="6">
        <v>0</v>
      </c>
      <c r="J723" s="6">
        <v>0</v>
      </c>
      <c r="K723" s="6">
        <f t="shared" si="45"/>
        <v>0</v>
      </c>
      <c r="L723" s="8">
        <v>41396</v>
      </c>
      <c r="M723" t="str">
        <f t="shared" ca="1" si="46"/>
        <v>12 years, 10 months</v>
      </c>
      <c r="N723" s="6">
        <v>90</v>
      </c>
      <c r="O723">
        <v>0</v>
      </c>
      <c r="P723">
        <v>28</v>
      </c>
      <c r="Q723">
        <f t="shared" si="47"/>
        <v>28</v>
      </c>
      <c r="R723">
        <v>11</v>
      </c>
      <c r="S723">
        <v>8</v>
      </c>
      <c r="T723">
        <f>Table[[#This Row],[NumWebPurchases]]+Table[[#This Row],[NumStorePurchases]]</f>
        <v>19</v>
      </c>
    </row>
    <row r="724" spans="1:20" ht="12.5">
      <c r="A724" s="6">
        <v>722</v>
      </c>
      <c r="B724" s="6">
        <v>4329</v>
      </c>
      <c r="C724" s="6">
        <v>1984</v>
      </c>
      <c r="D724" s="6">
        <f t="shared" si="44"/>
        <v>41</v>
      </c>
      <c r="E724" s="7" t="s">
        <v>12</v>
      </c>
      <c r="F724" s="7" t="s">
        <v>13</v>
      </c>
      <c r="G724" s="6">
        <v>18988</v>
      </c>
      <c r="H724" s="6" t="str" cm="1">
        <f t="array" ref="H724">_xlfn.IFS(
  G724 &lt; 25000, "Low",
  AND(G724 &gt;= 25000, G724 &lt; 75000), "Medium",
  AND(G724 &gt;= 75000, G724 &lt; 150000), "High",
  G724 &gt;= 150000, "Very High"
)</f>
        <v>Low</v>
      </c>
      <c r="I724" s="6">
        <v>1</v>
      </c>
      <c r="J724" s="6">
        <v>0</v>
      </c>
      <c r="K724" s="6">
        <f t="shared" si="45"/>
        <v>1</v>
      </c>
      <c r="L724" s="8">
        <v>41782</v>
      </c>
      <c r="M724" t="str">
        <f t="shared" ca="1" si="46"/>
        <v>11 years, 9 months</v>
      </c>
      <c r="N724" s="6">
        <v>43</v>
      </c>
      <c r="O724">
        <v>0</v>
      </c>
      <c r="P724">
        <v>1</v>
      </c>
      <c r="Q724">
        <f t="shared" si="47"/>
        <v>1</v>
      </c>
      <c r="R724">
        <v>1</v>
      </c>
      <c r="S724">
        <v>3</v>
      </c>
      <c r="T724">
        <f>Table[[#This Row],[NumWebPurchases]]+Table[[#This Row],[NumStorePurchases]]</f>
        <v>4</v>
      </c>
    </row>
    <row r="725" spans="1:20" ht="12.5">
      <c r="A725" s="6">
        <v>723</v>
      </c>
      <c r="B725" s="6">
        <v>10936</v>
      </c>
      <c r="C725" s="6">
        <v>1965</v>
      </c>
      <c r="D725" s="6">
        <f t="shared" si="44"/>
        <v>60</v>
      </c>
      <c r="E725" s="7" t="s">
        <v>9</v>
      </c>
      <c r="F725" s="7" t="s">
        <v>13</v>
      </c>
      <c r="G725" s="6">
        <v>72190</v>
      </c>
      <c r="H725" s="6" t="str" cm="1">
        <f t="array" ref="H725">_xlfn.IFS(
  G725 &lt; 25000, "Low",
  AND(G725 &gt;= 25000, G725 &lt; 75000), "Medium",
  AND(G725 &gt;= 75000, G725 &lt; 150000), "High",
  G725 &gt;= 150000, "Very High"
)</f>
        <v>Medium</v>
      </c>
      <c r="I725" s="6">
        <v>0</v>
      </c>
      <c r="J725" s="6">
        <v>0</v>
      </c>
      <c r="K725" s="6">
        <f t="shared" si="45"/>
        <v>0</v>
      </c>
      <c r="L725" s="8">
        <v>41318</v>
      </c>
      <c r="M725" t="str">
        <f t="shared" ca="1" si="46"/>
        <v>13 years, 0 months</v>
      </c>
      <c r="N725" s="6">
        <v>79</v>
      </c>
      <c r="O725">
        <v>166</v>
      </c>
      <c r="P725">
        <v>166</v>
      </c>
      <c r="Q725">
        <f t="shared" si="47"/>
        <v>332</v>
      </c>
      <c r="R725">
        <v>5</v>
      </c>
      <c r="S725">
        <v>4</v>
      </c>
      <c r="T725">
        <f>Table[[#This Row],[NumWebPurchases]]+Table[[#This Row],[NumStorePurchases]]</f>
        <v>9</v>
      </c>
    </row>
    <row r="726" spans="1:20" ht="12.5">
      <c r="A726" s="6">
        <v>724</v>
      </c>
      <c r="B726" s="6">
        <v>4692</v>
      </c>
      <c r="C726" s="6">
        <v>1976</v>
      </c>
      <c r="D726" s="6">
        <f t="shared" si="44"/>
        <v>49</v>
      </c>
      <c r="E726" s="7" t="s">
        <v>9</v>
      </c>
      <c r="F726" s="7" t="s">
        <v>13</v>
      </c>
      <c r="G726" s="6">
        <v>7500</v>
      </c>
      <c r="H726" s="6" t="str" cm="1">
        <f t="array" ref="H726">_xlfn.IFS(
  G726 &lt; 25000, "Low",
  AND(G726 &gt;= 25000, G726 &lt; 75000), "Medium",
  AND(G726 &gt;= 75000, G726 &lt; 150000), "High",
  G726 &gt;= 150000, "Very High"
)</f>
        <v>Low</v>
      </c>
      <c r="I726" s="6">
        <v>1</v>
      </c>
      <c r="J726" s="6">
        <v>0</v>
      </c>
      <c r="K726" s="6">
        <f t="shared" si="45"/>
        <v>1</v>
      </c>
      <c r="L726" s="8">
        <v>41122</v>
      </c>
      <c r="M726" t="str">
        <f t="shared" ca="1" si="46"/>
        <v>13 years, 7 months</v>
      </c>
      <c r="N726" s="6">
        <v>19</v>
      </c>
      <c r="O726">
        <v>0</v>
      </c>
      <c r="P726">
        <v>7</v>
      </c>
      <c r="Q726">
        <f t="shared" si="47"/>
        <v>7</v>
      </c>
      <c r="R726">
        <v>4</v>
      </c>
      <c r="S726">
        <v>2</v>
      </c>
      <c r="T726">
        <f>Table[[#This Row],[NumWebPurchases]]+Table[[#This Row],[NumStorePurchases]]</f>
        <v>6</v>
      </c>
    </row>
    <row r="727" spans="1:20" ht="12.5">
      <c r="A727" s="6">
        <v>725</v>
      </c>
      <c r="B727" s="6">
        <v>7212</v>
      </c>
      <c r="C727" s="6">
        <v>1966</v>
      </c>
      <c r="D727" s="6">
        <f t="shared" si="44"/>
        <v>59</v>
      </c>
      <c r="E727" s="7" t="s">
        <v>9</v>
      </c>
      <c r="F727" s="7" t="s">
        <v>13</v>
      </c>
      <c r="G727" s="6">
        <v>44794</v>
      </c>
      <c r="H727" s="6" t="str" cm="1">
        <f t="array" ref="H727">_xlfn.IFS(
  G727 &lt; 25000, "Low",
  AND(G727 &gt;= 25000, G727 &lt; 75000), "Medium",
  AND(G727 &gt;= 75000, G727 &lt; 150000), "High",
  G727 &gt;= 150000, "Very High"
)</f>
        <v>Medium</v>
      </c>
      <c r="I727" s="6">
        <v>0</v>
      </c>
      <c r="J727" s="6">
        <v>1</v>
      </c>
      <c r="K727" s="6">
        <f t="shared" si="45"/>
        <v>1</v>
      </c>
      <c r="L727" s="8">
        <v>41798</v>
      </c>
      <c r="M727" t="str">
        <f t="shared" ca="1" si="46"/>
        <v>11 years, 8 months</v>
      </c>
      <c r="N727" s="6">
        <v>99</v>
      </c>
      <c r="O727">
        <v>0</v>
      </c>
      <c r="P727">
        <v>0</v>
      </c>
      <c r="Q727">
        <f t="shared" si="47"/>
        <v>0</v>
      </c>
      <c r="R727">
        <v>2</v>
      </c>
      <c r="S727">
        <v>3</v>
      </c>
      <c r="T727">
        <f>Table[[#This Row],[NumWebPurchases]]+Table[[#This Row],[NumStorePurchases]]</f>
        <v>5</v>
      </c>
    </row>
    <row r="728" spans="1:20" ht="12.5">
      <c r="A728" s="6">
        <v>726</v>
      </c>
      <c r="B728" s="6">
        <v>6086</v>
      </c>
      <c r="C728" s="6">
        <v>1955</v>
      </c>
      <c r="D728" s="6">
        <f t="shared" si="44"/>
        <v>70</v>
      </c>
      <c r="E728" s="7" t="s">
        <v>9</v>
      </c>
      <c r="F728" s="7" t="s">
        <v>13</v>
      </c>
      <c r="G728" s="6">
        <v>80395</v>
      </c>
      <c r="H728" s="6" t="str" cm="1">
        <f t="array" ref="H728">_xlfn.IFS(
  G728 &lt; 25000, "Low",
  AND(G728 &gt;= 25000, G728 &lt; 75000), "Medium",
  AND(G728 &gt;= 75000, G728 &lt; 150000), "High",
  G728 &gt;= 150000, "Very High"
)</f>
        <v>High</v>
      </c>
      <c r="I728" s="6">
        <v>0</v>
      </c>
      <c r="J728" s="6">
        <v>0</v>
      </c>
      <c r="K728" s="6">
        <f t="shared" si="45"/>
        <v>0</v>
      </c>
      <c r="L728" s="9">
        <v>41601</v>
      </c>
      <c r="M728" t="str">
        <f t="shared" ca="1" si="46"/>
        <v>12 years, 3 months</v>
      </c>
      <c r="N728" s="6">
        <v>62</v>
      </c>
      <c r="O728">
        <v>25</v>
      </c>
      <c r="P728">
        <v>76</v>
      </c>
      <c r="Q728">
        <f t="shared" si="47"/>
        <v>101</v>
      </c>
      <c r="R728">
        <v>6</v>
      </c>
      <c r="S728">
        <v>12</v>
      </c>
      <c r="T728">
        <f>Table[[#This Row],[NumWebPurchases]]+Table[[#This Row],[NumStorePurchases]]</f>
        <v>18</v>
      </c>
    </row>
    <row r="729" spans="1:20" ht="12.5">
      <c r="A729" s="6">
        <v>727</v>
      </c>
      <c r="B729" s="6">
        <v>437</v>
      </c>
      <c r="C729" s="6">
        <v>1976</v>
      </c>
      <c r="D729" s="6">
        <f t="shared" si="44"/>
        <v>49</v>
      </c>
      <c r="E729" s="7" t="s">
        <v>14</v>
      </c>
      <c r="F729" s="7" t="s">
        <v>15</v>
      </c>
      <c r="G729" s="6">
        <v>75012</v>
      </c>
      <c r="H729" s="6" t="str" cm="1">
        <f t="array" ref="H729">_xlfn.IFS(
  G729 &lt; 25000, "Low",
  AND(G729 &gt;= 25000, G729 &lt; 75000), "Medium",
  AND(G729 &gt;= 75000, G729 &lt; 150000), "High",
  G729 &gt;= 150000, "Very High"
)</f>
        <v>High</v>
      </c>
      <c r="I729" s="6">
        <v>0</v>
      </c>
      <c r="J729" s="6">
        <v>0</v>
      </c>
      <c r="K729" s="6">
        <f t="shared" si="45"/>
        <v>0</v>
      </c>
      <c r="L729" s="8">
        <v>41664</v>
      </c>
      <c r="M729" t="str">
        <f t="shared" ca="1" si="46"/>
        <v>12 years, 1 months</v>
      </c>
      <c r="N729" s="6">
        <v>41</v>
      </c>
      <c r="O729">
        <v>142</v>
      </c>
      <c r="P729">
        <v>58</v>
      </c>
      <c r="Q729">
        <f t="shared" si="47"/>
        <v>200</v>
      </c>
      <c r="R729">
        <v>3</v>
      </c>
      <c r="S729">
        <v>11</v>
      </c>
      <c r="T729">
        <f>Table[[#This Row],[NumWebPurchases]]+Table[[#This Row],[NumStorePurchases]]</f>
        <v>14</v>
      </c>
    </row>
    <row r="730" spans="1:20" ht="12.5">
      <c r="A730" s="6">
        <v>728</v>
      </c>
      <c r="B730" s="6">
        <v>11171</v>
      </c>
      <c r="C730" s="6">
        <v>1965</v>
      </c>
      <c r="D730" s="6">
        <f t="shared" si="44"/>
        <v>60</v>
      </c>
      <c r="E730" s="7" t="s">
        <v>14</v>
      </c>
      <c r="F730" s="7" t="s">
        <v>13</v>
      </c>
      <c r="G730" s="6">
        <v>56962</v>
      </c>
      <c r="H730" s="6" t="str" cm="1">
        <f t="array" ref="H730">_xlfn.IFS(
  G730 &lt; 25000, "Low",
  AND(G730 &gt;= 25000, G730 &lt; 75000), "Medium",
  AND(G730 &gt;= 75000, G730 &lt; 150000), "High",
  G730 &gt;= 150000, "Very High"
)</f>
        <v>Medium</v>
      </c>
      <c r="I730" s="6">
        <v>2</v>
      </c>
      <c r="J730" s="6">
        <v>1</v>
      </c>
      <c r="K730" s="6">
        <f t="shared" si="45"/>
        <v>3</v>
      </c>
      <c r="L730" s="9">
        <v>41558</v>
      </c>
      <c r="M730" t="str">
        <f t="shared" ca="1" si="46"/>
        <v>12 years, 4 months</v>
      </c>
      <c r="N730" s="6">
        <v>60</v>
      </c>
      <c r="O730">
        <v>3</v>
      </c>
      <c r="P730">
        <v>3</v>
      </c>
      <c r="Q730">
        <f t="shared" si="47"/>
        <v>6</v>
      </c>
      <c r="R730">
        <v>6</v>
      </c>
      <c r="S730">
        <v>5</v>
      </c>
      <c r="T730">
        <f>Table[[#This Row],[NumWebPurchases]]+Table[[#This Row],[NumStorePurchases]]</f>
        <v>11</v>
      </c>
    </row>
    <row r="731" spans="1:20" ht="12.5">
      <c r="A731" s="6">
        <v>729</v>
      </c>
      <c r="B731" s="6">
        <v>11101</v>
      </c>
      <c r="C731" s="6">
        <v>1991</v>
      </c>
      <c r="D731" s="6">
        <f t="shared" si="44"/>
        <v>34</v>
      </c>
      <c r="E731" s="7" t="s">
        <v>9</v>
      </c>
      <c r="F731" s="7" t="s">
        <v>11</v>
      </c>
      <c r="G731" s="6">
        <v>89891</v>
      </c>
      <c r="H731" s="6" t="str" cm="1">
        <f t="array" ref="H731">_xlfn.IFS(
  G731 &lt; 25000, "Low",
  AND(G731 &gt;= 25000, G731 &lt; 75000), "Medium",
  AND(G731 &gt;= 75000, G731 &lt; 150000), "High",
  G731 &gt;= 150000, "Very High"
)</f>
        <v>High</v>
      </c>
      <c r="I731" s="6">
        <v>0</v>
      </c>
      <c r="J731" s="6">
        <v>0</v>
      </c>
      <c r="K731" s="6">
        <f t="shared" si="45"/>
        <v>0</v>
      </c>
      <c r="L731" s="8">
        <v>41379</v>
      </c>
      <c r="M731" t="str">
        <f t="shared" ca="1" si="46"/>
        <v>12 years, 10 months</v>
      </c>
      <c r="N731" s="6">
        <v>17</v>
      </c>
      <c r="O731">
        <v>22</v>
      </c>
      <c r="P731">
        <v>28</v>
      </c>
      <c r="Q731">
        <f t="shared" si="47"/>
        <v>50</v>
      </c>
      <c r="R731">
        <v>11</v>
      </c>
      <c r="S731">
        <v>8</v>
      </c>
      <c r="T731">
        <f>Table[[#This Row],[NumWebPurchases]]+Table[[#This Row],[NumStorePurchases]]</f>
        <v>19</v>
      </c>
    </row>
    <row r="732" spans="1:20" ht="12.5">
      <c r="A732" s="6">
        <v>730</v>
      </c>
      <c r="B732" s="6">
        <v>5329</v>
      </c>
      <c r="C732" s="6">
        <v>1949</v>
      </c>
      <c r="D732" s="6">
        <f t="shared" si="44"/>
        <v>76</v>
      </c>
      <c r="E732" s="7" t="s">
        <v>12</v>
      </c>
      <c r="F732" s="7" t="s">
        <v>15</v>
      </c>
      <c r="G732" s="6">
        <v>35946</v>
      </c>
      <c r="H732" s="6" t="str" cm="1">
        <f t="array" ref="H732">_xlfn.IFS(
  G732 &lt; 25000, "Low",
  AND(G732 &gt;= 25000, G732 &lt; 75000), "Medium",
  AND(G732 &gt;= 75000, G732 &lt; 150000), "High",
  G732 &gt;= 150000, "Very High"
)</f>
        <v>Medium</v>
      </c>
      <c r="I732" s="6">
        <v>1</v>
      </c>
      <c r="J732" s="6">
        <v>1</v>
      </c>
      <c r="K732" s="6">
        <f t="shared" si="45"/>
        <v>2</v>
      </c>
      <c r="L732" s="8">
        <v>41544</v>
      </c>
      <c r="M732" t="str">
        <f t="shared" ca="1" si="46"/>
        <v>12 years, 5 months</v>
      </c>
      <c r="N732" s="6">
        <v>24</v>
      </c>
      <c r="O732">
        <v>0</v>
      </c>
      <c r="P732">
        <v>0</v>
      </c>
      <c r="Q732">
        <f t="shared" si="47"/>
        <v>0</v>
      </c>
      <c r="R732">
        <v>0</v>
      </c>
      <c r="S732">
        <v>3</v>
      </c>
      <c r="T732">
        <f>Table[[#This Row],[NumWebPurchases]]+Table[[#This Row],[NumStorePurchases]]</f>
        <v>3</v>
      </c>
    </row>
    <row r="733" spans="1:20" ht="12.5">
      <c r="A733" s="6">
        <v>731</v>
      </c>
      <c r="B733" s="6">
        <v>610</v>
      </c>
      <c r="C733" s="6">
        <v>1953</v>
      </c>
      <c r="D733" s="6">
        <f t="shared" si="44"/>
        <v>72</v>
      </c>
      <c r="E733" s="7" t="s">
        <v>12</v>
      </c>
      <c r="F733" s="7" t="s">
        <v>11</v>
      </c>
      <c r="G733" s="6">
        <v>53593</v>
      </c>
      <c r="H733" s="6" t="str" cm="1">
        <f t="array" ref="H733">_xlfn.IFS(
  G733 &lt; 25000, "Low",
  AND(G733 &gt;= 25000, G733 &lt; 75000), "Medium",
  AND(G733 &gt;= 75000, G733 &lt; 150000), "High",
  G733 &gt;= 150000, "Very High"
)</f>
        <v>Medium</v>
      </c>
      <c r="I733" s="6">
        <v>1</v>
      </c>
      <c r="J733" s="6">
        <v>1</v>
      </c>
      <c r="K733" s="6">
        <f t="shared" si="45"/>
        <v>2</v>
      </c>
      <c r="L733" s="8">
        <v>41128</v>
      </c>
      <c r="M733" t="str">
        <f t="shared" ca="1" si="46"/>
        <v>13 years, 6 months</v>
      </c>
      <c r="N733" s="6">
        <v>60</v>
      </c>
      <c r="O733">
        <v>4</v>
      </c>
      <c r="P733">
        <v>0</v>
      </c>
      <c r="Q733">
        <f t="shared" si="47"/>
        <v>4</v>
      </c>
      <c r="R733">
        <v>7</v>
      </c>
      <c r="S733">
        <v>6</v>
      </c>
      <c r="T733">
        <f>Table[[#This Row],[NumWebPurchases]]+Table[[#This Row],[NumStorePurchases]]</f>
        <v>13</v>
      </c>
    </row>
    <row r="734" spans="1:20" ht="12.5">
      <c r="A734" s="6">
        <v>732</v>
      </c>
      <c r="B734" s="6">
        <v>9384</v>
      </c>
      <c r="C734" s="6">
        <v>1978</v>
      </c>
      <c r="D734" s="6">
        <f t="shared" si="44"/>
        <v>47</v>
      </c>
      <c r="E734" s="7" t="s">
        <v>9</v>
      </c>
      <c r="F734" s="7" t="s">
        <v>13</v>
      </c>
      <c r="G734" s="6">
        <v>66373</v>
      </c>
      <c r="H734" s="6" t="str" cm="1">
        <f t="array" ref="H734">_xlfn.IFS(
  G734 &lt; 25000, "Low",
  AND(G734 &gt;= 25000, G734 &lt; 75000), "Medium",
  AND(G734 &gt;= 75000, G734 &lt; 150000), "High",
  G734 &gt;= 150000, "Very High"
)</f>
        <v>Medium</v>
      </c>
      <c r="I734" s="6">
        <v>1</v>
      </c>
      <c r="J734" s="6">
        <v>1</v>
      </c>
      <c r="K734" s="6">
        <f t="shared" si="45"/>
        <v>2</v>
      </c>
      <c r="L734" s="8">
        <v>41437</v>
      </c>
      <c r="M734" t="str">
        <f t="shared" ca="1" si="46"/>
        <v>12 years, 8 months</v>
      </c>
      <c r="N734" s="6">
        <v>57</v>
      </c>
      <c r="O734">
        <v>9</v>
      </c>
      <c r="P734">
        <v>24</v>
      </c>
      <c r="Q734">
        <f t="shared" si="47"/>
        <v>33</v>
      </c>
      <c r="R734">
        <v>4</v>
      </c>
      <c r="S734">
        <v>10</v>
      </c>
      <c r="T734">
        <f>Table[[#This Row],[NumWebPurchases]]+Table[[#This Row],[NumStorePurchases]]</f>
        <v>14</v>
      </c>
    </row>
    <row r="735" spans="1:20" ht="12.5">
      <c r="A735" s="6">
        <v>733</v>
      </c>
      <c r="B735" s="6">
        <v>5956</v>
      </c>
      <c r="C735" s="6">
        <v>1948</v>
      </c>
      <c r="D735" s="6">
        <f t="shared" si="44"/>
        <v>77</v>
      </c>
      <c r="E735" s="7" t="s">
        <v>12</v>
      </c>
      <c r="F735" s="7" t="s">
        <v>15</v>
      </c>
      <c r="G735" s="6">
        <v>45072</v>
      </c>
      <c r="H735" s="6" t="str" cm="1">
        <f t="array" ref="H735">_xlfn.IFS(
  G735 &lt; 25000, "Low",
  AND(G735 &gt;= 25000, G735 &lt; 75000), "Medium",
  AND(G735 &gt;= 75000, G735 &lt; 150000), "High",
  G735 &gt;= 150000, "Very High"
)</f>
        <v>Medium</v>
      </c>
      <c r="I735" s="6">
        <v>1</v>
      </c>
      <c r="J735" s="6">
        <v>2</v>
      </c>
      <c r="K735" s="6">
        <f t="shared" si="45"/>
        <v>3</v>
      </c>
      <c r="L735" s="9">
        <v>41563</v>
      </c>
      <c r="M735" t="str">
        <f t="shared" ca="1" si="46"/>
        <v>12 years, 4 months</v>
      </c>
      <c r="N735" s="6">
        <v>74</v>
      </c>
      <c r="O735">
        <v>2</v>
      </c>
      <c r="P735">
        <v>2</v>
      </c>
      <c r="Q735">
        <f t="shared" si="47"/>
        <v>4</v>
      </c>
      <c r="R735">
        <v>6</v>
      </c>
      <c r="S735">
        <v>4</v>
      </c>
      <c r="T735">
        <f>Table[[#This Row],[NumWebPurchases]]+Table[[#This Row],[NumStorePurchases]]</f>
        <v>10</v>
      </c>
    </row>
    <row r="736" spans="1:20" ht="12.5">
      <c r="A736" s="6">
        <v>734</v>
      </c>
      <c r="B736" s="6">
        <v>10430</v>
      </c>
      <c r="C736" s="6">
        <v>1973</v>
      </c>
      <c r="D736" s="6">
        <f t="shared" si="44"/>
        <v>52</v>
      </c>
      <c r="E736" s="7" t="s">
        <v>9</v>
      </c>
      <c r="F736" s="7" t="s">
        <v>15</v>
      </c>
      <c r="G736" s="6">
        <v>89694</v>
      </c>
      <c r="H736" s="6" t="str" cm="1">
        <f t="array" ref="H736">_xlfn.IFS(
  G736 &lt; 25000, "Low",
  AND(G736 &gt;= 25000, G736 &lt; 75000), "Medium",
  AND(G736 &gt;= 75000, G736 &lt; 150000), "High",
  G736 &gt;= 150000, "Very High"
)</f>
        <v>High</v>
      </c>
      <c r="I736" s="6">
        <v>1</v>
      </c>
      <c r="J736" s="6">
        <v>1</v>
      </c>
      <c r="K736" s="6">
        <f t="shared" si="45"/>
        <v>2</v>
      </c>
      <c r="L736" s="8">
        <v>41556</v>
      </c>
      <c r="M736" t="str">
        <f t="shared" ca="1" si="46"/>
        <v>12 years, 4 months</v>
      </c>
      <c r="N736" s="6">
        <v>22</v>
      </c>
      <c r="O736">
        <v>28</v>
      </c>
      <c r="P736">
        <v>28</v>
      </c>
      <c r="Q736">
        <f t="shared" si="47"/>
        <v>56</v>
      </c>
      <c r="R736">
        <v>4</v>
      </c>
      <c r="S736">
        <v>4</v>
      </c>
      <c r="T736">
        <f>Table[[#This Row],[NumWebPurchases]]+Table[[#This Row],[NumStorePurchases]]</f>
        <v>8</v>
      </c>
    </row>
    <row r="737" spans="1:20" ht="12.5">
      <c r="A737" s="6">
        <v>735</v>
      </c>
      <c r="B737" s="6">
        <v>7875</v>
      </c>
      <c r="C737" s="6">
        <v>1949</v>
      </c>
      <c r="D737" s="6">
        <f t="shared" si="44"/>
        <v>76</v>
      </c>
      <c r="E737" s="7" t="s">
        <v>9</v>
      </c>
      <c r="F737" s="7" t="s">
        <v>13</v>
      </c>
      <c r="G737" s="6">
        <v>72025</v>
      </c>
      <c r="H737" s="6" t="str" cm="1">
        <f t="array" ref="H737">_xlfn.IFS(
  G737 &lt; 25000, "Low",
  AND(G737 &gt;= 25000, G737 &lt; 75000), "Medium",
  AND(G737 &gt;= 75000, G737 &lt; 150000), "High",
  G737 &gt;= 150000, "Very High"
)</f>
        <v>Medium</v>
      </c>
      <c r="I737" s="6">
        <v>0</v>
      </c>
      <c r="J737" s="6">
        <v>0</v>
      </c>
      <c r="K737" s="6">
        <f t="shared" si="45"/>
        <v>0</v>
      </c>
      <c r="L737" s="8">
        <v>41758</v>
      </c>
      <c r="M737" t="str">
        <f t="shared" ca="1" si="46"/>
        <v>11 years, 10 months</v>
      </c>
      <c r="N737" s="6">
        <v>46</v>
      </c>
      <c r="O737">
        <v>0</v>
      </c>
      <c r="P737">
        <v>50</v>
      </c>
      <c r="Q737">
        <f t="shared" si="47"/>
        <v>50</v>
      </c>
      <c r="R737">
        <v>4</v>
      </c>
      <c r="S737">
        <v>13</v>
      </c>
      <c r="T737">
        <f>Table[[#This Row],[NumWebPurchases]]+Table[[#This Row],[NumStorePurchases]]</f>
        <v>17</v>
      </c>
    </row>
    <row r="738" spans="1:20" ht="12.5">
      <c r="A738" s="6">
        <v>736</v>
      </c>
      <c r="B738" s="6">
        <v>7072</v>
      </c>
      <c r="C738" s="6">
        <v>1973</v>
      </c>
      <c r="D738" s="6">
        <f t="shared" si="44"/>
        <v>52</v>
      </c>
      <c r="E738" s="7" t="s">
        <v>9</v>
      </c>
      <c r="F738" s="7" t="s">
        <v>13</v>
      </c>
      <c r="G738" s="6">
        <v>67432</v>
      </c>
      <c r="H738" s="6" t="str" cm="1">
        <f t="array" ref="H738">_xlfn.IFS(
  G738 &lt; 25000, "Low",
  AND(G738 &gt;= 25000, G738 &lt; 75000), "Medium",
  AND(G738 &gt;= 75000, G738 &lt; 150000), "High",
  G738 &gt;= 150000, "Very High"
)</f>
        <v>Medium</v>
      </c>
      <c r="I738" s="6">
        <v>0</v>
      </c>
      <c r="J738" s="6">
        <v>1</v>
      </c>
      <c r="K738" s="6">
        <f t="shared" si="45"/>
        <v>1</v>
      </c>
      <c r="L738" s="8">
        <v>41362</v>
      </c>
      <c r="M738" t="str">
        <f t="shared" ca="1" si="46"/>
        <v>12 years, 11 months</v>
      </c>
      <c r="N738" s="6">
        <v>69</v>
      </c>
      <c r="O738">
        <v>79</v>
      </c>
      <c r="P738">
        <v>136</v>
      </c>
      <c r="Q738">
        <f t="shared" si="47"/>
        <v>215</v>
      </c>
      <c r="R738">
        <v>8</v>
      </c>
      <c r="S738">
        <v>4</v>
      </c>
      <c r="T738">
        <f>Table[[#This Row],[NumWebPurchases]]+Table[[#This Row],[NumStorePurchases]]</f>
        <v>12</v>
      </c>
    </row>
    <row r="739" spans="1:20" ht="12.5">
      <c r="A739" s="6">
        <v>737</v>
      </c>
      <c r="B739" s="6">
        <v>6255</v>
      </c>
      <c r="C739" s="6">
        <v>1952</v>
      </c>
      <c r="D739" s="6">
        <f t="shared" si="44"/>
        <v>73</v>
      </c>
      <c r="E739" s="7" t="s">
        <v>14</v>
      </c>
      <c r="F739" s="7" t="s">
        <v>11</v>
      </c>
      <c r="G739" s="6">
        <v>70545</v>
      </c>
      <c r="H739" s="6" t="str" cm="1">
        <f t="array" ref="H739">_xlfn.IFS(
  G739 &lt; 25000, "Low",
  AND(G739 &gt;= 25000, G739 &lt; 75000), "Medium",
  AND(G739 &gt;= 75000, G739 &lt; 150000), "High",
  G739 &gt;= 150000, "Very High"
)</f>
        <v>Medium</v>
      </c>
      <c r="I739" s="6">
        <v>0</v>
      </c>
      <c r="J739" s="6">
        <v>1</v>
      </c>
      <c r="K739" s="6">
        <f t="shared" si="45"/>
        <v>1</v>
      </c>
      <c r="L739" s="8">
        <v>41793</v>
      </c>
      <c r="M739" t="str">
        <f t="shared" ca="1" si="46"/>
        <v>11 years, 9 months</v>
      </c>
      <c r="N739" s="6">
        <v>29</v>
      </c>
      <c r="O739">
        <v>39</v>
      </c>
      <c r="P739">
        <v>18</v>
      </c>
      <c r="Q739">
        <f t="shared" si="47"/>
        <v>57</v>
      </c>
      <c r="R739">
        <v>4</v>
      </c>
      <c r="S739">
        <v>7</v>
      </c>
      <c r="T739">
        <f>Table[[#This Row],[NumWebPurchases]]+Table[[#This Row],[NumStorePurchases]]</f>
        <v>11</v>
      </c>
    </row>
    <row r="740" spans="1:20" ht="12.5">
      <c r="A740" s="6">
        <v>738</v>
      </c>
      <c r="B740" s="6">
        <v>6516</v>
      </c>
      <c r="C740" s="6">
        <v>1989</v>
      </c>
      <c r="D740" s="6">
        <f t="shared" si="44"/>
        <v>36</v>
      </c>
      <c r="E740" s="7" t="s">
        <v>16</v>
      </c>
      <c r="F740" s="7" t="s">
        <v>13</v>
      </c>
      <c r="G740" s="6">
        <v>17487</v>
      </c>
      <c r="H740" s="6" t="str" cm="1">
        <f t="array" ref="H740">_xlfn.IFS(
  G740 &lt; 25000, "Low",
  AND(G740 &gt;= 25000, G740 &lt; 75000), "Medium",
  AND(G740 &gt;= 75000, G740 &lt; 150000), "High",
  G740 &gt;= 150000, "Very High"
)</f>
        <v>Low</v>
      </c>
      <c r="I740" s="6">
        <v>1</v>
      </c>
      <c r="J740" s="6">
        <v>0</v>
      </c>
      <c r="K740" s="6">
        <f t="shared" si="45"/>
        <v>1</v>
      </c>
      <c r="L740" s="8">
        <v>41351</v>
      </c>
      <c r="M740" t="str">
        <f t="shared" ca="1" si="46"/>
        <v>12 years, 11 months</v>
      </c>
      <c r="N740" s="6">
        <v>37</v>
      </c>
      <c r="O740">
        <v>0</v>
      </c>
      <c r="P740">
        <v>4</v>
      </c>
      <c r="Q740">
        <f t="shared" si="47"/>
        <v>4</v>
      </c>
      <c r="R740">
        <v>1</v>
      </c>
      <c r="S740">
        <v>2</v>
      </c>
      <c r="T740">
        <f>Table[[#This Row],[NumWebPurchases]]+Table[[#This Row],[NumStorePurchases]]</f>
        <v>3</v>
      </c>
    </row>
    <row r="741" spans="1:20" ht="12.5">
      <c r="A741" s="6">
        <v>739</v>
      </c>
      <c r="B741" s="6">
        <v>5564</v>
      </c>
      <c r="C741" s="6">
        <v>1969</v>
      </c>
      <c r="D741" s="6">
        <f t="shared" si="44"/>
        <v>56</v>
      </c>
      <c r="E741" s="7" t="s">
        <v>9</v>
      </c>
      <c r="F741" s="7" t="s">
        <v>11</v>
      </c>
      <c r="G741" s="6">
        <v>62882</v>
      </c>
      <c r="H741" s="6" t="str" cm="1">
        <f t="array" ref="H741">_xlfn.IFS(
  G741 &lt; 25000, "Low",
  AND(G741 &gt;= 25000, G741 &lt; 75000), "Medium",
  AND(G741 &gt;= 75000, G741 &lt; 150000), "High",
  G741 &gt;= 150000, "Very High"
)</f>
        <v>Medium</v>
      </c>
      <c r="I741" s="6">
        <v>0</v>
      </c>
      <c r="J741" s="6">
        <v>1</v>
      </c>
      <c r="K741" s="6">
        <f t="shared" si="45"/>
        <v>1</v>
      </c>
      <c r="L741" s="8">
        <v>41130</v>
      </c>
      <c r="M741" t="str">
        <f t="shared" ca="1" si="46"/>
        <v>13 years, 6 months</v>
      </c>
      <c r="N741" s="6">
        <v>26</v>
      </c>
      <c r="O741">
        <v>133</v>
      </c>
      <c r="P741">
        <v>24</v>
      </c>
      <c r="Q741">
        <f t="shared" si="47"/>
        <v>157</v>
      </c>
      <c r="R741">
        <v>7</v>
      </c>
      <c r="S741">
        <v>6</v>
      </c>
      <c r="T741">
        <f>Table[[#This Row],[NumWebPurchases]]+Table[[#This Row],[NumStorePurchases]]</f>
        <v>13</v>
      </c>
    </row>
    <row r="742" spans="1:20" ht="12.5">
      <c r="A742" s="6">
        <v>740</v>
      </c>
      <c r="B742" s="6">
        <v>5682</v>
      </c>
      <c r="C742" s="6">
        <v>1953</v>
      </c>
      <c r="D742" s="6">
        <f t="shared" si="44"/>
        <v>72</v>
      </c>
      <c r="E742" s="7" t="s">
        <v>12</v>
      </c>
      <c r="F742" s="7" t="s">
        <v>10</v>
      </c>
      <c r="G742" s="6">
        <v>64108</v>
      </c>
      <c r="H742" s="6" t="str" cm="1">
        <f t="array" ref="H742">_xlfn.IFS(
  G742 &lt; 25000, "Low",
  AND(G742 &gt;= 25000, G742 &lt; 75000), "Medium",
  AND(G742 &gt;= 75000, G742 &lt; 150000), "High",
  G742 &gt;= 150000, "Very High"
)</f>
        <v>Medium</v>
      </c>
      <c r="I742" s="6">
        <v>0</v>
      </c>
      <c r="J742" s="6">
        <v>1</v>
      </c>
      <c r="K742" s="6">
        <f t="shared" si="45"/>
        <v>1</v>
      </c>
      <c r="L742" s="8">
        <v>41356</v>
      </c>
      <c r="M742" t="str">
        <f t="shared" ca="1" si="46"/>
        <v>12 years, 11 months</v>
      </c>
      <c r="N742" s="6">
        <v>8</v>
      </c>
      <c r="O742">
        <v>10</v>
      </c>
      <c r="P742">
        <v>21</v>
      </c>
      <c r="Q742">
        <f t="shared" si="47"/>
        <v>31</v>
      </c>
      <c r="R742">
        <v>6</v>
      </c>
      <c r="S742">
        <v>11</v>
      </c>
      <c r="T742">
        <f>Table[[#This Row],[NumWebPurchases]]+Table[[#This Row],[NumStorePurchases]]</f>
        <v>17</v>
      </c>
    </row>
    <row r="743" spans="1:20" ht="12.5">
      <c r="A743" s="6">
        <v>741</v>
      </c>
      <c r="B743" s="6">
        <v>7458</v>
      </c>
      <c r="C743" s="6">
        <v>1956</v>
      </c>
      <c r="D743" s="6">
        <f t="shared" si="44"/>
        <v>69</v>
      </c>
      <c r="E743" s="7" t="s">
        <v>14</v>
      </c>
      <c r="F743" s="7" t="s">
        <v>11</v>
      </c>
      <c r="G743" s="6">
        <v>34941</v>
      </c>
      <c r="H743" s="6" t="str" cm="1">
        <f t="array" ref="H743">_xlfn.IFS(
  G743 &lt; 25000, "Low",
  AND(G743 &gt;= 25000, G743 &lt; 75000), "Medium",
  AND(G743 &gt;= 75000, G743 &lt; 150000), "High",
  G743 &gt;= 150000, "Very High"
)</f>
        <v>Medium</v>
      </c>
      <c r="I743" s="6">
        <v>1</v>
      </c>
      <c r="J743" s="6">
        <v>1</v>
      </c>
      <c r="K743" s="6">
        <f t="shared" si="45"/>
        <v>2</v>
      </c>
      <c r="L743" s="8">
        <v>41339</v>
      </c>
      <c r="M743" t="str">
        <f t="shared" ca="1" si="46"/>
        <v>13 years, 0 months</v>
      </c>
      <c r="N743" s="6">
        <v>26</v>
      </c>
      <c r="O743">
        <v>2</v>
      </c>
      <c r="P743">
        <v>3</v>
      </c>
      <c r="Q743">
        <f t="shared" si="47"/>
        <v>5</v>
      </c>
      <c r="R743">
        <v>3</v>
      </c>
      <c r="S743">
        <v>3</v>
      </c>
      <c r="T743">
        <f>Table[[#This Row],[NumWebPurchases]]+Table[[#This Row],[NumStorePurchases]]</f>
        <v>6</v>
      </c>
    </row>
    <row r="744" spans="1:20" ht="12.5">
      <c r="A744" s="6">
        <v>742</v>
      </c>
      <c r="B744" s="6">
        <v>5237</v>
      </c>
      <c r="C744" s="6">
        <v>1950</v>
      </c>
      <c r="D744" s="6">
        <f t="shared" si="44"/>
        <v>75</v>
      </c>
      <c r="E744" s="7" t="s">
        <v>12</v>
      </c>
      <c r="F744" s="7" t="s">
        <v>10</v>
      </c>
      <c r="G744" s="6">
        <v>48767</v>
      </c>
      <c r="H744" s="6" t="str" cm="1">
        <f t="array" ref="H744">_xlfn.IFS(
  G744 &lt; 25000, "Low",
  AND(G744 &gt;= 25000, G744 &lt; 75000), "Medium",
  AND(G744 &gt;= 75000, G744 &lt; 150000), "High",
  G744 &gt;= 150000, "Very High"
)</f>
        <v>Medium</v>
      </c>
      <c r="I744" s="6">
        <v>1</v>
      </c>
      <c r="J744" s="6">
        <v>2</v>
      </c>
      <c r="K744" s="6">
        <f t="shared" si="45"/>
        <v>3</v>
      </c>
      <c r="L744" s="8">
        <v>41640</v>
      </c>
      <c r="M744" t="str">
        <f t="shared" ca="1" si="46"/>
        <v>12 years, 2 months</v>
      </c>
      <c r="N744" s="6">
        <v>79</v>
      </c>
      <c r="O744">
        <v>1</v>
      </c>
      <c r="P744">
        <v>0</v>
      </c>
      <c r="Q744">
        <f t="shared" si="47"/>
        <v>1</v>
      </c>
      <c r="R744">
        <v>2</v>
      </c>
      <c r="S744">
        <v>3</v>
      </c>
      <c r="T744">
        <f>Table[[#This Row],[NumWebPurchases]]+Table[[#This Row],[NumStorePurchases]]</f>
        <v>5</v>
      </c>
    </row>
    <row r="745" spans="1:20" ht="12.5">
      <c r="A745" s="6">
        <v>743</v>
      </c>
      <c r="B745" s="6">
        <v>7761</v>
      </c>
      <c r="C745" s="6">
        <v>1978</v>
      </c>
      <c r="D745" s="6">
        <f t="shared" si="44"/>
        <v>47</v>
      </c>
      <c r="E745" s="7" t="s">
        <v>17</v>
      </c>
      <c r="F745" s="7" t="s">
        <v>11</v>
      </c>
      <c r="G745" s="6">
        <v>38702</v>
      </c>
      <c r="H745" s="6" t="str" cm="1">
        <f t="array" ref="H745">_xlfn.IFS(
  G745 &lt; 25000, "Low",
  AND(G745 &gt;= 25000, G745 &lt; 75000), "Medium",
  AND(G745 &gt;= 75000, G745 &lt; 150000), "High",
  G745 &gt;= 150000, "Very High"
)</f>
        <v>Medium</v>
      </c>
      <c r="I745" s="6">
        <v>1</v>
      </c>
      <c r="J745" s="6">
        <v>0</v>
      </c>
      <c r="K745" s="6">
        <f t="shared" si="45"/>
        <v>1</v>
      </c>
      <c r="L745" s="8">
        <v>41487</v>
      </c>
      <c r="M745" t="str">
        <f t="shared" ca="1" si="46"/>
        <v>12 years, 7 months</v>
      </c>
      <c r="N745" s="6">
        <v>71</v>
      </c>
      <c r="O745">
        <v>11</v>
      </c>
      <c r="P745">
        <v>8</v>
      </c>
      <c r="Q745">
        <f t="shared" si="47"/>
        <v>19</v>
      </c>
      <c r="R745">
        <v>3</v>
      </c>
      <c r="S745">
        <v>4</v>
      </c>
      <c r="T745">
        <f>Table[[#This Row],[NumWebPurchases]]+Table[[#This Row],[NumStorePurchases]]</f>
        <v>7</v>
      </c>
    </row>
    <row r="746" spans="1:20" ht="12.5">
      <c r="A746" s="6">
        <v>744</v>
      </c>
      <c r="B746" s="6">
        <v>5278</v>
      </c>
      <c r="C746" s="6">
        <v>1964</v>
      </c>
      <c r="D746" s="6">
        <f t="shared" si="44"/>
        <v>61</v>
      </c>
      <c r="E746" s="7" t="s">
        <v>9</v>
      </c>
      <c r="F746" s="7" t="s">
        <v>13</v>
      </c>
      <c r="G746" s="6">
        <v>82224</v>
      </c>
      <c r="H746" s="6" t="str" cm="1">
        <f t="array" ref="H746">_xlfn.IFS(
  G746 &lt; 25000, "Low",
  AND(G746 &gt;= 25000, G746 &lt; 75000), "Medium",
  AND(G746 &gt;= 75000, G746 &lt; 150000), "High",
  G746 &gt;= 150000, "Very High"
)</f>
        <v>High</v>
      </c>
      <c r="I746" s="6">
        <v>0</v>
      </c>
      <c r="J746" s="6">
        <v>0</v>
      </c>
      <c r="K746" s="6">
        <f t="shared" si="45"/>
        <v>0</v>
      </c>
      <c r="L746" s="8">
        <v>41664</v>
      </c>
      <c r="M746" t="str">
        <f t="shared" ca="1" si="46"/>
        <v>12 years, 1 months</v>
      </c>
      <c r="N746" s="6">
        <v>83</v>
      </c>
      <c r="O746">
        <v>26</v>
      </c>
      <c r="P746">
        <v>31</v>
      </c>
      <c r="Q746">
        <f t="shared" si="47"/>
        <v>57</v>
      </c>
      <c r="R746">
        <v>6</v>
      </c>
      <c r="S746">
        <v>5</v>
      </c>
      <c r="T746">
        <f>Table[[#This Row],[NumWebPurchases]]+Table[[#This Row],[NumStorePurchases]]</f>
        <v>11</v>
      </c>
    </row>
    <row r="747" spans="1:20" ht="12.5">
      <c r="A747" s="6">
        <v>745</v>
      </c>
      <c r="B747" s="6">
        <v>3560</v>
      </c>
      <c r="C747" s="6">
        <v>1952</v>
      </c>
      <c r="D747" s="6">
        <f t="shared" si="44"/>
        <v>73</v>
      </c>
      <c r="E747" s="7" t="s">
        <v>9</v>
      </c>
      <c r="F747" s="7" t="s">
        <v>11</v>
      </c>
      <c r="G747" s="6">
        <v>83844</v>
      </c>
      <c r="H747" s="6" t="str" cm="1">
        <f t="array" ref="H747">_xlfn.IFS(
  G747 &lt; 25000, "Low",
  AND(G747 &gt;= 25000, G747 &lt; 75000), "Medium",
  AND(G747 &gt;= 75000, G747 &lt; 150000), "High",
  G747 &gt;= 150000, "Very High"
)</f>
        <v>High</v>
      </c>
      <c r="I747" s="6">
        <v>0</v>
      </c>
      <c r="J747" s="6">
        <v>0</v>
      </c>
      <c r="K747" s="6">
        <f t="shared" si="45"/>
        <v>0</v>
      </c>
      <c r="L747" s="8">
        <v>41406</v>
      </c>
      <c r="M747" t="str">
        <f t="shared" ca="1" si="46"/>
        <v>12 years, 9 months</v>
      </c>
      <c r="N747" s="6">
        <v>57</v>
      </c>
      <c r="O747">
        <v>31</v>
      </c>
      <c r="P747">
        <v>31</v>
      </c>
      <c r="Q747">
        <f t="shared" si="47"/>
        <v>62</v>
      </c>
      <c r="R747">
        <v>4</v>
      </c>
      <c r="S747">
        <v>11</v>
      </c>
      <c r="T747">
        <f>Table[[#This Row],[NumWebPurchases]]+Table[[#This Row],[NumStorePurchases]]</f>
        <v>15</v>
      </c>
    </row>
    <row r="748" spans="1:20" ht="12.5">
      <c r="A748" s="6">
        <v>746</v>
      </c>
      <c r="B748" s="6">
        <v>7235</v>
      </c>
      <c r="C748" s="6">
        <v>1975</v>
      </c>
      <c r="D748" s="6">
        <f t="shared" si="44"/>
        <v>50</v>
      </c>
      <c r="E748" s="7" t="s">
        <v>17</v>
      </c>
      <c r="F748" s="7" t="s">
        <v>13</v>
      </c>
      <c r="G748" s="6">
        <v>17003</v>
      </c>
      <c r="H748" s="6" t="str" cm="1">
        <f t="array" ref="H748">_xlfn.IFS(
  G748 &lt; 25000, "Low",
  AND(G748 &gt;= 25000, G748 &lt; 75000), "Medium",
  AND(G748 &gt;= 75000, G748 &lt; 150000), "High",
  G748 &gt;= 150000, "Very High"
)</f>
        <v>Low</v>
      </c>
      <c r="I748" s="6">
        <v>1</v>
      </c>
      <c r="J748" s="6">
        <v>0</v>
      </c>
      <c r="K748" s="6">
        <f t="shared" si="45"/>
        <v>1</v>
      </c>
      <c r="L748" s="8">
        <v>41617</v>
      </c>
      <c r="M748" t="str">
        <f t="shared" ca="1" si="46"/>
        <v>12 years, 2 months</v>
      </c>
      <c r="N748" s="6">
        <v>37</v>
      </c>
      <c r="O748">
        <v>5</v>
      </c>
      <c r="P748">
        <v>8</v>
      </c>
      <c r="Q748">
        <f t="shared" si="47"/>
        <v>13</v>
      </c>
      <c r="R748">
        <v>2</v>
      </c>
      <c r="S748">
        <v>4</v>
      </c>
      <c r="T748">
        <f>Table[[#This Row],[NumWebPurchases]]+Table[[#This Row],[NumStorePurchases]]</f>
        <v>6</v>
      </c>
    </row>
    <row r="749" spans="1:20" ht="12.5">
      <c r="A749" s="6">
        <v>747</v>
      </c>
      <c r="B749" s="6">
        <v>10548</v>
      </c>
      <c r="C749" s="6">
        <v>1995</v>
      </c>
      <c r="D749" s="6">
        <f t="shared" si="44"/>
        <v>30</v>
      </c>
      <c r="E749" s="7" t="s">
        <v>9</v>
      </c>
      <c r="F749" s="7" t="s">
        <v>10</v>
      </c>
      <c r="G749" s="6">
        <v>71163</v>
      </c>
      <c r="H749" s="6" t="str" cm="1">
        <f t="array" ref="H749">_xlfn.IFS(
  G749 &lt; 25000, "Low",
  AND(G749 &gt;= 25000, G749 &lt; 75000), "Medium",
  AND(G749 &gt;= 75000, G749 &lt; 150000), "High",
  G749 &gt;= 150000, "Very High"
)</f>
        <v>Medium</v>
      </c>
      <c r="I749" s="6">
        <v>0</v>
      </c>
      <c r="J749" s="6">
        <v>0</v>
      </c>
      <c r="K749" s="6">
        <f t="shared" si="45"/>
        <v>0</v>
      </c>
      <c r="L749" s="8">
        <v>41707</v>
      </c>
      <c r="M749" t="str">
        <f t="shared" ca="1" si="46"/>
        <v>11 years, 11 months</v>
      </c>
      <c r="N749" s="6">
        <v>30</v>
      </c>
      <c r="O749">
        <v>17</v>
      </c>
      <c r="P749">
        <v>106</v>
      </c>
      <c r="Q749">
        <f t="shared" si="47"/>
        <v>123</v>
      </c>
      <c r="R749">
        <v>3</v>
      </c>
      <c r="S749">
        <v>12</v>
      </c>
      <c r="T749">
        <f>Table[[#This Row],[NumWebPurchases]]+Table[[#This Row],[NumStorePurchases]]</f>
        <v>15</v>
      </c>
    </row>
    <row r="750" spans="1:20" ht="12.5">
      <c r="A750" s="6">
        <v>748</v>
      </c>
      <c r="B750" s="6">
        <v>2281</v>
      </c>
      <c r="C750" s="6">
        <v>1970</v>
      </c>
      <c r="D750" s="6">
        <f t="shared" si="44"/>
        <v>55</v>
      </c>
      <c r="E750" s="7" t="s">
        <v>9</v>
      </c>
      <c r="F750" s="7" t="s">
        <v>10</v>
      </c>
      <c r="G750" s="6">
        <v>33697</v>
      </c>
      <c r="H750" s="6" t="str" cm="1">
        <f t="array" ref="H750">_xlfn.IFS(
  G750 &lt; 25000, "Low",
  AND(G750 &gt;= 25000, G750 &lt; 75000), "Medium",
  AND(G750 &gt;= 75000, G750 &lt; 150000), "High",
  G750 &gt;= 150000, "Very High"
)</f>
        <v>Medium</v>
      </c>
      <c r="I750" s="6">
        <v>1</v>
      </c>
      <c r="J750" s="6">
        <v>0</v>
      </c>
      <c r="K750" s="6">
        <f t="shared" si="45"/>
        <v>1</v>
      </c>
      <c r="L750" s="8">
        <v>41532</v>
      </c>
      <c r="M750" t="str">
        <f t="shared" ca="1" si="46"/>
        <v>12 years, 5 months</v>
      </c>
      <c r="N750" s="6">
        <v>34</v>
      </c>
      <c r="O750">
        <v>3</v>
      </c>
      <c r="P750">
        <v>3</v>
      </c>
      <c r="Q750">
        <f t="shared" si="47"/>
        <v>6</v>
      </c>
      <c r="R750">
        <v>1</v>
      </c>
      <c r="S750">
        <v>2</v>
      </c>
      <c r="T750">
        <f>Table[[#This Row],[NumWebPurchases]]+Table[[#This Row],[NumStorePurchases]]</f>
        <v>3</v>
      </c>
    </row>
    <row r="751" spans="1:20" ht="12.5">
      <c r="A751" s="6">
        <v>749</v>
      </c>
      <c r="B751" s="6">
        <v>4073</v>
      </c>
      <c r="C751" s="6">
        <v>1954</v>
      </c>
      <c r="D751" s="6">
        <f t="shared" si="44"/>
        <v>71</v>
      </c>
      <c r="E751" s="7" t="s">
        <v>17</v>
      </c>
      <c r="F751" s="7" t="s">
        <v>13</v>
      </c>
      <c r="G751" s="6">
        <v>63564</v>
      </c>
      <c r="H751" s="6" t="str" cm="1">
        <f t="array" ref="H751">_xlfn.IFS(
  G751 &lt; 25000, "Low",
  AND(G751 &gt;= 25000, G751 &lt; 75000), "Medium",
  AND(G751 &gt;= 75000, G751 &lt; 150000), "High",
  G751 &gt;= 150000, "Very High"
)</f>
        <v>Medium</v>
      </c>
      <c r="I751" s="6">
        <v>0</v>
      </c>
      <c r="J751" s="6">
        <v>0</v>
      </c>
      <c r="K751" s="6">
        <f t="shared" si="45"/>
        <v>0</v>
      </c>
      <c r="L751" s="8">
        <v>41668</v>
      </c>
      <c r="M751" t="str">
        <f t="shared" ca="1" si="46"/>
        <v>12 years, 1 months</v>
      </c>
      <c r="N751" s="6">
        <v>0</v>
      </c>
      <c r="O751">
        <v>80</v>
      </c>
      <c r="P751">
        <v>34</v>
      </c>
      <c r="Q751">
        <f t="shared" si="47"/>
        <v>114</v>
      </c>
      <c r="R751">
        <v>10</v>
      </c>
      <c r="S751">
        <v>7</v>
      </c>
      <c r="T751">
        <f>Table[[#This Row],[NumWebPurchases]]+Table[[#This Row],[NumStorePurchases]]</f>
        <v>17</v>
      </c>
    </row>
    <row r="752" spans="1:20" ht="12.5">
      <c r="A752" s="6">
        <v>750</v>
      </c>
      <c r="B752" s="6">
        <v>6974</v>
      </c>
      <c r="C752" s="6">
        <v>1972</v>
      </c>
      <c r="D752" s="6">
        <f t="shared" si="44"/>
        <v>53</v>
      </c>
      <c r="E752" s="7" t="s">
        <v>12</v>
      </c>
      <c r="F752" s="7" t="s">
        <v>11</v>
      </c>
      <c r="G752" s="6">
        <v>83443</v>
      </c>
      <c r="H752" s="6" t="str" cm="1">
        <f t="array" ref="H752">_xlfn.IFS(
  G752 &lt; 25000, "Low",
  AND(G752 &gt;= 25000, G752 &lt; 75000), "Medium",
  AND(G752 &gt;= 75000, G752 &lt; 150000), "High",
  G752 &gt;= 150000, "Very High"
)</f>
        <v>High</v>
      </c>
      <c r="I752" s="6">
        <v>0</v>
      </c>
      <c r="J752" s="6">
        <v>0</v>
      </c>
      <c r="K752" s="6">
        <f t="shared" si="45"/>
        <v>0</v>
      </c>
      <c r="L752" s="9">
        <v>41639</v>
      </c>
      <c r="M752" t="str">
        <f t="shared" ca="1" si="46"/>
        <v>12 years, 2 months</v>
      </c>
      <c r="N752" s="6">
        <v>89</v>
      </c>
      <c r="O752">
        <v>42</v>
      </c>
      <c r="P752">
        <v>56</v>
      </c>
      <c r="Q752">
        <f t="shared" si="47"/>
        <v>98</v>
      </c>
      <c r="R752">
        <v>6</v>
      </c>
      <c r="S752">
        <v>5</v>
      </c>
      <c r="T752">
        <f>Table[[#This Row],[NumWebPurchases]]+Table[[#This Row],[NumStorePurchases]]</f>
        <v>11</v>
      </c>
    </row>
    <row r="753" spans="1:20" ht="12.5">
      <c r="A753" s="6">
        <v>751</v>
      </c>
      <c r="B753" s="6">
        <v>7938</v>
      </c>
      <c r="C753" s="6">
        <v>1958</v>
      </c>
      <c r="D753" s="6">
        <f t="shared" si="44"/>
        <v>67</v>
      </c>
      <c r="E753" s="7" t="s">
        <v>12</v>
      </c>
      <c r="F753" s="7" t="s">
        <v>11</v>
      </c>
      <c r="G753" s="6">
        <v>51518</v>
      </c>
      <c r="H753" s="6" t="str" cm="1">
        <f t="array" ref="H753">_xlfn.IFS(
  G753 &lt; 25000, "Low",
  AND(G753 &gt;= 25000, G753 &lt; 75000), "Medium",
  AND(G753 &gt;= 75000, G753 &lt; 150000), "High",
  G753 &gt;= 150000, "Very High"
)</f>
        <v>Medium</v>
      </c>
      <c r="I753" s="6">
        <v>0</v>
      </c>
      <c r="J753" s="6">
        <v>1</v>
      </c>
      <c r="K753" s="6">
        <f t="shared" si="45"/>
        <v>1</v>
      </c>
      <c r="L753" s="8">
        <v>41550</v>
      </c>
      <c r="M753" t="str">
        <f t="shared" ca="1" si="46"/>
        <v>12 years, 5 months</v>
      </c>
      <c r="N753" s="6">
        <v>92</v>
      </c>
      <c r="O753">
        <v>8</v>
      </c>
      <c r="P753">
        <v>4</v>
      </c>
      <c r="Q753">
        <f t="shared" si="47"/>
        <v>12</v>
      </c>
      <c r="R753">
        <v>3</v>
      </c>
      <c r="S753">
        <v>10</v>
      </c>
      <c r="T753">
        <f>Table[[#This Row],[NumWebPurchases]]+Table[[#This Row],[NumStorePurchases]]</f>
        <v>13</v>
      </c>
    </row>
    <row r="754" spans="1:20" ht="12.5">
      <c r="A754" s="6">
        <v>752</v>
      </c>
      <c r="B754" s="6">
        <v>7094</v>
      </c>
      <c r="C754" s="6">
        <v>1975</v>
      </c>
      <c r="D754" s="6">
        <f t="shared" si="44"/>
        <v>50</v>
      </c>
      <c r="E754" s="7" t="s">
        <v>9</v>
      </c>
      <c r="F754" s="7" t="s">
        <v>18</v>
      </c>
      <c r="G754" s="6">
        <v>58330</v>
      </c>
      <c r="H754" s="6" t="str" cm="1">
        <f t="array" ref="H754">_xlfn.IFS(
  G754 &lt; 25000, "Low",
  AND(G754 &gt;= 25000, G754 &lt; 75000), "Medium",
  AND(G754 &gt;= 75000, G754 &lt; 150000), "High",
  G754 &gt;= 150000, "Very High"
)</f>
        <v>Medium</v>
      </c>
      <c r="I754" s="6">
        <v>0</v>
      </c>
      <c r="J754" s="6">
        <v>1</v>
      </c>
      <c r="K754" s="6">
        <f t="shared" si="45"/>
        <v>1</v>
      </c>
      <c r="L754" s="9">
        <v>41633</v>
      </c>
      <c r="M754" t="str">
        <f t="shared" ca="1" si="46"/>
        <v>12 years, 2 months</v>
      </c>
      <c r="N754" s="6">
        <v>87</v>
      </c>
      <c r="O754">
        <v>53</v>
      </c>
      <c r="P754">
        <v>98</v>
      </c>
      <c r="Q754">
        <f t="shared" si="47"/>
        <v>151</v>
      </c>
      <c r="R754">
        <v>6</v>
      </c>
      <c r="S754">
        <v>13</v>
      </c>
      <c r="T754">
        <f>Table[[#This Row],[NumWebPurchases]]+Table[[#This Row],[NumStorePurchases]]</f>
        <v>19</v>
      </c>
    </row>
    <row r="755" spans="1:20" ht="12.5">
      <c r="A755" s="6">
        <v>753</v>
      </c>
      <c r="B755" s="6">
        <v>3667</v>
      </c>
      <c r="C755" s="6">
        <v>1969</v>
      </c>
      <c r="D755" s="6">
        <f t="shared" si="44"/>
        <v>56</v>
      </c>
      <c r="E755" s="7" t="s">
        <v>9</v>
      </c>
      <c r="F755" s="7" t="s">
        <v>13</v>
      </c>
      <c r="G755" s="6">
        <v>80952</v>
      </c>
      <c r="H755" s="6" t="str" cm="1">
        <f t="array" ref="H755">_xlfn.IFS(
  G755 &lt; 25000, "Low",
  AND(G755 &gt;= 25000, G755 &lt; 75000), "Medium",
  AND(G755 &gt;= 75000, G755 &lt; 150000), "High",
  G755 &gt;= 150000, "Very High"
)</f>
        <v>High</v>
      </c>
      <c r="I755" s="6">
        <v>0</v>
      </c>
      <c r="J755" s="6">
        <v>0</v>
      </c>
      <c r="K755" s="6">
        <f t="shared" si="45"/>
        <v>0</v>
      </c>
      <c r="L755" s="8">
        <v>41333</v>
      </c>
      <c r="M755" t="str">
        <f t="shared" ca="1" si="46"/>
        <v>13 years, 0 months</v>
      </c>
      <c r="N755" s="6">
        <v>20</v>
      </c>
      <c r="O755">
        <v>178</v>
      </c>
      <c r="P755">
        <v>27</v>
      </c>
      <c r="Q755">
        <f t="shared" si="47"/>
        <v>205</v>
      </c>
      <c r="R755">
        <v>8</v>
      </c>
      <c r="S755">
        <v>11</v>
      </c>
      <c r="T755">
        <f>Table[[#This Row],[NumWebPurchases]]+Table[[#This Row],[NumStorePurchases]]</f>
        <v>19</v>
      </c>
    </row>
    <row r="756" spans="1:20" ht="12.5">
      <c r="A756" s="6">
        <v>754</v>
      </c>
      <c r="B756" s="6">
        <v>7723</v>
      </c>
      <c r="C756" s="6">
        <v>1979</v>
      </c>
      <c r="D756" s="6">
        <f t="shared" si="44"/>
        <v>46</v>
      </c>
      <c r="E756" s="7" t="s">
        <v>9</v>
      </c>
      <c r="F756" s="7" t="s">
        <v>11</v>
      </c>
      <c r="G756" s="6">
        <v>75507</v>
      </c>
      <c r="H756" s="6" t="str" cm="1">
        <f t="array" ref="H756">_xlfn.IFS(
  G756 &lt; 25000, "Low",
  AND(G756 &gt;= 25000, G756 &lt; 75000), "Medium",
  AND(G756 &gt;= 75000, G756 &lt; 150000), "High",
  G756 &gt;= 150000, "Very High"
)</f>
        <v>High</v>
      </c>
      <c r="I756" s="6">
        <v>0</v>
      </c>
      <c r="J756" s="6">
        <v>0</v>
      </c>
      <c r="K756" s="6">
        <f t="shared" si="45"/>
        <v>0</v>
      </c>
      <c r="L756" s="8">
        <v>41761</v>
      </c>
      <c r="M756" t="str">
        <f t="shared" ca="1" si="46"/>
        <v>11 years, 10 months</v>
      </c>
      <c r="N756" s="6">
        <v>56</v>
      </c>
      <c r="O756">
        <v>93</v>
      </c>
      <c r="P756">
        <v>80</v>
      </c>
      <c r="Q756">
        <f t="shared" si="47"/>
        <v>173</v>
      </c>
      <c r="R756">
        <v>8</v>
      </c>
      <c r="S756">
        <v>6</v>
      </c>
      <c r="T756">
        <f>Table[[#This Row],[NumWebPurchases]]+Table[[#This Row],[NumStorePurchases]]</f>
        <v>14</v>
      </c>
    </row>
    <row r="757" spans="1:20" ht="12.5">
      <c r="A757" s="6">
        <v>755</v>
      </c>
      <c r="B757" s="6">
        <v>3870</v>
      </c>
      <c r="C757" s="6">
        <v>1978</v>
      </c>
      <c r="D757" s="6">
        <f t="shared" si="44"/>
        <v>47</v>
      </c>
      <c r="E757" s="7" t="s">
        <v>17</v>
      </c>
      <c r="F757" s="7" t="s">
        <v>11</v>
      </c>
      <c r="G757" s="6">
        <v>63855</v>
      </c>
      <c r="H757" s="6" t="str" cm="1">
        <f t="array" ref="H757">_xlfn.IFS(
  G757 &lt; 25000, "Low",
  AND(G757 &gt;= 25000, G757 &lt; 75000), "Medium",
  AND(G757 &gt;= 75000, G757 &lt; 150000), "High",
  G757 &gt;= 150000, "Very High"
)</f>
        <v>Medium</v>
      </c>
      <c r="I757" s="6">
        <v>0</v>
      </c>
      <c r="J757" s="6">
        <v>0</v>
      </c>
      <c r="K757" s="6">
        <f t="shared" si="45"/>
        <v>0</v>
      </c>
      <c r="L757" s="8">
        <v>41314</v>
      </c>
      <c r="M757" t="str">
        <f t="shared" ca="1" si="46"/>
        <v>13 years, 0 months</v>
      </c>
      <c r="N757" s="6">
        <v>28</v>
      </c>
      <c r="O757">
        <v>35</v>
      </c>
      <c r="P757">
        <v>116</v>
      </c>
      <c r="Q757">
        <f t="shared" si="47"/>
        <v>151</v>
      </c>
      <c r="R757">
        <v>7</v>
      </c>
      <c r="S757">
        <v>13</v>
      </c>
      <c r="T757">
        <f>Table[[#This Row],[NumWebPurchases]]+Table[[#This Row],[NumStorePurchases]]</f>
        <v>20</v>
      </c>
    </row>
    <row r="758" spans="1:20" ht="12.5">
      <c r="A758" s="6">
        <v>756</v>
      </c>
      <c r="B758" s="6">
        <v>4012</v>
      </c>
      <c r="C758" s="6">
        <v>1972</v>
      </c>
      <c r="D758" s="6">
        <f t="shared" si="44"/>
        <v>53</v>
      </c>
      <c r="E758" s="7" t="s">
        <v>12</v>
      </c>
      <c r="F758" s="7" t="s">
        <v>11</v>
      </c>
      <c r="G758" s="6">
        <v>62220</v>
      </c>
      <c r="H758" s="6" t="str" cm="1">
        <f t="array" ref="H758">_xlfn.IFS(
  G758 &lt; 25000, "Low",
  AND(G758 &gt;= 25000, G758 &lt; 75000), "Medium",
  AND(G758 &gt;= 75000, G758 &lt; 150000), "High",
  G758 &gt;= 150000, "Very High"
)</f>
        <v>Medium</v>
      </c>
      <c r="I758" s="6">
        <v>0</v>
      </c>
      <c r="J758" s="6">
        <v>1</v>
      </c>
      <c r="K758" s="6">
        <f t="shared" si="45"/>
        <v>1</v>
      </c>
      <c r="L758" s="8">
        <v>41132</v>
      </c>
      <c r="M758" t="str">
        <f t="shared" ca="1" si="46"/>
        <v>13 years, 6 months</v>
      </c>
      <c r="N758" s="6">
        <v>55</v>
      </c>
      <c r="O758">
        <v>12</v>
      </c>
      <c r="P758">
        <v>12</v>
      </c>
      <c r="Q758">
        <f t="shared" si="47"/>
        <v>24</v>
      </c>
      <c r="R758">
        <v>7</v>
      </c>
      <c r="S758">
        <v>5</v>
      </c>
      <c r="T758">
        <f>Table[[#This Row],[NumWebPurchases]]+Table[[#This Row],[NumStorePurchases]]</f>
        <v>12</v>
      </c>
    </row>
    <row r="759" spans="1:20" ht="12.5">
      <c r="A759" s="6">
        <v>757</v>
      </c>
      <c r="B759" s="6">
        <v>5909</v>
      </c>
      <c r="C759" s="6">
        <v>1964</v>
      </c>
      <c r="D759" s="6">
        <f t="shared" si="44"/>
        <v>61</v>
      </c>
      <c r="E759" s="7" t="s">
        <v>9</v>
      </c>
      <c r="F759" s="7" t="s">
        <v>13</v>
      </c>
      <c r="G759" s="6">
        <v>58512</v>
      </c>
      <c r="H759" s="6" t="str" cm="1">
        <f t="array" ref="H759">_xlfn.IFS(
  G759 &lt; 25000, "Low",
  AND(G759 &gt;= 25000, G759 &lt; 75000), "Medium",
  AND(G759 &gt;= 75000, G759 &lt; 150000), "High",
  G759 &gt;= 150000, "Very High"
)</f>
        <v>Medium</v>
      </c>
      <c r="I759" s="6">
        <v>0</v>
      </c>
      <c r="J759" s="6">
        <v>1</v>
      </c>
      <c r="K759" s="6">
        <f t="shared" si="45"/>
        <v>1</v>
      </c>
      <c r="L759" s="8">
        <v>41536</v>
      </c>
      <c r="M759" t="str">
        <f t="shared" ca="1" si="46"/>
        <v>12 years, 5 months</v>
      </c>
      <c r="N759" s="6">
        <v>25</v>
      </c>
      <c r="O759">
        <v>10</v>
      </c>
      <c r="P759">
        <v>0</v>
      </c>
      <c r="Q759">
        <f t="shared" si="47"/>
        <v>10</v>
      </c>
      <c r="R759">
        <v>3</v>
      </c>
      <c r="S759">
        <v>8</v>
      </c>
      <c r="T759">
        <f>Table[[#This Row],[NumWebPurchases]]+Table[[#This Row],[NumStorePurchases]]</f>
        <v>11</v>
      </c>
    </row>
    <row r="760" spans="1:20" ht="12.5">
      <c r="A760" s="6">
        <v>758</v>
      </c>
      <c r="B760" s="6">
        <v>10470</v>
      </c>
      <c r="C760" s="6">
        <v>1979</v>
      </c>
      <c r="D760" s="6">
        <f t="shared" si="44"/>
        <v>46</v>
      </c>
      <c r="E760" s="7" t="s">
        <v>14</v>
      </c>
      <c r="F760" s="7" t="s">
        <v>13</v>
      </c>
      <c r="G760" s="6">
        <v>40662</v>
      </c>
      <c r="H760" s="6" t="str" cm="1">
        <f t="array" ref="H760">_xlfn.IFS(
  G760 &lt; 25000, "Low",
  AND(G760 &gt;= 25000, G760 &lt; 75000), "Medium",
  AND(G760 &gt;= 75000, G760 &lt; 150000), "High",
  G760 &gt;= 150000, "Very High"
)</f>
        <v>Medium</v>
      </c>
      <c r="I760" s="6">
        <v>1</v>
      </c>
      <c r="J760" s="6">
        <v>0</v>
      </c>
      <c r="K760" s="6">
        <f t="shared" si="45"/>
        <v>1</v>
      </c>
      <c r="L760" s="8">
        <v>41348</v>
      </c>
      <c r="M760" t="str">
        <f t="shared" ca="1" si="46"/>
        <v>12 years, 11 months</v>
      </c>
      <c r="N760" s="6">
        <v>0</v>
      </c>
      <c r="O760">
        <v>2</v>
      </c>
      <c r="P760">
        <v>4</v>
      </c>
      <c r="Q760">
        <f t="shared" si="47"/>
        <v>6</v>
      </c>
      <c r="R760">
        <v>2</v>
      </c>
      <c r="S760">
        <v>3</v>
      </c>
      <c r="T760">
        <f>Table[[#This Row],[NumWebPurchases]]+Table[[#This Row],[NumStorePurchases]]</f>
        <v>5</v>
      </c>
    </row>
    <row r="761" spans="1:20" ht="12.5">
      <c r="A761" s="6">
        <v>759</v>
      </c>
      <c r="B761" s="6">
        <v>6488</v>
      </c>
      <c r="C761" s="6">
        <v>1959</v>
      </c>
      <c r="D761" s="6">
        <f t="shared" si="44"/>
        <v>66</v>
      </c>
      <c r="E761" s="7" t="s">
        <v>12</v>
      </c>
      <c r="F761" s="7" t="s">
        <v>13</v>
      </c>
      <c r="G761" s="6">
        <v>38829</v>
      </c>
      <c r="H761" s="6" t="str" cm="1">
        <f t="array" ref="H761">_xlfn.IFS(
  G761 &lt; 25000, "Low",
  AND(G761 &gt;= 25000, G761 &lt; 75000), "Medium",
  AND(G761 &gt;= 75000, G761 &lt; 150000), "High",
  G761 &gt;= 150000, "Very High"
)</f>
        <v>Medium</v>
      </c>
      <c r="I761" s="6">
        <v>0</v>
      </c>
      <c r="J761" s="6">
        <v>1</v>
      </c>
      <c r="K761" s="6">
        <f t="shared" si="45"/>
        <v>1</v>
      </c>
      <c r="L761" s="8">
        <v>41735</v>
      </c>
      <c r="M761" t="str">
        <f t="shared" ca="1" si="46"/>
        <v>11 years, 11 months</v>
      </c>
      <c r="N761" s="6">
        <v>86</v>
      </c>
      <c r="O761">
        <v>0</v>
      </c>
      <c r="P761">
        <v>0</v>
      </c>
      <c r="Q761">
        <f t="shared" si="47"/>
        <v>0</v>
      </c>
      <c r="R761">
        <v>3</v>
      </c>
      <c r="S761">
        <v>2</v>
      </c>
      <c r="T761">
        <f>Table[[#This Row],[NumWebPurchases]]+Table[[#This Row],[NumStorePurchases]]</f>
        <v>5</v>
      </c>
    </row>
    <row r="762" spans="1:20" ht="12.5">
      <c r="A762" s="6">
        <v>760</v>
      </c>
      <c r="B762" s="6">
        <v>10270</v>
      </c>
      <c r="C762" s="6">
        <v>1981</v>
      </c>
      <c r="D762" s="6">
        <f t="shared" si="44"/>
        <v>44</v>
      </c>
      <c r="E762" s="7" t="s">
        <v>17</v>
      </c>
      <c r="F762" s="7" t="s">
        <v>13</v>
      </c>
      <c r="G762" s="6">
        <v>35523</v>
      </c>
      <c r="H762" s="6" t="str" cm="1">
        <f t="array" ref="H762">_xlfn.IFS(
  G762 &lt; 25000, "Low",
  AND(G762 &gt;= 25000, G762 &lt; 75000), "Medium",
  AND(G762 &gt;= 75000, G762 &lt; 150000), "High",
  G762 &gt;= 150000, "Very High"
)</f>
        <v>Medium</v>
      </c>
      <c r="I762" s="6">
        <v>1</v>
      </c>
      <c r="J762" s="6">
        <v>0</v>
      </c>
      <c r="K762" s="6">
        <f t="shared" si="45"/>
        <v>1</v>
      </c>
      <c r="L762" s="8">
        <v>41550</v>
      </c>
      <c r="M762" t="str">
        <f t="shared" ca="1" si="46"/>
        <v>12 years, 5 months</v>
      </c>
      <c r="N762" s="6">
        <v>8</v>
      </c>
      <c r="O762">
        <v>5</v>
      </c>
      <c r="P762">
        <v>5</v>
      </c>
      <c r="Q762">
        <f t="shared" si="47"/>
        <v>10</v>
      </c>
      <c r="R762">
        <v>3</v>
      </c>
      <c r="S762">
        <v>3</v>
      </c>
      <c r="T762">
        <f>Table[[#This Row],[NumWebPurchases]]+Table[[#This Row],[NumStorePurchases]]</f>
        <v>6</v>
      </c>
    </row>
    <row r="763" spans="1:20" ht="12.5">
      <c r="A763" s="6">
        <v>761</v>
      </c>
      <c r="B763" s="6">
        <v>6887</v>
      </c>
      <c r="C763" s="6">
        <v>1967</v>
      </c>
      <c r="D763" s="6">
        <f t="shared" si="44"/>
        <v>58</v>
      </c>
      <c r="E763" s="7" t="s">
        <v>9</v>
      </c>
      <c r="F763" s="7" t="s">
        <v>10</v>
      </c>
      <c r="G763" s="6">
        <v>79146</v>
      </c>
      <c r="H763" s="6" t="str" cm="1">
        <f t="array" ref="H763">_xlfn.IFS(
  G763 &lt; 25000, "Low",
  AND(G763 &gt;= 25000, G763 &lt; 75000), "Medium",
  AND(G763 &gt;= 75000, G763 &lt; 150000), "High",
  G763 &gt;= 150000, "Very High"
)</f>
        <v>High</v>
      </c>
      <c r="I763" s="6">
        <v>1</v>
      </c>
      <c r="J763" s="6">
        <v>1</v>
      </c>
      <c r="K763" s="6">
        <f t="shared" si="45"/>
        <v>2</v>
      </c>
      <c r="L763" s="8">
        <v>41753</v>
      </c>
      <c r="M763" t="str">
        <f t="shared" ca="1" si="46"/>
        <v>11 years, 10 months</v>
      </c>
      <c r="N763" s="6">
        <v>33</v>
      </c>
      <c r="O763">
        <v>16</v>
      </c>
      <c r="P763">
        <v>43</v>
      </c>
      <c r="Q763">
        <f t="shared" si="47"/>
        <v>59</v>
      </c>
      <c r="R763">
        <v>8</v>
      </c>
      <c r="S763">
        <v>8</v>
      </c>
      <c r="T763">
        <f>Table[[#This Row],[NumWebPurchases]]+Table[[#This Row],[NumStorePurchases]]</f>
        <v>16</v>
      </c>
    </row>
    <row r="764" spans="1:20" ht="12.5">
      <c r="A764" s="6">
        <v>762</v>
      </c>
      <c r="B764" s="6">
        <v>6406</v>
      </c>
      <c r="C764" s="6">
        <v>1988</v>
      </c>
      <c r="D764" s="6">
        <f t="shared" si="44"/>
        <v>37</v>
      </c>
      <c r="E764" s="7" t="s">
        <v>14</v>
      </c>
      <c r="F764" s="7" t="s">
        <v>13</v>
      </c>
      <c r="G764" s="6">
        <v>78285</v>
      </c>
      <c r="H764" s="6" t="str" cm="1">
        <f t="array" ref="H764">_xlfn.IFS(
  G764 &lt; 25000, "Low",
  AND(G764 &gt;= 25000, G764 &lt; 75000), "Medium",
  AND(G764 &gt;= 75000, G764 &lt; 150000), "High",
  G764 &gt;= 150000, "Very High"
)</f>
        <v>High</v>
      </c>
      <c r="I764" s="6">
        <v>0</v>
      </c>
      <c r="J764" s="6">
        <v>0</v>
      </c>
      <c r="K764" s="6">
        <f t="shared" si="45"/>
        <v>0</v>
      </c>
      <c r="L764" s="9">
        <v>41575</v>
      </c>
      <c r="M764" t="str">
        <f t="shared" ca="1" si="46"/>
        <v>12 years, 4 months</v>
      </c>
      <c r="N764" s="6">
        <v>13</v>
      </c>
      <c r="O764">
        <v>107</v>
      </c>
      <c r="P764">
        <v>67</v>
      </c>
      <c r="Q764">
        <f t="shared" si="47"/>
        <v>174</v>
      </c>
      <c r="R764">
        <v>6</v>
      </c>
      <c r="S764">
        <v>10</v>
      </c>
      <c r="T764">
        <f>Table[[#This Row],[NumWebPurchases]]+Table[[#This Row],[NumStorePurchases]]</f>
        <v>16</v>
      </c>
    </row>
    <row r="765" spans="1:20" ht="12.5">
      <c r="A765" s="6">
        <v>763</v>
      </c>
      <c r="B765" s="6">
        <v>7573</v>
      </c>
      <c r="C765" s="6">
        <v>1978</v>
      </c>
      <c r="D765" s="6">
        <f t="shared" si="44"/>
        <v>47</v>
      </c>
      <c r="E765" s="7" t="s">
        <v>12</v>
      </c>
      <c r="F765" s="7" t="s">
        <v>10</v>
      </c>
      <c r="G765" s="6">
        <v>31626</v>
      </c>
      <c r="H765" s="6" t="str" cm="1">
        <f t="array" ref="H765">_xlfn.IFS(
  G765 &lt; 25000, "Low",
  AND(G765 &gt;= 25000, G765 &lt; 75000), "Medium",
  AND(G765 &gt;= 75000, G765 &lt; 150000), "High",
  G765 &gt;= 150000, "Very High"
)</f>
        <v>Medium</v>
      </c>
      <c r="I765" s="6">
        <v>1</v>
      </c>
      <c r="J765" s="6">
        <v>0</v>
      </c>
      <c r="K765" s="6">
        <f t="shared" si="45"/>
        <v>1</v>
      </c>
      <c r="L765" s="8">
        <v>41404</v>
      </c>
      <c r="M765" t="str">
        <f t="shared" ca="1" si="46"/>
        <v>12 years, 9 months</v>
      </c>
      <c r="N765" s="6">
        <v>12</v>
      </c>
      <c r="O765">
        <v>1</v>
      </c>
      <c r="P765">
        <v>1</v>
      </c>
      <c r="Q765">
        <f t="shared" si="47"/>
        <v>2</v>
      </c>
      <c r="R765">
        <v>2</v>
      </c>
      <c r="S765">
        <v>2</v>
      </c>
      <c r="T765">
        <f>Table[[#This Row],[NumWebPurchases]]+Table[[#This Row],[NumStorePurchases]]</f>
        <v>4</v>
      </c>
    </row>
    <row r="766" spans="1:20" ht="12.5">
      <c r="A766" s="6">
        <v>764</v>
      </c>
      <c r="B766" s="6">
        <v>4508</v>
      </c>
      <c r="C766" s="6">
        <v>1952</v>
      </c>
      <c r="D766" s="6">
        <f t="shared" si="44"/>
        <v>73</v>
      </c>
      <c r="E766" s="7" t="s">
        <v>9</v>
      </c>
      <c r="F766" s="7" t="s">
        <v>10</v>
      </c>
      <c r="G766" s="6">
        <v>75127</v>
      </c>
      <c r="H766" s="6" t="str" cm="1">
        <f t="array" ref="H766">_xlfn.IFS(
  G766 &lt; 25000, "Low",
  AND(G766 &gt;= 25000, G766 &lt; 75000), "Medium",
  AND(G766 &gt;= 75000, G766 &lt; 150000), "High",
  G766 &gt;= 150000, "Very High"
)</f>
        <v>High</v>
      </c>
      <c r="I766" s="6">
        <v>0</v>
      </c>
      <c r="J766" s="6">
        <v>0</v>
      </c>
      <c r="K766" s="6">
        <f t="shared" si="45"/>
        <v>0</v>
      </c>
      <c r="L766" s="8">
        <v>41781</v>
      </c>
      <c r="M766" t="str">
        <f t="shared" ca="1" si="46"/>
        <v>11 years, 9 months</v>
      </c>
      <c r="N766" s="6">
        <v>92</v>
      </c>
      <c r="O766">
        <v>35</v>
      </c>
      <c r="P766">
        <v>17</v>
      </c>
      <c r="Q766">
        <f t="shared" si="47"/>
        <v>52</v>
      </c>
      <c r="R766">
        <v>2</v>
      </c>
      <c r="S766">
        <v>5</v>
      </c>
      <c r="T766">
        <f>Table[[#This Row],[NumWebPurchases]]+Table[[#This Row],[NumStorePurchases]]</f>
        <v>7</v>
      </c>
    </row>
    <row r="767" spans="1:20" ht="12.5">
      <c r="A767" s="6">
        <v>765</v>
      </c>
      <c r="B767" s="6">
        <v>221</v>
      </c>
      <c r="C767" s="6">
        <v>1955</v>
      </c>
      <c r="D767" s="6">
        <f t="shared" si="44"/>
        <v>70</v>
      </c>
      <c r="E767" s="7" t="s">
        <v>9</v>
      </c>
      <c r="F767" s="7" t="s">
        <v>13</v>
      </c>
      <c r="G767" s="6">
        <v>48726</v>
      </c>
      <c r="H767" s="6" t="str" cm="1">
        <f t="array" ref="H767">_xlfn.IFS(
  G767 &lt; 25000, "Low",
  AND(G767 &gt;= 25000, G767 &lt; 75000), "Medium",
  AND(G767 &gt;= 75000, G767 &lt; 150000), "High",
  G767 &gt;= 150000, "Very High"
)</f>
        <v>Medium</v>
      </c>
      <c r="I767" s="6">
        <v>0</v>
      </c>
      <c r="J767" s="6">
        <v>1</v>
      </c>
      <c r="K767" s="6">
        <f t="shared" si="45"/>
        <v>1</v>
      </c>
      <c r="L767" s="8">
        <v>41391</v>
      </c>
      <c r="M767" t="str">
        <f t="shared" ca="1" si="46"/>
        <v>12 years, 10 months</v>
      </c>
      <c r="N767" s="6">
        <v>90</v>
      </c>
      <c r="O767">
        <v>3</v>
      </c>
      <c r="P767">
        <v>0</v>
      </c>
      <c r="Q767">
        <f t="shared" si="47"/>
        <v>3</v>
      </c>
      <c r="R767">
        <v>3</v>
      </c>
      <c r="S767">
        <v>4</v>
      </c>
      <c r="T767">
        <f>Table[[#This Row],[NumWebPurchases]]+Table[[#This Row],[NumStorePurchases]]</f>
        <v>7</v>
      </c>
    </row>
    <row r="768" spans="1:20" ht="12.5">
      <c r="A768" s="6">
        <v>766</v>
      </c>
      <c r="B768" s="6">
        <v>5331</v>
      </c>
      <c r="C768" s="6">
        <v>1977</v>
      </c>
      <c r="D768" s="6">
        <f t="shared" si="44"/>
        <v>48</v>
      </c>
      <c r="E768" s="7" t="s">
        <v>9</v>
      </c>
      <c r="F768" s="7" t="s">
        <v>13</v>
      </c>
      <c r="G768" s="6">
        <v>74985</v>
      </c>
      <c r="H768" s="6" t="str" cm="1">
        <f t="array" ref="H768">_xlfn.IFS(
  G768 &lt; 25000, "Low",
  AND(G768 &gt;= 25000, G768 &lt; 75000), "Medium",
  AND(G768 &gt;= 75000, G768 &lt; 150000), "High",
  G768 &gt;= 150000, "Very High"
)</f>
        <v>Medium</v>
      </c>
      <c r="I768" s="6">
        <v>0</v>
      </c>
      <c r="J768" s="6">
        <v>0</v>
      </c>
      <c r="K768" s="6">
        <f t="shared" si="45"/>
        <v>0</v>
      </c>
      <c r="L768" s="8">
        <v>41163</v>
      </c>
      <c r="M768" t="str">
        <f t="shared" ca="1" si="46"/>
        <v>13 years, 5 months</v>
      </c>
      <c r="N768" s="6">
        <v>8</v>
      </c>
      <c r="O768">
        <v>51</v>
      </c>
      <c r="P768">
        <v>0</v>
      </c>
      <c r="Q768">
        <f t="shared" si="47"/>
        <v>51</v>
      </c>
      <c r="R768">
        <v>3</v>
      </c>
      <c r="S768">
        <v>7</v>
      </c>
      <c r="T768">
        <f>Table[[#This Row],[NumWebPurchases]]+Table[[#This Row],[NumStorePurchases]]</f>
        <v>10</v>
      </c>
    </row>
    <row r="769" spans="1:20" ht="12.5">
      <c r="A769" s="6">
        <v>767</v>
      </c>
      <c r="B769" s="6">
        <v>1911</v>
      </c>
      <c r="C769" s="6">
        <v>1987</v>
      </c>
      <c r="D769" s="6">
        <f t="shared" si="44"/>
        <v>38</v>
      </c>
      <c r="E769" s="7" t="s">
        <v>9</v>
      </c>
      <c r="F769" s="7" t="s">
        <v>11</v>
      </c>
      <c r="G769" s="6">
        <v>67430</v>
      </c>
      <c r="H769" s="6" t="str" cm="1">
        <f t="array" ref="H769">_xlfn.IFS(
  G769 &lt; 25000, "Low",
  AND(G769 &gt;= 25000, G769 &lt; 75000), "Medium",
  AND(G769 &gt;= 75000, G769 &lt; 150000), "High",
  G769 &gt;= 150000, "Very High"
)</f>
        <v>Medium</v>
      </c>
      <c r="I769" s="6">
        <v>0</v>
      </c>
      <c r="J769" s="6">
        <v>0</v>
      </c>
      <c r="K769" s="6">
        <f t="shared" si="45"/>
        <v>0</v>
      </c>
      <c r="L769" s="8">
        <v>41157</v>
      </c>
      <c r="M769" t="str">
        <f t="shared" ca="1" si="46"/>
        <v>13 years, 6 months</v>
      </c>
      <c r="N769" s="6">
        <v>6</v>
      </c>
      <c r="O769">
        <v>97</v>
      </c>
      <c r="P769">
        <v>133</v>
      </c>
      <c r="Q769">
        <f t="shared" si="47"/>
        <v>230</v>
      </c>
      <c r="R769">
        <v>11</v>
      </c>
      <c r="S769">
        <v>12</v>
      </c>
      <c r="T769">
        <f>Table[[#This Row],[NumWebPurchases]]+Table[[#This Row],[NumStorePurchases]]</f>
        <v>23</v>
      </c>
    </row>
    <row r="770" spans="1:20" ht="12.5">
      <c r="A770" s="6">
        <v>768</v>
      </c>
      <c r="B770" s="6">
        <v>20</v>
      </c>
      <c r="C770" s="6">
        <v>1965</v>
      </c>
      <c r="D770" s="6">
        <f t="shared" si="44"/>
        <v>60</v>
      </c>
      <c r="E770" s="7" t="s">
        <v>17</v>
      </c>
      <c r="F770" s="7" t="s">
        <v>13</v>
      </c>
      <c r="G770" s="6">
        <v>46891</v>
      </c>
      <c r="H770" s="6" t="str" cm="1">
        <f t="array" ref="H770">_xlfn.IFS(
  G770 &lt; 25000, "Low",
  AND(G770 &gt;= 25000, G770 &lt; 75000), "Medium",
  AND(G770 &gt;= 75000, G770 &lt; 150000), "High",
  G770 &gt;= 150000, "Very High"
)</f>
        <v>Medium</v>
      </c>
      <c r="I770" s="6">
        <v>0</v>
      </c>
      <c r="J770" s="6">
        <v>1</v>
      </c>
      <c r="K770" s="6">
        <f t="shared" si="45"/>
        <v>1</v>
      </c>
      <c r="L770" s="8">
        <v>41518</v>
      </c>
      <c r="M770" t="str">
        <f t="shared" ca="1" si="46"/>
        <v>12 years, 6 months</v>
      </c>
      <c r="N770" s="6">
        <v>91</v>
      </c>
      <c r="O770">
        <v>12</v>
      </c>
      <c r="P770">
        <v>15</v>
      </c>
      <c r="Q770">
        <f t="shared" si="47"/>
        <v>27</v>
      </c>
      <c r="R770">
        <v>2</v>
      </c>
      <c r="S770">
        <v>4</v>
      </c>
      <c r="T770">
        <f>Table[[#This Row],[NumWebPurchases]]+Table[[#This Row],[NumStorePurchases]]</f>
        <v>6</v>
      </c>
    </row>
    <row r="771" spans="1:20" ht="12.5">
      <c r="A771" s="6">
        <v>769</v>
      </c>
      <c r="B771" s="6">
        <v>8786</v>
      </c>
      <c r="C771" s="6">
        <v>1956</v>
      </c>
      <c r="D771" s="6">
        <f t="shared" ref="D771:D834" si="48">2025-C771</f>
        <v>69</v>
      </c>
      <c r="E771" s="7" t="s">
        <v>14</v>
      </c>
      <c r="F771" s="7" t="s">
        <v>13</v>
      </c>
      <c r="G771" s="6">
        <v>62058</v>
      </c>
      <c r="H771" s="6" t="str" cm="1">
        <f t="array" ref="H771">_xlfn.IFS(
  G771 &lt; 25000, "Low",
  AND(G771 &gt;= 25000, G771 &lt; 75000), "Medium",
  AND(G771 &gt;= 75000, G771 &lt; 150000), "High",
  G771 &gt;= 150000, "Very High"
)</f>
        <v>Medium</v>
      </c>
      <c r="I771" s="6">
        <v>0</v>
      </c>
      <c r="J771" s="6">
        <v>1</v>
      </c>
      <c r="K771" s="6">
        <f t="shared" ref="K771:K834" si="49">I771+J771</f>
        <v>1</v>
      </c>
      <c r="L771" s="8">
        <v>41420</v>
      </c>
      <c r="M771" t="str">
        <f t="shared" ref="M771:M834" ca="1" si="50">DATEDIF(L771, TODAY(), "Y") &amp; " years, " &amp; DATEDIF(L771, TODAY(), "YM") &amp; " months"</f>
        <v>12 years, 9 months</v>
      </c>
      <c r="N771" s="6">
        <v>52</v>
      </c>
      <c r="O771">
        <v>7</v>
      </c>
      <c r="P771">
        <v>0</v>
      </c>
      <c r="Q771">
        <f t="shared" ref="Q771:Q834" si="51">O771+P771</f>
        <v>7</v>
      </c>
      <c r="R771">
        <v>6</v>
      </c>
      <c r="S771">
        <v>7</v>
      </c>
      <c r="T771">
        <f>Table[[#This Row],[NumWebPurchases]]+Table[[#This Row],[NumStorePurchases]]</f>
        <v>13</v>
      </c>
    </row>
    <row r="772" spans="1:20" ht="12.5">
      <c r="A772" s="6">
        <v>770</v>
      </c>
      <c r="B772" s="6">
        <v>10582</v>
      </c>
      <c r="C772" s="6">
        <v>1979</v>
      </c>
      <c r="D772" s="6">
        <f t="shared" si="48"/>
        <v>46</v>
      </c>
      <c r="E772" s="7" t="s">
        <v>9</v>
      </c>
      <c r="F772" s="7" t="s">
        <v>13</v>
      </c>
      <c r="G772" s="6">
        <v>72063</v>
      </c>
      <c r="H772" s="6" t="str" cm="1">
        <f t="array" ref="H772">_xlfn.IFS(
  G772 &lt; 25000, "Low",
  AND(G772 &gt;= 25000, G772 &lt; 75000), "Medium",
  AND(G772 &gt;= 75000, G772 &lt; 150000), "High",
  G772 &gt;= 150000, "Very High"
)</f>
        <v>Medium</v>
      </c>
      <c r="I772" s="6">
        <v>0</v>
      </c>
      <c r="J772" s="6">
        <v>1</v>
      </c>
      <c r="K772" s="6">
        <f t="shared" si="49"/>
        <v>1</v>
      </c>
      <c r="L772" s="8">
        <v>41458</v>
      </c>
      <c r="M772" t="str">
        <f t="shared" ca="1" si="50"/>
        <v>12 years, 8 months</v>
      </c>
      <c r="N772" s="6">
        <v>3</v>
      </c>
      <c r="O772">
        <v>32</v>
      </c>
      <c r="P772">
        <v>32</v>
      </c>
      <c r="Q772">
        <f t="shared" si="51"/>
        <v>64</v>
      </c>
      <c r="R772">
        <v>5</v>
      </c>
      <c r="S772">
        <v>12</v>
      </c>
      <c r="T772">
        <f>Table[[#This Row],[NumWebPurchases]]+Table[[#This Row],[NumStorePurchases]]</f>
        <v>17</v>
      </c>
    </row>
    <row r="773" spans="1:20" ht="12.5">
      <c r="A773" s="6">
        <v>771</v>
      </c>
      <c r="B773" s="6">
        <v>1915</v>
      </c>
      <c r="C773" s="6">
        <v>1951</v>
      </c>
      <c r="D773" s="6">
        <f t="shared" si="48"/>
        <v>74</v>
      </c>
      <c r="E773" s="7" t="s">
        <v>12</v>
      </c>
      <c r="F773" s="7" t="s">
        <v>13</v>
      </c>
      <c r="G773" s="6">
        <v>78939</v>
      </c>
      <c r="H773" s="6" t="str" cm="1">
        <f t="array" ref="H773">_xlfn.IFS(
  G773 &lt; 25000, "Low",
  AND(G773 &gt;= 25000, G773 &lt; 75000), "Medium",
  AND(G773 &gt;= 75000, G773 &lt; 150000), "High",
  G773 &gt;= 150000, "Very High"
)</f>
        <v>High</v>
      </c>
      <c r="I773" s="6">
        <v>0</v>
      </c>
      <c r="J773" s="6">
        <v>0</v>
      </c>
      <c r="K773" s="6">
        <f t="shared" si="49"/>
        <v>0</v>
      </c>
      <c r="L773" s="9">
        <v>41620</v>
      </c>
      <c r="M773" t="str">
        <f t="shared" ca="1" si="50"/>
        <v>12 years, 2 months</v>
      </c>
      <c r="N773" s="6">
        <v>57</v>
      </c>
      <c r="O773">
        <v>115</v>
      </c>
      <c r="P773">
        <v>0</v>
      </c>
      <c r="Q773">
        <f t="shared" si="51"/>
        <v>115</v>
      </c>
      <c r="R773">
        <v>8</v>
      </c>
      <c r="S773">
        <v>6</v>
      </c>
      <c r="T773">
        <f>Table[[#This Row],[NumWebPurchases]]+Table[[#This Row],[NumStorePurchases]]</f>
        <v>14</v>
      </c>
    </row>
    <row r="774" spans="1:20" ht="12.5">
      <c r="A774" s="6">
        <v>772</v>
      </c>
      <c r="B774" s="6">
        <v>8897</v>
      </c>
      <c r="C774" s="6">
        <v>1965</v>
      </c>
      <c r="D774" s="6">
        <f t="shared" si="48"/>
        <v>60</v>
      </c>
      <c r="E774" s="7" t="s">
        <v>9</v>
      </c>
      <c r="F774" s="7" t="s">
        <v>10</v>
      </c>
      <c r="G774" s="6">
        <v>42720</v>
      </c>
      <c r="H774" s="6" t="str" cm="1">
        <f t="array" ref="H774">_xlfn.IFS(
  G774 &lt; 25000, "Low",
  AND(G774 &gt;= 25000, G774 &lt; 75000), "Medium",
  AND(G774 &gt;= 75000, G774 &lt; 150000), "High",
  G774 &gt;= 150000, "Very High"
)</f>
        <v>Medium</v>
      </c>
      <c r="I774" s="6">
        <v>1</v>
      </c>
      <c r="J774" s="6">
        <v>1</v>
      </c>
      <c r="K774" s="6">
        <f t="shared" si="49"/>
        <v>2</v>
      </c>
      <c r="L774" s="8">
        <v>41388</v>
      </c>
      <c r="M774" t="str">
        <f t="shared" ca="1" si="50"/>
        <v>12 years, 10 months</v>
      </c>
      <c r="N774" s="6">
        <v>9</v>
      </c>
      <c r="O774">
        <v>5</v>
      </c>
      <c r="P774">
        <v>26</v>
      </c>
      <c r="Q774">
        <f t="shared" si="51"/>
        <v>31</v>
      </c>
      <c r="R774">
        <v>7</v>
      </c>
      <c r="S774">
        <v>7</v>
      </c>
      <c r="T774">
        <f>Table[[#This Row],[NumWebPurchases]]+Table[[#This Row],[NumStorePurchases]]</f>
        <v>14</v>
      </c>
    </row>
    <row r="775" spans="1:20" ht="12.5">
      <c r="A775" s="6">
        <v>773</v>
      </c>
      <c r="B775" s="6">
        <v>2371</v>
      </c>
      <c r="C775" s="6">
        <v>1972</v>
      </c>
      <c r="D775" s="6">
        <f t="shared" si="48"/>
        <v>53</v>
      </c>
      <c r="E775" s="7" t="s">
        <v>9</v>
      </c>
      <c r="F775" s="7" t="s">
        <v>13</v>
      </c>
      <c r="G775" s="6">
        <v>33622</v>
      </c>
      <c r="H775" s="6" t="str" cm="1">
        <f t="array" ref="H775">_xlfn.IFS(
  G775 &lt; 25000, "Low",
  AND(G775 &gt;= 25000, G775 &lt; 75000), "Medium",
  AND(G775 &gt;= 75000, G775 &lt; 150000), "High",
  G775 &gt;= 150000, "Very High"
)</f>
        <v>Medium</v>
      </c>
      <c r="I775" s="6">
        <v>1</v>
      </c>
      <c r="J775" s="6">
        <v>1</v>
      </c>
      <c r="K775" s="6">
        <f t="shared" si="49"/>
        <v>2</v>
      </c>
      <c r="L775" s="8">
        <v>41377</v>
      </c>
      <c r="M775" t="str">
        <f t="shared" ca="1" si="50"/>
        <v>12 years, 10 months</v>
      </c>
      <c r="N775" s="6">
        <v>22</v>
      </c>
      <c r="O775">
        <v>1</v>
      </c>
      <c r="P775">
        <v>4</v>
      </c>
      <c r="Q775">
        <f t="shared" si="51"/>
        <v>5</v>
      </c>
      <c r="R775">
        <v>2</v>
      </c>
      <c r="S775">
        <v>4</v>
      </c>
      <c r="T775">
        <f>Table[[#This Row],[NumWebPurchases]]+Table[[#This Row],[NumStorePurchases]]</f>
        <v>6</v>
      </c>
    </row>
    <row r="776" spans="1:20" ht="12.5">
      <c r="A776" s="6">
        <v>774</v>
      </c>
      <c r="B776" s="6">
        <v>4303</v>
      </c>
      <c r="C776" s="6">
        <v>1957</v>
      </c>
      <c r="D776" s="6">
        <f t="shared" si="48"/>
        <v>68</v>
      </c>
      <c r="E776" s="7" t="s">
        <v>12</v>
      </c>
      <c r="F776" s="7" t="s">
        <v>11</v>
      </c>
      <c r="G776" s="6">
        <v>6835</v>
      </c>
      <c r="H776" s="6" t="str" cm="1">
        <f t="array" ref="H776">_xlfn.IFS(
  G776 &lt; 25000, "Low",
  AND(G776 &gt;= 25000, G776 &lt; 75000), "Medium",
  AND(G776 &gt;= 75000, G776 &lt; 150000), "High",
  G776 &gt;= 150000, "Very High"
)</f>
        <v>Low</v>
      </c>
      <c r="I776" s="6">
        <v>0</v>
      </c>
      <c r="J776" s="6">
        <v>1</v>
      </c>
      <c r="K776" s="6">
        <f t="shared" si="49"/>
        <v>1</v>
      </c>
      <c r="L776" s="8">
        <v>41251</v>
      </c>
      <c r="M776" t="str">
        <f t="shared" ca="1" si="50"/>
        <v>13 years, 2 months</v>
      </c>
      <c r="N776" s="6">
        <v>76</v>
      </c>
      <c r="O776">
        <v>2</v>
      </c>
      <c r="P776">
        <v>2</v>
      </c>
      <c r="Q776">
        <f t="shared" si="51"/>
        <v>4</v>
      </c>
      <c r="R776">
        <v>0</v>
      </c>
      <c r="S776">
        <v>1</v>
      </c>
      <c r="T776">
        <f>Table[[#This Row],[NumWebPurchases]]+Table[[#This Row],[NumStorePurchases]]</f>
        <v>1</v>
      </c>
    </row>
    <row r="777" spans="1:20" ht="12.5">
      <c r="A777" s="6">
        <v>775</v>
      </c>
      <c r="B777" s="6">
        <v>6825</v>
      </c>
      <c r="C777" s="6">
        <v>1953</v>
      </c>
      <c r="D777" s="6">
        <f t="shared" si="48"/>
        <v>72</v>
      </c>
      <c r="E777" s="7" t="s">
        <v>9</v>
      </c>
      <c r="F777" s="7" t="s">
        <v>11</v>
      </c>
      <c r="G777" s="6">
        <v>41452</v>
      </c>
      <c r="H777" s="6" t="str" cm="1">
        <f t="array" ref="H777">_xlfn.IFS(
  G777 &lt; 25000, "Low",
  AND(G777 &gt;= 25000, G777 &lt; 75000), "Medium",
  AND(G777 &gt;= 75000, G777 &lt; 150000), "High",
  G777 &gt;= 150000, "Very High"
)</f>
        <v>Medium</v>
      </c>
      <c r="I777" s="6">
        <v>1</v>
      </c>
      <c r="J777" s="6">
        <v>1</v>
      </c>
      <c r="K777" s="6">
        <f t="shared" si="49"/>
        <v>2</v>
      </c>
      <c r="L777" s="8">
        <v>41339</v>
      </c>
      <c r="M777" t="str">
        <f t="shared" ca="1" si="50"/>
        <v>13 years, 0 months</v>
      </c>
      <c r="N777" s="6">
        <v>86</v>
      </c>
      <c r="O777">
        <v>0</v>
      </c>
      <c r="P777">
        <v>0</v>
      </c>
      <c r="Q777">
        <f t="shared" si="51"/>
        <v>0</v>
      </c>
      <c r="R777">
        <v>1</v>
      </c>
      <c r="S777">
        <v>2</v>
      </c>
      <c r="T777">
        <f>Table[[#This Row],[NumWebPurchases]]+Table[[#This Row],[NumStorePurchases]]</f>
        <v>3</v>
      </c>
    </row>
    <row r="778" spans="1:20" ht="12.5">
      <c r="A778" s="6">
        <v>776</v>
      </c>
      <c r="B778" s="6">
        <v>1072</v>
      </c>
      <c r="C778" s="6">
        <v>1965</v>
      </c>
      <c r="D778" s="6">
        <f t="shared" si="48"/>
        <v>60</v>
      </c>
      <c r="E778" s="7" t="s">
        <v>12</v>
      </c>
      <c r="F778" s="7" t="s">
        <v>10</v>
      </c>
      <c r="G778" s="6">
        <v>40760</v>
      </c>
      <c r="H778" s="6" t="str" cm="1">
        <f t="array" ref="H778">_xlfn.IFS(
  G778 &lt; 25000, "Low",
  AND(G778 &gt;= 25000, G778 &lt; 75000), "Medium",
  AND(G778 &gt;= 75000, G778 &lt; 150000), "High",
  G778 &gt;= 150000, "Very High"
)</f>
        <v>Medium</v>
      </c>
      <c r="I778" s="6">
        <v>0</v>
      </c>
      <c r="J778" s="6">
        <v>1</v>
      </c>
      <c r="K778" s="6">
        <f t="shared" si="49"/>
        <v>1</v>
      </c>
      <c r="L778" s="8">
        <v>41516</v>
      </c>
      <c r="M778" t="str">
        <f t="shared" ca="1" si="50"/>
        <v>12 years, 6 months</v>
      </c>
      <c r="N778" s="6">
        <v>64</v>
      </c>
      <c r="O778">
        <v>0</v>
      </c>
      <c r="P778">
        <v>0</v>
      </c>
      <c r="Q778">
        <f t="shared" si="51"/>
        <v>0</v>
      </c>
      <c r="R778">
        <v>2</v>
      </c>
      <c r="S778">
        <v>3</v>
      </c>
      <c r="T778">
        <f>Table[[#This Row],[NumWebPurchases]]+Table[[#This Row],[NumStorePurchases]]</f>
        <v>5</v>
      </c>
    </row>
    <row r="779" spans="1:20" ht="12.5">
      <c r="A779" s="6">
        <v>777</v>
      </c>
      <c r="B779" s="6">
        <v>4964</v>
      </c>
      <c r="C779" s="6">
        <v>1958</v>
      </c>
      <c r="D779" s="6">
        <f t="shared" si="48"/>
        <v>67</v>
      </c>
      <c r="E779" s="7" t="s">
        <v>12</v>
      </c>
      <c r="F779" s="7" t="s">
        <v>11</v>
      </c>
      <c r="G779" s="6">
        <v>74250</v>
      </c>
      <c r="H779" s="6" t="str" cm="1">
        <f t="array" ref="H779">_xlfn.IFS(
  G779 &lt; 25000, "Low",
  AND(G779 &gt;= 25000, G779 &lt; 75000), "Medium",
  AND(G779 &gt;= 75000, G779 &lt; 150000), "High",
  G779 &gt;= 150000, "Very High"
)</f>
        <v>Medium</v>
      </c>
      <c r="I779" s="6">
        <v>0</v>
      </c>
      <c r="J779" s="6">
        <v>0</v>
      </c>
      <c r="K779" s="6">
        <f t="shared" si="49"/>
        <v>0</v>
      </c>
      <c r="L779" s="8">
        <v>41665</v>
      </c>
      <c r="M779" t="str">
        <f t="shared" ca="1" si="50"/>
        <v>12 years, 1 months</v>
      </c>
      <c r="N779" s="6">
        <v>90</v>
      </c>
      <c r="O779">
        <v>11</v>
      </c>
      <c r="P779">
        <v>0</v>
      </c>
      <c r="Q779">
        <f t="shared" si="51"/>
        <v>11</v>
      </c>
      <c r="R779">
        <v>2</v>
      </c>
      <c r="S779">
        <v>4</v>
      </c>
      <c r="T779">
        <f>Table[[#This Row],[NumWebPurchases]]+Table[[#This Row],[NumStorePurchases]]</f>
        <v>6</v>
      </c>
    </row>
    <row r="780" spans="1:20" ht="12.5">
      <c r="A780" s="6">
        <v>778</v>
      </c>
      <c r="B780" s="6">
        <v>2461</v>
      </c>
      <c r="C780" s="6">
        <v>1955</v>
      </c>
      <c r="D780" s="6">
        <f t="shared" si="48"/>
        <v>70</v>
      </c>
      <c r="E780" s="7" t="s">
        <v>14</v>
      </c>
      <c r="F780" s="7" t="s">
        <v>10</v>
      </c>
      <c r="G780" s="6">
        <v>51124</v>
      </c>
      <c r="H780" s="6" t="str" cm="1">
        <f t="array" ref="H780">_xlfn.IFS(
  G780 &lt; 25000, "Low",
  AND(G780 &gt;= 25000, G780 &lt; 75000), "Medium",
  AND(G780 &gt;= 75000, G780 &lt; 150000), "High",
  G780 &gt;= 150000, "Very High"
)</f>
        <v>Medium</v>
      </c>
      <c r="I780" s="6">
        <v>1</v>
      </c>
      <c r="J780" s="6">
        <v>1</v>
      </c>
      <c r="K780" s="6">
        <f t="shared" si="49"/>
        <v>2</v>
      </c>
      <c r="L780" s="9">
        <v>41626</v>
      </c>
      <c r="M780" t="str">
        <f t="shared" ca="1" si="50"/>
        <v>12 years, 2 months</v>
      </c>
      <c r="N780" s="6">
        <v>79</v>
      </c>
      <c r="O780">
        <v>1</v>
      </c>
      <c r="P780">
        <v>1</v>
      </c>
      <c r="Q780">
        <f t="shared" si="51"/>
        <v>2</v>
      </c>
      <c r="R780">
        <v>1</v>
      </c>
      <c r="S780">
        <v>3</v>
      </c>
      <c r="T780">
        <f>Table[[#This Row],[NumWebPurchases]]+Table[[#This Row],[NumStorePurchases]]</f>
        <v>4</v>
      </c>
    </row>
    <row r="781" spans="1:20" ht="12.5">
      <c r="A781" s="6">
        <v>779</v>
      </c>
      <c r="B781" s="6">
        <v>10736</v>
      </c>
      <c r="C781" s="6">
        <v>1971</v>
      </c>
      <c r="D781" s="6">
        <f t="shared" si="48"/>
        <v>54</v>
      </c>
      <c r="E781" s="7" t="s">
        <v>9</v>
      </c>
      <c r="F781" s="7" t="s">
        <v>10</v>
      </c>
      <c r="G781" s="6">
        <v>72258</v>
      </c>
      <c r="H781" s="6" t="str" cm="1">
        <f t="array" ref="H781">_xlfn.IFS(
  G781 &lt; 25000, "Low",
  AND(G781 &gt;= 25000, G781 &lt; 75000), "Medium",
  AND(G781 &gt;= 75000, G781 &lt; 150000), "High",
  G781 &gt;= 150000, "Very High"
)</f>
        <v>Medium</v>
      </c>
      <c r="I781" s="6">
        <v>0</v>
      </c>
      <c r="J781" s="6">
        <v>1</v>
      </c>
      <c r="K781" s="6">
        <f t="shared" si="49"/>
        <v>1</v>
      </c>
      <c r="L781" s="8">
        <v>41529</v>
      </c>
      <c r="M781" t="str">
        <f t="shared" ca="1" si="50"/>
        <v>12 years, 5 months</v>
      </c>
      <c r="N781" s="6">
        <v>28</v>
      </c>
      <c r="O781">
        <v>0</v>
      </c>
      <c r="P781">
        <v>120</v>
      </c>
      <c r="Q781">
        <f t="shared" si="51"/>
        <v>120</v>
      </c>
      <c r="R781">
        <v>6</v>
      </c>
      <c r="S781">
        <v>5</v>
      </c>
      <c r="T781">
        <f>Table[[#This Row],[NumWebPurchases]]+Table[[#This Row],[NumStorePurchases]]</f>
        <v>11</v>
      </c>
    </row>
    <row r="782" spans="1:20" ht="12.5">
      <c r="A782" s="6">
        <v>780</v>
      </c>
      <c r="B782" s="6">
        <v>3194</v>
      </c>
      <c r="C782" s="6">
        <v>1974</v>
      </c>
      <c r="D782" s="6">
        <f t="shared" si="48"/>
        <v>51</v>
      </c>
      <c r="E782" s="7" t="s">
        <v>12</v>
      </c>
      <c r="F782" s="7" t="s">
        <v>10</v>
      </c>
      <c r="G782" s="6">
        <v>71466</v>
      </c>
      <c r="H782" s="6" t="str" cm="1">
        <f t="array" ref="H782">_xlfn.IFS(
  G782 &lt; 25000, "Low",
  AND(G782 &gt;= 25000, G782 &lt; 75000), "Medium",
  AND(G782 &gt;= 75000, G782 &lt; 150000), "High",
  G782 &gt;= 150000, "Very High"
)</f>
        <v>Medium</v>
      </c>
      <c r="I782" s="6">
        <v>0</v>
      </c>
      <c r="J782" s="6">
        <v>0</v>
      </c>
      <c r="K782" s="6">
        <f t="shared" si="49"/>
        <v>0</v>
      </c>
      <c r="L782" s="8">
        <v>41734</v>
      </c>
      <c r="M782" t="str">
        <f t="shared" ca="1" si="50"/>
        <v>11 years, 11 months</v>
      </c>
      <c r="N782" s="6">
        <v>86</v>
      </c>
      <c r="O782">
        <v>12</v>
      </c>
      <c r="P782">
        <v>182</v>
      </c>
      <c r="Q782">
        <f t="shared" si="51"/>
        <v>194</v>
      </c>
      <c r="R782">
        <v>4</v>
      </c>
      <c r="S782">
        <v>10</v>
      </c>
      <c r="T782">
        <f>Table[[#This Row],[NumWebPurchases]]+Table[[#This Row],[NumStorePurchases]]</f>
        <v>14</v>
      </c>
    </row>
    <row r="783" spans="1:20" ht="12.5">
      <c r="A783" s="6">
        <v>781</v>
      </c>
      <c r="B783" s="6">
        <v>10839</v>
      </c>
      <c r="C783" s="6">
        <v>1976</v>
      </c>
      <c r="D783" s="6">
        <f t="shared" si="48"/>
        <v>49</v>
      </c>
      <c r="E783" s="7" t="s">
        <v>9</v>
      </c>
      <c r="F783" s="7" t="s">
        <v>11</v>
      </c>
      <c r="G783" s="6">
        <v>36283</v>
      </c>
      <c r="H783" s="6" t="str" cm="1">
        <f t="array" ref="H783">_xlfn.IFS(
  G783 &lt; 25000, "Low",
  AND(G783 &gt;= 25000, G783 &lt; 75000), "Medium",
  AND(G783 &gt;= 75000, G783 &lt; 150000), "High",
  G783 &gt;= 150000, "Very High"
)</f>
        <v>Medium</v>
      </c>
      <c r="I783" s="6">
        <v>1</v>
      </c>
      <c r="J783" s="6">
        <v>1</v>
      </c>
      <c r="K783" s="6">
        <f t="shared" si="49"/>
        <v>2</v>
      </c>
      <c r="L783" s="8">
        <v>41743</v>
      </c>
      <c r="M783" t="str">
        <f t="shared" ca="1" si="50"/>
        <v>11 years, 10 months</v>
      </c>
      <c r="N783" s="6">
        <v>42</v>
      </c>
      <c r="O783">
        <v>5</v>
      </c>
      <c r="P783">
        <v>0</v>
      </c>
      <c r="Q783">
        <f t="shared" si="51"/>
        <v>5</v>
      </c>
      <c r="R783">
        <v>1</v>
      </c>
      <c r="S783">
        <v>3</v>
      </c>
      <c r="T783">
        <f>Table[[#This Row],[NumWebPurchases]]+Table[[#This Row],[NumStorePurchases]]</f>
        <v>4</v>
      </c>
    </row>
    <row r="784" spans="1:20" ht="12.5">
      <c r="A784" s="6">
        <v>782</v>
      </c>
      <c r="B784" s="6">
        <v>49</v>
      </c>
      <c r="C784" s="6">
        <v>1970</v>
      </c>
      <c r="D784" s="6">
        <f t="shared" si="48"/>
        <v>55</v>
      </c>
      <c r="E784" s="7" t="s">
        <v>9</v>
      </c>
      <c r="F784" s="7" t="s">
        <v>10</v>
      </c>
      <c r="G784" s="6">
        <v>20587</v>
      </c>
      <c r="H784" s="6" t="str" cm="1">
        <f t="array" ref="H784">_xlfn.IFS(
  G784 &lt; 25000, "Low",
  AND(G784 &gt;= 25000, G784 &lt; 75000), "Medium",
  AND(G784 &gt;= 75000, G784 &lt; 150000), "High",
  G784 &gt;= 150000, "Very High"
)</f>
        <v>Low</v>
      </c>
      <c r="I784" s="6">
        <v>1</v>
      </c>
      <c r="J784" s="6">
        <v>0</v>
      </c>
      <c r="K784" s="6">
        <f t="shared" si="49"/>
        <v>1</v>
      </c>
      <c r="L784" s="8">
        <v>41770</v>
      </c>
      <c r="M784" t="str">
        <f t="shared" ca="1" si="50"/>
        <v>11 years, 9 months</v>
      </c>
      <c r="N784" s="6">
        <v>39</v>
      </c>
      <c r="O784">
        <v>3</v>
      </c>
      <c r="P784">
        <v>1</v>
      </c>
      <c r="Q784">
        <f t="shared" si="51"/>
        <v>4</v>
      </c>
      <c r="R784">
        <v>1</v>
      </c>
      <c r="S784">
        <v>2</v>
      </c>
      <c r="T784">
        <f>Table[[#This Row],[NumWebPurchases]]+Table[[#This Row],[NumStorePurchases]]</f>
        <v>3</v>
      </c>
    </row>
    <row r="785" spans="1:20" ht="12.5">
      <c r="A785" s="6">
        <v>783</v>
      </c>
      <c r="B785" s="6">
        <v>4290</v>
      </c>
      <c r="C785" s="6">
        <v>1972</v>
      </c>
      <c r="D785" s="6">
        <f t="shared" si="48"/>
        <v>53</v>
      </c>
      <c r="E785" s="7" t="s">
        <v>9</v>
      </c>
      <c r="F785" s="7" t="s">
        <v>13</v>
      </c>
      <c r="G785" s="6">
        <v>30467</v>
      </c>
      <c r="H785" s="6" t="str" cm="1">
        <f t="array" ref="H785">_xlfn.IFS(
  G785 &lt; 25000, "Low",
  AND(G785 &gt;= 25000, G785 &lt; 75000), "Medium",
  AND(G785 &gt;= 75000, G785 &lt; 150000), "High",
  G785 &gt;= 150000, "Very High"
)</f>
        <v>Medium</v>
      </c>
      <c r="I785" s="6">
        <v>1</v>
      </c>
      <c r="J785" s="6">
        <v>0</v>
      </c>
      <c r="K785" s="6">
        <f t="shared" si="49"/>
        <v>1</v>
      </c>
      <c r="L785" s="8">
        <v>41717</v>
      </c>
      <c r="M785" t="str">
        <f t="shared" ca="1" si="50"/>
        <v>11 years, 11 months</v>
      </c>
      <c r="N785" s="6">
        <v>8</v>
      </c>
      <c r="O785">
        <v>3</v>
      </c>
      <c r="P785">
        <v>5</v>
      </c>
      <c r="Q785">
        <f t="shared" si="51"/>
        <v>8</v>
      </c>
      <c r="R785">
        <v>1</v>
      </c>
      <c r="S785">
        <v>2</v>
      </c>
      <c r="T785">
        <f>Table[[#This Row],[NumWebPurchases]]+Table[[#This Row],[NumStorePurchases]]</f>
        <v>3</v>
      </c>
    </row>
    <row r="786" spans="1:20" ht="12.5">
      <c r="A786" s="6">
        <v>784</v>
      </c>
      <c r="B786" s="6">
        <v>10219</v>
      </c>
      <c r="C786" s="6">
        <v>1972</v>
      </c>
      <c r="D786" s="6">
        <f t="shared" si="48"/>
        <v>53</v>
      </c>
      <c r="E786" s="7" t="s">
        <v>9</v>
      </c>
      <c r="F786" s="7" t="s">
        <v>11</v>
      </c>
      <c r="G786" s="6">
        <v>31590</v>
      </c>
      <c r="H786" s="6" t="str" cm="1">
        <f t="array" ref="H786">_xlfn.IFS(
  G786 &lt; 25000, "Low",
  AND(G786 &gt;= 25000, G786 &lt; 75000), "Medium",
  AND(G786 &gt;= 75000, G786 &lt; 150000), "High",
  G786 &gt;= 150000, "Very High"
)</f>
        <v>Medium</v>
      </c>
      <c r="I786" s="6">
        <v>1</v>
      </c>
      <c r="J786" s="6">
        <v>0</v>
      </c>
      <c r="K786" s="6">
        <f t="shared" si="49"/>
        <v>1</v>
      </c>
      <c r="L786" s="8">
        <v>41443</v>
      </c>
      <c r="M786" t="str">
        <f t="shared" ca="1" si="50"/>
        <v>12 years, 8 months</v>
      </c>
      <c r="N786" s="6">
        <v>40</v>
      </c>
      <c r="O786">
        <v>2</v>
      </c>
      <c r="P786">
        <v>6</v>
      </c>
      <c r="Q786">
        <f t="shared" si="51"/>
        <v>8</v>
      </c>
      <c r="R786">
        <v>1</v>
      </c>
      <c r="S786">
        <v>3</v>
      </c>
      <c r="T786">
        <f>Table[[#This Row],[NumWebPurchases]]+Table[[#This Row],[NumStorePurchases]]</f>
        <v>4</v>
      </c>
    </row>
    <row r="787" spans="1:20" ht="12.5">
      <c r="A787" s="6">
        <v>785</v>
      </c>
      <c r="B787" s="6">
        <v>4211</v>
      </c>
      <c r="C787" s="6">
        <v>1986</v>
      </c>
      <c r="D787" s="6">
        <f t="shared" si="48"/>
        <v>39</v>
      </c>
      <c r="E787" s="7" t="s">
        <v>16</v>
      </c>
      <c r="F787" s="7" t="s">
        <v>13</v>
      </c>
      <c r="G787" s="6">
        <v>20425</v>
      </c>
      <c r="H787" s="6" t="str" cm="1">
        <f t="array" ref="H787">_xlfn.IFS(
  G787 &lt; 25000, "Low",
  AND(G787 &gt;= 25000, G787 &lt; 75000), "Medium",
  AND(G787 &gt;= 75000, G787 &lt; 150000), "High",
  G787 &gt;= 150000, "Very High"
)</f>
        <v>Low</v>
      </c>
      <c r="I787" s="6">
        <v>1</v>
      </c>
      <c r="J787" s="6">
        <v>0</v>
      </c>
      <c r="K787" s="6">
        <f t="shared" si="49"/>
        <v>1</v>
      </c>
      <c r="L787" s="9">
        <v>41211</v>
      </c>
      <c r="M787" t="str">
        <f t="shared" ca="1" si="50"/>
        <v>13 years, 4 months</v>
      </c>
      <c r="N787" s="6">
        <v>5</v>
      </c>
      <c r="O787">
        <v>12</v>
      </c>
      <c r="P787">
        <v>16</v>
      </c>
      <c r="Q787">
        <f t="shared" si="51"/>
        <v>28</v>
      </c>
      <c r="R787">
        <v>2</v>
      </c>
      <c r="S787">
        <v>3</v>
      </c>
      <c r="T787">
        <f>Table[[#This Row],[NumWebPurchases]]+Table[[#This Row],[NumStorePurchases]]</f>
        <v>5</v>
      </c>
    </row>
    <row r="788" spans="1:20" ht="12.5">
      <c r="A788" s="6">
        <v>786</v>
      </c>
      <c r="B788" s="6">
        <v>1135</v>
      </c>
      <c r="C788" s="6">
        <v>1960</v>
      </c>
      <c r="D788" s="6">
        <f t="shared" si="48"/>
        <v>65</v>
      </c>
      <c r="E788" s="7" t="s">
        <v>14</v>
      </c>
      <c r="F788" s="7" t="s">
        <v>11</v>
      </c>
      <c r="G788" s="6">
        <v>17144</v>
      </c>
      <c r="H788" s="6" t="str" cm="1">
        <f t="array" ref="H788">_xlfn.IFS(
  G788 &lt; 25000, "Low",
  AND(G788 &gt;= 25000, G788 &lt; 75000), "Medium",
  AND(G788 &gt;= 75000, G788 &lt; 150000), "High",
  G788 &gt;= 150000, "Very High"
)</f>
        <v>Low</v>
      </c>
      <c r="I788" s="6">
        <v>1</v>
      </c>
      <c r="J788" s="6">
        <v>1</v>
      </c>
      <c r="K788" s="6">
        <f t="shared" si="49"/>
        <v>2</v>
      </c>
      <c r="L788" s="8">
        <v>41685</v>
      </c>
      <c r="M788" t="str">
        <f t="shared" ca="1" si="50"/>
        <v>12 years, 0 months</v>
      </c>
      <c r="N788" s="6">
        <v>96</v>
      </c>
      <c r="O788">
        <v>2</v>
      </c>
      <c r="P788">
        <v>2</v>
      </c>
      <c r="Q788">
        <f t="shared" si="51"/>
        <v>4</v>
      </c>
      <c r="R788">
        <v>3</v>
      </c>
      <c r="S788">
        <v>4</v>
      </c>
      <c r="T788">
        <f>Table[[#This Row],[NumWebPurchases]]+Table[[#This Row],[NumStorePurchases]]</f>
        <v>7</v>
      </c>
    </row>
    <row r="789" spans="1:20" ht="12.5">
      <c r="A789" s="6">
        <v>787</v>
      </c>
      <c r="B789" s="6">
        <v>6299</v>
      </c>
      <c r="C789" s="6">
        <v>1968</v>
      </c>
      <c r="D789" s="6">
        <f t="shared" si="48"/>
        <v>57</v>
      </c>
      <c r="E789" s="7" t="s">
        <v>12</v>
      </c>
      <c r="F789" s="7" t="s">
        <v>15</v>
      </c>
      <c r="G789" s="6">
        <v>42564</v>
      </c>
      <c r="H789" s="6" t="str" cm="1">
        <f t="array" ref="H789">_xlfn.IFS(
  G789 &lt; 25000, "Low",
  AND(G789 &gt;= 25000, G789 &lt; 75000), "Medium",
  AND(G789 &gt;= 75000, G789 &lt; 150000), "High",
  G789 &gt;= 150000, "Very High"
)</f>
        <v>Medium</v>
      </c>
      <c r="I789" s="6">
        <v>0</v>
      </c>
      <c r="J789" s="6">
        <v>1</v>
      </c>
      <c r="K789" s="6">
        <f t="shared" si="49"/>
        <v>1</v>
      </c>
      <c r="L789" s="8">
        <v>41276</v>
      </c>
      <c r="M789" t="str">
        <f t="shared" ca="1" si="50"/>
        <v>13 years, 2 months</v>
      </c>
      <c r="N789" s="6">
        <v>28</v>
      </c>
      <c r="O789">
        <v>48</v>
      </c>
      <c r="P789">
        <v>18</v>
      </c>
      <c r="Q789">
        <f t="shared" si="51"/>
        <v>66</v>
      </c>
      <c r="R789">
        <v>6</v>
      </c>
      <c r="S789">
        <v>4</v>
      </c>
      <c r="T789">
        <f>Table[[#This Row],[NumWebPurchases]]+Table[[#This Row],[NumStorePurchases]]</f>
        <v>10</v>
      </c>
    </row>
    <row r="790" spans="1:20" ht="12.5">
      <c r="A790" s="6">
        <v>788</v>
      </c>
      <c r="B790" s="6">
        <v>10846</v>
      </c>
      <c r="C790" s="6">
        <v>1978</v>
      </c>
      <c r="D790" s="6">
        <f t="shared" si="48"/>
        <v>47</v>
      </c>
      <c r="E790" s="7" t="s">
        <v>14</v>
      </c>
      <c r="F790" s="7" t="s">
        <v>13</v>
      </c>
      <c r="G790" s="6">
        <v>43783</v>
      </c>
      <c r="H790" s="6" t="str" cm="1">
        <f t="array" ref="H790">_xlfn.IFS(
  G790 &lt; 25000, "Low",
  AND(G790 &gt;= 25000, G790 &lt; 75000), "Medium",
  AND(G790 &gt;= 75000, G790 &lt; 150000), "High",
  G790 &gt;= 150000, "Very High"
)</f>
        <v>Medium</v>
      </c>
      <c r="I790" s="6">
        <v>1</v>
      </c>
      <c r="J790" s="6">
        <v>0</v>
      </c>
      <c r="K790" s="6">
        <f t="shared" si="49"/>
        <v>1</v>
      </c>
      <c r="L790" s="8">
        <v>41788</v>
      </c>
      <c r="M790" t="str">
        <f t="shared" ca="1" si="50"/>
        <v>11 years, 9 months</v>
      </c>
      <c r="N790" s="6">
        <v>22</v>
      </c>
      <c r="O790">
        <v>9</v>
      </c>
      <c r="P790">
        <v>4</v>
      </c>
      <c r="Q790">
        <f t="shared" si="51"/>
        <v>13</v>
      </c>
      <c r="R790">
        <v>7</v>
      </c>
      <c r="S790">
        <v>8</v>
      </c>
      <c r="T790">
        <f>Table[[#This Row],[NumWebPurchases]]+Table[[#This Row],[NumStorePurchases]]</f>
        <v>15</v>
      </c>
    </row>
    <row r="791" spans="1:20" ht="12.5">
      <c r="A791" s="6">
        <v>789</v>
      </c>
      <c r="B791" s="6">
        <v>347</v>
      </c>
      <c r="C791" s="6">
        <v>1976</v>
      </c>
      <c r="D791" s="6">
        <f t="shared" si="48"/>
        <v>49</v>
      </c>
      <c r="E791" s="7" t="s">
        <v>9</v>
      </c>
      <c r="F791" s="7" t="s">
        <v>15</v>
      </c>
      <c r="G791" s="6">
        <v>40780</v>
      </c>
      <c r="H791" s="6" t="str" cm="1">
        <f t="array" ref="H791">_xlfn.IFS(
  G791 &lt; 25000, "Low",
  AND(G791 &gt;= 25000, G791 &lt; 75000), "Medium",
  AND(G791 &gt;= 75000, G791 &lt; 150000), "High",
  G791 &gt;= 150000, "Very High"
)</f>
        <v>Medium</v>
      </c>
      <c r="I791" s="6">
        <v>0</v>
      </c>
      <c r="J791" s="6">
        <v>1</v>
      </c>
      <c r="K791" s="6">
        <f t="shared" si="49"/>
        <v>1</v>
      </c>
      <c r="L791" s="8">
        <v>41160</v>
      </c>
      <c r="M791" t="str">
        <f t="shared" ca="1" si="50"/>
        <v>13 years, 5 months</v>
      </c>
      <c r="N791" s="6">
        <v>30</v>
      </c>
      <c r="O791">
        <v>27</v>
      </c>
      <c r="P791">
        <v>3</v>
      </c>
      <c r="Q791">
        <f t="shared" si="51"/>
        <v>30</v>
      </c>
      <c r="R791">
        <v>7</v>
      </c>
      <c r="S791">
        <v>5</v>
      </c>
      <c r="T791">
        <f>Table[[#This Row],[NumWebPurchases]]+Table[[#This Row],[NumStorePurchases]]</f>
        <v>12</v>
      </c>
    </row>
    <row r="792" spans="1:20" ht="12.5">
      <c r="A792" s="6">
        <v>790</v>
      </c>
      <c r="B792" s="6">
        <v>6543</v>
      </c>
      <c r="C792" s="6">
        <v>1945</v>
      </c>
      <c r="D792" s="6">
        <f t="shared" si="48"/>
        <v>80</v>
      </c>
      <c r="E792" s="7" t="s">
        <v>14</v>
      </c>
      <c r="F792" s="7" t="s">
        <v>11</v>
      </c>
      <c r="G792" s="6">
        <v>62847</v>
      </c>
      <c r="H792" s="6" t="str" cm="1">
        <f t="array" ref="H792">_xlfn.IFS(
  G792 &lt; 25000, "Low",
  AND(G792 &gt;= 25000, G792 &lt; 75000), "Medium",
  AND(G792 &gt;= 75000, G792 &lt; 150000), "High",
  G792 &gt;= 150000, "Very High"
)</f>
        <v>Medium</v>
      </c>
      <c r="I792" s="6">
        <v>0</v>
      </c>
      <c r="J792" s="6">
        <v>0</v>
      </c>
      <c r="K792" s="6">
        <f t="shared" si="49"/>
        <v>0</v>
      </c>
      <c r="L792" s="8">
        <v>41289</v>
      </c>
      <c r="M792" t="str">
        <f t="shared" ca="1" si="50"/>
        <v>13 years, 1 months</v>
      </c>
      <c r="N792" s="6">
        <v>45</v>
      </c>
      <c r="O792">
        <v>168</v>
      </c>
      <c r="P792">
        <v>76</v>
      </c>
      <c r="Q792">
        <f t="shared" si="51"/>
        <v>244</v>
      </c>
      <c r="R792">
        <v>3</v>
      </c>
      <c r="S792">
        <v>4</v>
      </c>
      <c r="T792">
        <f>Table[[#This Row],[NumWebPurchases]]+Table[[#This Row],[NumStorePurchases]]</f>
        <v>7</v>
      </c>
    </row>
    <row r="793" spans="1:20" ht="12.5">
      <c r="A793" s="6">
        <v>791</v>
      </c>
      <c r="B793" s="6">
        <v>10446</v>
      </c>
      <c r="C793" s="6">
        <v>1957</v>
      </c>
      <c r="D793" s="6">
        <f t="shared" si="48"/>
        <v>68</v>
      </c>
      <c r="E793" s="7" t="s">
        <v>12</v>
      </c>
      <c r="F793" s="7" t="s">
        <v>13</v>
      </c>
      <c r="G793" s="6">
        <v>82017</v>
      </c>
      <c r="H793" s="6" t="str" cm="1">
        <f t="array" ref="H793">_xlfn.IFS(
  G793 &lt; 25000, "Low",
  AND(G793 &gt;= 25000, G793 &lt; 75000), "Medium",
  AND(G793 &gt;= 75000, G793 &lt; 150000), "High",
  G793 &gt;= 150000, "Very High"
)</f>
        <v>High</v>
      </c>
      <c r="I793" s="6">
        <v>0</v>
      </c>
      <c r="J793" s="6">
        <v>0</v>
      </c>
      <c r="K793" s="6">
        <f t="shared" si="49"/>
        <v>0</v>
      </c>
      <c r="L793" s="8">
        <v>41220</v>
      </c>
      <c r="M793" t="str">
        <f t="shared" ca="1" si="50"/>
        <v>13 years, 3 months</v>
      </c>
      <c r="N793" s="6">
        <v>58</v>
      </c>
      <c r="O793">
        <v>23</v>
      </c>
      <c r="P793">
        <v>23</v>
      </c>
      <c r="Q793">
        <f t="shared" si="51"/>
        <v>46</v>
      </c>
      <c r="R793">
        <v>5</v>
      </c>
      <c r="S793">
        <v>7</v>
      </c>
      <c r="T793">
        <f>Table[[#This Row],[NumWebPurchases]]+Table[[#This Row],[NumStorePurchases]]</f>
        <v>12</v>
      </c>
    </row>
    <row r="794" spans="1:20" ht="12.5">
      <c r="A794" s="6">
        <v>792</v>
      </c>
      <c r="B794" s="6">
        <v>3479</v>
      </c>
      <c r="C794" s="6">
        <v>1950</v>
      </c>
      <c r="D794" s="6">
        <f t="shared" si="48"/>
        <v>75</v>
      </c>
      <c r="E794" s="7" t="s">
        <v>9</v>
      </c>
      <c r="F794" s="7" t="s">
        <v>10</v>
      </c>
      <c r="G794" s="6">
        <v>16813</v>
      </c>
      <c r="H794" s="6" t="str" cm="1">
        <f t="array" ref="H794">_xlfn.IFS(
  G794 &lt; 25000, "Low",
  AND(G794 &gt;= 25000, G794 &lt; 75000), "Medium",
  AND(G794 &gt;= 75000, G794 &lt; 150000), "High",
  G794 &gt;= 150000, "Very High"
)</f>
        <v>Low</v>
      </c>
      <c r="I794" s="6">
        <v>0</v>
      </c>
      <c r="J794" s="6">
        <v>0</v>
      </c>
      <c r="K794" s="6">
        <f t="shared" si="49"/>
        <v>0</v>
      </c>
      <c r="L794" s="8">
        <v>41474</v>
      </c>
      <c r="M794" t="str">
        <f t="shared" ca="1" si="50"/>
        <v>12 years, 7 months</v>
      </c>
      <c r="N794" s="6">
        <v>49</v>
      </c>
      <c r="O794">
        <v>8</v>
      </c>
      <c r="P794">
        <v>2</v>
      </c>
      <c r="Q794">
        <f t="shared" si="51"/>
        <v>10</v>
      </c>
      <c r="R794">
        <v>2</v>
      </c>
      <c r="S794">
        <v>3</v>
      </c>
      <c r="T794">
        <f>Table[[#This Row],[NumWebPurchases]]+Table[[#This Row],[NumStorePurchases]]</f>
        <v>5</v>
      </c>
    </row>
    <row r="795" spans="1:20" ht="12.5">
      <c r="A795" s="6">
        <v>793</v>
      </c>
      <c r="B795" s="6">
        <v>11075</v>
      </c>
      <c r="C795" s="6">
        <v>1978</v>
      </c>
      <c r="D795" s="6">
        <f t="shared" si="48"/>
        <v>47</v>
      </c>
      <c r="E795" s="7" t="s">
        <v>9</v>
      </c>
      <c r="F795" s="7" t="s">
        <v>13</v>
      </c>
      <c r="G795" s="6">
        <v>51267</v>
      </c>
      <c r="H795" s="6" t="str" cm="1">
        <f t="array" ref="H795">_xlfn.IFS(
  G795 &lt; 25000, "Low",
  AND(G795 &gt;= 25000, G795 &lt; 75000), "Medium",
  AND(G795 &gt;= 75000, G795 &lt; 150000), "High",
  G795 &gt;= 150000, "Very High"
)</f>
        <v>Medium</v>
      </c>
      <c r="I795" s="6">
        <v>1</v>
      </c>
      <c r="J795" s="6">
        <v>1</v>
      </c>
      <c r="K795" s="6">
        <f t="shared" si="49"/>
        <v>2</v>
      </c>
      <c r="L795" s="9">
        <v>41576</v>
      </c>
      <c r="M795" t="str">
        <f t="shared" ca="1" si="50"/>
        <v>12 years, 4 months</v>
      </c>
      <c r="N795" s="6">
        <v>37</v>
      </c>
      <c r="O795">
        <v>2</v>
      </c>
      <c r="P795">
        <v>2</v>
      </c>
      <c r="Q795">
        <f t="shared" si="51"/>
        <v>4</v>
      </c>
      <c r="R795">
        <v>3</v>
      </c>
      <c r="S795">
        <v>5</v>
      </c>
      <c r="T795">
        <f>Table[[#This Row],[NumWebPurchases]]+Table[[#This Row],[NumStorePurchases]]</f>
        <v>8</v>
      </c>
    </row>
    <row r="796" spans="1:20" ht="12.5">
      <c r="A796" s="6">
        <v>794</v>
      </c>
      <c r="B796" s="6">
        <v>4442</v>
      </c>
      <c r="C796" s="6">
        <v>1961</v>
      </c>
      <c r="D796" s="6">
        <f t="shared" si="48"/>
        <v>64</v>
      </c>
      <c r="E796" s="7" t="s">
        <v>9</v>
      </c>
      <c r="F796" s="7" t="s">
        <v>10</v>
      </c>
      <c r="G796" s="6">
        <v>46524</v>
      </c>
      <c r="H796" s="6" t="str" cm="1">
        <f t="array" ref="H796">_xlfn.IFS(
  G796 &lt; 25000, "Low",
  AND(G796 &gt;= 25000, G796 &lt; 75000), "Medium",
  AND(G796 &gt;= 75000, G796 &lt; 150000), "High",
  G796 &gt;= 150000, "Very High"
)</f>
        <v>Medium</v>
      </c>
      <c r="I796" s="6">
        <v>0</v>
      </c>
      <c r="J796" s="6">
        <v>1</v>
      </c>
      <c r="K796" s="6">
        <f t="shared" si="49"/>
        <v>1</v>
      </c>
      <c r="L796" s="8">
        <v>41369</v>
      </c>
      <c r="M796" t="str">
        <f t="shared" ca="1" si="50"/>
        <v>12 years, 11 months</v>
      </c>
      <c r="N796" s="6">
        <v>70</v>
      </c>
      <c r="O796">
        <v>19</v>
      </c>
      <c r="P796">
        <v>14</v>
      </c>
      <c r="Q796">
        <f t="shared" si="51"/>
        <v>33</v>
      </c>
      <c r="R796">
        <v>1</v>
      </c>
      <c r="S796">
        <v>5</v>
      </c>
      <c r="T796">
        <f>Table[[#This Row],[NumWebPurchases]]+Table[[#This Row],[NumStorePurchases]]</f>
        <v>6</v>
      </c>
    </row>
    <row r="797" spans="1:20" ht="12.5">
      <c r="A797" s="6">
        <v>795</v>
      </c>
      <c r="B797" s="6">
        <v>199</v>
      </c>
      <c r="C797" s="6">
        <v>1962</v>
      </c>
      <c r="D797" s="6">
        <f t="shared" si="48"/>
        <v>63</v>
      </c>
      <c r="E797" s="7" t="s">
        <v>14</v>
      </c>
      <c r="F797" s="7" t="s">
        <v>10</v>
      </c>
      <c r="G797" s="6">
        <v>45183</v>
      </c>
      <c r="H797" s="6" t="str" cm="1">
        <f t="array" ref="H797">_xlfn.IFS(
  G797 &lt; 25000, "Low",
  AND(G797 &gt;= 25000, G797 &lt; 75000), "Medium",
  AND(G797 &gt;= 75000, G797 &lt; 150000), "High",
  G797 &gt;= 150000, "Very High"
)</f>
        <v>Medium</v>
      </c>
      <c r="I797" s="6">
        <v>0</v>
      </c>
      <c r="J797" s="6">
        <v>0</v>
      </c>
      <c r="K797" s="6">
        <f t="shared" si="49"/>
        <v>0</v>
      </c>
      <c r="L797" s="8">
        <v>41294</v>
      </c>
      <c r="M797" t="str">
        <f t="shared" ca="1" si="50"/>
        <v>13 years, 1 months</v>
      </c>
      <c r="N797" s="6">
        <v>33</v>
      </c>
      <c r="O797">
        <v>3</v>
      </c>
      <c r="P797">
        <v>9</v>
      </c>
      <c r="Q797">
        <f t="shared" si="51"/>
        <v>12</v>
      </c>
      <c r="R797">
        <v>4</v>
      </c>
      <c r="S797">
        <v>7</v>
      </c>
      <c r="T797">
        <f>Table[[#This Row],[NumWebPurchases]]+Table[[#This Row],[NumStorePurchases]]</f>
        <v>11</v>
      </c>
    </row>
    <row r="798" spans="1:20" ht="12.5">
      <c r="A798" s="6">
        <v>796</v>
      </c>
      <c r="B798" s="6">
        <v>6722</v>
      </c>
      <c r="C798" s="6">
        <v>1954</v>
      </c>
      <c r="D798" s="6">
        <f t="shared" si="48"/>
        <v>71</v>
      </c>
      <c r="E798" s="7" t="s">
        <v>12</v>
      </c>
      <c r="F798" s="7" t="s">
        <v>13</v>
      </c>
      <c r="G798" s="6">
        <v>70421</v>
      </c>
      <c r="H798" s="6" t="str" cm="1">
        <f t="array" ref="H798">_xlfn.IFS(
  G798 &lt; 25000, "Low",
  AND(G798 &gt;= 25000, G798 &lt; 75000), "Medium",
  AND(G798 &gt;= 75000, G798 &lt; 150000), "High",
  G798 &gt;= 150000, "Very High"
)</f>
        <v>Medium</v>
      </c>
      <c r="I798" s="6">
        <v>0</v>
      </c>
      <c r="J798" s="6">
        <v>1</v>
      </c>
      <c r="K798" s="6">
        <f t="shared" si="49"/>
        <v>1</v>
      </c>
      <c r="L798" s="8">
        <v>41818</v>
      </c>
      <c r="M798" t="str">
        <f t="shared" ca="1" si="50"/>
        <v>11 years, 8 months</v>
      </c>
      <c r="N798" s="6">
        <v>98</v>
      </c>
      <c r="O798">
        <v>28</v>
      </c>
      <c r="P798">
        <v>14</v>
      </c>
      <c r="Q798">
        <f t="shared" si="51"/>
        <v>42</v>
      </c>
      <c r="R798">
        <v>10</v>
      </c>
      <c r="S798">
        <v>7</v>
      </c>
      <c r="T798">
        <f>Table[[#This Row],[NumWebPurchases]]+Table[[#This Row],[NumStorePurchases]]</f>
        <v>17</v>
      </c>
    </row>
    <row r="799" spans="1:20" ht="12.5">
      <c r="A799" s="6">
        <v>797</v>
      </c>
      <c r="B799" s="6">
        <v>796</v>
      </c>
      <c r="C799" s="6">
        <v>1965</v>
      </c>
      <c r="D799" s="6">
        <f t="shared" si="48"/>
        <v>60</v>
      </c>
      <c r="E799" s="7" t="s">
        <v>17</v>
      </c>
      <c r="F799" s="7" t="s">
        <v>15</v>
      </c>
      <c r="G799" s="6">
        <v>60161</v>
      </c>
      <c r="H799" s="6" t="str" cm="1">
        <f t="array" ref="H799">_xlfn.IFS(
  G799 &lt; 25000, "Low",
  AND(G799 &gt;= 25000, G799 &lt; 75000), "Medium",
  AND(G799 &gt;= 75000, G799 &lt; 150000), "High",
  G799 &gt;= 150000, "Very High"
)</f>
        <v>Medium</v>
      </c>
      <c r="I799" s="6">
        <v>0</v>
      </c>
      <c r="J799" s="6">
        <v>1</v>
      </c>
      <c r="K799" s="6">
        <f t="shared" si="49"/>
        <v>1</v>
      </c>
      <c r="L799" s="9">
        <v>41205</v>
      </c>
      <c r="M799" t="str">
        <f t="shared" ca="1" si="50"/>
        <v>13 years, 4 months</v>
      </c>
      <c r="N799" s="6">
        <v>17</v>
      </c>
      <c r="O799">
        <v>44</v>
      </c>
      <c r="P799">
        <v>8</v>
      </c>
      <c r="Q799">
        <f t="shared" si="51"/>
        <v>52</v>
      </c>
      <c r="R799">
        <v>11</v>
      </c>
      <c r="S799">
        <v>8</v>
      </c>
      <c r="T799">
        <f>Table[[#This Row],[NumWebPurchases]]+Table[[#This Row],[NumStorePurchases]]</f>
        <v>19</v>
      </c>
    </row>
    <row r="800" spans="1:20" ht="12.5">
      <c r="A800" s="6">
        <v>798</v>
      </c>
      <c r="B800" s="6">
        <v>3749</v>
      </c>
      <c r="C800" s="6">
        <v>1973</v>
      </c>
      <c r="D800" s="6">
        <f t="shared" si="48"/>
        <v>52</v>
      </c>
      <c r="E800" s="7" t="s">
        <v>9</v>
      </c>
      <c r="F800" s="7" t="s">
        <v>11</v>
      </c>
      <c r="G800" s="6">
        <v>73926</v>
      </c>
      <c r="H800" s="6" t="str" cm="1">
        <f t="array" ref="H800">_xlfn.IFS(
  G800 &lt; 25000, "Low",
  AND(G800 &gt;= 25000, G800 &lt; 75000), "Medium",
  AND(G800 &gt;= 75000, G800 &lt; 150000), "High",
  G800 &gt;= 150000, "Very High"
)</f>
        <v>Medium</v>
      </c>
      <c r="I800" s="6">
        <v>0</v>
      </c>
      <c r="J800" s="6">
        <v>0</v>
      </c>
      <c r="K800" s="6">
        <f t="shared" si="49"/>
        <v>0</v>
      </c>
      <c r="L800" s="8">
        <v>41335</v>
      </c>
      <c r="M800" t="str">
        <f t="shared" ca="1" si="50"/>
        <v>13 years, 0 months</v>
      </c>
      <c r="N800" s="6">
        <v>54</v>
      </c>
      <c r="O800">
        <v>91</v>
      </c>
      <c r="P800">
        <v>91</v>
      </c>
      <c r="Q800">
        <f t="shared" si="51"/>
        <v>182</v>
      </c>
      <c r="R800">
        <v>6</v>
      </c>
      <c r="S800">
        <v>12</v>
      </c>
      <c r="T800">
        <f>Table[[#This Row],[NumWebPurchases]]+Table[[#This Row],[NumStorePurchases]]</f>
        <v>18</v>
      </c>
    </row>
    <row r="801" spans="1:20" ht="12.5">
      <c r="A801" s="6">
        <v>799</v>
      </c>
      <c r="B801" s="6">
        <v>8523</v>
      </c>
      <c r="C801" s="6">
        <v>1968</v>
      </c>
      <c r="D801" s="6">
        <f t="shared" si="48"/>
        <v>57</v>
      </c>
      <c r="E801" s="7" t="s">
        <v>9</v>
      </c>
      <c r="F801" s="7" t="s">
        <v>13</v>
      </c>
      <c r="G801" s="6">
        <v>19329</v>
      </c>
      <c r="H801" s="6" t="str" cm="1">
        <f t="array" ref="H801">_xlfn.IFS(
  G801 &lt; 25000, "Low",
  AND(G801 &gt;= 25000, G801 &lt; 75000), "Medium",
  AND(G801 &gt;= 75000, G801 &lt; 150000), "High",
  G801 &gt;= 150000, "Very High"
)</f>
        <v>Low</v>
      </c>
      <c r="I801" s="6">
        <v>1</v>
      </c>
      <c r="J801" s="6">
        <v>0</v>
      </c>
      <c r="K801" s="6">
        <f t="shared" si="49"/>
        <v>1</v>
      </c>
      <c r="L801" s="9">
        <v>41622</v>
      </c>
      <c r="M801" t="str">
        <f t="shared" ca="1" si="50"/>
        <v>12 years, 2 months</v>
      </c>
      <c r="N801" s="6">
        <v>39</v>
      </c>
      <c r="O801">
        <v>1</v>
      </c>
      <c r="P801">
        <v>2</v>
      </c>
      <c r="Q801">
        <f t="shared" si="51"/>
        <v>3</v>
      </c>
      <c r="R801">
        <v>4</v>
      </c>
      <c r="S801">
        <v>3</v>
      </c>
      <c r="T801">
        <f>Table[[#This Row],[NumWebPurchases]]+Table[[#This Row],[NumStorePurchases]]</f>
        <v>7</v>
      </c>
    </row>
    <row r="802" spans="1:20" ht="12.5">
      <c r="A802" s="6">
        <v>800</v>
      </c>
      <c r="B802" s="6">
        <v>310</v>
      </c>
      <c r="C802" s="6">
        <v>1970</v>
      </c>
      <c r="D802" s="6">
        <f t="shared" si="48"/>
        <v>55</v>
      </c>
      <c r="E802" s="7" t="s">
        <v>14</v>
      </c>
      <c r="F802" s="7" t="s">
        <v>13</v>
      </c>
      <c r="G802" s="6">
        <v>61872</v>
      </c>
      <c r="H802" s="6" t="str" cm="1">
        <f t="array" ref="H802">_xlfn.IFS(
  G802 &lt; 25000, "Low",
  AND(G802 &gt;= 25000, G802 &lt; 75000), "Medium",
  AND(G802 &gt;= 75000, G802 &lt; 150000), "High",
  G802 &gt;= 150000, "Very High"
)</f>
        <v>Medium</v>
      </c>
      <c r="I802" s="6">
        <v>0</v>
      </c>
      <c r="J802" s="6">
        <v>1</v>
      </c>
      <c r="K802" s="6">
        <f t="shared" si="49"/>
        <v>1</v>
      </c>
      <c r="L802" s="9">
        <v>41621</v>
      </c>
      <c r="M802" t="str">
        <f t="shared" ca="1" si="50"/>
        <v>12 years, 2 months</v>
      </c>
      <c r="N802" s="6">
        <v>81</v>
      </c>
      <c r="O802">
        <v>5</v>
      </c>
      <c r="P802">
        <v>27</v>
      </c>
      <c r="Q802">
        <f t="shared" si="51"/>
        <v>32</v>
      </c>
      <c r="R802">
        <v>4</v>
      </c>
      <c r="S802">
        <v>9</v>
      </c>
      <c r="T802">
        <f>Table[[#This Row],[NumWebPurchases]]+Table[[#This Row],[NumStorePurchases]]</f>
        <v>13</v>
      </c>
    </row>
    <row r="803" spans="1:20" ht="12.5">
      <c r="A803" s="6">
        <v>801</v>
      </c>
      <c r="B803" s="6">
        <v>8629</v>
      </c>
      <c r="C803" s="6">
        <v>1956</v>
      </c>
      <c r="D803" s="6">
        <f t="shared" si="48"/>
        <v>69</v>
      </c>
      <c r="E803" s="7" t="s">
        <v>9</v>
      </c>
      <c r="F803" s="7" t="s">
        <v>18</v>
      </c>
      <c r="G803" s="6">
        <v>46984</v>
      </c>
      <c r="H803" s="6" t="str" cm="1">
        <f t="array" ref="H803">_xlfn.IFS(
  G803 &lt; 25000, "Low",
  AND(G803 &gt;= 25000, G803 &lt; 75000), "Medium",
  AND(G803 &gt;= 75000, G803 &lt; 150000), "High",
  G803 &gt;= 150000, "Very High"
)</f>
        <v>Medium</v>
      </c>
      <c r="I803" s="6">
        <v>1</v>
      </c>
      <c r="J803" s="6">
        <v>1</v>
      </c>
      <c r="K803" s="6">
        <f t="shared" si="49"/>
        <v>2</v>
      </c>
      <c r="L803" s="8">
        <v>41359</v>
      </c>
      <c r="M803" t="str">
        <f t="shared" ca="1" si="50"/>
        <v>12 years, 11 months</v>
      </c>
      <c r="N803" s="6">
        <v>71</v>
      </c>
      <c r="O803">
        <v>1</v>
      </c>
      <c r="P803">
        <v>1</v>
      </c>
      <c r="Q803">
        <f t="shared" si="51"/>
        <v>2</v>
      </c>
      <c r="R803">
        <v>1</v>
      </c>
      <c r="S803">
        <v>3</v>
      </c>
      <c r="T803">
        <f>Table[[#This Row],[NumWebPurchases]]+Table[[#This Row],[NumStorePurchases]]</f>
        <v>4</v>
      </c>
    </row>
    <row r="804" spans="1:20" ht="12.5">
      <c r="A804" s="6">
        <v>802</v>
      </c>
      <c r="B804" s="6">
        <v>236</v>
      </c>
      <c r="C804" s="6">
        <v>1951</v>
      </c>
      <c r="D804" s="6">
        <f t="shared" si="48"/>
        <v>74</v>
      </c>
      <c r="E804" s="7" t="s">
        <v>9</v>
      </c>
      <c r="F804" s="7" t="s">
        <v>13</v>
      </c>
      <c r="G804" s="6">
        <v>34838</v>
      </c>
      <c r="H804" s="6" t="str" cm="1">
        <f t="array" ref="H804">_xlfn.IFS(
  G804 &lt; 25000, "Low",
  AND(G804 &gt;= 25000, G804 &lt; 75000), "Medium",
  AND(G804 &gt;= 75000, G804 &lt; 150000), "High",
  G804 &gt;= 150000, "Very High"
)</f>
        <v>Medium</v>
      </c>
      <c r="I804" s="6">
        <v>1</v>
      </c>
      <c r="J804" s="6">
        <v>1</v>
      </c>
      <c r="K804" s="6">
        <f t="shared" si="49"/>
        <v>2</v>
      </c>
      <c r="L804" s="8">
        <v>41293</v>
      </c>
      <c r="M804" t="str">
        <f t="shared" ca="1" si="50"/>
        <v>13 years, 1 months</v>
      </c>
      <c r="N804" s="6">
        <v>62</v>
      </c>
      <c r="O804">
        <v>23</v>
      </c>
      <c r="P804">
        <v>14</v>
      </c>
      <c r="Q804">
        <f t="shared" si="51"/>
        <v>37</v>
      </c>
      <c r="R804">
        <v>2</v>
      </c>
      <c r="S804">
        <v>4</v>
      </c>
      <c r="T804">
        <f>Table[[#This Row],[NumWebPurchases]]+Table[[#This Row],[NumStorePurchases]]</f>
        <v>6</v>
      </c>
    </row>
    <row r="805" spans="1:20" ht="12.5">
      <c r="A805" s="6">
        <v>803</v>
      </c>
      <c r="B805" s="6">
        <v>9930</v>
      </c>
      <c r="C805" s="6">
        <v>1944</v>
      </c>
      <c r="D805" s="6">
        <f t="shared" si="48"/>
        <v>81</v>
      </c>
      <c r="E805" s="7" t="s">
        <v>12</v>
      </c>
      <c r="F805" s="7" t="s">
        <v>10</v>
      </c>
      <c r="G805" s="6">
        <v>82716</v>
      </c>
      <c r="H805" s="6" t="str" cm="1">
        <f t="array" ref="H805">_xlfn.IFS(
  G805 &lt; 25000, "Low",
  AND(G805 &gt;= 25000, G805 &lt; 75000), "Medium",
  AND(G805 &gt;= 75000, G805 &lt; 150000), "High",
  G805 &gt;= 150000, "Very High"
)</f>
        <v>High</v>
      </c>
      <c r="I805" s="6">
        <v>0</v>
      </c>
      <c r="J805" s="6">
        <v>0</v>
      </c>
      <c r="K805" s="6">
        <f t="shared" si="49"/>
        <v>0</v>
      </c>
      <c r="L805" s="8">
        <v>41583</v>
      </c>
      <c r="M805" t="str">
        <f t="shared" ca="1" si="50"/>
        <v>12 years, 4 months</v>
      </c>
      <c r="N805" s="6">
        <v>8</v>
      </c>
      <c r="O805">
        <v>148</v>
      </c>
      <c r="P805">
        <v>148</v>
      </c>
      <c r="Q805">
        <f t="shared" si="51"/>
        <v>296</v>
      </c>
      <c r="R805">
        <v>6</v>
      </c>
      <c r="S805">
        <v>13</v>
      </c>
      <c r="T805">
        <f>Table[[#This Row],[NumWebPurchases]]+Table[[#This Row],[NumStorePurchases]]</f>
        <v>19</v>
      </c>
    </row>
    <row r="806" spans="1:20" ht="12.5">
      <c r="A806" s="6">
        <v>804</v>
      </c>
      <c r="B806" s="6">
        <v>3483</v>
      </c>
      <c r="C806" s="6">
        <v>1958</v>
      </c>
      <c r="D806" s="6">
        <f t="shared" si="48"/>
        <v>67</v>
      </c>
      <c r="E806" s="7" t="s">
        <v>9</v>
      </c>
      <c r="F806" s="7" t="s">
        <v>13</v>
      </c>
      <c r="G806" s="6">
        <v>48192</v>
      </c>
      <c r="H806" s="6" t="str" cm="1">
        <f t="array" ref="H806">_xlfn.IFS(
  G806 &lt; 25000, "Low",
  AND(G806 &gt;= 25000, G806 &lt; 75000), "Medium",
  AND(G806 &gt;= 75000, G806 &lt; 150000), "High",
  G806 &gt;= 150000, "Very High"
)</f>
        <v>Medium</v>
      </c>
      <c r="I806" s="6">
        <v>0</v>
      </c>
      <c r="J806" s="6">
        <v>0</v>
      </c>
      <c r="K806" s="6">
        <f t="shared" si="49"/>
        <v>0</v>
      </c>
      <c r="L806" s="8">
        <v>41370</v>
      </c>
      <c r="M806" t="str">
        <f t="shared" ca="1" si="50"/>
        <v>12 years, 11 months</v>
      </c>
      <c r="N806" s="6">
        <v>76</v>
      </c>
      <c r="O806">
        <v>43</v>
      </c>
      <c r="P806">
        <v>58</v>
      </c>
      <c r="Q806">
        <f t="shared" si="51"/>
        <v>101</v>
      </c>
      <c r="R806">
        <v>2</v>
      </c>
      <c r="S806">
        <v>12</v>
      </c>
      <c r="T806">
        <f>Table[[#This Row],[NumWebPurchases]]+Table[[#This Row],[NumStorePurchases]]</f>
        <v>14</v>
      </c>
    </row>
    <row r="807" spans="1:20" ht="12.5">
      <c r="A807" s="6">
        <v>805</v>
      </c>
      <c r="B807" s="6">
        <v>4599</v>
      </c>
      <c r="C807" s="6">
        <v>1976</v>
      </c>
      <c r="D807" s="6">
        <f t="shared" si="48"/>
        <v>49</v>
      </c>
      <c r="E807" s="7" t="s">
        <v>14</v>
      </c>
      <c r="F807" s="7" t="s">
        <v>13</v>
      </c>
      <c r="G807" s="6">
        <v>49681</v>
      </c>
      <c r="H807" s="6" t="str" cm="1">
        <f t="array" ref="H807">_xlfn.IFS(
  G807 &lt; 25000, "Low",
  AND(G807 &gt;= 25000, G807 &lt; 75000), "Medium",
  AND(G807 &gt;= 75000, G807 &lt; 150000), "High",
  G807 &gt;= 150000, "Very High"
)</f>
        <v>Medium</v>
      </c>
      <c r="I807" s="6">
        <v>0</v>
      </c>
      <c r="J807" s="6">
        <v>2</v>
      </c>
      <c r="K807" s="6">
        <f t="shared" si="49"/>
        <v>2</v>
      </c>
      <c r="L807" s="8">
        <v>41582</v>
      </c>
      <c r="M807" t="str">
        <f t="shared" ca="1" si="50"/>
        <v>12 years, 4 months</v>
      </c>
      <c r="N807" s="6">
        <v>66</v>
      </c>
      <c r="O807">
        <v>0</v>
      </c>
      <c r="P807">
        <v>0</v>
      </c>
      <c r="Q807">
        <f t="shared" si="51"/>
        <v>0</v>
      </c>
      <c r="R807">
        <v>7</v>
      </c>
      <c r="S807">
        <v>7</v>
      </c>
      <c r="T807">
        <f>Table[[#This Row],[NumWebPurchases]]+Table[[#This Row],[NumStorePurchases]]</f>
        <v>14</v>
      </c>
    </row>
    <row r="808" spans="1:20" ht="12.5">
      <c r="A808" s="6">
        <v>806</v>
      </c>
      <c r="B808" s="6">
        <v>7326</v>
      </c>
      <c r="C808" s="6">
        <v>1971</v>
      </c>
      <c r="D808" s="6">
        <f t="shared" si="48"/>
        <v>54</v>
      </c>
      <c r="E808" s="7" t="s">
        <v>14</v>
      </c>
      <c r="F808" s="7" t="s">
        <v>13</v>
      </c>
      <c r="G808" s="6">
        <v>56850</v>
      </c>
      <c r="H808" s="6" t="str" cm="1">
        <f t="array" ref="H808">_xlfn.IFS(
  G808 &lt; 25000, "Low",
  AND(G808 &gt;= 25000, G808 &lt; 75000), "Medium",
  AND(G808 &gt;= 75000, G808 &lt; 150000), "High",
  G808 &gt;= 150000, "Very High"
)</f>
        <v>Medium</v>
      </c>
      <c r="I808" s="6">
        <v>0</v>
      </c>
      <c r="J808" s="6">
        <v>1</v>
      </c>
      <c r="K808" s="6">
        <f t="shared" si="49"/>
        <v>1</v>
      </c>
      <c r="L808" s="8">
        <v>41721</v>
      </c>
      <c r="M808" t="str">
        <f t="shared" ca="1" si="50"/>
        <v>11 years, 11 months</v>
      </c>
      <c r="N808" s="6">
        <v>83</v>
      </c>
      <c r="O808">
        <v>1</v>
      </c>
      <c r="P808">
        <v>7</v>
      </c>
      <c r="Q808">
        <f t="shared" si="51"/>
        <v>8</v>
      </c>
      <c r="R808">
        <v>1</v>
      </c>
      <c r="S808">
        <v>3</v>
      </c>
      <c r="T808">
        <f>Table[[#This Row],[NumWebPurchases]]+Table[[#This Row],[NumStorePurchases]]</f>
        <v>4</v>
      </c>
    </row>
    <row r="809" spans="1:20" ht="12.5">
      <c r="A809" s="6">
        <v>807</v>
      </c>
      <c r="B809" s="6">
        <v>7352</v>
      </c>
      <c r="C809" s="6">
        <v>1957</v>
      </c>
      <c r="D809" s="6">
        <f t="shared" si="48"/>
        <v>68</v>
      </c>
      <c r="E809" s="7" t="s">
        <v>9</v>
      </c>
      <c r="F809" s="7" t="s">
        <v>13</v>
      </c>
      <c r="G809" s="6">
        <v>55267</v>
      </c>
      <c r="H809" s="6" t="str" cm="1">
        <f t="array" ref="H809">_xlfn.IFS(
  G809 &lt; 25000, "Low",
  AND(G809 &gt;= 25000, G809 &lt; 75000), "Medium",
  AND(G809 &gt;= 75000, G809 &lt; 150000), "High",
  G809 &gt;= 150000, "Very High"
)</f>
        <v>Medium</v>
      </c>
      <c r="I809" s="6">
        <v>0</v>
      </c>
      <c r="J809" s="6">
        <v>1</v>
      </c>
      <c r="K809" s="6">
        <f t="shared" si="49"/>
        <v>1</v>
      </c>
      <c r="L809" s="9">
        <v>41568</v>
      </c>
      <c r="M809" t="str">
        <f t="shared" ca="1" si="50"/>
        <v>12 years, 4 months</v>
      </c>
      <c r="N809" s="6">
        <v>28</v>
      </c>
      <c r="O809">
        <v>28</v>
      </c>
      <c r="P809">
        <v>3</v>
      </c>
      <c r="Q809">
        <f t="shared" si="51"/>
        <v>31</v>
      </c>
      <c r="R809">
        <v>3</v>
      </c>
      <c r="S809">
        <v>6</v>
      </c>
      <c r="T809">
        <f>Table[[#This Row],[NumWebPurchases]]+Table[[#This Row],[NumStorePurchases]]</f>
        <v>9</v>
      </c>
    </row>
    <row r="810" spans="1:20" ht="12.5">
      <c r="A810" s="6">
        <v>808</v>
      </c>
      <c r="B810" s="6">
        <v>2350</v>
      </c>
      <c r="C810" s="6">
        <v>1972</v>
      </c>
      <c r="D810" s="6">
        <f t="shared" si="48"/>
        <v>53</v>
      </c>
      <c r="E810" s="7" t="s">
        <v>9</v>
      </c>
      <c r="F810" s="7" t="s">
        <v>13</v>
      </c>
      <c r="G810" s="6">
        <v>59666</v>
      </c>
      <c r="H810" s="6" t="str" cm="1">
        <f t="array" ref="H810">_xlfn.IFS(
  G810 &lt; 25000, "Low",
  AND(G810 &gt;= 25000, G810 &lt; 75000), "Medium",
  AND(G810 &gt;= 75000, G810 &lt; 150000), "High",
  G810 &gt;= 150000, "Very High"
)</f>
        <v>Medium</v>
      </c>
      <c r="I810" s="6">
        <v>1</v>
      </c>
      <c r="J810" s="6">
        <v>1</v>
      </c>
      <c r="K810" s="6">
        <f t="shared" si="49"/>
        <v>2</v>
      </c>
      <c r="L810" s="8">
        <v>41355</v>
      </c>
      <c r="M810" t="str">
        <f t="shared" ca="1" si="50"/>
        <v>12 years, 11 months</v>
      </c>
      <c r="N810" s="6">
        <v>87</v>
      </c>
      <c r="O810">
        <v>53</v>
      </c>
      <c r="P810">
        <v>17</v>
      </c>
      <c r="Q810">
        <f t="shared" si="51"/>
        <v>70</v>
      </c>
      <c r="R810">
        <v>3</v>
      </c>
      <c r="S810">
        <v>8</v>
      </c>
      <c r="T810">
        <f>Table[[#This Row],[NumWebPurchases]]+Table[[#This Row],[NumStorePurchases]]</f>
        <v>11</v>
      </c>
    </row>
    <row r="811" spans="1:20" ht="12.5">
      <c r="A811" s="6">
        <v>809</v>
      </c>
      <c r="B811" s="6">
        <v>9145</v>
      </c>
      <c r="C811" s="6">
        <v>1972</v>
      </c>
      <c r="D811" s="6">
        <f t="shared" si="48"/>
        <v>53</v>
      </c>
      <c r="E811" s="7" t="s">
        <v>9</v>
      </c>
      <c r="F811" s="7" t="s">
        <v>10</v>
      </c>
      <c r="G811" s="6">
        <v>72504</v>
      </c>
      <c r="H811" s="6" t="str" cm="1">
        <f t="array" ref="H811">_xlfn.IFS(
  G811 &lt; 25000, "Low",
  AND(G811 &gt;= 25000, G811 &lt; 75000), "Medium",
  AND(G811 &gt;= 75000, G811 &lt; 150000), "High",
  G811 &gt;= 150000, "Very High"
)</f>
        <v>Medium</v>
      </c>
      <c r="I811" s="6">
        <v>0</v>
      </c>
      <c r="J811" s="6">
        <v>1</v>
      </c>
      <c r="K811" s="6">
        <f t="shared" si="49"/>
        <v>1</v>
      </c>
      <c r="L811" s="8">
        <v>41370</v>
      </c>
      <c r="M811" t="str">
        <f t="shared" ca="1" si="50"/>
        <v>12 years, 11 months</v>
      </c>
      <c r="N811" s="6">
        <v>43</v>
      </c>
      <c r="O811">
        <v>26</v>
      </c>
      <c r="P811">
        <v>161</v>
      </c>
      <c r="Q811">
        <f t="shared" si="51"/>
        <v>187</v>
      </c>
      <c r="R811">
        <v>5</v>
      </c>
      <c r="S811">
        <v>6</v>
      </c>
      <c r="T811">
        <f>Table[[#This Row],[NumWebPurchases]]+Table[[#This Row],[NumStorePurchases]]</f>
        <v>11</v>
      </c>
    </row>
    <row r="812" spans="1:20" ht="12.5">
      <c r="A812" s="6">
        <v>810</v>
      </c>
      <c r="B812" s="6">
        <v>2964</v>
      </c>
      <c r="C812" s="6">
        <v>1981</v>
      </c>
      <c r="D812" s="6">
        <f t="shared" si="48"/>
        <v>44</v>
      </c>
      <c r="E812" s="7" t="s">
        <v>9</v>
      </c>
      <c r="F812" s="7" t="s">
        <v>13</v>
      </c>
      <c r="G812" s="6">
        <v>26872</v>
      </c>
      <c r="H812" s="6" t="str" cm="1">
        <f t="array" ref="H812">_xlfn.IFS(
  G812 &lt; 25000, "Low",
  AND(G812 &gt;= 25000, G812 &lt; 75000), "Medium",
  AND(G812 &gt;= 75000, G812 &lt; 150000), "High",
  G812 &gt;= 150000, "Very High"
)</f>
        <v>Medium</v>
      </c>
      <c r="I812" s="6">
        <v>0</v>
      </c>
      <c r="J812" s="6">
        <v>0</v>
      </c>
      <c r="K812" s="6">
        <f t="shared" si="49"/>
        <v>0</v>
      </c>
      <c r="L812" s="9">
        <v>41563</v>
      </c>
      <c r="M812" t="str">
        <f t="shared" ca="1" si="50"/>
        <v>12 years, 4 months</v>
      </c>
      <c r="N812" s="6">
        <v>0</v>
      </c>
      <c r="O812">
        <v>10</v>
      </c>
      <c r="P812">
        <v>16</v>
      </c>
      <c r="Q812">
        <f t="shared" si="51"/>
        <v>26</v>
      </c>
      <c r="R812">
        <v>1</v>
      </c>
      <c r="S812">
        <v>2</v>
      </c>
      <c r="T812">
        <f>Table[[#This Row],[NumWebPurchases]]+Table[[#This Row],[NumStorePurchases]]</f>
        <v>3</v>
      </c>
    </row>
    <row r="813" spans="1:20" ht="12.5">
      <c r="A813" s="6">
        <v>811</v>
      </c>
      <c r="B813" s="6">
        <v>5585</v>
      </c>
      <c r="C813" s="6">
        <v>1972</v>
      </c>
      <c r="D813" s="6">
        <f t="shared" si="48"/>
        <v>53</v>
      </c>
      <c r="E813" s="7" t="s">
        <v>9</v>
      </c>
      <c r="F813" s="7" t="s">
        <v>10</v>
      </c>
      <c r="G813" s="6">
        <v>21359</v>
      </c>
      <c r="H813" s="6" t="str" cm="1">
        <f t="array" ref="H813">_xlfn.IFS(
  G813 &lt; 25000, "Low",
  AND(G813 &gt;= 25000, G813 &lt; 75000), "Medium",
  AND(G813 &gt;= 75000, G813 &lt; 150000), "High",
  G813 &gt;= 150000, "Very High"
)</f>
        <v>Low</v>
      </c>
      <c r="I813" s="6">
        <v>1</v>
      </c>
      <c r="J813" s="6">
        <v>0</v>
      </c>
      <c r="K813" s="6">
        <f t="shared" si="49"/>
        <v>1</v>
      </c>
      <c r="L813" s="8">
        <v>41384</v>
      </c>
      <c r="M813" t="str">
        <f t="shared" ca="1" si="50"/>
        <v>12 years, 10 months</v>
      </c>
      <c r="N813" s="6">
        <v>1</v>
      </c>
      <c r="O813">
        <v>2</v>
      </c>
      <c r="P813">
        <v>1</v>
      </c>
      <c r="Q813">
        <f t="shared" si="51"/>
        <v>3</v>
      </c>
      <c r="R813">
        <v>2</v>
      </c>
      <c r="S813">
        <v>3</v>
      </c>
      <c r="T813">
        <f>Table[[#This Row],[NumWebPurchases]]+Table[[#This Row],[NumStorePurchases]]</f>
        <v>5</v>
      </c>
    </row>
    <row r="814" spans="1:20" ht="12.5">
      <c r="A814" s="6">
        <v>812</v>
      </c>
      <c r="B814" s="6">
        <v>9687</v>
      </c>
      <c r="C814" s="6">
        <v>1975</v>
      </c>
      <c r="D814" s="6">
        <f t="shared" si="48"/>
        <v>50</v>
      </c>
      <c r="E814" s="7" t="s">
        <v>9</v>
      </c>
      <c r="F814" s="7" t="s">
        <v>10</v>
      </c>
      <c r="G814" s="6">
        <v>73170</v>
      </c>
      <c r="H814" s="6" t="str" cm="1">
        <f t="array" ref="H814">_xlfn.IFS(
  G814 &lt; 25000, "Low",
  AND(G814 &gt;= 25000, G814 &lt; 75000), "Medium",
  AND(G814 &gt;= 75000, G814 &lt; 150000), "High",
  G814 &gt;= 150000, "Very High"
)</f>
        <v>Medium</v>
      </c>
      <c r="I814" s="6">
        <v>0</v>
      </c>
      <c r="J814" s="6">
        <v>0</v>
      </c>
      <c r="K814" s="6">
        <f t="shared" si="49"/>
        <v>0</v>
      </c>
      <c r="L814" s="8">
        <v>41790</v>
      </c>
      <c r="M814" t="str">
        <f t="shared" ca="1" si="50"/>
        <v>11 years, 9 months</v>
      </c>
      <c r="N814" s="6">
        <v>1</v>
      </c>
      <c r="O814">
        <v>174</v>
      </c>
      <c r="P814">
        <v>30</v>
      </c>
      <c r="Q814">
        <f t="shared" si="51"/>
        <v>204</v>
      </c>
      <c r="R814">
        <v>5</v>
      </c>
      <c r="S814">
        <v>6</v>
      </c>
      <c r="T814">
        <f>Table[[#This Row],[NumWebPurchases]]+Table[[#This Row],[NumStorePurchases]]</f>
        <v>11</v>
      </c>
    </row>
    <row r="815" spans="1:20" ht="12.5">
      <c r="A815" s="6">
        <v>813</v>
      </c>
      <c r="B815" s="6">
        <v>3732</v>
      </c>
      <c r="C815" s="6">
        <v>1955</v>
      </c>
      <c r="D815" s="6">
        <f t="shared" si="48"/>
        <v>70</v>
      </c>
      <c r="E815" s="7" t="s">
        <v>14</v>
      </c>
      <c r="F815" s="7" t="s">
        <v>13</v>
      </c>
      <c r="G815" s="6">
        <v>52750</v>
      </c>
      <c r="H815" s="6" t="str" cm="1">
        <f t="array" ref="H815">_xlfn.IFS(
  G815 &lt; 25000, "Low",
  AND(G815 &gt;= 25000, G815 &lt; 75000), "Medium",
  AND(G815 &gt;= 75000, G815 &lt; 150000), "High",
  G815 &gt;= 150000, "Very High"
)</f>
        <v>Medium</v>
      </c>
      <c r="I815" s="6">
        <v>0</v>
      </c>
      <c r="J815" s="6">
        <v>1</v>
      </c>
      <c r="K815" s="6">
        <f t="shared" si="49"/>
        <v>1</v>
      </c>
      <c r="L815" s="8">
        <v>41309</v>
      </c>
      <c r="M815" t="str">
        <f t="shared" ca="1" si="50"/>
        <v>13 years, 1 months</v>
      </c>
      <c r="N815" s="6">
        <v>72</v>
      </c>
      <c r="O815">
        <v>0</v>
      </c>
      <c r="P815">
        <v>69</v>
      </c>
      <c r="Q815">
        <f t="shared" si="51"/>
        <v>69</v>
      </c>
      <c r="R815">
        <v>5</v>
      </c>
      <c r="S815">
        <v>9</v>
      </c>
      <c r="T815">
        <f>Table[[#This Row],[NumWebPurchases]]+Table[[#This Row],[NumStorePurchases]]</f>
        <v>14</v>
      </c>
    </row>
    <row r="816" spans="1:20" ht="12.5">
      <c r="A816" s="6">
        <v>814</v>
      </c>
      <c r="B816" s="6">
        <v>6303</v>
      </c>
      <c r="C816" s="6">
        <v>1986</v>
      </c>
      <c r="D816" s="6">
        <f t="shared" si="48"/>
        <v>39</v>
      </c>
      <c r="E816" s="7" t="s">
        <v>12</v>
      </c>
      <c r="F816" s="7" t="s">
        <v>11</v>
      </c>
      <c r="G816" s="6">
        <v>91820</v>
      </c>
      <c r="H816" s="6" t="str" cm="1">
        <f t="array" ref="H816">_xlfn.IFS(
  G816 &lt; 25000, "Low",
  AND(G816 &gt;= 25000, G816 &lt; 75000), "Medium",
  AND(G816 &gt;= 75000, G816 &lt; 150000), "High",
  G816 &gt;= 150000, "Very High"
)</f>
        <v>High</v>
      </c>
      <c r="I816" s="6">
        <v>0</v>
      </c>
      <c r="J816" s="6">
        <v>0</v>
      </c>
      <c r="K816" s="6">
        <f t="shared" si="49"/>
        <v>0</v>
      </c>
      <c r="L816" s="9">
        <v>41601</v>
      </c>
      <c r="M816" t="str">
        <f t="shared" ca="1" si="50"/>
        <v>12 years, 3 months</v>
      </c>
      <c r="N816" s="6">
        <v>72</v>
      </c>
      <c r="O816">
        <v>73</v>
      </c>
      <c r="P816">
        <v>161</v>
      </c>
      <c r="Q816">
        <f t="shared" si="51"/>
        <v>234</v>
      </c>
      <c r="R816">
        <v>5</v>
      </c>
      <c r="S816">
        <v>12</v>
      </c>
      <c r="T816">
        <f>Table[[#This Row],[NumWebPurchases]]+Table[[#This Row],[NumStorePurchases]]</f>
        <v>17</v>
      </c>
    </row>
    <row r="817" spans="1:20" ht="12.5">
      <c r="A817" s="6">
        <v>815</v>
      </c>
      <c r="B817" s="6">
        <v>11176</v>
      </c>
      <c r="C817" s="6">
        <v>1970</v>
      </c>
      <c r="D817" s="6">
        <f t="shared" si="48"/>
        <v>55</v>
      </c>
      <c r="E817" s="7" t="s">
        <v>12</v>
      </c>
      <c r="F817" s="7" t="s">
        <v>11</v>
      </c>
      <c r="G817" s="6">
        <v>65968</v>
      </c>
      <c r="H817" s="6" t="str" cm="1">
        <f t="array" ref="H817">_xlfn.IFS(
  G817 &lt; 25000, "Low",
  AND(G817 &gt;= 25000, G817 &lt; 75000), "Medium",
  AND(G817 &gt;= 75000, G817 &lt; 150000), "High",
  G817 &gt;= 150000, "Very High"
)</f>
        <v>Medium</v>
      </c>
      <c r="I817" s="6">
        <v>0</v>
      </c>
      <c r="J817" s="6">
        <v>1</v>
      </c>
      <c r="K817" s="6">
        <f t="shared" si="49"/>
        <v>1</v>
      </c>
      <c r="L817" s="8">
        <v>41771</v>
      </c>
      <c r="M817" t="str">
        <f t="shared" ca="1" si="50"/>
        <v>11 years, 9 months</v>
      </c>
      <c r="N817" s="6">
        <v>12</v>
      </c>
      <c r="O817">
        <v>9</v>
      </c>
      <c r="P817">
        <v>4</v>
      </c>
      <c r="Q817">
        <f t="shared" si="51"/>
        <v>13</v>
      </c>
      <c r="R817">
        <v>5</v>
      </c>
      <c r="S817">
        <v>7</v>
      </c>
      <c r="T817">
        <f>Table[[#This Row],[NumWebPurchases]]+Table[[#This Row],[NumStorePurchases]]</f>
        <v>12</v>
      </c>
    </row>
    <row r="818" spans="1:20" ht="12.5">
      <c r="A818" s="6">
        <v>816</v>
      </c>
      <c r="B818" s="6">
        <v>2986</v>
      </c>
      <c r="C818" s="6">
        <v>1976</v>
      </c>
      <c r="D818" s="6">
        <f t="shared" si="48"/>
        <v>49</v>
      </c>
      <c r="E818" s="7" t="s">
        <v>9</v>
      </c>
      <c r="F818" s="7" t="s">
        <v>13</v>
      </c>
      <c r="G818" s="6">
        <v>30772</v>
      </c>
      <c r="H818" s="6" t="str" cm="1">
        <f t="array" ref="H818">_xlfn.IFS(
  G818 &lt; 25000, "Low",
  AND(G818 &gt;= 25000, G818 &lt; 75000), "Medium",
  AND(G818 &gt;= 75000, G818 &lt; 150000), "High",
  G818 &gt;= 150000, "Very High"
)</f>
        <v>Medium</v>
      </c>
      <c r="I818" s="6">
        <v>1</v>
      </c>
      <c r="J818" s="6">
        <v>1</v>
      </c>
      <c r="K818" s="6">
        <f t="shared" si="49"/>
        <v>2</v>
      </c>
      <c r="L818" s="8">
        <v>41710</v>
      </c>
      <c r="M818" t="str">
        <f t="shared" ca="1" si="50"/>
        <v>11 years, 11 months</v>
      </c>
      <c r="N818" s="6">
        <v>89</v>
      </c>
      <c r="O818">
        <v>2</v>
      </c>
      <c r="P818">
        <v>1</v>
      </c>
      <c r="Q818">
        <f t="shared" si="51"/>
        <v>3</v>
      </c>
      <c r="R818">
        <v>1</v>
      </c>
      <c r="S818">
        <v>2</v>
      </c>
      <c r="T818">
        <f>Table[[#This Row],[NumWebPurchases]]+Table[[#This Row],[NumStorePurchases]]</f>
        <v>3</v>
      </c>
    </row>
    <row r="819" spans="1:20" ht="12.5">
      <c r="A819" s="6">
        <v>817</v>
      </c>
      <c r="B819" s="6">
        <v>7462</v>
      </c>
      <c r="C819" s="6">
        <v>1954</v>
      </c>
      <c r="D819" s="6">
        <f t="shared" si="48"/>
        <v>71</v>
      </c>
      <c r="E819" s="7" t="s">
        <v>9</v>
      </c>
      <c r="F819" s="7" t="s">
        <v>10</v>
      </c>
      <c r="G819" s="6">
        <v>22507</v>
      </c>
      <c r="H819" s="6" t="str" cm="1">
        <f t="array" ref="H819">_xlfn.IFS(
  G819 &lt; 25000, "Low",
  AND(G819 &gt;= 25000, G819 &lt; 75000), "Medium",
  AND(G819 &gt;= 75000, G819 &lt; 150000), "High",
  G819 &gt;= 150000, "Very High"
)</f>
        <v>Low</v>
      </c>
      <c r="I819" s="6">
        <v>0</v>
      </c>
      <c r="J819" s="6">
        <v>0</v>
      </c>
      <c r="K819" s="6">
        <f t="shared" si="49"/>
        <v>0</v>
      </c>
      <c r="L819" s="9">
        <v>41237</v>
      </c>
      <c r="M819" t="str">
        <f t="shared" ca="1" si="50"/>
        <v>13 years, 3 months</v>
      </c>
      <c r="N819" s="6">
        <v>67</v>
      </c>
      <c r="O819">
        <v>0</v>
      </c>
      <c r="P819">
        <v>157</v>
      </c>
      <c r="Q819">
        <f t="shared" si="51"/>
        <v>157</v>
      </c>
      <c r="R819">
        <v>10</v>
      </c>
      <c r="S819">
        <v>4</v>
      </c>
      <c r="T819">
        <f>Table[[#This Row],[NumWebPurchases]]+Table[[#This Row],[NumStorePurchases]]</f>
        <v>14</v>
      </c>
    </row>
    <row r="820" spans="1:20" ht="12.5">
      <c r="A820" s="6">
        <v>818</v>
      </c>
      <c r="B820" s="6">
        <v>3900</v>
      </c>
      <c r="C820" s="6">
        <v>1972</v>
      </c>
      <c r="D820" s="6">
        <f t="shared" si="48"/>
        <v>53</v>
      </c>
      <c r="E820" s="7" t="s">
        <v>9</v>
      </c>
      <c r="F820" s="7" t="s">
        <v>13</v>
      </c>
      <c r="G820" s="6">
        <v>65685</v>
      </c>
      <c r="H820" s="6" t="str" cm="1">
        <f t="array" ref="H820">_xlfn.IFS(
  G820 &lt; 25000, "Low",
  AND(G820 &gt;= 25000, G820 &lt; 75000), "Medium",
  AND(G820 &gt;= 75000, G820 &lt; 150000), "High",
  G820 &gt;= 150000, "Very High"
)</f>
        <v>Medium</v>
      </c>
      <c r="I820" s="6">
        <v>0</v>
      </c>
      <c r="J820" s="6">
        <v>1</v>
      </c>
      <c r="K820" s="6">
        <f t="shared" si="49"/>
        <v>1</v>
      </c>
      <c r="L820" s="8">
        <v>41727</v>
      </c>
      <c r="M820" t="str">
        <f t="shared" ca="1" si="50"/>
        <v>11 years, 11 months</v>
      </c>
      <c r="N820" s="6">
        <v>54</v>
      </c>
      <c r="O820">
        <v>14</v>
      </c>
      <c r="P820">
        <v>7</v>
      </c>
      <c r="Q820">
        <f t="shared" si="51"/>
        <v>21</v>
      </c>
      <c r="R820">
        <v>9</v>
      </c>
      <c r="S820">
        <v>9</v>
      </c>
      <c r="T820">
        <f>Table[[#This Row],[NumWebPurchases]]+Table[[#This Row],[NumStorePurchases]]</f>
        <v>18</v>
      </c>
    </row>
    <row r="821" spans="1:20" ht="12.5">
      <c r="A821" s="6">
        <v>819</v>
      </c>
      <c r="B821" s="6">
        <v>7034</v>
      </c>
      <c r="C821" s="6">
        <v>1978</v>
      </c>
      <c r="D821" s="6">
        <f t="shared" si="48"/>
        <v>47</v>
      </c>
      <c r="E821" s="7" t="s">
        <v>17</v>
      </c>
      <c r="F821" s="7" t="s">
        <v>13</v>
      </c>
      <c r="G821" s="6">
        <v>25804</v>
      </c>
      <c r="H821" s="6" t="str" cm="1">
        <f t="array" ref="H821">_xlfn.IFS(
  G821 &lt; 25000, "Low",
  AND(G821 &gt;= 25000, G821 &lt; 75000), "Medium",
  AND(G821 &gt;= 75000, G821 &lt; 150000), "High",
  G821 &gt;= 150000, "Very High"
)</f>
        <v>Medium</v>
      </c>
      <c r="I821" s="6">
        <v>1</v>
      </c>
      <c r="J821" s="6">
        <v>0</v>
      </c>
      <c r="K821" s="6">
        <f t="shared" si="49"/>
        <v>1</v>
      </c>
      <c r="L821" s="8">
        <v>41518</v>
      </c>
      <c r="M821" t="str">
        <f t="shared" ca="1" si="50"/>
        <v>12 years, 6 months</v>
      </c>
      <c r="N821" s="6">
        <v>34</v>
      </c>
      <c r="O821">
        <v>7</v>
      </c>
      <c r="P821">
        <v>6</v>
      </c>
      <c r="Q821">
        <f t="shared" si="51"/>
        <v>13</v>
      </c>
      <c r="R821">
        <v>2</v>
      </c>
      <c r="S821">
        <v>3</v>
      </c>
      <c r="T821">
        <f>Table[[#This Row],[NumWebPurchases]]+Table[[#This Row],[NumStorePurchases]]</f>
        <v>5</v>
      </c>
    </row>
    <row r="822" spans="1:20" ht="12.5">
      <c r="A822" s="6">
        <v>820</v>
      </c>
      <c r="B822" s="6">
        <v>9493</v>
      </c>
      <c r="C822" s="6">
        <v>1980</v>
      </c>
      <c r="D822" s="6">
        <f t="shared" si="48"/>
        <v>45</v>
      </c>
      <c r="E822" s="7" t="s">
        <v>12</v>
      </c>
      <c r="F822" s="7" t="s">
        <v>10</v>
      </c>
      <c r="G822" s="6">
        <v>76412</v>
      </c>
      <c r="H822" s="6" t="str" cm="1">
        <f t="array" ref="H822">_xlfn.IFS(
  G822 &lt; 25000, "Low",
  AND(G822 &gt;= 25000, G822 &lt; 75000), "Medium",
  AND(G822 &gt;= 75000, G822 &lt; 150000), "High",
  G822 &gt;= 150000, "Very High"
)</f>
        <v>High</v>
      </c>
      <c r="I822" s="6">
        <v>0</v>
      </c>
      <c r="J822" s="6">
        <v>0</v>
      </c>
      <c r="K822" s="6">
        <f t="shared" si="49"/>
        <v>0</v>
      </c>
      <c r="L822" s="8">
        <v>41399</v>
      </c>
      <c r="M822" t="str">
        <f t="shared" ca="1" si="50"/>
        <v>12 years, 10 months</v>
      </c>
      <c r="N822" s="6">
        <v>15</v>
      </c>
      <c r="O822">
        <v>53</v>
      </c>
      <c r="P822">
        <v>71</v>
      </c>
      <c r="Q822">
        <f t="shared" si="51"/>
        <v>124</v>
      </c>
      <c r="R822">
        <v>5</v>
      </c>
      <c r="S822">
        <v>8</v>
      </c>
      <c r="T822">
        <f>Table[[#This Row],[NumWebPurchases]]+Table[[#This Row],[NumStorePurchases]]</f>
        <v>13</v>
      </c>
    </row>
    <row r="823" spans="1:20" ht="12.5">
      <c r="A823" s="6">
        <v>821</v>
      </c>
      <c r="B823" s="6">
        <v>1143</v>
      </c>
      <c r="C823" s="6">
        <v>1972</v>
      </c>
      <c r="D823" s="6">
        <f t="shared" si="48"/>
        <v>53</v>
      </c>
      <c r="E823" s="7" t="s">
        <v>9</v>
      </c>
      <c r="F823" s="7" t="s">
        <v>13</v>
      </c>
      <c r="G823" s="6">
        <v>22063</v>
      </c>
      <c r="H823" s="6" t="str" cm="1">
        <f t="array" ref="H823">_xlfn.IFS(
  G823 &lt; 25000, "Low",
  AND(G823 &gt;= 25000, G823 &lt; 75000), "Medium",
  AND(G823 &gt;= 75000, G823 &lt; 150000), "High",
  G823 &gt;= 150000, "Very High"
)</f>
        <v>Low</v>
      </c>
      <c r="I823" s="6">
        <v>1</v>
      </c>
      <c r="J823" s="6">
        <v>0</v>
      </c>
      <c r="K823" s="6">
        <f t="shared" si="49"/>
        <v>1</v>
      </c>
      <c r="L823" s="8">
        <v>41494</v>
      </c>
      <c r="M823" t="str">
        <f t="shared" ca="1" si="50"/>
        <v>12 years, 6 months</v>
      </c>
      <c r="N823" s="6">
        <v>43</v>
      </c>
      <c r="O823">
        <v>10</v>
      </c>
      <c r="P823">
        <v>11</v>
      </c>
      <c r="Q823">
        <f t="shared" si="51"/>
        <v>21</v>
      </c>
      <c r="R823">
        <v>2</v>
      </c>
      <c r="S823">
        <v>3</v>
      </c>
      <c r="T823">
        <f>Table[[#This Row],[NumWebPurchases]]+Table[[#This Row],[NumStorePurchases]]</f>
        <v>5</v>
      </c>
    </row>
    <row r="824" spans="1:20" ht="12.5">
      <c r="A824" s="6">
        <v>822</v>
      </c>
      <c r="B824" s="6">
        <v>1</v>
      </c>
      <c r="C824" s="6">
        <v>1961</v>
      </c>
      <c r="D824" s="6">
        <f t="shared" si="48"/>
        <v>64</v>
      </c>
      <c r="E824" s="7" t="s">
        <v>9</v>
      </c>
      <c r="F824" s="7" t="s">
        <v>10</v>
      </c>
      <c r="G824" s="6">
        <v>57091</v>
      </c>
      <c r="H824" s="6" t="str" cm="1">
        <f t="array" ref="H824">_xlfn.IFS(
  G824 &lt; 25000, "Low",
  AND(G824 &gt;= 25000, G824 &lt; 75000), "Medium",
  AND(G824 &gt;= 75000, G824 &lt; 150000), "High",
  G824 &gt;= 150000, "Very High"
)</f>
        <v>Medium</v>
      </c>
      <c r="I824" s="6">
        <v>0</v>
      </c>
      <c r="J824" s="6">
        <v>0</v>
      </c>
      <c r="K824" s="6">
        <f t="shared" si="49"/>
        <v>0</v>
      </c>
      <c r="L824" s="8">
        <v>41805</v>
      </c>
      <c r="M824" t="str">
        <f t="shared" ca="1" si="50"/>
        <v>11 years, 8 months</v>
      </c>
      <c r="N824" s="6">
        <v>0</v>
      </c>
      <c r="O824">
        <v>5</v>
      </c>
      <c r="P824">
        <v>0</v>
      </c>
      <c r="Q824">
        <f t="shared" si="51"/>
        <v>5</v>
      </c>
      <c r="R824">
        <v>7</v>
      </c>
      <c r="S824">
        <v>7</v>
      </c>
      <c r="T824">
        <f>Table[[#This Row],[NumWebPurchases]]+Table[[#This Row],[NumStorePurchases]]</f>
        <v>14</v>
      </c>
    </row>
    <row r="825" spans="1:20" ht="12.5">
      <c r="A825" s="6">
        <v>823</v>
      </c>
      <c r="B825" s="6">
        <v>3855</v>
      </c>
      <c r="C825" s="6">
        <v>1963</v>
      </c>
      <c r="D825" s="6">
        <f t="shared" si="48"/>
        <v>62</v>
      </c>
      <c r="E825" s="7" t="s">
        <v>9</v>
      </c>
      <c r="F825" s="7" t="s">
        <v>13</v>
      </c>
      <c r="G825" s="6">
        <v>22419</v>
      </c>
      <c r="H825" s="6" t="str" cm="1">
        <f t="array" ref="H825">_xlfn.IFS(
  G825 &lt; 25000, "Low",
  AND(G825 &gt;= 25000, G825 &lt; 75000), "Medium",
  AND(G825 &gt;= 75000, G825 &lt; 150000), "High",
  G825 &gt;= 150000, "Very High"
)</f>
        <v>Low</v>
      </c>
      <c r="I825" s="6">
        <v>0</v>
      </c>
      <c r="J825" s="6">
        <v>0</v>
      </c>
      <c r="K825" s="6">
        <f t="shared" si="49"/>
        <v>0</v>
      </c>
      <c r="L825" s="8">
        <v>41382</v>
      </c>
      <c r="M825" t="str">
        <f t="shared" ca="1" si="50"/>
        <v>12 years, 10 months</v>
      </c>
      <c r="N825" s="6">
        <v>74</v>
      </c>
      <c r="O825">
        <v>3</v>
      </c>
      <c r="P825">
        <v>21</v>
      </c>
      <c r="Q825">
        <f t="shared" si="51"/>
        <v>24</v>
      </c>
      <c r="R825">
        <v>3</v>
      </c>
      <c r="S825">
        <v>2</v>
      </c>
      <c r="T825">
        <f>Table[[#This Row],[NumWebPurchases]]+Table[[#This Row],[NumStorePurchases]]</f>
        <v>5</v>
      </c>
    </row>
    <row r="826" spans="1:20" ht="12.5">
      <c r="A826" s="6">
        <v>824</v>
      </c>
      <c r="B826" s="6">
        <v>5536</v>
      </c>
      <c r="C826" s="6">
        <v>1959</v>
      </c>
      <c r="D826" s="6">
        <f t="shared" si="48"/>
        <v>66</v>
      </c>
      <c r="E826" s="7" t="s">
        <v>9</v>
      </c>
      <c r="F826" s="7" t="s">
        <v>11</v>
      </c>
      <c r="G826" s="6">
        <v>87771</v>
      </c>
      <c r="H826" s="6" t="str" cm="1">
        <f t="array" ref="H826">_xlfn.IFS(
  G826 &lt; 25000, "Low",
  AND(G826 &gt;= 25000, G826 &lt; 75000), "Medium",
  AND(G826 &gt;= 75000, G826 &lt; 150000), "High",
  G826 &gt;= 150000, "Very High"
)</f>
        <v>High</v>
      </c>
      <c r="I826" s="6">
        <v>0</v>
      </c>
      <c r="J826" s="6">
        <v>1</v>
      </c>
      <c r="K826" s="6">
        <f t="shared" si="49"/>
        <v>1</v>
      </c>
      <c r="L826" s="8">
        <v>41416</v>
      </c>
      <c r="M826" t="str">
        <f t="shared" ca="1" si="50"/>
        <v>12 years, 9 months</v>
      </c>
      <c r="N826" s="6">
        <v>61</v>
      </c>
      <c r="O826">
        <v>38</v>
      </c>
      <c r="P826">
        <v>57</v>
      </c>
      <c r="Q826">
        <f t="shared" si="51"/>
        <v>95</v>
      </c>
      <c r="R826">
        <v>5</v>
      </c>
      <c r="S826">
        <v>4</v>
      </c>
      <c r="T826">
        <f>Table[[#This Row],[NumWebPurchases]]+Table[[#This Row],[NumStorePurchases]]</f>
        <v>9</v>
      </c>
    </row>
    <row r="827" spans="1:20" ht="12.5">
      <c r="A827" s="6">
        <v>825</v>
      </c>
      <c r="B827" s="6">
        <v>5989</v>
      </c>
      <c r="C827" s="6">
        <v>1959</v>
      </c>
      <c r="D827" s="6">
        <f t="shared" si="48"/>
        <v>66</v>
      </c>
      <c r="E827" s="7" t="s">
        <v>17</v>
      </c>
      <c r="F827" s="7" t="s">
        <v>15</v>
      </c>
      <c r="G827" s="6">
        <v>78353</v>
      </c>
      <c r="H827" s="6" t="str" cm="1">
        <f t="array" ref="H827">_xlfn.IFS(
  G827 &lt; 25000, "Low",
  AND(G827 &gt;= 25000, G827 &lt; 75000), "Medium",
  AND(G827 &gt;= 75000, G827 &lt; 150000), "High",
  G827 &gt;= 150000, "Very High"
)</f>
        <v>High</v>
      </c>
      <c r="I827" s="6">
        <v>0</v>
      </c>
      <c r="J827" s="6">
        <v>1</v>
      </c>
      <c r="K827" s="6">
        <f t="shared" si="49"/>
        <v>1</v>
      </c>
      <c r="L827" s="8">
        <v>41380</v>
      </c>
      <c r="M827" t="str">
        <f t="shared" ca="1" si="50"/>
        <v>12 years, 10 months</v>
      </c>
      <c r="N827" s="6">
        <v>51</v>
      </c>
      <c r="O827">
        <v>122</v>
      </c>
      <c r="P827">
        <v>153</v>
      </c>
      <c r="Q827">
        <f t="shared" si="51"/>
        <v>275</v>
      </c>
      <c r="R827">
        <v>10</v>
      </c>
      <c r="S827">
        <v>11</v>
      </c>
      <c r="T827">
        <f>Table[[#This Row],[NumWebPurchases]]+Table[[#This Row],[NumStorePurchases]]</f>
        <v>21</v>
      </c>
    </row>
    <row r="828" spans="1:20" ht="12.5">
      <c r="A828" s="6">
        <v>826</v>
      </c>
      <c r="B828" s="6">
        <v>9499</v>
      </c>
      <c r="C828" s="6">
        <v>1954</v>
      </c>
      <c r="D828" s="6">
        <f t="shared" si="48"/>
        <v>71</v>
      </c>
      <c r="E828" s="7" t="s">
        <v>9</v>
      </c>
      <c r="F828" s="7" t="s">
        <v>13</v>
      </c>
      <c r="G828" s="6">
        <v>93404</v>
      </c>
      <c r="H828" s="6" t="str" cm="1">
        <f t="array" ref="H828">_xlfn.IFS(
  G828 &lt; 25000, "Low",
  AND(G828 &gt;= 25000, G828 &lt; 75000), "Medium",
  AND(G828 &gt;= 75000, G828 &lt; 150000), "High",
  G828 &gt;= 150000, "Very High"
)</f>
        <v>High</v>
      </c>
      <c r="I828" s="6">
        <v>1</v>
      </c>
      <c r="J828" s="6">
        <v>2</v>
      </c>
      <c r="K828" s="6">
        <f t="shared" si="49"/>
        <v>3</v>
      </c>
      <c r="L828" s="8">
        <v>41401</v>
      </c>
      <c r="M828" t="str">
        <f t="shared" ca="1" si="50"/>
        <v>12 years, 9 months</v>
      </c>
      <c r="N828" s="6">
        <v>97</v>
      </c>
      <c r="O828">
        <v>15</v>
      </c>
      <c r="P828">
        <v>0</v>
      </c>
      <c r="Q828">
        <f t="shared" si="51"/>
        <v>15</v>
      </c>
      <c r="R828">
        <v>3</v>
      </c>
      <c r="S828">
        <v>7</v>
      </c>
      <c r="T828">
        <f>Table[[#This Row],[NumWebPurchases]]+Table[[#This Row],[NumStorePurchases]]</f>
        <v>10</v>
      </c>
    </row>
    <row r="829" spans="1:20" ht="12.5">
      <c r="A829" s="6">
        <v>827</v>
      </c>
      <c r="B829" s="6">
        <v>6768</v>
      </c>
      <c r="C829" s="6">
        <v>1962</v>
      </c>
      <c r="D829" s="6">
        <f t="shared" si="48"/>
        <v>63</v>
      </c>
      <c r="E829" s="7" t="s">
        <v>9</v>
      </c>
      <c r="F829" s="7" t="s">
        <v>15</v>
      </c>
      <c r="G829" s="6">
        <v>37859</v>
      </c>
      <c r="H829" s="6" t="str" cm="1">
        <f t="array" ref="H829">_xlfn.IFS(
  G829 &lt; 25000, "Low",
  AND(G829 &gt;= 25000, G829 &lt; 75000), "Medium",
  AND(G829 &gt;= 75000, G829 &lt; 150000), "High",
  G829 &gt;= 150000, "Very High"
)</f>
        <v>Medium</v>
      </c>
      <c r="I829" s="6">
        <v>1</v>
      </c>
      <c r="J829" s="6">
        <v>2</v>
      </c>
      <c r="K829" s="6">
        <f t="shared" si="49"/>
        <v>3</v>
      </c>
      <c r="L829" s="8">
        <v>41286</v>
      </c>
      <c r="M829" t="str">
        <f t="shared" ca="1" si="50"/>
        <v>13 years, 1 months</v>
      </c>
      <c r="N829" s="6">
        <v>75</v>
      </c>
      <c r="O829">
        <v>1</v>
      </c>
      <c r="P829">
        <v>1</v>
      </c>
      <c r="Q829">
        <f t="shared" si="51"/>
        <v>2</v>
      </c>
      <c r="R829">
        <v>1</v>
      </c>
      <c r="S829">
        <v>3</v>
      </c>
      <c r="T829">
        <f>Table[[#This Row],[NumWebPurchases]]+Table[[#This Row],[NumStorePurchases]]</f>
        <v>4</v>
      </c>
    </row>
    <row r="830" spans="1:20" ht="12.5">
      <c r="A830" s="6">
        <v>828</v>
      </c>
      <c r="B830" s="6">
        <v>2150</v>
      </c>
      <c r="C830" s="6">
        <v>1958</v>
      </c>
      <c r="D830" s="6">
        <f t="shared" si="48"/>
        <v>67</v>
      </c>
      <c r="E830" s="7" t="s">
        <v>12</v>
      </c>
      <c r="F830" s="7" t="s">
        <v>18</v>
      </c>
      <c r="G830" s="6">
        <v>80995</v>
      </c>
      <c r="H830" s="6" t="str" cm="1">
        <f t="array" ref="H830">_xlfn.IFS(
  G830 &lt; 25000, "Low",
  AND(G830 &gt;= 25000, G830 &lt; 75000), "Medium",
  AND(G830 &gt;= 75000, G830 &lt; 150000), "High",
  G830 &gt;= 150000, "Very High"
)</f>
        <v>High</v>
      </c>
      <c r="I830" s="6">
        <v>0</v>
      </c>
      <c r="J830" s="6">
        <v>1</v>
      </c>
      <c r="K830" s="6">
        <f t="shared" si="49"/>
        <v>1</v>
      </c>
      <c r="L830" s="8">
        <v>41405</v>
      </c>
      <c r="M830" t="str">
        <f t="shared" ca="1" si="50"/>
        <v>12 years, 9 months</v>
      </c>
      <c r="N830" s="6">
        <v>83</v>
      </c>
      <c r="O830">
        <v>28</v>
      </c>
      <c r="P830">
        <v>56</v>
      </c>
      <c r="Q830">
        <f t="shared" si="51"/>
        <v>84</v>
      </c>
      <c r="R830">
        <v>8</v>
      </c>
      <c r="S830">
        <v>4</v>
      </c>
      <c r="T830">
        <f>Table[[#This Row],[NumWebPurchases]]+Table[[#This Row],[NumStorePurchases]]</f>
        <v>12</v>
      </c>
    </row>
    <row r="831" spans="1:20" ht="12.5">
      <c r="A831" s="6">
        <v>829</v>
      </c>
      <c r="B831" s="6">
        <v>6646</v>
      </c>
      <c r="C831" s="6">
        <v>1984</v>
      </c>
      <c r="D831" s="6">
        <f t="shared" si="48"/>
        <v>41</v>
      </c>
      <c r="E831" s="7" t="s">
        <v>9</v>
      </c>
      <c r="F831" s="7" t="s">
        <v>11</v>
      </c>
      <c r="G831" s="6">
        <v>16529</v>
      </c>
      <c r="H831" s="6" t="str" cm="1">
        <f t="array" ref="H831">_xlfn.IFS(
  G831 &lt; 25000, "Low",
  AND(G831 &gt;= 25000, G831 &lt; 75000), "Medium",
  AND(G831 &gt;= 75000, G831 &lt; 150000), "High",
  G831 &gt;= 150000, "Very High"
)</f>
        <v>Low</v>
      </c>
      <c r="I831" s="6">
        <v>1</v>
      </c>
      <c r="J831" s="6">
        <v>0</v>
      </c>
      <c r="K831" s="6">
        <f t="shared" si="49"/>
        <v>1</v>
      </c>
      <c r="L831" s="8">
        <v>41699</v>
      </c>
      <c r="M831" t="str">
        <f t="shared" ca="1" si="50"/>
        <v>12 years, 0 months</v>
      </c>
      <c r="N831" s="6">
        <v>23</v>
      </c>
      <c r="O831">
        <v>0</v>
      </c>
      <c r="P831">
        <v>0</v>
      </c>
      <c r="Q831">
        <f t="shared" si="51"/>
        <v>0</v>
      </c>
      <c r="R831">
        <v>1</v>
      </c>
      <c r="S831">
        <v>3</v>
      </c>
      <c r="T831">
        <f>Table[[#This Row],[NumWebPurchases]]+Table[[#This Row],[NumStorePurchases]]</f>
        <v>4</v>
      </c>
    </row>
    <row r="832" spans="1:20" ht="12.5">
      <c r="A832" s="6">
        <v>830</v>
      </c>
      <c r="B832" s="6">
        <v>4887</v>
      </c>
      <c r="C832" s="6">
        <v>1976</v>
      </c>
      <c r="D832" s="6">
        <f t="shared" si="48"/>
        <v>49</v>
      </c>
      <c r="E832" s="7" t="s">
        <v>12</v>
      </c>
      <c r="F832" s="7" t="s">
        <v>15</v>
      </c>
      <c r="G832" s="6">
        <v>55412</v>
      </c>
      <c r="H832" s="6" t="str" cm="1">
        <f t="array" ref="H832">_xlfn.IFS(
  G832 &lt; 25000, "Low",
  AND(G832 &gt;= 25000, G832 &lt; 75000), "Medium",
  AND(G832 &gt;= 75000, G832 &lt; 150000), "High",
  G832 &gt;= 150000, "Very High"
)</f>
        <v>Medium</v>
      </c>
      <c r="I832" s="6">
        <v>1</v>
      </c>
      <c r="J832" s="6">
        <v>1</v>
      </c>
      <c r="K832" s="6">
        <f t="shared" si="49"/>
        <v>2</v>
      </c>
      <c r="L832" s="9">
        <v>41600</v>
      </c>
      <c r="M832" t="str">
        <f t="shared" ca="1" si="50"/>
        <v>12 years, 3 months</v>
      </c>
      <c r="N832" s="6">
        <v>65</v>
      </c>
      <c r="O832">
        <v>5</v>
      </c>
      <c r="P832">
        <v>1</v>
      </c>
      <c r="Q832">
        <f t="shared" si="51"/>
        <v>6</v>
      </c>
      <c r="R832">
        <v>2</v>
      </c>
      <c r="S832">
        <v>3</v>
      </c>
      <c r="T832">
        <f>Table[[#This Row],[NumWebPurchases]]+Table[[#This Row],[NumStorePurchases]]</f>
        <v>5</v>
      </c>
    </row>
    <row r="833" spans="1:20" ht="12.5">
      <c r="A833" s="6">
        <v>831</v>
      </c>
      <c r="B833" s="6">
        <v>8560</v>
      </c>
      <c r="C833" s="6">
        <v>1992</v>
      </c>
      <c r="D833" s="6">
        <f t="shared" si="48"/>
        <v>33</v>
      </c>
      <c r="E833" s="7" t="s">
        <v>9</v>
      </c>
      <c r="F833" s="7" t="s">
        <v>10</v>
      </c>
      <c r="G833" s="6">
        <v>48789</v>
      </c>
      <c r="H833" s="6" t="str" cm="1">
        <f t="array" ref="H833">_xlfn.IFS(
  G833 &lt; 25000, "Low",
  AND(G833 &gt;= 25000, G833 &lt; 75000), "Medium",
  AND(G833 &gt;= 75000, G833 &lt; 150000), "High",
  G833 &gt;= 150000, "Very High"
)</f>
        <v>Medium</v>
      </c>
      <c r="I833" s="6">
        <v>0</v>
      </c>
      <c r="J833" s="6">
        <v>0</v>
      </c>
      <c r="K833" s="6">
        <f t="shared" si="49"/>
        <v>0</v>
      </c>
      <c r="L833" s="8">
        <v>41162</v>
      </c>
      <c r="M833" t="str">
        <f t="shared" ca="1" si="50"/>
        <v>13 years, 5 months</v>
      </c>
      <c r="N833" s="6">
        <v>94</v>
      </c>
      <c r="O833">
        <v>16</v>
      </c>
      <c r="P833">
        <v>5</v>
      </c>
      <c r="Q833">
        <f t="shared" si="51"/>
        <v>21</v>
      </c>
      <c r="R833">
        <v>6</v>
      </c>
      <c r="S833">
        <v>7</v>
      </c>
      <c r="T833">
        <f>Table[[#This Row],[NumWebPurchases]]+Table[[#This Row],[NumStorePurchases]]</f>
        <v>13</v>
      </c>
    </row>
    <row r="834" spans="1:20" ht="12.5">
      <c r="A834" s="6">
        <v>832</v>
      </c>
      <c r="B834" s="6">
        <v>3321</v>
      </c>
      <c r="C834" s="6">
        <v>1967</v>
      </c>
      <c r="D834" s="6">
        <f t="shared" si="48"/>
        <v>58</v>
      </c>
      <c r="E834" s="7" t="s">
        <v>12</v>
      </c>
      <c r="F834" s="7" t="s">
        <v>11</v>
      </c>
      <c r="G834" s="6">
        <v>56575</v>
      </c>
      <c r="H834" s="6" t="str" cm="1">
        <f t="array" ref="H834">_xlfn.IFS(
  G834 &lt; 25000, "Low",
  AND(G834 &gt;= 25000, G834 &lt; 75000), "Medium",
  AND(G834 &gt;= 75000, G834 &lt; 150000), "High",
  G834 &gt;= 150000, "Very High"
)</f>
        <v>Medium</v>
      </c>
      <c r="I834" s="6">
        <v>0</v>
      </c>
      <c r="J834" s="6">
        <v>2</v>
      </c>
      <c r="K834" s="6">
        <f t="shared" si="49"/>
        <v>2</v>
      </c>
      <c r="L834" s="8">
        <v>41399</v>
      </c>
      <c r="M834" t="str">
        <f t="shared" ca="1" si="50"/>
        <v>12 years, 10 months</v>
      </c>
      <c r="N834" s="6">
        <v>42</v>
      </c>
      <c r="O834">
        <v>5</v>
      </c>
      <c r="P834">
        <v>16</v>
      </c>
      <c r="Q834">
        <f t="shared" si="51"/>
        <v>21</v>
      </c>
      <c r="R834">
        <v>7</v>
      </c>
      <c r="S834">
        <v>7</v>
      </c>
      <c r="T834">
        <f>Table[[#This Row],[NumWebPurchases]]+Table[[#This Row],[NumStorePurchases]]</f>
        <v>14</v>
      </c>
    </row>
    <row r="835" spans="1:20" ht="12.5">
      <c r="A835" s="6">
        <v>833</v>
      </c>
      <c r="B835" s="6">
        <v>11003</v>
      </c>
      <c r="C835" s="6">
        <v>1980</v>
      </c>
      <c r="D835" s="6">
        <f t="shared" ref="D835:D898" si="52">2025-C835</f>
        <v>45</v>
      </c>
      <c r="E835" s="7" t="s">
        <v>17</v>
      </c>
      <c r="F835" s="7" t="s">
        <v>11</v>
      </c>
      <c r="G835" s="6">
        <v>25130</v>
      </c>
      <c r="H835" s="6" t="str" cm="1">
        <f t="array" ref="H835">_xlfn.IFS(
  G835 &lt; 25000, "Low",
  AND(G835 &gt;= 25000, G835 &lt; 75000), "Medium",
  AND(G835 &gt;= 75000, G835 &lt; 150000), "High",
  G835 &gt;= 150000, "Very High"
)</f>
        <v>Medium</v>
      </c>
      <c r="I835" s="6">
        <v>1</v>
      </c>
      <c r="J835" s="6">
        <v>0</v>
      </c>
      <c r="K835" s="6">
        <f t="shared" ref="K835:K898" si="53">I835+J835</f>
        <v>1</v>
      </c>
      <c r="L835" s="8">
        <v>41549</v>
      </c>
      <c r="M835" t="str">
        <f t="shared" ref="M835:M898" ca="1" si="54">DATEDIF(L835, TODAY(), "Y") &amp; " years, " &amp; DATEDIF(L835, TODAY(), "YM") &amp; " months"</f>
        <v>12 years, 5 months</v>
      </c>
      <c r="N835" s="6">
        <v>10</v>
      </c>
      <c r="O835">
        <v>5</v>
      </c>
      <c r="P835">
        <v>18</v>
      </c>
      <c r="Q835">
        <f t="shared" ref="Q835:Q898" si="55">O835+P835</f>
        <v>23</v>
      </c>
      <c r="R835">
        <v>2</v>
      </c>
      <c r="S835">
        <v>3</v>
      </c>
      <c r="T835">
        <f>Table[[#This Row],[NumWebPurchases]]+Table[[#This Row],[NumStorePurchases]]</f>
        <v>5</v>
      </c>
    </row>
    <row r="836" spans="1:20" ht="12.5">
      <c r="A836" s="6">
        <v>834</v>
      </c>
      <c r="B836" s="6">
        <v>10402</v>
      </c>
      <c r="C836" s="6">
        <v>1967</v>
      </c>
      <c r="D836" s="6">
        <f t="shared" si="52"/>
        <v>58</v>
      </c>
      <c r="E836" s="7" t="s">
        <v>9</v>
      </c>
      <c r="F836" s="7" t="s">
        <v>13</v>
      </c>
      <c r="G836" s="6">
        <v>35441</v>
      </c>
      <c r="H836" s="6" t="str" cm="1">
        <f t="array" ref="H836">_xlfn.IFS(
  G836 &lt; 25000, "Low",
  AND(G836 &gt;= 25000, G836 &lt; 75000), "Medium",
  AND(G836 &gt;= 75000, G836 &lt; 150000), "High",
  G836 &gt;= 150000, "Very High"
)</f>
        <v>Medium</v>
      </c>
      <c r="I836" s="6">
        <v>1</v>
      </c>
      <c r="J836" s="6">
        <v>1</v>
      </c>
      <c r="K836" s="6">
        <f t="shared" si="53"/>
        <v>2</v>
      </c>
      <c r="L836" s="8">
        <v>41319</v>
      </c>
      <c r="M836" t="str">
        <f t="shared" ca="1" si="54"/>
        <v>13 years, 0 months</v>
      </c>
      <c r="N836" s="6">
        <v>94</v>
      </c>
      <c r="O836">
        <v>1</v>
      </c>
      <c r="P836">
        <v>1</v>
      </c>
      <c r="Q836">
        <f t="shared" si="55"/>
        <v>2</v>
      </c>
      <c r="R836">
        <v>1</v>
      </c>
      <c r="S836">
        <v>3</v>
      </c>
      <c r="T836">
        <f>Table[[#This Row],[NumWebPurchases]]+Table[[#This Row],[NumStorePurchases]]</f>
        <v>4</v>
      </c>
    </row>
    <row r="837" spans="1:20" ht="12.5">
      <c r="A837" s="6">
        <v>835</v>
      </c>
      <c r="B837" s="6">
        <v>9904</v>
      </c>
      <c r="C837" s="6">
        <v>1956</v>
      </c>
      <c r="D837" s="6">
        <f t="shared" si="52"/>
        <v>69</v>
      </c>
      <c r="E837" s="7" t="s">
        <v>9</v>
      </c>
      <c r="F837" s="7" t="s">
        <v>13</v>
      </c>
      <c r="G837" s="6">
        <v>71391</v>
      </c>
      <c r="H837" s="6" t="str" cm="1">
        <f t="array" ref="H837">_xlfn.IFS(
  G837 &lt; 25000, "Low",
  AND(G837 &gt;= 25000, G837 &lt; 75000), "Medium",
  AND(G837 &gt;= 75000, G837 &lt; 150000), "High",
  G837 &gt;= 150000, "Very High"
)</f>
        <v>Medium</v>
      </c>
      <c r="I837" s="6">
        <v>0</v>
      </c>
      <c r="J837" s="6">
        <v>1</v>
      </c>
      <c r="K837" s="6">
        <f t="shared" si="53"/>
        <v>1</v>
      </c>
      <c r="L837" s="8">
        <v>41362</v>
      </c>
      <c r="M837" t="str">
        <f t="shared" ca="1" si="54"/>
        <v>12 years, 11 months</v>
      </c>
      <c r="N837" s="6">
        <v>50</v>
      </c>
      <c r="O837">
        <v>123</v>
      </c>
      <c r="P837">
        <v>123</v>
      </c>
      <c r="Q837">
        <f t="shared" si="55"/>
        <v>246</v>
      </c>
      <c r="R837">
        <v>6</v>
      </c>
      <c r="S837">
        <v>12</v>
      </c>
      <c r="T837">
        <f>Table[[#This Row],[NumWebPurchases]]+Table[[#This Row],[NumStorePurchases]]</f>
        <v>18</v>
      </c>
    </row>
    <row r="838" spans="1:20" ht="12.5">
      <c r="A838" s="6">
        <v>836</v>
      </c>
      <c r="B838" s="6">
        <v>6141</v>
      </c>
      <c r="C838" s="6">
        <v>1972</v>
      </c>
      <c r="D838" s="6">
        <f t="shared" si="52"/>
        <v>53</v>
      </c>
      <c r="E838" s="7" t="s">
        <v>14</v>
      </c>
      <c r="F838" s="7" t="s">
        <v>10</v>
      </c>
      <c r="G838" s="6">
        <v>49494</v>
      </c>
      <c r="H838" s="6" t="str" cm="1">
        <f t="array" ref="H838">_xlfn.IFS(
  G838 &lt; 25000, "Low",
  AND(G838 &gt;= 25000, G838 &lt; 75000), "Medium",
  AND(G838 &gt;= 75000, G838 &lt; 150000), "High",
  G838 &gt;= 150000, "Very High"
)</f>
        <v>Medium</v>
      </c>
      <c r="I838" s="6">
        <v>1</v>
      </c>
      <c r="J838" s="6">
        <v>0</v>
      </c>
      <c r="K838" s="6">
        <f t="shared" si="53"/>
        <v>1</v>
      </c>
      <c r="L838" s="8">
        <v>41389</v>
      </c>
      <c r="M838" t="str">
        <f t="shared" ca="1" si="54"/>
        <v>12 years, 10 months</v>
      </c>
      <c r="N838" s="6">
        <v>46</v>
      </c>
      <c r="O838">
        <v>9</v>
      </c>
      <c r="P838">
        <v>6</v>
      </c>
      <c r="Q838">
        <f t="shared" si="55"/>
        <v>15</v>
      </c>
      <c r="R838">
        <v>6</v>
      </c>
      <c r="S838">
        <v>5</v>
      </c>
      <c r="T838">
        <f>Table[[#This Row],[NumWebPurchases]]+Table[[#This Row],[NumStorePurchases]]</f>
        <v>11</v>
      </c>
    </row>
    <row r="839" spans="1:20" ht="12.5">
      <c r="A839" s="6">
        <v>837</v>
      </c>
      <c r="B839" s="6">
        <v>5687</v>
      </c>
      <c r="C839" s="6">
        <v>1980</v>
      </c>
      <c r="D839" s="6">
        <f t="shared" si="52"/>
        <v>45</v>
      </c>
      <c r="E839" s="7" t="s">
        <v>9</v>
      </c>
      <c r="F839" s="7" t="s">
        <v>15</v>
      </c>
      <c r="G839" s="6">
        <v>81702</v>
      </c>
      <c r="H839" s="6" t="str" cm="1">
        <f t="array" ref="H839">_xlfn.IFS(
  G839 &lt; 25000, "Low",
  AND(G839 &gt;= 25000, G839 &lt; 75000), "Medium",
  AND(G839 &gt;= 75000, G839 &lt; 150000), "High",
  G839 &gt;= 150000, "Very High"
)</f>
        <v>High</v>
      </c>
      <c r="I839" s="6">
        <v>0</v>
      </c>
      <c r="J839" s="6">
        <v>0</v>
      </c>
      <c r="K839" s="6">
        <f t="shared" si="53"/>
        <v>0</v>
      </c>
      <c r="L839" s="8">
        <v>41175</v>
      </c>
      <c r="M839" t="str">
        <f t="shared" ca="1" si="54"/>
        <v>13 years, 5 months</v>
      </c>
      <c r="N839" s="6">
        <v>98</v>
      </c>
      <c r="O839">
        <v>50</v>
      </c>
      <c r="P839">
        <v>31</v>
      </c>
      <c r="Q839">
        <f t="shared" si="55"/>
        <v>81</v>
      </c>
      <c r="R839">
        <v>7</v>
      </c>
      <c r="S839">
        <v>12</v>
      </c>
      <c r="T839">
        <f>Table[[#This Row],[NumWebPurchases]]+Table[[#This Row],[NumStorePurchases]]</f>
        <v>19</v>
      </c>
    </row>
    <row r="840" spans="1:20" ht="12.5">
      <c r="A840" s="6">
        <v>838</v>
      </c>
      <c r="B840" s="6">
        <v>10856</v>
      </c>
      <c r="C840" s="6">
        <v>1980</v>
      </c>
      <c r="D840" s="6">
        <f t="shared" si="52"/>
        <v>45</v>
      </c>
      <c r="E840" s="7" t="s">
        <v>17</v>
      </c>
      <c r="F840" s="7" t="s">
        <v>10</v>
      </c>
      <c r="G840" s="6">
        <v>45889</v>
      </c>
      <c r="H840" s="6" t="str" cm="1">
        <f t="array" ref="H840">_xlfn.IFS(
  G840 &lt; 25000, "Low",
  AND(G840 &gt;= 25000, G840 &lt; 75000), "Medium",
  AND(G840 &gt;= 75000, G840 &lt; 150000), "High",
  G840 &gt;= 150000, "Very High"
)</f>
        <v>Medium</v>
      </c>
      <c r="I840" s="6">
        <v>0</v>
      </c>
      <c r="J840" s="6">
        <v>1</v>
      </c>
      <c r="K840" s="6">
        <f t="shared" si="53"/>
        <v>1</v>
      </c>
      <c r="L840" s="8">
        <v>41457</v>
      </c>
      <c r="M840" t="str">
        <f t="shared" ca="1" si="54"/>
        <v>12 years, 8 months</v>
      </c>
      <c r="N840" s="6">
        <v>42</v>
      </c>
      <c r="O840">
        <v>0</v>
      </c>
      <c r="P840">
        <v>1</v>
      </c>
      <c r="Q840">
        <f t="shared" si="55"/>
        <v>1</v>
      </c>
      <c r="R840">
        <v>1</v>
      </c>
      <c r="S840">
        <v>3</v>
      </c>
      <c r="T840">
        <f>Table[[#This Row],[NumWebPurchases]]+Table[[#This Row],[NumStorePurchases]]</f>
        <v>4</v>
      </c>
    </row>
    <row r="841" spans="1:20" ht="12.5">
      <c r="A841" s="6">
        <v>839</v>
      </c>
      <c r="B841" s="6">
        <v>5121</v>
      </c>
      <c r="C841" s="6">
        <v>1977</v>
      </c>
      <c r="D841" s="6">
        <f t="shared" si="52"/>
        <v>48</v>
      </c>
      <c r="E841" s="7" t="s">
        <v>9</v>
      </c>
      <c r="F841" s="7" t="s">
        <v>10</v>
      </c>
      <c r="G841" s="6">
        <v>56628</v>
      </c>
      <c r="H841" s="6" t="str" cm="1">
        <f t="array" ref="H841">_xlfn.IFS(
  G841 &lt; 25000, "Low",
  AND(G841 &gt;= 25000, G841 &lt; 75000), "Medium",
  AND(G841 &gt;= 75000, G841 &lt; 150000), "High",
  G841 &gt;= 150000, "Very High"
)</f>
        <v>Medium</v>
      </c>
      <c r="I841" s="6">
        <v>0</v>
      </c>
      <c r="J841" s="6">
        <v>1</v>
      </c>
      <c r="K841" s="6">
        <f t="shared" si="53"/>
        <v>1</v>
      </c>
      <c r="L841" s="8">
        <v>41719</v>
      </c>
      <c r="M841" t="str">
        <f t="shared" ca="1" si="54"/>
        <v>11 years, 11 months</v>
      </c>
      <c r="N841" s="6">
        <v>30</v>
      </c>
      <c r="O841">
        <v>5</v>
      </c>
      <c r="P841">
        <v>17</v>
      </c>
      <c r="Q841">
        <f t="shared" si="55"/>
        <v>22</v>
      </c>
      <c r="R841">
        <v>7</v>
      </c>
      <c r="S841">
        <v>5</v>
      </c>
      <c r="T841">
        <f>Table[[#This Row],[NumWebPurchases]]+Table[[#This Row],[NumStorePurchases]]</f>
        <v>12</v>
      </c>
    </row>
    <row r="842" spans="1:20" ht="12.5">
      <c r="A842" s="6">
        <v>840</v>
      </c>
      <c r="B842" s="6">
        <v>4186</v>
      </c>
      <c r="C842" s="6">
        <v>1950</v>
      </c>
      <c r="D842" s="6">
        <f t="shared" si="52"/>
        <v>75</v>
      </c>
      <c r="E842" s="7" t="s">
        <v>9</v>
      </c>
      <c r="F842" s="7" t="s">
        <v>11</v>
      </c>
      <c r="G842" s="6">
        <v>34026</v>
      </c>
      <c r="H842" s="6" t="str" cm="1">
        <f t="array" ref="H842">_xlfn.IFS(
  G842 &lt; 25000, "Low",
  AND(G842 &gt;= 25000, G842 &lt; 75000), "Medium",
  AND(G842 &gt;= 75000, G842 &lt; 150000), "High",
  G842 &gt;= 150000, "Very High"
)</f>
        <v>Medium</v>
      </c>
      <c r="I842" s="6">
        <v>1</v>
      </c>
      <c r="J842" s="6">
        <v>1</v>
      </c>
      <c r="K842" s="6">
        <f t="shared" si="53"/>
        <v>2</v>
      </c>
      <c r="L842" s="8">
        <v>41491</v>
      </c>
      <c r="M842" t="str">
        <f t="shared" ca="1" si="54"/>
        <v>12 years, 7 months</v>
      </c>
      <c r="N842" s="6">
        <v>11</v>
      </c>
      <c r="O842">
        <v>6</v>
      </c>
      <c r="P842">
        <v>8</v>
      </c>
      <c r="Q842">
        <f t="shared" si="55"/>
        <v>14</v>
      </c>
      <c r="R842">
        <v>2</v>
      </c>
      <c r="S842">
        <v>3</v>
      </c>
      <c r="T842">
        <f>Table[[#This Row],[NumWebPurchases]]+Table[[#This Row],[NumStorePurchases]]</f>
        <v>5</v>
      </c>
    </row>
    <row r="843" spans="1:20" ht="12.5">
      <c r="A843" s="6">
        <v>841</v>
      </c>
      <c r="B843" s="6">
        <v>368</v>
      </c>
      <c r="C843" s="6">
        <v>1974</v>
      </c>
      <c r="D843" s="6">
        <f t="shared" si="52"/>
        <v>51</v>
      </c>
      <c r="E843" s="7" t="s">
        <v>9</v>
      </c>
      <c r="F843" s="7" t="s">
        <v>13</v>
      </c>
      <c r="G843" s="6">
        <v>40049</v>
      </c>
      <c r="H843" s="6" t="str" cm="1">
        <f t="array" ref="H843">_xlfn.IFS(
  G843 &lt; 25000, "Low",
  AND(G843 &gt;= 25000, G843 &lt; 75000), "Medium",
  AND(G843 &gt;= 75000, G843 &lt; 150000), "High",
  G843 &gt;= 150000, "Very High"
)</f>
        <v>Medium</v>
      </c>
      <c r="I843" s="6">
        <v>0</v>
      </c>
      <c r="J843" s="6">
        <v>1</v>
      </c>
      <c r="K843" s="6">
        <f t="shared" si="53"/>
        <v>1</v>
      </c>
      <c r="L843" s="9">
        <v>41242</v>
      </c>
      <c r="M843" t="str">
        <f t="shared" ca="1" si="54"/>
        <v>13 years, 3 months</v>
      </c>
      <c r="N843" s="6">
        <v>61</v>
      </c>
      <c r="O843">
        <v>65</v>
      </c>
      <c r="P843">
        <v>44</v>
      </c>
      <c r="Q843">
        <f t="shared" si="55"/>
        <v>109</v>
      </c>
      <c r="R843">
        <v>3</v>
      </c>
      <c r="S843">
        <v>6</v>
      </c>
      <c r="T843">
        <f>Table[[#This Row],[NumWebPurchases]]+Table[[#This Row],[NumStorePurchases]]</f>
        <v>9</v>
      </c>
    </row>
    <row r="844" spans="1:20" ht="12.5">
      <c r="A844" s="6">
        <v>842</v>
      </c>
      <c r="B844" s="6">
        <v>3312</v>
      </c>
      <c r="C844" s="6">
        <v>1988</v>
      </c>
      <c r="D844" s="6">
        <f t="shared" si="52"/>
        <v>37</v>
      </c>
      <c r="E844" s="7" t="s">
        <v>9</v>
      </c>
      <c r="F844" s="7" t="s">
        <v>10</v>
      </c>
      <c r="G844" s="6">
        <v>34176</v>
      </c>
      <c r="H844" s="6" t="str" cm="1">
        <f t="array" ref="H844">_xlfn.IFS(
  G844 &lt; 25000, "Low",
  AND(G844 &gt;= 25000, G844 &lt; 75000), "Medium",
  AND(G844 &gt;= 75000, G844 &lt; 150000), "High",
  G844 &gt;= 150000, "Very High"
)</f>
        <v>Medium</v>
      </c>
      <c r="I844" s="6">
        <v>1</v>
      </c>
      <c r="J844" s="6">
        <v>0</v>
      </c>
      <c r="K844" s="6">
        <f t="shared" si="53"/>
        <v>1</v>
      </c>
      <c r="L844" s="8">
        <v>41771</v>
      </c>
      <c r="M844" t="str">
        <f t="shared" ca="1" si="54"/>
        <v>11 years, 9 months</v>
      </c>
      <c r="N844" s="6">
        <v>12</v>
      </c>
      <c r="O844">
        <v>7</v>
      </c>
      <c r="P844">
        <v>14</v>
      </c>
      <c r="Q844">
        <f t="shared" si="55"/>
        <v>21</v>
      </c>
      <c r="R844">
        <v>3</v>
      </c>
      <c r="S844">
        <v>4</v>
      </c>
      <c r="T844">
        <f>Table[[#This Row],[NumWebPurchases]]+Table[[#This Row],[NumStorePurchases]]</f>
        <v>7</v>
      </c>
    </row>
    <row r="845" spans="1:20" ht="12.5">
      <c r="A845" s="6">
        <v>843</v>
      </c>
      <c r="B845" s="6">
        <v>11121</v>
      </c>
      <c r="C845" s="6">
        <v>1981</v>
      </c>
      <c r="D845" s="6">
        <f t="shared" si="52"/>
        <v>44</v>
      </c>
      <c r="E845" s="7" t="s">
        <v>9</v>
      </c>
      <c r="F845" s="7" t="s">
        <v>13</v>
      </c>
      <c r="G845" s="6">
        <v>19419</v>
      </c>
      <c r="H845" s="6" t="str" cm="1">
        <f t="array" ref="H845">_xlfn.IFS(
  G845 &lt; 25000, "Low",
  AND(G845 &gt;= 25000, G845 &lt; 75000), "Medium",
  AND(G845 &gt;= 75000, G845 &lt; 150000), "High",
  G845 &gt;= 150000, "Very High"
)</f>
        <v>Low</v>
      </c>
      <c r="I845" s="6">
        <v>1</v>
      </c>
      <c r="J845" s="6">
        <v>0</v>
      </c>
      <c r="K845" s="6">
        <f t="shared" si="53"/>
        <v>1</v>
      </c>
      <c r="L845" s="9">
        <v>41223</v>
      </c>
      <c r="M845" t="str">
        <f t="shared" ca="1" si="54"/>
        <v>13 years, 3 months</v>
      </c>
      <c r="N845" s="6">
        <v>76</v>
      </c>
      <c r="O845">
        <v>14</v>
      </c>
      <c r="P845">
        <v>3</v>
      </c>
      <c r="Q845">
        <f t="shared" si="55"/>
        <v>17</v>
      </c>
      <c r="R845">
        <v>4</v>
      </c>
      <c r="S845">
        <v>3</v>
      </c>
      <c r="T845">
        <f>Table[[#This Row],[NumWebPurchases]]+Table[[#This Row],[NumStorePurchases]]</f>
        <v>7</v>
      </c>
    </row>
    <row r="846" spans="1:20" ht="12.5">
      <c r="A846" s="6">
        <v>844</v>
      </c>
      <c r="B846" s="6">
        <v>5332</v>
      </c>
      <c r="C846" s="6">
        <v>1960</v>
      </c>
      <c r="D846" s="6">
        <f t="shared" si="52"/>
        <v>65</v>
      </c>
      <c r="E846" s="7" t="s">
        <v>17</v>
      </c>
      <c r="F846" s="7" t="s">
        <v>13</v>
      </c>
      <c r="G846" s="6">
        <v>82504</v>
      </c>
      <c r="H846" s="6" t="str" cm="1">
        <f t="array" ref="H846">_xlfn.IFS(
  G846 &lt; 25000, "Low",
  AND(G846 &gt;= 25000, G846 &lt; 75000), "Medium",
  AND(G846 &gt;= 75000, G846 &lt; 150000), "High",
  G846 &gt;= 150000, "Very High"
)</f>
        <v>High</v>
      </c>
      <c r="I846" s="6">
        <v>0</v>
      </c>
      <c r="J846" s="6">
        <v>0</v>
      </c>
      <c r="K846" s="6">
        <f t="shared" si="53"/>
        <v>0</v>
      </c>
      <c r="L846" s="8">
        <v>41482</v>
      </c>
      <c r="M846" t="str">
        <f t="shared" ca="1" si="54"/>
        <v>12 years, 7 months</v>
      </c>
      <c r="N846" s="6">
        <v>2</v>
      </c>
      <c r="O846">
        <v>50</v>
      </c>
      <c r="P846">
        <v>35</v>
      </c>
      <c r="Q846">
        <f t="shared" si="55"/>
        <v>85</v>
      </c>
      <c r="R846">
        <v>3</v>
      </c>
      <c r="S846">
        <v>7</v>
      </c>
      <c r="T846">
        <f>Table[[#This Row],[NumWebPurchases]]+Table[[#This Row],[NumStorePurchases]]</f>
        <v>10</v>
      </c>
    </row>
    <row r="847" spans="1:20" ht="12.5">
      <c r="A847" s="6">
        <v>845</v>
      </c>
      <c r="B847" s="6">
        <v>5848</v>
      </c>
      <c r="C847" s="6">
        <v>1970</v>
      </c>
      <c r="D847" s="6">
        <f t="shared" si="52"/>
        <v>55</v>
      </c>
      <c r="E847" s="7" t="s">
        <v>9</v>
      </c>
      <c r="F847" s="7" t="s">
        <v>11</v>
      </c>
      <c r="G847" s="6">
        <v>81205</v>
      </c>
      <c r="H847" s="6" t="str" cm="1">
        <f t="array" ref="H847">_xlfn.IFS(
  G847 &lt; 25000, "Low",
  AND(G847 &gt;= 25000, G847 &lt; 75000), "Medium",
  AND(G847 &gt;= 75000, G847 &lt; 150000), "High",
  G847 &gt;= 150000, "Very High"
)</f>
        <v>High</v>
      </c>
      <c r="I847" s="6">
        <v>0</v>
      </c>
      <c r="J847" s="6">
        <v>0</v>
      </c>
      <c r="K847" s="6">
        <f t="shared" si="53"/>
        <v>0</v>
      </c>
      <c r="L847" s="8">
        <v>41652</v>
      </c>
      <c r="M847" t="str">
        <f t="shared" ca="1" si="54"/>
        <v>12 years, 1 months</v>
      </c>
      <c r="N847" s="6">
        <v>43</v>
      </c>
      <c r="O847">
        <v>74</v>
      </c>
      <c r="P847">
        <v>55</v>
      </c>
      <c r="Q847">
        <f t="shared" si="55"/>
        <v>129</v>
      </c>
      <c r="R847">
        <v>5</v>
      </c>
      <c r="S847">
        <v>7</v>
      </c>
      <c r="T847">
        <f>Table[[#This Row],[NumWebPurchases]]+Table[[#This Row],[NumStorePurchases]]</f>
        <v>12</v>
      </c>
    </row>
    <row r="848" spans="1:20" ht="12.5">
      <c r="A848" s="6">
        <v>846</v>
      </c>
      <c r="B848" s="6">
        <v>10343</v>
      </c>
      <c r="C848" s="6">
        <v>1991</v>
      </c>
      <c r="D848" s="6">
        <f t="shared" si="52"/>
        <v>34</v>
      </c>
      <c r="E848" s="7" t="s">
        <v>17</v>
      </c>
      <c r="F848" s="7" t="s">
        <v>10</v>
      </c>
      <c r="G848" s="6">
        <v>61618</v>
      </c>
      <c r="H848" s="6" t="str" cm="1">
        <f t="array" ref="H848">_xlfn.IFS(
  G848 &lt; 25000, "Low",
  AND(G848 &gt;= 25000, G848 &lt; 75000), "Medium",
  AND(G848 &gt;= 75000, G848 &lt; 150000), "High",
  G848 &gt;= 150000, "Very High"
)</f>
        <v>Medium</v>
      </c>
      <c r="I848" s="6">
        <v>0</v>
      </c>
      <c r="J848" s="6">
        <v>0</v>
      </c>
      <c r="K848" s="6">
        <f t="shared" si="53"/>
        <v>0</v>
      </c>
      <c r="L848" s="8">
        <v>41181</v>
      </c>
      <c r="M848" t="str">
        <f t="shared" ca="1" si="54"/>
        <v>13 years, 5 months</v>
      </c>
      <c r="N848" s="6">
        <v>27</v>
      </c>
      <c r="O848">
        <v>91</v>
      </c>
      <c r="P848">
        <v>45</v>
      </c>
      <c r="Q848">
        <f t="shared" si="55"/>
        <v>136</v>
      </c>
      <c r="R848">
        <v>3</v>
      </c>
      <c r="S848">
        <v>8</v>
      </c>
      <c r="T848">
        <f>Table[[#This Row],[NumWebPurchases]]+Table[[#This Row],[NumStorePurchases]]</f>
        <v>11</v>
      </c>
    </row>
    <row r="849" spans="1:20" ht="12.5">
      <c r="A849" s="6">
        <v>847</v>
      </c>
      <c r="B849" s="6">
        <v>5935</v>
      </c>
      <c r="C849" s="6">
        <v>1956</v>
      </c>
      <c r="D849" s="6">
        <f t="shared" si="52"/>
        <v>69</v>
      </c>
      <c r="E849" s="7" t="s">
        <v>14</v>
      </c>
      <c r="F849" s="7" t="s">
        <v>10</v>
      </c>
      <c r="G849" s="6">
        <v>55284</v>
      </c>
      <c r="H849" s="6" t="str" cm="1">
        <f t="array" ref="H849">_xlfn.IFS(
  G849 &lt; 25000, "Low",
  AND(G849 &gt;= 25000, G849 &lt; 75000), "Medium",
  AND(G849 &gt;= 75000, G849 &lt; 150000), "High",
  G849 &gt;= 150000, "Very High"
)</f>
        <v>Medium</v>
      </c>
      <c r="I849" s="6">
        <v>0</v>
      </c>
      <c r="J849" s="6">
        <v>1</v>
      </c>
      <c r="K849" s="6">
        <f t="shared" si="53"/>
        <v>1</v>
      </c>
      <c r="L849" s="9">
        <v>41267</v>
      </c>
      <c r="M849" t="str">
        <f t="shared" ca="1" si="54"/>
        <v>13 years, 2 months</v>
      </c>
      <c r="N849" s="6">
        <v>60</v>
      </c>
      <c r="O849">
        <v>7</v>
      </c>
      <c r="P849">
        <v>7</v>
      </c>
      <c r="Q849">
        <f t="shared" si="55"/>
        <v>14</v>
      </c>
      <c r="R849">
        <v>7</v>
      </c>
      <c r="S849">
        <v>8</v>
      </c>
      <c r="T849">
        <f>Table[[#This Row],[NumWebPurchases]]+Table[[#This Row],[NumStorePurchases]]</f>
        <v>15</v>
      </c>
    </row>
    <row r="850" spans="1:20" ht="12.5">
      <c r="A850" s="6">
        <v>848</v>
      </c>
      <c r="B850" s="6">
        <v>2895</v>
      </c>
      <c r="C850" s="6">
        <v>1963</v>
      </c>
      <c r="D850" s="6">
        <f t="shared" si="52"/>
        <v>62</v>
      </c>
      <c r="E850" s="7" t="s">
        <v>9</v>
      </c>
      <c r="F850" s="7" t="s">
        <v>10</v>
      </c>
      <c r="G850" s="6">
        <v>49980</v>
      </c>
      <c r="H850" s="6" t="str" cm="1">
        <f t="array" ref="H850">_xlfn.IFS(
  G850 &lt; 25000, "Low",
  AND(G850 &gt;= 25000, G850 &lt; 75000), "Medium",
  AND(G850 &gt;= 75000, G850 &lt; 150000), "High",
  G850 &gt;= 150000, "Very High"
)</f>
        <v>Medium</v>
      </c>
      <c r="I850" s="6">
        <v>0</v>
      </c>
      <c r="J850" s="6">
        <v>1</v>
      </c>
      <c r="K850" s="6">
        <f t="shared" si="53"/>
        <v>1</v>
      </c>
      <c r="L850" s="9">
        <v>41570</v>
      </c>
      <c r="M850" t="str">
        <f t="shared" ca="1" si="54"/>
        <v>12 years, 4 months</v>
      </c>
      <c r="N850" s="6">
        <v>79</v>
      </c>
      <c r="O850">
        <v>1</v>
      </c>
      <c r="P850">
        <v>9</v>
      </c>
      <c r="Q850">
        <f t="shared" si="55"/>
        <v>10</v>
      </c>
      <c r="R850">
        <v>3</v>
      </c>
      <c r="S850">
        <v>5</v>
      </c>
      <c r="T850">
        <f>Table[[#This Row],[NumWebPurchases]]+Table[[#This Row],[NumStorePurchases]]</f>
        <v>8</v>
      </c>
    </row>
    <row r="851" spans="1:20" ht="12.5">
      <c r="A851" s="6">
        <v>849</v>
      </c>
      <c r="B851" s="6">
        <v>10262</v>
      </c>
      <c r="C851" s="6">
        <v>1980</v>
      </c>
      <c r="D851" s="6">
        <f t="shared" si="52"/>
        <v>45</v>
      </c>
      <c r="E851" s="7" t="s">
        <v>9</v>
      </c>
      <c r="F851" s="7" t="s">
        <v>13</v>
      </c>
      <c r="G851" s="6">
        <v>15072</v>
      </c>
      <c r="H851" s="6" t="str" cm="1">
        <f t="array" ref="H851">_xlfn.IFS(
  G851 &lt; 25000, "Low",
  AND(G851 &gt;= 25000, G851 &lt; 75000), "Medium",
  AND(G851 &gt;= 75000, G851 &lt; 150000), "High",
  G851 &gt;= 150000, "Very High"
)</f>
        <v>Low</v>
      </c>
      <c r="I851" s="6">
        <v>2</v>
      </c>
      <c r="J851" s="6">
        <v>0</v>
      </c>
      <c r="K851" s="6">
        <f t="shared" si="53"/>
        <v>2</v>
      </c>
      <c r="L851" s="8">
        <v>41404</v>
      </c>
      <c r="M851" t="str">
        <f t="shared" ca="1" si="54"/>
        <v>12 years, 9 months</v>
      </c>
      <c r="N851" s="6">
        <v>96</v>
      </c>
      <c r="O851">
        <v>2</v>
      </c>
      <c r="P851">
        <v>10</v>
      </c>
      <c r="Q851">
        <f t="shared" si="55"/>
        <v>12</v>
      </c>
      <c r="R851">
        <v>3</v>
      </c>
      <c r="S851">
        <v>3</v>
      </c>
      <c r="T851">
        <f>Table[[#This Row],[NumWebPurchases]]+Table[[#This Row],[NumStorePurchases]]</f>
        <v>6</v>
      </c>
    </row>
    <row r="852" spans="1:20" ht="12.5">
      <c r="A852" s="6">
        <v>850</v>
      </c>
      <c r="B852" s="6">
        <v>7848</v>
      </c>
      <c r="C852" s="6">
        <v>1974</v>
      </c>
      <c r="D852" s="6">
        <f t="shared" si="52"/>
        <v>51</v>
      </c>
      <c r="E852" s="7" t="s">
        <v>9</v>
      </c>
      <c r="F852" s="7" t="s">
        <v>10</v>
      </c>
      <c r="G852" s="6">
        <v>49166</v>
      </c>
      <c r="H852" s="6" t="str" cm="1">
        <f t="array" ref="H852">_xlfn.IFS(
  G852 &lt; 25000, "Low",
  AND(G852 &gt;= 25000, G852 &lt; 75000), "Medium",
  AND(G852 &gt;= 75000, G852 &lt; 150000), "High",
  G852 &gt;= 150000, "Very High"
)</f>
        <v>Medium</v>
      </c>
      <c r="I852" s="6">
        <v>0</v>
      </c>
      <c r="J852" s="6">
        <v>1</v>
      </c>
      <c r="K852" s="6">
        <f t="shared" si="53"/>
        <v>1</v>
      </c>
      <c r="L852" s="8">
        <v>41438</v>
      </c>
      <c r="M852" t="str">
        <f t="shared" ca="1" si="54"/>
        <v>12 years, 8 months</v>
      </c>
      <c r="N852" s="6">
        <v>17</v>
      </c>
      <c r="O852">
        <v>2</v>
      </c>
      <c r="P852">
        <v>0</v>
      </c>
      <c r="Q852">
        <f t="shared" si="55"/>
        <v>2</v>
      </c>
      <c r="R852">
        <v>5</v>
      </c>
      <c r="S852">
        <v>3</v>
      </c>
      <c r="T852">
        <f>Table[[#This Row],[NumWebPurchases]]+Table[[#This Row],[NumStorePurchases]]</f>
        <v>8</v>
      </c>
    </row>
    <row r="853" spans="1:20" ht="12.5">
      <c r="A853" s="6">
        <v>851</v>
      </c>
      <c r="B853" s="6">
        <v>9477</v>
      </c>
      <c r="C853" s="6">
        <v>1954</v>
      </c>
      <c r="D853" s="6">
        <f t="shared" si="52"/>
        <v>71</v>
      </c>
      <c r="E853" s="7" t="s">
        <v>12</v>
      </c>
      <c r="F853" s="7" t="s">
        <v>13</v>
      </c>
      <c r="G853" s="6">
        <v>65324</v>
      </c>
      <c r="H853" s="6" t="str" cm="1">
        <f t="array" ref="H853">_xlfn.IFS(
  G853 &lt; 25000, "Low",
  AND(G853 &gt;= 25000, G853 &lt; 75000), "Medium",
  AND(G853 &gt;= 75000, G853 &lt; 150000), "High",
  G853 &gt;= 150000, "Very High"
)</f>
        <v>Medium</v>
      </c>
      <c r="I853" s="6">
        <v>0</v>
      </c>
      <c r="J853" s="6">
        <v>1</v>
      </c>
      <c r="K853" s="6">
        <f t="shared" si="53"/>
        <v>1</v>
      </c>
      <c r="L853" s="8">
        <v>41650</v>
      </c>
      <c r="M853" t="str">
        <f t="shared" ca="1" si="54"/>
        <v>12 years, 1 months</v>
      </c>
      <c r="N853" s="6">
        <v>0</v>
      </c>
      <c r="O853">
        <v>0</v>
      </c>
      <c r="P853">
        <v>32</v>
      </c>
      <c r="Q853">
        <f t="shared" si="55"/>
        <v>32</v>
      </c>
      <c r="R853">
        <v>6</v>
      </c>
      <c r="S853">
        <v>9</v>
      </c>
      <c r="T853">
        <f>Table[[#This Row],[NumWebPurchases]]+Table[[#This Row],[NumStorePurchases]]</f>
        <v>15</v>
      </c>
    </row>
    <row r="854" spans="1:20" ht="12.5">
      <c r="A854" s="6">
        <v>852</v>
      </c>
      <c r="B854" s="6">
        <v>4856</v>
      </c>
      <c r="C854" s="6">
        <v>1957</v>
      </c>
      <c r="D854" s="6">
        <f t="shared" si="52"/>
        <v>68</v>
      </c>
      <c r="E854" s="7" t="s">
        <v>17</v>
      </c>
      <c r="F854" s="7" t="s">
        <v>13</v>
      </c>
      <c r="G854" s="6">
        <v>82347</v>
      </c>
      <c r="H854" s="6" t="str" cm="1">
        <f t="array" ref="H854">_xlfn.IFS(
  G854 &lt; 25000, "Low",
  AND(G854 &gt;= 25000, G854 &lt; 75000), "Medium",
  AND(G854 &gt;= 75000, G854 &lt; 150000), "High",
  G854 &gt;= 150000, "Very High"
)</f>
        <v>High</v>
      </c>
      <c r="I854" s="6">
        <v>0</v>
      </c>
      <c r="J854" s="6">
        <v>0</v>
      </c>
      <c r="K854" s="6">
        <f t="shared" si="53"/>
        <v>0</v>
      </c>
      <c r="L854" s="8">
        <v>41219</v>
      </c>
      <c r="M854" t="str">
        <f t="shared" ca="1" si="54"/>
        <v>13 years, 4 months</v>
      </c>
      <c r="N854" s="6">
        <v>38</v>
      </c>
      <c r="O854">
        <v>54</v>
      </c>
      <c r="P854">
        <v>133</v>
      </c>
      <c r="Q854">
        <f t="shared" si="55"/>
        <v>187</v>
      </c>
      <c r="R854">
        <v>7</v>
      </c>
      <c r="S854">
        <v>10</v>
      </c>
      <c r="T854">
        <f>Table[[#This Row],[NumWebPurchases]]+Table[[#This Row],[NumStorePurchases]]</f>
        <v>17</v>
      </c>
    </row>
    <row r="855" spans="1:20" ht="12.5">
      <c r="A855" s="6">
        <v>853</v>
      </c>
      <c r="B855" s="6">
        <v>7186</v>
      </c>
      <c r="C855" s="6">
        <v>1966</v>
      </c>
      <c r="D855" s="6">
        <f t="shared" si="52"/>
        <v>59</v>
      </c>
      <c r="E855" s="7" t="s">
        <v>12</v>
      </c>
      <c r="F855" s="7" t="s">
        <v>11</v>
      </c>
      <c r="G855" s="6">
        <v>30843</v>
      </c>
      <c r="H855" s="6" t="str" cm="1">
        <f t="array" ref="H855">_xlfn.IFS(
  G855 &lt; 25000, "Low",
  AND(G855 &gt;= 25000, G855 &lt; 75000), "Medium",
  AND(G855 &gt;= 75000, G855 &lt; 150000), "High",
  G855 &gt;= 150000, "Very High"
)</f>
        <v>Medium</v>
      </c>
      <c r="I855" s="6">
        <v>1</v>
      </c>
      <c r="J855" s="6">
        <v>1</v>
      </c>
      <c r="K855" s="6">
        <f t="shared" si="53"/>
        <v>2</v>
      </c>
      <c r="L855" s="8">
        <v>41785</v>
      </c>
      <c r="M855" t="str">
        <f t="shared" ca="1" si="54"/>
        <v>11 years, 9 months</v>
      </c>
      <c r="N855" s="6">
        <v>43</v>
      </c>
      <c r="O855">
        <v>0</v>
      </c>
      <c r="P855">
        <v>0</v>
      </c>
      <c r="Q855">
        <f t="shared" si="55"/>
        <v>0</v>
      </c>
      <c r="R855">
        <v>1</v>
      </c>
      <c r="S855">
        <v>2</v>
      </c>
      <c r="T855">
        <f>Table[[#This Row],[NumWebPurchases]]+Table[[#This Row],[NumStorePurchases]]</f>
        <v>3</v>
      </c>
    </row>
    <row r="856" spans="1:20" ht="12.5">
      <c r="A856" s="6">
        <v>854</v>
      </c>
      <c r="B856" s="6">
        <v>5794</v>
      </c>
      <c r="C856" s="6">
        <v>1974</v>
      </c>
      <c r="D856" s="6">
        <f t="shared" si="52"/>
        <v>51</v>
      </c>
      <c r="E856" s="7" t="s">
        <v>12</v>
      </c>
      <c r="F856" s="7" t="s">
        <v>13</v>
      </c>
      <c r="G856" s="6">
        <v>46374</v>
      </c>
      <c r="H856" s="6" t="str" cm="1">
        <f t="array" ref="H856">_xlfn.IFS(
  G856 &lt; 25000, "Low",
  AND(G856 &gt;= 25000, G856 &lt; 75000), "Medium",
  AND(G856 &gt;= 75000, G856 &lt; 150000), "High",
  G856 &gt;= 150000, "Very High"
)</f>
        <v>Medium</v>
      </c>
      <c r="I856" s="6">
        <v>0</v>
      </c>
      <c r="J856" s="6">
        <v>1</v>
      </c>
      <c r="K856" s="6">
        <f t="shared" si="53"/>
        <v>1</v>
      </c>
      <c r="L856" s="8">
        <v>41715</v>
      </c>
      <c r="M856" t="str">
        <f t="shared" ca="1" si="54"/>
        <v>11 years, 11 months</v>
      </c>
      <c r="N856" s="6">
        <v>1</v>
      </c>
      <c r="O856">
        <v>0</v>
      </c>
      <c r="P856">
        <v>0</v>
      </c>
      <c r="Q856">
        <f t="shared" si="55"/>
        <v>0</v>
      </c>
      <c r="R856">
        <v>7</v>
      </c>
      <c r="S856">
        <v>7</v>
      </c>
      <c r="T856">
        <f>Table[[#This Row],[NumWebPurchases]]+Table[[#This Row],[NumStorePurchases]]</f>
        <v>14</v>
      </c>
    </row>
    <row r="857" spans="1:20" ht="12.5">
      <c r="A857" s="6">
        <v>855</v>
      </c>
      <c r="B857" s="6">
        <v>1456</v>
      </c>
      <c r="C857" s="6">
        <v>1979</v>
      </c>
      <c r="D857" s="6">
        <f t="shared" si="52"/>
        <v>46</v>
      </c>
      <c r="E857" s="7" t="s">
        <v>9</v>
      </c>
      <c r="F857" s="7" t="s">
        <v>10</v>
      </c>
      <c r="G857" s="6">
        <v>60474</v>
      </c>
      <c r="H857" s="6" t="str" cm="1">
        <f t="array" ref="H857">_xlfn.IFS(
  G857 &lt; 25000, "Low",
  AND(G857 &gt;= 25000, G857 &lt; 75000), "Medium",
  AND(G857 &gt;= 75000, G857 &lt; 150000), "High",
  G857 &gt;= 150000, "Very High"
)</f>
        <v>Medium</v>
      </c>
      <c r="I857" s="6">
        <v>0</v>
      </c>
      <c r="J857" s="6">
        <v>1</v>
      </c>
      <c r="K857" s="6">
        <f t="shared" si="53"/>
        <v>1</v>
      </c>
      <c r="L857" s="8">
        <v>41365</v>
      </c>
      <c r="M857" t="str">
        <f t="shared" ca="1" si="54"/>
        <v>12 years, 11 months</v>
      </c>
      <c r="N857" s="6">
        <v>25</v>
      </c>
      <c r="O857">
        <v>199</v>
      </c>
      <c r="P857">
        <v>9</v>
      </c>
      <c r="Q857">
        <f t="shared" si="55"/>
        <v>208</v>
      </c>
      <c r="R857">
        <v>10</v>
      </c>
      <c r="S857">
        <v>12</v>
      </c>
      <c r="T857">
        <f>Table[[#This Row],[NumWebPurchases]]+Table[[#This Row],[NumStorePurchases]]</f>
        <v>22</v>
      </c>
    </row>
    <row r="858" spans="1:20" ht="12.5">
      <c r="A858" s="6">
        <v>856</v>
      </c>
      <c r="B858" s="6">
        <v>4877</v>
      </c>
      <c r="C858" s="6">
        <v>1973</v>
      </c>
      <c r="D858" s="6">
        <f t="shared" si="52"/>
        <v>52</v>
      </c>
      <c r="E858" s="7" t="s">
        <v>14</v>
      </c>
      <c r="F858" s="7" t="s">
        <v>13</v>
      </c>
      <c r="G858" s="6">
        <v>38576</v>
      </c>
      <c r="H858" s="6" t="str" cm="1">
        <f t="array" ref="H858">_xlfn.IFS(
  G858 &lt; 25000, "Low",
  AND(G858 &gt;= 25000, G858 &lt; 75000), "Medium",
  AND(G858 &gt;= 75000, G858 &lt; 150000), "High",
  G858 &gt;= 150000, "Very High"
)</f>
        <v>Medium</v>
      </c>
      <c r="I858" s="6">
        <v>0</v>
      </c>
      <c r="J858" s="6">
        <v>1</v>
      </c>
      <c r="K858" s="6">
        <f t="shared" si="53"/>
        <v>1</v>
      </c>
      <c r="L858" s="8">
        <v>41702</v>
      </c>
      <c r="M858" t="str">
        <f t="shared" ca="1" si="54"/>
        <v>12 years, 0 months</v>
      </c>
      <c r="N858" s="6">
        <v>2</v>
      </c>
      <c r="O858">
        <v>0</v>
      </c>
      <c r="P858">
        <v>0</v>
      </c>
      <c r="Q858">
        <f t="shared" si="55"/>
        <v>0</v>
      </c>
      <c r="R858">
        <v>1</v>
      </c>
      <c r="S858">
        <v>3</v>
      </c>
      <c r="T858">
        <f>Table[[#This Row],[NumWebPurchases]]+Table[[#This Row],[NumStorePurchases]]</f>
        <v>4</v>
      </c>
    </row>
    <row r="859" spans="1:20" ht="12.5">
      <c r="A859" s="6">
        <v>857</v>
      </c>
      <c r="B859" s="6">
        <v>425</v>
      </c>
      <c r="C859" s="6">
        <v>1985</v>
      </c>
      <c r="D859" s="6">
        <f t="shared" si="52"/>
        <v>40</v>
      </c>
      <c r="E859" s="7" t="s">
        <v>9</v>
      </c>
      <c r="F859" s="7" t="s">
        <v>13</v>
      </c>
      <c r="G859" s="6">
        <v>55357</v>
      </c>
      <c r="H859" s="6" t="str" cm="1">
        <f t="array" ref="H859">_xlfn.IFS(
  G859 &lt; 25000, "Low",
  AND(G859 &gt;= 25000, G859 &lt; 75000), "Medium",
  AND(G859 &gt;= 75000, G859 &lt; 150000), "High",
  G859 &gt;= 150000, "Very High"
)</f>
        <v>Medium</v>
      </c>
      <c r="I859" s="6">
        <v>2</v>
      </c>
      <c r="J859" s="6">
        <v>0</v>
      </c>
      <c r="K859" s="6">
        <f t="shared" si="53"/>
        <v>2</v>
      </c>
      <c r="L859" s="8">
        <v>41324</v>
      </c>
      <c r="M859" t="str">
        <f t="shared" ca="1" si="54"/>
        <v>13 years, 0 months</v>
      </c>
      <c r="N859" s="6">
        <v>66</v>
      </c>
      <c r="O859">
        <v>64</v>
      </c>
      <c r="P859">
        <v>25</v>
      </c>
      <c r="Q859">
        <f t="shared" si="55"/>
        <v>89</v>
      </c>
      <c r="R859">
        <v>6</v>
      </c>
      <c r="S859">
        <v>11</v>
      </c>
      <c r="T859">
        <f>Table[[#This Row],[NumWebPurchases]]+Table[[#This Row],[NumStorePurchases]]</f>
        <v>17</v>
      </c>
    </row>
    <row r="860" spans="1:20" ht="12.5">
      <c r="A860" s="6">
        <v>858</v>
      </c>
      <c r="B860" s="6">
        <v>3007</v>
      </c>
      <c r="C860" s="6">
        <v>1966</v>
      </c>
      <c r="D860" s="6">
        <f t="shared" si="52"/>
        <v>59</v>
      </c>
      <c r="E860" s="7" t="s">
        <v>9</v>
      </c>
      <c r="F860" s="7" t="s">
        <v>11</v>
      </c>
      <c r="G860" s="6">
        <v>37758</v>
      </c>
      <c r="H860" s="6" t="str" cm="1">
        <f t="array" ref="H860">_xlfn.IFS(
  G860 &lt; 25000, "Low",
  AND(G860 &gt;= 25000, G860 &lt; 75000), "Medium",
  AND(G860 &gt;= 75000, G860 &lt; 150000), "High",
  G860 &gt;= 150000, "Very High"
)</f>
        <v>Medium</v>
      </c>
      <c r="I860" s="6">
        <v>1</v>
      </c>
      <c r="J860" s="6">
        <v>1</v>
      </c>
      <c r="K860" s="6">
        <f t="shared" si="53"/>
        <v>2</v>
      </c>
      <c r="L860" s="8">
        <v>41186</v>
      </c>
      <c r="M860" t="str">
        <f t="shared" ca="1" si="54"/>
        <v>13 years, 5 months</v>
      </c>
      <c r="N860" s="6">
        <v>49</v>
      </c>
      <c r="O860">
        <v>2</v>
      </c>
      <c r="P860">
        <v>0</v>
      </c>
      <c r="Q860">
        <f t="shared" si="55"/>
        <v>2</v>
      </c>
      <c r="R860">
        <v>1</v>
      </c>
      <c r="S860">
        <v>3</v>
      </c>
      <c r="T860">
        <f>Table[[#This Row],[NumWebPurchases]]+Table[[#This Row],[NumStorePurchases]]</f>
        <v>4</v>
      </c>
    </row>
    <row r="861" spans="1:20" ht="12.5">
      <c r="A861" s="6">
        <v>859</v>
      </c>
      <c r="B861" s="6">
        <v>1031</v>
      </c>
      <c r="C861" s="6">
        <v>1989</v>
      </c>
      <c r="D861" s="6">
        <f t="shared" si="52"/>
        <v>36</v>
      </c>
      <c r="E861" s="7" t="s">
        <v>17</v>
      </c>
      <c r="F861" s="7" t="s">
        <v>13</v>
      </c>
      <c r="G861" s="6">
        <v>85710</v>
      </c>
      <c r="H861" s="6" t="str" cm="1">
        <f t="array" ref="H861">_xlfn.IFS(
  G861 &lt; 25000, "Low",
  AND(G861 &gt;= 25000, G861 &lt; 75000), "Medium",
  AND(G861 &gt;= 75000, G861 &lt; 150000), "High",
  G861 &gt;= 150000, "Very High"
)</f>
        <v>High</v>
      </c>
      <c r="I861" s="6">
        <v>0</v>
      </c>
      <c r="J861" s="6">
        <v>0</v>
      </c>
      <c r="K861" s="6">
        <f t="shared" si="53"/>
        <v>0</v>
      </c>
      <c r="L861" s="8">
        <v>41399</v>
      </c>
      <c r="M861" t="str">
        <f t="shared" ca="1" si="54"/>
        <v>12 years, 10 months</v>
      </c>
      <c r="N861" s="6">
        <v>5</v>
      </c>
      <c r="O861">
        <v>20</v>
      </c>
      <c r="P861">
        <v>30</v>
      </c>
      <c r="Q861">
        <f t="shared" si="55"/>
        <v>50</v>
      </c>
      <c r="R861">
        <v>6</v>
      </c>
      <c r="S861">
        <v>10</v>
      </c>
      <c r="T861">
        <f>Table[[#This Row],[NumWebPurchases]]+Table[[#This Row],[NumStorePurchases]]</f>
        <v>16</v>
      </c>
    </row>
    <row r="862" spans="1:20" ht="12.5">
      <c r="A862" s="6">
        <v>860</v>
      </c>
      <c r="B862" s="6">
        <v>4297</v>
      </c>
      <c r="C862" s="6">
        <v>1969</v>
      </c>
      <c r="D862" s="6">
        <f t="shared" si="52"/>
        <v>56</v>
      </c>
      <c r="E862" s="7" t="s">
        <v>9</v>
      </c>
      <c r="F862" s="7" t="s">
        <v>11</v>
      </c>
      <c r="G862" s="6">
        <v>23228</v>
      </c>
      <c r="H862" s="6" t="str" cm="1">
        <f t="array" ref="H862">_xlfn.IFS(
  G862 &lt; 25000, "Low",
  AND(G862 &gt;= 25000, G862 &lt; 75000), "Medium",
  AND(G862 &gt;= 75000, G862 &lt; 150000), "High",
  G862 &gt;= 150000, "Very High"
)</f>
        <v>Low</v>
      </c>
      <c r="I862" s="6">
        <v>1</v>
      </c>
      <c r="J862" s="6">
        <v>0</v>
      </c>
      <c r="K862" s="6">
        <f t="shared" si="53"/>
        <v>1</v>
      </c>
      <c r="L862" s="8">
        <v>41665</v>
      </c>
      <c r="M862" t="str">
        <f t="shared" ca="1" si="54"/>
        <v>12 years, 1 months</v>
      </c>
      <c r="N862" s="6">
        <v>71</v>
      </c>
      <c r="O862">
        <v>2</v>
      </c>
      <c r="P862">
        <v>1</v>
      </c>
      <c r="Q862">
        <f t="shared" si="55"/>
        <v>3</v>
      </c>
      <c r="R862">
        <v>2</v>
      </c>
      <c r="S862">
        <v>3</v>
      </c>
      <c r="T862">
        <f>Table[[#This Row],[NumWebPurchases]]+Table[[#This Row],[NumStorePurchases]]</f>
        <v>5</v>
      </c>
    </row>
    <row r="863" spans="1:20" ht="12.5">
      <c r="A863" s="6">
        <v>861</v>
      </c>
      <c r="B863" s="6">
        <v>807</v>
      </c>
      <c r="C863" s="6">
        <v>1969</v>
      </c>
      <c r="D863" s="6">
        <f t="shared" si="52"/>
        <v>56</v>
      </c>
      <c r="E863" s="7" t="s">
        <v>14</v>
      </c>
      <c r="F863" s="7" t="s">
        <v>11</v>
      </c>
      <c r="G863" s="6">
        <v>44602</v>
      </c>
      <c r="H863" s="6" t="str" cm="1">
        <f t="array" ref="H863">_xlfn.IFS(
  G863 &lt; 25000, "Low",
  AND(G863 &gt;= 25000, G863 &lt; 75000), "Medium",
  AND(G863 &gt;= 75000, G863 &lt; 150000), "High",
  G863 &gt;= 150000, "Very High"
)</f>
        <v>Medium</v>
      </c>
      <c r="I863" s="6">
        <v>1</v>
      </c>
      <c r="J863" s="6">
        <v>1</v>
      </c>
      <c r="K863" s="6">
        <f t="shared" si="53"/>
        <v>2</v>
      </c>
      <c r="L863" s="8">
        <v>41685</v>
      </c>
      <c r="M863" t="str">
        <f t="shared" ca="1" si="54"/>
        <v>12 years, 0 months</v>
      </c>
      <c r="N863" s="6">
        <v>35</v>
      </c>
      <c r="O863">
        <v>2</v>
      </c>
      <c r="P863">
        <v>0</v>
      </c>
      <c r="Q863">
        <f t="shared" si="55"/>
        <v>2</v>
      </c>
      <c r="R863">
        <v>6</v>
      </c>
      <c r="S863">
        <v>4</v>
      </c>
      <c r="T863">
        <f>Table[[#This Row],[NumWebPurchases]]+Table[[#This Row],[NumStorePurchases]]</f>
        <v>10</v>
      </c>
    </row>
    <row r="864" spans="1:20" ht="12.5">
      <c r="A864" s="6">
        <v>862</v>
      </c>
      <c r="B864" s="6">
        <v>9553</v>
      </c>
      <c r="C864" s="6">
        <v>1987</v>
      </c>
      <c r="D864" s="6">
        <f t="shared" si="52"/>
        <v>38</v>
      </c>
      <c r="E864" s="7" t="s">
        <v>9</v>
      </c>
      <c r="F864" s="7" t="s">
        <v>13</v>
      </c>
      <c r="G864" s="6">
        <v>7500</v>
      </c>
      <c r="H864" s="6" t="str" cm="1">
        <f t="array" ref="H864">_xlfn.IFS(
  G864 &lt; 25000, "Low",
  AND(G864 &gt;= 25000, G864 &lt; 75000), "Medium",
  AND(G864 &gt;= 75000, G864 &lt; 150000), "High",
  G864 &gt;= 150000, "Very High"
)</f>
        <v>Low</v>
      </c>
      <c r="I864" s="6">
        <v>0</v>
      </c>
      <c r="J864" s="6">
        <v>0</v>
      </c>
      <c r="K864" s="6">
        <f t="shared" si="53"/>
        <v>0</v>
      </c>
      <c r="L864" s="8">
        <v>41283</v>
      </c>
      <c r="M864" t="str">
        <f t="shared" ca="1" si="54"/>
        <v>13 years, 1 months</v>
      </c>
      <c r="N864" s="6">
        <v>94</v>
      </c>
      <c r="O864">
        <v>2</v>
      </c>
      <c r="P864">
        <v>1</v>
      </c>
      <c r="Q864">
        <f t="shared" si="55"/>
        <v>3</v>
      </c>
      <c r="R864">
        <v>0</v>
      </c>
      <c r="S864">
        <v>3</v>
      </c>
      <c r="T864">
        <f>Table[[#This Row],[NumWebPurchases]]+Table[[#This Row],[NumStorePurchases]]</f>
        <v>3</v>
      </c>
    </row>
    <row r="865" spans="1:20" ht="12.5">
      <c r="A865" s="6">
        <v>863</v>
      </c>
      <c r="B865" s="6">
        <v>4271</v>
      </c>
      <c r="C865" s="6">
        <v>1989</v>
      </c>
      <c r="D865" s="6">
        <f t="shared" si="52"/>
        <v>36</v>
      </c>
      <c r="E865" s="7" t="s">
        <v>17</v>
      </c>
      <c r="F865" s="7" t="s">
        <v>11</v>
      </c>
      <c r="G865" s="6">
        <v>38683</v>
      </c>
      <c r="H865" s="6" t="str" cm="1">
        <f t="array" ref="H865">_xlfn.IFS(
  G865 &lt; 25000, "Low",
  AND(G865 &gt;= 25000, G865 &lt; 75000), "Medium",
  AND(G865 &gt;= 75000, G865 &lt; 150000), "High",
  G865 &gt;= 150000, "Very High"
)</f>
        <v>Medium</v>
      </c>
      <c r="I865" s="6">
        <v>1</v>
      </c>
      <c r="J865" s="6">
        <v>0</v>
      </c>
      <c r="K865" s="6">
        <f t="shared" si="53"/>
        <v>1</v>
      </c>
      <c r="L865" s="8">
        <v>41186</v>
      </c>
      <c r="M865" t="str">
        <f t="shared" ca="1" si="54"/>
        <v>13 years, 5 months</v>
      </c>
      <c r="N865" s="6">
        <v>80</v>
      </c>
      <c r="O865">
        <v>35</v>
      </c>
      <c r="P865">
        <v>41</v>
      </c>
      <c r="Q865">
        <f t="shared" si="55"/>
        <v>76</v>
      </c>
      <c r="R865">
        <v>4</v>
      </c>
      <c r="S865">
        <v>6</v>
      </c>
      <c r="T865">
        <f>Table[[#This Row],[NumWebPurchases]]+Table[[#This Row],[NumStorePurchases]]</f>
        <v>10</v>
      </c>
    </row>
    <row r="866" spans="1:20" ht="12.5">
      <c r="A866" s="6">
        <v>864</v>
      </c>
      <c r="B866" s="6">
        <v>4120</v>
      </c>
      <c r="C866" s="6">
        <v>1975</v>
      </c>
      <c r="D866" s="6">
        <f t="shared" si="52"/>
        <v>50</v>
      </c>
      <c r="E866" s="7" t="s">
        <v>17</v>
      </c>
      <c r="F866" s="7" t="s">
        <v>10</v>
      </c>
      <c r="G866" s="6">
        <v>49514</v>
      </c>
      <c r="H866" s="6" t="str" cm="1">
        <f t="array" ref="H866">_xlfn.IFS(
  G866 &lt; 25000, "Low",
  AND(G866 &gt;= 25000, G866 &lt; 75000), "Medium",
  AND(G866 &gt;= 75000, G866 &lt; 150000), "High",
  G866 &gt;= 150000, "Very High"
)</f>
        <v>Medium</v>
      </c>
      <c r="I866" s="6">
        <v>1</v>
      </c>
      <c r="J866" s="6">
        <v>0</v>
      </c>
      <c r="K866" s="6">
        <f t="shared" si="53"/>
        <v>1</v>
      </c>
      <c r="L866" s="9">
        <v>41625</v>
      </c>
      <c r="M866" t="str">
        <f t="shared" ca="1" si="54"/>
        <v>12 years, 2 months</v>
      </c>
      <c r="N866" s="6">
        <v>61</v>
      </c>
      <c r="O866">
        <v>39</v>
      </c>
      <c r="P866">
        <v>13</v>
      </c>
      <c r="Q866">
        <f t="shared" si="55"/>
        <v>52</v>
      </c>
      <c r="R866">
        <v>6</v>
      </c>
      <c r="S866">
        <v>4</v>
      </c>
      <c r="T866">
        <f>Table[[#This Row],[NumWebPurchases]]+Table[[#This Row],[NumStorePurchases]]</f>
        <v>10</v>
      </c>
    </row>
    <row r="867" spans="1:20" ht="12.5">
      <c r="A867" s="6">
        <v>865</v>
      </c>
      <c r="B867" s="6">
        <v>2036</v>
      </c>
      <c r="C867" s="6">
        <v>1973</v>
      </c>
      <c r="D867" s="6">
        <f t="shared" si="52"/>
        <v>52</v>
      </c>
      <c r="E867" s="7" t="s">
        <v>12</v>
      </c>
      <c r="F867" s="7" t="s">
        <v>11</v>
      </c>
      <c r="G867" s="6">
        <v>57906</v>
      </c>
      <c r="H867" s="6" t="str" cm="1">
        <f t="array" ref="H867">_xlfn.IFS(
  G867 &lt; 25000, "Low",
  AND(G867 &gt;= 25000, G867 &lt; 75000), "Medium",
  AND(G867 &gt;= 75000, G867 &lt; 150000), "High",
  G867 &gt;= 150000, "Very High"
)</f>
        <v>Medium</v>
      </c>
      <c r="I867" s="6">
        <v>0</v>
      </c>
      <c r="J867" s="6">
        <v>1</v>
      </c>
      <c r="K867" s="6">
        <f t="shared" si="53"/>
        <v>1</v>
      </c>
      <c r="L867" s="8">
        <v>41436</v>
      </c>
      <c r="M867" t="str">
        <f t="shared" ca="1" si="54"/>
        <v>12 years, 8 months</v>
      </c>
      <c r="N867" s="6">
        <v>29</v>
      </c>
      <c r="O867">
        <v>11</v>
      </c>
      <c r="P867">
        <v>3</v>
      </c>
      <c r="Q867">
        <f t="shared" si="55"/>
        <v>14</v>
      </c>
      <c r="R867">
        <v>4</v>
      </c>
      <c r="S867">
        <v>8</v>
      </c>
      <c r="T867">
        <f>Table[[#This Row],[NumWebPurchases]]+Table[[#This Row],[NumStorePurchases]]</f>
        <v>12</v>
      </c>
    </row>
    <row r="868" spans="1:20" ht="12.5">
      <c r="A868" s="6">
        <v>866</v>
      </c>
      <c r="B868" s="6">
        <v>115</v>
      </c>
      <c r="C868" s="6">
        <v>1966</v>
      </c>
      <c r="D868" s="6">
        <f t="shared" si="52"/>
        <v>59</v>
      </c>
      <c r="E868" s="7" t="s">
        <v>14</v>
      </c>
      <c r="F868" s="7" t="s">
        <v>10</v>
      </c>
      <c r="G868" s="6">
        <v>43456</v>
      </c>
      <c r="H868" s="6" t="str" cm="1">
        <f t="array" ref="H868">_xlfn.IFS(
  G868 &lt; 25000, "Low",
  AND(G868 &gt;= 25000, G868 &lt; 75000), "Medium",
  AND(G868 &gt;= 75000, G868 &lt; 150000), "High",
  G868 &gt;= 150000, "Very High"
)</f>
        <v>Medium</v>
      </c>
      <c r="I868" s="6">
        <v>0</v>
      </c>
      <c r="J868" s="6">
        <v>1</v>
      </c>
      <c r="K868" s="6">
        <f t="shared" si="53"/>
        <v>1</v>
      </c>
      <c r="L868" s="8">
        <v>41359</v>
      </c>
      <c r="M868" t="str">
        <f t="shared" ca="1" si="54"/>
        <v>12 years, 11 months</v>
      </c>
      <c r="N868" s="6">
        <v>0</v>
      </c>
      <c r="O868">
        <v>11</v>
      </c>
      <c r="P868">
        <v>7</v>
      </c>
      <c r="Q868">
        <f t="shared" si="55"/>
        <v>18</v>
      </c>
      <c r="R868">
        <v>5</v>
      </c>
      <c r="S868">
        <v>8</v>
      </c>
      <c r="T868">
        <f>Table[[#This Row],[NumWebPurchases]]+Table[[#This Row],[NumStorePurchases]]</f>
        <v>13</v>
      </c>
    </row>
    <row r="869" spans="1:20" ht="12.5">
      <c r="A869" s="6">
        <v>867</v>
      </c>
      <c r="B869" s="6">
        <v>4259</v>
      </c>
      <c r="C869" s="6">
        <v>1986</v>
      </c>
      <c r="D869" s="6">
        <f t="shared" si="52"/>
        <v>39</v>
      </c>
      <c r="E869" s="7" t="s">
        <v>14</v>
      </c>
      <c r="F869" s="7" t="s">
        <v>10</v>
      </c>
      <c r="G869" s="6">
        <v>19485</v>
      </c>
      <c r="H869" s="6" t="str" cm="1">
        <f t="array" ref="H869">_xlfn.IFS(
  G869 &lt; 25000, "Low",
  AND(G869 &gt;= 25000, G869 &lt; 75000), "Medium",
  AND(G869 &gt;= 75000, G869 &lt; 150000), "High",
  G869 &gt;= 150000, "Very High"
)</f>
        <v>Low</v>
      </c>
      <c r="I869" s="6">
        <v>2</v>
      </c>
      <c r="J869" s="6">
        <v>0</v>
      </c>
      <c r="K869" s="6">
        <f t="shared" si="53"/>
        <v>2</v>
      </c>
      <c r="L869" s="8">
        <v>41541</v>
      </c>
      <c r="M869" t="str">
        <f t="shared" ca="1" si="54"/>
        <v>12 years, 5 months</v>
      </c>
      <c r="N869" s="6">
        <v>80</v>
      </c>
      <c r="O869">
        <v>0</v>
      </c>
      <c r="P869">
        <v>0</v>
      </c>
      <c r="Q869">
        <f t="shared" si="55"/>
        <v>0</v>
      </c>
      <c r="R869">
        <v>1</v>
      </c>
      <c r="S869">
        <v>2</v>
      </c>
      <c r="T869">
        <f>Table[[#This Row],[NumWebPurchases]]+Table[[#This Row],[NumStorePurchases]]</f>
        <v>3</v>
      </c>
    </row>
    <row r="870" spans="1:20" ht="12.5">
      <c r="A870" s="6">
        <v>868</v>
      </c>
      <c r="B870" s="6">
        <v>8687</v>
      </c>
      <c r="C870" s="6">
        <v>1978</v>
      </c>
      <c r="D870" s="6">
        <f t="shared" si="52"/>
        <v>47</v>
      </c>
      <c r="E870" s="7" t="s">
        <v>9</v>
      </c>
      <c r="F870" s="7" t="s">
        <v>11</v>
      </c>
      <c r="G870" s="6">
        <v>53172</v>
      </c>
      <c r="H870" s="6" t="str" cm="1">
        <f t="array" ref="H870">_xlfn.IFS(
  G870 &lt; 25000, "Low",
  AND(G870 &gt;= 25000, G870 &lt; 75000), "Medium",
  AND(G870 &gt;= 75000, G870 &lt; 150000), "High",
  G870 &gt;= 150000, "Very High"
)</f>
        <v>Medium</v>
      </c>
      <c r="I870" s="6">
        <v>0</v>
      </c>
      <c r="J870" s="6">
        <v>1</v>
      </c>
      <c r="K870" s="6">
        <f t="shared" si="53"/>
        <v>1</v>
      </c>
      <c r="L870" s="8">
        <v>41400</v>
      </c>
      <c r="M870" t="str">
        <f t="shared" ca="1" si="54"/>
        <v>12 years, 10 months</v>
      </c>
      <c r="N870" s="6">
        <v>54</v>
      </c>
      <c r="O870">
        <v>62</v>
      </c>
      <c r="P870">
        <v>20</v>
      </c>
      <c r="Q870">
        <f t="shared" si="55"/>
        <v>82</v>
      </c>
      <c r="R870">
        <v>2</v>
      </c>
      <c r="S870">
        <v>8</v>
      </c>
      <c r="T870">
        <f>Table[[#This Row],[NumWebPurchases]]+Table[[#This Row],[NumStorePurchases]]</f>
        <v>10</v>
      </c>
    </row>
    <row r="871" spans="1:20" ht="12.5">
      <c r="A871" s="6">
        <v>869</v>
      </c>
      <c r="B871" s="6">
        <v>2447</v>
      </c>
      <c r="C871" s="6">
        <v>1979</v>
      </c>
      <c r="D871" s="6">
        <f t="shared" si="52"/>
        <v>46</v>
      </c>
      <c r="E871" s="7" t="s">
        <v>9</v>
      </c>
      <c r="F871" s="7" t="s">
        <v>11</v>
      </c>
      <c r="G871" s="6">
        <v>30545</v>
      </c>
      <c r="H871" s="6" t="str" cm="1">
        <f t="array" ref="H871">_xlfn.IFS(
  G871 &lt; 25000, "Low",
  AND(G871 &gt;= 25000, G871 &lt; 75000), "Medium",
  AND(G871 &gt;= 75000, G871 &lt; 150000), "High",
  G871 &gt;= 150000, "Very High"
)</f>
        <v>Medium</v>
      </c>
      <c r="I871" s="6">
        <v>1</v>
      </c>
      <c r="J871" s="6">
        <v>0</v>
      </c>
      <c r="K871" s="6">
        <f t="shared" si="53"/>
        <v>1</v>
      </c>
      <c r="L871" s="9">
        <v>41199</v>
      </c>
      <c r="M871" t="str">
        <f t="shared" ca="1" si="54"/>
        <v>13 years, 4 months</v>
      </c>
      <c r="N871" s="6">
        <v>71</v>
      </c>
      <c r="O871">
        <v>12</v>
      </c>
      <c r="P871">
        <v>7</v>
      </c>
      <c r="Q871">
        <f t="shared" si="55"/>
        <v>19</v>
      </c>
      <c r="R871">
        <v>2</v>
      </c>
      <c r="S871">
        <v>3</v>
      </c>
      <c r="T871">
        <f>Table[[#This Row],[NumWebPurchases]]+Table[[#This Row],[NumStorePurchases]]</f>
        <v>5</v>
      </c>
    </row>
    <row r="872" spans="1:20" ht="12.5">
      <c r="A872" s="6">
        <v>870</v>
      </c>
      <c r="B872" s="6">
        <v>10140</v>
      </c>
      <c r="C872" s="6">
        <v>1983</v>
      </c>
      <c r="D872" s="6">
        <f t="shared" si="52"/>
        <v>42</v>
      </c>
      <c r="E872" s="7" t="s">
        <v>12</v>
      </c>
      <c r="F872" s="7" t="s">
        <v>11</v>
      </c>
      <c r="G872" s="6">
        <v>70123</v>
      </c>
      <c r="H872" s="6" t="str" cm="1">
        <f t="array" ref="H872">_xlfn.IFS(
  G872 &lt; 25000, "Low",
  AND(G872 &gt;= 25000, G872 &lt; 75000), "Medium",
  AND(G872 &gt;= 75000, G872 &lt; 150000), "High",
  G872 &gt;= 150000, "Very High"
)</f>
        <v>Medium</v>
      </c>
      <c r="I872" s="6">
        <v>0</v>
      </c>
      <c r="J872" s="6">
        <v>0</v>
      </c>
      <c r="K872" s="6">
        <f t="shared" si="53"/>
        <v>0</v>
      </c>
      <c r="L872" s="8">
        <v>41545</v>
      </c>
      <c r="M872" t="str">
        <f t="shared" ca="1" si="54"/>
        <v>12 years, 5 months</v>
      </c>
      <c r="N872" s="6">
        <v>27</v>
      </c>
      <c r="O872">
        <v>0</v>
      </c>
      <c r="P872">
        <v>0</v>
      </c>
      <c r="Q872">
        <f t="shared" si="55"/>
        <v>0</v>
      </c>
      <c r="R872">
        <v>5</v>
      </c>
      <c r="S872">
        <v>4</v>
      </c>
      <c r="T872">
        <f>Table[[#This Row],[NumWebPurchases]]+Table[[#This Row],[NumStorePurchases]]</f>
        <v>9</v>
      </c>
    </row>
    <row r="873" spans="1:20" ht="12.5">
      <c r="A873" s="6">
        <v>871</v>
      </c>
      <c r="B873" s="6">
        <v>9353</v>
      </c>
      <c r="C873" s="6">
        <v>1959</v>
      </c>
      <c r="D873" s="6">
        <f t="shared" si="52"/>
        <v>66</v>
      </c>
      <c r="E873" s="7" t="s">
        <v>9</v>
      </c>
      <c r="F873" s="7" t="s">
        <v>10</v>
      </c>
      <c r="G873" s="6">
        <v>62450</v>
      </c>
      <c r="H873" s="6" t="str" cm="1">
        <f t="array" ref="H873">_xlfn.IFS(
  G873 &lt; 25000, "Low",
  AND(G873 &gt;= 25000, G873 &lt; 75000), "Medium",
  AND(G873 &gt;= 75000, G873 &lt; 150000), "High",
  G873 &gt;= 150000, "Very High"
)</f>
        <v>Medium</v>
      </c>
      <c r="I873" s="6">
        <v>0</v>
      </c>
      <c r="J873" s="6">
        <v>1</v>
      </c>
      <c r="K873" s="6">
        <f t="shared" si="53"/>
        <v>1</v>
      </c>
      <c r="L873" s="8">
        <v>41645</v>
      </c>
      <c r="M873" t="str">
        <f t="shared" ca="1" si="54"/>
        <v>12 years, 2 months</v>
      </c>
      <c r="N873" s="6">
        <v>61</v>
      </c>
      <c r="O873">
        <v>47</v>
      </c>
      <c r="P873">
        <v>66</v>
      </c>
      <c r="Q873">
        <f t="shared" si="55"/>
        <v>113</v>
      </c>
      <c r="R873">
        <v>5</v>
      </c>
      <c r="S873">
        <v>4</v>
      </c>
      <c r="T873">
        <f>Table[[#This Row],[NumWebPurchases]]+Table[[#This Row],[NumStorePurchases]]</f>
        <v>9</v>
      </c>
    </row>
    <row r="874" spans="1:20" ht="12.5">
      <c r="A874" s="6">
        <v>872</v>
      </c>
      <c r="B874" s="6">
        <v>3623</v>
      </c>
      <c r="C874" s="6">
        <v>1976</v>
      </c>
      <c r="D874" s="6">
        <f t="shared" si="52"/>
        <v>49</v>
      </c>
      <c r="E874" s="7" t="s">
        <v>9</v>
      </c>
      <c r="F874" s="7" t="s">
        <v>11</v>
      </c>
      <c r="G874" s="6">
        <v>21675</v>
      </c>
      <c r="H874" s="6" t="str" cm="1">
        <f t="array" ref="H874">_xlfn.IFS(
  G874 &lt; 25000, "Low",
  AND(G874 &gt;= 25000, G874 &lt; 75000), "Medium",
  AND(G874 &gt;= 75000, G874 &lt; 150000), "High",
  G874 &gt;= 150000, "Very High"
)</f>
        <v>Low</v>
      </c>
      <c r="I874" s="6">
        <v>1</v>
      </c>
      <c r="J874" s="6">
        <v>0</v>
      </c>
      <c r="K874" s="6">
        <f t="shared" si="53"/>
        <v>1</v>
      </c>
      <c r="L874" s="8">
        <v>41801</v>
      </c>
      <c r="M874" t="str">
        <f t="shared" ca="1" si="54"/>
        <v>11 years, 8 months</v>
      </c>
      <c r="N874" s="6">
        <v>55</v>
      </c>
      <c r="O874">
        <v>0</v>
      </c>
      <c r="P874">
        <v>4</v>
      </c>
      <c r="Q874">
        <f t="shared" si="55"/>
        <v>4</v>
      </c>
      <c r="R874">
        <v>4</v>
      </c>
      <c r="S874">
        <v>3</v>
      </c>
      <c r="T874">
        <f>Table[[#This Row],[NumWebPurchases]]+Table[[#This Row],[NumStorePurchases]]</f>
        <v>7</v>
      </c>
    </row>
    <row r="875" spans="1:20" ht="12.5">
      <c r="A875" s="6">
        <v>873</v>
      </c>
      <c r="B875" s="6">
        <v>738</v>
      </c>
      <c r="C875" s="6">
        <v>1981</v>
      </c>
      <c r="D875" s="6">
        <f t="shared" si="52"/>
        <v>44</v>
      </c>
      <c r="E875" s="7" t="s">
        <v>17</v>
      </c>
      <c r="F875" s="7" t="s">
        <v>10</v>
      </c>
      <c r="G875" s="6">
        <v>42395</v>
      </c>
      <c r="H875" s="6" t="str" cm="1">
        <f t="array" ref="H875">_xlfn.IFS(
  G875 &lt; 25000, "Low",
  AND(G875 &gt;= 25000, G875 &lt; 75000), "Medium",
  AND(G875 &gt;= 75000, G875 &lt; 150000), "High",
  G875 &gt;= 150000, "Very High"
)</f>
        <v>Medium</v>
      </c>
      <c r="I875" s="6">
        <v>1</v>
      </c>
      <c r="J875" s="6">
        <v>1</v>
      </c>
      <c r="K875" s="6">
        <f t="shared" si="53"/>
        <v>2</v>
      </c>
      <c r="L875" s="8">
        <v>41733</v>
      </c>
      <c r="M875" t="str">
        <f t="shared" ca="1" si="54"/>
        <v>11 years, 11 months</v>
      </c>
      <c r="N875" s="6">
        <v>35</v>
      </c>
      <c r="O875">
        <v>13</v>
      </c>
      <c r="P875">
        <v>15</v>
      </c>
      <c r="Q875">
        <f t="shared" si="55"/>
        <v>28</v>
      </c>
      <c r="R875">
        <v>3</v>
      </c>
      <c r="S875">
        <v>4</v>
      </c>
      <c r="T875">
        <f>Table[[#This Row],[NumWebPurchases]]+Table[[#This Row],[NumStorePurchases]]</f>
        <v>7</v>
      </c>
    </row>
    <row r="876" spans="1:20" ht="12.5">
      <c r="A876" s="6">
        <v>874</v>
      </c>
      <c r="B876" s="6">
        <v>7631</v>
      </c>
      <c r="C876" s="6">
        <v>1978</v>
      </c>
      <c r="D876" s="6">
        <f t="shared" si="52"/>
        <v>47</v>
      </c>
      <c r="E876" s="7" t="s">
        <v>14</v>
      </c>
      <c r="F876" s="7" t="s">
        <v>11</v>
      </c>
      <c r="G876" s="6">
        <v>61346</v>
      </c>
      <c r="H876" s="6" t="str" cm="1">
        <f t="array" ref="H876">_xlfn.IFS(
  G876 &lt; 25000, "Low",
  AND(G876 &gt;= 25000, G876 &lt; 75000), "Medium",
  AND(G876 &gt;= 75000, G876 &lt; 150000), "High",
  G876 &gt;= 150000, "Very High"
)</f>
        <v>Medium</v>
      </c>
      <c r="I876" s="6">
        <v>1</v>
      </c>
      <c r="J876" s="6">
        <v>0</v>
      </c>
      <c r="K876" s="6">
        <f t="shared" si="53"/>
        <v>1</v>
      </c>
      <c r="L876" s="8">
        <v>41553</v>
      </c>
      <c r="M876" t="str">
        <f t="shared" ca="1" si="54"/>
        <v>12 years, 5 months</v>
      </c>
      <c r="N876" s="6">
        <v>34</v>
      </c>
      <c r="O876">
        <v>58</v>
      </c>
      <c r="P876">
        <v>16</v>
      </c>
      <c r="Q876">
        <f t="shared" si="55"/>
        <v>74</v>
      </c>
      <c r="R876">
        <v>5</v>
      </c>
      <c r="S876">
        <v>10</v>
      </c>
      <c r="T876">
        <f>Table[[#This Row],[NumWebPurchases]]+Table[[#This Row],[NumStorePurchases]]</f>
        <v>15</v>
      </c>
    </row>
    <row r="877" spans="1:20" ht="12.5">
      <c r="A877" s="6">
        <v>875</v>
      </c>
      <c r="B877" s="6">
        <v>4789</v>
      </c>
      <c r="C877" s="6">
        <v>1953</v>
      </c>
      <c r="D877" s="6">
        <f t="shared" si="52"/>
        <v>72</v>
      </c>
      <c r="E877" s="7" t="s">
        <v>9</v>
      </c>
      <c r="F877" s="7" t="s">
        <v>11</v>
      </c>
      <c r="G877" s="6">
        <v>80812</v>
      </c>
      <c r="H877" s="6" t="str" cm="1">
        <f t="array" ref="H877">_xlfn.IFS(
  G877 &lt; 25000, "Low",
  AND(G877 &gt;= 25000, G877 &lt; 75000), "Medium",
  AND(G877 &gt;= 75000, G877 &lt; 150000), "High",
  G877 &gt;= 150000, "Very High"
)</f>
        <v>High</v>
      </c>
      <c r="I877" s="6">
        <v>0</v>
      </c>
      <c r="J877" s="6">
        <v>0</v>
      </c>
      <c r="K877" s="6">
        <f t="shared" si="53"/>
        <v>0</v>
      </c>
      <c r="L877" s="8">
        <v>41534</v>
      </c>
      <c r="M877" t="str">
        <f t="shared" ca="1" si="54"/>
        <v>12 years, 5 months</v>
      </c>
      <c r="N877" s="6">
        <v>95</v>
      </c>
      <c r="O877">
        <v>22</v>
      </c>
      <c r="P877">
        <v>143</v>
      </c>
      <c r="Q877">
        <f t="shared" si="55"/>
        <v>165</v>
      </c>
      <c r="R877">
        <v>4</v>
      </c>
      <c r="S877">
        <v>5</v>
      </c>
      <c r="T877">
        <f>Table[[#This Row],[NumWebPurchases]]+Table[[#This Row],[NumStorePurchases]]</f>
        <v>9</v>
      </c>
    </row>
    <row r="878" spans="1:20" ht="12.5">
      <c r="A878" s="6">
        <v>876</v>
      </c>
      <c r="B878" s="6">
        <v>773</v>
      </c>
      <c r="C878" s="6">
        <v>1971</v>
      </c>
      <c r="D878" s="6">
        <f t="shared" si="52"/>
        <v>54</v>
      </c>
      <c r="E878" s="7" t="s">
        <v>14</v>
      </c>
      <c r="F878" s="7" t="s">
        <v>15</v>
      </c>
      <c r="G878" s="6">
        <v>42835</v>
      </c>
      <c r="H878" s="6" t="str" cm="1">
        <f t="array" ref="H878">_xlfn.IFS(
  G878 &lt; 25000, "Low",
  AND(G878 &gt;= 25000, G878 &lt; 75000), "Medium",
  AND(G878 &gt;= 75000, G878 &lt; 150000), "High",
  G878 &gt;= 150000, "Very High"
)</f>
        <v>Medium</v>
      </c>
      <c r="I878" s="6">
        <v>1</v>
      </c>
      <c r="J878" s="6">
        <v>1</v>
      </c>
      <c r="K878" s="6">
        <f t="shared" si="53"/>
        <v>2</v>
      </c>
      <c r="L878" s="8">
        <v>41455</v>
      </c>
      <c r="M878" t="str">
        <f t="shared" ca="1" si="54"/>
        <v>12 years, 8 months</v>
      </c>
      <c r="N878" s="6">
        <v>64</v>
      </c>
      <c r="O878">
        <v>4</v>
      </c>
      <c r="P878">
        <v>9</v>
      </c>
      <c r="Q878">
        <f t="shared" si="55"/>
        <v>13</v>
      </c>
      <c r="R878">
        <v>6</v>
      </c>
      <c r="S878">
        <v>4</v>
      </c>
      <c r="T878">
        <f>Table[[#This Row],[NumWebPurchases]]+Table[[#This Row],[NumStorePurchases]]</f>
        <v>10</v>
      </c>
    </row>
    <row r="879" spans="1:20" ht="12.5">
      <c r="A879" s="6">
        <v>877</v>
      </c>
      <c r="B879" s="6">
        <v>10602</v>
      </c>
      <c r="C879" s="6">
        <v>1983</v>
      </c>
      <c r="D879" s="6">
        <f t="shared" si="52"/>
        <v>42</v>
      </c>
      <c r="E879" s="7" t="s">
        <v>9</v>
      </c>
      <c r="F879" s="7" t="s">
        <v>13</v>
      </c>
      <c r="G879" s="6">
        <v>39922</v>
      </c>
      <c r="H879" s="6" t="str" cm="1">
        <f t="array" ref="H879">_xlfn.IFS(
  G879 &lt; 25000, "Low",
  AND(G879 &gt;= 25000, G879 &lt; 75000), "Medium",
  AND(G879 &gt;= 75000, G879 &lt; 150000), "High",
  G879 &gt;= 150000, "Very High"
)</f>
        <v>Medium</v>
      </c>
      <c r="I879" s="6">
        <v>1</v>
      </c>
      <c r="J879" s="6">
        <v>0</v>
      </c>
      <c r="K879" s="6">
        <f t="shared" si="53"/>
        <v>1</v>
      </c>
      <c r="L879" s="8">
        <v>41319</v>
      </c>
      <c r="M879" t="str">
        <f t="shared" ca="1" si="54"/>
        <v>13 years, 0 months</v>
      </c>
      <c r="N879" s="6">
        <v>30</v>
      </c>
      <c r="O879">
        <v>12</v>
      </c>
      <c r="P879">
        <v>1</v>
      </c>
      <c r="Q879">
        <f t="shared" si="55"/>
        <v>13</v>
      </c>
      <c r="R879">
        <v>3</v>
      </c>
      <c r="S879">
        <v>4</v>
      </c>
      <c r="T879">
        <f>Table[[#This Row],[NumWebPurchases]]+Table[[#This Row],[NumStorePurchases]]</f>
        <v>7</v>
      </c>
    </row>
    <row r="880" spans="1:20" ht="12.5">
      <c r="A880" s="6">
        <v>878</v>
      </c>
      <c r="B880" s="6">
        <v>1446</v>
      </c>
      <c r="C880" s="6">
        <v>1956</v>
      </c>
      <c r="D880" s="6">
        <f t="shared" si="52"/>
        <v>69</v>
      </c>
      <c r="E880" s="7" t="s">
        <v>14</v>
      </c>
      <c r="F880" s="7" t="s">
        <v>10</v>
      </c>
      <c r="G880" s="6">
        <v>86424</v>
      </c>
      <c r="H880" s="6" t="str" cm="1">
        <f t="array" ref="H880">_xlfn.IFS(
  G880 &lt; 25000, "Low",
  AND(G880 &gt;= 25000, G880 &lt; 75000), "Medium",
  AND(G880 &gt;= 75000, G880 &lt; 150000), "High",
  G880 &gt;= 150000, "Very High"
)</f>
        <v>High</v>
      </c>
      <c r="I880" s="6">
        <v>0</v>
      </c>
      <c r="J880" s="6">
        <v>0</v>
      </c>
      <c r="K880" s="6">
        <f t="shared" si="53"/>
        <v>0</v>
      </c>
      <c r="L880" s="8">
        <v>41734</v>
      </c>
      <c r="M880" t="str">
        <f t="shared" ca="1" si="54"/>
        <v>11 years, 11 months</v>
      </c>
      <c r="N880" s="6">
        <v>12</v>
      </c>
      <c r="O880">
        <v>68</v>
      </c>
      <c r="P880">
        <v>45</v>
      </c>
      <c r="Q880">
        <f t="shared" si="55"/>
        <v>113</v>
      </c>
      <c r="R880">
        <v>6</v>
      </c>
      <c r="S880">
        <v>12</v>
      </c>
      <c r="T880">
        <f>Table[[#This Row],[NumWebPurchases]]+Table[[#This Row],[NumStorePurchases]]</f>
        <v>18</v>
      </c>
    </row>
    <row r="881" spans="1:20" ht="12.5">
      <c r="A881" s="6">
        <v>879</v>
      </c>
      <c r="B881" s="6">
        <v>3270</v>
      </c>
      <c r="C881" s="6">
        <v>1978</v>
      </c>
      <c r="D881" s="6">
        <f t="shared" si="52"/>
        <v>47</v>
      </c>
      <c r="E881" s="7" t="s">
        <v>17</v>
      </c>
      <c r="F881" s="7" t="s">
        <v>11</v>
      </c>
      <c r="G881" s="6">
        <v>17117</v>
      </c>
      <c r="H881" s="6" t="str" cm="1">
        <f t="array" ref="H881">_xlfn.IFS(
  G881 &lt; 25000, "Low",
  AND(G881 &gt;= 25000, G881 &lt; 75000), "Medium",
  AND(G881 &gt;= 75000, G881 &lt; 150000), "High",
  G881 &gt;= 150000, "Very High"
)</f>
        <v>Low</v>
      </c>
      <c r="I881" s="6">
        <v>1</v>
      </c>
      <c r="J881" s="6">
        <v>0</v>
      </c>
      <c r="K881" s="6">
        <f t="shared" si="53"/>
        <v>1</v>
      </c>
      <c r="L881" s="8">
        <v>41291</v>
      </c>
      <c r="M881" t="str">
        <f t="shared" ca="1" si="54"/>
        <v>13 years, 1 months</v>
      </c>
      <c r="N881" s="6">
        <v>96</v>
      </c>
      <c r="O881">
        <v>23</v>
      </c>
      <c r="P881">
        <v>18</v>
      </c>
      <c r="Q881">
        <f t="shared" si="55"/>
        <v>41</v>
      </c>
      <c r="R881">
        <v>3</v>
      </c>
      <c r="S881">
        <v>3</v>
      </c>
      <c r="T881">
        <f>Table[[#This Row],[NumWebPurchases]]+Table[[#This Row],[NumStorePurchases]]</f>
        <v>6</v>
      </c>
    </row>
    <row r="882" spans="1:20" ht="12.5">
      <c r="A882" s="6">
        <v>880</v>
      </c>
      <c r="B882" s="6">
        <v>8443</v>
      </c>
      <c r="C882" s="6">
        <v>1972</v>
      </c>
      <c r="D882" s="6">
        <f t="shared" si="52"/>
        <v>53</v>
      </c>
      <c r="E882" s="7" t="s">
        <v>9</v>
      </c>
      <c r="F882" s="7" t="s">
        <v>10</v>
      </c>
      <c r="G882" s="6">
        <v>24762</v>
      </c>
      <c r="H882" s="6" t="str" cm="1">
        <f t="array" ref="H882">_xlfn.IFS(
  G882 &lt; 25000, "Low",
  AND(G882 &gt;= 25000, G882 &lt; 75000), "Medium",
  AND(G882 &gt;= 75000, G882 &lt; 150000), "High",
  G882 &gt;= 150000, "Very High"
)</f>
        <v>Low</v>
      </c>
      <c r="I882" s="6">
        <v>1</v>
      </c>
      <c r="J882" s="6">
        <v>0</v>
      </c>
      <c r="K882" s="6">
        <f t="shared" si="53"/>
        <v>1</v>
      </c>
      <c r="L882" s="8">
        <v>41680</v>
      </c>
      <c r="M882" t="str">
        <f t="shared" ca="1" si="54"/>
        <v>12 years, 0 months</v>
      </c>
      <c r="N882" s="6">
        <v>16</v>
      </c>
      <c r="O882">
        <v>10</v>
      </c>
      <c r="P882">
        <v>15</v>
      </c>
      <c r="Q882">
        <f t="shared" si="55"/>
        <v>25</v>
      </c>
      <c r="R882">
        <v>3</v>
      </c>
      <c r="S882">
        <v>2</v>
      </c>
      <c r="T882">
        <f>Table[[#This Row],[NumWebPurchases]]+Table[[#This Row],[NumStorePurchases]]</f>
        <v>5</v>
      </c>
    </row>
    <row r="883" spans="1:20" ht="12.5">
      <c r="A883" s="6">
        <v>881</v>
      </c>
      <c r="B883" s="6">
        <v>9653</v>
      </c>
      <c r="C883" s="6">
        <v>1975</v>
      </c>
      <c r="D883" s="6">
        <f t="shared" si="52"/>
        <v>50</v>
      </c>
      <c r="E883" s="7" t="s">
        <v>9</v>
      </c>
      <c r="F883" s="7" t="s">
        <v>13</v>
      </c>
      <c r="G883" s="6">
        <v>35797</v>
      </c>
      <c r="H883" s="6" t="str" cm="1">
        <f t="array" ref="H883">_xlfn.IFS(
  G883 &lt; 25000, "Low",
  AND(G883 &gt;= 25000, G883 &lt; 75000), "Medium",
  AND(G883 &gt;= 75000, G883 &lt; 150000), "High",
  G883 &gt;= 150000, "Very High"
)</f>
        <v>Medium</v>
      </c>
      <c r="I883" s="6">
        <v>0</v>
      </c>
      <c r="J883" s="6">
        <v>1</v>
      </c>
      <c r="K883" s="6">
        <f t="shared" si="53"/>
        <v>1</v>
      </c>
      <c r="L883" s="9">
        <v>41198</v>
      </c>
      <c r="M883" t="str">
        <f t="shared" ca="1" si="54"/>
        <v>13 years, 4 months</v>
      </c>
      <c r="N883" s="6">
        <v>16</v>
      </c>
      <c r="O883">
        <v>1</v>
      </c>
      <c r="P883">
        <v>1</v>
      </c>
      <c r="Q883">
        <f t="shared" si="55"/>
        <v>2</v>
      </c>
      <c r="R883">
        <v>2</v>
      </c>
      <c r="S883">
        <v>3</v>
      </c>
      <c r="T883">
        <f>Table[[#This Row],[NumWebPurchases]]+Table[[#This Row],[NumStorePurchases]]</f>
        <v>5</v>
      </c>
    </row>
    <row r="884" spans="1:20" ht="12.5">
      <c r="A884" s="6">
        <v>882</v>
      </c>
      <c r="B884" s="6">
        <v>8916</v>
      </c>
      <c r="C884" s="6">
        <v>1975</v>
      </c>
      <c r="D884" s="6">
        <f t="shared" si="52"/>
        <v>50</v>
      </c>
      <c r="E884" s="7" t="s">
        <v>9</v>
      </c>
      <c r="F884" s="7" t="s">
        <v>15</v>
      </c>
      <c r="G884" s="6">
        <v>36627</v>
      </c>
      <c r="H884" s="6" t="str" cm="1">
        <f t="array" ref="H884">_xlfn.IFS(
  G884 &lt; 25000, "Low",
  AND(G884 &gt;= 25000, G884 &lt; 75000), "Medium",
  AND(G884 &gt;= 75000, G884 &lt; 150000), "High",
  G884 &gt;= 150000, "Very High"
)</f>
        <v>Medium</v>
      </c>
      <c r="I884" s="6">
        <v>2</v>
      </c>
      <c r="J884" s="6">
        <v>0</v>
      </c>
      <c r="K884" s="6">
        <f t="shared" si="53"/>
        <v>2</v>
      </c>
      <c r="L884" s="8">
        <v>41478</v>
      </c>
      <c r="M884" t="str">
        <f t="shared" ca="1" si="54"/>
        <v>12 years, 7 months</v>
      </c>
      <c r="N884" s="6">
        <v>78</v>
      </c>
      <c r="O884">
        <v>1</v>
      </c>
      <c r="P884">
        <v>0</v>
      </c>
      <c r="Q884">
        <f t="shared" si="55"/>
        <v>1</v>
      </c>
      <c r="R884">
        <v>0</v>
      </c>
      <c r="S884">
        <v>3</v>
      </c>
      <c r="T884">
        <f>Table[[#This Row],[NumWebPurchases]]+Table[[#This Row],[NumStorePurchases]]</f>
        <v>3</v>
      </c>
    </row>
    <row r="885" spans="1:20" ht="12.5">
      <c r="A885" s="6">
        <v>883</v>
      </c>
      <c r="B885" s="6">
        <v>8017</v>
      </c>
      <c r="C885" s="6">
        <v>1981</v>
      </c>
      <c r="D885" s="6">
        <f t="shared" si="52"/>
        <v>44</v>
      </c>
      <c r="E885" s="7" t="s">
        <v>17</v>
      </c>
      <c r="F885" s="7" t="s">
        <v>13</v>
      </c>
      <c r="G885" s="6">
        <v>51111</v>
      </c>
      <c r="H885" s="6" t="str" cm="1">
        <f t="array" ref="H885">_xlfn.IFS(
  G885 &lt; 25000, "Low",
  AND(G885 &gt;= 25000, G885 &lt; 75000), "Medium",
  AND(G885 &gt;= 75000, G885 &lt; 150000), "High",
  G885 &gt;= 150000, "Very High"
)</f>
        <v>Medium</v>
      </c>
      <c r="I885" s="6">
        <v>1</v>
      </c>
      <c r="J885" s="6">
        <v>1</v>
      </c>
      <c r="K885" s="6">
        <f t="shared" si="53"/>
        <v>2</v>
      </c>
      <c r="L885" s="8">
        <v>41809</v>
      </c>
      <c r="M885" t="str">
        <f t="shared" ca="1" si="54"/>
        <v>11 years, 8 months</v>
      </c>
      <c r="N885" s="6">
        <v>83</v>
      </c>
      <c r="O885">
        <v>0</v>
      </c>
      <c r="P885">
        <v>5</v>
      </c>
      <c r="Q885">
        <f t="shared" si="55"/>
        <v>5</v>
      </c>
      <c r="R885">
        <v>2</v>
      </c>
      <c r="S885">
        <v>3</v>
      </c>
      <c r="T885">
        <f>Table[[#This Row],[NumWebPurchases]]+Table[[#This Row],[NumStorePurchases]]</f>
        <v>5</v>
      </c>
    </row>
    <row r="886" spans="1:20" ht="12.5">
      <c r="A886" s="6">
        <v>884</v>
      </c>
      <c r="B886" s="6">
        <v>5830</v>
      </c>
      <c r="C886" s="6">
        <v>1972</v>
      </c>
      <c r="D886" s="6">
        <f t="shared" si="52"/>
        <v>53</v>
      </c>
      <c r="E886" s="7" t="s">
        <v>12</v>
      </c>
      <c r="F886" s="7" t="s">
        <v>10</v>
      </c>
      <c r="G886" s="6">
        <v>86857</v>
      </c>
      <c r="H886" s="6" t="str" cm="1">
        <f t="array" ref="H886">_xlfn.IFS(
  G886 &lt; 25000, "Low",
  AND(G886 &gt;= 25000, G886 &lt; 75000), "Medium",
  AND(G886 &gt;= 75000, G886 &lt; 150000), "High",
  G886 &gt;= 150000, "Very High"
)</f>
        <v>High</v>
      </c>
      <c r="I886" s="6">
        <v>0</v>
      </c>
      <c r="J886" s="6">
        <v>0</v>
      </c>
      <c r="K886" s="6">
        <f t="shared" si="53"/>
        <v>0</v>
      </c>
      <c r="L886" s="8">
        <v>41164</v>
      </c>
      <c r="M886" t="str">
        <f t="shared" ca="1" si="54"/>
        <v>13 years, 5 months</v>
      </c>
      <c r="N886" s="6">
        <v>96</v>
      </c>
      <c r="O886">
        <v>102</v>
      </c>
      <c r="P886">
        <v>102</v>
      </c>
      <c r="Q886">
        <f t="shared" si="55"/>
        <v>204</v>
      </c>
      <c r="R886">
        <v>5</v>
      </c>
      <c r="S886">
        <v>10</v>
      </c>
      <c r="T886">
        <f>Table[[#This Row],[NumWebPurchases]]+Table[[#This Row],[NumStorePurchases]]</f>
        <v>15</v>
      </c>
    </row>
    <row r="887" spans="1:20" ht="12.5">
      <c r="A887" s="6">
        <v>885</v>
      </c>
      <c r="B887" s="6">
        <v>4597</v>
      </c>
      <c r="C887" s="6">
        <v>1970</v>
      </c>
      <c r="D887" s="6">
        <f t="shared" si="52"/>
        <v>55</v>
      </c>
      <c r="E887" s="7" t="s">
        <v>12</v>
      </c>
      <c r="F887" s="7" t="s">
        <v>11</v>
      </c>
      <c r="G887" s="6">
        <v>82072</v>
      </c>
      <c r="H887" s="6" t="str" cm="1">
        <f t="array" ref="H887">_xlfn.IFS(
  G887 &lt; 25000, "Low",
  AND(G887 &gt;= 25000, G887 &lt; 75000), "Medium",
  AND(G887 &gt;= 75000, G887 &lt; 150000), "High",
  G887 &gt;= 150000, "Very High"
)</f>
        <v>High</v>
      </c>
      <c r="I887" s="6">
        <v>0</v>
      </c>
      <c r="J887" s="6">
        <v>0</v>
      </c>
      <c r="K887" s="6">
        <f t="shared" si="53"/>
        <v>0</v>
      </c>
      <c r="L887" s="8">
        <v>41457</v>
      </c>
      <c r="M887" t="str">
        <f t="shared" ca="1" si="54"/>
        <v>12 years, 8 months</v>
      </c>
      <c r="N887" s="6">
        <v>67</v>
      </c>
      <c r="O887">
        <v>55</v>
      </c>
      <c r="P887">
        <v>92</v>
      </c>
      <c r="Q887">
        <f t="shared" si="55"/>
        <v>147</v>
      </c>
      <c r="R887">
        <v>3</v>
      </c>
      <c r="S887">
        <v>13</v>
      </c>
      <c r="T887">
        <f>Table[[#This Row],[NumWebPurchases]]+Table[[#This Row],[NumStorePurchases]]</f>
        <v>16</v>
      </c>
    </row>
    <row r="888" spans="1:20" ht="12.5">
      <c r="A888" s="6">
        <v>886</v>
      </c>
      <c r="B888" s="6">
        <v>7023</v>
      </c>
      <c r="C888" s="6">
        <v>1953</v>
      </c>
      <c r="D888" s="6">
        <f t="shared" si="52"/>
        <v>72</v>
      </c>
      <c r="E888" s="7" t="s">
        <v>12</v>
      </c>
      <c r="F888" s="7" t="s">
        <v>10</v>
      </c>
      <c r="G888" s="6">
        <v>46231</v>
      </c>
      <c r="H888" s="6" t="str" cm="1">
        <f t="array" ref="H888">_xlfn.IFS(
  G888 &lt; 25000, "Low",
  AND(G888 &gt;= 25000, G888 &lt; 75000), "Medium",
  AND(G888 &gt;= 75000, G888 &lt; 150000), "High",
  G888 &gt;= 150000, "Very High"
)</f>
        <v>Medium</v>
      </c>
      <c r="I888" s="6">
        <v>2</v>
      </c>
      <c r="J888" s="6">
        <v>1</v>
      </c>
      <c r="K888" s="6">
        <f t="shared" si="53"/>
        <v>3</v>
      </c>
      <c r="L888" s="9">
        <v>41239</v>
      </c>
      <c r="M888" t="str">
        <f t="shared" ca="1" si="54"/>
        <v>13 years, 3 months</v>
      </c>
      <c r="N888" s="6">
        <v>87</v>
      </c>
      <c r="O888">
        <v>2</v>
      </c>
      <c r="P888">
        <v>5</v>
      </c>
      <c r="Q888">
        <f t="shared" si="55"/>
        <v>7</v>
      </c>
      <c r="R888">
        <v>6</v>
      </c>
      <c r="S888">
        <v>4</v>
      </c>
      <c r="T888">
        <f>Table[[#This Row],[NumWebPurchases]]+Table[[#This Row],[NumStorePurchases]]</f>
        <v>10</v>
      </c>
    </row>
    <row r="889" spans="1:20" ht="12.5">
      <c r="A889" s="6">
        <v>887</v>
      </c>
      <c r="B889" s="6">
        <v>8086</v>
      </c>
      <c r="C889" s="6">
        <v>1959</v>
      </c>
      <c r="D889" s="6">
        <f t="shared" si="52"/>
        <v>66</v>
      </c>
      <c r="E889" s="7" t="s">
        <v>9</v>
      </c>
      <c r="F889" s="7" t="s">
        <v>13</v>
      </c>
      <c r="G889" s="6">
        <v>42243</v>
      </c>
      <c r="H889" s="6" t="str" cm="1">
        <f t="array" ref="H889">_xlfn.IFS(
  G889 &lt; 25000, "Low",
  AND(G889 &gt;= 25000, G889 &lt; 75000), "Medium",
  AND(G889 &gt;= 75000, G889 &lt; 150000), "High",
  G889 &gt;= 150000, "Very High"
)</f>
        <v>Medium</v>
      </c>
      <c r="I889" s="6">
        <v>1</v>
      </c>
      <c r="J889" s="6">
        <v>1</v>
      </c>
      <c r="K889" s="6">
        <f t="shared" si="53"/>
        <v>2</v>
      </c>
      <c r="L889" s="9">
        <v>41619</v>
      </c>
      <c r="M889" t="str">
        <f t="shared" ca="1" si="54"/>
        <v>12 years, 2 months</v>
      </c>
      <c r="N889" s="6">
        <v>34</v>
      </c>
      <c r="O889">
        <v>0</v>
      </c>
      <c r="P889">
        <v>0</v>
      </c>
      <c r="Q889">
        <f t="shared" si="55"/>
        <v>0</v>
      </c>
      <c r="R889">
        <v>2</v>
      </c>
      <c r="S889">
        <v>3</v>
      </c>
      <c r="T889">
        <f>Table[[#This Row],[NumWebPurchases]]+Table[[#This Row],[NumStorePurchases]]</f>
        <v>5</v>
      </c>
    </row>
    <row r="890" spans="1:20" ht="12.5">
      <c r="A890" s="6">
        <v>888</v>
      </c>
      <c r="B890" s="6">
        <v>8825</v>
      </c>
      <c r="C890" s="6">
        <v>1962</v>
      </c>
      <c r="D890" s="6">
        <f t="shared" si="52"/>
        <v>63</v>
      </c>
      <c r="E890" s="7" t="s">
        <v>9</v>
      </c>
      <c r="F890" s="7" t="s">
        <v>11</v>
      </c>
      <c r="G890" s="6">
        <v>51195</v>
      </c>
      <c r="H890" s="6" t="str" cm="1">
        <f t="array" ref="H890">_xlfn.IFS(
  G890 &lt; 25000, "Low",
  AND(G890 &gt;= 25000, G890 &lt; 75000), "Medium",
  AND(G890 &gt;= 75000, G890 &lt; 150000), "High",
  G890 &gt;= 150000, "Very High"
)</f>
        <v>Medium</v>
      </c>
      <c r="I890" s="6">
        <v>1</v>
      </c>
      <c r="J890" s="6">
        <v>1</v>
      </c>
      <c r="K890" s="6">
        <f t="shared" si="53"/>
        <v>2</v>
      </c>
      <c r="L890" s="8">
        <v>41365</v>
      </c>
      <c r="M890" t="str">
        <f t="shared" ca="1" si="54"/>
        <v>12 years, 11 months</v>
      </c>
      <c r="N890" s="6">
        <v>46</v>
      </c>
      <c r="O890">
        <v>14</v>
      </c>
      <c r="P890">
        <v>24</v>
      </c>
      <c r="Q890">
        <f t="shared" si="55"/>
        <v>38</v>
      </c>
      <c r="R890">
        <v>9</v>
      </c>
      <c r="S890">
        <v>5</v>
      </c>
      <c r="T890">
        <f>Table[[#This Row],[NumWebPurchases]]+Table[[#This Row],[NumStorePurchases]]</f>
        <v>14</v>
      </c>
    </row>
    <row r="891" spans="1:20" ht="12.5">
      <c r="A891" s="6">
        <v>889</v>
      </c>
      <c r="B891" s="6">
        <v>2930</v>
      </c>
      <c r="C891" s="6">
        <v>1978</v>
      </c>
      <c r="D891" s="6">
        <f t="shared" si="52"/>
        <v>47</v>
      </c>
      <c r="E891" s="7" t="s">
        <v>14</v>
      </c>
      <c r="F891" s="7" t="s">
        <v>10</v>
      </c>
      <c r="G891" s="6">
        <v>68092</v>
      </c>
      <c r="H891" s="6" t="str" cm="1">
        <f t="array" ref="H891">_xlfn.IFS(
  G891 &lt; 25000, "Low",
  AND(G891 &gt;= 25000, G891 &lt; 75000), "Medium",
  AND(G891 &gt;= 75000, G891 &lt; 150000), "High",
  G891 &gt;= 150000, "Very High"
)</f>
        <v>Medium</v>
      </c>
      <c r="I891" s="6">
        <v>0</v>
      </c>
      <c r="J891" s="6">
        <v>0</v>
      </c>
      <c r="K891" s="6">
        <f t="shared" si="53"/>
        <v>0</v>
      </c>
      <c r="L891" s="9">
        <v>41624</v>
      </c>
      <c r="M891" t="str">
        <f t="shared" ca="1" si="54"/>
        <v>12 years, 2 months</v>
      </c>
      <c r="N891" s="6">
        <v>7</v>
      </c>
      <c r="O891">
        <v>60</v>
      </c>
      <c r="P891">
        <v>36</v>
      </c>
      <c r="Q891">
        <f t="shared" si="55"/>
        <v>96</v>
      </c>
      <c r="R891">
        <v>2</v>
      </c>
      <c r="S891">
        <v>10</v>
      </c>
      <c r="T891">
        <f>Table[[#This Row],[NumWebPurchases]]+Table[[#This Row],[NumStorePurchases]]</f>
        <v>12</v>
      </c>
    </row>
    <row r="892" spans="1:20" ht="12.5">
      <c r="A892" s="6">
        <v>890</v>
      </c>
      <c r="B892" s="6">
        <v>1928</v>
      </c>
      <c r="C892" s="6">
        <v>1973</v>
      </c>
      <c r="D892" s="6">
        <f t="shared" si="52"/>
        <v>52</v>
      </c>
      <c r="E892" s="7" t="s">
        <v>9</v>
      </c>
      <c r="F892" s="7" t="s">
        <v>13</v>
      </c>
      <c r="G892" s="6">
        <v>31814</v>
      </c>
      <c r="H892" s="6" t="str" cm="1">
        <f t="array" ref="H892">_xlfn.IFS(
  G892 &lt; 25000, "Low",
  AND(G892 &gt;= 25000, G892 &lt; 75000), "Medium",
  AND(G892 &gt;= 75000, G892 &lt; 150000), "High",
  G892 &gt;= 150000, "Very High"
)</f>
        <v>Medium</v>
      </c>
      <c r="I892" s="6">
        <v>1</v>
      </c>
      <c r="J892" s="6">
        <v>0</v>
      </c>
      <c r="K892" s="6">
        <f t="shared" si="53"/>
        <v>1</v>
      </c>
      <c r="L892" s="8">
        <v>41314</v>
      </c>
      <c r="M892" t="str">
        <f t="shared" ca="1" si="54"/>
        <v>13 years, 0 months</v>
      </c>
      <c r="N892" s="6">
        <v>73</v>
      </c>
      <c r="O892">
        <v>3</v>
      </c>
      <c r="P892">
        <v>1</v>
      </c>
      <c r="Q892">
        <f t="shared" si="55"/>
        <v>4</v>
      </c>
      <c r="R892">
        <v>2</v>
      </c>
      <c r="S892">
        <v>3</v>
      </c>
      <c r="T892">
        <f>Table[[#This Row],[NumWebPurchases]]+Table[[#This Row],[NumStorePurchases]]</f>
        <v>5</v>
      </c>
    </row>
    <row r="893" spans="1:20" ht="12.5">
      <c r="A893" s="6">
        <v>891</v>
      </c>
      <c r="B893" s="6">
        <v>7108</v>
      </c>
      <c r="C893" s="6">
        <v>1965</v>
      </c>
      <c r="D893" s="6">
        <f t="shared" si="52"/>
        <v>60</v>
      </c>
      <c r="E893" s="7" t="s">
        <v>14</v>
      </c>
      <c r="F893" s="7" t="s">
        <v>18</v>
      </c>
      <c r="G893" s="6">
        <v>51390</v>
      </c>
      <c r="H893" s="6" t="str" cm="1">
        <f t="array" ref="H893">_xlfn.IFS(
  G893 &lt; 25000, "Low",
  AND(G893 &gt;= 25000, G893 &lt; 75000), "Medium",
  AND(G893 &gt;= 75000, G893 &lt; 150000), "High",
  G893 &gt;= 150000, "Very High"
)</f>
        <v>Medium</v>
      </c>
      <c r="I893" s="6">
        <v>1</v>
      </c>
      <c r="J893" s="6">
        <v>1</v>
      </c>
      <c r="K893" s="6">
        <f t="shared" si="53"/>
        <v>2</v>
      </c>
      <c r="L893" s="8">
        <v>41160</v>
      </c>
      <c r="M893" t="str">
        <f t="shared" ca="1" si="54"/>
        <v>13 years, 5 months</v>
      </c>
      <c r="N893" s="6">
        <v>54</v>
      </c>
      <c r="O893">
        <v>20</v>
      </c>
      <c r="P893">
        <v>2</v>
      </c>
      <c r="Q893">
        <f t="shared" si="55"/>
        <v>22</v>
      </c>
      <c r="R893">
        <v>5</v>
      </c>
      <c r="S893">
        <v>5</v>
      </c>
      <c r="T893">
        <f>Table[[#This Row],[NumWebPurchases]]+Table[[#This Row],[NumStorePurchases]]</f>
        <v>10</v>
      </c>
    </row>
    <row r="894" spans="1:20" ht="12.5">
      <c r="A894" s="6">
        <v>892</v>
      </c>
      <c r="B894" s="6">
        <v>10925</v>
      </c>
      <c r="C894" s="6">
        <v>1983</v>
      </c>
      <c r="D894" s="6">
        <f t="shared" si="52"/>
        <v>42</v>
      </c>
      <c r="E894" s="7" t="s">
        <v>9</v>
      </c>
      <c r="F894" s="7" t="s">
        <v>13</v>
      </c>
      <c r="G894" s="6">
        <v>76630</v>
      </c>
      <c r="H894" s="6" t="str" cm="1">
        <f t="array" ref="H894">_xlfn.IFS(
  G894 &lt; 25000, "Low",
  AND(G894 &gt;= 25000, G894 &lt; 75000), "Medium",
  AND(G894 &gt;= 75000, G894 &lt; 150000), "High",
  G894 &gt;= 150000, "Very High"
)</f>
        <v>High</v>
      </c>
      <c r="I894" s="6">
        <v>0</v>
      </c>
      <c r="J894" s="6">
        <v>0</v>
      </c>
      <c r="K894" s="6">
        <f t="shared" si="53"/>
        <v>0</v>
      </c>
      <c r="L894" s="8">
        <v>41653</v>
      </c>
      <c r="M894" t="str">
        <f t="shared" ca="1" si="54"/>
        <v>12 years, 1 months</v>
      </c>
      <c r="N894" s="6">
        <v>93</v>
      </c>
      <c r="O894">
        <v>31</v>
      </c>
      <c r="P894">
        <v>56</v>
      </c>
      <c r="Q894">
        <f t="shared" si="55"/>
        <v>87</v>
      </c>
      <c r="R894">
        <v>3</v>
      </c>
      <c r="S894">
        <v>11</v>
      </c>
      <c r="T894">
        <f>Table[[#This Row],[NumWebPurchases]]+Table[[#This Row],[NumStorePurchases]]</f>
        <v>14</v>
      </c>
    </row>
    <row r="895" spans="1:20" ht="12.5">
      <c r="A895" s="6">
        <v>893</v>
      </c>
      <c r="B895" s="6">
        <v>9960</v>
      </c>
      <c r="C895" s="6">
        <v>1991</v>
      </c>
      <c r="D895" s="6">
        <f t="shared" si="52"/>
        <v>34</v>
      </c>
      <c r="E895" s="7" t="s">
        <v>16</v>
      </c>
      <c r="F895" s="7" t="s">
        <v>10</v>
      </c>
      <c r="G895" s="6">
        <v>26868</v>
      </c>
      <c r="H895" s="6" t="str" cm="1">
        <f t="array" ref="H895">_xlfn.IFS(
  G895 &lt; 25000, "Low",
  AND(G895 &gt;= 25000, G895 &lt; 75000), "Medium",
  AND(G895 &gt;= 75000, G895 &lt; 150000), "High",
  G895 &gt;= 150000, "Very High"
)</f>
        <v>Medium</v>
      </c>
      <c r="I895" s="6">
        <v>1</v>
      </c>
      <c r="J895" s="6">
        <v>0</v>
      </c>
      <c r="K895" s="6">
        <f t="shared" si="53"/>
        <v>1</v>
      </c>
      <c r="L895" s="8">
        <v>41759</v>
      </c>
      <c r="M895" t="str">
        <f t="shared" ca="1" si="54"/>
        <v>11 years, 10 months</v>
      </c>
      <c r="N895" s="6">
        <v>52</v>
      </c>
      <c r="O895">
        <v>0</v>
      </c>
      <c r="P895">
        <v>3</v>
      </c>
      <c r="Q895">
        <f t="shared" si="55"/>
        <v>3</v>
      </c>
      <c r="R895">
        <v>1</v>
      </c>
      <c r="S895">
        <v>2</v>
      </c>
      <c r="T895">
        <f>Table[[#This Row],[NumWebPurchases]]+Table[[#This Row],[NumStorePurchases]]</f>
        <v>3</v>
      </c>
    </row>
    <row r="896" spans="1:20" ht="12.5">
      <c r="A896" s="6">
        <v>894</v>
      </c>
      <c r="B896" s="6">
        <v>8800</v>
      </c>
      <c r="C896" s="6">
        <v>1943</v>
      </c>
      <c r="D896" s="6">
        <f t="shared" si="52"/>
        <v>82</v>
      </c>
      <c r="E896" s="7" t="s">
        <v>12</v>
      </c>
      <c r="F896" s="7" t="s">
        <v>15</v>
      </c>
      <c r="G896" s="6">
        <v>48948</v>
      </c>
      <c r="H896" s="6" t="str" cm="1">
        <f t="array" ref="H896">_xlfn.IFS(
  G896 &lt; 25000, "Low",
  AND(G896 &gt;= 25000, G896 &lt; 75000), "Medium",
  AND(G896 &gt;= 75000, G896 &lt; 150000), "High",
  G896 &gt;= 150000, "Very High"
)</f>
        <v>Medium</v>
      </c>
      <c r="I896" s="6">
        <v>0</v>
      </c>
      <c r="J896" s="6">
        <v>0</v>
      </c>
      <c r="K896" s="6">
        <f t="shared" si="53"/>
        <v>0</v>
      </c>
      <c r="L896" s="8">
        <v>41306</v>
      </c>
      <c r="M896" t="str">
        <f t="shared" ca="1" si="54"/>
        <v>13 years, 1 months</v>
      </c>
      <c r="N896" s="6">
        <v>53</v>
      </c>
      <c r="O896">
        <v>8</v>
      </c>
      <c r="P896">
        <v>49</v>
      </c>
      <c r="Q896">
        <f t="shared" si="55"/>
        <v>57</v>
      </c>
      <c r="R896">
        <v>7</v>
      </c>
      <c r="S896">
        <v>5</v>
      </c>
      <c r="T896">
        <f>Table[[#This Row],[NumWebPurchases]]+Table[[#This Row],[NumStorePurchases]]</f>
        <v>12</v>
      </c>
    </row>
    <row r="897" spans="1:20" ht="12.5">
      <c r="A897" s="6">
        <v>895</v>
      </c>
      <c r="B897" s="6">
        <v>9224</v>
      </c>
      <c r="C897" s="6">
        <v>1972</v>
      </c>
      <c r="D897" s="6">
        <f t="shared" si="52"/>
        <v>53</v>
      </c>
      <c r="E897" s="7" t="s">
        <v>12</v>
      </c>
      <c r="F897" s="7" t="s">
        <v>10</v>
      </c>
      <c r="G897" s="6">
        <v>55260</v>
      </c>
      <c r="H897" s="6" t="str" cm="1">
        <f t="array" ref="H897">_xlfn.IFS(
  G897 &lt; 25000, "Low",
  AND(G897 &gt;= 25000, G897 &lt; 75000), "Medium",
  AND(G897 &gt;= 75000, G897 &lt; 150000), "High",
  G897 &gt;= 150000, "Very High"
)</f>
        <v>Medium</v>
      </c>
      <c r="I897" s="6">
        <v>0</v>
      </c>
      <c r="J897" s="6">
        <v>1</v>
      </c>
      <c r="K897" s="6">
        <f t="shared" si="53"/>
        <v>1</v>
      </c>
      <c r="L897" s="9">
        <v>41255</v>
      </c>
      <c r="M897" t="str">
        <f t="shared" ca="1" si="54"/>
        <v>13 years, 2 months</v>
      </c>
      <c r="N897" s="6">
        <v>81</v>
      </c>
      <c r="O897">
        <v>8</v>
      </c>
      <c r="P897">
        <v>0</v>
      </c>
      <c r="Q897">
        <f t="shared" si="55"/>
        <v>8</v>
      </c>
      <c r="R897">
        <v>8</v>
      </c>
      <c r="S897">
        <v>5</v>
      </c>
      <c r="T897">
        <f>Table[[#This Row],[NumWebPurchases]]+Table[[#This Row],[NumStorePurchases]]</f>
        <v>13</v>
      </c>
    </row>
    <row r="898" spans="1:20" ht="12.5">
      <c r="A898" s="6">
        <v>896</v>
      </c>
      <c r="B898" s="6">
        <v>5519</v>
      </c>
      <c r="C898" s="6">
        <v>1956</v>
      </c>
      <c r="D898" s="6">
        <f t="shared" si="52"/>
        <v>69</v>
      </c>
      <c r="E898" s="7" t="s">
        <v>9</v>
      </c>
      <c r="F898" s="7" t="s">
        <v>11</v>
      </c>
      <c r="G898" s="6">
        <v>64090</v>
      </c>
      <c r="H898" s="6" t="str" cm="1">
        <f t="array" ref="H898">_xlfn.IFS(
  G898 &lt; 25000, "Low",
  AND(G898 &gt;= 25000, G898 &lt; 75000), "Medium",
  AND(G898 &gt;= 75000, G898 &lt; 150000), "High",
  G898 &gt;= 150000, "Very High"
)</f>
        <v>Medium</v>
      </c>
      <c r="I898" s="6">
        <v>0</v>
      </c>
      <c r="J898" s="6">
        <v>1</v>
      </c>
      <c r="K898" s="6">
        <f t="shared" si="53"/>
        <v>1</v>
      </c>
      <c r="L898" s="8">
        <v>41493</v>
      </c>
      <c r="M898" t="str">
        <f t="shared" ca="1" si="54"/>
        <v>12 years, 6 months</v>
      </c>
      <c r="N898" s="6">
        <v>8</v>
      </c>
      <c r="O898">
        <v>58</v>
      </c>
      <c r="P898">
        <v>51</v>
      </c>
      <c r="Q898">
        <f t="shared" si="55"/>
        <v>109</v>
      </c>
      <c r="R898">
        <v>6</v>
      </c>
      <c r="S898">
        <v>4</v>
      </c>
      <c r="T898">
        <f>Table[[#This Row],[NumWebPurchases]]+Table[[#This Row],[NumStorePurchases]]</f>
        <v>10</v>
      </c>
    </row>
    <row r="899" spans="1:20" ht="12.5">
      <c r="A899" s="6">
        <v>897</v>
      </c>
      <c r="B899" s="6">
        <v>5046</v>
      </c>
      <c r="C899" s="6">
        <v>1958</v>
      </c>
      <c r="D899" s="6">
        <f t="shared" ref="D899:D962" si="56">2025-C899</f>
        <v>67</v>
      </c>
      <c r="E899" s="7" t="s">
        <v>9</v>
      </c>
      <c r="F899" s="7" t="s">
        <v>15</v>
      </c>
      <c r="G899" s="6">
        <v>78331</v>
      </c>
      <c r="H899" s="6" t="str" cm="1">
        <f t="array" ref="H899">_xlfn.IFS(
  G899 &lt; 25000, "Low",
  AND(G899 &gt;= 25000, G899 &lt; 75000), "Medium",
  AND(G899 &gt;= 75000, G899 &lt; 150000), "High",
  G899 &gt;= 150000, "Very High"
)</f>
        <v>High</v>
      </c>
      <c r="I899" s="6">
        <v>0</v>
      </c>
      <c r="J899" s="6">
        <v>1</v>
      </c>
      <c r="K899" s="6">
        <f t="shared" ref="K899:K962" si="57">I899+J899</f>
        <v>1</v>
      </c>
      <c r="L899" s="8">
        <v>41662</v>
      </c>
      <c r="M899" t="str">
        <f t="shared" ref="M899:M962" ca="1" si="58">DATEDIF(L899, TODAY(), "Y") &amp; " years, " &amp; DATEDIF(L899, TODAY(), "YM") &amp; " months"</f>
        <v>12 years, 1 months</v>
      </c>
      <c r="N899" s="6">
        <v>97</v>
      </c>
      <c r="O899">
        <v>138</v>
      </c>
      <c r="P899">
        <v>169</v>
      </c>
      <c r="Q899">
        <f t="shared" ref="Q899:Q962" si="59">O899+P899</f>
        <v>307</v>
      </c>
      <c r="R899">
        <v>10</v>
      </c>
      <c r="S899">
        <v>7</v>
      </c>
      <c r="T899">
        <f>Table[[#This Row],[NumWebPurchases]]+Table[[#This Row],[NumStorePurchases]]</f>
        <v>17</v>
      </c>
    </row>
    <row r="900" spans="1:20" ht="12.5">
      <c r="A900" s="6">
        <v>898</v>
      </c>
      <c r="B900" s="6">
        <v>7037</v>
      </c>
      <c r="C900" s="6">
        <v>1974</v>
      </c>
      <c r="D900" s="6">
        <f t="shared" si="56"/>
        <v>51</v>
      </c>
      <c r="E900" s="7" t="s">
        <v>12</v>
      </c>
      <c r="F900" s="7" t="s">
        <v>13</v>
      </c>
      <c r="G900" s="6">
        <v>37087</v>
      </c>
      <c r="H900" s="6" t="str" cm="1">
        <f t="array" ref="H900">_xlfn.IFS(
  G900 &lt; 25000, "Low",
  AND(G900 &gt;= 25000, G900 &lt; 75000), "Medium",
  AND(G900 &gt;= 75000, G900 &lt; 150000), "High",
  G900 &gt;= 150000, "Very High"
)</f>
        <v>Medium</v>
      </c>
      <c r="I900" s="6">
        <v>1</v>
      </c>
      <c r="J900" s="6">
        <v>0</v>
      </c>
      <c r="K900" s="6">
        <f t="shared" si="57"/>
        <v>1</v>
      </c>
      <c r="L900" s="8">
        <v>41497</v>
      </c>
      <c r="M900" t="str">
        <f t="shared" ca="1" si="58"/>
        <v>12 years, 6 months</v>
      </c>
      <c r="N900" s="6">
        <v>50</v>
      </c>
      <c r="O900">
        <v>55</v>
      </c>
      <c r="P900">
        <v>0</v>
      </c>
      <c r="Q900">
        <f t="shared" si="59"/>
        <v>55</v>
      </c>
      <c r="R900">
        <v>4</v>
      </c>
      <c r="S900">
        <v>8</v>
      </c>
      <c r="T900">
        <f>Table[[#This Row],[NumWebPurchases]]+Table[[#This Row],[NumStorePurchases]]</f>
        <v>12</v>
      </c>
    </row>
    <row r="901" spans="1:20" ht="12.5">
      <c r="A901" s="6">
        <v>899</v>
      </c>
      <c r="B901" s="6">
        <v>905</v>
      </c>
      <c r="C901" s="6">
        <v>1986</v>
      </c>
      <c r="D901" s="6">
        <f t="shared" si="56"/>
        <v>39</v>
      </c>
      <c r="E901" s="7" t="s">
        <v>9</v>
      </c>
      <c r="F901" s="7" t="s">
        <v>15</v>
      </c>
      <c r="G901" s="6">
        <v>21846</v>
      </c>
      <c r="H901" s="6" t="str" cm="1">
        <f t="array" ref="H901">_xlfn.IFS(
  G901 &lt; 25000, "Low",
  AND(G901 &gt;= 25000, G901 &lt; 75000), "Medium",
  AND(G901 &gt;= 75000, G901 &lt; 150000), "High",
  G901 &gt;= 150000, "Very High"
)</f>
        <v>Low</v>
      </c>
      <c r="I901" s="6">
        <v>1</v>
      </c>
      <c r="J901" s="6">
        <v>0</v>
      </c>
      <c r="K901" s="6">
        <f t="shared" si="57"/>
        <v>1</v>
      </c>
      <c r="L901" s="9">
        <v>41569</v>
      </c>
      <c r="M901" t="str">
        <f t="shared" ca="1" si="58"/>
        <v>12 years, 4 months</v>
      </c>
      <c r="N901" s="6">
        <v>38</v>
      </c>
      <c r="O901">
        <v>17</v>
      </c>
      <c r="P901">
        <v>10</v>
      </c>
      <c r="Q901">
        <f t="shared" si="59"/>
        <v>27</v>
      </c>
      <c r="R901">
        <v>4</v>
      </c>
      <c r="S901">
        <v>3</v>
      </c>
      <c r="T901">
        <f>Table[[#This Row],[NumWebPurchases]]+Table[[#This Row],[NumStorePurchases]]</f>
        <v>7</v>
      </c>
    </row>
    <row r="902" spans="1:20" ht="12.5">
      <c r="A902" s="6">
        <v>900</v>
      </c>
      <c r="B902" s="6">
        <v>8624</v>
      </c>
      <c r="C902" s="6">
        <v>1958</v>
      </c>
      <c r="D902" s="6">
        <f t="shared" si="56"/>
        <v>67</v>
      </c>
      <c r="E902" s="7" t="s">
        <v>9</v>
      </c>
      <c r="F902" s="7" t="s">
        <v>13</v>
      </c>
      <c r="G902" s="6">
        <v>81320</v>
      </c>
      <c r="H902" s="6" t="str" cm="1">
        <f t="array" ref="H902">_xlfn.IFS(
  G902 &lt; 25000, "Low",
  AND(G902 &gt;= 25000, G902 &lt; 75000), "Medium",
  AND(G902 &gt;= 75000, G902 &lt; 150000), "High",
  G902 &gt;= 150000, "Very High"
)</f>
        <v>High</v>
      </c>
      <c r="I902" s="6">
        <v>0</v>
      </c>
      <c r="J902" s="6">
        <v>0</v>
      </c>
      <c r="K902" s="6">
        <f t="shared" si="57"/>
        <v>0</v>
      </c>
      <c r="L902" s="8">
        <v>41311</v>
      </c>
      <c r="M902" t="str">
        <f t="shared" ca="1" si="58"/>
        <v>13 years, 1 months</v>
      </c>
      <c r="N902" s="6">
        <v>61</v>
      </c>
      <c r="O902">
        <v>33</v>
      </c>
      <c r="P902">
        <v>103</v>
      </c>
      <c r="Q902">
        <f t="shared" si="59"/>
        <v>136</v>
      </c>
      <c r="R902">
        <v>4</v>
      </c>
      <c r="S902">
        <v>10</v>
      </c>
      <c r="T902">
        <f>Table[[#This Row],[NumWebPurchases]]+Table[[#This Row],[NumStorePurchases]]</f>
        <v>14</v>
      </c>
    </row>
    <row r="903" spans="1:20" ht="12.5">
      <c r="A903" s="6">
        <v>901</v>
      </c>
      <c r="B903" s="6">
        <v>8945</v>
      </c>
      <c r="C903" s="6">
        <v>1970</v>
      </c>
      <c r="D903" s="6">
        <f t="shared" si="56"/>
        <v>55</v>
      </c>
      <c r="E903" s="7" t="s">
        <v>9</v>
      </c>
      <c r="F903" s="7" t="s">
        <v>15</v>
      </c>
      <c r="G903" s="6">
        <v>54137</v>
      </c>
      <c r="H903" s="6" t="str" cm="1">
        <f t="array" ref="H903">_xlfn.IFS(
  G903 &lt; 25000, "Low",
  AND(G903 &gt;= 25000, G903 &lt; 75000), "Medium",
  AND(G903 &gt;= 75000, G903 &lt; 150000), "High",
  G903 &gt;= 150000, "Very High"
)</f>
        <v>Medium</v>
      </c>
      <c r="I903" s="6">
        <v>0</v>
      </c>
      <c r="J903" s="6">
        <v>1</v>
      </c>
      <c r="K903" s="6">
        <f t="shared" si="57"/>
        <v>1</v>
      </c>
      <c r="L903" s="8">
        <v>41502</v>
      </c>
      <c r="M903" t="str">
        <f t="shared" ca="1" si="58"/>
        <v>12 years, 6 months</v>
      </c>
      <c r="N903" s="6">
        <v>46</v>
      </c>
      <c r="O903">
        <v>0</v>
      </c>
      <c r="P903">
        <v>1</v>
      </c>
      <c r="Q903">
        <f t="shared" si="59"/>
        <v>1</v>
      </c>
      <c r="R903">
        <v>4</v>
      </c>
      <c r="S903">
        <v>4</v>
      </c>
      <c r="T903">
        <f>Table[[#This Row],[NumWebPurchases]]+Table[[#This Row],[NumStorePurchases]]</f>
        <v>8</v>
      </c>
    </row>
    <row r="904" spans="1:20" ht="12.5">
      <c r="A904" s="6">
        <v>902</v>
      </c>
      <c r="B904" s="6">
        <v>6445</v>
      </c>
      <c r="C904" s="6">
        <v>1967</v>
      </c>
      <c r="D904" s="6">
        <f t="shared" si="56"/>
        <v>58</v>
      </c>
      <c r="E904" s="7" t="s">
        <v>9</v>
      </c>
      <c r="F904" s="7" t="s">
        <v>11</v>
      </c>
      <c r="G904" s="6">
        <v>66825</v>
      </c>
      <c r="H904" s="6" t="str" cm="1">
        <f t="array" ref="H904">_xlfn.IFS(
  G904 &lt; 25000, "Low",
  AND(G904 &gt;= 25000, G904 &lt; 75000), "Medium",
  AND(G904 &gt;= 75000, G904 &lt; 150000), "High",
  G904 &gt;= 150000, "Very High"
)</f>
        <v>Medium</v>
      </c>
      <c r="I904" s="6">
        <v>0</v>
      </c>
      <c r="J904" s="6">
        <v>0</v>
      </c>
      <c r="K904" s="6">
        <f t="shared" si="57"/>
        <v>0</v>
      </c>
      <c r="L904" s="8">
        <v>41469</v>
      </c>
      <c r="M904" t="str">
        <f t="shared" ca="1" si="58"/>
        <v>12 years, 7 months</v>
      </c>
      <c r="N904" s="6">
        <v>73</v>
      </c>
      <c r="O904">
        <v>101</v>
      </c>
      <c r="P904">
        <v>40</v>
      </c>
      <c r="Q904">
        <f t="shared" si="59"/>
        <v>141</v>
      </c>
      <c r="R904">
        <v>4</v>
      </c>
      <c r="S904">
        <v>6</v>
      </c>
      <c r="T904">
        <f>Table[[#This Row],[NumWebPurchases]]+Table[[#This Row],[NumStorePurchases]]</f>
        <v>10</v>
      </c>
    </row>
    <row r="905" spans="1:20" ht="12.5">
      <c r="A905" s="6">
        <v>903</v>
      </c>
      <c r="B905" s="6">
        <v>2727</v>
      </c>
      <c r="C905" s="6">
        <v>1973</v>
      </c>
      <c r="D905" s="6">
        <f t="shared" si="56"/>
        <v>52</v>
      </c>
      <c r="E905" s="7" t="s">
        <v>9</v>
      </c>
      <c r="F905" s="7" t="s">
        <v>11</v>
      </c>
      <c r="G905" s="6">
        <v>57100</v>
      </c>
      <c r="H905" s="6" t="str" cm="1">
        <f t="array" ref="H905">_xlfn.IFS(
  G905 &lt; 25000, "Low",
  AND(G905 &gt;= 25000, G905 &lt; 75000), "Medium",
  AND(G905 &gt;= 75000, G905 &lt; 150000), "High",
  G905 &gt;= 150000, "Very High"
)</f>
        <v>Medium</v>
      </c>
      <c r="I905" s="6">
        <v>0</v>
      </c>
      <c r="J905" s="6">
        <v>0</v>
      </c>
      <c r="K905" s="6">
        <f t="shared" si="57"/>
        <v>0</v>
      </c>
      <c r="L905" s="8">
        <v>41612</v>
      </c>
      <c r="M905" t="str">
        <f t="shared" ca="1" si="58"/>
        <v>12 years, 3 months</v>
      </c>
      <c r="N905" s="6">
        <v>19</v>
      </c>
      <c r="O905">
        <v>21</v>
      </c>
      <c r="P905">
        <v>3</v>
      </c>
      <c r="Q905">
        <f t="shared" si="59"/>
        <v>24</v>
      </c>
      <c r="R905">
        <v>3</v>
      </c>
      <c r="S905">
        <v>6</v>
      </c>
      <c r="T905">
        <f>Table[[#This Row],[NumWebPurchases]]+Table[[#This Row],[NumStorePurchases]]</f>
        <v>9</v>
      </c>
    </row>
    <row r="906" spans="1:20" ht="12.5">
      <c r="A906" s="6">
        <v>904</v>
      </c>
      <c r="B906" s="6">
        <v>6404</v>
      </c>
      <c r="C906" s="6">
        <v>1969</v>
      </c>
      <c r="D906" s="6">
        <f t="shared" si="56"/>
        <v>56</v>
      </c>
      <c r="E906" s="7" t="s">
        <v>9</v>
      </c>
      <c r="F906" s="7" t="s">
        <v>11</v>
      </c>
      <c r="G906" s="6">
        <v>58917</v>
      </c>
      <c r="H906" s="6" t="str" cm="1">
        <f t="array" ref="H906">_xlfn.IFS(
  G906 &lt; 25000, "Low",
  AND(G906 &gt;= 25000, G906 &lt; 75000), "Medium",
  AND(G906 &gt;= 75000, G906 &lt; 150000), "High",
  G906 &gt;= 150000, "Very High"
)</f>
        <v>Medium</v>
      </c>
      <c r="I906" s="6">
        <v>1</v>
      </c>
      <c r="J906" s="6">
        <v>2</v>
      </c>
      <c r="K906" s="6">
        <f t="shared" si="57"/>
        <v>3</v>
      </c>
      <c r="L906" s="8">
        <v>41357</v>
      </c>
      <c r="M906" t="str">
        <f t="shared" ca="1" si="58"/>
        <v>12 years, 11 months</v>
      </c>
      <c r="N906" s="6">
        <v>10</v>
      </c>
      <c r="O906">
        <v>7</v>
      </c>
      <c r="P906">
        <v>7</v>
      </c>
      <c r="Q906">
        <f t="shared" si="59"/>
        <v>14</v>
      </c>
      <c r="R906">
        <v>4</v>
      </c>
      <c r="S906">
        <v>6</v>
      </c>
      <c r="T906">
        <f>Table[[#This Row],[NumWebPurchases]]+Table[[#This Row],[NumStorePurchases]]</f>
        <v>10</v>
      </c>
    </row>
    <row r="907" spans="1:20" ht="12.5">
      <c r="A907" s="6">
        <v>905</v>
      </c>
      <c r="B907" s="6">
        <v>11074</v>
      </c>
      <c r="C907" s="6">
        <v>1977</v>
      </c>
      <c r="D907" s="6">
        <f t="shared" si="56"/>
        <v>48</v>
      </c>
      <c r="E907" s="7" t="s">
        <v>9</v>
      </c>
      <c r="F907" s="7" t="s">
        <v>10</v>
      </c>
      <c r="G907" s="6">
        <v>85072</v>
      </c>
      <c r="H907" s="6" t="str" cm="1">
        <f t="array" ref="H907">_xlfn.IFS(
  G907 &lt; 25000, "Low",
  AND(G907 &gt;= 25000, G907 &lt; 75000), "Medium",
  AND(G907 &gt;= 75000, G907 &lt; 150000), "High",
  G907 &gt;= 150000, "Very High"
)</f>
        <v>High</v>
      </c>
      <c r="I907" s="6">
        <v>0</v>
      </c>
      <c r="J907" s="6">
        <v>0</v>
      </c>
      <c r="K907" s="6">
        <f t="shared" si="57"/>
        <v>0</v>
      </c>
      <c r="L907" s="8">
        <v>41738</v>
      </c>
      <c r="M907" t="str">
        <f t="shared" ca="1" si="58"/>
        <v>11 years, 10 months</v>
      </c>
      <c r="N907" s="6">
        <v>94</v>
      </c>
      <c r="O907">
        <v>92</v>
      </c>
      <c r="P907">
        <v>11</v>
      </c>
      <c r="Q907">
        <f t="shared" si="59"/>
        <v>103</v>
      </c>
      <c r="R907">
        <v>3</v>
      </c>
      <c r="S907">
        <v>10</v>
      </c>
      <c r="T907">
        <f>Table[[#This Row],[NumWebPurchases]]+Table[[#This Row],[NumStorePurchases]]</f>
        <v>13</v>
      </c>
    </row>
    <row r="908" spans="1:20" ht="12.5">
      <c r="A908" s="6">
        <v>906</v>
      </c>
      <c r="B908" s="6">
        <v>10150</v>
      </c>
      <c r="C908" s="6">
        <v>1961</v>
      </c>
      <c r="D908" s="6">
        <f t="shared" si="56"/>
        <v>64</v>
      </c>
      <c r="E908" s="7" t="s">
        <v>9</v>
      </c>
      <c r="F908" s="7" t="s">
        <v>10</v>
      </c>
      <c r="G908" s="6">
        <v>86429</v>
      </c>
      <c r="H908" s="6" t="str" cm="1">
        <f t="array" ref="H908">_xlfn.IFS(
  G908 &lt; 25000, "Low",
  AND(G908 &gt;= 25000, G908 &lt; 75000), "Medium",
  AND(G908 &gt;= 75000, G908 &lt; 150000), "High",
  G908 &gt;= 150000, "Very High"
)</f>
        <v>High</v>
      </c>
      <c r="I908" s="6">
        <v>0</v>
      </c>
      <c r="J908" s="6">
        <v>0</v>
      </c>
      <c r="K908" s="6">
        <f t="shared" si="57"/>
        <v>0</v>
      </c>
      <c r="L908" s="9">
        <v>41599</v>
      </c>
      <c r="M908" t="str">
        <f t="shared" ca="1" si="58"/>
        <v>12 years, 3 months</v>
      </c>
      <c r="N908" s="6">
        <v>10</v>
      </c>
      <c r="O908">
        <v>28</v>
      </c>
      <c r="P908">
        <v>18</v>
      </c>
      <c r="Q908">
        <f t="shared" si="59"/>
        <v>46</v>
      </c>
      <c r="R908">
        <v>7</v>
      </c>
      <c r="S908">
        <v>7</v>
      </c>
      <c r="T908">
        <f>Table[[#This Row],[NumWebPurchases]]+Table[[#This Row],[NumStorePurchases]]</f>
        <v>14</v>
      </c>
    </row>
    <row r="909" spans="1:20" ht="12.5">
      <c r="A909" s="6">
        <v>907</v>
      </c>
      <c r="B909" s="6">
        <v>1968</v>
      </c>
      <c r="C909" s="6">
        <v>1971</v>
      </c>
      <c r="D909" s="6">
        <f t="shared" si="56"/>
        <v>54</v>
      </c>
      <c r="E909" s="7" t="s">
        <v>9</v>
      </c>
      <c r="F909" s="7" t="s">
        <v>18</v>
      </c>
      <c r="G909" s="6">
        <v>45684</v>
      </c>
      <c r="H909" s="6" t="str" cm="1">
        <f t="array" ref="H909">_xlfn.IFS(
  G909 &lt; 25000, "Low",
  AND(G909 &gt;= 25000, G909 &lt; 75000), "Medium",
  AND(G909 &gt;= 75000, G909 &lt; 150000), "High",
  G909 &gt;= 150000, "Very High"
)</f>
        <v>Medium</v>
      </c>
      <c r="I909" s="6">
        <v>1</v>
      </c>
      <c r="J909" s="6">
        <v>0</v>
      </c>
      <c r="K909" s="6">
        <f t="shared" si="57"/>
        <v>1</v>
      </c>
      <c r="L909" s="8">
        <v>41610</v>
      </c>
      <c r="M909" t="str">
        <f t="shared" ca="1" si="58"/>
        <v>12 years, 3 months</v>
      </c>
      <c r="N909" s="6">
        <v>37</v>
      </c>
      <c r="O909">
        <v>1</v>
      </c>
      <c r="P909">
        <v>0</v>
      </c>
      <c r="Q909">
        <f t="shared" si="59"/>
        <v>1</v>
      </c>
      <c r="R909">
        <v>1</v>
      </c>
      <c r="S909">
        <v>2</v>
      </c>
      <c r="T909">
        <f>Table[[#This Row],[NumWebPurchases]]+Table[[#This Row],[NumStorePurchases]]</f>
        <v>3</v>
      </c>
    </row>
    <row r="910" spans="1:20" ht="12.5">
      <c r="A910" s="6">
        <v>908</v>
      </c>
      <c r="B910" s="6">
        <v>6534</v>
      </c>
      <c r="C910" s="6">
        <v>1974</v>
      </c>
      <c r="D910" s="6">
        <f t="shared" si="56"/>
        <v>51</v>
      </c>
      <c r="E910" s="7" t="s">
        <v>9</v>
      </c>
      <c r="F910" s="7" t="s">
        <v>11</v>
      </c>
      <c r="G910" s="6">
        <v>47889</v>
      </c>
      <c r="H910" s="6" t="str" cm="1">
        <f t="array" ref="H910">_xlfn.IFS(
  G910 &lt; 25000, "Low",
  AND(G910 &gt;= 25000, G910 &lt; 75000), "Medium",
  AND(G910 &gt;= 75000, G910 &lt; 150000), "High",
  G910 &gt;= 150000, "Very High"
)</f>
        <v>Medium</v>
      </c>
      <c r="I910" s="6">
        <v>1</v>
      </c>
      <c r="J910" s="6">
        <v>0</v>
      </c>
      <c r="K910" s="6">
        <f t="shared" si="57"/>
        <v>1</v>
      </c>
      <c r="L910" s="8">
        <v>41643</v>
      </c>
      <c r="M910" t="str">
        <f t="shared" ca="1" si="58"/>
        <v>12 years, 2 months</v>
      </c>
      <c r="N910" s="6">
        <v>94</v>
      </c>
      <c r="O910">
        <v>0</v>
      </c>
      <c r="P910">
        <v>5</v>
      </c>
      <c r="Q910">
        <f t="shared" si="59"/>
        <v>5</v>
      </c>
      <c r="R910">
        <v>2</v>
      </c>
      <c r="S910">
        <v>3</v>
      </c>
      <c r="T910">
        <f>Table[[#This Row],[NumWebPurchases]]+Table[[#This Row],[NumStorePurchases]]</f>
        <v>5</v>
      </c>
    </row>
    <row r="911" spans="1:20" ht="12.5">
      <c r="A911" s="6">
        <v>909</v>
      </c>
      <c r="B911" s="6">
        <v>9485</v>
      </c>
      <c r="C911" s="6">
        <v>1986</v>
      </c>
      <c r="D911" s="6">
        <f t="shared" si="56"/>
        <v>39</v>
      </c>
      <c r="E911" s="7" t="s">
        <v>12</v>
      </c>
      <c r="F911" s="7" t="s">
        <v>13</v>
      </c>
      <c r="G911" s="6">
        <v>45921</v>
      </c>
      <c r="H911" s="6" t="str" cm="1">
        <f t="array" ref="H911">_xlfn.IFS(
  G911 &lt; 25000, "Low",
  AND(G911 &gt;= 25000, G911 &lt; 75000), "Medium",
  AND(G911 &gt;= 75000, G911 &lt; 150000), "High",
  G911 &gt;= 150000, "Very High"
)</f>
        <v>Medium</v>
      </c>
      <c r="I911" s="6">
        <v>0</v>
      </c>
      <c r="J911" s="6">
        <v>0</v>
      </c>
      <c r="K911" s="6">
        <f t="shared" si="57"/>
        <v>0</v>
      </c>
      <c r="L911" s="8">
        <v>41708</v>
      </c>
      <c r="M911" t="str">
        <f t="shared" ca="1" si="58"/>
        <v>11 years, 11 months</v>
      </c>
      <c r="N911" s="6">
        <v>23</v>
      </c>
      <c r="O911">
        <v>9</v>
      </c>
      <c r="P911">
        <v>3</v>
      </c>
      <c r="Q911">
        <f t="shared" si="59"/>
        <v>12</v>
      </c>
      <c r="R911">
        <v>2</v>
      </c>
      <c r="S911">
        <v>6</v>
      </c>
      <c r="T911">
        <f>Table[[#This Row],[NumWebPurchases]]+Table[[#This Row],[NumStorePurchases]]</f>
        <v>8</v>
      </c>
    </row>
    <row r="912" spans="1:20" ht="12.5">
      <c r="A912" s="6">
        <v>910</v>
      </c>
      <c r="B912" s="6">
        <v>7053</v>
      </c>
      <c r="C912" s="6">
        <v>1966</v>
      </c>
      <c r="D912" s="6">
        <f t="shared" si="56"/>
        <v>59</v>
      </c>
      <c r="E912" s="7" t="s">
        <v>12</v>
      </c>
      <c r="F912" s="7" t="s">
        <v>10</v>
      </c>
      <c r="G912" s="6">
        <v>78420</v>
      </c>
      <c r="H912" s="6" t="str" cm="1">
        <f t="array" ref="H912">_xlfn.IFS(
  G912 &lt; 25000, "Low",
  AND(G912 &gt;= 25000, G912 &lt; 75000), "Medium",
  AND(G912 &gt;= 75000, G912 &lt; 150000), "High",
  G912 &gt;= 150000, "Very High"
)</f>
        <v>High</v>
      </c>
      <c r="I912" s="6">
        <v>0</v>
      </c>
      <c r="J912" s="6">
        <v>0</v>
      </c>
      <c r="K912" s="6">
        <f t="shared" si="57"/>
        <v>0</v>
      </c>
      <c r="L912" s="8">
        <v>41454</v>
      </c>
      <c r="M912" t="str">
        <f t="shared" ca="1" si="58"/>
        <v>12 years, 8 months</v>
      </c>
      <c r="N912" s="6">
        <v>75</v>
      </c>
      <c r="O912">
        <v>28</v>
      </c>
      <c r="P912">
        <v>28</v>
      </c>
      <c r="Q912">
        <f t="shared" si="59"/>
        <v>56</v>
      </c>
      <c r="R912">
        <v>3</v>
      </c>
      <c r="S912">
        <v>8</v>
      </c>
      <c r="T912">
        <f>Table[[#This Row],[NumWebPurchases]]+Table[[#This Row],[NumStorePurchases]]</f>
        <v>11</v>
      </c>
    </row>
    <row r="913" spans="1:20" ht="12.5">
      <c r="A913" s="6">
        <v>911</v>
      </c>
      <c r="B913" s="6">
        <v>4654</v>
      </c>
      <c r="C913" s="6">
        <v>1992</v>
      </c>
      <c r="D913" s="6">
        <f t="shared" si="56"/>
        <v>33</v>
      </c>
      <c r="E913" s="7" t="s">
        <v>9</v>
      </c>
      <c r="F913" s="7" t="s">
        <v>11</v>
      </c>
      <c r="G913" s="6">
        <v>75114</v>
      </c>
      <c r="H913" s="6" t="str" cm="1">
        <f t="array" ref="H913">_xlfn.IFS(
  G913 &lt; 25000, "Low",
  AND(G913 &gt;= 25000, G913 &lt; 75000), "Medium",
  AND(G913 &gt;= 75000, G913 &lt; 150000), "High",
  G913 &gt;= 150000, "Very High"
)</f>
        <v>High</v>
      </c>
      <c r="I913" s="6">
        <v>0</v>
      </c>
      <c r="J913" s="6">
        <v>0</v>
      </c>
      <c r="K913" s="6">
        <f t="shared" si="57"/>
        <v>0</v>
      </c>
      <c r="L913" s="8">
        <v>41585</v>
      </c>
      <c r="M913" t="str">
        <f t="shared" ca="1" si="58"/>
        <v>12 years, 3 months</v>
      </c>
      <c r="N913" s="6">
        <v>40</v>
      </c>
      <c r="O913">
        <v>12</v>
      </c>
      <c r="P913">
        <v>60</v>
      </c>
      <c r="Q913">
        <f t="shared" si="59"/>
        <v>72</v>
      </c>
      <c r="R913">
        <v>3</v>
      </c>
      <c r="S913">
        <v>5</v>
      </c>
      <c r="T913">
        <f>Table[[#This Row],[NumWebPurchases]]+Table[[#This Row],[NumStorePurchases]]</f>
        <v>8</v>
      </c>
    </row>
    <row r="914" spans="1:20" ht="12.5">
      <c r="A914" s="6">
        <v>912</v>
      </c>
      <c r="B914" s="6">
        <v>9760</v>
      </c>
      <c r="C914" s="6">
        <v>1963</v>
      </c>
      <c r="D914" s="6">
        <f t="shared" si="56"/>
        <v>62</v>
      </c>
      <c r="E914" s="7" t="s">
        <v>12</v>
      </c>
      <c r="F914" s="7" t="s">
        <v>18</v>
      </c>
      <c r="G914" s="6">
        <v>52278</v>
      </c>
      <c r="H914" s="6" t="str" cm="1">
        <f t="array" ref="H914">_xlfn.IFS(
  G914 &lt; 25000, "Low",
  AND(G914 &gt;= 25000, G914 &lt; 75000), "Medium",
  AND(G914 &gt;= 75000, G914 &lt; 150000), "High",
  G914 &gt;= 150000, "Very High"
)</f>
        <v>Medium</v>
      </c>
      <c r="I914" s="6">
        <v>0</v>
      </c>
      <c r="J914" s="6">
        <v>1</v>
      </c>
      <c r="K914" s="6">
        <f t="shared" si="57"/>
        <v>1</v>
      </c>
      <c r="L914" s="8">
        <v>41299</v>
      </c>
      <c r="M914" t="str">
        <f t="shared" ca="1" si="58"/>
        <v>13 years, 1 months</v>
      </c>
      <c r="N914" s="6">
        <v>24</v>
      </c>
      <c r="O914">
        <v>0</v>
      </c>
      <c r="P914">
        <v>0</v>
      </c>
      <c r="Q914">
        <f t="shared" si="59"/>
        <v>0</v>
      </c>
      <c r="R914">
        <v>10</v>
      </c>
      <c r="S914">
        <v>10</v>
      </c>
      <c r="T914">
        <f>Table[[#This Row],[NumWebPurchases]]+Table[[#This Row],[NumStorePurchases]]</f>
        <v>20</v>
      </c>
    </row>
    <row r="915" spans="1:20" ht="12.5">
      <c r="A915" s="6">
        <v>913</v>
      </c>
      <c r="B915" s="6">
        <v>1048</v>
      </c>
      <c r="C915" s="6">
        <v>1972</v>
      </c>
      <c r="D915" s="6">
        <f t="shared" si="56"/>
        <v>53</v>
      </c>
      <c r="E915" s="7" t="s">
        <v>14</v>
      </c>
      <c r="F915" s="7" t="s">
        <v>13</v>
      </c>
      <c r="G915" s="6">
        <v>35641</v>
      </c>
      <c r="H915" s="6" t="str" cm="1">
        <f t="array" ref="H915">_xlfn.IFS(
  G915 &lt; 25000, "Low",
  AND(G915 &gt;= 25000, G915 &lt; 75000), "Medium",
  AND(G915 &gt;= 75000, G915 &lt; 150000), "High",
  G915 &gt;= 150000, "Very High"
)</f>
        <v>Medium</v>
      </c>
      <c r="I915" s="6">
        <v>1</v>
      </c>
      <c r="J915" s="6">
        <v>0</v>
      </c>
      <c r="K915" s="6">
        <f t="shared" si="57"/>
        <v>1</v>
      </c>
      <c r="L915" s="8">
        <v>41469</v>
      </c>
      <c r="M915" t="str">
        <f t="shared" ca="1" si="58"/>
        <v>12 years, 7 months</v>
      </c>
      <c r="N915" s="6">
        <v>11</v>
      </c>
      <c r="O915">
        <v>3</v>
      </c>
      <c r="P915">
        <v>9</v>
      </c>
      <c r="Q915">
        <f t="shared" si="59"/>
        <v>12</v>
      </c>
      <c r="R915">
        <v>3</v>
      </c>
      <c r="S915">
        <v>4</v>
      </c>
      <c r="T915">
        <f>Table[[#This Row],[NumWebPurchases]]+Table[[#This Row],[NumStorePurchases]]</f>
        <v>7</v>
      </c>
    </row>
    <row r="916" spans="1:20" ht="12.5">
      <c r="A916" s="6">
        <v>914</v>
      </c>
      <c r="B916" s="6">
        <v>10619</v>
      </c>
      <c r="C916" s="6">
        <v>1994</v>
      </c>
      <c r="D916" s="6">
        <f t="shared" si="56"/>
        <v>31</v>
      </c>
      <c r="E916" s="7" t="s">
        <v>9</v>
      </c>
      <c r="F916" s="7" t="s">
        <v>10</v>
      </c>
      <c r="G916" s="6">
        <v>95529</v>
      </c>
      <c r="H916" s="6" t="str" cm="1">
        <f t="array" ref="H916">_xlfn.IFS(
  G916 &lt; 25000, "Low",
  AND(G916 &gt;= 25000, G916 &lt; 75000), "Medium",
  AND(G916 &gt;= 75000, G916 &lt; 150000), "High",
  G916 &gt;= 150000, "Very High"
)</f>
        <v>High</v>
      </c>
      <c r="I916" s="6">
        <v>0</v>
      </c>
      <c r="J916" s="6">
        <v>0</v>
      </c>
      <c r="K916" s="6">
        <f t="shared" si="57"/>
        <v>0</v>
      </c>
      <c r="L916" s="8">
        <v>41246</v>
      </c>
      <c r="M916" t="str">
        <f t="shared" ca="1" si="58"/>
        <v>13 years, 3 months</v>
      </c>
      <c r="N916" s="6">
        <v>29</v>
      </c>
      <c r="O916">
        <v>29</v>
      </c>
      <c r="P916">
        <v>27</v>
      </c>
      <c r="Q916">
        <f t="shared" si="59"/>
        <v>56</v>
      </c>
      <c r="R916">
        <v>7</v>
      </c>
      <c r="S916">
        <v>7</v>
      </c>
      <c r="T916">
        <f>Table[[#This Row],[NumWebPurchases]]+Table[[#This Row],[NumStorePurchases]]</f>
        <v>14</v>
      </c>
    </row>
    <row r="917" spans="1:20" ht="12.5">
      <c r="A917" s="6">
        <v>915</v>
      </c>
      <c r="B917" s="6">
        <v>9308</v>
      </c>
      <c r="C917" s="6">
        <v>1954</v>
      </c>
      <c r="D917" s="6">
        <f t="shared" si="56"/>
        <v>71</v>
      </c>
      <c r="E917" s="7" t="s">
        <v>9</v>
      </c>
      <c r="F917" s="7" t="s">
        <v>13</v>
      </c>
      <c r="G917" s="6">
        <v>62820</v>
      </c>
      <c r="H917" s="6" t="str" cm="1">
        <f t="array" ref="H917">_xlfn.IFS(
  G917 &lt; 25000, "Low",
  AND(G917 &gt;= 25000, G917 &lt; 75000), "Medium",
  AND(G917 &gt;= 75000, G917 &lt; 150000), "High",
  G917 &gt;= 150000, "Very High"
)</f>
        <v>Medium</v>
      </c>
      <c r="I917" s="6">
        <v>0</v>
      </c>
      <c r="J917" s="6">
        <v>0</v>
      </c>
      <c r="K917" s="6">
        <f t="shared" si="57"/>
        <v>0</v>
      </c>
      <c r="L917" s="8">
        <v>41405</v>
      </c>
      <c r="M917" t="str">
        <f t="shared" ca="1" si="58"/>
        <v>12 years, 9 months</v>
      </c>
      <c r="N917" s="6">
        <v>51</v>
      </c>
      <c r="O917">
        <v>61</v>
      </c>
      <c r="P917">
        <v>61</v>
      </c>
      <c r="Q917">
        <f t="shared" si="59"/>
        <v>122</v>
      </c>
      <c r="R917">
        <v>3</v>
      </c>
      <c r="S917">
        <v>6</v>
      </c>
      <c r="T917">
        <f>Table[[#This Row],[NumWebPurchases]]+Table[[#This Row],[NumStorePurchases]]</f>
        <v>9</v>
      </c>
    </row>
    <row r="918" spans="1:20" ht="12.5">
      <c r="A918" s="6">
        <v>916</v>
      </c>
      <c r="B918" s="6">
        <v>10505</v>
      </c>
      <c r="C918" s="6">
        <v>1960</v>
      </c>
      <c r="D918" s="6">
        <f t="shared" si="56"/>
        <v>65</v>
      </c>
      <c r="E918" s="7" t="s">
        <v>14</v>
      </c>
      <c r="F918" s="7" t="s">
        <v>11</v>
      </c>
      <c r="G918" s="6">
        <v>73113</v>
      </c>
      <c r="H918" s="6" t="str" cm="1">
        <f t="array" ref="H918">_xlfn.IFS(
  G918 &lt; 25000, "Low",
  AND(G918 &gt;= 25000, G918 &lt; 75000), "Medium",
  AND(G918 &gt;= 75000, G918 &lt; 150000), "High",
  G918 &gt;= 150000, "Very High"
)</f>
        <v>Medium</v>
      </c>
      <c r="I918" s="6">
        <v>0</v>
      </c>
      <c r="J918" s="6">
        <v>0</v>
      </c>
      <c r="K918" s="6">
        <f t="shared" si="57"/>
        <v>0</v>
      </c>
      <c r="L918" s="9">
        <v>41634</v>
      </c>
      <c r="M918" t="str">
        <f t="shared" ca="1" si="58"/>
        <v>12 years, 2 months</v>
      </c>
      <c r="N918" s="6">
        <v>86</v>
      </c>
      <c r="O918">
        <v>19</v>
      </c>
      <c r="P918">
        <v>9</v>
      </c>
      <c r="Q918">
        <f t="shared" si="59"/>
        <v>28</v>
      </c>
      <c r="R918">
        <v>3</v>
      </c>
      <c r="S918">
        <v>7</v>
      </c>
      <c r="T918">
        <f>Table[[#This Row],[NumWebPurchases]]+Table[[#This Row],[NumStorePurchases]]</f>
        <v>10</v>
      </c>
    </row>
    <row r="919" spans="1:20" ht="12.5">
      <c r="A919" s="6">
        <v>917</v>
      </c>
      <c r="B919" s="6">
        <v>8362</v>
      </c>
      <c r="C919" s="6">
        <v>1982</v>
      </c>
      <c r="D919" s="6">
        <f t="shared" si="56"/>
        <v>43</v>
      </c>
      <c r="E919" s="7" t="s">
        <v>12</v>
      </c>
      <c r="F919" s="7" t="s">
        <v>13</v>
      </c>
      <c r="G919" s="6">
        <v>84169</v>
      </c>
      <c r="H919" s="6" t="str" cm="1">
        <f t="array" ref="H919">_xlfn.IFS(
  G919 &lt; 25000, "Low",
  AND(G919 &gt;= 25000, G919 &lt; 75000), "Medium",
  AND(G919 &gt;= 75000, G919 &lt; 150000), "High",
  G919 &gt;= 150000, "Very High"
)</f>
        <v>High</v>
      </c>
      <c r="I919" s="6">
        <v>0</v>
      </c>
      <c r="J919" s="6">
        <v>0</v>
      </c>
      <c r="K919" s="6">
        <f t="shared" si="57"/>
        <v>0</v>
      </c>
      <c r="L919" s="8">
        <v>41493</v>
      </c>
      <c r="M919" t="str">
        <f t="shared" ca="1" si="58"/>
        <v>12 years, 6 months</v>
      </c>
      <c r="N919" s="6">
        <v>9</v>
      </c>
      <c r="O919">
        <v>19</v>
      </c>
      <c r="P919">
        <v>19</v>
      </c>
      <c r="Q919">
        <f t="shared" si="59"/>
        <v>38</v>
      </c>
      <c r="R919">
        <v>7</v>
      </c>
      <c r="S919">
        <v>6</v>
      </c>
      <c r="T919">
        <f>Table[[#This Row],[NumWebPurchases]]+Table[[#This Row],[NumStorePurchases]]</f>
        <v>13</v>
      </c>
    </row>
    <row r="920" spans="1:20" ht="12.5">
      <c r="A920" s="6">
        <v>918</v>
      </c>
      <c r="B920" s="6">
        <v>2625</v>
      </c>
      <c r="C920" s="6">
        <v>1954</v>
      </c>
      <c r="D920" s="6">
        <f t="shared" si="56"/>
        <v>71</v>
      </c>
      <c r="E920" s="7" t="s">
        <v>17</v>
      </c>
      <c r="F920" s="7" t="s">
        <v>10</v>
      </c>
      <c r="G920" s="6">
        <v>42607</v>
      </c>
      <c r="H920" s="6" t="str" cm="1">
        <f t="array" ref="H920">_xlfn.IFS(
  G920 &lt; 25000, "Low",
  AND(G920 &gt;= 25000, G920 &lt; 75000), "Medium",
  AND(G920 &gt;= 75000, G920 &lt; 150000), "High",
  G920 &gt;= 150000, "Very High"
)</f>
        <v>Medium</v>
      </c>
      <c r="I920" s="6">
        <v>0</v>
      </c>
      <c r="J920" s="6">
        <v>1</v>
      </c>
      <c r="K920" s="6">
        <f t="shared" si="57"/>
        <v>1</v>
      </c>
      <c r="L920" s="9">
        <v>41595</v>
      </c>
      <c r="M920" t="str">
        <f t="shared" ca="1" si="58"/>
        <v>12 years, 3 months</v>
      </c>
      <c r="N920" s="6">
        <v>30</v>
      </c>
      <c r="O920">
        <v>29</v>
      </c>
      <c r="P920">
        <v>32</v>
      </c>
      <c r="Q920">
        <f t="shared" si="59"/>
        <v>61</v>
      </c>
      <c r="R920">
        <v>3</v>
      </c>
      <c r="S920">
        <v>7</v>
      </c>
      <c r="T920">
        <f>Table[[#This Row],[NumWebPurchases]]+Table[[#This Row],[NumStorePurchases]]</f>
        <v>10</v>
      </c>
    </row>
    <row r="921" spans="1:20" ht="12.5">
      <c r="A921" s="6">
        <v>919</v>
      </c>
      <c r="B921" s="6">
        <v>4637</v>
      </c>
      <c r="C921" s="6">
        <v>1954</v>
      </c>
      <c r="D921" s="6">
        <f t="shared" si="56"/>
        <v>71</v>
      </c>
      <c r="E921" s="7" t="s">
        <v>12</v>
      </c>
      <c r="F921" s="7" t="s">
        <v>10</v>
      </c>
      <c r="G921" s="6">
        <v>74637</v>
      </c>
      <c r="H921" s="6" t="str" cm="1">
        <f t="array" ref="H921">_xlfn.IFS(
  G921 &lt; 25000, "Low",
  AND(G921 &gt;= 25000, G921 &lt; 75000), "Medium",
  AND(G921 &gt;= 75000, G921 &lt; 150000), "High",
  G921 &gt;= 150000, "Very High"
)</f>
        <v>Medium</v>
      </c>
      <c r="I921" s="6">
        <v>0</v>
      </c>
      <c r="J921" s="6">
        <v>0</v>
      </c>
      <c r="K921" s="6">
        <f t="shared" si="57"/>
        <v>0</v>
      </c>
      <c r="L921" s="8">
        <v>41412</v>
      </c>
      <c r="M921" t="str">
        <f t="shared" ca="1" si="58"/>
        <v>12 years, 9 months</v>
      </c>
      <c r="N921" s="6">
        <v>73</v>
      </c>
      <c r="O921">
        <v>64</v>
      </c>
      <c r="P921">
        <v>0</v>
      </c>
      <c r="Q921">
        <f t="shared" si="59"/>
        <v>64</v>
      </c>
      <c r="R921">
        <v>6</v>
      </c>
      <c r="S921">
        <v>9</v>
      </c>
      <c r="T921">
        <f>Table[[#This Row],[NumWebPurchases]]+Table[[#This Row],[NumStorePurchases]]</f>
        <v>15</v>
      </c>
    </row>
    <row r="922" spans="1:20" ht="12.5">
      <c r="A922" s="6">
        <v>920</v>
      </c>
      <c r="B922" s="6">
        <v>9972</v>
      </c>
      <c r="C922" s="6">
        <v>1955</v>
      </c>
      <c r="D922" s="6">
        <f t="shared" si="56"/>
        <v>70</v>
      </c>
      <c r="E922" s="7" t="s">
        <v>12</v>
      </c>
      <c r="F922" s="7" t="s">
        <v>11</v>
      </c>
      <c r="G922" s="6">
        <v>46015</v>
      </c>
      <c r="H922" s="6" t="str" cm="1">
        <f t="array" ref="H922">_xlfn.IFS(
  G922 &lt; 25000, "Low",
  AND(G922 &gt;= 25000, G922 &lt; 75000), "Medium",
  AND(G922 &gt;= 75000, G922 &lt; 150000), "High",
  G922 &gt;= 150000, "Very High"
)</f>
        <v>Medium</v>
      </c>
      <c r="I922" s="6">
        <v>1</v>
      </c>
      <c r="J922" s="6">
        <v>1</v>
      </c>
      <c r="K922" s="6">
        <f t="shared" si="57"/>
        <v>2</v>
      </c>
      <c r="L922" s="8">
        <v>41742</v>
      </c>
      <c r="M922" t="str">
        <f t="shared" ca="1" si="58"/>
        <v>11 years, 10 months</v>
      </c>
      <c r="N922" s="6">
        <v>25</v>
      </c>
      <c r="O922">
        <v>0</v>
      </c>
      <c r="P922">
        <v>0</v>
      </c>
      <c r="Q922">
        <f t="shared" si="59"/>
        <v>0</v>
      </c>
      <c r="R922">
        <v>1</v>
      </c>
      <c r="S922">
        <v>3</v>
      </c>
      <c r="T922">
        <f>Table[[#This Row],[NumWebPurchases]]+Table[[#This Row],[NumStorePurchases]]</f>
        <v>4</v>
      </c>
    </row>
    <row r="923" spans="1:20" ht="12.5">
      <c r="A923" s="6">
        <v>921</v>
      </c>
      <c r="B923" s="6">
        <v>4483</v>
      </c>
      <c r="C923" s="6">
        <v>1993</v>
      </c>
      <c r="D923" s="6">
        <f t="shared" si="56"/>
        <v>32</v>
      </c>
      <c r="E923" s="7" t="s">
        <v>9</v>
      </c>
      <c r="F923" s="7" t="s">
        <v>10</v>
      </c>
      <c r="G923" s="6">
        <v>72354</v>
      </c>
      <c r="H923" s="6" t="str" cm="1">
        <f t="array" ref="H923">_xlfn.IFS(
  G923 &lt; 25000, "Low",
  AND(G923 &gt;= 25000, G923 &lt; 75000), "Medium",
  AND(G923 &gt;= 75000, G923 &lt; 150000), "High",
  G923 &gt;= 150000, "Very High"
)</f>
        <v>Medium</v>
      </c>
      <c r="I923" s="6">
        <v>0</v>
      </c>
      <c r="J923" s="6">
        <v>0</v>
      </c>
      <c r="K923" s="6">
        <f t="shared" si="57"/>
        <v>0</v>
      </c>
      <c r="L923" s="8">
        <v>41381</v>
      </c>
      <c r="M923" t="str">
        <f t="shared" ca="1" si="58"/>
        <v>12 years, 10 months</v>
      </c>
      <c r="N923" s="6">
        <v>67</v>
      </c>
      <c r="O923">
        <v>26</v>
      </c>
      <c r="P923">
        <v>12</v>
      </c>
      <c r="Q923">
        <f t="shared" si="59"/>
        <v>38</v>
      </c>
      <c r="R923">
        <v>2</v>
      </c>
      <c r="S923">
        <v>6</v>
      </c>
      <c r="T923">
        <f>Table[[#This Row],[NumWebPurchases]]+Table[[#This Row],[NumStorePurchases]]</f>
        <v>8</v>
      </c>
    </row>
    <row r="924" spans="1:20" ht="12.5">
      <c r="A924" s="6">
        <v>922</v>
      </c>
      <c r="B924" s="6">
        <v>4487</v>
      </c>
      <c r="C924" s="6">
        <v>1969</v>
      </c>
      <c r="D924" s="6">
        <f t="shared" si="56"/>
        <v>56</v>
      </c>
      <c r="E924" s="7" t="s">
        <v>14</v>
      </c>
      <c r="F924" s="7" t="s">
        <v>10</v>
      </c>
      <c r="G924" s="6">
        <v>39858</v>
      </c>
      <c r="H924" s="6" t="str" cm="1">
        <f t="array" ref="H924">_xlfn.IFS(
  G924 &lt; 25000, "Low",
  AND(G924 &gt;= 25000, G924 &lt; 75000), "Medium",
  AND(G924 &gt;= 75000, G924 &lt; 150000), "High",
  G924 &gt;= 150000, "Very High"
)</f>
        <v>Medium</v>
      </c>
      <c r="I924" s="6">
        <v>1</v>
      </c>
      <c r="J924" s="6">
        <v>0</v>
      </c>
      <c r="K924" s="6">
        <f t="shared" si="57"/>
        <v>1</v>
      </c>
      <c r="L924" s="8">
        <v>41298</v>
      </c>
      <c r="M924" t="str">
        <f t="shared" ca="1" si="58"/>
        <v>13 years, 1 months</v>
      </c>
      <c r="N924" s="6">
        <v>67</v>
      </c>
      <c r="O924">
        <v>20</v>
      </c>
      <c r="P924">
        <v>7</v>
      </c>
      <c r="Q924">
        <f t="shared" si="59"/>
        <v>27</v>
      </c>
      <c r="R924">
        <v>2</v>
      </c>
      <c r="S924">
        <v>4</v>
      </c>
      <c r="T924">
        <f>Table[[#This Row],[NumWebPurchases]]+Table[[#This Row],[NumStorePurchases]]</f>
        <v>6</v>
      </c>
    </row>
    <row r="925" spans="1:20" ht="12.5">
      <c r="A925" s="6">
        <v>923</v>
      </c>
      <c r="B925" s="6">
        <v>4988</v>
      </c>
      <c r="C925" s="6">
        <v>1948</v>
      </c>
      <c r="D925" s="6">
        <f t="shared" si="56"/>
        <v>77</v>
      </c>
      <c r="E925" s="7" t="s">
        <v>12</v>
      </c>
      <c r="F925" s="7" t="s">
        <v>13</v>
      </c>
      <c r="G925" s="6">
        <v>34469</v>
      </c>
      <c r="H925" s="6" t="str" cm="1">
        <f t="array" ref="H925">_xlfn.IFS(
  G925 &lt; 25000, "Low",
  AND(G925 &gt;= 25000, G925 &lt; 75000), "Medium",
  AND(G925 &gt;= 75000, G925 &lt; 150000), "High",
  G925 &gt;= 150000, "Very High"
)</f>
        <v>Medium</v>
      </c>
      <c r="I925" s="6">
        <v>1</v>
      </c>
      <c r="J925" s="6">
        <v>1</v>
      </c>
      <c r="K925" s="6">
        <f t="shared" si="57"/>
        <v>2</v>
      </c>
      <c r="L925" s="8">
        <v>41763</v>
      </c>
      <c r="M925" t="str">
        <f t="shared" ca="1" si="58"/>
        <v>11 years, 10 months</v>
      </c>
      <c r="N925" s="6">
        <v>58</v>
      </c>
      <c r="O925">
        <v>6</v>
      </c>
      <c r="P925">
        <v>5</v>
      </c>
      <c r="Q925">
        <f t="shared" si="59"/>
        <v>11</v>
      </c>
      <c r="R925">
        <v>1</v>
      </c>
      <c r="S925">
        <v>4</v>
      </c>
      <c r="T925">
        <f>Table[[#This Row],[NumWebPurchases]]+Table[[#This Row],[NumStorePurchases]]</f>
        <v>5</v>
      </c>
    </row>
    <row r="926" spans="1:20" ht="12.5">
      <c r="A926" s="6">
        <v>924</v>
      </c>
      <c r="B926" s="6">
        <v>8931</v>
      </c>
      <c r="C926" s="6">
        <v>1986</v>
      </c>
      <c r="D926" s="6">
        <f t="shared" si="56"/>
        <v>39</v>
      </c>
      <c r="E926" s="7" t="s">
        <v>9</v>
      </c>
      <c r="F926" s="7" t="s">
        <v>11</v>
      </c>
      <c r="G926" s="6">
        <v>83033</v>
      </c>
      <c r="H926" s="6" t="str" cm="1">
        <f t="array" ref="H926">_xlfn.IFS(
  G926 &lt; 25000, "Low",
  AND(G926 &gt;= 25000, G926 &lt; 75000), "Medium",
  AND(G926 &gt;= 75000, G926 &lt; 150000), "High",
  G926 &gt;= 150000, "Very High"
)</f>
        <v>High</v>
      </c>
      <c r="I926" s="6">
        <v>1</v>
      </c>
      <c r="J926" s="6">
        <v>0</v>
      </c>
      <c r="K926" s="6">
        <f t="shared" si="57"/>
        <v>1</v>
      </c>
      <c r="L926" s="8">
        <v>41777</v>
      </c>
      <c r="M926" t="str">
        <f t="shared" ca="1" si="58"/>
        <v>11 years, 9 months</v>
      </c>
      <c r="N926" s="6">
        <v>82</v>
      </c>
      <c r="O926">
        <v>99</v>
      </c>
      <c r="P926">
        <v>149</v>
      </c>
      <c r="Q926">
        <f t="shared" si="59"/>
        <v>248</v>
      </c>
      <c r="R926">
        <v>11</v>
      </c>
      <c r="S926">
        <v>10</v>
      </c>
      <c r="T926">
        <f>Table[[#This Row],[NumWebPurchases]]+Table[[#This Row],[NumStorePurchases]]</f>
        <v>21</v>
      </c>
    </row>
    <row r="927" spans="1:20" ht="12.5">
      <c r="A927" s="6">
        <v>925</v>
      </c>
      <c r="B927" s="6">
        <v>5871</v>
      </c>
      <c r="C927" s="6">
        <v>1979</v>
      </c>
      <c r="D927" s="6">
        <f t="shared" si="56"/>
        <v>46</v>
      </c>
      <c r="E927" s="7" t="s">
        <v>14</v>
      </c>
      <c r="F927" s="7" t="s">
        <v>11</v>
      </c>
      <c r="G927" s="6">
        <v>24401</v>
      </c>
      <c r="H927" s="6" t="str" cm="1">
        <f t="array" ref="H927">_xlfn.IFS(
  G927 &lt; 25000, "Low",
  AND(G927 &gt;= 25000, G927 &lt; 75000), "Medium",
  AND(G927 &gt;= 75000, G927 &lt; 150000), "High",
  G927 &gt;= 150000, "Very High"
)</f>
        <v>Low</v>
      </c>
      <c r="I927" s="6">
        <v>0</v>
      </c>
      <c r="J927" s="6">
        <v>0</v>
      </c>
      <c r="K927" s="6">
        <f t="shared" si="57"/>
        <v>0</v>
      </c>
      <c r="L927" s="8">
        <v>41152</v>
      </c>
      <c r="M927" t="str">
        <f t="shared" ca="1" si="58"/>
        <v>13 years, 6 months</v>
      </c>
      <c r="N927" s="6">
        <v>98</v>
      </c>
      <c r="O927">
        <v>28</v>
      </c>
      <c r="P927">
        <v>24</v>
      </c>
      <c r="Q927">
        <f t="shared" si="59"/>
        <v>52</v>
      </c>
      <c r="R927">
        <v>6</v>
      </c>
      <c r="S927">
        <v>6</v>
      </c>
      <c r="T927">
        <f>Table[[#This Row],[NumWebPurchases]]+Table[[#This Row],[NumStorePurchases]]</f>
        <v>12</v>
      </c>
    </row>
    <row r="928" spans="1:20" ht="12.5">
      <c r="A928" s="6">
        <v>926</v>
      </c>
      <c r="B928" s="6">
        <v>2008</v>
      </c>
      <c r="C928" s="6">
        <v>1978</v>
      </c>
      <c r="D928" s="6">
        <f t="shared" si="56"/>
        <v>47</v>
      </c>
      <c r="E928" s="7" t="s">
        <v>9</v>
      </c>
      <c r="F928" s="7" t="s">
        <v>13</v>
      </c>
      <c r="G928" s="6">
        <v>77583</v>
      </c>
      <c r="H928" s="6" t="str" cm="1">
        <f t="array" ref="H928">_xlfn.IFS(
  G928 &lt; 25000, "Low",
  AND(G928 &gt;= 25000, G928 &lt; 75000), "Medium",
  AND(G928 &gt;= 75000, G928 &lt; 150000), "High",
  G928 &gt;= 150000, "Very High"
)</f>
        <v>High</v>
      </c>
      <c r="I928" s="6">
        <v>0</v>
      </c>
      <c r="J928" s="6">
        <v>0</v>
      </c>
      <c r="K928" s="6">
        <f t="shared" si="57"/>
        <v>0</v>
      </c>
      <c r="L928" s="8">
        <v>41680</v>
      </c>
      <c r="M928" t="str">
        <f t="shared" ca="1" si="58"/>
        <v>12 years, 0 months</v>
      </c>
      <c r="N928" s="6">
        <v>93</v>
      </c>
      <c r="O928">
        <v>23</v>
      </c>
      <c r="P928">
        <v>12</v>
      </c>
      <c r="Q928">
        <f t="shared" si="59"/>
        <v>35</v>
      </c>
      <c r="R928">
        <v>4</v>
      </c>
      <c r="S928">
        <v>9</v>
      </c>
      <c r="T928">
        <f>Table[[#This Row],[NumWebPurchases]]+Table[[#This Row],[NumStorePurchases]]</f>
        <v>13</v>
      </c>
    </row>
    <row r="929" spans="1:20" ht="12.5">
      <c r="A929" s="6">
        <v>927</v>
      </c>
      <c r="B929" s="6">
        <v>3139</v>
      </c>
      <c r="C929" s="6">
        <v>1982</v>
      </c>
      <c r="D929" s="6">
        <f t="shared" si="56"/>
        <v>43</v>
      </c>
      <c r="E929" s="7" t="s">
        <v>17</v>
      </c>
      <c r="F929" s="7" t="s">
        <v>10</v>
      </c>
      <c r="G929" s="6">
        <v>74116</v>
      </c>
      <c r="H929" s="6" t="str" cm="1">
        <f t="array" ref="H929">_xlfn.IFS(
  G929 &lt; 25000, "Low",
  AND(G929 &gt;= 25000, G929 &lt; 75000), "Medium",
  AND(G929 &gt;= 75000, G929 &lt; 150000), "High",
  G929 &gt;= 150000, "Very High"
)</f>
        <v>Medium</v>
      </c>
      <c r="I929" s="6">
        <v>0</v>
      </c>
      <c r="J929" s="6">
        <v>0</v>
      </c>
      <c r="K929" s="6">
        <f t="shared" si="57"/>
        <v>0</v>
      </c>
      <c r="L929" s="9">
        <v>41638</v>
      </c>
      <c r="M929" t="str">
        <f t="shared" ca="1" si="58"/>
        <v>12 years, 2 months</v>
      </c>
      <c r="N929" s="6">
        <v>53</v>
      </c>
      <c r="O929">
        <v>111</v>
      </c>
      <c r="P929">
        <v>55</v>
      </c>
      <c r="Q929">
        <f t="shared" si="59"/>
        <v>166</v>
      </c>
      <c r="R929">
        <v>4</v>
      </c>
      <c r="S929">
        <v>10</v>
      </c>
      <c r="T929">
        <f>Table[[#This Row],[NumWebPurchases]]+Table[[#This Row],[NumStorePurchases]]</f>
        <v>14</v>
      </c>
    </row>
    <row r="930" spans="1:20" ht="12.5">
      <c r="A930" s="6">
        <v>928</v>
      </c>
      <c r="B930" s="6">
        <v>10037</v>
      </c>
      <c r="C930" s="6">
        <v>1993</v>
      </c>
      <c r="D930" s="6">
        <f t="shared" si="56"/>
        <v>32</v>
      </c>
      <c r="E930" s="7" t="s">
        <v>9</v>
      </c>
      <c r="F930" s="7" t="s">
        <v>10</v>
      </c>
      <c r="G930" s="6">
        <v>74293</v>
      </c>
      <c r="H930" s="6" t="str" cm="1">
        <f t="array" ref="H930">_xlfn.IFS(
  G930 &lt; 25000, "Low",
  AND(G930 &gt;= 25000, G930 &lt; 75000), "Medium",
  AND(G930 &gt;= 75000, G930 &lt; 150000), "High",
  G930 &gt;= 150000, "Very High"
)</f>
        <v>Medium</v>
      </c>
      <c r="I930" s="6">
        <v>0</v>
      </c>
      <c r="J930" s="6">
        <v>0</v>
      </c>
      <c r="K930" s="6">
        <f t="shared" si="57"/>
        <v>0</v>
      </c>
      <c r="L930" s="8">
        <v>41763</v>
      </c>
      <c r="M930" t="str">
        <f t="shared" ca="1" si="58"/>
        <v>11 years, 10 months</v>
      </c>
      <c r="N930" s="6">
        <v>66</v>
      </c>
      <c r="O930">
        <v>152</v>
      </c>
      <c r="P930">
        <v>91</v>
      </c>
      <c r="Q930">
        <f t="shared" si="59"/>
        <v>243</v>
      </c>
      <c r="R930">
        <v>5</v>
      </c>
      <c r="S930">
        <v>6</v>
      </c>
      <c r="T930">
        <f>Table[[#This Row],[NumWebPurchases]]+Table[[#This Row],[NumStorePurchases]]</f>
        <v>11</v>
      </c>
    </row>
    <row r="931" spans="1:20" ht="12.5">
      <c r="A931" s="6">
        <v>929</v>
      </c>
      <c r="B931" s="6">
        <v>10673</v>
      </c>
      <c r="C931" s="6">
        <v>1976</v>
      </c>
      <c r="D931" s="6">
        <f t="shared" si="56"/>
        <v>49</v>
      </c>
      <c r="E931" s="7" t="s">
        <v>12</v>
      </c>
      <c r="F931" s="7" t="s">
        <v>13</v>
      </c>
      <c r="G931" s="6">
        <v>68397</v>
      </c>
      <c r="H931" s="6" t="str" cm="1">
        <f t="array" ref="H931">_xlfn.IFS(
  G931 &lt; 25000, "Low",
  AND(G931 &gt;= 25000, G931 &lt; 75000), "Medium",
  AND(G931 &gt;= 75000, G931 &lt; 150000), "High",
  G931 &gt;= 150000, "Very High"
)</f>
        <v>Medium</v>
      </c>
      <c r="I931" s="6">
        <v>0</v>
      </c>
      <c r="J931" s="6">
        <v>1</v>
      </c>
      <c r="K931" s="6">
        <f t="shared" si="57"/>
        <v>1</v>
      </c>
      <c r="L931" s="9">
        <v>41595</v>
      </c>
      <c r="M931" t="str">
        <f t="shared" ca="1" si="58"/>
        <v>12 years, 3 months</v>
      </c>
      <c r="N931" s="6">
        <v>6</v>
      </c>
      <c r="O931">
        <v>80</v>
      </c>
      <c r="P931">
        <v>13</v>
      </c>
      <c r="Q931">
        <f t="shared" si="59"/>
        <v>93</v>
      </c>
      <c r="R931">
        <v>6</v>
      </c>
      <c r="S931">
        <v>5</v>
      </c>
      <c r="T931">
        <f>Table[[#This Row],[NumWebPurchases]]+Table[[#This Row],[NumStorePurchases]]</f>
        <v>11</v>
      </c>
    </row>
    <row r="932" spans="1:20" ht="12.5">
      <c r="A932" s="6">
        <v>930</v>
      </c>
      <c r="B932" s="6">
        <v>5303</v>
      </c>
      <c r="C932" s="6">
        <v>1974</v>
      </c>
      <c r="D932" s="6">
        <f t="shared" si="56"/>
        <v>51</v>
      </c>
      <c r="E932" s="7" t="s">
        <v>12</v>
      </c>
      <c r="F932" s="7" t="s">
        <v>11</v>
      </c>
      <c r="G932" s="6">
        <v>79632</v>
      </c>
      <c r="H932" s="6" t="str" cm="1">
        <f t="array" ref="H932">_xlfn.IFS(
  G932 &lt; 25000, "Low",
  AND(G932 &gt;= 25000, G932 &lt; 75000), "Medium",
  AND(G932 &gt;= 75000, G932 &lt; 150000), "High",
  G932 &gt;= 150000, "Very High"
)</f>
        <v>High</v>
      </c>
      <c r="I932" s="6">
        <v>0</v>
      </c>
      <c r="J932" s="6">
        <v>0</v>
      </c>
      <c r="K932" s="6">
        <f t="shared" si="57"/>
        <v>0</v>
      </c>
      <c r="L932" s="8">
        <v>41737</v>
      </c>
      <c r="M932" t="str">
        <f t="shared" ca="1" si="58"/>
        <v>11 years, 10 months</v>
      </c>
      <c r="N932" s="6">
        <v>42</v>
      </c>
      <c r="O932">
        <v>0</v>
      </c>
      <c r="P932">
        <v>21</v>
      </c>
      <c r="Q932">
        <f t="shared" si="59"/>
        <v>21</v>
      </c>
      <c r="R932">
        <v>6</v>
      </c>
      <c r="S932">
        <v>9</v>
      </c>
      <c r="T932">
        <f>Table[[#This Row],[NumWebPurchases]]+Table[[#This Row],[NumStorePurchases]]</f>
        <v>15</v>
      </c>
    </row>
    <row r="933" spans="1:20" ht="12.5">
      <c r="A933" s="6">
        <v>931</v>
      </c>
      <c r="B933" s="6">
        <v>538</v>
      </c>
      <c r="C933" s="6">
        <v>1989</v>
      </c>
      <c r="D933" s="6">
        <f t="shared" si="56"/>
        <v>36</v>
      </c>
      <c r="E933" s="7" t="s">
        <v>9</v>
      </c>
      <c r="F933" s="7" t="s">
        <v>10</v>
      </c>
      <c r="G933" s="6">
        <v>46107</v>
      </c>
      <c r="H933" s="6" t="str" cm="1">
        <f t="array" ref="H933">_xlfn.IFS(
  G933 &lt; 25000, "Low",
  AND(G933 &gt;= 25000, G933 &lt; 75000), "Medium",
  AND(G933 &gt;= 75000, G933 &lt; 150000), "High",
  G933 &gt;= 150000, "Very High"
)</f>
        <v>Medium</v>
      </c>
      <c r="I933" s="6">
        <v>1</v>
      </c>
      <c r="J933" s="6">
        <v>0</v>
      </c>
      <c r="K933" s="6">
        <f t="shared" si="57"/>
        <v>1</v>
      </c>
      <c r="L933" s="8">
        <v>41680</v>
      </c>
      <c r="M933" t="str">
        <f t="shared" ca="1" si="58"/>
        <v>12 years, 0 months</v>
      </c>
      <c r="N933" s="6">
        <v>78</v>
      </c>
      <c r="O933">
        <v>9</v>
      </c>
      <c r="P933">
        <v>9</v>
      </c>
      <c r="Q933">
        <f t="shared" si="59"/>
        <v>18</v>
      </c>
      <c r="R933">
        <v>1</v>
      </c>
      <c r="S933">
        <v>4</v>
      </c>
      <c r="T933">
        <f>Table[[#This Row],[NumWebPurchases]]+Table[[#This Row],[NumStorePurchases]]</f>
        <v>5</v>
      </c>
    </row>
    <row r="934" spans="1:20" ht="12.5">
      <c r="A934" s="6">
        <v>932</v>
      </c>
      <c r="B934" s="6">
        <v>7922</v>
      </c>
      <c r="C934" s="6">
        <v>1951</v>
      </c>
      <c r="D934" s="6">
        <f t="shared" si="56"/>
        <v>74</v>
      </c>
      <c r="E934" s="7" t="s">
        <v>12</v>
      </c>
      <c r="F934" s="7" t="s">
        <v>10</v>
      </c>
      <c r="G934" s="6">
        <v>64950</v>
      </c>
      <c r="H934" s="6" t="str" cm="1">
        <f t="array" ref="H934">_xlfn.IFS(
  G934 &lt; 25000, "Low",
  AND(G934 &gt;= 25000, G934 &lt; 75000), "Medium",
  AND(G934 &gt;= 75000, G934 &lt; 150000), "High",
  G934 &gt;= 150000, "Very High"
)</f>
        <v>Medium</v>
      </c>
      <c r="I934" s="6">
        <v>0</v>
      </c>
      <c r="J934" s="6">
        <v>1</v>
      </c>
      <c r="K934" s="6">
        <f t="shared" si="57"/>
        <v>1</v>
      </c>
      <c r="L934" s="8">
        <v>41133</v>
      </c>
      <c r="M934" t="str">
        <f t="shared" ca="1" si="58"/>
        <v>13 years, 6 months</v>
      </c>
      <c r="N934" s="6">
        <v>29</v>
      </c>
      <c r="O934">
        <v>0</v>
      </c>
      <c r="P934">
        <v>0</v>
      </c>
      <c r="Q934">
        <f t="shared" si="59"/>
        <v>0</v>
      </c>
      <c r="R934">
        <v>11</v>
      </c>
      <c r="S934">
        <v>10</v>
      </c>
      <c r="T934">
        <f>Table[[#This Row],[NumWebPurchases]]+Table[[#This Row],[NumStorePurchases]]</f>
        <v>21</v>
      </c>
    </row>
    <row r="935" spans="1:20" ht="12.5">
      <c r="A935" s="6">
        <v>933</v>
      </c>
      <c r="B935" s="6">
        <v>5692</v>
      </c>
      <c r="C935" s="6">
        <v>1989</v>
      </c>
      <c r="D935" s="6">
        <f t="shared" si="56"/>
        <v>36</v>
      </c>
      <c r="E935" s="7" t="s">
        <v>16</v>
      </c>
      <c r="F935" s="7" t="s">
        <v>13</v>
      </c>
      <c r="G935" s="6">
        <v>25443</v>
      </c>
      <c r="H935" s="6" t="str" cm="1">
        <f t="array" ref="H935">_xlfn.IFS(
  G935 &lt; 25000, "Low",
  AND(G935 &gt;= 25000, G935 &lt; 75000), "Medium",
  AND(G935 &gt;= 75000, G935 &lt; 150000), "High",
  G935 &gt;= 150000, "Very High"
)</f>
        <v>Medium</v>
      </c>
      <c r="I935" s="6">
        <v>1</v>
      </c>
      <c r="J935" s="6">
        <v>0</v>
      </c>
      <c r="K935" s="6">
        <f t="shared" si="57"/>
        <v>1</v>
      </c>
      <c r="L935" s="9">
        <v>41265</v>
      </c>
      <c r="M935" t="str">
        <f t="shared" ca="1" si="58"/>
        <v>13 years, 2 months</v>
      </c>
      <c r="N935" s="6">
        <v>82</v>
      </c>
      <c r="O935">
        <v>4</v>
      </c>
      <c r="P935">
        <v>9</v>
      </c>
      <c r="Q935">
        <f t="shared" si="59"/>
        <v>13</v>
      </c>
      <c r="R935">
        <v>1</v>
      </c>
      <c r="S935">
        <v>3</v>
      </c>
      <c r="T935">
        <f>Table[[#This Row],[NumWebPurchases]]+Table[[#This Row],[NumStorePurchases]]</f>
        <v>4</v>
      </c>
    </row>
    <row r="936" spans="1:20" ht="12.5">
      <c r="A936" s="6">
        <v>934</v>
      </c>
      <c r="B936" s="6">
        <v>4843</v>
      </c>
      <c r="C936" s="6">
        <v>1952</v>
      </c>
      <c r="D936" s="6">
        <f t="shared" si="56"/>
        <v>73</v>
      </c>
      <c r="E936" s="7" t="s">
        <v>9</v>
      </c>
      <c r="F936" s="7" t="s">
        <v>10</v>
      </c>
      <c r="G936" s="6">
        <v>75127</v>
      </c>
      <c r="H936" s="6" t="str" cm="1">
        <f t="array" ref="H936">_xlfn.IFS(
  G936 &lt; 25000, "Low",
  AND(G936 &gt;= 25000, G936 &lt; 75000), "Medium",
  AND(G936 &gt;= 75000, G936 &lt; 150000), "High",
  G936 &gt;= 150000, "Very High"
)</f>
        <v>High</v>
      </c>
      <c r="I936" s="6">
        <v>0</v>
      </c>
      <c r="J936" s="6">
        <v>0</v>
      </c>
      <c r="K936" s="6">
        <f t="shared" si="57"/>
        <v>0</v>
      </c>
      <c r="L936" s="8">
        <v>41781</v>
      </c>
      <c r="M936" t="str">
        <f t="shared" ca="1" si="58"/>
        <v>11 years, 9 months</v>
      </c>
      <c r="N936" s="6">
        <v>92</v>
      </c>
      <c r="O936">
        <v>35</v>
      </c>
      <c r="P936">
        <v>17</v>
      </c>
      <c r="Q936">
        <f t="shared" si="59"/>
        <v>52</v>
      </c>
      <c r="R936">
        <v>2</v>
      </c>
      <c r="S936">
        <v>5</v>
      </c>
      <c r="T936">
        <f>Table[[#This Row],[NumWebPurchases]]+Table[[#This Row],[NumStorePurchases]]</f>
        <v>7</v>
      </c>
    </row>
    <row r="937" spans="1:20" ht="12.5">
      <c r="A937" s="6">
        <v>935</v>
      </c>
      <c r="B937" s="6">
        <v>6383</v>
      </c>
      <c r="C937" s="6">
        <v>1971</v>
      </c>
      <c r="D937" s="6">
        <f t="shared" si="56"/>
        <v>54</v>
      </c>
      <c r="E937" s="7" t="s">
        <v>12</v>
      </c>
      <c r="F937" s="7" t="s">
        <v>11</v>
      </c>
      <c r="G937" s="6">
        <v>32892</v>
      </c>
      <c r="H937" s="6" t="str" cm="1">
        <f t="array" ref="H937">_xlfn.IFS(
  G937 &lt; 25000, "Low",
  AND(G937 &gt;= 25000, G937 &lt; 75000), "Medium",
  AND(G937 &gt;= 75000, G937 &lt; 150000), "High",
  G937 &gt;= 150000, "Very High"
)</f>
        <v>Medium</v>
      </c>
      <c r="I937" s="6">
        <v>1</v>
      </c>
      <c r="J937" s="6">
        <v>0</v>
      </c>
      <c r="K937" s="6">
        <f t="shared" si="57"/>
        <v>1</v>
      </c>
      <c r="L937" s="8">
        <v>41784</v>
      </c>
      <c r="M937" t="str">
        <f t="shared" ca="1" si="58"/>
        <v>11 years, 9 months</v>
      </c>
      <c r="N937" s="6">
        <v>78</v>
      </c>
      <c r="O937">
        <v>0</v>
      </c>
      <c r="P937">
        <v>1</v>
      </c>
      <c r="Q937">
        <f t="shared" si="59"/>
        <v>1</v>
      </c>
      <c r="R937">
        <v>3</v>
      </c>
      <c r="S937">
        <v>3</v>
      </c>
      <c r="T937">
        <f>Table[[#This Row],[NumWebPurchases]]+Table[[#This Row],[NumStorePurchases]]</f>
        <v>6</v>
      </c>
    </row>
    <row r="938" spans="1:20" ht="12.5">
      <c r="A938" s="6">
        <v>936</v>
      </c>
      <c r="B938" s="6">
        <v>1628</v>
      </c>
      <c r="C938" s="6">
        <v>1971</v>
      </c>
      <c r="D938" s="6">
        <f t="shared" si="56"/>
        <v>54</v>
      </c>
      <c r="E938" s="7" t="s">
        <v>9</v>
      </c>
      <c r="F938" s="7" t="s">
        <v>11</v>
      </c>
      <c r="G938" s="6">
        <v>71796</v>
      </c>
      <c r="H938" s="6" t="str" cm="1">
        <f t="array" ref="H938">_xlfn.IFS(
  G938 &lt; 25000, "Low",
  AND(G938 &gt;= 25000, G938 &lt; 75000), "Medium",
  AND(G938 &gt;= 75000, G938 &lt; 150000), "High",
  G938 &gt;= 150000, "Very High"
)</f>
        <v>Medium</v>
      </c>
      <c r="I938" s="6">
        <v>0</v>
      </c>
      <c r="J938" s="6">
        <v>0</v>
      </c>
      <c r="K938" s="6">
        <f t="shared" si="57"/>
        <v>0</v>
      </c>
      <c r="L938" s="9">
        <v>41571</v>
      </c>
      <c r="M938" t="str">
        <f t="shared" ca="1" si="58"/>
        <v>12 years, 4 months</v>
      </c>
      <c r="N938" s="6">
        <v>54</v>
      </c>
      <c r="O938">
        <v>21</v>
      </c>
      <c r="P938">
        <v>75</v>
      </c>
      <c r="Q938">
        <f t="shared" si="59"/>
        <v>96</v>
      </c>
      <c r="R938">
        <v>9</v>
      </c>
      <c r="S938">
        <v>4</v>
      </c>
      <c r="T938">
        <f>Table[[#This Row],[NumWebPurchases]]+Table[[#This Row],[NumStorePurchases]]</f>
        <v>13</v>
      </c>
    </row>
    <row r="939" spans="1:20" ht="12.5">
      <c r="A939" s="6">
        <v>937</v>
      </c>
      <c r="B939" s="6">
        <v>1204</v>
      </c>
      <c r="C939" s="6">
        <v>1970</v>
      </c>
      <c r="D939" s="6">
        <f t="shared" si="56"/>
        <v>55</v>
      </c>
      <c r="E939" s="7" t="s">
        <v>12</v>
      </c>
      <c r="F939" s="7" t="s">
        <v>13</v>
      </c>
      <c r="G939" s="6">
        <v>67536</v>
      </c>
      <c r="H939" s="6" t="str" cm="1">
        <f t="array" ref="H939">_xlfn.IFS(
  G939 &lt; 25000, "Low",
  AND(G939 &gt;= 25000, G939 &lt; 75000), "Medium",
  AND(G939 &gt;= 75000, G939 &lt; 150000), "High",
  G939 &gt;= 150000, "Very High"
)</f>
        <v>Medium</v>
      </c>
      <c r="I939" s="6">
        <v>0</v>
      </c>
      <c r="J939" s="6">
        <v>1</v>
      </c>
      <c r="K939" s="6">
        <f t="shared" si="57"/>
        <v>1</v>
      </c>
      <c r="L939" s="8">
        <v>41416</v>
      </c>
      <c r="M939" t="str">
        <f t="shared" ca="1" si="58"/>
        <v>12 years, 9 months</v>
      </c>
      <c r="N939" s="6">
        <v>45</v>
      </c>
      <c r="O939">
        <v>0</v>
      </c>
      <c r="P939">
        <v>71</v>
      </c>
      <c r="Q939">
        <f t="shared" si="59"/>
        <v>71</v>
      </c>
      <c r="R939">
        <v>11</v>
      </c>
      <c r="S939">
        <v>11</v>
      </c>
      <c r="T939">
        <f>Table[[#This Row],[NumWebPurchases]]+Table[[#This Row],[NumStorePurchases]]</f>
        <v>22</v>
      </c>
    </row>
    <row r="940" spans="1:20" ht="12.5">
      <c r="A940" s="6">
        <v>938</v>
      </c>
      <c r="B940" s="6">
        <v>3673</v>
      </c>
      <c r="C940" s="6">
        <v>1971</v>
      </c>
      <c r="D940" s="6">
        <f t="shared" si="56"/>
        <v>54</v>
      </c>
      <c r="E940" s="7" t="s">
        <v>9</v>
      </c>
      <c r="F940" s="7" t="s">
        <v>10</v>
      </c>
      <c r="G940" s="6">
        <v>55239</v>
      </c>
      <c r="H940" s="6" t="str" cm="1">
        <f t="array" ref="H940">_xlfn.IFS(
  G940 &lt; 25000, "Low",
  AND(G940 &gt;= 25000, G940 &lt; 75000), "Medium",
  AND(G940 &gt;= 75000, G940 &lt; 150000), "High",
  G940 &gt;= 150000, "Very High"
)</f>
        <v>Medium</v>
      </c>
      <c r="I940" s="6">
        <v>0</v>
      </c>
      <c r="J940" s="6">
        <v>1</v>
      </c>
      <c r="K940" s="6">
        <f t="shared" si="57"/>
        <v>1</v>
      </c>
      <c r="L940" s="8">
        <v>41469</v>
      </c>
      <c r="M940" t="str">
        <f t="shared" ca="1" si="58"/>
        <v>12 years, 7 months</v>
      </c>
      <c r="N940" s="6">
        <v>59</v>
      </c>
      <c r="O940">
        <v>17</v>
      </c>
      <c r="P940">
        <v>24</v>
      </c>
      <c r="Q940">
        <f t="shared" si="59"/>
        <v>41</v>
      </c>
      <c r="R940">
        <v>7</v>
      </c>
      <c r="S940">
        <v>11</v>
      </c>
      <c r="T940">
        <f>Table[[#This Row],[NumWebPurchases]]+Table[[#This Row],[NumStorePurchases]]</f>
        <v>18</v>
      </c>
    </row>
    <row r="941" spans="1:20" ht="12.5">
      <c r="A941" s="6">
        <v>939</v>
      </c>
      <c r="B941" s="6">
        <v>760</v>
      </c>
      <c r="C941" s="6">
        <v>1975</v>
      </c>
      <c r="D941" s="6">
        <f t="shared" si="56"/>
        <v>50</v>
      </c>
      <c r="E941" s="7" t="s">
        <v>12</v>
      </c>
      <c r="F941" s="7" t="s">
        <v>15</v>
      </c>
      <c r="G941" s="6">
        <v>60554</v>
      </c>
      <c r="H941" s="6" t="str" cm="1">
        <f t="array" ref="H941">_xlfn.IFS(
  G941 &lt; 25000, "Low",
  AND(G941 &gt;= 25000, G941 &lt; 75000), "Medium",
  AND(G941 &gt;= 75000, G941 &lt; 150000), "High",
  G941 &gt;= 150000, "Very High"
)</f>
        <v>Medium</v>
      </c>
      <c r="I941" s="6">
        <v>1</v>
      </c>
      <c r="J941" s="6">
        <v>0</v>
      </c>
      <c r="K941" s="6">
        <f t="shared" si="57"/>
        <v>1</v>
      </c>
      <c r="L941" s="8">
        <v>41495</v>
      </c>
      <c r="M941" t="str">
        <f t="shared" ca="1" si="58"/>
        <v>12 years, 6 months</v>
      </c>
      <c r="N941" s="6">
        <v>8</v>
      </c>
      <c r="O941">
        <v>7</v>
      </c>
      <c r="P941">
        <v>15</v>
      </c>
      <c r="Q941">
        <f t="shared" si="59"/>
        <v>22</v>
      </c>
      <c r="R941">
        <v>8</v>
      </c>
      <c r="S941">
        <v>9</v>
      </c>
      <c r="T941">
        <f>Table[[#This Row],[NumWebPurchases]]+Table[[#This Row],[NumStorePurchases]]</f>
        <v>17</v>
      </c>
    </row>
    <row r="942" spans="1:20" ht="12.5">
      <c r="A942" s="6">
        <v>940</v>
      </c>
      <c r="B942" s="6">
        <v>8957</v>
      </c>
      <c r="C942" s="6">
        <v>1952</v>
      </c>
      <c r="D942" s="6">
        <f t="shared" si="56"/>
        <v>73</v>
      </c>
      <c r="E942" s="7" t="s">
        <v>17</v>
      </c>
      <c r="F942" s="7" t="s">
        <v>10</v>
      </c>
      <c r="G942" s="6">
        <v>64831</v>
      </c>
      <c r="H942" s="6" t="str" cm="1">
        <f t="array" ref="H942">_xlfn.IFS(
  G942 &lt; 25000, "Low",
  AND(G942 &gt;= 25000, G942 &lt; 75000), "Medium",
  AND(G942 &gt;= 75000, G942 &lt; 150000), "High",
  G942 &gt;= 150000, "Very High"
)</f>
        <v>Medium</v>
      </c>
      <c r="I942" s="6">
        <v>1</v>
      </c>
      <c r="J942" s="6">
        <v>1</v>
      </c>
      <c r="K942" s="6">
        <f t="shared" si="57"/>
        <v>2</v>
      </c>
      <c r="L942" s="8">
        <v>41435</v>
      </c>
      <c r="M942" t="str">
        <f t="shared" ca="1" si="58"/>
        <v>12 years, 8 months</v>
      </c>
      <c r="N942" s="6">
        <v>51</v>
      </c>
      <c r="O942">
        <v>86</v>
      </c>
      <c r="P942">
        <v>86</v>
      </c>
      <c r="Q942">
        <f t="shared" si="59"/>
        <v>172</v>
      </c>
      <c r="R942">
        <v>6</v>
      </c>
      <c r="S942">
        <v>5</v>
      </c>
      <c r="T942">
        <f>Table[[#This Row],[NumWebPurchases]]+Table[[#This Row],[NumStorePurchases]]</f>
        <v>11</v>
      </c>
    </row>
    <row r="943" spans="1:20" ht="12.5">
      <c r="A943" s="6">
        <v>941</v>
      </c>
      <c r="B943" s="6">
        <v>4128</v>
      </c>
      <c r="C943" s="6">
        <v>1962</v>
      </c>
      <c r="D943" s="6">
        <f t="shared" si="56"/>
        <v>63</v>
      </c>
      <c r="E943" s="7" t="s">
        <v>12</v>
      </c>
      <c r="F943" s="7" t="s">
        <v>11</v>
      </c>
      <c r="G943" s="6">
        <v>56067</v>
      </c>
      <c r="H943" s="6" t="str" cm="1">
        <f t="array" ref="H943">_xlfn.IFS(
  G943 &lt; 25000, "Low",
  AND(G943 &gt;= 25000, G943 &lt; 75000), "Medium",
  AND(G943 &gt;= 75000, G943 &lt; 150000), "High",
  G943 &gt;= 150000, "Very High"
)</f>
        <v>Medium</v>
      </c>
      <c r="I943" s="6">
        <v>0</v>
      </c>
      <c r="J943" s="6">
        <v>1</v>
      </c>
      <c r="K943" s="6">
        <f t="shared" si="57"/>
        <v>1</v>
      </c>
      <c r="L943" s="8">
        <v>41475</v>
      </c>
      <c r="M943" t="str">
        <f t="shared" ca="1" si="58"/>
        <v>12 years, 7 months</v>
      </c>
      <c r="N943" s="6">
        <v>51</v>
      </c>
      <c r="O943">
        <v>12</v>
      </c>
      <c r="P943">
        <v>6</v>
      </c>
      <c r="Q943">
        <f t="shared" si="59"/>
        <v>18</v>
      </c>
      <c r="R943">
        <v>7</v>
      </c>
      <c r="S943">
        <v>7</v>
      </c>
      <c r="T943">
        <f>Table[[#This Row],[NumWebPurchases]]+Table[[#This Row],[NumStorePurchases]]</f>
        <v>14</v>
      </c>
    </row>
    <row r="944" spans="1:20" ht="12.5">
      <c r="A944" s="6">
        <v>942</v>
      </c>
      <c r="B944" s="6">
        <v>6810</v>
      </c>
      <c r="C944" s="6">
        <v>1983</v>
      </c>
      <c r="D944" s="6">
        <f t="shared" si="56"/>
        <v>42</v>
      </c>
      <c r="E944" s="7" t="s">
        <v>9</v>
      </c>
      <c r="F944" s="7" t="s">
        <v>15</v>
      </c>
      <c r="G944" s="6">
        <v>82025</v>
      </c>
      <c r="H944" s="6" t="str" cm="1">
        <f t="array" ref="H944">_xlfn.IFS(
  G944 &lt; 25000, "Low",
  AND(G944 &gt;= 25000, G944 &lt; 75000), "Medium",
  AND(G944 &gt;= 75000, G944 &lt; 150000), "High",
  G944 &gt;= 150000, "Very High"
)</f>
        <v>High</v>
      </c>
      <c r="I944" s="6">
        <v>0</v>
      </c>
      <c r="J944" s="6">
        <v>0</v>
      </c>
      <c r="K944" s="6">
        <f t="shared" si="57"/>
        <v>0</v>
      </c>
      <c r="L944" s="8">
        <v>41422</v>
      </c>
      <c r="M944" t="str">
        <f t="shared" ca="1" si="58"/>
        <v>12 years, 9 months</v>
      </c>
      <c r="N944" s="6">
        <v>76</v>
      </c>
      <c r="O944">
        <v>98</v>
      </c>
      <c r="P944">
        <v>70</v>
      </c>
      <c r="Q944">
        <f t="shared" si="59"/>
        <v>168</v>
      </c>
      <c r="R944">
        <v>3</v>
      </c>
      <c r="S944">
        <v>6</v>
      </c>
      <c r="T944">
        <f>Table[[#This Row],[NumWebPurchases]]+Table[[#This Row],[NumStorePurchases]]</f>
        <v>9</v>
      </c>
    </row>
    <row r="945" spans="1:20" ht="12.5">
      <c r="A945" s="6">
        <v>943</v>
      </c>
      <c r="B945" s="6">
        <v>5386</v>
      </c>
      <c r="C945" s="6">
        <v>1953</v>
      </c>
      <c r="D945" s="6">
        <f t="shared" si="56"/>
        <v>72</v>
      </c>
      <c r="E945" s="7" t="s">
        <v>9</v>
      </c>
      <c r="F945" s="7" t="s">
        <v>11</v>
      </c>
      <c r="G945" s="6">
        <v>94384</v>
      </c>
      <c r="H945" s="6" t="str" cm="1">
        <f t="array" ref="H945">_xlfn.IFS(
  G945 &lt; 25000, "Low",
  AND(G945 &gt;= 25000, G945 &lt; 75000), "Medium",
  AND(G945 &gt;= 75000, G945 &lt; 150000), "High",
  G945 &gt;= 150000, "Very High"
)</f>
        <v>High</v>
      </c>
      <c r="I945" s="6">
        <v>0</v>
      </c>
      <c r="J945" s="6">
        <v>0</v>
      </c>
      <c r="K945" s="6">
        <f t="shared" si="57"/>
        <v>0</v>
      </c>
      <c r="L945" s="8">
        <v>41337</v>
      </c>
      <c r="M945" t="str">
        <f t="shared" ca="1" si="58"/>
        <v>13 years, 0 months</v>
      </c>
      <c r="N945" s="6">
        <v>62</v>
      </c>
      <c r="O945">
        <v>24</v>
      </c>
      <c r="P945">
        <v>45</v>
      </c>
      <c r="Q945">
        <f t="shared" si="59"/>
        <v>69</v>
      </c>
      <c r="R945">
        <v>5</v>
      </c>
      <c r="S945">
        <v>5</v>
      </c>
      <c r="T945">
        <f>Table[[#This Row],[NumWebPurchases]]+Table[[#This Row],[NumStorePurchases]]</f>
        <v>10</v>
      </c>
    </row>
    <row r="946" spans="1:20" ht="12.5">
      <c r="A946" s="6">
        <v>944</v>
      </c>
      <c r="B946" s="6">
        <v>8700</v>
      </c>
      <c r="C946" s="6">
        <v>1986</v>
      </c>
      <c r="D946" s="6">
        <f t="shared" si="56"/>
        <v>39</v>
      </c>
      <c r="E946" s="7" t="s">
        <v>16</v>
      </c>
      <c r="F946" s="7" t="s">
        <v>10</v>
      </c>
      <c r="G946" s="6">
        <v>14906</v>
      </c>
      <c r="H946" s="6" t="str" cm="1">
        <f t="array" ref="H946">_xlfn.IFS(
  G946 &lt; 25000, "Low",
  AND(G946 &gt;= 25000, G946 &lt; 75000), "Medium",
  AND(G946 &gt;= 75000, G946 &lt; 150000), "High",
  G946 &gt;= 150000, "Very High"
)</f>
        <v>Low</v>
      </c>
      <c r="I946" s="6">
        <v>0</v>
      </c>
      <c r="J946" s="6">
        <v>0</v>
      </c>
      <c r="K946" s="6">
        <f t="shared" si="57"/>
        <v>0</v>
      </c>
      <c r="L946" s="9">
        <v>41265</v>
      </c>
      <c r="M946" t="str">
        <f t="shared" ca="1" si="58"/>
        <v>13 years, 2 months</v>
      </c>
      <c r="N946" s="6">
        <v>86</v>
      </c>
      <c r="O946">
        <v>7</v>
      </c>
      <c r="P946">
        <v>16</v>
      </c>
      <c r="Q946">
        <f t="shared" si="59"/>
        <v>23</v>
      </c>
      <c r="R946">
        <v>2</v>
      </c>
      <c r="S946">
        <v>3</v>
      </c>
      <c r="T946">
        <f>Table[[#This Row],[NumWebPurchases]]+Table[[#This Row],[NumStorePurchases]]</f>
        <v>5</v>
      </c>
    </row>
    <row r="947" spans="1:20" ht="12.5">
      <c r="A947" s="6">
        <v>945</v>
      </c>
      <c r="B947" s="6">
        <v>3202</v>
      </c>
      <c r="C947" s="6">
        <v>1987</v>
      </c>
      <c r="D947" s="6">
        <f t="shared" si="56"/>
        <v>38</v>
      </c>
      <c r="E947" s="7" t="s">
        <v>12</v>
      </c>
      <c r="F947" s="7" t="s">
        <v>13</v>
      </c>
      <c r="G947" s="6">
        <v>51563</v>
      </c>
      <c r="H947" s="6" t="str" cm="1">
        <f t="array" ref="H947">_xlfn.IFS(
  G947 &lt; 25000, "Low",
  AND(G947 &gt;= 25000, G947 &lt; 75000), "Medium",
  AND(G947 &gt;= 75000, G947 &lt; 150000), "High",
  G947 &gt;= 150000, "Very High"
)</f>
        <v>Medium</v>
      </c>
      <c r="I947" s="6">
        <v>0</v>
      </c>
      <c r="J947" s="6">
        <v>0</v>
      </c>
      <c r="K947" s="6">
        <f t="shared" si="57"/>
        <v>0</v>
      </c>
      <c r="L947" s="8">
        <v>41183</v>
      </c>
      <c r="M947" t="str">
        <f t="shared" ca="1" si="58"/>
        <v>13 years, 5 months</v>
      </c>
      <c r="N947" s="6">
        <v>60</v>
      </c>
      <c r="O947">
        <v>0</v>
      </c>
      <c r="P947">
        <v>0</v>
      </c>
      <c r="Q947">
        <f t="shared" si="59"/>
        <v>0</v>
      </c>
      <c r="R947">
        <v>4</v>
      </c>
      <c r="S947">
        <v>10</v>
      </c>
      <c r="T947">
        <f>Table[[#This Row],[NumWebPurchases]]+Table[[#This Row],[NumStorePurchases]]</f>
        <v>14</v>
      </c>
    </row>
    <row r="948" spans="1:20" ht="12.5">
      <c r="A948" s="6">
        <v>946</v>
      </c>
      <c r="B948" s="6">
        <v>1328</v>
      </c>
      <c r="C948" s="6">
        <v>1982</v>
      </c>
      <c r="D948" s="6">
        <f t="shared" si="56"/>
        <v>43</v>
      </c>
      <c r="E948" s="7" t="s">
        <v>17</v>
      </c>
      <c r="F948" s="7" t="s">
        <v>13</v>
      </c>
      <c r="G948" s="6">
        <v>57937</v>
      </c>
      <c r="H948" s="6" t="str" cm="1">
        <f t="array" ref="H948">_xlfn.IFS(
  G948 &lt; 25000, "Low",
  AND(G948 &gt;= 25000, G948 &lt; 75000), "Medium",
  AND(G948 &gt;= 75000, G948 &lt; 150000), "High",
  G948 &gt;= 150000, "Very High"
)</f>
        <v>Medium</v>
      </c>
      <c r="I948" s="6">
        <v>0</v>
      </c>
      <c r="J948" s="6">
        <v>1</v>
      </c>
      <c r="K948" s="6">
        <f t="shared" si="57"/>
        <v>1</v>
      </c>
      <c r="L948" s="8">
        <v>41686</v>
      </c>
      <c r="M948" t="str">
        <f t="shared" ca="1" si="58"/>
        <v>12 years, 0 months</v>
      </c>
      <c r="N948" s="6">
        <v>56</v>
      </c>
      <c r="O948">
        <v>42</v>
      </c>
      <c r="P948">
        <v>48</v>
      </c>
      <c r="Q948">
        <f t="shared" si="59"/>
        <v>90</v>
      </c>
      <c r="R948">
        <v>4</v>
      </c>
      <c r="S948">
        <v>9</v>
      </c>
      <c r="T948">
        <f>Table[[#This Row],[NumWebPurchases]]+Table[[#This Row],[NumStorePurchases]]</f>
        <v>13</v>
      </c>
    </row>
    <row r="949" spans="1:20" ht="12.5">
      <c r="A949" s="6">
        <v>947</v>
      </c>
      <c r="B949" s="6">
        <v>8405</v>
      </c>
      <c r="C949" s="6">
        <v>1979</v>
      </c>
      <c r="D949" s="6">
        <f t="shared" si="56"/>
        <v>46</v>
      </c>
      <c r="E949" s="7" t="s">
        <v>9</v>
      </c>
      <c r="F949" s="7" t="s">
        <v>15</v>
      </c>
      <c r="G949" s="6">
        <v>68274</v>
      </c>
      <c r="H949" s="6" t="str" cm="1">
        <f t="array" ref="H949">_xlfn.IFS(
  G949 &lt; 25000, "Low",
  AND(G949 &gt;= 25000, G949 &lt; 75000), "Medium",
  AND(G949 &gt;= 75000, G949 &lt; 150000), "High",
  G949 &gt;= 150000, "Very High"
)</f>
        <v>Medium</v>
      </c>
      <c r="I949" s="6">
        <v>1</v>
      </c>
      <c r="J949" s="6">
        <v>1</v>
      </c>
      <c r="K949" s="6">
        <f t="shared" si="57"/>
        <v>2</v>
      </c>
      <c r="L949" s="8">
        <v>41547</v>
      </c>
      <c r="M949" t="str">
        <f t="shared" ca="1" si="58"/>
        <v>12 years, 5 months</v>
      </c>
      <c r="N949" s="6">
        <v>83</v>
      </c>
      <c r="O949">
        <v>25</v>
      </c>
      <c r="P949">
        <v>25</v>
      </c>
      <c r="Q949">
        <f t="shared" si="59"/>
        <v>50</v>
      </c>
      <c r="R949">
        <v>4</v>
      </c>
      <c r="S949">
        <v>5</v>
      </c>
      <c r="T949">
        <f>Table[[#This Row],[NumWebPurchases]]+Table[[#This Row],[NumStorePurchases]]</f>
        <v>9</v>
      </c>
    </row>
    <row r="950" spans="1:20" ht="12.5">
      <c r="A950" s="6">
        <v>948</v>
      </c>
      <c r="B950" s="6">
        <v>6515</v>
      </c>
      <c r="C950" s="6">
        <v>1977</v>
      </c>
      <c r="D950" s="6">
        <f t="shared" si="56"/>
        <v>48</v>
      </c>
      <c r="E950" s="7" t="s">
        <v>9</v>
      </c>
      <c r="F950" s="7" t="s">
        <v>11</v>
      </c>
      <c r="G950" s="6">
        <v>39771</v>
      </c>
      <c r="H950" s="6" t="str" cm="1">
        <f t="array" ref="H950">_xlfn.IFS(
  G950 &lt; 25000, "Low",
  AND(G950 &gt;= 25000, G950 &lt; 75000), "Medium",
  AND(G950 &gt;= 75000, G950 &lt; 150000), "High",
  G950 &gt;= 150000, "Very High"
)</f>
        <v>Medium</v>
      </c>
      <c r="I950" s="6">
        <v>1</v>
      </c>
      <c r="J950" s="6">
        <v>0</v>
      </c>
      <c r="K950" s="6">
        <f t="shared" si="57"/>
        <v>1</v>
      </c>
      <c r="L950" s="8">
        <v>41614</v>
      </c>
      <c r="M950" t="str">
        <f t="shared" ca="1" si="58"/>
        <v>12 years, 3 months</v>
      </c>
      <c r="N950" s="6">
        <v>92</v>
      </c>
      <c r="O950">
        <v>2</v>
      </c>
      <c r="P950">
        <v>8</v>
      </c>
      <c r="Q950">
        <f t="shared" si="59"/>
        <v>10</v>
      </c>
      <c r="R950">
        <v>2</v>
      </c>
      <c r="S950">
        <v>3</v>
      </c>
      <c r="T950">
        <f>Table[[#This Row],[NumWebPurchases]]+Table[[#This Row],[NumStorePurchases]]</f>
        <v>5</v>
      </c>
    </row>
    <row r="951" spans="1:20" ht="12.5">
      <c r="A951" s="6">
        <v>949</v>
      </c>
      <c r="B951" s="6">
        <v>2882</v>
      </c>
      <c r="C951" s="6">
        <v>1975</v>
      </c>
      <c r="D951" s="6">
        <f t="shared" si="56"/>
        <v>50</v>
      </c>
      <c r="E951" s="7" t="s">
        <v>17</v>
      </c>
      <c r="F951" s="7" t="s">
        <v>15</v>
      </c>
      <c r="G951" s="6">
        <v>67893</v>
      </c>
      <c r="H951" s="6" t="str" cm="1">
        <f t="array" ref="H951">_xlfn.IFS(
  G951 &lt; 25000, "Low",
  AND(G951 &gt;= 25000, G951 &lt; 75000), "Medium",
  AND(G951 &gt;= 75000, G951 &lt; 150000), "High",
  G951 &gt;= 150000, "Very High"
)</f>
        <v>Medium</v>
      </c>
      <c r="I951" s="6">
        <v>0</v>
      </c>
      <c r="J951" s="6">
        <v>1</v>
      </c>
      <c r="K951" s="6">
        <f t="shared" si="57"/>
        <v>1</v>
      </c>
      <c r="L951" s="8">
        <v>41183</v>
      </c>
      <c r="M951" t="str">
        <f t="shared" ca="1" si="58"/>
        <v>13 years, 5 months</v>
      </c>
      <c r="N951" s="6">
        <v>31</v>
      </c>
      <c r="O951">
        <v>28</v>
      </c>
      <c r="P951">
        <v>18</v>
      </c>
      <c r="Q951">
        <f t="shared" si="59"/>
        <v>46</v>
      </c>
      <c r="R951">
        <v>3</v>
      </c>
      <c r="S951">
        <v>9</v>
      </c>
      <c r="T951">
        <f>Table[[#This Row],[NumWebPurchases]]+Table[[#This Row],[NumStorePurchases]]</f>
        <v>12</v>
      </c>
    </row>
    <row r="952" spans="1:20" ht="12.5">
      <c r="A952" s="6">
        <v>950</v>
      </c>
      <c r="B952" s="6">
        <v>7574</v>
      </c>
      <c r="C952" s="6">
        <v>1979</v>
      </c>
      <c r="D952" s="6">
        <f t="shared" si="56"/>
        <v>46</v>
      </c>
      <c r="E952" s="7" t="s">
        <v>12</v>
      </c>
      <c r="F952" s="7" t="s">
        <v>11</v>
      </c>
      <c r="G952" s="6">
        <v>27922</v>
      </c>
      <c r="H952" s="6" t="str" cm="1">
        <f t="array" ref="H952">_xlfn.IFS(
  G952 &lt; 25000, "Low",
  AND(G952 &gt;= 25000, G952 &lt; 75000), "Medium",
  AND(G952 &gt;= 75000, G952 &lt; 150000), "High",
  G952 &gt;= 150000, "Very High"
)</f>
        <v>Medium</v>
      </c>
      <c r="I952" s="6">
        <v>1</v>
      </c>
      <c r="J952" s="6">
        <v>0</v>
      </c>
      <c r="K952" s="6">
        <f t="shared" si="57"/>
        <v>1</v>
      </c>
      <c r="L952" s="8">
        <v>41769</v>
      </c>
      <c r="M952" t="str">
        <f t="shared" ca="1" si="58"/>
        <v>11 years, 9 months</v>
      </c>
      <c r="N952" s="6">
        <v>80</v>
      </c>
      <c r="O952">
        <v>0</v>
      </c>
      <c r="P952">
        <v>4</v>
      </c>
      <c r="Q952">
        <f t="shared" si="59"/>
        <v>4</v>
      </c>
      <c r="R952">
        <v>2</v>
      </c>
      <c r="S952">
        <v>3</v>
      </c>
      <c r="T952">
        <f>Table[[#This Row],[NumWebPurchases]]+Table[[#This Row],[NumStorePurchases]]</f>
        <v>5</v>
      </c>
    </row>
    <row r="953" spans="1:20" ht="12.5">
      <c r="A953" s="6">
        <v>951</v>
      </c>
      <c r="B953" s="6">
        <v>6387</v>
      </c>
      <c r="C953" s="6">
        <v>1976</v>
      </c>
      <c r="D953" s="6">
        <f t="shared" si="56"/>
        <v>49</v>
      </c>
      <c r="E953" s="7" t="s">
        <v>12</v>
      </c>
      <c r="F953" s="7" t="s">
        <v>11</v>
      </c>
      <c r="G953" s="6">
        <v>52190</v>
      </c>
      <c r="H953" s="6" t="str" cm="1">
        <f t="array" ref="H953">_xlfn.IFS(
  G953 &lt; 25000, "Low",
  AND(G953 &gt;= 25000, G953 &lt; 75000), "Medium",
  AND(G953 &gt;= 75000, G953 &lt; 150000), "High",
  G953 &gt;= 150000, "Very High"
)</f>
        <v>Medium</v>
      </c>
      <c r="I953" s="6">
        <v>1</v>
      </c>
      <c r="J953" s="6">
        <v>1</v>
      </c>
      <c r="K953" s="6">
        <f t="shared" si="57"/>
        <v>2</v>
      </c>
      <c r="L953" s="8">
        <v>41767</v>
      </c>
      <c r="M953" t="str">
        <f t="shared" ca="1" si="58"/>
        <v>11 years, 9 months</v>
      </c>
      <c r="N953" s="6">
        <v>39</v>
      </c>
      <c r="O953">
        <v>0</v>
      </c>
      <c r="P953">
        <v>0</v>
      </c>
      <c r="Q953">
        <f t="shared" si="59"/>
        <v>0</v>
      </c>
      <c r="R953">
        <v>2</v>
      </c>
      <c r="S953">
        <v>3</v>
      </c>
      <c r="T953">
        <f>Table[[#This Row],[NumWebPurchases]]+Table[[#This Row],[NumStorePurchases]]</f>
        <v>5</v>
      </c>
    </row>
    <row r="954" spans="1:20" ht="12.5">
      <c r="A954" s="6">
        <v>952</v>
      </c>
      <c r="B954" s="6">
        <v>5320</v>
      </c>
      <c r="C954" s="6">
        <v>1973</v>
      </c>
      <c r="D954" s="6">
        <f t="shared" si="56"/>
        <v>52</v>
      </c>
      <c r="E954" s="7" t="s">
        <v>14</v>
      </c>
      <c r="F954" s="7" t="s">
        <v>15</v>
      </c>
      <c r="G954" s="6">
        <v>44051</v>
      </c>
      <c r="H954" s="6" t="str" cm="1">
        <f t="array" ref="H954">_xlfn.IFS(
  G954 &lt; 25000, "Low",
  AND(G954 &gt;= 25000, G954 &lt; 75000), "Medium",
  AND(G954 &gt;= 75000, G954 &lt; 150000), "High",
  G954 &gt;= 150000, "Very High"
)</f>
        <v>Medium</v>
      </c>
      <c r="I954" s="6">
        <v>1</v>
      </c>
      <c r="J954" s="6">
        <v>1</v>
      </c>
      <c r="K954" s="6">
        <f t="shared" si="57"/>
        <v>2</v>
      </c>
      <c r="L954" s="8">
        <v>41303</v>
      </c>
      <c r="M954" t="str">
        <f t="shared" ca="1" si="58"/>
        <v>13 years, 1 months</v>
      </c>
      <c r="N954" s="6">
        <v>20</v>
      </c>
      <c r="O954">
        <v>7</v>
      </c>
      <c r="P954">
        <v>3</v>
      </c>
      <c r="Q954">
        <f t="shared" si="59"/>
        <v>10</v>
      </c>
      <c r="R954">
        <v>3</v>
      </c>
      <c r="S954">
        <v>4</v>
      </c>
      <c r="T954">
        <f>Table[[#This Row],[NumWebPurchases]]+Table[[#This Row],[NumStorePurchases]]</f>
        <v>7</v>
      </c>
    </row>
    <row r="955" spans="1:20" ht="12.5">
      <c r="A955" s="6">
        <v>953</v>
      </c>
      <c r="B955" s="6">
        <v>5048</v>
      </c>
      <c r="C955" s="6">
        <v>1971</v>
      </c>
      <c r="D955" s="6">
        <f t="shared" si="56"/>
        <v>54</v>
      </c>
      <c r="E955" s="7" t="s">
        <v>12</v>
      </c>
      <c r="F955" s="7" t="s">
        <v>10</v>
      </c>
      <c r="G955" s="6">
        <v>42767</v>
      </c>
      <c r="H955" s="6" t="str" cm="1">
        <f t="array" ref="H955">_xlfn.IFS(
  G955 &lt; 25000, "Low",
  AND(G955 &gt;= 25000, G955 &lt; 75000), "Medium",
  AND(G955 &gt;= 75000, G955 &lt; 150000), "High",
  G955 &gt;= 150000, "Very High"
)</f>
        <v>Medium</v>
      </c>
      <c r="I955" s="6">
        <v>2</v>
      </c>
      <c r="J955" s="6">
        <v>0</v>
      </c>
      <c r="K955" s="6">
        <f t="shared" si="57"/>
        <v>2</v>
      </c>
      <c r="L955" s="8">
        <v>41405</v>
      </c>
      <c r="M955" t="str">
        <f t="shared" ca="1" si="58"/>
        <v>12 years, 9 months</v>
      </c>
      <c r="N955" s="6">
        <v>53</v>
      </c>
      <c r="O955">
        <v>6</v>
      </c>
      <c r="P955">
        <v>5</v>
      </c>
      <c r="Q955">
        <f t="shared" si="59"/>
        <v>11</v>
      </c>
      <c r="R955">
        <v>3</v>
      </c>
      <c r="S955">
        <v>2</v>
      </c>
      <c r="T955">
        <f>Table[[#This Row],[NumWebPurchases]]+Table[[#This Row],[NumStorePurchases]]</f>
        <v>5</v>
      </c>
    </row>
    <row r="956" spans="1:20" ht="12.5">
      <c r="A956" s="6">
        <v>954</v>
      </c>
      <c r="B956" s="6">
        <v>8146</v>
      </c>
      <c r="C956" s="6">
        <v>1976</v>
      </c>
      <c r="D956" s="6">
        <f t="shared" si="56"/>
        <v>49</v>
      </c>
      <c r="E956" s="7" t="s">
        <v>14</v>
      </c>
      <c r="F956" s="7" t="s">
        <v>11</v>
      </c>
      <c r="G956" s="6">
        <v>46106</v>
      </c>
      <c r="H956" s="6" t="str" cm="1">
        <f t="array" ref="H956">_xlfn.IFS(
  G956 &lt; 25000, "Low",
  AND(G956 &gt;= 25000, G956 &lt; 75000), "Medium",
  AND(G956 &gt;= 75000, G956 &lt; 150000), "High",
  G956 &gt;= 150000, "Very High"
)</f>
        <v>Medium</v>
      </c>
      <c r="I956" s="6">
        <v>1</v>
      </c>
      <c r="J956" s="6">
        <v>1</v>
      </c>
      <c r="K956" s="6">
        <f t="shared" si="57"/>
        <v>2</v>
      </c>
      <c r="L956" s="8">
        <v>41770</v>
      </c>
      <c r="M956" t="str">
        <f t="shared" ca="1" si="58"/>
        <v>11 years, 9 months</v>
      </c>
      <c r="N956" s="6">
        <v>84</v>
      </c>
      <c r="O956">
        <v>0</v>
      </c>
      <c r="P956">
        <v>0</v>
      </c>
      <c r="Q956">
        <f t="shared" si="59"/>
        <v>0</v>
      </c>
      <c r="R956">
        <v>1</v>
      </c>
      <c r="S956">
        <v>2</v>
      </c>
      <c r="T956">
        <f>Table[[#This Row],[NumWebPurchases]]+Table[[#This Row],[NumStorePurchases]]</f>
        <v>3</v>
      </c>
    </row>
    <row r="957" spans="1:20" ht="12.5">
      <c r="A957" s="6">
        <v>955</v>
      </c>
      <c r="B957" s="6">
        <v>10031</v>
      </c>
      <c r="C957" s="6">
        <v>1976</v>
      </c>
      <c r="D957" s="6">
        <f t="shared" si="56"/>
        <v>49</v>
      </c>
      <c r="E957" s="7" t="s">
        <v>12</v>
      </c>
      <c r="F957" s="7" t="s">
        <v>13</v>
      </c>
      <c r="G957" s="6">
        <v>16927</v>
      </c>
      <c r="H957" s="6" t="str" cm="1">
        <f t="array" ref="H957">_xlfn.IFS(
  G957 &lt; 25000, "Low",
  AND(G957 &gt;= 25000, G957 &lt; 75000), "Medium",
  AND(G957 &gt;= 75000, G957 &lt; 150000), "High",
  G957 &gt;= 150000, "Very High"
)</f>
        <v>Low</v>
      </c>
      <c r="I957" s="6">
        <v>1</v>
      </c>
      <c r="J957" s="6">
        <v>1</v>
      </c>
      <c r="K957" s="6">
        <f t="shared" si="57"/>
        <v>2</v>
      </c>
      <c r="L957" s="8">
        <v>41315</v>
      </c>
      <c r="M957" t="str">
        <f t="shared" ca="1" si="58"/>
        <v>13 years, 0 months</v>
      </c>
      <c r="N957" s="6">
        <v>50</v>
      </c>
      <c r="O957">
        <v>2</v>
      </c>
      <c r="P957">
        <v>1</v>
      </c>
      <c r="Q957">
        <f t="shared" si="59"/>
        <v>3</v>
      </c>
      <c r="R957">
        <v>3</v>
      </c>
      <c r="S957">
        <v>4</v>
      </c>
      <c r="T957">
        <f>Table[[#This Row],[NumWebPurchases]]+Table[[#This Row],[NumStorePurchases]]</f>
        <v>7</v>
      </c>
    </row>
    <row r="958" spans="1:20" ht="12.5">
      <c r="A958" s="6">
        <v>956</v>
      </c>
      <c r="B958" s="6">
        <v>5748</v>
      </c>
      <c r="C958" s="6">
        <v>1965</v>
      </c>
      <c r="D958" s="6">
        <f t="shared" si="56"/>
        <v>60</v>
      </c>
      <c r="E958" s="7" t="s">
        <v>9</v>
      </c>
      <c r="F958" s="7" t="s">
        <v>13</v>
      </c>
      <c r="G958" s="6">
        <v>59754</v>
      </c>
      <c r="H958" s="6" t="str" cm="1">
        <f t="array" ref="H958">_xlfn.IFS(
  G958 &lt; 25000, "Low",
  AND(G958 &gt;= 25000, G958 &lt; 75000), "Medium",
  AND(G958 &gt;= 75000, G958 &lt; 150000), "High",
  G958 &gt;= 150000, "Very High"
)</f>
        <v>Medium</v>
      </c>
      <c r="I958" s="6">
        <v>0</v>
      </c>
      <c r="J958" s="6">
        <v>1</v>
      </c>
      <c r="K958" s="6">
        <f t="shared" si="57"/>
        <v>1</v>
      </c>
      <c r="L958" s="8">
        <v>41244</v>
      </c>
      <c r="M958" t="str">
        <f t="shared" ca="1" si="58"/>
        <v>13 years, 3 months</v>
      </c>
      <c r="N958" s="6">
        <v>96</v>
      </c>
      <c r="O958">
        <v>27</v>
      </c>
      <c r="P958">
        <v>146</v>
      </c>
      <c r="Q958">
        <f t="shared" si="59"/>
        <v>173</v>
      </c>
      <c r="R958">
        <v>5</v>
      </c>
      <c r="S958">
        <v>6</v>
      </c>
      <c r="T958">
        <f>Table[[#This Row],[NumWebPurchases]]+Table[[#This Row],[NumStorePurchases]]</f>
        <v>11</v>
      </c>
    </row>
    <row r="959" spans="1:20" ht="12.5">
      <c r="A959" s="6">
        <v>957</v>
      </c>
      <c r="B959" s="6">
        <v>2134</v>
      </c>
      <c r="C959" s="6">
        <v>1952</v>
      </c>
      <c r="D959" s="6">
        <f t="shared" si="56"/>
        <v>73</v>
      </c>
      <c r="E959" s="7" t="s">
        <v>9</v>
      </c>
      <c r="F959" s="7" t="s">
        <v>10</v>
      </c>
      <c r="G959" s="6">
        <v>53700</v>
      </c>
      <c r="H959" s="6" t="str" cm="1">
        <f t="array" ref="H959">_xlfn.IFS(
  G959 &lt; 25000, "Low",
  AND(G959 &gt;= 25000, G959 &lt; 75000), "Medium",
  AND(G959 &gt;= 75000, G959 &lt; 150000), "High",
  G959 &gt;= 150000, "Very High"
)</f>
        <v>Medium</v>
      </c>
      <c r="I959" s="6">
        <v>0</v>
      </c>
      <c r="J959" s="6">
        <v>1</v>
      </c>
      <c r="K959" s="6">
        <f t="shared" si="57"/>
        <v>1</v>
      </c>
      <c r="L959" s="8">
        <v>41138</v>
      </c>
      <c r="M959" t="str">
        <f t="shared" ca="1" si="58"/>
        <v>13 years, 6 months</v>
      </c>
      <c r="N959" s="6">
        <v>94</v>
      </c>
      <c r="O959">
        <v>5</v>
      </c>
      <c r="P959">
        <v>41</v>
      </c>
      <c r="Q959">
        <f t="shared" si="59"/>
        <v>46</v>
      </c>
      <c r="R959">
        <v>5</v>
      </c>
      <c r="S959">
        <v>8</v>
      </c>
      <c r="T959">
        <f>Table[[#This Row],[NumWebPurchases]]+Table[[#This Row],[NumStorePurchases]]</f>
        <v>13</v>
      </c>
    </row>
    <row r="960" spans="1:20" ht="12.5">
      <c r="A960" s="6">
        <v>958</v>
      </c>
      <c r="B960" s="6">
        <v>1523</v>
      </c>
      <c r="C960" s="6">
        <v>1973</v>
      </c>
      <c r="D960" s="6">
        <f t="shared" si="56"/>
        <v>52</v>
      </c>
      <c r="E960" s="7" t="s">
        <v>9</v>
      </c>
      <c r="F960" s="7" t="s">
        <v>13</v>
      </c>
      <c r="G960" s="6">
        <v>59041</v>
      </c>
      <c r="H960" s="6" t="str" cm="1">
        <f t="array" ref="H960">_xlfn.IFS(
  G960 &lt; 25000, "Low",
  AND(G960 &gt;= 25000, G960 &lt; 75000), "Medium",
  AND(G960 &gt;= 75000, G960 &lt; 150000), "High",
  G960 &gt;= 150000, "Very High"
)</f>
        <v>Medium</v>
      </c>
      <c r="I960" s="6">
        <v>1</v>
      </c>
      <c r="J960" s="6">
        <v>1</v>
      </c>
      <c r="K960" s="6">
        <f t="shared" si="57"/>
        <v>2</v>
      </c>
      <c r="L960" s="8">
        <v>41766</v>
      </c>
      <c r="M960" t="str">
        <f t="shared" ca="1" si="58"/>
        <v>11 years, 9 months</v>
      </c>
      <c r="N960" s="6">
        <v>25</v>
      </c>
      <c r="O960">
        <v>2</v>
      </c>
      <c r="P960">
        <v>2</v>
      </c>
      <c r="Q960">
        <f t="shared" si="59"/>
        <v>4</v>
      </c>
      <c r="R960">
        <v>2</v>
      </c>
      <c r="S960">
        <v>4</v>
      </c>
      <c r="T960">
        <f>Table[[#This Row],[NumWebPurchases]]+Table[[#This Row],[NumStorePurchases]]</f>
        <v>6</v>
      </c>
    </row>
    <row r="961" spans="1:20" ht="12.5">
      <c r="A961" s="6">
        <v>959</v>
      </c>
      <c r="B961" s="6">
        <v>9665</v>
      </c>
      <c r="C961" s="6">
        <v>1957</v>
      </c>
      <c r="D961" s="6">
        <f t="shared" si="56"/>
        <v>68</v>
      </c>
      <c r="E961" s="7" t="s">
        <v>12</v>
      </c>
      <c r="F961" s="7" t="s">
        <v>15</v>
      </c>
      <c r="G961" s="6">
        <v>54237</v>
      </c>
      <c r="H961" s="6" t="str" cm="1">
        <f t="array" ref="H961">_xlfn.IFS(
  G961 &lt; 25000, "Low",
  AND(G961 &gt;= 25000, G961 &lt; 75000), "Medium",
  AND(G961 &gt;= 75000, G961 &lt; 150000), "High",
  G961 &gt;= 150000, "Very High"
)</f>
        <v>Medium</v>
      </c>
      <c r="I961" s="6">
        <v>0</v>
      </c>
      <c r="J961" s="6">
        <v>1</v>
      </c>
      <c r="K961" s="6">
        <f t="shared" si="57"/>
        <v>1</v>
      </c>
      <c r="L961" s="8">
        <v>41391</v>
      </c>
      <c r="M961" t="str">
        <f t="shared" ca="1" si="58"/>
        <v>12 years, 10 months</v>
      </c>
      <c r="N961" s="6">
        <v>48</v>
      </c>
      <c r="O961">
        <v>3</v>
      </c>
      <c r="P961">
        <v>0</v>
      </c>
      <c r="Q961">
        <f t="shared" si="59"/>
        <v>3</v>
      </c>
      <c r="R961">
        <v>5</v>
      </c>
      <c r="S961">
        <v>5</v>
      </c>
      <c r="T961">
        <f>Table[[#This Row],[NumWebPurchases]]+Table[[#This Row],[NumStorePurchases]]</f>
        <v>10</v>
      </c>
    </row>
    <row r="962" spans="1:20" ht="12.5">
      <c r="A962" s="6">
        <v>960</v>
      </c>
      <c r="B962" s="6">
        <v>4640</v>
      </c>
      <c r="C962" s="6">
        <v>1967</v>
      </c>
      <c r="D962" s="6">
        <f t="shared" si="56"/>
        <v>58</v>
      </c>
      <c r="E962" s="7" t="s">
        <v>9</v>
      </c>
      <c r="F962" s="7" t="s">
        <v>15</v>
      </c>
      <c r="G962" s="6">
        <v>70647</v>
      </c>
      <c r="H962" s="6" t="str" cm="1">
        <f t="array" ref="H962">_xlfn.IFS(
  G962 &lt; 25000, "Low",
  AND(G962 &gt;= 25000, G962 &lt; 75000), "Medium",
  AND(G962 &gt;= 75000, G962 &lt; 150000), "High",
  G962 &gt;= 150000, "Very High"
)</f>
        <v>Medium</v>
      </c>
      <c r="I962" s="6">
        <v>0</v>
      </c>
      <c r="J962" s="6">
        <v>1</v>
      </c>
      <c r="K962" s="6">
        <f t="shared" si="57"/>
        <v>1</v>
      </c>
      <c r="L962" s="8">
        <v>41173</v>
      </c>
      <c r="M962" t="str">
        <f t="shared" ca="1" si="58"/>
        <v>13 years, 5 months</v>
      </c>
      <c r="N962" s="6">
        <v>65</v>
      </c>
      <c r="O962">
        <v>85</v>
      </c>
      <c r="P962">
        <v>123</v>
      </c>
      <c r="Q962">
        <f t="shared" si="59"/>
        <v>208</v>
      </c>
      <c r="R962">
        <v>4</v>
      </c>
      <c r="S962">
        <v>13</v>
      </c>
      <c r="T962">
        <f>Table[[#This Row],[NumWebPurchases]]+Table[[#This Row],[NumStorePurchases]]</f>
        <v>17</v>
      </c>
    </row>
    <row r="963" spans="1:20" ht="12.5">
      <c r="A963" s="6">
        <v>961</v>
      </c>
      <c r="B963" s="6">
        <v>3635</v>
      </c>
      <c r="C963" s="6">
        <v>1962</v>
      </c>
      <c r="D963" s="6">
        <f t="shared" ref="D963:D1026" si="60">2025-C963</f>
        <v>63</v>
      </c>
      <c r="E963" s="7" t="s">
        <v>12</v>
      </c>
      <c r="F963" s="7" t="s">
        <v>10</v>
      </c>
      <c r="G963" s="6">
        <v>52597</v>
      </c>
      <c r="H963" s="6" t="str" cm="1">
        <f t="array" ref="H963">_xlfn.IFS(
  G963 &lt; 25000, "Low",
  AND(G963 &gt;= 25000, G963 &lt; 75000), "Medium",
  AND(G963 &gt;= 75000, G963 &lt; 150000), "High",
  G963 &gt;= 150000, "Very High"
)</f>
        <v>Medium</v>
      </c>
      <c r="I963" s="6">
        <v>0</v>
      </c>
      <c r="J963" s="6">
        <v>1</v>
      </c>
      <c r="K963" s="6">
        <f t="shared" ref="K963:K1026" si="61">I963+J963</f>
        <v>1</v>
      </c>
      <c r="L963" s="8">
        <v>41766</v>
      </c>
      <c r="M963" t="str">
        <f t="shared" ref="M963:M1026" ca="1" si="62">DATEDIF(L963, TODAY(), "Y") &amp; " years, " &amp; DATEDIF(L963, TODAY(), "YM") &amp; " months"</f>
        <v>11 years, 9 months</v>
      </c>
      <c r="N963" s="6">
        <v>69</v>
      </c>
      <c r="O963">
        <v>0</v>
      </c>
      <c r="P963">
        <v>0</v>
      </c>
      <c r="Q963">
        <f t="shared" ref="Q963:Q1026" si="63">O963+P963</f>
        <v>0</v>
      </c>
      <c r="R963">
        <v>6</v>
      </c>
      <c r="S963">
        <v>8</v>
      </c>
      <c r="T963">
        <f>Table[[#This Row],[NumWebPurchases]]+Table[[#This Row],[NumStorePurchases]]</f>
        <v>14</v>
      </c>
    </row>
    <row r="964" spans="1:20" ht="12.5">
      <c r="A964" s="6">
        <v>962</v>
      </c>
      <c r="B964" s="6">
        <v>3547</v>
      </c>
      <c r="C964" s="6">
        <v>1969</v>
      </c>
      <c r="D964" s="6">
        <f t="shared" si="60"/>
        <v>56</v>
      </c>
      <c r="E964" s="7" t="s">
        <v>14</v>
      </c>
      <c r="F964" s="7" t="s">
        <v>11</v>
      </c>
      <c r="G964" s="6">
        <v>41021</v>
      </c>
      <c r="H964" s="6" t="str" cm="1">
        <f t="array" ref="H964">_xlfn.IFS(
  G964 &lt; 25000, "Low",
  AND(G964 &gt;= 25000, G964 &lt; 75000), "Medium",
  AND(G964 &gt;= 75000, G964 &lt; 150000), "High",
  G964 &gt;= 150000, "Very High"
)</f>
        <v>Medium</v>
      </c>
      <c r="I964" s="6">
        <v>1</v>
      </c>
      <c r="J964" s="6">
        <v>0</v>
      </c>
      <c r="K964" s="6">
        <f t="shared" si="61"/>
        <v>1</v>
      </c>
      <c r="L964" s="9">
        <v>41273</v>
      </c>
      <c r="M964" t="str">
        <f t="shared" ca="1" si="62"/>
        <v>13 years, 2 months</v>
      </c>
      <c r="N964" s="6">
        <v>12</v>
      </c>
      <c r="O964">
        <v>7</v>
      </c>
      <c r="P964">
        <v>16</v>
      </c>
      <c r="Q964">
        <f t="shared" si="63"/>
        <v>23</v>
      </c>
      <c r="R964">
        <v>2</v>
      </c>
      <c r="S964">
        <v>3</v>
      </c>
      <c r="T964">
        <f>Table[[#This Row],[NumWebPurchases]]+Table[[#This Row],[NumStorePurchases]]</f>
        <v>5</v>
      </c>
    </row>
    <row r="965" spans="1:20" ht="12.5">
      <c r="A965" s="6">
        <v>963</v>
      </c>
      <c r="B965" s="6">
        <v>2456</v>
      </c>
      <c r="C965" s="6">
        <v>1975</v>
      </c>
      <c r="D965" s="6">
        <f t="shared" si="60"/>
        <v>50</v>
      </c>
      <c r="E965" s="7" t="s">
        <v>12</v>
      </c>
      <c r="F965" s="7" t="s">
        <v>13</v>
      </c>
      <c r="G965" s="6">
        <v>40233</v>
      </c>
      <c r="H965" s="6" t="str" cm="1">
        <f t="array" ref="H965">_xlfn.IFS(
  G965 &lt; 25000, "Low",
  AND(G965 &gt;= 25000, G965 &lt; 75000), "Medium",
  AND(G965 &gt;= 75000, G965 &lt; 150000), "High",
  G965 &gt;= 150000, "Very High"
)</f>
        <v>Medium</v>
      </c>
      <c r="I965" s="6">
        <v>0</v>
      </c>
      <c r="J965" s="6">
        <v>1</v>
      </c>
      <c r="K965" s="6">
        <f t="shared" si="61"/>
        <v>1</v>
      </c>
      <c r="L965" s="9">
        <v>41561</v>
      </c>
      <c r="M965" t="str">
        <f t="shared" ca="1" si="62"/>
        <v>12 years, 4 months</v>
      </c>
      <c r="N965" s="6">
        <v>84</v>
      </c>
      <c r="O965">
        <v>4</v>
      </c>
      <c r="P965">
        <v>17</v>
      </c>
      <c r="Q965">
        <f t="shared" si="63"/>
        <v>21</v>
      </c>
      <c r="R965">
        <v>2</v>
      </c>
      <c r="S965">
        <v>5</v>
      </c>
      <c r="T965">
        <f>Table[[#This Row],[NumWebPurchases]]+Table[[#This Row],[NumStorePurchases]]</f>
        <v>7</v>
      </c>
    </row>
    <row r="966" spans="1:20" ht="12.5">
      <c r="A966" s="6">
        <v>964</v>
      </c>
      <c r="B966" s="6">
        <v>5633</v>
      </c>
      <c r="C966" s="6">
        <v>1980</v>
      </c>
      <c r="D966" s="6">
        <f t="shared" si="60"/>
        <v>45</v>
      </c>
      <c r="E966" s="7" t="s">
        <v>9</v>
      </c>
      <c r="F966" s="7" t="s">
        <v>13</v>
      </c>
      <c r="G966" s="6">
        <v>50183</v>
      </c>
      <c r="H966" s="6" t="str" cm="1">
        <f t="array" ref="H966">_xlfn.IFS(
  G966 &lt; 25000, "Low",
  AND(G966 &gt;= 25000, G966 &lt; 75000), "Medium",
  AND(G966 &gt;= 75000, G966 &lt; 150000), "High",
  G966 &gt;= 150000, "Very High"
)</f>
        <v>Medium</v>
      </c>
      <c r="I966" s="6">
        <v>1</v>
      </c>
      <c r="J966" s="6">
        <v>1</v>
      </c>
      <c r="K966" s="6">
        <f t="shared" si="61"/>
        <v>2</v>
      </c>
      <c r="L966" s="8">
        <v>41815</v>
      </c>
      <c r="M966" t="str">
        <f t="shared" ca="1" si="62"/>
        <v>11 years, 8 months</v>
      </c>
      <c r="N966" s="6">
        <v>47</v>
      </c>
      <c r="O966">
        <v>12</v>
      </c>
      <c r="P966">
        <v>10</v>
      </c>
      <c r="Q966">
        <f t="shared" si="63"/>
        <v>22</v>
      </c>
      <c r="R966">
        <v>3</v>
      </c>
      <c r="S966">
        <v>6</v>
      </c>
      <c r="T966">
        <f>Table[[#This Row],[NumWebPurchases]]+Table[[#This Row],[NumStorePurchases]]</f>
        <v>9</v>
      </c>
    </row>
    <row r="967" spans="1:20" ht="12.5">
      <c r="A967" s="6">
        <v>965</v>
      </c>
      <c r="B967" s="6">
        <v>7801</v>
      </c>
      <c r="C967" s="6">
        <v>1959</v>
      </c>
      <c r="D967" s="6">
        <f t="shared" si="60"/>
        <v>66</v>
      </c>
      <c r="E967" s="7" t="s">
        <v>9</v>
      </c>
      <c r="F967" s="7" t="s">
        <v>11</v>
      </c>
      <c r="G967" s="6">
        <v>54753</v>
      </c>
      <c r="H967" s="6" t="str" cm="1">
        <f t="array" ref="H967">_xlfn.IFS(
  G967 &lt; 25000, "Low",
  AND(G967 &gt;= 25000, G967 &lt; 75000), "Medium",
  AND(G967 &gt;= 75000, G967 &lt; 150000), "High",
  G967 &gt;= 150000, "Very High"
)</f>
        <v>Medium</v>
      </c>
      <c r="I967" s="6">
        <v>0</v>
      </c>
      <c r="J967" s="6">
        <v>1</v>
      </c>
      <c r="K967" s="6">
        <f t="shared" si="61"/>
        <v>1</v>
      </c>
      <c r="L967" s="8">
        <v>41529</v>
      </c>
      <c r="M967" t="str">
        <f t="shared" ca="1" si="62"/>
        <v>12 years, 5 months</v>
      </c>
      <c r="N967" s="6">
        <v>87</v>
      </c>
      <c r="O967">
        <v>107</v>
      </c>
      <c r="P967">
        <v>59</v>
      </c>
      <c r="Q967">
        <f t="shared" si="63"/>
        <v>166</v>
      </c>
      <c r="R967">
        <v>5</v>
      </c>
      <c r="S967">
        <v>11</v>
      </c>
      <c r="T967">
        <f>Table[[#This Row],[NumWebPurchases]]+Table[[#This Row],[NumStorePurchases]]</f>
        <v>16</v>
      </c>
    </row>
    <row r="968" spans="1:20" ht="12.5">
      <c r="A968" s="6">
        <v>966</v>
      </c>
      <c r="B968" s="6">
        <v>10489</v>
      </c>
      <c r="C968" s="6">
        <v>1973</v>
      </c>
      <c r="D968" s="6">
        <f t="shared" si="60"/>
        <v>52</v>
      </c>
      <c r="E968" s="7" t="s">
        <v>9</v>
      </c>
      <c r="F968" s="7" t="s">
        <v>13</v>
      </c>
      <c r="G968" s="6">
        <v>92955</v>
      </c>
      <c r="H968" s="6" t="str" cm="1">
        <f t="array" ref="H968">_xlfn.IFS(
  G968 &lt; 25000, "Low",
  AND(G968 &gt;= 25000, G968 &lt; 75000), "Medium",
  AND(G968 &gt;= 75000, G968 &lt; 150000), "High",
  G968 &gt;= 150000, "Very High"
)</f>
        <v>High</v>
      </c>
      <c r="I968" s="6">
        <v>0</v>
      </c>
      <c r="J968" s="6">
        <v>0</v>
      </c>
      <c r="K968" s="6">
        <f t="shared" si="61"/>
        <v>0</v>
      </c>
      <c r="L968" s="8">
        <v>41505</v>
      </c>
      <c r="M968" t="str">
        <f t="shared" ca="1" si="62"/>
        <v>12 years, 6 months</v>
      </c>
      <c r="N968" s="6">
        <v>35</v>
      </c>
      <c r="O968">
        <v>21</v>
      </c>
      <c r="P968">
        <v>24</v>
      </c>
      <c r="Q968">
        <f t="shared" si="63"/>
        <v>45</v>
      </c>
      <c r="R968">
        <v>6</v>
      </c>
      <c r="S968">
        <v>9</v>
      </c>
      <c r="T968">
        <f>Table[[#This Row],[NumWebPurchases]]+Table[[#This Row],[NumStorePurchases]]</f>
        <v>15</v>
      </c>
    </row>
    <row r="969" spans="1:20" ht="12.5">
      <c r="A969" s="6">
        <v>967</v>
      </c>
      <c r="B969" s="6">
        <v>7011</v>
      </c>
      <c r="C969" s="6">
        <v>1973</v>
      </c>
      <c r="D969" s="6">
        <f t="shared" si="60"/>
        <v>52</v>
      </c>
      <c r="E969" s="7" t="s">
        <v>9</v>
      </c>
      <c r="F969" s="7" t="s">
        <v>13</v>
      </c>
      <c r="G969" s="6">
        <v>33471</v>
      </c>
      <c r="H969" s="6" t="str" cm="1">
        <f t="array" ref="H969">_xlfn.IFS(
  G969 &lt; 25000, "Low",
  AND(G969 &gt;= 25000, G969 &lt; 75000), "Medium",
  AND(G969 &gt;= 75000, G969 &lt; 150000), "High",
  G969 &gt;= 150000, "Very High"
)</f>
        <v>Medium</v>
      </c>
      <c r="I969" s="6">
        <v>1</v>
      </c>
      <c r="J969" s="6">
        <v>0</v>
      </c>
      <c r="K969" s="6">
        <f t="shared" si="61"/>
        <v>1</v>
      </c>
      <c r="L969" s="9">
        <v>41194</v>
      </c>
      <c r="M969" t="str">
        <f t="shared" ca="1" si="62"/>
        <v>13 years, 4 months</v>
      </c>
      <c r="N969" s="6">
        <v>47</v>
      </c>
      <c r="O969">
        <v>2</v>
      </c>
      <c r="P969">
        <v>9</v>
      </c>
      <c r="Q969">
        <f t="shared" si="63"/>
        <v>11</v>
      </c>
      <c r="R969">
        <v>3</v>
      </c>
      <c r="S969">
        <v>4</v>
      </c>
      <c r="T969">
        <f>Table[[#This Row],[NumWebPurchases]]+Table[[#This Row],[NumStorePurchases]]</f>
        <v>7</v>
      </c>
    </row>
    <row r="970" spans="1:20" ht="12.5">
      <c r="A970" s="6">
        <v>968</v>
      </c>
      <c r="B970" s="6">
        <v>2620</v>
      </c>
      <c r="C970" s="6">
        <v>1974</v>
      </c>
      <c r="D970" s="6">
        <f t="shared" si="60"/>
        <v>51</v>
      </c>
      <c r="E970" s="7" t="s">
        <v>12</v>
      </c>
      <c r="F970" s="7" t="s">
        <v>13</v>
      </c>
      <c r="G970" s="6">
        <v>34596</v>
      </c>
      <c r="H970" s="6" t="str" cm="1">
        <f t="array" ref="H970">_xlfn.IFS(
  G970 &lt; 25000, "Low",
  AND(G970 &gt;= 25000, G970 &lt; 75000), "Medium",
  AND(G970 &gt;= 75000, G970 &lt; 150000), "High",
  G970 &gt;= 150000, "Very High"
)</f>
        <v>Medium</v>
      </c>
      <c r="I970" s="6">
        <v>1</v>
      </c>
      <c r="J970" s="6">
        <v>0</v>
      </c>
      <c r="K970" s="6">
        <f t="shared" si="61"/>
        <v>1</v>
      </c>
      <c r="L970" s="8">
        <v>41377</v>
      </c>
      <c r="M970" t="str">
        <f t="shared" ca="1" si="62"/>
        <v>12 years, 10 months</v>
      </c>
      <c r="N970" s="6">
        <v>48</v>
      </c>
      <c r="O970">
        <v>0</v>
      </c>
      <c r="P970">
        <v>0</v>
      </c>
      <c r="Q970">
        <f t="shared" si="63"/>
        <v>0</v>
      </c>
      <c r="R970">
        <v>1</v>
      </c>
      <c r="S970">
        <v>2</v>
      </c>
      <c r="T970">
        <f>Table[[#This Row],[NumWebPurchases]]+Table[[#This Row],[NumStorePurchases]]</f>
        <v>3</v>
      </c>
    </row>
    <row r="971" spans="1:20" ht="12.5">
      <c r="A971" s="6">
        <v>969</v>
      </c>
      <c r="B971" s="6">
        <v>3933</v>
      </c>
      <c r="C971" s="6">
        <v>1980</v>
      </c>
      <c r="D971" s="6">
        <f t="shared" si="60"/>
        <v>45</v>
      </c>
      <c r="E971" s="7" t="s">
        <v>9</v>
      </c>
      <c r="F971" s="7" t="s">
        <v>11</v>
      </c>
      <c r="G971" s="6">
        <v>44010</v>
      </c>
      <c r="H971" s="6" t="str" cm="1">
        <f t="array" ref="H971">_xlfn.IFS(
  G971 &lt; 25000, "Low",
  AND(G971 &gt;= 25000, G971 &lt; 75000), "Medium",
  AND(G971 &gt;= 75000, G971 &lt; 150000), "High",
  G971 &gt;= 150000, "Very High"
)</f>
        <v>Medium</v>
      </c>
      <c r="I971" s="6">
        <v>1</v>
      </c>
      <c r="J971" s="6">
        <v>0</v>
      </c>
      <c r="K971" s="6">
        <f t="shared" si="61"/>
        <v>1</v>
      </c>
      <c r="L971" s="9">
        <v>41195</v>
      </c>
      <c r="M971" t="str">
        <f t="shared" ca="1" si="62"/>
        <v>13 years, 4 months</v>
      </c>
      <c r="N971" s="6">
        <v>46</v>
      </c>
      <c r="O971">
        <v>36</v>
      </c>
      <c r="P971">
        <v>72</v>
      </c>
      <c r="Q971">
        <f t="shared" si="63"/>
        <v>108</v>
      </c>
      <c r="R971">
        <v>10</v>
      </c>
      <c r="S971">
        <v>6</v>
      </c>
      <c r="T971">
        <f>Table[[#This Row],[NumWebPurchases]]+Table[[#This Row],[NumStorePurchases]]</f>
        <v>16</v>
      </c>
    </row>
    <row r="972" spans="1:20" ht="12.5">
      <c r="A972" s="6">
        <v>970</v>
      </c>
      <c r="B972" s="6">
        <v>10981</v>
      </c>
      <c r="C972" s="6">
        <v>1988</v>
      </c>
      <c r="D972" s="6">
        <f t="shared" si="60"/>
        <v>37</v>
      </c>
      <c r="E972" s="7" t="s">
        <v>9</v>
      </c>
      <c r="F972" s="7" t="s">
        <v>13</v>
      </c>
      <c r="G972" s="6">
        <v>84219</v>
      </c>
      <c r="H972" s="6" t="str" cm="1">
        <f t="array" ref="H972">_xlfn.IFS(
  G972 &lt; 25000, "Low",
  AND(G972 &gt;= 25000, G972 &lt; 75000), "Medium",
  AND(G972 &gt;= 75000, G972 &lt; 150000), "High",
  G972 &gt;= 150000, "Very High"
)</f>
        <v>High</v>
      </c>
      <c r="I972" s="6">
        <v>0</v>
      </c>
      <c r="J972" s="6">
        <v>0</v>
      </c>
      <c r="K972" s="6">
        <f t="shared" si="61"/>
        <v>0</v>
      </c>
      <c r="L972" s="8">
        <v>41672</v>
      </c>
      <c r="M972" t="str">
        <f t="shared" ca="1" si="62"/>
        <v>12 years, 1 months</v>
      </c>
      <c r="N972" s="6">
        <v>27</v>
      </c>
      <c r="O972">
        <v>137</v>
      </c>
      <c r="P972">
        <v>137</v>
      </c>
      <c r="Q972">
        <f t="shared" si="63"/>
        <v>274</v>
      </c>
      <c r="R972">
        <v>3</v>
      </c>
      <c r="S972">
        <v>10</v>
      </c>
      <c r="T972">
        <f>Table[[#This Row],[NumWebPurchases]]+Table[[#This Row],[NumStorePurchases]]</f>
        <v>13</v>
      </c>
    </row>
    <row r="973" spans="1:20" ht="12.5">
      <c r="A973" s="6">
        <v>971</v>
      </c>
      <c r="B973" s="6">
        <v>1734</v>
      </c>
      <c r="C973" s="6">
        <v>1968</v>
      </c>
      <c r="D973" s="6">
        <f t="shared" si="60"/>
        <v>57</v>
      </c>
      <c r="E973" s="7" t="s">
        <v>12</v>
      </c>
      <c r="F973" s="7" t="s">
        <v>11</v>
      </c>
      <c r="G973" s="6">
        <v>40706</v>
      </c>
      <c r="H973" s="6" t="str" cm="1">
        <f t="array" ref="H973">_xlfn.IFS(
  G973 &lt; 25000, "Low",
  AND(G973 &gt;= 25000, G973 &lt; 75000), "Medium",
  AND(G973 &gt;= 75000, G973 &lt; 150000), "High",
  G973 &gt;= 150000, "Very High"
)</f>
        <v>Medium</v>
      </c>
      <c r="I973" s="6">
        <v>2</v>
      </c>
      <c r="J973" s="6">
        <v>1</v>
      </c>
      <c r="K973" s="6">
        <f t="shared" si="61"/>
        <v>3</v>
      </c>
      <c r="L973" s="8">
        <v>41291</v>
      </c>
      <c r="M973" t="str">
        <f t="shared" ca="1" si="62"/>
        <v>13 years, 1 months</v>
      </c>
      <c r="N973" s="6">
        <v>37</v>
      </c>
      <c r="O973">
        <v>0</v>
      </c>
      <c r="P973">
        <v>2</v>
      </c>
      <c r="Q973">
        <f t="shared" si="63"/>
        <v>2</v>
      </c>
      <c r="R973">
        <v>3</v>
      </c>
      <c r="S973">
        <v>4</v>
      </c>
      <c r="T973">
        <f>Table[[#This Row],[NumWebPurchases]]+Table[[#This Row],[NumStorePurchases]]</f>
        <v>7</v>
      </c>
    </row>
    <row r="974" spans="1:20" ht="12.5">
      <c r="A974" s="6">
        <v>972</v>
      </c>
      <c r="B974" s="6">
        <v>10995</v>
      </c>
      <c r="C974" s="6">
        <v>1988</v>
      </c>
      <c r="D974" s="6">
        <f t="shared" si="60"/>
        <v>37</v>
      </c>
      <c r="E974" s="7" t="s">
        <v>17</v>
      </c>
      <c r="F974" s="7" t="s">
        <v>13</v>
      </c>
      <c r="G974" s="6">
        <v>15716</v>
      </c>
      <c r="H974" s="6" t="str" cm="1">
        <f t="array" ref="H974">_xlfn.IFS(
  G974 &lt; 25000, "Low",
  AND(G974 &gt;= 25000, G974 &lt; 75000), "Medium",
  AND(G974 &gt;= 75000, G974 &lt; 150000), "High",
  G974 &gt;= 150000, "Very High"
)</f>
        <v>Low</v>
      </c>
      <c r="I974" s="6">
        <v>1</v>
      </c>
      <c r="J974" s="6">
        <v>0</v>
      </c>
      <c r="K974" s="6">
        <f t="shared" si="61"/>
        <v>1</v>
      </c>
      <c r="L974" s="9">
        <v>41225</v>
      </c>
      <c r="M974" t="str">
        <f t="shared" ca="1" si="62"/>
        <v>13 years, 3 months</v>
      </c>
      <c r="N974" s="6">
        <v>8</v>
      </c>
      <c r="O974">
        <v>5</v>
      </c>
      <c r="P974">
        <v>7</v>
      </c>
      <c r="Q974">
        <f t="shared" si="63"/>
        <v>12</v>
      </c>
      <c r="R974">
        <v>3</v>
      </c>
      <c r="S974">
        <v>4</v>
      </c>
      <c r="T974">
        <f>Table[[#This Row],[NumWebPurchases]]+Table[[#This Row],[NumStorePurchases]]</f>
        <v>7</v>
      </c>
    </row>
    <row r="975" spans="1:20" ht="12.5">
      <c r="A975" s="6">
        <v>973</v>
      </c>
      <c r="B975" s="6">
        <v>6357</v>
      </c>
      <c r="C975" s="6">
        <v>1959</v>
      </c>
      <c r="D975" s="6">
        <f t="shared" si="60"/>
        <v>66</v>
      </c>
      <c r="E975" s="7" t="s">
        <v>17</v>
      </c>
      <c r="F975" s="7" t="s">
        <v>15</v>
      </c>
      <c r="G975" s="6">
        <v>59052</v>
      </c>
      <c r="H975" s="6" t="str" cm="1">
        <f t="array" ref="H975">_xlfn.IFS(
  G975 &lt; 25000, "Low",
  AND(G975 &gt;= 25000, G975 &lt; 75000), "Medium",
  AND(G975 &gt;= 75000, G975 &lt; 150000), "High",
  G975 &gt;= 150000, "Very High"
)</f>
        <v>Medium</v>
      </c>
      <c r="I975" s="6">
        <v>0</v>
      </c>
      <c r="J975" s="6">
        <v>1</v>
      </c>
      <c r="K975" s="6">
        <f t="shared" si="61"/>
        <v>1</v>
      </c>
      <c r="L975" s="9">
        <v>41595</v>
      </c>
      <c r="M975" t="str">
        <f t="shared" ca="1" si="62"/>
        <v>12 years, 3 months</v>
      </c>
      <c r="N975" s="6">
        <v>29</v>
      </c>
      <c r="O975">
        <v>35</v>
      </c>
      <c r="P975">
        <v>57</v>
      </c>
      <c r="Q975">
        <f t="shared" si="63"/>
        <v>92</v>
      </c>
      <c r="R975">
        <v>7</v>
      </c>
      <c r="S975">
        <v>7</v>
      </c>
      <c r="T975">
        <f>Table[[#This Row],[NumWebPurchases]]+Table[[#This Row],[NumStorePurchases]]</f>
        <v>14</v>
      </c>
    </row>
    <row r="976" spans="1:20" ht="12.5">
      <c r="A976" s="6">
        <v>974</v>
      </c>
      <c r="B976" s="6">
        <v>9209</v>
      </c>
      <c r="C976" s="6">
        <v>1971</v>
      </c>
      <c r="D976" s="6">
        <f t="shared" si="60"/>
        <v>54</v>
      </c>
      <c r="E976" s="7" t="s">
        <v>14</v>
      </c>
      <c r="F976" s="7" t="s">
        <v>11</v>
      </c>
      <c r="G976" s="6">
        <v>80573</v>
      </c>
      <c r="H976" s="6" t="str" cm="1">
        <f t="array" ref="H976">_xlfn.IFS(
  G976 &lt; 25000, "Low",
  AND(G976 &gt;= 25000, G976 &lt; 75000), "Medium",
  AND(G976 &gt;= 75000, G976 &lt; 150000), "High",
  G976 &gt;= 150000, "Very High"
)</f>
        <v>High</v>
      </c>
      <c r="I976" s="6">
        <v>0</v>
      </c>
      <c r="J976" s="6">
        <v>0</v>
      </c>
      <c r="K976" s="6">
        <f t="shared" si="61"/>
        <v>0</v>
      </c>
      <c r="L976" s="9">
        <v>41196</v>
      </c>
      <c r="M976" t="str">
        <f t="shared" ca="1" si="62"/>
        <v>13 years, 4 months</v>
      </c>
      <c r="N976" s="6">
        <v>85</v>
      </c>
      <c r="O976">
        <v>138</v>
      </c>
      <c r="P976">
        <v>92</v>
      </c>
      <c r="Q976">
        <f t="shared" si="63"/>
        <v>230</v>
      </c>
      <c r="R976">
        <v>4</v>
      </c>
      <c r="S976">
        <v>13</v>
      </c>
      <c r="T976">
        <f>Table[[#This Row],[NumWebPurchases]]+Table[[#This Row],[NumStorePurchases]]</f>
        <v>17</v>
      </c>
    </row>
    <row r="977" spans="1:20" ht="12.5">
      <c r="A977" s="6">
        <v>975</v>
      </c>
      <c r="B977" s="6">
        <v>10286</v>
      </c>
      <c r="C977" s="6">
        <v>1962</v>
      </c>
      <c r="D977" s="6">
        <f t="shared" si="60"/>
        <v>63</v>
      </c>
      <c r="E977" s="7" t="s">
        <v>9</v>
      </c>
      <c r="F977" s="7" t="s">
        <v>13</v>
      </c>
      <c r="G977" s="6">
        <v>83715</v>
      </c>
      <c r="H977" s="6" t="str" cm="1">
        <f t="array" ref="H977">_xlfn.IFS(
  G977 &lt; 25000, "Low",
  AND(G977 &gt;= 25000, G977 &lt; 75000), "Medium",
  AND(G977 &gt;= 75000, G977 &lt; 150000), "High",
  G977 &gt;= 150000, "Very High"
)</f>
        <v>High</v>
      </c>
      <c r="I977" s="6">
        <v>0</v>
      </c>
      <c r="J977" s="6">
        <v>0</v>
      </c>
      <c r="K977" s="6">
        <f t="shared" si="61"/>
        <v>0</v>
      </c>
      <c r="L977" s="8">
        <v>41673</v>
      </c>
      <c r="M977" t="str">
        <f t="shared" ca="1" si="62"/>
        <v>12 years, 1 months</v>
      </c>
      <c r="N977" s="6">
        <v>2</v>
      </c>
      <c r="O977">
        <v>8</v>
      </c>
      <c r="P977">
        <v>35</v>
      </c>
      <c r="Q977">
        <f t="shared" si="63"/>
        <v>43</v>
      </c>
      <c r="R977">
        <v>2</v>
      </c>
      <c r="S977">
        <v>13</v>
      </c>
      <c r="T977">
        <f>Table[[#This Row],[NumWebPurchases]]+Table[[#This Row],[NumStorePurchases]]</f>
        <v>15</v>
      </c>
    </row>
    <row r="978" spans="1:20" ht="12.5">
      <c r="A978" s="6">
        <v>976</v>
      </c>
      <c r="B978" s="6">
        <v>2611</v>
      </c>
      <c r="C978" s="6">
        <v>1959</v>
      </c>
      <c r="D978" s="6">
        <f t="shared" si="60"/>
        <v>66</v>
      </c>
      <c r="E978" s="7" t="s">
        <v>14</v>
      </c>
      <c r="F978" s="7" t="s">
        <v>11</v>
      </c>
      <c r="G978" s="6">
        <v>82576</v>
      </c>
      <c r="H978" s="6" t="str" cm="1">
        <f t="array" ref="H978">_xlfn.IFS(
  G978 &lt; 25000, "Low",
  AND(G978 &gt;= 25000, G978 &lt; 75000), "Medium",
  AND(G978 &gt;= 75000, G978 &lt; 150000), "High",
  G978 &gt;= 150000, "Very High"
)</f>
        <v>High</v>
      </c>
      <c r="I978" s="6">
        <v>0</v>
      </c>
      <c r="J978" s="6">
        <v>0</v>
      </c>
      <c r="K978" s="6">
        <f t="shared" si="61"/>
        <v>0</v>
      </c>
      <c r="L978" s="8">
        <v>41122</v>
      </c>
      <c r="M978" t="str">
        <f t="shared" ca="1" si="62"/>
        <v>13 years, 7 months</v>
      </c>
      <c r="N978" s="6">
        <v>66</v>
      </c>
      <c r="O978">
        <v>55</v>
      </c>
      <c r="P978">
        <v>18</v>
      </c>
      <c r="Q978">
        <f t="shared" si="63"/>
        <v>73</v>
      </c>
      <c r="R978">
        <v>2</v>
      </c>
      <c r="S978">
        <v>12</v>
      </c>
      <c r="T978">
        <f>Table[[#This Row],[NumWebPurchases]]+Table[[#This Row],[NumStorePurchases]]</f>
        <v>14</v>
      </c>
    </row>
    <row r="979" spans="1:20" ht="12.5">
      <c r="A979" s="6">
        <v>977</v>
      </c>
      <c r="B979" s="6">
        <v>1600</v>
      </c>
      <c r="C979" s="6">
        <v>1965</v>
      </c>
      <c r="D979" s="6">
        <f t="shared" si="60"/>
        <v>60</v>
      </c>
      <c r="E979" s="7" t="s">
        <v>14</v>
      </c>
      <c r="F979" s="7" t="s">
        <v>13</v>
      </c>
      <c r="G979" s="6">
        <v>56962</v>
      </c>
      <c r="H979" s="6" t="str" cm="1">
        <f t="array" ref="H979">_xlfn.IFS(
  G979 &lt; 25000, "Low",
  AND(G979 &gt;= 25000, G979 &lt; 75000), "Medium",
  AND(G979 &gt;= 75000, G979 &lt; 150000), "High",
  G979 &gt;= 150000, "Very High"
)</f>
        <v>Medium</v>
      </c>
      <c r="I979" s="6">
        <v>2</v>
      </c>
      <c r="J979" s="6">
        <v>1</v>
      </c>
      <c r="K979" s="6">
        <f t="shared" si="61"/>
        <v>3</v>
      </c>
      <c r="L979" s="9">
        <v>41558</v>
      </c>
      <c r="M979" t="str">
        <f t="shared" ca="1" si="62"/>
        <v>12 years, 4 months</v>
      </c>
      <c r="N979" s="6">
        <v>60</v>
      </c>
      <c r="O979">
        <v>3</v>
      </c>
      <c r="P979">
        <v>3</v>
      </c>
      <c r="Q979">
        <f t="shared" si="63"/>
        <v>6</v>
      </c>
      <c r="R979">
        <v>6</v>
      </c>
      <c r="S979">
        <v>5</v>
      </c>
      <c r="T979">
        <f>Table[[#This Row],[NumWebPurchases]]+Table[[#This Row],[NumStorePurchases]]</f>
        <v>11</v>
      </c>
    </row>
    <row r="980" spans="1:20" ht="12.5">
      <c r="A980" s="6">
        <v>978</v>
      </c>
      <c r="B980" s="6">
        <v>3308</v>
      </c>
      <c r="C980" s="6">
        <v>1952</v>
      </c>
      <c r="D980" s="6">
        <f t="shared" si="60"/>
        <v>73</v>
      </c>
      <c r="E980" s="7" t="s">
        <v>9</v>
      </c>
      <c r="F980" s="7" t="s">
        <v>13</v>
      </c>
      <c r="G980" s="6">
        <v>35704</v>
      </c>
      <c r="H980" s="6" t="str" cm="1">
        <f t="array" ref="H980">_xlfn.IFS(
  G980 &lt; 25000, "Low",
  AND(G980 &gt;= 25000, G980 &lt; 75000), "Medium",
  AND(G980 &gt;= 75000, G980 &lt; 150000), "High",
  G980 &gt;= 150000, "Very High"
)</f>
        <v>Medium</v>
      </c>
      <c r="I980" s="6">
        <v>1</v>
      </c>
      <c r="J980" s="6">
        <v>1</v>
      </c>
      <c r="K980" s="6">
        <f t="shared" si="61"/>
        <v>2</v>
      </c>
      <c r="L980" s="8">
        <v>41642</v>
      </c>
      <c r="M980" t="str">
        <f t="shared" ca="1" si="62"/>
        <v>12 years, 2 months</v>
      </c>
      <c r="N980" s="6">
        <v>54</v>
      </c>
      <c r="O980">
        <v>9</v>
      </c>
      <c r="P980">
        <v>11</v>
      </c>
      <c r="Q980">
        <f t="shared" si="63"/>
        <v>20</v>
      </c>
      <c r="R980">
        <v>2</v>
      </c>
      <c r="S980">
        <v>4</v>
      </c>
      <c r="T980">
        <f>Table[[#This Row],[NumWebPurchases]]+Table[[#This Row],[NumStorePurchases]]</f>
        <v>6</v>
      </c>
    </row>
    <row r="981" spans="1:20" ht="12.5">
      <c r="A981" s="6">
        <v>979</v>
      </c>
      <c r="B981" s="6">
        <v>5407</v>
      </c>
      <c r="C981" s="6">
        <v>1954</v>
      </c>
      <c r="D981" s="6">
        <f t="shared" si="60"/>
        <v>71</v>
      </c>
      <c r="E981" s="7" t="s">
        <v>9</v>
      </c>
      <c r="F981" s="7" t="s">
        <v>11</v>
      </c>
      <c r="G981" s="6">
        <v>53103</v>
      </c>
      <c r="H981" s="6" t="str" cm="1">
        <f t="array" ref="H981">_xlfn.IFS(
  G981 &lt; 25000, "Low",
  AND(G981 &gt;= 25000, G981 &lt; 75000), "Medium",
  AND(G981 &gt;= 75000, G981 &lt; 150000), "High",
  G981 &gt;= 150000, "Very High"
)</f>
        <v>Medium</v>
      </c>
      <c r="I981" s="6">
        <v>0</v>
      </c>
      <c r="J981" s="6">
        <v>1</v>
      </c>
      <c r="K981" s="6">
        <f t="shared" si="61"/>
        <v>1</v>
      </c>
      <c r="L981" s="8">
        <v>41529</v>
      </c>
      <c r="M981" t="str">
        <f t="shared" ca="1" si="62"/>
        <v>12 years, 5 months</v>
      </c>
      <c r="N981" s="6">
        <v>70</v>
      </c>
      <c r="O981">
        <v>17</v>
      </c>
      <c r="P981">
        <v>0</v>
      </c>
      <c r="Q981">
        <f t="shared" si="63"/>
        <v>17</v>
      </c>
      <c r="R981">
        <v>10</v>
      </c>
      <c r="S981">
        <v>7</v>
      </c>
      <c r="T981">
        <f>Table[[#This Row],[NumWebPurchases]]+Table[[#This Row],[NumStorePurchases]]</f>
        <v>17</v>
      </c>
    </row>
    <row r="982" spans="1:20" ht="12.5">
      <c r="A982" s="6">
        <v>980</v>
      </c>
      <c r="B982" s="6">
        <v>2166</v>
      </c>
      <c r="C982" s="6">
        <v>1960</v>
      </c>
      <c r="D982" s="6">
        <f t="shared" si="60"/>
        <v>65</v>
      </c>
      <c r="E982" s="7" t="s">
        <v>17</v>
      </c>
      <c r="F982" s="7" t="s">
        <v>18</v>
      </c>
      <c r="G982" s="6">
        <v>46779</v>
      </c>
      <c r="H982" s="6" t="str" cm="1">
        <f t="array" ref="H982">_xlfn.IFS(
  G982 &lt; 25000, "Low",
  AND(G982 &gt;= 25000, G982 &lt; 75000), "Medium",
  AND(G982 &gt;= 75000, G982 &lt; 150000), "High",
  G982 &gt;= 150000, "Very High"
)</f>
        <v>Medium</v>
      </c>
      <c r="I982" s="6">
        <v>1</v>
      </c>
      <c r="J982" s="6">
        <v>1</v>
      </c>
      <c r="K982" s="6">
        <f t="shared" si="61"/>
        <v>2</v>
      </c>
      <c r="L982" s="8">
        <v>41467</v>
      </c>
      <c r="M982" t="str">
        <f t="shared" ca="1" si="62"/>
        <v>12 years, 7 months</v>
      </c>
      <c r="N982" s="6">
        <v>55</v>
      </c>
      <c r="O982">
        <v>1</v>
      </c>
      <c r="P982">
        <v>0</v>
      </c>
      <c r="Q982">
        <f t="shared" si="63"/>
        <v>1</v>
      </c>
      <c r="R982">
        <v>0</v>
      </c>
      <c r="S982">
        <v>2</v>
      </c>
      <c r="T982">
        <f>Table[[#This Row],[NumWebPurchases]]+Table[[#This Row],[NumStorePurchases]]</f>
        <v>2</v>
      </c>
    </row>
    <row r="983" spans="1:20" ht="12.5">
      <c r="A983" s="6">
        <v>981</v>
      </c>
      <c r="B983" s="6">
        <v>3955</v>
      </c>
      <c r="C983" s="6">
        <v>1965</v>
      </c>
      <c r="D983" s="6">
        <f t="shared" si="60"/>
        <v>60</v>
      </c>
      <c r="E983" s="7" t="s">
        <v>9</v>
      </c>
      <c r="F983" s="7" t="s">
        <v>15</v>
      </c>
      <c r="G983" s="6">
        <v>4861</v>
      </c>
      <c r="H983" s="6" t="str" cm="1">
        <f t="array" ref="H983">_xlfn.IFS(
  G983 &lt; 25000, "Low",
  AND(G983 &gt;= 25000, G983 &lt; 75000), "Medium",
  AND(G983 &gt;= 75000, G983 &lt; 150000), "High",
  G983 &gt;= 150000, "Very High"
)</f>
        <v>Low</v>
      </c>
      <c r="I983" s="6">
        <v>0</v>
      </c>
      <c r="J983" s="6">
        <v>0</v>
      </c>
      <c r="K983" s="6">
        <f t="shared" si="61"/>
        <v>0</v>
      </c>
      <c r="L983" s="8">
        <v>41812</v>
      </c>
      <c r="M983" t="str">
        <f t="shared" ca="1" si="62"/>
        <v>11 years, 8 months</v>
      </c>
      <c r="N983" s="6">
        <v>20</v>
      </c>
      <c r="O983">
        <v>1</v>
      </c>
      <c r="P983">
        <v>0</v>
      </c>
      <c r="Q983">
        <f t="shared" si="63"/>
        <v>1</v>
      </c>
      <c r="R983">
        <v>0</v>
      </c>
      <c r="S983">
        <v>0</v>
      </c>
      <c r="T983">
        <f>Table[[#This Row],[NumWebPurchases]]+Table[[#This Row],[NumStorePurchases]]</f>
        <v>0</v>
      </c>
    </row>
    <row r="984" spans="1:20" ht="12.5">
      <c r="A984" s="6">
        <v>982</v>
      </c>
      <c r="B984" s="6">
        <v>6634</v>
      </c>
      <c r="C984" s="6">
        <v>1979</v>
      </c>
      <c r="D984" s="6">
        <f t="shared" si="60"/>
        <v>46</v>
      </c>
      <c r="E984" s="7" t="s">
        <v>14</v>
      </c>
      <c r="F984" s="7" t="s">
        <v>15</v>
      </c>
      <c r="G984" s="6">
        <v>33462</v>
      </c>
      <c r="H984" s="6" t="str" cm="1">
        <f t="array" ref="H984">_xlfn.IFS(
  G984 &lt; 25000, "Low",
  AND(G984 &gt;= 25000, G984 &lt; 75000), "Medium",
  AND(G984 &gt;= 75000, G984 &lt; 150000), "High",
  G984 &gt;= 150000, "Very High"
)</f>
        <v>Medium</v>
      </c>
      <c r="I984" s="6">
        <v>1</v>
      </c>
      <c r="J984" s="6">
        <v>0</v>
      </c>
      <c r="K984" s="6">
        <f t="shared" si="61"/>
        <v>1</v>
      </c>
      <c r="L984" s="8">
        <v>41493</v>
      </c>
      <c r="M984" t="str">
        <f t="shared" ca="1" si="62"/>
        <v>12 years, 6 months</v>
      </c>
      <c r="N984" s="6">
        <v>78</v>
      </c>
      <c r="O984">
        <v>3</v>
      </c>
      <c r="P984">
        <v>0</v>
      </c>
      <c r="Q984">
        <f t="shared" si="63"/>
        <v>3</v>
      </c>
      <c r="R984">
        <v>2</v>
      </c>
      <c r="S984">
        <v>3</v>
      </c>
      <c r="T984">
        <f>Table[[#This Row],[NumWebPurchases]]+Table[[#This Row],[NumStorePurchases]]</f>
        <v>5</v>
      </c>
    </row>
    <row r="985" spans="1:20" ht="12.5">
      <c r="A985" s="6">
        <v>983</v>
      </c>
      <c r="B985" s="6">
        <v>3056</v>
      </c>
      <c r="C985" s="6">
        <v>1978</v>
      </c>
      <c r="D985" s="6">
        <f t="shared" si="60"/>
        <v>47</v>
      </c>
      <c r="E985" s="7" t="s">
        <v>9</v>
      </c>
      <c r="F985" s="7" t="s">
        <v>15</v>
      </c>
      <c r="G985" s="6">
        <v>63693</v>
      </c>
      <c r="H985" s="6" t="str" cm="1">
        <f t="array" ref="H985">_xlfn.IFS(
  G985 &lt; 25000, "Low",
  AND(G985 &gt;= 25000, G985 &lt; 75000), "Medium",
  AND(G985 &gt;= 75000, G985 &lt; 150000), "High",
  G985 &gt;= 150000, "Very High"
)</f>
        <v>Medium</v>
      </c>
      <c r="I985" s="6">
        <v>0</v>
      </c>
      <c r="J985" s="6">
        <v>1</v>
      </c>
      <c r="K985" s="6">
        <f t="shared" si="61"/>
        <v>1</v>
      </c>
      <c r="L985" s="9">
        <v>41561</v>
      </c>
      <c r="M985" t="str">
        <f t="shared" ca="1" si="62"/>
        <v>12 years, 4 months</v>
      </c>
      <c r="N985" s="6">
        <v>63</v>
      </c>
      <c r="O985">
        <v>43</v>
      </c>
      <c r="P985">
        <v>87</v>
      </c>
      <c r="Q985">
        <f t="shared" si="63"/>
        <v>130</v>
      </c>
      <c r="R985">
        <v>11</v>
      </c>
      <c r="S985">
        <v>9</v>
      </c>
      <c r="T985">
        <f>Table[[#This Row],[NumWebPurchases]]+Table[[#This Row],[NumStorePurchases]]</f>
        <v>20</v>
      </c>
    </row>
    <row r="986" spans="1:20" ht="12.5">
      <c r="A986" s="6">
        <v>984</v>
      </c>
      <c r="B986" s="6">
        <v>5718</v>
      </c>
      <c r="C986" s="6">
        <v>1950</v>
      </c>
      <c r="D986" s="6">
        <f t="shared" si="60"/>
        <v>75</v>
      </c>
      <c r="E986" s="7" t="s">
        <v>9</v>
      </c>
      <c r="F986" s="7" t="s">
        <v>13</v>
      </c>
      <c r="G986" s="6">
        <v>80763</v>
      </c>
      <c r="H986" s="6" t="str" cm="1">
        <f t="array" ref="H986">_xlfn.IFS(
  G986 &lt; 25000, "Low",
  AND(G986 &gt;= 25000, G986 &lt; 75000), "Medium",
  AND(G986 &gt;= 75000, G986 &lt; 150000), "High",
  G986 &gt;= 150000, "Very High"
)</f>
        <v>High</v>
      </c>
      <c r="I986" s="6">
        <v>0</v>
      </c>
      <c r="J986" s="6">
        <v>0</v>
      </c>
      <c r="K986" s="6">
        <f t="shared" si="61"/>
        <v>0</v>
      </c>
      <c r="L986" s="8">
        <v>41501</v>
      </c>
      <c r="M986" t="str">
        <f t="shared" ca="1" si="62"/>
        <v>12 years, 6 months</v>
      </c>
      <c r="N986" s="6">
        <v>17</v>
      </c>
      <c r="O986">
        <v>168</v>
      </c>
      <c r="P986">
        <v>42</v>
      </c>
      <c r="Q986">
        <f t="shared" si="63"/>
        <v>210</v>
      </c>
      <c r="R986">
        <v>5</v>
      </c>
      <c r="S986">
        <v>6</v>
      </c>
      <c r="T986">
        <f>Table[[#This Row],[NumWebPurchases]]+Table[[#This Row],[NumStorePurchases]]</f>
        <v>11</v>
      </c>
    </row>
    <row r="987" spans="1:20" ht="12.5">
      <c r="A987" s="6">
        <v>985</v>
      </c>
      <c r="B987" s="6">
        <v>6872</v>
      </c>
      <c r="C987" s="6">
        <v>1974</v>
      </c>
      <c r="D987" s="6">
        <f t="shared" si="60"/>
        <v>51</v>
      </c>
      <c r="E987" s="7" t="s">
        <v>12</v>
      </c>
      <c r="F987" s="7" t="s">
        <v>13</v>
      </c>
      <c r="G987" s="6">
        <v>65352</v>
      </c>
      <c r="H987" s="6" t="str" cm="1">
        <f t="array" ref="H987">_xlfn.IFS(
  G987 &lt; 25000, "Low",
  AND(G987 &gt;= 25000, G987 &lt; 75000), "Medium",
  AND(G987 &gt;= 75000, G987 &lt; 150000), "High",
  G987 &gt;= 150000, "Very High"
)</f>
        <v>Medium</v>
      </c>
      <c r="I987" s="6">
        <v>0</v>
      </c>
      <c r="J987" s="6">
        <v>1</v>
      </c>
      <c r="K987" s="6">
        <f t="shared" si="61"/>
        <v>1</v>
      </c>
      <c r="L987" s="8">
        <v>41507</v>
      </c>
      <c r="M987" t="str">
        <f t="shared" ca="1" si="62"/>
        <v>12 years, 6 months</v>
      </c>
      <c r="N987" s="6">
        <v>43</v>
      </c>
      <c r="O987">
        <v>3</v>
      </c>
      <c r="P987">
        <v>7</v>
      </c>
      <c r="Q987">
        <f t="shared" si="63"/>
        <v>10</v>
      </c>
      <c r="R987">
        <v>4</v>
      </c>
      <c r="S987">
        <v>8</v>
      </c>
      <c r="T987">
        <f>Table[[#This Row],[NumWebPurchases]]+Table[[#This Row],[NumStorePurchases]]</f>
        <v>12</v>
      </c>
    </row>
    <row r="988" spans="1:20" ht="12.5">
      <c r="A988" s="6">
        <v>986</v>
      </c>
      <c r="B988" s="6">
        <v>8164</v>
      </c>
      <c r="C988" s="6">
        <v>1978</v>
      </c>
      <c r="D988" s="6">
        <f t="shared" si="60"/>
        <v>47</v>
      </c>
      <c r="E988" s="7" t="s">
        <v>12</v>
      </c>
      <c r="F988" s="7" t="s">
        <v>13</v>
      </c>
      <c r="G988" s="6">
        <v>82170</v>
      </c>
      <c r="H988" s="6" t="str" cm="1">
        <f t="array" ref="H988">_xlfn.IFS(
  G988 &lt; 25000, "Low",
  AND(G988 &gt;= 25000, G988 &lt; 75000), "Medium",
  AND(G988 &gt;= 75000, G988 &lt; 150000), "High",
  G988 &gt;= 150000, "Very High"
)</f>
        <v>High</v>
      </c>
      <c r="I988" s="6">
        <v>0</v>
      </c>
      <c r="J988" s="6">
        <v>0</v>
      </c>
      <c r="K988" s="6">
        <f t="shared" si="61"/>
        <v>0</v>
      </c>
      <c r="L988" s="9">
        <v>41603</v>
      </c>
      <c r="M988" t="str">
        <f t="shared" ca="1" si="62"/>
        <v>12 years, 3 months</v>
      </c>
      <c r="N988" s="6">
        <v>13</v>
      </c>
      <c r="O988">
        <v>93</v>
      </c>
      <c r="P988">
        <v>55</v>
      </c>
      <c r="Q988">
        <f t="shared" si="63"/>
        <v>148</v>
      </c>
      <c r="R988">
        <v>5</v>
      </c>
      <c r="S988">
        <v>7</v>
      </c>
      <c r="T988">
        <f>Table[[#This Row],[NumWebPurchases]]+Table[[#This Row],[NumStorePurchases]]</f>
        <v>12</v>
      </c>
    </row>
    <row r="989" spans="1:20" ht="12.5">
      <c r="A989" s="6">
        <v>987</v>
      </c>
      <c r="B989" s="6">
        <v>4580</v>
      </c>
      <c r="C989" s="6">
        <v>1969</v>
      </c>
      <c r="D989" s="6">
        <f t="shared" si="60"/>
        <v>56</v>
      </c>
      <c r="E989" s="7" t="s">
        <v>9</v>
      </c>
      <c r="F989" s="7" t="s">
        <v>13</v>
      </c>
      <c r="G989" s="6">
        <v>75759</v>
      </c>
      <c r="H989" s="6" t="str" cm="1">
        <f t="array" ref="H989">_xlfn.IFS(
  G989 &lt; 25000, "Low",
  AND(G989 &gt;= 25000, G989 &lt; 75000), "Medium",
  AND(G989 &gt;= 75000, G989 &lt; 150000), "High",
  G989 &gt;= 150000, "Very High"
)</f>
        <v>High</v>
      </c>
      <c r="I989" s="6">
        <v>0</v>
      </c>
      <c r="J989" s="6">
        <v>0</v>
      </c>
      <c r="K989" s="6">
        <f t="shared" si="61"/>
        <v>0</v>
      </c>
      <c r="L989" s="9">
        <v>41572</v>
      </c>
      <c r="M989" t="str">
        <f t="shared" ca="1" si="62"/>
        <v>12 years, 4 months</v>
      </c>
      <c r="N989" s="6">
        <v>46</v>
      </c>
      <c r="O989">
        <v>22</v>
      </c>
      <c r="P989">
        <v>91</v>
      </c>
      <c r="Q989">
        <f t="shared" si="63"/>
        <v>113</v>
      </c>
      <c r="R989">
        <v>9</v>
      </c>
      <c r="S989">
        <v>9</v>
      </c>
      <c r="T989">
        <f>Table[[#This Row],[NumWebPurchases]]+Table[[#This Row],[NumStorePurchases]]</f>
        <v>18</v>
      </c>
    </row>
    <row r="990" spans="1:20" ht="12.5">
      <c r="A990" s="6">
        <v>988</v>
      </c>
      <c r="B990" s="6">
        <v>9305</v>
      </c>
      <c r="C990" s="6">
        <v>1976</v>
      </c>
      <c r="D990" s="6">
        <f t="shared" si="60"/>
        <v>49</v>
      </c>
      <c r="E990" s="7" t="s">
        <v>17</v>
      </c>
      <c r="F990" s="7" t="s">
        <v>10</v>
      </c>
      <c r="G990" s="6">
        <v>79689</v>
      </c>
      <c r="H990" s="6" t="str" cm="1">
        <f t="array" ref="H990">_xlfn.IFS(
  G990 &lt; 25000, "Low",
  AND(G990 &gt;= 25000, G990 &lt; 75000), "Medium",
  AND(G990 &gt;= 75000, G990 &lt; 150000), "High",
  G990 &gt;= 150000, "Very High"
)</f>
        <v>High</v>
      </c>
      <c r="I990" s="6">
        <v>0</v>
      </c>
      <c r="J990" s="6">
        <v>0</v>
      </c>
      <c r="K990" s="6">
        <f t="shared" si="61"/>
        <v>0</v>
      </c>
      <c r="L990" s="8">
        <v>41406</v>
      </c>
      <c r="M990" t="str">
        <f t="shared" ca="1" si="62"/>
        <v>12 years, 9 months</v>
      </c>
      <c r="N990" s="6">
        <v>65</v>
      </c>
      <c r="O990">
        <v>26</v>
      </c>
      <c r="P990">
        <v>37</v>
      </c>
      <c r="Q990">
        <f t="shared" si="63"/>
        <v>63</v>
      </c>
      <c r="R990">
        <v>4</v>
      </c>
      <c r="S990">
        <v>13</v>
      </c>
      <c r="T990">
        <f>Table[[#This Row],[NumWebPurchases]]+Table[[#This Row],[NumStorePurchases]]</f>
        <v>17</v>
      </c>
    </row>
    <row r="991" spans="1:20" ht="12.5">
      <c r="A991" s="6">
        <v>989</v>
      </c>
      <c r="B991" s="6">
        <v>453</v>
      </c>
      <c r="C991" s="6">
        <v>1956</v>
      </c>
      <c r="D991" s="6">
        <f t="shared" si="60"/>
        <v>69</v>
      </c>
      <c r="E991" s="7" t="s">
        <v>12</v>
      </c>
      <c r="F991" s="7" t="s">
        <v>18</v>
      </c>
      <c r="G991" s="6">
        <v>35340</v>
      </c>
      <c r="H991" s="6" t="str" cm="1">
        <f t="array" ref="H991">_xlfn.IFS(
  G991 &lt; 25000, "Low",
  AND(G991 &gt;= 25000, G991 &lt; 75000), "Medium",
  AND(G991 &gt;= 75000, G991 &lt; 150000), "High",
  G991 &gt;= 150000, "Very High"
)</f>
        <v>Medium</v>
      </c>
      <c r="I991" s="6">
        <v>1</v>
      </c>
      <c r="J991" s="6">
        <v>1</v>
      </c>
      <c r="K991" s="6">
        <f t="shared" si="61"/>
        <v>2</v>
      </c>
      <c r="L991" s="8">
        <v>41819</v>
      </c>
      <c r="M991" t="str">
        <f t="shared" ca="1" si="62"/>
        <v>11 years, 8 months</v>
      </c>
      <c r="N991" s="6">
        <v>1</v>
      </c>
      <c r="O991">
        <v>0</v>
      </c>
      <c r="P991">
        <v>1</v>
      </c>
      <c r="Q991">
        <f t="shared" si="63"/>
        <v>1</v>
      </c>
      <c r="R991">
        <v>2</v>
      </c>
      <c r="S991">
        <v>3</v>
      </c>
      <c r="T991">
        <f>Table[[#This Row],[NumWebPurchases]]+Table[[#This Row],[NumStorePurchases]]</f>
        <v>5</v>
      </c>
    </row>
    <row r="992" spans="1:20" ht="12.5">
      <c r="A992" s="6">
        <v>990</v>
      </c>
      <c r="B992" s="6">
        <v>8545</v>
      </c>
      <c r="C992" s="6">
        <v>1954</v>
      </c>
      <c r="D992" s="6">
        <f t="shared" si="60"/>
        <v>71</v>
      </c>
      <c r="E992" s="7" t="s">
        <v>9</v>
      </c>
      <c r="F992" s="7" t="s">
        <v>15</v>
      </c>
      <c r="G992" s="6">
        <v>85683</v>
      </c>
      <c r="H992" s="6" t="str" cm="1">
        <f t="array" ref="H992">_xlfn.IFS(
  G992 &lt; 25000, "Low",
  AND(G992 &gt;= 25000, G992 &lt; 75000), "Medium",
  AND(G992 &gt;= 75000, G992 &lt; 150000), "High",
  G992 &gt;= 150000, "Very High"
)</f>
        <v>High</v>
      </c>
      <c r="I992" s="6">
        <v>0</v>
      </c>
      <c r="J992" s="6">
        <v>0</v>
      </c>
      <c r="K992" s="6">
        <f t="shared" si="61"/>
        <v>0</v>
      </c>
      <c r="L992" s="8">
        <v>41719</v>
      </c>
      <c r="M992" t="str">
        <f t="shared" ca="1" si="62"/>
        <v>11 years, 11 months</v>
      </c>
      <c r="N992" s="6">
        <v>6</v>
      </c>
      <c r="O992">
        <v>17</v>
      </c>
      <c r="P992">
        <v>69</v>
      </c>
      <c r="Q992">
        <f t="shared" si="63"/>
        <v>86</v>
      </c>
      <c r="R992">
        <v>2</v>
      </c>
      <c r="S992">
        <v>10</v>
      </c>
      <c r="T992">
        <f>Table[[#This Row],[NumWebPurchases]]+Table[[#This Row],[NumStorePurchases]]</f>
        <v>12</v>
      </c>
    </row>
    <row r="993" spans="1:20" ht="12.5">
      <c r="A993" s="6">
        <v>991</v>
      </c>
      <c r="B993" s="6">
        <v>9850</v>
      </c>
      <c r="C993" s="6">
        <v>1972</v>
      </c>
      <c r="D993" s="6">
        <f t="shared" si="60"/>
        <v>53</v>
      </c>
      <c r="E993" s="7" t="s">
        <v>17</v>
      </c>
      <c r="F993" s="7" t="s">
        <v>13</v>
      </c>
      <c r="G993" s="6">
        <v>24884</v>
      </c>
      <c r="H993" s="6" t="str" cm="1">
        <f t="array" ref="H993">_xlfn.IFS(
  G993 &lt; 25000, "Low",
  AND(G993 &gt;= 25000, G993 &lt; 75000), "Medium",
  AND(G993 &gt;= 75000, G993 &lt; 150000), "High",
  G993 &gt;= 150000, "Very High"
)</f>
        <v>Low</v>
      </c>
      <c r="I993" s="6">
        <v>1</v>
      </c>
      <c r="J993" s="6">
        <v>0</v>
      </c>
      <c r="K993" s="6">
        <f t="shared" si="61"/>
        <v>1</v>
      </c>
      <c r="L993" s="9">
        <v>41242</v>
      </c>
      <c r="M993" t="str">
        <f t="shared" ca="1" si="62"/>
        <v>13 years, 3 months</v>
      </c>
      <c r="N993" s="6">
        <v>32</v>
      </c>
      <c r="O993">
        <v>6</v>
      </c>
      <c r="P993">
        <v>0</v>
      </c>
      <c r="Q993">
        <f t="shared" si="63"/>
        <v>6</v>
      </c>
      <c r="R993">
        <v>0</v>
      </c>
      <c r="S993">
        <v>3</v>
      </c>
      <c r="T993">
        <f>Table[[#This Row],[NumWebPurchases]]+Table[[#This Row],[NumStorePurchases]]</f>
        <v>3</v>
      </c>
    </row>
    <row r="994" spans="1:20" ht="12.5">
      <c r="A994" s="6">
        <v>992</v>
      </c>
      <c r="B994" s="6">
        <v>7378</v>
      </c>
      <c r="C994" s="6">
        <v>1981</v>
      </c>
      <c r="D994" s="6">
        <f t="shared" si="60"/>
        <v>44</v>
      </c>
      <c r="E994" s="7" t="s">
        <v>14</v>
      </c>
      <c r="F994" s="7" t="s">
        <v>11</v>
      </c>
      <c r="G994" s="6">
        <v>42021</v>
      </c>
      <c r="H994" s="6" t="str" cm="1">
        <f t="array" ref="H994">_xlfn.IFS(
  G994 &lt; 25000, "Low",
  AND(G994 &gt;= 25000, G994 &lt; 75000), "Medium",
  AND(G994 &gt;= 75000, G994 &lt; 150000), "High",
  G994 &gt;= 150000, "Very High"
)</f>
        <v>Medium</v>
      </c>
      <c r="I994" s="6">
        <v>1</v>
      </c>
      <c r="J994" s="6">
        <v>0</v>
      </c>
      <c r="K994" s="6">
        <f t="shared" si="61"/>
        <v>1</v>
      </c>
      <c r="L994" s="8">
        <v>41152</v>
      </c>
      <c r="M994" t="str">
        <f t="shared" ca="1" si="62"/>
        <v>13 years, 6 months</v>
      </c>
      <c r="N994" s="6">
        <v>34</v>
      </c>
      <c r="O994">
        <v>5</v>
      </c>
      <c r="P994">
        <v>5</v>
      </c>
      <c r="Q994">
        <f t="shared" si="63"/>
        <v>10</v>
      </c>
      <c r="R994">
        <v>10</v>
      </c>
      <c r="S994">
        <v>6</v>
      </c>
      <c r="T994">
        <f>Table[[#This Row],[NumWebPurchases]]+Table[[#This Row],[NumStorePurchases]]</f>
        <v>16</v>
      </c>
    </row>
    <row r="995" spans="1:20" ht="12.5">
      <c r="A995" s="6">
        <v>993</v>
      </c>
      <c r="B995" s="6">
        <v>7646</v>
      </c>
      <c r="C995" s="6">
        <v>1989</v>
      </c>
      <c r="D995" s="6">
        <f t="shared" si="60"/>
        <v>36</v>
      </c>
      <c r="E995" s="7" t="s">
        <v>9</v>
      </c>
      <c r="F995" s="7" t="s">
        <v>10</v>
      </c>
      <c r="G995" s="6">
        <v>64449</v>
      </c>
      <c r="H995" s="6" t="str" cm="1">
        <f t="array" ref="H995">_xlfn.IFS(
  G995 &lt; 25000, "Low",
  AND(G995 &gt;= 25000, G995 &lt; 75000), "Medium",
  AND(G995 &gt;= 75000, G995 &lt; 150000), "High",
  G995 &gt;= 150000, "Very High"
)</f>
        <v>Medium</v>
      </c>
      <c r="I995" s="6">
        <v>1</v>
      </c>
      <c r="J995" s="6">
        <v>0</v>
      </c>
      <c r="K995" s="6">
        <f t="shared" si="61"/>
        <v>1</v>
      </c>
      <c r="L995" s="8">
        <v>41688</v>
      </c>
      <c r="M995" t="str">
        <f t="shared" ca="1" si="62"/>
        <v>12 years, 0 months</v>
      </c>
      <c r="N995" s="6">
        <v>70</v>
      </c>
      <c r="O995">
        <v>63</v>
      </c>
      <c r="P995">
        <v>35</v>
      </c>
      <c r="Q995">
        <f t="shared" si="63"/>
        <v>98</v>
      </c>
      <c r="R995">
        <v>5</v>
      </c>
      <c r="S995">
        <v>12</v>
      </c>
      <c r="T995">
        <f>Table[[#This Row],[NumWebPurchases]]+Table[[#This Row],[NumStorePurchases]]</f>
        <v>17</v>
      </c>
    </row>
    <row r="996" spans="1:20" ht="12.5">
      <c r="A996" s="6">
        <v>994</v>
      </c>
      <c r="B996" s="6">
        <v>1640</v>
      </c>
      <c r="C996" s="6">
        <v>1954</v>
      </c>
      <c r="D996" s="6">
        <f t="shared" si="60"/>
        <v>71</v>
      </c>
      <c r="E996" s="7" t="s">
        <v>9</v>
      </c>
      <c r="F996" s="7" t="s">
        <v>15</v>
      </c>
      <c r="G996" s="6">
        <v>64587</v>
      </c>
      <c r="H996" s="6" t="str" cm="1">
        <f t="array" ref="H996">_xlfn.IFS(
  G996 &lt; 25000, "Low",
  AND(G996 &gt;= 25000, G996 &lt; 75000), "Medium",
  AND(G996 &gt;= 75000, G996 &lt; 150000), "High",
  G996 &gt;= 150000, "Very High"
)</f>
        <v>Medium</v>
      </c>
      <c r="I996" s="6">
        <v>1</v>
      </c>
      <c r="J996" s="6">
        <v>1</v>
      </c>
      <c r="K996" s="6">
        <f t="shared" si="61"/>
        <v>2</v>
      </c>
      <c r="L996" s="8">
        <v>41812</v>
      </c>
      <c r="M996" t="str">
        <f t="shared" ca="1" si="62"/>
        <v>11 years, 8 months</v>
      </c>
      <c r="N996" s="6">
        <v>49</v>
      </c>
      <c r="O996">
        <v>0</v>
      </c>
      <c r="P996">
        <v>6</v>
      </c>
      <c r="Q996">
        <f t="shared" si="63"/>
        <v>6</v>
      </c>
      <c r="R996">
        <v>1</v>
      </c>
      <c r="S996">
        <v>4</v>
      </c>
      <c r="T996">
        <f>Table[[#This Row],[NumWebPurchases]]+Table[[#This Row],[NumStorePurchases]]</f>
        <v>5</v>
      </c>
    </row>
    <row r="997" spans="1:20" ht="12.5">
      <c r="A997" s="6">
        <v>995</v>
      </c>
      <c r="B997" s="6">
        <v>5184</v>
      </c>
      <c r="C997" s="6">
        <v>1995</v>
      </c>
      <c r="D997" s="6">
        <f t="shared" si="60"/>
        <v>30</v>
      </c>
      <c r="E997" s="7" t="s">
        <v>9</v>
      </c>
      <c r="F997" s="7" t="s">
        <v>10</v>
      </c>
      <c r="G997" s="6">
        <v>34824</v>
      </c>
      <c r="H997" s="6" t="str" cm="1">
        <f t="array" ref="H997">_xlfn.IFS(
  G997 &lt; 25000, "Low",
  AND(G997 &gt;= 25000, G997 &lt; 75000), "Medium",
  AND(G997 &gt;= 75000, G997 &lt; 150000), "High",
  G997 &gt;= 150000, "Very High"
)</f>
        <v>Medium</v>
      </c>
      <c r="I997" s="6">
        <v>0</v>
      </c>
      <c r="J997" s="6">
        <v>0</v>
      </c>
      <c r="K997" s="6">
        <f t="shared" si="61"/>
        <v>0</v>
      </c>
      <c r="L997" s="8">
        <v>41724</v>
      </c>
      <c r="M997" t="str">
        <f t="shared" ca="1" si="62"/>
        <v>11 years, 11 months</v>
      </c>
      <c r="N997" s="6">
        <v>65</v>
      </c>
      <c r="O997">
        <v>2</v>
      </c>
      <c r="P997">
        <v>0</v>
      </c>
      <c r="Q997">
        <f t="shared" si="63"/>
        <v>2</v>
      </c>
      <c r="R997">
        <v>1</v>
      </c>
      <c r="S997">
        <v>2</v>
      </c>
      <c r="T997">
        <f>Table[[#This Row],[NumWebPurchases]]+Table[[#This Row],[NumStorePurchases]]</f>
        <v>3</v>
      </c>
    </row>
    <row r="998" spans="1:20" ht="12.5">
      <c r="A998" s="6">
        <v>996</v>
      </c>
      <c r="B998" s="6">
        <v>8492</v>
      </c>
      <c r="C998" s="6">
        <v>1978</v>
      </c>
      <c r="D998" s="6">
        <f t="shared" si="60"/>
        <v>47</v>
      </c>
      <c r="E998" s="7" t="s">
        <v>9</v>
      </c>
      <c r="F998" s="7" t="s">
        <v>11</v>
      </c>
      <c r="G998" s="6">
        <v>75437</v>
      </c>
      <c r="H998" s="6" t="str" cm="1">
        <f t="array" ref="H998">_xlfn.IFS(
  G998 &lt; 25000, "Low",
  AND(G998 &gt;= 25000, G998 &lt; 75000), "Medium",
  AND(G998 &gt;= 75000, G998 &lt; 150000), "High",
  G998 &gt;= 150000, "Very High"
)</f>
        <v>High</v>
      </c>
      <c r="I998" s="6">
        <v>0</v>
      </c>
      <c r="J998" s="6">
        <v>0</v>
      </c>
      <c r="K998" s="6">
        <f t="shared" si="61"/>
        <v>0</v>
      </c>
      <c r="L998" s="8">
        <v>41587</v>
      </c>
      <c r="M998" t="str">
        <f t="shared" ca="1" si="62"/>
        <v>12 years, 3 months</v>
      </c>
      <c r="N998" s="6">
        <v>25</v>
      </c>
      <c r="O998">
        <v>0</v>
      </c>
      <c r="P998">
        <v>58</v>
      </c>
      <c r="Q998">
        <f t="shared" si="63"/>
        <v>58</v>
      </c>
      <c r="R998">
        <v>8</v>
      </c>
      <c r="S998">
        <v>10</v>
      </c>
      <c r="T998">
        <f>Table[[#This Row],[NumWebPurchases]]+Table[[#This Row],[NumStorePurchases]]</f>
        <v>18</v>
      </c>
    </row>
    <row r="999" spans="1:20" ht="12.5">
      <c r="A999" s="6">
        <v>997</v>
      </c>
      <c r="B999" s="6">
        <v>11188</v>
      </c>
      <c r="C999" s="6">
        <v>1957</v>
      </c>
      <c r="D999" s="6">
        <f t="shared" si="60"/>
        <v>68</v>
      </c>
      <c r="E999" s="7" t="s">
        <v>9</v>
      </c>
      <c r="F999" s="7" t="s">
        <v>11</v>
      </c>
      <c r="G999" s="6">
        <v>26091</v>
      </c>
      <c r="H999" s="6" t="str" cm="1">
        <f t="array" ref="H999">_xlfn.IFS(
  G999 &lt; 25000, "Low",
  AND(G999 &gt;= 25000, G999 &lt; 75000), "Medium",
  AND(G999 &gt;= 75000, G999 &lt; 150000), "High",
  G999 &gt;= 150000, "Very High"
)</f>
        <v>Medium</v>
      </c>
      <c r="I999" s="6">
        <v>1</v>
      </c>
      <c r="J999" s="6">
        <v>1</v>
      </c>
      <c r="K999" s="6">
        <f t="shared" si="61"/>
        <v>2</v>
      </c>
      <c r="L999" s="8">
        <v>41695</v>
      </c>
      <c r="M999" t="str">
        <f t="shared" ca="1" si="62"/>
        <v>12 years, 0 months</v>
      </c>
      <c r="N999" s="6">
        <v>84</v>
      </c>
      <c r="O999">
        <v>10</v>
      </c>
      <c r="P999">
        <v>17</v>
      </c>
      <c r="Q999">
        <f t="shared" si="63"/>
        <v>27</v>
      </c>
      <c r="R999">
        <v>2</v>
      </c>
      <c r="S999">
        <v>3</v>
      </c>
      <c r="T999">
        <f>Table[[#This Row],[NumWebPurchases]]+Table[[#This Row],[NumStorePurchases]]</f>
        <v>5</v>
      </c>
    </row>
    <row r="1000" spans="1:20" ht="12.5">
      <c r="A1000" s="6">
        <v>998</v>
      </c>
      <c r="B1000" s="6">
        <v>1212</v>
      </c>
      <c r="C1000" s="6">
        <v>1973</v>
      </c>
      <c r="D1000" s="6">
        <f t="shared" si="60"/>
        <v>52</v>
      </c>
      <c r="E1000" s="7" t="s">
        <v>9</v>
      </c>
      <c r="F1000" s="7" t="s">
        <v>13</v>
      </c>
      <c r="G1000" s="6">
        <v>52845</v>
      </c>
      <c r="H1000" s="6" t="str" cm="1">
        <f t="array" ref="H1000">_xlfn.IFS(
  G1000 &lt; 25000, "Low",
  AND(G1000 &gt;= 25000, G1000 &lt; 75000), "Medium",
  AND(G1000 &gt;= 75000, G1000 &lt; 150000), "High",
  G1000 &gt;= 150000, "Very High"
)</f>
        <v>Medium</v>
      </c>
      <c r="I1000" s="6">
        <v>1</v>
      </c>
      <c r="J1000" s="6">
        <v>0</v>
      </c>
      <c r="K1000" s="6">
        <f t="shared" si="61"/>
        <v>1</v>
      </c>
      <c r="L1000" s="8">
        <v>41499</v>
      </c>
      <c r="M1000" t="str">
        <f t="shared" ca="1" si="62"/>
        <v>12 years, 6 months</v>
      </c>
      <c r="N1000" s="6">
        <v>7</v>
      </c>
      <c r="O1000">
        <v>25</v>
      </c>
      <c r="P1000">
        <v>41</v>
      </c>
      <c r="Q1000">
        <f t="shared" si="63"/>
        <v>66</v>
      </c>
      <c r="R1000">
        <v>8</v>
      </c>
      <c r="S1000">
        <v>6</v>
      </c>
      <c r="T1000">
        <f>Table[[#This Row],[NumWebPurchases]]+Table[[#This Row],[NumStorePurchases]]</f>
        <v>14</v>
      </c>
    </row>
    <row r="1001" spans="1:20" ht="12.5">
      <c r="A1001" s="6">
        <v>999</v>
      </c>
      <c r="B1001" s="6">
        <v>9097</v>
      </c>
      <c r="C1001" s="6">
        <v>1956</v>
      </c>
      <c r="D1001" s="6">
        <f t="shared" si="60"/>
        <v>69</v>
      </c>
      <c r="E1001" s="7" t="s">
        <v>9</v>
      </c>
      <c r="F1001" s="7" t="s">
        <v>15</v>
      </c>
      <c r="G1001" s="6">
        <v>46086</v>
      </c>
      <c r="H1001" s="6" t="str" cm="1">
        <f t="array" ref="H1001">_xlfn.IFS(
  G1001 &lt; 25000, "Low",
  AND(G1001 &gt;= 25000, G1001 &lt; 75000), "Medium",
  AND(G1001 &gt;= 75000, G1001 &lt; 150000), "High",
  G1001 &gt;= 150000, "Very High"
)</f>
        <v>Medium</v>
      </c>
      <c r="I1001" s="6">
        <v>0</v>
      </c>
      <c r="J1001" s="6">
        <v>1</v>
      </c>
      <c r="K1001" s="6">
        <f t="shared" si="61"/>
        <v>1</v>
      </c>
      <c r="L1001" s="8">
        <v>41581</v>
      </c>
      <c r="M1001" t="str">
        <f t="shared" ca="1" si="62"/>
        <v>12 years, 4 months</v>
      </c>
      <c r="N1001" s="6">
        <v>34</v>
      </c>
      <c r="O1001">
        <v>8</v>
      </c>
      <c r="P1001">
        <v>2</v>
      </c>
      <c r="Q1001">
        <f t="shared" si="63"/>
        <v>10</v>
      </c>
      <c r="R1001">
        <v>3</v>
      </c>
      <c r="S1001">
        <v>8</v>
      </c>
      <c r="T1001">
        <f>Table[[#This Row],[NumWebPurchases]]+Table[[#This Row],[NumStorePurchases]]</f>
        <v>11</v>
      </c>
    </row>
    <row r="1002" spans="1:20" ht="12.5">
      <c r="A1002" s="6">
        <v>1000</v>
      </c>
      <c r="B1002" s="6">
        <v>10473</v>
      </c>
      <c r="C1002" s="6">
        <v>1956</v>
      </c>
      <c r="D1002" s="6">
        <f t="shared" si="60"/>
        <v>69</v>
      </c>
      <c r="E1002" s="7" t="s">
        <v>12</v>
      </c>
      <c r="F1002" s="7" t="s">
        <v>18</v>
      </c>
      <c r="G1002" s="6">
        <v>78028</v>
      </c>
      <c r="H1002" s="6" t="str" cm="1">
        <f t="array" ref="H1002">_xlfn.IFS(
  G1002 &lt; 25000, "Low",
  AND(G1002 &gt;= 25000, G1002 &lt; 75000), "Medium",
  AND(G1002 &gt;= 75000, G1002 &lt; 150000), "High",
  G1002 &gt;= 150000, "Very High"
)</f>
        <v>High</v>
      </c>
      <c r="I1002" s="6">
        <v>0</v>
      </c>
      <c r="J1002" s="6">
        <v>1</v>
      </c>
      <c r="K1002" s="6">
        <f t="shared" si="61"/>
        <v>1</v>
      </c>
      <c r="L1002" s="8">
        <v>41162</v>
      </c>
      <c r="M1002" t="str">
        <f t="shared" ca="1" si="62"/>
        <v>13 years, 5 months</v>
      </c>
      <c r="N1002" s="6">
        <v>38</v>
      </c>
      <c r="O1002">
        <v>19</v>
      </c>
      <c r="P1002">
        <v>0</v>
      </c>
      <c r="Q1002">
        <f t="shared" si="63"/>
        <v>19</v>
      </c>
      <c r="R1002">
        <v>6</v>
      </c>
      <c r="S1002">
        <v>9</v>
      </c>
      <c r="T1002">
        <f>Table[[#This Row],[NumWebPurchases]]+Table[[#This Row],[NumStorePurchases]]</f>
        <v>15</v>
      </c>
    </row>
    <row r="1003" spans="1:20" ht="12.5">
      <c r="A1003" s="6">
        <v>1001</v>
      </c>
      <c r="B1003" s="6">
        <v>7962</v>
      </c>
      <c r="C1003" s="6">
        <v>1987</v>
      </c>
      <c r="D1003" s="6">
        <f t="shared" si="60"/>
        <v>38</v>
      </c>
      <c r="E1003" s="7" t="s">
        <v>12</v>
      </c>
      <c r="F1003" s="7" t="s">
        <v>10</v>
      </c>
      <c r="G1003" s="6">
        <v>95169</v>
      </c>
      <c r="H1003" s="6" t="str" cm="1">
        <f t="array" ref="H1003">_xlfn.IFS(
  G1003 &lt; 25000, "Low",
  AND(G1003 &gt;= 25000, G1003 &lt; 75000), "Medium",
  AND(G1003 &gt;= 75000, G1003 &lt; 150000), "High",
  G1003 &gt;= 150000, "Very High"
)</f>
        <v>High</v>
      </c>
      <c r="I1003" s="6">
        <v>0</v>
      </c>
      <c r="J1003" s="6">
        <v>0</v>
      </c>
      <c r="K1003" s="6">
        <f t="shared" si="61"/>
        <v>0</v>
      </c>
      <c r="L1003" s="8">
        <v>41556</v>
      </c>
      <c r="M1003" t="str">
        <f t="shared" ca="1" si="62"/>
        <v>12 years, 4 months</v>
      </c>
      <c r="N1003" s="6">
        <v>1</v>
      </c>
      <c r="O1003">
        <v>21</v>
      </c>
      <c r="P1003">
        <v>20</v>
      </c>
      <c r="Q1003">
        <f t="shared" si="63"/>
        <v>41</v>
      </c>
      <c r="R1003">
        <v>4</v>
      </c>
      <c r="S1003">
        <v>4</v>
      </c>
      <c r="T1003">
        <f>Table[[#This Row],[NumWebPurchases]]+Table[[#This Row],[NumStorePurchases]]</f>
        <v>8</v>
      </c>
    </row>
    <row r="1004" spans="1:20" ht="12.5">
      <c r="A1004" s="6">
        <v>1002</v>
      </c>
      <c r="B1004" s="6">
        <v>9984</v>
      </c>
      <c r="C1004" s="6">
        <v>1981</v>
      </c>
      <c r="D1004" s="6">
        <f t="shared" si="60"/>
        <v>44</v>
      </c>
      <c r="E1004" s="7" t="s">
        <v>17</v>
      </c>
      <c r="F1004" s="7" t="s">
        <v>13</v>
      </c>
      <c r="G1004" s="6">
        <v>56337</v>
      </c>
      <c r="H1004" s="6" t="str" cm="1">
        <f t="array" ref="H1004">_xlfn.IFS(
  G1004 &lt; 25000, "Low",
  AND(G1004 &gt;= 25000, G1004 &lt; 75000), "Medium",
  AND(G1004 &gt;= 75000, G1004 &lt; 150000), "High",
  G1004 &gt;= 150000, "Very High"
)</f>
        <v>Medium</v>
      </c>
      <c r="I1004" s="6">
        <v>1</v>
      </c>
      <c r="J1004" s="6">
        <v>1</v>
      </c>
      <c r="K1004" s="6">
        <f t="shared" si="61"/>
        <v>2</v>
      </c>
      <c r="L1004" s="8">
        <v>41360</v>
      </c>
      <c r="M1004" t="str">
        <f t="shared" ca="1" si="62"/>
        <v>12 years, 11 months</v>
      </c>
      <c r="N1004" s="6">
        <v>25</v>
      </c>
      <c r="O1004">
        <v>16</v>
      </c>
      <c r="P1004">
        <v>5</v>
      </c>
      <c r="Q1004">
        <f t="shared" si="63"/>
        <v>21</v>
      </c>
      <c r="R1004">
        <v>8</v>
      </c>
      <c r="S1004">
        <v>4</v>
      </c>
      <c r="T1004">
        <f>Table[[#This Row],[NumWebPurchases]]+Table[[#This Row],[NumStorePurchases]]</f>
        <v>12</v>
      </c>
    </row>
    <row r="1005" spans="1:20" ht="12.5">
      <c r="A1005" s="6">
        <v>1003</v>
      </c>
      <c r="B1005" s="6">
        <v>5527</v>
      </c>
      <c r="C1005" s="6">
        <v>1987</v>
      </c>
      <c r="D1005" s="6">
        <f t="shared" si="60"/>
        <v>38</v>
      </c>
      <c r="E1005" s="7" t="s">
        <v>9</v>
      </c>
      <c r="F1005" s="7" t="s">
        <v>11</v>
      </c>
      <c r="G1005" s="6">
        <v>22434</v>
      </c>
      <c r="H1005" s="6" t="str" cm="1">
        <f t="array" ref="H1005">_xlfn.IFS(
  G1005 &lt; 25000, "Low",
  AND(G1005 &gt;= 25000, G1005 &lt; 75000), "Medium",
  AND(G1005 &gt;= 75000, G1005 &lt; 150000), "High",
  G1005 &gt;= 150000, "Very High"
)</f>
        <v>Low</v>
      </c>
      <c r="I1005" s="6">
        <v>1</v>
      </c>
      <c r="J1005" s="6">
        <v>0</v>
      </c>
      <c r="K1005" s="6">
        <f t="shared" si="61"/>
        <v>1</v>
      </c>
      <c r="L1005" s="8">
        <v>41318</v>
      </c>
      <c r="M1005" t="str">
        <f t="shared" ca="1" si="62"/>
        <v>13 years, 0 months</v>
      </c>
      <c r="N1005" s="6">
        <v>25</v>
      </c>
      <c r="O1005">
        <v>12</v>
      </c>
      <c r="P1005">
        <v>13</v>
      </c>
      <c r="Q1005">
        <f t="shared" si="63"/>
        <v>25</v>
      </c>
      <c r="R1005">
        <v>2</v>
      </c>
      <c r="S1005">
        <v>3</v>
      </c>
      <c r="T1005">
        <f>Table[[#This Row],[NumWebPurchases]]+Table[[#This Row],[NumStorePurchases]]</f>
        <v>5</v>
      </c>
    </row>
    <row r="1006" spans="1:20" ht="12.5">
      <c r="A1006" s="6">
        <v>1004</v>
      </c>
      <c r="B1006" s="6">
        <v>6374</v>
      </c>
      <c r="C1006" s="6">
        <v>1954</v>
      </c>
      <c r="D1006" s="6">
        <f t="shared" si="60"/>
        <v>71</v>
      </c>
      <c r="E1006" s="7" t="s">
        <v>12</v>
      </c>
      <c r="F1006" s="7" t="s">
        <v>13</v>
      </c>
      <c r="G1006" s="6">
        <v>36930</v>
      </c>
      <c r="H1006" s="6" t="str" cm="1">
        <f t="array" ref="H1006">_xlfn.IFS(
  G1006 &lt; 25000, "Low",
  AND(G1006 &gt;= 25000, G1006 &lt; 75000), "Medium",
  AND(G1006 &gt;= 75000, G1006 &lt; 150000), "High",
  G1006 &gt;= 150000, "Very High"
)</f>
        <v>Medium</v>
      </c>
      <c r="I1006" s="6">
        <v>0</v>
      </c>
      <c r="J1006" s="6">
        <v>1</v>
      </c>
      <c r="K1006" s="6">
        <f t="shared" si="61"/>
        <v>1</v>
      </c>
      <c r="L1006" s="8">
        <v>41411</v>
      </c>
      <c r="M1006" t="str">
        <f t="shared" ca="1" si="62"/>
        <v>12 years, 9 months</v>
      </c>
      <c r="N1006" s="6">
        <v>50</v>
      </c>
      <c r="O1006">
        <v>2</v>
      </c>
      <c r="P1006">
        <v>2</v>
      </c>
      <c r="Q1006">
        <f t="shared" si="63"/>
        <v>4</v>
      </c>
      <c r="R1006">
        <v>5</v>
      </c>
      <c r="S1006">
        <v>4</v>
      </c>
      <c r="T1006">
        <f>Table[[#This Row],[NumWebPurchases]]+Table[[#This Row],[NumStorePurchases]]</f>
        <v>9</v>
      </c>
    </row>
    <row r="1007" spans="1:20" ht="12.5">
      <c r="A1007" s="6">
        <v>1005</v>
      </c>
      <c r="B1007" s="6">
        <v>7453</v>
      </c>
      <c r="C1007" s="6">
        <v>1954</v>
      </c>
      <c r="D1007" s="6">
        <f t="shared" si="60"/>
        <v>71</v>
      </c>
      <c r="E1007" s="7" t="s">
        <v>9</v>
      </c>
      <c r="F1007" s="7" t="s">
        <v>10</v>
      </c>
      <c r="G1007" s="6">
        <v>36130</v>
      </c>
      <c r="H1007" s="6" t="str" cm="1">
        <f t="array" ref="H1007">_xlfn.IFS(
  G1007 &lt; 25000, "Low",
  AND(G1007 &gt;= 25000, G1007 &lt; 75000), "Medium",
  AND(G1007 &gt;= 75000, G1007 &lt; 150000), "High",
  G1007 &gt;= 150000, "Very High"
)</f>
        <v>Medium</v>
      </c>
      <c r="I1007" s="6">
        <v>0</v>
      </c>
      <c r="J1007" s="6">
        <v>1</v>
      </c>
      <c r="K1007" s="6">
        <f t="shared" si="61"/>
        <v>1</v>
      </c>
      <c r="L1007" s="8">
        <v>41307</v>
      </c>
      <c r="M1007" t="str">
        <f t="shared" ca="1" si="62"/>
        <v>13 years, 1 months</v>
      </c>
      <c r="N1007" s="6">
        <v>46</v>
      </c>
      <c r="O1007">
        <v>43</v>
      </c>
      <c r="P1007">
        <v>56</v>
      </c>
      <c r="Q1007">
        <f t="shared" si="63"/>
        <v>99</v>
      </c>
      <c r="R1007">
        <v>3</v>
      </c>
      <c r="S1007">
        <v>4</v>
      </c>
      <c r="T1007">
        <f>Table[[#This Row],[NumWebPurchases]]+Table[[#This Row],[NumStorePurchases]]</f>
        <v>7</v>
      </c>
    </row>
    <row r="1008" spans="1:20" ht="12.5">
      <c r="A1008" s="6">
        <v>1006</v>
      </c>
      <c r="B1008" s="6">
        <v>8952</v>
      </c>
      <c r="C1008" s="6">
        <v>1953</v>
      </c>
      <c r="D1008" s="6">
        <f t="shared" si="60"/>
        <v>72</v>
      </c>
      <c r="E1008" s="7" t="s">
        <v>14</v>
      </c>
      <c r="F1008" s="7" t="s">
        <v>13</v>
      </c>
      <c r="G1008" s="6">
        <v>65569</v>
      </c>
      <c r="H1008" s="6" t="str" cm="1">
        <f t="array" ref="H1008">_xlfn.IFS(
  G1008 &lt; 25000, "Low",
  AND(G1008 &gt;= 25000, G1008 &lt; 75000), "Medium",
  AND(G1008 &gt;= 75000, G1008 &lt; 150000), "High",
  G1008 &gt;= 150000, "Very High"
)</f>
        <v>Medium</v>
      </c>
      <c r="I1008" s="6">
        <v>0</v>
      </c>
      <c r="J1008" s="6">
        <v>1</v>
      </c>
      <c r="K1008" s="6">
        <f t="shared" si="61"/>
        <v>1</v>
      </c>
      <c r="L1008" s="8">
        <v>41218</v>
      </c>
      <c r="M1008" t="str">
        <f t="shared" ca="1" si="62"/>
        <v>13 years, 4 months</v>
      </c>
      <c r="N1008" s="6">
        <v>96</v>
      </c>
      <c r="O1008">
        <v>46</v>
      </c>
      <c r="P1008">
        <v>38</v>
      </c>
      <c r="Q1008">
        <f t="shared" si="63"/>
        <v>84</v>
      </c>
      <c r="R1008">
        <v>6</v>
      </c>
      <c r="S1008">
        <v>10</v>
      </c>
      <c r="T1008">
        <f>Table[[#This Row],[NumWebPurchases]]+Table[[#This Row],[NumStorePurchases]]</f>
        <v>16</v>
      </c>
    </row>
    <row r="1009" spans="1:20" ht="12.5">
      <c r="A1009" s="6">
        <v>1007</v>
      </c>
      <c r="B1009" s="6">
        <v>241</v>
      </c>
      <c r="C1009" s="6">
        <v>1952</v>
      </c>
      <c r="D1009" s="6">
        <f t="shared" si="60"/>
        <v>73</v>
      </c>
      <c r="E1009" s="7" t="s">
        <v>9</v>
      </c>
      <c r="F1009" s="7" t="s">
        <v>11</v>
      </c>
      <c r="G1009" s="6">
        <v>83844</v>
      </c>
      <c r="H1009" s="6" t="str" cm="1">
        <f t="array" ref="H1009">_xlfn.IFS(
  G1009 &lt; 25000, "Low",
  AND(G1009 &gt;= 25000, G1009 &lt; 75000), "Medium",
  AND(G1009 &gt;= 75000, G1009 &lt; 150000), "High",
  G1009 &gt;= 150000, "Very High"
)</f>
        <v>High</v>
      </c>
      <c r="I1009" s="6">
        <v>0</v>
      </c>
      <c r="J1009" s="6">
        <v>0</v>
      </c>
      <c r="K1009" s="6">
        <f t="shared" si="61"/>
        <v>0</v>
      </c>
      <c r="L1009" s="8">
        <v>41406</v>
      </c>
      <c r="M1009" t="str">
        <f t="shared" ca="1" si="62"/>
        <v>12 years, 9 months</v>
      </c>
      <c r="N1009" s="6">
        <v>57</v>
      </c>
      <c r="O1009">
        <v>31</v>
      </c>
      <c r="P1009">
        <v>31</v>
      </c>
      <c r="Q1009">
        <f t="shared" si="63"/>
        <v>62</v>
      </c>
      <c r="R1009">
        <v>4</v>
      </c>
      <c r="S1009">
        <v>11</v>
      </c>
      <c r="T1009">
        <f>Table[[#This Row],[NumWebPurchases]]+Table[[#This Row],[NumStorePurchases]]</f>
        <v>15</v>
      </c>
    </row>
    <row r="1010" spans="1:20" ht="12.5">
      <c r="A1010" s="6">
        <v>1008</v>
      </c>
      <c r="B1010" s="6">
        <v>8975</v>
      </c>
      <c r="C1010" s="6">
        <v>1968</v>
      </c>
      <c r="D1010" s="6">
        <f t="shared" si="60"/>
        <v>57</v>
      </c>
      <c r="E1010" s="7" t="s">
        <v>9</v>
      </c>
      <c r="F1010" s="7" t="s">
        <v>13</v>
      </c>
      <c r="G1010" s="6">
        <v>19514</v>
      </c>
      <c r="H1010" s="6" t="str" cm="1">
        <f t="array" ref="H1010">_xlfn.IFS(
  G1010 &lt; 25000, "Low",
  AND(G1010 &gt;= 25000, G1010 &lt; 75000), "Medium",
  AND(G1010 &gt;= 75000, G1010 &lt; 150000), "High",
  G1010 &gt;= 150000, "Very High"
)</f>
        <v>Low</v>
      </c>
      <c r="I1010" s="6">
        <v>1</v>
      </c>
      <c r="J1010" s="6">
        <v>1</v>
      </c>
      <c r="K1010" s="6">
        <f t="shared" si="61"/>
        <v>2</v>
      </c>
      <c r="L1010" s="8">
        <v>41665</v>
      </c>
      <c r="M1010" t="str">
        <f t="shared" ca="1" si="62"/>
        <v>12 years, 1 months</v>
      </c>
      <c r="N1010" s="6">
        <v>47</v>
      </c>
      <c r="O1010">
        <v>3</v>
      </c>
      <c r="P1010">
        <v>1</v>
      </c>
      <c r="Q1010">
        <f t="shared" si="63"/>
        <v>4</v>
      </c>
      <c r="R1010">
        <v>3</v>
      </c>
      <c r="S1010">
        <v>2</v>
      </c>
      <c r="T1010">
        <f>Table[[#This Row],[NumWebPurchases]]+Table[[#This Row],[NumStorePurchases]]</f>
        <v>5</v>
      </c>
    </row>
    <row r="1011" spans="1:20" ht="12.5">
      <c r="A1011" s="6">
        <v>1009</v>
      </c>
      <c r="B1011" s="6">
        <v>6119</v>
      </c>
      <c r="C1011" s="6">
        <v>1963</v>
      </c>
      <c r="D1011" s="6">
        <f t="shared" si="60"/>
        <v>62</v>
      </c>
      <c r="E1011" s="7" t="s">
        <v>12</v>
      </c>
      <c r="F1011" s="7" t="s">
        <v>10</v>
      </c>
      <c r="G1011" s="6">
        <v>36736</v>
      </c>
      <c r="H1011" s="6" t="str" cm="1">
        <f t="array" ref="H1011">_xlfn.IFS(
  G1011 &lt; 25000, "Low",
  AND(G1011 &gt;= 25000, G1011 &lt; 75000), "Medium",
  AND(G1011 &gt;= 75000, G1011 &lt; 150000), "High",
  G1011 &gt;= 150000, "Very High"
)</f>
        <v>Medium</v>
      </c>
      <c r="I1011" s="6">
        <v>1</v>
      </c>
      <c r="J1011" s="6">
        <v>1</v>
      </c>
      <c r="K1011" s="6">
        <f t="shared" si="61"/>
        <v>2</v>
      </c>
      <c r="L1011" s="8">
        <v>41404</v>
      </c>
      <c r="M1011" t="str">
        <f t="shared" ca="1" si="62"/>
        <v>12 years, 9 months</v>
      </c>
      <c r="N1011" s="6">
        <v>52</v>
      </c>
      <c r="O1011">
        <v>0</v>
      </c>
      <c r="P1011">
        <v>0</v>
      </c>
      <c r="Q1011">
        <f t="shared" si="63"/>
        <v>0</v>
      </c>
      <c r="R1011">
        <v>1</v>
      </c>
      <c r="S1011">
        <v>2</v>
      </c>
      <c r="T1011">
        <f>Table[[#This Row],[NumWebPurchases]]+Table[[#This Row],[NumStorePurchases]]</f>
        <v>3</v>
      </c>
    </row>
    <row r="1012" spans="1:20" ht="12.5">
      <c r="A1012" s="6">
        <v>1010</v>
      </c>
      <c r="B1012" s="6">
        <v>5236</v>
      </c>
      <c r="C1012" s="6">
        <v>1979</v>
      </c>
      <c r="D1012" s="6">
        <f t="shared" si="60"/>
        <v>46</v>
      </c>
      <c r="E1012" s="7" t="s">
        <v>9</v>
      </c>
      <c r="F1012" s="7" t="s">
        <v>11</v>
      </c>
      <c r="G1012" s="6">
        <v>77568</v>
      </c>
      <c r="H1012" s="6" t="str" cm="1">
        <f t="array" ref="H1012">_xlfn.IFS(
  G1012 &lt; 25000, "Low",
  AND(G1012 &gt;= 25000, G1012 &lt; 75000), "Medium",
  AND(G1012 &gt;= 75000, G1012 &lt; 150000), "High",
  G1012 &gt;= 150000, "Very High"
)</f>
        <v>High</v>
      </c>
      <c r="I1012" s="6">
        <v>0</v>
      </c>
      <c r="J1012" s="6">
        <v>1</v>
      </c>
      <c r="K1012" s="6">
        <f t="shared" si="61"/>
        <v>1</v>
      </c>
      <c r="L1012" s="8">
        <v>41146</v>
      </c>
      <c r="M1012" t="str">
        <f t="shared" ca="1" si="62"/>
        <v>13 years, 6 months</v>
      </c>
      <c r="N1012" s="6">
        <v>30</v>
      </c>
      <c r="O1012">
        <v>0</v>
      </c>
      <c r="P1012">
        <v>178</v>
      </c>
      <c r="Q1012">
        <f t="shared" si="63"/>
        <v>178</v>
      </c>
      <c r="R1012">
        <v>10</v>
      </c>
      <c r="S1012">
        <v>8</v>
      </c>
      <c r="T1012">
        <f>Table[[#This Row],[NumWebPurchases]]+Table[[#This Row],[NumStorePurchases]]</f>
        <v>18</v>
      </c>
    </row>
    <row r="1013" spans="1:20" ht="12.5">
      <c r="A1013" s="6">
        <v>1011</v>
      </c>
      <c r="B1013" s="6">
        <v>5723</v>
      </c>
      <c r="C1013" s="6">
        <v>1976</v>
      </c>
      <c r="D1013" s="6">
        <f t="shared" si="60"/>
        <v>49</v>
      </c>
      <c r="E1013" s="7" t="s">
        <v>12</v>
      </c>
      <c r="F1013" s="7" t="s">
        <v>11</v>
      </c>
      <c r="G1013" s="6">
        <v>49187</v>
      </c>
      <c r="H1013" s="6" t="str" cm="1">
        <f t="array" ref="H1013">_xlfn.IFS(
  G1013 &lt; 25000, "Low",
  AND(G1013 &gt;= 25000, G1013 &lt; 75000), "Medium",
  AND(G1013 &gt;= 75000, G1013 &lt; 150000), "High",
  G1013 &gt;= 150000, "Very High"
)</f>
        <v>Medium</v>
      </c>
      <c r="I1013" s="6">
        <v>0</v>
      </c>
      <c r="J1013" s="6">
        <v>1</v>
      </c>
      <c r="K1013" s="6">
        <f t="shared" si="61"/>
        <v>1</v>
      </c>
      <c r="L1013" s="8">
        <v>41650</v>
      </c>
      <c r="M1013" t="str">
        <f t="shared" ca="1" si="62"/>
        <v>12 years, 1 months</v>
      </c>
      <c r="N1013" s="6">
        <v>63</v>
      </c>
      <c r="O1013">
        <v>1</v>
      </c>
      <c r="P1013">
        <v>1</v>
      </c>
      <c r="Q1013">
        <f t="shared" si="63"/>
        <v>2</v>
      </c>
      <c r="R1013">
        <v>1</v>
      </c>
      <c r="S1013">
        <v>5</v>
      </c>
      <c r="T1013">
        <f>Table[[#This Row],[NumWebPurchases]]+Table[[#This Row],[NumStorePurchases]]</f>
        <v>6</v>
      </c>
    </row>
    <row r="1014" spans="1:20" ht="12.5">
      <c r="A1014" s="6">
        <v>1012</v>
      </c>
      <c r="B1014" s="6">
        <v>1710</v>
      </c>
      <c r="C1014" s="6">
        <v>1978</v>
      </c>
      <c r="D1014" s="6">
        <f t="shared" si="60"/>
        <v>47</v>
      </c>
      <c r="E1014" s="7" t="s">
        <v>9</v>
      </c>
      <c r="F1014" s="7" t="s">
        <v>10</v>
      </c>
      <c r="G1014" s="6">
        <v>30168</v>
      </c>
      <c r="H1014" s="6" t="str" cm="1">
        <f t="array" ref="H1014">_xlfn.IFS(
  G1014 &lt; 25000, "Low",
  AND(G1014 &gt;= 25000, G1014 &lt; 75000), "Medium",
  AND(G1014 &gt;= 75000, G1014 &lt; 150000), "High",
  G1014 &gt;= 150000, "Very High"
)</f>
        <v>Medium</v>
      </c>
      <c r="I1014" s="6">
        <v>1</v>
      </c>
      <c r="J1014" s="6">
        <v>0</v>
      </c>
      <c r="K1014" s="6">
        <f t="shared" si="61"/>
        <v>1</v>
      </c>
      <c r="L1014" s="8">
        <v>41340</v>
      </c>
      <c r="M1014" t="str">
        <f t="shared" ca="1" si="62"/>
        <v>12 years, 11 months</v>
      </c>
      <c r="N1014" s="6">
        <v>51</v>
      </c>
      <c r="O1014">
        <v>20</v>
      </c>
      <c r="P1014">
        <v>12</v>
      </c>
      <c r="Q1014">
        <f t="shared" si="63"/>
        <v>32</v>
      </c>
      <c r="R1014">
        <v>6</v>
      </c>
      <c r="S1014">
        <v>4</v>
      </c>
      <c r="T1014">
        <f>Table[[#This Row],[NumWebPurchases]]+Table[[#This Row],[NumStorePurchases]]</f>
        <v>10</v>
      </c>
    </row>
    <row r="1015" spans="1:20" ht="12.5">
      <c r="A1015" s="6">
        <v>1013</v>
      </c>
      <c r="B1015" s="6">
        <v>1970</v>
      </c>
      <c r="C1015" s="6">
        <v>1968</v>
      </c>
      <c r="D1015" s="6">
        <f t="shared" si="60"/>
        <v>57</v>
      </c>
      <c r="E1015" s="7" t="s">
        <v>14</v>
      </c>
      <c r="F1015" s="7" t="s">
        <v>11</v>
      </c>
      <c r="G1015" s="6">
        <v>34053</v>
      </c>
      <c r="H1015" s="6" t="str" cm="1">
        <f t="array" ref="H1015">_xlfn.IFS(
  G1015 &lt; 25000, "Low",
  AND(G1015 &gt;= 25000, G1015 &lt; 75000), "Medium",
  AND(G1015 &gt;= 75000, G1015 &lt; 150000), "High",
  G1015 &gt;= 150000, "Very High"
)</f>
        <v>Medium</v>
      </c>
      <c r="I1015" s="6">
        <v>0</v>
      </c>
      <c r="J1015" s="6">
        <v>1</v>
      </c>
      <c r="K1015" s="6">
        <f t="shared" si="61"/>
        <v>1</v>
      </c>
      <c r="L1015" s="8">
        <v>41162</v>
      </c>
      <c r="M1015" t="str">
        <f t="shared" ca="1" si="62"/>
        <v>13 years, 5 months</v>
      </c>
      <c r="N1015" s="6">
        <v>14</v>
      </c>
      <c r="O1015">
        <v>0</v>
      </c>
      <c r="P1015">
        <v>0</v>
      </c>
      <c r="Q1015">
        <f t="shared" si="63"/>
        <v>0</v>
      </c>
      <c r="R1015">
        <v>3</v>
      </c>
      <c r="S1015">
        <v>3</v>
      </c>
      <c r="T1015">
        <f>Table[[#This Row],[NumWebPurchases]]+Table[[#This Row],[NumStorePurchases]]</f>
        <v>6</v>
      </c>
    </row>
    <row r="1016" spans="1:20" ht="12.5">
      <c r="A1016" s="6">
        <v>1014</v>
      </c>
      <c r="B1016" s="6">
        <v>5313</v>
      </c>
      <c r="C1016" s="6">
        <v>1971</v>
      </c>
      <c r="D1016" s="6">
        <f t="shared" si="60"/>
        <v>54</v>
      </c>
      <c r="E1016" s="7" t="s">
        <v>14</v>
      </c>
      <c r="F1016" s="7" t="s">
        <v>13</v>
      </c>
      <c r="G1016" s="6">
        <v>38196</v>
      </c>
      <c r="H1016" s="6" t="str" cm="1">
        <f t="array" ref="H1016">_xlfn.IFS(
  G1016 &lt; 25000, "Low",
  AND(G1016 &gt;= 25000, G1016 &lt; 75000), "Medium",
  AND(G1016 &gt;= 75000, G1016 &lt; 150000), "High",
  G1016 &gt;= 150000, "Very High"
)</f>
        <v>Medium</v>
      </c>
      <c r="I1016" s="6">
        <v>1</v>
      </c>
      <c r="J1016" s="6">
        <v>1</v>
      </c>
      <c r="K1016" s="6">
        <f t="shared" si="61"/>
        <v>2</v>
      </c>
      <c r="L1016" s="8">
        <v>41747</v>
      </c>
      <c r="M1016" t="str">
        <f t="shared" ca="1" si="62"/>
        <v>11 years, 10 months</v>
      </c>
      <c r="N1016" s="6">
        <v>20</v>
      </c>
      <c r="O1016">
        <v>0</v>
      </c>
      <c r="P1016">
        <v>0</v>
      </c>
      <c r="Q1016">
        <f t="shared" si="63"/>
        <v>0</v>
      </c>
      <c r="R1016">
        <v>2</v>
      </c>
      <c r="S1016">
        <v>4</v>
      </c>
      <c r="T1016">
        <f>Table[[#This Row],[NumWebPurchases]]+Table[[#This Row],[NumStorePurchases]]</f>
        <v>6</v>
      </c>
    </row>
    <row r="1017" spans="1:20" ht="12.5">
      <c r="A1017" s="6">
        <v>1015</v>
      </c>
      <c r="B1017" s="6">
        <v>10634</v>
      </c>
      <c r="C1017" s="6">
        <v>1951</v>
      </c>
      <c r="D1017" s="6">
        <f t="shared" si="60"/>
        <v>74</v>
      </c>
      <c r="E1017" s="7" t="s">
        <v>14</v>
      </c>
      <c r="F1017" s="7" t="s">
        <v>13</v>
      </c>
      <c r="G1017" s="6">
        <v>59412</v>
      </c>
      <c r="H1017" s="6" t="str" cm="1">
        <f t="array" ref="H1017">_xlfn.IFS(
  G1017 &lt; 25000, "Low",
  AND(G1017 &gt;= 25000, G1017 &lt; 75000), "Medium",
  AND(G1017 &gt;= 75000, G1017 &lt; 150000), "High",
  G1017 &gt;= 150000, "Very High"
)</f>
        <v>Medium</v>
      </c>
      <c r="I1017" s="6">
        <v>0</v>
      </c>
      <c r="J1017" s="6">
        <v>0</v>
      </c>
      <c r="K1017" s="6">
        <f t="shared" si="61"/>
        <v>0</v>
      </c>
      <c r="L1017" s="8">
        <v>41748</v>
      </c>
      <c r="M1017" t="str">
        <f t="shared" ca="1" si="62"/>
        <v>11 years, 10 months</v>
      </c>
      <c r="N1017" s="6">
        <v>56</v>
      </c>
      <c r="O1017">
        <v>67</v>
      </c>
      <c r="P1017">
        <v>43</v>
      </c>
      <c r="Q1017">
        <f t="shared" si="63"/>
        <v>110</v>
      </c>
      <c r="R1017">
        <v>4</v>
      </c>
      <c r="S1017">
        <v>8</v>
      </c>
      <c r="T1017">
        <f>Table[[#This Row],[NumWebPurchases]]+Table[[#This Row],[NumStorePurchases]]</f>
        <v>12</v>
      </c>
    </row>
    <row r="1018" spans="1:20" ht="12.5">
      <c r="A1018" s="6">
        <v>1016</v>
      </c>
      <c r="B1018" s="6">
        <v>7010</v>
      </c>
      <c r="C1018" s="6">
        <v>1965</v>
      </c>
      <c r="D1018" s="6">
        <f t="shared" si="60"/>
        <v>60</v>
      </c>
      <c r="E1018" s="7" t="s">
        <v>17</v>
      </c>
      <c r="F1018" s="7" t="s">
        <v>13</v>
      </c>
      <c r="G1018" s="6">
        <v>70924</v>
      </c>
      <c r="H1018" s="6" t="str" cm="1">
        <f t="array" ref="H1018">_xlfn.IFS(
  G1018 &lt; 25000, "Low",
  AND(G1018 &gt;= 25000, G1018 &lt; 75000), "Medium",
  AND(G1018 &gt;= 75000, G1018 &lt; 150000), "High",
  G1018 &gt;= 150000, "Very High"
)</f>
        <v>Medium</v>
      </c>
      <c r="I1018" s="6">
        <v>0</v>
      </c>
      <c r="J1018" s="6">
        <v>0</v>
      </c>
      <c r="K1018" s="6">
        <f t="shared" si="61"/>
        <v>0</v>
      </c>
      <c r="L1018" s="8">
        <v>41736</v>
      </c>
      <c r="M1018" t="str">
        <f t="shared" ca="1" si="62"/>
        <v>11 years, 10 months</v>
      </c>
      <c r="N1018" s="6">
        <v>41</v>
      </c>
      <c r="O1018">
        <v>114</v>
      </c>
      <c r="P1018">
        <v>152</v>
      </c>
      <c r="Q1018">
        <f t="shared" si="63"/>
        <v>266</v>
      </c>
      <c r="R1018">
        <v>6</v>
      </c>
      <c r="S1018">
        <v>7</v>
      </c>
      <c r="T1018">
        <f>Table[[#This Row],[NumWebPurchases]]+Table[[#This Row],[NumStorePurchases]]</f>
        <v>13</v>
      </c>
    </row>
    <row r="1019" spans="1:20" ht="12.5">
      <c r="A1019" s="6">
        <v>1017</v>
      </c>
      <c r="B1019" s="6">
        <v>8562</v>
      </c>
      <c r="C1019" s="6">
        <v>1969</v>
      </c>
      <c r="D1019" s="6">
        <f t="shared" si="60"/>
        <v>56</v>
      </c>
      <c r="E1019" s="7" t="s">
        <v>9</v>
      </c>
      <c r="F1019" s="7" t="s">
        <v>11</v>
      </c>
      <c r="G1019" s="6">
        <v>54165</v>
      </c>
      <c r="H1019" s="6" t="str" cm="1">
        <f t="array" ref="H1019">_xlfn.IFS(
  G1019 &lt; 25000, "Low",
  AND(G1019 &gt;= 25000, G1019 &lt; 75000), "Medium",
  AND(G1019 &gt;= 75000, G1019 &lt; 150000), "High",
  G1019 &gt;= 150000, "Very High"
)</f>
        <v>Medium</v>
      </c>
      <c r="I1019" s="6">
        <v>0</v>
      </c>
      <c r="J1019" s="6">
        <v>0</v>
      </c>
      <c r="K1019" s="6">
        <f t="shared" si="61"/>
        <v>0</v>
      </c>
      <c r="L1019" s="8">
        <v>41422</v>
      </c>
      <c r="M1019" t="str">
        <f t="shared" ca="1" si="62"/>
        <v>12 years, 9 months</v>
      </c>
      <c r="N1019" s="6">
        <v>72</v>
      </c>
      <c r="O1019">
        <v>4</v>
      </c>
      <c r="P1019">
        <v>6</v>
      </c>
      <c r="Q1019">
        <f t="shared" si="63"/>
        <v>10</v>
      </c>
      <c r="R1019">
        <v>2</v>
      </c>
      <c r="S1019">
        <v>7</v>
      </c>
      <c r="T1019">
        <f>Table[[#This Row],[NumWebPurchases]]+Table[[#This Row],[NumStorePurchases]]</f>
        <v>9</v>
      </c>
    </row>
    <row r="1020" spans="1:20" ht="12.5">
      <c r="A1020" s="6">
        <v>1018</v>
      </c>
      <c r="B1020" s="6">
        <v>3158</v>
      </c>
      <c r="C1020" s="6">
        <v>1973</v>
      </c>
      <c r="D1020" s="6">
        <f t="shared" si="60"/>
        <v>52</v>
      </c>
      <c r="E1020" s="7" t="s">
        <v>9</v>
      </c>
      <c r="F1020" s="7" t="s">
        <v>13</v>
      </c>
      <c r="G1020" s="6">
        <v>32300</v>
      </c>
      <c r="H1020" s="6" t="str" cm="1">
        <f t="array" ref="H1020">_xlfn.IFS(
  G1020 &lt; 25000, "Low",
  AND(G1020 &gt;= 25000, G1020 &lt; 75000), "Medium",
  AND(G1020 &gt;= 75000, G1020 &lt; 150000), "High",
  G1020 &gt;= 150000, "Very High"
)</f>
        <v>Medium</v>
      </c>
      <c r="I1020" s="6">
        <v>1</v>
      </c>
      <c r="J1020" s="6">
        <v>0</v>
      </c>
      <c r="K1020" s="6">
        <f t="shared" si="61"/>
        <v>1</v>
      </c>
      <c r="L1020" s="8">
        <v>41277</v>
      </c>
      <c r="M1020" t="str">
        <f t="shared" ca="1" si="62"/>
        <v>13 years, 2 months</v>
      </c>
      <c r="N1020" s="6">
        <v>1</v>
      </c>
      <c r="O1020">
        <v>3</v>
      </c>
      <c r="P1020">
        <v>5</v>
      </c>
      <c r="Q1020">
        <f t="shared" si="63"/>
        <v>8</v>
      </c>
      <c r="R1020">
        <v>1</v>
      </c>
      <c r="S1020">
        <v>3</v>
      </c>
      <c r="T1020">
        <f>Table[[#This Row],[NumWebPurchases]]+Table[[#This Row],[NumStorePurchases]]</f>
        <v>4</v>
      </c>
    </row>
    <row r="1021" spans="1:20" ht="12.5">
      <c r="A1021" s="6">
        <v>1019</v>
      </c>
      <c r="B1021" s="6">
        <v>4436</v>
      </c>
      <c r="C1021" s="6">
        <v>1976</v>
      </c>
      <c r="D1021" s="6">
        <f t="shared" si="60"/>
        <v>49</v>
      </c>
      <c r="E1021" s="7" t="s">
        <v>9</v>
      </c>
      <c r="F1021" s="7" t="s">
        <v>10</v>
      </c>
      <c r="G1021" s="6">
        <v>20180</v>
      </c>
      <c r="H1021" s="6" t="str" cm="1">
        <f t="array" ref="H1021">_xlfn.IFS(
  G1021 &lt; 25000, "Low",
  AND(G1021 &gt;= 25000, G1021 &lt; 75000), "Medium",
  AND(G1021 &gt;= 75000, G1021 &lt; 150000), "High",
  G1021 &gt;= 150000, "Very High"
)</f>
        <v>Low</v>
      </c>
      <c r="I1021" s="6">
        <v>0</v>
      </c>
      <c r="J1021" s="6">
        <v>0</v>
      </c>
      <c r="K1021" s="6">
        <f t="shared" si="61"/>
        <v>0</v>
      </c>
      <c r="L1021" s="8">
        <v>41325</v>
      </c>
      <c r="M1021" t="str">
        <f t="shared" ca="1" si="62"/>
        <v>13 years, 0 months</v>
      </c>
      <c r="N1021" s="6">
        <v>27</v>
      </c>
      <c r="O1021">
        <v>42</v>
      </c>
      <c r="P1021">
        <v>20</v>
      </c>
      <c r="Q1021">
        <f t="shared" si="63"/>
        <v>62</v>
      </c>
      <c r="R1021">
        <v>2</v>
      </c>
      <c r="S1021">
        <v>4</v>
      </c>
      <c r="T1021">
        <f>Table[[#This Row],[NumWebPurchases]]+Table[[#This Row],[NumStorePurchases]]</f>
        <v>6</v>
      </c>
    </row>
    <row r="1022" spans="1:20" ht="12.5">
      <c r="A1022" s="6">
        <v>1020</v>
      </c>
      <c r="B1022" s="6">
        <v>5287</v>
      </c>
      <c r="C1022" s="6">
        <v>1973</v>
      </c>
      <c r="D1022" s="6">
        <f t="shared" si="60"/>
        <v>52</v>
      </c>
      <c r="E1022" s="7" t="s">
        <v>9</v>
      </c>
      <c r="F1022" s="7" t="s">
        <v>13</v>
      </c>
      <c r="G1022" s="6">
        <v>34961</v>
      </c>
      <c r="H1022" s="6" t="str" cm="1">
        <f t="array" ref="H1022">_xlfn.IFS(
  G1022 &lt; 25000, "Low",
  AND(G1022 &gt;= 25000, G1022 &lt; 75000), "Medium",
  AND(G1022 &gt;= 75000, G1022 &lt; 150000), "High",
  G1022 &gt;= 150000, "Very High"
)</f>
        <v>Medium</v>
      </c>
      <c r="I1022" s="6">
        <v>1</v>
      </c>
      <c r="J1022" s="6">
        <v>0</v>
      </c>
      <c r="K1022" s="6">
        <f t="shared" si="61"/>
        <v>1</v>
      </c>
      <c r="L1022" s="8">
        <v>41809</v>
      </c>
      <c r="M1022" t="str">
        <f t="shared" ca="1" si="62"/>
        <v>11 years, 8 months</v>
      </c>
      <c r="N1022" s="6">
        <v>77</v>
      </c>
      <c r="O1022">
        <v>2</v>
      </c>
      <c r="P1022">
        <v>1</v>
      </c>
      <c r="Q1022">
        <f t="shared" si="63"/>
        <v>3</v>
      </c>
      <c r="R1022">
        <v>3</v>
      </c>
      <c r="S1022">
        <v>3</v>
      </c>
      <c r="T1022">
        <f>Table[[#This Row],[NumWebPurchases]]+Table[[#This Row],[NumStorePurchases]]</f>
        <v>6</v>
      </c>
    </row>
    <row r="1023" spans="1:20" ht="12.5">
      <c r="A1023" s="6">
        <v>1021</v>
      </c>
      <c r="B1023" s="6">
        <v>2445</v>
      </c>
      <c r="C1023" s="6">
        <v>1974</v>
      </c>
      <c r="D1023" s="6">
        <f t="shared" si="60"/>
        <v>51</v>
      </c>
      <c r="E1023" s="7" t="s">
        <v>12</v>
      </c>
      <c r="F1023" s="7" t="s">
        <v>11</v>
      </c>
      <c r="G1023" s="6">
        <v>28440</v>
      </c>
      <c r="H1023" s="6" t="str" cm="1">
        <f t="array" ref="H1023">_xlfn.IFS(
  G1023 &lt; 25000, "Low",
  AND(G1023 &gt;= 25000, G1023 &lt; 75000), "Medium",
  AND(G1023 &gt;= 75000, G1023 &lt; 150000), "High",
  G1023 &gt;= 150000, "Very High"
)</f>
        <v>Medium</v>
      </c>
      <c r="I1023" s="6">
        <v>1</v>
      </c>
      <c r="J1023" s="6">
        <v>0</v>
      </c>
      <c r="K1023" s="6">
        <f t="shared" si="61"/>
        <v>1</v>
      </c>
      <c r="L1023" s="8">
        <v>41462</v>
      </c>
      <c r="M1023" t="str">
        <f t="shared" ca="1" si="62"/>
        <v>12 years, 7 months</v>
      </c>
      <c r="N1023" s="6">
        <v>87</v>
      </c>
      <c r="O1023">
        <v>1</v>
      </c>
      <c r="P1023">
        <v>0</v>
      </c>
      <c r="Q1023">
        <f t="shared" si="63"/>
        <v>1</v>
      </c>
      <c r="R1023">
        <v>2</v>
      </c>
      <c r="S1023">
        <v>3</v>
      </c>
      <c r="T1023">
        <f>Table[[#This Row],[NumWebPurchases]]+Table[[#This Row],[NumStorePurchases]]</f>
        <v>5</v>
      </c>
    </row>
    <row r="1024" spans="1:20" ht="12.5">
      <c r="A1024" s="6">
        <v>1022</v>
      </c>
      <c r="B1024" s="6">
        <v>6059</v>
      </c>
      <c r="C1024" s="6">
        <v>1953</v>
      </c>
      <c r="D1024" s="6">
        <f t="shared" si="60"/>
        <v>72</v>
      </c>
      <c r="E1024" s="7" t="s">
        <v>12</v>
      </c>
      <c r="F1024" s="7" t="s">
        <v>11</v>
      </c>
      <c r="G1024" s="6">
        <v>64504</v>
      </c>
      <c r="H1024" s="6" t="str" cm="1">
        <f t="array" ref="H1024">_xlfn.IFS(
  G1024 &lt; 25000, "Low",
  AND(G1024 &gt;= 25000, G1024 &lt; 75000), "Medium",
  AND(G1024 &gt;= 75000, G1024 &lt; 150000), "High",
  G1024 &gt;= 150000, "Very High"
)</f>
        <v>Medium</v>
      </c>
      <c r="I1024" s="6">
        <v>1</v>
      </c>
      <c r="J1024" s="6">
        <v>2</v>
      </c>
      <c r="K1024" s="6">
        <f t="shared" si="61"/>
        <v>3</v>
      </c>
      <c r="L1024" s="8">
        <v>41337</v>
      </c>
      <c r="M1024" t="str">
        <f t="shared" ca="1" si="62"/>
        <v>13 years, 0 months</v>
      </c>
      <c r="N1024" s="6">
        <v>81</v>
      </c>
      <c r="O1024">
        <v>36</v>
      </c>
      <c r="P1024">
        <v>0</v>
      </c>
      <c r="Q1024">
        <f t="shared" si="63"/>
        <v>36</v>
      </c>
      <c r="R1024">
        <v>11</v>
      </c>
      <c r="S1024">
        <v>4</v>
      </c>
      <c r="T1024">
        <f>Table[[#This Row],[NumWebPurchases]]+Table[[#This Row],[NumStorePurchases]]</f>
        <v>15</v>
      </c>
    </row>
    <row r="1025" spans="1:20" ht="12.5">
      <c r="A1025" s="6">
        <v>1023</v>
      </c>
      <c r="B1025" s="6">
        <v>4550</v>
      </c>
      <c r="C1025" s="6">
        <v>1966</v>
      </c>
      <c r="D1025" s="6">
        <f t="shared" si="60"/>
        <v>59</v>
      </c>
      <c r="E1025" s="7" t="s">
        <v>14</v>
      </c>
      <c r="F1025" s="7" t="s">
        <v>11</v>
      </c>
      <c r="G1025" s="6">
        <v>33564</v>
      </c>
      <c r="H1025" s="6" t="str" cm="1">
        <f t="array" ref="H1025">_xlfn.IFS(
  G1025 &lt; 25000, "Low",
  AND(G1025 &gt;= 25000, G1025 &lt; 75000), "Medium",
  AND(G1025 &gt;= 75000, G1025 &lt; 150000), "High",
  G1025 &gt;= 150000, "Very High"
)</f>
        <v>Medium</v>
      </c>
      <c r="I1025" s="6">
        <v>0</v>
      </c>
      <c r="J1025" s="6">
        <v>1</v>
      </c>
      <c r="K1025" s="6">
        <f t="shared" si="61"/>
        <v>1</v>
      </c>
      <c r="L1025" s="8">
        <v>41814</v>
      </c>
      <c r="M1025" t="str">
        <f t="shared" ca="1" si="62"/>
        <v>11 years, 8 months</v>
      </c>
      <c r="N1025" s="6">
        <v>51</v>
      </c>
      <c r="O1025">
        <v>0</v>
      </c>
      <c r="P1025">
        <v>0</v>
      </c>
      <c r="Q1025">
        <f t="shared" si="63"/>
        <v>0</v>
      </c>
      <c r="R1025">
        <v>1</v>
      </c>
      <c r="S1025">
        <v>3</v>
      </c>
      <c r="T1025">
        <f>Table[[#This Row],[NumWebPurchases]]+Table[[#This Row],[NumStorePurchases]]</f>
        <v>4</v>
      </c>
    </row>
    <row r="1026" spans="1:20" ht="12.5">
      <c r="A1026" s="6">
        <v>1024</v>
      </c>
      <c r="B1026" s="6">
        <v>4240</v>
      </c>
      <c r="C1026" s="6">
        <v>1978</v>
      </c>
      <c r="D1026" s="6">
        <f t="shared" si="60"/>
        <v>47</v>
      </c>
      <c r="E1026" s="7" t="s">
        <v>9</v>
      </c>
      <c r="F1026" s="7" t="s">
        <v>13</v>
      </c>
      <c r="G1026" s="6">
        <v>17345</v>
      </c>
      <c r="H1026" s="6" t="str" cm="1">
        <f t="array" ref="H1026">_xlfn.IFS(
  G1026 &lt; 25000, "Low",
  AND(G1026 &gt;= 25000, G1026 &lt; 75000), "Medium",
  AND(G1026 &gt;= 75000, G1026 &lt; 150000), "High",
  G1026 &gt;= 150000, "Very High"
)</f>
        <v>Low</v>
      </c>
      <c r="I1026" s="6">
        <v>1</v>
      </c>
      <c r="J1026" s="6">
        <v>0</v>
      </c>
      <c r="K1026" s="6">
        <f t="shared" si="61"/>
        <v>1</v>
      </c>
      <c r="L1026" s="8">
        <v>41216</v>
      </c>
      <c r="M1026" t="str">
        <f t="shared" ca="1" si="62"/>
        <v>13 years, 4 months</v>
      </c>
      <c r="N1026" s="6">
        <v>79</v>
      </c>
      <c r="O1026">
        <v>9</v>
      </c>
      <c r="P1026">
        <v>0</v>
      </c>
      <c r="Q1026">
        <f t="shared" si="63"/>
        <v>9</v>
      </c>
      <c r="R1026">
        <v>2</v>
      </c>
      <c r="S1026">
        <v>2</v>
      </c>
      <c r="T1026">
        <f>Table[[#This Row],[NumWebPurchases]]+Table[[#This Row],[NumStorePurchases]]</f>
        <v>4</v>
      </c>
    </row>
    <row r="1027" spans="1:20" ht="12.5">
      <c r="A1027" s="6">
        <v>1025</v>
      </c>
      <c r="B1027" s="6">
        <v>8911</v>
      </c>
      <c r="C1027" s="6">
        <v>1967</v>
      </c>
      <c r="D1027" s="6">
        <f t="shared" ref="D1027:D1090" si="64">2025-C1027</f>
        <v>58</v>
      </c>
      <c r="E1027" s="7" t="s">
        <v>12</v>
      </c>
      <c r="F1027" s="7" t="s">
        <v>13</v>
      </c>
      <c r="G1027" s="6">
        <v>56320</v>
      </c>
      <c r="H1027" s="6" t="str" cm="1">
        <f t="array" ref="H1027">_xlfn.IFS(
  G1027 &lt; 25000, "Low",
  AND(G1027 &gt;= 25000, G1027 &lt; 75000), "Medium",
  AND(G1027 &gt;= 75000, G1027 &lt; 150000), "High",
  G1027 &gt;= 150000, "Very High"
)</f>
        <v>Medium</v>
      </c>
      <c r="I1027" s="6">
        <v>0</v>
      </c>
      <c r="J1027" s="6">
        <v>1</v>
      </c>
      <c r="K1027" s="6">
        <f t="shared" ref="K1027:K1090" si="65">I1027+J1027</f>
        <v>1</v>
      </c>
      <c r="L1027" s="8">
        <v>41372</v>
      </c>
      <c r="M1027" t="str">
        <f t="shared" ref="M1027:M1090" ca="1" si="66">DATEDIF(L1027, TODAY(), "Y") &amp; " years, " &amp; DATEDIF(L1027, TODAY(), "YM") &amp; " months"</f>
        <v>12 years, 10 months</v>
      </c>
      <c r="N1027" s="6">
        <v>11</v>
      </c>
      <c r="O1027">
        <v>53</v>
      </c>
      <c r="P1027">
        <v>77</v>
      </c>
      <c r="Q1027">
        <f t="shared" ref="Q1027:Q1090" si="67">O1027+P1027</f>
        <v>130</v>
      </c>
      <c r="R1027">
        <v>5</v>
      </c>
      <c r="S1027">
        <v>9</v>
      </c>
      <c r="T1027">
        <f>Table[[#This Row],[NumWebPurchases]]+Table[[#This Row],[NumStorePurchases]]</f>
        <v>14</v>
      </c>
    </row>
    <row r="1028" spans="1:20" ht="12.5">
      <c r="A1028" s="6">
        <v>1026</v>
      </c>
      <c r="B1028" s="6">
        <v>3706</v>
      </c>
      <c r="C1028" s="6">
        <v>1978</v>
      </c>
      <c r="D1028" s="6">
        <f t="shared" si="64"/>
        <v>47</v>
      </c>
      <c r="E1028" s="7" t="s">
        <v>9</v>
      </c>
      <c r="F1028" s="7" t="s">
        <v>10</v>
      </c>
      <c r="G1028" s="6">
        <v>28647</v>
      </c>
      <c r="H1028" s="6" t="str" cm="1">
        <f t="array" ref="H1028">_xlfn.IFS(
  G1028 &lt; 25000, "Low",
  AND(G1028 &gt;= 25000, G1028 &lt; 75000), "Medium",
  AND(G1028 &gt;= 75000, G1028 &lt; 150000), "High",
  G1028 &gt;= 150000, "Very High"
)</f>
        <v>Medium</v>
      </c>
      <c r="I1028" s="6">
        <v>1</v>
      </c>
      <c r="J1028" s="6">
        <v>0</v>
      </c>
      <c r="K1028" s="6">
        <f t="shared" si="65"/>
        <v>1</v>
      </c>
      <c r="L1028" s="8">
        <v>41507</v>
      </c>
      <c r="M1028" t="str">
        <f t="shared" ca="1" si="66"/>
        <v>12 years, 6 months</v>
      </c>
      <c r="N1028" s="6">
        <v>54</v>
      </c>
      <c r="O1028">
        <v>8</v>
      </c>
      <c r="P1028">
        <v>12</v>
      </c>
      <c r="Q1028">
        <f t="shared" si="67"/>
        <v>20</v>
      </c>
      <c r="R1028">
        <v>2</v>
      </c>
      <c r="S1028">
        <v>2</v>
      </c>
      <c r="T1028">
        <f>Table[[#This Row],[NumWebPurchases]]+Table[[#This Row],[NumStorePurchases]]</f>
        <v>4</v>
      </c>
    </row>
    <row r="1029" spans="1:20" ht="12.5">
      <c r="A1029" s="6">
        <v>1027</v>
      </c>
      <c r="B1029" s="6">
        <v>3628</v>
      </c>
      <c r="C1029" s="6">
        <v>1987</v>
      </c>
      <c r="D1029" s="6">
        <f t="shared" si="64"/>
        <v>38</v>
      </c>
      <c r="E1029" s="7" t="s">
        <v>16</v>
      </c>
      <c r="F1029" s="7" t="s">
        <v>10</v>
      </c>
      <c r="G1029" s="6">
        <v>15038</v>
      </c>
      <c r="H1029" s="6" t="str" cm="1">
        <f t="array" ref="H1029">_xlfn.IFS(
  G1029 &lt; 25000, "Low",
  AND(G1029 &gt;= 25000, G1029 &lt; 75000), "Medium",
  AND(G1029 &gt;= 75000, G1029 &lt; 150000), "High",
  G1029 &gt;= 150000, "Very High"
)</f>
        <v>Low</v>
      </c>
      <c r="I1029" s="6">
        <v>1</v>
      </c>
      <c r="J1029" s="6">
        <v>0</v>
      </c>
      <c r="K1029" s="6">
        <f t="shared" si="65"/>
        <v>1</v>
      </c>
      <c r="L1029" s="8">
        <v>41303</v>
      </c>
      <c r="M1029" t="str">
        <f t="shared" ca="1" si="66"/>
        <v>13 years, 1 months</v>
      </c>
      <c r="N1029" s="6">
        <v>93</v>
      </c>
      <c r="O1029">
        <v>8</v>
      </c>
      <c r="P1029">
        <v>12</v>
      </c>
      <c r="Q1029">
        <f t="shared" si="67"/>
        <v>20</v>
      </c>
      <c r="R1029">
        <v>2</v>
      </c>
      <c r="S1029">
        <v>2</v>
      </c>
      <c r="T1029">
        <f>Table[[#This Row],[NumWebPurchases]]+Table[[#This Row],[NumStorePurchases]]</f>
        <v>4</v>
      </c>
    </row>
    <row r="1030" spans="1:20" ht="12.5">
      <c r="A1030" s="6">
        <v>1028</v>
      </c>
      <c r="B1030" s="6">
        <v>10175</v>
      </c>
      <c r="C1030" s="6">
        <v>1958</v>
      </c>
      <c r="D1030" s="6">
        <f t="shared" si="64"/>
        <v>67</v>
      </c>
      <c r="E1030" s="7" t="s">
        <v>12</v>
      </c>
      <c r="F1030" s="7" t="s">
        <v>15</v>
      </c>
      <c r="G1030" s="6">
        <v>32173</v>
      </c>
      <c r="H1030" s="6" t="str" cm="1">
        <f t="array" ref="H1030">_xlfn.IFS(
  G1030 &lt; 25000, "Low",
  AND(G1030 &gt;= 25000, G1030 &lt; 75000), "Medium",
  AND(G1030 &gt;= 75000, G1030 &lt; 150000), "High",
  G1030 &gt;= 150000, "Very High"
)</f>
        <v>Medium</v>
      </c>
      <c r="I1030" s="6">
        <v>0</v>
      </c>
      <c r="J1030" s="6">
        <v>1</v>
      </c>
      <c r="K1030" s="6">
        <f t="shared" si="65"/>
        <v>1</v>
      </c>
      <c r="L1030" s="8">
        <v>41487</v>
      </c>
      <c r="M1030" t="str">
        <f t="shared" ca="1" si="66"/>
        <v>12 years, 7 months</v>
      </c>
      <c r="N1030" s="6">
        <v>0</v>
      </c>
      <c r="O1030">
        <v>0</v>
      </c>
      <c r="P1030">
        <v>0</v>
      </c>
      <c r="Q1030">
        <f t="shared" si="67"/>
        <v>0</v>
      </c>
      <c r="R1030">
        <v>1</v>
      </c>
      <c r="S1030">
        <v>3</v>
      </c>
      <c r="T1030">
        <f>Table[[#This Row],[NumWebPurchases]]+Table[[#This Row],[NumStorePurchases]]</f>
        <v>4</v>
      </c>
    </row>
    <row r="1031" spans="1:20" ht="12.5">
      <c r="A1031" s="6">
        <v>1029</v>
      </c>
      <c r="B1031" s="6">
        <v>8985</v>
      </c>
      <c r="C1031" s="6">
        <v>1964</v>
      </c>
      <c r="D1031" s="6">
        <f t="shared" si="64"/>
        <v>61</v>
      </c>
      <c r="E1031" s="7" t="s">
        <v>17</v>
      </c>
      <c r="F1031" s="7" t="s">
        <v>11</v>
      </c>
      <c r="G1031" s="6">
        <v>68316</v>
      </c>
      <c r="H1031" s="6" t="str" cm="1">
        <f t="array" ref="H1031">_xlfn.IFS(
  G1031 &lt; 25000, "Low",
  AND(G1031 &gt;= 25000, G1031 &lt; 75000), "Medium",
  AND(G1031 &gt;= 75000, G1031 &lt; 150000), "High",
  G1031 &gt;= 150000, "Very High"
)</f>
        <v>Medium</v>
      </c>
      <c r="I1031" s="6">
        <v>0</v>
      </c>
      <c r="J1031" s="6">
        <v>1</v>
      </c>
      <c r="K1031" s="6">
        <f t="shared" si="65"/>
        <v>1</v>
      </c>
      <c r="L1031" s="8">
        <v>41217</v>
      </c>
      <c r="M1031" t="str">
        <f t="shared" ca="1" si="66"/>
        <v>13 years, 4 months</v>
      </c>
      <c r="N1031" s="6">
        <v>54</v>
      </c>
      <c r="O1031">
        <v>80</v>
      </c>
      <c r="P1031">
        <v>11</v>
      </c>
      <c r="Q1031">
        <f t="shared" si="67"/>
        <v>91</v>
      </c>
      <c r="R1031">
        <v>10</v>
      </c>
      <c r="S1031">
        <v>10</v>
      </c>
      <c r="T1031">
        <f>Table[[#This Row],[NumWebPurchases]]+Table[[#This Row],[NumStorePurchases]]</f>
        <v>20</v>
      </c>
    </row>
    <row r="1032" spans="1:20" ht="12.5">
      <c r="A1032" s="6">
        <v>1030</v>
      </c>
      <c r="B1032" s="6">
        <v>5204</v>
      </c>
      <c r="C1032" s="6">
        <v>1971</v>
      </c>
      <c r="D1032" s="6">
        <f t="shared" si="64"/>
        <v>54</v>
      </c>
      <c r="E1032" s="7" t="s">
        <v>9</v>
      </c>
      <c r="F1032" s="7" t="s">
        <v>11</v>
      </c>
      <c r="G1032" s="6">
        <v>74538</v>
      </c>
      <c r="H1032" s="6" t="str" cm="1">
        <f t="array" ref="H1032">_xlfn.IFS(
  G1032 &lt; 25000, "Low",
  AND(G1032 &gt;= 25000, G1032 &lt; 75000), "Medium",
  AND(G1032 &gt;= 75000, G1032 &lt; 150000), "High",
  G1032 &gt;= 150000, "Very High"
)</f>
        <v>Medium</v>
      </c>
      <c r="I1032" s="6">
        <v>0</v>
      </c>
      <c r="J1032" s="6">
        <v>0</v>
      </c>
      <c r="K1032" s="6">
        <f t="shared" si="65"/>
        <v>0</v>
      </c>
      <c r="L1032" s="8">
        <v>41454</v>
      </c>
      <c r="M1032" t="str">
        <f t="shared" ca="1" si="66"/>
        <v>12 years, 8 months</v>
      </c>
      <c r="N1032" s="6">
        <v>21</v>
      </c>
      <c r="O1032">
        <v>98</v>
      </c>
      <c r="P1032">
        <v>112</v>
      </c>
      <c r="Q1032">
        <f t="shared" si="67"/>
        <v>210</v>
      </c>
      <c r="R1032">
        <v>8</v>
      </c>
      <c r="S1032">
        <v>5</v>
      </c>
      <c r="T1032">
        <f>Table[[#This Row],[NumWebPurchases]]+Table[[#This Row],[NumStorePurchases]]</f>
        <v>13</v>
      </c>
    </row>
    <row r="1033" spans="1:20" ht="12.5">
      <c r="A1033" s="6">
        <v>1031</v>
      </c>
      <c r="B1033" s="6">
        <v>9220</v>
      </c>
      <c r="C1033" s="6">
        <v>1971</v>
      </c>
      <c r="D1033" s="6">
        <f t="shared" si="64"/>
        <v>54</v>
      </c>
      <c r="E1033" s="7" t="s">
        <v>9</v>
      </c>
      <c r="F1033" s="7" t="s">
        <v>10</v>
      </c>
      <c r="G1033" s="6">
        <v>91700</v>
      </c>
      <c r="H1033" s="6" t="str" cm="1">
        <f t="array" ref="H1033">_xlfn.IFS(
  G1033 &lt; 25000, "Low",
  AND(G1033 &gt;= 25000, G1033 &lt; 75000), "Medium",
  AND(G1033 &gt;= 75000, G1033 &lt; 150000), "High",
  G1033 &gt;= 150000, "Very High"
)</f>
        <v>High</v>
      </c>
      <c r="I1033" s="6">
        <v>0</v>
      </c>
      <c r="J1033" s="6">
        <v>0</v>
      </c>
      <c r="K1033" s="6">
        <f t="shared" si="65"/>
        <v>0</v>
      </c>
      <c r="L1033" s="8">
        <v>41291</v>
      </c>
      <c r="M1033" t="str">
        <f t="shared" ca="1" si="66"/>
        <v>13 years, 1 months</v>
      </c>
      <c r="N1033" s="6">
        <v>58</v>
      </c>
      <c r="O1033">
        <v>172</v>
      </c>
      <c r="P1033">
        <v>115</v>
      </c>
      <c r="Q1033">
        <f t="shared" si="67"/>
        <v>287</v>
      </c>
      <c r="R1033">
        <v>8</v>
      </c>
      <c r="S1033">
        <v>5</v>
      </c>
      <c r="T1033">
        <f>Table[[#This Row],[NumWebPurchases]]+Table[[#This Row],[NumStorePurchases]]</f>
        <v>13</v>
      </c>
    </row>
    <row r="1034" spans="1:20" ht="12.5">
      <c r="A1034" s="6">
        <v>1032</v>
      </c>
      <c r="B1034" s="6">
        <v>9888</v>
      </c>
      <c r="C1034" s="6">
        <v>1969</v>
      </c>
      <c r="D1034" s="6">
        <f t="shared" si="64"/>
        <v>56</v>
      </c>
      <c r="E1034" s="7" t="s">
        <v>9</v>
      </c>
      <c r="F1034" s="7" t="s">
        <v>11</v>
      </c>
      <c r="G1034" s="6">
        <v>68695</v>
      </c>
      <c r="H1034" s="6" t="str" cm="1">
        <f t="array" ref="H1034">_xlfn.IFS(
  G1034 &lt; 25000, "Low",
  AND(G1034 &gt;= 25000, G1034 &lt; 75000), "Medium",
  AND(G1034 &gt;= 75000, G1034 &lt; 150000), "High",
  G1034 &gt;= 150000, "Very High"
)</f>
        <v>Medium</v>
      </c>
      <c r="I1034" s="6">
        <v>0</v>
      </c>
      <c r="J1034" s="6">
        <v>0</v>
      </c>
      <c r="K1034" s="6">
        <f t="shared" si="65"/>
        <v>0</v>
      </c>
      <c r="L1034" s="8">
        <v>41815</v>
      </c>
      <c r="M1034" t="str">
        <f t="shared" ca="1" si="66"/>
        <v>11 years, 8 months</v>
      </c>
      <c r="N1034" s="6">
        <v>3</v>
      </c>
      <c r="O1034">
        <v>81</v>
      </c>
      <c r="P1034">
        <v>50</v>
      </c>
      <c r="Q1034">
        <f t="shared" si="67"/>
        <v>131</v>
      </c>
      <c r="R1034">
        <v>4</v>
      </c>
      <c r="S1034">
        <v>7</v>
      </c>
      <c r="T1034">
        <f>Table[[#This Row],[NumWebPurchases]]+Table[[#This Row],[NumStorePurchases]]</f>
        <v>11</v>
      </c>
    </row>
    <row r="1035" spans="1:20" ht="12.5">
      <c r="A1035" s="6">
        <v>1033</v>
      </c>
      <c r="B1035" s="6">
        <v>5263</v>
      </c>
      <c r="C1035" s="6">
        <v>1977</v>
      </c>
      <c r="D1035" s="6">
        <f t="shared" si="64"/>
        <v>48</v>
      </c>
      <c r="E1035" s="7" t="s">
        <v>17</v>
      </c>
      <c r="F1035" s="7" t="s">
        <v>13</v>
      </c>
      <c r="G1035" s="6">
        <v>31056</v>
      </c>
      <c r="H1035" s="6" t="str" cm="1">
        <f t="array" ref="H1035">_xlfn.IFS(
  G1035 &lt; 25000, "Low",
  AND(G1035 &gt;= 25000, G1035 &lt; 75000), "Medium",
  AND(G1035 &gt;= 75000, G1035 &lt; 150000), "High",
  G1035 &gt;= 150000, "Very High"
)</f>
        <v>Medium</v>
      </c>
      <c r="I1035" s="6">
        <v>1</v>
      </c>
      <c r="J1035" s="6">
        <v>0</v>
      </c>
      <c r="K1035" s="6">
        <f t="shared" si="65"/>
        <v>1</v>
      </c>
      <c r="L1035" s="8">
        <v>41296</v>
      </c>
      <c r="M1035" t="str">
        <f t="shared" ca="1" si="66"/>
        <v>13 years, 1 months</v>
      </c>
      <c r="N1035" s="6">
        <v>99</v>
      </c>
      <c r="O1035">
        <v>10</v>
      </c>
      <c r="P1035">
        <v>8</v>
      </c>
      <c r="Q1035">
        <f t="shared" si="67"/>
        <v>18</v>
      </c>
      <c r="R1035">
        <v>1</v>
      </c>
      <c r="S1035">
        <v>3</v>
      </c>
      <c r="T1035">
        <f>Table[[#This Row],[NumWebPurchases]]+Table[[#This Row],[NumStorePurchases]]</f>
        <v>4</v>
      </c>
    </row>
    <row r="1036" spans="1:20" ht="12.5">
      <c r="A1036" s="6">
        <v>1034</v>
      </c>
      <c r="B1036" s="6">
        <v>1020</v>
      </c>
      <c r="C1036" s="6">
        <v>1973</v>
      </c>
      <c r="D1036" s="6">
        <f t="shared" si="64"/>
        <v>52</v>
      </c>
      <c r="E1036" s="7" t="s">
        <v>9</v>
      </c>
      <c r="F1036" s="7" t="s">
        <v>13</v>
      </c>
      <c r="G1036" s="6">
        <v>79593</v>
      </c>
      <c r="H1036" s="6" t="str" cm="1">
        <f t="array" ref="H1036">_xlfn.IFS(
  G1036 &lt; 25000, "Low",
  AND(G1036 &gt;= 25000, G1036 &lt; 75000), "Medium",
  AND(G1036 &gt;= 75000, G1036 &lt; 150000), "High",
  G1036 &gt;= 150000, "Very High"
)</f>
        <v>High</v>
      </c>
      <c r="I1036" s="6">
        <v>0</v>
      </c>
      <c r="J1036" s="6">
        <v>0</v>
      </c>
      <c r="K1036" s="6">
        <f t="shared" si="65"/>
        <v>0</v>
      </c>
      <c r="L1036" s="8">
        <v>41771</v>
      </c>
      <c r="M1036" t="str">
        <f t="shared" ca="1" si="66"/>
        <v>11 years, 9 months</v>
      </c>
      <c r="N1036" s="6">
        <v>70</v>
      </c>
      <c r="O1036">
        <v>60</v>
      </c>
      <c r="P1036">
        <v>133</v>
      </c>
      <c r="Q1036">
        <f t="shared" si="67"/>
        <v>193</v>
      </c>
      <c r="R1036">
        <v>5</v>
      </c>
      <c r="S1036">
        <v>7</v>
      </c>
      <c r="T1036">
        <f>Table[[#This Row],[NumWebPurchases]]+Table[[#This Row],[NumStorePurchases]]</f>
        <v>12</v>
      </c>
    </row>
    <row r="1037" spans="1:20" ht="12.5">
      <c r="A1037" s="6">
        <v>1035</v>
      </c>
      <c r="B1037" s="6">
        <v>9503</v>
      </c>
      <c r="C1037" s="6">
        <v>1980</v>
      </c>
      <c r="D1037" s="6">
        <f t="shared" si="64"/>
        <v>45</v>
      </c>
      <c r="E1037" s="7" t="s">
        <v>9</v>
      </c>
      <c r="F1037" s="7" t="s">
        <v>10</v>
      </c>
      <c r="G1037" s="6">
        <v>28071</v>
      </c>
      <c r="H1037" s="6" t="str" cm="1">
        <f t="array" ref="H1037">_xlfn.IFS(
  G1037 &lt; 25000, "Low",
  AND(G1037 &gt;= 25000, G1037 &lt; 75000), "Medium",
  AND(G1037 &gt;= 75000, G1037 &lt; 150000), "High",
  G1037 &gt;= 150000, "Very High"
)</f>
        <v>Medium</v>
      </c>
      <c r="I1037" s="6">
        <v>0</v>
      </c>
      <c r="J1037" s="6">
        <v>0</v>
      </c>
      <c r="K1037" s="6">
        <f t="shared" si="65"/>
        <v>0</v>
      </c>
      <c r="L1037" s="8">
        <v>41150</v>
      </c>
      <c r="M1037" t="str">
        <f t="shared" ca="1" si="66"/>
        <v>13 years, 6 months</v>
      </c>
      <c r="N1037" s="6">
        <v>65</v>
      </c>
      <c r="O1037">
        <v>33</v>
      </c>
      <c r="P1037">
        <v>26</v>
      </c>
      <c r="Q1037">
        <f t="shared" si="67"/>
        <v>59</v>
      </c>
      <c r="R1037">
        <v>5</v>
      </c>
      <c r="S1037">
        <v>5</v>
      </c>
      <c r="T1037">
        <f>Table[[#This Row],[NumWebPurchases]]+Table[[#This Row],[NumStorePurchases]]</f>
        <v>10</v>
      </c>
    </row>
    <row r="1038" spans="1:20" ht="12.5">
      <c r="A1038" s="6">
        <v>1036</v>
      </c>
      <c r="B1038" s="6">
        <v>10613</v>
      </c>
      <c r="C1038" s="6">
        <v>1958</v>
      </c>
      <c r="D1038" s="6">
        <f t="shared" si="64"/>
        <v>67</v>
      </c>
      <c r="E1038" s="7" t="s">
        <v>12</v>
      </c>
      <c r="F1038" s="7" t="s">
        <v>11</v>
      </c>
      <c r="G1038" s="6">
        <v>37334</v>
      </c>
      <c r="H1038" s="6" t="str" cm="1">
        <f t="array" ref="H1038">_xlfn.IFS(
  G1038 &lt; 25000, "Low",
  AND(G1038 &gt;= 25000, G1038 &lt; 75000), "Medium",
  AND(G1038 &gt;= 75000, G1038 &lt; 150000), "High",
  G1038 &gt;= 150000, "Very High"
)</f>
        <v>Medium</v>
      </c>
      <c r="I1038" s="6">
        <v>1</v>
      </c>
      <c r="J1038" s="6">
        <v>1</v>
      </c>
      <c r="K1038" s="6">
        <f t="shared" si="65"/>
        <v>2</v>
      </c>
      <c r="L1038" s="8">
        <v>41696</v>
      </c>
      <c r="M1038" t="str">
        <f t="shared" ca="1" si="66"/>
        <v>12 years, 0 months</v>
      </c>
      <c r="N1038" s="6">
        <v>44</v>
      </c>
      <c r="O1038">
        <v>1</v>
      </c>
      <c r="P1038">
        <v>2</v>
      </c>
      <c r="Q1038">
        <f t="shared" si="67"/>
        <v>3</v>
      </c>
      <c r="R1038">
        <v>3</v>
      </c>
      <c r="S1038">
        <v>4</v>
      </c>
      <c r="T1038">
        <f>Table[[#This Row],[NumWebPurchases]]+Table[[#This Row],[NumStorePurchases]]</f>
        <v>7</v>
      </c>
    </row>
    <row r="1039" spans="1:20" ht="12.5">
      <c r="A1039" s="6">
        <v>1037</v>
      </c>
      <c r="B1039" s="6">
        <v>67</v>
      </c>
      <c r="C1039" s="6">
        <v>1972</v>
      </c>
      <c r="D1039" s="6">
        <f t="shared" si="64"/>
        <v>53</v>
      </c>
      <c r="E1039" s="7" t="s">
        <v>14</v>
      </c>
      <c r="F1039" s="7" t="s">
        <v>10</v>
      </c>
      <c r="G1039" s="6">
        <v>46423</v>
      </c>
      <c r="H1039" s="6" t="str" cm="1">
        <f t="array" ref="H1039">_xlfn.IFS(
  G1039 &lt; 25000, "Low",
  AND(G1039 &gt;= 25000, G1039 &lt; 75000), "Medium",
  AND(G1039 &gt;= 75000, G1039 &lt; 150000), "High",
  G1039 &gt;= 150000, "Very High"
)</f>
        <v>Medium</v>
      </c>
      <c r="I1039" s="6">
        <v>1</v>
      </c>
      <c r="J1039" s="6">
        <v>1</v>
      </c>
      <c r="K1039" s="6">
        <f t="shared" si="65"/>
        <v>2</v>
      </c>
      <c r="L1039" s="8">
        <v>41535</v>
      </c>
      <c r="M1039" t="str">
        <f t="shared" ca="1" si="66"/>
        <v>12 years, 5 months</v>
      </c>
      <c r="N1039" s="6">
        <v>6</v>
      </c>
      <c r="O1039">
        <v>0</v>
      </c>
      <c r="P1039">
        <v>0</v>
      </c>
      <c r="Q1039">
        <f t="shared" si="67"/>
        <v>0</v>
      </c>
      <c r="R1039">
        <v>2</v>
      </c>
      <c r="S1039">
        <v>4</v>
      </c>
      <c r="T1039">
        <f>Table[[#This Row],[NumWebPurchases]]+Table[[#This Row],[NumStorePurchases]]</f>
        <v>6</v>
      </c>
    </row>
    <row r="1040" spans="1:20" ht="12.5">
      <c r="A1040" s="6">
        <v>1038</v>
      </c>
      <c r="B1040" s="6">
        <v>6019</v>
      </c>
      <c r="C1040" s="6">
        <v>1971</v>
      </c>
      <c r="D1040" s="6">
        <f t="shared" si="64"/>
        <v>54</v>
      </c>
      <c r="E1040" s="7" t="s">
        <v>12</v>
      </c>
      <c r="F1040" s="7" t="s">
        <v>13</v>
      </c>
      <c r="G1040" s="6">
        <v>37126</v>
      </c>
      <c r="H1040" s="6" t="str" cm="1">
        <f t="array" ref="H1040">_xlfn.IFS(
  G1040 &lt; 25000, "Low",
  AND(G1040 &gt;= 25000, G1040 &lt; 75000), "Medium",
  AND(G1040 &gt;= 75000, G1040 &lt; 150000), "High",
  G1040 &gt;= 150000, "Very High"
)</f>
        <v>Medium</v>
      </c>
      <c r="I1040" s="6">
        <v>1</v>
      </c>
      <c r="J1040" s="6">
        <v>0</v>
      </c>
      <c r="K1040" s="6">
        <f t="shared" si="65"/>
        <v>1</v>
      </c>
      <c r="L1040" s="8">
        <v>41728</v>
      </c>
      <c r="M1040" t="str">
        <f t="shared" ca="1" si="66"/>
        <v>11 years, 11 months</v>
      </c>
      <c r="N1040" s="6">
        <v>9</v>
      </c>
      <c r="O1040">
        <v>3</v>
      </c>
      <c r="P1040">
        <v>4</v>
      </c>
      <c r="Q1040">
        <f t="shared" si="67"/>
        <v>7</v>
      </c>
      <c r="R1040">
        <v>1</v>
      </c>
      <c r="S1040">
        <v>2</v>
      </c>
      <c r="T1040">
        <f>Table[[#This Row],[NumWebPurchases]]+Table[[#This Row],[NumStorePurchases]]</f>
        <v>3</v>
      </c>
    </row>
    <row r="1041" spans="1:20" ht="12.5">
      <c r="A1041" s="6">
        <v>1039</v>
      </c>
      <c r="B1041" s="6">
        <v>5863</v>
      </c>
      <c r="C1041" s="6">
        <v>1953</v>
      </c>
      <c r="D1041" s="6">
        <f t="shared" si="64"/>
        <v>72</v>
      </c>
      <c r="E1041" s="7" t="s">
        <v>9</v>
      </c>
      <c r="F1041" s="7" t="s">
        <v>13</v>
      </c>
      <c r="G1041" s="6">
        <v>47703</v>
      </c>
      <c r="H1041" s="6" t="str" cm="1">
        <f t="array" ref="H1041">_xlfn.IFS(
  G1041 &lt; 25000, "Low",
  AND(G1041 &gt;= 25000, G1041 &lt; 75000), "Medium",
  AND(G1041 &gt;= 75000, G1041 &lt; 150000), "High",
  G1041 &gt;= 150000, "Very High"
)</f>
        <v>Medium</v>
      </c>
      <c r="I1041" s="6">
        <v>0</v>
      </c>
      <c r="J1041" s="6">
        <v>1</v>
      </c>
      <c r="K1041" s="6">
        <f t="shared" si="65"/>
        <v>1</v>
      </c>
      <c r="L1041" s="8">
        <v>41423</v>
      </c>
      <c r="M1041" t="str">
        <f t="shared" ca="1" si="66"/>
        <v>12 years, 9 months</v>
      </c>
      <c r="N1041" s="6">
        <v>95</v>
      </c>
      <c r="O1041">
        <v>0</v>
      </c>
      <c r="P1041">
        <v>26</v>
      </c>
      <c r="Q1041">
        <f t="shared" si="67"/>
        <v>26</v>
      </c>
      <c r="R1041">
        <v>6</v>
      </c>
      <c r="S1041">
        <v>8</v>
      </c>
      <c r="T1041">
        <f>Table[[#This Row],[NumWebPurchases]]+Table[[#This Row],[NumStorePurchases]]</f>
        <v>14</v>
      </c>
    </row>
    <row r="1042" spans="1:20" ht="12.5">
      <c r="A1042" s="6">
        <v>1040</v>
      </c>
      <c r="B1042" s="6">
        <v>3717</v>
      </c>
      <c r="C1042" s="6">
        <v>1959</v>
      </c>
      <c r="D1042" s="6">
        <f t="shared" si="64"/>
        <v>66</v>
      </c>
      <c r="E1042" s="7" t="s">
        <v>9</v>
      </c>
      <c r="F1042" s="7" t="s">
        <v>13</v>
      </c>
      <c r="G1042" s="6">
        <v>61180</v>
      </c>
      <c r="H1042" s="6" t="str" cm="1">
        <f t="array" ref="H1042">_xlfn.IFS(
  G1042 &lt; 25000, "Low",
  AND(G1042 &gt;= 25000, G1042 &lt; 75000), "Medium",
  AND(G1042 &gt;= 75000, G1042 &lt; 150000), "High",
  G1042 &gt;= 150000, "Very High"
)</f>
        <v>Medium</v>
      </c>
      <c r="I1042" s="6">
        <v>0</v>
      </c>
      <c r="J1042" s="6">
        <v>1</v>
      </c>
      <c r="K1042" s="6">
        <f t="shared" si="65"/>
        <v>1</v>
      </c>
      <c r="L1042" s="8">
        <v>41752</v>
      </c>
      <c r="M1042" t="str">
        <f t="shared" ca="1" si="66"/>
        <v>11 years, 10 months</v>
      </c>
      <c r="N1042" s="6">
        <v>70</v>
      </c>
      <c r="O1042">
        <v>24</v>
      </c>
      <c r="P1042">
        <v>24</v>
      </c>
      <c r="Q1042">
        <f t="shared" si="67"/>
        <v>48</v>
      </c>
      <c r="R1042">
        <v>5</v>
      </c>
      <c r="S1042">
        <v>6</v>
      </c>
      <c r="T1042">
        <f>Table[[#This Row],[NumWebPurchases]]+Table[[#This Row],[NumStorePurchases]]</f>
        <v>11</v>
      </c>
    </row>
    <row r="1043" spans="1:20" ht="12.5">
      <c r="A1043" s="6">
        <v>1041</v>
      </c>
      <c r="B1043" s="6">
        <v>6730</v>
      </c>
      <c r="C1043" s="6">
        <v>1954</v>
      </c>
      <c r="D1043" s="6">
        <f t="shared" si="64"/>
        <v>71</v>
      </c>
      <c r="E1043" s="7" t="s">
        <v>9</v>
      </c>
      <c r="F1043" s="7" t="s">
        <v>13</v>
      </c>
      <c r="G1043" s="6">
        <v>38998</v>
      </c>
      <c r="H1043" s="6" t="str" cm="1">
        <f t="array" ref="H1043">_xlfn.IFS(
  G1043 &lt; 25000, "Low",
  AND(G1043 &gt;= 25000, G1043 &lt; 75000), "Medium",
  AND(G1043 &gt;= 75000, G1043 &lt; 150000), "High",
  G1043 &gt;= 150000, "Very High"
)</f>
        <v>Medium</v>
      </c>
      <c r="I1043" s="6">
        <v>1</v>
      </c>
      <c r="J1043" s="6">
        <v>1</v>
      </c>
      <c r="K1043" s="6">
        <f t="shared" si="65"/>
        <v>2</v>
      </c>
      <c r="L1043" s="8">
        <v>41216</v>
      </c>
      <c r="M1043" t="str">
        <f t="shared" ca="1" si="66"/>
        <v>13 years, 4 months</v>
      </c>
      <c r="N1043" s="6">
        <v>92</v>
      </c>
      <c r="O1043">
        <v>1</v>
      </c>
      <c r="P1043">
        <v>0</v>
      </c>
      <c r="Q1043">
        <f t="shared" si="67"/>
        <v>1</v>
      </c>
      <c r="R1043">
        <v>2</v>
      </c>
      <c r="S1043">
        <v>3</v>
      </c>
      <c r="T1043">
        <f>Table[[#This Row],[NumWebPurchases]]+Table[[#This Row],[NumStorePurchases]]</f>
        <v>5</v>
      </c>
    </row>
    <row r="1044" spans="1:20" ht="12.5">
      <c r="A1044" s="6">
        <v>1042</v>
      </c>
      <c r="B1044" s="6">
        <v>10749</v>
      </c>
      <c r="C1044" s="6">
        <v>1991</v>
      </c>
      <c r="D1044" s="6">
        <f t="shared" si="64"/>
        <v>34</v>
      </c>
      <c r="E1044" s="7" t="s">
        <v>9</v>
      </c>
      <c r="F1044" s="7" t="s">
        <v>10</v>
      </c>
      <c r="G1044" s="6">
        <v>8028</v>
      </c>
      <c r="H1044" s="6" t="str" cm="1">
        <f t="array" ref="H1044">_xlfn.IFS(
  G1044 &lt; 25000, "Low",
  AND(G1044 &gt;= 25000, G1044 &lt; 75000), "Medium",
  AND(G1044 &gt;= 75000, G1044 &lt; 150000), "High",
  G1044 &gt;= 150000, "Very High"
)</f>
        <v>Low</v>
      </c>
      <c r="I1044" s="6">
        <v>0</v>
      </c>
      <c r="J1044" s="6">
        <v>0</v>
      </c>
      <c r="K1044" s="6">
        <f t="shared" si="65"/>
        <v>0</v>
      </c>
      <c r="L1044" s="8">
        <v>41170</v>
      </c>
      <c r="M1044" t="str">
        <f t="shared" ca="1" si="66"/>
        <v>13 years, 5 months</v>
      </c>
      <c r="N1044" s="6">
        <v>62</v>
      </c>
      <c r="O1044">
        <v>18</v>
      </c>
      <c r="P1044">
        <v>12</v>
      </c>
      <c r="Q1044">
        <f t="shared" si="67"/>
        <v>30</v>
      </c>
      <c r="R1044">
        <v>0</v>
      </c>
      <c r="S1044">
        <v>0</v>
      </c>
      <c r="T1044">
        <f>Table[[#This Row],[NumWebPurchases]]+Table[[#This Row],[NumStorePurchases]]</f>
        <v>0</v>
      </c>
    </row>
    <row r="1045" spans="1:20" ht="12.5">
      <c r="A1045" s="6">
        <v>1043</v>
      </c>
      <c r="B1045" s="6">
        <v>4998</v>
      </c>
      <c r="C1045" s="6">
        <v>1962</v>
      </c>
      <c r="D1045" s="6">
        <f t="shared" si="64"/>
        <v>63</v>
      </c>
      <c r="E1045" s="7" t="s">
        <v>9</v>
      </c>
      <c r="F1045" s="7" t="s">
        <v>11</v>
      </c>
      <c r="G1045" s="6">
        <v>76081</v>
      </c>
      <c r="H1045" s="6" t="str" cm="1">
        <f t="array" ref="H1045">_xlfn.IFS(
  G1045 &lt; 25000, "Low",
  AND(G1045 &gt;= 25000, G1045 &lt; 75000), "Medium",
  AND(G1045 &gt;= 75000, G1045 &lt; 150000), "High",
  G1045 &gt;= 150000, "Very High"
)</f>
        <v>High</v>
      </c>
      <c r="I1045" s="6">
        <v>0</v>
      </c>
      <c r="J1045" s="6">
        <v>0</v>
      </c>
      <c r="K1045" s="6">
        <f t="shared" si="65"/>
        <v>0</v>
      </c>
      <c r="L1045" s="8">
        <v>41782</v>
      </c>
      <c r="M1045" t="str">
        <f t="shared" ca="1" si="66"/>
        <v>11 years, 9 months</v>
      </c>
      <c r="N1045" s="6">
        <v>85</v>
      </c>
      <c r="O1045">
        <v>30</v>
      </c>
      <c r="P1045">
        <v>33</v>
      </c>
      <c r="Q1045">
        <f t="shared" si="67"/>
        <v>63</v>
      </c>
      <c r="R1045">
        <v>4</v>
      </c>
      <c r="S1045">
        <v>4</v>
      </c>
      <c r="T1045">
        <f>Table[[#This Row],[NumWebPurchases]]+Table[[#This Row],[NumStorePurchases]]</f>
        <v>8</v>
      </c>
    </row>
    <row r="1046" spans="1:20" ht="12.5">
      <c r="A1046" s="6">
        <v>1044</v>
      </c>
      <c r="B1046" s="6">
        <v>6287</v>
      </c>
      <c r="C1046" s="6">
        <v>1986</v>
      </c>
      <c r="D1046" s="6">
        <f t="shared" si="64"/>
        <v>39</v>
      </c>
      <c r="E1046" s="7" t="s">
        <v>9</v>
      </c>
      <c r="F1046" s="7" t="s">
        <v>11</v>
      </c>
      <c r="G1046" s="6">
        <v>34728</v>
      </c>
      <c r="H1046" s="6" t="str" cm="1">
        <f t="array" ref="H1046">_xlfn.IFS(
  G1046 &lt; 25000, "Low",
  AND(G1046 &gt;= 25000, G1046 &lt; 75000), "Medium",
  AND(G1046 &gt;= 75000, G1046 &lt; 150000), "High",
  G1046 &gt;= 150000, "Very High"
)</f>
        <v>Medium</v>
      </c>
      <c r="I1046" s="6">
        <v>1</v>
      </c>
      <c r="J1046" s="6">
        <v>0</v>
      </c>
      <c r="K1046" s="6">
        <f t="shared" si="65"/>
        <v>1</v>
      </c>
      <c r="L1046" s="8">
        <v>41485</v>
      </c>
      <c r="M1046" t="str">
        <f t="shared" ca="1" si="66"/>
        <v>12 years, 7 months</v>
      </c>
      <c r="N1046" s="6">
        <v>2</v>
      </c>
      <c r="O1046">
        <v>0</v>
      </c>
      <c r="P1046">
        <v>0</v>
      </c>
      <c r="Q1046">
        <f t="shared" si="67"/>
        <v>0</v>
      </c>
      <c r="R1046">
        <v>1</v>
      </c>
      <c r="S1046">
        <v>2</v>
      </c>
      <c r="T1046">
        <f>Table[[#This Row],[NumWebPurchases]]+Table[[#This Row],[NumStorePurchases]]</f>
        <v>3</v>
      </c>
    </row>
    <row r="1047" spans="1:20" ht="12.5">
      <c r="A1047" s="6">
        <v>1045</v>
      </c>
      <c r="B1047" s="6">
        <v>5985</v>
      </c>
      <c r="C1047" s="6">
        <v>1965</v>
      </c>
      <c r="D1047" s="6">
        <f t="shared" si="64"/>
        <v>60</v>
      </c>
      <c r="E1047" s="7" t="s">
        <v>14</v>
      </c>
      <c r="F1047" s="7" t="s">
        <v>10</v>
      </c>
      <c r="G1047" s="6">
        <v>33168</v>
      </c>
      <c r="H1047" s="6" t="str" cm="1">
        <f t="array" ref="H1047">_xlfn.IFS(
  G1047 &lt; 25000, "Low",
  AND(G1047 &gt;= 25000, G1047 &lt; 75000), "Medium",
  AND(G1047 &gt;= 75000, G1047 &lt; 150000), "High",
  G1047 &gt;= 150000, "Very High"
)</f>
        <v>Medium</v>
      </c>
      <c r="I1047" s="6">
        <v>0</v>
      </c>
      <c r="J1047" s="6">
        <v>1</v>
      </c>
      <c r="K1047" s="6">
        <f t="shared" si="65"/>
        <v>1</v>
      </c>
      <c r="L1047" s="9">
        <v>41195</v>
      </c>
      <c r="M1047" t="str">
        <f t="shared" ca="1" si="66"/>
        <v>13 years, 4 months</v>
      </c>
      <c r="N1047" s="6">
        <v>0</v>
      </c>
      <c r="O1047">
        <v>1</v>
      </c>
      <c r="P1047">
        <v>1</v>
      </c>
      <c r="Q1047">
        <f t="shared" si="67"/>
        <v>2</v>
      </c>
      <c r="R1047">
        <v>2</v>
      </c>
      <c r="S1047">
        <v>4</v>
      </c>
      <c r="T1047">
        <f>Table[[#This Row],[NumWebPurchases]]+Table[[#This Row],[NumStorePurchases]]</f>
        <v>6</v>
      </c>
    </row>
    <row r="1048" spans="1:20" ht="12.5">
      <c r="A1048" s="6">
        <v>1046</v>
      </c>
      <c r="B1048" s="6">
        <v>4754</v>
      </c>
      <c r="C1048" s="6">
        <v>1966</v>
      </c>
      <c r="D1048" s="6">
        <f t="shared" si="64"/>
        <v>59</v>
      </c>
      <c r="E1048" s="7" t="s">
        <v>14</v>
      </c>
      <c r="F1048" s="7" t="s">
        <v>13</v>
      </c>
      <c r="G1048" s="6">
        <v>33585</v>
      </c>
      <c r="H1048" s="6" t="str" cm="1">
        <f t="array" ref="H1048">_xlfn.IFS(
  G1048 &lt; 25000, "Low",
  AND(G1048 &gt;= 25000, G1048 &lt; 75000), "Medium",
  AND(G1048 &gt;= 75000, G1048 &lt; 150000), "High",
  G1048 &gt;= 150000, "Very High"
)</f>
        <v>Medium</v>
      </c>
      <c r="I1048" s="6">
        <v>0</v>
      </c>
      <c r="J1048" s="6">
        <v>1</v>
      </c>
      <c r="K1048" s="6">
        <f t="shared" si="65"/>
        <v>1</v>
      </c>
      <c r="L1048" s="8">
        <v>41542</v>
      </c>
      <c r="M1048" t="str">
        <f t="shared" ca="1" si="66"/>
        <v>12 years, 5 months</v>
      </c>
      <c r="N1048" s="6">
        <v>91</v>
      </c>
      <c r="O1048">
        <v>11</v>
      </c>
      <c r="P1048">
        <v>6</v>
      </c>
      <c r="Q1048">
        <f t="shared" si="67"/>
        <v>17</v>
      </c>
      <c r="R1048">
        <v>2</v>
      </c>
      <c r="S1048">
        <v>4</v>
      </c>
      <c r="T1048">
        <f>Table[[#This Row],[NumWebPurchases]]+Table[[#This Row],[NumStorePurchases]]</f>
        <v>6</v>
      </c>
    </row>
    <row r="1049" spans="1:20" ht="12.5">
      <c r="A1049" s="6">
        <v>1047</v>
      </c>
      <c r="B1049" s="6">
        <v>4002</v>
      </c>
      <c r="C1049" s="6">
        <v>1960</v>
      </c>
      <c r="D1049" s="6">
        <f t="shared" si="64"/>
        <v>65</v>
      </c>
      <c r="E1049" s="7" t="s">
        <v>12</v>
      </c>
      <c r="F1049" s="7" t="s">
        <v>13</v>
      </c>
      <c r="G1049" s="6">
        <v>77037</v>
      </c>
      <c r="H1049" s="6" t="str" cm="1">
        <f t="array" ref="H1049">_xlfn.IFS(
  G1049 &lt; 25000, "Low",
  AND(G1049 &gt;= 25000, G1049 &lt; 75000), "Medium",
  AND(G1049 &gt;= 75000, G1049 &lt; 150000), "High",
  G1049 &gt;= 150000, "Very High"
)</f>
        <v>High</v>
      </c>
      <c r="I1049" s="6">
        <v>0</v>
      </c>
      <c r="J1049" s="6">
        <v>1</v>
      </c>
      <c r="K1049" s="6">
        <f t="shared" si="65"/>
        <v>1</v>
      </c>
      <c r="L1049" s="9">
        <v>41560</v>
      </c>
      <c r="M1049" t="str">
        <f t="shared" ca="1" si="66"/>
        <v>12 years, 4 months</v>
      </c>
      <c r="N1049" s="6">
        <v>3</v>
      </c>
      <c r="O1049">
        <v>96</v>
      </c>
      <c r="P1049">
        <v>53</v>
      </c>
      <c r="Q1049">
        <f t="shared" si="67"/>
        <v>149</v>
      </c>
      <c r="R1049">
        <v>7</v>
      </c>
      <c r="S1049">
        <v>12</v>
      </c>
      <c r="T1049">
        <f>Table[[#This Row],[NumWebPurchases]]+Table[[#This Row],[NumStorePurchases]]</f>
        <v>19</v>
      </c>
    </row>
    <row r="1050" spans="1:20" ht="12.5">
      <c r="A1050" s="6">
        <v>1048</v>
      </c>
      <c r="B1050" s="6">
        <v>8870</v>
      </c>
      <c r="C1050" s="6">
        <v>1984</v>
      </c>
      <c r="D1050" s="6">
        <f t="shared" si="64"/>
        <v>41</v>
      </c>
      <c r="E1050" s="7" t="s">
        <v>9</v>
      </c>
      <c r="F1050" s="7" t="s">
        <v>11</v>
      </c>
      <c r="G1050" s="6">
        <v>35196</v>
      </c>
      <c r="H1050" s="6" t="str" cm="1">
        <f t="array" ref="H1050">_xlfn.IFS(
  G1050 &lt; 25000, "Low",
  AND(G1050 &gt;= 25000, G1050 &lt; 75000), "Medium",
  AND(G1050 &gt;= 75000, G1050 &lt; 150000), "High",
  G1050 &gt;= 150000, "Very High"
)</f>
        <v>Medium</v>
      </c>
      <c r="I1050" s="6">
        <v>1</v>
      </c>
      <c r="J1050" s="6">
        <v>0</v>
      </c>
      <c r="K1050" s="6">
        <f t="shared" si="65"/>
        <v>1</v>
      </c>
      <c r="L1050" s="9">
        <v>41226</v>
      </c>
      <c r="M1050" t="str">
        <f t="shared" ca="1" si="66"/>
        <v>13 years, 3 months</v>
      </c>
      <c r="N1050" s="6">
        <v>68</v>
      </c>
      <c r="O1050">
        <v>12</v>
      </c>
      <c r="P1050">
        <v>39</v>
      </c>
      <c r="Q1050">
        <f t="shared" si="67"/>
        <v>51</v>
      </c>
      <c r="R1050">
        <v>6</v>
      </c>
      <c r="S1050">
        <v>5</v>
      </c>
      <c r="T1050">
        <f>Table[[#This Row],[NumWebPurchases]]+Table[[#This Row],[NumStorePurchases]]</f>
        <v>11</v>
      </c>
    </row>
    <row r="1051" spans="1:20" ht="12.5">
      <c r="A1051" s="6">
        <v>1049</v>
      </c>
      <c r="B1051" s="6">
        <v>966</v>
      </c>
      <c r="C1051" s="6">
        <v>1966</v>
      </c>
      <c r="D1051" s="6">
        <f t="shared" si="64"/>
        <v>59</v>
      </c>
      <c r="E1051" s="7" t="s">
        <v>9</v>
      </c>
      <c r="F1051" s="7" t="s">
        <v>13</v>
      </c>
      <c r="G1051" s="6">
        <v>44529</v>
      </c>
      <c r="H1051" s="6" t="str" cm="1">
        <f t="array" ref="H1051">_xlfn.IFS(
  G1051 &lt; 25000, "Low",
  AND(G1051 &gt;= 25000, G1051 &lt; 75000), "Medium",
  AND(G1051 &gt;= 75000, G1051 &lt; 150000), "High",
  G1051 &gt;= 150000, "Very High"
)</f>
        <v>Medium</v>
      </c>
      <c r="I1051" s="6">
        <v>0</v>
      </c>
      <c r="J1051" s="6">
        <v>1</v>
      </c>
      <c r="K1051" s="6">
        <f t="shared" si="65"/>
        <v>1</v>
      </c>
      <c r="L1051" s="8">
        <v>41460</v>
      </c>
      <c r="M1051" t="str">
        <f t="shared" ca="1" si="66"/>
        <v>12 years, 8 months</v>
      </c>
      <c r="N1051" s="6">
        <v>98</v>
      </c>
      <c r="O1051">
        <v>13</v>
      </c>
      <c r="P1051">
        <v>6</v>
      </c>
      <c r="Q1051">
        <f t="shared" si="67"/>
        <v>19</v>
      </c>
      <c r="R1051">
        <v>6</v>
      </c>
      <c r="S1051">
        <v>11</v>
      </c>
      <c r="T1051">
        <f>Table[[#This Row],[NumWebPurchases]]+Table[[#This Row],[NumStorePurchases]]</f>
        <v>17</v>
      </c>
    </row>
    <row r="1052" spans="1:20" ht="12.5">
      <c r="A1052" s="6">
        <v>1050</v>
      </c>
      <c r="B1052" s="6">
        <v>4767</v>
      </c>
      <c r="C1052" s="6">
        <v>1965</v>
      </c>
      <c r="D1052" s="6">
        <f t="shared" si="64"/>
        <v>60</v>
      </c>
      <c r="E1052" s="7" t="s">
        <v>17</v>
      </c>
      <c r="F1052" s="7" t="s">
        <v>13</v>
      </c>
      <c r="G1052" s="6">
        <v>70924</v>
      </c>
      <c r="H1052" s="6" t="str" cm="1">
        <f t="array" ref="H1052">_xlfn.IFS(
  G1052 &lt; 25000, "Low",
  AND(G1052 &gt;= 25000, G1052 &lt; 75000), "Medium",
  AND(G1052 &gt;= 75000, G1052 &lt; 150000), "High",
  G1052 &gt;= 150000, "Very High"
)</f>
        <v>Medium</v>
      </c>
      <c r="I1052" s="6">
        <v>0</v>
      </c>
      <c r="J1052" s="6">
        <v>0</v>
      </c>
      <c r="K1052" s="6">
        <f t="shared" si="65"/>
        <v>0</v>
      </c>
      <c r="L1052" s="8">
        <v>41736</v>
      </c>
      <c r="M1052" t="str">
        <f t="shared" ca="1" si="66"/>
        <v>11 years, 10 months</v>
      </c>
      <c r="N1052" s="6">
        <v>41</v>
      </c>
      <c r="O1052">
        <v>114</v>
      </c>
      <c r="P1052">
        <v>152</v>
      </c>
      <c r="Q1052">
        <f t="shared" si="67"/>
        <v>266</v>
      </c>
      <c r="R1052">
        <v>6</v>
      </c>
      <c r="S1052">
        <v>7</v>
      </c>
      <c r="T1052">
        <f>Table[[#This Row],[NumWebPurchases]]+Table[[#This Row],[NumStorePurchases]]</f>
        <v>13</v>
      </c>
    </row>
    <row r="1053" spans="1:20" ht="12.5">
      <c r="A1053" s="6">
        <v>1051</v>
      </c>
      <c r="B1053" s="6">
        <v>9725</v>
      </c>
      <c r="C1053" s="6">
        <v>1966</v>
      </c>
      <c r="D1053" s="6">
        <f t="shared" si="64"/>
        <v>59</v>
      </c>
      <c r="E1053" s="7" t="s">
        <v>12</v>
      </c>
      <c r="F1053" s="7" t="s">
        <v>11</v>
      </c>
      <c r="G1053" s="6">
        <v>28764</v>
      </c>
      <c r="H1053" s="6" t="str" cm="1">
        <f t="array" ref="H1053">_xlfn.IFS(
  G1053 &lt; 25000, "Low",
  AND(G1053 &gt;= 25000, G1053 &lt; 75000), "Medium",
  AND(G1053 &gt;= 75000, G1053 &lt; 150000), "High",
  G1053 &gt;= 150000, "Very High"
)</f>
        <v>Medium</v>
      </c>
      <c r="I1053" s="6">
        <v>1</v>
      </c>
      <c r="J1053" s="6">
        <v>1</v>
      </c>
      <c r="K1053" s="6">
        <f t="shared" si="65"/>
        <v>2</v>
      </c>
      <c r="L1053" s="8">
        <v>41795</v>
      </c>
      <c r="M1053" t="str">
        <f t="shared" ca="1" si="66"/>
        <v>11 years, 9 months</v>
      </c>
      <c r="N1053" s="6">
        <v>16</v>
      </c>
      <c r="O1053">
        <v>0</v>
      </c>
      <c r="P1053">
        <v>0</v>
      </c>
      <c r="Q1053">
        <f t="shared" si="67"/>
        <v>0</v>
      </c>
      <c r="R1053">
        <v>1</v>
      </c>
      <c r="S1053">
        <v>2</v>
      </c>
      <c r="T1053">
        <f>Table[[#This Row],[NumWebPurchases]]+Table[[#This Row],[NumStorePurchases]]</f>
        <v>3</v>
      </c>
    </row>
    <row r="1054" spans="1:20" ht="12.5">
      <c r="A1054" s="6">
        <v>1052</v>
      </c>
      <c r="B1054" s="6">
        <v>4475</v>
      </c>
      <c r="C1054" s="6">
        <v>1949</v>
      </c>
      <c r="D1054" s="6">
        <f t="shared" si="64"/>
        <v>76</v>
      </c>
      <c r="E1054" s="7" t="s">
        <v>12</v>
      </c>
      <c r="F1054" s="7" t="s">
        <v>13</v>
      </c>
      <c r="G1054" s="6">
        <v>69098</v>
      </c>
      <c r="H1054" s="6" t="str" cm="1">
        <f t="array" ref="H1054">_xlfn.IFS(
  G1054 &lt; 25000, "Low",
  AND(G1054 &gt;= 25000, G1054 &lt; 75000), "Medium",
  AND(G1054 &gt;= 75000, G1054 &lt; 150000), "High",
  G1054 &gt;= 150000, "Very High"
)</f>
        <v>Medium</v>
      </c>
      <c r="I1054" s="6">
        <v>0</v>
      </c>
      <c r="J1054" s="6">
        <v>0</v>
      </c>
      <c r="K1054" s="6">
        <f t="shared" si="65"/>
        <v>0</v>
      </c>
      <c r="L1054" s="8">
        <v>41321</v>
      </c>
      <c r="M1054" t="str">
        <f t="shared" ca="1" si="66"/>
        <v>13 years, 0 months</v>
      </c>
      <c r="N1054" s="6">
        <v>82</v>
      </c>
      <c r="O1054">
        <v>22</v>
      </c>
      <c r="P1054">
        <v>0</v>
      </c>
      <c r="Q1054">
        <f t="shared" si="67"/>
        <v>22</v>
      </c>
      <c r="R1054">
        <v>7</v>
      </c>
      <c r="S1054">
        <v>9</v>
      </c>
      <c r="T1054">
        <f>Table[[#This Row],[NumWebPurchases]]+Table[[#This Row],[NumStorePurchases]]</f>
        <v>16</v>
      </c>
    </row>
    <row r="1055" spans="1:20" ht="12.5">
      <c r="A1055" s="6">
        <v>1053</v>
      </c>
      <c r="B1055" s="6">
        <v>5740</v>
      </c>
      <c r="C1055" s="6">
        <v>1970</v>
      </c>
      <c r="D1055" s="6">
        <f t="shared" si="64"/>
        <v>55</v>
      </c>
      <c r="E1055" s="7" t="s">
        <v>17</v>
      </c>
      <c r="F1055" s="7" t="s">
        <v>15</v>
      </c>
      <c r="G1055" s="6">
        <v>25959</v>
      </c>
      <c r="H1055" s="6" t="str" cm="1">
        <f t="array" ref="H1055">_xlfn.IFS(
  G1055 &lt; 25000, "Low",
  AND(G1055 &gt;= 25000, G1055 &lt; 75000), "Medium",
  AND(G1055 &gt;= 75000, G1055 &lt; 150000), "High",
  G1055 &gt;= 150000, "Very High"
)</f>
        <v>Medium</v>
      </c>
      <c r="I1055" s="6">
        <v>1</v>
      </c>
      <c r="J1055" s="6">
        <v>1</v>
      </c>
      <c r="K1055" s="6">
        <f t="shared" si="65"/>
        <v>2</v>
      </c>
      <c r="L1055" s="8">
        <v>41319</v>
      </c>
      <c r="M1055" t="str">
        <f t="shared" ca="1" si="66"/>
        <v>13 years, 0 months</v>
      </c>
      <c r="N1055" s="6">
        <v>1</v>
      </c>
      <c r="O1055">
        <v>2</v>
      </c>
      <c r="P1055">
        <v>5</v>
      </c>
      <c r="Q1055">
        <f t="shared" si="67"/>
        <v>7</v>
      </c>
      <c r="R1055">
        <v>1</v>
      </c>
      <c r="S1055">
        <v>2</v>
      </c>
      <c r="T1055">
        <f>Table[[#This Row],[NumWebPurchases]]+Table[[#This Row],[NumStorePurchases]]</f>
        <v>3</v>
      </c>
    </row>
    <row r="1056" spans="1:20" ht="12.5">
      <c r="A1056" s="6">
        <v>1054</v>
      </c>
      <c r="B1056" s="6">
        <v>5731</v>
      </c>
      <c r="C1056" s="6">
        <v>1983</v>
      </c>
      <c r="D1056" s="6">
        <f t="shared" si="64"/>
        <v>42</v>
      </c>
      <c r="E1056" s="7" t="s">
        <v>14</v>
      </c>
      <c r="F1056" s="7" t="s">
        <v>13</v>
      </c>
      <c r="G1056" s="6">
        <v>27100</v>
      </c>
      <c r="H1056" s="6" t="str" cm="1">
        <f t="array" ref="H1056">_xlfn.IFS(
  G1056 &lt; 25000, "Low",
  AND(G1056 &gt;= 25000, G1056 &lt; 75000), "Medium",
  AND(G1056 &gt;= 75000, G1056 &lt; 150000), "High",
  G1056 &gt;= 150000, "Very High"
)</f>
        <v>Medium</v>
      </c>
      <c r="I1056" s="6">
        <v>1</v>
      </c>
      <c r="J1056" s="6">
        <v>0</v>
      </c>
      <c r="K1056" s="6">
        <f t="shared" si="65"/>
        <v>1</v>
      </c>
      <c r="L1056" s="8">
        <v>41369</v>
      </c>
      <c r="M1056" t="str">
        <f t="shared" ca="1" si="66"/>
        <v>12 years, 11 months</v>
      </c>
      <c r="N1056" s="6">
        <v>64</v>
      </c>
      <c r="O1056">
        <v>0</v>
      </c>
      <c r="P1056">
        <v>0</v>
      </c>
      <c r="Q1056">
        <f t="shared" si="67"/>
        <v>0</v>
      </c>
      <c r="R1056">
        <v>1</v>
      </c>
      <c r="S1056">
        <v>3</v>
      </c>
      <c r="T1056">
        <f>Table[[#This Row],[NumWebPurchases]]+Table[[#This Row],[NumStorePurchases]]</f>
        <v>4</v>
      </c>
    </row>
    <row r="1057" spans="1:20" ht="12.5">
      <c r="A1057" s="6">
        <v>1055</v>
      </c>
      <c r="B1057" s="6">
        <v>7290</v>
      </c>
      <c r="C1057" s="6">
        <v>1985</v>
      </c>
      <c r="D1057" s="6">
        <f t="shared" si="64"/>
        <v>40</v>
      </c>
      <c r="E1057" s="7" t="s">
        <v>9</v>
      </c>
      <c r="F1057" s="7" t="s">
        <v>10</v>
      </c>
      <c r="G1057" s="6">
        <v>70596</v>
      </c>
      <c r="H1057" s="6" t="str" cm="1">
        <f t="array" ref="H1057">_xlfn.IFS(
  G1057 &lt; 25000, "Low",
  AND(G1057 &gt;= 25000, G1057 &lt; 75000), "Medium",
  AND(G1057 &gt;= 75000, G1057 &lt; 150000), "High",
  G1057 &gt;= 150000, "Very High"
)</f>
        <v>Medium</v>
      </c>
      <c r="I1057" s="6">
        <v>0</v>
      </c>
      <c r="J1057" s="6">
        <v>0</v>
      </c>
      <c r="K1057" s="6">
        <f t="shared" si="65"/>
        <v>0</v>
      </c>
      <c r="L1057" s="8">
        <v>41187</v>
      </c>
      <c r="M1057" t="str">
        <f t="shared" ca="1" si="66"/>
        <v>13 years, 5 months</v>
      </c>
      <c r="N1057" s="6">
        <v>68</v>
      </c>
      <c r="O1057">
        <v>44</v>
      </c>
      <c r="P1057">
        <v>0</v>
      </c>
      <c r="Q1057">
        <f t="shared" si="67"/>
        <v>44</v>
      </c>
      <c r="R1057">
        <v>3</v>
      </c>
      <c r="S1057">
        <v>12</v>
      </c>
      <c r="T1057">
        <f>Table[[#This Row],[NumWebPurchases]]+Table[[#This Row],[NumStorePurchases]]</f>
        <v>15</v>
      </c>
    </row>
    <row r="1058" spans="1:20" ht="12.5">
      <c r="A1058" s="6">
        <v>1056</v>
      </c>
      <c r="B1058" s="6">
        <v>3846</v>
      </c>
      <c r="C1058" s="6">
        <v>1974</v>
      </c>
      <c r="D1058" s="6">
        <f t="shared" si="64"/>
        <v>51</v>
      </c>
      <c r="E1058" s="7" t="s">
        <v>9</v>
      </c>
      <c r="F1058" s="7" t="s">
        <v>13</v>
      </c>
      <c r="G1058" s="6">
        <v>42557</v>
      </c>
      <c r="H1058" s="6" t="str" cm="1">
        <f t="array" ref="H1058">_xlfn.IFS(
  G1058 &lt; 25000, "Low",
  AND(G1058 &gt;= 25000, G1058 &lt; 75000), "Medium",
  AND(G1058 &gt;= 75000, G1058 &lt; 150000), "High",
  G1058 &gt;= 150000, "Very High"
)</f>
        <v>Medium</v>
      </c>
      <c r="I1058" s="6">
        <v>0</v>
      </c>
      <c r="J1058" s="6">
        <v>1</v>
      </c>
      <c r="K1058" s="6">
        <f t="shared" si="65"/>
        <v>1</v>
      </c>
      <c r="L1058" s="8">
        <v>41150</v>
      </c>
      <c r="M1058" t="str">
        <f t="shared" ca="1" si="66"/>
        <v>13 years, 6 months</v>
      </c>
      <c r="N1058" s="6">
        <v>98</v>
      </c>
      <c r="O1058">
        <v>5</v>
      </c>
      <c r="P1058">
        <v>5</v>
      </c>
      <c r="Q1058">
        <f t="shared" si="67"/>
        <v>10</v>
      </c>
      <c r="R1058">
        <v>6</v>
      </c>
      <c r="S1058">
        <v>4</v>
      </c>
      <c r="T1058">
        <f>Table[[#This Row],[NumWebPurchases]]+Table[[#This Row],[NumStorePurchases]]</f>
        <v>10</v>
      </c>
    </row>
    <row r="1059" spans="1:20" ht="12.5">
      <c r="A1059" s="6">
        <v>1057</v>
      </c>
      <c r="B1059" s="6">
        <v>8104</v>
      </c>
      <c r="C1059" s="6">
        <v>1951</v>
      </c>
      <c r="D1059" s="6">
        <f t="shared" si="64"/>
        <v>74</v>
      </c>
      <c r="E1059" s="7" t="s">
        <v>12</v>
      </c>
      <c r="F1059" s="7" t="s">
        <v>13</v>
      </c>
      <c r="G1059" s="6">
        <v>53312</v>
      </c>
      <c r="H1059" s="6" t="str" cm="1">
        <f t="array" ref="H1059">_xlfn.IFS(
  G1059 &lt; 25000, "Low",
  AND(G1059 &gt;= 25000, G1059 &lt; 75000), "Medium",
  AND(G1059 &gt;= 75000, G1059 &lt; 150000), "High",
  G1059 &gt;= 150000, "Very High"
)</f>
        <v>Medium</v>
      </c>
      <c r="I1059" s="6">
        <v>0</v>
      </c>
      <c r="J1059" s="6">
        <v>0</v>
      </c>
      <c r="K1059" s="6">
        <f t="shared" si="65"/>
        <v>0</v>
      </c>
      <c r="L1059" s="8">
        <v>41495</v>
      </c>
      <c r="M1059" t="str">
        <f t="shared" ca="1" si="66"/>
        <v>12 years, 6 months</v>
      </c>
      <c r="N1059" s="6">
        <v>32</v>
      </c>
      <c r="O1059">
        <v>0</v>
      </c>
      <c r="P1059">
        <v>0</v>
      </c>
      <c r="Q1059">
        <f t="shared" si="67"/>
        <v>0</v>
      </c>
      <c r="R1059">
        <v>5</v>
      </c>
      <c r="S1059">
        <v>5</v>
      </c>
      <c r="T1059">
        <f>Table[[#This Row],[NumWebPurchases]]+Table[[#This Row],[NumStorePurchases]]</f>
        <v>10</v>
      </c>
    </row>
    <row r="1060" spans="1:20" ht="12.5">
      <c r="A1060" s="6">
        <v>1058</v>
      </c>
      <c r="B1060" s="6">
        <v>4507</v>
      </c>
      <c r="C1060" s="6">
        <v>1952</v>
      </c>
      <c r="D1060" s="6">
        <f t="shared" si="64"/>
        <v>73</v>
      </c>
      <c r="E1060" s="7" t="s">
        <v>9</v>
      </c>
      <c r="F1060" s="7" t="s">
        <v>10</v>
      </c>
      <c r="G1060" s="6">
        <v>72228</v>
      </c>
      <c r="H1060" s="6" t="str" cm="1">
        <f t="array" ref="H1060">_xlfn.IFS(
  G1060 &lt; 25000, "Low",
  AND(G1060 &gt;= 25000, G1060 &lt; 75000), "Medium",
  AND(G1060 &gt;= 75000, G1060 &lt; 150000), "High",
  G1060 &gt;= 150000, "Very High"
)</f>
        <v>Medium</v>
      </c>
      <c r="I1060" s="6">
        <v>0</v>
      </c>
      <c r="J1060" s="6">
        <v>0</v>
      </c>
      <c r="K1060" s="6">
        <f t="shared" si="65"/>
        <v>0</v>
      </c>
      <c r="L1060" s="9">
        <v>41240</v>
      </c>
      <c r="M1060" t="str">
        <f t="shared" ca="1" si="66"/>
        <v>13 years, 3 months</v>
      </c>
      <c r="N1060" s="6">
        <v>87</v>
      </c>
      <c r="O1060">
        <v>28</v>
      </c>
      <c r="P1060">
        <v>14</v>
      </c>
      <c r="Q1060">
        <f t="shared" si="67"/>
        <v>42</v>
      </c>
      <c r="R1060">
        <v>6</v>
      </c>
      <c r="S1060">
        <v>8</v>
      </c>
      <c r="T1060">
        <f>Table[[#This Row],[NumWebPurchases]]+Table[[#This Row],[NumStorePurchases]]</f>
        <v>14</v>
      </c>
    </row>
    <row r="1061" spans="1:20" ht="12.5">
      <c r="A1061" s="6">
        <v>1059</v>
      </c>
      <c r="B1061" s="6">
        <v>11013</v>
      </c>
      <c r="C1061" s="6">
        <v>1987</v>
      </c>
      <c r="D1061" s="6">
        <f t="shared" si="64"/>
        <v>38</v>
      </c>
      <c r="E1061" s="7" t="s">
        <v>9</v>
      </c>
      <c r="F1061" s="7" t="s">
        <v>11</v>
      </c>
      <c r="G1061" s="6">
        <v>67605</v>
      </c>
      <c r="H1061" s="6" t="str" cm="1">
        <f t="array" ref="H1061">_xlfn.IFS(
  G1061 &lt; 25000, "Low",
  AND(G1061 &gt;= 25000, G1061 &lt; 75000), "Medium",
  AND(G1061 &gt;= 75000, G1061 &lt; 150000), "High",
  G1061 &gt;= 150000, "Very High"
)</f>
        <v>Medium</v>
      </c>
      <c r="I1061" s="6">
        <v>0</v>
      </c>
      <c r="J1061" s="6">
        <v>0</v>
      </c>
      <c r="K1061" s="6">
        <f t="shared" si="65"/>
        <v>0</v>
      </c>
      <c r="L1061" s="8">
        <v>41364</v>
      </c>
      <c r="M1061" t="str">
        <f t="shared" ca="1" si="66"/>
        <v>12 years, 11 months</v>
      </c>
      <c r="N1061" s="6">
        <v>84</v>
      </c>
      <c r="O1061">
        <v>28</v>
      </c>
      <c r="P1061">
        <v>54</v>
      </c>
      <c r="Q1061">
        <f t="shared" si="67"/>
        <v>82</v>
      </c>
      <c r="R1061">
        <v>2</v>
      </c>
      <c r="S1061">
        <v>6</v>
      </c>
      <c r="T1061">
        <f>Table[[#This Row],[NumWebPurchases]]+Table[[#This Row],[NumStorePurchases]]</f>
        <v>8</v>
      </c>
    </row>
    <row r="1062" spans="1:20" ht="12.5">
      <c r="A1062" s="6">
        <v>1060</v>
      </c>
      <c r="B1062" s="6">
        <v>4491</v>
      </c>
      <c r="C1062" s="6">
        <v>1949</v>
      </c>
      <c r="D1062" s="6">
        <f t="shared" si="64"/>
        <v>76</v>
      </c>
      <c r="E1062" s="7" t="s">
        <v>14</v>
      </c>
      <c r="F1062" s="7" t="s">
        <v>13</v>
      </c>
      <c r="G1062" s="6">
        <v>62845</v>
      </c>
      <c r="H1062" s="6" t="str" cm="1">
        <f t="array" ref="H1062">_xlfn.IFS(
  G1062 &lt; 25000, "Low",
  AND(G1062 &gt;= 25000, G1062 &lt; 75000), "Medium",
  AND(G1062 &gt;= 75000, G1062 &lt; 150000), "High",
  G1062 &gt;= 150000, "Very High"
)</f>
        <v>Medium</v>
      </c>
      <c r="I1062" s="6">
        <v>1</v>
      </c>
      <c r="J1062" s="6">
        <v>1</v>
      </c>
      <c r="K1062" s="6">
        <f t="shared" si="65"/>
        <v>2</v>
      </c>
      <c r="L1062" s="8">
        <v>41183</v>
      </c>
      <c r="M1062" t="str">
        <f t="shared" ca="1" si="66"/>
        <v>13 years, 5 months</v>
      </c>
      <c r="N1062" s="6">
        <v>3</v>
      </c>
      <c r="O1062">
        <v>0</v>
      </c>
      <c r="P1062">
        <v>0</v>
      </c>
      <c r="Q1062">
        <f t="shared" si="67"/>
        <v>0</v>
      </c>
      <c r="R1062">
        <v>3</v>
      </c>
      <c r="S1062">
        <v>10</v>
      </c>
      <c r="T1062">
        <f>Table[[#This Row],[NumWebPurchases]]+Table[[#This Row],[NumStorePurchases]]</f>
        <v>13</v>
      </c>
    </row>
    <row r="1063" spans="1:20" ht="12.5">
      <c r="A1063" s="6">
        <v>1061</v>
      </c>
      <c r="B1063" s="6">
        <v>3759</v>
      </c>
      <c r="C1063" s="6">
        <v>1958</v>
      </c>
      <c r="D1063" s="6">
        <f t="shared" si="64"/>
        <v>67</v>
      </c>
      <c r="E1063" s="7" t="s">
        <v>9</v>
      </c>
      <c r="F1063" s="7" t="s">
        <v>11</v>
      </c>
      <c r="G1063" s="6">
        <v>65196</v>
      </c>
      <c r="H1063" s="6" t="str" cm="1">
        <f t="array" ref="H1063">_xlfn.IFS(
  G1063 &lt; 25000, "Low",
  AND(G1063 &gt;= 25000, G1063 &lt; 75000), "Medium",
  AND(G1063 &gt;= 75000, G1063 &lt; 150000), "High",
  G1063 &gt;= 150000, "Very High"
)</f>
        <v>Medium</v>
      </c>
      <c r="I1063" s="6">
        <v>0</v>
      </c>
      <c r="J1063" s="6">
        <v>2</v>
      </c>
      <c r="K1063" s="6">
        <f t="shared" si="65"/>
        <v>2</v>
      </c>
      <c r="L1063" s="8">
        <v>41480</v>
      </c>
      <c r="M1063" t="str">
        <f t="shared" ca="1" si="66"/>
        <v>12 years, 7 months</v>
      </c>
      <c r="N1063" s="6">
        <v>34</v>
      </c>
      <c r="O1063">
        <v>19</v>
      </c>
      <c r="P1063">
        <v>0</v>
      </c>
      <c r="Q1063">
        <f t="shared" si="67"/>
        <v>19</v>
      </c>
      <c r="R1063">
        <v>7</v>
      </c>
      <c r="S1063">
        <v>11</v>
      </c>
      <c r="T1063">
        <f>Table[[#This Row],[NumWebPurchases]]+Table[[#This Row],[NumStorePurchases]]</f>
        <v>18</v>
      </c>
    </row>
    <row r="1064" spans="1:20" ht="12.5">
      <c r="A1064" s="6">
        <v>1062</v>
      </c>
      <c r="B1064" s="6">
        <v>1162</v>
      </c>
      <c r="C1064" s="6">
        <v>1987</v>
      </c>
      <c r="D1064" s="6">
        <f t="shared" si="64"/>
        <v>38</v>
      </c>
      <c r="E1064" s="7" t="s">
        <v>12</v>
      </c>
      <c r="F1064" s="7" t="s">
        <v>10</v>
      </c>
      <c r="G1064" s="6">
        <v>42000</v>
      </c>
      <c r="H1064" s="6" t="str" cm="1">
        <f t="array" ref="H1064">_xlfn.IFS(
  G1064 &lt; 25000, "Low",
  AND(G1064 &gt;= 25000, G1064 &lt; 75000), "Medium",
  AND(G1064 &gt;= 75000, G1064 &lt; 150000), "High",
  G1064 &gt;= 150000, "Very High"
)</f>
        <v>Medium</v>
      </c>
      <c r="I1064" s="6">
        <v>0</v>
      </c>
      <c r="J1064" s="6">
        <v>0</v>
      </c>
      <c r="K1064" s="6">
        <f t="shared" si="65"/>
        <v>0</v>
      </c>
      <c r="L1064" s="8">
        <v>41284</v>
      </c>
      <c r="M1064" t="str">
        <f t="shared" ca="1" si="66"/>
        <v>13 years, 1 months</v>
      </c>
      <c r="N1064" s="6">
        <v>23</v>
      </c>
      <c r="O1064">
        <v>83</v>
      </c>
      <c r="P1064">
        <v>59</v>
      </c>
      <c r="Q1064">
        <f t="shared" si="67"/>
        <v>142</v>
      </c>
      <c r="R1064">
        <v>5</v>
      </c>
      <c r="S1064">
        <v>11</v>
      </c>
      <c r="T1064">
        <f>Table[[#This Row],[NumWebPurchases]]+Table[[#This Row],[NumStorePurchases]]</f>
        <v>16</v>
      </c>
    </row>
    <row r="1065" spans="1:20" ht="12.5">
      <c r="A1065" s="6">
        <v>1063</v>
      </c>
      <c r="B1065" s="6">
        <v>2055</v>
      </c>
      <c r="C1065" s="6">
        <v>1973</v>
      </c>
      <c r="D1065" s="6">
        <f t="shared" si="64"/>
        <v>52</v>
      </c>
      <c r="E1065" s="7" t="s">
        <v>12</v>
      </c>
      <c r="F1065" s="7" t="s">
        <v>15</v>
      </c>
      <c r="G1065" s="6">
        <v>35860</v>
      </c>
      <c r="H1065" s="6" t="str" cm="1">
        <f t="array" ref="H1065">_xlfn.IFS(
  G1065 &lt; 25000, "Low",
  AND(G1065 &gt;= 25000, G1065 &lt; 75000), "Medium",
  AND(G1065 &gt;= 75000, G1065 &lt; 150000), "High",
  G1065 &gt;= 150000, "Very High"
)</f>
        <v>Medium</v>
      </c>
      <c r="I1065" s="6">
        <v>1</v>
      </c>
      <c r="J1065" s="6">
        <v>1</v>
      </c>
      <c r="K1065" s="6">
        <f t="shared" si="65"/>
        <v>2</v>
      </c>
      <c r="L1065" s="8">
        <v>41778</v>
      </c>
      <c r="M1065" t="str">
        <f t="shared" ca="1" si="66"/>
        <v>11 years, 9 months</v>
      </c>
      <c r="N1065" s="6">
        <v>37</v>
      </c>
      <c r="O1065">
        <v>0</v>
      </c>
      <c r="P1065">
        <v>2</v>
      </c>
      <c r="Q1065">
        <f t="shared" si="67"/>
        <v>2</v>
      </c>
      <c r="R1065">
        <v>1</v>
      </c>
      <c r="S1065">
        <v>2</v>
      </c>
      <c r="T1065">
        <f>Table[[#This Row],[NumWebPurchases]]+Table[[#This Row],[NumStorePurchases]]</f>
        <v>3</v>
      </c>
    </row>
    <row r="1066" spans="1:20" ht="12.5">
      <c r="A1066" s="6">
        <v>1064</v>
      </c>
      <c r="B1066" s="6">
        <v>10766</v>
      </c>
      <c r="C1066" s="6">
        <v>1964</v>
      </c>
      <c r="D1066" s="6">
        <f t="shared" si="64"/>
        <v>61</v>
      </c>
      <c r="E1066" s="7" t="s">
        <v>12</v>
      </c>
      <c r="F1066" s="7" t="s">
        <v>13</v>
      </c>
      <c r="G1066" s="6">
        <v>65526</v>
      </c>
      <c r="H1066" s="6" t="str" cm="1">
        <f t="array" ref="H1066">_xlfn.IFS(
  G1066 &lt; 25000, "Low",
  AND(G1066 &gt;= 25000, G1066 &lt; 75000), "Medium",
  AND(G1066 &gt;= 75000, G1066 &lt; 150000), "High",
  G1066 &gt;= 150000, "Very High"
)</f>
        <v>Medium</v>
      </c>
      <c r="I1066" s="6">
        <v>0</v>
      </c>
      <c r="J1066" s="6">
        <v>1</v>
      </c>
      <c r="K1066" s="6">
        <f t="shared" si="65"/>
        <v>1</v>
      </c>
      <c r="L1066" s="8">
        <v>41740</v>
      </c>
      <c r="M1066" t="str">
        <f t="shared" ca="1" si="66"/>
        <v>11 years, 10 months</v>
      </c>
      <c r="N1066" s="6">
        <v>22</v>
      </c>
      <c r="O1066">
        <v>19</v>
      </c>
      <c r="P1066">
        <v>0</v>
      </c>
      <c r="Q1066">
        <f t="shared" si="67"/>
        <v>19</v>
      </c>
      <c r="R1066">
        <v>4</v>
      </c>
      <c r="S1066">
        <v>8</v>
      </c>
      <c r="T1066">
        <f>Table[[#This Row],[NumWebPurchases]]+Table[[#This Row],[NumStorePurchases]]</f>
        <v>12</v>
      </c>
    </row>
    <row r="1067" spans="1:20" ht="12.5">
      <c r="A1067" s="6">
        <v>1065</v>
      </c>
      <c r="B1067" s="6">
        <v>4415</v>
      </c>
      <c r="C1067" s="6">
        <v>1961</v>
      </c>
      <c r="D1067" s="6">
        <f t="shared" si="64"/>
        <v>64</v>
      </c>
      <c r="E1067" s="7" t="s">
        <v>9</v>
      </c>
      <c r="F1067" s="7" t="s">
        <v>13</v>
      </c>
      <c r="G1067" s="6">
        <v>16860</v>
      </c>
      <c r="H1067" s="6" t="str" cm="1">
        <f t="array" ref="H1067">_xlfn.IFS(
  G1067 &lt; 25000, "Low",
  AND(G1067 &gt;= 25000, G1067 &lt; 75000), "Medium",
  AND(G1067 &gt;= 75000, G1067 &lt; 150000), "High",
  G1067 &gt;= 150000, "Very High"
)</f>
        <v>Low</v>
      </c>
      <c r="I1067" s="6">
        <v>1</v>
      </c>
      <c r="J1067" s="6">
        <v>1</v>
      </c>
      <c r="K1067" s="6">
        <f t="shared" si="65"/>
        <v>2</v>
      </c>
      <c r="L1067" s="8">
        <v>41164</v>
      </c>
      <c r="M1067" t="str">
        <f t="shared" ca="1" si="66"/>
        <v>13 years, 5 months</v>
      </c>
      <c r="N1067" s="6">
        <v>19</v>
      </c>
      <c r="O1067">
        <v>4</v>
      </c>
      <c r="P1067">
        <v>3</v>
      </c>
      <c r="Q1067">
        <f t="shared" si="67"/>
        <v>7</v>
      </c>
      <c r="R1067">
        <v>1</v>
      </c>
      <c r="S1067">
        <v>3</v>
      </c>
      <c r="T1067">
        <f>Table[[#This Row],[NumWebPurchases]]+Table[[#This Row],[NumStorePurchases]]</f>
        <v>4</v>
      </c>
    </row>
    <row r="1068" spans="1:20" ht="12.5">
      <c r="A1068" s="6">
        <v>1066</v>
      </c>
      <c r="B1068" s="6">
        <v>3005</v>
      </c>
      <c r="C1068" s="6">
        <v>1992</v>
      </c>
      <c r="D1068" s="6">
        <f t="shared" si="64"/>
        <v>33</v>
      </c>
      <c r="E1068" s="7" t="s">
        <v>9</v>
      </c>
      <c r="F1068" s="7" t="s">
        <v>10</v>
      </c>
      <c r="G1068" s="6">
        <v>83528</v>
      </c>
      <c r="H1068" s="6" t="str" cm="1">
        <f t="array" ref="H1068">_xlfn.IFS(
  G1068 &lt; 25000, "Low",
  AND(G1068 &gt;= 25000, G1068 &lt; 75000), "Medium",
  AND(G1068 &gt;= 75000, G1068 &lt; 150000), "High",
  G1068 &gt;= 150000, "Very High"
)</f>
        <v>High</v>
      </c>
      <c r="I1068" s="6">
        <v>0</v>
      </c>
      <c r="J1068" s="6">
        <v>0</v>
      </c>
      <c r="K1068" s="6">
        <f t="shared" si="65"/>
        <v>0</v>
      </c>
      <c r="L1068" s="8">
        <v>41760</v>
      </c>
      <c r="M1068" t="str">
        <f t="shared" ca="1" si="66"/>
        <v>11 years, 10 months</v>
      </c>
      <c r="N1068" s="6">
        <v>7</v>
      </c>
      <c r="O1068">
        <v>117</v>
      </c>
      <c r="P1068">
        <v>44</v>
      </c>
      <c r="Q1068">
        <f t="shared" si="67"/>
        <v>161</v>
      </c>
      <c r="R1068">
        <v>4</v>
      </c>
      <c r="S1068">
        <v>8</v>
      </c>
      <c r="T1068">
        <f>Table[[#This Row],[NumWebPurchases]]+Table[[#This Row],[NumStorePurchases]]</f>
        <v>12</v>
      </c>
    </row>
    <row r="1069" spans="1:20" ht="12.5">
      <c r="A1069" s="6">
        <v>1067</v>
      </c>
      <c r="B1069" s="6">
        <v>2223</v>
      </c>
      <c r="C1069" s="6">
        <v>1965</v>
      </c>
      <c r="D1069" s="6">
        <f t="shared" si="64"/>
        <v>60</v>
      </c>
      <c r="E1069" s="7" t="s">
        <v>17</v>
      </c>
      <c r="F1069" s="7" t="s">
        <v>15</v>
      </c>
      <c r="G1069" s="6">
        <v>64176</v>
      </c>
      <c r="H1069" s="6" t="str" cm="1">
        <f t="array" ref="H1069">_xlfn.IFS(
  G1069 &lt; 25000, "Low",
  AND(G1069 &gt;= 25000, G1069 &lt; 75000), "Medium",
  AND(G1069 &gt;= 75000, G1069 &lt; 150000), "High",
  G1069 &gt;= 150000, "Very High"
)</f>
        <v>Medium</v>
      </c>
      <c r="I1069" s="6">
        <v>0</v>
      </c>
      <c r="J1069" s="6">
        <v>1</v>
      </c>
      <c r="K1069" s="6">
        <f t="shared" si="65"/>
        <v>1</v>
      </c>
      <c r="L1069" s="8">
        <v>41124</v>
      </c>
      <c r="M1069" t="str">
        <f t="shared" ca="1" si="66"/>
        <v>13 years, 7 months</v>
      </c>
      <c r="N1069" s="6">
        <v>52</v>
      </c>
      <c r="O1069">
        <v>33</v>
      </c>
      <c r="P1069">
        <v>116</v>
      </c>
      <c r="Q1069">
        <f t="shared" si="67"/>
        <v>149</v>
      </c>
      <c r="R1069">
        <v>8</v>
      </c>
      <c r="S1069">
        <v>8</v>
      </c>
      <c r="T1069">
        <f>Table[[#This Row],[NumWebPurchases]]+Table[[#This Row],[NumStorePurchases]]</f>
        <v>16</v>
      </c>
    </row>
    <row r="1070" spans="1:20" ht="12.5">
      <c r="A1070" s="6">
        <v>1068</v>
      </c>
      <c r="B1070" s="6">
        <v>4817</v>
      </c>
      <c r="C1070" s="6">
        <v>1956</v>
      </c>
      <c r="D1070" s="6">
        <f t="shared" si="64"/>
        <v>69</v>
      </c>
      <c r="E1070" s="7" t="s">
        <v>9</v>
      </c>
      <c r="F1070" s="7" t="s">
        <v>15</v>
      </c>
      <c r="G1070" s="6">
        <v>22304</v>
      </c>
      <c r="H1070" s="6" t="str" cm="1">
        <f t="array" ref="H1070">_xlfn.IFS(
  G1070 &lt; 25000, "Low",
  AND(G1070 &gt;= 25000, G1070 &lt; 75000), "Medium",
  AND(G1070 &gt;= 75000, G1070 &lt; 150000), "High",
  G1070 &gt;= 150000, "Very High"
)</f>
        <v>Low</v>
      </c>
      <c r="I1070" s="6">
        <v>0</v>
      </c>
      <c r="J1070" s="6">
        <v>0</v>
      </c>
      <c r="K1070" s="6">
        <f t="shared" si="65"/>
        <v>0</v>
      </c>
      <c r="L1070" s="8">
        <v>41125</v>
      </c>
      <c r="M1070" t="str">
        <f t="shared" ca="1" si="66"/>
        <v>13 years, 7 months</v>
      </c>
      <c r="N1070" s="6">
        <v>91</v>
      </c>
      <c r="O1070">
        <v>2</v>
      </c>
      <c r="P1070">
        <v>4</v>
      </c>
      <c r="Q1070">
        <f t="shared" si="67"/>
        <v>6</v>
      </c>
      <c r="R1070">
        <v>1</v>
      </c>
      <c r="S1070">
        <v>2</v>
      </c>
      <c r="T1070">
        <f>Table[[#This Row],[NumWebPurchases]]+Table[[#This Row],[NumStorePurchases]]</f>
        <v>3</v>
      </c>
    </row>
    <row r="1071" spans="1:20" ht="12.5">
      <c r="A1071" s="6">
        <v>1069</v>
      </c>
      <c r="B1071" s="6">
        <v>2875</v>
      </c>
      <c r="C1071" s="6">
        <v>1978</v>
      </c>
      <c r="D1071" s="6">
        <f t="shared" si="64"/>
        <v>47</v>
      </c>
      <c r="E1071" s="7" t="s">
        <v>9</v>
      </c>
      <c r="F1071" s="7" t="s">
        <v>13</v>
      </c>
      <c r="G1071" s="6">
        <v>67023</v>
      </c>
      <c r="H1071" s="6" t="str" cm="1">
        <f t="array" ref="H1071">_xlfn.IFS(
  G1071 &lt; 25000, "Low",
  AND(G1071 &gt;= 25000, G1071 &lt; 75000), "Medium",
  AND(G1071 &gt;= 75000, G1071 &lt; 150000), "High",
  G1071 &gt;= 150000, "Very High"
)</f>
        <v>Medium</v>
      </c>
      <c r="I1071" s="6">
        <v>0</v>
      </c>
      <c r="J1071" s="6">
        <v>0</v>
      </c>
      <c r="K1071" s="6">
        <f t="shared" si="65"/>
        <v>0</v>
      </c>
      <c r="L1071" s="8">
        <v>41702</v>
      </c>
      <c r="M1071" t="str">
        <f t="shared" ca="1" si="66"/>
        <v>12 years, 0 months</v>
      </c>
      <c r="N1071" s="6">
        <v>93</v>
      </c>
      <c r="O1071">
        <v>44</v>
      </c>
      <c r="P1071">
        <v>8</v>
      </c>
      <c r="Q1071">
        <f t="shared" si="67"/>
        <v>52</v>
      </c>
      <c r="R1071">
        <v>3</v>
      </c>
      <c r="S1071">
        <v>13</v>
      </c>
      <c r="T1071">
        <f>Table[[#This Row],[NumWebPurchases]]+Table[[#This Row],[NumStorePurchases]]</f>
        <v>16</v>
      </c>
    </row>
    <row r="1072" spans="1:20" ht="12.5">
      <c r="A1072" s="6">
        <v>1070</v>
      </c>
      <c r="B1072" s="6">
        <v>10536</v>
      </c>
      <c r="C1072" s="6">
        <v>1971</v>
      </c>
      <c r="D1072" s="6">
        <f t="shared" si="64"/>
        <v>54</v>
      </c>
      <c r="E1072" s="7" t="s">
        <v>12</v>
      </c>
      <c r="F1072" s="7" t="s">
        <v>11</v>
      </c>
      <c r="G1072" s="6">
        <v>32892</v>
      </c>
      <c r="H1072" s="6" t="str" cm="1">
        <f t="array" ref="H1072">_xlfn.IFS(
  G1072 &lt; 25000, "Low",
  AND(G1072 &gt;= 25000, G1072 &lt; 75000), "Medium",
  AND(G1072 &gt;= 75000, G1072 &lt; 150000), "High",
  G1072 &gt;= 150000, "Very High"
)</f>
        <v>Medium</v>
      </c>
      <c r="I1072" s="6">
        <v>1</v>
      </c>
      <c r="J1072" s="6">
        <v>0</v>
      </c>
      <c r="K1072" s="6">
        <f t="shared" si="65"/>
        <v>1</v>
      </c>
      <c r="L1072" s="8">
        <v>41784</v>
      </c>
      <c r="M1072" t="str">
        <f t="shared" ca="1" si="66"/>
        <v>11 years, 9 months</v>
      </c>
      <c r="N1072" s="6">
        <v>78</v>
      </c>
      <c r="O1072">
        <v>0</v>
      </c>
      <c r="P1072">
        <v>1</v>
      </c>
      <c r="Q1072">
        <f t="shared" si="67"/>
        <v>1</v>
      </c>
      <c r="R1072">
        <v>3</v>
      </c>
      <c r="S1072">
        <v>3</v>
      </c>
      <c r="T1072">
        <f>Table[[#This Row],[NumWebPurchases]]+Table[[#This Row],[NumStorePurchases]]</f>
        <v>6</v>
      </c>
    </row>
    <row r="1073" spans="1:20" ht="12.5">
      <c r="A1073" s="6">
        <v>1071</v>
      </c>
      <c r="B1073" s="6">
        <v>11112</v>
      </c>
      <c r="C1073" s="6">
        <v>1966</v>
      </c>
      <c r="D1073" s="6">
        <f t="shared" si="64"/>
        <v>59</v>
      </c>
      <c r="E1073" s="7" t="s">
        <v>9</v>
      </c>
      <c r="F1073" s="7" t="s">
        <v>11</v>
      </c>
      <c r="G1073" s="6">
        <v>70713</v>
      </c>
      <c r="H1073" s="6" t="str" cm="1">
        <f t="array" ref="H1073">_xlfn.IFS(
  G1073 &lt; 25000, "Low",
  AND(G1073 &gt;= 25000, G1073 &lt; 75000), "Medium",
  AND(G1073 &gt;= 75000, G1073 &lt; 150000), "High",
  G1073 &gt;= 150000, "Very High"
)</f>
        <v>Medium</v>
      </c>
      <c r="I1073" s="6">
        <v>0</v>
      </c>
      <c r="J1073" s="6">
        <v>1</v>
      </c>
      <c r="K1073" s="6">
        <f t="shared" si="65"/>
        <v>1</v>
      </c>
      <c r="L1073" s="8">
        <v>41246</v>
      </c>
      <c r="M1073" t="str">
        <f t="shared" ca="1" si="66"/>
        <v>13 years, 3 months</v>
      </c>
      <c r="N1073" s="6">
        <v>23</v>
      </c>
      <c r="O1073">
        <v>114</v>
      </c>
      <c r="P1073">
        <v>76</v>
      </c>
      <c r="Q1073">
        <f t="shared" si="67"/>
        <v>190</v>
      </c>
      <c r="R1073">
        <v>5</v>
      </c>
      <c r="S1073">
        <v>8</v>
      </c>
      <c r="T1073">
        <f>Table[[#This Row],[NumWebPurchases]]+Table[[#This Row],[NumStorePurchases]]</f>
        <v>13</v>
      </c>
    </row>
    <row r="1074" spans="1:20" ht="12.5">
      <c r="A1074" s="6">
        <v>1072</v>
      </c>
      <c r="B1074" s="6">
        <v>3807</v>
      </c>
      <c r="C1074" s="6">
        <v>1955</v>
      </c>
      <c r="D1074" s="6">
        <f t="shared" si="64"/>
        <v>70</v>
      </c>
      <c r="E1074" s="7" t="s">
        <v>9</v>
      </c>
      <c r="F1074" s="7" t="s">
        <v>11</v>
      </c>
      <c r="G1074" s="6">
        <v>59925</v>
      </c>
      <c r="H1074" s="6" t="str" cm="1">
        <f t="array" ref="H1074">_xlfn.IFS(
  G1074 &lt; 25000, "Low",
  AND(G1074 &gt;= 25000, G1074 &lt; 75000), "Medium",
  AND(G1074 &gt;= 75000, G1074 &lt; 150000), "High",
  G1074 &gt;= 150000, "Very High"
)</f>
        <v>Medium</v>
      </c>
      <c r="I1074" s="6">
        <v>0</v>
      </c>
      <c r="J1074" s="6">
        <v>1</v>
      </c>
      <c r="K1074" s="6">
        <f t="shared" si="65"/>
        <v>1</v>
      </c>
      <c r="L1074" s="9">
        <v>41243</v>
      </c>
      <c r="M1074" t="str">
        <f t="shared" ca="1" si="66"/>
        <v>13 years, 3 months</v>
      </c>
      <c r="N1074" s="6">
        <v>83</v>
      </c>
      <c r="O1074">
        <v>21</v>
      </c>
      <c r="P1074">
        <v>21</v>
      </c>
      <c r="Q1074">
        <f t="shared" si="67"/>
        <v>42</v>
      </c>
      <c r="R1074">
        <v>9</v>
      </c>
      <c r="S1074">
        <v>9</v>
      </c>
      <c r="T1074">
        <f>Table[[#This Row],[NumWebPurchases]]+Table[[#This Row],[NumStorePurchases]]</f>
        <v>18</v>
      </c>
    </row>
    <row r="1075" spans="1:20" ht="12.5">
      <c r="A1075" s="6">
        <v>1073</v>
      </c>
      <c r="B1075" s="6">
        <v>9197</v>
      </c>
      <c r="C1075" s="6">
        <v>1953</v>
      </c>
      <c r="D1075" s="6">
        <f t="shared" si="64"/>
        <v>72</v>
      </c>
      <c r="E1075" s="7" t="s">
        <v>9</v>
      </c>
      <c r="F1075" s="7" t="s">
        <v>13</v>
      </c>
      <c r="G1075" s="6">
        <v>39722</v>
      </c>
      <c r="H1075" s="6" t="str" cm="1">
        <f t="array" ref="H1075">_xlfn.IFS(
  G1075 &lt; 25000, "Low",
  AND(G1075 &gt;= 25000, G1075 &lt; 75000), "Medium",
  AND(G1075 &gt;= 75000, G1075 &lt; 150000), "High",
  G1075 &gt;= 150000, "Very High"
)</f>
        <v>Medium</v>
      </c>
      <c r="I1075" s="6">
        <v>0</v>
      </c>
      <c r="J1075" s="6">
        <v>1</v>
      </c>
      <c r="K1075" s="6">
        <f t="shared" si="65"/>
        <v>1</v>
      </c>
      <c r="L1075" s="8">
        <v>41694</v>
      </c>
      <c r="M1075" t="str">
        <f t="shared" ca="1" si="66"/>
        <v>12 years, 0 months</v>
      </c>
      <c r="N1075" s="6">
        <v>92</v>
      </c>
      <c r="O1075">
        <v>0</v>
      </c>
      <c r="P1075">
        <v>0</v>
      </c>
      <c r="Q1075">
        <f t="shared" si="67"/>
        <v>0</v>
      </c>
      <c r="R1075">
        <v>2</v>
      </c>
      <c r="S1075">
        <v>3</v>
      </c>
      <c r="T1075">
        <f>Table[[#This Row],[NumWebPurchases]]+Table[[#This Row],[NumStorePurchases]]</f>
        <v>5</v>
      </c>
    </row>
    <row r="1076" spans="1:20" ht="12.5">
      <c r="A1076" s="6">
        <v>1074</v>
      </c>
      <c r="B1076" s="6">
        <v>10832</v>
      </c>
      <c r="C1076" s="6">
        <v>1958</v>
      </c>
      <c r="D1076" s="6">
        <f t="shared" si="64"/>
        <v>67</v>
      </c>
      <c r="E1076" s="7" t="s">
        <v>9</v>
      </c>
      <c r="F1076" s="7" t="s">
        <v>11</v>
      </c>
      <c r="G1076" s="6">
        <v>46610</v>
      </c>
      <c r="H1076" s="6" t="str" cm="1">
        <f t="array" ref="H1076">_xlfn.IFS(
  G1076 &lt; 25000, "Low",
  AND(G1076 &gt;= 25000, G1076 &lt; 75000), "Medium",
  AND(G1076 &gt;= 75000, G1076 &lt; 150000), "High",
  G1076 &gt;= 150000, "Very High"
)</f>
        <v>Medium</v>
      </c>
      <c r="I1076" s="6">
        <v>0</v>
      </c>
      <c r="J1076" s="6">
        <v>0</v>
      </c>
      <c r="K1076" s="6">
        <f t="shared" si="65"/>
        <v>0</v>
      </c>
      <c r="L1076" s="8">
        <v>41473</v>
      </c>
      <c r="M1076" t="str">
        <f t="shared" ca="1" si="66"/>
        <v>12 years, 7 months</v>
      </c>
      <c r="N1076" s="6">
        <v>4</v>
      </c>
      <c r="O1076">
        <v>10</v>
      </c>
      <c r="P1076">
        <v>10</v>
      </c>
      <c r="Q1076">
        <f t="shared" si="67"/>
        <v>20</v>
      </c>
      <c r="R1076">
        <v>6</v>
      </c>
      <c r="S1076">
        <v>6</v>
      </c>
      <c r="T1076">
        <f>Table[[#This Row],[NumWebPurchases]]+Table[[#This Row],[NumStorePurchases]]</f>
        <v>12</v>
      </c>
    </row>
    <row r="1077" spans="1:20" ht="12.5">
      <c r="A1077" s="6">
        <v>1075</v>
      </c>
      <c r="B1077" s="6">
        <v>6421</v>
      </c>
      <c r="C1077" s="6">
        <v>1961</v>
      </c>
      <c r="D1077" s="6">
        <f t="shared" si="64"/>
        <v>64</v>
      </c>
      <c r="E1077" s="7" t="s">
        <v>9</v>
      </c>
      <c r="F1077" s="7" t="s">
        <v>11</v>
      </c>
      <c r="G1077" s="6">
        <v>88347</v>
      </c>
      <c r="H1077" s="6" t="str" cm="1">
        <f t="array" ref="H1077">_xlfn.IFS(
  G1077 &lt; 25000, "Low",
  AND(G1077 &gt;= 25000, G1077 &lt; 75000), "Medium",
  AND(G1077 &gt;= 75000, G1077 &lt; 150000), "High",
  G1077 &gt;= 150000, "Very High"
)</f>
        <v>High</v>
      </c>
      <c r="I1077" s="6">
        <v>0</v>
      </c>
      <c r="J1077" s="6">
        <v>0</v>
      </c>
      <c r="K1077" s="6">
        <f t="shared" si="65"/>
        <v>0</v>
      </c>
      <c r="L1077" s="8">
        <v>41458</v>
      </c>
      <c r="M1077" t="str">
        <f t="shared" ca="1" si="66"/>
        <v>12 years, 8 months</v>
      </c>
      <c r="N1077" s="6">
        <v>32</v>
      </c>
      <c r="O1077">
        <v>178</v>
      </c>
      <c r="P1077">
        <v>138</v>
      </c>
      <c r="Q1077">
        <f t="shared" si="67"/>
        <v>316</v>
      </c>
      <c r="R1077">
        <v>4</v>
      </c>
      <c r="S1077">
        <v>9</v>
      </c>
      <c r="T1077">
        <f>Table[[#This Row],[NumWebPurchases]]+Table[[#This Row],[NumStorePurchases]]</f>
        <v>13</v>
      </c>
    </row>
    <row r="1078" spans="1:20" ht="12.5">
      <c r="A1078" s="6">
        <v>1076</v>
      </c>
      <c r="B1078" s="6">
        <v>4207</v>
      </c>
      <c r="C1078" s="6">
        <v>1981</v>
      </c>
      <c r="D1078" s="6">
        <f t="shared" si="64"/>
        <v>44</v>
      </c>
      <c r="E1078" s="7" t="s">
        <v>12</v>
      </c>
      <c r="F1078" s="7" t="s">
        <v>13</v>
      </c>
      <c r="G1078" s="6">
        <v>87171</v>
      </c>
      <c r="H1078" s="6" t="str" cm="1">
        <f t="array" ref="H1078">_xlfn.IFS(
  G1078 &lt; 25000, "Low",
  AND(G1078 &gt;= 25000, G1078 &lt; 75000), "Medium",
  AND(G1078 &gt;= 75000, G1078 &lt; 150000), "High",
  G1078 &gt;= 150000, "Very High"
)</f>
        <v>High</v>
      </c>
      <c r="I1078" s="6">
        <v>0</v>
      </c>
      <c r="J1078" s="6">
        <v>0</v>
      </c>
      <c r="K1078" s="6">
        <f t="shared" si="65"/>
        <v>0</v>
      </c>
      <c r="L1078" s="8">
        <v>41395</v>
      </c>
      <c r="M1078" t="str">
        <f t="shared" ca="1" si="66"/>
        <v>12 years, 10 months</v>
      </c>
      <c r="N1078" s="6">
        <v>27</v>
      </c>
      <c r="O1078">
        <v>44</v>
      </c>
      <c r="P1078">
        <v>44</v>
      </c>
      <c r="Q1078">
        <f t="shared" si="67"/>
        <v>88</v>
      </c>
      <c r="R1078">
        <v>6</v>
      </c>
      <c r="S1078">
        <v>11</v>
      </c>
      <c r="T1078">
        <f>Table[[#This Row],[NumWebPurchases]]+Table[[#This Row],[NumStorePurchases]]</f>
        <v>17</v>
      </c>
    </row>
    <row r="1079" spans="1:20" ht="12.5">
      <c r="A1079" s="6">
        <v>1077</v>
      </c>
      <c r="B1079" s="6">
        <v>577</v>
      </c>
      <c r="C1079" s="6">
        <v>1976</v>
      </c>
      <c r="D1079" s="6">
        <f t="shared" si="64"/>
        <v>49</v>
      </c>
      <c r="E1079" s="7" t="s">
        <v>17</v>
      </c>
      <c r="F1079" s="7" t="s">
        <v>11</v>
      </c>
      <c r="G1079" s="6">
        <v>26907</v>
      </c>
      <c r="H1079" s="6" t="str" cm="1">
        <f t="array" ref="H1079">_xlfn.IFS(
  G1079 &lt; 25000, "Low",
  AND(G1079 &gt;= 25000, G1079 &lt; 75000), "Medium",
  AND(G1079 &gt;= 75000, G1079 &lt; 150000), "High",
  G1079 &gt;= 150000, "Very High"
)</f>
        <v>Medium</v>
      </c>
      <c r="I1079" s="6">
        <v>1</v>
      </c>
      <c r="J1079" s="6">
        <v>1</v>
      </c>
      <c r="K1079" s="6">
        <f t="shared" si="65"/>
        <v>2</v>
      </c>
      <c r="L1079" s="8">
        <v>41506</v>
      </c>
      <c r="M1079" t="str">
        <f t="shared" ca="1" si="66"/>
        <v>12 years, 6 months</v>
      </c>
      <c r="N1079" s="6">
        <v>10</v>
      </c>
      <c r="O1079">
        <v>1</v>
      </c>
      <c r="P1079">
        <v>3</v>
      </c>
      <c r="Q1079">
        <f t="shared" si="67"/>
        <v>4</v>
      </c>
      <c r="R1079">
        <v>1</v>
      </c>
      <c r="S1079">
        <v>3</v>
      </c>
      <c r="T1079">
        <f>Table[[#This Row],[NumWebPurchases]]+Table[[#This Row],[NumStorePurchases]]</f>
        <v>4</v>
      </c>
    </row>
    <row r="1080" spans="1:20" ht="12.5">
      <c r="A1080" s="6">
        <v>1078</v>
      </c>
      <c r="B1080" s="6">
        <v>10855</v>
      </c>
      <c r="C1080" s="6">
        <v>1968</v>
      </c>
      <c r="D1080" s="6">
        <f t="shared" si="64"/>
        <v>57</v>
      </c>
      <c r="E1080" s="7" t="s">
        <v>14</v>
      </c>
      <c r="F1080" s="7" t="s">
        <v>10</v>
      </c>
      <c r="G1080" s="6">
        <v>50014</v>
      </c>
      <c r="H1080" s="6" t="str" cm="1">
        <f t="array" ref="H1080">_xlfn.IFS(
  G1080 &lt; 25000, "Low",
  AND(G1080 &gt;= 25000, G1080 &lt; 75000), "Medium",
  AND(G1080 &gt;= 75000, G1080 &lt; 150000), "High",
  G1080 &gt;= 150000, "Very High"
)</f>
        <v>Medium</v>
      </c>
      <c r="I1080" s="6">
        <v>1</v>
      </c>
      <c r="J1080" s="6">
        <v>0</v>
      </c>
      <c r="K1080" s="6">
        <f t="shared" si="65"/>
        <v>1</v>
      </c>
      <c r="L1080" s="8">
        <v>41661</v>
      </c>
      <c r="M1080" t="str">
        <f t="shared" ca="1" si="66"/>
        <v>12 years, 1 months</v>
      </c>
      <c r="N1080" s="6">
        <v>9</v>
      </c>
      <c r="O1080">
        <v>14</v>
      </c>
      <c r="P1080">
        <v>10</v>
      </c>
      <c r="Q1080">
        <f t="shared" si="67"/>
        <v>24</v>
      </c>
      <c r="R1080">
        <v>4</v>
      </c>
      <c r="S1080">
        <v>8</v>
      </c>
      <c r="T1080">
        <f>Table[[#This Row],[NumWebPurchases]]+Table[[#This Row],[NumStorePurchases]]</f>
        <v>12</v>
      </c>
    </row>
    <row r="1081" spans="1:20" ht="12.5">
      <c r="A1081" s="6">
        <v>1079</v>
      </c>
      <c r="B1081" s="6">
        <v>3081</v>
      </c>
      <c r="C1081" s="6">
        <v>1978</v>
      </c>
      <c r="D1081" s="6">
        <f t="shared" si="64"/>
        <v>47</v>
      </c>
      <c r="E1081" s="7" t="s">
        <v>12</v>
      </c>
      <c r="F1081" s="7" t="s">
        <v>13</v>
      </c>
      <c r="G1081" s="6">
        <v>41014</v>
      </c>
      <c r="H1081" s="6" t="str" cm="1">
        <f t="array" ref="H1081">_xlfn.IFS(
  G1081 &lt; 25000, "Low",
  AND(G1081 &gt;= 25000, G1081 &lt; 75000), "Medium",
  AND(G1081 &gt;= 75000, G1081 &lt; 150000), "High",
  G1081 &gt;= 150000, "Very High"
)</f>
        <v>Medium</v>
      </c>
      <c r="I1081" s="6">
        <v>1</v>
      </c>
      <c r="J1081" s="6">
        <v>0</v>
      </c>
      <c r="K1081" s="6">
        <f t="shared" si="65"/>
        <v>1</v>
      </c>
      <c r="L1081" s="8">
        <v>41386</v>
      </c>
      <c r="M1081" t="str">
        <f t="shared" ca="1" si="66"/>
        <v>12 years, 10 months</v>
      </c>
      <c r="N1081" s="6">
        <v>65</v>
      </c>
      <c r="O1081">
        <v>2</v>
      </c>
      <c r="P1081">
        <v>0</v>
      </c>
      <c r="Q1081">
        <f t="shared" si="67"/>
        <v>2</v>
      </c>
      <c r="R1081">
        <v>1</v>
      </c>
      <c r="S1081">
        <v>2</v>
      </c>
      <c r="T1081">
        <f>Table[[#This Row],[NumWebPurchases]]+Table[[#This Row],[NumStorePurchases]]</f>
        <v>3</v>
      </c>
    </row>
    <row r="1082" spans="1:20" ht="12.5">
      <c r="A1082" s="6">
        <v>1080</v>
      </c>
      <c r="B1082" s="6">
        <v>3535</v>
      </c>
      <c r="C1082" s="6">
        <v>1965</v>
      </c>
      <c r="D1082" s="6">
        <f t="shared" si="64"/>
        <v>60</v>
      </c>
      <c r="E1082" s="7" t="s">
        <v>9</v>
      </c>
      <c r="F1082" s="7" t="s">
        <v>10</v>
      </c>
      <c r="G1082" s="6">
        <v>66294</v>
      </c>
      <c r="H1082" s="6" t="str" cm="1">
        <f t="array" ref="H1082">_xlfn.IFS(
  G1082 &lt; 25000, "Low",
  AND(G1082 &gt;= 25000, G1082 &lt; 75000), "Medium",
  AND(G1082 &gt;= 75000, G1082 &lt; 150000), "High",
  G1082 &gt;= 150000, "Very High"
)</f>
        <v>Medium</v>
      </c>
      <c r="I1082" s="6">
        <v>0</v>
      </c>
      <c r="J1082" s="6">
        <v>0</v>
      </c>
      <c r="K1082" s="6">
        <f t="shared" si="65"/>
        <v>0</v>
      </c>
      <c r="L1082" s="8">
        <v>41715</v>
      </c>
      <c r="M1082" t="str">
        <f t="shared" ca="1" si="66"/>
        <v>11 years, 11 months</v>
      </c>
      <c r="N1082" s="6">
        <v>68</v>
      </c>
      <c r="O1082">
        <v>108</v>
      </c>
      <c r="P1082">
        <v>92</v>
      </c>
      <c r="Q1082">
        <f t="shared" si="67"/>
        <v>200</v>
      </c>
      <c r="R1082">
        <v>4</v>
      </c>
      <c r="S1082">
        <v>5</v>
      </c>
      <c r="T1082">
        <f>Table[[#This Row],[NumWebPurchases]]+Table[[#This Row],[NumStorePurchases]]</f>
        <v>9</v>
      </c>
    </row>
    <row r="1083" spans="1:20" ht="12.5">
      <c r="A1083" s="6">
        <v>1081</v>
      </c>
      <c r="B1083" s="6">
        <v>247</v>
      </c>
      <c r="C1083" s="6">
        <v>1971</v>
      </c>
      <c r="D1083" s="6">
        <f t="shared" si="64"/>
        <v>54</v>
      </c>
      <c r="E1083" s="7" t="s">
        <v>9</v>
      </c>
      <c r="F1083" s="7" t="s">
        <v>13</v>
      </c>
      <c r="G1083" s="6">
        <v>36715</v>
      </c>
      <c r="H1083" s="6" t="str" cm="1">
        <f t="array" ref="H1083">_xlfn.IFS(
  G1083 &lt; 25000, "Low",
  AND(G1083 &gt;= 25000, G1083 &lt; 75000), "Medium",
  AND(G1083 &gt;= 75000, G1083 &lt; 150000), "High",
  G1083 &gt;= 150000, "Very High"
)</f>
        <v>Medium</v>
      </c>
      <c r="I1083" s="6">
        <v>1</v>
      </c>
      <c r="J1083" s="6">
        <v>0</v>
      </c>
      <c r="K1083" s="6">
        <f t="shared" si="65"/>
        <v>1</v>
      </c>
      <c r="L1083" s="9">
        <v>41230</v>
      </c>
      <c r="M1083" t="str">
        <f t="shared" ca="1" si="66"/>
        <v>13 years, 3 months</v>
      </c>
      <c r="N1083" s="6">
        <v>16</v>
      </c>
      <c r="O1083">
        <v>10</v>
      </c>
      <c r="P1083">
        <v>13</v>
      </c>
      <c r="Q1083">
        <f t="shared" si="67"/>
        <v>23</v>
      </c>
      <c r="R1083">
        <v>7</v>
      </c>
      <c r="S1083">
        <v>4</v>
      </c>
      <c r="T1083">
        <f>Table[[#This Row],[NumWebPurchases]]+Table[[#This Row],[NumStorePurchases]]</f>
        <v>11</v>
      </c>
    </row>
    <row r="1084" spans="1:20" ht="12.5">
      <c r="A1084" s="6">
        <v>1082</v>
      </c>
      <c r="B1084" s="6">
        <v>8707</v>
      </c>
      <c r="C1084" s="6">
        <v>1956</v>
      </c>
      <c r="D1084" s="6">
        <f t="shared" si="64"/>
        <v>69</v>
      </c>
      <c r="E1084" s="7" t="s">
        <v>9</v>
      </c>
      <c r="F1084" s="7" t="s">
        <v>13</v>
      </c>
      <c r="G1084" s="6">
        <v>79456</v>
      </c>
      <c r="H1084" s="6" t="str" cm="1">
        <f t="array" ref="H1084">_xlfn.IFS(
  G1084 &lt; 25000, "Low",
  AND(G1084 &gt;= 25000, G1084 &lt; 75000), "Medium",
  AND(G1084 &gt;= 75000, G1084 &lt; 150000), "High",
  G1084 &gt;= 150000, "Very High"
)</f>
        <v>High</v>
      </c>
      <c r="I1084" s="6">
        <v>0</v>
      </c>
      <c r="J1084" s="6">
        <v>0</v>
      </c>
      <c r="K1084" s="6">
        <f t="shared" si="65"/>
        <v>0</v>
      </c>
      <c r="L1084" s="8">
        <v>41143</v>
      </c>
      <c r="M1084" t="str">
        <f t="shared" ca="1" si="66"/>
        <v>13 years, 6 months</v>
      </c>
      <c r="N1084" s="6">
        <v>12</v>
      </c>
      <c r="O1084">
        <v>42</v>
      </c>
      <c r="P1084">
        <v>83</v>
      </c>
      <c r="Q1084">
        <f t="shared" si="67"/>
        <v>125</v>
      </c>
      <c r="R1084">
        <v>5</v>
      </c>
      <c r="S1084">
        <v>4</v>
      </c>
      <c r="T1084">
        <f>Table[[#This Row],[NumWebPurchases]]+Table[[#This Row],[NumStorePurchases]]</f>
        <v>9</v>
      </c>
    </row>
    <row r="1085" spans="1:20" ht="12.5">
      <c r="A1085" s="6">
        <v>1083</v>
      </c>
      <c r="B1085" s="6">
        <v>9523</v>
      </c>
      <c r="C1085" s="6">
        <v>1982</v>
      </c>
      <c r="D1085" s="6">
        <f t="shared" si="64"/>
        <v>43</v>
      </c>
      <c r="E1085" s="7" t="s">
        <v>9</v>
      </c>
      <c r="F1085" s="7" t="s">
        <v>11</v>
      </c>
      <c r="G1085" s="6">
        <v>40479</v>
      </c>
      <c r="H1085" s="6" t="str" cm="1">
        <f t="array" ref="H1085">_xlfn.IFS(
  G1085 &lt; 25000, "Low",
  AND(G1085 &gt;= 25000, G1085 &lt; 75000), "Medium",
  AND(G1085 &gt;= 75000, G1085 &lt; 150000), "High",
  G1085 &gt;= 150000, "Very High"
)</f>
        <v>Medium</v>
      </c>
      <c r="I1085" s="6">
        <v>1</v>
      </c>
      <c r="J1085" s="6">
        <v>0</v>
      </c>
      <c r="K1085" s="6">
        <f t="shared" si="65"/>
        <v>1</v>
      </c>
      <c r="L1085" s="8">
        <v>41503</v>
      </c>
      <c r="M1085" t="str">
        <f t="shared" ca="1" si="66"/>
        <v>12 years, 6 months</v>
      </c>
      <c r="N1085" s="6">
        <v>95</v>
      </c>
      <c r="O1085">
        <v>0</v>
      </c>
      <c r="P1085">
        <v>0</v>
      </c>
      <c r="Q1085">
        <f t="shared" si="67"/>
        <v>0</v>
      </c>
      <c r="R1085">
        <v>0</v>
      </c>
      <c r="S1085">
        <v>3</v>
      </c>
      <c r="T1085">
        <f>Table[[#This Row],[NumWebPurchases]]+Table[[#This Row],[NumStorePurchases]]</f>
        <v>3</v>
      </c>
    </row>
    <row r="1086" spans="1:20" ht="12.5">
      <c r="A1086" s="6">
        <v>1084</v>
      </c>
      <c r="B1086" s="6">
        <v>6072</v>
      </c>
      <c r="C1086" s="6">
        <v>1970</v>
      </c>
      <c r="D1086" s="6">
        <f t="shared" si="64"/>
        <v>55</v>
      </c>
      <c r="E1086" s="7" t="s">
        <v>14</v>
      </c>
      <c r="F1086" s="7" t="s">
        <v>10</v>
      </c>
      <c r="G1086" s="6">
        <v>75345</v>
      </c>
      <c r="H1086" s="6" t="str" cm="1">
        <f t="array" ref="H1086">_xlfn.IFS(
  G1086 &lt; 25000, "Low",
  AND(G1086 &gt;= 25000, G1086 &lt; 75000), "Medium",
  AND(G1086 &gt;= 75000, G1086 &lt; 150000), "High",
  G1086 &gt;= 150000, "Very High"
)</f>
        <v>High</v>
      </c>
      <c r="I1086" s="6">
        <v>0</v>
      </c>
      <c r="J1086" s="6">
        <v>0</v>
      </c>
      <c r="K1086" s="6">
        <f t="shared" si="65"/>
        <v>0</v>
      </c>
      <c r="L1086" s="8">
        <v>41307</v>
      </c>
      <c r="M1086" t="str">
        <f t="shared" ca="1" si="66"/>
        <v>13 years, 1 months</v>
      </c>
      <c r="N1086" s="6">
        <v>16</v>
      </c>
      <c r="O1086">
        <v>57</v>
      </c>
      <c r="P1086">
        <v>38</v>
      </c>
      <c r="Q1086">
        <f t="shared" si="67"/>
        <v>95</v>
      </c>
      <c r="R1086">
        <v>5</v>
      </c>
      <c r="S1086">
        <v>6</v>
      </c>
      <c r="T1086">
        <f>Table[[#This Row],[NumWebPurchases]]+Table[[#This Row],[NumStorePurchases]]</f>
        <v>11</v>
      </c>
    </row>
    <row r="1087" spans="1:20" ht="12.5">
      <c r="A1087" s="6">
        <v>1085</v>
      </c>
      <c r="B1087" s="6">
        <v>6295</v>
      </c>
      <c r="C1087" s="6">
        <v>1977</v>
      </c>
      <c r="D1087" s="6">
        <f t="shared" si="64"/>
        <v>48</v>
      </c>
      <c r="E1087" s="7" t="s">
        <v>9</v>
      </c>
      <c r="F1087" s="7" t="s">
        <v>13</v>
      </c>
      <c r="G1087" s="6">
        <v>54233</v>
      </c>
      <c r="H1087" s="6" t="str" cm="1">
        <f t="array" ref="H1087">_xlfn.IFS(
  G1087 &lt; 25000, "Low",
  AND(G1087 &gt;= 25000, G1087 &lt; 75000), "Medium",
  AND(G1087 &gt;= 75000, G1087 &lt; 150000), "High",
  G1087 &gt;= 150000, "Very High"
)</f>
        <v>Medium</v>
      </c>
      <c r="I1087" s="6">
        <v>0</v>
      </c>
      <c r="J1087" s="6">
        <v>1</v>
      </c>
      <c r="K1087" s="6">
        <f t="shared" si="65"/>
        <v>1</v>
      </c>
      <c r="L1087" s="8">
        <v>41309</v>
      </c>
      <c r="M1087" t="str">
        <f t="shared" ca="1" si="66"/>
        <v>13 years, 1 months</v>
      </c>
      <c r="N1087" s="6">
        <v>46</v>
      </c>
      <c r="O1087">
        <v>8</v>
      </c>
      <c r="P1087">
        <v>0</v>
      </c>
      <c r="Q1087">
        <f t="shared" si="67"/>
        <v>8</v>
      </c>
      <c r="R1087">
        <v>11</v>
      </c>
      <c r="S1087">
        <v>5</v>
      </c>
      <c r="T1087">
        <f>Table[[#This Row],[NumWebPurchases]]+Table[[#This Row],[NumStorePurchases]]</f>
        <v>16</v>
      </c>
    </row>
    <row r="1088" spans="1:20" ht="12.5">
      <c r="A1088" s="6">
        <v>1086</v>
      </c>
      <c r="B1088" s="6">
        <v>10914</v>
      </c>
      <c r="C1088" s="6">
        <v>1970</v>
      </c>
      <c r="D1088" s="6">
        <f t="shared" si="64"/>
        <v>55</v>
      </c>
      <c r="E1088" s="7" t="s">
        <v>9</v>
      </c>
      <c r="F1088" s="7" t="s">
        <v>10</v>
      </c>
      <c r="G1088" s="6">
        <v>24163</v>
      </c>
      <c r="H1088" s="6" t="str" cm="1">
        <f t="array" ref="H1088">_xlfn.IFS(
  G1088 &lt; 25000, "Low",
  AND(G1088 &gt;= 25000, G1088 &lt; 75000), "Medium",
  AND(G1088 &gt;= 75000, G1088 &lt; 150000), "High",
  G1088 &gt;= 150000, "Very High"
)</f>
        <v>Low</v>
      </c>
      <c r="I1088" s="6">
        <v>1</v>
      </c>
      <c r="J1088" s="6">
        <v>1</v>
      </c>
      <c r="K1088" s="6">
        <f t="shared" si="65"/>
        <v>2</v>
      </c>
      <c r="L1088" s="9">
        <v>41559</v>
      </c>
      <c r="M1088" t="str">
        <f t="shared" ca="1" si="66"/>
        <v>12 years, 4 months</v>
      </c>
      <c r="N1088" s="6">
        <v>3</v>
      </c>
      <c r="O1088">
        <v>1</v>
      </c>
      <c r="P1088">
        <v>1</v>
      </c>
      <c r="Q1088">
        <f t="shared" si="67"/>
        <v>2</v>
      </c>
      <c r="R1088">
        <v>1</v>
      </c>
      <c r="S1088">
        <v>3</v>
      </c>
      <c r="T1088">
        <f>Table[[#This Row],[NumWebPurchases]]+Table[[#This Row],[NumStorePurchases]]</f>
        <v>4</v>
      </c>
    </row>
    <row r="1089" spans="1:20" ht="12.5">
      <c r="A1089" s="6">
        <v>1087</v>
      </c>
      <c r="B1089" s="6">
        <v>1509</v>
      </c>
      <c r="C1089" s="6">
        <v>1958</v>
      </c>
      <c r="D1089" s="6">
        <f t="shared" si="64"/>
        <v>67</v>
      </c>
      <c r="E1089" s="7" t="s">
        <v>12</v>
      </c>
      <c r="F1089" s="7" t="s">
        <v>11</v>
      </c>
      <c r="G1089" s="6">
        <v>84460</v>
      </c>
      <c r="H1089" s="6" t="str" cm="1">
        <f t="array" ref="H1089">_xlfn.IFS(
  G1089 &lt; 25000, "Low",
  AND(G1089 &gt;= 25000, G1089 &lt; 75000), "Medium",
  AND(G1089 &gt;= 75000, G1089 &lt; 150000), "High",
  G1089 &gt;= 150000, "Very High"
)</f>
        <v>High</v>
      </c>
      <c r="I1089" s="6">
        <v>0</v>
      </c>
      <c r="J1089" s="6">
        <v>0</v>
      </c>
      <c r="K1089" s="6">
        <f t="shared" si="65"/>
        <v>0</v>
      </c>
      <c r="L1089" s="8">
        <v>41278</v>
      </c>
      <c r="M1089" t="str">
        <f t="shared" ca="1" si="66"/>
        <v>13 years, 2 months</v>
      </c>
      <c r="N1089" s="6">
        <v>80</v>
      </c>
      <c r="O1089">
        <v>27</v>
      </c>
      <c r="P1089">
        <v>54</v>
      </c>
      <c r="Q1089">
        <f t="shared" si="67"/>
        <v>81</v>
      </c>
      <c r="R1089">
        <v>9</v>
      </c>
      <c r="S1089">
        <v>4</v>
      </c>
      <c r="T1089">
        <f>Table[[#This Row],[NumWebPurchases]]+Table[[#This Row],[NumStorePurchases]]</f>
        <v>13</v>
      </c>
    </row>
    <row r="1090" spans="1:20" ht="12.5">
      <c r="A1090" s="6">
        <v>1088</v>
      </c>
      <c r="B1090" s="6">
        <v>5577</v>
      </c>
      <c r="C1090" s="6">
        <v>1983</v>
      </c>
      <c r="D1090" s="6">
        <f t="shared" si="64"/>
        <v>42</v>
      </c>
      <c r="E1090" s="7" t="s">
        <v>9</v>
      </c>
      <c r="F1090" s="7" t="s">
        <v>11</v>
      </c>
      <c r="G1090" s="6">
        <v>43776</v>
      </c>
      <c r="H1090" s="6" t="str" cm="1">
        <f t="array" ref="H1090">_xlfn.IFS(
  G1090 &lt; 25000, "Low",
  AND(G1090 &gt;= 25000, G1090 &lt; 75000), "Medium",
  AND(G1090 &gt;= 75000, G1090 &lt; 150000), "High",
  G1090 &gt;= 150000, "Very High"
)</f>
        <v>Medium</v>
      </c>
      <c r="I1090" s="6">
        <v>1</v>
      </c>
      <c r="J1090" s="6">
        <v>0</v>
      </c>
      <c r="K1090" s="6">
        <f t="shared" si="65"/>
        <v>1</v>
      </c>
      <c r="L1090" s="8">
        <v>41762</v>
      </c>
      <c r="M1090" t="str">
        <f t="shared" ca="1" si="66"/>
        <v>11 years, 10 months</v>
      </c>
      <c r="N1090" s="6">
        <v>77</v>
      </c>
      <c r="O1090">
        <v>0</v>
      </c>
      <c r="P1090">
        <v>1</v>
      </c>
      <c r="Q1090">
        <f t="shared" si="67"/>
        <v>1</v>
      </c>
      <c r="R1090">
        <v>1</v>
      </c>
      <c r="S1090">
        <v>2</v>
      </c>
      <c r="T1090">
        <f>Table[[#This Row],[NumWebPurchases]]+Table[[#This Row],[NumStorePurchases]]</f>
        <v>3</v>
      </c>
    </row>
    <row r="1091" spans="1:20" ht="12.5">
      <c r="A1091" s="6">
        <v>1089</v>
      </c>
      <c r="B1091" s="6">
        <v>7348</v>
      </c>
      <c r="C1091" s="6">
        <v>1958</v>
      </c>
      <c r="D1091" s="6">
        <f t="shared" ref="D1091:D1154" si="68">2025-C1091</f>
        <v>67</v>
      </c>
      <c r="E1091" s="7" t="s">
        <v>12</v>
      </c>
      <c r="F1091" s="7" t="s">
        <v>10</v>
      </c>
      <c r="G1091" s="6">
        <v>71691</v>
      </c>
      <c r="H1091" s="6" t="str" cm="1">
        <f t="array" ref="H1091">_xlfn.IFS(
  G1091 &lt; 25000, "Low",
  AND(G1091 &gt;= 25000, G1091 &lt; 75000), "Medium",
  AND(G1091 &gt;= 75000, G1091 &lt; 150000), "High",
  G1091 &gt;= 150000, "Very High"
)</f>
        <v>Medium</v>
      </c>
      <c r="I1091" s="6">
        <v>0</v>
      </c>
      <c r="J1091" s="6">
        <v>0</v>
      </c>
      <c r="K1091" s="6">
        <f t="shared" ref="K1091:K1154" si="69">I1091+J1091</f>
        <v>0</v>
      </c>
      <c r="L1091" s="8">
        <v>41715</v>
      </c>
      <c r="M1091" t="str">
        <f t="shared" ref="M1091:M1154" ca="1" si="70">DATEDIF(L1091, TODAY(), "Y") &amp; " years, " &amp; DATEDIF(L1091, TODAY(), "YM") &amp; " months"</f>
        <v>11 years, 11 months</v>
      </c>
      <c r="N1091" s="6">
        <v>0</v>
      </c>
      <c r="O1091">
        <v>130</v>
      </c>
      <c r="P1091">
        <v>32</v>
      </c>
      <c r="Q1091">
        <f t="shared" ref="Q1091:Q1154" si="71">O1091+P1091</f>
        <v>162</v>
      </c>
      <c r="R1091">
        <v>4</v>
      </c>
      <c r="S1091">
        <v>5</v>
      </c>
      <c r="T1091">
        <f>Table[[#This Row],[NumWebPurchases]]+Table[[#This Row],[NumStorePurchases]]</f>
        <v>9</v>
      </c>
    </row>
    <row r="1092" spans="1:20" ht="12.5">
      <c r="A1092" s="6">
        <v>1090</v>
      </c>
      <c r="B1092" s="6">
        <v>1127</v>
      </c>
      <c r="C1092" s="6">
        <v>1973</v>
      </c>
      <c r="D1092" s="6">
        <f t="shared" si="68"/>
        <v>52</v>
      </c>
      <c r="E1092" s="7" t="s">
        <v>12</v>
      </c>
      <c r="F1092" s="7" t="s">
        <v>13</v>
      </c>
      <c r="G1092" s="6">
        <v>85844</v>
      </c>
      <c r="H1092" s="6" t="str" cm="1">
        <f t="array" ref="H1092">_xlfn.IFS(
  G1092 &lt; 25000, "Low",
  AND(G1092 &gt;= 25000, G1092 &lt; 75000), "Medium",
  AND(G1092 &gt;= 75000, G1092 &lt; 150000), "High",
  G1092 &gt;= 150000, "Very High"
)</f>
        <v>High</v>
      </c>
      <c r="I1092" s="6">
        <v>0</v>
      </c>
      <c r="J1092" s="6">
        <v>0</v>
      </c>
      <c r="K1092" s="6">
        <f t="shared" si="69"/>
        <v>0</v>
      </c>
      <c r="L1092" s="8">
        <v>41788</v>
      </c>
      <c r="M1092" t="str">
        <f t="shared" ca="1" si="70"/>
        <v>11 years, 9 months</v>
      </c>
      <c r="N1092" s="6">
        <v>62</v>
      </c>
      <c r="O1092">
        <v>19</v>
      </c>
      <c r="P1092">
        <v>95</v>
      </c>
      <c r="Q1092">
        <f t="shared" si="71"/>
        <v>114</v>
      </c>
      <c r="R1092">
        <v>6</v>
      </c>
      <c r="S1092">
        <v>7</v>
      </c>
      <c r="T1092">
        <f>Table[[#This Row],[NumWebPurchases]]+Table[[#This Row],[NumStorePurchases]]</f>
        <v>13</v>
      </c>
    </row>
    <row r="1093" spans="1:20" ht="12.5">
      <c r="A1093" s="6">
        <v>1091</v>
      </c>
      <c r="B1093" s="6">
        <v>1833</v>
      </c>
      <c r="C1093" s="6">
        <v>1974</v>
      </c>
      <c r="D1093" s="6">
        <f t="shared" si="68"/>
        <v>51</v>
      </c>
      <c r="E1093" s="7" t="s">
        <v>12</v>
      </c>
      <c r="F1093" s="7" t="s">
        <v>10</v>
      </c>
      <c r="G1093" s="6">
        <v>39190</v>
      </c>
      <c r="H1093" s="6" t="str" cm="1">
        <f t="array" ref="H1093">_xlfn.IFS(
  G1093 &lt; 25000, "Low",
  AND(G1093 &gt;= 25000, G1093 &lt; 75000), "Medium",
  AND(G1093 &gt;= 75000, G1093 &lt; 150000), "High",
  G1093 &gt;= 150000, "Very High"
)</f>
        <v>Medium</v>
      </c>
      <c r="I1093" s="6">
        <v>1</v>
      </c>
      <c r="J1093" s="6">
        <v>0</v>
      </c>
      <c r="K1093" s="6">
        <f t="shared" si="69"/>
        <v>1</v>
      </c>
      <c r="L1093" s="8">
        <v>41755</v>
      </c>
      <c r="M1093" t="str">
        <f t="shared" ca="1" si="70"/>
        <v>11 years, 10 months</v>
      </c>
      <c r="N1093" s="6">
        <v>91</v>
      </c>
      <c r="O1093">
        <v>8</v>
      </c>
      <c r="P1093">
        <v>8</v>
      </c>
      <c r="Q1093">
        <f t="shared" si="71"/>
        <v>16</v>
      </c>
      <c r="R1093">
        <v>2</v>
      </c>
      <c r="S1093">
        <v>4</v>
      </c>
      <c r="T1093">
        <f>Table[[#This Row],[NumWebPurchases]]+Table[[#This Row],[NumStorePurchases]]</f>
        <v>6</v>
      </c>
    </row>
    <row r="1094" spans="1:20" ht="12.5">
      <c r="A1094" s="6">
        <v>1092</v>
      </c>
      <c r="B1094" s="6">
        <v>4944</v>
      </c>
      <c r="C1094" s="6">
        <v>1959</v>
      </c>
      <c r="D1094" s="6">
        <f t="shared" si="68"/>
        <v>66</v>
      </c>
      <c r="E1094" s="7" t="s">
        <v>9</v>
      </c>
      <c r="F1094" s="7" t="s">
        <v>11</v>
      </c>
      <c r="G1094" s="6">
        <v>71367</v>
      </c>
      <c r="H1094" s="6" t="str" cm="1">
        <f t="array" ref="H1094">_xlfn.IFS(
  G1094 &lt; 25000, "Low",
  AND(G1094 &gt;= 25000, G1094 &lt; 75000), "Medium",
  AND(G1094 &gt;= 75000, G1094 &lt; 150000), "High",
  G1094 &gt;= 150000, "Very High"
)</f>
        <v>Medium</v>
      </c>
      <c r="I1094" s="6">
        <v>0</v>
      </c>
      <c r="J1094" s="6">
        <v>0</v>
      </c>
      <c r="K1094" s="6">
        <f t="shared" si="69"/>
        <v>0</v>
      </c>
      <c r="L1094" s="8">
        <v>41509</v>
      </c>
      <c r="M1094" t="str">
        <f t="shared" ca="1" si="70"/>
        <v>12 years, 6 months</v>
      </c>
      <c r="N1094" s="6">
        <v>24</v>
      </c>
      <c r="O1094">
        <v>23</v>
      </c>
      <c r="P1094">
        <v>21</v>
      </c>
      <c r="Q1094">
        <f t="shared" si="71"/>
        <v>44</v>
      </c>
      <c r="R1094">
        <v>4</v>
      </c>
      <c r="S1094">
        <v>7</v>
      </c>
      <c r="T1094">
        <f>Table[[#This Row],[NumWebPurchases]]+Table[[#This Row],[NumStorePurchases]]</f>
        <v>11</v>
      </c>
    </row>
    <row r="1095" spans="1:20" ht="12.5">
      <c r="A1095" s="6">
        <v>1093</v>
      </c>
      <c r="B1095" s="6">
        <v>9080</v>
      </c>
      <c r="C1095" s="6">
        <v>1972</v>
      </c>
      <c r="D1095" s="6">
        <f t="shared" si="68"/>
        <v>53</v>
      </c>
      <c r="E1095" s="7" t="s">
        <v>12</v>
      </c>
      <c r="F1095" s="7" t="s">
        <v>10</v>
      </c>
      <c r="G1095" s="6">
        <v>38578</v>
      </c>
      <c r="H1095" s="6" t="str" cm="1">
        <f t="array" ref="H1095">_xlfn.IFS(
  G1095 &lt; 25000, "Low",
  AND(G1095 &gt;= 25000, G1095 &lt; 75000), "Medium",
  AND(G1095 &gt;= 75000, G1095 &lt; 150000), "High",
  G1095 &gt;= 150000, "Very High"
)</f>
        <v>Medium</v>
      </c>
      <c r="I1095" s="6">
        <v>1</v>
      </c>
      <c r="J1095" s="6">
        <v>1</v>
      </c>
      <c r="K1095" s="6">
        <f t="shared" si="69"/>
        <v>2</v>
      </c>
      <c r="L1095" s="8">
        <v>41447</v>
      </c>
      <c r="M1095" t="str">
        <f t="shared" ca="1" si="70"/>
        <v>12 years, 8 months</v>
      </c>
      <c r="N1095" s="6">
        <v>2</v>
      </c>
      <c r="O1095">
        <v>4</v>
      </c>
      <c r="P1095">
        <v>3</v>
      </c>
      <c r="Q1095">
        <f t="shared" si="71"/>
        <v>7</v>
      </c>
      <c r="R1095">
        <v>3</v>
      </c>
      <c r="S1095">
        <v>3</v>
      </c>
      <c r="T1095">
        <f>Table[[#This Row],[NumWebPurchases]]+Table[[#This Row],[NumStorePurchases]]</f>
        <v>6</v>
      </c>
    </row>
    <row r="1096" spans="1:20" ht="12.5">
      <c r="A1096" s="6">
        <v>1094</v>
      </c>
      <c r="B1096" s="6">
        <v>6466</v>
      </c>
      <c r="C1096" s="6">
        <v>1965</v>
      </c>
      <c r="D1096" s="6">
        <f t="shared" si="68"/>
        <v>60</v>
      </c>
      <c r="E1096" s="7" t="s">
        <v>12</v>
      </c>
      <c r="F1096" s="7" t="s">
        <v>13</v>
      </c>
      <c r="G1096" s="6">
        <v>57236</v>
      </c>
      <c r="H1096" s="6" t="str" cm="1">
        <f t="array" ref="H1096">_xlfn.IFS(
  G1096 &lt; 25000, "Low",
  AND(G1096 &gt;= 25000, G1096 &lt; 75000), "Medium",
  AND(G1096 &gt;= 75000, G1096 &lt; 150000), "High",
  G1096 &gt;= 150000, "Very High"
)</f>
        <v>Medium</v>
      </c>
      <c r="I1096" s="6">
        <v>1</v>
      </c>
      <c r="J1096" s="6">
        <v>1</v>
      </c>
      <c r="K1096" s="6">
        <f t="shared" si="69"/>
        <v>2</v>
      </c>
      <c r="L1096" s="8">
        <v>41710</v>
      </c>
      <c r="M1096" t="str">
        <f t="shared" ca="1" si="70"/>
        <v>11 years, 11 months</v>
      </c>
      <c r="N1096" s="6">
        <v>22</v>
      </c>
      <c r="O1096">
        <v>0</v>
      </c>
      <c r="P1096">
        <v>1</v>
      </c>
      <c r="Q1096">
        <f t="shared" si="71"/>
        <v>1</v>
      </c>
      <c r="R1096">
        <v>2</v>
      </c>
      <c r="S1096">
        <v>4</v>
      </c>
      <c r="T1096">
        <f>Table[[#This Row],[NumWebPurchases]]+Table[[#This Row],[NumStorePurchases]]</f>
        <v>6</v>
      </c>
    </row>
    <row r="1097" spans="1:20" ht="12.5">
      <c r="A1097" s="6">
        <v>1095</v>
      </c>
      <c r="B1097" s="6">
        <v>9964</v>
      </c>
      <c r="C1097" s="6">
        <v>1979</v>
      </c>
      <c r="D1097" s="6">
        <f t="shared" si="68"/>
        <v>46</v>
      </c>
      <c r="E1097" s="7" t="s">
        <v>9</v>
      </c>
      <c r="F1097" s="7" t="s">
        <v>10</v>
      </c>
      <c r="G1097" s="6">
        <v>61825</v>
      </c>
      <c r="H1097" s="6" t="str" cm="1">
        <f t="array" ref="H1097">_xlfn.IFS(
  G1097 &lt; 25000, "Low",
  AND(G1097 &gt;= 25000, G1097 &lt; 75000), "Medium",
  AND(G1097 &gt;= 75000, G1097 &lt; 150000), "High",
  G1097 &gt;= 150000, "Very High"
)</f>
        <v>Medium</v>
      </c>
      <c r="I1097" s="6">
        <v>0</v>
      </c>
      <c r="J1097" s="6">
        <v>1</v>
      </c>
      <c r="K1097" s="6">
        <f t="shared" si="69"/>
        <v>1</v>
      </c>
      <c r="L1097" s="8">
        <v>41493</v>
      </c>
      <c r="M1097" t="str">
        <f t="shared" ca="1" si="70"/>
        <v>12 years, 6 months</v>
      </c>
      <c r="N1097" s="6">
        <v>56</v>
      </c>
      <c r="O1097">
        <v>50</v>
      </c>
      <c r="P1097">
        <v>30</v>
      </c>
      <c r="Q1097">
        <f t="shared" si="71"/>
        <v>80</v>
      </c>
      <c r="R1097">
        <v>4</v>
      </c>
      <c r="S1097">
        <v>8</v>
      </c>
      <c r="T1097">
        <f>Table[[#This Row],[NumWebPurchases]]+Table[[#This Row],[NumStorePurchases]]</f>
        <v>12</v>
      </c>
    </row>
    <row r="1098" spans="1:20" ht="12.5">
      <c r="A1098" s="6">
        <v>1096</v>
      </c>
      <c r="B1098" s="6">
        <v>4790</v>
      </c>
      <c r="C1098" s="6">
        <v>1958</v>
      </c>
      <c r="D1098" s="6">
        <f t="shared" si="68"/>
        <v>67</v>
      </c>
      <c r="E1098" s="7" t="s">
        <v>9</v>
      </c>
      <c r="F1098" s="7" t="s">
        <v>15</v>
      </c>
      <c r="G1098" s="6">
        <v>79803</v>
      </c>
      <c r="H1098" s="6" t="str" cm="1">
        <f t="array" ref="H1098">_xlfn.IFS(
  G1098 &lt; 25000, "Low",
  AND(G1098 &gt;= 25000, G1098 &lt; 75000), "Medium",
  AND(G1098 &gt;= 75000, G1098 &lt; 150000), "High",
  G1098 &gt;= 150000, "Very High"
)</f>
        <v>High</v>
      </c>
      <c r="I1098" s="6">
        <v>0</v>
      </c>
      <c r="J1098" s="6">
        <v>1</v>
      </c>
      <c r="K1098" s="6">
        <f t="shared" si="69"/>
        <v>1</v>
      </c>
      <c r="L1098" s="8">
        <v>41792</v>
      </c>
      <c r="M1098" t="str">
        <f t="shared" ca="1" si="70"/>
        <v>11 years, 9 months</v>
      </c>
      <c r="N1098" s="6">
        <v>54</v>
      </c>
      <c r="O1098">
        <v>8</v>
      </c>
      <c r="P1098">
        <v>16</v>
      </c>
      <c r="Q1098">
        <f t="shared" si="71"/>
        <v>24</v>
      </c>
      <c r="R1098">
        <v>4</v>
      </c>
      <c r="S1098">
        <v>5</v>
      </c>
      <c r="T1098">
        <f>Table[[#This Row],[NumWebPurchases]]+Table[[#This Row],[NumStorePurchases]]</f>
        <v>9</v>
      </c>
    </row>
    <row r="1099" spans="1:20" ht="12.5">
      <c r="A1099" s="6">
        <v>1097</v>
      </c>
      <c r="B1099" s="6">
        <v>10245</v>
      </c>
      <c r="C1099" s="6">
        <v>1986</v>
      </c>
      <c r="D1099" s="6">
        <f t="shared" si="68"/>
        <v>39</v>
      </c>
      <c r="E1099" s="7" t="s">
        <v>17</v>
      </c>
      <c r="F1099" s="7" t="s">
        <v>10</v>
      </c>
      <c r="G1099" s="6">
        <v>80910</v>
      </c>
      <c r="H1099" s="6" t="str" cm="1">
        <f t="array" ref="H1099">_xlfn.IFS(
  G1099 &lt; 25000, "Low",
  AND(G1099 &gt;= 25000, G1099 &lt; 75000), "Medium",
  AND(G1099 &gt;= 75000, G1099 &lt; 150000), "High",
  G1099 &gt;= 150000, "Very High"
)</f>
        <v>High</v>
      </c>
      <c r="I1099" s="6">
        <v>0</v>
      </c>
      <c r="J1099" s="6">
        <v>0</v>
      </c>
      <c r="K1099" s="6">
        <f t="shared" si="69"/>
        <v>0</v>
      </c>
      <c r="L1099" s="9">
        <v>41213</v>
      </c>
      <c r="M1099" t="str">
        <f t="shared" ca="1" si="70"/>
        <v>13 years, 4 months</v>
      </c>
      <c r="N1099" s="6">
        <v>71</v>
      </c>
      <c r="O1099">
        <v>80</v>
      </c>
      <c r="P1099">
        <v>39</v>
      </c>
      <c r="Q1099">
        <f t="shared" si="71"/>
        <v>119</v>
      </c>
      <c r="R1099">
        <v>3</v>
      </c>
      <c r="S1099">
        <v>8</v>
      </c>
      <c r="T1099">
        <f>Table[[#This Row],[NumWebPurchases]]+Table[[#This Row],[NumStorePurchases]]</f>
        <v>11</v>
      </c>
    </row>
    <row r="1100" spans="1:20" ht="12.5">
      <c r="A1100" s="6">
        <v>1098</v>
      </c>
      <c r="B1100" s="6">
        <v>1109</v>
      </c>
      <c r="C1100" s="6">
        <v>1982</v>
      </c>
      <c r="D1100" s="6">
        <f t="shared" si="68"/>
        <v>43</v>
      </c>
      <c r="E1100" s="7" t="s">
        <v>14</v>
      </c>
      <c r="F1100" s="7" t="s">
        <v>11</v>
      </c>
      <c r="G1100" s="6">
        <v>27590</v>
      </c>
      <c r="H1100" s="6" t="str" cm="1">
        <f t="array" ref="H1100">_xlfn.IFS(
  G1100 &lt; 25000, "Low",
  AND(G1100 &gt;= 25000, G1100 &lt; 75000), "Medium",
  AND(G1100 &gt;= 75000, G1100 &lt; 150000), "High",
  G1100 &gt;= 150000, "Very High"
)</f>
        <v>Medium</v>
      </c>
      <c r="I1100" s="6">
        <v>1</v>
      </c>
      <c r="J1100" s="6">
        <v>0</v>
      </c>
      <c r="K1100" s="6">
        <f t="shared" si="69"/>
        <v>1</v>
      </c>
      <c r="L1100" s="8">
        <v>41387</v>
      </c>
      <c r="M1100" t="str">
        <f t="shared" ca="1" si="70"/>
        <v>12 years, 10 months</v>
      </c>
      <c r="N1100" s="6">
        <v>38</v>
      </c>
      <c r="O1100">
        <v>0</v>
      </c>
      <c r="P1100">
        <v>0</v>
      </c>
      <c r="Q1100">
        <f t="shared" si="71"/>
        <v>0</v>
      </c>
      <c r="R1100">
        <v>1</v>
      </c>
      <c r="S1100">
        <v>2</v>
      </c>
      <c r="T1100">
        <f>Table[[#This Row],[NumWebPurchases]]+Table[[#This Row],[NumStorePurchases]]</f>
        <v>3</v>
      </c>
    </row>
    <row r="1101" spans="1:20" ht="12.5">
      <c r="A1101" s="6">
        <v>1099</v>
      </c>
      <c r="B1101" s="6">
        <v>6001</v>
      </c>
      <c r="C1101" s="6">
        <v>1979</v>
      </c>
      <c r="D1101" s="6">
        <f t="shared" si="68"/>
        <v>46</v>
      </c>
      <c r="E1101" s="7" t="s">
        <v>9</v>
      </c>
      <c r="F1101" s="7" t="s">
        <v>13</v>
      </c>
      <c r="G1101" s="6">
        <v>56775</v>
      </c>
      <c r="H1101" s="6" t="str" cm="1">
        <f t="array" ref="H1101">_xlfn.IFS(
  G1101 &lt; 25000, "Low",
  AND(G1101 &gt;= 25000, G1101 &lt; 75000), "Medium",
  AND(G1101 &gt;= 75000, G1101 &lt; 150000), "High",
  G1101 &gt;= 150000, "Very High"
)</f>
        <v>Medium</v>
      </c>
      <c r="I1101" s="6">
        <v>0</v>
      </c>
      <c r="J1101" s="6">
        <v>1</v>
      </c>
      <c r="K1101" s="6">
        <f t="shared" si="69"/>
        <v>1</v>
      </c>
      <c r="L1101" s="8">
        <v>41276</v>
      </c>
      <c r="M1101" t="str">
        <f t="shared" ca="1" si="70"/>
        <v>13 years, 2 months</v>
      </c>
      <c r="N1101" s="6">
        <v>62</v>
      </c>
      <c r="O1101">
        <v>35</v>
      </c>
      <c r="P1101">
        <v>35</v>
      </c>
      <c r="Q1101">
        <f t="shared" si="71"/>
        <v>70</v>
      </c>
      <c r="R1101">
        <v>5</v>
      </c>
      <c r="S1101">
        <v>10</v>
      </c>
      <c r="T1101">
        <f>Table[[#This Row],[NumWebPurchases]]+Table[[#This Row],[NumStorePurchases]]</f>
        <v>15</v>
      </c>
    </row>
    <row r="1102" spans="1:20" ht="12.5">
      <c r="A1102" s="6">
        <v>1100</v>
      </c>
      <c r="B1102" s="6">
        <v>5538</v>
      </c>
      <c r="C1102" s="6">
        <v>1975</v>
      </c>
      <c r="D1102" s="6">
        <f t="shared" si="68"/>
        <v>50</v>
      </c>
      <c r="E1102" s="7" t="s">
        <v>9</v>
      </c>
      <c r="F1102" s="7" t="s">
        <v>15</v>
      </c>
      <c r="G1102" s="6">
        <v>83829</v>
      </c>
      <c r="H1102" s="6" t="str" cm="1">
        <f t="array" ref="H1102">_xlfn.IFS(
  G1102 &lt; 25000, "Low",
  AND(G1102 &gt;= 25000, G1102 &lt; 75000), "Medium",
  AND(G1102 &gt;= 75000, G1102 &lt; 150000), "High",
  G1102 &gt;= 150000, "Very High"
)</f>
        <v>High</v>
      </c>
      <c r="I1102" s="6">
        <v>0</v>
      </c>
      <c r="J1102" s="6">
        <v>0</v>
      </c>
      <c r="K1102" s="6">
        <f t="shared" si="69"/>
        <v>0</v>
      </c>
      <c r="L1102" s="8">
        <v>41555</v>
      </c>
      <c r="M1102" t="str">
        <f t="shared" ca="1" si="70"/>
        <v>12 years, 4 months</v>
      </c>
      <c r="N1102" s="6">
        <v>78</v>
      </c>
      <c r="O1102">
        <v>161</v>
      </c>
      <c r="P1102">
        <v>161</v>
      </c>
      <c r="Q1102">
        <f t="shared" si="71"/>
        <v>322</v>
      </c>
      <c r="R1102">
        <v>4</v>
      </c>
      <c r="S1102">
        <v>6</v>
      </c>
      <c r="T1102">
        <f>Table[[#This Row],[NumWebPurchases]]+Table[[#This Row],[NumStorePurchases]]</f>
        <v>10</v>
      </c>
    </row>
    <row r="1103" spans="1:20" ht="12.5">
      <c r="A1103" s="6">
        <v>1101</v>
      </c>
      <c r="B1103" s="6">
        <v>10552</v>
      </c>
      <c r="C1103" s="6">
        <v>1979</v>
      </c>
      <c r="D1103" s="6">
        <f t="shared" si="68"/>
        <v>46</v>
      </c>
      <c r="E1103" s="7" t="s">
        <v>17</v>
      </c>
      <c r="F1103" s="7" t="s">
        <v>13</v>
      </c>
      <c r="G1103" s="6">
        <v>54210</v>
      </c>
      <c r="H1103" s="6" t="str" cm="1">
        <f t="array" ref="H1103">_xlfn.IFS(
  G1103 &lt; 25000, "Low",
  AND(G1103 &gt;= 25000, G1103 &lt; 75000), "Medium",
  AND(G1103 &gt;= 75000, G1103 &lt; 150000), "High",
  G1103 &gt;= 150000, "Very High"
)</f>
        <v>Medium</v>
      </c>
      <c r="I1103" s="6">
        <v>0</v>
      </c>
      <c r="J1103" s="6">
        <v>1</v>
      </c>
      <c r="K1103" s="6">
        <f t="shared" si="69"/>
        <v>1</v>
      </c>
      <c r="L1103" s="8">
        <v>41414</v>
      </c>
      <c r="M1103" t="str">
        <f t="shared" ca="1" si="70"/>
        <v>12 years, 9 months</v>
      </c>
      <c r="N1103" s="6">
        <v>18</v>
      </c>
      <c r="O1103">
        <v>54</v>
      </c>
      <c r="P1103">
        <v>9</v>
      </c>
      <c r="Q1103">
        <f t="shared" si="71"/>
        <v>63</v>
      </c>
      <c r="R1103">
        <v>4</v>
      </c>
      <c r="S1103">
        <v>7</v>
      </c>
      <c r="T1103">
        <f>Table[[#This Row],[NumWebPurchases]]+Table[[#This Row],[NumStorePurchases]]</f>
        <v>11</v>
      </c>
    </row>
    <row r="1104" spans="1:20" ht="12.5">
      <c r="A1104" s="6">
        <v>1102</v>
      </c>
      <c r="B1104" s="6">
        <v>1545</v>
      </c>
      <c r="C1104" s="6">
        <v>1986</v>
      </c>
      <c r="D1104" s="6">
        <f t="shared" si="68"/>
        <v>39</v>
      </c>
      <c r="E1104" s="7" t="s">
        <v>9</v>
      </c>
      <c r="F1104" s="7" t="s">
        <v>13</v>
      </c>
      <c r="G1104" s="6">
        <v>38508</v>
      </c>
      <c r="H1104" s="6" t="str" cm="1">
        <f t="array" ref="H1104">_xlfn.IFS(
  G1104 &lt; 25000, "Low",
  AND(G1104 &gt;= 25000, G1104 &lt; 75000), "Medium",
  AND(G1104 &gt;= 75000, G1104 &lt; 150000), "High",
  G1104 &gt;= 150000, "Very High"
)</f>
        <v>Medium</v>
      </c>
      <c r="I1104" s="6">
        <v>1</v>
      </c>
      <c r="J1104" s="6">
        <v>0</v>
      </c>
      <c r="K1104" s="6">
        <f t="shared" si="69"/>
        <v>1</v>
      </c>
      <c r="L1104" s="8">
        <v>41488</v>
      </c>
      <c r="M1104" t="str">
        <f t="shared" ca="1" si="70"/>
        <v>12 years, 7 months</v>
      </c>
      <c r="N1104" s="6">
        <v>95</v>
      </c>
      <c r="O1104">
        <v>19</v>
      </c>
      <c r="P1104">
        <v>19</v>
      </c>
      <c r="Q1104">
        <f t="shared" si="71"/>
        <v>38</v>
      </c>
      <c r="R1104">
        <v>7</v>
      </c>
      <c r="S1104">
        <v>5</v>
      </c>
      <c r="T1104">
        <f>Table[[#This Row],[NumWebPurchases]]+Table[[#This Row],[NumStorePurchases]]</f>
        <v>12</v>
      </c>
    </row>
    <row r="1105" spans="1:20" ht="12.5">
      <c r="A1105" s="6">
        <v>1103</v>
      </c>
      <c r="B1105" s="6">
        <v>7409</v>
      </c>
      <c r="C1105" s="6">
        <v>1970</v>
      </c>
      <c r="D1105" s="6">
        <f t="shared" si="68"/>
        <v>55</v>
      </c>
      <c r="E1105" s="7" t="s">
        <v>9</v>
      </c>
      <c r="F1105" s="7" t="s">
        <v>11</v>
      </c>
      <c r="G1105" s="6">
        <v>53187</v>
      </c>
      <c r="H1105" s="6" t="str" cm="1">
        <f t="array" ref="H1105">_xlfn.IFS(
  G1105 &lt; 25000, "Low",
  AND(G1105 &gt;= 25000, G1105 &lt; 75000), "Medium",
  AND(G1105 &gt;= 75000, G1105 &lt; 150000), "High",
  G1105 &gt;= 150000, "Very High"
)</f>
        <v>Medium</v>
      </c>
      <c r="I1105" s="6">
        <v>1</v>
      </c>
      <c r="J1105" s="6">
        <v>0</v>
      </c>
      <c r="K1105" s="6">
        <f t="shared" si="69"/>
        <v>1</v>
      </c>
      <c r="L1105" s="9">
        <v>41573</v>
      </c>
      <c r="M1105" t="str">
        <f t="shared" ca="1" si="70"/>
        <v>12 years, 4 months</v>
      </c>
      <c r="N1105" s="6">
        <v>66</v>
      </c>
      <c r="O1105">
        <v>2</v>
      </c>
      <c r="P1105">
        <v>7</v>
      </c>
      <c r="Q1105">
        <f t="shared" si="71"/>
        <v>9</v>
      </c>
      <c r="R1105">
        <v>4</v>
      </c>
      <c r="S1105">
        <v>6</v>
      </c>
      <c r="T1105">
        <f>Table[[#This Row],[NumWebPurchases]]+Table[[#This Row],[NumStorePurchases]]</f>
        <v>10</v>
      </c>
    </row>
    <row r="1106" spans="1:20" ht="12.5">
      <c r="A1106" s="6">
        <v>1104</v>
      </c>
      <c r="B1106" s="6">
        <v>4444</v>
      </c>
      <c r="C1106" s="6">
        <v>1972</v>
      </c>
      <c r="D1106" s="6">
        <f t="shared" si="68"/>
        <v>53</v>
      </c>
      <c r="E1106" s="7" t="s">
        <v>9</v>
      </c>
      <c r="F1106" s="7" t="s">
        <v>13</v>
      </c>
      <c r="G1106" s="6">
        <v>30023</v>
      </c>
      <c r="H1106" s="6" t="str" cm="1">
        <f t="array" ref="H1106">_xlfn.IFS(
  G1106 &lt; 25000, "Low",
  AND(G1106 &gt;= 25000, G1106 &lt; 75000), "Medium",
  AND(G1106 &gt;= 75000, G1106 &lt; 150000), "High",
  G1106 &gt;= 150000, "Very High"
)</f>
        <v>Medium</v>
      </c>
      <c r="I1106" s="6">
        <v>1</v>
      </c>
      <c r="J1106" s="6">
        <v>0</v>
      </c>
      <c r="K1106" s="6">
        <f t="shared" si="69"/>
        <v>1</v>
      </c>
      <c r="L1106" s="8">
        <v>41722</v>
      </c>
      <c r="M1106" t="str">
        <f t="shared" ca="1" si="70"/>
        <v>11 years, 11 months</v>
      </c>
      <c r="N1106" s="6">
        <v>28</v>
      </c>
      <c r="O1106">
        <v>0</v>
      </c>
      <c r="P1106">
        <v>6</v>
      </c>
      <c r="Q1106">
        <f t="shared" si="71"/>
        <v>6</v>
      </c>
      <c r="R1106">
        <v>2</v>
      </c>
      <c r="S1106">
        <v>3</v>
      </c>
      <c r="T1106">
        <f>Table[[#This Row],[NumWebPurchases]]+Table[[#This Row],[NumStorePurchases]]</f>
        <v>5</v>
      </c>
    </row>
    <row r="1107" spans="1:20" ht="12.5">
      <c r="A1107" s="6">
        <v>1105</v>
      </c>
      <c r="B1107" s="6">
        <v>146</v>
      </c>
      <c r="C1107" s="6">
        <v>1960</v>
      </c>
      <c r="D1107" s="6">
        <f t="shared" si="68"/>
        <v>65</v>
      </c>
      <c r="E1107" s="7" t="s">
        <v>12</v>
      </c>
      <c r="F1107" s="7" t="s">
        <v>10</v>
      </c>
      <c r="G1107" s="6">
        <v>76045</v>
      </c>
      <c r="H1107" s="6" t="str" cm="1">
        <f t="array" ref="H1107">_xlfn.IFS(
  G1107 &lt; 25000, "Low",
  AND(G1107 &gt;= 25000, G1107 &lt; 75000), "Medium",
  AND(G1107 &gt;= 75000, G1107 &lt; 150000), "High",
  G1107 &gt;= 150000, "Very High"
)</f>
        <v>High</v>
      </c>
      <c r="I1107" s="6">
        <v>0</v>
      </c>
      <c r="J1107" s="6">
        <v>0</v>
      </c>
      <c r="K1107" s="6">
        <f t="shared" si="69"/>
        <v>0</v>
      </c>
      <c r="L1107" s="9">
        <v>41593</v>
      </c>
      <c r="M1107" t="str">
        <f t="shared" ca="1" si="70"/>
        <v>12 years, 3 months</v>
      </c>
      <c r="N1107" s="6">
        <v>78</v>
      </c>
      <c r="O1107">
        <v>53</v>
      </c>
      <c r="P1107">
        <v>93</v>
      </c>
      <c r="Q1107">
        <f t="shared" si="71"/>
        <v>146</v>
      </c>
      <c r="R1107">
        <v>4</v>
      </c>
      <c r="S1107">
        <v>11</v>
      </c>
      <c r="T1107">
        <f>Table[[#This Row],[NumWebPurchases]]+Table[[#This Row],[NumStorePurchases]]</f>
        <v>15</v>
      </c>
    </row>
    <row r="1108" spans="1:20" ht="12.5">
      <c r="A1108" s="6">
        <v>1106</v>
      </c>
      <c r="B1108" s="6">
        <v>6271</v>
      </c>
      <c r="C1108" s="6">
        <v>1952</v>
      </c>
      <c r="D1108" s="6">
        <f t="shared" si="68"/>
        <v>73</v>
      </c>
      <c r="E1108" s="7" t="s">
        <v>12</v>
      </c>
      <c r="F1108" s="7" t="s">
        <v>13</v>
      </c>
      <c r="G1108" s="6">
        <v>50870</v>
      </c>
      <c r="H1108" s="6" t="str" cm="1">
        <f t="array" ref="H1108">_xlfn.IFS(
  G1108 &lt; 25000, "Low",
  AND(G1108 &gt;= 25000, G1108 &lt; 75000), "Medium",
  AND(G1108 &gt;= 75000, G1108 &lt; 150000), "High",
  G1108 &gt;= 150000, "Very High"
)</f>
        <v>Medium</v>
      </c>
      <c r="I1108" s="6">
        <v>0</v>
      </c>
      <c r="J1108" s="6">
        <v>1</v>
      </c>
      <c r="K1108" s="6">
        <f t="shared" si="69"/>
        <v>1</v>
      </c>
      <c r="L1108" s="8">
        <v>41809</v>
      </c>
      <c r="M1108" t="str">
        <f t="shared" ca="1" si="70"/>
        <v>11 years, 8 months</v>
      </c>
      <c r="N1108" s="6">
        <v>13</v>
      </c>
      <c r="O1108">
        <v>0</v>
      </c>
      <c r="P1108">
        <v>0</v>
      </c>
      <c r="Q1108">
        <f t="shared" si="71"/>
        <v>0</v>
      </c>
      <c r="R1108">
        <v>2</v>
      </c>
      <c r="S1108">
        <v>3</v>
      </c>
      <c r="T1108">
        <f>Table[[#This Row],[NumWebPurchases]]+Table[[#This Row],[NumStorePurchases]]</f>
        <v>5</v>
      </c>
    </row>
    <row r="1109" spans="1:20" ht="12.5">
      <c r="A1109" s="6">
        <v>1107</v>
      </c>
      <c r="B1109" s="6">
        <v>10065</v>
      </c>
      <c r="C1109" s="6">
        <v>1970</v>
      </c>
      <c r="D1109" s="6">
        <f t="shared" si="68"/>
        <v>55</v>
      </c>
      <c r="E1109" s="7" t="s">
        <v>17</v>
      </c>
      <c r="F1109" s="7" t="s">
        <v>13</v>
      </c>
      <c r="G1109" s="6">
        <v>15315</v>
      </c>
      <c r="H1109" s="6" t="str" cm="1">
        <f t="array" ref="H1109">_xlfn.IFS(
  G1109 &lt; 25000, "Low",
  AND(G1109 &gt;= 25000, G1109 &lt; 75000), "Medium",
  AND(G1109 &gt;= 75000, G1109 &lt; 150000), "High",
  G1109 &gt;= 150000, "Very High"
)</f>
        <v>Low</v>
      </c>
      <c r="I1109" s="6">
        <v>0</v>
      </c>
      <c r="J1109" s="6">
        <v>0</v>
      </c>
      <c r="K1109" s="6">
        <f t="shared" si="69"/>
        <v>0</v>
      </c>
      <c r="L1109" s="8">
        <v>41489</v>
      </c>
      <c r="M1109" t="str">
        <f t="shared" ca="1" si="70"/>
        <v>12 years, 7 months</v>
      </c>
      <c r="N1109" s="6">
        <v>27</v>
      </c>
      <c r="O1109">
        <v>4</v>
      </c>
      <c r="P1109">
        <v>8</v>
      </c>
      <c r="Q1109">
        <f t="shared" si="71"/>
        <v>12</v>
      </c>
      <c r="R1109">
        <v>2</v>
      </c>
      <c r="S1109">
        <v>4</v>
      </c>
      <c r="T1109">
        <f>Table[[#This Row],[NumWebPurchases]]+Table[[#This Row],[NumStorePurchases]]</f>
        <v>6</v>
      </c>
    </row>
    <row r="1110" spans="1:20" ht="12.5">
      <c r="A1110" s="6">
        <v>1108</v>
      </c>
      <c r="B1110" s="6">
        <v>4741</v>
      </c>
      <c r="C1110" s="6">
        <v>1974</v>
      </c>
      <c r="D1110" s="6">
        <f t="shared" si="68"/>
        <v>51</v>
      </c>
      <c r="E1110" s="7" t="s">
        <v>17</v>
      </c>
      <c r="F1110" s="7" t="s">
        <v>13</v>
      </c>
      <c r="G1110" s="6">
        <v>65463</v>
      </c>
      <c r="H1110" s="6" t="str" cm="1">
        <f t="array" ref="H1110">_xlfn.IFS(
  G1110 &lt; 25000, "Low",
  AND(G1110 &gt;= 25000, G1110 &lt; 75000), "Medium",
  AND(G1110 &gt;= 75000, G1110 &lt; 150000), "High",
  G1110 &gt;= 150000, "Very High"
)</f>
        <v>Medium</v>
      </c>
      <c r="I1110" s="6">
        <v>1</v>
      </c>
      <c r="J1110" s="6">
        <v>0</v>
      </c>
      <c r="K1110" s="6">
        <f t="shared" si="69"/>
        <v>1</v>
      </c>
      <c r="L1110" s="8">
        <v>41669</v>
      </c>
      <c r="M1110" t="str">
        <f t="shared" ca="1" si="70"/>
        <v>12 years, 1 months</v>
      </c>
      <c r="N1110" s="6">
        <v>17</v>
      </c>
      <c r="O1110">
        <v>32</v>
      </c>
      <c r="P1110">
        <v>32</v>
      </c>
      <c r="Q1110">
        <f t="shared" si="71"/>
        <v>64</v>
      </c>
      <c r="R1110">
        <v>6</v>
      </c>
      <c r="S1110">
        <v>9</v>
      </c>
      <c r="T1110">
        <f>Table[[#This Row],[NumWebPurchases]]+Table[[#This Row],[NumStorePurchases]]</f>
        <v>15</v>
      </c>
    </row>
    <row r="1111" spans="1:20" ht="12.5">
      <c r="A1111" s="6">
        <v>1109</v>
      </c>
      <c r="B1111" s="6">
        <v>246</v>
      </c>
      <c r="C1111" s="6">
        <v>1965</v>
      </c>
      <c r="D1111" s="6">
        <f t="shared" si="68"/>
        <v>60</v>
      </c>
      <c r="E1111" s="7" t="s">
        <v>9</v>
      </c>
      <c r="F1111" s="7" t="s">
        <v>13</v>
      </c>
      <c r="G1111" s="6">
        <v>66480</v>
      </c>
      <c r="H1111" s="6" t="str" cm="1">
        <f t="array" ref="H1111">_xlfn.IFS(
  G1111 &lt; 25000, "Low",
  AND(G1111 &gt;= 25000, G1111 &lt; 75000), "Medium",
  AND(G1111 &gt;= 75000, G1111 &lt; 150000), "High",
  G1111 &gt;= 150000, "Very High"
)</f>
        <v>Medium</v>
      </c>
      <c r="I1111" s="6">
        <v>1</v>
      </c>
      <c r="J1111" s="6">
        <v>1</v>
      </c>
      <c r="K1111" s="6">
        <f t="shared" si="69"/>
        <v>2</v>
      </c>
      <c r="L1111" s="8">
        <v>41790</v>
      </c>
      <c r="M1111" t="str">
        <f t="shared" ca="1" si="70"/>
        <v>11 years, 9 months</v>
      </c>
      <c r="N1111" s="6">
        <v>71</v>
      </c>
      <c r="O1111">
        <v>9</v>
      </c>
      <c r="P1111">
        <v>21</v>
      </c>
      <c r="Q1111">
        <f t="shared" si="71"/>
        <v>30</v>
      </c>
      <c r="R1111">
        <v>4</v>
      </c>
      <c r="S1111">
        <v>7</v>
      </c>
      <c r="T1111">
        <f>Table[[#This Row],[NumWebPurchases]]+Table[[#This Row],[NumStorePurchases]]</f>
        <v>11</v>
      </c>
    </row>
    <row r="1112" spans="1:20" ht="12.5">
      <c r="A1112" s="6">
        <v>1110</v>
      </c>
      <c r="B1112" s="6">
        <v>375</v>
      </c>
      <c r="C1112" s="6">
        <v>1954</v>
      </c>
      <c r="D1112" s="6">
        <f t="shared" si="68"/>
        <v>71</v>
      </c>
      <c r="E1112" s="7" t="s">
        <v>9</v>
      </c>
      <c r="F1112" s="7" t="s">
        <v>15</v>
      </c>
      <c r="G1112" s="6">
        <v>76773</v>
      </c>
      <c r="H1112" s="6" t="str" cm="1">
        <f t="array" ref="H1112">_xlfn.IFS(
  G1112 &lt; 25000, "Low",
  AND(G1112 &gt;= 25000, G1112 &lt; 75000), "Medium",
  AND(G1112 &gt;= 75000, G1112 &lt; 150000), "High",
  G1112 &gt;= 150000, "Very High"
)</f>
        <v>High</v>
      </c>
      <c r="I1112" s="6">
        <v>0</v>
      </c>
      <c r="J1112" s="6">
        <v>0</v>
      </c>
      <c r="K1112" s="6">
        <f t="shared" si="69"/>
        <v>0</v>
      </c>
      <c r="L1112" s="8">
        <v>41330</v>
      </c>
      <c r="M1112" t="str">
        <f t="shared" ca="1" si="70"/>
        <v>13 years, 0 months</v>
      </c>
      <c r="N1112" s="6">
        <v>79</v>
      </c>
      <c r="O1112">
        <v>56</v>
      </c>
      <c r="P1112">
        <v>33</v>
      </c>
      <c r="Q1112">
        <f t="shared" si="71"/>
        <v>89</v>
      </c>
      <c r="R1112">
        <v>2</v>
      </c>
      <c r="S1112">
        <v>11</v>
      </c>
      <c r="T1112">
        <f>Table[[#This Row],[NumWebPurchases]]+Table[[#This Row],[NumStorePurchases]]</f>
        <v>13</v>
      </c>
    </row>
    <row r="1113" spans="1:20" ht="12.5">
      <c r="A1113" s="6">
        <v>1111</v>
      </c>
      <c r="B1113" s="6">
        <v>1524</v>
      </c>
      <c r="C1113" s="6">
        <v>1983</v>
      </c>
      <c r="D1113" s="6">
        <f t="shared" si="68"/>
        <v>42</v>
      </c>
      <c r="E1113" s="7" t="s">
        <v>17</v>
      </c>
      <c r="F1113" s="7" t="s">
        <v>10</v>
      </c>
      <c r="G1113" s="6">
        <v>81698</v>
      </c>
      <c r="H1113" s="6" t="str" cm="1">
        <f t="array" ref="H1113">_xlfn.IFS(
  G1113 &lt; 25000, "Low",
  AND(G1113 &gt;= 25000, G1113 &lt; 75000), "Medium",
  AND(G1113 &gt;= 75000, G1113 &lt; 150000), "High",
  G1113 &gt;= 150000, "Very High"
)</f>
        <v>High</v>
      </c>
      <c r="I1113" s="6">
        <v>0</v>
      </c>
      <c r="J1113" s="6">
        <v>0</v>
      </c>
      <c r="K1113" s="6">
        <f t="shared" si="69"/>
        <v>0</v>
      </c>
      <c r="L1113" s="8">
        <v>41334</v>
      </c>
      <c r="M1113" t="str">
        <f t="shared" ca="1" si="70"/>
        <v>13 years, 0 months</v>
      </c>
      <c r="N1113" s="6">
        <v>1</v>
      </c>
      <c r="O1113">
        <v>45</v>
      </c>
      <c r="P1113">
        <v>160</v>
      </c>
      <c r="Q1113">
        <f t="shared" si="71"/>
        <v>205</v>
      </c>
      <c r="R1113">
        <v>8</v>
      </c>
      <c r="S1113">
        <v>5</v>
      </c>
      <c r="T1113">
        <f>Table[[#This Row],[NumWebPurchases]]+Table[[#This Row],[NumStorePurchases]]</f>
        <v>13</v>
      </c>
    </row>
    <row r="1114" spans="1:20" ht="12.5">
      <c r="A1114" s="6">
        <v>1112</v>
      </c>
      <c r="B1114" s="6">
        <v>10022</v>
      </c>
      <c r="C1114" s="6">
        <v>1973</v>
      </c>
      <c r="D1114" s="6">
        <f t="shared" si="68"/>
        <v>52</v>
      </c>
      <c r="E1114" s="7" t="s">
        <v>12</v>
      </c>
      <c r="F1114" s="7" t="s">
        <v>10</v>
      </c>
      <c r="G1114" s="6">
        <v>54466</v>
      </c>
      <c r="H1114" s="6" t="str" cm="1">
        <f t="array" ref="H1114">_xlfn.IFS(
  G1114 &lt; 25000, "Low",
  AND(G1114 &gt;= 25000, G1114 &lt; 75000), "Medium",
  AND(G1114 &gt;= 75000, G1114 &lt; 150000), "High",
  G1114 &gt;= 150000, "Very High"
)</f>
        <v>Medium</v>
      </c>
      <c r="I1114" s="6">
        <v>1</v>
      </c>
      <c r="J1114" s="6">
        <v>1</v>
      </c>
      <c r="K1114" s="6">
        <f t="shared" si="69"/>
        <v>2</v>
      </c>
      <c r="L1114" s="8">
        <v>41679</v>
      </c>
      <c r="M1114" t="str">
        <f t="shared" ca="1" si="70"/>
        <v>12 years, 0 months</v>
      </c>
      <c r="N1114" s="6">
        <v>78</v>
      </c>
      <c r="O1114">
        <v>0</v>
      </c>
      <c r="P1114">
        <v>0</v>
      </c>
      <c r="Q1114">
        <f t="shared" si="71"/>
        <v>0</v>
      </c>
      <c r="R1114">
        <v>1</v>
      </c>
      <c r="S1114">
        <v>2</v>
      </c>
      <c r="T1114">
        <f>Table[[#This Row],[NumWebPurchases]]+Table[[#This Row],[NumStorePurchases]]</f>
        <v>3</v>
      </c>
    </row>
    <row r="1115" spans="1:20" ht="12.5">
      <c r="A1115" s="6">
        <v>1113</v>
      </c>
      <c r="B1115" s="6">
        <v>7451</v>
      </c>
      <c r="C1115" s="6">
        <v>1960</v>
      </c>
      <c r="D1115" s="6">
        <f t="shared" si="68"/>
        <v>65</v>
      </c>
      <c r="E1115" s="7" t="s">
        <v>14</v>
      </c>
      <c r="F1115" s="7" t="s">
        <v>10</v>
      </c>
      <c r="G1115" s="6">
        <v>98777</v>
      </c>
      <c r="H1115" s="6" t="str" cm="1">
        <f t="array" ref="H1115">_xlfn.IFS(
  G1115 &lt; 25000, "Low",
  AND(G1115 &gt;= 25000, G1115 &lt; 75000), "Medium",
  AND(G1115 &gt;= 75000, G1115 &lt; 150000), "High",
  G1115 &gt;= 150000, "Very High"
)</f>
        <v>High</v>
      </c>
      <c r="I1115" s="6">
        <v>0</v>
      </c>
      <c r="J1115" s="6">
        <v>0</v>
      </c>
      <c r="K1115" s="6">
        <f t="shared" si="69"/>
        <v>0</v>
      </c>
      <c r="L1115" s="8">
        <v>41687</v>
      </c>
      <c r="M1115" t="str">
        <f t="shared" ca="1" si="70"/>
        <v>12 years, 0 months</v>
      </c>
      <c r="N1115" s="6">
        <v>23</v>
      </c>
      <c r="O1115">
        <v>19</v>
      </c>
      <c r="P1115">
        <v>115</v>
      </c>
      <c r="Q1115">
        <f t="shared" si="71"/>
        <v>134</v>
      </c>
      <c r="R1115">
        <v>4</v>
      </c>
      <c r="S1115">
        <v>9</v>
      </c>
      <c r="T1115">
        <f>Table[[#This Row],[NumWebPurchases]]+Table[[#This Row],[NumStorePurchases]]</f>
        <v>13</v>
      </c>
    </row>
    <row r="1116" spans="1:20" ht="12.5">
      <c r="A1116" s="6">
        <v>1114</v>
      </c>
      <c r="B1116" s="6">
        <v>11010</v>
      </c>
      <c r="C1116" s="6">
        <v>1984</v>
      </c>
      <c r="D1116" s="6">
        <f t="shared" si="68"/>
        <v>41</v>
      </c>
      <c r="E1116" s="7" t="s">
        <v>12</v>
      </c>
      <c r="F1116" s="7" t="s">
        <v>10</v>
      </c>
      <c r="G1116" s="6">
        <v>16269</v>
      </c>
      <c r="H1116" s="6" t="str" cm="1">
        <f t="array" ref="H1116">_xlfn.IFS(
  G1116 &lt; 25000, "Low",
  AND(G1116 &gt;= 25000, G1116 &lt; 75000), "Medium",
  AND(G1116 &gt;= 75000, G1116 &lt; 150000), "High",
  G1116 &gt;= 150000, "Very High"
)</f>
        <v>Low</v>
      </c>
      <c r="I1116" s="6">
        <v>1</v>
      </c>
      <c r="J1116" s="6">
        <v>0</v>
      </c>
      <c r="K1116" s="6">
        <f t="shared" si="69"/>
        <v>1</v>
      </c>
      <c r="L1116" s="8">
        <v>41516</v>
      </c>
      <c r="M1116" t="str">
        <f t="shared" ca="1" si="70"/>
        <v>12 years, 6 months</v>
      </c>
      <c r="N1116" s="6">
        <v>75</v>
      </c>
      <c r="O1116">
        <v>3</v>
      </c>
      <c r="P1116">
        <v>1</v>
      </c>
      <c r="Q1116">
        <f t="shared" si="71"/>
        <v>4</v>
      </c>
      <c r="R1116">
        <v>3</v>
      </c>
      <c r="S1116">
        <v>3</v>
      </c>
      <c r="T1116">
        <f>Table[[#This Row],[NumWebPurchases]]+Table[[#This Row],[NumStorePurchases]]</f>
        <v>6</v>
      </c>
    </row>
    <row r="1117" spans="1:20" ht="12.5">
      <c r="A1117" s="6">
        <v>1115</v>
      </c>
      <c r="B1117" s="6">
        <v>4356</v>
      </c>
      <c r="C1117" s="6">
        <v>1971</v>
      </c>
      <c r="D1117" s="6">
        <f t="shared" si="68"/>
        <v>54</v>
      </c>
      <c r="E1117" s="7" t="s">
        <v>9</v>
      </c>
      <c r="F1117" s="7" t="s">
        <v>11</v>
      </c>
      <c r="G1117" s="6">
        <v>71819</v>
      </c>
      <c r="H1117" s="6" t="str" cm="1">
        <f t="array" ref="H1117">_xlfn.IFS(
  G1117 &lt; 25000, "Low",
  AND(G1117 &gt;= 25000, G1117 &lt; 75000), "Medium",
  AND(G1117 &gt;= 75000, G1117 &lt; 150000), "High",
  G1117 &gt;= 150000, "Very High"
)</f>
        <v>Medium</v>
      </c>
      <c r="I1117" s="6">
        <v>0</v>
      </c>
      <c r="J1117" s="6">
        <v>1</v>
      </c>
      <c r="K1117" s="6">
        <f t="shared" si="69"/>
        <v>1</v>
      </c>
      <c r="L1117" s="8">
        <v>41514</v>
      </c>
      <c r="M1117" t="str">
        <f t="shared" ca="1" si="70"/>
        <v>12 years, 6 months</v>
      </c>
      <c r="N1117" s="6">
        <v>70</v>
      </c>
      <c r="O1117">
        <v>28</v>
      </c>
      <c r="P1117">
        <v>14</v>
      </c>
      <c r="Q1117">
        <f t="shared" si="71"/>
        <v>42</v>
      </c>
      <c r="R1117">
        <v>3</v>
      </c>
      <c r="S1117">
        <v>5</v>
      </c>
      <c r="T1117">
        <f>Table[[#This Row],[NumWebPurchases]]+Table[[#This Row],[NumStorePurchases]]</f>
        <v>8</v>
      </c>
    </row>
    <row r="1118" spans="1:20" ht="12.5">
      <c r="A1118" s="6">
        <v>1116</v>
      </c>
      <c r="B1118" s="6">
        <v>3885</v>
      </c>
      <c r="C1118" s="6">
        <v>1983</v>
      </c>
      <c r="D1118" s="6">
        <f t="shared" si="68"/>
        <v>42</v>
      </c>
      <c r="E1118" s="7" t="s">
        <v>12</v>
      </c>
      <c r="F1118" s="7" t="s">
        <v>13</v>
      </c>
      <c r="G1118" s="6">
        <v>33569</v>
      </c>
      <c r="H1118" s="6" t="str" cm="1">
        <f t="array" ref="H1118">_xlfn.IFS(
  G1118 &lt; 25000, "Low",
  AND(G1118 &gt;= 25000, G1118 &lt; 75000), "Medium",
  AND(G1118 &gt;= 75000, G1118 &lt; 150000), "High",
  G1118 &gt;= 150000, "Very High"
)</f>
        <v>Medium</v>
      </c>
      <c r="I1118" s="6">
        <v>1</v>
      </c>
      <c r="J1118" s="6">
        <v>0</v>
      </c>
      <c r="K1118" s="6">
        <f t="shared" si="69"/>
        <v>1</v>
      </c>
      <c r="L1118" s="9">
        <v>41563</v>
      </c>
      <c r="M1118" t="str">
        <f t="shared" ca="1" si="70"/>
        <v>12 years, 4 months</v>
      </c>
      <c r="N1118" s="6">
        <v>10</v>
      </c>
      <c r="O1118">
        <v>2</v>
      </c>
      <c r="P1118">
        <v>0</v>
      </c>
      <c r="Q1118">
        <f t="shared" si="71"/>
        <v>2</v>
      </c>
      <c r="R1118">
        <v>1</v>
      </c>
      <c r="S1118">
        <v>2</v>
      </c>
      <c r="T1118">
        <f>Table[[#This Row],[NumWebPurchases]]+Table[[#This Row],[NumStorePurchases]]</f>
        <v>3</v>
      </c>
    </row>
    <row r="1119" spans="1:20" ht="12.5">
      <c r="A1119" s="6">
        <v>1117</v>
      </c>
      <c r="B1119" s="6">
        <v>1175</v>
      </c>
      <c r="C1119" s="6">
        <v>1983</v>
      </c>
      <c r="D1119" s="6">
        <f t="shared" si="68"/>
        <v>42</v>
      </c>
      <c r="E1119" s="7" t="s">
        <v>14</v>
      </c>
      <c r="F1119" s="7" t="s">
        <v>13</v>
      </c>
      <c r="G1119" s="6">
        <v>36262</v>
      </c>
      <c r="H1119" s="6" t="str" cm="1">
        <f t="array" ref="H1119">_xlfn.IFS(
  G1119 &lt; 25000, "Low",
  AND(G1119 &gt;= 25000, G1119 &lt; 75000), "Medium",
  AND(G1119 &gt;= 75000, G1119 &lt; 150000), "High",
  G1119 &gt;= 150000, "Very High"
)</f>
        <v>Medium</v>
      </c>
      <c r="I1119" s="6">
        <v>0</v>
      </c>
      <c r="J1119" s="6">
        <v>0</v>
      </c>
      <c r="K1119" s="6">
        <f t="shared" si="69"/>
        <v>0</v>
      </c>
      <c r="L1119" s="8">
        <v>41537</v>
      </c>
      <c r="M1119" t="str">
        <f t="shared" ca="1" si="70"/>
        <v>12 years, 5 months</v>
      </c>
      <c r="N1119" s="6">
        <v>24</v>
      </c>
      <c r="O1119">
        <v>39</v>
      </c>
      <c r="P1119">
        <v>28</v>
      </c>
      <c r="Q1119">
        <f t="shared" si="71"/>
        <v>67</v>
      </c>
      <c r="R1119">
        <v>3</v>
      </c>
      <c r="S1119">
        <v>3</v>
      </c>
      <c r="T1119">
        <f>Table[[#This Row],[NumWebPurchases]]+Table[[#This Row],[NumStorePurchases]]</f>
        <v>6</v>
      </c>
    </row>
    <row r="1120" spans="1:20" ht="12.5">
      <c r="A1120" s="6">
        <v>1118</v>
      </c>
      <c r="B1120" s="6">
        <v>880</v>
      </c>
      <c r="C1120" s="6">
        <v>1966</v>
      </c>
      <c r="D1120" s="6">
        <f t="shared" si="68"/>
        <v>59</v>
      </c>
      <c r="E1120" s="7" t="s">
        <v>16</v>
      </c>
      <c r="F1120" s="7" t="s">
        <v>11</v>
      </c>
      <c r="G1120" s="6">
        <v>22634</v>
      </c>
      <c r="H1120" s="6" t="str" cm="1">
        <f t="array" ref="H1120">_xlfn.IFS(
  G1120 &lt; 25000, "Low",
  AND(G1120 &gt;= 25000, G1120 &lt; 75000), "Medium",
  AND(G1120 &gt;= 75000, G1120 &lt; 150000), "High",
  G1120 &gt;= 150000, "Very High"
)</f>
        <v>Low</v>
      </c>
      <c r="I1120" s="6">
        <v>0</v>
      </c>
      <c r="J1120" s="6">
        <v>0</v>
      </c>
      <c r="K1120" s="6">
        <f t="shared" si="69"/>
        <v>0</v>
      </c>
      <c r="L1120" s="8">
        <v>41290</v>
      </c>
      <c r="M1120" t="str">
        <f t="shared" ca="1" si="70"/>
        <v>13 years, 1 months</v>
      </c>
      <c r="N1120" s="6">
        <v>47</v>
      </c>
      <c r="O1120">
        <v>23</v>
      </c>
      <c r="P1120">
        <v>6</v>
      </c>
      <c r="Q1120">
        <f t="shared" si="71"/>
        <v>29</v>
      </c>
      <c r="R1120">
        <v>2</v>
      </c>
      <c r="S1120">
        <v>2</v>
      </c>
      <c r="T1120">
        <f>Table[[#This Row],[NumWebPurchases]]+Table[[#This Row],[NumStorePurchases]]</f>
        <v>4</v>
      </c>
    </row>
    <row r="1121" spans="1:20" ht="12.5">
      <c r="A1121" s="6">
        <v>1119</v>
      </c>
      <c r="B1121" s="6">
        <v>2320</v>
      </c>
      <c r="C1121" s="6">
        <v>1978</v>
      </c>
      <c r="D1121" s="6">
        <f t="shared" si="68"/>
        <v>47</v>
      </c>
      <c r="E1121" s="7" t="s">
        <v>17</v>
      </c>
      <c r="F1121" s="7" t="s">
        <v>13</v>
      </c>
      <c r="G1121" s="6">
        <v>47025</v>
      </c>
      <c r="H1121" s="6" t="str" cm="1">
        <f t="array" ref="H1121">_xlfn.IFS(
  G1121 &lt; 25000, "Low",
  AND(G1121 &gt;= 25000, G1121 &lt; 75000), "Medium",
  AND(G1121 &gt;= 75000, G1121 &lt; 150000), "High",
  G1121 &gt;= 150000, "Very High"
)</f>
        <v>Medium</v>
      </c>
      <c r="I1121" s="6">
        <v>0</v>
      </c>
      <c r="J1121" s="6">
        <v>1</v>
      </c>
      <c r="K1121" s="6">
        <f t="shared" si="69"/>
        <v>1</v>
      </c>
      <c r="L1121" s="8">
        <v>41529</v>
      </c>
      <c r="M1121" t="str">
        <f t="shared" ca="1" si="70"/>
        <v>12 years, 5 months</v>
      </c>
      <c r="N1121" s="6">
        <v>98</v>
      </c>
      <c r="O1121">
        <v>11</v>
      </c>
      <c r="P1121">
        <v>5</v>
      </c>
      <c r="Q1121">
        <f t="shared" si="71"/>
        <v>16</v>
      </c>
      <c r="R1121">
        <v>11</v>
      </c>
      <c r="S1121">
        <v>6</v>
      </c>
      <c r="T1121">
        <f>Table[[#This Row],[NumWebPurchases]]+Table[[#This Row],[NumStorePurchases]]</f>
        <v>17</v>
      </c>
    </row>
    <row r="1122" spans="1:20" ht="12.5">
      <c r="A1122" s="6">
        <v>1120</v>
      </c>
      <c r="B1122" s="6">
        <v>850</v>
      </c>
      <c r="C1122" s="6">
        <v>1968</v>
      </c>
      <c r="D1122" s="6">
        <f t="shared" si="68"/>
        <v>57</v>
      </c>
      <c r="E1122" s="7" t="s">
        <v>9</v>
      </c>
      <c r="F1122" s="7" t="s">
        <v>10</v>
      </c>
      <c r="G1122" s="6">
        <v>70566</v>
      </c>
      <c r="H1122" s="6" t="str" cm="1">
        <f t="array" ref="H1122">_xlfn.IFS(
  G1122 &lt; 25000, "Low",
  AND(G1122 &gt;= 25000, G1122 &lt; 75000), "Medium",
  AND(G1122 &gt;= 75000, G1122 &lt; 150000), "High",
  G1122 &gt;= 150000, "Very High"
)</f>
        <v>Medium</v>
      </c>
      <c r="I1122" s="6">
        <v>0</v>
      </c>
      <c r="J1122" s="6">
        <v>1</v>
      </c>
      <c r="K1122" s="6">
        <f t="shared" si="69"/>
        <v>1</v>
      </c>
      <c r="L1122" s="8">
        <v>41553</v>
      </c>
      <c r="M1122" t="str">
        <f t="shared" ca="1" si="70"/>
        <v>12 years, 5 months</v>
      </c>
      <c r="N1122" s="6">
        <v>4</v>
      </c>
      <c r="O1122">
        <v>28</v>
      </c>
      <c r="P1122">
        <v>28</v>
      </c>
      <c r="Q1122">
        <f t="shared" si="71"/>
        <v>56</v>
      </c>
      <c r="R1122">
        <v>6</v>
      </c>
      <c r="S1122">
        <v>9</v>
      </c>
      <c r="T1122">
        <f>Table[[#This Row],[NumWebPurchases]]+Table[[#This Row],[NumStorePurchases]]</f>
        <v>15</v>
      </c>
    </row>
    <row r="1123" spans="1:20" ht="12.5">
      <c r="A1123" s="6">
        <v>1121</v>
      </c>
      <c r="B1123" s="6">
        <v>4713</v>
      </c>
      <c r="C1123" s="6">
        <v>1979</v>
      </c>
      <c r="D1123" s="6">
        <f t="shared" si="68"/>
        <v>46</v>
      </c>
      <c r="E1123" s="7" t="s">
        <v>12</v>
      </c>
      <c r="F1123" s="7" t="s">
        <v>13</v>
      </c>
      <c r="G1123" s="6">
        <v>31605</v>
      </c>
      <c r="H1123" s="6" t="str" cm="1">
        <f t="array" ref="H1123">_xlfn.IFS(
  G1123 &lt; 25000, "Low",
  AND(G1123 &gt;= 25000, G1123 &lt; 75000), "Medium",
  AND(G1123 &gt;= 75000, G1123 &lt; 150000), "High",
  G1123 &gt;= 150000, "Very High"
)</f>
        <v>Medium</v>
      </c>
      <c r="I1123" s="6">
        <v>1</v>
      </c>
      <c r="J1123" s="6">
        <v>0</v>
      </c>
      <c r="K1123" s="6">
        <f t="shared" si="69"/>
        <v>1</v>
      </c>
      <c r="L1123" s="9">
        <v>41235</v>
      </c>
      <c r="M1123" t="str">
        <f t="shared" ca="1" si="70"/>
        <v>13 years, 3 months</v>
      </c>
      <c r="N1123" s="6">
        <v>15</v>
      </c>
      <c r="O1123">
        <v>0</v>
      </c>
      <c r="P1123">
        <v>1</v>
      </c>
      <c r="Q1123">
        <f t="shared" si="71"/>
        <v>1</v>
      </c>
      <c r="R1123">
        <v>2</v>
      </c>
      <c r="S1123">
        <v>4</v>
      </c>
      <c r="T1123">
        <f>Table[[#This Row],[NumWebPurchases]]+Table[[#This Row],[NumStorePurchases]]</f>
        <v>6</v>
      </c>
    </row>
    <row r="1124" spans="1:20" ht="12.5">
      <c r="A1124" s="6">
        <v>1122</v>
      </c>
      <c r="B1124" s="6">
        <v>675</v>
      </c>
      <c r="C1124" s="6">
        <v>1973</v>
      </c>
      <c r="D1124" s="6">
        <f t="shared" si="68"/>
        <v>52</v>
      </c>
      <c r="E1124" s="7" t="s">
        <v>14</v>
      </c>
      <c r="F1124" s="7" t="s">
        <v>15</v>
      </c>
      <c r="G1124" s="6">
        <v>52034</v>
      </c>
      <c r="H1124" s="6" t="str" cm="1">
        <f t="array" ref="H1124">_xlfn.IFS(
  G1124 &lt; 25000, "Low",
  AND(G1124 &gt;= 25000, G1124 &lt; 75000), "Medium",
  AND(G1124 &gt;= 75000, G1124 &lt; 150000), "High",
  G1124 &gt;= 150000, "Very High"
)</f>
        <v>Medium</v>
      </c>
      <c r="I1124" s="6">
        <v>1</v>
      </c>
      <c r="J1124" s="6">
        <v>1</v>
      </c>
      <c r="K1124" s="6">
        <f t="shared" si="69"/>
        <v>2</v>
      </c>
      <c r="L1124" s="8">
        <v>41411</v>
      </c>
      <c r="M1124" t="str">
        <f t="shared" ca="1" si="70"/>
        <v>12 years, 9 months</v>
      </c>
      <c r="N1124" s="6">
        <v>67</v>
      </c>
      <c r="O1124">
        <v>0</v>
      </c>
      <c r="P1124">
        <v>13</v>
      </c>
      <c r="Q1124">
        <f t="shared" si="71"/>
        <v>13</v>
      </c>
      <c r="R1124">
        <v>4</v>
      </c>
      <c r="S1124">
        <v>5</v>
      </c>
      <c r="T1124">
        <f>Table[[#This Row],[NumWebPurchases]]+Table[[#This Row],[NumStorePurchases]]</f>
        <v>9</v>
      </c>
    </row>
    <row r="1125" spans="1:20" ht="12.5">
      <c r="A1125" s="6">
        <v>1123</v>
      </c>
      <c r="B1125" s="6">
        <v>5025</v>
      </c>
      <c r="C1125" s="6">
        <v>1979</v>
      </c>
      <c r="D1125" s="6">
        <f t="shared" si="68"/>
        <v>46</v>
      </c>
      <c r="E1125" s="7" t="s">
        <v>9</v>
      </c>
      <c r="F1125" s="7" t="s">
        <v>10</v>
      </c>
      <c r="G1125" s="6">
        <v>48526</v>
      </c>
      <c r="H1125" s="6" t="str" cm="1">
        <f t="array" ref="H1125">_xlfn.IFS(
  G1125 &lt; 25000, "Low",
  AND(G1125 &gt;= 25000, G1125 &lt; 75000), "Medium",
  AND(G1125 &gt;= 75000, G1125 &lt; 150000), "High",
  G1125 &gt;= 150000, "Very High"
)</f>
        <v>Medium</v>
      </c>
      <c r="I1125" s="6">
        <v>1</v>
      </c>
      <c r="J1125" s="6">
        <v>0</v>
      </c>
      <c r="K1125" s="6">
        <f t="shared" si="69"/>
        <v>1</v>
      </c>
      <c r="L1125" s="9">
        <v>41632</v>
      </c>
      <c r="M1125" t="str">
        <f t="shared" ca="1" si="70"/>
        <v>12 years, 2 months</v>
      </c>
      <c r="N1125" s="6">
        <v>32</v>
      </c>
      <c r="O1125">
        <v>17</v>
      </c>
      <c r="P1125">
        <v>20</v>
      </c>
      <c r="Q1125">
        <f t="shared" si="71"/>
        <v>37</v>
      </c>
      <c r="R1125">
        <v>2</v>
      </c>
      <c r="S1125">
        <v>4</v>
      </c>
      <c r="T1125">
        <f>Table[[#This Row],[NumWebPurchases]]+Table[[#This Row],[NumStorePurchases]]</f>
        <v>6</v>
      </c>
    </row>
    <row r="1126" spans="1:20" ht="12.5">
      <c r="A1126" s="6">
        <v>1124</v>
      </c>
      <c r="B1126" s="6">
        <v>2308</v>
      </c>
      <c r="C1126" s="6">
        <v>1954</v>
      </c>
      <c r="D1126" s="6">
        <f t="shared" si="68"/>
        <v>71</v>
      </c>
      <c r="E1126" s="7" t="s">
        <v>9</v>
      </c>
      <c r="F1126" s="7" t="s">
        <v>13</v>
      </c>
      <c r="G1126" s="6">
        <v>46734</v>
      </c>
      <c r="H1126" s="6" t="str" cm="1">
        <f t="array" ref="H1126">_xlfn.IFS(
  G1126 &lt; 25000, "Low",
  AND(G1126 &gt;= 25000, G1126 &lt; 75000), "Medium",
  AND(G1126 &gt;= 75000, G1126 &lt; 150000), "High",
  G1126 &gt;= 150000, "Very High"
)</f>
        <v>Medium</v>
      </c>
      <c r="I1126" s="6">
        <v>0</v>
      </c>
      <c r="J1126" s="6">
        <v>1</v>
      </c>
      <c r="K1126" s="6">
        <f t="shared" si="69"/>
        <v>1</v>
      </c>
      <c r="L1126" s="9">
        <v>41231</v>
      </c>
      <c r="M1126" t="str">
        <f t="shared" ca="1" si="70"/>
        <v>13 years, 3 months</v>
      </c>
      <c r="N1126" s="6">
        <v>40</v>
      </c>
      <c r="O1126">
        <v>5</v>
      </c>
      <c r="P1126">
        <v>23</v>
      </c>
      <c r="Q1126">
        <f t="shared" si="71"/>
        <v>28</v>
      </c>
      <c r="R1126">
        <v>6</v>
      </c>
      <c r="S1126">
        <v>5</v>
      </c>
      <c r="T1126">
        <f>Table[[#This Row],[NumWebPurchases]]+Table[[#This Row],[NumStorePurchases]]</f>
        <v>11</v>
      </c>
    </row>
    <row r="1127" spans="1:20" ht="12.5">
      <c r="A1127" s="6">
        <v>1125</v>
      </c>
      <c r="B1127" s="6">
        <v>5995</v>
      </c>
      <c r="C1127" s="6">
        <v>1962</v>
      </c>
      <c r="D1127" s="6">
        <f t="shared" si="68"/>
        <v>63</v>
      </c>
      <c r="E1127" s="7" t="s">
        <v>9</v>
      </c>
      <c r="F1127" s="7" t="s">
        <v>15</v>
      </c>
      <c r="G1127" s="6">
        <v>39552</v>
      </c>
      <c r="H1127" s="6" t="str" cm="1">
        <f t="array" ref="H1127">_xlfn.IFS(
  G1127 &lt; 25000, "Low",
  AND(G1127 &gt;= 25000, G1127 &lt; 75000), "Medium",
  AND(G1127 &gt;= 75000, G1127 &lt; 150000), "High",
  G1127 &gt;= 150000, "Very High"
)</f>
        <v>Medium</v>
      </c>
      <c r="I1127" s="6">
        <v>1</v>
      </c>
      <c r="J1127" s="6">
        <v>1</v>
      </c>
      <c r="K1127" s="6">
        <f t="shared" si="69"/>
        <v>2</v>
      </c>
      <c r="L1127" s="9">
        <v>41261</v>
      </c>
      <c r="M1127" t="str">
        <f t="shared" ca="1" si="70"/>
        <v>13 years, 2 months</v>
      </c>
      <c r="N1127" s="6">
        <v>54</v>
      </c>
      <c r="O1127">
        <v>3</v>
      </c>
      <c r="P1127">
        <v>24</v>
      </c>
      <c r="Q1127">
        <f t="shared" si="71"/>
        <v>27</v>
      </c>
      <c r="R1127">
        <v>6</v>
      </c>
      <c r="S1127">
        <v>5</v>
      </c>
      <c r="T1127">
        <f>Table[[#This Row],[NumWebPurchases]]+Table[[#This Row],[NumStorePurchases]]</f>
        <v>11</v>
      </c>
    </row>
    <row r="1128" spans="1:20" ht="12.5">
      <c r="A1128" s="6">
        <v>1126</v>
      </c>
      <c r="B1128" s="6">
        <v>6749</v>
      </c>
      <c r="C1128" s="6">
        <v>1966</v>
      </c>
      <c r="D1128" s="6">
        <f t="shared" si="68"/>
        <v>59</v>
      </c>
      <c r="E1128" s="7" t="s">
        <v>9</v>
      </c>
      <c r="F1128" s="7" t="s">
        <v>10</v>
      </c>
      <c r="G1128" s="6">
        <v>86358</v>
      </c>
      <c r="H1128" s="6" t="str" cm="1">
        <f t="array" ref="H1128">_xlfn.IFS(
  G1128 &lt; 25000, "Low",
  AND(G1128 &gt;= 25000, G1128 &lt; 75000), "Medium",
  AND(G1128 &gt;= 75000, G1128 &lt; 150000), "High",
  G1128 &gt;= 150000, "Very High"
)</f>
        <v>High</v>
      </c>
      <c r="I1128" s="6">
        <v>1</v>
      </c>
      <c r="J1128" s="6">
        <v>1</v>
      </c>
      <c r="K1128" s="6">
        <f t="shared" si="69"/>
        <v>2</v>
      </c>
      <c r="L1128" s="8">
        <v>41129</v>
      </c>
      <c r="M1128" t="str">
        <f t="shared" ca="1" si="70"/>
        <v>13 years, 6 months</v>
      </c>
      <c r="N1128" s="6">
        <v>78</v>
      </c>
      <c r="O1128">
        <v>47</v>
      </c>
      <c r="P1128">
        <v>47</v>
      </c>
      <c r="Q1128">
        <f t="shared" si="71"/>
        <v>94</v>
      </c>
      <c r="R1128">
        <v>5</v>
      </c>
      <c r="S1128">
        <v>6</v>
      </c>
      <c r="T1128">
        <f>Table[[#This Row],[NumWebPurchases]]+Table[[#This Row],[NumStorePurchases]]</f>
        <v>11</v>
      </c>
    </row>
    <row r="1129" spans="1:20" ht="12.5">
      <c r="A1129" s="6">
        <v>1127</v>
      </c>
      <c r="B1129" s="6">
        <v>1010</v>
      </c>
      <c r="C1129" s="6">
        <v>1977</v>
      </c>
      <c r="D1129" s="6">
        <f t="shared" si="68"/>
        <v>48</v>
      </c>
      <c r="E1129" s="7" t="s">
        <v>9</v>
      </c>
      <c r="F1129" s="7" t="s">
        <v>11</v>
      </c>
      <c r="G1129" s="6">
        <v>46931</v>
      </c>
      <c r="H1129" s="6" t="str" cm="1">
        <f t="array" ref="H1129">_xlfn.IFS(
  G1129 &lt; 25000, "Low",
  AND(G1129 &gt;= 25000, G1129 &lt; 75000), "Medium",
  AND(G1129 &gt;= 75000, G1129 &lt; 150000), "High",
  G1129 &gt;= 150000, "Very High"
)</f>
        <v>Medium</v>
      </c>
      <c r="I1129" s="6">
        <v>2</v>
      </c>
      <c r="J1129" s="6">
        <v>1</v>
      </c>
      <c r="K1129" s="6">
        <f t="shared" si="69"/>
        <v>3</v>
      </c>
      <c r="L1129" s="8">
        <v>41753</v>
      </c>
      <c r="M1129" t="str">
        <f t="shared" ca="1" si="70"/>
        <v>11 years, 10 months</v>
      </c>
      <c r="N1129" s="6">
        <v>94</v>
      </c>
      <c r="O1129">
        <v>0</v>
      </c>
      <c r="P1129">
        <v>1</v>
      </c>
      <c r="Q1129">
        <f t="shared" si="71"/>
        <v>1</v>
      </c>
      <c r="R1129">
        <v>1</v>
      </c>
      <c r="S1129">
        <v>3</v>
      </c>
      <c r="T1129">
        <f>Table[[#This Row],[NumWebPurchases]]+Table[[#This Row],[NumStorePurchases]]</f>
        <v>4</v>
      </c>
    </row>
    <row r="1130" spans="1:20" ht="12.5">
      <c r="A1130" s="6">
        <v>1128</v>
      </c>
      <c r="B1130" s="6">
        <v>8977</v>
      </c>
      <c r="C1130" s="6">
        <v>1985</v>
      </c>
      <c r="D1130" s="6">
        <f t="shared" si="68"/>
        <v>40</v>
      </c>
      <c r="E1130" s="7" t="s">
        <v>16</v>
      </c>
      <c r="F1130" s="7" t="s">
        <v>10</v>
      </c>
      <c r="G1130" s="6">
        <v>16581</v>
      </c>
      <c r="H1130" s="6" t="str" cm="1">
        <f t="array" ref="H1130">_xlfn.IFS(
  G1130 &lt; 25000, "Low",
  AND(G1130 &gt;= 25000, G1130 &lt; 75000), "Medium",
  AND(G1130 &gt;= 75000, G1130 &lt; 150000), "High",
  G1130 &gt;= 150000, "Very High"
)</f>
        <v>Low</v>
      </c>
      <c r="I1130" s="6">
        <v>0</v>
      </c>
      <c r="J1130" s="6">
        <v>0</v>
      </c>
      <c r="K1130" s="6">
        <f t="shared" si="69"/>
        <v>0</v>
      </c>
      <c r="L1130" s="8">
        <v>41286</v>
      </c>
      <c r="M1130" t="str">
        <f t="shared" ca="1" si="70"/>
        <v>13 years, 1 months</v>
      </c>
      <c r="N1130" s="6">
        <v>51</v>
      </c>
      <c r="O1130">
        <v>3</v>
      </c>
      <c r="P1130">
        <v>3</v>
      </c>
      <c r="Q1130">
        <f t="shared" si="71"/>
        <v>6</v>
      </c>
      <c r="R1130">
        <v>0</v>
      </c>
      <c r="S1130">
        <v>3</v>
      </c>
      <c r="T1130">
        <f>Table[[#This Row],[NumWebPurchases]]+Table[[#This Row],[NumStorePurchases]]</f>
        <v>3</v>
      </c>
    </row>
    <row r="1131" spans="1:20" ht="12.5">
      <c r="A1131" s="6">
        <v>1129</v>
      </c>
      <c r="B1131" s="6">
        <v>4756</v>
      </c>
      <c r="C1131" s="6">
        <v>1952</v>
      </c>
      <c r="D1131" s="6">
        <f t="shared" si="68"/>
        <v>73</v>
      </c>
      <c r="E1131" s="7" t="s">
        <v>17</v>
      </c>
      <c r="F1131" s="7" t="s">
        <v>15</v>
      </c>
      <c r="G1131" s="6">
        <v>63998</v>
      </c>
      <c r="H1131" s="6" t="str" cm="1">
        <f t="array" ref="H1131">_xlfn.IFS(
  G1131 &lt; 25000, "Low",
  AND(G1131 &gt;= 25000, G1131 &lt; 75000), "Medium",
  AND(G1131 &gt;= 75000, G1131 &lt; 150000), "High",
  G1131 &gt;= 150000, "Very High"
)</f>
        <v>Medium</v>
      </c>
      <c r="I1131" s="6">
        <v>0</v>
      </c>
      <c r="J1131" s="6">
        <v>0</v>
      </c>
      <c r="K1131" s="6">
        <f t="shared" si="69"/>
        <v>0</v>
      </c>
      <c r="L1131" s="9">
        <v>41628</v>
      </c>
      <c r="M1131" t="str">
        <f t="shared" ca="1" si="70"/>
        <v>12 years, 2 months</v>
      </c>
      <c r="N1131" s="6">
        <v>42</v>
      </c>
      <c r="O1131">
        <v>29</v>
      </c>
      <c r="P1131">
        <v>33</v>
      </c>
      <c r="Q1131">
        <f t="shared" si="71"/>
        <v>62</v>
      </c>
      <c r="R1131">
        <v>7</v>
      </c>
      <c r="S1131">
        <v>11</v>
      </c>
      <c r="T1131">
        <f>Table[[#This Row],[NumWebPurchases]]+Table[[#This Row],[NumStorePurchases]]</f>
        <v>18</v>
      </c>
    </row>
    <row r="1132" spans="1:20" ht="12.5">
      <c r="A1132" s="6">
        <v>1130</v>
      </c>
      <c r="B1132" s="6">
        <v>3412</v>
      </c>
      <c r="C1132" s="6">
        <v>1951</v>
      </c>
      <c r="D1132" s="6">
        <f t="shared" si="68"/>
        <v>74</v>
      </c>
      <c r="E1132" s="7" t="s">
        <v>14</v>
      </c>
      <c r="F1132" s="7" t="s">
        <v>13</v>
      </c>
      <c r="G1132" s="6">
        <v>67381</v>
      </c>
      <c r="H1132" s="6" t="str" cm="1">
        <f t="array" ref="H1132">_xlfn.IFS(
  G1132 &lt; 25000, "Low",
  AND(G1132 &gt;= 25000, G1132 &lt; 75000), "Medium",
  AND(G1132 &gt;= 75000, G1132 &lt; 150000), "High",
  G1132 &gt;= 150000, "Very High"
)</f>
        <v>Medium</v>
      </c>
      <c r="I1132" s="6">
        <v>0</v>
      </c>
      <c r="J1132" s="6">
        <v>1</v>
      </c>
      <c r="K1132" s="6">
        <f t="shared" si="69"/>
        <v>1</v>
      </c>
      <c r="L1132" s="8">
        <v>41289</v>
      </c>
      <c r="M1132" t="str">
        <f t="shared" ca="1" si="70"/>
        <v>13 years, 1 months</v>
      </c>
      <c r="N1132" s="6">
        <v>67</v>
      </c>
      <c r="O1132">
        <v>8</v>
      </c>
      <c r="P1132">
        <v>0</v>
      </c>
      <c r="Q1132">
        <f t="shared" si="71"/>
        <v>8</v>
      </c>
      <c r="R1132">
        <v>2</v>
      </c>
      <c r="S1132">
        <v>9</v>
      </c>
      <c r="T1132">
        <f>Table[[#This Row],[NumWebPurchases]]+Table[[#This Row],[NumStorePurchases]]</f>
        <v>11</v>
      </c>
    </row>
    <row r="1133" spans="1:20" ht="12.5">
      <c r="A1133" s="6">
        <v>1131</v>
      </c>
      <c r="B1133" s="6">
        <v>606</v>
      </c>
      <c r="C1133" s="6">
        <v>1967</v>
      </c>
      <c r="D1133" s="6">
        <f t="shared" si="68"/>
        <v>58</v>
      </c>
      <c r="E1133" s="7" t="s">
        <v>9</v>
      </c>
      <c r="F1133" s="7" t="s">
        <v>10</v>
      </c>
      <c r="G1133" s="6">
        <v>25930</v>
      </c>
      <c r="H1133" s="6" t="str" cm="1">
        <f t="array" ref="H1133">_xlfn.IFS(
  G1133 &lt; 25000, "Low",
  AND(G1133 &gt;= 25000, G1133 &lt; 75000), "Medium",
  AND(G1133 &gt;= 75000, G1133 &lt; 150000), "High",
  G1133 &gt;= 150000, "Very High"
)</f>
        <v>Medium</v>
      </c>
      <c r="I1133" s="6">
        <v>1</v>
      </c>
      <c r="J1133" s="6">
        <v>1</v>
      </c>
      <c r="K1133" s="6">
        <f t="shared" si="69"/>
        <v>2</v>
      </c>
      <c r="L1133" s="9">
        <v>41557</v>
      </c>
      <c r="M1133" t="str">
        <f t="shared" ca="1" si="70"/>
        <v>12 years, 4 months</v>
      </c>
      <c r="N1133" s="6">
        <v>87</v>
      </c>
      <c r="O1133">
        <v>1</v>
      </c>
      <c r="P1133">
        <v>0</v>
      </c>
      <c r="Q1133">
        <f t="shared" si="71"/>
        <v>1</v>
      </c>
      <c r="R1133">
        <v>1</v>
      </c>
      <c r="S1133">
        <v>2</v>
      </c>
      <c r="T1133">
        <f>Table[[#This Row],[NumWebPurchases]]+Table[[#This Row],[NumStorePurchases]]</f>
        <v>3</v>
      </c>
    </row>
    <row r="1134" spans="1:20" ht="12.5">
      <c r="A1134" s="6">
        <v>1132</v>
      </c>
      <c r="B1134" s="6">
        <v>5961</v>
      </c>
      <c r="C1134" s="6">
        <v>1978</v>
      </c>
      <c r="D1134" s="6">
        <f t="shared" si="68"/>
        <v>47</v>
      </c>
      <c r="E1134" s="7" t="s">
        <v>9</v>
      </c>
      <c r="F1134" s="7" t="s">
        <v>13</v>
      </c>
      <c r="G1134" s="6">
        <v>42693</v>
      </c>
      <c r="H1134" s="6" t="str" cm="1">
        <f t="array" ref="H1134">_xlfn.IFS(
  G1134 &lt; 25000, "Low",
  AND(G1134 &gt;= 25000, G1134 &lt; 75000), "Medium",
  AND(G1134 &gt;= 75000, G1134 &lt; 150000), "High",
  G1134 &gt;= 150000, "Very High"
)</f>
        <v>Medium</v>
      </c>
      <c r="I1134" s="6">
        <v>1</v>
      </c>
      <c r="J1134" s="6">
        <v>0</v>
      </c>
      <c r="K1134" s="6">
        <f t="shared" si="69"/>
        <v>1</v>
      </c>
      <c r="L1134" s="8">
        <v>41797</v>
      </c>
      <c r="M1134" t="str">
        <f t="shared" ca="1" si="70"/>
        <v>11 years, 8 months</v>
      </c>
      <c r="N1134" s="6">
        <v>29</v>
      </c>
      <c r="O1134">
        <v>4</v>
      </c>
      <c r="P1134">
        <v>3</v>
      </c>
      <c r="Q1134">
        <f t="shared" si="71"/>
        <v>7</v>
      </c>
      <c r="R1134">
        <v>1</v>
      </c>
      <c r="S1134">
        <v>3</v>
      </c>
      <c r="T1134">
        <f>Table[[#This Row],[NumWebPurchases]]+Table[[#This Row],[NumStorePurchases]]</f>
        <v>4</v>
      </c>
    </row>
    <row r="1135" spans="1:20" ht="12.5">
      <c r="A1135" s="6">
        <v>1133</v>
      </c>
      <c r="B1135" s="6">
        <v>2975</v>
      </c>
      <c r="C1135" s="6">
        <v>1976</v>
      </c>
      <c r="D1135" s="6">
        <f t="shared" si="68"/>
        <v>49</v>
      </c>
      <c r="E1135" s="7" t="s">
        <v>9</v>
      </c>
      <c r="F1135" s="7" t="s">
        <v>11</v>
      </c>
      <c r="G1135" s="6">
        <v>85606</v>
      </c>
      <c r="H1135" s="6" t="str" cm="1">
        <f t="array" ref="H1135">_xlfn.IFS(
  G1135 &lt; 25000, "Low",
  AND(G1135 &gt;= 25000, G1135 &lt; 75000), "Medium",
  AND(G1135 &gt;= 75000, G1135 &lt; 150000), "High",
  G1135 &gt;= 150000, "Very High"
)</f>
        <v>High</v>
      </c>
      <c r="I1135" s="6">
        <v>0</v>
      </c>
      <c r="J1135" s="6">
        <v>1</v>
      </c>
      <c r="K1135" s="6">
        <f t="shared" si="69"/>
        <v>1</v>
      </c>
      <c r="L1135" s="9">
        <v>41225</v>
      </c>
      <c r="M1135" t="str">
        <f t="shared" ca="1" si="70"/>
        <v>13 years, 3 months</v>
      </c>
      <c r="N1135" s="6">
        <v>89</v>
      </c>
      <c r="O1135">
        <v>42</v>
      </c>
      <c r="P1135">
        <v>30</v>
      </c>
      <c r="Q1135">
        <f t="shared" si="71"/>
        <v>72</v>
      </c>
      <c r="R1135">
        <v>6</v>
      </c>
      <c r="S1135">
        <v>9</v>
      </c>
      <c r="T1135">
        <f>Table[[#This Row],[NumWebPurchases]]+Table[[#This Row],[NumStorePurchases]]</f>
        <v>15</v>
      </c>
    </row>
    <row r="1136" spans="1:20" ht="12.5">
      <c r="A1136" s="6">
        <v>1134</v>
      </c>
      <c r="B1136" s="6">
        <v>2894</v>
      </c>
      <c r="C1136" s="6">
        <v>1985</v>
      </c>
      <c r="D1136" s="6">
        <f t="shared" si="68"/>
        <v>40</v>
      </c>
      <c r="E1136" s="7" t="s">
        <v>9</v>
      </c>
      <c r="F1136" s="7" t="s">
        <v>10</v>
      </c>
      <c r="G1136" s="6">
        <v>72903</v>
      </c>
      <c r="H1136" s="6" t="str" cm="1">
        <f t="array" ref="H1136">_xlfn.IFS(
  G1136 &lt; 25000, "Low",
  AND(G1136 &gt;= 25000, G1136 &lt; 75000), "Medium",
  AND(G1136 &gt;= 75000, G1136 &lt; 150000), "High",
  G1136 &gt;= 150000, "Very High"
)</f>
        <v>Medium</v>
      </c>
      <c r="I1136" s="6">
        <v>0</v>
      </c>
      <c r="J1136" s="6">
        <v>0</v>
      </c>
      <c r="K1136" s="6">
        <f t="shared" si="69"/>
        <v>0</v>
      </c>
      <c r="L1136" s="9">
        <v>41576</v>
      </c>
      <c r="M1136" t="str">
        <f t="shared" ca="1" si="70"/>
        <v>12 years, 4 months</v>
      </c>
      <c r="N1136" s="6">
        <v>74</v>
      </c>
      <c r="O1136">
        <v>138</v>
      </c>
      <c r="P1136">
        <v>19</v>
      </c>
      <c r="Q1136">
        <f t="shared" si="71"/>
        <v>157</v>
      </c>
      <c r="R1136">
        <v>7</v>
      </c>
      <c r="S1136">
        <v>8</v>
      </c>
      <c r="T1136">
        <f>Table[[#This Row],[NumWebPurchases]]+Table[[#This Row],[NumStorePurchases]]</f>
        <v>15</v>
      </c>
    </row>
    <row r="1137" spans="1:20" ht="12.5">
      <c r="A1137" s="6">
        <v>1135</v>
      </c>
      <c r="B1137" s="6">
        <v>7613</v>
      </c>
      <c r="C1137" s="6">
        <v>1974</v>
      </c>
      <c r="D1137" s="6">
        <f t="shared" si="68"/>
        <v>51</v>
      </c>
      <c r="E1137" s="7" t="s">
        <v>17</v>
      </c>
      <c r="F1137" s="7" t="s">
        <v>11</v>
      </c>
      <c r="G1137" s="6">
        <v>49669</v>
      </c>
      <c r="H1137" s="6" t="str" cm="1">
        <f t="array" ref="H1137">_xlfn.IFS(
  G1137 &lt; 25000, "Low",
  AND(G1137 &gt;= 25000, G1137 &lt; 75000), "Medium",
  AND(G1137 &gt;= 75000, G1137 &lt; 150000), "High",
  G1137 &gt;= 150000, "Very High"
)</f>
        <v>Medium</v>
      </c>
      <c r="I1137" s="6">
        <v>1</v>
      </c>
      <c r="J1137" s="6">
        <v>0</v>
      </c>
      <c r="K1137" s="6">
        <f t="shared" si="69"/>
        <v>1</v>
      </c>
      <c r="L1137" s="8">
        <v>41783</v>
      </c>
      <c r="M1137" t="str">
        <f t="shared" ca="1" si="70"/>
        <v>11 years, 9 months</v>
      </c>
      <c r="N1137" s="6">
        <v>97</v>
      </c>
      <c r="O1137">
        <v>5</v>
      </c>
      <c r="P1137">
        <v>8</v>
      </c>
      <c r="Q1137">
        <f t="shared" si="71"/>
        <v>13</v>
      </c>
      <c r="R1137">
        <v>5</v>
      </c>
      <c r="S1137">
        <v>6</v>
      </c>
      <c r="T1137">
        <f>Table[[#This Row],[NumWebPurchases]]+Table[[#This Row],[NumStorePurchases]]</f>
        <v>11</v>
      </c>
    </row>
    <row r="1138" spans="1:20" ht="12.5">
      <c r="A1138" s="6">
        <v>1136</v>
      </c>
      <c r="B1138" s="6">
        <v>10542</v>
      </c>
      <c r="C1138" s="6">
        <v>1968</v>
      </c>
      <c r="D1138" s="6">
        <f t="shared" si="68"/>
        <v>57</v>
      </c>
      <c r="E1138" s="7" t="s">
        <v>12</v>
      </c>
      <c r="F1138" s="7" t="s">
        <v>13</v>
      </c>
      <c r="G1138" s="6">
        <v>36778</v>
      </c>
      <c r="H1138" s="6" t="str" cm="1">
        <f t="array" ref="H1138">_xlfn.IFS(
  G1138 &lt; 25000, "Low",
  AND(G1138 &gt;= 25000, G1138 &lt; 75000), "Medium",
  AND(G1138 &gt;= 75000, G1138 &lt; 150000), "High",
  G1138 &gt;= 150000, "Very High"
)</f>
        <v>Medium</v>
      </c>
      <c r="I1138" s="6">
        <v>1</v>
      </c>
      <c r="J1138" s="6">
        <v>1</v>
      </c>
      <c r="K1138" s="6">
        <f t="shared" si="69"/>
        <v>2</v>
      </c>
      <c r="L1138" s="8">
        <v>41126</v>
      </c>
      <c r="M1138" t="str">
        <f t="shared" ca="1" si="70"/>
        <v>13 years, 7 months</v>
      </c>
      <c r="N1138" s="6">
        <v>63</v>
      </c>
      <c r="O1138">
        <v>4</v>
      </c>
      <c r="P1138">
        <v>4</v>
      </c>
      <c r="Q1138">
        <f t="shared" si="71"/>
        <v>8</v>
      </c>
      <c r="R1138">
        <v>3</v>
      </c>
      <c r="S1138">
        <v>3</v>
      </c>
      <c r="T1138">
        <f>Table[[#This Row],[NumWebPurchases]]+Table[[#This Row],[NumStorePurchases]]</f>
        <v>6</v>
      </c>
    </row>
    <row r="1139" spans="1:20" ht="12.5">
      <c r="A1139" s="6">
        <v>1137</v>
      </c>
      <c r="B1139" s="6">
        <v>8015</v>
      </c>
      <c r="C1139" s="6">
        <v>1962</v>
      </c>
      <c r="D1139" s="6">
        <f t="shared" si="68"/>
        <v>63</v>
      </c>
      <c r="E1139" s="7" t="s">
        <v>12</v>
      </c>
      <c r="F1139" s="7" t="s">
        <v>15</v>
      </c>
      <c r="G1139" s="6">
        <v>85696</v>
      </c>
      <c r="H1139" s="6" t="str" cm="1">
        <f t="array" ref="H1139">_xlfn.IFS(
  G1139 &lt; 25000, "Low",
  AND(G1139 &gt;= 25000, G1139 &lt; 75000), "Medium",
  AND(G1139 &gt;= 75000, G1139 &lt; 150000), "High",
  G1139 &gt;= 150000, "Very High"
)</f>
        <v>High</v>
      </c>
      <c r="I1139" s="6">
        <v>0</v>
      </c>
      <c r="J1139" s="6">
        <v>0</v>
      </c>
      <c r="K1139" s="6">
        <f t="shared" si="69"/>
        <v>0</v>
      </c>
      <c r="L1139" s="8">
        <v>41397</v>
      </c>
      <c r="M1139" t="str">
        <f t="shared" ca="1" si="70"/>
        <v>12 years, 10 months</v>
      </c>
      <c r="N1139" s="6">
        <v>88</v>
      </c>
      <c r="O1139">
        <v>76</v>
      </c>
      <c r="P1139">
        <v>0</v>
      </c>
      <c r="Q1139">
        <f t="shared" si="71"/>
        <v>76</v>
      </c>
      <c r="R1139">
        <v>4</v>
      </c>
      <c r="S1139">
        <v>9</v>
      </c>
      <c r="T1139">
        <f>Table[[#This Row],[NumWebPurchases]]+Table[[#This Row],[NumStorePurchases]]</f>
        <v>13</v>
      </c>
    </row>
    <row r="1140" spans="1:20" ht="12.5">
      <c r="A1140" s="6">
        <v>1138</v>
      </c>
      <c r="B1140" s="6">
        <v>10617</v>
      </c>
      <c r="C1140" s="6">
        <v>1989</v>
      </c>
      <c r="D1140" s="6">
        <f t="shared" si="68"/>
        <v>36</v>
      </c>
      <c r="E1140" s="7" t="s">
        <v>14</v>
      </c>
      <c r="F1140" s="7" t="s">
        <v>15</v>
      </c>
      <c r="G1140" s="6">
        <v>10979</v>
      </c>
      <c r="H1140" s="6" t="str" cm="1">
        <f t="array" ref="H1140">_xlfn.IFS(
  G1140 &lt; 25000, "Low",
  AND(G1140 &gt;= 25000, G1140 &lt; 75000), "Medium",
  AND(G1140 &gt;= 75000, G1140 &lt; 150000), "High",
  G1140 &gt;= 150000, "Very High"
)</f>
        <v>Low</v>
      </c>
      <c r="I1140" s="6">
        <v>0</v>
      </c>
      <c r="J1140" s="6">
        <v>0</v>
      </c>
      <c r="K1140" s="6">
        <f t="shared" si="69"/>
        <v>0</v>
      </c>
      <c r="L1140" s="8">
        <v>41781</v>
      </c>
      <c r="M1140" t="str">
        <f t="shared" ca="1" si="70"/>
        <v>11 years, 9 months</v>
      </c>
      <c r="N1140" s="6">
        <v>34</v>
      </c>
      <c r="O1140">
        <v>4</v>
      </c>
      <c r="P1140">
        <v>2</v>
      </c>
      <c r="Q1140">
        <f t="shared" si="71"/>
        <v>6</v>
      </c>
      <c r="R1140">
        <v>3</v>
      </c>
      <c r="S1140">
        <v>3</v>
      </c>
      <c r="T1140">
        <f>Table[[#This Row],[NumWebPurchases]]+Table[[#This Row],[NumStorePurchases]]</f>
        <v>6</v>
      </c>
    </row>
    <row r="1141" spans="1:20" ht="12.5">
      <c r="A1141" s="6">
        <v>1139</v>
      </c>
      <c r="B1141" s="6">
        <v>11166</v>
      </c>
      <c r="C1141" s="6">
        <v>1961</v>
      </c>
      <c r="D1141" s="6">
        <f t="shared" si="68"/>
        <v>64</v>
      </c>
      <c r="E1141" s="7" t="s">
        <v>9</v>
      </c>
      <c r="F1141" s="7" t="s">
        <v>13</v>
      </c>
      <c r="G1141" s="6">
        <v>49678</v>
      </c>
      <c r="H1141" s="6" t="str" cm="1">
        <f t="array" ref="H1141">_xlfn.IFS(
  G1141 &lt; 25000, "Low",
  AND(G1141 &gt;= 25000, G1141 &lt; 75000), "Medium",
  AND(G1141 &gt;= 75000, G1141 &lt; 150000), "High",
  G1141 &gt;= 150000, "Very High"
)</f>
        <v>Medium</v>
      </c>
      <c r="I1141" s="6">
        <v>0</v>
      </c>
      <c r="J1141" s="6">
        <v>1</v>
      </c>
      <c r="K1141" s="6">
        <f t="shared" si="69"/>
        <v>1</v>
      </c>
      <c r="L1141" s="8">
        <v>41307</v>
      </c>
      <c r="M1141" t="str">
        <f t="shared" ca="1" si="70"/>
        <v>13 years, 1 months</v>
      </c>
      <c r="N1141" s="6">
        <v>81</v>
      </c>
      <c r="O1141">
        <v>5</v>
      </c>
      <c r="P1141">
        <v>2</v>
      </c>
      <c r="Q1141">
        <f t="shared" si="71"/>
        <v>7</v>
      </c>
      <c r="R1141">
        <v>6</v>
      </c>
      <c r="S1141">
        <v>4</v>
      </c>
      <c r="T1141">
        <f>Table[[#This Row],[NumWebPurchases]]+Table[[#This Row],[NumStorePurchases]]</f>
        <v>10</v>
      </c>
    </row>
    <row r="1142" spans="1:20" ht="12.5">
      <c r="A1142" s="6">
        <v>1140</v>
      </c>
      <c r="B1142" s="6">
        <v>849</v>
      </c>
      <c r="C1142" s="6">
        <v>1953</v>
      </c>
      <c r="D1142" s="6">
        <f t="shared" si="68"/>
        <v>72</v>
      </c>
      <c r="E1142" s="7" t="s">
        <v>14</v>
      </c>
      <c r="F1142" s="7" t="s">
        <v>11</v>
      </c>
      <c r="G1142" s="6">
        <v>56129</v>
      </c>
      <c r="H1142" s="6" t="str" cm="1">
        <f t="array" ref="H1142">_xlfn.IFS(
  G1142 &lt; 25000, "Low",
  AND(G1142 &gt;= 25000, G1142 &lt; 75000), "Medium",
  AND(G1142 &gt;= 75000, G1142 &lt; 150000), "High",
  G1142 &gt;= 150000, "Very High"
)</f>
        <v>Medium</v>
      </c>
      <c r="I1142" s="6">
        <v>0</v>
      </c>
      <c r="J1142" s="6">
        <v>1</v>
      </c>
      <c r="K1142" s="6">
        <f t="shared" si="69"/>
        <v>1</v>
      </c>
      <c r="L1142" s="8">
        <v>41445</v>
      </c>
      <c r="M1142" t="str">
        <f t="shared" ca="1" si="70"/>
        <v>12 years, 8 months</v>
      </c>
      <c r="N1142" s="6">
        <v>65</v>
      </c>
      <c r="O1142">
        <v>48</v>
      </c>
      <c r="P1142">
        <v>72</v>
      </c>
      <c r="Q1142">
        <f t="shared" si="71"/>
        <v>120</v>
      </c>
      <c r="R1142">
        <v>6</v>
      </c>
      <c r="S1142">
        <v>10</v>
      </c>
      <c r="T1142">
        <f>Table[[#This Row],[NumWebPurchases]]+Table[[#This Row],[NumStorePurchases]]</f>
        <v>16</v>
      </c>
    </row>
    <row r="1143" spans="1:20" ht="12.5">
      <c r="A1143" s="6">
        <v>1141</v>
      </c>
      <c r="B1143" s="6">
        <v>523</v>
      </c>
      <c r="C1143" s="6">
        <v>1989</v>
      </c>
      <c r="D1143" s="6">
        <f t="shared" si="68"/>
        <v>36</v>
      </c>
      <c r="E1143" s="7" t="s">
        <v>9</v>
      </c>
      <c r="F1143" s="7" t="s">
        <v>13</v>
      </c>
      <c r="G1143" s="6">
        <v>37155</v>
      </c>
      <c r="H1143" s="6" t="str" cm="1">
        <f t="array" ref="H1143">_xlfn.IFS(
  G1143 &lt; 25000, "Low",
  AND(G1143 &gt;= 25000, G1143 &lt; 75000), "Medium",
  AND(G1143 &gt;= 75000, G1143 &lt; 150000), "High",
  G1143 &gt;= 150000, "Very High"
)</f>
        <v>Medium</v>
      </c>
      <c r="I1143" s="6">
        <v>1</v>
      </c>
      <c r="J1143" s="6">
        <v>0</v>
      </c>
      <c r="K1143" s="6">
        <f t="shared" si="69"/>
        <v>1</v>
      </c>
      <c r="L1143" s="8">
        <v>41305</v>
      </c>
      <c r="M1143" t="str">
        <f t="shared" ca="1" si="70"/>
        <v>13 years, 1 months</v>
      </c>
      <c r="N1143" s="6">
        <v>51</v>
      </c>
      <c r="O1143">
        <v>0</v>
      </c>
      <c r="P1143">
        <v>15</v>
      </c>
      <c r="Q1143">
        <f t="shared" si="71"/>
        <v>15</v>
      </c>
      <c r="R1143">
        <v>2</v>
      </c>
      <c r="S1143">
        <v>4</v>
      </c>
      <c r="T1143">
        <f>Table[[#This Row],[NumWebPurchases]]+Table[[#This Row],[NumStorePurchases]]</f>
        <v>6</v>
      </c>
    </row>
    <row r="1144" spans="1:20" ht="12.5">
      <c r="A1144" s="6">
        <v>1142</v>
      </c>
      <c r="B1144" s="6">
        <v>4066</v>
      </c>
      <c r="C1144" s="6">
        <v>1978</v>
      </c>
      <c r="D1144" s="6">
        <f t="shared" si="68"/>
        <v>47</v>
      </c>
      <c r="E1144" s="7" t="s">
        <v>17</v>
      </c>
      <c r="F1144" s="7" t="s">
        <v>15</v>
      </c>
      <c r="G1144" s="6">
        <v>21282</v>
      </c>
      <c r="H1144" s="6" t="str" cm="1">
        <f t="array" ref="H1144">_xlfn.IFS(
  G1144 &lt; 25000, "Low",
  AND(G1144 &gt;= 25000, G1144 &lt; 75000), "Medium",
  AND(G1144 &gt;= 75000, G1144 &lt; 150000), "High",
  G1144 &gt;= 150000, "Very High"
)</f>
        <v>Low</v>
      </c>
      <c r="I1144" s="6">
        <v>1</v>
      </c>
      <c r="J1144" s="6">
        <v>0</v>
      </c>
      <c r="K1144" s="6">
        <f t="shared" si="69"/>
        <v>1</v>
      </c>
      <c r="L1144" s="8">
        <v>41770</v>
      </c>
      <c r="M1144" t="str">
        <f t="shared" ca="1" si="70"/>
        <v>11 years, 9 months</v>
      </c>
      <c r="N1144" s="6">
        <v>76</v>
      </c>
      <c r="O1144">
        <v>5</v>
      </c>
      <c r="P1144">
        <v>8</v>
      </c>
      <c r="Q1144">
        <f t="shared" si="71"/>
        <v>13</v>
      </c>
      <c r="R1144">
        <v>2</v>
      </c>
      <c r="S1144">
        <v>2</v>
      </c>
      <c r="T1144">
        <f>Table[[#This Row],[NumWebPurchases]]+Table[[#This Row],[NumStorePurchases]]</f>
        <v>4</v>
      </c>
    </row>
    <row r="1145" spans="1:20" ht="12.5">
      <c r="A1145" s="6">
        <v>1143</v>
      </c>
      <c r="B1145" s="6">
        <v>8414</v>
      </c>
      <c r="C1145" s="6">
        <v>1962</v>
      </c>
      <c r="D1145" s="6">
        <f t="shared" si="68"/>
        <v>63</v>
      </c>
      <c r="E1145" s="7" t="s">
        <v>12</v>
      </c>
      <c r="F1145" s="7" t="s">
        <v>10</v>
      </c>
      <c r="G1145" s="6">
        <v>33419</v>
      </c>
      <c r="H1145" s="6" t="str" cm="1">
        <f t="array" ref="H1145">_xlfn.IFS(
  G1145 &lt; 25000, "Low",
  AND(G1145 &gt;= 25000, G1145 &lt; 75000), "Medium",
  AND(G1145 &gt;= 75000, G1145 &lt; 150000), "High",
  G1145 &gt;= 150000, "Very High"
)</f>
        <v>Medium</v>
      </c>
      <c r="I1145" s="6">
        <v>0</v>
      </c>
      <c r="J1145" s="6">
        <v>1</v>
      </c>
      <c r="K1145" s="6">
        <f t="shared" si="69"/>
        <v>1</v>
      </c>
      <c r="L1145" s="8">
        <v>41503</v>
      </c>
      <c r="M1145" t="str">
        <f t="shared" ca="1" si="70"/>
        <v>12 years, 6 months</v>
      </c>
      <c r="N1145" s="6">
        <v>76</v>
      </c>
      <c r="O1145">
        <v>0</v>
      </c>
      <c r="P1145">
        <v>0</v>
      </c>
      <c r="Q1145">
        <f t="shared" si="71"/>
        <v>0</v>
      </c>
      <c r="R1145">
        <v>2</v>
      </c>
      <c r="S1145">
        <v>4</v>
      </c>
      <c r="T1145">
        <f>Table[[#This Row],[NumWebPurchases]]+Table[[#This Row],[NumStorePurchases]]</f>
        <v>6</v>
      </c>
    </row>
    <row r="1146" spans="1:20" ht="12.5">
      <c r="A1146" s="6">
        <v>1144</v>
      </c>
      <c r="B1146" s="6">
        <v>819</v>
      </c>
      <c r="C1146" s="6">
        <v>1945</v>
      </c>
      <c r="D1146" s="6">
        <f t="shared" si="68"/>
        <v>80</v>
      </c>
      <c r="E1146" s="7" t="s">
        <v>9</v>
      </c>
      <c r="F1146" s="7" t="s">
        <v>18</v>
      </c>
      <c r="G1146" s="6">
        <v>63285</v>
      </c>
      <c r="H1146" s="6" t="str" cm="1">
        <f t="array" ref="H1146">_xlfn.IFS(
  G1146 &lt; 25000, "Low",
  AND(G1146 &gt;= 25000, G1146 &lt; 75000), "Medium",
  AND(G1146 &gt;= 75000, G1146 &lt; 150000), "High",
  G1146 &gt;= 150000, "Very High"
)</f>
        <v>Medium</v>
      </c>
      <c r="I1146" s="6">
        <v>0</v>
      </c>
      <c r="J1146" s="6">
        <v>0</v>
      </c>
      <c r="K1146" s="6">
        <f t="shared" si="69"/>
        <v>0</v>
      </c>
      <c r="L1146" s="8">
        <v>41583</v>
      </c>
      <c r="M1146" t="str">
        <f t="shared" ca="1" si="70"/>
        <v>12 years, 4 months</v>
      </c>
      <c r="N1146" s="6">
        <v>84</v>
      </c>
      <c r="O1146">
        <v>124</v>
      </c>
      <c r="P1146">
        <v>38</v>
      </c>
      <c r="Q1146">
        <f t="shared" si="71"/>
        <v>162</v>
      </c>
      <c r="R1146">
        <v>6</v>
      </c>
      <c r="S1146">
        <v>13</v>
      </c>
      <c r="T1146">
        <f>Table[[#This Row],[NumWebPurchases]]+Table[[#This Row],[NumStorePurchases]]</f>
        <v>19</v>
      </c>
    </row>
    <row r="1147" spans="1:20" ht="12.5">
      <c r="A1147" s="6">
        <v>1145</v>
      </c>
      <c r="B1147" s="6">
        <v>4961</v>
      </c>
      <c r="C1147" s="6">
        <v>1974</v>
      </c>
      <c r="D1147" s="6">
        <f t="shared" si="68"/>
        <v>51</v>
      </c>
      <c r="E1147" s="7" t="s">
        <v>14</v>
      </c>
      <c r="F1147" s="7" t="s">
        <v>11</v>
      </c>
      <c r="G1147" s="6">
        <v>21255</v>
      </c>
      <c r="H1147" s="6" t="str" cm="1">
        <f t="array" ref="H1147">_xlfn.IFS(
  G1147 &lt; 25000, "Low",
  AND(G1147 &gt;= 25000, G1147 &lt; 75000), "Medium",
  AND(G1147 &gt;= 75000, G1147 &lt; 150000), "High",
  G1147 &gt;= 150000, "Very High"
)</f>
        <v>Low</v>
      </c>
      <c r="I1147" s="6">
        <v>1</v>
      </c>
      <c r="J1147" s="6">
        <v>0</v>
      </c>
      <c r="K1147" s="6">
        <f t="shared" si="69"/>
        <v>1</v>
      </c>
      <c r="L1147" s="8">
        <v>41660</v>
      </c>
      <c r="M1147" t="str">
        <f t="shared" ca="1" si="70"/>
        <v>12 years, 1 months</v>
      </c>
      <c r="N1147" s="6">
        <v>56</v>
      </c>
      <c r="O1147">
        <v>0</v>
      </c>
      <c r="P1147">
        <v>2</v>
      </c>
      <c r="Q1147">
        <f t="shared" si="71"/>
        <v>2</v>
      </c>
      <c r="R1147">
        <v>2</v>
      </c>
      <c r="S1147">
        <v>4</v>
      </c>
      <c r="T1147">
        <f>Table[[#This Row],[NumWebPurchases]]+Table[[#This Row],[NumStorePurchases]]</f>
        <v>6</v>
      </c>
    </row>
    <row r="1148" spans="1:20" ht="12.5">
      <c r="A1148" s="6">
        <v>1146</v>
      </c>
      <c r="B1148" s="6">
        <v>749</v>
      </c>
      <c r="C1148" s="6">
        <v>1981</v>
      </c>
      <c r="D1148" s="6">
        <f t="shared" si="68"/>
        <v>44</v>
      </c>
      <c r="E1148" s="7" t="s">
        <v>9</v>
      </c>
      <c r="F1148" s="7" t="s">
        <v>11</v>
      </c>
      <c r="G1148" s="6">
        <v>42162</v>
      </c>
      <c r="H1148" s="6" t="str" cm="1">
        <f t="array" ref="H1148">_xlfn.IFS(
  G1148 &lt; 25000, "Low",
  AND(G1148 &gt;= 25000, G1148 &lt; 75000), "Medium",
  AND(G1148 &gt;= 75000, G1148 &lt; 150000), "High",
  G1148 &gt;= 150000, "Very High"
)</f>
        <v>Medium</v>
      </c>
      <c r="I1148" s="6">
        <v>1</v>
      </c>
      <c r="J1148" s="6">
        <v>0</v>
      </c>
      <c r="K1148" s="6">
        <f t="shared" si="69"/>
        <v>1</v>
      </c>
      <c r="L1148" s="9">
        <v>41597</v>
      </c>
      <c r="M1148" t="str">
        <f t="shared" ca="1" si="70"/>
        <v>12 years, 3 months</v>
      </c>
      <c r="N1148" s="6">
        <v>31</v>
      </c>
      <c r="O1148">
        <v>7</v>
      </c>
      <c r="P1148">
        <v>4</v>
      </c>
      <c r="Q1148">
        <f t="shared" si="71"/>
        <v>11</v>
      </c>
      <c r="R1148">
        <v>3</v>
      </c>
      <c r="S1148">
        <v>3</v>
      </c>
      <c r="T1148">
        <f>Table[[#This Row],[NumWebPurchases]]+Table[[#This Row],[NumStorePurchases]]</f>
        <v>6</v>
      </c>
    </row>
    <row r="1149" spans="1:20" ht="12.5">
      <c r="A1149" s="6">
        <v>1147</v>
      </c>
      <c r="B1149" s="6">
        <v>5430</v>
      </c>
      <c r="C1149" s="6">
        <v>1956</v>
      </c>
      <c r="D1149" s="6">
        <f t="shared" si="68"/>
        <v>69</v>
      </c>
      <c r="E1149" s="7" t="s">
        <v>9</v>
      </c>
      <c r="F1149" s="7" t="s">
        <v>11</v>
      </c>
      <c r="G1149" s="6">
        <v>54450</v>
      </c>
      <c r="H1149" s="6" t="str" cm="1">
        <f t="array" ref="H1149">_xlfn.IFS(
  G1149 &lt; 25000, "Low",
  AND(G1149 &gt;= 25000, G1149 &lt; 75000), "Medium",
  AND(G1149 &gt;= 75000, G1149 &lt; 150000), "High",
  G1149 &gt;= 150000, "Very High"
)</f>
        <v>Medium</v>
      </c>
      <c r="I1149" s="6">
        <v>1</v>
      </c>
      <c r="J1149" s="6">
        <v>1</v>
      </c>
      <c r="K1149" s="6">
        <f t="shared" si="69"/>
        <v>2</v>
      </c>
      <c r="L1149" s="8">
        <v>41166</v>
      </c>
      <c r="M1149" t="str">
        <f t="shared" ca="1" si="70"/>
        <v>13 years, 5 months</v>
      </c>
      <c r="N1149" s="6">
        <v>0</v>
      </c>
      <c r="O1149">
        <v>0</v>
      </c>
      <c r="P1149">
        <v>19</v>
      </c>
      <c r="Q1149">
        <f t="shared" si="71"/>
        <v>19</v>
      </c>
      <c r="R1149">
        <v>9</v>
      </c>
      <c r="S1149">
        <v>8</v>
      </c>
      <c r="T1149">
        <f>Table[[#This Row],[NumWebPurchases]]+Table[[#This Row],[NumStorePurchases]]</f>
        <v>17</v>
      </c>
    </row>
    <row r="1150" spans="1:20" ht="12.5">
      <c r="A1150" s="6">
        <v>1148</v>
      </c>
      <c r="B1150" s="6">
        <v>7755</v>
      </c>
      <c r="C1150" s="6">
        <v>1954</v>
      </c>
      <c r="D1150" s="6">
        <f t="shared" si="68"/>
        <v>71</v>
      </c>
      <c r="E1150" s="7" t="s">
        <v>12</v>
      </c>
      <c r="F1150" s="7" t="s">
        <v>13</v>
      </c>
      <c r="G1150" s="6">
        <v>57744</v>
      </c>
      <c r="H1150" s="6" t="str" cm="1">
        <f t="array" ref="H1150">_xlfn.IFS(
  G1150 &lt; 25000, "Low",
  AND(G1150 &gt;= 25000, G1150 &lt; 75000), "Medium",
  AND(G1150 &gt;= 75000, G1150 &lt; 150000), "High",
  G1150 &gt;= 150000, "Very High"
)</f>
        <v>Medium</v>
      </c>
      <c r="I1150" s="6">
        <v>0</v>
      </c>
      <c r="J1150" s="6">
        <v>1</v>
      </c>
      <c r="K1150" s="6">
        <f t="shared" si="69"/>
        <v>1</v>
      </c>
      <c r="L1150" s="9">
        <v>41590</v>
      </c>
      <c r="M1150" t="str">
        <f t="shared" ca="1" si="70"/>
        <v>12 years, 3 months</v>
      </c>
      <c r="N1150" s="6">
        <v>91</v>
      </c>
      <c r="O1150">
        <v>3</v>
      </c>
      <c r="P1150">
        <v>0</v>
      </c>
      <c r="Q1150">
        <f t="shared" si="71"/>
        <v>3</v>
      </c>
      <c r="R1150">
        <v>9</v>
      </c>
      <c r="S1150">
        <v>4</v>
      </c>
      <c r="T1150">
        <f>Table[[#This Row],[NumWebPurchases]]+Table[[#This Row],[NumStorePurchases]]</f>
        <v>13</v>
      </c>
    </row>
    <row r="1151" spans="1:20" ht="12.5">
      <c r="A1151" s="6">
        <v>1149</v>
      </c>
      <c r="B1151" s="6">
        <v>10525</v>
      </c>
      <c r="C1151" s="6">
        <v>1986</v>
      </c>
      <c r="D1151" s="6">
        <f t="shared" si="68"/>
        <v>39</v>
      </c>
      <c r="E1151" s="7" t="s">
        <v>9</v>
      </c>
      <c r="F1151" s="7" t="s">
        <v>10</v>
      </c>
      <c r="G1151" s="6">
        <v>26576</v>
      </c>
      <c r="H1151" s="6" t="str" cm="1">
        <f t="array" ref="H1151">_xlfn.IFS(
  G1151 &lt; 25000, "Low",
  AND(G1151 &gt;= 25000, G1151 &lt; 75000), "Medium",
  AND(G1151 &gt;= 75000, G1151 &lt; 150000), "High",
  G1151 &gt;= 150000, "Very High"
)</f>
        <v>Medium</v>
      </c>
      <c r="I1151" s="6">
        <v>1</v>
      </c>
      <c r="J1151" s="6">
        <v>0</v>
      </c>
      <c r="K1151" s="6">
        <f t="shared" si="69"/>
        <v>1</v>
      </c>
      <c r="L1151" s="9">
        <v>41195</v>
      </c>
      <c r="M1151" t="str">
        <f t="shared" ca="1" si="70"/>
        <v>13 years, 4 months</v>
      </c>
      <c r="N1151" s="6">
        <v>40</v>
      </c>
      <c r="O1151">
        <v>0</v>
      </c>
      <c r="P1151">
        <v>0</v>
      </c>
      <c r="Q1151">
        <f t="shared" si="71"/>
        <v>0</v>
      </c>
      <c r="R1151">
        <v>1</v>
      </c>
      <c r="S1151">
        <v>2</v>
      </c>
      <c r="T1151">
        <f>Table[[#This Row],[NumWebPurchases]]+Table[[#This Row],[NumStorePurchases]]</f>
        <v>3</v>
      </c>
    </row>
    <row r="1152" spans="1:20" ht="12.5">
      <c r="A1152" s="6">
        <v>1150</v>
      </c>
      <c r="B1152" s="6">
        <v>1453</v>
      </c>
      <c r="C1152" s="6">
        <v>1943</v>
      </c>
      <c r="D1152" s="6">
        <f t="shared" si="68"/>
        <v>82</v>
      </c>
      <c r="E1152" s="7" t="s">
        <v>12</v>
      </c>
      <c r="F1152" s="7" t="s">
        <v>18</v>
      </c>
      <c r="G1152" s="6">
        <v>57513</v>
      </c>
      <c r="H1152" s="6" t="str" cm="1">
        <f t="array" ref="H1152">_xlfn.IFS(
  G1152 &lt; 25000, "Low",
  AND(G1152 &gt;= 25000, G1152 &lt; 75000), "Medium",
  AND(G1152 &gt;= 75000, G1152 &lt; 150000), "High",
  G1152 &gt;= 150000, "Very High"
)</f>
        <v>Medium</v>
      </c>
      <c r="I1152" s="6">
        <v>0</v>
      </c>
      <c r="J1152" s="6">
        <v>0</v>
      </c>
      <c r="K1152" s="6">
        <f t="shared" si="69"/>
        <v>0</v>
      </c>
      <c r="L1152" s="8">
        <v>41461</v>
      </c>
      <c r="M1152" t="str">
        <f t="shared" ca="1" si="70"/>
        <v>12 years, 8 months</v>
      </c>
      <c r="N1152" s="6">
        <v>59</v>
      </c>
      <c r="O1152">
        <v>40</v>
      </c>
      <c r="P1152">
        <v>20</v>
      </c>
      <c r="Q1152">
        <f t="shared" si="71"/>
        <v>60</v>
      </c>
      <c r="R1152">
        <v>9</v>
      </c>
      <c r="S1152">
        <v>13</v>
      </c>
      <c r="T1152">
        <f>Table[[#This Row],[NumWebPurchases]]+Table[[#This Row],[NumStorePurchases]]</f>
        <v>22</v>
      </c>
    </row>
    <row r="1153" spans="1:20" ht="12.5">
      <c r="A1153" s="6">
        <v>1151</v>
      </c>
      <c r="B1153" s="6">
        <v>8310</v>
      </c>
      <c r="C1153" s="6">
        <v>1964</v>
      </c>
      <c r="D1153" s="6">
        <f t="shared" si="68"/>
        <v>61</v>
      </c>
      <c r="E1153" s="7" t="s">
        <v>9</v>
      </c>
      <c r="F1153" s="7" t="s">
        <v>11</v>
      </c>
      <c r="G1153" s="6">
        <v>68142</v>
      </c>
      <c r="H1153" s="6" t="str" cm="1">
        <f t="array" ref="H1153">_xlfn.IFS(
  G1153 &lt; 25000, "Low",
  AND(G1153 &gt;= 25000, G1153 &lt; 75000), "Medium",
  AND(G1153 &gt;= 75000, G1153 &lt; 150000), "High",
  G1153 &gt;= 150000, "Very High"
)</f>
        <v>Medium</v>
      </c>
      <c r="I1153" s="6">
        <v>0</v>
      </c>
      <c r="J1153" s="6">
        <v>1</v>
      </c>
      <c r="K1153" s="6">
        <f t="shared" si="69"/>
        <v>1</v>
      </c>
      <c r="L1153" s="8">
        <v>41150</v>
      </c>
      <c r="M1153" t="str">
        <f t="shared" ca="1" si="70"/>
        <v>13 years, 6 months</v>
      </c>
      <c r="N1153" s="6">
        <v>96</v>
      </c>
      <c r="O1153">
        <v>126</v>
      </c>
      <c r="P1153">
        <v>112</v>
      </c>
      <c r="Q1153">
        <f t="shared" si="71"/>
        <v>238</v>
      </c>
      <c r="R1153">
        <v>10</v>
      </c>
      <c r="S1153">
        <v>7</v>
      </c>
      <c r="T1153">
        <f>Table[[#This Row],[NumWebPurchases]]+Table[[#This Row],[NumStorePurchases]]</f>
        <v>17</v>
      </c>
    </row>
    <row r="1154" spans="1:20" ht="12.5">
      <c r="A1154" s="6">
        <v>1152</v>
      </c>
      <c r="B1154" s="6">
        <v>10710</v>
      </c>
      <c r="C1154" s="6">
        <v>1979</v>
      </c>
      <c r="D1154" s="6">
        <f t="shared" si="68"/>
        <v>46</v>
      </c>
      <c r="E1154" s="7" t="s">
        <v>9</v>
      </c>
      <c r="F1154" s="7" t="s">
        <v>13</v>
      </c>
      <c r="G1154" s="6">
        <v>7500</v>
      </c>
      <c r="H1154" s="6" t="str" cm="1">
        <f t="array" ref="H1154">_xlfn.IFS(
  G1154 &lt; 25000, "Low",
  AND(G1154 &gt;= 25000, G1154 &lt; 75000), "Medium",
  AND(G1154 &gt;= 75000, G1154 &lt; 150000), "High",
  G1154 &gt;= 150000, "Very High"
)</f>
        <v>Low</v>
      </c>
      <c r="I1154" s="6">
        <v>0</v>
      </c>
      <c r="J1154" s="6">
        <v>1</v>
      </c>
      <c r="K1154" s="6">
        <f t="shared" si="69"/>
        <v>1</v>
      </c>
      <c r="L1154" s="8">
        <v>41150</v>
      </c>
      <c r="M1154" t="str">
        <f t="shared" ca="1" si="70"/>
        <v>13 years, 6 months</v>
      </c>
      <c r="N1154" s="6">
        <v>61</v>
      </c>
      <c r="O1154">
        <v>2</v>
      </c>
      <c r="P1154">
        <v>0</v>
      </c>
      <c r="Q1154">
        <f t="shared" si="71"/>
        <v>2</v>
      </c>
      <c r="R1154">
        <v>1</v>
      </c>
      <c r="S1154">
        <v>2</v>
      </c>
      <c r="T1154">
        <f>Table[[#This Row],[NumWebPurchases]]+Table[[#This Row],[NumStorePurchases]]</f>
        <v>3</v>
      </c>
    </row>
    <row r="1155" spans="1:20" ht="12.5">
      <c r="A1155" s="6">
        <v>1153</v>
      </c>
      <c r="B1155" s="6">
        <v>5031</v>
      </c>
      <c r="C1155" s="6">
        <v>1974</v>
      </c>
      <c r="D1155" s="6">
        <f t="shared" ref="D1155:D1218" si="72">2025-C1155</f>
        <v>51</v>
      </c>
      <c r="E1155" s="7" t="s">
        <v>9</v>
      </c>
      <c r="F1155" s="7" t="s">
        <v>11</v>
      </c>
      <c r="G1155" s="6">
        <v>83145</v>
      </c>
      <c r="H1155" s="6" t="str" cm="1">
        <f t="array" ref="H1155">_xlfn.IFS(
  G1155 &lt; 25000, "Low",
  AND(G1155 &gt;= 25000, G1155 &lt; 75000), "Medium",
  AND(G1155 &gt;= 75000, G1155 &lt; 150000), "High",
  G1155 &gt;= 150000, "Very High"
)</f>
        <v>High</v>
      </c>
      <c r="I1155" s="6">
        <v>0</v>
      </c>
      <c r="J1155" s="6">
        <v>0</v>
      </c>
      <c r="K1155" s="6">
        <f t="shared" ref="K1155:K1218" si="73">I1155+J1155</f>
        <v>0</v>
      </c>
      <c r="L1155" s="8">
        <v>41174</v>
      </c>
      <c r="M1155" t="str">
        <f t="shared" ref="M1155:M1218" ca="1" si="74">DATEDIF(L1155, TODAY(), "Y") &amp; " years, " &amp; DATEDIF(L1155, TODAY(), "YM") &amp; " months"</f>
        <v>13 years, 5 months</v>
      </c>
      <c r="N1155" s="6">
        <v>14</v>
      </c>
      <c r="O1155">
        <v>35</v>
      </c>
      <c r="P1155">
        <v>137</v>
      </c>
      <c r="Q1155">
        <f t="shared" ref="Q1155:Q1218" si="75">O1155+P1155</f>
        <v>172</v>
      </c>
      <c r="R1155">
        <v>5</v>
      </c>
      <c r="S1155">
        <v>11</v>
      </c>
      <c r="T1155">
        <f>Table[[#This Row],[NumWebPurchases]]+Table[[#This Row],[NumStorePurchases]]</f>
        <v>16</v>
      </c>
    </row>
    <row r="1156" spans="1:20" ht="12.5">
      <c r="A1156" s="6">
        <v>1154</v>
      </c>
      <c r="B1156" s="6">
        <v>2613</v>
      </c>
      <c r="C1156" s="6">
        <v>1960</v>
      </c>
      <c r="D1156" s="6">
        <f t="shared" si="72"/>
        <v>65</v>
      </c>
      <c r="E1156" s="7" t="s">
        <v>14</v>
      </c>
      <c r="F1156" s="7" t="s">
        <v>13</v>
      </c>
      <c r="G1156" s="6">
        <v>54197</v>
      </c>
      <c r="H1156" s="6" t="str" cm="1">
        <f t="array" ref="H1156">_xlfn.IFS(
  G1156 &lt; 25000, "Low",
  AND(G1156 &gt;= 25000, G1156 &lt; 75000), "Medium",
  AND(G1156 &gt;= 75000, G1156 &lt; 150000), "High",
  G1156 &gt;= 150000, "Very High"
)</f>
        <v>Medium</v>
      </c>
      <c r="I1156" s="6">
        <v>0</v>
      </c>
      <c r="J1156" s="6">
        <v>1</v>
      </c>
      <c r="K1156" s="6">
        <f t="shared" si="73"/>
        <v>1</v>
      </c>
      <c r="L1156" s="8">
        <v>41732</v>
      </c>
      <c r="M1156" t="str">
        <f t="shared" ca="1" si="74"/>
        <v>11 years, 11 months</v>
      </c>
      <c r="N1156" s="6">
        <v>16</v>
      </c>
      <c r="O1156">
        <v>6</v>
      </c>
      <c r="P1156">
        <v>13</v>
      </c>
      <c r="Q1156">
        <f t="shared" si="75"/>
        <v>19</v>
      </c>
      <c r="R1156">
        <v>1</v>
      </c>
      <c r="S1156">
        <v>6</v>
      </c>
      <c r="T1156">
        <f>Table[[#This Row],[NumWebPurchases]]+Table[[#This Row],[NumStorePurchases]]</f>
        <v>7</v>
      </c>
    </row>
    <row r="1157" spans="1:20" ht="12.5">
      <c r="A1157" s="6">
        <v>1155</v>
      </c>
      <c r="B1157" s="6">
        <v>213</v>
      </c>
      <c r="C1157" s="6">
        <v>1963</v>
      </c>
      <c r="D1157" s="6">
        <f t="shared" si="72"/>
        <v>62</v>
      </c>
      <c r="E1157" s="7" t="s">
        <v>12</v>
      </c>
      <c r="F1157" s="7" t="s">
        <v>10</v>
      </c>
      <c r="G1157" s="6">
        <v>23091</v>
      </c>
      <c r="H1157" s="6" t="str" cm="1">
        <f t="array" ref="H1157">_xlfn.IFS(
  G1157 &lt; 25000, "Low",
  AND(G1157 &gt;= 25000, G1157 &lt; 75000), "Medium",
  AND(G1157 &gt;= 75000, G1157 &lt; 150000), "High",
  G1157 &gt;= 150000, "Very High"
)</f>
        <v>Low</v>
      </c>
      <c r="I1157" s="6">
        <v>1</v>
      </c>
      <c r="J1157" s="6">
        <v>1</v>
      </c>
      <c r="K1157" s="6">
        <f t="shared" si="73"/>
        <v>2</v>
      </c>
      <c r="L1157" s="8">
        <v>41787</v>
      </c>
      <c r="M1157" t="str">
        <f t="shared" ca="1" si="74"/>
        <v>11 years, 9 months</v>
      </c>
      <c r="N1157" s="6">
        <v>98</v>
      </c>
      <c r="O1157">
        <v>0</v>
      </c>
      <c r="P1157">
        <v>0</v>
      </c>
      <c r="Q1157">
        <f t="shared" si="75"/>
        <v>0</v>
      </c>
      <c r="R1157">
        <v>2</v>
      </c>
      <c r="S1157">
        <v>3</v>
      </c>
      <c r="T1157">
        <f>Table[[#This Row],[NumWebPurchases]]+Table[[#This Row],[NumStorePurchases]]</f>
        <v>5</v>
      </c>
    </row>
    <row r="1158" spans="1:20" ht="12.5">
      <c r="A1158" s="6">
        <v>1156</v>
      </c>
      <c r="B1158" s="6">
        <v>967</v>
      </c>
      <c r="C1158" s="6">
        <v>1976</v>
      </c>
      <c r="D1158" s="6">
        <f t="shared" si="72"/>
        <v>49</v>
      </c>
      <c r="E1158" s="7" t="s">
        <v>9</v>
      </c>
      <c r="F1158" s="7" t="s">
        <v>13</v>
      </c>
      <c r="G1158" s="6">
        <v>46049</v>
      </c>
      <c r="H1158" s="6" t="str" cm="1">
        <f t="array" ref="H1158">_xlfn.IFS(
  G1158 &lt; 25000, "Low",
  AND(G1158 &gt;= 25000, G1158 &lt; 75000), "Medium",
  AND(G1158 &gt;= 75000, G1158 &lt; 150000), "High",
  G1158 &gt;= 150000, "Very High"
)</f>
        <v>Medium</v>
      </c>
      <c r="I1158" s="6">
        <v>1</v>
      </c>
      <c r="J1158" s="6">
        <v>1</v>
      </c>
      <c r="K1158" s="6">
        <f t="shared" si="73"/>
        <v>2</v>
      </c>
      <c r="L1158" s="8">
        <v>41476</v>
      </c>
      <c r="M1158" t="str">
        <f t="shared" ca="1" si="74"/>
        <v>12 years, 7 months</v>
      </c>
      <c r="N1158" s="6">
        <v>11</v>
      </c>
      <c r="O1158">
        <v>9</v>
      </c>
      <c r="P1158">
        <v>14</v>
      </c>
      <c r="Q1158">
        <f t="shared" si="75"/>
        <v>23</v>
      </c>
      <c r="R1158">
        <v>5</v>
      </c>
      <c r="S1158">
        <v>9</v>
      </c>
      <c r="T1158">
        <f>Table[[#This Row],[NumWebPurchases]]+Table[[#This Row],[NumStorePurchases]]</f>
        <v>14</v>
      </c>
    </row>
    <row r="1159" spans="1:20" ht="12.5">
      <c r="A1159" s="6">
        <v>1157</v>
      </c>
      <c r="B1159" s="6">
        <v>1077</v>
      </c>
      <c r="C1159" s="6">
        <v>1974</v>
      </c>
      <c r="D1159" s="6">
        <f t="shared" si="72"/>
        <v>51</v>
      </c>
      <c r="E1159" s="7" t="s">
        <v>9</v>
      </c>
      <c r="F1159" s="7" t="s">
        <v>11</v>
      </c>
      <c r="G1159" s="6">
        <v>56715</v>
      </c>
      <c r="H1159" s="6" t="str" cm="1">
        <f t="array" ref="H1159">_xlfn.IFS(
  G1159 &lt; 25000, "Low",
  AND(G1159 &gt;= 25000, G1159 &lt; 75000), "Medium",
  AND(G1159 &gt;= 75000, G1159 &lt; 150000), "High",
  G1159 &gt;= 150000, "Very High"
)</f>
        <v>Medium</v>
      </c>
      <c r="I1159" s="6">
        <v>0</v>
      </c>
      <c r="J1159" s="6">
        <v>0</v>
      </c>
      <c r="K1159" s="6">
        <f t="shared" si="73"/>
        <v>0</v>
      </c>
      <c r="L1159" s="8">
        <v>41248</v>
      </c>
      <c r="M1159" t="str">
        <f t="shared" ca="1" si="74"/>
        <v>13 years, 3 months</v>
      </c>
      <c r="N1159" s="6">
        <v>52</v>
      </c>
      <c r="O1159">
        <v>105</v>
      </c>
      <c r="P1159">
        <v>172</v>
      </c>
      <c r="Q1159">
        <f t="shared" si="75"/>
        <v>277</v>
      </c>
      <c r="R1159">
        <v>7</v>
      </c>
      <c r="S1159">
        <v>4</v>
      </c>
      <c r="T1159">
        <f>Table[[#This Row],[NumWebPurchases]]+Table[[#This Row],[NumStorePurchases]]</f>
        <v>11</v>
      </c>
    </row>
    <row r="1160" spans="1:20" ht="12.5">
      <c r="A1160" s="6">
        <v>1158</v>
      </c>
      <c r="B1160" s="6">
        <v>7959</v>
      </c>
      <c r="C1160" s="6">
        <v>1961</v>
      </c>
      <c r="D1160" s="6">
        <f t="shared" si="72"/>
        <v>64</v>
      </c>
      <c r="E1160" s="7" t="s">
        <v>9</v>
      </c>
      <c r="F1160" s="7" t="s">
        <v>13</v>
      </c>
      <c r="G1160" s="6">
        <v>79410</v>
      </c>
      <c r="H1160" s="6" t="str" cm="1">
        <f t="array" ref="H1160">_xlfn.IFS(
  G1160 &lt; 25000, "Low",
  AND(G1160 &gt;= 25000, G1160 &lt; 75000), "Medium",
  AND(G1160 &gt;= 75000, G1160 &lt; 150000), "High",
  G1160 &gt;= 150000, "Very High"
)</f>
        <v>High</v>
      </c>
      <c r="I1160" s="6">
        <v>0</v>
      </c>
      <c r="J1160" s="6">
        <v>0</v>
      </c>
      <c r="K1160" s="6">
        <f t="shared" si="73"/>
        <v>0</v>
      </c>
      <c r="L1160" s="8">
        <v>41788</v>
      </c>
      <c r="M1160" t="str">
        <f t="shared" ca="1" si="74"/>
        <v>11 years, 9 months</v>
      </c>
      <c r="N1160" s="6">
        <v>19</v>
      </c>
      <c r="O1160">
        <v>80</v>
      </c>
      <c r="P1160">
        <v>13</v>
      </c>
      <c r="Q1160">
        <f t="shared" si="75"/>
        <v>93</v>
      </c>
      <c r="R1160">
        <v>3</v>
      </c>
      <c r="S1160">
        <v>5</v>
      </c>
      <c r="T1160">
        <f>Table[[#This Row],[NumWebPurchases]]+Table[[#This Row],[NumStorePurchases]]</f>
        <v>8</v>
      </c>
    </row>
    <row r="1161" spans="1:20" ht="12.5">
      <c r="A1161" s="6">
        <v>1159</v>
      </c>
      <c r="B1161" s="6">
        <v>640</v>
      </c>
      <c r="C1161" s="6">
        <v>1951</v>
      </c>
      <c r="D1161" s="6">
        <f t="shared" si="72"/>
        <v>74</v>
      </c>
      <c r="E1161" s="7" t="s">
        <v>9</v>
      </c>
      <c r="F1161" s="7" t="s">
        <v>13</v>
      </c>
      <c r="G1161" s="6">
        <v>57304</v>
      </c>
      <c r="H1161" s="6" t="str" cm="1">
        <f t="array" ref="H1161">_xlfn.IFS(
  G1161 &lt; 25000, "Low",
  AND(G1161 &gt;= 25000, G1161 &lt; 75000), "Medium",
  AND(G1161 &gt;= 75000, G1161 &lt; 150000), "High",
  G1161 &gt;= 150000, "Very High"
)</f>
        <v>Medium</v>
      </c>
      <c r="I1161" s="6">
        <v>0</v>
      </c>
      <c r="J1161" s="6">
        <v>1</v>
      </c>
      <c r="K1161" s="6">
        <f t="shared" si="73"/>
        <v>1</v>
      </c>
      <c r="L1161" s="8">
        <v>41344</v>
      </c>
      <c r="M1161" t="str">
        <f t="shared" ca="1" si="74"/>
        <v>12 years, 11 months</v>
      </c>
      <c r="N1161" s="6">
        <v>61</v>
      </c>
      <c r="O1161">
        <v>80</v>
      </c>
      <c r="P1161">
        <v>17</v>
      </c>
      <c r="Q1161">
        <f t="shared" si="75"/>
        <v>97</v>
      </c>
      <c r="R1161">
        <v>7</v>
      </c>
      <c r="S1161">
        <v>10</v>
      </c>
      <c r="T1161">
        <f>Table[[#This Row],[NumWebPurchases]]+Table[[#This Row],[NumStorePurchases]]</f>
        <v>17</v>
      </c>
    </row>
    <row r="1162" spans="1:20" ht="12.5">
      <c r="A1162" s="6">
        <v>1160</v>
      </c>
      <c r="B1162" s="6">
        <v>4252</v>
      </c>
      <c r="C1162" s="6">
        <v>1965</v>
      </c>
      <c r="D1162" s="6">
        <f t="shared" si="72"/>
        <v>60</v>
      </c>
      <c r="E1162" s="7" t="s">
        <v>9</v>
      </c>
      <c r="F1162" s="7" t="s">
        <v>13</v>
      </c>
      <c r="G1162" s="6">
        <v>44375</v>
      </c>
      <c r="H1162" s="6" t="str" cm="1">
        <f t="array" ref="H1162">_xlfn.IFS(
  G1162 &lt; 25000, "Low",
  AND(G1162 &gt;= 25000, G1162 &lt; 75000), "Medium",
  AND(G1162 &gt;= 75000, G1162 &lt; 150000), "High",
  G1162 &gt;= 150000, "Very High"
)</f>
        <v>Medium</v>
      </c>
      <c r="I1162" s="6">
        <v>0</v>
      </c>
      <c r="J1162" s="6">
        <v>1</v>
      </c>
      <c r="K1162" s="6">
        <f t="shared" si="73"/>
        <v>1</v>
      </c>
      <c r="L1162" s="8">
        <v>41721</v>
      </c>
      <c r="M1162" t="str">
        <f t="shared" ca="1" si="74"/>
        <v>11 years, 11 months</v>
      </c>
      <c r="N1162" s="6">
        <v>73</v>
      </c>
      <c r="O1162">
        <v>5</v>
      </c>
      <c r="P1162">
        <v>7</v>
      </c>
      <c r="Q1162">
        <f t="shared" si="75"/>
        <v>12</v>
      </c>
      <c r="R1162">
        <v>4</v>
      </c>
      <c r="S1162">
        <v>6</v>
      </c>
      <c r="T1162">
        <f>Table[[#This Row],[NumWebPurchases]]+Table[[#This Row],[NumStorePurchases]]</f>
        <v>10</v>
      </c>
    </row>
    <row r="1163" spans="1:20" ht="12.5">
      <c r="A1163" s="6">
        <v>1161</v>
      </c>
      <c r="B1163" s="6">
        <v>8432</v>
      </c>
      <c r="C1163" s="6">
        <v>1956</v>
      </c>
      <c r="D1163" s="6">
        <f t="shared" si="72"/>
        <v>69</v>
      </c>
      <c r="E1163" s="7" t="s">
        <v>9</v>
      </c>
      <c r="F1163" s="7" t="s">
        <v>11</v>
      </c>
      <c r="G1163" s="6">
        <v>54450</v>
      </c>
      <c r="H1163" s="6" t="str" cm="1">
        <f t="array" ref="H1163">_xlfn.IFS(
  G1163 &lt; 25000, "Low",
  AND(G1163 &gt;= 25000, G1163 &lt; 75000), "Medium",
  AND(G1163 &gt;= 75000, G1163 &lt; 150000), "High",
  G1163 &gt;= 150000, "Very High"
)</f>
        <v>Medium</v>
      </c>
      <c r="I1163" s="6">
        <v>1</v>
      </c>
      <c r="J1163" s="6">
        <v>1</v>
      </c>
      <c r="K1163" s="6">
        <f t="shared" si="73"/>
        <v>2</v>
      </c>
      <c r="L1163" s="8">
        <v>41166</v>
      </c>
      <c r="M1163" t="str">
        <f t="shared" ca="1" si="74"/>
        <v>13 years, 5 months</v>
      </c>
      <c r="N1163" s="6">
        <v>0</v>
      </c>
      <c r="O1163">
        <v>0</v>
      </c>
      <c r="P1163">
        <v>19</v>
      </c>
      <c r="Q1163">
        <f t="shared" si="75"/>
        <v>19</v>
      </c>
      <c r="R1163">
        <v>9</v>
      </c>
      <c r="S1163">
        <v>8</v>
      </c>
      <c r="T1163">
        <f>Table[[#This Row],[NumWebPurchases]]+Table[[#This Row],[NumStorePurchases]]</f>
        <v>17</v>
      </c>
    </row>
    <row r="1164" spans="1:20" ht="12.5">
      <c r="A1164" s="6">
        <v>1162</v>
      </c>
      <c r="B1164" s="6">
        <v>6218</v>
      </c>
      <c r="C1164" s="6">
        <v>1965</v>
      </c>
      <c r="D1164" s="6">
        <f t="shared" si="72"/>
        <v>60</v>
      </c>
      <c r="E1164" s="7" t="s">
        <v>9</v>
      </c>
      <c r="F1164" s="7" t="s">
        <v>13</v>
      </c>
      <c r="G1164" s="6">
        <v>59594</v>
      </c>
      <c r="H1164" s="6" t="str" cm="1">
        <f t="array" ref="H1164">_xlfn.IFS(
  G1164 &lt; 25000, "Low",
  AND(G1164 &gt;= 25000, G1164 &lt; 75000), "Medium",
  AND(G1164 &gt;= 75000, G1164 &lt; 150000), "High",
  G1164 &gt;= 150000, "Very High"
)</f>
        <v>Medium</v>
      </c>
      <c r="I1164" s="6">
        <v>0</v>
      </c>
      <c r="J1164" s="6">
        <v>1</v>
      </c>
      <c r="K1164" s="6">
        <f t="shared" si="73"/>
        <v>1</v>
      </c>
      <c r="L1164" s="9">
        <v>41202</v>
      </c>
      <c r="M1164" t="str">
        <f t="shared" ca="1" si="74"/>
        <v>13 years, 4 months</v>
      </c>
      <c r="N1164" s="6">
        <v>74</v>
      </c>
      <c r="O1164">
        <v>4</v>
      </c>
      <c r="P1164">
        <v>0</v>
      </c>
      <c r="Q1164">
        <f t="shared" si="75"/>
        <v>4</v>
      </c>
      <c r="R1164">
        <v>8</v>
      </c>
      <c r="S1164">
        <v>7</v>
      </c>
      <c r="T1164">
        <f>Table[[#This Row],[NumWebPurchases]]+Table[[#This Row],[NumStorePurchases]]</f>
        <v>15</v>
      </c>
    </row>
    <row r="1165" spans="1:20" ht="12.5">
      <c r="A1165" s="6">
        <v>1163</v>
      </c>
      <c r="B1165" s="6">
        <v>6905</v>
      </c>
      <c r="C1165" s="6">
        <v>1994</v>
      </c>
      <c r="D1165" s="6">
        <f t="shared" si="72"/>
        <v>31</v>
      </c>
      <c r="E1165" s="7" t="s">
        <v>9</v>
      </c>
      <c r="F1165" s="7" t="s">
        <v>11</v>
      </c>
      <c r="G1165" s="6">
        <v>80685</v>
      </c>
      <c r="H1165" s="6" t="str" cm="1">
        <f t="array" ref="H1165">_xlfn.IFS(
  G1165 &lt; 25000, "Low",
  AND(G1165 &gt;= 25000, G1165 &lt; 75000), "Medium",
  AND(G1165 &gt;= 75000, G1165 &lt; 150000), "High",
  G1165 &gt;= 150000, "Very High"
)</f>
        <v>High</v>
      </c>
      <c r="I1165" s="6">
        <v>0</v>
      </c>
      <c r="J1165" s="6">
        <v>0</v>
      </c>
      <c r="K1165" s="6">
        <f t="shared" si="73"/>
        <v>0</v>
      </c>
      <c r="L1165" s="8">
        <v>41143</v>
      </c>
      <c r="M1165" t="str">
        <f t="shared" ca="1" si="74"/>
        <v>13 years, 6 months</v>
      </c>
      <c r="N1165" s="6">
        <v>55</v>
      </c>
      <c r="O1165">
        <v>45</v>
      </c>
      <c r="P1165">
        <v>26</v>
      </c>
      <c r="Q1165">
        <f t="shared" si="75"/>
        <v>71</v>
      </c>
      <c r="R1165">
        <v>6</v>
      </c>
      <c r="S1165">
        <v>10</v>
      </c>
      <c r="T1165">
        <f>Table[[#This Row],[NumWebPurchases]]+Table[[#This Row],[NumStorePurchases]]</f>
        <v>16</v>
      </c>
    </row>
    <row r="1166" spans="1:20" ht="12.5">
      <c r="A1166" s="6">
        <v>1164</v>
      </c>
      <c r="B1166" s="6">
        <v>5922</v>
      </c>
      <c r="C1166" s="6">
        <v>1974</v>
      </c>
      <c r="D1166" s="6">
        <f t="shared" si="72"/>
        <v>51</v>
      </c>
      <c r="E1166" s="7" t="s">
        <v>12</v>
      </c>
      <c r="F1166" s="7" t="s">
        <v>13</v>
      </c>
      <c r="G1166" s="6">
        <v>40344</v>
      </c>
      <c r="H1166" s="6" t="str" cm="1">
        <f t="array" ref="H1166">_xlfn.IFS(
  G1166 &lt; 25000, "Low",
  AND(G1166 &gt;= 25000, G1166 &lt; 75000), "Medium",
  AND(G1166 &gt;= 75000, G1166 &lt; 150000), "High",
  G1166 &gt;= 150000, "Very High"
)</f>
        <v>Medium</v>
      </c>
      <c r="I1166" s="6">
        <v>0</v>
      </c>
      <c r="J1166" s="6">
        <v>1</v>
      </c>
      <c r="K1166" s="6">
        <f t="shared" si="73"/>
        <v>1</v>
      </c>
      <c r="L1166" s="9">
        <v>41560</v>
      </c>
      <c r="M1166" t="str">
        <f t="shared" ca="1" si="74"/>
        <v>12 years, 4 months</v>
      </c>
      <c r="N1166" s="6">
        <v>48</v>
      </c>
      <c r="O1166">
        <v>0</v>
      </c>
      <c r="P1166">
        <v>0</v>
      </c>
      <c r="Q1166">
        <f t="shared" si="75"/>
        <v>0</v>
      </c>
      <c r="R1166">
        <v>4</v>
      </c>
      <c r="S1166">
        <v>5</v>
      </c>
      <c r="T1166">
        <f>Table[[#This Row],[NumWebPurchases]]+Table[[#This Row],[NumStorePurchases]]</f>
        <v>9</v>
      </c>
    </row>
    <row r="1167" spans="1:20" ht="12.5">
      <c r="A1167" s="6">
        <v>1165</v>
      </c>
      <c r="B1167" s="6">
        <v>3598</v>
      </c>
      <c r="C1167" s="6">
        <v>1972</v>
      </c>
      <c r="D1167" s="6">
        <f t="shared" si="72"/>
        <v>53</v>
      </c>
      <c r="E1167" s="7" t="s">
        <v>9</v>
      </c>
      <c r="F1167" s="7" t="s">
        <v>13</v>
      </c>
      <c r="G1167" s="6">
        <v>62710</v>
      </c>
      <c r="H1167" s="6" t="str" cm="1">
        <f t="array" ref="H1167">_xlfn.IFS(
  G1167 &lt; 25000, "Low",
  AND(G1167 &gt;= 25000, G1167 &lt; 75000), "Medium",
  AND(G1167 &gt;= 75000, G1167 &lt; 150000), "High",
  G1167 &gt;= 150000, "Very High"
)</f>
        <v>Medium</v>
      </c>
      <c r="I1167" s="6">
        <v>0</v>
      </c>
      <c r="J1167" s="6">
        <v>1</v>
      </c>
      <c r="K1167" s="6">
        <f t="shared" si="73"/>
        <v>1</v>
      </c>
      <c r="L1167" s="8">
        <v>41417</v>
      </c>
      <c r="M1167" t="str">
        <f t="shared" ca="1" si="74"/>
        <v>12 years, 9 months</v>
      </c>
      <c r="N1167" s="6">
        <v>53</v>
      </c>
      <c r="O1167">
        <v>35</v>
      </c>
      <c r="P1167">
        <v>29</v>
      </c>
      <c r="Q1167">
        <f t="shared" si="75"/>
        <v>64</v>
      </c>
      <c r="R1167">
        <v>4</v>
      </c>
      <c r="S1167">
        <v>12</v>
      </c>
      <c r="T1167">
        <f>Table[[#This Row],[NumWebPurchases]]+Table[[#This Row],[NumStorePurchases]]</f>
        <v>16</v>
      </c>
    </row>
    <row r="1168" spans="1:20" ht="12.5">
      <c r="A1168" s="6">
        <v>1166</v>
      </c>
      <c r="B1168" s="6">
        <v>6116</v>
      </c>
      <c r="C1168" s="6">
        <v>1968</v>
      </c>
      <c r="D1168" s="6">
        <f t="shared" si="72"/>
        <v>57</v>
      </c>
      <c r="E1168" s="7" t="s">
        <v>17</v>
      </c>
      <c r="F1168" s="7" t="s">
        <v>13</v>
      </c>
      <c r="G1168" s="6">
        <v>48985</v>
      </c>
      <c r="H1168" s="6" t="str" cm="1">
        <f t="array" ref="H1168">_xlfn.IFS(
  G1168 &lt; 25000, "Low",
  AND(G1168 &gt;= 25000, G1168 &lt; 75000), "Medium",
  AND(G1168 &gt;= 75000, G1168 &lt; 150000), "High",
  G1168 &gt;= 150000, "Very High"
)</f>
        <v>Medium</v>
      </c>
      <c r="I1168" s="6">
        <v>0</v>
      </c>
      <c r="J1168" s="6">
        <v>1</v>
      </c>
      <c r="K1168" s="6">
        <f t="shared" si="73"/>
        <v>1</v>
      </c>
      <c r="L1168" s="8">
        <v>41460</v>
      </c>
      <c r="M1168" t="str">
        <f t="shared" ca="1" si="74"/>
        <v>12 years, 8 months</v>
      </c>
      <c r="N1168" s="6">
        <v>13</v>
      </c>
      <c r="O1168">
        <v>13</v>
      </c>
      <c r="P1168">
        <v>7</v>
      </c>
      <c r="Q1168">
        <f t="shared" si="75"/>
        <v>20</v>
      </c>
      <c r="R1168">
        <v>1</v>
      </c>
      <c r="S1168">
        <v>3</v>
      </c>
      <c r="T1168">
        <f>Table[[#This Row],[NumWebPurchases]]+Table[[#This Row],[NumStorePurchases]]</f>
        <v>4</v>
      </c>
    </row>
    <row r="1169" spans="1:20" ht="12.5">
      <c r="A1169" s="6">
        <v>1167</v>
      </c>
      <c r="B1169" s="6">
        <v>6263</v>
      </c>
      <c r="C1169" s="6">
        <v>1968</v>
      </c>
      <c r="D1169" s="6">
        <f t="shared" si="72"/>
        <v>57</v>
      </c>
      <c r="E1169" s="7" t="s">
        <v>9</v>
      </c>
      <c r="F1169" s="7" t="s">
        <v>11</v>
      </c>
      <c r="G1169" s="6">
        <v>35322</v>
      </c>
      <c r="H1169" s="6" t="str" cm="1">
        <f t="array" ref="H1169">_xlfn.IFS(
  G1169 &lt; 25000, "Low",
  AND(G1169 &gt;= 25000, G1169 &lt; 75000), "Medium",
  AND(G1169 &gt;= 75000, G1169 &lt; 150000), "High",
  G1169 &gt;= 150000, "Very High"
)</f>
        <v>Medium</v>
      </c>
      <c r="I1169" s="6">
        <v>1</v>
      </c>
      <c r="J1169" s="6">
        <v>2</v>
      </c>
      <c r="K1169" s="6">
        <f t="shared" si="73"/>
        <v>3</v>
      </c>
      <c r="L1169" s="8">
        <v>41143</v>
      </c>
      <c r="M1169" t="str">
        <f t="shared" ca="1" si="74"/>
        <v>13 years, 6 months</v>
      </c>
      <c r="N1169" s="6">
        <v>34</v>
      </c>
      <c r="O1169">
        <v>9</v>
      </c>
      <c r="P1169">
        <v>7</v>
      </c>
      <c r="Q1169">
        <f t="shared" si="75"/>
        <v>16</v>
      </c>
      <c r="R1169">
        <v>2</v>
      </c>
      <c r="S1169">
        <v>4</v>
      </c>
      <c r="T1169">
        <f>Table[[#This Row],[NumWebPurchases]]+Table[[#This Row],[NumStorePurchases]]</f>
        <v>6</v>
      </c>
    </row>
    <row r="1170" spans="1:20" ht="12.5">
      <c r="A1170" s="6">
        <v>1168</v>
      </c>
      <c r="B1170" s="6">
        <v>10486</v>
      </c>
      <c r="C1170" s="6">
        <v>1948</v>
      </c>
      <c r="D1170" s="6">
        <f t="shared" si="72"/>
        <v>77</v>
      </c>
      <c r="E1170" s="7" t="s">
        <v>9</v>
      </c>
      <c r="F1170" s="7" t="s">
        <v>13</v>
      </c>
      <c r="G1170" s="6">
        <v>77142</v>
      </c>
      <c r="H1170" s="6" t="str" cm="1">
        <f t="array" ref="H1170">_xlfn.IFS(
  G1170 &lt; 25000, "Low",
  AND(G1170 &gt;= 25000, G1170 &lt; 75000), "Medium",
  AND(G1170 &gt;= 75000, G1170 &lt; 150000), "High",
  G1170 &gt;= 150000, "Very High"
)</f>
        <v>High</v>
      </c>
      <c r="I1170" s="6">
        <v>0</v>
      </c>
      <c r="J1170" s="6">
        <v>0</v>
      </c>
      <c r="K1170" s="6">
        <f t="shared" si="73"/>
        <v>0</v>
      </c>
      <c r="L1170" s="8">
        <v>41423</v>
      </c>
      <c r="M1170" t="str">
        <f t="shared" ca="1" si="74"/>
        <v>12 years, 9 months</v>
      </c>
      <c r="N1170" s="6">
        <v>54</v>
      </c>
      <c r="O1170">
        <v>75</v>
      </c>
      <c r="P1170">
        <v>151</v>
      </c>
      <c r="Q1170">
        <f t="shared" si="75"/>
        <v>226</v>
      </c>
      <c r="R1170">
        <v>4</v>
      </c>
      <c r="S1170">
        <v>8</v>
      </c>
      <c r="T1170">
        <f>Table[[#This Row],[NumWebPurchases]]+Table[[#This Row],[NumStorePurchases]]</f>
        <v>12</v>
      </c>
    </row>
    <row r="1171" spans="1:20" ht="12.5">
      <c r="A1171" s="6">
        <v>1169</v>
      </c>
      <c r="B1171" s="6">
        <v>2410</v>
      </c>
      <c r="C1171" s="6">
        <v>1969</v>
      </c>
      <c r="D1171" s="6">
        <f t="shared" si="72"/>
        <v>56</v>
      </c>
      <c r="E1171" s="7" t="s">
        <v>9</v>
      </c>
      <c r="F1171" s="7" t="s">
        <v>10</v>
      </c>
      <c r="G1171" s="6">
        <v>81657</v>
      </c>
      <c r="H1171" s="6" t="str" cm="1">
        <f t="array" ref="H1171">_xlfn.IFS(
  G1171 &lt; 25000, "Low",
  AND(G1171 &gt;= 25000, G1171 &lt; 75000), "Medium",
  AND(G1171 &gt;= 75000, G1171 &lt; 150000), "High",
  G1171 &gt;= 150000, "Very High"
)</f>
        <v>High</v>
      </c>
      <c r="I1171" s="6">
        <v>0</v>
      </c>
      <c r="J1171" s="6">
        <v>0</v>
      </c>
      <c r="K1171" s="6">
        <f t="shared" si="73"/>
        <v>0</v>
      </c>
      <c r="L1171" s="8">
        <v>41661</v>
      </c>
      <c r="M1171" t="str">
        <f t="shared" ca="1" si="74"/>
        <v>12 years, 1 months</v>
      </c>
      <c r="N1171" s="6">
        <v>69</v>
      </c>
      <c r="O1171">
        <v>40</v>
      </c>
      <c r="P1171">
        <v>60</v>
      </c>
      <c r="Q1171">
        <f t="shared" si="75"/>
        <v>100</v>
      </c>
      <c r="R1171">
        <v>3</v>
      </c>
      <c r="S1171">
        <v>8</v>
      </c>
      <c r="T1171">
        <f>Table[[#This Row],[NumWebPurchases]]+Table[[#This Row],[NumStorePurchases]]</f>
        <v>11</v>
      </c>
    </row>
    <row r="1172" spans="1:20" ht="12.5">
      <c r="A1172" s="6">
        <v>1170</v>
      </c>
      <c r="B1172" s="6">
        <v>193</v>
      </c>
      <c r="C1172" s="6">
        <v>1996</v>
      </c>
      <c r="D1172" s="6">
        <f t="shared" si="72"/>
        <v>29</v>
      </c>
      <c r="E1172" s="7" t="s">
        <v>16</v>
      </c>
      <c r="F1172" s="7" t="s">
        <v>13</v>
      </c>
      <c r="G1172" s="6">
        <v>14421</v>
      </c>
      <c r="H1172" s="6" t="str" cm="1">
        <f t="array" ref="H1172">_xlfn.IFS(
  G1172 &lt; 25000, "Low",
  AND(G1172 &gt;= 25000, G1172 &lt; 75000), "Medium",
  AND(G1172 &gt;= 75000, G1172 &lt; 150000), "High",
  G1172 &gt;= 150000, "Very High"
)</f>
        <v>Low</v>
      </c>
      <c r="I1172" s="6">
        <v>0</v>
      </c>
      <c r="J1172" s="6">
        <v>0</v>
      </c>
      <c r="K1172" s="6">
        <f t="shared" si="73"/>
        <v>0</v>
      </c>
      <c r="L1172" s="8">
        <v>41687</v>
      </c>
      <c r="M1172" t="str">
        <f t="shared" ca="1" si="74"/>
        <v>12 years, 0 months</v>
      </c>
      <c r="N1172" s="6">
        <v>81</v>
      </c>
      <c r="O1172">
        <v>0</v>
      </c>
      <c r="P1172">
        <v>3</v>
      </c>
      <c r="Q1172">
        <f t="shared" si="75"/>
        <v>3</v>
      </c>
      <c r="R1172">
        <v>1</v>
      </c>
      <c r="S1172">
        <v>2</v>
      </c>
      <c r="T1172">
        <f>Table[[#This Row],[NumWebPurchases]]+Table[[#This Row],[NumStorePurchases]]</f>
        <v>3</v>
      </c>
    </row>
    <row r="1173" spans="1:20" ht="12.5">
      <c r="A1173" s="6">
        <v>1171</v>
      </c>
      <c r="B1173" s="6">
        <v>3363</v>
      </c>
      <c r="C1173" s="6">
        <v>1974</v>
      </c>
      <c r="D1173" s="6">
        <f t="shared" si="72"/>
        <v>51</v>
      </c>
      <c r="E1173" s="7" t="s">
        <v>17</v>
      </c>
      <c r="F1173" s="7" t="s">
        <v>13</v>
      </c>
      <c r="G1173" s="6">
        <v>20130</v>
      </c>
      <c r="H1173" s="6" t="str" cm="1">
        <f t="array" ref="H1173">_xlfn.IFS(
  G1173 &lt; 25000, "Low",
  AND(G1173 &gt;= 25000, G1173 &lt; 75000), "Medium",
  AND(G1173 &gt;= 75000, G1173 &lt; 150000), "High",
  G1173 &gt;= 150000, "Very High"
)</f>
        <v>Low</v>
      </c>
      <c r="I1173" s="6">
        <v>0</v>
      </c>
      <c r="J1173" s="6">
        <v>0</v>
      </c>
      <c r="K1173" s="6">
        <f t="shared" si="73"/>
        <v>0</v>
      </c>
      <c r="L1173" s="8">
        <v>41715</v>
      </c>
      <c r="M1173" t="str">
        <f t="shared" ca="1" si="74"/>
        <v>11 years, 11 months</v>
      </c>
      <c r="N1173" s="6">
        <v>99</v>
      </c>
      <c r="O1173">
        <v>6</v>
      </c>
      <c r="P1173">
        <v>6</v>
      </c>
      <c r="Q1173">
        <f t="shared" si="75"/>
        <v>12</v>
      </c>
      <c r="R1173">
        <v>1</v>
      </c>
      <c r="S1173">
        <v>3</v>
      </c>
      <c r="T1173">
        <f>Table[[#This Row],[NumWebPurchases]]+Table[[#This Row],[NumStorePurchases]]</f>
        <v>4</v>
      </c>
    </row>
    <row r="1174" spans="1:20" ht="12.5">
      <c r="A1174" s="6">
        <v>1172</v>
      </c>
      <c r="B1174" s="6">
        <v>8278</v>
      </c>
      <c r="C1174" s="6">
        <v>1990</v>
      </c>
      <c r="D1174" s="6">
        <f t="shared" si="72"/>
        <v>35</v>
      </c>
      <c r="E1174" s="7" t="s">
        <v>12</v>
      </c>
      <c r="F1174" s="7" t="s">
        <v>13</v>
      </c>
      <c r="G1174" s="6">
        <v>74214</v>
      </c>
      <c r="H1174" s="6" t="str" cm="1">
        <f t="array" ref="H1174">_xlfn.IFS(
  G1174 &lt; 25000, "Low",
  AND(G1174 &gt;= 25000, G1174 &lt; 75000), "Medium",
  AND(G1174 &gt;= 75000, G1174 &lt; 150000), "High",
  G1174 &gt;= 150000, "Very High"
)</f>
        <v>Medium</v>
      </c>
      <c r="I1174" s="6">
        <v>0</v>
      </c>
      <c r="J1174" s="6">
        <v>0</v>
      </c>
      <c r="K1174" s="6">
        <f t="shared" si="73"/>
        <v>0</v>
      </c>
      <c r="L1174" s="8">
        <v>41147</v>
      </c>
      <c r="M1174" t="str">
        <f t="shared" ca="1" si="74"/>
        <v>13 years, 6 months</v>
      </c>
      <c r="N1174" s="6">
        <v>3</v>
      </c>
      <c r="O1174">
        <v>83</v>
      </c>
      <c r="P1174">
        <v>99</v>
      </c>
      <c r="Q1174">
        <f t="shared" si="75"/>
        <v>182</v>
      </c>
      <c r="R1174">
        <v>8</v>
      </c>
      <c r="S1174">
        <v>5</v>
      </c>
      <c r="T1174">
        <f>Table[[#This Row],[NumWebPurchases]]+Table[[#This Row],[NumStorePurchases]]</f>
        <v>13</v>
      </c>
    </row>
    <row r="1175" spans="1:20" ht="12.5">
      <c r="A1175" s="6">
        <v>1173</v>
      </c>
      <c r="B1175" s="6">
        <v>10660</v>
      </c>
      <c r="C1175" s="6">
        <v>1957</v>
      </c>
      <c r="D1175" s="6">
        <f t="shared" si="72"/>
        <v>68</v>
      </c>
      <c r="E1175" s="7" t="s">
        <v>14</v>
      </c>
      <c r="F1175" s="7" t="s">
        <v>13</v>
      </c>
      <c r="G1175" s="6">
        <v>66726</v>
      </c>
      <c r="H1175" s="6" t="str" cm="1">
        <f t="array" ref="H1175">_xlfn.IFS(
  G1175 &lt; 25000, "Low",
  AND(G1175 &gt;= 25000, G1175 &lt; 75000), "Medium",
  AND(G1175 &gt;= 75000, G1175 &lt; 150000), "High",
  G1175 &gt;= 150000, "Very High"
)</f>
        <v>Medium</v>
      </c>
      <c r="I1175" s="6">
        <v>1</v>
      </c>
      <c r="J1175" s="6">
        <v>1</v>
      </c>
      <c r="K1175" s="6">
        <f t="shared" si="73"/>
        <v>2</v>
      </c>
      <c r="L1175" s="8">
        <v>41651</v>
      </c>
      <c r="M1175" t="str">
        <f t="shared" ca="1" si="74"/>
        <v>12 years, 1 months</v>
      </c>
      <c r="N1175" s="6">
        <v>61</v>
      </c>
      <c r="O1175">
        <v>7</v>
      </c>
      <c r="P1175">
        <v>0</v>
      </c>
      <c r="Q1175">
        <f t="shared" si="75"/>
        <v>7</v>
      </c>
      <c r="R1175">
        <v>8</v>
      </c>
      <c r="S1175">
        <v>4</v>
      </c>
      <c r="T1175">
        <f>Table[[#This Row],[NumWebPurchases]]+Table[[#This Row],[NumStorePurchases]]</f>
        <v>12</v>
      </c>
    </row>
    <row r="1176" spans="1:20" ht="12.5">
      <c r="A1176" s="6">
        <v>1174</v>
      </c>
      <c r="B1176" s="6">
        <v>8686</v>
      </c>
      <c r="C1176" s="6">
        <v>1979</v>
      </c>
      <c r="D1176" s="6">
        <f t="shared" si="72"/>
        <v>46</v>
      </c>
      <c r="E1176" s="7" t="s">
        <v>16</v>
      </c>
      <c r="F1176" s="7" t="s">
        <v>11</v>
      </c>
      <c r="G1176" s="6">
        <v>23724</v>
      </c>
      <c r="H1176" s="6" t="str" cm="1">
        <f t="array" ref="H1176">_xlfn.IFS(
  G1176 &lt; 25000, "Low",
  AND(G1176 &gt;= 25000, G1176 &lt; 75000), "Medium",
  AND(G1176 &gt;= 75000, G1176 &lt; 150000), "High",
  G1176 &gt;= 150000, "Very High"
)</f>
        <v>Low</v>
      </c>
      <c r="I1176" s="6">
        <v>1</v>
      </c>
      <c r="J1176" s="6">
        <v>0</v>
      </c>
      <c r="K1176" s="6">
        <f t="shared" si="73"/>
        <v>1</v>
      </c>
      <c r="L1176" s="8">
        <v>41282</v>
      </c>
      <c r="M1176" t="str">
        <f t="shared" ca="1" si="74"/>
        <v>13 years, 1 months</v>
      </c>
      <c r="N1176" s="6">
        <v>65</v>
      </c>
      <c r="O1176">
        <v>23</v>
      </c>
      <c r="P1176">
        <v>18</v>
      </c>
      <c r="Q1176">
        <f t="shared" si="75"/>
        <v>41</v>
      </c>
      <c r="R1176">
        <v>2</v>
      </c>
      <c r="S1176">
        <v>3</v>
      </c>
      <c r="T1176">
        <f>Table[[#This Row],[NumWebPurchases]]+Table[[#This Row],[NumStorePurchases]]</f>
        <v>5</v>
      </c>
    </row>
    <row r="1177" spans="1:20" ht="12.5">
      <c r="A1177" s="6">
        <v>1175</v>
      </c>
      <c r="B1177" s="6">
        <v>1604</v>
      </c>
      <c r="C1177" s="6">
        <v>1960</v>
      </c>
      <c r="D1177" s="6">
        <f t="shared" si="72"/>
        <v>65</v>
      </c>
      <c r="E1177" s="7" t="s">
        <v>14</v>
      </c>
      <c r="F1177" s="7" t="s">
        <v>13</v>
      </c>
      <c r="G1177" s="6">
        <v>47353</v>
      </c>
      <c r="H1177" s="6" t="str" cm="1">
        <f t="array" ref="H1177">_xlfn.IFS(
  G1177 &lt; 25000, "Low",
  AND(G1177 &gt;= 25000, G1177 &lt; 75000), "Medium",
  AND(G1177 &gt;= 75000, G1177 &lt; 150000), "High",
  G1177 &gt;= 150000, "Very High"
)</f>
        <v>Medium</v>
      </c>
      <c r="I1177" s="6">
        <v>0</v>
      </c>
      <c r="J1177" s="6">
        <v>1</v>
      </c>
      <c r="K1177" s="6">
        <f t="shared" si="73"/>
        <v>1</v>
      </c>
      <c r="L1177" s="9">
        <v>41591</v>
      </c>
      <c r="M1177" t="str">
        <f t="shared" ca="1" si="74"/>
        <v>12 years, 3 months</v>
      </c>
      <c r="N1177" s="6">
        <v>93</v>
      </c>
      <c r="O1177">
        <v>2</v>
      </c>
      <c r="P1177">
        <v>8</v>
      </c>
      <c r="Q1177">
        <f t="shared" si="75"/>
        <v>10</v>
      </c>
      <c r="R1177">
        <v>2</v>
      </c>
      <c r="S1177">
        <v>6</v>
      </c>
      <c r="T1177">
        <f>Table[[#This Row],[NumWebPurchases]]+Table[[#This Row],[NumStorePurchases]]</f>
        <v>8</v>
      </c>
    </row>
    <row r="1178" spans="1:20" ht="12.5">
      <c r="A1178" s="6">
        <v>1176</v>
      </c>
      <c r="B1178" s="6">
        <v>5907</v>
      </c>
      <c r="C1178" s="6">
        <v>1952</v>
      </c>
      <c r="D1178" s="6">
        <f t="shared" si="72"/>
        <v>73</v>
      </c>
      <c r="E1178" s="7" t="s">
        <v>14</v>
      </c>
      <c r="F1178" s="7" t="s">
        <v>13</v>
      </c>
      <c r="G1178" s="6">
        <v>33444</v>
      </c>
      <c r="H1178" s="6" t="str" cm="1">
        <f t="array" ref="H1178">_xlfn.IFS(
  G1178 &lt; 25000, "Low",
  AND(G1178 &gt;= 25000, G1178 &lt; 75000), "Medium",
  AND(G1178 &gt;= 75000, G1178 &lt; 150000), "High",
  G1178 &gt;= 150000, "Very High"
)</f>
        <v>Medium</v>
      </c>
      <c r="I1178" s="6">
        <v>1</v>
      </c>
      <c r="J1178" s="6">
        <v>1</v>
      </c>
      <c r="K1178" s="6">
        <f t="shared" si="73"/>
        <v>2</v>
      </c>
      <c r="L1178" s="8">
        <v>41216</v>
      </c>
      <c r="M1178" t="str">
        <f t="shared" ca="1" si="74"/>
        <v>13 years, 4 months</v>
      </c>
      <c r="N1178" s="6">
        <v>24</v>
      </c>
      <c r="O1178">
        <v>0</v>
      </c>
      <c r="P1178">
        <v>0</v>
      </c>
      <c r="Q1178">
        <f t="shared" si="75"/>
        <v>0</v>
      </c>
      <c r="R1178">
        <v>1</v>
      </c>
      <c r="S1178">
        <v>2</v>
      </c>
      <c r="T1178">
        <f>Table[[#This Row],[NumWebPurchases]]+Table[[#This Row],[NumStorePurchases]]</f>
        <v>3</v>
      </c>
    </row>
    <row r="1179" spans="1:20" ht="12.5">
      <c r="A1179" s="6">
        <v>1177</v>
      </c>
      <c r="B1179" s="6">
        <v>10669</v>
      </c>
      <c r="C1179" s="6">
        <v>1981</v>
      </c>
      <c r="D1179" s="6">
        <f t="shared" si="72"/>
        <v>44</v>
      </c>
      <c r="E1179" s="7" t="s">
        <v>9</v>
      </c>
      <c r="F1179" s="7" t="s">
        <v>13</v>
      </c>
      <c r="G1179" s="6">
        <v>54386</v>
      </c>
      <c r="H1179" s="6" t="str" cm="1">
        <f t="array" ref="H1179">_xlfn.IFS(
  G1179 &lt; 25000, "Low",
  AND(G1179 &gt;= 25000, G1179 &lt; 75000), "Medium",
  AND(G1179 &gt;= 75000, G1179 &lt; 150000), "High",
  G1179 &gt;= 150000, "Very High"
)</f>
        <v>Medium</v>
      </c>
      <c r="I1179" s="6">
        <v>0</v>
      </c>
      <c r="J1179" s="6">
        <v>1</v>
      </c>
      <c r="K1179" s="6">
        <f t="shared" si="73"/>
        <v>1</v>
      </c>
      <c r="L1179" s="8">
        <v>41411</v>
      </c>
      <c r="M1179" t="str">
        <f t="shared" ca="1" si="74"/>
        <v>12 years, 9 months</v>
      </c>
      <c r="N1179" s="6">
        <v>8</v>
      </c>
      <c r="O1179">
        <v>21</v>
      </c>
      <c r="P1179">
        <v>21</v>
      </c>
      <c r="Q1179">
        <f t="shared" si="75"/>
        <v>42</v>
      </c>
      <c r="R1179">
        <v>3</v>
      </c>
      <c r="S1179">
        <v>10</v>
      </c>
      <c r="T1179">
        <f>Table[[#This Row],[NumWebPurchases]]+Table[[#This Row],[NumStorePurchases]]</f>
        <v>13</v>
      </c>
    </row>
    <row r="1180" spans="1:20" ht="12.5">
      <c r="A1180" s="6">
        <v>1178</v>
      </c>
      <c r="B1180" s="6">
        <v>2918</v>
      </c>
      <c r="C1180" s="6">
        <v>1981</v>
      </c>
      <c r="D1180" s="6">
        <f t="shared" si="72"/>
        <v>44</v>
      </c>
      <c r="E1180" s="7" t="s">
        <v>9</v>
      </c>
      <c r="F1180" s="7" t="s">
        <v>15</v>
      </c>
      <c r="G1180" s="6">
        <v>28510</v>
      </c>
      <c r="H1180" s="6" t="str" cm="1">
        <f t="array" ref="H1180">_xlfn.IFS(
  G1180 &lt; 25000, "Low",
  AND(G1180 &gt;= 25000, G1180 &lt; 75000), "Medium",
  AND(G1180 &gt;= 75000, G1180 &lt; 150000), "High",
  G1180 &gt;= 150000, "Very High"
)</f>
        <v>Medium</v>
      </c>
      <c r="I1180" s="6">
        <v>1</v>
      </c>
      <c r="J1180" s="6">
        <v>1</v>
      </c>
      <c r="K1180" s="6">
        <f t="shared" si="73"/>
        <v>2</v>
      </c>
      <c r="L1180" s="8">
        <v>41377</v>
      </c>
      <c r="M1180" t="str">
        <f t="shared" ca="1" si="74"/>
        <v>12 years, 10 months</v>
      </c>
      <c r="N1180" s="6">
        <v>72</v>
      </c>
      <c r="O1180">
        <v>5</v>
      </c>
      <c r="P1180">
        <v>4</v>
      </c>
      <c r="Q1180">
        <f t="shared" si="75"/>
        <v>9</v>
      </c>
      <c r="R1180">
        <v>2</v>
      </c>
      <c r="S1180">
        <v>4</v>
      </c>
      <c r="T1180">
        <f>Table[[#This Row],[NumWebPurchases]]+Table[[#This Row],[NumStorePurchases]]</f>
        <v>6</v>
      </c>
    </row>
    <row r="1181" spans="1:20" ht="12.5">
      <c r="A1181" s="6">
        <v>1179</v>
      </c>
      <c r="B1181" s="6">
        <v>5735</v>
      </c>
      <c r="C1181" s="6">
        <v>1991</v>
      </c>
      <c r="D1181" s="6">
        <f t="shared" si="72"/>
        <v>34</v>
      </c>
      <c r="E1181" s="7" t="s">
        <v>14</v>
      </c>
      <c r="F1181" s="7" t="s">
        <v>10</v>
      </c>
      <c r="G1181" s="6">
        <v>90638</v>
      </c>
      <c r="H1181" s="6" t="str" cm="1">
        <f t="array" ref="H1181">_xlfn.IFS(
  G1181 &lt; 25000, "Low",
  AND(G1181 &gt;= 25000, G1181 &lt; 75000), "Medium",
  AND(G1181 &gt;= 75000, G1181 &lt; 150000), "High",
  G1181 &gt;= 150000, "Very High"
)</f>
        <v>High</v>
      </c>
      <c r="I1181" s="6">
        <v>0</v>
      </c>
      <c r="J1181" s="6">
        <v>0</v>
      </c>
      <c r="K1181" s="6">
        <f t="shared" si="73"/>
        <v>0</v>
      </c>
      <c r="L1181" s="8">
        <v>41683</v>
      </c>
      <c r="M1181" t="str">
        <f t="shared" ca="1" si="74"/>
        <v>12 years, 0 months</v>
      </c>
      <c r="N1181" s="6">
        <v>29</v>
      </c>
      <c r="O1181">
        <v>120</v>
      </c>
      <c r="P1181">
        <v>144</v>
      </c>
      <c r="Q1181">
        <f t="shared" si="75"/>
        <v>264</v>
      </c>
      <c r="R1181">
        <v>3</v>
      </c>
      <c r="S1181">
        <v>10</v>
      </c>
      <c r="T1181">
        <f>Table[[#This Row],[NumWebPurchases]]+Table[[#This Row],[NumStorePurchases]]</f>
        <v>13</v>
      </c>
    </row>
    <row r="1182" spans="1:20" ht="12.5">
      <c r="A1182" s="6">
        <v>1180</v>
      </c>
      <c r="B1182" s="6">
        <v>359</v>
      </c>
      <c r="C1182" s="6">
        <v>1950</v>
      </c>
      <c r="D1182" s="6">
        <f t="shared" si="72"/>
        <v>75</v>
      </c>
      <c r="E1182" s="7" t="s">
        <v>9</v>
      </c>
      <c r="F1182" s="7" t="s">
        <v>11</v>
      </c>
      <c r="G1182" s="6">
        <v>48070</v>
      </c>
      <c r="H1182" s="6" t="str" cm="1">
        <f t="array" ref="H1182">_xlfn.IFS(
  G1182 &lt; 25000, "Low",
  AND(G1182 &gt;= 25000, G1182 &lt; 75000), "Medium",
  AND(G1182 &gt;= 75000, G1182 &lt; 150000), "High",
  G1182 &gt;= 150000, "Very High"
)</f>
        <v>Medium</v>
      </c>
      <c r="I1182" s="6">
        <v>0</v>
      </c>
      <c r="J1182" s="6">
        <v>1</v>
      </c>
      <c r="K1182" s="6">
        <f t="shared" si="73"/>
        <v>1</v>
      </c>
      <c r="L1182" s="8">
        <v>41287</v>
      </c>
      <c r="M1182" t="str">
        <f t="shared" ca="1" si="74"/>
        <v>13 years, 1 months</v>
      </c>
      <c r="N1182" s="6">
        <v>33</v>
      </c>
      <c r="O1182">
        <v>14</v>
      </c>
      <c r="P1182">
        <v>9</v>
      </c>
      <c r="Q1182">
        <f t="shared" si="75"/>
        <v>23</v>
      </c>
      <c r="R1182">
        <v>8</v>
      </c>
      <c r="S1182">
        <v>6</v>
      </c>
      <c r="T1182">
        <f>Table[[#This Row],[NumWebPurchases]]+Table[[#This Row],[NumStorePurchases]]</f>
        <v>14</v>
      </c>
    </row>
    <row r="1183" spans="1:20" ht="12.5">
      <c r="A1183" s="6">
        <v>1181</v>
      </c>
      <c r="B1183" s="6">
        <v>8387</v>
      </c>
      <c r="C1183" s="6">
        <v>1957</v>
      </c>
      <c r="D1183" s="6">
        <f t="shared" si="72"/>
        <v>68</v>
      </c>
      <c r="E1183" s="7" t="s">
        <v>9</v>
      </c>
      <c r="F1183" s="7" t="s">
        <v>13</v>
      </c>
      <c r="G1183" s="6">
        <v>43140</v>
      </c>
      <c r="H1183" s="6" t="str" cm="1">
        <f t="array" ref="H1183">_xlfn.IFS(
  G1183 &lt; 25000, "Low",
  AND(G1183 &gt;= 25000, G1183 &lt; 75000), "Medium",
  AND(G1183 &gt;= 75000, G1183 &lt; 150000), "High",
  G1183 &gt;= 150000, "Very High"
)</f>
        <v>Medium</v>
      </c>
      <c r="I1183" s="6">
        <v>0</v>
      </c>
      <c r="J1183" s="6">
        <v>1</v>
      </c>
      <c r="K1183" s="6">
        <f t="shared" si="73"/>
        <v>1</v>
      </c>
      <c r="L1183" s="8">
        <v>41279</v>
      </c>
      <c r="M1183" t="str">
        <f t="shared" ca="1" si="74"/>
        <v>13 years, 2 months</v>
      </c>
      <c r="N1183" s="6">
        <v>68</v>
      </c>
      <c r="O1183">
        <v>8</v>
      </c>
      <c r="P1183">
        <v>0</v>
      </c>
      <c r="Q1183">
        <f t="shared" si="75"/>
        <v>8</v>
      </c>
      <c r="R1183">
        <v>4</v>
      </c>
      <c r="S1183">
        <v>5</v>
      </c>
      <c r="T1183">
        <f>Table[[#This Row],[NumWebPurchases]]+Table[[#This Row],[NumStorePurchases]]</f>
        <v>9</v>
      </c>
    </row>
    <row r="1184" spans="1:20" ht="12.5">
      <c r="A1184" s="6">
        <v>1182</v>
      </c>
      <c r="B1184" s="6">
        <v>1829</v>
      </c>
      <c r="C1184" s="6">
        <v>1961</v>
      </c>
      <c r="D1184" s="6">
        <f t="shared" si="72"/>
        <v>64</v>
      </c>
      <c r="E1184" s="7" t="s">
        <v>12</v>
      </c>
      <c r="F1184" s="7" t="s">
        <v>15</v>
      </c>
      <c r="G1184" s="6">
        <v>54959</v>
      </c>
      <c r="H1184" s="6" t="str" cm="1">
        <f t="array" ref="H1184">_xlfn.IFS(
  G1184 &lt; 25000, "Low",
  AND(G1184 &gt;= 25000, G1184 &lt; 75000), "Medium",
  AND(G1184 &gt;= 75000, G1184 &lt; 150000), "High",
  G1184 &gt;= 150000, "Very High"
)</f>
        <v>Medium</v>
      </c>
      <c r="I1184" s="6">
        <v>0</v>
      </c>
      <c r="J1184" s="6">
        <v>1</v>
      </c>
      <c r="K1184" s="6">
        <f t="shared" si="73"/>
        <v>1</v>
      </c>
      <c r="L1184" s="8">
        <v>41293</v>
      </c>
      <c r="M1184" t="str">
        <f t="shared" ca="1" si="74"/>
        <v>13 years, 1 months</v>
      </c>
      <c r="N1184" s="6">
        <v>55</v>
      </c>
      <c r="O1184">
        <v>0</v>
      </c>
      <c r="P1184">
        <v>0</v>
      </c>
      <c r="Q1184">
        <f t="shared" si="75"/>
        <v>0</v>
      </c>
      <c r="R1184">
        <v>9</v>
      </c>
      <c r="S1184">
        <v>4</v>
      </c>
      <c r="T1184">
        <f>Table[[#This Row],[NumWebPurchases]]+Table[[#This Row],[NumStorePurchases]]</f>
        <v>13</v>
      </c>
    </row>
    <row r="1185" spans="1:20" ht="12.5">
      <c r="A1185" s="6">
        <v>1183</v>
      </c>
      <c r="B1185" s="6">
        <v>3839</v>
      </c>
      <c r="C1185" s="6">
        <v>1958</v>
      </c>
      <c r="D1185" s="6">
        <f t="shared" si="72"/>
        <v>67</v>
      </c>
      <c r="E1185" s="7" t="s">
        <v>16</v>
      </c>
      <c r="F1185" s="7" t="s">
        <v>10</v>
      </c>
      <c r="G1185" s="6">
        <v>15056</v>
      </c>
      <c r="H1185" s="6" t="str" cm="1">
        <f t="array" ref="H1185">_xlfn.IFS(
  G1185 &lt; 25000, "Low",
  AND(G1185 &gt;= 25000, G1185 &lt; 75000), "Medium",
  AND(G1185 &gt;= 75000, G1185 &lt; 150000), "High",
  G1185 &gt;= 150000, "Very High"
)</f>
        <v>Low</v>
      </c>
      <c r="I1185" s="6">
        <v>1</v>
      </c>
      <c r="J1185" s="6">
        <v>1</v>
      </c>
      <c r="K1185" s="6">
        <f t="shared" si="73"/>
        <v>2</v>
      </c>
      <c r="L1185" s="8">
        <v>41397</v>
      </c>
      <c r="M1185" t="str">
        <f t="shared" ca="1" si="74"/>
        <v>12 years, 10 months</v>
      </c>
      <c r="N1185" s="6">
        <v>76</v>
      </c>
      <c r="O1185">
        <v>12</v>
      </c>
      <c r="P1185">
        <v>6</v>
      </c>
      <c r="Q1185">
        <f t="shared" si="75"/>
        <v>18</v>
      </c>
      <c r="R1185">
        <v>2</v>
      </c>
      <c r="S1185">
        <v>3</v>
      </c>
      <c r="T1185">
        <f>Table[[#This Row],[NumWebPurchases]]+Table[[#This Row],[NumStorePurchases]]</f>
        <v>5</v>
      </c>
    </row>
    <row r="1186" spans="1:20" ht="12.5">
      <c r="A1186" s="6">
        <v>1184</v>
      </c>
      <c r="B1186" s="6">
        <v>9392</v>
      </c>
      <c r="C1186" s="6">
        <v>1971</v>
      </c>
      <c r="D1186" s="6">
        <f t="shared" si="72"/>
        <v>54</v>
      </c>
      <c r="E1186" s="7" t="s">
        <v>9</v>
      </c>
      <c r="F1186" s="7" t="s">
        <v>10</v>
      </c>
      <c r="G1186" s="6">
        <v>26954</v>
      </c>
      <c r="H1186" s="6" t="str" cm="1">
        <f t="array" ref="H1186">_xlfn.IFS(
  G1186 &lt; 25000, "Low",
  AND(G1186 &gt;= 25000, G1186 &lt; 75000), "Medium",
  AND(G1186 &gt;= 75000, G1186 &lt; 150000), "High",
  G1186 &gt;= 150000, "Very High"
)</f>
        <v>Medium</v>
      </c>
      <c r="I1186" s="6">
        <v>1</v>
      </c>
      <c r="J1186" s="6">
        <v>0</v>
      </c>
      <c r="K1186" s="6">
        <f t="shared" si="73"/>
        <v>1</v>
      </c>
      <c r="L1186" s="8">
        <v>41767</v>
      </c>
      <c r="M1186" t="str">
        <f t="shared" ca="1" si="74"/>
        <v>11 years, 9 months</v>
      </c>
      <c r="N1186" s="6">
        <v>17</v>
      </c>
      <c r="O1186">
        <v>1</v>
      </c>
      <c r="P1186">
        <v>0</v>
      </c>
      <c r="Q1186">
        <f t="shared" si="75"/>
        <v>1</v>
      </c>
      <c r="R1186">
        <v>1</v>
      </c>
      <c r="S1186">
        <v>2</v>
      </c>
      <c r="T1186">
        <f>Table[[#This Row],[NumWebPurchases]]+Table[[#This Row],[NumStorePurchases]]</f>
        <v>3</v>
      </c>
    </row>
    <row r="1187" spans="1:20" ht="12.5">
      <c r="A1187" s="6">
        <v>1185</v>
      </c>
      <c r="B1187" s="6">
        <v>2292</v>
      </c>
      <c r="C1187" s="6">
        <v>1985</v>
      </c>
      <c r="D1187" s="6">
        <f t="shared" si="72"/>
        <v>40</v>
      </c>
      <c r="E1187" s="7" t="s">
        <v>9</v>
      </c>
      <c r="F1187" s="7" t="s">
        <v>10</v>
      </c>
      <c r="G1187" s="6">
        <v>22327</v>
      </c>
      <c r="H1187" s="6" t="str" cm="1">
        <f t="array" ref="H1187">_xlfn.IFS(
  G1187 &lt; 25000, "Low",
  AND(G1187 &gt;= 25000, G1187 &lt; 75000), "Medium",
  AND(G1187 &gt;= 75000, G1187 &lt; 150000), "High",
  G1187 &gt;= 150000, "Very High"
)</f>
        <v>Low</v>
      </c>
      <c r="I1187" s="6">
        <v>1</v>
      </c>
      <c r="J1187" s="6">
        <v>0</v>
      </c>
      <c r="K1187" s="6">
        <f t="shared" si="73"/>
        <v>1</v>
      </c>
      <c r="L1187" s="8">
        <v>41488</v>
      </c>
      <c r="M1187" t="str">
        <f t="shared" ca="1" si="74"/>
        <v>12 years, 7 months</v>
      </c>
      <c r="N1187" s="6">
        <v>94</v>
      </c>
      <c r="O1187">
        <v>4</v>
      </c>
      <c r="P1187">
        <v>0</v>
      </c>
      <c r="Q1187">
        <f t="shared" si="75"/>
        <v>4</v>
      </c>
      <c r="R1187">
        <v>1</v>
      </c>
      <c r="S1187">
        <v>3</v>
      </c>
      <c r="T1187">
        <f>Table[[#This Row],[NumWebPurchases]]+Table[[#This Row],[NumStorePurchases]]</f>
        <v>4</v>
      </c>
    </row>
    <row r="1188" spans="1:20" ht="12.5">
      <c r="A1188" s="6">
        <v>1186</v>
      </c>
      <c r="B1188" s="6">
        <v>10466</v>
      </c>
      <c r="C1188" s="6">
        <v>1965</v>
      </c>
      <c r="D1188" s="6">
        <f t="shared" si="72"/>
        <v>60</v>
      </c>
      <c r="E1188" s="7" t="s">
        <v>9</v>
      </c>
      <c r="F1188" s="7" t="s">
        <v>13</v>
      </c>
      <c r="G1188" s="6">
        <v>44393</v>
      </c>
      <c r="H1188" s="6" t="str" cm="1">
        <f t="array" ref="H1188">_xlfn.IFS(
  G1188 &lt; 25000, "Low",
  AND(G1188 &gt;= 25000, G1188 &lt; 75000), "Medium",
  AND(G1188 &gt;= 75000, G1188 &lt; 150000), "High",
  G1188 &gt;= 150000, "Very High"
)</f>
        <v>Medium</v>
      </c>
      <c r="I1188" s="6">
        <v>1</v>
      </c>
      <c r="J1188" s="6">
        <v>1</v>
      </c>
      <c r="K1188" s="6">
        <f t="shared" si="73"/>
        <v>2</v>
      </c>
      <c r="L1188" s="8">
        <v>41508</v>
      </c>
      <c r="M1188" t="str">
        <f t="shared" ca="1" si="74"/>
        <v>12 years, 6 months</v>
      </c>
      <c r="N1188" s="6">
        <v>86</v>
      </c>
      <c r="O1188">
        <v>2</v>
      </c>
      <c r="P1188">
        <v>2</v>
      </c>
      <c r="Q1188">
        <f t="shared" si="75"/>
        <v>4</v>
      </c>
      <c r="R1188">
        <v>1</v>
      </c>
      <c r="S1188">
        <v>4</v>
      </c>
      <c r="T1188">
        <f>Table[[#This Row],[NumWebPurchases]]+Table[[#This Row],[NumStorePurchases]]</f>
        <v>5</v>
      </c>
    </row>
    <row r="1189" spans="1:20" ht="12.5">
      <c r="A1189" s="6">
        <v>1187</v>
      </c>
      <c r="B1189" s="6">
        <v>9855</v>
      </c>
      <c r="C1189" s="6">
        <v>1952</v>
      </c>
      <c r="D1189" s="6">
        <f t="shared" si="72"/>
        <v>73</v>
      </c>
      <c r="E1189" s="7" t="s">
        <v>12</v>
      </c>
      <c r="F1189" s="7" t="s">
        <v>10</v>
      </c>
      <c r="G1189" s="6">
        <v>62000</v>
      </c>
      <c r="H1189" s="6" t="str" cm="1">
        <f t="array" ref="H1189">_xlfn.IFS(
  G1189 &lt; 25000, "Low",
  AND(G1189 &gt;= 25000, G1189 &lt; 75000), "Medium",
  AND(G1189 &gt;= 75000, G1189 &lt; 150000), "High",
  G1189 &gt;= 150000, "Very High"
)</f>
        <v>Medium</v>
      </c>
      <c r="I1189" s="6">
        <v>0</v>
      </c>
      <c r="J1189" s="6">
        <v>1</v>
      </c>
      <c r="K1189" s="6">
        <f t="shared" si="73"/>
        <v>1</v>
      </c>
      <c r="L1189" s="8">
        <v>41511</v>
      </c>
      <c r="M1189" t="str">
        <f t="shared" ca="1" si="74"/>
        <v>12 years, 6 months</v>
      </c>
      <c r="N1189" s="6">
        <v>25</v>
      </c>
      <c r="O1189">
        <v>0</v>
      </c>
      <c r="P1189">
        <v>0</v>
      </c>
      <c r="Q1189">
        <f t="shared" si="75"/>
        <v>0</v>
      </c>
      <c r="R1189">
        <v>6</v>
      </c>
      <c r="S1189">
        <v>13</v>
      </c>
      <c r="T1189">
        <f>Table[[#This Row],[NumWebPurchases]]+Table[[#This Row],[NumStorePurchases]]</f>
        <v>19</v>
      </c>
    </row>
    <row r="1190" spans="1:20" ht="12.5">
      <c r="A1190" s="6">
        <v>1188</v>
      </c>
      <c r="B1190" s="6">
        <v>4088</v>
      </c>
      <c r="C1190" s="6">
        <v>1962</v>
      </c>
      <c r="D1190" s="6">
        <f t="shared" si="72"/>
        <v>63</v>
      </c>
      <c r="E1190" s="7" t="s">
        <v>12</v>
      </c>
      <c r="F1190" s="7" t="s">
        <v>11</v>
      </c>
      <c r="G1190" s="6">
        <v>31497</v>
      </c>
      <c r="H1190" s="6" t="str" cm="1">
        <f t="array" ref="H1190">_xlfn.IFS(
  G1190 &lt; 25000, "Low",
  AND(G1190 &gt;= 25000, G1190 &lt; 75000), "Medium",
  AND(G1190 &gt;= 75000, G1190 &lt; 150000), "High",
  G1190 &gt;= 150000, "Very High"
)</f>
        <v>Medium</v>
      </c>
      <c r="I1190" s="6">
        <v>0</v>
      </c>
      <c r="J1190" s="6">
        <v>1</v>
      </c>
      <c r="K1190" s="6">
        <f t="shared" si="73"/>
        <v>1</v>
      </c>
      <c r="L1190" s="8">
        <v>41249</v>
      </c>
      <c r="M1190" t="str">
        <f t="shared" ca="1" si="74"/>
        <v>13 years, 3 months</v>
      </c>
      <c r="N1190" s="6">
        <v>22</v>
      </c>
      <c r="O1190">
        <v>1</v>
      </c>
      <c r="P1190">
        <v>1</v>
      </c>
      <c r="Q1190">
        <f t="shared" si="75"/>
        <v>2</v>
      </c>
      <c r="R1190">
        <v>3</v>
      </c>
      <c r="S1190">
        <v>4</v>
      </c>
      <c r="T1190">
        <f>Table[[#This Row],[NumWebPurchases]]+Table[[#This Row],[NumStorePurchases]]</f>
        <v>7</v>
      </c>
    </row>
    <row r="1191" spans="1:20" ht="12.5">
      <c r="A1191" s="6">
        <v>1189</v>
      </c>
      <c r="B1191" s="6">
        <v>5231</v>
      </c>
      <c r="C1191" s="6">
        <v>1974</v>
      </c>
      <c r="D1191" s="6">
        <f t="shared" si="72"/>
        <v>51</v>
      </c>
      <c r="E1191" s="7" t="s">
        <v>17</v>
      </c>
      <c r="F1191" s="7" t="s">
        <v>13</v>
      </c>
      <c r="G1191" s="6">
        <v>45894</v>
      </c>
      <c r="H1191" s="6" t="str" cm="1">
        <f t="array" ref="H1191">_xlfn.IFS(
  G1191 &lt; 25000, "Low",
  AND(G1191 &gt;= 25000, G1191 &lt; 75000), "Medium",
  AND(G1191 &gt;= 75000, G1191 &lt; 150000), "High",
  G1191 &gt;= 150000, "Very High"
)</f>
        <v>Medium</v>
      </c>
      <c r="I1191" s="6">
        <v>0</v>
      </c>
      <c r="J1191" s="6">
        <v>2</v>
      </c>
      <c r="K1191" s="6">
        <f t="shared" si="73"/>
        <v>2</v>
      </c>
      <c r="L1191" s="8">
        <v>41697</v>
      </c>
      <c r="M1191" t="str">
        <f t="shared" ca="1" si="74"/>
        <v>12 years, 0 months</v>
      </c>
      <c r="N1191" s="6">
        <v>15</v>
      </c>
      <c r="O1191">
        <v>2</v>
      </c>
      <c r="P1191">
        <v>2</v>
      </c>
      <c r="Q1191">
        <f t="shared" si="75"/>
        <v>4</v>
      </c>
      <c r="R1191">
        <v>1</v>
      </c>
      <c r="S1191">
        <v>3</v>
      </c>
      <c r="T1191">
        <f>Table[[#This Row],[NumWebPurchases]]+Table[[#This Row],[NumStorePurchases]]</f>
        <v>4</v>
      </c>
    </row>
    <row r="1192" spans="1:20" ht="12.5">
      <c r="A1192" s="6">
        <v>1190</v>
      </c>
      <c r="B1192" s="6">
        <v>590</v>
      </c>
      <c r="C1192" s="6">
        <v>1970</v>
      </c>
      <c r="D1192" s="6">
        <f t="shared" si="72"/>
        <v>55</v>
      </c>
      <c r="E1192" s="7" t="s">
        <v>14</v>
      </c>
      <c r="F1192" s="7" t="s">
        <v>15</v>
      </c>
      <c r="G1192" s="6">
        <v>78579</v>
      </c>
      <c r="H1192" s="6" t="str" cm="1">
        <f t="array" ref="H1192">_xlfn.IFS(
  G1192 &lt; 25000, "Low",
  AND(G1192 &gt;= 25000, G1192 &lt; 75000), "Medium",
  AND(G1192 &gt;= 75000, G1192 &lt; 150000), "High",
  G1192 &gt;= 150000, "Very High"
)</f>
        <v>High</v>
      </c>
      <c r="I1192" s="6">
        <v>0</v>
      </c>
      <c r="J1192" s="6">
        <v>0</v>
      </c>
      <c r="K1192" s="6">
        <f t="shared" si="73"/>
        <v>0</v>
      </c>
      <c r="L1192" s="9">
        <v>41265</v>
      </c>
      <c r="M1192" t="str">
        <f t="shared" ca="1" si="74"/>
        <v>13 years, 2 months</v>
      </c>
      <c r="N1192" s="6">
        <v>35</v>
      </c>
      <c r="O1192">
        <v>66</v>
      </c>
      <c r="P1192">
        <v>66</v>
      </c>
      <c r="Q1192">
        <f t="shared" si="75"/>
        <v>132</v>
      </c>
      <c r="R1192">
        <v>5</v>
      </c>
      <c r="S1192">
        <v>4</v>
      </c>
      <c r="T1192">
        <f>Table[[#This Row],[NumWebPurchases]]+Table[[#This Row],[NumStorePurchases]]</f>
        <v>9</v>
      </c>
    </row>
    <row r="1193" spans="1:20" ht="12.5">
      <c r="A1193" s="6">
        <v>1191</v>
      </c>
      <c r="B1193" s="6">
        <v>8732</v>
      </c>
      <c r="C1193" s="6">
        <v>1969</v>
      </c>
      <c r="D1193" s="6">
        <f t="shared" si="72"/>
        <v>56</v>
      </c>
      <c r="E1193" s="7" t="s">
        <v>14</v>
      </c>
      <c r="F1193" s="7" t="s">
        <v>18</v>
      </c>
      <c r="G1193" s="6">
        <v>67369</v>
      </c>
      <c r="H1193" s="6" t="str" cm="1">
        <f t="array" ref="H1193">_xlfn.IFS(
  G1193 &lt; 25000, "Low",
  AND(G1193 &gt;= 25000, G1193 &lt; 75000), "Medium",
  AND(G1193 &gt;= 75000, G1193 &lt; 150000), "High",
  G1193 &gt;= 150000, "Very High"
)</f>
        <v>Medium</v>
      </c>
      <c r="I1193" s="6">
        <v>0</v>
      </c>
      <c r="J1193" s="6">
        <v>1</v>
      </c>
      <c r="K1193" s="6">
        <f t="shared" si="73"/>
        <v>1</v>
      </c>
      <c r="L1193" s="9">
        <v>41230</v>
      </c>
      <c r="M1193" t="str">
        <f t="shared" ca="1" si="74"/>
        <v>13 years, 3 months</v>
      </c>
      <c r="N1193" s="6">
        <v>81</v>
      </c>
      <c r="O1193">
        <v>0</v>
      </c>
      <c r="P1193">
        <v>14</v>
      </c>
      <c r="Q1193">
        <f t="shared" si="75"/>
        <v>14</v>
      </c>
      <c r="R1193">
        <v>7</v>
      </c>
      <c r="S1193">
        <v>10</v>
      </c>
      <c r="T1193">
        <f>Table[[#This Row],[NumWebPurchases]]+Table[[#This Row],[NumStorePurchases]]</f>
        <v>17</v>
      </c>
    </row>
    <row r="1194" spans="1:20" ht="12.5">
      <c r="A1194" s="6">
        <v>1192</v>
      </c>
      <c r="B1194" s="6">
        <v>2315</v>
      </c>
      <c r="C1194" s="6">
        <v>1960</v>
      </c>
      <c r="D1194" s="6">
        <f t="shared" si="72"/>
        <v>65</v>
      </c>
      <c r="E1194" s="7" t="s">
        <v>9</v>
      </c>
      <c r="F1194" s="7" t="s">
        <v>15</v>
      </c>
      <c r="G1194" s="6">
        <v>58401</v>
      </c>
      <c r="H1194" s="6" t="str" cm="1">
        <f t="array" ref="H1194">_xlfn.IFS(
  G1194 &lt; 25000, "Low",
  AND(G1194 &gt;= 25000, G1194 &lt; 75000), "Medium",
  AND(G1194 &gt;= 75000, G1194 &lt; 150000), "High",
  G1194 &gt;= 150000, "Very High"
)</f>
        <v>Medium</v>
      </c>
      <c r="I1194" s="6">
        <v>0</v>
      </c>
      <c r="J1194" s="6">
        <v>1</v>
      </c>
      <c r="K1194" s="6">
        <f t="shared" si="73"/>
        <v>1</v>
      </c>
      <c r="L1194" s="8">
        <v>41749</v>
      </c>
      <c r="M1194" t="str">
        <f t="shared" ca="1" si="74"/>
        <v>11 years, 10 months</v>
      </c>
      <c r="N1194" s="6">
        <v>55</v>
      </c>
      <c r="O1194">
        <v>0</v>
      </c>
      <c r="P1194">
        <v>29</v>
      </c>
      <c r="Q1194">
        <f t="shared" si="75"/>
        <v>29</v>
      </c>
      <c r="R1194">
        <v>1</v>
      </c>
      <c r="S1194">
        <v>2</v>
      </c>
      <c r="T1194">
        <f>Table[[#This Row],[NumWebPurchases]]+Table[[#This Row],[NumStorePurchases]]</f>
        <v>3</v>
      </c>
    </row>
    <row r="1195" spans="1:20" ht="12.5">
      <c r="A1195" s="6">
        <v>1193</v>
      </c>
      <c r="B1195" s="6">
        <v>3515</v>
      </c>
      <c r="C1195" s="6">
        <v>1952</v>
      </c>
      <c r="D1195" s="6">
        <f t="shared" si="72"/>
        <v>73</v>
      </c>
      <c r="E1195" s="7" t="s">
        <v>9</v>
      </c>
      <c r="F1195" s="7" t="s">
        <v>10</v>
      </c>
      <c r="G1195" s="6">
        <v>62307</v>
      </c>
      <c r="H1195" s="6" t="str" cm="1">
        <f t="array" ref="H1195">_xlfn.IFS(
  G1195 &lt; 25000, "Low",
  AND(G1195 &gt;= 25000, G1195 &lt; 75000), "Medium",
  AND(G1195 &gt;= 75000, G1195 &lt; 150000), "High",
  G1195 &gt;= 150000, "Very High"
)</f>
        <v>Medium</v>
      </c>
      <c r="I1195" s="6">
        <v>0</v>
      </c>
      <c r="J1195" s="6">
        <v>1</v>
      </c>
      <c r="K1195" s="6">
        <f t="shared" si="73"/>
        <v>1</v>
      </c>
      <c r="L1195" s="8">
        <v>41687</v>
      </c>
      <c r="M1195" t="str">
        <f t="shared" ca="1" si="74"/>
        <v>12 years, 0 months</v>
      </c>
      <c r="N1195" s="6">
        <v>94</v>
      </c>
      <c r="O1195">
        <v>13</v>
      </c>
      <c r="P1195">
        <v>6</v>
      </c>
      <c r="Q1195">
        <f t="shared" si="75"/>
        <v>19</v>
      </c>
      <c r="R1195">
        <v>4</v>
      </c>
      <c r="S1195">
        <v>4</v>
      </c>
      <c r="T1195">
        <f>Table[[#This Row],[NumWebPurchases]]+Table[[#This Row],[NumStorePurchases]]</f>
        <v>8</v>
      </c>
    </row>
    <row r="1196" spans="1:20" ht="12.5">
      <c r="A1196" s="6">
        <v>1194</v>
      </c>
      <c r="B1196" s="6">
        <v>2245</v>
      </c>
      <c r="C1196" s="6">
        <v>1969</v>
      </c>
      <c r="D1196" s="6">
        <f t="shared" si="72"/>
        <v>56</v>
      </c>
      <c r="E1196" s="7" t="s">
        <v>14</v>
      </c>
      <c r="F1196" s="7" t="s">
        <v>13</v>
      </c>
      <c r="G1196" s="6">
        <v>43641</v>
      </c>
      <c r="H1196" s="6" t="str" cm="1">
        <f t="array" ref="H1196">_xlfn.IFS(
  G1196 &lt; 25000, "Low",
  AND(G1196 &gt;= 25000, G1196 &lt; 75000), "Medium",
  AND(G1196 &gt;= 75000, G1196 &lt; 150000), "High",
  G1196 &gt;= 150000, "Very High"
)</f>
        <v>Medium</v>
      </c>
      <c r="I1196" s="6">
        <v>1</v>
      </c>
      <c r="J1196" s="6">
        <v>1</v>
      </c>
      <c r="K1196" s="6">
        <f t="shared" si="73"/>
        <v>2</v>
      </c>
      <c r="L1196" s="8">
        <v>41386</v>
      </c>
      <c r="M1196" t="str">
        <f t="shared" ca="1" si="74"/>
        <v>12 years, 10 months</v>
      </c>
      <c r="N1196" s="6">
        <v>50</v>
      </c>
      <c r="O1196">
        <v>2</v>
      </c>
      <c r="P1196">
        <v>2</v>
      </c>
      <c r="Q1196">
        <f t="shared" si="75"/>
        <v>4</v>
      </c>
      <c r="R1196">
        <v>2</v>
      </c>
      <c r="S1196">
        <v>4</v>
      </c>
      <c r="T1196">
        <f>Table[[#This Row],[NumWebPurchases]]+Table[[#This Row],[NumStorePurchases]]</f>
        <v>6</v>
      </c>
    </row>
    <row r="1197" spans="1:20" ht="12.5">
      <c r="A1197" s="6">
        <v>1195</v>
      </c>
      <c r="B1197" s="6">
        <v>6283</v>
      </c>
      <c r="C1197" s="6">
        <v>1968</v>
      </c>
      <c r="D1197" s="6">
        <f t="shared" si="72"/>
        <v>57</v>
      </c>
      <c r="E1197" s="7" t="s">
        <v>14</v>
      </c>
      <c r="F1197" s="7" t="s">
        <v>15</v>
      </c>
      <c r="G1197" s="6">
        <v>63841</v>
      </c>
      <c r="H1197" s="6" t="str" cm="1">
        <f t="array" ref="H1197">_xlfn.IFS(
  G1197 &lt; 25000, "Low",
  AND(G1197 &gt;= 25000, G1197 &lt; 75000), "Medium",
  AND(G1197 &gt;= 75000, G1197 &lt; 150000), "High",
  G1197 &gt;= 150000, "Very High"
)</f>
        <v>Medium</v>
      </c>
      <c r="I1197" s="6">
        <v>0</v>
      </c>
      <c r="J1197" s="6">
        <v>1</v>
      </c>
      <c r="K1197" s="6">
        <f t="shared" si="73"/>
        <v>1</v>
      </c>
      <c r="L1197" s="8">
        <v>41385</v>
      </c>
      <c r="M1197" t="str">
        <f t="shared" ca="1" si="74"/>
        <v>12 years, 10 months</v>
      </c>
      <c r="N1197" s="6">
        <v>64</v>
      </c>
      <c r="O1197">
        <v>15</v>
      </c>
      <c r="P1197">
        <v>7</v>
      </c>
      <c r="Q1197">
        <f t="shared" si="75"/>
        <v>22</v>
      </c>
      <c r="R1197">
        <v>9</v>
      </c>
      <c r="S1197">
        <v>9</v>
      </c>
      <c r="T1197">
        <f>Table[[#This Row],[NumWebPurchases]]+Table[[#This Row],[NumStorePurchases]]</f>
        <v>18</v>
      </c>
    </row>
    <row r="1198" spans="1:20" ht="12.5">
      <c r="A1198" s="6">
        <v>1196</v>
      </c>
      <c r="B1198" s="6">
        <v>2246</v>
      </c>
      <c r="C1198" s="6">
        <v>1965</v>
      </c>
      <c r="D1198" s="6">
        <f t="shared" si="72"/>
        <v>60</v>
      </c>
      <c r="E1198" s="7" t="s">
        <v>17</v>
      </c>
      <c r="F1198" s="7" t="s">
        <v>13</v>
      </c>
      <c r="G1198" s="6">
        <v>46891</v>
      </c>
      <c r="H1198" s="6" t="str" cm="1">
        <f t="array" ref="H1198">_xlfn.IFS(
  G1198 &lt; 25000, "Low",
  AND(G1198 &gt;= 25000, G1198 &lt; 75000), "Medium",
  AND(G1198 &gt;= 75000, G1198 &lt; 150000), "High",
  G1198 &gt;= 150000, "Very High"
)</f>
        <v>Medium</v>
      </c>
      <c r="I1198" s="6">
        <v>0</v>
      </c>
      <c r="J1198" s="6">
        <v>1</v>
      </c>
      <c r="K1198" s="6">
        <f t="shared" si="73"/>
        <v>1</v>
      </c>
      <c r="L1198" s="8">
        <v>41518</v>
      </c>
      <c r="M1198" t="str">
        <f t="shared" ca="1" si="74"/>
        <v>12 years, 6 months</v>
      </c>
      <c r="N1198" s="6">
        <v>91</v>
      </c>
      <c r="O1198">
        <v>12</v>
      </c>
      <c r="P1198">
        <v>15</v>
      </c>
      <c r="Q1198">
        <f t="shared" si="75"/>
        <v>27</v>
      </c>
      <c r="R1198">
        <v>2</v>
      </c>
      <c r="S1198">
        <v>4</v>
      </c>
      <c r="T1198">
        <f>Table[[#This Row],[NumWebPurchases]]+Table[[#This Row],[NumStorePurchases]]</f>
        <v>6</v>
      </c>
    </row>
    <row r="1199" spans="1:20" ht="12.5">
      <c r="A1199" s="6">
        <v>1197</v>
      </c>
      <c r="B1199" s="6">
        <v>6606</v>
      </c>
      <c r="C1199" s="6">
        <v>1969</v>
      </c>
      <c r="D1199" s="6">
        <f t="shared" si="72"/>
        <v>56</v>
      </c>
      <c r="E1199" s="7" t="s">
        <v>14</v>
      </c>
      <c r="F1199" s="7" t="s">
        <v>13</v>
      </c>
      <c r="G1199" s="6">
        <v>70091</v>
      </c>
      <c r="H1199" s="6" t="str" cm="1">
        <f t="array" ref="H1199">_xlfn.IFS(
  G1199 &lt; 25000, "Low",
  AND(G1199 &gt;= 25000, G1199 &lt; 75000), "Medium",
  AND(G1199 &gt;= 75000, G1199 &lt; 150000), "High",
  G1199 &gt;= 150000, "Very High"
)</f>
        <v>Medium</v>
      </c>
      <c r="I1199" s="6">
        <v>1</v>
      </c>
      <c r="J1199" s="6">
        <v>0</v>
      </c>
      <c r="K1199" s="6">
        <f t="shared" si="73"/>
        <v>1</v>
      </c>
      <c r="L1199" s="8">
        <v>41364</v>
      </c>
      <c r="M1199" t="str">
        <f t="shared" ca="1" si="74"/>
        <v>12 years, 11 months</v>
      </c>
      <c r="N1199" s="6">
        <v>11</v>
      </c>
      <c r="O1199">
        <v>34</v>
      </c>
      <c r="P1199">
        <v>0</v>
      </c>
      <c r="Q1199">
        <f t="shared" si="75"/>
        <v>34</v>
      </c>
      <c r="R1199">
        <v>5</v>
      </c>
      <c r="S1199">
        <v>10</v>
      </c>
      <c r="T1199">
        <f>Table[[#This Row],[NumWebPurchases]]+Table[[#This Row],[NumStorePurchases]]</f>
        <v>15</v>
      </c>
    </row>
    <row r="1200" spans="1:20" ht="12.5">
      <c r="A1200" s="6">
        <v>1198</v>
      </c>
      <c r="B1200" s="6">
        <v>5545</v>
      </c>
      <c r="C1200" s="6">
        <v>1972</v>
      </c>
      <c r="D1200" s="6">
        <f t="shared" si="72"/>
        <v>53</v>
      </c>
      <c r="E1200" s="7" t="s">
        <v>12</v>
      </c>
      <c r="F1200" s="7" t="s">
        <v>13</v>
      </c>
      <c r="G1200" s="6">
        <v>78075</v>
      </c>
      <c r="H1200" s="6" t="str" cm="1">
        <f t="array" ref="H1200">_xlfn.IFS(
  G1200 &lt; 25000, "Low",
  AND(G1200 &gt;= 25000, G1200 &lt; 75000), "Medium",
  AND(G1200 &gt;= 75000, G1200 &lt; 150000), "High",
  G1200 &gt;= 150000, "Very High"
)</f>
        <v>High</v>
      </c>
      <c r="I1200" s="6">
        <v>0</v>
      </c>
      <c r="J1200" s="6">
        <v>0</v>
      </c>
      <c r="K1200" s="6">
        <f t="shared" si="73"/>
        <v>0</v>
      </c>
      <c r="L1200" s="8">
        <v>41734</v>
      </c>
      <c r="M1200" t="str">
        <f t="shared" ca="1" si="74"/>
        <v>11 years, 11 months</v>
      </c>
      <c r="N1200" s="6">
        <v>72</v>
      </c>
      <c r="O1200">
        <v>8</v>
      </c>
      <c r="P1200">
        <v>35</v>
      </c>
      <c r="Q1200">
        <f t="shared" si="75"/>
        <v>43</v>
      </c>
      <c r="R1200">
        <v>3</v>
      </c>
      <c r="S1200">
        <v>5</v>
      </c>
      <c r="T1200">
        <f>Table[[#This Row],[NumWebPurchases]]+Table[[#This Row],[NumStorePurchases]]</f>
        <v>8</v>
      </c>
    </row>
    <row r="1201" spans="1:20" ht="12.5">
      <c r="A1201" s="6">
        <v>1199</v>
      </c>
      <c r="B1201" s="6">
        <v>7342</v>
      </c>
      <c r="C1201" s="6">
        <v>1961</v>
      </c>
      <c r="D1201" s="6">
        <f t="shared" si="72"/>
        <v>64</v>
      </c>
      <c r="E1201" s="7" t="s">
        <v>17</v>
      </c>
      <c r="F1201" s="7" t="s">
        <v>18</v>
      </c>
      <c r="G1201" s="6">
        <v>59184</v>
      </c>
      <c r="H1201" s="6" t="str" cm="1">
        <f t="array" ref="H1201">_xlfn.IFS(
  G1201 &lt; 25000, "Low",
  AND(G1201 &gt;= 25000, G1201 &lt; 75000), "Medium",
  AND(G1201 &gt;= 75000, G1201 &lt; 150000), "High",
  G1201 &gt;= 150000, "Very High"
)</f>
        <v>Medium</v>
      </c>
      <c r="I1201" s="6">
        <v>0</v>
      </c>
      <c r="J1201" s="6">
        <v>1</v>
      </c>
      <c r="K1201" s="6">
        <f t="shared" si="73"/>
        <v>1</v>
      </c>
      <c r="L1201" s="8">
        <v>41161</v>
      </c>
      <c r="M1201" t="str">
        <f t="shared" ca="1" si="74"/>
        <v>13 years, 5 months</v>
      </c>
      <c r="N1201" s="6">
        <v>6</v>
      </c>
      <c r="O1201">
        <v>142</v>
      </c>
      <c r="P1201">
        <v>151</v>
      </c>
      <c r="Q1201">
        <f t="shared" si="75"/>
        <v>293</v>
      </c>
      <c r="R1201">
        <v>6</v>
      </c>
      <c r="S1201">
        <v>12</v>
      </c>
      <c r="T1201">
        <f>Table[[#This Row],[NumWebPurchases]]+Table[[#This Row],[NumStorePurchases]]</f>
        <v>18</v>
      </c>
    </row>
    <row r="1202" spans="1:20" ht="12.5">
      <c r="A1202" s="6">
        <v>1200</v>
      </c>
      <c r="B1202" s="6">
        <v>837</v>
      </c>
      <c r="C1202" s="6">
        <v>1977</v>
      </c>
      <c r="D1202" s="6">
        <f t="shared" si="72"/>
        <v>48</v>
      </c>
      <c r="E1202" s="7" t="s">
        <v>9</v>
      </c>
      <c r="F1202" s="7" t="s">
        <v>13</v>
      </c>
      <c r="G1202" s="6">
        <v>54809</v>
      </c>
      <c r="H1202" s="6" t="str" cm="1">
        <f t="array" ref="H1202">_xlfn.IFS(
  G1202 &lt; 25000, "Low",
  AND(G1202 &gt;= 25000, G1202 &lt; 75000), "Medium",
  AND(G1202 &gt;= 75000, G1202 &lt; 150000), "High",
  G1202 &gt;= 150000, "Very High"
)</f>
        <v>Medium</v>
      </c>
      <c r="I1202" s="6">
        <v>1</v>
      </c>
      <c r="J1202" s="6">
        <v>1</v>
      </c>
      <c r="K1202" s="6">
        <f t="shared" si="73"/>
        <v>2</v>
      </c>
      <c r="L1202" s="8">
        <v>41528</v>
      </c>
      <c r="M1202" t="str">
        <f t="shared" ca="1" si="74"/>
        <v>12 years, 5 months</v>
      </c>
      <c r="N1202" s="6">
        <v>0</v>
      </c>
      <c r="O1202">
        <v>6</v>
      </c>
      <c r="P1202">
        <v>13</v>
      </c>
      <c r="Q1202">
        <f t="shared" si="75"/>
        <v>19</v>
      </c>
      <c r="R1202">
        <v>2</v>
      </c>
      <c r="S1202">
        <v>5</v>
      </c>
      <c r="T1202">
        <f>Table[[#This Row],[NumWebPurchases]]+Table[[#This Row],[NumStorePurchases]]</f>
        <v>7</v>
      </c>
    </row>
    <row r="1203" spans="1:20" ht="12.5">
      <c r="A1203" s="6">
        <v>1201</v>
      </c>
      <c r="B1203" s="6">
        <v>9500</v>
      </c>
      <c r="C1203" s="6">
        <v>1959</v>
      </c>
      <c r="D1203" s="6">
        <f t="shared" si="72"/>
        <v>66</v>
      </c>
      <c r="E1203" s="7" t="s">
        <v>9</v>
      </c>
      <c r="F1203" s="7" t="s">
        <v>13</v>
      </c>
      <c r="G1203" s="6">
        <v>58113</v>
      </c>
      <c r="H1203" s="6" t="str" cm="1">
        <f t="array" ref="H1203">_xlfn.IFS(
  G1203 &lt; 25000, "Low",
  AND(G1203 &gt;= 25000, G1203 &lt; 75000), "Medium",
  AND(G1203 &gt;= 75000, G1203 &lt; 150000), "High",
  G1203 &gt;= 150000, "Very High"
)</f>
        <v>Medium</v>
      </c>
      <c r="I1203" s="6">
        <v>0</v>
      </c>
      <c r="J1203" s="6">
        <v>1</v>
      </c>
      <c r="K1203" s="6">
        <f t="shared" si="73"/>
        <v>1</v>
      </c>
      <c r="L1203" s="8">
        <v>41299</v>
      </c>
      <c r="M1203" t="str">
        <f t="shared" ca="1" si="74"/>
        <v>13 years, 1 months</v>
      </c>
      <c r="N1203" s="6">
        <v>66</v>
      </c>
      <c r="O1203">
        <v>104</v>
      </c>
      <c r="P1203">
        <v>78</v>
      </c>
      <c r="Q1203">
        <f t="shared" si="75"/>
        <v>182</v>
      </c>
      <c r="R1203">
        <v>9</v>
      </c>
      <c r="S1203">
        <v>8</v>
      </c>
      <c r="T1203">
        <f>Table[[#This Row],[NumWebPurchases]]+Table[[#This Row],[NumStorePurchases]]</f>
        <v>17</v>
      </c>
    </row>
    <row r="1204" spans="1:20" ht="12.5">
      <c r="A1204" s="6">
        <v>1202</v>
      </c>
      <c r="B1204" s="6">
        <v>3602</v>
      </c>
      <c r="C1204" s="6">
        <v>1958</v>
      </c>
      <c r="D1204" s="6">
        <f t="shared" si="72"/>
        <v>67</v>
      </c>
      <c r="E1204" s="7" t="s">
        <v>14</v>
      </c>
      <c r="F1204" s="7" t="s">
        <v>13</v>
      </c>
      <c r="G1204" s="6">
        <v>51412</v>
      </c>
      <c r="H1204" s="6" t="str" cm="1">
        <f t="array" ref="H1204">_xlfn.IFS(
  G1204 &lt; 25000, "Low",
  AND(G1204 &gt;= 25000, G1204 &lt; 75000), "Medium",
  AND(G1204 &gt;= 75000, G1204 &lt; 150000), "High",
  G1204 &gt;= 150000, "Very High"
)</f>
        <v>Medium</v>
      </c>
      <c r="I1204" s="6">
        <v>0</v>
      </c>
      <c r="J1204" s="6">
        <v>1</v>
      </c>
      <c r="K1204" s="6">
        <f t="shared" si="73"/>
        <v>1</v>
      </c>
      <c r="L1204" s="9">
        <v>41639</v>
      </c>
      <c r="M1204" t="str">
        <f t="shared" ca="1" si="74"/>
        <v>12 years, 2 months</v>
      </c>
      <c r="N1204" s="6">
        <v>42</v>
      </c>
      <c r="O1204">
        <v>3</v>
      </c>
      <c r="P1204">
        <v>5</v>
      </c>
      <c r="Q1204">
        <f t="shared" si="75"/>
        <v>8</v>
      </c>
      <c r="R1204">
        <v>3</v>
      </c>
      <c r="S1204">
        <v>4</v>
      </c>
      <c r="T1204">
        <f>Table[[#This Row],[NumWebPurchases]]+Table[[#This Row],[NumStorePurchases]]</f>
        <v>7</v>
      </c>
    </row>
    <row r="1205" spans="1:20" ht="12.5">
      <c r="A1205" s="6">
        <v>1203</v>
      </c>
      <c r="B1205" s="6">
        <v>234</v>
      </c>
      <c r="C1205" s="6">
        <v>1979</v>
      </c>
      <c r="D1205" s="6">
        <f t="shared" si="72"/>
        <v>46</v>
      </c>
      <c r="E1205" s="7" t="s">
        <v>9</v>
      </c>
      <c r="F1205" s="7" t="s">
        <v>15</v>
      </c>
      <c r="G1205" s="6">
        <v>15287</v>
      </c>
      <c r="H1205" s="6" t="str" cm="1">
        <f t="array" ref="H1205">_xlfn.IFS(
  G1205 &lt; 25000, "Low",
  AND(G1205 &gt;= 25000, G1205 &lt; 75000), "Medium",
  AND(G1205 &gt;= 75000, G1205 &lt; 150000), "High",
  G1205 &gt;= 150000, "Very High"
)</f>
        <v>Low</v>
      </c>
      <c r="I1205" s="6">
        <v>1</v>
      </c>
      <c r="J1205" s="6">
        <v>0</v>
      </c>
      <c r="K1205" s="6">
        <f t="shared" si="73"/>
        <v>1</v>
      </c>
      <c r="L1205" s="9">
        <v>41192</v>
      </c>
      <c r="M1205" t="str">
        <f t="shared" ca="1" si="74"/>
        <v>13 years, 4 months</v>
      </c>
      <c r="N1205" s="6">
        <v>60</v>
      </c>
      <c r="O1205">
        <v>2</v>
      </c>
      <c r="P1205">
        <v>3</v>
      </c>
      <c r="Q1205">
        <f t="shared" si="75"/>
        <v>5</v>
      </c>
      <c r="R1205">
        <v>1</v>
      </c>
      <c r="S1205">
        <v>2</v>
      </c>
      <c r="T1205">
        <f>Table[[#This Row],[NumWebPurchases]]+Table[[#This Row],[NumStorePurchases]]</f>
        <v>3</v>
      </c>
    </row>
    <row r="1206" spans="1:20" ht="12.5">
      <c r="A1206" s="6">
        <v>1204</v>
      </c>
      <c r="B1206" s="6">
        <v>2995</v>
      </c>
      <c r="C1206" s="6">
        <v>1957</v>
      </c>
      <c r="D1206" s="6">
        <f t="shared" si="72"/>
        <v>68</v>
      </c>
      <c r="E1206" s="7" t="s">
        <v>14</v>
      </c>
      <c r="F1206" s="7" t="s">
        <v>11</v>
      </c>
      <c r="G1206" s="6">
        <v>66636</v>
      </c>
      <c r="H1206" s="6" t="str" cm="1">
        <f t="array" ref="H1206">_xlfn.IFS(
  G1206 &lt; 25000, "Low",
  AND(G1206 &gt;= 25000, G1206 &lt; 75000), "Medium",
  AND(G1206 &gt;= 75000, G1206 &lt; 150000), "High",
  G1206 &gt;= 150000, "Very High"
)</f>
        <v>Medium</v>
      </c>
      <c r="I1206" s="6">
        <v>0</v>
      </c>
      <c r="J1206" s="6">
        <v>0</v>
      </c>
      <c r="K1206" s="6">
        <f t="shared" si="73"/>
        <v>0</v>
      </c>
      <c r="L1206" s="8">
        <v>41503</v>
      </c>
      <c r="M1206" t="str">
        <f t="shared" ca="1" si="74"/>
        <v>12 years, 6 months</v>
      </c>
      <c r="N1206" s="6">
        <v>64</v>
      </c>
      <c r="O1206">
        <v>10</v>
      </c>
      <c r="P1206">
        <v>10</v>
      </c>
      <c r="Q1206">
        <f t="shared" si="75"/>
        <v>20</v>
      </c>
      <c r="R1206">
        <v>3</v>
      </c>
      <c r="S1206">
        <v>9</v>
      </c>
      <c r="T1206">
        <f>Table[[#This Row],[NumWebPurchases]]+Table[[#This Row],[NumStorePurchases]]</f>
        <v>12</v>
      </c>
    </row>
    <row r="1207" spans="1:20" ht="12.5">
      <c r="A1207" s="6">
        <v>1205</v>
      </c>
      <c r="B1207" s="6">
        <v>1118</v>
      </c>
      <c r="C1207" s="6">
        <v>1956</v>
      </c>
      <c r="D1207" s="6">
        <f t="shared" si="72"/>
        <v>69</v>
      </c>
      <c r="E1207" s="7" t="s">
        <v>14</v>
      </c>
      <c r="F1207" s="7" t="s">
        <v>13</v>
      </c>
      <c r="G1207" s="6">
        <v>50965</v>
      </c>
      <c r="H1207" s="6" t="str" cm="1">
        <f t="array" ref="H1207">_xlfn.IFS(
  G1207 &lt; 25000, "Low",
  AND(G1207 &gt;= 25000, G1207 &lt; 75000), "Medium",
  AND(G1207 &gt;= 75000, G1207 &lt; 150000), "High",
  G1207 &gt;= 150000, "Very High"
)</f>
        <v>Medium</v>
      </c>
      <c r="I1207" s="6">
        <v>0</v>
      </c>
      <c r="J1207" s="6">
        <v>1</v>
      </c>
      <c r="K1207" s="6">
        <f t="shared" si="73"/>
        <v>1</v>
      </c>
      <c r="L1207" s="8">
        <v>41325</v>
      </c>
      <c r="M1207" t="str">
        <f t="shared" ca="1" si="74"/>
        <v>13 years, 0 months</v>
      </c>
      <c r="N1207" s="6">
        <v>87</v>
      </c>
      <c r="O1207">
        <v>13</v>
      </c>
      <c r="P1207">
        <v>6</v>
      </c>
      <c r="Q1207">
        <f t="shared" si="75"/>
        <v>19</v>
      </c>
      <c r="R1207">
        <v>10</v>
      </c>
      <c r="S1207">
        <v>5</v>
      </c>
      <c r="T1207">
        <f>Table[[#This Row],[NumWebPurchases]]+Table[[#This Row],[NumStorePurchases]]</f>
        <v>15</v>
      </c>
    </row>
    <row r="1208" spans="1:20" ht="12.5">
      <c r="A1208" s="6">
        <v>1206</v>
      </c>
      <c r="B1208" s="6">
        <v>7789</v>
      </c>
      <c r="C1208" s="6">
        <v>1965</v>
      </c>
      <c r="D1208" s="6">
        <f t="shared" si="72"/>
        <v>60</v>
      </c>
      <c r="E1208" s="7" t="s">
        <v>12</v>
      </c>
      <c r="F1208" s="7" t="s">
        <v>13</v>
      </c>
      <c r="G1208" s="6">
        <v>84618</v>
      </c>
      <c r="H1208" s="6" t="str" cm="1">
        <f t="array" ref="H1208">_xlfn.IFS(
  G1208 &lt; 25000, "Low",
  AND(G1208 &gt;= 25000, G1208 &lt; 75000), "Medium",
  AND(G1208 &gt;= 75000, G1208 &lt; 150000), "High",
  G1208 &gt;= 150000, "Very High"
)</f>
        <v>High</v>
      </c>
      <c r="I1208" s="6">
        <v>0</v>
      </c>
      <c r="J1208" s="6">
        <v>0</v>
      </c>
      <c r="K1208" s="6">
        <f t="shared" si="73"/>
        <v>0</v>
      </c>
      <c r="L1208" s="9">
        <v>41600</v>
      </c>
      <c r="M1208" t="str">
        <f t="shared" ca="1" si="74"/>
        <v>12 years, 3 months</v>
      </c>
      <c r="N1208" s="6">
        <v>96</v>
      </c>
      <c r="O1208">
        <v>100</v>
      </c>
      <c r="P1208">
        <v>66</v>
      </c>
      <c r="Q1208">
        <f t="shared" si="75"/>
        <v>166</v>
      </c>
      <c r="R1208">
        <v>6</v>
      </c>
      <c r="S1208">
        <v>10</v>
      </c>
      <c r="T1208">
        <f>Table[[#This Row],[NumWebPurchases]]+Table[[#This Row],[NumStorePurchases]]</f>
        <v>16</v>
      </c>
    </row>
    <row r="1209" spans="1:20" ht="12.5">
      <c r="A1209" s="6">
        <v>1207</v>
      </c>
      <c r="B1209" s="6">
        <v>3068</v>
      </c>
      <c r="C1209" s="6">
        <v>1990</v>
      </c>
      <c r="D1209" s="6">
        <f t="shared" si="72"/>
        <v>35</v>
      </c>
      <c r="E1209" s="7" t="s">
        <v>9</v>
      </c>
      <c r="F1209" s="7" t="s">
        <v>13</v>
      </c>
      <c r="G1209" s="6">
        <v>18351</v>
      </c>
      <c r="H1209" s="6" t="str" cm="1">
        <f t="array" ref="H1209">_xlfn.IFS(
  G1209 &lt; 25000, "Low",
  AND(G1209 &gt;= 25000, G1209 &lt; 75000), "Medium",
  AND(G1209 &gt;= 75000, G1209 &lt; 150000), "High",
  G1209 &gt;= 150000, "Very High"
)</f>
        <v>Low</v>
      </c>
      <c r="I1209" s="6">
        <v>0</v>
      </c>
      <c r="J1209" s="6">
        <v>0</v>
      </c>
      <c r="K1209" s="6">
        <f t="shared" si="73"/>
        <v>0</v>
      </c>
      <c r="L1209" s="9">
        <v>41576</v>
      </c>
      <c r="M1209" t="str">
        <f t="shared" ca="1" si="74"/>
        <v>12 years, 4 months</v>
      </c>
      <c r="N1209" s="6">
        <v>1</v>
      </c>
      <c r="O1209">
        <v>12</v>
      </c>
      <c r="P1209">
        <v>14</v>
      </c>
      <c r="Q1209">
        <f t="shared" si="75"/>
        <v>26</v>
      </c>
      <c r="R1209">
        <v>2</v>
      </c>
      <c r="S1209">
        <v>3</v>
      </c>
      <c r="T1209">
        <f>Table[[#This Row],[NumWebPurchases]]+Table[[#This Row],[NumStorePurchases]]</f>
        <v>5</v>
      </c>
    </row>
    <row r="1210" spans="1:20" ht="12.5">
      <c r="A1210" s="6">
        <v>1208</v>
      </c>
      <c r="B1210" s="6">
        <v>8955</v>
      </c>
      <c r="C1210" s="6">
        <v>1957</v>
      </c>
      <c r="D1210" s="6">
        <f t="shared" si="72"/>
        <v>68</v>
      </c>
      <c r="E1210" s="7" t="s">
        <v>12</v>
      </c>
      <c r="F1210" s="7" t="s">
        <v>11</v>
      </c>
      <c r="G1210" s="6">
        <v>40451</v>
      </c>
      <c r="H1210" s="6" t="str" cm="1">
        <f t="array" ref="H1210">_xlfn.IFS(
  G1210 &lt; 25000, "Low",
  AND(G1210 &gt;= 25000, G1210 &lt; 75000), "Medium",
  AND(G1210 &gt;= 75000, G1210 &lt; 150000), "High",
  G1210 &gt;= 150000, "Very High"
)</f>
        <v>Medium</v>
      </c>
      <c r="I1210" s="6">
        <v>0</v>
      </c>
      <c r="J1210" s="6">
        <v>2</v>
      </c>
      <c r="K1210" s="6">
        <f t="shared" si="73"/>
        <v>2</v>
      </c>
      <c r="L1210" s="8">
        <v>41686</v>
      </c>
      <c r="M1210" t="str">
        <f t="shared" ca="1" si="74"/>
        <v>12 years, 0 months</v>
      </c>
      <c r="N1210" s="6">
        <v>54</v>
      </c>
      <c r="O1210">
        <v>0</v>
      </c>
      <c r="P1210">
        <v>0</v>
      </c>
      <c r="Q1210">
        <f t="shared" si="75"/>
        <v>0</v>
      </c>
      <c r="R1210">
        <v>1</v>
      </c>
      <c r="S1210">
        <v>2</v>
      </c>
      <c r="T1210">
        <f>Table[[#This Row],[NumWebPurchases]]+Table[[#This Row],[NumStorePurchases]]</f>
        <v>3</v>
      </c>
    </row>
    <row r="1211" spans="1:20" ht="12.5">
      <c r="A1211" s="6">
        <v>1209</v>
      </c>
      <c r="B1211" s="6">
        <v>945</v>
      </c>
      <c r="C1211" s="6">
        <v>1965</v>
      </c>
      <c r="D1211" s="6">
        <f t="shared" si="72"/>
        <v>60</v>
      </c>
      <c r="E1211" s="7" t="s">
        <v>9</v>
      </c>
      <c r="F1211" s="7" t="s">
        <v>11</v>
      </c>
      <c r="G1211" s="6">
        <v>36317</v>
      </c>
      <c r="H1211" s="6" t="str" cm="1">
        <f t="array" ref="H1211">_xlfn.IFS(
  G1211 &lt; 25000, "Low",
  AND(G1211 &gt;= 25000, G1211 &lt; 75000), "Medium",
  AND(G1211 &gt;= 75000, G1211 &lt; 150000), "High",
  G1211 &gt;= 150000, "Very High"
)</f>
        <v>Medium</v>
      </c>
      <c r="I1211" s="6">
        <v>0</v>
      </c>
      <c r="J1211" s="6">
        <v>1</v>
      </c>
      <c r="K1211" s="6">
        <f t="shared" si="73"/>
        <v>1</v>
      </c>
      <c r="L1211" s="8">
        <v>41416</v>
      </c>
      <c r="M1211" t="str">
        <f t="shared" ca="1" si="74"/>
        <v>12 years, 9 months</v>
      </c>
      <c r="N1211" s="6">
        <v>53</v>
      </c>
      <c r="O1211">
        <v>3</v>
      </c>
      <c r="P1211">
        <v>2</v>
      </c>
      <c r="Q1211">
        <f t="shared" si="75"/>
        <v>5</v>
      </c>
      <c r="R1211">
        <v>3</v>
      </c>
      <c r="S1211">
        <v>4</v>
      </c>
      <c r="T1211">
        <f>Table[[#This Row],[NumWebPurchases]]+Table[[#This Row],[NumStorePurchases]]</f>
        <v>7</v>
      </c>
    </row>
    <row r="1212" spans="1:20" ht="12.5">
      <c r="A1212" s="6">
        <v>1210</v>
      </c>
      <c r="B1212" s="6">
        <v>5644</v>
      </c>
      <c r="C1212" s="6">
        <v>1957</v>
      </c>
      <c r="D1212" s="6">
        <f t="shared" si="72"/>
        <v>68</v>
      </c>
      <c r="E1212" s="7" t="s">
        <v>9</v>
      </c>
      <c r="F1212" s="7" t="s">
        <v>11</v>
      </c>
      <c r="G1212" s="6">
        <v>42213</v>
      </c>
      <c r="H1212" s="6" t="str" cm="1">
        <f t="array" ref="H1212">_xlfn.IFS(
  G1212 &lt; 25000, "Low",
  AND(G1212 &gt;= 25000, G1212 &lt; 75000), "Medium",
  AND(G1212 &gt;= 75000, G1212 &lt; 150000), "High",
  G1212 &gt;= 150000, "Very High"
)</f>
        <v>Medium</v>
      </c>
      <c r="I1212" s="6">
        <v>0</v>
      </c>
      <c r="J1212" s="6">
        <v>1</v>
      </c>
      <c r="K1212" s="6">
        <f t="shared" si="73"/>
        <v>1</v>
      </c>
      <c r="L1212" s="9">
        <v>41559</v>
      </c>
      <c r="M1212" t="str">
        <f t="shared" ca="1" si="74"/>
        <v>12 years, 4 months</v>
      </c>
      <c r="N1212" s="6">
        <v>96</v>
      </c>
      <c r="O1212">
        <v>3</v>
      </c>
      <c r="P1212">
        <v>3</v>
      </c>
      <c r="Q1212">
        <f t="shared" si="75"/>
        <v>6</v>
      </c>
      <c r="R1212">
        <v>5</v>
      </c>
      <c r="S1212">
        <v>7</v>
      </c>
      <c r="T1212">
        <f>Table[[#This Row],[NumWebPurchases]]+Table[[#This Row],[NumStorePurchases]]</f>
        <v>12</v>
      </c>
    </row>
    <row r="1213" spans="1:20" ht="12.5">
      <c r="A1213" s="6">
        <v>1211</v>
      </c>
      <c r="B1213" s="6">
        <v>7192</v>
      </c>
      <c r="C1213" s="6">
        <v>1955</v>
      </c>
      <c r="D1213" s="6">
        <f t="shared" si="72"/>
        <v>70</v>
      </c>
      <c r="E1213" s="7" t="s">
        <v>9</v>
      </c>
      <c r="F1213" s="7" t="s">
        <v>11</v>
      </c>
      <c r="G1213" s="6">
        <v>65748</v>
      </c>
      <c r="H1213" s="6" t="str" cm="1">
        <f t="array" ref="H1213">_xlfn.IFS(
  G1213 &lt; 25000, "Low",
  AND(G1213 &gt;= 25000, G1213 &lt; 75000), "Medium",
  AND(G1213 &gt;= 75000, G1213 &lt; 150000), "High",
  G1213 &gt;= 150000, "Very High"
)</f>
        <v>Medium</v>
      </c>
      <c r="I1213" s="6">
        <v>0</v>
      </c>
      <c r="J1213" s="6">
        <v>1</v>
      </c>
      <c r="K1213" s="6">
        <f t="shared" si="73"/>
        <v>1</v>
      </c>
      <c r="L1213" s="8">
        <v>41379</v>
      </c>
      <c r="M1213" t="str">
        <f t="shared" ca="1" si="74"/>
        <v>12 years, 10 months</v>
      </c>
      <c r="N1213" s="6">
        <v>58</v>
      </c>
      <c r="O1213">
        <v>73</v>
      </c>
      <c r="P1213">
        <v>78</v>
      </c>
      <c r="Q1213">
        <f t="shared" si="75"/>
        <v>151</v>
      </c>
      <c r="R1213">
        <v>2</v>
      </c>
      <c r="S1213">
        <v>10</v>
      </c>
      <c r="T1213">
        <f>Table[[#This Row],[NumWebPurchases]]+Table[[#This Row],[NumStorePurchases]]</f>
        <v>12</v>
      </c>
    </row>
    <row r="1214" spans="1:20" ht="12.5">
      <c r="A1214" s="6">
        <v>1212</v>
      </c>
      <c r="B1214" s="6">
        <v>2324</v>
      </c>
      <c r="C1214" s="6">
        <v>1972</v>
      </c>
      <c r="D1214" s="6">
        <f t="shared" si="72"/>
        <v>53</v>
      </c>
      <c r="E1214" s="7" t="s">
        <v>9</v>
      </c>
      <c r="F1214" s="7" t="s">
        <v>11</v>
      </c>
      <c r="G1214" s="6">
        <v>77044</v>
      </c>
      <c r="H1214" s="6" t="str" cm="1">
        <f t="array" ref="H1214">_xlfn.IFS(
  G1214 &lt; 25000, "Low",
  AND(G1214 &gt;= 25000, G1214 &lt; 75000), "Medium",
  AND(G1214 &gt;= 75000, G1214 &lt; 150000), "High",
  G1214 &gt;= 150000, "Very High"
)</f>
        <v>High</v>
      </c>
      <c r="I1214" s="6">
        <v>0</v>
      </c>
      <c r="J1214" s="6">
        <v>1</v>
      </c>
      <c r="K1214" s="6">
        <f t="shared" si="73"/>
        <v>1</v>
      </c>
      <c r="L1214" s="9">
        <v>41574</v>
      </c>
      <c r="M1214" t="str">
        <f t="shared" ca="1" si="74"/>
        <v>12 years, 4 months</v>
      </c>
      <c r="N1214" s="6">
        <v>12</v>
      </c>
      <c r="O1214">
        <v>38</v>
      </c>
      <c r="P1214">
        <v>34</v>
      </c>
      <c r="Q1214">
        <f t="shared" si="75"/>
        <v>72</v>
      </c>
      <c r="R1214">
        <v>7</v>
      </c>
      <c r="S1214">
        <v>11</v>
      </c>
      <c r="T1214">
        <f>Table[[#This Row],[NumWebPurchases]]+Table[[#This Row],[NumStorePurchases]]</f>
        <v>18</v>
      </c>
    </row>
    <row r="1215" spans="1:20" ht="12.5">
      <c r="A1215" s="6">
        <v>1213</v>
      </c>
      <c r="B1215" s="6">
        <v>697</v>
      </c>
      <c r="C1215" s="6">
        <v>1969</v>
      </c>
      <c r="D1215" s="6">
        <f t="shared" si="72"/>
        <v>56</v>
      </c>
      <c r="E1215" s="7" t="s">
        <v>9</v>
      </c>
      <c r="F1215" s="7" t="s">
        <v>11</v>
      </c>
      <c r="G1215" s="6">
        <v>74918</v>
      </c>
      <c r="H1215" s="6" t="str" cm="1">
        <f t="array" ref="H1215">_xlfn.IFS(
  G1215 &lt; 25000, "Low",
  AND(G1215 &gt;= 25000, G1215 &lt; 75000), "Medium",
  AND(G1215 &gt;= 75000, G1215 &lt; 150000), "High",
  G1215 &gt;= 150000, "Very High"
)</f>
        <v>Medium</v>
      </c>
      <c r="I1215" s="6">
        <v>0</v>
      </c>
      <c r="J1215" s="6">
        <v>0</v>
      </c>
      <c r="K1215" s="6">
        <f t="shared" si="73"/>
        <v>0</v>
      </c>
      <c r="L1215" s="8">
        <v>41345</v>
      </c>
      <c r="M1215" t="str">
        <f t="shared" ca="1" si="74"/>
        <v>12 years, 11 months</v>
      </c>
      <c r="N1215" s="6">
        <v>78</v>
      </c>
      <c r="O1215">
        <v>59</v>
      </c>
      <c r="P1215">
        <v>19</v>
      </c>
      <c r="Q1215">
        <f t="shared" si="75"/>
        <v>78</v>
      </c>
      <c r="R1215">
        <v>5</v>
      </c>
      <c r="S1215">
        <v>6</v>
      </c>
      <c r="T1215">
        <f>Table[[#This Row],[NumWebPurchases]]+Table[[#This Row],[NumStorePurchases]]</f>
        <v>11</v>
      </c>
    </row>
    <row r="1216" spans="1:20" ht="12.5">
      <c r="A1216" s="6">
        <v>1214</v>
      </c>
      <c r="B1216" s="6">
        <v>3439</v>
      </c>
      <c r="C1216" s="6">
        <v>1972</v>
      </c>
      <c r="D1216" s="6">
        <f t="shared" si="72"/>
        <v>53</v>
      </c>
      <c r="E1216" s="7" t="s">
        <v>9</v>
      </c>
      <c r="F1216" s="7" t="s">
        <v>13</v>
      </c>
      <c r="G1216" s="6">
        <v>56721</v>
      </c>
      <c r="H1216" s="6" t="str" cm="1">
        <f t="array" ref="H1216">_xlfn.IFS(
  G1216 &lt; 25000, "Low",
  AND(G1216 &gt;= 25000, G1216 &lt; 75000), "Medium",
  AND(G1216 &gt;= 75000, G1216 &lt; 150000), "High",
  G1216 &gt;= 150000, "Very High"
)</f>
        <v>Medium</v>
      </c>
      <c r="I1216" s="6">
        <v>1</v>
      </c>
      <c r="J1216" s="6">
        <v>1</v>
      </c>
      <c r="K1216" s="6">
        <f t="shared" si="73"/>
        <v>2</v>
      </c>
      <c r="L1216" s="9">
        <v>41213</v>
      </c>
      <c r="M1216" t="str">
        <f t="shared" ca="1" si="74"/>
        <v>13 years, 4 months</v>
      </c>
      <c r="N1216" s="6">
        <v>64</v>
      </c>
      <c r="O1216">
        <v>6</v>
      </c>
      <c r="P1216">
        <v>13</v>
      </c>
      <c r="Q1216">
        <f t="shared" si="75"/>
        <v>19</v>
      </c>
      <c r="R1216">
        <v>4</v>
      </c>
      <c r="S1216">
        <v>5</v>
      </c>
      <c r="T1216">
        <f>Table[[#This Row],[NumWebPurchases]]+Table[[#This Row],[NumStorePurchases]]</f>
        <v>9</v>
      </c>
    </row>
    <row r="1217" spans="1:20" ht="12.5">
      <c r="A1217" s="6">
        <v>1215</v>
      </c>
      <c r="B1217" s="6">
        <v>1506</v>
      </c>
      <c r="C1217" s="6">
        <v>1975</v>
      </c>
      <c r="D1217" s="6">
        <f t="shared" si="72"/>
        <v>50</v>
      </c>
      <c r="E1217" s="7" t="s">
        <v>9</v>
      </c>
      <c r="F1217" s="7" t="s">
        <v>10</v>
      </c>
      <c r="G1217" s="6">
        <v>42160</v>
      </c>
      <c r="H1217" s="6" t="str" cm="1">
        <f t="array" ref="H1217">_xlfn.IFS(
  G1217 &lt; 25000, "Low",
  AND(G1217 &gt;= 25000, G1217 &lt; 75000), "Medium",
  AND(G1217 &gt;= 75000, G1217 &lt; 150000), "High",
  G1217 &gt;= 150000, "Very High"
)</f>
        <v>Medium</v>
      </c>
      <c r="I1217" s="6">
        <v>1</v>
      </c>
      <c r="J1217" s="6">
        <v>1</v>
      </c>
      <c r="K1217" s="6">
        <f t="shared" si="73"/>
        <v>2</v>
      </c>
      <c r="L1217" s="8">
        <v>41453</v>
      </c>
      <c r="M1217" t="str">
        <f t="shared" ca="1" si="74"/>
        <v>12 years, 8 months</v>
      </c>
      <c r="N1217" s="6">
        <v>26</v>
      </c>
      <c r="O1217">
        <v>9</v>
      </c>
      <c r="P1217">
        <v>15</v>
      </c>
      <c r="Q1217">
        <f t="shared" si="75"/>
        <v>24</v>
      </c>
      <c r="R1217">
        <v>2</v>
      </c>
      <c r="S1217">
        <v>4</v>
      </c>
      <c r="T1217">
        <f>Table[[#This Row],[NumWebPurchases]]+Table[[#This Row],[NumStorePurchases]]</f>
        <v>6</v>
      </c>
    </row>
    <row r="1218" spans="1:20" ht="12.5">
      <c r="A1218" s="6">
        <v>1216</v>
      </c>
      <c r="B1218" s="6">
        <v>232</v>
      </c>
      <c r="C1218" s="6">
        <v>1965</v>
      </c>
      <c r="D1218" s="6">
        <f t="shared" si="72"/>
        <v>60</v>
      </c>
      <c r="E1218" s="7" t="s">
        <v>9</v>
      </c>
      <c r="F1218" s="7" t="s">
        <v>10</v>
      </c>
      <c r="G1218" s="6">
        <v>61559</v>
      </c>
      <c r="H1218" s="6" t="str" cm="1">
        <f t="array" ref="H1218">_xlfn.IFS(
  G1218 &lt; 25000, "Low",
  AND(G1218 &gt;= 25000, G1218 &lt; 75000), "Medium",
  AND(G1218 &gt;= 75000, G1218 &lt; 150000), "High",
  G1218 &gt;= 150000, "Very High"
)</f>
        <v>Medium</v>
      </c>
      <c r="I1218" s="6">
        <v>0</v>
      </c>
      <c r="J1218" s="6">
        <v>1</v>
      </c>
      <c r="K1218" s="6">
        <f t="shared" si="73"/>
        <v>1</v>
      </c>
      <c r="L1218" s="8">
        <v>41472</v>
      </c>
      <c r="M1218" t="str">
        <f t="shared" ca="1" si="74"/>
        <v>12 years, 7 months</v>
      </c>
      <c r="N1218" s="6">
        <v>8</v>
      </c>
      <c r="O1218">
        <v>83</v>
      </c>
      <c r="P1218">
        <v>14</v>
      </c>
      <c r="Q1218">
        <f t="shared" si="75"/>
        <v>97</v>
      </c>
      <c r="R1218">
        <v>4</v>
      </c>
      <c r="S1218">
        <v>10</v>
      </c>
      <c r="T1218">
        <f>Table[[#This Row],[NumWebPurchases]]+Table[[#This Row],[NumStorePurchases]]</f>
        <v>14</v>
      </c>
    </row>
    <row r="1219" spans="1:20" ht="12.5">
      <c r="A1219" s="6">
        <v>1217</v>
      </c>
      <c r="B1219" s="6">
        <v>8876</v>
      </c>
      <c r="C1219" s="6">
        <v>1963</v>
      </c>
      <c r="D1219" s="6">
        <f t="shared" ref="D1219:D1282" si="76">2025-C1219</f>
        <v>62</v>
      </c>
      <c r="E1219" s="7" t="s">
        <v>12</v>
      </c>
      <c r="F1219" s="7" t="s">
        <v>11</v>
      </c>
      <c r="G1219" s="6">
        <v>33629</v>
      </c>
      <c r="H1219" s="6" t="str" cm="1">
        <f t="array" ref="H1219">_xlfn.IFS(
  G1219 &lt; 25000, "Low",
  AND(G1219 &gt;= 25000, G1219 &lt; 75000), "Medium",
  AND(G1219 &gt;= 75000, G1219 &lt; 150000), "High",
  G1219 &gt;= 150000, "Very High"
)</f>
        <v>Medium</v>
      </c>
      <c r="I1219" s="6">
        <v>1</v>
      </c>
      <c r="J1219" s="6">
        <v>1</v>
      </c>
      <c r="K1219" s="6">
        <f t="shared" ref="K1219:K1282" si="77">I1219+J1219</f>
        <v>2</v>
      </c>
      <c r="L1219" s="8">
        <v>41129</v>
      </c>
      <c r="M1219" t="str">
        <f t="shared" ref="M1219:M1282" ca="1" si="78">DATEDIF(L1219, TODAY(), "Y") &amp; " years, " &amp; DATEDIF(L1219, TODAY(), "YM") &amp; " months"</f>
        <v>13 years, 6 months</v>
      </c>
      <c r="N1219" s="6">
        <v>49</v>
      </c>
      <c r="O1219">
        <v>0</v>
      </c>
      <c r="P1219">
        <v>0</v>
      </c>
      <c r="Q1219">
        <f t="shared" ref="Q1219:Q1282" si="79">O1219+P1219</f>
        <v>0</v>
      </c>
      <c r="R1219">
        <v>3</v>
      </c>
      <c r="S1219">
        <v>4</v>
      </c>
      <c r="T1219">
        <f>Table[[#This Row],[NumWebPurchases]]+Table[[#This Row],[NumStorePurchases]]</f>
        <v>7</v>
      </c>
    </row>
    <row r="1220" spans="1:20" ht="12.5">
      <c r="A1220" s="6">
        <v>1218</v>
      </c>
      <c r="B1220" s="6">
        <v>4500</v>
      </c>
      <c r="C1220" s="6">
        <v>1991</v>
      </c>
      <c r="D1220" s="6">
        <f t="shared" si="76"/>
        <v>34</v>
      </c>
      <c r="E1220" s="7" t="s">
        <v>12</v>
      </c>
      <c r="F1220" s="7" t="s">
        <v>11</v>
      </c>
      <c r="G1220" s="6">
        <v>68682</v>
      </c>
      <c r="H1220" s="6" t="str" cm="1">
        <f t="array" ref="H1220">_xlfn.IFS(
  G1220 &lt; 25000, "Low",
  AND(G1220 &gt;= 25000, G1220 &lt; 75000), "Medium",
  AND(G1220 &gt;= 75000, G1220 &lt; 150000), "High",
  G1220 &gt;= 150000, "Very High"
)</f>
        <v>Medium</v>
      </c>
      <c r="I1220" s="6">
        <v>0</v>
      </c>
      <c r="J1220" s="6">
        <v>0</v>
      </c>
      <c r="K1220" s="6">
        <f t="shared" si="77"/>
        <v>0</v>
      </c>
      <c r="L1220" s="8">
        <v>41553</v>
      </c>
      <c r="M1220" t="str">
        <f t="shared" ca="1" si="78"/>
        <v>12 years, 5 months</v>
      </c>
      <c r="N1220" s="6">
        <v>56</v>
      </c>
      <c r="O1220">
        <v>0</v>
      </c>
      <c r="P1220">
        <v>30</v>
      </c>
      <c r="Q1220">
        <f t="shared" si="79"/>
        <v>30</v>
      </c>
      <c r="R1220">
        <v>4</v>
      </c>
      <c r="S1220">
        <v>10</v>
      </c>
      <c r="T1220">
        <f>Table[[#This Row],[NumWebPurchases]]+Table[[#This Row],[NumStorePurchases]]</f>
        <v>14</v>
      </c>
    </row>
    <row r="1221" spans="1:20" ht="12.5">
      <c r="A1221" s="6">
        <v>1219</v>
      </c>
      <c r="B1221" s="6">
        <v>9739</v>
      </c>
      <c r="C1221" s="6">
        <v>1963</v>
      </c>
      <c r="D1221" s="6">
        <f t="shared" si="76"/>
        <v>62</v>
      </c>
      <c r="E1221" s="7" t="s">
        <v>9</v>
      </c>
      <c r="F1221" s="7" t="s">
        <v>10</v>
      </c>
      <c r="G1221" s="6">
        <v>34377</v>
      </c>
      <c r="H1221" s="6" t="str" cm="1">
        <f t="array" ref="H1221">_xlfn.IFS(
  G1221 &lt; 25000, "Low",
  AND(G1221 &gt;= 25000, G1221 &lt; 75000), "Medium",
  AND(G1221 &gt;= 75000, G1221 &lt; 150000), "High",
  G1221 &gt;= 150000, "Very High"
)</f>
        <v>Medium</v>
      </c>
      <c r="I1221" s="6">
        <v>0</v>
      </c>
      <c r="J1221" s="6">
        <v>1</v>
      </c>
      <c r="K1221" s="6">
        <f t="shared" si="77"/>
        <v>1</v>
      </c>
      <c r="L1221" s="8">
        <v>41293</v>
      </c>
      <c r="M1221" t="str">
        <f t="shared" ca="1" si="78"/>
        <v>13 years, 1 months</v>
      </c>
      <c r="N1221" s="6">
        <v>55</v>
      </c>
      <c r="O1221">
        <v>0</v>
      </c>
      <c r="P1221">
        <v>1</v>
      </c>
      <c r="Q1221">
        <f t="shared" si="79"/>
        <v>1</v>
      </c>
      <c r="R1221">
        <v>2</v>
      </c>
      <c r="S1221">
        <v>2</v>
      </c>
      <c r="T1221">
        <f>Table[[#This Row],[NumWebPurchases]]+Table[[#This Row],[NumStorePurchases]]</f>
        <v>4</v>
      </c>
    </row>
    <row r="1222" spans="1:20" ht="12.5">
      <c r="A1222" s="6">
        <v>1220</v>
      </c>
      <c r="B1222" s="6">
        <v>10395</v>
      </c>
      <c r="C1222" s="6">
        <v>1986</v>
      </c>
      <c r="D1222" s="6">
        <f t="shared" si="76"/>
        <v>39</v>
      </c>
      <c r="E1222" s="7" t="s">
        <v>16</v>
      </c>
      <c r="F1222" s="7" t="s">
        <v>10</v>
      </c>
      <c r="G1222" s="6">
        <v>8940</v>
      </c>
      <c r="H1222" s="6" t="str" cm="1">
        <f t="array" ref="H1222">_xlfn.IFS(
  G1222 &lt; 25000, "Low",
  AND(G1222 &gt;= 25000, G1222 &lt; 75000), "Medium",
  AND(G1222 &gt;= 75000, G1222 &lt; 150000), "High",
  G1222 &gt;= 150000, "Very High"
)</f>
        <v>Low</v>
      </c>
      <c r="I1222" s="6">
        <v>1</v>
      </c>
      <c r="J1222" s="6">
        <v>0</v>
      </c>
      <c r="K1222" s="6">
        <f t="shared" si="77"/>
        <v>1</v>
      </c>
      <c r="L1222" s="8">
        <v>41143</v>
      </c>
      <c r="M1222" t="str">
        <f t="shared" ca="1" si="78"/>
        <v>13 years, 6 months</v>
      </c>
      <c r="N1222" s="6">
        <v>25</v>
      </c>
      <c r="O1222">
        <v>45</v>
      </c>
      <c r="P1222">
        <v>6</v>
      </c>
      <c r="Q1222">
        <f t="shared" si="79"/>
        <v>51</v>
      </c>
      <c r="R1222">
        <v>3</v>
      </c>
      <c r="S1222">
        <v>3</v>
      </c>
      <c r="T1222">
        <f>Table[[#This Row],[NumWebPurchases]]+Table[[#This Row],[NumStorePurchases]]</f>
        <v>6</v>
      </c>
    </row>
    <row r="1223" spans="1:20" ht="12.5">
      <c r="A1223" s="6">
        <v>1221</v>
      </c>
      <c r="B1223" s="6">
        <v>1176</v>
      </c>
      <c r="C1223" s="6">
        <v>1973</v>
      </c>
      <c r="D1223" s="6">
        <f t="shared" si="76"/>
        <v>52</v>
      </c>
      <c r="E1223" s="7" t="s">
        <v>9</v>
      </c>
      <c r="F1223" s="7" t="s">
        <v>13</v>
      </c>
      <c r="G1223" s="6">
        <v>26228</v>
      </c>
      <c r="H1223" s="6" t="str" cm="1">
        <f t="array" ref="H1223">_xlfn.IFS(
  G1223 &lt; 25000, "Low",
  AND(G1223 &gt;= 25000, G1223 &lt; 75000), "Medium",
  AND(G1223 &gt;= 75000, G1223 &lt; 150000), "High",
  G1223 &gt;= 150000, "Very High"
)</f>
        <v>Medium</v>
      </c>
      <c r="I1223" s="6">
        <v>1</v>
      </c>
      <c r="J1223" s="6">
        <v>0</v>
      </c>
      <c r="K1223" s="6">
        <f t="shared" si="77"/>
        <v>1</v>
      </c>
      <c r="L1223" s="8">
        <v>41539</v>
      </c>
      <c r="M1223" t="str">
        <f t="shared" ca="1" si="78"/>
        <v>12 years, 5 months</v>
      </c>
      <c r="N1223" s="6">
        <v>50</v>
      </c>
      <c r="O1223">
        <v>6</v>
      </c>
      <c r="P1223">
        <v>1</v>
      </c>
      <c r="Q1223">
        <f t="shared" si="79"/>
        <v>7</v>
      </c>
      <c r="R1223">
        <v>1</v>
      </c>
      <c r="S1223">
        <v>2</v>
      </c>
      <c r="T1223">
        <f>Table[[#This Row],[NumWebPurchases]]+Table[[#This Row],[NumStorePurchases]]</f>
        <v>3</v>
      </c>
    </row>
    <row r="1224" spans="1:20" ht="12.5">
      <c r="A1224" s="6">
        <v>1222</v>
      </c>
      <c r="B1224" s="6">
        <v>1627</v>
      </c>
      <c r="C1224" s="6">
        <v>1957</v>
      </c>
      <c r="D1224" s="6">
        <f t="shared" si="76"/>
        <v>68</v>
      </c>
      <c r="E1224" s="7" t="s">
        <v>17</v>
      </c>
      <c r="F1224" s="7" t="s">
        <v>15</v>
      </c>
      <c r="G1224" s="6">
        <v>77297</v>
      </c>
      <c r="H1224" s="6" t="str" cm="1">
        <f t="array" ref="H1224">_xlfn.IFS(
  G1224 &lt; 25000, "Low",
  AND(G1224 &gt;= 25000, G1224 &lt; 75000), "Medium",
  AND(G1224 &gt;= 75000, G1224 &lt; 150000), "High",
  G1224 &gt;= 150000, "Very High"
)</f>
        <v>High</v>
      </c>
      <c r="I1224" s="6">
        <v>0</v>
      </c>
      <c r="J1224" s="6">
        <v>0</v>
      </c>
      <c r="K1224" s="6">
        <f t="shared" si="77"/>
        <v>0</v>
      </c>
      <c r="L1224" s="8">
        <v>41300</v>
      </c>
      <c r="M1224" t="str">
        <f t="shared" ca="1" si="78"/>
        <v>13 years, 1 months</v>
      </c>
      <c r="N1224" s="6">
        <v>84</v>
      </c>
      <c r="O1224">
        <v>61</v>
      </c>
      <c r="P1224">
        <v>122</v>
      </c>
      <c r="Q1224">
        <f t="shared" si="79"/>
        <v>183</v>
      </c>
      <c r="R1224">
        <v>5</v>
      </c>
      <c r="S1224">
        <v>9</v>
      </c>
      <c r="T1224">
        <f>Table[[#This Row],[NumWebPurchases]]+Table[[#This Row],[NumStorePurchases]]</f>
        <v>14</v>
      </c>
    </row>
    <row r="1225" spans="1:20" ht="12.5">
      <c r="A1225" s="6">
        <v>1223</v>
      </c>
      <c r="B1225" s="6">
        <v>938</v>
      </c>
      <c r="C1225" s="6">
        <v>1981</v>
      </c>
      <c r="D1225" s="6">
        <f t="shared" si="76"/>
        <v>44</v>
      </c>
      <c r="E1225" s="7" t="s">
        <v>9</v>
      </c>
      <c r="F1225" s="7" t="s">
        <v>13</v>
      </c>
      <c r="G1225" s="6">
        <v>40211</v>
      </c>
      <c r="H1225" s="6" t="str" cm="1">
        <f t="array" ref="H1225">_xlfn.IFS(
  G1225 &lt; 25000, "Low",
  AND(G1225 &gt;= 25000, G1225 &lt; 75000), "Medium",
  AND(G1225 &gt;= 75000, G1225 &lt; 150000), "High",
  G1225 &gt;= 150000, "Very High"
)</f>
        <v>Medium</v>
      </c>
      <c r="I1225" s="6">
        <v>1</v>
      </c>
      <c r="J1225" s="6">
        <v>1</v>
      </c>
      <c r="K1225" s="6">
        <f t="shared" si="77"/>
        <v>2</v>
      </c>
      <c r="L1225" s="8">
        <v>41485</v>
      </c>
      <c r="M1225" t="str">
        <f t="shared" ca="1" si="78"/>
        <v>12 years, 7 months</v>
      </c>
      <c r="N1225" s="6">
        <v>30</v>
      </c>
      <c r="O1225">
        <v>1</v>
      </c>
      <c r="P1225">
        <v>1</v>
      </c>
      <c r="Q1225">
        <f t="shared" si="79"/>
        <v>2</v>
      </c>
      <c r="R1225">
        <v>2</v>
      </c>
      <c r="S1225">
        <v>2</v>
      </c>
      <c r="T1225">
        <f>Table[[#This Row],[NumWebPurchases]]+Table[[#This Row],[NumStorePurchases]]</f>
        <v>4</v>
      </c>
    </row>
    <row r="1226" spans="1:20" ht="12.5">
      <c r="A1226" s="6">
        <v>1224</v>
      </c>
      <c r="B1226" s="6">
        <v>2740</v>
      </c>
      <c r="C1226" s="6">
        <v>1958</v>
      </c>
      <c r="D1226" s="6">
        <f t="shared" si="76"/>
        <v>67</v>
      </c>
      <c r="E1226" s="7" t="s">
        <v>12</v>
      </c>
      <c r="F1226" s="7" t="s">
        <v>18</v>
      </c>
      <c r="G1226" s="6">
        <v>33438</v>
      </c>
      <c r="H1226" s="6" t="str" cm="1">
        <f t="array" ref="H1226">_xlfn.IFS(
  G1226 &lt; 25000, "Low",
  AND(G1226 &gt;= 25000, G1226 &lt; 75000), "Medium",
  AND(G1226 &gt;= 75000, G1226 &lt; 150000), "High",
  G1226 &gt;= 150000, "Very High"
)</f>
        <v>Medium</v>
      </c>
      <c r="I1226" s="6">
        <v>1</v>
      </c>
      <c r="J1226" s="6">
        <v>1</v>
      </c>
      <c r="K1226" s="6">
        <f t="shared" si="77"/>
        <v>2</v>
      </c>
      <c r="L1226" s="8">
        <v>41539</v>
      </c>
      <c r="M1226" t="str">
        <f t="shared" ca="1" si="78"/>
        <v>12 years, 5 months</v>
      </c>
      <c r="N1226" s="6">
        <v>81</v>
      </c>
      <c r="O1226">
        <v>1</v>
      </c>
      <c r="P1226">
        <v>2</v>
      </c>
      <c r="Q1226">
        <f t="shared" si="79"/>
        <v>3</v>
      </c>
      <c r="R1226">
        <v>2</v>
      </c>
      <c r="S1226">
        <v>4</v>
      </c>
      <c r="T1226">
        <f>Table[[#This Row],[NumWebPurchases]]+Table[[#This Row],[NumStorePurchases]]</f>
        <v>6</v>
      </c>
    </row>
    <row r="1227" spans="1:20" ht="12.5">
      <c r="A1227" s="6">
        <v>1225</v>
      </c>
      <c r="B1227" s="6">
        <v>257</v>
      </c>
      <c r="C1227" s="6">
        <v>1959</v>
      </c>
      <c r="D1227" s="6">
        <f t="shared" si="76"/>
        <v>66</v>
      </c>
      <c r="E1227" s="7" t="s">
        <v>12</v>
      </c>
      <c r="F1227" s="7" t="s">
        <v>13</v>
      </c>
      <c r="G1227" s="6">
        <v>75032</v>
      </c>
      <c r="H1227" s="6" t="str" cm="1">
        <f t="array" ref="H1227">_xlfn.IFS(
  G1227 &lt; 25000, "Low",
  AND(G1227 &gt;= 25000, G1227 &lt; 75000), "Medium",
  AND(G1227 &gt;= 75000, G1227 &lt; 150000), "High",
  G1227 &gt;= 150000, "Very High"
)</f>
        <v>High</v>
      </c>
      <c r="I1227" s="6">
        <v>0</v>
      </c>
      <c r="J1227" s="6">
        <v>1</v>
      </c>
      <c r="K1227" s="6">
        <f t="shared" si="77"/>
        <v>1</v>
      </c>
      <c r="L1227" s="8">
        <v>41392</v>
      </c>
      <c r="M1227" t="str">
        <f t="shared" ca="1" si="78"/>
        <v>12 years, 10 months</v>
      </c>
      <c r="N1227" s="6">
        <v>74</v>
      </c>
      <c r="O1227">
        <v>12</v>
      </c>
      <c r="P1227">
        <v>12</v>
      </c>
      <c r="Q1227">
        <f t="shared" si="79"/>
        <v>24</v>
      </c>
      <c r="R1227">
        <v>5</v>
      </c>
      <c r="S1227">
        <v>9</v>
      </c>
      <c r="T1227">
        <f>Table[[#This Row],[NumWebPurchases]]+Table[[#This Row],[NumStorePurchases]]</f>
        <v>14</v>
      </c>
    </row>
    <row r="1228" spans="1:20" ht="12.5">
      <c r="A1228" s="6">
        <v>1226</v>
      </c>
      <c r="B1228" s="6">
        <v>4058</v>
      </c>
      <c r="C1228" s="6">
        <v>1955</v>
      </c>
      <c r="D1228" s="6">
        <f t="shared" si="76"/>
        <v>70</v>
      </c>
      <c r="E1228" s="7" t="s">
        <v>12</v>
      </c>
      <c r="F1228" s="7" t="s">
        <v>10</v>
      </c>
      <c r="G1228" s="6">
        <v>61284</v>
      </c>
      <c r="H1228" s="6" t="str" cm="1">
        <f t="array" ref="H1228">_xlfn.IFS(
  G1228 &lt; 25000, "Low",
  AND(G1228 &gt;= 25000, G1228 &lt; 75000), "Medium",
  AND(G1228 &gt;= 75000, G1228 &lt; 150000), "High",
  G1228 &gt;= 150000, "Very High"
)</f>
        <v>Medium</v>
      </c>
      <c r="I1228" s="6">
        <v>0</v>
      </c>
      <c r="J1228" s="6">
        <v>0</v>
      </c>
      <c r="K1228" s="6">
        <f t="shared" si="77"/>
        <v>0</v>
      </c>
      <c r="L1228" s="9">
        <v>41559</v>
      </c>
      <c r="M1228" t="str">
        <f t="shared" ca="1" si="78"/>
        <v>12 years, 4 months</v>
      </c>
      <c r="N1228" s="6">
        <v>76</v>
      </c>
      <c r="O1228">
        <v>15</v>
      </c>
      <c r="P1228">
        <v>7</v>
      </c>
      <c r="Q1228">
        <f t="shared" si="79"/>
        <v>22</v>
      </c>
      <c r="R1228">
        <v>11</v>
      </c>
      <c r="S1228">
        <v>8</v>
      </c>
      <c r="T1228">
        <f>Table[[#This Row],[NumWebPurchases]]+Table[[#This Row],[NumStorePurchases]]</f>
        <v>19</v>
      </c>
    </row>
    <row r="1229" spans="1:20" ht="12.5">
      <c r="A1229" s="6">
        <v>1227</v>
      </c>
      <c r="B1229" s="6">
        <v>7736</v>
      </c>
      <c r="C1229" s="6">
        <v>1986</v>
      </c>
      <c r="D1229" s="6">
        <f t="shared" si="76"/>
        <v>39</v>
      </c>
      <c r="E1229" s="7" t="s">
        <v>9</v>
      </c>
      <c r="F1229" s="7" t="s">
        <v>13</v>
      </c>
      <c r="G1229" s="6">
        <v>22518</v>
      </c>
      <c r="H1229" s="6" t="str" cm="1">
        <f t="array" ref="H1229">_xlfn.IFS(
  G1229 &lt; 25000, "Low",
  AND(G1229 &gt;= 25000, G1229 &lt; 75000), "Medium",
  AND(G1229 &gt;= 75000, G1229 &lt; 150000), "High",
  G1229 &gt;= 150000, "Very High"
)</f>
        <v>Low</v>
      </c>
      <c r="I1229" s="6">
        <v>1</v>
      </c>
      <c r="J1229" s="6">
        <v>0</v>
      </c>
      <c r="K1229" s="6">
        <f t="shared" si="77"/>
        <v>1</v>
      </c>
      <c r="L1229" s="9">
        <v>41204</v>
      </c>
      <c r="M1229" t="str">
        <f t="shared" ca="1" si="78"/>
        <v>13 years, 4 months</v>
      </c>
      <c r="N1229" s="6">
        <v>36</v>
      </c>
      <c r="O1229">
        <v>7</v>
      </c>
      <c r="P1229">
        <v>2</v>
      </c>
      <c r="Q1229">
        <f t="shared" si="79"/>
        <v>9</v>
      </c>
      <c r="R1229">
        <v>2</v>
      </c>
      <c r="S1229">
        <v>2</v>
      </c>
      <c r="T1229">
        <f>Table[[#This Row],[NumWebPurchases]]+Table[[#This Row],[NumStorePurchases]]</f>
        <v>4</v>
      </c>
    </row>
    <row r="1230" spans="1:20" ht="12.5">
      <c r="A1230" s="6">
        <v>1228</v>
      </c>
      <c r="B1230" s="6">
        <v>8210</v>
      </c>
      <c r="C1230" s="6">
        <v>1975</v>
      </c>
      <c r="D1230" s="6">
        <f t="shared" si="76"/>
        <v>50</v>
      </c>
      <c r="E1230" s="7" t="s">
        <v>14</v>
      </c>
      <c r="F1230" s="7" t="s">
        <v>13</v>
      </c>
      <c r="G1230" s="6">
        <v>54730</v>
      </c>
      <c r="H1230" s="6" t="str" cm="1">
        <f t="array" ref="H1230">_xlfn.IFS(
  G1230 &lt; 25000, "Low",
  AND(G1230 &gt;= 25000, G1230 &lt; 75000), "Medium",
  AND(G1230 &gt;= 75000, G1230 &lt; 150000), "High",
  G1230 &gt;= 150000, "Very High"
)</f>
        <v>Medium</v>
      </c>
      <c r="I1230" s="6">
        <v>0</v>
      </c>
      <c r="J1230" s="6">
        <v>1</v>
      </c>
      <c r="K1230" s="6">
        <f t="shared" si="77"/>
        <v>1</v>
      </c>
      <c r="L1230" s="8">
        <v>41501</v>
      </c>
      <c r="M1230" t="str">
        <f t="shared" ca="1" si="78"/>
        <v>12 years, 6 months</v>
      </c>
      <c r="N1230" s="6">
        <v>64</v>
      </c>
      <c r="O1230">
        <v>3</v>
      </c>
      <c r="P1230">
        <v>7</v>
      </c>
      <c r="Q1230">
        <f t="shared" si="79"/>
        <v>10</v>
      </c>
      <c r="R1230">
        <v>4</v>
      </c>
      <c r="S1230">
        <v>8</v>
      </c>
      <c r="T1230">
        <f>Table[[#This Row],[NumWebPurchases]]+Table[[#This Row],[NumStorePurchases]]</f>
        <v>12</v>
      </c>
    </row>
    <row r="1231" spans="1:20" ht="12.5">
      <c r="A1231" s="6">
        <v>1229</v>
      </c>
      <c r="B1231" s="6">
        <v>833</v>
      </c>
      <c r="C1231" s="6">
        <v>1955</v>
      </c>
      <c r="D1231" s="6">
        <f t="shared" si="76"/>
        <v>70</v>
      </c>
      <c r="E1231" s="7" t="s">
        <v>14</v>
      </c>
      <c r="F1231" s="7" t="s">
        <v>13</v>
      </c>
      <c r="G1231" s="6">
        <v>38452</v>
      </c>
      <c r="H1231" s="6" t="str" cm="1">
        <f t="array" ref="H1231">_xlfn.IFS(
  G1231 &lt; 25000, "Low",
  AND(G1231 &gt;= 25000, G1231 &lt; 75000), "Medium",
  AND(G1231 &gt;= 75000, G1231 &lt; 150000), "High",
  G1231 &gt;= 150000, "Very High"
)</f>
        <v>Medium</v>
      </c>
      <c r="I1231" s="6">
        <v>1</v>
      </c>
      <c r="J1231" s="6">
        <v>1</v>
      </c>
      <c r="K1231" s="6">
        <f t="shared" si="77"/>
        <v>2</v>
      </c>
      <c r="L1231" s="8">
        <v>41728</v>
      </c>
      <c r="M1231" t="str">
        <f t="shared" ca="1" si="78"/>
        <v>11 years, 11 months</v>
      </c>
      <c r="N1231" s="6">
        <v>62</v>
      </c>
      <c r="O1231">
        <v>0</v>
      </c>
      <c r="P1231">
        <v>0</v>
      </c>
      <c r="Q1231">
        <f t="shared" si="79"/>
        <v>0</v>
      </c>
      <c r="R1231">
        <v>3</v>
      </c>
      <c r="S1231">
        <v>3</v>
      </c>
      <c r="T1231">
        <f>Table[[#This Row],[NumWebPurchases]]+Table[[#This Row],[NumStorePurchases]]</f>
        <v>6</v>
      </c>
    </row>
    <row r="1232" spans="1:20" ht="12.5">
      <c r="A1232" s="6">
        <v>1230</v>
      </c>
      <c r="B1232" s="6">
        <v>6230</v>
      </c>
      <c r="C1232" s="6">
        <v>1971</v>
      </c>
      <c r="D1232" s="6">
        <f t="shared" si="76"/>
        <v>54</v>
      </c>
      <c r="E1232" s="7" t="s">
        <v>9</v>
      </c>
      <c r="F1232" s="7" t="s">
        <v>15</v>
      </c>
      <c r="G1232" s="6">
        <v>44421</v>
      </c>
      <c r="H1232" s="6" t="str" cm="1">
        <f t="array" ref="H1232">_xlfn.IFS(
  G1232 &lt; 25000, "Low",
  AND(G1232 &gt;= 25000, G1232 &lt; 75000), "Medium",
  AND(G1232 &gt;= 75000, G1232 &lt; 150000), "High",
  G1232 &gt;= 150000, "Very High"
)</f>
        <v>Medium</v>
      </c>
      <c r="I1232" s="6">
        <v>1</v>
      </c>
      <c r="J1232" s="6">
        <v>1</v>
      </c>
      <c r="K1232" s="6">
        <f t="shared" si="77"/>
        <v>2</v>
      </c>
      <c r="L1232" s="8">
        <v>41320</v>
      </c>
      <c r="M1232" t="str">
        <f t="shared" ca="1" si="78"/>
        <v>13 years, 0 months</v>
      </c>
      <c r="N1232" s="6">
        <v>53</v>
      </c>
      <c r="O1232">
        <v>5</v>
      </c>
      <c r="P1232">
        <v>1</v>
      </c>
      <c r="Q1232">
        <f t="shared" si="79"/>
        <v>6</v>
      </c>
      <c r="R1232">
        <v>5</v>
      </c>
      <c r="S1232">
        <v>4</v>
      </c>
      <c r="T1232">
        <f>Table[[#This Row],[NumWebPurchases]]+Table[[#This Row],[NumStorePurchases]]</f>
        <v>9</v>
      </c>
    </row>
    <row r="1233" spans="1:20" ht="12.5">
      <c r="A1233" s="6">
        <v>1231</v>
      </c>
      <c r="B1233" s="6">
        <v>7325</v>
      </c>
      <c r="C1233" s="6">
        <v>1986</v>
      </c>
      <c r="D1233" s="6">
        <f t="shared" si="76"/>
        <v>39</v>
      </c>
      <c r="E1233" s="7" t="s">
        <v>12</v>
      </c>
      <c r="F1233" s="7" t="s">
        <v>11</v>
      </c>
      <c r="G1233" s="6">
        <v>38197</v>
      </c>
      <c r="H1233" s="6" t="str" cm="1">
        <f t="array" ref="H1233">_xlfn.IFS(
  G1233 &lt; 25000, "Low",
  AND(G1233 &gt;= 25000, G1233 &lt; 75000), "Medium",
  AND(G1233 &gt;= 75000, G1233 &lt; 150000), "High",
  G1233 &gt;= 150000, "Very High"
)</f>
        <v>Medium</v>
      </c>
      <c r="I1233" s="6">
        <v>1</v>
      </c>
      <c r="J1233" s="6">
        <v>0</v>
      </c>
      <c r="K1233" s="6">
        <f t="shared" si="77"/>
        <v>1</v>
      </c>
      <c r="L1233" s="8">
        <v>41454</v>
      </c>
      <c r="M1233" t="str">
        <f t="shared" ca="1" si="78"/>
        <v>12 years, 8 months</v>
      </c>
      <c r="N1233" s="6">
        <v>86</v>
      </c>
      <c r="O1233">
        <v>0</v>
      </c>
      <c r="P1233">
        <v>1</v>
      </c>
      <c r="Q1233">
        <f t="shared" si="79"/>
        <v>1</v>
      </c>
      <c r="R1233">
        <v>1</v>
      </c>
      <c r="S1233">
        <v>3</v>
      </c>
      <c r="T1233">
        <f>Table[[#This Row],[NumWebPurchases]]+Table[[#This Row],[NumStorePurchases]]</f>
        <v>4</v>
      </c>
    </row>
    <row r="1234" spans="1:20" ht="12.5">
      <c r="A1234" s="6">
        <v>1232</v>
      </c>
      <c r="B1234" s="6">
        <v>1307</v>
      </c>
      <c r="C1234" s="6">
        <v>1978</v>
      </c>
      <c r="D1234" s="6">
        <f t="shared" si="76"/>
        <v>47</v>
      </c>
      <c r="E1234" s="7" t="s">
        <v>9</v>
      </c>
      <c r="F1234" s="7" t="s">
        <v>15</v>
      </c>
      <c r="G1234" s="6">
        <v>41986</v>
      </c>
      <c r="H1234" s="6" t="str" cm="1">
        <f t="array" ref="H1234">_xlfn.IFS(
  G1234 &lt; 25000, "Low",
  AND(G1234 &gt;= 25000, G1234 &lt; 75000), "Medium",
  AND(G1234 &gt;= 75000, G1234 &lt; 150000), "High",
  G1234 &gt;= 150000, "Very High"
)</f>
        <v>Medium</v>
      </c>
      <c r="I1234" s="6">
        <v>0</v>
      </c>
      <c r="J1234" s="6">
        <v>1</v>
      </c>
      <c r="K1234" s="6">
        <f t="shared" si="77"/>
        <v>1</v>
      </c>
      <c r="L1234" s="8">
        <v>41679</v>
      </c>
      <c r="M1234" t="str">
        <f t="shared" ca="1" si="78"/>
        <v>12 years, 0 months</v>
      </c>
      <c r="N1234" s="6">
        <v>15</v>
      </c>
      <c r="O1234">
        <v>5</v>
      </c>
      <c r="P1234">
        <v>3</v>
      </c>
      <c r="Q1234">
        <f t="shared" si="79"/>
        <v>8</v>
      </c>
      <c r="R1234">
        <v>3</v>
      </c>
      <c r="S1234">
        <v>4</v>
      </c>
      <c r="T1234">
        <f>Table[[#This Row],[NumWebPurchases]]+Table[[#This Row],[NumStorePurchases]]</f>
        <v>7</v>
      </c>
    </row>
    <row r="1235" spans="1:20" ht="12.5">
      <c r="A1235" s="6">
        <v>1233</v>
      </c>
      <c r="B1235" s="6">
        <v>1502</v>
      </c>
      <c r="C1235" s="6">
        <v>1983</v>
      </c>
      <c r="D1235" s="6">
        <f t="shared" si="76"/>
        <v>42</v>
      </c>
      <c r="E1235" s="7" t="s">
        <v>9</v>
      </c>
      <c r="F1235" s="7" t="s">
        <v>11</v>
      </c>
      <c r="G1235" s="6">
        <v>28427</v>
      </c>
      <c r="H1235" s="6" t="str" cm="1">
        <f t="array" ref="H1235">_xlfn.IFS(
  G1235 &lt; 25000, "Low",
  AND(G1235 &gt;= 25000, G1235 &lt; 75000), "Medium",
  AND(G1235 &gt;= 75000, G1235 &lt; 150000), "High",
  G1235 &gt;= 150000, "Very High"
)</f>
        <v>Medium</v>
      </c>
      <c r="I1235" s="6">
        <v>1</v>
      </c>
      <c r="J1235" s="6">
        <v>0</v>
      </c>
      <c r="K1235" s="6">
        <f t="shared" si="77"/>
        <v>1</v>
      </c>
      <c r="L1235" s="8">
        <v>41354</v>
      </c>
      <c r="M1235" t="str">
        <f t="shared" ca="1" si="78"/>
        <v>12 years, 11 months</v>
      </c>
      <c r="N1235" s="6">
        <v>67</v>
      </c>
      <c r="O1235">
        <v>3</v>
      </c>
      <c r="P1235">
        <v>3</v>
      </c>
      <c r="Q1235">
        <f t="shared" si="79"/>
        <v>6</v>
      </c>
      <c r="R1235">
        <v>2</v>
      </c>
      <c r="S1235">
        <v>3</v>
      </c>
      <c r="T1235">
        <f>Table[[#This Row],[NumWebPurchases]]+Table[[#This Row],[NumStorePurchases]]</f>
        <v>5</v>
      </c>
    </row>
    <row r="1236" spans="1:20" ht="12.5">
      <c r="A1236" s="6">
        <v>1234</v>
      </c>
      <c r="B1236" s="6">
        <v>6211</v>
      </c>
      <c r="C1236" s="6">
        <v>1976</v>
      </c>
      <c r="D1236" s="6">
        <f t="shared" si="76"/>
        <v>49</v>
      </c>
      <c r="E1236" s="7" t="s">
        <v>12</v>
      </c>
      <c r="F1236" s="7" t="s">
        <v>11</v>
      </c>
      <c r="G1236" s="6">
        <v>37395</v>
      </c>
      <c r="H1236" s="6" t="str" cm="1">
        <f t="array" ref="H1236">_xlfn.IFS(
  G1236 &lt; 25000, "Low",
  AND(G1236 &gt;= 25000, G1236 &lt; 75000), "Medium",
  AND(G1236 &gt;= 75000, G1236 &lt; 150000), "High",
  G1236 &gt;= 150000, "Very High"
)</f>
        <v>Medium</v>
      </c>
      <c r="I1236" s="6">
        <v>1</v>
      </c>
      <c r="J1236" s="6">
        <v>0</v>
      </c>
      <c r="K1236" s="6">
        <f t="shared" si="77"/>
        <v>1</v>
      </c>
      <c r="L1236" s="8">
        <v>41761</v>
      </c>
      <c r="M1236" t="str">
        <f t="shared" ca="1" si="78"/>
        <v>11 years, 10 months</v>
      </c>
      <c r="N1236" s="6">
        <v>47</v>
      </c>
      <c r="O1236">
        <v>0</v>
      </c>
      <c r="P1236">
        <v>1</v>
      </c>
      <c r="Q1236">
        <f t="shared" si="79"/>
        <v>1</v>
      </c>
      <c r="R1236">
        <v>1</v>
      </c>
      <c r="S1236">
        <v>3</v>
      </c>
      <c r="T1236">
        <f>Table[[#This Row],[NumWebPurchases]]+Table[[#This Row],[NumStorePurchases]]</f>
        <v>4</v>
      </c>
    </row>
    <row r="1237" spans="1:20" ht="12.5">
      <c r="A1237" s="6">
        <v>1235</v>
      </c>
      <c r="B1237" s="6">
        <v>843</v>
      </c>
      <c r="C1237" s="6">
        <v>1971</v>
      </c>
      <c r="D1237" s="6">
        <f t="shared" si="76"/>
        <v>54</v>
      </c>
      <c r="E1237" s="7" t="s">
        <v>9</v>
      </c>
      <c r="F1237" s="7" t="s">
        <v>13</v>
      </c>
      <c r="G1237" s="6">
        <v>64722</v>
      </c>
      <c r="H1237" s="6" t="str" cm="1">
        <f t="array" ref="H1237">_xlfn.IFS(
  G1237 &lt; 25000, "Low",
  AND(G1237 &gt;= 25000, G1237 &lt; 75000), "Medium",
  AND(G1237 &gt;= 75000, G1237 &lt; 150000), "High",
  G1237 &gt;= 150000, "Very High"
)</f>
        <v>Medium</v>
      </c>
      <c r="I1237" s="6">
        <v>1</v>
      </c>
      <c r="J1237" s="6">
        <v>0</v>
      </c>
      <c r="K1237" s="6">
        <f t="shared" si="77"/>
        <v>1</v>
      </c>
      <c r="L1237" s="8">
        <v>41785</v>
      </c>
      <c r="M1237" t="str">
        <f t="shared" ca="1" si="78"/>
        <v>11 years, 9 months</v>
      </c>
      <c r="N1237" s="6">
        <v>47</v>
      </c>
      <c r="O1237">
        <v>0</v>
      </c>
      <c r="P1237">
        <v>147</v>
      </c>
      <c r="Q1237">
        <f t="shared" si="79"/>
        <v>147</v>
      </c>
      <c r="R1237">
        <v>8</v>
      </c>
      <c r="S1237">
        <v>11</v>
      </c>
      <c r="T1237">
        <f>Table[[#This Row],[NumWebPurchases]]+Table[[#This Row],[NumStorePurchases]]</f>
        <v>19</v>
      </c>
    </row>
    <row r="1238" spans="1:20" ht="12.5">
      <c r="A1238" s="6">
        <v>1236</v>
      </c>
      <c r="B1238" s="6">
        <v>4174</v>
      </c>
      <c r="C1238" s="6">
        <v>1956</v>
      </c>
      <c r="D1238" s="6">
        <f t="shared" si="76"/>
        <v>69</v>
      </c>
      <c r="E1238" s="7" t="s">
        <v>14</v>
      </c>
      <c r="F1238" s="7" t="s">
        <v>11</v>
      </c>
      <c r="G1238" s="6">
        <v>55249</v>
      </c>
      <c r="H1238" s="6" t="str" cm="1">
        <f t="array" ref="H1238">_xlfn.IFS(
  G1238 &lt; 25000, "Low",
  AND(G1238 &gt;= 25000, G1238 &lt; 75000), "Medium",
  AND(G1238 &gt;= 75000, G1238 &lt; 150000), "High",
  G1238 &gt;= 150000, "Very High"
)</f>
        <v>Medium</v>
      </c>
      <c r="I1238" s="6">
        <v>0</v>
      </c>
      <c r="J1238" s="6">
        <v>1</v>
      </c>
      <c r="K1238" s="6">
        <f t="shared" si="77"/>
        <v>1</v>
      </c>
      <c r="L1238" s="8">
        <v>41746</v>
      </c>
      <c r="M1238" t="str">
        <f t="shared" ca="1" si="78"/>
        <v>11 years, 10 months</v>
      </c>
      <c r="N1238" s="6">
        <v>81</v>
      </c>
      <c r="O1238">
        <v>1</v>
      </c>
      <c r="P1238">
        <v>0</v>
      </c>
      <c r="Q1238">
        <f t="shared" si="79"/>
        <v>1</v>
      </c>
      <c r="R1238">
        <v>2</v>
      </c>
      <c r="S1238">
        <v>4</v>
      </c>
      <c r="T1238">
        <f>Table[[#This Row],[NumWebPurchases]]+Table[[#This Row],[NumStorePurchases]]</f>
        <v>6</v>
      </c>
    </row>
    <row r="1239" spans="1:20" ht="12.5">
      <c r="A1239" s="6">
        <v>1237</v>
      </c>
      <c r="B1239" s="6">
        <v>9757</v>
      </c>
      <c r="C1239" s="6">
        <v>1972</v>
      </c>
      <c r="D1239" s="6">
        <f t="shared" si="76"/>
        <v>53</v>
      </c>
      <c r="E1239" s="7" t="s">
        <v>9</v>
      </c>
      <c r="F1239" s="7" t="s">
        <v>11</v>
      </c>
      <c r="G1239" s="6">
        <v>84906</v>
      </c>
      <c r="H1239" s="6" t="str" cm="1">
        <f t="array" ref="H1239">_xlfn.IFS(
  G1239 &lt; 25000, "Low",
  AND(G1239 &gt;= 25000, G1239 &lt; 75000), "Medium",
  AND(G1239 &gt;= 75000, G1239 &lt; 150000), "High",
  G1239 &gt;= 150000, "Very High"
)</f>
        <v>High</v>
      </c>
      <c r="I1239" s="6">
        <v>0</v>
      </c>
      <c r="J1239" s="6">
        <v>0</v>
      </c>
      <c r="K1239" s="6">
        <f t="shared" si="77"/>
        <v>0</v>
      </c>
      <c r="L1239" s="8">
        <v>41551</v>
      </c>
      <c r="M1239" t="str">
        <f t="shared" ca="1" si="78"/>
        <v>12 years, 5 months</v>
      </c>
      <c r="N1239" s="6">
        <v>98</v>
      </c>
      <c r="O1239">
        <v>15</v>
      </c>
      <c r="P1239">
        <v>30</v>
      </c>
      <c r="Q1239">
        <f t="shared" si="79"/>
        <v>45</v>
      </c>
      <c r="R1239">
        <v>5</v>
      </c>
      <c r="S1239">
        <v>12</v>
      </c>
      <c r="T1239">
        <f>Table[[#This Row],[NumWebPurchases]]+Table[[#This Row],[NumStorePurchases]]</f>
        <v>17</v>
      </c>
    </row>
    <row r="1240" spans="1:20" ht="12.5">
      <c r="A1240" s="6">
        <v>1238</v>
      </c>
      <c r="B1240" s="6">
        <v>6918</v>
      </c>
      <c r="C1240" s="6">
        <v>1989</v>
      </c>
      <c r="D1240" s="6">
        <f t="shared" si="76"/>
        <v>36</v>
      </c>
      <c r="E1240" s="7" t="s">
        <v>9</v>
      </c>
      <c r="F1240" s="7" t="s">
        <v>13</v>
      </c>
      <c r="G1240" s="6">
        <v>28691</v>
      </c>
      <c r="H1240" s="6" t="str" cm="1">
        <f t="array" ref="H1240">_xlfn.IFS(
  G1240 &lt; 25000, "Low",
  AND(G1240 &gt;= 25000, G1240 &lt; 75000), "Medium",
  AND(G1240 &gt;= 75000, G1240 &lt; 150000), "High",
  G1240 &gt;= 150000, "Very High"
)</f>
        <v>Medium</v>
      </c>
      <c r="I1240" s="6">
        <v>1</v>
      </c>
      <c r="J1240" s="6">
        <v>0</v>
      </c>
      <c r="K1240" s="6">
        <f t="shared" si="77"/>
        <v>1</v>
      </c>
      <c r="L1240" s="8">
        <v>41459</v>
      </c>
      <c r="M1240" t="str">
        <f t="shared" ca="1" si="78"/>
        <v>12 years, 8 months</v>
      </c>
      <c r="N1240" s="6">
        <v>56</v>
      </c>
      <c r="O1240">
        <v>4</v>
      </c>
      <c r="P1240">
        <v>0</v>
      </c>
      <c r="Q1240">
        <f t="shared" si="79"/>
        <v>4</v>
      </c>
      <c r="R1240">
        <v>1</v>
      </c>
      <c r="S1240">
        <v>3</v>
      </c>
      <c r="T1240">
        <f>Table[[#This Row],[NumWebPurchases]]+Table[[#This Row],[NumStorePurchases]]</f>
        <v>4</v>
      </c>
    </row>
    <row r="1241" spans="1:20" ht="12.5">
      <c r="A1241" s="6">
        <v>1239</v>
      </c>
      <c r="B1241" s="6">
        <v>286</v>
      </c>
      <c r="C1241" s="6">
        <v>1952</v>
      </c>
      <c r="D1241" s="6">
        <f t="shared" si="76"/>
        <v>73</v>
      </c>
      <c r="E1241" s="7" t="s">
        <v>9</v>
      </c>
      <c r="F1241" s="7" t="s">
        <v>10</v>
      </c>
      <c r="G1241" s="6">
        <v>44213</v>
      </c>
      <c r="H1241" s="6" t="str" cm="1">
        <f t="array" ref="H1241">_xlfn.IFS(
  G1241 &lt; 25000, "Low",
  AND(G1241 &gt;= 25000, G1241 &lt; 75000), "Medium",
  AND(G1241 &gt;= 75000, G1241 &lt; 150000), "High",
  G1241 &gt;= 150000, "Very High"
)</f>
        <v>Medium</v>
      </c>
      <c r="I1241" s="6">
        <v>1</v>
      </c>
      <c r="J1241" s="6">
        <v>1</v>
      </c>
      <c r="K1241" s="6">
        <f t="shared" si="77"/>
        <v>2</v>
      </c>
      <c r="L1241" s="9">
        <v>41607</v>
      </c>
      <c r="M1241" t="str">
        <f t="shared" ca="1" si="78"/>
        <v>12 years, 3 months</v>
      </c>
      <c r="N1241" s="6">
        <v>48</v>
      </c>
      <c r="O1241">
        <v>11</v>
      </c>
      <c r="P1241">
        <v>4</v>
      </c>
      <c r="Q1241">
        <f t="shared" si="79"/>
        <v>15</v>
      </c>
      <c r="R1241">
        <v>2</v>
      </c>
      <c r="S1241">
        <v>5</v>
      </c>
      <c r="T1241">
        <f>Table[[#This Row],[NumWebPurchases]]+Table[[#This Row],[NumStorePurchases]]</f>
        <v>7</v>
      </c>
    </row>
    <row r="1242" spans="1:20" ht="12.5">
      <c r="A1242" s="6">
        <v>1240</v>
      </c>
      <c r="B1242" s="6">
        <v>11086</v>
      </c>
      <c r="C1242" s="6">
        <v>1984</v>
      </c>
      <c r="D1242" s="6">
        <f t="shared" si="76"/>
        <v>41</v>
      </c>
      <c r="E1242" s="7" t="s">
        <v>16</v>
      </c>
      <c r="F1242" s="7" t="s">
        <v>10</v>
      </c>
      <c r="G1242" s="6">
        <v>25707</v>
      </c>
      <c r="H1242" s="6" t="str" cm="1">
        <f t="array" ref="H1242">_xlfn.IFS(
  G1242 &lt; 25000, "Low",
  AND(G1242 &gt;= 25000, G1242 &lt; 75000), "Medium",
  AND(G1242 &gt;= 75000, G1242 &lt; 150000), "High",
  G1242 &gt;= 150000, "Very High"
)</f>
        <v>Medium</v>
      </c>
      <c r="I1242" s="6">
        <v>1</v>
      </c>
      <c r="J1242" s="6">
        <v>0</v>
      </c>
      <c r="K1242" s="6">
        <f t="shared" si="77"/>
        <v>1</v>
      </c>
      <c r="L1242" s="8">
        <v>41657</v>
      </c>
      <c r="M1242" t="str">
        <f t="shared" ca="1" si="78"/>
        <v>12 years, 1 months</v>
      </c>
      <c r="N1242" s="6">
        <v>18</v>
      </c>
      <c r="O1242">
        <v>6</v>
      </c>
      <c r="P1242">
        <v>6</v>
      </c>
      <c r="Q1242">
        <f t="shared" si="79"/>
        <v>12</v>
      </c>
      <c r="R1242">
        <v>1</v>
      </c>
      <c r="S1242">
        <v>3</v>
      </c>
      <c r="T1242">
        <f>Table[[#This Row],[NumWebPurchases]]+Table[[#This Row],[NumStorePurchases]]</f>
        <v>4</v>
      </c>
    </row>
    <row r="1243" spans="1:20" ht="12.5">
      <c r="A1243" s="6">
        <v>1241</v>
      </c>
      <c r="B1243" s="6">
        <v>1921</v>
      </c>
      <c r="C1243" s="6">
        <v>1967</v>
      </c>
      <c r="D1243" s="6">
        <f t="shared" si="76"/>
        <v>58</v>
      </c>
      <c r="E1243" s="7" t="s">
        <v>12</v>
      </c>
      <c r="F1243" s="7" t="s">
        <v>13</v>
      </c>
      <c r="G1243" s="6">
        <v>59062</v>
      </c>
      <c r="H1243" s="6" t="str" cm="1">
        <f t="array" ref="H1243">_xlfn.IFS(
  G1243 &lt; 25000, "Low",
  AND(G1243 &gt;= 25000, G1243 &lt; 75000), "Medium",
  AND(G1243 &gt;= 75000, G1243 &lt; 150000), "High",
  G1243 &gt;= 150000, "Very High"
)</f>
        <v>Medium</v>
      </c>
      <c r="I1243" s="6">
        <v>2</v>
      </c>
      <c r="J1243" s="6">
        <v>1</v>
      </c>
      <c r="K1243" s="6">
        <f t="shared" si="77"/>
        <v>3</v>
      </c>
      <c r="L1243" s="8">
        <v>41550</v>
      </c>
      <c r="M1243" t="str">
        <f t="shared" ca="1" si="78"/>
        <v>12 years, 5 months</v>
      </c>
      <c r="N1243" s="6">
        <v>74</v>
      </c>
      <c r="O1243">
        <v>1</v>
      </c>
      <c r="P1243">
        <v>0</v>
      </c>
      <c r="Q1243">
        <f t="shared" si="79"/>
        <v>1</v>
      </c>
      <c r="R1243">
        <v>2</v>
      </c>
      <c r="S1243">
        <v>3</v>
      </c>
      <c r="T1243">
        <f>Table[[#This Row],[NumWebPurchases]]+Table[[#This Row],[NumStorePurchases]]</f>
        <v>5</v>
      </c>
    </row>
    <row r="1244" spans="1:20" ht="12.5">
      <c r="A1244" s="6">
        <v>1242</v>
      </c>
      <c r="B1244" s="6">
        <v>4138</v>
      </c>
      <c r="C1244" s="6">
        <v>1962</v>
      </c>
      <c r="D1244" s="6">
        <f t="shared" si="76"/>
        <v>63</v>
      </c>
      <c r="E1244" s="7" t="s">
        <v>9</v>
      </c>
      <c r="F1244" s="7" t="s">
        <v>10</v>
      </c>
      <c r="G1244" s="6">
        <v>76624</v>
      </c>
      <c r="H1244" s="6" t="str" cm="1">
        <f t="array" ref="H1244">_xlfn.IFS(
  G1244 &lt; 25000, "Low",
  AND(G1244 &gt;= 25000, G1244 &lt; 75000), "Medium",
  AND(G1244 &gt;= 75000, G1244 &lt; 150000), "High",
  G1244 &gt;= 150000, "Very High"
)</f>
        <v>High</v>
      </c>
      <c r="I1244" s="6">
        <v>0</v>
      </c>
      <c r="J1244" s="6">
        <v>1</v>
      </c>
      <c r="K1244" s="6">
        <f t="shared" si="77"/>
        <v>1</v>
      </c>
      <c r="L1244" s="8">
        <v>41783</v>
      </c>
      <c r="M1244" t="str">
        <f t="shared" ca="1" si="78"/>
        <v>11 years, 9 months</v>
      </c>
      <c r="N1244" s="6">
        <v>68</v>
      </c>
      <c r="O1244">
        <v>106</v>
      </c>
      <c r="P1244">
        <v>115</v>
      </c>
      <c r="Q1244">
        <f t="shared" si="79"/>
        <v>221</v>
      </c>
      <c r="R1244">
        <v>5</v>
      </c>
      <c r="S1244">
        <v>7</v>
      </c>
      <c r="T1244">
        <f>Table[[#This Row],[NumWebPurchases]]+Table[[#This Row],[NumStorePurchases]]</f>
        <v>12</v>
      </c>
    </row>
    <row r="1245" spans="1:20" ht="12.5">
      <c r="A1245" s="6">
        <v>1243</v>
      </c>
      <c r="B1245" s="6">
        <v>7718</v>
      </c>
      <c r="C1245" s="6">
        <v>1947</v>
      </c>
      <c r="D1245" s="6">
        <f t="shared" si="76"/>
        <v>78</v>
      </c>
      <c r="E1245" s="7" t="s">
        <v>14</v>
      </c>
      <c r="F1245" s="7" t="s">
        <v>11</v>
      </c>
      <c r="G1245" s="6">
        <v>66000</v>
      </c>
      <c r="H1245" s="6" t="str" cm="1">
        <f t="array" ref="H1245">_xlfn.IFS(
  G1245 &lt; 25000, "Low",
  AND(G1245 &gt;= 25000, G1245 &lt; 75000), "Medium",
  AND(G1245 &gt;= 75000, G1245 &lt; 150000), "High",
  G1245 &gt;= 150000, "Very High"
)</f>
        <v>Medium</v>
      </c>
      <c r="I1245" s="6">
        <v>0</v>
      </c>
      <c r="J1245" s="6">
        <v>0</v>
      </c>
      <c r="K1245" s="6">
        <f t="shared" si="77"/>
        <v>0</v>
      </c>
      <c r="L1245" s="8">
        <v>41749</v>
      </c>
      <c r="M1245" t="str">
        <f t="shared" ca="1" si="78"/>
        <v>11 years, 10 months</v>
      </c>
      <c r="N1245" s="6">
        <v>36</v>
      </c>
      <c r="O1245">
        <v>51</v>
      </c>
      <c r="P1245">
        <v>0</v>
      </c>
      <c r="Q1245">
        <f t="shared" si="79"/>
        <v>51</v>
      </c>
      <c r="R1245">
        <v>1</v>
      </c>
      <c r="S1245">
        <v>5</v>
      </c>
      <c r="T1245">
        <f>Table[[#This Row],[NumWebPurchases]]+Table[[#This Row],[NumStorePurchases]]</f>
        <v>6</v>
      </c>
    </row>
    <row r="1246" spans="1:20" ht="12.5">
      <c r="A1246" s="6">
        <v>1244</v>
      </c>
      <c r="B1246" s="6">
        <v>1291</v>
      </c>
      <c r="C1246" s="6">
        <v>1978</v>
      </c>
      <c r="D1246" s="6">
        <f t="shared" si="76"/>
        <v>47</v>
      </c>
      <c r="E1246" s="7" t="s">
        <v>12</v>
      </c>
      <c r="F1246" s="7" t="s">
        <v>11</v>
      </c>
      <c r="G1246" s="6">
        <v>27683</v>
      </c>
      <c r="H1246" s="6" t="str" cm="1">
        <f t="array" ref="H1246">_xlfn.IFS(
  G1246 &lt; 25000, "Low",
  AND(G1246 &gt;= 25000, G1246 &lt; 75000), "Medium",
  AND(G1246 &gt;= 75000, G1246 &lt; 150000), "High",
  G1246 &gt;= 150000, "Very High"
)</f>
        <v>Medium</v>
      </c>
      <c r="I1246" s="6">
        <v>1</v>
      </c>
      <c r="J1246" s="6">
        <v>0</v>
      </c>
      <c r="K1246" s="6">
        <f t="shared" si="77"/>
        <v>1</v>
      </c>
      <c r="L1246" s="8">
        <v>41125</v>
      </c>
      <c r="M1246" t="str">
        <f t="shared" ca="1" si="78"/>
        <v>13 years, 7 months</v>
      </c>
      <c r="N1246" s="6">
        <v>90</v>
      </c>
      <c r="O1246">
        <v>9</v>
      </c>
      <c r="P1246">
        <v>12</v>
      </c>
      <c r="Q1246">
        <f t="shared" si="79"/>
        <v>21</v>
      </c>
      <c r="R1246">
        <v>6</v>
      </c>
      <c r="S1246">
        <v>4</v>
      </c>
      <c r="T1246">
        <f>Table[[#This Row],[NumWebPurchases]]+Table[[#This Row],[NumStorePurchases]]</f>
        <v>10</v>
      </c>
    </row>
    <row r="1247" spans="1:20" ht="12.5">
      <c r="A1247" s="6">
        <v>1245</v>
      </c>
      <c r="B1247" s="6">
        <v>6862</v>
      </c>
      <c r="C1247" s="6">
        <v>1971</v>
      </c>
      <c r="D1247" s="6">
        <f t="shared" si="76"/>
        <v>54</v>
      </c>
      <c r="E1247" s="7" t="s">
        <v>9</v>
      </c>
      <c r="F1247" s="7" t="s">
        <v>15</v>
      </c>
      <c r="G1247" s="6">
        <v>1730</v>
      </c>
      <c r="H1247" s="6" t="str" cm="1">
        <f t="array" ref="H1247">_xlfn.IFS(
  G1247 &lt; 25000, "Low",
  AND(G1247 &gt;= 25000, G1247 &lt; 75000), "Medium",
  AND(G1247 &gt;= 75000, G1247 &lt; 150000), "High",
  G1247 &gt;= 150000, "Very High"
)</f>
        <v>Low</v>
      </c>
      <c r="I1247" s="6">
        <v>0</v>
      </c>
      <c r="J1247" s="6">
        <v>0</v>
      </c>
      <c r="K1247" s="6">
        <f t="shared" si="77"/>
        <v>0</v>
      </c>
      <c r="L1247" s="8">
        <v>41777</v>
      </c>
      <c r="M1247" t="str">
        <f t="shared" ca="1" si="78"/>
        <v>11 years, 9 months</v>
      </c>
      <c r="N1247" s="6">
        <v>65</v>
      </c>
      <c r="O1247">
        <v>1</v>
      </c>
      <c r="P1247">
        <v>1</v>
      </c>
      <c r="Q1247">
        <f t="shared" si="79"/>
        <v>2</v>
      </c>
      <c r="R1247">
        <v>0</v>
      </c>
      <c r="S1247">
        <v>0</v>
      </c>
      <c r="T1247">
        <f>Table[[#This Row],[NumWebPurchases]]+Table[[#This Row],[NumStorePurchases]]</f>
        <v>0</v>
      </c>
    </row>
    <row r="1248" spans="1:20" ht="12.5">
      <c r="A1248" s="6">
        <v>1246</v>
      </c>
      <c r="B1248" s="6">
        <v>4136</v>
      </c>
      <c r="C1248" s="6">
        <v>1992</v>
      </c>
      <c r="D1248" s="6">
        <f t="shared" si="76"/>
        <v>33</v>
      </c>
      <c r="E1248" s="7" t="s">
        <v>16</v>
      </c>
      <c r="F1248" s="7" t="s">
        <v>10</v>
      </c>
      <c r="G1248" s="6">
        <v>7500</v>
      </c>
      <c r="H1248" s="6" t="str" cm="1">
        <f t="array" ref="H1248">_xlfn.IFS(
  G1248 &lt; 25000, "Low",
  AND(G1248 &gt;= 25000, G1248 &lt; 75000), "Medium",
  AND(G1248 &gt;= 75000, G1248 &lt; 150000), "High",
  G1248 &gt;= 150000, "Very High"
)</f>
        <v>Low</v>
      </c>
      <c r="I1248" s="6">
        <v>1</v>
      </c>
      <c r="J1248" s="6">
        <v>0</v>
      </c>
      <c r="K1248" s="6">
        <f t="shared" si="77"/>
        <v>1</v>
      </c>
      <c r="L1248" s="8">
        <v>41246</v>
      </c>
      <c r="M1248" t="str">
        <f t="shared" ca="1" si="78"/>
        <v>13 years, 3 months</v>
      </c>
      <c r="N1248" s="6">
        <v>63</v>
      </c>
      <c r="O1248">
        <v>17</v>
      </c>
      <c r="P1248">
        <v>26</v>
      </c>
      <c r="Q1248">
        <f t="shared" si="79"/>
        <v>43</v>
      </c>
      <c r="R1248">
        <v>3</v>
      </c>
      <c r="S1248">
        <v>2</v>
      </c>
      <c r="T1248">
        <f>Table[[#This Row],[NumWebPurchases]]+Table[[#This Row],[NumStorePurchases]]</f>
        <v>5</v>
      </c>
    </row>
    <row r="1249" spans="1:20" ht="12.5">
      <c r="A1249" s="6">
        <v>1247</v>
      </c>
      <c r="B1249" s="6">
        <v>803</v>
      </c>
      <c r="C1249" s="6">
        <v>1968</v>
      </c>
      <c r="D1249" s="6">
        <f t="shared" si="76"/>
        <v>57</v>
      </c>
      <c r="E1249" s="7" t="s">
        <v>9</v>
      </c>
      <c r="F1249" s="7" t="s">
        <v>11</v>
      </c>
      <c r="G1249" s="6">
        <v>40521</v>
      </c>
      <c r="H1249" s="6" t="str" cm="1">
        <f t="array" ref="H1249">_xlfn.IFS(
  G1249 &lt; 25000, "Low",
  AND(G1249 &gt;= 25000, G1249 &lt; 75000), "Medium",
  AND(G1249 &gt;= 75000, G1249 &lt; 150000), "High",
  G1249 &gt;= 150000, "Very High"
)</f>
        <v>Medium</v>
      </c>
      <c r="I1249" s="6">
        <v>1</v>
      </c>
      <c r="J1249" s="6">
        <v>1</v>
      </c>
      <c r="K1249" s="6">
        <f t="shared" si="77"/>
        <v>2</v>
      </c>
      <c r="L1249" s="8">
        <v>41369</v>
      </c>
      <c r="M1249" t="str">
        <f t="shared" ca="1" si="78"/>
        <v>12 years, 11 months</v>
      </c>
      <c r="N1249" s="6">
        <v>82</v>
      </c>
      <c r="O1249">
        <v>0</v>
      </c>
      <c r="P1249">
        <v>0</v>
      </c>
      <c r="Q1249">
        <f t="shared" si="79"/>
        <v>0</v>
      </c>
      <c r="R1249">
        <v>0</v>
      </c>
      <c r="S1249">
        <v>2</v>
      </c>
      <c r="T1249">
        <f>Table[[#This Row],[NumWebPurchases]]+Table[[#This Row],[NumStorePurchases]]</f>
        <v>2</v>
      </c>
    </row>
    <row r="1250" spans="1:20" ht="12.5">
      <c r="A1250" s="6">
        <v>1248</v>
      </c>
      <c r="B1250" s="6">
        <v>4298</v>
      </c>
      <c r="C1250" s="6">
        <v>1973</v>
      </c>
      <c r="D1250" s="6">
        <f t="shared" si="76"/>
        <v>52</v>
      </c>
      <c r="E1250" s="7" t="s">
        <v>12</v>
      </c>
      <c r="F1250" s="7" t="s">
        <v>11</v>
      </c>
      <c r="G1250" s="6">
        <v>20427</v>
      </c>
      <c r="H1250" s="6" t="str" cm="1">
        <f t="array" ref="H1250">_xlfn.IFS(
  G1250 &lt; 25000, "Low",
  AND(G1250 &gt;= 25000, G1250 &lt; 75000), "Medium",
  AND(G1250 &gt;= 75000, G1250 &lt; 150000), "High",
  G1250 &gt;= 150000, "Very High"
)</f>
        <v>Low</v>
      </c>
      <c r="I1250" s="6">
        <v>1</v>
      </c>
      <c r="J1250" s="6">
        <v>0</v>
      </c>
      <c r="K1250" s="6">
        <f t="shared" si="77"/>
        <v>1</v>
      </c>
      <c r="L1250" s="8">
        <v>41722</v>
      </c>
      <c r="M1250" t="str">
        <f t="shared" ca="1" si="78"/>
        <v>11 years, 11 months</v>
      </c>
      <c r="N1250" s="6">
        <v>63</v>
      </c>
      <c r="O1250">
        <v>0</v>
      </c>
      <c r="P1250">
        <v>0</v>
      </c>
      <c r="Q1250">
        <f t="shared" si="79"/>
        <v>0</v>
      </c>
      <c r="R1250">
        <v>1</v>
      </c>
      <c r="S1250">
        <v>2</v>
      </c>
      <c r="T1250">
        <f>Table[[#This Row],[NumWebPurchases]]+Table[[#This Row],[NumStorePurchases]]</f>
        <v>3</v>
      </c>
    </row>
    <row r="1251" spans="1:20" ht="12.5">
      <c r="A1251" s="6">
        <v>1249</v>
      </c>
      <c r="B1251" s="6">
        <v>10833</v>
      </c>
      <c r="C1251" s="6">
        <v>1975</v>
      </c>
      <c r="D1251" s="6">
        <f t="shared" si="76"/>
        <v>50</v>
      </c>
      <c r="E1251" s="7" t="s">
        <v>9</v>
      </c>
      <c r="F1251" s="7" t="s">
        <v>13</v>
      </c>
      <c r="G1251" s="6">
        <v>65106</v>
      </c>
      <c r="H1251" s="6" t="str" cm="1">
        <f t="array" ref="H1251">_xlfn.IFS(
  G1251 &lt; 25000, "Low",
  AND(G1251 &gt;= 25000, G1251 &lt; 75000), "Medium",
  AND(G1251 &gt;= 75000, G1251 &lt; 150000), "High",
  G1251 &gt;= 150000, "Very High"
)</f>
        <v>Medium</v>
      </c>
      <c r="I1251" s="6">
        <v>0</v>
      </c>
      <c r="J1251" s="6">
        <v>1</v>
      </c>
      <c r="K1251" s="6">
        <f t="shared" si="77"/>
        <v>1</v>
      </c>
      <c r="L1251" s="8">
        <v>41783</v>
      </c>
      <c r="M1251" t="str">
        <f t="shared" ca="1" si="78"/>
        <v>11 years, 9 months</v>
      </c>
      <c r="N1251" s="6">
        <v>55</v>
      </c>
      <c r="O1251">
        <v>19</v>
      </c>
      <c r="P1251">
        <v>0</v>
      </c>
      <c r="Q1251">
        <f t="shared" si="79"/>
        <v>19</v>
      </c>
      <c r="R1251">
        <v>8</v>
      </c>
      <c r="S1251">
        <v>13</v>
      </c>
      <c r="T1251">
        <f>Table[[#This Row],[NumWebPurchases]]+Table[[#This Row],[NumStorePurchases]]</f>
        <v>21</v>
      </c>
    </row>
    <row r="1252" spans="1:20" ht="12.5">
      <c r="A1252" s="6">
        <v>1250</v>
      </c>
      <c r="B1252" s="6">
        <v>9606</v>
      </c>
      <c r="C1252" s="6">
        <v>1965</v>
      </c>
      <c r="D1252" s="6">
        <f t="shared" si="76"/>
        <v>60</v>
      </c>
      <c r="E1252" s="7" t="s">
        <v>12</v>
      </c>
      <c r="F1252" s="7" t="s">
        <v>13</v>
      </c>
      <c r="G1252" s="6">
        <v>69969</v>
      </c>
      <c r="H1252" s="6" t="str" cm="1">
        <f t="array" ref="H1252">_xlfn.IFS(
  G1252 &lt; 25000, "Low",
  AND(G1252 &gt;= 25000, G1252 &lt; 75000), "Medium",
  AND(G1252 &gt;= 75000, G1252 &lt; 150000), "High",
  G1252 &gt;= 150000, "Very High"
)</f>
        <v>Medium</v>
      </c>
      <c r="I1252" s="6">
        <v>0</v>
      </c>
      <c r="J1252" s="6">
        <v>0</v>
      </c>
      <c r="K1252" s="6">
        <f t="shared" si="77"/>
        <v>0</v>
      </c>
      <c r="L1252" s="8">
        <v>41513</v>
      </c>
      <c r="M1252" t="str">
        <f t="shared" ca="1" si="78"/>
        <v>12 years, 6 months</v>
      </c>
      <c r="N1252" s="6">
        <v>64</v>
      </c>
      <c r="O1252">
        <v>29</v>
      </c>
      <c r="P1252">
        <v>29</v>
      </c>
      <c r="Q1252">
        <f t="shared" si="79"/>
        <v>58</v>
      </c>
      <c r="R1252">
        <v>4</v>
      </c>
      <c r="S1252">
        <v>6</v>
      </c>
      <c r="T1252">
        <f>Table[[#This Row],[NumWebPurchases]]+Table[[#This Row],[NumStorePurchases]]</f>
        <v>10</v>
      </c>
    </row>
    <row r="1253" spans="1:20" ht="12.5">
      <c r="A1253" s="6">
        <v>1251</v>
      </c>
      <c r="B1253" s="6">
        <v>8534</v>
      </c>
      <c r="C1253" s="6">
        <v>1952</v>
      </c>
      <c r="D1253" s="6">
        <f t="shared" si="76"/>
        <v>73</v>
      </c>
      <c r="E1253" s="7" t="s">
        <v>9</v>
      </c>
      <c r="F1253" s="7" t="s">
        <v>13</v>
      </c>
      <c r="G1253" s="6">
        <v>67433</v>
      </c>
      <c r="H1253" s="6" t="str" cm="1">
        <f t="array" ref="H1253">_xlfn.IFS(
  G1253 &lt; 25000, "Low",
  AND(G1253 &gt;= 25000, G1253 &lt; 75000), "Medium",
  AND(G1253 &gt;= 75000, G1253 &lt; 150000), "High",
  G1253 &gt;= 150000, "Very High"
)</f>
        <v>Medium</v>
      </c>
      <c r="I1253" s="6">
        <v>0</v>
      </c>
      <c r="J1253" s="6">
        <v>2</v>
      </c>
      <c r="K1253" s="6">
        <f t="shared" si="77"/>
        <v>2</v>
      </c>
      <c r="L1253" s="8">
        <v>41471</v>
      </c>
      <c r="M1253" t="str">
        <f t="shared" ca="1" si="78"/>
        <v>12 years, 7 months</v>
      </c>
      <c r="N1253" s="6">
        <v>51</v>
      </c>
      <c r="O1253">
        <v>28</v>
      </c>
      <c r="P1253">
        <v>48</v>
      </c>
      <c r="Q1253">
        <f t="shared" si="79"/>
        <v>76</v>
      </c>
      <c r="R1253">
        <v>6</v>
      </c>
      <c r="S1253">
        <v>13</v>
      </c>
      <c r="T1253">
        <f>Table[[#This Row],[NumWebPurchases]]+Table[[#This Row],[NumStorePurchases]]</f>
        <v>19</v>
      </c>
    </row>
    <row r="1254" spans="1:20" ht="12.5">
      <c r="A1254" s="6">
        <v>1252</v>
      </c>
      <c r="B1254" s="6">
        <v>5153</v>
      </c>
      <c r="C1254" s="6">
        <v>1967</v>
      </c>
      <c r="D1254" s="6">
        <f t="shared" si="76"/>
        <v>58</v>
      </c>
      <c r="E1254" s="7" t="s">
        <v>12</v>
      </c>
      <c r="F1254" s="7" t="s">
        <v>13</v>
      </c>
      <c r="G1254" s="6">
        <v>77766</v>
      </c>
      <c r="H1254" s="6" t="str" cm="1">
        <f t="array" ref="H1254">_xlfn.IFS(
  G1254 &lt; 25000, "Low",
  AND(G1254 &gt;= 25000, G1254 &lt; 75000), "Medium",
  AND(G1254 &gt;= 75000, G1254 &lt; 150000), "High",
  G1254 &gt;= 150000, "Very High"
)</f>
        <v>High</v>
      </c>
      <c r="I1254" s="6">
        <v>0</v>
      </c>
      <c r="J1254" s="6">
        <v>1</v>
      </c>
      <c r="K1254" s="6">
        <f t="shared" si="77"/>
        <v>1</v>
      </c>
      <c r="L1254" s="8">
        <v>41327</v>
      </c>
      <c r="M1254" t="str">
        <f t="shared" ca="1" si="78"/>
        <v>13 years, 0 months</v>
      </c>
      <c r="N1254" s="6">
        <v>97</v>
      </c>
      <c r="O1254">
        <v>59</v>
      </c>
      <c r="P1254">
        <v>59</v>
      </c>
      <c r="Q1254">
        <f t="shared" si="79"/>
        <v>118</v>
      </c>
      <c r="R1254">
        <v>11</v>
      </c>
      <c r="S1254">
        <v>11</v>
      </c>
      <c r="T1254">
        <f>Table[[#This Row],[NumWebPurchases]]+Table[[#This Row],[NumStorePurchases]]</f>
        <v>22</v>
      </c>
    </row>
    <row r="1255" spans="1:20" ht="12.5">
      <c r="A1255" s="6">
        <v>1253</v>
      </c>
      <c r="B1255" s="6">
        <v>961</v>
      </c>
      <c r="C1255" s="6">
        <v>1972</v>
      </c>
      <c r="D1255" s="6">
        <f t="shared" si="76"/>
        <v>53</v>
      </c>
      <c r="E1255" s="7" t="s">
        <v>9</v>
      </c>
      <c r="F1255" s="7" t="s">
        <v>13</v>
      </c>
      <c r="G1255" s="6">
        <v>74716</v>
      </c>
      <c r="H1255" s="6" t="str" cm="1">
        <f t="array" ref="H1255">_xlfn.IFS(
  G1255 &lt; 25000, "Low",
  AND(G1255 &gt;= 25000, G1255 &lt; 75000), "Medium",
  AND(G1255 &gt;= 75000, G1255 &lt; 150000), "High",
  G1255 &gt;= 150000, "Very High"
)</f>
        <v>Medium</v>
      </c>
      <c r="I1255" s="6">
        <v>0</v>
      </c>
      <c r="J1255" s="6">
        <v>1</v>
      </c>
      <c r="K1255" s="6">
        <f t="shared" si="77"/>
        <v>1</v>
      </c>
      <c r="L1255" s="8">
        <v>41529</v>
      </c>
      <c r="M1255" t="str">
        <f t="shared" ca="1" si="78"/>
        <v>12 years, 5 months</v>
      </c>
      <c r="N1255" s="6">
        <v>92</v>
      </c>
      <c r="O1255">
        <v>27</v>
      </c>
      <c r="P1255">
        <v>195</v>
      </c>
      <c r="Q1255">
        <f t="shared" si="79"/>
        <v>222</v>
      </c>
      <c r="R1255">
        <v>7</v>
      </c>
      <c r="S1255">
        <v>5</v>
      </c>
      <c r="T1255">
        <f>Table[[#This Row],[NumWebPurchases]]+Table[[#This Row],[NumStorePurchases]]</f>
        <v>12</v>
      </c>
    </row>
    <row r="1256" spans="1:20" ht="12.5">
      <c r="A1256" s="6">
        <v>1254</v>
      </c>
      <c r="B1256" s="6">
        <v>5011</v>
      </c>
      <c r="C1256" s="6">
        <v>1963</v>
      </c>
      <c r="D1256" s="6">
        <f t="shared" si="76"/>
        <v>62</v>
      </c>
      <c r="E1256" s="7" t="s">
        <v>9</v>
      </c>
      <c r="F1256" s="7" t="s">
        <v>15</v>
      </c>
      <c r="G1256" s="6">
        <v>68118</v>
      </c>
      <c r="H1256" s="6" t="str" cm="1">
        <f t="array" ref="H1256">_xlfn.IFS(
  G1256 &lt; 25000, "Low",
  AND(G1256 &gt;= 25000, G1256 &lt; 75000), "Medium",
  AND(G1256 &gt;= 75000, G1256 &lt; 150000), "High",
  G1256 &gt;= 150000, "Very High"
)</f>
        <v>Medium</v>
      </c>
      <c r="I1256" s="6">
        <v>0</v>
      </c>
      <c r="J1256" s="6">
        <v>1</v>
      </c>
      <c r="K1256" s="6">
        <f t="shared" si="77"/>
        <v>1</v>
      </c>
      <c r="L1256" s="9">
        <v>41565</v>
      </c>
      <c r="M1256" t="str">
        <f t="shared" ca="1" si="78"/>
        <v>12 years, 4 months</v>
      </c>
      <c r="N1256" s="6">
        <v>51</v>
      </c>
      <c r="O1256">
        <v>23</v>
      </c>
      <c r="P1256">
        <v>23</v>
      </c>
      <c r="Q1256">
        <f t="shared" si="79"/>
        <v>46</v>
      </c>
      <c r="R1256">
        <v>8</v>
      </c>
      <c r="S1256">
        <v>4</v>
      </c>
      <c r="T1256">
        <f>Table[[#This Row],[NumWebPurchases]]+Table[[#This Row],[NumStorePurchases]]</f>
        <v>12</v>
      </c>
    </row>
    <row r="1257" spans="1:20" ht="12.5">
      <c r="A1257" s="6">
        <v>1255</v>
      </c>
      <c r="B1257" s="6">
        <v>6653</v>
      </c>
      <c r="C1257" s="6">
        <v>1970</v>
      </c>
      <c r="D1257" s="6">
        <f t="shared" si="76"/>
        <v>55</v>
      </c>
      <c r="E1257" s="7" t="s">
        <v>12</v>
      </c>
      <c r="F1257" s="7" t="s">
        <v>13</v>
      </c>
      <c r="G1257" s="6">
        <v>55158</v>
      </c>
      <c r="H1257" s="6" t="str" cm="1">
        <f t="array" ref="H1257">_xlfn.IFS(
  G1257 &lt; 25000, "Low",
  AND(G1257 &gt;= 25000, G1257 &lt; 75000), "Medium",
  AND(G1257 &gt;= 75000, G1257 &lt; 150000), "High",
  G1257 &gt;= 150000, "Very High"
)</f>
        <v>Medium</v>
      </c>
      <c r="I1257" s="6">
        <v>1</v>
      </c>
      <c r="J1257" s="6">
        <v>1</v>
      </c>
      <c r="K1257" s="6">
        <f t="shared" si="77"/>
        <v>2</v>
      </c>
      <c r="L1257" s="8">
        <v>41120</v>
      </c>
      <c r="M1257" t="str">
        <f t="shared" ca="1" si="78"/>
        <v>13 years, 7 months</v>
      </c>
      <c r="N1257" s="6">
        <v>72</v>
      </c>
      <c r="O1257">
        <v>0</v>
      </c>
      <c r="P1257">
        <v>11</v>
      </c>
      <c r="Q1257">
        <f t="shared" si="79"/>
        <v>11</v>
      </c>
      <c r="R1257">
        <v>7</v>
      </c>
      <c r="S1257">
        <v>5</v>
      </c>
      <c r="T1257">
        <f>Table[[#This Row],[NumWebPurchases]]+Table[[#This Row],[NumStorePurchases]]</f>
        <v>12</v>
      </c>
    </row>
    <row r="1258" spans="1:20" ht="12.5">
      <c r="A1258" s="6">
        <v>1256</v>
      </c>
      <c r="B1258" s="6">
        <v>9094</v>
      </c>
      <c r="C1258" s="6">
        <v>1955</v>
      </c>
      <c r="D1258" s="6">
        <f t="shared" si="76"/>
        <v>70</v>
      </c>
      <c r="E1258" s="7" t="s">
        <v>17</v>
      </c>
      <c r="F1258" s="7" t="s">
        <v>13</v>
      </c>
      <c r="G1258" s="6">
        <v>62972</v>
      </c>
      <c r="H1258" s="6" t="str" cm="1">
        <f t="array" ref="H1258">_xlfn.IFS(
  G1258 &lt; 25000, "Low",
  AND(G1258 &gt;= 25000, G1258 &lt; 75000), "Medium",
  AND(G1258 &gt;= 75000, G1258 &lt; 150000), "High",
  G1258 &gt;= 150000, "Very High"
)</f>
        <v>Medium</v>
      </c>
      <c r="I1258" s="6">
        <v>0</v>
      </c>
      <c r="J1258" s="6">
        <v>1</v>
      </c>
      <c r="K1258" s="6">
        <f t="shared" si="77"/>
        <v>1</v>
      </c>
      <c r="L1258" s="8">
        <v>41124</v>
      </c>
      <c r="M1258" t="str">
        <f t="shared" ca="1" si="78"/>
        <v>13 years, 7 months</v>
      </c>
      <c r="N1258" s="6">
        <v>39</v>
      </c>
      <c r="O1258">
        <v>15</v>
      </c>
      <c r="P1258">
        <v>0</v>
      </c>
      <c r="Q1258">
        <f t="shared" si="79"/>
        <v>15</v>
      </c>
      <c r="R1258">
        <v>7</v>
      </c>
      <c r="S1258">
        <v>3</v>
      </c>
      <c r="T1258">
        <f>Table[[#This Row],[NumWebPurchases]]+Table[[#This Row],[NumStorePurchases]]</f>
        <v>10</v>
      </c>
    </row>
    <row r="1259" spans="1:20" ht="12.5">
      <c r="A1259" s="6">
        <v>1257</v>
      </c>
      <c r="B1259" s="6">
        <v>810</v>
      </c>
      <c r="C1259" s="6">
        <v>1975</v>
      </c>
      <c r="D1259" s="6">
        <f t="shared" si="76"/>
        <v>50</v>
      </c>
      <c r="E1259" s="7" t="s">
        <v>9</v>
      </c>
      <c r="F1259" s="7" t="s">
        <v>13</v>
      </c>
      <c r="G1259" s="6">
        <v>74190</v>
      </c>
      <c r="H1259" s="6" t="str" cm="1">
        <f t="array" ref="H1259">_xlfn.IFS(
  G1259 &lt; 25000, "Low",
  AND(G1259 &gt;= 25000, G1259 &lt; 75000), "Medium",
  AND(G1259 &gt;= 75000, G1259 &lt; 150000), "High",
  G1259 &gt;= 150000, "Very High"
)</f>
        <v>Medium</v>
      </c>
      <c r="I1259" s="6">
        <v>0</v>
      </c>
      <c r="J1259" s="6">
        <v>1</v>
      </c>
      <c r="K1259" s="6">
        <f t="shared" si="77"/>
        <v>1</v>
      </c>
      <c r="L1259" s="8">
        <v>41771</v>
      </c>
      <c r="M1259" t="str">
        <f t="shared" ca="1" si="78"/>
        <v>11 years, 9 months</v>
      </c>
      <c r="N1259" s="6">
        <v>49</v>
      </c>
      <c r="O1259">
        <v>81</v>
      </c>
      <c r="P1259">
        <v>91</v>
      </c>
      <c r="Q1259">
        <f t="shared" si="79"/>
        <v>172</v>
      </c>
      <c r="R1259">
        <v>4</v>
      </c>
      <c r="S1259">
        <v>11</v>
      </c>
      <c r="T1259">
        <f>Table[[#This Row],[NumWebPurchases]]+Table[[#This Row],[NumStorePurchases]]</f>
        <v>15</v>
      </c>
    </row>
    <row r="1260" spans="1:20" ht="12.5">
      <c r="A1260" s="6">
        <v>1258</v>
      </c>
      <c r="B1260" s="6">
        <v>5493</v>
      </c>
      <c r="C1260" s="6">
        <v>1976</v>
      </c>
      <c r="D1260" s="6">
        <f t="shared" si="76"/>
        <v>49</v>
      </c>
      <c r="E1260" s="7" t="s">
        <v>9</v>
      </c>
      <c r="F1260" s="7" t="s">
        <v>13</v>
      </c>
      <c r="G1260" s="6">
        <v>39356</v>
      </c>
      <c r="H1260" s="6" t="str" cm="1">
        <f t="array" ref="H1260">_xlfn.IFS(
  G1260 &lt; 25000, "Low",
  AND(G1260 &gt;= 25000, G1260 &lt; 75000), "Medium",
  AND(G1260 &gt;= 75000, G1260 &lt; 150000), "High",
  G1260 &gt;= 150000, "Very High"
)</f>
        <v>Medium</v>
      </c>
      <c r="I1260" s="6">
        <v>1</v>
      </c>
      <c r="J1260" s="6">
        <v>1</v>
      </c>
      <c r="K1260" s="6">
        <f t="shared" si="77"/>
        <v>2</v>
      </c>
      <c r="L1260" s="8">
        <v>41717</v>
      </c>
      <c r="M1260" t="str">
        <f t="shared" ca="1" si="78"/>
        <v>11 years, 11 months</v>
      </c>
      <c r="N1260" s="6">
        <v>21</v>
      </c>
      <c r="O1260">
        <v>0</v>
      </c>
      <c r="P1260">
        <v>0</v>
      </c>
      <c r="Q1260">
        <f t="shared" si="79"/>
        <v>0</v>
      </c>
      <c r="R1260">
        <v>1</v>
      </c>
      <c r="S1260">
        <v>2</v>
      </c>
      <c r="T1260">
        <f>Table[[#This Row],[NumWebPurchases]]+Table[[#This Row],[NumStorePurchases]]</f>
        <v>3</v>
      </c>
    </row>
    <row r="1261" spans="1:20" ht="12.5">
      <c r="A1261" s="6">
        <v>1259</v>
      </c>
      <c r="B1261" s="6">
        <v>2147</v>
      </c>
      <c r="C1261" s="6">
        <v>1969</v>
      </c>
      <c r="D1261" s="6">
        <f t="shared" si="76"/>
        <v>56</v>
      </c>
      <c r="E1261" s="7" t="s">
        <v>9</v>
      </c>
      <c r="F1261" s="7" t="s">
        <v>11</v>
      </c>
      <c r="G1261" s="6">
        <v>76653</v>
      </c>
      <c r="H1261" s="6" t="str" cm="1">
        <f t="array" ref="H1261">_xlfn.IFS(
  G1261 &lt; 25000, "Low",
  AND(G1261 &gt;= 25000, G1261 &lt; 75000), "Medium",
  AND(G1261 &gt;= 75000, G1261 &lt; 150000), "High",
  G1261 &gt;= 150000, "Very High"
)</f>
        <v>High</v>
      </c>
      <c r="I1261" s="6">
        <v>0</v>
      </c>
      <c r="J1261" s="6">
        <v>0</v>
      </c>
      <c r="K1261" s="6">
        <f t="shared" si="77"/>
        <v>0</v>
      </c>
      <c r="L1261" s="8">
        <v>41502</v>
      </c>
      <c r="M1261" t="str">
        <f t="shared" ca="1" si="78"/>
        <v>12 years, 6 months</v>
      </c>
      <c r="N1261" s="6">
        <v>91</v>
      </c>
      <c r="O1261">
        <v>63</v>
      </c>
      <c r="P1261">
        <v>189</v>
      </c>
      <c r="Q1261">
        <f t="shared" si="79"/>
        <v>252</v>
      </c>
      <c r="R1261">
        <v>4</v>
      </c>
      <c r="S1261">
        <v>11</v>
      </c>
      <c r="T1261">
        <f>Table[[#This Row],[NumWebPurchases]]+Table[[#This Row],[NumStorePurchases]]</f>
        <v>15</v>
      </c>
    </row>
    <row r="1262" spans="1:20" ht="12.5">
      <c r="A1262" s="6">
        <v>1260</v>
      </c>
      <c r="B1262" s="6">
        <v>5107</v>
      </c>
      <c r="C1262" s="6">
        <v>1973</v>
      </c>
      <c r="D1262" s="6">
        <f t="shared" si="76"/>
        <v>52</v>
      </c>
      <c r="E1262" s="7" t="s">
        <v>12</v>
      </c>
      <c r="F1262" s="7" t="s">
        <v>15</v>
      </c>
      <c r="G1262" s="6">
        <v>35860</v>
      </c>
      <c r="H1262" s="6" t="str" cm="1">
        <f t="array" ref="H1262">_xlfn.IFS(
  G1262 &lt; 25000, "Low",
  AND(G1262 &gt;= 25000, G1262 &lt; 75000), "Medium",
  AND(G1262 &gt;= 75000, G1262 &lt; 150000), "High",
  G1262 &gt;= 150000, "Very High"
)</f>
        <v>Medium</v>
      </c>
      <c r="I1262" s="6">
        <v>1</v>
      </c>
      <c r="J1262" s="6">
        <v>1</v>
      </c>
      <c r="K1262" s="6">
        <f t="shared" si="77"/>
        <v>2</v>
      </c>
      <c r="L1262" s="8">
        <v>41778</v>
      </c>
      <c r="M1262" t="str">
        <f t="shared" ca="1" si="78"/>
        <v>11 years, 9 months</v>
      </c>
      <c r="N1262" s="6">
        <v>37</v>
      </c>
      <c r="O1262">
        <v>0</v>
      </c>
      <c r="P1262">
        <v>2</v>
      </c>
      <c r="Q1262">
        <f t="shared" si="79"/>
        <v>2</v>
      </c>
      <c r="R1262">
        <v>1</v>
      </c>
      <c r="S1262">
        <v>2</v>
      </c>
      <c r="T1262">
        <f>Table[[#This Row],[NumWebPurchases]]+Table[[#This Row],[NumStorePurchases]]</f>
        <v>3</v>
      </c>
    </row>
    <row r="1263" spans="1:20" ht="12.5">
      <c r="A1263" s="6">
        <v>1261</v>
      </c>
      <c r="B1263" s="6">
        <v>3979</v>
      </c>
      <c r="C1263" s="6">
        <v>1983</v>
      </c>
      <c r="D1263" s="6">
        <f t="shared" si="76"/>
        <v>42</v>
      </c>
      <c r="E1263" s="7" t="s">
        <v>12</v>
      </c>
      <c r="F1263" s="7" t="s">
        <v>15</v>
      </c>
      <c r="G1263" s="6">
        <v>90687</v>
      </c>
      <c r="H1263" s="6" t="str" cm="1">
        <f t="array" ref="H1263">_xlfn.IFS(
  G1263 &lt; 25000, "Low",
  AND(G1263 &gt;= 25000, G1263 &lt; 75000), "Medium",
  AND(G1263 &gt;= 75000, G1263 &lt; 150000), "High",
  G1263 &gt;= 150000, "Very High"
)</f>
        <v>High</v>
      </c>
      <c r="I1263" s="6">
        <v>0</v>
      </c>
      <c r="J1263" s="6">
        <v>0</v>
      </c>
      <c r="K1263" s="6">
        <f t="shared" si="77"/>
        <v>0</v>
      </c>
      <c r="L1263" s="8">
        <v>41416</v>
      </c>
      <c r="M1263" t="str">
        <f t="shared" ca="1" si="78"/>
        <v>12 years, 9 months</v>
      </c>
      <c r="N1263" s="6">
        <v>98</v>
      </c>
      <c r="O1263">
        <v>17</v>
      </c>
      <c r="P1263">
        <v>34</v>
      </c>
      <c r="Q1263">
        <f t="shared" si="79"/>
        <v>51</v>
      </c>
      <c r="R1263">
        <v>6</v>
      </c>
      <c r="S1263">
        <v>8</v>
      </c>
      <c r="T1263">
        <f>Table[[#This Row],[NumWebPurchases]]+Table[[#This Row],[NumStorePurchases]]</f>
        <v>14</v>
      </c>
    </row>
    <row r="1264" spans="1:20" ht="12.5">
      <c r="A1264" s="6">
        <v>1262</v>
      </c>
      <c r="B1264" s="6">
        <v>6049</v>
      </c>
      <c r="C1264" s="6">
        <v>1982</v>
      </c>
      <c r="D1264" s="6">
        <f t="shared" si="76"/>
        <v>43</v>
      </c>
      <c r="E1264" s="7" t="s">
        <v>14</v>
      </c>
      <c r="F1264" s="7" t="s">
        <v>11</v>
      </c>
      <c r="G1264" s="6">
        <v>73450</v>
      </c>
      <c r="H1264" s="6" t="str" cm="1">
        <f t="array" ref="H1264">_xlfn.IFS(
  G1264 &lt; 25000, "Low",
  AND(G1264 &gt;= 25000, G1264 &lt; 75000), "Medium",
  AND(G1264 &gt;= 75000, G1264 &lt; 150000), "High",
  G1264 &gt;= 150000, "Very High"
)</f>
        <v>Medium</v>
      </c>
      <c r="I1264" s="6">
        <v>0</v>
      </c>
      <c r="J1264" s="6">
        <v>0</v>
      </c>
      <c r="K1264" s="6">
        <f t="shared" si="77"/>
        <v>0</v>
      </c>
      <c r="L1264" s="8">
        <v>41613</v>
      </c>
      <c r="M1264" t="str">
        <f t="shared" ca="1" si="78"/>
        <v>12 years, 3 months</v>
      </c>
      <c r="N1264" s="6">
        <v>85</v>
      </c>
      <c r="O1264">
        <v>51</v>
      </c>
      <c r="P1264">
        <v>69</v>
      </c>
      <c r="Q1264">
        <f t="shared" si="79"/>
        <v>120</v>
      </c>
      <c r="R1264">
        <v>7</v>
      </c>
      <c r="S1264">
        <v>11</v>
      </c>
      <c r="T1264">
        <f>Table[[#This Row],[NumWebPurchases]]+Table[[#This Row],[NumStorePurchases]]</f>
        <v>18</v>
      </c>
    </row>
    <row r="1265" spans="1:20" ht="12.5">
      <c r="A1265" s="6">
        <v>1263</v>
      </c>
      <c r="B1265" s="6">
        <v>8147</v>
      </c>
      <c r="C1265" s="6">
        <v>1960</v>
      </c>
      <c r="D1265" s="6">
        <f t="shared" si="76"/>
        <v>65</v>
      </c>
      <c r="E1265" s="7" t="s">
        <v>9</v>
      </c>
      <c r="F1265" s="7" t="s">
        <v>13</v>
      </c>
      <c r="G1265" s="6">
        <v>31454</v>
      </c>
      <c r="H1265" s="6" t="str" cm="1">
        <f t="array" ref="H1265">_xlfn.IFS(
  G1265 &lt; 25000, "Low",
  AND(G1265 &gt;= 25000, G1265 &lt; 75000), "Medium",
  AND(G1265 &gt;= 75000, G1265 &lt; 150000), "High",
  G1265 &gt;= 150000, "Very High"
)</f>
        <v>Medium</v>
      </c>
      <c r="I1265" s="6">
        <v>1</v>
      </c>
      <c r="J1265" s="6">
        <v>1</v>
      </c>
      <c r="K1265" s="6">
        <f t="shared" si="77"/>
        <v>2</v>
      </c>
      <c r="L1265" s="8">
        <v>41461</v>
      </c>
      <c r="M1265" t="str">
        <f t="shared" ca="1" si="78"/>
        <v>12 years, 8 months</v>
      </c>
      <c r="N1265" s="6">
        <v>40</v>
      </c>
      <c r="O1265">
        <v>0</v>
      </c>
      <c r="P1265">
        <v>0</v>
      </c>
      <c r="Q1265">
        <f t="shared" si="79"/>
        <v>0</v>
      </c>
      <c r="R1265">
        <v>2</v>
      </c>
      <c r="S1265">
        <v>3</v>
      </c>
      <c r="T1265">
        <f>Table[[#This Row],[NumWebPurchases]]+Table[[#This Row],[NumStorePurchases]]</f>
        <v>5</v>
      </c>
    </row>
    <row r="1266" spans="1:20" ht="12.5">
      <c r="A1266" s="6">
        <v>1264</v>
      </c>
      <c r="B1266" s="6">
        <v>1857</v>
      </c>
      <c r="C1266" s="6">
        <v>1952</v>
      </c>
      <c r="D1266" s="6">
        <f t="shared" si="76"/>
        <v>73</v>
      </c>
      <c r="E1266" s="7" t="s">
        <v>9</v>
      </c>
      <c r="F1266" s="7" t="s">
        <v>10</v>
      </c>
      <c r="G1266" s="6">
        <v>47139</v>
      </c>
      <c r="H1266" s="6" t="str" cm="1">
        <f t="array" ref="H1266">_xlfn.IFS(
  G1266 &lt; 25000, "Low",
  AND(G1266 &gt;= 25000, G1266 &lt; 75000), "Medium",
  AND(G1266 &gt;= 75000, G1266 &lt; 150000), "High",
  G1266 &gt;= 150000, "Very High"
)</f>
        <v>Medium</v>
      </c>
      <c r="I1266" s="6">
        <v>1</v>
      </c>
      <c r="J1266" s="6">
        <v>1</v>
      </c>
      <c r="K1266" s="6">
        <f t="shared" si="77"/>
        <v>2</v>
      </c>
      <c r="L1266" s="8">
        <v>41704</v>
      </c>
      <c r="M1266" t="str">
        <f t="shared" ca="1" si="78"/>
        <v>12 years, 0 months</v>
      </c>
      <c r="N1266" s="6">
        <v>2</v>
      </c>
      <c r="O1266">
        <v>0</v>
      </c>
      <c r="P1266">
        <v>2</v>
      </c>
      <c r="Q1266">
        <f t="shared" si="79"/>
        <v>2</v>
      </c>
      <c r="R1266">
        <v>2</v>
      </c>
      <c r="S1266">
        <v>2</v>
      </c>
      <c r="T1266">
        <f>Table[[#This Row],[NumWebPurchases]]+Table[[#This Row],[NumStorePurchases]]</f>
        <v>4</v>
      </c>
    </row>
    <row r="1267" spans="1:20" ht="12.5">
      <c r="A1267" s="6">
        <v>1265</v>
      </c>
      <c r="B1267" s="6">
        <v>3910</v>
      </c>
      <c r="C1267" s="6">
        <v>1975</v>
      </c>
      <c r="D1267" s="6">
        <f t="shared" si="76"/>
        <v>50</v>
      </c>
      <c r="E1267" s="7" t="s">
        <v>9</v>
      </c>
      <c r="F1267" s="7" t="s">
        <v>15</v>
      </c>
      <c r="G1267" s="6">
        <v>83829</v>
      </c>
      <c r="H1267" s="6" t="str" cm="1">
        <f t="array" ref="H1267">_xlfn.IFS(
  G1267 &lt; 25000, "Low",
  AND(G1267 &gt;= 25000, G1267 &lt; 75000), "Medium",
  AND(G1267 &gt;= 75000, G1267 &lt; 150000), "High",
  G1267 &gt;= 150000, "Very High"
)</f>
        <v>High</v>
      </c>
      <c r="I1267" s="6">
        <v>0</v>
      </c>
      <c r="J1267" s="6">
        <v>0</v>
      </c>
      <c r="K1267" s="6">
        <f t="shared" si="77"/>
        <v>0</v>
      </c>
      <c r="L1267" s="8">
        <v>41555</v>
      </c>
      <c r="M1267" t="str">
        <f t="shared" ca="1" si="78"/>
        <v>12 years, 4 months</v>
      </c>
      <c r="N1267" s="6">
        <v>78</v>
      </c>
      <c r="O1267">
        <v>161</v>
      </c>
      <c r="P1267">
        <v>161</v>
      </c>
      <c r="Q1267">
        <f t="shared" si="79"/>
        <v>322</v>
      </c>
      <c r="R1267">
        <v>4</v>
      </c>
      <c r="S1267">
        <v>6</v>
      </c>
      <c r="T1267">
        <f>Table[[#This Row],[NumWebPurchases]]+Table[[#This Row],[NumStorePurchases]]</f>
        <v>10</v>
      </c>
    </row>
    <row r="1268" spans="1:20" ht="12.5">
      <c r="A1268" s="6">
        <v>1266</v>
      </c>
      <c r="B1268" s="6">
        <v>5207</v>
      </c>
      <c r="C1268" s="6">
        <v>1963</v>
      </c>
      <c r="D1268" s="6">
        <f t="shared" si="76"/>
        <v>62</v>
      </c>
      <c r="E1268" s="7" t="s">
        <v>12</v>
      </c>
      <c r="F1268" s="7" t="s">
        <v>13</v>
      </c>
      <c r="G1268" s="6">
        <v>53378</v>
      </c>
      <c r="H1268" s="6" t="str" cm="1">
        <f t="array" ref="H1268">_xlfn.IFS(
  G1268 &lt; 25000, "Low",
  AND(G1268 &gt;= 25000, G1268 &lt; 75000), "Medium",
  AND(G1268 &gt;= 75000, G1268 &lt; 150000), "High",
  G1268 &gt;= 150000, "Very High"
)</f>
        <v>Medium</v>
      </c>
      <c r="I1268" s="6">
        <v>1</v>
      </c>
      <c r="J1268" s="6">
        <v>1</v>
      </c>
      <c r="K1268" s="6">
        <f t="shared" si="77"/>
        <v>2</v>
      </c>
      <c r="L1268" s="8">
        <v>41176</v>
      </c>
      <c r="M1268" t="str">
        <f t="shared" ca="1" si="78"/>
        <v>13 years, 5 months</v>
      </c>
      <c r="N1268" s="6">
        <v>41</v>
      </c>
      <c r="O1268">
        <v>6</v>
      </c>
      <c r="P1268">
        <v>6</v>
      </c>
      <c r="Q1268">
        <f t="shared" si="79"/>
        <v>12</v>
      </c>
      <c r="R1268">
        <v>9</v>
      </c>
      <c r="S1268">
        <v>6</v>
      </c>
      <c r="T1268">
        <f>Table[[#This Row],[NumWebPurchases]]+Table[[#This Row],[NumStorePurchases]]</f>
        <v>15</v>
      </c>
    </row>
    <row r="1269" spans="1:20" ht="12.5">
      <c r="A1269" s="6">
        <v>1267</v>
      </c>
      <c r="B1269" s="6">
        <v>11114</v>
      </c>
      <c r="C1269" s="6">
        <v>1970</v>
      </c>
      <c r="D1269" s="6">
        <f t="shared" si="76"/>
        <v>55</v>
      </c>
      <c r="E1269" s="7" t="s">
        <v>9</v>
      </c>
      <c r="F1269" s="7" t="s">
        <v>11</v>
      </c>
      <c r="G1269" s="6">
        <v>19656</v>
      </c>
      <c r="H1269" s="6" t="str" cm="1">
        <f t="array" ref="H1269">_xlfn.IFS(
  G1269 &lt; 25000, "Low",
  AND(G1269 &gt;= 25000, G1269 &lt; 75000), "Medium",
  AND(G1269 &gt;= 75000, G1269 &lt; 150000), "High",
  G1269 &gt;= 150000, "Very High"
)</f>
        <v>Low</v>
      </c>
      <c r="I1269" s="6">
        <v>1</v>
      </c>
      <c r="J1269" s="6">
        <v>0</v>
      </c>
      <c r="K1269" s="6">
        <f t="shared" si="77"/>
        <v>1</v>
      </c>
      <c r="L1269" s="8">
        <v>41313</v>
      </c>
      <c r="M1269" t="str">
        <f t="shared" ca="1" si="78"/>
        <v>13 years, 0 months</v>
      </c>
      <c r="N1269" s="6">
        <v>94</v>
      </c>
      <c r="O1269">
        <v>4</v>
      </c>
      <c r="P1269">
        <v>8</v>
      </c>
      <c r="Q1269">
        <f t="shared" si="79"/>
        <v>12</v>
      </c>
      <c r="R1269">
        <v>2</v>
      </c>
      <c r="S1269">
        <v>3</v>
      </c>
      <c r="T1269">
        <f>Table[[#This Row],[NumWebPurchases]]+Table[[#This Row],[NumStorePurchases]]</f>
        <v>5</v>
      </c>
    </row>
    <row r="1270" spans="1:20" ht="12.5">
      <c r="A1270" s="6">
        <v>1268</v>
      </c>
      <c r="B1270" s="6">
        <v>5429</v>
      </c>
      <c r="C1270" s="6">
        <v>1948</v>
      </c>
      <c r="D1270" s="6">
        <f t="shared" si="76"/>
        <v>77</v>
      </c>
      <c r="E1270" s="7" t="s">
        <v>12</v>
      </c>
      <c r="F1270" s="7" t="s">
        <v>13</v>
      </c>
      <c r="G1270" s="6">
        <v>45579</v>
      </c>
      <c r="H1270" s="6" t="str" cm="1">
        <f t="array" ref="H1270">_xlfn.IFS(
  G1270 &lt; 25000, "Low",
  AND(G1270 &gt;= 25000, G1270 &lt; 75000), "Medium",
  AND(G1270 &gt;= 75000, G1270 &lt; 150000), "High",
  G1270 &gt;= 150000, "Very High"
)</f>
        <v>Medium</v>
      </c>
      <c r="I1270" s="6">
        <v>0</v>
      </c>
      <c r="J1270" s="6">
        <v>1</v>
      </c>
      <c r="K1270" s="6">
        <f t="shared" si="77"/>
        <v>1</v>
      </c>
      <c r="L1270" s="8">
        <v>41506</v>
      </c>
      <c r="M1270" t="str">
        <f t="shared" ca="1" si="78"/>
        <v>12 years, 6 months</v>
      </c>
      <c r="N1270" s="6">
        <v>10</v>
      </c>
      <c r="O1270">
        <v>1</v>
      </c>
      <c r="P1270">
        <v>1</v>
      </c>
      <c r="Q1270">
        <f t="shared" si="79"/>
        <v>2</v>
      </c>
      <c r="R1270">
        <v>4</v>
      </c>
      <c r="S1270">
        <v>4</v>
      </c>
      <c r="T1270">
        <f>Table[[#This Row],[NumWebPurchases]]+Table[[#This Row],[NumStorePurchases]]</f>
        <v>8</v>
      </c>
    </row>
    <row r="1271" spans="1:20" ht="12.5">
      <c r="A1271" s="6">
        <v>1269</v>
      </c>
      <c r="B1271" s="6">
        <v>9400</v>
      </c>
      <c r="C1271" s="6">
        <v>1958</v>
      </c>
      <c r="D1271" s="6">
        <f t="shared" si="76"/>
        <v>67</v>
      </c>
      <c r="E1271" s="7" t="s">
        <v>17</v>
      </c>
      <c r="F1271" s="7" t="s">
        <v>10</v>
      </c>
      <c r="G1271" s="6">
        <v>85485</v>
      </c>
      <c r="H1271" s="6" t="str" cm="1">
        <f t="array" ref="H1271">_xlfn.IFS(
  G1271 &lt; 25000, "Low",
  AND(G1271 &gt;= 25000, G1271 &lt; 75000), "Medium",
  AND(G1271 &gt;= 75000, G1271 &lt; 150000), "High",
  G1271 &gt;= 150000, "Very High"
)</f>
        <v>High</v>
      </c>
      <c r="I1271" s="6">
        <v>0</v>
      </c>
      <c r="J1271" s="6">
        <v>0</v>
      </c>
      <c r="K1271" s="6">
        <f t="shared" si="77"/>
        <v>0</v>
      </c>
      <c r="L1271" s="8">
        <v>41811</v>
      </c>
      <c r="M1271" t="str">
        <f t="shared" ca="1" si="78"/>
        <v>11 years, 8 months</v>
      </c>
      <c r="N1271" s="6">
        <v>73</v>
      </c>
      <c r="O1271">
        <v>26</v>
      </c>
      <c r="P1271">
        <v>18</v>
      </c>
      <c r="Q1271">
        <f t="shared" si="79"/>
        <v>44</v>
      </c>
      <c r="R1271">
        <v>6</v>
      </c>
      <c r="S1271">
        <v>6</v>
      </c>
      <c r="T1271">
        <f>Table[[#This Row],[NumWebPurchases]]+Table[[#This Row],[NumStorePurchases]]</f>
        <v>12</v>
      </c>
    </row>
    <row r="1272" spans="1:20" ht="12.5">
      <c r="A1272" s="6">
        <v>1270</v>
      </c>
      <c r="B1272" s="6">
        <v>1740</v>
      </c>
      <c r="C1272" s="6">
        <v>1944</v>
      </c>
      <c r="D1272" s="6">
        <f t="shared" si="76"/>
        <v>81</v>
      </c>
      <c r="E1272" s="7" t="s">
        <v>9</v>
      </c>
      <c r="F1272" s="7" t="s">
        <v>13</v>
      </c>
      <c r="G1272" s="6">
        <v>55956</v>
      </c>
      <c r="H1272" s="6" t="str" cm="1">
        <f t="array" ref="H1272">_xlfn.IFS(
  G1272 &lt; 25000, "Low",
  AND(G1272 &gt;= 25000, G1272 &lt; 75000), "Medium",
  AND(G1272 &gt;= 75000, G1272 &lt; 150000), "High",
  G1272 &gt;= 150000, "Very High"
)</f>
        <v>Medium</v>
      </c>
      <c r="I1272" s="6">
        <v>0</v>
      </c>
      <c r="J1272" s="6">
        <v>0</v>
      </c>
      <c r="K1272" s="6">
        <f t="shared" si="77"/>
        <v>0</v>
      </c>
      <c r="L1272" s="8">
        <v>41736</v>
      </c>
      <c r="M1272" t="str">
        <f t="shared" ca="1" si="78"/>
        <v>11 years, 10 months</v>
      </c>
      <c r="N1272" s="6">
        <v>22</v>
      </c>
      <c r="O1272">
        <v>38</v>
      </c>
      <c r="P1272">
        <v>9</v>
      </c>
      <c r="Q1272">
        <f t="shared" si="79"/>
        <v>47</v>
      </c>
      <c r="R1272">
        <v>7</v>
      </c>
      <c r="S1272">
        <v>4</v>
      </c>
      <c r="T1272">
        <f>Table[[#This Row],[NumWebPurchases]]+Table[[#This Row],[NumStorePurchases]]</f>
        <v>11</v>
      </c>
    </row>
    <row r="1273" spans="1:20" ht="12.5">
      <c r="A1273" s="6">
        <v>1271</v>
      </c>
      <c r="B1273" s="6">
        <v>7488</v>
      </c>
      <c r="C1273" s="6">
        <v>1963</v>
      </c>
      <c r="D1273" s="6">
        <f t="shared" si="76"/>
        <v>62</v>
      </c>
      <c r="E1273" s="7" t="s">
        <v>14</v>
      </c>
      <c r="F1273" s="7" t="s">
        <v>10</v>
      </c>
      <c r="G1273" s="6">
        <v>64191</v>
      </c>
      <c r="H1273" s="6" t="str" cm="1">
        <f t="array" ref="H1273">_xlfn.IFS(
  G1273 &lt; 25000, "Low",
  AND(G1273 &gt;= 25000, G1273 &lt; 75000), "Medium",
  AND(G1273 &gt;= 75000, G1273 &lt; 150000), "High",
  G1273 &gt;= 150000, "Very High"
)</f>
        <v>Medium</v>
      </c>
      <c r="I1273" s="6">
        <v>0</v>
      </c>
      <c r="J1273" s="6">
        <v>1</v>
      </c>
      <c r="K1273" s="6">
        <f t="shared" si="77"/>
        <v>1</v>
      </c>
      <c r="L1273" s="8">
        <v>41296</v>
      </c>
      <c r="M1273" t="str">
        <f t="shared" ca="1" si="78"/>
        <v>13 years, 1 months</v>
      </c>
      <c r="N1273" s="6">
        <v>30</v>
      </c>
      <c r="O1273">
        <v>15</v>
      </c>
      <c r="P1273">
        <v>38</v>
      </c>
      <c r="Q1273">
        <f t="shared" si="79"/>
        <v>53</v>
      </c>
      <c r="R1273">
        <v>5</v>
      </c>
      <c r="S1273">
        <v>13</v>
      </c>
      <c r="T1273">
        <f>Table[[#This Row],[NumWebPurchases]]+Table[[#This Row],[NumStorePurchases]]</f>
        <v>18</v>
      </c>
    </row>
    <row r="1274" spans="1:20" ht="12.5">
      <c r="A1274" s="6">
        <v>1272</v>
      </c>
      <c r="B1274" s="6">
        <v>195</v>
      </c>
      <c r="C1274" s="6">
        <v>1972</v>
      </c>
      <c r="D1274" s="6">
        <f t="shared" si="76"/>
        <v>53</v>
      </c>
      <c r="E1274" s="7" t="s">
        <v>9</v>
      </c>
      <c r="F1274" s="7" t="s">
        <v>10</v>
      </c>
      <c r="G1274" s="6">
        <v>38808</v>
      </c>
      <c r="H1274" s="6" t="str" cm="1">
        <f t="array" ref="H1274">_xlfn.IFS(
  G1274 &lt; 25000, "Low",
  AND(G1274 &gt;= 25000, G1274 &lt; 75000), "Medium",
  AND(G1274 &gt;= 75000, G1274 &lt; 150000), "High",
  G1274 &gt;= 150000, "Very High"
)</f>
        <v>Medium</v>
      </c>
      <c r="I1274" s="6">
        <v>1</v>
      </c>
      <c r="J1274" s="6">
        <v>0</v>
      </c>
      <c r="K1274" s="6">
        <f t="shared" si="77"/>
        <v>1</v>
      </c>
      <c r="L1274" s="8">
        <v>41147</v>
      </c>
      <c r="M1274" t="str">
        <f t="shared" ca="1" si="78"/>
        <v>13 years, 6 months</v>
      </c>
      <c r="N1274" s="6">
        <v>21</v>
      </c>
      <c r="O1274">
        <v>17</v>
      </c>
      <c r="P1274">
        <v>19</v>
      </c>
      <c r="Q1274">
        <f t="shared" si="79"/>
        <v>36</v>
      </c>
      <c r="R1274">
        <v>5</v>
      </c>
      <c r="S1274">
        <v>4</v>
      </c>
      <c r="T1274">
        <f>Table[[#This Row],[NumWebPurchases]]+Table[[#This Row],[NumStorePurchases]]</f>
        <v>9</v>
      </c>
    </row>
    <row r="1275" spans="1:20" ht="12.5">
      <c r="A1275" s="6">
        <v>1273</v>
      </c>
      <c r="B1275" s="6">
        <v>635</v>
      </c>
      <c r="C1275" s="6">
        <v>1966</v>
      </c>
      <c r="D1275" s="6">
        <f t="shared" si="76"/>
        <v>59</v>
      </c>
      <c r="E1275" s="7" t="s">
        <v>14</v>
      </c>
      <c r="F1275" s="7" t="s">
        <v>13</v>
      </c>
      <c r="G1275" s="6">
        <v>57183</v>
      </c>
      <c r="H1275" s="6" t="str" cm="1">
        <f t="array" ref="H1275">_xlfn.IFS(
  G1275 &lt; 25000, "Low",
  AND(G1275 &gt;= 25000, G1275 &lt; 75000), "Medium",
  AND(G1275 &gt;= 75000, G1275 &lt; 150000), "High",
  G1275 &gt;= 150000, "Very High"
)</f>
        <v>Medium</v>
      </c>
      <c r="I1275" s="6">
        <v>1</v>
      </c>
      <c r="J1275" s="6">
        <v>1</v>
      </c>
      <c r="K1275" s="6">
        <f t="shared" si="77"/>
        <v>2</v>
      </c>
      <c r="L1275" s="8">
        <v>41352</v>
      </c>
      <c r="M1275" t="str">
        <f t="shared" ca="1" si="78"/>
        <v>12 years, 11 months</v>
      </c>
      <c r="N1275" s="6">
        <v>51</v>
      </c>
      <c r="O1275">
        <v>5</v>
      </c>
      <c r="P1275">
        <v>0</v>
      </c>
      <c r="Q1275">
        <f t="shared" si="79"/>
        <v>5</v>
      </c>
      <c r="R1275">
        <v>9</v>
      </c>
      <c r="S1275">
        <v>7</v>
      </c>
      <c r="T1275">
        <f>Table[[#This Row],[NumWebPurchases]]+Table[[#This Row],[NumStorePurchases]]</f>
        <v>16</v>
      </c>
    </row>
    <row r="1276" spans="1:20" ht="12.5">
      <c r="A1276" s="6">
        <v>1274</v>
      </c>
      <c r="B1276" s="6">
        <v>7527</v>
      </c>
      <c r="C1276" s="6">
        <v>1968</v>
      </c>
      <c r="D1276" s="6">
        <f t="shared" si="76"/>
        <v>57</v>
      </c>
      <c r="E1276" s="7" t="s">
        <v>14</v>
      </c>
      <c r="F1276" s="7" t="s">
        <v>15</v>
      </c>
      <c r="G1276" s="6">
        <v>23748</v>
      </c>
      <c r="H1276" s="6" t="str" cm="1">
        <f t="array" ref="H1276">_xlfn.IFS(
  G1276 &lt; 25000, "Low",
  AND(G1276 &gt;= 25000, G1276 &lt; 75000), "Medium",
  AND(G1276 &gt;= 75000, G1276 &lt; 150000), "High",
  G1276 &gt;= 150000, "Very High"
)</f>
        <v>Low</v>
      </c>
      <c r="I1276" s="6">
        <v>1</v>
      </c>
      <c r="J1276" s="6">
        <v>0</v>
      </c>
      <c r="K1276" s="6">
        <f t="shared" si="77"/>
        <v>1</v>
      </c>
      <c r="L1276" s="9">
        <v>41234</v>
      </c>
      <c r="M1276" t="str">
        <f t="shared" ca="1" si="78"/>
        <v>13 years, 3 months</v>
      </c>
      <c r="N1276" s="6">
        <v>97</v>
      </c>
      <c r="O1276">
        <v>6</v>
      </c>
      <c r="P1276">
        <v>15</v>
      </c>
      <c r="Q1276">
        <f t="shared" si="79"/>
        <v>21</v>
      </c>
      <c r="R1276">
        <v>2</v>
      </c>
      <c r="S1276">
        <v>3</v>
      </c>
      <c r="T1276">
        <f>Table[[#This Row],[NumWebPurchases]]+Table[[#This Row],[NumStorePurchases]]</f>
        <v>5</v>
      </c>
    </row>
    <row r="1277" spans="1:20" ht="12.5">
      <c r="A1277" s="6">
        <v>1275</v>
      </c>
      <c r="B1277" s="6">
        <v>10319</v>
      </c>
      <c r="C1277" s="6">
        <v>1971</v>
      </c>
      <c r="D1277" s="6">
        <f t="shared" si="76"/>
        <v>54</v>
      </c>
      <c r="E1277" s="7" t="s">
        <v>9</v>
      </c>
      <c r="F1277" s="7" t="s">
        <v>13</v>
      </c>
      <c r="G1277" s="6">
        <v>66303</v>
      </c>
      <c r="H1277" s="6" t="str" cm="1">
        <f t="array" ref="H1277">_xlfn.IFS(
  G1277 &lt; 25000, "Low",
  AND(G1277 &gt;= 25000, G1277 &lt; 75000), "Medium",
  AND(G1277 &gt;= 75000, G1277 &lt; 150000), "High",
  G1277 &gt;= 150000, "Very High"
)</f>
        <v>Medium</v>
      </c>
      <c r="I1277" s="6">
        <v>0</v>
      </c>
      <c r="J1277" s="6">
        <v>1</v>
      </c>
      <c r="K1277" s="6">
        <f t="shared" si="77"/>
        <v>1</v>
      </c>
      <c r="L1277" s="8">
        <v>41331</v>
      </c>
      <c r="M1277" t="str">
        <f t="shared" ca="1" si="78"/>
        <v>13 years, 0 months</v>
      </c>
      <c r="N1277" s="6">
        <v>56</v>
      </c>
      <c r="O1277">
        <v>12</v>
      </c>
      <c r="P1277">
        <v>12</v>
      </c>
      <c r="Q1277">
        <f t="shared" si="79"/>
        <v>24</v>
      </c>
      <c r="R1277">
        <v>3</v>
      </c>
      <c r="S1277">
        <v>11</v>
      </c>
      <c r="T1277">
        <f>Table[[#This Row],[NumWebPurchases]]+Table[[#This Row],[NumStorePurchases]]</f>
        <v>14</v>
      </c>
    </row>
    <row r="1278" spans="1:20" ht="12.5">
      <c r="A1278" s="6">
        <v>1276</v>
      </c>
      <c r="B1278" s="6">
        <v>2296</v>
      </c>
      <c r="C1278" s="6">
        <v>1975</v>
      </c>
      <c r="D1278" s="6">
        <f t="shared" si="76"/>
        <v>50</v>
      </c>
      <c r="E1278" s="7" t="s">
        <v>14</v>
      </c>
      <c r="F1278" s="7" t="s">
        <v>13</v>
      </c>
      <c r="G1278" s="6">
        <v>37368</v>
      </c>
      <c r="H1278" s="6" t="str" cm="1">
        <f t="array" ref="H1278">_xlfn.IFS(
  G1278 &lt; 25000, "Low",
  AND(G1278 &gt;= 25000, G1278 &lt; 75000), "Medium",
  AND(G1278 &gt;= 75000, G1278 &lt; 150000), "High",
  G1278 &gt;= 150000, "Very High"
)</f>
        <v>Medium</v>
      </c>
      <c r="I1278" s="6">
        <v>1</v>
      </c>
      <c r="J1278" s="6">
        <v>0</v>
      </c>
      <c r="K1278" s="6">
        <f t="shared" si="77"/>
        <v>1</v>
      </c>
      <c r="L1278" s="9">
        <v>41624</v>
      </c>
      <c r="M1278" t="str">
        <f t="shared" ca="1" si="78"/>
        <v>12 years, 2 months</v>
      </c>
      <c r="N1278" s="6">
        <v>4</v>
      </c>
      <c r="O1278">
        <v>2</v>
      </c>
      <c r="P1278">
        <v>2</v>
      </c>
      <c r="Q1278">
        <f t="shared" si="79"/>
        <v>4</v>
      </c>
      <c r="R1278">
        <v>1</v>
      </c>
      <c r="S1278">
        <v>2</v>
      </c>
      <c r="T1278">
        <f>Table[[#This Row],[NumWebPurchases]]+Table[[#This Row],[NumStorePurchases]]</f>
        <v>3</v>
      </c>
    </row>
    <row r="1279" spans="1:20" ht="12.5">
      <c r="A1279" s="6">
        <v>1277</v>
      </c>
      <c r="B1279" s="6">
        <v>10637</v>
      </c>
      <c r="C1279" s="6">
        <v>1964</v>
      </c>
      <c r="D1279" s="6">
        <f t="shared" si="76"/>
        <v>61</v>
      </c>
      <c r="E1279" s="7" t="s">
        <v>9</v>
      </c>
      <c r="F1279" s="7" t="s">
        <v>13</v>
      </c>
      <c r="G1279" s="6">
        <v>40800</v>
      </c>
      <c r="H1279" s="6" t="str" cm="1">
        <f t="array" ref="H1279">_xlfn.IFS(
  G1279 &lt; 25000, "Low",
  AND(G1279 &gt;= 25000, G1279 &lt; 75000), "Medium",
  AND(G1279 &gt;= 75000, G1279 &lt; 150000), "High",
  G1279 &gt;= 150000, "Very High"
)</f>
        <v>Medium</v>
      </c>
      <c r="I1279" s="6">
        <v>1</v>
      </c>
      <c r="J1279" s="6">
        <v>2</v>
      </c>
      <c r="K1279" s="6">
        <f t="shared" si="77"/>
        <v>3</v>
      </c>
      <c r="L1279" s="8">
        <v>41275</v>
      </c>
      <c r="M1279" t="str">
        <f t="shared" ca="1" si="78"/>
        <v>13 years, 2 months</v>
      </c>
      <c r="N1279" s="6">
        <v>77</v>
      </c>
      <c r="O1279">
        <v>0</v>
      </c>
      <c r="P1279">
        <v>30</v>
      </c>
      <c r="Q1279">
        <f t="shared" si="79"/>
        <v>30</v>
      </c>
      <c r="R1279">
        <v>3</v>
      </c>
      <c r="S1279">
        <v>3</v>
      </c>
      <c r="T1279">
        <f>Table[[#This Row],[NumWebPurchases]]+Table[[#This Row],[NumStorePurchases]]</f>
        <v>6</v>
      </c>
    </row>
    <row r="1280" spans="1:20" ht="12.5">
      <c r="A1280" s="6">
        <v>1278</v>
      </c>
      <c r="B1280" s="6">
        <v>2931</v>
      </c>
      <c r="C1280" s="6">
        <v>1978</v>
      </c>
      <c r="D1280" s="6">
        <f t="shared" si="76"/>
        <v>47</v>
      </c>
      <c r="E1280" s="7" t="s">
        <v>9</v>
      </c>
      <c r="F1280" s="7" t="s">
        <v>15</v>
      </c>
      <c r="G1280" s="6">
        <v>71847</v>
      </c>
      <c r="H1280" s="6" t="str" cm="1">
        <f t="array" ref="H1280">_xlfn.IFS(
  G1280 &lt; 25000, "Low",
  AND(G1280 &gt;= 25000, G1280 &lt; 75000), "Medium",
  AND(G1280 &gt;= 75000, G1280 &lt; 150000), "High",
  G1280 &gt;= 150000, "Very High"
)</f>
        <v>Medium</v>
      </c>
      <c r="I1280" s="6">
        <v>0</v>
      </c>
      <c r="J1280" s="6">
        <v>0</v>
      </c>
      <c r="K1280" s="6">
        <f t="shared" si="77"/>
        <v>0</v>
      </c>
      <c r="L1280" s="8">
        <v>41173</v>
      </c>
      <c r="M1280" t="str">
        <f t="shared" ca="1" si="78"/>
        <v>13 years, 5 months</v>
      </c>
      <c r="N1280" s="6">
        <v>95</v>
      </c>
      <c r="O1280">
        <v>21</v>
      </c>
      <c r="P1280">
        <v>63</v>
      </c>
      <c r="Q1280">
        <f t="shared" si="79"/>
        <v>84</v>
      </c>
      <c r="R1280">
        <v>6</v>
      </c>
      <c r="S1280">
        <v>9</v>
      </c>
      <c r="T1280">
        <f>Table[[#This Row],[NumWebPurchases]]+Table[[#This Row],[NumStorePurchases]]</f>
        <v>15</v>
      </c>
    </row>
    <row r="1281" spans="1:20" ht="12.5">
      <c r="A1281" s="6">
        <v>1279</v>
      </c>
      <c r="B1281" s="6">
        <v>907</v>
      </c>
      <c r="C1281" s="6">
        <v>1975</v>
      </c>
      <c r="D1281" s="6">
        <f t="shared" si="76"/>
        <v>50</v>
      </c>
      <c r="E1281" s="7" t="s">
        <v>9</v>
      </c>
      <c r="F1281" s="7" t="s">
        <v>13</v>
      </c>
      <c r="G1281" s="6">
        <v>46149</v>
      </c>
      <c r="H1281" s="6" t="str" cm="1">
        <f t="array" ref="H1281">_xlfn.IFS(
  G1281 &lt; 25000, "Low",
  AND(G1281 &gt;= 25000, G1281 &lt; 75000), "Medium",
  AND(G1281 &gt;= 75000, G1281 &lt; 150000), "High",
  G1281 &gt;= 150000, "Very High"
)</f>
        <v>Medium</v>
      </c>
      <c r="I1281" s="6">
        <v>0</v>
      </c>
      <c r="J1281" s="6">
        <v>1</v>
      </c>
      <c r="K1281" s="6">
        <f t="shared" si="77"/>
        <v>1</v>
      </c>
      <c r="L1281" s="9">
        <v>41607</v>
      </c>
      <c r="M1281" t="str">
        <f t="shared" ca="1" si="78"/>
        <v>12 years, 3 months</v>
      </c>
      <c r="N1281" s="6">
        <v>36</v>
      </c>
      <c r="O1281">
        <v>6</v>
      </c>
      <c r="P1281">
        <v>0</v>
      </c>
      <c r="Q1281">
        <f t="shared" si="79"/>
        <v>6</v>
      </c>
      <c r="R1281">
        <v>5</v>
      </c>
      <c r="S1281">
        <v>7</v>
      </c>
      <c r="T1281">
        <f>Table[[#This Row],[NumWebPurchases]]+Table[[#This Row],[NumStorePurchases]]</f>
        <v>12</v>
      </c>
    </row>
    <row r="1282" spans="1:20" ht="12.5">
      <c r="A1282" s="6">
        <v>1280</v>
      </c>
      <c r="B1282" s="6">
        <v>3698</v>
      </c>
      <c r="C1282" s="6">
        <v>1983</v>
      </c>
      <c r="D1282" s="6">
        <f t="shared" si="76"/>
        <v>42</v>
      </c>
      <c r="E1282" s="7" t="s">
        <v>9</v>
      </c>
      <c r="F1282" s="7" t="s">
        <v>11</v>
      </c>
      <c r="G1282" s="6">
        <v>78687</v>
      </c>
      <c r="H1282" s="6" t="str" cm="1">
        <f t="array" ref="H1282">_xlfn.IFS(
  G1282 &lt; 25000, "Low",
  AND(G1282 &gt;= 25000, G1282 &lt; 75000), "Medium",
  AND(G1282 &gt;= 75000, G1282 &lt; 150000), "High",
  G1282 &gt;= 150000, "Very High"
)</f>
        <v>High</v>
      </c>
      <c r="I1282" s="6">
        <v>0</v>
      </c>
      <c r="J1282" s="6">
        <v>0</v>
      </c>
      <c r="K1282" s="6">
        <f t="shared" si="77"/>
        <v>0</v>
      </c>
      <c r="L1282" s="8">
        <v>41130</v>
      </c>
      <c r="M1282" t="str">
        <f t="shared" ca="1" si="78"/>
        <v>13 years, 6 months</v>
      </c>
      <c r="N1282" s="6">
        <v>13</v>
      </c>
      <c r="O1282">
        <v>185</v>
      </c>
      <c r="P1282">
        <v>55</v>
      </c>
      <c r="Q1282">
        <f t="shared" si="79"/>
        <v>240</v>
      </c>
      <c r="R1282">
        <v>4</v>
      </c>
      <c r="S1282">
        <v>8</v>
      </c>
      <c r="T1282">
        <f>Table[[#This Row],[NumWebPurchases]]+Table[[#This Row],[NumStorePurchases]]</f>
        <v>12</v>
      </c>
    </row>
    <row r="1283" spans="1:20" ht="12.5">
      <c r="A1283" s="6">
        <v>1281</v>
      </c>
      <c r="B1283" s="6">
        <v>9516</v>
      </c>
      <c r="C1283" s="6">
        <v>1971</v>
      </c>
      <c r="D1283" s="6">
        <f t="shared" ref="D1283:D1346" si="80">2025-C1283</f>
        <v>54</v>
      </c>
      <c r="E1283" s="7" t="s">
        <v>17</v>
      </c>
      <c r="F1283" s="7" t="s">
        <v>15</v>
      </c>
      <c r="G1283" s="6">
        <v>49118</v>
      </c>
      <c r="H1283" s="6" t="str" cm="1">
        <f t="array" ref="H1283">_xlfn.IFS(
  G1283 &lt; 25000, "Low",
  AND(G1283 &gt;= 25000, G1283 &lt; 75000), "Medium",
  AND(G1283 &gt;= 75000, G1283 &lt; 150000), "High",
  G1283 &gt;= 150000, "Very High"
)</f>
        <v>Medium</v>
      </c>
      <c r="I1283" s="6">
        <v>0</v>
      </c>
      <c r="J1283" s="6">
        <v>0</v>
      </c>
      <c r="K1283" s="6">
        <f t="shared" ref="K1283:K1346" si="81">I1283+J1283</f>
        <v>0</v>
      </c>
      <c r="L1283" s="8">
        <v>41139</v>
      </c>
      <c r="M1283" t="str">
        <f t="shared" ref="M1283:M1346" ca="1" si="82">DATEDIF(L1283, TODAY(), "Y") &amp; " years, " &amp; DATEDIF(L1283, TODAY(), "YM") &amp; " months"</f>
        <v>13 years, 6 months</v>
      </c>
      <c r="N1283" s="6">
        <v>90</v>
      </c>
      <c r="O1283">
        <v>54</v>
      </c>
      <c r="P1283">
        <v>98</v>
      </c>
      <c r="Q1283">
        <f t="shared" ref="Q1283:Q1346" si="83">O1283+P1283</f>
        <v>152</v>
      </c>
      <c r="R1283">
        <v>9</v>
      </c>
      <c r="S1283">
        <v>10</v>
      </c>
      <c r="T1283">
        <f>Table[[#This Row],[NumWebPurchases]]+Table[[#This Row],[NumStorePurchases]]</f>
        <v>19</v>
      </c>
    </row>
    <row r="1284" spans="1:20" ht="12.5">
      <c r="A1284" s="6">
        <v>1282</v>
      </c>
      <c r="B1284" s="6">
        <v>679</v>
      </c>
      <c r="C1284" s="6">
        <v>1957</v>
      </c>
      <c r="D1284" s="6">
        <f t="shared" si="80"/>
        <v>68</v>
      </c>
      <c r="E1284" s="7" t="s">
        <v>12</v>
      </c>
      <c r="F1284" s="7" t="s">
        <v>13</v>
      </c>
      <c r="G1284" s="6">
        <v>37633</v>
      </c>
      <c r="H1284" s="6" t="str" cm="1">
        <f t="array" ref="H1284">_xlfn.IFS(
  G1284 &lt; 25000, "Low",
  AND(G1284 &gt;= 25000, G1284 &lt; 75000), "Medium",
  AND(G1284 &gt;= 75000, G1284 &lt; 150000), "High",
  G1284 &gt;= 150000, "Very High"
)</f>
        <v>Medium</v>
      </c>
      <c r="I1284" s="6">
        <v>1</v>
      </c>
      <c r="J1284" s="6">
        <v>1</v>
      </c>
      <c r="K1284" s="6">
        <f t="shared" si="81"/>
        <v>2</v>
      </c>
      <c r="L1284" s="8">
        <v>41172</v>
      </c>
      <c r="M1284" t="str">
        <f t="shared" ca="1" si="82"/>
        <v>13 years, 5 months</v>
      </c>
      <c r="N1284" s="6">
        <v>49</v>
      </c>
      <c r="O1284">
        <v>4</v>
      </c>
      <c r="P1284">
        <v>0</v>
      </c>
      <c r="Q1284">
        <f t="shared" si="83"/>
        <v>4</v>
      </c>
      <c r="R1284">
        <v>1</v>
      </c>
      <c r="S1284">
        <v>3</v>
      </c>
      <c r="T1284">
        <f>Table[[#This Row],[NumWebPurchases]]+Table[[#This Row],[NumStorePurchases]]</f>
        <v>4</v>
      </c>
    </row>
    <row r="1285" spans="1:20" ht="12.5">
      <c r="A1285" s="6">
        <v>1283</v>
      </c>
      <c r="B1285" s="6">
        <v>7384</v>
      </c>
      <c r="C1285" s="6">
        <v>1951</v>
      </c>
      <c r="D1285" s="6">
        <f t="shared" si="80"/>
        <v>74</v>
      </c>
      <c r="E1285" s="7" t="s">
        <v>14</v>
      </c>
      <c r="F1285" s="7" t="s">
        <v>11</v>
      </c>
      <c r="G1285" s="6">
        <v>39767</v>
      </c>
      <c r="H1285" s="6" t="str" cm="1">
        <f t="array" ref="H1285">_xlfn.IFS(
  G1285 &lt; 25000, "Low",
  AND(G1285 &gt;= 25000, G1285 &lt; 75000), "Medium",
  AND(G1285 &gt;= 75000, G1285 &lt; 150000), "High",
  G1285 &gt;= 150000, "Very High"
)</f>
        <v>Medium</v>
      </c>
      <c r="I1285" s="6">
        <v>0</v>
      </c>
      <c r="J1285" s="6">
        <v>0</v>
      </c>
      <c r="K1285" s="6">
        <f t="shared" si="81"/>
        <v>0</v>
      </c>
      <c r="L1285" s="8">
        <v>41476</v>
      </c>
      <c r="M1285" t="str">
        <f t="shared" ca="1" si="82"/>
        <v>12 years, 7 months</v>
      </c>
      <c r="N1285" s="6">
        <v>18</v>
      </c>
      <c r="O1285">
        <v>61</v>
      </c>
      <c r="P1285">
        <v>26</v>
      </c>
      <c r="Q1285">
        <f t="shared" si="83"/>
        <v>87</v>
      </c>
      <c r="R1285">
        <v>7</v>
      </c>
      <c r="S1285">
        <v>7</v>
      </c>
      <c r="T1285">
        <f>Table[[#This Row],[NumWebPurchases]]+Table[[#This Row],[NumStorePurchases]]</f>
        <v>14</v>
      </c>
    </row>
    <row r="1286" spans="1:20" ht="12.5">
      <c r="A1286" s="6">
        <v>1284</v>
      </c>
      <c r="B1286" s="6">
        <v>5043</v>
      </c>
      <c r="C1286" s="6">
        <v>1951</v>
      </c>
      <c r="D1286" s="6">
        <f t="shared" si="80"/>
        <v>74</v>
      </c>
      <c r="E1286" s="7" t="s">
        <v>16</v>
      </c>
      <c r="F1286" s="7" t="s">
        <v>13</v>
      </c>
      <c r="G1286" s="6">
        <v>26997</v>
      </c>
      <c r="H1286" s="6" t="str" cm="1">
        <f t="array" ref="H1286">_xlfn.IFS(
  G1286 &lt; 25000, "Low",
  AND(G1286 &gt;= 25000, G1286 &lt; 75000), "Medium",
  AND(G1286 &gt;= 75000, G1286 &lt; 150000), "High",
  G1286 &gt;= 150000, "Very High"
)</f>
        <v>Medium</v>
      </c>
      <c r="I1286" s="6">
        <v>0</v>
      </c>
      <c r="J1286" s="6">
        <v>0</v>
      </c>
      <c r="K1286" s="6">
        <f t="shared" si="81"/>
        <v>0</v>
      </c>
      <c r="L1286" s="8">
        <v>41218</v>
      </c>
      <c r="M1286" t="str">
        <f t="shared" ca="1" si="82"/>
        <v>13 years, 4 months</v>
      </c>
      <c r="N1286" s="6">
        <v>89</v>
      </c>
      <c r="O1286">
        <v>23</v>
      </c>
      <c r="P1286">
        <v>49</v>
      </c>
      <c r="Q1286">
        <f t="shared" si="83"/>
        <v>72</v>
      </c>
      <c r="R1286">
        <v>4</v>
      </c>
      <c r="S1286">
        <v>5</v>
      </c>
      <c r="T1286">
        <f>Table[[#This Row],[NumWebPurchases]]+Table[[#This Row],[NumStorePurchases]]</f>
        <v>9</v>
      </c>
    </row>
    <row r="1287" spans="1:20" ht="12.5">
      <c r="A1287" s="6">
        <v>1285</v>
      </c>
      <c r="B1287" s="6">
        <v>5267</v>
      </c>
      <c r="C1287" s="6">
        <v>1970</v>
      </c>
      <c r="D1287" s="6">
        <f t="shared" si="80"/>
        <v>55</v>
      </c>
      <c r="E1287" s="7" t="s">
        <v>9</v>
      </c>
      <c r="F1287" s="7" t="s">
        <v>15</v>
      </c>
      <c r="G1287" s="6">
        <v>33986</v>
      </c>
      <c r="H1287" s="6" t="str" cm="1">
        <f t="array" ref="H1287">_xlfn.IFS(
  G1287 &lt; 25000, "Low",
  AND(G1287 &gt;= 25000, G1287 &lt; 75000), "Medium",
  AND(G1287 &gt;= 75000, G1287 &lt; 150000), "High",
  G1287 &gt;= 150000, "Very High"
)</f>
        <v>Medium</v>
      </c>
      <c r="I1287" s="6">
        <v>1</v>
      </c>
      <c r="J1287" s="6">
        <v>0</v>
      </c>
      <c r="K1287" s="6">
        <f t="shared" si="81"/>
        <v>1</v>
      </c>
      <c r="L1287" s="8">
        <v>41347</v>
      </c>
      <c r="M1287" t="str">
        <f t="shared" ca="1" si="82"/>
        <v>12 years, 11 months</v>
      </c>
      <c r="N1287" s="6">
        <v>43</v>
      </c>
      <c r="O1287">
        <v>2</v>
      </c>
      <c r="P1287">
        <v>1</v>
      </c>
      <c r="Q1287">
        <f t="shared" si="83"/>
        <v>3</v>
      </c>
      <c r="R1287">
        <v>1</v>
      </c>
      <c r="S1287">
        <v>3</v>
      </c>
      <c r="T1287">
        <f>Table[[#This Row],[NumWebPurchases]]+Table[[#This Row],[NumStorePurchases]]</f>
        <v>4</v>
      </c>
    </row>
    <row r="1288" spans="1:20" ht="12.5">
      <c r="A1288" s="6">
        <v>1286</v>
      </c>
      <c r="B1288" s="6">
        <v>339</v>
      </c>
      <c r="C1288" s="6">
        <v>1972</v>
      </c>
      <c r="D1288" s="6">
        <f t="shared" si="80"/>
        <v>53</v>
      </c>
      <c r="E1288" s="7" t="s">
        <v>12</v>
      </c>
      <c r="F1288" s="7" t="s">
        <v>13</v>
      </c>
      <c r="G1288" s="6">
        <v>57091</v>
      </c>
      <c r="H1288" s="6" t="str" cm="1">
        <f t="array" ref="H1288">_xlfn.IFS(
  G1288 &lt; 25000, "Low",
  AND(G1288 &gt;= 25000, G1288 &lt; 75000), "Medium",
  AND(G1288 &gt;= 75000, G1288 &lt; 150000), "High",
  G1288 &gt;= 150000, "Very High"
)</f>
        <v>Medium</v>
      </c>
      <c r="I1288" s="6">
        <v>0</v>
      </c>
      <c r="J1288" s="6">
        <v>1</v>
      </c>
      <c r="K1288" s="6">
        <f t="shared" si="81"/>
        <v>1</v>
      </c>
      <c r="L1288" s="9">
        <v>41236</v>
      </c>
      <c r="M1288" t="str">
        <f t="shared" ca="1" si="82"/>
        <v>13 years, 3 months</v>
      </c>
      <c r="N1288" s="6">
        <v>82</v>
      </c>
      <c r="O1288">
        <v>0</v>
      </c>
      <c r="P1288">
        <v>0</v>
      </c>
      <c r="Q1288">
        <f t="shared" si="83"/>
        <v>0</v>
      </c>
      <c r="R1288">
        <v>9</v>
      </c>
      <c r="S1288">
        <v>5</v>
      </c>
      <c r="T1288">
        <f>Table[[#This Row],[NumWebPurchases]]+Table[[#This Row],[NumStorePurchases]]</f>
        <v>14</v>
      </c>
    </row>
    <row r="1289" spans="1:20" ht="12.5">
      <c r="A1289" s="6">
        <v>1287</v>
      </c>
      <c r="B1289" s="6">
        <v>2516</v>
      </c>
      <c r="C1289" s="6">
        <v>1969</v>
      </c>
      <c r="D1289" s="6">
        <f t="shared" si="80"/>
        <v>56</v>
      </c>
      <c r="E1289" s="7" t="s">
        <v>17</v>
      </c>
      <c r="F1289" s="7" t="s">
        <v>13</v>
      </c>
      <c r="G1289" s="6">
        <v>46831</v>
      </c>
      <c r="H1289" s="6" t="str" cm="1">
        <f t="array" ref="H1289">_xlfn.IFS(
  G1289 &lt; 25000, "Low",
  AND(G1289 &gt;= 25000, G1289 &lt; 75000), "Medium",
  AND(G1289 &gt;= 75000, G1289 &lt; 150000), "High",
  G1289 &gt;= 150000, "Very High"
)</f>
        <v>Medium</v>
      </c>
      <c r="I1289" s="6">
        <v>1</v>
      </c>
      <c r="J1289" s="6">
        <v>1</v>
      </c>
      <c r="K1289" s="6">
        <f t="shared" si="81"/>
        <v>2</v>
      </c>
      <c r="L1289" s="8">
        <v>41433</v>
      </c>
      <c r="M1289" t="str">
        <f t="shared" ca="1" si="82"/>
        <v>12 years, 8 months</v>
      </c>
      <c r="N1289" s="6">
        <v>84</v>
      </c>
      <c r="O1289">
        <v>2</v>
      </c>
      <c r="P1289">
        <v>4</v>
      </c>
      <c r="Q1289">
        <f t="shared" si="83"/>
        <v>6</v>
      </c>
      <c r="R1289">
        <v>1</v>
      </c>
      <c r="S1289">
        <v>2</v>
      </c>
      <c r="T1289">
        <f>Table[[#This Row],[NumWebPurchases]]+Table[[#This Row],[NumStorePurchases]]</f>
        <v>3</v>
      </c>
    </row>
    <row r="1290" spans="1:20" ht="12.5">
      <c r="A1290" s="6">
        <v>1288</v>
      </c>
      <c r="B1290" s="6">
        <v>9010</v>
      </c>
      <c r="C1290" s="6">
        <v>1972</v>
      </c>
      <c r="D1290" s="6">
        <f t="shared" si="80"/>
        <v>53</v>
      </c>
      <c r="E1290" s="7" t="s">
        <v>14</v>
      </c>
      <c r="F1290" s="7" t="s">
        <v>13</v>
      </c>
      <c r="G1290" s="6">
        <v>83151</v>
      </c>
      <c r="H1290" s="6" t="str" cm="1">
        <f t="array" ref="H1290">_xlfn.IFS(
  G1290 &lt; 25000, "Low",
  AND(G1290 &gt;= 25000, G1290 &lt; 75000), "Medium",
  AND(G1290 &gt;= 75000, G1290 &lt; 150000), "High",
  G1290 &gt;= 150000, "Very High"
)</f>
        <v>High</v>
      </c>
      <c r="I1290" s="6">
        <v>0</v>
      </c>
      <c r="J1290" s="6">
        <v>0</v>
      </c>
      <c r="K1290" s="6">
        <f t="shared" si="81"/>
        <v>0</v>
      </c>
      <c r="L1290" s="8">
        <v>41315</v>
      </c>
      <c r="M1290" t="str">
        <f t="shared" ca="1" si="82"/>
        <v>13 years, 0 months</v>
      </c>
      <c r="N1290" s="6">
        <v>80</v>
      </c>
      <c r="O1290">
        <v>147</v>
      </c>
      <c r="P1290">
        <v>42</v>
      </c>
      <c r="Q1290">
        <f t="shared" si="83"/>
        <v>189</v>
      </c>
      <c r="R1290">
        <v>5</v>
      </c>
      <c r="S1290">
        <v>10</v>
      </c>
      <c r="T1290">
        <f>Table[[#This Row],[NumWebPurchases]]+Table[[#This Row],[NumStorePurchases]]</f>
        <v>15</v>
      </c>
    </row>
    <row r="1291" spans="1:20" ht="12.5">
      <c r="A1291" s="6">
        <v>1289</v>
      </c>
      <c r="B1291" s="6">
        <v>378</v>
      </c>
      <c r="C1291" s="6">
        <v>1971</v>
      </c>
      <c r="D1291" s="6">
        <f t="shared" si="80"/>
        <v>54</v>
      </c>
      <c r="E1291" s="7" t="s">
        <v>9</v>
      </c>
      <c r="F1291" s="7" t="s">
        <v>13</v>
      </c>
      <c r="G1291" s="6">
        <v>52531</v>
      </c>
      <c r="H1291" s="6" t="str" cm="1">
        <f t="array" ref="H1291">_xlfn.IFS(
  G1291 &lt; 25000, "Low",
  AND(G1291 &gt;= 25000, G1291 &lt; 75000), "Medium",
  AND(G1291 &gt;= 75000, G1291 &lt; 150000), "High",
  G1291 &gt;= 150000, "Very High"
)</f>
        <v>Medium</v>
      </c>
      <c r="I1291" s="6">
        <v>0</v>
      </c>
      <c r="J1291" s="6">
        <v>0</v>
      </c>
      <c r="K1291" s="6">
        <f t="shared" si="81"/>
        <v>0</v>
      </c>
      <c r="L1291" s="9">
        <v>41273</v>
      </c>
      <c r="M1291" t="str">
        <f t="shared" ca="1" si="82"/>
        <v>13 years, 2 months</v>
      </c>
      <c r="N1291" s="6">
        <v>68</v>
      </c>
      <c r="O1291">
        <v>112</v>
      </c>
      <c r="P1291">
        <v>72</v>
      </c>
      <c r="Q1291">
        <f t="shared" si="83"/>
        <v>184</v>
      </c>
      <c r="R1291">
        <v>7</v>
      </c>
      <c r="S1291">
        <v>10</v>
      </c>
      <c r="T1291">
        <f>Table[[#This Row],[NumWebPurchases]]+Table[[#This Row],[NumStorePurchases]]</f>
        <v>17</v>
      </c>
    </row>
    <row r="1292" spans="1:20" ht="12.5">
      <c r="A1292" s="6">
        <v>1290</v>
      </c>
      <c r="B1292" s="6">
        <v>4808</v>
      </c>
      <c r="C1292" s="6">
        <v>1956</v>
      </c>
      <c r="D1292" s="6">
        <f t="shared" si="80"/>
        <v>69</v>
      </c>
      <c r="E1292" s="7" t="s">
        <v>9</v>
      </c>
      <c r="F1292" s="7" t="s">
        <v>13</v>
      </c>
      <c r="G1292" s="6">
        <v>15759</v>
      </c>
      <c r="H1292" s="6" t="str" cm="1">
        <f t="array" ref="H1292">_xlfn.IFS(
  G1292 &lt; 25000, "Low",
  AND(G1292 &gt;= 25000, G1292 &lt; 75000), "Medium",
  AND(G1292 &gt;= 75000, G1292 &lt; 150000), "High",
  G1292 &gt;= 150000, "Very High"
)</f>
        <v>Low</v>
      </c>
      <c r="I1292" s="6">
        <v>0</v>
      </c>
      <c r="J1292" s="6">
        <v>0</v>
      </c>
      <c r="K1292" s="6">
        <f t="shared" si="81"/>
        <v>0</v>
      </c>
      <c r="L1292" s="8">
        <v>41522</v>
      </c>
      <c r="M1292" t="str">
        <f t="shared" ca="1" si="82"/>
        <v>12 years, 6 months</v>
      </c>
      <c r="N1292" s="6">
        <v>12</v>
      </c>
      <c r="O1292">
        <v>2</v>
      </c>
      <c r="P1292">
        <v>0</v>
      </c>
      <c r="Q1292">
        <f t="shared" si="83"/>
        <v>2</v>
      </c>
      <c r="R1292">
        <v>1</v>
      </c>
      <c r="S1292">
        <v>2</v>
      </c>
      <c r="T1292">
        <f>Table[[#This Row],[NumWebPurchases]]+Table[[#This Row],[NumStorePurchases]]</f>
        <v>3</v>
      </c>
    </row>
    <row r="1293" spans="1:20" ht="12.5">
      <c r="A1293" s="6">
        <v>1291</v>
      </c>
      <c r="B1293" s="6">
        <v>5068</v>
      </c>
      <c r="C1293" s="6">
        <v>1971</v>
      </c>
      <c r="D1293" s="6">
        <f t="shared" si="80"/>
        <v>54</v>
      </c>
      <c r="E1293" s="7" t="s">
        <v>9</v>
      </c>
      <c r="F1293" s="7" t="s">
        <v>10</v>
      </c>
      <c r="G1293" s="6">
        <v>22804</v>
      </c>
      <c r="H1293" s="6" t="str" cm="1">
        <f t="array" ref="H1293">_xlfn.IFS(
  G1293 &lt; 25000, "Low",
  AND(G1293 &gt;= 25000, G1293 &lt; 75000), "Medium",
  AND(G1293 &gt;= 75000, G1293 &lt; 150000), "High",
  G1293 &gt;= 150000, "Very High"
)</f>
        <v>Low</v>
      </c>
      <c r="I1293" s="6">
        <v>1</v>
      </c>
      <c r="J1293" s="6">
        <v>0</v>
      </c>
      <c r="K1293" s="6">
        <f t="shared" si="81"/>
        <v>1</v>
      </c>
      <c r="L1293" s="8">
        <v>41486</v>
      </c>
      <c r="M1293" t="str">
        <f t="shared" ca="1" si="82"/>
        <v>12 years, 7 months</v>
      </c>
      <c r="N1293" s="6">
        <v>75</v>
      </c>
      <c r="O1293">
        <v>1</v>
      </c>
      <c r="P1293">
        <v>1</v>
      </c>
      <c r="Q1293">
        <f t="shared" si="83"/>
        <v>2</v>
      </c>
      <c r="R1293">
        <v>2</v>
      </c>
      <c r="S1293">
        <v>2</v>
      </c>
      <c r="T1293">
        <f>Table[[#This Row],[NumWebPurchases]]+Table[[#This Row],[NumStorePurchases]]</f>
        <v>4</v>
      </c>
    </row>
    <row r="1294" spans="1:20" ht="12.5">
      <c r="A1294" s="6">
        <v>1292</v>
      </c>
      <c r="B1294" s="6">
        <v>7628</v>
      </c>
      <c r="C1294" s="6">
        <v>1973</v>
      </c>
      <c r="D1294" s="6">
        <f t="shared" si="80"/>
        <v>52</v>
      </c>
      <c r="E1294" s="7" t="s">
        <v>17</v>
      </c>
      <c r="F1294" s="7" t="s">
        <v>13</v>
      </c>
      <c r="G1294" s="6">
        <v>43050</v>
      </c>
      <c r="H1294" s="6" t="str" cm="1">
        <f t="array" ref="H1294">_xlfn.IFS(
  G1294 &lt; 25000, "Low",
  AND(G1294 &gt;= 25000, G1294 &lt; 75000), "Medium",
  AND(G1294 &gt;= 75000, G1294 &lt; 150000), "High",
  G1294 &gt;= 150000, "Very High"
)</f>
        <v>Medium</v>
      </c>
      <c r="I1294" s="6">
        <v>1</v>
      </c>
      <c r="J1294" s="6">
        <v>0</v>
      </c>
      <c r="K1294" s="6">
        <f t="shared" si="81"/>
        <v>1</v>
      </c>
      <c r="L1294" s="8">
        <v>41716</v>
      </c>
      <c r="M1294" t="str">
        <f t="shared" ca="1" si="82"/>
        <v>11 years, 11 months</v>
      </c>
      <c r="N1294" s="6">
        <v>10</v>
      </c>
      <c r="O1294">
        <v>5</v>
      </c>
      <c r="P1294">
        <v>3</v>
      </c>
      <c r="Q1294">
        <f t="shared" si="83"/>
        <v>8</v>
      </c>
      <c r="R1294">
        <v>2</v>
      </c>
      <c r="S1294">
        <v>4</v>
      </c>
      <c r="T1294">
        <f>Table[[#This Row],[NumWebPurchases]]+Table[[#This Row],[NumStorePurchases]]</f>
        <v>6</v>
      </c>
    </row>
    <row r="1295" spans="1:20" ht="12.5">
      <c r="A1295" s="6">
        <v>1293</v>
      </c>
      <c r="B1295" s="6">
        <v>7128</v>
      </c>
      <c r="C1295" s="6">
        <v>1977</v>
      </c>
      <c r="D1295" s="6">
        <f t="shared" si="80"/>
        <v>48</v>
      </c>
      <c r="E1295" s="7" t="s">
        <v>12</v>
      </c>
      <c r="F1295" s="7" t="s">
        <v>10</v>
      </c>
      <c r="G1295" s="6">
        <v>42997</v>
      </c>
      <c r="H1295" s="6" t="str" cm="1">
        <f t="array" ref="H1295">_xlfn.IFS(
  G1295 &lt; 25000, "Low",
  AND(G1295 &gt;= 25000, G1295 &lt; 75000), "Medium",
  AND(G1295 &gt;= 75000, G1295 &lt; 150000), "High",
  G1295 &gt;= 150000, "Very High"
)</f>
        <v>Medium</v>
      </c>
      <c r="I1295" s="6">
        <v>1</v>
      </c>
      <c r="J1295" s="6">
        <v>1</v>
      </c>
      <c r="K1295" s="6">
        <f t="shared" si="81"/>
        <v>2</v>
      </c>
      <c r="L1295" s="8">
        <v>41615</v>
      </c>
      <c r="M1295" t="str">
        <f t="shared" ca="1" si="82"/>
        <v>12 years, 2 months</v>
      </c>
      <c r="N1295" s="6">
        <v>91</v>
      </c>
      <c r="O1295">
        <v>0</v>
      </c>
      <c r="P1295">
        <v>1</v>
      </c>
      <c r="Q1295">
        <f t="shared" si="83"/>
        <v>1</v>
      </c>
      <c r="R1295">
        <v>1</v>
      </c>
      <c r="S1295">
        <v>2</v>
      </c>
      <c r="T1295">
        <f>Table[[#This Row],[NumWebPurchases]]+Table[[#This Row],[NumStorePurchases]]</f>
        <v>3</v>
      </c>
    </row>
    <row r="1296" spans="1:20" ht="12.5">
      <c r="A1296" s="6">
        <v>1294</v>
      </c>
      <c r="B1296" s="6">
        <v>2811</v>
      </c>
      <c r="C1296" s="6">
        <v>1963</v>
      </c>
      <c r="D1296" s="6">
        <f t="shared" si="80"/>
        <v>62</v>
      </c>
      <c r="E1296" s="7" t="s">
        <v>12</v>
      </c>
      <c r="F1296" s="7" t="s">
        <v>10</v>
      </c>
      <c r="G1296" s="6">
        <v>48918</v>
      </c>
      <c r="H1296" s="6" t="str" cm="1">
        <f t="array" ref="H1296">_xlfn.IFS(
  G1296 &lt; 25000, "Low",
  AND(G1296 &gt;= 25000, G1296 &lt; 75000), "Medium",
  AND(G1296 &gt;= 75000, G1296 &lt; 150000), "High",
  G1296 &gt;= 150000, "Very High"
)</f>
        <v>Medium</v>
      </c>
      <c r="I1296" s="6">
        <v>1</v>
      </c>
      <c r="J1296" s="6">
        <v>1</v>
      </c>
      <c r="K1296" s="6">
        <f t="shared" si="81"/>
        <v>2</v>
      </c>
      <c r="L1296" s="8">
        <v>41741</v>
      </c>
      <c r="M1296" t="str">
        <f t="shared" ca="1" si="82"/>
        <v>11 years, 10 months</v>
      </c>
      <c r="N1296" s="6">
        <v>21</v>
      </c>
      <c r="O1296">
        <v>0</v>
      </c>
      <c r="P1296">
        <v>0</v>
      </c>
      <c r="Q1296">
        <f t="shared" si="83"/>
        <v>0</v>
      </c>
      <c r="R1296">
        <v>1</v>
      </c>
      <c r="S1296">
        <v>4</v>
      </c>
      <c r="T1296">
        <f>Table[[#This Row],[NumWebPurchases]]+Table[[#This Row],[NumStorePurchases]]</f>
        <v>5</v>
      </c>
    </row>
    <row r="1297" spans="1:20" ht="12.5">
      <c r="A1297" s="6">
        <v>1295</v>
      </c>
      <c r="B1297" s="6">
        <v>3551</v>
      </c>
      <c r="C1297" s="6">
        <v>1954</v>
      </c>
      <c r="D1297" s="6">
        <f t="shared" si="80"/>
        <v>71</v>
      </c>
      <c r="E1297" s="7" t="s">
        <v>14</v>
      </c>
      <c r="F1297" s="7" t="s">
        <v>11</v>
      </c>
      <c r="G1297" s="6">
        <v>60033</v>
      </c>
      <c r="H1297" s="6" t="str" cm="1">
        <f t="array" ref="H1297">_xlfn.IFS(
  G1297 &lt; 25000, "Low",
  AND(G1297 &gt;= 25000, G1297 &lt; 75000), "Medium",
  AND(G1297 &gt;= 75000, G1297 &lt; 150000), "High",
  G1297 &gt;= 150000, "Very High"
)</f>
        <v>Medium</v>
      </c>
      <c r="I1297" s="6">
        <v>0</v>
      </c>
      <c r="J1297" s="6">
        <v>1</v>
      </c>
      <c r="K1297" s="6">
        <f t="shared" si="81"/>
        <v>1</v>
      </c>
      <c r="L1297" s="8">
        <v>41727</v>
      </c>
      <c r="M1297" t="str">
        <f t="shared" ca="1" si="82"/>
        <v>11 years, 11 months</v>
      </c>
      <c r="N1297" s="6">
        <v>28</v>
      </c>
      <c r="O1297">
        <v>1</v>
      </c>
      <c r="P1297">
        <v>11</v>
      </c>
      <c r="Q1297">
        <f t="shared" si="83"/>
        <v>12</v>
      </c>
      <c r="R1297">
        <v>2</v>
      </c>
      <c r="S1297">
        <v>5</v>
      </c>
      <c r="T1297">
        <f>Table[[#This Row],[NumWebPurchases]]+Table[[#This Row],[NumStorePurchases]]</f>
        <v>7</v>
      </c>
    </row>
    <row r="1298" spans="1:20" ht="12.5">
      <c r="A1298" s="6">
        <v>1296</v>
      </c>
      <c r="B1298" s="6">
        <v>1663</v>
      </c>
      <c r="C1298" s="6">
        <v>1978</v>
      </c>
      <c r="D1298" s="6">
        <f t="shared" si="80"/>
        <v>47</v>
      </c>
      <c r="E1298" s="7" t="s">
        <v>12</v>
      </c>
      <c r="F1298" s="7" t="s">
        <v>11</v>
      </c>
      <c r="G1298" s="6">
        <v>34043</v>
      </c>
      <c r="H1298" s="6" t="str" cm="1">
        <f t="array" ref="H1298">_xlfn.IFS(
  G1298 &lt; 25000, "Low",
  AND(G1298 &gt;= 25000, G1298 &lt; 75000), "Medium",
  AND(G1298 &gt;= 75000, G1298 &lt; 150000), "High",
  G1298 &gt;= 150000, "Very High"
)</f>
        <v>Medium</v>
      </c>
      <c r="I1298" s="6">
        <v>1</v>
      </c>
      <c r="J1298" s="6">
        <v>0</v>
      </c>
      <c r="K1298" s="6">
        <f t="shared" si="81"/>
        <v>1</v>
      </c>
      <c r="L1298" s="9">
        <v>41572</v>
      </c>
      <c r="M1298" t="str">
        <f t="shared" ca="1" si="82"/>
        <v>12 years, 4 months</v>
      </c>
      <c r="N1298" s="6">
        <v>97</v>
      </c>
      <c r="O1298">
        <v>2</v>
      </c>
      <c r="P1298">
        <v>0</v>
      </c>
      <c r="Q1298">
        <f t="shared" si="83"/>
        <v>2</v>
      </c>
      <c r="R1298">
        <v>2</v>
      </c>
      <c r="S1298">
        <v>2</v>
      </c>
      <c r="T1298">
        <f>Table[[#This Row],[NumWebPurchases]]+Table[[#This Row],[NumStorePurchases]]</f>
        <v>4</v>
      </c>
    </row>
    <row r="1299" spans="1:20" ht="12.5">
      <c r="A1299" s="6">
        <v>1297</v>
      </c>
      <c r="B1299" s="6">
        <v>5543</v>
      </c>
      <c r="C1299" s="6">
        <v>1966</v>
      </c>
      <c r="D1299" s="6">
        <f t="shared" si="80"/>
        <v>59</v>
      </c>
      <c r="E1299" s="7" t="s">
        <v>9</v>
      </c>
      <c r="F1299" s="7" t="s">
        <v>11</v>
      </c>
      <c r="G1299" s="6">
        <v>57811</v>
      </c>
      <c r="H1299" s="6" t="str" cm="1">
        <f t="array" ref="H1299">_xlfn.IFS(
  G1299 &lt; 25000, "Low",
  AND(G1299 &gt;= 25000, G1299 &lt; 75000), "Medium",
  AND(G1299 &gt;= 75000, G1299 &lt; 150000), "High",
  G1299 &gt;= 150000, "Very High"
)</f>
        <v>Medium</v>
      </c>
      <c r="I1299" s="6">
        <v>0</v>
      </c>
      <c r="J1299" s="6">
        <v>1</v>
      </c>
      <c r="K1299" s="6">
        <f t="shared" si="81"/>
        <v>1</v>
      </c>
      <c r="L1299" s="8">
        <v>41449</v>
      </c>
      <c r="M1299" t="str">
        <f t="shared" ca="1" si="82"/>
        <v>12 years, 8 months</v>
      </c>
      <c r="N1299" s="6">
        <v>49</v>
      </c>
      <c r="O1299">
        <v>7</v>
      </c>
      <c r="P1299">
        <v>21</v>
      </c>
      <c r="Q1299">
        <f t="shared" si="83"/>
        <v>28</v>
      </c>
      <c r="R1299">
        <v>7</v>
      </c>
      <c r="S1299">
        <v>11</v>
      </c>
      <c r="T1299">
        <f>Table[[#This Row],[NumWebPurchases]]+Table[[#This Row],[NumStorePurchases]]</f>
        <v>18</v>
      </c>
    </row>
    <row r="1300" spans="1:20" ht="12.5">
      <c r="A1300" s="6">
        <v>1298</v>
      </c>
      <c r="B1300" s="6">
        <v>1577</v>
      </c>
      <c r="C1300" s="6">
        <v>1946</v>
      </c>
      <c r="D1300" s="6">
        <f t="shared" si="80"/>
        <v>79</v>
      </c>
      <c r="E1300" s="7" t="s">
        <v>9</v>
      </c>
      <c r="F1300" s="7" t="s">
        <v>13</v>
      </c>
      <c r="G1300" s="6">
        <v>78569</v>
      </c>
      <c r="H1300" s="6" t="str" cm="1">
        <f t="array" ref="H1300">_xlfn.IFS(
  G1300 &lt; 25000, "Low",
  AND(G1300 &gt;= 25000, G1300 &lt; 75000), "Medium",
  AND(G1300 &gt;= 75000, G1300 &lt; 150000), "High",
  G1300 &gt;= 150000, "Very High"
)</f>
        <v>High</v>
      </c>
      <c r="I1300" s="6">
        <v>0</v>
      </c>
      <c r="J1300" s="6">
        <v>0</v>
      </c>
      <c r="K1300" s="6">
        <f t="shared" si="81"/>
        <v>0</v>
      </c>
      <c r="L1300" s="8">
        <v>41689</v>
      </c>
      <c r="M1300" t="str">
        <f t="shared" ca="1" si="82"/>
        <v>12 years, 0 months</v>
      </c>
      <c r="N1300" s="6">
        <v>14</v>
      </c>
      <c r="O1300">
        <v>79</v>
      </c>
      <c r="P1300">
        <v>175</v>
      </c>
      <c r="Q1300">
        <f t="shared" si="83"/>
        <v>254</v>
      </c>
      <c r="R1300">
        <v>4</v>
      </c>
      <c r="S1300">
        <v>4</v>
      </c>
      <c r="T1300">
        <f>Table[[#This Row],[NumWebPurchases]]+Table[[#This Row],[NumStorePurchases]]</f>
        <v>8</v>
      </c>
    </row>
    <row r="1301" spans="1:20" ht="12.5">
      <c r="A1301" s="6">
        <v>1299</v>
      </c>
      <c r="B1301" s="6">
        <v>10641</v>
      </c>
      <c r="C1301" s="6">
        <v>1978</v>
      </c>
      <c r="D1301" s="6">
        <f t="shared" si="80"/>
        <v>47</v>
      </c>
      <c r="E1301" s="7" t="s">
        <v>9</v>
      </c>
      <c r="F1301" s="7" t="s">
        <v>10</v>
      </c>
      <c r="G1301" s="6">
        <v>7500</v>
      </c>
      <c r="H1301" s="6" t="str" cm="1">
        <f t="array" ref="H1301">_xlfn.IFS(
  G1301 &lt; 25000, "Low",
  AND(G1301 &gt;= 25000, G1301 &lt; 75000), "Medium",
  AND(G1301 &gt;= 75000, G1301 &lt; 150000), "High",
  G1301 &gt;= 150000, "Very High"
)</f>
        <v>Low</v>
      </c>
      <c r="I1301" s="6">
        <v>1</v>
      </c>
      <c r="J1301" s="6">
        <v>1</v>
      </c>
      <c r="K1301" s="6">
        <f t="shared" si="81"/>
        <v>2</v>
      </c>
      <c r="L1301" s="9">
        <v>41270</v>
      </c>
      <c r="M1301" t="str">
        <f t="shared" ca="1" si="82"/>
        <v>13 years, 2 months</v>
      </c>
      <c r="N1301" s="6">
        <v>5</v>
      </c>
      <c r="O1301">
        <v>5</v>
      </c>
      <c r="P1301">
        <v>4</v>
      </c>
      <c r="Q1301">
        <f t="shared" si="83"/>
        <v>9</v>
      </c>
      <c r="R1301">
        <v>2</v>
      </c>
      <c r="S1301">
        <v>3</v>
      </c>
      <c r="T1301">
        <f>Table[[#This Row],[NumWebPurchases]]+Table[[#This Row],[NumStorePurchases]]</f>
        <v>5</v>
      </c>
    </row>
    <row r="1302" spans="1:20" ht="12.5">
      <c r="A1302" s="6">
        <v>1300</v>
      </c>
      <c r="B1302" s="6">
        <v>5336</v>
      </c>
      <c r="C1302" s="6">
        <v>1971</v>
      </c>
      <c r="D1302" s="6">
        <f t="shared" si="80"/>
        <v>54</v>
      </c>
      <c r="E1302" s="7" t="s">
        <v>14</v>
      </c>
      <c r="F1302" s="7" t="s">
        <v>11</v>
      </c>
      <c r="G1302" s="6">
        <v>157733</v>
      </c>
      <c r="H1302" s="6" t="str" cm="1">
        <f t="array" ref="H1302">_xlfn.IFS(
  G1302 &lt; 25000, "Low",
  AND(G1302 &gt;= 25000, G1302 &lt; 75000), "Medium",
  AND(G1302 &gt;= 75000, G1302 &lt; 150000), "High",
  G1302 &gt;= 150000, "Very High"
)</f>
        <v>Very High</v>
      </c>
      <c r="I1302" s="6">
        <v>1</v>
      </c>
      <c r="J1302" s="6">
        <v>0</v>
      </c>
      <c r="K1302" s="6">
        <f t="shared" si="81"/>
        <v>1</v>
      </c>
      <c r="L1302" s="8">
        <v>41429</v>
      </c>
      <c r="M1302" t="str">
        <f t="shared" ca="1" si="82"/>
        <v>12 years, 9 months</v>
      </c>
      <c r="N1302" s="6">
        <v>37</v>
      </c>
      <c r="O1302">
        <v>1</v>
      </c>
      <c r="P1302">
        <v>0</v>
      </c>
      <c r="Q1302">
        <f t="shared" si="83"/>
        <v>1</v>
      </c>
      <c r="R1302">
        <v>1</v>
      </c>
      <c r="S1302">
        <v>1</v>
      </c>
      <c r="T1302">
        <f>Table[[#This Row],[NumWebPurchases]]+Table[[#This Row],[NumStorePurchases]]</f>
        <v>2</v>
      </c>
    </row>
    <row r="1303" spans="1:20" ht="12.5">
      <c r="A1303" s="6">
        <v>1301</v>
      </c>
      <c r="B1303" s="6">
        <v>6024</v>
      </c>
      <c r="C1303" s="6">
        <v>1953</v>
      </c>
      <c r="D1303" s="6">
        <f t="shared" si="80"/>
        <v>72</v>
      </c>
      <c r="E1303" s="7" t="s">
        <v>9</v>
      </c>
      <c r="F1303" s="7" t="s">
        <v>11</v>
      </c>
      <c r="G1303" s="6">
        <v>94384</v>
      </c>
      <c r="H1303" s="6" t="str" cm="1">
        <f t="array" ref="H1303">_xlfn.IFS(
  G1303 &lt; 25000, "Low",
  AND(G1303 &gt;= 25000, G1303 &lt; 75000), "Medium",
  AND(G1303 &gt;= 75000, G1303 &lt; 150000), "High",
  G1303 &gt;= 150000, "Very High"
)</f>
        <v>High</v>
      </c>
      <c r="I1303" s="6">
        <v>0</v>
      </c>
      <c r="J1303" s="6">
        <v>0</v>
      </c>
      <c r="K1303" s="6">
        <f t="shared" si="81"/>
        <v>0</v>
      </c>
      <c r="L1303" s="8">
        <v>41337</v>
      </c>
      <c r="M1303" t="str">
        <f t="shared" ca="1" si="82"/>
        <v>13 years, 0 months</v>
      </c>
      <c r="N1303" s="6">
        <v>62</v>
      </c>
      <c r="O1303">
        <v>24</v>
      </c>
      <c r="P1303">
        <v>45</v>
      </c>
      <c r="Q1303">
        <f t="shared" si="83"/>
        <v>69</v>
      </c>
      <c r="R1303">
        <v>5</v>
      </c>
      <c r="S1303">
        <v>5</v>
      </c>
      <c r="T1303">
        <f>Table[[#This Row],[NumWebPurchases]]+Table[[#This Row],[NumStorePurchases]]</f>
        <v>10</v>
      </c>
    </row>
    <row r="1304" spans="1:20" ht="12.5">
      <c r="A1304" s="6">
        <v>1302</v>
      </c>
      <c r="B1304" s="6">
        <v>1878</v>
      </c>
      <c r="C1304" s="6">
        <v>1985</v>
      </c>
      <c r="D1304" s="6">
        <f t="shared" si="80"/>
        <v>40</v>
      </c>
      <c r="E1304" s="7" t="s">
        <v>17</v>
      </c>
      <c r="F1304" s="7" t="s">
        <v>13</v>
      </c>
      <c r="G1304" s="6">
        <v>23148</v>
      </c>
      <c r="H1304" s="6" t="str" cm="1">
        <f t="array" ref="H1304">_xlfn.IFS(
  G1304 &lt; 25000, "Low",
  AND(G1304 &gt;= 25000, G1304 &lt; 75000), "Medium",
  AND(G1304 &gt;= 75000, G1304 &lt; 150000), "High",
  G1304 &gt;= 150000, "Very High"
)</f>
        <v>Low</v>
      </c>
      <c r="I1304" s="6">
        <v>0</v>
      </c>
      <c r="J1304" s="6">
        <v>0</v>
      </c>
      <c r="K1304" s="6">
        <f t="shared" si="81"/>
        <v>0</v>
      </c>
      <c r="L1304" s="8">
        <v>41688</v>
      </c>
      <c r="M1304" t="str">
        <f t="shared" ca="1" si="82"/>
        <v>12 years, 0 months</v>
      </c>
      <c r="N1304" s="6">
        <v>83</v>
      </c>
      <c r="O1304">
        <v>6</v>
      </c>
      <c r="P1304">
        <v>3</v>
      </c>
      <c r="Q1304">
        <f t="shared" si="83"/>
        <v>9</v>
      </c>
      <c r="R1304">
        <v>2</v>
      </c>
      <c r="S1304">
        <v>3</v>
      </c>
      <c r="T1304">
        <f>Table[[#This Row],[NumWebPurchases]]+Table[[#This Row],[NumStorePurchases]]</f>
        <v>5</v>
      </c>
    </row>
    <row r="1305" spans="1:20" ht="12.5">
      <c r="A1305" s="6">
        <v>1303</v>
      </c>
      <c r="B1305" s="6">
        <v>3099</v>
      </c>
      <c r="C1305" s="6">
        <v>1970</v>
      </c>
      <c r="D1305" s="6">
        <f t="shared" si="80"/>
        <v>55</v>
      </c>
      <c r="E1305" s="7" t="s">
        <v>9</v>
      </c>
      <c r="F1305" s="7" t="s">
        <v>15</v>
      </c>
      <c r="G1305" s="6">
        <v>44267</v>
      </c>
      <c r="H1305" s="6" t="str" cm="1">
        <f t="array" ref="H1305">_xlfn.IFS(
  G1305 &lt; 25000, "Low",
  AND(G1305 &gt;= 25000, G1305 &lt; 75000), "Medium",
  AND(G1305 &gt;= 75000, G1305 &lt; 150000), "High",
  G1305 &gt;= 150000, "Very High"
)</f>
        <v>Medium</v>
      </c>
      <c r="I1305" s="6">
        <v>1</v>
      </c>
      <c r="J1305" s="6">
        <v>1</v>
      </c>
      <c r="K1305" s="6">
        <f t="shared" si="81"/>
        <v>2</v>
      </c>
      <c r="L1305" s="8">
        <v>41330</v>
      </c>
      <c r="M1305" t="str">
        <f t="shared" ca="1" si="82"/>
        <v>13 years, 0 months</v>
      </c>
      <c r="N1305" s="6">
        <v>48</v>
      </c>
      <c r="O1305">
        <v>5</v>
      </c>
      <c r="P1305">
        <v>5</v>
      </c>
      <c r="Q1305">
        <f t="shared" si="83"/>
        <v>10</v>
      </c>
      <c r="R1305">
        <v>5</v>
      </c>
      <c r="S1305">
        <v>4</v>
      </c>
      <c r="T1305">
        <f>Table[[#This Row],[NumWebPurchases]]+Table[[#This Row],[NumStorePurchases]]</f>
        <v>9</v>
      </c>
    </row>
    <row r="1306" spans="1:20" ht="12.5">
      <c r="A1306" s="6">
        <v>1304</v>
      </c>
      <c r="B1306" s="6">
        <v>6055</v>
      </c>
      <c r="C1306" s="6">
        <v>1979</v>
      </c>
      <c r="D1306" s="6">
        <f t="shared" si="80"/>
        <v>46</v>
      </c>
      <c r="E1306" s="7" t="s">
        <v>9</v>
      </c>
      <c r="F1306" s="7" t="s">
        <v>13</v>
      </c>
      <c r="G1306" s="6">
        <v>71626</v>
      </c>
      <c r="H1306" s="6" t="str" cm="1">
        <f t="array" ref="H1306">_xlfn.IFS(
  G1306 &lt; 25000, "Low",
  AND(G1306 &gt;= 25000, G1306 &lt; 75000), "Medium",
  AND(G1306 &gt;= 75000, G1306 &lt; 150000), "High",
  G1306 &gt;= 150000, "Very High"
)</f>
        <v>Medium</v>
      </c>
      <c r="I1306" s="6">
        <v>0</v>
      </c>
      <c r="J1306" s="6">
        <v>0</v>
      </c>
      <c r="K1306" s="6">
        <f t="shared" si="81"/>
        <v>0</v>
      </c>
      <c r="L1306" s="8">
        <v>41214</v>
      </c>
      <c r="M1306" t="str">
        <f t="shared" ca="1" si="82"/>
        <v>13 years, 4 months</v>
      </c>
      <c r="N1306" s="6">
        <v>94</v>
      </c>
      <c r="O1306">
        <v>72</v>
      </c>
      <c r="P1306">
        <v>145</v>
      </c>
      <c r="Q1306">
        <f t="shared" si="83"/>
        <v>217</v>
      </c>
      <c r="R1306">
        <v>5</v>
      </c>
      <c r="S1306">
        <v>8</v>
      </c>
      <c r="T1306">
        <f>Table[[#This Row],[NumWebPurchases]]+Table[[#This Row],[NumStorePurchases]]</f>
        <v>13</v>
      </c>
    </row>
    <row r="1307" spans="1:20" ht="12.5">
      <c r="A1307" s="6">
        <v>1305</v>
      </c>
      <c r="B1307" s="6">
        <v>5841</v>
      </c>
      <c r="C1307" s="6">
        <v>1966</v>
      </c>
      <c r="D1307" s="6">
        <f t="shared" si="80"/>
        <v>59</v>
      </c>
      <c r="E1307" s="7" t="s">
        <v>9</v>
      </c>
      <c r="F1307" s="7" t="s">
        <v>11</v>
      </c>
      <c r="G1307" s="6">
        <v>60894</v>
      </c>
      <c r="H1307" s="6" t="str" cm="1">
        <f t="array" ref="H1307">_xlfn.IFS(
  G1307 &lt; 25000, "Low",
  AND(G1307 &gt;= 25000, G1307 &lt; 75000), "Medium",
  AND(G1307 &gt;= 75000, G1307 &lt; 150000), "High",
  G1307 &gt;= 150000, "Very High"
)</f>
        <v>Medium</v>
      </c>
      <c r="I1307" s="6">
        <v>0</v>
      </c>
      <c r="J1307" s="6">
        <v>1</v>
      </c>
      <c r="K1307" s="6">
        <f t="shared" si="81"/>
        <v>1</v>
      </c>
      <c r="L1307" s="8">
        <v>41453</v>
      </c>
      <c r="M1307" t="str">
        <f t="shared" ca="1" si="82"/>
        <v>12 years, 8 months</v>
      </c>
      <c r="N1307" s="6">
        <v>61</v>
      </c>
      <c r="O1307">
        <v>7</v>
      </c>
      <c r="P1307">
        <v>0</v>
      </c>
      <c r="Q1307">
        <f t="shared" si="83"/>
        <v>7</v>
      </c>
      <c r="R1307">
        <v>10</v>
      </c>
      <c r="S1307">
        <v>8</v>
      </c>
      <c r="T1307">
        <f>Table[[#This Row],[NumWebPurchases]]+Table[[#This Row],[NumStorePurchases]]</f>
        <v>18</v>
      </c>
    </row>
    <row r="1308" spans="1:20" ht="12.5">
      <c r="A1308" s="6">
        <v>1306</v>
      </c>
      <c r="B1308" s="6">
        <v>3972</v>
      </c>
      <c r="C1308" s="6">
        <v>1976</v>
      </c>
      <c r="D1308" s="6">
        <f t="shared" si="80"/>
        <v>49</v>
      </c>
      <c r="E1308" s="7" t="s">
        <v>9</v>
      </c>
      <c r="F1308" s="7" t="s">
        <v>11</v>
      </c>
      <c r="G1308" s="6">
        <v>50200</v>
      </c>
      <c r="H1308" s="6" t="str" cm="1">
        <f t="array" ref="H1308">_xlfn.IFS(
  G1308 &lt; 25000, "Low",
  AND(G1308 &gt;= 25000, G1308 &lt; 75000), "Medium",
  AND(G1308 &gt;= 75000, G1308 &lt; 150000), "High",
  G1308 &gt;= 150000, "Very High"
)</f>
        <v>Medium</v>
      </c>
      <c r="I1308" s="6">
        <v>1</v>
      </c>
      <c r="J1308" s="6">
        <v>1</v>
      </c>
      <c r="K1308" s="6">
        <f t="shared" si="81"/>
        <v>2</v>
      </c>
      <c r="L1308" s="8">
        <v>41367</v>
      </c>
      <c r="M1308" t="str">
        <f t="shared" ca="1" si="82"/>
        <v>12 years, 11 months</v>
      </c>
      <c r="N1308" s="6">
        <v>70</v>
      </c>
      <c r="O1308">
        <v>6</v>
      </c>
      <c r="P1308">
        <v>6</v>
      </c>
      <c r="Q1308">
        <f t="shared" si="83"/>
        <v>12</v>
      </c>
      <c r="R1308">
        <v>7</v>
      </c>
      <c r="S1308">
        <v>5</v>
      </c>
      <c r="T1308">
        <f>Table[[#This Row],[NumWebPurchases]]+Table[[#This Row],[NumStorePurchases]]</f>
        <v>12</v>
      </c>
    </row>
    <row r="1309" spans="1:20" ht="12.5">
      <c r="A1309" s="6">
        <v>1307</v>
      </c>
      <c r="B1309" s="6">
        <v>4394</v>
      </c>
      <c r="C1309" s="6">
        <v>1965</v>
      </c>
      <c r="D1309" s="6">
        <f t="shared" si="80"/>
        <v>60</v>
      </c>
      <c r="E1309" s="7" t="s">
        <v>12</v>
      </c>
      <c r="F1309" s="7" t="s">
        <v>13</v>
      </c>
      <c r="G1309" s="6">
        <v>81051</v>
      </c>
      <c r="H1309" s="6" t="str" cm="1">
        <f t="array" ref="H1309">_xlfn.IFS(
  G1309 &lt; 25000, "Low",
  AND(G1309 &gt;= 25000, G1309 &lt; 75000), "Medium",
  AND(G1309 &gt;= 75000, G1309 &lt; 150000), "High",
  G1309 &gt;= 150000, "Very High"
)</f>
        <v>High</v>
      </c>
      <c r="I1309" s="6">
        <v>0</v>
      </c>
      <c r="J1309" s="6">
        <v>0</v>
      </c>
      <c r="K1309" s="6">
        <f t="shared" si="81"/>
        <v>0</v>
      </c>
      <c r="L1309" s="8">
        <v>41782</v>
      </c>
      <c r="M1309" t="str">
        <f t="shared" ca="1" si="82"/>
        <v>11 years, 9 months</v>
      </c>
      <c r="N1309" s="6">
        <v>43</v>
      </c>
      <c r="O1309">
        <v>29</v>
      </c>
      <c r="P1309">
        <v>29</v>
      </c>
      <c r="Q1309">
        <f t="shared" si="83"/>
        <v>58</v>
      </c>
      <c r="R1309">
        <v>5</v>
      </c>
      <c r="S1309">
        <v>12</v>
      </c>
      <c r="T1309">
        <f>Table[[#This Row],[NumWebPurchases]]+Table[[#This Row],[NumStorePurchases]]</f>
        <v>17</v>
      </c>
    </row>
    <row r="1310" spans="1:20" ht="12.5">
      <c r="A1310" s="6">
        <v>1308</v>
      </c>
      <c r="B1310" s="6">
        <v>5758</v>
      </c>
      <c r="C1310" s="6">
        <v>1982</v>
      </c>
      <c r="D1310" s="6">
        <f t="shared" si="80"/>
        <v>43</v>
      </c>
      <c r="E1310" s="7" t="s">
        <v>9</v>
      </c>
      <c r="F1310" s="7" t="s">
        <v>13</v>
      </c>
      <c r="G1310" s="6">
        <v>65169</v>
      </c>
      <c r="H1310" s="6" t="str" cm="1">
        <f t="array" ref="H1310">_xlfn.IFS(
  G1310 &lt; 25000, "Low",
  AND(G1310 &gt;= 25000, G1310 &lt; 75000), "Medium",
  AND(G1310 &gt;= 75000, G1310 &lt; 150000), "High",
  G1310 &gt;= 150000, "Very High"
)</f>
        <v>Medium</v>
      </c>
      <c r="I1310" s="6">
        <v>0</v>
      </c>
      <c r="J1310" s="6">
        <v>0</v>
      </c>
      <c r="K1310" s="6">
        <f t="shared" si="81"/>
        <v>0</v>
      </c>
      <c r="L1310" s="8">
        <v>41653</v>
      </c>
      <c r="M1310" t="str">
        <f t="shared" ca="1" si="82"/>
        <v>12 years, 1 months</v>
      </c>
      <c r="N1310" s="6">
        <v>23</v>
      </c>
      <c r="O1310">
        <v>0</v>
      </c>
      <c r="P1310">
        <v>0</v>
      </c>
      <c r="Q1310">
        <f t="shared" si="83"/>
        <v>0</v>
      </c>
      <c r="R1310">
        <v>10</v>
      </c>
      <c r="S1310">
        <v>13</v>
      </c>
      <c r="T1310">
        <f>Table[[#This Row],[NumWebPurchases]]+Table[[#This Row],[NumStorePurchases]]</f>
        <v>23</v>
      </c>
    </row>
    <row r="1311" spans="1:20" ht="12.5">
      <c r="A1311" s="6">
        <v>1309</v>
      </c>
      <c r="B1311" s="6">
        <v>6658</v>
      </c>
      <c r="C1311" s="6">
        <v>1972</v>
      </c>
      <c r="D1311" s="6">
        <f t="shared" si="80"/>
        <v>53</v>
      </c>
      <c r="E1311" s="7" t="s">
        <v>9</v>
      </c>
      <c r="F1311" s="7" t="s">
        <v>11</v>
      </c>
      <c r="G1311" s="6">
        <v>59868</v>
      </c>
      <c r="H1311" s="6" t="str" cm="1">
        <f t="array" ref="H1311">_xlfn.IFS(
  G1311 &lt; 25000, "Low",
  AND(G1311 &gt;= 25000, G1311 &lt; 75000), "Medium",
  AND(G1311 &gt;= 75000, G1311 &lt; 150000), "High",
  G1311 &gt;= 150000, "Very High"
)</f>
        <v>Medium</v>
      </c>
      <c r="I1311" s="6">
        <v>0</v>
      </c>
      <c r="J1311" s="6">
        <v>1</v>
      </c>
      <c r="K1311" s="6">
        <f t="shared" si="81"/>
        <v>1</v>
      </c>
      <c r="L1311" s="8">
        <v>41477</v>
      </c>
      <c r="M1311" t="str">
        <f t="shared" ca="1" si="82"/>
        <v>12 years, 7 months</v>
      </c>
      <c r="N1311" s="6">
        <v>37</v>
      </c>
      <c r="O1311">
        <v>51</v>
      </c>
      <c r="P1311">
        <v>10</v>
      </c>
      <c r="Q1311">
        <f t="shared" si="83"/>
        <v>61</v>
      </c>
      <c r="R1311">
        <v>11</v>
      </c>
      <c r="S1311">
        <v>12</v>
      </c>
      <c r="T1311">
        <f>Table[[#This Row],[NumWebPurchases]]+Table[[#This Row],[NumStorePurchases]]</f>
        <v>23</v>
      </c>
    </row>
    <row r="1312" spans="1:20" ht="12.5">
      <c r="A1312" s="6">
        <v>1310</v>
      </c>
      <c r="B1312" s="6">
        <v>4603</v>
      </c>
      <c r="C1312" s="6">
        <v>1960</v>
      </c>
      <c r="D1312" s="6">
        <f t="shared" si="80"/>
        <v>65</v>
      </c>
      <c r="E1312" s="7" t="s">
        <v>12</v>
      </c>
      <c r="F1312" s="7" t="s">
        <v>13</v>
      </c>
      <c r="G1312" s="6">
        <v>65695</v>
      </c>
      <c r="H1312" s="6" t="str" cm="1">
        <f t="array" ref="H1312">_xlfn.IFS(
  G1312 &lt; 25000, "Low",
  AND(G1312 &gt;= 25000, G1312 &lt; 75000), "Medium",
  AND(G1312 &gt;= 75000, G1312 &lt; 150000), "High",
  G1312 &gt;= 150000, "Very High"
)</f>
        <v>Medium</v>
      </c>
      <c r="I1312" s="6">
        <v>0</v>
      </c>
      <c r="J1312" s="6">
        <v>1</v>
      </c>
      <c r="K1312" s="6">
        <f t="shared" si="81"/>
        <v>1</v>
      </c>
      <c r="L1312" s="8">
        <v>41670</v>
      </c>
      <c r="M1312" t="str">
        <f t="shared" ca="1" si="82"/>
        <v>12 years, 1 months</v>
      </c>
      <c r="N1312" s="6">
        <v>50</v>
      </c>
      <c r="O1312">
        <v>32</v>
      </c>
      <c r="P1312">
        <v>58</v>
      </c>
      <c r="Q1312">
        <f t="shared" si="83"/>
        <v>90</v>
      </c>
      <c r="R1312">
        <v>5</v>
      </c>
      <c r="S1312">
        <v>10</v>
      </c>
      <c r="T1312">
        <f>Table[[#This Row],[NumWebPurchases]]+Table[[#This Row],[NumStorePurchases]]</f>
        <v>15</v>
      </c>
    </row>
    <row r="1313" spans="1:20" ht="12.5">
      <c r="A1313" s="6">
        <v>1311</v>
      </c>
      <c r="B1313" s="6">
        <v>8427</v>
      </c>
      <c r="C1313" s="6">
        <v>1956</v>
      </c>
      <c r="D1313" s="6">
        <f t="shared" si="80"/>
        <v>69</v>
      </c>
      <c r="E1313" s="7" t="s">
        <v>14</v>
      </c>
      <c r="F1313" s="7" t="s">
        <v>10</v>
      </c>
      <c r="G1313" s="6">
        <v>64857</v>
      </c>
      <c r="H1313" s="6" t="str" cm="1">
        <f t="array" ref="H1313">_xlfn.IFS(
  G1313 &lt; 25000, "Low",
  AND(G1313 &gt;= 25000, G1313 &lt; 75000), "Medium",
  AND(G1313 &gt;= 75000, G1313 &lt; 150000), "High",
  G1313 &gt;= 150000, "Very High"
)</f>
        <v>Medium</v>
      </c>
      <c r="I1313" s="6">
        <v>0</v>
      </c>
      <c r="J1313" s="6">
        <v>0</v>
      </c>
      <c r="K1313" s="6">
        <f t="shared" si="81"/>
        <v>0</v>
      </c>
      <c r="L1313" s="9">
        <v>41236</v>
      </c>
      <c r="M1313" t="str">
        <f t="shared" ca="1" si="82"/>
        <v>13 years, 3 months</v>
      </c>
      <c r="N1313" s="6">
        <v>78</v>
      </c>
      <c r="O1313">
        <v>14</v>
      </c>
      <c r="P1313">
        <v>0</v>
      </c>
      <c r="Q1313">
        <f t="shared" si="83"/>
        <v>14</v>
      </c>
      <c r="R1313">
        <v>7</v>
      </c>
      <c r="S1313">
        <v>10</v>
      </c>
      <c r="T1313">
        <f>Table[[#This Row],[NumWebPurchases]]+Table[[#This Row],[NumStorePurchases]]</f>
        <v>17</v>
      </c>
    </row>
    <row r="1314" spans="1:20" ht="12.5">
      <c r="A1314" s="6">
        <v>1312</v>
      </c>
      <c r="B1314" s="6">
        <v>10260</v>
      </c>
      <c r="C1314" s="6">
        <v>1965</v>
      </c>
      <c r="D1314" s="6">
        <f t="shared" si="80"/>
        <v>60</v>
      </c>
      <c r="E1314" s="7" t="s">
        <v>14</v>
      </c>
      <c r="F1314" s="7" t="s">
        <v>11</v>
      </c>
      <c r="G1314" s="6">
        <v>45143</v>
      </c>
      <c r="H1314" s="6" t="str" cm="1">
        <f t="array" ref="H1314">_xlfn.IFS(
  G1314 &lt; 25000, "Low",
  AND(G1314 &gt;= 25000, G1314 &lt; 75000), "Medium",
  AND(G1314 &gt;= 75000, G1314 &lt; 150000), "High",
  G1314 &gt;= 150000, "Very High"
)</f>
        <v>Medium</v>
      </c>
      <c r="I1314" s="6">
        <v>0</v>
      </c>
      <c r="J1314" s="6">
        <v>1</v>
      </c>
      <c r="K1314" s="6">
        <f t="shared" si="81"/>
        <v>1</v>
      </c>
      <c r="L1314" s="8">
        <v>41512</v>
      </c>
      <c r="M1314" t="str">
        <f t="shared" ca="1" si="82"/>
        <v>12 years, 6 months</v>
      </c>
      <c r="N1314" s="6">
        <v>74</v>
      </c>
      <c r="O1314">
        <v>5</v>
      </c>
      <c r="P1314">
        <v>5</v>
      </c>
      <c r="Q1314">
        <f t="shared" si="83"/>
        <v>10</v>
      </c>
      <c r="R1314">
        <v>6</v>
      </c>
      <c r="S1314">
        <v>5</v>
      </c>
      <c r="T1314">
        <f>Table[[#This Row],[NumWebPurchases]]+Table[[#This Row],[NumStorePurchases]]</f>
        <v>11</v>
      </c>
    </row>
    <row r="1315" spans="1:20" ht="12.5">
      <c r="A1315" s="6">
        <v>1313</v>
      </c>
      <c r="B1315" s="6">
        <v>7143</v>
      </c>
      <c r="C1315" s="6">
        <v>1955</v>
      </c>
      <c r="D1315" s="6">
        <f t="shared" si="80"/>
        <v>70</v>
      </c>
      <c r="E1315" s="7" t="s">
        <v>17</v>
      </c>
      <c r="F1315" s="7" t="s">
        <v>11</v>
      </c>
      <c r="G1315" s="6">
        <v>74805</v>
      </c>
      <c r="H1315" s="6" t="str" cm="1">
        <f t="array" ref="H1315">_xlfn.IFS(
  G1315 &lt; 25000, "Low",
  AND(G1315 &gt;= 25000, G1315 &lt; 75000), "Medium",
  AND(G1315 &gt;= 75000, G1315 &lt; 150000), "High",
  G1315 &gt;= 150000, "Very High"
)</f>
        <v>Medium</v>
      </c>
      <c r="I1315" s="6">
        <v>0</v>
      </c>
      <c r="J1315" s="6">
        <v>1</v>
      </c>
      <c r="K1315" s="6">
        <f t="shared" si="81"/>
        <v>1</v>
      </c>
      <c r="L1315" s="8">
        <v>41584</v>
      </c>
      <c r="M1315" t="str">
        <f t="shared" ca="1" si="82"/>
        <v>12 years, 4 months</v>
      </c>
      <c r="N1315" s="6">
        <v>14</v>
      </c>
      <c r="O1315">
        <v>162</v>
      </c>
      <c r="P1315">
        <v>162</v>
      </c>
      <c r="Q1315">
        <f t="shared" si="83"/>
        <v>324</v>
      </c>
      <c r="R1315">
        <v>4</v>
      </c>
      <c r="S1315">
        <v>10</v>
      </c>
      <c r="T1315">
        <f>Table[[#This Row],[NumWebPurchases]]+Table[[#This Row],[NumStorePurchases]]</f>
        <v>14</v>
      </c>
    </row>
    <row r="1316" spans="1:20" ht="12.5">
      <c r="A1316" s="6">
        <v>1314</v>
      </c>
      <c r="B1316" s="6">
        <v>8789</v>
      </c>
      <c r="C1316" s="6">
        <v>1989</v>
      </c>
      <c r="D1316" s="6">
        <f t="shared" si="80"/>
        <v>36</v>
      </c>
      <c r="E1316" s="7" t="s">
        <v>17</v>
      </c>
      <c r="F1316" s="7" t="s">
        <v>13</v>
      </c>
      <c r="G1316" s="6">
        <v>59060</v>
      </c>
      <c r="H1316" s="6" t="str" cm="1">
        <f t="array" ref="H1316">_xlfn.IFS(
  G1316 &lt; 25000, "Low",
  AND(G1316 &gt;= 25000, G1316 &lt; 75000), "Medium",
  AND(G1316 &gt;= 75000, G1316 &lt; 150000), "High",
  G1316 &gt;= 150000, "Very High"
)</f>
        <v>Medium</v>
      </c>
      <c r="I1316" s="6">
        <v>1</v>
      </c>
      <c r="J1316" s="6">
        <v>0</v>
      </c>
      <c r="K1316" s="6">
        <f t="shared" si="81"/>
        <v>1</v>
      </c>
      <c r="L1316" s="8">
        <v>41650</v>
      </c>
      <c r="M1316" t="str">
        <f t="shared" ca="1" si="82"/>
        <v>12 years, 1 months</v>
      </c>
      <c r="N1316" s="6">
        <v>77</v>
      </c>
      <c r="O1316">
        <v>40</v>
      </c>
      <c r="P1316">
        <v>40</v>
      </c>
      <c r="Q1316">
        <f t="shared" si="83"/>
        <v>80</v>
      </c>
      <c r="R1316">
        <v>3</v>
      </c>
      <c r="S1316">
        <v>7</v>
      </c>
      <c r="T1316">
        <f>Table[[#This Row],[NumWebPurchases]]+Table[[#This Row],[NumStorePurchases]]</f>
        <v>10</v>
      </c>
    </row>
    <row r="1317" spans="1:20" ht="12.5">
      <c r="A1317" s="6">
        <v>1315</v>
      </c>
      <c r="B1317" s="6">
        <v>6197</v>
      </c>
      <c r="C1317" s="6">
        <v>1962</v>
      </c>
      <c r="D1317" s="6">
        <f t="shared" si="80"/>
        <v>63</v>
      </c>
      <c r="E1317" s="7" t="s">
        <v>12</v>
      </c>
      <c r="F1317" s="7" t="s">
        <v>10</v>
      </c>
      <c r="G1317" s="6">
        <v>27238</v>
      </c>
      <c r="H1317" s="6" t="str" cm="1">
        <f t="array" ref="H1317">_xlfn.IFS(
  G1317 &lt; 25000, "Low",
  AND(G1317 &gt;= 25000, G1317 &lt; 75000), "Medium",
  AND(G1317 &gt;= 75000, G1317 &lt; 150000), "High",
  G1317 &gt;= 150000, "Very High"
)</f>
        <v>Medium</v>
      </c>
      <c r="I1317" s="6">
        <v>1</v>
      </c>
      <c r="J1317" s="6">
        <v>1</v>
      </c>
      <c r="K1317" s="6">
        <f t="shared" si="81"/>
        <v>2</v>
      </c>
      <c r="L1317" s="8">
        <v>41384</v>
      </c>
      <c r="M1317" t="str">
        <f t="shared" ca="1" si="82"/>
        <v>12 years, 10 months</v>
      </c>
      <c r="N1317" s="6">
        <v>39</v>
      </c>
      <c r="O1317">
        <v>0</v>
      </c>
      <c r="P1317">
        <v>0</v>
      </c>
      <c r="Q1317">
        <f t="shared" si="83"/>
        <v>0</v>
      </c>
      <c r="R1317">
        <v>3</v>
      </c>
      <c r="S1317">
        <v>3</v>
      </c>
      <c r="T1317">
        <f>Table[[#This Row],[NumWebPurchases]]+Table[[#This Row],[NumStorePurchases]]</f>
        <v>6</v>
      </c>
    </row>
    <row r="1318" spans="1:20" ht="12.5">
      <c r="A1318" s="6">
        <v>1316</v>
      </c>
      <c r="B1318" s="6">
        <v>4554</v>
      </c>
      <c r="C1318" s="6">
        <v>1965</v>
      </c>
      <c r="D1318" s="6">
        <f t="shared" si="80"/>
        <v>60</v>
      </c>
      <c r="E1318" s="7" t="s">
        <v>9</v>
      </c>
      <c r="F1318" s="7" t="s">
        <v>11</v>
      </c>
      <c r="G1318" s="6">
        <v>47009</v>
      </c>
      <c r="H1318" s="6" t="str" cm="1">
        <f t="array" ref="H1318">_xlfn.IFS(
  G1318 &lt; 25000, "Low",
  AND(G1318 &gt;= 25000, G1318 &lt; 75000), "Medium",
  AND(G1318 &gt;= 75000, G1318 &lt; 150000), "High",
  G1318 &gt;= 150000, "Very High"
)</f>
        <v>Medium</v>
      </c>
      <c r="I1318" s="6">
        <v>0</v>
      </c>
      <c r="J1318" s="6">
        <v>1</v>
      </c>
      <c r="K1318" s="6">
        <f t="shared" si="81"/>
        <v>1</v>
      </c>
      <c r="L1318" s="8">
        <v>41548</v>
      </c>
      <c r="M1318" t="str">
        <f t="shared" ca="1" si="82"/>
        <v>12 years, 5 months</v>
      </c>
      <c r="N1318" s="6">
        <v>89</v>
      </c>
      <c r="O1318">
        <v>45</v>
      </c>
      <c r="P1318">
        <v>10</v>
      </c>
      <c r="Q1318">
        <f t="shared" si="83"/>
        <v>55</v>
      </c>
      <c r="R1318">
        <v>3</v>
      </c>
      <c r="S1318">
        <v>8</v>
      </c>
      <c r="T1318">
        <f>Table[[#This Row],[NumWebPurchases]]+Table[[#This Row],[NumStorePurchases]]</f>
        <v>11</v>
      </c>
    </row>
    <row r="1319" spans="1:20" ht="12.5">
      <c r="A1319" s="6">
        <v>1317</v>
      </c>
      <c r="B1319" s="6">
        <v>4937</v>
      </c>
      <c r="C1319" s="6">
        <v>1973</v>
      </c>
      <c r="D1319" s="6">
        <f t="shared" si="80"/>
        <v>52</v>
      </c>
      <c r="E1319" s="7" t="s">
        <v>17</v>
      </c>
      <c r="F1319" s="7" t="s">
        <v>13</v>
      </c>
      <c r="G1319" s="6">
        <v>46094</v>
      </c>
      <c r="H1319" s="6" t="str" cm="1">
        <f t="array" ref="H1319">_xlfn.IFS(
  G1319 &lt; 25000, "Low",
  AND(G1319 &gt;= 25000, G1319 &lt; 75000), "Medium",
  AND(G1319 &gt;= 75000, G1319 &lt; 150000), "High",
  G1319 &gt;= 150000, "Very High"
)</f>
        <v>Medium</v>
      </c>
      <c r="I1319" s="6">
        <v>1</v>
      </c>
      <c r="J1319" s="6">
        <v>1</v>
      </c>
      <c r="K1319" s="6">
        <f t="shared" si="81"/>
        <v>2</v>
      </c>
      <c r="L1319" s="8">
        <v>41800</v>
      </c>
      <c r="M1319" t="str">
        <f t="shared" ca="1" si="82"/>
        <v>11 years, 8 months</v>
      </c>
      <c r="N1319" s="6">
        <v>62</v>
      </c>
      <c r="O1319">
        <v>2</v>
      </c>
      <c r="P1319">
        <v>2</v>
      </c>
      <c r="Q1319">
        <f t="shared" si="83"/>
        <v>4</v>
      </c>
      <c r="R1319">
        <v>1</v>
      </c>
      <c r="S1319">
        <v>3</v>
      </c>
      <c r="T1319">
        <f>Table[[#This Row],[NumWebPurchases]]+Table[[#This Row],[NumStorePurchases]]</f>
        <v>4</v>
      </c>
    </row>
    <row r="1320" spans="1:20" ht="12.5">
      <c r="A1320" s="6">
        <v>1318</v>
      </c>
      <c r="B1320" s="6">
        <v>1920</v>
      </c>
      <c r="C1320" s="6">
        <v>1972</v>
      </c>
      <c r="D1320" s="6">
        <f t="shared" si="80"/>
        <v>53</v>
      </c>
      <c r="E1320" s="7" t="s">
        <v>9</v>
      </c>
      <c r="F1320" s="7" t="s">
        <v>13</v>
      </c>
      <c r="G1320" s="6">
        <v>40321</v>
      </c>
      <c r="H1320" s="6" t="str" cm="1">
        <f t="array" ref="H1320">_xlfn.IFS(
  G1320 &lt; 25000, "Low",
  AND(G1320 &gt;= 25000, G1320 &lt; 75000), "Medium",
  AND(G1320 &gt;= 75000, G1320 &lt; 150000), "High",
  G1320 &gt;= 150000, "Very High"
)</f>
        <v>Medium</v>
      </c>
      <c r="I1320" s="6">
        <v>1</v>
      </c>
      <c r="J1320" s="6">
        <v>1</v>
      </c>
      <c r="K1320" s="6">
        <f t="shared" si="81"/>
        <v>2</v>
      </c>
      <c r="L1320" s="8">
        <v>41484</v>
      </c>
      <c r="M1320" t="str">
        <f t="shared" ca="1" si="82"/>
        <v>12 years, 7 months</v>
      </c>
      <c r="N1320" s="6">
        <v>59</v>
      </c>
      <c r="O1320">
        <v>4</v>
      </c>
      <c r="P1320">
        <v>0</v>
      </c>
      <c r="Q1320">
        <f t="shared" si="83"/>
        <v>4</v>
      </c>
      <c r="R1320">
        <v>3</v>
      </c>
      <c r="S1320">
        <v>3</v>
      </c>
      <c r="T1320">
        <f>Table[[#This Row],[NumWebPurchases]]+Table[[#This Row],[NumStorePurchases]]</f>
        <v>6</v>
      </c>
    </row>
    <row r="1321" spans="1:20" ht="12.5">
      <c r="A1321" s="6">
        <v>1319</v>
      </c>
      <c r="B1321" s="6">
        <v>8749</v>
      </c>
      <c r="C1321" s="6">
        <v>1984</v>
      </c>
      <c r="D1321" s="6">
        <f t="shared" si="80"/>
        <v>41</v>
      </c>
      <c r="E1321" s="7" t="s">
        <v>9</v>
      </c>
      <c r="F1321" s="7" t="s">
        <v>11</v>
      </c>
      <c r="G1321" s="6">
        <v>37235</v>
      </c>
      <c r="H1321" s="6" t="str" cm="1">
        <f t="array" ref="H1321">_xlfn.IFS(
  G1321 &lt; 25000, "Low",
  AND(G1321 &gt;= 25000, G1321 &lt; 75000), "Medium",
  AND(G1321 &gt;= 75000, G1321 &lt; 150000), "High",
  G1321 &gt;= 150000, "Very High"
)</f>
        <v>Medium</v>
      </c>
      <c r="I1321" s="6">
        <v>1</v>
      </c>
      <c r="J1321" s="6">
        <v>0</v>
      </c>
      <c r="K1321" s="6">
        <f t="shared" si="81"/>
        <v>1</v>
      </c>
      <c r="L1321" s="8">
        <v>41671</v>
      </c>
      <c r="M1321" t="str">
        <f t="shared" ca="1" si="82"/>
        <v>12 years, 1 months</v>
      </c>
      <c r="N1321" s="6">
        <v>68</v>
      </c>
      <c r="O1321">
        <v>2</v>
      </c>
      <c r="P1321">
        <v>6</v>
      </c>
      <c r="Q1321">
        <f t="shared" si="83"/>
        <v>8</v>
      </c>
      <c r="R1321">
        <v>1</v>
      </c>
      <c r="S1321">
        <v>2</v>
      </c>
      <c r="T1321">
        <f>Table[[#This Row],[NumWebPurchases]]+Table[[#This Row],[NumStorePurchases]]</f>
        <v>3</v>
      </c>
    </row>
    <row r="1322" spans="1:20" ht="12.5">
      <c r="A1322" s="6">
        <v>1320</v>
      </c>
      <c r="B1322" s="6">
        <v>1650</v>
      </c>
      <c r="C1322" s="6">
        <v>1960</v>
      </c>
      <c r="D1322" s="6">
        <f t="shared" si="80"/>
        <v>65</v>
      </c>
      <c r="E1322" s="7" t="s">
        <v>14</v>
      </c>
      <c r="F1322" s="7" t="s">
        <v>13</v>
      </c>
      <c r="G1322" s="6">
        <v>81843</v>
      </c>
      <c r="H1322" s="6" t="str" cm="1">
        <f t="array" ref="H1322">_xlfn.IFS(
  G1322 &lt; 25000, "Low",
  AND(G1322 &gt;= 25000, G1322 &lt; 75000), "Medium",
  AND(G1322 &gt;= 75000, G1322 &lt; 150000), "High",
  G1322 &gt;= 150000, "Very High"
)</f>
        <v>High</v>
      </c>
      <c r="I1322" s="6">
        <v>0</v>
      </c>
      <c r="J1322" s="6">
        <v>0</v>
      </c>
      <c r="K1322" s="6">
        <f t="shared" si="81"/>
        <v>0</v>
      </c>
      <c r="L1322" s="8">
        <v>41386</v>
      </c>
      <c r="M1322" t="str">
        <f t="shared" ca="1" si="82"/>
        <v>12 years, 10 months</v>
      </c>
      <c r="N1322" s="6">
        <v>13</v>
      </c>
      <c r="O1322">
        <v>86</v>
      </c>
      <c r="P1322">
        <v>69</v>
      </c>
      <c r="Q1322">
        <f t="shared" si="83"/>
        <v>155</v>
      </c>
      <c r="R1322">
        <v>5</v>
      </c>
      <c r="S1322">
        <v>12</v>
      </c>
      <c r="T1322">
        <f>Table[[#This Row],[NumWebPurchases]]+Table[[#This Row],[NumStorePurchases]]</f>
        <v>17</v>
      </c>
    </row>
    <row r="1323" spans="1:20" ht="12.5">
      <c r="A1323" s="6">
        <v>1321</v>
      </c>
      <c r="B1323" s="6">
        <v>10377</v>
      </c>
      <c r="C1323" s="6">
        <v>1958</v>
      </c>
      <c r="D1323" s="6">
        <f t="shared" si="80"/>
        <v>67</v>
      </c>
      <c r="E1323" s="7" t="s">
        <v>14</v>
      </c>
      <c r="F1323" s="7" t="s">
        <v>11</v>
      </c>
      <c r="G1323" s="6">
        <v>46692</v>
      </c>
      <c r="H1323" s="6" t="str" cm="1">
        <f t="array" ref="H1323">_xlfn.IFS(
  G1323 &lt; 25000, "Low",
  AND(G1323 &gt;= 25000, G1323 &lt; 75000), "Medium",
  AND(G1323 &gt;= 75000, G1323 &lt; 150000), "High",
  G1323 &gt;= 150000, "Very High"
)</f>
        <v>Medium</v>
      </c>
      <c r="I1323" s="6">
        <v>0</v>
      </c>
      <c r="J1323" s="6">
        <v>1</v>
      </c>
      <c r="K1323" s="6">
        <f t="shared" si="81"/>
        <v>1</v>
      </c>
      <c r="L1323" s="8">
        <v>41431</v>
      </c>
      <c r="M1323" t="str">
        <f t="shared" ca="1" si="82"/>
        <v>12 years, 9 months</v>
      </c>
      <c r="N1323" s="6">
        <v>37</v>
      </c>
      <c r="O1323">
        <v>6</v>
      </c>
      <c r="P1323">
        <v>12</v>
      </c>
      <c r="Q1323">
        <f t="shared" si="83"/>
        <v>18</v>
      </c>
      <c r="R1323">
        <v>6</v>
      </c>
      <c r="S1323">
        <v>5</v>
      </c>
      <c r="T1323">
        <f>Table[[#This Row],[NumWebPurchases]]+Table[[#This Row],[NumStorePurchases]]</f>
        <v>11</v>
      </c>
    </row>
    <row r="1324" spans="1:20" ht="12.5">
      <c r="A1324" s="6">
        <v>1322</v>
      </c>
      <c r="B1324" s="6">
        <v>9206</v>
      </c>
      <c r="C1324" s="6">
        <v>1968</v>
      </c>
      <c r="D1324" s="6">
        <f t="shared" si="80"/>
        <v>57</v>
      </c>
      <c r="E1324" s="7" t="s">
        <v>9</v>
      </c>
      <c r="F1324" s="7" t="s">
        <v>11</v>
      </c>
      <c r="G1324" s="6">
        <v>77382</v>
      </c>
      <c r="H1324" s="6" t="str" cm="1">
        <f t="array" ref="H1324">_xlfn.IFS(
  G1324 &lt; 25000, "Low",
  AND(G1324 &gt;= 25000, G1324 &lt; 75000), "Medium",
  AND(G1324 &gt;= 75000, G1324 &lt; 150000), "High",
  G1324 &gt;= 150000, "Very High"
)</f>
        <v>High</v>
      </c>
      <c r="I1324" s="6">
        <v>0</v>
      </c>
      <c r="J1324" s="6">
        <v>1</v>
      </c>
      <c r="K1324" s="6">
        <f t="shared" si="81"/>
        <v>1</v>
      </c>
      <c r="L1324" s="8">
        <v>41646</v>
      </c>
      <c r="M1324" t="str">
        <f t="shared" ca="1" si="82"/>
        <v>12 years, 1 months</v>
      </c>
      <c r="N1324" s="6">
        <v>36</v>
      </c>
      <c r="O1324">
        <v>48</v>
      </c>
      <c r="P1324">
        <v>105</v>
      </c>
      <c r="Q1324">
        <f t="shared" si="83"/>
        <v>153</v>
      </c>
      <c r="R1324">
        <v>5</v>
      </c>
      <c r="S1324">
        <v>12</v>
      </c>
      <c r="T1324">
        <f>Table[[#This Row],[NumWebPurchases]]+Table[[#This Row],[NumStorePurchases]]</f>
        <v>17</v>
      </c>
    </row>
    <row r="1325" spans="1:20" ht="12.5">
      <c r="A1325" s="6">
        <v>1323</v>
      </c>
      <c r="B1325" s="6">
        <v>10971</v>
      </c>
      <c r="C1325" s="6">
        <v>1977</v>
      </c>
      <c r="D1325" s="6">
        <f t="shared" si="80"/>
        <v>48</v>
      </c>
      <c r="E1325" s="7" t="s">
        <v>9</v>
      </c>
      <c r="F1325" s="7" t="s">
        <v>10</v>
      </c>
      <c r="G1325" s="6">
        <v>37774</v>
      </c>
      <c r="H1325" s="6" t="str" cm="1">
        <f t="array" ref="H1325">_xlfn.IFS(
  G1325 &lt; 25000, "Low",
  AND(G1325 &gt;= 25000, G1325 &lt; 75000), "Medium",
  AND(G1325 &gt;= 75000, G1325 &lt; 150000), "High",
  G1325 &gt;= 150000, "Very High"
)</f>
        <v>Medium</v>
      </c>
      <c r="I1325" s="6">
        <v>2</v>
      </c>
      <c r="J1325" s="6">
        <v>0</v>
      </c>
      <c r="K1325" s="6">
        <f t="shared" si="81"/>
        <v>2</v>
      </c>
      <c r="L1325" s="8">
        <v>41155</v>
      </c>
      <c r="M1325" t="str">
        <f t="shared" ca="1" si="82"/>
        <v>13 years, 6 months</v>
      </c>
      <c r="N1325" s="6">
        <v>28</v>
      </c>
      <c r="O1325">
        <v>8</v>
      </c>
      <c r="P1325">
        <v>2</v>
      </c>
      <c r="Q1325">
        <f t="shared" si="83"/>
        <v>10</v>
      </c>
      <c r="R1325">
        <v>7</v>
      </c>
      <c r="S1325">
        <v>3</v>
      </c>
      <c r="T1325">
        <f>Table[[#This Row],[NumWebPurchases]]+Table[[#This Row],[NumStorePurchases]]</f>
        <v>10</v>
      </c>
    </row>
    <row r="1326" spans="1:20" ht="12.5">
      <c r="A1326" s="6">
        <v>1324</v>
      </c>
      <c r="B1326" s="6">
        <v>6398</v>
      </c>
      <c r="C1326" s="6">
        <v>1974</v>
      </c>
      <c r="D1326" s="6">
        <f t="shared" si="80"/>
        <v>51</v>
      </c>
      <c r="E1326" s="7" t="s">
        <v>16</v>
      </c>
      <c r="F1326" s="7" t="s">
        <v>13</v>
      </c>
      <c r="G1326" s="6">
        <v>18393</v>
      </c>
      <c r="H1326" s="6" t="str" cm="1">
        <f t="array" ref="H1326">_xlfn.IFS(
  G1326 &lt; 25000, "Low",
  AND(G1326 &gt;= 25000, G1326 &lt; 75000), "Medium",
  AND(G1326 &gt;= 75000, G1326 &lt; 150000), "High",
  G1326 &gt;= 150000, "Very High"
)</f>
        <v>Low</v>
      </c>
      <c r="I1326" s="6">
        <v>1</v>
      </c>
      <c r="J1326" s="6">
        <v>0</v>
      </c>
      <c r="K1326" s="6">
        <f t="shared" si="81"/>
        <v>1</v>
      </c>
      <c r="L1326" s="8">
        <v>41727</v>
      </c>
      <c r="M1326" t="str">
        <f t="shared" ca="1" si="82"/>
        <v>11 years, 11 months</v>
      </c>
      <c r="N1326" s="6">
        <v>2</v>
      </c>
      <c r="O1326">
        <v>10</v>
      </c>
      <c r="P1326">
        <v>0</v>
      </c>
      <c r="Q1326">
        <f t="shared" si="83"/>
        <v>10</v>
      </c>
      <c r="R1326">
        <v>3</v>
      </c>
      <c r="S1326">
        <v>3</v>
      </c>
      <c r="T1326">
        <f>Table[[#This Row],[NumWebPurchases]]+Table[[#This Row],[NumStorePurchases]]</f>
        <v>6</v>
      </c>
    </row>
    <row r="1327" spans="1:20" ht="12.5">
      <c r="A1327" s="6">
        <v>1325</v>
      </c>
      <c r="B1327" s="6">
        <v>9212</v>
      </c>
      <c r="C1327" s="6">
        <v>1962</v>
      </c>
      <c r="D1327" s="6">
        <f t="shared" si="80"/>
        <v>63</v>
      </c>
      <c r="E1327" s="7" t="s">
        <v>14</v>
      </c>
      <c r="F1327" s="7" t="s">
        <v>13</v>
      </c>
      <c r="G1327" s="6">
        <v>72828</v>
      </c>
      <c r="H1327" s="6" t="str" cm="1">
        <f t="array" ref="H1327">_xlfn.IFS(
  G1327 &lt; 25000, "Low",
  AND(G1327 &gt;= 25000, G1327 &lt; 75000), "Medium",
  AND(G1327 &gt;= 75000, G1327 &lt; 150000), "High",
  G1327 &gt;= 150000, "Very High"
)</f>
        <v>Medium</v>
      </c>
      <c r="I1327" s="6">
        <v>0</v>
      </c>
      <c r="J1327" s="6">
        <v>1</v>
      </c>
      <c r="K1327" s="6">
        <f t="shared" si="81"/>
        <v>1</v>
      </c>
      <c r="L1327" s="8">
        <v>41319</v>
      </c>
      <c r="M1327" t="str">
        <f t="shared" ca="1" si="82"/>
        <v>13 years, 0 months</v>
      </c>
      <c r="N1327" s="6">
        <v>17</v>
      </c>
      <c r="O1327">
        <v>0</v>
      </c>
      <c r="P1327">
        <v>14</v>
      </c>
      <c r="Q1327">
        <f t="shared" si="83"/>
        <v>14</v>
      </c>
      <c r="R1327">
        <v>6</v>
      </c>
      <c r="S1327">
        <v>13</v>
      </c>
      <c r="T1327">
        <f>Table[[#This Row],[NumWebPurchases]]+Table[[#This Row],[NumStorePurchases]]</f>
        <v>19</v>
      </c>
    </row>
    <row r="1328" spans="1:20" ht="12.5">
      <c r="A1328" s="6">
        <v>1326</v>
      </c>
      <c r="B1328" s="6">
        <v>7937</v>
      </c>
      <c r="C1328" s="6">
        <v>1982</v>
      </c>
      <c r="D1328" s="6">
        <f t="shared" si="80"/>
        <v>43</v>
      </c>
      <c r="E1328" s="7" t="s">
        <v>9</v>
      </c>
      <c r="F1328" s="7" t="s">
        <v>13</v>
      </c>
      <c r="G1328" s="6">
        <v>24711</v>
      </c>
      <c r="H1328" s="6" t="str" cm="1">
        <f t="array" ref="H1328">_xlfn.IFS(
  G1328 &lt; 25000, "Low",
  AND(G1328 &gt;= 25000, G1328 &lt; 75000), "Medium",
  AND(G1328 &gt;= 75000, G1328 &lt; 150000), "High",
  G1328 &gt;= 150000, "Very High"
)</f>
        <v>Low</v>
      </c>
      <c r="I1328" s="6">
        <v>0</v>
      </c>
      <c r="J1328" s="6">
        <v>0</v>
      </c>
      <c r="K1328" s="6">
        <f t="shared" si="81"/>
        <v>0</v>
      </c>
      <c r="L1328" s="8">
        <v>41747</v>
      </c>
      <c r="M1328" t="str">
        <f t="shared" ca="1" si="82"/>
        <v>11 years, 10 months</v>
      </c>
      <c r="N1328" s="6">
        <v>86</v>
      </c>
      <c r="O1328">
        <v>7</v>
      </c>
      <c r="P1328">
        <v>3</v>
      </c>
      <c r="Q1328">
        <f t="shared" si="83"/>
        <v>10</v>
      </c>
      <c r="R1328">
        <v>3</v>
      </c>
      <c r="S1328">
        <v>3</v>
      </c>
      <c r="T1328">
        <f>Table[[#This Row],[NumWebPurchases]]+Table[[#This Row],[NumStorePurchases]]</f>
        <v>6</v>
      </c>
    </row>
    <row r="1329" spans="1:20" ht="12.5">
      <c r="A1329" s="6">
        <v>1327</v>
      </c>
      <c r="B1329" s="6">
        <v>839</v>
      </c>
      <c r="C1329" s="6">
        <v>1975</v>
      </c>
      <c r="D1329" s="6">
        <f t="shared" si="80"/>
        <v>50</v>
      </c>
      <c r="E1329" s="7" t="s">
        <v>12</v>
      </c>
      <c r="F1329" s="7" t="s">
        <v>13</v>
      </c>
      <c r="G1329" s="6">
        <v>45503</v>
      </c>
      <c r="H1329" s="6" t="str" cm="1">
        <f t="array" ref="H1329">_xlfn.IFS(
  G1329 &lt; 25000, "Low",
  AND(G1329 &gt;= 25000, G1329 &lt; 75000), "Medium",
  AND(G1329 &gt;= 75000, G1329 &lt; 150000), "High",
  G1329 &gt;= 150000, "Very High"
)</f>
        <v>Medium</v>
      </c>
      <c r="I1329" s="6">
        <v>1</v>
      </c>
      <c r="J1329" s="6">
        <v>0</v>
      </c>
      <c r="K1329" s="6">
        <f t="shared" si="81"/>
        <v>1</v>
      </c>
      <c r="L1329" s="8">
        <v>41542</v>
      </c>
      <c r="M1329" t="str">
        <f t="shared" ca="1" si="82"/>
        <v>12 years, 5 months</v>
      </c>
      <c r="N1329" s="6">
        <v>54</v>
      </c>
      <c r="O1329">
        <v>4</v>
      </c>
      <c r="P1329">
        <v>1</v>
      </c>
      <c r="Q1329">
        <f t="shared" si="83"/>
        <v>5</v>
      </c>
      <c r="R1329">
        <v>3</v>
      </c>
      <c r="S1329">
        <v>4</v>
      </c>
      <c r="T1329">
        <f>Table[[#This Row],[NumWebPurchases]]+Table[[#This Row],[NumStorePurchases]]</f>
        <v>7</v>
      </c>
    </row>
    <row r="1330" spans="1:20" ht="12.5">
      <c r="A1330" s="6">
        <v>1328</v>
      </c>
      <c r="B1330" s="6">
        <v>4246</v>
      </c>
      <c r="C1330" s="6">
        <v>1982</v>
      </c>
      <c r="D1330" s="6">
        <f t="shared" si="80"/>
        <v>43</v>
      </c>
      <c r="E1330" s="7" t="s">
        <v>14</v>
      </c>
      <c r="F1330" s="7" t="s">
        <v>10</v>
      </c>
      <c r="G1330" s="6">
        <v>6560</v>
      </c>
      <c r="H1330" s="6" t="str" cm="1">
        <f t="array" ref="H1330">_xlfn.IFS(
  G1330 &lt; 25000, "Low",
  AND(G1330 &gt;= 25000, G1330 &lt; 75000), "Medium",
  AND(G1330 &gt;= 75000, G1330 &lt; 150000), "High",
  G1330 &gt;= 150000, "Very High"
)</f>
        <v>Low</v>
      </c>
      <c r="I1330" s="6">
        <v>0</v>
      </c>
      <c r="J1330" s="6">
        <v>0</v>
      </c>
      <c r="K1330" s="6">
        <f t="shared" si="81"/>
        <v>0</v>
      </c>
      <c r="L1330" s="9">
        <v>41620</v>
      </c>
      <c r="M1330" t="str">
        <f t="shared" ca="1" si="82"/>
        <v>12 years, 2 months</v>
      </c>
      <c r="N1330" s="6">
        <v>2</v>
      </c>
      <c r="O1330">
        <v>11</v>
      </c>
      <c r="P1330">
        <v>3</v>
      </c>
      <c r="Q1330">
        <f t="shared" si="83"/>
        <v>14</v>
      </c>
      <c r="R1330">
        <v>1</v>
      </c>
      <c r="S1330">
        <v>1</v>
      </c>
      <c r="T1330">
        <f>Table[[#This Row],[NumWebPurchases]]+Table[[#This Row],[NumStorePurchases]]</f>
        <v>2</v>
      </c>
    </row>
    <row r="1331" spans="1:20" ht="12.5">
      <c r="A1331" s="6">
        <v>1329</v>
      </c>
      <c r="B1331" s="6">
        <v>158</v>
      </c>
      <c r="C1331" s="6">
        <v>1945</v>
      </c>
      <c r="D1331" s="6">
        <f t="shared" si="80"/>
        <v>80</v>
      </c>
      <c r="E1331" s="7" t="s">
        <v>12</v>
      </c>
      <c r="F1331" s="7" t="s">
        <v>11</v>
      </c>
      <c r="G1331" s="6">
        <v>71604</v>
      </c>
      <c r="H1331" s="6" t="str" cm="1">
        <f t="array" ref="H1331">_xlfn.IFS(
  G1331 &lt; 25000, "Low",
  AND(G1331 &gt;= 25000, G1331 &lt; 75000), "Medium",
  AND(G1331 &gt;= 75000, G1331 &lt; 150000), "High",
  G1331 &gt;= 150000, "Very High"
)</f>
        <v>Medium</v>
      </c>
      <c r="I1331" s="6">
        <v>0</v>
      </c>
      <c r="J1331" s="6">
        <v>0</v>
      </c>
      <c r="K1331" s="6">
        <f t="shared" si="81"/>
        <v>0</v>
      </c>
      <c r="L1331" s="9">
        <v>41595</v>
      </c>
      <c r="M1331" t="str">
        <f t="shared" ca="1" si="82"/>
        <v>12 years, 3 months</v>
      </c>
      <c r="N1331" s="6">
        <v>3</v>
      </c>
      <c r="O1331">
        <v>53</v>
      </c>
      <c r="P1331">
        <v>75</v>
      </c>
      <c r="Q1331">
        <f t="shared" si="83"/>
        <v>128</v>
      </c>
      <c r="R1331">
        <v>8</v>
      </c>
      <c r="S1331">
        <v>5</v>
      </c>
      <c r="T1331">
        <f>Table[[#This Row],[NumWebPurchases]]+Table[[#This Row],[NumStorePurchases]]</f>
        <v>13</v>
      </c>
    </row>
    <row r="1332" spans="1:20" ht="12.5">
      <c r="A1332" s="6">
        <v>1330</v>
      </c>
      <c r="B1332" s="6">
        <v>4832</v>
      </c>
      <c r="C1332" s="6">
        <v>1979</v>
      </c>
      <c r="D1332" s="6">
        <f t="shared" si="80"/>
        <v>46</v>
      </c>
      <c r="E1332" s="7" t="s">
        <v>9</v>
      </c>
      <c r="F1332" s="7" t="s">
        <v>13</v>
      </c>
      <c r="G1332" s="6">
        <v>27244</v>
      </c>
      <c r="H1332" s="6" t="str" cm="1">
        <f t="array" ref="H1332">_xlfn.IFS(
  G1332 &lt; 25000, "Low",
  AND(G1332 &gt;= 25000, G1332 &lt; 75000), "Medium",
  AND(G1332 &gt;= 75000, G1332 &lt; 150000), "High",
  G1332 &gt;= 150000, "Very High"
)</f>
        <v>Medium</v>
      </c>
      <c r="I1332" s="6">
        <v>1</v>
      </c>
      <c r="J1332" s="6">
        <v>0</v>
      </c>
      <c r="K1332" s="6">
        <f t="shared" si="81"/>
        <v>1</v>
      </c>
      <c r="L1332" s="8">
        <v>41705</v>
      </c>
      <c r="M1332" t="str">
        <f t="shared" ca="1" si="82"/>
        <v>11 years, 11 months</v>
      </c>
      <c r="N1332" s="6">
        <v>84</v>
      </c>
      <c r="O1332">
        <v>5</v>
      </c>
      <c r="P1332">
        <v>24</v>
      </c>
      <c r="Q1332">
        <f t="shared" si="83"/>
        <v>29</v>
      </c>
      <c r="R1332">
        <v>2</v>
      </c>
      <c r="S1332">
        <v>2</v>
      </c>
      <c r="T1332">
        <f>Table[[#This Row],[NumWebPurchases]]+Table[[#This Row],[NumStorePurchases]]</f>
        <v>4</v>
      </c>
    </row>
    <row r="1333" spans="1:20" ht="12.5">
      <c r="A1333" s="6">
        <v>1331</v>
      </c>
      <c r="B1333" s="6">
        <v>5621</v>
      </c>
      <c r="C1333" s="6">
        <v>1969</v>
      </c>
      <c r="D1333" s="6">
        <f t="shared" si="80"/>
        <v>56</v>
      </c>
      <c r="E1333" s="7" t="s">
        <v>9</v>
      </c>
      <c r="F1333" s="7" t="s">
        <v>13</v>
      </c>
      <c r="G1333" s="6">
        <v>48752</v>
      </c>
      <c r="H1333" s="6" t="str" cm="1">
        <f t="array" ref="H1333">_xlfn.IFS(
  G1333 &lt; 25000, "Low",
  AND(G1333 &gt;= 25000, G1333 &lt; 75000), "Medium",
  AND(G1333 &gt;= 75000, G1333 &lt; 150000), "High",
  G1333 &gt;= 150000, "Very High"
)</f>
        <v>Medium</v>
      </c>
      <c r="I1333" s="6">
        <v>1</v>
      </c>
      <c r="J1333" s="6">
        <v>1</v>
      </c>
      <c r="K1333" s="6">
        <f t="shared" si="81"/>
        <v>2</v>
      </c>
      <c r="L1333" s="9">
        <v>41255</v>
      </c>
      <c r="M1333" t="str">
        <f t="shared" ca="1" si="82"/>
        <v>13 years, 2 months</v>
      </c>
      <c r="N1333" s="6">
        <v>8</v>
      </c>
      <c r="O1333">
        <v>57</v>
      </c>
      <c r="P1333">
        <v>15</v>
      </c>
      <c r="Q1333">
        <f t="shared" si="83"/>
        <v>72</v>
      </c>
      <c r="R1333">
        <v>6</v>
      </c>
      <c r="S1333">
        <v>5</v>
      </c>
      <c r="T1333">
        <f>Table[[#This Row],[NumWebPurchases]]+Table[[#This Row],[NumStorePurchases]]</f>
        <v>11</v>
      </c>
    </row>
    <row r="1334" spans="1:20" ht="12.5">
      <c r="A1334" s="6">
        <v>1332</v>
      </c>
      <c r="B1334" s="6">
        <v>1945</v>
      </c>
      <c r="C1334" s="6">
        <v>1962</v>
      </c>
      <c r="D1334" s="6">
        <f t="shared" si="80"/>
        <v>63</v>
      </c>
      <c r="E1334" s="7" t="s">
        <v>9</v>
      </c>
      <c r="F1334" s="7" t="s">
        <v>13</v>
      </c>
      <c r="G1334" s="6">
        <v>71434</v>
      </c>
      <c r="H1334" s="6" t="str" cm="1">
        <f t="array" ref="H1334">_xlfn.IFS(
  G1334 &lt; 25000, "Low",
  AND(G1334 &gt;= 25000, G1334 &lt; 75000), "Medium",
  AND(G1334 &gt;= 75000, G1334 &lt; 150000), "High",
  G1334 &gt;= 150000, "Very High"
)</f>
        <v>Medium</v>
      </c>
      <c r="I1334" s="6">
        <v>0</v>
      </c>
      <c r="J1334" s="6">
        <v>1</v>
      </c>
      <c r="K1334" s="6">
        <f t="shared" si="81"/>
        <v>1</v>
      </c>
      <c r="L1334" s="8">
        <v>41535</v>
      </c>
      <c r="M1334" t="str">
        <f t="shared" ca="1" si="82"/>
        <v>12 years, 5 months</v>
      </c>
      <c r="N1334" s="6">
        <v>4</v>
      </c>
      <c r="O1334">
        <v>36</v>
      </c>
      <c r="P1334">
        <v>96</v>
      </c>
      <c r="Q1334">
        <f t="shared" si="83"/>
        <v>132</v>
      </c>
      <c r="R1334">
        <v>7</v>
      </c>
      <c r="S1334">
        <v>7</v>
      </c>
      <c r="T1334">
        <f>Table[[#This Row],[NumWebPurchases]]+Table[[#This Row],[NumStorePurchases]]</f>
        <v>14</v>
      </c>
    </row>
    <row r="1335" spans="1:20" ht="12.5">
      <c r="A1335" s="6">
        <v>1333</v>
      </c>
      <c r="B1335" s="6">
        <v>5147</v>
      </c>
      <c r="C1335" s="6">
        <v>1948</v>
      </c>
      <c r="D1335" s="6">
        <f t="shared" si="80"/>
        <v>77</v>
      </c>
      <c r="E1335" s="7" t="s">
        <v>9</v>
      </c>
      <c r="F1335" s="7" t="s">
        <v>10</v>
      </c>
      <c r="G1335" s="6">
        <v>90842</v>
      </c>
      <c r="H1335" s="6" t="str" cm="1">
        <f t="array" ref="H1335">_xlfn.IFS(
  G1335 &lt; 25000, "Low",
  AND(G1335 &gt;= 25000, G1335 &lt; 75000), "Medium",
  AND(G1335 &gt;= 75000, G1335 &lt; 150000), "High",
  G1335 &gt;= 150000, "Very High"
)</f>
        <v>High</v>
      </c>
      <c r="I1335" s="6">
        <v>0</v>
      </c>
      <c r="J1335" s="6">
        <v>0</v>
      </c>
      <c r="K1335" s="6">
        <f t="shared" si="81"/>
        <v>0</v>
      </c>
      <c r="L1335" s="8">
        <v>41484</v>
      </c>
      <c r="M1335" t="str">
        <f t="shared" ca="1" si="82"/>
        <v>12 years, 7 months</v>
      </c>
      <c r="N1335" s="6">
        <v>57</v>
      </c>
      <c r="O1335">
        <v>70</v>
      </c>
      <c r="P1335">
        <v>187</v>
      </c>
      <c r="Q1335">
        <f t="shared" si="83"/>
        <v>257</v>
      </c>
      <c r="R1335">
        <v>4</v>
      </c>
      <c r="S1335">
        <v>13</v>
      </c>
      <c r="T1335">
        <f>Table[[#This Row],[NumWebPurchases]]+Table[[#This Row],[NumStorePurchases]]</f>
        <v>17</v>
      </c>
    </row>
    <row r="1336" spans="1:20" ht="12.5">
      <c r="A1336" s="6">
        <v>1334</v>
      </c>
      <c r="B1336" s="6">
        <v>2535</v>
      </c>
      <c r="C1336" s="6">
        <v>1978</v>
      </c>
      <c r="D1336" s="6">
        <f t="shared" si="80"/>
        <v>47</v>
      </c>
      <c r="E1336" s="7" t="s">
        <v>14</v>
      </c>
      <c r="F1336" s="7" t="s">
        <v>13</v>
      </c>
      <c r="G1336" s="6">
        <v>88097</v>
      </c>
      <c r="H1336" s="6" t="str" cm="1">
        <f t="array" ref="H1336">_xlfn.IFS(
  G1336 &lt; 25000, "Low",
  AND(G1336 &gt;= 25000, G1336 &lt; 75000), "Medium",
  AND(G1336 &gt;= 75000, G1336 &lt; 150000), "High",
  G1336 &gt;= 150000, "Very High"
)</f>
        <v>High</v>
      </c>
      <c r="I1336" s="6">
        <v>1</v>
      </c>
      <c r="J1336" s="6">
        <v>0</v>
      </c>
      <c r="K1336" s="6">
        <f t="shared" si="81"/>
        <v>1</v>
      </c>
      <c r="L1336" s="8">
        <v>41139</v>
      </c>
      <c r="M1336" t="str">
        <f t="shared" ca="1" si="82"/>
        <v>13 years, 6 months</v>
      </c>
      <c r="N1336" s="6">
        <v>24</v>
      </c>
      <c r="O1336">
        <v>0</v>
      </c>
      <c r="P1336">
        <v>126</v>
      </c>
      <c r="Q1336">
        <f t="shared" si="83"/>
        <v>126</v>
      </c>
      <c r="R1336">
        <v>6</v>
      </c>
      <c r="S1336">
        <v>8</v>
      </c>
      <c r="T1336">
        <f>Table[[#This Row],[NumWebPurchases]]+Table[[#This Row],[NumStorePurchases]]</f>
        <v>14</v>
      </c>
    </row>
    <row r="1337" spans="1:20" ht="12.5">
      <c r="A1337" s="6">
        <v>1335</v>
      </c>
      <c r="B1337" s="6">
        <v>11039</v>
      </c>
      <c r="C1337" s="6">
        <v>1975</v>
      </c>
      <c r="D1337" s="6">
        <f t="shared" si="80"/>
        <v>50</v>
      </c>
      <c r="E1337" s="7" t="s">
        <v>9</v>
      </c>
      <c r="F1337" s="7" t="s">
        <v>13</v>
      </c>
      <c r="G1337" s="6">
        <v>51948</v>
      </c>
      <c r="H1337" s="6" t="str" cm="1">
        <f t="array" ref="H1337">_xlfn.IFS(
  G1337 &lt; 25000, "Low",
  AND(G1337 &gt;= 25000, G1337 &lt; 75000), "Medium",
  AND(G1337 &gt;= 75000, G1337 &lt; 150000), "High",
  G1337 &gt;= 150000, "Very High"
)</f>
        <v>Medium</v>
      </c>
      <c r="I1337" s="6">
        <v>0</v>
      </c>
      <c r="J1337" s="6">
        <v>1</v>
      </c>
      <c r="K1337" s="6">
        <f t="shared" si="81"/>
        <v>1</v>
      </c>
      <c r="L1337" s="8">
        <v>41534</v>
      </c>
      <c r="M1337" t="str">
        <f t="shared" ca="1" si="82"/>
        <v>12 years, 5 months</v>
      </c>
      <c r="N1337" s="6">
        <v>51</v>
      </c>
      <c r="O1337">
        <v>33</v>
      </c>
      <c r="P1337">
        <v>30</v>
      </c>
      <c r="Q1337">
        <f t="shared" si="83"/>
        <v>63</v>
      </c>
      <c r="R1337">
        <v>5</v>
      </c>
      <c r="S1337">
        <v>4</v>
      </c>
      <c r="T1337">
        <f>Table[[#This Row],[NumWebPurchases]]+Table[[#This Row],[NumStorePurchases]]</f>
        <v>9</v>
      </c>
    </row>
    <row r="1338" spans="1:20" ht="12.5">
      <c r="A1338" s="6">
        <v>1336</v>
      </c>
      <c r="B1338" s="6">
        <v>9495</v>
      </c>
      <c r="C1338" s="6">
        <v>1982</v>
      </c>
      <c r="D1338" s="6">
        <f t="shared" si="80"/>
        <v>43</v>
      </c>
      <c r="E1338" s="7" t="s">
        <v>9</v>
      </c>
      <c r="F1338" s="7" t="s">
        <v>11</v>
      </c>
      <c r="G1338" s="6">
        <v>71853</v>
      </c>
      <c r="H1338" s="6" t="str" cm="1">
        <f t="array" ref="H1338">_xlfn.IFS(
  G1338 &lt; 25000, "Low",
  AND(G1338 &gt;= 25000, G1338 &lt; 75000), "Medium",
  AND(G1338 &gt;= 75000, G1338 &lt; 150000), "High",
  G1338 &gt;= 150000, "Very High"
)</f>
        <v>Medium</v>
      </c>
      <c r="I1338" s="6">
        <v>0</v>
      </c>
      <c r="J1338" s="6">
        <v>0</v>
      </c>
      <c r="K1338" s="6">
        <f t="shared" si="81"/>
        <v>0</v>
      </c>
      <c r="L1338" s="8">
        <v>41402</v>
      </c>
      <c r="M1338" t="str">
        <f t="shared" ca="1" si="82"/>
        <v>12 years, 9 months</v>
      </c>
      <c r="N1338" s="6">
        <v>29</v>
      </c>
      <c r="O1338">
        <v>108</v>
      </c>
      <c r="P1338">
        <v>97</v>
      </c>
      <c r="Q1338">
        <f t="shared" si="83"/>
        <v>205</v>
      </c>
      <c r="R1338">
        <v>2</v>
      </c>
      <c r="S1338">
        <v>6</v>
      </c>
      <c r="T1338">
        <f>Table[[#This Row],[NumWebPurchases]]+Table[[#This Row],[NumStorePurchases]]</f>
        <v>8</v>
      </c>
    </row>
    <row r="1339" spans="1:20" ht="12.5">
      <c r="A1339" s="6">
        <v>1337</v>
      </c>
      <c r="B1339" s="6">
        <v>9635</v>
      </c>
      <c r="C1339" s="6">
        <v>1983</v>
      </c>
      <c r="D1339" s="6">
        <f t="shared" si="80"/>
        <v>42</v>
      </c>
      <c r="E1339" s="7" t="s">
        <v>14</v>
      </c>
      <c r="F1339" s="7" t="s">
        <v>13</v>
      </c>
      <c r="G1339" s="6">
        <v>35876</v>
      </c>
      <c r="H1339" s="6" t="str" cm="1">
        <f t="array" ref="H1339">_xlfn.IFS(
  G1339 &lt; 25000, "Low",
  AND(G1339 &gt;= 25000, G1339 &lt; 75000), "Medium",
  AND(G1339 &gt;= 75000, G1339 &lt; 150000), "High",
  G1339 &gt;= 150000, "Very High"
)</f>
        <v>Medium</v>
      </c>
      <c r="I1339" s="6">
        <v>0</v>
      </c>
      <c r="J1339" s="6">
        <v>0</v>
      </c>
      <c r="K1339" s="6">
        <f t="shared" si="81"/>
        <v>0</v>
      </c>
      <c r="L1339" s="8">
        <v>41749</v>
      </c>
      <c r="M1339" t="str">
        <f t="shared" ca="1" si="82"/>
        <v>11 years, 10 months</v>
      </c>
      <c r="N1339" s="6">
        <v>13</v>
      </c>
      <c r="O1339">
        <v>2</v>
      </c>
      <c r="P1339">
        <v>3</v>
      </c>
      <c r="Q1339">
        <f t="shared" si="83"/>
        <v>5</v>
      </c>
      <c r="R1339">
        <v>3</v>
      </c>
      <c r="S1339">
        <v>3</v>
      </c>
      <c r="T1339">
        <f>Table[[#This Row],[NumWebPurchases]]+Table[[#This Row],[NumStorePurchases]]</f>
        <v>6</v>
      </c>
    </row>
    <row r="1340" spans="1:20" ht="12.5">
      <c r="A1340" s="6">
        <v>1338</v>
      </c>
      <c r="B1340" s="6">
        <v>2173</v>
      </c>
      <c r="C1340" s="6">
        <v>1952</v>
      </c>
      <c r="D1340" s="6">
        <f t="shared" si="80"/>
        <v>73</v>
      </c>
      <c r="E1340" s="7" t="s">
        <v>9</v>
      </c>
      <c r="F1340" s="7" t="s">
        <v>18</v>
      </c>
      <c r="G1340" s="6">
        <v>40049</v>
      </c>
      <c r="H1340" s="6" t="str" cm="1">
        <f t="array" ref="H1340">_xlfn.IFS(
  G1340 &lt; 25000, "Low",
  AND(G1340 &gt;= 25000, G1340 &lt; 75000), "Medium",
  AND(G1340 &gt;= 75000, G1340 &lt; 150000), "High",
  G1340 &gt;= 150000, "Very High"
)</f>
        <v>Medium</v>
      </c>
      <c r="I1340" s="6">
        <v>0</v>
      </c>
      <c r="J1340" s="6">
        <v>1</v>
      </c>
      <c r="K1340" s="6">
        <f t="shared" si="81"/>
        <v>1</v>
      </c>
      <c r="L1340" s="9">
        <v>41563</v>
      </c>
      <c r="M1340" t="str">
        <f t="shared" ca="1" si="82"/>
        <v>12 years, 4 months</v>
      </c>
      <c r="N1340" s="6">
        <v>23</v>
      </c>
      <c r="O1340">
        <v>6</v>
      </c>
      <c r="P1340">
        <v>3</v>
      </c>
      <c r="Q1340">
        <f t="shared" si="83"/>
        <v>9</v>
      </c>
      <c r="R1340">
        <v>1</v>
      </c>
      <c r="S1340">
        <v>3</v>
      </c>
      <c r="T1340">
        <f>Table[[#This Row],[NumWebPurchases]]+Table[[#This Row],[NumStorePurchases]]</f>
        <v>4</v>
      </c>
    </row>
    <row r="1341" spans="1:20" ht="12.5">
      <c r="A1341" s="6">
        <v>1339</v>
      </c>
      <c r="B1341" s="6">
        <v>942</v>
      </c>
      <c r="C1341" s="6">
        <v>1982</v>
      </c>
      <c r="D1341" s="6">
        <f t="shared" si="80"/>
        <v>43</v>
      </c>
      <c r="E1341" s="7" t="s">
        <v>9</v>
      </c>
      <c r="F1341" s="7" t="s">
        <v>10</v>
      </c>
      <c r="G1341" s="6">
        <v>39660</v>
      </c>
      <c r="H1341" s="6" t="str" cm="1">
        <f t="array" ref="H1341">_xlfn.IFS(
  G1341 &lt; 25000, "Low",
  AND(G1341 &gt;= 25000, G1341 &lt; 75000), "Medium",
  AND(G1341 &gt;= 75000, G1341 &lt; 150000), "High",
  G1341 &gt;= 150000, "Very High"
)</f>
        <v>Medium</v>
      </c>
      <c r="I1341" s="6">
        <v>1</v>
      </c>
      <c r="J1341" s="6">
        <v>0</v>
      </c>
      <c r="K1341" s="6">
        <f t="shared" si="81"/>
        <v>1</v>
      </c>
      <c r="L1341" s="8">
        <v>41129</v>
      </c>
      <c r="M1341" t="str">
        <f t="shared" ca="1" si="82"/>
        <v>13 years, 6 months</v>
      </c>
      <c r="N1341" s="6">
        <v>36</v>
      </c>
      <c r="O1341">
        <v>13</v>
      </c>
      <c r="P1341">
        <v>13</v>
      </c>
      <c r="Q1341">
        <f t="shared" si="83"/>
        <v>26</v>
      </c>
      <c r="R1341">
        <v>7</v>
      </c>
      <c r="S1341">
        <v>3</v>
      </c>
      <c r="T1341">
        <f>Table[[#This Row],[NumWebPurchases]]+Table[[#This Row],[NumStorePurchases]]</f>
        <v>10</v>
      </c>
    </row>
    <row r="1342" spans="1:20" ht="12.5">
      <c r="A1342" s="6">
        <v>1340</v>
      </c>
      <c r="B1342" s="6">
        <v>9386</v>
      </c>
      <c r="C1342" s="6">
        <v>1962</v>
      </c>
      <c r="D1342" s="6">
        <f t="shared" si="80"/>
        <v>63</v>
      </c>
      <c r="E1342" s="7" t="s">
        <v>9</v>
      </c>
      <c r="F1342" s="7" t="s">
        <v>11</v>
      </c>
      <c r="G1342" s="6">
        <v>50127</v>
      </c>
      <c r="H1342" s="6" t="str" cm="1">
        <f t="array" ref="H1342">_xlfn.IFS(
  G1342 &lt; 25000, "Low",
  AND(G1342 &gt;= 25000, G1342 &lt; 75000), "Medium",
  AND(G1342 &gt;= 75000, G1342 &lt; 150000), "High",
  G1342 &gt;= 150000, "Very High"
)</f>
        <v>Medium</v>
      </c>
      <c r="I1342" s="6">
        <v>0</v>
      </c>
      <c r="J1342" s="6">
        <v>1</v>
      </c>
      <c r="K1342" s="6">
        <f t="shared" si="81"/>
        <v>1</v>
      </c>
      <c r="L1342" s="8">
        <v>41788</v>
      </c>
      <c r="M1342" t="str">
        <f t="shared" ca="1" si="82"/>
        <v>11 years, 9 months</v>
      </c>
      <c r="N1342" s="6">
        <v>88</v>
      </c>
      <c r="O1342">
        <v>0</v>
      </c>
      <c r="P1342">
        <v>6</v>
      </c>
      <c r="Q1342">
        <f t="shared" si="83"/>
        <v>6</v>
      </c>
      <c r="R1342">
        <v>5</v>
      </c>
      <c r="S1342">
        <v>6</v>
      </c>
      <c r="T1342">
        <f>Table[[#This Row],[NumWebPurchases]]+Table[[#This Row],[NumStorePurchases]]</f>
        <v>11</v>
      </c>
    </row>
    <row r="1343" spans="1:20" ht="12.5">
      <c r="A1343" s="6">
        <v>1341</v>
      </c>
      <c r="B1343" s="6">
        <v>5510</v>
      </c>
      <c r="C1343" s="6">
        <v>1977</v>
      </c>
      <c r="D1343" s="6">
        <f t="shared" si="80"/>
        <v>48</v>
      </c>
      <c r="E1343" s="7" t="s">
        <v>14</v>
      </c>
      <c r="F1343" s="7" t="s">
        <v>13</v>
      </c>
      <c r="G1343" s="6">
        <v>43263</v>
      </c>
      <c r="H1343" s="6" t="str" cm="1">
        <f t="array" ref="H1343">_xlfn.IFS(
  G1343 &lt; 25000, "Low",
  AND(G1343 &gt;= 25000, G1343 &lt; 75000), "Medium",
  AND(G1343 &gt;= 75000, G1343 &lt; 150000), "High",
  G1343 &gt;= 150000, "Very High"
)</f>
        <v>Medium</v>
      </c>
      <c r="I1343" s="6">
        <v>0</v>
      </c>
      <c r="J1343" s="6">
        <v>1</v>
      </c>
      <c r="K1343" s="6">
        <f t="shared" si="81"/>
        <v>1</v>
      </c>
      <c r="L1343" s="9">
        <v>41234</v>
      </c>
      <c r="M1343" t="str">
        <f t="shared" ca="1" si="82"/>
        <v>13 years, 3 months</v>
      </c>
      <c r="N1343" s="6">
        <v>2</v>
      </c>
      <c r="O1343">
        <v>6</v>
      </c>
      <c r="P1343">
        <v>10</v>
      </c>
      <c r="Q1343">
        <f t="shared" si="83"/>
        <v>16</v>
      </c>
      <c r="R1343">
        <v>5</v>
      </c>
      <c r="S1343">
        <v>6</v>
      </c>
      <c r="T1343">
        <f>Table[[#This Row],[NumWebPurchases]]+Table[[#This Row],[NumStorePurchases]]</f>
        <v>11</v>
      </c>
    </row>
    <row r="1344" spans="1:20" ht="12.5">
      <c r="A1344" s="6">
        <v>1342</v>
      </c>
      <c r="B1344" s="6">
        <v>873</v>
      </c>
      <c r="C1344" s="6">
        <v>1949</v>
      </c>
      <c r="D1344" s="6">
        <f t="shared" si="80"/>
        <v>76</v>
      </c>
      <c r="E1344" s="7" t="s">
        <v>14</v>
      </c>
      <c r="F1344" s="7" t="s">
        <v>13</v>
      </c>
      <c r="G1344" s="6">
        <v>62845</v>
      </c>
      <c r="H1344" s="6" t="str" cm="1">
        <f t="array" ref="H1344">_xlfn.IFS(
  G1344 &lt; 25000, "Low",
  AND(G1344 &gt;= 25000, G1344 &lt; 75000), "Medium",
  AND(G1344 &gt;= 75000, G1344 &lt; 150000), "High",
  G1344 &gt;= 150000, "Very High"
)</f>
        <v>Medium</v>
      </c>
      <c r="I1344" s="6">
        <v>1</v>
      </c>
      <c r="J1344" s="6">
        <v>1</v>
      </c>
      <c r="K1344" s="6">
        <f t="shared" si="81"/>
        <v>2</v>
      </c>
      <c r="L1344" s="8">
        <v>41183</v>
      </c>
      <c r="M1344" t="str">
        <f t="shared" ca="1" si="82"/>
        <v>13 years, 5 months</v>
      </c>
      <c r="N1344" s="6">
        <v>3</v>
      </c>
      <c r="O1344">
        <v>0</v>
      </c>
      <c r="P1344">
        <v>0</v>
      </c>
      <c r="Q1344">
        <f t="shared" si="83"/>
        <v>0</v>
      </c>
      <c r="R1344">
        <v>3</v>
      </c>
      <c r="S1344">
        <v>10</v>
      </c>
      <c r="T1344">
        <f>Table[[#This Row],[NumWebPurchases]]+Table[[#This Row],[NumStorePurchases]]</f>
        <v>13</v>
      </c>
    </row>
    <row r="1345" spans="1:20" ht="12.5">
      <c r="A1345" s="6">
        <v>1343</v>
      </c>
      <c r="B1345" s="6">
        <v>2253</v>
      </c>
      <c r="C1345" s="6">
        <v>1990</v>
      </c>
      <c r="D1345" s="6">
        <f t="shared" si="80"/>
        <v>35</v>
      </c>
      <c r="E1345" s="7" t="s">
        <v>9</v>
      </c>
      <c r="F1345" s="7" t="s">
        <v>13</v>
      </c>
      <c r="G1345" s="6">
        <v>18929</v>
      </c>
      <c r="H1345" s="6" t="str" cm="1">
        <f t="array" ref="H1345">_xlfn.IFS(
  G1345 &lt; 25000, "Low",
  AND(G1345 &gt;= 25000, G1345 &lt; 75000), "Medium",
  AND(G1345 &gt;= 75000, G1345 &lt; 150000), "High",
  G1345 &gt;= 150000, "Very High"
)</f>
        <v>Low</v>
      </c>
      <c r="I1345" s="6">
        <v>0</v>
      </c>
      <c r="J1345" s="6">
        <v>0</v>
      </c>
      <c r="K1345" s="6">
        <f t="shared" si="81"/>
        <v>0</v>
      </c>
      <c r="L1345" s="8">
        <v>41321</v>
      </c>
      <c r="M1345" t="str">
        <f t="shared" ca="1" si="82"/>
        <v>13 years, 0 months</v>
      </c>
      <c r="N1345" s="6">
        <v>15</v>
      </c>
      <c r="O1345">
        <v>0</v>
      </c>
      <c r="P1345">
        <v>4</v>
      </c>
      <c r="Q1345">
        <f t="shared" si="83"/>
        <v>4</v>
      </c>
      <c r="R1345">
        <v>1</v>
      </c>
      <c r="S1345">
        <v>4</v>
      </c>
      <c r="T1345">
        <f>Table[[#This Row],[NumWebPurchases]]+Table[[#This Row],[NumStorePurchases]]</f>
        <v>5</v>
      </c>
    </row>
    <row r="1346" spans="1:20" ht="12.5">
      <c r="A1346" s="6">
        <v>1344</v>
      </c>
      <c r="B1346" s="6">
        <v>5181</v>
      </c>
      <c r="C1346" s="6">
        <v>1982</v>
      </c>
      <c r="D1346" s="6">
        <f t="shared" si="80"/>
        <v>43</v>
      </c>
      <c r="E1346" s="7" t="s">
        <v>16</v>
      </c>
      <c r="F1346" s="7" t="s">
        <v>10</v>
      </c>
      <c r="G1346" s="6">
        <v>24367</v>
      </c>
      <c r="H1346" s="6" t="str" cm="1">
        <f t="array" ref="H1346">_xlfn.IFS(
  G1346 &lt; 25000, "Low",
  AND(G1346 &gt;= 25000, G1346 &lt; 75000), "Medium",
  AND(G1346 &gt;= 75000, G1346 &lt; 150000), "High",
  G1346 &gt;= 150000, "Very High"
)</f>
        <v>Low</v>
      </c>
      <c r="I1346" s="6">
        <v>1</v>
      </c>
      <c r="J1346" s="6">
        <v>0</v>
      </c>
      <c r="K1346" s="6">
        <f t="shared" si="81"/>
        <v>1</v>
      </c>
      <c r="L1346" s="8">
        <v>41353</v>
      </c>
      <c r="M1346" t="str">
        <f t="shared" ca="1" si="82"/>
        <v>12 years, 11 months</v>
      </c>
      <c r="N1346" s="6">
        <v>58</v>
      </c>
      <c r="O1346">
        <v>4</v>
      </c>
      <c r="P1346">
        <v>11</v>
      </c>
      <c r="Q1346">
        <f t="shared" si="83"/>
        <v>15</v>
      </c>
      <c r="R1346">
        <v>1</v>
      </c>
      <c r="S1346">
        <v>2</v>
      </c>
      <c r="T1346">
        <f>Table[[#This Row],[NumWebPurchases]]+Table[[#This Row],[NumStorePurchases]]</f>
        <v>3</v>
      </c>
    </row>
    <row r="1347" spans="1:20" ht="12.5">
      <c r="A1347" s="6">
        <v>1345</v>
      </c>
      <c r="B1347" s="6">
        <v>979</v>
      </c>
      <c r="C1347" s="6">
        <v>1975</v>
      </c>
      <c r="D1347" s="6">
        <f t="shared" ref="D1347:D1410" si="84">2025-C1347</f>
        <v>50</v>
      </c>
      <c r="E1347" s="7" t="s">
        <v>9</v>
      </c>
      <c r="F1347" s="7" t="s">
        <v>10</v>
      </c>
      <c r="G1347" s="6">
        <v>33249</v>
      </c>
      <c r="H1347" s="6" t="str" cm="1">
        <f t="array" ref="H1347">_xlfn.IFS(
  G1347 &lt; 25000, "Low",
  AND(G1347 &gt;= 25000, G1347 &lt; 75000), "Medium",
  AND(G1347 &gt;= 75000, G1347 &lt; 150000), "High",
  G1347 &gt;= 150000, "Very High"
)</f>
        <v>Medium</v>
      </c>
      <c r="I1347" s="6">
        <v>1</v>
      </c>
      <c r="J1347" s="6">
        <v>0</v>
      </c>
      <c r="K1347" s="6">
        <f t="shared" ref="K1347:K1410" si="85">I1347+J1347</f>
        <v>1</v>
      </c>
      <c r="L1347" s="8">
        <v>41325</v>
      </c>
      <c r="M1347" t="str">
        <f t="shared" ref="M1347:M1410" ca="1" si="86">DATEDIF(L1347, TODAY(), "Y") &amp; " years, " &amp; DATEDIF(L1347, TODAY(), "YM") &amp; " months"</f>
        <v>13 years, 0 months</v>
      </c>
      <c r="N1347" s="6">
        <v>11</v>
      </c>
      <c r="O1347">
        <v>10</v>
      </c>
      <c r="P1347">
        <v>14</v>
      </c>
      <c r="Q1347">
        <f t="shared" ref="Q1347:Q1410" si="87">O1347+P1347</f>
        <v>24</v>
      </c>
      <c r="R1347">
        <v>2</v>
      </c>
      <c r="S1347">
        <v>3</v>
      </c>
      <c r="T1347">
        <f>Table[[#This Row],[NumWebPurchases]]+Table[[#This Row],[NumStorePurchases]]</f>
        <v>5</v>
      </c>
    </row>
    <row r="1348" spans="1:20" ht="12.5">
      <c r="A1348" s="6">
        <v>1346</v>
      </c>
      <c r="B1348" s="6">
        <v>10390</v>
      </c>
      <c r="C1348" s="6">
        <v>1959</v>
      </c>
      <c r="D1348" s="6">
        <f t="shared" si="84"/>
        <v>66</v>
      </c>
      <c r="E1348" s="7" t="s">
        <v>17</v>
      </c>
      <c r="F1348" s="7" t="s">
        <v>13</v>
      </c>
      <c r="G1348" s="6">
        <v>26887</v>
      </c>
      <c r="H1348" s="6" t="str" cm="1">
        <f t="array" ref="H1348">_xlfn.IFS(
  G1348 &lt; 25000, "Low",
  AND(G1348 &gt;= 25000, G1348 &lt; 75000), "Medium",
  AND(G1348 &gt;= 75000, G1348 &lt; 150000), "High",
  G1348 &gt;= 150000, "Very High"
)</f>
        <v>Medium</v>
      </c>
      <c r="I1348" s="6">
        <v>0</v>
      </c>
      <c r="J1348" s="6">
        <v>1</v>
      </c>
      <c r="K1348" s="6">
        <f t="shared" si="85"/>
        <v>1</v>
      </c>
      <c r="L1348" s="8">
        <v>41315</v>
      </c>
      <c r="M1348" t="str">
        <f t="shared" ca="1" si="86"/>
        <v>13 years, 0 months</v>
      </c>
      <c r="N1348" s="6">
        <v>27</v>
      </c>
      <c r="O1348">
        <v>7</v>
      </c>
      <c r="P1348">
        <v>4</v>
      </c>
      <c r="Q1348">
        <f t="shared" si="87"/>
        <v>11</v>
      </c>
      <c r="R1348">
        <v>1</v>
      </c>
      <c r="S1348">
        <v>3</v>
      </c>
      <c r="T1348">
        <f>Table[[#This Row],[NumWebPurchases]]+Table[[#This Row],[NumStorePurchases]]</f>
        <v>4</v>
      </c>
    </row>
    <row r="1349" spans="1:20" ht="12.5">
      <c r="A1349" s="6">
        <v>1347</v>
      </c>
      <c r="B1349" s="6">
        <v>4698</v>
      </c>
      <c r="C1349" s="6">
        <v>1983</v>
      </c>
      <c r="D1349" s="6">
        <f t="shared" si="84"/>
        <v>42</v>
      </c>
      <c r="E1349" s="7" t="s">
        <v>12</v>
      </c>
      <c r="F1349" s="7" t="s">
        <v>13</v>
      </c>
      <c r="G1349" s="6">
        <v>50150</v>
      </c>
      <c r="H1349" s="6" t="str" cm="1">
        <f t="array" ref="H1349">_xlfn.IFS(
  G1349 &lt; 25000, "Low",
  AND(G1349 &gt;= 25000, G1349 &lt; 75000), "Medium",
  AND(G1349 &gt;= 75000, G1349 &lt; 150000), "High",
  G1349 &gt;= 150000, "Very High"
)</f>
        <v>Medium</v>
      </c>
      <c r="I1349" s="6">
        <v>0</v>
      </c>
      <c r="J1349" s="6">
        <v>0</v>
      </c>
      <c r="K1349" s="6">
        <f t="shared" si="85"/>
        <v>0</v>
      </c>
      <c r="L1349" s="8">
        <v>41445</v>
      </c>
      <c r="M1349" t="str">
        <f t="shared" ca="1" si="86"/>
        <v>12 years, 8 months</v>
      </c>
      <c r="N1349" s="6">
        <v>32</v>
      </c>
      <c r="O1349">
        <v>46</v>
      </c>
      <c r="P1349">
        <v>61</v>
      </c>
      <c r="Q1349">
        <f t="shared" si="87"/>
        <v>107</v>
      </c>
      <c r="R1349">
        <v>5</v>
      </c>
      <c r="S1349">
        <v>7</v>
      </c>
      <c r="T1349">
        <f>Table[[#This Row],[NumWebPurchases]]+Table[[#This Row],[NumStorePurchases]]</f>
        <v>12</v>
      </c>
    </row>
    <row r="1350" spans="1:20" ht="12.5">
      <c r="A1350" s="6">
        <v>1348</v>
      </c>
      <c r="B1350" s="6">
        <v>7793</v>
      </c>
      <c r="C1350" s="6">
        <v>1976</v>
      </c>
      <c r="D1350" s="6">
        <f t="shared" si="84"/>
        <v>49</v>
      </c>
      <c r="E1350" s="7" t="s">
        <v>9</v>
      </c>
      <c r="F1350" s="7" t="s">
        <v>11</v>
      </c>
      <c r="G1350" s="6">
        <v>62061</v>
      </c>
      <c r="H1350" s="6" t="str" cm="1">
        <f t="array" ref="H1350">_xlfn.IFS(
  G1350 &lt; 25000, "Low",
  AND(G1350 &gt;= 25000, G1350 &lt; 75000), "Medium",
  AND(G1350 &gt;= 75000, G1350 &lt; 150000), "High",
  G1350 &gt;= 150000, "Very High"
)</f>
        <v>Medium</v>
      </c>
      <c r="I1350" s="6">
        <v>0</v>
      </c>
      <c r="J1350" s="6">
        <v>1</v>
      </c>
      <c r="K1350" s="6">
        <f t="shared" si="85"/>
        <v>1</v>
      </c>
      <c r="L1350" s="8">
        <v>41517</v>
      </c>
      <c r="M1350" t="str">
        <f t="shared" ca="1" si="86"/>
        <v>12 years, 6 months</v>
      </c>
      <c r="N1350" s="6">
        <v>12</v>
      </c>
      <c r="O1350">
        <v>7</v>
      </c>
      <c r="P1350">
        <v>30</v>
      </c>
      <c r="Q1350">
        <f t="shared" si="87"/>
        <v>37</v>
      </c>
      <c r="R1350">
        <v>10</v>
      </c>
      <c r="S1350">
        <v>7</v>
      </c>
      <c r="T1350">
        <f>Table[[#This Row],[NumWebPurchases]]+Table[[#This Row],[NumStorePurchases]]</f>
        <v>17</v>
      </c>
    </row>
    <row r="1351" spans="1:20" ht="12.5">
      <c r="A1351" s="6">
        <v>1349</v>
      </c>
      <c r="B1351" s="6">
        <v>1745</v>
      </c>
      <c r="C1351" s="6">
        <v>1962</v>
      </c>
      <c r="D1351" s="6">
        <f t="shared" si="84"/>
        <v>63</v>
      </c>
      <c r="E1351" s="7" t="s">
        <v>12</v>
      </c>
      <c r="F1351" s="7" t="s">
        <v>15</v>
      </c>
      <c r="G1351" s="6">
        <v>85696</v>
      </c>
      <c r="H1351" s="6" t="str" cm="1">
        <f t="array" ref="H1351">_xlfn.IFS(
  G1351 &lt; 25000, "Low",
  AND(G1351 &gt;= 25000, G1351 &lt; 75000), "Medium",
  AND(G1351 &gt;= 75000, G1351 &lt; 150000), "High",
  G1351 &gt;= 150000, "Very High"
)</f>
        <v>High</v>
      </c>
      <c r="I1351" s="6">
        <v>0</v>
      </c>
      <c r="J1351" s="6">
        <v>0</v>
      </c>
      <c r="K1351" s="6">
        <f t="shared" si="85"/>
        <v>0</v>
      </c>
      <c r="L1351" s="8">
        <v>41397</v>
      </c>
      <c r="M1351" t="str">
        <f t="shared" ca="1" si="86"/>
        <v>12 years, 10 months</v>
      </c>
      <c r="N1351" s="6">
        <v>88</v>
      </c>
      <c r="O1351">
        <v>76</v>
      </c>
      <c r="P1351">
        <v>0</v>
      </c>
      <c r="Q1351">
        <f t="shared" si="87"/>
        <v>76</v>
      </c>
      <c r="R1351">
        <v>4</v>
      </c>
      <c r="S1351">
        <v>9</v>
      </c>
      <c r="T1351">
        <f>Table[[#This Row],[NumWebPurchases]]+Table[[#This Row],[NumStorePurchases]]</f>
        <v>13</v>
      </c>
    </row>
    <row r="1352" spans="1:20" ht="12.5">
      <c r="A1352" s="6">
        <v>1350</v>
      </c>
      <c r="B1352" s="6">
        <v>10590</v>
      </c>
      <c r="C1352" s="6">
        <v>1956</v>
      </c>
      <c r="D1352" s="6">
        <f t="shared" si="84"/>
        <v>69</v>
      </c>
      <c r="E1352" s="7" t="s">
        <v>12</v>
      </c>
      <c r="F1352" s="7" t="s">
        <v>11</v>
      </c>
      <c r="G1352" s="6">
        <v>76542</v>
      </c>
      <c r="H1352" s="6" t="str" cm="1">
        <f t="array" ref="H1352">_xlfn.IFS(
  G1352 &lt; 25000, "Low",
  AND(G1352 &gt;= 25000, G1352 &lt; 75000), "Medium",
  AND(G1352 &gt;= 75000, G1352 &lt; 150000), "High",
  G1352 &gt;= 150000, "Very High"
)</f>
        <v>High</v>
      </c>
      <c r="I1352" s="6">
        <v>0</v>
      </c>
      <c r="J1352" s="6">
        <v>0</v>
      </c>
      <c r="K1352" s="6">
        <f t="shared" si="85"/>
        <v>0</v>
      </c>
      <c r="L1352" s="8">
        <v>41363</v>
      </c>
      <c r="M1352" t="str">
        <f t="shared" ca="1" si="86"/>
        <v>12 years, 11 months</v>
      </c>
      <c r="N1352" s="6">
        <v>91</v>
      </c>
      <c r="O1352">
        <v>73</v>
      </c>
      <c r="P1352">
        <v>29</v>
      </c>
      <c r="Q1352">
        <f t="shared" si="87"/>
        <v>102</v>
      </c>
      <c r="R1352">
        <v>4</v>
      </c>
      <c r="S1352">
        <v>10</v>
      </c>
      <c r="T1352">
        <f>Table[[#This Row],[NumWebPurchases]]+Table[[#This Row],[NumStorePurchases]]</f>
        <v>14</v>
      </c>
    </row>
    <row r="1353" spans="1:20" ht="12.5">
      <c r="A1353" s="6">
        <v>1351</v>
      </c>
      <c r="B1353" s="6">
        <v>5080</v>
      </c>
      <c r="C1353" s="6">
        <v>1993</v>
      </c>
      <c r="D1353" s="6">
        <f t="shared" si="84"/>
        <v>32</v>
      </c>
      <c r="E1353" s="7" t="s">
        <v>9</v>
      </c>
      <c r="F1353" s="7" t="s">
        <v>10</v>
      </c>
      <c r="G1353" s="6">
        <v>70515</v>
      </c>
      <c r="H1353" s="6" t="str" cm="1">
        <f t="array" ref="H1353">_xlfn.IFS(
  G1353 &lt; 25000, "Low",
  AND(G1353 &gt;= 25000, G1353 &lt; 75000), "Medium",
  AND(G1353 &gt;= 75000, G1353 &lt; 150000), "High",
  G1353 &gt;= 150000, "Very High"
)</f>
        <v>Medium</v>
      </c>
      <c r="I1353" s="6">
        <v>0</v>
      </c>
      <c r="J1353" s="6">
        <v>0</v>
      </c>
      <c r="K1353" s="6">
        <f t="shared" si="85"/>
        <v>0</v>
      </c>
      <c r="L1353" s="9">
        <v>41568</v>
      </c>
      <c r="M1353" t="str">
        <f t="shared" ca="1" si="86"/>
        <v>12 years, 4 months</v>
      </c>
      <c r="N1353" s="6">
        <v>12</v>
      </c>
      <c r="O1353">
        <v>0</v>
      </c>
      <c r="P1353">
        <v>64</v>
      </c>
      <c r="Q1353">
        <f t="shared" si="87"/>
        <v>64</v>
      </c>
      <c r="R1353">
        <v>6</v>
      </c>
      <c r="S1353">
        <v>4</v>
      </c>
      <c r="T1353">
        <f>Table[[#This Row],[NumWebPurchases]]+Table[[#This Row],[NumStorePurchases]]</f>
        <v>10</v>
      </c>
    </row>
    <row r="1354" spans="1:20" ht="12.5">
      <c r="A1354" s="6">
        <v>1352</v>
      </c>
      <c r="B1354" s="6">
        <v>8369</v>
      </c>
      <c r="C1354" s="6">
        <v>1987</v>
      </c>
      <c r="D1354" s="6">
        <f t="shared" si="84"/>
        <v>38</v>
      </c>
      <c r="E1354" s="7" t="s">
        <v>9</v>
      </c>
      <c r="F1354" s="7" t="s">
        <v>11</v>
      </c>
      <c r="G1354" s="6">
        <v>18227</v>
      </c>
      <c r="H1354" s="6" t="str" cm="1">
        <f t="array" ref="H1354">_xlfn.IFS(
  G1354 &lt; 25000, "Low",
  AND(G1354 &gt;= 25000, G1354 &lt; 75000), "Medium",
  AND(G1354 &gt;= 75000, G1354 &lt; 150000), "High",
  G1354 &gt;= 150000, "Very High"
)</f>
        <v>Low</v>
      </c>
      <c r="I1354" s="6">
        <v>1</v>
      </c>
      <c r="J1354" s="6">
        <v>0</v>
      </c>
      <c r="K1354" s="6">
        <f t="shared" si="85"/>
        <v>1</v>
      </c>
      <c r="L1354" s="8">
        <v>41221</v>
      </c>
      <c r="M1354" t="str">
        <f t="shared" ca="1" si="86"/>
        <v>13 years, 3 months</v>
      </c>
      <c r="N1354" s="6">
        <v>21</v>
      </c>
      <c r="O1354">
        <v>2</v>
      </c>
      <c r="P1354">
        <v>3</v>
      </c>
      <c r="Q1354">
        <f t="shared" si="87"/>
        <v>5</v>
      </c>
      <c r="R1354">
        <v>0</v>
      </c>
      <c r="S1354">
        <v>2</v>
      </c>
      <c r="T1354">
        <f>Table[[#This Row],[NumWebPurchases]]+Table[[#This Row],[NumStorePurchases]]</f>
        <v>2</v>
      </c>
    </row>
    <row r="1355" spans="1:20" ht="12.5">
      <c r="A1355" s="6">
        <v>1353</v>
      </c>
      <c r="B1355" s="6">
        <v>5232</v>
      </c>
      <c r="C1355" s="6">
        <v>1965</v>
      </c>
      <c r="D1355" s="6">
        <f t="shared" si="84"/>
        <v>60</v>
      </c>
      <c r="E1355" s="7" t="s">
        <v>9</v>
      </c>
      <c r="F1355" s="7" t="s">
        <v>13</v>
      </c>
      <c r="G1355" s="6">
        <v>69139</v>
      </c>
      <c r="H1355" s="6" t="str" cm="1">
        <f t="array" ref="H1355">_xlfn.IFS(
  G1355 &lt; 25000, "Low",
  AND(G1355 &gt;= 25000, G1355 &lt; 75000), "Medium",
  AND(G1355 &gt;= 75000, G1355 &lt; 150000), "High",
  G1355 &gt;= 150000, "Very High"
)</f>
        <v>Medium</v>
      </c>
      <c r="I1355" s="6">
        <v>0</v>
      </c>
      <c r="J1355" s="6">
        <v>1</v>
      </c>
      <c r="K1355" s="6">
        <f t="shared" si="85"/>
        <v>1</v>
      </c>
      <c r="L1355" s="8">
        <v>41666</v>
      </c>
      <c r="M1355" t="str">
        <f t="shared" ca="1" si="86"/>
        <v>12 years, 1 months</v>
      </c>
      <c r="N1355" s="6">
        <v>23</v>
      </c>
      <c r="O1355">
        <v>12</v>
      </c>
      <c r="P1355">
        <v>15</v>
      </c>
      <c r="Q1355">
        <f t="shared" si="87"/>
        <v>27</v>
      </c>
      <c r="R1355">
        <v>4</v>
      </c>
      <c r="S1355">
        <v>5</v>
      </c>
      <c r="T1355">
        <f>Table[[#This Row],[NumWebPurchases]]+Table[[#This Row],[NumStorePurchases]]</f>
        <v>9</v>
      </c>
    </row>
    <row r="1356" spans="1:20" ht="12.5">
      <c r="A1356" s="6">
        <v>1354</v>
      </c>
      <c r="B1356" s="6">
        <v>2407</v>
      </c>
      <c r="C1356" s="6">
        <v>1982</v>
      </c>
      <c r="D1356" s="6">
        <f t="shared" si="84"/>
        <v>43</v>
      </c>
      <c r="E1356" s="7" t="s">
        <v>9</v>
      </c>
      <c r="F1356" s="7" t="s">
        <v>13</v>
      </c>
      <c r="G1356" s="6">
        <v>69109</v>
      </c>
      <c r="H1356" s="6" t="str" cm="1">
        <f t="array" ref="H1356">_xlfn.IFS(
  G1356 &lt; 25000, "Low",
  AND(G1356 &gt;= 25000, G1356 &lt; 75000), "Medium",
  AND(G1356 &gt;= 75000, G1356 &lt; 150000), "High",
  G1356 &gt;= 150000, "Very High"
)</f>
        <v>Medium</v>
      </c>
      <c r="I1356" s="6">
        <v>0</v>
      </c>
      <c r="J1356" s="6">
        <v>0</v>
      </c>
      <c r="K1356" s="6">
        <f t="shared" si="85"/>
        <v>0</v>
      </c>
      <c r="L1356" s="8">
        <v>41222</v>
      </c>
      <c r="M1356" t="str">
        <f t="shared" ca="1" si="86"/>
        <v>13 years, 3 months</v>
      </c>
      <c r="N1356" s="6">
        <v>10</v>
      </c>
      <c r="O1356">
        <v>25</v>
      </c>
      <c r="P1356">
        <v>29</v>
      </c>
      <c r="Q1356">
        <f t="shared" si="87"/>
        <v>54</v>
      </c>
      <c r="R1356">
        <v>6</v>
      </c>
      <c r="S1356">
        <v>7</v>
      </c>
      <c r="T1356">
        <f>Table[[#This Row],[NumWebPurchases]]+Table[[#This Row],[NumStorePurchases]]</f>
        <v>13</v>
      </c>
    </row>
    <row r="1357" spans="1:20" ht="12.5">
      <c r="A1357" s="6">
        <v>1355</v>
      </c>
      <c r="B1357" s="6">
        <v>3834</v>
      </c>
      <c r="C1357" s="6">
        <v>1962</v>
      </c>
      <c r="D1357" s="6">
        <f t="shared" si="84"/>
        <v>63</v>
      </c>
      <c r="E1357" s="7" t="s">
        <v>9</v>
      </c>
      <c r="F1357" s="7" t="s">
        <v>10</v>
      </c>
      <c r="G1357" s="6">
        <v>69627</v>
      </c>
      <c r="H1357" s="6" t="str" cm="1">
        <f t="array" ref="H1357">_xlfn.IFS(
  G1357 &lt; 25000, "Low",
  AND(G1357 &gt;= 25000, G1357 &lt; 75000), "Medium",
  AND(G1357 &gt;= 75000, G1357 &lt; 150000), "High",
  G1357 &gt;= 150000, "Very High"
)</f>
        <v>Medium</v>
      </c>
      <c r="I1357" s="6">
        <v>0</v>
      </c>
      <c r="J1357" s="6">
        <v>1</v>
      </c>
      <c r="K1357" s="6">
        <f t="shared" si="85"/>
        <v>1</v>
      </c>
      <c r="L1357" s="8">
        <v>41350</v>
      </c>
      <c r="M1357" t="str">
        <f t="shared" ca="1" si="86"/>
        <v>12 years, 11 months</v>
      </c>
      <c r="N1357" s="6">
        <v>35</v>
      </c>
      <c r="O1357">
        <v>161</v>
      </c>
      <c r="P1357">
        <v>30</v>
      </c>
      <c r="Q1357">
        <f t="shared" si="87"/>
        <v>191</v>
      </c>
      <c r="R1357">
        <v>8</v>
      </c>
      <c r="S1357">
        <v>11</v>
      </c>
      <c r="T1357">
        <f>Table[[#This Row],[NumWebPurchases]]+Table[[#This Row],[NumStorePurchases]]</f>
        <v>19</v>
      </c>
    </row>
    <row r="1358" spans="1:20" ht="12.5">
      <c r="A1358" s="6">
        <v>1356</v>
      </c>
      <c r="B1358" s="6">
        <v>7912</v>
      </c>
      <c r="C1358" s="6">
        <v>1978</v>
      </c>
      <c r="D1358" s="6">
        <f t="shared" si="84"/>
        <v>47</v>
      </c>
      <c r="E1358" s="7" t="s">
        <v>9</v>
      </c>
      <c r="F1358" s="7" t="s">
        <v>13</v>
      </c>
      <c r="G1358" s="6">
        <v>38136</v>
      </c>
      <c r="H1358" s="6" t="str" cm="1">
        <f t="array" ref="H1358">_xlfn.IFS(
  G1358 &lt; 25000, "Low",
  AND(G1358 &gt;= 25000, G1358 &lt; 75000), "Medium",
  AND(G1358 &gt;= 75000, G1358 &lt; 150000), "High",
  G1358 &gt;= 150000, "Very High"
)</f>
        <v>Medium</v>
      </c>
      <c r="I1358" s="6">
        <v>1</v>
      </c>
      <c r="J1358" s="6">
        <v>0</v>
      </c>
      <c r="K1358" s="6">
        <f t="shared" si="85"/>
        <v>1</v>
      </c>
      <c r="L1358" s="8">
        <v>41386</v>
      </c>
      <c r="M1358" t="str">
        <f t="shared" ca="1" si="86"/>
        <v>12 years, 10 months</v>
      </c>
      <c r="N1358" s="6">
        <v>69</v>
      </c>
      <c r="O1358">
        <v>15</v>
      </c>
      <c r="P1358">
        <v>20</v>
      </c>
      <c r="Q1358">
        <f t="shared" si="87"/>
        <v>35</v>
      </c>
      <c r="R1358">
        <v>3</v>
      </c>
      <c r="S1358">
        <v>2</v>
      </c>
      <c r="T1358">
        <f>Table[[#This Row],[NumWebPurchases]]+Table[[#This Row],[NumStorePurchases]]</f>
        <v>5</v>
      </c>
    </row>
    <row r="1359" spans="1:20" ht="12.5">
      <c r="A1359" s="6">
        <v>1357</v>
      </c>
      <c r="B1359" s="6">
        <v>7712</v>
      </c>
      <c r="C1359" s="6">
        <v>1946</v>
      </c>
      <c r="D1359" s="6">
        <f t="shared" si="84"/>
        <v>79</v>
      </c>
      <c r="E1359" s="7" t="s">
        <v>12</v>
      </c>
      <c r="F1359" s="7" t="s">
        <v>10</v>
      </c>
      <c r="G1359" s="6">
        <v>62159</v>
      </c>
      <c r="H1359" s="6" t="str" cm="1">
        <f t="array" ref="H1359">_xlfn.IFS(
  G1359 &lt; 25000, "Low",
  AND(G1359 &gt;= 25000, G1359 &lt; 75000), "Medium",
  AND(G1359 &gt;= 75000, G1359 &lt; 150000), "High",
  G1359 &gt;= 150000, "Very High"
)</f>
        <v>Medium</v>
      </c>
      <c r="I1359" s="6">
        <v>0</v>
      </c>
      <c r="J1359" s="6">
        <v>0</v>
      </c>
      <c r="K1359" s="6">
        <f t="shared" si="85"/>
        <v>0</v>
      </c>
      <c r="L1359" s="8">
        <v>41757</v>
      </c>
      <c r="M1359" t="str">
        <f t="shared" ca="1" si="86"/>
        <v>11 years, 10 months</v>
      </c>
      <c r="N1359" s="6">
        <v>68</v>
      </c>
      <c r="O1359">
        <v>17</v>
      </c>
      <c r="P1359">
        <v>70</v>
      </c>
      <c r="Q1359">
        <f t="shared" si="87"/>
        <v>87</v>
      </c>
      <c r="R1359">
        <v>6</v>
      </c>
      <c r="S1359">
        <v>10</v>
      </c>
      <c r="T1359">
        <f>Table[[#This Row],[NumWebPurchases]]+Table[[#This Row],[NumStorePurchases]]</f>
        <v>16</v>
      </c>
    </row>
    <row r="1360" spans="1:20" ht="12.5">
      <c r="A1360" s="6">
        <v>1358</v>
      </c>
      <c r="B1360" s="6">
        <v>1065</v>
      </c>
      <c r="C1360" s="6">
        <v>1963</v>
      </c>
      <c r="D1360" s="6">
        <f t="shared" si="84"/>
        <v>62</v>
      </c>
      <c r="E1360" s="7" t="s">
        <v>9</v>
      </c>
      <c r="F1360" s="7" t="s">
        <v>10</v>
      </c>
      <c r="G1360" s="6">
        <v>80695</v>
      </c>
      <c r="H1360" s="6" t="str" cm="1">
        <f t="array" ref="H1360">_xlfn.IFS(
  G1360 &lt; 25000, "Low",
  AND(G1360 &gt;= 25000, G1360 &lt; 75000), "Medium",
  AND(G1360 &gt;= 75000, G1360 &lt; 150000), "High",
  G1360 &gt;= 150000, "Very High"
)</f>
        <v>High</v>
      </c>
      <c r="I1360" s="6">
        <v>0</v>
      </c>
      <c r="J1360" s="6">
        <v>0</v>
      </c>
      <c r="K1360" s="6">
        <f t="shared" si="85"/>
        <v>0</v>
      </c>
      <c r="L1360" s="9">
        <v>41637</v>
      </c>
      <c r="M1360" t="str">
        <f t="shared" ca="1" si="86"/>
        <v>12 years, 2 months</v>
      </c>
      <c r="N1360" s="6">
        <v>85</v>
      </c>
      <c r="O1360">
        <v>129</v>
      </c>
      <c r="P1360">
        <v>37</v>
      </c>
      <c r="Q1360">
        <f t="shared" si="87"/>
        <v>166</v>
      </c>
      <c r="R1360">
        <v>5</v>
      </c>
      <c r="S1360">
        <v>5</v>
      </c>
      <c r="T1360">
        <f>Table[[#This Row],[NumWebPurchases]]+Table[[#This Row],[NumStorePurchases]]</f>
        <v>10</v>
      </c>
    </row>
    <row r="1361" spans="1:20" ht="12.5">
      <c r="A1361" s="6">
        <v>1359</v>
      </c>
      <c r="B1361" s="6">
        <v>7275</v>
      </c>
      <c r="C1361" s="6">
        <v>1971</v>
      </c>
      <c r="D1361" s="6">
        <f t="shared" si="84"/>
        <v>54</v>
      </c>
      <c r="E1361" s="7" t="s">
        <v>14</v>
      </c>
      <c r="F1361" s="7" t="s">
        <v>10</v>
      </c>
      <c r="G1361" s="6">
        <v>33316</v>
      </c>
      <c r="H1361" s="6" t="str" cm="1">
        <f t="array" ref="H1361">_xlfn.IFS(
  G1361 &lt; 25000, "Low",
  AND(G1361 &gt;= 25000, G1361 &lt; 75000), "Medium",
  AND(G1361 &gt;= 75000, G1361 &lt; 150000), "High",
  G1361 &gt;= 150000, "Very High"
)</f>
        <v>Medium</v>
      </c>
      <c r="I1361" s="6">
        <v>1</v>
      </c>
      <c r="J1361" s="6">
        <v>1</v>
      </c>
      <c r="K1361" s="6">
        <f t="shared" si="85"/>
        <v>2</v>
      </c>
      <c r="L1361" s="8">
        <v>41551</v>
      </c>
      <c r="M1361" t="str">
        <f t="shared" ca="1" si="86"/>
        <v>12 years, 5 months</v>
      </c>
      <c r="N1361" s="6">
        <v>34</v>
      </c>
      <c r="O1361">
        <v>1</v>
      </c>
      <c r="P1361">
        <v>4</v>
      </c>
      <c r="Q1361">
        <f t="shared" si="87"/>
        <v>5</v>
      </c>
      <c r="R1361">
        <v>2</v>
      </c>
      <c r="S1361">
        <v>4</v>
      </c>
      <c r="T1361">
        <f>Table[[#This Row],[NumWebPurchases]]+Table[[#This Row],[NumStorePurchases]]</f>
        <v>6</v>
      </c>
    </row>
    <row r="1362" spans="1:20" ht="12.5">
      <c r="A1362" s="6">
        <v>1360</v>
      </c>
      <c r="B1362" s="6">
        <v>1343</v>
      </c>
      <c r="C1362" s="6">
        <v>1968</v>
      </c>
      <c r="D1362" s="6">
        <f t="shared" si="84"/>
        <v>57</v>
      </c>
      <c r="E1362" s="7" t="s">
        <v>9</v>
      </c>
      <c r="F1362" s="7" t="s">
        <v>11</v>
      </c>
      <c r="G1362" s="6">
        <v>58554</v>
      </c>
      <c r="H1362" s="6" t="str" cm="1">
        <f t="array" ref="H1362">_xlfn.IFS(
  G1362 &lt; 25000, "Low",
  AND(G1362 &gt;= 25000, G1362 &lt; 75000), "Medium",
  AND(G1362 &gt;= 75000, G1362 &lt; 150000), "High",
  G1362 &gt;= 150000, "Very High"
)</f>
        <v>Medium</v>
      </c>
      <c r="I1362" s="6">
        <v>1</v>
      </c>
      <c r="J1362" s="6">
        <v>1</v>
      </c>
      <c r="K1362" s="6">
        <f t="shared" si="85"/>
        <v>2</v>
      </c>
      <c r="L1362" s="8">
        <v>41178</v>
      </c>
      <c r="M1362" t="str">
        <f t="shared" ca="1" si="86"/>
        <v>13 years, 5 months</v>
      </c>
      <c r="N1362" s="6">
        <v>55</v>
      </c>
      <c r="O1362">
        <v>24</v>
      </c>
      <c r="P1362">
        <v>0</v>
      </c>
      <c r="Q1362">
        <f t="shared" si="87"/>
        <v>24</v>
      </c>
      <c r="R1362">
        <v>8</v>
      </c>
      <c r="S1362">
        <v>6</v>
      </c>
      <c r="T1362">
        <f>Table[[#This Row],[NumWebPurchases]]+Table[[#This Row],[NumStorePurchases]]</f>
        <v>14</v>
      </c>
    </row>
    <row r="1363" spans="1:20" ht="12.5">
      <c r="A1363" s="6">
        <v>1361</v>
      </c>
      <c r="B1363" s="6">
        <v>1384</v>
      </c>
      <c r="C1363" s="6">
        <v>1992</v>
      </c>
      <c r="D1363" s="6">
        <f t="shared" si="84"/>
        <v>33</v>
      </c>
      <c r="E1363" s="7" t="s">
        <v>16</v>
      </c>
      <c r="F1363" s="7" t="s">
        <v>13</v>
      </c>
      <c r="G1363" s="6">
        <v>17256</v>
      </c>
      <c r="H1363" s="6" t="str" cm="1">
        <f t="array" ref="H1363">_xlfn.IFS(
  G1363 &lt; 25000, "Low",
  AND(G1363 &gt;= 25000, G1363 &lt; 75000), "Medium",
  AND(G1363 &gt;= 75000, G1363 &lt; 150000), "High",
  G1363 &gt;= 150000, "Very High"
)</f>
        <v>Low</v>
      </c>
      <c r="I1363" s="6">
        <v>1</v>
      </c>
      <c r="J1363" s="6">
        <v>0</v>
      </c>
      <c r="K1363" s="6">
        <f t="shared" si="85"/>
        <v>1</v>
      </c>
      <c r="L1363" s="9">
        <v>41601</v>
      </c>
      <c r="M1363" t="str">
        <f t="shared" ca="1" si="86"/>
        <v>12 years, 3 months</v>
      </c>
      <c r="N1363" s="6">
        <v>10</v>
      </c>
      <c r="O1363">
        <v>4</v>
      </c>
      <c r="P1363">
        <v>8</v>
      </c>
      <c r="Q1363">
        <f t="shared" si="87"/>
        <v>12</v>
      </c>
      <c r="R1363">
        <v>2</v>
      </c>
      <c r="S1363">
        <v>2</v>
      </c>
      <c r="T1363">
        <f>Table[[#This Row],[NumWebPurchases]]+Table[[#This Row],[NumStorePurchases]]</f>
        <v>4</v>
      </c>
    </row>
    <row r="1364" spans="1:20" ht="12.5">
      <c r="A1364" s="6">
        <v>1362</v>
      </c>
      <c r="B1364" s="6">
        <v>9967</v>
      </c>
      <c r="C1364" s="6">
        <v>1974</v>
      </c>
      <c r="D1364" s="6">
        <f t="shared" si="84"/>
        <v>51</v>
      </c>
      <c r="E1364" s="7" t="s">
        <v>9</v>
      </c>
      <c r="F1364" s="7" t="s">
        <v>15</v>
      </c>
      <c r="G1364" s="6">
        <v>53034</v>
      </c>
      <c r="H1364" s="6" t="str" cm="1">
        <f t="array" ref="H1364">_xlfn.IFS(
  G1364 &lt; 25000, "Low",
  AND(G1364 &gt;= 25000, G1364 &lt; 75000), "Medium",
  AND(G1364 &gt;= 75000, G1364 &lt; 150000), "High",
  G1364 &gt;= 150000, "Very High"
)</f>
        <v>Medium</v>
      </c>
      <c r="I1364" s="6">
        <v>1</v>
      </c>
      <c r="J1364" s="6">
        <v>1</v>
      </c>
      <c r="K1364" s="6">
        <f t="shared" si="85"/>
        <v>2</v>
      </c>
      <c r="L1364" s="8">
        <v>41424</v>
      </c>
      <c r="M1364" t="str">
        <f t="shared" ca="1" si="86"/>
        <v>12 years, 9 months</v>
      </c>
      <c r="N1364" s="6">
        <v>30</v>
      </c>
      <c r="O1364">
        <v>15</v>
      </c>
      <c r="P1364">
        <v>11</v>
      </c>
      <c r="Q1364">
        <f t="shared" si="87"/>
        <v>26</v>
      </c>
      <c r="R1364">
        <v>6</v>
      </c>
      <c r="S1364">
        <v>7</v>
      </c>
      <c r="T1364">
        <f>Table[[#This Row],[NumWebPurchases]]+Table[[#This Row],[NumStorePurchases]]</f>
        <v>13</v>
      </c>
    </row>
    <row r="1365" spans="1:20" ht="12.5">
      <c r="A1365" s="6">
        <v>1363</v>
      </c>
      <c r="B1365" s="6">
        <v>6181</v>
      </c>
      <c r="C1365" s="6">
        <v>1950</v>
      </c>
      <c r="D1365" s="6">
        <f t="shared" si="84"/>
        <v>75</v>
      </c>
      <c r="E1365" s="7" t="s">
        <v>17</v>
      </c>
      <c r="F1365" s="7" t="s">
        <v>11</v>
      </c>
      <c r="G1365" s="6">
        <v>52203</v>
      </c>
      <c r="H1365" s="6" t="str" cm="1">
        <f t="array" ref="H1365">_xlfn.IFS(
  G1365 &lt; 25000, "Low",
  AND(G1365 &gt;= 25000, G1365 &lt; 75000), "Medium",
  AND(G1365 &gt;= 75000, G1365 &lt; 150000), "High",
  G1365 &gt;= 150000, "Very High"
)</f>
        <v>Medium</v>
      </c>
      <c r="I1365" s="6">
        <v>0</v>
      </c>
      <c r="J1365" s="6">
        <v>0</v>
      </c>
      <c r="K1365" s="6">
        <f t="shared" si="85"/>
        <v>0</v>
      </c>
      <c r="L1365" s="8">
        <v>41121</v>
      </c>
      <c r="M1365" t="str">
        <f t="shared" ca="1" si="86"/>
        <v>13 years, 7 months</v>
      </c>
      <c r="N1365" s="6">
        <v>36</v>
      </c>
      <c r="O1365">
        <v>21</v>
      </c>
      <c r="P1365">
        <v>108</v>
      </c>
      <c r="Q1365">
        <f t="shared" si="87"/>
        <v>129</v>
      </c>
      <c r="R1365">
        <v>8</v>
      </c>
      <c r="S1365">
        <v>11</v>
      </c>
      <c r="T1365">
        <f>Table[[#This Row],[NumWebPurchases]]+Table[[#This Row],[NumStorePurchases]]</f>
        <v>19</v>
      </c>
    </row>
    <row r="1366" spans="1:20" ht="12.5">
      <c r="A1366" s="6">
        <v>1364</v>
      </c>
      <c r="B1366" s="6">
        <v>10507</v>
      </c>
      <c r="C1366" s="6">
        <v>1977</v>
      </c>
      <c r="D1366" s="6">
        <f t="shared" si="84"/>
        <v>48</v>
      </c>
      <c r="E1366" s="7" t="s">
        <v>17</v>
      </c>
      <c r="F1366" s="7" t="s">
        <v>15</v>
      </c>
      <c r="G1366" s="6">
        <v>59601</v>
      </c>
      <c r="H1366" s="6" t="str" cm="1">
        <f t="array" ref="H1366">_xlfn.IFS(
  G1366 &lt; 25000, "Low",
  AND(G1366 &gt;= 25000, G1366 &lt; 75000), "Medium",
  AND(G1366 &gt;= 75000, G1366 &lt; 150000), "High",
  G1366 &gt;= 150000, "Very High"
)</f>
        <v>Medium</v>
      </c>
      <c r="I1366" s="6">
        <v>0</v>
      </c>
      <c r="J1366" s="6">
        <v>1</v>
      </c>
      <c r="K1366" s="6">
        <f t="shared" si="85"/>
        <v>1</v>
      </c>
      <c r="L1366" s="8">
        <v>41480</v>
      </c>
      <c r="M1366" t="str">
        <f t="shared" ca="1" si="86"/>
        <v>12 years, 7 months</v>
      </c>
      <c r="N1366" s="6">
        <v>14</v>
      </c>
      <c r="O1366">
        <v>7</v>
      </c>
      <c r="P1366">
        <v>7</v>
      </c>
      <c r="Q1366">
        <f t="shared" si="87"/>
        <v>14</v>
      </c>
      <c r="R1366">
        <v>2</v>
      </c>
      <c r="S1366">
        <v>7</v>
      </c>
      <c r="T1366">
        <f>Table[[#This Row],[NumWebPurchases]]+Table[[#This Row],[NumStorePurchases]]</f>
        <v>9</v>
      </c>
    </row>
    <row r="1367" spans="1:20" ht="12.5">
      <c r="A1367" s="6">
        <v>1365</v>
      </c>
      <c r="B1367" s="6">
        <v>2674</v>
      </c>
      <c r="C1367" s="6">
        <v>1958</v>
      </c>
      <c r="D1367" s="6">
        <f t="shared" si="84"/>
        <v>67</v>
      </c>
      <c r="E1367" s="7" t="s">
        <v>14</v>
      </c>
      <c r="F1367" s="7" t="s">
        <v>10</v>
      </c>
      <c r="G1367" s="6">
        <v>75154</v>
      </c>
      <c r="H1367" s="6" t="str" cm="1">
        <f t="array" ref="H1367">_xlfn.IFS(
  G1367 &lt; 25000, "Low",
  AND(G1367 &gt;= 25000, G1367 &lt; 75000), "Medium",
  AND(G1367 &gt;= 75000, G1367 &lt; 150000), "High",
  G1367 &gt;= 150000, "Very High"
)</f>
        <v>High</v>
      </c>
      <c r="I1367" s="6">
        <v>0</v>
      </c>
      <c r="J1367" s="6">
        <v>1</v>
      </c>
      <c r="K1367" s="6">
        <f t="shared" si="85"/>
        <v>1</v>
      </c>
      <c r="L1367" s="8">
        <v>41156</v>
      </c>
      <c r="M1367" t="str">
        <f t="shared" ca="1" si="86"/>
        <v>13 years, 6 months</v>
      </c>
      <c r="N1367" s="6">
        <v>79</v>
      </c>
      <c r="O1367">
        <v>10</v>
      </c>
      <c r="P1367">
        <v>143</v>
      </c>
      <c r="Q1367">
        <f t="shared" si="87"/>
        <v>153</v>
      </c>
      <c r="R1367">
        <v>6</v>
      </c>
      <c r="S1367">
        <v>6</v>
      </c>
      <c r="T1367">
        <f>Table[[#This Row],[NumWebPurchases]]+Table[[#This Row],[NumStorePurchases]]</f>
        <v>12</v>
      </c>
    </row>
    <row r="1368" spans="1:20" ht="12.5">
      <c r="A1368" s="6">
        <v>1366</v>
      </c>
      <c r="B1368" s="6">
        <v>2698</v>
      </c>
      <c r="C1368" s="6">
        <v>1976</v>
      </c>
      <c r="D1368" s="6">
        <f t="shared" si="84"/>
        <v>49</v>
      </c>
      <c r="E1368" s="7" t="s">
        <v>9</v>
      </c>
      <c r="F1368" s="7" t="s">
        <v>10</v>
      </c>
      <c r="G1368" s="6">
        <v>47025</v>
      </c>
      <c r="H1368" s="6" t="str" cm="1">
        <f t="array" ref="H1368">_xlfn.IFS(
  G1368 &lt; 25000, "Low",
  AND(G1368 &gt;= 25000, G1368 &lt; 75000), "Medium",
  AND(G1368 &gt;= 75000, G1368 &lt; 150000), "High",
  G1368 &gt;= 150000, "Very High"
)</f>
        <v>Medium</v>
      </c>
      <c r="I1368" s="6">
        <v>0</v>
      </c>
      <c r="J1368" s="6">
        <v>1</v>
      </c>
      <c r="K1368" s="6">
        <f t="shared" si="85"/>
        <v>1</v>
      </c>
      <c r="L1368" s="8">
        <v>41585</v>
      </c>
      <c r="M1368" t="str">
        <f t="shared" ca="1" si="86"/>
        <v>12 years, 3 months</v>
      </c>
      <c r="N1368" s="6">
        <v>52</v>
      </c>
      <c r="O1368">
        <v>7</v>
      </c>
      <c r="P1368">
        <v>0</v>
      </c>
      <c r="Q1368">
        <f t="shared" si="87"/>
        <v>7</v>
      </c>
      <c r="R1368">
        <v>6</v>
      </c>
      <c r="S1368">
        <v>5</v>
      </c>
      <c r="T1368">
        <f>Table[[#This Row],[NumWebPurchases]]+Table[[#This Row],[NumStorePurchases]]</f>
        <v>11</v>
      </c>
    </row>
    <row r="1369" spans="1:20" ht="12.5">
      <c r="A1369" s="6">
        <v>1367</v>
      </c>
      <c r="B1369" s="6">
        <v>3231</v>
      </c>
      <c r="C1369" s="6">
        <v>1973</v>
      </c>
      <c r="D1369" s="6">
        <f t="shared" si="84"/>
        <v>52</v>
      </c>
      <c r="E1369" s="7" t="s">
        <v>9</v>
      </c>
      <c r="F1369" s="7" t="s">
        <v>13</v>
      </c>
      <c r="G1369" s="6">
        <v>37971</v>
      </c>
      <c r="H1369" s="6" t="str" cm="1">
        <f t="array" ref="H1369">_xlfn.IFS(
  G1369 &lt; 25000, "Low",
  AND(G1369 &gt;= 25000, G1369 &lt; 75000), "Medium",
  AND(G1369 &gt;= 75000, G1369 &lt; 150000), "High",
  G1369 &gt;= 150000, "Very High"
)</f>
        <v>Medium</v>
      </c>
      <c r="I1369" s="6">
        <v>1</v>
      </c>
      <c r="J1369" s="6">
        <v>0</v>
      </c>
      <c r="K1369" s="6">
        <f t="shared" si="85"/>
        <v>1</v>
      </c>
      <c r="L1369" s="9">
        <v>41603</v>
      </c>
      <c r="M1369" t="str">
        <f t="shared" ca="1" si="86"/>
        <v>12 years, 3 months</v>
      </c>
      <c r="N1369" s="6">
        <v>97</v>
      </c>
      <c r="O1369">
        <v>4</v>
      </c>
      <c r="P1369">
        <v>2</v>
      </c>
      <c r="Q1369">
        <f t="shared" si="87"/>
        <v>6</v>
      </c>
      <c r="R1369">
        <v>1</v>
      </c>
      <c r="S1369">
        <v>3</v>
      </c>
      <c r="T1369">
        <f>Table[[#This Row],[NumWebPurchases]]+Table[[#This Row],[NumStorePurchases]]</f>
        <v>4</v>
      </c>
    </row>
    <row r="1370" spans="1:20" ht="12.5">
      <c r="A1370" s="6">
        <v>1368</v>
      </c>
      <c r="B1370" s="6">
        <v>4096</v>
      </c>
      <c r="C1370" s="6">
        <v>1968</v>
      </c>
      <c r="D1370" s="6">
        <f t="shared" si="84"/>
        <v>57</v>
      </c>
      <c r="E1370" s="7" t="s">
        <v>14</v>
      </c>
      <c r="F1370" s="7" t="s">
        <v>15</v>
      </c>
      <c r="G1370" s="6">
        <v>41335</v>
      </c>
      <c r="H1370" s="6" t="str" cm="1">
        <f t="array" ref="H1370">_xlfn.IFS(
  G1370 &lt; 25000, "Low",
  AND(G1370 &gt;= 25000, G1370 &lt; 75000), "Medium",
  AND(G1370 &gt;= 75000, G1370 &lt; 150000), "High",
  G1370 &gt;= 150000, "Very High"
)</f>
        <v>Medium</v>
      </c>
      <c r="I1370" s="6">
        <v>1</v>
      </c>
      <c r="J1370" s="6">
        <v>0</v>
      </c>
      <c r="K1370" s="6">
        <f t="shared" si="85"/>
        <v>1</v>
      </c>
      <c r="L1370" s="9">
        <v>41634</v>
      </c>
      <c r="M1370" t="str">
        <f t="shared" ca="1" si="86"/>
        <v>12 years, 2 months</v>
      </c>
      <c r="N1370" s="6">
        <v>24</v>
      </c>
      <c r="O1370">
        <v>19</v>
      </c>
      <c r="P1370">
        <v>14</v>
      </c>
      <c r="Q1370">
        <f t="shared" si="87"/>
        <v>33</v>
      </c>
      <c r="R1370">
        <v>4</v>
      </c>
      <c r="S1370">
        <v>4</v>
      </c>
      <c r="T1370">
        <f>Table[[#This Row],[NumWebPurchases]]+Table[[#This Row],[NumStorePurchases]]</f>
        <v>8</v>
      </c>
    </row>
    <row r="1371" spans="1:20" ht="12.5">
      <c r="A1371" s="6">
        <v>1369</v>
      </c>
      <c r="B1371" s="6">
        <v>10476</v>
      </c>
      <c r="C1371" s="6">
        <v>1958</v>
      </c>
      <c r="D1371" s="6">
        <f t="shared" si="84"/>
        <v>67</v>
      </c>
      <c r="E1371" s="7" t="s">
        <v>9</v>
      </c>
      <c r="F1371" s="7" t="s">
        <v>13</v>
      </c>
      <c r="G1371" s="6">
        <v>67267</v>
      </c>
      <c r="H1371" s="6" t="str" cm="1">
        <f t="array" ref="H1371">_xlfn.IFS(
  G1371 &lt; 25000, "Low",
  AND(G1371 &gt;= 25000, G1371 &lt; 75000), "Medium",
  AND(G1371 &gt;= 75000, G1371 &lt; 150000), "High",
  G1371 &gt;= 150000, "Very High"
)</f>
        <v>Medium</v>
      </c>
      <c r="I1371" s="6">
        <v>0</v>
      </c>
      <c r="J1371" s="6">
        <v>1</v>
      </c>
      <c r="K1371" s="6">
        <f t="shared" si="85"/>
        <v>1</v>
      </c>
      <c r="L1371" s="8">
        <v>41772</v>
      </c>
      <c r="M1371" t="str">
        <f t="shared" ca="1" si="86"/>
        <v>11 years, 9 months</v>
      </c>
      <c r="N1371" s="6">
        <v>0</v>
      </c>
      <c r="O1371">
        <v>11</v>
      </c>
      <c r="P1371">
        <v>2</v>
      </c>
      <c r="Q1371">
        <f t="shared" si="87"/>
        <v>13</v>
      </c>
      <c r="R1371">
        <v>3</v>
      </c>
      <c r="S1371">
        <v>5</v>
      </c>
      <c r="T1371">
        <f>Table[[#This Row],[NumWebPurchases]]+Table[[#This Row],[NumStorePurchases]]</f>
        <v>8</v>
      </c>
    </row>
    <row r="1372" spans="1:20" ht="12.5">
      <c r="A1372" s="6">
        <v>1370</v>
      </c>
      <c r="B1372" s="6">
        <v>5948</v>
      </c>
      <c r="C1372" s="6">
        <v>1975</v>
      </c>
      <c r="D1372" s="6">
        <f t="shared" si="84"/>
        <v>50</v>
      </c>
      <c r="E1372" s="7" t="s">
        <v>9</v>
      </c>
      <c r="F1372" s="7" t="s">
        <v>10</v>
      </c>
      <c r="G1372" s="6">
        <v>57338</v>
      </c>
      <c r="H1372" s="6" t="str" cm="1">
        <f t="array" ref="H1372">_xlfn.IFS(
  G1372 &lt; 25000, "Low",
  AND(G1372 &gt;= 25000, G1372 &lt; 75000), "Medium",
  AND(G1372 &gt;= 75000, G1372 &lt; 150000), "High",
  G1372 &gt;= 150000, "Very High"
)</f>
        <v>Medium</v>
      </c>
      <c r="I1372" s="6">
        <v>0</v>
      </c>
      <c r="J1372" s="6">
        <v>1</v>
      </c>
      <c r="K1372" s="6">
        <f t="shared" si="85"/>
        <v>1</v>
      </c>
      <c r="L1372" s="8">
        <v>41758</v>
      </c>
      <c r="M1372" t="str">
        <f t="shared" ca="1" si="86"/>
        <v>11 years, 10 months</v>
      </c>
      <c r="N1372" s="6">
        <v>96</v>
      </c>
      <c r="O1372">
        <v>6</v>
      </c>
      <c r="P1372">
        <v>8</v>
      </c>
      <c r="Q1372">
        <f t="shared" si="87"/>
        <v>14</v>
      </c>
      <c r="R1372">
        <v>4</v>
      </c>
      <c r="S1372">
        <v>5</v>
      </c>
      <c r="T1372">
        <f>Table[[#This Row],[NumWebPurchases]]+Table[[#This Row],[NumStorePurchases]]</f>
        <v>9</v>
      </c>
    </row>
    <row r="1373" spans="1:20" ht="12.5">
      <c r="A1373" s="6">
        <v>1371</v>
      </c>
      <c r="B1373" s="6">
        <v>9140</v>
      </c>
      <c r="C1373" s="6">
        <v>1960</v>
      </c>
      <c r="D1373" s="6">
        <f t="shared" si="84"/>
        <v>65</v>
      </c>
      <c r="E1373" s="7" t="s">
        <v>17</v>
      </c>
      <c r="F1373" s="7" t="s">
        <v>11</v>
      </c>
      <c r="G1373" s="6">
        <v>50523</v>
      </c>
      <c r="H1373" s="6" t="str" cm="1">
        <f t="array" ref="H1373">_xlfn.IFS(
  G1373 &lt; 25000, "Low",
  AND(G1373 &gt;= 25000, G1373 &lt; 75000), "Medium",
  AND(G1373 &gt;= 75000, G1373 &lt; 150000), "High",
  G1373 &gt;= 150000, "Very High"
)</f>
        <v>Medium</v>
      </c>
      <c r="I1373" s="6">
        <v>1</v>
      </c>
      <c r="J1373" s="6">
        <v>1</v>
      </c>
      <c r="K1373" s="6">
        <f t="shared" si="85"/>
        <v>2</v>
      </c>
      <c r="L1373" s="9">
        <v>41633</v>
      </c>
      <c r="M1373" t="str">
        <f t="shared" ca="1" si="86"/>
        <v>12 years, 2 months</v>
      </c>
      <c r="N1373" s="6">
        <v>89</v>
      </c>
      <c r="O1373">
        <v>4</v>
      </c>
      <c r="P1373">
        <v>7</v>
      </c>
      <c r="Q1373">
        <f t="shared" si="87"/>
        <v>11</v>
      </c>
      <c r="R1373">
        <v>2</v>
      </c>
      <c r="S1373">
        <v>4</v>
      </c>
      <c r="T1373">
        <f>Table[[#This Row],[NumWebPurchases]]+Table[[#This Row],[NumStorePurchases]]</f>
        <v>6</v>
      </c>
    </row>
    <row r="1374" spans="1:20" ht="12.5">
      <c r="A1374" s="6">
        <v>1372</v>
      </c>
      <c r="B1374" s="6">
        <v>10258</v>
      </c>
      <c r="C1374" s="6">
        <v>1965</v>
      </c>
      <c r="D1374" s="6">
        <f t="shared" si="84"/>
        <v>60</v>
      </c>
      <c r="E1374" s="7" t="s">
        <v>14</v>
      </c>
      <c r="F1374" s="7" t="s">
        <v>10</v>
      </c>
      <c r="G1374" s="6">
        <v>35791</v>
      </c>
      <c r="H1374" s="6" t="str" cm="1">
        <f t="array" ref="H1374">_xlfn.IFS(
  G1374 &lt; 25000, "Low",
  AND(G1374 &gt;= 25000, G1374 &lt; 75000), "Medium",
  AND(G1374 &gt;= 75000, G1374 &lt; 150000), "High",
  G1374 &gt;= 150000, "Very High"
)</f>
        <v>Medium</v>
      </c>
      <c r="I1374" s="6">
        <v>2</v>
      </c>
      <c r="J1374" s="6">
        <v>1</v>
      </c>
      <c r="K1374" s="6">
        <f t="shared" si="85"/>
        <v>3</v>
      </c>
      <c r="L1374" s="8">
        <v>41400</v>
      </c>
      <c r="M1374" t="str">
        <f t="shared" ca="1" si="86"/>
        <v>12 years, 10 months</v>
      </c>
      <c r="N1374" s="6">
        <v>94</v>
      </c>
      <c r="O1374">
        <v>0</v>
      </c>
      <c r="P1374">
        <v>0</v>
      </c>
      <c r="Q1374">
        <f t="shared" si="87"/>
        <v>0</v>
      </c>
      <c r="R1374">
        <v>1</v>
      </c>
      <c r="S1374">
        <v>3</v>
      </c>
      <c r="T1374">
        <f>Table[[#This Row],[NumWebPurchases]]+Table[[#This Row],[NumStorePurchases]]</f>
        <v>4</v>
      </c>
    </row>
    <row r="1375" spans="1:20" ht="12.5">
      <c r="A1375" s="6">
        <v>1373</v>
      </c>
      <c r="B1375" s="6">
        <v>5675</v>
      </c>
      <c r="C1375" s="6">
        <v>1960</v>
      </c>
      <c r="D1375" s="6">
        <f t="shared" si="84"/>
        <v>65</v>
      </c>
      <c r="E1375" s="7" t="s">
        <v>12</v>
      </c>
      <c r="F1375" s="7" t="s">
        <v>15</v>
      </c>
      <c r="G1375" s="6">
        <v>50611</v>
      </c>
      <c r="H1375" s="6" t="str" cm="1">
        <f t="array" ref="H1375">_xlfn.IFS(
  G1375 &lt; 25000, "Low",
  AND(G1375 &gt;= 25000, G1375 &lt; 75000), "Medium",
  AND(G1375 &gt;= 75000, G1375 &lt; 150000), "High",
  G1375 &gt;= 150000, "Very High"
)</f>
        <v>Medium</v>
      </c>
      <c r="I1375" s="6">
        <v>0</v>
      </c>
      <c r="J1375" s="6">
        <v>1</v>
      </c>
      <c r="K1375" s="6">
        <f t="shared" si="85"/>
        <v>1</v>
      </c>
      <c r="L1375" s="8">
        <v>41186</v>
      </c>
      <c r="M1375" t="str">
        <f t="shared" ca="1" si="86"/>
        <v>13 years, 5 months</v>
      </c>
      <c r="N1375" s="6">
        <v>98</v>
      </c>
      <c r="O1375">
        <v>0</v>
      </c>
      <c r="P1375">
        <v>0</v>
      </c>
      <c r="Q1375">
        <f t="shared" si="87"/>
        <v>0</v>
      </c>
      <c r="R1375">
        <v>4</v>
      </c>
      <c r="S1375">
        <v>7</v>
      </c>
      <c r="T1375">
        <f>Table[[#This Row],[NumWebPurchases]]+Table[[#This Row],[NumStorePurchases]]</f>
        <v>11</v>
      </c>
    </row>
    <row r="1376" spans="1:20" ht="12.5">
      <c r="A1376" s="6">
        <v>1374</v>
      </c>
      <c r="B1376" s="6">
        <v>4743</v>
      </c>
      <c r="C1376" s="6">
        <v>1969</v>
      </c>
      <c r="D1376" s="6">
        <f t="shared" si="84"/>
        <v>56</v>
      </c>
      <c r="E1376" s="7" t="s">
        <v>12</v>
      </c>
      <c r="F1376" s="7" t="s">
        <v>13</v>
      </c>
      <c r="G1376" s="6">
        <v>56242</v>
      </c>
      <c r="H1376" s="6" t="str" cm="1">
        <f t="array" ref="H1376">_xlfn.IFS(
  G1376 &lt; 25000, "Low",
  AND(G1376 &gt;= 25000, G1376 &lt; 75000), "Medium",
  AND(G1376 &gt;= 75000, G1376 &lt; 150000), "High",
  G1376 &gt;= 150000, "Very High"
)</f>
        <v>Medium</v>
      </c>
      <c r="I1376" s="6">
        <v>0</v>
      </c>
      <c r="J1376" s="6">
        <v>1</v>
      </c>
      <c r="K1376" s="6">
        <f t="shared" si="85"/>
        <v>1</v>
      </c>
      <c r="L1376" s="8">
        <v>41336</v>
      </c>
      <c r="M1376" t="str">
        <f t="shared" ca="1" si="86"/>
        <v>13 years, 0 months</v>
      </c>
      <c r="N1376" s="6">
        <v>72</v>
      </c>
      <c r="O1376">
        <v>8</v>
      </c>
      <c r="P1376">
        <v>8</v>
      </c>
      <c r="Q1376">
        <f t="shared" si="87"/>
        <v>16</v>
      </c>
      <c r="R1376">
        <v>8</v>
      </c>
      <c r="S1376">
        <v>11</v>
      </c>
      <c r="T1376">
        <f>Table[[#This Row],[NumWebPurchases]]+Table[[#This Row],[NumStorePurchases]]</f>
        <v>19</v>
      </c>
    </row>
    <row r="1377" spans="1:20" ht="12.5">
      <c r="A1377" s="6">
        <v>1375</v>
      </c>
      <c r="B1377" s="6">
        <v>8805</v>
      </c>
      <c r="C1377" s="6">
        <v>1960</v>
      </c>
      <c r="D1377" s="6">
        <f t="shared" si="84"/>
        <v>65</v>
      </c>
      <c r="E1377" s="7" t="s">
        <v>9</v>
      </c>
      <c r="F1377" s="7" t="s">
        <v>10</v>
      </c>
      <c r="G1377" s="6">
        <v>48904</v>
      </c>
      <c r="H1377" s="6" t="str" cm="1">
        <f t="array" ref="H1377">_xlfn.IFS(
  G1377 &lt; 25000, "Low",
  AND(G1377 &gt;= 25000, G1377 &lt; 75000), "Medium",
  AND(G1377 &gt;= 75000, G1377 &lt; 150000), "High",
  G1377 &gt;= 150000, "Very High"
)</f>
        <v>Medium</v>
      </c>
      <c r="I1377" s="6">
        <v>0</v>
      </c>
      <c r="J1377" s="6">
        <v>1</v>
      </c>
      <c r="K1377" s="6">
        <f t="shared" si="85"/>
        <v>1</v>
      </c>
      <c r="L1377" s="8">
        <v>41245</v>
      </c>
      <c r="M1377" t="str">
        <f t="shared" ca="1" si="86"/>
        <v>13 years, 3 months</v>
      </c>
      <c r="N1377" s="6">
        <v>1</v>
      </c>
      <c r="O1377">
        <v>10</v>
      </c>
      <c r="P1377">
        <v>13</v>
      </c>
      <c r="Q1377">
        <f t="shared" si="87"/>
        <v>23</v>
      </c>
      <c r="R1377">
        <v>7</v>
      </c>
      <c r="S1377">
        <v>4</v>
      </c>
      <c r="T1377">
        <f>Table[[#This Row],[NumWebPurchases]]+Table[[#This Row],[NumStorePurchases]]</f>
        <v>11</v>
      </c>
    </row>
    <row r="1378" spans="1:20" ht="12.5">
      <c r="A1378" s="6">
        <v>1376</v>
      </c>
      <c r="B1378" s="6">
        <v>1542</v>
      </c>
      <c r="C1378" s="6">
        <v>1975</v>
      </c>
      <c r="D1378" s="6">
        <f t="shared" si="84"/>
        <v>50</v>
      </c>
      <c r="E1378" s="7" t="s">
        <v>9</v>
      </c>
      <c r="F1378" s="7" t="s">
        <v>10</v>
      </c>
      <c r="G1378" s="6">
        <v>56243</v>
      </c>
      <c r="H1378" s="6" t="str" cm="1">
        <f t="array" ref="H1378">_xlfn.IFS(
  G1378 &lt; 25000, "Low",
  AND(G1378 &gt;= 25000, G1378 &lt; 75000), "Medium",
  AND(G1378 &gt;= 75000, G1378 &lt; 150000), "High",
  G1378 &gt;= 150000, "Very High"
)</f>
        <v>Medium</v>
      </c>
      <c r="I1378" s="6">
        <v>1</v>
      </c>
      <c r="J1378" s="6">
        <v>2</v>
      </c>
      <c r="K1378" s="6">
        <f t="shared" si="85"/>
        <v>3</v>
      </c>
      <c r="L1378" s="9">
        <v>41638</v>
      </c>
      <c r="M1378" t="str">
        <f t="shared" ca="1" si="86"/>
        <v>12 years, 2 months</v>
      </c>
      <c r="N1378" s="6">
        <v>26</v>
      </c>
      <c r="O1378">
        <v>0</v>
      </c>
      <c r="P1378">
        <v>3</v>
      </c>
      <c r="Q1378">
        <f t="shared" si="87"/>
        <v>3</v>
      </c>
      <c r="R1378">
        <v>4</v>
      </c>
      <c r="S1378">
        <v>8</v>
      </c>
      <c r="T1378">
        <f>Table[[#This Row],[NumWebPurchases]]+Table[[#This Row],[NumStorePurchases]]</f>
        <v>12</v>
      </c>
    </row>
    <row r="1379" spans="1:20" ht="12.5">
      <c r="A1379" s="6">
        <v>1377</v>
      </c>
      <c r="B1379" s="6">
        <v>6770</v>
      </c>
      <c r="C1379" s="6">
        <v>1985</v>
      </c>
      <c r="D1379" s="6">
        <f t="shared" si="84"/>
        <v>40</v>
      </c>
      <c r="E1379" s="7" t="s">
        <v>9</v>
      </c>
      <c r="F1379" s="7" t="s">
        <v>13</v>
      </c>
      <c r="G1379" s="6">
        <v>21355</v>
      </c>
      <c r="H1379" s="6" t="str" cm="1">
        <f t="array" ref="H1379">_xlfn.IFS(
  G1379 &lt; 25000, "Low",
  AND(G1379 &gt;= 25000, G1379 &lt; 75000), "Medium",
  AND(G1379 &gt;= 75000, G1379 &lt; 150000), "High",
  G1379 &gt;= 150000, "Very High"
)</f>
        <v>Low</v>
      </c>
      <c r="I1379" s="6">
        <v>1</v>
      </c>
      <c r="J1379" s="6">
        <v>0</v>
      </c>
      <c r="K1379" s="6">
        <f t="shared" si="85"/>
        <v>1</v>
      </c>
      <c r="L1379" s="8">
        <v>41506</v>
      </c>
      <c r="M1379" t="str">
        <f t="shared" ca="1" si="86"/>
        <v>12 years, 6 months</v>
      </c>
      <c r="N1379" s="6">
        <v>5</v>
      </c>
      <c r="O1379">
        <v>13</v>
      </c>
      <c r="P1379">
        <v>5</v>
      </c>
      <c r="Q1379">
        <f t="shared" si="87"/>
        <v>18</v>
      </c>
      <c r="R1379">
        <v>2</v>
      </c>
      <c r="S1379">
        <v>2</v>
      </c>
      <c r="T1379">
        <f>Table[[#This Row],[NumWebPurchases]]+Table[[#This Row],[NumStorePurchases]]</f>
        <v>4</v>
      </c>
    </row>
    <row r="1380" spans="1:20" ht="12.5">
      <c r="A1380" s="6">
        <v>1378</v>
      </c>
      <c r="B1380" s="6">
        <v>8773</v>
      </c>
      <c r="C1380" s="6">
        <v>1971</v>
      </c>
      <c r="D1380" s="6">
        <f t="shared" si="84"/>
        <v>54</v>
      </c>
      <c r="E1380" s="7" t="s">
        <v>14</v>
      </c>
      <c r="F1380" s="7" t="s">
        <v>11</v>
      </c>
      <c r="G1380" s="6">
        <v>57420</v>
      </c>
      <c r="H1380" s="6" t="str" cm="1">
        <f t="array" ref="H1380">_xlfn.IFS(
  G1380 &lt; 25000, "Low",
  AND(G1380 &gt;= 25000, G1380 &lt; 75000), "Medium",
  AND(G1380 &gt;= 75000, G1380 &lt; 150000), "High",
  G1380 &gt;= 150000, "Very High"
)</f>
        <v>Medium</v>
      </c>
      <c r="I1380" s="6">
        <v>0</v>
      </c>
      <c r="J1380" s="6">
        <v>1</v>
      </c>
      <c r="K1380" s="6">
        <f t="shared" si="85"/>
        <v>1</v>
      </c>
      <c r="L1380" s="8">
        <v>41450</v>
      </c>
      <c r="M1380" t="str">
        <f t="shared" ca="1" si="86"/>
        <v>12 years, 8 months</v>
      </c>
      <c r="N1380" s="6">
        <v>22</v>
      </c>
      <c r="O1380">
        <v>0</v>
      </c>
      <c r="P1380">
        <v>0</v>
      </c>
      <c r="Q1380">
        <f t="shared" si="87"/>
        <v>0</v>
      </c>
      <c r="R1380">
        <v>5</v>
      </c>
      <c r="S1380">
        <v>6</v>
      </c>
      <c r="T1380">
        <f>Table[[#This Row],[NumWebPurchases]]+Table[[#This Row],[NumStorePurchases]]</f>
        <v>11</v>
      </c>
    </row>
    <row r="1381" spans="1:20" ht="12.5">
      <c r="A1381" s="6">
        <v>1379</v>
      </c>
      <c r="B1381" s="6">
        <v>10475</v>
      </c>
      <c r="C1381" s="6">
        <v>1970</v>
      </c>
      <c r="D1381" s="6">
        <f t="shared" si="84"/>
        <v>55</v>
      </c>
      <c r="E1381" s="7" t="s">
        <v>14</v>
      </c>
      <c r="F1381" s="7" t="s">
        <v>11</v>
      </c>
      <c r="G1381" s="7">
        <v>51371</v>
      </c>
      <c r="H1381" s="6" t="str" cm="1">
        <f t="array" ref="H1381">_xlfn.IFS(
  G1381 &lt; 25000, "Low",
  AND(G1381 &gt;= 25000, G1381 &lt; 75000), "Medium",
  AND(G1381 &gt;= 75000, G1381 &lt; 150000), "High",
  G1381 &gt;= 150000, "Very High"
)</f>
        <v>Medium</v>
      </c>
      <c r="I1381" s="6">
        <v>0</v>
      </c>
      <c r="J1381" s="6">
        <v>1</v>
      </c>
      <c r="K1381" s="6">
        <f t="shared" si="85"/>
        <v>1</v>
      </c>
      <c r="L1381" s="8">
        <v>41365</v>
      </c>
      <c r="M1381" t="str">
        <f t="shared" ca="1" si="86"/>
        <v>12 years, 11 months</v>
      </c>
      <c r="N1381" s="6">
        <v>39</v>
      </c>
      <c r="O1381">
        <v>5</v>
      </c>
      <c r="P1381">
        <v>20</v>
      </c>
      <c r="Q1381">
        <f t="shared" si="87"/>
        <v>25</v>
      </c>
      <c r="R1381">
        <v>4</v>
      </c>
      <c r="S1381">
        <v>6</v>
      </c>
      <c r="T1381">
        <f>Table[[#This Row],[NumWebPurchases]]+Table[[#This Row],[NumStorePurchases]]</f>
        <v>10</v>
      </c>
    </row>
    <row r="1382" spans="1:20" ht="12.5">
      <c r="A1382" s="6">
        <v>1380</v>
      </c>
      <c r="B1382" s="6">
        <v>10420</v>
      </c>
      <c r="C1382" s="6">
        <v>1955</v>
      </c>
      <c r="D1382" s="6">
        <f t="shared" si="84"/>
        <v>70</v>
      </c>
      <c r="E1382" s="7" t="s">
        <v>14</v>
      </c>
      <c r="F1382" s="7" t="s">
        <v>15</v>
      </c>
      <c r="G1382" s="6">
        <v>46390</v>
      </c>
      <c r="H1382" s="6" t="str" cm="1">
        <f t="array" ref="H1382">_xlfn.IFS(
  G1382 &lt; 25000, "Low",
  AND(G1382 &gt;= 25000, G1382 &lt; 75000), "Medium",
  AND(G1382 &gt;= 75000, G1382 &lt; 150000), "High",
  G1382 &gt;= 150000, "Very High"
)</f>
        <v>Medium</v>
      </c>
      <c r="I1382" s="6">
        <v>0</v>
      </c>
      <c r="J1382" s="6">
        <v>1</v>
      </c>
      <c r="K1382" s="6">
        <f t="shared" si="85"/>
        <v>1</v>
      </c>
      <c r="L1382" s="8">
        <v>41764</v>
      </c>
      <c r="M1382" t="str">
        <f t="shared" ca="1" si="86"/>
        <v>11 years, 10 months</v>
      </c>
      <c r="N1382" s="6">
        <v>56</v>
      </c>
      <c r="O1382">
        <v>14</v>
      </c>
      <c r="P1382">
        <v>9</v>
      </c>
      <c r="Q1382">
        <f t="shared" si="87"/>
        <v>23</v>
      </c>
      <c r="R1382">
        <v>4</v>
      </c>
      <c r="S1382">
        <v>3</v>
      </c>
      <c r="T1382">
        <f>Table[[#This Row],[NumWebPurchases]]+Table[[#This Row],[NumStorePurchases]]</f>
        <v>7</v>
      </c>
    </row>
    <row r="1383" spans="1:20" ht="12.5">
      <c r="A1383" s="6">
        <v>1381</v>
      </c>
      <c r="B1383" s="6">
        <v>7514</v>
      </c>
      <c r="C1383" s="6">
        <v>1956</v>
      </c>
      <c r="D1383" s="6">
        <f t="shared" si="84"/>
        <v>69</v>
      </c>
      <c r="E1383" s="7" t="s">
        <v>17</v>
      </c>
      <c r="F1383" s="7" t="s">
        <v>11</v>
      </c>
      <c r="G1383" s="6">
        <v>54342</v>
      </c>
      <c r="H1383" s="6" t="str" cm="1">
        <f t="array" ref="H1383">_xlfn.IFS(
  G1383 &lt; 25000, "Low",
  AND(G1383 &gt;= 25000, G1383 &lt; 75000), "Medium",
  AND(G1383 &gt;= 75000, G1383 &lt; 150000), "High",
  G1383 &gt;= 150000, "Very High"
)</f>
        <v>Medium</v>
      </c>
      <c r="I1383" s="6">
        <v>1</v>
      </c>
      <c r="J1383" s="6">
        <v>1</v>
      </c>
      <c r="K1383" s="6">
        <f t="shared" si="85"/>
        <v>2</v>
      </c>
      <c r="L1383" s="8">
        <v>41458</v>
      </c>
      <c r="M1383" t="str">
        <f t="shared" ca="1" si="86"/>
        <v>12 years, 8 months</v>
      </c>
      <c r="N1383" s="6">
        <v>74</v>
      </c>
      <c r="O1383">
        <v>10</v>
      </c>
      <c r="P1383">
        <v>10</v>
      </c>
      <c r="Q1383">
        <f t="shared" si="87"/>
        <v>20</v>
      </c>
      <c r="R1383">
        <v>3</v>
      </c>
      <c r="S1383">
        <v>4</v>
      </c>
      <c r="T1383">
        <f>Table[[#This Row],[NumWebPurchases]]+Table[[#This Row],[NumStorePurchases]]</f>
        <v>7</v>
      </c>
    </row>
    <row r="1384" spans="1:20" ht="12.5">
      <c r="A1384" s="6">
        <v>1382</v>
      </c>
      <c r="B1384" s="6">
        <v>2902</v>
      </c>
      <c r="C1384" s="6">
        <v>1958</v>
      </c>
      <c r="D1384" s="6">
        <f t="shared" si="84"/>
        <v>67</v>
      </c>
      <c r="E1384" s="7" t="s">
        <v>9</v>
      </c>
      <c r="F1384" s="7" t="s">
        <v>11</v>
      </c>
      <c r="G1384" s="7">
        <v>51371</v>
      </c>
      <c r="H1384" s="6" t="str" cm="1">
        <f t="array" ref="H1384">_xlfn.IFS(
  G1384 &lt; 25000, "Low",
  AND(G1384 &gt;= 25000, G1384 &lt; 75000), "Medium",
  AND(G1384 &gt;= 75000, G1384 &lt; 150000), "High",
  G1384 &gt;= 150000, "Very High"
)</f>
        <v>Medium</v>
      </c>
      <c r="I1384" s="6">
        <v>1</v>
      </c>
      <c r="J1384" s="6">
        <v>1</v>
      </c>
      <c r="K1384" s="6">
        <f t="shared" si="85"/>
        <v>2</v>
      </c>
      <c r="L1384" s="8">
        <v>41155</v>
      </c>
      <c r="M1384" t="str">
        <f t="shared" ca="1" si="86"/>
        <v>13 years, 6 months</v>
      </c>
      <c r="N1384" s="6">
        <v>87</v>
      </c>
      <c r="O1384">
        <v>4</v>
      </c>
      <c r="P1384">
        <v>2</v>
      </c>
      <c r="Q1384">
        <f t="shared" si="87"/>
        <v>6</v>
      </c>
      <c r="R1384">
        <v>1</v>
      </c>
      <c r="S1384">
        <v>3</v>
      </c>
      <c r="T1384">
        <f>Table[[#This Row],[NumWebPurchases]]+Table[[#This Row],[NumStorePurchases]]</f>
        <v>4</v>
      </c>
    </row>
    <row r="1385" spans="1:20" ht="12.5">
      <c r="A1385" s="6">
        <v>1383</v>
      </c>
      <c r="B1385" s="6">
        <v>4345</v>
      </c>
      <c r="C1385" s="6">
        <v>1964</v>
      </c>
      <c r="D1385" s="6">
        <f t="shared" si="84"/>
        <v>61</v>
      </c>
      <c r="E1385" s="7" t="s">
        <v>17</v>
      </c>
      <c r="F1385" s="7" t="s">
        <v>10</v>
      </c>
      <c r="G1385" s="7">
        <v>51371</v>
      </c>
      <c r="H1385" s="6" t="str" cm="1">
        <f t="array" ref="H1385">_xlfn.IFS(
  G1385 &lt; 25000, "Low",
  AND(G1385 &gt;= 25000, G1385 &lt; 75000), "Medium",
  AND(G1385 &gt;= 75000, G1385 &lt; 150000), "High",
  G1385 &gt;= 150000, "Very High"
)</f>
        <v>Medium</v>
      </c>
      <c r="I1385" s="6">
        <v>1</v>
      </c>
      <c r="J1385" s="6">
        <v>1</v>
      </c>
      <c r="K1385" s="6">
        <f t="shared" si="85"/>
        <v>2</v>
      </c>
      <c r="L1385" s="8">
        <v>41651</v>
      </c>
      <c r="M1385" t="str">
        <f t="shared" ca="1" si="86"/>
        <v>12 years, 1 months</v>
      </c>
      <c r="N1385" s="6">
        <v>49</v>
      </c>
      <c r="O1385">
        <v>1</v>
      </c>
      <c r="P1385">
        <v>0</v>
      </c>
      <c r="Q1385">
        <f t="shared" si="87"/>
        <v>1</v>
      </c>
      <c r="R1385">
        <v>1</v>
      </c>
      <c r="S1385">
        <v>2</v>
      </c>
      <c r="T1385">
        <f>Table[[#This Row],[NumWebPurchases]]+Table[[#This Row],[NumStorePurchases]]</f>
        <v>3</v>
      </c>
    </row>
    <row r="1386" spans="1:20" ht="12.5">
      <c r="A1386" s="6">
        <v>1384</v>
      </c>
      <c r="B1386" s="6">
        <v>793</v>
      </c>
      <c r="C1386" s="6">
        <v>1973</v>
      </c>
      <c r="D1386" s="6">
        <f t="shared" si="84"/>
        <v>52</v>
      </c>
      <c r="E1386" s="7" t="s">
        <v>9</v>
      </c>
      <c r="F1386" s="7" t="s">
        <v>13</v>
      </c>
      <c r="G1386" s="6">
        <v>20895</v>
      </c>
      <c r="H1386" s="6" t="str" cm="1">
        <f t="array" ref="H1386">_xlfn.IFS(
  G1386 &lt; 25000, "Low",
  AND(G1386 &gt;= 25000, G1386 &lt; 75000), "Medium",
  AND(G1386 &gt;= 75000, G1386 &lt; 150000), "High",
  G1386 &gt;= 150000, "Very High"
)</f>
        <v>Low</v>
      </c>
      <c r="I1386" s="6">
        <v>1</v>
      </c>
      <c r="J1386" s="6">
        <v>0</v>
      </c>
      <c r="K1386" s="6">
        <f t="shared" si="85"/>
        <v>1</v>
      </c>
      <c r="L1386" s="8">
        <v>41188</v>
      </c>
      <c r="M1386" t="str">
        <f t="shared" ca="1" si="86"/>
        <v>13 years, 5 months</v>
      </c>
      <c r="N1386" s="6">
        <v>24</v>
      </c>
      <c r="O1386">
        <v>3</v>
      </c>
      <c r="P1386">
        <v>0</v>
      </c>
      <c r="Q1386">
        <f t="shared" si="87"/>
        <v>3</v>
      </c>
      <c r="R1386">
        <v>2</v>
      </c>
      <c r="S1386">
        <v>3</v>
      </c>
      <c r="T1386">
        <f>Table[[#This Row],[NumWebPurchases]]+Table[[#This Row],[NumStorePurchases]]</f>
        <v>5</v>
      </c>
    </row>
    <row r="1387" spans="1:20" ht="12.5">
      <c r="A1387" s="6">
        <v>1385</v>
      </c>
      <c r="B1387" s="6">
        <v>10909</v>
      </c>
      <c r="C1387" s="6">
        <v>1948</v>
      </c>
      <c r="D1387" s="6">
        <f t="shared" si="84"/>
        <v>77</v>
      </c>
      <c r="E1387" s="7" t="s">
        <v>9</v>
      </c>
      <c r="F1387" s="7" t="s">
        <v>13</v>
      </c>
      <c r="G1387" s="6">
        <v>92344</v>
      </c>
      <c r="H1387" s="6" t="str" cm="1">
        <f t="array" ref="H1387">_xlfn.IFS(
  G1387 &lt; 25000, "Low",
  AND(G1387 &gt;= 25000, G1387 &lt; 75000), "Medium",
  AND(G1387 &gt;= 75000, G1387 &lt; 150000), "High",
  G1387 &gt;= 150000, "Very High"
)</f>
        <v>High</v>
      </c>
      <c r="I1387" s="6">
        <v>0</v>
      </c>
      <c r="J1387" s="6">
        <v>0</v>
      </c>
      <c r="K1387" s="6">
        <f t="shared" si="85"/>
        <v>0</v>
      </c>
      <c r="L1387" s="8">
        <v>41654</v>
      </c>
      <c r="M1387" t="str">
        <f t="shared" ca="1" si="86"/>
        <v>12 years, 1 months</v>
      </c>
      <c r="N1387" s="6">
        <v>9</v>
      </c>
      <c r="O1387">
        <v>24</v>
      </c>
      <c r="P1387">
        <v>19</v>
      </c>
      <c r="Q1387">
        <f t="shared" si="87"/>
        <v>43</v>
      </c>
      <c r="R1387">
        <v>5</v>
      </c>
      <c r="S1387">
        <v>5</v>
      </c>
      <c r="T1387">
        <f>Table[[#This Row],[NumWebPurchases]]+Table[[#This Row],[NumStorePurchases]]</f>
        <v>10</v>
      </c>
    </row>
    <row r="1388" spans="1:20" ht="12.5">
      <c r="A1388" s="6">
        <v>1386</v>
      </c>
      <c r="B1388" s="6">
        <v>3769</v>
      </c>
      <c r="C1388" s="6">
        <v>1972</v>
      </c>
      <c r="D1388" s="6">
        <f t="shared" si="84"/>
        <v>53</v>
      </c>
      <c r="E1388" s="7" t="s">
        <v>12</v>
      </c>
      <c r="F1388" s="7" t="s">
        <v>11</v>
      </c>
      <c r="G1388" s="7">
        <v>51371</v>
      </c>
      <c r="H1388" s="6" t="str" cm="1">
        <f t="array" ref="H1388">_xlfn.IFS(
  G1388 &lt; 25000, "Low",
  AND(G1388 &gt;= 25000, G1388 &lt; 75000), "Medium",
  AND(G1388 &gt;= 75000, G1388 &lt; 150000), "High",
  G1388 &gt;= 150000, "Very High"
)</f>
        <v>Medium</v>
      </c>
      <c r="I1388" s="6">
        <v>1</v>
      </c>
      <c r="J1388" s="6">
        <v>0</v>
      </c>
      <c r="K1388" s="6">
        <f t="shared" si="85"/>
        <v>1</v>
      </c>
      <c r="L1388" s="8">
        <v>41700</v>
      </c>
      <c r="M1388" t="str">
        <f t="shared" ca="1" si="86"/>
        <v>12 years, 0 months</v>
      </c>
      <c r="N1388" s="6">
        <v>17</v>
      </c>
      <c r="O1388">
        <v>1</v>
      </c>
      <c r="P1388">
        <v>0</v>
      </c>
      <c r="Q1388">
        <f t="shared" si="87"/>
        <v>1</v>
      </c>
      <c r="R1388">
        <v>1</v>
      </c>
      <c r="S1388">
        <v>3</v>
      </c>
      <c r="T1388">
        <f>Table[[#This Row],[NumWebPurchases]]+Table[[#This Row],[NumStorePurchases]]</f>
        <v>4</v>
      </c>
    </row>
    <row r="1389" spans="1:20" ht="12.5">
      <c r="A1389" s="6">
        <v>1387</v>
      </c>
      <c r="B1389" s="6">
        <v>8702</v>
      </c>
      <c r="C1389" s="6">
        <v>1976</v>
      </c>
      <c r="D1389" s="6">
        <f t="shared" si="84"/>
        <v>49</v>
      </c>
      <c r="E1389" s="7" t="s">
        <v>17</v>
      </c>
      <c r="F1389" s="7" t="s">
        <v>11</v>
      </c>
      <c r="G1389" s="6">
        <v>26907</v>
      </c>
      <c r="H1389" s="6" t="str" cm="1">
        <f t="array" ref="H1389">_xlfn.IFS(
  G1389 &lt; 25000, "Low",
  AND(G1389 &gt;= 25000, G1389 &lt; 75000), "Medium",
  AND(G1389 &gt;= 75000, G1389 &lt; 150000), "High",
  G1389 &gt;= 150000, "Very High"
)</f>
        <v>Medium</v>
      </c>
      <c r="I1389" s="6">
        <v>1</v>
      </c>
      <c r="J1389" s="6">
        <v>1</v>
      </c>
      <c r="K1389" s="6">
        <f t="shared" si="85"/>
        <v>2</v>
      </c>
      <c r="L1389" s="8">
        <v>41506</v>
      </c>
      <c r="M1389" t="str">
        <f t="shared" ca="1" si="86"/>
        <v>12 years, 6 months</v>
      </c>
      <c r="N1389" s="6">
        <v>10</v>
      </c>
      <c r="O1389">
        <v>1</v>
      </c>
      <c r="P1389">
        <v>3</v>
      </c>
      <c r="Q1389">
        <f t="shared" si="87"/>
        <v>4</v>
      </c>
      <c r="R1389">
        <v>1</v>
      </c>
      <c r="S1389">
        <v>3</v>
      </c>
      <c r="T1389">
        <f>Table[[#This Row],[NumWebPurchases]]+Table[[#This Row],[NumStorePurchases]]</f>
        <v>4</v>
      </c>
    </row>
    <row r="1390" spans="1:20" ht="12.5">
      <c r="A1390" s="6">
        <v>1388</v>
      </c>
      <c r="B1390" s="6">
        <v>4791</v>
      </c>
      <c r="C1390" s="6">
        <v>1980</v>
      </c>
      <c r="D1390" s="6">
        <f t="shared" si="84"/>
        <v>45</v>
      </c>
      <c r="E1390" s="7" t="s">
        <v>9</v>
      </c>
      <c r="F1390" s="7" t="s">
        <v>11</v>
      </c>
      <c r="G1390" s="6">
        <v>44964</v>
      </c>
      <c r="H1390" s="6" t="str" cm="1">
        <f t="array" ref="H1390">_xlfn.IFS(
  G1390 &lt; 25000, "Low",
  AND(G1390 &gt;= 25000, G1390 &lt; 75000), "Medium",
  AND(G1390 &gt;= 75000, G1390 &lt; 150000), "High",
  G1390 &gt;= 150000, "Very High"
)</f>
        <v>Medium</v>
      </c>
      <c r="I1390" s="6">
        <v>1</v>
      </c>
      <c r="J1390" s="6">
        <v>1</v>
      </c>
      <c r="K1390" s="6">
        <f t="shared" si="85"/>
        <v>2</v>
      </c>
      <c r="L1390" s="9">
        <v>41259</v>
      </c>
      <c r="M1390" t="str">
        <f t="shared" ca="1" si="86"/>
        <v>13 years, 2 months</v>
      </c>
      <c r="N1390" s="6">
        <v>35</v>
      </c>
      <c r="O1390">
        <v>1</v>
      </c>
      <c r="P1390">
        <v>0</v>
      </c>
      <c r="Q1390">
        <f t="shared" si="87"/>
        <v>1</v>
      </c>
      <c r="R1390">
        <v>1</v>
      </c>
      <c r="S1390">
        <v>3</v>
      </c>
      <c r="T1390">
        <f>Table[[#This Row],[NumWebPurchases]]+Table[[#This Row],[NumStorePurchases]]</f>
        <v>4</v>
      </c>
    </row>
    <row r="1391" spans="1:20" ht="12.5">
      <c r="A1391" s="6">
        <v>1389</v>
      </c>
      <c r="B1391" s="6">
        <v>2963</v>
      </c>
      <c r="C1391" s="6">
        <v>1979</v>
      </c>
      <c r="D1391" s="6">
        <f t="shared" si="84"/>
        <v>46</v>
      </c>
      <c r="E1391" s="7" t="s">
        <v>9</v>
      </c>
      <c r="F1391" s="7" t="s">
        <v>11</v>
      </c>
      <c r="G1391" s="6">
        <v>75507</v>
      </c>
      <c r="H1391" s="6" t="str" cm="1">
        <f t="array" ref="H1391">_xlfn.IFS(
  G1391 &lt; 25000, "Low",
  AND(G1391 &gt;= 25000, G1391 &lt; 75000), "Medium",
  AND(G1391 &gt;= 75000, G1391 &lt; 150000), "High",
  G1391 &gt;= 150000, "Very High"
)</f>
        <v>High</v>
      </c>
      <c r="I1391" s="6">
        <v>0</v>
      </c>
      <c r="J1391" s="6">
        <v>0</v>
      </c>
      <c r="K1391" s="6">
        <f t="shared" si="85"/>
        <v>0</v>
      </c>
      <c r="L1391" s="8">
        <v>41761</v>
      </c>
      <c r="M1391" t="str">
        <f t="shared" ca="1" si="86"/>
        <v>11 years, 10 months</v>
      </c>
      <c r="N1391" s="6">
        <v>56</v>
      </c>
      <c r="O1391">
        <v>93</v>
      </c>
      <c r="P1391">
        <v>80</v>
      </c>
      <c r="Q1391">
        <f t="shared" si="87"/>
        <v>173</v>
      </c>
      <c r="R1391">
        <v>8</v>
      </c>
      <c r="S1391">
        <v>6</v>
      </c>
      <c r="T1391">
        <f>Table[[#This Row],[NumWebPurchases]]+Table[[#This Row],[NumStorePurchases]]</f>
        <v>14</v>
      </c>
    </row>
    <row r="1392" spans="1:20" ht="12.5">
      <c r="A1392" s="6">
        <v>1390</v>
      </c>
      <c r="B1392" s="6">
        <v>8216</v>
      </c>
      <c r="C1392" s="6">
        <v>1972</v>
      </c>
      <c r="D1392" s="6">
        <f t="shared" si="84"/>
        <v>53</v>
      </c>
      <c r="E1392" s="7" t="s">
        <v>14</v>
      </c>
      <c r="F1392" s="7" t="s">
        <v>13</v>
      </c>
      <c r="G1392" s="6">
        <v>53761</v>
      </c>
      <c r="H1392" s="6" t="str" cm="1">
        <f t="array" ref="H1392">_xlfn.IFS(
  G1392 &lt; 25000, "Low",
  AND(G1392 &gt;= 25000, G1392 &lt; 75000), "Medium",
  AND(G1392 &gt;= 75000, G1392 &lt; 150000), "High",
  G1392 &gt;= 150000, "Very High"
)</f>
        <v>Medium</v>
      </c>
      <c r="I1392" s="6">
        <v>1</v>
      </c>
      <c r="J1392" s="6">
        <v>1</v>
      </c>
      <c r="K1392" s="6">
        <f t="shared" si="85"/>
        <v>2</v>
      </c>
      <c r="L1392" s="9">
        <v>41558</v>
      </c>
      <c r="M1392" t="str">
        <f t="shared" ca="1" si="86"/>
        <v>12 years, 4 months</v>
      </c>
      <c r="N1392" s="6">
        <v>7</v>
      </c>
      <c r="O1392">
        <v>0</v>
      </c>
      <c r="P1392">
        <v>7</v>
      </c>
      <c r="Q1392">
        <f t="shared" si="87"/>
        <v>7</v>
      </c>
      <c r="R1392">
        <v>4</v>
      </c>
      <c r="S1392">
        <v>3</v>
      </c>
      <c r="T1392">
        <f>Table[[#This Row],[NumWebPurchases]]+Table[[#This Row],[NumStorePurchases]]</f>
        <v>7</v>
      </c>
    </row>
    <row r="1393" spans="1:20" ht="12.5">
      <c r="A1393" s="6">
        <v>1391</v>
      </c>
      <c r="B1393" s="6">
        <v>8140</v>
      </c>
      <c r="C1393" s="6">
        <v>1973</v>
      </c>
      <c r="D1393" s="6">
        <f t="shared" si="84"/>
        <v>52</v>
      </c>
      <c r="E1393" s="7" t="s">
        <v>9</v>
      </c>
      <c r="F1393" s="7" t="s">
        <v>11</v>
      </c>
      <c r="G1393" s="6">
        <v>22682</v>
      </c>
      <c r="H1393" s="6" t="str" cm="1">
        <f t="array" ref="H1393">_xlfn.IFS(
  G1393 &lt; 25000, "Low",
  AND(G1393 &gt;= 25000, G1393 &lt; 75000), "Medium",
  AND(G1393 &gt;= 75000, G1393 &lt; 150000), "High",
  G1393 &gt;= 150000, "Very High"
)</f>
        <v>Low</v>
      </c>
      <c r="I1393" s="6">
        <v>1</v>
      </c>
      <c r="J1393" s="6">
        <v>0</v>
      </c>
      <c r="K1393" s="6">
        <f t="shared" si="85"/>
        <v>1</v>
      </c>
      <c r="L1393" s="8">
        <v>41550</v>
      </c>
      <c r="M1393" t="str">
        <f t="shared" ca="1" si="86"/>
        <v>12 years, 5 months</v>
      </c>
      <c r="N1393" s="6">
        <v>51</v>
      </c>
      <c r="O1393">
        <v>14</v>
      </c>
      <c r="P1393">
        <v>2</v>
      </c>
      <c r="Q1393">
        <f t="shared" si="87"/>
        <v>16</v>
      </c>
      <c r="R1393">
        <v>2</v>
      </c>
      <c r="S1393">
        <v>4</v>
      </c>
      <c r="T1393">
        <f>Table[[#This Row],[NumWebPurchases]]+Table[[#This Row],[NumStorePurchases]]</f>
        <v>6</v>
      </c>
    </row>
    <row r="1394" spans="1:20" ht="12.5">
      <c r="A1394" s="6">
        <v>1392</v>
      </c>
      <c r="B1394" s="6">
        <v>10146</v>
      </c>
      <c r="C1394" s="6">
        <v>1972</v>
      </c>
      <c r="D1394" s="6">
        <f t="shared" si="84"/>
        <v>53</v>
      </c>
      <c r="E1394" s="7" t="s">
        <v>12</v>
      </c>
      <c r="F1394" s="7" t="s">
        <v>11</v>
      </c>
      <c r="G1394" s="6">
        <v>38887</v>
      </c>
      <c r="H1394" s="6" t="str" cm="1">
        <f t="array" ref="H1394">_xlfn.IFS(
  G1394 &lt; 25000, "Low",
  AND(G1394 &gt;= 25000, G1394 &lt; 75000), "Medium",
  AND(G1394 &gt;= 75000, G1394 &lt; 150000), "High",
  G1394 &gt;= 150000, "Very High"
)</f>
        <v>Medium</v>
      </c>
      <c r="I1394" s="6">
        <v>1</v>
      </c>
      <c r="J1394" s="6">
        <v>0</v>
      </c>
      <c r="K1394" s="6">
        <f t="shared" si="85"/>
        <v>1</v>
      </c>
      <c r="L1394" s="8">
        <v>41700</v>
      </c>
      <c r="M1394" t="str">
        <f t="shared" ca="1" si="86"/>
        <v>12 years, 0 months</v>
      </c>
      <c r="N1394" s="6">
        <v>17</v>
      </c>
      <c r="O1394">
        <v>1</v>
      </c>
      <c r="P1394">
        <v>0</v>
      </c>
      <c r="Q1394">
        <f t="shared" si="87"/>
        <v>1</v>
      </c>
      <c r="R1394">
        <v>1</v>
      </c>
      <c r="S1394">
        <v>3</v>
      </c>
      <c r="T1394">
        <f>Table[[#This Row],[NumWebPurchases]]+Table[[#This Row],[NumStorePurchases]]</f>
        <v>4</v>
      </c>
    </row>
    <row r="1395" spans="1:20" ht="12.5">
      <c r="A1395" s="6">
        <v>1393</v>
      </c>
      <c r="B1395" s="6">
        <v>5289</v>
      </c>
      <c r="C1395" s="6">
        <v>1975</v>
      </c>
      <c r="D1395" s="6">
        <f t="shared" si="84"/>
        <v>50</v>
      </c>
      <c r="E1395" s="7" t="s">
        <v>17</v>
      </c>
      <c r="F1395" s="7" t="s">
        <v>10</v>
      </c>
      <c r="G1395" s="6">
        <v>41658</v>
      </c>
      <c r="H1395" s="6" t="str" cm="1">
        <f t="array" ref="H1395">_xlfn.IFS(
  G1395 &lt; 25000, "Low",
  AND(G1395 &gt;= 25000, G1395 &lt; 75000), "Medium",
  AND(G1395 &gt;= 75000, G1395 &lt; 150000), "High",
  G1395 &gt;= 150000, "Very High"
)</f>
        <v>Medium</v>
      </c>
      <c r="I1395" s="6">
        <v>1</v>
      </c>
      <c r="J1395" s="6">
        <v>1</v>
      </c>
      <c r="K1395" s="6">
        <f t="shared" si="85"/>
        <v>2</v>
      </c>
      <c r="L1395" s="8">
        <v>41222</v>
      </c>
      <c r="M1395" t="str">
        <f t="shared" ca="1" si="86"/>
        <v>13 years, 3 months</v>
      </c>
      <c r="N1395" s="6">
        <v>30</v>
      </c>
      <c r="O1395">
        <v>4</v>
      </c>
      <c r="P1395">
        <v>4</v>
      </c>
      <c r="Q1395">
        <f t="shared" si="87"/>
        <v>8</v>
      </c>
      <c r="R1395">
        <v>1</v>
      </c>
      <c r="S1395">
        <v>2</v>
      </c>
      <c r="T1395">
        <f>Table[[#This Row],[NumWebPurchases]]+Table[[#This Row],[NumStorePurchases]]</f>
        <v>3</v>
      </c>
    </row>
    <row r="1396" spans="1:20" ht="12.5">
      <c r="A1396" s="6">
        <v>1394</v>
      </c>
      <c r="B1396" s="6">
        <v>2587</v>
      </c>
      <c r="C1396" s="6">
        <v>1972</v>
      </c>
      <c r="D1396" s="6">
        <f t="shared" si="84"/>
        <v>53</v>
      </c>
      <c r="E1396" s="7" t="s">
        <v>12</v>
      </c>
      <c r="F1396" s="7" t="s">
        <v>13</v>
      </c>
      <c r="G1396" s="6">
        <v>29791</v>
      </c>
      <c r="H1396" s="6" t="str" cm="1">
        <f t="array" ref="H1396">_xlfn.IFS(
  G1396 &lt; 25000, "Low",
  AND(G1396 &gt;= 25000, G1396 &lt; 75000), "Medium",
  AND(G1396 &gt;= 75000, G1396 &lt; 150000), "High",
  G1396 &gt;= 150000, "Very High"
)</f>
        <v>Medium</v>
      </c>
      <c r="I1396" s="6">
        <v>1</v>
      </c>
      <c r="J1396" s="6">
        <v>0</v>
      </c>
      <c r="K1396" s="6">
        <f t="shared" si="85"/>
        <v>1</v>
      </c>
      <c r="L1396" s="8">
        <v>41774</v>
      </c>
      <c r="M1396" t="str">
        <f t="shared" ca="1" si="86"/>
        <v>11 years, 9 months</v>
      </c>
      <c r="N1396" s="6">
        <v>21</v>
      </c>
      <c r="O1396">
        <v>0</v>
      </c>
      <c r="P1396">
        <v>0</v>
      </c>
      <c r="Q1396">
        <f t="shared" si="87"/>
        <v>0</v>
      </c>
      <c r="R1396">
        <v>2</v>
      </c>
      <c r="S1396">
        <v>3</v>
      </c>
      <c r="T1396">
        <f>Table[[#This Row],[NumWebPurchases]]+Table[[#This Row],[NumStorePurchases]]</f>
        <v>5</v>
      </c>
    </row>
    <row r="1397" spans="1:20" ht="12.5">
      <c r="A1397" s="6">
        <v>1395</v>
      </c>
      <c r="B1397" s="6">
        <v>4405</v>
      </c>
      <c r="C1397" s="6">
        <v>1956</v>
      </c>
      <c r="D1397" s="6">
        <f t="shared" si="84"/>
        <v>69</v>
      </c>
      <c r="E1397" s="7" t="s">
        <v>14</v>
      </c>
      <c r="F1397" s="7" t="s">
        <v>13</v>
      </c>
      <c r="G1397" s="6">
        <v>63915</v>
      </c>
      <c r="H1397" s="6" t="str" cm="1">
        <f t="array" ref="H1397">_xlfn.IFS(
  G1397 &lt; 25000, "Low",
  AND(G1397 &gt;= 25000, G1397 &lt; 75000), "Medium",
  AND(G1397 &gt;= 75000, G1397 &lt; 150000), "High",
  G1397 &gt;= 150000, "Very High"
)</f>
        <v>Medium</v>
      </c>
      <c r="I1397" s="6">
        <v>0</v>
      </c>
      <c r="J1397" s="6">
        <v>2</v>
      </c>
      <c r="K1397" s="6">
        <f t="shared" si="85"/>
        <v>2</v>
      </c>
      <c r="L1397" s="8">
        <v>41485</v>
      </c>
      <c r="M1397" t="str">
        <f t="shared" ca="1" si="86"/>
        <v>12 years, 7 months</v>
      </c>
      <c r="N1397" s="6">
        <v>2</v>
      </c>
      <c r="O1397">
        <v>7</v>
      </c>
      <c r="P1397">
        <v>0</v>
      </c>
      <c r="Q1397">
        <f t="shared" si="87"/>
        <v>7</v>
      </c>
      <c r="R1397">
        <v>6</v>
      </c>
      <c r="S1397">
        <v>12</v>
      </c>
      <c r="T1397">
        <f>Table[[#This Row],[NumWebPurchases]]+Table[[#This Row],[NumStorePurchases]]</f>
        <v>18</v>
      </c>
    </row>
    <row r="1398" spans="1:20" ht="12.5">
      <c r="A1398" s="6">
        <v>1396</v>
      </c>
      <c r="B1398" s="6">
        <v>8663</v>
      </c>
      <c r="C1398" s="6">
        <v>1974</v>
      </c>
      <c r="D1398" s="6">
        <f t="shared" si="84"/>
        <v>51</v>
      </c>
      <c r="E1398" s="7" t="s">
        <v>9</v>
      </c>
      <c r="F1398" s="7" t="s">
        <v>15</v>
      </c>
      <c r="G1398" s="6">
        <v>39996</v>
      </c>
      <c r="H1398" s="6" t="str" cm="1">
        <f t="array" ref="H1398">_xlfn.IFS(
  G1398 &lt; 25000, "Low",
  AND(G1398 &gt;= 25000, G1398 &lt; 75000), "Medium",
  AND(G1398 &gt;= 75000, G1398 &lt; 150000), "High",
  G1398 &gt;= 150000, "Very High"
)</f>
        <v>Medium</v>
      </c>
      <c r="I1398" s="6">
        <v>1</v>
      </c>
      <c r="J1398" s="6">
        <v>1</v>
      </c>
      <c r="K1398" s="6">
        <f t="shared" si="85"/>
        <v>2</v>
      </c>
      <c r="L1398" s="8">
        <v>41781</v>
      </c>
      <c r="M1398" t="str">
        <f t="shared" ca="1" si="86"/>
        <v>11 years, 9 months</v>
      </c>
      <c r="N1398" s="6">
        <v>85</v>
      </c>
      <c r="O1398">
        <v>0</v>
      </c>
      <c r="P1398">
        <v>0</v>
      </c>
      <c r="Q1398">
        <f t="shared" si="87"/>
        <v>0</v>
      </c>
      <c r="R1398">
        <v>1</v>
      </c>
      <c r="S1398">
        <v>2</v>
      </c>
      <c r="T1398">
        <f>Table[[#This Row],[NumWebPurchases]]+Table[[#This Row],[NumStorePurchases]]</f>
        <v>3</v>
      </c>
    </row>
    <row r="1399" spans="1:20" ht="12.5">
      <c r="A1399" s="6">
        <v>1397</v>
      </c>
      <c r="B1399" s="6">
        <v>2589</v>
      </c>
      <c r="C1399" s="6">
        <v>1972</v>
      </c>
      <c r="D1399" s="6">
        <f t="shared" si="84"/>
        <v>53</v>
      </c>
      <c r="E1399" s="7" t="s">
        <v>9</v>
      </c>
      <c r="F1399" s="7" t="s">
        <v>15</v>
      </c>
      <c r="G1399" s="6">
        <v>26759</v>
      </c>
      <c r="H1399" s="6" t="str" cm="1">
        <f t="array" ref="H1399">_xlfn.IFS(
  G1399 &lt; 25000, "Low",
  AND(G1399 &gt;= 25000, G1399 &lt; 75000), "Medium",
  AND(G1399 &gt;= 75000, G1399 &lt; 150000), "High",
  G1399 &gt;= 150000, "Very High"
)</f>
        <v>Medium</v>
      </c>
      <c r="I1399" s="6">
        <v>1</v>
      </c>
      <c r="J1399" s="6">
        <v>0</v>
      </c>
      <c r="K1399" s="6">
        <f t="shared" si="85"/>
        <v>1</v>
      </c>
      <c r="L1399" s="8">
        <v>41677</v>
      </c>
      <c r="M1399" t="str">
        <f t="shared" ca="1" si="86"/>
        <v>12 years, 0 months</v>
      </c>
      <c r="N1399" s="6">
        <v>65</v>
      </c>
      <c r="O1399">
        <v>3</v>
      </c>
      <c r="P1399">
        <v>5</v>
      </c>
      <c r="Q1399">
        <f t="shared" si="87"/>
        <v>8</v>
      </c>
      <c r="R1399">
        <v>2</v>
      </c>
      <c r="S1399">
        <v>3</v>
      </c>
      <c r="T1399">
        <f>Table[[#This Row],[NumWebPurchases]]+Table[[#This Row],[NumStorePurchases]]</f>
        <v>5</v>
      </c>
    </row>
    <row r="1400" spans="1:20" ht="12.5">
      <c r="A1400" s="6">
        <v>1398</v>
      </c>
      <c r="B1400" s="6">
        <v>3421</v>
      </c>
      <c r="C1400" s="6">
        <v>1968</v>
      </c>
      <c r="D1400" s="6">
        <f t="shared" si="84"/>
        <v>57</v>
      </c>
      <c r="E1400" s="7" t="s">
        <v>14</v>
      </c>
      <c r="F1400" s="7" t="s">
        <v>15</v>
      </c>
      <c r="G1400" s="6">
        <v>63841</v>
      </c>
      <c r="H1400" s="6" t="str" cm="1">
        <f t="array" ref="H1400">_xlfn.IFS(
  G1400 &lt; 25000, "Low",
  AND(G1400 &gt;= 25000, G1400 &lt; 75000), "Medium",
  AND(G1400 &gt;= 75000, G1400 &lt; 150000), "High",
  G1400 &gt;= 150000, "Very High"
)</f>
        <v>Medium</v>
      </c>
      <c r="I1400" s="6">
        <v>0</v>
      </c>
      <c r="J1400" s="6">
        <v>1</v>
      </c>
      <c r="K1400" s="6">
        <f t="shared" si="85"/>
        <v>1</v>
      </c>
      <c r="L1400" s="8">
        <v>41385</v>
      </c>
      <c r="M1400" t="str">
        <f t="shared" ca="1" si="86"/>
        <v>12 years, 10 months</v>
      </c>
      <c r="N1400" s="6">
        <v>64</v>
      </c>
      <c r="O1400">
        <v>15</v>
      </c>
      <c r="P1400">
        <v>7</v>
      </c>
      <c r="Q1400">
        <f t="shared" si="87"/>
        <v>22</v>
      </c>
      <c r="R1400">
        <v>9</v>
      </c>
      <c r="S1400">
        <v>9</v>
      </c>
      <c r="T1400">
        <f>Table[[#This Row],[NumWebPurchases]]+Table[[#This Row],[NumStorePurchases]]</f>
        <v>18</v>
      </c>
    </row>
    <row r="1401" spans="1:20" ht="12.5">
      <c r="A1401" s="6">
        <v>1399</v>
      </c>
      <c r="B1401" s="6">
        <v>10490</v>
      </c>
      <c r="C1401" s="6">
        <v>1969</v>
      </c>
      <c r="D1401" s="6">
        <f t="shared" si="84"/>
        <v>56</v>
      </c>
      <c r="E1401" s="7" t="s">
        <v>12</v>
      </c>
      <c r="F1401" s="7" t="s">
        <v>13</v>
      </c>
      <c r="G1401" s="6">
        <v>51039</v>
      </c>
      <c r="H1401" s="6" t="str" cm="1">
        <f t="array" ref="H1401">_xlfn.IFS(
  G1401 &lt; 25000, "Low",
  AND(G1401 &gt;= 25000, G1401 &lt; 75000), "Medium",
  AND(G1401 &gt;= 75000, G1401 &lt; 150000), "High",
  G1401 &gt;= 150000, "Very High"
)</f>
        <v>Medium</v>
      </c>
      <c r="I1401" s="6">
        <v>1</v>
      </c>
      <c r="J1401" s="6">
        <v>1</v>
      </c>
      <c r="K1401" s="6">
        <f t="shared" si="85"/>
        <v>2</v>
      </c>
      <c r="L1401" s="9">
        <v>41253</v>
      </c>
      <c r="M1401" t="str">
        <f t="shared" ca="1" si="86"/>
        <v>13 years, 2 months</v>
      </c>
      <c r="N1401" s="6">
        <v>11</v>
      </c>
      <c r="O1401">
        <v>64</v>
      </c>
      <c r="P1401">
        <v>0</v>
      </c>
      <c r="Q1401">
        <f t="shared" si="87"/>
        <v>64</v>
      </c>
      <c r="R1401">
        <v>6</v>
      </c>
      <c r="S1401">
        <v>4</v>
      </c>
      <c r="T1401">
        <f>Table[[#This Row],[NumWebPurchases]]+Table[[#This Row],[NumStorePurchases]]</f>
        <v>10</v>
      </c>
    </row>
    <row r="1402" spans="1:20" ht="12.5">
      <c r="A1402" s="6">
        <v>1400</v>
      </c>
      <c r="B1402" s="6">
        <v>4094</v>
      </c>
      <c r="C1402" s="6">
        <v>1961</v>
      </c>
      <c r="D1402" s="6">
        <f t="shared" si="84"/>
        <v>64</v>
      </c>
      <c r="E1402" s="7" t="s">
        <v>9</v>
      </c>
      <c r="F1402" s="7" t="s">
        <v>13</v>
      </c>
      <c r="G1402" s="6">
        <v>60544</v>
      </c>
      <c r="H1402" s="6" t="str" cm="1">
        <f t="array" ref="H1402">_xlfn.IFS(
  G1402 &lt; 25000, "Low",
  AND(G1402 &gt;= 25000, G1402 &lt; 75000), "Medium",
  AND(G1402 &gt;= 75000, G1402 &lt; 150000), "High",
  G1402 &gt;= 150000, "Very High"
)</f>
        <v>Medium</v>
      </c>
      <c r="I1402" s="6">
        <v>1</v>
      </c>
      <c r="J1402" s="6">
        <v>1</v>
      </c>
      <c r="K1402" s="6">
        <f t="shared" si="85"/>
        <v>2</v>
      </c>
      <c r="L1402" s="8">
        <v>41146</v>
      </c>
      <c r="M1402" t="str">
        <f t="shared" ca="1" si="86"/>
        <v>13 years, 6 months</v>
      </c>
      <c r="N1402" s="6">
        <v>92</v>
      </c>
      <c r="O1402">
        <v>2</v>
      </c>
      <c r="P1402">
        <v>5</v>
      </c>
      <c r="Q1402">
        <f t="shared" si="87"/>
        <v>7</v>
      </c>
      <c r="R1402">
        <v>5</v>
      </c>
      <c r="S1402">
        <v>5</v>
      </c>
      <c r="T1402">
        <f>Table[[#This Row],[NumWebPurchases]]+Table[[#This Row],[NumStorePurchases]]</f>
        <v>10</v>
      </c>
    </row>
    <row r="1403" spans="1:20" ht="12.5">
      <c r="A1403" s="6">
        <v>1401</v>
      </c>
      <c r="B1403" s="6">
        <v>9958</v>
      </c>
      <c r="C1403" s="6">
        <v>1972</v>
      </c>
      <c r="D1403" s="6">
        <f t="shared" si="84"/>
        <v>53</v>
      </c>
      <c r="E1403" s="7" t="s">
        <v>9</v>
      </c>
      <c r="F1403" s="7" t="s">
        <v>13</v>
      </c>
      <c r="G1403" s="6">
        <v>65685</v>
      </c>
      <c r="H1403" s="6" t="str" cm="1">
        <f t="array" ref="H1403">_xlfn.IFS(
  G1403 &lt; 25000, "Low",
  AND(G1403 &gt;= 25000, G1403 &lt; 75000), "Medium",
  AND(G1403 &gt;= 75000, G1403 &lt; 150000), "High",
  G1403 &gt;= 150000, "Very High"
)</f>
        <v>Medium</v>
      </c>
      <c r="I1403" s="6">
        <v>0</v>
      </c>
      <c r="J1403" s="6">
        <v>1</v>
      </c>
      <c r="K1403" s="6">
        <f t="shared" si="85"/>
        <v>1</v>
      </c>
      <c r="L1403" s="8">
        <v>41727</v>
      </c>
      <c r="M1403" t="str">
        <f t="shared" ca="1" si="86"/>
        <v>11 years, 11 months</v>
      </c>
      <c r="N1403" s="6">
        <v>54</v>
      </c>
      <c r="O1403">
        <v>14</v>
      </c>
      <c r="P1403">
        <v>7</v>
      </c>
      <c r="Q1403">
        <f t="shared" si="87"/>
        <v>21</v>
      </c>
      <c r="R1403">
        <v>9</v>
      </c>
      <c r="S1403">
        <v>9</v>
      </c>
      <c r="T1403">
        <f>Table[[#This Row],[NumWebPurchases]]+Table[[#This Row],[NumStorePurchases]]</f>
        <v>18</v>
      </c>
    </row>
    <row r="1404" spans="1:20" ht="12.5">
      <c r="A1404" s="6">
        <v>1402</v>
      </c>
      <c r="B1404" s="6">
        <v>2534</v>
      </c>
      <c r="C1404" s="6">
        <v>1953</v>
      </c>
      <c r="D1404" s="6">
        <f t="shared" si="84"/>
        <v>72</v>
      </c>
      <c r="E1404" s="7" t="s">
        <v>9</v>
      </c>
      <c r="F1404" s="7" t="s">
        <v>13</v>
      </c>
      <c r="G1404" s="6">
        <v>37716</v>
      </c>
      <c r="H1404" s="6" t="str" cm="1">
        <f t="array" ref="H1404">_xlfn.IFS(
  G1404 &lt; 25000, "Low",
  AND(G1404 &gt;= 25000, G1404 &lt; 75000), "Medium",
  AND(G1404 &gt;= 75000, G1404 &lt; 150000), "High",
  G1404 &gt;= 150000, "Very High"
)</f>
        <v>Medium</v>
      </c>
      <c r="I1404" s="6">
        <v>0</v>
      </c>
      <c r="J1404" s="6">
        <v>1</v>
      </c>
      <c r="K1404" s="6">
        <f t="shared" si="85"/>
        <v>1</v>
      </c>
      <c r="L1404" s="8">
        <v>41750</v>
      </c>
      <c r="M1404" t="str">
        <f t="shared" ca="1" si="86"/>
        <v>11 years, 10 months</v>
      </c>
      <c r="N1404" s="6">
        <v>4</v>
      </c>
      <c r="O1404">
        <v>1</v>
      </c>
      <c r="P1404">
        <v>2</v>
      </c>
      <c r="Q1404">
        <f t="shared" si="87"/>
        <v>3</v>
      </c>
      <c r="R1404">
        <v>4</v>
      </c>
      <c r="S1404">
        <v>3</v>
      </c>
      <c r="T1404">
        <f>Table[[#This Row],[NumWebPurchases]]+Table[[#This Row],[NumStorePurchases]]</f>
        <v>7</v>
      </c>
    </row>
    <row r="1405" spans="1:20" ht="12.5">
      <c r="A1405" s="6">
        <v>1403</v>
      </c>
      <c r="B1405" s="6">
        <v>4188</v>
      </c>
      <c r="C1405" s="6">
        <v>1957</v>
      </c>
      <c r="D1405" s="6">
        <f t="shared" si="84"/>
        <v>68</v>
      </c>
      <c r="E1405" s="7" t="s">
        <v>9</v>
      </c>
      <c r="F1405" s="7" t="s">
        <v>10</v>
      </c>
      <c r="G1405" s="6">
        <v>36864</v>
      </c>
      <c r="H1405" s="6" t="str" cm="1">
        <f t="array" ref="H1405">_xlfn.IFS(
  G1405 &lt; 25000, "Low",
  AND(G1405 &gt;= 25000, G1405 &lt; 75000), "Medium",
  AND(G1405 &gt;= 75000, G1405 &lt; 150000), "High",
  G1405 &gt;= 150000, "Very High"
)</f>
        <v>Medium</v>
      </c>
      <c r="I1405" s="6">
        <v>0</v>
      </c>
      <c r="J1405" s="6">
        <v>1</v>
      </c>
      <c r="K1405" s="6">
        <f t="shared" si="85"/>
        <v>1</v>
      </c>
      <c r="L1405" s="8">
        <v>41134</v>
      </c>
      <c r="M1405" t="str">
        <f t="shared" ca="1" si="86"/>
        <v>13 years, 6 months</v>
      </c>
      <c r="N1405" s="6">
        <v>53</v>
      </c>
      <c r="O1405">
        <v>5</v>
      </c>
      <c r="P1405">
        <v>0</v>
      </c>
      <c r="Q1405">
        <f t="shared" si="87"/>
        <v>5</v>
      </c>
      <c r="R1405">
        <v>5</v>
      </c>
      <c r="S1405">
        <v>4</v>
      </c>
      <c r="T1405">
        <f>Table[[#This Row],[NumWebPurchases]]+Table[[#This Row],[NumStorePurchases]]</f>
        <v>9</v>
      </c>
    </row>
    <row r="1406" spans="1:20" ht="12.5">
      <c r="A1406" s="6">
        <v>1404</v>
      </c>
      <c r="B1406" s="6">
        <v>6613</v>
      </c>
      <c r="C1406" s="6">
        <v>1970</v>
      </c>
      <c r="D1406" s="6">
        <f t="shared" si="84"/>
        <v>55</v>
      </c>
      <c r="E1406" s="7" t="s">
        <v>14</v>
      </c>
      <c r="F1406" s="7" t="s">
        <v>13</v>
      </c>
      <c r="G1406" s="6">
        <v>44511</v>
      </c>
      <c r="H1406" s="6" t="str" cm="1">
        <f t="array" ref="H1406">_xlfn.IFS(
  G1406 &lt; 25000, "Low",
  AND(G1406 &gt;= 25000, G1406 &lt; 75000), "Medium",
  AND(G1406 &gt;= 75000, G1406 &lt; 150000), "High",
  G1406 &gt;= 150000, "Very High"
)</f>
        <v>Medium</v>
      </c>
      <c r="I1406" s="6">
        <v>1</v>
      </c>
      <c r="J1406" s="6">
        <v>0</v>
      </c>
      <c r="K1406" s="6">
        <f t="shared" si="85"/>
        <v>1</v>
      </c>
      <c r="L1406" s="9">
        <v>41194</v>
      </c>
      <c r="M1406" t="str">
        <f t="shared" ca="1" si="86"/>
        <v>13 years, 4 months</v>
      </c>
      <c r="N1406" s="6">
        <v>39</v>
      </c>
      <c r="O1406">
        <v>7</v>
      </c>
      <c r="P1406">
        <v>14</v>
      </c>
      <c r="Q1406">
        <f t="shared" si="87"/>
        <v>21</v>
      </c>
      <c r="R1406">
        <v>8</v>
      </c>
      <c r="S1406">
        <v>8</v>
      </c>
      <c r="T1406">
        <f>Table[[#This Row],[NumWebPurchases]]+Table[[#This Row],[NumStorePurchases]]</f>
        <v>16</v>
      </c>
    </row>
    <row r="1407" spans="1:20" ht="12.5">
      <c r="A1407" s="6">
        <v>1405</v>
      </c>
      <c r="B1407" s="6">
        <v>10827</v>
      </c>
      <c r="C1407" s="6">
        <v>1967</v>
      </c>
      <c r="D1407" s="6">
        <f t="shared" si="84"/>
        <v>58</v>
      </c>
      <c r="E1407" s="7" t="s">
        <v>12</v>
      </c>
      <c r="F1407" s="7" t="s">
        <v>13</v>
      </c>
      <c r="G1407" s="6">
        <v>36947</v>
      </c>
      <c r="H1407" s="6" t="str" cm="1">
        <f t="array" ref="H1407">_xlfn.IFS(
  G1407 &lt; 25000, "Low",
  AND(G1407 &gt;= 25000, G1407 &lt; 75000), "Medium",
  AND(G1407 &gt;= 75000, G1407 &lt; 150000), "High",
  G1407 &gt;= 150000, "Very High"
)</f>
        <v>Medium</v>
      </c>
      <c r="I1407" s="6">
        <v>1</v>
      </c>
      <c r="J1407" s="6">
        <v>1</v>
      </c>
      <c r="K1407" s="6">
        <f t="shared" si="85"/>
        <v>2</v>
      </c>
      <c r="L1407" s="8">
        <v>41128</v>
      </c>
      <c r="M1407" t="str">
        <f t="shared" ca="1" si="86"/>
        <v>13 years, 6 months</v>
      </c>
      <c r="N1407" s="6">
        <v>49</v>
      </c>
      <c r="O1407">
        <v>3</v>
      </c>
      <c r="P1407">
        <v>1</v>
      </c>
      <c r="Q1407">
        <f t="shared" si="87"/>
        <v>4</v>
      </c>
      <c r="R1407">
        <v>3</v>
      </c>
      <c r="S1407">
        <v>4</v>
      </c>
      <c r="T1407">
        <f>Table[[#This Row],[NumWebPurchases]]+Table[[#This Row],[NumStorePurchases]]</f>
        <v>7</v>
      </c>
    </row>
    <row r="1408" spans="1:20" ht="12.5">
      <c r="A1408" s="6">
        <v>1406</v>
      </c>
      <c r="B1408" s="6">
        <v>5491</v>
      </c>
      <c r="C1408" s="6">
        <v>1951</v>
      </c>
      <c r="D1408" s="6">
        <f t="shared" si="84"/>
        <v>74</v>
      </c>
      <c r="E1408" s="7" t="s">
        <v>14</v>
      </c>
      <c r="F1408" s="7" t="s">
        <v>11</v>
      </c>
      <c r="G1408" s="6">
        <v>47352</v>
      </c>
      <c r="H1408" s="6" t="str" cm="1">
        <f t="array" ref="H1408">_xlfn.IFS(
  G1408 &lt; 25000, "Low",
  AND(G1408 &gt;= 25000, G1408 &lt; 75000), "Medium",
  AND(G1408 &gt;= 75000, G1408 &lt; 150000), "High",
  G1408 &gt;= 150000, "Very High"
)</f>
        <v>Medium</v>
      </c>
      <c r="I1408" s="6">
        <v>0</v>
      </c>
      <c r="J1408" s="6">
        <v>1</v>
      </c>
      <c r="K1408" s="6">
        <f t="shared" si="85"/>
        <v>1</v>
      </c>
      <c r="L1408" s="8">
        <v>41375</v>
      </c>
      <c r="M1408" t="str">
        <f t="shared" ca="1" si="86"/>
        <v>12 years, 10 months</v>
      </c>
      <c r="N1408" s="6">
        <v>70</v>
      </c>
      <c r="O1408">
        <v>12</v>
      </c>
      <c r="P1408">
        <v>0</v>
      </c>
      <c r="Q1408">
        <f t="shared" si="87"/>
        <v>12</v>
      </c>
      <c r="R1408">
        <v>6</v>
      </c>
      <c r="S1408">
        <v>5</v>
      </c>
      <c r="T1408">
        <f>Table[[#This Row],[NumWebPurchases]]+Table[[#This Row],[NumStorePurchases]]</f>
        <v>11</v>
      </c>
    </row>
    <row r="1409" spans="1:20" ht="12.5">
      <c r="A1409" s="6">
        <v>1407</v>
      </c>
      <c r="B1409" s="6">
        <v>8402</v>
      </c>
      <c r="C1409" s="6">
        <v>1953</v>
      </c>
      <c r="D1409" s="6">
        <f t="shared" si="84"/>
        <v>72</v>
      </c>
      <c r="E1409" s="7" t="s">
        <v>14</v>
      </c>
      <c r="F1409" s="7" t="s">
        <v>13</v>
      </c>
      <c r="G1409" s="6">
        <v>67087</v>
      </c>
      <c r="H1409" s="6" t="str" cm="1">
        <f t="array" ref="H1409">_xlfn.IFS(
  G1409 &lt; 25000, "Low",
  AND(G1409 &gt;= 25000, G1409 &lt; 75000), "Medium",
  AND(G1409 &gt;= 75000, G1409 &lt; 150000), "High",
  G1409 &gt;= 150000, "Very High"
)</f>
        <v>Medium</v>
      </c>
      <c r="I1409" s="6">
        <v>0</v>
      </c>
      <c r="J1409" s="6">
        <v>1</v>
      </c>
      <c r="K1409" s="6">
        <f t="shared" si="85"/>
        <v>1</v>
      </c>
      <c r="L1409" s="9">
        <v>41625</v>
      </c>
      <c r="M1409" t="str">
        <f t="shared" ca="1" si="86"/>
        <v>12 years, 2 months</v>
      </c>
      <c r="N1409" s="6">
        <v>40</v>
      </c>
      <c r="O1409">
        <v>35</v>
      </c>
      <c r="P1409">
        <v>35</v>
      </c>
      <c r="Q1409">
        <f t="shared" si="87"/>
        <v>70</v>
      </c>
      <c r="R1409">
        <v>7</v>
      </c>
      <c r="S1409">
        <v>8</v>
      </c>
      <c r="T1409">
        <f>Table[[#This Row],[NumWebPurchases]]+Table[[#This Row],[NumStorePurchases]]</f>
        <v>15</v>
      </c>
    </row>
    <row r="1410" spans="1:20" ht="12.5">
      <c r="A1410" s="6">
        <v>1408</v>
      </c>
      <c r="B1410" s="6">
        <v>8783</v>
      </c>
      <c r="C1410" s="6">
        <v>1950</v>
      </c>
      <c r="D1410" s="6">
        <f t="shared" si="84"/>
        <v>75</v>
      </c>
      <c r="E1410" s="7" t="s">
        <v>9</v>
      </c>
      <c r="F1410" s="7" t="s">
        <v>13</v>
      </c>
      <c r="G1410" s="6">
        <v>57045</v>
      </c>
      <c r="H1410" s="6" t="str" cm="1">
        <f t="array" ref="H1410">_xlfn.IFS(
  G1410 &lt; 25000, "Low",
  AND(G1410 &gt;= 25000, G1410 &lt; 75000), "Medium",
  AND(G1410 &gt;= 75000, G1410 &lt; 150000), "High",
  G1410 &gt;= 150000, "Very High"
)</f>
        <v>Medium</v>
      </c>
      <c r="I1410" s="6">
        <v>0</v>
      </c>
      <c r="J1410" s="6">
        <v>1</v>
      </c>
      <c r="K1410" s="6">
        <f t="shared" si="85"/>
        <v>1</v>
      </c>
      <c r="L1410" s="8">
        <v>41160</v>
      </c>
      <c r="M1410" t="str">
        <f t="shared" ca="1" si="86"/>
        <v>13 years, 5 months</v>
      </c>
      <c r="N1410" s="6">
        <v>40</v>
      </c>
      <c r="O1410">
        <v>13</v>
      </c>
      <c r="P1410">
        <v>13</v>
      </c>
      <c r="Q1410">
        <f t="shared" si="87"/>
        <v>26</v>
      </c>
      <c r="R1410">
        <v>4</v>
      </c>
      <c r="S1410">
        <v>9</v>
      </c>
      <c r="T1410">
        <f>Table[[#This Row],[NumWebPurchases]]+Table[[#This Row],[NumStorePurchases]]</f>
        <v>13</v>
      </c>
    </row>
    <row r="1411" spans="1:20" ht="12.5">
      <c r="A1411" s="6">
        <v>1409</v>
      </c>
      <c r="B1411" s="6">
        <v>10010</v>
      </c>
      <c r="C1411" s="6">
        <v>1953</v>
      </c>
      <c r="D1411" s="6">
        <f t="shared" ref="D1411:D1474" si="88">2025-C1411</f>
        <v>72</v>
      </c>
      <c r="E1411" s="7" t="s">
        <v>12</v>
      </c>
      <c r="F1411" s="7" t="s">
        <v>15</v>
      </c>
      <c r="G1411" s="6">
        <v>36957</v>
      </c>
      <c r="H1411" s="6" t="str" cm="1">
        <f t="array" ref="H1411">_xlfn.IFS(
  G1411 &lt; 25000, "Low",
  AND(G1411 &gt;= 25000, G1411 &lt; 75000), "Medium",
  AND(G1411 &gt;= 75000, G1411 &lt; 150000), "High",
  G1411 &gt;= 150000, "Very High"
)</f>
        <v>Medium</v>
      </c>
      <c r="I1411" s="6">
        <v>1</v>
      </c>
      <c r="J1411" s="6">
        <v>1</v>
      </c>
      <c r="K1411" s="6">
        <f t="shared" ref="K1411:K1474" si="89">I1411+J1411</f>
        <v>2</v>
      </c>
      <c r="L1411" s="8">
        <v>41158</v>
      </c>
      <c r="M1411" t="str">
        <f t="shared" ref="M1411:M1474" ca="1" si="90">DATEDIF(L1411, TODAY(), "Y") &amp; " years, " &amp; DATEDIF(L1411, TODAY(), "YM") &amp; " months"</f>
        <v>13 years, 6 months</v>
      </c>
      <c r="N1411" s="6">
        <v>43</v>
      </c>
      <c r="O1411">
        <v>2</v>
      </c>
      <c r="P1411">
        <v>1</v>
      </c>
      <c r="Q1411">
        <f t="shared" ref="Q1411:Q1474" si="91">O1411+P1411</f>
        <v>3</v>
      </c>
      <c r="R1411">
        <v>3</v>
      </c>
      <c r="S1411">
        <v>2</v>
      </c>
      <c r="T1411">
        <f>Table[[#This Row],[NumWebPurchases]]+Table[[#This Row],[NumStorePurchases]]</f>
        <v>5</v>
      </c>
    </row>
    <row r="1412" spans="1:20" ht="12.5">
      <c r="A1412" s="6">
        <v>1410</v>
      </c>
      <c r="B1412" s="6">
        <v>618</v>
      </c>
      <c r="C1412" s="6">
        <v>1977</v>
      </c>
      <c r="D1412" s="6">
        <f t="shared" si="88"/>
        <v>48</v>
      </c>
      <c r="E1412" s="7" t="s">
        <v>12</v>
      </c>
      <c r="F1412" s="7" t="s">
        <v>13</v>
      </c>
      <c r="G1412" s="6">
        <v>69389</v>
      </c>
      <c r="H1412" s="6" t="str" cm="1">
        <f t="array" ref="H1412">_xlfn.IFS(
  G1412 &lt; 25000, "Low",
  AND(G1412 &gt;= 25000, G1412 &lt; 75000), "Medium",
  AND(G1412 &gt;= 75000, G1412 &lt; 150000), "High",
  G1412 &gt;= 150000, "Very High"
)</f>
        <v>Medium</v>
      </c>
      <c r="I1412" s="6">
        <v>0</v>
      </c>
      <c r="J1412" s="6">
        <v>1</v>
      </c>
      <c r="K1412" s="6">
        <f t="shared" si="89"/>
        <v>1</v>
      </c>
      <c r="L1412" s="8">
        <v>41180</v>
      </c>
      <c r="M1412" t="str">
        <f t="shared" ca="1" si="90"/>
        <v>13 years, 5 months</v>
      </c>
      <c r="N1412" s="6">
        <v>17</v>
      </c>
      <c r="O1412">
        <v>7</v>
      </c>
      <c r="P1412">
        <v>46</v>
      </c>
      <c r="Q1412">
        <f t="shared" si="91"/>
        <v>53</v>
      </c>
      <c r="R1412">
        <v>7</v>
      </c>
      <c r="S1412">
        <v>12</v>
      </c>
      <c r="T1412">
        <f>Table[[#This Row],[NumWebPurchases]]+Table[[#This Row],[NumStorePurchases]]</f>
        <v>19</v>
      </c>
    </row>
    <row r="1413" spans="1:20" ht="12.5">
      <c r="A1413" s="6">
        <v>1411</v>
      </c>
      <c r="B1413" s="6">
        <v>9121</v>
      </c>
      <c r="C1413" s="6">
        <v>1972</v>
      </c>
      <c r="D1413" s="6">
        <f t="shared" si="88"/>
        <v>53</v>
      </c>
      <c r="E1413" s="7" t="s">
        <v>9</v>
      </c>
      <c r="F1413" s="7" t="s">
        <v>13</v>
      </c>
      <c r="G1413" s="6">
        <v>80134</v>
      </c>
      <c r="H1413" s="6" t="str" cm="1">
        <f t="array" ref="H1413">_xlfn.IFS(
  G1413 &lt; 25000, "Low",
  AND(G1413 &gt;= 25000, G1413 &lt; 75000), "Medium",
  AND(G1413 &gt;= 75000, G1413 &lt; 150000), "High",
  G1413 &gt;= 150000, "Very High"
)</f>
        <v>High</v>
      </c>
      <c r="I1413" s="6">
        <v>1</v>
      </c>
      <c r="J1413" s="6">
        <v>0</v>
      </c>
      <c r="K1413" s="6">
        <f t="shared" si="89"/>
        <v>1</v>
      </c>
      <c r="L1413" s="8">
        <v>41414</v>
      </c>
      <c r="M1413" t="str">
        <f t="shared" ca="1" si="90"/>
        <v>12 years, 9 months</v>
      </c>
      <c r="N1413" s="6">
        <v>40</v>
      </c>
      <c r="O1413">
        <v>16</v>
      </c>
      <c r="P1413">
        <v>0</v>
      </c>
      <c r="Q1413">
        <f t="shared" si="91"/>
        <v>16</v>
      </c>
      <c r="R1413">
        <v>5</v>
      </c>
      <c r="S1413">
        <v>6</v>
      </c>
      <c r="T1413">
        <f>Table[[#This Row],[NumWebPurchases]]+Table[[#This Row],[NumStorePurchases]]</f>
        <v>11</v>
      </c>
    </row>
    <row r="1414" spans="1:20" ht="12.5">
      <c r="A1414" s="6">
        <v>1412</v>
      </c>
      <c r="B1414" s="6">
        <v>361</v>
      </c>
      <c r="C1414" s="6">
        <v>1969</v>
      </c>
      <c r="D1414" s="6">
        <f t="shared" si="88"/>
        <v>56</v>
      </c>
      <c r="E1414" s="7" t="s">
        <v>14</v>
      </c>
      <c r="F1414" s="7" t="s">
        <v>13</v>
      </c>
      <c r="G1414" s="6">
        <v>43142</v>
      </c>
      <c r="H1414" s="6" t="str" cm="1">
        <f t="array" ref="H1414">_xlfn.IFS(
  G1414 &lt; 25000, "Low",
  AND(G1414 &gt;= 25000, G1414 &lt; 75000), "Medium",
  AND(G1414 &gt;= 75000, G1414 &lt; 150000), "High",
  G1414 &gt;= 150000, "Very High"
)</f>
        <v>Medium</v>
      </c>
      <c r="I1414" s="6">
        <v>1</v>
      </c>
      <c r="J1414" s="6">
        <v>1</v>
      </c>
      <c r="K1414" s="6">
        <f t="shared" si="89"/>
        <v>2</v>
      </c>
      <c r="L1414" s="8">
        <v>41688</v>
      </c>
      <c r="M1414" t="str">
        <f t="shared" ca="1" si="90"/>
        <v>12 years, 0 months</v>
      </c>
      <c r="N1414" s="6">
        <v>84</v>
      </c>
      <c r="O1414">
        <v>1</v>
      </c>
      <c r="P1414">
        <v>1</v>
      </c>
      <c r="Q1414">
        <f t="shared" si="91"/>
        <v>2</v>
      </c>
      <c r="R1414">
        <v>1</v>
      </c>
      <c r="S1414">
        <v>2</v>
      </c>
      <c r="T1414">
        <f>Table[[#This Row],[NumWebPurchases]]+Table[[#This Row],[NumStorePurchases]]</f>
        <v>3</v>
      </c>
    </row>
    <row r="1415" spans="1:20" ht="12.5">
      <c r="A1415" s="6">
        <v>1413</v>
      </c>
      <c r="B1415" s="6">
        <v>4310</v>
      </c>
      <c r="C1415" s="6">
        <v>1944</v>
      </c>
      <c r="D1415" s="6">
        <f t="shared" si="88"/>
        <v>81</v>
      </c>
      <c r="E1415" s="7" t="s">
        <v>9</v>
      </c>
      <c r="F1415" s="7" t="s">
        <v>13</v>
      </c>
      <c r="G1415" s="6">
        <v>80589</v>
      </c>
      <c r="H1415" s="6" t="str" cm="1">
        <f t="array" ref="H1415">_xlfn.IFS(
  G1415 &lt; 25000, "Low",
  AND(G1415 &gt;= 25000, G1415 &lt; 75000), "Medium",
  AND(G1415 &gt;= 75000, G1415 &lt; 150000), "High",
  G1415 &gt;= 150000, "Very High"
)</f>
        <v>High</v>
      </c>
      <c r="I1415" s="6">
        <v>0</v>
      </c>
      <c r="J1415" s="6">
        <v>0</v>
      </c>
      <c r="K1415" s="6">
        <f t="shared" si="89"/>
        <v>0</v>
      </c>
      <c r="L1415" s="8">
        <v>41661</v>
      </c>
      <c r="M1415" t="str">
        <f t="shared" ca="1" si="90"/>
        <v>12 years, 1 months</v>
      </c>
      <c r="N1415" s="6">
        <v>25</v>
      </c>
      <c r="O1415">
        <v>93</v>
      </c>
      <c r="P1415">
        <v>40</v>
      </c>
      <c r="Q1415">
        <f t="shared" si="91"/>
        <v>133</v>
      </c>
      <c r="R1415">
        <v>5</v>
      </c>
      <c r="S1415">
        <v>5</v>
      </c>
      <c r="T1415">
        <f>Table[[#This Row],[NumWebPurchases]]+Table[[#This Row],[NumStorePurchases]]</f>
        <v>10</v>
      </c>
    </row>
    <row r="1416" spans="1:20" ht="12.5">
      <c r="A1416" s="6">
        <v>1414</v>
      </c>
      <c r="B1416" s="6">
        <v>2678</v>
      </c>
      <c r="C1416" s="6">
        <v>1990</v>
      </c>
      <c r="D1416" s="6">
        <f t="shared" si="88"/>
        <v>35</v>
      </c>
      <c r="E1416" s="7" t="s">
        <v>9</v>
      </c>
      <c r="F1416" s="7" t="s">
        <v>10</v>
      </c>
      <c r="G1416" s="6">
        <v>34412</v>
      </c>
      <c r="H1416" s="6" t="str" cm="1">
        <f t="array" ref="H1416">_xlfn.IFS(
  G1416 &lt; 25000, "Low",
  AND(G1416 &gt;= 25000, G1416 &lt; 75000), "Medium",
  AND(G1416 &gt;= 75000, G1416 &lt; 150000), "High",
  G1416 &gt;= 150000, "Very High"
)</f>
        <v>Medium</v>
      </c>
      <c r="I1416" s="6">
        <v>1</v>
      </c>
      <c r="J1416" s="6">
        <v>0</v>
      </c>
      <c r="K1416" s="6">
        <f t="shared" si="89"/>
        <v>1</v>
      </c>
      <c r="L1416" s="8">
        <v>41318</v>
      </c>
      <c r="M1416" t="str">
        <f t="shared" ca="1" si="90"/>
        <v>13 years, 0 months</v>
      </c>
      <c r="N1416" s="6">
        <v>62</v>
      </c>
      <c r="O1416">
        <v>12</v>
      </c>
      <c r="P1416">
        <v>36</v>
      </c>
      <c r="Q1416">
        <f t="shared" si="91"/>
        <v>48</v>
      </c>
      <c r="R1416">
        <v>5</v>
      </c>
      <c r="S1416">
        <v>3</v>
      </c>
      <c r="T1416">
        <f>Table[[#This Row],[NumWebPurchases]]+Table[[#This Row],[NumStorePurchases]]</f>
        <v>8</v>
      </c>
    </row>
    <row r="1417" spans="1:20" ht="12.5">
      <c r="A1417" s="6">
        <v>1415</v>
      </c>
      <c r="B1417" s="6">
        <v>6376</v>
      </c>
      <c r="C1417" s="6">
        <v>1979</v>
      </c>
      <c r="D1417" s="6">
        <f t="shared" si="88"/>
        <v>46</v>
      </c>
      <c r="E1417" s="7" t="s">
        <v>9</v>
      </c>
      <c r="F1417" s="7" t="s">
        <v>10</v>
      </c>
      <c r="G1417" s="6">
        <v>57537</v>
      </c>
      <c r="H1417" s="6" t="str" cm="1">
        <f t="array" ref="H1417">_xlfn.IFS(
  G1417 &lt; 25000, "Low",
  AND(G1417 &gt;= 25000, G1417 &lt; 75000), "Medium",
  AND(G1417 &gt;= 75000, G1417 &lt; 150000), "High",
  G1417 &gt;= 150000, "Very High"
)</f>
        <v>Medium</v>
      </c>
      <c r="I1417" s="6">
        <v>1</v>
      </c>
      <c r="J1417" s="6">
        <v>0</v>
      </c>
      <c r="K1417" s="6">
        <f t="shared" si="89"/>
        <v>1</v>
      </c>
      <c r="L1417" s="8">
        <v>41435</v>
      </c>
      <c r="M1417" t="str">
        <f t="shared" ca="1" si="90"/>
        <v>12 years, 8 months</v>
      </c>
      <c r="N1417" s="6">
        <v>83</v>
      </c>
      <c r="O1417">
        <v>56</v>
      </c>
      <c r="P1417">
        <v>8</v>
      </c>
      <c r="Q1417">
        <f t="shared" si="91"/>
        <v>64</v>
      </c>
      <c r="R1417">
        <v>4</v>
      </c>
      <c r="S1417">
        <v>8</v>
      </c>
      <c r="T1417">
        <f>Table[[#This Row],[NumWebPurchases]]+Table[[#This Row],[NumStorePurchases]]</f>
        <v>12</v>
      </c>
    </row>
    <row r="1418" spans="1:20" ht="12.5">
      <c r="A1418" s="6">
        <v>1416</v>
      </c>
      <c r="B1418" s="6">
        <v>524</v>
      </c>
      <c r="C1418" s="6">
        <v>1966</v>
      </c>
      <c r="D1418" s="6">
        <f t="shared" si="88"/>
        <v>59</v>
      </c>
      <c r="E1418" s="7" t="s">
        <v>16</v>
      </c>
      <c r="F1418" s="7" t="s">
        <v>11</v>
      </c>
      <c r="G1418" s="6">
        <v>22634</v>
      </c>
      <c r="H1418" s="6" t="str" cm="1">
        <f t="array" ref="H1418">_xlfn.IFS(
  G1418 &lt; 25000, "Low",
  AND(G1418 &gt;= 25000, G1418 &lt; 75000), "Medium",
  AND(G1418 &gt;= 75000, G1418 &lt; 150000), "High",
  G1418 &gt;= 150000, "Very High"
)</f>
        <v>Low</v>
      </c>
      <c r="I1418" s="6">
        <v>0</v>
      </c>
      <c r="J1418" s="6">
        <v>0</v>
      </c>
      <c r="K1418" s="6">
        <f t="shared" si="89"/>
        <v>0</v>
      </c>
      <c r="L1418" s="8">
        <v>41290</v>
      </c>
      <c r="M1418" t="str">
        <f t="shared" ca="1" si="90"/>
        <v>13 years, 1 months</v>
      </c>
      <c r="N1418" s="6">
        <v>47</v>
      </c>
      <c r="O1418">
        <v>23</v>
      </c>
      <c r="P1418">
        <v>6</v>
      </c>
      <c r="Q1418">
        <f t="shared" si="91"/>
        <v>29</v>
      </c>
      <c r="R1418">
        <v>2</v>
      </c>
      <c r="S1418">
        <v>2</v>
      </c>
      <c r="T1418">
        <f>Table[[#This Row],[NumWebPurchases]]+Table[[#This Row],[NumStorePurchases]]</f>
        <v>4</v>
      </c>
    </row>
    <row r="1419" spans="1:20" ht="12.5">
      <c r="A1419" s="6">
        <v>1417</v>
      </c>
      <c r="B1419" s="6">
        <v>10341</v>
      </c>
      <c r="C1419" s="6">
        <v>1948</v>
      </c>
      <c r="D1419" s="6">
        <f t="shared" si="88"/>
        <v>77</v>
      </c>
      <c r="E1419" s="7" t="s">
        <v>9</v>
      </c>
      <c r="F1419" s="7" t="s">
        <v>11</v>
      </c>
      <c r="G1419" s="6">
        <v>51315</v>
      </c>
      <c r="H1419" s="6" t="str" cm="1">
        <f t="array" ref="H1419">_xlfn.IFS(
  G1419 &lt; 25000, "Low",
  AND(G1419 &gt;= 25000, G1419 &lt; 75000), "Medium",
  AND(G1419 &gt;= 75000, G1419 &lt; 150000), "High",
  G1419 &gt;= 150000, "Very High"
)</f>
        <v>Medium</v>
      </c>
      <c r="I1419" s="6">
        <v>0</v>
      </c>
      <c r="J1419" s="6">
        <v>0</v>
      </c>
      <c r="K1419" s="6">
        <f t="shared" si="89"/>
        <v>0</v>
      </c>
      <c r="L1419" s="8">
        <v>41693</v>
      </c>
      <c r="M1419" t="str">
        <f t="shared" ca="1" si="90"/>
        <v>12 years, 0 months</v>
      </c>
      <c r="N1419" s="6">
        <v>45</v>
      </c>
      <c r="O1419">
        <v>28</v>
      </c>
      <c r="P1419">
        <v>30</v>
      </c>
      <c r="Q1419">
        <f t="shared" si="91"/>
        <v>58</v>
      </c>
      <c r="R1419">
        <v>2</v>
      </c>
      <c r="S1419">
        <v>5</v>
      </c>
      <c r="T1419">
        <f>Table[[#This Row],[NumWebPurchases]]+Table[[#This Row],[NumStorePurchases]]</f>
        <v>7</v>
      </c>
    </row>
    <row r="1420" spans="1:20" ht="12.5">
      <c r="A1420" s="6">
        <v>1418</v>
      </c>
      <c r="B1420" s="6">
        <v>5654</v>
      </c>
      <c r="C1420" s="6">
        <v>1972</v>
      </c>
      <c r="D1420" s="6">
        <f t="shared" si="88"/>
        <v>53</v>
      </c>
      <c r="E1420" s="7" t="s">
        <v>9</v>
      </c>
      <c r="F1420" s="7" t="s">
        <v>13</v>
      </c>
      <c r="G1420" s="6">
        <v>36026</v>
      </c>
      <c r="H1420" s="6" t="str" cm="1">
        <f t="array" ref="H1420">_xlfn.IFS(
  G1420 &lt; 25000, "Low",
  AND(G1420 &gt;= 25000, G1420 &lt; 75000), "Medium",
  AND(G1420 &gt;= 75000, G1420 &lt; 150000), "High",
  G1420 &gt;= 150000, "Very High"
)</f>
        <v>Medium</v>
      </c>
      <c r="I1420" s="6">
        <v>2</v>
      </c>
      <c r="J1420" s="6">
        <v>1</v>
      </c>
      <c r="K1420" s="6">
        <f t="shared" si="89"/>
        <v>3</v>
      </c>
      <c r="L1420" s="8">
        <v>41714</v>
      </c>
      <c r="M1420" t="str">
        <f t="shared" ca="1" si="90"/>
        <v>11 years, 11 months</v>
      </c>
      <c r="N1420" s="6">
        <v>34</v>
      </c>
      <c r="O1420">
        <v>4</v>
      </c>
      <c r="P1420">
        <v>4</v>
      </c>
      <c r="Q1420">
        <f t="shared" si="91"/>
        <v>8</v>
      </c>
      <c r="R1420">
        <v>2</v>
      </c>
      <c r="S1420">
        <v>3</v>
      </c>
      <c r="T1420">
        <f>Table[[#This Row],[NumWebPurchases]]+Table[[#This Row],[NumStorePurchases]]</f>
        <v>5</v>
      </c>
    </row>
    <row r="1421" spans="1:20" ht="12.5">
      <c r="A1421" s="6">
        <v>1419</v>
      </c>
      <c r="B1421" s="6">
        <v>4098</v>
      </c>
      <c r="C1421" s="6">
        <v>1973</v>
      </c>
      <c r="D1421" s="6">
        <f t="shared" si="88"/>
        <v>52</v>
      </c>
      <c r="E1421" s="7" t="s">
        <v>9</v>
      </c>
      <c r="F1421" s="7" t="s">
        <v>13</v>
      </c>
      <c r="G1421" s="6">
        <v>24639</v>
      </c>
      <c r="H1421" s="6" t="str" cm="1">
        <f t="array" ref="H1421">_xlfn.IFS(
  G1421 &lt; 25000, "Low",
  AND(G1421 &gt;= 25000, G1421 &lt; 75000), "Medium",
  AND(G1421 &gt;= 75000, G1421 &lt; 150000), "High",
  G1421 &gt;= 150000, "Very High"
)</f>
        <v>Low</v>
      </c>
      <c r="I1421" s="6">
        <v>1</v>
      </c>
      <c r="J1421" s="6">
        <v>1</v>
      </c>
      <c r="K1421" s="6">
        <f t="shared" si="89"/>
        <v>2</v>
      </c>
      <c r="L1421" s="8">
        <v>41667</v>
      </c>
      <c r="M1421" t="str">
        <f t="shared" ca="1" si="90"/>
        <v>12 years, 1 months</v>
      </c>
      <c r="N1421" s="6">
        <v>3</v>
      </c>
      <c r="O1421">
        <v>3</v>
      </c>
      <c r="P1421">
        <v>4</v>
      </c>
      <c r="Q1421">
        <f t="shared" si="91"/>
        <v>7</v>
      </c>
      <c r="R1421">
        <v>2</v>
      </c>
      <c r="S1421">
        <v>4</v>
      </c>
      <c r="T1421">
        <f>Table[[#This Row],[NumWebPurchases]]+Table[[#This Row],[NumStorePurchases]]</f>
        <v>6</v>
      </c>
    </row>
    <row r="1422" spans="1:20" ht="12.5">
      <c r="A1422" s="6">
        <v>1420</v>
      </c>
      <c r="B1422" s="6">
        <v>5824</v>
      </c>
      <c r="C1422" s="6">
        <v>1972</v>
      </c>
      <c r="D1422" s="6">
        <f t="shared" si="88"/>
        <v>53</v>
      </c>
      <c r="E1422" s="7" t="s">
        <v>12</v>
      </c>
      <c r="F1422" s="7" t="s">
        <v>11</v>
      </c>
      <c r="G1422" s="6">
        <v>34578</v>
      </c>
      <c r="H1422" s="6" t="str" cm="1">
        <f t="array" ref="H1422">_xlfn.IFS(
  G1422 &lt; 25000, "Low",
  AND(G1422 &gt;= 25000, G1422 &lt; 75000), "Medium",
  AND(G1422 &gt;= 75000, G1422 &lt; 150000), "High",
  G1422 &gt;= 150000, "Very High"
)</f>
        <v>Medium</v>
      </c>
      <c r="I1422" s="6">
        <v>2</v>
      </c>
      <c r="J1422" s="6">
        <v>1</v>
      </c>
      <c r="K1422" s="6">
        <f t="shared" si="89"/>
        <v>3</v>
      </c>
      <c r="L1422" s="8">
        <v>41740</v>
      </c>
      <c r="M1422" t="str">
        <f t="shared" ca="1" si="90"/>
        <v>11 years, 10 months</v>
      </c>
      <c r="N1422" s="6">
        <v>1</v>
      </c>
      <c r="O1422">
        <v>0</v>
      </c>
      <c r="P1422">
        <v>0</v>
      </c>
      <c r="Q1422">
        <f t="shared" si="91"/>
        <v>0</v>
      </c>
      <c r="R1422">
        <v>1</v>
      </c>
      <c r="S1422">
        <v>2</v>
      </c>
      <c r="T1422">
        <f>Table[[#This Row],[NumWebPurchases]]+Table[[#This Row],[NumStorePurchases]]</f>
        <v>3</v>
      </c>
    </row>
    <row r="1423" spans="1:20" ht="12.5">
      <c r="A1423" s="6">
        <v>1421</v>
      </c>
      <c r="B1423" s="6">
        <v>7000</v>
      </c>
      <c r="C1423" s="6">
        <v>1972</v>
      </c>
      <c r="D1423" s="6">
        <f t="shared" si="88"/>
        <v>53</v>
      </c>
      <c r="E1423" s="7" t="s">
        <v>17</v>
      </c>
      <c r="F1423" s="7" t="s">
        <v>10</v>
      </c>
      <c r="G1423" s="6">
        <v>65704</v>
      </c>
      <c r="H1423" s="6" t="str" cm="1">
        <f t="array" ref="H1423">_xlfn.IFS(
  G1423 &lt; 25000, "Low",
  AND(G1423 &gt;= 25000, G1423 &lt; 75000), "Medium",
  AND(G1423 &gt;= 75000, G1423 &lt; 150000), "High",
  G1423 &gt;= 150000, "Very High"
)</f>
        <v>Medium</v>
      </c>
      <c r="I1423" s="6">
        <v>0</v>
      </c>
      <c r="J1423" s="6">
        <v>0</v>
      </c>
      <c r="K1423" s="6">
        <f t="shared" si="89"/>
        <v>0</v>
      </c>
      <c r="L1423" s="9">
        <v>41560</v>
      </c>
      <c r="M1423" t="str">
        <f t="shared" ca="1" si="90"/>
        <v>12 years, 4 months</v>
      </c>
      <c r="N1423" s="6">
        <v>18</v>
      </c>
      <c r="O1423">
        <v>172</v>
      </c>
      <c r="P1423">
        <v>8</v>
      </c>
      <c r="Q1423">
        <f t="shared" si="91"/>
        <v>180</v>
      </c>
      <c r="R1423">
        <v>2</v>
      </c>
      <c r="S1423">
        <v>10</v>
      </c>
      <c r="T1423">
        <f>Table[[#This Row],[NumWebPurchases]]+Table[[#This Row],[NumStorePurchases]]</f>
        <v>12</v>
      </c>
    </row>
    <row r="1424" spans="1:20" ht="12.5">
      <c r="A1424" s="6">
        <v>1422</v>
      </c>
      <c r="B1424" s="6">
        <v>2561</v>
      </c>
      <c r="C1424" s="6">
        <v>1966</v>
      </c>
      <c r="D1424" s="6">
        <f t="shared" si="88"/>
        <v>59</v>
      </c>
      <c r="E1424" s="7" t="s">
        <v>9</v>
      </c>
      <c r="F1424" s="7" t="s">
        <v>10</v>
      </c>
      <c r="G1424" s="6">
        <v>63810</v>
      </c>
      <c r="H1424" s="6" t="str" cm="1">
        <f t="array" ref="H1424">_xlfn.IFS(
  G1424 &lt; 25000, "Low",
  AND(G1424 &gt;= 25000, G1424 &lt; 75000), "Medium",
  AND(G1424 &gt;= 75000, G1424 &lt; 150000), "High",
  G1424 &gt;= 150000, "Very High"
)</f>
        <v>Medium</v>
      </c>
      <c r="I1424" s="6">
        <v>0</v>
      </c>
      <c r="J1424" s="6">
        <v>1</v>
      </c>
      <c r="K1424" s="6">
        <f t="shared" si="89"/>
        <v>1</v>
      </c>
      <c r="L1424" s="9">
        <v>41224</v>
      </c>
      <c r="M1424" t="str">
        <f t="shared" ca="1" si="90"/>
        <v>13 years, 3 months</v>
      </c>
      <c r="N1424" s="6">
        <v>45</v>
      </c>
      <c r="O1424">
        <v>12</v>
      </c>
      <c r="P1424">
        <v>12</v>
      </c>
      <c r="Q1424">
        <f t="shared" si="91"/>
        <v>24</v>
      </c>
      <c r="R1424">
        <v>4</v>
      </c>
      <c r="S1424">
        <v>12</v>
      </c>
      <c r="T1424">
        <f>Table[[#This Row],[NumWebPurchases]]+Table[[#This Row],[NumStorePurchases]]</f>
        <v>16</v>
      </c>
    </row>
    <row r="1425" spans="1:20" ht="12.5">
      <c r="A1425" s="6">
        <v>1423</v>
      </c>
      <c r="B1425" s="6">
        <v>5229</v>
      </c>
      <c r="C1425" s="6">
        <v>1969</v>
      </c>
      <c r="D1425" s="6">
        <f t="shared" si="88"/>
        <v>56</v>
      </c>
      <c r="E1425" s="7" t="s">
        <v>12</v>
      </c>
      <c r="F1425" s="7" t="s">
        <v>11</v>
      </c>
      <c r="G1425" s="6">
        <v>54132</v>
      </c>
      <c r="H1425" s="6" t="str" cm="1">
        <f t="array" ref="H1425">_xlfn.IFS(
  G1425 &lt; 25000, "Low",
  AND(G1425 &gt;= 25000, G1425 &lt; 75000), "Medium",
  AND(G1425 &gt;= 75000, G1425 &lt; 150000), "High",
  G1425 &gt;= 150000, "Very High"
)</f>
        <v>Medium</v>
      </c>
      <c r="I1425" s="6">
        <v>0</v>
      </c>
      <c r="J1425" s="6">
        <v>1</v>
      </c>
      <c r="K1425" s="6">
        <f t="shared" si="89"/>
        <v>1</v>
      </c>
      <c r="L1425" s="8">
        <v>41686</v>
      </c>
      <c r="M1425" t="str">
        <f t="shared" ca="1" si="90"/>
        <v>12 years, 0 months</v>
      </c>
      <c r="N1425" s="6">
        <v>81</v>
      </c>
      <c r="O1425">
        <v>1</v>
      </c>
      <c r="P1425">
        <v>0</v>
      </c>
      <c r="Q1425">
        <f t="shared" si="91"/>
        <v>1</v>
      </c>
      <c r="R1425">
        <v>1</v>
      </c>
      <c r="S1425">
        <v>3</v>
      </c>
      <c r="T1425">
        <f>Table[[#This Row],[NumWebPurchases]]+Table[[#This Row],[NumStorePurchases]]</f>
        <v>4</v>
      </c>
    </row>
    <row r="1426" spans="1:20" ht="12.5">
      <c r="A1426" s="6">
        <v>1424</v>
      </c>
      <c r="B1426" s="6">
        <v>4086</v>
      </c>
      <c r="C1426" s="6">
        <v>1959</v>
      </c>
      <c r="D1426" s="6">
        <f t="shared" si="88"/>
        <v>66</v>
      </c>
      <c r="E1426" s="7" t="s">
        <v>9</v>
      </c>
      <c r="F1426" s="7" t="s">
        <v>13</v>
      </c>
      <c r="G1426" s="6">
        <v>18690</v>
      </c>
      <c r="H1426" s="6" t="str" cm="1">
        <f t="array" ref="H1426">_xlfn.IFS(
  G1426 &lt; 25000, "Low",
  AND(G1426 &gt;= 25000, G1426 &lt; 75000), "Medium",
  AND(G1426 &gt;= 75000, G1426 &lt; 150000), "High",
  G1426 &gt;= 150000, "Very High"
)</f>
        <v>Low</v>
      </c>
      <c r="I1426" s="6">
        <v>0</v>
      </c>
      <c r="J1426" s="6">
        <v>0</v>
      </c>
      <c r="K1426" s="6">
        <f t="shared" si="89"/>
        <v>0</v>
      </c>
      <c r="L1426" s="9">
        <v>41271</v>
      </c>
      <c r="M1426" t="str">
        <f t="shared" ca="1" si="90"/>
        <v>13 years, 2 months</v>
      </c>
      <c r="N1426" s="6">
        <v>77</v>
      </c>
      <c r="O1426">
        <v>1</v>
      </c>
      <c r="P1426">
        <v>4</v>
      </c>
      <c r="Q1426">
        <f t="shared" si="91"/>
        <v>5</v>
      </c>
      <c r="R1426">
        <v>1</v>
      </c>
      <c r="S1426">
        <v>2</v>
      </c>
      <c r="T1426">
        <f>Table[[#This Row],[NumWebPurchases]]+Table[[#This Row],[NumStorePurchases]]</f>
        <v>3</v>
      </c>
    </row>
    <row r="1427" spans="1:20" ht="12.5">
      <c r="A1427" s="6">
        <v>1425</v>
      </c>
      <c r="B1427" s="6">
        <v>2428</v>
      </c>
      <c r="C1427" s="6">
        <v>1970</v>
      </c>
      <c r="D1427" s="6">
        <f t="shared" si="88"/>
        <v>55</v>
      </c>
      <c r="E1427" s="7" t="s">
        <v>9</v>
      </c>
      <c r="F1427" s="7" t="s">
        <v>13</v>
      </c>
      <c r="G1427" s="6">
        <v>28164</v>
      </c>
      <c r="H1427" s="6" t="str" cm="1">
        <f t="array" ref="H1427">_xlfn.IFS(
  G1427 &lt; 25000, "Low",
  AND(G1427 &gt;= 25000, G1427 &lt; 75000), "Medium",
  AND(G1427 &gt;= 75000, G1427 &lt; 150000), "High",
  G1427 &gt;= 150000, "Very High"
)</f>
        <v>Medium</v>
      </c>
      <c r="I1427" s="6">
        <v>1</v>
      </c>
      <c r="J1427" s="6">
        <v>0</v>
      </c>
      <c r="K1427" s="6">
        <f t="shared" si="89"/>
        <v>1</v>
      </c>
      <c r="L1427" s="8">
        <v>41398</v>
      </c>
      <c r="M1427" t="str">
        <f t="shared" ca="1" si="90"/>
        <v>12 years, 10 months</v>
      </c>
      <c r="N1427" s="6">
        <v>23</v>
      </c>
      <c r="O1427">
        <v>18</v>
      </c>
      <c r="P1427">
        <v>8</v>
      </c>
      <c r="Q1427">
        <f t="shared" si="91"/>
        <v>26</v>
      </c>
      <c r="R1427">
        <v>2</v>
      </c>
      <c r="S1427">
        <v>4</v>
      </c>
      <c r="T1427">
        <f>Table[[#This Row],[NumWebPurchases]]+Table[[#This Row],[NumStorePurchases]]</f>
        <v>6</v>
      </c>
    </row>
    <row r="1428" spans="1:20" ht="12.5">
      <c r="A1428" s="6">
        <v>1426</v>
      </c>
      <c r="B1428" s="6">
        <v>8254</v>
      </c>
      <c r="C1428" s="6">
        <v>1974</v>
      </c>
      <c r="D1428" s="6">
        <f t="shared" si="88"/>
        <v>51</v>
      </c>
      <c r="E1428" s="7" t="s">
        <v>12</v>
      </c>
      <c r="F1428" s="7" t="s">
        <v>13</v>
      </c>
      <c r="G1428" s="6">
        <v>34596</v>
      </c>
      <c r="H1428" s="6" t="str" cm="1">
        <f t="array" ref="H1428">_xlfn.IFS(
  G1428 &lt; 25000, "Low",
  AND(G1428 &gt;= 25000, G1428 &lt; 75000), "Medium",
  AND(G1428 &gt;= 75000, G1428 &lt; 150000), "High",
  G1428 &gt;= 150000, "Very High"
)</f>
        <v>Medium</v>
      </c>
      <c r="I1428" s="6">
        <v>1</v>
      </c>
      <c r="J1428" s="6">
        <v>0</v>
      </c>
      <c r="K1428" s="6">
        <f t="shared" si="89"/>
        <v>1</v>
      </c>
      <c r="L1428" s="8">
        <v>41377</v>
      </c>
      <c r="M1428" t="str">
        <f t="shared" ca="1" si="90"/>
        <v>12 years, 10 months</v>
      </c>
      <c r="N1428" s="6">
        <v>48</v>
      </c>
      <c r="O1428">
        <v>0</v>
      </c>
      <c r="P1428">
        <v>0</v>
      </c>
      <c r="Q1428">
        <f t="shared" si="91"/>
        <v>0</v>
      </c>
      <c r="R1428">
        <v>1</v>
      </c>
      <c r="S1428">
        <v>2</v>
      </c>
      <c r="T1428">
        <f>Table[[#This Row],[NumWebPurchases]]+Table[[#This Row],[NumStorePurchases]]</f>
        <v>3</v>
      </c>
    </row>
    <row r="1429" spans="1:20" ht="12.5">
      <c r="A1429" s="6">
        <v>1427</v>
      </c>
      <c r="B1429" s="6">
        <v>2836</v>
      </c>
      <c r="C1429" s="6">
        <v>1972</v>
      </c>
      <c r="D1429" s="6">
        <f t="shared" si="88"/>
        <v>53</v>
      </c>
      <c r="E1429" s="7" t="s">
        <v>12</v>
      </c>
      <c r="F1429" s="7" t="s">
        <v>13</v>
      </c>
      <c r="G1429" s="6">
        <v>43269</v>
      </c>
      <c r="H1429" s="6" t="str" cm="1">
        <f t="array" ref="H1429">_xlfn.IFS(
  G1429 &lt; 25000, "Low",
  AND(G1429 &gt;= 25000, G1429 &lt; 75000), "Medium",
  AND(G1429 &gt;= 75000, G1429 &lt; 150000), "High",
  G1429 &gt;= 150000, "Very High"
)</f>
        <v>Medium</v>
      </c>
      <c r="I1429" s="6">
        <v>1</v>
      </c>
      <c r="J1429" s="6">
        <v>0</v>
      </c>
      <c r="K1429" s="6">
        <f t="shared" si="89"/>
        <v>1</v>
      </c>
      <c r="L1429" s="8">
        <v>41533</v>
      </c>
      <c r="M1429" t="str">
        <f t="shared" ca="1" si="90"/>
        <v>12 years, 5 months</v>
      </c>
      <c r="N1429" s="6">
        <v>61</v>
      </c>
      <c r="O1429">
        <v>1</v>
      </c>
      <c r="P1429">
        <v>0</v>
      </c>
      <c r="Q1429">
        <f t="shared" si="91"/>
        <v>1</v>
      </c>
      <c r="R1429">
        <v>1</v>
      </c>
      <c r="S1429">
        <v>2</v>
      </c>
      <c r="T1429">
        <f>Table[[#This Row],[NumWebPurchases]]+Table[[#This Row],[NumStorePurchases]]</f>
        <v>3</v>
      </c>
    </row>
    <row r="1430" spans="1:20" ht="12.5">
      <c r="A1430" s="6">
        <v>1428</v>
      </c>
      <c r="B1430" s="6">
        <v>8418</v>
      </c>
      <c r="C1430" s="6">
        <v>1958</v>
      </c>
      <c r="D1430" s="6">
        <f t="shared" si="88"/>
        <v>67</v>
      </c>
      <c r="E1430" s="7" t="s">
        <v>17</v>
      </c>
      <c r="F1430" s="7" t="s">
        <v>10</v>
      </c>
      <c r="G1430" s="6">
        <v>38741</v>
      </c>
      <c r="H1430" s="6" t="str" cm="1">
        <f t="array" ref="H1430">_xlfn.IFS(
  G1430 &lt; 25000, "Low",
  AND(G1430 &gt;= 25000, G1430 &lt; 75000), "Medium",
  AND(G1430 &gt;= 75000, G1430 &lt; 150000), "High",
  G1430 &gt;= 150000, "Very High"
)</f>
        <v>Medium</v>
      </c>
      <c r="I1430" s="6">
        <v>1</v>
      </c>
      <c r="J1430" s="6">
        <v>1</v>
      </c>
      <c r="K1430" s="6">
        <f t="shared" si="89"/>
        <v>2</v>
      </c>
      <c r="L1430" s="8">
        <v>41728</v>
      </c>
      <c r="M1430" t="str">
        <f t="shared" ca="1" si="90"/>
        <v>11 years, 11 months</v>
      </c>
      <c r="N1430" s="6">
        <v>60</v>
      </c>
      <c r="O1430">
        <v>10</v>
      </c>
      <c r="P1430">
        <v>6</v>
      </c>
      <c r="Q1430">
        <f t="shared" si="91"/>
        <v>16</v>
      </c>
      <c r="R1430">
        <v>2</v>
      </c>
      <c r="S1430">
        <v>3</v>
      </c>
      <c r="T1430">
        <f>Table[[#This Row],[NumWebPurchases]]+Table[[#This Row],[NumStorePurchases]]</f>
        <v>5</v>
      </c>
    </row>
    <row r="1431" spans="1:20" ht="12.5">
      <c r="A1431" s="6">
        <v>1429</v>
      </c>
      <c r="B1431" s="6">
        <v>1362</v>
      </c>
      <c r="C1431" s="6">
        <v>1972</v>
      </c>
      <c r="D1431" s="6">
        <f t="shared" si="88"/>
        <v>53</v>
      </c>
      <c r="E1431" s="7" t="s">
        <v>9</v>
      </c>
      <c r="F1431" s="7" t="s">
        <v>10</v>
      </c>
      <c r="G1431" s="6">
        <v>31907</v>
      </c>
      <c r="H1431" s="6" t="str" cm="1">
        <f t="array" ref="H1431">_xlfn.IFS(
  G1431 &lt; 25000, "Low",
  AND(G1431 &gt;= 25000, G1431 &lt; 75000), "Medium",
  AND(G1431 &gt;= 75000, G1431 &lt; 150000), "High",
  G1431 &gt;= 150000, "Very High"
)</f>
        <v>Medium</v>
      </c>
      <c r="I1431" s="6">
        <v>0</v>
      </c>
      <c r="J1431" s="6">
        <v>0</v>
      </c>
      <c r="K1431" s="6">
        <f t="shared" si="89"/>
        <v>0</v>
      </c>
      <c r="L1431" s="8">
        <v>41337</v>
      </c>
      <c r="M1431" t="str">
        <f t="shared" ca="1" si="90"/>
        <v>13 years, 0 months</v>
      </c>
      <c r="N1431" s="6">
        <v>75</v>
      </c>
      <c r="O1431">
        <v>87</v>
      </c>
      <c r="P1431">
        <v>16</v>
      </c>
      <c r="Q1431">
        <f t="shared" si="91"/>
        <v>103</v>
      </c>
      <c r="R1431">
        <v>6</v>
      </c>
      <c r="S1431">
        <v>6</v>
      </c>
      <c r="T1431">
        <f>Table[[#This Row],[NumWebPurchases]]+Table[[#This Row],[NumStorePurchases]]</f>
        <v>12</v>
      </c>
    </row>
    <row r="1432" spans="1:20" ht="12.5">
      <c r="A1432" s="6">
        <v>1430</v>
      </c>
      <c r="B1432" s="6">
        <v>7152</v>
      </c>
      <c r="C1432" s="6">
        <v>1983</v>
      </c>
      <c r="D1432" s="6">
        <f t="shared" si="88"/>
        <v>42</v>
      </c>
      <c r="E1432" s="7" t="s">
        <v>14</v>
      </c>
      <c r="F1432" s="7" t="s">
        <v>13</v>
      </c>
      <c r="G1432" s="6">
        <v>27100</v>
      </c>
      <c r="H1432" s="6" t="str" cm="1">
        <f t="array" ref="H1432">_xlfn.IFS(
  G1432 &lt; 25000, "Low",
  AND(G1432 &gt;= 25000, G1432 &lt; 75000), "Medium",
  AND(G1432 &gt;= 75000, G1432 &lt; 150000), "High",
  G1432 &gt;= 150000, "Very High"
)</f>
        <v>Medium</v>
      </c>
      <c r="I1432" s="6">
        <v>1</v>
      </c>
      <c r="J1432" s="6">
        <v>0</v>
      </c>
      <c r="K1432" s="6">
        <f t="shared" si="89"/>
        <v>1</v>
      </c>
      <c r="L1432" s="8">
        <v>41369</v>
      </c>
      <c r="M1432" t="str">
        <f t="shared" ca="1" si="90"/>
        <v>12 years, 11 months</v>
      </c>
      <c r="N1432" s="6">
        <v>64</v>
      </c>
      <c r="O1432">
        <v>0</v>
      </c>
      <c r="P1432">
        <v>0</v>
      </c>
      <c r="Q1432">
        <f t="shared" si="91"/>
        <v>0</v>
      </c>
      <c r="R1432">
        <v>1</v>
      </c>
      <c r="S1432">
        <v>3</v>
      </c>
      <c r="T1432">
        <f>Table[[#This Row],[NumWebPurchases]]+Table[[#This Row],[NumStorePurchases]]</f>
        <v>4</v>
      </c>
    </row>
    <row r="1433" spans="1:20" ht="12.5">
      <c r="A1433" s="6">
        <v>1431</v>
      </c>
      <c r="B1433" s="6">
        <v>10033</v>
      </c>
      <c r="C1433" s="6">
        <v>1973</v>
      </c>
      <c r="D1433" s="6">
        <f t="shared" si="88"/>
        <v>52</v>
      </c>
      <c r="E1433" s="7" t="s">
        <v>17</v>
      </c>
      <c r="F1433" s="7" t="s">
        <v>15</v>
      </c>
      <c r="G1433" s="6">
        <v>31163</v>
      </c>
      <c r="H1433" s="6" t="str" cm="1">
        <f t="array" ref="H1433">_xlfn.IFS(
  G1433 &lt; 25000, "Low",
  AND(G1433 &gt;= 25000, G1433 &lt; 75000), "Medium",
  AND(G1433 &gt;= 75000, G1433 &lt; 150000), "High",
  G1433 &gt;= 150000, "Very High"
)</f>
        <v>Medium</v>
      </c>
      <c r="I1433" s="6">
        <v>1</v>
      </c>
      <c r="J1433" s="6">
        <v>0</v>
      </c>
      <c r="K1433" s="6">
        <f t="shared" si="89"/>
        <v>1</v>
      </c>
      <c r="L1433" s="8">
        <v>41683</v>
      </c>
      <c r="M1433" t="str">
        <f t="shared" ca="1" si="90"/>
        <v>12 years, 0 months</v>
      </c>
      <c r="N1433" s="6">
        <v>54</v>
      </c>
      <c r="O1433">
        <v>3</v>
      </c>
      <c r="P1433">
        <v>2</v>
      </c>
      <c r="Q1433">
        <f t="shared" si="91"/>
        <v>5</v>
      </c>
      <c r="R1433">
        <v>1</v>
      </c>
      <c r="S1433">
        <v>3</v>
      </c>
      <c r="T1433">
        <f>Table[[#This Row],[NumWebPurchases]]+Table[[#This Row],[NumStorePurchases]]</f>
        <v>4</v>
      </c>
    </row>
    <row r="1434" spans="1:20" ht="12.5">
      <c r="A1434" s="6">
        <v>1432</v>
      </c>
      <c r="B1434" s="6">
        <v>9349</v>
      </c>
      <c r="C1434" s="6">
        <v>1985</v>
      </c>
      <c r="D1434" s="6">
        <f t="shared" si="88"/>
        <v>40</v>
      </c>
      <c r="E1434" s="7" t="s">
        <v>9</v>
      </c>
      <c r="F1434" s="7" t="s">
        <v>13</v>
      </c>
      <c r="G1434" s="6">
        <v>92533</v>
      </c>
      <c r="H1434" s="6" t="str" cm="1">
        <f t="array" ref="H1434">_xlfn.IFS(
  G1434 &lt; 25000, "Low",
  AND(G1434 &gt;= 25000, G1434 &lt; 75000), "Medium",
  AND(G1434 &gt;= 75000, G1434 &lt; 150000), "High",
  G1434 &gt;= 150000, "Very High"
)</f>
        <v>High</v>
      </c>
      <c r="I1434" s="6">
        <v>0</v>
      </c>
      <c r="J1434" s="6">
        <v>0</v>
      </c>
      <c r="K1434" s="6">
        <f t="shared" si="89"/>
        <v>0</v>
      </c>
      <c r="L1434" s="9">
        <v>41627</v>
      </c>
      <c r="M1434" t="str">
        <f t="shared" ca="1" si="90"/>
        <v>12 years, 2 months</v>
      </c>
      <c r="N1434" s="6">
        <v>84</v>
      </c>
      <c r="O1434">
        <v>21</v>
      </c>
      <c r="P1434">
        <v>147</v>
      </c>
      <c r="Q1434">
        <f t="shared" si="91"/>
        <v>168</v>
      </c>
      <c r="R1434">
        <v>6</v>
      </c>
      <c r="S1434">
        <v>11</v>
      </c>
      <c r="T1434">
        <f>Table[[#This Row],[NumWebPurchases]]+Table[[#This Row],[NumStorePurchases]]</f>
        <v>17</v>
      </c>
    </row>
    <row r="1435" spans="1:20" ht="12.5">
      <c r="A1435" s="6">
        <v>1433</v>
      </c>
      <c r="B1435" s="6">
        <v>274</v>
      </c>
      <c r="C1435" s="6">
        <v>1973</v>
      </c>
      <c r="D1435" s="6">
        <f t="shared" si="88"/>
        <v>52</v>
      </c>
      <c r="E1435" s="7" t="s">
        <v>9</v>
      </c>
      <c r="F1435" s="7" t="s">
        <v>10</v>
      </c>
      <c r="G1435" s="6">
        <v>34853</v>
      </c>
      <c r="H1435" s="6" t="str" cm="1">
        <f t="array" ref="H1435">_xlfn.IFS(
  G1435 &lt; 25000, "Low",
  AND(G1435 &gt;= 25000, G1435 &lt; 75000), "Medium",
  AND(G1435 &gt;= 75000, G1435 &lt; 150000), "High",
  G1435 &gt;= 150000, "Very High"
)</f>
        <v>Medium</v>
      </c>
      <c r="I1435" s="6">
        <v>1</v>
      </c>
      <c r="J1435" s="6">
        <v>1</v>
      </c>
      <c r="K1435" s="6">
        <f t="shared" si="89"/>
        <v>2</v>
      </c>
      <c r="L1435" s="9">
        <v>41631</v>
      </c>
      <c r="M1435" t="str">
        <f t="shared" ca="1" si="90"/>
        <v>12 years, 2 months</v>
      </c>
      <c r="N1435" s="6">
        <v>75</v>
      </c>
      <c r="O1435">
        <v>3</v>
      </c>
      <c r="P1435">
        <v>3</v>
      </c>
      <c r="Q1435">
        <f t="shared" si="91"/>
        <v>6</v>
      </c>
      <c r="R1435">
        <v>2</v>
      </c>
      <c r="S1435">
        <v>3</v>
      </c>
      <c r="T1435">
        <f>Table[[#This Row],[NumWebPurchases]]+Table[[#This Row],[NumStorePurchases]]</f>
        <v>5</v>
      </c>
    </row>
    <row r="1436" spans="1:20" ht="12.5">
      <c r="A1436" s="6">
        <v>1434</v>
      </c>
      <c r="B1436" s="6">
        <v>3388</v>
      </c>
      <c r="C1436" s="6">
        <v>1967</v>
      </c>
      <c r="D1436" s="6">
        <f t="shared" si="88"/>
        <v>58</v>
      </c>
      <c r="E1436" s="7" t="s">
        <v>9</v>
      </c>
      <c r="F1436" s="7" t="s">
        <v>15</v>
      </c>
      <c r="G1436" s="6">
        <v>70844</v>
      </c>
      <c r="H1436" s="6" t="str" cm="1">
        <f t="array" ref="H1436">_xlfn.IFS(
  G1436 &lt; 25000, "Low",
  AND(G1436 &gt;= 25000, G1436 &lt; 75000), "Medium",
  AND(G1436 &gt;= 75000, G1436 &lt; 150000), "High",
  G1436 &gt;= 150000, "Very High"
)</f>
        <v>Medium</v>
      </c>
      <c r="I1436" s="6">
        <v>1</v>
      </c>
      <c r="J1436" s="6">
        <v>1</v>
      </c>
      <c r="K1436" s="6">
        <f t="shared" si="89"/>
        <v>2</v>
      </c>
      <c r="L1436" s="9">
        <v>41577</v>
      </c>
      <c r="M1436" t="str">
        <f t="shared" ca="1" si="90"/>
        <v>12 years, 4 months</v>
      </c>
      <c r="N1436" s="6">
        <v>16</v>
      </c>
      <c r="O1436">
        <v>26</v>
      </c>
      <c r="P1436">
        <v>67</v>
      </c>
      <c r="Q1436">
        <f t="shared" si="91"/>
        <v>93</v>
      </c>
      <c r="R1436">
        <v>6</v>
      </c>
      <c r="S1436">
        <v>5</v>
      </c>
      <c r="T1436">
        <f>Table[[#This Row],[NumWebPurchases]]+Table[[#This Row],[NumStorePurchases]]</f>
        <v>11</v>
      </c>
    </row>
    <row r="1437" spans="1:20" ht="12.5">
      <c r="A1437" s="6">
        <v>1435</v>
      </c>
      <c r="B1437" s="6">
        <v>922</v>
      </c>
      <c r="C1437" s="6">
        <v>1979</v>
      </c>
      <c r="D1437" s="6">
        <f t="shared" si="88"/>
        <v>46</v>
      </c>
      <c r="E1437" s="7" t="s">
        <v>17</v>
      </c>
      <c r="F1437" s="7" t="s">
        <v>13</v>
      </c>
      <c r="G1437" s="6">
        <v>31086</v>
      </c>
      <c r="H1437" s="6" t="str" cm="1">
        <f t="array" ref="H1437">_xlfn.IFS(
  G1437 &lt; 25000, "Low",
  AND(G1437 &gt;= 25000, G1437 &lt; 75000), "Medium",
  AND(G1437 &gt;= 75000, G1437 &lt; 150000), "High",
  G1437 &gt;= 150000, "Very High"
)</f>
        <v>Medium</v>
      </c>
      <c r="I1437" s="6">
        <v>1</v>
      </c>
      <c r="J1437" s="6">
        <v>1</v>
      </c>
      <c r="K1437" s="6">
        <f t="shared" si="89"/>
        <v>2</v>
      </c>
      <c r="L1437" s="8">
        <v>41398</v>
      </c>
      <c r="M1437" t="str">
        <f t="shared" ca="1" si="90"/>
        <v>12 years, 10 months</v>
      </c>
      <c r="N1437" s="6">
        <v>79</v>
      </c>
      <c r="O1437">
        <v>2</v>
      </c>
      <c r="P1437">
        <v>0</v>
      </c>
      <c r="Q1437">
        <f t="shared" si="91"/>
        <v>2</v>
      </c>
      <c r="R1437">
        <v>1</v>
      </c>
      <c r="S1437">
        <v>2</v>
      </c>
      <c r="T1437">
        <f>Table[[#This Row],[NumWebPurchases]]+Table[[#This Row],[NumStorePurchases]]</f>
        <v>3</v>
      </c>
    </row>
    <row r="1438" spans="1:20" ht="12.5">
      <c r="A1438" s="6">
        <v>1436</v>
      </c>
      <c r="B1438" s="6">
        <v>8588</v>
      </c>
      <c r="C1438" s="6">
        <v>1961</v>
      </c>
      <c r="D1438" s="6">
        <f t="shared" si="88"/>
        <v>64</v>
      </c>
      <c r="E1438" s="7" t="s">
        <v>9</v>
      </c>
      <c r="F1438" s="7" t="s">
        <v>13</v>
      </c>
      <c r="G1438" s="6">
        <v>60544</v>
      </c>
      <c r="H1438" s="6" t="str" cm="1">
        <f t="array" ref="H1438">_xlfn.IFS(
  G1438 &lt; 25000, "Low",
  AND(G1438 &gt;= 25000, G1438 &lt; 75000), "Medium",
  AND(G1438 &gt;= 75000, G1438 &lt; 150000), "High",
  G1438 &gt;= 150000, "Very High"
)</f>
        <v>Medium</v>
      </c>
      <c r="I1438" s="6">
        <v>1</v>
      </c>
      <c r="J1438" s="6">
        <v>1</v>
      </c>
      <c r="K1438" s="6">
        <f t="shared" si="89"/>
        <v>2</v>
      </c>
      <c r="L1438" s="8">
        <v>41146</v>
      </c>
      <c r="M1438" t="str">
        <f t="shared" ca="1" si="90"/>
        <v>13 years, 6 months</v>
      </c>
      <c r="N1438" s="6">
        <v>92</v>
      </c>
      <c r="O1438">
        <v>2</v>
      </c>
      <c r="P1438">
        <v>5</v>
      </c>
      <c r="Q1438">
        <f t="shared" si="91"/>
        <v>7</v>
      </c>
      <c r="R1438">
        <v>5</v>
      </c>
      <c r="S1438">
        <v>5</v>
      </c>
      <c r="T1438">
        <f>Table[[#This Row],[NumWebPurchases]]+Table[[#This Row],[NumStorePurchases]]</f>
        <v>10</v>
      </c>
    </row>
    <row r="1439" spans="1:20" ht="12.5">
      <c r="A1439" s="6">
        <v>1437</v>
      </c>
      <c r="B1439" s="6">
        <v>2518</v>
      </c>
      <c r="C1439" s="6">
        <v>1986</v>
      </c>
      <c r="D1439" s="6">
        <f t="shared" si="88"/>
        <v>39</v>
      </c>
      <c r="E1439" s="7" t="s">
        <v>17</v>
      </c>
      <c r="F1439" s="7" t="s">
        <v>11</v>
      </c>
      <c r="G1439" s="6">
        <v>20491</v>
      </c>
      <c r="H1439" s="6" t="str" cm="1">
        <f t="array" ref="H1439">_xlfn.IFS(
  G1439 &lt; 25000, "Low",
  AND(G1439 &gt;= 25000, G1439 &lt; 75000), "Medium",
  AND(G1439 &gt;= 75000, G1439 &lt; 150000), "High",
  G1439 &gt;= 150000, "Very High"
)</f>
        <v>Low</v>
      </c>
      <c r="I1439" s="6">
        <v>0</v>
      </c>
      <c r="J1439" s="6">
        <v>0</v>
      </c>
      <c r="K1439" s="6">
        <f t="shared" si="89"/>
        <v>0</v>
      </c>
      <c r="L1439" s="8">
        <v>41299</v>
      </c>
      <c r="M1439" t="str">
        <f t="shared" ca="1" si="90"/>
        <v>13 years, 1 months</v>
      </c>
      <c r="N1439" s="6">
        <v>16</v>
      </c>
      <c r="O1439">
        <v>4</v>
      </c>
      <c r="P1439">
        <v>2</v>
      </c>
      <c r="Q1439">
        <f t="shared" si="91"/>
        <v>6</v>
      </c>
      <c r="R1439">
        <v>0</v>
      </c>
      <c r="S1439">
        <v>2</v>
      </c>
      <c r="T1439">
        <f>Table[[#This Row],[NumWebPurchases]]+Table[[#This Row],[NumStorePurchases]]</f>
        <v>2</v>
      </c>
    </row>
    <row r="1440" spans="1:20" ht="12.5">
      <c r="A1440" s="6">
        <v>1438</v>
      </c>
      <c r="B1440" s="6">
        <v>574</v>
      </c>
      <c r="C1440" s="6">
        <v>1964</v>
      </c>
      <c r="D1440" s="6">
        <f t="shared" si="88"/>
        <v>61</v>
      </c>
      <c r="E1440" s="7" t="s">
        <v>9</v>
      </c>
      <c r="F1440" s="7" t="s">
        <v>13</v>
      </c>
      <c r="G1440" s="6">
        <v>42523</v>
      </c>
      <c r="H1440" s="6" t="str" cm="1">
        <f t="array" ref="H1440">_xlfn.IFS(
  G1440 &lt; 25000, "Low",
  AND(G1440 &gt;= 25000, G1440 &lt; 75000), "Medium",
  AND(G1440 &gt;= 75000, G1440 &lt; 150000), "High",
  G1440 &gt;= 150000, "Very High"
)</f>
        <v>Medium</v>
      </c>
      <c r="I1440" s="6">
        <v>0</v>
      </c>
      <c r="J1440" s="6">
        <v>0</v>
      </c>
      <c r="K1440" s="6">
        <f t="shared" si="89"/>
        <v>0</v>
      </c>
      <c r="L1440" s="8">
        <v>41752</v>
      </c>
      <c r="M1440" t="str">
        <f t="shared" ca="1" si="90"/>
        <v>11 years, 10 months</v>
      </c>
      <c r="N1440" s="6">
        <v>96</v>
      </c>
      <c r="O1440">
        <v>36</v>
      </c>
      <c r="P1440">
        <v>26</v>
      </c>
      <c r="Q1440">
        <f t="shared" si="91"/>
        <v>62</v>
      </c>
      <c r="R1440">
        <v>1</v>
      </c>
      <c r="S1440">
        <v>4</v>
      </c>
      <c r="T1440">
        <f>Table[[#This Row],[NumWebPurchases]]+Table[[#This Row],[NumStorePurchases]]</f>
        <v>5</v>
      </c>
    </row>
    <row r="1441" spans="1:20" ht="12.5">
      <c r="A1441" s="6">
        <v>1439</v>
      </c>
      <c r="B1441" s="6">
        <v>3220</v>
      </c>
      <c r="C1441" s="6">
        <v>1983</v>
      </c>
      <c r="D1441" s="6">
        <f t="shared" si="88"/>
        <v>42</v>
      </c>
      <c r="E1441" s="7" t="s">
        <v>9</v>
      </c>
      <c r="F1441" s="7" t="s">
        <v>13</v>
      </c>
      <c r="G1441" s="6">
        <v>39922</v>
      </c>
      <c r="H1441" s="6" t="str" cm="1">
        <f t="array" ref="H1441">_xlfn.IFS(
  G1441 &lt; 25000, "Low",
  AND(G1441 &gt;= 25000, G1441 &lt; 75000), "Medium",
  AND(G1441 &gt;= 75000, G1441 &lt; 150000), "High",
  G1441 &gt;= 150000, "Very High"
)</f>
        <v>Medium</v>
      </c>
      <c r="I1441" s="6">
        <v>1</v>
      </c>
      <c r="J1441" s="6">
        <v>0</v>
      </c>
      <c r="K1441" s="6">
        <f t="shared" si="89"/>
        <v>1</v>
      </c>
      <c r="L1441" s="8">
        <v>41319</v>
      </c>
      <c r="M1441" t="str">
        <f t="shared" ca="1" si="90"/>
        <v>13 years, 0 months</v>
      </c>
      <c r="N1441" s="6">
        <v>30</v>
      </c>
      <c r="O1441">
        <v>12</v>
      </c>
      <c r="P1441">
        <v>1</v>
      </c>
      <c r="Q1441">
        <f t="shared" si="91"/>
        <v>13</v>
      </c>
      <c r="R1441">
        <v>3</v>
      </c>
      <c r="S1441">
        <v>4</v>
      </c>
      <c r="T1441">
        <f>Table[[#This Row],[NumWebPurchases]]+Table[[#This Row],[NumStorePurchases]]</f>
        <v>7</v>
      </c>
    </row>
    <row r="1442" spans="1:20" ht="12.5">
      <c r="A1442" s="6">
        <v>1440</v>
      </c>
      <c r="B1442" s="6">
        <v>5967</v>
      </c>
      <c r="C1442" s="6">
        <v>1952</v>
      </c>
      <c r="D1442" s="6">
        <f t="shared" si="88"/>
        <v>73</v>
      </c>
      <c r="E1442" s="7" t="s">
        <v>9</v>
      </c>
      <c r="F1442" s="7" t="s">
        <v>11</v>
      </c>
      <c r="G1442" s="6">
        <v>33402</v>
      </c>
      <c r="H1442" s="6" t="str" cm="1">
        <f t="array" ref="H1442">_xlfn.IFS(
  G1442 &lt; 25000, "Low",
  AND(G1442 &gt;= 25000, G1442 &lt; 75000), "Medium",
  AND(G1442 &gt;= 75000, G1442 &lt; 150000), "High",
  G1442 &gt;= 150000, "Very High"
)</f>
        <v>Medium</v>
      </c>
      <c r="I1442" s="6">
        <v>1</v>
      </c>
      <c r="J1442" s="6">
        <v>1</v>
      </c>
      <c r="K1442" s="6">
        <f t="shared" si="89"/>
        <v>2</v>
      </c>
      <c r="L1442" s="8">
        <v>41473</v>
      </c>
      <c r="M1442" t="str">
        <f t="shared" ca="1" si="90"/>
        <v>12 years, 7 months</v>
      </c>
      <c r="N1442" s="6">
        <v>60</v>
      </c>
      <c r="O1442">
        <v>2</v>
      </c>
      <c r="P1442">
        <v>5</v>
      </c>
      <c r="Q1442">
        <f t="shared" si="91"/>
        <v>7</v>
      </c>
      <c r="R1442">
        <v>2</v>
      </c>
      <c r="S1442">
        <v>3</v>
      </c>
      <c r="T1442">
        <f>Table[[#This Row],[NumWebPurchases]]+Table[[#This Row],[NumStorePurchases]]</f>
        <v>5</v>
      </c>
    </row>
    <row r="1443" spans="1:20" ht="12.5">
      <c r="A1443" s="6">
        <v>1441</v>
      </c>
      <c r="B1443" s="6">
        <v>1183</v>
      </c>
      <c r="C1443" s="6">
        <v>1949</v>
      </c>
      <c r="D1443" s="6">
        <f t="shared" si="88"/>
        <v>76</v>
      </c>
      <c r="E1443" s="7" t="s">
        <v>14</v>
      </c>
      <c r="F1443" s="7" t="s">
        <v>13</v>
      </c>
      <c r="G1443" s="6">
        <v>36408</v>
      </c>
      <c r="H1443" s="6" t="str" cm="1">
        <f t="array" ref="H1443">_xlfn.IFS(
  G1443 &lt; 25000, "Low",
  AND(G1443 &gt;= 25000, G1443 &lt; 75000), "Medium",
  AND(G1443 &gt;= 75000, G1443 &lt; 150000), "High",
  G1443 &gt;= 150000, "Very High"
)</f>
        <v>Medium</v>
      </c>
      <c r="I1443" s="6">
        <v>1</v>
      </c>
      <c r="J1443" s="6">
        <v>1</v>
      </c>
      <c r="K1443" s="6">
        <f t="shared" si="89"/>
        <v>2</v>
      </c>
      <c r="L1443" s="8">
        <v>41538</v>
      </c>
      <c r="M1443" t="str">
        <f t="shared" ca="1" si="90"/>
        <v>12 years, 5 months</v>
      </c>
      <c r="N1443" s="6">
        <v>11</v>
      </c>
      <c r="O1443">
        <v>1</v>
      </c>
      <c r="P1443">
        <v>2</v>
      </c>
      <c r="Q1443">
        <f t="shared" si="91"/>
        <v>3</v>
      </c>
      <c r="R1443">
        <v>1</v>
      </c>
      <c r="S1443">
        <v>2</v>
      </c>
      <c r="T1443">
        <f>Table[[#This Row],[NumWebPurchases]]+Table[[#This Row],[NumStorePurchases]]</f>
        <v>3</v>
      </c>
    </row>
    <row r="1444" spans="1:20" ht="12.5">
      <c r="A1444" s="6">
        <v>1442</v>
      </c>
      <c r="B1444" s="6">
        <v>6856</v>
      </c>
      <c r="C1444" s="6">
        <v>1979</v>
      </c>
      <c r="D1444" s="6">
        <f t="shared" si="88"/>
        <v>46</v>
      </c>
      <c r="E1444" s="7" t="s">
        <v>9</v>
      </c>
      <c r="F1444" s="7" t="s">
        <v>11</v>
      </c>
      <c r="G1444" s="6">
        <v>21645</v>
      </c>
      <c r="H1444" s="6" t="str" cm="1">
        <f t="array" ref="H1444">_xlfn.IFS(
  G1444 &lt; 25000, "Low",
  AND(G1444 &gt;= 25000, G1444 &lt; 75000), "Medium",
  AND(G1444 &gt;= 75000, G1444 &lt; 150000), "High",
  G1444 &gt;= 150000, "Very High"
)</f>
        <v>Low</v>
      </c>
      <c r="I1444" s="6">
        <v>1</v>
      </c>
      <c r="J1444" s="6">
        <v>0</v>
      </c>
      <c r="K1444" s="6">
        <f t="shared" si="89"/>
        <v>1</v>
      </c>
      <c r="L1444" s="8">
        <v>41155</v>
      </c>
      <c r="M1444" t="str">
        <f t="shared" ca="1" si="90"/>
        <v>13 years, 6 months</v>
      </c>
      <c r="N1444" s="6">
        <v>75</v>
      </c>
      <c r="O1444">
        <v>0</v>
      </c>
      <c r="P1444">
        <v>5</v>
      </c>
      <c r="Q1444">
        <f t="shared" si="91"/>
        <v>5</v>
      </c>
      <c r="R1444">
        <v>3</v>
      </c>
      <c r="S1444">
        <v>3</v>
      </c>
      <c r="T1444">
        <f>Table[[#This Row],[NumWebPurchases]]+Table[[#This Row],[NumStorePurchases]]</f>
        <v>6</v>
      </c>
    </row>
    <row r="1445" spans="1:20" ht="12.5">
      <c r="A1445" s="6">
        <v>1443</v>
      </c>
      <c r="B1445" s="6">
        <v>4530</v>
      </c>
      <c r="C1445" s="6">
        <v>1948</v>
      </c>
      <c r="D1445" s="6">
        <f t="shared" si="88"/>
        <v>77</v>
      </c>
      <c r="E1445" s="7" t="s">
        <v>14</v>
      </c>
      <c r="F1445" s="7" t="s">
        <v>18</v>
      </c>
      <c r="G1445" s="6">
        <v>78427</v>
      </c>
      <c r="H1445" s="6" t="str" cm="1">
        <f t="array" ref="H1445">_xlfn.IFS(
  G1445 &lt; 25000, "Low",
  AND(G1445 &gt;= 25000, G1445 &lt; 75000), "Medium",
  AND(G1445 &gt;= 75000, G1445 &lt; 150000), "High",
  G1445 &gt;= 150000, "Very High"
)</f>
        <v>High</v>
      </c>
      <c r="I1445" s="6">
        <v>0</v>
      </c>
      <c r="J1445" s="6">
        <v>0</v>
      </c>
      <c r="K1445" s="6">
        <f t="shared" si="89"/>
        <v>0</v>
      </c>
      <c r="L1445" s="9">
        <v>41206</v>
      </c>
      <c r="M1445" t="str">
        <f t="shared" ca="1" si="90"/>
        <v>13 years, 4 months</v>
      </c>
      <c r="N1445" s="6">
        <v>36</v>
      </c>
      <c r="O1445">
        <v>19</v>
      </c>
      <c r="P1445">
        <v>26</v>
      </c>
      <c r="Q1445">
        <f t="shared" si="91"/>
        <v>45</v>
      </c>
      <c r="R1445">
        <v>3</v>
      </c>
      <c r="S1445">
        <v>10</v>
      </c>
      <c r="T1445">
        <f>Table[[#This Row],[NumWebPurchases]]+Table[[#This Row],[NumStorePurchases]]</f>
        <v>13</v>
      </c>
    </row>
    <row r="1446" spans="1:20" ht="12.5">
      <c r="A1446" s="6">
        <v>1444</v>
      </c>
      <c r="B1446" s="6">
        <v>1553</v>
      </c>
      <c r="C1446" s="6">
        <v>1946</v>
      </c>
      <c r="D1446" s="6">
        <f t="shared" si="88"/>
        <v>79</v>
      </c>
      <c r="E1446" s="7" t="s">
        <v>9</v>
      </c>
      <c r="F1446" s="7" t="s">
        <v>11</v>
      </c>
      <c r="G1446" s="6">
        <v>82657</v>
      </c>
      <c r="H1446" s="6" t="str" cm="1">
        <f t="array" ref="H1446">_xlfn.IFS(
  G1446 &lt; 25000, "Low",
  AND(G1446 &gt;= 25000, G1446 &lt; 75000), "Medium",
  AND(G1446 &gt;= 75000, G1446 &lt; 150000), "High",
  G1446 &gt;= 150000, "Very High"
)</f>
        <v>High</v>
      </c>
      <c r="I1446" s="6">
        <v>0</v>
      </c>
      <c r="J1446" s="6">
        <v>0</v>
      </c>
      <c r="K1446" s="6">
        <f t="shared" si="89"/>
        <v>0</v>
      </c>
      <c r="L1446" s="8">
        <v>41544</v>
      </c>
      <c r="M1446" t="str">
        <f t="shared" ca="1" si="90"/>
        <v>12 years, 5 months</v>
      </c>
      <c r="N1446" s="6">
        <v>71</v>
      </c>
      <c r="O1446">
        <v>168</v>
      </c>
      <c r="P1446">
        <v>105</v>
      </c>
      <c r="Q1446">
        <f t="shared" si="91"/>
        <v>273</v>
      </c>
      <c r="R1446">
        <v>7</v>
      </c>
      <c r="S1446">
        <v>10</v>
      </c>
      <c r="T1446">
        <f>Table[[#This Row],[NumWebPurchases]]+Table[[#This Row],[NumStorePurchases]]</f>
        <v>17</v>
      </c>
    </row>
    <row r="1447" spans="1:20" ht="12.5">
      <c r="A1447" s="6">
        <v>1445</v>
      </c>
      <c r="B1447" s="6">
        <v>4682</v>
      </c>
      <c r="C1447" s="6">
        <v>1958</v>
      </c>
      <c r="D1447" s="6">
        <f t="shared" si="88"/>
        <v>67</v>
      </c>
      <c r="E1447" s="7" t="s">
        <v>9</v>
      </c>
      <c r="F1447" s="7" t="s">
        <v>13</v>
      </c>
      <c r="G1447" s="6">
        <v>51876</v>
      </c>
      <c r="H1447" s="6" t="str" cm="1">
        <f t="array" ref="H1447">_xlfn.IFS(
  G1447 &lt; 25000, "Low",
  AND(G1447 &gt;= 25000, G1447 &lt; 75000), "Medium",
  AND(G1447 &gt;= 75000, G1447 &lt; 150000), "High",
  G1447 &gt;= 150000, "Very High"
)</f>
        <v>Medium</v>
      </c>
      <c r="I1447" s="6">
        <v>0</v>
      </c>
      <c r="J1447" s="6">
        <v>0</v>
      </c>
      <c r="K1447" s="6">
        <f t="shared" si="89"/>
        <v>0</v>
      </c>
      <c r="L1447" s="9">
        <v>41562</v>
      </c>
      <c r="M1447" t="str">
        <f t="shared" ca="1" si="90"/>
        <v>12 years, 4 months</v>
      </c>
      <c r="N1447" s="6">
        <v>88</v>
      </c>
      <c r="O1447">
        <v>27</v>
      </c>
      <c r="P1447">
        <v>48</v>
      </c>
      <c r="Q1447">
        <f t="shared" si="91"/>
        <v>75</v>
      </c>
      <c r="R1447">
        <v>2</v>
      </c>
      <c r="S1447">
        <v>8</v>
      </c>
      <c r="T1447">
        <f>Table[[#This Row],[NumWebPurchases]]+Table[[#This Row],[NumStorePurchases]]</f>
        <v>10</v>
      </c>
    </row>
    <row r="1448" spans="1:20" ht="12.5">
      <c r="A1448" s="6">
        <v>1446</v>
      </c>
      <c r="B1448" s="6">
        <v>8204</v>
      </c>
      <c r="C1448" s="6">
        <v>1971</v>
      </c>
      <c r="D1448" s="6">
        <f t="shared" si="88"/>
        <v>54</v>
      </c>
      <c r="E1448" s="7" t="s">
        <v>17</v>
      </c>
      <c r="F1448" s="7" t="s">
        <v>13</v>
      </c>
      <c r="G1448" s="6">
        <v>78041</v>
      </c>
      <c r="H1448" s="6" t="str" cm="1">
        <f t="array" ref="H1448">_xlfn.IFS(
  G1448 &lt; 25000, "Low",
  AND(G1448 &gt;= 25000, G1448 &lt; 75000), "Medium",
  AND(G1448 &gt;= 75000, G1448 &lt; 150000), "High",
  G1448 &gt;= 150000, "Very High"
)</f>
        <v>High</v>
      </c>
      <c r="I1448" s="6">
        <v>0</v>
      </c>
      <c r="J1448" s="6">
        <v>0</v>
      </c>
      <c r="K1448" s="6">
        <f t="shared" si="89"/>
        <v>0</v>
      </c>
      <c r="L1448" s="9">
        <v>41259</v>
      </c>
      <c r="M1448" t="str">
        <f t="shared" ca="1" si="90"/>
        <v>13 years, 2 months</v>
      </c>
      <c r="N1448" s="6">
        <v>93</v>
      </c>
      <c r="O1448">
        <v>35</v>
      </c>
      <c r="P1448">
        <v>160</v>
      </c>
      <c r="Q1448">
        <f t="shared" si="91"/>
        <v>195</v>
      </c>
      <c r="R1448">
        <v>4</v>
      </c>
      <c r="S1448">
        <v>9</v>
      </c>
      <c r="T1448">
        <f>Table[[#This Row],[NumWebPurchases]]+Table[[#This Row],[NumStorePurchases]]</f>
        <v>13</v>
      </c>
    </row>
    <row r="1449" spans="1:20" ht="12.5">
      <c r="A1449" s="6">
        <v>1447</v>
      </c>
      <c r="B1449" s="6">
        <v>5221</v>
      </c>
      <c r="C1449" s="6">
        <v>1957</v>
      </c>
      <c r="D1449" s="6">
        <f t="shared" si="88"/>
        <v>68</v>
      </c>
      <c r="E1449" s="7" t="s">
        <v>9</v>
      </c>
      <c r="F1449" s="7" t="s">
        <v>13</v>
      </c>
      <c r="G1449" s="6">
        <v>52852</v>
      </c>
      <c r="H1449" s="6" t="str" cm="1">
        <f t="array" ref="H1449">_xlfn.IFS(
  G1449 &lt; 25000, "Low",
  AND(G1449 &gt;= 25000, G1449 &lt; 75000), "Medium",
  AND(G1449 &gt;= 75000, G1449 &lt; 150000), "High",
  G1449 &gt;= 150000, "Very High"
)</f>
        <v>Medium</v>
      </c>
      <c r="I1449" s="6">
        <v>0</v>
      </c>
      <c r="J1449" s="6">
        <v>1</v>
      </c>
      <c r="K1449" s="6">
        <f t="shared" si="89"/>
        <v>1</v>
      </c>
      <c r="L1449" s="8">
        <v>41244</v>
      </c>
      <c r="M1449" t="str">
        <f t="shared" ca="1" si="90"/>
        <v>13 years, 3 months</v>
      </c>
      <c r="N1449" s="6">
        <v>93</v>
      </c>
      <c r="O1449">
        <v>8</v>
      </c>
      <c r="P1449">
        <v>0</v>
      </c>
      <c r="Q1449">
        <f t="shared" si="91"/>
        <v>8</v>
      </c>
      <c r="R1449">
        <v>10</v>
      </c>
      <c r="S1449">
        <v>5</v>
      </c>
      <c r="T1449">
        <f>Table[[#This Row],[NumWebPurchases]]+Table[[#This Row],[NumStorePurchases]]</f>
        <v>15</v>
      </c>
    </row>
    <row r="1450" spans="1:20" ht="12.5">
      <c r="A1450" s="6">
        <v>1448</v>
      </c>
      <c r="B1450" s="6">
        <v>1232</v>
      </c>
      <c r="C1450" s="6">
        <v>1982</v>
      </c>
      <c r="D1450" s="6">
        <f t="shared" si="88"/>
        <v>43</v>
      </c>
      <c r="E1450" s="7" t="s">
        <v>12</v>
      </c>
      <c r="F1450" s="7" t="s">
        <v>11</v>
      </c>
      <c r="G1450" s="6">
        <v>70038</v>
      </c>
      <c r="H1450" s="6" t="str" cm="1">
        <f t="array" ref="H1450">_xlfn.IFS(
  G1450 &lt; 25000, "Low",
  AND(G1450 &gt;= 25000, G1450 &lt; 75000), "Medium",
  AND(G1450 &gt;= 75000, G1450 &lt; 150000), "High",
  G1450 &gt;= 150000, "Very High"
)</f>
        <v>Medium</v>
      </c>
      <c r="I1450" s="6">
        <v>0</v>
      </c>
      <c r="J1450" s="6">
        <v>0</v>
      </c>
      <c r="K1450" s="6">
        <f t="shared" si="89"/>
        <v>0</v>
      </c>
      <c r="L1450" s="9">
        <v>41572</v>
      </c>
      <c r="M1450" t="str">
        <f t="shared" ca="1" si="90"/>
        <v>12 years, 4 months</v>
      </c>
      <c r="N1450" s="6">
        <v>54</v>
      </c>
      <c r="O1450">
        <v>54</v>
      </c>
      <c r="P1450">
        <v>54</v>
      </c>
      <c r="Q1450">
        <f t="shared" si="91"/>
        <v>108</v>
      </c>
      <c r="R1450">
        <v>4</v>
      </c>
      <c r="S1450">
        <v>8</v>
      </c>
      <c r="T1450">
        <f>Table[[#This Row],[NumWebPurchases]]+Table[[#This Row],[NumStorePurchases]]</f>
        <v>12</v>
      </c>
    </row>
    <row r="1451" spans="1:20" ht="12.5">
      <c r="A1451" s="6">
        <v>1449</v>
      </c>
      <c r="B1451" s="6">
        <v>1927</v>
      </c>
      <c r="C1451" s="6">
        <v>1973</v>
      </c>
      <c r="D1451" s="6">
        <f t="shared" si="88"/>
        <v>52</v>
      </c>
      <c r="E1451" s="7" t="s">
        <v>17</v>
      </c>
      <c r="F1451" s="7" t="s">
        <v>11</v>
      </c>
      <c r="G1451" s="6">
        <v>69401</v>
      </c>
      <c r="H1451" s="6" t="str" cm="1">
        <f t="array" ref="H1451">_xlfn.IFS(
  G1451 &lt; 25000, "Low",
  AND(G1451 &gt;= 25000, G1451 &lt; 75000), "Medium",
  AND(G1451 &gt;= 75000, G1451 &lt; 150000), "High",
  G1451 &gt;= 150000, "Very High"
)</f>
        <v>Medium</v>
      </c>
      <c r="I1451" s="6">
        <v>0</v>
      </c>
      <c r="J1451" s="6">
        <v>1</v>
      </c>
      <c r="K1451" s="6">
        <f t="shared" si="89"/>
        <v>1</v>
      </c>
      <c r="L1451" s="8">
        <v>41721</v>
      </c>
      <c r="M1451" t="str">
        <f t="shared" ca="1" si="90"/>
        <v>11 years, 11 months</v>
      </c>
      <c r="N1451" s="6">
        <v>41</v>
      </c>
      <c r="O1451">
        <v>27</v>
      </c>
      <c r="P1451">
        <v>8</v>
      </c>
      <c r="Q1451">
        <f t="shared" si="91"/>
        <v>35</v>
      </c>
      <c r="R1451">
        <v>4</v>
      </c>
      <c r="S1451">
        <v>5</v>
      </c>
      <c r="T1451">
        <f>Table[[#This Row],[NumWebPurchases]]+Table[[#This Row],[NumStorePurchases]]</f>
        <v>9</v>
      </c>
    </row>
    <row r="1452" spans="1:20" ht="12.5">
      <c r="A1452" s="6">
        <v>1450</v>
      </c>
      <c r="B1452" s="6">
        <v>5788</v>
      </c>
      <c r="C1452" s="6">
        <v>1972</v>
      </c>
      <c r="D1452" s="6">
        <f t="shared" si="88"/>
        <v>53</v>
      </c>
      <c r="E1452" s="7" t="s">
        <v>9</v>
      </c>
      <c r="F1452" s="7" t="s">
        <v>11</v>
      </c>
      <c r="G1452" s="6">
        <v>46053</v>
      </c>
      <c r="H1452" s="6" t="str" cm="1">
        <f t="array" ref="H1452">_xlfn.IFS(
  G1452 &lt; 25000, "Low",
  AND(G1452 &gt;= 25000, G1452 &lt; 75000), "Medium",
  AND(G1452 &gt;= 75000, G1452 &lt; 150000), "High",
  G1452 &gt;= 150000, "Very High"
)</f>
        <v>Medium</v>
      </c>
      <c r="I1452" s="6">
        <v>1</v>
      </c>
      <c r="J1452" s="6">
        <v>0</v>
      </c>
      <c r="K1452" s="6">
        <f t="shared" si="89"/>
        <v>1</v>
      </c>
      <c r="L1452" s="8">
        <v>41322</v>
      </c>
      <c r="M1452" t="str">
        <f t="shared" ca="1" si="90"/>
        <v>13 years, 0 months</v>
      </c>
      <c r="N1452" s="6">
        <v>46</v>
      </c>
      <c r="O1452">
        <v>10</v>
      </c>
      <c r="P1452">
        <v>7</v>
      </c>
      <c r="Q1452">
        <f t="shared" si="91"/>
        <v>17</v>
      </c>
      <c r="R1452">
        <v>3</v>
      </c>
      <c r="S1452">
        <v>4</v>
      </c>
      <c r="T1452">
        <f>Table[[#This Row],[NumWebPurchases]]+Table[[#This Row],[NumStorePurchases]]</f>
        <v>7</v>
      </c>
    </row>
    <row r="1453" spans="1:20" ht="12.5">
      <c r="A1453" s="6">
        <v>1451</v>
      </c>
      <c r="B1453" s="6">
        <v>6652</v>
      </c>
      <c r="C1453" s="6">
        <v>1965</v>
      </c>
      <c r="D1453" s="6">
        <f t="shared" si="88"/>
        <v>60</v>
      </c>
      <c r="E1453" s="7" t="s">
        <v>9</v>
      </c>
      <c r="F1453" s="7" t="s">
        <v>13</v>
      </c>
      <c r="G1453" s="6">
        <v>77343</v>
      </c>
      <c r="H1453" s="6" t="str" cm="1">
        <f t="array" ref="H1453">_xlfn.IFS(
  G1453 &lt; 25000, "Low",
  AND(G1453 &gt;= 25000, G1453 &lt; 75000), "Medium",
  AND(G1453 &gt;= 75000, G1453 &lt; 150000), "High",
  G1453 &gt;= 150000, "Very High"
)</f>
        <v>High</v>
      </c>
      <c r="I1453" s="6">
        <v>0</v>
      </c>
      <c r="J1453" s="6">
        <v>0</v>
      </c>
      <c r="K1453" s="6">
        <f t="shared" si="89"/>
        <v>0</v>
      </c>
      <c r="L1453" s="8">
        <v>41799</v>
      </c>
      <c r="M1453" t="str">
        <f t="shared" ca="1" si="90"/>
        <v>11 years, 8 months</v>
      </c>
      <c r="N1453" s="6">
        <v>28</v>
      </c>
      <c r="O1453">
        <v>151</v>
      </c>
      <c r="P1453">
        <v>54</v>
      </c>
      <c r="Q1453">
        <f t="shared" si="91"/>
        <v>205</v>
      </c>
      <c r="R1453">
        <v>3</v>
      </c>
      <c r="S1453">
        <v>9</v>
      </c>
      <c r="T1453">
        <f>Table[[#This Row],[NumWebPurchases]]+Table[[#This Row],[NumStorePurchases]]</f>
        <v>12</v>
      </c>
    </row>
    <row r="1454" spans="1:20" ht="12.5">
      <c r="A1454" s="6">
        <v>1452</v>
      </c>
      <c r="B1454" s="6">
        <v>6246</v>
      </c>
      <c r="C1454" s="6">
        <v>1953</v>
      </c>
      <c r="D1454" s="6">
        <f t="shared" si="88"/>
        <v>72</v>
      </c>
      <c r="E1454" s="7" t="s">
        <v>9</v>
      </c>
      <c r="F1454" s="7" t="s">
        <v>10</v>
      </c>
      <c r="G1454" s="6">
        <v>73892</v>
      </c>
      <c r="H1454" s="6" t="str" cm="1">
        <f t="array" ref="H1454">_xlfn.IFS(
  G1454 &lt; 25000, "Low",
  AND(G1454 &gt;= 25000, G1454 &lt; 75000), "Medium",
  AND(G1454 &gt;= 75000, G1454 &lt; 150000), "High",
  G1454 &gt;= 150000, "Very High"
)</f>
        <v>Medium</v>
      </c>
      <c r="I1454" s="6">
        <v>0</v>
      </c>
      <c r="J1454" s="6">
        <v>0</v>
      </c>
      <c r="K1454" s="6">
        <f t="shared" si="89"/>
        <v>0</v>
      </c>
      <c r="L1454" s="9">
        <v>41591</v>
      </c>
      <c r="M1454" t="str">
        <f t="shared" ca="1" si="90"/>
        <v>12 years, 3 months</v>
      </c>
      <c r="N1454" s="6">
        <v>40</v>
      </c>
      <c r="O1454">
        <v>102</v>
      </c>
      <c r="P1454">
        <v>58</v>
      </c>
      <c r="Q1454">
        <f t="shared" si="91"/>
        <v>160</v>
      </c>
      <c r="R1454">
        <v>3</v>
      </c>
      <c r="S1454">
        <v>8</v>
      </c>
      <c r="T1454">
        <f>Table[[#This Row],[NumWebPurchases]]+Table[[#This Row],[NumStorePurchases]]</f>
        <v>11</v>
      </c>
    </row>
    <row r="1455" spans="1:20" ht="12.5">
      <c r="A1455" s="6">
        <v>1453</v>
      </c>
      <c r="B1455" s="6">
        <v>5975</v>
      </c>
      <c r="C1455" s="6">
        <v>1967</v>
      </c>
      <c r="D1455" s="6">
        <f t="shared" si="88"/>
        <v>58</v>
      </c>
      <c r="E1455" s="7" t="s">
        <v>12</v>
      </c>
      <c r="F1455" s="7" t="s">
        <v>10</v>
      </c>
      <c r="G1455" s="6">
        <v>40304</v>
      </c>
      <c r="H1455" s="6" t="str" cm="1">
        <f t="array" ref="H1455">_xlfn.IFS(
  G1455 &lt; 25000, "Low",
  AND(G1455 &gt;= 25000, G1455 &lt; 75000), "Medium",
  AND(G1455 &gt;= 75000, G1455 &lt; 150000), "High",
  G1455 &gt;= 150000, "Very High"
)</f>
        <v>Medium</v>
      </c>
      <c r="I1455" s="6">
        <v>1</v>
      </c>
      <c r="J1455" s="6">
        <v>0</v>
      </c>
      <c r="K1455" s="6">
        <f t="shared" si="89"/>
        <v>1</v>
      </c>
      <c r="L1455" s="8">
        <v>41547</v>
      </c>
      <c r="M1455" t="str">
        <f t="shared" ca="1" si="90"/>
        <v>12 years, 5 months</v>
      </c>
      <c r="N1455" s="6">
        <v>82</v>
      </c>
      <c r="O1455">
        <v>0</v>
      </c>
      <c r="P1455">
        <v>0</v>
      </c>
      <c r="Q1455">
        <f t="shared" si="91"/>
        <v>0</v>
      </c>
      <c r="R1455">
        <v>2</v>
      </c>
      <c r="S1455">
        <v>3</v>
      </c>
      <c r="T1455">
        <f>Table[[#This Row],[NumWebPurchases]]+Table[[#This Row],[NumStorePurchases]]</f>
        <v>5</v>
      </c>
    </row>
    <row r="1456" spans="1:20" ht="12.5">
      <c r="A1456" s="6">
        <v>1454</v>
      </c>
      <c r="B1456" s="6">
        <v>6875</v>
      </c>
      <c r="C1456" s="6">
        <v>1965</v>
      </c>
      <c r="D1456" s="6">
        <f t="shared" si="88"/>
        <v>60</v>
      </c>
      <c r="E1456" s="7" t="s">
        <v>12</v>
      </c>
      <c r="F1456" s="7" t="s">
        <v>11</v>
      </c>
      <c r="G1456" s="6">
        <v>32727</v>
      </c>
      <c r="H1456" s="6" t="str" cm="1">
        <f t="array" ref="H1456">_xlfn.IFS(
  G1456 &lt; 25000, "Low",
  AND(G1456 &gt;= 25000, G1456 &lt; 75000), "Medium",
  AND(G1456 &gt;= 75000, G1456 &lt; 150000), "High",
  G1456 &gt;= 150000, "Very High"
)</f>
        <v>Medium</v>
      </c>
      <c r="I1456" s="6">
        <v>0</v>
      </c>
      <c r="J1456" s="6">
        <v>0</v>
      </c>
      <c r="K1456" s="6">
        <f t="shared" si="89"/>
        <v>0</v>
      </c>
      <c r="L1456" s="8">
        <v>41149</v>
      </c>
      <c r="M1456" t="str">
        <f t="shared" ca="1" si="90"/>
        <v>13 years, 6 months</v>
      </c>
      <c r="N1456" s="6">
        <v>38</v>
      </c>
      <c r="O1456">
        <v>13</v>
      </c>
      <c r="P1456">
        <v>13</v>
      </c>
      <c r="Q1456">
        <f t="shared" si="91"/>
        <v>26</v>
      </c>
      <c r="R1456">
        <v>7</v>
      </c>
      <c r="S1456">
        <v>5</v>
      </c>
      <c r="T1456">
        <f>Table[[#This Row],[NumWebPurchases]]+Table[[#This Row],[NumStorePurchases]]</f>
        <v>12</v>
      </c>
    </row>
    <row r="1457" spans="1:20" ht="12.5">
      <c r="A1457" s="6">
        <v>1455</v>
      </c>
      <c r="B1457" s="6">
        <v>4399</v>
      </c>
      <c r="C1457" s="6">
        <v>1969</v>
      </c>
      <c r="D1457" s="6">
        <f t="shared" si="88"/>
        <v>56</v>
      </c>
      <c r="E1457" s="7" t="s">
        <v>9</v>
      </c>
      <c r="F1457" s="7" t="s">
        <v>11</v>
      </c>
      <c r="G1457" s="6">
        <v>68695</v>
      </c>
      <c r="H1457" s="6" t="str" cm="1">
        <f t="array" ref="H1457">_xlfn.IFS(
  G1457 &lt; 25000, "Low",
  AND(G1457 &gt;= 25000, G1457 &lt; 75000), "Medium",
  AND(G1457 &gt;= 75000, G1457 &lt; 150000), "High",
  G1457 &gt;= 150000, "Very High"
)</f>
        <v>Medium</v>
      </c>
      <c r="I1457" s="6">
        <v>0</v>
      </c>
      <c r="J1457" s="6">
        <v>0</v>
      </c>
      <c r="K1457" s="6">
        <f t="shared" si="89"/>
        <v>0</v>
      </c>
      <c r="L1457" s="8">
        <v>41815</v>
      </c>
      <c r="M1457" t="str">
        <f t="shared" ca="1" si="90"/>
        <v>11 years, 8 months</v>
      </c>
      <c r="N1457" s="6">
        <v>3</v>
      </c>
      <c r="O1457">
        <v>81</v>
      </c>
      <c r="P1457">
        <v>50</v>
      </c>
      <c r="Q1457">
        <f t="shared" si="91"/>
        <v>131</v>
      </c>
      <c r="R1457">
        <v>4</v>
      </c>
      <c r="S1457">
        <v>7</v>
      </c>
      <c r="T1457">
        <f>Table[[#This Row],[NumWebPurchases]]+Table[[#This Row],[NumStorePurchases]]</f>
        <v>11</v>
      </c>
    </row>
    <row r="1458" spans="1:20" ht="12.5">
      <c r="A1458" s="6">
        <v>1456</v>
      </c>
      <c r="B1458" s="6">
        <v>4042</v>
      </c>
      <c r="C1458" s="6">
        <v>1971</v>
      </c>
      <c r="D1458" s="6">
        <f t="shared" si="88"/>
        <v>54</v>
      </c>
      <c r="E1458" s="7" t="s">
        <v>9</v>
      </c>
      <c r="F1458" s="7" t="s">
        <v>15</v>
      </c>
      <c r="G1458" s="6">
        <v>43300</v>
      </c>
      <c r="H1458" s="6" t="str" cm="1">
        <f t="array" ref="H1458">_xlfn.IFS(
  G1458 &lt; 25000, "Low",
  AND(G1458 &gt;= 25000, G1458 &lt; 75000), "Medium",
  AND(G1458 &gt;= 75000, G1458 &lt; 150000), "High",
  G1458 &gt;= 150000, "Very High"
)</f>
        <v>Medium</v>
      </c>
      <c r="I1458" s="6">
        <v>0</v>
      </c>
      <c r="J1458" s="6">
        <v>1</v>
      </c>
      <c r="K1458" s="6">
        <f t="shared" si="89"/>
        <v>1</v>
      </c>
      <c r="L1458" s="9">
        <v>41195</v>
      </c>
      <c r="M1458" t="str">
        <f t="shared" ca="1" si="90"/>
        <v>13 years, 4 months</v>
      </c>
      <c r="N1458" s="6">
        <v>87</v>
      </c>
      <c r="O1458">
        <v>3</v>
      </c>
      <c r="P1458">
        <v>1</v>
      </c>
      <c r="Q1458">
        <f t="shared" si="91"/>
        <v>4</v>
      </c>
      <c r="R1458">
        <v>4</v>
      </c>
      <c r="S1458">
        <v>4</v>
      </c>
      <c r="T1458">
        <f>Table[[#This Row],[NumWebPurchases]]+Table[[#This Row],[NumStorePurchases]]</f>
        <v>8</v>
      </c>
    </row>
    <row r="1459" spans="1:20" ht="12.5">
      <c r="A1459" s="6">
        <v>1457</v>
      </c>
      <c r="B1459" s="6">
        <v>2157</v>
      </c>
      <c r="C1459" s="6">
        <v>1972</v>
      </c>
      <c r="D1459" s="6">
        <f t="shared" si="88"/>
        <v>53</v>
      </c>
      <c r="E1459" s="7" t="s">
        <v>9</v>
      </c>
      <c r="F1459" s="7" t="s">
        <v>11</v>
      </c>
      <c r="G1459" s="6">
        <v>26290</v>
      </c>
      <c r="H1459" s="6" t="str" cm="1">
        <f t="array" ref="H1459">_xlfn.IFS(
  G1459 &lt; 25000, "Low",
  AND(G1459 &gt;= 25000, G1459 &lt; 75000), "Medium",
  AND(G1459 &gt;= 75000, G1459 &lt; 150000), "High",
  G1459 &gt;= 150000, "Very High"
)</f>
        <v>Medium</v>
      </c>
      <c r="I1459" s="6">
        <v>1</v>
      </c>
      <c r="J1459" s="6">
        <v>1</v>
      </c>
      <c r="K1459" s="6">
        <f t="shared" si="89"/>
        <v>2</v>
      </c>
      <c r="L1459" s="8">
        <v>41286</v>
      </c>
      <c r="M1459" t="str">
        <f t="shared" ca="1" si="90"/>
        <v>13 years, 1 months</v>
      </c>
      <c r="N1459" s="6">
        <v>49</v>
      </c>
      <c r="O1459">
        <v>8</v>
      </c>
      <c r="P1459">
        <v>5</v>
      </c>
      <c r="Q1459">
        <f t="shared" si="91"/>
        <v>13</v>
      </c>
      <c r="R1459">
        <v>2</v>
      </c>
      <c r="S1459">
        <v>4</v>
      </c>
      <c r="T1459">
        <f>Table[[#This Row],[NumWebPurchases]]+Table[[#This Row],[NumStorePurchases]]</f>
        <v>6</v>
      </c>
    </row>
    <row r="1460" spans="1:20" ht="12.5">
      <c r="A1460" s="6">
        <v>1458</v>
      </c>
      <c r="B1460" s="6">
        <v>10133</v>
      </c>
      <c r="C1460" s="6">
        <v>1970</v>
      </c>
      <c r="D1460" s="6">
        <f t="shared" si="88"/>
        <v>55</v>
      </c>
      <c r="E1460" s="7" t="s">
        <v>9</v>
      </c>
      <c r="F1460" s="7" t="s">
        <v>10</v>
      </c>
      <c r="G1460" s="6">
        <v>93790</v>
      </c>
      <c r="H1460" s="6" t="str" cm="1">
        <f t="array" ref="H1460">_xlfn.IFS(
  G1460 &lt; 25000, "Low",
  AND(G1460 &gt;= 25000, G1460 &lt; 75000), "Medium",
  AND(G1460 &gt;= 75000, G1460 &lt; 150000), "High",
  G1460 &gt;= 150000, "Very High"
)</f>
        <v>High</v>
      </c>
      <c r="I1460" s="6">
        <v>0</v>
      </c>
      <c r="J1460" s="6">
        <v>0</v>
      </c>
      <c r="K1460" s="6">
        <f t="shared" si="89"/>
        <v>0</v>
      </c>
      <c r="L1460" s="8">
        <v>41682</v>
      </c>
      <c r="M1460" t="str">
        <f t="shared" ca="1" si="90"/>
        <v>12 years, 0 months</v>
      </c>
      <c r="N1460" s="6">
        <v>16</v>
      </c>
      <c r="O1460">
        <v>68</v>
      </c>
      <c r="P1460">
        <v>114</v>
      </c>
      <c r="Q1460">
        <f t="shared" si="91"/>
        <v>182</v>
      </c>
      <c r="R1460">
        <v>6</v>
      </c>
      <c r="S1460">
        <v>12</v>
      </c>
      <c r="T1460">
        <f>Table[[#This Row],[NumWebPurchases]]+Table[[#This Row],[NumStorePurchases]]</f>
        <v>18</v>
      </c>
    </row>
    <row r="1461" spans="1:20" ht="12.5">
      <c r="A1461" s="6">
        <v>1459</v>
      </c>
      <c r="B1461" s="6">
        <v>2525</v>
      </c>
      <c r="C1461" s="6">
        <v>1974</v>
      </c>
      <c r="D1461" s="6">
        <f t="shared" si="88"/>
        <v>51</v>
      </c>
      <c r="E1461" s="7" t="s">
        <v>12</v>
      </c>
      <c r="F1461" s="7" t="s">
        <v>13</v>
      </c>
      <c r="G1461" s="6">
        <v>38410</v>
      </c>
      <c r="H1461" s="6" t="str" cm="1">
        <f t="array" ref="H1461">_xlfn.IFS(
  G1461 &lt; 25000, "Low",
  AND(G1461 &gt;= 25000, G1461 &lt; 75000), "Medium",
  AND(G1461 &gt;= 75000, G1461 &lt; 150000), "High",
  G1461 &gt;= 150000, "Very High"
)</f>
        <v>Medium</v>
      </c>
      <c r="I1461" s="6">
        <v>0</v>
      </c>
      <c r="J1461" s="6">
        <v>0</v>
      </c>
      <c r="K1461" s="6">
        <f t="shared" si="89"/>
        <v>0</v>
      </c>
      <c r="L1461" s="8">
        <v>41166</v>
      </c>
      <c r="M1461" t="str">
        <f t="shared" ca="1" si="90"/>
        <v>13 years, 5 months</v>
      </c>
      <c r="N1461" s="6">
        <v>65</v>
      </c>
      <c r="O1461">
        <v>64</v>
      </c>
      <c r="P1461">
        <v>64</v>
      </c>
      <c r="Q1461">
        <f t="shared" si="91"/>
        <v>128</v>
      </c>
      <c r="R1461">
        <v>5</v>
      </c>
      <c r="S1461">
        <v>9</v>
      </c>
      <c r="T1461">
        <f>Table[[#This Row],[NumWebPurchases]]+Table[[#This Row],[NumStorePurchases]]</f>
        <v>14</v>
      </c>
    </row>
    <row r="1462" spans="1:20" ht="12.5">
      <c r="A1462" s="6">
        <v>1460</v>
      </c>
      <c r="B1462" s="6">
        <v>8233</v>
      </c>
      <c r="C1462" s="6">
        <v>1950</v>
      </c>
      <c r="D1462" s="6">
        <f t="shared" si="88"/>
        <v>75</v>
      </c>
      <c r="E1462" s="7" t="s">
        <v>14</v>
      </c>
      <c r="F1462" s="7" t="s">
        <v>18</v>
      </c>
      <c r="G1462" s="6">
        <v>64866</v>
      </c>
      <c r="H1462" s="6" t="str" cm="1">
        <f t="array" ref="H1462">_xlfn.IFS(
  G1462 &lt; 25000, "Low",
  AND(G1462 &gt;= 25000, G1462 &lt; 75000), "Medium",
  AND(G1462 &gt;= 75000, G1462 &lt; 150000), "High",
  G1462 &gt;= 150000, "Very High"
)</f>
        <v>Medium</v>
      </c>
      <c r="I1462" s="6">
        <v>0</v>
      </c>
      <c r="J1462" s="6">
        <v>1</v>
      </c>
      <c r="K1462" s="6">
        <f t="shared" si="89"/>
        <v>1</v>
      </c>
      <c r="L1462" s="8">
        <v>41665</v>
      </c>
      <c r="M1462" t="str">
        <f t="shared" ca="1" si="90"/>
        <v>12 years, 1 months</v>
      </c>
      <c r="N1462" s="6">
        <v>9</v>
      </c>
      <c r="O1462">
        <v>5</v>
      </c>
      <c r="P1462">
        <v>5</v>
      </c>
      <c r="Q1462">
        <f t="shared" si="91"/>
        <v>10</v>
      </c>
      <c r="R1462">
        <v>7</v>
      </c>
      <c r="S1462">
        <v>7</v>
      </c>
      <c r="T1462">
        <f>Table[[#This Row],[NumWebPurchases]]+Table[[#This Row],[NumStorePurchases]]</f>
        <v>14</v>
      </c>
    </row>
    <row r="1463" spans="1:20" ht="12.5">
      <c r="A1463" s="6">
        <v>1461</v>
      </c>
      <c r="B1463" s="6">
        <v>9483</v>
      </c>
      <c r="C1463" s="6">
        <v>1959</v>
      </c>
      <c r="D1463" s="6">
        <f t="shared" si="88"/>
        <v>66</v>
      </c>
      <c r="E1463" s="7" t="s">
        <v>9</v>
      </c>
      <c r="F1463" s="7" t="s">
        <v>11</v>
      </c>
      <c r="G1463" s="6">
        <v>57957</v>
      </c>
      <c r="H1463" s="6" t="str" cm="1">
        <f t="array" ref="H1463">_xlfn.IFS(
  G1463 &lt; 25000, "Low",
  AND(G1463 &gt;= 25000, G1463 &lt; 75000), "Medium",
  AND(G1463 &gt;= 75000, G1463 &lt; 150000), "High",
  G1463 &gt;= 150000, "Very High"
)</f>
        <v>Medium</v>
      </c>
      <c r="I1463" s="6">
        <v>0</v>
      </c>
      <c r="J1463" s="6">
        <v>1</v>
      </c>
      <c r="K1463" s="6">
        <f t="shared" si="89"/>
        <v>1</v>
      </c>
      <c r="L1463" s="8">
        <v>41505</v>
      </c>
      <c r="M1463" t="str">
        <f t="shared" ca="1" si="90"/>
        <v>12 years, 6 months</v>
      </c>
      <c r="N1463" s="6">
        <v>24</v>
      </c>
      <c r="O1463">
        <v>59</v>
      </c>
      <c r="P1463">
        <v>5</v>
      </c>
      <c r="Q1463">
        <f t="shared" si="91"/>
        <v>64</v>
      </c>
      <c r="R1463">
        <v>4</v>
      </c>
      <c r="S1463">
        <v>8</v>
      </c>
      <c r="T1463">
        <f>Table[[#This Row],[NumWebPurchases]]+Table[[#This Row],[NumStorePurchases]]</f>
        <v>12</v>
      </c>
    </row>
    <row r="1464" spans="1:20" ht="12.5">
      <c r="A1464" s="6">
        <v>1462</v>
      </c>
      <c r="B1464" s="6">
        <v>2945</v>
      </c>
      <c r="C1464" s="6">
        <v>1955</v>
      </c>
      <c r="D1464" s="6">
        <f t="shared" si="88"/>
        <v>70</v>
      </c>
      <c r="E1464" s="7" t="s">
        <v>12</v>
      </c>
      <c r="F1464" s="7" t="s">
        <v>11</v>
      </c>
      <c r="G1464" s="6">
        <v>46015</v>
      </c>
      <c r="H1464" s="6" t="str" cm="1">
        <f t="array" ref="H1464">_xlfn.IFS(
  G1464 &lt; 25000, "Low",
  AND(G1464 &gt;= 25000, G1464 &lt; 75000), "Medium",
  AND(G1464 &gt;= 75000, G1464 &lt; 150000), "High",
  G1464 &gt;= 150000, "Very High"
)</f>
        <v>Medium</v>
      </c>
      <c r="I1464" s="6">
        <v>1</v>
      </c>
      <c r="J1464" s="6">
        <v>1</v>
      </c>
      <c r="K1464" s="6">
        <f t="shared" si="89"/>
        <v>2</v>
      </c>
      <c r="L1464" s="8">
        <v>41742</v>
      </c>
      <c r="M1464" t="str">
        <f t="shared" ca="1" si="90"/>
        <v>11 years, 10 months</v>
      </c>
      <c r="N1464" s="6">
        <v>25</v>
      </c>
      <c r="O1464">
        <v>0</v>
      </c>
      <c r="P1464">
        <v>0</v>
      </c>
      <c r="Q1464">
        <f t="shared" si="91"/>
        <v>0</v>
      </c>
      <c r="R1464">
        <v>1</v>
      </c>
      <c r="S1464">
        <v>3</v>
      </c>
      <c r="T1464">
        <f>Table[[#This Row],[NumWebPurchases]]+Table[[#This Row],[NumStorePurchases]]</f>
        <v>4</v>
      </c>
    </row>
    <row r="1465" spans="1:20" ht="12.5">
      <c r="A1465" s="6">
        <v>1463</v>
      </c>
      <c r="B1465" s="6">
        <v>10403</v>
      </c>
      <c r="C1465" s="6">
        <v>1978</v>
      </c>
      <c r="D1465" s="6">
        <f t="shared" si="88"/>
        <v>47</v>
      </c>
      <c r="E1465" s="7" t="s">
        <v>9</v>
      </c>
      <c r="F1465" s="7" t="s">
        <v>11</v>
      </c>
      <c r="G1465" s="6">
        <v>16531</v>
      </c>
      <c r="H1465" s="6" t="str" cm="1">
        <f t="array" ref="H1465">_xlfn.IFS(
  G1465 &lt; 25000, "Low",
  AND(G1465 &gt;= 25000, G1465 &lt; 75000), "Medium",
  AND(G1465 &gt;= 75000, G1465 &lt; 150000), "High",
  G1465 &gt;= 150000, "Very High"
)</f>
        <v>Low</v>
      </c>
      <c r="I1465" s="6">
        <v>1</v>
      </c>
      <c r="J1465" s="6">
        <v>0</v>
      </c>
      <c r="K1465" s="6">
        <f t="shared" si="89"/>
        <v>1</v>
      </c>
      <c r="L1465" s="8">
        <v>41808</v>
      </c>
      <c r="M1465" t="str">
        <f t="shared" ca="1" si="90"/>
        <v>11 years, 8 months</v>
      </c>
      <c r="N1465" s="6">
        <v>43</v>
      </c>
      <c r="O1465">
        <v>13</v>
      </c>
      <c r="P1465">
        <v>5</v>
      </c>
      <c r="Q1465">
        <f t="shared" si="91"/>
        <v>18</v>
      </c>
      <c r="R1465">
        <v>3</v>
      </c>
      <c r="S1465">
        <v>3</v>
      </c>
      <c r="T1465">
        <f>Table[[#This Row],[NumWebPurchases]]+Table[[#This Row],[NumStorePurchases]]</f>
        <v>6</v>
      </c>
    </row>
    <row r="1466" spans="1:20" ht="12.5">
      <c r="A1466" s="6">
        <v>1464</v>
      </c>
      <c r="B1466" s="6">
        <v>5074</v>
      </c>
      <c r="C1466" s="6">
        <v>1986</v>
      </c>
      <c r="D1466" s="6">
        <f t="shared" si="88"/>
        <v>39</v>
      </c>
      <c r="E1466" s="7" t="s">
        <v>14</v>
      </c>
      <c r="F1466" s="7" t="s">
        <v>13</v>
      </c>
      <c r="G1466" s="6">
        <v>28072</v>
      </c>
      <c r="H1466" s="6" t="str" cm="1">
        <f t="array" ref="H1466">_xlfn.IFS(
  G1466 &lt; 25000, "Low",
  AND(G1466 &gt;= 25000, G1466 &lt; 75000), "Medium",
  AND(G1466 &gt;= 75000, G1466 &lt; 150000), "High",
  G1466 &gt;= 150000, "Very High"
)</f>
        <v>Medium</v>
      </c>
      <c r="I1466" s="6">
        <v>1</v>
      </c>
      <c r="J1466" s="6">
        <v>0</v>
      </c>
      <c r="K1466" s="6">
        <f t="shared" si="89"/>
        <v>1</v>
      </c>
      <c r="L1466" s="8">
        <v>41463</v>
      </c>
      <c r="M1466" t="str">
        <f t="shared" ca="1" si="90"/>
        <v>12 years, 7 months</v>
      </c>
      <c r="N1466" s="6">
        <v>10</v>
      </c>
      <c r="O1466">
        <v>0</v>
      </c>
      <c r="P1466">
        <v>0</v>
      </c>
      <c r="Q1466">
        <f t="shared" si="91"/>
        <v>0</v>
      </c>
      <c r="R1466">
        <v>1</v>
      </c>
      <c r="S1466">
        <v>3</v>
      </c>
      <c r="T1466">
        <f>Table[[#This Row],[NumWebPurchases]]+Table[[#This Row],[NumStorePurchases]]</f>
        <v>4</v>
      </c>
    </row>
    <row r="1467" spans="1:20" ht="12.5">
      <c r="A1467" s="6">
        <v>1465</v>
      </c>
      <c r="B1467" s="6">
        <v>10524</v>
      </c>
      <c r="C1467" s="6">
        <v>1963</v>
      </c>
      <c r="D1467" s="6">
        <f t="shared" si="88"/>
        <v>62</v>
      </c>
      <c r="E1467" s="7" t="s">
        <v>14</v>
      </c>
      <c r="F1467" s="7" t="s">
        <v>15</v>
      </c>
      <c r="G1467" s="6">
        <v>49476</v>
      </c>
      <c r="H1467" s="6" t="str" cm="1">
        <f t="array" ref="H1467">_xlfn.IFS(
  G1467 &lt; 25000, "Low",
  AND(G1467 &gt;= 25000, G1467 &lt; 75000), "Medium",
  AND(G1467 &gt;= 75000, G1467 &lt; 150000), "High",
  G1467 &gt;= 150000, "Very High"
)</f>
        <v>Medium</v>
      </c>
      <c r="I1467" s="6">
        <v>0</v>
      </c>
      <c r="J1467" s="6">
        <v>1</v>
      </c>
      <c r="K1467" s="6">
        <f t="shared" si="89"/>
        <v>1</v>
      </c>
      <c r="L1467" s="8">
        <v>41445</v>
      </c>
      <c r="M1467" t="str">
        <f t="shared" ca="1" si="90"/>
        <v>12 years, 8 months</v>
      </c>
      <c r="N1467" s="6">
        <v>29</v>
      </c>
      <c r="O1467">
        <v>23</v>
      </c>
      <c r="P1467">
        <v>41</v>
      </c>
      <c r="Q1467">
        <f t="shared" si="91"/>
        <v>64</v>
      </c>
      <c r="R1467">
        <v>2</v>
      </c>
      <c r="S1467">
        <v>5</v>
      </c>
      <c r="T1467">
        <f>Table[[#This Row],[NumWebPurchases]]+Table[[#This Row],[NumStorePurchases]]</f>
        <v>7</v>
      </c>
    </row>
    <row r="1468" spans="1:20" ht="12.5">
      <c r="A1468" s="6">
        <v>1466</v>
      </c>
      <c r="B1468" s="6">
        <v>4690</v>
      </c>
      <c r="C1468" s="6">
        <v>1953</v>
      </c>
      <c r="D1468" s="6">
        <f t="shared" si="88"/>
        <v>72</v>
      </c>
      <c r="E1468" s="7" t="s">
        <v>9</v>
      </c>
      <c r="F1468" s="7" t="s">
        <v>13</v>
      </c>
      <c r="G1468" s="6">
        <v>50725</v>
      </c>
      <c r="H1468" s="6" t="str" cm="1">
        <f t="array" ref="H1468">_xlfn.IFS(
  G1468 &lt; 25000, "Low",
  AND(G1468 &gt;= 25000, G1468 &lt; 75000), "Medium",
  AND(G1468 &gt;= 75000, G1468 &lt; 150000), "High",
  G1468 &gt;= 150000, "Very High"
)</f>
        <v>Medium</v>
      </c>
      <c r="I1468" s="6">
        <v>0</v>
      </c>
      <c r="J1468" s="6">
        <v>1</v>
      </c>
      <c r="K1468" s="6">
        <f t="shared" si="89"/>
        <v>1</v>
      </c>
      <c r="L1468" s="8">
        <v>41318</v>
      </c>
      <c r="M1468" t="str">
        <f t="shared" ca="1" si="90"/>
        <v>13 years, 0 months</v>
      </c>
      <c r="N1468" s="6">
        <v>45</v>
      </c>
      <c r="O1468">
        <v>10</v>
      </c>
      <c r="P1468">
        <v>10</v>
      </c>
      <c r="Q1468">
        <f t="shared" si="91"/>
        <v>20</v>
      </c>
      <c r="R1468">
        <v>8</v>
      </c>
      <c r="S1468">
        <v>8</v>
      </c>
      <c r="T1468">
        <f>Table[[#This Row],[NumWebPurchases]]+Table[[#This Row],[NumStorePurchases]]</f>
        <v>16</v>
      </c>
    </row>
    <row r="1469" spans="1:20" ht="12.5">
      <c r="A1469" s="6">
        <v>1467</v>
      </c>
      <c r="B1469" s="6">
        <v>7521</v>
      </c>
      <c r="C1469" s="6">
        <v>1952</v>
      </c>
      <c r="D1469" s="6">
        <f t="shared" si="88"/>
        <v>73</v>
      </c>
      <c r="E1469" s="7" t="s">
        <v>9</v>
      </c>
      <c r="F1469" s="7" t="s">
        <v>11</v>
      </c>
      <c r="G1469" s="6">
        <v>83844</v>
      </c>
      <c r="H1469" s="6" t="str" cm="1">
        <f t="array" ref="H1469">_xlfn.IFS(
  G1469 &lt; 25000, "Low",
  AND(G1469 &gt;= 25000, G1469 &lt; 75000), "Medium",
  AND(G1469 &gt;= 75000, G1469 &lt; 150000), "High",
  G1469 &gt;= 150000, "Very High"
)</f>
        <v>High</v>
      </c>
      <c r="I1469" s="6">
        <v>0</v>
      </c>
      <c r="J1469" s="6">
        <v>0</v>
      </c>
      <c r="K1469" s="6">
        <f t="shared" si="89"/>
        <v>0</v>
      </c>
      <c r="L1469" s="8">
        <v>41406</v>
      </c>
      <c r="M1469" t="str">
        <f t="shared" ca="1" si="90"/>
        <v>12 years, 9 months</v>
      </c>
      <c r="N1469" s="6">
        <v>57</v>
      </c>
      <c r="O1469">
        <v>31</v>
      </c>
      <c r="P1469">
        <v>31</v>
      </c>
      <c r="Q1469">
        <f t="shared" si="91"/>
        <v>62</v>
      </c>
      <c r="R1469">
        <v>4</v>
      </c>
      <c r="S1469">
        <v>11</v>
      </c>
      <c r="T1469">
        <f>Table[[#This Row],[NumWebPurchases]]+Table[[#This Row],[NumStorePurchases]]</f>
        <v>15</v>
      </c>
    </row>
    <row r="1470" spans="1:20" ht="12.5">
      <c r="A1470" s="6">
        <v>1468</v>
      </c>
      <c r="B1470" s="6">
        <v>7196</v>
      </c>
      <c r="C1470" s="6">
        <v>1950</v>
      </c>
      <c r="D1470" s="6">
        <f t="shared" si="88"/>
        <v>75</v>
      </c>
      <c r="E1470" s="7" t="s">
        <v>12</v>
      </c>
      <c r="F1470" s="7" t="s">
        <v>13</v>
      </c>
      <c r="G1470" s="6">
        <v>41145</v>
      </c>
      <c r="H1470" s="6" t="str" cm="1">
        <f t="array" ref="H1470">_xlfn.IFS(
  G1470 &lt; 25000, "Low",
  AND(G1470 &gt;= 25000, G1470 &lt; 75000), "Medium",
  AND(G1470 &gt;= 75000, G1470 &lt; 150000), "High",
  G1470 &gt;= 150000, "Very High"
)</f>
        <v>Medium</v>
      </c>
      <c r="I1470" s="6">
        <v>1</v>
      </c>
      <c r="J1470" s="6">
        <v>1</v>
      </c>
      <c r="K1470" s="6">
        <f t="shared" si="89"/>
        <v>2</v>
      </c>
      <c r="L1470" s="8">
        <v>41678</v>
      </c>
      <c r="M1470" t="str">
        <f t="shared" ca="1" si="90"/>
        <v>12 years, 0 months</v>
      </c>
      <c r="N1470" s="6">
        <v>20</v>
      </c>
      <c r="O1470">
        <v>0</v>
      </c>
      <c r="P1470">
        <v>0</v>
      </c>
      <c r="Q1470">
        <f t="shared" si="91"/>
        <v>0</v>
      </c>
      <c r="R1470">
        <v>0</v>
      </c>
      <c r="S1470">
        <v>3</v>
      </c>
      <c r="T1470">
        <f>Table[[#This Row],[NumWebPurchases]]+Table[[#This Row],[NumStorePurchases]]</f>
        <v>3</v>
      </c>
    </row>
    <row r="1471" spans="1:20" ht="12.5">
      <c r="A1471" s="6">
        <v>1469</v>
      </c>
      <c r="B1471" s="6">
        <v>4406</v>
      </c>
      <c r="C1471" s="6">
        <v>1970</v>
      </c>
      <c r="D1471" s="6">
        <f t="shared" si="88"/>
        <v>55</v>
      </c>
      <c r="E1471" s="7" t="s">
        <v>9</v>
      </c>
      <c r="F1471" s="7" t="s">
        <v>11</v>
      </c>
      <c r="G1471" s="6">
        <v>67419</v>
      </c>
      <c r="H1471" s="6" t="str" cm="1">
        <f t="array" ref="H1471">_xlfn.IFS(
  G1471 &lt; 25000, "Low",
  AND(G1471 &gt;= 25000, G1471 &lt; 75000), "Medium",
  AND(G1471 &gt;= 75000, G1471 &lt; 150000), "High",
  G1471 &gt;= 150000, "Very High"
)</f>
        <v>Medium</v>
      </c>
      <c r="I1471" s="6">
        <v>0</v>
      </c>
      <c r="J1471" s="6">
        <v>1</v>
      </c>
      <c r="K1471" s="6">
        <f t="shared" si="89"/>
        <v>1</v>
      </c>
      <c r="L1471" s="8">
        <v>41290</v>
      </c>
      <c r="M1471" t="str">
        <f t="shared" ca="1" si="90"/>
        <v>13 years, 1 months</v>
      </c>
      <c r="N1471" s="6">
        <v>29</v>
      </c>
      <c r="O1471">
        <v>84</v>
      </c>
      <c r="P1471">
        <v>56</v>
      </c>
      <c r="Q1471">
        <f t="shared" si="91"/>
        <v>140</v>
      </c>
      <c r="R1471">
        <v>9</v>
      </c>
      <c r="S1471">
        <v>8</v>
      </c>
      <c r="T1471">
        <f>Table[[#This Row],[NumWebPurchases]]+Table[[#This Row],[NumStorePurchases]]</f>
        <v>17</v>
      </c>
    </row>
    <row r="1472" spans="1:20" ht="12.5">
      <c r="A1472" s="6">
        <v>1470</v>
      </c>
      <c r="B1472" s="6">
        <v>9672</v>
      </c>
      <c r="C1472" s="6">
        <v>1970</v>
      </c>
      <c r="D1472" s="6">
        <f t="shared" si="88"/>
        <v>55</v>
      </c>
      <c r="E1472" s="7" t="s">
        <v>17</v>
      </c>
      <c r="F1472" s="7" t="s">
        <v>13</v>
      </c>
      <c r="G1472" s="6">
        <v>23162</v>
      </c>
      <c r="H1472" s="6" t="str" cm="1">
        <f t="array" ref="H1472">_xlfn.IFS(
  G1472 &lt; 25000, "Low",
  AND(G1472 &gt;= 25000, G1472 &lt; 75000), "Medium",
  AND(G1472 &gt;= 75000, G1472 &lt; 150000), "High",
  G1472 &gt;= 150000, "Very High"
)</f>
        <v>Low</v>
      </c>
      <c r="I1472" s="6">
        <v>1</v>
      </c>
      <c r="J1472" s="6">
        <v>1</v>
      </c>
      <c r="K1472" s="6">
        <f t="shared" si="89"/>
        <v>2</v>
      </c>
      <c r="L1472" s="9">
        <v>41629</v>
      </c>
      <c r="M1472" t="str">
        <f t="shared" ca="1" si="90"/>
        <v>12 years, 2 months</v>
      </c>
      <c r="N1472" s="6">
        <v>82</v>
      </c>
      <c r="O1472">
        <v>3</v>
      </c>
      <c r="P1472">
        <v>4</v>
      </c>
      <c r="Q1472">
        <f t="shared" si="91"/>
        <v>7</v>
      </c>
      <c r="R1472">
        <v>1</v>
      </c>
      <c r="S1472">
        <v>3</v>
      </c>
      <c r="T1472">
        <f>Table[[#This Row],[NumWebPurchases]]+Table[[#This Row],[NumStorePurchases]]</f>
        <v>4</v>
      </c>
    </row>
    <row r="1473" spans="1:20" ht="12.5">
      <c r="A1473" s="6">
        <v>1471</v>
      </c>
      <c r="B1473" s="6">
        <v>4864</v>
      </c>
      <c r="C1473" s="6">
        <v>1977</v>
      </c>
      <c r="D1473" s="6">
        <f t="shared" si="88"/>
        <v>48</v>
      </c>
      <c r="E1473" s="7" t="s">
        <v>9</v>
      </c>
      <c r="F1473" s="7" t="s">
        <v>13</v>
      </c>
      <c r="G1473" s="6">
        <v>34380</v>
      </c>
      <c r="H1473" s="6" t="str" cm="1">
        <f t="array" ref="H1473">_xlfn.IFS(
  G1473 &lt; 25000, "Low",
  AND(G1473 &gt;= 25000, G1473 &lt; 75000), "Medium",
  AND(G1473 &gt;= 75000, G1473 &lt; 150000), "High",
  G1473 &gt;= 150000, "Very High"
)</f>
        <v>Medium</v>
      </c>
      <c r="I1473" s="6">
        <v>1</v>
      </c>
      <c r="J1473" s="6">
        <v>0</v>
      </c>
      <c r="K1473" s="6">
        <f t="shared" si="89"/>
        <v>1</v>
      </c>
      <c r="L1473" s="8">
        <v>41396</v>
      </c>
      <c r="M1473" t="str">
        <f t="shared" ca="1" si="90"/>
        <v>12 years, 10 months</v>
      </c>
      <c r="N1473" s="6">
        <v>68</v>
      </c>
      <c r="O1473">
        <v>7</v>
      </c>
      <c r="P1473">
        <v>1</v>
      </c>
      <c r="Q1473">
        <f t="shared" si="91"/>
        <v>8</v>
      </c>
      <c r="R1473">
        <v>4</v>
      </c>
      <c r="S1473">
        <v>3</v>
      </c>
      <c r="T1473">
        <f>Table[[#This Row],[NumWebPurchases]]+Table[[#This Row],[NumStorePurchases]]</f>
        <v>7</v>
      </c>
    </row>
    <row r="1474" spans="1:20" ht="12.5">
      <c r="A1474" s="6">
        <v>1472</v>
      </c>
      <c r="B1474" s="6">
        <v>4706</v>
      </c>
      <c r="C1474" s="6">
        <v>1966</v>
      </c>
      <c r="D1474" s="6">
        <f t="shared" si="88"/>
        <v>59</v>
      </c>
      <c r="E1474" s="7" t="s">
        <v>9</v>
      </c>
      <c r="F1474" s="7" t="s">
        <v>10</v>
      </c>
      <c r="G1474" s="6">
        <v>34704</v>
      </c>
      <c r="H1474" s="6" t="str" cm="1">
        <f t="array" ref="H1474">_xlfn.IFS(
  G1474 &lt; 25000, "Low",
  AND(G1474 &gt;= 25000, G1474 &lt; 75000), "Medium",
  AND(G1474 &gt;= 75000, G1474 &lt; 150000), "High",
  G1474 &gt;= 150000, "Very High"
)</f>
        <v>Medium</v>
      </c>
      <c r="I1474" s="6">
        <v>0</v>
      </c>
      <c r="J1474" s="6">
        <v>1</v>
      </c>
      <c r="K1474" s="6">
        <f t="shared" si="89"/>
        <v>1</v>
      </c>
      <c r="L1474" s="8">
        <v>41391</v>
      </c>
      <c r="M1474" t="str">
        <f t="shared" ca="1" si="90"/>
        <v>12 years, 10 months</v>
      </c>
      <c r="N1474" s="6">
        <v>65</v>
      </c>
      <c r="O1474">
        <v>0</v>
      </c>
      <c r="P1474">
        <v>1</v>
      </c>
      <c r="Q1474">
        <f t="shared" si="91"/>
        <v>1</v>
      </c>
      <c r="R1474">
        <v>1</v>
      </c>
      <c r="S1474">
        <v>3</v>
      </c>
      <c r="T1474">
        <f>Table[[#This Row],[NumWebPurchases]]+Table[[#This Row],[NumStorePurchases]]</f>
        <v>4</v>
      </c>
    </row>
    <row r="1475" spans="1:20" ht="12.5">
      <c r="A1475" s="6">
        <v>1473</v>
      </c>
      <c r="B1475" s="6">
        <v>4070</v>
      </c>
      <c r="C1475" s="6">
        <v>1969</v>
      </c>
      <c r="D1475" s="6">
        <f t="shared" ref="D1475:D1538" si="92">2025-C1475</f>
        <v>56</v>
      </c>
      <c r="E1475" s="7" t="s">
        <v>12</v>
      </c>
      <c r="F1475" s="7" t="s">
        <v>13</v>
      </c>
      <c r="G1475" s="6">
        <v>94871</v>
      </c>
      <c r="H1475" s="6" t="str" cm="1">
        <f t="array" ref="H1475">_xlfn.IFS(
  G1475 &lt; 25000, "Low",
  AND(G1475 &gt;= 25000, G1475 &lt; 75000), "Medium",
  AND(G1475 &gt;= 75000, G1475 &lt; 150000), "High",
  G1475 &gt;= 150000, "Very High"
)</f>
        <v>High</v>
      </c>
      <c r="I1475" s="6">
        <v>0</v>
      </c>
      <c r="J1475" s="6">
        <v>2</v>
      </c>
      <c r="K1475" s="6">
        <f t="shared" ref="K1475:K1538" si="93">I1475+J1475</f>
        <v>2</v>
      </c>
      <c r="L1475" s="8">
        <v>41153</v>
      </c>
      <c r="M1475" t="str">
        <f t="shared" ref="M1475:M1538" ca="1" si="94">DATEDIF(L1475, TODAY(), "Y") &amp; " years, " &amp; DATEDIF(L1475, TODAY(), "YM") &amp; " months"</f>
        <v>13 years, 6 months</v>
      </c>
      <c r="N1475" s="6">
        <v>99</v>
      </c>
      <c r="O1475">
        <v>24</v>
      </c>
      <c r="P1475">
        <v>0</v>
      </c>
      <c r="Q1475">
        <f t="shared" ref="Q1475:Q1538" si="95">O1475+P1475</f>
        <v>24</v>
      </c>
      <c r="R1475">
        <v>8</v>
      </c>
      <c r="S1475">
        <v>4</v>
      </c>
      <c r="T1475">
        <f>Table[[#This Row],[NumWebPurchases]]+Table[[#This Row],[NumStorePurchases]]</f>
        <v>12</v>
      </c>
    </row>
    <row r="1476" spans="1:20" ht="12.5">
      <c r="A1476" s="6">
        <v>1474</v>
      </c>
      <c r="B1476" s="6">
        <v>25</v>
      </c>
      <c r="C1476" s="6">
        <v>1958</v>
      </c>
      <c r="D1476" s="6">
        <f t="shared" si="92"/>
        <v>67</v>
      </c>
      <c r="E1476" s="7" t="s">
        <v>9</v>
      </c>
      <c r="F1476" s="7" t="s">
        <v>13</v>
      </c>
      <c r="G1476" s="6">
        <v>65148</v>
      </c>
      <c r="H1476" s="6" t="str" cm="1">
        <f t="array" ref="H1476">_xlfn.IFS(
  G1476 &lt; 25000, "Low",
  AND(G1476 &gt;= 25000, G1476 &lt; 75000), "Medium",
  AND(G1476 &gt;= 75000, G1476 &lt; 150000), "High",
  G1476 &gt;= 150000, "Very High"
)</f>
        <v>Medium</v>
      </c>
      <c r="I1476" s="6">
        <v>0</v>
      </c>
      <c r="J1476" s="6">
        <v>1</v>
      </c>
      <c r="K1476" s="6">
        <f t="shared" si="93"/>
        <v>1</v>
      </c>
      <c r="L1476" s="9">
        <v>41229</v>
      </c>
      <c r="M1476" t="str">
        <f t="shared" ca="1" si="94"/>
        <v>13 years, 3 months</v>
      </c>
      <c r="N1476" s="6">
        <v>9</v>
      </c>
      <c r="O1476">
        <v>35</v>
      </c>
      <c r="P1476">
        <v>12</v>
      </c>
      <c r="Q1476">
        <f t="shared" si="95"/>
        <v>47</v>
      </c>
      <c r="R1476">
        <v>6</v>
      </c>
      <c r="S1476">
        <v>7</v>
      </c>
      <c r="T1476">
        <f>Table[[#This Row],[NumWebPurchases]]+Table[[#This Row],[NumStorePurchases]]</f>
        <v>13</v>
      </c>
    </row>
    <row r="1477" spans="1:20" ht="12.5">
      <c r="A1477" s="6">
        <v>1475</v>
      </c>
      <c r="B1477" s="6">
        <v>3697</v>
      </c>
      <c r="C1477" s="6">
        <v>1954</v>
      </c>
      <c r="D1477" s="6">
        <f t="shared" si="92"/>
        <v>71</v>
      </c>
      <c r="E1477" s="7" t="s">
        <v>9</v>
      </c>
      <c r="F1477" s="7" t="s">
        <v>11</v>
      </c>
      <c r="G1477" s="6">
        <v>39898</v>
      </c>
      <c r="H1477" s="6" t="str" cm="1">
        <f t="array" ref="H1477">_xlfn.IFS(
  G1477 &lt; 25000, "Low",
  AND(G1477 &gt;= 25000, G1477 &lt; 75000), "Medium",
  AND(G1477 &gt;= 75000, G1477 &lt; 150000), "High",
  G1477 &gt;= 150000, "Very High"
)</f>
        <v>Medium</v>
      </c>
      <c r="I1477" s="6">
        <v>0</v>
      </c>
      <c r="J1477" s="6">
        <v>1</v>
      </c>
      <c r="K1477" s="6">
        <f t="shared" si="93"/>
        <v>1</v>
      </c>
      <c r="L1477" s="8">
        <v>41317</v>
      </c>
      <c r="M1477" t="str">
        <f t="shared" ca="1" si="94"/>
        <v>13 years, 0 months</v>
      </c>
      <c r="N1477" s="6">
        <v>20</v>
      </c>
      <c r="O1477">
        <v>8</v>
      </c>
      <c r="P1477">
        <v>7</v>
      </c>
      <c r="Q1477">
        <f t="shared" si="95"/>
        <v>15</v>
      </c>
      <c r="R1477">
        <v>3</v>
      </c>
      <c r="S1477">
        <v>4</v>
      </c>
      <c r="T1477">
        <f>Table[[#This Row],[NumWebPurchases]]+Table[[#This Row],[NumStorePurchases]]</f>
        <v>7</v>
      </c>
    </row>
    <row r="1478" spans="1:20" ht="12.5">
      <c r="A1478" s="6">
        <v>1476</v>
      </c>
      <c r="B1478" s="6">
        <v>217</v>
      </c>
      <c r="C1478" s="6">
        <v>1956</v>
      </c>
      <c r="D1478" s="6">
        <f t="shared" si="92"/>
        <v>69</v>
      </c>
      <c r="E1478" s="7" t="s">
        <v>14</v>
      </c>
      <c r="F1478" s="7" t="s">
        <v>10</v>
      </c>
      <c r="G1478" s="6">
        <v>64857</v>
      </c>
      <c r="H1478" s="6" t="str" cm="1">
        <f t="array" ref="H1478">_xlfn.IFS(
  G1478 &lt; 25000, "Low",
  AND(G1478 &gt;= 25000, G1478 &lt; 75000), "Medium",
  AND(G1478 &gt;= 75000, G1478 &lt; 150000), "High",
  G1478 &gt;= 150000, "Very High"
)</f>
        <v>Medium</v>
      </c>
      <c r="I1478" s="6">
        <v>0</v>
      </c>
      <c r="J1478" s="6">
        <v>0</v>
      </c>
      <c r="K1478" s="6">
        <f t="shared" si="93"/>
        <v>0</v>
      </c>
      <c r="L1478" s="9">
        <v>41236</v>
      </c>
      <c r="M1478" t="str">
        <f t="shared" ca="1" si="94"/>
        <v>13 years, 3 months</v>
      </c>
      <c r="N1478" s="6">
        <v>78</v>
      </c>
      <c r="O1478">
        <v>14</v>
      </c>
      <c r="P1478">
        <v>0</v>
      </c>
      <c r="Q1478">
        <f t="shared" si="95"/>
        <v>14</v>
      </c>
      <c r="R1478">
        <v>7</v>
      </c>
      <c r="S1478">
        <v>10</v>
      </c>
      <c r="T1478">
        <f>Table[[#This Row],[NumWebPurchases]]+Table[[#This Row],[NumStorePurchases]]</f>
        <v>17</v>
      </c>
    </row>
    <row r="1479" spans="1:20" ht="12.5">
      <c r="A1479" s="6">
        <v>1477</v>
      </c>
      <c r="B1479" s="6">
        <v>4220</v>
      </c>
      <c r="C1479" s="6">
        <v>1970</v>
      </c>
      <c r="D1479" s="6">
        <f t="shared" si="92"/>
        <v>55</v>
      </c>
      <c r="E1479" s="7" t="s">
        <v>12</v>
      </c>
      <c r="F1479" s="7" t="s">
        <v>13</v>
      </c>
      <c r="G1479" s="6">
        <v>59892</v>
      </c>
      <c r="H1479" s="6" t="str" cm="1">
        <f t="array" ref="H1479">_xlfn.IFS(
  G1479 &lt; 25000, "Low",
  AND(G1479 &gt;= 25000, G1479 &lt; 75000), "Medium",
  AND(G1479 &gt;= 75000, G1479 &lt; 150000), "High",
  G1479 &gt;= 150000, "Very High"
)</f>
        <v>Medium</v>
      </c>
      <c r="I1479" s="6">
        <v>0</v>
      </c>
      <c r="J1479" s="6">
        <v>1</v>
      </c>
      <c r="K1479" s="6">
        <f t="shared" si="93"/>
        <v>1</v>
      </c>
      <c r="L1479" s="8">
        <v>41580</v>
      </c>
      <c r="M1479" t="str">
        <f t="shared" ca="1" si="94"/>
        <v>12 years, 4 months</v>
      </c>
      <c r="N1479" s="6">
        <v>26</v>
      </c>
      <c r="O1479">
        <v>0</v>
      </c>
      <c r="P1479">
        <v>1</v>
      </c>
      <c r="Q1479">
        <f t="shared" si="95"/>
        <v>1</v>
      </c>
      <c r="R1479">
        <v>2</v>
      </c>
      <c r="S1479">
        <v>3</v>
      </c>
      <c r="T1479">
        <f>Table[[#This Row],[NumWebPurchases]]+Table[[#This Row],[NumStorePurchases]]</f>
        <v>5</v>
      </c>
    </row>
    <row r="1480" spans="1:20" ht="12.5">
      <c r="A1480" s="6">
        <v>1478</v>
      </c>
      <c r="B1480" s="6">
        <v>5286</v>
      </c>
      <c r="C1480" s="6">
        <v>1987</v>
      </c>
      <c r="D1480" s="6">
        <f t="shared" si="92"/>
        <v>38</v>
      </c>
      <c r="E1480" s="7" t="s">
        <v>14</v>
      </c>
      <c r="F1480" s="7" t="s">
        <v>10</v>
      </c>
      <c r="G1480" s="6">
        <v>41020</v>
      </c>
      <c r="H1480" s="6" t="str" cm="1">
        <f t="array" ref="H1480">_xlfn.IFS(
  G1480 &lt; 25000, "Low",
  AND(G1480 &gt;= 25000, G1480 &lt; 75000), "Medium",
  AND(G1480 &gt;= 75000, G1480 &lt; 150000), "High",
  G1480 &gt;= 150000, "Very High"
)</f>
        <v>Medium</v>
      </c>
      <c r="I1480" s="6">
        <v>0</v>
      </c>
      <c r="J1480" s="6">
        <v>0</v>
      </c>
      <c r="K1480" s="6">
        <f t="shared" si="93"/>
        <v>0</v>
      </c>
      <c r="L1480" s="9">
        <v>41575</v>
      </c>
      <c r="M1480" t="str">
        <f t="shared" ca="1" si="94"/>
        <v>12 years, 4 months</v>
      </c>
      <c r="N1480" s="6">
        <v>68</v>
      </c>
      <c r="O1480">
        <v>1</v>
      </c>
      <c r="P1480">
        <v>7</v>
      </c>
      <c r="Q1480">
        <f t="shared" si="95"/>
        <v>8</v>
      </c>
      <c r="R1480">
        <v>3</v>
      </c>
      <c r="S1480">
        <v>4</v>
      </c>
      <c r="T1480">
        <f>Table[[#This Row],[NumWebPurchases]]+Table[[#This Row],[NumStorePurchases]]</f>
        <v>7</v>
      </c>
    </row>
    <row r="1481" spans="1:20" ht="12.5">
      <c r="A1481" s="6">
        <v>1479</v>
      </c>
      <c r="B1481" s="6">
        <v>9559</v>
      </c>
      <c r="C1481" s="6">
        <v>1961</v>
      </c>
      <c r="D1481" s="6">
        <f t="shared" si="92"/>
        <v>64</v>
      </c>
      <c r="E1481" s="7" t="s">
        <v>12</v>
      </c>
      <c r="F1481" s="7" t="s">
        <v>13</v>
      </c>
      <c r="G1481" s="6">
        <v>57072</v>
      </c>
      <c r="H1481" s="6" t="str" cm="1">
        <f t="array" ref="H1481">_xlfn.IFS(
  G1481 &lt; 25000, "Low",
  AND(G1481 &gt;= 25000, G1481 &lt; 75000), "Medium",
  AND(G1481 &gt;= 75000, G1481 &lt; 150000), "High",
  G1481 &gt;= 150000, "Very High"
)</f>
        <v>Medium</v>
      </c>
      <c r="I1481" s="6">
        <v>0</v>
      </c>
      <c r="J1481" s="6">
        <v>1</v>
      </c>
      <c r="K1481" s="6">
        <f t="shared" si="93"/>
        <v>1</v>
      </c>
      <c r="L1481" s="8">
        <v>41663</v>
      </c>
      <c r="M1481" t="str">
        <f t="shared" ca="1" si="94"/>
        <v>12 years, 1 months</v>
      </c>
      <c r="N1481" s="6">
        <v>79</v>
      </c>
      <c r="O1481">
        <v>0</v>
      </c>
      <c r="P1481">
        <v>0</v>
      </c>
      <c r="Q1481">
        <f t="shared" si="95"/>
        <v>0</v>
      </c>
      <c r="R1481">
        <v>7</v>
      </c>
      <c r="S1481">
        <v>13</v>
      </c>
      <c r="T1481">
        <f>Table[[#This Row],[NumWebPurchases]]+Table[[#This Row],[NumStorePurchases]]</f>
        <v>20</v>
      </c>
    </row>
    <row r="1482" spans="1:20" ht="12.5">
      <c r="A1482" s="6">
        <v>1480</v>
      </c>
      <c r="B1482" s="6">
        <v>2849</v>
      </c>
      <c r="C1482" s="6">
        <v>1979</v>
      </c>
      <c r="D1482" s="6">
        <f t="shared" si="92"/>
        <v>46</v>
      </c>
      <c r="E1482" s="7" t="s">
        <v>9</v>
      </c>
      <c r="F1482" s="7" t="s">
        <v>10</v>
      </c>
      <c r="G1482" s="6">
        <v>60474</v>
      </c>
      <c r="H1482" s="6" t="str" cm="1">
        <f t="array" ref="H1482">_xlfn.IFS(
  G1482 &lt; 25000, "Low",
  AND(G1482 &gt;= 25000, G1482 &lt; 75000), "Medium",
  AND(G1482 &gt;= 75000, G1482 &lt; 150000), "High",
  G1482 &gt;= 150000, "Very High"
)</f>
        <v>Medium</v>
      </c>
      <c r="I1482" s="6">
        <v>0</v>
      </c>
      <c r="J1482" s="6">
        <v>1</v>
      </c>
      <c r="K1482" s="6">
        <f t="shared" si="93"/>
        <v>1</v>
      </c>
      <c r="L1482" s="8">
        <v>41365</v>
      </c>
      <c r="M1482" t="str">
        <f t="shared" ca="1" si="94"/>
        <v>12 years, 11 months</v>
      </c>
      <c r="N1482" s="6">
        <v>25</v>
      </c>
      <c r="O1482">
        <v>199</v>
      </c>
      <c r="P1482">
        <v>9</v>
      </c>
      <c r="Q1482">
        <f t="shared" si="95"/>
        <v>208</v>
      </c>
      <c r="R1482">
        <v>10</v>
      </c>
      <c r="S1482">
        <v>12</v>
      </c>
      <c r="T1482">
        <f>Table[[#This Row],[NumWebPurchases]]+Table[[#This Row],[NumStorePurchases]]</f>
        <v>22</v>
      </c>
    </row>
    <row r="1483" spans="1:20" ht="12.5">
      <c r="A1483" s="6">
        <v>1481</v>
      </c>
      <c r="B1483" s="6">
        <v>7787</v>
      </c>
      <c r="C1483" s="6">
        <v>1960</v>
      </c>
      <c r="D1483" s="6">
        <f t="shared" si="92"/>
        <v>65</v>
      </c>
      <c r="E1483" s="7" t="s">
        <v>9</v>
      </c>
      <c r="F1483" s="7" t="s">
        <v>11</v>
      </c>
      <c r="G1483" s="6">
        <v>62807</v>
      </c>
      <c r="H1483" s="6" t="str" cm="1">
        <f t="array" ref="H1483">_xlfn.IFS(
  G1483 &lt; 25000, "Low",
  AND(G1483 &gt;= 25000, G1483 &lt; 75000), "Medium",
  AND(G1483 &gt;= 75000, G1483 &lt; 150000), "High",
  G1483 &gt;= 150000, "Very High"
)</f>
        <v>Medium</v>
      </c>
      <c r="I1483" s="6">
        <v>0</v>
      </c>
      <c r="J1483" s="6">
        <v>1</v>
      </c>
      <c r="K1483" s="6">
        <f t="shared" si="93"/>
        <v>1</v>
      </c>
      <c r="L1483" s="8">
        <v>41152</v>
      </c>
      <c r="M1483" t="str">
        <f t="shared" ca="1" si="94"/>
        <v>13 years, 6 months</v>
      </c>
      <c r="N1483" s="6">
        <v>83</v>
      </c>
      <c r="O1483">
        <v>28</v>
      </c>
      <c r="P1483">
        <v>21</v>
      </c>
      <c r="Q1483">
        <f t="shared" si="95"/>
        <v>49</v>
      </c>
      <c r="R1483">
        <v>5</v>
      </c>
      <c r="S1483">
        <v>12</v>
      </c>
      <c r="T1483">
        <f>Table[[#This Row],[NumWebPurchases]]+Table[[#This Row],[NumStorePurchases]]</f>
        <v>17</v>
      </c>
    </row>
    <row r="1484" spans="1:20" ht="12.5">
      <c r="A1484" s="6">
        <v>1482</v>
      </c>
      <c r="B1484" s="6">
        <v>3102</v>
      </c>
      <c r="C1484" s="6">
        <v>1981</v>
      </c>
      <c r="D1484" s="6">
        <f t="shared" si="92"/>
        <v>44</v>
      </c>
      <c r="E1484" s="7" t="s">
        <v>17</v>
      </c>
      <c r="F1484" s="7" t="s">
        <v>11</v>
      </c>
      <c r="G1484" s="6">
        <v>19414</v>
      </c>
      <c r="H1484" s="6" t="str" cm="1">
        <f t="array" ref="H1484">_xlfn.IFS(
  G1484 &lt; 25000, "Low",
  AND(G1484 &gt;= 25000, G1484 &lt; 75000), "Medium",
  AND(G1484 &gt;= 75000, G1484 &lt; 150000), "High",
  G1484 &gt;= 150000, "Very High"
)</f>
        <v>Low</v>
      </c>
      <c r="I1484" s="6">
        <v>1</v>
      </c>
      <c r="J1484" s="6">
        <v>0</v>
      </c>
      <c r="K1484" s="6">
        <f t="shared" si="93"/>
        <v>1</v>
      </c>
      <c r="L1484" s="9">
        <v>41563</v>
      </c>
      <c r="M1484" t="str">
        <f t="shared" ca="1" si="94"/>
        <v>12 years, 4 months</v>
      </c>
      <c r="N1484" s="6">
        <v>32</v>
      </c>
      <c r="O1484">
        <v>3</v>
      </c>
      <c r="P1484">
        <v>5</v>
      </c>
      <c r="Q1484">
        <f t="shared" si="95"/>
        <v>8</v>
      </c>
      <c r="R1484">
        <v>1</v>
      </c>
      <c r="S1484">
        <v>3</v>
      </c>
      <c r="T1484">
        <f>Table[[#This Row],[NumWebPurchases]]+Table[[#This Row],[NumStorePurchases]]</f>
        <v>4</v>
      </c>
    </row>
    <row r="1485" spans="1:20" ht="12.5">
      <c r="A1485" s="6">
        <v>1483</v>
      </c>
      <c r="B1485" s="6">
        <v>5868</v>
      </c>
      <c r="C1485" s="6">
        <v>1980</v>
      </c>
      <c r="D1485" s="6">
        <f t="shared" si="92"/>
        <v>45</v>
      </c>
      <c r="E1485" s="7" t="s">
        <v>9</v>
      </c>
      <c r="F1485" s="7" t="s">
        <v>13</v>
      </c>
      <c r="G1485" s="6">
        <v>19107</v>
      </c>
      <c r="H1485" s="6" t="str" cm="1">
        <f t="array" ref="H1485">_xlfn.IFS(
  G1485 &lt; 25000, "Low",
  AND(G1485 &gt;= 25000, G1485 &lt; 75000), "Medium",
  AND(G1485 &gt;= 75000, G1485 &lt; 150000), "High",
  G1485 &gt;= 150000, "Very High"
)</f>
        <v>Low</v>
      </c>
      <c r="I1485" s="6">
        <v>1</v>
      </c>
      <c r="J1485" s="6">
        <v>0</v>
      </c>
      <c r="K1485" s="6">
        <f t="shared" si="93"/>
        <v>1</v>
      </c>
      <c r="L1485" s="8">
        <v>41508</v>
      </c>
      <c r="M1485" t="str">
        <f t="shared" ca="1" si="94"/>
        <v>12 years, 6 months</v>
      </c>
      <c r="N1485" s="6">
        <v>49</v>
      </c>
      <c r="O1485">
        <v>4</v>
      </c>
      <c r="P1485">
        <v>5</v>
      </c>
      <c r="Q1485">
        <f t="shared" si="95"/>
        <v>9</v>
      </c>
      <c r="R1485">
        <v>1</v>
      </c>
      <c r="S1485">
        <v>3</v>
      </c>
      <c r="T1485">
        <f>Table[[#This Row],[NumWebPurchases]]+Table[[#This Row],[NumStorePurchases]]</f>
        <v>4</v>
      </c>
    </row>
    <row r="1486" spans="1:20" ht="12.5">
      <c r="A1486" s="6">
        <v>1484</v>
      </c>
      <c r="B1486" s="6">
        <v>8370</v>
      </c>
      <c r="C1486" s="6">
        <v>1976</v>
      </c>
      <c r="D1486" s="6">
        <f t="shared" si="92"/>
        <v>49</v>
      </c>
      <c r="E1486" s="7" t="s">
        <v>17</v>
      </c>
      <c r="F1486" s="7" t="s">
        <v>11</v>
      </c>
      <c r="G1486" s="6">
        <v>75484</v>
      </c>
      <c r="H1486" s="6" t="str" cm="1">
        <f t="array" ref="H1486">_xlfn.IFS(
  G1486 &lt; 25000, "Low",
  AND(G1486 &gt;= 25000, G1486 &lt; 75000), "Medium",
  AND(G1486 &gt;= 75000, G1486 &lt; 150000), "High",
  G1486 &gt;= 150000, "Very High"
)</f>
        <v>High</v>
      </c>
      <c r="I1486" s="6">
        <v>0</v>
      </c>
      <c r="J1486" s="6">
        <v>1</v>
      </c>
      <c r="K1486" s="6">
        <f t="shared" si="93"/>
        <v>1</v>
      </c>
      <c r="L1486" s="8">
        <v>41123</v>
      </c>
      <c r="M1486" t="str">
        <f t="shared" ca="1" si="94"/>
        <v>13 years, 7 months</v>
      </c>
      <c r="N1486" s="6">
        <v>50</v>
      </c>
      <c r="O1486">
        <v>97</v>
      </c>
      <c r="P1486">
        <v>194</v>
      </c>
      <c r="Q1486">
        <f t="shared" si="95"/>
        <v>291</v>
      </c>
      <c r="R1486">
        <v>7</v>
      </c>
      <c r="S1486">
        <v>6</v>
      </c>
      <c r="T1486">
        <f>Table[[#This Row],[NumWebPurchases]]+Table[[#This Row],[NumStorePurchases]]</f>
        <v>13</v>
      </c>
    </row>
    <row r="1487" spans="1:20" ht="12.5">
      <c r="A1487" s="6">
        <v>1485</v>
      </c>
      <c r="B1487" s="6">
        <v>9988</v>
      </c>
      <c r="C1487" s="6">
        <v>1976</v>
      </c>
      <c r="D1487" s="6">
        <f t="shared" si="92"/>
        <v>49</v>
      </c>
      <c r="E1487" s="7" t="s">
        <v>14</v>
      </c>
      <c r="F1487" s="7" t="s">
        <v>10</v>
      </c>
      <c r="G1487" s="6">
        <v>70379</v>
      </c>
      <c r="H1487" s="6" t="str" cm="1">
        <f t="array" ref="H1487">_xlfn.IFS(
  G1487 &lt; 25000, "Low",
  AND(G1487 &gt;= 25000, G1487 &lt; 75000), "Medium",
  AND(G1487 &gt;= 75000, G1487 &lt; 150000), "High",
  G1487 &gt;= 150000, "Very High"
)</f>
        <v>Medium</v>
      </c>
      <c r="I1487" s="6">
        <v>0</v>
      </c>
      <c r="J1487" s="6">
        <v>1</v>
      </c>
      <c r="K1487" s="6">
        <f t="shared" si="93"/>
        <v>1</v>
      </c>
      <c r="L1487" s="8">
        <v>41336</v>
      </c>
      <c r="M1487" t="str">
        <f t="shared" ca="1" si="94"/>
        <v>13 years, 0 months</v>
      </c>
      <c r="N1487" s="6">
        <v>84</v>
      </c>
      <c r="O1487">
        <v>25</v>
      </c>
      <c r="P1487">
        <v>67</v>
      </c>
      <c r="Q1487">
        <f t="shared" si="95"/>
        <v>92</v>
      </c>
      <c r="R1487">
        <v>6</v>
      </c>
      <c r="S1487">
        <v>13</v>
      </c>
      <c r="T1487">
        <f>Table[[#This Row],[NumWebPurchases]]+Table[[#This Row],[NumStorePurchases]]</f>
        <v>19</v>
      </c>
    </row>
    <row r="1488" spans="1:20" ht="12.5">
      <c r="A1488" s="6">
        <v>1486</v>
      </c>
      <c r="B1488" s="6">
        <v>2939</v>
      </c>
      <c r="C1488" s="6">
        <v>1970</v>
      </c>
      <c r="D1488" s="6">
        <f t="shared" si="92"/>
        <v>55</v>
      </c>
      <c r="E1488" s="7" t="s">
        <v>14</v>
      </c>
      <c r="F1488" s="7" t="s">
        <v>11</v>
      </c>
      <c r="G1488" s="6">
        <v>79419</v>
      </c>
      <c r="H1488" s="6" t="str" cm="1">
        <f t="array" ref="H1488">_xlfn.IFS(
  G1488 &lt; 25000, "Low",
  AND(G1488 &gt;= 25000, G1488 &lt; 75000), "Medium",
  AND(G1488 &gt;= 75000, G1488 &lt; 150000), "High",
  G1488 &gt;= 150000, "Very High"
)</f>
        <v>High</v>
      </c>
      <c r="I1488" s="6">
        <v>0</v>
      </c>
      <c r="J1488" s="6">
        <v>0</v>
      </c>
      <c r="K1488" s="6">
        <f t="shared" si="93"/>
        <v>0</v>
      </c>
      <c r="L1488" s="8">
        <v>41812</v>
      </c>
      <c r="M1488" t="str">
        <f t="shared" ca="1" si="94"/>
        <v>11 years, 8 months</v>
      </c>
      <c r="N1488" s="6">
        <v>96</v>
      </c>
      <c r="O1488">
        <v>127</v>
      </c>
      <c r="P1488">
        <v>15</v>
      </c>
      <c r="Q1488">
        <f t="shared" si="95"/>
        <v>142</v>
      </c>
      <c r="R1488">
        <v>4</v>
      </c>
      <c r="S1488">
        <v>4</v>
      </c>
      <c r="T1488">
        <f>Table[[#This Row],[NumWebPurchases]]+Table[[#This Row],[NumStorePurchases]]</f>
        <v>8</v>
      </c>
    </row>
    <row r="1489" spans="1:20" ht="12.5">
      <c r="A1489" s="6">
        <v>1487</v>
      </c>
      <c r="B1489" s="6">
        <v>5529</v>
      </c>
      <c r="C1489" s="6">
        <v>1946</v>
      </c>
      <c r="D1489" s="6">
        <f t="shared" si="92"/>
        <v>79</v>
      </c>
      <c r="E1489" s="7" t="s">
        <v>12</v>
      </c>
      <c r="F1489" s="7" t="s">
        <v>11</v>
      </c>
      <c r="G1489" s="6">
        <v>64014</v>
      </c>
      <c r="H1489" s="6" t="str" cm="1">
        <f t="array" ref="H1489">_xlfn.IFS(
  G1489 &lt; 25000, "Low",
  AND(G1489 &gt;= 25000, G1489 &lt; 75000), "Medium",
  AND(G1489 &gt;= 75000, G1489 &lt; 150000), "High",
  G1489 &gt;= 150000, "Very High"
)</f>
        <v>Medium</v>
      </c>
      <c r="I1489" s="6">
        <v>2</v>
      </c>
      <c r="J1489" s="6">
        <v>1</v>
      </c>
      <c r="K1489" s="6">
        <f t="shared" si="93"/>
        <v>3</v>
      </c>
      <c r="L1489" s="8">
        <v>41800</v>
      </c>
      <c r="M1489" t="str">
        <f t="shared" ca="1" si="94"/>
        <v>11 years, 8 months</v>
      </c>
      <c r="N1489" s="6">
        <v>56</v>
      </c>
      <c r="O1489">
        <v>0</v>
      </c>
      <c r="P1489">
        <v>0</v>
      </c>
      <c r="Q1489">
        <f t="shared" si="95"/>
        <v>0</v>
      </c>
      <c r="R1489">
        <v>8</v>
      </c>
      <c r="S1489">
        <v>5</v>
      </c>
      <c r="T1489">
        <f>Table[[#This Row],[NumWebPurchases]]+Table[[#This Row],[NumStorePurchases]]</f>
        <v>13</v>
      </c>
    </row>
    <row r="1490" spans="1:20" ht="12.5">
      <c r="A1490" s="6">
        <v>1488</v>
      </c>
      <c r="B1490" s="6">
        <v>9743</v>
      </c>
      <c r="C1490" s="6">
        <v>1955</v>
      </c>
      <c r="D1490" s="6">
        <f t="shared" si="92"/>
        <v>70</v>
      </c>
      <c r="E1490" s="7" t="s">
        <v>9</v>
      </c>
      <c r="F1490" s="7" t="s">
        <v>13</v>
      </c>
      <c r="G1490" s="6">
        <v>76998</v>
      </c>
      <c r="H1490" s="6" t="str" cm="1">
        <f t="array" ref="H1490">_xlfn.IFS(
  G1490 &lt; 25000, "Low",
  AND(G1490 &gt;= 25000, G1490 &lt; 75000), "Medium",
  AND(G1490 &gt;= 75000, G1490 &lt; 150000), "High",
  G1490 &gt;= 150000, "Very High"
)</f>
        <v>High</v>
      </c>
      <c r="I1490" s="6">
        <v>0</v>
      </c>
      <c r="J1490" s="6">
        <v>1</v>
      </c>
      <c r="K1490" s="6">
        <f t="shared" si="93"/>
        <v>1</v>
      </c>
      <c r="L1490" s="8">
        <v>41285</v>
      </c>
      <c r="M1490" t="str">
        <f t="shared" ca="1" si="94"/>
        <v>13 years, 1 months</v>
      </c>
      <c r="N1490" s="6">
        <v>85</v>
      </c>
      <c r="O1490">
        <v>89</v>
      </c>
      <c r="P1490">
        <v>35</v>
      </c>
      <c r="Q1490">
        <f t="shared" si="95"/>
        <v>124</v>
      </c>
      <c r="R1490">
        <v>11</v>
      </c>
      <c r="S1490">
        <v>8</v>
      </c>
      <c r="T1490">
        <f>Table[[#This Row],[NumWebPurchases]]+Table[[#This Row],[NumStorePurchases]]</f>
        <v>19</v>
      </c>
    </row>
    <row r="1491" spans="1:20" ht="12.5">
      <c r="A1491" s="6">
        <v>1489</v>
      </c>
      <c r="B1491" s="6">
        <v>5763</v>
      </c>
      <c r="C1491" s="6">
        <v>1972</v>
      </c>
      <c r="D1491" s="6">
        <f t="shared" si="92"/>
        <v>53</v>
      </c>
      <c r="E1491" s="7" t="s">
        <v>14</v>
      </c>
      <c r="F1491" s="7" t="s">
        <v>11</v>
      </c>
      <c r="G1491" s="6">
        <v>49854</v>
      </c>
      <c r="H1491" s="6" t="str" cm="1">
        <f t="array" ref="H1491">_xlfn.IFS(
  G1491 &lt; 25000, "Low",
  AND(G1491 &gt;= 25000, G1491 &lt; 75000), "Medium",
  AND(G1491 &gt;= 75000, G1491 &lt; 150000), "High",
  G1491 &gt;= 150000, "Very High"
)</f>
        <v>Medium</v>
      </c>
      <c r="I1491" s="6">
        <v>1</v>
      </c>
      <c r="J1491" s="6">
        <v>0</v>
      </c>
      <c r="K1491" s="6">
        <f t="shared" si="93"/>
        <v>1</v>
      </c>
      <c r="L1491" s="9">
        <v>41588</v>
      </c>
      <c r="M1491" t="str">
        <f t="shared" ca="1" si="94"/>
        <v>12 years, 3 months</v>
      </c>
      <c r="N1491" s="6">
        <v>63</v>
      </c>
      <c r="O1491">
        <v>17</v>
      </c>
      <c r="P1491">
        <v>0</v>
      </c>
      <c r="Q1491">
        <f t="shared" si="95"/>
        <v>17</v>
      </c>
      <c r="R1491">
        <v>6</v>
      </c>
      <c r="S1491">
        <v>5</v>
      </c>
      <c r="T1491">
        <f>Table[[#This Row],[NumWebPurchases]]+Table[[#This Row],[NumStorePurchases]]</f>
        <v>11</v>
      </c>
    </row>
    <row r="1492" spans="1:20" ht="12.5">
      <c r="A1492" s="6">
        <v>1490</v>
      </c>
      <c r="B1492" s="6">
        <v>3478</v>
      </c>
      <c r="C1492" s="6">
        <v>1971</v>
      </c>
      <c r="D1492" s="6">
        <f t="shared" si="92"/>
        <v>54</v>
      </c>
      <c r="E1492" s="7" t="s">
        <v>12</v>
      </c>
      <c r="F1492" s="7" t="s">
        <v>13</v>
      </c>
      <c r="G1492" s="6">
        <v>60585</v>
      </c>
      <c r="H1492" s="6" t="str" cm="1">
        <f t="array" ref="H1492">_xlfn.IFS(
  G1492 &lt; 25000, "Low",
  AND(G1492 &gt;= 25000, G1492 &lt; 75000), "Medium",
  AND(G1492 &gt;= 75000, G1492 &lt; 150000), "High",
  G1492 &gt;= 150000, "Very High"
)</f>
        <v>Medium</v>
      </c>
      <c r="I1492" s="6">
        <v>1</v>
      </c>
      <c r="J1492" s="6">
        <v>1</v>
      </c>
      <c r="K1492" s="6">
        <f t="shared" si="93"/>
        <v>2</v>
      </c>
      <c r="L1492" s="8">
        <v>41449</v>
      </c>
      <c r="M1492" t="str">
        <f t="shared" ca="1" si="94"/>
        <v>12 years, 8 months</v>
      </c>
      <c r="N1492" s="6">
        <v>17</v>
      </c>
      <c r="O1492">
        <v>42</v>
      </c>
      <c r="P1492">
        <v>42</v>
      </c>
      <c r="Q1492">
        <f t="shared" si="95"/>
        <v>84</v>
      </c>
      <c r="R1492">
        <v>7</v>
      </c>
      <c r="S1492">
        <v>9</v>
      </c>
      <c r="T1492">
        <f>Table[[#This Row],[NumWebPurchases]]+Table[[#This Row],[NumStorePurchases]]</f>
        <v>16</v>
      </c>
    </row>
    <row r="1493" spans="1:20" ht="12.5">
      <c r="A1493" s="6">
        <v>1491</v>
      </c>
      <c r="B1493" s="6">
        <v>7494</v>
      </c>
      <c r="C1493" s="6">
        <v>1950</v>
      </c>
      <c r="D1493" s="6">
        <f t="shared" si="92"/>
        <v>75</v>
      </c>
      <c r="E1493" s="7" t="s">
        <v>12</v>
      </c>
      <c r="F1493" s="7" t="s">
        <v>15</v>
      </c>
      <c r="G1493" s="6">
        <v>42873</v>
      </c>
      <c r="H1493" s="6" t="str" cm="1">
        <f t="array" ref="H1493">_xlfn.IFS(
  G1493 &lt; 25000, "Low",
  AND(G1493 &gt;= 25000, G1493 &lt; 75000), "Medium",
  AND(G1493 &gt;= 75000, G1493 &lt; 150000), "High",
  G1493 &gt;= 150000, "Very High"
)</f>
        <v>Medium</v>
      </c>
      <c r="I1493" s="6">
        <v>1</v>
      </c>
      <c r="J1493" s="6">
        <v>1</v>
      </c>
      <c r="K1493" s="6">
        <f t="shared" si="93"/>
        <v>2</v>
      </c>
      <c r="L1493" s="8">
        <v>41295</v>
      </c>
      <c r="M1493" t="str">
        <f t="shared" ca="1" si="94"/>
        <v>13 years, 1 months</v>
      </c>
      <c r="N1493" s="6">
        <v>11</v>
      </c>
      <c r="O1493">
        <v>0</v>
      </c>
      <c r="P1493">
        <v>2</v>
      </c>
      <c r="Q1493">
        <f t="shared" si="95"/>
        <v>2</v>
      </c>
      <c r="R1493">
        <v>6</v>
      </c>
      <c r="S1493">
        <v>4</v>
      </c>
      <c r="T1493">
        <f>Table[[#This Row],[NumWebPurchases]]+Table[[#This Row],[NumStorePurchases]]</f>
        <v>10</v>
      </c>
    </row>
    <row r="1494" spans="1:20" ht="12.5">
      <c r="A1494" s="6">
        <v>1492</v>
      </c>
      <c r="B1494" s="6">
        <v>1763</v>
      </c>
      <c r="C1494" s="6">
        <v>1988</v>
      </c>
      <c r="D1494" s="6">
        <f t="shared" si="92"/>
        <v>37</v>
      </c>
      <c r="E1494" s="7" t="s">
        <v>9</v>
      </c>
      <c r="F1494" s="7" t="s">
        <v>11</v>
      </c>
      <c r="G1494" s="6">
        <v>87679</v>
      </c>
      <c r="H1494" s="6" t="str" cm="1">
        <f t="array" ref="H1494">_xlfn.IFS(
  G1494 &lt; 25000, "Low",
  AND(G1494 &gt;= 25000, G1494 &lt; 75000), "Medium",
  AND(G1494 &gt;= 75000, G1494 &lt; 150000), "High",
  G1494 &gt;= 150000, "Very High"
)</f>
        <v>High</v>
      </c>
      <c r="I1494" s="6">
        <v>0</v>
      </c>
      <c r="J1494" s="6">
        <v>0</v>
      </c>
      <c r="K1494" s="6">
        <f t="shared" si="93"/>
        <v>0</v>
      </c>
      <c r="L1494" s="8">
        <v>41482</v>
      </c>
      <c r="M1494" t="str">
        <f t="shared" ca="1" si="94"/>
        <v>12 years, 7 months</v>
      </c>
      <c r="N1494" s="6">
        <v>62</v>
      </c>
      <c r="O1494">
        <v>172</v>
      </c>
      <c r="P1494">
        <v>148</v>
      </c>
      <c r="Q1494">
        <f t="shared" si="95"/>
        <v>320</v>
      </c>
      <c r="R1494">
        <v>7</v>
      </c>
      <c r="S1494">
        <v>10</v>
      </c>
      <c r="T1494">
        <f>Table[[#This Row],[NumWebPurchases]]+Table[[#This Row],[NumStorePurchases]]</f>
        <v>17</v>
      </c>
    </row>
    <row r="1495" spans="1:20" ht="12.5">
      <c r="A1495" s="6">
        <v>1493</v>
      </c>
      <c r="B1495" s="6">
        <v>7250</v>
      </c>
      <c r="C1495" s="6">
        <v>1978</v>
      </c>
      <c r="D1495" s="6">
        <f t="shared" si="92"/>
        <v>47</v>
      </c>
      <c r="E1495" s="7" t="s">
        <v>9</v>
      </c>
      <c r="F1495" s="7" t="s">
        <v>11</v>
      </c>
      <c r="G1495" s="6">
        <v>57867</v>
      </c>
      <c r="H1495" s="6" t="str" cm="1">
        <f t="array" ref="H1495">_xlfn.IFS(
  G1495 &lt; 25000, "Low",
  AND(G1495 &gt;= 25000, G1495 &lt; 75000), "Medium",
  AND(G1495 &gt;= 75000, G1495 &lt; 150000), "High",
  G1495 &gt;= 150000, "Very High"
)</f>
        <v>Medium</v>
      </c>
      <c r="I1495" s="6">
        <v>1</v>
      </c>
      <c r="J1495" s="6">
        <v>0</v>
      </c>
      <c r="K1495" s="6">
        <f t="shared" si="93"/>
        <v>1</v>
      </c>
      <c r="L1495" s="8">
        <v>41548</v>
      </c>
      <c r="M1495" t="str">
        <f t="shared" ca="1" si="94"/>
        <v>12 years, 5 months</v>
      </c>
      <c r="N1495" s="6">
        <v>48</v>
      </c>
      <c r="O1495">
        <v>35</v>
      </c>
      <c r="P1495">
        <v>23</v>
      </c>
      <c r="Q1495">
        <f t="shared" si="95"/>
        <v>58</v>
      </c>
      <c r="R1495">
        <v>7</v>
      </c>
      <c r="S1495">
        <v>9</v>
      </c>
      <c r="T1495">
        <f>Table[[#This Row],[NumWebPurchases]]+Table[[#This Row],[NumStorePurchases]]</f>
        <v>16</v>
      </c>
    </row>
    <row r="1496" spans="1:20" ht="12.5">
      <c r="A1496" s="6">
        <v>1494</v>
      </c>
      <c r="B1496" s="6">
        <v>2005</v>
      </c>
      <c r="C1496" s="6">
        <v>1990</v>
      </c>
      <c r="D1496" s="6">
        <f t="shared" si="92"/>
        <v>35</v>
      </c>
      <c r="E1496" s="7" t="s">
        <v>9</v>
      </c>
      <c r="F1496" s="7" t="s">
        <v>13</v>
      </c>
      <c r="G1496" s="6">
        <v>35765</v>
      </c>
      <c r="H1496" s="6" t="str" cm="1">
        <f t="array" ref="H1496">_xlfn.IFS(
  G1496 &lt; 25000, "Low",
  AND(G1496 &gt;= 25000, G1496 &lt; 75000), "Medium",
  AND(G1496 &gt;= 75000, G1496 &lt; 150000), "High",
  G1496 &gt;= 150000, "Very High"
)</f>
        <v>Medium</v>
      </c>
      <c r="I1496" s="6">
        <v>1</v>
      </c>
      <c r="J1496" s="6">
        <v>0</v>
      </c>
      <c r="K1496" s="6">
        <f t="shared" si="93"/>
        <v>1</v>
      </c>
      <c r="L1496" s="9">
        <v>41619</v>
      </c>
      <c r="M1496" t="str">
        <f t="shared" ca="1" si="94"/>
        <v>12 years, 2 months</v>
      </c>
      <c r="N1496" s="6">
        <v>86</v>
      </c>
      <c r="O1496">
        <v>3</v>
      </c>
      <c r="P1496">
        <v>5</v>
      </c>
      <c r="Q1496">
        <f t="shared" si="95"/>
        <v>8</v>
      </c>
      <c r="R1496">
        <v>2</v>
      </c>
      <c r="S1496">
        <v>4</v>
      </c>
      <c r="T1496">
        <f>Table[[#This Row],[NumWebPurchases]]+Table[[#This Row],[NumStorePurchases]]</f>
        <v>6</v>
      </c>
    </row>
    <row r="1497" spans="1:20" ht="12.5">
      <c r="A1497" s="6">
        <v>1495</v>
      </c>
      <c r="B1497" s="6">
        <v>10770</v>
      </c>
      <c r="C1497" s="6">
        <v>1959</v>
      </c>
      <c r="D1497" s="6">
        <f t="shared" si="92"/>
        <v>66</v>
      </c>
      <c r="E1497" s="7" t="s">
        <v>9</v>
      </c>
      <c r="F1497" s="7" t="s">
        <v>13</v>
      </c>
      <c r="G1497" s="6">
        <v>65492</v>
      </c>
      <c r="H1497" s="6" t="str" cm="1">
        <f t="array" ref="H1497">_xlfn.IFS(
  G1497 &lt; 25000, "Low",
  AND(G1497 &gt;= 25000, G1497 &lt; 75000), "Medium",
  AND(G1497 &gt;= 75000, G1497 &lt; 150000), "High",
  G1497 &gt;= 150000, "Very High"
)</f>
        <v>Medium</v>
      </c>
      <c r="I1497" s="6">
        <v>0</v>
      </c>
      <c r="J1497" s="6">
        <v>0</v>
      </c>
      <c r="K1497" s="6">
        <f t="shared" si="93"/>
        <v>0</v>
      </c>
      <c r="L1497" s="8">
        <v>41665</v>
      </c>
      <c r="M1497" t="str">
        <f t="shared" ca="1" si="94"/>
        <v>12 years, 1 months</v>
      </c>
      <c r="N1497" s="6">
        <v>73</v>
      </c>
      <c r="O1497">
        <v>161</v>
      </c>
      <c r="P1497">
        <v>85</v>
      </c>
      <c r="Q1497">
        <f t="shared" si="95"/>
        <v>246</v>
      </c>
      <c r="R1497">
        <v>4</v>
      </c>
      <c r="S1497">
        <v>13</v>
      </c>
      <c r="T1497">
        <f>Table[[#This Row],[NumWebPurchases]]+Table[[#This Row],[NumStorePurchases]]</f>
        <v>17</v>
      </c>
    </row>
    <row r="1498" spans="1:20" ht="12.5">
      <c r="A1498" s="6">
        <v>1496</v>
      </c>
      <c r="B1498" s="6">
        <v>6885</v>
      </c>
      <c r="C1498" s="6">
        <v>1977</v>
      </c>
      <c r="D1498" s="6">
        <f t="shared" si="92"/>
        <v>48</v>
      </c>
      <c r="E1498" s="7" t="s">
        <v>9</v>
      </c>
      <c r="F1498" s="7" t="s">
        <v>15</v>
      </c>
      <c r="G1498" s="6">
        <v>32952</v>
      </c>
      <c r="H1498" s="6" t="str" cm="1">
        <f t="array" ref="H1498">_xlfn.IFS(
  G1498 &lt; 25000, "Low",
  AND(G1498 &gt;= 25000, G1498 &lt; 75000), "Medium",
  AND(G1498 &gt;= 75000, G1498 &lt; 150000), "High",
  G1498 &gt;= 150000, "Very High"
)</f>
        <v>Medium</v>
      </c>
      <c r="I1498" s="6">
        <v>1</v>
      </c>
      <c r="J1498" s="6">
        <v>0</v>
      </c>
      <c r="K1498" s="6">
        <f t="shared" si="93"/>
        <v>1</v>
      </c>
      <c r="L1498" s="8">
        <v>41609</v>
      </c>
      <c r="M1498" t="str">
        <f t="shared" ca="1" si="94"/>
        <v>12 years, 3 months</v>
      </c>
      <c r="N1498" s="6">
        <v>36</v>
      </c>
      <c r="O1498">
        <v>0</v>
      </c>
      <c r="P1498">
        <v>1</v>
      </c>
      <c r="Q1498">
        <f t="shared" si="95"/>
        <v>1</v>
      </c>
      <c r="R1498">
        <v>2</v>
      </c>
      <c r="S1498">
        <v>3</v>
      </c>
      <c r="T1498">
        <f>Table[[#This Row],[NumWebPurchases]]+Table[[#This Row],[NumStorePurchases]]</f>
        <v>5</v>
      </c>
    </row>
    <row r="1499" spans="1:20" ht="12.5">
      <c r="A1499" s="6">
        <v>1497</v>
      </c>
      <c r="B1499" s="6">
        <v>2072</v>
      </c>
      <c r="C1499" s="6">
        <v>1969</v>
      </c>
      <c r="D1499" s="6">
        <f t="shared" si="92"/>
        <v>56</v>
      </c>
      <c r="E1499" s="7" t="s">
        <v>12</v>
      </c>
      <c r="F1499" s="7" t="s">
        <v>11</v>
      </c>
      <c r="G1499" s="6">
        <v>53374</v>
      </c>
      <c r="H1499" s="6" t="str" cm="1">
        <f t="array" ref="H1499">_xlfn.IFS(
  G1499 &lt; 25000, "Low",
  AND(G1499 &gt;= 25000, G1499 &lt; 75000), "Medium",
  AND(G1499 &gt;= 75000, G1499 &lt; 150000), "High",
  G1499 &gt;= 150000, "Very High"
)</f>
        <v>Medium</v>
      </c>
      <c r="I1499" s="6">
        <v>0</v>
      </c>
      <c r="J1499" s="6">
        <v>1</v>
      </c>
      <c r="K1499" s="6">
        <f t="shared" si="93"/>
        <v>1</v>
      </c>
      <c r="L1499" s="8">
        <v>41137</v>
      </c>
      <c r="M1499" t="str">
        <f t="shared" ca="1" si="94"/>
        <v>13 years, 6 months</v>
      </c>
      <c r="N1499" s="6">
        <v>34</v>
      </c>
      <c r="O1499">
        <v>10</v>
      </c>
      <c r="P1499">
        <v>10</v>
      </c>
      <c r="Q1499">
        <f t="shared" si="95"/>
        <v>20</v>
      </c>
      <c r="R1499">
        <v>4</v>
      </c>
      <c r="S1499">
        <v>9</v>
      </c>
      <c r="T1499">
        <f>Table[[#This Row],[NumWebPurchases]]+Table[[#This Row],[NumStorePurchases]]</f>
        <v>13</v>
      </c>
    </row>
    <row r="1500" spans="1:20" ht="12.5">
      <c r="A1500" s="6">
        <v>1498</v>
      </c>
      <c r="B1500" s="6">
        <v>9463</v>
      </c>
      <c r="C1500" s="6">
        <v>1959</v>
      </c>
      <c r="D1500" s="6">
        <f t="shared" si="92"/>
        <v>66</v>
      </c>
      <c r="E1500" s="7" t="s">
        <v>9</v>
      </c>
      <c r="F1500" s="7" t="s">
        <v>11</v>
      </c>
      <c r="G1500" s="6">
        <v>71706</v>
      </c>
      <c r="H1500" s="6" t="str" cm="1">
        <f t="array" ref="H1500">_xlfn.IFS(
  G1500 &lt; 25000, "Low",
  AND(G1500 &gt;= 25000, G1500 &lt; 75000), "Medium",
  AND(G1500 &gt;= 75000, G1500 &lt; 150000), "High",
  G1500 &gt;= 150000, "Very High"
)</f>
        <v>Medium</v>
      </c>
      <c r="I1500" s="6">
        <v>0</v>
      </c>
      <c r="J1500" s="6">
        <v>1</v>
      </c>
      <c r="K1500" s="6">
        <f t="shared" si="93"/>
        <v>1</v>
      </c>
      <c r="L1500" s="9">
        <v>41226</v>
      </c>
      <c r="M1500" t="str">
        <f t="shared" ca="1" si="94"/>
        <v>13 years, 3 months</v>
      </c>
      <c r="N1500" s="6">
        <v>16</v>
      </c>
      <c r="O1500">
        <v>56</v>
      </c>
      <c r="P1500">
        <v>98</v>
      </c>
      <c r="Q1500">
        <f t="shared" si="95"/>
        <v>154</v>
      </c>
      <c r="R1500">
        <v>9</v>
      </c>
      <c r="S1500">
        <v>7</v>
      </c>
      <c r="T1500">
        <f>Table[[#This Row],[NumWebPurchases]]+Table[[#This Row],[NumStorePurchases]]</f>
        <v>16</v>
      </c>
    </row>
    <row r="1501" spans="1:20" ht="12.5">
      <c r="A1501" s="6">
        <v>1499</v>
      </c>
      <c r="B1501" s="6">
        <v>6318</v>
      </c>
      <c r="C1501" s="6">
        <v>1988</v>
      </c>
      <c r="D1501" s="6">
        <f t="shared" si="92"/>
        <v>37</v>
      </c>
      <c r="E1501" s="7" t="s">
        <v>9</v>
      </c>
      <c r="F1501" s="7" t="s">
        <v>13</v>
      </c>
      <c r="G1501" s="6">
        <v>68487</v>
      </c>
      <c r="H1501" s="6" t="str" cm="1">
        <f t="array" ref="H1501">_xlfn.IFS(
  G1501 &lt; 25000, "Low",
  AND(G1501 &gt;= 25000, G1501 &lt; 75000), "Medium",
  AND(G1501 &gt;= 75000, G1501 &lt; 150000), "High",
  G1501 &gt;= 150000, "Very High"
)</f>
        <v>Medium</v>
      </c>
      <c r="I1501" s="6">
        <v>0</v>
      </c>
      <c r="J1501" s="6">
        <v>0</v>
      </c>
      <c r="K1501" s="6">
        <f t="shared" si="93"/>
        <v>0</v>
      </c>
      <c r="L1501" s="8">
        <v>41287</v>
      </c>
      <c r="M1501" t="str">
        <f t="shared" ca="1" si="94"/>
        <v>13 years, 1 months</v>
      </c>
      <c r="N1501" s="6">
        <v>48</v>
      </c>
      <c r="O1501">
        <v>12</v>
      </c>
      <c r="P1501">
        <v>89</v>
      </c>
      <c r="Q1501">
        <f t="shared" si="95"/>
        <v>101</v>
      </c>
      <c r="R1501">
        <v>9</v>
      </c>
      <c r="S1501">
        <v>13</v>
      </c>
      <c r="T1501">
        <f>Table[[#This Row],[NumWebPurchases]]+Table[[#This Row],[NumStorePurchases]]</f>
        <v>22</v>
      </c>
    </row>
    <row r="1502" spans="1:20" ht="12.5">
      <c r="A1502" s="6">
        <v>1500</v>
      </c>
      <c r="B1502" s="6">
        <v>4093</v>
      </c>
      <c r="C1502" s="6">
        <v>1975</v>
      </c>
      <c r="D1502" s="6">
        <f t="shared" si="92"/>
        <v>50</v>
      </c>
      <c r="E1502" s="7" t="s">
        <v>14</v>
      </c>
      <c r="F1502" s="7" t="s">
        <v>11</v>
      </c>
      <c r="G1502" s="6">
        <v>53253</v>
      </c>
      <c r="H1502" s="6" t="str" cm="1">
        <f t="array" ref="H1502">_xlfn.IFS(
  G1502 &lt; 25000, "Low",
  AND(G1502 &gt;= 25000, G1502 &lt; 75000), "Medium",
  AND(G1502 &gt;= 75000, G1502 &lt; 150000), "High",
  G1502 &gt;= 150000, "Very High"
)</f>
        <v>Medium</v>
      </c>
      <c r="I1502" s="6">
        <v>1</v>
      </c>
      <c r="J1502" s="6">
        <v>1</v>
      </c>
      <c r="K1502" s="6">
        <f t="shared" si="93"/>
        <v>2</v>
      </c>
      <c r="L1502" s="8">
        <v>41316</v>
      </c>
      <c r="M1502" t="str">
        <f t="shared" ca="1" si="94"/>
        <v>13 years, 0 months</v>
      </c>
      <c r="N1502" s="6">
        <v>61</v>
      </c>
      <c r="O1502">
        <v>9</v>
      </c>
      <c r="P1502">
        <v>9</v>
      </c>
      <c r="Q1502">
        <f t="shared" si="95"/>
        <v>18</v>
      </c>
      <c r="R1502">
        <v>4</v>
      </c>
      <c r="S1502">
        <v>5</v>
      </c>
      <c r="T1502">
        <f>Table[[#This Row],[NumWebPurchases]]+Table[[#This Row],[NumStorePurchases]]</f>
        <v>9</v>
      </c>
    </row>
    <row r="1503" spans="1:20" ht="12.5">
      <c r="A1503" s="6">
        <v>1501</v>
      </c>
      <c r="B1503" s="6">
        <v>5751</v>
      </c>
      <c r="C1503" s="6">
        <v>1973</v>
      </c>
      <c r="D1503" s="6">
        <f t="shared" si="92"/>
        <v>52</v>
      </c>
      <c r="E1503" s="7" t="s">
        <v>17</v>
      </c>
      <c r="F1503" s="7" t="s">
        <v>15</v>
      </c>
      <c r="G1503" s="6">
        <v>31163</v>
      </c>
      <c r="H1503" s="6" t="str" cm="1">
        <f t="array" ref="H1503">_xlfn.IFS(
  G1503 &lt; 25000, "Low",
  AND(G1503 &gt;= 25000, G1503 &lt; 75000), "Medium",
  AND(G1503 &gt;= 75000, G1503 &lt; 150000), "High",
  G1503 &gt;= 150000, "Very High"
)</f>
        <v>Medium</v>
      </c>
      <c r="I1503" s="6">
        <v>1</v>
      </c>
      <c r="J1503" s="6">
        <v>0</v>
      </c>
      <c r="K1503" s="6">
        <f t="shared" si="93"/>
        <v>1</v>
      </c>
      <c r="L1503" s="8">
        <v>41683</v>
      </c>
      <c r="M1503" t="str">
        <f t="shared" ca="1" si="94"/>
        <v>12 years, 0 months</v>
      </c>
      <c r="N1503" s="6">
        <v>54</v>
      </c>
      <c r="O1503">
        <v>3</v>
      </c>
      <c r="P1503">
        <v>2</v>
      </c>
      <c r="Q1503">
        <f t="shared" si="95"/>
        <v>5</v>
      </c>
      <c r="R1503">
        <v>1</v>
      </c>
      <c r="S1503">
        <v>3</v>
      </c>
      <c r="T1503">
        <f>Table[[#This Row],[NumWebPurchases]]+Table[[#This Row],[NumStorePurchases]]</f>
        <v>4</v>
      </c>
    </row>
    <row r="1504" spans="1:20" ht="12.5">
      <c r="A1504" s="6">
        <v>1502</v>
      </c>
      <c r="B1504" s="6">
        <v>3340</v>
      </c>
      <c r="C1504" s="6">
        <v>1977</v>
      </c>
      <c r="D1504" s="6">
        <f t="shared" si="92"/>
        <v>48</v>
      </c>
      <c r="E1504" s="7" t="s">
        <v>9</v>
      </c>
      <c r="F1504" s="7" t="s">
        <v>13</v>
      </c>
      <c r="G1504" s="6">
        <v>42014</v>
      </c>
      <c r="H1504" s="6" t="str" cm="1">
        <f t="array" ref="H1504">_xlfn.IFS(
  G1504 &lt; 25000, "Low",
  AND(G1504 &gt;= 25000, G1504 &lt; 75000), "Medium",
  AND(G1504 &gt;= 75000, G1504 &lt; 150000), "High",
  G1504 &gt;= 150000, "Very High"
)</f>
        <v>Medium</v>
      </c>
      <c r="I1504" s="6">
        <v>1</v>
      </c>
      <c r="J1504" s="6">
        <v>0</v>
      </c>
      <c r="K1504" s="6">
        <f t="shared" si="93"/>
        <v>1</v>
      </c>
      <c r="L1504" s="8">
        <v>41138</v>
      </c>
      <c r="M1504" t="str">
        <f t="shared" ca="1" si="94"/>
        <v>13 years, 6 months</v>
      </c>
      <c r="N1504" s="6">
        <v>56</v>
      </c>
      <c r="O1504">
        <v>15</v>
      </c>
      <c r="P1504">
        <v>15</v>
      </c>
      <c r="Q1504">
        <f t="shared" si="95"/>
        <v>30</v>
      </c>
      <c r="R1504">
        <v>7</v>
      </c>
      <c r="S1504">
        <v>6</v>
      </c>
      <c r="T1504">
        <f>Table[[#This Row],[NumWebPurchases]]+Table[[#This Row],[NumStorePurchases]]</f>
        <v>13</v>
      </c>
    </row>
    <row r="1505" spans="1:20" ht="12.5">
      <c r="A1505" s="6">
        <v>1503</v>
      </c>
      <c r="B1505" s="6">
        <v>3594</v>
      </c>
      <c r="C1505" s="6">
        <v>1973</v>
      </c>
      <c r="D1505" s="6">
        <f t="shared" si="92"/>
        <v>52</v>
      </c>
      <c r="E1505" s="7" t="s">
        <v>14</v>
      </c>
      <c r="F1505" s="7" t="s">
        <v>13</v>
      </c>
      <c r="G1505" s="6">
        <v>54108</v>
      </c>
      <c r="H1505" s="6" t="str" cm="1">
        <f t="array" ref="H1505">_xlfn.IFS(
  G1505 &lt; 25000, "Low",
  AND(G1505 &gt;= 25000, G1505 &lt; 75000), "Medium",
  AND(G1505 &gt;= 75000, G1505 &lt; 150000), "High",
  G1505 &gt;= 150000, "Very High"
)</f>
        <v>Medium</v>
      </c>
      <c r="I1505" s="6">
        <v>1</v>
      </c>
      <c r="J1505" s="6">
        <v>1</v>
      </c>
      <c r="K1505" s="6">
        <f t="shared" si="93"/>
        <v>2</v>
      </c>
      <c r="L1505" s="8">
        <v>41218</v>
      </c>
      <c r="M1505" t="str">
        <f t="shared" ca="1" si="94"/>
        <v>13 years, 4 months</v>
      </c>
      <c r="N1505" s="6">
        <v>74</v>
      </c>
      <c r="O1505">
        <v>6</v>
      </c>
      <c r="P1505">
        <v>6</v>
      </c>
      <c r="Q1505">
        <f t="shared" si="95"/>
        <v>12</v>
      </c>
      <c r="R1505">
        <v>8</v>
      </c>
      <c r="S1505">
        <v>9</v>
      </c>
      <c r="T1505">
        <f>Table[[#This Row],[NumWebPurchases]]+Table[[#This Row],[NumStorePurchases]]</f>
        <v>17</v>
      </c>
    </row>
    <row r="1506" spans="1:20" ht="12.5">
      <c r="A1506" s="6">
        <v>1504</v>
      </c>
      <c r="B1506" s="6">
        <v>3584</v>
      </c>
      <c r="C1506" s="6">
        <v>1955</v>
      </c>
      <c r="D1506" s="6">
        <f t="shared" si="92"/>
        <v>70</v>
      </c>
      <c r="E1506" s="7" t="s">
        <v>12</v>
      </c>
      <c r="F1506" s="7" t="s">
        <v>10</v>
      </c>
      <c r="G1506" s="6">
        <v>49667</v>
      </c>
      <c r="H1506" s="6" t="str" cm="1">
        <f t="array" ref="H1506">_xlfn.IFS(
  G1506 &lt; 25000, "Low",
  AND(G1506 &gt;= 25000, G1506 &lt; 75000), "Medium",
  AND(G1506 &gt;= 75000, G1506 &lt; 150000), "High",
  G1506 &gt;= 150000, "Very High"
)</f>
        <v>Medium</v>
      </c>
      <c r="I1506" s="6">
        <v>0</v>
      </c>
      <c r="J1506" s="6">
        <v>0</v>
      </c>
      <c r="K1506" s="6">
        <f t="shared" si="93"/>
        <v>0</v>
      </c>
      <c r="L1506" s="8">
        <v>41141</v>
      </c>
      <c r="M1506" t="str">
        <f t="shared" ca="1" si="94"/>
        <v>13 years, 6 months</v>
      </c>
      <c r="N1506" s="6">
        <v>35</v>
      </c>
      <c r="O1506">
        <v>26</v>
      </c>
      <c r="P1506">
        <v>13</v>
      </c>
      <c r="Q1506">
        <f t="shared" si="95"/>
        <v>39</v>
      </c>
      <c r="R1506">
        <v>5</v>
      </c>
      <c r="S1506">
        <v>5</v>
      </c>
      <c r="T1506">
        <f>Table[[#This Row],[NumWebPurchases]]+Table[[#This Row],[NumStorePurchases]]</f>
        <v>10</v>
      </c>
    </row>
    <row r="1507" spans="1:20" ht="12.5">
      <c r="A1507" s="6">
        <v>1505</v>
      </c>
      <c r="B1507" s="6">
        <v>3643</v>
      </c>
      <c r="C1507" s="6">
        <v>1974</v>
      </c>
      <c r="D1507" s="6">
        <f t="shared" si="92"/>
        <v>51</v>
      </c>
      <c r="E1507" s="7" t="s">
        <v>14</v>
      </c>
      <c r="F1507" s="7" t="s">
        <v>13</v>
      </c>
      <c r="G1507" s="6">
        <v>63206</v>
      </c>
      <c r="H1507" s="6" t="str" cm="1">
        <f t="array" ref="H1507">_xlfn.IFS(
  G1507 &lt; 25000, "Low",
  AND(G1507 &gt;= 25000, G1507 &lt; 75000), "Medium",
  AND(G1507 &gt;= 75000, G1507 &lt; 150000), "High",
  G1507 &gt;= 150000, "Very High"
)</f>
        <v>Medium</v>
      </c>
      <c r="I1507" s="6">
        <v>0</v>
      </c>
      <c r="J1507" s="6">
        <v>0</v>
      </c>
      <c r="K1507" s="6">
        <f t="shared" si="93"/>
        <v>0</v>
      </c>
      <c r="L1507" s="8">
        <v>41718</v>
      </c>
      <c r="M1507" t="str">
        <f t="shared" ca="1" si="94"/>
        <v>11 years, 11 months</v>
      </c>
      <c r="N1507" s="6">
        <v>65</v>
      </c>
      <c r="O1507">
        <v>8</v>
      </c>
      <c r="P1507">
        <v>8</v>
      </c>
      <c r="Q1507">
        <f t="shared" si="95"/>
        <v>16</v>
      </c>
      <c r="R1507">
        <v>4</v>
      </c>
      <c r="S1507">
        <v>6</v>
      </c>
      <c r="T1507">
        <f>Table[[#This Row],[NumWebPurchases]]+Table[[#This Row],[NumStorePurchases]]</f>
        <v>10</v>
      </c>
    </row>
    <row r="1508" spans="1:20" ht="12.5">
      <c r="A1508" s="6">
        <v>1506</v>
      </c>
      <c r="B1508" s="6">
        <v>851</v>
      </c>
      <c r="C1508" s="6">
        <v>1972</v>
      </c>
      <c r="D1508" s="6">
        <f t="shared" si="92"/>
        <v>53</v>
      </c>
      <c r="E1508" s="7" t="s">
        <v>14</v>
      </c>
      <c r="F1508" s="7" t="s">
        <v>13</v>
      </c>
      <c r="G1508" s="6">
        <v>57136</v>
      </c>
      <c r="H1508" s="6" t="str" cm="1">
        <f t="array" ref="H1508">_xlfn.IFS(
  G1508 &lt; 25000, "Low",
  AND(G1508 &gt;= 25000, G1508 &lt; 75000), "Medium",
  AND(G1508 &gt;= 75000, G1508 &lt; 150000), "High",
  G1508 &gt;= 150000, "Very High"
)</f>
        <v>Medium</v>
      </c>
      <c r="I1508" s="6">
        <v>1</v>
      </c>
      <c r="J1508" s="6">
        <v>1</v>
      </c>
      <c r="K1508" s="6">
        <f t="shared" si="93"/>
        <v>2</v>
      </c>
      <c r="L1508" s="8">
        <v>41464</v>
      </c>
      <c r="M1508" t="str">
        <f t="shared" ca="1" si="94"/>
        <v>12 years, 7 months</v>
      </c>
      <c r="N1508" s="6">
        <v>48</v>
      </c>
      <c r="O1508">
        <v>5</v>
      </c>
      <c r="P1508">
        <v>109</v>
      </c>
      <c r="Q1508">
        <f t="shared" si="95"/>
        <v>114</v>
      </c>
      <c r="R1508">
        <v>5</v>
      </c>
      <c r="S1508">
        <v>10</v>
      </c>
      <c r="T1508">
        <f>Table[[#This Row],[NumWebPurchases]]+Table[[#This Row],[NumStorePurchases]]</f>
        <v>15</v>
      </c>
    </row>
    <row r="1509" spans="1:20" ht="12.5">
      <c r="A1509" s="6">
        <v>1507</v>
      </c>
      <c r="B1509" s="6">
        <v>7706</v>
      </c>
      <c r="C1509" s="6">
        <v>1975</v>
      </c>
      <c r="D1509" s="6">
        <f t="shared" si="92"/>
        <v>50</v>
      </c>
      <c r="E1509" s="7" t="s">
        <v>17</v>
      </c>
      <c r="F1509" s="7" t="s">
        <v>11</v>
      </c>
      <c r="G1509" s="6">
        <v>46772</v>
      </c>
      <c r="H1509" s="6" t="str" cm="1">
        <f t="array" ref="H1509">_xlfn.IFS(
  G1509 &lt; 25000, "Low",
  AND(G1509 &gt;= 25000, G1509 &lt; 75000), "Medium",
  AND(G1509 &gt;= 75000, G1509 &lt; 150000), "High",
  G1509 &gt;= 150000, "Very High"
)</f>
        <v>Medium</v>
      </c>
      <c r="I1509" s="6">
        <v>0</v>
      </c>
      <c r="J1509" s="6">
        <v>1</v>
      </c>
      <c r="K1509" s="6">
        <f t="shared" si="93"/>
        <v>1</v>
      </c>
      <c r="L1509" s="8">
        <v>41220</v>
      </c>
      <c r="M1509" t="str">
        <f t="shared" ca="1" si="94"/>
        <v>13 years, 3 months</v>
      </c>
      <c r="N1509" s="6">
        <v>88</v>
      </c>
      <c r="O1509">
        <v>104</v>
      </c>
      <c r="P1509">
        <v>151</v>
      </c>
      <c r="Q1509">
        <f t="shared" si="95"/>
        <v>255</v>
      </c>
      <c r="R1509">
        <v>11</v>
      </c>
      <c r="S1509">
        <v>5</v>
      </c>
      <c r="T1509">
        <f>Table[[#This Row],[NumWebPurchases]]+Table[[#This Row],[NumStorePurchases]]</f>
        <v>16</v>
      </c>
    </row>
    <row r="1510" spans="1:20" ht="12.5">
      <c r="A1510" s="6">
        <v>1508</v>
      </c>
      <c r="B1510" s="6">
        <v>3967</v>
      </c>
      <c r="C1510" s="6">
        <v>1971</v>
      </c>
      <c r="D1510" s="6">
        <f t="shared" si="92"/>
        <v>54</v>
      </c>
      <c r="E1510" s="7" t="s">
        <v>12</v>
      </c>
      <c r="F1510" s="7" t="s">
        <v>13</v>
      </c>
      <c r="G1510" s="6">
        <v>78931</v>
      </c>
      <c r="H1510" s="6" t="str" cm="1">
        <f t="array" ref="H1510">_xlfn.IFS(
  G1510 &lt; 25000, "Low",
  AND(G1510 &gt;= 25000, G1510 &lt; 75000), "Medium",
  AND(G1510 &gt;= 75000, G1510 &lt; 150000), "High",
  G1510 &gt;= 150000, "Very High"
)</f>
        <v>High</v>
      </c>
      <c r="I1510" s="6">
        <v>0</v>
      </c>
      <c r="J1510" s="6">
        <v>0</v>
      </c>
      <c r="K1510" s="6">
        <f t="shared" si="93"/>
        <v>0</v>
      </c>
      <c r="L1510" s="9">
        <v>41572</v>
      </c>
      <c r="M1510" t="str">
        <f t="shared" ca="1" si="94"/>
        <v>12 years, 4 months</v>
      </c>
      <c r="N1510" s="6">
        <v>19</v>
      </c>
      <c r="O1510">
        <v>197</v>
      </c>
      <c r="P1510">
        <v>152</v>
      </c>
      <c r="Q1510">
        <f t="shared" si="95"/>
        <v>349</v>
      </c>
      <c r="R1510">
        <v>2</v>
      </c>
      <c r="S1510">
        <v>13</v>
      </c>
      <c r="T1510">
        <f>Table[[#This Row],[NumWebPurchases]]+Table[[#This Row],[NumStorePurchases]]</f>
        <v>15</v>
      </c>
    </row>
    <row r="1511" spans="1:20" ht="12.5">
      <c r="A1511" s="6">
        <v>1509</v>
      </c>
      <c r="B1511" s="6">
        <v>10128</v>
      </c>
      <c r="C1511" s="6">
        <v>1958</v>
      </c>
      <c r="D1511" s="6">
        <f t="shared" si="92"/>
        <v>67</v>
      </c>
      <c r="E1511" s="7" t="s">
        <v>9</v>
      </c>
      <c r="F1511" s="7" t="s">
        <v>11</v>
      </c>
      <c r="G1511" s="6">
        <v>53977</v>
      </c>
      <c r="H1511" s="6" t="str" cm="1">
        <f t="array" ref="H1511">_xlfn.IFS(
  G1511 &lt; 25000, "Low",
  AND(G1511 &gt;= 25000, G1511 &lt; 75000), "Medium",
  AND(G1511 &gt;= 75000, G1511 &lt; 150000), "High",
  G1511 &gt;= 150000, "Very High"
)</f>
        <v>Medium</v>
      </c>
      <c r="I1511" s="6">
        <v>0</v>
      </c>
      <c r="J1511" s="6">
        <v>1</v>
      </c>
      <c r="K1511" s="6">
        <f t="shared" si="93"/>
        <v>1</v>
      </c>
      <c r="L1511" s="8">
        <v>41433</v>
      </c>
      <c r="M1511" t="str">
        <f t="shared" ca="1" si="94"/>
        <v>12 years, 8 months</v>
      </c>
      <c r="N1511" s="6">
        <v>21</v>
      </c>
      <c r="O1511">
        <v>16</v>
      </c>
      <c r="P1511">
        <v>24</v>
      </c>
      <c r="Q1511">
        <f t="shared" si="95"/>
        <v>40</v>
      </c>
      <c r="R1511">
        <v>5</v>
      </c>
      <c r="S1511">
        <v>12</v>
      </c>
      <c r="T1511">
        <f>Table[[#This Row],[NumWebPurchases]]+Table[[#This Row],[NumStorePurchases]]</f>
        <v>17</v>
      </c>
    </row>
    <row r="1512" spans="1:20" ht="12.5">
      <c r="A1512" s="6">
        <v>1510</v>
      </c>
      <c r="B1512" s="6">
        <v>486</v>
      </c>
      <c r="C1512" s="6">
        <v>1988</v>
      </c>
      <c r="D1512" s="6">
        <f t="shared" si="92"/>
        <v>37</v>
      </c>
      <c r="E1512" s="7" t="s">
        <v>9</v>
      </c>
      <c r="F1512" s="7" t="s">
        <v>13</v>
      </c>
      <c r="G1512" s="6">
        <v>84219</v>
      </c>
      <c r="H1512" s="6" t="str" cm="1">
        <f t="array" ref="H1512">_xlfn.IFS(
  G1512 &lt; 25000, "Low",
  AND(G1512 &gt;= 25000, G1512 &lt; 75000), "Medium",
  AND(G1512 &gt;= 75000, G1512 &lt; 150000), "High",
  G1512 &gt;= 150000, "Very High"
)</f>
        <v>High</v>
      </c>
      <c r="I1512" s="6">
        <v>0</v>
      </c>
      <c r="J1512" s="6">
        <v>0</v>
      </c>
      <c r="K1512" s="6">
        <f t="shared" si="93"/>
        <v>0</v>
      </c>
      <c r="L1512" s="8">
        <v>41672</v>
      </c>
      <c r="M1512" t="str">
        <f t="shared" ca="1" si="94"/>
        <v>12 years, 1 months</v>
      </c>
      <c r="N1512" s="6">
        <v>27</v>
      </c>
      <c r="O1512">
        <v>137</v>
      </c>
      <c r="P1512">
        <v>137</v>
      </c>
      <c r="Q1512">
        <f t="shared" si="95"/>
        <v>274</v>
      </c>
      <c r="R1512">
        <v>3</v>
      </c>
      <c r="S1512">
        <v>10</v>
      </c>
      <c r="T1512">
        <f>Table[[#This Row],[NumWebPurchases]]+Table[[#This Row],[NumStorePurchases]]</f>
        <v>13</v>
      </c>
    </row>
    <row r="1513" spans="1:20" ht="12.5">
      <c r="A1513" s="6">
        <v>1511</v>
      </c>
      <c r="B1513" s="6">
        <v>9</v>
      </c>
      <c r="C1513" s="6">
        <v>1975</v>
      </c>
      <c r="D1513" s="6">
        <f t="shared" si="92"/>
        <v>50</v>
      </c>
      <c r="E1513" s="7" t="s">
        <v>14</v>
      </c>
      <c r="F1513" s="7" t="s">
        <v>10</v>
      </c>
      <c r="G1513" s="6">
        <v>46098</v>
      </c>
      <c r="H1513" s="6" t="str" cm="1">
        <f t="array" ref="H1513">_xlfn.IFS(
  G1513 &lt; 25000, "Low",
  AND(G1513 &gt;= 25000, G1513 &lt; 75000), "Medium",
  AND(G1513 &gt;= 75000, G1513 &lt; 150000), "High",
  G1513 &gt;= 150000, "Very High"
)</f>
        <v>Medium</v>
      </c>
      <c r="I1513" s="6">
        <v>1</v>
      </c>
      <c r="J1513" s="6">
        <v>1</v>
      </c>
      <c r="K1513" s="6">
        <f t="shared" si="93"/>
        <v>2</v>
      </c>
      <c r="L1513" s="8">
        <v>41139</v>
      </c>
      <c r="M1513" t="str">
        <f t="shared" ca="1" si="94"/>
        <v>13 years, 6 months</v>
      </c>
      <c r="N1513" s="6">
        <v>86</v>
      </c>
      <c r="O1513">
        <v>0</v>
      </c>
      <c r="P1513">
        <v>0</v>
      </c>
      <c r="Q1513">
        <f t="shared" si="95"/>
        <v>0</v>
      </c>
      <c r="R1513">
        <v>3</v>
      </c>
      <c r="S1513">
        <v>2</v>
      </c>
      <c r="T1513">
        <f>Table[[#This Row],[NumWebPurchases]]+Table[[#This Row],[NumStorePurchases]]</f>
        <v>5</v>
      </c>
    </row>
    <row r="1514" spans="1:20" ht="12.5">
      <c r="A1514" s="6">
        <v>1512</v>
      </c>
      <c r="B1514" s="6">
        <v>9451</v>
      </c>
      <c r="C1514" s="6">
        <v>1965</v>
      </c>
      <c r="D1514" s="6">
        <f t="shared" si="92"/>
        <v>60</v>
      </c>
      <c r="E1514" s="7" t="s">
        <v>9</v>
      </c>
      <c r="F1514" s="7" t="s">
        <v>13</v>
      </c>
      <c r="G1514" s="6">
        <v>73538</v>
      </c>
      <c r="H1514" s="6" t="str" cm="1">
        <f t="array" ref="H1514">_xlfn.IFS(
  G1514 &lt; 25000, "Low",
  AND(G1514 &gt;= 25000, G1514 &lt; 75000), "Medium",
  AND(G1514 &gt;= 75000, G1514 &lt; 150000), "High",
  G1514 &gt;= 150000, "Very High"
)</f>
        <v>Medium</v>
      </c>
      <c r="I1514" s="6">
        <v>0</v>
      </c>
      <c r="J1514" s="6">
        <v>1</v>
      </c>
      <c r="K1514" s="6">
        <f t="shared" si="93"/>
        <v>1</v>
      </c>
      <c r="L1514" s="9">
        <v>41238</v>
      </c>
      <c r="M1514" t="str">
        <f t="shared" ca="1" si="94"/>
        <v>13 years, 3 months</v>
      </c>
      <c r="N1514" s="6">
        <v>92</v>
      </c>
      <c r="O1514">
        <v>76</v>
      </c>
      <c r="P1514">
        <v>137</v>
      </c>
      <c r="Q1514">
        <f t="shared" si="95"/>
        <v>213</v>
      </c>
      <c r="R1514">
        <v>10</v>
      </c>
      <c r="S1514">
        <v>9</v>
      </c>
      <c r="T1514">
        <f>Table[[#This Row],[NumWebPurchases]]+Table[[#This Row],[NumStorePurchases]]</f>
        <v>19</v>
      </c>
    </row>
    <row r="1515" spans="1:20" ht="12.5">
      <c r="A1515" s="6">
        <v>1513</v>
      </c>
      <c r="B1515" s="6">
        <v>9264</v>
      </c>
      <c r="C1515" s="6">
        <v>1986</v>
      </c>
      <c r="D1515" s="6">
        <f t="shared" si="92"/>
        <v>39</v>
      </c>
      <c r="E1515" s="7" t="s">
        <v>9</v>
      </c>
      <c r="F1515" s="7" t="s">
        <v>13</v>
      </c>
      <c r="G1515" s="6">
        <v>79529</v>
      </c>
      <c r="H1515" s="6" t="str" cm="1">
        <f t="array" ref="H1515">_xlfn.IFS(
  G1515 &lt; 25000, "Low",
  AND(G1515 &gt;= 25000, G1515 &lt; 75000), "Medium",
  AND(G1515 &gt;= 75000, G1515 &lt; 150000), "High",
  G1515 &gt;= 150000, "Very High"
)</f>
        <v>High</v>
      </c>
      <c r="I1515" s="6">
        <v>0</v>
      </c>
      <c r="J1515" s="6">
        <v>0</v>
      </c>
      <c r="K1515" s="6">
        <f t="shared" si="93"/>
        <v>0</v>
      </c>
      <c r="L1515" s="8">
        <v>41756</v>
      </c>
      <c r="M1515" t="str">
        <f t="shared" ca="1" si="94"/>
        <v>11 years, 10 months</v>
      </c>
      <c r="N1515" s="6">
        <v>1</v>
      </c>
      <c r="O1515">
        <v>42</v>
      </c>
      <c r="P1515">
        <v>197</v>
      </c>
      <c r="Q1515">
        <f t="shared" si="95"/>
        <v>239</v>
      </c>
      <c r="R1515">
        <v>4</v>
      </c>
      <c r="S1515">
        <v>9</v>
      </c>
      <c r="T1515">
        <f>Table[[#This Row],[NumWebPurchases]]+Table[[#This Row],[NumStorePurchases]]</f>
        <v>13</v>
      </c>
    </row>
    <row r="1516" spans="1:20" ht="12.5">
      <c r="A1516" s="6">
        <v>1514</v>
      </c>
      <c r="B1516" s="6">
        <v>3865</v>
      </c>
      <c r="C1516" s="6">
        <v>1977</v>
      </c>
      <c r="D1516" s="6">
        <f t="shared" si="92"/>
        <v>48</v>
      </c>
      <c r="E1516" s="7" t="s">
        <v>17</v>
      </c>
      <c r="F1516" s="7" t="s">
        <v>11</v>
      </c>
      <c r="G1516" s="6">
        <v>20981</v>
      </c>
      <c r="H1516" s="6" t="str" cm="1">
        <f t="array" ref="H1516">_xlfn.IFS(
  G1516 &lt; 25000, "Low",
  AND(G1516 &gt;= 25000, G1516 &lt; 75000), "Medium",
  AND(G1516 &gt;= 75000, G1516 &lt; 150000), "High",
  G1516 &gt;= 150000, "Very High"
)</f>
        <v>Low</v>
      </c>
      <c r="I1516" s="6">
        <v>0</v>
      </c>
      <c r="J1516" s="6">
        <v>0</v>
      </c>
      <c r="K1516" s="6">
        <f t="shared" si="93"/>
        <v>0</v>
      </c>
      <c r="L1516" s="8">
        <v>41394</v>
      </c>
      <c r="M1516" t="str">
        <f t="shared" ca="1" si="94"/>
        <v>12 years, 10 months</v>
      </c>
      <c r="N1516" s="6">
        <v>14</v>
      </c>
      <c r="O1516">
        <v>12</v>
      </c>
      <c r="P1516">
        <v>13</v>
      </c>
      <c r="Q1516">
        <f t="shared" si="95"/>
        <v>25</v>
      </c>
      <c r="R1516">
        <v>3</v>
      </c>
      <c r="S1516">
        <v>2</v>
      </c>
      <c r="T1516">
        <f>Table[[#This Row],[NumWebPurchases]]+Table[[#This Row],[NumStorePurchases]]</f>
        <v>5</v>
      </c>
    </row>
    <row r="1517" spans="1:20" ht="12.5">
      <c r="A1517" s="6">
        <v>1515</v>
      </c>
      <c r="B1517" s="6">
        <v>2853</v>
      </c>
      <c r="C1517" s="6">
        <v>1980</v>
      </c>
      <c r="D1517" s="6">
        <f t="shared" si="92"/>
        <v>45</v>
      </c>
      <c r="E1517" s="7" t="s">
        <v>9</v>
      </c>
      <c r="F1517" s="7" t="s">
        <v>10</v>
      </c>
      <c r="G1517" s="6">
        <v>51766</v>
      </c>
      <c r="H1517" s="6" t="str" cm="1">
        <f t="array" ref="H1517">_xlfn.IFS(
  G1517 &lt; 25000, "Low",
  AND(G1517 &gt;= 25000, G1517 &lt; 75000), "Medium",
  AND(G1517 &gt;= 75000, G1517 &lt; 150000), "High",
  G1517 &gt;= 150000, "Very High"
)</f>
        <v>Medium</v>
      </c>
      <c r="I1517" s="6">
        <v>1</v>
      </c>
      <c r="J1517" s="6">
        <v>0</v>
      </c>
      <c r="K1517" s="6">
        <f t="shared" si="93"/>
        <v>1</v>
      </c>
      <c r="L1517" s="8">
        <v>41709</v>
      </c>
      <c r="M1517" t="str">
        <f t="shared" ca="1" si="94"/>
        <v>11 years, 11 months</v>
      </c>
      <c r="N1517" s="6">
        <v>74</v>
      </c>
      <c r="O1517">
        <v>51</v>
      </c>
      <c r="P1517">
        <v>20</v>
      </c>
      <c r="Q1517">
        <f t="shared" si="95"/>
        <v>71</v>
      </c>
      <c r="R1517">
        <v>4</v>
      </c>
      <c r="S1517">
        <v>4</v>
      </c>
      <c r="T1517">
        <f>Table[[#This Row],[NumWebPurchases]]+Table[[#This Row],[NumStorePurchases]]</f>
        <v>8</v>
      </c>
    </row>
    <row r="1518" spans="1:20" ht="12.5">
      <c r="A1518" s="6">
        <v>1516</v>
      </c>
      <c r="B1518" s="6">
        <v>1490</v>
      </c>
      <c r="C1518" s="6">
        <v>1962</v>
      </c>
      <c r="D1518" s="6">
        <f t="shared" si="92"/>
        <v>63</v>
      </c>
      <c r="E1518" s="7" t="s">
        <v>9</v>
      </c>
      <c r="F1518" s="7" t="s">
        <v>13</v>
      </c>
      <c r="G1518" s="6">
        <v>55759</v>
      </c>
      <c r="H1518" s="6" t="str" cm="1">
        <f t="array" ref="H1518">_xlfn.IFS(
  G1518 &lt; 25000, "Low",
  AND(G1518 &gt;= 25000, G1518 &lt; 75000), "Medium",
  AND(G1518 &gt;= 75000, G1518 &lt; 150000), "High",
  G1518 &gt;= 150000, "Very High"
)</f>
        <v>Medium</v>
      </c>
      <c r="I1518" s="6">
        <v>0</v>
      </c>
      <c r="J1518" s="6">
        <v>1</v>
      </c>
      <c r="K1518" s="6">
        <f t="shared" si="93"/>
        <v>1</v>
      </c>
      <c r="L1518" s="9">
        <v>41241</v>
      </c>
      <c r="M1518" t="str">
        <f t="shared" ca="1" si="94"/>
        <v>13 years, 3 months</v>
      </c>
      <c r="N1518" s="6">
        <v>84</v>
      </c>
      <c r="O1518">
        <v>0</v>
      </c>
      <c r="P1518">
        <v>7</v>
      </c>
      <c r="Q1518">
        <f t="shared" si="95"/>
        <v>7</v>
      </c>
      <c r="R1518">
        <v>10</v>
      </c>
      <c r="S1518">
        <v>8</v>
      </c>
      <c r="T1518">
        <f>Table[[#This Row],[NumWebPurchases]]+Table[[#This Row],[NumStorePurchases]]</f>
        <v>18</v>
      </c>
    </row>
    <row r="1519" spans="1:20" ht="12.5">
      <c r="A1519" s="6">
        <v>1517</v>
      </c>
      <c r="B1519" s="6">
        <v>6310</v>
      </c>
      <c r="C1519" s="6">
        <v>1978</v>
      </c>
      <c r="D1519" s="6">
        <f t="shared" si="92"/>
        <v>47</v>
      </c>
      <c r="E1519" s="7" t="s">
        <v>9</v>
      </c>
      <c r="F1519" s="7" t="s">
        <v>13</v>
      </c>
      <c r="G1519" s="6">
        <v>33039</v>
      </c>
      <c r="H1519" s="6" t="str" cm="1">
        <f t="array" ref="H1519">_xlfn.IFS(
  G1519 &lt; 25000, "Low",
  AND(G1519 &gt;= 25000, G1519 &lt; 75000), "Medium",
  AND(G1519 &gt;= 75000, G1519 &lt; 150000), "High",
  G1519 &gt;= 150000, "Very High"
)</f>
        <v>Medium</v>
      </c>
      <c r="I1519" s="6">
        <v>1</v>
      </c>
      <c r="J1519" s="6">
        <v>0</v>
      </c>
      <c r="K1519" s="6">
        <f t="shared" si="93"/>
        <v>1</v>
      </c>
      <c r="L1519" s="8">
        <v>41526</v>
      </c>
      <c r="M1519" t="str">
        <f t="shared" ca="1" si="94"/>
        <v>12 years, 5 months</v>
      </c>
      <c r="N1519" s="6">
        <v>4</v>
      </c>
      <c r="O1519">
        <v>8</v>
      </c>
      <c r="P1519">
        <v>8</v>
      </c>
      <c r="Q1519">
        <f t="shared" si="95"/>
        <v>16</v>
      </c>
      <c r="R1519">
        <v>2</v>
      </c>
      <c r="S1519">
        <v>4</v>
      </c>
      <c r="T1519">
        <f>Table[[#This Row],[NumWebPurchases]]+Table[[#This Row],[NumStorePurchases]]</f>
        <v>6</v>
      </c>
    </row>
    <row r="1520" spans="1:20" ht="12.5">
      <c r="A1520" s="6">
        <v>1518</v>
      </c>
      <c r="B1520" s="6">
        <v>10380</v>
      </c>
      <c r="C1520" s="6">
        <v>1972</v>
      </c>
      <c r="D1520" s="6">
        <f t="shared" si="92"/>
        <v>53</v>
      </c>
      <c r="E1520" s="7" t="s">
        <v>14</v>
      </c>
      <c r="F1520" s="7" t="s">
        <v>13</v>
      </c>
      <c r="G1520" s="6">
        <v>37787</v>
      </c>
      <c r="H1520" s="6" t="str" cm="1">
        <f t="array" ref="H1520">_xlfn.IFS(
  G1520 &lt; 25000, "Low",
  AND(G1520 &gt;= 25000, G1520 &lt; 75000), "Medium",
  AND(G1520 &gt;= 75000, G1520 &lt; 150000), "High",
  G1520 &gt;= 150000, "Very High"
)</f>
        <v>Medium</v>
      </c>
      <c r="I1520" s="6">
        <v>1</v>
      </c>
      <c r="J1520" s="6">
        <v>0</v>
      </c>
      <c r="K1520" s="6">
        <f t="shared" si="93"/>
        <v>1</v>
      </c>
      <c r="L1520" s="8">
        <v>41537</v>
      </c>
      <c r="M1520" t="str">
        <f t="shared" ca="1" si="94"/>
        <v>12 years, 5 months</v>
      </c>
      <c r="N1520" s="6">
        <v>50</v>
      </c>
      <c r="O1520">
        <v>1</v>
      </c>
      <c r="P1520">
        <v>3</v>
      </c>
      <c r="Q1520">
        <f t="shared" si="95"/>
        <v>4</v>
      </c>
      <c r="R1520">
        <v>3</v>
      </c>
      <c r="S1520">
        <v>3</v>
      </c>
      <c r="T1520">
        <f>Table[[#This Row],[NumWebPurchases]]+Table[[#This Row],[NumStorePurchases]]</f>
        <v>6</v>
      </c>
    </row>
    <row r="1521" spans="1:20" ht="12.5">
      <c r="A1521" s="6">
        <v>1519</v>
      </c>
      <c r="B1521" s="6">
        <v>3887</v>
      </c>
      <c r="C1521" s="6">
        <v>1970</v>
      </c>
      <c r="D1521" s="6">
        <f t="shared" si="92"/>
        <v>55</v>
      </c>
      <c r="E1521" s="7" t="s">
        <v>9</v>
      </c>
      <c r="F1521" s="7" t="s">
        <v>10</v>
      </c>
      <c r="G1521" s="6">
        <v>27242</v>
      </c>
      <c r="H1521" s="6" t="str" cm="1">
        <f t="array" ref="H1521">_xlfn.IFS(
  G1521 &lt; 25000, "Low",
  AND(G1521 &gt;= 25000, G1521 &lt; 75000), "Medium",
  AND(G1521 &gt;= 75000, G1521 &lt; 150000), "High",
  G1521 &gt;= 150000, "Very High"
)</f>
        <v>Medium</v>
      </c>
      <c r="I1521" s="6">
        <v>1</v>
      </c>
      <c r="J1521" s="6">
        <v>0</v>
      </c>
      <c r="K1521" s="6">
        <f t="shared" si="93"/>
        <v>1</v>
      </c>
      <c r="L1521" s="9">
        <v>41224</v>
      </c>
      <c r="M1521" t="str">
        <f t="shared" ca="1" si="94"/>
        <v>13 years, 3 months</v>
      </c>
      <c r="N1521" s="6">
        <v>2</v>
      </c>
      <c r="O1521">
        <v>17</v>
      </c>
      <c r="P1521">
        <v>1</v>
      </c>
      <c r="Q1521">
        <f t="shared" si="95"/>
        <v>18</v>
      </c>
      <c r="R1521">
        <v>2</v>
      </c>
      <c r="S1521">
        <v>3</v>
      </c>
      <c r="T1521">
        <f>Table[[#This Row],[NumWebPurchases]]+Table[[#This Row],[NumStorePurchases]]</f>
        <v>5</v>
      </c>
    </row>
    <row r="1522" spans="1:20" ht="12.5">
      <c r="A1522" s="6">
        <v>1520</v>
      </c>
      <c r="B1522" s="6">
        <v>4278</v>
      </c>
      <c r="C1522" s="6">
        <v>1983</v>
      </c>
      <c r="D1522" s="6">
        <f t="shared" si="92"/>
        <v>42</v>
      </c>
      <c r="E1522" s="7" t="s">
        <v>12</v>
      </c>
      <c r="F1522" s="7" t="s">
        <v>10</v>
      </c>
      <c r="G1522" s="6">
        <v>87188</v>
      </c>
      <c r="H1522" s="6" t="str" cm="1">
        <f t="array" ref="H1522">_xlfn.IFS(
  G1522 &lt; 25000, "Low",
  AND(G1522 &gt;= 25000, G1522 &lt; 75000), "Medium",
  AND(G1522 &gt;= 75000, G1522 &lt; 150000), "High",
  G1522 &gt;= 150000, "Very High"
)</f>
        <v>High</v>
      </c>
      <c r="I1522" s="6">
        <v>0</v>
      </c>
      <c r="J1522" s="6">
        <v>0</v>
      </c>
      <c r="K1522" s="6">
        <f t="shared" si="93"/>
        <v>0</v>
      </c>
      <c r="L1522" s="8">
        <v>41428</v>
      </c>
      <c r="M1522" t="str">
        <f t="shared" ca="1" si="94"/>
        <v>12 years, 9 months</v>
      </c>
      <c r="N1522" s="6">
        <v>73</v>
      </c>
      <c r="O1522">
        <v>111</v>
      </c>
      <c r="P1522">
        <v>74</v>
      </c>
      <c r="Q1522">
        <f t="shared" si="95"/>
        <v>185</v>
      </c>
      <c r="R1522">
        <v>10</v>
      </c>
      <c r="S1522">
        <v>6</v>
      </c>
      <c r="T1522">
        <f>Table[[#This Row],[NumWebPurchases]]+Table[[#This Row],[NumStorePurchases]]</f>
        <v>16</v>
      </c>
    </row>
    <row r="1523" spans="1:20" ht="12.5">
      <c r="A1523" s="6">
        <v>1521</v>
      </c>
      <c r="B1523" s="6">
        <v>8643</v>
      </c>
      <c r="C1523" s="6">
        <v>1971</v>
      </c>
      <c r="D1523" s="6">
        <f t="shared" si="92"/>
        <v>54</v>
      </c>
      <c r="E1523" s="7" t="s">
        <v>9</v>
      </c>
      <c r="F1523" s="7" t="s">
        <v>11</v>
      </c>
      <c r="G1523" s="6">
        <v>69930</v>
      </c>
      <c r="H1523" s="6" t="str" cm="1">
        <f t="array" ref="H1523">_xlfn.IFS(
  G1523 &lt; 25000, "Low",
  AND(G1523 &gt;= 25000, G1523 &lt; 75000), "Medium",
  AND(G1523 &gt;= 75000, G1523 &lt; 150000), "High",
  G1523 &gt;= 150000, "Very High"
)</f>
        <v>Medium</v>
      </c>
      <c r="I1523" s="6">
        <v>0</v>
      </c>
      <c r="J1523" s="6">
        <v>0</v>
      </c>
      <c r="K1523" s="6">
        <f t="shared" si="93"/>
        <v>0</v>
      </c>
      <c r="L1523" s="8">
        <v>41420</v>
      </c>
      <c r="M1523" t="str">
        <f t="shared" ca="1" si="94"/>
        <v>12 years, 9 months</v>
      </c>
      <c r="N1523" s="6">
        <v>21</v>
      </c>
      <c r="O1523">
        <v>98</v>
      </c>
      <c r="P1523">
        <v>70</v>
      </c>
      <c r="Q1523">
        <f t="shared" si="95"/>
        <v>168</v>
      </c>
      <c r="R1523">
        <v>4</v>
      </c>
      <c r="S1523">
        <v>12</v>
      </c>
      <c r="T1523">
        <f>Table[[#This Row],[NumWebPurchases]]+Table[[#This Row],[NumStorePurchases]]</f>
        <v>16</v>
      </c>
    </row>
    <row r="1524" spans="1:20" ht="12.5">
      <c r="A1524" s="6">
        <v>1522</v>
      </c>
      <c r="B1524" s="6">
        <v>1998</v>
      </c>
      <c r="C1524" s="6">
        <v>1976</v>
      </c>
      <c r="D1524" s="6">
        <f t="shared" si="92"/>
        <v>49</v>
      </c>
      <c r="E1524" s="7" t="s">
        <v>9</v>
      </c>
      <c r="F1524" s="7" t="s">
        <v>10</v>
      </c>
      <c r="G1524" s="6">
        <v>37697</v>
      </c>
      <c r="H1524" s="6" t="str" cm="1">
        <f t="array" ref="H1524">_xlfn.IFS(
  G1524 &lt; 25000, "Low",
  AND(G1524 &gt;= 25000, G1524 &lt; 75000), "Medium",
  AND(G1524 &gt;= 75000, G1524 &lt; 150000), "High",
  G1524 &gt;= 150000, "Very High"
)</f>
        <v>Medium</v>
      </c>
      <c r="I1524" s="6">
        <v>1</v>
      </c>
      <c r="J1524" s="6">
        <v>0</v>
      </c>
      <c r="K1524" s="6">
        <f t="shared" si="93"/>
        <v>1</v>
      </c>
      <c r="L1524" s="8">
        <v>41677</v>
      </c>
      <c r="M1524" t="str">
        <f t="shared" ca="1" si="94"/>
        <v>12 years, 0 months</v>
      </c>
      <c r="N1524" s="6">
        <v>82</v>
      </c>
      <c r="O1524">
        <v>6</v>
      </c>
      <c r="P1524">
        <v>4</v>
      </c>
      <c r="Q1524">
        <f t="shared" si="95"/>
        <v>10</v>
      </c>
      <c r="R1524">
        <v>2</v>
      </c>
      <c r="S1524">
        <v>3</v>
      </c>
      <c r="T1524">
        <f>Table[[#This Row],[NumWebPurchases]]+Table[[#This Row],[NumStorePurchases]]</f>
        <v>5</v>
      </c>
    </row>
    <row r="1525" spans="1:20" ht="12.5">
      <c r="A1525" s="6">
        <v>1523</v>
      </c>
      <c r="B1525" s="6">
        <v>10795</v>
      </c>
      <c r="C1525" s="6">
        <v>1973</v>
      </c>
      <c r="D1525" s="6">
        <f t="shared" si="92"/>
        <v>52</v>
      </c>
      <c r="E1525" s="7" t="s">
        <v>12</v>
      </c>
      <c r="F1525" s="7" t="s">
        <v>13</v>
      </c>
      <c r="G1525" s="6">
        <v>37401</v>
      </c>
      <c r="H1525" s="6" t="str" cm="1">
        <f t="array" ref="H1525">_xlfn.IFS(
  G1525 &lt; 25000, "Low",
  AND(G1525 &gt;= 25000, G1525 &lt; 75000), "Medium",
  AND(G1525 &gt;= 75000, G1525 &lt; 150000), "High",
  G1525 &gt;= 150000, "Very High"
)</f>
        <v>Medium</v>
      </c>
      <c r="I1525" s="6">
        <v>1</v>
      </c>
      <c r="J1525" s="6">
        <v>0</v>
      </c>
      <c r="K1525" s="6">
        <f t="shared" si="93"/>
        <v>1</v>
      </c>
      <c r="L1525" s="8">
        <v>41765</v>
      </c>
      <c r="M1525" t="str">
        <f t="shared" ca="1" si="94"/>
        <v>11 years, 10 months</v>
      </c>
      <c r="N1525" s="6">
        <v>14</v>
      </c>
      <c r="O1525">
        <v>3</v>
      </c>
      <c r="P1525">
        <v>1</v>
      </c>
      <c r="Q1525">
        <f t="shared" si="95"/>
        <v>4</v>
      </c>
      <c r="R1525">
        <v>2</v>
      </c>
      <c r="S1525">
        <v>3</v>
      </c>
      <c r="T1525">
        <f>Table[[#This Row],[NumWebPurchases]]+Table[[#This Row],[NumStorePurchases]]</f>
        <v>5</v>
      </c>
    </row>
    <row r="1526" spans="1:20" ht="12.5">
      <c r="A1526" s="6">
        <v>1524</v>
      </c>
      <c r="B1526" s="6">
        <v>11110</v>
      </c>
      <c r="C1526" s="6">
        <v>1973</v>
      </c>
      <c r="D1526" s="6">
        <f t="shared" si="92"/>
        <v>52</v>
      </c>
      <c r="E1526" s="7" t="s">
        <v>9</v>
      </c>
      <c r="F1526" s="7" t="s">
        <v>10</v>
      </c>
      <c r="G1526" s="6">
        <v>3502</v>
      </c>
      <c r="H1526" s="6" t="str" cm="1">
        <f t="array" ref="H1526">_xlfn.IFS(
  G1526 &lt; 25000, "Low",
  AND(G1526 &gt;= 25000, G1526 &lt; 75000), "Medium",
  AND(G1526 &gt;= 75000, G1526 &lt; 150000), "High",
  G1526 &gt;= 150000, "Very High"
)</f>
        <v>Low</v>
      </c>
      <c r="I1526" s="6">
        <v>1</v>
      </c>
      <c r="J1526" s="6">
        <v>0</v>
      </c>
      <c r="K1526" s="6">
        <f t="shared" si="93"/>
        <v>1</v>
      </c>
      <c r="L1526" s="8">
        <v>41377</v>
      </c>
      <c r="M1526" t="str">
        <f t="shared" ca="1" si="94"/>
        <v>12 years, 10 months</v>
      </c>
      <c r="N1526" s="6">
        <v>56</v>
      </c>
      <c r="O1526">
        <v>1</v>
      </c>
      <c r="P1526">
        <v>0</v>
      </c>
      <c r="Q1526">
        <f t="shared" si="95"/>
        <v>1</v>
      </c>
      <c r="R1526">
        <v>0</v>
      </c>
      <c r="S1526">
        <v>0</v>
      </c>
      <c r="T1526">
        <f>Table[[#This Row],[NumWebPurchases]]+Table[[#This Row],[NumStorePurchases]]</f>
        <v>0</v>
      </c>
    </row>
    <row r="1527" spans="1:20" ht="12.5">
      <c r="A1527" s="6">
        <v>1525</v>
      </c>
      <c r="B1527" s="6">
        <v>2408</v>
      </c>
      <c r="C1527" s="6">
        <v>1976</v>
      </c>
      <c r="D1527" s="6">
        <f t="shared" si="92"/>
        <v>49</v>
      </c>
      <c r="E1527" s="7" t="s">
        <v>9</v>
      </c>
      <c r="F1527" s="7" t="s">
        <v>13</v>
      </c>
      <c r="G1527" s="6">
        <v>58597</v>
      </c>
      <c r="H1527" s="6" t="str" cm="1">
        <f t="array" ref="H1527">_xlfn.IFS(
  G1527 &lt; 25000, "Low",
  AND(G1527 &gt;= 25000, G1527 &lt; 75000), "Medium",
  AND(G1527 &gt;= 75000, G1527 &lt; 150000), "High",
  G1527 &gt;= 150000, "Very High"
)</f>
        <v>Medium</v>
      </c>
      <c r="I1527" s="6">
        <v>1</v>
      </c>
      <c r="J1527" s="6">
        <v>1</v>
      </c>
      <c r="K1527" s="6">
        <f t="shared" si="93"/>
        <v>2</v>
      </c>
      <c r="L1527" s="9">
        <v>41233</v>
      </c>
      <c r="M1527" t="str">
        <f t="shared" ca="1" si="94"/>
        <v>13 years, 3 months</v>
      </c>
      <c r="N1527" s="6">
        <v>20</v>
      </c>
      <c r="O1527">
        <v>0</v>
      </c>
      <c r="P1527">
        <v>28</v>
      </c>
      <c r="Q1527">
        <f t="shared" si="95"/>
        <v>28</v>
      </c>
      <c r="R1527">
        <v>7</v>
      </c>
      <c r="S1527">
        <v>9</v>
      </c>
      <c r="T1527">
        <f>Table[[#This Row],[NumWebPurchases]]+Table[[#This Row],[NumStorePurchases]]</f>
        <v>16</v>
      </c>
    </row>
    <row r="1528" spans="1:20" ht="12.5">
      <c r="A1528" s="6">
        <v>1526</v>
      </c>
      <c r="B1528" s="6">
        <v>202</v>
      </c>
      <c r="C1528" s="6">
        <v>1948</v>
      </c>
      <c r="D1528" s="6">
        <f t="shared" si="92"/>
        <v>77</v>
      </c>
      <c r="E1528" s="7" t="s">
        <v>12</v>
      </c>
      <c r="F1528" s="7" t="s">
        <v>18</v>
      </c>
      <c r="G1528" s="6">
        <v>82032</v>
      </c>
      <c r="H1528" s="6" t="str" cm="1">
        <f t="array" ref="H1528">_xlfn.IFS(
  G1528 &lt; 25000, "Low",
  AND(G1528 &gt;= 25000, G1528 &lt; 75000), "Medium",
  AND(G1528 &gt;= 75000, G1528 &lt; 150000), "High",
  G1528 &gt;= 150000, "Very High"
)</f>
        <v>High</v>
      </c>
      <c r="I1528" s="6">
        <v>0</v>
      </c>
      <c r="J1528" s="6">
        <v>0</v>
      </c>
      <c r="K1528" s="6">
        <f t="shared" si="93"/>
        <v>0</v>
      </c>
      <c r="L1528" s="8">
        <v>41734</v>
      </c>
      <c r="M1528" t="str">
        <f t="shared" ca="1" si="94"/>
        <v>11 years, 11 months</v>
      </c>
      <c r="N1528" s="6">
        <v>54</v>
      </c>
      <c r="O1528">
        <v>194</v>
      </c>
      <c r="P1528">
        <v>125</v>
      </c>
      <c r="Q1528">
        <f t="shared" si="95"/>
        <v>319</v>
      </c>
      <c r="R1528">
        <v>4</v>
      </c>
      <c r="S1528">
        <v>7</v>
      </c>
      <c r="T1528">
        <f>Table[[#This Row],[NumWebPurchases]]+Table[[#This Row],[NumStorePurchases]]</f>
        <v>11</v>
      </c>
    </row>
    <row r="1529" spans="1:20" ht="12.5">
      <c r="A1529" s="6">
        <v>1527</v>
      </c>
      <c r="B1529" s="6">
        <v>7998</v>
      </c>
      <c r="C1529" s="6">
        <v>1958</v>
      </c>
      <c r="D1529" s="6">
        <f t="shared" si="92"/>
        <v>67</v>
      </c>
      <c r="E1529" s="7" t="s">
        <v>9</v>
      </c>
      <c r="F1529" s="7" t="s">
        <v>11</v>
      </c>
      <c r="G1529" s="6">
        <v>28087</v>
      </c>
      <c r="H1529" s="6" t="str" cm="1">
        <f t="array" ref="H1529">_xlfn.IFS(
  G1529 &lt; 25000, "Low",
  AND(G1529 &gt;= 25000, G1529 &lt; 75000), "Medium",
  AND(G1529 &gt;= 75000, G1529 &lt; 150000), "High",
  G1529 &gt;= 150000, "Very High"
)</f>
        <v>Medium</v>
      </c>
      <c r="I1529" s="6">
        <v>1</v>
      </c>
      <c r="J1529" s="6">
        <v>1</v>
      </c>
      <c r="K1529" s="6">
        <f t="shared" si="93"/>
        <v>2</v>
      </c>
      <c r="L1529" s="9">
        <v>41254</v>
      </c>
      <c r="M1529" t="str">
        <f t="shared" ca="1" si="94"/>
        <v>13 years, 2 months</v>
      </c>
      <c r="N1529" s="6">
        <v>77</v>
      </c>
      <c r="O1529">
        <v>8</v>
      </c>
      <c r="P1529">
        <v>0</v>
      </c>
      <c r="Q1529">
        <f t="shared" si="95"/>
        <v>8</v>
      </c>
      <c r="R1529">
        <v>2</v>
      </c>
      <c r="S1529">
        <v>2</v>
      </c>
      <c r="T1529">
        <f>Table[[#This Row],[NumWebPurchases]]+Table[[#This Row],[NumStorePurchases]]</f>
        <v>4</v>
      </c>
    </row>
    <row r="1530" spans="1:20" ht="12.5">
      <c r="A1530" s="6">
        <v>1528</v>
      </c>
      <c r="B1530" s="6">
        <v>830</v>
      </c>
      <c r="C1530" s="6">
        <v>1987</v>
      </c>
      <c r="D1530" s="6">
        <f t="shared" si="92"/>
        <v>38</v>
      </c>
      <c r="E1530" s="7" t="s">
        <v>12</v>
      </c>
      <c r="F1530" s="7" t="s">
        <v>10</v>
      </c>
      <c r="G1530" s="6">
        <v>74004</v>
      </c>
      <c r="H1530" s="6" t="str" cm="1">
        <f t="array" ref="H1530">_xlfn.IFS(
  G1530 &lt; 25000, "Low",
  AND(G1530 &gt;= 25000, G1530 &lt; 75000), "Medium",
  AND(G1530 &gt;= 75000, G1530 &lt; 150000), "High",
  G1530 &gt;= 150000, "Very High"
)</f>
        <v>Medium</v>
      </c>
      <c r="I1530" s="6">
        <v>0</v>
      </c>
      <c r="J1530" s="6">
        <v>0</v>
      </c>
      <c r="K1530" s="6">
        <f t="shared" si="93"/>
        <v>0</v>
      </c>
      <c r="L1530" s="8">
        <v>41694</v>
      </c>
      <c r="M1530" t="str">
        <f t="shared" ca="1" si="94"/>
        <v>12 years, 0 months</v>
      </c>
      <c r="N1530" s="6">
        <v>5</v>
      </c>
      <c r="O1530">
        <v>48</v>
      </c>
      <c r="P1530">
        <v>176</v>
      </c>
      <c r="Q1530">
        <f t="shared" si="95"/>
        <v>224</v>
      </c>
      <c r="R1530">
        <v>4</v>
      </c>
      <c r="S1530">
        <v>4</v>
      </c>
      <c r="T1530">
        <f>Table[[#This Row],[NumWebPurchases]]+Table[[#This Row],[NumStorePurchases]]</f>
        <v>8</v>
      </c>
    </row>
    <row r="1531" spans="1:20" ht="12.5">
      <c r="A1531" s="6">
        <v>1529</v>
      </c>
      <c r="B1531" s="6">
        <v>3536</v>
      </c>
      <c r="C1531" s="6">
        <v>1960</v>
      </c>
      <c r="D1531" s="6">
        <f t="shared" si="92"/>
        <v>65</v>
      </c>
      <c r="E1531" s="7" t="s">
        <v>9</v>
      </c>
      <c r="F1531" s="7" t="s">
        <v>11</v>
      </c>
      <c r="G1531" s="6">
        <v>19740</v>
      </c>
      <c r="H1531" s="6" t="str" cm="1">
        <f t="array" ref="H1531">_xlfn.IFS(
  G1531 &lt; 25000, "Low",
  AND(G1531 &gt;= 25000, G1531 &lt; 75000), "Medium",
  AND(G1531 &gt;= 75000, G1531 &lt; 150000), "High",
  G1531 &gt;= 150000, "Very High"
)</f>
        <v>Low</v>
      </c>
      <c r="I1531" s="6">
        <v>0</v>
      </c>
      <c r="J1531" s="6">
        <v>1</v>
      </c>
      <c r="K1531" s="6">
        <f t="shared" si="93"/>
        <v>1</v>
      </c>
      <c r="L1531" s="8">
        <v>41357</v>
      </c>
      <c r="M1531" t="str">
        <f t="shared" ca="1" si="94"/>
        <v>12 years, 11 months</v>
      </c>
      <c r="N1531" s="6">
        <v>65</v>
      </c>
      <c r="O1531">
        <v>11</v>
      </c>
      <c r="P1531">
        <v>4</v>
      </c>
      <c r="Q1531">
        <f t="shared" si="95"/>
        <v>15</v>
      </c>
      <c r="R1531">
        <v>1</v>
      </c>
      <c r="S1531">
        <v>3</v>
      </c>
      <c r="T1531">
        <f>Table[[#This Row],[NumWebPurchases]]+Table[[#This Row],[NumStorePurchases]]</f>
        <v>4</v>
      </c>
    </row>
    <row r="1532" spans="1:20" ht="12.5">
      <c r="A1532" s="6">
        <v>1530</v>
      </c>
      <c r="B1532" s="6">
        <v>6050</v>
      </c>
      <c r="C1532" s="6">
        <v>1975</v>
      </c>
      <c r="D1532" s="6">
        <f t="shared" si="92"/>
        <v>50</v>
      </c>
      <c r="E1532" s="7" t="s">
        <v>17</v>
      </c>
      <c r="F1532" s="7" t="s">
        <v>13</v>
      </c>
      <c r="G1532" s="6">
        <v>57036</v>
      </c>
      <c r="H1532" s="6" t="str" cm="1">
        <f t="array" ref="H1532">_xlfn.IFS(
  G1532 &lt; 25000, "Low",
  AND(G1532 &gt;= 25000, G1532 &lt; 75000), "Medium",
  AND(G1532 &gt;= 75000, G1532 &lt; 150000), "High",
  G1532 &gt;= 150000, "Very High"
)</f>
        <v>Medium</v>
      </c>
      <c r="I1532" s="6">
        <v>0</v>
      </c>
      <c r="J1532" s="6">
        <v>1</v>
      </c>
      <c r="K1532" s="6">
        <f t="shared" si="93"/>
        <v>1</v>
      </c>
      <c r="L1532" s="9">
        <v>41254</v>
      </c>
      <c r="M1532" t="str">
        <f t="shared" ca="1" si="94"/>
        <v>13 years, 2 months</v>
      </c>
      <c r="N1532" s="6">
        <v>33</v>
      </c>
      <c r="O1532">
        <v>43</v>
      </c>
      <c r="P1532">
        <v>14</v>
      </c>
      <c r="Q1532">
        <f t="shared" si="95"/>
        <v>57</v>
      </c>
      <c r="R1532">
        <v>6</v>
      </c>
      <c r="S1532">
        <v>13</v>
      </c>
      <c r="T1532">
        <f>Table[[#This Row],[NumWebPurchases]]+Table[[#This Row],[NumStorePurchases]]</f>
        <v>19</v>
      </c>
    </row>
    <row r="1533" spans="1:20" ht="12.5">
      <c r="A1533" s="6">
        <v>1531</v>
      </c>
      <c r="B1533" s="6">
        <v>125</v>
      </c>
      <c r="C1533" s="6">
        <v>1958</v>
      </c>
      <c r="D1533" s="6">
        <f t="shared" si="92"/>
        <v>67</v>
      </c>
      <c r="E1533" s="7" t="s">
        <v>17</v>
      </c>
      <c r="F1533" s="7" t="s">
        <v>11</v>
      </c>
      <c r="G1533" s="6">
        <v>53083</v>
      </c>
      <c r="H1533" s="6" t="str" cm="1">
        <f t="array" ref="H1533">_xlfn.IFS(
  G1533 &lt; 25000, "Low",
  AND(G1533 &gt;= 25000, G1533 &lt; 75000), "Medium",
  AND(G1533 &gt;= 75000, G1533 &lt; 150000), "High",
  G1533 &gt;= 150000, "Very High"
)</f>
        <v>Medium</v>
      </c>
      <c r="I1533" s="6">
        <v>1</v>
      </c>
      <c r="J1533" s="6">
        <v>1</v>
      </c>
      <c r="K1533" s="6">
        <f t="shared" si="93"/>
        <v>2</v>
      </c>
      <c r="L1533" s="8">
        <v>41409</v>
      </c>
      <c r="M1533" t="str">
        <f t="shared" ca="1" si="94"/>
        <v>12 years, 9 months</v>
      </c>
      <c r="N1533" s="6">
        <v>65</v>
      </c>
      <c r="O1533">
        <v>7</v>
      </c>
      <c r="P1533">
        <v>0</v>
      </c>
      <c r="Q1533">
        <f t="shared" si="95"/>
        <v>7</v>
      </c>
      <c r="R1533">
        <v>5</v>
      </c>
      <c r="S1533">
        <v>5</v>
      </c>
      <c r="T1533">
        <f>Table[[#This Row],[NumWebPurchases]]+Table[[#This Row],[NumStorePurchases]]</f>
        <v>10</v>
      </c>
    </row>
    <row r="1534" spans="1:20" ht="12.5">
      <c r="A1534" s="6">
        <v>1532</v>
      </c>
      <c r="B1534" s="6">
        <v>3463</v>
      </c>
      <c r="C1534" s="6">
        <v>1975</v>
      </c>
      <c r="D1534" s="6">
        <f t="shared" si="92"/>
        <v>50</v>
      </c>
      <c r="E1534" s="7" t="s">
        <v>12</v>
      </c>
      <c r="F1534" s="7" t="s">
        <v>13</v>
      </c>
      <c r="G1534" s="6">
        <v>69283</v>
      </c>
      <c r="H1534" s="6" t="str" cm="1">
        <f t="array" ref="H1534">_xlfn.IFS(
  G1534 &lt; 25000, "Low",
  AND(G1534 &gt;= 25000, G1534 &lt; 75000), "Medium",
  AND(G1534 &gt;= 75000, G1534 &lt; 150000), "High",
  G1534 &gt;= 150000, "Very High"
)</f>
        <v>Medium</v>
      </c>
      <c r="I1534" s="6">
        <v>0</v>
      </c>
      <c r="J1534" s="6">
        <v>1</v>
      </c>
      <c r="K1534" s="6">
        <f t="shared" si="93"/>
        <v>1</v>
      </c>
      <c r="L1534" s="8">
        <v>41804</v>
      </c>
      <c r="M1534" t="str">
        <f t="shared" ca="1" si="94"/>
        <v>11 years, 8 months</v>
      </c>
      <c r="N1534" s="6">
        <v>41</v>
      </c>
      <c r="O1534">
        <v>62</v>
      </c>
      <c r="P1534">
        <v>26</v>
      </c>
      <c r="Q1534">
        <f t="shared" si="95"/>
        <v>88</v>
      </c>
      <c r="R1534">
        <v>7</v>
      </c>
      <c r="S1534">
        <v>13</v>
      </c>
      <c r="T1534">
        <f>Table[[#This Row],[NumWebPurchases]]+Table[[#This Row],[NumStorePurchases]]</f>
        <v>20</v>
      </c>
    </row>
    <row r="1535" spans="1:20" ht="12.5">
      <c r="A1535" s="6">
        <v>1533</v>
      </c>
      <c r="B1535" s="6">
        <v>2804</v>
      </c>
      <c r="C1535" s="6">
        <v>1975</v>
      </c>
      <c r="D1535" s="6">
        <f t="shared" si="92"/>
        <v>50</v>
      </c>
      <c r="E1535" s="7" t="s">
        <v>14</v>
      </c>
      <c r="F1535" s="7" t="s">
        <v>10</v>
      </c>
      <c r="G1535" s="6">
        <v>46098</v>
      </c>
      <c r="H1535" s="6" t="str" cm="1">
        <f t="array" ref="H1535">_xlfn.IFS(
  G1535 &lt; 25000, "Low",
  AND(G1535 &gt;= 25000, G1535 &lt; 75000), "Medium",
  AND(G1535 &gt;= 75000, G1535 &lt; 150000), "High",
  G1535 &gt;= 150000, "Very High"
)</f>
        <v>Medium</v>
      </c>
      <c r="I1535" s="6">
        <v>1</v>
      </c>
      <c r="J1535" s="6">
        <v>1</v>
      </c>
      <c r="K1535" s="6">
        <f t="shared" si="93"/>
        <v>2</v>
      </c>
      <c r="L1535" s="8">
        <v>41139</v>
      </c>
      <c r="M1535" t="str">
        <f t="shared" ca="1" si="94"/>
        <v>13 years, 6 months</v>
      </c>
      <c r="N1535" s="6">
        <v>86</v>
      </c>
      <c r="O1535">
        <v>0</v>
      </c>
      <c r="P1535">
        <v>0</v>
      </c>
      <c r="Q1535">
        <f t="shared" si="95"/>
        <v>0</v>
      </c>
      <c r="R1535">
        <v>3</v>
      </c>
      <c r="S1535">
        <v>2</v>
      </c>
      <c r="T1535">
        <f>Table[[#This Row],[NumWebPurchases]]+Table[[#This Row],[NumStorePurchases]]</f>
        <v>5</v>
      </c>
    </row>
    <row r="1536" spans="1:20" ht="12.5">
      <c r="A1536" s="6">
        <v>1534</v>
      </c>
      <c r="B1536" s="6">
        <v>3745</v>
      </c>
      <c r="C1536" s="6">
        <v>1988</v>
      </c>
      <c r="D1536" s="6">
        <f t="shared" si="92"/>
        <v>37</v>
      </c>
      <c r="E1536" s="7" t="s">
        <v>17</v>
      </c>
      <c r="F1536" s="7" t="s">
        <v>13</v>
      </c>
      <c r="G1536" s="6">
        <v>23331</v>
      </c>
      <c r="H1536" s="6" t="str" cm="1">
        <f t="array" ref="H1536">_xlfn.IFS(
  G1536 &lt; 25000, "Low",
  AND(G1536 &gt;= 25000, G1536 &lt; 75000), "Medium",
  AND(G1536 &gt;= 75000, G1536 &lt; 150000), "High",
  G1536 &gt;= 150000, "Very High"
)</f>
        <v>Low</v>
      </c>
      <c r="I1536" s="6">
        <v>1</v>
      </c>
      <c r="J1536" s="6">
        <v>0</v>
      </c>
      <c r="K1536" s="6">
        <f t="shared" si="93"/>
        <v>1</v>
      </c>
      <c r="L1536" s="8">
        <v>41156</v>
      </c>
      <c r="M1536" t="str">
        <f t="shared" ca="1" si="94"/>
        <v>13 years, 6 months</v>
      </c>
      <c r="N1536" s="6">
        <v>92</v>
      </c>
      <c r="O1536">
        <v>36</v>
      </c>
      <c r="P1536">
        <v>10</v>
      </c>
      <c r="Q1536">
        <f t="shared" si="95"/>
        <v>46</v>
      </c>
      <c r="R1536">
        <v>3</v>
      </c>
      <c r="S1536">
        <v>3</v>
      </c>
      <c r="T1536">
        <f>Table[[#This Row],[NumWebPurchases]]+Table[[#This Row],[NumStorePurchases]]</f>
        <v>6</v>
      </c>
    </row>
    <row r="1537" spans="1:20" ht="12.5">
      <c r="A1537" s="6">
        <v>1535</v>
      </c>
      <c r="B1537" s="6">
        <v>9771</v>
      </c>
      <c r="C1537" s="6">
        <v>1988</v>
      </c>
      <c r="D1537" s="6">
        <f t="shared" si="92"/>
        <v>37</v>
      </c>
      <c r="E1537" s="7" t="s">
        <v>17</v>
      </c>
      <c r="F1537" s="7" t="s">
        <v>10</v>
      </c>
      <c r="G1537" s="6">
        <v>23331</v>
      </c>
      <c r="H1537" s="6" t="str" cm="1">
        <f t="array" ref="H1537">_xlfn.IFS(
  G1537 &lt; 25000, "Low",
  AND(G1537 &gt;= 25000, G1537 &lt; 75000), "Medium",
  AND(G1537 &gt;= 75000, G1537 &lt; 150000), "High",
  G1537 &gt;= 150000, "Very High"
)</f>
        <v>Low</v>
      </c>
      <c r="I1537" s="6">
        <v>1</v>
      </c>
      <c r="J1537" s="6">
        <v>0</v>
      </c>
      <c r="K1537" s="6">
        <f t="shared" si="93"/>
        <v>1</v>
      </c>
      <c r="L1537" s="8">
        <v>41187</v>
      </c>
      <c r="M1537" t="str">
        <f t="shared" ca="1" si="94"/>
        <v>13 years, 5 months</v>
      </c>
      <c r="N1537" s="6">
        <v>97</v>
      </c>
      <c r="O1537">
        <v>20</v>
      </c>
      <c r="P1537">
        <v>15</v>
      </c>
      <c r="Q1537">
        <f t="shared" si="95"/>
        <v>35</v>
      </c>
      <c r="R1537">
        <v>5</v>
      </c>
      <c r="S1537">
        <v>5</v>
      </c>
      <c r="T1537">
        <f>Table[[#This Row],[NumWebPurchases]]+Table[[#This Row],[NumStorePurchases]]</f>
        <v>10</v>
      </c>
    </row>
    <row r="1538" spans="1:20" ht="12.5">
      <c r="A1538" s="6">
        <v>1536</v>
      </c>
      <c r="B1538" s="6">
        <v>451</v>
      </c>
      <c r="C1538" s="6">
        <v>1989</v>
      </c>
      <c r="D1538" s="6">
        <f t="shared" si="92"/>
        <v>36</v>
      </c>
      <c r="E1538" s="7" t="s">
        <v>9</v>
      </c>
      <c r="F1538" s="7" t="s">
        <v>10</v>
      </c>
      <c r="G1538" s="6">
        <v>9255</v>
      </c>
      <c r="H1538" s="6" t="str" cm="1">
        <f t="array" ref="H1538">_xlfn.IFS(
  G1538 &lt; 25000, "Low",
  AND(G1538 &gt;= 25000, G1538 &lt; 75000), "Medium",
  AND(G1538 &gt;= 75000, G1538 &lt; 150000), "High",
  G1538 &gt;= 150000, "Very High"
)</f>
        <v>Low</v>
      </c>
      <c r="I1538" s="6">
        <v>1</v>
      </c>
      <c r="J1538" s="6">
        <v>0</v>
      </c>
      <c r="K1538" s="6">
        <f t="shared" si="93"/>
        <v>1</v>
      </c>
      <c r="L1538" s="9">
        <v>41628</v>
      </c>
      <c r="M1538" t="str">
        <f t="shared" ca="1" si="94"/>
        <v>12 years, 2 months</v>
      </c>
      <c r="N1538" s="6">
        <v>91</v>
      </c>
      <c r="O1538">
        <v>0</v>
      </c>
      <c r="P1538">
        <v>0</v>
      </c>
      <c r="Q1538">
        <f t="shared" si="95"/>
        <v>0</v>
      </c>
      <c r="R1538">
        <v>1</v>
      </c>
      <c r="S1538">
        <v>2</v>
      </c>
      <c r="T1538">
        <f>Table[[#This Row],[NumWebPurchases]]+Table[[#This Row],[NumStorePurchases]]</f>
        <v>3</v>
      </c>
    </row>
    <row r="1539" spans="1:20" ht="12.5">
      <c r="A1539" s="6">
        <v>1537</v>
      </c>
      <c r="B1539" s="6">
        <v>10530</v>
      </c>
      <c r="C1539" s="6">
        <v>1959</v>
      </c>
      <c r="D1539" s="6">
        <f t="shared" ref="D1539:D1602" si="96">2025-C1539</f>
        <v>66</v>
      </c>
      <c r="E1539" s="7" t="s">
        <v>12</v>
      </c>
      <c r="F1539" s="7" t="s">
        <v>18</v>
      </c>
      <c r="G1539" s="6">
        <v>67786</v>
      </c>
      <c r="H1539" s="6" t="str" cm="1">
        <f t="array" ref="H1539">_xlfn.IFS(
  G1539 &lt; 25000, "Low",
  AND(G1539 &gt;= 25000, G1539 &lt; 75000), "Medium",
  AND(G1539 &gt;= 75000, G1539 &lt; 150000), "High",
  G1539 &gt;= 150000, "Very High"
)</f>
        <v>Medium</v>
      </c>
      <c r="I1539" s="6">
        <v>0</v>
      </c>
      <c r="J1539" s="6">
        <v>0</v>
      </c>
      <c r="K1539" s="6">
        <f t="shared" ref="K1539:K1602" si="97">I1539+J1539</f>
        <v>0</v>
      </c>
      <c r="L1539" s="8">
        <v>41615</v>
      </c>
      <c r="M1539" t="str">
        <f t="shared" ref="M1539:M1602" ca="1" si="98">DATEDIF(L1539, TODAY(), "Y") &amp; " years, " &amp; DATEDIF(L1539, TODAY(), "YM") &amp; " months"</f>
        <v>12 years, 2 months</v>
      </c>
      <c r="N1539" s="6">
        <v>0</v>
      </c>
      <c r="O1539">
        <v>82</v>
      </c>
      <c r="P1539">
        <v>20</v>
      </c>
      <c r="Q1539">
        <f t="shared" ref="Q1539:Q1602" si="99">O1539+P1539</f>
        <v>102</v>
      </c>
      <c r="R1539">
        <v>3</v>
      </c>
      <c r="S1539">
        <v>6</v>
      </c>
      <c r="T1539">
        <f>Table[[#This Row],[NumWebPurchases]]+Table[[#This Row],[NumStorePurchases]]</f>
        <v>9</v>
      </c>
    </row>
    <row r="1540" spans="1:20" ht="12.5">
      <c r="A1540" s="6">
        <v>1538</v>
      </c>
      <c r="B1540" s="6">
        <v>1079</v>
      </c>
      <c r="C1540" s="6">
        <v>1971</v>
      </c>
      <c r="D1540" s="6">
        <f t="shared" si="96"/>
        <v>54</v>
      </c>
      <c r="E1540" s="7" t="s">
        <v>12</v>
      </c>
      <c r="F1540" s="7" t="s">
        <v>13</v>
      </c>
      <c r="G1540" s="6">
        <v>71969</v>
      </c>
      <c r="H1540" s="6" t="str" cm="1">
        <f t="array" ref="H1540">_xlfn.IFS(
  G1540 &lt; 25000, "Low",
  AND(G1540 &gt;= 25000, G1540 &lt; 75000), "Medium",
  AND(G1540 &gt;= 75000, G1540 &lt; 150000), "High",
  G1540 &gt;= 150000, "Very High"
)</f>
        <v>Medium</v>
      </c>
      <c r="I1540" s="6">
        <v>0</v>
      </c>
      <c r="J1540" s="6">
        <v>1</v>
      </c>
      <c r="K1540" s="6">
        <f t="shared" si="97"/>
        <v>1</v>
      </c>
      <c r="L1540" s="9">
        <v>41198</v>
      </c>
      <c r="M1540" t="str">
        <f t="shared" ca="1" si="98"/>
        <v>13 years, 4 months</v>
      </c>
      <c r="N1540" s="6">
        <v>59</v>
      </c>
      <c r="O1540">
        <v>0</v>
      </c>
      <c r="P1540">
        <v>0</v>
      </c>
      <c r="Q1540">
        <f t="shared" si="99"/>
        <v>0</v>
      </c>
      <c r="R1540">
        <v>3</v>
      </c>
      <c r="S1540">
        <v>9</v>
      </c>
      <c r="T1540">
        <f>Table[[#This Row],[NumWebPurchases]]+Table[[#This Row],[NumStorePurchases]]</f>
        <v>12</v>
      </c>
    </row>
    <row r="1541" spans="1:20" ht="12.5">
      <c r="A1541" s="6">
        <v>1539</v>
      </c>
      <c r="B1541" s="6">
        <v>8920</v>
      </c>
      <c r="C1541" s="6">
        <v>1967</v>
      </c>
      <c r="D1541" s="6">
        <f t="shared" si="96"/>
        <v>58</v>
      </c>
      <c r="E1541" s="7" t="s">
        <v>14</v>
      </c>
      <c r="F1541" s="7" t="s">
        <v>10</v>
      </c>
      <c r="G1541" s="6">
        <v>59235</v>
      </c>
      <c r="H1541" s="6" t="str" cm="1">
        <f t="array" ref="H1541">_xlfn.IFS(
  G1541 &lt; 25000, "Low",
  AND(G1541 &gt;= 25000, G1541 &lt; 75000), "Medium",
  AND(G1541 &gt;= 75000, G1541 &lt; 150000), "High",
  G1541 &gt;= 150000, "Very High"
)</f>
        <v>Medium</v>
      </c>
      <c r="I1541" s="6">
        <v>1</v>
      </c>
      <c r="J1541" s="6">
        <v>0</v>
      </c>
      <c r="K1541" s="6">
        <f t="shared" si="97"/>
        <v>1</v>
      </c>
      <c r="L1541" s="8">
        <v>41286</v>
      </c>
      <c r="M1541" t="str">
        <f t="shared" ca="1" si="98"/>
        <v>13 years, 1 months</v>
      </c>
      <c r="N1541" s="6">
        <v>4</v>
      </c>
      <c r="O1541">
        <v>40</v>
      </c>
      <c r="P1541">
        <v>0</v>
      </c>
      <c r="Q1541">
        <f t="shared" si="99"/>
        <v>40</v>
      </c>
      <c r="R1541">
        <v>11</v>
      </c>
      <c r="S1541">
        <v>12</v>
      </c>
      <c r="T1541">
        <f>Table[[#This Row],[NumWebPurchases]]+Table[[#This Row],[NumStorePurchases]]</f>
        <v>23</v>
      </c>
    </row>
    <row r="1542" spans="1:20" ht="12.5">
      <c r="A1542" s="6">
        <v>1540</v>
      </c>
      <c r="B1542" s="6">
        <v>6678</v>
      </c>
      <c r="C1542" s="6">
        <v>1989</v>
      </c>
      <c r="D1542" s="6">
        <f t="shared" si="96"/>
        <v>36</v>
      </c>
      <c r="E1542" s="7" t="s">
        <v>9</v>
      </c>
      <c r="F1542" s="7" t="s">
        <v>11</v>
      </c>
      <c r="G1542" s="6">
        <v>31928</v>
      </c>
      <c r="H1542" s="6" t="str" cm="1">
        <f t="array" ref="H1542">_xlfn.IFS(
  G1542 &lt; 25000, "Low",
  AND(G1542 &gt;= 25000, G1542 &lt; 75000), "Medium",
  AND(G1542 &gt;= 75000, G1542 &lt; 150000), "High",
  G1542 &gt;= 150000, "Very High"
)</f>
        <v>Medium</v>
      </c>
      <c r="I1542" s="6">
        <v>1</v>
      </c>
      <c r="J1542" s="6">
        <v>0</v>
      </c>
      <c r="K1542" s="6">
        <f t="shared" si="97"/>
        <v>1</v>
      </c>
      <c r="L1542" s="8">
        <v>41726</v>
      </c>
      <c r="M1542" t="str">
        <f t="shared" ca="1" si="98"/>
        <v>11 years, 11 months</v>
      </c>
      <c r="N1542" s="6">
        <v>5</v>
      </c>
      <c r="O1542">
        <v>4</v>
      </c>
      <c r="P1542">
        <v>2</v>
      </c>
      <c r="Q1542">
        <f t="shared" si="99"/>
        <v>6</v>
      </c>
      <c r="R1542">
        <v>3</v>
      </c>
      <c r="S1542">
        <v>4</v>
      </c>
      <c r="T1542">
        <f>Table[[#This Row],[NumWebPurchases]]+Table[[#This Row],[NumStorePurchases]]</f>
        <v>7</v>
      </c>
    </row>
    <row r="1543" spans="1:20" ht="12.5">
      <c r="A1543" s="6">
        <v>1541</v>
      </c>
      <c r="B1543" s="6">
        <v>3852</v>
      </c>
      <c r="C1543" s="6">
        <v>1961</v>
      </c>
      <c r="D1543" s="6">
        <f t="shared" si="96"/>
        <v>64</v>
      </c>
      <c r="E1543" s="7" t="s">
        <v>14</v>
      </c>
      <c r="F1543" s="7" t="s">
        <v>11</v>
      </c>
      <c r="G1543" s="6">
        <v>74881</v>
      </c>
      <c r="H1543" s="6" t="str" cm="1">
        <f t="array" ref="H1543">_xlfn.IFS(
  G1543 &lt; 25000, "Low",
  AND(G1543 &gt;= 25000, G1543 &lt; 75000), "Medium",
  AND(G1543 &gt;= 75000, G1543 &lt; 150000), "High",
  G1543 &gt;= 150000, "Very High"
)</f>
        <v>Medium</v>
      </c>
      <c r="I1543" s="6">
        <v>1</v>
      </c>
      <c r="J1543" s="6">
        <v>1</v>
      </c>
      <c r="K1543" s="6">
        <f t="shared" si="97"/>
        <v>2</v>
      </c>
      <c r="L1543" s="8">
        <v>41341</v>
      </c>
      <c r="M1543" t="str">
        <f t="shared" ca="1" si="98"/>
        <v>12 years, 11 months</v>
      </c>
      <c r="N1543" s="6">
        <v>48</v>
      </c>
      <c r="O1543">
        <v>72</v>
      </c>
      <c r="P1543">
        <v>27</v>
      </c>
      <c r="Q1543">
        <f t="shared" si="99"/>
        <v>99</v>
      </c>
      <c r="R1543">
        <v>9</v>
      </c>
      <c r="S1543">
        <v>12</v>
      </c>
      <c r="T1543">
        <f>Table[[#This Row],[NumWebPurchases]]+Table[[#This Row],[NumStorePurchases]]</f>
        <v>21</v>
      </c>
    </row>
    <row r="1544" spans="1:20" ht="12.5">
      <c r="A1544" s="6">
        <v>1542</v>
      </c>
      <c r="B1544" s="6">
        <v>528</v>
      </c>
      <c r="C1544" s="6">
        <v>1978</v>
      </c>
      <c r="D1544" s="6">
        <f t="shared" si="96"/>
        <v>47</v>
      </c>
      <c r="E1544" s="7" t="s">
        <v>9</v>
      </c>
      <c r="F1544" s="7" t="s">
        <v>13</v>
      </c>
      <c r="G1544" s="6">
        <v>65819</v>
      </c>
      <c r="H1544" s="6" t="str" cm="1">
        <f t="array" ref="H1544">_xlfn.IFS(
  G1544 &lt; 25000, "Low",
  AND(G1544 &gt;= 25000, G1544 &lt; 75000), "Medium",
  AND(G1544 &gt;= 75000, G1544 &lt; 150000), "High",
  G1544 &gt;= 150000, "Very High"
)</f>
        <v>Medium</v>
      </c>
      <c r="I1544" s="6">
        <v>0</v>
      </c>
      <c r="J1544" s="6">
        <v>0</v>
      </c>
      <c r="K1544" s="6">
        <f t="shared" si="97"/>
        <v>0</v>
      </c>
      <c r="L1544" s="9">
        <v>41242</v>
      </c>
      <c r="M1544" t="str">
        <f t="shared" ca="1" si="98"/>
        <v>13 years, 3 months</v>
      </c>
      <c r="N1544" s="6">
        <v>99</v>
      </c>
      <c r="O1544">
        <v>38</v>
      </c>
      <c r="P1544">
        <v>165</v>
      </c>
      <c r="Q1544">
        <f t="shared" si="99"/>
        <v>203</v>
      </c>
      <c r="R1544">
        <v>5</v>
      </c>
      <c r="S1544">
        <v>10</v>
      </c>
      <c r="T1544">
        <f>Table[[#This Row],[NumWebPurchases]]+Table[[#This Row],[NumStorePurchases]]</f>
        <v>15</v>
      </c>
    </row>
    <row r="1545" spans="1:20" ht="12.5">
      <c r="A1545" s="6">
        <v>1543</v>
      </c>
      <c r="B1545" s="6">
        <v>73</v>
      </c>
      <c r="C1545" s="6">
        <v>1953</v>
      </c>
      <c r="D1545" s="6">
        <f t="shared" si="96"/>
        <v>72</v>
      </c>
      <c r="E1545" s="7" t="s">
        <v>12</v>
      </c>
      <c r="F1545" s="7" t="s">
        <v>10</v>
      </c>
      <c r="G1545" s="6">
        <v>51411</v>
      </c>
      <c r="H1545" s="6" t="str" cm="1">
        <f t="array" ref="H1545">_xlfn.IFS(
  G1545 &lt; 25000, "Low",
  AND(G1545 &gt;= 25000, G1545 &lt; 75000), "Medium",
  AND(G1545 &gt;= 75000, G1545 &lt; 150000), "High",
  G1545 &gt;= 150000, "Very High"
)</f>
        <v>Medium</v>
      </c>
      <c r="I1545" s="6">
        <v>1</v>
      </c>
      <c r="J1545" s="6">
        <v>2</v>
      </c>
      <c r="K1545" s="6">
        <f t="shared" si="97"/>
        <v>3</v>
      </c>
      <c r="L1545" s="8">
        <v>41420</v>
      </c>
      <c r="M1545" t="str">
        <f t="shared" ca="1" si="98"/>
        <v>12 years, 9 months</v>
      </c>
      <c r="N1545" s="6">
        <v>81</v>
      </c>
      <c r="O1545">
        <v>0</v>
      </c>
      <c r="P1545">
        <v>0</v>
      </c>
      <c r="Q1545">
        <f t="shared" si="99"/>
        <v>0</v>
      </c>
      <c r="R1545">
        <v>0</v>
      </c>
      <c r="S1545">
        <v>3</v>
      </c>
      <c r="T1545">
        <f>Table[[#This Row],[NumWebPurchases]]+Table[[#This Row],[NumStorePurchases]]</f>
        <v>3</v>
      </c>
    </row>
    <row r="1546" spans="1:20" ht="12.5">
      <c r="A1546" s="6">
        <v>1544</v>
      </c>
      <c r="B1546" s="6">
        <v>5589</v>
      </c>
      <c r="C1546" s="6">
        <v>1964</v>
      </c>
      <c r="D1546" s="6">
        <f t="shared" si="96"/>
        <v>61</v>
      </c>
      <c r="E1546" s="7" t="s">
        <v>9</v>
      </c>
      <c r="F1546" s="7" t="s">
        <v>15</v>
      </c>
      <c r="G1546" s="6">
        <v>51983</v>
      </c>
      <c r="H1546" s="6" t="str" cm="1">
        <f t="array" ref="H1546">_xlfn.IFS(
  G1546 &lt; 25000, "Low",
  AND(G1546 &gt;= 25000, G1546 &lt; 75000), "Medium",
  AND(G1546 &gt;= 75000, G1546 &lt; 150000), "High",
  G1546 &gt;= 150000, "Very High"
)</f>
        <v>Medium</v>
      </c>
      <c r="I1546" s="6">
        <v>0</v>
      </c>
      <c r="J1546" s="6">
        <v>1</v>
      </c>
      <c r="K1546" s="6">
        <f t="shared" si="97"/>
        <v>1</v>
      </c>
      <c r="L1546" s="8">
        <v>41152</v>
      </c>
      <c r="M1546" t="str">
        <f t="shared" ca="1" si="98"/>
        <v>13 years, 6 months</v>
      </c>
      <c r="N1546" s="6">
        <v>95</v>
      </c>
      <c r="O1546">
        <v>0</v>
      </c>
      <c r="P1546">
        <v>7</v>
      </c>
      <c r="Q1546">
        <f t="shared" si="99"/>
        <v>7</v>
      </c>
      <c r="R1546">
        <v>9</v>
      </c>
      <c r="S1546">
        <v>10</v>
      </c>
      <c r="T1546">
        <f>Table[[#This Row],[NumWebPurchases]]+Table[[#This Row],[NumStorePurchases]]</f>
        <v>19</v>
      </c>
    </row>
    <row r="1547" spans="1:20" ht="12.5">
      <c r="A1547" s="6">
        <v>1545</v>
      </c>
      <c r="B1547" s="6">
        <v>10212</v>
      </c>
      <c r="C1547" s="6">
        <v>1986</v>
      </c>
      <c r="D1547" s="6">
        <f t="shared" si="96"/>
        <v>39</v>
      </c>
      <c r="E1547" s="7" t="s">
        <v>14</v>
      </c>
      <c r="F1547" s="7" t="s">
        <v>11</v>
      </c>
      <c r="G1547" s="6">
        <v>42386</v>
      </c>
      <c r="H1547" s="6" t="str" cm="1">
        <f t="array" ref="H1547">_xlfn.IFS(
  G1547 &lt; 25000, "Low",
  AND(G1547 &gt;= 25000, G1547 &lt; 75000), "Medium",
  AND(G1547 &gt;= 75000, G1547 &lt; 150000), "High",
  G1547 &gt;= 150000, "Very High"
)</f>
        <v>Medium</v>
      </c>
      <c r="I1547" s="6">
        <v>1</v>
      </c>
      <c r="J1547" s="6">
        <v>0</v>
      </c>
      <c r="K1547" s="6">
        <f t="shared" si="97"/>
        <v>1</v>
      </c>
      <c r="L1547" s="8">
        <v>41287</v>
      </c>
      <c r="M1547" t="str">
        <f t="shared" ca="1" si="98"/>
        <v>13 years, 1 months</v>
      </c>
      <c r="N1547" s="6">
        <v>43</v>
      </c>
      <c r="O1547">
        <v>4</v>
      </c>
      <c r="P1547">
        <v>4</v>
      </c>
      <c r="Q1547">
        <f t="shared" si="99"/>
        <v>8</v>
      </c>
      <c r="R1547">
        <v>3</v>
      </c>
      <c r="S1547">
        <v>3</v>
      </c>
      <c r="T1547">
        <f>Table[[#This Row],[NumWebPurchases]]+Table[[#This Row],[NumStorePurchases]]</f>
        <v>6</v>
      </c>
    </row>
    <row r="1548" spans="1:20" ht="12.5">
      <c r="A1548" s="6">
        <v>1546</v>
      </c>
      <c r="B1548" s="6">
        <v>6365</v>
      </c>
      <c r="C1548" s="6">
        <v>1987</v>
      </c>
      <c r="D1548" s="6">
        <f t="shared" si="96"/>
        <v>38</v>
      </c>
      <c r="E1548" s="7" t="s">
        <v>17</v>
      </c>
      <c r="F1548" s="7" t="s">
        <v>13</v>
      </c>
      <c r="G1548" s="6">
        <v>30390</v>
      </c>
      <c r="H1548" s="6" t="str" cm="1">
        <f t="array" ref="H1548">_xlfn.IFS(
  G1548 &lt; 25000, "Low",
  AND(G1548 &gt;= 25000, G1548 &lt; 75000), "Medium",
  AND(G1548 &gt;= 75000, G1548 &lt; 150000), "High",
  G1548 &gt;= 150000, "Very High"
)</f>
        <v>Medium</v>
      </c>
      <c r="I1548" s="6">
        <v>0</v>
      </c>
      <c r="J1548" s="6">
        <v>0</v>
      </c>
      <c r="K1548" s="6">
        <f t="shared" si="97"/>
        <v>0</v>
      </c>
      <c r="L1548" s="8">
        <v>41519</v>
      </c>
      <c r="M1548" t="str">
        <f t="shared" ca="1" si="98"/>
        <v>12 years, 6 months</v>
      </c>
      <c r="N1548" s="6">
        <v>5</v>
      </c>
      <c r="O1548">
        <v>12</v>
      </c>
      <c r="P1548">
        <v>1</v>
      </c>
      <c r="Q1548">
        <f t="shared" si="99"/>
        <v>13</v>
      </c>
      <c r="R1548">
        <v>2</v>
      </c>
      <c r="S1548">
        <v>3</v>
      </c>
      <c r="T1548">
        <f>Table[[#This Row],[NumWebPurchases]]+Table[[#This Row],[NumStorePurchases]]</f>
        <v>5</v>
      </c>
    </row>
    <row r="1549" spans="1:20" ht="12.5">
      <c r="A1549" s="6">
        <v>1547</v>
      </c>
      <c r="B1549" s="6">
        <v>5636</v>
      </c>
      <c r="C1549" s="6">
        <v>1963</v>
      </c>
      <c r="D1549" s="6">
        <f t="shared" si="96"/>
        <v>62</v>
      </c>
      <c r="E1549" s="7" t="s">
        <v>9</v>
      </c>
      <c r="F1549" s="7" t="s">
        <v>10</v>
      </c>
      <c r="G1549" s="6">
        <v>30983</v>
      </c>
      <c r="H1549" s="6" t="str" cm="1">
        <f t="array" ref="H1549">_xlfn.IFS(
  G1549 &lt; 25000, "Low",
  AND(G1549 &gt;= 25000, G1549 &lt; 75000), "Medium",
  AND(G1549 &gt;= 75000, G1549 &lt; 150000), "High",
  G1549 &gt;= 150000, "Very High"
)</f>
        <v>Medium</v>
      </c>
      <c r="I1549" s="6">
        <v>0</v>
      </c>
      <c r="J1549" s="6">
        <v>0</v>
      </c>
      <c r="K1549" s="6">
        <f t="shared" si="97"/>
        <v>0</v>
      </c>
      <c r="L1549" s="8">
        <v>41222</v>
      </c>
      <c r="M1549" t="str">
        <f t="shared" ca="1" si="98"/>
        <v>13 years, 3 months</v>
      </c>
      <c r="N1549" s="6">
        <v>50</v>
      </c>
      <c r="O1549">
        <v>4</v>
      </c>
      <c r="P1549">
        <v>1</v>
      </c>
      <c r="Q1549">
        <f t="shared" si="99"/>
        <v>5</v>
      </c>
      <c r="R1549">
        <v>4</v>
      </c>
      <c r="S1549">
        <v>3</v>
      </c>
      <c r="T1549">
        <f>Table[[#This Row],[NumWebPurchases]]+Table[[#This Row],[NumStorePurchases]]</f>
        <v>7</v>
      </c>
    </row>
    <row r="1550" spans="1:20" ht="12.5">
      <c r="A1550" s="6">
        <v>1548</v>
      </c>
      <c r="B1550" s="6">
        <v>591</v>
      </c>
      <c r="C1550" s="6">
        <v>1957</v>
      </c>
      <c r="D1550" s="6">
        <f t="shared" si="96"/>
        <v>68</v>
      </c>
      <c r="E1550" s="7" t="s">
        <v>9</v>
      </c>
      <c r="F1550" s="7" t="s">
        <v>18</v>
      </c>
      <c r="G1550" s="6">
        <v>66033</v>
      </c>
      <c r="H1550" s="6" t="str" cm="1">
        <f t="array" ref="H1550">_xlfn.IFS(
  G1550 &lt; 25000, "Low",
  AND(G1550 &gt;= 25000, G1550 &lt; 75000), "Medium",
  AND(G1550 &gt;= 75000, G1550 &lt; 150000), "High",
  G1550 &gt;= 150000, "Very High"
)</f>
        <v>Medium</v>
      </c>
      <c r="I1550" s="6">
        <v>0</v>
      </c>
      <c r="J1550" s="6">
        <v>1</v>
      </c>
      <c r="K1550" s="6">
        <f t="shared" si="97"/>
        <v>1</v>
      </c>
      <c r="L1550" s="8">
        <v>41294</v>
      </c>
      <c r="M1550" t="str">
        <f t="shared" ca="1" si="98"/>
        <v>13 years, 1 months</v>
      </c>
      <c r="N1550" s="6">
        <v>76</v>
      </c>
      <c r="O1550">
        <v>35</v>
      </c>
      <c r="P1550">
        <v>59</v>
      </c>
      <c r="Q1550">
        <f t="shared" si="99"/>
        <v>94</v>
      </c>
      <c r="R1550">
        <v>8</v>
      </c>
      <c r="S1550">
        <v>7</v>
      </c>
      <c r="T1550">
        <f>Table[[#This Row],[NumWebPurchases]]+Table[[#This Row],[NumStorePurchases]]</f>
        <v>15</v>
      </c>
    </row>
    <row r="1551" spans="1:20" ht="12.5">
      <c r="A1551" s="6">
        <v>1549</v>
      </c>
      <c r="B1551" s="6">
        <v>2217</v>
      </c>
      <c r="C1551" s="6">
        <v>1975</v>
      </c>
      <c r="D1551" s="6">
        <f t="shared" si="96"/>
        <v>50</v>
      </c>
      <c r="E1551" s="7" t="s">
        <v>17</v>
      </c>
      <c r="F1551" s="7" t="s">
        <v>13</v>
      </c>
      <c r="G1551" s="6">
        <v>37284</v>
      </c>
      <c r="H1551" s="6" t="str" cm="1">
        <f t="array" ref="H1551">_xlfn.IFS(
  G1551 &lt; 25000, "Low",
  AND(G1551 &gt;= 25000, G1551 &lt; 75000), "Medium",
  AND(G1551 &gt;= 75000, G1551 &lt; 150000), "High",
  G1551 &gt;= 150000, "Very High"
)</f>
        <v>Medium</v>
      </c>
      <c r="I1551" s="6">
        <v>1</v>
      </c>
      <c r="J1551" s="6">
        <v>1</v>
      </c>
      <c r="K1551" s="6">
        <f t="shared" si="97"/>
        <v>2</v>
      </c>
      <c r="L1551" s="8">
        <v>41362</v>
      </c>
      <c r="M1551" t="str">
        <f t="shared" ca="1" si="98"/>
        <v>12 years, 11 months</v>
      </c>
      <c r="N1551" s="6">
        <v>46</v>
      </c>
      <c r="O1551">
        <v>1</v>
      </c>
      <c r="P1551">
        <v>1</v>
      </c>
      <c r="Q1551">
        <f t="shared" si="99"/>
        <v>2</v>
      </c>
      <c r="R1551">
        <v>0</v>
      </c>
      <c r="S1551">
        <v>3</v>
      </c>
      <c r="T1551">
        <f>Table[[#This Row],[NumWebPurchases]]+Table[[#This Row],[NumStorePurchases]]</f>
        <v>3</v>
      </c>
    </row>
    <row r="1552" spans="1:20" ht="12.5">
      <c r="A1552" s="6">
        <v>1550</v>
      </c>
      <c r="B1552" s="6">
        <v>2544</v>
      </c>
      <c r="C1552" s="6">
        <v>1951</v>
      </c>
      <c r="D1552" s="6">
        <f t="shared" si="96"/>
        <v>74</v>
      </c>
      <c r="E1552" s="7" t="s">
        <v>14</v>
      </c>
      <c r="F1552" s="7" t="s">
        <v>15</v>
      </c>
      <c r="G1552" s="6">
        <v>57530</v>
      </c>
      <c r="H1552" s="6" t="str" cm="1">
        <f t="array" ref="H1552">_xlfn.IFS(
  G1552 &lt; 25000, "Low",
  AND(G1552 &gt;= 25000, G1552 &lt; 75000), "Medium",
  AND(G1552 &gt;= 75000, G1552 &lt; 150000), "High",
  G1552 &gt;= 150000, "Very High"
)</f>
        <v>Medium</v>
      </c>
      <c r="I1552" s="6">
        <v>0</v>
      </c>
      <c r="J1552" s="6">
        <v>1</v>
      </c>
      <c r="K1552" s="6">
        <f t="shared" si="97"/>
        <v>1</v>
      </c>
      <c r="L1552" s="9">
        <v>41559</v>
      </c>
      <c r="M1552" t="str">
        <f t="shared" ca="1" si="98"/>
        <v>12 years, 4 months</v>
      </c>
      <c r="N1552" s="6">
        <v>68</v>
      </c>
      <c r="O1552">
        <v>1</v>
      </c>
      <c r="P1552">
        <v>7</v>
      </c>
      <c r="Q1552">
        <f t="shared" si="99"/>
        <v>8</v>
      </c>
      <c r="R1552">
        <v>1</v>
      </c>
      <c r="S1552">
        <v>4</v>
      </c>
      <c r="T1552">
        <f>Table[[#This Row],[NumWebPurchases]]+Table[[#This Row],[NumStorePurchases]]</f>
        <v>5</v>
      </c>
    </row>
    <row r="1553" spans="1:20" ht="12.5">
      <c r="A1553" s="6">
        <v>1551</v>
      </c>
      <c r="B1553" s="6">
        <v>7725</v>
      </c>
      <c r="C1553" s="6">
        <v>1965</v>
      </c>
      <c r="D1553" s="6">
        <f t="shared" si="96"/>
        <v>60</v>
      </c>
      <c r="E1553" s="7" t="s">
        <v>17</v>
      </c>
      <c r="F1553" s="7" t="s">
        <v>13</v>
      </c>
      <c r="G1553" s="6">
        <v>76800</v>
      </c>
      <c r="H1553" s="6" t="str" cm="1">
        <f t="array" ref="H1553">_xlfn.IFS(
  G1553 &lt; 25000, "Low",
  AND(G1553 &gt;= 25000, G1553 &lt; 75000), "Medium",
  AND(G1553 &gt;= 75000, G1553 &lt; 150000), "High",
  G1553 &gt;= 150000, "Very High"
)</f>
        <v>High</v>
      </c>
      <c r="I1553" s="6">
        <v>0</v>
      </c>
      <c r="J1553" s="6">
        <v>0</v>
      </c>
      <c r="K1553" s="6">
        <f t="shared" si="97"/>
        <v>0</v>
      </c>
      <c r="L1553" s="8">
        <v>41706</v>
      </c>
      <c r="M1553" t="str">
        <f t="shared" ca="1" si="98"/>
        <v>11 years, 11 months</v>
      </c>
      <c r="N1553" s="6">
        <v>33</v>
      </c>
      <c r="O1553">
        <v>26</v>
      </c>
      <c r="P1553">
        <v>71</v>
      </c>
      <c r="Q1553">
        <f t="shared" si="99"/>
        <v>97</v>
      </c>
      <c r="R1553">
        <v>4</v>
      </c>
      <c r="S1553">
        <v>7</v>
      </c>
      <c r="T1553">
        <f>Table[[#This Row],[NumWebPurchases]]+Table[[#This Row],[NumStorePurchases]]</f>
        <v>11</v>
      </c>
    </row>
    <row r="1554" spans="1:20" ht="12.5">
      <c r="A1554" s="6">
        <v>1552</v>
      </c>
      <c r="B1554" s="6">
        <v>8091</v>
      </c>
      <c r="C1554" s="6">
        <v>1956</v>
      </c>
      <c r="D1554" s="6">
        <f t="shared" si="96"/>
        <v>69</v>
      </c>
      <c r="E1554" s="7" t="s">
        <v>9</v>
      </c>
      <c r="F1554" s="7" t="s">
        <v>13</v>
      </c>
      <c r="G1554" s="6">
        <v>63943</v>
      </c>
      <c r="H1554" s="6" t="str" cm="1">
        <f t="array" ref="H1554">_xlfn.IFS(
  G1554 &lt; 25000, "Low",
  AND(G1554 &gt;= 25000, G1554 &lt; 75000), "Medium",
  AND(G1554 &gt;= 75000, G1554 &lt; 150000), "High",
  G1554 &gt;= 150000, "Very High"
)</f>
        <v>Medium</v>
      </c>
      <c r="I1554" s="6">
        <v>0</v>
      </c>
      <c r="J1554" s="6">
        <v>1</v>
      </c>
      <c r="K1554" s="6">
        <f t="shared" si="97"/>
        <v>1</v>
      </c>
      <c r="L1554" s="8">
        <v>41154</v>
      </c>
      <c r="M1554" t="str">
        <f t="shared" ca="1" si="98"/>
        <v>13 years, 6 months</v>
      </c>
      <c r="N1554" s="6">
        <v>50</v>
      </c>
      <c r="O1554">
        <v>184</v>
      </c>
      <c r="P1554">
        <v>97</v>
      </c>
      <c r="Q1554">
        <f t="shared" si="99"/>
        <v>281</v>
      </c>
      <c r="R1554">
        <v>6</v>
      </c>
      <c r="S1554">
        <v>6</v>
      </c>
      <c r="T1554">
        <f>Table[[#This Row],[NumWebPurchases]]+Table[[#This Row],[NumStorePurchases]]</f>
        <v>12</v>
      </c>
    </row>
    <row r="1555" spans="1:20" ht="12.5">
      <c r="A1555" s="6">
        <v>1553</v>
      </c>
      <c r="B1555" s="6">
        <v>7321</v>
      </c>
      <c r="C1555" s="6">
        <v>1962</v>
      </c>
      <c r="D1555" s="6">
        <f t="shared" si="96"/>
        <v>63</v>
      </c>
      <c r="E1555" s="7" t="s">
        <v>9</v>
      </c>
      <c r="F1555" s="7" t="s">
        <v>11</v>
      </c>
      <c r="G1555" s="6">
        <v>76081</v>
      </c>
      <c r="H1555" s="6" t="str" cm="1">
        <f t="array" ref="H1555">_xlfn.IFS(
  G1555 &lt; 25000, "Low",
  AND(G1555 &gt;= 25000, G1555 &lt; 75000), "Medium",
  AND(G1555 &gt;= 75000, G1555 &lt; 150000), "High",
  G1555 &gt;= 150000, "Very High"
)</f>
        <v>High</v>
      </c>
      <c r="I1555" s="6">
        <v>0</v>
      </c>
      <c r="J1555" s="6">
        <v>0</v>
      </c>
      <c r="K1555" s="6">
        <f t="shared" si="97"/>
        <v>0</v>
      </c>
      <c r="L1555" s="8">
        <v>41782</v>
      </c>
      <c r="M1555" t="str">
        <f t="shared" ca="1" si="98"/>
        <v>11 years, 9 months</v>
      </c>
      <c r="N1555" s="6">
        <v>85</v>
      </c>
      <c r="O1555">
        <v>30</v>
      </c>
      <c r="P1555">
        <v>33</v>
      </c>
      <c r="Q1555">
        <f t="shared" si="99"/>
        <v>63</v>
      </c>
      <c r="R1555">
        <v>4</v>
      </c>
      <c r="S1555">
        <v>4</v>
      </c>
      <c r="T1555">
        <f>Table[[#This Row],[NumWebPurchases]]+Table[[#This Row],[NumStorePurchases]]</f>
        <v>8</v>
      </c>
    </row>
    <row r="1556" spans="1:20" ht="12.5">
      <c r="A1556" s="6">
        <v>1554</v>
      </c>
      <c r="B1556" s="6">
        <v>5462</v>
      </c>
      <c r="C1556" s="6">
        <v>1974</v>
      </c>
      <c r="D1556" s="6">
        <f t="shared" si="96"/>
        <v>51</v>
      </c>
      <c r="E1556" s="7" t="s">
        <v>9</v>
      </c>
      <c r="F1556" s="7" t="s">
        <v>13</v>
      </c>
      <c r="G1556" s="6">
        <v>67445</v>
      </c>
      <c r="H1556" s="6" t="str" cm="1">
        <f t="array" ref="H1556">_xlfn.IFS(
  G1556 &lt; 25000, "Low",
  AND(G1556 &gt;= 25000, G1556 &lt; 75000), "Medium",
  AND(G1556 &gt;= 75000, G1556 &lt; 150000), "High",
  G1556 &gt;= 150000, "Very High"
)</f>
        <v>Medium</v>
      </c>
      <c r="I1556" s="6">
        <v>0</v>
      </c>
      <c r="J1556" s="6">
        <v>1</v>
      </c>
      <c r="K1556" s="6">
        <f t="shared" si="97"/>
        <v>1</v>
      </c>
      <c r="L1556" s="8">
        <v>41133</v>
      </c>
      <c r="M1556" t="str">
        <f t="shared" ca="1" si="98"/>
        <v>13 years, 6 months</v>
      </c>
      <c r="N1556" s="6">
        <v>63</v>
      </c>
      <c r="O1556">
        <v>80</v>
      </c>
      <c r="P1556">
        <v>80</v>
      </c>
      <c r="Q1556">
        <f t="shared" si="99"/>
        <v>160</v>
      </c>
      <c r="R1556">
        <v>9</v>
      </c>
      <c r="S1556">
        <v>12</v>
      </c>
      <c r="T1556">
        <f>Table[[#This Row],[NumWebPurchases]]+Table[[#This Row],[NumStorePurchases]]</f>
        <v>21</v>
      </c>
    </row>
    <row r="1557" spans="1:20" ht="12.5">
      <c r="A1557" s="6">
        <v>1555</v>
      </c>
      <c r="B1557" s="6">
        <v>7791</v>
      </c>
      <c r="C1557" s="6">
        <v>1967</v>
      </c>
      <c r="D1557" s="6">
        <f t="shared" si="96"/>
        <v>58</v>
      </c>
      <c r="E1557" s="7" t="s">
        <v>14</v>
      </c>
      <c r="F1557" s="7" t="s">
        <v>13</v>
      </c>
      <c r="G1557" s="6">
        <v>37054</v>
      </c>
      <c r="H1557" s="6" t="str" cm="1">
        <f t="array" ref="H1557">_xlfn.IFS(
  G1557 &lt; 25000, "Low",
  AND(G1557 &gt;= 25000, G1557 &lt; 75000), "Medium",
  AND(G1557 &gt;= 75000, G1557 &lt; 150000), "High",
  G1557 &gt;= 150000, "Very High"
)</f>
        <v>Medium</v>
      </c>
      <c r="I1557" s="6">
        <v>1</v>
      </c>
      <c r="J1557" s="6">
        <v>1</v>
      </c>
      <c r="K1557" s="6">
        <f t="shared" si="97"/>
        <v>2</v>
      </c>
      <c r="L1557" s="8">
        <v>41532</v>
      </c>
      <c r="M1557" t="str">
        <f t="shared" ca="1" si="98"/>
        <v>12 years, 5 months</v>
      </c>
      <c r="N1557" s="6">
        <v>89</v>
      </c>
      <c r="O1557">
        <v>1</v>
      </c>
      <c r="P1557">
        <v>1</v>
      </c>
      <c r="Q1557">
        <f t="shared" si="99"/>
        <v>2</v>
      </c>
      <c r="R1557">
        <v>1</v>
      </c>
      <c r="S1557">
        <v>3</v>
      </c>
      <c r="T1557">
        <f>Table[[#This Row],[NumWebPurchases]]+Table[[#This Row],[NumStorePurchases]]</f>
        <v>4</v>
      </c>
    </row>
    <row r="1558" spans="1:20" ht="12.5">
      <c r="A1558" s="6">
        <v>1556</v>
      </c>
      <c r="B1558" s="6">
        <v>955</v>
      </c>
      <c r="C1558" s="6">
        <v>1962</v>
      </c>
      <c r="D1558" s="6">
        <f t="shared" si="96"/>
        <v>63</v>
      </c>
      <c r="E1558" s="7" t="s">
        <v>14</v>
      </c>
      <c r="F1558" s="7" t="s">
        <v>11</v>
      </c>
      <c r="G1558" s="6">
        <v>47175</v>
      </c>
      <c r="H1558" s="6" t="str" cm="1">
        <f t="array" ref="H1558">_xlfn.IFS(
  G1558 &lt; 25000, "Low",
  AND(G1558 &gt;= 25000, G1558 &lt; 75000), "Medium",
  AND(G1558 &gt;= 75000, G1558 &lt; 150000), "High",
  G1558 &gt;= 150000, "Very High"
)</f>
        <v>Medium</v>
      </c>
      <c r="I1558" s="6">
        <v>1</v>
      </c>
      <c r="J1558" s="6">
        <v>1</v>
      </c>
      <c r="K1558" s="6">
        <f t="shared" si="97"/>
        <v>2</v>
      </c>
      <c r="L1558" s="9">
        <v>41210</v>
      </c>
      <c r="M1558" t="str">
        <f t="shared" ca="1" si="98"/>
        <v>13 years, 4 months</v>
      </c>
      <c r="N1558" s="6">
        <v>81</v>
      </c>
      <c r="O1558">
        <v>2</v>
      </c>
      <c r="P1558">
        <v>2</v>
      </c>
      <c r="Q1558">
        <f t="shared" si="99"/>
        <v>4</v>
      </c>
      <c r="R1558">
        <v>4</v>
      </c>
      <c r="S1558">
        <v>4</v>
      </c>
      <c r="T1558">
        <f>Table[[#This Row],[NumWebPurchases]]+Table[[#This Row],[NumStorePurchases]]</f>
        <v>8</v>
      </c>
    </row>
    <row r="1559" spans="1:20" ht="12.5">
      <c r="A1559" s="6">
        <v>1557</v>
      </c>
      <c r="B1559" s="6">
        <v>4037</v>
      </c>
      <c r="C1559" s="6">
        <v>1976</v>
      </c>
      <c r="D1559" s="6">
        <f t="shared" si="96"/>
        <v>49</v>
      </c>
      <c r="E1559" s="7" t="s">
        <v>9</v>
      </c>
      <c r="F1559" s="7" t="s">
        <v>15</v>
      </c>
      <c r="G1559" s="6">
        <v>31859</v>
      </c>
      <c r="H1559" s="6" t="str" cm="1">
        <f t="array" ref="H1559">_xlfn.IFS(
  G1559 &lt; 25000, "Low",
  AND(G1559 &gt;= 25000, G1559 &lt; 75000), "Medium",
  AND(G1559 &gt;= 75000, G1559 &lt; 150000), "High",
  G1559 &gt;= 150000, "Very High"
)</f>
        <v>Medium</v>
      </c>
      <c r="I1559" s="6">
        <v>1</v>
      </c>
      <c r="J1559" s="6">
        <v>0</v>
      </c>
      <c r="K1559" s="6">
        <f t="shared" si="97"/>
        <v>1</v>
      </c>
      <c r="L1559" s="8">
        <v>41439</v>
      </c>
      <c r="M1559" t="str">
        <f t="shared" ca="1" si="98"/>
        <v>12 years, 8 months</v>
      </c>
      <c r="N1559" s="6">
        <v>77</v>
      </c>
      <c r="O1559">
        <v>1</v>
      </c>
      <c r="P1559">
        <v>0</v>
      </c>
      <c r="Q1559">
        <f t="shared" si="99"/>
        <v>1</v>
      </c>
      <c r="R1559">
        <v>1</v>
      </c>
      <c r="S1559">
        <v>2</v>
      </c>
      <c r="T1559">
        <f>Table[[#This Row],[NumWebPurchases]]+Table[[#This Row],[NumStorePurchases]]</f>
        <v>3</v>
      </c>
    </row>
    <row r="1560" spans="1:20" ht="12.5">
      <c r="A1560" s="6">
        <v>1558</v>
      </c>
      <c r="B1560" s="6">
        <v>6642</v>
      </c>
      <c r="C1560" s="6">
        <v>1961</v>
      </c>
      <c r="D1560" s="6">
        <f t="shared" si="96"/>
        <v>64</v>
      </c>
      <c r="E1560" s="7" t="s">
        <v>9</v>
      </c>
      <c r="F1560" s="7" t="s">
        <v>15</v>
      </c>
      <c r="G1560" s="6">
        <v>27215</v>
      </c>
      <c r="H1560" s="6" t="str" cm="1">
        <f t="array" ref="H1560">_xlfn.IFS(
  G1560 &lt; 25000, "Low",
  AND(G1560 &gt;= 25000, G1560 &lt; 75000), "Medium",
  AND(G1560 &gt;= 75000, G1560 &lt; 150000), "High",
  G1560 &gt;= 150000, "Very High"
)</f>
        <v>Medium</v>
      </c>
      <c r="I1560" s="6">
        <v>2</v>
      </c>
      <c r="J1560" s="6">
        <v>1</v>
      </c>
      <c r="K1560" s="6">
        <f t="shared" si="97"/>
        <v>3</v>
      </c>
      <c r="L1560" s="8">
        <v>41297</v>
      </c>
      <c r="M1560" t="str">
        <f t="shared" ca="1" si="98"/>
        <v>13 years, 1 months</v>
      </c>
      <c r="N1560" s="6">
        <v>50</v>
      </c>
      <c r="O1560">
        <v>5</v>
      </c>
      <c r="P1560">
        <v>9</v>
      </c>
      <c r="Q1560">
        <f t="shared" si="99"/>
        <v>14</v>
      </c>
      <c r="R1560">
        <v>2</v>
      </c>
      <c r="S1560">
        <v>4</v>
      </c>
      <c r="T1560">
        <f>Table[[#This Row],[NumWebPurchases]]+Table[[#This Row],[NumStorePurchases]]</f>
        <v>6</v>
      </c>
    </row>
    <row r="1561" spans="1:20" ht="12.5">
      <c r="A1561" s="6">
        <v>1559</v>
      </c>
      <c r="B1561" s="6">
        <v>2793</v>
      </c>
      <c r="C1561" s="6">
        <v>1976</v>
      </c>
      <c r="D1561" s="6">
        <f t="shared" si="96"/>
        <v>49</v>
      </c>
      <c r="E1561" s="7" t="s">
        <v>12</v>
      </c>
      <c r="F1561" s="7" t="s">
        <v>15</v>
      </c>
      <c r="G1561" s="6">
        <v>70179</v>
      </c>
      <c r="H1561" s="6" t="str" cm="1">
        <f t="array" ref="H1561">_xlfn.IFS(
  G1561 &lt; 25000, "Low",
  AND(G1561 &gt;= 25000, G1561 &lt; 75000), "Medium",
  AND(G1561 &gt;= 75000, G1561 &lt; 150000), "High",
  G1561 &gt;= 150000, "Very High"
)</f>
        <v>Medium</v>
      </c>
      <c r="I1561" s="6">
        <v>0</v>
      </c>
      <c r="J1561" s="6">
        <v>1</v>
      </c>
      <c r="K1561" s="6">
        <f t="shared" si="97"/>
        <v>1</v>
      </c>
      <c r="L1561" s="8">
        <v>41476</v>
      </c>
      <c r="M1561" t="str">
        <f t="shared" ca="1" si="98"/>
        <v>12 years, 7 months</v>
      </c>
      <c r="N1561" s="6">
        <v>10</v>
      </c>
      <c r="O1561">
        <v>88</v>
      </c>
      <c r="P1561">
        <v>44</v>
      </c>
      <c r="Q1561">
        <f t="shared" si="99"/>
        <v>132</v>
      </c>
      <c r="R1561">
        <v>7</v>
      </c>
      <c r="S1561">
        <v>13</v>
      </c>
      <c r="T1561">
        <f>Table[[#This Row],[NumWebPurchases]]+Table[[#This Row],[NumStorePurchases]]</f>
        <v>20</v>
      </c>
    </row>
    <row r="1562" spans="1:20" ht="12.5">
      <c r="A1562" s="6">
        <v>1560</v>
      </c>
      <c r="B1562" s="6">
        <v>5424</v>
      </c>
      <c r="C1562" s="6">
        <v>1983</v>
      </c>
      <c r="D1562" s="6">
        <f t="shared" si="96"/>
        <v>42</v>
      </c>
      <c r="E1562" s="7" t="s">
        <v>9</v>
      </c>
      <c r="F1562" s="7" t="s">
        <v>13</v>
      </c>
      <c r="G1562" s="6">
        <v>39922</v>
      </c>
      <c r="H1562" s="6" t="str" cm="1">
        <f t="array" ref="H1562">_xlfn.IFS(
  G1562 &lt; 25000, "Low",
  AND(G1562 &gt;= 25000, G1562 &lt; 75000), "Medium",
  AND(G1562 &gt;= 75000, G1562 &lt; 150000), "High",
  G1562 &gt;= 150000, "Very High"
)</f>
        <v>Medium</v>
      </c>
      <c r="I1562" s="6">
        <v>1</v>
      </c>
      <c r="J1562" s="6">
        <v>0</v>
      </c>
      <c r="K1562" s="6">
        <f t="shared" si="97"/>
        <v>1</v>
      </c>
      <c r="L1562" s="8">
        <v>41319</v>
      </c>
      <c r="M1562" t="str">
        <f t="shared" ca="1" si="98"/>
        <v>13 years, 0 months</v>
      </c>
      <c r="N1562" s="6">
        <v>30</v>
      </c>
      <c r="O1562">
        <v>12</v>
      </c>
      <c r="P1562">
        <v>1</v>
      </c>
      <c r="Q1562">
        <f t="shared" si="99"/>
        <v>13</v>
      </c>
      <c r="R1562">
        <v>3</v>
      </c>
      <c r="S1562">
        <v>4</v>
      </c>
      <c r="T1562">
        <f>Table[[#This Row],[NumWebPurchases]]+Table[[#This Row],[NumStorePurchases]]</f>
        <v>7</v>
      </c>
    </row>
    <row r="1563" spans="1:20" ht="12.5">
      <c r="A1563" s="6">
        <v>1561</v>
      </c>
      <c r="B1563" s="6">
        <v>879</v>
      </c>
      <c r="C1563" s="6">
        <v>1976</v>
      </c>
      <c r="D1563" s="6">
        <f t="shared" si="96"/>
        <v>49</v>
      </c>
      <c r="E1563" s="7" t="s">
        <v>14</v>
      </c>
      <c r="F1563" s="7" t="s">
        <v>13</v>
      </c>
      <c r="G1563" s="6">
        <v>49681</v>
      </c>
      <c r="H1563" s="6" t="str" cm="1">
        <f t="array" ref="H1563">_xlfn.IFS(
  G1563 &lt; 25000, "Low",
  AND(G1563 &gt;= 25000, G1563 &lt; 75000), "Medium",
  AND(G1563 &gt;= 75000, G1563 &lt; 150000), "High",
  G1563 &gt;= 150000, "Very High"
)</f>
        <v>Medium</v>
      </c>
      <c r="I1563" s="6">
        <v>0</v>
      </c>
      <c r="J1563" s="6">
        <v>2</v>
      </c>
      <c r="K1563" s="6">
        <f t="shared" si="97"/>
        <v>2</v>
      </c>
      <c r="L1563" s="8">
        <v>41582</v>
      </c>
      <c r="M1563" t="str">
        <f t="shared" ca="1" si="98"/>
        <v>12 years, 4 months</v>
      </c>
      <c r="N1563" s="6">
        <v>66</v>
      </c>
      <c r="O1563">
        <v>0</v>
      </c>
      <c r="P1563">
        <v>0</v>
      </c>
      <c r="Q1563">
        <f t="shared" si="99"/>
        <v>0</v>
      </c>
      <c r="R1563">
        <v>7</v>
      </c>
      <c r="S1563">
        <v>7</v>
      </c>
      <c r="T1563">
        <f>Table[[#This Row],[NumWebPurchases]]+Table[[#This Row],[NumStorePurchases]]</f>
        <v>14</v>
      </c>
    </row>
    <row r="1564" spans="1:20" ht="12.5">
      <c r="A1564" s="6">
        <v>1562</v>
      </c>
      <c r="B1564" s="6">
        <v>9530</v>
      </c>
      <c r="C1564" s="6">
        <v>1988</v>
      </c>
      <c r="D1564" s="6">
        <f t="shared" si="96"/>
        <v>37</v>
      </c>
      <c r="E1564" s="7" t="s">
        <v>9</v>
      </c>
      <c r="F1564" s="7" t="s">
        <v>13</v>
      </c>
      <c r="G1564" s="6">
        <v>24645</v>
      </c>
      <c r="H1564" s="6" t="str" cm="1">
        <f t="array" ref="H1564">_xlfn.IFS(
  G1564 &lt; 25000, "Low",
  AND(G1564 &gt;= 25000, G1564 &lt; 75000), "Medium",
  AND(G1564 &gt;= 75000, G1564 &lt; 150000), "High",
  G1564 &gt;= 150000, "Very High"
)</f>
        <v>Low</v>
      </c>
      <c r="I1564" s="6">
        <v>1</v>
      </c>
      <c r="J1564" s="6">
        <v>0</v>
      </c>
      <c r="K1564" s="6">
        <f t="shared" si="97"/>
        <v>1</v>
      </c>
      <c r="L1564" s="8">
        <v>41214</v>
      </c>
      <c r="M1564" t="str">
        <f t="shared" ca="1" si="98"/>
        <v>13 years, 4 months</v>
      </c>
      <c r="N1564" s="6">
        <v>16</v>
      </c>
      <c r="O1564">
        <v>3</v>
      </c>
      <c r="P1564">
        <v>1</v>
      </c>
      <c r="Q1564">
        <f t="shared" si="99"/>
        <v>4</v>
      </c>
      <c r="R1564">
        <v>1</v>
      </c>
      <c r="S1564">
        <v>2</v>
      </c>
      <c r="T1564">
        <f>Table[[#This Row],[NumWebPurchases]]+Table[[#This Row],[NumStorePurchases]]</f>
        <v>3</v>
      </c>
    </row>
    <row r="1565" spans="1:20" ht="12.5">
      <c r="A1565" s="6">
        <v>1563</v>
      </c>
      <c r="B1565" s="6">
        <v>4828</v>
      </c>
      <c r="C1565" s="6">
        <v>1954</v>
      </c>
      <c r="D1565" s="6">
        <f t="shared" si="96"/>
        <v>71</v>
      </c>
      <c r="E1565" s="7" t="s">
        <v>9</v>
      </c>
      <c r="F1565" s="7" t="s">
        <v>15</v>
      </c>
      <c r="G1565" s="6">
        <v>79865</v>
      </c>
      <c r="H1565" s="6" t="str" cm="1">
        <f t="array" ref="H1565">_xlfn.IFS(
  G1565 &lt; 25000, "Low",
  AND(G1565 &gt;= 25000, G1565 &lt; 75000), "Medium",
  AND(G1565 &gt;= 75000, G1565 &lt; 150000), "High",
  G1565 &gt;= 150000, "Very High"
)</f>
        <v>High</v>
      </c>
      <c r="I1565" s="6">
        <v>0</v>
      </c>
      <c r="J1565" s="6">
        <v>1</v>
      </c>
      <c r="K1565" s="6">
        <f t="shared" si="97"/>
        <v>1</v>
      </c>
      <c r="L1565" s="8">
        <v>41808</v>
      </c>
      <c r="M1565" t="str">
        <f t="shared" ca="1" si="98"/>
        <v>11 years, 8 months</v>
      </c>
      <c r="N1565" s="6">
        <v>12</v>
      </c>
      <c r="O1565">
        <v>99</v>
      </c>
      <c r="P1565">
        <v>121</v>
      </c>
      <c r="Q1565">
        <f t="shared" si="99"/>
        <v>220</v>
      </c>
      <c r="R1565">
        <v>5</v>
      </c>
      <c r="S1565">
        <v>5</v>
      </c>
      <c r="T1565">
        <f>Table[[#This Row],[NumWebPurchases]]+Table[[#This Row],[NumStorePurchases]]</f>
        <v>10</v>
      </c>
    </row>
    <row r="1566" spans="1:20" ht="12.5">
      <c r="A1566" s="6">
        <v>1564</v>
      </c>
      <c r="B1566" s="6">
        <v>10699</v>
      </c>
      <c r="C1566" s="6">
        <v>1985</v>
      </c>
      <c r="D1566" s="6">
        <f t="shared" si="96"/>
        <v>40</v>
      </c>
      <c r="E1566" s="7" t="s">
        <v>9</v>
      </c>
      <c r="F1566" s="7" t="s">
        <v>13</v>
      </c>
      <c r="G1566" s="6">
        <v>44322</v>
      </c>
      <c r="H1566" s="6" t="str" cm="1">
        <f t="array" ref="H1566">_xlfn.IFS(
  G1566 &lt; 25000, "Low",
  AND(G1566 &gt;= 25000, G1566 &lt; 75000), "Medium",
  AND(G1566 &gt;= 75000, G1566 &lt; 150000), "High",
  G1566 &gt;= 150000, "Very High"
)</f>
        <v>Medium</v>
      </c>
      <c r="I1566" s="6">
        <v>1</v>
      </c>
      <c r="J1566" s="6">
        <v>0</v>
      </c>
      <c r="K1566" s="6">
        <f t="shared" si="97"/>
        <v>1</v>
      </c>
      <c r="L1566" s="8">
        <v>41806</v>
      </c>
      <c r="M1566" t="str">
        <f t="shared" ca="1" si="98"/>
        <v>11 years, 8 months</v>
      </c>
      <c r="N1566" s="6">
        <v>30</v>
      </c>
      <c r="O1566">
        <v>0</v>
      </c>
      <c r="P1566">
        <v>0</v>
      </c>
      <c r="Q1566">
        <f t="shared" si="99"/>
        <v>0</v>
      </c>
      <c r="R1566">
        <v>3</v>
      </c>
      <c r="S1566">
        <v>3</v>
      </c>
      <c r="T1566">
        <f>Table[[#This Row],[NumWebPurchases]]+Table[[#This Row],[NumStorePurchases]]</f>
        <v>6</v>
      </c>
    </row>
    <row r="1567" spans="1:20" ht="12.5">
      <c r="A1567" s="6">
        <v>1565</v>
      </c>
      <c r="B1567" s="6">
        <v>1497</v>
      </c>
      <c r="C1567" s="6">
        <v>1952</v>
      </c>
      <c r="D1567" s="6">
        <f t="shared" si="96"/>
        <v>73</v>
      </c>
      <c r="E1567" s="7" t="s">
        <v>9</v>
      </c>
      <c r="F1567" s="7" t="s">
        <v>10</v>
      </c>
      <c r="G1567" s="6">
        <v>47958</v>
      </c>
      <c r="H1567" s="6" t="str" cm="1">
        <f t="array" ref="H1567">_xlfn.IFS(
  G1567 &lt; 25000, "Low",
  AND(G1567 &gt;= 25000, G1567 &lt; 75000), "Medium",
  AND(G1567 &gt;= 75000, G1567 &lt; 150000), "High",
  G1567 &gt;= 150000, "Very High"
)</f>
        <v>Medium</v>
      </c>
      <c r="I1567" s="6">
        <v>0</v>
      </c>
      <c r="J1567" s="6">
        <v>1</v>
      </c>
      <c r="K1567" s="6">
        <f t="shared" si="97"/>
        <v>1</v>
      </c>
      <c r="L1567" s="8">
        <v>41293</v>
      </c>
      <c r="M1567" t="str">
        <f t="shared" ca="1" si="98"/>
        <v>13 years, 1 months</v>
      </c>
      <c r="N1567" s="6">
        <v>8</v>
      </c>
      <c r="O1567">
        <v>11</v>
      </c>
      <c r="P1567">
        <v>3</v>
      </c>
      <c r="Q1567">
        <f t="shared" si="99"/>
        <v>14</v>
      </c>
      <c r="R1567">
        <v>6</v>
      </c>
      <c r="S1567">
        <v>5</v>
      </c>
      <c r="T1567">
        <f>Table[[#This Row],[NumWebPurchases]]+Table[[#This Row],[NumStorePurchases]]</f>
        <v>11</v>
      </c>
    </row>
    <row r="1568" spans="1:20" ht="12.5">
      <c r="A1568" s="6">
        <v>1566</v>
      </c>
      <c r="B1568" s="6">
        <v>7476</v>
      </c>
      <c r="C1568" s="6">
        <v>1964</v>
      </c>
      <c r="D1568" s="6">
        <f t="shared" si="96"/>
        <v>61</v>
      </c>
      <c r="E1568" s="7" t="s">
        <v>14</v>
      </c>
      <c r="F1568" s="7" t="s">
        <v>10</v>
      </c>
      <c r="G1568" s="6">
        <v>63972</v>
      </c>
      <c r="H1568" s="6" t="str" cm="1">
        <f t="array" ref="H1568">_xlfn.IFS(
  G1568 &lt; 25000, "Low",
  AND(G1568 &gt;= 25000, G1568 &lt; 75000), "Medium",
  AND(G1568 &gt;= 75000, G1568 &lt; 150000), "High",
  G1568 &gt;= 150000, "Very High"
)</f>
        <v>Medium</v>
      </c>
      <c r="I1568" s="6">
        <v>0</v>
      </c>
      <c r="J1568" s="6">
        <v>1</v>
      </c>
      <c r="K1568" s="6">
        <f t="shared" si="97"/>
        <v>1</v>
      </c>
      <c r="L1568" s="8">
        <v>41245</v>
      </c>
      <c r="M1568" t="str">
        <f t="shared" ca="1" si="98"/>
        <v>13 years, 3 months</v>
      </c>
      <c r="N1568" s="6">
        <v>93</v>
      </c>
      <c r="O1568">
        <v>63</v>
      </c>
      <c r="P1568">
        <v>12</v>
      </c>
      <c r="Q1568">
        <f t="shared" si="99"/>
        <v>75</v>
      </c>
      <c r="R1568">
        <v>5</v>
      </c>
      <c r="S1568">
        <v>10</v>
      </c>
      <c r="T1568">
        <f>Table[[#This Row],[NumWebPurchases]]+Table[[#This Row],[NumStorePurchases]]</f>
        <v>15</v>
      </c>
    </row>
    <row r="1569" spans="1:20" ht="12.5">
      <c r="A1569" s="6">
        <v>1567</v>
      </c>
      <c r="B1569" s="6">
        <v>4390</v>
      </c>
      <c r="C1569" s="6">
        <v>1954</v>
      </c>
      <c r="D1569" s="6">
        <f t="shared" si="96"/>
        <v>71</v>
      </c>
      <c r="E1569" s="7" t="s">
        <v>9</v>
      </c>
      <c r="F1569" s="7" t="s">
        <v>11</v>
      </c>
      <c r="G1569" s="6">
        <v>75315</v>
      </c>
      <c r="H1569" s="6" t="str" cm="1">
        <f t="array" ref="H1569">_xlfn.IFS(
  G1569 &lt; 25000, "Low",
  AND(G1569 &gt;= 25000, G1569 &lt; 75000), "Medium",
  AND(G1569 &gt;= 75000, G1569 &lt; 150000), "High",
  G1569 &gt;= 150000, "Very High"
)</f>
        <v>High</v>
      </c>
      <c r="I1569" s="6">
        <v>0</v>
      </c>
      <c r="J1569" s="6">
        <v>1</v>
      </c>
      <c r="K1569" s="6">
        <f t="shared" si="97"/>
        <v>1</v>
      </c>
      <c r="L1569" s="8">
        <v>41744</v>
      </c>
      <c r="M1569" t="str">
        <f t="shared" ca="1" si="98"/>
        <v>11 years, 10 months</v>
      </c>
      <c r="N1569" s="6">
        <v>14</v>
      </c>
      <c r="O1569">
        <v>15</v>
      </c>
      <c r="P1569">
        <v>23</v>
      </c>
      <c r="Q1569">
        <f t="shared" si="99"/>
        <v>38</v>
      </c>
      <c r="R1569">
        <v>5</v>
      </c>
      <c r="S1569">
        <v>12</v>
      </c>
      <c r="T1569">
        <f>Table[[#This Row],[NumWebPurchases]]+Table[[#This Row],[NumStorePurchases]]</f>
        <v>17</v>
      </c>
    </row>
    <row r="1570" spans="1:20" ht="12.5">
      <c r="A1570" s="6">
        <v>1568</v>
      </c>
      <c r="B1570" s="6">
        <v>10478</v>
      </c>
      <c r="C1570" s="6">
        <v>1950</v>
      </c>
      <c r="D1570" s="6">
        <f t="shared" si="96"/>
        <v>75</v>
      </c>
      <c r="E1570" s="7" t="s">
        <v>12</v>
      </c>
      <c r="F1570" s="7" t="s">
        <v>13</v>
      </c>
      <c r="G1570" s="6">
        <v>55517</v>
      </c>
      <c r="H1570" s="6" t="str" cm="1">
        <f t="array" ref="H1570">_xlfn.IFS(
  G1570 &lt; 25000, "Low",
  AND(G1570 &gt;= 25000, G1570 &lt; 75000), "Medium",
  AND(G1570 &gt;= 75000, G1570 &lt; 150000), "High",
  G1570 &gt;= 150000, "Very High"
)</f>
        <v>Medium</v>
      </c>
      <c r="I1570" s="6">
        <v>1</v>
      </c>
      <c r="J1570" s="6">
        <v>1</v>
      </c>
      <c r="K1570" s="6">
        <f t="shared" si="97"/>
        <v>2</v>
      </c>
      <c r="L1570" s="8">
        <v>41179</v>
      </c>
      <c r="M1570" t="str">
        <f t="shared" ca="1" si="98"/>
        <v>13 years, 5 months</v>
      </c>
      <c r="N1570" s="6">
        <v>53</v>
      </c>
      <c r="O1570">
        <v>0</v>
      </c>
      <c r="P1570">
        <v>6</v>
      </c>
      <c r="Q1570">
        <f t="shared" si="99"/>
        <v>6</v>
      </c>
      <c r="R1570">
        <v>11</v>
      </c>
      <c r="S1570">
        <v>6</v>
      </c>
      <c r="T1570">
        <f>Table[[#This Row],[NumWebPurchases]]+Table[[#This Row],[NumStorePurchases]]</f>
        <v>17</v>
      </c>
    </row>
    <row r="1571" spans="1:20" ht="12.5">
      <c r="A1571" s="6">
        <v>1569</v>
      </c>
      <c r="B1571" s="6">
        <v>1081</v>
      </c>
      <c r="C1571" s="6">
        <v>1957</v>
      </c>
      <c r="D1571" s="6">
        <f t="shared" si="96"/>
        <v>68</v>
      </c>
      <c r="E1571" s="7" t="s">
        <v>12</v>
      </c>
      <c r="F1571" s="7" t="s">
        <v>13</v>
      </c>
      <c r="G1571" s="6">
        <v>75283</v>
      </c>
      <c r="H1571" s="6" t="str" cm="1">
        <f t="array" ref="H1571">_xlfn.IFS(
  G1571 &lt; 25000, "Low",
  AND(G1571 &gt;= 25000, G1571 &lt; 75000), "Medium",
  AND(G1571 &gt;= 75000, G1571 &lt; 150000), "High",
  G1571 &gt;= 150000, "Very High"
)</f>
        <v>High</v>
      </c>
      <c r="I1571" s="6">
        <v>1</v>
      </c>
      <c r="J1571" s="6">
        <v>2</v>
      </c>
      <c r="K1571" s="6">
        <f t="shared" si="97"/>
        <v>3</v>
      </c>
      <c r="L1571" s="8">
        <v>41360</v>
      </c>
      <c r="M1571" t="str">
        <f t="shared" ca="1" si="98"/>
        <v>12 years, 11 months</v>
      </c>
      <c r="N1571" s="6">
        <v>26</v>
      </c>
      <c r="O1571">
        <v>9</v>
      </c>
      <c r="P1571">
        <v>19</v>
      </c>
      <c r="Q1571">
        <f t="shared" si="99"/>
        <v>28</v>
      </c>
      <c r="R1571">
        <v>6</v>
      </c>
      <c r="S1571">
        <v>5</v>
      </c>
      <c r="T1571">
        <f>Table[[#This Row],[NumWebPurchases]]+Table[[#This Row],[NumStorePurchases]]</f>
        <v>11</v>
      </c>
    </row>
    <row r="1572" spans="1:20" ht="12.5">
      <c r="A1572" s="6">
        <v>1570</v>
      </c>
      <c r="B1572" s="6">
        <v>4261</v>
      </c>
      <c r="C1572" s="6">
        <v>1946</v>
      </c>
      <c r="D1572" s="6">
        <f t="shared" si="96"/>
        <v>79</v>
      </c>
      <c r="E1572" s="7" t="s">
        <v>12</v>
      </c>
      <c r="F1572" s="7" t="s">
        <v>10</v>
      </c>
      <c r="G1572" s="6">
        <v>82800</v>
      </c>
      <c r="H1572" s="6" t="str" cm="1">
        <f t="array" ref="H1572">_xlfn.IFS(
  G1572 &lt; 25000, "Low",
  AND(G1572 &gt;= 25000, G1572 &lt; 75000), "Medium",
  AND(G1572 &gt;= 75000, G1572 &lt; 150000), "High",
  G1572 &gt;= 150000, "Very High"
)</f>
        <v>High</v>
      </c>
      <c r="I1572" s="6">
        <v>0</v>
      </c>
      <c r="J1572" s="6">
        <v>0</v>
      </c>
      <c r="K1572" s="6">
        <f t="shared" si="97"/>
        <v>0</v>
      </c>
      <c r="L1572" s="9">
        <v>41237</v>
      </c>
      <c r="M1572" t="str">
        <f t="shared" ca="1" si="98"/>
        <v>13 years, 3 months</v>
      </c>
      <c r="N1572" s="6">
        <v>23</v>
      </c>
      <c r="O1572">
        <v>22</v>
      </c>
      <c r="P1572">
        <v>68</v>
      </c>
      <c r="Q1572">
        <f t="shared" si="99"/>
        <v>90</v>
      </c>
      <c r="R1572">
        <v>7</v>
      </c>
      <c r="S1572">
        <v>12</v>
      </c>
      <c r="T1572">
        <f>Table[[#This Row],[NumWebPurchases]]+Table[[#This Row],[NumStorePurchases]]</f>
        <v>19</v>
      </c>
    </row>
    <row r="1573" spans="1:20" ht="12.5">
      <c r="A1573" s="6">
        <v>1571</v>
      </c>
      <c r="B1573" s="6">
        <v>9916</v>
      </c>
      <c r="C1573" s="6">
        <v>1954</v>
      </c>
      <c r="D1573" s="6">
        <f t="shared" si="96"/>
        <v>71</v>
      </c>
      <c r="E1573" s="7" t="s">
        <v>9</v>
      </c>
      <c r="F1573" s="7" t="s">
        <v>13</v>
      </c>
      <c r="G1573" s="6">
        <v>38998</v>
      </c>
      <c r="H1573" s="6" t="str" cm="1">
        <f t="array" ref="H1573">_xlfn.IFS(
  G1573 &lt; 25000, "Low",
  AND(G1573 &gt;= 25000, G1573 &lt; 75000), "Medium",
  AND(G1573 &gt;= 75000, G1573 &lt; 150000), "High",
  G1573 &gt;= 150000, "Very High"
)</f>
        <v>Medium</v>
      </c>
      <c r="I1573" s="6">
        <v>1</v>
      </c>
      <c r="J1573" s="6">
        <v>1</v>
      </c>
      <c r="K1573" s="6">
        <f t="shared" si="97"/>
        <v>2</v>
      </c>
      <c r="L1573" s="8">
        <v>41216</v>
      </c>
      <c r="M1573" t="str">
        <f t="shared" ca="1" si="98"/>
        <v>13 years, 4 months</v>
      </c>
      <c r="N1573" s="6">
        <v>92</v>
      </c>
      <c r="O1573">
        <v>1</v>
      </c>
      <c r="P1573">
        <v>0</v>
      </c>
      <c r="Q1573">
        <f t="shared" si="99"/>
        <v>1</v>
      </c>
      <c r="R1573">
        <v>2</v>
      </c>
      <c r="S1573">
        <v>3</v>
      </c>
      <c r="T1573">
        <f>Table[[#This Row],[NumWebPurchases]]+Table[[#This Row],[NumStorePurchases]]</f>
        <v>5</v>
      </c>
    </row>
    <row r="1574" spans="1:20" ht="12.5">
      <c r="A1574" s="6">
        <v>1572</v>
      </c>
      <c r="B1574" s="6">
        <v>5350</v>
      </c>
      <c r="C1574" s="6">
        <v>1991</v>
      </c>
      <c r="D1574" s="6">
        <f t="shared" si="96"/>
        <v>34</v>
      </c>
      <c r="E1574" s="7" t="s">
        <v>14</v>
      </c>
      <c r="F1574" s="7" t="s">
        <v>10</v>
      </c>
      <c r="G1574" s="6">
        <v>90638</v>
      </c>
      <c r="H1574" s="6" t="str" cm="1">
        <f t="array" ref="H1574">_xlfn.IFS(
  G1574 &lt; 25000, "Low",
  AND(G1574 &gt;= 25000, G1574 &lt; 75000), "Medium",
  AND(G1574 &gt;= 75000, G1574 &lt; 150000), "High",
  G1574 &gt;= 150000, "Very High"
)</f>
        <v>High</v>
      </c>
      <c r="I1574" s="6">
        <v>0</v>
      </c>
      <c r="J1574" s="6">
        <v>0</v>
      </c>
      <c r="K1574" s="6">
        <f t="shared" si="97"/>
        <v>0</v>
      </c>
      <c r="L1574" s="8">
        <v>41683</v>
      </c>
      <c r="M1574" t="str">
        <f t="shared" ca="1" si="98"/>
        <v>12 years, 0 months</v>
      </c>
      <c r="N1574" s="6">
        <v>29</v>
      </c>
      <c r="O1574">
        <v>120</v>
      </c>
      <c r="P1574">
        <v>144</v>
      </c>
      <c r="Q1574">
        <f t="shared" si="99"/>
        <v>264</v>
      </c>
      <c r="R1574">
        <v>3</v>
      </c>
      <c r="S1574">
        <v>10</v>
      </c>
      <c r="T1574">
        <f>Table[[#This Row],[NumWebPurchases]]+Table[[#This Row],[NumStorePurchases]]</f>
        <v>13</v>
      </c>
    </row>
    <row r="1575" spans="1:20" ht="12.5">
      <c r="A1575" s="6">
        <v>1573</v>
      </c>
      <c r="B1575" s="6">
        <v>8135</v>
      </c>
      <c r="C1575" s="6">
        <v>1986</v>
      </c>
      <c r="D1575" s="6">
        <f t="shared" si="96"/>
        <v>39</v>
      </c>
      <c r="E1575" s="7" t="s">
        <v>14</v>
      </c>
      <c r="F1575" s="7" t="s">
        <v>13</v>
      </c>
      <c r="G1575" s="6">
        <v>27161</v>
      </c>
      <c r="H1575" s="6" t="str" cm="1">
        <f t="array" ref="H1575">_xlfn.IFS(
  G1575 &lt; 25000, "Low",
  AND(G1575 &gt;= 25000, G1575 &lt; 75000), "Medium",
  AND(G1575 &gt;= 75000, G1575 &lt; 150000), "High",
  G1575 &gt;= 150000, "Very High"
)</f>
        <v>Medium</v>
      </c>
      <c r="I1575" s="6">
        <v>1</v>
      </c>
      <c r="J1575" s="6">
        <v>0</v>
      </c>
      <c r="K1575" s="6">
        <f t="shared" si="97"/>
        <v>1</v>
      </c>
      <c r="L1575" s="9">
        <v>41575</v>
      </c>
      <c r="M1575" t="str">
        <f t="shared" ca="1" si="98"/>
        <v>12 years, 4 months</v>
      </c>
      <c r="N1575" s="6">
        <v>41</v>
      </c>
      <c r="O1575">
        <v>4</v>
      </c>
      <c r="P1575">
        <v>0</v>
      </c>
      <c r="Q1575">
        <f t="shared" si="99"/>
        <v>4</v>
      </c>
      <c r="R1575">
        <v>1</v>
      </c>
      <c r="S1575">
        <v>3</v>
      </c>
      <c r="T1575">
        <f>Table[[#This Row],[NumWebPurchases]]+Table[[#This Row],[NumStorePurchases]]</f>
        <v>4</v>
      </c>
    </row>
    <row r="1576" spans="1:20" ht="12.5">
      <c r="A1576" s="6">
        <v>1574</v>
      </c>
      <c r="B1576" s="6">
        <v>8685</v>
      </c>
      <c r="C1576" s="6">
        <v>1977</v>
      </c>
      <c r="D1576" s="6">
        <f t="shared" si="96"/>
        <v>48</v>
      </c>
      <c r="E1576" s="7" t="s">
        <v>9</v>
      </c>
      <c r="F1576" s="7" t="s">
        <v>13</v>
      </c>
      <c r="G1576" s="6">
        <v>42014</v>
      </c>
      <c r="H1576" s="6" t="str" cm="1">
        <f t="array" ref="H1576">_xlfn.IFS(
  G1576 &lt; 25000, "Low",
  AND(G1576 &gt;= 25000, G1576 &lt; 75000), "Medium",
  AND(G1576 &gt;= 75000, G1576 &lt; 150000), "High",
  G1576 &gt;= 150000, "Very High"
)</f>
        <v>Medium</v>
      </c>
      <c r="I1576" s="6">
        <v>1</v>
      </c>
      <c r="J1576" s="6">
        <v>0</v>
      </c>
      <c r="K1576" s="6">
        <f t="shared" si="97"/>
        <v>1</v>
      </c>
      <c r="L1576" s="8">
        <v>41138</v>
      </c>
      <c r="M1576" t="str">
        <f t="shared" ca="1" si="98"/>
        <v>13 years, 6 months</v>
      </c>
      <c r="N1576" s="6">
        <v>56</v>
      </c>
      <c r="O1576">
        <v>15</v>
      </c>
      <c r="P1576">
        <v>15</v>
      </c>
      <c r="Q1576">
        <f t="shared" si="99"/>
        <v>30</v>
      </c>
      <c r="R1576">
        <v>7</v>
      </c>
      <c r="S1576">
        <v>6</v>
      </c>
      <c r="T1576">
        <f>Table[[#This Row],[NumWebPurchases]]+Table[[#This Row],[NumStorePurchases]]</f>
        <v>13</v>
      </c>
    </row>
    <row r="1577" spans="1:20" ht="12.5">
      <c r="A1577" s="6">
        <v>1575</v>
      </c>
      <c r="B1577" s="6">
        <v>4967</v>
      </c>
      <c r="C1577" s="6">
        <v>1960</v>
      </c>
      <c r="D1577" s="6">
        <f t="shared" si="96"/>
        <v>65</v>
      </c>
      <c r="E1577" s="7" t="s">
        <v>12</v>
      </c>
      <c r="F1577" s="7" t="s">
        <v>11</v>
      </c>
      <c r="G1577" s="6">
        <v>38201</v>
      </c>
      <c r="H1577" s="6" t="str" cm="1">
        <f t="array" ref="H1577">_xlfn.IFS(
  G1577 &lt; 25000, "Low",
  AND(G1577 &gt;= 25000, G1577 &lt; 75000), "Medium",
  AND(G1577 &gt;= 75000, G1577 &lt; 150000), "High",
  G1577 &gt;= 150000, "Very High"
)</f>
        <v>Medium</v>
      </c>
      <c r="I1577" s="6">
        <v>0</v>
      </c>
      <c r="J1577" s="6">
        <v>1</v>
      </c>
      <c r="K1577" s="6">
        <f t="shared" si="97"/>
        <v>1</v>
      </c>
      <c r="L1577" s="8">
        <v>41362</v>
      </c>
      <c r="M1577" t="str">
        <f t="shared" ca="1" si="98"/>
        <v>12 years, 11 months</v>
      </c>
      <c r="N1577" s="6">
        <v>19</v>
      </c>
      <c r="O1577">
        <v>0</v>
      </c>
      <c r="P1577">
        <v>0</v>
      </c>
      <c r="Q1577">
        <f t="shared" si="99"/>
        <v>0</v>
      </c>
      <c r="R1577">
        <v>5</v>
      </c>
      <c r="S1577">
        <v>5</v>
      </c>
      <c r="T1577">
        <f>Table[[#This Row],[NumWebPurchases]]+Table[[#This Row],[NumStorePurchases]]</f>
        <v>10</v>
      </c>
    </row>
    <row r="1578" spans="1:20" ht="12.5">
      <c r="A1578" s="6">
        <v>1576</v>
      </c>
      <c r="B1578" s="6">
        <v>2130</v>
      </c>
      <c r="C1578" s="6">
        <v>1982</v>
      </c>
      <c r="D1578" s="6">
        <f t="shared" si="96"/>
        <v>43</v>
      </c>
      <c r="E1578" s="7" t="s">
        <v>9</v>
      </c>
      <c r="F1578" s="7" t="s">
        <v>11</v>
      </c>
      <c r="G1578" s="6">
        <v>45203</v>
      </c>
      <c r="H1578" s="6" t="str" cm="1">
        <f t="array" ref="H1578">_xlfn.IFS(
  G1578 &lt; 25000, "Low",
  AND(G1578 &gt;= 25000, G1578 &lt; 75000), "Medium",
  AND(G1578 &gt;= 75000, G1578 &lt; 150000), "High",
  G1578 &gt;= 150000, "Very High"
)</f>
        <v>Medium</v>
      </c>
      <c r="I1578" s="6">
        <v>2</v>
      </c>
      <c r="J1578" s="6">
        <v>0</v>
      </c>
      <c r="K1578" s="6">
        <f t="shared" si="97"/>
        <v>2</v>
      </c>
      <c r="L1578" s="8">
        <v>41721</v>
      </c>
      <c r="M1578" t="str">
        <f t="shared" ca="1" si="98"/>
        <v>11 years, 11 months</v>
      </c>
      <c r="N1578" s="6">
        <v>4</v>
      </c>
      <c r="O1578">
        <v>3</v>
      </c>
      <c r="P1578">
        <v>8</v>
      </c>
      <c r="Q1578">
        <f t="shared" si="99"/>
        <v>11</v>
      </c>
      <c r="R1578">
        <v>3</v>
      </c>
      <c r="S1578">
        <v>3</v>
      </c>
      <c r="T1578">
        <f>Table[[#This Row],[NumWebPurchases]]+Table[[#This Row],[NumStorePurchases]]</f>
        <v>6</v>
      </c>
    </row>
    <row r="1579" spans="1:20" ht="12.5">
      <c r="A1579" s="6">
        <v>1577</v>
      </c>
      <c r="B1579" s="6">
        <v>9298</v>
      </c>
      <c r="C1579" s="6">
        <v>1947</v>
      </c>
      <c r="D1579" s="6">
        <f t="shared" si="96"/>
        <v>78</v>
      </c>
      <c r="E1579" s="7" t="s">
        <v>12</v>
      </c>
      <c r="F1579" s="7" t="s">
        <v>11</v>
      </c>
      <c r="G1579" s="6">
        <v>81574</v>
      </c>
      <c r="H1579" s="6" t="str" cm="1">
        <f t="array" ref="H1579">_xlfn.IFS(
  G1579 &lt; 25000, "Low",
  AND(G1579 &gt;= 25000, G1579 &lt; 75000), "Medium",
  AND(G1579 &gt;= 75000, G1579 &lt; 150000), "High",
  G1579 &gt;= 150000, "Very High"
)</f>
        <v>High</v>
      </c>
      <c r="I1579" s="6">
        <v>0</v>
      </c>
      <c r="J1579" s="6">
        <v>0</v>
      </c>
      <c r="K1579" s="6">
        <f t="shared" si="97"/>
        <v>0</v>
      </c>
      <c r="L1579" s="8">
        <v>41757</v>
      </c>
      <c r="M1579" t="str">
        <f t="shared" ca="1" si="98"/>
        <v>11 years, 10 months</v>
      </c>
      <c r="N1579" s="6">
        <v>89</v>
      </c>
      <c r="O1579">
        <v>0</v>
      </c>
      <c r="P1579">
        <v>35</v>
      </c>
      <c r="Q1579">
        <f t="shared" si="99"/>
        <v>35</v>
      </c>
      <c r="R1579">
        <v>4</v>
      </c>
      <c r="S1579">
        <v>8</v>
      </c>
      <c r="T1579">
        <f>Table[[#This Row],[NumWebPurchases]]+Table[[#This Row],[NumStorePurchases]]</f>
        <v>12</v>
      </c>
    </row>
    <row r="1580" spans="1:20" ht="12.5">
      <c r="A1580" s="6">
        <v>1578</v>
      </c>
      <c r="B1580" s="6">
        <v>8175</v>
      </c>
      <c r="C1580" s="6">
        <v>1992</v>
      </c>
      <c r="D1580" s="6">
        <f t="shared" si="96"/>
        <v>33</v>
      </c>
      <c r="E1580" s="7" t="s">
        <v>9</v>
      </c>
      <c r="F1580" s="7" t="s">
        <v>13</v>
      </c>
      <c r="G1580" s="6">
        <v>34935</v>
      </c>
      <c r="H1580" s="6" t="str" cm="1">
        <f t="array" ref="H1580">_xlfn.IFS(
  G1580 &lt; 25000, "Low",
  AND(G1580 &gt;= 25000, G1580 &lt; 75000), "Medium",
  AND(G1580 &gt;= 75000, G1580 &lt; 150000), "High",
  G1580 &gt;= 150000, "Very High"
)</f>
        <v>Medium</v>
      </c>
      <c r="I1580" s="6">
        <v>0</v>
      </c>
      <c r="J1580" s="6">
        <v>0</v>
      </c>
      <c r="K1580" s="6">
        <f t="shared" si="97"/>
        <v>0</v>
      </c>
      <c r="L1580" s="8">
        <v>41446</v>
      </c>
      <c r="M1580" t="str">
        <f t="shared" ca="1" si="98"/>
        <v>12 years, 8 months</v>
      </c>
      <c r="N1580" s="6">
        <v>71</v>
      </c>
      <c r="O1580">
        <v>4</v>
      </c>
      <c r="P1580">
        <v>10</v>
      </c>
      <c r="Q1580">
        <f t="shared" si="99"/>
        <v>14</v>
      </c>
      <c r="R1580">
        <v>2</v>
      </c>
      <c r="S1580">
        <v>4</v>
      </c>
      <c r="T1580">
        <f>Table[[#This Row],[NumWebPurchases]]+Table[[#This Row],[NumStorePurchases]]</f>
        <v>6</v>
      </c>
    </row>
    <row r="1581" spans="1:20" ht="12.5">
      <c r="A1581" s="6">
        <v>1579</v>
      </c>
      <c r="B1581" s="6">
        <v>6257</v>
      </c>
      <c r="C1581" s="6">
        <v>1976</v>
      </c>
      <c r="D1581" s="6">
        <f t="shared" si="96"/>
        <v>49</v>
      </c>
      <c r="E1581" s="7" t="s">
        <v>14</v>
      </c>
      <c r="F1581" s="7" t="s">
        <v>10</v>
      </c>
      <c r="G1581" s="6">
        <v>60482</v>
      </c>
      <c r="H1581" s="6" t="str" cm="1">
        <f t="array" ref="H1581">_xlfn.IFS(
  G1581 &lt; 25000, "Low",
  AND(G1581 &gt;= 25000, G1581 &lt; 75000), "Medium",
  AND(G1581 &gt;= 75000, G1581 &lt; 150000), "High",
  G1581 &gt;= 150000, "Very High"
)</f>
        <v>Medium</v>
      </c>
      <c r="I1581" s="6">
        <v>0</v>
      </c>
      <c r="J1581" s="6">
        <v>1</v>
      </c>
      <c r="K1581" s="6">
        <f t="shared" si="97"/>
        <v>1</v>
      </c>
      <c r="L1581" s="8">
        <v>41297</v>
      </c>
      <c r="M1581" t="str">
        <f t="shared" ca="1" si="98"/>
        <v>13 years, 1 months</v>
      </c>
      <c r="N1581" s="6">
        <v>81</v>
      </c>
      <c r="O1581">
        <v>43</v>
      </c>
      <c r="P1581">
        <v>14</v>
      </c>
      <c r="Q1581">
        <f t="shared" si="99"/>
        <v>57</v>
      </c>
      <c r="R1581">
        <v>7</v>
      </c>
      <c r="S1581">
        <v>7</v>
      </c>
      <c r="T1581">
        <f>Table[[#This Row],[NumWebPurchases]]+Table[[#This Row],[NumStorePurchases]]</f>
        <v>14</v>
      </c>
    </row>
    <row r="1582" spans="1:20" ht="12.5">
      <c r="A1582" s="6">
        <v>1580</v>
      </c>
      <c r="B1582" s="6">
        <v>3790</v>
      </c>
      <c r="C1582" s="6">
        <v>1956</v>
      </c>
      <c r="D1582" s="6">
        <f t="shared" si="96"/>
        <v>69</v>
      </c>
      <c r="E1582" s="7" t="s">
        <v>9</v>
      </c>
      <c r="F1582" s="7" t="s">
        <v>11</v>
      </c>
      <c r="G1582" s="6">
        <v>34633</v>
      </c>
      <c r="H1582" s="6" t="str" cm="1">
        <f t="array" ref="H1582">_xlfn.IFS(
  G1582 &lt; 25000, "Low",
  AND(G1582 &gt;= 25000, G1582 &lt; 75000), "Medium",
  AND(G1582 &gt;= 75000, G1582 &lt; 150000), "High",
  G1582 &gt;= 150000, "Very High"
)</f>
        <v>Medium</v>
      </c>
      <c r="I1582" s="6">
        <v>2</v>
      </c>
      <c r="J1582" s="6">
        <v>1</v>
      </c>
      <c r="K1582" s="6">
        <f t="shared" si="97"/>
        <v>3</v>
      </c>
      <c r="L1582" s="8">
        <v>41662</v>
      </c>
      <c r="M1582" t="str">
        <f t="shared" ca="1" si="98"/>
        <v>12 years, 1 months</v>
      </c>
      <c r="N1582" s="6">
        <v>31</v>
      </c>
      <c r="O1582">
        <v>1</v>
      </c>
      <c r="P1582">
        <v>0</v>
      </c>
      <c r="Q1582">
        <f t="shared" si="99"/>
        <v>1</v>
      </c>
      <c r="R1582">
        <v>1</v>
      </c>
      <c r="S1582">
        <v>2</v>
      </c>
      <c r="T1582">
        <f>Table[[#This Row],[NumWebPurchases]]+Table[[#This Row],[NumStorePurchases]]</f>
        <v>3</v>
      </c>
    </row>
    <row r="1583" spans="1:20" ht="12.5">
      <c r="A1583" s="6">
        <v>1581</v>
      </c>
      <c r="B1583" s="6">
        <v>9952</v>
      </c>
      <c r="C1583" s="6">
        <v>1947</v>
      </c>
      <c r="D1583" s="6">
        <f t="shared" si="96"/>
        <v>78</v>
      </c>
      <c r="E1583" s="7" t="s">
        <v>14</v>
      </c>
      <c r="F1583" s="7" t="s">
        <v>11</v>
      </c>
      <c r="G1583" s="6">
        <v>78093</v>
      </c>
      <c r="H1583" s="6" t="str" cm="1">
        <f t="array" ref="H1583">_xlfn.IFS(
  G1583 &lt; 25000, "Low",
  AND(G1583 &gt;= 25000, G1583 &lt; 75000), "Medium",
  AND(G1583 &gt;= 75000, G1583 &lt; 150000), "High",
  G1583 &gt;= 150000, "Very High"
)</f>
        <v>High</v>
      </c>
      <c r="I1583" s="6">
        <v>0</v>
      </c>
      <c r="J1583" s="6">
        <v>0</v>
      </c>
      <c r="K1583" s="6">
        <f t="shared" si="97"/>
        <v>0</v>
      </c>
      <c r="L1583" s="9">
        <v>41619</v>
      </c>
      <c r="M1583" t="str">
        <f t="shared" ca="1" si="98"/>
        <v>12 years, 2 months</v>
      </c>
      <c r="N1583" s="6">
        <v>53</v>
      </c>
      <c r="O1583">
        <v>32</v>
      </c>
      <c r="P1583">
        <v>43</v>
      </c>
      <c r="Q1583">
        <f t="shared" si="99"/>
        <v>75</v>
      </c>
      <c r="R1583">
        <v>4</v>
      </c>
      <c r="S1583">
        <v>5</v>
      </c>
      <c r="T1583">
        <f>Table[[#This Row],[NumWebPurchases]]+Table[[#This Row],[NumStorePurchases]]</f>
        <v>9</v>
      </c>
    </row>
    <row r="1584" spans="1:20" ht="12.5">
      <c r="A1584" s="6">
        <v>1582</v>
      </c>
      <c r="B1584" s="6">
        <v>3503</v>
      </c>
      <c r="C1584" s="6">
        <v>1950</v>
      </c>
      <c r="D1584" s="6">
        <f t="shared" si="96"/>
        <v>75</v>
      </c>
      <c r="E1584" s="7" t="s">
        <v>9</v>
      </c>
      <c r="F1584" s="7" t="s">
        <v>15</v>
      </c>
      <c r="G1584" s="6">
        <v>82460</v>
      </c>
      <c r="H1584" s="6" t="str" cm="1">
        <f t="array" ref="H1584">_xlfn.IFS(
  G1584 &lt; 25000, "Low",
  AND(G1584 &gt;= 25000, G1584 &lt; 75000), "Medium",
  AND(G1584 &gt;= 75000, G1584 &lt; 150000), "High",
  G1584 &gt;= 150000, "Very High"
)</f>
        <v>High</v>
      </c>
      <c r="I1584" s="6">
        <v>0</v>
      </c>
      <c r="J1584" s="6">
        <v>0</v>
      </c>
      <c r="K1584" s="6">
        <f t="shared" si="97"/>
        <v>0</v>
      </c>
      <c r="L1584" s="8">
        <v>41610</v>
      </c>
      <c r="M1584" t="str">
        <f t="shared" ca="1" si="98"/>
        <v>12 years, 3 months</v>
      </c>
      <c r="N1584" s="6">
        <v>78</v>
      </c>
      <c r="O1584">
        <v>47</v>
      </c>
      <c r="P1584">
        <v>32</v>
      </c>
      <c r="Q1584">
        <f t="shared" si="99"/>
        <v>79</v>
      </c>
      <c r="R1584">
        <v>5</v>
      </c>
      <c r="S1584">
        <v>6</v>
      </c>
      <c r="T1584">
        <f>Table[[#This Row],[NumWebPurchases]]+Table[[#This Row],[NumStorePurchases]]</f>
        <v>11</v>
      </c>
    </row>
    <row r="1585" spans="1:20" ht="12.5">
      <c r="A1585" s="6">
        <v>1583</v>
      </c>
      <c r="B1585" s="6">
        <v>5223</v>
      </c>
      <c r="C1585" s="6">
        <v>1966</v>
      </c>
      <c r="D1585" s="6">
        <f t="shared" si="96"/>
        <v>59</v>
      </c>
      <c r="E1585" s="7" t="s">
        <v>14</v>
      </c>
      <c r="F1585" s="7" t="s">
        <v>11</v>
      </c>
      <c r="G1585" s="6">
        <v>45903</v>
      </c>
      <c r="H1585" s="6" t="str" cm="1">
        <f t="array" ref="H1585">_xlfn.IFS(
  G1585 &lt; 25000, "Low",
  AND(G1585 &gt;= 25000, G1585 &lt; 75000), "Medium",
  AND(G1585 &gt;= 75000, G1585 &lt; 150000), "High",
  G1585 &gt;= 150000, "Very High"
)</f>
        <v>Medium</v>
      </c>
      <c r="I1585" s="6">
        <v>0</v>
      </c>
      <c r="J1585" s="6">
        <v>1</v>
      </c>
      <c r="K1585" s="6">
        <f t="shared" si="97"/>
        <v>1</v>
      </c>
      <c r="L1585" s="8">
        <v>41752</v>
      </c>
      <c r="M1585" t="str">
        <f t="shared" ca="1" si="98"/>
        <v>11 years, 10 months</v>
      </c>
      <c r="N1585" s="6">
        <v>80</v>
      </c>
      <c r="O1585">
        <v>8</v>
      </c>
      <c r="P1585">
        <v>10</v>
      </c>
      <c r="Q1585">
        <f t="shared" si="99"/>
        <v>18</v>
      </c>
      <c r="R1585">
        <v>2</v>
      </c>
      <c r="S1585">
        <v>3</v>
      </c>
      <c r="T1585">
        <f>Table[[#This Row],[NumWebPurchases]]+Table[[#This Row],[NumStorePurchases]]</f>
        <v>5</v>
      </c>
    </row>
    <row r="1586" spans="1:20" ht="12.5">
      <c r="A1586" s="6">
        <v>1584</v>
      </c>
      <c r="B1586" s="6">
        <v>4608</v>
      </c>
      <c r="C1586" s="6">
        <v>1987</v>
      </c>
      <c r="D1586" s="6">
        <f t="shared" si="96"/>
        <v>38</v>
      </c>
      <c r="E1586" s="7" t="s">
        <v>9</v>
      </c>
      <c r="F1586" s="7" t="s">
        <v>15</v>
      </c>
      <c r="G1586" s="6">
        <v>81361</v>
      </c>
      <c r="H1586" s="6" t="str" cm="1">
        <f t="array" ref="H1586">_xlfn.IFS(
  G1586 &lt; 25000, "Low",
  AND(G1586 &gt;= 25000, G1586 &lt; 75000), "Medium",
  AND(G1586 &gt;= 75000, G1586 &lt; 150000), "High",
  G1586 &gt;= 150000, "Very High"
)</f>
        <v>High</v>
      </c>
      <c r="I1586" s="6">
        <v>0</v>
      </c>
      <c r="J1586" s="6">
        <v>0</v>
      </c>
      <c r="K1586" s="6">
        <f t="shared" si="97"/>
        <v>0</v>
      </c>
      <c r="L1586" s="8">
        <v>41695</v>
      </c>
      <c r="M1586" t="str">
        <f t="shared" ca="1" si="98"/>
        <v>12 years, 0 months</v>
      </c>
      <c r="N1586" s="6">
        <v>18</v>
      </c>
      <c r="O1586">
        <v>23</v>
      </c>
      <c r="P1586">
        <v>65</v>
      </c>
      <c r="Q1586">
        <f t="shared" si="99"/>
        <v>88</v>
      </c>
      <c r="R1586">
        <v>3</v>
      </c>
      <c r="S1586">
        <v>13</v>
      </c>
      <c r="T1586">
        <f>Table[[#This Row],[NumWebPurchases]]+Table[[#This Row],[NumStorePurchases]]</f>
        <v>16</v>
      </c>
    </row>
    <row r="1587" spans="1:20" ht="12.5">
      <c r="A1587" s="6">
        <v>1585</v>
      </c>
      <c r="B1587" s="6">
        <v>1626</v>
      </c>
      <c r="C1587" s="6">
        <v>1973</v>
      </c>
      <c r="D1587" s="6">
        <f t="shared" si="96"/>
        <v>52</v>
      </c>
      <c r="E1587" s="7" t="s">
        <v>12</v>
      </c>
      <c r="F1587" s="7" t="s">
        <v>15</v>
      </c>
      <c r="G1587" s="6">
        <v>35860</v>
      </c>
      <c r="H1587" s="6" t="str" cm="1">
        <f t="array" ref="H1587">_xlfn.IFS(
  G1587 &lt; 25000, "Low",
  AND(G1587 &gt;= 25000, G1587 &lt; 75000), "Medium",
  AND(G1587 &gt;= 75000, G1587 &lt; 150000), "High",
  G1587 &gt;= 150000, "Very High"
)</f>
        <v>Medium</v>
      </c>
      <c r="I1587" s="6">
        <v>1</v>
      </c>
      <c r="J1587" s="6">
        <v>1</v>
      </c>
      <c r="K1587" s="6">
        <f t="shared" si="97"/>
        <v>2</v>
      </c>
      <c r="L1587" s="8">
        <v>41778</v>
      </c>
      <c r="M1587" t="str">
        <f t="shared" ca="1" si="98"/>
        <v>11 years, 9 months</v>
      </c>
      <c r="N1587" s="6">
        <v>37</v>
      </c>
      <c r="O1587">
        <v>0</v>
      </c>
      <c r="P1587">
        <v>2</v>
      </c>
      <c r="Q1587">
        <f t="shared" si="99"/>
        <v>2</v>
      </c>
      <c r="R1587">
        <v>1</v>
      </c>
      <c r="S1587">
        <v>2</v>
      </c>
      <c r="T1587">
        <f>Table[[#This Row],[NumWebPurchases]]+Table[[#This Row],[NumStorePurchases]]</f>
        <v>3</v>
      </c>
    </row>
    <row r="1588" spans="1:20" ht="12.5">
      <c r="A1588" s="6">
        <v>1586</v>
      </c>
      <c r="B1588" s="6">
        <v>4764</v>
      </c>
      <c r="C1588" s="6">
        <v>1952</v>
      </c>
      <c r="D1588" s="6">
        <f t="shared" si="96"/>
        <v>73</v>
      </c>
      <c r="E1588" s="7" t="s">
        <v>14</v>
      </c>
      <c r="F1588" s="7" t="s">
        <v>11</v>
      </c>
      <c r="G1588" s="6">
        <v>40442</v>
      </c>
      <c r="H1588" s="6" t="str" cm="1">
        <f t="array" ref="H1588">_xlfn.IFS(
  G1588 &lt; 25000, "Low",
  AND(G1588 &gt;= 25000, G1588 &lt; 75000), "Medium",
  AND(G1588 &gt;= 75000, G1588 &lt; 150000), "High",
  G1588 &gt;= 150000, "Very High"
)</f>
        <v>Medium</v>
      </c>
      <c r="I1588" s="6">
        <v>1</v>
      </c>
      <c r="J1588" s="6">
        <v>1</v>
      </c>
      <c r="K1588" s="6">
        <f t="shared" si="97"/>
        <v>2</v>
      </c>
      <c r="L1588" s="8">
        <v>41140</v>
      </c>
      <c r="M1588" t="str">
        <f t="shared" ca="1" si="98"/>
        <v>13 years, 6 months</v>
      </c>
      <c r="N1588" s="6">
        <v>52</v>
      </c>
      <c r="O1588">
        <v>12</v>
      </c>
      <c r="P1588">
        <v>22</v>
      </c>
      <c r="Q1588">
        <f t="shared" si="99"/>
        <v>34</v>
      </c>
      <c r="R1588">
        <v>3</v>
      </c>
      <c r="S1588">
        <v>4</v>
      </c>
      <c r="T1588">
        <f>Table[[#This Row],[NumWebPurchases]]+Table[[#This Row],[NumStorePurchases]]</f>
        <v>7</v>
      </c>
    </row>
    <row r="1589" spans="1:20" ht="12.5">
      <c r="A1589" s="6">
        <v>1587</v>
      </c>
      <c r="B1589" s="6">
        <v>2471</v>
      </c>
      <c r="C1589" s="6">
        <v>1965</v>
      </c>
      <c r="D1589" s="6">
        <f t="shared" si="96"/>
        <v>60</v>
      </c>
      <c r="E1589" s="7" t="s">
        <v>9</v>
      </c>
      <c r="F1589" s="7" t="s">
        <v>13</v>
      </c>
      <c r="G1589" s="6">
        <v>61482</v>
      </c>
      <c r="H1589" s="6" t="str" cm="1">
        <f t="array" ref="H1589">_xlfn.IFS(
  G1589 &lt; 25000, "Low",
  AND(G1589 &gt;= 25000, G1589 &lt; 75000), "Medium",
  AND(G1589 &gt;= 75000, G1589 &lt; 150000), "High",
  G1589 &gt;= 150000, "Very High"
)</f>
        <v>Medium</v>
      </c>
      <c r="I1589" s="6">
        <v>0</v>
      </c>
      <c r="J1589" s="6">
        <v>0</v>
      </c>
      <c r="K1589" s="6">
        <f t="shared" si="97"/>
        <v>0</v>
      </c>
      <c r="L1589" s="8">
        <v>41817</v>
      </c>
      <c r="M1589" t="str">
        <f t="shared" ca="1" si="98"/>
        <v>11 years, 8 months</v>
      </c>
      <c r="N1589" s="6">
        <v>39</v>
      </c>
      <c r="O1589">
        <v>58</v>
      </c>
      <c r="P1589">
        <v>66</v>
      </c>
      <c r="Q1589">
        <f t="shared" si="99"/>
        <v>124</v>
      </c>
      <c r="R1589">
        <v>3</v>
      </c>
      <c r="S1589">
        <v>6</v>
      </c>
      <c r="T1589">
        <f>Table[[#This Row],[NumWebPurchases]]+Table[[#This Row],[NumStorePurchases]]</f>
        <v>9</v>
      </c>
    </row>
    <row r="1590" spans="1:20" ht="12.5">
      <c r="A1590" s="6">
        <v>1588</v>
      </c>
      <c r="B1590" s="6">
        <v>5892</v>
      </c>
      <c r="C1590" s="6">
        <v>1980</v>
      </c>
      <c r="D1590" s="6">
        <f t="shared" si="96"/>
        <v>45</v>
      </c>
      <c r="E1590" s="7" t="s">
        <v>9</v>
      </c>
      <c r="F1590" s="7" t="s">
        <v>13</v>
      </c>
      <c r="G1590" s="6">
        <v>34968</v>
      </c>
      <c r="H1590" s="6" t="str" cm="1">
        <f t="array" ref="H1590">_xlfn.IFS(
  G1590 &lt; 25000, "Low",
  AND(G1590 &gt;= 25000, G1590 &lt; 75000), "Medium",
  AND(G1590 &gt;= 75000, G1590 &lt; 150000), "High",
  G1590 &gt;= 150000, "Very High"
)</f>
        <v>Medium</v>
      </c>
      <c r="I1590" s="6">
        <v>1</v>
      </c>
      <c r="J1590" s="6">
        <v>0</v>
      </c>
      <c r="K1590" s="6">
        <f t="shared" si="97"/>
        <v>1</v>
      </c>
      <c r="L1590" s="8">
        <v>41374</v>
      </c>
      <c r="M1590" t="str">
        <f t="shared" ca="1" si="98"/>
        <v>12 years, 10 months</v>
      </c>
      <c r="N1590" s="6">
        <v>11</v>
      </c>
      <c r="O1590">
        <v>6</v>
      </c>
      <c r="P1590">
        <v>2</v>
      </c>
      <c r="Q1590">
        <f t="shared" si="99"/>
        <v>8</v>
      </c>
      <c r="R1590">
        <v>3</v>
      </c>
      <c r="S1590">
        <v>5</v>
      </c>
      <c r="T1590">
        <f>Table[[#This Row],[NumWebPurchases]]+Table[[#This Row],[NumStorePurchases]]</f>
        <v>8</v>
      </c>
    </row>
    <row r="1591" spans="1:20" ht="12.5">
      <c r="A1591" s="6">
        <v>1589</v>
      </c>
      <c r="B1591" s="6">
        <v>2612</v>
      </c>
      <c r="C1591" s="6">
        <v>1987</v>
      </c>
      <c r="D1591" s="6">
        <f t="shared" si="96"/>
        <v>38</v>
      </c>
      <c r="E1591" s="7" t="s">
        <v>9</v>
      </c>
      <c r="F1591" s="7" t="s">
        <v>13</v>
      </c>
      <c r="G1591" s="6">
        <v>75794</v>
      </c>
      <c r="H1591" s="6" t="str" cm="1">
        <f t="array" ref="H1591">_xlfn.IFS(
  G1591 &lt; 25000, "Low",
  AND(G1591 &gt;= 25000, G1591 &lt; 75000), "Medium",
  AND(G1591 &gt;= 75000, G1591 &lt; 150000), "High",
  G1591 &gt;= 150000, "Very High"
)</f>
        <v>High</v>
      </c>
      <c r="I1591" s="6">
        <v>0</v>
      </c>
      <c r="J1591" s="6">
        <v>0</v>
      </c>
      <c r="K1591" s="6">
        <f t="shared" si="97"/>
        <v>0</v>
      </c>
      <c r="L1591" s="9">
        <v>41632</v>
      </c>
      <c r="M1591" t="str">
        <f t="shared" ca="1" si="98"/>
        <v>12 years, 2 months</v>
      </c>
      <c r="N1591" s="6">
        <v>33</v>
      </c>
      <c r="O1591">
        <v>160</v>
      </c>
      <c r="P1591">
        <v>32</v>
      </c>
      <c r="Q1591">
        <f t="shared" si="99"/>
        <v>192</v>
      </c>
      <c r="R1591">
        <v>7</v>
      </c>
      <c r="S1591">
        <v>12</v>
      </c>
      <c r="T1591">
        <f>Table[[#This Row],[NumWebPurchases]]+Table[[#This Row],[NumStorePurchases]]</f>
        <v>19</v>
      </c>
    </row>
    <row r="1592" spans="1:20" ht="12.5">
      <c r="A1592" s="6">
        <v>1590</v>
      </c>
      <c r="B1592" s="6">
        <v>4971</v>
      </c>
      <c r="C1592" s="6">
        <v>1962</v>
      </c>
      <c r="D1592" s="6">
        <f t="shared" si="96"/>
        <v>63</v>
      </c>
      <c r="E1592" s="7" t="s">
        <v>12</v>
      </c>
      <c r="F1592" s="7" t="s">
        <v>11</v>
      </c>
      <c r="G1592" s="6">
        <v>31497</v>
      </c>
      <c r="H1592" s="6" t="str" cm="1">
        <f t="array" ref="H1592">_xlfn.IFS(
  G1592 &lt; 25000, "Low",
  AND(G1592 &gt;= 25000, G1592 &lt; 75000), "Medium",
  AND(G1592 &gt;= 75000, G1592 &lt; 150000), "High",
  G1592 &gt;= 150000, "Very High"
)</f>
        <v>Medium</v>
      </c>
      <c r="I1592" s="6">
        <v>0</v>
      </c>
      <c r="J1592" s="6">
        <v>1</v>
      </c>
      <c r="K1592" s="6">
        <f t="shared" si="97"/>
        <v>1</v>
      </c>
      <c r="L1592" s="8">
        <v>41249</v>
      </c>
      <c r="M1592" t="str">
        <f t="shared" ca="1" si="98"/>
        <v>13 years, 3 months</v>
      </c>
      <c r="N1592" s="6">
        <v>22</v>
      </c>
      <c r="O1592">
        <v>1</v>
      </c>
      <c r="P1592">
        <v>1</v>
      </c>
      <c r="Q1592">
        <f t="shared" si="99"/>
        <v>2</v>
      </c>
      <c r="R1592">
        <v>3</v>
      </c>
      <c r="S1592">
        <v>4</v>
      </c>
      <c r="T1592">
        <f>Table[[#This Row],[NumWebPurchases]]+Table[[#This Row],[NumStorePurchases]]</f>
        <v>7</v>
      </c>
    </row>
    <row r="1593" spans="1:20" ht="12.5">
      <c r="A1593" s="6">
        <v>1591</v>
      </c>
      <c r="B1593" s="6">
        <v>5185</v>
      </c>
      <c r="C1593" s="6">
        <v>1955</v>
      </c>
      <c r="D1593" s="6">
        <f t="shared" si="96"/>
        <v>70</v>
      </c>
      <c r="E1593" s="7" t="s">
        <v>9</v>
      </c>
      <c r="F1593" s="7" t="s">
        <v>13</v>
      </c>
      <c r="G1593" s="6">
        <v>74268</v>
      </c>
      <c r="H1593" s="6" t="str" cm="1">
        <f t="array" ref="H1593">_xlfn.IFS(
  G1593 &lt; 25000, "Low",
  AND(G1593 &gt;= 25000, G1593 &lt; 75000), "Medium",
  AND(G1593 &gt;= 75000, G1593 &lt; 150000), "High",
  G1593 &gt;= 150000, "Very High"
)</f>
        <v>Medium</v>
      </c>
      <c r="I1593" s="6">
        <v>0</v>
      </c>
      <c r="J1593" s="6">
        <v>0</v>
      </c>
      <c r="K1593" s="6">
        <f t="shared" si="97"/>
        <v>0</v>
      </c>
      <c r="L1593" s="8">
        <v>41319</v>
      </c>
      <c r="M1593" t="str">
        <f t="shared" ca="1" si="98"/>
        <v>13 years, 0 months</v>
      </c>
      <c r="N1593" s="6">
        <v>83</v>
      </c>
      <c r="O1593">
        <v>66</v>
      </c>
      <c r="P1593">
        <v>174</v>
      </c>
      <c r="Q1593">
        <f t="shared" si="99"/>
        <v>240</v>
      </c>
      <c r="R1593">
        <v>4</v>
      </c>
      <c r="S1593">
        <v>5</v>
      </c>
      <c r="T1593">
        <f>Table[[#This Row],[NumWebPurchases]]+Table[[#This Row],[NumStorePurchases]]</f>
        <v>9</v>
      </c>
    </row>
    <row r="1594" spans="1:20" ht="12.5">
      <c r="A1594" s="6">
        <v>1592</v>
      </c>
      <c r="B1594" s="6">
        <v>10069</v>
      </c>
      <c r="C1594" s="6">
        <v>1988</v>
      </c>
      <c r="D1594" s="6">
        <f t="shared" si="96"/>
        <v>37</v>
      </c>
      <c r="E1594" s="7" t="s">
        <v>16</v>
      </c>
      <c r="F1594" s="7" t="s">
        <v>11</v>
      </c>
      <c r="G1594" s="6">
        <v>13724</v>
      </c>
      <c r="H1594" s="6" t="str" cm="1">
        <f t="array" ref="H1594">_xlfn.IFS(
  G1594 &lt; 25000, "Low",
  AND(G1594 &gt;= 25000, G1594 &lt; 75000), "Medium",
  AND(G1594 &gt;= 75000, G1594 &lt; 150000), "High",
  G1594 &gt;= 150000, "Very High"
)</f>
        <v>Low</v>
      </c>
      <c r="I1594" s="6">
        <v>1</v>
      </c>
      <c r="J1594" s="6">
        <v>0</v>
      </c>
      <c r="K1594" s="6">
        <f t="shared" si="97"/>
        <v>1</v>
      </c>
      <c r="L1594" s="8">
        <v>41152</v>
      </c>
      <c r="M1594" t="str">
        <f t="shared" ca="1" si="98"/>
        <v>13 years, 6 months</v>
      </c>
      <c r="N1594" s="6">
        <v>43</v>
      </c>
      <c r="O1594">
        <v>7</v>
      </c>
      <c r="P1594">
        <v>15</v>
      </c>
      <c r="Q1594">
        <f t="shared" si="99"/>
        <v>22</v>
      </c>
      <c r="R1594">
        <v>2</v>
      </c>
      <c r="S1594">
        <v>2</v>
      </c>
      <c r="T1594">
        <f>Table[[#This Row],[NumWebPurchases]]+Table[[#This Row],[NumStorePurchases]]</f>
        <v>4</v>
      </c>
    </row>
    <row r="1595" spans="1:20" ht="12.5">
      <c r="A1595" s="6">
        <v>1593</v>
      </c>
      <c r="B1595" s="6">
        <v>2262</v>
      </c>
      <c r="C1595" s="6">
        <v>1965</v>
      </c>
      <c r="D1595" s="6">
        <f t="shared" si="96"/>
        <v>60</v>
      </c>
      <c r="E1595" s="7" t="s">
        <v>14</v>
      </c>
      <c r="F1595" s="7" t="s">
        <v>11</v>
      </c>
      <c r="G1595" s="6">
        <v>45143</v>
      </c>
      <c r="H1595" s="6" t="str" cm="1">
        <f t="array" ref="H1595">_xlfn.IFS(
  G1595 &lt; 25000, "Low",
  AND(G1595 &gt;= 25000, G1595 &lt; 75000), "Medium",
  AND(G1595 &gt;= 75000, G1595 &lt; 150000), "High",
  G1595 &gt;= 150000, "Very High"
)</f>
        <v>Medium</v>
      </c>
      <c r="I1595" s="6">
        <v>0</v>
      </c>
      <c r="J1595" s="6">
        <v>1</v>
      </c>
      <c r="K1595" s="6">
        <f t="shared" si="97"/>
        <v>1</v>
      </c>
      <c r="L1595" s="8">
        <v>41512</v>
      </c>
      <c r="M1595" t="str">
        <f t="shared" ca="1" si="98"/>
        <v>12 years, 6 months</v>
      </c>
      <c r="N1595" s="6">
        <v>74</v>
      </c>
      <c r="O1595">
        <v>5</v>
      </c>
      <c r="P1595">
        <v>5</v>
      </c>
      <c r="Q1595">
        <f t="shared" si="99"/>
        <v>10</v>
      </c>
      <c r="R1595">
        <v>6</v>
      </c>
      <c r="S1595">
        <v>5</v>
      </c>
      <c r="T1595">
        <f>Table[[#This Row],[NumWebPurchases]]+Table[[#This Row],[NumStorePurchases]]</f>
        <v>11</v>
      </c>
    </row>
    <row r="1596" spans="1:20" ht="12.5">
      <c r="A1596" s="6">
        <v>1594</v>
      </c>
      <c r="B1596" s="6">
        <v>1131</v>
      </c>
      <c r="C1596" s="6">
        <v>1967</v>
      </c>
      <c r="D1596" s="6">
        <f t="shared" si="96"/>
        <v>58</v>
      </c>
      <c r="E1596" s="7" t="s">
        <v>12</v>
      </c>
      <c r="F1596" s="7" t="s">
        <v>10</v>
      </c>
      <c r="G1596" s="6">
        <v>52569</v>
      </c>
      <c r="H1596" s="6" t="str" cm="1">
        <f t="array" ref="H1596">_xlfn.IFS(
  G1596 &lt; 25000, "Low",
  AND(G1596 &gt;= 25000, G1596 &lt; 75000), "Medium",
  AND(G1596 &gt;= 75000, G1596 &lt; 150000), "High",
  G1596 &gt;= 150000, "Very High"
)</f>
        <v>Medium</v>
      </c>
      <c r="I1596" s="6">
        <v>0</v>
      </c>
      <c r="J1596" s="6">
        <v>1</v>
      </c>
      <c r="K1596" s="6">
        <f t="shared" si="97"/>
        <v>1</v>
      </c>
      <c r="L1596" s="8">
        <v>41734</v>
      </c>
      <c r="M1596" t="str">
        <f t="shared" ca="1" si="98"/>
        <v>11 years, 11 months</v>
      </c>
      <c r="N1596" s="6">
        <v>54</v>
      </c>
      <c r="O1596">
        <v>0</v>
      </c>
      <c r="P1596">
        <v>0</v>
      </c>
      <c r="Q1596">
        <f t="shared" si="99"/>
        <v>0</v>
      </c>
      <c r="R1596">
        <v>2</v>
      </c>
      <c r="S1596">
        <v>4</v>
      </c>
      <c r="T1596">
        <f>Table[[#This Row],[NumWebPurchases]]+Table[[#This Row],[NumStorePurchases]]</f>
        <v>6</v>
      </c>
    </row>
    <row r="1597" spans="1:20" ht="12.5">
      <c r="A1597" s="6">
        <v>1595</v>
      </c>
      <c r="B1597" s="6">
        <v>1041</v>
      </c>
      <c r="C1597" s="6">
        <v>1973</v>
      </c>
      <c r="D1597" s="6">
        <f t="shared" si="96"/>
        <v>52</v>
      </c>
      <c r="E1597" s="7" t="s">
        <v>12</v>
      </c>
      <c r="F1597" s="7" t="s">
        <v>10</v>
      </c>
      <c r="G1597" s="6">
        <v>48432</v>
      </c>
      <c r="H1597" s="6" t="str" cm="1">
        <f t="array" ref="H1597">_xlfn.IFS(
  G1597 &lt; 25000, "Low",
  AND(G1597 &gt;= 25000, G1597 &lt; 75000), "Medium",
  AND(G1597 &gt;= 75000, G1597 &lt; 150000), "High",
  G1597 &gt;= 150000, "Very High"
)</f>
        <v>Medium</v>
      </c>
      <c r="I1597" s="6">
        <v>0</v>
      </c>
      <c r="J1597" s="6">
        <v>1</v>
      </c>
      <c r="K1597" s="6">
        <f t="shared" si="97"/>
        <v>1</v>
      </c>
      <c r="L1597" s="9">
        <v>41200</v>
      </c>
      <c r="M1597" t="str">
        <f t="shared" ca="1" si="98"/>
        <v>13 years, 4 months</v>
      </c>
      <c r="N1597" s="6">
        <v>3</v>
      </c>
      <c r="O1597">
        <v>3</v>
      </c>
      <c r="P1597">
        <v>3</v>
      </c>
      <c r="Q1597">
        <f t="shared" si="99"/>
        <v>6</v>
      </c>
      <c r="R1597">
        <v>7</v>
      </c>
      <c r="S1597">
        <v>6</v>
      </c>
      <c r="T1597">
        <f>Table[[#This Row],[NumWebPurchases]]+Table[[#This Row],[NumStorePurchases]]</f>
        <v>13</v>
      </c>
    </row>
    <row r="1598" spans="1:20" ht="12.5">
      <c r="A1598" s="6">
        <v>1596</v>
      </c>
      <c r="B1598" s="6">
        <v>24</v>
      </c>
      <c r="C1598" s="6">
        <v>1960</v>
      </c>
      <c r="D1598" s="6">
        <f t="shared" si="96"/>
        <v>65</v>
      </c>
      <c r="E1598" s="7" t="s">
        <v>14</v>
      </c>
      <c r="F1598" s="7" t="s">
        <v>11</v>
      </c>
      <c r="G1598" s="6">
        <v>17144</v>
      </c>
      <c r="H1598" s="6" t="str" cm="1">
        <f t="array" ref="H1598">_xlfn.IFS(
  G1598 &lt; 25000, "Low",
  AND(G1598 &gt;= 25000, G1598 &lt; 75000), "Medium",
  AND(G1598 &gt;= 75000, G1598 &lt; 150000), "High",
  G1598 &gt;= 150000, "Very High"
)</f>
        <v>Low</v>
      </c>
      <c r="I1598" s="6">
        <v>1</v>
      </c>
      <c r="J1598" s="6">
        <v>1</v>
      </c>
      <c r="K1598" s="6">
        <f t="shared" si="97"/>
        <v>2</v>
      </c>
      <c r="L1598" s="8">
        <v>41685</v>
      </c>
      <c r="M1598" t="str">
        <f t="shared" ca="1" si="98"/>
        <v>12 years, 0 months</v>
      </c>
      <c r="N1598" s="6">
        <v>96</v>
      </c>
      <c r="O1598">
        <v>2</v>
      </c>
      <c r="P1598">
        <v>2</v>
      </c>
      <c r="Q1598">
        <f t="shared" si="99"/>
        <v>4</v>
      </c>
      <c r="R1598">
        <v>3</v>
      </c>
      <c r="S1598">
        <v>4</v>
      </c>
      <c r="T1598">
        <f>Table[[#This Row],[NumWebPurchases]]+Table[[#This Row],[NumStorePurchases]]</f>
        <v>7</v>
      </c>
    </row>
    <row r="1599" spans="1:20" ht="12.5">
      <c r="A1599" s="6">
        <v>1597</v>
      </c>
      <c r="B1599" s="6">
        <v>3409</v>
      </c>
      <c r="C1599" s="6">
        <v>1984</v>
      </c>
      <c r="D1599" s="6">
        <f t="shared" si="96"/>
        <v>41</v>
      </c>
      <c r="E1599" s="7" t="s">
        <v>9</v>
      </c>
      <c r="F1599" s="7" t="s">
        <v>10</v>
      </c>
      <c r="G1599" s="6">
        <v>36108</v>
      </c>
      <c r="H1599" s="6" t="str" cm="1">
        <f t="array" ref="H1599">_xlfn.IFS(
  G1599 &lt; 25000, "Low",
  AND(G1599 &gt;= 25000, G1599 &lt; 75000), "Medium",
  AND(G1599 &gt;= 75000, G1599 &lt; 150000), "High",
  G1599 &gt;= 150000, "Very High"
)</f>
        <v>Medium</v>
      </c>
      <c r="I1599" s="6">
        <v>1</v>
      </c>
      <c r="J1599" s="6">
        <v>0</v>
      </c>
      <c r="K1599" s="6">
        <f t="shared" si="97"/>
        <v>1</v>
      </c>
      <c r="L1599" s="9">
        <v>41562</v>
      </c>
      <c r="M1599" t="str">
        <f t="shared" ca="1" si="98"/>
        <v>12 years, 4 months</v>
      </c>
      <c r="N1599" s="6">
        <v>68</v>
      </c>
      <c r="O1599">
        <v>8</v>
      </c>
      <c r="P1599">
        <v>11</v>
      </c>
      <c r="Q1599">
        <f t="shared" si="99"/>
        <v>19</v>
      </c>
      <c r="R1599">
        <v>7</v>
      </c>
      <c r="S1599">
        <v>4</v>
      </c>
      <c r="T1599">
        <f>Table[[#This Row],[NumWebPurchases]]+Table[[#This Row],[NumStorePurchases]]</f>
        <v>11</v>
      </c>
    </row>
    <row r="1600" spans="1:20" ht="12.5">
      <c r="A1600" s="6">
        <v>1598</v>
      </c>
      <c r="B1600" s="6">
        <v>7022</v>
      </c>
      <c r="C1600" s="6">
        <v>1971</v>
      </c>
      <c r="D1600" s="6">
        <f t="shared" si="96"/>
        <v>54</v>
      </c>
      <c r="E1600" s="7" t="s">
        <v>9</v>
      </c>
      <c r="F1600" s="7" t="s">
        <v>13</v>
      </c>
      <c r="G1600" s="6">
        <v>76445</v>
      </c>
      <c r="H1600" s="6" t="str" cm="1">
        <f t="array" ref="H1600">_xlfn.IFS(
  G1600 &lt; 25000, "Low",
  AND(G1600 &gt;= 25000, G1600 &lt; 75000), "Medium",
  AND(G1600 &gt;= 75000, G1600 &lt; 150000), "High",
  G1600 &gt;= 150000, "Very High"
)</f>
        <v>High</v>
      </c>
      <c r="I1600" s="6">
        <v>1</v>
      </c>
      <c r="J1600" s="6">
        <v>0</v>
      </c>
      <c r="K1600" s="6">
        <f t="shared" si="97"/>
        <v>1</v>
      </c>
      <c r="L1600" s="8">
        <v>41180</v>
      </c>
      <c r="M1600" t="str">
        <f t="shared" ca="1" si="98"/>
        <v>13 years, 5 months</v>
      </c>
      <c r="N1600" s="6">
        <v>2</v>
      </c>
      <c r="O1600">
        <v>107</v>
      </c>
      <c r="P1600">
        <v>80</v>
      </c>
      <c r="Q1600">
        <f t="shared" si="99"/>
        <v>187</v>
      </c>
      <c r="R1600">
        <v>2</v>
      </c>
      <c r="S1600">
        <v>13</v>
      </c>
      <c r="T1600">
        <f>Table[[#This Row],[NumWebPurchases]]+Table[[#This Row],[NumStorePurchases]]</f>
        <v>15</v>
      </c>
    </row>
    <row r="1601" spans="1:20" ht="12.5">
      <c r="A1601" s="6">
        <v>1599</v>
      </c>
      <c r="B1601" s="6">
        <v>7943</v>
      </c>
      <c r="C1601" s="6">
        <v>1975</v>
      </c>
      <c r="D1601" s="6">
        <f t="shared" si="96"/>
        <v>50</v>
      </c>
      <c r="E1601" s="7" t="s">
        <v>12</v>
      </c>
      <c r="F1601" s="7" t="s">
        <v>13</v>
      </c>
      <c r="G1601" s="6">
        <v>36663</v>
      </c>
      <c r="H1601" s="6" t="str" cm="1">
        <f t="array" ref="H1601">_xlfn.IFS(
  G1601 &lt; 25000, "Low",
  AND(G1601 &gt;= 25000, G1601 &lt; 75000), "Medium",
  AND(G1601 &gt;= 75000, G1601 &lt; 150000), "High",
  G1601 &gt;= 150000, "Very High"
)</f>
        <v>Medium</v>
      </c>
      <c r="I1601" s="6">
        <v>1</v>
      </c>
      <c r="J1601" s="6">
        <v>0</v>
      </c>
      <c r="K1601" s="6">
        <f t="shared" si="97"/>
        <v>1</v>
      </c>
      <c r="L1601" s="8">
        <v>41754</v>
      </c>
      <c r="M1601" t="str">
        <f t="shared" ca="1" si="98"/>
        <v>11 years, 10 months</v>
      </c>
      <c r="N1601" s="6">
        <v>40</v>
      </c>
      <c r="O1601">
        <v>0</v>
      </c>
      <c r="P1601">
        <v>3</v>
      </c>
      <c r="Q1601">
        <f t="shared" si="99"/>
        <v>3</v>
      </c>
      <c r="R1601">
        <v>1</v>
      </c>
      <c r="S1601">
        <v>3</v>
      </c>
      <c r="T1601">
        <f>Table[[#This Row],[NumWebPurchases]]+Table[[#This Row],[NumStorePurchases]]</f>
        <v>4</v>
      </c>
    </row>
    <row r="1602" spans="1:20" ht="12.5">
      <c r="A1602" s="6">
        <v>1600</v>
      </c>
      <c r="B1602" s="6">
        <v>5272</v>
      </c>
      <c r="C1602" s="6">
        <v>1965</v>
      </c>
      <c r="D1602" s="6">
        <f t="shared" si="96"/>
        <v>60</v>
      </c>
      <c r="E1602" s="7" t="s">
        <v>14</v>
      </c>
      <c r="F1602" s="7" t="s">
        <v>13</v>
      </c>
      <c r="G1602" s="6">
        <v>53843</v>
      </c>
      <c r="H1602" s="6" t="str" cm="1">
        <f t="array" ref="H1602">_xlfn.IFS(
  G1602 &lt; 25000, "Low",
  AND(G1602 &gt;= 25000, G1602 &lt; 75000), "Medium",
  AND(G1602 &gt;= 75000, G1602 &lt; 150000), "High",
  G1602 &gt;= 150000, "Very High"
)</f>
        <v>Medium</v>
      </c>
      <c r="I1602" s="6">
        <v>0</v>
      </c>
      <c r="J1602" s="6">
        <v>1</v>
      </c>
      <c r="K1602" s="6">
        <f t="shared" si="97"/>
        <v>1</v>
      </c>
      <c r="L1602" s="8">
        <v>41452</v>
      </c>
      <c r="M1602" t="str">
        <f t="shared" ca="1" si="98"/>
        <v>12 years, 8 months</v>
      </c>
      <c r="N1602" s="6">
        <v>64</v>
      </c>
      <c r="O1602">
        <v>0</v>
      </c>
      <c r="P1602">
        <v>4</v>
      </c>
      <c r="Q1602">
        <f t="shared" si="99"/>
        <v>4</v>
      </c>
      <c r="R1602">
        <v>8</v>
      </c>
      <c r="S1602">
        <v>3</v>
      </c>
      <c r="T1602">
        <f>Table[[#This Row],[NumWebPurchases]]+Table[[#This Row],[NumStorePurchases]]</f>
        <v>11</v>
      </c>
    </row>
    <row r="1603" spans="1:20" ht="12.5">
      <c r="A1603" s="6">
        <v>1601</v>
      </c>
      <c r="B1603" s="6">
        <v>5453</v>
      </c>
      <c r="C1603" s="6">
        <v>1956</v>
      </c>
      <c r="D1603" s="6">
        <f t="shared" ref="D1603:D1666" si="100">2025-C1603</f>
        <v>69</v>
      </c>
      <c r="E1603" s="7" t="s">
        <v>14</v>
      </c>
      <c r="F1603" s="7" t="s">
        <v>13</v>
      </c>
      <c r="G1603" s="6">
        <v>90226</v>
      </c>
      <c r="H1603" s="6" t="str" cm="1">
        <f t="array" ref="H1603">_xlfn.IFS(
  G1603 &lt; 25000, "Low",
  AND(G1603 &gt;= 25000, G1603 &lt; 75000), "Medium",
  AND(G1603 &gt;= 75000, G1603 &lt; 150000), "High",
  G1603 &gt;= 150000, "Very High"
)</f>
        <v>High</v>
      </c>
      <c r="I1603" s="6">
        <v>0</v>
      </c>
      <c r="J1603" s="6">
        <v>0</v>
      </c>
      <c r="K1603" s="6">
        <f t="shared" ref="K1603:K1666" si="101">I1603+J1603</f>
        <v>0</v>
      </c>
      <c r="L1603" s="8">
        <v>41178</v>
      </c>
      <c r="M1603" t="str">
        <f t="shared" ref="M1603:M1666" ca="1" si="102">DATEDIF(L1603, TODAY(), "Y") &amp; " years, " &amp; DATEDIF(L1603, TODAY(), "YM") &amp; " months"</f>
        <v>13 years, 5 months</v>
      </c>
      <c r="N1603" s="6">
        <v>26</v>
      </c>
      <c r="O1603">
        <v>108</v>
      </c>
      <c r="P1603">
        <v>151</v>
      </c>
      <c r="Q1603">
        <f t="shared" ref="Q1603:Q1666" si="103">O1603+P1603</f>
        <v>259</v>
      </c>
      <c r="R1603">
        <v>4</v>
      </c>
      <c r="S1603">
        <v>12</v>
      </c>
      <c r="T1603">
        <f>Table[[#This Row],[NumWebPurchases]]+Table[[#This Row],[NumStorePurchases]]</f>
        <v>16</v>
      </c>
    </row>
    <row r="1604" spans="1:20" ht="12.5">
      <c r="A1604" s="6">
        <v>1602</v>
      </c>
      <c r="B1604" s="6">
        <v>2565</v>
      </c>
      <c r="C1604" s="6">
        <v>1955</v>
      </c>
      <c r="D1604" s="6">
        <f t="shared" si="100"/>
        <v>70</v>
      </c>
      <c r="E1604" s="7" t="s">
        <v>14</v>
      </c>
      <c r="F1604" s="7" t="s">
        <v>15</v>
      </c>
      <c r="G1604" s="6">
        <v>70638</v>
      </c>
      <c r="H1604" s="6" t="str" cm="1">
        <f t="array" ref="H1604">_xlfn.IFS(
  G1604 &lt; 25000, "Low",
  AND(G1604 &gt;= 25000, G1604 &lt; 75000), "Medium",
  AND(G1604 &gt;= 75000, G1604 &lt; 150000), "High",
  G1604 &gt;= 150000, "Very High"
)</f>
        <v>Medium</v>
      </c>
      <c r="I1604" s="6">
        <v>0</v>
      </c>
      <c r="J1604" s="6">
        <v>0</v>
      </c>
      <c r="K1604" s="6">
        <f t="shared" si="101"/>
        <v>0</v>
      </c>
      <c r="L1604" s="8">
        <v>41426</v>
      </c>
      <c r="M1604" t="str">
        <f t="shared" ca="1" si="102"/>
        <v>12 years, 9 months</v>
      </c>
      <c r="N1604" s="6">
        <v>69</v>
      </c>
      <c r="O1604">
        <v>12</v>
      </c>
      <c r="P1604">
        <v>12</v>
      </c>
      <c r="Q1604">
        <f t="shared" si="103"/>
        <v>24</v>
      </c>
      <c r="R1604">
        <v>4</v>
      </c>
      <c r="S1604">
        <v>10</v>
      </c>
      <c r="T1604">
        <f>Table[[#This Row],[NumWebPurchases]]+Table[[#This Row],[NumStorePurchases]]</f>
        <v>14</v>
      </c>
    </row>
    <row r="1605" spans="1:20" ht="12.5">
      <c r="A1605" s="6">
        <v>1603</v>
      </c>
      <c r="B1605" s="6">
        <v>800</v>
      </c>
      <c r="C1605" s="6">
        <v>1960</v>
      </c>
      <c r="D1605" s="6">
        <f t="shared" si="100"/>
        <v>65</v>
      </c>
      <c r="E1605" s="7" t="s">
        <v>9</v>
      </c>
      <c r="F1605" s="7" t="s">
        <v>11</v>
      </c>
      <c r="G1605" s="6">
        <v>44512</v>
      </c>
      <c r="H1605" s="6" t="str" cm="1">
        <f t="array" ref="H1605">_xlfn.IFS(
  G1605 &lt; 25000, "Low",
  AND(G1605 &gt;= 25000, G1605 &lt; 75000), "Medium",
  AND(G1605 &gt;= 75000, G1605 &lt; 150000), "High",
  G1605 &gt;= 150000, "Very High"
)</f>
        <v>Medium</v>
      </c>
      <c r="I1605" s="6">
        <v>1</v>
      </c>
      <c r="J1605" s="6">
        <v>1</v>
      </c>
      <c r="K1605" s="6">
        <f t="shared" si="101"/>
        <v>2</v>
      </c>
      <c r="L1605" s="8">
        <v>41516</v>
      </c>
      <c r="M1605" t="str">
        <f t="shared" ca="1" si="102"/>
        <v>12 years, 6 months</v>
      </c>
      <c r="N1605" s="6">
        <v>57</v>
      </c>
      <c r="O1605">
        <v>1</v>
      </c>
      <c r="P1605">
        <v>0</v>
      </c>
      <c r="Q1605">
        <f t="shared" si="103"/>
        <v>1</v>
      </c>
      <c r="R1605">
        <v>1</v>
      </c>
      <c r="S1605">
        <v>3</v>
      </c>
      <c r="T1605">
        <f>Table[[#This Row],[NumWebPurchases]]+Table[[#This Row],[NumStorePurchases]]</f>
        <v>4</v>
      </c>
    </row>
    <row r="1606" spans="1:20" ht="12.5">
      <c r="A1606" s="6">
        <v>1604</v>
      </c>
      <c r="B1606" s="6">
        <v>11092</v>
      </c>
      <c r="C1606" s="6">
        <v>1961</v>
      </c>
      <c r="D1606" s="6">
        <f t="shared" si="100"/>
        <v>64</v>
      </c>
      <c r="E1606" s="7" t="s">
        <v>9</v>
      </c>
      <c r="F1606" s="7" t="s">
        <v>13</v>
      </c>
      <c r="G1606" s="6">
        <v>27116</v>
      </c>
      <c r="H1606" s="6" t="str" cm="1">
        <f t="array" ref="H1606">_xlfn.IFS(
  G1606 &lt; 25000, "Low",
  AND(G1606 &gt;= 25000, G1606 &lt; 75000), "Medium",
  AND(G1606 &gt;= 75000, G1606 &lt; 150000), "High",
  G1606 &gt;= 150000, "Very High"
)</f>
        <v>Medium</v>
      </c>
      <c r="I1606" s="6">
        <v>1</v>
      </c>
      <c r="J1606" s="6">
        <v>1</v>
      </c>
      <c r="K1606" s="6">
        <f t="shared" si="101"/>
        <v>2</v>
      </c>
      <c r="L1606" s="8">
        <v>41700</v>
      </c>
      <c r="M1606" t="str">
        <f t="shared" ca="1" si="102"/>
        <v>12 years, 0 months</v>
      </c>
      <c r="N1606" s="6">
        <v>78</v>
      </c>
      <c r="O1606">
        <v>1</v>
      </c>
      <c r="P1606">
        <v>2</v>
      </c>
      <c r="Q1606">
        <f t="shared" si="103"/>
        <v>3</v>
      </c>
      <c r="R1606">
        <v>2</v>
      </c>
      <c r="S1606">
        <v>3</v>
      </c>
      <c r="T1606">
        <f>Table[[#This Row],[NumWebPurchases]]+Table[[#This Row],[NumStorePurchases]]</f>
        <v>5</v>
      </c>
    </row>
    <row r="1607" spans="1:20" ht="12.5">
      <c r="A1607" s="6">
        <v>1605</v>
      </c>
      <c r="B1607" s="6">
        <v>5062</v>
      </c>
      <c r="C1607" s="6">
        <v>1963</v>
      </c>
      <c r="D1607" s="6">
        <f t="shared" si="100"/>
        <v>62</v>
      </c>
      <c r="E1607" s="7" t="s">
        <v>12</v>
      </c>
      <c r="F1607" s="7" t="s">
        <v>13</v>
      </c>
      <c r="G1607" s="6">
        <v>54072</v>
      </c>
      <c r="H1607" s="6" t="str" cm="1">
        <f t="array" ref="H1607">_xlfn.IFS(
  G1607 &lt; 25000, "Low",
  AND(G1607 &gt;= 25000, G1607 &lt; 75000), "Medium",
  AND(G1607 &gt;= 75000, G1607 &lt; 150000), "High",
  G1607 &gt;= 150000, "Very High"
)</f>
        <v>Medium</v>
      </c>
      <c r="I1607" s="6">
        <v>1</v>
      </c>
      <c r="J1607" s="6">
        <v>1</v>
      </c>
      <c r="K1607" s="6">
        <f t="shared" si="101"/>
        <v>2</v>
      </c>
      <c r="L1607" s="8">
        <v>41482</v>
      </c>
      <c r="M1607" t="str">
        <f t="shared" ca="1" si="102"/>
        <v>12 years, 7 months</v>
      </c>
      <c r="N1607" s="6">
        <v>71</v>
      </c>
      <c r="O1607">
        <v>0</v>
      </c>
      <c r="P1607">
        <v>0</v>
      </c>
      <c r="Q1607">
        <f t="shared" si="103"/>
        <v>0</v>
      </c>
      <c r="R1607">
        <v>2</v>
      </c>
      <c r="S1607">
        <v>2</v>
      </c>
      <c r="T1607">
        <f>Table[[#This Row],[NumWebPurchases]]+Table[[#This Row],[NumStorePurchases]]</f>
        <v>4</v>
      </c>
    </row>
    <row r="1608" spans="1:20" ht="12.5">
      <c r="A1608" s="6">
        <v>1606</v>
      </c>
      <c r="B1608" s="6">
        <v>8969</v>
      </c>
      <c r="C1608" s="6">
        <v>1977</v>
      </c>
      <c r="D1608" s="6">
        <f t="shared" si="100"/>
        <v>48</v>
      </c>
      <c r="E1608" s="7" t="s">
        <v>9</v>
      </c>
      <c r="F1608" s="7" t="s">
        <v>13</v>
      </c>
      <c r="G1608" s="6">
        <v>71855</v>
      </c>
      <c r="H1608" s="6" t="str" cm="1">
        <f t="array" ref="H1608">_xlfn.IFS(
  G1608 &lt; 25000, "Low",
  AND(G1608 &gt;= 25000, G1608 &lt; 75000), "Medium",
  AND(G1608 &gt;= 75000, G1608 &lt; 150000), "High",
  G1608 &gt;= 150000, "Very High"
)</f>
        <v>Medium</v>
      </c>
      <c r="I1608" s="6">
        <v>0</v>
      </c>
      <c r="J1608" s="6">
        <v>1</v>
      </c>
      <c r="K1608" s="6">
        <f t="shared" si="101"/>
        <v>1</v>
      </c>
      <c r="L1608" s="8">
        <v>41290</v>
      </c>
      <c r="M1608" t="str">
        <f t="shared" ca="1" si="102"/>
        <v>13 years, 1 months</v>
      </c>
      <c r="N1608" s="6">
        <v>59</v>
      </c>
      <c r="O1608">
        <v>31</v>
      </c>
      <c r="P1608">
        <v>112</v>
      </c>
      <c r="Q1608">
        <f t="shared" si="103"/>
        <v>143</v>
      </c>
      <c r="R1608">
        <v>5</v>
      </c>
      <c r="S1608">
        <v>11</v>
      </c>
      <c r="T1608">
        <f>Table[[#This Row],[NumWebPurchases]]+Table[[#This Row],[NumStorePurchases]]</f>
        <v>16</v>
      </c>
    </row>
    <row r="1609" spans="1:20" ht="12.5">
      <c r="A1609" s="6">
        <v>1607</v>
      </c>
      <c r="B1609" s="6">
        <v>4656</v>
      </c>
      <c r="C1609" s="6">
        <v>1990</v>
      </c>
      <c r="D1609" s="6">
        <f t="shared" si="100"/>
        <v>35</v>
      </c>
      <c r="E1609" s="7" t="s">
        <v>17</v>
      </c>
      <c r="F1609" s="7" t="s">
        <v>10</v>
      </c>
      <c r="G1609" s="6">
        <v>51250</v>
      </c>
      <c r="H1609" s="6" t="str" cm="1">
        <f t="array" ref="H1609">_xlfn.IFS(
  G1609 &lt; 25000, "Low",
  AND(G1609 &gt;= 25000, G1609 &lt; 75000), "Medium",
  AND(G1609 &gt;= 75000, G1609 &lt; 150000), "High",
  G1609 &gt;= 150000, "Very High"
)</f>
        <v>Medium</v>
      </c>
      <c r="I1609" s="6">
        <v>1</v>
      </c>
      <c r="J1609" s="6">
        <v>0</v>
      </c>
      <c r="K1609" s="6">
        <f t="shared" si="101"/>
        <v>1</v>
      </c>
      <c r="L1609" s="8">
        <v>41363</v>
      </c>
      <c r="M1609" t="str">
        <f t="shared" ca="1" si="102"/>
        <v>12 years, 11 months</v>
      </c>
      <c r="N1609" s="6">
        <v>28</v>
      </c>
      <c r="O1609">
        <v>32</v>
      </c>
      <c r="P1609">
        <v>32</v>
      </c>
      <c r="Q1609">
        <f t="shared" si="103"/>
        <v>64</v>
      </c>
      <c r="R1609">
        <v>10</v>
      </c>
      <c r="S1609">
        <v>4</v>
      </c>
      <c r="T1609">
        <f>Table[[#This Row],[NumWebPurchases]]+Table[[#This Row],[NumStorePurchases]]</f>
        <v>14</v>
      </c>
    </row>
    <row r="1610" spans="1:20" ht="12.5">
      <c r="A1610" s="6">
        <v>1608</v>
      </c>
      <c r="B1610" s="6">
        <v>4480</v>
      </c>
      <c r="C1610" s="6">
        <v>1973</v>
      </c>
      <c r="D1610" s="6">
        <f t="shared" si="100"/>
        <v>52</v>
      </c>
      <c r="E1610" s="7" t="s">
        <v>14</v>
      </c>
      <c r="F1610" s="7" t="s">
        <v>13</v>
      </c>
      <c r="G1610" s="6">
        <v>60432</v>
      </c>
      <c r="H1610" s="6" t="str" cm="1">
        <f t="array" ref="H1610">_xlfn.IFS(
  G1610 &lt; 25000, "Low",
  AND(G1610 &gt;= 25000, G1610 &lt; 75000), "Medium",
  AND(G1610 &gt;= 75000, G1610 &lt; 150000), "High",
  G1610 &gt;= 150000, "Very High"
)</f>
        <v>Medium</v>
      </c>
      <c r="I1610" s="6">
        <v>0</v>
      </c>
      <c r="J1610" s="6">
        <v>1</v>
      </c>
      <c r="K1610" s="6">
        <f t="shared" si="101"/>
        <v>1</v>
      </c>
      <c r="L1610" s="8">
        <v>41707</v>
      </c>
      <c r="M1610" t="str">
        <f t="shared" ca="1" si="102"/>
        <v>11 years, 11 months</v>
      </c>
      <c r="N1610" s="6">
        <v>61</v>
      </c>
      <c r="O1610">
        <v>3</v>
      </c>
      <c r="P1610">
        <v>3</v>
      </c>
      <c r="Q1610">
        <f t="shared" si="103"/>
        <v>6</v>
      </c>
      <c r="R1610">
        <v>7</v>
      </c>
      <c r="S1610">
        <v>5</v>
      </c>
      <c r="T1610">
        <f>Table[[#This Row],[NumWebPurchases]]+Table[[#This Row],[NumStorePurchases]]</f>
        <v>12</v>
      </c>
    </row>
    <row r="1611" spans="1:20" ht="12.5">
      <c r="A1611" s="6">
        <v>1609</v>
      </c>
      <c r="B1611" s="6">
        <v>9971</v>
      </c>
      <c r="C1611" s="6">
        <v>1964</v>
      </c>
      <c r="D1611" s="6">
        <f t="shared" si="100"/>
        <v>61</v>
      </c>
      <c r="E1611" s="7" t="s">
        <v>12</v>
      </c>
      <c r="F1611" s="7" t="s">
        <v>13</v>
      </c>
      <c r="G1611" s="6">
        <v>65526</v>
      </c>
      <c r="H1611" s="6" t="str" cm="1">
        <f t="array" ref="H1611">_xlfn.IFS(
  G1611 &lt; 25000, "Low",
  AND(G1611 &gt;= 25000, G1611 &lt; 75000), "Medium",
  AND(G1611 &gt;= 75000, G1611 &lt; 150000), "High",
  G1611 &gt;= 150000, "Very High"
)</f>
        <v>Medium</v>
      </c>
      <c r="I1611" s="6">
        <v>0</v>
      </c>
      <c r="J1611" s="6">
        <v>1</v>
      </c>
      <c r="K1611" s="6">
        <f t="shared" si="101"/>
        <v>1</v>
      </c>
      <c r="L1611" s="8">
        <v>41740</v>
      </c>
      <c r="M1611" t="str">
        <f t="shared" ca="1" si="102"/>
        <v>11 years, 10 months</v>
      </c>
      <c r="N1611" s="6">
        <v>22</v>
      </c>
      <c r="O1611">
        <v>19</v>
      </c>
      <c r="P1611">
        <v>0</v>
      </c>
      <c r="Q1611">
        <f t="shared" si="103"/>
        <v>19</v>
      </c>
      <c r="R1611">
        <v>4</v>
      </c>
      <c r="S1611">
        <v>8</v>
      </c>
      <c r="T1611">
        <f>Table[[#This Row],[NumWebPurchases]]+Table[[#This Row],[NumStorePurchases]]</f>
        <v>12</v>
      </c>
    </row>
    <row r="1612" spans="1:20" ht="12.5">
      <c r="A1612" s="6">
        <v>1610</v>
      </c>
      <c r="B1612" s="6">
        <v>6729</v>
      </c>
      <c r="C1612" s="6">
        <v>1988</v>
      </c>
      <c r="D1612" s="6">
        <f t="shared" si="100"/>
        <v>37</v>
      </c>
      <c r="E1612" s="7" t="s">
        <v>9</v>
      </c>
      <c r="F1612" s="7" t="s">
        <v>10</v>
      </c>
      <c r="G1612" s="6">
        <v>68655</v>
      </c>
      <c r="H1612" s="6" t="str" cm="1">
        <f t="array" ref="H1612">_xlfn.IFS(
  G1612 &lt; 25000, "Low",
  AND(G1612 &gt;= 25000, G1612 &lt; 75000), "Medium",
  AND(G1612 &gt;= 75000, G1612 &lt; 150000), "High",
  G1612 &gt;= 150000, "Very High"
)</f>
        <v>Medium</v>
      </c>
      <c r="I1612" s="6">
        <v>0</v>
      </c>
      <c r="J1612" s="6">
        <v>0</v>
      </c>
      <c r="K1612" s="6">
        <f t="shared" si="101"/>
        <v>0</v>
      </c>
      <c r="L1612" s="8">
        <v>41131</v>
      </c>
      <c r="M1612" t="str">
        <f t="shared" ca="1" si="102"/>
        <v>13 years, 6 months</v>
      </c>
      <c r="N1612" s="6">
        <v>95</v>
      </c>
      <c r="O1612">
        <v>19</v>
      </c>
      <c r="P1612">
        <v>118</v>
      </c>
      <c r="Q1612">
        <f t="shared" si="103"/>
        <v>137</v>
      </c>
      <c r="R1612">
        <v>4</v>
      </c>
      <c r="S1612">
        <v>11</v>
      </c>
      <c r="T1612">
        <f>Table[[#This Row],[NumWebPurchases]]+Table[[#This Row],[NumStorePurchases]]</f>
        <v>15</v>
      </c>
    </row>
    <row r="1613" spans="1:20" ht="12.5">
      <c r="A1613" s="6">
        <v>1611</v>
      </c>
      <c r="B1613" s="6">
        <v>1773</v>
      </c>
      <c r="C1613" s="6">
        <v>1978</v>
      </c>
      <c r="D1613" s="6">
        <f t="shared" si="100"/>
        <v>47</v>
      </c>
      <c r="E1613" s="7" t="s">
        <v>17</v>
      </c>
      <c r="F1613" s="7" t="s">
        <v>13</v>
      </c>
      <c r="G1613" s="6">
        <v>12393</v>
      </c>
      <c r="H1613" s="6" t="str" cm="1">
        <f t="array" ref="H1613">_xlfn.IFS(
  G1613 &lt; 25000, "Low",
  AND(G1613 &gt;= 25000, G1613 &lt; 75000), "Medium",
  AND(G1613 &gt;= 75000, G1613 &lt; 150000), "High",
  G1613 &gt;= 150000, "Very High"
)</f>
        <v>Low</v>
      </c>
      <c r="I1613" s="6">
        <v>0</v>
      </c>
      <c r="J1613" s="6">
        <v>0</v>
      </c>
      <c r="K1613" s="6">
        <f t="shared" si="101"/>
        <v>0</v>
      </c>
      <c r="L1613" s="8">
        <v>41247</v>
      </c>
      <c r="M1613" t="str">
        <f t="shared" ca="1" si="102"/>
        <v>13 years, 3 months</v>
      </c>
      <c r="N1613" s="6">
        <v>38</v>
      </c>
      <c r="O1613">
        <v>6</v>
      </c>
      <c r="P1613">
        <v>7</v>
      </c>
      <c r="Q1613">
        <f t="shared" si="103"/>
        <v>13</v>
      </c>
      <c r="R1613">
        <v>2</v>
      </c>
      <c r="S1613">
        <v>3</v>
      </c>
      <c r="T1613">
        <f>Table[[#This Row],[NumWebPurchases]]+Table[[#This Row],[NumStorePurchases]]</f>
        <v>5</v>
      </c>
    </row>
    <row r="1614" spans="1:20" ht="12.5">
      <c r="A1614" s="6">
        <v>1612</v>
      </c>
      <c r="B1614" s="6">
        <v>9242</v>
      </c>
      <c r="C1614" s="6">
        <v>1990</v>
      </c>
      <c r="D1614" s="6">
        <f t="shared" si="100"/>
        <v>35</v>
      </c>
      <c r="E1614" s="7" t="s">
        <v>9</v>
      </c>
      <c r="F1614" s="7" t="s">
        <v>10</v>
      </c>
      <c r="G1614" s="6">
        <v>64509</v>
      </c>
      <c r="H1614" s="6" t="str" cm="1">
        <f t="array" ref="H1614">_xlfn.IFS(
  G1614 &lt; 25000, "Low",
  AND(G1614 &gt;= 25000, G1614 &lt; 75000), "Medium",
  AND(G1614 &gt;= 75000, G1614 &lt; 150000), "High",
  G1614 &gt;= 150000, "Very High"
)</f>
        <v>Medium</v>
      </c>
      <c r="I1614" s="6">
        <v>0</v>
      </c>
      <c r="J1614" s="6">
        <v>0</v>
      </c>
      <c r="K1614" s="6">
        <f t="shared" si="101"/>
        <v>0</v>
      </c>
      <c r="L1614" s="8">
        <v>41503</v>
      </c>
      <c r="M1614" t="str">
        <f t="shared" ca="1" si="102"/>
        <v>12 years, 6 months</v>
      </c>
      <c r="N1614" s="6">
        <v>19</v>
      </c>
      <c r="O1614">
        <v>185</v>
      </c>
      <c r="P1614">
        <v>25</v>
      </c>
      <c r="Q1614">
        <f t="shared" si="103"/>
        <v>210</v>
      </c>
      <c r="R1614">
        <v>6</v>
      </c>
      <c r="S1614">
        <v>9</v>
      </c>
      <c r="T1614">
        <f>Table[[#This Row],[NumWebPurchases]]+Table[[#This Row],[NumStorePurchases]]</f>
        <v>15</v>
      </c>
    </row>
    <row r="1615" spans="1:20" ht="12.5">
      <c r="A1615" s="6">
        <v>1613</v>
      </c>
      <c r="B1615" s="6">
        <v>1764</v>
      </c>
      <c r="C1615" s="6">
        <v>1975</v>
      </c>
      <c r="D1615" s="6">
        <f t="shared" si="100"/>
        <v>50</v>
      </c>
      <c r="E1615" s="7" t="s">
        <v>9</v>
      </c>
      <c r="F1615" s="7" t="s">
        <v>10</v>
      </c>
      <c r="G1615" s="6">
        <v>33955</v>
      </c>
      <c r="H1615" s="6" t="str" cm="1">
        <f t="array" ref="H1615">_xlfn.IFS(
  G1615 &lt; 25000, "Low",
  AND(G1615 &gt;= 25000, G1615 &lt; 75000), "Medium",
  AND(G1615 &gt;= 75000, G1615 &lt; 150000), "High",
  G1615 &gt;= 150000, "Very High"
)</f>
        <v>Medium</v>
      </c>
      <c r="I1615" s="6">
        <v>1</v>
      </c>
      <c r="J1615" s="6">
        <v>0</v>
      </c>
      <c r="K1615" s="6">
        <f t="shared" si="101"/>
        <v>1</v>
      </c>
      <c r="L1615" s="8">
        <v>41495</v>
      </c>
      <c r="M1615" t="str">
        <f t="shared" ca="1" si="102"/>
        <v>12 years, 6 months</v>
      </c>
      <c r="N1615" s="6">
        <v>92</v>
      </c>
      <c r="O1615">
        <v>2</v>
      </c>
      <c r="P1615">
        <v>7</v>
      </c>
      <c r="Q1615">
        <f t="shared" si="103"/>
        <v>9</v>
      </c>
      <c r="R1615">
        <v>5</v>
      </c>
      <c r="S1615">
        <v>5</v>
      </c>
      <c r="T1615">
        <f>Table[[#This Row],[NumWebPurchases]]+Table[[#This Row],[NumStorePurchases]]</f>
        <v>10</v>
      </c>
    </row>
    <row r="1616" spans="1:20" ht="12.5">
      <c r="A1616" s="6">
        <v>1614</v>
      </c>
      <c r="B1616" s="6">
        <v>6215</v>
      </c>
      <c r="C1616" s="6">
        <v>1977</v>
      </c>
      <c r="D1616" s="6">
        <f t="shared" si="100"/>
        <v>48</v>
      </c>
      <c r="E1616" s="7" t="s">
        <v>9</v>
      </c>
      <c r="F1616" s="7" t="s">
        <v>13</v>
      </c>
      <c r="G1616" s="6">
        <v>31353</v>
      </c>
      <c r="H1616" s="6" t="str" cm="1">
        <f t="array" ref="H1616">_xlfn.IFS(
  G1616 &lt; 25000, "Low",
  AND(G1616 &gt;= 25000, G1616 &lt; 75000), "Medium",
  AND(G1616 &gt;= 75000, G1616 &lt; 150000), "High",
  G1616 &gt;= 150000, "Very High"
)</f>
        <v>Medium</v>
      </c>
      <c r="I1616" s="6">
        <v>1</v>
      </c>
      <c r="J1616" s="6">
        <v>1</v>
      </c>
      <c r="K1616" s="6">
        <f t="shared" si="101"/>
        <v>2</v>
      </c>
      <c r="L1616" s="9">
        <v>41637</v>
      </c>
      <c r="M1616" t="str">
        <f t="shared" ca="1" si="102"/>
        <v>12 years, 2 months</v>
      </c>
      <c r="N1616" s="6">
        <v>24</v>
      </c>
      <c r="O1616">
        <v>0</v>
      </c>
      <c r="P1616">
        <v>1</v>
      </c>
      <c r="Q1616">
        <f t="shared" si="103"/>
        <v>1</v>
      </c>
      <c r="R1616">
        <v>1</v>
      </c>
      <c r="S1616">
        <v>2</v>
      </c>
      <c r="T1616">
        <f>Table[[#This Row],[NumWebPurchases]]+Table[[#This Row],[NumStorePurchases]]</f>
        <v>3</v>
      </c>
    </row>
    <row r="1617" spans="1:20" ht="12.5">
      <c r="A1617" s="6">
        <v>1615</v>
      </c>
      <c r="B1617" s="6">
        <v>10099</v>
      </c>
      <c r="C1617" s="6">
        <v>1984</v>
      </c>
      <c r="D1617" s="6">
        <f t="shared" si="100"/>
        <v>41</v>
      </c>
      <c r="E1617" s="7" t="s">
        <v>9</v>
      </c>
      <c r="F1617" s="7" t="s">
        <v>13</v>
      </c>
      <c r="G1617" s="6">
        <v>55434</v>
      </c>
      <c r="H1617" s="6" t="str" cm="1">
        <f t="array" ref="H1617">_xlfn.IFS(
  G1617 &lt; 25000, "Low",
  AND(G1617 &gt;= 25000, G1617 &lt; 75000), "Medium",
  AND(G1617 &gt;= 75000, G1617 &lt; 150000), "High",
  G1617 &gt;= 150000, "Very High"
)</f>
        <v>Medium</v>
      </c>
      <c r="I1617" s="6">
        <v>1</v>
      </c>
      <c r="J1617" s="6">
        <v>0</v>
      </c>
      <c r="K1617" s="6">
        <f t="shared" si="101"/>
        <v>1</v>
      </c>
      <c r="L1617" s="8">
        <v>41552</v>
      </c>
      <c r="M1617" t="str">
        <f t="shared" ca="1" si="102"/>
        <v>12 years, 5 months</v>
      </c>
      <c r="N1617" s="6">
        <v>21</v>
      </c>
      <c r="O1617">
        <v>115</v>
      </c>
      <c r="P1617">
        <v>69</v>
      </c>
      <c r="Q1617">
        <f t="shared" si="103"/>
        <v>184</v>
      </c>
      <c r="R1617">
        <v>5</v>
      </c>
      <c r="S1617">
        <v>13</v>
      </c>
      <c r="T1617">
        <f>Table[[#This Row],[NumWebPurchases]]+Table[[#This Row],[NumStorePurchases]]</f>
        <v>18</v>
      </c>
    </row>
    <row r="1618" spans="1:20" ht="12.5">
      <c r="A1618" s="6">
        <v>1616</v>
      </c>
      <c r="B1618" s="6">
        <v>5423</v>
      </c>
      <c r="C1618" s="6">
        <v>1983</v>
      </c>
      <c r="D1618" s="6">
        <f t="shared" si="100"/>
        <v>42</v>
      </c>
      <c r="E1618" s="7" t="s">
        <v>9</v>
      </c>
      <c r="F1618" s="7" t="s">
        <v>11</v>
      </c>
      <c r="G1618" s="6">
        <v>28359</v>
      </c>
      <c r="H1618" s="6" t="str" cm="1">
        <f t="array" ref="H1618">_xlfn.IFS(
  G1618 &lt; 25000, "Low",
  AND(G1618 &gt;= 25000, G1618 &lt; 75000), "Medium",
  AND(G1618 &gt;= 75000, G1618 &lt; 150000), "High",
  G1618 &gt;= 150000, "Very High"
)</f>
        <v>Medium</v>
      </c>
      <c r="I1618" s="6">
        <v>1</v>
      </c>
      <c r="J1618" s="6">
        <v>0</v>
      </c>
      <c r="K1618" s="6">
        <f t="shared" si="101"/>
        <v>1</v>
      </c>
      <c r="L1618" s="9">
        <v>41574</v>
      </c>
      <c r="M1618" t="str">
        <f t="shared" ca="1" si="102"/>
        <v>12 years, 4 months</v>
      </c>
      <c r="N1618" s="6">
        <v>35</v>
      </c>
      <c r="O1618">
        <v>0</v>
      </c>
      <c r="P1618">
        <v>1</v>
      </c>
      <c r="Q1618">
        <f t="shared" si="103"/>
        <v>1</v>
      </c>
      <c r="R1618">
        <v>1</v>
      </c>
      <c r="S1618">
        <v>2</v>
      </c>
      <c r="T1618">
        <f>Table[[#This Row],[NumWebPurchases]]+Table[[#This Row],[NumStorePurchases]]</f>
        <v>3</v>
      </c>
    </row>
    <row r="1619" spans="1:20" ht="12.5">
      <c r="A1619" s="6">
        <v>1617</v>
      </c>
      <c r="B1619" s="6">
        <v>940</v>
      </c>
      <c r="C1619" s="6">
        <v>1987</v>
      </c>
      <c r="D1619" s="6">
        <f t="shared" si="100"/>
        <v>38</v>
      </c>
      <c r="E1619" s="7" t="s">
        <v>9</v>
      </c>
      <c r="F1619" s="7" t="s">
        <v>10</v>
      </c>
      <c r="G1619" s="6">
        <v>57100</v>
      </c>
      <c r="H1619" s="6" t="str" cm="1">
        <f t="array" ref="H1619">_xlfn.IFS(
  G1619 &lt; 25000, "Low",
  AND(G1619 &gt;= 25000, G1619 &lt; 75000), "Medium",
  AND(G1619 &gt;= 75000, G1619 &lt; 150000), "High",
  G1619 &gt;= 150000, "Very High"
)</f>
        <v>Medium</v>
      </c>
      <c r="I1619" s="6">
        <v>1</v>
      </c>
      <c r="J1619" s="6">
        <v>0</v>
      </c>
      <c r="K1619" s="6">
        <f t="shared" si="101"/>
        <v>1</v>
      </c>
      <c r="L1619" s="8">
        <v>41777</v>
      </c>
      <c r="M1619" t="str">
        <f t="shared" ca="1" si="102"/>
        <v>11 years, 9 months</v>
      </c>
      <c r="N1619" s="6">
        <v>9</v>
      </c>
      <c r="O1619">
        <v>11</v>
      </c>
      <c r="P1619">
        <v>11</v>
      </c>
      <c r="Q1619">
        <f t="shared" si="103"/>
        <v>22</v>
      </c>
      <c r="R1619">
        <v>3</v>
      </c>
      <c r="S1619">
        <v>7</v>
      </c>
      <c r="T1619">
        <f>Table[[#This Row],[NumWebPurchases]]+Table[[#This Row],[NumStorePurchases]]</f>
        <v>10</v>
      </c>
    </row>
    <row r="1620" spans="1:20" ht="12.5">
      <c r="A1620" s="6">
        <v>1618</v>
      </c>
      <c r="B1620" s="6">
        <v>3011</v>
      </c>
      <c r="C1620" s="6">
        <v>1965</v>
      </c>
      <c r="D1620" s="6">
        <f t="shared" si="100"/>
        <v>60</v>
      </c>
      <c r="E1620" s="7" t="s">
        <v>9</v>
      </c>
      <c r="F1620" s="7" t="s">
        <v>13</v>
      </c>
      <c r="G1620" s="6">
        <v>69139</v>
      </c>
      <c r="H1620" s="6" t="str" cm="1">
        <f t="array" ref="H1620">_xlfn.IFS(
  G1620 &lt; 25000, "Low",
  AND(G1620 &gt;= 25000, G1620 &lt; 75000), "Medium",
  AND(G1620 &gt;= 75000, G1620 &lt; 150000), "High",
  G1620 &gt;= 150000, "Very High"
)</f>
        <v>Medium</v>
      </c>
      <c r="I1620" s="6">
        <v>0</v>
      </c>
      <c r="J1620" s="6">
        <v>1</v>
      </c>
      <c r="K1620" s="6">
        <f t="shared" si="101"/>
        <v>1</v>
      </c>
      <c r="L1620" s="8">
        <v>41666</v>
      </c>
      <c r="M1620" t="str">
        <f t="shared" ca="1" si="102"/>
        <v>12 years, 1 months</v>
      </c>
      <c r="N1620" s="6">
        <v>23</v>
      </c>
      <c r="O1620">
        <v>12</v>
      </c>
      <c r="P1620">
        <v>15</v>
      </c>
      <c r="Q1620">
        <f t="shared" si="103"/>
        <v>27</v>
      </c>
      <c r="R1620">
        <v>4</v>
      </c>
      <c r="S1620">
        <v>5</v>
      </c>
      <c r="T1620">
        <f>Table[[#This Row],[NumWebPurchases]]+Table[[#This Row],[NumStorePurchases]]</f>
        <v>9</v>
      </c>
    </row>
    <row r="1621" spans="1:20" ht="12.5">
      <c r="A1621" s="6">
        <v>1619</v>
      </c>
      <c r="B1621" s="6">
        <v>3298</v>
      </c>
      <c r="C1621" s="6">
        <v>1956</v>
      </c>
      <c r="D1621" s="6">
        <f t="shared" si="100"/>
        <v>69</v>
      </c>
      <c r="E1621" s="7" t="s">
        <v>14</v>
      </c>
      <c r="F1621" s="7" t="s">
        <v>13</v>
      </c>
      <c r="G1621" s="6">
        <v>52973</v>
      </c>
      <c r="H1621" s="6" t="str" cm="1">
        <f t="array" ref="H1621">_xlfn.IFS(
  G1621 &lt; 25000, "Low",
  AND(G1621 &gt;= 25000, G1621 &lt; 75000), "Medium",
  AND(G1621 &gt;= 75000, G1621 &lt; 150000), "High",
  G1621 &gt;= 150000, "Very High"
)</f>
        <v>Medium</v>
      </c>
      <c r="I1621" s="6">
        <v>0</v>
      </c>
      <c r="J1621" s="6">
        <v>1</v>
      </c>
      <c r="K1621" s="6">
        <f t="shared" si="101"/>
        <v>1</v>
      </c>
      <c r="L1621" s="8">
        <v>41221</v>
      </c>
      <c r="M1621" t="str">
        <f t="shared" ca="1" si="102"/>
        <v>13 years, 3 months</v>
      </c>
      <c r="N1621" s="6">
        <v>92</v>
      </c>
      <c r="O1621">
        <v>0</v>
      </c>
      <c r="P1621">
        <v>9</v>
      </c>
      <c r="Q1621">
        <f t="shared" si="103"/>
        <v>9</v>
      </c>
      <c r="R1621">
        <v>9</v>
      </c>
      <c r="S1621">
        <v>9</v>
      </c>
      <c r="T1621">
        <f>Table[[#This Row],[NumWebPurchases]]+Table[[#This Row],[NumStorePurchases]]</f>
        <v>18</v>
      </c>
    </row>
    <row r="1622" spans="1:20" ht="12.5">
      <c r="A1622" s="6">
        <v>1620</v>
      </c>
      <c r="B1622" s="6">
        <v>8286</v>
      </c>
      <c r="C1622" s="6">
        <v>1965</v>
      </c>
      <c r="D1622" s="6">
        <f t="shared" si="100"/>
        <v>60</v>
      </c>
      <c r="E1622" s="7" t="s">
        <v>12</v>
      </c>
      <c r="F1622" s="7" t="s">
        <v>11</v>
      </c>
      <c r="G1622" s="6">
        <v>51717</v>
      </c>
      <c r="H1622" s="6" t="str" cm="1">
        <f t="array" ref="H1622">_xlfn.IFS(
  G1622 &lt; 25000, "Low",
  AND(G1622 &gt;= 25000, G1622 &lt; 75000), "Medium",
  AND(G1622 &gt;= 75000, G1622 &lt; 150000), "High",
  G1622 &gt;= 150000, "Very High"
)</f>
        <v>Medium</v>
      </c>
      <c r="I1622" s="6">
        <v>0</v>
      </c>
      <c r="J1622" s="6">
        <v>1</v>
      </c>
      <c r="K1622" s="6">
        <f t="shared" si="101"/>
        <v>1</v>
      </c>
      <c r="L1622" s="8">
        <v>41506</v>
      </c>
      <c r="M1622" t="str">
        <f t="shared" ca="1" si="102"/>
        <v>12 years, 6 months</v>
      </c>
      <c r="N1622" s="6">
        <v>55</v>
      </c>
      <c r="O1622">
        <v>1</v>
      </c>
      <c r="P1622">
        <v>1</v>
      </c>
      <c r="Q1622">
        <f t="shared" si="103"/>
        <v>2</v>
      </c>
      <c r="R1622">
        <v>3</v>
      </c>
      <c r="S1622">
        <v>4</v>
      </c>
      <c r="T1622">
        <f>Table[[#This Row],[NumWebPurchases]]+Table[[#This Row],[NumStorePurchases]]</f>
        <v>7</v>
      </c>
    </row>
    <row r="1623" spans="1:20" ht="12.5">
      <c r="A1623" s="6">
        <v>1621</v>
      </c>
      <c r="B1623" s="6">
        <v>9668</v>
      </c>
      <c r="C1623" s="6">
        <v>1971</v>
      </c>
      <c r="D1623" s="6">
        <f t="shared" si="100"/>
        <v>54</v>
      </c>
      <c r="E1623" s="7" t="s">
        <v>9</v>
      </c>
      <c r="F1623" s="7" t="s">
        <v>13</v>
      </c>
      <c r="G1623" s="6">
        <v>18793</v>
      </c>
      <c r="H1623" s="6" t="str" cm="1">
        <f t="array" ref="H1623">_xlfn.IFS(
  G1623 &lt; 25000, "Low",
  AND(G1623 &gt;= 25000, G1623 &lt; 75000), "Medium",
  AND(G1623 &gt;= 75000, G1623 &lt; 150000), "High",
  G1623 &gt;= 150000, "Very High"
)</f>
        <v>Low</v>
      </c>
      <c r="I1623" s="6">
        <v>1</v>
      </c>
      <c r="J1623" s="6">
        <v>0</v>
      </c>
      <c r="K1623" s="6">
        <f t="shared" si="101"/>
        <v>1</v>
      </c>
      <c r="L1623" s="8">
        <v>41286</v>
      </c>
      <c r="M1623" t="str">
        <f t="shared" ca="1" si="102"/>
        <v>13 years, 1 months</v>
      </c>
      <c r="N1623" s="6">
        <v>14</v>
      </c>
      <c r="O1623">
        <v>16</v>
      </c>
      <c r="P1623">
        <v>17</v>
      </c>
      <c r="Q1623">
        <f t="shared" si="103"/>
        <v>33</v>
      </c>
      <c r="R1623">
        <v>2</v>
      </c>
      <c r="S1623">
        <v>4</v>
      </c>
      <c r="T1623">
        <f>Table[[#This Row],[NumWebPurchases]]+Table[[#This Row],[NumStorePurchases]]</f>
        <v>6</v>
      </c>
    </row>
    <row r="1624" spans="1:20" ht="12.5">
      <c r="A1624" s="6">
        <v>1622</v>
      </c>
      <c r="B1624" s="6">
        <v>5120</v>
      </c>
      <c r="C1624" s="6">
        <v>1982</v>
      </c>
      <c r="D1624" s="6">
        <f t="shared" si="100"/>
        <v>43</v>
      </c>
      <c r="E1624" s="7" t="s">
        <v>17</v>
      </c>
      <c r="F1624" s="7" t="s">
        <v>11</v>
      </c>
      <c r="G1624" s="6">
        <v>66664</v>
      </c>
      <c r="H1624" s="6" t="str" cm="1">
        <f t="array" ref="H1624">_xlfn.IFS(
  G1624 &lt; 25000, "Low",
  AND(G1624 &gt;= 25000, G1624 &lt; 75000), "Medium",
  AND(G1624 &gt;= 75000, G1624 &lt; 150000), "High",
  G1624 &gt;= 150000, "Very High"
)</f>
        <v>Medium</v>
      </c>
      <c r="I1624" s="6">
        <v>0</v>
      </c>
      <c r="J1624" s="6">
        <v>0</v>
      </c>
      <c r="K1624" s="6">
        <f t="shared" si="101"/>
        <v>0</v>
      </c>
      <c r="L1624" s="8">
        <v>41177</v>
      </c>
      <c r="M1624" t="str">
        <f t="shared" ca="1" si="102"/>
        <v>13 years, 5 months</v>
      </c>
      <c r="N1624" s="6">
        <v>78</v>
      </c>
      <c r="O1624">
        <v>96</v>
      </c>
      <c r="P1624">
        <v>96</v>
      </c>
      <c r="Q1624">
        <f t="shared" si="103"/>
        <v>192</v>
      </c>
      <c r="R1624">
        <v>5</v>
      </c>
      <c r="S1624">
        <v>6</v>
      </c>
      <c r="T1624">
        <f>Table[[#This Row],[NumWebPurchases]]+Table[[#This Row],[NumStorePurchases]]</f>
        <v>11</v>
      </c>
    </row>
    <row r="1625" spans="1:20" ht="12.5">
      <c r="A1625" s="6">
        <v>1623</v>
      </c>
      <c r="B1625" s="6">
        <v>6097</v>
      </c>
      <c r="C1625" s="6">
        <v>1959</v>
      </c>
      <c r="D1625" s="6">
        <f t="shared" si="100"/>
        <v>66</v>
      </c>
      <c r="E1625" s="7" t="s">
        <v>9</v>
      </c>
      <c r="F1625" s="7" t="s">
        <v>10</v>
      </c>
      <c r="G1625" s="6">
        <v>50664</v>
      </c>
      <c r="H1625" s="6" t="str" cm="1">
        <f t="array" ref="H1625">_xlfn.IFS(
  G1625 &lt; 25000, "Low",
  AND(G1625 &gt;= 25000, G1625 &lt; 75000), "Medium",
  AND(G1625 &gt;= 75000, G1625 &lt; 150000), "High",
  G1625 &gt;= 150000, "Very High"
)</f>
        <v>Medium</v>
      </c>
      <c r="I1625" s="6">
        <v>1</v>
      </c>
      <c r="J1625" s="6">
        <v>1</v>
      </c>
      <c r="K1625" s="6">
        <f t="shared" si="101"/>
        <v>2</v>
      </c>
      <c r="L1625" s="8">
        <v>41290</v>
      </c>
      <c r="M1625" t="str">
        <f t="shared" ca="1" si="102"/>
        <v>13 years, 1 months</v>
      </c>
      <c r="N1625" s="6">
        <v>64</v>
      </c>
      <c r="O1625">
        <v>8</v>
      </c>
      <c r="P1625">
        <v>4</v>
      </c>
      <c r="Q1625">
        <f t="shared" si="103"/>
        <v>12</v>
      </c>
      <c r="R1625">
        <v>8</v>
      </c>
      <c r="S1625">
        <v>6</v>
      </c>
      <c r="T1625">
        <f>Table[[#This Row],[NumWebPurchases]]+Table[[#This Row],[NumStorePurchases]]</f>
        <v>14</v>
      </c>
    </row>
    <row r="1626" spans="1:20" ht="12.5">
      <c r="A1626" s="6">
        <v>1624</v>
      </c>
      <c r="B1626" s="6">
        <v>7019</v>
      </c>
      <c r="C1626" s="6">
        <v>1963</v>
      </c>
      <c r="D1626" s="6">
        <f t="shared" si="100"/>
        <v>62</v>
      </c>
      <c r="E1626" s="7" t="s">
        <v>9</v>
      </c>
      <c r="F1626" s="7" t="s">
        <v>11</v>
      </c>
      <c r="G1626" s="6">
        <v>54414</v>
      </c>
      <c r="H1626" s="6" t="str" cm="1">
        <f t="array" ref="H1626">_xlfn.IFS(
  G1626 &lt; 25000, "Low",
  AND(G1626 &gt;= 25000, G1626 &lt; 75000), "Medium",
  AND(G1626 &gt;= 75000, G1626 &lt; 150000), "High",
  G1626 &gt;= 150000, "Very High"
)</f>
        <v>Medium</v>
      </c>
      <c r="I1626" s="6">
        <v>1</v>
      </c>
      <c r="J1626" s="6">
        <v>1</v>
      </c>
      <c r="K1626" s="6">
        <f t="shared" si="101"/>
        <v>2</v>
      </c>
      <c r="L1626" s="8">
        <v>41297</v>
      </c>
      <c r="M1626" t="str">
        <f t="shared" ca="1" si="102"/>
        <v>13 years, 1 months</v>
      </c>
      <c r="N1626" s="6">
        <v>49</v>
      </c>
      <c r="O1626">
        <v>18</v>
      </c>
      <c r="P1626">
        <v>26</v>
      </c>
      <c r="Q1626">
        <f t="shared" si="103"/>
        <v>44</v>
      </c>
      <c r="R1626">
        <v>3</v>
      </c>
      <c r="S1626">
        <v>5</v>
      </c>
      <c r="T1626">
        <f>Table[[#This Row],[NumWebPurchases]]+Table[[#This Row],[NumStorePurchases]]</f>
        <v>8</v>
      </c>
    </row>
    <row r="1627" spans="1:20" ht="12.5">
      <c r="A1627" s="6">
        <v>1625</v>
      </c>
      <c r="B1627" s="6">
        <v>7408</v>
      </c>
      <c r="C1627" s="6">
        <v>1952</v>
      </c>
      <c r="D1627" s="6">
        <f t="shared" si="100"/>
        <v>73</v>
      </c>
      <c r="E1627" s="7" t="s">
        <v>12</v>
      </c>
      <c r="F1627" s="7" t="s">
        <v>13</v>
      </c>
      <c r="G1627" s="6">
        <v>54549</v>
      </c>
      <c r="H1627" s="6" t="str" cm="1">
        <f t="array" ref="H1627">_xlfn.IFS(
  G1627 &lt; 25000, "Low",
  AND(G1627 &gt;= 25000, G1627 &lt; 75000), "Medium",
  AND(G1627 &gt;= 75000, G1627 &lt; 150000), "High",
  G1627 &gt;= 150000, "Very High"
)</f>
        <v>Medium</v>
      </c>
      <c r="I1627" s="6">
        <v>0</v>
      </c>
      <c r="J1627" s="6">
        <v>1</v>
      </c>
      <c r="K1627" s="6">
        <f t="shared" si="101"/>
        <v>1</v>
      </c>
      <c r="L1627" s="8">
        <v>41701</v>
      </c>
      <c r="M1627" t="str">
        <f t="shared" ca="1" si="102"/>
        <v>12 years, 0 months</v>
      </c>
      <c r="N1627" s="6">
        <v>8</v>
      </c>
      <c r="O1627">
        <v>2</v>
      </c>
      <c r="P1627">
        <v>0</v>
      </c>
      <c r="Q1627">
        <f t="shared" si="103"/>
        <v>2</v>
      </c>
      <c r="R1627">
        <v>5</v>
      </c>
      <c r="S1627">
        <v>4</v>
      </c>
      <c r="T1627">
        <f>Table[[#This Row],[NumWebPurchases]]+Table[[#This Row],[NumStorePurchases]]</f>
        <v>9</v>
      </c>
    </row>
    <row r="1628" spans="1:20" ht="12.5">
      <c r="A1628" s="6">
        <v>1626</v>
      </c>
      <c r="B1628" s="6">
        <v>8041</v>
      </c>
      <c r="C1628" s="6">
        <v>1971</v>
      </c>
      <c r="D1628" s="6">
        <f t="shared" si="100"/>
        <v>54</v>
      </c>
      <c r="E1628" s="7" t="s">
        <v>12</v>
      </c>
      <c r="F1628" s="7" t="s">
        <v>18</v>
      </c>
      <c r="G1628" s="6">
        <v>47111</v>
      </c>
      <c r="H1628" s="6" t="str" cm="1">
        <f t="array" ref="H1628">_xlfn.IFS(
  G1628 &lt; 25000, "Low",
  AND(G1628 &gt;= 25000, G1628 &lt; 75000), "Medium",
  AND(G1628 &gt;= 75000, G1628 &lt; 150000), "High",
  G1628 &gt;= 150000, "Very High"
)</f>
        <v>Medium</v>
      </c>
      <c r="I1628" s="6">
        <v>0</v>
      </c>
      <c r="J1628" s="6">
        <v>1</v>
      </c>
      <c r="K1628" s="6">
        <f t="shared" si="101"/>
        <v>1</v>
      </c>
      <c r="L1628" s="8">
        <v>41160</v>
      </c>
      <c r="M1628" t="str">
        <f t="shared" ca="1" si="102"/>
        <v>13 years, 5 months</v>
      </c>
      <c r="N1628" s="6">
        <v>35</v>
      </c>
      <c r="O1628">
        <v>71</v>
      </c>
      <c r="P1628">
        <v>112</v>
      </c>
      <c r="Q1628">
        <f t="shared" si="103"/>
        <v>183</v>
      </c>
      <c r="R1628">
        <v>3</v>
      </c>
      <c r="S1628">
        <v>10</v>
      </c>
      <c r="T1628">
        <f>Table[[#This Row],[NumWebPurchases]]+Table[[#This Row],[NumStorePurchases]]</f>
        <v>13</v>
      </c>
    </row>
    <row r="1629" spans="1:20" ht="12.5">
      <c r="A1629" s="6">
        <v>1627</v>
      </c>
      <c r="B1629" s="6">
        <v>252</v>
      </c>
      <c r="C1629" s="6">
        <v>1963</v>
      </c>
      <c r="D1629" s="6">
        <f t="shared" si="100"/>
        <v>62</v>
      </c>
      <c r="E1629" s="7" t="s">
        <v>12</v>
      </c>
      <c r="F1629" s="7" t="s">
        <v>15</v>
      </c>
      <c r="G1629" s="6">
        <v>41003</v>
      </c>
      <c r="H1629" s="6" t="str" cm="1">
        <f t="array" ref="H1629">_xlfn.IFS(
  G1629 &lt; 25000, "Low",
  AND(G1629 &gt;= 25000, G1629 &lt; 75000), "Medium",
  AND(G1629 &gt;= 75000, G1629 &lt; 150000), "High",
  G1629 &gt;= 150000, "Very High"
)</f>
        <v>Medium</v>
      </c>
      <c r="I1629" s="6">
        <v>0</v>
      </c>
      <c r="J1629" s="6">
        <v>0</v>
      </c>
      <c r="K1629" s="6">
        <f t="shared" si="101"/>
        <v>0</v>
      </c>
      <c r="L1629" s="8">
        <v>41350</v>
      </c>
      <c r="M1629" t="str">
        <f t="shared" ca="1" si="102"/>
        <v>12 years, 11 months</v>
      </c>
      <c r="N1629" s="6">
        <v>11</v>
      </c>
      <c r="O1629">
        <v>133</v>
      </c>
      <c r="P1629">
        <v>44</v>
      </c>
      <c r="Q1629">
        <f t="shared" si="103"/>
        <v>177</v>
      </c>
      <c r="R1629">
        <v>6</v>
      </c>
      <c r="S1629">
        <v>8</v>
      </c>
      <c r="T1629">
        <f>Table[[#This Row],[NumWebPurchases]]+Table[[#This Row],[NumStorePurchases]]</f>
        <v>14</v>
      </c>
    </row>
    <row r="1630" spans="1:20" ht="12.5">
      <c r="A1630" s="6">
        <v>1628</v>
      </c>
      <c r="B1630" s="6">
        <v>9986</v>
      </c>
      <c r="C1630" s="6">
        <v>1982</v>
      </c>
      <c r="D1630" s="6">
        <f t="shared" si="100"/>
        <v>43</v>
      </c>
      <c r="E1630" s="7" t="s">
        <v>9</v>
      </c>
      <c r="F1630" s="7" t="s">
        <v>11</v>
      </c>
      <c r="G1630" s="6">
        <v>19444</v>
      </c>
      <c r="H1630" s="6" t="str" cm="1">
        <f t="array" ref="H1630">_xlfn.IFS(
  G1630 &lt; 25000, "Low",
  AND(G1630 &gt;= 25000, G1630 &lt; 75000), "Medium",
  AND(G1630 &gt;= 75000, G1630 &lt; 150000), "High",
  G1630 &gt;= 150000, "Very High"
)</f>
        <v>Low</v>
      </c>
      <c r="I1630" s="6">
        <v>1</v>
      </c>
      <c r="J1630" s="6">
        <v>0</v>
      </c>
      <c r="K1630" s="6">
        <f t="shared" si="101"/>
        <v>1</v>
      </c>
      <c r="L1630" s="8">
        <v>41692</v>
      </c>
      <c r="M1630" t="str">
        <f t="shared" ca="1" si="102"/>
        <v>12 years, 0 months</v>
      </c>
      <c r="N1630" s="6">
        <v>8</v>
      </c>
      <c r="O1630">
        <v>0</v>
      </c>
      <c r="P1630">
        <v>2</v>
      </c>
      <c r="Q1630">
        <f t="shared" si="103"/>
        <v>2</v>
      </c>
      <c r="R1630">
        <v>4</v>
      </c>
      <c r="S1630">
        <v>2</v>
      </c>
      <c r="T1630">
        <f>Table[[#This Row],[NumWebPurchases]]+Table[[#This Row],[NumStorePurchases]]</f>
        <v>6</v>
      </c>
    </row>
    <row r="1631" spans="1:20" ht="12.5">
      <c r="A1631" s="6">
        <v>1629</v>
      </c>
      <c r="B1631" s="6">
        <v>3276</v>
      </c>
      <c r="C1631" s="6">
        <v>1976</v>
      </c>
      <c r="D1631" s="6">
        <f t="shared" si="100"/>
        <v>49</v>
      </c>
      <c r="E1631" s="7" t="s">
        <v>17</v>
      </c>
      <c r="F1631" s="7" t="s">
        <v>11</v>
      </c>
      <c r="G1631" s="6">
        <v>36301</v>
      </c>
      <c r="H1631" s="6" t="str" cm="1">
        <f t="array" ref="H1631">_xlfn.IFS(
  G1631 &lt; 25000, "Low",
  AND(G1631 &gt;= 25000, G1631 &lt; 75000), "Medium",
  AND(G1631 &gt;= 75000, G1631 &lt; 150000), "High",
  G1631 &gt;= 150000, "Very High"
)</f>
        <v>Medium</v>
      </c>
      <c r="I1631" s="6">
        <v>1</v>
      </c>
      <c r="J1631" s="6">
        <v>0</v>
      </c>
      <c r="K1631" s="6">
        <f t="shared" si="101"/>
        <v>1</v>
      </c>
      <c r="L1631" s="9">
        <v>41572</v>
      </c>
      <c r="M1631" t="str">
        <f t="shared" ca="1" si="102"/>
        <v>12 years, 4 months</v>
      </c>
      <c r="N1631" s="6">
        <v>53</v>
      </c>
      <c r="O1631">
        <v>12</v>
      </c>
      <c r="P1631">
        <v>5</v>
      </c>
      <c r="Q1631">
        <f t="shared" si="103"/>
        <v>17</v>
      </c>
      <c r="R1631">
        <v>3</v>
      </c>
      <c r="S1631">
        <v>3</v>
      </c>
      <c r="T1631">
        <f>Table[[#This Row],[NumWebPurchases]]+Table[[#This Row],[NumStorePurchases]]</f>
        <v>6</v>
      </c>
    </row>
    <row r="1632" spans="1:20" ht="12.5">
      <c r="A1632" s="6">
        <v>1630</v>
      </c>
      <c r="B1632" s="6">
        <v>3859</v>
      </c>
      <c r="C1632" s="6">
        <v>1947</v>
      </c>
      <c r="D1632" s="6">
        <f t="shared" si="100"/>
        <v>78</v>
      </c>
      <c r="E1632" s="7" t="s">
        <v>12</v>
      </c>
      <c r="F1632" s="7" t="s">
        <v>11</v>
      </c>
      <c r="G1632" s="6">
        <v>73059</v>
      </c>
      <c r="H1632" s="6" t="str" cm="1">
        <f t="array" ref="H1632">_xlfn.IFS(
  G1632 &lt; 25000, "Low",
  AND(G1632 &gt;= 25000, G1632 &lt; 75000), "Medium",
  AND(G1632 &gt;= 75000, G1632 &lt; 150000), "High",
  G1632 &gt;= 150000, "Very High"
)</f>
        <v>Medium</v>
      </c>
      <c r="I1632" s="6">
        <v>0</v>
      </c>
      <c r="J1632" s="6">
        <v>1</v>
      </c>
      <c r="K1632" s="6">
        <f t="shared" si="101"/>
        <v>1</v>
      </c>
      <c r="L1632" s="8">
        <v>41517</v>
      </c>
      <c r="M1632" t="str">
        <f t="shared" ca="1" si="102"/>
        <v>12 years, 6 months</v>
      </c>
      <c r="N1632" s="6">
        <v>36</v>
      </c>
      <c r="O1632">
        <v>112</v>
      </c>
      <c r="P1632">
        <v>82</v>
      </c>
      <c r="Q1632">
        <f t="shared" si="103"/>
        <v>194</v>
      </c>
      <c r="R1632">
        <v>9</v>
      </c>
      <c r="S1632">
        <v>13</v>
      </c>
      <c r="T1632">
        <f>Table[[#This Row],[NumWebPurchases]]+Table[[#This Row],[NumStorePurchases]]</f>
        <v>22</v>
      </c>
    </row>
    <row r="1633" spans="1:20" ht="12.5">
      <c r="A1633" s="6">
        <v>1631</v>
      </c>
      <c r="B1633" s="6">
        <v>3570</v>
      </c>
      <c r="C1633" s="6">
        <v>1969</v>
      </c>
      <c r="D1633" s="6">
        <f t="shared" si="100"/>
        <v>56</v>
      </c>
      <c r="E1633" s="7" t="s">
        <v>12</v>
      </c>
      <c r="F1633" s="7" t="s">
        <v>11</v>
      </c>
      <c r="G1633" s="6">
        <v>42731</v>
      </c>
      <c r="H1633" s="6" t="str" cm="1">
        <f t="array" ref="H1633">_xlfn.IFS(
  G1633 &lt; 25000, "Low",
  AND(G1633 &gt;= 25000, G1633 &lt; 75000), "Medium",
  AND(G1633 &gt;= 75000, G1633 &lt; 150000), "High",
  G1633 &gt;= 150000, "Very High"
)</f>
        <v>Medium</v>
      </c>
      <c r="I1633" s="6">
        <v>1</v>
      </c>
      <c r="J1633" s="6">
        <v>0</v>
      </c>
      <c r="K1633" s="6">
        <f t="shared" si="101"/>
        <v>1</v>
      </c>
      <c r="L1633" s="9">
        <v>41568</v>
      </c>
      <c r="M1633" t="str">
        <f t="shared" ca="1" si="102"/>
        <v>12 years, 4 months</v>
      </c>
      <c r="N1633" s="6">
        <v>64</v>
      </c>
      <c r="O1633">
        <v>2</v>
      </c>
      <c r="P1633">
        <v>2</v>
      </c>
      <c r="Q1633">
        <f t="shared" si="103"/>
        <v>4</v>
      </c>
      <c r="R1633">
        <v>4</v>
      </c>
      <c r="S1633">
        <v>5</v>
      </c>
      <c r="T1633">
        <f>Table[[#This Row],[NumWebPurchases]]+Table[[#This Row],[NumStorePurchases]]</f>
        <v>9</v>
      </c>
    </row>
    <row r="1634" spans="1:20" ht="12.5">
      <c r="A1634" s="6">
        <v>1632</v>
      </c>
      <c r="B1634" s="6">
        <v>3783</v>
      </c>
      <c r="C1634" s="6">
        <v>1959</v>
      </c>
      <c r="D1634" s="6">
        <f t="shared" si="100"/>
        <v>66</v>
      </c>
      <c r="E1634" s="7" t="s">
        <v>12</v>
      </c>
      <c r="F1634" s="7" t="s">
        <v>13</v>
      </c>
      <c r="G1634" s="6">
        <v>52854</v>
      </c>
      <c r="H1634" s="6" t="str" cm="1">
        <f t="array" ref="H1634">_xlfn.IFS(
  G1634 &lt; 25000, "Low",
  AND(G1634 &gt;= 25000, G1634 &lt; 75000), "Medium",
  AND(G1634 &gt;= 75000, G1634 &lt; 150000), "High",
  G1634 &gt;= 150000, "Very High"
)</f>
        <v>Medium</v>
      </c>
      <c r="I1634" s="6">
        <v>1</v>
      </c>
      <c r="J1634" s="6">
        <v>1</v>
      </c>
      <c r="K1634" s="6">
        <f t="shared" si="101"/>
        <v>2</v>
      </c>
      <c r="L1634" s="8">
        <v>41722</v>
      </c>
      <c r="M1634" t="str">
        <f t="shared" ca="1" si="102"/>
        <v>11 years, 11 months</v>
      </c>
      <c r="N1634" s="6">
        <v>43</v>
      </c>
      <c r="O1634">
        <v>0</v>
      </c>
      <c r="P1634">
        <v>1</v>
      </c>
      <c r="Q1634">
        <f t="shared" si="103"/>
        <v>1</v>
      </c>
      <c r="R1634">
        <v>2</v>
      </c>
      <c r="S1634">
        <v>4</v>
      </c>
      <c r="T1634">
        <f>Table[[#This Row],[NumWebPurchases]]+Table[[#This Row],[NumStorePurchases]]</f>
        <v>6</v>
      </c>
    </row>
    <row r="1635" spans="1:20" ht="12.5">
      <c r="A1635" s="6">
        <v>1633</v>
      </c>
      <c r="B1635" s="6">
        <v>10207</v>
      </c>
      <c r="C1635" s="6">
        <v>1978</v>
      </c>
      <c r="D1635" s="6">
        <f t="shared" si="100"/>
        <v>47</v>
      </c>
      <c r="E1635" s="7" t="s">
        <v>9</v>
      </c>
      <c r="F1635" s="7" t="s">
        <v>11</v>
      </c>
      <c r="G1635" s="6">
        <v>22775</v>
      </c>
      <c r="H1635" s="6" t="str" cm="1">
        <f t="array" ref="H1635">_xlfn.IFS(
  G1635 &lt; 25000, "Low",
  AND(G1635 &gt;= 25000, G1635 &lt; 75000), "Medium",
  AND(G1635 &gt;= 75000, G1635 &lt; 150000), "High",
  G1635 &gt;= 150000, "Very High"
)</f>
        <v>Low</v>
      </c>
      <c r="I1635" s="6">
        <v>1</v>
      </c>
      <c r="J1635" s="6">
        <v>0</v>
      </c>
      <c r="K1635" s="6">
        <f t="shared" si="101"/>
        <v>1</v>
      </c>
      <c r="L1635" s="8">
        <v>41444</v>
      </c>
      <c r="M1635" t="str">
        <f t="shared" ca="1" si="102"/>
        <v>12 years, 8 months</v>
      </c>
      <c r="N1635" s="6">
        <v>40</v>
      </c>
      <c r="O1635">
        <v>1</v>
      </c>
      <c r="P1635">
        <v>0</v>
      </c>
      <c r="Q1635">
        <f t="shared" si="103"/>
        <v>1</v>
      </c>
      <c r="R1635">
        <v>1</v>
      </c>
      <c r="S1635">
        <v>2</v>
      </c>
      <c r="T1635">
        <f>Table[[#This Row],[NumWebPurchases]]+Table[[#This Row],[NumStorePurchases]]</f>
        <v>3</v>
      </c>
    </row>
    <row r="1636" spans="1:20" ht="12.5">
      <c r="A1636" s="6">
        <v>1634</v>
      </c>
      <c r="B1636" s="6">
        <v>10906</v>
      </c>
      <c r="C1636" s="6">
        <v>1948</v>
      </c>
      <c r="D1636" s="6">
        <f t="shared" si="100"/>
        <v>77</v>
      </c>
      <c r="E1636" s="7" t="s">
        <v>12</v>
      </c>
      <c r="F1636" s="7" t="s">
        <v>11</v>
      </c>
      <c r="G1636" s="6">
        <v>46681</v>
      </c>
      <c r="H1636" s="6" t="str" cm="1">
        <f t="array" ref="H1636">_xlfn.IFS(
  G1636 &lt; 25000, "Low",
  AND(G1636 &gt;= 25000, G1636 &lt; 75000), "Medium",
  AND(G1636 &gt;= 75000, G1636 &lt; 150000), "High",
  G1636 &gt;= 150000, "Very High"
)</f>
        <v>Medium</v>
      </c>
      <c r="I1636" s="6">
        <v>0</v>
      </c>
      <c r="J1636" s="6">
        <v>2</v>
      </c>
      <c r="K1636" s="6">
        <f t="shared" si="101"/>
        <v>2</v>
      </c>
      <c r="L1636" s="8">
        <v>41555</v>
      </c>
      <c r="M1636" t="str">
        <f t="shared" ca="1" si="102"/>
        <v>12 years, 4 months</v>
      </c>
      <c r="N1636" s="6">
        <v>52</v>
      </c>
      <c r="O1636">
        <v>15</v>
      </c>
      <c r="P1636">
        <v>19</v>
      </c>
      <c r="Q1636">
        <f t="shared" si="103"/>
        <v>34</v>
      </c>
      <c r="R1636">
        <v>4</v>
      </c>
      <c r="S1636">
        <v>4</v>
      </c>
      <c r="T1636">
        <f>Table[[#This Row],[NumWebPurchases]]+Table[[#This Row],[NumStorePurchases]]</f>
        <v>8</v>
      </c>
    </row>
    <row r="1637" spans="1:20" ht="12.5">
      <c r="A1637" s="6">
        <v>1635</v>
      </c>
      <c r="B1637" s="6">
        <v>3427</v>
      </c>
      <c r="C1637" s="6">
        <v>1955</v>
      </c>
      <c r="D1637" s="6">
        <f t="shared" si="100"/>
        <v>70</v>
      </c>
      <c r="E1637" s="7" t="s">
        <v>12</v>
      </c>
      <c r="F1637" s="7" t="s">
        <v>13</v>
      </c>
      <c r="G1637" s="6">
        <v>59821</v>
      </c>
      <c r="H1637" s="6" t="str" cm="1">
        <f t="array" ref="H1637">_xlfn.IFS(
  G1637 &lt; 25000, "Low",
  AND(G1637 &gt;= 25000, G1637 &lt; 75000), "Medium",
  AND(G1637 &gt;= 75000, G1637 &lt; 150000), "High",
  G1637 &gt;= 150000, "Very High"
)</f>
        <v>Medium</v>
      </c>
      <c r="I1637" s="6">
        <v>0</v>
      </c>
      <c r="J1637" s="6">
        <v>1</v>
      </c>
      <c r="K1637" s="6">
        <f t="shared" si="101"/>
        <v>1</v>
      </c>
      <c r="L1637" s="8">
        <v>41376</v>
      </c>
      <c r="M1637" t="str">
        <f t="shared" ca="1" si="102"/>
        <v>12 years, 10 months</v>
      </c>
      <c r="N1637" s="6">
        <v>11</v>
      </c>
      <c r="O1637">
        <v>0</v>
      </c>
      <c r="P1637">
        <v>0</v>
      </c>
      <c r="Q1637">
        <f t="shared" si="103"/>
        <v>0</v>
      </c>
      <c r="R1637">
        <v>11</v>
      </c>
      <c r="S1637">
        <v>7</v>
      </c>
      <c r="T1637">
        <f>Table[[#This Row],[NumWebPurchases]]+Table[[#This Row],[NumStorePurchases]]</f>
        <v>18</v>
      </c>
    </row>
    <row r="1638" spans="1:20" ht="12.5">
      <c r="A1638" s="6">
        <v>1636</v>
      </c>
      <c r="B1638" s="6">
        <v>5209</v>
      </c>
      <c r="C1638" s="6">
        <v>1954</v>
      </c>
      <c r="D1638" s="6">
        <f t="shared" si="100"/>
        <v>71</v>
      </c>
      <c r="E1638" s="7" t="s">
        <v>9</v>
      </c>
      <c r="F1638" s="7" t="s">
        <v>15</v>
      </c>
      <c r="G1638" s="6">
        <v>50002</v>
      </c>
      <c r="H1638" s="6" t="str" cm="1">
        <f t="array" ref="H1638">_xlfn.IFS(
  G1638 &lt; 25000, "Low",
  AND(G1638 &gt;= 25000, G1638 &lt; 75000), "Medium",
  AND(G1638 &gt;= 75000, G1638 &lt; 150000), "High",
  G1638 &gt;= 150000, "Very High"
)</f>
        <v>Medium</v>
      </c>
      <c r="I1638" s="6">
        <v>0</v>
      </c>
      <c r="J1638" s="6">
        <v>1</v>
      </c>
      <c r="K1638" s="6">
        <f t="shared" si="101"/>
        <v>1</v>
      </c>
      <c r="L1638" s="8">
        <v>41442</v>
      </c>
      <c r="M1638" t="str">
        <f t="shared" ca="1" si="102"/>
        <v>12 years, 8 months</v>
      </c>
      <c r="N1638" s="6">
        <v>21</v>
      </c>
      <c r="O1638">
        <v>5</v>
      </c>
      <c r="P1638">
        <v>16</v>
      </c>
      <c r="Q1638">
        <f t="shared" si="103"/>
        <v>21</v>
      </c>
      <c r="R1638">
        <v>8</v>
      </c>
      <c r="S1638">
        <v>7</v>
      </c>
      <c r="T1638">
        <f>Table[[#This Row],[NumWebPurchases]]+Table[[#This Row],[NumStorePurchases]]</f>
        <v>15</v>
      </c>
    </row>
    <row r="1639" spans="1:20" ht="12.5">
      <c r="A1639" s="6">
        <v>1637</v>
      </c>
      <c r="B1639" s="6">
        <v>10711</v>
      </c>
      <c r="C1639" s="6">
        <v>1945</v>
      </c>
      <c r="D1639" s="6">
        <f t="shared" si="100"/>
        <v>80</v>
      </c>
      <c r="E1639" s="7" t="s">
        <v>9</v>
      </c>
      <c r="F1639" s="7" t="s">
        <v>13</v>
      </c>
      <c r="G1639" s="6">
        <v>69755</v>
      </c>
      <c r="H1639" s="6" t="str" cm="1">
        <f t="array" ref="H1639">_xlfn.IFS(
  G1639 &lt; 25000, "Low",
  AND(G1639 &gt;= 25000, G1639 &lt; 75000), "Medium",
  AND(G1639 &gt;= 75000, G1639 &lt; 150000), "High",
  G1639 &gt;= 150000, "Very High"
)</f>
        <v>Medium</v>
      </c>
      <c r="I1639" s="6">
        <v>0</v>
      </c>
      <c r="J1639" s="6">
        <v>0</v>
      </c>
      <c r="K1639" s="6">
        <f t="shared" si="101"/>
        <v>0</v>
      </c>
      <c r="L1639" s="8">
        <v>41549</v>
      </c>
      <c r="M1639" t="str">
        <f t="shared" ca="1" si="102"/>
        <v>12 years, 5 months</v>
      </c>
      <c r="N1639" s="6">
        <v>23</v>
      </c>
      <c r="O1639">
        <v>77</v>
      </c>
      <c r="P1639">
        <v>23</v>
      </c>
      <c r="Q1639">
        <f t="shared" si="103"/>
        <v>100</v>
      </c>
      <c r="R1639">
        <v>3</v>
      </c>
      <c r="S1639">
        <v>12</v>
      </c>
      <c r="T1639">
        <f>Table[[#This Row],[NumWebPurchases]]+Table[[#This Row],[NumStorePurchases]]</f>
        <v>15</v>
      </c>
    </row>
    <row r="1640" spans="1:20" ht="12.5">
      <c r="A1640" s="6">
        <v>1638</v>
      </c>
      <c r="B1640" s="6">
        <v>10785</v>
      </c>
      <c r="C1640" s="6">
        <v>1969</v>
      </c>
      <c r="D1640" s="6">
        <f t="shared" si="100"/>
        <v>56</v>
      </c>
      <c r="E1640" s="7" t="s">
        <v>9</v>
      </c>
      <c r="F1640" s="7" t="s">
        <v>13</v>
      </c>
      <c r="G1640" s="6">
        <v>44078</v>
      </c>
      <c r="H1640" s="6" t="str" cm="1">
        <f t="array" ref="H1640">_xlfn.IFS(
  G1640 &lt; 25000, "Low",
  AND(G1640 &gt;= 25000, G1640 &lt; 75000), "Medium",
  AND(G1640 &gt;= 75000, G1640 &lt; 150000), "High",
  G1640 &gt;= 150000, "Very High"
)</f>
        <v>Medium</v>
      </c>
      <c r="I1640" s="6">
        <v>1</v>
      </c>
      <c r="J1640" s="6">
        <v>1</v>
      </c>
      <c r="K1640" s="6">
        <f t="shared" si="101"/>
        <v>2</v>
      </c>
      <c r="L1640" s="8">
        <v>41809</v>
      </c>
      <c r="M1640" t="str">
        <f t="shared" ca="1" si="102"/>
        <v>11 years, 8 months</v>
      </c>
      <c r="N1640" s="6">
        <v>17</v>
      </c>
      <c r="O1640">
        <v>1</v>
      </c>
      <c r="P1640">
        <v>0</v>
      </c>
      <c r="Q1640">
        <f t="shared" si="103"/>
        <v>1</v>
      </c>
      <c r="R1640">
        <v>2</v>
      </c>
      <c r="S1640">
        <v>3</v>
      </c>
      <c r="T1640">
        <f>Table[[#This Row],[NumWebPurchases]]+Table[[#This Row],[NumStorePurchases]]</f>
        <v>5</v>
      </c>
    </row>
    <row r="1641" spans="1:20" ht="12.5">
      <c r="A1641" s="6">
        <v>1639</v>
      </c>
      <c r="B1641" s="6">
        <v>2814</v>
      </c>
      <c r="C1641" s="6">
        <v>1976</v>
      </c>
      <c r="D1641" s="6">
        <f t="shared" si="100"/>
        <v>49</v>
      </c>
      <c r="E1641" s="7" t="s">
        <v>14</v>
      </c>
      <c r="F1641" s="7" t="s">
        <v>11</v>
      </c>
      <c r="G1641" s="6">
        <v>30560</v>
      </c>
      <c r="H1641" s="6" t="str" cm="1">
        <f t="array" ref="H1641">_xlfn.IFS(
  G1641 &lt; 25000, "Low",
  AND(G1641 &gt;= 25000, G1641 &lt; 75000), "Medium",
  AND(G1641 &gt;= 75000, G1641 &lt; 150000), "High",
  G1641 &gt;= 150000, "Very High"
)</f>
        <v>Medium</v>
      </c>
      <c r="I1641" s="6">
        <v>1</v>
      </c>
      <c r="J1641" s="6">
        <v>0</v>
      </c>
      <c r="K1641" s="6">
        <f t="shared" si="101"/>
        <v>1</v>
      </c>
      <c r="L1641" s="8">
        <v>41452</v>
      </c>
      <c r="M1641" t="str">
        <f t="shared" ca="1" si="102"/>
        <v>12 years, 8 months</v>
      </c>
      <c r="N1641" s="6">
        <v>6</v>
      </c>
      <c r="O1641">
        <v>1</v>
      </c>
      <c r="P1641">
        <v>5</v>
      </c>
      <c r="Q1641">
        <f t="shared" si="103"/>
        <v>6</v>
      </c>
      <c r="R1641">
        <v>1</v>
      </c>
      <c r="S1641">
        <v>3</v>
      </c>
      <c r="T1641">
        <f>Table[[#This Row],[NumWebPurchases]]+Table[[#This Row],[NumStorePurchases]]</f>
        <v>4</v>
      </c>
    </row>
    <row r="1642" spans="1:20" ht="12.5">
      <c r="A1642" s="6">
        <v>1640</v>
      </c>
      <c r="B1642" s="6">
        <v>6866</v>
      </c>
      <c r="C1642" s="6">
        <v>1969</v>
      </c>
      <c r="D1642" s="6">
        <f t="shared" si="100"/>
        <v>56</v>
      </c>
      <c r="E1642" s="7" t="s">
        <v>14</v>
      </c>
      <c r="F1642" s="7" t="s">
        <v>11</v>
      </c>
      <c r="G1642" s="6">
        <v>35924</v>
      </c>
      <c r="H1642" s="6" t="str" cm="1">
        <f t="array" ref="H1642">_xlfn.IFS(
  G1642 &lt; 25000, "Low",
  AND(G1642 &gt;= 25000, G1642 &lt; 75000), "Medium",
  AND(G1642 &gt;= 75000, G1642 &lt; 150000), "High",
  G1642 &gt;= 150000, "Very High"
)</f>
        <v>Medium</v>
      </c>
      <c r="I1642" s="6">
        <v>1</v>
      </c>
      <c r="J1642" s="6">
        <v>1</v>
      </c>
      <c r="K1642" s="6">
        <f t="shared" si="101"/>
        <v>2</v>
      </c>
      <c r="L1642" s="8">
        <v>41721</v>
      </c>
      <c r="M1642" t="str">
        <f t="shared" ca="1" si="102"/>
        <v>11 years, 11 months</v>
      </c>
      <c r="N1642" s="6">
        <v>56</v>
      </c>
      <c r="O1642">
        <v>0</v>
      </c>
      <c r="P1642">
        <v>3</v>
      </c>
      <c r="Q1642">
        <f t="shared" si="103"/>
        <v>3</v>
      </c>
      <c r="R1642">
        <v>1</v>
      </c>
      <c r="S1642">
        <v>3</v>
      </c>
      <c r="T1642">
        <f>Table[[#This Row],[NumWebPurchases]]+Table[[#This Row],[NumStorePurchases]]</f>
        <v>4</v>
      </c>
    </row>
    <row r="1643" spans="1:20" ht="12.5">
      <c r="A1643" s="6">
        <v>1641</v>
      </c>
      <c r="B1643" s="6">
        <v>1665</v>
      </c>
      <c r="C1643" s="6">
        <v>1964</v>
      </c>
      <c r="D1643" s="6">
        <f t="shared" si="100"/>
        <v>61</v>
      </c>
      <c r="E1643" s="7" t="s">
        <v>12</v>
      </c>
      <c r="F1643" s="7" t="s">
        <v>15</v>
      </c>
      <c r="G1643" s="6">
        <v>64140</v>
      </c>
      <c r="H1643" s="6" t="str" cm="1">
        <f t="array" ref="H1643">_xlfn.IFS(
  G1643 &lt; 25000, "Low",
  AND(G1643 &gt;= 25000, G1643 &lt; 75000), "Medium",
  AND(G1643 &gt;= 75000, G1643 &lt; 150000), "High",
  G1643 &gt;= 150000, "Very High"
)</f>
        <v>Medium</v>
      </c>
      <c r="I1643" s="6">
        <v>0</v>
      </c>
      <c r="J1643" s="6">
        <v>2</v>
      </c>
      <c r="K1643" s="6">
        <f t="shared" si="101"/>
        <v>2</v>
      </c>
      <c r="L1643" s="8">
        <v>41540</v>
      </c>
      <c r="M1643" t="str">
        <f t="shared" ca="1" si="102"/>
        <v>12 years, 5 months</v>
      </c>
      <c r="N1643" s="6">
        <v>71</v>
      </c>
      <c r="O1643">
        <v>0</v>
      </c>
      <c r="P1643">
        <v>15</v>
      </c>
      <c r="Q1643">
        <f t="shared" si="103"/>
        <v>15</v>
      </c>
      <c r="R1643">
        <v>2</v>
      </c>
      <c r="S1643">
        <v>6</v>
      </c>
      <c r="T1643">
        <f>Table[[#This Row],[NumWebPurchases]]+Table[[#This Row],[NumStorePurchases]]</f>
        <v>8</v>
      </c>
    </row>
    <row r="1644" spans="1:20" ht="12.5">
      <c r="A1644" s="6">
        <v>1642</v>
      </c>
      <c r="B1644" s="6">
        <v>6575</v>
      </c>
      <c r="C1644" s="6">
        <v>1981</v>
      </c>
      <c r="D1644" s="6">
        <f t="shared" si="100"/>
        <v>44</v>
      </c>
      <c r="E1644" s="7" t="s">
        <v>9</v>
      </c>
      <c r="F1644" s="7" t="s">
        <v>11</v>
      </c>
      <c r="G1644" s="6">
        <v>56386</v>
      </c>
      <c r="H1644" s="6" t="str" cm="1">
        <f t="array" ref="H1644">_xlfn.IFS(
  G1644 &lt; 25000, "Low",
  AND(G1644 &gt;= 25000, G1644 &lt; 75000), "Medium",
  AND(G1644 &gt;= 75000, G1644 &lt; 150000), "High",
  G1644 &gt;= 150000, "Very High"
)</f>
        <v>Medium</v>
      </c>
      <c r="I1644" s="6">
        <v>1</v>
      </c>
      <c r="J1644" s="6">
        <v>1</v>
      </c>
      <c r="K1644" s="6">
        <f t="shared" si="101"/>
        <v>2</v>
      </c>
      <c r="L1644" s="9">
        <v>41209</v>
      </c>
      <c r="M1644" t="str">
        <f t="shared" ca="1" si="102"/>
        <v>13 years, 4 months</v>
      </c>
      <c r="N1644" s="6">
        <v>51</v>
      </c>
      <c r="O1644">
        <v>48</v>
      </c>
      <c r="P1644">
        <v>32</v>
      </c>
      <c r="Q1644">
        <f t="shared" si="103"/>
        <v>80</v>
      </c>
      <c r="R1644">
        <v>9</v>
      </c>
      <c r="S1644">
        <v>7</v>
      </c>
      <c r="T1644">
        <f>Table[[#This Row],[NumWebPurchases]]+Table[[#This Row],[NumStorePurchases]]</f>
        <v>16</v>
      </c>
    </row>
    <row r="1645" spans="1:20" ht="12.5">
      <c r="A1645" s="6">
        <v>1643</v>
      </c>
      <c r="B1645" s="6">
        <v>3829</v>
      </c>
      <c r="C1645" s="6">
        <v>1979</v>
      </c>
      <c r="D1645" s="6">
        <f t="shared" si="100"/>
        <v>46</v>
      </c>
      <c r="E1645" s="7" t="s">
        <v>16</v>
      </c>
      <c r="F1645" s="7" t="s">
        <v>11</v>
      </c>
      <c r="G1645" s="6">
        <v>24594</v>
      </c>
      <c r="H1645" s="6" t="str" cm="1">
        <f t="array" ref="H1645">_xlfn.IFS(
  G1645 &lt; 25000, "Low",
  AND(G1645 &gt;= 25000, G1645 &lt; 75000), "Medium",
  AND(G1645 &gt;= 75000, G1645 &lt; 150000), "High",
  G1645 &gt;= 150000, "Very High"
)</f>
        <v>Low</v>
      </c>
      <c r="I1645" s="6">
        <v>1</v>
      </c>
      <c r="J1645" s="6">
        <v>0</v>
      </c>
      <c r="K1645" s="6">
        <f t="shared" si="101"/>
        <v>1</v>
      </c>
      <c r="L1645" s="9">
        <v>41618</v>
      </c>
      <c r="M1645" t="str">
        <f t="shared" ca="1" si="102"/>
        <v>12 years, 2 months</v>
      </c>
      <c r="N1645" s="6">
        <v>94</v>
      </c>
      <c r="O1645">
        <v>3</v>
      </c>
      <c r="P1645">
        <v>0</v>
      </c>
      <c r="Q1645">
        <f t="shared" si="103"/>
        <v>3</v>
      </c>
      <c r="R1645">
        <v>1</v>
      </c>
      <c r="S1645">
        <v>3</v>
      </c>
      <c r="T1645">
        <f>Table[[#This Row],[NumWebPurchases]]+Table[[#This Row],[NumStorePurchases]]</f>
        <v>4</v>
      </c>
    </row>
    <row r="1646" spans="1:20" ht="12.5">
      <c r="A1646" s="6">
        <v>1644</v>
      </c>
      <c r="B1646" s="6">
        <v>3091</v>
      </c>
      <c r="C1646" s="6">
        <v>1981</v>
      </c>
      <c r="D1646" s="6">
        <f t="shared" si="100"/>
        <v>44</v>
      </c>
      <c r="E1646" s="7" t="s">
        <v>17</v>
      </c>
      <c r="F1646" s="7" t="s">
        <v>11</v>
      </c>
      <c r="G1646" s="6">
        <v>75774</v>
      </c>
      <c r="H1646" s="6" t="str" cm="1">
        <f t="array" ref="H1646">_xlfn.IFS(
  G1646 &lt; 25000, "Low",
  AND(G1646 &gt;= 25000, G1646 &lt; 75000), "Medium",
  AND(G1646 &gt;= 75000, G1646 &lt; 150000), "High",
  G1646 &gt;= 150000, "Very High"
)</f>
        <v>High</v>
      </c>
      <c r="I1646" s="6">
        <v>1</v>
      </c>
      <c r="J1646" s="6">
        <v>0</v>
      </c>
      <c r="K1646" s="6">
        <f t="shared" si="101"/>
        <v>1</v>
      </c>
      <c r="L1646" s="8">
        <v>41761</v>
      </c>
      <c r="M1646" t="str">
        <f t="shared" ca="1" si="102"/>
        <v>11 years, 10 months</v>
      </c>
      <c r="N1646" s="6">
        <v>27</v>
      </c>
      <c r="O1646">
        <v>21</v>
      </c>
      <c r="P1646">
        <v>14</v>
      </c>
      <c r="Q1646">
        <f t="shared" si="103"/>
        <v>35</v>
      </c>
      <c r="R1646">
        <v>7</v>
      </c>
      <c r="S1646">
        <v>8</v>
      </c>
      <c r="T1646">
        <f>Table[[#This Row],[NumWebPurchases]]+Table[[#This Row],[NumStorePurchases]]</f>
        <v>15</v>
      </c>
    </row>
    <row r="1647" spans="1:20" ht="12.5">
      <c r="A1647" s="6">
        <v>1645</v>
      </c>
      <c r="B1647" s="6">
        <v>10141</v>
      </c>
      <c r="C1647" s="6">
        <v>1960</v>
      </c>
      <c r="D1647" s="6">
        <f t="shared" si="100"/>
        <v>65</v>
      </c>
      <c r="E1647" s="7" t="s">
        <v>14</v>
      </c>
      <c r="F1647" s="7" t="s">
        <v>15</v>
      </c>
      <c r="G1647" s="6">
        <v>39228</v>
      </c>
      <c r="H1647" s="6" t="str" cm="1">
        <f t="array" ref="H1647">_xlfn.IFS(
  G1647 &lt; 25000, "Low",
  AND(G1647 &gt;= 25000, G1647 &lt; 75000), "Medium",
  AND(G1647 &gt;= 75000, G1647 &lt; 150000), "High",
  G1647 &gt;= 150000, "Very High"
)</f>
        <v>Medium</v>
      </c>
      <c r="I1647" s="6">
        <v>0</v>
      </c>
      <c r="J1647" s="6">
        <v>0</v>
      </c>
      <c r="K1647" s="6">
        <f t="shared" si="101"/>
        <v>0</v>
      </c>
      <c r="L1647" s="8">
        <v>41404</v>
      </c>
      <c r="M1647" t="str">
        <f t="shared" ca="1" si="102"/>
        <v>12 years, 9 months</v>
      </c>
      <c r="N1647" s="6">
        <v>1</v>
      </c>
      <c r="O1647">
        <v>1</v>
      </c>
      <c r="P1647">
        <v>3</v>
      </c>
      <c r="Q1647">
        <f t="shared" si="103"/>
        <v>4</v>
      </c>
      <c r="R1647">
        <v>0</v>
      </c>
      <c r="S1647">
        <v>3</v>
      </c>
      <c r="T1647">
        <f>Table[[#This Row],[NumWebPurchases]]+Table[[#This Row],[NumStorePurchases]]</f>
        <v>3</v>
      </c>
    </row>
    <row r="1648" spans="1:20" ht="12.5">
      <c r="A1648" s="6">
        <v>1646</v>
      </c>
      <c r="B1648" s="6">
        <v>5177</v>
      </c>
      <c r="C1648" s="6">
        <v>1974</v>
      </c>
      <c r="D1648" s="6">
        <f t="shared" si="100"/>
        <v>51</v>
      </c>
      <c r="E1648" s="7" t="s">
        <v>14</v>
      </c>
      <c r="F1648" s="7" t="s">
        <v>13</v>
      </c>
      <c r="G1648" s="6">
        <v>58494</v>
      </c>
      <c r="H1648" s="6" t="str" cm="1">
        <f t="array" ref="H1648">_xlfn.IFS(
  G1648 &lt; 25000, "Low",
  AND(G1648 &gt;= 25000, G1648 &lt; 75000), "Medium",
  AND(G1648 &gt;= 75000, G1648 &lt; 150000), "High",
  G1648 &gt;= 150000, "Very High"
)</f>
        <v>Medium</v>
      </c>
      <c r="I1648" s="6">
        <v>0</v>
      </c>
      <c r="J1648" s="6">
        <v>1</v>
      </c>
      <c r="K1648" s="6">
        <f t="shared" si="101"/>
        <v>1</v>
      </c>
      <c r="L1648" s="9">
        <v>41620</v>
      </c>
      <c r="M1648" t="str">
        <f t="shared" ca="1" si="102"/>
        <v>12 years, 2 months</v>
      </c>
      <c r="N1648" s="6">
        <v>56</v>
      </c>
      <c r="O1648">
        <v>7</v>
      </c>
      <c r="P1648">
        <v>0</v>
      </c>
      <c r="Q1648">
        <f t="shared" si="103"/>
        <v>7</v>
      </c>
      <c r="R1648">
        <v>6</v>
      </c>
      <c r="S1648">
        <v>6</v>
      </c>
      <c r="T1648">
        <f>Table[[#This Row],[NumWebPurchases]]+Table[[#This Row],[NumStorePurchases]]</f>
        <v>12</v>
      </c>
    </row>
    <row r="1649" spans="1:20" ht="12.5">
      <c r="A1649" s="6">
        <v>1647</v>
      </c>
      <c r="B1649" s="6">
        <v>7005</v>
      </c>
      <c r="C1649" s="6">
        <v>1981</v>
      </c>
      <c r="D1649" s="6">
        <f t="shared" si="100"/>
        <v>44</v>
      </c>
      <c r="E1649" s="7" t="s">
        <v>9</v>
      </c>
      <c r="F1649" s="7" t="s">
        <v>10</v>
      </c>
      <c r="G1649" s="6">
        <v>58684</v>
      </c>
      <c r="H1649" s="6" t="str" cm="1">
        <f t="array" ref="H1649">_xlfn.IFS(
  G1649 &lt; 25000, "Low",
  AND(G1649 &gt;= 25000, G1649 &lt; 75000), "Medium",
  AND(G1649 &gt;= 75000, G1649 &lt; 150000), "High",
  G1649 &gt;= 150000, "Very High"
)</f>
        <v>Medium</v>
      </c>
      <c r="I1649" s="6">
        <v>0</v>
      </c>
      <c r="J1649" s="6">
        <v>0</v>
      </c>
      <c r="K1649" s="6">
        <f t="shared" si="101"/>
        <v>0</v>
      </c>
      <c r="L1649" s="8">
        <v>41806</v>
      </c>
      <c r="M1649" t="str">
        <f t="shared" ca="1" si="102"/>
        <v>11 years, 8 months</v>
      </c>
      <c r="N1649" s="6">
        <v>71</v>
      </c>
      <c r="O1649">
        <v>35</v>
      </c>
      <c r="P1649">
        <v>7</v>
      </c>
      <c r="Q1649">
        <f t="shared" si="103"/>
        <v>42</v>
      </c>
      <c r="R1649">
        <v>5</v>
      </c>
      <c r="S1649">
        <v>12</v>
      </c>
      <c r="T1649">
        <f>Table[[#This Row],[NumWebPurchases]]+Table[[#This Row],[NumStorePurchases]]</f>
        <v>17</v>
      </c>
    </row>
    <row r="1650" spans="1:20" ht="12.5">
      <c r="A1650" s="6">
        <v>1648</v>
      </c>
      <c r="B1650" s="6">
        <v>6409</v>
      </c>
      <c r="C1650" s="6">
        <v>1967</v>
      </c>
      <c r="D1650" s="6">
        <f t="shared" si="100"/>
        <v>58</v>
      </c>
      <c r="E1650" s="7" t="s">
        <v>9</v>
      </c>
      <c r="F1650" s="7" t="s">
        <v>15</v>
      </c>
      <c r="G1650" s="6">
        <v>57136</v>
      </c>
      <c r="H1650" s="6" t="str" cm="1">
        <f t="array" ref="H1650">_xlfn.IFS(
  G1650 &lt; 25000, "Low",
  AND(G1650 &gt;= 25000, G1650 &lt; 75000), "Medium",
  AND(G1650 &gt;= 75000, G1650 &lt; 150000), "High",
  G1650 &gt;= 150000, "Very High"
)</f>
        <v>Medium</v>
      </c>
      <c r="I1650" s="6">
        <v>0</v>
      </c>
      <c r="J1650" s="6">
        <v>0</v>
      </c>
      <c r="K1650" s="6">
        <f t="shared" si="101"/>
        <v>0</v>
      </c>
      <c r="L1650" s="8">
        <v>41412</v>
      </c>
      <c r="M1650" t="str">
        <f t="shared" ca="1" si="102"/>
        <v>12 years, 9 months</v>
      </c>
      <c r="N1650" s="6">
        <v>18</v>
      </c>
      <c r="O1650">
        <v>140</v>
      </c>
      <c r="P1650">
        <v>12</v>
      </c>
      <c r="Q1650">
        <f t="shared" si="103"/>
        <v>152</v>
      </c>
      <c r="R1650">
        <v>7</v>
      </c>
      <c r="S1650">
        <v>7</v>
      </c>
      <c r="T1650">
        <f>Table[[#This Row],[NumWebPurchases]]+Table[[#This Row],[NumStorePurchases]]</f>
        <v>14</v>
      </c>
    </row>
    <row r="1651" spans="1:20" ht="12.5">
      <c r="A1651" s="6">
        <v>1649</v>
      </c>
      <c r="B1651" s="6">
        <v>7485</v>
      </c>
      <c r="C1651" s="6">
        <v>1950</v>
      </c>
      <c r="D1651" s="6">
        <f t="shared" si="100"/>
        <v>75</v>
      </c>
      <c r="E1651" s="7" t="s">
        <v>12</v>
      </c>
      <c r="F1651" s="7" t="s">
        <v>18</v>
      </c>
      <c r="G1651" s="6">
        <v>56551</v>
      </c>
      <c r="H1651" s="6" t="str" cm="1">
        <f t="array" ref="H1651">_xlfn.IFS(
  G1651 &lt; 25000, "Low",
  AND(G1651 &gt;= 25000, G1651 &lt; 75000), "Medium",
  AND(G1651 &gt;= 75000, G1651 &lt; 150000), "High",
  G1651 &gt;= 150000, "Very High"
)</f>
        <v>Medium</v>
      </c>
      <c r="I1651" s="6">
        <v>1</v>
      </c>
      <c r="J1651" s="6">
        <v>1</v>
      </c>
      <c r="K1651" s="6">
        <f t="shared" si="101"/>
        <v>2</v>
      </c>
      <c r="L1651" s="8">
        <v>41766</v>
      </c>
      <c r="M1651" t="str">
        <f t="shared" ca="1" si="102"/>
        <v>11 years, 9 months</v>
      </c>
      <c r="N1651" s="6">
        <v>48</v>
      </c>
      <c r="O1651">
        <v>4</v>
      </c>
      <c r="P1651">
        <v>2</v>
      </c>
      <c r="Q1651">
        <f t="shared" si="103"/>
        <v>6</v>
      </c>
      <c r="R1651">
        <v>2</v>
      </c>
      <c r="S1651">
        <v>4</v>
      </c>
      <c r="T1651">
        <f>Table[[#This Row],[NumWebPurchases]]+Table[[#This Row],[NumStorePurchases]]</f>
        <v>6</v>
      </c>
    </row>
    <row r="1652" spans="1:20" ht="12.5">
      <c r="A1652" s="6">
        <v>1650</v>
      </c>
      <c r="B1652" s="6">
        <v>8079</v>
      </c>
      <c r="C1652" s="6">
        <v>1982</v>
      </c>
      <c r="D1652" s="6">
        <f t="shared" si="100"/>
        <v>43</v>
      </c>
      <c r="E1652" s="7" t="s">
        <v>9</v>
      </c>
      <c r="F1652" s="7" t="s">
        <v>13</v>
      </c>
      <c r="G1652" s="6">
        <v>22448</v>
      </c>
      <c r="H1652" s="6" t="str" cm="1">
        <f t="array" ref="H1652">_xlfn.IFS(
  G1652 &lt; 25000, "Low",
  AND(G1652 &gt;= 25000, G1652 &lt; 75000), "Medium",
  AND(G1652 &gt;= 75000, G1652 &lt; 150000), "High",
  G1652 &gt;= 150000, "Very High"
)</f>
        <v>Low</v>
      </c>
      <c r="I1652" s="6">
        <v>1</v>
      </c>
      <c r="J1652" s="6">
        <v>0</v>
      </c>
      <c r="K1652" s="6">
        <f t="shared" si="101"/>
        <v>1</v>
      </c>
      <c r="L1652" s="8">
        <v>41696</v>
      </c>
      <c r="M1652" t="str">
        <f t="shared" ca="1" si="102"/>
        <v>12 years, 0 months</v>
      </c>
      <c r="N1652" s="6">
        <v>86</v>
      </c>
      <c r="O1652">
        <v>1</v>
      </c>
      <c r="P1652">
        <v>2</v>
      </c>
      <c r="Q1652">
        <f t="shared" si="103"/>
        <v>3</v>
      </c>
      <c r="R1652">
        <v>2</v>
      </c>
      <c r="S1652">
        <v>3</v>
      </c>
      <c r="T1652">
        <f>Table[[#This Row],[NumWebPurchases]]+Table[[#This Row],[NumStorePurchases]]</f>
        <v>5</v>
      </c>
    </row>
    <row r="1653" spans="1:20" ht="12.5">
      <c r="A1653" s="6">
        <v>1651</v>
      </c>
      <c r="B1653" s="6">
        <v>8395</v>
      </c>
      <c r="C1653" s="6">
        <v>1961</v>
      </c>
      <c r="D1653" s="6">
        <f t="shared" si="100"/>
        <v>64</v>
      </c>
      <c r="E1653" s="7" t="s">
        <v>9</v>
      </c>
      <c r="F1653" s="7" t="s">
        <v>10</v>
      </c>
      <c r="G1653" s="6">
        <v>82014</v>
      </c>
      <c r="H1653" s="6" t="str" cm="1">
        <f t="array" ref="H1653">_xlfn.IFS(
  G1653 &lt; 25000, "Low",
  AND(G1653 &gt;= 25000, G1653 &lt; 75000), "Medium",
  AND(G1653 &gt;= 75000, G1653 &lt; 150000), "High",
  G1653 &gt;= 150000, "Very High"
)</f>
        <v>High</v>
      </c>
      <c r="I1653" s="6">
        <v>0</v>
      </c>
      <c r="J1653" s="6">
        <v>0</v>
      </c>
      <c r="K1653" s="6">
        <f t="shared" si="101"/>
        <v>0</v>
      </c>
      <c r="L1653" s="8">
        <v>41141</v>
      </c>
      <c r="M1653" t="str">
        <f t="shared" ca="1" si="102"/>
        <v>13 years, 6 months</v>
      </c>
      <c r="N1653" s="6">
        <v>48</v>
      </c>
      <c r="O1653">
        <v>37</v>
      </c>
      <c r="P1653">
        <v>163</v>
      </c>
      <c r="Q1653">
        <f t="shared" si="103"/>
        <v>200</v>
      </c>
      <c r="R1653">
        <v>3</v>
      </c>
      <c r="S1653">
        <v>12</v>
      </c>
      <c r="T1653">
        <f>Table[[#This Row],[NumWebPurchases]]+Table[[#This Row],[NumStorePurchases]]</f>
        <v>15</v>
      </c>
    </row>
    <row r="1654" spans="1:20" ht="12.5">
      <c r="A1654" s="6">
        <v>1652</v>
      </c>
      <c r="B1654" s="6">
        <v>10352</v>
      </c>
      <c r="C1654" s="6">
        <v>1963</v>
      </c>
      <c r="D1654" s="6">
        <f t="shared" si="100"/>
        <v>62</v>
      </c>
      <c r="E1654" s="7" t="s">
        <v>9</v>
      </c>
      <c r="F1654" s="7" t="s">
        <v>18</v>
      </c>
      <c r="G1654" s="6">
        <v>34213</v>
      </c>
      <c r="H1654" s="6" t="str" cm="1">
        <f t="array" ref="H1654">_xlfn.IFS(
  G1654 &lt; 25000, "Low",
  AND(G1654 &gt;= 25000, G1654 &lt; 75000), "Medium",
  AND(G1654 &gt;= 75000, G1654 &lt; 150000), "High",
  G1654 &gt;= 150000, "Very High"
)</f>
        <v>Medium</v>
      </c>
      <c r="I1654" s="6">
        <v>1</v>
      </c>
      <c r="J1654" s="6">
        <v>1</v>
      </c>
      <c r="K1654" s="6">
        <f t="shared" si="101"/>
        <v>2</v>
      </c>
      <c r="L1654" s="8">
        <v>41159</v>
      </c>
      <c r="M1654" t="str">
        <f t="shared" ca="1" si="102"/>
        <v>13 years, 5 months</v>
      </c>
      <c r="N1654" s="6">
        <v>2</v>
      </c>
      <c r="O1654">
        <v>4</v>
      </c>
      <c r="P1654">
        <v>3</v>
      </c>
      <c r="Q1654">
        <f t="shared" si="103"/>
        <v>7</v>
      </c>
      <c r="R1654">
        <v>3</v>
      </c>
      <c r="S1654">
        <v>2</v>
      </c>
      <c r="T1654">
        <f>Table[[#This Row],[NumWebPurchases]]+Table[[#This Row],[NumStorePurchases]]</f>
        <v>5</v>
      </c>
    </row>
    <row r="1655" spans="1:20" ht="12.5">
      <c r="A1655" s="6">
        <v>1653</v>
      </c>
      <c r="B1655" s="6">
        <v>4931</v>
      </c>
      <c r="C1655" s="6">
        <v>1977</v>
      </c>
      <c r="D1655" s="6">
        <f t="shared" si="100"/>
        <v>48</v>
      </c>
      <c r="E1655" s="7" t="s">
        <v>9</v>
      </c>
      <c r="F1655" s="7" t="s">
        <v>11</v>
      </c>
      <c r="G1655" s="6">
        <v>157146</v>
      </c>
      <c r="H1655" s="6" t="str" cm="1">
        <f t="array" ref="H1655">_xlfn.IFS(
  G1655 &lt; 25000, "Low",
  AND(G1655 &gt;= 25000, G1655 &lt; 75000), "Medium",
  AND(G1655 &gt;= 75000, G1655 &lt; 150000), "High",
  G1655 &gt;= 150000, "Very High"
)</f>
        <v>Very High</v>
      </c>
      <c r="I1655" s="6">
        <v>0</v>
      </c>
      <c r="J1655" s="6">
        <v>0</v>
      </c>
      <c r="K1655" s="6">
        <f t="shared" si="101"/>
        <v>0</v>
      </c>
      <c r="L1655" s="8">
        <v>41393</v>
      </c>
      <c r="M1655" t="str">
        <f t="shared" ca="1" si="102"/>
        <v>12 years, 10 months</v>
      </c>
      <c r="N1655" s="6">
        <v>13</v>
      </c>
      <c r="O1655">
        <v>0</v>
      </c>
      <c r="P1655">
        <v>1</v>
      </c>
      <c r="Q1655">
        <f t="shared" si="103"/>
        <v>1</v>
      </c>
      <c r="R1655">
        <v>0</v>
      </c>
      <c r="S1655">
        <v>0</v>
      </c>
      <c r="T1655">
        <f>Table[[#This Row],[NumWebPurchases]]+Table[[#This Row],[NumStorePurchases]]</f>
        <v>0</v>
      </c>
    </row>
    <row r="1656" spans="1:20" ht="12.5">
      <c r="A1656" s="6">
        <v>1654</v>
      </c>
      <c r="B1656" s="6">
        <v>13</v>
      </c>
      <c r="C1656" s="6">
        <v>1947</v>
      </c>
      <c r="D1656" s="6">
        <f t="shared" si="100"/>
        <v>78</v>
      </c>
      <c r="E1656" s="7" t="s">
        <v>12</v>
      </c>
      <c r="F1656" s="7" t="s">
        <v>18</v>
      </c>
      <c r="G1656" s="6">
        <v>25358</v>
      </c>
      <c r="H1656" s="6" t="str" cm="1">
        <f t="array" ref="H1656">_xlfn.IFS(
  G1656 &lt; 25000, "Low",
  AND(G1656 &gt;= 25000, G1656 &lt; 75000), "Medium",
  AND(G1656 &gt;= 75000, G1656 &lt; 150000), "High",
  G1656 &gt;= 150000, "Very High"
)</f>
        <v>Medium</v>
      </c>
      <c r="I1656" s="6">
        <v>0</v>
      </c>
      <c r="J1656" s="6">
        <v>1</v>
      </c>
      <c r="K1656" s="6">
        <f t="shared" si="101"/>
        <v>1</v>
      </c>
      <c r="L1656" s="8">
        <v>41477</v>
      </c>
      <c r="M1656" t="str">
        <f t="shared" ca="1" si="102"/>
        <v>12 years, 7 months</v>
      </c>
      <c r="N1656" s="6">
        <v>57</v>
      </c>
      <c r="O1656">
        <v>0</v>
      </c>
      <c r="P1656">
        <v>0</v>
      </c>
      <c r="Q1656">
        <f t="shared" si="103"/>
        <v>0</v>
      </c>
      <c r="R1656">
        <v>1</v>
      </c>
      <c r="S1656">
        <v>3</v>
      </c>
      <c r="T1656">
        <f>Table[[#This Row],[NumWebPurchases]]+Table[[#This Row],[NumStorePurchases]]</f>
        <v>4</v>
      </c>
    </row>
    <row r="1657" spans="1:20" ht="12.5">
      <c r="A1657" s="6">
        <v>1655</v>
      </c>
      <c r="B1657" s="6">
        <v>1834</v>
      </c>
      <c r="C1657" s="6">
        <v>1978</v>
      </c>
      <c r="D1657" s="6">
        <f t="shared" si="100"/>
        <v>47</v>
      </c>
      <c r="E1657" s="7" t="s">
        <v>14</v>
      </c>
      <c r="F1657" s="7" t="s">
        <v>10</v>
      </c>
      <c r="G1657" s="6">
        <v>35544</v>
      </c>
      <c r="H1657" s="6" t="str" cm="1">
        <f t="array" ref="H1657">_xlfn.IFS(
  G1657 &lt; 25000, "Low",
  AND(G1657 &gt;= 25000, G1657 &lt; 75000), "Medium",
  AND(G1657 &gt;= 75000, G1657 &lt; 150000), "High",
  G1657 &gt;= 150000, "Very High"
)</f>
        <v>Medium</v>
      </c>
      <c r="I1657" s="6">
        <v>1</v>
      </c>
      <c r="J1657" s="6">
        <v>0</v>
      </c>
      <c r="K1657" s="6">
        <f t="shared" si="101"/>
        <v>1</v>
      </c>
      <c r="L1657" s="8">
        <v>41706</v>
      </c>
      <c r="M1657" t="str">
        <f t="shared" ca="1" si="102"/>
        <v>11 years, 11 months</v>
      </c>
      <c r="N1657" s="6">
        <v>77</v>
      </c>
      <c r="O1657">
        <v>5</v>
      </c>
      <c r="P1657">
        <v>1</v>
      </c>
      <c r="Q1657">
        <f t="shared" si="103"/>
        <v>6</v>
      </c>
      <c r="R1657">
        <v>2</v>
      </c>
      <c r="S1657">
        <v>3</v>
      </c>
      <c r="T1657">
        <f>Table[[#This Row],[NumWebPurchases]]+Table[[#This Row],[NumStorePurchases]]</f>
        <v>5</v>
      </c>
    </row>
    <row r="1658" spans="1:20" ht="12.5">
      <c r="A1658" s="6">
        <v>1656</v>
      </c>
      <c r="B1658" s="6">
        <v>2285</v>
      </c>
      <c r="C1658" s="6">
        <v>1954</v>
      </c>
      <c r="D1658" s="6">
        <f t="shared" si="100"/>
        <v>71</v>
      </c>
      <c r="E1658" s="7" t="s">
        <v>14</v>
      </c>
      <c r="F1658" s="7" t="s">
        <v>11</v>
      </c>
      <c r="G1658" s="6">
        <v>36634</v>
      </c>
      <c r="H1658" s="6" t="str" cm="1">
        <f t="array" ref="H1658">_xlfn.IFS(
  G1658 &lt; 25000, "Low",
  AND(G1658 &gt;= 25000, G1658 &lt; 75000), "Medium",
  AND(G1658 &gt;= 75000, G1658 &lt; 150000), "High",
  G1658 &gt;= 150000, "Very High"
)</f>
        <v>Medium</v>
      </c>
      <c r="I1658" s="6">
        <v>0</v>
      </c>
      <c r="J1658" s="6">
        <v>1</v>
      </c>
      <c r="K1658" s="6">
        <f t="shared" si="101"/>
        <v>1</v>
      </c>
      <c r="L1658" s="8">
        <v>41422</v>
      </c>
      <c r="M1658" t="str">
        <f t="shared" ca="1" si="102"/>
        <v>12 years, 9 months</v>
      </c>
      <c r="N1658" s="6">
        <v>0</v>
      </c>
      <c r="O1658">
        <v>9</v>
      </c>
      <c r="P1658">
        <v>3</v>
      </c>
      <c r="Q1658">
        <f t="shared" si="103"/>
        <v>12</v>
      </c>
      <c r="R1658">
        <v>5</v>
      </c>
      <c r="S1658">
        <v>5</v>
      </c>
      <c r="T1658">
        <f>Table[[#This Row],[NumWebPurchases]]+Table[[#This Row],[NumStorePurchases]]</f>
        <v>10</v>
      </c>
    </row>
    <row r="1659" spans="1:20" ht="12.5">
      <c r="A1659" s="6">
        <v>1657</v>
      </c>
      <c r="B1659" s="6">
        <v>2295</v>
      </c>
      <c r="C1659" s="6">
        <v>1954</v>
      </c>
      <c r="D1659" s="6">
        <f t="shared" si="100"/>
        <v>71</v>
      </c>
      <c r="E1659" s="7" t="s">
        <v>12</v>
      </c>
      <c r="F1659" s="7" t="s">
        <v>13</v>
      </c>
      <c r="G1659" s="6">
        <v>62670</v>
      </c>
      <c r="H1659" s="6" t="str" cm="1">
        <f t="array" ref="H1659">_xlfn.IFS(
  G1659 &lt; 25000, "Low",
  AND(G1659 &gt;= 25000, G1659 &lt; 75000), "Medium",
  AND(G1659 &gt;= 75000, G1659 &lt; 150000), "High",
  G1659 &gt;= 150000, "Very High"
)</f>
        <v>Medium</v>
      </c>
      <c r="I1659" s="6">
        <v>0</v>
      </c>
      <c r="J1659" s="6">
        <v>1</v>
      </c>
      <c r="K1659" s="6">
        <f t="shared" si="101"/>
        <v>1</v>
      </c>
      <c r="L1659" s="8">
        <v>41672</v>
      </c>
      <c r="M1659" t="str">
        <f t="shared" ca="1" si="102"/>
        <v>12 years, 1 months</v>
      </c>
      <c r="N1659" s="6">
        <v>57</v>
      </c>
      <c r="O1659">
        <v>30</v>
      </c>
      <c r="P1659">
        <v>46</v>
      </c>
      <c r="Q1659">
        <f t="shared" si="103"/>
        <v>76</v>
      </c>
      <c r="R1659">
        <v>5</v>
      </c>
      <c r="S1659">
        <v>13</v>
      </c>
      <c r="T1659">
        <f>Table[[#This Row],[NumWebPurchases]]+Table[[#This Row],[NumStorePurchases]]</f>
        <v>18</v>
      </c>
    </row>
    <row r="1660" spans="1:20" ht="12.5">
      <c r="A1660" s="6">
        <v>1658</v>
      </c>
      <c r="B1660" s="6">
        <v>1378</v>
      </c>
      <c r="C1660" s="6">
        <v>1972</v>
      </c>
      <c r="D1660" s="6">
        <f t="shared" si="100"/>
        <v>53</v>
      </c>
      <c r="E1660" s="7" t="s">
        <v>17</v>
      </c>
      <c r="F1660" s="7" t="s">
        <v>11</v>
      </c>
      <c r="G1660" s="6">
        <v>50334</v>
      </c>
      <c r="H1660" s="6" t="str" cm="1">
        <f t="array" ref="H1660">_xlfn.IFS(
  G1660 &lt; 25000, "Low",
  AND(G1660 &gt;= 25000, G1660 &lt; 75000), "Medium",
  AND(G1660 &gt;= 75000, G1660 &lt; 150000), "High",
  G1660 &gt;= 150000, "Very High"
)</f>
        <v>Medium</v>
      </c>
      <c r="I1660" s="6">
        <v>0</v>
      </c>
      <c r="J1660" s="6">
        <v>1</v>
      </c>
      <c r="K1660" s="6">
        <f t="shared" si="101"/>
        <v>1</v>
      </c>
      <c r="L1660" s="8">
        <v>41479</v>
      </c>
      <c r="M1660" t="str">
        <f t="shared" ca="1" si="102"/>
        <v>12 years, 7 months</v>
      </c>
      <c r="N1660" s="6">
        <v>24</v>
      </c>
      <c r="O1660">
        <v>16</v>
      </c>
      <c r="P1660">
        <v>16</v>
      </c>
      <c r="Q1660">
        <f t="shared" si="103"/>
        <v>32</v>
      </c>
      <c r="R1660">
        <v>7</v>
      </c>
      <c r="S1660">
        <v>6</v>
      </c>
      <c r="T1660">
        <f>Table[[#This Row],[NumWebPurchases]]+Table[[#This Row],[NumStorePurchases]]</f>
        <v>13</v>
      </c>
    </row>
    <row r="1661" spans="1:20" ht="12.5">
      <c r="A1661" s="6">
        <v>1659</v>
      </c>
      <c r="B1661" s="6">
        <v>2781</v>
      </c>
      <c r="C1661" s="6">
        <v>1981</v>
      </c>
      <c r="D1661" s="6">
        <f t="shared" si="100"/>
        <v>44</v>
      </c>
      <c r="E1661" s="7" t="s">
        <v>9</v>
      </c>
      <c r="F1661" s="7" t="s">
        <v>10</v>
      </c>
      <c r="G1661" s="6">
        <v>72066</v>
      </c>
      <c r="H1661" s="6" t="str" cm="1">
        <f t="array" ref="H1661">_xlfn.IFS(
  G1661 &lt; 25000, "Low",
  AND(G1661 &gt;= 25000, G1661 &lt; 75000), "Medium",
  AND(G1661 &gt;= 75000, G1661 &lt; 150000), "High",
  G1661 &gt;= 150000, "Very High"
)</f>
        <v>Medium</v>
      </c>
      <c r="I1661" s="6">
        <v>0</v>
      </c>
      <c r="J1661" s="6">
        <v>0</v>
      </c>
      <c r="K1661" s="6">
        <f t="shared" si="101"/>
        <v>0</v>
      </c>
      <c r="L1661" s="8">
        <v>41813</v>
      </c>
      <c r="M1661" t="str">
        <f t="shared" ca="1" si="102"/>
        <v>11 years, 8 months</v>
      </c>
      <c r="N1661" s="6">
        <v>55</v>
      </c>
      <c r="O1661">
        <v>34</v>
      </c>
      <c r="P1661">
        <v>51</v>
      </c>
      <c r="Q1661">
        <f t="shared" si="103"/>
        <v>85</v>
      </c>
      <c r="R1661">
        <v>4</v>
      </c>
      <c r="S1661">
        <v>6</v>
      </c>
      <c r="T1661">
        <f>Table[[#This Row],[NumWebPurchases]]+Table[[#This Row],[NumStorePurchases]]</f>
        <v>10</v>
      </c>
    </row>
    <row r="1662" spans="1:20" ht="12.5">
      <c r="A1662" s="6">
        <v>1660</v>
      </c>
      <c r="B1662" s="6">
        <v>1165</v>
      </c>
      <c r="C1662" s="6">
        <v>1958</v>
      </c>
      <c r="D1662" s="6">
        <f t="shared" si="100"/>
        <v>67</v>
      </c>
      <c r="E1662" s="7" t="s">
        <v>12</v>
      </c>
      <c r="F1662" s="7" t="s">
        <v>10</v>
      </c>
      <c r="G1662" s="6">
        <v>50729</v>
      </c>
      <c r="H1662" s="6" t="str" cm="1">
        <f t="array" ref="H1662">_xlfn.IFS(
  G1662 &lt; 25000, "Low",
  AND(G1662 &gt;= 25000, G1662 &lt; 75000), "Medium",
  AND(G1662 &gt;= 75000, G1662 &lt; 150000), "High",
  G1662 &gt;= 150000, "Very High"
)</f>
        <v>Medium</v>
      </c>
      <c r="I1662" s="6">
        <v>1</v>
      </c>
      <c r="J1662" s="6">
        <v>1</v>
      </c>
      <c r="K1662" s="6">
        <f t="shared" si="101"/>
        <v>2</v>
      </c>
      <c r="L1662" s="8">
        <v>41396</v>
      </c>
      <c r="M1662" t="str">
        <f t="shared" ca="1" si="102"/>
        <v>12 years, 10 months</v>
      </c>
      <c r="N1662" s="6">
        <v>62</v>
      </c>
      <c r="O1662">
        <v>13</v>
      </c>
      <c r="P1662">
        <v>4</v>
      </c>
      <c r="Q1662">
        <f t="shared" si="103"/>
        <v>17</v>
      </c>
      <c r="R1662">
        <v>6</v>
      </c>
      <c r="S1662">
        <v>7</v>
      </c>
      <c r="T1662">
        <f>Table[[#This Row],[NumWebPurchases]]+Table[[#This Row],[NumStorePurchases]]</f>
        <v>13</v>
      </c>
    </row>
    <row r="1663" spans="1:20" ht="12.5">
      <c r="A1663" s="6">
        <v>1661</v>
      </c>
      <c r="B1663" s="6">
        <v>1404</v>
      </c>
      <c r="C1663" s="6">
        <v>1968</v>
      </c>
      <c r="D1663" s="6">
        <f t="shared" si="100"/>
        <v>57</v>
      </c>
      <c r="E1663" s="7" t="s">
        <v>9</v>
      </c>
      <c r="F1663" s="7" t="s">
        <v>11</v>
      </c>
      <c r="G1663" s="6">
        <v>34916</v>
      </c>
      <c r="H1663" s="6" t="str" cm="1">
        <f t="array" ref="H1663">_xlfn.IFS(
  G1663 &lt; 25000, "Low",
  AND(G1663 &gt;= 25000, G1663 &lt; 75000), "Medium",
  AND(G1663 &gt;= 75000, G1663 &lt; 150000), "High",
  G1663 &gt;= 150000, "Very High"
)</f>
        <v>Medium</v>
      </c>
      <c r="I1663" s="6">
        <v>2</v>
      </c>
      <c r="J1663" s="6">
        <v>0</v>
      </c>
      <c r="K1663" s="6">
        <f t="shared" si="101"/>
        <v>2</v>
      </c>
      <c r="L1663" s="8">
        <v>41409</v>
      </c>
      <c r="M1663" t="str">
        <f t="shared" ca="1" si="102"/>
        <v>12 years, 9 months</v>
      </c>
      <c r="N1663" s="6">
        <v>89</v>
      </c>
      <c r="O1663">
        <v>23</v>
      </c>
      <c r="P1663">
        <v>0</v>
      </c>
      <c r="Q1663">
        <f t="shared" si="103"/>
        <v>23</v>
      </c>
      <c r="R1663">
        <v>5</v>
      </c>
      <c r="S1663">
        <v>3</v>
      </c>
      <c r="T1663">
        <f>Table[[#This Row],[NumWebPurchases]]+Table[[#This Row],[NumStorePurchases]]</f>
        <v>8</v>
      </c>
    </row>
    <row r="1664" spans="1:20" ht="12.5">
      <c r="A1664" s="6">
        <v>1662</v>
      </c>
      <c r="B1664" s="6">
        <v>6457</v>
      </c>
      <c r="C1664" s="6">
        <v>1976</v>
      </c>
      <c r="D1664" s="6">
        <f t="shared" si="100"/>
        <v>49</v>
      </c>
      <c r="E1664" s="7" t="s">
        <v>9</v>
      </c>
      <c r="F1664" s="7" t="s">
        <v>15</v>
      </c>
      <c r="G1664" s="6">
        <v>64892</v>
      </c>
      <c r="H1664" s="6" t="str" cm="1">
        <f t="array" ref="H1664">_xlfn.IFS(
  G1664 &lt; 25000, "Low",
  AND(G1664 &gt;= 25000, G1664 &lt; 75000), "Medium",
  AND(G1664 &gt;= 75000, G1664 &lt; 150000), "High",
  G1664 &gt;= 150000, "Very High"
)</f>
        <v>Medium</v>
      </c>
      <c r="I1664" s="6">
        <v>0</v>
      </c>
      <c r="J1664" s="6">
        <v>1</v>
      </c>
      <c r="K1664" s="6">
        <f t="shared" si="101"/>
        <v>1</v>
      </c>
      <c r="L1664" s="8">
        <v>41788</v>
      </c>
      <c r="M1664" t="str">
        <f t="shared" ca="1" si="102"/>
        <v>11 years, 9 months</v>
      </c>
      <c r="N1664" s="6">
        <v>77</v>
      </c>
      <c r="O1664">
        <v>24</v>
      </c>
      <c r="P1664">
        <v>24</v>
      </c>
      <c r="Q1664">
        <f t="shared" si="103"/>
        <v>48</v>
      </c>
      <c r="R1664">
        <v>6</v>
      </c>
      <c r="S1664">
        <v>12</v>
      </c>
      <c r="T1664">
        <f>Table[[#This Row],[NumWebPurchases]]+Table[[#This Row],[NumStorePurchases]]</f>
        <v>18</v>
      </c>
    </row>
    <row r="1665" spans="1:20" ht="12.5">
      <c r="A1665" s="6">
        <v>1663</v>
      </c>
      <c r="B1665" s="6">
        <v>2639</v>
      </c>
      <c r="C1665" s="6">
        <v>1966</v>
      </c>
      <c r="D1665" s="6">
        <f t="shared" si="100"/>
        <v>59</v>
      </c>
      <c r="E1665" s="7" t="s">
        <v>9</v>
      </c>
      <c r="F1665" s="7" t="s">
        <v>10</v>
      </c>
      <c r="G1665" s="6">
        <v>43602</v>
      </c>
      <c r="H1665" s="6" t="str" cm="1">
        <f t="array" ref="H1665">_xlfn.IFS(
  G1665 &lt; 25000, "Low",
  AND(G1665 &gt;= 25000, G1665 &lt; 75000), "Medium",
  AND(G1665 &gt;= 75000, G1665 &lt; 150000), "High",
  G1665 &gt;= 150000, "Very High"
)</f>
        <v>Medium</v>
      </c>
      <c r="I1665" s="6">
        <v>1</v>
      </c>
      <c r="J1665" s="6">
        <v>1</v>
      </c>
      <c r="K1665" s="6">
        <f t="shared" si="101"/>
        <v>2</v>
      </c>
      <c r="L1665" s="8">
        <v>41649</v>
      </c>
      <c r="M1665" t="str">
        <f t="shared" ca="1" si="102"/>
        <v>12 years, 1 months</v>
      </c>
      <c r="N1665" s="6">
        <v>45</v>
      </c>
      <c r="O1665">
        <v>5</v>
      </c>
      <c r="P1665">
        <v>3</v>
      </c>
      <c r="Q1665">
        <f t="shared" si="103"/>
        <v>8</v>
      </c>
      <c r="R1665">
        <v>3</v>
      </c>
      <c r="S1665">
        <v>2</v>
      </c>
      <c r="T1665">
        <f>Table[[#This Row],[NumWebPurchases]]+Table[[#This Row],[NumStorePurchases]]</f>
        <v>5</v>
      </c>
    </row>
    <row r="1666" spans="1:20" ht="12.5">
      <c r="A1666" s="6">
        <v>1664</v>
      </c>
      <c r="B1666" s="6">
        <v>8299</v>
      </c>
      <c r="C1666" s="6">
        <v>1989</v>
      </c>
      <c r="D1666" s="6">
        <f t="shared" si="100"/>
        <v>36</v>
      </c>
      <c r="E1666" s="7" t="s">
        <v>12</v>
      </c>
      <c r="F1666" s="7" t="s">
        <v>10</v>
      </c>
      <c r="G1666" s="6">
        <v>33996</v>
      </c>
      <c r="H1666" s="6" t="str" cm="1">
        <f t="array" ref="H1666">_xlfn.IFS(
  G1666 &lt; 25000, "Low",
  AND(G1666 &gt;= 25000, G1666 &lt; 75000), "Medium",
  AND(G1666 &gt;= 75000, G1666 &lt; 150000), "High",
  G1666 &gt;= 150000, "Very High"
)</f>
        <v>Medium</v>
      </c>
      <c r="I1666" s="6">
        <v>0</v>
      </c>
      <c r="J1666" s="6">
        <v>0</v>
      </c>
      <c r="K1666" s="6">
        <f t="shared" si="101"/>
        <v>0</v>
      </c>
      <c r="L1666" s="8">
        <v>41528</v>
      </c>
      <c r="M1666" t="str">
        <f t="shared" ca="1" si="102"/>
        <v>12 years, 5 months</v>
      </c>
      <c r="N1666" s="6">
        <v>46</v>
      </c>
      <c r="O1666">
        <v>2</v>
      </c>
      <c r="P1666">
        <v>0</v>
      </c>
      <c r="Q1666">
        <f t="shared" si="103"/>
        <v>2</v>
      </c>
      <c r="R1666">
        <v>1</v>
      </c>
      <c r="S1666">
        <v>3</v>
      </c>
      <c r="T1666">
        <f>Table[[#This Row],[NumWebPurchases]]+Table[[#This Row],[NumStorePurchases]]</f>
        <v>4</v>
      </c>
    </row>
    <row r="1667" spans="1:20" ht="12.5">
      <c r="A1667" s="6">
        <v>1665</v>
      </c>
      <c r="B1667" s="6">
        <v>6437</v>
      </c>
      <c r="C1667" s="6">
        <v>1985</v>
      </c>
      <c r="D1667" s="6">
        <f t="shared" ref="D1667:D1730" si="104">2025-C1667</f>
        <v>40</v>
      </c>
      <c r="E1667" s="7" t="s">
        <v>17</v>
      </c>
      <c r="F1667" s="7" t="s">
        <v>10</v>
      </c>
      <c r="G1667" s="6">
        <v>41473</v>
      </c>
      <c r="H1667" s="6" t="str" cm="1">
        <f t="array" ref="H1667">_xlfn.IFS(
  G1667 &lt; 25000, "Low",
  AND(G1667 &gt;= 25000, G1667 &lt; 75000), "Medium",
  AND(G1667 &gt;= 75000, G1667 &lt; 150000), "High",
  G1667 &gt;= 150000, "Very High"
)</f>
        <v>Medium</v>
      </c>
      <c r="I1667" s="6">
        <v>1</v>
      </c>
      <c r="J1667" s="6">
        <v>0</v>
      </c>
      <c r="K1667" s="6">
        <f t="shared" ref="K1667:K1730" si="105">I1667+J1667</f>
        <v>1</v>
      </c>
      <c r="L1667" s="8">
        <v>41444</v>
      </c>
      <c r="M1667" t="str">
        <f t="shared" ref="M1667:M1730" ca="1" si="106">DATEDIF(L1667, TODAY(), "Y") &amp; " years, " &amp; DATEDIF(L1667, TODAY(), "YM") &amp; " months"</f>
        <v>12 years, 8 months</v>
      </c>
      <c r="N1667" s="6">
        <v>80</v>
      </c>
      <c r="O1667">
        <v>8</v>
      </c>
      <c r="P1667">
        <v>3</v>
      </c>
      <c r="Q1667">
        <f t="shared" ref="Q1667:Q1730" si="107">O1667+P1667</f>
        <v>11</v>
      </c>
      <c r="R1667">
        <v>2</v>
      </c>
      <c r="S1667">
        <v>3</v>
      </c>
      <c r="T1667">
        <f>Table[[#This Row],[NumWebPurchases]]+Table[[#This Row],[NumStorePurchases]]</f>
        <v>5</v>
      </c>
    </row>
    <row r="1668" spans="1:20" ht="12.5">
      <c r="A1668" s="6">
        <v>1666</v>
      </c>
      <c r="B1668" s="6">
        <v>6912</v>
      </c>
      <c r="C1668" s="6">
        <v>1967</v>
      </c>
      <c r="D1668" s="6">
        <f t="shared" si="104"/>
        <v>58</v>
      </c>
      <c r="E1668" s="7" t="s">
        <v>12</v>
      </c>
      <c r="F1668" s="7" t="s">
        <v>13</v>
      </c>
      <c r="G1668" s="6">
        <v>63246</v>
      </c>
      <c r="H1668" s="6" t="str" cm="1">
        <f t="array" ref="H1668">_xlfn.IFS(
  G1668 &lt; 25000, "Low",
  AND(G1668 &gt;= 25000, G1668 &lt; 75000), "Medium",
  AND(G1668 &gt;= 75000, G1668 &lt; 150000), "High",
  G1668 &gt;= 150000, "Very High"
)</f>
        <v>Medium</v>
      </c>
      <c r="I1668" s="6">
        <v>0</v>
      </c>
      <c r="J1668" s="6">
        <v>2</v>
      </c>
      <c r="K1668" s="6">
        <f t="shared" si="105"/>
        <v>2</v>
      </c>
      <c r="L1668" s="8">
        <v>41506</v>
      </c>
      <c r="M1668" t="str">
        <f t="shared" ca="1" si="106"/>
        <v>12 years, 6 months</v>
      </c>
      <c r="N1668" s="6">
        <v>60</v>
      </c>
      <c r="O1668">
        <v>30</v>
      </c>
      <c r="P1668">
        <v>22</v>
      </c>
      <c r="Q1668">
        <f t="shared" si="107"/>
        <v>52</v>
      </c>
      <c r="R1668">
        <v>6</v>
      </c>
      <c r="S1668">
        <v>12</v>
      </c>
      <c r="T1668">
        <f>Table[[#This Row],[NumWebPurchases]]+Table[[#This Row],[NumStorePurchases]]</f>
        <v>18</v>
      </c>
    </row>
    <row r="1669" spans="1:20" ht="12.5">
      <c r="A1669" s="6">
        <v>1667</v>
      </c>
      <c r="B1669" s="6">
        <v>7327</v>
      </c>
      <c r="C1669" s="6">
        <v>1959</v>
      </c>
      <c r="D1669" s="6">
        <f t="shared" si="104"/>
        <v>66</v>
      </c>
      <c r="E1669" s="7" t="s">
        <v>12</v>
      </c>
      <c r="F1669" s="7" t="s">
        <v>13</v>
      </c>
      <c r="G1669" s="6">
        <v>36732</v>
      </c>
      <c r="H1669" s="6" t="str" cm="1">
        <f t="array" ref="H1669">_xlfn.IFS(
  G1669 &lt; 25000, "Low",
  AND(G1669 &gt;= 25000, G1669 &lt; 75000), "Medium",
  AND(G1669 &gt;= 75000, G1669 &lt; 150000), "High",
  G1669 &gt;= 150000, "Very High"
)</f>
        <v>Medium</v>
      </c>
      <c r="I1669" s="6">
        <v>1</v>
      </c>
      <c r="J1669" s="6">
        <v>1</v>
      </c>
      <c r="K1669" s="6">
        <f t="shared" si="105"/>
        <v>2</v>
      </c>
      <c r="L1669" s="9">
        <v>41637</v>
      </c>
      <c r="M1669" t="str">
        <f t="shared" ca="1" si="106"/>
        <v>12 years, 2 months</v>
      </c>
      <c r="N1669" s="6">
        <v>71</v>
      </c>
      <c r="O1669">
        <v>5</v>
      </c>
      <c r="P1669">
        <v>1</v>
      </c>
      <c r="Q1669">
        <f t="shared" si="107"/>
        <v>6</v>
      </c>
      <c r="R1669">
        <v>1</v>
      </c>
      <c r="S1669">
        <v>4</v>
      </c>
      <c r="T1669">
        <f>Table[[#This Row],[NumWebPurchases]]+Table[[#This Row],[NumStorePurchases]]</f>
        <v>5</v>
      </c>
    </row>
    <row r="1670" spans="1:20" ht="12.5">
      <c r="A1670" s="6">
        <v>1668</v>
      </c>
      <c r="B1670" s="6">
        <v>5299</v>
      </c>
      <c r="C1670" s="6">
        <v>1970</v>
      </c>
      <c r="D1670" s="6">
        <f t="shared" si="104"/>
        <v>55</v>
      </c>
      <c r="E1670" s="7" t="s">
        <v>12</v>
      </c>
      <c r="F1670" s="7" t="s">
        <v>13</v>
      </c>
      <c r="G1670" s="6">
        <v>69084</v>
      </c>
      <c r="H1670" s="6" t="str" cm="1">
        <f t="array" ref="H1670">_xlfn.IFS(
  G1670 &lt; 25000, "Low",
  AND(G1670 &gt;= 25000, G1670 &lt; 75000), "Medium",
  AND(G1670 &gt;= 75000, G1670 &lt; 150000), "High",
  G1670 &gt;= 150000, "Very High"
)</f>
        <v>Medium</v>
      </c>
      <c r="I1670" s="6">
        <v>1</v>
      </c>
      <c r="J1670" s="6">
        <v>0</v>
      </c>
      <c r="K1670" s="6">
        <f t="shared" si="105"/>
        <v>1</v>
      </c>
      <c r="L1670" s="9">
        <v>41597</v>
      </c>
      <c r="M1670" t="str">
        <f t="shared" ca="1" si="106"/>
        <v>12 years, 3 months</v>
      </c>
      <c r="N1670" s="6">
        <v>43</v>
      </c>
      <c r="O1670">
        <v>107</v>
      </c>
      <c r="P1670">
        <v>30</v>
      </c>
      <c r="Q1670">
        <f t="shared" si="107"/>
        <v>137</v>
      </c>
      <c r="R1670">
        <v>7</v>
      </c>
      <c r="S1670">
        <v>13</v>
      </c>
      <c r="T1670">
        <f>Table[[#This Row],[NumWebPurchases]]+Table[[#This Row],[NumStorePurchases]]</f>
        <v>20</v>
      </c>
    </row>
    <row r="1671" spans="1:20" ht="12.5">
      <c r="A1671" s="6">
        <v>1669</v>
      </c>
      <c r="B1671" s="6">
        <v>4127</v>
      </c>
      <c r="C1671" s="6">
        <v>1967</v>
      </c>
      <c r="D1671" s="6">
        <f t="shared" si="104"/>
        <v>58</v>
      </c>
      <c r="E1671" s="7" t="s">
        <v>12</v>
      </c>
      <c r="F1671" s="7" t="s">
        <v>13</v>
      </c>
      <c r="G1671" s="6">
        <v>77766</v>
      </c>
      <c r="H1671" s="6" t="str" cm="1">
        <f t="array" ref="H1671">_xlfn.IFS(
  G1671 &lt; 25000, "Low",
  AND(G1671 &gt;= 25000, G1671 &lt; 75000), "Medium",
  AND(G1671 &gt;= 75000, G1671 &lt; 150000), "High",
  G1671 &gt;= 150000, "Very High"
)</f>
        <v>High</v>
      </c>
      <c r="I1671" s="6">
        <v>0</v>
      </c>
      <c r="J1671" s="6">
        <v>1</v>
      </c>
      <c r="K1671" s="6">
        <f t="shared" si="105"/>
        <v>1</v>
      </c>
      <c r="L1671" s="8">
        <v>41327</v>
      </c>
      <c r="M1671" t="str">
        <f t="shared" ca="1" si="106"/>
        <v>13 years, 0 months</v>
      </c>
      <c r="N1671" s="6">
        <v>97</v>
      </c>
      <c r="O1671">
        <v>59</v>
      </c>
      <c r="P1671">
        <v>59</v>
      </c>
      <c r="Q1671">
        <f t="shared" si="107"/>
        <v>118</v>
      </c>
      <c r="R1671">
        <v>11</v>
      </c>
      <c r="S1671">
        <v>11</v>
      </c>
      <c r="T1671">
        <f>Table[[#This Row],[NumWebPurchases]]+Table[[#This Row],[NumStorePurchases]]</f>
        <v>22</v>
      </c>
    </row>
    <row r="1672" spans="1:20" ht="12.5">
      <c r="A1672" s="6">
        <v>1670</v>
      </c>
      <c r="B1672" s="6">
        <v>8143</v>
      </c>
      <c r="C1672" s="6">
        <v>1985</v>
      </c>
      <c r="D1672" s="6">
        <f t="shared" si="104"/>
        <v>40</v>
      </c>
      <c r="E1672" s="7" t="s">
        <v>12</v>
      </c>
      <c r="F1672" s="7" t="s">
        <v>10</v>
      </c>
      <c r="G1672" s="6">
        <v>37929</v>
      </c>
      <c r="H1672" s="6" t="str" cm="1">
        <f t="array" ref="H1672">_xlfn.IFS(
  G1672 &lt; 25000, "Low",
  AND(G1672 &gt;= 25000, G1672 &lt; 75000), "Medium",
  AND(G1672 &gt;= 75000, G1672 &lt; 150000), "High",
  G1672 &gt;= 150000, "Very High"
)</f>
        <v>Medium</v>
      </c>
      <c r="I1672" s="6">
        <v>0</v>
      </c>
      <c r="J1672" s="6">
        <v>0</v>
      </c>
      <c r="K1672" s="6">
        <f t="shared" si="105"/>
        <v>0</v>
      </c>
      <c r="L1672" s="8">
        <v>41485</v>
      </c>
      <c r="M1672" t="str">
        <f t="shared" ca="1" si="106"/>
        <v>12 years, 7 months</v>
      </c>
      <c r="N1672" s="6">
        <v>49</v>
      </c>
      <c r="O1672">
        <v>2</v>
      </c>
      <c r="P1672">
        <v>2</v>
      </c>
      <c r="Q1672">
        <f t="shared" si="107"/>
        <v>4</v>
      </c>
      <c r="R1672">
        <v>4</v>
      </c>
      <c r="S1672">
        <v>5</v>
      </c>
      <c r="T1672">
        <f>Table[[#This Row],[NumWebPurchases]]+Table[[#This Row],[NumStorePurchases]]</f>
        <v>9</v>
      </c>
    </row>
    <row r="1673" spans="1:20" ht="12.5">
      <c r="A1673" s="6">
        <v>1671</v>
      </c>
      <c r="B1673" s="6">
        <v>1964</v>
      </c>
      <c r="C1673" s="6">
        <v>1951</v>
      </c>
      <c r="D1673" s="6">
        <f t="shared" si="104"/>
        <v>74</v>
      </c>
      <c r="E1673" s="7" t="s">
        <v>9</v>
      </c>
      <c r="F1673" s="7" t="s">
        <v>11</v>
      </c>
      <c r="G1673" s="6">
        <v>86610</v>
      </c>
      <c r="H1673" s="6" t="str" cm="1">
        <f t="array" ref="H1673">_xlfn.IFS(
  G1673 &lt; 25000, "Low",
  AND(G1673 &gt;= 25000, G1673 &lt; 75000), "Medium",
  AND(G1673 &gt;= 75000, G1673 &lt; 150000), "High",
  G1673 &gt;= 150000, "Very High"
)</f>
        <v>High</v>
      </c>
      <c r="I1673" s="6">
        <v>0</v>
      </c>
      <c r="J1673" s="6">
        <v>0</v>
      </c>
      <c r="K1673" s="6">
        <f t="shared" si="105"/>
        <v>0</v>
      </c>
      <c r="L1673" s="8">
        <v>41522</v>
      </c>
      <c r="M1673" t="str">
        <f t="shared" ca="1" si="106"/>
        <v>12 years, 6 months</v>
      </c>
      <c r="N1673" s="6">
        <v>66</v>
      </c>
      <c r="O1673">
        <v>107</v>
      </c>
      <c r="P1673">
        <v>196</v>
      </c>
      <c r="Q1673">
        <f t="shared" si="107"/>
        <v>303</v>
      </c>
      <c r="R1673">
        <v>5</v>
      </c>
      <c r="S1673">
        <v>6</v>
      </c>
      <c r="T1673">
        <f>Table[[#This Row],[NumWebPurchases]]+Table[[#This Row],[NumStorePurchases]]</f>
        <v>11</v>
      </c>
    </row>
    <row r="1674" spans="1:20" ht="12.5">
      <c r="A1674" s="6">
        <v>1672</v>
      </c>
      <c r="B1674" s="6">
        <v>3690</v>
      </c>
      <c r="C1674" s="6">
        <v>1986</v>
      </c>
      <c r="D1674" s="6">
        <f t="shared" si="104"/>
        <v>39</v>
      </c>
      <c r="E1674" s="7" t="s">
        <v>14</v>
      </c>
      <c r="F1674" s="7" t="s">
        <v>13</v>
      </c>
      <c r="G1674" s="6">
        <v>80141</v>
      </c>
      <c r="H1674" s="6" t="str" cm="1">
        <f t="array" ref="H1674">_xlfn.IFS(
  G1674 &lt; 25000, "Low",
  AND(G1674 &gt;= 25000, G1674 &lt; 75000), "Medium",
  AND(G1674 &gt;= 75000, G1674 &lt; 150000), "High",
  G1674 &gt;= 150000, "Very High"
)</f>
        <v>High</v>
      </c>
      <c r="I1674" s="6">
        <v>0</v>
      </c>
      <c r="J1674" s="6">
        <v>0</v>
      </c>
      <c r="K1674" s="6">
        <f t="shared" si="105"/>
        <v>0</v>
      </c>
      <c r="L1674" s="8">
        <v>41285</v>
      </c>
      <c r="M1674" t="str">
        <f t="shared" ca="1" si="106"/>
        <v>13 years, 1 months</v>
      </c>
      <c r="N1674" s="6">
        <v>20</v>
      </c>
      <c r="O1674">
        <v>102</v>
      </c>
      <c r="P1674">
        <v>40</v>
      </c>
      <c r="Q1674">
        <f t="shared" si="107"/>
        <v>142</v>
      </c>
      <c r="R1674">
        <v>7</v>
      </c>
      <c r="S1674">
        <v>10</v>
      </c>
      <c r="T1674">
        <f>Table[[#This Row],[NumWebPurchases]]+Table[[#This Row],[NumStorePurchases]]</f>
        <v>17</v>
      </c>
    </row>
    <row r="1675" spans="1:20" ht="12.5">
      <c r="A1675" s="6">
        <v>1673</v>
      </c>
      <c r="B1675" s="6">
        <v>3433</v>
      </c>
      <c r="C1675" s="6">
        <v>1955</v>
      </c>
      <c r="D1675" s="6">
        <f t="shared" si="104"/>
        <v>70</v>
      </c>
      <c r="E1675" s="7" t="s">
        <v>17</v>
      </c>
      <c r="F1675" s="7" t="s">
        <v>13</v>
      </c>
      <c r="G1675" s="6">
        <v>72635</v>
      </c>
      <c r="H1675" s="6" t="str" cm="1">
        <f t="array" ref="H1675">_xlfn.IFS(
  G1675 &lt; 25000, "Low",
  AND(G1675 &gt;= 25000, G1675 &lt; 75000), "Medium",
  AND(G1675 &gt;= 75000, G1675 &lt; 150000), "High",
  G1675 &gt;= 150000, "Very High"
)</f>
        <v>Medium</v>
      </c>
      <c r="I1675" s="6">
        <v>0</v>
      </c>
      <c r="J1675" s="6">
        <v>0</v>
      </c>
      <c r="K1675" s="6">
        <f t="shared" si="105"/>
        <v>0</v>
      </c>
      <c r="L1675" s="8">
        <v>41428</v>
      </c>
      <c r="M1675" t="str">
        <f t="shared" ca="1" si="106"/>
        <v>12 years, 9 months</v>
      </c>
      <c r="N1675" s="6">
        <v>54</v>
      </c>
      <c r="O1675">
        <v>22</v>
      </c>
      <c r="P1675">
        <v>35</v>
      </c>
      <c r="Q1675">
        <f t="shared" si="107"/>
        <v>57</v>
      </c>
      <c r="R1675">
        <v>6</v>
      </c>
      <c r="S1675">
        <v>6</v>
      </c>
      <c r="T1675">
        <f>Table[[#This Row],[NumWebPurchases]]+Table[[#This Row],[NumStorePurchases]]</f>
        <v>12</v>
      </c>
    </row>
    <row r="1676" spans="1:20" ht="12.5">
      <c r="A1676" s="6">
        <v>1674</v>
      </c>
      <c r="B1676" s="6">
        <v>3389</v>
      </c>
      <c r="C1676" s="6">
        <v>1970</v>
      </c>
      <c r="D1676" s="6">
        <f t="shared" si="104"/>
        <v>55</v>
      </c>
      <c r="E1676" s="7" t="s">
        <v>9</v>
      </c>
      <c r="F1676" s="7" t="s">
        <v>13</v>
      </c>
      <c r="G1676" s="6">
        <v>69016</v>
      </c>
      <c r="H1676" s="6" t="str" cm="1">
        <f t="array" ref="H1676">_xlfn.IFS(
  G1676 &lt; 25000, "Low",
  AND(G1676 &gt;= 25000, G1676 &lt; 75000), "Medium",
  AND(G1676 &gt;= 75000, G1676 &lt; 150000), "High",
  G1676 &gt;= 150000, "Very High"
)</f>
        <v>Medium</v>
      </c>
      <c r="I1676" s="6">
        <v>0</v>
      </c>
      <c r="J1676" s="6">
        <v>1</v>
      </c>
      <c r="K1676" s="6">
        <f t="shared" si="105"/>
        <v>1</v>
      </c>
      <c r="L1676" s="9">
        <v>41235</v>
      </c>
      <c r="M1676" t="str">
        <f t="shared" ca="1" si="106"/>
        <v>13 years, 3 months</v>
      </c>
      <c r="N1676" s="6">
        <v>61</v>
      </c>
      <c r="O1676">
        <v>53</v>
      </c>
      <c r="P1676">
        <v>107</v>
      </c>
      <c r="Q1676">
        <f t="shared" si="107"/>
        <v>160</v>
      </c>
      <c r="R1676">
        <v>8</v>
      </c>
      <c r="S1676">
        <v>13</v>
      </c>
      <c r="T1676">
        <f>Table[[#This Row],[NumWebPurchases]]+Table[[#This Row],[NumStorePurchases]]</f>
        <v>21</v>
      </c>
    </row>
    <row r="1677" spans="1:20" ht="12.5">
      <c r="A1677" s="6">
        <v>1675</v>
      </c>
      <c r="B1677" s="6">
        <v>4712</v>
      </c>
      <c r="C1677" s="6">
        <v>1991</v>
      </c>
      <c r="D1677" s="6">
        <f t="shared" si="104"/>
        <v>34</v>
      </c>
      <c r="E1677" s="7" t="s">
        <v>17</v>
      </c>
      <c r="F1677" s="7" t="s">
        <v>11</v>
      </c>
      <c r="G1677" s="6">
        <v>20193</v>
      </c>
      <c r="H1677" s="6" t="str" cm="1">
        <f t="array" ref="H1677">_xlfn.IFS(
  G1677 &lt; 25000, "Low",
  AND(G1677 &gt;= 25000, G1677 &lt; 75000), "Medium",
  AND(G1677 &gt;= 75000, G1677 &lt; 150000), "High",
  G1677 &gt;= 150000, "Very High"
)</f>
        <v>Low</v>
      </c>
      <c r="I1677" s="6">
        <v>0</v>
      </c>
      <c r="J1677" s="6">
        <v>0</v>
      </c>
      <c r="K1677" s="6">
        <f t="shared" si="105"/>
        <v>0</v>
      </c>
      <c r="L1677" s="9">
        <v>41241</v>
      </c>
      <c r="M1677" t="str">
        <f t="shared" ca="1" si="106"/>
        <v>13 years, 3 months</v>
      </c>
      <c r="N1677" s="6">
        <v>18</v>
      </c>
      <c r="O1677">
        <v>8</v>
      </c>
      <c r="P1677">
        <v>11</v>
      </c>
      <c r="Q1677">
        <f t="shared" si="107"/>
        <v>19</v>
      </c>
      <c r="R1677">
        <v>1</v>
      </c>
      <c r="S1677">
        <v>4</v>
      </c>
      <c r="T1677">
        <f>Table[[#This Row],[NumWebPurchases]]+Table[[#This Row],[NumStorePurchases]]</f>
        <v>5</v>
      </c>
    </row>
    <row r="1678" spans="1:20" ht="12.5">
      <c r="A1678" s="6">
        <v>1676</v>
      </c>
      <c r="B1678" s="6">
        <v>1170</v>
      </c>
      <c r="C1678" s="6">
        <v>1975</v>
      </c>
      <c r="D1678" s="6">
        <f t="shared" si="104"/>
        <v>50</v>
      </c>
      <c r="E1678" s="7" t="s">
        <v>9</v>
      </c>
      <c r="F1678" s="7" t="s">
        <v>13</v>
      </c>
      <c r="G1678" s="6">
        <v>27573</v>
      </c>
      <c r="H1678" s="6" t="str" cm="1">
        <f t="array" ref="H1678">_xlfn.IFS(
  G1678 &lt; 25000, "Low",
  AND(G1678 &gt;= 25000, G1678 &lt; 75000), "Medium",
  AND(G1678 &gt;= 75000, G1678 &lt; 150000), "High",
  G1678 &gt;= 150000, "Very High"
)</f>
        <v>Medium</v>
      </c>
      <c r="I1678" s="6">
        <v>1</v>
      </c>
      <c r="J1678" s="6">
        <v>0</v>
      </c>
      <c r="K1678" s="6">
        <f t="shared" si="105"/>
        <v>1</v>
      </c>
      <c r="L1678" s="8">
        <v>41358</v>
      </c>
      <c r="M1678" t="str">
        <f t="shared" ca="1" si="106"/>
        <v>12 years, 11 months</v>
      </c>
      <c r="N1678" s="6">
        <v>45</v>
      </c>
      <c r="O1678">
        <v>15</v>
      </c>
      <c r="P1678">
        <v>15</v>
      </c>
      <c r="Q1678">
        <f t="shared" si="107"/>
        <v>30</v>
      </c>
      <c r="R1678">
        <v>5</v>
      </c>
      <c r="S1678">
        <v>4</v>
      </c>
      <c r="T1678">
        <f>Table[[#This Row],[NumWebPurchases]]+Table[[#This Row],[NumStorePurchases]]</f>
        <v>9</v>
      </c>
    </row>
    <row r="1679" spans="1:20" ht="12.5">
      <c r="A1679" s="6">
        <v>1677</v>
      </c>
      <c r="B1679" s="6">
        <v>6347</v>
      </c>
      <c r="C1679" s="6">
        <v>1979</v>
      </c>
      <c r="D1679" s="6">
        <f t="shared" si="104"/>
        <v>46</v>
      </c>
      <c r="E1679" s="7" t="s">
        <v>16</v>
      </c>
      <c r="F1679" s="7" t="s">
        <v>10</v>
      </c>
      <c r="G1679" s="6">
        <v>15862</v>
      </c>
      <c r="H1679" s="6" t="str" cm="1">
        <f t="array" ref="H1679">_xlfn.IFS(
  G1679 &lt; 25000, "Low",
  AND(G1679 &gt;= 25000, G1679 &lt; 75000), "Medium",
  AND(G1679 &gt;= 75000, G1679 &lt; 150000), "High",
  G1679 &gt;= 150000, "Very High"
)</f>
        <v>Low</v>
      </c>
      <c r="I1679" s="6">
        <v>1</v>
      </c>
      <c r="J1679" s="6">
        <v>0</v>
      </c>
      <c r="K1679" s="6">
        <f t="shared" si="105"/>
        <v>1</v>
      </c>
      <c r="L1679" s="8">
        <v>41452</v>
      </c>
      <c r="M1679" t="str">
        <f t="shared" ca="1" si="106"/>
        <v>12 years, 8 months</v>
      </c>
      <c r="N1679" s="6">
        <v>26</v>
      </c>
      <c r="O1679">
        <v>1</v>
      </c>
      <c r="P1679">
        <v>9</v>
      </c>
      <c r="Q1679">
        <f t="shared" si="107"/>
        <v>10</v>
      </c>
      <c r="R1679">
        <v>1</v>
      </c>
      <c r="S1679">
        <v>3</v>
      </c>
      <c r="T1679">
        <f>Table[[#This Row],[NumWebPurchases]]+Table[[#This Row],[NumStorePurchases]]</f>
        <v>4</v>
      </c>
    </row>
    <row r="1680" spans="1:20" ht="12.5">
      <c r="A1680" s="6">
        <v>1678</v>
      </c>
      <c r="B1680" s="6">
        <v>4065</v>
      </c>
      <c r="C1680" s="6">
        <v>1976</v>
      </c>
      <c r="D1680" s="6">
        <f t="shared" si="104"/>
        <v>49</v>
      </c>
      <c r="E1680" s="7" t="s">
        <v>12</v>
      </c>
      <c r="F1680" s="7" t="s">
        <v>13</v>
      </c>
      <c r="G1680" s="6">
        <v>49544</v>
      </c>
      <c r="H1680" s="6" t="str" cm="1">
        <f t="array" ref="H1680">_xlfn.IFS(
  G1680 &lt; 25000, "Low",
  AND(G1680 &gt;= 25000, G1680 &lt; 75000), "Medium",
  AND(G1680 &gt;= 75000, G1680 &lt; 150000), "High",
  G1680 &gt;= 150000, "Very High"
)</f>
        <v>Medium</v>
      </c>
      <c r="I1680" s="6">
        <v>1</v>
      </c>
      <c r="J1680" s="6">
        <v>0</v>
      </c>
      <c r="K1680" s="6">
        <f t="shared" si="105"/>
        <v>1</v>
      </c>
      <c r="L1680" s="8">
        <v>41317</v>
      </c>
      <c r="M1680" t="str">
        <f t="shared" ca="1" si="106"/>
        <v>13 years, 0 months</v>
      </c>
      <c r="N1680" s="6">
        <v>0</v>
      </c>
      <c r="O1680">
        <v>0</v>
      </c>
      <c r="P1680">
        <v>0</v>
      </c>
      <c r="Q1680">
        <f t="shared" si="107"/>
        <v>0</v>
      </c>
      <c r="R1680">
        <v>5</v>
      </c>
      <c r="S1680">
        <v>8</v>
      </c>
      <c r="T1680">
        <f>Table[[#This Row],[NumWebPurchases]]+Table[[#This Row],[NumStorePurchases]]</f>
        <v>13</v>
      </c>
    </row>
    <row r="1681" spans="1:20" ht="12.5">
      <c r="A1681" s="6">
        <v>1679</v>
      </c>
      <c r="B1681" s="6">
        <v>8230</v>
      </c>
      <c r="C1681" s="6">
        <v>1980</v>
      </c>
      <c r="D1681" s="6">
        <f t="shared" si="104"/>
        <v>45</v>
      </c>
      <c r="E1681" s="7" t="s">
        <v>9</v>
      </c>
      <c r="F1681" s="7" t="s">
        <v>13</v>
      </c>
      <c r="G1681" s="6">
        <v>33228</v>
      </c>
      <c r="H1681" s="6" t="str" cm="1">
        <f t="array" ref="H1681">_xlfn.IFS(
  G1681 &lt; 25000, "Low",
  AND(G1681 &gt;= 25000, G1681 &lt; 75000), "Medium",
  AND(G1681 &gt;= 75000, G1681 &lt; 150000), "High",
  G1681 &gt;= 150000, "Very High"
)</f>
        <v>Medium</v>
      </c>
      <c r="I1681" s="6">
        <v>1</v>
      </c>
      <c r="J1681" s="6">
        <v>0</v>
      </c>
      <c r="K1681" s="6">
        <f t="shared" si="105"/>
        <v>1</v>
      </c>
      <c r="L1681" s="8">
        <v>41662</v>
      </c>
      <c r="M1681" t="str">
        <f t="shared" ca="1" si="106"/>
        <v>12 years, 1 months</v>
      </c>
      <c r="N1681" s="6">
        <v>28</v>
      </c>
      <c r="O1681">
        <v>2</v>
      </c>
      <c r="P1681">
        <v>4</v>
      </c>
      <c r="Q1681">
        <f t="shared" si="107"/>
        <v>6</v>
      </c>
      <c r="R1681">
        <v>2</v>
      </c>
      <c r="S1681">
        <v>3</v>
      </c>
      <c r="T1681">
        <f>Table[[#This Row],[NumWebPurchases]]+Table[[#This Row],[NumStorePurchases]]</f>
        <v>5</v>
      </c>
    </row>
    <row r="1682" spans="1:20" ht="12.5">
      <c r="A1682" s="6">
        <v>1680</v>
      </c>
      <c r="B1682" s="6">
        <v>1215</v>
      </c>
      <c r="C1682" s="6">
        <v>1978</v>
      </c>
      <c r="D1682" s="6">
        <f t="shared" si="104"/>
        <v>47</v>
      </c>
      <c r="E1682" s="7" t="s">
        <v>9</v>
      </c>
      <c r="F1682" s="7" t="s">
        <v>11</v>
      </c>
      <c r="G1682" s="6">
        <v>70440</v>
      </c>
      <c r="H1682" s="6" t="str" cm="1">
        <f t="array" ref="H1682">_xlfn.IFS(
  G1682 &lt; 25000, "Low",
  AND(G1682 &gt;= 25000, G1682 &lt; 75000), "Medium",
  AND(G1682 &gt;= 75000, G1682 &lt; 150000), "High",
  G1682 &gt;= 150000, "Very High"
)</f>
        <v>Medium</v>
      </c>
      <c r="I1682" s="6">
        <v>0</v>
      </c>
      <c r="J1682" s="6">
        <v>0</v>
      </c>
      <c r="K1682" s="6">
        <f t="shared" si="105"/>
        <v>0</v>
      </c>
      <c r="L1682" s="8">
        <v>41555</v>
      </c>
      <c r="M1682" t="str">
        <f t="shared" ca="1" si="106"/>
        <v>12 years, 4 months</v>
      </c>
      <c r="N1682" s="6">
        <v>49</v>
      </c>
      <c r="O1682">
        <v>117</v>
      </c>
      <c r="P1682">
        <v>102</v>
      </c>
      <c r="Q1682">
        <f t="shared" si="107"/>
        <v>219</v>
      </c>
      <c r="R1682">
        <v>5</v>
      </c>
      <c r="S1682">
        <v>7</v>
      </c>
      <c r="T1682">
        <f>Table[[#This Row],[NumWebPurchases]]+Table[[#This Row],[NumStorePurchases]]</f>
        <v>12</v>
      </c>
    </row>
    <row r="1683" spans="1:20" ht="12.5">
      <c r="A1683" s="6">
        <v>1681</v>
      </c>
      <c r="B1683" s="6">
        <v>5939</v>
      </c>
      <c r="C1683" s="6">
        <v>1971</v>
      </c>
      <c r="D1683" s="6">
        <f t="shared" si="104"/>
        <v>54</v>
      </c>
      <c r="E1683" s="7" t="s">
        <v>9</v>
      </c>
      <c r="F1683" s="7" t="s">
        <v>11</v>
      </c>
      <c r="G1683" s="6">
        <v>38232</v>
      </c>
      <c r="H1683" s="6" t="str" cm="1">
        <f t="array" ref="H1683">_xlfn.IFS(
  G1683 &lt; 25000, "Low",
  AND(G1683 &gt;= 25000, G1683 &lt; 75000), "Medium",
  AND(G1683 &gt;= 75000, G1683 &lt; 150000), "High",
  G1683 &gt;= 150000, "Very High"
)</f>
        <v>Medium</v>
      </c>
      <c r="I1683" s="6">
        <v>1</v>
      </c>
      <c r="J1683" s="6">
        <v>1</v>
      </c>
      <c r="K1683" s="6">
        <f t="shared" si="105"/>
        <v>2</v>
      </c>
      <c r="L1683" s="8">
        <v>41656</v>
      </c>
      <c r="M1683" t="str">
        <f t="shared" ca="1" si="106"/>
        <v>12 years, 1 months</v>
      </c>
      <c r="N1683" s="6">
        <v>84</v>
      </c>
      <c r="O1683">
        <v>5</v>
      </c>
      <c r="P1683">
        <v>6</v>
      </c>
      <c r="Q1683">
        <f t="shared" si="107"/>
        <v>11</v>
      </c>
      <c r="R1683">
        <v>3</v>
      </c>
      <c r="S1683">
        <v>3</v>
      </c>
      <c r="T1683">
        <f>Table[[#This Row],[NumWebPurchases]]+Table[[#This Row],[NumStorePurchases]]</f>
        <v>6</v>
      </c>
    </row>
    <row r="1684" spans="1:20" ht="12.5">
      <c r="A1684" s="6">
        <v>1682</v>
      </c>
      <c r="B1684" s="6">
        <v>2156</v>
      </c>
      <c r="C1684" s="6">
        <v>1955</v>
      </c>
      <c r="D1684" s="6">
        <f t="shared" si="104"/>
        <v>70</v>
      </c>
      <c r="E1684" s="7" t="s">
        <v>12</v>
      </c>
      <c r="F1684" s="7" t="s">
        <v>13</v>
      </c>
      <c r="G1684" s="6">
        <v>22554</v>
      </c>
      <c r="H1684" s="6" t="str" cm="1">
        <f t="array" ref="H1684">_xlfn.IFS(
  G1684 &lt; 25000, "Low",
  AND(G1684 &gt;= 25000, G1684 &lt; 75000), "Medium",
  AND(G1684 &gt;= 75000, G1684 &lt; 150000), "High",
  G1684 &gt;= 150000, "Very High"
)</f>
        <v>Low</v>
      </c>
      <c r="I1684" s="6">
        <v>1</v>
      </c>
      <c r="J1684" s="6">
        <v>1</v>
      </c>
      <c r="K1684" s="6">
        <f t="shared" si="105"/>
        <v>2</v>
      </c>
      <c r="L1684" s="8">
        <v>41216</v>
      </c>
      <c r="M1684" t="str">
        <f t="shared" ca="1" si="106"/>
        <v>13 years, 4 months</v>
      </c>
      <c r="N1684" s="6">
        <v>38</v>
      </c>
      <c r="O1684">
        <v>0</v>
      </c>
      <c r="P1684">
        <v>0</v>
      </c>
      <c r="Q1684">
        <f t="shared" si="107"/>
        <v>0</v>
      </c>
      <c r="R1684">
        <v>2</v>
      </c>
      <c r="S1684">
        <v>4</v>
      </c>
      <c r="T1684">
        <f>Table[[#This Row],[NumWebPurchases]]+Table[[#This Row],[NumStorePurchases]]</f>
        <v>6</v>
      </c>
    </row>
    <row r="1685" spans="1:20" ht="12.5">
      <c r="A1685" s="6">
        <v>1683</v>
      </c>
      <c r="B1685" s="6">
        <v>7788</v>
      </c>
      <c r="C1685" s="6">
        <v>1983</v>
      </c>
      <c r="D1685" s="6">
        <f t="shared" si="104"/>
        <v>42</v>
      </c>
      <c r="E1685" s="7" t="s">
        <v>12</v>
      </c>
      <c r="F1685" s="7" t="s">
        <v>13</v>
      </c>
      <c r="G1685" s="6">
        <v>23536</v>
      </c>
      <c r="H1685" s="6" t="str" cm="1">
        <f t="array" ref="H1685">_xlfn.IFS(
  G1685 &lt; 25000, "Low",
  AND(G1685 &gt;= 25000, G1685 &lt; 75000), "Medium",
  AND(G1685 &gt;= 75000, G1685 &lt; 150000), "High",
  G1685 &gt;= 150000, "Very High"
)</f>
        <v>Low</v>
      </c>
      <c r="I1685" s="6">
        <v>1</v>
      </c>
      <c r="J1685" s="6">
        <v>0</v>
      </c>
      <c r="K1685" s="6">
        <f t="shared" si="105"/>
        <v>1</v>
      </c>
      <c r="L1685" s="8">
        <v>41794</v>
      </c>
      <c r="M1685" t="str">
        <f t="shared" ca="1" si="106"/>
        <v>11 years, 9 months</v>
      </c>
      <c r="N1685" s="6">
        <v>53</v>
      </c>
      <c r="O1685">
        <v>0</v>
      </c>
      <c r="P1685">
        <v>0</v>
      </c>
      <c r="Q1685">
        <f t="shared" si="107"/>
        <v>0</v>
      </c>
      <c r="R1685">
        <v>0</v>
      </c>
      <c r="S1685">
        <v>3</v>
      </c>
      <c r="T1685">
        <f>Table[[#This Row],[NumWebPurchases]]+Table[[#This Row],[NumStorePurchases]]</f>
        <v>3</v>
      </c>
    </row>
    <row r="1686" spans="1:20" ht="12.5">
      <c r="A1686" s="6">
        <v>1684</v>
      </c>
      <c r="B1686" s="6">
        <v>10323</v>
      </c>
      <c r="C1686" s="6">
        <v>1952</v>
      </c>
      <c r="D1686" s="6">
        <f t="shared" si="104"/>
        <v>73</v>
      </c>
      <c r="E1686" s="7" t="s">
        <v>9</v>
      </c>
      <c r="F1686" s="7" t="s">
        <v>13</v>
      </c>
      <c r="G1686" s="6">
        <v>49413</v>
      </c>
      <c r="H1686" s="6" t="str" cm="1">
        <f t="array" ref="H1686">_xlfn.IFS(
  G1686 &lt; 25000, "Low",
  AND(G1686 &gt;= 25000, G1686 &lt; 75000), "Medium",
  AND(G1686 &gt;= 75000, G1686 &lt; 150000), "High",
  G1686 &gt;= 150000, "Very High"
)</f>
        <v>Medium</v>
      </c>
      <c r="I1686" s="6">
        <v>0</v>
      </c>
      <c r="J1686" s="6">
        <v>1</v>
      </c>
      <c r="K1686" s="6">
        <f t="shared" si="105"/>
        <v>1</v>
      </c>
      <c r="L1686" s="9">
        <v>41572</v>
      </c>
      <c r="M1686" t="str">
        <f t="shared" ca="1" si="106"/>
        <v>12 years, 4 months</v>
      </c>
      <c r="N1686" s="6">
        <v>88</v>
      </c>
      <c r="O1686">
        <v>7</v>
      </c>
      <c r="P1686">
        <v>2</v>
      </c>
      <c r="Q1686">
        <f t="shared" si="107"/>
        <v>9</v>
      </c>
      <c r="R1686">
        <v>4</v>
      </c>
      <c r="S1686">
        <v>5</v>
      </c>
      <c r="T1686">
        <f>Table[[#This Row],[NumWebPurchases]]+Table[[#This Row],[NumStorePurchases]]</f>
        <v>9</v>
      </c>
    </row>
    <row r="1687" spans="1:20" ht="12.5">
      <c r="A1687" s="6">
        <v>1685</v>
      </c>
      <c r="B1687" s="6">
        <v>7947</v>
      </c>
      <c r="C1687" s="6">
        <v>1969</v>
      </c>
      <c r="D1687" s="6">
        <f t="shared" si="104"/>
        <v>56</v>
      </c>
      <c r="E1687" s="7" t="s">
        <v>9</v>
      </c>
      <c r="F1687" s="7" t="s">
        <v>13</v>
      </c>
      <c r="G1687" s="6">
        <v>42231</v>
      </c>
      <c r="H1687" s="6" t="str" cm="1">
        <f t="array" ref="H1687">_xlfn.IFS(
  G1687 &lt; 25000, "Low",
  AND(G1687 &gt;= 25000, G1687 &lt; 75000), "Medium",
  AND(G1687 &gt;= 75000, G1687 &lt; 150000), "High",
  G1687 &gt;= 150000, "Very High"
)</f>
        <v>Medium</v>
      </c>
      <c r="I1687" s="6">
        <v>1</v>
      </c>
      <c r="J1687" s="6">
        <v>1</v>
      </c>
      <c r="K1687" s="6">
        <f t="shared" si="105"/>
        <v>2</v>
      </c>
      <c r="L1687" s="8">
        <v>41723</v>
      </c>
      <c r="M1687" t="str">
        <f t="shared" ca="1" si="106"/>
        <v>11 years, 11 months</v>
      </c>
      <c r="N1687" s="6">
        <v>99</v>
      </c>
      <c r="O1687">
        <v>0</v>
      </c>
      <c r="P1687">
        <v>1</v>
      </c>
      <c r="Q1687">
        <f t="shared" si="107"/>
        <v>1</v>
      </c>
      <c r="R1687">
        <v>1</v>
      </c>
      <c r="S1687">
        <v>3</v>
      </c>
      <c r="T1687">
        <f>Table[[#This Row],[NumWebPurchases]]+Table[[#This Row],[NumStorePurchases]]</f>
        <v>4</v>
      </c>
    </row>
    <row r="1688" spans="1:20" ht="12.5">
      <c r="A1688" s="6">
        <v>1686</v>
      </c>
      <c r="B1688" s="6">
        <v>1891</v>
      </c>
      <c r="C1688" s="6">
        <v>1980</v>
      </c>
      <c r="D1688" s="6">
        <f t="shared" si="104"/>
        <v>45</v>
      </c>
      <c r="E1688" s="7" t="s">
        <v>14</v>
      </c>
      <c r="F1688" s="7" t="s">
        <v>15</v>
      </c>
      <c r="G1688" s="6">
        <v>78789</v>
      </c>
      <c r="H1688" s="6" t="str" cm="1">
        <f t="array" ref="H1688">_xlfn.IFS(
  G1688 &lt; 25000, "Low",
  AND(G1688 &gt;= 25000, G1688 &lt; 75000), "Medium",
  AND(G1688 &gt;= 75000, G1688 &lt; 150000), "High",
  G1688 &gt;= 150000, "Very High"
)</f>
        <v>High</v>
      </c>
      <c r="I1688" s="6">
        <v>0</v>
      </c>
      <c r="J1688" s="6">
        <v>0</v>
      </c>
      <c r="K1688" s="6">
        <f t="shared" si="105"/>
        <v>0</v>
      </c>
      <c r="L1688" s="8">
        <v>41129</v>
      </c>
      <c r="M1688" t="str">
        <f t="shared" ca="1" si="106"/>
        <v>13 years, 6 months</v>
      </c>
      <c r="N1688" s="6">
        <v>12</v>
      </c>
      <c r="O1688">
        <v>50</v>
      </c>
      <c r="P1688">
        <v>83</v>
      </c>
      <c r="Q1688">
        <f t="shared" si="107"/>
        <v>133</v>
      </c>
      <c r="R1688">
        <v>4</v>
      </c>
      <c r="S1688">
        <v>5</v>
      </c>
      <c r="T1688">
        <f>Table[[#This Row],[NumWebPurchases]]+Table[[#This Row],[NumStorePurchases]]</f>
        <v>9</v>
      </c>
    </row>
    <row r="1689" spans="1:20" ht="12.5">
      <c r="A1689" s="6">
        <v>1687</v>
      </c>
      <c r="B1689" s="6">
        <v>2570</v>
      </c>
      <c r="C1689" s="6">
        <v>1968</v>
      </c>
      <c r="D1689" s="6">
        <f t="shared" si="104"/>
        <v>57</v>
      </c>
      <c r="E1689" s="7" t="s">
        <v>9</v>
      </c>
      <c r="F1689" s="7" t="s">
        <v>11</v>
      </c>
      <c r="G1689" s="6">
        <v>56534</v>
      </c>
      <c r="H1689" s="6" t="str" cm="1">
        <f t="array" ref="H1689">_xlfn.IFS(
  G1689 &lt; 25000, "Low",
  AND(G1689 &gt;= 25000, G1689 &lt; 75000), "Medium",
  AND(G1689 &gt;= 75000, G1689 &lt; 150000), "High",
  G1689 &gt;= 150000, "Very High"
)</f>
        <v>Medium</v>
      </c>
      <c r="I1689" s="6">
        <v>0</v>
      </c>
      <c r="J1689" s="6">
        <v>1</v>
      </c>
      <c r="K1689" s="6">
        <f t="shared" si="105"/>
        <v>1</v>
      </c>
      <c r="L1689" s="8">
        <v>41478</v>
      </c>
      <c r="M1689" t="str">
        <f t="shared" ca="1" si="106"/>
        <v>12 years, 7 months</v>
      </c>
      <c r="N1689" s="6">
        <v>35</v>
      </c>
      <c r="O1689">
        <v>7</v>
      </c>
      <c r="P1689">
        <v>0</v>
      </c>
      <c r="Q1689">
        <f t="shared" si="107"/>
        <v>7</v>
      </c>
      <c r="R1689">
        <v>10</v>
      </c>
      <c r="S1689">
        <v>7</v>
      </c>
      <c r="T1689">
        <f>Table[[#This Row],[NumWebPurchases]]+Table[[#This Row],[NumStorePurchases]]</f>
        <v>17</v>
      </c>
    </row>
    <row r="1690" spans="1:20" ht="12.5">
      <c r="A1690" s="6">
        <v>1688</v>
      </c>
      <c r="B1690" s="6">
        <v>9256</v>
      </c>
      <c r="C1690" s="6">
        <v>1971</v>
      </c>
      <c r="D1690" s="6">
        <f t="shared" si="104"/>
        <v>54</v>
      </c>
      <c r="E1690" s="7" t="s">
        <v>9</v>
      </c>
      <c r="F1690" s="7" t="s">
        <v>10</v>
      </c>
      <c r="G1690" s="6">
        <v>58350</v>
      </c>
      <c r="H1690" s="6" t="str" cm="1">
        <f t="array" ref="H1690">_xlfn.IFS(
  G1690 &lt; 25000, "Low",
  AND(G1690 &gt;= 25000, G1690 &lt; 75000), "Medium",
  AND(G1690 &gt;= 75000, G1690 &lt; 150000), "High",
  G1690 &gt;= 150000, "Very High"
)</f>
        <v>Medium</v>
      </c>
      <c r="I1690" s="6">
        <v>0</v>
      </c>
      <c r="J1690" s="6">
        <v>1</v>
      </c>
      <c r="K1690" s="6">
        <f t="shared" si="105"/>
        <v>1</v>
      </c>
      <c r="L1690" s="8">
        <v>41278</v>
      </c>
      <c r="M1690" t="str">
        <f t="shared" ca="1" si="106"/>
        <v>13 years, 2 months</v>
      </c>
      <c r="N1690" s="6">
        <v>5</v>
      </c>
      <c r="O1690">
        <v>26</v>
      </c>
      <c r="P1690">
        <v>80</v>
      </c>
      <c r="Q1690">
        <f t="shared" si="107"/>
        <v>106</v>
      </c>
      <c r="R1690">
        <v>8</v>
      </c>
      <c r="S1690">
        <v>12</v>
      </c>
      <c r="T1690">
        <f>Table[[#This Row],[NumWebPurchases]]+Table[[#This Row],[NumStorePurchases]]</f>
        <v>20</v>
      </c>
    </row>
    <row r="1691" spans="1:20" ht="12.5">
      <c r="A1691" s="6">
        <v>1689</v>
      </c>
      <c r="B1691" s="6">
        <v>295</v>
      </c>
      <c r="C1691" s="6">
        <v>1989</v>
      </c>
      <c r="D1691" s="6">
        <f t="shared" si="104"/>
        <v>36</v>
      </c>
      <c r="E1691" s="7" t="s">
        <v>9</v>
      </c>
      <c r="F1691" s="7" t="s">
        <v>10</v>
      </c>
      <c r="G1691" s="6">
        <v>81217</v>
      </c>
      <c r="H1691" s="6" t="str" cm="1">
        <f t="array" ref="H1691">_xlfn.IFS(
  G1691 &lt; 25000, "Low",
  AND(G1691 &gt;= 25000, G1691 &lt; 75000), "Medium",
  AND(G1691 &gt;= 75000, G1691 &lt; 150000), "High",
  G1691 &gt;= 150000, "Very High"
)</f>
        <v>High</v>
      </c>
      <c r="I1691" s="6">
        <v>0</v>
      </c>
      <c r="J1691" s="6">
        <v>0</v>
      </c>
      <c r="K1691" s="6">
        <f t="shared" si="105"/>
        <v>0</v>
      </c>
      <c r="L1691" s="8">
        <v>41474</v>
      </c>
      <c r="M1691" t="str">
        <f t="shared" ca="1" si="106"/>
        <v>12 years, 7 months</v>
      </c>
      <c r="N1691" s="6">
        <v>77</v>
      </c>
      <c r="O1691">
        <v>70</v>
      </c>
      <c r="P1691">
        <v>40</v>
      </c>
      <c r="Q1691">
        <f t="shared" si="107"/>
        <v>110</v>
      </c>
      <c r="R1691">
        <v>3</v>
      </c>
      <c r="S1691">
        <v>11</v>
      </c>
      <c r="T1691">
        <f>Table[[#This Row],[NumWebPurchases]]+Table[[#This Row],[NumStorePurchases]]</f>
        <v>14</v>
      </c>
    </row>
    <row r="1692" spans="1:20" ht="12.5">
      <c r="A1692" s="6">
        <v>1690</v>
      </c>
      <c r="B1692" s="6">
        <v>7397</v>
      </c>
      <c r="C1692" s="6">
        <v>1951</v>
      </c>
      <c r="D1692" s="6">
        <f t="shared" si="104"/>
        <v>74</v>
      </c>
      <c r="E1692" s="7" t="s">
        <v>9</v>
      </c>
      <c r="F1692" s="7" t="s">
        <v>10</v>
      </c>
      <c r="G1692" s="6">
        <v>49090</v>
      </c>
      <c r="H1692" s="6" t="str" cm="1">
        <f t="array" ref="H1692">_xlfn.IFS(
  G1692 &lt; 25000, "Low",
  AND(G1692 &gt;= 25000, G1692 &lt; 75000), "Medium",
  AND(G1692 &gt;= 75000, G1692 &lt; 150000), "High",
  G1692 &gt;= 150000, "Very High"
)</f>
        <v>Medium</v>
      </c>
      <c r="I1692" s="6">
        <v>0</v>
      </c>
      <c r="J1692" s="6">
        <v>1</v>
      </c>
      <c r="K1692" s="6">
        <f t="shared" si="105"/>
        <v>1</v>
      </c>
      <c r="L1692" s="8">
        <v>41474</v>
      </c>
      <c r="M1692" t="str">
        <f t="shared" ca="1" si="106"/>
        <v>12 years, 7 months</v>
      </c>
      <c r="N1692" s="6">
        <v>45</v>
      </c>
      <c r="O1692">
        <v>5</v>
      </c>
      <c r="P1692">
        <v>0</v>
      </c>
      <c r="Q1692">
        <f t="shared" si="107"/>
        <v>5</v>
      </c>
      <c r="R1692">
        <v>7</v>
      </c>
      <c r="S1692">
        <v>9</v>
      </c>
      <c r="T1692">
        <f>Table[[#This Row],[NumWebPurchases]]+Table[[#This Row],[NumStorePurchases]]</f>
        <v>16</v>
      </c>
    </row>
    <row r="1693" spans="1:20" ht="12.5">
      <c r="A1693" s="6">
        <v>1691</v>
      </c>
      <c r="B1693" s="6">
        <v>6349</v>
      </c>
      <c r="C1693" s="6">
        <v>1987</v>
      </c>
      <c r="D1693" s="6">
        <f t="shared" si="104"/>
        <v>38</v>
      </c>
      <c r="E1693" s="7" t="s">
        <v>14</v>
      </c>
      <c r="F1693" s="7" t="s">
        <v>15</v>
      </c>
      <c r="G1693" s="6">
        <v>61787</v>
      </c>
      <c r="H1693" s="6" t="str" cm="1">
        <f t="array" ref="H1693">_xlfn.IFS(
  G1693 &lt; 25000, "Low",
  AND(G1693 &gt;= 25000, G1693 &lt; 75000), "Medium",
  AND(G1693 &gt;= 75000, G1693 &lt; 150000), "High",
  G1693 &gt;= 150000, "Very High"
)</f>
        <v>Medium</v>
      </c>
      <c r="I1693" s="6">
        <v>0</v>
      </c>
      <c r="J1693" s="6">
        <v>0</v>
      </c>
      <c r="K1693" s="6">
        <f t="shared" si="105"/>
        <v>0</v>
      </c>
      <c r="L1693" s="8">
        <v>41461</v>
      </c>
      <c r="M1693" t="str">
        <f t="shared" ca="1" si="106"/>
        <v>12 years, 8 months</v>
      </c>
      <c r="N1693" s="6">
        <v>71</v>
      </c>
      <c r="O1693">
        <v>73</v>
      </c>
      <c r="P1693">
        <v>48</v>
      </c>
      <c r="Q1693">
        <f t="shared" si="107"/>
        <v>121</v>
      </c>
      <c r="R1693">
        <v>8</v>
      </c>
      <c r="S1693">
        <v>6</v>
      </c>
      <c r="T1693">
        <f>Table[[#This Row],[NumWebPurchases]]+Table[[#This Row],[NumStorePurchases]]</f>
        <v>14</v>
      </c>
    </row>
    <row r="1694" spans="1:20" ht="12.5">
      <c r="A1694" s="6">
        <v>1692</v>
      </c>
      <c r="B1694" s="6">
        <v>10790</v>
      </c>
      <c r="C1694" s="6">
        <v>1985</v>
      </c>
      <c r="D1694" s="6">
        <f t="shared" si="104"/>
        <v>40</v>
      </c>
      <c r="E1694" s="7" t="s">
        <v>12</v>
      </c>
      <c r="F1694" s="7" t="s">
        <v>13</v>
      </c>
      <c r="G1694" s="6">
        <v>18169</v>
      </c>
      <c r="H1694" s="6" t="str" cm="1">
        <f t="array" ref="H1694">_xlfn.IFS(
  G1694 &lt; 25000, "Low",
  AND(G1694 &gt;= 25000, G1694 &lt; 75000), "Medium",
  AND(G1694 &gt;= 75000, G1694 &lt; 150000), "High",
  G1694 &gt;= 150000, "Very High"
)</f>
        <v>Low</v>
      </c>
      <c r="I1694" s="6">
        <v>1</v>
      </c>
      <c r="J1694" s="6">
        <v>0</v>
      </c>
      <c r="K1694" s="6">
        <f t="shared" si="105"/>
        <v>1</v>
      </c>
      <c r="L1694" s="8">
        <v>41324</v>
      </c>
      <c r="M1694" t="str">
        <f t="shared" ca="1" si="106"/>
        <v>13 years, 0 months</v>
      </c>
      <c r="N1694" s="6">
        <v>40</v>
      </c>
      <c r="O1694">
        <v>0</v>
      </c>
      <c r="P1694">
        <v>0</v>
      </c>
      <c r="Q1694">
        <f t="shared" si="107"/>
        <v>0</v>
      </c>
      <c r="R1694">
        <v>1</v>
      </c>
      <c r="S1694">
        <v>2</v>
      </c>
      <c r="T1694">
        <f>Table[[#This Row],[NumWebPurchases]]+Table[[#This Row],[NumStorePurchases]]</f>
        <v>3</v>
      </c>
    </row>
    <row r="1695" spans="1:20" ht="12.5">
      <c r="A1695" s="6">
        <v>1693</v>
      </c>
      <c r="B1695" s="6">
        <v>10398</v>
      </c>
      <c r="C1695" s="6">
        <v>1981</v>
      </c>
      <c r="D1695" s="6">
        <f t="shared" si="104"/>
        <v>44</v>
      </c>
      <c r="E1695" s="7" t="s">
        <v>17</v>
      </c>
      <c r="F1695" s="7" t="s">
        <v>10</v>
      </c>
      <c r="G1695" s="6">
        <v>24336</v>
      </c>
      <c r="H1695" s="6" t="str" cm="1">
        <f t="array" ref="H1695">_xlfn.IFS(
  G1695 &lt; 25000, "Low",
  AND(G1695 &gt;= 25000, G1695 &lt; 75000), "Medium",
  AND(G1695 &gt;= 75000, G1695 &lt; 150000), "High",
  G1695 &gt;= 150000, "Very High"
)</f>
        <v>Low</v>
      </c>
      <c r="I1695" s="6">
        <v>1</v>
      </c>
      <c r="J1695" s="6">
        <v>0</v>
      </c>
      <c r="K1695" s="6">
        <f t="shared" si="105"/>
        <v>1</v>
      </c>
      <c r="L1695" s="8">
        <v>41148</v>
      </c>
      <c r="M1695" t="str">
        <f t="shared" ca="1" si="106"/>
        <v>13 years, 6 months</v>
      </c>
      <c r="N1695" s="6">
        <v>82</v>
      </c>
      <c r="O1695">
        <v>6</v>
      </c>
      <c r="P1695">
        <v>2</v>
      </c>
      <c r="Q1695">
        <f t="shared" si="107"/>
        <v>8</v>
      </c>
      <c r="R1695">
        <v>1</v>
      </c>
      <c r="S1695">
        <v>2</v>
      </c>
      <c r="T1695">
        <f>Table[[#This Row],[NumWebPurchases]]+Table[[#This Row],[NumStorePurchases]]</f>
        <v>3</v>
      </c>
    </row>
    <row r="1696" spans="1:20" ht="12.5">
      <c r="A1696" s="6">
        <v>1694</v>
      </c>
      <c r="B1696" s="6">
        <v>2431</v>
      </c>
      <c r="C1696" s="6">
        <v>1990</v>
      </c>
      <c r="D1696" s="6">
        <f t="shared" si="104"/>
        <v>35</v>
      </c>
      <c r="E1696" s="7" t="s">
        <v>9</v>
      </c>
      <c r="F1696" s="7" t="s">
        <v>13</v>
      </c>
      <c r="G1696" s="6">
        <v>18222</v>
      </c>
      <c r="H1696" s="6" t="str" cm="1">
        <f t="array" ref="H1696">_xlfn.IFS(
  G1696 &lt; 25000, "Low",
  AND(G1696 &gt;= 25000, G1696 &lt; 75000), "Medium",
  AND(G1696 &gt;= 75000, G1696 &lt; 150000), "High",
  G1696 &gt;= 150000, "Very High"
)</f>
        <v>Low</v>
      </c>
      <c r="I1696" s="6">
        <v>0</v>
      </c>
      <c r="J1696" s="6">
        <v>0</v>
      </c>
      <c r="K1696" s="6">
        <f t="shared" si="105"/>
        <v>0</v>
      </c>
      <c r="L1696" s="9">
        <v>41274</v>
      </c>
      <c r="M1696" t="str">
        <f t="shared" ca="1" si="106"/>
        <v>13 years, 2 months</v>
      </c>
      <c r="N1696" s="6">
        <v>70</v>
      </c>
      <c r="O1696">
        <v>4</v>
      </c>
      <c r="P1696">
        <v>6</v>
      </c>
      <c r="Q1696">
        <f t="shared" si="107"/>
        <v>10</v>
      </c>
      <c r="R1696">
        <v>2</v>
      </c>
      <c r="S1696">
        <v>3</v>
      </c>
      <c r="T1696">
        <f>Table[[#This Row],[NumWebPurchases]]+Table[[#This Row],[NumStorePurchases]]</f>
        <v>5</v>
      </c>
    </row>
    <row r="1697" spans="1:20" ht="12.5">
      <c r="A1697" s="6">
        <v>1695</v>
      </c>
      <c r="B1697" s="6">
        <v>550</v>
      </c>
      <c r="C1697" s="6">
        <v>1952</v>
      </c>
      <c r="D1697" s="6">
        <f t="shared" si="104"/>
        <v>73</v>
      </c>
      <c r="E1697" s="7" t="s">
        <v>9</v>
      </c>
      <c r="F1697" s="7" t="s">
        <v>15</v>
      </c>
      <c r="G1697" s="6">
        <v>62335</v>
      </c>
      <c r="H1697" s="6" t="str" cm="1">
        <f t="array" ref="H1697">_xlfn.IFS(
  G1697 &lt; 25000, "Low",
  AND(G1697 &gt;= 25000, G1697 &lt; 75000), "Medium",
  AND(G1697 &gt;= 75000, G1697 &lt; 150000), "High",
  G1697 &gt;= 150000, "Very High"
)</f>
        <v>Medium</v>
      </c>
      <c r="I1697" s="6">
        <v>0</v>
      </c>
      <c r="J1697" s="6">
        <v>1</v>
      </c>
      <c r="K1697" s="6">
        <f t="shared" si="105"/>
        <v>1</v>
      </c>
      <c r="L1697" s="8">
        <v>41417</v>
      </c>
      <c r="M1697" t="str">
        <f t="shared" ca="1" si="106"/>
        <v>12 years, 9 months</v>
      </c>
      <c r="N1697" s="6">
        <v>87</v>
      </c>
      <c r="O1697">
        <v>131</v>
      </c>
      <c r="P1697">
        <v>6</v>
      </c>
      <c r="Q1697">
        <f t="shared" si="107"/>
        <v>137</v>
      </c>
      <c r="R1697">
        <v>3</v>
      </c>
      <c r="S1697">
        <v>13</v>
      </c>
      <c r="T1697">
        <f>Table[[#This Row],[NumWebPurchases]]+Table[[#This Row],[NumStorePurchases]]</f>
        <v>16</v>
      </c>
    </row>
    <row r="1698" spans="1:20" ht="12.5">
      <c r="A1698" s="6">
        <v>1696</v>
      </c>
      <c r="B1698" s="6">
        <v>1890</v>
      </c>
      <c r="C1698" s="6">
        <v>1971</v>
      </c>
      <c r="D1698" s="6">
        <f t="shared" si="104"/>
        <v>54</v>
      </c>
      <c r="E1698" s="7" t="s">
        <v>17</v>
      </c>
      <c r="F1698" s="7" t="s">
        <v>11</v>
      </c>
      <c r="G1698" s="6">
        <v>42033</v>
      </c>
      <c r="H1698" s="6" t="str" cm="1">
        <f t="array" ref="H1698">_xlfn.IFS(
  G1698 &lt; 25000, "Low",
  AND(G1698 &gt;= 25000, G1698 &lt; 75000), "Medium",
  AND(G1698 &gt;= 75000, G1698 &lt; 150000), "High",
  G1698 &gt;= 150000, "Very High"
)</f>
        <v>Medium</v>
      </c>
      <c r="I1698" s="6">
        <v>1</v>
      </c>
      <c r="J1698" s="6">
        <v>1</v>
      </c>
      <c r="K1698" s="6">
        <f t="shared" si="105"/>
        <v>2</v>
      </c>
      <c r="L1698" s="8">
        <v>41171</v>
      </c>
      <c r="M1698" t="str">
        <f t="shared" ca="1" si="106"/>
        <v>13 years, 5 months</v>
      </c>
      <c r="N1698" s="6">
        <v>95</v>
      </c>
      <c r="O1698">
        <v>1</v>
      </c>
      <c r="P1698">
        <v>0</v>
      </c>
      <c r="Q1698">
        <f t="shared" si="107"/>
        <v>1</v>
      </c>
      <c r="R1698">
        <v>1</v>
      </c>
      <c r="S1698">
        <v>2</v>
      </c>
      <c r="T1698">
        <f>Table[[#This Row],[NumWebPurchases]]+Table[[#This Row],[NumStorePurchases]]</f>
        <v>3</v>
      </c>
    </row>
    <row r="1699" spans="1:20" ht="12.5">
      <c r="A1699" s="6">
        <v>1697</v>
      </c>
      <c r="B1699" s="6">
        <v>10742</v>
      </c>
      <c r="C1699" s="6">
        <v>1983</v>
      </c>
      <c r="D1699" s="6">
        <f t="shared" si="104"/>
        <v>42</v>
      </c>
      <c r="E1699" s="7" t="s">
        <v>12</v>
      </c>
      <c r="F1699" s="7" t="s">
        <v>13</v>
      </c>
      <c r="G1699" s="6">
        <v>86580</v>
      </c>
      <c r="H1699" s="6" t="str" cm="1">
        <f t="array" ref="H1699">_xlfn.IFS(
  G1699 &lt; 25000, "Low",
  AND(G1699 &gt;= 25000, G1699 &lt; 75000), "Medium",
  AND(G1699 &gt;= 75000, G1699 &lt; 150000), "High",
  G1699 &gt;= 150000, "Very High"
)</f>
        <v>High</v>
      </c>
      <c r="I1699" s="6">
        <v>0</v>
      </c>
      <c r="J1699" s="6">
        <v>0</v>
      </c>
      <c r="K1699" s="6">
        <f t="shared" si="105"/>
        <v>0</v>
      </c>
      <c r="L1699" s="8">
        <v>41332</v>
      </c>
      <c r="M1699" t="str">
        <f t="shared" ca="1" si="106"/>
        <v>13 years, 0 months</v>
      </c>
      <c r="N1699" s="6">
        <v>72</v>
      </c>
      <c r="O1699">
        <v>21</v>
      </c>
      <c r="P1699">
        <v>20</v>
      </c>
      <c r="Q1699">
        <f t="shared" si="107"/>
        <v>41</v>
      </c>
      <c r="R1699">
        <v>4</v>
      </c>
      <c r="S1699">
        <v>5</v>
      </c>
      <c r="T1699">
        <f>Table[[#This Row],[NumWebPurchases]]+Table[[#This Row],[NumStorePurchases]]</f>
        <v>9</v>
      </c>
    </row>
    <row r="1700" spans="1:20" ht="12.5">
      <c r="A1700" s="6">
        <v>1698</v>
      </c>
      <c r="B1700" s="6">
        <v>10356</v>
      </c>
      <c r="C1700" s="6">
        <v>1957</v>
      </c>
      <c r="D1700" s="6">
        <f t="shared" si="104"/>
        <v>68</v>
      </c>
      <c r="E1700" s="7" t="s">
        <v>12</v>
      </c>
      <c r="F1700" s="7" t="s">
        <v>15</v>
      </c>
      <c r="G1700" s="6">
        <v>41437</v>
      </c>
      <c r="H1700" s="6" t="str" cm="1">
        <f t="array" ref="H1700">_xlfn.IFS(
  G1700 &lt; 25000, "Low",
  AND(G1700 &gt;= 25000, G1700 &lt; 75000), "Medium",
  AND(G1700 &gt;= 75000, G1700 &lt; 150000), "High",
  G1700 &gt;= 150000, "Very High"
)</f>
        <v>Medium</v>
      </c>
      <c r="I1700" s="6">
        <v>1</v>
      </c>
      <c r="J1700" s="6">
        <v>1</v>
      </c>
      <c r="K1700" s="6">
        <f t="shared" si="105"/>
        <v>2</v>
      </c>
      <c r="L1700" s="8">
        <v>41174</v>
      </c>
      <c r="M1700" t="str">
        <f t="shared" ca="1" si="106"/>
        <v>13 years, 5 months</v>
      </c>
      <c r="N1700" s="6">
        <v>5</v>
      </c>
      <c r="O1700">
        <v>0</v>
      </c>
      <c r="P1700">
        <v>0</v>
      </c>
      <c r="Q1700">
        <f t="shared" si="107"/>
        <v>0</v>
      </c>
      <c r="R1700">
        <v>1</v>
      </c>
      <c r="S1700">
        <v>3</v>
      </c>
      <c r="T1700">
        <f>Table[[#This Row],[NumWebPurchases]]+Table[[#This Row],[NumStorePurchases]]</f>
        <v>4</v>
      </c>
    </row>
    <row r="1701" spans="1:20" ht="12.5">
      <c r="A1701" s="6">
        <v>1699</v>
      </c>
      <c r="B1701" s="6">
        <v>4676</v>
      </c>
      <c r="C1701" s="6">
        <v>1951</v>
      </c>
      <c r="D1701" s="6">
        <f t="shared" si="104"/>
        <v>74</v>
      </c>
      <c r="E1701" s="7" t="s">
        <v>14</v>
      </c>
      <c r="F1701" s="7" t="s">
        <v>18</v>
      </c>
      <c r="G1701" s="6">
        <v>73705</v>
      </c>
      <c r="H1701" s="6" t="str" cm="1">
        <f t="array" ref="H1701">_xlfn.IFS(
  G1701 &lt; 25000, "Low",
  AND(G1701 &gt;= 25000, G1701 &lt; 75000), "Medium",
  AND(G1701 &gt;= 75000, G1701 &lt; 150000), "High",
  G1701 &gt;= 150000, "Very High"
)</f>
        <v>Medium</v>
      </c>
      <c r="I1701" s="6">
        <v>0</v>
      </c>
      <c r="J1701" s="6">
        <v>2</v>
      </c>
      <c r="K1701" s="6">
        <f t="shared" si="105"/>
        <v>2</v>
      </c>
      <c r="L1701" s="8">
        <v>41703</v>
      </c>
      <c r="M1701" t="str">
        <f t="shared" ca="1" si="106"/>
        <v>12 years, 0 months</v>
      </c>
      <c r="N1701" s="6">
        <v>86</v>
      </c>
      <c r="O1701">
        <v>91</v>
      </c>
      <c r="P1701">
        <v>107</v>
      </c>
      <c r="Q1701">
        <f t="shared" si="107"/>
        <v>198</v>
      </c>
      <c r="R1701">
        <v>9</v>
      </c>
      <c r="S1701">
        <v>8</v>
      </c>
      <c r="T1701">
        <f>Table[[#This Row],[NumWebPurchases]]+Table[[#This Row],[NumStorePurchases]]</f>
        <v>17</v>
      </c>
    </row>
    <row r="1702" spans="1:20" ht="12.5">
      <c r="A1702" s="6">
        <v>1700</v>
      </c>
      <c r="B1702" s="6">
        <v>8852</v>
      </c>
      <c r="C1702" s="6">
        <v>1976</v>
      </c>
      <c r="D1702" s="6">
        <f t="shared" si="104"/>
        <v>49</v>
      </c>
      <c r="E1702" s="7" t="s">
        <v>9</v>
      </c>
      <c r="F1702" s="7" t="s">
        <v>13</v>
      </c>
      <c r="G1702" s="6">
        <v>61064</v>
      </c>
      <c r="H1702" s="6" t="str" cm="1">
        <f t="array" ref="H1702">_xlfn.IFS(
  G1702 &lt; 25000, "Low",
  AND(G1702 &gt;= 25000, G1702 &lt; 75000), "Medium",
  AND(G1702 &gt;= 75000, G1702 &lt; 150000), "High",
  G1702 &gt;= 150000, "Very High"
)</f>
        <v>Medium</v>
      </c>
      <c r="I1702" s="6">
        <v>0</v>
      </c>
      <c r="J1702" s="6">
        <v>1</v>
      </c>
      <c r="K1702" s="6">
        <f t="shared" si="105"/>
        <v>1</v>
      </c>
      <c r="L1702" s="8">
        <v>41152</v>
      </c>
      <c r="M1702" t="str">
        <f t="shared" ca="1" si="106"/>
        <v>13 years, 6 months</v>
      </c>
      <c r="N1702" s="6">
        <v>80</v>
      </c>
      <c r="O1702">
        <v>126</v>
      </c>
      <c r="P1702">
        <v>45</v>
      </c>
      <c r="Q1702">
        <f t="shared" si="107"/>
        <v>171</v>
      </c>
      <c r="R1702">
        <v>8</v>
      </c>
      <c r="S1702">
        <v>11</v>
      </c>
      <c r="T1702">
        <f>Table[[#This Row],[NumWebPurchases]]+Table[[#This Row],[NumStorePurchases]]</f>
        <v>19</v>
      </c>
    </row>
    <row r="1703" spans="1:20" ht="12.5">
      <c r="A1703" s="6">
        <v>1701</v>
      </c>
      <c r="B1703" s="6">
        <v>3565</v>
      </c>
      <c r="C1703" s="6">
        <v>1955</v>
      </c>
      <c r="D1703" s="6">
        <f t="shared" si="104"/>
        <v>70</v>
      </c>
      <c r="E1703" s="7" t="s">
        <v>14</v>
      </c>
      <c r="F1703" s="7" t="s">
        <v>13</v>
      </c>
      <c r="G1703" s="6">
        <v>38452</v>
      </c>
      <c r="H1703" s="6" t="str" cm="1">
        <f t="array" ref="H1703">_xlfn.IFS(
  G1703 &lt; 25000, "Low",
  AND(G1703 &gt;= 25000, G1703 &lt; 75000), "Medium",
  AND(G1703 &gt;= 75000, G1703 &lt; 150000), "High",
  G1703 &gt;= 150000, "Very High"
)</f>
        <v>Medium</v>
      </c>
      <c r="I1703" s="6">
        <v>1</v>
      </c>
      <c r="J1703" s="6">
        <v>1</v>
      </c>
      <c r="K1703" s="6">
        <f t="shared" si="105"/>
        <v>2</v>
      </c>
      <c r="L1703" s="8">
        <v>41728</v>
      </c>
      <c r="M1703" t="str">
        <f t="shared" ca="1" si="106"/>
        <v>11 years, 11 months</v>
      </c>
      <c r="N1703" s="6">
        <v>62</v>
      </c>
      <c r="O1703">
        <v>0</v>
      </c>
      <c r="P1703">
        <v>0</v>
      </c>
      <c r="Q1703">
        <f t="shared" si="107"/>
        <v>0</v>
      </c>
      <c r="R1703">
        <v>3</v>
      </c>
      <c r="S1703">
        <v>3</v>
      </c>
      <c r="T1703">
        <f>Table[[#This Row],[NumWebPurchases]]+Table[[#This Row],[NumStorePurchases]]</f>
        <v>6</v>
      </c>
    </row>
    <row r="1704" spans="1:20" ht="12.5">
      <c r="A1704" s="6">
        <v>1702</v>
      </c>
      <c r="B1704" s="6">
        <v>5294</v>
      </c>
      <c r="C1704" s="6">
        <v>1989</v>
      </c>
      <c r="D1704" s="6">
        <f t="shared" si="104"/>
        <v>36</v>
      </c>
      <c r="E1704" s="7" t="s">
        <v>9</v>
      </c>
      <c r="F1704" s="7" t="s">
        <v>10</v>
      </c>
      <c r="G1704" s="6">
        <v>18358</v>
      </c>
      <c r="H1704" s="6" t="str" cm="1">
        <f t="array" ref="H1704">_xlfn.IFS(
  G1704 &lt; 25000, "Low",
  AND(G1704 &gt;= 25000, G1704 &lt; 75000), "Medium",
  AND(G1704 &gt;= 75000, G1704 &lt; 150000), "High",
  G1704 &gt;= 150000, "Very High"
)</f>
        <v>Low</v>
      </c>
      <c r="I1704" s="6">
        <v>1</v>
      </c>
      <c r="J1704" s="6">
        <v>0</v>
      </c>
      <c r="K1704" s="6">
        <f t="shared" si="105"/>
        <v>1</v>
      </c>
      <c r="L1704" s="9">
        <v>41598</v>
      </c>
      <c r="M1704" t="str">
        <f t="shared" ca="1" si="106"/>
        <v>12 years, 3 months</v>
      </c>
      <c r="N1704" s="6">
        <v>49</v>
      </c>
      <c r="O1704">
        <v>8</v>
      </c>
      <c r="P1704">
        <v>4</v>
      </c>
      <c r="Q1704">
        <f t="shared" si="107"/>
        <v>12</v>
      </c>
      <c r="R1704">
        <v>3</v>
      </c>
      <c r="S1704">
        <v>4</v>
      </c>
      <c r="T1704">
        <f>Table[[#This Row],[NumWebPurchases]]+Table[[#This Row],[NumStorePurchases]]</f>
        <v>7</v>
      </c>
    </row>
    <row r="1705" spans="1:20" ht="12.5">
      <c r="A1705" s="6">
        <v>1703</v>
      </c>
      <c r="B1705" s="6">
        <v>1958</v>
      </c>
      <c r="C1705" s="6">
        <v>1973</v>
      </c>
      <c r="D1705" s="6">
        <f t="shared" si="104"/>
        <v>52</v>
      </c>
      <c r="E1705" s="7" t="s">
        <v>12</v>
      </c>
      <c r="F1705" s="7" t="s">
        <v>11</v>
      </c>
      <c r="G1705" s="6">
        <v>55012</v>
      </c>
      <c r="H1705" s="6" t="str" cm="1">
        <f t="array" ref="H1705">_xlfn.IFS(
  G1705 &lt; 25000, "Low",
  AND(G1705 &gt;= 25000, G1705 &lt; 75000), "Medium",
  AND(G1705 &gt;= 75000, G1705 &lt; 150000), "High",
  G1705 &gt;= 150000, "Very High"
)</f>
        <v>Medium</v>
      </c>
      <c r="I1705" s="6">
        <v>0</v>
      </c>
      <c r="J1705" s="6">
        <v>1</v>
      </c>
      <c r="K1705" s="6">
        <f t="shared" si="105"/>
        <v>1</v>
      </c>
      <c r="L1705" s="8">
        <v>41719</v>
      </c>
      <c r="M1705" t="str">
        <f t="shared" ca="1" si="106"/>
        <v>11 years, 11 months</v>
      </c>
      <c r="N1705" s="6">
        <v>85</v>
      </c>
      <c r="O1705">
        <v>0</v>
      </c>
      <c r="P1705">
        <v>0</v>
      </c>
      <c r="Q1705">
        <f t="shared" si="107"/>
        <v>0</v>
      </c>
      <c r="R1705">
        <v>8</v>
      </c>
      <c r="S1705">
        <v>9</v>
      </c>
      <c r="T1705">
        <f>Table[[#This Row],[NumWebPurchases]]+Table[[#This Row],[NumStorePurchases]]</f>
        <v>17</v>
      </c>
    </row>
    <row r="1706" spans="1:20" ht="12.5">
      <c r="A1706" s="6">
        <v>1704</v>
      </c>
      <c r="B1706" s="6">
        <v>7349</v>
      </c>
      <c r="C1706" s="6">
        <v>1973</v>
      </c>
      <c r="D1706" s="6">
        <f t="shared" si="104"/>
        <v>52</v>
      </c>
      <c r="E1706" s="7" t="s">
        <v>16</v>
      </c>
      <c r="F1706" s="7" t="s">
        <v>11</v>
      </c>
      <c r="G1706" s="6">
        <v>9722</v>
      </c>
      <c r="H1706" s="6" t="str" cm="1">
        <f t="array" ref="H1706">_xlfn.IFS(
  G1706 &lt; 25000, "Low",
  AND(G1706 &gt;= 25000, G1706 &lt; 75000), "Medium",
  AND(G1706 &gt;= 75000, G1706 &lt; 150000), "High",
  G1706 &gt;= 150000, "Very High"
)</f>
        <v>Low</v>
      </c>
      <c r="I1706" s="6">
        <v>1</v>
      </c>
      <c r="J1706" s="6">
        <v>0</v>
      </c>
      <c r="K1706" s="6">
        <f t="shared" si="105"/>
        <v>1</v>
      </c>
      <c r="L1706" s="8">
        <v>41184</v>
      </c>
      <c r="M1706" t="str">
        <f t="shared" ca="1" si="106"/>
        <v>13 years, 5 months</v>
      </c>
      <c r="N1706" s="6">
        <v>7</v>
      </c>
      <c r="O1706">
        <v>17</v>
      </c>
      <c r="P1706">
        <v>16</v>
      </c>
      <c r="Q1706">
        <f t="shared" si="107"/>
        <v>33</v>
      </c>
      <c r="R1706">
        <v>3</v>
      </c>
      <c r="S1706">
        <v>3</v>
      </c>
      <c r="T1706">
        <f>Table[[#This Row],[NumWebPurchases]]+Table[[#This Row],[NumStorePurchases]]</f>
        <v>6</v>
      </c>
    </row>
    <row r="1707" spans="1:20" ht="12.5">
      <c r="A1707" s="6">
        <v>1705</v>
      </c>
      <c r="B1707" s="6">
        <v>8799</v>
      </c>
      <c r="C1707" s="6">
        <v>1984</v>
      </c>
      <c r="D1707" s="6">
        <f t="shared" si="104"/>
        <v>41</v>
      </c>
      <c r="E1707" s="7" t="s">
        <v>12</v>
      </c>
      <c r="F1707" s="7" t="s">
        <v>13</v>
      </c>
      <c r="G1707" s="6">
        <v>38175</v>
      </c>
      <c r="H1707" s="6" t="str" cm="1">
        <f t="array" ref="H1707">_xlfn.IFS(
  G1707 &lt; 25000, "Low",
  AND(G1707 &gt;= 25000, G1707 &lt; 75000), "Medium",
  AND(G1707 &gt;= 75000, G1707 &lt; 150000), "High",
  G1707 &gt;= 150000, "Very High"
)</f>
        <v>Medium</v>
      </c>
      <c r="I1707" s="6">
        <v>1</v>
      </c>
      <c r="J1707" s="6">
        <v>0</v>
      </c>
      <c r="K1707" s="6">
        <f t="shared" si="105"/>
        <v>1</v>
      </c>
      <c r="L1707" s="8">
        <v>41540</v>
      </c>
      <c r="M1707" t="str">
        <f t="shared" ca="1" si="106"/>
        <v>12 years, 5 months</v>
      </c>
      <c r="N1707" s="6">
        <v>6</v>
      </c>
      <c r="O1707">
        <v>6</v>
      </c>
      <c r="P1707">
        <v>3</v>
      </c>
      <c r="Q1707">
        <f t="shared" si="107"/>
        <v>9</v>
      </c>
      <c r="R1707">
        <v>3</v>
      </c>
      <c r="S1707">
        <v>4</v>
      </c>
      <c r="T1707">
        <f>Table[[#This Row],[NumWebPurchases]]+Table[[#This Row],[NumStorePurchases]]</f>
        <v>7</v>
      </c>
    </row>
    <row r="1708" spans="1:20" ht="12.5">
      <c r="A1708" s="6">
        <v>1706</v>
      </c>
      <c r="B1708" s="6">
        <v>1351</v>
      </c>
      <c r="C1708" s="6">
        <v>1956</v>
      </c>
      <c r="D1708" s="6">
        <f t="shared" si="104"/>
        <v>69</v>
      </c>
      <c r="E1708" s="7" t="s">
        <v>14</v>
      </c>
      <c r="F1708" s="7" t="s">
        <v>11</v>
      </c>
      <c r="G1708" s="6">
        <v>58656</v>
      </c>
      <c r="H1708" s="6" t="str" cm="1">
        <f t="array" ref="H1708">_xlfn.IFS(
  G1708 &lt; 25000, "Low",
  AND(G1708 &gt;= 25000, G1708 &lt; 75000), "Medium",
  AND(G1708 &gt;= 75000, G1708 &lt; 150000), "High",
  G1708 &gt;= 150000, "Very High"
)</f>
        <v>Medium</v>
      </c>
      <c r="I1708" s="6">
        <v>0</v>
      </c>
      <c r="J1708" s="6">
        <v>1</v>
      </c>
      <c r="K1708" s="6">
        <f t="shared" si="105"/>
        <v>1</v>
      </c>
      <c r="L1708" s="8">
        <v>41172</v>
      </c>
      <c r="M1708" t="str">
        <f t="shared" ca="1" si="106"/>
        <v>13 years, 5 months</v>
      </c>
      <c r="N1708" s="6">
        <v>25</v>
      </c>
      <c r="O1708">
        <v>12</v>
      </c>
      <c r="P1708">
        <v>24</v>
      </c>
      <c r="Q1708">
        <f t="shared" si="107"/>
        <v>36</v>
      </c>
      <c r="R1708">
        <v>7</v>
      </c>
      <c r="S1708">
        <v>13</v>
      </c>
      <c r="T1708">
        <f>Table[[#This Row],[NumWebPurchases]]+Table[[#This Row],[NumStorePurchases]]</f>
        <v>20</v>
      </c>
    </row>
    <row r="1709" spans="1:20" ht="12.5">
      <c r="A1709" s="6">
        <v>1707</v>
      </c>
      <c r="B1709" s="6">
        <v>1045</v>
      </c>
      <c r="C1709" s="6">
        <v>1965</v>
      </c>
      <c r="D1709" s="6">
        <f t="shared" si="104"/>
        <v>60</v>
      </c>
      <c r="E1709" s="7" t="s">
        <v>9</v>
      </c>
      <c r="F1709" s="7" t="s">
        <v>11</v>
      </c>
      <c r="G1709" s="6">
        <v>52117</v>
      </c>
      <c r="H1709" s="6" t="str" cm="1">
        <f t="array" ref="H1709">_xlfn.IFS(
  G1709 &lt; 25000, "Low",
  AND(G1709 &gt;= 25000, G1709 &lt; 75000), "Medium",
  AND(G1709 &gt;= 75000, G1709 &lt; 150000), "High",
  G1709 &gt;= 150000, "Very High"
)</f>
        <v>Medium</v>
      </c>
      <c r="I1709" s="6">
        <v>0</v>
      </c>
      <c r="J1709" s="6">
        <v>1</v>
      </c>
      <c r="K1709" s="6">
        <f t="shared" si="105"/>
        <v>1</v>
      </c>
      <c r="L1709" s="8">
        <v>41137</v>
      </c>
      <c r="M1709" t="str">
        <f t="shared" ca="1" si="106"/>
        <v>13 years, 6 months</v>
      </c>
      <c r="N1709" s="6">
        <v>55</v>
      </c>
      <c r="O1709">
        <v>10</v>
      </c>
      <c r="P1709">
        <v>0</v>
      </c>
      <c r="Q1709">
        <f t="shared" si="107"/>
        <v>10</v>
      </c>
      <c r="R1709">
        <v>5</v>
      </c>
      <c r="S1709">
        <v>4</v>
      </c>
      <c r="T1709">
        <f>Table[[#This Row],[NumWebPurchases]]+Table[[#This Row],[NumStorePurchases]]</f>
        <v>9</v>
      </c>
    </row>
    <row r="1710" spans="1:20" ht="12.5">
      <c r="A1710" s="6">
        <v>1708</v>
      </c>
      <c r="B1710" s="6">
        <v>7732</v>
      </c>
      <c r="C1710" s="6">
        <v>1978</v>
      </c>
      <c r="D1710" s="6">
        <f t="shared" si="104"/>
        <v>47</v>
      </c>
      <c r="E1710" s="7" t="s">
        <v>9</v>
      </c>
      <c r="F1710" s="7" t="s">
        <v>13</v>
      </c>
      <c r="G1710" s="6">
        <v>64813</v>
      </c>
      <c r="H1710" s="6" t="str" cm="1">
        <f t="array" ref="H1710">_xlfn.IFS(
  G1710 &lt; 25000, "Low",
  AND(G1710 &gt;= 25000, G1710 &lt; 75000), "Medium",
  AND(G1710 &gt;= 75000, G1710 &lt; 150000), "High",
  G1710 &gt;= 150000, "Very High"
)</f>
        <v>Medium</v>
      </c>
      <c r="I1710" s="6">
        <v>1</v>
      </c>
      <c r="J1710" s="6">
        <v>0</v>
      </c>
      <c r="K1710" s="6">
        <f t="shared" si="105"/>
        <v>1</v>
      </c>
      <c r="L1710" s="8">
        <v>41641</v>
      </c>
      <c r="M1710" t="str">
        <f t="shared" ca="1" si="106"/>
        <v>12 years, 2 months</v>
      </c>
      <c r="N1710" s="6">
        <v>81</v>
      </c>
      <c r="O1710">
        <v>0</v>
      </c>
      <c r="P1710">
        <v>97</v>
      </c>
      <c r="Q1710">
        <f t="shared" si="107"/>
        <v>97</v>
      </c>
      <c r="R1710">
        <v>7</v>
      </c>
      <c r="S1710">
        <v>10</v>
      </c>
      <c r="T1710">
        <f>Table[[#This Row],[NumWebPurchases]]+Table[[#This Row],[NumStorePurchases]]</f>
        <v>17</v>
      </c>
    </row>
    <row r="1711" spans="1:20" ht="12.5">
      <c r="A1711" s="6">
        <v>1709</v>
      </c>
      <c r="B1711" s="6">
        <v>8070</v>
      </c>
      <c r="C1711" s="6">
        <v>1973</v>
      </c>
      <c r="D1711" s="6">
        <f t="shared" si="104"/>
        <v>52</v>
      </c>
      <c r="E1711" s="7" t="s">
        <v>12</v>
      </c>
      <c r="F1711" s="7" t="s">
        <v>13</v>
      </c>
      <c r="G1711" s="6">
        <v>54222</v>
      </c>
      <c r="H1711" s="6" t="str" cm="1">
        <f t="array" ref="H1711">_xlfn.IFS(
  G1711 &lt; 25000, "Low",
  AND(G1711 &gt;= 25000, G1711 &lt; 75000), "Medium",
  AND(G1711 &gt;= 75000, G1711 &lt; 150000), "High",
  G1711 &gt;= 150000, "Very High"
)</f>
        <v>Medium</v>
      </c>
      <c r="I1711" s="6">
        <v>0</v>
      </c>
      <c r="J1711" s="6">
        <v>1</v>
      </c>
      <c r="K1711" s="6">
        <f t="shared" si="105"/>
        <v>1</v>
      </c>
      <c r="L1711" s="8">
        <v>41699</v>
      </c>
      <c r="M1711" t="str">
        <f t="shared" ca="1" si="106"/>
        <v>12 years, 0 months</v>
      </c>
      <c r="N1711" s="6">
        <v>98</v>
      </c>
      <c r="O1711">
        <v>12</v>
      </c>
      <c r="P1711">
        <v>12</v>
      </c>
      <c r="Q1711">
        <f t="shared" si="107"/>
        <v>24</v>
      </c>
      <c r="R1711">
        <v>3</v>
      </c>
      <c r="S1711">
        <v>5</v>
      </c>
      <c r="T1711">
        <f>Table[[#This Row],[NumWebPurchases]]+Table[[#This Row],[NumStorePurchases]]</f>
        <v>8</v>
      </c>
    </row>
    <row r="1712" spans="1:20" ht="12.5">
      <c r="A1712" s="6">
        <v>1710</v>
      </c>
      <c r="B1712" s="6">
        <v>477</v>
      </c>
      <c r="C1712" s="6">
        <v>1986</v>
      </c>
      <c r="D1712" s="6">
        <f t="shared" si="104"/>
        <v>39</v>
      </c>
      <c r="E1712" s="7" t="s">
        <v>9</v>
      </c>
      <c r="F1712" s="7" t="s">
        <v>13</v>
      </c>
      <c r="G1712" s="6">
        <v>83512</v>
      </c>
      <c r="H1712" s="6" t="str" cm="1">
        <f t="array" ref="H1712">_xlfn.IFS(
  G1712 &lt; 25000, "Low",
  AND(G1712 &gt;= 25000, G1712 &lt; 75000), "Medium",
  AND(G1712 &gt;= 75000, G1712 &lt; 150000), "High",
  G1712 &gt;= 150000, "Very High"
)</f>
        <v>High</v>
      </c>
      <c r="I1712" s="6">
        <v>0</v>
      </c>
      <c r="J1712" s="6">
        <v>0</v>
      </c>
      <c r="K1712" s="6">
        <f t="shared" si="105"/>
        <v>0</v>
      </c>
      <c r="L1712" s="8">
        <v>41807</v>
      </c>
      <c r="M1712" t="str">
        <f t="shared" ca="1" si="106"/>
        <v>11 years, 8 months</v>
      </c>
      <c r="N1712" s="6">
        <v>31</v>
      </c>
      <c r="O1712">
        <v>61</v>
      </c>
      <c r="P1712">
        <v>20</v>
      </c>
      <c r="Q1712">
        <f t="shared" si="107"/>
        <v>81</v>
      </c>
      <c r="R1712">
        <v>4</v>
      </c>
      <c r="S1712">
        <v>10</v>
      </c>
      <c r="T1712">
        <f>Table[[#This Row],[NumWebPurchases]]+Table[[#This Row],[NumStorePurchases]]</f>
        <v>14</v>
      </c>
    </row>
    <row r="1713" spans="1:20" ht="12.5">
      <c r="A1713" s="6">
        <v>1711</v>
      </c>
      <c r="B1713" s="6">
        <v>7832</v>
      </c>
      <c r="C1713" s="6">
        <v>1959</v>
      </c>
      <c r="D1713" s="6">
        <f t="shared" si="104"/>
        <v>66</v>
      </c>
      <c r="E1713" s="7" t="s">
        <v>14</v>
      </c>
      <c r="F1713" s="7" t="s">
        <v>13</v>
      </c>
      <c r="G1713" s="6">
        <v>77520</v>
      </c>
      <c r="H1713" s="6" t="str" cm="1">
        <f t="array" ref="H1713">_xlfn.IFS(
  G1713 &lt; 25000, "Low",
  AND(G1713 &gt;= 25000, G1713 &lt; 75000), "Medium",
  AND(G1713 &gt;= 75000, G1713 &lt; 150000), "High",
  G1713 &gt;= 150000, "Very High"
)</f>
        <v>High</v>
      </c>
      <c r="I1713" s="6">
        <v>0</v>
      </c>
      <c r="J1713" s="6">
        <v>1</v>
      </c>
      <c r="K1713" s="6">
        <f t="shared" si="105"/>
        <v>1</v>
      </c>
      <c r="L1713" s="8">
        <v>41514</v>
      </c>
      <c r="M1713" t="str">
        <f t="shared" ca="1" si="106"/>
        <v>12 years, 6 months</v>
      </c>
      <c r="N1713" s="6">
        <v>30</v>
      </c>
      <c r="O1713">
        <v>44</v>
      </c>
      <c r="P1713">
        <v>88</v>
      </c>
      <c r="Q1713">
        <f t="shared" si="107"/>
        <v>132</v>
      </c>
      <c r="R1713">
        <v>8</v>
      </c>
      <c r="S1713">
        <v>7</v>
      </c>
      <c r="T1713">
        <f>Table[[#This Row],[NumWebPurchases]]+Table[[#This Row],[NumStorePurchases]]</f>
        <v>15</v>
      </c>
    </row>
    <row r="1714" spans="1:20" ht="12.5">
      <c r="A1714" s="6">
        <v>1712</v>
      </c>
      <c r="B1714" s="6">
        <v>2202</v>
      </c>
      <c r="C1714" s="6">
        <v>1978</v>
      </c>
      <c r="D1714" s="6">
        <f t="shared" si="104"/>
        <v>47</v>
      </c>
      <c r="E1714" s="7" t="s">
        <v>9</v>
      </c>
      <c r="F1714" s="7" t="s">
        <v>11</v>
      </c>
      <c r="G1714" s="6">
        <v>41154</v>
      </c>
      <c r="H1714" s="6" t="str" cm="1">
        <f t="array" ref="H1714">_xlfn.IFS(
  G1714 &lt; 25000, "Low",
  AND(G1714 &gt;= 25000, G1714 &lt; 75000), "Medium",
  AND(G1714 &gt;= 75000, G1714 &lt; 150000), "High",
  G1714 &gt;= 150000, "Very High"
)</f>
        <v>Medium</v>
      </c>
      <c r="I1714" s="6">
        <v>0</v>
      </c>
      <c r="J1714" s="6">
        <v>1</v>
      </c>
      <c r="K1714" s="6">
        <f t="shared" si="105"/>
        <v>1</v>
      </c>
      <c r="L1714" s="8">
        <v>41373</v>
      </c>
      <c r="M1714" t="str">
        <f t="shared" ca="1" si="106"/>
        <v>12 years, 10 months</v>
      </c>
      <c r="N1714" s="6">
        <v>98</v>
      </c>
      <c r="O1714">
        <v>2</v>
      </c>
      <c r="P1714">
        <v>3</v>
      </c>
      <c r="Q1714">
        <f t="shared" si="107"/>
        <v>5</v>
      </c>
      <c r="R1714">
        <v>1</v>
      </c>
      <c r="S1714">
        <v>4</v>
      </c>
      <c r="T1714">
        <f>Table[[#This Row],[NumWebPurchases]]+Table[[#This Row],[NumStorePurchases]]</f>
        <v>5</v>
      </c>
    </row>
    <row r="1715" spans="1:20" ht="12.5">
      <c r="A1715" s="6">
        <v>1713</v>
      </c>
      <c r="B1715" s="6">
        <v>7396</v>
      </c>
      <c r="C1715" s="6">
        <v>1966</v>
      </c>
      <c r="D1715" s="6">
        <f t="shared" si="104"/>
        <v>59</v>
      </c>
      <c r="E1715" s="7" t="s">
        <v>9</v>
      </c>
      <c r="F1715" s="7" t="s">
        <v>13</v>
      </c>
      <c r="G1715" s="6">
        <v>80398</v>
      </c>
      <c r="H1715" s="6" t="str" cm="1">
        <f t="array" ref="H1715">_xlfn.IFS(
  G1715 &lt; 25000, "Low",
  AND(G1715 &gt;= 25000, G1715 &lt; 75000), "Medium",
  AND(G1715 &gt;= 75000, G1715 &lt; 150000), "High",
  G1715 &gt;= 150000, "Very High"
)</f>
        <v>High</v>
      </c>
      <c r="I1715" s="6">
        <v>0</v>
      </c>
      <c r="J1715" s="6">
        <v>0</v>
      </c>
      <c r="K1715" s="6">
        <f t="shared" si="105"/>
        <v>0</v>
      </c>
      <c r="L1715" s="9">
        <v>41223</v>
      </c>
      <c r="M1715" t="str">
        <f t="shared" ca="1" si="106"/>
        <v>13 years, 3 months</v>
      </c>
      <c r="N1715" s="6">
        <v>92</v>
      </c>
      <c r="O1715">
        <v>51</v>
      </c>
      <c r="P1715">
        <v>35</v>
      </c>
      <c r="Q1715">
        <f t="shared" si="107"/>
        <v>86</v>
      </c>
      <c r="R1715">
        <v>5</v>
      </c>
      <c r="S1715">
        <v>12</v>
      </c>
      <c r="T1715">
        <f>Table[[#This Row],[NumWebPurchases]]+Table[[#This Row],[NumStorePurchases]]</f>
        <v>17</v>
      </c>
    </row>
    <row r="1716" spans="1:20" ht="12.5">
      <c r="A1716" s="6">
        <v>1714</v>
      </c>
      <c r="B1716" s="6">
        <v>4055</v>
      </c>
      <c r="C1716" s="6">
        <v>1992</v>
      </c>
      <c r="D1716" s="6">
        <f t="shared" si="104"/>
        <v>33</v>
      </c>
      <c r="E1716" s="7" t="s">
        <v>16</v>
      </c>
      <c r="F1716" s="7" t="s">
        <v>10</v>
      </c>
      <c r="G1716" s="6">
        <v>18746</v>
      </c>
      <c r="H1716" s="6" t="str" cm="1">
        <f t="array" ref="H1716">_xlfn.IFS(
  G1716 &lt; 25000, "Low",
  AND(G1716 &gt;= 25000, G1716 &lt; 75000), "Medium",
  AND(G1716 &gt;= 75000, G1716 &lt; 150000), "High",
  G1716 &gt;= 150000, "Very High"
)</f>
        <v>Low</v>
      </c>
      <c r="I1716" s="6">
        <v>1</v>
      </c>
      <c r="J1716" s="6">
        <v>0</v>
      </c>
      <c r="K1716" s="6">
        <f t="shared" si="105"/>
        <v>1</v>
      </c>
      <c r="L1716" s="8">
        <v>41788</v>
      </c>
      <c r="M1716" t="str">
        <f t="shared" ca="1" si="106"/>
        <v>11 years, 9 months</v>
      </c>
      <c r="N1716" s="6">
        <v>41</v>
      </c>
      <c r="O1716">
        <v>10</v>
      </c>
      <c r="P1716">
        <v>9</v>
      </c>
      <c r="Q1716">
        <f t="shared" si="107"/>
        <v>19</v>
      </c>
      <c r="R1716">
        <v>3</v>
      </c>
      <c r="S1716">
        <v>3</v>
      </c>
      <c r="T1716">
        <f>Table[[#This Row],[NumWebPurchases]]+Table[[#This Row],[NumStorePurchases]]</f>
        <v>6</v>
      </c>
    </row>
    <row r="1717" spans="1:20" ht="12.5">
      <c r="A1717" s="6">
        <v>1715</v>
      </c>
      <c r="B1717" s="6">
        <v>10340</v>
      </c>
      <c r="C1717" s="6">
        <v>1984</v>
      </c>
      <c r="D1717" s="6">
        <f t="shared" si="104"/>
        <v>41</v>
      </c>
      <c r="E1717" s="7" t="s">
        <v>9</v>
      </c>
      <c r="F1717" s="7" t="s">
        <v>11</v>
      </c>
      <c r="G1717" s="6">
        <v>35196</v>
      </c>
      <c r="H1717" s="6" t="str" cm="1">
        <f t="array" ref="H1717">_xlfn.IFS(
  G1717 &lt; 25000, "Low",
  AND(G1717 &gt;= 25000, G1717 &lt; 75000), "Medium",
  AND(G1717 &gt;= 75000, G1717 &lt; 150000), "High",
  G1717 &gt;= 150000, "Very High"
)</f>
        <v>Medium</v>
      </c>
      <c r="I1717" s="6">
        <v>1</v>
      </c>
      <c r="J1717" s="6">
        <v>0</v>
      </c>
      <c r="K1717" s="6">
        <f t="shared" si="105"/>
        <v>1</v>
      </c>
      <c r="L1717" s="9">
        <v>41226</v>
      </c>
      <c r="M1717" t="str">
        <f t="shared" ca="1" si="106"/>
        <v>13 years, 3 months</v>
      </c>
      <c r="N1717" s="6">
        <v>68</v>
      </c>
      <c r="O1717">
        <v>12</v>
      </c>
      <c r="P1717">
        <v>39</v>
      </c>
      <c r="Q1717">
        <f t="shared" si="107"/>
        <v>51</v>
      </c>
      <c r="R1717">
        <v>6</v>
      </c>
      <c r="S1717">
        <v>5</v>
      </c>
      <c r="T1717">
        <f>Table[[#This Row],[NumWebPurchases]]+Table[[#This Row],[NumStorePurchases]]</f>
        <v>11</v>
      </c>
    </row>
    <row r="1718" spans="1:20" ht="12.5">
      <c r="A1718" s="6">
        <v>1716</v>
      </c>
      <c r="B1718" s="6">
        <v>10091</v>
      </c>
      <c r="C1718" s="6">
        <v>1956</v>
      </c>
      <c r="D1718" s="6">
        <f t="shared" si="104"/>
        <v>69</v>
      </c>
      <c r="E1718" s="7" t="s">
        <v>9</v>
      </c>
      <c r="F1718" s="7" t="s">
        <v>10</v>
      </c>
      <c r="G1718" s="6">
        <v>60230</v>
      </c>
      <c r="H1718" s="6" t="str" cm="1">
        <f t="array" ref="H1718">_xlfn.IFS(
  G1718 &lt; 25000, "Low",
  AND(G1718 &gt;= 25000, G1718 &lt; 75000), "Medium",
  AND(G1718 &gt;= 75000, G1718 &lt; 150000), "High",
  G1718 &gt;= 150000, "Very High"
)</f>
        <v>Medium</v>
      </c>
      <c r="I1718" s="6">
        <v>0</v>
      </c>
      <c r="J1718" s="6">
        <v>1</v>
      </c>
      <c r="K1718" s="6">
        <f t="shared" si="105"/>
        <v>1</v>
      </c>
      <c r="L1718" s="8">
        <v>41414</v>
      </c>
      <c r="M1718" t="str">
        <f t="shared" ca="1" si="106"/>
        <v>12 years, 9 months</v>
      </c>
      <c r="N1718" s="6">
        <v>78</v>
      </c>
      <c r="O1718">
        <v>20</v>
      </c>
      <c r="P1718">
        <v>81</v>
      </c>
      <c r="Q1718">
        <f t="shared" si="107"/>
        <v>101</v>
      </c>
      <c r="R1718">
        <v>6</v>
      </c>
      <c r="S1718">
        <v>6</v>
      </c>
      <c r="T1718">
        <f>Table[[#This Row],[NumWebPurchases]]+Table[[#This Row],[NumStorePurchases]]</f>
        <v>12</v>
      </c>
    </row>
    <row r="1719" spans="1:20" ht="12.5">
      <c r="A1719" s="6">
        <v>1717</v>
      </c>
      <c r="B1719" s="6">
        <v>7629</v>
      </c>
      <c r="C1719" s="6">
        <v>1977</v>
      </c>
      <c r="D1719" s="6">
        <f t="shared" si="104"/>
        <v>48</v>
      </c>
      <c r="E1719" s="7" t="s">
        <v>9</v>
      </c>
      <c r="F1719" s="7" t="s">
        <v>13</v>
      </c>
      <c r="G1719" s="6">
        <v>22108</v>
      </c>
      <c r="H1719" s="6" t="str" cm="1">
        <f t="array" ref="H1719">_xlfn.IFS(
  G1719 &lt; 25000, "Low",
  AND(G1719 &gt;= 25000, G1719 &lt; 75000), "Medium",
  AND(G1719 &gt;= 75000, G1719 &lt; 150000), "High",
  G1719 &gt;= 150000, "Very High"
)</f>
        <v>Low</v>
      </c>
      <c r="I1719" s="6">
        <v>1</v>
      </c>
      <c r="J1719" s="6">
        <v>1</v>
      </c>
      <c r="K1719" s="6">
        <f t="shared" si="105"/>
        <v>2</v>
      </c>
      <c r="L1719" s="8">
        <v>41767</v>
      </c>
      <c r="M1719" t="str">
        <f t="shared" ca="1" si="106"/>
        <v>11 years, 9 months</v>
      </c>
      <c r="N1719" s="6">
        <v>46</v>
      </c>
      <c r="O1719">
        <v>3</v>
      </c>
      <c r="P1719">
        <v>2</v>
      </c>
      <c r="Q1719">
        <f t="shared" si="107"/>
        <v>5</v>
      </c>
      <c r="R1719">
        <v>2</v>
      </c>
      <c r="S1719">
        <v>3</v>
      </c>
      <c r="T1719">
        <f>Table[[#This Row],[NumWebPurchases]]+Table[[#This Row],[NumStorePurchases]]</f>
        <v>5</v>
      </c>
    </row>
    <row r="1720" spans="1:20" ht="12.5">
      <c r="A1720" s="6">
        <v>1718</v>
      </c>
      <c r="B1720" s="6">
        <v>10640</v>
      </c>
      <c r="C1720" s="6">
        <v>1974</v>
      </c>
      <c r="D1720" s="6">
        <f t="shared" si="104"/>
        <v>51</v>
      </c>
      <c r="E1720" s="7" t="s">
        <v>9</v>
      </c>
      <c r="F1720" s="7" t="s">
        <v>11</v>
      </c>
      <c r="G1720" s="6">
        <v>44392</v>
      </c>
      <c r="H1720" s="6" t="str" cm="1">
        <f t="array" ref="H1720">_xlfn.IFS(
  G1720 &lt; 25000, "Low",
  AND(G1720 &gt;= 25000, G1720 &lt; 75000), "Medium",
  AND(G1720 &gt;= 75000, G1720 &lt; 150000), "High",
  G1720 &gt;= 150000, "Very High"
)</f>
        <v>Medium</v>
      </c>
      <c r="I1720" s="6">
        <v>1</v>
      </c>
      <c r="J1720" s="6">
        <v>1</v>
      </c>
      <c r="K1720" s="6">
        <f t="shared" si="105"/>
        <v>2</v>
      </c>
      <c r="L1720" s="8">
        <v>41522</v>
      </c>
      <c r="M1720" t="str">
        <f t="shared" ca="1" si="106"/>
        <v>12 years, 6 months</v>
      </c>
      <c r="N1720" s="6">
        <v>71</v>
      </c>
      <c r="O1720">
        <v>5</v>
      </c>
      <c r="P1720">
        <v>12</v>
      </c>
      <c r="Q1720">
        <f t="shared" si="107"/>
        <v>17</v>
      </c>
      <c r="R1720">
        <v>4</v>
      </c>
      <c r="S1720">
        <v>4</v>
      </c>
      <c r="T1720">
        <f>Table[[#This Row],[NumWebPurchases]]+Table[[#This Row],[NumStorePurchases]]</f>
        <v>8</v>
      </c>
    </row>
    <row r="1721" spans="1:20" ht="12.5">
      <c r="A1721" s="6">
        <v>1719</v>
      </c>
      <c r="B1721" s="6">
        <v>3498</v>
      </c>
      <c r="C1721" s="6">
        <v>1976</v>
      </c>
      <c r="D1721" s="6">
        <f t="shared" si="104"/>
        <v>49</v>
      </c>
      <c r="E1721" s="7" t="s">
        <v>12</v>
      </c>
      <c r="F1721" s="7" t="s">
        <v>13</v>
      </c>
      <c r="G1721" s="6">
        <v>55424</v>
      </c>
      <c r="H1721" s="6" t="str" cm="1">
        <f t="array" ref="H1721">_xlfn.IFS(
  G1721 &lt; 25000, "Low",
  AND(G1721 &gt;= 25000, G1721 &lt; 75000), "Medium",
  AND(G1721 &gt;= 75000, G1721 &lt; 150000), "High",
  G1721 &gt;= 150000, "Very High"
)</f>
        <v>Medium</v>
      </c>
      <c r="I1721" s="6">
        <v>0</v>
      </c>
      <c r="J1721" s="6">
        <v>1</v>
      </c>
      <c r="K1721" s="6">
        <f t="shared" si="105"/>
        <v>1</v>
      </c>
      <c r="L1721" s="9">
        <v>41238</v>
      </c>
      <c r="M1721" t="str">
        <f t="shared" ca="1" si="106"/>
        <v>13 years, 3 months</v>
      </c>
      <c r="N1721" s="6">
        <v>6</v>
      </c>
      <c r="O1721">
        <v>61</v>
      </c>
      <c r="P1721">
        <v>53</v>
      </c>
      <c r="Q1721">
        <f t="shared" si="107"/>
        <v>114</v>
      </c>
      <c r="R1721">
        <v>7</v>
      </c>
      <c r="S1721">
        <v>9</v>
      </c>
      <c r="T1721">
        <f>Table[[#This Row],[NumWebPurchases]]+Table[[#This Row],[NumStorePurchases]]</f>
        <v>16</v>
      </c>
    </row>
    <row r="1722" spans="1:20" ht="12.5">
      <c r="A1722" s="6">
        <v>1720</v>
      </c>
      <c r="B1722" s="6">
        <v>6742</v>
      </c>
      <c r="C1722" s="6">
        <v>1979</v>
      </c>
      <c r="D1722" s="6">
        <f t="shared" si="104"/>
        <v>46</v>
      </c>
      <c r="E1722" s="7" t="s">
        <v>9</v>
      </c>
      <c r="F1722" s="7" t="s">
        <v>13</v>
      </c>
      <c r="G1722" s="6">
        <v>17688</v>
      </c>
      <c r="H1722" s="6" t="str" cm="1">
        <f t="array" ref="H1722">_xlfn.IFS(
  G1722 &lt; 25000, "Low",
  AND(G1722 &gt;= 25000, G1722 &lt; 75000), "Medium",
  AND(G1722 &gt;= 75000, G1722 &lt; 150000), "High",
  G1722 &gt;= 150000, "Very High"
)</f>
        <v>Low</v>
      </c>
      <c r="I1722" s="6">
        <v>1</v>
      </c>
      <c r="J1722" s="6">
        <v>0</v>
      </c>
      <c r="K1722" s="6">
        <f t="shared" si="105"/>
        <v>1</v>
      </c>
      <c r="L1722" s="8">
        <v>41287</v>
      </c>
      <c r="M1722" t="str">
        <f t="shared" ca="1" si="106"/>
        <v>13 years, 1 months</v>
      </c>
      <c r="N1722" s="6">
        <v>82</v>
      </c>
      <c r="O1722">
        <v>2</v>
      </c>
      <c r="P1722">
        <v>1</v>
      </c>
      <c r="Q1722">
        <f t="shared" si="107"/>
        <v>3</v>
      </c>
      <c r="R1722">
        <v>1</v>
      </c>
      <c r="S1722">
        <v>2</v>
      </c>
      <c r="T1722">
        <f>Table[[#This Row],[NumWebPurchases]]+Table[[#This Row],[NumStorePurchases]]</f>
        <v>3</v>
      </c>
    </row>
    <row r="1723" spans="1:20" ht="12.5">
      <c r="A1723" s="6">
        <v>1721</v>
      </c>
      <c r="B1723" s="6">
        <v>1172</v>
      </c>
      <c r="C1723" s="6">
        <v>1983</v>
      </c>
      <c r="D1723" s="6">
        <f t="shared" si="104"/>
        <v>42</v>
      </c>
      <c r="E1723" s="7" t="s">
        <v>12</v>
      </c>
      <c r="F1723" s="7" t="s">
        <v>13</v>
      </c>
      <c r="G1723" s="6">
        <v>92491</v>
      </c>
      <c r="H1723" s="6" t="str" cm="1">
        <f t="array" ref="H1723">_xlfn.IFS(
  G1723 &lt; 25000, "Low",
  AND(G1723 &gt;= 25000, G1723 &lt; 75000), "Medium",
  AND(G1723 &gt;= 75000, G1723 &lt; 150000), "High",
  G1723 &gt;= 150000, "Very High"
)</f>
        <v>High</v>
      </c>
      <c r="I1723" s="6">
        <v>0</v>
      </c>
      <c r="J1723" s="6">
        <v>0</v>
      </c>
      <c r="K1723" s="6">
        <f t="shared" si="105"/>
        <v>0</v>
      </c>
      <c r="L1723" s="8">
        <v>41395</v>
      </c>
      <c r="M1723" t="str">
        <f t="shared" ca="1" si="106"/>
        <v>12 years, 10 months</v>
      </c>
      <c r="N1723" s="6">
        <v>71</v>
      </c>
      <c r="O1723">
        <v>44</v>
      </c>
      <c r="P1723">
        <v>25</v>
      </c>
      <c r="Q1723">
        <f t="shared" si="107"/>
        <v>69</v>
      </c>
      <c r="R1723">
        <v>7</v>
      </c>
      <c r="S1723">
        <v>12</v>
      </c>
      <c r="T1723">
        <f>Table[[#This Row],[NumWebPurchases]]+Table[[#This Row],[NumStorePurchases]]</f>
        <v>19</v>
      </c>
    </row>
    <row r="1724" spans="1:20" ht="12.5">
      <c r="A1724" s="6">
        <v>1722</v>
      </c>
      <c r="B1724" s="6">
        <v>569</v>
      </c>
      <c r="C1724" s="6">
        <v>1991</v>
      </c>
      <c r="D1724" s="6">
        <f t="shared" si="104"/>
        <v>34</v>
      </c>
      <c r="E1724" s="7" t="s">
        <v>9</v>
      </c>
      <c r="F1724" s="7" t="s">
        <v>10</v>
      </c>
      <c r="G1724" s="6">
        <v>90273</v>
      </c>
      <c r="H1724" s="6" t="str" cm="1">
        <f t="array" ref="H1724">_xlfn.IFS(
  G1724 &lt; 25000, "Low",
  AND(G1724 &gt;= 25000, G1724 &lt; 75000), "Medium",
  AND(G1724 &gt;= 75000, G1724 &lt; 150000), "High",
  G1724 &gt;= 150000, "Very High"
)</f>
        <v>High</v>
      </c>
      <c r="I1724" s="6">
        <v>0</v>
      </c>
      <c r="J1724" s="6">
        <v>0</v>
      </c>
      <c r="K1724" s="6">
        <f t="shared" si="105"/>
        <v>0</v>
      </c>
      <c r="L1724" s="9">
        <v>41622</v>
      </c>
      <c r="M1724" t="str">
        <f t="shared" ca="1" si="106"/>
        <v>12 years, 2 months</v>
      </c>
      <c r="N1724" s="6">
        <v>32</v>
      </c>
      <c r="O1724">
        <v>129</v>
      </c>
      <c r="P1724">
        <v>74</v>
      </c>
      <c r="Q1724">
        <f t="shared" si="107"/>
        <v>203</v>
      </c>
      <c r="R1724">
        <v>5</v>
      </c>
      <c r="S1724">
        <v>7</v>
      </c>
      <c r="T1724">
        <f>Table[[#This Row],[NumWebPurchases]]+Table[[#This Row],[NumStorePurchases]]</f>
        <v>12</v>
      </c>
    </row>
    <row r="1725" spans="1:20" ht="12.5">
      <c r="A1725" s="6">
        <v>1723</v>
      </c>
      <c r="B1725" s="6">
        <v>4686</v>
      </c>
      <c r="C1725" s="6">
        <v>1962</v>
      </c>
      <c r="D1725" s="6">
        <f t="shared" si="104"/>
        <v>63</v>
      </c>
      <c r="E1725" s="7" t="s">
        <v>12</v>
      </c>
      <c r="F1725" s="7" t="s">
        <v>18</v>
      </c>
      <c r="G1725" s="6">
        <v>82571</v>
      </c>
      <c r="H1725" s="6" t="str" cm="1">
        <f t="array" ref="H1725">_xlfn.IFS(
  G1725 &lt; 25000, "Low",
  AND(G1725 &gt;= 25000, G1725 &lt; 75000), "Medium",
  AND(G1725 &gt;= 75000, G1725 &lt; 150000), "High",
  G1725 &gt;= 150000, "Very High"
)</f>
        <v>High</v>
      </c>
      <c r="I1725" s="6">
        <v>0</v>
      </c>
      <c r="J1725" s="6">
        <v>0</v>
      </c>
      <c r="K1725" s="6">
        <f t="shared" si="105"/>
        <v>0</v>
      </c>
      <c r="L1725" s="8">
        <v>41731</v>
      </c>
      <c r="M1725" t="str">
        <f t="shared" ca="1" si="106"/>
        <v>11 years, 11 months</v>
      </c>
      <c r="N1725" s="6">
        <v>28</v>
      </c>
      <c r="O1725">
        <v>31</v>
      </c>
      <c r="P1725">
        <v>95</v>
      </c>
      <c r="Q1725">
        <f t="shared" si="107"/>
        <v>126</v>
      </c>
      <c r="R1725">
        <v>6</v>
      </c>
      <c r="S1725">
        <v>13</v>
      </c>
      <c r="T1725">
        <f>Table[[#This Row],[NumWebPurchases]]+Table[[#This Row],[NumStorePurchases]]</f>
        <v>19</v>
      </c>
    </row>
    <row r="1726" spans="1:20" ht="12.5">
      <c r="A1726" s="6">
        <v>1724</v>
      </c>
      <c r="B1726" s="6">
        <v>1381</v>
      </c>
      <c r="C1726" s="6">
        <v>1982</v>
      </c>
      <c r="D1726" s="6">
        <f t="shared" si="104"/>
        <v>43</v>
      </c>
      <c r="E1726" s="7" t="s">
        <v>12</v>
      </c>
      <c r="F1726" s="7" t="s">
        <v>10</v>
      </c>
      <c r="G1726" s="6">
        <v>38513</v>
      </c>
      <c r="H1726" s="6" t="str" cm="1">
        <f t="array" ref="H1726">_xlfn.IFS(
  G1726 &lt; 25000, "Low",
  AND(G1726 &gt;= 25000, G1726 &lt; 75000), "Medium",
  AND(G1726 &gt;= 75000, G1726 &lt; 150000), "High",
  G1726 &gt;= 150000, "Very High"
)</f>
        <v>Medium</v>
      </c>
      <c r="I1726" s="6">
        <v>1</v>
      </c>
      <c r="J1726" s="6">
        <v>0</v>
      </c>
      <c r="K1726" s="6">
        <f t="shared" si="105"/>
        <v>1</v>
      </c>
      <c r="L1726" s="8">
        <v>41667</v>
      </c>
      <c r="M1726" t="str">
        <f t="shared" ca="1" si="106"/>
        <v>12 years, 1 months</v>
      </c>
      <c r="N1726" s="6">
        <v>20</v>
      </c>
      <c r="O1726">
        <v>3</v>
      </c>
      <c r="P1726">
        <v>0</v>
      </c>
      <c r="Q1726">
        <f t="shared" si="107"/>
        <v>3</v>
      </c>
      <c r="R1726">
        <v>6</v>
      </c>
      <c r="S1726">
        <v>5</v>
      </c>
      <c r="T1726">
        <f>Table[[#This Row],[NumWebPurchases]]+Table[[#This Row],[NumStorePurchases]]</f>
        <v>11</v>
      </c>
    </row>
    <row r="1727" spans="1:20" ht="12.5">
      <c r="A1727" s="6">
        <v>1725</v>
      </c>
      <c r="B1727" s="6">
        <v>2634</v>
      </c>
      <c r="C1727" s="6">
        <v>1979</v>
      </c>
      <c r="D1727" s="6">
        <f t="shared" si="104"/>
        <v>46</v>
      </c>
      <c r="E1727" s="7" t="s">
        <v>14</v>
      </c>
      <c r="F1727" s="7" t="s">
        <v>10</v>
      </c>
      <c r="G1727" s="6">
        <v>16653</v>
      </c>
      <c r="H1727" s="6" t="str" cm="1">
        <f t="array" ref="H1727">_xlfn.IFS(
  G1727 &lt; 25000, "Low",
  AND(G1727 &gt;= 25000, G1727 &lt; 75000), "Medium",
  AND(G1727 &gt;= 75000, G1727 &lt; 150000), "High",
  G1727 &gt;= 150000, "Very High"
)</f>
        <v>Low</v>
      </c>
      <c r="I1727" s="6">
        <v>1</v>
      </c>
      <c r="J1727" s="6">
        <v>0</v>
      </c>
      <c r="K1727" s="6">
        <f t="shared" si="105"/>
        <v>1</v>
      </c>
      <c r="L1727" s="8">
        <v>41747</v>
      </c>
      <c r="M1727" t="str">
        <f t="shared" ca="1" si="106"/>
        <v>11 years, 10 months</v>
      </c>
      <c r="N1727" s="6">
        <v>10</v>
      </c>
      <c r="O1727">
        <v>7</v>
      </c>
      <c r="P1727">
        <v>4</v>
      </c>
      <c r="Q1727">
        <f t="shared" si="107"/>
        <v>11</v>
      </c>
      <c r="R1727">
        <v>2</v>
      </c>
      <c r="S1727">
        <v>3</v>
      </c>
      <c r="T1727">
        <f>Table[[#This Row],[NumWebPurchases]]+Table[[#This Row],[NumStorePurchases]]</f>
        <v>5</v>
      </c>
    </row>
    <row r="1728" spans="1:20" ht="12.5">
      <c r="A1728" s="6">
        <v>1726</v>
      </c>
      <c r="B1728" s="6">
        <v>10905</v>
      </c>
      <c r="C1728" s="6">
        <v>1955</v>
      </c>
      <c r="D1728" s="6">
        <f t="shared" si="104"/>
        <v>70</v>
      </c>
      <c r="E1728" s="7" t="s">
        <v>9</v>
      </c>
      <c r="F1728" s="7" t="s">
        <v>11</v>
      </c>
      <c r="G1728" s="6">
        <v>42586</v>
      </c>
      <c r="H1728" s="6" t="str" cm="1">
        <f t="array" ref="H1728">_xlfn.IFS(
  G1728 &lt; 25000, "Low",
  AND(G1728 &gt;= 25000, G1728 &lt; 75000), "Medium",
  AND(G1728 &gt;= 75000, G1728 &lt; 150000), "High",
  G1728 &gt;= 150000, "Very High"
)</f>
        <v>Medium</v>
      </c>
      <c r="I1728" s="6">
        <v>1</v>
      </c>
      <c r="J1728" s="6">
        <v>1</v>
      </c>
      <c r="K1728" s="6">
        <f t="shared" si="105"/>
        <v>2</v>
      </c>
      <c r="L1728" s="9">
        <v>41211</v>
      </c>
      <c r="M1728" t="str">
        <f t="shared" ca="1" si="106"/>
        <v>13 years, 4 months</v>
      </c>
      <c r="N1728" s="6">
        <v>7</v>
      </c>
      <c r="O1728">
        <v>2</v>
      </c>
      <c r="P1728">
        <v>0</v>
      </c>
      <c r="Q1728">
        <f t="shared" si="107"/>
        <v>2</v>
      </c>
      <c r="R1728">
        <v>4</v>
      </c>
      <c r="S1728">
        <v>6</v>
      </c>
      <c r="T1728">
        <f>Table[[#This Row],[NumWebPurchases]]+Table[[#This Row],[NumStorePurchases]]</f>
        <v>10</v>
      </c>
    </row>
    <row r="1729" spans="1:20" ht="12.5">
      <c r="A1729" s="6">
        <v>1727</v>
      </c>
      <c r="B1729" s="6">
        <v>1744</v>
      </c>
      <c r="C1729" s="6">
        <v>1965</v>
      </c>
      <c r="D1729" s="6">
        <f t="shared" si="104"/>
        <v>60</v>
      </c>
      <c r="E1729" s="7" t="s">
        <v>16</v>
      </c>
      <c r="F1729" s="7" t="s">
        <v>10</v>
      </c>
      <c r="G1729" s="6">
        <v>23529</v>
      </c>
      <c r="H1729" s="6" t="str" cm="1">
        <f t="array" ref="H1729">_xlfn.IFS(
  G1729 &lt; 25000, "Low",
  AND(G1729 &gt;= 25000, G1729 &lt; 75000), "Medium",
  AND(G1729 &gt;= 75000, G1729 &lt; 150000), "High",
  G1729 &gt;= 150000, "Very High"
)</f>
        <v>Low</v>
      </c>
      <c r="I1729" s="6">
        <v>0</v>
      </c>
      <c r="J1729" s="6">
        <v>1</v>
      </c>
      <c r="K1729" s="6">
        <f t="shared" si="105"/>
        <v>1</v>
      </c>
      <c r="L1729" s="8">
        <v>41281</v>
      </c>
      <c r="M1729" t="str">
        <f t="shared" ca="1" si="106"/>
        <v>13 years, 1 months</v>
      </c>
      <c r="N1729" s="6">
        <v>67</v>
      </c>
      <c r="O1729">
        <v>7</v>
      </c>
      <c r="P1729">
        <v>2</v>
      </c>
      <c r="Q1729">
        <f t="shared" si="107"/>
        <v>9</v>
      </c>
      <c r="R1729">
        <v>1</v>
      </c>
      <c r="S1729">
        <v>2</v>
      </c>
      <c r="T1729">
        <f>Table[[#This Row],[NumWebPurchases]]+Table[[#This Row],[NumStorePurchases]]</f>
        <v>3</v>
      </c>
    </row>
    <row r="1730" spans="1:20" ht="12.5">
      <c r="A1730" s="6">
        <v>1728</v>
      </c>
      <c r="B1730" s="6">
        <v>1000</v>
      </c>
      <c r="C1730" s="6">
        <v>1961</v>
      </c>
      <c r="D1730" s="6">
        <f t="shared" si="104"/>
        <v>64</v>
      </c>
      <c r="E1730" s="7" t="s">
        <v>14</v>
      </c>
      <c r="F1730" s="7" t="s">
        <v>11</v>
      </c>
      <c r="G1730" s="6">
        <v>74881</v>
      </c>
      <c r="H1730" s="6" t="str" cm="1">
        <f t="array" ref="H1730">_xlfn.IFS(
  G1730 &lt; 25000, "Low",
  AND(G1730 &gt;= 25000, G1730 &lt; 75000), "Medium",
  AND(G1730 &gt;= 75000, G1730 &lt; 150000), "High",
  G1730 &gt;= 150000, "Very High"
)</f>
        <v>Medium</v>
      </c>
      <c r="I1730" s="6">
        <v>1</v>
      </c>
      <c r="J1730" s="6">
        <v>1</v>
      </c>
      <c r="K1730" s="6">
        <f t="shared" si="105"/>
        <v>2</v>
      </c>
      <c r="L1730" s="8">
        <v>41341</v>
      </c>
      <c r="M1730" t="str">
        <f t="shared" ca="1" si="106"/>
        <v>12 years, 11 months</v>
      </c>
      <c r="N1730" s="6">
        <v>48</v>
      </c>
      <c r="O1730">
        <v>72</v>
      </c>
      <c r="P1730">
        <v>27</v>
      </c>
      <c r="Q1730">
        <f t="shared" si="107"/>
        <v>99</v>
      </c>
      <c r="R1730">
        <v>9</v>
      </c>
      <c r="S1730">
        <v>12</v>
      </c>
      <c r="T1730">
        <f>Table[[#This Row],[NumWebPurchases]]+Table[[#This Row],[NumStorePurchases]]</f>
        <v>21</v>
      </c>
    </row>
    <row r="1731" spans="1:20" ht="12.5">
      <c r="A1731" s="6">
        <v>1729</v>
      </c>
      <c r="B1731" s="6">
        <v>3828</v>
      </c>
      <c r="C1731" s="6">
        <v>1951</v>
      </c>
      <c r="D1731" s="6">
        <f t="shared" ref="D1731:D1794" si="108">2025-C1731</f>
        <v>74</v>
      </c>
      <c r="E1731" s="7" t="s">
        <v>9</v>
      </c>
      <c r="F1731" s="7" t="s">
        <v>13</v>
      </c>
      <c r="G1731" s="6">
        <v>71107</v>
      </c>
      <c r="H1731" s="6" t="str" cm="1">
        <f t="array" ref="H1731">_xlfn.IFS(
  G1731 &lt; 25000, "Low",
  AND(G1731 &gt;= 25000, G1731 &lt; 75000), "Medium",
  AND(G1731 &gt;= 75000, G1731 &lt; 150000), "High",
  G1731 &gt;= 150000, "Very High"
)</f>
        <v>Medium</v>
      </c>
      <c r="I1731" s="6">
        <v>0</v>
      </c>
      <c r="J1731" s="6">
        <v>1</v>
      </c>
      <c r="K1731" s="6">
        <f t="shared" ref="K1731:K1794" si="109">I1731+J1731</f>
        <v>1</v>
      </c>
      <c r="L1731" s="8">
        <v>41322</v>
      </c>
      <c r="M1731" t="str">
        <f t="shared" ref="M1731:M1794" ca="1" si="110">DATEDIF(L1731, TODAY(), "Y") &amp; " years, " &amp; DATEDIF(L1731, TODAY(), "YM") &amp; " months"</f>
        <v>13 years, 0 months</v>
      </c>
      <c r="N1731" s="6">
        <v>61</v>
      </c>
      <c r="O1731">
        <v>10</v>
      </c>
      <c r="P1731">
        <v>174</v>
      </c>
      <c r="Q1731">
        <f t="shared" ref="Q1731:Q1794" si="111">O1731+P1731</f>
        <v>184</v>
      </c>
      <c r="R1731">
        <v>7</v>
      </c>
      <c r="S1731">
        <v>13</v>
      </c>
      <c r="T1731">
        <f>Table[[#This Row],[NumWebPurchases]]+Table[[#This Row],[NumStorePurchases]]</f>
        <v>20</v>
      </c>
    </row>
    <row r="1732" spans="1:20" ht="12.5">
      <c r="A1732" s="6">
        <v>1730</v>
      </c>
      <c r="B1732" s="6">
        <v>8605</v>
      </c>
      <c r="C1732" s="6">
        <v>1964</v>
      </c>
      <c r="D1732" s="6">
        <f t="shared" si="108"/>
        <v>61</v>
      </c>
      <c r="E1732" s="7" t="s">
        <v>12</v>
      </c>
      <c r="F1732" s="7" t="s">
        <v>11</v>
      </c>
      <c r="G1732" s="6">
        <v>46910</v>
      </c>
      <c r="H1732" s="6" t="str" cm="1">
        <f t="array" ref="H1732">_xlfn.IFS(
  G1732 &lt; 25000, "Low",
  AND(G1732 &gt;= 25000, G1732 &lt; 75000), "Medium",
  AND(G1732 &gt;= 75000, G1732 &lt; 150000), "High",
  G1732 &gt;= 150000, "Very High"
)</f>
        <v>Medium</v>
      </c>
      <c r="I1732" s="6">
        <v>1</v>
      </c>
      <c r="J1732" s="6">
        <v>1</v>
      </c>
      <c r="K1732" s="6">
        <f t="shared" si="109"/>
        <v>2</v>
      </c>
      <c r="L1732" s="8">
        <v>41721</v>
      </c>
      <c r="M1732" t="str">
        <f t="shared" ca="1" si="110"/>
        <v>11 years, 11 months</v>
      </c>
      <c r="N1732" s="6">
        <v>36</v>
      </c>
      <c r="O1732">
        <v>0</v>
      </c>
      <c r="P1732">
        <v>0</v>
      </c>
      <c r="Q1732">
        <f t="shared" si="111"/>
        <v>0</v>
      </c>
      <c r="R1732">
        <v>2</v>
      </c>
      <c r="S1732">
        <v>3</v>
      </c>
      <c r="T1732">
        <f>Table[[#This Row],[NumWebPurchases]]+Table[[#This Row],[NumStorePurchases]]</f>
        <v>5</v>
      </c>
    </row>
    <row r="1733" spans="1:20" ht="12.5">
      <c r="A1733" s="6">
        <v>1731</v>
      </c>
      <c r="B1733" s="6">
        <v>10304</v>
      </c>
      <c r="C1733" s="6">
        <v>1959</v>
      </c>
      <c r="D1733" s="6">
        <f t="shared" si="108"/>
        <v>66</v>
      </c>
      <c r="E1733" s="7" t="s">
        <v>9</v>
      </c>
      <c r="F1733" s="7" t="s">
        <v>13</v>
      </c>
      <c r="G1733" s="6">
        <v>18690</v>
      </c>
      <c r="H1733" s="6" t="str" cm="1">
        <f t="array" ref="H1733">_xlfn.IFS(
  G1733 &lt; 25000, "Low",
  AND(G1733 &gt;= 25000, G1733 &lt; 75000), "Medium",
  AND(G1733 &gt;= 75000, G1733 &lt; 150000), "High",
  G1733 &gt;= 150000, "Very High"
)</f>
        <v>Low</v>
      </c>
      <c r="I1733" s="6">
        <v>0</v>
      </c>
      <c r="J1733" s="6">
        <v>0</v>
      </c>
      <c r="K1733" s="6">
        <f t="shared" si="109"/>
        <v>0</v>
      </c>
      <c r="L1733" s="9">
        <v>41271</v>
      </c>
      <c r="M1733" t="str">
        <f t="shared" ca="1" si="110"/>
        <v>13 years, 2 months</v>
      </c>
      <c r="N1733" s="6">
        <v>77</v>
      </c>
      <c r="O1733">
        <v>1</v>
      </c>
      <c r="P1733">
        <v>4</v>
      </c>
      <c r="Q1733">
        <f t="shared" si="111"/>
        <v>5</v>
      </c>
      <c r="R1733">
        <v>1</v>
      </c>
      <c r="S1733">
        <v>2</v>
      </c>
      <c r="T1733">
        <f>Table[[#This Row],[NumWebPurchases]]+Table[[#This Row],[NumStorePurchases]]</f>
        <v>3</v>
      </c>
    </row>
    <row r="1734" spans="1:20" ht="12.5">
      <c r="A1734" s="6">
        <v>1732</v>
      </c>
      <c r="B1734" s="6">
        <v>4351</v>
      </c>
      <c r="C1734" s="6">
        <v>1955</v>
      </c>
      <c r="D1734" s="6">
        <f t="shared" si="108"/>
        <v>70</v>
      </c>
      <c r="E1734" s="7" t="s">
        <v>9</v>
      </c>
      <c r="F1734" s="7" t="s">
        <v>15</v>
      </c>
      <c r="G1734" s="6">
        <v>37244</v>
      </c>
      <c r="H1734" s="6" t="str" cm="1">
        <f t="array" ref="H1734">_xlfn.IFS(
  G1734 &lt; 25000, "Low",
  AND(G1734 &gt;= 25000, G1734 &lt; 75000), "Medium",
  AND(G1734 &gt;= 75000, G1734 &lt; 150000), "High",
  G1734 &gt;= 150000, "Very High"
)</f>
        <v>Medium</v>
      </c>
      <c r="I1734" s="6">
        <v>1</v>
      </c>
      <c r="J1734" s="6">
        <v>1</v>
      </c>
      <c r="K1734" s="6">
        <f t="shared" si="109"/>
        <v>2</v>
      </c>
      <c r="L1734" s="8">
        <v>41391</v>
      </c>
      <c r="M1734" t="str">
        <f t="shared" ca="1" si="110"/>
        <v>12 years, 10 months</v>
      </c>
      <c r="N1734" s="6">
        <v>90</v>
      </c>
      <c r="O1734">
        <v>2</v>
      </c>
      <c r="P1734">
        <v>0</v>
      </c>
      <c r="Q1734">
        <f t="shared" si="111"/>
        <v>2</v>
      </c>
      <c r="R1734">
        <v>1</v>
      </c>
      <c r="S1734">
        <v>2</v>
      </c>
      <c r="T1734">
        <f>Table[[#This Row],[NumWebPurchases]]+Table[[#This Row],[NumStorePurchases]]</f>
        <v>3</v>
      </c>
    </row>
    <row r="1735" spans="1:20" ht="12.5">
      <c r="A1735" s="6">
        <v>1733</v>
      </c>
      <c r="B1735" s="6">
        <v>10129</v>
      </c>
      <c r="C1735" s="6">
        <v>1966</v>
      </c>
      <c r="D1735" s="6">
        <f t="shared" si="108"/>
        <v>59</v>
      </c>
      <c r="E1735" s="7" t="s">
        <v>9</v>
      </c>
      <c r="F1735" s="7" t="s">
        <v>11</v>
      </c>
      <c r="G1735" s="6">
        <v>82427</v>
      </c>
      <c r="H1735" s="6" t="str" cm="1">
        <f t="array" ref="H1735">_xlfn.IFS(
  G1735 &lt; 25000, "Low",
  AND(G1735 &gt;= 25000, G1735 &lt; 75000), "Medium",
  AND(G1735 &gt;= 75000, G1735 &lt; 150000), "High",
  G1735 &gt;= 150000, "Very High"
)</f>
        <v>High</v>
      </c>
      <c r="I1735" s="6">
        <v>0</v>
      </c>
      <c r="J1735" s="6">
        <v>0</v>
      </c>
      <c r="K1735" s="6">
        <f t="shared" si="109"/>
        <v>0</v>
      </c>
      <c r="L1735" s="8">
        <v>41710</v>
      </c>
      <c r="M1735" t="str">
        <f t="shared" ca="1" si="110"/>
        <v>11 years, 11 months</v>
      </c>
      <c r="N1735" s="6">
        <v>35</v>
      </c>
      <c r="O1735">
        <v>147</v>
      </c>
      <c r="P1735">
        <v>107</v>
      </c>
      <c r="Q1735">
        <f t="shared" si="111"/>
        <v>254</v>
      </c>
      <c r="R1735">
        <v>3</v>
      </c>
      <c r="S1735">
        <v>12</v>
      </c>
      <c r="T1735">
        <f>Table[[#This Row],[NumWebPurchases]]+Table[[#This Row],[NumStorePurchases]]</f>
        <v>15</v>
      </c>
    </row>
    <row r="1736" spans="1:20" ht="12.5">
      <c r="A1736" s="6">
        <v>1734</v>
      </c>
      <c r="B1736" s="6">
        <v>2499</v>
      </c>
      <c r="C1736" s="6">
        <v>1958</v>
      </c>
      <c r="D1736" s="6">
        <f t="shared" si="108"/>
        <v>67</v>
      </c>
      <c r="E1736" s="7" t="s">
        <v>17</v>
      </c>
      <c r="F1736" s="7" t="s">
        <v>10</v>
      </c>
      <c r="G1736" s="6">
        <v>75342</v>
      </c>
      <c r="H1736" s="6" t="str" cm="1">
        <f t="array" ref="H1736">_xlfn.IFS(
  G1736 &lt; 25000, "Low",
  AND(G1736 &gt;= 25000, G1736 &lt; 75000), "Medium",
  AND(G1736 &gt;= 75000, G1736 &lt; 150000), "High",
  G1736 &gt;= 150000, "Very High"
)</f>
        <v>High</v>
      </c>
      <c r="I1736" s="6">
        <v>0</v>
      </c>
      <c r="J1736" s="6">
        <v>1</v>
      </c>
      <c r="K1736" s="6">
        <f t="shared" si="109"/>
        <v>1</v>
      </c>
      <c r="L1736" s="8">
        <v>41400</v>
      </c>
      <c r="M1736" t="str">
        <f t="shared" ca="1" si="110"/>
        <v>12 years, 10 months</v>
      </c>
      <c r="N1736" s="6">
        <v>38</v>
      </c>
      <c r="O1736">
        <v>97</v>
      </c>
      <c r="P1736">
        <v>118</v>
      </c>
      <c r="Q1736">
        <f t="shared" si="111"/>
        <v>215</v>
      </c>
      <c r="R1736">
        <v>5</v>
      </c>
      <c r="S1736">
        <v>10</v>
      </c>
      <c r="T1736">
        <f>Table[[#This Row],[NumWebPurchases]]+Table[[#This Row],[NumStorePurchases]]</f>
        <v>15</v>
      </c>
    </row>
    <row r="1737" spans="1:20" ht="12.5">
      <c r="A1737" s="6">
        <v>1735</v>
      </c>
      <c r="B1737" s="6">
        <v>10092</v>
      </c>
      <c r="C1737" s="6">
        <v>1954</v>
      </c>
      <c r="D1737" s="6">
        <f t="shared" si="108"/>
        <v>71</v>
      </c>
      <c r="E1737" s="7" t="s">
        <v>9</v>
      </c>
      <c r="F1737" s="7" t="s">
        <v>15</v>
      </c>
      <c r="G1737" s="6">
        <v>70044</v>
      </c>
      <c r="H1737" s="6" t="str" cm="1">
        <f t="array" ref="H1737">_xlfn.IFS(
  G1737 &lt; 25000, "Low",
  AND(G1737 &gt;= 25000, G1737 &lt; 75000), "Medium",
  AND(G1737 &gt;= 75000, G1737 &lt; 150000), "High",
  G1737 &gt;= 150000, "Very High"
)</f>
        <v>Medium</v>
      </c>
      <c r="I1737" s="6">
        <v>0</v>
      </c>
      <c r="J1737" s="6">
        <v>1</v>
      </c>
      <c r="K1737" s="6">
        <f t="shared" si="109"/>
        <v>1</v>
      </c>
      <c r="L1737" s="8">
        <v>41323</v>
      </c>
      <c r="M1737" t="str">
        <f t="shared" ca="1" si="110"/>
        <v>13 years, 0 months</v>
      </c>
      <c r="N1737" s="6">
        <v>46</v>
      </c>
      <c r="O1737">
        <v>0</v>
      </c>
      <c r="P1737">
        <v>14</v>
      </c>
      <c r="Q1737">
        <f t="shared" si="111"/>
        <v>14</v>
      </c>
      <c r="R1737">
        <v>7</v>
      </c>
      <c r="S1737">
        <v>5</v>
      </c>
      <c r="T1737">
        <f>Table[[#This Row],[NumWebPurchases]]+Table[[#This Row],[NumStorePurchases]]</f>
        <v>12</v>
      </c>
    </row>
    <row r="1738" spans="1:20" ht="12.5">
      <c r="A1738" s="6">
        <v>1736</v>
      </c>
      <c r="B1738" s="6">
        <v>7500</v>
      </c>
      <c r="C1738" s="6">
        <v>1967</v>
      </c>
      <c r="D1738" s="6">
        <f t="shared" si="108"/>
        <v>58</v>
      </c>
      <c r="E1738" s="7" t="s">
        <v>9</v>
      </c>
      <c r="F1738" s="7" t="s">
        <v>10</v>
      </c>
      <c r="G1738" s="6">
        <v>79146</v>
      </c>
      <c r="H1738" s="6" t="str" cm="1">
        <f t="array" ref="H1738">_xlfn.IFS(
  G1738 &lt; 25000, "Low",
  AND(G1738 &gt;= 25000, G1738 &lt; 75000), "Medium",
  AND(G1738 &gt;= 75000, G1738 &lt; 150000), "High",
  G1738 &gt;= 150000, "Very High"
)</f>
        <v>High</v>
      </c>
      <c r="I1738" s="6">
        <v>1</v>
      </c>
      <c r="J1738" s="6">
        <v>1</v>
      </c>
      <c r="K1738" s="6">
        <f t="shared" si="109"/>
        <v>2</v>
      </c>
      <c r="L1738" s="8">
        <v>41753</v>
      </c>
      <c r="M1738" t="str">
        <f t="shared" ca="1" si="110"/>
        <v>11 years, 10 months</v>
      </c>
      <c r="N1738" s="6">
        <v>33</v>
      </c>
      <c r="O1738">
        <v>16</v>
      </c>
      <c r="P1738">
        <v>43</v>
      </c>
      <c r="Q1738">
        <f t="shared" si="111"/>
        <v>59</v>
      </c>
      <c r="R1738">
        <v>8</v>
      </c>
      <c r="S1738">
        <v>8</v>
      </c>
      <c r="T1738">
        <f>Table[[#This Row],[NumWebPurchases]]+Table[[#This Row],[NumStorePurchases]]</f>
        <v>16</v>
      </c>
    </row>
    <row r="1739" spans="1:20" ht="12.5">
      <c r="A1739" s="6">
        <v>1737</v>
      </c>
      <c r="B1739" s="6">
        <v>5796</v>
      </c>
      <c r="C1739" s="6">
        <v>1963</v>
      </c>
      <c r="D1739" s="6">
        <f t="shared" si="108"/>
        <v>62</v>
      </c>
      <c r="E1739" s="7" t="s">
        <v>9</v>
      </c>
      <c r="F1739" s="7" t="s">
        <v>13</v>
      </c>
      <c r="G1739" s="6">
        <v>77437</v>
      </c>
      <c r="H1739" s="6" t="str" cm="1">
        <f t="array" ref="H1739">_xlfn.IFS(
  G1739 &lt; 25000, "Low",
  AND(G1739 &gt;= 25000, G1739 &lt; 75000), "Medium",
  AND(G1739 &gt;= 75000, G1739 &lt; 150000), "High",
  G1739 &gt;= 150000, "Very High"
)</f>
        <v>High</v>
      </c>
      <c r="I1739" s="6">
        <v>0</v>
      </c>
      <c r="J1739" s="6">
        <v>0</v>
      </c>
      <c r="K1739" s="6">
        <f t="shared" si="109"/>
        <v>0</v>
      </c>
      <c r="L1739" s="9">
        <v>41604</v>
      </c>
      <c r="M1739" t="str">
        <f t="shared" ca="1" si="110"/>
        <v>12 years, 3 months</v>
      </c>
      <c r="N1739" s="6">
        <v>70</v>
      </c>
      <c r="O1739">
        <v>21</v>
      </c>
      <c r="P1739">
        <v>44</v>
      </c>
      <c r="Q1739">
        <f t="shared" si="111"/>
        <v>65</v>
      </c>
      <c r="R1739">
        <v>4</v>
      </c>
      <c r="S1739">
        <v>13</v>
      </c>
      <c r="T1739">
        <f>Table[[#This Row],[NumWebPurchases]]+Table[[#This Row],[NumStorePurchases]]</f>
        <v>17</v>
      </c>
    </row>
    <row r="1740" spans="1:20" ht="12.5">
      <c r="A1740" s="6">
        <v>1738</v>
      </c>
      <c r="B1740" s="6">
        <v>10556</v>
      </c>
      <c r="C1740" s="6">
        <v>1959</v>
      </c>
      <c r="D1740" s="6">
        <f t="shared" si="108"/>
        <v>66</v>
      </c>
      <c r="E1740" s="7" t="s">
        <v>9</v>
      </c>
      <c r="F1740" s="7" t="s">
        <v>13</v>
      </c>
      <c r="G1740" s="6">
        <v>54984</v>
      </c>
      <c r="H1740" s="6" t="str" cm="1">
        <f t="array" ref="H1740">_xlfn.IFS(
  G1740 &lt; 25000, "Low",
  AND(G1740 &gt;= 25000, G1740 &lt; 75000), "Medium",
  AND(G1740 &gt;= 75000, G1740 &lt; 150000), "High",
  G1740 &gt;= 150000, "Very High"
)</f>
        <v>Medium</v>
      </c>
      <c r="I1740" s="6">
        <v>0</v>
      </c>
      <c r="J1740" s="6">
        <v>1</v>
      </c>
      <c r="K1740" s="6">
        <f t="shared" si="109"/>
        <v>1</v>
      </c>
      <c r="L1740" s="8">
        <v>41783</v>
      </c>
      <c r="M1740" t="str">
        <f t="shared" ca="1" si="110"/>
        <v>11 years, 9 months</v>
      </c>
      <c r="N1740" s="6">
        <v>51</v>
      </c>
      <c r="O1740">
        <v>13</v>
      </c>
      <c r="P1740">
        <v>3</v>
      </c>
      <c r="Q1740">
        <f t="shared" si="111"/>
        <v>16</v>
      </c>
      <c r="R1740">
        <v>6</v>
      </c>
      <c r="S1740">
        <v>6</v>
      </c>
      <c r="T1740">
        <f>Table[[#This Row],[NumWebPurchases]]+Table[[#This Row],[NumStorePurchases]]</f>
        <v>12</v>
      </c>
    </row>
    <row r="1741" spans="1:20" ht="12.5">
      <c r="A1741" s="6">
        <v>1739</v>
      </c>
      <c r="B1741" s="6">
        <v>1064</v>
      </c>
      <c r="C1741" s="6">
        <v>1971</v>
      </c>
      <c r="D1741" s="6">
        <f t="shared" si="108"/>
        <v>54</v>
      </c>
      <c r="E1741" s="7" t="s">
        <v>12</v>
      </c>
      <c r="F1741" s="7" t="s">
        <v>13</v>
      </c>
      <c r="G1741" s="6">
        <v>42403</v>
      </c>
      <c r="H1741" s="6" t="str" cm="1">
        <f t="array" ref="H1741">_xlfn.IFS(
  G1741 &lt; 25000, "Low",
  AND(G1741 &gt;= 25000, G1741 &lt; 75000), "Medium",
  AND(G1741 &gt;= 75000, G1741 &lt; 150000), "High",
  G1741 &gt;= 150000, "Very High"
)</f>
        <v>Medium</v>
      </c>
      <c r="I1741" s="6">
        <v>1</v>
      </c>
      <c r="J1741" s="6">
        <v>0</v>
      </c>
      <c r="K1741" s="6">
        <f t="shared" si="109"/>
        <v>1</v>
      </c>
      <c r="L1741" s="9">
        <v>41619</v>
      </c>
      <c r="M1741" t="str">
        <f t="shared" ca="1" si="110"/>
        <v>12 years, 2 months</v>
      </c>
      <c r="N1741" s="6">
        <v>18</v>
      </c>
      <c r="O1741">
        <v>1</v>
      </c>
      <c r="P1741">
        <v>5</v>
      </c>
      <c r="Q1741">
        <f t="shared" si="111"/>
        <v>6</v>
      </c>
      <c r="R1741">
        <v>1</v>
      </c>
      <c r="S1741">
        <v>3</v>
      </c>
      <c r="T1741">
        <f>Table[[#This Row],[NumWebPurchases]]+Table[[#This Row],[NumStorePurchases]]</f>
        <v>4</v>
      </c>
    </row>
    <row r="1742" spans="1:20" ht="12.5">
      <c r="A1742" s="6">
        <v>1740</v>
      </c>
      <c r="B1742" s="6">
        <v>48</v>
      </c>
      <c r="C1742" s="6">
        <v>1964</v>
      </c>
      <c r="D1742" s="6">
        <f t="shared" si="108"/>
        <v>61</v>
      </c>
      <c r="E1742" s="7" t="s">
        <v>9</v>
      </c>
      <c r="F1742" s="7" t="s">
        <v>11</v>
      </c>
      <c r="G1742" s="6">
        <v>55761</v>
      </c>
      <c r="H1742" s="6" t="str" cm="1">
        <f t="array" ref="H1742">_xlfn.IFS(
  G1742 &lt; 25000, "Low",
  AND(G1742 &gt;= 25000, G1742 &lt; 75000), "Medium",
  AND(G1742 &gt;= 75000, G1742 &lt; 150000), "High",
  G1742 &gt;= 150000, "Very High"
)</f>
        <v>Medium</v>
      </c>
      <c r="I1742" s="6">
        <v>0</v>
      </c>
      <c r="J1742" s="6">
        <v>1</v>
      </c>
      <c r="K1742" s="6">
        <f t="shared" si="109"/>
        <v>1</v>
      </c>
      <c r="L1742" s="8">
        <v>41753</v>
      </c>
      <c r="M1742" t="str">
        <f t="shared" ca="1" si="110"/>
        <v>11 years, 10 months</v>
      </c>
      <c r="N1742" s="6">
        <v>97</v>
      </c>
      <c r="O1742">
        <v>1</v>
      </c>
      <c r="P1742">
        <v>3</v>
      </c>
      <c r="Q1742">
        <f t="shared" si="111"/>
        <v>4</v>
      </c>
      <c r="R1742">
        <v>4</v>
      </c>
      <c r="S1742">
        <v>3</v>
      </c>
      <c r="T1742">
        <f>Table[[#This Row],[NumWebPurchases]]+Table[[#This Row],[NumStorePurchases]]</f>
        <v>7</v>
      </c>
    </row>
    <row r="1743" spans="1:20" ht="12.5">
      <c r="A1743" s="6">
        <v>1741</v>
      </c>
      <c r="B1743" s="6">
        <v>7610</v>
      </c>
      <c r="C1743" s="6">
        <v>1983</v>
      </c>
      <c r="D1743" s="6">
        <f t="shared" si="108"/>
        <v>42</v>
      </c>
      <c r="E1743" s="7" t="s">
        <v>9</v>
      </c>
      <c r="F1743" s="7" t="s">
        <v>11</v>
      </c>
      <c r="G1743" s="6">
        <v>37292</v>
      </c>
      <c r="H1743" s="6" t="str" cm="1">
        <f t="array" ref="H1743">_xlfn.IFS(
  G1743 &lt; 25000, "Low",
  AND(G1743 &gt;= 25000, G1743 &lt; 75000), "Medium",
  AND(G1743 &gt;= 75000, G1743 &lt; 150000), "High",
  G1743 &gt;= 150000, "Very High"
)</f>
        <v>Medium</v>
      </c>
      <c r="I1743" s="6">
        <v>1</v>
      </c>
      <c r="J1743" s="6">
        <v>0</v>
      </c>
      <c r="K1743" s="6">
        <f t="shared" si="109"/>
        <v>1</v>
      </c>
      <c r="L1743" s="8">
        <v>41382</v>
      </c>
      <c r="M1743" t="str">
        <f t="shared" ca="1" si="110"/>
        <v>12 years, 10 months</v>
      </c>
      <c r="N1743" s="6">
        <v>32</v>
      </c>
      <c r="O1743">
        <v>0</v>
      </c>
      <c r="P1743">
        <v>23</v>
      </c>
      <c r="Q1743">
        <f t="shared" si="111"/>
        <v>23</v>
      </c>
      <c r="R1743">
        <v>6</v>
      </c>
      <c r="S1743">
        <v>5</v>
      </c>
      <c r="T1743">
        <f>Table[[#This Row],[NumWebPurchases]]+Table[[#This Row],[NumStorePurchases]]</f>
        <v>11</v>
      </c>
    </row>
    <row r="1744" spans="1:20" ht="12.5">
      <c r="A1744" s="6">
        <v>1742</v>
      </c>
      <c r="B1744" s="6">
        <v>263</v>
      </c>
      <c r="C1744" s="6">
        <v>1945</v>
      </c>
      <c r="D1744" s="6">
        <f t="shared" si="108"/>
        <v>80</v>
      </c>
      <c r="E1744" s="7" t="s">
        <v>12</v>
      </c>
      <c r="F1744" s="7" t="s">
        <v>10</v>
      </c>
      <c r="G1744" s="6">
        <v>45576</v>
      </c>
      <c r="H1744" s="6" t="str" cm="1">
        <f t="array" ref="H1744">_xlfn.IFS(
  G1744 &lt; 25000, "Low",
  AND(G1744 &gt;= 25000, G1744 &lt; 75000), "Medium",
  AND(G1744 &gt;= 75000, G1744 &lt; 150000), "High",
  G1744 &gt;= 150000, "Very High"
)</f>
        <v>Medium</v>
      </c>
      <c r="I1744" s="6">
        <v>0</v>
      </c>
      <c r="J1744" s="6">
        <v>0</v>
      </c>
      <c r="K1744" s="6">
        <f t="shared" si="109"/>
        <v>0</v>
      </c>
      <c r="L1744" s="8">
        <v>41787</v>
      </c>
      <c r="M1744" t="str">
        <f t="shared" ca="1" si="110"/>
        <v>11 years, 9 months</v>
      </c>
      <c r="N1744" s="6">
        <v>9</v>
      </c>
      <c r="O1744">
        <v>19</v>
      </c>
      <c r="P1744">
        <v>14</v>
      </c>
      <c r="Q1744">
        <f t="shared" si="111"/>
        <v>33</v>
      </c>
      <c r="R1744">
        <v>3</v>
      </c>
      <c r="S1744">
        <v>3</v>
      </c>
      <c r="T1744">
        <f>Table[[#This Row],[NumWebPurchases]]+Table[[#This Row],[NumStorePurchases]]</f>
        <v>6</v>
      </c>
    </row>
    <row r="1745" spans="1:20" ht="12.5">
      <c r="A1745" s="6">
        <v>1743</v>
      </c>
      <c r="B1745" s="6">
        <v>10814</v>
      </c>
      <c r="C1745" s="6">
        <v>1947</v>
      </c>
      <c r="D1745" s="6">
        <f t="shared" si="108"/>
        <v>78</v>
      </c>
      <c r="E1745" s="7" t="s">
        <v>9</v>
      </c>
      <c r="F1745" s="7" t="s">
        <v>11</v>
      </c>
      <c r="G1745" s="6">
        <v>70321</v>
      </c>
      <c r="H1745" s="6" t="str" cm="1">
        <f t="array" ref="H1745">_xlfn.IFS(
  G1745 &lt; 25000, "Low",
  AND(G1745 &gt;= 25000, G1745 &lt; 75000), "Medium",
  AND(G1745 &gt;= 75000, G1745 &lt; 150000), "High",
  G1745 &gt;= 150000, "Very High"
)</f>
        <v>Medium</v>
      </c>
      <c r="I1745" s="6">
        <v>0</v>
      </c>
      <c r="J1745" s="6">
        <v>0</v>
      </c>
      <c r="K1745" s="6">
        <f t="shared" si="109"/>
        <v>0</v>
      </c>
      <c r="L1745" s="8">
        <v>41290</v>
      </c>
      <c r="M1745" t="str">
        <f t="shared" ca="1" si="110"/>
        <v>13 years, 1 months</v>
      </c>
      <c r="N1745" s="6">
        <v>6</v>
      </c>
      <c r="O1745">
        <v>23</v>
      </c>
      <c r="P1745">
        <v>26</v>
      </c>
      <c r="Q1745">
        <f t="shared" si="111"/>
        <v>49</v>
      </c>
      <c r="R1745">
        <v>6</v>
      </c>
      <c r="S1745">
        <v>13</v>
      </c>
      <c r="T1745">
        <f>Table[[#This Row],[NumWebPurchases]]+Table[[#This Row],[NumStorePurchases]]</f>
        <v>19</v>
      </c>
    </row>
    <row r="1746" spans="1:20" ht="12.5">
      <c r="A1746" s="6">
        <v>1744</v>
      </c>
      <c r="B1746" s="6">
        <v>9710</v>
      </c>
      <c r="C1746" s="6">
        <v>1969</v>
      </c>
      <c r="D1746" s="6">
        <f t="shared" si="108"/>
        <v>56</v>
      </c>
      <c r="E1746" s="7" t="s">
        <v>12</v>
      </c>
      <c r="F1746" s="7" t="s">
        <v>15</v>
      </c>
      <c r="G1746" s="6">
        <v>58086</v>
      </c>
      <c r="H1746" s="6" t="str" cm="1">
        <f t="array" ref="H1746">_xlfn.IFS(
  G1746 &lt; 25000, "Low",
  AND(G1746 &gt;= 25000, G1746 &lt; 75000), "Medium",
  AND(G1746 &gt;= 75000, G1746 &lt; 150000), "High",
  G1746 &gt;= 150000, "Very High"
)</f>
        <v>Medium</v>
      </c>
      <c r="I1746" s="6">
        <v>0</v>
      </c>
      <c r="J1746" s="6">
        <v>1</v>
      </c>
      <c r="K1746" s="6">
        <f t="shared" si="109"/>
        <v>1</v>
      </c>
      <c r="L1746" s="8">
        <v>41294</v>
      </c>
      <c r="M1746" t="str">
        <f t="shared" ca="1" si="110"/>
        <v>13 years, 1 months</v>
      </c>
      <c r="N1746" s="6">
        <v>80</v>
      </c>
      <c r="O1746">
        <v>7</v>
      </c>
      <c r="P1746">
        <v>0</v>
      </c>
      <c r="Q1746">
        <f t="shared" si="111"/>
        <v>7</v>
      </c>
      <c r="R1746">
        <v>11</v>
      </c>
      <c r="S1746">
        <v>7</v>
      </c>
      <c r="T1746">
        <f>Table[[#This Row],[NumWebPurchases]]+Table[[#This Row],[NumStorePurchases]]</f>
        <v>18</v>
      </c>
    </row>
    <row r="1747" spans="1:20" ht="12.5">
      <c r="A1747" s="6">
        <v>1745</v>
      </c>
      <c r="B1747" s="6">
        <v>9292</v>
      </c>
      <c r="C1747" s="6">
        <v>1952</v>
      </c>
      <c r="D1747" s="6">
        <f t="shared" si="108"/>
        <v>73</v>
      </c>
      <c r="E1747" s="7" t="s">
        <v>9</v>
      </c>
      <c r="F1747" s="7" t="s">
        <v>13</v>
      </c>
      <c r="G1747" s="6">
        <v>81795</v>
      </c>
      <c r="H1747" s="6" t="str" cm="1">
        <f t="array" ref="H1747">_xlfn.IFS(
  G1747 &lt; 25000, "Low",
  AND(G1747 &gt;= 25000, G1747 &lt; 75000), "Medium",
  AND(G1747 &gt;= 75000, G1747 &lt; 150000), "High",
  G1747 &gt;= 150000, "Very High"
)</f>
        <v>High</v>
      </c>
      <c r="I1747" s="6">
        <v>0</v>
      </c>
      <c r="J1747" s="6">
        <v>0</v>
      </c>
      <c r="K1747" s="6">
        <f t="shared" si="109"/>
        <v>0</v>
      </c>
      <c r="L1747" s="9">
        <v>41208</v>
      </c>
      <c r="M1747" t="str">
        <f t="shared" ca="1" si="110"/>
        <v>13 years, 4 months</v>
      </c>
      <c r="N1747" s="6">
        <v>74</v>
      </c>
      <c r="O1747">
        <v>132</v>
      </c>
      <c r="P1747">
        <v>118</v>
      </c>
      <c r="Q1747">
        <f t="shared" si="111"/>
        <v>250</v>
      </c>
      <c r="R1747">
        <v>4</v>
      </c>
      <c r="S1747">
        <v>7</v>
      </c>
      <c r="T1747">
        <f>Table[[#This Row],[NumWebPurchases]]+Table[[#This Row],[NumStorePurchases]]</f>
        <v>11</v>
      </c>
    </row>
    <row r="1748" spans="1:20" ht="12.5">
      <c r="A1748" s="6">
        <v>1746</v>
      </c>
      <c r="B1748" s="6">
        <v>10250</v>
      </c>
      <c r="C1748" s="6">
        <v>1947</v>
      </c>
      <c r="D1748" s="6">
        <f t="shared" si="108"/>
        <v>78</v>
      </c>
      <c r="E1748" s="7" t="s">
        <v>16</v>
      </c>
      <c r="F1748" s="7" t="s">
        <v>11</v>
      </c>
      <c r="G1748" s="6">
        <v>28389</v>
      </c>
      <c r="H1748" s="6" t="str" cm="1">
        <f t="array" ref="H1748">_xlfn.IFS(
  G1748 &lt; 25000, "Low",
  AND(G1748 &gt;= 25000, G1748 &lt; 75000), "Medium",
  AND(G1748 &gt;= 75000, G1748 &lt; 150000), "High",
  G1748 &gt;= 150000, "Very High"
)</f>
        <v>Medium</v>
      </c>
      <c r="I1748" s="6">
        <v>0</v>
      </c>
      <c r="J1748" s="6">
        <v>0</v>
      </c>
      <c r="K1748" s="6">
        <f t="shared" si="109"/>
        <v>0</v>
      </c>
      <c r="L1748" s="9">
        <v>41233</v>
      </c>
      <c r="M1748" t="str">
        <f t="shared" ca="1" si="110"/>
        <v>13 years, 3 months</v>
      </c>
      <c r="N1748" s="6">
        <v>49</v>
      </c>
      <c r="O1748">
        <v>5</v>
      </c>
      <c r="P1748">
        <v>4</v>
      </c>
      <c r="Q1748">
        <f t="shared" si="111"/>
        <v>9</v>
      </c>
      <c r="R1748">
        <v>1</v>
      </c>
      <c r="S1748">
        <v>2</v>
      </c>
      <c r="T1748">
        <f>Table[[#This Row],[NumWebPurchases]]+Table[[#This Row],[NumStorePurchases]]</f>
        <v>3</v>
      </c>
    </row>
    <row r="1749" spans="1:20" ht="12.5">
      <c r="A1749" s="6">
        <v>1747</v>
      </c>
      <c r="B1749" s="6">
        <v>7881</v>
      </c>
      <c r="C1749" s="6">
        <v>1946</v>
      </c>
      <c r="D1749" s="6">
        <f t="shared" si="108"/>
        <v>79</v>
      </c>
      <c r="E1749" s="7" t="s">
        <v>14</v>
      </c>
      <c r="F1749" s="7" t="s">
        <v>13</v>
      </c>
      <c r="G1749" s="6">
        <v>66835</v>
      </c>
      <c r="H1749" s="6" t="str" cm="1">
        <f t="array" ref="H1749">_xlfn.IFS(
  G1749 &lt; 25000, "Low",
  AND(G1749 &gt;= 25000, G1749 &lt; 75000), "Medium",
  AND(G1749 &gt;= 75000, G1749 &lt; 150000), "High",
  G1749 &gt;= 150000, "Very High"
)</f>
        <v>Medium</v>
      </c>
      <c r="I1749" s="6">
        <v>0</v>
      </c>
      <c r="J1749" s="6">
        <v>0</v>
      </c>
      <c r="K1749" s="6">
        <f t="shared" si="109"/>
        <v>0</v>
      </c>
      <c r="L1749" s="8">
        <v>41545</v>
      </c>
      <c r="M1749" t="str">
        <f t="shared" ca="1" si="110"/>
        <v>12 years, 5 months</v>
      </c>
      <c r="N1749" s="6">
        <v>21</v>
      </c>
      <c r="O1749">
        <v>26</v>
      </c>
      <c r="P1749">
        <v>17</v>
      </c>
      <c r="Q1749">
        <f t="shared" si="111"/>
        <v>43</v>
      </c>
      <c r="R1749">
        <v>6</v>
      </c>
      <c r="S1749">
        <v>13</v>
      </c>
      <c r="T1749">
        <f>Table[[#This Row],[NumWebPurchases]]+Table[[#This Row],[NumStorePurchases]]</f>
        <v>19</v>
      </c>
    </row>
    <row r="1750" spans="1:20" ht="12.5">
      <c r="A1750" s="6">
        <v>1748</v>
      </c>
      <c r="B1750" s="6">
        <v>5847</v>
      </c>
      <c r="C1750" s="6">
        <v>1969</v>
      </c>
      <c r="D1750" s="6">
        <f t="shared" si="108"/>
        <v>56</v>
      </c>
      <c r="E1750" s="7" t="s">
        <v>9</v>
      </c>
      <c r="F1750" s="7" t="s">
        <v>15</v>
      </c>
      <c r="G1750" s="6">
        <v>69901</v>
      </c>
      <c r="H1750" s="6" t="str" cm="1">
        <f t="array" ref="H1750">_xlfn.IFS(
  G1750 &lt; 25000, "Low",
  AND(G1750 &gt;= 25000, G1750 &lt; 75000), "Medium",
  AND(G1750 &gt;= 75000, G1750 &lt; 150000), "High",
  G1750 &gt;= 150000, "Very High"
)</f>
        <v>Medium</v>
      </c>
      <c r="I1750" s="6">
        <v>0</v>
      </c>
      <c r="J1750" s="6">
        <v>1</v>
      </c>
      <c r="K1750" s="6">
        <f t="shared" si="109"/>
        <v>1</v>
      </c>
      <c r="L1750" s="8">
        <v>41423</v>
      </c>
      <c r="M1750" t="str">
        <f t="shared" ca="1" si="110"/>
        <v>12 years, 9 months</v>
      </c>
      <c r="N1750" s="6">
        <v>95</v>
      </c>
      <c r="O1750">
        <v>21</v>
      </c>
      <c r="P1750">
        <v>92</v>
      </c>
      <c r="Q1750">
        <f t="shared" si="111"/>
        <v>113</v>
      </c>
      <c r="R1750">
        <v>7</v>
      </c>
      <c r="S1750">
        <v>10</v>
      </c>
      <c r="T1750">
        <f>Table[[#This Row],[NumWebPurchases]]+Table[[#This Row],[NumStorePurchases]]</f>
        <v>17</v>
      </c>
    </row>
    <row r="1751" spans="1:20" ht="12.5">
      <c r="A1751" s="6">
        <v>1749</v>
      </c>
      <c r="B1751" s="6">
        <v>737</v>
      </c>
      <c r="C1751" s="6">
        <v>1949</v>
      </c>
      <c r="D1751" s="6">
        <f t="shared" si="108"/>
        <v>76</v>
      </c>
      <c r="E1751" s="7" t="s">
        <v>12</v>
      </c>
      <c r="F1751" s="7" t="s">
        <v>13</v>
      </c>
      <c r="G1751" s="6">
        <v>80360</v>
      </c>
      <c r="H1751" s="6" t="str" cm="1">
        <f t="array" ref="H1751">_xlfn.IFS(
  G1751 &lt; 25000, "Low",
  AND(G1751 &gt;= 25000, G1751 &lt; 75000), "Medium",
  AND(G1751 &gt;= 75000, G1751 &lt; 150000), "High",
  G1751 &gt;= 150000, "Very High"
)</f>
        <v>High</v>
      </c>
      <c r="I1751" s="6">
        <v>0</v>
      </c>
      <c r="J1751" s="6">
        <v>0</v>
      </c>
      <c r="K1751" s="6">
        <f t="shared" si="109"/>
        <v>0</v>
      </c>
      <c r="L1751" s="8">
        <v>41336</v>
      </c>
      <c r="M1751" t="str">
        <f t="shared" ca="1" si="110"/>
        <v>13 years, 0 months</v>
      </c>
      <c r="N1751" s="6">
        <v>56</v>
      </c>
      <c r="O1751">
        <v>86</v>
      </c>
      <c r="P1751">
        <v>43</v>
      </c>
      <c r="Q1751">
        <f t="shared" si="111"/>
        <v>129</v>
      </c>
      <c r="R1751">
        <v>4</v>
      </c>
      <c r="S1751">
        <v>5</v>
      </c>
      <c r="T1751">
        <f>Table[[#This Row],[NumWebPurchases]]+Table[[#This Row],[NumStorePurchases]]</f>
        <v>9</v>
      </c>
    </row>
    <row r="1752" spans="1:20" ht="12.5">
      <c r="A1752" s="6">
        <v>1750</v>
      </c>
      <c r="B1752" s="6">
        <v>3571</v>
      </c>
      <c r="C1752" s="6">
        <v>1961</v>
      </c>
      <c r="D1752" s="6">
        <f t="shared" si="108"/>
        <v>64</v>
      </c>
      <c r="E1752" s="7" t="s">
        <v>12</v>
      </c>
      <c r="F1752" s="7" t="s">
        <v>11</v>
      </c>
      <c r="G1752" s="6">
        <v>63342</v>
      </c>
      <c r="H1752" s="6" t="str" cm="1">
        <f t="array" ref="H1752">_xlfn.IFS(
  G1752 &lt; 25000, "Low",
  AND(G1752 &gt;= 25000, G1752 &lt; 75000), "Medium",
  AND(G1752 &gt;= 75000, G1752 &lt; 150000), "High",
  G1752 &gt;= 150000, "Very High"
)</f>
        <v>Medium</v>
      </c>
      <c r="I1752" s="6">
        <v>0</v>
      </c>
      <c r="J1752" s="6">
        <v>1</v>
      </c>
      <c r="K1752" s="6">
        <f t="shared" si="109"/>
        <v>1</v>
      </c>
      <c r="L1752" s="9">
        <v>41198</v>
      </c>
      <c r="M1752" t="str">
        <f t="shared" ca="1" si="110"/>
        <v>13 years, 4 months</v>
      </c>
      <c r="N1752" s="6">
        <v>48</v>
      </c>
      <c r="O1752">
        <v>21</v>
      </c>
      <c r="P1752">
        <v>10</v>
      </c>
      <c r="Q1752">
        <f t="shared" si="111"/>
        <v>31</v>
      </c>
      <c r="R1752">
        <v>8</v>
      </c>
      <c r="S1752">
        <v>5</v>
      </c>
      <c r="T1752">
        <f>Table[[#This Row],[NumWebPurchases]]+Table[[#This Row],[NumStorePurchases]]</f>
        <v>13</v>
      </c>
    </row>
    <row r="1753" spans="1:20" ht="12.5">
      <c r="A1753" s="6">
        <v>1751</v>
      </c>
      <c r="B1753" s="6">
        <v>7807</v>
      </c>
      <c r="C1753" s="6">
        <v>1974</v>
      </c>
      <c r="D1753" s="6">
        <f t="shared" si="108"/>
        <v>51</v>
      </c>
      <c r="E1753" s="7" t="s">
        <v>9</v>
      </c>
      <c r="F1753" s="7" t="s">
        <v>13</v>
      </c>
      <c r="G1753" s="6">
        <v>44989</v>
      </c>
      <c r="H1753" s="6" t="str" cm="1">
        <f t="array" ref="H1753">_xlfn.IFS(
  G1753 &lt; 25000, "Low",
  AND(G1753 &gt;= 25000, G1753 &lt; 75000), "Medium",
  AND(G1753 &gt;= 75000, G1753 &lt; 150000), "High",
  G1753 &gt;= 150000, "Very High"
)</f>
        <v>Medium</v>
      </c>
      <c r="I1753" s="6">
        <v>0</v>
      </c>
      <c r="J1753" s="6">
        <v>1</v>
      </c>
      <c r="K1753" s="6">
        <f t="shared" si="109"/>
        <v>1</v>
      </c>
      <c r="L1753" s="8">
        <v>41164</v>
      </c>
      <c r="M1753" t="str">
        <f t="shared" ca="1" si="110"/>
        <v>13 years, 5 months</v>
      </c>
      <c r="N1753" s="6">
        <v>26</v>
      </c>
      <c r="O1753">
        <v>0</v>
      </c>
      <c r="P1753">
        <v>10</v>
      </c>
      <c r="Q1753">
        <f t="shared" si="111"/>
        <v>10</v>
      </c>
      <c r="R1753">
        <v>5</v>
      </c>
      <c r="S1753">
        <v>5</v>
      </c>
      <c r="T1753">
        <f>Table[[#This Row],[NumWebPurchases]]+Table[[#This Row],[NumStorePurchases]]</f>
        <v>10</v>
      </c>
    </row>
    <row r="1754" spans="1:20" ht="12.5">
      <c r="A1754" s="6">
        <v>1752</v>
      </c>
      <c r="B1754" s="6">
        <v>3878</v>
      </c>
      <c r="C1754" s="6">
        <v>1980</v>
      </c>
      <c r="D1754" s="6">
        <f t="shared" si="108"/>
        <v>45</v>
      </c>
      <c r="E1754" s="7" t="s">
        <v>17</v>
      </c>
      <c r="F1754" s="7" t="s">
        <v>10</v>
      </c>
      <c r="G1754" s="6">
        <v>31859</v>
      </c>
      <c r="H1754" s="6" t="str" cm="1">
        <f t="array" ref="H1754">_xlfn.IFS(
  G1754 &lt; 25000, "Low",
  AND(G1754 &gt;= 25000, G1754 &lt; 75000), "Medium",
  AND(G1754 &gt;= 75000, G1754 &lt; 150000), "High",
  G1754 &gt;= 150000, "Very High"
)</f>
        <v>Medium</v>
      </c>
      <c r="I1754" s="6">
        <v>1</v>
      </c>
      <c r="J1754" s="6">
        <v>0</v>
      </c>
      <c r="K1754" s="6">
        <f t="shared" si="109"/>
        <v>1</v>
      </c>
      <c r="L1754" s="8">
        <v>41697</v>
      </c>
      <c r="M1754" t="str">
        <f t="shared" ca="1" si="110"/>
        <v>12 years, 0 months</v>
      </c>
      <c r="N1754" s="6">
        <v>3</v>
      </c>
      <c r="O1754">
        <v>4</v>
      </c>
      <c r="P1754">
        <v>8</v>
      </c>
      <c r="Q1754">
        <f t="shared" si="111"/>
        <v>12</v>
      </c>
      <c r="R1754">
        <v>1</v>
      </c>
      <c r="S1754">
        <v>3</v>
      </c>
      <c r="T1754">
        <f>Table[[#This Row],[NumWebPurchases]]+Table[[#This Row],[NumStorePurchases]]</f>
        <v>4</v>
      </c>
    </row>
    <row r="1755" spans="1:20" ht="12.5">
      <c r="A1755" s="6">
        <v>1753</v>
      </c>
      <c r="B1755" s="6">
        <v>5092</v>
      </c>
      <c r="C1755" s="6">
        <v>1949</v>
      </c>
      <c r="D1755" s="6">
        <f t="shared" si="108"/>
        <v>76</v>
      </c>
      <c r="E1755" s="7" t="s">
        <v>12</v>
      </c>
      <c r="F1755" s="7" t="s">
        <v>18</v>
      </c>
      <c r="G1755" s="6">
        <v>51569</v>
      </c>
      <c r="H1755" s="6" t="str" cm="1">
        <f t="array" ref="H1755">_xlfn.IFS(
  G1755 &lt; 25000, "Low",
  AND(G1755 &gt;= 25000, G1755 &lt; 75000), "Medium",
  AND(G1755 &gt;= 75000, G1755 &lt; 150000), "High",
  G1755 &gt;= 150000, "Very High"
)</f>
        <v>Medium</v>
      </c>
      <c r="I1755" s="6">
        <v>0</v>
      </c>
      <c r="J1755" s="6">
        <v>1</v>
      </c>
      <c r="K1755" s="6">
        <f t="shared" si="109"/>
        <v>1</v>
      </c>
      <c r="L1755" s="8">
        <v>41317</v>
      </c>
      <c r="M1755" t="str">
        <f t="shared" ca="1" si="110"/>
        <v>13 years, 0 months</v>
      </c>
      <c r="N1755" s="6">
        <v>39</v>
      </c>
      <c r="O1755">
        <v>0</v>
      </c>
      <c r="P1755">
        <v>0</v>
      </c>
      <c r="Q1755">
        <f t="shared" si="111"/>
        <v>0</v>
      </c>
      <c r="R1755">
        <v>7</v>
      </c>
      <c r="S1755">
        <v>7</v>
      </c>
      <c r="T1755">
        <f>Table[[#This Row],[NumWebPurchases]]+Table[[#This Row],[NumStorePurchases]]</f>
        <v>14</v>
      </c>
    </row>
    <row r="1756" spans="1:20" ht="12.5">
      <c r="A1756" s="6">
        <v>1754</v>
      </c>
      <c r="B1756" s="6">
        <v>2154</v>
      </c>
      <c r="C1756" s="6">
        <v>1971</v>
      </c>
      <c r="D1756" s="6">
        <f t="shared" si="108"/>
        <v>54</v>
      </c>
      <c r="E1756" s="7" t="s">
        <v>9</v>
      </c>
      <c r="F1756" s="7" t="s">
        <v>18</v>
      </c>
      <c r="G1756" s="6">
        <v>30372</v>
      </c>
      <c r="H1756" s="6" t="str" cm="1">
        <f t="array" ref="H1756">_xlfn.IFS(
  G1756 &lt; 25000, "Low",
  AND(G1756 &gt;= 25000, G1756 &lt; 75000), "Medium",
  AND(G1756 &gt;= 75000, G1756 &lt; 150000), "High",
  G1756 &gt;= 150000, "Very High"
)</f>
        <v>Medium</v>
      </c>
      <c r="I1756" s="6">
        <v>1</v>
      </c>
      <c r="J1756" s="6">
        <v>1</v>
      </c>
      <c r="K1756" s="6">
        <f t="shared" si="109"/>
        <v>2</v>
      </c>
      <c r="L1756" s="9">
        <v>41268</v>
      </c>
      <c r="M1756" t="str">
        <f t="shared" ca="1" si="110"/>
        <v>13 years, 2 months</v>
      </c>
      <c r="N1756" s="6">
        <v>33</v>
      </c>
      <c r="O1756">
        <v>0</v>
      </c>
      <c r="P1756">
        <v>3</v>
      </c>
      <c r="Q1756">
        <f t="shared" si="111"/>
        <v>3</v>
      </c>
      <c r="R1756">
        <v>2</v>
      </c>
      <c r="S1756">
        <v>3</v>
      </c>
      <c r="T1756">
        <f>Table[[#This Row],[NumWebPurchases]]+Table[[#This Row],[NumStorePurchases]]</f>
        <v>5</v>
      </c>
    </row>
    <row r="1757" spans="1:20" ht="12.5">
      <c r="A1757" s="6">
        <v>1755</v>
      </c>
      <c r="B1757" s="6">
        <v>5394</v>
      </c>
      <c r="C1757" s="6">
        <v>1979</v>
      </c>
      <c r="D1757" s="6">
        <f t="shared" si="108"/>
        <v>46</v>
      </c>
      <c r="E1757" s="7" t="s">
        <v>16</v>
      </c>
      <c r="F1757" s="7" t="s">
        <v>10</v>
      </c>
      <c r="G1757" s="6">
        <v>16014</v>
      </c>
      <c r="H1757" s="6" t="str" cm="1">
        <f t="array" ref="H1757">_xlfn.IFS(
  G1757 &lt; 25000, "Low",
  AND(G1757 &gt;= 25000, G1757 &lt; 75000), "Medium",
  AND(G1757 &gt;= 75000, G1757 &lt; 150000), "High",
  G1757 &gt;= 150000, "Very High"
)</f>
        <v>Low</v>
      </c>
      <c r="I1757" s="6">
        <v>1</v>
      </c>
      <c r="J1757" s="6">
        <v>1</v>
      </c>
      <c r="K1757" s="6">
        <f t="shared" si="109"/>
        <v>2</v>
      </c>
      <c r="L1757" s="8">
        <v>41350</v>
      </c>
      <c r="M1757" t="str">
        <f t="shared" ca="1" si="110"/>
        <v>12 years, 11 months</v>
      </c>
      <c r="N1757" s="6">
        <v>42</v>
      </c>
      <c r="O1757">
        <v>9</v>
      </c>
      <c r="P1757">
        <v>8</v>
      </c>
      <c r="Q1757">
        <f t="shared" si="111"/>
        <v>17</v>
      </c>
      <c r="R1757">
        <v>1</v>
      </c>
      <c r="S1757">
        <v>4</v>
      </c>
      <c r="T1757">
        <f>Table[[#This Row],[NumWebPurchases]]+Table[[#This Row],[NumStorePurchases]]</f>
        <v>5</v>
      </c>
    </row>
    <row r="1758" spans="1:20" ht="12.5">
      <c r="A1758" s="6">
        <v>1756</v>
      </c>
      <c r="B1758" s="6">
        <v>3798</v>
      </c>
      <c r="C1758" s="6">
        <v>1968</v>
      </c>
      <c r="D1758" s="6">
        <f t="shared" si="108"/>
        <v>57</v>
      </c>
      <c r="E1758" s="7" t="s">
        <v>9</v>
      </c>
      <c r="F1758" s="7" t="s">
        <v>13</v>
      </c>
      <c r="G1758" s="6">
        <v>41120</v>
      </c>
      <c r="H1758" s="6" t="str" cm="1">
        <f t="array" ref="H1758">_xlfn.IFS(
  G1758 &lt; 25000, "Low",
  AND(G1758 &gt;= 25000, G1758 &lt; 75000), "Medium",
  AND(G1758 &gt;= 75000, G1758 &lt; 150000), "High",
  G1758 &gt;= 150000, "Very High"
)</f>
        <v>Medium</v>
      </c>
      <c r="I1758" s="6">
        <v>1</v>
      </c>
      <c r="J1758" s="6">
        <v>1</v>
      </c>
      <c r="K1758" s="6">
        <f t="shared" si="109"/>
        <v>2</v>
      </c>
      <c r="L1758" s="8">
        <v>41584</v>
      </c>
      <c r="M1758" t="str">
        <f t="shared" ca="1" si="110"/>
        <v>12 years, 4 months</v>
      </c>
      <c r="N1758" s="6">
        <v>80</v>
      </c>
      <c r="O1758">
        <v>2</v>
      </c>
      <c r="P1758">
        <v>8</v>
      </c>
      <c r="Q1758">
        <f t="shared" si="111"/>
        <v>10</v>
      </c>
      <c r="R1758">
        <v>2</v>
      </c>
      <c r="S1758">
        <v>3</v>
      </c>
      <c r="T1758">
        <f>Table[[#This Row],[NumWebPurchases]]+Table[[#This Row],[NumStorePurchases]]</f>
        <v>5</v>
      </c>
    </row>
    <row r="1759" spans="1:20" ht="12.5">
      <c r="A1759" s="6">
        <v>1757</v>
      </c>
      <c r="B1759" s="6">
        <v>3524</v>
      </c>
      <c r="C1759" s="6">
        <v>1971</v>
      </c>
      <c r="D1759" s="6">
        <f t="shared" si="108"/>
        <v>54</v>
      </c>
      <c r="E1759" s="7" t="s">
        <v>14</v>
      </c>
      <c r="F1759" s="7" t="s">
        <v>10</v>
      </c>
      <c r="G1759" s="6">
        <v>39763</v>
      </c>
      <c r="H1759" s="6" t="str" cm="1">
        <f t="array" ref="H1759">_xlfn.IFS(
  G1759 &lt; 25000, "Low",
  AND(G1759 &gt;= 25000, G1759 &lt; 75000), "Medium",
  AND(G1759 &gt;= 75000, G1759 &lt; 150000), "High",
  G1759 &gt;= 150000, "Very High"
)</f>
        <v>Medium</v>
      </c>
      <c r="I1759" s="6">
        <v>1</v>
      </c>
      <c r="J1759" s="6">
        <v>0</v>
      </c>
      <c r="K1759" s="6">
        <f t="shared" si="109"/>
        <v>1</v>
      </c>
      <c r="L1759" s="8">
        <v>41490</v>
      </c>
      <c r="M1759" t="str">
        <f t="shared" ca="1" si="110"/>
        <v>12 years, 7 months</v>
      </c>
      <c r="N1759" s="6">
        <v>9</v>
      </c>
      <c r="O1759">
        <v>1</v>
      </c>
      <c r="P1759">
        <v>6</v>
      </c>
      <c r="Q1759">
        <f t="shared" si="111"/>
        <v>7</v>
      </c>
      <c r="R1759">
        <v>5</v>
      </c>
      <c r="S1759">
        <v>2</v>
      </c>
      <c r="T1759">
        <f>Table[[#This Row],[NumWebPurchases]]+Table[[#This Row],[NumStorePurchases]]</f>
        <v>7</v>
      </c>
    </row>
    <row r="1760" spans="1:20" ht="12.5">
      <c r="A1760" s="6">
        <v>1758</v>
      </c>
      <c r="B1760" s="6">
        <v>5247</v>
      </c>
      <c r="C1760" s="6">
        <v>1955</v>
      </c>
      <c r="D1760" s="6">
        <f t="shared" si="108"/>
        <v>70</v>
      </c>
      <c r="E1760" s="7" t="s">
        <v>12</v>
      </c>
      <c r="F1760" s="7" t="s">
        <v>13</v>
      </c>
      <c r="G1760" s="6">
        <v>38725</v>
      </c>
      <c r="H1760" s="6" t="str" cm="1">
        <f t="array" ref="H1760">_xlfn.IFS(
  G1760 &lt; 25000, "Low",
  AND(G1760 &gt;= 25000, G1760 &lt; 75000), "Medium",
  AND(G1760 &gt;= 75000, G1760 &lt; 150000), "High",
  G1760 &gt;= 150000, "Very High"
)</f>
        <v>Medium</v>
      </c>
      <c r="I1760" s="6">
        <v>1</v>
      </c>
      <c r="J1760" s="6">
        <v>1</v>
      </c>
      <c r="K1760" s="6">
        <f t="shared" si="109"/>
        <v>2</v>
      </c>
      <c r="L1760" s="8">
        <v>41769</v>
      </c>
      <c r="M1760" t="str">
        <f t="shared" ca="1" si="110"/>
        <v>11 years, 9 months</v>
      </c>
      <c r="N1760" s="6">
        <v>52</v>
      </c>
      <c r="O1760">
        <v>0</v>
      </c>
      <c r="P1760">
        <v>1</v>
      </c>
      <c r="Q1760">
        <f t="shared" si="111"/>
        <v>1</v>
      </c>
      <c r="R1760">
        <v>1</v>
      </c>
      <c r="S1760">
        <v>4</v>
      </c>
      <c r="T1760">
        <f>Table[[#This Row],[NumWebPurchases]]+Table[[#This Row],[NumStorePurchases]]</f>
        <v>5</v>
      </c>
    </row>
    <row r="1761" spans="1:20" ht="12.5">
      <c r="A1761" s="6">
        <v>1759</v>
      </c>
      <c r="B1761" s="6">
        <v>5883</v>
      </c>
      <c r="C1761" s="6">
        <v>1972</v>
      </c>
      <c r="D1761" s="6">
        <f t="shared" si="108"/>
        <v>53</v>
      </c>
      <c r="E1761" s="7" t="s">
        <v>9</v>
      </c>
      <c r="F1761" s="7" t="s">
        <v>13</v>
      </c>
      <c r="G1761" s="6">
        <v>77981</v>
      </c>
      <c r="H1761" s="6" t="str" cm="1">
        <f t="array" ref="H1761">_xlfn.IFS(
  G1761 &lt; 25000, "Low",
  AND(G1761 &gt;= 25000, G1761 &lt; 75000), "Medium",
  AND(G1761 &gt;= 75000, G1761 &lt; 150000), "High",
  G1761 &gt;= 150000, "Very High"
)</f>
        <v>High</v>
      </c>
      <c r="I1761" s="6">
        <v>1</v>
      </c>
      <c r="J1761" s="6">
        <v>0</v>
      </c>
      <c r="K1761" s="6">
        <f t="shared" si="109"/>
        <v>1</v>
      </c>
      <c r="L1761" s="8">
        <v>41420</v>
      </c>
      <c r="M1761" t="str">
        <f t="shared" ca="1" si="110"/>
        <v>12 years, 9 months</v>
      </c>
      <c r="N1761" s="6">
        <v>78</v>
      </c>
      <c r="O1761">
        <v>120</v>
      </c>
      <c r="P1761">
        <v>126</v>
      </c>
      <c r="Q1761">
        <f t="shared" si="111"/>
        <v>246</v>
      </c>
      <c r="R1761">
        <v>7</v>
      </c>
      <c r="S1761">
        <v>7</v>
      </c>
      <c r="T1761">
        <f>Table[[#This Row],[NumWebPurchases]]+Table[[#This Row],[NumStorePurchases]]</f>
        <v>14</v>
      </c>
    </row>
    <row r="1762" spans="1:20" ht="12.5">
      <c r="A1762" s="6">
        <v>1760</v>
      </c>
      <c r="B1762" s="6">
        <v>2118</v>
      </c>
      <c r="C1762" s="6">
        <v>1964</v>
      </c>
      <c r="D1762" s="6">
        <f t="shared" si="108"/>
        <v>61</v>
      </c>
      <c r="E1762" s="7" t="s">
        <v>17</v>
      </c>
      <c r="F1762" s="7" t="s">
        <v>13</v>
      </c>
      <c r="G1762" s="6">
        <v>62905</v>
      </c>
      <c r="H1762" s="6" t="str" cm="1">
        <f t="array" ref="H1762">_xlfn.IFS(
  G1762 &lt; 25000, "Low",
  AND(G1762 &gt;= 25000, G1762 &lt; 75000), "Medium",
  AND(G1762 &gt;= 75000, G1762 &lt; 150000), "High",
  G1762 &gt;= 150000, "Very High"
)</f>
        <v>Medium</v>
      </c>
      <c r="I1762" s="6">
        <v>0</v>
      </c>
      <c r="J1762" s="6">
        <v>1</v>
      </c>
      <c r="K1762" s="6">
        <f t="shared" si="109"/>
        <v>1</v>
      </c>
      <c r="L1762" s="8">
        <v>41527</v>
      </c>
      <c r="M1762" t="str">
        <f t="shared" ca="1" si="110"/>
        <v>12 years, 5 months</v>
      </c>
      <c r="N1762" s="6">
        <v>68</v>
      </c>
      <c r="O1762">
        <v>75</v>
      </c>
      <c r="P1762">
        <v>107</v>
      </c>
      <c r="Q1762">
        <f t="shared" si="111"/>
        <v>182</v>
      </c>
      <c r="R1762">
        <v>7</v>
      </c>
      <c r="S1762">
        <v>8</v>
      </c>
      <c r="T1762">
        <f>Table[[#This Row],[NumWebPurchases]]+Table[[#This Row],[NumStorePurchases]]</f>
        <v>15</v>
      </c>
    </row>
    <row r="1763" spans="1:20" ht="12.5">
      <c r="A1763" s="6">
        <v>1761</v>
      </c>
      <c r="B1763" s="6">
        <v>8812</v>
      </c>
      <c r="C1763" s="6">
        <v>1979</v>
      </c>
      <c r="D1763" s="6">
        <f t="shared" si="108"/>
        <v>46</v>
      </c>
      <c r="E1763" s="7" t="s">
        <v>17</v>
      </c>
      <c r="F1763" s="7" t="s">
        <v>15</v>
      </c>
      <c r="G1763" s="6">
        <v>13533</v>
      </c>
      <c r="H1763" s="6" t="str" cm="1">
        <f t="array" ref="H1763">_xlfn.IFS(
  G1763 &lt; 25000, "Low",
  AND(G1763 &gt;= 25000, G1763 &lt; 75000), "Medium",
  AND(G1763 &gt;= 75000, G1763 &lt; 150000), "High",
  G1763 &gt;= 150000, "Very High"
)</f>
        <v>Low</v>
      </c>
      <c r="I1763" s="6">
        <v>1</v>
      </c>
      <c r="J1763" s="6">
        <v>0</v>
      </c>
      <c r="K1763" s="6">
        <f t="shared" si="109"/>
        <v>1</v>
      </c>
      <c r="L1763" s="8">
        <v>41343</v>
      </c>
      <c r="M1763" t="str">
        <f t="shared" ca="1" si="110"/>
        <v>12 years, 11 months</v>
      </c>
      <c r="N1763" s="6">
        <v>45</v>
      </c>
      <c r="O1763">
        <v>3</v>
      </c>
      <c r="P1763">
        <v>0</v>
      </c>
      <c r="Q1763">
        <f t="shared" si="111"/>
        <v>3</v>
      </c>
      <c r="R1763">
        <v>2</v>
      </c>
      <c r="S1763">
        <v>3</v>
      </c>
      <c r="T1763">
        <f>Table[[#This Row],[NumWebPurchases]]+Table[[#This Row],[NumStorePurchases]]</f>
        <v>5</v>
      </c>
    </row>
    <row r="1764" spans="1:20" ht="12.5">
      <c r="A1764" s="6">
        <v>1762</v>
      </c>
      <c r="B1764" s="6">
        <v>6616</v>
      </c>
      <c r="C1764" s="6">
        <v>1975</v>
      </c>
      <c r="D1764" s="6">
        <f t="shared" si="108"/>
        <v>50</v>
      </c>
      <c r="E1764" s="7" t="s">
        <v>9</v>
      </c>
      <c r="F1764" s="7" t="s">
        <v>11</v>
      </c>
      <c r="G1764" s="6">
        <v>59481</v>
      </c>
      <c r="H1764" s="6" t="str" cm="1">
        <f t="array" ref="H1764">_xlfn.IFS(
  G1764 &lt; 25000, "Low",
  AND(G1764 &gt;= 25000, G1764 &lt; 75000), "Medium",
  AND(G1764 &gt;= 75000, G1764 &lt; 150000), "High",
  G1764 &gt;= 150000, "Very High"
)</f>
        <v>Medium</v>
      </c>
      <c r="I1764" s="6">
        <v>0</v>
      </c>
      <c r="J1764" s="6">
        <v>1</v>
      </c>
      <c r="K1764" s="6">
        <f t="shared" si="109"/>
        <v>1</v>
      </c>
      <c r="L1764" s="9">
        <v>41570</v>
      </c>
      <c r="M1764" t="str">
        <f t="shared" ca="1" si="110"/>
        <v>12 years, 4 months</v>
      </c>
      <c r="N1764" s="6">
        <v>47</v>
      </c>
      <c r="O1764">
        <v>3</v>
      </c>
      <c r="P1764">
        <v>66</v>
      </c>
      <c r="Q1764">
        <f t="shared" si="111"/>
        <v>69</v>
      </c>
      <c r="R1764">
        <v>3</v>
      </c>
      <c r="S1764">
        <v>8</v>
      </c>
      <c r="T1764">
        <f>Table[[#This Row],[NumWebPurchases]]+Table[[#This Row],[NumStorePurchases]]</f>
        <v>11</v>
      </c>
    </row>
    <row r="1765" spans="1:20" ht="12.5">
      <c r="A1765" s="6">
        <v>1763</v>
      </c>
      <c r="B1765" s="6">
        <v>2797</v>
      </c>
      <c r="C1765" s="6">
        <v>1977</v>
      </c>
      <c r="D1765" s="6">
        <f t="shared" si="108"/>
        <v>48</v>
      </c>
      <c r="E1765" s="7" t="s">
        <v>9</v>
      </c>
      <c r="F1765" s="7" t="s">
        <v>13</v>
      </c>
      <c r="G1765" s="6">
        <v>72117</v>
      </c>
      <c r="H1765" s="6" t="str" cm="1">
        <f t="array" ref="H1765">_xlfn.IFS(
  G1765 &lt; 25000, "Low",
  AND(G1765 &gt;= 25000, G1765 &lt; 75000), "Medium",
  AND(G1765 &gt;= 75000, G1765 &lt; 150000), "High",
  G1765 &gt;= 150000, "Very High"
)</f>
        <v>Medium</v>
      </c>
      <c r="I1765" s="6">
        <v>0</v>
      </c>
      <c r="J1765" s="6">
        <v>1</v>
      </c>
      <c r="K1765" s="6">
        <f t="shared" si="109"/>
        <v>1</v>
      </c>
      <c r="L1765" s="8">
        <v>41506</v>
      </c>
      <c r="M1765" t="str">
        <f t="shared" ca="1" si="110"/>
        <v>12 years, 6 months</v>
      </c>
      <c r="N1765" s="6">
        <v>34</v>
      </c>
      <c r="O1765">
        <v>20</v>
      </c>
      <c r="P1765">
        <v>60</v>
      </c>
      <c r="Q1765">
        <f t="shared" si="111"/>
        <v>80</v>
      </c>
      <c r="R1765">
        <v>9</v>
      </c>
      <c r="S1765">
        <v>9</v>
      </c>
      <c r="T1765">
        <f>Table[[#This Row],[NumWebPurchases]]+Table[[#This Row],[NumStorePurchases]]</f>
        <v>18</v>
      </c>
    </row>
    <row r="1766" spans="1:20" ht="12.5">
      <c r="A1766" s="6">
        <v>1764</v>
      </c>
      <c r="B1766" s="6">
        <v>4328</v>
      </c>
      <c r="C1766" s="6">
        <v>1986</v>
      </c>
      <c r="D1766" s="6">
        <f t="shared" si="108"/>
        <v>39</v>
      </c>
      <c r="E1766" s="7" t="s">
        <v>17</v>
      </c>
      <c r="F1766" s="7" t="s">
        <v>13</v>
      </c>
      <c r="G1766" s="6">
        <v>21955</v>
      </c>
      <c r="H1766" s="6" t="str" cm="1">
        <f t="array" ref="H1766">_xlfn.IFS(
  G1766 &lt; 25000, "Low",
  AND(G1766 &gt;= 25000, G1766 &lt; 75000), "Medium",
  AND(G1766 &gt;= 75000, G1766 &lt; 150000), "High",
  G1766 &gt;= 150000, "Very High"
)</f>
        <v>Low</v>
      </c>
      <c r="I1766" s="6">
        <v>1</v>
      </c>
      <c r="J1766" s="6">
        <v>0</v>
      </c>
      <c r="K1766" s="6">
        <f t="shared" si="109"/>
        <v>1</v>
      </c>
      <c r="L1766" s="8">
        <v>41524</v>
      </c>
      <c r="M1766" t="str">
        <f t="shared" ca="1" si="110"/>
        <v>12 years, 5 months</v>
      </c>
      <c r="N1766" s="6">
        <v>81</v>
      </c>
      <c r="O1766">
        <v>1</v>
      </c>
      <c r="P1766">
        <v>14</v>
      </c>
      <c r="Q1766">
        <f t="shared" si="111"/>
        <v>15</v>
      </c>
      <c r="R1766">
        <v>2</v>
      </c>
      <c r="S1766">
        <v>3</v>
      </c>
      <c r="T1766">
        <f>Table[[#This Row],[NumWebPurchases]]+Table[[#This Row],[NumStorePurchases]]</f>
        <v>5</v>
      </c>
    </row>
    <row r="1767" spans="1:20" ht="12.5">
      <c r="A1767" s="6">
        <v>1765</v>
      </c>
      <c r="B1767" s="6">
        <v>9167</v>
      </c>
      <c r="C1767" s="6">
        <v>1956</v>
      </c>
      <c r="D1767" s="6">
        <f t="shared" si="108"/>
        <v>69</v>
      </c>
      <c r="E1767" s="7" t="s">
        <v>9</v>
      </c>
      <c r="F1767" s="7" t="s">
        <v>13</v>
      </c>
      <c r="G1767" s="6">
        <v>67131</v>
      </c>
      <c r="H1767" s="6" t="str" cm="1">
        <f t="array" ref="H1767">_xlfn.IFS(
  G1767 &lt; 25000, "Low",
  AND(G1767 &gt;= 25000, G1767 &lt; 75000), "Medium",
  AND(G1767 &gt;= 75000, G1767 &lt; 150000), "High",
  G1767 &gt;= 150000, "Very High"
)</f>
        <v>Medium</v>
      </c>
      <c r="I1767" s="6">
        <v>0</v>
      </c>
      <c r="J1767" s="6">
        <v>1</v>
      </c>
      <c r="K1767" s="6">
        <f t="shared" si="109"/>
        <v>1</v>
      </c>
      <c r="L1767" s="8">
        <v>41359</v>
      </c>
      <c r="M1767" t="str">
        <f t="shared" ca="1" si="110"/>
        <v>12 years, 11 months</v>
      </c>
      <c r="N1767" s="6">
        <v>72</v>
      </c>
      <c r="O1767">
        <v>71</v>
      </c>
      <c r="P1767">
        <v>35</v>
      </c>
      <c r="Q1767">
        <f t="shared" si="111"/>
        <v>106</v>
      </c>
      <c r="R1767">
        <v>9</v>
      </c>
      <c r="S1767">
        <v>12</v>
      </c>
      <c r="T1767">
        <f>Table[[#This Row],[NumWebPurchases]]+Table[[#This Row],[NumStorePurchases]]</f>
        <v>21</v>
      </c>
    </row>
    <row r="1768" spans="1:20" ht="12.5">
      <c r="A1768" s="6">
        <v>1766</v>
      </c>
      <c r="B1768" s="6">
        <v>10560</v>
      </c>
      <c r="C1768" s="6">
        <v>1980</v>
      </c>
      <c r="D1768" s="6">
        <f t="shared" si="108"/>
        <v>45</v>
      </c>
      <c r="E1768" s="7" t="s">
        <v>12</v>
      </c>
      <c r="F1768" s="7" t="s">
        <v>10</v>
      </c>
      <c r="G1768" s="6">
        <v>36802</v>
      </c>
      <c r="H1768" s="6" t="str" cm="1">
        <f t="array" ref="H1768">_xlfn.IFS(
  G1768 &lt; 25000, "Low",
  AND(G1768 &gt;= 25000, G1768 &lt; 75000), "Medium",
  AND(G1768 &gt;= 75000, G1768 &lt; 150000), "High",
  G1768 &gt;= 150000, "Very High"
)</f>
        <v>Medium</v>
      </c>
      <c r="I1768" s="6">
        <v>1</v>
      </c>
      <c r="J1768" s="6">
        <v>0</v>
      </c>
      <c r="K1768" s="6">
        <f t="shared" si="109"/>
        <v>1</v>
      </c>
      <c r="L1768" s="8">
        <v>41806</v>
      </c>
      <c r="M1768" t="str">
        <f t="shared" ca="1" si="110"/>
        <v>11 years, 8 months</v>
      </c>
      <c r="N1768" s="6">
        <v>23</v>
      </c>
      <c r="O1768">
        <v>1</v>
      </c>
      <c r="P1768">
        <v>0</v>
      </c>
      <c r="Q1768">
        <f t="shared" si="111"/>
        <v>1</v>
      </c>
      <c r="R1768">
        <v>1</v>
      </c>
      <c r="S1768">
        <v>3</v>
      </c>
      <c r="T1768">
        <f>Table[[#This Row],[NumWebPurchases]]+Table[[#This Row],[NumStorePurchases]]</f>
        <v>4</v>
      </c>
    </row>
    <row r="1769" spans="1:20" ht="12.5">
      <c r="A1769" s="6">
        <v>1767</v>
      </c>
      <c r="B1769" s="6">
        <v>2631</v>
      </c>
      <c r="C1769" s="6">
        <v>1982</v>
      </c>
      <c r="D1769" s="6">
        <f t="shared" si="108"/>
        <v>43</v>
      </c>
      <c r="E1769" s="7" t="s">
        <v>9</v>
      </c>
      <c r="F1769" s="7" t="s">
        <v>11</v>
      </c>
      <c r="G1769" s="6">
        <v>71853</v>
      </c>
      <c r="H1769" s="6" t="str" cm="1">
        <f t="array" ref="H1769">_xlfn.IFS(
  G1769 &lt; 25000, "Low",
  AND(G1769 &gt;= 25000, G1769 &lt; 75000), "Medium",
  AND(G1769 &gt;= 75000, G1769 &lt; 150000), "High",
  G1769 &gt;= 150000, "Very High"
)</f>
        <v>Medium</v>
      </c>
      <c r="I1769" s="6">
        <v>0</v>
      </c>
      <c r="J1769" s="6">
        <v>0</v>
      </c>
      <c r="K1769" s="6">
        <f t="shared" si="109"/>
        <v>0</v>
      </c>
      <c r="L1769" s="8">
        <v>41402</v>
      </c>
      <c r="M1769" t="str">
        <f t="shared" ca="1" si="110"/>
        <v>12 years, 9 months</v>
      </c>
      <c r="N1769" s="6">
        <v>29</v>
      </c>
      <c r="O1769">
        <v>108</v>
      </c>
      <c r="P1769">
        <v>97</v>
      </c>
      <c r="Q1769">
        <f t="shared" si="111"/>
        <v>205</v>
      </c>
      <c r="R1769">
        <v>2</v>
      </c>
      <c r="S1769">
        <v>6</v>
      </c>
      <c r="T1769">
        <f>Table[[#This Row],[NumWebPurchases]]+Table[[#This Row],[NumStorePurchases]]</f>
        <v>8</v>
      </c>
    </row>
    <row r="1770" spans="1:20" ht="12.5">
      <c r="A1770" s="6">
        <v>1768</v>
      </c>
      <c r="B1770" s="6">
        <v>8312</v>
      </c>
      <c r="C1770" s="6">
        <v>1961</v>
      </c>
      <c r="D1770" s="6">
        <f t="shared" si="108"/>
        <v>64</v>
      </c>
      <c r="E1770" s="7" t="s">
        <v>16</v>
      </c>
      <c r="F1770" s="7" t="s">
        <v>13</v>
      </c>
      <c r="G1770" s="6">
        <v>28249</v>
      </c>
      <c r="H1770" s="6" t="str" cm="1">
        <f t="array" ref="H1770">_xlfn.IFS(
  G1770 &lt; 25000, "Low",
  AND(G1770 &gt;= 25000, G1770 &lt; 75000), "Medium",
  AND(G1770 &gt;= 75000, G1770 &lt; 150000), "High",
  G1770 &gt;= 150000, "Very High"
)</f>
        <v>Medium</v>
      </c>
      <c r="I1770" s="6">
        <v>0</v>
      </c>
      <c r="J1770" s="6">
        <v>0</v>
      </c>
      <c r="K1770" s="6">
        <f t="shared" si="109"/>
        <v>0</v>
      </c>
      <c r="L1770" s="8">
        <v>41805</v>
      </c>
      <c r="M1770" t="str">
        <f t="shared" ca="1" si="110"/>
        <v>11 years, 8 months</v>
      </c>
      <c r="N1770" s="6">
        <v>80</v>
      </c>
      <c r="O1770">
        <v>9</v>
      </c>
      <c r="P1770">
        <v>14</v>
      </c>
      <c r="Q1770">
        <f t="shared" si="111"/>
        <v>23</v>
      </c>
      <c r="R1770">
        <v>2</v>
      </c>
      <c r="S1770">
        <v>3</v>
      </c>
      <c r="T1770">
        <f>Table[[#This Row],[NumWebPurchases]]+Table[[#This Row],[NumStorePurchases]]</f>
        <v>5</v>
      </c>
    </row>
    <row r="1771" spans="1:20" ht="12.5">
      <c r="A1771" s="6">
        <v>1769</v>
      </c>
      <c r="B1771" s="6">
        <v>5534</v>
      </c>
      <c r="C1771" s="6">
        <v>1975</v>
      </c>
      <c r="D1771" s="6">
        <f t="shared" si="108"/>
        <v>50</v>
      </c>
      <c r="E1771" s="7" t="s">
        <v>14</v>
      </c>
      <c r="F1771" s="7" t="s">
        <v>13</v>
      </c>
      <c r="G1771" s="6">
        <v>47808</v>
      </c>
      <c r="H1771" s="6" t="str" cm="1">
        <f t="array" ref="H1771">_xlfn.IFS(
  G1771 &lt; 25000, "Low",
  AND(G1771 &gt;= 25000, G1771 &lt; 75000), "Medium",
  AND(G1771 &gt;= 75000, G1771 &lt; 150000), "High",
  G1771 &gt;= 150000, "Very High"
)</f>
        <v>Medium</v>
      </c>
      <c r="I1771" s="6">
        <v>0</v>
      </c>
      <c r="J1771" s="6">
        <v>1</v>
      </c>
      <c r="K1771" s="6">
        <f t="shared" si="109"/>
        <v>1</v>
      </c>
      <c r="L1771" s="9">
        <v>41567</v>
      </c>
      <c r="M1771" t="str">
        <f t="shared" ca="1" si="110"/>
        <v>12 years, 4 months</v>
      </c>
      <c r="N1771" s="6">
        <v>30</v>
      </c>
      <c r="O1771">
        <v>1</v>
      </c>
      <c r="P1771">
        <v>0</v>
      </c>
      <c r="Q1771">
        <f t="shared" si="111"/>
        <v>1</v>
      </c>
      <c r="R1771">
        <v>3</v>
      </c>
      <c r="S1771">
        <v>3</v>
      </c>
      <c r="T1771">
        <f>Table[[#This Row],[NumWebPurchases]]+Table[[#This Row],[NumStorePurchases]]</f>
        <v>6</v>
      </c>
    </row>
    <row r="1772" spans="1:20" ht="12.5">
      <c r="A1772" s="6">
        <v>1770</v>
      </c>
      <c r="B1772" s="6">
        <v>5093</v>
      </c>
      <c r="C1772" s="6">
        <v>1974</v>
      </c>
      <c r="D1772" s="6">
        <f t="shared" si="108"/>
        <v>51</v>
      </c>
      <c r="E1772" s="7" t="s">
        <v>12</v>
      </c>
      <c r="F1772" s="7" t="s">
        <v>15</v>
      </c>
      <c r="G1772" s="6">
        <v>25509</v>
      </c>
      <c r="H1772" s="6" t="str" cm="1">
        <f t="array" ref="H1772">_xlfn.IFS(
  G1772 &lt; 25000, "Low",
  AND(G1772 &gt;= 25000, G1772 &lt; 75000), "Medium",
  AND(G1772 &gt;= 75000, G1772 &lt; 150000), "High",
  G1772 &gt;= 150000, "Very High"
)</f>
        <v>Medium</v>
      </c>
      <c r="I1772" s="6">
        <v>1</v>
      </c>
      <c r="J1772" s="6">
        <v>0</v>
      </c>
      <c r="K1772" s="6">
        <f t="shared" si="109"/>
        <v>1</v>
      </c>
      <c r="L1772" s="8">
        <v>41170</v>
      </c>
      <c r="M1772" t="str">
        <f t="shared" ca="1" si="110"/>
        <v>13 years, 5 months</v>
      </c>
      <c r="N1772" s="6">
        <v>15</v>
      </c>
      <c r="O1772">
        <v>3</v>
      </c>
      <c r="P1772">
        <v>7</v>
      </c>
      <c r="Q1772">
        <f t="shared" si="111"/>
        <v>10</v>
      </c>
      <c r="R1772">
        <v>3</v>
      </c>
      <c r="S1772">
        <v>3</v>
      </c>
      <c r="T1772">
        <f>Table[[#This Row],[NumWebPurchases]]+Table[[#This Row],[NumStorePurchases]]</f>
        <v>6</v>
      </c>
    </row>
    <row r="1773" spans="1:20" ht="12.5">
      <c r="A1773" s="6">
        <v>1771</v>
      </c>
      <c r="B1773" s="6">
        <v>7592</v>
      </c>
      <c r="C1773" s="6">
        <v>1946</v>
      </c>
      <c r="D1773" s="6">
        <f t="shared" si="108"/>
        <v>79</v>
      </c>
      <c r="E1773" s="7" t="s">
        <v>12</v>
      </c>
      <c r="F1773" s="7" t="s">
        <v>13</v>
      </c>
      <c r="G1773" s="6">
        <v>51012</v>
      </c>
      <c r="H1773" s="6" t="str" cm="1">
        <f t="array" ref="H1773">_xlfn.IFS(
  G1773 &lt; 25000, "Low",
  AND(G1773 &gt;= 25000, G1773 &lt; 75000), "Medium",
  AND(G1773 &gt;= 75000, G1773 &lt; 150000), "High",
  G1773 &gt;= 150000, "Very High"
)</f>
        <v>Medium</v>
      </c>
      <c r="I1773" s="6">
        <v>0</v>
      </c>
      <c r="J1773" s="6">
        <v>0</v>
      </c>
      <c r="K1773" s="6">
        <f t="shared" si="109"/>
        <v>0</v>
      </c>
      <c r="L1773" s="8">
        <v>41382</v>
      </c>
      <c r="M1773" t="str">
        <f t="shared" ca="1" si="110"/>
        <v>12 years, 10 months</v>
      </c>
      <c r="N1773" s="6">
        <v>86</v>
      </c>
      <c r="O1773">
        <v>9</v>
      </c>
      <c r="P1773">
        <v>9</v>
      </c>
      <c r="Q1773">
        <f t="shared" si="111"/>
        <v>18</v>
      </c>
      <c r="R1773">
        <v>4</v>
      </c>
      <c r="S1773">
        <v>4</v>
      </c>
      <c r="T1773">
        <f>Table[[#This Row],[NumWebPurchases]]+Table[[#This Row],[NumStorePurchases]]</f>
        <v>8</v>
      </c>
    </row>
    <row r="1774" spans="1:20" ht="12.5">
      <c r="A1774" s="6">
        <v>1772</v>
      </c>
      <c r="B1774" s="6">
        <v>8895</v>
      </c>
      <c r="C1774" s="6">
        <v>1985</v>
      </c>
      <c r="D1774" s="6">
        <f t="shared" si="108"/>
        <v>40</v>
      </c>
      <c r="E1774" s="7" t="s">
        <v>9</v>
      </c>
      <c r="F1774" s="7" t="s">
        <v>10</v>
      </c>
      <c r="G1774" s="6">
        <v>70596</v>
      </c>
      <c r="H1774" s="6" t="str" cm="1">
        <f t="array" ref="H1774">_xlfn.IFS(
  G1774 &lt; 25000, "Low",
  AND(G1774 &gt;= 25000, G1774 &lt; 75000), "Medium",
  AND(G1774 &gt;= 75000, G1774 &lt; 150000), "High",
  G1774 &gt;= 150000, "Very High"
)</f>
        <v>Medium</v>
      </c>
      <c r="I1774" s="6">
        <v>0</v>
      </c>
      <c r="J1774" s="6">
        <v>0</v>
      </c>
      <c r="K1774" s="6">
        <f t="shared" si="109"/>
        <v>0</v>
      </c>
      <c r="L1774" s="8">
        <v>41187</v>
      </c>
      <c r="M1774" t="str">
        <f t="shared" ca="1" si="110"/>
        <v>13 years, 5 months</v>
      </c>
      <c r="N1774" s="6">
        <v>68</v>
      </c>
      <c r="O1774">
        <v>44</v>
      </c>
      <c r="P1774">
        <v>0</v>
      </c>
      <c r="Q1774">
        <f t="shared" si="111"/>
        <v>44</v>
      </c>
      <c r="R1774">
        <v>3</v>
      </c>
      <c r="S1774">
        <v>12</v>
      </c>
      <c r="T1774">
        <f>Table[[#This Row],[NumWebPurchases]]+Table[[#This Row],[NumStorePurchases]]</f>
        <v>15</v>
      </c>
    </row>
    <row r="1775" spans="1:20" ht="12.5">
      <c r="A1775" s="6">
        <v>1773</v>
      </c>
      <c r="B1775" s="6">
        <v>8584</v>
      </c>
      <c r="C1775" s="6">
        <v>1952</v>
      </c>
      <c r="D1775" s="6">
        <f t="shared" si="108"/>
        <v>73</v>
      </c>
      <c r="E1775" s="7" t="s">
        <v>12</v>
      </c>
      <c r="F1775" s="7" t="s">
        <v>11</v>
      </c>
      <c r="G1775" s="6">
        <v>85431</v>
      </c>
      <c r="H1775" s="6" t="str" cm="1">
        <f t="array" ref="H1775">_xlfn.IFS(
  G1775 &lt; 25000, "Low",
  AND(G1775 &gt;= 25000, G1775 &lt; 75000), "Medium",
  AND(G1775 &gt;= 75000, G1775 &lt; 150000), "High",
  G1775 &gt;= 150000, "Very High"
)</f>
        <v>High</v>
      </c>
      <c r="I1775" s="6">
        <v>0</v>
      </c>
      <c r="J1775" s="6">
        <v>0</v>
      </c>
      <c r="K1775" s="6">
        <f t="shared" si="109"/>
        <v>0</v>
      </c>
      <c r="L1775" s="8">
        <v>41433</v>
      </c>
      <c r="M1775" t="str">
        <f t="shared" ca="1" si="110"/>
        <v>12 years, 8 months</v>
      </c>
      <c r="N1775" s="6">
        <v>54</v>
      </c>
      <c r="O1775">
        <v>53</v>
      </c>
      <c r="P1775">
        <v>53</v>
      </c>
      <c r="Q1775">
        <f t="shared" si="111"/>
        <v>106</v>
      </c>
      <c r="R1775">
        <v>2</v>
      </c>
      <c r="S1775">
        <v>7</v>
      </c>
      <c r="T1775">
        <f>Table[[#This Row],[NumWebPurchases]]+Table[[#This Row],[NumStorePurchases]]</f>
        <v>9</v>
      </c>
    </row>
    <row r="1776" spans="1:20" ht="12.5">
      <c r="A1776" s="6">
        <v>1774</v>
      </c>
      <c r="B1776" s="6">
        <v>2694</v>
      </c>
      <c r="C1776" s="6">
        <v>1967</v>
      </c>
      <c r="D1776" s="6">
        <f t="shared" si="108"/>
        <v>58</v>
      </c>
      <c r="E1776" s="7" t="s">
        <v>9</v>
      </c>
      <c r="F1776" s="7" t="s">
        <v>13</v>
      </c>
      <c r="G1776" s="6">
        <v>42664</v>
      </c>
      <c r="H1776" s="6" t="str" cm="1">
        <f t="array" ref="H1776">_xlfn.IFS(
  G1776 &lt; 25000, "Low",
  AND(G1776 &gt;= 25000, G1776 &lt; 75000), "Medium",
  AND(G1776 &gt;= 75000, G1776 &lt; 150000), "High",
  G1776 &gt;= 150000, "Very High"
)</f>
        <v>Medium</v>
      </c>
      <c r="I1776" s="6">
        <v>0</v>
      </c>
      <c r="J1776" s="6">
        <v>1</v>
      </c>
      <c r="K1776" s="6">
        <f t="shared" si="109"/>
        <v>1</v>
      </c>
      <c r="L1776" s="8">
        <v>41716</v>
      </c>
      <c r="M1776" t="str">
        <f t="shared" ca="1" si="110"/>
        <v>11 years, 11 months</v>
      </c>
      <c r="N1776" s="6">
        <v>44</v>
      </c>
      <c r="O1776">
        <v>0</v>
      </c>
      <c r="P1776">
        <v>0</v>
      </c>
      <c r="Q1776">
        <f t="shared" si="111"/>
        <v>0</v>
      </c>
      <c r="R1776">
        <v>1</v>
      </c>
      <c r="S1776">
        <v>3</v>
      </c>
      <c r="T1776">
        <f>Table[[#This Row],[NumWebPurchases]]+Table[[#This Row],[NumStorePurchases]]</f>
        <v>4</v>
      </c>
    </row>
    <row r="1777" spans="1:20" ht="12.5">
      <c r="A1777" s="6">
        <v>1775</v>
      </c>
      <c r="B1777" s="6">
        <v>8910</v>
      </c>
      <c r="C1777" s="6">
        <v>1955</v>
      </c>
      <c r="D1777" s="6">
        <f t="shared" si="108"/>
        <v>70</v>
      </c>
      <c r="E1777" s="7" t="s">
        <v>9</v>
      </c>
      <c r="F1777" s="7" t="s">
        <v>11</v>
      </c>
      <c r="G1777" s="6">
        <v>42586</v>
      </c>
      <c r="H1777" s="6" t="str" cm="1">
        <f t="array" ref="H1777">_xlfn.IFS(
  G1777 &lt; 25000, "Low",
  AND(G1777 &gt;= 25000, G1777 &lt; 75000), "Medium",
  AND(G1777 &gt;= 75000, G1777 &lt; 150000), "High",
  G1777 &gt;= 150000, "Very High"
)</f>
        <v>Medium</v>
      </c>
      <c r="I1777" s="6">
        <v>1</v>
      </c>
      <c r="J1777" s="6">
        <v>1</v>
      </c>
      <c r="K1777" s="6">
        <f t="shared" si="109"/>
        <v>2</v>
      </c>
      <c r="L1777" s="9">
        <v>41211</v>
      </c>
      <c r="M1777" t="str">
        <f t="shared" ca="1" si="110"/>
        <v>13 years, 4 months</v>
      </c>
      <c r="N1777" s="6">
        <v>7</v>
      </c>
      <c r="O1777">
        <v>2</v>
      </c>
      <c r="P1777">
        <v>0</v>
      </c>
      <c r="Q1777">
        <f t="shared" si="111"/>
        <v>2</v>
      </c>
      <c r="R1777">
        <v>4</v>
      </c>
      <c r="S1777">
        <v>6</v>
      </c>
      <c r="T1777">
        <f>Table[[#This Row],[NumWebPurchases]]+Table[[#This Row],[NumStorePurchases]]</f>
        <v>10</v>
      </c>
    </row>
    <row r="1778" spans="1:20" ht="12.5">
      <c r="A1778" s="6">
        <v>1776</v>
      </c>
      <c r="B1778" s="6">
        <v>7433</v>
      </c>
      <c r="C1778" s="6">
        <v>1985</v>
      </c>
      <c r="D1778" s="6">
        <f t="shared" si="108"/>
        <v>40</v>
      </c>
      <c r="E1778" s="7" t="s">
        <v>9</v>
      </c>
      <c r="F1778" s="7" t="s">
        <v>10</v>
      </c>
      <c r="G1778" s="6">
        <v>29760</v>
      </c>
      <c r="H1778" s="6" t="str" cm="1">
        <f t="array" ref="H1778">_xlfn.IFS(
  G1778 &lt; 25000, "Low",
  AND(G1778 &gt;= 25000, G1778 &lt; 75000), "Medium",
  AND(G1778 &gt;= 75000, G1778 &lt; 150000), "High",
  G1778 &gt;= 150000, "Very High"
)</f>
        <v>Medium</v>
      </c>
      <c r="I1778" s="6">
        <v>1</v>
      </c>
      <c r="J1778" s="6">
        <v>0</v>
      </c>
      <c r="K1778" s="6">
        <f t="shared" si="109"/>
        <v>1</v>
      </c>
      <c r="L1778" s="8">
        <v>41150</v>
      </c>
      <c r="M1778" t="str">
        <f t="shared" ca="1" si="110"/>
        <v>13 years, 6 months</v>
      </c>
      <c r="N1778" s="6">
        <v>87</v>
      </c>
      <c r="O1778">
        <v>4</v>
      </c>
      <c r="P1778">
        <v>5</v>
      </c>
      <c r="Q1778">
        <f t="shared" si="111"/>
        <v>9</v>
      </c>
      <c r="R1778">
        <v>3</v>
      </c>
      <c r="S1778">
        <v>4</v>
      </c>
      <c r="T1778">
        <f>Table[[#This Row],[NumWebPurchases]]+Table[[#This Row],[NumStorePurchases]]</f>
        <v>7</v>
      </c>
    </row>
    <row r="1779" spans="1:20" ht="12.5">
      <c r="A1779" s="6">
        <v>1777</v>
      </c>
      <c r="B1779" s="6">
        <v>164</v>
      </c>
      <c r="C1779" s="6">
        <v>1977</v>
      </c>
      <c r="D1779" s="6">
        <f t="shared" si="108"/>
        <v>48</v>
      </c>
      <c r="E1779" s="7" t="s">
        <v>12</v>
      </c>
      <c r="F1779" s="7" t="s">
        <v>13</v>
      </c>
      <c r="G1779" s="6">
        <v>28973</v>
      </c>
      <c r="H1779" s="6" t="str" cm="1">
        <f t="array" ref="H1779">_xlfn.IFS(
  G1779 &lt; 25000, "Low",
  AND(G1779 &gt;= 25000, G1779 &lt; 75000), "Medium",
  AND(G1779 &gt;= 75000, G1779 &lt; 150000), "High",
  G1779 &gt;= 150000, "Very High"
)</f>
        <v>Medium</v>
      </c>
      <c r="I1779" s="6">
        <v>0</v>
      </c>
      <c r="J1779" s="6">
        <v>0</v>
      </c>
      <c r="K1779" s="6">
        <f t="shared" si="109"/>
        <v>0</v>
      </c>
      <c r="L1779" s="9">
        <v>41195</v>
      </c>
      <c r="M1779" t="str">
        <f t="shared" ca="1" si="110"/>
        <v>13 years, 4 months</v>
      </c>
      <c r="N1779" s="6">
        <v>59</v>
      </c>
      <c r="O1779">
        <v>0</v>
      </c>
      <c r="P1779">
        <v>2</v>
      </c>
      <c r="Q1779">
        <f t="shared" si="111"/>
        <v>2</v>
      </c>
      <c r="R1779">
        <v>5</v>
      </c>
      <c r="S1779">
        <v>5</v>
      </c>
      <c r="T1779">
        <f>Table[[#This Row],[NumWebPurchases]]+Table[[#This Row],[NumStorePurchases]]</f>
        <v>10</v>
      </c>
    </row>
    <row r="1780" spans="1:20" ht="12.5">
      <c r="A1780" s="6">
        <v>1778</v>
      </c>
      <c r="B1780" s="6">
        <v>10477</v>
      </c>
      <c r="C1780" s="6">
        <v>1973</v>
      </c>
      <c r="D1780" s="6">
        <f t="shared" si="108"/>
        <v>52</v>
      </c>
      <c r="E1780" s="7" t="s">
        <v>12</v>
      </c>
      <c r="F1780" s="7" t="s">
        <v>11</v>
      </c>
      <c r="G1780" s="6">
        <v>39435</v>
      </c>
      <c r="H1780" s="6" t="str" cm="1">
        <f t="array" ref="H1780">_xlfn.IFS(
  G1780 &lt; 25000, "Low",
  AND(G1780 &gt;= 25000, G1780 &lt; 75000), "Medium",
  AND(G1780 &gt;= 75000, G1780 &lt; 150000), "High",
  G1780 &gt;= 150000, "Very High"
)</f>
        <v>Medium</v>
      </c>
      <c r="I1780" s="6">
        <v>1</v>
      </c>
      <c r="J1780" s="6">
        <v>0</v>
      </c>
      <c r="K1780" s="6">
        <f t="shared" si="109"/>
        <v>1</v>
      </c>
      <c r="L1780" s="8">
        <v>41492</v>
      </c>
      <c r="M1780" t="str">
        <f t="shared" ca="1" si="110"/>
        <v>12 years, 7 months</v>
      </c>
      <c r="N1780" s="6">
        <v>16</v>
      </c>
      <c r="O1780">
        <v>0</v>
      </c>
      <c r="P1780">
        <v>0</v>
      </c>
      <c r="Q1780">
        <f t="shared" si="111"/>
        <v>0</v>
      </c>
      <c r="R1780">
        <v>3</v>
      </c>
      <c r="S1780">
        <v>2</v>
      </c>
      <c r="T1780">
        <f>Table[[#This Row],[NumWebPurchases]]+Table[[#This Row],[NumStorePurchases]]</f>
        <v>5</v>
      </c>
    </row>
    <row r="1781" spans="1:20" ht="12.5">
      <c r="A1781" s="6">
        <v>1779</v>
      </c>
      <c r="B1781" s="6">
        <v>2681</v>
      </c>
      <c r="C1781" s="6">
        <v>1984</v>
      </c>
      <c r="D1781" s="6">
        <f t="shared" si="108"/>
        <v>41</v>
      </c>
      <c r="E1781" s="7" t="s">
        <v>17</v>
      </c>
      <c r="F1781" s="7" t="s">
        <v>13</v>
      </c>
      <c r="G1781" s="6">
        <v>65370</v>
      </c>
      <c r="H1781" s="6" t="str" cm="1">
        <f t="array" ref="H1781">_xlfn.IFS(
  G1781 &lt; 25000, "Low",
  AND(G1781 &gt;= 25000, G1781 &lt; 75000), "Medium",
  AND(G1781 &gt;= 75000, G1781 &lt; 150000), "High",
  G1781 &gt;= 150000, "Very High"
)</f>
        <v>Medium</v>
      </c>
      <c r="I1781" s="6">
        <v>0</v>
      </c>
      <c r="J1781" s="6">
        <v>0</v>
      </c>
      <c r="K1781" s="6">
        <f t="shared" si="109"/>
        <v>0</v>
      </c>
      <c r="L1781" s="8">
        <v>41487</v>
      </c>
      <c r="M1781" t="str">
        <f t="shared" ca="1" si="110"/>
        <v>12 years, 7 months</v>
      </c>
      <c r="N1781" s="6">
        <v>1</v>
      </c>
      <c r="O1781">
        <v>22</v>
      </c>
      <c r="P1781">
        <v>89</v>
      </c>
      <c r="Q1781">
        <f t="shared" si="111"/>
        <v>111</v>
      </c>
      <c r="R1781">
        <v>2</v>
      </c>
      <c r="S1781">
        <v>13</v>
      </c>
      <c r="T1781">
        <f>Table[[#This Row],[NumWebPurchases]]+Table[[#This Row],[NumStorePurchases]]</f>
        <v>15</v>
      </c>
    </row>
    <row r="1782" spans="1:20" ht="12.5">
      <c r="A1782" s="6">
        <v>1780</v>
      </c>
      <c r="B1782" s="6">
        <v>5150</v>
      </c>
      <c r="C1782" s="6">
        <v>1979</v>
      </c>
      <c r="D1782" s="6">
        <f t="shared" si="108"/>
        <v>46</v>
      </c>
      <c r="E1782" s="7" t="s">
        <v>16</v>
      </c>
      <c r="F1782" s="7" t="s">
        <v>10</v>
      </c>
      <c r="G1782" s="6">
        <v>20194</v>
      </c>
      <c r="H1782" s="6" t="str" cm="1">
        <f t="array" ref="H1782">_xlfn.IFS(
  G1782 &lt; 25000, "Low",
  AND(G1782 &gt;= 25000, G1782 &lt; 75000), "Medium",
  AND(G1782 &gt;= 75000, G1782 &lt; 150000), "High",
  G1782 &gt;= 150000, "Very High"
)</f>
        <v>Low</v>
      </c>
      <c r="I1782" s="6">
        <v>1</v>
      </c>
      <c r="J1782" s="6">
        <v>0</v>
      </c>
      <c r="K1782" s="6">
        <f t="shared" si="109"/>
        <v>1</v>
      </c>
      <c r="L1782" s="9">
        <v>41260</v>
      </c>
      <c r="M1782" t="str">
        <f t="shared" ca="1" si="110"/>
        <v>13 years, 2 months</v>
      </c>
      <c r="N1782" s="6">
        <v>64</v>
      </c>
      <c r="O1782">
        <v>4</v>
      </c>
      <c r="P1782">
        <v>10</v>
      </c>
      <c r="Q1782">
        <f t="shared" si="111"/>
        <v>14</v>
      </c>
      <c r="R1782">
        <v>2</v>
      </c>
      <c r="S1782">
        <v>3</v>
      </c>
      <c r="T1782">
        <f>Table[[#This Row],[NumWebPurchases]]+Table[[#This Row],[NumStorePurchases]]</f>
        <v>5</v>
      </c>
    </row>
    <row r="1783" spans="1:20" ht="12.5">
      <c r="A1783" s="6">
        <v>1781</v>
      </c>
      <c r="B1783" s="6">
        <v>5283</v>
      </c>
      <c r="C1783" s="6">
        <v>1976</v>
      </c>
      <c r="D1783" s="6">
        <f t="shared" si="108"/>
        <v>49</v>
      </c>
      <c r="E1783" s="7" t="s">
        <v>12</v>
      </c>
      <c r="F1783" s="7" t="s">
        <v>10</v>
      </c>
      <c r="G1783" s="6">
        <v>42473</v>
      </c>
      <c r="H1783" s="6" t="str" cm="1">
        <f t="array" ref="H1783">_xlfn.IFS(
  G1783 &lt; 25000, "Low",
  AND(G1783 &gt;= 25000, G1783 &lt; 75000), "Medium",
  AND(G1783 &gt;= 75000, G1783 &lt; 150000), "High",
  G1783 &gt;= 150000, "Very High"
)</f>
        <v>Medium</v>
      </c>
      <c r="I1783" s="6">
        <v>1</v>
      </c>
      <c r="J1783" s="6">
        <v>1</v>
      </c>
      <c r="K1783" s="6">
        <f t="shared" si="109"/>
        <v>2</v>
      </c>
      <c r="L1783" s="8">
        <v>41687</v>
      </c>
      <c r="M1783" t="str">
        <f t="shared" ca="1" si="110"/>
        <v>12 years, 0 months</v>
      </c>
      <c r="N1783" s="6">
        <v>72</v>
      </c>
      <c r="O1783">
        <v>1</v>
      </c>
      <c r="P1783">
        <v>4</v>
      </c>
      <c r="Q1783">
        <f t="shared" si="111"/>
        <v>5</v>
      </c>
      <c r="R1783">
        <v>2</v>
      </c>
      <c r="S1783">
        <v>4</v>
      </c>
      <c r="T1783">
        <f>Table[[#This Row],[NumWebPurchases]]+Table[[#This Row],[NumStorePurchases]]</f>
        <v>6</v>
      </c>
    </row>
    <row r="1784" spans="1:20" ht="12.5">
      <c r="A1784" s="6">
        <v>1782</v>
      </c>
      <c r="B1784" s="6">
        <v>9645</v>
      </c>
      <c r="C1784" s="6">
        <v>1968</v>
      </c>
      <c r="D1784" s="6">
        <f t="shared" si="108"/>
        <v>57</v>
      </c>
      <c r="E1784" s="7" t="s">
        <v>9</v>
      </c>
      <c r="F1784" s="7" t="s">
        <v>13</v>
      </c>
      <c r="G1784" s="6">
        <v>64590</v>
      </c>
      <c r="H1784" s="6" t="str" cm="1">
        <f t="array" ref="H1784">_xlfn.IFS(
  G1784 &lt; 25000, "Low",
  AND(G1784 &gt;= 25000, G1784 &lt; 75000), "Medium",
  AND(G1784 &gt;= 75000, G1784 &lt; 150000), "High",
  G1784 &gt;= 150000, "Very High"
)</f>
        <v>Medium</v>
      </c>
      <c r="I1784" s="6">
        <v>0</v>
      </c>
      <c r="J1784" s="6">
        <v>0</v>
      </c>
      <c r="K1784" s="6">
        <f t="shared" si="109"/>
        <v>0</v>
      </c>
      <c r="L1784" s="9">
        <v>41196</v>
      </c>
      <c r="M1784" t="str">
        <f t="shared" ca="1" si="110"/>
        <v>13 years, 4 months</v>
      </c>
      <c r="N1784" s="6">
        <v>98</v>
      </c>
      <c r="O1784">
        <v>138</v>
      </c>
      <c r="P1784">
        <v>46</v>
      </c>
      <c r="Q1784">
        <f t="shared" si="111"/>
        <v>184</v>
      </c>
      <c r="R1784">
        <v>9</v>
      </c>
      <c r="S1784">
        <v>10</v>
      </c>
      <c r="T1784">
        <f>Table[[#This Row],[NumWebPurchases]]+Table[[#This Row],[NumStorePurchases]]</f>
        <v>19</v>
      </c>
    </row>
    <row r="1785" spans="1:20" ht="12.5">
      <c r="A1785" s="6">
        <v>1783</v>
      </c>
      <c r="B1785" s="6">
        <v>10678</v>
      </c>
      <c r="C1785" s="6">
        <v>1959</v>
      </c>
      <c r="D1785" s="6">
        <f t="shared" si="108"/>
        <v>66</v>
      </c>
      <c r="E1785" s="7" t="s">
        <v>9</v>
      </c>
      <c r="F1785" s="7" t="s">
        <v>11</v>
      </c>
      <c r="G1785" s="6">
        <v>71232</v>
      </c>
      <c r="H1785" s="6" t="str" cm="1">
        <f t="array" ref="H1785">_xlfn.IFS(
  G1785 &lt; 25000, "Low",
  AND(G1785 &gt;= 25000, G1785 &lt; 75000), "Medium",
  AND(G1785 &gt;= 75000, G1785 &lt; 150000), "High",
  G1785 &gt;= 150000, "Very High"
)</f>
        <v>Medium</v>
      </c>
      <c r="I1785" s="6">
        <v>0</v>
      </c>
      <c r="J1785" s="6">
        <v>1</v>
      </c>
      <c r="K1785" s="6">
        <f t="shared" si="109"/>
        <v>1</v>
      </c>
      <c r="L1785" s="9">
        <v>41606</v>
      </c>
      <c r="M1785" t="str">
        <f t="shared" ca="1" si="110"/>
        <v>12 years, 3 months</v>
      </c>
      <c r="N1785" s="6">
        <v>91</v>
      </c>
      <c r="O1785">
        <v>17</v>
      </c>
      <c r="P1785">
        <v>26</v>
      </c>
      <c r="Q1785">
        <f t="shared" si="111"/>
        <v>43</v>
      </c>
      <c r="R1785">
        <v>11</v>
      </c>
      <c r="S1785">
        <v>10</v>
      </c>
      <c r="T1785">
        <f>Table[[#This Row],[NumWebPurchases]]+Table[[#This Row],[NumStorePurchases]]</f>
        <v>21</v>
      </c>
    </row>
    <row r="1786" spans="1:20" ht="12.5">
      <c r="A1786" s="6">
        <v>1784</v>
      </c>
      <c r="B1786" s="6">
        <v>7261</v>
      </c>
      <c r="C1786" s="6">
        <v>1971</v>
      </c>
      <c r="D1786" s="6">
        <f t="shared" si="108"/>
        <v>54</v>
      </c>
      <c r="E1786" s="7" t="s">
        <v>9</v>
      </c>
      <c r="F1786" s="7" t="s">
        <v>11</v>
      </c>
      <c r="G1786" s="6">
        <v>34600</v>
      </c>
      <c r="H1786" s="6" t="str" cm="1">
        <f t="array" ref="H1786">_xlfn.IFS(
  G1786 &lt; 25000, "Low",
  AND(G1786 &gt;= 25000, G1786 &lt; 75000), "Medium",
  AND(G1786 &gt;= 75000, G1786 &lt; 150000), "High",
  G1786 &gt;= 150000, "Very High"
)</f>
        <v>Medium</v>
      </c>
      <c r="I1786" s="6">
        <v>1</v>
      </c>
      <c r="J1786" s="6">
        <v>1</v>
      </c>
      <c r="K1786" s="6">
        <f t="shared" si="109"/>
        <v>2</v>
      </c>
      <c r="L1786" s="8">
        <v>41275</v>
      </c>
      <c r="M1786" t="str">
        <f t="shared" ca="1" si="110"/>
        <v>13 years, 2 months</v>
      </c>
      <c r="N1786" s="6">
        <v>8</v>
      </c>
      <c r="O1786">
        <v>33</v>
      </c>
      <c r="P1786">
        <v>3</v>
      </c>
      <c r="Q1786">
        <f t="shared" si="111"/>
        <v>36</v>
      </c>
      <c r="R1786">
        <v>5</v>
      </c>
      <c r="S1786">
        <v>5</v>
      </c>
      <c r="T1786">
        <f>Table[[#This Row],[NumWebPurchases]]+Table[[#This Row],[NumStorePurchases]]</f>
        <v>10</v>
      </c>
    </row>
    <row r="1787" spans="1:20" ht="12.5">
      <c r="A1787" s="6">
        <v>1785</v>
      </c>
      <c r="B1787" s="6">
        <v>9648</v>
      </c>
      <c r="C1787" s="6">
        <v>1967</v>
      </c>
      <c r="D1787" s="6">
        <f t="shared" si="108"/>
        <v>58</v>
      </c>
      <c r="E1787" s="7" t="s">
        <v>9</v>
      </c>
      <c r="F1787" s="7" t="s">
        <v>10</v>
      </c>
      <c r="G1787" s="6">
        <v>46904</v>
      </c>
      <c r="H1787" s="6" t="str" cm="1">
        <f t="array" ref="H1787">_xlfn.IFS(
  G1787 &lt; 25000, "Low",
  AND(G1787 &gt;= 25000, G1787 &lt; 75000), "Medium",
  AND(G1787 &gt;= 75000, G1787 &lt; 150000), "High",
  G1787 &gt;= 150000, "Very High"
)</f>
        <v>Medium</v>
      </c>
      <c r="I1787" s="6">
        <v>1</v>
      </c>
      <c r="J1787" s="6">
        <v>1</v>
      </c>
      <c r="K1787" s="6">
        <f t="shared" si="109"/>
        <v>2</v>
      </c>
      <c r="L1787" s="8">
        <v>41216</v>
      </c>
      <c r="M1787" t="str">
        <f t="shared" ca="1" si="110"/>
        <v>13 years, 4 months</v>
      </c>
      <c r="N1787" s="6">
        <v>20</v>
      </c>
      <c r="O1787">
        <v>4</v>
      </c>
      <c r="P1787">
        <v>9</v>
      </c>
      <c r="Q1787">
        <f t="shared" si="111"/>
        <v>13</v>
      </c>
      <c r="R1787">
        <v>5</v>
      </c>
      <c r="S1787">
        <v>4</v>
      </c>
      <c r="T1787">
        <f>Table[[#This Row],[NumWebPurchases]]+Table[[#This Row],[NumStorePurchases]]</f>
        <v>9</v>
      </c>
    </row>
    <row r="1788" spans="1:20" ht="12.5">
      <c r="A1788" s="6">
        <v>1786</v>
      </c>
      <c r="B1788" s="6">
        <v>2870</v>
      </c>
      <c r="C1788" s="6">
        <v>1973</v>
      </c>
      <c r="D1788" s="6">
        <f t="shared" si="108"/>
        <v>52</v>
      </c>
      <c r="E1788" s="7" t="s">
        <v>9</v>
      </c>
      <c r="F1788" s="7" t="s">
        <v>13</v>
      </c>
      <c r="G1788" s="6">
        <v>49094</v>
      </c>
      <c r="H1788" s="6" t="str" cm="1">
        <f t="array" ref="H1788">_xlfn.IFS(
  G1788 &lt; 25000, "Low",
  AND(G1788 &gt;= 25000, G1788 &lt; 75000), "Medium",
  AND(G1788 &gt;= 75000, G1788 &lt; 150000), "High",
  G1788 &gt;= 150000, "Very High"
)</f>
        <v>Medium</v>
      </c>
      <c r="I1788" s="6">
        <v>0</v>
      </c>
      <c r="J1788" s="6">
        <v>1</v>
      </c>
      <c r="K1788" s="6">
        <f t="shared" si="109"/>
        <v>1</v>
      </c>
      <c r="L1788" s="8">
        <v>41173</v>
      </c>
      <c r="M1788" t="str">
        <f t="shared" ca="1" si="110"/>
        <v>13 years, 5 months</v>
      </c>
      <c r="N1788" s="6">
        <v>6</v>
      </c>
      <c r="O1788">
        <v>0</v>
      </c>
      <c r="P1788">
        <v>8</v>
      </c>
      <c r="Q1788">
        <f t="shared" si="111"/>
        <v>8</v>
      </c>
      <c r="R1788">
        <v>6</v>
      </c>
      <c r="S1788">
        <v>6</v>
      </c>
      <c r="T1788">
        <f>Table[[#This Row],[NumWebPurchases]]+Table[[#This Row],[NumStorePurchases]]</f>
        <v>12</v>
      </c>
    </row>
    <row r="1789" spans="1:20" ht="12.5">
      <c r="A1789" s="6">
        <v>1787</v>
      </c>
      <c r="B1789" s="6">
        <v>8008</v>
      </c>
      <c r="C1789" s="6">
        <v>1983</v>
      </c>
      <c r="D1789" s="6">
        <f t="shared" si="108"/>
        <v>42</v>
      </c>
      <c r="E1789" s="7" t="s">
        <v>9</v>
      </c>
      <c r="F1789" s="7" t="s">
        <v>11</v>
      </c>
      <c r="G1789" s="6">
        <v>36075</v>
      </c>
      <c r="H1789" s="6" t="str" cm="1">
        <f t="array" ref="H1789">_xlfn.IFS(
  G1789 &lt; 25000, "Low",
  AND(G1789 &gt;= 25000, G1789 &lt; 75000), "Medium",
  AND(G1789 &gt;= 75000, G1789 &lt; 150000), "High",
  G1789 &gt;= 150000, "Very High"
)</f>
        <v>Medium</v>
      </c>
      <c r="I1789" s="6">
        <v>1</v>
      </c>
      <c r="J1789" s="6">
        <v>0</v>
      </c>
      <c r="K1789" s="6">
        <f t="shared" si="109"/>
        <v>1</v>
      </c>
      <c r="L1789" s="8">
        <v>41617</v>
      </c>
      <c r="M1789" t="str">
        <f t="shared" ca="1" si="110"/>
        <v>12 years, 2 months</v>
      </c>
      <c r="N1789" s="6">
        <v>54</v>
      </c>
      <c r="O1789">
        <v>0</v>
      </c>
      <c r="P1789">
        <v>1</v>
      </c>
      <c r="Q1789">
        <f t="shared" si="111"/>
        <v>1</v>
      </c>
      <c r="R1789">
        <v>2</v>
      </c>
      <c r="S1789">
        <v>4</v>
      </c>
      <c r="T1789">
        <f>Table[[#This Row],[NumWebPurchases]]+Table[[#This Row],[NumStorePurchases]]</f>
        <v>6</v>
      </c>
    </row>
    <row r="1790" spans="1:20" ht="12.5">
      <c r="A1790" s="6">
        <v>1788</v>
      </c>
      <c r="B1790" s="6">
        <v>1513</v>
      </c>
      <c r="C1790" s="6">
        <v>1979</v>
      </c>
      <c r="D1790" s="6">
        <f t="shared" si="108"/>
        <v>46</v>
      </c>
      <c r="E1790" s="7" t="s">
        <v>17</v>
      </c>
      <c r="F1790" s="7" t="s">
        <v>11</v>
      </c>
      <c r="G1790" s="6">
        <v>60839</v>
      </c>
      <c r="H1790" s="6" t="str" cm="1">
        <f t="array" ref="H1790">_xlfn.IFS(
  G1790 &lt; 25000, "Low",
  AND(G1790 &gt;= 25000, G1790 &lt; 75000), "Medium",
  AND(G1790 &gt;= 75000, G1790 &lt; 150000), "High",
  G1790 &gt;= 150000, "Very High"
)</f>
        <v>Medium</v>
      </c>
      <c r="I1790" s="6">
        <v>1</v>
      </c>
      <c r="J1790" s="6">
        <v>1</v>
      </c>
      <c r="K1790" s="6">
        <f t="shared" si="109"/>
        <v>2</v>
      </c>
      <c r="L1790" s="8">
        <v>41149</v>
      </c>
      <c r="M1790" t="str">
        <f t="shared" ca="1" si="110"/>
        <v>13 years, 6 months</v>
      </c>
      <c r="N1790" s="6">
        <v>72</v>
      </c>
      <c r="O1790">
        <v>21</v>
      </c>
      <c r="P1790">
        <v>150</v>
      </c>
      <c r="Q1790">
        <f t="shared" si="111"/>
        <v>171</v>
      </c>
      <c r="R1790">
        <v>2</v>
      </c>
      <c r="S1790">
        <v>12</v>
      </c>
      <c r="T1790">
        <f>Table[[#This Row],[NumWebPurchases]]+Table[[#This Row],[NumStorePurchases]]</f>
        <v>14</v>
      </c>
    </row>
    <row r="1791" spans="1:20" ht="12.5">
      <c r="A1791" s="6">
        <v>1789</v>
      </c>
      <c r="B1791" s="6">
        <v>6173</v>
      </c>
      <c r="C1791" s="6">
        <v>1979</v>
      </c>
      <c r="D1791" s="6">
        <f t="shared" si="108"/>
        <v>46</v>
      </c>
      <c r="E1791" s="7" t="s">
        <v>9</v>
      </c>
      <c r="F1791" s="7" t="s">
        <v>11</v>
      </c>
      <c r="G1791" s="6">
        <v>77298</v>
      </c>
      <c r="H1791" s="6" t="str" cm="1">
        <f t="array" ref="H1791">_xlfn.IFS(
  G1791 &lt; 25000, "Low",
  AND(G1791 &gt;= 25000, G1791 &lt; 75000), "Medium",
  AND(G1791 &gt;= 75000, G1791 &lt; 150000), "High",
  G1791 &gt;= 150000, "Very High"
)</f>
        <v>High</v>
      </c>
      <c r="I1791" s="6">
        <v>0</v>
      </c>
      <c r="J1791" s="6">
        <v>1</v>
      </c>
      <c r="K1791" s="6">
        <f t="shared" si="109"/>
        <v>1</v>
      </c>
      <c r="L1791" s="8">
        <v>41580</v>
      </c>
      <c r="M1791" t="str">
        <f t="shared" ca="1" si="110"/>
        <v>12 years, 4 months</v>
      </c>
      <c r="N1791" s="6">
        <v>46</v>
      </c>
      <c r="O1791">
        <v>115</v>
      </c>
      <c r="P1791">
        <v>35</v>
      </c>
      <c r="Q1791">
        <f t="shared" si="111"/>
        <v>150</v>
      </c>
      <c r="R1791">
        <v>6</v>
      </c>
      <c r="S1791">
        <v>11</v>
      </c>
      <c r="T1791">
        <f>Table[[#This Row],[NumWebPurchases]]+Table[[#This Row],[NumStorePurchases]]</f>
        <v>17</v>
      </c>
    </row>
    <row r="1792" spans="1:20" ht="12.5">
      <c r="A1792" s="6">
        <v>1790</v>
      </c>
      <c r="B1792" s="6">
        <v>1419</v>
      </c>
      <c r="C1792" s="6">
        <v>1950</v>
      </c>
      <c r="D1792" s="6">
        <f t="shared" si="108"/>
        <v>75</v>
      </c>
      <c r="E1792" s="7" t="s">
        <v>9</v>
      </c>
      <c r="F1792" s="7" t="s">
        <v>11</v>
      </c>
      <c r="G1792" s="6">
        <v>34026</v>
      </c>
      <c r="H1792" s="6" t="str" cm="1">
        <f t="array" ref="H1792">_xlfn.IFS(
  G1792 &lt; 25000, "Low",
  AND(G1792 &gt;= 25000, G1792 &lt; 75000), "Medium",
  AND(G1792 &gt;= 75000, G1792 &lt; 150000), "High",
  G1792 &gt;= 150000, "Very High"
)</f>
        <v>Medium</v>
      </c>
      <c r="I1792" s="6">
        <v>1</v>
      </c>
      <c r="J1792" s="6">
        <v>1</v>
      </c>
      <c r="K1792" s="6">
        <f t="shared" si="109"/>
        <v>2</v>
      </c>
      <c r="L1792" s="8">
        <v>41491</v>
      </c>
      <c r="M1792" t="str">
        <f t="shared" ca="1" si="110"/>
        <v>12 years, 7 months</v>
      </c>
      <c r="N1792" s="6">
        <v>11</v>
      </c>
      <c r="O1792">
        <v>6</v>
      </c>
      <c r="P1792">
        <v>8</v>
      </c>
      <c r="Q1792">
        <f t="shared" si="111"/>
        <v>14</v>
      </c>
      <c r="R1792">
        <v>2</v>
      </c>
      <c r="S1792">
        <v>3</v>
      </c>
      <c r="T1792">
        <f>Table[[#This Row],[NumWebPurchases]]+Table[[#This Row],[NumStorePurchases]]</f>
        <v>5</v>
      </c>
    </row>
    <row r="1793" spans="1:20" ht="12.5">
      <c r="A1793" s="6">
        <v>1791</v>
      </c>
      <c r="B1793" s="6">
        <v>9150</v>
      </c>
      <c r="C1793" s="6">
        <v>1963</v>
      </c>
      <c r="D1793" s="6">
        <f t="shared" si="108"/>
        <v>62</v>
      </c>
      <c r="E1793" s="7" t="s">
        <v>12</v>
      </c>
      <c r="F1793" s="7" t="s">
        <v>10</v>
      </c>
      <c r="G1793" s="6">
        <v>48918</v>
      </c>
      <c r="H1793" s="6" t="str" cm="1">
        <f t="array" ref="H1793">_xlfn.IFS(
  G1793 &lt; 25000, "Low",
  AND(G1793 &gt;= 25000, G1793 &lt; 75000), "Medium",
  AND(G1793 &gt;= 75000, G1793 &lt; 150000), "High",
  G1793 &gt;= 150000, "Very High"
)</f>
        <v>Medium</v>
      </c>
      <c r="I1793" s="6">
        <v>1</v>
      </c>
      <c r="J1793" s="6">
        <v>1</v>
      </c>
      <c r="K1793" s="6">
        <f t="shared" si="109"/>
        <v>2</v>
      </c>
      <c r="L1793" s="8">
        <v>41741</v>
      </c>
      <c r="M1793" t="str">
        <f t="shared" ca="1" si="110"/>
        <v>11 years, 10 months</v>
      </c>
      <c r="N1793" s="6">
        <v>21</v>
      </c>
      <c r="O1793">
        <v>0</v>
      </c>
      <c r="P1793">
        <v>0</v>
      </c>
      <c r="Q1793">
        <f t="shared" si="111"/>
        <v>0</v>
      </c>
      <c r="R1793">
        <v>1</v>
      </c>
      <c r="S1793">
        <v>4</v>
      </c>
      <c r="T1793">
        <f>Table[[#This Row],[NumWebPurchases]]+Table[[#This Row],[NumStorePurchases]]</f>
        <v>5</v>
      </c>
    </row>
    <row r="1794" spans="1:20" ht="12.5">
      <c r="A1794" s="6">
        <v>1792</v>
      </c>
      <c r="B1794" s="6">
        <v>7960</v>
      </c>
      <c r="C1794" s="6">
        <v>1962</v>
      </c>
      <c r="D1794" s="6">
        <f t="shared" si="108"/>
        <v>63</v>
      </c>
      <c r="E1794" s="7" t="s">
        <v>17</v>
      </c>
      <c r="F1794" s="7" t="s">
        <v>11</v>
      </c>
      <c r="G1794" s="6">
        <v>82122</v>
      </c>
      <c r="H1794" s="6" t="str" cm="1">
        <f t="array" ref="H1794">_xlfn.IFS(
  G1794 &lt; 25000, "Low",
  AND(G1794 &gt;= 25000, G1794 &lt; 75000), "Medium",
  AND(G1794 &gt;= 75000, G1794 &lt; 150000), "High",
  G1794 &gt;= 150000, "Very High"
)</f>
        <v>High</v>
      </c>
      <c r="I1794" s="6">
        <v>0</v>
      </c>
      <c r="J1794" s="6">
        <v>0</v>
      </c>
      <c r="K1794" s="6">
        <f t="shared" si="109"/>
        <v>0</v>
      </c>
      <c r="L1794" s="8">
        <v>41501</v>
      </c>
      <c r="M1794" t="str">
        <f t="shared" ca="1" si="110"/>
        <v>12 years, 6 months</v>
      </c>
      <c r="N1794" s="6">
        <v>89</v>
      </c>
      <c r="O1794">
        <v>22</v>
      </c>
      <c r="P1794">
        <v>25</v>
      </c>
      <c r="Q1794">
        <f t="shared" si="111"/>
        <v>47</v>
      </c>
      <c r="R1794">
        <v>3</v>
      </c>
      <c r="S1794">
        <v>13</v>
      </c>
      <c r="T1794">
        <f>Table[[#This Row],[NumWebPurchases]]+Table[[#This Row],[NumStorePurchases]]</f>
        <v>16</v>
      </c>
    </row>
    <row r="1795" spans="1:20" ht="12.5">
      <c r="A1795" s="6">
        <v>1793</v>
      </c>
      <c r="B1795" s="6">
        <v>1250</v>
      </c>
      <c r="C1795" s="6">
        <v>1976</v>
      </c>
      <c r="D1795" s="6">
        <f t="shared" ref="D1795:D1858" si="112">2025-C1795</f>
        <v>49</v>
      </c>
      <c r="E1795" s="7" t="s">
        <v>9</v>
      </c>
      <c r="F1795" s="7" t="s">
        <v>10</v>
      </c>
      <c r="G1795" s="6">
        <v>37697</v>
      </c>
      <c r="H1795" s="6" t="str" cm="1">
        <f t="array" ref="H1795">_xlfn.IFS(
  G1795 &lt; 25000, "Low",
  AND(G1795 &gt;= 25000, G1795 &lt; 75000), "Medium",
  AND(G1795 &gt;= 75000, G1795 &lt; 150000), "High",
  G1795 &gt;= 150000, "Very High"
)</f>
        <v>Medium</v>
      </c>
      <c r="I1795" s="6">
        <v>1</v>
      </c>
      <c r="J1795" s="6">
        <v>0</v>
      </c>
      <c r="K1795" s="6">
        <f t="shared" ref="K1795:K1858" si="113">I1795+J1795</f>
        <v>1</v>
      </c>
      <c r="L1795" s="8">
        <v>41677</v>
      </c>
      <c r="M1795" t="str">
        <f t="shared" ref="M1795:M1858" ca="1" si="114">DATEDIF(L1795, TODAY(), "Y") &amp; " years, " &amp; DATEDIF(L1795, TODAY(), "YM") &amp; " months"</f>
        <v>12 years, 0 months</v>
      </c>
      <c r="N1795" s="6">
        <v>82</v>
      </c>
      <c r="O1795">
        <v>6</v>
      </c>
      <c r="P1795">
        <v>4</v>
      </c>
      <c r="Q1795">
        <f t="shared" ref="Q1795:Q1858" si="115">O1795+P1795</f>
        <v>10</v>
      </c>
      <c r="R1795">
        <v>2</v>
      </c>
      <c r="S1795">
        <v>3</v>
      </c>
      <c r="T1795">
        <f>Table[[#This Row],[NumWebPurchases]]+Table[[#This Row],[NumStorePurchases]]</f>
        <v>5</v>
      </c>
    </row>
    <row r="1796" spans="1:20" ht="12.5">
      <c r="A1796" s="6">
        <v>1794</v>
      </c>
      <c r="B1796" s="6">
        <v>9905</v>
      </c>
      <c r="C1796" s="6">
        <v>1952</v>
      </c>
      <c r="D1796" s="6">
        <f t="shared" si="112"/>
        <v>73</v>
      </c>
      <c r="E1796" s="7" t="s">
        <v>9</v>
      </c>
      <c r="F1796" s="7" t="s">
        <v>11</v>
      </c>
      <c r="G1796" s="6">
        <v>34074</v>
      </c>
      <c r="H1796" s="6" t="str" cm="1">
        <f t="array" ref="H1796">_xlfn.IFS(
  G1796 &lt; 25000, "Low",
  AND(G1796 &gt;= 25000, G1796 &lt; 75000), "Medium",
  AND(G1796 &gt;= 75000, G1796 &lt; 150000), "High",
  G1796 &gt;= 150000, "Very High"
)</f>
        <v>Medium</v>
      </c>
      <c r="I1796" s="6">
        <v>1</v>
      </c>
      <c r="J1796" s="6">
        <v>1</v>
      </c>
      <c r="K1796" s="6">
        <f t="shared" si="113"/>
        <v>2</v>
      </c>
      <c r="L1796" s="8">
        <v>41468</v>
      </c>
      <c r="M1796" t="str">
        <f t="shared" ca="1" si="114"/>
        <v>12 years, 7 months</v>
      </c>
      <c r="N1796" s="6">
        <v>69</v>
      </c>
      <c r="O1796">
        <v>1</v>
      </c>
      <c r="P1796">
        <v>1</v>
      </c>
      <c r="Q1796">
        <f t="shared" si="115"/>
        <v>2</v>
      </c>
      <c r="R1796">
        <v>3</v>
      </c>
      <c r="S1796">
        <v>3</v>
      </c>
      <c r="T1796">
        <f>Table[[#This Row],[NumWebPurchases]]+Table[[#This Row],[NumStorePurchases]]</f>
        <v>6</v>
      </c>
    </row>
    <row r="1797" spans="1:20" ht="12.5">
      <c r="A1797" s="6">
        <v>1795</v>
      </c>
      <c r="B1797" s="6">
        <v>10691</v>
      </c>
      <c r="C1797" s="6">
        <v>1960</v>
      </c>
      <c r="D1797" s="6">
        <f t="shared" si="112"/>
        <v>65</v>
      </c>
      <c r="E1797" s="7" t="s">
        <v>14</v>
      </c>
      <c r="F1797" s="7" t="s">
        <v>13</v>
      </c>
      <c r="G1797" s="6">
        <v>28520</v>
      </c>
      <c r="H1797" s="6" t="str" cm="1">
        <f t="array" ref="H1797">_xlfn.IFS(
  G1797 &lt; 25000, "Low",
  AND(G1797 &gt;= 25000, G1797 &lt; 75000), "Medium",
  AND(G1797 &gt;= 75000, G1797 &lt; 150000), "High",
  G1797 &gt;= 150000, "Very High"
)</f>
        <v>Medium</v>
      </c>
      <c r="I1797" s="6">
        <v>1</v>
      </c>
      <c r="J1797" s="6">
        <v>1</v>
      </c>
      <c r="K1797" s="6">
        <f t="shared" si="113"/>
        <v>2</v>
      </c>
      <c r="L1797" s="8">
        <v>41439</v>
      </c>
      <c r="M1797" t="str">
        <f t="shared" ca="1" si="114"/>
        <v>12 years, 8 months</v>
      </c>
      <c r="N1797" s="6">
        <v>55</v>
      </c>
      <c r="O1797">
        <v>0</v>
      </c>
      <c r="P1797">
        <v>2</v>
      </c>
      <c r="Q1797">
        <f t="shared" si="115"/>
        <v>2</v>
      </c>
      <c r="R1797">
        <v>1</v>
      </c>
      <c r="S1797">
        <v>2</v>
      </c>
      <c r="T1797">
        <f>Table[[#This Row],[NumWebPurchases]]+Table[[#This Row],[NumStorePurchases]]</f>
        <v>3</v>
      </c>
    </row>
    <row r="1798" spans="1:20" ht="12.5">
      <c r="A1798" s="6">
        <v>1796</v>
      </c>
      <c r="B1798" s="6">
        <v>7002</v>
      </c>
      <c r="C1798" s="6">
        <v>1955</v>
      </c>
      <c r="D1798" s="6">
        <f t="shared" si="112"/>
        <v>70</v>
      </c>
      <c r="E1798" s="7" t="s">
        <v>9</v>
      </c>
      <c r="F1798" s="7" t="s">
        <v>10</v>
      </c>
      <c r="G1798" s="6">
        <v>62535</v>
      </c>
      <c r="H1798" s="6" t="str" cm="1">
        <f t="array" ref="H1798">_xlfn.IFS(
  G1798 &lt; 25000, "Low",
  AND(G1798 &gt;= 25000, G1798 &lt; 75000), "Medium",
  AND(G1798 &gt;= 75000, G1798 &lt; 150000), "High",
  G1798 &gt;= 150000, "Very High"
)</f>
        <v>Medium</v>
      </c>
      <c r="I1798" s="6">
        <v>0</v>
      </c>
      <c r="J1798" s="6">
        <v>1</v>
      </c>
      <c r="K1798" s="6">
        <f t="shared" si="113"/>
        <v>1</v>
      </c>
      <c r="L1798" s="8">
        <v>41550</v>
      </c>
      <c r="M1798" t="str">
        <f t="shared" ca="1" si="114"/>
        <v>12 years, 5 months</v>
      </c>
      <c r="N1798" s="6">
        <v>13</v>
      </c>
      <c r="O1798">
        <v>48</v>
      </c>
      <c r="P1798">
        <v>45</v>
      </c>
      <c r="Q1798">
        <f t="shared" si="115"/>
        <v>93</v>
      </c>
      <c r="R1798">
        <v>3</v>
      </c>
      <c r="S1798">
        <v>8</v>
      </c>
      <c r="T1798">
        <f>Table[[#This Row],[NumWebPurchases]]+Table[[#This Row],[NumStorePurchases]]</f>
        <v>11</v>
      </c>
    </row>
    <row r="1799" spans="1:20" ht="12.5">
      <c r="A1799" s="6">
        <v>1797</v>
      </c>
      <c r="B1799" s="6">
        <v>2952</v>
      </c>
      <c r="C1799" s="6">
        <v>1977</v>
      </c>
      <c r="D1799" s="6">
        <f t="shared" si="112"/>
        <v>48</v>
      </c>
      <c r="E1799" s="7" t="s">
        <v>14</v>
      </c>
      <c r="F1799" s="7" t="s">
        <v>10</v>
      </c>
      <c r="G1799" s="6">
        <v>36273</v>
      </c>
      <c r="H1799" s="6" t="str" cm="1">
        <f t="array" ref="H1799">_xlfn.IFS(
  G1799 &lt; 25000, "Low",
  AND(G1799 &gt;= 25000, G1799 &lt; 75000), "Medium",
  AND(G1799 &gt;= 75000, G1799 &lt; 150000), "High",
  G1799 &gt;= 150000, "Very High"
)</f>
        <v>Medium</v>
      </c>
      <c r="I1799" s="6">
        <v>1</v>
      </c>
      <c r="J1799" s="6">
        <v>0</v>
      </c>
      <c r="K1799" s="6">
        <f t="shared" si="113"/>
        <v>1</v>
      </c>
      <c r="L1799" s="8">
        <v>41745</v>
      </c>
      <c r="M1799" t="str">
        <f t="shared" ca="1" si="114"/>
        <v>11 years, 10 months</v>
      </c>
      <c r="N1799" s="6">
        <v>80</v>
      </c>
      <c r="O1799">
        <v>3</v>
      </c>
      <c r="P1799">
        <v>2</v>
      </c>
      <c r="Q1799">
        <f t="shared" si="115"/>
        <v>5</v>
      </c>
      <c r="R1799">
        <v>3</v>
      </c>
      <c r="S1799">
        <v>3</v>
      </c>
      <c r="T1799">
        <f>Table[[#This Row],[NumWebPurchases]]+Table[[#This Row],[NumStorePurchases]]</f>
        <v>6</v>
      </c>
    </row>
    <row r="1800" spans="1:20" ht="12.5">
      <c r="A1800" s="6">
        <v>1798</v>
      </c>
      <c r="B1800" s="6">
        <v>8439</v>
      </c>
      <c r="C1800" s="6">
        <v>1964</v>
      </c>
      <c r="D1800" s="6">
        <f t="shared" si="112"/>
        <v>61</v>
      </c>
      <c r="E1800" s="7" t="s">
        <v>9</v>
      </c>
      <c r="F1800" s="7" t="s">
        <v>11</v>
      </c>
      <c r="G1800" s="6">
        <v>63404</v>
      </c>
      <c r="H1800" s="6" t="str" cm="1">
        <f t="array" ref="H1800">_xlfn.IFS(
  G1800 &lt; 25000, "Low",
  AND(G1800 &gt;= 25000, G1800 &lt; 75000), "Medium",
  AND(G1800 &gt;= 75000, G1800 &lt; 150000), "High",
  G1800 &gt;= 150000, "Very High"
)</f>
        <v>Medium</v>
      </c>
      <c r="I1800" s="6">
        <v>0</v>
      </c>
      <c r="J1800" s="6">
        <v>2</v>
      </c>
      <c r="K1800" s="6">
        <f t="shared" si="113"/>
        <v>2</v>
      </c>
      <c r="L1800" s="8">
        <v>41796</v>
      </c>
      <c r="M1800" t="str">
        <f t="shared" ca="1" si="114"/>
        <v>11 years, 9 months</v>
      </c>
      <c r="N1800" s="6">
        <v>97</v>
      </c>
      <c r="O1800">
        <v>26</v>
      </c>
      <c r="P1800">
        <v>44</v>
      </c>
      <c r="Q1800">
        <f t="shared" si="115"/>
        <v>70</v>
      </c>
      <c r="R1800">
        <v>6</v>
      </c>
      <c r="S1800">
        <v>4</v>
      </c>
      <c r="T1800">
        <f>Table[[#This Row],[NumWebPurchases]]+Table[[#This Row],[NumStorePurchases]]</f>
        <v>10</v>
      </c>
    </row>
    <row r="1801" spans="1:20" ht="12.5">
      <c r="A1801" s="6">
        <v>1799</v>
      </c>
      <c r="B1801" s="6">
        <v>762</v>
      </c>
      <c r="C1801" s="6">
        <v>1981</v>
      </c>
      <c r="D1801" s="6">
        <f t="shared" si="112"/>
        <v>44</v>
      </c>
      <c r="E1801" s="7" t="s">
        <v>17</v>
      </c>
      <c r="F1801" s="7" t="s">
        <v>11</v>
      </c>
      <c r="G1801" s="6">
        <v>75774</v>
      </c>
      <c r="H1801" s="6" t="str" cm="1">
        <f t="array" ref="H1801">_xlfn.IFS(
  G1801 &lt; 25000, "Low",
  AND(G1801 &gt;= 25000, G1801 &lt; 75000), "Medium",
  AND(G1801 &gt;= 75000, G1801 &lt; 150000), "High",
  G1801 &gt;= 150000, "Very High"
)</f>
        <v>High</v>
      </c>
      <c r="I1801" s="6">
        <v>1</v>
      </c>
      <c r="J1801" s="6">
        <v>0</v>
      </c>
      <c r="K1801" s="6">
        <f t="shared" si="113"/>
        <v>1</v>
      </c>
      <c r="L1801" s="8">
        <v>41761</v>
      </c>
      <c r="M1801" t="str">
        <f t="shared" ca="1" si="114"/>
        <v>11 years, 10 months</v>
      </c>
      <c r="N1801" s="6">
        <v>27</v>
      </c>
      <c r="O1801">
        <v>21</v>
      </c>
      <c r="P1801">
        <v>14</v>
      </c>
      <c r="Q1801">
        <f t="shared" si="115"/>
        <v>35</v>
      </c>
      <c r="R1801">
        <v>7</v>
      </c>
      <c r="S1801">
        <v>8</v>
      </c>
      <c r="T1801">
        <f>Table[[#This Row],[NumWebPurchases]]+Table[[#This Row],[NumStorePurchases]]</f>
        <v>15</v>
      </c>
    </row>
    <row r="1802" spans="1:20" ht="12.5">
      <c r="A1802" s="6">
        <v>1800</v>
      </c>
      <c r="B1802" s="6">
        <v>2831</v>
      </c>
      <c r="C1802" s="6">
        <v>1976</v>
      </c>
      <c r="D1802" s="6">
        <f t="shared" si="112"/>
        <v>49</v>
      </c>
      <c r="E1802" s="7" t="s">
        <v>9</v>
      </c>
      <c r="F1802" s="7" t="s">
        <v>11</v>
      </c>
      <c r="G1802" s="6">
        <v>78416</v>
      </c>
      <c r="H1802" s="6" t="str" cm="1">
        <f t="array" ref="H1802">_xlfn.IFS(
  G1802 &lt; 25000, "Low",
  AND(G1802 &gt;= 25000, G1802 &lt; 75000), "Medium",
  AND(G1802 &gt;= 75000, G1802 &lt; 150000), "High",
  G1802 &gt;= 150000, "Very High"
)</f>
        <v>High</v>
      </c>
      <c r="I1802" s="6">
        <v>0</v>
      </c>
      <c r="J1802" s="6">
        <v>1</v>
      </c>
      <c r="K1802" s="6">
        <f t="shared" si="113"/>
        <v>1</v>
      </c>
      <c r="L1802" s="8">
        <v>41817</v>
      </c>
      <c r="M1802" t="str">
        <f t="shared" ca="1" si="114"/>
        <v>11 years, 8 months</v>
      </c>
      <c r="N1802" s="6">
        <v>99</v>
      </c>
      <c r="O1802">
        <v>38</v>
      </c>
      <c r="P1802">
        <v>38</v>
      </c>
      <c r="Q1802">
        <f t="shared" si="115"/>
        <v>76</v>
      </c>
      <c r="R1802">
        <v>7</v>
      </c>
      <c r="S1802">
        <v>10</v>
      </c>
      <c r="T1802">
        <f>Table[[#This Row],[NumWebPurchases]]+Table[[#This Row],[NumStorePurchases]]</f>
        <v>17</v>
      </c>
    </row>
    <row r="1803" spans="1:20" ht="12.5">
      <c r="A1803" s="6">
        <v>1801</v>
      </c>
      <c r="B1803" s="6">
        <v>6977</v>
      </c>
      <c r="C1803" s="6">
        <v>1974</v>
      </c>
      <c r="D1803" s="6">
        <f t="shared" si="112"/>
        <v>51</v>
      </c>
      <c r="E1803" s="7" t="s">
        <v>9</v>
      </c>
      <c r="F1803" s="7" t="s">
        <v>11</v>
      </c>
      <c r="G1803" s="6">
        <v>75702</v>
      </c>
      <c r="H1803" s="6" t="str" cm="1">
        <f t="array" ref="H1803">_xlfn.IFS(
  G1803 &lt; 25000, "Low",
  AND(G1803 &gt;= 25000, G1803 &lt; 75000), "Medium",
  AND(G1803 &gt;= 75000, G1803 &lt; 150000), "High",
  G1803 &gt;= 150000, "Very High"
)</f>
        <v>High</v>
      </c>
      <c r="I1803" s="6">
        <v>0</v>
      </c>
      <c r="J1803" s="6">
        <v>1</v>
      </c>
      <c r="K1803" s="6">
        <f t="shared" si="113"/>
        <v>1</v>
      </c>
      <c r="L1803" s="9">
        <v>41196</v>
      </c>
      <c r="M1803" t="str">
        <f t="shared" ca="1" si="114"/>
        <v>13 years, 4 months</v>
      </c>
      <c r="N1803" s="6">
        <v>87</v>
      </c>
      <c r="O1803">
        <v>0</v>
      </c>
      <c r="P1803">
        <v>37</v>
      </c>
      <c r="Q1803">
        <f t="shared" si="115"/>
        <v>37</v>
      </c>
      <c r="R1803">
        <v>10</v>
      </c>
      <c r="S1803">
        <v>13</v>
      </c>
      <c r="T1803">
        <f>Table[[#This Row],[NumWebPurchases]]+Table[[#This Row],[NumStorePurchases]]</f>
        <v>23</v>
      </c>
    </row>
    <row r="1804" spans="1:20" ht="12.5">
      <c r="A1804" s="6">
        <v>1802</v>
      </c>
      <c r="B1804" s="6">
        <v>6289</v>
      </c>
      <c r="C1804" s="6">
        <v>1951</v>
      </c>
      <c r="D1804" s="6">
        <f t="shared" si="112"/>
        <v>74</v>
      </c>
      <c r="E1804" s="7" t="s">
        <v>14</v>
      </c>
      <c r="F1804" s="7" t="s">
        <v>11</v>
      </c>
      <c r="G1804" s="6">
        <v>59385</v>
      </c>
      <c r="H1804" s="6" t="str" cm="1">
        <f t="array" ref="H1804">_xlfn.IFS(
  G1804 &lt; 25000, "Low",
  AND(G1804 &gt;= 25000, G1804 &lt; 75000), "Medium",
  AND(G1804 &gt;= 75000, G1804 &lt; 150000), "High",
  G1804 &gt;= 150000, "Very High"
)</f>
        <v>Medium</v>
      </c>
      <c r="I1804" s="6">
        <v>1</v>
      </c>
      <c r="J1804" s="6">
        <v>1</v>
      </c>
      <c r="K1804" s="6">
        <f t="shared" si="113"/>
        <v>2</v>
      </c>
      <c r="L1804" s="8">
        <v>41392</v>
      </c>
      <c r="M1804" t="str">
        <f t="shared" ca="1" si="114"/>
        <v>12 years, 10 months</v>
      </c>
      <c r="N1804" s="6">
        <v>85</v>
      </c>
      <c r="O1804">
        <v>0</v>
      </c>
      <c r="P1804">
        <v>4</v>
      </c>
      <c r="Q1804">
        <f t="shared" si="115"/>
        <v>4</v>
      </c>
      <c r="R1804">
        <v>3</v>
      </c>
      <c r="S1804">
        <v>4</v>
      </c>
      <c r="T1804">
        <f>Table[[#This Row],[NumWebPurchases]]+Table[[#This Row],[NumStorePurchases]]</f>
        <v>7</v>
      </c>
    </row>
    <row r="1805" spans="1:20" ht="12.5">
      <c r="A1805" s="6">
        <v>1803</v>
      </c>
      <c r="B1805" s="6">
        <v>4168</v>
      </c>
      <c r="C1805" s="6">
        <v>1966</v>
      </c>
      <c r="D1805" s="6">
        <f t="shared" si="112"/>
        <v>59</v>
      </c>
      <c r="E1805" s="7" t="s">
        <v>9</v>
      </c>
      <c r="F1805" s="7" t="s">
        <v>10</v>
      </c>
      <c r="G1805" s="6">
        <v>37070</v>
      </c>
      <c r="H1805" s="6" t="str" cm="1">
        <f t="array" ref="H1805">_xlfn.IFS(
  G1805 &lt; 25000, "Low",
  AND(G1805 &gt;= 25000, G1805 &lt; 75000), "Medium",
  AND(G1805 &gt;= 75000, G1805 &lt; 150000), "High",
  G1805 &gt;= 150000, "Very High"
)</f>
        <v>Medium</v>
      </c>
      <c r="I1805" s="6">
        <v>1</v>
      </c>
      <c r="J1805" s="6">
        <v>1</v>
      </c>
      <c r="K1805" s="6">
        <f t="shared" si="113"/>
        <v>2</v>
      </c>
      <c r="L1805" s="8">
        <v>41353</v>
      </c>
      <c r="M1805" t="str">
        <f t="shared" ca="1" si="114"/>
        <v>12 years, 11 months</v>
      </c>
      <c r="N1805" s="6">
        <v>30</v>
      </c>
      <c r="O1805">
        <v>7</v>
      </c>
      <c r="P1805">
        <v>15</v>
      </c>
      <c r="Q1805">
        <f t="shared" si="115"/>
        <v>22</v>
      </c>
      <c r="R1805">
        <v>5</v>
      </c>
      <c r="S1805">
        <v>8</v>
      </c>
      <c r="T1805">
        <f>Table[[#This Row],[NumWebPurchases]]+Table[[#This Row],[NumStorePurchases]]</f>
        <v>13</v>
      </c>
    </row>
    <row r="1806" spans="1:20" ht="12.5">
      <c r="A1806" s="6">
        <v>1804</v>
      </c>
      <c r="B1806" s="6">
        <v>8397</v>
      </c>
      <c r="C1806" s="6">
        <v>1951</v>
      </c>
      <c r="D1806" s="6">
        <f t="shared" si="112"/>
        <v>74</v>
      </c>
      <c r="E1806" s="7" t="s">
        <v>9</v>
      </c>
      <c r="F1806" s="7" t="s">
        <v>13</v>
      </c>
      <c r="G1806" s="6">
        <v>44689</v>
      </c>
      <c r="H1806" s="6" t="str" cm="1">
        <f t="array" ref="H1806">_xlfn.IFS(
  G1806 &lt; 25000, "Low",
  AND(G1806 &gt;= 25000, G1806 &lt; 75000), "Medium",
  AND(G1806 &gt;= 75000, G1806 &lt; 150000), "High",
  G1806 &gt;= 150000, "Very High"
)</f>
        <v>Medium</v>
      </c>
      <c r="I1806" s="6">
        <v>1</v>
      </c>
      <c r="J1806" s="6">
        <v>1</v>
      </c>
      <c r="K1806" s="6">
        <f t="shared" si="113"/>
        <v>2</v>
      </c>
      <c r="L1806" s="8">
        <v>41649</v>
      </c>
      <c r="M1806" t="str">
        <f t="shared" ca="1" si="114"/>
        <v>12 years, 1 months</v>
      </c>
      <c r="N1806" s="6">
        <v>82</v>
      </c>
      <c r="O1806">
        <v>0</v>
      </c>
      <c r="P1806">
        <v>0</v>
      </c>
      <c r="Q1806">
        <f t="shared" si="115"/>
        <v>0</v>
      </c>
      <c r="R1806">
        <v>1</v>
      </c>
      <c r="S1806">
        <v>2</v>
      </c>
      <c r="T1806">
        <f>Table[[#This Row],[NumWebPurchases]]+Table[[#This Row],[NumStorePurchases]]</f>
        <v>3</v>
      </c>
    </row>
    <row r="1807" spans="1:20" ht="12.5">
      <c r="A1807" s="6">
        <v>1805</v>
      </c>
      <c r="B1807" s="6">
        <v>9284</v>
      </c>
      <c r="C1807" s="6">
        <v>1958</v>
      </c>
      <c r="D1807" s="6">
        <f t="shared" si="112"/>
        <v>67</v>
      </c>
      <c r="E1807" s="7" t="s">
        <v>9</v>
      </c>
      <c r="F1807" s="7" t="s">
        <v>11</v>
      </c>
      <c r="G1807" s="6">
        <v>53977</v>
      </c>
      <c r="H1807" s="6" t="str" cm="1">
        <f t="array" ref="H1807">_xlfn.IFS(
  G1807 &lt; 25000, "Low",
  AND(G1807 &gt;= 25000, G1807 &lt; 75000), "Medium",
  AND(G1807 &gt;= 75000, G1807 &lt; 150000), "High",
  G1807 &gt;= 150000, "Very High"
)</f>
        <v>Medium</v>
      </c>
      <c r="I1807" s="6">
        <v>0</v>
      </c>
      <c r="J1807" s="6">
        <v>1</v>
      </c>
      <c r="K1807" s="6">
        <f t="shared" si="113"/>
        <v>1</v>
      </c>
      <c r="L1807" s="8">
        <v>41433</v>
      </c>
      <c r="M1807" t="str">
        <f t="shared" ca="1" si="114"/>
        <v>12 years, 8 months</v>
      </c>
      <c r="N1807" s="6">
        <v>21</v>
      </c>
      <c r="O1807">
        <v>16</v>
      </c>
      <c r="P1807">
        <v>24</v>
      </c>
      <c r="Q1807">
        <f t="shared" si="115"/>
        <v>40</v>
      </c>
      <c r="R1807">
        <v>5</v>
      </c>
      <c r="S1807">
        <v>12</v>
      </c>
      <c r="T1807">
        <f>Table[[#This Row],[NumWebPurchases]]+Table[[#This Row],[NumStorePurchases]]</f>
        <v>17</v>
      </c>
    </row>
    <row r="1808" spans="1:20" ht="12.5">
      <c r="A1808" s="6">
        <v>1806</v>
      </c>
      <c r="B1808" s="6">
        <v>6237</v>
      </c>
      <c r="C1808" s="6">
        <v>1966</v>
      </c>
      <c r="D1808" s="6">
        <f t="shared" si="112"/>
        <v>59</v>
      </c>
      <c r="E1808" s="7" t="s">
        <v>12</v>
      </c>
      <c r="F1808" s="7" t="s">
        <v>10</v>
      </c>
      <c r="G1808" s="6">
        <v>7144</v>
      </c>
      <c r="H1808" s="6" t="str" cm="1">
        <f t="array" ref="H1808">_xlfn.IFS(
  G1808 &lt; 25000, "Low",
  AND(G1808 &gt;= 25000, G1808 &lt; 75000), "Medium",
  AND(G1808 &gt;= 75000, G1808 &lt; 150000), "High",
  G1808 &gt;= 150000, "Very High"
)</f>
        <v>Low</v>
      </c>
      <c r="I1808" s="6">
        <v>0</v>
      </c>
      <c r="J1808" s="6">
        <v>2</v>
      </c>
      <c r="K1808" s="6">
        <f t="shared" si="113"/>
        <v>2</v>
      </c>
      <c r="L1808" s="8">
        <v>41615</v>
      </c>
      <c r="M1808" t="str">
        <f t="shared" ca="1" si="114"/>
        <v>12 years, 2 months</v>
      </c>
      <c r="N1808" s="6">
        <v>92</v>
      </c>
      <c r="O1808">
        <v>4</v>
      </c>
      <c r="P1808">
        <v>2</v>
      </c>
      <c r="Q1808">
        <f t="shared" si="115"/>
        <v>6</v>
      </c>
      <c r="R1808">
        <v>23</v>
      </c>
      <c r="S1808">
        <v>1</v>
      </c>
      <c r="T1808">
        <f>Table[[#This Row],[NumWebPurchases]]+Table[[#This Row],[NumStorePurchases]]</f>
        <v>24</v>
      </c>
    </row>
    <row r="1809" spans="1:20" ht="12.5">
      <c r="A1809" s="6">
        <v>1807</v>
      </c>
      <c r="B1809" s="6">
        <v>3130</v>
      </c>
      <c r="C1809" s="6">
        <v>1964</v>
      </c>
      <c r="D1809" s="6">
        <f t="shared" si="112"/>
        <v>61</v>
      </c>
      <c r="E1809" s="7" t="s">
        <v>9</v>
      </c>
      <c r="F1809" s="7" t="s">
        <v>10</v>
      </c>
      <c r="G1809" s="6">
        <v>18701</v>
      </c>
      <c r="H1809" s="6" t="str" cm="1">
        <f t="array" ref="H1809">_xlfn.IFS(
  G1809 &lt; 25000, "Low",
  AND(G1809 &gt;= 25000, G1809 &lt; 75000), "Medium",
  AND(G1809 &gt;= 75000, G1809 &lt; 150000), "High",
  G1809 &gt;= 150000, "Very High"
)</f>
        <v>Low</v>
      </c>
      <c r="I1809" s="6">
        <v>1</v>
      </c>
      <c r="J1809" s="6">
        <v>1</v>
      </c>
      <c r="K1809" s="6">
        <f t="shared" si="113"/>
        <v>2</v>
      </c>
      <c r="L1809" s="8">
        <v>41429</v>
      </c>
      <c r="M1809" t="str">
        <f t="shared" ca="1" si="114"/>
        <v>12 years, 9 months</v>
      </c>
      <c r="N1809" s="6">
        <v>95</v>
      </c>
      <c r="O1809">
        <v>4</v>
      </c>
      <c r="P1809">
        <v>6</v>
      </c>
      <c r="Q1809">
        <f t="shared" si="115"/>
        <v>10</v>
      </c>
      <c r="R1809">
        <v>2</v>
      </c>
      <c r="S1809">
        <v>4</v>
      </c>
      <c r="T1809">
        <f>Table[[#This Row],[NumWebPurchases]]+Table[[#This Row],[NumStorePurchases]]</f>
        <v>6</v>
      </c>
    </row>
    <row r="1810" spans="1:20" ht="12.5">
      <c r="A1810" s="6">
        <v>1808</v>
      </c>
      <c r="B1810" s="6">
        <v>1619</v>
      </c>
      <c r="C1810" s="6">
        <v>1956</v>
      </c>
      <c r="D1810" s="6">
        <f t="shared" si="112"/>
        <v>69</v>
      </c>
      <c r="E1810" s="7" t="s">
        <v>9</v>
      </c>
      <c r="F1810" s="7" t="s">
        <v>13</v>
      </c>
      <c r="G1810" s="6">
        <v>90369</v>
      </c>
      <c r="H1810" s="6" t="str" cm="1">
        <f t="array" ref="H1810">_xlfn.IFS(
  G1810 &lt; 25000, "Low",
  AND(G1810 &gt;= 25000, G1810 &lt; 75000), "Medium",
  AND(G1810 &gt;= 75000, G1810 &lt; 150000), "High",
  G1810 &gt;= 150000, "Very High"
)</f>
        <v>High</v>
      </c>
      <c r="I1810" s="6">
        <v>0</v>
      </c>
      <c r="J1810" s="6">
        <v>0</v>
      </c>
      <c r="K1810" s="6">
        <f t="shared" si="113"/>
        <v>0</v>
      </c>
      <c r="L1810" s="8">
        <v>41757</v>
      </c>
      <c r="M1810" t="str">
        <f t="shared" ca="1" si="114"/>
        <v>11 years, 10 months</v>
      </c>
      <c r="N1810" s="6">
        <v>2</v>
      </c>
      <c r="O1810">
        <v>51</v>
      </c>
      <c r="P1810">
        <v>23</v>
      </c>
      <c r="Q1810">
        <f t="shared" si="115"/>
        <v>74</v>
      </c>
      <c r="R1810">
        <v>4</v>
      </c>
      <c r="S1810">
        <v>6</v>
      </c>
      <c r="T1810">
        <f>Table[[#This Row],[NumWebPurchases]]+Table[[#This Row],[NumStorePurchases]]</f>
        <v>10</v>
      </c>
    </row>
    <row r="1811" spans="1:20" ht="12.5">
      <c r="A1811" s="6">
        <v>1809</v>
      </c>
      <c r="B1811" s="6">
        <v>1990</v>
      </c>
      <c r="C1811" s="6">
        <v>1974</v>
      </c>
      <c r="D1811" s="6">
        <f t="shared" si="112"/>
        <v>51</v>
      </c>
      <c r="E1811" s="7" t="s">
        <v>12</v>
      </c>
      <c r="F1811" s="7" t="s">
        <v>10</v>
      </c>
      <c r="G1811" s="6">
        <v>63159</v>
      </c>
      <c r="H1811" s="6" t="str" cm="1">
        <f t="array" ref="H1811">_xlfn.IFS(
  G1811 &lt; 25000, "Low",
  AND(G1811 &gt;= 25000, G1811 &lt; 75000), "Medium",
  AND(G1811 &gt;= 75000, G1811 &lt; 150000), "High",
  G1811 &gt;= 150000, "Very High"
)</f>
        <v>Medium</v>
      </c>
      <c r="I1811" s="6">
        <v>0</v>
      </c>
      <c r="J1811" s="6">
        <v>0</v>
      </c>
      <c r="K1811" s="6">
        <f t="shared" si="113"/>
        <v>0</v>
      </c>
      <c r="L1811" s="8">
        <v>41218</v>
      </c>
      <c r="M1811" t="str">
        <f t="shared" ca="1" si="114"/>
        <v>13 years, 4 months</v>
      </c>
      <c r="N1811" s="6">
        <v>74</v>
      </c>
      <c r="O1811">
        <v>34</v>
      </c>
      <c r="P1811">
        <v>86</v>
      </c>
      <c r="Q1811">
        <f t="shared" si="115"/>
        <v>120</v>
      </c>
      <c r="R1811">
        <v>3</v>
      </c>
      <c r="S1811">
        <v>8</v>
      </c>
      <c r="T1811">
        <f>Table[[#This Row],[NumWebPurchases]]+Table[[#This Row],[NumStorePurchases]]</f>
        <v>11</v>
      </c>
    </row>
    <row r="1812" spans="1:20" ht="12.5">
      <c r="A1812" s="6">
        <v>1810</v>
      </c>
      <c r="B1812" s="6">
        <v>5513</v>
      </c>
      <c r="C1812" s="6">
        <v>1966</v>
      </c>
      <c r="D1812" s="6">
        <f t="shared" si="112"/>
        <v>59</v>
      </c>
      <c r="E1812" s="7" t="s">
        <v>9</v>
      </c>
      <c r="F1812" s="7" t="s">
        <v>11</v>
      </c>
      <c r="G1812" s="6">
        <v>37758</v>
      </c>
      <c r="H1812" s="6" t="str" cm="1">
        <f t="array" ref="H1812">_xlfn.IFS(
  G1812 &lt; 25000, "Low",
  AND(G1812 &gt;= 25000, G1812 &lt; 75000), "Medium",
  AND(G1812 &gt;= 75000, G1812 &lt; 150000), "High",
  G1812 &gt;= 150000, "Very High"
)</f>
        <v>Medium</v>
      </c>
      <c r="I1812" s="6">
        <v>1</v>
      </c>
      <c r="J1812" s="6">
        <v>1</v>
      </c>
      <c r="K1812" s="6">
        <f t="shared" si="113"/>
        <v>2</v>
      </c>
      <c r="L1812" s="8">
        <v>41186</v>
      </c>
      <c r="M1812" t="str">
        <f t="shared" ca="1" si="114"/>
        <v>13 years, 5 months</v>
      </c>
      <c r="N1812" s="6">
        <v>49</v>
      </c>
      <c r="O1812">
        <v>2</v>
      </c>
      <c r="P1812">
        <v>0</v>
      </c>
      <c r="Q1812">
        <f t="shared" si="115"/>
        <v>2</v>
      </c>
      <c r="R1812">
        <v>1</v>
      </c>
      <c r="S1812">
        <v>3</v>
      </c>
      <c r="T1812">
        <f>Table[[#This Row],[NumWebPurchases]]+Table[[#This Row],[NumStorePurchases]]</f>
        <v>4</v>
      </c>
    </row>
    <row r="1813" spans="1:20" ht="12.5">
      <c r="A1813" s="6">
        <v>1811</v>
      </c>
      <c r="B1813" s="6">
        <v>269</v>
      </c>
      <c r="C1813" s="6">
        <v>1963</v>
      </c>
      <c r="D1813" s="6">
        <f t="shared" si="112"/>
        <v>62</v>
      </c>
      <c r="E1813" s="7" t="s">
        <v>12</v>
      </c>
      <c r="F1813" s="7" t="s">
        <v>10</v>
      </c>
      <c r="G1813" s="6">
        <v>46757</v>
      </c>
      <c r="H1813" s="6" t="str" cm="1">
        <f t="array" ref="H1813">_xlfn.IFS(
  G1813 &lt; 25000, "Low",
  AND(G1813 &gt;= 25000, G1813 &lt; 75000), "Medium",
  AND(G1813 &gt;= 75000, G1813 &lt; 150000), "High",
  G1813 &gt;= 150000, "Very High"
)</f>
        <v>Medium</v>
      </c>
      <c r="I1813" s="6">
        <v>0</v>
      </c>
      <c r="J1813" s="6">
        <v>1</v>
      </c>
      <c r="K1813" s="6">
        <f t="shared" si="113"/>
        <v>1</v>
      </c>
      <c r="L1813" s="9">
        <v>41229</v>
      </c>
      <c r="M1813" t="str">
        <f t="shared" ca="1" si="114"/>
        <v>13 years, 3 months</v>
      </c>
      <c r="N1813" s="6">
        <v>71</v>
      </c>
      <c r="O1813">
        <v>30</v>
      </c>
      <c r="P1813">
        <v>51</v>
      </c>
      <c r="Q1813">
        <f t="shared" si="115"/>
        <v>81</v>
      </c>
      <c r="R1813">
        <v>4</v>
      </c>
      <c r="S1813">
        <v>7</v>
      </c>
      <c r="T1813">
        <f>Table[[#This Row],[NumWebPurchases]]+Table[[#This Row],[NumStorePurchases]]</f>
        <v>11</v>
      </c>
    </row>
    <row r="1814" spans="1:20" ht="12.5">
      <c r="A1814" s="6">
        <v>1812</v>
      </c>
      <c r="B1814" s="6">
        <v>8093</v>
      </c>
      <c r="C1814" s="6">
        <v>1969</v>
      </c>
      <c r="D1814" s="6">
        <f t="shared" si="112"/>
        <v>56</v>
      </c>
      <c r="E1814" s="7" t="s">
        <v>14</v>
      </c>
      <c r="F1814" s="7" t="s">
        <v>13</v>
      </c>
      <c r="G1814" s="6">
        <v>79734</v>
      </c>
      <c r="H1814" s="6" t="str" cm="1">
        <f t="array" ref="H1814">_xlfn.IFS(
  G1814 &lt; 25000, "Low",
  AND(G1814 &gt;= 25000, G1814 &lt; 75000), "Medium",
  AND(G1814 &gt;= 75000, G1814 &lt; 150000), "High",
  G1814 &gt;= 150000, "Very High"
)</f>
        <v>High</v>
      </c>
      <c r="I1814" s="6">
        <v>0</v>
      </c>
      <c r="J1814" s="6">
        <v>0</v>
      </c>
      <c r="K1814" s="6">
        <f t="shared" si="113"/>
        <v>0</v>
      </c>
      <c r="L1814" s="8">
        <v>41818</v>
      </c>
      <c r="M1814" t="str">
        <f t="shared" ca="1" si="114"/>
        <v>11 years, 8 months</v>
      </c>
      <c r="N1814" s="6">
        <v>72</v>
      </c>
      <c r="O1814">
        <v>8</v>
      </c>
      <c r="P1814">
        <v>62</v>
      </c>
      <c r="Q1814">
        <f t="shared" si="115"/>
        <v>70</v>
      </c>
      <c r="R1814">
        <v>4</v>
      </c>
      <c r="S1814">
        <v>6</v>
      </c>
      <c r="T1814">
        <f>Table[[#This Row],[NumWebPurchases]]+Table[[#This Row],[NumStorePurchases]]</f>
        <v>10</v>
      </c>
    </row>
    <row r="1815" spans="1:20" ht="12.5">
      <c r="A1815" s="6">
        <v>1813</v>
      </c>
      <c r="B1815" s="6">
        <v>10513</v>
      </c>
      <c r="C1815" s="6">
        <v>1992</v>
      </c>
      <c r="D1815" s="6">
        <f t="shared" si="112"/>
        <v>33</v>
      </c>
      <c r="E1815" s="7" t="s">
        <v>9</v>
      </c>
      <c r="F1815" s="7" t="s">
        <v>11</v>
      </c>
      <c r="G1815" s="6">
        <v>63207</v>
      </c>
      <c r="H1815" s="6" t="str" cm="1">
        <f t="array" ref="H1815">_xlfn.IFS(
  G1815 &lt; 25000, "Low",
  AND(G1815 &gt;= 25000, G1815 &lt; 75000), "Medium",
  AND(G1815 &gt;= 75000, G1815 &lt; 150000), "High",
  G1815 &gt;= 150000, "Very High"
)</f>
        <v>Medium</v>
      </c>
      <c r="I1815" s="6">
        <v>0</v>
      </c>
      <c r="J1815" s="6">
        <v>0</v>
      </c>
      <c r="K1815" s="6">
        <f t="shared" si="113"/>
        <v>0</v>
      </c>
      <c r="L1815" s="8">
        <v>41294</v>
      </c>
      <c r="M1815" t="str">
        <f t="shared" ca="1" si="114"/>
        <v>13 years, 1 months</v>
      </c>
      <c r="N1815" s="6">
        <v>68</v>
      </c>
      <c r="O1815">
        <v>169</v>
      </c>
      <c r="P1815">
        <v>169</v>
      </c>
      <c r="Q1815">
        <f t="shared" si="115"/>
        <v>338</v>
      </c>
      <c r="R1815">
        <v>2</v>
      </c>
      <c r="S1815">
        <v>6</v>
      </c>
      <c r="T1815">
        <f>Table[[#This Row],[NumWebPurchases]]+Table[[#This Row],[NumStorePurchases]]</f>
        <v>8</v>
      </c>
    </row>
    <row r="1816" spans="1:20" ht="12.5">
      <c r="A1816" s="6">
        <v>1814</v>
      </c>
      <c r="B1816" s="6">
        <v>10177</v>
      </c>
      <c r="C1816" s="6">
        <v>1954</v>
      </c>
      <c r="D1816" s="6">
        <f t="shared" si="112"/>
        <v>71</v>
      </c>
      <c r="E1816" s="7" t="s">
        <v>9</v>
      </c>
      <c r="F1816" s="7" t="s">
        <v>15</v>
      </c>
      <c r="G1816" s="6">
        <v>72071</v>
      </c>
      <c r="H1816" s="6" t="str" cm="1">
        <f t="array" ref="H1816">_xlfn.IFS(
  G1816 &lt; 25000, "Low",
  AND(G1816 &gt;= 25000, G1816 &lt; 75000), "Medium",
  AND(G1816 &gt;= 75000, G1816 &lt; 150000), "High",
  G1816 &gt;= 150000, "Very High"
)</f>
        <v>Medium</v>
      </c>
      <c r="I1816" s="6">
        <v>0</v>
      </c>
      <c r="J1816" s="6">
        <v>1</v>
      </c>
      <c r="K1816" s="6">
        <f t="shared" si="113"/>
        <v>1</v>
      </c>
      <c r="L1816" s="8">
        <v>41319</v>
      </c>
      <c r="M1816" t="str">
        <f t="shared" ca="1" si="114"/>
        <v>13 years, 0 months</v>
      </c>
      <c r="N1816" s="6">
        <v>4</v>
      </c>
      <c r="O1816">
        <v>69</v>
      </c>
      <c r="P1816">
        <v>138</v>
      </c>
      <c r="Q1816">
        <f t="shared" si="115"/>
        <v>207</v>
      </c>
      <c r="R1816">
        <v>5</v>
      </c>
      <c r="S1816">
        <v>8</v>
      </c>
      <c r="T1816">
        <f>Table[[#This Row],[NumWebPurchases]]+Table[[#This Row],[NumStorePurchases]]</f>
        <v>13</v>
      </c>
    </row>
    <row r="1817" spans="1:20" ht="12.5">
      <c r="A1817" s="6">
        <v>1815</v>
      </c>
      <c r="B1817" s="6">
        <v>2549</v>
      </c>
      <c r="C1817" s="6">
        <v>1983</v>
      </c>
      <c r="D1817" s="6">
        <f t="shared" si="112"/>
        <v>42</v>
      </c>
      <c r="E1817" s="7" t="s">
        <v>12</v>
      </c>
      <c r="F1817" s="7" t="s">
        <v>11</v>
      </c>
      <c r="G1817" s="6">
        <v>21840</v>
      </c>
      <c r="H1817" s="6" t="str" cm="1">
        <f t="array" ref="H1817">_xlfn.IFS(
  G1817 &lt; 25000, "Low",
  AND(G1817 &gt;= 25000, G1817 &lt; 75000), "Medium",
  AND(G1817 &gt;= 75000, G1817 &lt; 150000), "High",
  G1817 &gt;= 150000, "Very High"
)</f>
        <v>Low</v>
      </c>
      <c r="I1817" s="6">
        <v>1</v>
      </c>
      <c r="J1817" s="6">
        <v>0</v>
      </c>
      <c r="K1817" s="6">
        <f t="shared" si="113"/>
        <v>1</v>
      </c>
      <c r="L1817" s="8">
        <v>41476</v>
      </c>
      <c r="M1817" t="str">
        <f t="shared" ca="1" si="114"/>
        <v>12 years, 7 months</v>
      </c>
      <c r="N1817" s="6">
        <v>80</v>
      </c>
      <c r="O1817">
        <v>0</v>
      </c>
      <c r="P1817">
        <v>0</v>
      </c>
      <c r="Q1817">
        <f t="shared" si="115"/>
        <v>0</v>
      </c>
      <c r="R1817">
        <v>1</v>
      </c>
      <c r="S1817">
        <v>3</v>
      </c>
      <c r="T1817">
        <f>Table[[#This Row],[NumWebPurchases]]+Table[[#This Row],[NumStorePurchases]]</f>
        <v>4</v>
      </c>
    </row>
    <row r="1818" spans="1:20" ht="12.5">
      <c r="A1818" s="6">
        <v>1816</v>
      </c>
      <c r="B1818" s="6">
        <v>5782</v>
      </c>
      <c r="C1818" s="6">
        <v>1982</v>
      </c>
      <c r="D1818" s="6">
        <f t="shared" si="112"/>
        <v>43</v>
      </c>
      <c r="E1818" s="7" t="s">
        <v>17</v>
      </c>
      <c r="F1818" s="7" t="s">
        <v>11</v>
      </c>
      <c r="G1818" s="6">
        <v>58582</v>
      </c>
      <c r="H1818" s="6" t="str" cm="1">
        <f t="array" ref="H1818">_xlfn.IFS(
  G1818 &lt; 25000, "Low",
  AND(G1818 &gt;= 25000, G1818 &lt; 75000), "Medium",
  AND(G1818 &gt;= 75000, G1818 &lt; 150000), "High",
  G1818 &gt;= 150000, "Very High"
)</f>
        <v>Medium</v>
      </c>
      <c r="I1818" s="6">
        <v>0</v>
      </c>
      <c r="J1818" s="6">
        <v>1</v>
      </c>
      <c r="K1818" s="6">
        <f t="shared" si="113"/>
        <v>1</v>
      </c>
      <c r="L1818" s="8">
        <v>41545</v>
      </c>
      <c r="M1818" t="str">
        <f t="shared" ca="1" si="114"/>
        <v>12 years, 5 months</v>
      </c>
      <c r="N1818" s="6">
        <v>15</v>
      </c>
      <c r="O1818">
        <v>35</v>
      </c>
      <c r="P1818">
        <v>77</v>
      </c>
      <c r="Q1818">
        <f t="shared" si="115"/>
        <v>112</v>
      </c>
      <c r="R1818">
        <v>9</v>
      </c>
      <c r="S1818">
        <v>9</v>
      </c>
      <c r="T1818">
        <f>Table[[#This Row],[NumWebPurchases]]+Table[[#This Row],[NumStorePurchases]]</f>
        <v>18</v>
      </c>
    </row>
    <row r="1819" spans="1:20" ht="12.5">
      <c r="A1819" s="6">
        <v>1817</v>
      </c>
      <c r="B1819" s="6">
        <v>10057</v>
      </c>
      <c r="C1819" s="6">
        <v>1951</v>
      </c>
      <c r="D1819" s="6">
        <f t="shared" si="112"/>
        <v>74</v>
      </c>
      <c r="E1819" s="7" t="s">
        <v>9</v>
      </c>
      <c r="F1819" s="7" t="s">
        <v>10</v>
      </c>
      <c r="G1819" s="6">
        <v>72282</v>
      </c>
      <c r="H1819" s="6" t="str" cm="1">
        <f t="array" ref="H1819">_xlfn.IFS(
  G1819 &lt; 25000, "Low",
  AND(G1819 &gt;= 25000, G1819 &lt; 75000), "Medium",
  AND(G1819 &gt;= 75000, G1819 &lt; 150000), "High",
  G1819 &gt;= 150000, "Very High"
)</f>
        <v>Medium</v>
      </c>
      <c r="I1819" s="6">
        <v>0</v>
      </c>
      <c r="J1819" s="6">
        <v>0</v>
      </c>
      <c r="K1819" s="6">
        <f t="shared" si="113"/>
        <v>0</v>
      </c>
      <c r="L1819" s="8">
        <v>41474</v>
      </c>
      <c r="M1819" t="str">
        <f t="shared" ca="1" si="114"/>
        <v>12 years, 7 months</v>
      </c>
      <c r="N1819" s="6">
        <v>70</v>
      </c>
      <c r="O1819">
        <v>27</v>
      </c>
      <c r="P1819">
        <v>139</v>
      </c>
      <c r="Q1819">
        <f t="shared" si="115"/>
        <v>166</v>
      </c>
      <c r="R1819">
        <v>5</v>
      </c>
      <c r="S1819">
        <v>9</v>
      </c>
      <c r="T1819">
        <f>Table[[#This Row],[NumWebPurchases]]+Table[[#This Row],[NumStorePurchases]]</f>
        <v>14</v>
      </c>
    </row>
    <row r="1820" spans="1:20" ht="12.5">
      <c r="A1820" s="6">
        <v>1818</v>
      </c>
      <c r="B1820" s="6">
        <v>10307</v>
      </c>
      <c r="C1820" s="6">
        <v>1956</v>
      </c>
      <c r="D1820" s="6">
        <f t="shared" si="112"/>
        <v>69</v>
      </c>
      <c r="E1820" s="7" t="s">
        <v>9</v>
      </c>
      <c r="F1820" s="7" t="s">
        <v>13</v>
      </c>
      <c r="G1820" s="6">
        <v>50387</v>
      </c>
      <c r="H1820" s="6" t="str" cm="1">
        <f t="array" ref="H1820">_xlfn.IFS(
  G1820 &lt; 25000, "Low",
  AND(G1820 &gt;= 25000, G1820 &lt; 75000), "Medium",
  AND(G1820 &gt;= 75000, G1820 &lt; 150000), "High",
  G1820 &gt;= 150000, "Very High"
)</f>
        <v>Medium</v>
      </c>
      <c r="I1820" s="6">
        <v>0</v>
      </c>
      <c r="J1820" s="6">
        <v>2</v>
      </c>
      <c r="K1820" s="6">
        <f t="shared" si="113"/>
        <v>2</v>
      </c>
      <c r="L1820" s="8">
        <v>41517</v>
      </c>
      <c r="M1820" t="str">
        <f t="shared" ca="1" si="114"/>
        <v>12 years, 6 months</v>
      </c>
      <c r="N1820" s="6">
        <v>91</v>
      </c>
      <c r="O1820">
        <v>9</v>
      </c>
      <c r="P1820">
        <v>14</v>
      </c>
      <c r="Q1820">
        <f t="shared" si="115"/>
        <v>23</v>
      </c>
      <c r="R1820">
        <v>6</v>
      </c>
      <c r="S1820">
        <v>8</v>
      </c>
      <c r="T1820">
        <f>Table[[#This Row],[NumWebPurchases]]+Table[[#This Row],[NumStorePurchases]]</f>
        <v>14</v>
      </c>
    </row>
    <row r="1821" spans="1:20" ht="12.5">
      <c r="A1821" s="6">
        <v>1819</v>
      </c>
      <c r="B1821" s="6">
        <v>8566</v>
      </c>
      <c r="C1821" s="6">
        <v>1961</v>
      </c>
      <c r="D1821" s="6">
        <f t="shared" si="112"/>
        <v>64</v>
      </c>
      <c r="E1821" s="7" t="s">
        <v>12</v>
      </c>
      <c r="F1821" s="7" t="s">
        <v>11</v>
      </c>
      <c r="G1821" s="6">
        <v>32583</v>
      </c>
      <c r="H1821" s="6" t="str" cm="1">
        <f t="array" ref="H1821">_xlfn.IFS(
  G1821 &lt; 25000, "Low",
  AND(G1821 &gt;= 25000, G1821 &lt; 75000), "Medium",
  AND(G1821 &gt;= 75000, G1821 &lt; 150000), "High",
  G1821 &gt;= 150000, "Very High"
)</f>
        <v>Medium</v>
      </c>
      <c r="I1821" s="6">
        <v>1</v>
      </c>
      <c r="J1821" s="6">
        <v>1</v>
      </c>
      <c r="K1821" s="6">
        <f t="shared" si="113"/>
        <v>2</v>
      </c>
      <c r="L1821" s="8">
        <v>41805</v>
      </c>
      <c r="M1821" t="str">
        <f t="shared" ca="1" si="114"/>
        <v>11 years, 8 months</v>
      </c>
      <c r="N1821" s="6">
        <v>10</v>
      </c>
      <c r="O1821">
        <v>0</v>
      </c>
      <c r="P1821">
        <v>0</v>
      </c>
      <c r="Q1821">
        <f t="shared" si="115"/>
        <v>0</v>
      </c>
      <c r="R1821">
        <v>1</v>
      </c>
      <c r="S1821">
        <v>2</v>
      </c>
      <c r="T1821">
        <f>Table[[#This Row],[NumWebPurchases]]+Table[[#This Row],[NumStorePurchases]]</f>
        <v>3</v>
      </c>
    </row>
    <row r="1822" spans="1:20" ht="12.5">
      <c r="A1822" s="6">
        <v>1820</v>
      </c>
      <c r="B1822" s="6">
        <v>2415</v>
      </c>
      <c r="C1822" s="6">
        <v>1962</v>
      </c>
      <c r="D1822" s="6">
        <f t="shared" si="112"/>
        <v>63</v>
      </c>
      <c r="E1822" s="7" t="s">
        <v>9</v>
      </c>
      <c r="F1822" s="7" t="s">
        <v>11</v>
      </c>
      <c r="G1822" s="6">
        <v>62568</v>
      </c>
      <c r="H1822" s="6" t="str" cm="1">
        <f t="array" ref="H1822">_xlfn.IFS(
  G1822 &lt; 25000, "Low",
  AND(G1822 &gt;= 25000, G1822 &lt; 75000), "Medium",
  AND(G1822 &gt;= 75000, G1822 &lt; 150000), "High",
  G1822 &gt;= 150000, "Very High"
)</f>
        <v>Medium</v>
      </c>
      <c r="I1822" s="6">
        <v>0</v>
      </c>
      <c r="J1822" s="6">
        <v>1</v>
      </c>
      <c r="K1822" s="6">
        <f t="shared" si="113"/>
        <v>1</v>
      </c>
      <c r="L1822" s="8">
        <v>41736</v>
      </c>
      <c r="M1822" t="str">
        <f t="shared" ca="1" si="114"/>
        <v>11 years, 10 months</v>
      </c>
      <c r="N1822" s="6">
        <v>99</v>
      </c>
      <c r="O1822">
        <v>17</v>
      </c>
      <c r="P1822">
        <v>35</v>
      </c>
      <c r="Q1822">
        <f t="shared" si="115"/>
        <v>52</v>
      </c>
      <c r="R1822">
        <v>5</v>
      </c>
      <c r="S1822">
        <v>5</v>
      </c>
      <c r="T1822">
        <f>Table[[#This Row],[NumWebPurchases]]+Table[[#This Row],[NumStorePurchases]]</f>
        <v>10</v>
      </c>
    </row>
    <row r="1823" spans="1:20" ht="12.5">
      <c r="A1823" s="6">
        <v>1821</v>
      </c>
      <c r="B1823" s="6">
        <v>5684</v>
      </c>
      <c r="C1823" s="6">
        <v>1971</v>
      </c>
      <c r="D1823" s="6">
        <f t="shared" si="112"/>
        <v>54</v>
      </c>
      <c r="E1823" s="7" t="s">
        <v>14</v>
      </c>
      <c r="F1823" s="7" t="s">
        <v>15</v>
      </c>
      <c r="G1823" s="6">
        <v>44635</v>
      </c>
      <c r="H1823" s="6" t="str" cm="1">
        <f t="array" ref="H1823">_xlfn.IFS(
  G1823 &lt; 25000, "Low",
  AND(G1823 &gt;= 25000, G1823 &lt; 75000), "Medium",
  AND(G1823 &gt;= 75000, G1823 &lt; 150000), "High",
  G1823 &gt;= 150000, "Very High"
)</f>
        <v>Medium</v>
      </c>
      <c r="I1823" s="6">
        <v>1</v>
      </c>
      <c r="J1823" s="6">
        <v>1</v>
      </c>
      <c r="K1823" s="6">
        <f t="shared" si="113"/>
        <v>2</v>
      </c>
      <c r="L1823" s="9">
        <v>41558</v>
      </c>
      <c r="M1823" t="str">
        <f t="shared" ca="1" si="114"/>
        <v>12 years, 4 months</v>
      </c>
      <c r="N1823" s="6">
        <v>25</v>
      </c>
      <c r="O1823">
        <v>0</v>
      </c>
      <c r="P1823">
        <v>0</v>
      </c>
      <c r="Q1823">
        <f t="shared" si="115"/>
        <v>0</v>
      </c>
      <c r="R1823">
        <v>2</v>
      </c>
      <c r="S1823">
        <v>3</v>
      </c>
      <c r="T1823">
        <f>Table[[#This Row],[NumWebPurchases]]+Table[[#This Row],[NumStorePurchases]]</f>
        <v>5</v>
      </c>
    </row>
    <row r="1824" spans="1:20" ht="12.5">
      <c r="A1824" s="6">
        <v>1822</v>
      </c>
      <c r="B1824" s="6">
        <v>8334</v>
      </c>
      <c r="C1824" s="6">
        <v>1971</v>
      </c>
      <c r="D1824" s="6">
        <f t="shared" si="112"/>
        <v>54</v>
      </c>
      <c r="E1824" s="7" t="s">
        <v>14</v>
      </c>
      <c r="F1824" s="7" t="s">
        <v>10</v>
      </c>
      <c r="G1824" s="6">
        <v>33316</v>
      </c>
      <c r="H1824" s="6" t="str" cm="1">
        <f t="array" ref="H1824">_xlfn.IFS(
  G1824 &lt; 25000, "Low",
  AND(G1824 &gt;= 25000, G1824 &lt; 75000), "Medium",
  AND(G1824 &gt;= 75000, G1824 &lt; 150000), "High",
  G1824 &gt;= 150000, "Very High"
)</f>
        <v>Medium</v>
      </c>
      <c r="I1824" s="6">
        <v>1</v>
      </c>
      <c r="J1824" s="6">
        <v>1</v>
      </c>
      <c r="K1824" s="6">
        <f t="shared" si="113"/>
        <v>2</v>
      </c>
      <c r="L1824" s="8">
        <v>41551</v>
      </c>
      <c r="M1824" t="str">
        <f t="shared" ca="1" si="114"/>
        <v>12 years, 5 months</v>
      </c>
      <c r="N1824" s="6">
        <v>34</v>
      </c>
      <c r="O1824">
        <v>1</v>
      </c>
      <c r="P1824">
        <v>4</v>
      </c>
      <c r="Q1824">
        <f t="shared" si="115"/>
        <v>5</v>
      </c>
      <c r="R1824">
        <v>2</v>
      </c>
      <c r="S1824">
        <v>4</v>
      </c>
      <c r="T1824">
        <f>Table[[#This Row],[NumWebPurchases]]+Table[[#This Row],[NumStorePurchases]]</f>
        <v>6</v>
      </c>
    </row>
    <row r="1825" spans="1:20" ht="12.5">
      <c r="A1825" s="6">
        <v>1823</v>
      </c>
      <c r="B1825" s="6">
        <v>9166</v>
      </c>
      <c r="C1825" s="6">
        <v>1968</v>
      </c>
      <c r="D1825" s="6">
        <f t="shared" si="112"/>
        <v>57</v>
      </c>
      <c r="E1825" s="7" t="s">
        <v>9</v>
      </c>
      <c r="F1825" s="7" t="s">
        <v>13</v>
      </c>
      <c r="G1825" s="6">
        <v>63967</v>
      </c>
      <c r="H1825" s="6" t="str" cm="1">
        <f t="array" ref="H1825">_xlfn.IFS(
  G1825 &lt; 25000, "Low",
  AND(G1825 &gt;= 25000, G1825 &lt; 75000), "Medium",
  AND(G1825 &gt;= 75000, G1825 &lt; 150000), "High",
  G1825 &gt;= 150000, "Very High"
)</f>
        <v>Medium</v>
      </c>
      <c r="I1825" s="6">
        <v>0</v>
      </c>
      <c r="J1825" s="6">
        <v>1</v>
      </c>
      <c r="K1825" s="6">
        <f t="shared" si="113"/>
        <v>1</v>
      </c>
      <c r="L1825" s="8">
        <v>41495</v>
      </c>
      <c r="M1825" t="str">
        <f t="shared" ca="1" si="114"/>
        <v>12 years, 6 months</v>
      </c>
      <c r="N1825" s="6">
        <v>57</v>
      </c>
      <c r="O1825">
        <v>84</v>
      </c>
      <c r="P1825">
        <v>35</v>
      </c>
      <c r="Q1825">
        <f t="shared" si="115"/>
        <v>119</v>
      </c>
      <c r="R1825">
        <v>4</v>
      </c>
      <c r="S1825">
        <v>12</v>
      </c>
      <c r="T1825">
        <f>Table[[#This Row],[NumWebPurchases]]+Table[[#This Row],[NumStorePurchases]]</f>
        <v>16</v>
      </c>
    </row>
    <row r="1826" spans="1:20" ht="12.5">
      <c r="A1826" s="6">
        <v>1824</v>
      </c>
      <c r="B1826" s="6">
        <v>1440</v>
      </c>
      <c r="C1826" s="6">
        <v>1978</v>
      </c>
      <c r="D1826" s="6">
        <f t="shared" si="112"/>
        <v>47</v>
      </c>
      <c r="E1826" s="7" t="s">
        <v>17</v>
      </c>
      <c r="F1826" s="7" t="s">
        <v>11</v>
      </c>
      <c r="G1826" s="6">
        <v>52513</v>
      </c>
      <c r="H1826" s="6" t="str" cm="1">
        <f t="array" ref="H1826">_xlfn.IFS(
  G1826 &lt; 25000, "Low",
  AND(G1826 &gt;= 25000, G1826 &lt; 75000), "Medium",
  AND(G1826 &gt;= 75000, G1826 &lt; 150000), "High",
  G1826 &gt;= 150000, "Very High"
)</f>
        <v>Medium</v>
      </c>
      <c r="I1826" s="6">
        <v>0</v>
      </c>
      <c r="J1826" s="6">
        <v>0</v>
      </c>
      <c r="K1826" s="6">
        <f t="shared" si="113"/>
        <v>0</v>
      </c>
      <c r="L1826" s="8">
        <v>41156</v>
      </c>
      <c r="M1826" t="str">
        <f t="shared" ca="1" si="114"/>
        <v>13 years, 6 months</v>
      </c>
      <c r="N1826" s="6">
        <v>84</v>
      </c>
      <c r="O1826">
        <v>17</v>
      </c>
      <c r="P1826">
        <v>188</v>
      </c>
      <c r="Q1826">
        <f t="shared" si="115"/>
        <v>205</v>
      </c>
      <c r="R1826">
        <v>9</v>
      </c>
      <c r="S1826">
        <v>9</v>
      </c>
      <c r="T1826">
        <f>Table[[#This Row],[NumWebPurchases]]+Table[[#This Row],[NumStorePurchases]]</f>
        <v>18</v>
      </c>
    </row>
    <row r="1827" spans="1:20" ht="12.5">
      <c r="A1827" s="6">
        <v>1825</v>
      </c>
      <c r="B1827" s="6">
        <v>78</v>
      </c>
      <c r="C1827" s="6">
        <v>1969</v>
      </c>
      <c r="D1827" s="6">
        <f t="shared" si="112"/>
        <v>56</v>
      </c>
      <c r="E1827" s="7" t="s">
        <v>9</v>
      </c>
      <c r="F1827" s="7" t="s">
        <v>13</v>
      </c>
      <c r="G1827" s="6">
        <v>25293</v>
      </c>
      <c r="H1827" s="6" t="str" cm="1">
        <f t="array" ref="H1827">_xlfn.IFS(
  G1827 &lt; 25000, "Low",
  AND(G1827 &gt;= 25000, G1827 &lt; 75000), "Medium",
  AND(G1827 &gt;= 75000, G1827 &lt; 150000), "High",
  G1827 &gt;= 150000, "Very High"
)</f>
        <v>Medium</v>
      </c>
      <c r="I1827" s="6">
        <v>1</v>
      </c>
      <c r="J1827" s="6">
        <v>0</v>
      </c>
      <c r="K1827" s="6">
        <f t="shared" si="113"/>
        <v>1</v>
      </c>
      <c r="L1827" s="8">
        <v>41532</v>
      </c>
      <c r="M1827" t="str">
        <f t="shared" ca="1" si="114"/>
        <v>12 years, 5 months</v>
      </c>
      <c r="N1827" s="6">
        <v>51</v>
      </c>
      <c r="O1827">
        <v>0</v>
      </c>
      <c r="P1827">
        <v>2</v>
      </c>
      <c r="Q1827">
        <f t="shared" si="115"/>
        <v>2</v>
      </c>
      <c r="R1827">
        <v>1</v>
      </c>
      <c r="S1827">
        <v>2</v>
      </c>
      <c r="T1827">
        <f>Table[[#This Row],[NumWebPurchases]]+Table[[#This Row],[NumStorePurchases]]</f>
        <v>3</v>
      </c>
    </row>
    <row r="1828" spans="1:20" ht="12.5">
      <c r="A1828" s="6">
        <v>1826</v>
      </c>
      <c r="B1828" s="6">
        <v>5441</v>
      </c>
      <c r="C1828" s="6">
        <v>1965</v>
      </c>
      <c r="D1828" s="6">
        <f t="shared" si="112"/>
        <v>60</v>
      </c>
      <c r="E1828" s="7" t="s">
        <v>12</v>
      </c>
      <c r="F1828" s="7" t="s">
        <v>18</v>
      </c>
      <c r="G1828" s="6">
        <v>54111</v>
      </c>
      <c r="H1828" s="6" t="str" cm="1">
        <f t="array" ref="H1828">_xlfn.IFS(
  G1828 &lt; 25000, "Low",
  AND(G1828 &gt;= 25000, G1828 &lt; 75000), "Medium",
  AND(G1828 &gt;= 75000, G1828 &lt; 150000), "High",
  G1828 &gt;= 150000, "Very High"
)</f>
        <v>Medium</v>
      </c>
      <c r="I1828" s="6">
        <v>0</v>
      </c>
      <c r="J1828" s="6">
        <v>1</v>
      </c>
      <c r="K1828" s="6">
        <f t="shared" si="113"/>
        <v>1</v>
      </c>
      <c r="L1828" s="8">
        <v>41511</v>
      </c>
      <c r="M1828" t="str">
        <f t="shared" ca="1" si="114"/>
        <v>12 years, 6 months</v>
      </c>
      <c r="N1828" s="6">
        <v>97</v>
      </c>
      <c r="O1828">
        <v>6</v>
      </c>
      <c r="P1828">
        <v>3</v>
      </c>
      <c r="Q1828">
        <f t="shared" si="115"/>
        <v>9</v>
      </c>
      <c r="R1828">
        <v>5</v>
      </c>
      <c r="S1828">
        <v>6</v>
      </c>
      <c r="T1828">
        <f>Table[[#This Row],[NumWebPurchases]]+Table[[#This Row],[NumStorePurchases]]</f>
        <v>11</v>
      </c>
    </row>
    <row r="1829" spans="1:20" ht="12.5">
      <c r="A1829" s="6">
        <v>1827</v>
      </c>
      <c r="B1829" s="6">
        <v>5302</v>
      </c>
      <c r="C1829" s="6">
        <v>1986</v>
      </c>
      <c r="D1829" s="6">
        <f t="shared" si="112"/>
        <v>39</v>
      </c>
      <c r="E1829" s="7" t="s">
        <v>9</v>
      </c>
      <c r="F1829" s="7" t="s">
        <v>11</v>
      </c>
      <c r="G1829" s="6">
        <v>78394</v>
      </c>
      <c r="H1829" s="6" t="str" cm="1">
        <f t="array" ref="H1829">_xlfn.IFS(
  G1829 &lt; 25000, "Low",
  AND(G1829 &gt;= 25000, G1829 &lt; 75000), "Medium",
  AND(G1829 &gt;= 75000, G1829 &lt; 150000), "High",
  G1829 &gt;= 150000, "Very High"
)</f>
        <v>High</v>
      </c>
      <c r="I1829" s="6">
        <v>0</v>
      </c>
      <c r="J1829" s="6">
        <v>0</v>
      </c>
      <c r="K1829" s="6">
        <f t="shared" si="113"/>
        <v>0</v>
      </c>
      <c r="L1829" s="8">
        <v>41320</v>
      </c>
      <c r="M1829" t="str">
        <f t="shared" ca="1" si="114"/>
        <v>13 years, 0 months</v>
      </c>
      <c r="N1829" s="6">
        <v>13</v>
      </c>
      <c r="O1829">
        <v>27</v>
      </c>
      <c r="P1829">
        <v>24</v>
      </c>
      <c r="Q1829">
        <f t="shared" si="115"/>
        <v>51</v>
      </c>
      <c r="R1829">
        <v>4</v>
      </c>
      <c r="S1829">
        <v>5</v>
      </c>
      <c r="T1829">
        <f>Table[[#This Row],[NumWebPurchases]]+Table[[#This Row],[NumStorePurchases]]</f>
        <v>9</v>
      </c>
    </row>
    <row r="1830" spans="1:20" ht="12.5">
      <c r="A1830" s="6">
        <v>1828</v>
      </c>
      <c r="B1830" s="6">
        <v>4687</v>
      </c>
      <c r="C1830" s="6">
        <v>1958</v>
      </c>
      <c r="D1830" s="6">
        <f t="shared" si="112"/>
        <v>67</v>
      </c>
      <c r="E1830" s="7" t="s">
        <v>14</v>
      </c>
      <c r="F1830" s="7" t="s">
        <v>13</v>
      </c>
      <c r="G1830" s="6">
        <v>80739</v>
      </c>
      <c r="H1830" s="6" t="str" cm="1">
        <f t="array" ref="H1830">_xlfn.IFS(
  G1830 &lt; 25000, "Low",
  AND(G1830 &gt;= 25000, G1830 &lt; 75000), "Medium",
  AND(G1830 &gt;= 75000, G1830 &lt; 150000), "High",
  G1830 &gt;= 150000, "Very High"
)</f>
        <v>High</v>
      </c>
      <c r="I1830" s="6">
        <v>0</v>
      </c>
      <c r="J1830" s="6">
        <v>0</v>
      </c>
      <c r="K1830" s="6">
        <f t="shared" si="113"/>
        <v>0</v>
      </c>
      <c r="L1830" s="8">
        <v>41417</v>
      </c>
      <c r="M1830" t="str">
        <f t="shared" ca="1" si="114"/>
        <v>12 years, 9 months</v>
      </c>
      <c r="N1830" s="6">
        <v>92</v>
      </c>
      <c r="O1830">
        <v>92</v>
      </c>
      <c r="P1830">
        <v>0</v>
      </c>
      <c r="Q1830">
        <f t="shared" si="115"/>
        <v>92</v>
      </c>
      <c r="R1830">
        <v>3</v>
      </c>
      <c r="S1830">
        <v>9</v>
      </c>
      <c r="T1830">
        <f>Table[[#This Row],[NumWebPurchases]]+Table[[#This Row],[NumStorePurchases]]</f>
        <v>12</v>
      </c>
    </row>
    <row r="1831" spans="1:20" ht="12.5">
      <c r="A1831" s="6">
        <v>1829</v>
      </c>
      <c r="B1831" s="6">
        <v>1087</v>
      </c>
      <c r="C1831" s="6">
        <v>1975</v>
      </c>
      <c r="D1831" s="6">
        <f t="shared" si="112"/>
        <v>50</v>
      </c>
      <c r="E1831" s="7" t="s">
        <v>14</v>
      </c>
      <c r="F1831" s="7" t="s">
        <v>11</v>
      </c>
      <c r="G1831" s="6">
        <v>22669</v>
      </c>
      <c r="H1831" s="6" t="str" cm="1">
        <f t="array" ref="H1831">_xlfn.IFS(
  G1831 &lt; 25000, "Low",
  AND(G1831 &gt;= 25000, G1831 &lt; 75000), "Medium",
  AND(G1831 &gt;= 75000, G1831 &lt; 150000), "High",
  G1831 &gt;= 150000, "Very High"
)</f>
        <v>Low</v>
      </c>
      <c r="I1831" s="6">
        <v>1</v>
      </c>
      <c r="J1831" s="6">
        <v>0</v>
      </c>
      <c r="K1831" s="6">
        <f t="shared" si="113"/>
        <v>1</v>
      </c>
      <c r="L1831" s="8">
        <v>41416</v>
      </c>
      <c r="M1831" t="str">
        <f t="shared" ca="1" si="114"/>
        <v>12 years, 9 months</v>
      </c>
      <c r="N1831" s="6">
        <v>30</v>
      </c>
      <c r="O1831">
        <v>14</v>
      </c>
      <c r="P1831">
        <v>22</v>
      </c>
      <c r="Q1831">
        <f t="shared" si="115"/>
        <v>36</v>
      </c>
      <c r="R1831">
        <v>4</v>
      </c>
      <c r="S1831">
        <v>2</v>
      </c>
      <c r="T1831">
        <f>Table[[#This Row],[NumWebPurchases]]+Table[[#This Row],[NumStorePurchases]]</f>
        <v>6</v>
      </c>
    </row>
    <row r="1832" spans="1:20" ht="12.5">
      <c r="A1832" s="6">
        <v>1830</v>
      </c>
      <c r="B1832" s="6">
        <v>6859</v>
      </c>
      <c r="C1832" s="6">
        <v>1987</v>
      </c>
      <c r="D1832" s="6">
        <f t="shared" si="112"/>
        <v>38</v>
      </c>
      <c r="E1832" s="7" t="s">
        <v>9</v>
      </c>
      <c r="F1832" s="7" t="s">
        <v>10</v>
      </c>
      <c r="G1832" s="6">
        <v>29236</v>
      </c>
      <c r="H1832" s="6" t="str" cm="1">
        <f t="array" ref="H1832">_xlfn.IFS(
  G1832 &lt; 25000, "Low",
  AND(G1832 &gt;= 25000, G1832 &lt; 75000), "Medium",
  AND(G1832 &gt;= 75000, G1832 &lt; 150000), "High",
  G1832 &gt;= 150000, "Very High"
)</f>
        <v>Medium</v>
      </c>
      <c r="I1832" s="6">
        <v>1</v>
      </c>
      <c r="J1832" s="6">
        <v>0</v>
      </c>
      <c r="K1832" s="6">
        <f t="shared" si="113"/>
        <v>1</v>
      </c>
      <c r="L1832" s="8">
        <v>41555</v>
      </c>
      <c r="M1832" t="str">
        <f t="shared" ca="1" si="114"/>
        <v>12 years, 4 months</v>
      </c>
      <c r="N1832" s="6">
        <v>30</v>
      </c>
      <c r="O1832">
        <v>4</v>
      </c>
      <c r="P1832">
        <v>9</v>
      </c>
      <c r="Q1832">
        <f t="shared" si="115"/>
        <v>13</v>
      </c>
      <c r="R1832">
        <v>4</v>
      </c>
      <c r="S1832">
        <v>3</v>
      </c>
      <c r="T1832">
        <f>Table[[#This Row],[NumWebPurchases]]+Table[[#This Row],[NumStorePurchases]]</f>
        <v>7</v>
      </c>
    </row>
    <row r="1833" spans="1:20" ht="12.5">
      <c r="A1833" s="6">
        <v>1831</v>
      </c>
      <c r="B1833" s="6">
        <v>9860</v>
      </c>
      <c r="C1833" s="6">
        <v>1959</v>
      </c>
      <c r="D1833" s="6">
        <f t="shared" si="112"/>
        <v>66</v>
      </c>
      <c r="E1833" s="7" t="s">
        <v>9</v>
      </c>
      <c r="F1833" s="7" t="s">
        <v>11</v>
      </c>
      <c r="G1833" s="6">
        <v>44911</v>
      </c>
      <c r="H1833" s="6" t="str" cm="1">
        <f t="array" ref="H1833">_xlfn.IFS(
  G1833 &lt; 25000, "Low",
  AND(G1833 &gt;= 25000, G1833 &lt; 75000), "Medium",
  AND(G1833 &gt;= 75000, G1833 &lt; 150000), "High",
  G1833 &gt;= 150000, "Very High"
)</f>
        <v>Medium</v>
      </c>
      <c r="I1833" s="6">
        <v>0</v>
      </c>
      <c r="J1833" s="6">
        <v>1</v>
      </c>
      <c r="K1833" s="6">
        <f t="shared" si="113"/>
        <v>1</v>
      </c>
      <c r="L1833" s="8">
        <v>41348</v>
      </c>
      <c r="M1833" t="str">
        <f t="shared" ca="1" si="114"/>
        <v>12 years, 11 months</v>
      </c>
      <c r="N1833" s="6">
        <v>11</v>
      </c>
      <c r="O1833">
        <v>0</v>
      </c>
      <c r="P1833">
        <v>1</v>
      </c>
      <c r="Q1833">
        <f t="shared" si="115"/>
        <v>1</v>
      </c>
      <c r="R1833">
        <v>4</v>
      </c>
      <c r="S1833">
        <v>4</v>
      </c>
      <c r="T1833">
        <f>Table[[#This Row],[NumWebPurchases]]+Table[[#This Row],[NumStorePurchases]]</f>
        <v>8</v>
      </c>
    </row>
    <row r="1834" spans="1:20" ht="12.5">
      <c r="A1834" s="6">
        <v>1832</v>
      </c>
      <c r="B1834" s="6">
        <v>7129</v>
      </c>
      <c r="C1834" s="6">
        <v>1962</v>
      </c>
      <c r="D1834" s="6">
        <f t="shared" si="112"/>
        <v>63</v>
      </c>
      <c r="E1834" s="7" t="s">
        <v>12</v>
      </c>
      <c r="F1834" s="7" t="s">
        <v>13</v>
      </c>
      <c r="G1834" s="6">
        <v>54693</v>
      </c>
      <c r="H1834" s="6" t="str" cm="1">
        <f t="array" ref="H1834">_xlfn.IFS(
  G1834 &lt; 25000, "Low",
  AND(G1834 &gt;= 25000, G1834 &lt; 75000), "Medium",
  AND(G1834 &gt;= 75000, G1834 &lt; 150000), "High",
  G1834 &gt;= 150000, "Very High"
)</f>
        <v>Medium</v>
      </c>
      <c r="I1834" s="6">
        <v>0</v>
      </c>
      <c r="J1834" s="6">
        <v>1</v>
      </c>
      <c r="K1834" s="6">
        <f t="shared" si="113"/>
        <v>1</v>
      </c>
      <c r="L1834" s="8">
        <v>41322</v>
      </c>
      <c r="M1834" t="str">
        <f t="shared" ca="1" si="114"/>
        <v>13 years, 0 months</v>
      </c>
      <c r="N1834" s="6">
        <v>72</v>
      </c>
      <c r="O1834">
        <v>17</v>
      </c>
      <c r="P1834">
        <v>26</v>
      </c>
      <c r="Q1834">
        <f t="shared" si="115"/>
        <v>43</v>
      </c>
      <c r="R1834">
        <v>6</v>
      </c>
      <c r="S1834">
        <v>13</v>
      </c>
      <c r="T1834">
        <f>Table[[#This Row],[NumWebPurchases]]+Table[[#This Row],[NumStorePurchases]]</f>
        <v>19</v>
      </c>
    </row>
    <row r="1835" spans="1:20" ht="12.5">
      <c r="A1835" s="6">
        <v>1833</v>
      </c>
      <c r="B1835" s="6">
        <v>5866</v>
      </c>
      <c r="C1835" s="6">
        <v>1974</v>
      </c>
      <c r="D1835" s="6">
        <f t="shared" si="112"/>
        <v>51</v>
      </c>
      <c r="E1835" s="7" t="s">
        <v>9</v>
      </c>
      <c r="F1835" s="7" t="s">
        <v>11</v>
      </c>
      <c r="G1835" s="6">
        <v>48186</v>
      </c>
      <c r="H1835" s="6" t="str" cm="1">
        <f t="array" ref="H1835">_xlfn.IFS(
  G1835 &lt; 25000, "Low",
  AND(G1835 &gt;= 25000, G1835 &lt; 75000), "Medium",
  AND(G1835 &gt;= 75000, G1835 &lt; 150000), "High",
  G1835 &gt;= 150000, "Very High"
)</f>
        <v>Medium</v>
      </c>
      <c r="I1835" s="6">
        <v>1</v>
      </c>
      <c r="J1835" s="6">
        <v>0</v>
      </c>
      <c r="K1835" s="6">
        <f t="shared" si="113"/>
        <v>1</v>
      </c>
      <c r="L1835" s="8">
        <v>41718</v>
      </c>
      <c r="M1835" t="str">
        <f t="shared" ca="1" si="114"/>
        <v>11 years, 11 months</v>
      </c>
      <c r="N1835" s="6">
        <v>39</v>
      </c>
      <c r="O1835">
        <v>3</v>
      </c>
      <c r="P1835">
        <v>7</v>
      </c>
      <c r="Q1835">
        <f t="shared" si="115"/>
        <v>10</v>
      </c>
      <c r="R1835">
        <v>4</v>
      </c>
      <c r="S1835">
        <v>4</v>
      </c>
      <c r="T1835">
        <f>Table[[#This Row],[NumWebPurchases]]+Table[[#This Row],[NumStorePurchases]]</f>
        <v>8</v>
      </c>
    </row>
    <row r="1836" spans="1:20" ht="12.5">
      <c r="A1836" s="6">
        <v>1834</v>
      </c>
      <c r="B1836" s="6">
        <v>10521</v>
      </c>
      <c r="C1836" s="6">
        <v>1977</v>
      </c>
      <c r="D1836" s="6">
        <f t="shared" si="112"/>
        <v>48</v>
      </c>
      <c r="E1836" s="7" t="s">
        <v>9</v>
      </c>
      <c r="F1836" s="7" t="s">
        <v>13</v>
      </c>
      <c r="G1836" s="6">
        <v>54809</v>
      </c>
      <c r="H1836" s="6" t="str" cm="1">
        <f t="array" ref="H1836">_xlfn.IFS(
  G1836 &lt; 25000, "Low",
  AND(G1836 &gt;= 25000, G1836 &lt; 75000), "Medium",
  AND(G1836 &gt;= 75000, G1836 &lt; 150000), "High",
  G1836 &gt;= 150000, "Very High"
)</f>
        <v>Medium</v>
      </c>
      <c r="I1836" s="6">
        <v>1</v>
      </c>
      <c r="J1836" s="6">
        <v>1</v>
      </c>
      <c r="K1836" s="6">
        <f t="shared" si="113"/>
        <v>2</v>
      </c>
      <c r="L1836" s="8">
        <v>41528</v>
      </c>
      <c r="M1836" t="str">
        <f t="shared" ca="1" si="114"/>
        <v>12 years, 5 months</v>
      </c>
      <c r="N1836" s="6">
        <v>0</v>
      </c>
      <c r="O1836">
        <v>6</v>
      </c>
      <c r="P1836">
        <v>13</v>
      </c>
      <c r="Q1836">
        <f t="shared" si="115"/>
        <v>19</v>
      </c>
      <c r="R1836">
        <v>2</v>
      </c>
      <c r="S1836">
        <v>5</v>
      </c>
      <c r="T1836">
        <f>Table[[#This Row],[NumWebPurchases]]+Table[[#This Row],[NumStorePurchases]]</f>
        <v>7</v>
      </c>
    </row>
    <row r="1837" spans="1:20" ht="12.5">
      <c r="A1837" s="6">
        <v>1835</v>
      </c>
      <c r="B1837" s="6">
        <v>7393</v>
      </c>
      <c r="C1837" s="6">
        <v>1978</v>
      </c>
      <c r="D1837" s="6">
        <f t="shared" si="112"/>
        <v>47</v>
      </c>
      <c r="E1837" s="7" t="s">
        <v>9</v>
      </c>
      <c r="F1837" s="7" t="s">
        <v>11</v>
      </c>
      <c r="G1837" s="6">
        <v>41580</v>
      </c>
      <c r="H1837" s="6" t="str" cm="1">
        <f t="array" ref="H1837">_xlfn.IFS(
  G1837 &lt; 25000, "Low",
  AND(G1837 &gt;= 25000, G1837 &lt; 75000), "Medium",
  AND(G1837 &gt;= 75000, G1837 &lt; 150000), "High",
  G1837 &gt;= 150000, "Very High"
)</f>
        <v>Medium</v>
      </c>
      <c r="I1837" s="6">
        <v>1</v>
      </c>
      <c r="J1837" s="6">
        <v>1</v>
      </c>
      <c r="K1837" s="6">
        <f t="shared" si="113"/>
        <v>2</v>
      </c>
      <c r="L1837" s="9">
        <v>41253</v>
      </c>
      <c r="M1837" t="str">
        <f t="shared" ca="1" si="114"/>
        <v>13 years, 2 months</v>
      </c>
      <c r="N1837" s="6">
        <v>15</v>
      </c>
      <c r="O1837">
        <v>5</v>
      </c>
      <c r="P1837">
        <v>0</v>
      </c>
      <c r="Q1837">
        <f t="shared" si="115"/>
        <v>5</v>
      </c>
      <c r="R1837">
        <v>2</v>
      </c>
      <c r="S1837">
        <v>3</v>
      </c>
      <c r="T1837">
        <f>Table[[#This Row],[NumWebPurchases]]+Table[[#This Row],[NumStorePurchases]]</f>
        <v>5</v>
      </c>
    </row>
    <row r="1838" spans="1:20" ht="12.5">
      <c r="A1838" s="6">
        <v>1836</v>
      </c>
      <c r="B1838" s="6">
        <v>7849</v>
      </c>
      <c r="C1838" s="6">
        <v>1970</v>
      </c>
      <c r="D1838" s="6">
        <f t="shared" si="112"/>
        <v>55</v>
      </c>
      <c r="E1838" s="7" t="s">
        <v>12</v>
      </c>
      <c r="F1838" s="7" t="s">
        <v>13</v>
      </c>
      <c r="G1838" s="6">
        <v>80336</v>
      </c>
      <c r="H1838" s="6" t="str" cm="1">
        <f t="array" ref="H1838">_xlfn.IFS(
  G1838 &lt; 25000, "Low",
  AND(G1838 &gt;= 25000, G1838 &lt; 75000), "Medium",
  AND(G1838 &gt;= 75000, G1838 &lt; 150000), "High",
  G1838 &gt;= 150000, "Very High"
)</f>
        <v>High</v>
      </c>
      <c r="I1838" s="6">
        <v>0</v>
      </c>
      <c r="J1838" s="6">
        <v>0</v>
      </c>
      <c r="K1838" s="6">
        <f t="shared" si="113"/>
        <v>0</v>
      </c>
      <c r="L1838" s="8">
        <v>41526</v>
      </c>
      <c r="M1838" t="str">
        <f t="shared" ca="1" si="114"/>
        <v>12 years, 5 months</v>
      </c>
      <c r="N1838" s="6">
        <v>12</v>
      </c>
      <c r="O1838">
        <v>19</v>
      </c>
      <c r="P1838">
        <v>142</v>
      </c>
      <c r="Q1838">
        <f t="shared" si="115"/>
        <v>161</v>
      </c>
      <c r="R1838">
        <v>2</v>
      </c>
      <c r="S1838">
        <v>13</v>
      </c>
      <c r="T1838">
        <f>Table[[#This Row],[NumWebPurchases]]+Table[[#This Row],[NumStorePurchases]]</f>
        <v>15</v>
      </c>
    </row>
    <row r="1839" spans="1:20" ht="12.5">
      <c r="A1839" s="6">
        <v>1837</v>
      </c>
      <c r="B1839" s="6">
        <v>332</v>
      </c>
      <c r="C1839" s="6">
        <v>1957</v>
      </c>
      <c r="D1839" s="6">
        <f t="shared" si="112"/>
        <v>68</v>
      </c>
      <c r="E1839" s="7" t="s">
        <v>9</v>
      </c>
      <c r="F1839" s="7" t="s">
        <v>13</v>
      </c>
      <c r="G1839" s="6">
        <v>47743</v>
      </c>
      <c r="H1839" s="6" t="str" cm="1">
        <f t="array" ref="H1839">_xlfn.IFS(
  G1839 &lt; 25000, "Low",
  AND(G1839 &gt;= 25000, G1839 &lt; 75000), "Medium",
  AND(G1839 &gt;= 75000, G1839 &lt; 150000), "High",
  G1839 &gt;= 150000, "Very High"
)</f>
        <v>Medium</v>
      </c>
      <c r="I1839" s="6">
        <v>0</v>
      </c>
      <c r="J1839" s="6">
        <v>1</v>
      </c>
      <c r="K1839" s="6">
        <f t="shared" si="113"/>
        <v>1</v>
      </c>
      <c r="L1839" s="8">
        <v>41355</v>
      </c>
      <c r="M1839" t="str">
        <f t="shared" ca="1" si="114"/>
        <v>12 years, 11 months</v>
      </c>
      <c r="N1839" s="6">
        <v>56</v>
      </c>
      <c r="O1839">
        <v>2</v>
      </c>
      <c r="P1839">
        <v>12</v>
      </c>
      <c r="Q1839">
        <f t="shared" si="115"/>
        <v>14</v>
      </c>
      <c r="R1839">
        <v>4</v>
      </c>
      <c r="S1839">
        <v>6</v>
      </c>
      <c r="T1839">
        <f>Table[[#This Row],[NumWebPurchases]]+Table[[#This Row],[NumStorePurchases]]</f>
        <v>10</v>
      </c>
    </row>
    <row r="1840" spans="1:20" ht="12.5">
      <c r="A1840" s="6">
        <v>1838</v>
      </c>
      <c r="B1840" s="6">
        <v>9847</v>
      </c>
      <c r="C1840" s="6">
        <v>1955</v>
      </c>
      <c r="D1840" s="6">
        <f t="shared" si="112"/>
        <v>70</v>
      </c>
      <c r="E1840" s="7" t="s">
        <v>17</v>
      </c>
      <c r="F1840" s="7" t="s">
        <v>13</v>
      </c>
      <c r="G1840" s="6">
        <v>62972</v>
      </c>
      <c r="H1840" s="6" t="str" cm="1">
        <f t="array" ref="H1840">_xlfn.IFS(
  G1840 &lt; 25000, "Low",
  AND(G1840 &gt;= 25000, G1840 &lt; 75000), "Medium",
  AND(G1840 &gt;= 75000, G1840 &lt; 150000), "High",
  G1840 &gt;= 150000, "Very High"
)</f>
        <v>Medium</v>
      </c>
      <c r="I1840" s="6">
        <v>0</v>
      </c>
      <c r="J1840" s="6">
        <v>1</v>
      </c>
      <c r="K1840" s="6">
        <f t="shared" si="113"/>
        <v>1</v>
      </c>
      <c r="L1840" s="8">
        <v>41124</v>
      </c>
      <c r="M1840" t="str">
        <f t="shared" ca="1" si="114"/>
        <v>13 years, 7 months</v>
      </c>
      <c r="N1840" s="6">
        <v>39</v>
      </c>
      <c r="O1840">
        <v>15</v>
      </c>
      <c r="P1840">
        <v>0</v>
      </c>
      <c r="Q1840">
        <f t="shared" si="115"/>
        <v>15</v>
      </c>
      <c r="R1840">
        <v>7</v>
      </c>
      <c r="S1840">
        <v>3</v>
      </c>
      <c r="T1840">
        <f>Table[[#This Row],[NumWebPurchases]]+Table[[#This Row],[NumStorePurchases]]</f>
        <v>10</v>
      </c>
    </row>
    <row r="1841" spans="1:20" ht="12.5">
      <c r="A1841" s="6">
        <v>1839</v>
      </c>
      <c r="B1841" s="6">
        <v>531</v>
      </c>
      <c r="C1841" s="6">
        <v>1954</v>
      </c>
      <c r="D1841" s="6">
        <f t="shared" si="112"/>
        <v>71</v>
      </c>
      <c r="E1841" s="7" t="s">
        <v>12</v>
      </c>
      <c r="F1841" s="7" t="s">
        <v>15</v>
      </c>
      <c r="G1841" s="6">
        <v>57333</v>
      </c>
      <c r="H1841" s="6" t="str" cm="1">
        <f t="array" ref="H1841">_xlfn.IFS(
  G1841 &lt; 25000, "Low",
  AND(G1841 &gt;= 25000, G1841 &lt; 75000), "Medium",
  AND(G1841 &gt;= 75000, G1841 &lt; 150000), "High",
  G1841 &gt;= 150000, "Very High"
)</f>
        <v>Medium</v>
      </c>
      <c r="I1841" s="6">
        <v>0</v>
      </c>
      <c r="J1841" s="6">
        <v>1</v>
      </c>
      <c r="K1841" s="6">
        <f t="shared" si="113"/>
        <v>1</v>
      </c>
      <c r="L1841" s="8">
        <v>41174</v>
      </c>
      <c r="M1841" t="str">
        <f t="shared" ca="1" si="114"/>
        <v>13 years, 5 months</v>
      </c>
      <c r="N1841" s="6">
        <v>55</v>
      </c>
      <c r="O1841">
        <v>14</v>
      </c>
      <c r="P1841">
        <v>58</v>
      </c>
      <c r="Q1841">
        <f t="shared" si="115"/>
        <v>72</v>
      </c>
      <c r="R1841">
        <v>8</v>
      </c>
      <c r="S1841">
        <v>9</v>
      </c>
      <c r="T1841">
        <f>Table[[#This Row],[NumWebPurchases]]+Table[[#This Row],[NumStorePurchases]]</f>
        <v>17</v>
      </c>
    </row>
    <row r="1842" spans="1:20" ht="12.5">
      <c r="A1842" s="6">
        <v>1840</v>
      </c>
      <c r="B1842" s="6">
        <v>9576</v>
      </c>
      <c r="C1842" s="6">
        <v>1982</v>
      </c>
      <c r="D1842" s="6">
        <f t="shared" si="112"/>
        <v>43</v>
      </c>
      <c r="E1842" s="7" t="s">
        <v>12</v>
      </c>
      <c r="F1842" s="7" t="s">
        <v>11</v>
      </c>
      <c r="G1842" s="6">
        <v>32313</v>
      </c>
      <c r="H1842" s="6" t="str" cm="1">
        <f t="array" ref="H1842">_xlfn.IFS(
  G1842 &lt; 25000, "Low",
  AND(G1842 &gt;= 25000, G1842 &lt; 75000), "Medium",
  AND(G1842 &gt;= 75000, G1842 &lt; 150000), "High",
  G1842 &gt;= 150000, "Very High"
)</f>
        <v>Medium</v>
      </c>
      <c r="I1842" s="6">
        <v>1</v>
      </c>
      <c r="J1842" s="6">
        <v>0</v>
      </c>
      <c r="K1842" s="6">
        <f t="shared" si="113"/>
        <v>1</v>
      </c>
      <c r="L1842" s="8">
        <v>41316</v>
      </c>
      <c r="M1842" t="str">
        <f t="shared" ca="1" si="114"/>
        <v>13 years, 0 months</v>
      </c>
      <c r="N1842" s="6">
        <v>60</v>
      </c>
      <c r="O1842">
        <v>4</v>
      </c>
      <c r="P1842">
        <v>4</v>
      </c>
      <c r="Q1842">
        <f t="shared" si="115"/>
        <v>8</v>
      </c>
      <c r="R1842">
        <v>4</v>
      </c>
      <c r="S1842">
        <v>4</v>
      </c>
      <c r="T1842">
        <f>Table[[#This Row],[NumWebPurchases]]+Table[[#This Row],[NumStorePurchases]]</f>
        <v>8</v>
      </c>
    </row>
    <row r="1843" spans="1:20" ht="12.5">
      <c r="A1843" s="6">
        <v>1841</v>
      </c>
      <c r="B1843" s="6">
        <v>6906</v>
      </c>
      <c r="C1843" s="6">
        <v>1953</v>
      </c>
      <c r="D1843" s="6">
        <f t="shared" si="112"/>
        <v>72</v>
      </c>
      <c r="E1843" s="7" t="s">
        <v>14</v>
      </c>
      <c r="F1843" s="7" t="s">
        <v>18</v>
      </c>
      <c r="G1843" s="6">
        <v>84953</v>
      </c>
      <c r="H1843" s="6" t="str" cm="1">
        <f t="array" ref="H1843">_xlfn.IFS(
  G1843 &lt; 25000, "Low",
  AND(G1843 &gt;= 25000, G1843 &lt; 75000), "Medium",
  AND(G1843 &gt;= 75000, G1843 &lt; 150000), "High",
  G1843 &gt;= 150000, "Very High"
)</f>
        <v>High</v>
      </c>
      <c r="I1843" s="6">
        <v>0</v>
      </c>
      <c r="J1843" s="6">
        <v>0</v>
      </c>
      <c r="K1843" s="6">
        <f t="shared" si="113"/>
        <v>0</v>
      </c>
      <c r="L1843" s="8">
        <v>41428</v>
      </c>
      <c r="M1843" t="str">
        <f t="shared" ca="1" si="114"/>
        <v>12 years, 9 months</v>
      </c>
      <c r="N1843" s="6">
        <v>73</v>
      </c>
      <c r="O1843">
        <v>48</v>
      </c>
      <c r="P1843">
        <v>72</v>
      </c>
      <c r="Q1843">
        <f t="shared" si="115"/>
        <v>120</v>
      </c>
      <c r="R1843">
        <v>3</v>
      </c>
      <c r="S1843">
        <v>4</v>
      </c>
      <c r="T1843">
        <f>Table[[#This Row],[NumWebPurchases]]+Table[[#This Row],[NumStorePurchases]]</f>
        <v>7</v>
      </c>
    </row>
    <row r="1844" spans="1:20" ht="12.5">
      <c r="A1844" s="6">
        <v>1842</v>
      </c>
      <c r="B1844" s="6">
        <v>7419</v>
      </c>
      <c r="C1844" s="6">
        <v>1968</v>
      </c>
      <c r="D1844" s="6">
        <f t="shared" si="112"/>
        <v>57</v>
      </c>
      <c r="E1844" s="7" t="s">
        <v>14</v>
      </c>
      <c r="F1844" s="7" t="s">
        <v>15</v>
      </c>
      <c r="G1844" s="6">
        <v>27071</v>
      </c>
      <c r="H1844" s="6" t="str" cm="1">
        <f t="array" ref="H1844">_xlfn.IFS(
  G1844 &lt; 25000, "Low",
  AND(G1844 &gt;= 25000, G1844 &lt; 75000), "Medium",
  AND(G1844 &gt;= 75000, G1844 &lt; 150000), "High",
  G1844 &gt;= 150000, "Very High"
)</f>
        <v>Medium</v>
      </c>
      <c r="I1844" s="6">
        <v>1</v>
      </c>
      <c r="J1844" s="6">
        <v>0</v>
      </c>
      <c r="K1844" s="6">
        <f t="shared" si="113"/>
        <v>1</v>
      </c>
      <c r="L1844" s="8">
        <v>41752</v>
      </c>
      <c r="M1844" t="str">
        <f t="shared" ca="1" si="114"/>
        <v>11 years, 10 months</v>
      </c>
      <c r="N1844" s="6">
        <v>90</v>
      </c>
      <c r="O1844">
        <v>3</v>
      </c>
      <c r="P1844">
        <v>2</v>
      </c>
      <c r="Q1844">
        <f t="shared" si="115"/>
        <v>5</v>
      </c>
      <c r="R1844">
        <v>2</v>
      </c>
      <c r="S1844">
        <v>3</v>
      </c>
      <c r="T1844">
        <f>Table[[#This Row],[NumWebPurchases]]+Table[[#This Row],[NumStorePurchases]]</f>
        <v>5</v>
      </c>
    </row>
    <row r="1845" spans="1:20" ht="12.5">
      <c r="A1845" s="6">
        <v>1843</v>
      </c>
      <c r="B1845" s="6">
        <v>3170</v>
      </c>
      <c r="C1845" s="6">
        <v>1957</v>
      </c>
      <c r="D1845" s="6">
        <f t="shared" si="112"/>
        <v>68</v>
      </c>
      <c r="E1845" s="7" t="s">
        <v>14</v>
      </c>
      <c r="F1845" s="7" t="s">
        <v>11</v>
      </c>
      <c r="G1845" s="6">
        <v>68148</v>
      </c>
      <c r="H1845" s="6" t="str" cm="1">
        <f t="array" ref="H1845">_xlfn.IFS(
  G1845 &lt; 25000, "Low",
  AND(G1845 &gt;= 25000, G1845 &lt; 75000), "Medium",
  AND(G1845 &gt;= 75000, G1845 &lt; 150000), "High",
  G1845 &gt;= 150000, "Very High"
)</f>
        <v>Medium</v>
      </c>
      <c r="I1845" s="6">
        <v>0</v>
      </c>
      <c r="J1845" s="6">
        <v>0</v>
      </c>
      <c r="K1845" s="6">
        <f t="shared" si="113"/>
        <v>0</v>
      </c>
      <c r="L1845" s="8">
        <v>41517</v>
      </c>
      <c r="M1845" t="str">
        <f t="shared" ca="1" si="114"/>
        <v>12 years, 6 months</v>
      </c>
      <c r="N1845" s="6">
        <v>86</v>
      </c>
      <c r="O1845">
        <v>66</v>
      </c>
      <c r="P1845">
        <v>57</v>
      </c>
      <c r="Q1845">
        <f t="shared" si="115"/>
        <v>123</v>
      </c>
      <c r="R1845">
        <v>4</v>
      </c>
      <c r="S1845">
        <v>6</v>
      </c>
      <c r="T1845">
        <f>Table[[#This Row],[NumWebPurchases]]+Table[[#This Row],[NumStorePurchases]]</f>
        <v>10</v>
      </c>
    </row>
    <row r="1846" spans="1:20" ht="12.5">
      <c r="A1846" s="6">
        <v>1844</v>
      </c>
      <c r="B1846" s="6">
        <v>8527</v>
      </c>
      <c r="C1846" s="6">
        <v>1965</v>
      </c>
      <c r="D1846" s="6">
        <f t="shared" si="112"/>
        <v>60</v>
      </c>
      <c r="E1846" s="7" t="s">
        <v>14</v>
      </c>
      <c r="F1846" s="7" t="s">
        <v>11</v>
      </c>
      <c r="G1846" s="6">
        <v>65735</v>
      </c>
      <c r="H1846" s="6" t="str" cm="1">
        <f t="array" ref="H1846">_xlfn.IFS(
  G1846 &lt; 25000, "Low",
  AND(G1846 &gt;= 25000, G1846 &lt; 75000), "Medium",
  AND(G1846 &gt;= 75000, G1846 &lt; 150000), "High",
  G1846 &gt;= 150000, "Very High"
)</f>
        <v>Medium</v>
      </c>
      <c r="I1846" s="6">
        <v>1</v>
      </c>
      <c r="J1846" s="6">
        <v>1</v>
      </c>
      <c r="K1846" s="6">
        <f t="shared" si="113"/>
        <v>2</v>
      </c>
      <c r="L1846" s="8">
        <v>41615</v>
      </c>
      <c r="M1846" t="str">
        <f t="shared" ca="1" si="114"/>
        <v>12 years, 2 months</v>
      </c>
      <c r="N1846" s="6">
        <v>37</v>
      </c>
      <c r="O1846">
        <v>7</v>
      </c>
      <c r="P1846">
        <v>15</v>
      </c>
      <c r="Q1846">
        <f t="shared" si="115"/>
        <v>22</v>
      </c>
      <c r="R1846">
        <v>6</v>
      </c>
      <c r="S1846">
        <v>6</v>
      </c>
      <c r="T1846">
        <f>Table[[#This Row],[NumWebPurchases]]+Table[[#This Row],[NumStorePurchases]]</f>
        <v>12</v>
      </c>
    </row>
    <row r="1847" spans="1:20" ht="12.5">
      <c r="A1847" s="6">
        <v>1845</v>
      </c>
      <c r="B1847" s="6">
        <v>7872</v>
      </c>
      <c r="C1847" s="6">
        <v>1975</v>
      </c>
      <c r="D1847" s="6">
        <f t="shared" si="112"/>
        <v>50</v>
      </c>
      <c r="E1847" s="7" t="s">
        <v>12</v>
      </c>
      <c r="F1847" s="7" t="s">
        <v>13</v>
      </c>
      <c r="G1847" s="6">
        <v>86836</v>
      </c>
      <c r="H1847" s="6" t="str" cm="1">
        <f t="array" ref="H1847">_xlfn.IFS(
  G1847 &lt; 25000, "Low",
  AND(G1847 &gt;= 25000, G1847 &lt; 75000), "Medium",
  AND(G1847 &gt;= 75000, G1847 &lt; 150000), "High",
  G1847 &gt;= 150000, "Very High"
)</f>
        <v>High</v>
      </c>
      <c r="I1847" s="6">
        <v>0</v>
      </c>
      <c r="J1847" s="6">
        <v>0</v>
      </c>
      <c r="K1847" s="6">
        <f t="shared" si="113"/>
        <v>0</v>
      </c>
      <c r="L1847" s="8">
        <v>41164</v>
      </c>
      <c r="M1847" t="str">
        <f t="shared" ca="1" si="114"/>
        <v>13 years, 5 months</v>
      </c>
      <c r="N1847" s="6">
        <v>7</v>
      </c>
      <c r="O1847">
        <v>21</v>
      </c>
      <c r="P1847">
        <v>21</v>
      </c>
      <c r="Q1847">
        <f t="shared" si="115"/>
        <v>42</v>
      </c>
      <c r="R1847">
        <v>6</v>
      </c>
      <c r="S1847">
        <v>6</v>
      </c>
      <c r="T1847">
        <f>Table[[#This Row],[NumWebPurchases]]+Table[[#This Row],[NumStorePurchases]]</f>
        <v>12</v>
      </c>
    </row>
    <row r="1848" spans="1:20" ht="12.5">
      <c r="A1848" s="6">
        <v>1846</v>
      </c>
      <c r="B1848" s="6">
        <v>9931</v>
      </c>
      <c r="C1848" s="6">
        <v>1963</v>
      </c>
      <c r="D1848" s="6">
        <f t="shared" si="112"/>
        <v>62</v>
      </c>
      <c r="E1848" s="7" t="s">
        <v>12</v>
      </c>
      <c r="F1848" s="7" t="s">
        <v>13</v>
      </c>
      <c r="G1848" s="6">
        <v>4023</v>
      </c>
      <c r="H1848" s="6" t="str" cm="1">
        <f t="array" ref="H1848">_xlfn.IFS(
  G1848 &lt; 25000, "Low",
  AND(G1848 &gt;= 25000, G1848 &lt; 75000), "Medium",
  AND(G1848 &gt;= 75000, G1848 &lt; 150000), "High",
  G1848 &gt;= 150000, "Very High"
)</f>
        <v>Low</v>
      </c>
      <c r="I1848" s="6">
        <v>1</v>
      </c>
      <c r="J1848" s="6">
        <v>1</v>
      </c>
      <c r="K1848" s="6">
        <f t="shared" si="113"/>
        <v>2</v>
      </c>
      <c r="L1848" s="8">
        <v>41813</v>
      </c>
      <c r="M1848" t="str">
        <f t="shared" ca="1" si="114"/>
        <v>11 years, 8 months</v>
      </c>
      <c r="N1848" s="6">
        <v>29</v>
      </c>
      <c r="O1848">
        <v>0</v>
      </c>
      <c r="P1848">
        <v>1</v>
      </c>
      <c r="Q1848">
        <f t="shared" si="115"/>
        <v>1</v>
      </c>
      <c r="R1848">
        <v>0</v>
      </c>
      <c r="S1848">
        <v>0</v>
      </c>
      <c r="T1848">
        <f>Table[[#This Row],[NumWebPurchases]]+Table[[#This Row],[NumStorePurchases]]</f>
        <v>0</v>
      </c>
    </row>
    <row r="1849" spans="1:20" ht="12.5">
      <c r="A1849" s="6">
        <v>1847</v>
      </c>
      <c r="B1849" s="6">
        <v>10595</v>
      </c>
      <c r="C1849" s="6">
        <v>1990</v>
      </c>
      <c r="D1849" s="6">
        <f t="shared" si="112"/>
        <v>35</v>
      </c>
      <c r="E1849" s="7" t="s">
        <v>9</v>
      </c>
      <c r="F1849" s="7" t="s">
        <v>13</v>
      </c>
      <c r="G1849" s="6">
        <v>30093</v>
      </c>
      <c r="H1849" s="6" t="str" cm="1">
        <f t="array" ref="H1849">_xlfn.IFS(
  G1849 &lt; 25000, "Low",
  AND(G1849 &gt;= 25000, G1849 &lt; 75000), "Medium",
  AND(G1849 &gt;= 75000, G1849 &lt; 150000), "High",
  G1849 &gt;= 150000, "Very High"
)</f>
        <v>Medium</v>
      </c>
      <c r="I1849" s="6">
        <v>0</v>
      </c>
      <c r="J1849" s="6">
        <v>0</v>
      </c>
      <c r="K1849" s="6">
        <f t="shared" si="113"/>
        <v>0</v>
      </c>
      <c r="L1849" s="8">
        <v>41463</v>
      </c>
      <c r="M1849" t="str">
        <f t="shared" ca="1" si="114"/>
        <v>12 years, 7 months</v>
      </c>
      <c r="N1849" s="6">
        <v>19</v>
      </c>
      <c r="O1849">
        <v>6</v>
      </c>
      <c r="P1849">
        <v>4</v>
      </c>
      <c r="Q1849">
        <f t="shared" si="115"/>
        <v>10</v>
      </c>
      <c r="R1849">
        <v>2</v>
      </c>
      <c r="S1849">
        <v>3</v>
      </c>
      <c r="T1849">
        <f>Table[[#This Row],[NumWebPurchases]]+Table[[#This Row],[NumStorePurchases]]</f>
        <v>5</v>
      </c>
    </row>
    <row r="1850" spans="1:20" ht="12.5">
      <c r="A1850" s="6">
        <v>1848</v>
      </c>
      <c r="B1850" s="6">
        <v>4609</v>
      </c>
      <c r="C1850" s="6">
        <v>1966</v>
      </c>
      <c r="D1850" s="6">
        <f t="shared" si="112"/>
        <v>59</v>
      </c>
      <c r="E1850" s="7" t="s">
        <v>12</v>
      </c>
      <c r="F1850" s="7" t="s">
        <v>13</v>
      </c>
      <c r="G1850" s="6">
        <v>57705</v>
      </c>
      <c r="H1850" s="6" t="str" cm="1">
        <f t="array" ref="H1850">_xlfn.IFS(
  G1850 &lt; 25000, "Low",
  AND(G1850 &gt;= 25000, G1850 &lt; 75000), "Medium",
  AND(G1850 &gt;= 75000, G1850 &lt; 150000), "High",
  G1850 &gt;= 150000, "Very High"
)</f>
        <v>Medium</v>
      </c>
      <c r="I1850" s="6">
        <v>0</v>
      </c>
      <c r="J1850" s="6">
        <v>1</v>
      </c>
      <c r="K1850" s="6">
        <f t="shared" si="113"/>
        <v>1</v>
      </c>
      <c r="L1850" s="8">
        <v>41650</v>
      </c>
      <c r="M1850" t="str">
        <f t="shared" ca="1" si="114"/>
        <v>12 years, 1 months</v>
      </c>
      <c r="N1850" s="6">
        <v>14</v>
      </c>
      <c r="O1850">
        <v>0</v>
      </c>
      <c r="P1850">
        <v>4</v>
      </c>
      <c r="Q1850">
        <f t="shared" si="115"/>
        <v>4</v>
      </c>
      <c r="R1850">
        <v>8</v>
      </c>
      <c r="S1850">
        <v>6</v>
      </c>
      <c r="T1850">
        <f>Table[[#This Row],[NumWebPurchases]]+Table[[#This Row],[NumStorePurchases]]</f>
        <v>14</v>
      </c>
    </row>
    <row r="1851" spans="1:20" ht="12.5">
      <c r="A1851" s="6">
        <v>1849</v>
      </c>
      <c r="B1851" s="6">
        <v>5010</v>
      </c>
      <c r="C1851" s="6">
        <v>1988</v>
      </c>
      <c r="D1851" s="6">
        <f t="shared" si="112"/>
        <v>37</v>
      </c>
      <c r="E1851" s="7" t="s">
        <v>9</v>
      </c>
      <c r="F1851" s="7" t="s">
        <v>10</v>
      </c>
      <c r="G1851" s="6">
        <v>25008</v>
      </c>
      <c r="H1851" s="6" t="str" cm="1">
        <f t="array" ref="H1851">_xlfn.IFS(
  G1851 &lt; 25000, "Low",
  AND(G1851 &gt;= 25000, G1851 &lt; 75000), "Medium",
  AND(G1851 &gt;= 75000, G1851 &lt; 150000), "High",
  G1851 &gt;= 150000, "Very High"
)</f>
        <v>Medium</v>
      </c>
      <c r="I1851" s="6">
        <v>1</v>
      </c>
      <c r="J1851" s="6">
        <v>0</v>
      </c>
      <c r="K1851" s="6">
        <f t="shared" si="113"/>
        <v>1</v>
      </c>
      <c r="L1851" s="8">
        <v>41672</v>
      </c>
      <c r="M1851" t="str">
        <f t="shared" ca="1" si="114"/>
        <v>12 years, 1 months</v>
      </c>
      <c r="N1851" s="6">
        <v>72</v>
      </c>
      <c r="O1851">
        <v>8</v>
      </c>
      <c r="P1851">
        <v>1</v>
      </c>
      <c r="Q1851">
        <f t="shared" si="115"/>
        <v>9</v>
      </c>
      <c r="R1851">
        <v>1</v>
      </c>
      <c r="S1851">
        <v>3</v>
      </c>
      <c r="T1851">
        <f>Table[[#This Row],[NumWebPurchases]]+Table[[#This Row],[NumStorePurchases]]</f>
        <v>4</v>
      </c>
    </row>
    <row r="1852" spans="1:20" ht="12.5">
      <c r="A1852" s="6">
        <v>1850</v>
      </c>
      <c r="B1852" s="6">
        <v>4427</v>
      </c>
      <c r="C1852" s="6">
        <v>1995</v>
      </c>
      <c r="D1852" s="6">
        <f t="shared" si="112"/>
        <v>30</v>
      </c>
      <c r="E1852" s="7" t="s">
        <v>17</v>
      </c>
      <c r="F1852" s="7" t="s">
        <v>10</v>
      </c>
      <c r="G1852" s="6">
        <v>83257</v>
      </c>
      <c r="H1852" s="6" t="str" cm="1">
        <f t="array" ref="H1852">_xlfn.IFS(
  G1852 &lt; 25000, "Low",
  AND(G1852 &gt;= 25000, G1852 &lt; 75000), "Medium",
  AND(G1852 &gt;= 75000, G1852 &lt; 150000), "High",
  G1852 &gt;= 150000, "Very High"
)</f>
        <v>High</v>
      </c>
      <c r="I1852" s="6">
        <v>0</v>
      </c>
      <c r="J1852" s="6">
        <v>0</v>
      </c>
      <c r="K1852" s="6">
        <f t="shared" si="113"/>
        <v>0</v>
      </c>
      <c r="L1852" s="8">
        <v>41170</v>
      </c>
      <c r="M1852" t="str">
        <f t="shared" ca="1" si="114"/>
        <v>13 years, 5 months</v>
      </c>
      <c r="N1852" s="6">
        <v>56</v>
      </c>
      <c r="O1852">
        <v>27</v>
      </c>
      <c r="P1852">
        <v>107</v>
      </c>
      <c r="Q1852">
        <f t="shared" si="115"/>
        <v>134</v>
      </c>
      <c r="R1852">
        <v>5</v>
      </c>
      <c r="S1852">
        <v>12</v>
      </c>
      <c r="T1852">
        <f>Table[[#This Row],[NumWebPurchases]]+Table[[#This Row],[NumStorePurchases]]</f>
        <v>17</v>
      </c>
    </row>
    <row r="1853" spans="1:20" ht="12.5">
      <c r="A1853" s="6">
        <v>1851</v>
      </c>
      <c r="B1853" s="6">
        <v>11148</v>
      </c>
      <c r="C1853" s="6">
        <v>1975</v>
      </c>
      <c r="D1853" s="6">
        <f t="shared" si="112"/>
        <v>50</v>
      </c>
      <c r="E1853" s="7" t="s">
        <v>9</v>
      </c>
      <c r="F1853" s="7" t="s">
        <v>11</v>
      </c>
      <c r="G1853" s="6">
        <v>22280</v>
      </c>
      <c r="H1853" s="6" t="str" cm="1">
        <f t="array" ref="H1853">_xlfn.IFS(
  G1853 &lt; 25000, "Low",
  AND(G1853 &gt;= 25000, G1853 &lt; 75000), "Medium",
  AND(G1853 &gt;= 75000, G1853 &lt; 150000), "High",
  G1853 &gt;= 150000, "Very High"
)</f>
        <v>Low</v>
      </c>
      <c r="I1853" s="6">
        <v>1</v>
      </c>
      <c r="J1853" s="6">
        <v>0</v>
      </c>
      <c r="K1853" s="6">
        <f t="shared" si="113"/>
        <v>1</v>
      </c>
      <c r="L1853" s="8">
        <v>41413</v>
      </c>
      <c r="M1853" t="str">
        <f t="shared" ca="1" si="114"/>
        <v>12 years, 9 months</v>
      </c>
      <c r="N1853" s="6">
        <v>85</v>
      </c>
      <c r="O1853">
        <v>1</v>
      </c>
      <c r="P1853">
        <v>1</v>
      </c>
      <c r="Q1853">
        <f t="shared" si="115"/>
        <v>2</v>
      </c>
      <c r="R1853">
        <v>1</v>
      </c>
      <c r="S1853">
        <v>2</v>
      </c>
      <c r="T1853">
        <f>Table[[#This Row],[NumWebPurchases]]+Table[[#This Row],[NumStorePurchases]]</f>
        <v>3</v>
      </c>
    </row>
    <row r="1854" spans="1:20" ht="12.5">
      <c r="A1854" s="6">
        <v>1852</v>
      </c>
      <c r="B1854" s="6">
        <v>1168</v>
      </c>
      <c r="C1854" s="6">
        <v>1978</v>
      </c>
      <c r="D1854" s="6">
        <f t="shared" si="112"/>
        <v>47</v>
      </c>
      <c r="E1854" s="7" t="s">
        <v>12</v>
      </c>
      <c r="F1854" s="7" t="s">
        <v>13</v>
      </c>
      <c r="G1854" s="6">
        <v>72159</v>
      </c>
      <c r="H1854" s="6" t="str" cm="1">
        <f t="array" ref="H1854">_xlfn.IFS(
  G1854 &lt; 25000, "Low",
  AND(G1854 &gt;= 25000, G1854 &lt; 75000), "Medium",
  AND(G1854 &gt;= 75000, G1854 &lt; 150000), "High",
  G1854 &gt;= 150000, "Very High"
)</f>
        <v>Medium</v>
      </c>
      <c r="I1854" s="6">
        <v>0</v>
      </c>
      <c r="J1854" s="6">
        <v>0</v>
      </c>
      <c r="K1854" s="6">
        <f t="shared" si="113"/>
        <v>0</v>
      </c>
      <c r="L1854" s="9">
        <v>41211</v>
      </c>
      <c r="M1854" t="str">
        <f t="shared" ca="1" si="114"/>
        <v>13 years, 4 months</v>
      </c>
      <c r="N1854" s="6">
        <v>62</v>
      </c>
      <c r="O1854">
        <v>53</v>
      </c>
      <c r="P1854">
        <v>40</v>
      </c>
      <c r="Q1854">
        <f t="shared" si="115"/>
        <v>93</v>
      </c>
      <c r="R1854">
        <v>4</v>
      </c>
      <c r="S1854">
        <v>10</v>
      </c>
      <c r="T1854">
        <f>Table[[#This Row],[NumWebPurchases]]+Table[[#This Row],[NumStorePurchases]]</f>
        <v>14</v>
      </c>
    </row>
    <row r="1855" spans="1:20" ht="12.5">
      <c r="A1855" s="6">
        <v>1853</v>
      </c>
      <c r="B1855" s="6">
        <v>9595</v>
      </c>
      <c r="C1855" s="6">
        <v>1961</v>
      </c>
      <c r="D1855" s="6">
        <f t="shared" si="112"/>
        <v>64</v>
      </c>
      <c r="E1855" s="7" t="s">
        <v>9</v>
      </c>
      <c r="F1855" s="7" t="s">
        <v>11</v>
      </c>
      <c r="G1855" s="6">
        <v>64260</v>
      </c>
      <c r="H1855" s="6" t="str" cm="1">
        <f t="array" ref="H1855">_xlfn.IFS(
  G1855 &lt; 25000, "Low",
  AND(G1855 &gt;= 25000, G1855 &lt; 75000), "Medium",
  AND(G1855 &gt;= 75000, G1855 &lt; 150000), "High",
  G1855 &gt;= 150000, "Very High"
)</f>
        <v>Medium</v>
      </c>
      <c r="I1855" s="6">
        <v>0</v>
      </c>
      <c r="J1855" s="6">
        <v>0</v>
      </c>
      <c r="K1855" s="6">
        <f t="shared" si="113"/>
        <v>0</v>
      </c>
      <c r="L1855" s="8">
        <v>41285</v>
      </c>
      <c r="M1855" t="str">
        <f t="shared" ca="1" si="114"/>
        <v>13 years, 1 months</v>
      </c>
      <c r="N1855" s="6">
        <v>1</v>
      </c>
      <c r="O1855">
        <v>169</v>
      </c>
      <c r="P1855">
        <v>0</v>
      </c>
      <c r="Q1855">
        <f t="shared" si="115"/>
        <v>169</v>
      </c>
      <c r="R1855">
        <v>4</v>
      </c>
      <c r="S1855">
        <v>4</v>
      </c>
      <c r="T1855">
        <f>Table[[#This Row],[NumWebPurchases]]+Table[[#This Row],[NumStorePurchases]]</f>
        <v>8</v>
      </c>
    </row>
    <row r="1856" spans="1:20" ht="12.5">
      <c r="A1856" s="6">
        <v>1854</v>
      </c>
      <c r="B1856" s="6">
        <v>10163</v>
      </c>
      <c r="C1856" s="6">
        <v>1984</v>
      </c>
      <c r="D1856" s="6">
        <f t="shared" si="112"/>
        <v>41</v>
      </c>
      <c r="E1856" s="7" t="s">
        <v>12</v>
      </c>
      <c r="F1856" s="7" t="s">
        <v>10</v>
      </c>
      <c r="G1856" s="6">
        <v>82733</v>
      </c>
      <c r="H1856" s="6" t="str" cm="1">
        <f t="array" ref="H1856">_xlfn.IFS(
  G1856 &lt; 25000, "Low",
  AND(G1856 &gt;= 25000, G1856 &lt; 75000), "Medium",
  AND(G1856 &gt;= 75000, G1856 &lt; 150000), "High",
  G1856 &gt;= 150000, "Very High"
)</f>
        <v>High</v>
      </c>
      <c r="I1856" s="6">
        <v>0</v>
      </c>
      <c r="J1856" s="6">
        <v>0</v>
      </c>
      <c r="K1856" s="6">
        <f t="shared" si="113"/>
        <v>0</v>
      </c>
      <c r="L1856" s="8">
        <v>41527</v>
      </c>
      <c r="M1856" t="str">
        <f t="shared" ca="1" si="114"/>
        <v>12 years, 5 months</v>
      </c>
      <c r="N1856" s="6">
        <v>28</v>
      </c>
      <c r="O1856">
        <v>50</v>
      </c>
      <c r="P1856">
        <v>38</v>
      </c>
      <c r="Q1856">
        <f t="shared" si="115"/>
        <v>88</v>
      </c>
      <c r="R1856">
        <v>8</v>
      </c>
      <c r="S1856">
        <v>7</v>
      </c>
      <c r="T1856">
        <f>Table[[#This Row],[NumWebPurchases]]+Table[[#This Row],[NumStorePurchases]]</f>
        <v>15</v>
      </c>
    </row>
    <row r="1857" spans="1:20" ht="12.5">
      <c r="A1857" s="6">
        <v>1855</v>
      </c>
      <c r="B1857" s="6">
        <v>2886</v>
      </c>
      <c r="C1857" s="6">
        <v>1971</v>
      </c>
      <c r="D1857" s="6">
        <f t="shared" si="112"/>
        <v>54</v>
      </c>
      <c r="E1857" s="7" t="s">
        <v>14</v>
      </c>
      <c r="F1857" s="7" t="s">
        <v>15</v>
      </c>
      <c r="G1857" s="6">
        <v>74290</v>
      </c>
      <c r="H1857" s="6" t="str" cm="1">
        <f t="array" ref="H1857">_xlfn.IFS(
  G1857 &lt; 25000, "Low",
  AND(G1857 &gt;= 25000, G1857 &lt; 75000), "Medium",
  AND(G1857 &gt;= 75000, G1857 &lt; 150000), "High",
  G1857 &gt;= 150000, "Very High"
)</f>
        <v>Medium</v>
      </c>
      <c r="I1857" s="6">
        <v>0</v>
      </c>
      <c r="J1857" s="6">
        <v>1</v>
      </c>
      <c r="K1857" s="6">
        <f t="shared" si="113"/>
        <v>1</v>
      </c>
      <c r="L1857" s="8">
        <v>41498</v>
      </c>
      <c r="M1857" t="str">
        <f t="shared" ca="1" si="114"/>
        <v>12 years, 6 months</v>
      </c>
      <c r="N1857" s="6">
        <v>70</v>
      </c>
      <c r="O1857">
        <v>0</v>
      </c>
      <c r="P1857">
        <v>12</v>
      </c>
      <c r="Q1857">
        <f t="shared" si="115"/>
        <v>12</v>
      </c>
      <c r="R1857">
        <v>10</v>
      </c>
      <c r="S1857">
        <v>10</v>
      </c>
      <c r="T1857">
        <f>Table[[#This Row],[NumWebPurchases]]+Table[[#This Row],[NumStorePurchases]]</f>
        <v>20</v>
      </c>
    </row>
    <row r="1858" spans="1:20" ht="12.5">
      <c r="A1858" s="6">
        <v>1856</v>
      </c>
      <c r="B1858" s="6">
        <v>6710</v>
      </c>
      <c r="C1858" s="6">
        <v>1951</v>
      </c>
      <c r="D1858" s="6">
        <f t="shared" si="112"/>
        <v>74</v>
      </c>
      <c r="E1858" s="7" t="s">
        <v>14</v>
      </c>
      <c r="F1858" s="7" t="s">
        <v>10</v>
      </c>
      <c r="G1858" s="6">
        <v>58217</v>
      </c>
      <c r="H1858" s="6" t="str" cm="1">
        <f t="array" ref="H1858">_xlfn.IFS(
  G1858 &lt; 25000, "Low",
  AND(G1858 &gt;= 25000, G1858 &lt; 75000), "Medium",
  AND(G1858 &gt;= 75000, G1858 &lt; 150000), "High",
  G1858 &gt;= 150000, "Very High"
)</f>
        <v>Medium</v>
      </c>
      <c r="I1858" s="6">
        <v>2</v>
      </c>
      <c r="J1858" s="6">
        <v>1</v>
      </c>
      <c r="K1858" s="6">
        <f t="shared" si="113"/>
        <v>3</v>
      </c>
      <c r="L1858" s="9">
        <v>41230</v>
      </c>
      <c r="M1858" t="str">
        <f t="shared" ca="1" si="114"/>
        <v>13 years, 3 months</v>
      </c>
      <c r="N1858" s="6">
        <v>84</v>
      </c>
      <c r="O1858">
        <v>1</v>
      </c>
      <c r="P1858">
        <v>5</v>
      </c>
      <c r="Q1858">
        <f t="shared" si="115"/>
        <v>6</v>
      </c>
      <c r="R1858">
        <v>2</v>
      </c>
      <c r="S1858">
        <v>4</v>
      </c>
      <c r="T1858">
        <f>Table[[#This Row],[NumWebPurchases]]+Table[[#This Row],[NumStorePurchases]]</f>
        <v>6</v>
      </c>
    </row>
    <row r="1859" spans="1:20" ht="12.5">
      <c r="A1859" s="6">
        <v>1857</v>
      </c>
      <c r="B1859" s="6">
        <v>5316</v>
      </c>
      <c r="C1859" s="6">
        <v>1976</v>
      </c>
      <c r="D1859" s="6">
        <f t="shared" ref="D1859:D1922" si="116">2025-C1859</f>
        <v>49</v>
      </c>
      <c r="E1859" s="7" t="s">
        <v>14</v>
      </c>
      <c r="F1859" s="7" t="s">
        <v>11</v>
      </c>
      <c r="G1859" s="6">
        <v>21024</v>
      </c>
      <c r="H1859" s="6" t="str" cm="1">
        <f t="array" ref="H1859">_xlfn.IFS(
  G1859 &lt; 25000, "Low",
  AND(G1859 &gt;= 25000, G1859 &lt; 75000), "Medium",
  AND(G1859 &gt;= 75000, G1859 &lt; 150000), "High",
  G1859 &gt;= 150000, "Very High"
)</f>
        <v>Low</v>
      </c>
      <c r="I1859" s="6">
        <v>0</v>
      </c>
      <c r="J1859" s="6">
        <v>0</v>
      </c>
      <c r="K1859" s="6">
        <f t="shared" ref="K1859:K1922" si="117">I1859+J1859</f>
        <v>0</v>
      </c>
      <c r="L1859" s="8">
        <v>41459</v>
      </c>
      <c r="M1859" t="str">
        <f t="shared" ref="M1859:M1922" ca="1" si="118">DATEDIF(L1859, TODAY(), "Y") &amp; " years, " &amp; DATEDIF(L1859, TODAY(), "YM") &amp; " months"</f>
        <v>12 years, 8 months</v>
      </c>
      <c r="N1859" s="6">
        <v>89</v>
      </c>
      <c r="O1859">
        <v>4</v>
      </c>
      <c r="P1859">
        <v>2</v>
      </c>
      <c r="Q1859">
        <f t="shared" ref="Q1859:Q1922" si="119">O1859+P1859</f>
        <v>6</v>
      </c>
      <c r="R1859">
        <v>2</v>
      </c>
      <c r="S1859">
        <v>4</v>
      </c>
      <c r="T1859">
        <f>Table[[#This Row],[NumWebPurchases]]+Table[[#This Row],[NumStorePurchases]]</f>
        <v>6</v>
      </c>
    </row>
    <row r="1860" spans="1:20" ht="12.5">
      <c r="A1860" s="6">
        <v>1858</v>
      </c>
      <c r="B1860" s="6">
        <v>9029</v>
      </c>
      <c r="C1860" s="6">
        <v>1972</v>
      </c>
      <c r="D1860" s="6">
        <f t="shared" si="116"/>
        <v>53</v>
      </c>
      <c r="E1860" s="7" t="s">
        <v>12</v>
      </c>
      <c r="F1860" s="7" t="s">
        <v>13</v>
      </c>
      <c r="G1860" s="6">
        <v>70116</v>
      </c>
      <c r="H1860" s="6" t="str" cm="1">
        <f t="array" ref="H1860">_xlfn.IFS(
  G1860 &lt; 25000, "Low",
  AND(G1860 &gt;= 25000, G1860 &lt; 75000), "Medium",
  AND(G1860 &gt;= 75000, G1860 &lt; 150000), "High",
  G1860 &gt;= 150000, "Very High"
)</f>
        <v>Medium</v>
      </c>
      <c r="I1860" s="6">
        <v>0</v>
      </c>
      <c r="J1860" s="6">
        <v>0</v>
      </c>
      <c r="K1860" s="6">
        <f t="shared" si="117"/>
        <v>0</v>
      </c>
      <c r="L1860" s="8">
        <v>41300</v>
      </c>
      <c r="M1860" t="str">
        <f t="shared" ca="1" si="118"/>
        <v>13 years, 1 months</v>
      </c>
      <c r="N1860" s="6">
        <v>73</v>
      </c>
      <c r="O1860">
        <v>44</v>
      </c>
      <c r="P1860">
        <v>58</v>
      </c>
      <c r="Q1860">
        <f t="shared" si="119"/>
        <v>102</v>
      </c>
      <c r="R1860">
        <v>2</v>
      </c>
      <c r="S1860">
        <v>12</v>
      </c>
      <c r="T1860">
        <f>Table[[#This Row],[NumWebPurchases]]+Table[[#This Row],[NumStorePurchases]]</f>
        <v>14</v>
      </c>
    </row>
    <row r="1861" spans="1:20" ht="12.5">
      <c r="A1861" s="6">
        <v>1859</v>
      </c>
      <c r="B1861" s="6">
        <v>521</v>
      </c>
      <c r="C1861" s="6">
        <v>1985</v>
      </c>
      <c r="D1861" s="6">
        <f t="shared" si="116"/>
        <v>40</v>
      </c>
      <c r="E1861" s="7" t="s">
        <v>9</v>
      </c>
      <c r="F1861" s="7" t="s">
        <v>11</v>
      </c>
      <c r="G1861" s="6">
        <v>54006</v>
      </c>
      <c r="H1861" s="6" t="str" cm="1">
        <f t="array" ref="H1861">_xlfn.IFS(
  G1861 &lt; 25000, "Low",
  AND(G1861 &gt;= 25000, G1861 &lt; 75000), "Medium",
  AND(G1861 &gt;= 75000, G1861 &lt; 150000), "High",
  G1861 &gt;= 150000, "Very High"
)</f>
        <v>Medium</v>
      </c>
      <c r="I1861" s="6">
        <v>1</v>
      </c>
      <c r="J1861" s="6">
        <v>0</v>
      </c>
      <c r="K1861" s="6">
        <f t="shared" si="117"/>
        <v>1</v>
      </c>
      <c r="L1861" s="8">
        <v>41170</v>
      </c>
      <c r="M1861" t="str">
        <f t="shared" ca="1" si="118"/>
        <v>13 years, 5 months</v>
      </c>
      <c r="N1861" s="6">
        <v>42</v>
      </c>
      <c r="O1861">
        <v>77</v>
      </c>
      <c r="P1861">
        <v>24</v>
      </c>
      <c r="Q1861">
        <f t="shared" si="119"/>
        <v>101</v>
      </c>
      <c r="R1861">
        <v>8</v>
      </c>
      <c r="S1861">
        <v>7</v>
      </c>
      <c r="T1861">
        <f>Table[[#This Row],[NumWebPurchases]]+Table[[#This Row],[NumStorePurchases]]</f>
        <v>15</v>
      </c>
    </row>
    <row r="1862" spans="1:20" ht="12.5">
      <c r="A1862" s="6">
        <v>1860</v>
      </c>
      <c r="B1862" s="6">
        <v>1459</v>
      </c>
      <c r="C1862" s="6">
        <v>1966</v>
      </c>
      <c r="D1862" s="6">
        <f t="shared" si="116"/>
        <v>59</v>
      </c>
      <c r="E1862" s="7" t="s">
        <v>12</v>
      </c>
      <c r="F1862" s="7" t="s">
        <v>13</v>
      </c>
      <c r="G1862" s="6">
        <v>69063</v>
      </c>
      <c r="H1862" s="6" t="str" cm="1">
        <f t="array" ref="H1862">_xlfn.IFS(
  G1862 &lt; 25000, "Low",
  AND(G1862 &gt;= 25000, G1862 &lt; 75000), "Medium",
  AND(G1862 &gt;= 75000, G1862 &lt; 150000), "High",
  G1862 &gt;= 150000, "Very High"
)</f>
        <v>Medium</v>
      </c>
      <c r="I1862" s="6">
        <v>0</v>
      </c>
      <c r="J1862" s="6">
        <v>1</v>
      </c>
      <c r="K1862" s="6">
        <f t="shared" si="117"/>
        <v>1</v>
      </c>
      <c r="L1862" s="8">
        <v>41220</v>
      </c>
      <c r="M1862" t="str">
        <f t="shared" ca="1" si="118"/>
        <v>13 years, 3 months</v>
      </c>
      <c r="N1862" s="6">
        <v>16</v>
      </c>
      <c r="O1862">
        <v>35</v>
      </c>
      <c r="P1862">
        <v>8</v>
      </c>
      <c r="Q1862">
        <f t="shared" si="119"/>
        <v>43</v>
      </c>
      <c r="R1862">
        <v>5</v>
      </c>
      <c r="S1862">
        <v>5</v>
      </c>
      <c r="T1862">
        <f>Table[[#This Row],[NumWebPurchases]]+Table[[#This Row],[NumStorePurchases]]</f>
        <v>10</v>
      </c>
    </row>
    <row r="1863" spans="1:20" ht="12.5">
      <c r="A1863" s="6">
        <v>1861</v>
      </c>
      <c r="B1863" s="6">
        <v>10241</v>
      </c>
      <c r="C1863" s="6">
        <v>1975</v>
      </c>
      <c r="D1863" s="6">
        <f t="shared" si="116"/>
        <v>50</v>
      </c>
      <c r="E1863" s="7" t="s">
        <v>17</v>
      </c>
      <c r="F1863" s="7" t="s">
        <v>15</v>
      </c>
      <c r="G1863" s="6">
        <v>11448</v>
      </c>
      <c r="H1863" s="6" t="str" cm="1">
        <f t="array" ref="H1863">_xlfn.IFS(
  G1863 &lt; 25000, "Low",
  AND(G1863 &gt;= 25000, G1863 &lt; 75000), "Medium",
  AND(G1863 &gt;= 75000, G1863 &lt; 150000), "High",
  G1863 &gt;= 150000, "Very High"
)</f>
        <v>Low</v>
      </c>
      <c r="I1863" s="6">
        <v>0</v>
      </c>
      <c r="J1863" s="6">
        <v>0</v>
      </c>
      <c r="K1863" s="6">
        <f t="shared" si="117"/>
        <v>0</v>
      </c>
      <c r="L1863" s="9">
        <v>41623</v>
      </c>
      <c r="M1863" t="str">
        <f t="shared" ca="1" si="118"/>
        <v>12 years, 2 months</v>
      </c>
      <c r="N1863" s="6">
        <v>16</v>
      </c>
      <c r="O1863">
        <v>0</v>
      </c>
      <c r="P1863">
        <v>2</v>
      </c>
      <c r="Q1863">
        <f t="shared" si="119"/>
        <v>2</v>
      </c>
      <c r="R1863">
        <v>1</v>
      </c>
      <c r="S1863">
        <v>2</v>
      </c>
      <c r="T1863">
        <f>Table[[#This Row],[NumWebPurchases]]+Table[[#This Row],[NumStorePurchases]]</f>
        <v>3</v>
      </c>
    </row>
    <row r="1864" spans="1:20" ht="12.5">
      <c r="A1864" s="6">
        <v>1862</v>
      </c>
      <c r="B1864" s="6">
        <v>1630</v>
      </c>
      <c r="C1864" s="6">
        <v>1979</v>
      </c>
      <c r="D1864" s="6">
        <f t="shared" si="116"/>
        <v>46</v>
      </c>
      <c r="E1864" s="7" t="s">
        <v>9</v>
      </c>
      <c r="F1864" s="7" t="s">
        <v>10</v>
      </c>
      <c r="G1864" s="6">
        <v>61825</v>
      </c>
      <c r="H1864" s="6" t="str" cm="1">
        <f t="array" ref="H1864">_xlfn.IFS(
  G1864 &lt; 25000, "Low",
  AND(G1864 &gt;= 25000, G1864 &lt; 75000), "Medium",
  AND(G1864 &gt;= 75000, G1864 &lt; 150000), "High",
  G1864 &gt;= 150000, "Very High"
)</f>
        <v>Medium</v>
      </c>
      <c r="I1864" s="6">
        <v>0</v>
      </c>
      <c r="J1864" s="6">
        <v>1</v>
      </c>
      <c r="K1864" s="6">
        <f t="shared" si="117"/>
        <v>1</v>
      </c>
      <c r="L1864" s="8">
        <v>41493</v>
      </c>
      <c r="M1864" t="str">
        <f t="shared" ca="1" si="118"/>
        <v>12 years, 6 months</v>
      </c>
      <c r="N1864" s="6">
        <v>56</v>
      </c>
      <c r="O1864">
        <v>50</v>
      </c>
      <c r="P1864">
        <v>30</v>
      </c>
      <c r="Q1864">
        <f t="shared" si="119"/>
        <v>80</v>
      </c>
      <c r="R1864">
        <v>4</v>
      </c>
      <c r="S1864">
        <v>8</v>
      </c>
      <c r="T1864">
        <f>Table[[#This Row],[NumWebPurchases]]+Table[[#This Row],[NumStorePurchases]]</f>
        <v>12</v>
      </c>
    </row>
    <row r="1865" spans="1:20" ht="12.5">
      <c r="A1865" s="6">
        <v>1863</v>
      </c>
      <c r="B1865" s="6">
        <v>3254</v>
      </c>
      <c r="C1865" s="6">
        <v>1971</v>
      </c>
      <c r="D1865" s="6">
        <f t="shared" si="116"/>
        <v>54</v>
      </c>
      <c r="E1865" s="7" t="s">
        <v>9</v>
      </c>
      <c r="F1865" s="7" t="s">
        <v>13</v>
      </c>
      <c r="G1865" s="6">
        <v>70886</v>
      </c>
      <c r="H1865" s="6" t="str" cm="1">
        <f t="array" ref="H1865">_xlfn.IFS(
  G1865 &lt; 25000, "Low",
  AND(G1865 &gt;= 25000, G1865 &lt; 75000), "Medium",
  AND(G1865 &gt;= 75000, G1865 &lt; 150000), "High",
  G1865 &gt;= 150000, "Very High"
)</f>
        <v>Medium</v>
      </c>
      <c r="I1865" s="6">
        <v>1</v>
      </c>
      <c r="J1865" s="6">
        <v>0</v>
      </c>
      <c r="K1865" s="6">
        <f t="shared" si="117"/>
        <v>1</v>
      </c>
      <c r="L1865" s="9">
        <v>41561</v>
      </c>
      <c r="M1865" t="str">
        <f t="shared" ca="1" si="118"/>
        <v>12 years, 4 months</v>
      </c>
      <c r="N1865" s="6">
        <v>65</v>
      </c>
      <c r="O1865">
        <v>70</v>
      </c>
      <c r="P1865">
        <v>88</v>
      </c>
      <c r="Q1865">
        <f t="shared" si="119"/>
        <v>158</v>
      </c>
      <c r="R1865">
        <v>5</v>
      </c>
      <c r="S1865">
        <v>4</v>
      </c>
      <c r="T1865">
        <f>Table[[#This Row],[NumWebPurchases]]+Table[[#This Row],[NumStorePurchases]]</f>
        <v>9</v>
      </c>
    </row>
    <row r="1866" spans="1:20" ht="12.5">
      <c r="A1866" s="6">
        <v>1864</v>
      </c>
      <c r="B1866" s="6">
        <v>9064</v>
      </c>
      <c r="C1866" s="6">
        <v>1982</v>
      </c>
      <c r="D1866" s="6">
        <f t="shared" si="116"/>
        <v>43</v>
      </c>
      <c r="E1866" s="7" t="s">
        <v>9</v>
      </c>
      <c r="F1866" s="7" t="s">
        <v>13</v>
      </c>
      <c r="G1866" s="6">
        <v>69109</v>
      </c>
      <c r="H1866" s="6" t="str" cm="1">
        <f t="array" ref="H1866">_xlfn.IFS(
  G1866 &lt; 25000, "Low",
  AND(G1866 &gt;= 25000, G1866 &lt; 75000), "Medium",
  AND(G1866 &gt;= 75000, G1866 &lt; 150000), "High",
  G1866 &gt;= 150000, "Very High"
)</f>
        <v>Medium</v>
      </c>
      <c r="I1866" s="6">
        <v>0</v>
      </c>
      <c r="J1866" s="6">
        <v>0</v>
      </c>
      <c r="K1866" s="6">
        <f t="shared" si="117"/>
        <v>0</v>
      </c>
      <c r="L1866" s="8">
        <v>41222</v>
      </c>
      <c r="M1866" t="str">
        <f t="shared" ca="1" si="118"/>
        <v>13 years, 3 months</v>
      </c>
      <c r="N1866" s="6">
        <v>10</v>
      </c>
      <c r="O1866">
        <v>25</v>
      </c>
      <c r="P1866">
        <v>29</v>
      </c>
      <c r="Q1866">
        <f t="shared" si="119"/>
        <v>54</v>
      </c>
      <c r="R1866">
        <v>6</v>
      </c>
      <c r="S1866">
        <v>7</v>
      </c>
      <c r="T1866">
        <f>Table[[#This Row],[NumWebPurchases]]+Table[[#This Row],[NumStorePurchases]]</f>
        <v>13</v>
      </c>
    </row>
    <row r="1867" spans="1:20" ht="12.5">
      <c r="A1867" s="6">
        <v>1865</v>
      </c>
      <c r="B1867" s="6">
        <v>3678</v>
      </c>
      <c r="C1867" s="6">
        <v>1973</v>
      </c>
      <c r="D1867" s="6">
        <f t="shared" si="116"/>
        <v>52</v>
      </c>
      <c r="E1867" s="7" t="s">
        <v>9</v>
      </c>
      <c r="F1867" s="7" t="s">
        <v>18</v>
      </c>
      <c r="G1867" s="6">
        <v>60208</v>
      </c>
      <c r="H1867" s="6" t="str" cm="1">
        <f t="array" ref="H1867">_xlfn.IFS(
  G1867 &lt; 25000, "Low",
  AND(G1867 &gt;= 25000, G1867 &lt; 75000), "Medium",
  AND(G1867 &gt;= 75000, G1867 &lt; 150000), "High",
  G1867 &gt;= 150000, "Very High"
)</f>
        <v>Medium</v>
      </c>
      <c r="I1867" s="6">
        <v>1</v>
      </c>
      <c r="J1867" s="6">
        <v>1</v>
      </c>
      <c r="K1867" s="6">
        <f t="shared" si="117"/>
        <v>2</v>
      </c>
      <c r="L1867" s="8">
        <v>41189</v>
      </c>
      <c r="M1867" t="str">
        <f t="shared" ca="1" si="118"/>
        <v>13 years, 4 months</v>
      </c>
      <c r="N1867" s="6">
        <v>13</v>
      </c>
      <c r="O1867">
        <v>23</v>
      </c>
      <c r="P1867">
        <v>0</v>
      </c>
      <c r="Q1867">
        <f t="shared" si="119"/>
        <v>23</v>
      </c>
      <c r="R1867">
        <v>8</v>
      </c>
      <c r="S1867">
        <v>7</v>
      </c>
      <c r="T1867">
        <f>Table[[#This Row],[NumWebPurchases]]+Table[[#This Row],[NumStorePurchases]]</f>
        <v>15</v>
      </c>
    </row>
    <row r="1868" spans="1:20" ht="12.5">
      <c r="A1868" s="6">
        <v>1866</v>
      </c>
      <c r="B1868" s="6">
        <v>4227</v>
      </c>
      <c r="C1868" s="6">
        <v>1968</v>
      </c>
      <c r="D1868" s="6">
        <f t="shared" si="116"/>
        <v>57</v>
      </c>
      <c r="E1868" s="7" t="s">
        <v>14</v>
      </c>
      <c r="F1868" s="7" t="s">
        <v>11</v>
      </c>
      <c r="G1868" s="6">
        <v>32889</v>
      </c>
      <c r="H1868" s="6" t="str" cm="1">
        <f t="array" ref="H1868">_xlfn.IFS(
  G1868 &lt; 25000, "Low",
  AND(G1868 &gt;= 25000, G1868 &lt; 75000), "Medium",
  AND(G1868 &gt;= 75000, G1868 &lt; 150000), "High",
  G1868 &gt;= 150000, "Very High"
)</f>
        <v>Medium</v>
      </c>
      <c r="I1868" s="6">
        <v>1</v>
      </c>
      <c r="J1868" s="6">
        <v>1</v>
      </c>
      <c r="K1868" s="6">
        <f t="shared" si="117"/>
        <v>2</v>
      </c>
      <c r="L1868" s="8">
        <v>41523</v>
      </c>
      <c r="M1868" t="str">
        <f t="shared" ca="1" si="118"/>
        <v>12 years, 6 months</v>
      </c>
      <c r="N1868" s="6">
        <v>78</v>
      </c>
      <c r="O1868">
        <v>0</v>
      </c>
      <c r="P1868">
        <v>2</v>
      </c>
      <c r="Q1868">
        <f t="shared" si="119"/>
        <v>2</v>
      </c>
      <c r="R1868">
        <v>2</v>
      </c>
      <c r="S1868">
        <v>3</v>
      </c>
      <c r="T1868">
        <f>Table[[#This Row],[NumWebPurchases]]+Table[[#This Row],[NumStorePurchases]]</f>
        <v>5</v>
      </c>
    </row>
    <row r="1869" spans="1:20" ht="12.5">
      <c r="A1869" s="6">
        <v>1867</v>
      </c>
      <c r="B1869" s="6">
        <v>9467</v>
      </c>
      <c r="C1869" s="6">
        <v>1984</v>
      </c>
      <c r="D1869" s="6">
        <f t="shared" si="116"/>
        <v>41</v>
      </c>
      <c r="E1869" s="7" t="s">
        <v>9</v>
      </c>
      <c r="F1869" s="7" t="s">
        <v>10</v>
      </c>
      <c r="G1869" s="6">
        <v>34738</v>
      </c>
      <c r="H1869" s="6" t="str" cm="1">
        <f t="array" ref="H1869">_xlfn.IFS(
  G1869 &lt; 25000, "Low",
  AND(G1869 &gt;= 25000, G1869 &lt; 75000), "Medium",
  AND(G1869 &gt;= 75000, G1869 &lt; 150000), "High",
  G1869 &gt;= 150000, "Very High"
)</f>
        <v>Medium</v>
      </c>
      <c r="I1869" s="6">
        <v>1</v>
      </c>
      <c r="J1869" s="6">
        <v>0</v>
      </c>
      <c r="K1869" s="6">
        <f t="shared" si="117"/>
        <v>1</v>
      </c>
      <c r="L1869" s="8">
        <v>41770</v>
      </c>
      <c r="M1869" t="str">
        <f t="shared" ca="1" si="118"/>
        <v>11 years, 9 months</v>
      </c>
      <c r="N1869" s="6">
        <v>51</v>
      </c>
      <c r="O1869">
        <v>2</v>
      </c>
      <c r="P1869">
        <v>0</v>
      </c>
      <c r="Q1869">
        <f t="shared" si="119"/>
        <v>2</v>
      </c>
      <c r="R1869">
        <v>1</v>
      </c>
      <c r="S1869">
        <v>3</v>
      </c>
      <c r="T1869">
        <f>Table[[#This Row],[NumWebPurchases]]+Table[[#This Row],[NumStorePurchases]]</f>
        <v>4</v>
      </c>
    </row>
    <row r="1870" spans="1:20" ht="12.5">
      <c r="A1870" s="6">
        <v>1868</v>
      </c>
      <c r="B1870" s="6">
        <v>8486</v>
      </c>
      <c r="C1870" s="6">
        <v>1971</v>
      </c>
      <c r="D1870" s="6">
        <f t="shared" si="116"/>
        <v>54</v>
      </c>
      <c r="E1870" s="7" t="s">
        <v>14</v>
      </c>
      <c r="F1870" s="7" t="s">
        <v>11</v>
      </c>
      <c r="G1870" s="6">
        <v>30538</v>
      </c>
      <c r="H1870" s="6" t="str" cm="1">
        <f t="array" ref="H1870">_xlfn.IFS(
  G1870 &lt; 25000, "Low",
  AND(G1870 &gt;= 25000, G1870 &lt; 75000), "Medium",
  AND(G1870 &gt;= 75000, G1870 &lt; 150000), "High",
  G1870 &gt;= 150000, "Very High"
)</f>
        <v>Medium</v>
      </c>
      <c r="I1870" s="6">
        <v>1</v>
      </c>
      <c r="J1870" s="6">
        <v>0</v>
      </c>
      <c r="K1870" s="6">
        <f t="shared" si="117"/>
        <v>1</v>
      </c>
      <c r="L1870" s="8">
        <v>41183</v>
      </c>
      <c r="M1870" t="str">
        <f t="shared" ca="1" si="118"/>
        <v>13 years, 5 months</v>
      </c>
      <c r="N1870" s="6">
        <v>27</v>
      </c>
      <c r="O1870">
        <v>0</v>
      </c>
      <c r="P1870">
        <v>3</v>
      </c>
      <c r="Q1870">
        <f t="shared" si="119"/>
        <v>3</v>
      </c>
      <c r="R1870">
        <v>9</v>
      </c>
      <c r="S1870">
        <v>4</v>
      </c>
      <c r="T1870">
        <f>Table[[#This Row],[NumWebPurchases]]+Table[[#This Row],[NumStorePurchases]]</f>
        <v>13</v>
      </c>
    </row>
    <row r="1871" spans="1:20" ht="12.5">
      <c r="A1871" s="6">
        <v>1869</v>
      </c>
      <c r="B1871" s="6">
        <v>2186</v>
      </c>
      <c r="C1871" s="6">
        <v>1977</v>
      </c>
      <c r="D1871" s="6">
        <f t="shared" si="116"/>
        <v>48</v>
      </c>
      <c r="E1871" s="7" t="s">
        <v>17</v>
      </c>
      <c r="F1871" s="7" t="s">
        <v>11</v>
      </c>
      <c r="G1871" s="6">
        <v>82326</v>
      </c>
      <c r="H1871" s="6" t="str" cm="1">
        <f t="array" ref="H1871">_xlfn.IFS(
  G1871 &lt; 25000, "Low",
  AND(G1871 &gt;= 25000, G1871 &lt; 75000), "Medium",
  AND(G1871 &gt;= 75000, G1871 &lt; 150000), "High",
  G1871 &gt;= 150000, "Very High"
)</f>
        <v>High</v>
      </c>
      <c r="I1871" s="6">
        <v>0</v>
      </c>
      <c r="J1871" s="6">
        <v>0</v>
      </c>
      <c r="K1871" s="6">
        <f t="shared" si="117"/>
        <v>0</v>
      </c>
      <c r="L1871" s="8">
        <v>41708</v>
      </c>
      <c r="M1871" t="str">
        <f t="shared" ca="1" si="118"/>
        <v>11 years, 11 months</v>
      </c>
      <c r="N1871" s="6">
        <v>30</v>
      </c>
      <c r="O1871">
        <v>142</v>
      </c>
      <c r="P1871">
        <v>81</v>
      </c>
      <c r="Q1871">
        <f t="shared" si="119"/>
        <v>223</v>
      </c>
      <c r="R1871">
        <v>5</v>
      </c>
      <c r="S1871">
        <v>6</v>
      </c>
      <c r="T1871">
        <f>Table[[#This Row],[NumWebPurchases]]+Table[[#This Row],[NumStorePurchases]]</f>
        <v>11</v>
      </c>
    </row>
    <row r="1872" spans="1:20" ht="12.5">
      <c r="A1872" s="6">
        <v>1870</v>
      </c>
      <c r="B1872" s="6">
        <v>3286</v>
      </c>
      <c r="C1872" s="6">
        <v>1967</v>
      </c>
      <c r="D1872" s="6">
        <f t="shared" si="116"/>
        <v>58</v>
      </c>
      <c r="E1872" s="7" t="s">
        <v>12</v>
      </c>
      <c r="F1872" s="7" t="s">
        <v>15</v>
      </c>
      <c r="G1872" s="6">
        <v>26642</v>
      </c>
      <c r="H1872" s="6" t="str" cm="1">
        <f t="array" ref="H1872">_xlfn.IFS(
  G1872 &lt; 25000, "Low",
  AND(G1872 &gt;= 25000, G1872 &lt; 75000), "Medium",
  AND(G1872 &gt;= 75000, G1872 &lt; 150000), "High",
  G1872 &gt;= 150000, "Very High"
)</f>
        <v>Medium</v>
      </c>
      <c r="I1872" s="6">
        <v>1</v>
      </c>
      <c r="J1872" s="6">
        <v>0</v>
      </c>
      <c r="K1872" s="6">
        <f t="shared" si="117"/>
        <v>1</v>
      </c>
      <c r="L1872" s="8">
        <v>41699</v>
      </c>
      <c r="M1872" t="str">
        <f t="shared" ca="1" si="118"/>
        <v>12 years, 0 months</v>
      </c>
      <c r="N1872" s="6">
        <v>71</v>
      </c>
      <c r="O1872">
        <v>2</v>
      </c>
      <c r="P1872">
        <v>2</v>
      </c>
      <c r="Q1872">
        <f t="shared" si="119"/>
        <v>4</v>
      </c>
      <c r="R1872">
        <v>2</v>
      </c>
      <c r="S1872">
        <v>3</v>
      </c>
      <c r="T1872">
        <f>Table[[#This Row],[NumWebPurchases]]+Table[[#This Row],[NumStorePurchases]]</f>
        <v>5</v>
      </c>
    </row>
    <row r="1873" spans="1:20" ht="12.5">
      <c r="A1873" s="6">
        <v>1871</v>
      </c>
      <c r="B1873" s="6">
        <v>8602</v>
      </c>
      <c r="C1873" s="6">
        <v>1964</v>
      </c>
      <c r="D1873" s="6">
        <f t="shared" si="116"/>
        <v>61</v>
      </c>
      <c r="E1873" s="7" t="s">
        <v>9</v>
      </c>
      <c r="F1873" s="7" t="s">
        <v>15</v>
      </c>
      <c r="G1873" s="6">
        <v>69932</v>
      </c>
      <c r="H1873" s="6" t="str" cm="1">
        <f t="array" ref="H1873">_xlfn.IFS(
  G1873 &lt; 25000, "Low",
  AND(G1873 &gt;= 25000, G1873 &lt; 75000), "Medium",
  AND(G1873 &gt;= 75000, G1873 &lt; 150000), "High",
  G1873 &gt;= 150000, "Very High"
)</f>
        <v>Medium</v>
      </c>
      <c r="I1873" s="6">
        <v>0</v>
      </c>
      <c r="J1873" s="6">
        <v>1</v>
      </c>
      <c r="K1873" s="6">
        <f t="shared" si="117"/>
        <v>1</v>
      </c>
      <c r="L1873" s="8">
        <v>41437</v>
      </c>
      <c r="M1873" t="str">
        <f t="shared" ca="1" si="118"/>
        <v>12 years, 8 months</v>
      </c>
      <c r="N1873" s="6">
        <v>97</v>
      </c>
      <c r="O1873">
        <v>172</v>
      </c>
      <c r="P1873">
        <v>105</v>
      </c>
      <c r="Q1873">
        <f t="shared" si="119"/>
        <v>277</v>
      </c>
      <c r="R1873">
        <v>7</v>
      </c>
      <c r="S1873">
        <v>11</v>
      </c>
      <c r="T1873">
        <f>Table[[#This Row],[NumWebPurchases]]+Table[[#This Row],[NumStorePurchases]]</f>
        <v>18</v>
      </c>
    </row>
    <row r="1874" spans="1:20" ht="12.5">
      <c r="A1874" s="6">
        <v>1872</v>
      </c>
      <c r="B1874" s="6">
        <v>3722</v>
      </c>
      <c r="C1874" s="6">
        <v>1972</v>
      </c>
      <c r="D1874" s="6">
        <f t="shared" si="116"/>
        <v>53</v>
      </c>
      <c r="E1874" s="7" t="s">
        <v>9</v>
      </c>
      <c r="F1874" s="7" t="s">
        <v>10</v>
      </c>
      <c r="G1874" s="6">
        <v>44503</v>
      </c>
      <c r="H1874" s="6" t="str" cm="1">
        <f t="array" ref="H1874">_xlfn.IFS(
  G1874 &lt; 25000, "Low",
  AND(G1874 &gt;= 25000, G1874 &lt; 75000), "Medium",
  AND(G1874 &gt;= 75000, G1874 &lt; 150000), "High",
  G1874 &gt;= 150000, "Very High"
)</f>
        <v>Medium</v>
      </c>
      <c r="I1874" s="6">
        <v>1</v>
      </c>
      <c r="J1874" s="6">
        <v>1</v>
      </c>
      <c r="K1874" s="6">
        <f t="shared" si="117"/>
        <v>2</v>
      </c>
      <c r="L1874" s="8">
        <v>41745</v>
      </c>
      <c r="M1874" t="str">
        <f t="shared" ca="1" si="118"/>
        <v>11 years, 10 months</v>
      </c>
      <c r="N1874" s="6">
        <v>83</v>
      </c>
      <c r="O1874">
        <v>1</v>
      </c>
      <c r="P1874">
        <v>0</v>
      </c>
      <c r="Q1874">
        <f t="shared" si="119"/>
        <v>1</v>
      </c>
      <c r="R1874">
        <v>2</v>
      </c>
      <c r="S1874">
        <v>3</v>
      </c>
      <c r="T1874">
        <f>Table[[#This Row],[NumWebPurchases]]+Table[[#This Row],[NumStorePurchases]]</f>
        <v>5</v>
      </c>
    </row>
    <row r="1875" spans="1:20" ht="12.5">
      <c r="A1875" s="6">
        <v>1873</v>
      </c>
      <c r="B1875" s="6">
        <v>6715</v>
      </c>
      <c r="C1875" s="6">
        <v>1948</v>
      </c>
      <c r="D1875" s="6">
        <f t="shared" si="116"/>
        <v>77</v>
      </c>
      <c r="E1875" s="7" t="s">
        <v>12</v>
      </c>
      <c r="F1875" s="7" t="s">
        <v>10</v>
      </c>
      <c r="G1875" s="6">
        <v>60200</v>
      </c>
      <c r="H1875" s="6" t="str" cm="1">
        <f t="array" ref="H1875">_xlfn.IFS(
  G1875 &lt; 25000, "Low",
  AND(G1875 &gt;= 25000, G1875 &lt; 75000), "Medium",
  AND(G1875 &gt;= 75000, G1875 &lt; 150000), "High",
  G1875 &gt;= 150000, "Very High"
)</f>
        <v>Medium</v>
      </c>
      <c r="I1875" s="6">
        <v>0</v>
      </c>
      <c r="J1875" s="6">
        <v>1</v>
      </c>
      <c r="K1875" s="6">
        <f t="shared" si="117"/>
        <v>1</v>
      </c>
      <c r="L1875" s="8">
        <v>41276</v>
      </c>
      <c r="M1875" t="str">
        <f t="shared" ca="1" si="118"/>
        <v>13 years, 2 months</v>
      </c>
      <c r="N1875" s="6">
        <v>3</v>
      </c>
      <c r="O1875">
        <v>19</v>
      </c>
      <c r="P1875">
        <v>6</v>
      </c>
      <c r="Q1875">
        <f t="shared" si="119"/>
        <v>25</v>
      </c>
      <c r="R1875">
        <v>6</v>
      </c>
      <c r="S1875">
        <v>11</v>
      </c>
      <c r="T1875">
        <f>Table[[#This Row],[NumWebPurchases]]+Table[[#This Row],[NumStorePurchases]]</f>
        <v>17</v>
      </c>
    </row>
    <row r="1876" spans="1:20" ht="12.5">
      <c r="A1876" s="6">
        <v>1874</v>
      </c>
      <c r="B1876" s="6">
        <v>4796</v>
      </c>
      <c r="C1876" s="6">
        <v>1952</v>
      </c>
      <c r="D1876" s="6">
        <f t="shared" si="116"/>
        <v>73</v>
      </c>
      <c r="E1876" s="7" t="s">
        <v>9</v>
      </c>
      <c r="F1876" s="7" t="s">
        <v>15</v>
      </c>
      <c r="G1876" s="6">
        <v>49638</v>
      </c>
      <c r="H1876" s="6" t="str" cm="1">
        <f t="array" ref="H1876">_xlfn.IFS(
  G1876 &lt; 25000, "Low",
  AND(G1876 &gt;= 25000, G1876 &lt; 75000), "Medium",
  AND(G1876 &gt;= 75000, G1876 &lt; 150000), "High",
  G1876 &gt;= 150000, "Very High"
)</f>
        <v>Medium</v>
      </c>
      <c r="I1876" s="6">
        <v>0</v>
      </c>
      <c r="J1876" s="6">
        <v>1</v>
      </c>
      <c r="K1876" s="6">
        <f t="shared" si="117"/>
        <v>1</v>
      </c>
      <c r="L1876" s="8">
        <v>41748</v>
      </c>
      <c r="M1876" t="str">
        <f t="shared" ca="1" si="118"/>
        <v>11 years, 10 months</v>
      </c>
      <c r="N1876" s="6">
        <v>71</v>
      </c>
      <c r="O1876">
        <v>10</v>
      </c>
      <c r="P1876">
        <v>5</v>
      </c>
      <c r="Q1876">
        <f t="shared" si="119"/>
        <v>15</v>
      </c>
      <c r="R1876">
        <v>1</v>
      </c>
      <c r="S1876">
        <v>3</v>
      </c>
      <c r="T1876">
        <f>Table[[#This Row],[NumWebPurchases]]+Table[[#This Row],[NumStorePurchases]]</f>
        <v>4</v>
      </c>
    </row>
    <row r="1877" spans="1:20" ht="12.5">
      <c r="A1877" s="6">
        <v>1875</v>
      </c>
      <c r="B1877" s="6">
        <v>9612</v>
      </c>
      <c r="C1877" s="6">
        <v>1987</v>
      </c>
      <c r="D1877" s="6">
        <f t="shared" si="116"/>
        <v>38</v>
      </c>
      <c r="E1877" s="7" t="s">
        <v>17</v>
      </c>
      <c r="F1877" s="7" t="s">
        <v>10</v>
      </c>
      <c r="G1877" s="6">
        <v>23830</v>
      </c>
      <c r="H1877" s="6" t="str" cm="1">
        <f t="array" ref="H1877">_xlfn.IFS(
  G1877 &lt; 25000, "Low",
  AND(G1877 &gt;= 25000, G1877 &lt; 75000), "Medium",
  AND(G1877 &gt;= 75000, G1877 &lt; 150000), "High",
  G1877 &gt;= 150000, "Very High"
)</f>
        <v>Low</v>
      </c>
      <c r="I1877" s="6">
        <v>0</v>
      </c>
      <c r="J1877" s="6">
        <v>0</v>
      </c>
      <c r="K1877" s="6">
        <f t="shared" si="117"/>
        <v>0</v>
      </c>
      <c r="L1877" s="8">
        <v>41677</v>
      </c>
      <c r="M1877" t="str">
        <f t="shared" ca="1" si="118"/>
        <v>12 years, 0 months</v>
      </c>
      <c r="N1877" s="6">
        <v>3</v>
      </c>
      <c r="O1877">
        <v>8</v>
      </c>
      <c r="P1877">
        <v>8</v>
      </c>
      <c r="Q1877">
        <f t="shared" si="119"/>
        <v>16</v>
      </c>
      <c r="R1877">
        <v>1</v>
      </c>
      <c r="S1877">
        <v>3</v>
      </c>
      <c r="T1877">
        <f>Table[[#This Row],[NumWebPurchases]]+Table[[#This Row],[NumStorePurchases]]</f>
        <v>4</v>
      </c>
    </row>
    <row r="1878" spans="1:20" ht="12.5">
      <c r="A1878" s="6">
        <v>1876</v>
      </c>
      <c r="B1878" s="6">
        <v>3766</v>
      </c>
      <c r="C1878" s="6">
        <v>1959</v>
      </c>
      <c r="D1878" s="6">
        <f t="shared" si="116"/>
        <v>66</v>
      </c>
      <c r="E1878" s="7" t="s">
        <v>14</v>
      </c>
      <c r="F1878" s="7" t="s">
        <v>18</v>
      </c>
      <c r="G1878" s="6">
        <v>33051</v>
      </c>
      <c r="H1878" s="6" t="str" cm="1">
        <f t="array" ref="H1878">_xlfn.IFS(
  G1878 &lt; 25000, "Low",
  AND(G1878 &gt;= 25000, G1878 &lt; 75000), "Medium",
  AND(G1878 &gt;= 75000, G1878 &lt; 150000), "High",
  G1878 &gt;= 150000, "Very High"
)</f>
        <v>Medium</v>
      </c>
      <c r="I1878" s="6">
        <v>0</v>
      </c>
      <c r="J1878" s="6">
        <v>0</v>
      </c>
      <c r="K1878" s="6">
        <f t="shared" si="117"/>
        <v>0</v>
      </c>
      <c r="L1878" s="8">
        <v>41137</v>
      </c>
      <c r="M1878" t="str">
        <f t="shared" ca="1" si="118"/>
        <v>13 years, 6 months</v>
      </c>
      <c r="N1878" s="6">
        <v>15</v>
      </c>
      <c r="O1878">
        <v>71</v>
      </c>
      <c r="P1878">
        <v>94</v>
      </c>
      <c r="Q1878">
        <f t="shared" si="119"/>
        <v>165</v>
      </c>
      <c r="R1878">
        <v>9</v>
      </c>
      <c r="S1878">
        <v>8</v>
      </c>
      <c r="T1878">
        <f>Table[[#This Row],[NumWebPurchases]]+Table[[#This Row],[NumStorePurchases]]</f>
        <v>17</v>
      </c>
    </row>
    <row r="1879" spans="1:20" ht="12.5">
      <c r="A1879" s="6">
        <v>1877</v>
      </c>
      <c r="B1879" s="6">
        <v>1399</v>
      </c>
      <c r="C1879" s="6">
        <v>1958</v>
      </c>
      <c r="D1879" s="6">
        <f t="shared" si="116"/>
        <v>67</v>
      </c>
      <c r="E1879" s="7" t="s">
        <v>9</v>
      </c>
      <c r="F1879" s="7" t="s">
        <v>13</v>
      </c>
      <c r="G1879" s="6">
        <v>72905</v>
      </c>
      <c r="H1879" s="6" t="str" cm="1">
        <f t="array" ref="H1879">_xlfn.IFS(
  G1879 &lt; 25000, "Low",
  AND(G1879 &gt;= 25000, G1879 &lt; 75000), "Medium",
  AND(G1879 &gt;= 75000, G1879 &lt; 150000), "High",
  G1879 &gt;= 150000, "Very High"
)</f>
        <v>Medium</v>
      </c>
      <c r="I1879" s="6">
        <v>0</v>
      </c>
      <c r="J1879" s="6">
        <v>0</v>
      </c>
      <c r="K1879" s="6">
        <f t="shared" si="117"/>
        <v>0</v>
      </c>
      <c r="L1879" s="8">
        <v>41660</v>
      </c>
      <c r="M1879" t="str">
        <f t="shared" ca="1" si="118"/>
        <v>12 years, 1 months</v>
      </c>
      <c r="N1879" s="6">
        <v>52</v>
      </c>
      <c r="O1879">
        <v>114</v>
      </c>
      <c r="P1879">
        <v>165</v>
      </c>
      <c r="Q1879">
        <f t="shared" si="119"/>
        <v>279</v>
      </c>
      <c r="R1879">
        <v>3</v>
      </c>
      <c r="S1879">
        <v>9</v>
      </c>
      <c r="T1879">
        <f>Table[[#This Row],[NumWebPurchases]]+Table[[#This Row],[NumStorePurchases]]</f>
        <v>12</v>
      </c>
    </row>
    <row r="1880" spans="1:20" ht="12.5">
      <c r="A1880" s="6">
        <v>1878</v>
      </c>
      <c r="B1880" s="6">
        <v>1570</v>
      </c>
      <c r="C1880" s="6">
        <v>1951</v>
      </c>
      <c r="D1880" s="6">
        <f t="shared" si="116"/>
        <v>74</v>
      </c>
      <c r="E1880" s="7" t="s">
        <v>12</v>
      </c>
      <c r="F1880" s="7" t="s">
        <v>11</v>
      </c>
      <c r="G1880" s="6">
        <v>69702</v>
      </c>
      <c r="H1880" s="6" t="str" cm="1">
        <f t="array" ref="H1880">_xlfn.IFS(
  G1880 &lt; 25000, "Low",
  AND(G1880 &gt;= 25000, G1880 &lt; 75000), "Medium",
  AND(G1880 &gt;= 75000, G1880 &lt; 150000), "High",
  G1880 &gt;= 150000, "Very High"
)</f>
        <v>Medium</v>
      </c>
      <c r="I1880" s="6">
        <v>0</v>
      </c>
      <c r="J1880" s="6">
        <v>1</v>
      </c>
      <c r="K1880" s="6">
        <f t="shared" si="117"/>
        <v>1</v>
      </c>
      <c r="L1880" s="8">
        <v>41324</v>
      </c>
      <c r="M1880" t="str">
        <f t="shared" ca="1" si="118"/>
        <v>13 years, 0 months</v>
      </c>
      <c r="N1880" s="6">
        <v>8</v>
      </c>
      <c r="O1880">
        <v>9</v>
      </c>
      <c r="P1880">
        <v>19</v>
      </c>
      <c r="Q1880">
        <f t="shared" si="119"/>
        <v>28</v>
      </c>
      <c r="R1880">
        <v>7</v>
      </c>
      <c r="S1880">
        <v>10</v>
      </c>
      <c r="T1880">
        <f>Table[[#This Row],[NumWebPurchases]]+Table[[#This Row],[NumStorePurchases]]</f>
        <v>17</v>
      </c>
    </row>
    <row r="1881" spans="1:20" ht="12.5">
      <c r="A1881" s="6">
        <v>1879</v>
      </c>
      <c r="B1881" s="6">
        <v>3426</v>
      </c>
      <c r="C1881" s="6">
        <v>1975</v>
      </c>
      <c r="D1881" s="6">
        <f t="shared" si="116"/>
        <v>50</v>
      </c>
      <c r="E1881" s="7" t="s">
        <v>9</v>
      </c>
      <c r="F1881" s="7" t="s">
        <v>15</v>
      </c>
      <c r="G1881" s="6">
        <v>70300</v>
      </c>
      <c r="H1881" s="6" t="str" cm="1">
        <f t="array" ref="H1881">_xlfn.IFS(
  G1881 &lt; 25000, "Low",
  AND(G1881 &gt;= 25000, G1881 &lt; 75000), "Medium",
  AND(G1881 &gt;= 75000, G1881 &lt; 150000), "High",
  G1881 &gt;= 150000, "Very High"
)</f>
        <v>Medium</v>
      </c>
      <c r="I1881" s="6">
        <v>1</v>
      </c>
      <c r="J1881" s="6">
        <v>0</v>
      </c>
      <c r="K1881" s="6">
        <f t="shared" si="117"/>
        <v>1</v>
      </c>
      <c r="L1881" s="8">
        <v>41470</v>
      </c>
      <c r="M1881" t="str">
        <f t="shared" ca="1" si="118"/>
        <v>12 years, 7 months</v>
      </c>
      <c r="N1881" s="6">
        <v>89</v>
      </c>
      <c r="O1881">
        <v>61</v>
      </c>
      <c r="P1881">
        <v>46</v>
      </c>
      <c r="Q1881">
        <f t="shared" si="119"/>
        <v>107</v>
      </c>
      <c r="R1881">
        <v>5</v>
      </c>
      <c r="S1881">
        <v>13</v>
      </c>
      <c r="T1881">
        <f>Table[[#This Row],[NumWebPurchases]]+Table[[#This Row],[NumStorePurchases]]</f>
        <v>18</v>
      </c>
    </row>
    <row r="1882" spans="1:20" ht="12.5">
      <c r="A1882" s="6">
        <v>1880</v>
      </c>
      <c r="B1882" s="6">
        <v>3074</v>
      </c>
      <c r="C1882" s="6">
        <v>1984</v>
      </c>
      <c r="D1882" s="6">
        <f t="shared" si="116"/>
        <v>41</v>
      </c>
      <c r="E1882" s="7" t="s">
        <v>12</v>
      </c>
      <c r="F1882" s="7" t="s">
        <v>13</v>
      </c>
      <c r="G1882" s="6">
        <v>70643</v>
      </c>
      <c r="H1882" s="6" t="str" cm="1">
        <f t="array" ref="H1882">_xlfn.IFS(
  G1882 &lt; 25000, "Low",
  AND(G1882 &gt;= 25000, G1882 &lt; 75000), "Medium",
  AND(G1882 &gt;= 75000, G1882 &lt; 150000), "High",
  G1882 &gt;= 150000, "Very High"
)</f>
        <v>Medium</v>
      </c>
      <c r="I1882" s="6">
        <v>0</v>
      </c>
      <c r="J1882" s="6">
        <v>0</v>
      </c>
      <c r="K1882" s="6">
        <f t="shared" si="117"/>
        <v>0</v>
      </c>
      <c r="L1882" s="9">
        <v>41197</v>
      </c>
      <c r="M1882" t="str">
        <f t="shared" ca="1" si="118"/>
        <v>13 years, 4 months</v>
      </c>
      <c r="N1882" s="6">
        <v>66</v>
      </c>
      <c r="O1882">
        <v>107</v>
      </c>
      <c r="P1882">
        <v>143</v>
      </c>
      <c r="Q1882">
        <f t="shared" si="119"/>
        <v>250</v>
      </c>
      <c r="R1882">
        <v>5</v>
      </c>
      <c r="S1882">
        <v>4</v>
      </c>
      <c r="T1882">
        <f>Table[[#This Row],[NumWebPurchases]]+Table[[#This Row],[NumStorePurchases]]</f>
        <v>9</v>
      </c>
    </row>
    <row r="1883" spans="1:20" ht="12.5">
      <c r="A1883" s="6">
        <v>1881</v>
      </c>
      <c r="B1883" s="6">
        <v>8341</v>
      </c>
      <c r="C1883" s="6">
        <v>1969</v>
      </c>
      <c r="D1883" s="6">
        <f t="shared" si="116"/>
        <v>56</v>
      </c>
      <c r="E1883" s="7" t="s">
        <v>12</v>
      </c>
      <c r="F1883" s="7" t="s">
        <v>13</v>
      </c>
      <c r="G1883" s="6">
        <v>30396</v>
      </c>
      <c r="H1883" s="6" t="str" cm="1">
        <f t="array" ref="H1883">_xlfn.IFS(
  G1883 &lt; 25000, "Low",
  AND(G1883 &gt;= 25000, G1883 &lt; 75000), "Medium",
  AND(G1883 &gt;= 75000, G1883 &lt; 150000), "High",
  G1883 &gt;= 150000, "Very High"
)</f>
        <v>Medium</v>
      </c>
      <c r="I1883" s="6">
        <v>1</v>
      </c>
      <c r="J1883" s="6">
        <v>0</v>
      </c>
      <c r="K1883" s="6">
        <f t="shared" si="117"/>
        <v>1</v>
      </c>
      <c r="L1883" s="8">
        <v>41759</v>
      </c>
      <c r="M1883" t="str">
        <f t="shared" ca="1" si="118"/>
        <v>11 years, 10 months</v>
      </c>
      <c r="N1883" s="6">
        <v>22</v>
      </c>
      <c r="O1883">
        <v>0</v>
      </c>
      <c r="P1883">
        <v>1</v>
      </c>
      <c r="Q1883">
        <f t="shared" si="119"/>
        <v>1</v>
      </c>
      <c r="R1883">
        <v>1</v>
      </c>
      <c r="S1883">
        <v>2</v>
      </c>
      <c r="T1883">
        <f>Table[[#This Row],[NumWebPurchases]]+Table[[#This Row],[NumStorePurchases]]</f>
        <v>3</v>
      </c>
    </row>
    <row r="1884" spans="1:20" ht="12.5">
      <c r="A1884" s="6">
        <v>1882</v>
      </c>
      <c r="B1884" s="6">
        <v>5180</v>
      </c>
      <c r="C1884" s="6">
        <v>1968</v>
      </c>
      <c r="D1884" s="6">
        <f t="shared" si="116"/>
        <v>57</v>
      </c>
      <c r="E1884" s="7" t="s">
        <v>12</v>
      </c>
      <c r="F1884" s="7" t="s">
        <v>15</v>
      </c>
      <c r="G1884" s="6">
        <v>50616</v>
      </c>
      <c r="H1884" s="6" t="str" cm="1">
        <f t="array" ref="H1884">_xlfn.IFS(
  G1884 &lt; 25000, "Low",
  AND(G1884 &gt;= 25000, G1884 &lt; 75000), "Medium",
  AND(G1884 &gt;= 75000, G1884 &lt; 150000), "High",
  G1884 &gt;= 150000, "Very High"
)</f>
        <v>Medium</v>
      </c>
      <c r="I1884" s="6">
        <v>0</v>
      </c>
      <c r="J1884" s="6">
        <v>1</v>
      </c>
      <c r="K1884" s="6">
        <f t="shared" si="117"/>
        <v>1</v>
      </c>
      <c r="L1884" s="8">
        <v>41747</v>
      </c>
      <c r="M1884" t="str">
        <f t="shared" ca="1" si="118"/>
        <v>11 years, 10 months</v>
      </c>
      <c r="N1884" s="6">
        <v>56</v>
      </c>
      <c r="O1884">
        <v>0</v>
      </c>
      <c r="P1884">
        <v>1</v>
      </c>
      <c r="Q1884">
        <f t="shared" si="119"/>
        <v>1</v>
      </c>
      <c r="R1884">
        <v>4</v>
      </c>
      <c r="S1884">
        <v>4</v>
      </c>
      <c r="T1884">
        <f>Table[[#This Row],[NumWebPurchases]]+Table[[#This Row],[NumStorePurchases]]</f>
        <v>8</v>
      </c>
    </row>
    <row r="1885" spans="1:20" ht="12.5">
      <c r="A1885" s="6">
        <v>1883</v>
      </c>
      <c r="B1885" s="6">
        <v>6461</v>
      </c>
      <c r="C1885" s="6">
        <v>1969</v>
      </c>
      <c r="D1885" s="6">
        <f t="shared" si="116"/>
        <v>56</v>
      </c>
      <c r="E1885" s="7" t="s">
        <v>14</v>
      </c>
      <c r="F1885" s="7" t="s">
        <v>10</v>
      </c>
      <c r="G1885" s="6">
        <v>62772</v>
      </c>
      <c r="H1885" s="6" t="str" cm="1">
        <f t="array" ref="H1885">_xlfn.IFS(
  G1885 &lt; 25000, "Low",
  AND(G1885 &gt;= 25000, G1885 &lt; 75000), "Medium",
  AND(G1885 &gt;= 75000, G1885 &lt; 150000), "High",
  G1885 &gt;= 150000, "Very High"
)</f>
        <v>Medium</v>
      </c>
      <c r="I1885" s="6">
        <v>0</v>
      </c>
      <c r="J1885" s="6">
        <v>1</v>
      </c>
      <c r="K1885" s="6">
        <f t="shared" si="117"/>
        <v>1</v>
      </c>
      <c r="L1885" s="8">
        <v>41413</v>
      </c>
      <c r="M1885" t="str">
        <f t="shared" ca="1" si="118"/>
        <v>12 years, 9 months</v>
      </c>
      <c r="N1885" s="6">
        <v>74</v>
      </c>
      <c r="O1885">
        <v>49</v>
      </c>
      <c r="P1885">
        <v>8</v>
      </c>
      <c r="Q1885">
        <f t="shared" si="119"/>
        <v>57</v>
      </c>
      <c r="R1885">
        <v>5</v>
      </c>
      <c r="S1885">
        <v>11</v>
      </c>
      <c r="T1885">
        <f>Table[[#This Row],[NumWebPurchases]]+Table[[#This Row],[NumStorePurchases]]</f>
        <v>16</v>
      </c>
    </row>
    <row r="1886" spans="1:20" ht="12.5">
      <c r="A1886" s="6">
        <v>1884</v>
      </c>
      <c r="B1886" s="6">
        <v>7679</v>
      </c>
      <c r="C1886" s="6">
        <v>1985</v>
      </c>
      <c r="D1886" s="6">
        <f t="shared" si="116"/>
        <v>40</v>
      </c>
      <c r="E1886" s="7" t="s">
        <v>12</v>
      </c>
      <c r="F1886" s="7" t="s">
        <v>10</v>
      </c>
      <c r="G1886" s="6">
        <v>30298</v>
      </c>
      <c r="H1886" s="6" t="str" cm="1">
        <f t="array" ref="H1886">_xlfn.IFS(
  G1886 &lt; 25000, "Low",
  AND(G1886 &gt;= 25000, G1886 &lt; 75000), "Medium",
  AND(G1886 &gt;= 75000, G1886 &lt; 150000), "High",
  G1886 &gt;= 150000, "Very High"
)</f>
        <v>Medium</v>
      </c>
      <c r="I1886" s="6">
        <v>0</v>
      </c>
      <c r="J1886" s="6">
        <v>0</v>
      </c>
      <c r="K1886" s="6">
        <f t="shared" si="117"/>
        <v>0</v>
      </c>
      <c r="L1886" s="8">
        <v>41778</v>
      </c>
      <c r="M1886" t="str">
        <f t="shared" ca="1" si="118"/>
        <v>11 years, 9 months</v>
      </c>
      <c r="N1886" s="6">
        <v>48</v>
      </c>
      <c r="O1886">
        <v>3</v>
      </c>
      <c r="P1886">
        <v>1</v>
      </c>
      <c r="Q1886">
        <f t="shared" si="119"/>
        <v>4</v>
      </c>
      <c r="R1886">
        <v>1</v>
      </c>
      <c r="S1886">
        <v>3</v>
      </c>
      <c r="T1886">
        <f>Table[[#This Row],[NumWebPurchases]]+Table[[#This Row],[NumStorePurchases]]</f>
        <v>4</v>
      </c>
    </row>
    <row r="1887" spans="1:20" ht="12.5">
      <c r="A1887" s="6">
        <v>1885</v>
      </c>
      <c r="B1887" s="6">
        <v>10702</v>
      </c>
      <c r="C1887" s="6">
        <v>1984</v>
      </c>
      <c r="D1887" s="6">
        <f t="shared" si="116"/>
        <v>41</v>
      </c>
      <c r="E1887" s="7" t="s">
        <v>9</v>
      </c>
      <c r="F1887" s="7" t="s">
        <v>10</v>
      </c>
      <c r="G1887" s="6">
        <v>52413</v>
      </c>
      <c r="H1887" s="6" t="str" cm="1">
        <f t="array" ref="H1887">_xlfn.IFS(
  G1887 &lt; 25000, "Low",
  AND(G1887 &gt;= 25000, G1887 &lt; 75000), "Medium",
  AND(G1887 &gt;= 75000, G1887 &lt; 150000), "High",
  G1887 &gt;= 150000, "Very High"
)</f>
        <v>Medium</v>
      </c>
      <c r="I1887" s="6">
        <v>1</v>
      </c>
      <c r="J1887" s="6">
        <v>0</v>
      </c>
      <c r="K1887" s="6">
        <f t="shared" si="117"/>
        <v>1</v>
      </c>
      <c r="L1887" s="8">
        <v>41216</v>
      </c>
      <c r="M1887" t="str">
        <f t="shared" ca="1" si="118"/>
        <v>13 years, 4 months</v>
      </c>
      <c r="N1887" s="6">
        <v>67</v>
      </c>
      <c r="O1887">
        <v>8</v>
      </c>
      <c r="P1887">
        <v>56</v>
      </c>
      <c r="Q1887">
        <f t="shared" si="119"/>
        <v>64</v>
      </c>
      <c r="R1887">
        <v>7</v>
      </c>
      <c r="S1887">
        <v>7</v>
      </c>
      <c r="T1887">
        <f>Table[[#This Row],[NumWebPurchases]]+Table[[#This Row],[NumStorePurchases]]</f>
        <v>14</v>
      </c>
    </row>
    <row r="1888" spans="1:20" ht="12.5">
      <c r="A1888" s="6">
        <v>1886</v>
      </c>
      <c r="B1888" s="6">
        <v>7505</v>
      </c>
      <c r="C1888" s="6">
        <v>1957</v>
      </c>
      <c r="D1888" s="6">
        <f t="shared" si="116"/>
        <v>68</v>
      </c>
      <c r="E1888" s="7" t="s">
        <v>12</v>
      </c>
      <c r="F1888" s="7" t="s">
        <v>13</v>
      </c>
      <c r="G1888" s="6">
        <v>44155</v>
      </c>
      <c r="H1888" s="6" t="str" cm="1">
        <f t="array" ref="H1888">_xlfn.IFS(
  G1888 &lt; 25000, "Low",
  AND(G1888 &gt;= 25000, G1888 &lt; 75000), "Medium",
  AND(G1888 &gt;= 75000, G1888 &lt; 150000), "High",
  G1888 &gt;= 150000, "Very High"
)</f>
        <v>Medium</v>
      </c>
      <c r="I1888" s="6">
        <v>1</v>
      </c>
      <c r="J1888" s="6">
        <v>1</v>
      </c>
      <c r="K1888" s="6">
        <f t="shared" si="117"/>
        <v>2</v>
      </c>
      <c r="L1888" s="8">
        <v>41658</v>
      </c>
      <c r="M1888" t="str">
        <f t="shared" ca="1" si="118"/>
        <v>12 years, 1 months</v>
      </c>
      <c r="N1888" s="6">
        <v>24</v>
      </c>
      <c r="O1888">
        <v>1</v>
      </c>
      <c r="P1888">
        <v>0</v>
      </c>
      <c r="Q1888">
        <f t="shared" si="119"/>
        <v>1</v>
      </c>
      <c r="R1888">
        <v>1</v>
      </c>
      <c r="S1888">
        <v>2</v>
      </c>
      <c r="T1888">
        <f>Table[[#This Row],[NumWebPurchases]]+Table[[#This Row],[NumStorePurchases]]</f>
        <v>3</v>
      </c>
    </row>
    <row r="1889" spans="1:20" ht="12.5">
      <c r="A1889" s="6">
        <v>1887</v>
      </c>
      <c r="B1889" s="6">
        <v>5113</v>
      </c>
      <c r="C1889" s="6">
        <v>1971</v>
      </c>
      <c r="D1889" s="6">
        <f t="shared" si="116"/>
        <v>54</v>
      </c>
      <c r="E1889" s="7" t="s">
        <v>12</v>
      </c>
      <c r="F1889" s="7" t="s">
        <v>15</v>
      </c>
      <c r="G1889" s="6">
        <v>86979</v>
      </c>
      <c r="H1889" s="6" t="str" cm="1">
        <f t="array" ref="H1889">_xlfn.IFS(
  G1889 &lt; 25000, "Low",
  AND(G1889 &gt;= 25000, G1889 &lt; 75000), "Medium",
  AND(G1889 &gt;= 75000, G1889 &lt; 150000), "High",
  G1889 &gt;= 150000, "Very High"
)</f>
        <v>High</v>
      </c>
      <c r="I1889" s="6">
        <v>0</v>
      </c>
      <c r="J1889" s="6">
        <v>0</v>
      </c>
      <c r="K1889" s="6">
        <f t="shared" si="117"/>
        <v>0</v>
      </c>
      <c r="L1889" s="8">
        <v>41585</v>
      </c>
      <c r="M1889" t="str">
        <f t="shared" ca="1" si="118"/>
        <v>12 years, 3 months</v>
      </c>
      <c r="N1889" s="6">
        <v>67</v>
      </c>
      <c r="O1889">
        <v>100</v>
      </c>
      <c r="P1889">
        <v>83</v>
      </c>
      <c r="Q1889">
        <f t="shared" si="119"/>
        <v>183</v>
      </c>
      <c r="R1889">
        <v>5</v>
      </c>
      <c r="S1889">
        <v>5</v>
      </c>
      <c r="T1889">
        <f>Table[[#This Row],[NumWebPurchases]]+Table[[#This Row],[NumStorePurchases]]</f>
        <v>10</v>
      </c>
    </row>
    <row r="1890" spans="1:20" ht="12.5">
      <c r="A1890" s="6">
        <v>1888</v>
      </c>
      <c r="B1890" s="6">
        <v>10858</v>
      </c>
      <c r="C1890" s="6">
        <v>1975</v>
      </c>
      <c r="D1890" s="6">
        <f t="shared" si="116"/>
        <v>50</v>
      </c>
      <c r="E1890" s="7" t="s">
        <v>9</v>
      </c>
      <c r="F1890" s="7" t="s">
        <v>11</v>
      </c>
      <c r="G1890" s="6">
        <v>76532</v>
      </c>
      <c r="H1890" s="6" t="str" cm="1">
        <f t="array" ref="H1890">_xlfn.IFS(
  G1890 &lt; 25000, "Low",
  AND(G1890 &gt;= 25000, G1890 &lt; 75000), "Medium",
  AND(G1890 &gt;= 75000, G1890 &lt; 150000), "High",
  G1890 &gt;= 150000, "Very High"
)</f>
        <v>High</v>
      </c>
      <c r="I1890" s="6">
        <v>1</v>
      </c>
      <c r="J1890" s="6">
        <v>1</v>
      </c>
      <c r="K1890" s="6">
        <f t="shared" si="117"/>
        <v>2</v>
      </c>
      <c r="L1890" s="8">
        <v>41526</v>
      </c>
      <c r="M1890" t="str">
        <f t="shared" ca="1" si="118"/>
        <v>12 years, 5 months</v>
      </c>
      <c r="N1890" s="6">
        <v>38</v>
      </c>
      <c r="O1890">
        <v>30</v>
      </c>
      <c r="P1890">
        <v>138</v>
      </c>
      <c r="Q1890">
        <f t="shared" si="119"/>
        <v>168</v>
      </c>
      <c r="R1890">
        <v>9</v>
      </c>
      <c r="S1890">
        <v>7</v>
      </c>
      <c r="T1890">
        <f>Table[[#This Row],[NumWebPurchases]]+Table[[#This Row],[NumStorePurchases]]</f>
        <v>16</v>
      </c>
    </row>
    <row r="1891" spans="1:20" ht="12.5">
      <c r="A1891" s="6">
        <v>1889</v>
      </c>
      <c r="B1891" s="6">
        <v>2961</v>
      </c>
      <c r="C1891" s="6">
        <v>1982</v>
      </c>
      <c r="D1891" s="6">
        <f t="shared" si="116"/>
        <v>43</v>
      </c>
      <c r="E1891" s="7" t="s">
        <v>9</v>
      </c>
      <c r="F1891" s="7" t="s">
        <v>13</v>
      </c>
      <c r="G1891" s="6">
        <v>42081</v>
      </c>
      <c r="H1891" s="6" t="str" cm="1">
        <f t="array" ref="H1891">_xlfn.IFS(
  G1891 &lt; 25000, "Low",
  AND(G1891 &gt;= 25000, G1891 &lt; 75000), "Medium",
  AND(G1891 &gt;= 75000, G1891 &lt; 150000), "High",
  G1891 &gt;= 150000, "Very High"
)</f>
        <v>Medium</v>
      </c>
      <c r="I1891" s="6">
        <v>1</v>
      </c>
      <c r="J1891" s="6">
        <v>0</v>
      </c>
      <c r="K1891" s="6">
        <f t="shared" si="117"/>
        <v>1</v>
      </c>
      <c r="L1891" s="8">
        <v>41331</v>
      </c>
      <c r="M1891" t="str">
        <f t="shared" ca="1" si="118"/>
        <v>13 years, 0 months</v>
      </c>
      <c r="N1891" s="6">
        <v>86</v>
      </c>
      <c r="O1891">
        <v>10</v>
      </c>
      <c r="P1891">
        <v>6</v>
      </c>
      <c r="Q1891">
        <f t="shared" si="119"/>
        <v>16</v>
      </c>
      <c r="R1891">
        <v>6</v>
      </c>
      <c r="S1891">
        <v>4</v>
      </c>
      <c r="T1891">
        <f>Table[[#This Row],[NumWebPurchases]]+Table[[#This Row],[NumStorePurchases]]</f>
        <v>10</v>
      </c>
    </row>
    <row r="1892" spans="1:20" ht="12.5">
      <c r="A1892" s="6">
        <v>1890</v>
      </c>
      <c r="B1892" s="6">
        <v>2747</v>
      </c>
      <c r="C1892" s="6">
        <v>1988</v>
      </c>
      <c r="D1892" s="6">
        <f t="shared" si="116"/>
        <v>37</v>
      </c>
      <c r="E1892" s="7" t="s">
        <v>12</v>
      </c>
      <c r="F1892" s="7" t="s">
        <v>13</v>
      </c>
      <c r="G1892" s="6">
        <v>67546</v>
      </c>
      <c r="H1892" s="6" t="str" cm="1">
        <f t="array" ref="H1892">_xlfn.IFS(
  G1892 &lt; 25000, "Low",
  AND(G1892 &gt;= 25000, G1892 &lt; 75000), "Medium",
  AND(G1892 &gt;= 75000, G1892 &lt; 150000), "High",
  G1892 &gt;= 150000, "Very High"
)</f>
        <v>Medium</v>
      </c>
      <c r="I1892" s="6">
        <v>0</v>
      </c>
      <c r="J1892" s="6">
        <v>0</v>
      </c>
      <c r="K1892" s="6">
        <f t="shared" si="117"/>
        <v>0</v>
      </c>
      <c r="L1892" s="8">
        <v>41152</v>
      </c>
      <c r="M1892" t="str">
        <f t="shared" ca="1" si="118"/>
        <v>13 years, 6 months</v>
      </c>
      <c r="N1892" s="6">
        <v>90</v>
      </c>
      <c r="O1892">
        <v>134</v>
      </c>
      <c r="P1892">
        <v>38</v>
      </c>
      <c r="Q1892">
        <f t="shared" si="119"/>
        <v>172</v>
      </c>
      <c r="R1892">
        <v>4</v>
      </c>
      <c r="S1892">
        <v>5</v>
      </c>
      <c r="T1892">
        <f>Table[[#This Row],[NumWebPurchases]]+Table[[#This Row],[NumStorePurchases]]</f>
        <v>9</v>
      </c>
    </row>
    <row r="1893" spans="1:20" ht="12.5">
      <c r="A1893" s="6">
        <v>1891</v>
      </c>
      <c r="B1893" s="6">
        <v>3010</v>
      </c>
      <c r="C1893" s="6">
        <v>1989</v>
      </c>
      <c r="D1893" s="6">
        <f t="shared" si="116"/>
        <v>36</v>
      </c>
      <c r="E1893" s="7" t="s">
        <v>14</v>
      </c>
      <c r="F1893" s="7" t="s">
        <v>11</v>
      </c>
      <c r="G1893" s="6">
        <v>88420</v>
      </c>
      <c r="H1893" s="6" t="str" cm="1">
        <f t="array" ref="H1893">_xlfn.IFS(
  G1893 &lt; 25000, "Low",
  AND(G1893 &gt;= 25000, G1893 &lt; 75000), "Medium",
  AND(G1893 &gt;= 75000, G1893 &lt; 150000), "High",
  G1893 &gt;= 150000, "Very High"
)</f>
        <v>High</v>
      </c>
      <c r="I1893" s="6">
        <v>0</v>
      </c>
      <c r="J1893" s="6">
        <v>0</v>
      </c>
      <c r="K1893" s="6">
        <f t="shared" si="117"/>
        <v>0</v>
      </c>
      <c r="L1893" s="8">
        <v>41761</v>
      </c>
      <c r="M1893" t="str">
        <f t="shared" ca="1" si="118"/>
        <v>11 years, 10 months</v>
      </c>
      <c r="N1893" s="6">
        <v>87</v>
      </c>
      <c r="O1893">
        <v>153</v>
      </c>
      <c r="P1893">
        <v>95</v>
      </c>
      <c r="Q1893">
        <f t="shared" si="119"/>
        <v>248</v>
      </c>
      <c r="R1893">
        <v>4</v>
      </c>
      <c r="S1893">
        <v>8</v>
      </c>
      <c r="T1893">
        <f>Table[[#This Row],[NumWebPurchases]]+Table[[#This Row],[NumStorePurchases]]</f>
        <v>12</v>
      </c>
    </row>
    <row r="1894" spans="1:20" ht="12.5">
      <c r="A1894" s="6">
        <v>1892</v>
      </c>
      <c r="B1894" s="6">
        <v>5790</v>
      </c>
      <c r="C1894" s="6">
        <v>1985</v>
      </c>
      <c r="D1894" s="6">
        <f t="shared" si="116"/>
        <v>40</v>
      </c>
      <c r="E1894" s="7" t="s">
        <v>9</v>
      </c>
      <c r="F1894" s="7" t="s">
        <v>13</v>
      </c>
      <c r="G1894" s="6">
        <v>31158</v>
      </c>
      <c r="H1894" s="6" t="str" cm="1">
        <f t="array" ref="H1894">_xlfn.IFS(
  G1894 &lt; 25000, "Low",
  AND(G1894 &gt;= 25000, G1894 &lt; 75000), "Medium",
  AND(G1894 &gt;= 75000, G1894 &lt; 150000), "High",
  G1894 &gt;= 150000, "Very High"
)</f>
        <v>Medium</v>
      </c>
      <c r="I1894" s="6">
        <v>1</v>
      </c>
      <c r="J1894" s="6">
        <v>0</v>
      </c>
      <c r="K1894" s="6">
        <f t="shared" si="117"/>
        <v>1</v>
      </c>
      <c r="L1894" s="8">
        <v>41301</v>
      </c>
      <c r="M1894" t="str">
        <f t="shared" ca="1" si="118"/>
        <v>13 years, 1 months</v>
      </c>
      <c r="N1894" s="6">
        <v>62</v>
      </c>
      <c r="O1894">
        <v>6</v>
      </c>
      <c r="P1894">
        <v>0</v>
      </c>
      <c r="Q1894">
        <f t="shared" si="119"/>
        <v>6</v>
      </c>
      <c r="R1894">
        <v>2</v>
      </c>
      <c r="S1894">
        <v>3</v>
      </c>
      <c r="T1894">
        <f>Table[[#This Row],[NumWebPurchases]]+Table[[#This Row],[NumStorePurchases]]</f>
        <v>5</v>
      </c>
    </row>
    <row r="1895" spans="1:20" ht="12.5">
      <c r="A1895" s="6">
        <v>1893</v>
      </c>
      <c r="B1895" s="6">
        <v>6892</v>
      </c>
      <c r="C1895" s="6">
        <v>1968</v>
      </c>
      <c r="D1895" s="6">
        <f t="shared" si="116"/>
        <v>57</v>
      </c>
      <c r="E1895" s="7" t="s">
        <v>9</v>
      </c>
      <c r="F1895" s="7" t="s">
        <v>15</v>
      </c>
      <c r="G1895" s="6">
        <v>61671</v>
      </c>
      <c r="H1895" s="6" t="str" cm="1">
        <f t="array" ref="H1895">_xlfn.IFS(
  G1895 &lt; 25000, "Low",
  AND(G1895 &gt;= 25000, G1895 &lt; 75000), "Medium",
  AND(G1895 &gt;= 75000, G1895 &lt; 150000), "High",
  G1895 &gt;= 150000, "Very High"
)</f>
        <v>Medium</v>
      </c>
      <c r="I1895" s="6">
        <v>0</v>
      </c>
      <c r="J1895" s="6">
        <v>1</v>
      </c>
      <c r="K1895" s="6">
        <f t="shared" si="117"/>
        <v>1</v>
      </c>
      <c r="L1895" s="8">
        <v>41793</v>
      </c>
      <c r="M1895" t="str">
        <f t="shared" ca="1" si="118"/>
        <v>11 years, 9 months</v>
      </c>
      <c r="N1895" s="6">
        <v>23</v>
      </c>
      <c r="O1895">
        <v>7</v>
      </c>
      <c r="P1895">
        <v>0</v>
      </c>
      <c r="Q1895">
        <f t="shared" si="119"/>
        <v>7</v>
      </c>
      <c r="R1895">
        <v>10</v>
      </c>
      <c r="S1895">
        <v>6</v>
      </c>
      <c r="T1895">
        <f>Table[[#This Row],[NumWebPurchases]]+Table[[#This Row],[NumStorePurchases]]</f>
        <v>16</v>
      </c>
    </row>
    <row r="1896" spans="1:20" ht="12.5">
      <c r="A1896" s="6">
        <v>1894</v>
      </c>
      <c r="B1896" s="6">
        <v>1743</v>
      </c>
      <c r="C1896" s="6">
        <v>1974</v>
      </c>
      <c r="D1896" s="6">
        <f t="shared" si="116"/>
        <v>51</v>
      </c>
      <c r="E1896" s="7" t="s">
        <v>9</v>
      </c>
      <c r="F1896" s="7" t="s">
        <v>10</v>
      </c>
      <c r="G1896" s="6">
        <v>69719</v>
      </c>
      <c r="H1896" s="6" t="str" cm="1">
        <f t="array" ref="H1896">_xlfn.IFS(
  G1896 &lt; 25000, "Low",
  AND(G1896 &gt;= 25000, G1896 &lt; 75000), "Medium",
  AND(G1896 &gt;= 75000, G1896 &lt; 150000), "High",
  G1896 &gt;= 150000, "Very High"
)</f>
        <v>Medium</v>
      </c>
      <c r="I1896" s="6">
        <v>0</v>
      </c>
      <c r="J1896" s="6">
        <v>0</v>
      </c>
      <c r="K1896" s="6">
        <f t="shared" si="117"/>
        <v>0</v>
      </c>
      <c r="L1896" s="8">
        <v>41785</v>
      </c>
      <c r="M1896" t="str">
        <f t="shared" ca="1" si="118"/>
        <v>11 years, 9 months</v>
      </c>
      <c r="N1896" s="6">
        <v>99</v>
      </c>
      <c r="O1896">
        <v>86</v>
      </c>
      <c r="P1896">
        <v>14</v>
      </c>
      <c r="Q1896">
        <f t="shared" si="119"/>
        <v>100</v>
      </c>
      <c r="R1896">
        <v>2</v>
      </c>
      <c r="S1896">
        <v>5</v>
      </c>
      <c r="T1896">
        <f>Table[[#This Row],[NumWebPurchases]]+Table[[#This Row],[NumStorePurchases]]</f>
        <v>7</v>
      </c>
    </row>
    <row r="1897" spans="1:20" ht="12.5">
      <c r="A1897" s="6">
        <v>1895</v>
      </c>
      <c r="B1897" s="6">
        <v>3578</v>
      </c>
      <c r="C1897" s="6">
        <v>1949</v>
      </c>
      <c r="D1897" s="6">
        <f t="shared" si="116"/>
        <v>76</v>
      </c>
      <c r="E1897" s="7" t="s">
        <v>9</v>
      </c>
      <c r="F1897" s="7" t="s">
        <v>15</v>
      </c>
      <c r="G1897" s="6">
        <v>49160</v>
      </c>
      <c r="H1897" s="6" t="str" cm="1">
        <f t="array" ref="H1897">_xlfn.IFS(
  G1897 &lt; 25000, "Low",
  AND(G1897 &gt;= 25000, G1897 &lt; 75000), "Medium",
  AND(G1897 &gt;= 75000, G1897 &lt; 150000), "High",
  G1897 &gt;= 150000, "Very High"
)</f>
        <v>Medium</v>
      </c>
      <c r="I1897" s="6">
        <v>0</v>
      </c>
      <c r="J1897" s="6">
        <v>1</v>
      </c>
      <c r="K1897" s="6">
        <f t="shared" si="117"/>
        <v>1</v>
      </c>
      <c r="L1897" s="9">
        <v>41567</v>
      </c>
      <c r="M1897" t="str">
        <f t="shared" ca="1" si="118"/>
        <v>12 years, 4 months</v>
      </c>
      <c r="N1897" s="6">
        <v>29</v>
      </c>
      <c r="O1897">
        <v>21</v>
      </c>
      <c r="P1897">
        <v>10</v>
      </c>
      <c r="Q1897">
        <f t="shared" si="119"/>
        <v>31</v>
      </c>
      <c r="R1897">
        <v>3</v>
      </c>
      <c r="S1897">
        <v>6</v>
      </c>
      <c r="T1897">
        <f>Table[[#This Row],[NumWebPurchases]]+Table[[#This Row],[NumStorePurchases]]</f>
        <v>9</v>
      </c>
    </row>
    <row r="1898" spans="1:20" ht="12.5">
      <c r="A1898" s="6">
        <v>1896</v>
      </c>
      <c r="B1898" s="6">
        <v>8462</v>
      </c>
      <c r="C1898" s="6">
        <v>1978</v>
      </c>
      <c r="D1898" s="6">
        <f t="shared" si="116"/>
        <v>47</v>
      </c>
      <c r="E1898" s="7" t="s">
        <v>16</v>
      </c>
      <c r="F1898" s="7" t="s">
        <v>11</v>
      </c>
      <c r="G1898" s="6">
        <v>24882</v>
      </c>
      <c r="H1898" s="6" t="str" cm="1">
        <f t="array" ref="H1898">_xlfn.IFS(
  G1898 &lt; 25000, "Low",
  AND(G1898 &gt;= 25000, G1898 &lt; 75000), "Medium",
  AND(G1898 &gt;= 75000, G1898 &lt; 150000), "High",
  G1898 &gt;= 150000, "Very High"
)</f>
        <v>Low</v>
      </c>
      <c r="I1898" s="6">
        <v>1</v>
      </c>
      <c r="J1898" s="6">
        <v>0</v>
      </c>
      <c r="K1898" s="6">
        <f t="shared" si="117"/>
        <v>1</v>
      </c>
      <c r="L1898" s="8">
        <v>41161</v>
      </c>
      <c r="M1898" t="str">
        <f t="shared" ca="1" si="118"/>
        <v>13 years, 5 months</v>
      </c>
      <c r="N1898" s="6">
        <v>52</v>
      </c>
      <c r="O1898">
        <v>4</v>
      </c>
      <c r="P1898">
        <v>0</v>
      </c>
      <c r="Q1898">
        <f t="shared" si="119"/>
        <v>4</v>
      </c>
      <c r="R1898">
        <v>1</v>
      </c>
      <c r="S1898">
        <v>2</v>
      </c>
      <c r="T1898">
        <f>Table[[#This Row],[NumWebPurchases]]+Table[[#This Row],[NumStorePurchases]]</f>
        <v>3</v>
      </c>
    </row>
    <row r="1899" spans="1:20" ht="12.5">
      <c r="A1899" s="6">
        <v>1897</v>
      </c>
      <c r="B1899" s="6">
        <v>5558</v>
      </c>
      <c r="C1899" s="6">
        <v>1954</v>
      </c>
      <c r="D1899" s="6">
        <f t="shared" si="116"/>
        <v>71</v>
      </c>
      <c r="E1899" s="7" t="s">
        <v>12</v>
      </c>
      <c r="F1899" s="7" t="s">
        <v>10</v>
      </c>
      <c r="G1899" s="6">
        <v>90933</v>
      </c>
      <c r="H1899" s="6" t="str" cm="1">
        <f t="array" ref="H1899">_xlfn.IFS(
  G1899 &lt; 25000, "Low",
  AND(G1899 &gt;= 25000, G1899 &lt; 75000), "Medium",
  AND(G1899 &gt;= 75000, G1899 &lt; 150000), "High",
  G1899 &gt;= 150000, "Very High"
)</f>
        <v>High</v>
      </c>
      <c r="I1899" s="6">
        <v>0</v>
      </c>
      <c r="J1899" s="6">
        <v>0</v>
      </c>
      <c r="K1899" s="6">
        <f t="shared" si="117"/>
        <v>0</v>
      </c>
      <c r="L1899" s="8">
        <v>41729</v>
      </c>
      <c r="M1899" t="str">
        <f t="shared" ca="1" si="118"/>
        <v>11 years, 11 months</v>
      </c>
      <c r="N1899" s="6">
        <v>90</v>
      </c>
      <c r="O1899">
        <v>31</v>
      </c>
      <c r="P1899">
        <v>63</v>
      </c>
      <c r="Q1899">
        <f t="shared" si="119"/>
        <v>94</v>
      </c>
      <c r="R1899">
        <v>4</v>
      </c>
      <c r="S1899">
        <v>4</v>
      </c>
      <c r="T1899">
        <f>Table[[#This Row],[NumWebPurchases]]+Table[[#This Row],[NumStorePurchases]]</f>
        <v>8</v>
      </c>
    </row>
    <row r="1900" spans="1:20" ht="12.5">
      <c r="A1900" s="6">
        <v>1898</v>
      </c>
      <c r="B1900" s="6">
        <v>4619</v>
      </c>
      <c r="C1900" s="6">
        <v>1945</v>
      </c>
      <c r="D1900" s="6">
        <f t="shared" si="116"/>
        <v>80</v>
      </c>
      <c r="E1900" s="7" t="s">
        <v>12</v>
      </c>
      <c r="F1900" s="7" t="s">
        <v>10</v>
      </c>
      <c r="G1900" s="6">
        <v>113734</v>
      </c>
      <c r="H1900" s="6" t="str" cm="1">
        <f t="array" ref="H1900">_xlfn.IFS(
  G1900 &lt; 25000, "Low",
  AND(G1900 &gt;= 25000, G1900 &lt; 75000), "Medium",
  AND(G1900 &gt;= 75000, G1900 &lt; 150000), "High",
  G1900 &gt;= 150000, "Very High"
)</f>
        <v>High</v>
      </c>
      <c r="I1900" s="6">
        <v>0</v>
      </c>
      <c r="J1900" s="6">
        <v>0</v>
      </c>
      <c r="K1900" s="6">
        <f t="shared" si="117"/>
        <v>0</v>
      </c>
      <c r="L1900" s="8">
        <v>41787</v>
      </c>
      <c r="M1900" t="str">
        <f t="shared" ca="1" si="118"/>
        <v>11 years, 9 months</v>
      </c>
      <c r="N1900" s="6">
        <v>9</v>
      </c>
      <c r="O1900">
        <v>2</v>
      </c>
      <c r="P1900">
        <v>262</v>
      </c>
      <c r="Q1900">
        <f t="shared" si="119"/>
        <v>264</v>
      </c>
      <c r="R1900">
        <v>27</v>
      </c>
      <c r="S1900">
        <v>0</v>
      </c>
      <c r="T1900">
        <f>Table[[#This Row],[NumWebPurchases]]+Table[[#This Row],[NumStorePurchases]]</f>
        <v>27</v>
      </c>
    </row>
    <row r="1901" spans="1:20" ht="12.5">
      <c r="A1901" s="6">
        <v>1899</v>
      </c>
      <c r="B1901" s="6">
        <v>8780</v>
      </c>
      <c r="C1901" s="6">
        <v>1950</v>
      </c>
      <c r="D1901" s="6">
        <f t="shared" si="116"/>
        <v>75</v>
      </c>
      <c r="E1901" s="7" t="s">
        <v>12</v>
      </c>
      <c r="F1901" s="7" t="s">
        <v>11</v>
      </c>
      <c r="G1901" s="6">
        <v>59292</v>
      </c>
      <c r="H1901" s="6" t="str" cm="1">
        <f t="array" ref="H1901">_xlfn.IFS(
  G1901 &lt; 25000, "Low",
  AND(G1901 &gt;= 25000, G1901 &lt; 75000), "Medium",
  AND(G1901 &gt;= 75000, G1901 &lt; 150000), "High",
  G1901 &gt;= 150000, "Very High"
)</f>
        <v>Medium</v>
      </c>
      <c r="I1901" s="6">
        <v>0</v>
      </c>
      <c r="J1901" s="6">
        <v>1</v>
      </c>
      <c r="K1901" s="6">
        <f t="shared" si="117"/>
        <v>1</v>
      </c>
      <c r="L1901" s="8">
        <v>41438</v>
      </c>
      <c r="M1901" t="str">
        <f t="shared" ca="1" si="118"/>
        <v>12 years, 8 months</v>
      </c>
      <c r="N1901" s="6">
        <v>71</v>
      </c>
      <c r="O1901">
        <v>14</v>
      </c>
      <c r="P1901">
        <v>14</v>
      </c>
      <c r="Q1901">
        <f t="shared" si="119"/>
        <v>28</v>
      </c>
      <c r="R1901">
        <v>3</v>
      </c>
      <c r="S1901">
        <v>8</v>
      </c>
      <c r="T1901">
        <f>Table[[#This Row],[NumWebPurchases]]+Table[[#This Row],[NumStorePurchases]]</f>
        <v>11</v>
      </c>
    </row>
    <row r="1902" spans="1:20" ht="12.5">
      <c r="A1902" s="6">
        <v>1900</v>
      </c>
      <c r="B1902" s="6">
        <v>10789</v>
      </c>
      <c r="C1902" s="6">
        <v>1964</v>
      </c>
      <c r="D1902" s="6">
        <f t="shared" si="116"/>
        <v>61</v>
      </c>
      <c r="E1902" s="7" t="s">
        <v>12</v>
      </c>
      <c r="F1902" s="7" t="s">
        <v>13</v>
      </c>
      <c r="G1902" s="6">
        <v>45759</v>
      </c>
      <c r="H1902" s="6" t="str" cm="1">
        <f t="array" ref="H1902">_xlfn.IFS(
  G1902 &lt; 25000, "Low",
  AND(G1902 &gt;= 25000, G1902 &lt; 75000), "Medium",
  AND(G1902 &gt;= 75000, G1902 &lt; 150000), "High",
  G1902 &gt;= 150000, "Very High"
)</f>
        <v>Medium</v>
      </c>
      <c r="I1902" s="6">
        <v>1</v>
      </c>
      <c r="J1902" s="6">
        <v>1</v>
      </c>
      <c r="K1902" s="6">
        <f t="shared" si="117"/>
        <v>2</v>
      </c>
      <c r="L1902" s="8">
        <v>41328</v>
      </c>
      <c r="M1902" t="str">
        <f t="shared" ca="1" si="118"/>
        <v>13 years, 0 months</v>
      </c>
      <c r="N1902" s="6">
        <v>13</v>
      </c>
      <c r="O1902">
        <v>1</v>
      </c>
      <c r="P1902">
        <v>0</v>
      </c>
      <c r="Q1902">
        <f t="shared" si="119"/>
        <v>1</v>
      </c>
      <c r="R1902">
        <v>2</v>
      </c>
      <c r="S1902">
        <v>3</v>
      </c>
      <c r="T1902">
        <f>Table[[#This Row],[NumWebPurchases]]+Table[[#This Row],[NumStorePurchases]]</f>
        <v>5</v>
      </c>
    </row>
    <row r="1903" spans="1:20" ht="12.5">
      <c r="A1903" s="6">
        <v>1901</v>
      </c>
      <c r="B1903" s="6">
        <v>10779</v>
      </c>
      <c r="C1903" s="6">
        <v>1983</v>
      </c>
      <c r="D1903" s="6">
        <f t="shared" si="116"/>
        <v>42</v>
      </c>
      <c r="E1903" s="7" t="s">
        <v>9</v>
      </c>
      <c r="F1903" s="7" t="s">
        <v>10</v>
      </c>
      <c r="G1903" s="6">
        <v>22148</v>
      </c>
      <c r="H1903" s="6" t="str" cm="1">
        <f t="array" ref="H1903">_xlfn.IFS(
  G1903 &lt; 25000, "Low",
  AND(G1903 &gt;= 25000, G1903 &lt; 75000), "Medium",
  AND(G1903 &gt;= 75000, G1903 &lt; 150000), "High",
  G1903 &gt;= 150000, "Very High"
)</f>
        <v>Low</v>
      </c>
      <c r="I1903" s="6">
        <v>0</v>
      </c>
      <c r="J1903" s="6">
        <v>0</v>
      </c>
      <c r="K1903" s="6">
        <f t="shared" si="117"/>
        <v>0</v>
      </c>
      <c r="L1903" s="8">
        <v>41742</v>
      </c>
      <c r="M1903" t="str">
        <f t="shared" ca="1" si="118"/>
        <v>11 years, 10 months</v>
      </c>
      <c r="N1903" s="6">
        <v>16</v>
      </c>
      <c r="O1903">
        <v>5</v>
      </c>
      <c r="P1903">
        <v>4</v>
      </c>
      <c r="Q1903">
        <f t="shared" si="119"/>
        <v>9</v>
      </c>
      <c r="R1903">
        <v>1</v>
      </c>
      <c r="S1903">
        <v>3</v>
      </c>
      <c r="T1903">
        <f>Table[[#This Row],[NumWebPurchases]]+Table[[#This Row],[NumStorePurchases]]</f>
        <v>4</v>
      </c>
    </row>
    <row r="1904" spans="1:20" ht="12.5">
      <c r="A1904" s="6">
        <v>1902</v>
      </c>
      <c r="B1904" s="6">
        <v>5896</v>
      </c>
      <c r="C1904" s="6">
        <v>1987</v>
      </c>
      <c r="D1904" s="6">
        <f t="shared" si="116"/>
        <v>38</v>
      </c>
      <c r="E1904" s="7" t="s">
        <v>14</v>
      </c>
      <c r="F1904" s="7" t="s">
        <v>13</v>
      </c>
      <c r="G1904" s="6">
        <v>73395</v>
      </c>
      <c r="H1904" s="6" t="str" cm="1">
        <f t="array" ref="H1904">_xlfn.IFS(
  G1904 &lt; 25000, "Low",
  AND(G1904 &gt;= 25000, G1904 &lt; 75000), "Medium",
  AND(G1904 &gt;= 75000, G1904 &lt; 150000), "High",
  G1904 &gt;= 150000, "Very High"
)</f>
        <v>Medium</v>
      </c>
      <c r="I1904" s="6">
        <v>0</v>
      </c>
      <c r="J1904" s="6">
        <v>0</v>
      </c>
      <c r="K1904" s="6">
        <f t="shared" si="117"/>
        <v>0</v>
      </c>
      <c r="L1904" s="8">
        <v>41716</v>
      </c>
      <c r="M1904" t="str">
        <f t="shared" ca="1" si="118"/>
        <v>11 years, 11 months</v>
      </c>
      <c r="N1904" s="6">
        <v>94</v>
      </c>
      <c r="O1904">
        <v>7</v>
      </c>
      <c r="P1904">
        <v>7</v>
      </c>
      <c r="Q1904">
        <f t="shared" si="119"/>
        <v>14</v>
      </c>
      <c r="R1904">
        <v>4</v>
      </c>
      <c r="S1904">
        <v>6</v>
      </c>
      <c r="T1904">
        <f>Table[[#This Row],[NumWebPurchases]]+Table[[#This Row],[NumStorePurchases]]</f>
        <v>10</v>
      </c>
    </row>
    <row r="1905" spans="1:20" ht="12.5">
      <c r="A1905" s="6">
        <v>1903</v>
      </c>
      <c r="B1905" s="6">
        <v>2337</v>
      </c>
      <c r="C1905" s="6">
        <v>1971</v>
      </c>
      <c r="D1905" s="6">
        <f t="shared" si="116"/>
        <v>54</v>
      </c>
      <c r="E1905" s="7" t="s">
        <v>9</v>
      </c>
      <c r="F1905" s="7" t="s">
        <v>15</v>
      </c>
      <c r="G1905" s="6">
        <v>29819</v>
      </c>
      <c r="H1905" s="6" t="str" cm="1">
        <f t="array" ref="H1905">_xlfn.IFS(
  G1905 &lt; 25000, "Low",
  AND(G1905 &gt;= 25000, G1905 &lt; 75000), "Medium",
  AND(G1905 &gt;= 75000, G1905 &lt; 150000), "High",
  G1905 &gt;= 150000, "Very High"
)</f>
        <v>Medium</v>
      </c>
      <c r="I1905" s="6">
        <v>1</v>
      </c>
      <c r="J1905" s="6">
        <v>0</v>
      </c>
      <c r="K1905" s="6">
        <f t="shared" si="117"/>
        <v>1</v>
      </c>
      <c r="L1905" s="9">
        <v>41571</v>
      </c>
      <c r="M1905" t="str">
        <f t="shared" ca="1" si="118"/>
        <v>12 years, 4 months</v>
      </c>
      <c r="N1905" s="6">
        <v>77</v>
      </c>
      <c r="O1905">
        <v>1</v>
      </c>
      <c r="P1905">
        <v>1</v>
      </c>
      <c r="Q1905">
        <f t="shared" si="119"/>
        <v>2</v>
      </c>
      <c r="R1905">
        <v>3</v>
      </c>
      <c r="S1905">
        <v>3</v>
      </c>
      <c r="T1905">
        <f>Table[[#This Row],[NumWebPurchases]]+Table[[#This Row],[NumStorePurchases]]</f>
        <v>6</v>
      </c>
    </row>
    <row r="1906" spans="1:20" ht="12.5">
      <c r="A1906" s="6">
        <v>1904</v>
      </c>
      <c r="B1906" s="6">
        <v>10951</v>
      </c>
      <c r="C1906" s="6">
        <v>1968</v>
      </c>
      <c r="D1906" s="6">
        <f t="shared" si="116"/>
        <v>57</v>
      </c>
      <c r="E1906" s="7" t="s">
        <v>9</v>
      </c>
      <c r="F1906" s="7" t="s">
        <v>13</v>
      </c>
      <c r="G1906" s="6">
        <v>45688</v>
      </c>
      <c r="H1906" s="6" t="str" cm="1">
        <f t="array" ref="H1906">_xlfn.IFS(
  G1906 &lt; 25000, "Low",
  AND(G1906 &gt;= 25000, G1906 &lt; 75000), "Medium",
  AND(G1906 &gt;= 75000, G1906 &lt; 150000), "High",
  G1906 &gt;= 150000, "Very High"
)</f>
        <v>Medium</v>
      </c>
      <c r="I1906" s="6">
        <v>0</v>
      </c>
      <c r="J1906" s="6">
        <v>1</v>
      </c>
      <c r="K1906" s="6">
        <f t="shared" si="117"/>
        <v>1</v>
      </c>
      <c r="L1906" s="8">
        <v>41664</v>
      </c>
      <c r="M1906" t="str">
        <f t="shared" ca="1" si="118"/>
        <v>12 years, 1 months</v>
      </c>
      <c r="N1906" s="6">
        <v>20</v>
      </c>
      <c r="O1906">
        <v>0</v>
      </c>
      <c r="P1906">
        <v>0</v>
      </c>
      <c r="Q1906">
        <f t="shared" si="119"/>
        <v>0</v>
      </c>
      <c r="R1906">
        <v>3</v>
      </c>
      <c r="S1906">
        <v>8</v>
      </c>
      <c r="T1906">
        <f>Table[[#This Row],[NumWebPurchases]]+Table[[#This Row],[NumStorePurchases]]</f>
        <v>11</v>
      </c>
    </row>
    <row r="1907" spans="1:20" ht="12.5">
      <c r="A1907" s="6">
        <v>1905</v>
      </c>
      <c r="B1907" s="6">
        <v>544</v>
      </c>
      <c r="C1907" s="6">
        <v>1954</v>
      </c>
      <c r="D1907" s="6">
        <f t="shared" si="116"/>
        <v>71</v>
      </c>
      <c r="E1907" s="7" t="s">
        <v>9</v>
      </c>
      <c r="F1907" s="7" t="s">
        <v>13</v>
      </c>
      <c r="G1907" s="6">
        <v>62820</v>
      </c>
      <c r="H1907" s="6" t="str" cm="1">
        <f t="array" ref="H1907">_xlfn.IFS(
  G1907 &lt; 25000, "Low",
  AND(G1907 &gt;= 25000, G1907 &lt; 75000), "Medium",
  AND(G1907 &gt;= 75000, G1907 &lt; 150000), "High",
  G1907 &gt;= 150000, "Very High"
)</f>
        <v>Medium</v>
      </c>
      <c r="I1907" s="6">
        <v>0</v>
      </c>
      <c r="J1907" s="6">
        <v>0</v>
      </c>
      <c r="K1907" s="6">
        <f t="shared" si="117"/>
        <v>0</v>
      </c>
      <c r="L1907" s="8">
        <v>41405</v>
      </c>
      <c r="M1907" t="str">
        <f t="shared" ca="1" si="118"/>
        <v>12 years, 9 months</v>
      </c>
      <c r="N1907" s="6">
        <v>51</v>
      </c>
      <c r="O1907">
        <v>61</v>
      </c>
      <c r="P1907">
        <v>61</v>
      </c>
      <c r="Q1907">
        <f t="shared" si="119"/>
        <v>122</v>
      </c>
      <c r="R1907">
        <v>3</v>
      </c>
      <c r="S1907">
        <v>6</v>
      </c>
      <c r="T1907">
        <f>Table[[#This Row],[NumWebPurchases]]+Table[[#This Row],[NumStorePurchases]]</f>
        <v>9</v>
      </c>
    </row>
    <row r="1908" spans="1:20" ht="12.5">
      <c r="A1908" s="6">
        <v>1906</v>
      </c>
      <c r="B1908" s="6">
        <v>17</v>
      </c>
      <c r="C1908" s="6">
        <v>1971</v>
      </c>
      <c r="D1908" s="6">
        <f t="shared" si="116"/>
        <v>54</v>
      </c>
      <c r="E1908" s="7" t="s">
        <v>12</v>
      </c>
      <c r="F1908" s="7" t="s">
        <v>13</v>
      </c>
      <c r="G1908" s="6">
        <v>60491</v>
      </c>
      <c r="H1908" s="6" t="str" cm="1">
        <f t="array" ref="H1908">_xlfn.IFS(
  G1908 &lt; 25000, "Low",
  AND(G1908 &gt;= 25000, G1908 &lt; 75000), "Medium",
  AND(G1908 &gt;= 75000, G1908 &lt; 150000), "High",
  G1908 &gt;= 150000, "Very High"
)</f>
        <v>Medium</v>
      </c>
      <c r="I1908" s="6">
        <v>0</v>
      </c>
      <c r="J1908" s="6">
        <v>1</v>
      </c>
      <c r="K1908" s="6">
        <f t="shared" si="117"/>
        <v>1</v>
      </c>
      <c r="L1908" s="8">
        <v>41523</v>
      </c>
      <c r="M1908" t="str">
        <f t="shared" ca="1" si="118"/>
        <v>12 years, 6 months</v>
      </c>
      <c r="N1908" s="6">
        <v>81</v>
      </c>
      <c r="O1908">
        <v>47</v>
      </c>
      <c r="P1908">
        <v>19</v>
      </c>
      <c r="Q1908">
        <f t="shared" si="119"/>
        <v>66</v>
      </c>
      <c r="R1908">
        <v>6</v>
      </c>
      <c r="S1908">
        <v>7</v>
      </c>
      <c r="T1908">
        <f>Table[[#This Row],[NumWebPurchases]]+Table[[#This Row],[NumStorePurchases]]</f>
        <v>13</v>
      </c>
    </row>
    <row r="1909" spans="1:20" ht="12.5">
      <c r="A1909" s="6">
        <v>1907</v>
      </c>
      <c r="B1909" s="6">
        <v>10680</v>
      </c>
      <c r="C1909" s="6">
        <v>1986</v>
      </c>
      <c r="D1909" s="6">
        <f t="shared" si="116"/>
        <v>39</v>
      </c>
      <c r="E1909" s="7" t="s">
        <v>9</v>
      </c>
      <c r="F1909" s="7" t="s">
        <v>11</v>
      </c>
      <c r="G1909" s="6">
        <v>33235</v>
      </c>
      <c r="H1909" s="6" t="str" cm="1">
        <f t="array" ref="H1909">_xlfn.IFS(
  G1909 &lt; 25000, "Low",
  AND(G1909 &gt;= 25000, G1909 &lt; 75000), "Medium",
  AND(G1909 &gt;= 75000, G1909 &lt; 150000), "High",
  G1909 &gt;= 150000, "Very High"
)</f>
        <v>Medium</v>
      </c>
      <c r="I1909" s="6">
        <v>1</v>
      </c>
      <c r="J1909" s="6">
        <v>0</v>
      </c>
      <c r="K1909" s="6">
        <f t="shared" si="117"/>
        <v>1</v>
      </c>
      <c r="L1909" s="8">
        <v>41675</v>
      </c>
      <c r="M1909" t="str">
        <f t="shared" ca="1" si="118"/>
        <v>12 years, 1 months</v>
      </c>
      <c r="N1909" s="6">
        <v>71</v>
      </c>
      <c r="O1909">
        <v>0</v>
      </c>
      <c r="P1909">
        <v>1</v>
      </c>
      <c r="Q1909">
        <f t="shared" si="119"/>
        <v>1</v>
      </c>
      <c r="R1909">
        <v>3</v>
      </c>
      <c r="S1909">
        <v>3</v>
      </c>
      <c r="T1909">
        <f>Table[[#This Row],[NumWebPurchases]]+Table[[#This Row],[NumStorePurchases]]</f>
        <v>6</v>
      </c>
    </row>
    <row r="1910" spans="1:20" ht="12.5">
      <c r="A1910" s="6">
        <v>1908</v>
      </c>
      <c r="B1910" s="6">
        <v>3265</v>
      </c>
      <c r="C1910" s="6">
        <v>1959</v>
      </c>
      <c r="D1910" s="6">
        <f t="shared" si="116"/>
        <v>66</v>
      </c>
      <c r="E1910" s="7" t="s">
        <v>9</v>
      </c>
      <c r="F1910" s="7" t="s">
        <v>13</v>
      </c>
      <c r="G1910" s="6">
        <v>35701</v>
      </c>
      <c r="H1910" s="6" t="str" cm="1">
        <f t="array" ref="H1910">_xlfn.IFS(
  G1910 &lt; 25000, "Low",
  AND(G1910 &gt;= 25000, G1910 &lt; 75000), "Medium",
  AND(G1910 &gt;= 75000, G1910 &lt; 150000), "High",
  G1910 &gt;= 150000, "Very High"
)</f>
        <v>Medium</v>
      </c>
      <c r="I1910" s="6">
        <v>0</v>
      </c>
      <c r="J1910" s="6">
        <v>0</v>
      </c>
      <c r="K1910" s="6">
        <f t="shared" si="117"/>
        <v>0</v>
      </c>
      <c r="L1910" s="8">
        <v>41352</v>
      </c>
      <c r="M1910" t="str">
        <f t="shared" ca="1" si="118"/>
        <v>12 years, 11 months</v>
      </c>
      <c r="N1910" s="6">
        <v>36</v>
      </c>
      <c r="O1910">
        <v>1</v>
      </c>
      <c r="P1910">
        <v>3</v>
      </c>
      <c r="Q1910">
        <f t="shared" si="119"/>
        <v>4</v>
      </c>
      <c r="R1910">
        <v>1</v>
      </c>
      <c r="S1910">
        <v>3</v>
      </c>
      <c r="T1910">
        <f>Table[[#This Row],[NumWebPurchases]]+Table[[#This Row],[NumStorePurchases]]</f>
        <v>4</v>
      </c>
    </row>
    <row r="1911" spans="1:20" ht="12.5">
      <c r="A1911" s="6">
        <v>1909</v>
      </c>
      <c r="B1911" s="6">
        <v>5623</v>
      </c>
      <c r="C1911" s="6">
        <v>1980</v>
      </c>
      <c r="D1911" s="6">
        <f t="shared" si="116"/>
        <v>45</v>
      </c>
      <c r="E1911" s="7" t="s">
        <v>14</v>
      </c>
      <c r="F1911" s="7" t="s">
        <v>13</v>
      </c>
      <c r="G1911" s="6">
        <v>31535</v>
      </c>
      <c r="H1911" s="6" t="str" cm="1">
        <f t="array" ref="H1911">_xlfn.IFS(
  G1911 &lt; 25000, "Low",
  AND(G1911 &gt;= 25000, G1911 &lt; 75000), "Medium",
  AND(G1911 &gt;= 75000, G1911 &lt; 150000), "High",
  G1911 &gt;= 150000, "Very High"
)</f>
        <v>Medium</v>
      </c>
      <c r="I1911" s="6">
        <v>1</v>
      </c>
      <c r="J1911" s="6">
        <v>0</v>
      </c>
      <c r="K1911" s="6">
        <f t="shared" si="117"/>
        <v>1</v>
      </c>
      <c r="L1911" s="8">
        <v>41543</v>
      </c>
      <c r="M1911" t="str">
        <f t="shared" ca="1" si="118"/>
        <v>12 years, 5 months</v>
      </c>
      <c r="N1911" s="6">
        <v>95</v>
      </c>
      <c r="O1911">
        <v>4</v>
      </c>
      <c r="P1911">
        <v>0</v>
      </c>
      <c r="Q1911">
        <f t="shared" si="119"/>
        <v>4</v>
      </c>
      <c r="R1911">
        <v>1</v>
      </c>
      <c r="S1911">
        <v>2</v>
      </c>
      <c r="T1911">
        <f>Table[[#This Row],[NumWebPurchases]]+Table[[#This Row],[NumStorePurchases]]</f>
        <v>3</v>
      </c>
    </row>
    <row r="1912" spans="1:20" ht="12.5">
      <c r="A1912" s="6">
        <v>1910</v>
      </c>
      <c r="B1912" s="6">
        <v>5832</v>
      </c>
      <c r="C1912" s="6">
        <v>1960</v>
      </c>
      <c r="D1912" s="6">
        <f t="shared" si="116"/>
        <v>65</v>
      </c>
      <c r="E1912" s="7" t="s">
        <v>17</v>
      </c>
      <c r="F1912" s="7" t="s">
        <v>11</v>
      </c>
      <c r="G1912" s="6">
        <v>92556</v>
      </c>
      <c r="H1912" s="6" t="str" cm="1">
        <f t="array" ref="H1912">_xlfn.IFS(
  G1912 &lt; 25000, "Low",
  AND(G1912 &gt;= 25000, G1912 &lt; 75000), "Medium",
  AND(G1912 &gt;= 75000, G1912 &lt; 150000), "High",
  G1912 &gt;= 150000, "Very High"
)</f>
        <v>High</v>
      </c>
      <c r="I1912" s="6">
        <v>0</v>
      </c>
      <c r="J1912" s="6">
        <v>0</v>
      </c>
      <c r="K1912" s="6">
        <f t="shared" si="117"/>
        <v>0</v>
      </c>
      <c r="L1912" s="8">
        <v>41749</v>
      </c>
      <c r="M1912" t="str">
        <f t="shared" ca="1" si="118"/>
        <v>11 years, 10 months</v>
      </c>
      <c r="N1912" s="6">
        <v>32</v>
      </c>
      <c r="O1912">
        <v>183</v>
      </c>
      <c r="P1912">
        <v>23</v>
      </c>
      <c r="Q1912">
        <f t="shared" si="119"/>
        <v>206</v>
      </c>
      <c r="R1912">
        <v>3</v>
      </c>
      <c r="S1912">
        <v>13</v>
      </c>
      <c r="T1912">
        <f>Table[[#This Row],[NumWebPurchases]]+Table[[#This Row],[NumStorePurchases]]</f>
        <v>16</v>
      </c>
    </row>
    <row r="1913" spans="1:20" ht="12.5">
      <c r="A1913" s="6">
        <v>1911</v>
      </c>
      <c r="B1913" s="6">
        <v>5544</v>
      </c>
      <c r="C1913" s="6">
        <v>1970</v>
      </c>
      <c r="D1913" s="6">
        <f t="shared" si="116"/>
        <v>55</v>
      </c>
      <c r="E1913" s="7" t="s">
        <v>9</v>
      </c>
      <c r="F1913" s="7" t="s">
        <v>10</v>
      </c>
      <c r="G1913" s="6">
        <v>67384</v>
      </c>
      <c r="H1913" s="6" t="str" cm="1">
        <f t="array" ref="H1913">_xlfn.IFS(
  G1913 &lt; 25000, "Low",
  AND(G1913 &gt;= 25000, G1913 &lt; 75000), "Medium",
  AND(G1913 &gt;= 75000, G1913 &lt; 150000), "High",
  G1913 &gt;= 150000, "Very High"
)</f>
        <v>Medium</v>
      </c>
      <c r="I1913" s="6">
        <v>0</v>
      </c>
      <c r="J1913" s="6">
        <v>1</v>
      </c>
      <c r="K1913" s="6">
        <f t="shared" si="117"/>
        <v>1</v>
      </c>
      <c r="L1913" s="9">
        <v>41223</v>
      </c>
      <c r="M1913" t="str">
        <f t="shared" ca="1" si="118"/>
        <v>13 years, 3 months</v>
      </c>
      <c r="N1913" s="6">
        <v>32</v>
      </c>
      <c r="O1913">
        <v>40</v>
      </c>
      <c r="P1913">
        <v>53</v>
      </c>
      <c r="Q1913">
        <f t="shared" si="119"/>
        <v>93</v>
      </c>
      <c r="R1913">
        <v>7</v>
      </c>
      <c r="S1913">
        <v>5</v>
      </c>
      <c r="T1913">
        <f>Table[[#This Row],[NumWebPurchases]]+Table[[#This Row],[NumStorePurchases]]</f>
        <v>12</v>
      </c>
    </row>
    <row r="1914" spans="1:20" ht="12.5">
      <c r="A1914" s="6">
        <v>1912</v>
      </c>
      <c r="B1914" s="6">
        <v>6417</v>
      </c>
      <c r="C1914" s="6">
        <v>1971</v>
      </c>
      <c r="D1914" s="6">
        <f t="shared" si="116"/>
        <v>54</v>
      </c>
      <c r="E1914" s="7" t="s">
        <v>14</v>
      </c>
      <c r="F1914" s="7" t="s">
        <v>11</v>
      </c>
      <c r="G1914" s="6">
        <v>80573</v>
      </c>
      <c r="H1914" s="6" t="str" cm="1">
        <f t="array" ref="H1914">_xlfn.IFS(
  G1914 &lt; 25000, "Low",
  AND(G1914 &gt;= 25000, G1914 &lt; 75000), "Medium",
  AND(G1914 &gt;= 75000, G1914 &lt; 150000), "High",
  G1914 &gt;= 150000, "Very High"
)</f>
        <v>High</v>
      </c>
      <c r="I1914" s="6">
        <v>0</v>
      </c>
      <c r="J1914" s="6">
        <v>0</v>
      </c>
      <c r="K1914" s="6">
        <f t="shared" si="117"/>
        <v>0</v>
      </c>
      <c r="L1914" s="9">
        <v>41196</v>
      </c>
      <c r="M1914" t="str">
        <f t="shared" ca="1" si="118"/>
        <v>13 years, 4 months</v>
      </c>
      <c r="N1914" s="6">
        <v>85</v>
      </c>
      <c r="O1914">
        <v>138</v>
      </c>
      <c r="P1914">
        <v>92</v>
      </c>
      <c r="Q1914">
        <f t="shared" si="119"/>
        <v>230</v>
      </c>
      <c r="R1914">
        <v>4</v>
      </c>
      <c r="S1914">
        <v>13</v>
      </c>
      <c r="T1914">
        <f>Table[[#This Row],[NumWebPurchases]]+Table[[#This Row],[NumStorePurchases]]</f>
        <v>17</v>
      </c>
    </row>
    <row r="1915" spans="1:20" ht="12.5">
      <c r="A1915" s="6">
        <v>1913</v>
      </c>
      <c r="B1915" s="6">
        <v>5831</v>
      </c>
      <c r="C1915" s="6">
        <v>1967</v>
      </c>
      <c r="D1915" s="6">
        <f t="shared" si="116"/>
        <v>58</v>
      </c>
      <c r="E1915" s="7" t="s">
        <v>9</v>
      </c>
      <c r="F1915" s="7" t="s">
        <v>13</v>
      </c>
      <c r="G1915" s="6">
        <v>77870</v>
      </c>
      <c r="H1915" s="6" t="str" cm="1">
        <f t="array" ref="H1915">_xlfn.IFS(
  G1915 &lt; 25000, "Low",
  AND(G1915 &gt;= 25000, G1915 &lt; 75000), "Medium",
  AND(G1915 &gt;= 75000, G1915 &lt; 150000), "High",
  G1915 &gt;= 150000, "Very High"
)</f>
        <v>High</v>
      </c>
      <c r="I1915" s="6">
        <v>0</v>
      </c>
      <c r="J1915" s="6">
        <v>1</v>
      </c>
      <c r="K1915" s="6">
        <f t="shared" si="117"/>
        <v>1</v>
      </c>
      <c r="L1915" s="8">
        <v>41143</v>
      </c>
      <c r="M1915" t="str">
        <f t="shared" ca="1" si="118"/>
        <v>13 years, 6 months</v>
      </c>
      <c r="N1915" s="6">
        <v>93</v>
      </c>
      <c r="O1915">
        <v>50</v>
      </c>
      <c r="P1915">
        <v>50</v>
      </c>
      <c r="Q1915">
        <f t="shared" si="119"/>
        <v>100</v>
      </c>
      <c r="R1915">
        <v>5</v>
      </c>
      <c r="S1915">
        <v>5</v>
      </c>
      <c r="T1915">
        <f>Table[[#This Row],[NumWebPurchases]]+Table[[#This Row],[NumStorePurchases]]</f>
        <v>10</v>
      </c>
    </row>
    <row r="1916" spans="1:20" ht="12.5">
      <c r="A1916" s="6">
        <v>1914</v>
      </c>
      <c r="B1916" s="6">
        <v>7101</v>
      </c>
      <c r="C1916" s="6">
        <v>1963</v>
      </c>
      <c r="D1916" s="6">
        <f t="shared" si="116"/>
        <v>62</v>
      </c>
      <c r="E1916" s="7" t="s">
        <v>12</v>
      </c>
      <c r="F1916" s="7" t="s">
        <v>18</v>
      </c>
      <c r="G1916" s="6">
        <v>52278</v>
      </c>
      <c r="H1916" s="6" t="str" cm="1">
        <f t="array" ref="H1916">_xlfn.IFS(
  G1916 &lt; 25000, "Low",
  AND(G1916 &gt;= 25000, G1916 &lt; 75000), "Medium",
  AND(G1916 &gt;= 75000, G1916 &lt; 150000), "High",
  G1916 &gt;= 150000, "Very High"
)</f>
        <v>Medium</v>
      </c>
      <c r="I1916" s="6">
        <v>0</v>
      </c>
      <c r="J1916" s="6">
        <v>1</v>
      </c>
      <c r="K1916" s="6">
        <f t="shared" si="117"/>
        <v>1</v>
      </c>
      <c r="L1916" s="8">
        <v>41299</v>
      </c>
      <c r="M1916" t="str">
        <f t="shared" ca="1" si="118"/>
        <v>13 years, 1 months</v>
      </c>
      <c r="N1916" s="6">
        <v>24</v>
      </c>
      <c r="O1916">
        <v>0</v>
      </c>
      <c r="P1916">
        <v>0</v>
      </c>
      <c r="Q1916">
        <f t="shared" si="119"/>
        <v>0</v>
      </c>
      <c r="R1916">
        <v>10</v>
      </c>
      <c r="S1916">
        <v>10</v>
      </c>
      <c r="T1916">
        <f>Table[[#This Row],[NumWebPurchases]]+Table[[#This Row],[NumStorePurchases]]</f>
        <v>20</v>
      </c>
    </row>
    <row r="1917" spans="1:20" ht="12.5">
      <c r="A1917" s="6">
        <v>1915</v>
      </c>
      <c r="B1917" s="6">
        <v>10176</v>
      </c>
      <c r="C1917" s="6">
        <v>1968</v>
      </c>
      <c r="D1917" s="6">
        <f t="shared" si="116"/>
        <v>57</v>
      </c>
      <c r="E1917" s="7" t="s">
        <v>9</v>
      </c>
      <c r="F1917" s="7" t="s">
        <v>10</v>
      </c>
      <c r="G1917" s="6">
        <v>57107</v>
      </c>
      <c r="H1917" s="6" t="str" cm="1">
        <f t="array" ref="H1917">_xlfn.IFS(
  G1917 &lt; 25000, "Low",
  AND(G1917 &gt;= 25000, G1917 &lt; 75000), "Medium",
  AND(G1917 &gt;= 75000, G1917 &lt; 150000), "High",
  G1917 &gt;= 150000, "Very High"
)</f>
        <v>Medium</v>
      </c>
      <c r="I1917" s="6">
        <v>0</v>
      </c>
      <c r="J1917" s="6">
        <v>1</v>
      </c>
      <c r="K1917" s="6">
        <f t="shared" si="117"/>
        <v>1</v>
      </c>
      <c r="L1917" s="8">
        <v>41145</v>
      </c>
      <c r="M1917" t="str">
        <f t="shared" ca="1" si="118"/>
        <v>13 years, 6 months</v>
      </c>
      <c r="N1917" s="6">
        <v>44</v>
      </c>
      <c r="O1917">
        <v>0</v>
      </c>
      <c r="P1917">
        <v>0</v>
      </c>
      <c r="Q1917">
        <f t="shared" si="119"/>
        <v>0</v>
      </c>
      <c r="R1917">
        <v>4</v>
      </c>
      <c r="S1917">
        <v>8</v>
      </c>
      <c r="T1917">
        <f>Table[[#This Row],[NumWebPurchases]]+Table[[#This Row],[NumStorePurchases]]</f>
        <v>12</v>
      </c>
    </row>
    <row r="1918" spans="1:20" ht="12.5">
      <c r="A1918" s="6">
        <v>1916</v>
      </c>
      <c r="B1918" s="6">
        <v>2326</v>
      </c>
      <c r="C1918" s="6">
        <v>1990</v>
      </c>
      <c r="D1918" s="6">
        <f t="shared" si="116"/>
        <v>35</v>
      </c>
      <c r="E1918" s="7" t="s">
        <v>9</v>
      </c>
      <c r="F1918" s="7" t="s">
        <v>13</v>
      </c>
      <c r="G1918" s="6">
        <v>18929</v>
      </c>
      <c r="H1918" s="6" t="str" cm="1">
        <f t="array" ref="H1918">_xlfn.IFS(
  G1918 &lt; 25000, "Low",
  AND(G1918 &gt;= 25000, G1918 &lt; 75000), "Medium",
  AND(G1918 &gt;= 75000, G1918 &lt; 150000), "High",
  G1918 &gt;= 150000, "Very High"
)</f>
        <v>Low</v>
      </c>
      <c r="I1918" s="6">
        <v>0</v>
      </c>
      <c r="J1918" s="6">
        <v>0</v>
      </c>
      <c r="K1918" s="6">
        <f t="shared" si="117"/>
        <v>0</v>
      </c>
      <c r="L1918" s="8">
        <v>41321</v>
      </c>
      <c r="M1918" t="str">
        <f t="shared" ca="1" si="118"/>
        <v>13 years, 0 months</v>
      </c>
      <c r="N1918" s="6">
        <v>15</v>
      </c>
      <c r="O1918">
        <v>0</v>
      </c>
      <c r="P1918">
        <v>4</v>
      </c>
      <c r="Q1918">
        <f t="shared" si="119"/>
        <v>4</v>
      </c>
      <c r="R1918">
        <v>1</v>
      </c>
      <c r="S1918">
        <v>4</v>
      </c>
      <c r="T1918">
        <f>Table[[#This Row],[NumWebPurchases]]+Table[[#This Row],[NumStorePurchases]]</f>
        <v>5</v>
      </c>
    </row>
    <row r="1919" spans="1:20" ht="12.5">
      <c r="A1919" s="6">
        <v>1917</v>
      </c>
      <c r="B1919" s="6">
        <v>4385</v>
      </c>
      <c r="C1919" s="6">
        <v>1981</v>
      </c>
      <c r="D1919" s="6">
        <f t="shared" si="116"/>
        <v>44</v>
      </c>
      <c r="E1919" s="7" t="s">
        <v>12</v>
      </c>
      <c r="F1919" s="7" t="s">
        <v>10</v>
      </c>
      <c r="G1919" s="6">
        <v>36038</v>
      </c>
      <c r="H1919" s="6" t="str" cm="1">
        <f t="array" ref="H1919">_xlfn.IFS(
  G1919 &lt; 25000, "Low",
  AND(G1919 &gt;= 25000, G1919 &lt; 75000), "Medium",
  AND(G1919 &gt;= 75000, G1919 &lt; 150000), "High",
  G1919 &gt;= 150000, "Very High"
)</f>
        <v>Medium</v>
      </c>
      <c r="I1919" s="6">
        <v>1</v>
      </c>
      <c r="J1919" s="6">
        <v>0</v>
      </c>
      <c r="K1919" s="6">
        <f t="shared" si="117"/>
        <v>1</v>
      </c>
      <c r="L1919" s="8">
        <v>41425</v>
      </c>
      <c r="M1919" t="str">
        <f t="shared" ca="1" si="118"/>
        <v>12 years, 9 months</v>
      </c>
      <c r="N1919" s="6">
        <v>82</v>
      </c>
      <c r="O1919">
        <v>0</v>
      </c>
      <c r="P1919">
        <v>2</v>
      </c>
      <c r="Q1919">
        <f t="shared" si="119"/>
        <v>2</v>
      </c>
      <c r="R1919">
        <v>3</v>
      </c>
      <c r="S1919">
        <v>3</v>
      </c>
      <c r="T1919">
        <f>Table[[#This Row],[NumWebPurchases]]+Table[[#This Row],[NumStorePurchases]]</f>
        <v>6</v>
      </c>
    </row>
    <row r="1920" spans="1:20" ht="12.5">
      <c r="A1920" s="6">
        <v>1918</v>
      </c>
      <c r="B1920" s="6">
        <v>2929</v>
      </c>
      <c r="C1920" s="6">
        <v>1976</v>
      </c>
      <c r="D1920" s="6">
        <f t="shared" si="116"/>
        <v>49</v>
      </c>
      <c r="E1920" s="7" t="s">
        <v>9</v>
      </c>
      <c r="F1920" s="7" t="s">
        <v>10</v>
      </c>
      <c r="G1920" s="6">
        <v>20180</v>
      </c>
      <c r="H1920" s="6" t="str" cm="1">
        <f t="array" ref="H1920">_xlfn.IFS(
  G1920 &lt; 25000, "Low",
  AND(G1920 &gt;= 25000, G1920 &lt; 75000), "Medium",
  AND(G1920 &gt;= 75000, G1920 &lt; 150000), "High",
  G1920 &gt;= 150000, "Very High"
)</f>
        <v>Low</v>
      </c>
      <c r="I1920" s="6">
        <v>0</v>
      </c>
      <c r="J1920" s="6">
        <v>0</v>
      </c>
      <c r="K1920" s="6">
        <f t="shared" si="117"/>
        <v>0</v>
      </c>
      <c r="L1920" s="8">
        <v>41325</v>
      </c>
      <c r="M1920" t="str">
        <f t="shared" ca="1" si="118"/>
        <v>13 years, 0 months</v>
      </c>
      <c r="N1920" s="6">
        <v>27</v>
      </c>
      <c r="O1920">
        <v>42</v>
      </c>
      <c r="P1920">
        <v>20</v>
      </c>
      <c r="Q1920">
        <f t="shared" si="119"/>
        <v>62</v>
      </c>
      <c r="R1920">
        <v>2</v>
      </c>
      <c r="S1920">
        <v>4</v>
      </c>
      <c r="T1920">
        <f>Table[[#This Row],[NumWebPurchases]]+Table[[#This Row],[NumStorePurchases]]</f>
        <v>6</v>
      </c>
    </row>
    <row r="1921" spans="1:20" ht="12.5">
      <c r="A1921" s="6">
        <v>1919</v>
      </c>
      <c r="B1921" s="6">
        <v>10686</v>
      </c>
      <c r="C1921" s="6">
        <v>1965</v>
      </c>
      <c r="D1921" s="6">
        <f t="shared" si="116"/>
        <v>60</v>
      </c>
      <c r="E1921" s="7" t="s">
        <v>12</v>
      </c>
      <c r="F1921" s="7" t="s">
        <v>11</v>
      </c>
      <c r="G1921" s="6">
        <v>34230</v>
      </c>
      <c r="H1921" s="6" t="str" cm="1">
        <f t="array" ref="H1921">_xlfn.IFS(
  G1921 &lt; 25000, "Low",
  AND(G1921 &gt;= 25000, G1921 &lt; 75000), "Medium",
  AND(G1921 &gt;= 75000, G1921 &lt; 150000), "High",
  G1921 &gt;= 150000, "Very High"
)</f>
        <v>Medium</v>
      </c>
      <c r="I1921" s="6">
        <v>1</v>
      </c>
      <c r="J1921" s="6">
        <v>1</v>
      </c>
      <c r="K1921" s="6">
        <f t="shared" si="117"/>
        <v>2</v>
      </c>
      <c r="L1921" s="9">
        <v>41269</v>
      </c>
      <c r="M1921" t="str">
        <f t="shared" ca="1" si="118"/>
        <v>13 years, 2 months</v>
      </c>
      <c r="N1921" s="6">
        <v>72</v>
      </c>
      <c r="O1921">
        <v>0</v>
      </c>
      <c r="P1921">
        <v>0</v>
      </c>
      <c r="Q1921">
        <f t="shared" si="119"/>
        <v>0</v>
      </c>
      <c r="R1921">
        <v>1</v>
      </c>
      <c r="S1921">
        <v>2</v>
      </c>
      <c r="T1921">
        <f>Table[[#This Row],[NumWebPurchases]]+Table[[#This Row],[NumStorePurchases]]</f>
        <v>3</v>
      </c>
    </row>
    <row r="1922" spans="1:20" ht="12.5">
      <c r="A1922" s="6">
        <v>1920</v>
      </c>
      <c r="B1922" s="6">
        <v>2546</v>
      </c>
      <c r="C1922" s="6">
        <v>1977</v>
      </c>
      <c r="D1922" s="6">
        <f t="shared" si="116"/>
        <v>48</v>
      </c>
      <c r="E1922" s="7" t="s">
        <v>17</v>
      </c>
      <c r="F1922" s="7" t="s">
        <v>10</v>
      </c>
      <c r="G1922" s="6">
        <v>31878</v>
      </c>
      <c r="H1922" s="6" t="str" cm="1">
        <f t="array" ref="H1922">_xlfn.IFS(
  G1922 &lt; 25000, "Low",
  AND(G1922 &gt;= 25000, G1922 &lt; 75000), "Medium",
  AND(G1922 &gt;= 75000, G1922 &lt; 150000), "High",
  G1922 &gt;= 150000, "Very High"
)</f>
        <v>Medium</v>
      </c>
      <c r="I1922" s="6">
        <v>0</v>
      </c>
      <c r="J1922" s="6">
        <v>1</v>
      </c>
      <c r="K1922" s="6">
        <f t="shared" si="117"/>
        <v>1</v>
      </c>
      <c r="L1922" s="8">
        <v>41812</v>
      </c>
      <c r="M1922" t="str">
        <f t="shared" ca="1" si="118"/>
        <v>11 years, 8 months</v>
      </c>
      <c r="N1922" s="6">
        <v>7</v>
      </c>
      <c r="O1922">
        <v>4</v>
      </c>
      <c r="P1922">
        <v>5</v>
      </c>
      <c r="Q1922">
        <f t="shared" si="119"/>
        <v>9</v>
      </c>
      <c r="R1922">
        <v>1</v>
      </c>
      <c r="S1922">
        <v>4</v>
      </c>
      <c r="T1922">
        <f>Table[[#This Row],[NumWebPurchases]]+Table[[#This Row],[NumStorePurchases]]</f>
        <v>5</v>
      </c>
    </row>
    <row r="1923" spans="1:20" ht="12.5">
      <c r="A1923" s="6">
        <v>1921</v>
      </c>
      <c r="B1923" s="6">
        <v>3283</v>
      </c>
      <c r="C1923" s="6">
        <v>1972</v>
      </c>
      <c r="D1923" s="6">
        <f t="shared" ref="D1923:D1986" si="120">2025-C1923</f>
        <v>53</v>
      </c>
      <c r="E1923" s="7" t="s">
        <v>17</v>
      </c>
      <c r="F1923" s="7" t="s">
        <v>13</v>
      </c>
      <c r="G1923" s="6">
        <v>70932</v>
      </c>
      <c r="H1923" s="6" t="str" cm="1">
        <f t="array" ref="H1923">_xlfn.IFS(
  G1923 &lt; 25000, "Low",
  AND(G1923 &gt;= 25000, G1923 &lt; 75000), "Medium",
  AND(G1923 &gt;= 75000, G1923 &lt; 150000), "High",
  G1923 &gt;= 150000, "Very High"
)</f>
        <v>Medium</v>
      </c>
      <c r="I1923" s="6">
        <v>0</v>
      </c>
      <c r="J1923" s="6">
        <v>1</v>
      </c>
      <c r="K1923" s="6">
        <f t="shared" ref="K1923:K1986" si="121">I1923+J1923</f>
        <v>1</v>
      </c>
      <c r="L1923" s="8">
        <v>41658</v>
      </c>
      <c r="M1923" t="str">
        <f t="shared" ref="M1923:M1986" ca="1" si="122">DATEDIF(L1923, TODAY(), "Y") &amp; " years, " &amp; DATEDIF(L1923, TODAY(), "YM") &amp; " months"</f>
        <v>12 years, 1 months</v>
      </c>
      <c r="N1923" s="6">
        <v>57</v>
      </c>
      <c r="O1923">
        <v>193</v>
      </c>
      <c r="P1923">
        <v>185</v>
      </c>
      <c r="Q1923">
        <f t="shared" ref="Q1923:Q1986" si="123">O1923+P1923</f>
        <v>378</v>
      </c>
      <c r="R1923">
        <v>6</v>
      </c>
      <c r="S1923">
        <v>12</v>
      </c>
      <c r="T1923">
        <f>Table[[#This Row],[NumWebPurchases]]+Table[[#This Row],[NumStorePurchases]]</f>
        <v>18</v>
      </c>
    </row>
    <row r="1924" spans="1:20" ht="12.5">
      <c r="A1924" s="6">
        <v>1922</v>
      </c>
      <c r="B1924" s="6">
        <v>3138</v>
      </c>
      <c r="C1924" s="6">
        <v>1956</v>
      </c>
      <c r="D1924" s="6">
        <f t="shared" si="120"/>
        <v>69</v>
      </c>
      <c r="E1924" s="7" t="s">
        <v>9</v>
      </c>
      <c r="F1924" s="7" t="s">
        <v>10</v>
      </c>
      <c r="G1924" s="6">
        <v>91249</v>
      </c>
      <c r="H1924" s="6" t="str" cm="1">
        <f t="array" ref="H1924">_xlfn.IFS(
  G1924 &lt; 25000, "Low",
  AND(G1924 &gt;= 25000, G1924 &lt; 75000), "Medium",
  AND(G1924 &gt;= 75000, G1924 &lt; 150000), "High",
  G1924 &gt;= 150000, "Very High"
)</f>
        <v>High</v>
      </c>
      <c r="I1924" s="6">
        <v>0</v>
      </c>
      <c r="J1924" s="6">
        <v>0</v>
      </c>
      <c r="K1924" s="6">
        <f t="shared" si="121"/>
        <v>0</v>
      </c>
      <c r="L1924" s="9">
        <v>41202</v>
      </c>
      <c r="M1924" t="str">
        <f t="shared" ca="1" si="122"/>
        <v>13 years, 4 months</v>
      </c>
      <c r="N1924" s="6">
        <v>84</v>
      </c>
      <c r="O1924">
        <v>27</v>
      </c>
      <c r="P1924">
        <v>108</v>
      </c>
      <c r="Q1924">
        <f t="shared" si="123"/>
        <v>135</v>
      </c>
      <c r="R1924">
        <v>7</v>
      </c>
      <c r="S1924">
        <v>6</v>
      </c>
      <c r="T1924">
        <f>Table[[#This Row],[NumWebPurchases]]+Table[[#This Row],[NumStorePurchases]]</f>
        <v>13</v>
      </c>
    </row>
    <row r="1925" spans="1:20" ht="12.5">
      <c r="A1925" s="6">
        <v>1923</v>
      </c>
      <c r="B1925" s="6">
        <v>4994</v>
      </c>
      <c r="C1925" s="6">
        <v>1943</v>
      </c>
      <c r="D1925" s="6">
        <f t="shared" si="120"/>
        <v>82</v>
      </c>
      <c r="E1925" s="7" t="s">
        <v>14</v>
      </c>
      <c r="F1925" s="7" t="s">
        <v>10</v>
      </c>
      <c r="G1925" s="6">
        <v>77598</v>
      </c>
      <c r="H1925" s="6" t="str" cm="1">
        <f t="array" ref="H1925">_xlfn.IFS(
  G1925 &lt; 25000, "Low",
  AND(G1925 &gt;= 25000, G1925 &lt; 75000), "Medium",
  AND(G1925 &gt;= 75000, G1925 &lt; 150000), "High",
  G1925 &gt;= 150000, "Very High"
)</f>
        <v>High</v>
      </c>
      <c r="I1925" s="6">
        <v>0</v>
      </c>
      <c r="J1925" s="6">
        <v>0</v>
      </c>
      <c r="K1925" s="6">
        <f t="shared" si="121"/>
        <v>0</v>
      </c>
      <c r="L1925" s="8">
        <v>41548</v>
      </c>
      <c r="M1925" t="str">
        <f t="shared" ca="1" si="122"/>
        <v>12 years, 5 months</v>
      </c>
      <c r="N1925" s="6">
        <v>53</v>
      </c>
      <c r="O1925">
        <v>33</v>
      </c>
      <c r="P1925">
        <v>66</v>
      </c>
      <c r="Q1925">
        <f t="shared" si="123"/>
        <v>99</v>
      </c>
      <c r="R1925">
        <v>7</v>
      </c>
      <c r="S1925">
        <v>13</v>
      </c>
      <c r="T1925">
        <f>Table[[#This Row],[NumWebPurchases]]+Table[[#This Row],[NumStorePurchases]]</f>
        <v>20</v>
      </c>
    </row>
    <row r="1926" spans="1:20" ht="12.5">
      <c r="A1926" s="6">
        <v>1924</v>
      </c>
      <c r="B1926" s="6">
        <v>7966</v>
      </c>
      <c r="C1926" s="6">
        <v>1959</v>
      </c>
      <c r="D1926" s="6">
        <f t="shared" si="120"/>
        <v>66</v>
      </c>
      <c r="E1926" s="7" t="s">
        <v>9</v>
      </c>
      <c r="F1926" s="7" t="s">
        <v>10</v>
      </c>
      <c r="G1926" s="6">
        <v>80982</v>
      </c>
      <c r="H1926" s="6" t="str" cm="1">
        <f t="array" ref="H1926">_xlfn.IFS(
  G1926 &lt; 25000, "Low",
  AND(G1926 &gt;= 25000, G1926 &lt; 75000), "Medium",
  AND(G1926 &gt;= 75000, G1926 &lt; 150000), "High",
  G1926 &gt;= 150000, "Very High"
)</f>
        <v>High</v>
      </c>
      <c r="I1926" s="6">
        <v>1</v>
      </c>
      <c r="J1926" s="6">
        <v>1</v>
      </c>
      <c r="K1926" s="6">
        <f t="shared" si="121"/>
        <v>2</v>
      </c>
      <c r="L1926" s="8">
        <v>41282</v>
      </c>
      <c r="M1926" t="str">
        <f t="shared" ca="1" si="122"/>
        <v>13 years, 1 months</v>
      </c>
      <c r="N1926" s="6">
        <v>48</v>
      </c>
      <c r="O1926">
        <v>137</v>
      </c>
      <c r="P1926">
        <v>22</v>
      </c>
      <c r="Q1926">
        <f t="shared" si="123"/>
        <v>159</v>
      </c>
      <c r="R1926">
        <v>11</v>
      </c>
      <c r="S1926">
        <v>11</v>
      </c>
      <c r="T1926">
        <f>Table[[#This Row],[NumWebPurchases]]+Table[[#This Row],[NumStorePurchases]]</f>
        <v>22</v>
      </c>
    </row>
    <row r="1927" spans="1:20" ht="12.5">
      <c r="A1927" s="6">
        <v>1925</v>
      </c>
      <c r="B1927" s="6">
        <v>3112</v>
      </c>
      <c r="C1927" s="6">
        <v>1977</v>
      </c>
      <c r="D1927" s="6">
        <f t="shared" si="120"/>
        <v>48</v>
      </c>
      <c r="E1927" s="7" t="s">
        <v>14</v>
      </c>
      <c r="F1927" s="7" t="s">
        <v>13</v>
      </c>
      <c r="G1927" s="6">
        <v>22701</v>
      </c>
      <c r="H1927" s="6" t="str" cm="1">
        <f t="array" ref="H1927">_xlfn.IFS(
  G1927 &lt; 25000, "Low",
  AND(G1927 &gt;= 25000, G1927 &lt; 75000), "Medium",
  AND(G1927 &gt;= 75000, G1927 &lt; 150000), "High",
  G1927 &gt;= 150000, "Very High"
)</f>
        <v>Low</v>
      </c>
      <c r="I1927" s="6">
        <v>1</v>
      </c>
      <c r="J1927" s="6">
        <v>0</v>
      </c>
      <c r="K1927" s="6">
        <f t="shared" si="121"/>
        <v>1</v>
      </c>
      <c r="L1927" s="8">
        <v>41522</v>
      </c>
      <c r="M1927" t="str">
        <f t="shared" ca="1" si="122"/>
        <v>12 years, 6 months</v>
      </c>
      <c r="N1927" s="6">
        <v>2</v>
      </c>
      <c r="O1927">
        <v>4</v>
      </c>
      <c r="P1927">
        <v>4</v>
      </c>
      <c r="Q1927">
        <f t="shared" si="123"/>
        <v>8</v>
      </c>
      <c r="R1927">
        <v>1</v>
      </c>
      <c r="S1927">
        <v>3</v>
      </c>
      <c r="T1927">
        <f>Table[[#This Row],[NumWebPurchases]]+Table[[#This Row],[NumStorePurchases]]</f>
        <v>4</v>
      </c>
    </row>
    <row r="1928" spans="1:20" ht="12.5">
      <c r="A1928" s="6">
        <v>1926</v>
      </c>
      <c r="B1928" s="6">
        <v>10872</v>
      </c>
      <c r="C1928" s="6">
        <v>1969</v>
      </c>
      <c r="D1928" s="6">
        <f t="shared" si="120"/>
        <v>56</v>
      </c>
      <c r="E1928" s="7" t="s">
        <v>12</v>
      </c>
      <c r="F1928" s="7" t="s">
        <v>13</v>
      </c>
      <c r="G1928" s="6">
        <v>55212</v>
      </c>
      <c r="H1928" s="6" t="str" cm="1">
        <f t="array" ref="H1928">_xlfn.IFS(
  G1928 &lt; 25000, "Low",
  AND(G1928 &gt;= 25000, G1928 &lt; 75000), "Medium",
  AND(G1928 &gt;= 75000, G1928 &lt; 150000), "High",
  G1928 &gt;= 150000, "Very High"
)</f>
        <v>Medium</v>
      </c>
      <c r="I1928" s="6">
        <v>0</v>
      </c>
      <c r="J1928" s="6">
        <v>1</v>
      </c>
      <c r="K1928" s="6">
        <f t="shared" si="121"/>
        <v>1</v>
      </c>
      <c r="L1928" s="9">
        <v>41236</v>
      </c>
      <c r="M1928" t="str">
        <f t="shared" ca="1" si="122"/>
        <v>13 years, 3 months</v>
      </c>
      <c r="N1928" s="6">
        <v>65</v>
      </c>
      <c r="O1928">
        <v>0</v>
      </c>
      <c r="P1928">
        <v>0</v>
      </c>
      <c r="Q1928">
        <f t="shared" si="123"/>
        <v>0</v>
      </c>
      <c r="R1928">
        <v>4</v>
      </c>
      <c r="S1928">
        <v>11</v>
      </c>
      <c r="T1928">
        <f>Table[[#This Row],[NumWebPurchases]]+Table[[#This Row],[NumStorePurchases]]</f>
        <v>15</v>
      </c>
    </row>
    <row r="1929" spans="1:20" ht="12.5">
      <c r="A1929" s="6">
        <v>1927</v>
      </c>
      <c r="B1929" s="6">
        <v>2181</v>
      </c>
      <c r="C1929" s="6">
        <v>1970</v>
      </c>
      <c r="D1929" s="6">
        <f t="shared" si="120"/>
        <v>55</v>
      </c>
      <c r="E1929" s="7" t="s">
        <v>9</v>
      </c>
      <c r="F1929" s="7" t="s">
        <v>13</v>
      </c>
      <c r="G1929" s="6">
        <v>70617</v>
      </c>
      <c r="H1929" s="6" t="str" cm="1">
        <f t="array" ref="H1929">_xlfn.IFS(
  G1929 &lt; 25000, "Low",
  AND(G1929 &gt;= 25000, G1929 &lt; 75000), "Medium",
  AND(G1929 &gt;= 75000, G1929 &lt; 150000), "High",
  G1929 &gt;= 150000, "Very High"
)</f>
        <v>Medium</v>
      </c>
      <c r="I1929" s="6">
        <v>0</v>
      </c>
      <c r="J1929" s="6">
        <v>0</v>
      </c>
      <c r="K1929" s="6">
        <f t="shared" si="121"/>
        <v>0</v>
      </c>
      <c r="L1929" s="8">
        <v>41448</v>
      </c>
      <c r="M1929" t="str">
        <f t="shared" ca="1" si="122"/>
        <v>12 years, 8 months</v>
      </c>
      <c r="N1929" s="6">
        <v>45</v>
      </c>
      <c r="O1929">
        <v>61</v>
      </c>
      <c r="P1929">
        <v>46</v>
      </c>
      <c r="Q1929">
        <f t="shared" si="123"/>
        <v>107</v>
      </c>
      <c r="R1929">
        <v>3</v>
      </c>
      <c r="S1929">
        <v>7</v>
      </c>
      <c r="T1929">
        <f>Table[[#This Row],[NumWebPurchases]]+Table[[#This Row],[NumStorePurchases]]</f>
        <v>10</v>
      </c>
    </row>
    <row r="1930" spans="1:20" ht="12.5">
      <c r="A1930" s="6">
        <v>1928</v>
      </c>
      <c r="B1930" s="6">
        <v>1867</v>
      </c>
      <c r="C1930" s="6">
        <v>1957</v>
      </c>
      <c r="D1930" s="6">
        <f t="shared" si="120"/>
        <v>68</v>
      </c>
      <c r="E1930" s="7" t="s">
        <v>9</v>
      </c>
      <c r="F1930" s="7" t="s">
        <v>10</v>
      </c>
      <c r="G1930" s="6">
        <v>64849</v>
      </c>
      <c r="H1930" s="6" t="str" cm="1">
        <f t="array" ref="H1930">_xlfn.IFS(
  G1930 &lt; 25000, "Low",
  AND(G1930 &gt;= 25000, G1930 &lt; 75000), "Medium",
  AND(G1930 &gt;= 75000, G1930 &lt; 150000), "High",
  G1930 &gt;= 150000, "Very High"
)</f>
        <v>Medium</v>
      </c>
      <c r="I1930" s="6">
        <v>0</v>
      </c>
      <c r="J1930" s="6">
        <v>0</v>
      </c>
      <c r="K1930" s="6">
        <f t="shared" si="121"/>
        <v>0</v>
      </c>
      <c r="L1930" s="9">
        <v>41226</v>
      </c>
      <c r="M1930" t="str">
        <f t="shared" ca="1" si="122"/>
        <v>13 years, 3 months</v>
      </c>
      <c r="N1930" s="6">
        <v>42</v>
      </c>
      <c r="O1930">
        <v>48</v>
      </c>
      <c r="P1930">
        <v>84</v>
      </c>
      <c r="Q1930">
        <f t="shared" si="123"/>
        <v>132</v>
      </c>
      <c r="R1930">
        <v>9</v>
      </c>
      <c r="S1930">
        <v>6</v>
      </c>
      <c r="T1930">
        <f>Table[[#This Row],[NumWebPurchases]]+Table[[#This Row],[NumStorePurchases]]</f>
        <v>15</v>
      </c>
    </row>
    <row r="1931" spans="1:20" ht="12.5">
      <c r="A1931" s="6">
        <v>1929</v>
      </c>
      <c r="B1931" s="6">
        <v>1518</v>
      </c>
      <c r="C1931" s="6">
        <v>1965</v>
      </c>
      <c r="D1931" s="6">
        <f t="shared" si="120"/>
        <v>60</v>
      </c>
      <c r="E1931" s="7" t="s">
        <v>14</v>
      </c>
      <c r="F1931" s="7" t="s">
        <v>13</v>
      </c>
      <c r="G1931" s="6">
        <v>62694</v>
      </c>
      <c r="H1931" s="6" t="str" cm="1">
        <f t="array" ref="H1931">_xlfn.IFS(
  G1931 &lt; 25000, "Low",
  AND(G1931 &gt;= 25000, G1931 &lt; 75000), "Medium",
  AND(G1931 &gt;= 75000, G1931 &lt; 150000), "High",
  G1931 &gt;= 150000, "Very High"
)</f>
        <v>Medium</v>
      </c>
      <c r="I1931" s="6">
        <v>1</v>
      </c>
      <c r="J1931" s="6">
        <v>1</v>
      </c>
      <c r="K1931" s="6">
        <f t="shared" si="121"/>
        <v>2</v>
      </c>
      <c r="L1931" s="8">
        <v>41442</v>
      </c>
      <c r="M1931" t="str">
        <f t="shared" ca="1" si="122"/>
        <v>12 years, 8 months</v>
      </c>
      <c r="N1931" s="6">
        <v>29</v>
      </c>
      <c r="O1931">
        <v>6</v>
      </c>
      <c r="P1931">
        <v>91</v>
      </c>
      <c r="Q1931">
        <f t="shared" si="123"/>
        <v>97</v>
      </c>
      <c r="R1931">
        <v>9</v>
      </c>
      <c r="S1931">
        <v>7</v>
      </c>
      <c r="T1931">
        <f>Table[[#This Row],[NumWebPurchases]]+Table[[#This Row],[NumStorePurchases]]</f>
        <v>16</v>
      </c>
    </row>
    <row r="1932" spans="1:20" ht="12.5">
      <c r="A1932" s="6">
        <v>1930</v>
      </c>
      <c r="B1932" s="6">
        <v>5734</v>
      </c>
      <c r="C1932" s="6">
        <v>1974</v>
      </c>
      <c r="D1932" s="6">
        <f t="shared" si="120"/>
        <v>51</v>
      </c>
      <c r="E1932" s="7" t="s">
        <v>12</v>
      </c>
      <c r="F1932" s="7" t="s">
        <v>13</v>
      </c>
      <c r="G1932" s="6">
        <v>61917</v>
      </c>
      <c r="H1932" s="6" t="str" cm="1">
        <f t="array" ref="H1932">_xlfn.IFS(
  G1932 &lt; 25000, "Low",
  AND(G1932 &gt;= 25000, G1932 &lt; 75000), "Medium",
  AND(G1932 &gt;= 75000, G1932 &lt; 150000), "High",
  G1932 &gt;= 150000, "Very High"
)</f>
        <v>Medium</v>
      </c>
      <c r="I1932" s="6">
        <v>1</v>
      </c>
      <c r="J1932" s="6">
        <v>1</v>
      </c>
      <c r="K1932" s="6">
        <f t="shared" si="121"/>
        <v>2</v>
      </c>
      <c r="L1932" s="9">
        <v>41598</v>
      </c>
      <c r="M1932" t="str">
        <f t="shared" ca="1" si="122"/>
        <v>12 years, 3 months</v>
      </c>
      <c r="N1932" s="6">
        <v>83</v>
      </c>
      <c r="O1932">
        <v>4</v>
      </c>
      <c r="P1932">
        <v>2</v>
      </c>
      <c r="Q1932">
        <f t="shared" si="123"/>
        <v>6</v>
      </c>
      <c r="R1932">
        <v>2</v>
      </c>
      <c r="S1932">
        <v>4</v>
      </c>
      <c r="T1932">
        <f>Table[[#This Row],[NumWebPurchases]]+Table[[#This Row],[NumStorePurchases]]</f>
        <v>6</v>
      </c>
    </row>
    <row r="1933" spans="1:20" ht="12.5">
      <c r="A1933" s="6">
        <v>1931</v>
      </c>
      <c r="B1933" s="6">
        <v>2878</v>
      </c>
      <c r="C1933" s="6">
        <v>1947</v>
      </c>
      <c r="D1933" s="6">
        <f t="shared" si="120"/>
        <v>78</v>
      </c>
      <c r="E1933" s="7" t="s">
        <v>12</v>
      </c>
      <c r="F1933" s="7" t="s">
        <v>13</v>
      </c>
      <c r="G1933" s="6">
        <v>67472</v>
      </c>
      <c r="H1933" s="6" t="str" cm="1">
        <f t="array" ref="H1933">_xlfn.IFS(
  G1933 &lt; 25000, "Low",
  AND(G1933 &gt;= 25000, G1933 &lt; 75000), "Medium",
  AND(G1933 &gt;= 75000, G1933 &lt; 150000), "High",
  G1933 &gt;= 150000, "Very High"
)</f>
        <v>Medium</v>
      </c>
      <c r="I1933" s="6">
        <v>0</v>
      </c>
      <c r="J1933" s="6">
        <v>1</v>
      </c>
      <c r="K1933" s="6">
        <f t="shared" si="121"/>
        <v>1</v>
      </c>
      <c r="L1933" s="8">
        <v>41545</v>
      </c>
      <c r="M1933" t="str">
        <f t="shared" ca="1" si="122"/>
        <v>12 years, 5 months</v>
      </c>
      <c r="N1933" s="6">
        <v>93</v>
      </c>
      <c r="O1933">
        <v>31</v>
      </c>
      <c r="P1933">
        <v>17</v>
      </c>
      <c r="Q1933">
        <f t="shared" si="123"/>
        <v>48</v>
      </c>
      <c r="R1933">
        <v>4</v>
      </c>
      <c r="S1933">
        <v>7</v>
      </c>
      <c r="T1933">
        <f>Table[[#This Row],[NumWebPurchases]]+Table[[#This Row],[NumStorePurchases]]</f>
        <v>11</v>
      </c>
    </row>
    <row r="1934" spans="1:20" ht="12.5">
      <c r="A1934" s="6">
        <v>1932</v>
      </c>
      <c r="B1934" s="6">
        <v>1458</v>
      </c>
      <c r="C1934" s="6">
        <v>1982</v>
      </c>
      <c r="D1934" s="6">
        <f t="shared" si="120"/>
        <v>43</v>
      </c>
      <c r="E1934" s="7" t="s">
        <v>14</v>
      </c>
      <c r="F1934" s="7" t="s">
        <v>13</v>
      </c>
      <c r="G1934" s="6">
        <v>21059</v>
      </c>
      <c r="H1934" s="6" t="str" cm="1">
        <f t="array" ref="H1934">_xlfn.IFS(
  G1934 &lt; 25000, "Low",
  AND(G1934 &gt;= 25000, G1934 &lt; 75000), "Medium",
  AND(G1934 &gt;= 75000, G1934 &lt; 150000), "High",
  G1934 &gt;= 150000, "Very High"
)</f>
        <v>Low</v>
      </c>
      <c r="I1934" s="6">
        <v>1</v>
      </c>
      <c r="J1934" s="6">
        <v>0</v>
      </c>
      <c r="K1934" s="6">
        <f t="shared" si="121"/>
        <v>1</v>
      </c>
      <c r="L1934" s="8">
        <v>41646</v>
      </c>
      <c r="M1934" t="str">
        <f t="shared" ca="1" si="122"/>
        <v>12 years, 1 months</v>
      </c>
      <c r="N1934" s="6">
        <v>40</v>
      </c>
      <c r="O1934">
        <v>3</v>
      </c>
      <c r="P1934">
        <v>3</v>
      </c>
      <c r="Q1934">
        <f t="shared" si="123"/>
        <v>6</v>
      </c>
      <c r="R1934">
        <v>3</v>
      </c>
      <c r="S1934">
        <v>3</v>
      </c>
      <c r="T1934">
        <f>Table[[#This Row],[NumWebPurchases]]+Table[[#This Row],[NumStorePurchases]]</f>
        <v>6</v>
      </c>
    </row>
    <row r="1935" spans="1:20" ht="12.5">
      <c r="A1935" s="6">
        <v>1933</v>
      </c>
      <c r="B1935" s="6">
        <v>7007</v>
      </c>
      <c r="C1935" s="6">
        <v>1968</v>
      </c>
      <c r="D1935" s="6">
        <f t="shared" si="120"/>
        <v>57</v>
      </c>
      <c r="E1935" s="7" t="s">
        <v>14</v>
      </c>
      <c r="F1935" s="7" t="s">
        <v>13</v>
      </c>
      <c r="G1935" s="6">
        <v>29543</v>
      </c>
      <c r="H1935" s="6" t="str" cm="1">
        <f t="array" ref="H1935">_xlfn.IFS(
  G1935 &lt; 25000, "Low",
  AND(G1935 &gt;= 25000, G1935 &lt; 75000), "Medium",
  AND(G1935 &gt;= 75000, G1935 &lt; 150000), "High",
  G1935 &gt;= 150000, "Very High"
)</f>
        <v>Medium</v>
      </c>
      <c r="I1935" s="6">
        <v>2</v>
      </c>
      <c r="J1935" s="6">
        <v>0</v>
      </c>
      <c r="K1935" s="6">
        <f t="shared" si="121"/>
        <v>2</v>
      </c>
      <c r="L1935" s="8">
        <v>41730</v>
      </c>
      <c r="M1935" t="str">
        <f t="shared" ca="1" si="122"/>
        <v>11 years, 11 months</v>
      </c>
      <c r="N1935" s="6">
        <v>47</v>
      </c>
      <c r="O1935">
        <v>3</v>
      </c>
      <c r="P1935">
        <v>4</v>
      </c>
      <c r="Q1935">
        <f t="shared" si="123"/>
        <v>7</v>
      </c>
      <c r="R1935">
        <v>3</v>
      </c>
      <c r="S1935">
        <v>2</v>
      </c>
      <c r="T1935">
        <f>Table[[#This Row],[NumWebPurchases]]+Table[[#This Row],[NumStorePurchases]]</f>
        <v>5</v>
      </c>
    </row>
    <row r="1936" spans="1:20" ht="12.5">
      <c r="A1936" s="6">
        <v>1934</v>
      </c>
      <c r="B1936" s="6">
        <v>6200</v>
      </c>
      <c r="C1936" s="6">
        <v>1951</v>
      </c>
      <c r="D1936" s="6">
        <f t="shared" si="120"/>
        <v>74</v>
      </c>
      <c r="E1936" s="7" t="s">
        <v>9</v>
      </c>
      <c r="F1936" s="7" t="s">
        <v>13</v>
      </c>
      <c r="G1936" s="6">
        <v>75903</v>
      </c>
      <c r="H1936" s="6" t="str" cm="1">
        <f t="array" ref="H1936">_xlfn.IFS(
  G1936 &lt; 25000, "Low",
  AND(G1936 &gt;= 25000, G1936 &lt; 75000), "Medium",
  AND(G1936 &gt;= 75000, G1936 &lt; 150000), "High",
  G1936 &gt;= 150000, "Very High"
)</f>
        <v>High</v>
      </c>
      <c r="I1936" s="6">
        <v>0</v>
      </c>
      <c r="J1936" s="6">
        <v>1</v>
      </c>
      <c r="K1936" s="6">
        <f t="shared" si="121"/>
        <v>1</v>
      </c>
      <c r="L1936" s="8">
        <v>41372</v>
      </c>
      <c r="M1936" t="str">
        <f t="shared" ca="1" si="122"/>
        <v>12 years, 10 months</v>
      </c>
      <c r="N1936" s="6">
        <v>50</v>
      </c>
      <c r="O1936">
        <v>108</v>
      </c>
      <c r="P1936">
        <v>38</v>
      </c>
      <c r="Q1936">
        <f t="shared" si="123"/>
        <v>146</v>
      </c>
      <c r="R1936">
        <v>6</v>
      </c>
      <c r="S1936">
        <v>9</v>
      </c>
      <c r="T1936">
        <f>Table[[#This Row],[NumWebPurchases]]+Table[[#This Row],[NumStorePurchases]]</f>
        <v>15</v>
      </c>
    </row>
    <row r="1937" spans="1:20" ht="12.5">
      <c r="A1937" s="6">
        <v>1935</v>
      </c>
      <c r="B1937" s="6">
        <v>1403</v>
      </c>
      <c r="C1937" s="6">
        <v>1975</v>
      </c>
      <c r="D1937" s="6">
        <f t="shared" si="120"/>
        <v>50</v>
      </c>
      <c r="E1937" s="7" t="s">
        <v>17</v>
      </c>
      <c r="F1937" s="7" t="s">
        <v>11</v>
      </c>
      <c r="G1937" s="6">
        <v>34984</v>
      </c>
      <c r="H1937" s="6" t="str" cm="1">
        <f t="array" ref="H1937">_xlfn.IFS(
  G1937 &lt; 25000, "Low",
  AND(G1937 &gt;= 25000, G1937 &lt; 75000), "Medium",
  AND(G1937 &gt;= 75000, G1937 &lt; 150000), "High",
  G1937 &gt;= 150000, "Very High"
)</f>
        <v>Medium</v>
      </c>
      <c r="I1937" s="6">
        <v>1</v>
      </c>
      <c r="J1937" s="6">
        <v>1</v>
      </c>
      <c r="K1937" s="6">
        <f t="shared" si="121"/>
        <v>2</v>
      </c>
      <c r="L1937" s="8">
        <v>41158</v>
      </c>
      <c r="M1937" t="str">
        <f t="shared" ca="1" si="122"/>
        <v>13 years, 6 months</v>
      </c>
      <c r="N1937" s="6">
        <v>40</v>
      </c>
      <c r="O1937">
        <v>4</v>
      </c>
      <c r="P1937">
        <v>5</v>
      </c>
      <c r="Q1937">
        <f t="shared" si="123"/>
        <v>9</v>
      </c>
      <c r="R1937">
        <v>1</v>
      </c>
      <c r="S1937">
        <v>3</v>
      </c>
      <c r="T1937">
        <f>Table[[#This Row],[NumWebPurchases]]+Table[[#This Row],[NumStorePurchases]]</f>
        <v>4</v>
      </c>
    </row>
    <row r="1938" spans="1:20" ht="12.5">
      <c r="A1938" s="6">
        <v>1936</v>
      </c>
      <c r="B1938" s="6">
        <v>4827</v>
      </c>
      <c r="C1938" s="6">
        <v>1956</v>
      </c>
      <c r="D1938" s="6">
        <f t="shared" si="120"/>
        <v>69</v>
      </c>
      <c r="E1938" s="7" t="s">
        <v>12</v>
      </c>
      <c r="F1938" s="7" t="s">
        <v>10</v>
      </c>
      <c r="G1938" s="6">
        <v>54998</v>
      </c>
      <c r="H1938" s="6" t="str" cm="1">
        <f t="array" ref="H1938">_xlfn.IFS(
  G1938 &lt; 25000, "Low",
  AND(G1938 &gt;= 25000, G1938 &lt; 75000), "Medium",
  AND(G1938 &gt;= 75000, G1938 &lt; 150000), "High",
  G1938 &gt;= 150000, "Very High"
)</f>
        <v>Medium</v>
      </c>
      <c r="I1938" s="6">
        <v>0</v>
      </c>
      <c r="J1938" s="6">
        <v>1</v>
      </c>
      <c r="K1938" s="6">
        <f t="shared" si="121"/>
        <v>1</v>
      </c>
      <c r="L1938" s="8">
        <v>41343</v>
      </c>
      <c r="M1938" t="str">
        <f t="shared" ca="1" si="122"/>
        <v>12 years, 11 months</v>
      </c>
      <c r="N1938" s="6">
        <v>3</v>
      </c>
      <c r="O1938">
        <v>22</v>
      </c>
      <c r="P1938">
        <v>30</v>
      </c>
      <c r="Q1938">
        <f t="shared" si="123"/>
        <v>52</v>
      </c>
      <c r="R1938">
        <v>4</v>
      </c>
      <c r="S1938">
        <v>9</v>
      </c>
      <c r="T1938">
        <f>Table[[#This Row],[NumWebPurchases]]+Table[[#This Row],[NumStorePurchases]]</f>
        <v>13</v>
      </c>
    </row>
    <row r="1939" spans="1:20" ht="12.5">
      <c r="A1939" s="6">
        <v>1937</v>
      </c>
      <c r="B1939" s="6">
        <v>6250</v>
      </c>
      <c r="C1939" s="6">
        <v>1949</v>
      </c>
      <c r="D1939" s="6">
        <f t="shared" si="120"/>
        <v>76</v>
      </c>
      <c r="E1939" s="7" t="s">
        <v>12</v>
      </c>
      <c r="F1939" s="7" t="s">
        <v>18</v>
      </c>
      <c r="G1939" s="6">
        <v>54356</v>
      </c>
      <c r="H1939" s="6" t="str" cm="1">
        <f t="array" ref="H1939">_xlfn.IFS(
  G1939 &lt; 25000, "Low",
  AND(G1939 &gt;= 25000, G1939 &lt; 75000), "Medium",
  AND(G1939 &gt;= 75000, G1939 &lt; 150000), "High",
  G1939 &gt;= 150000, "Very High"
)</f>
        <v>Medium</v>
      </c>
      <c r="I1939" s="6">
        <v>0</v>
      </c>
      <c r="J1939" s="6">
        <v>1</v>
      </c>
      <c r="K1939" s="6">
        <f t="shared" si="121"/>
        <v>1</v>
      </c>
      <c r="L1939" s="9">
        <v>41232</v>
      </c>
      <c r="M1939" t="str">
        <f t="shared" ca="1" si="122"/>
        <v>13 years, 3 months</v>
      </c>
      <c r="N1939" s="6">
        <v>62</v>
      </c>
      <c r="O1939">
        <v>15</v>
      </c>
      <c r="P1939">
        <v>0</v>
      </c>
      <c r="Q1939">
        <f t="shared" si="123"/>
        <v>15</v>
      </c>
      <c r="R1939">
        <v>11</v>
      </c>
      <c r="S1939">
        <v>8</v>
      </c>
      <c r="T1939">
        <f>Table[[#This Row],[NumWebPurchases]]+Table[[#This Row],[NumStorePurchases]]</f>
        <v>19</v>
      </c>
    </row>
    <row r="1940" spans="1:20" ht="12.5">
      <c r="A1940" s="6">
        <v>1938</v>
      </c>
      <c r="B1940" s="6">
        <v>9291</v>
      </c>
      <c r="C1940" s="6">
        <v>1959</v>
      </c>
      <c r="D1940" s="6">
        <f t="shared" si="120"/>
        <v>66</v>
      </c>
      <c r="E1940" s="7" t="s">
        <v>14</v>
      </c>
      <c r="F1940" s="7" t="s">
        <v>13</v>
      </c>
      <c r="G1940" s="6">
        <v>34242</v>
      </c>
      <c r="H1940" s="6" t="str" cm="1">
        <f t="array" ref="H1940">_xlfn.IFS(
  G1940 &lt; 25000, "Low",
  AND(G1940 &gt;= 25000, G1940 &lt; 75000), "Medium",
  AND(G1940 &gt;= 75000, G1940 &lt; 150000), "High",
  G1940 &gt;= 150000, "Very High"
)</f>
        <v>Medium</v>
      </c>
      <c r="I1940" s="6">
        <v>0</v>
      </c>
      <c r="J1940" s="6">
        <v>1</v>
      </c>
      <c r="K1940" s="6">
        <f t="shared" si="121"/>
        <v>1</v>
      </c>
      <c r="L1940" s="8">
        <v>41721</v>
      </c>
      <c r="M1940" t="str">
        <f t="shared" ca="1" si="122"/>
        <v>11 years, 11 months</v>
      </c>
      <c r="N1940" s="6">
        <v>25</v>
      </c>
      <c r="O1940">
        <v>2</v>
      </c>
      <c r="P1940">
        <v>0</v>
      </c>
      <c r="Q1940">
        <f t="shared" si="123"/>
        <v>2</v>
      </c>
      <c r="R1940">
        <v>0</v>
      </c>
      <c r="S1940">
        <v>3</v>
      </c>
      <c r="T1940">
        <f>Table[[#This Row],[NumWebPurchases]]+Table[[#This Row],[NumStorePurchases]]</f>
        <v>3</v>
      </c>
    </row>
    <row r="1941" spans="1:20" ht="12.5">
      <c r="A1941" s="6">
        <v>1939</v>
      </c>
      <c r="B1941" s="6">
        <v>2478</v>
      </c>
      <c r="C1941" s="6">
        <v>1973</v>
      </c>
      <c r="D1941" s="6">
        <f t="shared" si="120"/>
        <v>52</v>
      </c>
      <c r="E1941" s="7" t="s">
        <v>9</v>
      </c>
      <c r="F1941" s="7" t="s">
        <v>13</v>
      </c>
      <c r="G1941" s="6">
        <v>25410</v>
      </c>
      <c r="H1941" s="6" t="str" cm="1">
        <f t="array" ref="H1941">_xlfn.IFS(
  G1941 &lt; 25000, "Low",
  AND(G1941 &gt;= 25000, G1941 &lt; 75000), "Medium",
  AND(G1941 &gt;= 75000, G1941 &lt; 150000), "High",
  G1941 &gt;= 150000, "Very High"
)</f>
        <v>Medium</v>
      </c>
      <c r="I1941" s="6">
        <v>1</v>
      </c>
      <c r="J1941" s="6">
        <v>0</v>
      </c>
      <c r="K1941" s="6">
        <f t="shared" si="121"/>
        <v>1</v>
      </c>
      <c r="L1941" s="8">
        <v>41517</v>
      </c>
      <c r="M1941" t="str">
        <f t="shared" ca="1" si="122"/>
        <v>12 years, 6 months</v>
      </c>
      <c r="N1941" s="6">
        <v>48</v>
      </c>
      <c r="O1941">
        <v>2</v>
      </c>
      <c r="P1941">
        <v>13</v>
      </c>
      <c r="Q1941">
        <f t="shared" si="123"/>
        <v>15</v>
      </c>
      <c r="R1941">
        <v>1</v>
      </c>
      <c r="S1941">
        <v>4</v>
      </c>
      <c r="T1941">
        <f>Table[[#This Row],[NumWebPurchases]]+Table[[#This Row],[NumStorePurchases]]</f>
        <v>5</v>
      </c>
    </row>
    <row r="1942" spans="1:20" ht="12.5">
      <c r="A1942" s="6">
        <v>1940</v>
      </c>
      <c r="B1942" s="6">
        <v>1139</v>
      </c>
      <c r="C1942" s="6">
        <v>1984</v>
      </c>
      <c r="D1942" s="6">
        <f t="shared" si="120"/>
        <v>41</v>
      </c>
      <c r="E1942" s="7" t="s">
        <v>12</v>
      </c>
      <c r="F1942" s="7" t="s">
        <v>13</v>
      </c>
      <c r="G1942" s="6">
        <v>73356</v>
      </c>
      <c r="H1942" s="6" t="str" cm="1">
        <f t="array" ref="H1942">_xlfn.IFS(
  G1942 &lt; 25000, "Low",
  AND(G1942 &gt;= 25000, G1942 &lt; 75000), "Medium",
  AND(G1942 &gt;= 75000, G1942 &lt; 150000), "High",
  G1942 &gt;= 150000, "Very High"
)</f>
        <v>Medium</v>
      </c>
      <c r="I1942" s="6">
        <v>0</v>
      </c>
      <c r="J1942" s="6">
        <v>0</v>
      </c>
      <c r="K1942" s="6">
        <f t="shared" si="121"/>
        <v>0</v>
      </c>
      <c r="L1942" s="8">
        <v>41676</v>
      </c>
      <c r="M1942" t="str">
        <f t="shared" ca="1" si="122"/>
        <v>12 years, 1 months</v>
      </c>
      <c r="N1942" s="6">
        <v>56</v>
      </c>
      <c r="O1942">
        <v>14</v>
      </c>
      <c r="P1942">
        <v>14</v>
      </c>
      <c r="Q1942">
        <f t="shared" si="123"/>
        <v>28</v>
      </c>
      <c r="R1942">
        <v>5</v>
      </c>
      <c r="S1942">
        <v>5</v>
      </c>
      <c r="T1942">
        <f>Table[[#This Row],[NumWebPurchases]]+Table[[#This Row],[NumStorePurchases]]</f>
        <v>10</v>
      </c>
    </row>
    <row r="1943" spans="1:20" ht="12.5">
      <c r="A1943" s="6">
        <v>1941</v>
      </c>
      <c r="B1943" s="6">
        <v>5138</v>
      </c>
      <c r="C1943" s="6">
        <v>1950</v>
      </c>
      <c r="D1943" s="6">
        <f t="shared" si="120"/>
        <v>75</v>
      </c>
      <c r="E1943" s="7" t="s">
        <v>9</v>
      </c>
      <c r="F1943" s="7" t="s">
        <v>11</v>
      </c>
      <c r="G1943" s="6">
        <v>28320</v>
      </c>
      <c r="H1943" s="6" t="str" cm="1">
        <f t="array" ref="H1943">_xlfn.IFS(
  G1943 &lt; 25000, "Low",
  AND(G1943 &gt;= 25000, G1943 &lt; 75000), "Medium",
  AND(G1943 &gt;= 75000, G1943 &lt; 150000), "High",
  G1943 &gt;= 150000, "Very High"
)</f>
        <v>Medium</v>
      </c>
      <c r="I1943" s="6">
        <v>0</v>
      </c>
      <c r="J1943" s="6">
        <v>1</v>
      </c>
      <c r="K1943" s="6">
        <f t="shared" si="121"/>
        <v>1</v>
      </c>
      <c r="L1943" s="8">
        <v>41288</v>
      </c>
      <c r="M1943" t="str">
        <f t="shared" ca="1" si="122"/>
        <v>13 years, 1 months</v>
      </c>
      <c r="N1943" s="6">
        <v>68</v>
      </c>
      <c r="O1943">
        <v>1</v>
      </c>
      <c r="P1943">
        <v>2</v>
      </c>
      <c r="Q1943">
        <f t="shared" si="123"/>
        <v>3</v>
      </c>
      <c r="R1943">
        <v>1</v>
      </c>
      <c r="S1943">
        <v>3</v>
      </c>
      <c r="T1943">
        <f>Table[[#This Row],[NumWebPurchases]]+Table[[#This Row],[NumStorePurchases]]</f>
        <v>4</v>
      </c>
    </row>
    <row r="1944" spans="1:20" ht="12.5">
      <c r="A1944" s="6">
        <v>1942</v>
      </c>
      <c r="B1944" s="6">
        <v>5393</v>
      </c>
      <c r="C1944" s="6">
        <v>1977</v>
      </c>
      <c r="D1944" s="6">
        <f t="shared" si="120"/>
        <v>48</v>
      </c>
      <c r="E1944" s="7" t="s">
        <v>9</v>
      </c>
      <c r="F1944" s="7" t="s">
        <v>10</v>
      </c>
      <c r="G1944" s="6">
        <v>23763</v>
      </c>
      <c r="H1944" s="6" t="str" cm="1">
        <f t="array" ref="H1944">_xlfn.IFS(
  G1944 &lt; 25000, "Low",
  AND(G1944 &gt;= 25000, G1944 &lt; 75000), "Medium",
  AND(G1944 &gt;= 75000, G1944 &lt; 150000), "High",
  G1944 &gt;= 150000, "Very High"
)</f>
        <v>Low</v>
      </c>
      <c r="I1944" s="6">
        <v>1</v>
      </c>
      <c r="J1944" s="6">
        <v>0</v>
      </c>
      <c r="K1944" s="6">
        <f t="shared" si="121"/>
        <v>1</v>
      </c>
      <c r="L1944" s="8">
        <v>41128</v>
      </c>
      <c r="M1944" t="str">
        <f t="shared" ca="1" si="122"/>
        <v>13 years, 6 months</v>
      </c>
      <c r="N1944" s="6">
        <v>64</v>
      </c>
      <c r="O1944">
        <v>0</v>
      </c>
      <c r="P1944">
        <v>2</v>
      </c>
      <c r="Q1944">
        <f t="shared" si="123"/>
        <v>2</v>
      </c>
      <c r="R1944">
        <v>1</v>
      </c>
      <c r="S1944">
        <v>3</v>
      </c>
      <c r="T1944">
        <f>Table[[#This Row],[NumWebPurchases]]+Table[[#This Row],[NumStorePurchases]]</f>
        <v>4</v>
      </c>
    </row>
    <row r="1945" spans="1:20" ht="12.5">
      <c r="A1945" s="6">
        <v>1943</v>
      </c>
      <c r="B1945" s="6">
        <v>10413</v>
      </c>
      <c r="C1945" s="6">
        <v>1984</v>
      </c>
      <c r="D1945" s="6">
        <f t="shared" si="120"/>
        <v>41</v>
      </c>
      <c r="E1945" s="7" t="s">
        <v>9</v>
      </c>
      <c r="F1945" s="7" t="s">
        <v>13</v>
      </c>
      <c r="G1945" s="6">
        <v>72570</v>
      </c>
      <c r="H1945" s="6" t="str" cm="1">
        <f t="array" ref="H1945">_xlfn.IFS(
  G1945 &lt; 25000, "Low",
  AND(G1945 &gt;= 25000, G1945 &lt; 75000), "Medium",
  AND(G1945 &gt;= 75000, G1945 &lt; 150000), "High",
  G1945 &gt;= 150000, "Very High"
)</f>
        <v>Medium</v>
      </c>
      <c r="I1945" s="6">
        <v>0</v>
      </c>
      <c r="J1945" s="6">
        <v>0</v>
      </c>
      <c r="K1945" s="6">
        <f t="shared" si="121"/>
        <v>0</v>
      </c>
      <c r="L1945" s="8">
        <v>41754</v>
      </c>
      <c r="M1945" t="str">
        <f t="shared" ca="1" si="122"/>
        <v>11 years, 10 months</v>
      </c>
      <c r="N1945" s="6">
        <v>67</v>
      </c>
      <c r="O1945">
        <v>83</v>
      </c>
      <c r="P1945">
        <v>141</v>
      </c>
      <c r="Q1945">
        <f t="shared" si="123"/>
        <v>224</v>
      </c>
      <c r="R1945">
        <v>4</v>
      </c>
      <c r="S1945">
        <v>12</v>
      </c>
      <c r="T1945">
        <f>Table[[#This Row],[NumWebPurchases]]+Table[[#This Row],[NumStorePurchases]]</f>
        <v>16</v>
      </c>
    </row>
    <row r="1946" spans="1:20" ht="12.5">
      <c r="A1946" s="6">
        <v>1944</v>
      </c>
      <c r="B1946" s="6">
        <v>5015</v>
      </c>
      <c r="C1946" s="6">
        <v>1976</v>
      </c>
      <c r="D1946" s="6">
        <f t="shared" si="120"/>
        <v>49</v>
      </c>
      <c r="E1946" s="7" t="s">
        <v>14</v>
      </c>
      <c r="F1946" s="7" t="s">
        <v>13</v>
      </c>
      <c r="G1946" s="6">
        <v>34529</v>
      </c>
      <c r="H1946" s="6" t="str" cm="1">
        <f t="array" ref="H1946">_xlfn.IFS(
  G1946 &lt; 25000, "Low",
  AND(G1946 &gt;= 25000, G1946 &lt; 75000), "Medium",
  AND(G1946 &gt;= 75000, G1946 &lt; 150000), "High",
  G1946 &gt;= 150000, "Very High"
)</f>
        <v>Medium</v>
      </c>
      <c r="I1946" s="6">
        <v>1</v>
      </c>
      <c r="J1946" s="6">
        <v>0</v>
      </c>
      <c r="K1946" s="6">
        <f t="shared" si="121"/>
        <v>1</v>
      </c>
      <c r="L1946" s="8">
        <v>41166</v>
      </c>
      <c r="M1946" t="str">
        <f t="shared" ca="1" si="122"/>
        <v>13 years, 5 months</v>
      </c>
      <c r="N1946" s="6">
        <v>94</v>
      </c>
      <c r="O1946">
        <v>6</v>
      </c>
      <c r="P1946">
        <v>6</v>
      </c>
      <c r="Q1946">
        <f t="shared" si="123"/>
        <v>12</v>
      </c>
      <c r="R1946">
        <v>2</v>
      </c>
      <c r="S1946">
        <v>3</v>
      </c>
      <c r="T1946">
        <f>Table[[#This Row],[NumWebPurchases]]+Table[[#This Row],[NumStorePurchases]]</f>
        <v>5</v>
      </c>
    </row>
    <row r="1947" spans="1:20" ht="12.5">
      <c r="A1947" s="6">
        <v>1945</v>
      </c>
      <c r="B1947" s="6">
        <v>10868</v>
      </c>
      <c r="C1947" s="6">
        <v>1951</v>
      </c>
      <c r="D1947" s="6">
        <f t="shared" si="120"/>
        <v>74</v>
      </c>
      <c r="E1947" s="7" t="s">
        <v>9</v>
      </c>
      <c r="F1947" s="7" t="s">
        <v>18</v>
      </c>
      <c r="G1947" s="6">
        <v>70792</v>
      </c>
      <c r="H1947" s="6" t="str" cm="1">
        <f t="array" ref="H1947">_xlfn.IFS(
  G1947 &lt; 25000, "Low",
  AND(G1947 &gt;= 25000, G1947 &lt; 75000), "Medium",
  AND(G1947 &gt;= 75000, G1947 &lt; 150000), "High",
  G1947 &gt;= 150000, "Very High"
)</f>
        <v>Medium</v>
      </c>
      <c r="I1947" s="6">
        <v>0</v>
      </c>
      <c r="J1947" s="6">
        <v>0</v>
      </c>
      <c r="K1947" s="6">
        <f t="shared" si="121"/>
        <v>0</v>
      </c>
      <c r="L1947" s="8">
        <v>41311</v>
      </c>
      <c r="M1947" t="str">
        <f t="shared" ca="1" si="122"/>
        <v>13 years, 1 months</v>
      </c>
      <c r="N1947" s="6">
        <v>82</v>
      </c>
      <c r="O1947">
        <v>45</v>
      </c>
      <c r="P1947">
        <v>11</v>
      </c>
      <c r="Q1947">
        <f t="shared" si="123"/>
        <v>56</v>
      </c>
      <c r="R1947">
        <v>3</v>
      </c>
      <c r="S1947">
        <v>10</v>
      </c>
      <c r="T1947">
        <f>Table[[#This Row],[NumWebPurchases]]+Table[[#This Row],[NumStorePurchases]]</f>
        <v>13</v>
      </c>
    </row>
    <row r="1948" spans="1:20" ht="12.5">
      <c r="A1948" s="6">
        <v>1946</v>
      </c>
      <c r="B1948" s="6">
        <v>10676</v>
      </c>
      <c r="C1948" s="6">
        <v>1982</v>
      </c>
      <c r="D1948" s="6">
        <f t="shared" si="120"/>
        <v>43</v>
      </c>
      <c r="E1948" s="7" t="s">
        <v>9</v>
      </c>
      <c r="F1948" s="7" t="s">
        <v>13</v>
      </c>
      <c r="G1948" s="6">
        <v>63211</v>
      </c>
      <c r="H1948" s="6" t="str" cm="1">
        <f t="array" ref="H1948">_xlfn.IFS(
  G1948 &lt; 25000, "Low",
  AND(G1948 &gt;= 25000, G1948 &lt; 75000), "Medium",
  AND(G1948 &gt;= 75000, G1948 &lt; 150000), "High",
  G1948 &gt;= 150000, "Very High"
)</f>
        <v>Medium</v>
      </c>
      <c r="I1948" s="6">
        <v>0</v>
      </c>
      <c r="J1948" s="6">
        <v>0</v>
      </c>
      <c r="K1948" s="6">
        <f t="shared" si="121"/>
        <v>0</v>
      </c>
      <c r="L1948" s="8">
        <v>41215</v>
      </c>
      <c r="M1948" t="str">
        <f t="shared" ca="1" si="122"/>
        <v>13 years, 4 months</v>
      </c>
      <c r="N1948" s="6">
        <v>3</v>
      </c>
      <c r="O1948">
        <v>193</v>
      </c>
      <c r="P1948">
        <v>26</v>
      </c>
      <c r="Q1948">
        <f t="shared" si="123"/>
        <v>219</v>
      </c>
      <c r="R1948">
        <v>3</v>
      </c>
      <c r="S1948">
        <v>7</v>
      </c>
      <c r="T1948">
        <f>Table[[#This Row],[NumWebPurchases]]+Table[[#This Row],[NumStorePurchases]]</f>
        <v>10</v>
      </c>
    </row>
    <row r="1949" spans="1:20" ht="12.5">
      <c r="A1949" s="6">
        <v>1947</v>
      </c>
      <c r="B1949" s="6">
        <v>2495</v>
      </c>
      <c r="C1949" s="6">
        <v>1974</v>
      </c>
      <c r="D1949" s="6">
        <f t="shared" si="120"/>
        <v>51</v>
      </c>
      <c r="E1949" s="7" t="s">
        <v>14</v>
      </c>
      <c r="F1949" s="7" t="s">
        <v>13</v>
      </c>
      <c r="G1949" s="6">
        <v>83891</v>
      </c>
      <c r="H1949" s="6" t="str" cm="1">
        <f t="array" ref="H1949">_xlfn.IFS(
  G1949 &lt; 25000, "Low",
  AND(G1949 &gt;= 25000, G1949 &lt; 75000), "Medium",
  AND(G1949 &gt;= 75000, G1949 &lt; 150000), "High",
  G1949 &gt;= 150000, "Very High"
)</f>
        <v>High</v>
      </c>
      <c r="I1949" s="6">
        <v>0</v>
      </c>
      <c r="J1949" s="6">
        <v>1</v>
      </c>
      <c r="K1949" s="6">
        <f t="shared" si="121"/>
        <v>1</v>
      </c>
      <c r="L1949" s="8">
        <v>41810</v>
      </c>
      <c r="M1949" t="str">
        <f t="shared" ca="1" si="122"/>
        <v>11 years, 8 months</v>
      </c>
      <c r="N1949" s="6">
        <v>24</v>
      </c>
      <c r="O1949">
        <v>38</v>
      </c>
      <c r="P1949">
        <v>85</v>
      </c>
      <c r="Q1949">
        <f t="shared" si="123"/>
        <v>123</v>
      </c>
      <c r="R1949">
        <v>4</v>
      </c>
      <c r="S1949">
        <v>10</v>
      </c>
      <c r="T1949">
        <f>Table[[#This Row],[NumWebPurchases]]+Table[[#This Row],[NumStorePurchases]]</f>
        <v>14</v>
      </c>
    </row>
    <row r="1950" spans="1:20" ht="12.5">
      <c r="A1950" s="6">
        <v>1948</v>
      </c>
      <c r="B1950" s="6">
        <v>7842</v>
      </c>
      <c r="C1950" s="6">
        <v>1968</v>
      </c>
      <c r="D1950" s="6">
        <f t="shared" si="120"/>
        <v>57</v>
      </c>
      <c r="E1950" s="7" t="s">
        <v>9</v>
      </c>
      <c r="F1950" s="7" t="s">
        <v>10</v>
      </c>
      <c r="G1950" s="6">
        <v>36065</v>
      </c>
      <c r="H1950" s="6" t="str" cm="1">
        <f t="array" ref="H1950">_xlfn.IFS(
  G1950 &lt; 25000, "Low",
  AND(G1950 &gt;= 25000, G1950 &lt; 75000), "Medium",
  AND(G1950 &gt;= 75000, G1950 &lt; 150000), "High",
  G1950 &gt;= 150000, "Very High"
)</f>
        <v>Medium</v>
      </c>
      <c r="I1950" s="6">
        <v>1</v>
      </c>
      <c r="J1950" s="6">
        <v>1</v>
      </c>
      <c r="K1950" s="6">
        <f t="shared" si="121"/>
        <v>2</v>
      </c>
      <c r="L1950" s="8">
        <v>41364</v>
      </c>
      <c r="M1950" t="str">
        <f t="shared" ca="1" si="122"/>
        <v>12 years, 11 months</v>
      </c>
      <c r="N1950" s="6">
        <v>54</v>
      </c>
      <c r="O1950">
        <v>7</v>
      </c>
      <c r="P1950">
        <v>2</v>
      </c>
      <c r="Q1950">
        <f t="shared" si="123"/>
        <v>9</v>
      </c>
      <c r="R1950">
        <v>3</v>
      </c>
      <c r="S1950">
        <v>3</v>
      </c>
      <c r="T1950">
        <f>Table[[#This Row],[NumWebPurchases]]+Table[[#This Row],[NumStorePurchases]]</f>
        <v>6</v>
      </c>
    </row>
    <row r="1951" spans="1:20" ht="12.5">
      <c r="A1951" s="6">
        <v>1949</v>
      </c>
      <c r="B1951" s="6">
        <v>9955</v>
      </c>
      <c r="C1951" s="6">
        <v>1954</v>
      </c>
      <c r="D1951" s="6">
        <f t="shared" si="120"/>
        <v>71</v>
      </c>
      <c r="E1951" s="7" t="s">
        <v>9</v>
      </c>
      <c r="F1951" s="7" t="s">
        <v>11</v>
      </c>
      <c r="G1951" s="6">
        <v>39898</v>
      </c>
      <c r="H1951" s="6" t="str" cm="1">
        <f t="array" ref="H1951">_xlfn.IFS(
  G1951 &lt; 25000, "Low",
  AND(G1951 &gt;= 25000, G1951 &lt; 75000), "Medium",
  AND(G1951 &gt;= 75000, G1951 &lt; 150000), "High",
  G1951 &gt;= 150000, "Very High"
)</f>
        <v>Medium</v>
      </c>
      <c r="I1951" s="6">
        <v>0</v>
      </c>
      <c r="J1951" s="6">
        <v>1</v>
      </c>
      <c r="K1951" s="6">
        <f t="shared" si="121"/>
        <v>1</v>
      </c>
      <c r="L1951" s="8">
        <v>41317</v>
      </c>
      <c r="M1951" t="str">
        <f t="shared" ca="1" si="122"/>
        <v>13 years, 0 months</v>
      </c>
      <c r="N1951" s="6">
        <v>20</v>
      </c>
      <c r="O1951">
        <v>8</v>
      </c>
      <c r="P1951">
        <v>7</v>
      </c>
      <c r="Q1951">
        <f t="shared" si="123"/>
        <v>15</v>
      </c>
      <c r="R1951">
        <v>3</v>
      </c>
      <c r="S1951">
        <v>4</v>
      </c>
      <c r="T1951">
        <f>Table[[#This Row],[NumWebPurchases]]+Table[[#This Row],[NumStorePurchases]]</f>
        <v>7</v>
      </c>
    </row>
    <row r="1952" spans="1:20" ht="12.5">
      <c r="A1952" s="6">
        <v>1950</v>
      </c>
      <c r="B1952" s="6">
        <v>6663</v>
      </c>
      <c r="C1952" s="6">
        <v>1940</v>
      </c>
      <c r="D1952" s="6">
        <f t="shared" si="120"/>
        <v>85</v>
      </c>
      <c r="E1952" s="7" t="s">
        <v>12</v>
      </c>
      <c r="F1952" s="7" t="s">
        <v>10</v>
      </c>
      <c r="G1952" s="6">
        <v>51141</v>
      </c>
      <c r="H1952" s="6" t="str" cm="1">
        <f t="array" ref="H1952">_xlfn.IFS(
  G1952 &lt; 25000, "Low",
  AND(G1952 &gt;= 25000, G1952 &lt; 75000), "Medium",
  AND(G1952 &gt;= 75000, G1952 &lt; 150000), "High",
  G1952 &gt;= 150000, "Very High"
)</f>
        <v>Medium</v>
      </c>
      <c r="I1952" s="6">
        <v>0</v>
      </c>
      <c r="J1952" s="6">
        <v>0</v>
      </c>
      <c r="K1952" s="6">
        <f t="shared" si="121"/>
        <v>0</v>
      </c>
      <c r="L1952" s="8">
        <v>41463</v>
      </c>
      <c r="M1952" t="str">
        <f t="shared" ca="1" si="122"/>
        <v>12 years, 7 months</v>
      </c>
      <c r="N1952" s="6">
        <v>96</v>
      </c>
      <c r="O1952">
        <v>0</v>
      </c>
      <c r="P1952">
        <v>0</v>
      </c>
      <c r="Q1952">
        <f t="shared" si="123"/>
        <v>0</v>
      </c>
      <c r="R1952">
        <v>3</v>
      </c>
      <c r="S1952">
        <v>4</v>
      </c>
      <c r="T1952">
        <f>Table[[#This Row],[NumWebPurchases]]+Table[[#This Row],[NumStorePurchases]]</f>
        <v>7</v>
      </c>
    </row>
    <row r="1953" spans="1:20" ht="12.5">
      <c r="A1953" s="6">
        <v>1951</v>
      </c>
      <c r="B1953" s="6">
        <v>2162</v>
      </c>
      <c r="C1953" s="6">
        <v>1976</v>
      </c>
      <c r="D1953" s="6">
        <f t="shared" si="120"/>
        <v>49</v>
      </c>
      <c r="E1953" s="7" t="s">
        <v>9</v>
      </c>
      <c r="F1953" s="7" t="s">
        <v>13</v>
      </c>
      <c r="G1953" s="6">
        <v>56939</v>
      </c>
      <c r="H1953" s="6" t="str" cm="1">
        <f t="array" ref="H1953">_xlfn.IFS(
  G1953 &lt; 25000, "Low",
  AND(G1953 &gt;= 25000, G1953 &lt; 75000), "Medium",
  AND(G1953 &gt;= 75000, G1953 &lt; 150000), "High",
  G1953 &gt;= 150000, "Very High"
)</f>
        <v>Medium</v>
      </c>
      <c r="I1953" s="6">
        <v>0</v>
      </c>
      <c r="J1953" s="6">
        <v>1</v>
      </c>
      <c r="K1953" s="6">
        <f t="shared" si="121"/>
        <v>1</v>
      </c>
      <c r="L1953" s="8">
        <v>41535</v>
      </c>
      <c r="M1953" t="str">
        <f t="shared" ca="1" si="122"/>
        <v>12 years, 5 months</v>
      </c>
      <c r="N1953" s="6">
        <v>19</v>
      </c>
      <c r="O1953">
        <v>34</v>
      </c>
      <c r="P1953">
        <v>29</v>
      </c>
      <c r="Q1953">
        <f t="shared" si="123"/>
        <v>63</v>
      </c>
      <c r="R1953">
        <v>3</v>
      </c>
      <c r="S1953">
        <v>10</v>
      </c>
      <c r="T1953">
        <f>Table[[#This Row],[NumWebPurchases]]+Table[[#This Row],[NumStorePurchases]]</f>
        <v>13</v>
      </c>
    </row>
    <row r="1954" spans="1:20" ht="12.5">
      <c r="A1954" s="6">
        <v>1952</v>
      </c>
      <c r="B1954" s="6">
        <v>3434</v>
      </c>
      <c r="C1954" s="6">
        <v>1951</v>
      </c>
      <c r="D1954" s="6">
        <f t="shared" si="120"/>
        <v>74</v>
      </c>
      <c r="E1954" s="7" t="s">
        <v>9</v>
      </c>
      <c r="F1954" s="7" t="s">
        <v>10</v>
      </c>
      <c r="G1954" s="6">
        <v>80872</v>
      </c>
      <c r="H1954" s="6" t="str" cm="1">
        <f t="array" ref="H1954">_xlfn.IFS(
  G1954 &lt; 25000, "Low",
  AND(G1954 &gt;= 25000, G1954 &lt; 75000), "Medium",
  AND(G1954 &gt;= 75000, G1954 &lt; 150000), "High",
  G1954 &gt;= 150000, "Very High"
)</f>
        <v>High</v>
      </c>
      <c r="I1954" s="6">
        <v>0</v>
      </c>
      <c r="J1954" s="6">
        <v>0</v>
      </c>
      <c r="K1954" s="6">
        <f t="shared" si="121"/>
        <v>0</v>
      </c>
      <c r="L1954" s="8">
        <v>41771</v>
      </c>
      <c r="M1954" t="str">
        <f t="shared" ca="1" si="122"/>
        <v>11 years, 9 months</v>
      </c>
      <c r="N1954" s="6">
        <v>60</v>
      </c>
      <c r="O1954">
        <v>72</v>
      </c>
      <c r="P1954">
        <v>12</v>
      </c>
      <c r="Q1954">
        <f t="shared" si="123"/>
        <v>84</v>
      </c>
      <c r="R1954">
        <v>4</v>
      </c>
      <c r="S1954">
        <v>10</v>
      </c>
      <c r="T1954">
        <f>Table[[#This Row],[NumWebPurchases]]+Table[[#This Row],[NumStorePurchases]]</f>
        <v>14</v>
      </c>
    </row>
    <row r="1955" spans="1:20" ht="12.5">
      <c r="A1955" s="6">
        <v>1953</v>
      </c>
      <c r="B1955" s="6">
        <v>7919</v>
      </c>
      <c r="C1955" s="6">
        <v>1976</v>
      </c>
      <c r="D1955" s="6">
        <f t="shared" si="120"/>
        <v>49</v>
      </c>
      <c r="E1955" s="7" t="s">
        <v>12</v>
      </c>
      <c r="F1955" s="7" t="s">
        <v>11</v>
      </c>
      <c r="G1955" s="6">
        <v>72335</v>
      </c>
      <c r="H1955" s="6" t="str" cm="1">
        <f t="array" ref="H1955">_xlfn.IFS(
  G1955 &lt; 25000, "Low",
  AND(G1955 &gt;= 25000, G1955 &lt; 75000), "Medium",
  AND(G1955 &gt;= 75000, G1955 &lt; 150000), "High",
  G1955 &gt;= 150000, "Very High"
)</f>
        <v>Medium</v>
      </c>
      <c r="I1955" s="6">
        <v>0</v>
      </c>
      <c r="J1955" s="6">
        <v>0</v>
      </c>
      <c r="K1955" s="6">
        <f t="shared" si="121"/>
        <v>0</v>
      </c>
      <c r="L1955" s="8">
        <v>41134</v>
      </c>
      <c r="M1955" t="str">
        <f t="shared" ca="1" si="122"/>
        <v>13 years, 6 months</v>
      </c>
      <c r="N1955" s="6">
        <v>2</v>
      </c>
      <c r="O1955">
        <v>105</v>
      </c>
      <c r="P1955">
        <v>21</v>
      </c>
      <c r="Q1955">
        <f t="shared" si="123"/>
        <v>126</v>
      </c>
      <c r="R1955">
        <v>10</v>
      </c>
      <c r="S1955">
        <v>8</v>
      </c>
      <c r="T1955">
        <f>Table[[#This Row],[NumWebPurchases]]+Table[[#This Row],[NumStorePurchases]]</f>
        <v>18</v>
      </c>
    </row>
    <row r="1956" spans="1:20" ht="12.5">
      <c r="A1956" s="6">
        <v>1954</v>
      </c>
      <c r="B1956" s="6">
        <v>5626</v>
      </c>
      <c r="C1956" s="6">
        <v>1964</v>
      </c>
      <c r="D1956" s="6">
        <f t="shared" si="120"/>
        <v>61</v>
      </c>
      <c r="E1956" s="7" t="s">
        <v>12</v>
      </c>
      <c r="F1956" s="7" t="s">
        <v>10</v>
      </c>
      <c r="G1956" s="6">
        <v>61798</v>
      </c>
      <c r="H1956" s="6" t="str" cm="1">
        <f t="array" ref="H1956">_xlfn.IFS(
  G1956 &lt; 25000, "Low",
  AND(G1956 &gt;= 25000, G1956 &lt; 75000), "Medium",
  AND(G1956 &gt;= 75000, G1956 &lt; 150000), "High",
  G1956 &gt;= 150000, "Very High"
)</f>
        <v>Medium</v>
      </c>
      <c r="I1956" s="6">
        <v>0</v>
      </c>
      <c r="J1956" s="6">
        <v>0</v>
      </c>
      <c r="K1956" s="6">
        <f t="shared" si="121"/>
        <v>0</v>
      </c>
      <c r="L1956" s="9">
        <v>41601</v>
      </c>
      <c r="M1956" t="str">
        <f t="shared" ca="1" si="122"/>
        <v>12 years, 3 months</v>
      </c>
      <c r="N1956" s="6">
        <v>13</v>
      </c>
      <c r="O1956">
        <v>4</v>
      </c>
      <c r="P1956">
        <v>8</v>
      </c>
      <c r="Q1956">
        <f t="shared" si="123"/>
        <v>12</v>
      </c>
      <c r="R1956">
        <v>4</v>
      </c>
      <c r="S1956">
        <v>9</v>
      </c>
      <c r="T1956">
        <f>Table[[#This Row],[NumWebPurchases]]+Table[[#This Row],[NumStorePurchases]]</f>
        <v>13</v>
      </c>
    </row>
    <row r="1957" spans="1:20" ht="12.5">
      <c r="A1957" s="6">
        <v>1955</v>
      </c>
      <c r="B1957" s="6">
        <v>6428</v>
      </c>
      <c r="C1957" s="6">
        <v>1950</v>
      </c>
      <c r="D1957" s="6">
        <f t="shared" si="120"/>
        <v>75</v>
      </c>
      <c r="E1957" s="7" t="s">
        <v>12</v>
      </c>
      <c r="F1957" s="7" t="s">
        <v>18</v>
      </c>
      <c r="G1957" s="6">
        <v>76842</v>
      </c>
      <c r="H1957" s="6" t="str" cm="1">
        <f t="array" ref="H1957">_xlfn.IFS(
  G1957 &lt; 25000, "Low",
  AND(G1957 &gt;= 25000, G1957 &lt; 75000), "Medium",
  AND(G1957 &gt;= 75000, G1957 &lt; 150000), "High",
  G1957 &gt;= 150000, "Very High"
)</f>
        <v>High</v>
      </c>
      <c r="I1957" s="6">
        <v>0</v>
      </c>
      <c r="J1957" s="6">
        <v>0</v>
      </c>
      <c r="K1957" s="6">
        <f t="shared" si="121"/>
        <v>0</v>
      </c>
      <c r="L1957" s="8">
        <v>41762</v>
      </c>
      <c r="M1957" t="str">
        <f t="shared" ca="1" si="122"/>
        <v>11 years, 10 months</v>
      </c>
      <c r="N1957" s="6">
        <v>37</v>
      </c>
      <c r="O1957">
        <v>10</v>
      </c>
      <c r="P1957">
        <v>54</v>
      </c>
      <c r="Q1957">
        <f t="shared" si="123"/>
        <v>64</v>
      </c>
      <c r="R1957">
        <v>1</v>
      </c>
      <c r="S1957">
        <v>7</v>
      </c>
      <c r="T1957">
        <f>Table[[#This Row],[NumWebPurchases]]+Table[[#This Row],[NumStorePurchases]]</f>
        <v>8</v>
      </c>
    </row>
    <row r="1958" spans="1:20" ht="12.5">
      <c r="A1958" s="6">
        <v>1956</v>
      </c>
      <c r="B1958" s="6">
        <v>8514</v>
      </c>
      <c r="C1958" s="6">
        <v>1976</v>
      </c>
      <c r="D1958" s="6">
        <f t="shared" si="120"/>
        <v>49</v>
      </c>
      <c r="E1958" s="7" t="s">
        <v>9</v>
      </c>
      <c r="F1958" s="7" t="s">
        <v>11</v>
      </c>
      <c r="G1958" s="6">
        <v>29478</v>
      </c>
      <c r="H1958" s="6" t="str" cm="1">
        <f t="array" ref="H1958">_xlfn.IFS(
  G1958 &lt; 25000, "Low",
  AND(G1958 &gt;= 25000, G1958 &lt; 75000), "Medium",
  AND(G1958 &gt;= 75000, G1958 &lt; 150000), "High",
  G1958 &gt;= 150000, "Very High"
)</f>
        <v>Medium</v>
      </c>
      <c r="I1958" s="6">
        <v>1</v>
      </c>
      <c r="J1958" s="6">
        <v>0</v>
      </c>
      <c r="K1958" s="6">
        <f t="shared" si="121"/>
        <v>1</v>
      </c>
      <c r="L1958" s="8">
        <v>41656</v>
      </c>
      <c r="M1958" t="str">
        <f t="shared" ca="1" si="122"/>
        <v>12 years, 1 months</v>
      </c>
      <c r="N1958" s="6">
        <v>59</v>
      </c>
      <c r="O1958">
        <v>0</v>
      </c>
      <c r="P1958">
        <v>1</v>
      </c>
      <c r="Q1958">
        <f t="shared" si="123"/>
        <v>1</v>
      </c>
      <c r="R1958">
        <v>1</v>
      </c>
      <c r="S1958">
        <v>3</v>
      </c>
      <c r="T1958">
        <f>Table[[#This Row],[NumWebPurchases]]+Table[[#This Row],[NumStorePurchases]]</f>
        <v>4</v>
      </c>
    </row>
    <row r="1959" spans="1:20" ht="12.5">
      <c r="A1959" s="6">
        <v>1957</v>
      </c>
      <c r="B1959" s="6">
        <v>10448</v>
      </c>
      <c r="C1959" s="6">
        <v>1956</v>
      </c>
      <c r="D1959" s="6">
        <f t="shared" si="120"/>
        <v>69</v>
      </c>
      <c r="E1959" s="7" t="s">
        <v>9</v>
      </c>
      <c r="F1959" s="7" t="s">
        <v>10</v>
      </c>
      <c r="G1959" s="6">
        <v>46998</v>
      </c>
      <c r="H1959" s="6" t="str" cm="1">
        <f t="array" ref="H1959">_xlfn.IFS(
  G1959 &lt; 25000, "Low",
  AND(G1959 &gt;= 25000, G1959 &lt; 75000), "Medium",
  AND(G1959 &gt;= 75000, G1959 &lt; 150000), "High",
  G1959 &gt;= 150000, "Very High"
)</f>
        <v>Medium</v>
      </c>
      <c r="I1959" s="6">
        <v>0</v>
      </c>
      <c r="J1959" s="6">
        <v>1</v>
      </c>
      <c r="K1959" s="6">
        <f t="shared" si="121"/>
        <v>1</v>
      </c>
      <c r="L1959" s="9">
        <v>41204</v>
      </c>
      <c r="M1959" t="str">
        <f t="shared" ca="1" si="122"/>
        <v>13 years, 4 months</v>
      </c>
      <c r="N1959" s="6">
        <v>55</v>
      </c>
      <c r="O1959">
        <v>41</v>
      </c>
      <c r="P1959">
        <v>6</v>
      </c>
      <c r="Q1959">
        <f t="shared" si="123"/>
        <v>47</v>
      </c>
      <c r="R1959">
        <v>5</v>
      </c>
      <c r="S1959">
        <v>5</v>
      </c>
      <c r="T1959">
        <f>Table[[#This Row],[NumWebPurchases]]+Table[[#This Row],[NumStorePurchases]]</f>
        <v>10</v>
      </c>
    </row>
    <row r="1960" spans="1:20" ht="12.5">
      <c r="A1960" s="6">
        <v>1958</v>
      </c>
      <c r="B1960" s="6">
        <v>2109</v>
      </c>
      <c r="C1960" s="6">
        <v>1990</v>
      </c>
      <c r="D1960" s="6">
        <f t="shared" si="120"/>
        <v>35</v>
      </c>
      <c r="E1960" s="7" t="s">
        <v>9</v>
      </c>
      <c r="F1960" s="7" t="s">
        <v>10</v>
      </c>
      <c r="G1960" s="6">
        <v>96843</v>
      </c>
      <c r="H1960" s="6" t="str" cm="1">
        <f t="array" ref="H1960">_xlfn.IFS(
  G1960 &lt; 25000, "Low",
  AND(G1960 &gt;= 25000, G1960 &lt; 75000), "Medium",
  AND(G1960 &gt;= 75000, G1960 &lt; 150000), "High",
  G1960 &gt;= 150000, "Very High"
)</f>
        <v>High</v>
      </c>
      <c r="I1960" s="6">
        <v>0</v>
      </c>
      <c r="J1960" s="6">
        <v>0</v>
      </c>
      <c r="K1960" s="6">
        <f t="shared" si="121"/>
        <v>0</v>
      </c>
      <c r="L1960" s="8">
        <v>41387</v>
      </c>
      <c r="M1960" t="str">
        <f t="shared" ca="1" si="122"/>
        <v>12 years, 10 months</v>
      </c>
      <c r="N1960" s="6">
        <v>60</v>
      </c>
      <c r="O1960">
        <v>71</v>
      </c>
      <c r="P1960">
        <v>17</v>
      </c>
      <c r="Q1960">
        <f t="shared" si="123"/>
        <v>88</v>
      </c>
      <c r="R1960">
        <v>6</v>
      </c>
      <c r="S1960">
        <v>10</v>
      </c>
      <c r="T1960">
        <f>Table[[#This Row],[NumWebPurchases]]+Table[[#This Row],[NumStorePurchases]]</f>
        <v>16</v>
      </c>
    </row>
    <row r="1961" spans="1:20" ht="12.5">
      <c r="A1961" s="6">
        <v>1959</v>
      </c>
      <c r="B1961" s="6">
        <v>7530</v>
      </c>
      <c r="C1961" s="6">
        <v>1950</v>
      </c>
      <c r="D1961" s="6">
        <f t="shared" si="120"/>
        <v>75</v>
      </c>
      <c r="E1961" s="7" t="s">
        <v>12</v>
      </c>
      <c r="F1961" s="7" t="s">
        <v>18</v>
      </c>
      <c r="G1961" s="6">
        <v>56551</v>
      </c>
      <c r="H1961" s="6" t="str" cm="1">
        <f t="array" ref="H1961">_xlfn.IFS(
  G1961 &lt; 25000, "Low",
  AND(G1961 &gt;= 25000, G1961 &lt; 75000), "Medium",
  AND(G1961 &gt;= 75000, G1961 &lt; 150000), "High",
  G1961 &gt;= 150000, "Very High"
)</f>
        <v>Medium</v>
      </c>
      <c r="I1961" s="6">
        <v>1</v>
      </c>
      <c r="J1961" s="6">
        <v>1</v>
      </c>
      <c r="K1961" s="6">
        <f t="shared" si="121"/>
        <v>2</v>
      </c>
      <c r="L1961" s="8">
        <v>41766</v>
      </c>
      <c r="M1961" t="str">
        <f t="shared" ca="1" si="122"/>
        <v>11 years, 9 months</v>
      </c>
      <c r="N1961" s="6">
        <v>48</v>
      </c>
      <c r="O1961">
        <v>4</v>
      </c>
      <c r="P1961">
        <v>2</v>
      </c>
      <c r="Q1961">
        <f t="shared" si="123"/>
        <v>6</v>
      </c>
      <c r="R1961">
        <v>2</v>
      </c>
      <c r="S1961">
        <v>4</v>
      </c>
      <c r="T1961">
        <f>Table[[#This Row],[NumWebPurchases]]+Table[[#This Row],[NumStorePurchases]]</f>
        <v>6</v>
      </c>
    </row>
    <row r="1962" spans="1:20" ht="12.5">
      <c r="A1962" s="6">
        <v>1960</v>
      </c>
      <c r="B1962" s="6">
        <v>8925</v>
      </c>
      <c r="C1962" s="6">
        <v>1965</v>
      </c>
      <c r="D1962" s="6">
        <f t="shared" si="120"/>
        <v>60</v>
      </c>
      <c r="E1962" s="7" t="s">
        <v>14</v>
      </c>
      <c r="F1962" s="7" t="s">
        <v>13</v>
      </c>
      <c r="G1962" s="6">
        <v>70053</v>
      </c>
      <c r="H1962" s="6" t="str" cm="1">
        <f t="array" ref="H1962">_xlfn.IFS(
  G1962 &lt; 25000, "Low",
  AND(G1962 &gt;= 25000, G1962 &lt; 75000), "Medium",
  AND(G1962 &gt;= 75000, G1962 &lt; 150000), "High",
  G1962 &gt;= 150000, "Very High"
)</f>
        <v>Medium</v>
      </c>
      <c r="I1962" s="6">
        <v>0</v>
      </c>
      <c r="J1962" s="6">
        <v>1</v>
      </c>
      <c r="K1962" s="6">
        <f t="shared" si="121"/>
        <v>1</v>
      </c>
      <c r="L1962" s="8">
        <v>41458</v>
      </c>
      <c r="M1962" t="str">
        <f t="shared" ca="1" si="122"/>
        <v>12 years, 8 months</v>
      </c>
      <c r="N1962" s="6">
        <v>38</v>
      </c>
      <c r="O1962">
        <v>53</v>
      </c>
      <c r="P1962">
        <v>179</v>
      </c>
      <c r="Q1962">
        <f t="shared" si="123"/>
        <v>232</v>
      </c>
      <c r="R1962">
        <v>8</v>
      </c>
      <c r="S1962">
        <v>10</v>
      </c>
      <c r="T1962">
        <f>Table[[#This Row],[NumWebPurchases]]+Table[[#This Row],[NumStorePurchases]]</f>
        <v>18</v>
      </c>
    </row>
    <row r="1963" spans="1:20" ht="12.5">
      <c r="A1963" s="6">
        <v>1961</v>
      </c>
      <c r="B1963" s="6">
        <v>3009</v>
      </c>
      <c r="C1963" s="6">
        <v>1962</v>
      </c>
      <c r="D1963" s="6">
        <f t="shared" si="120"/>
        <v>63</v>
      </c>
      <c r="E1963" s="7" t="s">
        <v>12</v>
      </c>
      <c r="F1963" s="7" t="s">
        <v>18</v>
      </c>
      <c r="G1963" s="6">
        <v>71670</v>
      </c>
      <c r="H1963" s="6" t="str" cm="1">
        <f t="array" ref="H1963">_xlfn.IFS(
  G1963 &lt; 25000, "Low",
  AND(G1963 &gt;= 25000, G1963 &lt; 75000), "Medium",
  AND(G1963 &gt;= 75000, G1963 &lt; 150000), "High",
  G1963 &gt;= 150000, "Very High"
)</f>
        <v>Medium</v>
      </c>
      <c r="I1963" s="6">
        <v>0</v>
      </c>
      <c r="J1963" s="6">
        <v>0</v>
      </c>
      <c r="K1963" s="6">
        <f t="shared" si="121"/>
        <v>0</v>
      </c>
      <c r="L1963" s="8">
        <v>41464</v>
      </c>
      <c r="M1963" t="str">
        <f t="shared" ca="1" si="122"/>
        <v>12 years, 7 months</v>
      </c>
      <c r="N1963" s="6">
        <v>8</v>
      </c>
      <c r="O1963">
        <v>16</v>
      </c>
      <c r="P1963">
        <v>0</v>
      </c>
      <c r="Q1963">
        <f t="shared" si="123"/>
        <v>16</v>
      </c>
      <c r="R1963">
        <v>5</v>
      </c>
      <c r="S1963">
        <v>6</v>
      </c>
      <c r="T1963">
        <f>Table[[#This Row],[NumWebPurchases]]+Table[[#This Row],[NumStorePurchases]]</f>
        <v>11</v>
      </c>
    </row>
    <row r="1964" spans="1:20" ht="12.5">
      <c r="A1964" s="6">
        <v>1962</v>
      </c>
      <c r="B1964" s="6">
        <v>6355</v>
      </c>
      <c r="C1964" s="6">
        <v>1978</v>
      </c>
      <c r="D1964" s="6">
        <f t="shared" si="120"/>
        <v>47</v>
      </c>
      <c r="E1964" s="7" t="s">
        <v>9</v>
      </c>
      <c r="F1964" s="7" t="s">
        <v>13</v>
      </c>
      <c r="G1964" s="6">
        <v>44359</v>
      </c>
      <c r="H1964" s="6" t="str" cm="1">
        <f t="array" ref="H1964">_xlfn.IFS(
  G1964 &lt; 25000, "Low",
  AND(G1964 &gt;= 25000, G1964 &lt; 75000), "Medium",
  AND(G1964 &gt;= 75000, G1964 &lt; 150000), "High",
  G1964 &gt;= 150000, "Very High"
)</f>
        <v>Medium</v>
      </c>
      <c r="I1964" s="6">
        <v>1</v>
      </c>
      <c r="J1964" s="6">
        <v>1</v>
      </c>
      <c r="K1964" s="6">
        <f t="shared" si="121"/>
        <v>2</v>
      </c>
      <c r="L1964" s="8">
        <v>41807</v>
      </c>
      <c r="M1964" t="str">
        <f t="shared" ca="1" si="122"/>
        <v>11 years, 8 months</v>
      </c>
      <c r="N1964" s="6">
        <v>19</v>
      </c>
      <c r="O1964">
        <v>0</v>
      </c>
      <c r="P1964">
        <v>3</v>
      </c>
      <c r="Q1964">
        <f t="shared" si="123"/>
        <v>3</v>
      </c>
      <c r="R1964">
        <v>2</v>
      </c>
      <c r="S1964">
        <v>4</v>
      </c>
      <c r="T1964">
        <f>Table[[#This Row],[NumWebPurchases]]+Table[[#This Row],[NumStorePurchases]]</f>
        <v>6</v>
      </c>
    </row>
    <row r="1965" spans="1:20" ht="12.5">
      <c r="A1965" s="6">
        <v>1963</v>
      </c>
      <c r="B1965" s="6">
        <v>3517</v>
      </c>
      <c r="C1965" s="6">
        <v>1952</v>
      </c>
      <c r="D1965" s="6">
        <f t="shared" si="120"/>
        <v>73</v>
      </c>
      <c r="E1965" s="7" t="s">
        <v>9</v>
      </c>
      <c r="F1965" s="7" t="s">
        <v>10</v>
      </c>
      <c r="G1965" s="6">
        <v>40887</v>
      </c>
      <c r="H1965" s="6" t="str" cm="1">
        <f t="array" ref="H1965">_xlfn.IFS(
  G1965 &lt; 25000, "Low",
  AND(G1965 &gt;= 25000, G1965 &lt; 75000), "Medium",
  AND(G1965 &gt;= 75000, G1965 &lt; 150000), "High",
  G1965 &gt;= 150000, "Very High"
)</f>
        <v>Medium</v>
      </c>
      <c r="I1965" s="6">
        <v>1</v>
      </c>
      <c r="J1965" s="6">
        <v>1</v>
      </c>
      <c r="K1965" s="6">
        <f t="shared" si="121"/>
        <v>2</v>
      </c>
      <c r="L1965" s="8">
        <v>41400</v>
      </c>
      <c r="M1965" t="str">
        <f t="shared" ca="1" si="122"/>
        <v>12 years, 10 months</v>
      </c>
      <c r="N1965" s="6">
        <v>32</v>
      </c>
      <c r="O1965">
        <v>4</v>
      </c>
      <c r="P1965">
        <v>10</v>
      </c>
      <c r="Q1965">
        <f t="shared" si="123"/>
        <v>14</v>
      </c>
      <c r="R1965">
        <v>3</v>
      </c>
      <c r="S1965">
        <v>3</v>
      </c>
      <c r="T1965">
        <f>Table[[#This Row],[NumWebPurchases]]+Table[[#This Row],[NumStorePurchases]]</f>
        <v>6</v>
      </c>
    </row>
    <row r="1966" spans="1:20" ht="12.5">
      <c r="A1966" s="6">
        <v>1964</v>
      </c>
      <c r="B1966" s="6">
        <v>1158</v>
      </c>
      <c r="C1966" s="6">
        <v>1966</v>
      </c>
      <c r="D1966" s="6">
        <f t="shared" si="120"/>
        <v>59</v>
      </c>
      <c r="E1966" s="7" t="s">
        <v>9</v>
      </c>
      <c r="F1966" s="7" t="s">
        <v>15</v>
      </c>
      <c r="G1966" s="6">
        <v>48877</v>
      </c>
      <c r="H1966" s="6" t="str" cm="1">
        <f t="array" ref="H1966">_xlfn.IFS(
  G1966 &lt; 25000, "Low",
  AND(G1966 &gt;= 25000, G1966 &lt; 75000), "Medium",
  AND(G1966 &gt;= 75000, G1966 &lt; 150000), "High",
  G1966 &gt;= 150000, "Very High"
)</f>
        <v>Medium</v>
      </c>
      <c r="I1966" s="6">
        <v>0</v>
      </c>
      <c r="J1966" s="6">
        <v>1</v>
      </c>
      <c r="K1966" s="6">
        <f t="shared" si="121"/>
        <v>1</v>
      </c>
      <c r="L1966" s="8">
        <v>41644</v>
      </c>
      <c r="M1966" t="str">
        <f t="shared" ca="1" si="122"/>
        <v>12 years, 2 months</v>
      </c>
      <c r="N1966" s="6">
        <v>27</v>
      </c>
      <c r="O1966">
        <v>1</v>
      </c>
      <c r="P1966">
        <v>0</v>
      </c>
      <c r="Q1966">
        <f t="shared" si="123"/>
        <v>1</v>
      </c>
      <c r="R1966">
        <v>3</v>
      </c>
      <c r="S1966">
        <v>4</v>
      </c>
      <c r="T1966">
        <f>Table[[#This Row],[NumWebPurchases]]+Table[[#This Row],[NumStorePurchases]]</f>
        <v>7</v>
      </c>
    </row>
    <row r="1967" spans="1:20" ht="12.5">
      <c r="A1967" s="6">
        <v>1965</v>
      </c>
      <c r="B1967" s="6">
        <v>6203</v>
      </c>
      <c r="C1967" s="6">
        <v>1947</v>
      </c>
      <c r="D1967" s="6">
        <f t="shared" si="120"/>
        <v>78</v>
      </c>
      <c r="E1967" s="7" t="s">
        <v>9</v>
      </c>
      <c r="F1967" s="7" t="s">
        <v>11</v>
      </c>
      <c r="G1967" s="6">
        <v>74485</v>
      </c>
      <c r="H1967" s="6" t="str" cm="1">
        <f t="array" ref="H1967">_xlfn.IFS(
  G1967 &lt; 25000, "Low",
  AND(G1967 &gt;= 25000, G1967 &lt; 75000), "Medium",
  AND(G1967 &gt;= 75000, G1967 &lt; 150000), "High",
  G1967 &gt;= 150000, "Very High"
)</f>
        <v>Medium</v>
      </c>
      <c r="I1967" s="6">
        <v>0</v>
      </c>
      <c r="J1967" s="6">
        <v>0</v>
      </c>
      <c r="K1967" s="6">
        <f t="shared" si="121"/>
        <v>0</v>
      </c>
      <c r="L1967" s="8">
        <v>41510</v>
      </c>
      <c r="M1967" t="str">
        <f t="shared" ca="1" si="122"/>
        <v>12 years, 6 months</v>
      </c>
      <c r="N1967" s="6">
        <v>58</v>
      </c>
      <c r="O1967">
        <v>149</v>
      </c>
      <c r="P1967">
        <v>49</v>
      </c>
      <c r="Q1967">
        <f t="shared" si="123"/>
        <v>198</v>
      </c>
      <c r="R1967">
        <v>6</v>
      </c>
      <c r="S1967">
        <v>12</v>
      </c>
      <c r="T1967">
        <f>Table[[#This Row],[NumWebPurchases]]+Table[[#This Row],[NumStorePurchases]]</f>
        <v>18</v>
      </c>
    </row>
    <row r="1968" spans="1:20" ht="12.5">
      <c r="A1968" s="6">
        <v>1966</v>
      </c>
      <c r="B1968" s="6">
        <v>7165</v>
      </c>
      <c r="C1968" s="6">
        <v>1972</v>
      </c>
      <c r="D1968" s="6">
        <f t="shared" si="120"/>
        <v>53</v>
      </c>
      <c r="E1968" s="7" t="s">
        <v>9</v>
      </c>
      <c r="F1968" s="7" t="s">
        <v>11</v>
      </c>
      <c r="G1968" s="6">
        <v>64474</v>
      </c>
      <c r="H1968" s="6" t="str" cm="1">
        <f t="array" ref="H1968">_xlfn.IFS(
  G1968 &lt; 25000, "Low",
  AND(G1968 &gt;= 25000, G1968 &lt; 75000), "Medium",
  AND(G1968 &gt;= 75000, G1968 &lt; 150000), "High",
  G1968 &gt;= 150000, "Very High"
)</f>
        <v>Medium</v>
      </c>
      <c r="I1968" s="6">
        <v>0</v>
      </c>
      <c r="J1968" s="6">
        <v>1</v>
      </c>
      <c r="K1968" s="6">
        <f t="shared" si="121"/>
        <v>1</v>
      </c>
      <c r="L1968" s="9">
        <v>41569</v>
      </c>
      <c r="M1968" t="str">
        <f t="shared" ca="1" si="122"/>
        <v>12 years, 4 months</v>
      </c>
      <c r="N1968" s="6">
        <v>59</v>
      </c>
      <c r="O1968">
        <v>35</v>
      </c>
      <c r="P1968">
        <v>86</v>
      </c>
      <c r="Q1968">
        <f t="shared" si="123"/>
        <v>121</v>
      </c>
      <c r="R1968">
        <v>8</v>
      </c>
      <c r="S1968">
        <v>10</v>
      </c>
      <c r="T1968">
        <f>Table[[#This Row],[NumWebPurchases]]+Table[[#This Row],[NumStorePurchases]]</f>
        <v>18</v>
      </c>
    </row>
    <row r="1969" spans="1:20" ht="12.5">
      <c r="A1969" s="6">
        <v>1967</v>
      </c>
      <c r="B1969" s="6">
        <v>3595</v>
      </c>
      <c r="C1969" s="6">
        <v>1963</v>
      </c>
      <c r="D1969" s="6">
        <f t="shared" si="120"/>
        <v>62</v>
      </c>
      <c r="E1969" s="7" t="s">
        <v>9</v>
      </c>
      <c r="F1969" s="7" t="s">
        <v>11</v>
      </c>
      <c r="G1969" s="6">
        <v>77226</v>
      </c>
      <c r="H1969" s="6" t="str" cm="1">
        <f t="array" ref="H1969">_xlfn.IFS(
  G1969 &lt; 25000, "Low",
  AND(G1969 &gt;= 25000, G1969 &lt; 75000), "Medium",
  AND(G1969 &gt;= 75000, G1969 &lt; 150000), "High",
  G1969 &gt;= 150000, "Very High"
)</f>
        <v>High</v>
      </c>
      <c r="I1969" s="6">
        <v>0</v>
      </c>
      <c r="J1969" s="6">
        <v>1</v>
      </c>
      <c r="K1969" s="6">
        <f t="shared" si="121"/>
        <v>1</v>
      </c>
      <c r="L1969" s="8">
        <v>41698</v>
      </c>
      <c r="M1969" t="str">
        <f t="shared" ca="1" si="122"/>
        <v>12 years, 0 months</v>
      </c>
      <c r="N1969" s="6">
        <v>29</v>
      </c>
      <c r="O1969">
        <v>43</v>
      </c>
      <c r="P1969">
        <v>76</v>
      </c>
      <c r="Q1969">
        <f t="shared" si="123"/>
        <v>119</v>
      </c>
      <c r="R1969">
        <v>6</v>
      </c>
      <c r="S1969">
        <v>12</v>
      </c>
      <c r="T1969">
        <f>Table[[#This Row],[NumWebPurchases]]+Table[[#This Row],[NumStorePurchases]]</f>
        <v>18</v>
      </c>
    </row>
    <row r="1970" spans="1:20" ht="12.5">
      <c r="A1970" s="6">
        <v>1968</v>
      </c>
      <c r="B1970" s="6">
        <v>8537</v>
      </c>
      <c r="C1970" s="6">
        <v>1949</v>
      </c>
      <c r="D1970" s="6">
        <f t="shared" si="120"/>
        <v>76</v>
      </c>
      <c r="E1970" s="7" t="s">
        <v>9</v>
      </c>
      <c r="F1970" s="7" t="s">
        <v>18</v>
      </c>
      <c r="G1970" s="6">
        <v>72643</v>
      </c>
      <c r="H1970" s="6" t="str" cm="1">
        <f t="array" ref="H1970">_xlfn.IFS(
  G1970 &lt; 25000, "Low",
  AND(G1970 &gt;= 25000, G1970 &lt; 75000), "Medium",
  AND(G1970 &gt;= 75000, G1970 &lt; 150000), "High",
  G1970 &gt;= 150000, "Very High"
)</f>
        <v>Medium</v>
      </c>
      <c r="I1970" s="6">
        <v>0</v>
      </c>
      <c r="J1970" s="6">
        <v>0</v>
      </c>
      <c r="K1970" s="6">
        <f t="shared" si="121"/>
        <v>0</v>
      </c>
      <c r="L1970" s="8">
        <v>41332</v>
      </c>
      <c r="M1970" t="str">
        <f t="shared" ca="1" si="122"/>
        <v>13 years, 0 months</v>
      </c>
      <c r="N1970" s="6">
        <v>60</v>
      </c>
      <c r="O1970">
        <v>80</v>
      </c>
      <c r="P1970">
        <v>94</v>
      </c>
      <c r="Q1970">
        <f t="shared" si="123"/>
        <v>174</v>
      </c>
      <c r="R1970">
        <v>3</v>
      </c>
      <c r="S1970">
        <v>7</v>
      </c>
      <c r="T1970">
        <f>Table[[#This Row],[NumWebPurchases]]+Table[[#This Row],[NumStorePurchases]]</f>
        <v>10</v>
      </c>
    </row>
    <row r="1971" spans="1:20" ht="12.5">
      <c r="A1971" s="6">
        <v>1969</v>
      </c>
      <c r="B1971" s="6">
        <v>4331</v>
      </c>
      <c r="C1971" s="6">
        <v>1978</v>
      </c>
      <c r="D1971" s="6">
        <f t="shared" si="120"/>
        <v>47</v>
      </c>
      <c r="E1971" s="7" t="s">
        <v>14</v>
      </c>
      <c r="F1971" s="7" t="s">
        <v>11</v>
      </c>
      <c r="G1971" s="6">
        <v>85738</v>
      </c>
      <c r="H1971" s="6" t="str" cm="1">
        <f t="array" ref="H1971">_xlfn.IFS(
  G1971 &lt; 25000, "Low",
  AND(G1971 &gt;= 25000, G1971 &lt; 75000), "Medium",
  AND(G1971 &gt;= 75000, G1971 &lt; 150000), "High",
  G1971 &gt;= 150000, "Very High"
)</f>
        <v>High</v>
      </c>
      <c r="I1971" s="6">
        <v>0</v>
      </c>
      <c r="J1971" s="6">
        <v>0</v>
      </c>
      <c r="K1971" s="6">
        <f t="shared" si="121"/>
        <v>0</v>
      </c>
      <c r="L1971" s="8">
        <v>41662</v>
      </c>
      <c r="M1971" t="str">
        <f t="shared" ca="1" si="122"/>
        <v>12 years, 1 months</v>
      </c>
      <c r="N1971" s="6">
        <v>41</v>
      </c>
      <c r="O1971">
        <v>26</v>
      </c>
      <c r="P1971">
        <v>26</v>
      </c>
      <c r="Q1971">
        <f t="shared" si="123"/>
        <v>52</v>
      </c>
      <c r="R1971">
        <v>3</v>
      </c>
      <c r="S1971">
        <v>11</v>
      </c>
      <c r="T1971">
        <f>Table[[#This Row],[NumWebPurchases]]+Table[[#This Row],[NumStorePurchases]]</f>
        <v>14</v>
      </c>
    </row>
    <row r="1972" spans="1:20" ht="12.5">
      <c r="A1972" s="6">
        <v>1970</v>
      </c>
      <c r="B1972" s="6">
        <v>6281</v>
      </c>
      <c r="C1972" s="6">
        <v>1966</v>
      </c>
      <c r="D1972" s="6">
        <f t="shared" si="120"/>
        <v>59</v>
      </c>
      <c r="E1972" s="7" t="s">
        <v>9</v>
      </c>
      <c r="F1972" s="7" t="s">
        <v>15</v>
      </c>
      <c r="G1972" s="6">
        <v>55686</v>
      </c>
      <c r="H1972" s="6" t="str" cm="1">
        <f t="array" ref="H1972">_xlfn.IFS(
  G1972 &lt; 25000, "Low",
  AND(G1972 &gt;= 25000, G1972 &lt; 75000), "Medium",
  AND(G1972 &gt;= 75000, G1972 &lt; 150000), "High",
  G1972 &gt;= 150000, "Very High"
)</f>
        <v>Medium</v>
      </c>
      <c r="I1972" s="6">
        <v>0</v>
      </c>
      <c r="J1972" s="6">
        <v>1</v>
      </c>
      <c r="K1972" s="6">
        <f t="shared" si="121"/>
        <v>1</v>
      </c>
      <c r="L1972" s="8">
        <v>41319</v>
      </c>
      <c r="M1972" t="str">
        <f t="shared" ca="1" si="122"/>
        <v>13 years, 0 months</v>
      </c>
      <c r="N1972" s="6">
        <v>27</v>
      </c>
      <c r="O1972">
        <v>0</v>
      </c>
      <c r="P1972">
        <v>47</v>
      </c>
      <c r="Q1972">
        <f t="shared" si="123"/>
        <v>47</v>
      </c>
      <c r="R1972">
        <v>6</v>
      </c>
      <c r="S1972">
        <v>5</v>
      </c>
      <c r="T1972">
        <f>Table[[#This Row],[NumWebPurchases]]+Table[[#This Row],[NumStorePurchases]]</f>
        <v>11</v>
      </c>
    </row>
    <row r="1973" spans="1:20" ht="12.5">
      <c r="A1973" s="6">
        <v>1971</v>
      </c>
      <c r="B1973" s="6">
        <v>4338</v>
      </c>
      <c r="C1973" s="6">
        <v>1983</v>
      </c>
      <c r="D1973" s="6">
        <f t="shared" si="120"/>
        <v>42</v>
      </c>
      <c r="E1973" s="7" t="s">
        <v>9</v>
      </c>
      <c r="F1973" s="7" t="s">
        <v>10</v>
      </c>
      <c r="G1973" s="6">
        <v>39062</v>
      </c>
      <c r="H1973" s="6" t="str" cm="1">
        <f t="array" ref="H1973">_xlfn.IFS(
  G1973 &lt; 25000, "Low",
  AND(G1973 &gt;= 25000, G1973 &lt; 75000), "Medium",
  AND(G1973 &gt;= 75000, G1973 &lt; 150000), "High",
  G1973 &gt;= 150000, "Very High"
)</f>
        <v>Medium</v>
      </c>
      <c r="I1973" s="6">
        <v>1</v>
      </c>
      <c r="J1973" s="6">
        <v>0</v>
      </c>
      <c r="K1973" s="6">
        <f t="shared" si="121"/>
        <v>1</v>
      </c>
      <c r="L1973" s="8">
        <v>41723</v>
      </c>
      <c r="M1973" t="str">
        <f t="shared" ca="1" si="122"/>
        <v>11 years, 11 months</v>
      </c>
      <c r="N1973" s="6">
        <v>28</v>
      </c>
      <c r="O1973">
        <v>0</v>
      </c>
      <c r="P1973">
        <v>0</v>
      </c>
      <c r="Q1973">
        <f t="shared" si="123"/>
        <v>0</v>
      </c>
      <c r="R1973">
        <v>1</v>
      </c>
      <c r="S1973">
        <v>3</v>
      </c>
      <c r="T1973">
        <f>Table[[#This Row],[NumWebPurchases]]+Table[[#This Row],[NumStorePurchases]]</f>
        <v>4</v>
      </c>
    </row>
    <row r="1974" spans="1:20" ht="12.5">
      <c r="A1974" s="6">
        <v>1972</v>
      </c>
      <c r="B1974" s="6">
        <v>2452</v>
      </c>
      <c r="C1974" s="6">
        <v>1971</v>
      </c>
      <c r="D1974" s="6">
        <f t="shared" si="120"/>
        <v>54</v>
      </c>
      <c r="E1974" s="7" t="s">
        <v>9</v>
      </c>
      <c r="F1974" s="7" t="s">
        <v>11</v>
      </c>
      <c r="G1974" s="6">
        <v>34600</v>
      </c>
      <c r="H1974" s="6" t="str" cm="1">
        <f t="array" ref="H1974">_xlfn.IFS(
  G1974 &lt; 25000, "Low",
  AND(G1974 &gt;= 25000, G1974 &lt; 75000), "Medium",
  AND(G1974 &gt;= 75000, G1974 &lt; 150000), "High",
  G1974 &gt;= 150000, "Very High"
)</f>
        <v>Medium</v>
      </c>
      <c r="I1974" s="6">
        <v>1</v>
      </c>
      <c r="J1974" s="6">
        <v>1</v>
      </c>
      <c r="K1974" s="6">
        <f t="shared" si="121"/>
        <v>2</v>
      </c>
      <c r="L1974" s="8">
        <v>41275</v>
      </c>
      <c r="M1974" t="str">
        <f t="shared" ca="1" si="122"/>
        <v>13 years, 2 months</v>
      </c>
      <c r="N1974" s="6">
        <v>8</v>
      </c>
      <c r="O1974">
        <v>33</v>
      </c>
      <c r="P1974">
        <v>3</v>
      </c>
      <c r="Q1974">
        <f t="shared" si="123"/>
        <v>36</v>
      </c>
      <c r="R1974">
        <v>5</v>
      </c>
      <c r="S1974">
        <v>5</v>
      </c>
      <c r="T1974">
        <f>Table[[#This Row],[NumWebPurchases]]+Table[[#This Row],[NumStorePurchases]]</f>
        <v>10</v>
      </c>
    </row>
    <row r="1975" spans="1:20" ht="12.5">
      <c r="A1975" s="6">
        <v>1973</v>
      </c>
      <c r="B1975" s="6">
        <v>9507</v>
      </c>
      <c r="C1975" s="6">
        <v>1975</v>
      </c>
      <c r="D1975" s="6">
        <f t="shared" si="120"/>
        <v>50</v>
      </c>
      <c r="E1975" s="7" t="s">
        <v>9</v>
      </c>
      <c r="F1975" s="7" t="s">
        <v>13</v>
      </c>
      <c r="G1975" s="6">
        <v>40794</v>
      </c>
      <c r="H1975" s="6" t="str" cm="1">
        <f t="array" ref="H1975">_xlfn.IFS(
  G1975 &lt; 25000, "Low",
  AND(G1975 &gt;= 25000, G1975 &lt; 75000), "Medium",
  AND(G1975 &gt;= 75000, G1975 &lt; 150000), "High",
  G1975 &gt;= 150000, "Very High"
)</f>
        <v>Medium</v>
      </c>
      <c r="I1975" s="6">
        <v>0</v>
      </c>
      <c r="J1975" s="6">
        <v>1</v>
      </c>
      <c r="K1975" s="6">
        <f t="shared" si="121"/>
        <v>1</v>
      </c>
      <c r="L1975" s="8">
        <v>41371</v>
      </c>
      <c r="M1975" t="str">
        <f t="shared" ca="1" si="122"/>
        <v>12 years, 10 months</v>
      </c>
      <c r="N1975" s="6">
        <v>18</v>
      </c>
      <c r="O1975">
        <v>23</v>
      </c>
      <c r="P1975">
        <v>23</v>
      </c>
      <c r="Q1975">
        <f t="shared" si="123"/>
        <v>46</v>
      </c>
      <c r="R1975">
        <v>6</v>
      </c>
      <c r="S1975">
        <v>5</v>
      </c>
      <c r="T1975">
        <f>Table[[#This Row],[NumWebPurchases]]+Table[[#This Row],[NumStorePurchases]]</f>
        <v>11</v>
      </c>
    </row>
    <row r="1976" spans="1:20" ht="12.5">
      <c r="A1976" s="6">
        <v>1974</v>
      </c>
      <c r="B1976" s="6">
        <v>8360</v>
      </c>
      <c r="C1976" s="6">
        <v>1971</v>
      </c>
      <c r="D1976" s="6">
        <f t="shared" si="120"/>
        <v>54</v>
      </c>
      <c r="E1976" s="7" t="s">
        <v>17</v>
      </c>
      <c r="F1976" s="7" t="s">
        <v>13</v>
      </c>
      <c r="G1976" s="6">
        <v>54690</v>
      </c>
      <c r="H1976" s="6" t="str" cm="1">
        <f t="array" ref="H1976">_xlfn.IFS(
  G1976 &lt; 25000, "Low",
  AND(G1976 &gt;= 25000, G1976 &lt; 75000), "Medium",
  AND(G1976 &gt;= 75000, G1976 &lt; 150000), "High",
  G1976 &gt;= 150000, "Very High"
)</f>
        <v>Medium</v>
      </c>
      <c r="I1976" s="6">
        <v>1</v>
      </c>
      <c r="J1976" s="6">
        <v>1</v>
      </c>
      <c r="K1976" s="6">
        <f t="shared" si="121"/>
        <v>2</v>
      </c>
      <c r="L1976" s="8">
        <v>41585</v>
      </c>
      <c r="M1976" t="str">
        <f t="shared" ca="1" si="122"/>
        <v>12 years, 3 months</v>
      </c>
      <c r="N1976" s="6">
        <v>76</v>
      </c>
      <c r="O1976">
        <v>16</v>
      </c>
      <c r="P1976">
        <v>9</v>
      </c>
      <c r="Q1976">
        <f t="shared" si="123"/>
        <v>25</v>
      </c>
      <c r="R1976">
        <v>3</v>
      </c>
      <c r="S1976">
        <v>5</v>
      </c>
      <c r="T1976">
        <f>Table[[#This Row],[NumWebPurchases]]+Table[[#This Row],[NumStorePurchases]]</f>
        <v>8</v>
      </c>
    </row>
    <row r="1977" spans="1:20" ht="12.5">
      <c r="A1977" s="6">
        <v>1975</v>
      </c>
      <c r="B1977" s="6">
        <v>10311</v>
      </c>
      <c r="C1977" s="6">
        <v>1969</v>
      </c>
      <c r="D1977" s="6">
        <f t="shared" si="120"/>
        <v>56</v>
      </c>
      <c r="E1977" s="7" t="s">
        <v>9</v>
      </c>
      <c r="F1977" s="7" t="s">
        <v>13</v>
      </c>
      <c r="G1977" s="6">
        <v>4428</v>
      </c>
      <c r="H1977" s="6" t="str" cm="1">
        <f t="array" ref="H1977">_xlfn.IFS(
  G1977 &lt; 25000, "Low",
  AND(G1977 &gt;= 25000, G1977 &lt; 75000), "Medium",
  AND(G1977 &gt;= 75000, G1977 &lt; 150000), "High",
  G1977 &gt;= 150000, "Very High"
)</f>
        <v>Low</v>
      </c>
      <c r="I1977" s="6">
        <v>0</v>
      </c>
      <c r="J1977" s="6">
        <v>1</v>
      </c>
      <c r="K1977" s="6">
        <f t="shared" si="121"/>
        <v>1</v>
      </c>
      <c r="L1977" s="8">
        <v>41552</v>
      </c>
      <c r="M1977" t="str">
        <f t="shared" ca="1" si="122"/>
        <v>12 years, 5 months</v>
      </c>
      <c r="N1977" s="6">
        <v>0</v>
      </c>
      <c r="O1977">
        <v>4</v>
      </c>
      <c r="P1977">
        <v>4</v>
      </c>
      <c r="Q1977">
        <f t="shared" si="123"/>
        <v>8</v>
      </c>
      <c r="R1977">
        <v>25</v>
      </c>
      <c r="S1977">
        <v>0</v>
      </c>
      <c r="T1977">
        <f>Table[[#This Row],[NumWebPurchases]]+Table[[#This Row],[NumStorePurchases]]</f>
        <v>25</v>
      </c>
    </row>
    <row r="1978" spans="1:20" ht="12.5">
      <c r="A1978" s="6">
        <v>1976</v>
      </c>
      <c r="B1978" s="6">
        <v>5117</v>
      </c>
      <c r="C1978" s="6">
        <v>1963</v>
      </c>
      <c r="D1978" s="6">
        <f t="shared" si="120"/>
        <v>62</v>
      </c>
      <c r="E1978" s="7" t="s">
        <v>17</v>
      </c>
      <c r="F1978" s="7" t="s">
        <v>13</v>
      </c>
      <c r="G1978" s="6">
        <v>32632</v>
      </c>
      <c r="H1978" s="6" t="str" cm="1">
        <f t="array" ref="H1978">_xlfn.IFS(
  G1978 &lt; 25000, "Low",
  AND(G1978 &gt;= 25000, G1978 &lt; 75000), "Medium",
  AND(G1978 &gt;= 75000, G1978 &lt; 150000), "High",
  G1978 &gt;= 150000, "Very High"
)</f>
        <v>Medium</v>
      </c>
      <c r="I1978" s="6">
        <v>0</v>
      </c>
      <c r="J1978" s="6">
        <v>0</v>
      </c>
      <c r="K1978" s="6">
        <f t="shared" si="121"/>
        <v>0</v>
      </c>
      <c r="L1978" s="8">
        <v>41123</v>
      </c>
      <c r="M1978" t="str">
        <f t="shared" ca="1" si="122"/>
        <v>13 years, 7 months</v>
      </c>
      <c r="N1978" s="6">
        <v>32</v>
      </c>
      <c r="O1978">
        <v>151</v>
      </c>
      <c r="P1978">
        <v>19</v>
      </c>
      <c r="Q1978">
        <f t="shared" si="123"/>
        <v>170</v>
      </c>
      <c r="R1978">
        <v>4</v>
      </c>
      <c r="S1978">
        <v>8</v>
      </c>
      <c r="T1978">
        <f>Table[[#This Row],[NumWebPurchases]]+Table[[#This Row],[NumStorePurchases]]</f>
        <v>12</v>
      </c>
    </row>
    <row r="1979" spans="1:20" ht="12.5">
      <c r="A1979" s="6">
        <v>1977</v>
      </c>
      <c r="B1979" s="6">
        <v>4867</v>
      </c>
      <c r="C1979" s="6">
        <v>1968</v>
      </c>
      <c r="D1979" s="6">
        <f t="shared" si="120"/>
        <v>57</v>
      </c>
      <c r="E1979" s="7" t="s">
        <v>12</v>
      </c>
      <c r="F1979" s="7" t="s">
        <v>10</v>
      </c>
      <c r="G1979" s="6">
        <v>38236</v>
      </c>
      <c r="H1979" s="6" t="str" cm="1">
        <f t="array" ref="H1979">_xlfn.IFS(
  G1979 &lt; 25000, "Low",
  AND(G1979 &gt;= 25000, G1979 &lt; 75000), "Medium",
  AND(G1979 &gt;= 75000, G1979 &lt; 150000), "High",
  G1979 &gt;= 150000, "Very High"
)</f>
        <v>Medium</v>
      </c>
      <c r="I1979" s="6">
        <v>1</v>
      </c>
      <c r="J1979" s="6">
        <v>1</v>
      </c>
      <c r="K1979" s="6">
        <f t="shared" si="121"/>
        <v>2</v>
      </c>
      <c r="L1979" s="8">
        <v>41537</v>
      </c>
      <c r="M1979" t="str">
        <f t="shared" ca="1" si="122"/>
        <v>12 years, 5 months</v>
      </c>
      <c r="N1979" s="6">
        <v>2</v>
      </c>
      <c r="O1979">
        <v>0</v>
      </c>
      <c r="P1979">
        <v>0</v>
      </c>
      <c r="Q1979">
        <f t="shared" si="123"/>
        <v>0</v>
      </c>
      <c r="R1979">
        <v>3</v>
      </c>
      <c r="S1979">
        <v>4</v>
      </c>
      <c r="T1979">
        <f>Table[[#This Row],[NumWebPurchases]]+Table[[#This Row],[NumStorePurchases]]</f>
        <v>7</v>
      </c>
    </row>
    <row r="1980" spans="1:20" ht="12.5">
      <c r="A1980" s="6">
        <v>1978</v>
      </c>
      <c r="B1980" s="6">
        <v>9289</v>
      </c>
      <c r="C1980" s="6">
        <v>1979</v>
      </c>
      <c r="D1980" s="6">
        <f t="shared" si="120"/>
        <v>46</v>
      </c>
      <c r="E1980" s="7" t="s">
        <v>9</v>
      </c>
      <c r="F1980" s="7" t="s">
        <v>13</v>
      </c>
      <c r="G1980" s="6">
        <v>36781</v>
      </c>
      <c r="H1980" s="6" t="str" cm="1">
        <f t="array" ref="H1980">_xlfn.IFS(
  G1980 &lt; 25000, "Low",
  AND(G1980 &gt;= 25000, G1980 &lt; 75000), "Medium",
  AND(G1980 &gt;= 75000, G1980 &lt; 150000), "High",
  G1980 &gt;= 150000, "Very High"
)</f>
        <v>Medium</v>
      </c>
      <c r="I1980" s="6">
        <v>1</v>
      </c>
      <c r="J1980" s="6">
        <v>0</v>
      </c>
      <c r="K1980" s="6">
        <f t="shared" si="121"/>
        <v>1</v>
      </c>
      <c r="L1980" s="8">
        <v>41739</v>
      </c>
      <c r="M1980" t="str">
        <f t="shared" ca="1" si="122"/>
        <v>11 years, 10 months</v>
      </c>
      <c r="N1980" s="6">
        <v>16</v>
      </c>
      <c r="O1980">
        <v>1</v>
      </c>
      <c r="P1980">
        <v>3</v>
      </c>
      <c r="Q1980">
        <f t="shared" si="123"/>
        <v>4</v>
      </c>
      <c r="R1980">
        <v>2</v>
      </c>
      <c r="S1980">
        <v>2</v>
      </c>
      <c r="T1980">
        <f>Table[[#This Row],[NumWebPurchases]]+Table[[#This Row],[NumStorePurchases]]</f>
        <v>4</v>
      </c>
    </row>
    <row r="1981" spans="1:20" ht="12.5">
      <c r="A1981" s="6">
        <v>1979</v>
      </c>
      <c r="B1981" s="6">
        <v>10913</v>
      </c>
      <c r="C1981" s="6">
        <v>1984</v>
      </c>
      <c r="D1981" s="6">
        <f t="shared" si="120"/>
        <v>41</v>
      </c>
      <c r="E1981" s="7" t="s">
        <v>14</v>
      </c>
      <c r="F1981" s="7" t="s">
        <v>10</v>
      </c>
      <c r="G1981" s="6">
        <v>31385</v>
      </c>
      <c r="H1981" s="6" t="str" cm="1">
        <f t="array" ref="H1981">_xlfn.IFS(
  G1981 &lt; 25000, "Low",
  AND(G1981 &gt;= 25000, G1981 &lt; 75000), "Medium",
  AND(G1981 &gt;= 75000, G1981 &lt; 150000), "High",
  G1981 &gt;= 150000, "Very High"
)</f>
        <v>Medium</v>
      </c>
      <c r="I1981" s="6">
        <v>1</v>
      </c>
      <c r="J1981" s="6">
        <v>0</v>
      </c>
      <c r="K1981" s="6">
        <f t="shared" si="121"/>
        <v>1</v>
      </c>
      <c r="L1981" s="8">
        <v>41248</v>
      </c>
      <c r="M1981" t="str">
        <f t="shared" ca="1" si="122"/>
        <v>13 years, 3 months</v>
      </c>
      <c r="N1981" s="6">
        <v>56</v>
      </c>
      <c r="O1981">
        <v>2</v>
      </c>
      <c r="P1981">
        <v>1</v>
      </c>
      <c r="Q1981">
        <f t="shared" si="123"/>
        <v>3</v>
      </c>
      <c r="R1981">
        <v>1</v>
      </c>
      <c r="S1981">
        <v>2</v>
      </c>
      <c r="T1981">
        <f>Table[[#This Row],[NumWebPurchases]]+Table[[#This Row],[NumStorePurchases]]</f>
        <v>3</v>
      </c>
    </row>
    <row r="1982" spans="1:20" ht="12.5">
      <c r="A1982" s="6">
        <v>1980</v>
      </c>
      <c r="B1982" s="6">
        <v>3032</v>
      </c>
      <c r="C1982" s="6">
        <v>1984</v>
      </c>
      <c r="D1982" s="6">
        <f t="shared" si="120"/>
        <v>41</v>
      </c>
      <c r="E1982" s="7" t="s">
        <v>9</v>
      </c>
      <c r="F1982" s="7" t="s">
        <v>13</v>
      </c>
      <c r="G1982" s="6">
        <v>24570</v>
      </c>
      <c r="H1982" s="6" t="str" cm="1">
        <f t="array" ref="H1982">_xlfn.IFS(
  G1982 &lt; 25000, "Low",
  AND(G1982 &gt;= 25000, G1982 &lt; 75000), "Medium",
  AND(G1982 &gt;= 75000, G1982 &lt; 150000), "High",
  G1982 &gt;= 150000, "Very High"
)</f>
        <v>Low</v>
      </c>
      <c r="I1982" s="6">
        <v>1</v>
      </c>
      <c r="J1982" s="6">
        <v>0</v>
      </c>
      <c r="K1982" s="6">
        <f t="shared" si="121"/>
        <v>1</v>
      </c>
      <c r="L1982" s="8">
        <v>41332</v>
      </c>
      <c r="M1982" t="str">
        <f t="shared" ca="1" si="122"/>
        <v>13 years, 0 months</v>
      </c>
      <c r="N1982" s="6">
        <v>97</v>
      </c>
      <c r="O1982">
        <v>34</v>
      </c>
      <c r="P1982">
        <v>14</v>
      </c>
      <c r="Q1982">
        <f t="shared" si="123"/>
        <v>48</v>
      </c>
      <c r="R1982">
        <v>4</v>
      </c>
      <c r="S1982">
        <v>4</v>
      </c>
      <c r="T1982">
        <f>Table[[#This Row],[NumWebPurchases]]+Table[[#This Row],[NumStorePurchases]]</f>
        <v>8</v>
      </c>
    </row>
    <row r="1983" spans="1:20" ht="12.5">
      <c r="A1983" s="6">
        <v>1981</v>
      </c>
      <c r="B1983" s="6">
        <v>8524</v>
      </c>
      <c r="C1983" s="6">
        <v>1974</v>
      </c>
      <c r="D1983" s="6">
        <f t="shared" si="120"/>
        <v>51</v>
      </c>
      <c r="E1983" s="7" t="s">
        <v>12</v>
      </c>
      <c r="F1983" s="7" t="s">
        <v>15</v>
      </c>
      <c r="G1983" s="6">
        <v>25509</v>
      </c>
      <c r="H1983" s="6" t="str" cm="1">
        <f t="array" ref="H1983">_xlfn.IFS(
  G1983 &lt; 25000, "Low",
  AND(G1983 &gt;= 25000, G1983 &lt; 75000), "Medium",
  AND(G1983 &gt;= 75000, G1983 &lt; 150000), "High",
  G1983 &gt;= 150000, "Very High"
)</f>
        <v>Medium</v>
      </c>
      <c r="I1983" s="6">
        <v>1</v>
      </c>
      <c r="J1983" s="6">
        <v>0</v>
      </c>
      <c r="K1983" s="6">
        <f t="shared" si="121"/>
        <v>1</v>
      </c>
      <c r="L1983" s="8">
        <v>41170</v>
      </c>
      <c r="M1983" t="str">
        <f t="shared" ca="1" si="122"/>
        <v>13 years, 5 months</v>
      </c>
      <c r="N1983" s="6">
        <v>15</v>
      </c>
      <c r="O1983">
        <v>3</v>
      </c>
      <c r="P1983">
        <v>7</v>
      </c>
      <c r="Q1983">
        <f t="shared" si="123"/>
        <v>10</v>
      </c>
      <c r="R1983">
        <v>3</v>
      </c>
      <c r="S1983">
        <v>3</v>
      </c>
      <c r="T1983">
        <f>Table[[#This Row],[NumWebPurchases]]+Table[[#This Row],[NumStorePurchases]]</f>
        <v>6</v>
      </c>
    </row>
    <row r="1984" spans="1:20" ht="12.5">
      <c r="A1984" s="6">
        <v>1982</v>
      </c>
      <c r="B1984" s="6">
        <v>3334</v>
      </c>
      <c r="C1984" s="6">
        <v>1951</v>
      </c>
      <c r="D1984" s="6">
        <f t="shared" si="120"/>
        <v>74</v>
      </c>
      <c r="E1984" s="7" t="s">
        <v>9</v>
      </c>
      <c r="F1984" s="7" t="s">
        <v>13</v>
      </c>
      <c r="G1984" s="6">
        <v>94642</v>
      </c>
      <c r="H1984" s="6" t="str" cm="1">
        <f t="array" ref="H1984">_xlfn.IFS(
  G1984 &lt; 25000, "Low",
  AND(G1984 &gt;= 25000, G1984 &lt; 75000), "Medium",
  AND(G1984 &gt;= 75000, G1984 &lt; 150000), "High",
  G1984 &gt;= 150000, "Very High"
)</f>
        <v>High</v>
      </c>
      <c r="I1984" s="6">
        <v>0</v>
      </c>
      <c r="J1984" s="6">
        <v>0</v>
      </c>
      <c r="K1984" s="6">
        <f t="shared" si="121"/>
        <v>0</v>
      </c>
      <c r="L1984" s="8">
        <v>41682</v>
      </c>
      <c r="M1984" t="str">
        <f t="shared" ca="1" si="122"/>
        <v>12 years, 0 months</v>
      </c>
      <c r="N1984" s="6">
        <v>35</v>
      </c>
      <c r="O1984">
        <v>143</v>
      </c>
      <c r="P1984">
        <v>143</v>
      </c>
      <c r="Q1984">
        <f t="shared" si="123"/>
        <v>286</v>
      </c>
      <c r="R1984">
        <v>5</v>
      </c>
      <c r="S1984">
        <v>9</v>
      </c>
      <c r="T1984">
        <f>Table[[#This Row],[NumWebPurchases]]+Table[[#This Row],[NumStorePurchases]]</f>
        <v>14</v>
      </c>
    </row>
    <row r="1985" spans="1:20" ht="12.5">
      <c r="A1985" s="6">
        <v>1983</v>
      </c>
      <c r="B1985" s="6">
        <v>4470</v>
      </c>
      <c r="C1985" s="6">
        <v>1962</v>
      </c>
      <c r="D1985" s="6">
        <f t="shared" si="120"/>
        <v>63</v>
      </c>
      <c r="E1985" s="7" t="s">
        <v>14</v>
      </c>
      <c r="F1985" s="7" t="s">
        <v>13</v>
      </c>
      <c r="G1985" s="6">
        <v>58646</v>
      </c>
      <c r="H1985" s="6" t="str" cm="1">
        <f t="array" ref="H1985">_xlfn.IFS(
  G1985 &lt; 25000, "Low",
  AND(G1985 &gt;= 25000, G1985 &lt; 75000), "Medium",
  AND(G1985 &gt;= 75000, G1985 &lt; 150000), "High",
  G1985 &gt;= 150000, "Very High"
)</f>
        <v>Medium</v>
      </c>
      <c r="I1985" s="6">
        <v>0</v>
      </c>
      <c r="J1985" s="6">
        <v>1</v>
      </c>
      <c r="K1985" s="6">
        <f t="shared" si="121"/>
        <v>1</v>
      </c>
      <c r="L1985" s="8">
        <v>41435</v>
      </c>
      <c r="M1985" t="str">
        <f t="shared" ca="1" si="122"/>
        <v>12 years, 8 months</v>
      </c>
      <c r="N1985" s="6">
        <v>3</v>
      </c>
      <c r="O1985">
        <v>1</v>
      </c>
      <c r="P1985">
        <v>5</v>
      </c>
      <c r="Q1985">
        <f t="shared" si="123"/>
        <v>6</v>
      </c>
      <c r="R1985">
        <v>2</v>
      </c>
      <c r="S1985">
        <v>4</v>
      </c>
      <c r="T1985">
        <f>Table[[#This Row],[NumWebPurchases]]+Table[[#This Row],[NumStorePurchases]]</f>
        <v>6</v>
      </c>
    </row>
    <row r="1986" spans="1:20" ht="12.5">
      <c r="A1986" s="6">
        <v>1984</v>
      </c>
      <c r="B1986" s="6">
        <v>1406</v>
      </c>
      <c r="C1986" s="6">
        <v>1975</v>
      </c>
      <c r="D1986" s="6">
        <f t="shared" si="120"/>
        <v>50</v>
      </c>
      <c r="E1986" s="7" t="s">
        <v>9</v>
      </c>
      <c r="F1986" s="7" t="s">
        <v>10</v>
      </c>
      <c r="G1986" s="6">
        <v>53201</v>
      </c>
      <c r="H1986" s="6" t="str" cm="1">
        <f t="array" ref="H1986">_xlfn.IFS(
  G1986 &lt; 25000, "Low",
  AND(G1986 &gt;= 25000, G1986 &lt; 75000), "Medium",
  AND(G1986 &gt;= 75000, G1986 &lt; 150000), "High",
  G1986 &gt;= 150000, "Very High"
)</f>
        <v>Medium</v>
      </c>
      <c r="I1986" s="6">
        <v>1</v>
      </c>
      <c r="J1986" s="6">
        <v>1</v>
      </c>
      <c r="K1986" s="6">
        <f t="shared" si="121"/>
        <v>2</v>
      </c>
      <c r="L1986" s="8">
        <v>41317</v>
      </c>
      <c r="M1986" t="str">
        <f t="shared" ca="1" si="122"/>
        <v>13 years, 0 months</v>
      </c>
      <c r="N1986" s="6">
        <v>49</v>
      </c>
      <c r="O1986">
        <v>7</v>
      </c>
      <c r="P1986">
        <v>0</v>
      </c>
      <c r="Q1986">
        <f t="shared" si="123"/>
        <v>7</v>
      </c>
      <c r="R1986">
        <v>6</v>
      </c>
      <c r="S1986">
        <v>5</v>
      </c>
      <c r="T1986">
        <f>Table[[#This Row],[NumWebPurchases]]+Table[[#This Row],[NumStorePurchases]]</f>
        <v>11</v>
      </c>
    </row>
    <row r="1987" spans="1:20" ht="12.5">
      <c r="A1987" s="6">
        <v>1985</v>
      </c>
      <c r="B1987" s="6">
        <v>8619</v>
      </c>
      <c r="C1987" s="6">
        <v>1957</v>
      </c>
      <c r="D1987" s="6">
        <f t="shared" ref="D1987:D2050" si="124">2025-C1987</f>
        <v>68</v>
      </c>
      <c r="E1987" s="7" t="s">
        <v>9</v>
      </c>
      <c r="F1987" s="7" t="s">
        <v>11</v>
      </c>
      <c r="G1987" s="6">
        <v>21994</v>
      </c>
      <c r="H1987" s="6" t="str" cm="1">
        <f t="array" ref="H1987">_xlfn.IFS(
  G1987 &lt; 25000, "Low",
  AND(G1987 &gt;= 25000, G1987 &lt; 75000), "Medium",
  AND(G1987 &gt;= 75000, G1987 &lt; 150000), "High",
  G1987 &gt;= 150000, "Very High"
)</f>
        <v>Low</v>
      </c>
      <c r="I1987" s="6">
        <v>0</v>
      </c>
      <c r="J1987" s="6">
        <v>1</v>
      </c>
      <c r="K1987" s="6">
        <f t="shared" ref="K1987:K2050" si="125">I1987+J1987</f>
        <v>1</v>
      </c>
      <c r="L1987" s="9">
        <v>41267</v>
      </c>
      <c r="M1987" t="str">
        <f t="shared" ref="M1987:M2050" ca="1" si="126">DATEDIF(L1987, TODAY(), "Y") &amp; " years, " &amp; DATEDIF(L1987, TODAY(), "YM") &amp; " months"</f>
        <v>13 years, 2 months</v>
      </c>
      <c r="N1987" s="6">
        <v>4</v>
      </c>
      <c r="O1987">
        <v>0</v>
      </c>
      <c r="P1987">
        <v>1</v>
      </c>
      <c r="Q1987">
        <f t="shared" ref="Q1987:Q2050" si="127">O1987+P1987</f>
        <v>1</v>
      </c>
      <c r="R1987">
        <v>0</v>
      </c>
      <c r="S1987">
        <v>3</v>
      </c>
      <c r="T1987">
        <f>Table[[#This Row],[NumWebPurchases]]+Table[[#This Row],[NumStorePurchases]]</f>
        <v>3</v>
      </c>
    </row>
    <row r="1988" spans="1:20" ht="12.5">
      <c r="A1988" s="6">
        <v>1986</v>
      </c>
      <c r="B1988" s="6">
        <v>10821</v>
      </c>
      <c r="C1988" s="6">
        <v>1978</v>
      </c>
      <c r="D1988" s="6">
        <f t="shared" si="124"/>
        <v>47</v>
      </c>
      <c r="E1988" s="7" t="s">
        <v>9</v>
      </c>
      <c r="F1988" s="7" t="s">
        <v>13</v>
      </c>
      <c r="G1988" s="6">
        <v>57113</v>
      </c>
      <c r="H1988" s="6" t="str" cm="1">
        <f t="array" ref="H1988">_xlfn.IFS(
  G1988 &lt; 25000, "Low",
  AND(G1988 &gt;= 25000, G1988 &lt; 75000), "Medium",
  AND(G1988 &gt;= 75000, G1988 &lt; 150000), "High",
  G1988 &gt;= 150000, "Very High"
)</f>
        <v>Medium</v>
      </c>
      <c r="I1988" s="6">
        <v>1</v>
      </c>
      <c r="J1988" s="6">
        <v>1</v>
      </c>
      <c r="K1988" s="6">
        <f t="shared" si="125"/>
        <v>2</v>
      </c>
      <c r="L1988" s="8">
        <v>41311</v>
      </c>
      <c r="M1988" t="str">
        <f t="shared" ca="1" si="126"/>
        <v>13 years, 1 months</v>
      </c>
      <c r="N1988" s="6">
        <v>45</v>
      </c>
      <c r="O1988">
        <v>4</v>
      </c>
      <c r="P1988">
        <v>2</v>
      </c>
      <c r="Q1988">
        <f t="shared" si="127"/>
        <v>6</v>
      </c>
      <c r="R1988">
        <v>4</v>
      </c>
      <c r="S1988">
        <v>5</v>
      </c>
      <c r="T1988">
        <f>Table[[#This Row],[NumWebPurchases]]+Table[[#This Row],[NumStorePurchases]]</f>
        <v>9</v>
      </c>
    </row>
    <row r="1989" spans="1:20" ht="12.5">
      <c r="A1989" s="6">
        <v>1987</v>
      </c>
      <c r="B1989" s="6">
        <v>4552</v>
      </c>
      <c r="C1989" s="6">
        <v>1991</v>
      </c>
      <c r="D1989" s="6">
        <f t="shared" si="124"/>
        <v>34</v>
      </c>
      <c r="E1989" s="7" t="s">
        <v>9</v>
      </c>
      <c r="F1989" s="7" t="s">
        <v>13</v>
      </c>
      <c r="G1989" s="6">
        <v>51373</v>
      </c>
      <c r="H1989" s="6" t="str" cm="1">
        <f t="array" ref="H1989">_xlfn.IFS(
  G1989 &lt; 25000, "Low",
  AND(G1989 &gt;= 25000, G1989 &lt; 75000), "Medium",
  AND(G1989 &gt;= 75000, G1989 &lt; 150000), "High",
  G1989 &gt;= 150000, "Very High"
)</f>
        <v>Medium</v>
      </c>
      <c r="I1989" s="6">
        <v>0</v>
      </c>
      <c r="J1989" s="6">
        <v>0</v>
      </c>
      <c r="K1989" s="6">
        <f t="shared" si="125"/>
        <v>0</v>
      </c>
      <c r="L1989" s="8">
        <v>41447</v>
      </c>
      <c r="M1989" t="str">
        <f t="shared" ca="1" si="126"/>
        <v>12 years, 8 months</v>
      </c>
      <c r="N1989" s="6">
        <v>37</v>
      </c>
      <c r="O1989">
        <v>2</v>
      </c>
      <c r="P1989">
        <v>26</v>
      </c>
      <c r="Q1989">
        <f t="shared" si="127"/>
        <v>28</v>
      </c>
      <c r="R1989">
        <v>3</v>
      </c>
      <c r="S1989">
        <v>3</v>
      </c>
      <c r="T1989">
        <f>Table[[#This Row],[NumWebPurchases]]+Table[[#This Row],[NumStorePurchases]]</f>
        <v>6</v>
      </c>
    </row>
    <row r="1990" spans="1:20" ht="12.5">
      <c r="A1990" s="6">
        <v>1988</v>
      </c>
      <c r="B1990" s="6">
        <v>898</v>
      </c>
      <c r="C1990" s="6">
        <v>1986</v>
      </c>
      <c r="D1990" s="6">
        <f t="shared" si="124"/>
        <v>39</v>
      </c>
      <c r="E1990" s="7" t="s">
        <v>9</v>
      </c>
      <c r="F1990" s="7" t="s">
        <v>13</v>
      </c>
      <c r="G1990" s="6">
        <v>23477</v>
      </c>
      <c r="H1990" s="6" t="str" cm="1">
        <f t="array" ref="H1990">_xlfn.IFS(
  G1990 &lt; 25000, "Low",
  AND(G1990 &gt;= 25000, G1990 &lt; 75000), "Medium",
  AND(G1990 &gt;= 75000, G1990 &lt; 150000), "High",
  G1990 &gt;= 150000, "Very High"
)</f>
        <v>Low</v>
      </c>
      <c r="I1990" s="6">
        <v>1</v>
      </c>
      <c r="J1990" s="6">
        <v>0</v>
      </c>
      <c r="K1990" s="6">
        <f t="shared" si="125"/>
        <v>1</v>
      </c>
      <c r="L1990" s="9">
        <v>41568</v>
      </c>
      <c r="M1990" t="str">
        <f t="shared" ca="1" si="126"/>
        <v>12 years, 4 months</v>
      </c>
      <c r="N1990" s="6">
        <v>39</v>
      </c>
      <c r="O1990">
        <v>15</v>
      </c>
      <c r="P1990">
        <v>8</v>
      </c>
      <c r="Q1990">
        <f t="shared" si="127"/>
        <v>23</v>
      </c>
      <c r="R1990">
        <v>3</v>
      </c>
      <c r="S1990">
        <v>4</v>
      </c>
      <c r="T1990">
        <f>Table[[#This Row],[NumWebPurchases]]+Table[[#This Row],[NumStorePurchases]]</f>
        <v>7</v>
      </c>
    </row>
    <row r="1991" spans="1:20" ht="12.5">
      <c r="A1991" s="6">
        <v>1989</v>
      </c>
      <c r="B1991" s="6">
        <v>9797</v>
      </c>
      <c r="C1991" s="6">
        <v>1956</v>
      </c>
      <c r="D1991" s="6">
        <f t="shared" si="124"/>
        <v>69</v>
      </c>
      <c r="E1991" s="7" t="s">
        <v>9</v>
      </c>
      <c r="F1991" s="7" t="s">
        <v>13</v>
      </c>
      <c r="G1991" s="6">
        <v>58116</v>
      </c>
      <c r="H1991" s="6" t="str" cm="1">
        <f t="array" ref="H1991">_xlfn.IFS(
  G1991 &lt; 25000, "Low",
  AND(G1991 &gt;= 25000, G1991 &lt; 75000), "Medium",
  AND(G1991 &gt;= 75000, G1991 &lt; 150000), "High",
  G1991 &gt;= 150000, "Very High"
)</f>
        <v>Medium</v>
      </c>
      <c r="I1991" s="6">
        <v>0</v>
      </c>
      <c r="J1991" s="6">
        <v>1</v>
      </c>
      <c r="K1991" s="6">
        <f t="shared" si="125"/>
        <v>1</v>
      </c>
      <c r="L1991" s="8">
        <v>41742</v>
      </c>
      <c r="M1991" t="str">
        <f t="shared" ca="1" si="126"/>
        <v>11 years, 10 months</v>
      </c>
      <c r="N1991" s="6">
        <v>38</v>
      </c>
      <c r="O1991">
        <v>19</v>
      </c>
      <c r="P1991">
        <v>11</v>
      </c>
      <c r="Q1991">
        <f t="shared" si="127"/>
        <v>30</v>
      </c>
      <c r="R1991">
        <v>3</v>
      </c>
      <c r="S1991">
        <v>8</v>
      </c>
      <c r="T1991">
        <f>Table[[#This Row],[NumWebPurchases]]+Table[[#This Row],[NumStorePurchases]]</f>
        <v>11</v>
      </c>
    </row>
    <row r="1992" spans="1:20" ht="12.5">
      <c r="A1992" s="6">
        <v>1990</v>
      </c>
      <c r="B1992" s="6">
        <v>10949</v>
      </c>
      <c r="C1992" s="6">
        <v>1963</v>
      </c>
      <c r="D1992" s="6">
        <f t="shared" si="124"/>
        <v>62</v>
      </c>
      <c r="E1992" s="7" t="s">
        <v>12</v>
      </c>
      <c r="F1992" s="7" t="s">
        <v>15</v>
      </c>
      <c r="G1992" s="6">
        <v>72968</v>
      </c>
      <c r="H1992" s="6" t="str" cm="1">
        <f t="array" ref="H1992">_xlfn.IFS(
  G1992 &lt; 25000, "Low",
  AND(G1992 &gt;= 25000, G1992 &lt; 75000), "Medium",
  AND(G1992 &gt;= 75000, G1992 &lt; 150000), "High",
  G1992 &gt;= 150000, "Very High"
)</f>
        <v>Medium</v>
      </c>
      <c r="I1992" s="6">
        <v>0</v>
      </c>
      <c r="J1992" s="6">
        <v>0</v>
      </c>
      <c r="K1992" s="6">
        <f t="shared" si="125"/>
        <v>0</v>
      </c>
      <c r="L1992" s="9">
        <v>41624</v>
      </c>
      <c r="M1992" t="str">
        <f t="shared" ca="1" si="126"/>
        <v>12 years, 2 months</v>
      </c>
      <c r="N1992" s="6">
        <v>8</v>
      </c>
      <c r="O1992">
        <v>37</v>
      </c>
      <c r="P1992">
        <v>37</v>
      </c>
      <c r="Q1992">
        <f t="shared" si="127"/>
        <v>74</v>
      </c>
      <c r="R1992">
        <v>5</v>
      </c>
      <c r="S1992">
        <v>8</v>
      </c>
      <c r="T1992">
        <f>Table[[#This Row],[NumWebPurchases]]+Table[[#This Row],[NumStorePurchases]]</f>
        <v>13</v>
      </c>
    </row>
    <row r="1993" spans="1:20" ht="12.5">
      <c r="A1993" s="6">
        <v>1991</v>
      </c>
      <c r="B1993" s="6">
        <v>8212</v>
      </c>
      <c r="C1993" s="6">
        <v>1971</v>
      </c>
      <c r="D1993" s="6">
        <f t="shared" si="124"/>
        <v>54</v>
      </c>
      <c r="E1993" s="7" t="s">
        <v>14</v>
      </c>
      <c r="F1993" s="7" t="s">
        <v>13</v>
      </c>
      <c r="G1993" s="6">
        <v>39791</v>
      </c>
      <c r="H1993" s="6" t="str" cm="1">
        <f t="array" ref="H1993">_xlfn.IFS(
  G1993 &lt; 25000, "Low",
  AND(G1993 &gt;= 25000, G1993 &lt; 75000), "Medium",
  AND(G1993 &gt;= 75000, G1993 &lt; 150000), "High",
  G1993 &gt;= 150000, "Very High"
)</f>
        <v>Medium</v>
      </c>
      <c r="I1993" s="6">
        <v>0</v>
      </c>
      <c r="J1993" s="6">
        <v>1</v>
      </c>
      <c r="K1993" s="6">
        <f t="shared" si="125"/>
        <v>1</v>
      </c>
      <c r="L1993" s="8">
        <v>41361</v>
      </c>
      <c r="M1993" t="str">
        <f t="shared" ca="1" si="126"/>
        <v>12 years, 11 months</v>
      </c>
      <c r="N1993" s="6">
        <v>89</v>
      </c>
      <c r="O1993">
        <v>15</v>
      </c>
      <c r="P1993">
        <v>13</v>
      </c>
      <c r="Q1993">
        <f t="shared" si="127"/>
        <v>28</v>
      </c>
      <c r="R1993">
        <v>3</v>
      </c>
      <c r="S1993">
        <v>4</v>
      </c>
      <c r="T1993">
        <f>Table[[#This Row],[NumWebPurchases]]+Table[[#This Row],[NumStorePurchases]]</f>
        <v>7</v>
      </c>
    </row>
    <row r="1994" spans="1:20" ht="12.5">
      <c r="A1994" s="6">
        <v>1992</v>
      </c>
      <c r="B1994" s="6">
        <v>6248</v>
      </c>
      <c r="C1994" s="6">
        <v>1947</v>
      </c>
      <c r="D1994" s="6">
        <f t="shared" si="124"/>
        <v>78</v>
      </c>
      <c r="E1994" s="7" t="s">
        <v>14</v>
      </c>
      <c r="F1994" s="7" t="s">
        <v>10</v>
      </c>
      <c r="G1994" s="6">
        <v>91712</v>
      </c>
      <c r="H1994" s="6" t="str" cm="1">
        <f t="array" ref="H1994">_xlfn.IFS(
  G1994 &lt; 25000, "Low",
  AND(G1994 &gt;= 25000, G1994 &lt; 75000), "Medium",
  AND(G1994 &gt;= 75000, G1994 &lt; 150000), "High",
  G1994 &gt;= 150000, "Very High"
)</f>
        <v>High</v>
      </c>
      <c r="I1994" s="6">
        <v>0</v>
      </c>
      <c r="J1994" s="6">
        <v>0</v>
      </c>
      <c r="K1994" s="6">
        <f t="shared" si="125"/>
        <v>0</v>
      </c>
      <c r="L1994" s="9">
        <v>41564</v>
      </c>
      <c r="M1994" t="str">
        <f t="shared" ca="1" si="126"/>
        <v>12 years, 4 months</v>
      </c>
      <c r="N1994" s="6">
        <v>47</v>
      </c>
      <c r="O1994">
        <v>24</v>
      </c>
      <c r="P1994">
        <v>29</v>
      </c>
      <c r="Q1994">
        <f t="shared" si="127"/>
        <v>53</v>
      </c>
      <c r="R1994">
        <v>9</v>
      </c>
      <c r="S1994">
        <v>11</v>
      </c>
      <c r="T1994">
        <f>Table[[#This Row],[NumWebPurchases]]+Table[[#This Row],[NumStorePurchases]]</f>
        <v>20</v>
      </c>
    </row>
    <row r="1995" spans="1:20" ht="12.5">
      <c r="A1995" s="6">
        <v>1993</v>
      </c>
      <c r="B1995" s="6">
        <v>10164</v>
      </c>
      <c r="C1995" s="6">
        <v>1958</v>
      </c>
      <c r="D1995" s="6">
        <f t="shared" si="124"/>
        <v>67</v>
      </c>
      <c r="E1995" s="7" t="s">
        <v>9</v>
      </c>
      <c r="F1995" s="7" t="s">
        <v>10</v>
      </c>
      <c r="G1995" s="6">
        <v>94472</v>
      </c>
      <c r="H1995" s="6" t="str" cm="1">
        <f t="array" ref="H1995">_xlfn.IFS(
  G1995 &lt; 25000, "Low",
  AND(G1995 &gt;= 25000, G1995 &lt; 75000), "Medium",
  AND(G1995 &gt;= 75000, G1995 &lt; 150000), "High",
  G1995 &gt;= 150000, "Very High"
)</f>
        <v>High</v>
      </c>
      <c r="I1995" s="6">
        <v>0</v>
      </c>
      <c r="J1995" s="6">
        <v>1</v>
      </c>
      <c r="K1995" s="6">
        <f t="shared" si="125"/>
        <v>1</v>
      </c>
      <c r="L1995" s="8">
        <v>41732</v>
      </c>
      <c r="M1995" t="str">
        <f t="shared" ca="1" si="126"/>
        <v>11 years, 11 months</v>
      </c>
      <c r="N1995" s="6">
        <v>75</v>
      </c>
      <c r="O1995">
        <v>33</v>
      </c>
      <c r="P1995">
        <v>100</v>
      </c>
      <c r="Q1995">
        <f t="shared" si="127"/>
        <v>133</v>
      </c>
      <c r="R1995">
        <v>5</v>
      </c>
      <c r="S1995">
        <v>5</v>
      </c>
      <c r="T1995">
        <f>Table[[#This Row],[NumWebPurchases]]+Table[[#This Row],[NumStorePurchases]]</f>
        <v>10</v>
      </c>
    </row>
    <row r="1996" spans="1:20" ht="12.5">
      <c r="A1996" s="6">
        <v>1994</v>
      </c>
      <c r="B1996" s="6">
        <v>4547</v>
      </c>
      <c r="C1996" s="6">
        <v>1960</v>
      </c>
      <c r="D1996" s="6">
        <f t="shared" si="124"/>
        <v>65</v>
      </c>
      <c r="E1996" s="7" t="s">
        <v>9</v>
      </c>
      <c r="F1996" s="7" t="s">
        <v>11</v>
      </c>
      <c r="G1996" s="6">
        <v>13672</v>
      </c>
      <c r="H1996" s="6" t="str" cm="1">
        <f t="array" ref="H1996">_xlfn.IFS(
  G1996 &lt; 25000, "Low",
  AND(G1996 &gt;= 25000, G1996 &lt; 75000), "Medium",
  AND(G1996 &gt;= 75000, G1996 &lt; 150000), "High",
  G1996 &gt;= 150000, "Very High"
)</f>
        <v>Low</v>
      </c>
      <c r="I1996" s="6">
        <v>1</v>
      </c>
      <c r="J1996" s="6">
        <v>1</v>
      </c>
      <c r="K1996" s="6">
        <f t="shared" si="125"/>
        <v>2</v>
      </c>
      <c r="L1996" s="8">
        <v>41381</v>
      </c>
      <c r="M1996" t="str">
        <f t="shared" ca="1" si="126"/>
        <v>12 years, 10 months</v>
      </c>
      <c r="N1996" s="6">
        <v>86</v>
      </c>
      <c r="O1996">
        <v>2</v>
      </c>
      <c r="P1996">
        <v>1</v>
      </c>
      <c r="Q1996">
        <f t="shared" si="127"/>
        <v>3</v>
      </c>
      <c r="R1996">
        <v>1</v>
      </c>
      <c r="S1996">
        <v>3</v>
      </c>
      <c r="T1996">
        <f>Table[[#This Row],[NumWebPurchases]]+Table[[#This Row],[NumStorePurchases]]</f>
        <v>4</v>
      </c>
    </row>
    <row r="1997" spans="1:20" ht="12.5">
      <c r="A1997" s="6">
        <v>1995</v>
      </c>
      <c r="B1997" s="6">
        <v>6815</v>
      </c>
      <c r="C1997" s="6">
        <v>1980</v>
      </c>
      <c r="D1997" s="6">
        <f t="shared" si="124"/>
        <v>45</v>
      </c>
      <c r="E1997" s="7" t="s">
        <v>17</v>
      </c>
      <c r="F1997" s="7" t="s">
        <v>13</v>
      </c>
      <c r="G1997" s="6">
        <v>96547</v>
      </c>
      <c r="H1997" s="6" t="str" cm="1">
        <f t="array" ref="H1997">_xlfn.IFS(
  G1997 &lt; 25000, "Low",
  AND(G1997 &gt;= 25000, G1997 &lt; 75000), "Medium",
  AND(G1997 &gt;= 75000, G1997 &lt; 150000), "High",
  G1997 &gt;= 150000, "Very High"
)</f>
        <v>High</v>
      </c>
      <c r="I1997" s="6">
        <v>0</v>
      </c>
      <c r="J1997" s="6">
        <v>0</v>
      </c>
      <c r="K1997" s="6">
        <f t="shared" si="125"/>
        <v>0</v>
      </c>
      <c r="L1997" s="8">
        <v>41782</v>
      </c>
      <c r="M1997" t="str">
        <f t="shared" ca="1" si="126"/>
        <v>11 years, 9 months</v>
      </c>
      <c r="N1997" s="6">
        <v>4</v>
      </c>
      <c r="O1997">
        <v>21</v>
      </c>
      <c r="P1997">
        <v>101</v>
      </c>
      <c r="Q1997">
        <f t="shared" si="127"/>
        <v>122</v>
      </c>
      <c r="R1997">
        <v>7</v>
      </c>
      <c r="S1997">
        <v>8</v>
      </c>
      <c r="T1997">
        <f>Table[[#This Row],[NumWebPurchases]]+Table[[#This Row],[NumStorePurchases]]</f>
        <v>15</v>
      </c>
    </row>
    <row r="1998" spans="1:20" ht="12.5">
      <c r="A1998" s="6">
        <v>1996</v>
      </c>
      <c r="B1998" s="6">
        <v>4122</v>
      </c>
      <c r="C1998" s="6">
        <v>1975</v>
      </c>
      <c r="D1998" s="6">
        <f t="shared" si="124"/>
        <v>50</v>
      </c>
      <c r="E1998" s="7" t="s">
        <v>9</v>
      </c>
      <c r="F1998" s="7" t="s">
        <v>13</v>
      </c>
      <c r="G1998" s="6">
        <v>79205</v>
      </c>
      <c r="H1998" s="6" t="str" cm="1">
        <f t="array" ref="H1998">_xlfn.IFS(
  G1998 &lt; 25000, "Low",
  AND(G1998 &gt;= 25000, G1998 &lt; 75000), "Medium",
  AND(G1998 &gt;= 75000, G1998 &lt; 150000), "High",
  G1998 &gt;= 150000, "Very High"
)</f>
        <v>High</v>
      </c>
      <c r="I1998" s="6">
        <v>0</v>
      </c>
      <c r="J1998" s="6">
        <v>0</v>
      </c>
      <c r="K1998" s="6">
        <f t="shared" si="125"/>
        <v>0</v>
      </c>
      <c r="L1998" s="8">
        <v>41150</v>
      </c>
      <c r="M1998" t="str">
        <f t="shared" ca="1" si="126"/>
        <v>13 years, 6 months</v>
      </c>
      <c r="N1998" s="6">
        <v>73</v>
      </c>
      <c r="O1998">
        <v>23</v>
      </c>
      <c r="P1998">
        <v>28</v>
      </c>
      <c r="Q1998">
        <f t="shared" si="127"/>
        <v>51</v>
      </c>
      <c r="R1998">
        <v>6</v>
      </c>
      <c r="S1998">
        <v>4</v>
      </c>
      <c r="T1998">
        <f>Table[[#This Row],[NumWebPurchases]]+Table[[#This Row],[NumStorePurchases]]</f>
        <v>10</v>
      </c>
    </row>
    <row r="1999" spans="1:20" ht="12.5">
      <c r="A1999" s="6">
        <v>1997</v>
      </c>
      <c r="B1999" s="6">
        <v>10841</v>
      </c>
      <c r="C1999" s="6">
        <v>1975</v>
      </c>
      <c r="D1999" s="6">
        <f t="shared" si="124"/>
        <v>50</v>
      </c>
      <c r="E1999" s="7" t="s">
        <v>12</v>
      </c>
      <c r="F1999" s="7" t="s">
        <v>11</v>
      </c>
      <c r="G1999" s="6">
        <v>56559</v>
      </c>
      <c r="H1999" s="6" t="str" cm="1">
        <f t="array" ref="H1999">_xlfn.IFS(
  G1999 &lt; 25000, "Low",
  AND(G1999 &gt;= 25000, G1999 &lt; 75000), "Medium",
  AND(G1999 &gt;= 75000, G1999 &lt; 150000), "High",
  G1999 &gt;= 150000, "Very High"
)</f>
        <v>Medium</v>
      </c>
      <c r="I1999" s="6">
        <v>0</v>
      </c>
      <c r="J1999" s="6">
        <v>1</v>
      </c>
      <c r="K1999" s="6">
        <f t="shared" si="125"/>
        <v>1</v>
      </c>
      <c r="L1999" s="9">
        <v>41268</v>
      </c>
      <c r="M1999" t="str">
        <f t="shared" ca="1" si="126"/>
        <v>13 years, 2 months</v>
      </c>
      <c r="N1999" s="6">
        <v>46</v>
      </c>
      <c r="O1999">
        <v>22</v>
      </c>
      <c r="P1999">
        <v>31</v>
      </c>
      <c r="Q1999">
        <f t="shared" si="127"/>
        <v>53</v>
      </c>
      <c r="R1999">
        <v>4</v>
      </c>
      <c r="S1999">
        <v>8</v>
      </c>
      <c r="T1999">
        <f>Table[[#This Row],[NumWebPurchases]]+Table[[#This Row],[NumStorePurchases]]</f>
        <v>12</v>
      </c>
    </row>
    <row r="2000" spans="1:20" ht="12.5">
      <c r="A2000" s="6">
        <v>1998</v>
      </c>
      <c r="B2000" s="6">
        <v>5370</v>
      </c>
      <c r="C2000" s="6">
        <v>1973</v>
      </c>
      <c r="D2000" s="6">
        <f t="shared" si="124"/>
        <v>52</v>
      </c>
      <c r="E2000" s="7" t="s">
        <v>12</v>
      </c>
      <c r="F2000" s="7" t="s">
        <v>13</v>
      </c>
      <c r="G2000" s="6">
        <v>32644</v>
      </c>
      <c r="H2000" s="6" t="str" cm="1">
        <f t="array" ref="H2000">_xlfn.IFS(
  G2000 &lt; 25000, "Low",
  AND(G2000 &gt;= 25000, G2000 &lt; 75000), "Medium",
  AND(G2000 &gt;= 75000, G2000 &lt; 150000), "High",
  G2000 &gt;= 150000, "Very High"
)</f>
        <v>Medium</v>
      </c>
      <c r="I2000" s="6">
        <v>1</v>
      </c>
      <c r="J2000" s="6">
        <v>0</v>
      </c>
      <c r="K2000" s="6">
        <f t="shared" si="125"/>
        <v>1</v>
      </c>
      <c r="L2000" s="8">
        <v>41290</v>
      </c>
      <c r="M2000" t="str">
        <f t="shared" ca="1" si="126"/>
        <v>13 years, 1 months</v>
      </c>
      <c r="N2000" s="6">
        <v>38</v>
      </c>
      <c r="O2000">
        <v>3</v>
      </c>
      <c r="P2000">
        <v>7</v>
      </c>
      <c r="Q2000">
        <f t="shared" si="127"/>
        <v>10</v>
      </c>
      <c r="R2000">
        <v>7</v>
      </c>
      <c r="S2000">
        <v>6</v>
      </c>
      <c r="T2000">
        <f>Table[[#This Row],[NumWebPurchases]]+Table[[#This Row],[NumStorePurchases]]</f>
        <v>13</v>
      </c>
    </row>
    <row r="2001" spans="1:20" ht="12.5">
      <c r="A2001" s="6">
        <v>1999</v>
      </c>
      <c r="B2001" s="6">
        <v>176</v>
      </c>
      <c r="C2001" s="6">
        <v>1980</v>
      </c>
      <c r="D2001" s="6">
        <f t="shared" si="124"/>
        <v>45</v>
      </c>
      <c r="E2001" s="7" t="s">
        <v>17</v>
      </c>
      <c r="F2001" s="7" t="s">
        <v>10</v>
      </c>
      <c r="G2001" s="6">
        <v>67506</v>
      </c>
      <c r="H2001" s="6" t="str" cm="1">
        <f t="array" ref="H2001">_xlfn.IFS(
  G2001 &lt; 25000, "Low",
  AND(G2001 &gt;= 25000, G2001 &lt; 75000), "Medium",
  AND(G2001 &gt;= 75000, G2001 &lt; 150000), "High",
  G2001 &gt;= 150000, "Very High"
)</f>
        <v>Medium</v>
      </c>
      <c r="I2001" s="6">
        <v>0</v>
      </c>
      <c r="J2001" s="6">
        <v>1</v>
      </c>
      <c r="K2001" s="6">
        <f t="shared" si="125"/>
        <v>1</v>
      </c>
      <c r="L2001" s="8">
        <v>41641</v>
      </c>
      <c r="M2001" t="str">
        <f t="shared" ca="1" si="126"/>
        <v>12 years, 2 months</v>
      </c>
      <c r="N2001" s="6">
        <v>73</v>
      </c>
      <c r="O2001">
        <v>38</v>
      </c>
      <c r="P2001">
        <v>36</v>
      </c>
      <c r="Q2001">
        <f t="shared" si="127"/>
        <v>74</v>
      </c>
      <c r="R2001">
        <v>4</v>
      </c>
      <c r="S2001">
        <v>6</v>
      </c>
      <c r="T2001">
        <f>Table[[#This Row],[NumWebPurchases]]+Table[[#This Row],[NumStorePurchases]]</f>
        <v>10</v>
      </c>
    </row>
    <row r="2002" spans="1:20" ht="12.5">
      <c r="A2002" s="6">
        <v>2000</v>
      </c>
      <c r="B2002" s="6">
        <v>4860</v>
      </c>
      <c r="C2002" s="6">
        <v>1970</v>
      </c>
      <c r="D2002" s="6">
        <f t="shared" si="124"/>
        <v>55</v>
      </c>
      <c r="E2002" s="7" t="s">
        <v>9</v>
      </c>
      <c r="F2002" s="7" t="s">
        <v>10</v>
      </c>
      <c r="G2002" s="6">
        <v>24206</v>
      </c>
      <c r="H2002" s="6" t="str" cm="1">
        <f t="array" ref="H2002">_xlfn.IFS(
  G2002 &lt; 25000, "Low",
  AND(G2002 &gt;= 25000, G2002 &lt; 75000), "Medium",
  AND(G2002 &gt;= 75000, G2002 &lt; 150000), "High",
  G2002 &gt;= 150000, "Very High"
)</f>
        <v>Low</v>
      </c>
      <c r="I2002" s="6">
        <v>1</v>
      </c>
      <c r="J2002" s="6">
        <v>0</v>
      </c>
      <c r="K2002" s="6">
        <f t="shared" si="125"/>
        <v>1</v>
      </c>
      <c r="L2002" s="8">
        <v>41341</v>
      </c>
      <c r="M2002" t="str">
        <f t="shared" ca="1" si="126"/>
        <v>12 years, 11 months</v>
      </c>
      <c r="N2002" s="6">
        <v>66</v>
      </c>
      <c r="O2002">
        <v>2</v>
      </c>
      <c r="P2002">
        <v>2</v>
      </c>
      <c r="Q2002">
        <f t="shared" si="127"/>
        <v>4</v>
      </c>
      <c r="R2002">
        <v>1</v>
      </c>
      <c r="S2002">
        <v>3</v>
      </c>
      <c r="T2002">
        <f>Table[[#This Row],[NumWebPurchases]]+Table[[#This Row],[NumStorePurchases]]</f>
        <v>4</v>
      </c>
    </row>
    <row r="2003" spans="1:20" ht="12.5">
      <c r="A2003" s="6">
        <v>2001</v>
      </c>
      <c r="B2003" s="6">
        <v>10757</v>
      </c>
      <c r="C2003" s="6">
        <v>1967</v>
      </c>
      <c r="D2003" s="6">
        <f t="shared" si="124"/>
        <v>58</v>
      </c>
      <c r="E2003" s="7" t="s">
        <v>12</v>
      </c>
      <c r="F2003" s="7" t="s">
        <v>15</v>
      </c>
      <c r="G2003" s="6">
        <v>28420</v>
      </c>
      <c r="H2003" s="6" t="str" cm="1">
        <f t="array" ref="H2003">_xlfn.IFS(
  G2003 &lt; 25000, "Low",
  AND(G2003 &gt;= 25000, G2003 &lt; 75000), "Medium",
  AND(G2003 &gt;= 75000, G2003 &lt; 150000), "High",
  G2003 &gt;= 150000, "Very High"
)</f>
        <v>Medium</v>
      </c>
      <c r="I2003" s="6">
        <v>1</v>
      </c>
      <c r="J2003" s="6">
        <v>0</v>
      </c>
      <c r="K2003" s="6">
        <f t="shared" si="125"/>
        <v>1</v>
      </c>
      <c r="L2003" s="9">
        <v>41632</v>
      </c>
      <c r="M2003" t="str">
        <f t="shared" ca="1" si="126"/>
        <v>12 years, 2 months</v>
      </c>
      <c r="N2003" s="6">
        <v>36</v>
      </c>
      <c r="O2003">
        <v>2</v>
      </c>
      <c r="P2003">
        <v>0</v>
      </c>
      <c r="Q2003">
        <f t="shared" si="127"/>
        <v>2</v>
      </c>
      <c r="R2003">
        <v>1</v>
      </c>
      <c r="S2003">
        <v>2</v>
      </c>
      <c r="T2003">
        <f>Table[[#This Row],[NumWebPurchases]]+Table[[#This Row],[NumStorePurchases]]</f>
        <v>3</v>
      </c>
    </row>
    <row r="2004" spans="1:20" ht="12.5">
      <c r="A2004" s="6">
        <v>2002</v>
      </c>
      <c r="B2004" s="6">
        <v>4023</v>
      </c>
      <c r="C2004" s="6">
        <v>1970</v>
      </c>
      <c r="D2004" s="6">
        <f t="shared" si="124"/>
        <v>55</v>
      </c>
      <c r="E2004" s="7" t="s">
        <v>9</v>
      </c>
      <c r="F2004" s="7" t="s">
        <v>13</v>
      </c>
      <c r="G2004" s="6">
        <v>22979</v>
      </c>
      <c r="H2004" s="6" t="str" cm="1">
        <f t="array" ref="H2004">_xlfn.IFS(
  G2004 &lt; 25000, "Low",
  AND(G2004 &gt;= 25000, G2004 &lt; 75000), "Medium",
  AND(G2004 &gt;= 75000, G2004 &lt; 150000), "High",
  G2004 &gt;= 150000, "Very High"
)</f>
        <v>Low</v>
      </c>
      <c r="I2004" s="6">
        <v>1</v>
      </c>
      <c r="J2004" s="6">
        <v>0</v>
      </c>
      <c r="K2004" s="6">
        <f t="shared" si="125"/>
        <v>1</v>
      </c>
      <c r="L2004" s="8">
        <v>41158</v>
      </c>
      <c r="M2004" t="str">
        <f t="shared" ca="1" si="126"/>
        <v>13 years, 6 months</v>
      </c>
      <c r="N2004" s="6">
        <v>29</v>
      </c>
      <c r="O2004">
        <v>17</v>
      </c>
      <c r="P2004">
        <v>21</v>
      </c>
      <c r="Q2004">
        <f t="shared" si="127"/>
        <v>38</v>
      </c>
      <c r="R2004">
        <v>3</v>
      </c>
      <c r="S2004">
        <v>2</v>
      </c>
      <c r="T2004">
        <f>Table[[#This Row],[NumWebPurchases]]+Table[[#This Row],[NumStorePurchases]]</f>
        <v>5</v>
      </c>
    </row>
    <row r="2005" spans="1:20" ht="12.5">
      <c r="A2005" s="6">
        <v>2003</v>
      </c>
      <c r="B2005" s="6">
        <v>6679</v>
      </c>
      <c r="C2005" s="6">
        <v>1966</v>
      </c>
      <c r="D2005" s="6">
        <f t="shared" si="124"/>
        <v>59</v>
      </c>
      <c r="E2005" s="7" t="s">
        <v>9</v>
      </c>
      <c r="F2005" s="7" t="s">
        <v>10</v>
      </c>
      <c r="G2005" s="6">
        <v>33279</v>
      </c>
      <c r="H2005" s="6" t="str" cm="1">
        <f t="array" ref="H2005">_xlfn.IFS(
  G2005 &lt; 25000, "Low",
  AND(G2005 &gt;= 25000, G2005 &lt; 75000), "Medium",
  AND(G2005 &gt;= 75000, G2005 &lt; 150000), "High",
  G2005 &gt;= 150000, "Very High"
)</f>
        <v>Medium</v>
      </c>
      <c r="I2005" s="6">
        <v>0</v>
      </c>
      <c r="J2005" s="6">
        <v>0</v>
      </c>
      <c r="K2005" s="6">
        <f t="shared" si="125"/>
        <v>0</v>
      </c>
      <c r="L2005" s="8">
        <v>41802</v>
      </c>
      <c r="M2005" t="str">
        <f t="shared" ca="1" si="126"/>
        <v>11 years, 8 months</v>
      </c>
      <c r="N2005" s="6">
        <v>29</v>
      </c>
      <c r="O2005">
        <v>3</v>
      </c>
      <c r="P2005">
        <v>0</v>
      </c>
      <c r="Q2005">
        <f t="shared" si="127"/>
        <v>3</v>
      </c>
      <c r="R2005">
        <v>0</v>
      </c>
      <c r="S2005">
        <v>3</v>
      </c>
      <c r="T2005">
        <f>Table[[#This Row],[NumWebPurchases]]+Table[[#This Row],[NumStorePurchases]]</f>
        <v>3</v>
      </c>
    </row>
    <row r="2006" spans="1:20" ht="12.5">
      <c r="A2006" s="6">
        <v>2004</v>
      </c>
      <c r="B2006" s="6">
        <v>9923</v>
      </c>
      <c r="C2006" s="6">
        <v>1972</v>
      </c>
      <c r="D2006" s="6">
        <f t="shared" si="124"/>
        <v>53</v>
      </c>
      <c r="E2006" s="7" t="s">
        <v>14</v>
      </c>
      <c r="F2006" s="7" t="s">
        <v>10</v>
      </c>
      <c r="G2006" s="6">
        <v>46423</v>
      </c>
      <c r="H2006" s="6" t="str" cm="1">
        <f t="array" ref="H2006">_xlfn.IFS(
  G2006 &lt; 25000, "Low",
  AND(G2006 &gt;= 25000, G2006 &lt; 75000), "Medium",
  AND(G2006 &gt;= 75000, G2006 &lt; 150000), "High",
  G2006 &gt;= 150000, "Very High"
)</f>
        <v>Medium</v>
      </c>
      <c r="I2006" s="6">
        <v>1</v>
      </c>
      <c r="J2006" s="6">
        <v>1</v>
      </c>
      <c r="K2006" s="6">
        <f t="shared" si="125"/>
        <v>2</v>
      </c>
      <c r="L2006" s="8">
        <v>41535</v>
      </c>
      <c r="M2006" t="str">
        <f t="shared" ca="1" si="126"/>
        <v>12 years, 5 months</v>
      </c>
      <c r="N2006" s="6">
        <v>6</v>
      </c>
      <c r="O2006">
        <v>0</v>
      </c>
      <c r="P2006">
        <v>0</v>
      </c>
      <c r="Q2006">
        <f t="shared" si="127"/>
        <v>0</v>
      </c>
      <c r="R2006">
        <v>2</v>
      </c>
      <c r="S2006">
        <v>4</v>
      </c>
      <c r="T2006">
        <f>Table[[#This Row],[NumWebPurchases]]+Table[[#This Row],[NumStorePurchases]]</f>
        <v>6</v>
      </c>
    </row>
    <row r="2007" spans="1:20" ht="12.5">
      <c r="A2007" s="6">
        <v>2005</v>
      </c>
      <c r="B2007" s="6">
        <v>7181</v>
      </c>
      <c r="C2007" s="6">
        <v>1977</v>
      </c>
      <c r="D2007" s="6">
        <f t="shared" si="124"/>
        <v>48</v>
      </c>
      <c r="E2007" s="7" t="s">
        <v>9</v>
      </c>
      <c r="F2007" s="7" t="s">
        <v>13</v>
      </c>
      <c r="G2007" s="6">
        <v>30368</v>
      </c>
      <c r="H2007" s="6" t="str" cm="1">
        <f t="array" ref="H2007">_xlfn.IFS(
  G2007 &lt; 25000, "Low",
  AND(G2007 &gt;= 25000, G2007 &lt; 75000), "Medium",
  AND(G2007 &gt;= 75000, G2007 &lt; 150000), "High",
  G2007 &gt;= 150000, "Very High"
)</f>
        <v>Medium</v>
      </c>
      <c r="I2007" s="6">
        <v>0</v>
      </c>
      <c r="J2007" s="6">
        <v>1</v>
      </c>
      <c r="K2007" s="6">
        <f t="shared" si="125"/>
        <v>1</v>
      </c>
      <c r="L2007" s="8">
        <v>41585</v>
      </c>
      <c r="M2007" t="str">
        <f t="shared" ca="1" si="126"/>
        <v>12 years, 3 months</v>
      </c>
      <c r="N2007" s="6">
        <v>97</v>
      </c>
      <c r="O2007">
        <v>0</v>
      </c>
      <c r="P2007">
        <v>0</v>
      </c>
      <c r="Q2007">
        <f t="shared" si="127"/>
        <v>0</v>
      </c>
      <c r="R2007">
        <v>2</v>
      </c>
      <c r="S2007">
        <v>3</v>
      </c>
      <c r="T2007">
        <f>Table[[#This Row],[NumWebPurchases]]+Table[[#This Row],[NumStorePurchases]]</f>
        <v>5</v>
      </c>
    </row>
    <row r="2008" spans="1:20" ht="12.5">
      <c r="A2008" s="6">
        <v>2006</v>
      </c>
      <c r="B2008" s="6">
        <v>3599</v>
      </c>
      <c r="C2008" s="6">
        <v>1970</v>
      </c>
      <c r="D2008" s="6">
        <f t="shared" si="124"/>
        <v>55</v>
      </c>
      <c r="E2008" s="7" t="s">
        <v>9</v>
      </c>
      <c r="F2008" s="7" t="s">
        <v>13</v>
      </c>
      <c r="G2008" s="6">
        <v>63684</v>
      </c>
      <c r="H2008" s="6" t="str" cm="1">
        <f t="array" ref="H2008">_xlfn.IFS(
  G2008 &lt; 25000, "Low",
  AND(G2008 &gt;= 25000, G2008 &lt; 75000), "Medium",
  AND(G2008 &gt;= 75000, G2008 &lt; 150000), "High",
  G2008 &gt;= 150000, "Very High"
)</f>
        <v>Medium</v>
      </c>
      <c r="I2008" s="6">
        <v>0</v>
      </c>
      <c r="J2008" s="6">
        <v>1</v>
      </c>
      <c r="K2008" s="6">
        <f t="shared" si="125"/>
        <v>1</v>
      </c>
      <c r="L2008" s="9">
        <v>41239</v>
      </c>
      <c r="M2008" t="str">
        <f t="shared" ca="1" si="126"/>
        <v>13 years, 3 months</v>
      </c>
      <c r="N2008" s="6">
        <v>61</v>
      </c>
      <c r="O2008">
        <v>80</v>
      </c>
      <c r="P2008">
        <v>93</v>
      </c>
      <c r="Q2008">
        <f t="shared" si="127"/>
        <v>173</v>
      </c>
      <c r="R2008">
        <v>8</v>
      </c>
      <c r="S2008">
        <v>8</v>
      </c>
      <c r="T2008">
        <f>Table[[#This Row],[NumWebPurchases]]+Table[[#This Row],[NumStorePurchases]]</f>
        <v>16</v>
      </c>
    </row>
    <row r="2009" spans="1:20" ht="12.5">
      <c r="A2009" s="6">
        <v>2007</v>
      </c>
      <c r="B2009" s="6">
        <v>405</v>
      </c>
      <c r="C2009" s="6">
        <v>1964</v>
      </c>
      <c r="D2009" s="6">
        <f t="shared" si="124"/>
        <v>61</v>
      </c>
      <c r="E2009" s="7" t="s">
        <v>9</v>
      </c>
      <c r="F2009" s="7" t="s">
        <v>15</v>
      </c>
      <c r="G2009" s="6">
        <v>41638</v>
      </c>
      <c r="H2009" s="6" t="str" cm="1">
        <f t="array" ref="H2009">_xlfn.IFS(
  G2009 &lt; 25000, "Low",
  AND(G2009 &gt;= 25000, G2009 &lt; 75000), "Medium",
  AND(G2009 &gt;= 75000, G2009 &lt; 150000), "High",
  G2009 &gt;= 150000, "Very High"
)</f>
        <v>Medium</v>
      </c>
      <c r="I2009" s="6">
        <v>0</v>
      </c>
      <c r="J2009" s="6">
        <v>1</v>
      </c>
      <c r="K2009" s="6">
        <f t="shared" si="125"/>
        <v>1</v>
      </c>
      <c r="L2009" s="8">
        <v>41318</v>
      </c>
      <c r="M2009" t="str">
        <f t="shared" ca="1" si="126"/>
        <v>13 years, 0 months</v>
      </c>
      <c r="N2009" s="6">
        <v>68</v>
      </c>
      <c r="O2009">
        <v>0</v>
      </c>
      <c r="P2009">
        <v>0</v>
      </c>
      <c r="Q2009">
        <f t="shared" si="127"/>
        <v>0</v>
      </c>
      <c r="R2009">
        <v>5</v>
      </c>
      <c r="S2009">
        <v>3</v>
      </c>
      <c r="T2009">
        <f>Table[[#This Row],[NumWebPurchases]]+Table[[#This Row],[NumStorePurchases]]</f>
        <v>8</v>
      </c>
    </row>
    <row r="2010" spans="1:20" ht="12.5">
      <c r="A2010" s="6">
        <v>2008</v>
      </c>
      <c r="B2010" s="6">
        <v>6870</v>
      </c>
      <c r="C2010" s="6">
        <v>1959</v>
      </c>
      <c r="D2010" s="6">
        <f t="shared" si="124"/>
        <v>66</v>
      </c>
      <c r="E2010" s="7" t="s">
        <v>12</v>
      </c>
      <c r="F2010" s="7" t="s">
        <v>15</v>
      </c>
      <c r="G2010" s="6">
        <v>68805</v>
      </c>
      <c r="H2010" s="6" t="str" cm="1">
        <f t="array" ref="H2010">_xlfn.IFS(
  G2010 &lt; 25000, "Low",
  AND(G2010 &gt;= 25000, G2010 &lt; 75000), "Medium",
  AND(G2010 &gt;= 75000, G2010 &lt; 150000), "High",
  G2010 &gt;= 150000, "Very High"
)</f>
        <v>Medium</v>
      </c>
      <c r="I2010" s="6">
        <v>0</v>
      </c>
      <c r="J2010" s="6">
        <v>1</v>
      </c>
      <c r="K2010" s="6">
        <f t="shared" si="125"/>
        <v>1</v>
      </c>
      <c r="L2010" s="8">
        <v>41534</v>
      </c>
      <c r="M2010" t="str">
        <f t="shared" ca="1" si="126"/>
        <v>12 years, 5 months</v>
      </c>
      <c r="N2010" s="6">
        <v>73</v>
      </c>
      <c r="O2010">
        <v>2</v>
      </c>
      <c r="P2010">
        <v>13</v>
      </c>
      <c r="Q2010">
        <f t="shared" si="127"/>
        <v>15</v>
      </c>
      <c r="R2010">
        <v>3</v>
      </c>
      <c r="S2010">
        <v>7</v>
      </c>
      <c r="T2010">
        <f>Table[[#This Row],[NumWebPurchases]]+Table[[#This Row],[NumStorePurchases]]</f>
        <v>10</v>
      </c>
    </row>
    <row r="2011" spans="1:20" ht="12.5">
      <c r="A2011" s="6">
        <v>2009</v>
      </c>
      <c r="B2011" s="6">
        <v>832</v>
      </c>
      <c r="C2011" s="6">
        <v>1966</v>
      </c>
      <c r="D2011" s="6">
        <f t="shared" si="124"/>
        <v>59</v>
      </c>
      <c r="E2011" s="7" t="s">
        <v>12</v>
      </c>
      <c r="F2011" s="7" t="s">
        <v>11</v>
      </c>
      <c r="G2011" s="6">
        <v>65814</v>
      </c>
      <c r="H2011" s="6" t="str" cm="1">
        <f t="array" ref="H2011">_xlfn.IFS(
  G2011 &lt; 25000, "Low",
  AND(G2011 &gt;= 25000, G2011 &lt; 75000), "Medium",
  AND(G2011 &gt;= 75000, G2011 &lt; 150000), "High",
  G2011 &gt;= 150000, "Very High"
)</f>
        <v>Medium</v>
      </c>
      <c r="I2011" s="6">
        <v>0</v>
      </c>
      <c r="J2011" s="6">
        <v>1</v>
      </c>
      <c r="K2011" s="6">
        <f t="shared" si="125"/>
        <v>1</v>
      </c>
      <c r="L2011" s="8">
        <v>41700</v>
      </c>
      <c r="M2011" t="str">
        <f t="shared" ca="1" si="126"/>
        <v>12 years, 0 months</v>
      </c>
      <c r="N2011" s="6">
        <v>90</v>
      </c>
      <c r="O2011">
        <v>14</v>
      </c>
      <c r="P2011">
        <v>14</v>
      </c>
      <c r="Q2011">
        <f t="shared" si="127"/>
        <v>28</v>
      </c>
      <c r="R2011">
        <v>8</v>
      </c>
      <c r="S2011">
        <v>10</v>
      </c>
      <c r="T2011">
        <f>Table[[#This Row],[NumWebPurchases]]+Table[[#This Row],[NumStorePurchases]]</f>
        <v>18</v>
      </c>
    </row>
    <row r="2012" spans="1:20" ht="12.5">
      <c r="A2012" s="6">
        <v>2010</v>
      </c>
      <c r="B2012" s="6">
        <v>2002</v>
      </c>
      <c r="C2012" s="6">
        <v>1958</v>
      </c>
      <c r="D2012" s="6">
        <f t="shared" si="124"/>
        <v>67</v>
      </c>
      <c r="E2012" s="7" t="s">
        <v>9</v>
      </c>
      <c r="F2012" s="7" t="s">
        <v>15</v>
      </c>
      <c r="G2012" s="6">
        <v>71964</v>
      </c>
      <c r="H2012" s="6" t="str" cm="1">
        <f t="array" ref="H2012">_xlfn.IFS(
  G2012 &lt; 25000, "Low",
  AND(G2012 &gt;= 25000, G2012 &lt; 75000), "Medium",
  AND(G2012 &gt;= 75000, G2012 &lt; 150000), "High",
  G2012 &gt;= 150000, "Very High"
)</f>
        <v>Medium</v>
      </c>
      <c r="I2012" s="6">
        <v>0</v>
      </c>
      <c r="J2012" s="6">
        <v>0</v>
      </c>
      <c r="K2012" s="6">
        <f t="shared" si="125"/>
        <v>0</v>
      </c>
      <c r="L2012" s="8">
        <v>41414</v>
      </c>
      <c r="M2012" t="str">
        <f t="shared" ca="1" si="126"/>
        <v>12 years, 9 months</v>
      </c>
      <c r="N2012" s="6">
        <v>81</v>
      </c>
      <c r="O2012">
        <v>51</v>
      </c>
      <c r="P2012">
        <v>34</v>
      </c>
      <c r="Q2012">
        <f t="shared" si="127"/>
        <v>85</v>
      </c>
      <c r="R2012">
        <v>5</v>
      </c>
      <c r="S2012">
        <v>5</v>
      </c>
      <c r="T2012">
        <f>Table[[#This Row],[NumWebPurchases]]+Table[[#This Row],[NumStorePurchases]]</f>
        <v>10</v>
      </c>
    </row>
    <row r="2013" spans="1:20" ht="12.5">
      <c r="A2013" s="6">
        <v>2011</v>
      </c>
      <c r="B2013" s="6">
        <v>3657</v>
      </c>
      <c r="C2013" s="6">
        <v>1986</v>
      </c>
      <c r="D2013" s="6">
        <f t="shared" si="124"/>
        <v>39</v>
      </c>
      <c r="E2013" s="7" t="s">
        <v>9</v>
      </c>
      <c r="F2013" s="7" t="s">
        <v>10</v>
      </c>
      <c r="G2013" s="6">
        <v>39146</v>
      </c>
      <c r="H2013" s="6" t="str" cm="1">
        <f t="array" ref="H2013">_xlfn.IFS(
  G2013 &lt; 25000, "Low",
  AND(G2013 &gt;= 25000, G2013 &lt; 75000), "Medium",
  AND(G2013 &gt;= 75000, G2013 &lt; 150000), "High",
  G2013 &gt;= 150000, "Very High"
)</f>
        <v>Medium</v>
      </c>
      <c r="I2013" s="6">
        <v>1</v>
      </c>
      <c r="J2013" s="6">
        <v>0</v>
      </c>
      <c r="K2013" s="6">
        <f t="shared" si="125"/>
        <v>1</v>
      </c>
      <c r="L2013" s="8">
        <v>41319</v>
      </c>
      <c r="M2013" t="str">
        <f t="shared" ca="1" si="126"/>
        <v>13 years, 0 months</v>
      </c>
      <c r="N2013" s="6">
        <v>1</v>
      </c>
      <c r="O2013">
        <v>1</v>
      </c>
      <c r="P2013">
        <v>12</v>
      </c>
      <c r="Q2013">
        <f t="shared" si="127"/>
        <v>13</v>
      </c>
      <c r="R2013">
        <v>4</v>
      </c>
      <c r="S2013">
        <v>4</v>
      </c>
      <c r="T2013">
        <f>Table[[#This Row],[NumWebPurchases]]+Table[[#This Row],[NumStorePurchases]]</f>
        <v>8</v>
      </c>
    </row>
    <row r="2014" spans="1:20" ht="12.5">
      <c r="A2014" s="6">
        <v>2012</v>
      </c>
      <c r="B2014" s="6">
        <v>500</v>
      </c>
      <c r="C2014" s="6">
        <v>1977</v>
      </c>
      <c r="D2014" s="6">
        <f t="shared" si="124"/>
        <v>48</v>
      </c>
      <c r="E2014" s="7" t="s">
        <v>9</v>
      </c>
      <c r="F2014" s="7" t="s">
        <v>11</v>
      </c>
      <c r="G2014" s="6">
        <v>96876</v>
      </c>
      <c r="H2014" s="6" t="str" cm="1">
        <f t="array" ref="H2014">_xlfn.IFS(
  G2014 &lt; 25000, "Low",
  AND(G2014 &gt;= 25000, G2014 &lt; 75000), "Medium",
  AND(G2014 &gt;= 75000, G2014 &lt; 150000), "High",
  G2014 &gt;= 150000, "Very High"
)</f>
        <v>High</v>
      </c>
      <c r="I2014" s="6">
        <v>0</v>
      </c>
      <c r="J2014" s="6">
        <v>0</v>
      </c>
      <c r="K2014" s="6">
        <f t="shared" si="125"/>
        <v>0</v>
      </c>
      <c r="L2014" s="8">
        <v>41492</v>
      </c>
      <c r="M2014" t="str">
        <f t="shared" ca="1" si="126"/>
        <v>12 years, 7 months</v>
      </c>
      <c r="N2014" s="6">
        <v>79</v>
      </c>
      <c r="O2014">
        <v>43</v>
      </c>
      <c r="P2014">
        <v>194</v>
      </c>
      <c r="Q2014">
        <f t="shared" si="127"/>
        <v>237</v>
      </c>
      <c r="R2014">
        <v>7</v>
      </c>
      <c r="S2014">
        <v>9</v>
      </c>
      <c r="T2014">
        <f>Table[[#This Row],[NumWebPurchases]]+Table[[#This Row],[NumStorePurchases]]</f>
        <v>16</v>
      </c>
    </row>
    <row r="2015" spans="1:20" ht="12.5">
      <c r="A2015" s="6">
        <v>2013</v>
      </c>
      <c r="B2015" s="6">
        <v>1951</v>
      </c>
      <c r="C2015" s="6">
        <v>1981</v>
      </c>
      <c r="D2015" s="6">
        <f t="shared" si="124"/>
        <v>44</v>
      </c>
      <c r="E2015" s="7" t="s">
        <v>16</v>
      </c>
      <c r="F2015" s="7" t="s">
        <v>13</v>
      </c>
      <c r="G2015" s="6">
        <v>34445</v>
      </c>
      <c r="H2015" s="6" t="str" cm="1">
        <f t="array" ref="H2015">_xlfn.IFS(
  G2015 &lt; 25000, "Low",
  AND(G2015 &gt;= 25000, G2015 &lt; 75000), "Medium",
  AND(G2015 &gt;= 75000, G2015 &lt; 150000), "High",
  G2015 &gt;= 150000, "Very High"
)</f>
        <v>Medium</v>
      </c>
      <c r="I2015" s="6">
        <v>0</v>
      </c>
      <c r="J2015" s="6">
        <v>0</v>
      </c>
      <c r="K2015" s="6">
        <f t="shared" si="125"/>
        <v>0</v>
      </c>
      <c r="L2015" s="8">
        <v>41301</v>
      </c>
      <c r="M2015" t="str">
        <f t="shared" ca="1" si="126"/>
        <v>13 years, 1 months</v>
      </c>
      <c r="N2015" s="6">
        <v>92</v>
      </c>
      <c r="O2015">
        <v>122</v>
      </c>
      <c r="P2015">
        <v>129</v>
      </c>
      <c r="Q2015">
        <f t="shared" si="127"/>
        <v>251</v>
      </c>
      <c r="R2015">
        <v>11</v>
      </c>
      <c r="S2015">
        <v>8</v>
      </c>
      <c r="T2015">
        <f>Table[[#This Row],[NumWebPurchases]]+Table[[#This Row],[NumStorePurchases]]</f>
        <v>19</v>
      </c>
    </row>
    <row r="2016" spans="1:20" ht="12.5">
      <c r="A2016" s="6">
        <v>2014</v>
      </c>
      <c r="B2016" s="6">
        <v>3262</v>
      </c>
      <c r="C2016" s="6">
        <v>1958</v>
      </c>
      <c r="D2016" s="6">
        <f t="shared" si="124"/>
        <v>67</v>
      </c>
      <c r="E2016" s="7" t="s">
        <v>9</v>
      </c>
      <c r="F2016" s="7" t="s">
        <v>10</v>
      </c>
      <c r="G2016" s="6">
        <v>68281</v>
      </c>
      <c r="H2016" s="6" t="str" cm="1">
        <f t="array" ref="H2016">_xlfn.IFS(
  G2016 &lt; 25000, "Low",
  AND(G2016 &gt;= 25000, G2016 &lt; 75000), "Medium",
  AND(G2016 &gt;= 75000, G2016 &lt; 150000), "High",
  G2016 &gt;= 150000, "Very High"
)</f>
        <v>Medium</v>
      </c>
      <c r="I2016" s="6">
        <v>0</v>
      </c>
      <c r="J2016" s="6">
        <v>0</v>
      </c>
      <c r="K2016" s="6">
        <f t="shared" si="125"/>
        <v>0</v>
      </c>
      <c r="L2016" s="8">
        <v>41128</v>
      </c>
      <c r="M2016" t="str">
        <f t="shared" ca="1" si="126"/>
        <v>13 years, 6 months</v>
      </c>
      <c r="N2016" s="6">
        <v>31</v>
      </c>
      <c r="O2016">
        <v>112</v>
      </c>
      <c r="P2016">
        <v>48</v>
      </c>
      <c r="Q2016">
        <f t="shared" si="127"/>
        <v>160</v>
      </c>
      <c r="R2016">
        <v>2</v>
      </c>
      <c r="S2016">
        <v>13</v>
      </c>
      <c r="T2016">
        <f>Table[[#This Row],[NumWebPurchases]]+Table[[#This Row],[NumStorePurchases]]</f>
        <v>15</v>
      </c>
    </row>
    <row r="2017" spans="1:20" ht="12.5">
      <c r="A2017" s="6">
        <v>2015</v>
      </c>
      <c r="B2017" s="6">
        <v>4102</v>
      </c>
      <c r="C2017" s="6">
        <v>1975</v>
      </c>
      <c r="D2017" s="6">
        <f t="shared" si="124"/>
        <v>50</v>
      </c>
      <c r="E2017" s="7" t="s">
        <v>17</v>
      </c>
      <c r="F2017" s="7" t="s">
        <v>13</v>
      </c>
      <c r="G2017" s="6">
        <v>37284</v>
      </c>
      <c r="H2017" s="6" t="str" cm="1">
        <f t="array" ref="H2017">_xlfn.IFS(
  G2017 &lt; 25000, "Low",
  AND(G2017 &gt;= 25000, G2017 &lt; 75000), "Medium",
  AND(G2017 &gt;= 75000, G2017 &lt; 150000), "High",
  G2017 &gt;= 150000, "Very High"
)</f>
        <v>Medium</v>
      </c>
      <c r="I2017" s="6">
        <v>1</v>
      </c>
      <c r="J2017" s="6">
        <v>1</v>
      </c>
      <c r="K2017" s="6">
        <f t="shared" si="125"/>
        <v>2</v>
      </c>
      <c r="L2017" s="8">
        <v>41362</v>
      </c>
      <c r="M2017" t="str">
        <f t="shared" ca="1" si="126"/>
        <v>12 years, 11 months</v>
      </c>
      <c r="N2017" s="6">
        <v>46</v>
      </c>
      <c r="O2017">
        <v>1</v>
      </c>
      <c r="P2017">
        <v>1</v>
      </c>
      <c r="Q2017">
        <f t="shared" si="127"/>
        <v>2</v>
      </c>
      <c r="R2017">
        <v>0</v>
      </c>
      <c r="S2017">
        <v>3</v>
      </c>
      <c r="T2017">
        <f>Table[[#This Row],[NumWebPurchases]]+Table[[#This Row],[NumStorePurchases]]</f>
        <v>3</v>
      </c>
    </row>
    <row r="2018" spans="1:20" ht="12.5">
      <c r="A2018" s="6">
        <v>2016</v>
      </c>
      <c r="B2018" s="6">
        <v>7042</v>
      </c>
      <c r="C2018" s="6">
        <v>1983</v>
      </c>
      <c r="D2018" s="6">
        <f t="shared" si="124"/>
        <v>42</v>
      </c>
      <c r="E2018" s="7" t="s">
        <v>9</v>
      </c>
      <c r="F2018" s="7" t="s">
        <v>13</v>
      </c>
      <c r="G2018" s="6">
        <v>36790</v>
      </c>
      <c r="H2018" s="6" t="str" cm="1">
        <f t="array" ref="H2018">_xlfn.IFS(
  G2018 &lt; 25000, "Low",
  AND(G2018 &gt;= 25000, G2018 &lt; 75000), "Medium",
  AND(G2018 &gt;= 75000, G2018 &lt; 150000), "High",
  G2018 &gt;= 150000, "Very High"
)</f>
        <v>Medium</v>
      </c>
      <c r="I2018" s="6">
        <v>0</v>
      </c>
      <c r="J2018" s="6">
        <v>0</v>
      </c>
      <c r="K2018" s="6">
        <f t="shared" si="125"/>
        <v>0</v>
      </c>
      <c r="L2018" s="8">
        <v>41334</v>
      </c>
      <c r="M2018" t="str">
        <f t="shared" ca="1" si="126"/>
        <v>13 years, 0 months</v>
      </c>
      <c r="N2018" s="6">
        <v>14</v>
      </c>
      <c r="O2018">
        <v>3</v>
      </c>
      <c r="P2018">
        <v>21</v>
      </c>
      <c r="Q2018">
        <f t="shared" si="127"/>
        <v>24</v>
      </c>
      <c r="R2018">
        <v>2</v>
      </c>
      <c r="S2018">
        <v>2</v>
      </c>
      <c r="T2018">
        <f>Table[[#This Row],[NumWebPurchases]]+Table[[#This Row],[NumStorePurchases]]</f>
        <v>4</v>
      </c>
    </row>
    <row r="2019" spans="1:20" ht="12.5">
      <c r="A2019" s="6">
        <v>2017</v>
      </c>
      <c r="B2019" s="6">
        <v>10598</v>
      </c>
      <c r="C2019" s="6">
        <v>1967</v>
      </c>
      <c r="D2019" s="6">
        <f t="shared" si="124"/>
        <v>58</v>
      </c>
      <c r="E2019" s="7" t="s">
        <v>9</v>
      </c>
      <c r="F2019" s="7" t="s">
        <v>11</v>
      </c>
      <c r="G2019" s="6">
        <v>27943</v>
      </c>
      <c r="H2019" s="6" t="str" cm="1">
        <f t="array" ref="H2019">_xlfn.IFS(
  G2019 &lt; 25000, "Low",
  AND(G2019 &gt;= 25000, G2019 &lt; 75000), "Medium",
  AND(G2019 &gt;= 75000, G2019 &lt; 150000), "High",
  G2019 &gt;= 150000, "Very High"
)</f>
        <v>Medium</v>
      </c>
      <c r="I2019" s="6">
        <v>1</v>
      </c>
      <c r="J2019" s="6">
        <v>1</v>
      </c>
      <c r="K2019" s="6">
        <f t="shared" si="125"/>
        <v>2</v>
      </c>
      <c r="L2019" s="8">
        <v>41379</v>
      </c>
      <c r="M2019" t="str">
        <f t="shared" ca="1" si="126"/>
        <v>12 years, 10 months</v>
      </c>
      <c r="N2019" s="6">
        <v>89</v>
      </c>
      <c r="O2019">
        <v>1</v>
      </c>
      <c r="P2019">
        <v>1</v>
      </c>
      <c r="Q2019">
        <f t="shared" si="127"/>
        <v>2</v>
      </c>
      <c r="R2019">
        <v>2</v>
      </c>
      <c r="S2019">
        <v>3</v>
      </c>
      <c r="T2019">
        <f>Table[[#This Row],[NumWebPurchases]]+Table[[#This Row],[NumStorePurchases]]</f>
        <v>5</v>
      </c>
    </row>
    <row r="2020" spans="1:20" ht="12.5">
      <c r="A2020" s="6">
        <v>2018</v>
      </c>
      <c r="B2020" s="6">
        <v>255</v>
      </c>
      <c r="C2020" s="6">
        <v>1951</v>
      </c>
      <c r="D2020" s="6">
        <f t="shared" si="124"/>
        <v>74</v>
      </c>
      <c r="E2020" s="7" t="s">
        <v>9</v>
      </c>
      <c r="F2020" s="7" t="s">
        <v>15</v>
      </c>
      <c r="G2020" s="6">
        <v>22263</v>
      </c>
      <c r="H2020" s="6" t="str" cm="1">
        <f t="array" ref="H2020">_xlfn.IFS(
  G2020 &lt; 25000, "Low",
  AND(G2020 &gt;= 25000, G2020 &lt; 75000), "Medium",
  AND(G2020 &gt;= 75000, G2020 &lt; 150000), "High",
  G2020 &gt;= 150000, "Very High"
)</f>
        <v>Low</v>
      </c>
      <c r="I2020" s="6">
        <v>1</v>
      </c>
      <c r="J2020" s="6">
        <v>1</v>
      </c>
      <c r="K2020" s="6">
        <f t="shared" si="125"/>
        <v>2</v>
      </c>
      <c r="L2020" s="8">
        <v>41728</v>
      </c>
      <c r="M2020" t="str">
        <f t="shared" ca="1" si="126"/>
        <v>11 years, 11 months</v>
      </c>
      <c r="N2020" s="6">
        <v>31</v>
      </c>
      <c r="O2020">
        <v>0</v>
      </c>
      <c r="P2020">
        <v>0</v>
      </c>
      <c r="Q2020">
        <f t="shared" si="127"/>
        <v>0</v>
      </c>
      <c r="R2020">
        <v>1</v>
      </c>
      <c r="S2020">
        <v>3</v>
      </c>
      <c r="T2020">
        <f>Table[[#This Row],[NumWebPurchases]]+Table[[#This Row],[NumStorePurchases]]</f>
        <v>4</v>
      </c>
    </row>
    <row r="2021" spans="1:20" ht="12.5">
      <c r="A2021" s="6">
        <v>2019</v>
      </c>
      <c r="B2021" s="6">
        <v>2375</v>
      </c>
      <c r="C2021" s="6">
        <v>1972</v>
      </c>
      <c r="D2021" s="6">
        <f t="shared" si="124"/>
        <v>53</v>
      </c>
      <c r="E2021" s="7" t="s">
        <v>9</v>
      </c>
      <c r="F2021" s="7" t="s">
        <v>11</v>
      </c>
      <c r="G2021" s="6">
        <v>30261</v>
      </c>
      <c r="H2021" s="6" t="str" cm="1">
        <f t="array" ref="H2021">_xlfn.IFS(
  G2021 &lt; 25000, "Low",
  AND(G2021 &gt;= 25000, G2021 &lt; 75000), "Medium",
  AND(G2021 &gt;= 75000, G2021 &lt; 150000), "High",
  G2021 &gt;= 150000, "Very High"
)</f>
        <v>Medium</v>
      </c>
      <c r="I2021" s="6">
        <v>1</v>
      </c>
      <c r="J2021" s="6">
        <v>2</v>
      </c>
      <c r="K2021" s="6">
        <f t="shared" si="125"/>
        <v>3</v>
      </c>
      <c r="L2021" s="8">
        <v>41177</v>
      </c>
      <c r="M2021" t="str">
        <f t="shared" ca="1" si="126"/>
        <v>13 years, 5 months</v>
      </c>
      <c r="N2021" s="6">
        <v>75</v>
      </c>
      <c r="O2021">
        <v>0</v>
      </c>
      <c r="P2021">
        <v>3</v>
      </c>
      <c r="Q2021">
        <f t="shared" si="127"/>
        <v>3</v>
      </c>
      <c r="R2021">
        <v>0</v>
      </c>
      <c r="S2021">
        <v>3</v>
      </c>
      <c r="T2021">
        <f>Table[[#This Row],[NumWebPurchases]]+Table[[#This Row],[NumStorePurchases]]</f>
        <v>3</v>
      </c>
    </row>
    <row r="2022" spans="1:20" ht="12.5">
      <c r="A2022" s="6">
        <v>2020</v>
      </c>
      <c r="B2022" s="6">
        <v>9829</v>
      </c>
      <c r="C2022" s="6">
        <v>1978</v>
      </c>
      <c r="D2022" s="6">
        <f t="shared" si="124"/>
        <v>47</v>
      </c>
      <c r="E2022" s="7" t="s">
        <v>9</v>
      </c>
      <c r="F2022" s="7" t="s">
        <v>11</v>
      </c>
      <c r="G2022" s="6">
        <v>28587</v>
      </c>
      <c r="H2022" s="6" t="str" cm="1">
        <f t="array" ref="H2022">_xlfn.IFS(
  G2022 &lt; 25000, "Low",
  AND(G2022 &gt;= 25000, G2022 &lt; 75000), "Medium",
  AND(G2022 &gt;= 75000, G2022 &lt; 150000), "High",
  G2022 &gt;= 150000, "Very High"
)</f>
        <v>Medium</v>
      </c>
      <c r="I2022" s="6">
        <v>1</v>
      </c>
      <c r="J2022" s="6">
        <v>0</v>
      </c>
      <c r="K2022" s="6">
        <f t="shared" si="125"/>
        <v>1</v>
      </c>
      <c r="L2022" s="8">
        <v>41682</v>
      </c>
      <c r="M2022" t="str">
        <f t="shared" ca="1" si="126"/>
        <v>12 years, 0 months</v>
      </c>
      <c r="N2022" s="6">
        <v>42</v>
      </c>
      <c r="O2022">
        <v>4</v>
      </c>
      <c r="P2022">
        <v>10</v>
      </c>
      <c r="Q2022">
        <f t="shared" si="127"/>
        <v>14</v>
      </c>
      <c r="R2022">
        <v>2</v>
      </c>
      <c r="S2022">
        <v>4</v>
      </c>
      <c r="T2022">
        <f>Table[[#This Row],[NumWebPurchases]]+Table[[#This Row],[NumStorePurchases]]</f>
        <v>6</v>
      </c>
    </row>
    <row r="2023" spans="1:20" ht="12.5">
      <c r="A2023" s="6">
        <v>2021</v>
      </c>
      <c r="B2023" s="6">
        <v>6214</v>
      </c>
      <c r="C2023" s="6">
        <v>1982</v>
      </c>
      <c r="D2023" s="6">
        <f t="shared" si="124"/>
        <v>43</v>
      </c>
      <c r="E2023" s="7" t="s">
        <v>14</v>
      </c>
      <c r="F2023" s="7" t="s">
        <v>13</v>
      </c>
      <c r="G2023" s="6">
        <v>43815</v>
      </c>
      <c r="H2023" s="6" t="str" cm="1">
        <f t="array" ref="H2023">_xlfn.IFS(
  G2023 &lt; 25000, "Low",
  AND(G2023 &gt;= 25000, G2023 &lt; 75000), "Medium",
  AND(G2023 &gt;= 75000, G2023 &lt; 150000), "High",
  G2023 &gt;= 150000, "Very High"
)</f>
        <v>Medium</v>
      </c>
      <c r="I2023" s="6">
        <v>1</v>
      </c>
      <c r="J2023" s="6">
        <v>0</v>
      </c>
      <c r="K2023" s="6">
        <f t="shared" si="125"/>
        <v>1</v>
      </c>
      <c r="L2023" s="8">
        <v>41369</v>
      </c>
      <c r="M2023" t="str">
        <f t="shared" ca="1" si="126"/>
        <v>12 years, 11 months</v>
      </c>
      <c r="N2023" s="6">
        <v>53</v>
      </c>
      <c r="O2023">
        <v>10</v>
      </c>
      <c r="P2023">
        <v>7</v>
      </c>
      <c r="Q2023">
        <f t="shared" si="127"/>
        <v>17</v>
      </c>
      <c r="R2023">
        <v>2</v>
      </c>
      <c r="S2023">
        <v>3</v>
      </c>
      <c r="T2023">
        <f>Table[[#This Row],[NumWebPurchases]]+Table[[#This Row],[NumStorePurchases]]</f>
        <v>5</v>
      </c>
    </row>
    <row r="2024" spans="1:20" ht="12.5">
      <c r="A2024" s="6">
        <v>2022</v>
      </c>
      <c r="B2024" s="6">
        <v>4954</v>
      </c>
      <c r="C2024" s="6">
        <v>1956</v>
      </c>
      <c r="D2024" s="6">
        <f t="shared" si="124"/>
        <v>69</v>
      </c>
      <c r="E2024" s="7" t="s">
        <v>9</v>
      </c>
      <c r="F2024" s="7" t="s">
        <v>13</v>
      </c>
      <c r="G2024" s="6">
        <v>48195</v>
      </c>
      <c r="H2024" s="6" t="str" cm="1">
        <f t="array" ref="H2024">_xlfn.IFS(
  G2024 &lt; 25000, "Low",
  AND(G2024 &gt;= 25000, G2024 &lt; 75000), "Medium",
  AND(G2024 &gt;= 75000, G2024 &lt; 150000), "High",
  G2024 &gt;= 150000, "Very High"
)</f>
        <v>Medium</v>
      </c>
      <c r="I2024" s="6">
        <v>1</v>
      </c>
      <c r="J2024" s="6">
        <v>1</v>
      </c>
      <c r="K2024" s="6">
        <f t="shared" si="125"/>
        <v>2</v>
      </c>
      <c r="L2024" s="8">
        <v>41660</v>
      </c>
      <c r="M2024" t="str">
        <f t="shared" ca="1" si="126"/>
        <v>12 years, 1 months</v>
      </c>
      <c r="N2024" s="6">
        <v>53</v>
      </c>
      <c r="O2024">
        <v>27</v>
      </c>
      <c r="P2024">
        <v>7</v>
      </c>
      <c r="Q2024">
        <f t="shared" si="127"/>
        <v>34</v>
      </c>
      <c r="R2024">
        <v>4</v>
      </c>
      <c r="S2024">
        <v>5</v>
      </c>
      <c r="T2024">
        <f>Table[[#This Row],[NumWebPurchases]]+Table[[#This Row],[NumStorePurchases]]</f>
        <v>9</v>
      </c>
    </row>
    <row r="2025" spans="1:20" ht="12.5">
      <c r="A2025" s="6">
        <v>2023</v>
      </c>
      <c r="B2025" s="6">
        <v>7861</v>
      </c>
      <c r="C2025" s="6">
        <v>1952</v>
      </c>
      <c r="D2025" s="6">
        <f t="shared" si="124"/>
        <v>73</v>
      </c>
      <c r="E2025" s="7" t="s">
        <v>14</v>
      </c>
      <c r="F2025" s="7" t="s">
        <v>13</v>
      </c>
      <c r="G2025" s="6">
        <v>77027</v>
      </c>
      <c r="H2025" s="6" t="str" cm="1">
        <f t="array" ref="H2025">_xlfn.IFS(
  G2025 &lt; 25000, "Low",
  AND(G2025 &gt;= 25000, G2025 &lt; 75000), "Medium",
  AND(G2025 &gt;= 75000, G2025 &lt; 150000), "High",
  G2025 &gt;= 150000, "Very High"
)</f>
        <v>High</v>
      </c>
      <c r="I2025" s="6">
        <v>0</v>
      </c>
      <c r="J2025" s="6">
        <v>1</v>
      </c>
      <c r="K2025" s="6">
        <f t="shared" si="125"/>
        <v>1</v>
      </c>
      <c r="L2025" s="8">
        <v>41675</v>
      </c>
      <c r="M2025" t="str">
        <f t="shared" ca="1" si="126"/>
        <v>12 years, 1 months</v>
      </c>
      <c r="N2025" s="6">
        <v>23</v>
      </c>
      <c r="O2025">
        <v>57</v>
      </c>
      <c r="P2025">
        <v>0</v>
      </c>
      <c r="Q2025">
        <f t="shared" si="127"/>
        <v>57</v>
      </c>
      <c r="R2025">
        <v>8</v>
      </c>
      <c r="S2025">
        <v>6</v>
      </c>
      <c r="T2025">
        <f>Table[[#This Row],[NumWebPurchases]]+Table[[#This Row],[NumStorePurchases]]</f>
        <v>14</v>
      </c>
    </row>
    <row r="2026" spans="1:20" ht="12.5">
      <c r="A2026" s="6">
        <v>2024</v>
      </c>
      <c r="B2026" s="6">
        <v>4837</v>
      </c>
      <c r="C2026" s="6">
        <v>1965</v>
      </c>
      <c r="D2026" s="6">
        <f t="shared" si="124"/>
        <v>60</v>
      </c>
      <c r="E2026" s="7" t="s">
        <v>12</v>
      </c>
      <c r="F2026" s="7" t="s">
        <v>13</v>
      </c>
      <c r="G2026" s="6">
        <v>71322</v>
      </c>
      <c r="H2026" s="6" t="str" cm="1">
        <f t="array" ref="H2026">_xlfn.IFS(
  G2026 &lt; 25000, "Low",
  AND(G2026 &gt;= 25000, G2026 &lt; 75000), "Medium",
  AND(G2026 &gt;= 75000, G2026 &lt; 150000), "High",
  G2026 &gt;= 150000, "Very High"
)</f>
        <v>Medium</v>
      </c>
      <c r="I2026" s="6">
        <v>0</v>
      </c>
      <c r="J2026" s="6">
        <v>1</v>
      </c>
      <c r="K2026" s="6">
        <f t="shared" si="125"/>
        <v>1</v>
      </c>
      <c r="L2026" s="8">
        <v>41321</v>
      </c>
      <c r="M2026" t="str">
        <f t="shared" ca="1" si="126"/>
        <v>13 years, 0 months</v>
      </c>
      <c r="N2026" s="6">
        <v>57</v>
      </c>
      <c r="O2026">
        <v>43</v>
      </c>
      <c r="P2026">
        <v>10</v>
      </c>
      <c r="Q2026">
        <f t="shared" si="127"/>
        <v>53</v>
      </c>
      <c r="R2026">
        <v>8</v>
      </c>
      <c r="S2026">
        <v>13</v>
      </c>
      <c r="T2026">
        <f>Table[[#This Row],[NumWebPurchases]]+Table[[#This Row],[NumStorePurchases]]</f>
        <v>21</v>
      </c>
    </row>
    <row r="2027" spans="1:20" ht="12.5">
      <c r="A2027" s="6">
        <v>2025</v>
      </c>
      <c r="B2027" s="6">
        <v>9423</v>
      </c>
      <c r="C2027" s="6">
        <v>1979</v>
      </c>
      <c r="D2027" s="6">
        <f t="shared" si="124"/>
        <v>46</v>
      </c>
      <c r="E2027" s="7" t="s">
        <v>14</v>
      </c>
      <c r="F2027" s="7" t="s">
        <v>13</v>
      </c>
      <c r="G2027" s="6">
        <v>32765</v>
      </c>
      <c r="H2027" s="6" t="str" cm="1">
        <f t="array" ref="H2027">_xlfn.IFS(
  G2027 &lt; 25000, "Low",
  AND(G2027 &gt;= 25000, G2027 &lt; 75000), "Medium",
  AND(G2027 &gt;= 75000, G2027 &lt; 150000), "High",
  G2027 &gt;= 150000, "Very High"
)</f>
        <v>Medium</v>
      </c>
      <c r="I2027" s="6">
        <v>1</v>
      </c>
      <c r="J2027" s="6">
        <v>0</v>
      </c>
      <c r="K2027" s="6">
        <f t="shared" si="125"/>
        <v>1</v>
      </c>
      <c r="L2027" s="8">
        <v>41693</v>
      </c>
      <c r="M2027" t="str">
        <f t="shared" ca="1" si="126"/>
        <v>12 years, 0 months</v>
      </c>
      <c r="N2027" s="6">
        <v>49</v>
      </c>
      <c r="O2027">
        <v>3</v>
      </c>
      <c r="P2027">
        <v>3</v>
      </c>
      <c r="Q2027">
        <f t="shared" si="127"/>
        <v>6</v>
      </c>
      <c r="R2027">
        <v>2</v>
      </c>
      <c r="S2027">
        <v>4</v>
      </c>
      <c r="T2027">
        <f>Table[[#This Row],[NumWebPurchases]]+Table[[#This Row],[NumStorePurchases]]</f>
        <v>6</v>
      </c>
    </row>
    <row r="2028" spans="1:20" ht="12.5">
      <c r="A2028" s="6">
        <v>2026</v>
      </c>
      <c r="B2028" s="6">
        <v>4198</v>
      </c>
      <c r="C2028" s="6">
        <v>1965</v>
      </c>
      <c r="D2028" s="6">
        <f t="shared" si="124"/>
        <v>60</v>
      </c>
      <c r="E2028" s="7" t="s">
        <v>9</v>
      </c>
      <c r="F2028" s="7" t="s">
        <v>11</v>
      </c>
      <c r="G2028" s="6">
        <v>29672</v>
      </c>
      <c r="H2028" s="6" t="str" cm="1">
        <f t="array" ref="H2028">_xlfn.IFS(
  G2028 &lt; 25000, "Low",
  AND(G2028 &gt;= 25000, G2028 &lt; 75000), "Medium",
  AND(G2028 &gt;= 75000, G2028 &lt; 150000), "High",
  G2028 &gt;= 150000, "Very High"
)</f>
        <v>Medium</v>
      </c>
      <c r="I2028" s="6">
        <v>1</v>
      </c>
      <c r="J2028" s="6">
        <v>1</v>
      </c>
      <c r="K2028" s="6">
        <f t="shared" si="125"/>
        <v>2</v>
      </c>
      <c r="L2028" s="8">
        <v>41345</v>
      </c>
      <c r="M2028" t="str">
        <f t="shared" ca="1" si="126"/>
        <v>12 years, 11 months</v>
      </c>
      <c r="N2028" s="6">
        <v>6</v>
      </c>
      <c r="O2028">
        <v>1</v>
      </c>
      <c r="P2028">
        <v>4</v>
      </c>
      <c r="Q2028">
        <f t="shared" si="127"/>
        <v>5</v>
      </c>
      <c r="R2028">
        <v>0</v>
      </c>
      <c r="S2028">
        <v>3</v>
      </c>
      <c r="T2028">
        <f>Table[[#This Row],[NumWebPurchases]]+Table[[#This Row],[NumStorePurchases]]</f>
        <v>3</v>
      </c>
    </row>
    <row r="2029" spans="1:20" ht="12.5">
      <c r="A2029" s="6">
        <v>2027</v>
      </c>
      <c r="B2029" s="6">
        <v>153</v>
      </c>
      <c r="C2029" s="6">
        <v>1953</v>
      </c>
      <c r="D2029" s="6">
        <f t="shared" si="124"/>
        <v>72</v>
      </c>
      <c r="E2029" s="7" t="s">
        <v>9</v>
      </c>
      <c r="F2029" s="7" t="s">
        <v>15</v>
      </c>
      <c r="G2029" s="6">
        <v>23272</v>
      </c>
      <c r="H2029" s="6" t="str" cm="1">
        <f t="array" ref="H2029">_xlfn.IFS(
  G2029 &lt; 25000, "Low",
  AND(G2029 &gt;= 25000, G2029 &lt; 75000), "Medium",
  AND(G2029 &gt;= 75000, G2029 &lt; 150000), "High",
  G2029 &gt;= 150000, "Very High"
)</f>
        <v>Low</v>
      </c>
      <c r="I2029" s="6">
        <v>0</v>
      </c>
      <c r="J2029" s="6">
        <v>0</v>
      </c>
      <c r="K2029" s="6">
        <f t="shared" si="125"/>
        <v>0</v>
      </c>
      <c r="L2029" s="9">
        <v>41564</v>
      </c>
      <c r="M2029" t="str">
        <f t="shared" ca="1" si="126"/>
        <v>12 years, 4 months</v>
      </c>
      <c r="N2029" s="6">
        <v>29</v>
      </c>
      <c r="O2029">
        <v>3</v>
      </c>
      <c r="P2029">
        <v>2</v>
      </c>
      <c r="Q2029">
        <f t="shared" si="127"/>
        <v>5</v>
      </c>
      <c r="R2029">
        <v>1</v>
      </c>
      <c r="S2029">
        <v>3</v>
      </c>
      <c r="T2029">
        <f>Table[[#This Row],[NumWebPurchases]]+Table[[#This Row],[NumStorePurchases]]</f>
        <v>4</v>
      </c>
    </row>
    <row r="2030" spans="1:20" ht="12.5">
      <c r="A2030" s="6">
        <v>2028</v>
      </c>
      <c r="B2030" s="6">
        <v>9323</v>
      </c>
      <c r="C2030" s="6">
        <v>1949</v>
      </c>
      <c r="D2030" s="6">
        <f t="shared" si="124"/>
        <v>76</v>
      </c>
      <c r="E2030" s="7" t="s">
        <v>14</v>
      </c>
      <c r="F2030" s="7" t="s">
        <v>11</v>
      </c>
      <c r="G2030" s="6">
        <v>49912</v>
      </c>
      <c r="H2030" s="6" t="str" cm="1">
        <f t="array" ref="H2030">_xlfn.IFS(
  G2030 &lt; 25000, "Low",
  AND(G2030 &gt;= 25000, G2030 &lt; 75000), "Medium",
  AND(G2030 &gt;= 75000, G2030 &lt; 150000), "High",
  G2030 &gt;= 150000, "Very High"
)</f>
        <v>Medium</v>
      </c>
      <c r="I2030" s="6">
        <v>0</v>
      </c>
      <c r="J2030" s="6">
        <v>1</v>
      </c>
      <c r="K2030" s="6">
        <f t="shared" si="125"/>
        <v>1</v>
      </c>
      <c r="L2030" s="8">
        <v>41159</v>
      </c>
      <c r="M2030" t="str">
        <f t="shared" ca="1" si="126"/>
        <v>13 years, 5 months</v>
      </c>
      <c r="N2030" s="6">
        <v>5</v>
      </c>
      <c r="O2030">
        <v>8</v>
      </c>
      <c r="P2030">
        <v>49</v>
      </c>
      <c r="Q2030">
        <f t="shared" si="127"/>
        <v>57</v>
      </c>
      <c r="R2030">
        <v>10</v>
      </c>
      <c r="S2030">
        <v>7</v>
      </c>
      <c r="T2030">
        <f>Table[[#This Row],[NumWebPurchases]]+Table[[#This Row],[NumStorePurchases]]</f>
        <v>17</v>
      </c>
    </row>
    <row r="2031" spans="1:20" ht="12.5">
      <c r="A2031" s="6">
        <v>2029</v>
      </c>
      <c r="B2031" s="6">
        <v>10001</v>
      </c>
      <c r="C2031" s="6">
        <v>1985</v>
      </c>
      <c r="D2031" s="6">
        <f t="shared" si="124"/>
        <v>40</v>
      </c>
      <c r="E2031" s="7" t="s">
        <v>17</v>
      </c>
      <c r="F2031" s="7" t="s">
        <v>11</v>
      </c>
      <c r="G2031" s="6">
        <v>7500</v>
      </c>
      <c r="H2031" s="6" t="str" cm="1">
        <f t="array" ref="H2031">_xlfn.IFS(
  G2031 &lt; 25000, "Low",
  AND(G2031 &gt;= 25000, G2031 &lt; 75000), "Medium",
  AND(G2031 &gt;= 75000, G2031 &lt; 150000), "High",
  G2031 &gt;= 150000, "Very High"
)</f>
        <v>Low</v>
      </c>
      <c r="I2031" s="6">
        <v>1</v>
      </c>
      <c r="J2031" s="6">
        <v>0</v>
      </c>
      <c r="K2031" s="6">
        <f t="shared" si="125"/>
        <v>1</v>
      </c>
      <c r="L2031" s="8">
        <v>41122</v>
      </c>
      <c r="M2031" t="str">
        <f t="shared" ca="1" si="126"/>
        <v>13 years, 7 months</v>
      </c>
      <c r="N2031" s="6">
        <v>98</v>
      </c>
      <c r="O2031">
        <v>17</v>
      </c>
      <c r="P2031">
        <v>14</v>
      </c>
      <c r="Q2031">
        <f t="shared" si="127"/>
        <v>31</v>
      </c>
      <c r="R2031">
        <v>2</v>
      </c>
      <c r="S2031">
        <v>3</v>
      </c>
      <c r="T2031">
        <f>Table[[#This Row],[NumWebPurchases]]+Table[[#This Row],[NumStorePurchases]]</f>
        <v>5</v>
      </c>
    </row>
    <row r="2032" spans="1:20" ht="12.5">
      <c r="A2032" s="6">
        <v>2030</v>
      </c>
      <c r="B2032" s="6">
        <v>3945</v>
      </c>
      <c r="C2032" s="6">
        <v>1947</v>
      </c>
      <c r="D2032" s="6">
        <f t="shared" si="124"/>
        <v>78</v>
      </c>
      <c r="E2032" s="7" t="s">
        <v>12</v>
      </c>
      <c r="F2032" s="7" t="s">
        <v>18</v>
      </c>
      <c r="G2032" s="6">
        <v>68117</v>
      </c>
      <c r="H2032" s="6" t="str" cm="1">
        <f t="array" ref="H2032">_xlfn.IFS(
  G2032 &lt; 25000, "Low",
  AND(G2032 &gt;= 25000, G2032 &lt; 75000), "Medium",
  AND(G2032 &gt;= 75000, G2032 &lt; 150000), "High",
  G2032 &gt;= 150000, "Very High"
)</f>
        <v>Medium</v>
      </c>
      <c r="I2032" s="6">
        <v>0</v>
      </c>
      <c r="J2032" s="6">
        <v>1</v>
      </c>
      <c r="K2032" s="6">
        <f t="shared" si="125"/>
        <v>1</v>
      </c>
      <c r="L2032" s="8">
        <v>41343</v>
      </c>
      <c r="M2032" t="str">
        <f t="shared" ca="1" si="126"/>
        <v>12 years, 11 months</v>
      </c>
      <c r="N2032" s="6">
        <v>80</v>
      </c>
      <c r="O2032">
        <v>44</v>
      </c>
      <c r="P2032">
        <v>17</v>
      </c>
      <c r="Q2032">
        <f t="shared" si="127"/>
        <v>61</v>
      </c>
      <c r="R2032">
        <v>11</v>
      </c>
      <c r="S2032">
        <v>4</v>
      </c>
      <c r="T2032">
        <f>Table[[#This Row],[NumWebPurchases]]+Table[[#This Row],[NumStorePurchases]]</f>
        <v>15</v>
      </c>
    </row>
    <row r="2033" spans="1:20" ht="12.5">
      <c r="A2033" s="6">
        <v>2031</v>
      </c>
      <c r="B2033" s="6">
        <v>3799</v>
      </c>
      <c r="C2033" s="6">
        <v>1955</v>
      </c>
      <c r="D2033" s="6">
        <f t="shared" si="124"/>
        <v>70</v>
      </c>
      <c r="E2033" s="7" t="s">
        <v>9</v>
      </c>
      <c r="F2033" s="7" t="s">
        <v>13</v>
      </c>
      <c r="G2033" s="6">
        <v>67225</v>
      </c>
      <c r="H2033" s="6" t="str" cm="1">
        <f t="array" ref="H2033">_xlfn.IFS(
  G2033 &lt; 25000, "Low",
  AND(G2033 &gt;= 25000, G2033 &lt; 75000), "Medium",
  AND(G2033 &gt;= 75000, G2033 &lt; 150000), "High",
  G2033 &gt;= 150000, "Very High"
)</f>
        <v>Medium</v>
      </c>
      <c r="I2033" s="6">
        <v>0</v>
      </c>
      <c r="J2033" s="6">
        <v>1</v>
      </c>
      <c r="K2033" s="6">
        <f t="shared" si="125"/>
        <v>1</v>
      </c>
      <c r="L2033" s="9">
        <v>41604</v>
      </c>
      <c r="M2033" t="str">
        <f t="shared" ca="1" si="126"/>
        <v>12 years, 3 months</v>
      </c>
      <c r="N2033" s="6">
        <v>4</v>
      </c>
      <c r="O2033">
        <v>35</v>
      </c>
      <c r="P2033">
        <v>7</v>
      </c>
      <c r="Q2033">
        <f t="shared" si="127"/>
        <v>42</v>
      </c>
      <c r="R2033">
        <v>7</v>
      </c>
      <c r="S2033">
        <v>11</v>
      </c>
      <c r="T2033">
        <f>Table[[#This Row],[NumWebPurchases]]+Table[[#This Row],[NumStorePurchases]]</f>
        <v>18</v>
      </c>
    </row>
    <row r="2034" spans="1:20" ht="12.5">
      <c r="A2034" s="6">
        <v>2032</v>
      </c>
      <c r="B2034" s="6">
        <v>8625</v>
      </c>
      <c r="C2034" s="6">
        <v>1976</v>
      </c>
      <c r="D2034" s="6">
        <f t="shared" si="124"/>
        <v>49</v>
      </c>
      <c r="E2034" s="7" t="s">
        <v>9</v>
      </c>
      <c r="F2034" s="7" t="s">
        <v>13</v>
      </c>
      <c r="G2034" s="6">
        <v>17649</v>
      </c>
      <c r="H2034" s="6" t="str" cm="1">
        <f t="array" ref="H2034">_xlfn.IFS(
  G2034 &lt; 25000, "Low",
  AND(G2034 &gt;= 25000, G2034 &lt; 75000), "Medium",
  AND(G2034 &gt;= 75000, G2034 &lt; 150000), "High",
  G2034 &gt;= 150000, "Very High"
)</f>
        <v>Low</v>
      </c>
      <c r="I2034" s="6">
        <v>1</v>
      </c>
      <c r="J2034" s="6">
        <v>0</v>
      </c>
      <c r="K2034" s="6">
        <f t="shared" si="125"/>
        <v>1</v>
      </c>
      <c r="L2034" s="9">
        <v>41590</v>
      </c>
      <c r="M2034" t="str">
        <f t="shared" ca="1" si="126"/>
        <v>12 years, 3 months</v>
      </c>
      <c r="N2034" s="6">
        <v>70</v>
      </c>
      <c r="O2034">
        <v>1</v>
      </c>
      <c r="P2034">
        <v>5</v>
      </c>
      <c r="Q2034">
        <f t="shared" si="127"/>
        <v>6</v>
      </c>
      <c r="R2034">
        <v>3</v>
      </c>
      <c r="S2034">
        <v>3</v>
      </c>
      <c r="T2034">
        <f>Table[[#This Row],[NumWebPurchases]]+Table[[#This Row],[NumStorePurchases]]</f>
        <v>6</v>
      </c>
    </row>
    <row r="2035" spans="1:20" ht="12.5">
      <c r="A2035" s="6">
        <v>2033</v>
      </c>
      <c r="B2035" s="6">
        <v>3491</v>
      </c>
      <c r="C2035" s="6">
        <v>1975</v>
      </c>
      <c r="D2035" s="6">
        <f t="shared" si="124"/>
        <v>50</v>
      </c>
      <c r="E2035" s="7" t="s">
        <v>9</v>
      </c>
      <c r="F2035" s="7" t="s">
        <v>11</v>
      </c>
      <c r="G2035" s="6">
        <v>55914</v>
      </c>
      <c r="H2035" s="6" t="str" cm="1">
        <f t="array" ref="H2035">_xlfn.IFS(
  G2035 &lt; 25000, "Low",
  AND(G2035 &gt;= 25000, G2035 &lt; 75000), "Medium",
  AND(G2035 &gt;= 75000, G2035 &lt; 150000), "High",
  G2035 &gt;= 150000, "Very High"
)</f>
        <v>Medium</v>
      </c>
      <c r="I2035" s="6">
        <v>0</v>
      </c>
      <c r="J2035" s="6">
        <v>1</v>
      </c>
      <c r="K2035" s="6">
        <f t="shared" si="125"/>
        <v>1</v>
      </c>
      <c r="L2035" s="8">
        <v>41393</v>
      </c>
      <c r="M2035" t="str">
        <f t="shared" ca="1" si="126"/>
        <v>12 years, 10 months</v>
      </c>
      <c r="N2035" s="6">
        <v>32</v>
      </c>
      <c r="O2035">
        <v>60</v>
      </c>
      <c r="P2035">
        <v>101</v>
      </c>
      <c r="Q2035">
        <f t="shared" si="127"/>
        <v>161</v>
      </c>
      <c r="R2035">
        <v>11</v>
      </c>
      <c r="S2035">
        <v>8</v>
      </c>
      <c r="T2035">
        <f>Table[[#This Row],[NumWebPurchases]]+Table[[#This Row],[NumStorePurchases]]</f>
        <v>19</v>
      </c>
    </row>
    <row r="2036" spans="1:20" ht="12.5">
      <c r="A2036" s="6">
        <v>2034</v>
      </c>
      <c r="B2036" s="6">
        <v>983</v>
      </c>
      <c r="C2036" s="6">
        <v>1984</v>
      </c>
      <c r="D2036" s="6">
        <f t="shared" si="124"/>
        <v>41</v>
      </c>
      <c r="E2036" s="7" t="s">
        <v>9</v>
      </c>
      <c r="F2036" s="7" t="s">
        <v>13</v>
      </c>
      <c r="G2036" s="6">
        <v>40059</v>
      </c>
      <c r="H2036" s="6" t="str" cm="1">
        <f t="array" ref="H2036">_xlfn.IFS(
  G2036 &lt; 25000, "Low",
  AND(G2036 &gt;= 25000, G2036 &lt; 75000), "Medium",
  AND(G2036 &gt;= 75000, G2036 &lt; 150000), "High",
  G2036 &gt;= 150000, "Very High"
)</f>
        <v>Medium</v>
      </c>
      <c r="I2036" s="6">
        <v>1</v>
      </c>
      <c r="J2036" s="6">
        <v>0</v>
      </c>
      <c r="K2036" s="6">
        <f t="shared" si="125"/>
        <v>1</v>
      </c>
      <c r="L2036" s="8">
        <v>41545</v>
      </c>
      <c r="M2036" t="str">
        <f t="shared" ca="1" si="126"/>
        <v>12 years, 5 months</v>
      </c>
      <c r="N2036" s="6">
        <v>82</v>
      </c>
      <c r="O2036">
        <v>29</v>
      </c>
      <c r="P2036">
        <v>10</v>
      </c>
      <c r="Q2036">
        <f t="shared" si="127"/>
        <v>39</v>
      </c>
      <c r="R2036">
        <v>6</v>
      </c>
      <c r="S2036">
        <v>3</v>
      </c>
      <c r="T2036">
        <f>Table[[#This Row],[NumWebPurchases]]+Table[[#This Row],[NumStorePurchases]]</f>
        <v>9</v>
      </c>
    </row>
    <row r="2037" spans="1:20" ht="12.5">
      <c r="A2037" s="6">
        <v>2035</v>
      </c>
      <c r="B2037" s="6">
        <v>9119</v>
      </c>
      <c r="C2037" s="6">
        <v>1950</v>
      </c>
      <c r="D2037" s="6">
        <f t="shared" si="124"/>
        <v>75</v>
      </c>
      <c r="E2037" s="7" t="s">
        <v>9</v>
      </c>
      <c r="F2037" s="7" t="s">
        <v>11</v>
      </c>
      <c r="G2037" s="6">
        <v>60905</v>
      </c>
      <c r="H2037" s="6" t="str" cm="1">
        <f t="array" ref="H2037">_xlfn.IFS(
  G2037 &lt; 25000, "Low",
  AND(G2037 &gt;= 25000, G2037 &lt; 75000), "Medium",
  AND(G2037 &gt;= 75000, G2037 &lt; 150000), "High",
  G2037 &gt;= 150000, "Very High"
)</f>
        <v>Medium</v>
      </c>
      <c r="I2037" s="6">
        <v>0</v>
      </c>
      <c r="J2037" s="6">
        <v>1</v>
      </c>
      <c r="K2037" s="6">
        <f t="shared" si="125"/>
        <v>1</v>
      </c>
      <c r="L2037" s="8">
        <v>41613</v>
      </c>
      <c r="M2037" t="str">
        <f t="shared" ca="1" si="126"/>
        <v>12 years, 3 months</v>
      </c>
      <c r="N2037" s="6">
        <v>27</v>
      </c>
      <c r="O2037">
        <v>17</v>
      </c>
      <c r="P2037">
        <v>17</v>
      </c>
      <c r="Q2037">
        <f t="shared" si="127"/>
        <v>34</v>
      </c>
      <c r="R2037">
        <v>3</v>
      </c>
      <c r="S2037">
        <v>7</v>
      </c>
      <c r="T2037">
        <f>Table[[#This Row],[NumWebPurchases]]+Table[[#This Row],[NumStorePurchases]]</f>
        <v>10</v>
      </c>
    </row>
    <row r="2038" spans="1:20" ht="12.5">
      <c r="A2038" s="6">
        <v>2036</v>
      </c>
      <c r="B2038" s="6">
        <v>4786</v>
      </c>
      <c r="C2038" s="6">
        <v>1977</v>
      </c>
      <c r="D2038" s="6">
        <f t="shared" si="124"/>
        <v>48</v>
      </c>
      <c r="E2038" s="7" t="s">
        <v>9</v>
      </c>
      <c r="F2038" s="7" t="s">
        <v>13</v>
      </c>
      <c r="G2038" s="6">
        <v>75330</v>
      </c>
      <c r="H2038" s="6" t="str" cm="1">
        <f t="array" ref="H2038">_xlfn.IFS(
  G2038 &lt; 25000, "Low",
  AND(G2038 &gt;= 25000, G2038 &lt; 75000), "Medium",
  AND(G2038 &gt;= 75000, G2038 &lt; 150000), "High",
  G2038 &gt;= 150000, "Very High"
)</f>
        <v>High</v>
      </c>
      <c r="I2038" s="6">
        <v>1</v>
      </c>
      <c r="J2038" s="6">
        <v>1</v>
      </c>
      <c r="K2038" s="6">
        <f t="shared" si="125"/>
        <v>2</v>
      </c>
      <c r="L2038" s="8">
        <v>41186</v>
      </c>
      <c r="M2038" t="str">
        <f t="shared" ca="1" si="126"/>
        <v>13 years, 5 months</v>
      </c>
      <c r="N2038" s="6">
        <v>94</v>
      </c>
      <c r="O2038">
        <v>82</v>
      </c>
      <c r="P2038">
        <v>61</v>
      </c>
      <c r="Q2038">
        <f t="shared" si="127"/>
        <v>143</v>
      </c>
      <c r="R2038">
        <v>10</v>
      </c>
      <c r="S2038">
        <v>12</v>
      </c>
      <c r="T2038">
        <f>Table[[#This Row],[NumWebPurchases]]+Table[[#This Row],[NumStorePurchases]]</f>
        <v>22</v>
      </c>
    </row>
    <row r="2039" spans="1:20" ht="12.5">
      <c r="A2039" s="6">
        <v>2037</v>
      </c>
      <c r="B2039" s="6">
        <v>5872</v>
      </c>
      <c r="C2039" s="6">
        <v>1951</v>
      </c>
      <c r="D2039" s="6">
        <f t="shared" si="124"/>
        <v>74</v>
      </c>
      <c r="E2039" s="7" t="s">
        <v>9</v>
      </c>
      <c r="F2039" s="7" t="s">
        <v>10</v>
      </c>
      <c r="G2039" s="6">
        <v>60689</v>
      </c>
      <c r="H2039" s="6" t="str" cm="1">
        <f t="array" ref="H2039">_xlfn.IFS(
  G2039 &lt; 25000, "Low",
  AND(G2039 &gt;= 25000, G2039 &lt; 75000), "Medium",
  AND(G2039 &gt;= 75000, G2039 &lt; 150000), "High",
  G2039 &gt;= 150000, "Very High"
)</f>
        <v>Medium</v>
      </c>
      <c r="I2039" s="6">
        <v>0</v>
      </c>
      <c r="J2039" s="6">
        <v>1</v>
      </c>
      <c r="K2039" s="6">
        <f t="shared" si="125"/>
        <v>1</v>
      </c>
      <c r="L2039" s="8">
        <v>41426</v>
      </c>
      <c r="M2039" t="str">
        <f t="shared" ca="1" si="126"/>
        <v>12 years, 9 months</v>
      </c>
      <c r="N2039" s="6">
        <v>23</v>
      </c>
      <c r="O2039">
        <v>90</v>
      </c>
      <c r="P2039">
        <v>6</v>
      </c>
      <c r="Q2039">
        <f t="shared" si="127"/>
        <v>96</v>
      </c>
      <c r="R2039">
        <v>4</v>
      </c>
      <c r="S2039">
        <v>10</v>
      </c>
      <c r="T2039">
        <f>Table[[#This Row],[NumWebPurchases]]+Table[[#This Row],[NumStorePurchases]]</f>
        <v>14</v>
      </c>
    </row>
    <row r="2040" spans="1:20" ht="12.5">
      <c r="A2040" s="6">
        <v>2038</v>
      </c>
      <c r="B2040" s="6">
        <v>6568</v>
      </c>
      <c r="C2040" s="6">
        <v>1984</v>
      </c>
      <c r="D2040" s="6">
        <f t="shared" si="124"/>
        <v>41</v>
      </c>
      <c r="E2040" s="7" t="s">
        <v>9</v>
      </c>
      <c r="F2040" s="7" t="s">
        <v>13</v>
      </c>
      <c r="G2040" s="6">
        <v>38680</v>
      </c>
      <c r="H2040" s="6" t="str" cm="1">
        <f t="array" ref="H2040">_xlfn.IFS(
  G2040 &lt; 25000, "Low",
  AND(G2040 &gt;= 25000, G2040 &lt; 75000), "Medium",
  AND(G2040 &gt;= 75000, G2040 &lt; 150000), "High",
  G2040 &gt;= 150000, "Very High"
)</f>
        <v>Medium</v>
      </c>
      <c r="I2040" s="6">
        <v>1</v>
      </c>
      <c r="J2040" s="6">
        <v>0</v>
      </c>
      <c r="K2040" s="6">
        <f t="shared" si="125"/>
        <v>1</v>
      </c>
      <c r="L2040" s="8">
        <v>41361</v>
      </c>
      <c r="M2040" t="str">
        <f t="shared" ca="1" si="126"/>
        <v>12 years, 11 months</v>
      </c>
      <c r="N2040" s="6">
        <v>97</v>
      </c>
      <c r="O2040">
        <v>0</v>
      </c>
      <c r="P2040">
        <v>5</v>
      </c>
      <c r="Q2040">
        <f t="shared" si="127"/>
        <v>5</v>
      </c>
      <c r="R2040">
        <v>2</v>
      </c>
      <c r="S2040">
        <v>3</v>
      </c>
      <c r="T2040">
        <f>Table[[#This Row],[NumWebPurchases]]+Table[[#This Row],[NumStorePurchases]]</f>
        <v>5</v>
      </c>
    </row>
    <row r="2041" spans="1:20" ht="12.5">
      <c r="A2041" s="6">
        <v>2039</v>
      </c>
      <c r="B2041" s="6">
        <v>5628</v>
      </c>
      <c r="C2041" s="6">
        <v>1982</v>
      </c>
      <c r="D2041" s="6">
        <f t="shared" si="124"/>
        <v>43</v>
      </c>
      <c r="E2041" s="7" t="s">
        <v>9</v>
      </c>
      <c r="F2041" s="7" t="s">
        <v>11</v>
      </c>
      <c r="G2041" s="6">
        <v>61416</v>
      </c>
      <c r="H2041" s="6" t="str" cm="1">
        <f t="array" ref="H2041">_xlfn.IFS(
  G2041 &lt; 25000, "Low",
  AND(G2041 &gt;= 25000, G2041 &lt; 75000), "Medium",
  AND(G2041 &gt;= 75000, G2041 &lt; 150000), "High",
  G2041 &gt;= 150000, "Very High"
)</f>
        <v>Medium</v>
      </c>
      <c r="I2041" s="6">
        <v>0</v>
      </c>
      <c r="J2041" s="6">
        <v>0</v>
      </c>
      <c r="K2041" s="6">
        <f t="shared" si="125"/>
        <v>0</v>
      </c>
      <c r="L2041" s="8">
        <v>41313</v>
      </c>
      <c r="M2041" t="str">
        <f t="shared" ca="1" si="126"/>
        <v>13 years, 0 months</v>
      </c>
      <c r="N2041" s="6">
        <v>25</v>
      </c>
      <c r="O2041">
        <v>154</v>
      </c>
      <c r="P2041">
        <v>61</v>
      </c>
      <c r="Q2041">
        <f t="shared" si="127"/>
        <v>215</v>
      </c>
      <c r="R2041">
        <v>10</v>
      </c>
      <c r="S2041">
        <v>10</v>
      </c>
      <c r="T2041">
        <f>Table[[#This Row],[NumWebPurchases]]+Table[[#This Row],[NumStorePurchases]]</f>
        <v>20</v>
      </c>
    </row>
    <row r="2042" spans="1:20" ht="12.5">
      <c r="A2042" s="6">
        <v>2040</v>
      </c>
      <c r="B2042" s="6">
        <v>5631</v>
      </c>
      <c r="C2042" s="6">
        <v>1991</v>
      </c>
      <c r="D2042" s="6">
        <f t="shared" si="124"/>
        <v>34</v>
      </c>
      <c r="E2042" s="7" t="s">
        <v>9</v>
      </c>
      <c r="F2042" s="7" t="s">
        <v>10</v>
      </c>
      <c r="G2042" s="6">
        <v>49767</v>
      </c>
      <c r="H2042" s="6" t="str" cm="1">
        <f t="array" ref="H2042">_xlfn.IFS(
  G2042 &lt; 25000, "Low",
  AND(G2042 &gt;= 25000, G2042 &lt; 75000), "Medium",
  AND(G2042 &gt;= 75000, G2042 &lt; 150000), "High",
  G2042 &gt;= 150000, "Very High"
)</f>
        <v>Medium</v>
      </c>
      <c r="I2042" s="6">
        <v>0</v>
      </c>
      <c r="J2042" s="6">
        <v>0</v>
      </c>
      <c r="K2042" s="6">
        <f t="shared" si="125"/>
        <v>0</v>
      </c>
      <c r="L2042" s="8">
        <v>41396</v>
      </c>
      <c r="M2042" t="str">
        <f t="shared" ca="1" si="126"/>
        <v>12 years, 10 months</v>
      </c>
      <c r="N2042" s="6">
        <v>92</v>
      </c>
      <c r="O2042">
        <v>47</v>
      </c>
      <c r="P2042">
        <v>42</v>
      </c>
      <c r="Q2042">
        <f t="shared" si="127"/>
        <v>89</v>
      </c>
      <c r="R2042">
        <v>5</v>
      </c>
      <c r="S2042">
        <v>8</v>
      </c>
      <c r="T2042">
        <f>Table[[#This Row],[NumWebPurchases]]+Table[[#This Row],[NumStorePurchases]]</f>
        <v>13</v>
      </c>
    </row>
    <row r="2043" spans="1:20" ht="12.5">
      <c r="A2043" s="6">
        <v>2041</v>
      </c>
      <c r="B2043" s="6">
        <v>4974</v>
      </c>
      <c r="C2043" s="6">
        <v>1970</v>
      </c>
      <c r="D2043" s="6">
        <f t="shared" si="124"/>
        <v>55</v>
      </c>
      <c r="E2043" s="7" t="s">
        <v>9</v>
      </c>
      <c r="F2043" s="7" t="s">
        <v>10</v>
      </c>
      <c r="G2043" s="6">
        <v>83273</v>
      </c>
      <c r="H2043" s="6" t="str" cm="1">
        <f t="array" ref="H2043">_xlfn.IFS(
  G2043 &lt; 25000, "Low",
  AND(G2043 &gt;= 25000, G2043 &lt; 75000), "Medium",
  AND(G2043 &gt;= 75000, G2043 &lt; 150000), "High",
  G2043 &gt;= 150000, "Very High"
)</f>
        <v>High</v>
      </c>
      <c r="I2043" s="6">
        <v>1</v>
      </c>
      <c r="J2043" s="6">
        <v>2</v>
      </c>
      <c r="K2043" s="6">
        <f t="shared" si="125"/>
        <v>3</v>
      </c>
      <c r="L2043" s="8">
        <v>41177</v>
      </c>
      <c r="M2043" t="str">
        <f t="shared" ca="1" si="126"/>
        <v>13 years, 5 months</v>
      </c>
      <c r="N2043" s="6">
        <v>98</v>
      </c>
      <c r="O2043">
        <v>89</v>
      </c>
      <c r="P2043">
        <v>102</v>
      </c>
      <c r="Q2043">
        <f t="shared" si="127"/>
        <v>191</v>
      </c>
      <c r="R2043">
        <v>4</v>
      </c>
      <c r="S2043">
        <v>9</v>
      </c>
      <c r="T2043">
        <f>Table[[#This Row],[NumWebPurchases]]+Table[[#This Row],[NumStorePurchases]]</f>
        <v>13</v>
      </c>
    </row>
    <row r="2044" spans="1:20" ht="12.5">
      <c r="A2044" s="6">
        <v>2042</v>
      </c>
      <c r="B2044" s="6">
        <v>8416</v>
      </c>
      <c r="C2044" s="6">
        <v>1981</v>
      </c>
      <c r="D2044" s="6">
        <f t="shared" si="124"/>
        <v>44</v>
      </c>
      <c r="E2044" s="7" t="s">
        <v>9</v>
      </c>
      <c r="F2044" s="7" t="s">
        <v>13</v>
      </c>
      <c r="G2044" s="6">
        <v>29009</v>
      </c>
      <c r="H2044" s="6" t="str" cm="1">
        <f t="array" ref="H2044">_xlfn.IFS(
  G2044 &lt; 25000, "Low",
  AND(G2044 &gt;= 25000, G2044 &lt; 75000), "Medium",
  AND(G2044 &gt;= 75000, G2044 &lt; 150000), "High",
  G2044 &gt;= 150000, "Very High"
)</f>
        <v>Medium</v>
      </c>
      <c r="I2044" s="6">
        <v>1</v>
      </c>
      <c r="J2044" s="6">
        <v>0</v>
      </c>
      <c r="K2044" s="6">
        <f t="shared" si="125"/>
        <v>1</v>
      </c>
      <c r="L2044" s="9">
        <v>41607</v>
      </c>
      <c r="M2044" t="str">
        <f t="shared" ca="1" si="126"/>
        <v>12 years, 3 months</v>
      </c>
      <c r="N2044" s="6">
        <v>19</v>
      </c>
      <c r="O2044">
        <v>6</v>
      </c>
      <c r="P2044">
        <v>5</v>
      </c>
      <c r="Q2044">
        <f t="shared" si="127"/>
        <v>11</v>
      </c>
      <c r="R2044">
        <v>2</v>
      </c>
      <c r="S2044">
        <v>3</v>
      </c>
      <c r="T2044">
        <f>Table[[#This Row],[NumWebPurchases]]+Table[[#This Row],[NumStorePurchases]]</f>
        <v>5</v>
      </c>
    </row>
    <row r="2045" spans="1:20" ht="12.5">
      <c r="A2045" s="6">
        <v>2043</v>
      </c>
      <c r="B2045" s="6">
        <v>5454</v>
      </c>
      <c r="C2045" s="6">
        <v>1979</v>
      </c>
      <c r="D2045" s="6">
        <f t="shared" si="124"/>
        <v>46</v>
      </c>
      <c r="E2045" s="7" t="s">
        <v>14</v>
      </c>
      <c r="F2045" s="7" t="s">
        <v>13</v>
      </c>
      <c r="G2045" s="6">
        <v>45057</v>
      </c>
      <c r="H2045" s="6" t="str" cm="1">
        <f t="array" ref="H2045">_xlfn.IFS(
  G2045 &lt; 25000, "Low",
  AND(G2045 &gt;= 25000, G2045 &lt; 75000), "Medium",
  AND(G2045 &gt;= 75000, G2045 &lt; 150000), "High",
  G2045 &gt;= 150000, "Very High"
)</f>
        <v>Medium</v>
      </c>
      <c r="I2045" s="6">
        <v>1</v>
      </c>
      <c r="J2045" s="6">
        <v>0</v>
      </c>
      <c r="K2045" s="6">
        <f t="shared" si="125"/>
        <v>1</v>
      </c>
      <c r="L2045" s="8">
        <v>41609</v>
      </c>
      <c r="M2045" t="str">
        <f t="shared" ca="1" si="126"/>
        <v>12 years, 3 months</v>
      </c>
      <c r="N2045" s="6">
        <v>80</v>
      </c>
      <c r="O2045">
        <v>0</v>
      </c>
      <c r="P2045">
        <v>0</v>
      </c>
      <c r="Q2045">
        <f t="shared" si="127"/>
        <v>0</v>
      </c>
      <c r="R2045">
        <v>2</v>
      </c>
      <c r="S2045">
        <v>3</v>
      </c>
      <c r="T2045">
        <f>Table[[#This Row],[NumWebPurchases]]+Table[[#This Row],[NumStorePurchases]]</f>
        <v>5</v>
      </c>
    </row>
    <row r="2046" spans="1:20" ht="12.5">
      <c r="A2046" s="6">
        <v>2044</v>
      </c>
      <c r="B2046" s="6">
        <v>4095</v>
      </c>
      <c r="C2046" s="6">
        <v>1971</v>
      </c>
      <c r="D2046" s="6">
        <f t="shared" si="124"/>
        <v>54</v>
      </c>
      <c r="E2046" s="7" t="s">
        <v>9</v>
      </c>
      <c r="F2046" s="7" t="s">
        <v>13</v>
      </c>
      <c r="G2046" s="6">
        <v>37150</v>
      </c>
      <c r="H2046" s="6" t="str" cm="1">
        <f t="array" ref="H2046">_xlfn.IFS(
  G2046 &lt; 25000, "Low",
  AND(G2046 &gt;= 25000, G2046 &lt; 75000), "Medium",
  AND(G2046 &gt;= 75000, G2046 &lt; 150000), "High",
  G2046 &gt;= 150000, "Very High"
)</f>
        <v>Medium</v>
      </c>
      <c r="I2046" s="6">
        <v>1</v>
      </c>
      <c r="J2046" s="6">
        <v>0</v>
      </c>
      <c r="K2046" s="6">
        <f t="shared" si="125"/>
        <v>1</v>
      </c>
      <c r="L2046" s="8">
        <v>41163</v>
      </c>
      <c r="M2046" t="str">
        <f t="shared" ca="1" si="126"/>
        <v>13 years, 5 months</v>
      </c>
      <c r="N2046" s="6">
        <v>80</v>
      </c>
      <c r="O2046">
        <v>37</v>
      </c>
      <c r="P2046">
        <v>34</v>
      </c>
      <c r="Q2046">
        <f t="shared" si="127"/>
        <v>71</v>
      </c>
      <c r="R2046">
        <v>4</v>
      </c>
      <c r="S2046">
        <v>6</v>
      </c>
      <c r="T2046">
        <f>Table[[#This Row],[NumWebPurchases]]+Table[[#This Row],[NumStorePurchases]]</f>
        <v>10</v>
      </c>
    </row>
    <row r="2047" spans="1:20" ht="12.5">
      <c r="A2047" s="6">
        <v>2045</v>
      </c>
      <c r="B2047" s="6">
        <v>5474</v>
      </c>
      <c r="C2047" s="6">
        <v>1970</v>
      </c>
      <c r="D2047" s="6">
        <f t="shared" si="124"/>
        <v>55</v>
      </c>
      <c r="E2047" s="7" t="s">
        <v>9</v>
      </c>
      <c r="F2047" s="7" t="s">
        <v>10</v>
      </c>
      <c r="G2047" s="6">
        <v>43020</v>
      </c>
      <c r="H2047" s="6" t="str" cm="1">
        <f t="array" ref="H2047">_xlfn.IFS(
  G2047 &lt; 25000, "Low",
  AND(G2047 &gt;= 25000, G2047 &lt; 75000), "Medium",
  AND(G2047 &gt;= 75000, G2047 &lt; 150000), "High",
  G2047 &gt;= 150000, "Very High"
)</f>
        <v>Medium</v>
      </c>
      <c r="I2047" s="6">
        <v>1</v>
      </c>
      <c r="J2047" s="6">
        <v>0</v>
      </c>
      <c r="K2047" s="6">
        <f t="shared" si="125"/>
        <v>1</v>
      </c>
      <c r="L2047" s="9">
        <v>41608</v>
      </c>
      <c r="M2047" t="str">
        <f t="shared" ca="1" si="126"/>
        <v>12 years, 3 months</v>
      </c>
      <c r="N2047" s="6">
        <v>79</v>
      </c>
      <c r="O2047">
        <v>7</v>
      </c>
      <c r="P2047">
        <v>25</v>
      </c>
      <c r="Q2047">
        <f t="shared" si="127"/>
        <v>32</v>
      </c>
      <c r="R2047">
        <v>4</v>
      </c>
      <c r="S2047">
        <v>4</v>
      </c>
      <c r="T2047">
        <f>Table[[#This Row],[NumWebPurchases]]+Table[[#This Row],[NumStorePurchases]]</f>
        <v>8</v>
      </c>
    </row>
    <row r="2048" spans="1:20" ht="12.5">
      <c r="A2048" s="6">
        <v>2046</v>
      </c>
      <c r="B2048" s="6">
        <v>4268</v>
      </c>
      <c r="C2048" s="6">
        <v>1959</v>
      </c>
      <c r="D2048" s="6">
        <f t="shared" si="124"/>
        <v>66</v>
      </c>
      <c r="E2048" s="7" t="s">
        <v>9</v>
      </c>
      <c r="F2048" s="7" t="s">
        <v>13</v>
      </c>
      <c r="G2048" s="6">
        <v>53154</v>
      </c>
      <c r="H2048" s="6" t="str" cm="1">
        <f t="array" ref="H2048">_xlfn.IFS(
  G2048 &lt; 25000, "Low",
  AND(G2048 &gt;= 25000, G2048 &lt; 75000), "Medium",
  AND(G2048 &gt;= 75000, G2048 &lt; 150000), "High",
  G2048 &gt;= 150000, "Very High"
)</f>
        <v>Medium</v>
      </c>
      <c r="I2048" s="6">
        <v>0</v>
      </c>
      <c r="J2048" s="6">
        <v>1</v>
      </c>
      <c r="K2048" s="6">
        <f t="shared" si="125"/>
        <v>1</v>
      </c>
      <c r="L2048" s="8">
        <v>41799</v>
      </c>
      <c r="M2048" t="str">
        <f t="shared" ca="1" si="126"/>
        <v>11 years, 8 months</v>
      </c>
      <c r="N2048" s="6">
        <v>50</v>
      </c>
      <c r="O2048">
        <v>0</v>
      </c>
      <c r="P2048">
        <v>1</v>
      </c>
      <c r="Q2048">
        <f t="shared" si="127"/>
        <v>1</v>
      </c>
      <c r="R2048">
        <v>3</v>
      </c>
      <c r="S2048">
        <v>4</v>
      </c>
      <c r="T2048">
        <f>Table[[#This Row],[NumWebPurchases]]+Table[[#This Row],[NumStorePurchases]]</f>
        <v>7</v>
      </c>
    </row>
    <row r="2049" spans="1:20" ht="12.5">
      <c r="A2049" s="6">
        <v>2047</v>
      </c>
      <c r="B2049" s="6">
        <v>10701</v>
      </c>
      <c r="C2049" s="6">
        <v>1973</v>
      </c>
      <c r="D2049" s="6">
        <f t="shared" si="124"/>
        <v>52</v>
      </c>
      <c r="E2049" s="7" t="s">
        <v>9</v>
      </c>
      <c r="F2049" s="7" t="s">
        <v>13</v>
      </c>
      <c r="G2049" s="6">
        <v>65308</v>
      </c>
      <c r="H2049" s="6" t="str" cm="1">
        <f t="array" ref="H2049">_xlfn.IFS(
  G2049 &lt; 25000, "Low",
  AND(G2049 &gt;= 25000, G2049 &lt; 75000), "Medium",
  AND(G2049 &gt;= 75000, G2049 &lt; 150000), "High",
  G2049 &gt;= 150000, "Very High"
)</f>
        <v>Medium</v>
      </c>
      <c r="I2049" s="6">
        <v>0</v>
      </c>
      <c r="J2049" s="6">
        <v>0</v>
      </c>
      <c r="K2049" s="6">
        <f t="shared" si="125"/>
        <v>0</v>
      </c>
      <c r="L2049" s="8">
        <v>41528</v>
      </c>
      <c r="M2049" t="str">
        <f t="shared" ca="1" si="126"/>
        <v>12 years, 5 months</v>
      </c>
      <c r="N2049" s="6">
        <v>60</v>
      </c>
      <c r="O2049">
        <v>0</v>
      </c>
      <c r="P2049">
        <v>80</v>
      </c>
      <c r="Q2049">
        <f t="shared" si="127"/>
        <v>80</v>
      </c>
      <c r="R2049">
        <v>7</v>
      </c>
      <c r="S2049">
        <v>12</v>
      </c>
      <c r="T2049">
        <f>Table[[#This Row],[NumWebPurchases]]+Table[[#This Row],[NumStorePurchases]]</f>
        <v>19</v>
      </c>
    </row>
    <row r="2050" spans="1:20" ht="12.5">
      <c r="A2050" s="6">
        <v>2048</v>
      </c>
      <c r="B2050" s="6">
        <v>3507</v>
      </c>
      <c r="C2050" s="6">
        <v>1970</v>
      </c>
      <c r="D2050" s="6">
        <f t="shared" si="124"/>
        <v>55</v>
      </c>
      <c r="E2050" s="7" t="s">
        <v>9</v>
      </c>
      <c r="F2050" s="7" t="s">
        <v>10</v>
      </c>
      <c r="G2050" s="6">
        <v>76467</v>
      </c>
      <c r="H2050" s="6" t="str" cm="1">
        <f t="array" ref="H2050">_xlfn.IFS(
  G2050 &lt; 25000, "Low",
  AND(G2050 &gt;= 25000, G2050 &lt; 75000), "Medium",
  AND(G2050 &gt;= 75000, G2050 &lt; 150000), "High",
  G2050 &gt;= 150000, "Very High"
)</f>
        <v>High</v>
      </c>
      <c r="I2050" s="6">
        <v>1</v>
      </c>
      <c r="J2050" s="6">
        <v>0</v>
      </c>
      <c r="K2050" s="6">
        <f t="shared" si="125"/>
        <v>1</v>
      </c>
      <c r="L2050" s="8">
        <v>41138</v>
      </c>
      <c r="M2050" t="str">
        <f t="shared" ca="1" si="126"/>
        <v>13 years, 6 months</v>
      </c>
      <c r="N2050" s="6">
        <v>44</v>
      </c>
      <c r="O2050">
        <v>161</v>
      </c>
      <c r="P2050">
        <v>44</v>
      </c>
      <c r="Q2050">
        <f t="shared" si="127"/>
        <v>205</v>
      </c>
      <c r="R2050">
        <v>2</v>
      </c>
      <c r="S2050">
        <v>5</v>
      </c>
      <c r="T2050">
        <f>Table[[#This Row],[NumWebPurchases]]+Table[[#This Row],[NumStorePurchases]]</f>
        <v>7</v>
      </c>
    </row>
    <row r="2051" spans="1:20" ht="12.5">
      <c r="A2051" s="6">
        <v>2049</v>
      </c>
      <c r="B2051" s="6">
        <v>2079</v>
      </c>
      <c r="C2051" s="6">
        <v>1947</v>
      </c>
      <c r="D2051" s="6">
        <f t="shared" ref="D2051:D2114" si="128">2025-C2051</f>
        <v>78</v>
      </c>
      <c r="E2051" s="7" t="s">
        <v>17</v>
      </c>
      <c r="F2051" s="7" t="s">
        <v>13</v>
      </c>
      <c r="G2051" s="6">
        <v>81044</v>
      </c>
      <c r="H2051" s="6" t="str" cm="1">
        <f t="array" ref="H2051">_xlfn.IFS(
  G2051 &lt; 25000, "Low",
  AND(G2051 &gt;= 25000, G2051 &lt; 75000), "Medium",
  AND(G2051 &gt;= 75000, G2051 &lt; 150000), "High",
  G2051 &gt;= 150000, "Very High"
)</f>
        <v>High</v>
      </c>
      <c r="I2051" s="6">
        <v>0</v>
      </c>
      <c r="J2051" s="6">
        <v>0</v>
      </c>
      <c r="K2051" s="6">
        <f t="shared" ref="K2051:K2114" si="129">I2051+J2051</f>
        <v>0</v>
      </c>
      <c r="L2051" s="9">
        <v>41635</v>
      </c>
      <c r="M2051" t="str">
        <f t="shared" ref="M2051:M2114" ca="1" si="130">DATEDIF(L2051, TODAY(), "Y") &amp; " years, " &amp; DATEDIF(L2051, TODAY(), "YM") &amp; " months"</f>
        <v>12 years, 2 months</v>
      </c>
      <c r="N2051" s="6">
        <v>0</v>
      </c>
      <c r="O2051">
        <v>26</v>
      </c>
      <c r="P2051">
        <v>98</v>
      </c>
      <c r="Q2051">
        <f t="shared" ref="Q2051:Q2114" si="131">O2051+P2051</f>
        <v>124</v>
      </c>
      <c r="R2051">
        <v>5</v>
      </c>
      <c r="S2051">
        <v>10</v>
      </c>
      <c r="T2051">
        <f>Table[[#This Row],[NumWebPurchases]]+Table[[#This Row],[NumStorePurchases]]</f>
        <v>15</v>
      </c>
    </row>
    <row r="2052" spans="1:20" ht="12.5">
      <c r="A2052" s="6">
        <v>2050</v>
      </c>
      <c r="B2052" s="6">
        <v>626</v>
      </c>
      <c r="C2052" s="6">
        <v>1951</v>
      </c>
      <c r="D2052" s="6">
        <f t="shared" si="128"/>
        <v>74</v>
      </c>
      <c r="E2052" s="7" t="s">
        <v>9</v>
      </c>
      <c r="F2052" s="7" t="s">
        <v>13</v>
      </c>
      <c r="G2052" s="6">
        <v>32871</v>
      </c>
      <c r="H2052" s="6" t="str" cm="1">
        <f t="array" ref="H2052">_xlfn.IFS(
  G2052 &lt; 25000, "Low",
  AND(G2052 &gt;= 25000, G2052 &lt; 75000), "Medium",
  AND(G2052 &gt;= 75000, G2052 &lt; 150000), "High",
  G2052 &gt;= 150000, "Very High"
)</f>
        <v>Medium</v>
      </c>
      <c r="I2052" s="6">
        <v>1</v>
      </c>
      <c r="J2052" s="6">
        <v>1</v>
      </c>
      <c r="K2052" s="6">
        <f t="shared" si="129"/>
        <v>2</v>
      </c>
      <c r="L2052" s="8">
        <v>41342</v>
      </c>
      <c r="M2052" t="str">
        <f t="shared" ca="1" si="130"/>
        <v>12 years, 11 months</v>
      </c>
      <c r="N2052" s="6">
        <v>28</v>
      </c>
      <c r="O2052">
        <v>2</v>
      </c>
      <c r="P2052">
        <v>2</v>
      </c>
      <c r="Q2052">
        <f t="shared" si="131"/>
        <v>4</v>
      </c>
      <c r="R2052">
        <v>1</v>
      </c>
      <c r="S2052">
        <v>3</v>
      </c>
      <c r="T2052">
        <f>Table[[#This Row],[NumWebPurchases]]+Table[[#This Row],[NumStorePurchases]]</f>
        <v>4</v>
      </c>
    </row>
    <row r="2053" spans="1:20" ht="12.5">
      <c r="A2053" s="6">
        <v>2051</v>
      </c>
      <c r="B2053" s="6">
        <v>4426</v>
      </c>
      <c r="C2053" s="6">
        <v>1975</v>
      </c>
      <c r="D2053" s="6">
        <f t="shared" si="128"/>
        <v>50</v>
      </c>
      <c r="E2053" s="7" t="s">
        <v>9</v>
      </c>
      <c r="F2053" s="7" t="s">
        <v>10</v>
      </c>
      <c r="G2053" s="6">
        <v>55801</v>
      </c>
      <c r="H2053" s="6" t="str" cm="1">
        <f t="array" ref="H2053">_xlfn.IFS(
  G2053 &lt; 25000, "Low",
  AND(G2053 &gt;= 25000, G2053 &lt; 75000), "Medium",
  AND(G2053 &gt;= 75000, G2053 &lt; 150000), "High",
  G2053 &gt;= 150000, "Very High"
)</f>
        <v>Medium</v>
      </c>
      <c r="I2053" s="6">
        <v>1</v>
      </c>
      <c r="J2053" s="6">
        <v>1</v>
      </c>
      <c r="K2053" s="6">
        <f t="shared" si="129"/>
        <v>2</v>
      </c>
      <c r="L2053" s="8">
        <v>41539</v>
      </c>
      <c r="M2053" t="str">
        <f t="shared" ca="1" si="130"/>
        <v>12 years, 5 months</v>
      </c>
      <c r="N2053" s="6">
        <v>35</v>
      </c>
      <c r="O2053">
        <v>4</v>
      </c>
      <c r="P2053">
        <v>4</v>
      </c>
      <c r="Q2053">
        <f t="shared" si="131"/>
        <v>8</v>
      </c>
      <c r="R2053">
        <v>7</v>
      </c>
      <c r="S2053">
        <v>6</v>
      </c>
      <c r="T2053">
        <f>Table[[#This Row],[NumWebPurchases]]+Table[[#This Row],[NumStorePurchases]]</f>
        <v>13</v>
      </c>
    </row>
    <row r="2054" spans="1:20" ht="12.5">
      <c r="A2054" s="6">
        <v>2052</v>
      </c>
      <c r="B2054" s="6">
        <v>2591</v>
      </c>
      <c r="C2054" s="6">
        <v>1959</v>
      </c>
      <c r="D2054" s="6">
        <f t="shared" si="128"/>
        <v>66</v>
      </c>
      <c r="E2054" s="7" t="s">
        <v>9</v>
      </c>
      <c r="F2054" s="7" t="s">
        <v>18</v>
      </c>
      <c r="G2054" s="6">
        <v>76320</v>
      </c>
      <c r="H2054" s="6" t="str" cm="1">
        <f t="array" ref="H2054">_xlfn.IFS(
  G2054 &lt; 25000, "Low",
  AND(G2054 &gt;= 25000, G2054 &lt; 75000), "Medium",
  AND(G2054 &gt;= 75000, G2054 &lt; 150000), "High",
  G2054 &gt;= 150000, "Very High"
)</f>
        <v>High</v>
      </c>
      <c r="I2054" s="6">
        <v>0</v>
      </c>
      <c r="J2054" s="6">
        <v>1</v>
      </c>
      <c r="K2054" s="6">
        <f t="shared" si="129"/>
        <v>1</v>
      </c>
      <c r="L2054" s="8">
        <v>41812</v>
      </c>
      <c r="M2054" t="str">
        <f t="shared" ca="1" si="130"/>
        <v>11 years, 8 months</v>
      </c>
      <c r="N2054" s="6">
        <v>49</v>
      </c>
      <c r="O2054">
        <v>35</v>
      </c>
      <c r="P2054">
        <v>53</v>
      </c>
      <c r="Q2054">
        <f t="shared" si="131"/>
        <v>88</v>
      </c>
      <c r="R2054">
        <v>6</v>
      </c>
      <c r="S2054">
        <v>4</v>
      </c>
      <c r="T2054">
        <f>Table[[#This Row],[NumWebPurchases]]+Table[[#This Row],[NumStorePurchases]]</f>
        <v>10</v>
      </c>
    </row>
    <row r="2055" spans="1:20" ht="12.5">
      <c r="A2055" s="6">
        <v>2053</v>
      </c>
      <c r="B2055" s="6">
        <v>10509</v>
      </c>
      <c r="C2055" s="6">
        <v>1955</v>
      </c>
      <c r="D2055" s="6">
        <f t="shared" si="128"/>
        <v>70</v>
      </c>
      <c r="E2055" s="7" t="s">
        <v>14</v>
      </c>
      <c r="F2055" s="7" t="s">
        <v>10</v>
      </c>
      <c r="G2055" s="6">
        <v>36927</v>
      </c>
      <c r="H2055" s="6" t="str" cm="1">
        <f t="array" ref="H2055">_xlfn.IFS(
  G2055 &lt; 25000, "Low",
  AND(G2055 &gt;= 25000, G2055 &lt; 75000), "Medium",
  AND(G2055 &gt;= 75000, G2055 &lt; 150000), "High",
  G2055 &gt;= 150000, "Very High"
)</f>
        <v>Medium</v>
      </c>
      <c r="I2055" s="6">
        <v>1</v>
      </c>
      <c r="J2055" s="6">
        <v>1</v>
      </c>
      <c r="K2055" s="6">
        <f t="shared" si="129"/>
        <v>2</v>
      </c>
      <c r="L2055" s="8">
        <v>41792</v>
      </c>
      <c r="M2055" t="str">
        <f t="shared" ca="1" si="130"/>
        <v>11 years, 9 months</v>
      </c>
      <c r="N2055" s="6">
        <v>46</v>
      </c>
      <c r="O2055">
        <v>0</v>
      </c>
      <c r="P2055">
        <v>0</v>
      </c>
      <c r="Q2055">
        <f t="shared" si="131"/>
        <v>0</v>
      </c>
      <c r="R2055">
        <v>3</v>
      </c>
      <c r="S2055">
        <v>3</v>
      </c>
      <c r="T2055">
        <f>Table[[#This Row],[NumWebPurchases]]+Table[[#This Row],[NumStorePurchases]]</f>
        <v>6</v>
      </c>
    </row>
    <row r="2056" spans="1:20" ht="12.5">
      <c r="A2056" s="6">
        <v>2054</v>
      </c>
      <c r="B2056" s="6">
        <v>6382</v>
      </c>
      <c r="C2056" s="6">
        <v>1953</v>
      </c>
      <c r="D2056" s="6">
        <f t="shared" si="128"/>
        <v>72</v>
      </c>
      <c r="E2056" s="7" t="s">
        <v>9</v>
      </c>
      <c r="F2056" s="7" t="s">
        <v>11</v>
      </c>
      <c r="G2056" s="6">
        <v>48794</v>
      </c>
      <c r="H2056" s="6" t="str" cm="1">
        <f t="array" ref="H2056">_xlfn.IFS(
  G2056 &lt; 25000, "Low",
  AND(G2056 &gt;= 25000, G2056 &lt; 75000), "Medium",
  AND(G2056 &gt;= 75000, G2056 &lt; 150000), "High",
  G2056 &gt;= 150000, "Very High"
)</f>
        <v>Medium</v>
      </c>
      <c r="I2056" s="6">
        <v>1</v>
      </c>
      <c r="J2056" s="6">
        <v>1</v>
      </c>
      <c r="K2056" s="6">
        <f t="shared" si="129"/>
        <v>2</v>
      </c>
      <c r="L2056" s="8">
        <v>41816</v>
      </c>
      <c r="M2056" t="str">
        <f t="shared" ca="1" si="130"/>
        <v>11 years, 8 months</v>
      </c>
      <c r="N2056" s="6">
        <v>97</v>
      </c>
      <c r="O2056">
        <v>0</v>
      </c>
      <c r="P2056">
        <v>0</v>
      </c>
      <c r="Q2056">
        <f t="shared" si="131"/>
        <v>0</v>
      </c>
      <c r="R2056">
        <v>1</v>
      </c>
      <c r="S2056">
        <v>3</v>
      </c>
      <c r="T2056">
        <f>Table[[#This Row],[NumWebPurchases]]+Table[[#This Row],[NumStorePurchases]]</f>
        <v>4</v>
      </c>
    </row>
    <row r="2057" spans="1:20" ht="12.5">
      <c r="A2057" s="6">
        <v>2055</v>
      </c>
      <c r="B2057" s="6">
        <v>6673</v>
      </c>
      <c r="C2057" s="6">
        <v>1965</v>
      </c>
      <c r="D2057" s="6">
        <f t="shared" si="128"/>
        <v>60</v>
      </c>
      <c r="E2057" s="7" t="s">
        <v>9</v>
      </c>
      <c r="F2057" s="7" t="s">
        <v>10</v>
      </c>
      <c r="G2057" s="6">
        <v>23478</v>
      </c>
      <c r="H2057" s="6" t="str" cm="1">
        <f t="array" ref="H2057">_xlfn.IFS(
  G2057 &lt; 25000, "Low",
  AND(G2057 &gt;= 25000, G2057 &lt; 75000), "Medium",
  AND(G2057 &gt;= 75000, G2057 &lt; 150000), "High",
  G2057 &gt;= 150000, "Very High"
)</f>
        <v>Low</v>
      </c>
      <c r="I2057" s="6">
        <v>0</v>
      </c>
      <c r="J2057" s="6">
        <v>0</v>
      </c>
      <c r="K2057" s="6">
        <f t="shared" si="129"/>
        <v>0</v>
      </c>
      <c r="L2057" s="8">
        <v>41352</v>
      </c>
      <c r="M2057" t="str">
        <f t="shared" ca="1" si="130"/>
        <v>12 years, 11 months</v>
      </c>
      <c r="N2057" s="6">
        <v>51</v>
      </c>
      <c r="O2057">
        <v>6</v>
      </c>
      <c r="P2057">
        <v>17</v>
      </c>
      <c r="Q2057">
        <f t="shared" si="131"/>
        <v>23</v>
      </c>
      <c r="R2057">
        <v>3</v>
      </c>
      <c r="S2057">
        <v>3</v>
      </c>
      <c r="T2057">
        <f>Table[[#This Row],[NumWebPurchases]]+Table[[#This Row],[NumStorePurchases]]</f>
        <v>6</v>
      </c>
    </row>
    <row r="2058" spans="1:20" ht="12.5">
      <c r="A2058" s="6">
        <v>2056</v>
      </c>
      <c r="B2058" s="6">
        <v>7441</v>
      </c>
      <c r="C2058" s="6">
        <v>1973</v>
      </c>
      <c r="D2058" s="6">
        <f t="shared" si="128"/>
        <v>52</v>
      </c>
      <c r="E2058" s="7" t="s">
        <v>9</v>
      </c>
      <c r="F2058" s="7" t="s">
        <v>15</v>
      </c>
      <c r="G2058" s="6">
        <v>71128</v>
      </c>
      <c r="H2058" s="6" t="str" cm="1">
        <f t="array" ref="H2058">_xlfn.IFS(
  G2058 &lt; 25000, "Low",
  AND(G2058 &gt;= 25000, G2058 &lt; 75000), "Medium",
  AND(G2058 &gt;= 75000, G2058 &lt; 150000), "High",
  G2058 &gt;= 150000, "Very High"
)</f>
        <v>Medium</v>
      </c>
      <c r="I2058" s="6">
        <v>1</v>
      </c>
      <c r="J2058" s="6">
        <v>0</v>
      </c>
      <c r="K2058" s="6">
        <f t="shared" si="129"/>
        <v>1</v>
      </c>
      <c r="L2058" s="8">
        <v>41188</v>
      </c>
      <c r="M2058" t="str">
        <f t="shared" ca="1" si="130"/>
        <v>13 years, 5 months</v>
      </c>
      <c r="N2058" s="6">
        <v>80</v>
      </c>
      <c r="O2058">
        <v>159</v>
      </c>
      <c r="P2058">
        <v>0</v>
      </c>
      <c r="Q2058">
        <f t="shared" si="131"/>
        <v>159</v>
      </c>
      <c r="R2058">
        <v>2</v>
      </c>
      <c r="S2058">
        <v>12</v>
      </c>
      <c r="T2058">
        <f>Table[[#This Row],[NumWebPurchases]]+Table[[#This Row],[NumStorePurchases]]</f>
        <v>14</v>
      </c>
    </row>
    <row r="2059" spans="1:20" ht="12.5">
      <c r="A2059" s="6">
        <v>2057</v>
      </c>
      <c r="B2059" s="6">
        <v>1071</v>
      </c>
      <c r="C2059" s="6">
        <v>1976</v>
      </c>
      <c r="D2059" s="6">
        <f t="shared" si="128"/>
        <v>49</v>
      </c>
      <c r="E2059" s="7" t="s">
        <v>12</v>
      </c>
      <c r="F2059" s="7" t="s">
        <v>15</v>
      </c>
      <c r="G2059" s="6">
        <v>70179</v>
      </c>
      <c r="H2059" s="6" t="str" cm="1">
        <f t="array" ref="H2059">_xlfn.IFS(
  G2059 &lt; 25000, "Low",
  AND(G2059 &gt;= 25000, G2059 &lt; 75000), "Medium",
  AND(G2059 &gt;= 75000, G2059 &lt; 150000), "High",
  G2059 &gt;= 150000, "Very High"
)</f>
        <v>Medium</v>
      </c>
      <c r="I2059" s="6">
        <v>0</v>
      </c>
      <c r="J2059" s="6">
        <v>1</v>
      </c>
      <c r="K2059" s="6">
        <f t="shared" si="129"/>
        <v>1</v>
      </c>
      <c r="L2059" s="8">
        <v>41476</v>
      </c>
      <c r="M2059" t="str">
        <f t="shared" ca="1" si="130"/>
        <v>12 years, 7 months</v>
      </c>
      <c r="N2059" s="6">
        <v>10</v>
      </c>
      <c r="O2059">
        <v>88</v>
      </c>
      <c r="P2059">
        <v>44</v>
      </c>
      <c r="Q2059">
        <f t="shared" si="131"/>
        <v>132</v>
      </c>
      <c r="R2059">
        <v>7</v>
      </c>
      <c r="S2059">
        <v>13</v>
      </c>
      <c r="T2059">
        <f>Table[[#This Row],[NumWebPurchases]]+Table[[#This Row],[NumStorePurchases]]</f>
        <v>20</v>
      </c>
    </row>
    <row r="2060" spans="1:20" ht="12.5">
      <c r="A2060" s="6">
        <v>2058</v>
      </c>
      <c r="B2060" s="6">
        <v>10061</v>
      </c>
      <c r="C2060" s="6">
        <v>1950</v>
      </c>
      <c r="D2060" s="6">
        <f t="shared" si="128"/>
        <v>75</v>
      </c>
      <c r="E2060" s="7" t="s">
        <v>9</v>
      </c>
      <c r="F2060" s="7" t="s">
        <v>13</v>
      </c>
      <c r="G2060" s="6">
        <v>59462</v>
      </c>
      <c r="H2060" s="6" t="str" cm="1">
        <f t="array" ref="H2060">_xlfn.IFS(
  G2060 &lt; 25000, "Low",
  AND(G2060 &gt;= 25000, G2060 &lt; 75000), "Medium",
  AND(G2060 &gt;= 75000, G2060 &lt; 150000), "High",
  G2060 &gt;= 150000, "Very High"
)</f>
        <v>Medium</v>
      </c>
      <c r="I2060" s="6">
        <v>0</v>
      </c>
      <c r="J2060" s="6">
        <v>1</v>
      </c>
      <c r="K2060" s="6">
        <f t="shared" si="129"/>
        <v>1</v>
      </c>
      <c r="L2060" s="8">
        <v>41279</v>
      </c>
      <c r="M2060" t="str">
        <f t="shared" ca="1" si="130"/>
        <v>13 years, 2 months</v>
      </c>
      <c r="N2060" s="6">
        <v>29</v>
      </c>
      <c r="O2060">
        <v>17</v>
      </c>
      <c r="P2060">
        <v>8</v>
      </c>
      <c r="Q2060">
        <f t="shared" si="131"/>
        <v>25</v>
      </c>
      <c r="R2060">
        <v>9</v>
      </c>
      <c r="S2060">
        <v>12</v>
      </c>
      <c r="T2060">
        <f>Table[[#This Row],[NumWebPurchases]]+Table[[#This Row],[NumStorePurchases]]</f>
        <v>21</v>
      </c>
    </row>
    <row r="2061" spans="1:20" ht="12.5">
      <c r="A2061" s="6">
        <v>2059</v>
      </c>
      <c r="B2061" s="6">
        <v>7187</v>
      </c>
      <c r="C2061" s="6">
        <v>1969</v>
      </c>
      <c r="D2061" s="6">
        <f t="shared" si="128"/>
        <v>56</v>
      </c>
      <c r="E2061" s="7" t="s">
        <v>14</v>
      </c>
      <c r="F2061" s="7" t="s">
        <v>11</v>
      </c>
      <c r="G2061" s="7">
        <v>51371</v>
      </c>
      <c r="H2061" s="6" t="str" cm="1">
        <f t="array" ref="H2061">_xlfn.IFS(
  G2061 &lt; 25000, "Low",
  AND(G2061 &gt;= 25000, G2061 &lt; 75000), "Medium",
  AND(G2061 &gt;= 75000, G2061 &lt; 150000), "High",
  G2061 &gt;= 150000, "Very High"
)</f>
        <v>Medium</v>
      </c>
      <c r="I2061" s="6">
        <v>1</v>
      </c>
      <c r="J2061" s="6">
        <v>1</v>
      </c>
      <c r="K2061" s="6">
        <f t="shared" si="129"/>
        <v>2</v>
      </c>
      <c r="L2061" s="8">
        <v>41412</v>
      </c>
      <c r="M2061" t="str">
        <f t="shared" ca="1" si="130"/>
        <v>12 years, 9 months</v>
      </c>
      <c r="N2061" s="6">
        <v>52</v>
      </c>
      <c r="O2061">
        <v>42</v>
      </c>
      <c r="P2061">
        <v>66</v>
      </c>
      <c r="Q2061">
        <f t="shared" si="131"/>
        <v>108</v>
      </c>
      <c r="R2061">
        <v>4</v>
      </c>
      <c r="S2061">
        <v>4</v>
      </c>
      <c r="T2061">
        <f>Table[[#This Row],[NumWebPurchases]]+Table[[#This Row],[NumStorePurchases]]</f>
        <v>8</v>
      </c>
    </row>
    <row r="2062" spans="1:20" ht="12.5">
      <c r="A2062" s="6">
        <v>2060</v>
      </c>
      <c r="B2062" s="6">
        <v>8775</v>
      </c>
      <c r="C2062" s="6">
        <v>1969</v>
      </c>
      <c r="D2062" s="6">
        <f t="shared" si="128"/>
        <v>56</v>
      </c>
      <c r="E2062" s="7" t="s">
        <v>9</v>
      </c>
      <c r="F2062" s="7" t="s">
        <v>11</v>
      </c>
      <c r="G2062" s="6">
        <v>38361</v>
      </c>
      <c r="H2062" s="6" t="str" cm="1">
        <f t="array" ref="H2062">_xlfn.IFS(
  G2062 &lt; 25000, "Low",
  AND(G2062 &gt;= 25000, G2062 &lt; 75000), "Medium",
  AND(G2062 &gt;= 75000, G2062 &lt; 150000), "High",
  G2062 &gt;= 150000, "Very High"
)</f>
        <v>Medium</v>
      </c>
      <c r="I2062" s="6">
        <v>1</v>
      </c>
      <c r="J2062" s="6">
        <v>0</v>
      </c>
      <c r="K2062" s="6">
        <f t="shared" si="129"/>
        <v>1</v>
      </c>
      <c r="L2062" s="9">
        <v>41635</v>
      </c>
      <c r="M2062" t="str">
        <f t="shared" ca="1" si="130"/>
        <v>12 years, 2 months</v>
      </c>
      <c r="N2062" s="6">
        <v>74</v>
      </c>
      <c r="O2062">
        <v>0</v>
      </c>
      <c r="P2062">
        <v>8</v>
      </c>
      <c r="Q2062">
        <f t="shared" si="131"/>
        <v>8</v>
      </c>
      <c r="R2062">
        <v>3</v>
      </c>
      <c r="S2062">
        <v>3</v>
      </c>
      <c r="T2062">
        <f>Table[[#This Row],[NumWebPurchases]]+Table[[#This Row],[NumStorePurchases]]</f>
        <v>6</v>
      </c>
    </row>
    <row r="2063" spans="1:20" ht="12.5">
      <c r="A2063" s="6">
        <v>2061</v>
      </c>
      <c r="B2063" s="6">
        <v>1612</v>
      </c>
      <c r="C2063" s="6">
        <v>1981</v>
      </c>
      <c r="D2063" s="6">
        <f t="shared" si="128"/>
        <v>44</v>
      </c>
      <c r="E2063" s="7" t="s">
        <v>12</v>
      </c>
      <c r="F2063" s="7" t="s">
        <v>10</v>
      </c>
      <c r="G2063" s="7">
        <v>51371</v>
      </c>
      <c r="H2063" s="6" t="str" cm="1">
        <f t="array" ref="H2063">_xlfn.IFS(
  G2063 &lt; 25000, "Low",
  AND(G2063 &gt;= 25000, G2063 &lt; 75000), "Medium",
  AND(G2063 &gt;= 75000, G2063 &lt; 150000), "High",
  G2063 &gt;= 150000, "Very High"
)</f>
        <v>Medium</v>
      </c>
      <c r="I2063" s="6">
        <v>1</v>
      </c>
      <c r="J2063" s="6">
        <v>0</v>
      </c>
      <c r="K2063" s="6">
        <f t="shared" si="129"/>
        <v>1</v>
      </c>
      <c r="L2063" s="8">
        <v>41425</v>
      </c>
      <c r="M2063" t="str">
        <f t="shared" ca="1" si="130"/>
        <v>12 years, 9 months</v>
      </c>
      <c r="N2063" s="6">
        <v>82</v>
      </c>
      <c r="O2063">
        <v>0</v>
      </c>
      <c r="P2063">
        <v>2</v>
      </c>
      <c r="Q2063">
        <f t="shared" si="131"/>
        <v>2</v>
      </c>
      <c r="R2063">
        <v>3</v>
      </c>
      <c r="S2063">
        <v>3</v>
      </c>
      <c r="T2063">
        <f>Table[[#This Row],[NumWebPurchases]]+Table[[#This Row],[NumStorePurchases]]</f>
        <v>6</v>
      </c>
    </row>
    <row r="2064" spans="1:20" ht="12.5">
      <c r="A2064" s="6">
        <v>2062</v>
      </c>
      <c r="B2064" s="6">
        <v>2345</v>
      </c>
      <c r="C2064" s="6">
        <v>1982</v>
      </c>
      <c r="D2064" s="6">
        <f t="shared" si="128"/>
        <v>43</v>
      </c>
      <c r="E2064" s="7" t="s">
        <v>12</v>
      </c>
      <c r="F2064" s="7" t="s">
        <v>11</v>
      </c>
      <c r="G2064" s="6">
        <v>70038</v>
      </c>
      <c r="H2064" s="6" t="str" cm="1">
        <f t="array" ref="H2064">_xlfn.IFS(
  G2064 &lt; 25000, "Low",
  AND(G2064 &gt;= 25000, G2064 &lt; 75000), "Medium",
  AND(G2064 &gt;= 75000, G2064 &lt; 150000), "High",
  G2064 &gt;= 150000, "Very High"
)</f>
        <v>Medium</v>
      </c>
      <c r="I2064" s="6">
        <v>0</v>
      </c>
      <c r="J2064" s="6">
        <v>0</v>
      </c>
      <c r="K2064" s="6">
        <f t="shared" si="129"/>
        <v>0</v>
      </c>
      <c r="L2064" s="9">
        <v>41572</v>
      </c>
      <c r="M2064" t="str">
        <f t="shared" ca="1" si="130"/>
        <v>12 years, 4 months</v>
      </c>
      <c r="N2064" s="6">
        <v>54</v>
      </c>
      <c r="O2064">
        <v>54</v>
      </c>
      <c r="P2064">
        <v>54</v>
      </c>
      <c r="Q2064">
        <f t="shared" si="131"/>
        <v>108</v>
      </c>
      <c r="R2064">
        <v>4</v>
      </c>
      <c r="S2064">
        <v>8</v>
      </c>
      <c r="T2064">
        <f>Table[[#This Row],[NumWebPurchases]]+Table[[#This Row],[NumStorePurchases]]</f>
        <v>12</v>
      </c>
    </row>
    <row r="2065" spans="1:20" ht="12.5">
      <c r="A2065" s="6">
        <v>2063</v>
      </c>
      <c r="B2065" s="6">
        <v>322</v>
      </c>
      <c r="C2065" s="6">
        <v>1978</v>
      </c>
      <c r="D2065" s="6">
        <f t="shared" si="128"/>
        <v>47</v>
      </c>
      <c r="E2065" s="7" t="s">
        <v>9</v>
      </c>
      <c r="F2065" s="7" t="s">
        <v>11</v>
      </c>
      <c r="G2065" s="6">
        <v>42554</v>
      </c>
      <c r="H2065" s="6" t="str" cm="1">
        <f t="array" ref="H2065">_xlfn.IFS(
  G2065 &lt; 25000, "Low",
  AND(G2065 &gt;= 25000, G2065 &lt; 75000), "Medium",
  AND(G2065 &gt;= 75000, G2065 &lt; 150000), "High",
  G2065 &gt;= 150000, "Very High"
)</f>
        <v>Medium</v>
      </c>
      <c r="I2065" s="6">
        <v>1</v>
      </c>
      <c r="J2065" s="6">
        <v>1</v>
      </c>
      <c r="K2065" s="6">
        <f t="shared" si="129"/>
        <v>2</v>
      </c>
      <c r="L2065" s="8">
        <v>41286</v>
      </c>
      <c r="M2065" t="str">
        <f t="shared" ca="1" si="130"/>
        <v>13 years, 1 months</v>
      </c>
      <c r="N2065" s="6">
        <v>93</v>
      </c>
      <c r="O2065">
        <v>1</v>
      </c>
      <c r="P2065">
        <v>0</v>
      </c>
      <c r="Q2065">
        <f t="shared" si="131"/>
        <v>1</v>
      </c>
      <c r="R2065">
        <v>2</v>
      </c>
      <c r="S2065">
        <v>3</v>
      </c>
      <c r="T2065">
        <f>Table[[#This Row],[NumWebPurchases]]+Table[[#This Row],[NumStorePurchases]]</f>
        <v>5</v>
      </c>
    </row>
    <row r="2066" spans="1:20" ht="12.5">
      <c r="A2066" s="6">
        <v>2064</v>
      </c>
      <c r="B2066" s="6">
        <v>10897</v>
      </c>
      <c r="C2066" s="6">
        <v>1974</v>
      </c>
      <c r="D2066" s="6">
        <f t="shared" si="128"/>
        <v>51</v>
      </c>
      <c r="E2066" s="7" t="s">
        <v>9</v>
      </c>
      <c r="F2066" s="7" t="s">
        <v>13</v>
      </c>
      <c r="G2066" s="6">
        <v>67445</v>
      </c>
      <c r="H2066" s="6" t="str" cm="1">
        <f t="array" ref="H2066">_xlfn.IFS(
  G2066 &lt; 25000, "Low",
  AND(G2066 &gt;= 25000, G2066 &lt; 75000), "Medium",
  AND(G2066 &gt;= 75000, G2066 &lt; 150000), "High",
  G2066 &gt;= 150000, "Very High"
)</f>
        <v>Medium</v>
      </c>
      <c r="I2066" s="6">
        <v>0</v>
      </c>
      <c r="J2066" s="6">
        <v>1</v>
      </c>
      <c r="K2066" s="6">
        <f t="shared" si="129"/>
        <v>1</v>
      </c>
      <c r="L2066" s="8">
        <v>41133</v>
      </c>
      <c r="M2066" t="str">
        <f t="shared" ca="1" si="130"/>
        <v>13 years, 6 months</v>
      </c>
      <c r="N2066" s="6">
        <v>63</v>
      </c>
      <c r="O2066">
        <v>80</v>
      </c>
      <c r="P2066">
        <v>80</v>
      </c>
      <c r="Q2066">
        <f t="shared" si="131"/>
        <v>160</v>
      </c>
      <c r="R2066">
        <v>9</v>
      </c>
      <c r="S2066">
        <v>12</v>
      </c>
      <c r="T2066">
        <f>Table[[#This Row],[NumWebPurchases]]+Table[[#This Row],[NumStorePurchases]]</f>
        <v>21</v>
      </c>
    </row>
    <row r="2067" spans="1:20" ht="12.5">
      <c r="A2067" s="6">
        <v>2065</v>
      </c>
      <c r="B2067" s="6">
        <v>123</v>
      </c>
      <c r="C2067" s="6">
        <v>1951</v>
      </c>
      <c r="D2067" s="6">
        <f t="shared" si="128"/>
        <v>74</v>
      </c>
      <c r="E2067" s="7" t="s">
        <v>9</v>
      </c>
      <c r="F2067" s="7" t="s">
        <v>18</v>
      </c>
      <c r="G2067" s="6">
        <v>67046</v>
      </c>
      <c r="H2067" s="6" t="str" cm="1">
        <f t="array" ref="H2067">_xlfn.IFS(
  G2067 &lt; 25000, "Low",
  AND(G2067 &gt;= 25000, G2067 &lt; 75000), "Medium",
  AND(G2067 &gt;= 75000, G2067 &lt; 150000), "High",
  G2067 &gt;= 150000, "Very High"
)</f>
        <v>Medium</v>
      </c>
      <c r="I2067" s="6">
        <v>0</v>
      </c>
      <c r="J2067" s="6">
        <v>1</v>
      </c>
      <c r="K2067" s="6">
        <f t="shared" si="129"/>
        <v>1</v>
      </c>
      <c r="L2067" s="8">
        <v>41280</v>
      </c>
      <c r="M2067" t="str">
        <f t="shared" ca="1" si="130"/>
        <v>13 years, 2 months</v>
      </c>
      <c r="N2067" s="6">
        <v>92</v>
      </c>
      <c r="O2067">
        <v>35</v>
      </c>
      <c r="P2067">
        <v>151</v>
      </c>
      <c r="Q2067">
        <f t="shared" si="131"/>
        <v>186</v>
      </c>
      <c r="R2067">
        <v>4</v>
      </c>
      <c r="S2067">
        <v>4</v>
      </c>
      <c r="T2067">
        <f>Table[[#This Row],[NumWebPurchases]]+Table[[#This Row],[NumStorePurchases]]</f>
        <v>8</v>
      </c>
    </row>
    <row r="2068" spans="1:20" ht="12.5">
      <c r="A2068" s="6">
        <v>2066</v>
      </c>
      <c r="B2068" s="6">
        <v>6103</v>
      </c>
      <c r="C2068" s="6">
        <v>1948</v>
      </c>
      <c r="D2068" s="6">
        <f t="shared" si="128"/>
        <v>77</v>
      </c>
      <c r="E2068" s="7" t="s">
        <v>9</v>
      </c>
      <c r="F2068" s="7" t="s">
        <v>13</v>
      </c>
      <c r="G2068" s="6">
        <v>42192</v>
      </c>
      <c r="H2068" s="6" t="str" cm="1">
        <f t="array" ref="H2068">_xlfn.IFS(
  G2068 &lt; 25000, "Low",
  AND(G2068 &gt;= 25000, G2068 &lt; 75000), "Medium",
  AND(G2068 &gt;= 75000, G2068 &lt; 150000), "High",
  G2068 &gt;= 150000, "Very High"
)</f>
        <v>Medium</v>
      </c>
      <c r="I2068" s="6">
        <v>0</v>
      </c>
      <c r="J2068" s="6">
        <v>0</v>
      </c>
      <c r="K2068" s="6">
        <f t="shared" si="129"/>
        <v>0</v>
      </c>
      <c r="L2068" s="8">
        <v>41523</v>
      </c>
      <c r="M2068" t="str">
        <f t="shared" ca="1" si="130"/>
        <v>12 years, 6 months</v>
      </c>
      <c r="N2068" s="6">
        <v>40</v>
      </c>
      <c r="O2068">
        <v>15</v>
      </c>
      <c r="P2068">
        <v>6</v>
      </c>
      <c r="Q2068">
        <f t="shared" si="131"/>
        <v>21</v>
      </c>
      <c r="R2068">
        <v>2</v>
      </c>
      <c r="S2068">
        <v>3</v>
      </c>
      <c r="T2068">
        <f>Table[[#This Row],[NumWebPurchases]]+Table[[#This Row],[NumStorePurchases]]</f>
        <v>5</v>
      </c>
    </row>
    <row r="2069" spans="1:20" ht="12.5">
      <c r="A2069" s="6">
        <v>2067</v>
      </c>
      <c r="B2069" s="6">
        <v>7899</v>
      </c>
      <c r="C2069" s="6">
        <v>1952</v>
      </c>
      <c r="D2069" s="6">
        <f t="shared" si="128"/>
        <v>73</v>
      </c>
      <c r="E2069" s="7" t="s">
        <v>12</v>
      </c>
      <c r="F2069" s="7" t="s">
        <v>13</v>
      </c>
      <c r="G2069" s="6">
        <v>77610</v>
      </c>
      <c r="H2069" s="6" t="str" cm="1">
        <f t="array" ref="H2069">_xlfn.IFS(
  G2069 &lt; 25000, "Low",
  AND(G2069 &gt;= 25000, G2069 &lt; 75000), "Medium",
  AND(G2069 &gt;= 75000, G2069 &lt; 150000), "High",
  G2069 &gt;= 150000, "Very High"
)</f>
        <v>High</v>
      </c>
      <c r="I2069" s="6">
        <v>0</v>
      </c>
      <c r="J2069" s="6">
        <v>1</v>
      </c>
      <c r="K2069" s="6">
        <f t="shared" si="129"/>
        <v>1</v>
      </c>
      <c r="L2069" s="9">
        <v>41211</v>
      </c>
      <c r="M2069" t="str">
        <f t="shared" ca="1" si="130"/>
        <v>13 years, 4 months</v>
      </c>
      <c r="N2069" s="6">
        <v>70</v>
      </c>
      <c r="O2069">
        <v>33</v>
      </c>
      <c r="P2069">
        <v>33</v>
      </c>
      <c r="Q2069">
        <f t="shared" si="131"/>
        <v>66</v>
      </c>
      <c r="R2069">
        <v>4</v>
      </c>
      <c r="S2069">
        <v>4</v>
      </c>
      <c r="T2069">
        <f>Table[[#This Row],[NumWebPurchases]]+Table[[#This Row],[NumStorePurchases]]</f>
        <v>8</v>
      </c>
    </row>
    <row r="2070" spans="1:20" ht="12.5">
      <c r="A2070" s="6">
        <v>2068</v>
      </c>
      <c r="B2070" s="6">
        <v>10500</v>
      </c>
      <c r="C2070" s="6">
        <v>1984</v>
      </c>
      <c r="D2070" s="6">
        <f t="shared" si="128"/>
        <v>41</v>
      </c>
      <c r="E2070" s="7" t="s">
        <v>9</v>
      </c>
      <c r="F2070" s="7" t="s">
        <v>13</v>
      </c>
      <c r="G2070" s="6">
        <v>31761</v>
      </c>
      <c r="H2070" s="6" t="str" cm="1">
        <f t="array" ref="H2070">_xlfn.IFS(
  G2070 &lt; 25000, "Low",
  AND(G2070 &gt;= 25000, G2070 &lt; 75000), "Medium",
  AND(G2070 &gt;= 75000, G2070 &lt; 150000), "High",
  G2070 &gt;= 150000, "Very High"
)</f>
        <v>Medium</v>
      </c>
      <c r="I2070" s="6">
        <v>1</v>
      </c>
      <c r="J2070" s="6">
        <v>0</v>
      </c>
      <c r="K2070" s="6">
        <f t="shared" si="129"/>
        <v>1</v>
      </c>
      <c r="L2070" s="8">
        <v>41734</v>
      </c>
      <c r="M2070" t="str">
        <f t="shared" ca="1" si="130"/>
        <v>11 years, 11 months</v>
      </c>
      <c r="N2070" s="6">
        <v>96</v>
      </c>
      <c r="O2070">
        <v>1</v>
      </c>
      <c r="P2070">
        <v>14</v>
      </c>
      <c r="Q2070">
        <f t="shared" si="131"/>
        <v>15</v>
      </c>
      <c r="R2070">
        <v>3</v>
      </c>
      <c r="S2070">
        <v>4</v>
      </c>
      <c r="T2070">
        <f>Table[[#This Row],[NumWebPurchases]]+Table[[#This Row],[NumStorePurchases]]</f>
        <v>7</v>
      </c>
    </row>
    <row r="2071" spans="1:20" ht="12.5">
      <c r="A2071" s="6">
        <v>2069</v>
      </c>
      <c r="B2071" s="6">
        <v>1655</v>
      </c>
      <c r="C2071" s="6">
        <v>1979</v>
      </c>
      <c r="D2071" s="6">
        <f t="shared" si="128"/>
        <v>46</v>
      </c>
      <c r="E2071" s="7" t="s">
        <v>9</v>
      </c>
      <c r="F2071" s="7" t="s">
        <v>11</v>
      </c>
      <c r="G2071" s="6">
        <v>34350</v>
      </c>
      <c r="H2071" s="6" t="str" cm="1">
        <f t="array" ref="H2071">_xlfn.IFS(
  G2071 &lt; 25000, "Low",
  AND(G2071 &gt;= 25000, G2071 &lt; 75000), "Medium",
  AND(G2071 &gt;= 75000, G2071 &lt; 150000), "High",
  G2071 &gt;= 150000, "Very High"
)</f>
        <v>Medium</v>
      </c>
      <c r="I2071" s="6">
        <v>1</v>
      </c>
      <c r="J2071" s="6">
        <v>0</v>
      </c>
      <c r="K2071" s="6">
        <f t="shared" si="129"/>
        <v>1</v>
      </c>
      <c r="L2071" s="9">
        <v>41566</v>
      </c>
      <c r="M2071" t="str">
        <f t="shared" ca="1" si="130"/>
        <v>12 years, 4 months</v>
      </c>
      <c r="N2071" s="6">
        <v>81</v>
      </c>
      <c r="O2071">
        <v>3</v>
      </c>
      <c r="P2071">
        <v>1</v>
      </c>
      <c r="Q2071">
        <f t="shared" si="131"/>
        <v>4</v>
      </c>
      <c r="R2071">
        <v>1</v>
      </c>
      <c r="S2071">
        <v>3</v>
      </c>
      <c r="T2071">
        <f>Table[[#This Row],[NumWebPurchases]]+Table[[#This Row],[NumStorePurchases]]</f>
        <v>4</v>
      </c>
    </row>
    <row r="2072" spans="1:20" ht="12.5">
      <c r="A2072" s="6">
        <v>2070</v>
      </c>
      <c r="B2072" s="6">
        <v>2406</v>
      </c>
      <c r="C2072" s="6">
        <v>1949</v>
      </c>
      <c r="D2072" s="6">
        <f t="shared" si="128"/>
        <v>76</v>
      </c>
      <c r="E2072" s="7" t="s">
        <v>9</v>
      </c>
      <c r="F2072" s="7" t="s">
        <v>11</v>
      </c>
      <c r="G2072" s="6">
        <v>54591</v>
      </c>
      <c r="H2072" s="6" t="str" cm="1">
        <f t="array" ref="H2072">_xlfn.IFS(
  G2072 &lt; 25000, "Low",
  AND(G2072 &gt;= 25000, G2072 &lt; 75000), "Medium",
  AND(G2072 &gt;= 75000, G2072 &lt; 150000), "High",
  G2072 &gt;= 150000, "Very High"
)</f>
        <v>Medium</v>
      </c>
      <c r="I2072" s="6">
        <v>0</v>
      </c>
      <c r="J2072" s="6">
        <v>1</v>
      </c>
      <c r="K2072" s="6">
        <f t="shared" si="129"/>
        <v>1</v>
      </c>
      <c r="L2072" s="8">
        <v>41491</v>
      </c>
      <c r="M2072" t="str">
        <f t="shared" ca="1" si="130"/>
        <v>12 years, 7 months</v>
      </c>
      <c r="N2072" s="6">
        <v>63</v>
      </c>
      <c r="O2072">
        <v>4</v>
      </c>
      <c r="P2072">
        <v>9</v>
      </c>
      <c r="Q2072">
        <f t="shared" si="131"/>
        <v>13</v>
      </c>
      <c r="R2072">
        <v>6</v>
      </c>
      <c r="S2072">
        <v>8</v>
      </c>
      <c r="T2072">
        <f>Table[[#This Row],[NumWebPurchases]]+Table[[#This Row],[NumStorePurchases]]</f>
        <v>14</v>
      </c>
    </row>
    <row r="2073" spans="1:20" ht="12.5">
      <c r="A2073" s="6">
        <v>2071</v>
      </c>
      <c r="B2073" s="6">
        <v>2712</v>
      </c>
      <c r="C2073" s="6">
        <v>1956</v>
      </c>
      <c r="D2073" s="6">
        <f t="shared" si="128"/>
        <v>69</v>
      </c>
      <c r="E2073" s="7" t="s">
        <v>9</v>
      </c>
      <c r="F2073" s="7" t="s">
        <v>13</v>
      </c>
      <c r="G2073" s="6">
        <v>71866</v>
      </c>
      <c r="H2073" s="6" t="str" cm="1">
        <f t="array" ref="H2073">_xlfn.IFS(
  G2073 &lt; 25000, "Low",
  AND(G2073 &gt;= 25000, G2073 &lt; 75000), "Medium",
  AND(G2073 &gt;= 75000, G2073 &lt; 150000), "High",
  G2073 &gt;= 150000, "Very High"
)</f>
        <v>Medium</v>
      </c>
      <c r="I2073" s="6">
        <v>0</v>
      </c>
      <c r="J2073" s="6">
        <v>1</v>
      </c>
      <c r="K2073" s="6">
        <f t="shared" si="129"/>
        <v>1</v>
      </c>
      <c r="L2073" s="9">
        <v>41633</v>
      </c>
      <c r="M2073" t="str">
        <f t="shared" ca="1" si="130"/>
        <v>12 years, 2 months</v>
      </c>
      <c r="N2073" s="6">
        <v>85</v>
      </c>
      <c r="O2073">
        <v>178</v>
      </c>
      <c r="P2073">
        <v>39</v>
      </c>
      <c r="Q2073">
        <f t="shared" si="131"/>
        <v>217</v>
      </c>
      <c r="R2073">
        <v>6</v>
      </c>
      <c r="S2073">
        <v>10</v>
      </c>
      <c r="T2073">
        <f>Table[[#This Row],[NumWebPurchases]]+Table[[#This Row],[NumStorePurchases]]</f>
        <v>16</v>
      </c>
    </row>
    <row r="2074" spans="1:20" ht="12.5">
      <c r="A2074" s="6">
        <v>2072</v>
      </c>
      <c r="B2074" s="6">
        <v>5517</v>
      </c>
      <c r="C2074" s="6">
        <v>1969</v>
      </c>
      <c r="D2074" s="6">
        <f t="shared" si="128"/>
        <v>56</v>
      </c>
      <c r="E2074" s="7" t="s">
        <v>9</v>
      </c>
      <c r="F2074" s="7" t="s">
        <v>13</v>
      </c>
      <c r="G2074" s="6">
        <v>25293</v>
      </c>
      <c r="H2074" s="6" t="str" cm="1">
        <f t="array" ref="H2074">_xlfn.IFS(
  G2074 &lt; 25000, "Low",
  AND(G2074 &gt;= 25000, G2074 &lt; 75000), "Medium",
  AND(G2074 &gt;= 75000, G2074 &lt; 150000), "High",
  G2074 &gt;= 150000, "Very High"
)</f>
        <v>Medium</v>
      </c>
      <c r="I2074" s="6">
        <v>1</v>
      </c>
      <c r="J2074" s="6">
        <v>0</v>
      </c>
      <c r="K2074" s="6">
        <f t="shared" si="129"/>
        <v>1</v>
      </c>
      <c r="L2074" s="8">
        <v>41532</v>
      </c>
      <c r="M2074" t="str">
        <f t="shared" ca="1" si="130"/>
        <v>12 years, 5 months</v>
      </c>
      <c r="N2074" s="6">
        <v>51</v>
      </c>
      <c r="O2074">
        <v>0</v>
      </c>
      <c r="P2074">
        <v>2</v>
      </c>
      <c r="Q2074">
        <f t="shared" si="131"/>
        <v>2</v>
      </c>
      <c r="R2074">
        <v>1</v>
      </c>
      <c r="S2074">
        <v>2</v>
      </c>
      <c r="T2074">
        <f>Table[[#This Row],[NumWebPurchases]]+Table[[#This Row],[NumStorePurchases]]</f>
        <v>3</v>
      </c>
    </row>
    <row r="2075" spans="1:20" ht="12.5">
      <c r="A2075" s="6">
        <v>2073</v>
      </c>
      <c r="B2075" s="6">
        <v>10643</v>
      </c>
      <c r="C2075" s="6">
        <v>1987</v>
      </c>
      <c r="D2075" s="6">
        <f t="shared" si="128"/>
        <v>38</v>
      </c>
      <c r="E2075" s="7" t="s">
        <v>12</v>
      </c>
      <c r="F2075" s="7" t="s">
        <v>10</v>
      </c>
      <c r="G2075" s="6">
        <v>42000</v>
      </c>
      <c r="H2075" s="6" t="str" cm="1">
        <f t="array" ref="H2075">_xlfn.IFS(
  G2075 &lt; 25000, "Low",
  AND(G2075 &gt;= 25000, G2075 &lt; 75000), "Medium",
  AND(G2075 &gt;= 75000, G2075 &lt; 150000), "High",
  G2075 &gt;= 150000, "Very High"
)</f>
        <v>Medium</v>
      </c>
      <c r="I2075" s="6">
        <v>0</v>
      </c>
      <c r="J2075" s="6">
        <v>0</v>
      </c>
      <c r="K2075" s="6">
        <f t="shared" si="129"/>
        <v>0</v>
      </c>
      <c r="L2075" s="8">
        <v>41284</v>
      </c>
      <c r="M2075" t="str">
        <f t="shared" ca="1" si="130"/>
        <v>13 years, 1 months</v>
      </c>
      <c r="N2075" s="6">
        <v>23</v>
      </c>
      <c r="O2075">
        <v>83</v>
      </c>
      <c r="P2075">
        <v>59</v>
      </c>
      <c r="Q2075">
        <f t="shared" si="131"/>
        <v>142</v>
      </c>
      <c r="R2075">
        <v>5</v>
      </c>
      <c r="S2075">
        <v>11</v>
      </c>
      <c r="T2075">
        <f>Table[[#This Row],[NumWebPurchases]]+Table[[#This Row],[NumStorePurchases]]</f>
        <v>16</v>
      </c>
    </row>
    <row r="2076" spans="1:20" ht="12.5">
      <c r="A2076" s="6">
        <v>2074</v>
      </c>
      <c r="B2076" s="6">
        <v>2254</v>
      </c>
      <c r="C2076" s="6">
        <v>1983</v>
      </c>
      <c r="D2076" s="6">
        <f t="shared" si="128"/>
        <v>42</v>
      </c>
      <c r="E2076" s="7" t="s">
        <v>9</v>
      </c>
      <c r="F2076" s="7" t="s">
        <v>13</v>
      </c>
      <c r="G2076" s="6">
        <v>69520</v>
      </c>
      <c r="H2076" s="6" t="str" cm="1">
        <f t="array" ref="H2076">_xlfn.IFS(
  G2076 &lt; 25000, "Low",
  AND(G2076 &gt;= 25000, G2076 &lt; 75000), "Medium",
  AND(G2076 &gt;= 75000, G2076 &lt; 150000), "High",
  G2076 &gt;= 150000, "Very High"
)</f>
        <v>Medium</v>
      </c>
      <c r="I2076" s="6">
        <v>0</v>
      </c>
      <c r="J2076" s="6">
        <v>0</v>
      </c>
      <c r="K2076" s="6">
        <f t="shared" si="129"/>
        <v>0</v>
      </c>
      <c r="L2076" s="8">
        <v>41462</v>
      </c>
      <c r="M2076" t="str">
        <f t="shared" ca="1" si="130"/>
        <v>12 years, 7 months</v>
      </c>
      <c r="N2076" s="6">
        <v>95</v>
      </c>
      <c r="O2076">
        <v>120</v>
      </c>
      <c r="P2076">
        <v>80</v>
      </c>
      <c r="Q2076">
        <f t="shared" si="131"/>
        <v>200</v>
      </c>
      <c r="R2076">
        <v>9</v>
      </c>
      <c r="S2076">
        <v>5</v>
      </c>
      <c r="T2076">
        <f>Table[[#This Row],[NumWebPurchases]]+Table[[#This Row],[NumStorePurchases]]</f>
        <v>14</v>
      </c>
    </row>
    <row r="2077" spans="1:20" ht="12.5">
      <c r="A2077" s="6">
        <v>2075</v>
      </c>
      <c r="B2077" s="6">
        <v>10281</v>
      </c>
      <c r="C2077" s="6">
        <v>1970</v>
      </c>
      <c r="D2077" s="6">
        <f t="shared" si="128"/>
        <v>55</v>
      </c>
      <c r="E2077" s="7" t="s">
        <v>9</v>
      </c>
      <c r="F2077" s="7" t="s">
        <v>15</v>
      </c>
      <c r="G2077" s="6">
        <v>64713</v>
      </c>
      <c r="H2077" s="6" t="str" cm="1">
        <f t="array" ref="H2077">_xlfn.IFS(
  G2077 &lt; 25000, "Low",
  AND(G2077 &gt;= 25000, G2077 &lt; 75000), "Medium",
  AND(G2077 &gt;= 75000, G2077 &lt; 150000), "High",
  G2077 &gt;= 150000, "Very High"
)</f>
        <v>Medium</v>
      </c>
      <c r="I2077" s="6">
        <v>1</v>
      </c>
      <c r="J2077" s="6">
        <v>0</v>
      </c>
      <c r="K2077" s="6">
        <f t="shared" si="129"/>
        <v>1</v>
      </c>
      <c r="L2077" s="8">
        <v>41677</v>
      </c>
      <c r="M2077" t="str">
        <f t="shared" ca="1" si="130"/>
        <v>12 years, 0 months</v>
      </c>
      <c r="N2077" s="6">
        <v>11</v>
      </c>
      <c r="O2077">
        <v>60</v>
      </c>
      <c r="P2077">
        <v>54</v>
      </c>
      <c r="Q2077">
        <f t="shared" si="131"/>
        <v>114</v>
      </c>
      <c r="R2077">
        <v>5</v>
      </c>
      <c r="S2077">
        <v>7</v>
      </c>
      <c r="T2077">
        <f>Table[[#This Row],[NumWebPurchases]]+Table[[#This Row],[NumStorePurchases]]</f>
        <v>12</v>
      </c>
    </row>
    <row r="2078" spans="1:20" ht="12.5">
      <c r="A2078" s="6">
        <v>2076</v>
      </c>
      <c r="B2078" s="6">
        <v>6958</v>
      </c>
      <c r="C2078" s="6">
        <v>1977</v>
      </c>
      <c r="D2078" s="6">
        <f t="shared" si="128"/>
        <v>48</v>
      </c>
      <c r="E2078" s="7" t="s">
        <v>14</v>
      </c>
      <c r="F2078" s="7" t="s">
        <v>13</v>
      </c>
      <c r="G2078" s="6">
        <v>27889</v>
      </c>
      <c r="H2078" s="6" t="str" cm="1">
        <f t="array" ref="H2078">_xlfn.IFS(
  G2078 &lt; 25000, "Low",
  AND(G2078 &gt;= 25000, G2078 &lt; 75000), "Medium",
  AND(G2078 &gt;= 75000, G2078 &lt; 150000), "High",
  G2078 &gt;= 150000, "Very High"
)</f>
        <v>Medium</v>
      </c>
      <c r="I2078" s="6">
        <v>1</v>
      </c>
      <c r="J2078" s="6">
        <v>0</v>
      </c>
      <c r="K2078" s="6">
        <f t="shared" si="129"/>
        <v>1</v>
      </c>
      <c r="L2078" s="8">
        <v>41460</v>
      </c>
      <c r="M2078" t="str">
        <f t="shared" ca="1" si="130"/>
        <v>12 years, 8 months</v>
      </c>
      <c r="N2078" s="6">
        <v>42</v>
      </c>
      <c r="O2078">
        <v>0</v>
      </c>
      <c r="P2078">
        <v>0</v>
      </c>
      <c r="Q2078">
        <f t="shared" si="131"/>
        <v>0</v>
      </c>
      <c r="R2078">
        <v>1</v>
      </c>
      <c r="S2078">
        <v>2</v>
      </c>
      <c r="T2078">
        <f>Table[[#This Row],[NumWebPurchases]]+Table[[#This Row],[NumStorePurchases]]</f>
        <v>3</v>
      </c>
    </row>
    <row r="2079" spans="1:20" ht="12.5">
      <c r="A2079" s="6">
        <v>2077</v>
      </c>
      <c r="B2079" s="6">
        <v>954</v>
      </c>
      <c r="C2079" s="6">
        <v>1960</v>
      </c>
      <c r="D2079" s="6">
        <f t="shared" si="128"/>
        <v>65</v>
      </c>
      <c r="E2079" s="7" t="s">
        <v>16</v>
      </c>
      <c r="F2079" s="7" t="s">
        <v>18</v>
      </c>
      <c r="G2079" s="6">
        <v>22123</v>
      </c>
      <c r="H2079" s="6" t="str" cm="1">
        <f t="array" ref="H2079">_xlfn.IFS(
  G2079 &lt; 25000, "Low",
  AND(G2079 &gt;= 25000, G2079 &lt; 75000), "Medium",
  AND(G2079 &gt;= 75000, G2079 &lt; 150000), "High",
  G2079 &gt;= 150000, "Very High"
)</f>
        <v>Low</v>
      </c>
      <c r="I2079" s="6">
        <v>0</v>
      </c>
      <c r="J2079" s="6">
        <v>0</v>
      </c>
      <c r="K2079" s="6">
        <f t="shared" si="129"/>
        <v>0</v>
      </c>
      <c r="L2079" s="8">
        <v>41725</v>
      </c>
      <c r="M2079" t="str">
        <f t="shared" ca="1" si="130"/>
        <v>11 years, 11 months</v>
      </c>
      <c r="N2079" s="6">
        <v>77</v>
      </c>
      <c r="O2079">
        <v>3</v>
      </c>
      <c r="P2079">
        <v>7</v>
      </c>
      <c r="Q2079">
        <f t="shared" si="131"/>
        <v>10</v>
      </c>
      <c r="R2079">
        <v>2</v>
      </c>
      <c r="S2079">
        <v>3</v>
      </c>
      <c r="T2079">
        <f>Table[[#This Row],[NumWebPurchases]]+Table[[#This Row],[NumStorePurchases]]</f>
        <v>5</v>
      </c>
    </row>
    <row r="2080" spans="1:20" ht="12.5">
      <c r="A2080" s="6">
        <v>2078</v>
      </c>
      <c r="B2080" s="6">
        <v>5079</v>
      </c>
      <c r="C2080" s="6">
        <v>1971</v>
      </c>
      <c r="D2080" s="6">
        <f t="shared" si="128"/>
        <v>54</v>
      </c>
      <c r="E2080" s="7" t="s">
        <v>9</v>
      </c>
      <c r="F2080" s="7" t="s">
        <v>13</v>
      </c>
      <c r="G2080" s="7">
        <v>51371</v>
      </c>
      <c r="H2080" s="6" t="str" cm="1">
        <f t="array" ref="H2080">_xlfn.IFS(
  G2080 &lt; 25000, "Low",
  AND(G2080 &gt;= 25000, G2080 &lt; 75000), "Medium",
  AND(G2080 &gt;= 75000, G2080 &lt; 150000), "High",
  G2080 &gt;= 150000, "Very High"
)</f>
        <v>Medium</v>
      </c>
      <c r="I2080" s="6">
        <v>1</v>
      </c>
      <c r="J2080" s="6">
        <v>1</v>
      </c>
      <c r="K2080" s="6">
        <f t="shared" si="129"/>
        <v>2</v>
      </c>
      <c r="L2080" s="8">
        <v>41336</v>
      </c>
      <c r="M2080" t="str">
        <f t="shared" ca="1" si="130"/>
        <v>13 years, 0 months</v>
      </c>
      <c r="N2080" s="6">
        <v>82</v>
      </c>
      <c r="O2080">
        <v>1</v>
      </c>
      <c r="P2080">
        <v>0</v>
      </c>
      <c r="Q2080">
        <f t="shared" si="131"/>
        <v>1</v>
      </c>
      <c r="R2080">
        <v>2</v>
      </c>
      <c r="S2080">
        <v>3</v>
      </c>
      <c r="T2080">
        <f>Table[[#This Row],[NumWebPurchases]]+Table[[#This Row],[NumStorePurchases]]</f>
        <v>5</v>
      </c>
    </row>
    <row r="2081" spans="1:20" ht="12.5">
      <c r="A2081" s="6">
        <v>2079</v>
      </c>
      <c r="B2081" s="6">
        <v>10339</v>
      </c>
      <c r="C2081" s="6">
        <v>1954</v>
      </c>
      <c r="D2081" s="6">
        <f t="shared" si="128"/>
        <v>71</v>
      </c>
      <c r="E2081" s="7" t="s">
        <v>14</v>
      </c>
      <c r="F2081" s="7" t="s">
        <v>11</v>
      </c>
      <c r="G2081" s="7">
        <v>51371</v>
      </c>
      <c r="H2081" s="6" t="str" cm="1">
        <f t="array" ref="H2081">_xlfn.IFS(
  G2081 &lt; 25000, "Low",
  AND(G2081 &gt;= 25000, G2081 &lt; 75000), "Medium",
  AND(G2081 &gt;= 75000, G2081 &lt; 150000), "High",
  G2081 &gt;= 150000, "Very High"
)</f>
        <v>Medium</v>
      </c>
      <c r="I2081" s="6">
        <v>0</v>
      </c>
      <c r="J2081" s="6">
        <v>1</v>
      </c>
      <c r="K2081" s="6">
        <f t="shared" si="129"/>
        <v>1</v>
      </c>
      <c r="L2081" s="8">
        <v>41448</v>
      </c>
      <c r="M2081" t="str">
        <f t="shared" ca="1" si="130"/>
        <v>12 years, 8 months</v>
      </c>
      <c r="N2081" s="6">
        <v>83</v>
      </c>
      <c r="O2081">
        <v>0</v>
      </c>
      <c r="P2081">
        <v>0</v>
      </c>
      <c r="Q2081">
        <f t="shared" si="131"/>
        <v>0</v>
      </c>
      <c r="R2081">
        <v>4</v>
      </c>
      <c r="S2081">
        <v>4</v>
      </c>
      <c r="T2081">
        <f>Table[[#This Row],[NumWebPurchases]]+Table[[#This Row],[NumStorePurchases]]</f>
        <v>8</v>
      </c>
    </row>
    <row r="2082" spans="1:20" ht="12.5">
      <c r="A2082" s="6">
        <v>2080</v>
      </c>
      <c r="B2082" s="6">
        <v>4643</v>
      </c>
      <c r="C2082" s="6">
        <v>1973</v>
      </c>
      <c r="D2082" s="6">
        <f t="shared" si="128"/>
        <v>52</v>
      </c>
      <c r="E2082" s="7" t="s">
        <v>9</v>
      </c>
      <c r="F2082" s="7" t="s">
        <v>13</v>
      </c>
      <c r="G2082" s="6">
        <v>27803</v>
      </c>
      <c r="H2082" s="6" t="str" cm="1">
        <f t="array" ref="H2082">_xlfn.IFS(
  G2082 &lt; 25000, "Low",
  AND(G2082 &gt;= 25000, G2082 &lt; 75000), "Medium",
  AND(G2082 &gt;= 75000, G2082 &lt; 150000), "High",
  G2082 &gt;= 150000, "Very High"
)</f>
        <v>Medium</v>
      </c>
      <c r="I2082" s="6">
        <v>1</v>
      </c>
      <c r="J2082" s="6">
        <v>0</v>
      </c>
      <c r="K2082" s="6">
        <f t="shared" si="129"/>
        <v>1</v>
      </c>
      <c r="L2082" s="8">
        <v>41147</v>
      </c>
      <c r="M2082" t="str">
        <f t="shared" ca="1" si="130"/>
        <v>13 years, 6 months</v>
      </c>
      <c r="N2082" s="6">
        <v>40</v>
      </c>
      <c r="O2082">
        <v>26</v>
      </c>
      <c r="P2082">
        <v>9</v>
      </c>
      <c r="Q2082">
        <f t="shared" si="131"/>
        <v>35</v>
      </c>
      <c r="R2082">
        <v>3</v>
      </c>
      <c r="S2082">
        <v>4</v>
      </c>
      <c r="T2082">
        <f>Table[[#This Row],[NumWebPurchases]]+Table[[#This Row],[NumStorePurchases]]</f>
        <v>7</v>
      </c>
    </row>
    <row r="2083" spans="1:20" ht="12.5">
      <c r="A2083" s="6">
        <v>2081</v>
      </c>
      <c r="B2083" s="6">
        <v>3117</v>
      </c>
      <c r="C2083" s="6">
        <v>1955</v>
      </c>
      <c r="D2083" s="6">
        <f t="shared" si="128"/>
        <v>70</v>
      </c>
      <c r="E2083" s="7" t="s">
        <v>9</v>
      </c>
      <c r="F2083" s="7" t="s">
        <v>10</v>
      </c>
      <c r="G2083" s="7">
        <v>51371</v>
      </c>
      <c r="H2083" s="6" t="str" cm="1">
        <f t="array" ref="H2083">_xlfn.IFS(
  G2083 &lt; 25000, "Low",
  AND(G2083 &gt;= 25000, G2083 &lt; 75000), "Medium",
  AND(G2083 &gt;= 75000, G2083 &lt; 150000), "High",
  G2083 &gt;= 150000, "Very High"
)</f>
        <v>Medium</v>
      </c>
      <c r="I2083" s="6">
        <v>0</v>
      </c>
      <c r="J2083" s="6">
        <v>1</v>
      </c>
      <c r="K2083" s="6">
        <f t="shared" si="129"/>
        <v>1</v>
      </c>
      <c r="L2083" s="9">
        <v>41565</v>
      </c>
      <c r="M2083" t="str">
        <f t="shared" ca="1" si="130"/>
        <v>12 years, 4 months</v>
      </c>
      <c r="N2083" s="6">
        <v>95</v>
      </c>
      <c r="O2083">
        <v>0</v>
      </c>
      <c r="P2083">
        <v>6</v>
      </c>
      <c r="Q2083">
        <f t="shared" si="131"/>
        <v>6</v>
      </c>
      <c r="R2083">
        <v>6</v>
      </c>
      <c r="S2083">
        <v>5</v>
      </c>
      <c r="T2083">
        <f>Table[[#This Row],[NumWebPurchases]]+Table[[#This Row],[NumStorePurchases]]</f>
        <v>11</v>
      </c>
    </row>
    <row r="2084" spans="1:20" ht="12.5">
      <c r="A2084" s="6">
        <v>2082</v>
      </c>
      <c r="B2084" s="6">
        <v>6497</v>
      </c>
      <c r="C2084" s="6">
        <v>1960</v>
      </c>
      <c r="D2084" s="6">
        <f t="shared" si="128"/>
        <v>65</v>
      </c>
      <c r="E2084" s="7" t="s">
        <v>9</v>
      </c>
      <c r="F2084" s="7" t="s">
        <v>13</v>
      </c>
      <c r="G2084" s="6">
        <v>51651</v>
      </c>
      <c r="H2084" s="6" t="str" cm="1">
        <f t="array" ref="H2084">_xlfn.IFS(
  G2084 &lt; 25000, "Low",
  AND(G2084 &gt;= 25000, G2084 &lt; 75000), "Medium",
  AND(G2084 &gt;= 75000, G2084 &lt; 150000), "High",
  G2084 &gt;= 150000, "Very High"
)</f>
        <v>Medium</v>
      </c>
      <c r="I2084" s="6">
        <v>0</v>
      </c>
      <c r="J2084" s="6">
        <v>1</v>
      </c>
      <c r="K2084" s="6">
        <f t="shared" si="129"/>
        <v>1</v>
      </c>
      <c r="L2084" s="8">
        <v>41220</v>
      </c>
      <c r="M2084" t="str">
        <f t="shared" ca="1" si="130"/>
        <v>13 years, 3 months</v>
      </c>
      <c r="N2084" s="6">
        <v>32</v>
      </c>
      <c r="O2084">
        <v>6</v>
      </c>
      <c r="P2084">
        <v>6</v>
      </c>
      <c r="Q2084">
        <f t="shared" si="131"/>
        <v>12</v>
      </c>
      <c r="R2084">
        <v>6</v>
      </c>
      <c r="S2084">
        <v>5</v>
      </c>
      <c r="T2084">
        <f>Table[[#This Row],[NumWebPurchases]]+Table[[#This Row],[NumStorePurchases]]</f>
        <v>11</v>
      </c>
    </row>
    <row r="2085" spans="1:20" ht="12.5">
      <c r="A2085" s="6">
        <v>2083</v>
      </c>
      <c r="B2085" s="6">
        <v>5396</v>
      </c>
      <c r="C2085" s="6">
        <v>1988</v>
      </c>
      <c r="D2085" s="6">
        <f t="shared" si="128"/>
        <v>37</v>
      </c>
      <c r="E2085" s="7" t="s">
        <v>9</v>
      </c>
      <c r="F2085" s="7" t="s">
        <v>13</v>
      </c>
      <c r="G2085" s="6">
        <v>68487</v>
      </c>
      <c r="H2085" s="6" t="str" cm="1">
        <f t="array" ref="H2085">_xlfn.IFS(
  G2085 &lt; 25000, "Low",
  AND(G2085 &gt;= 25000, G2085 &lt; 75000), "Medium",
  AND(G2085 &gt;= 75000, G2085 &lt; 150000), "High",
  G2085 &gt;= 150000, "Very High"
)</f>
        <v>Medium</v>
      </c>
      <c r="I2085" s="6">
        <v>0</v>
      </c>
      <c r="J2085" s="6">
        <v>0</v>
      </c>
      <c r="K2085" s="6">
        <f t="shared" si="129"/>
        <v>0</v>
      </c>
      <c r="L2085" s="8">
        <v>41287</v>
      </c>
      <c r="M2085" t="str">
        <f t="shared" ca="1" si="130"/>
        <v>13 years, 1 months</v>
      </c>
      <c r="N2085" s="6">
        <v>48</v>
      </c>
      <c r="O2085">
        <v>12</v>
      </c>
      <c r="P2085">
        <v>89</v>
      </c>
      <c r="Q2085">
        <f t="shared" si="131"/>
        <v>101</v>
      </c>
      <c r="R2085">
        <v>9</v>
      </c>
      <c r="S2085">
        <v>13</v>
      </c>
      <c r="T2085">
        <f>Table[[#This Row],[NumWebPurchases]]+Table[[#This Row],[NumStorePurchases]]</f>
        <v>22</v>
      </c>
    </row>
    <row r="2086" spans="1:20" ht="12.5">
      <c r="A2086" s="6">
        <v>2084</v>
      </c>
      <c r="B2086" s="6">
        <v>5250</v>
      </c>
      <c r="C2086" s="6">
        <v>1943</v>
      </c>
      <c r="D2086" s="6">
        <f t="shared" si="128"/>
        <v>82</v>
      </c>
      <c r="E2086" s="7" t="s">
        <v>14</v>
      </c>
      <c r="F2086" s="7" t="s">
        <v>18</v>
      </c>
      <c r="G2086" s="7">
        <v>51371</v>
      </c>
      <c r="H2086" s="6" t="str" cm="1">
        <f t="array" ref="H2086">_xlfn.IFS(
  G2086 &lt; 25000, "Low",
  AND(G2086 &gt;= 25000, G2086 &lt; 75000), "Medium",
  AND(G2086 &gt;= 75000, G2086 &lt; 150000), "High",
  G2086 &gt;= 150000, "Very High"
)</f>
        <v>Medium</v>
      </c>
      <c r="I2086" s="6">
        <v>0</v>
      </c>
      <c r="J2086" s="6">
        <v>0</v>
      </c>
      <c r="K2086" s="6">
        <f t="shared" si="129"/>
        <v>0</v>
      </c>
      <c r="L2086" s="9">
        <v>41577</v>
      </c>
      <c r="M2086" t="str">
        <f t="shared" ca="1" si="130"/>
        <v>12 years, 4 months</v>
      </c>
      <c r="N2086" s="6">
        <v>75</v>
      </c>
      <c r="O2086">
        <v>126</v>
      </c>
      <c r="P2086">
        <v>126</v>
      </c>
      <c r="Q2086">
        <f t="shared" si="131"/>
        <v>252</v>
      </c>
      <c r="R2086">
        <v>5</v>
      </c>
      <c r="S2086">
        <v>11</v>
      </c>
      <c r="T2086">
        <f>Table[[#This Row],[NumWebPurchases]]+Table[[#This Row],[NumStorePurchases]]</f>
        <v>16</v>
      </c>
    </row>
    <row r="2087" spans="1:20" ht="12.5">
      <c r="A2087" s="6">
        <v>2085</v>
      </c>
      <c r="B2087" s="6">
        <v>1052</v>
      </c>
      <c r="C2087" s="6">
        <v>1969</v>
      </c>
      <c r="D2087" s="6">
        <f t="shared" si="128"/>
        <v>56</v>
      </c>
      <c r="E2087" s="7" t="s">
        <v>9</v>
      </c>
      <c r="F2087" s="7" t="s">
        <v>13</v>
      </c>
      <c r="G2087" s="6">
        <v>56796</v>
      </c>
      <c r="H2087" s="6" t="str" cm="1">
        <f t="array" ref="H2087">_xlfn.IFS(
  G2087 &lt; 25000, "Low",
  AND(G2087 &gt;= 25000, G2087 &lt; 75000), "Medium",
  AND(G2087 &gt;= 75000, G2087 &lt; 150000), "High",
  G2087 &gt;= 150000, "Very High"
)</f>
        <v>Medium</v>
      </c>
      <c r="I2087" s="6">
        <v>0</v>
      </c>
      <c r="J2087" s="6">
        <v>1</v>
      </c>
      <c r="K2087" s="6">
        <f t="shared" si="129"/>
        <v>1</v>
      </c>
      <c r="L2087" s="8">
        <v>41321</v>
      </c>
      <c r="M2087" t="str">
        <f t="shared" ca="1" si="130"/>
        <v>13 years, 0 months</v>
      </c>
      <c r="N2087" s="6">
        <v>24</v>
      </c>
      <c r="O2087">
        <v>38</v>
      </c>
      <c r="P2087">
        <v>47</v>
      </c>
      <c r="Q2087">
        <f t="shared" si="131"/>
        <v>85</v>
      </c>
      <c r="R2087">
        <v>8</v>
      </c>
      <c r="S2087">
        <v>7</v>
      </c>
      <c r="T2087">
        <f>Table[[#This Row],[NumWebPurchases]]+Table[[#This Row],[NumStorePurchases]]</f>
        <v>15</v>
      </c>
    </row>
    <row r="2088" spans="1:20" ht="12.5">
      <c r="A2088" s="6">
        <v>2086</v>
      </c>
      <c r="B2088" s="6">
        <v>2802</v>
      </c>
      <c r="C2088" s="6">
        <v>1992</v>
      </c>
      <c r="D2088" s="6">
        <f t="shared" si="128"/>
        <v>33</v>
      </c>
      <c r="E2088" s="7" t="s">
        <v>17</v>
      </c>
      <c r="F2088" s="7" t="s">
        <v>13</v>
      </c>
      <c r="G2088" s="6">
        <v>87000</v>
      </c>
      <c r="H2088" s="6" t="str" cm="1">
        <f t="array" ref="H2088">_xlfn.IFS(
  G2088 &lt; 25000, "Low",
  AND(G2088 &gt;= 25000, G2088 &lt; 75000), "Medium",
  AND(G2088 &gt;= 75000, G2088 &lt; 150000), "High",
  G2088 &gt;= 150000, "Very High"
)</f>
        <v>High</v>
      </c>
      <c r="I2088" s="6">
        <v>0</v>
      </c>
      <c r="J2088" s="6">
        <v>0</v>
      </c>
      <c r="K2088" s="6">
        <f t="shared" si="129"/>
        <v>0</v>
      </c>
      <c r="L2088" s="9">
        <v>41258</v>
      </c>
      <c r="M2088" t="str">
        <f t="shared" ca="1" si="130"/>
        <v>13 years, 2 months</v>
      </c>
      <c r="N2088" s="6">
        <v>61</v>
      </c>
      <c r="O2088">
        <v>25</v>
      </c>
      <c r="P2088">
        <v>17</v>
      </c>
      <c r="Q2088">
        <f t="shared" si="131"/>
        <v>42</v>
      </c>
      <c r="R2088">
        <v>4</v>
      </c>
      <c r="S2088">
        <v>7</v>
      </c>
      <c r="T2088">
        <f>Table[[#This Row],[NumWebPurchases]]+Table[[#This Row],[NumStorePurchases]]</f>
        <v>11</v>
      </c>
    </row>
    <row r="2089" spans="1:20" ht="12.5">
      <c r="A2089" s="6">
        <v>2087</v>
      </c>
      <c r="B2089" s="6">
        <v>6343</v>
      </c>
      <c r="C2089" s="6">
        <v>1959</v>
      </c>
      <c r="D2089" s="6">
        <f t="shared" si="128"/>
        <v>66</v>
      </c>
      <c r="E2089" s="7" t="s">
        <v>9</v>
      </c>
      <c r="F2089" s="7" t="s">
        <v>13</v>
      </c>
      <c r="G2089" s="6">
        <v>79823</v>
      </c>
      <c r="H2089" s="6" t="str" cm="1">
        <f t="array" ref="H2089">_xlfn.IFS(
  G2089 &lt; 25000, "Low",
  AND(G2089 &gt;= 25000, G2089 &lt; 75000), "Medium",
  AND(G2089 &gt;= 75000, G2089 &lt; 150000), "High",
  G2089 &gt;= 150000, "Very High"
)</f>
        <v>High</v>
      </c>
      <c r="I2089" s="6">
        <v>0</v>
      </c>
      <c r="J2089" s="6">
        <v>1</v>
      </c>
      <c r="K2089" s="6">
        <f t="shared" si="129"/>
        <v>1</v>
      </c>
      <c r="L2089" s="8">
        <v>41729</v>
      </c>
      <c r="M2089" t="str">
        <f t="shared" ca="1" si="130"/>
        <v>11 years, 11 months</v>
      </c>
      <c r="N2089" s="6">
        <v>6</v>
      </c>
      <c r="O2089">
        <v>73</v>
      </c>
      <c r="P2089">
        <v>73</v>
      </c>
      <c r="Q2089">
        <f t="shared" si="131"/>
        <v>146</v>
      </c>
      <c r="R2089">
        <v>6</v>
      </c>
      <c r="S2089">
        <v>7</v>
      </c>
      <c r="T2089">
        <f>Table[[#This Row],[NumWebPurchases]]+Table[[#This Row],[NumStorePurchases]]</f>
        <v>13</v>
      </c>
    </row>
    <row r="2090" spans="1:20" ht="12.5">
      <c r="A2090" s="6">
        <v>2088</v>
      </c>
      <c r="B2090" s="6">
        <v>6507</v>
      </c>
      <c r="C2090" s="6">
        <v>1980</v>
      </c>
      <c r="D2090" s="6">
        <f t="shared" si="128"/>
        <v>45</v>
      </c>
      <c r="E2090" s="7" t="s">
        <v>9</v>
      </c>
      <c r="F2090" s="7" t="s">
        <v>10</v>
      </c>
      <c r="G2090" s="6">
        <v>30828</v>
      </c>
      <c r="H2090" s="6" t="str" cm="1">
        <f t="array" ref="H2090">_xlfn.IFS(
  G2090 &lt; 25000, "Low",
  AND(G2090 &gt;= 25000, G2090 &lt; 75000), "Medium",
  AND(G2090 &gt;= 75000, G2090 &lt; 150000), "High",
  G2090 &gt;= 150000, "Very High"
)</f>
        <v>Medium</v>
      </c>
      <c r="I2090" s="6">
        <v>1</v>
      </c>
      <c r="J2090" s="6">
        <v>0</v>
      </c>
      <c r="K2090" s="6">
        <f t="shared" si="129"/>
        <v>1</v>
      </c>
      <c r="L2090" s="8">
        <v>41551</v>
      </c>
      <c r="M2090" t="str">
        <f t="shared" ca="1" si="130"/>
        <v>12 years, 5 months</v>
      </c>
      <c r="N2090" s="6">
        <v>16</v>
      </c>
      <c r="O2090">
        <v>11</v>
      </c>
      <c r="P2090">
        <v>0</v>
      </c>
      <c r="Q2090">
        <f t="shared" si="131"/>
        <v>11</v>
      </c>
      <c r="R2090">
        <v>1</v>
      </c>
      <c r="S2090">
        <v>4</v>
      </c>
      <c r="T2090">
        <f>Table[[#This Row],[NumWebPurchases]]+Table[[#This Row],[NumStorePurchases]]</f>
        <v>5</v>
      </c>
    </row>
    <row r="2091" spans="1:20" ht="12.5">
      <c r="A2091" s="6">
        <v>2089</v>
      </c>
      <c r="B2091" s="6">
        <v>7901</v>
      </c>
      <c r="C2091" s="6">
        <v>1971</v>
      </c>
      <c r="D2091" s="6">
        <f t="shared" si="128"/>
        <v>54</v>
      </c>
      <c r="E2091" s="7" t="s">
        <v>14</v>
      </c>
      <c r="F2091" s="7" t="s">
        <v>13</v>
      </c>
      <c r="G2091" s="6">
        <v>34109</v>
      </c>
      <c r="H2091" s="6" t="str" cm="1">
        <f t="array" ref="H2091">_xlfn.IFS(
  G2091 &lt; 25000, "Low",
  AND(G2091 &gt;= 25000, G2091 &lt; 75000), "Medium",
  AND(G2091 &gt;= 75000, G2091 &lt; 150000), "High",
  G2091 &gt;= 150000, "Very High"
)</f>
        <v>Medium</v>
      </c>
      <c r="I2091" s="6">
        <v>0</v>
      </c>
      <c r="J2091" s="6">
        <v>1</v>
      </c>
      <c r="K2091" s="6">
        <f t="shared" si="129"/>
        <v>1</v>
      </c>
      <c r="L2091" s="8">
        <v>41584</v>
      </c>
      <c r="M2091" t="str">
        <f t="shared" ca="1" si="130"/>
        <v>12 years, 4 months</v>
      </c>
      <c r="N2091" s="6">
        <v>39</v>
      </c>
      <c r="O2091">
        <v>1</v>
      </c>
      <c r="P2091">
        <v>1</v>
      </c>
      <c r="Q2091">
        <f t="shared" si="131"/>
        <v>2</v>
      </c>
      <c r="R2091">
        <v>0</v>
      </c>
      <c r="S2091">
        <v>3</v>
      </c>
      <c r="T2091">
        <f>Table[[#This Row],[NumWebPurchases]]+Table[[#This Row],[NumStorePurchases]]</f>
        <v>3</v>
      </c>
    </row>
    <row r="2092" spans="1:20" ht="12.5">
      <c r="A2092" s="6">
        <v>2090</v>
      </c>
      <c r="B2092" s="6">
        <v>4865</v>
      </c>
      <c r="C2092" s="6">
        <v>1974</v>
      </c>
      <c r="D2092" s="6">
        <f t="shared" si="128"/>
        <v>51</v>
      </c>
      <c r="E2092" s="7" t="s">
        <v>14</v>
      </c>
      <c r="F2092" s="7" t="s">
        <v>15</v>
      </c>
      <c r="G2092" s="6">
        <v>53367</v>
      </c>
      <c r="H2092" s="6" t="str" cm="1">
        <f t="array" ref="H2092">_xlfn.IFS(
  G2092 &lt; 25000, "Low",
  AND(G2092 &gt;= 25000, G2092 &lt; 75000), "Medium",
  AND(G2092 &gt;= 75000, G2092 &lt; 150000), "High",
  G2092 &gt;= 150000, "Very High"
)</f>
        <v>Medium</v>
      </c>
      <c r="I2092" s="6">
        <v>1</v>
      </c>
      <c r="J2092" s="6">
        <v>1</v>
      </c>
      <c r="K2092" s="6">
        <f t="shared" si="129"/>
        <v>2</v>
      </c>
      <c r="L2092" s="8">
        <v>41517</v>
      </c>
      <c r="M2092" t="str">
        <f t="shared" ca="1" si="130"/>
        <v>12 years, 6 months</v>
      </c>
      <c r="N2092" s="6">
        <v>2</v>
      </c>
      <c r="O2092">
        <v>7</v>
      </c>
      <c r="P2092">
        <v>3</v>
      </c>
      <c r="Q2092">
        <f t="shared" si="131"/>
        <v>10</v>
      </c>
      <c r="R2092">
        <v>5</v>
      </c>
      <c r="S2092">
        <v>8</v>
      </c>
      <c r="T2092">
        <f>Table[[#This Row],[NumWebPurchases]]+Table[[#This Row],[NumStorePurchases]]</f>
        <v>13</v>
      </c>
    </row>
    <row r="2093" spans="1:20" ht="12.5">
      <c r="A2093" s="6">
        <v>2091</v>
      </c>
      <c r="B2093" s="6">
        <v>2686</v>
      </c>
      <c r="C2093" s="6">
        <v>1969</v>
      </c>
      <c r="D2093" s="6">
        <f t="shared" si="128"/>
        <v>56</v>
      </c>
      <c r="E2093" s="7" t="s">
        <v>16</v>
      </c>
      <c r="F2093" s="7" t="s">
        <v>11</v>
      </c>
      <c r="G2093" s="6">
        <v>22390</v>
      </c>
      <c r="H2093" s="6" t="str" cm="1">
        <f t="array" ref="H2093">_xlfn.IFS(
  G2093 &lt; 25000, "Low",
  AND(G2093 &gt;= 25000, G2093 &lt; 75000), "Medium",
  AND(G2093 &gt;= 75000, G2093 &lt; 150000), "High",
  G2093 &gt;= 150000, "Very High"
)</f>
        <v>Low</v>
      </c>
      <c r="I2093" s="6">
        <v>0</v>
      </c>
      <c r="J2093" s="6">
        <v>0</v>
      </c>
      <c r="K2093" s="6">
        <f t="shared" si="129"/>
        <v>0</v>
      </c>
      <c r="L2093" s="9">
        <v>41568</v>
      </c>
      <c r="M2093" t="str">
        <f t="shared" ca="1" si="130"/>
        <v>12 years, 4 months</v>
      </c>
      <c r="N2093" s="6">
        <v>49</v>
      </c>
      <c r="O2093">
        <v>1</v>
      </c>
      <c r="P2093">
        <v>1</v>
      </c>
      <c r="Q2093">
        <f t="shared" si="131"/>
        <v>2</v>
      </c>
      <c r="R2093">
        <v>1</v>
      </c>
      <c r="S2093">
        <v>2</v>
      </c>
      <c r="T2093">
        <f>Table[[#This Row],[NumWebPurchases]]+Table[[#This Row],[NumStorePurchases]]</f>
        <v>3</v>
      </c>
    </row>
    <row r="2094" spans="1:20" ht="12.5">
      <c r="A2094" s="6">
        <v>2092</v>
      </c>
      <c r="B2094" s="6">
        <v>3107</v>
      </c>
      <c r="C2094" s="6">
        <v>1976</v>
      </c>
      <c r="D2094" s="6">
        <f t="shared" si="128"/>
        <v>49</v>
      </c>
      <c r="E2094" s="7" t="s">
        <v>9</v>
      </c>
      <c r="F2094" s="7" t="s">
        <v>11</v>
      </c>
      <c r="G2094" s="6">
        <v>71322</v>
      </c>
      <c r="H2094" s="6" t="str" cm="1">
        <f t="array" ref="H2094">_xlfn.IFS(
  G2094 &lt; 25000, "Low",
  AND(G2094 &gt;= 25000, G2094 &lt; 75000), "Medium",
  AND(G2094 &gt;= 75000, G2094 &lt; 150000), "High",
  G2094 &gt;= 150000, "Very High"
)</f>
        <v>Medium</v>
      </c>
      <c r="I2094" s="6">
        <v>0</v>
      </c>
      <c r="J2094" s="6">
        <v>1</v>
      </c>
      <c r="K2094" s="6">
        <f t="shared" si="129"/>
        <v>1</v>
      </c>
      <c r="L2094" s="8">
        <v>41761</v>
      </c>
      <c r="M2094" t="str">
        <f t="shared" ca="1" si="130"/>
        <v>11 years, 10 months</v>
      </c>
      <c r="N2094" s="6">
        <v>31</v>
      </c>
      <c r="O2094">
        <v>24</v>
      </c>
      <c r="P2094">
        <v>15</v>
      </c>
      <c r="Q2094">
        <f t="shared" si="131"/>
        <v>39</v>
      </c>
      <c r="R2094">
        <v>4</v>
      </c>
      <c r="S2094">
        <v>7</v>
      </c>
      <c r="T2094">
        <f>Table[[#This Row],[NumWebPurchases]]+Table[[#This Row],[NumStorePurchases]]</f>
        <v>11</v>
      </c>
    </row>
    <row r="2095" spans="1:20" ht="12.5">
      <c r="A2095" s="6">
        <v>2093</v>
      </c>
      <c r="B2095" s="6">
        <v>7734</v>
      </c>
      <c r="C2095" s="6">
        <v>1993</v>
      </c>
      <c r="D2095" s="6">
        <f t="shared" si="128"/>
        <v>32</v>
      </c>
      <c r="E2095" s="7" t="s">
        <v>9</v>
      </c>
      <c r="F2095" s="7" t="s">
        <v>20</v>
      </c>
      <c r="G2095" s="6">
        <v>79244</v>
      </c>
      <c r="H2095" s="6" t="str" cm="1">
        <f t="array" ref="H2095">_xlfn.IFS(
  G2095 &lt; 25000, "Low",
  AND(G2095 &gt;= 25000, G2095 &lt; 75000), "Medium",
  AND(G2095 &gt;= 75000, G2095 &lt; 150000), "High",
  G2095 &gt;= 150000, "Very High"
)</f>
        <v>High</v>
      </c>
      <c r="I2095" s="6">
        <v>0</v>
      </c>
      <c r="J2095" s="6">
        <v>0</v>
      </c>
      <c r="K2095" s="6">
        <f t="shared" si="129"/>
        <v>0</v>
      </c>
      <c r="L2095" s="9">
        <v>41262</v>
      </c>
      <c r="M2095" t="str">
        <f t="shared" ca="1" si="130"/>
        <v>13 years, 2 months</v>
      </c>
      <c r="N2095" s="6">
        <v>58</v>
      </c>
      <c r="O2095">
        <v>102</v>
      </c>
      <c r="P2095">
        <v>61</v>
      </c>
      <c r="Q2095">
        <f t="shared" si="131"/>
        <v>163</v>
      </c>
      <c r="R2095">
        <v>4</v>
      </c>
      <c r="S2095">
        <v>7</v>
      </c>
      <c r="T2095">
        <f>Table[[#This Row],[NumWebPurchases]]+Table[[#This Row],[NumStorePurchases]]</f>
        <v>11</v>
      </c>
    </row>
    <row r="2096" spans="1:20" ht="12.5">
      <c r="A2096" s="6">
        <v>2094</v>
      </c>
      <c r="B2096" s="6">
        <v>1146</v>
      </c>
      <c r="C2096" s="6">
        <v>1949</v>
      </c>
      <c r="D2096" s="6">
        <f t="shared" si="128"/>
        <v>76</v>
      </c>
      <c r="E2096" s="7" t="s">
        <v>14</v>
      </c>
      <c r="F2096" s="7" t="s">
        <v>11</v>
      </c>
      <c r="G2096" s="6">
        <v>49912</v>
      </c>
      <c r="H2096" s="6" t="str" cm="1">
        <f t="array" ref="H2096">_xlfn.IFS(
  G2096 &lt; 25000, "Low",
  AND(G2096 &gt;= 25000, G2096 &lt; 75000), "Medium",
  AND(G2096 &gt;= 75000, G2096 &lt; 150000), "High",
  G2096 &gt;= 150000, "Very High"
)</f>
        <v>Medium</v>
      </c>
      <c r="I2096" s="6">
        <v>0</v>
      </c>
      <c r="J2096" s="6">
        <v>1</v>
      </c>
      <c r="K2096" s="6">
        <f t="shared" si="129"/>
        <v>1</v>
      </c>
      <c r="L2096" s="8">
        <v>41159</v>
      </c>
      <c r="M2096" t="str">
        <f t="shared" ca="1" si="130"/>
        <v>13 years, 5 months</v>
      </c>
      <c r="N2096" s="6">
        <v>5</v>
      </c>
      <c r="O2096">
        <v>8</v>
      </c>
      <c r="P2096">
        <v>49</v>
      </c>
      <c r="Q2096">
        <f t="shared" si="131"/>
        <v>57</v>
      </c>
      <c r="R2096">
        <v>10</v>
      </c>
      <c r="S2096">
        <v>7</v>
      </c>
      <c r="T2096">
        <f>Table[[#This Row],[NumWebPurchases]]+Table[[#This Row],[NumStorePurchases]]</f>
        <v>17</v>
      </c>
    </row>
    <row r="2097" spans="1:20" ht="12.5">
      <c r="A2097" s="6">
        <v>2095</v>
      </c>
      <c r="B2097" s="6">
        <v>11031</v>
      </c>
      <c r="C2097" s="6">
        <v>1950</v>
      </c>
      <c r="D2097" s="6">
        <f t="shared" si="128"/>
        <v>75</v>
      </c>
      <c r="E2097" s="7" t="s">
        <v>12</v>
      </c>
      <c r="F2097" s="7" t="s">
        <v>13</v>
      </c>
      <c r="G2097" s="6">
        <v>48699</v>
      </c>
      <c r="H2097" s="6" t="str" cm="1">
        <f t="array" ref="H2097">_xlfn.IFS(
  G2097 &lt; 25000, "Low",
  AND(G2097 &gt;= 25000, G2097 &lt; 75000), "Medium",
  AND(G2097 &gt;= 75000, G2097 &lt; 150000), "High",
  G2097 &gt;= 150000, "Very High"
)</f>
        <v>Medium</v>
      </c>
      <c r="I2097" s="6">
        <v>1</v>
      </c>
      <c r="J2097" s="6">
        <v>1</v>
      </c>
      <c r="K2097" s="6">
        <f t="shared" si="129"/>
        <v>2</v>
      </c>
      <c r="L2097" s="8">
        <v>41415</v>
      </c>
      <c r="M2097" t="str">
        <f t="shared" ca="1" si="130"/>
        <v>12 years, 9 months</v>
      </c>
      <c r="N2097" s="6">
        <v>90</v>
      </c>
      <c r="O2097">
        <v>1</v>
      </c>
      <c r="P2097">
        <v>0</v>
      </c>
      <c r="Q2097">
        <f t="shared" si="131"/>
        <v>1</v>
      </c>
      <c r="R2097">
        <v>1</v>
      </c>
      <c r="S2097">
        <v>3</v>
      </c>
      <c r="T2097">
        <f>Table[[#This Row],[NumWebPurchases]]+Table[[#This Row],[NumStorePurchases]]</f>
        <v>4</v>
      </c>
    </row>
    <row r="2098" spans="1:20" ht="12.5">
      <c r="A2098" s="6">
        <v>2096</v>
      </c>
      <c r="B2098" s="6">
        <v>7428</v>
      </c>
      <c r="C2098" s="6">
        <v>1975</v>
      </c>
      <c r="D2098" s="6">
        <f t="shared" si="128"/>
        <v>50</v>
      </c>
      <c r="E2098" s="7" t="s">
        <v>9</v>
      </c>
      <c r="F2098" s="7" t="s">
        <v>11</v>
      </c>
      <c r="G2098" s="6">
        <v>80144</v>
      </c>
      <c r="H2098" s="6" t="str" cm="1">
        <f t="array" ref="H2098">_xlfn.IFS(
  G2098 &lt; 25000, "Low",
  AND(G2098 &gt;= 25000, G2098 &lt; 75000), "Medium",
  AND(G2098 &gt;= 75000, G2098 &lt; 150000), "High",
  G2098 &gt;= 150000, "Very High"
)</f>
        <v>High</v>
      </c>
      <c r="I2098" s="6">
        <v>0</v>
      </c>
      <c r="J2098" s="6">
        <v>0</v>
      </c>
      <c r="K2098" s="6">
        <f t="shared" si="129"/>
        <v>0</v>
      </c>
      <c r="L2098" s="8">
        <v>41547</v>
      </c>
      <c r="M2098" t="str">
        <f t="shared" ca="1" si="130"/>
        <v>12 years, 5 months</v>
      </c>
      <c r="N2098" s="6">
        <v>47</v>
      </c>
      <c r="O2098">
        <v>132</v>
      </c>
      <c r="P2098">
        <v>192</v>
      </c>
      <c r="Q2098">
        <f t="shared" si="131"/>
        <v>324</v>
      </c>
      <c r="R2098">
        <v>3</v>
      </c>
      <c r="S2098">
        <v>8</v>
      </c>
      <c r="T2098">
        <f>Table[[#This Row],[NumWebPurchases]]+Table[[#This Row],[NumStorePurchases]]</f>
        <v>11</v>
      </c>
    </row>
    <row r="2099" spans="1:20" ht="12.5">
      <c r="A2099" s="6">
        <v>2097</v>
      </c>
      <c r="B2099" s="6">
        <v>975</v>
      </c>
      <c r="C2099" s="6">
        <v>1956</v>
      </c>
      <c r="D2099" s="6">
        <f t="shared" si="128"/>
        <v>69</v>
      </c>
      <c r="E2099" s="7" t="s">
        <v>9</v>
      </c>
      <c r="F2099" s="7" t="s">
        <v>10</v>
      </c>
      <c r="G2099" s="6">
        <v>54252</v>
      </c>
      <c r="H2099" s="6" t="str" cm="1">
        <f t="array" ref="H2099">_xlfn.IFS(
  G2099 &lt; 25000, "Low",
  AND(G2099 &gt;= 25000, G2099 &lt; 75000), "Medium",
  AND(G2099 &gt;= 75000, G2099 &lt; 150000), "High",
  G2099 &gt;= 150000, "Very High"
)</f>
        <v>Medium</v>
      </c>
      <c r="I2099" s="6">
        <v>1</v>
      </c>
      <c r="J2099" s="6">
        <v>1</v>
      </c>
      <c r="K2099" s="6">
        <f t="shared" si="129"/>
        <v>2</v>
      </c>
      <c r="L2099" s="8">
        <v>41422</v>
      </c>
      <c r="M2099" t="str">
        <f t="shared" ca="1" si="130"/>
        <v>12 years, 9 months</v>
      </c>
      <c r="N2099" s="6">
        <v>25</v>
      </c>
      <c r="O2099">
        <v>4</v>
      </c>
      <c r="P2099">
        <v>4</v>
      </c>
      <c r="Q2099">
        <f t="shared" si="131"/>
        <v>8</v>
      </c>
      <c r="R2099">
        <v>4</v>
      </c>
      <c r="S2099">
        <v>5</v>
      </c>
      <c r="T2099">
        <f>Table[[#This Row],[NumWebPurchases]]+Table[[#This Row],[NumStorePurchases]]</f>
        <v>9</v>
      </c>
    </row>
    <row r="2100" spans="1:20" ht="12.5">
      <c r="A2100" s="6">
        <v>2098</v>
      </c>
      <c r="B2100" s="6">
        <v>1103</v>
      </c>
      <c r="C2100" s="6">
        <v>1976</v>
      </c>
      <c r="D2100" s="6">
        <f t="shared" si="128"/>
        <v>49</v>
      </c>
      <c r="E2100" s="7" t="s">
        <v>14</v>
      </c>
      <c r="F2100" s="7" t="s">
        <v>13</v>
      </c>
      <c r="G2100" s="6">
        <v>81929</v>
      </c>
      <c r="H2100" s="6" t="str" cm="1">
        <f t="array" ref="H2100">_xlfn.IFS(
  G2100 &lt; 25000, "Low",
  AND(G2100 &gt;= 25000, G2100 &lt; 75000), "Medium",
  AND(G2100 &gt;= 75000, G2100 &lt; 150000), "High",
  G2100 &gt;= 150000, "Very High"
)</f>
        <v>High</v>
      </c>
      <c r="I2100" s="6">
        <v>1</v>
      </c>
      <c r="J2100" s="6">
        <v>0</v>
      </c>
      <c r="K2100" s="6">
        <f t="shared" si="129"/>
        <v>1</v>
      </c>
      <c r="L2100" s="8">
        <v>41181</v>
      </c>
      <c r="M2100" t="str">
        <f t="shared" ca="1" si="130"/>
        <v>13 years, 5 months</v>
      </c>
      <c r="N2100" s="6">
        <v>60</v>
      </c>
      <c r="O2100">
        <v>55</v>
      </c>
      <c r="P2100">
        <v>0</v>
      </c>
      <c r="Q2100">
        <f t="shared" si="131"/>
        <v>55</v>
      </c>
      <c r="R2100">
        <v>4</v>
      </c>
      <c r="S2100">
        <v>10</v>
      </c>
      <c r="T2100">
        <f>Table[[#This Row],[NumWebPurchases]]+Table[[#This Row],[NumStorePurchases]]</f>
        <v>14</v>
      </c>
    </row>
    <row r="2101" spans="1:20" ht="12.5">
      <c r="A2101" s="6">
        <v>2099</v>
      </c>
      <c r="B2101" s="6">
        <v>3422</v>
      </c>
      <c r="C2101" s="6">
        <v>1975</v>
      </c>
      <c r="D2101" s="6">
        <f t="shared" si="128"/>
        <v>50</v>
      </c>
      <c r="E2101" s="7" t="s">
        <v>9</v>
      </c>
      <c r="F2101" s="7" t="s">
        <v>13</v>
      </c>
      <c r="G2101" s="6">
        <v>76068</v>
      </c>
      <c r="H2101" s="6" t="str" cm="1">
        <f t="array" ref="H2101">_xlfn.IFS(
  G2101 &lt; 25000, "Low",
  AND(G2101 &gt;= 25000, G2101 &lt; 75000), "Medium",
  AND(G2101 &gt;= 75000, G2101 &lt; 150000), "High",
  G2101 &gt;= 150000, "Very High"
)</f>
        <v>High</v>
      </c>
      <c r="I2101" s="6">
        <v>0</v>
      </c>
      <c r="J2101" s="6">
        <v>1</v>
      </c>
      <c r="K2101" s="6">
        <f t="shared" si="129"/>
        <v>1</v>
      </c>
      <c r="L2101" s="9">
        <v>41242</v>
      </c>
      <c r="M2101" t="str">
        <f t="shared" ca="1" si="130"/>
        <v>13 years, 3 months</v>
      </c>
      <c r="N2101" s="6">
        <v>67</v>
      </c>
      <c r="O2101">
        <v>12</v>
      </c>
      <c r="P2101">
        <v>12</v>
      </c>
      <c r="Q2101">
        <f t="shared" si="131"/>
        <v>24</v>
      </c>
      <c r="R2101">
        <v>2</v>
      </c>
      <c r="S2101">
        <v>4</v>
      </c>
      <c r="T2101">
        <f>Table[[#This Row],[NumWebPurchases]]+Table[[#This Row],[NumStorePurchases]]</f>
        <v>6</v>
      </c>
    </row>
    <row r="2102" spans="1:20" ht="12.5">
      <c r="A2102" s="6">
        <v>2100</v>
      </c>
      <c r="B2102" s="6">
        <v>1055</v>
      </c>
      <c r="C2102" s="6">
        <v>1976</v>
      </c>
      <c r="D2102" s="6">
        <f t="shared" si="128"/>
        <v>49</v>
      </c>
      <c r="E2102" s="7" t="s">
        <v>14</v>
      </c>
      <c r="F2102" s="7" t="s">
        <v>13</v>
      </c>
      <c r="G2102" s="6">
        <v>53204</v>
      </c>
      <c r="H2102" s="6" t="str" cm="1">
        <f t="array" ref="H2102">_xlfn.IFS(
  G2102 &lt; 25000, "Low",
  AND(G2102 &gt;= 25000, G2102 &lt; 75000), "Medium",
  AND(G2102 &gt;= 75000, G2102 &lt; 150000), "High",
  G2102 &gt;= 150000, "Very High"
)</f>
        <v>Medium</v>
      </c>
      <c r="I2102" s="6">
        <v>1</v>
      </c>
      <c r="J2102" s="6">
        <v>1</v>
      </c>
      <c r="K2102" s="6">
        <f t="shared" si="129"/>
        <v>2</v>
      </c>
      <c r="L2102" s="8">
        <v>41718</v>
      </c>
      <c r="M2102" t="str">
        <f t="shared" ca="1" si="130"/>
        <v>11 years, 11 months</v>
      </c>
      <c r="N2102" s="6">
        <v>40</v>
      </c>
      <c r="O2102">
        <v>0</v>
      </c>
      <c r="P2102">
        <v>0</v>
      </c>
      <c r="Q2102">
        <f t="shared" si="131"/>
        <v>0</v>
      </c>
      <c r="R2102">
        <v>1</v>
      </c>
      <c r="S2102">
        <v>3</v>
      </c>
      <c r="T2102">
        <f>Table[[#This Row],[NumWebPurchases]]+Table[[#This Row],[NumStorePurchases]]</f>
        <v>4</v>
      </c>
    </row>
    <row r="2103" spans="1:20" ht="12.5">
      <c r="A2103" s="6">
        <v>2101</v>
      </c>
      <c r="B2103" s="6">
        <v>6544</v>
      </c>
      <c r="C2103" s="6">
        <v>1949</v>
      </c>
      <c r="D2103" s="6">
        <f t="shared" si="128"/>
        <v>76</v>
      </c>
      <c r="E2103" s="7" t="s">
        <v>12</v>
      </c>
      <c r="F2103" s="7" t="s">
        <v>11</v>
      </c>
      <c r="G2103" s="6">
        <v>67911</v>
      </c>
      <c r="H2103" s="6" t="str" cm="1">
        <f t="array" ref="H2103">_xlfn.IFS(
  G2103 &lt; 25000, "Low",
  AND(G2103 &gt;= 25000, G2103 &lt; 75000), "Medium",
  AND(G2103 &gt;= 75000, G2103 &lt; 150000), "High",
  G2103 &gt;= 150000, "Very High"
)</f>
        <v>Medium</v>
      </c>
      <c r="I2103" s="6">
        <v>0</v>
      </c>
      <c r="J2103" s="6">
        <v>1</v>
      </c>
      <c r="K2103" s="6">
        <f t="shared" si="129"/>
        <v>1</v>
      </c>
      <c r="L2103" s="8">
        <v>41781</v>
      </c>
      <c r="M2103" t="str">
        <f t="shared" ca="1" si="130"/>
        <v>11 years, 9 months</v>
      </c>
      <c r="N2103" s="6">
        <v>63</v>
      </c>
      <c r="O2103">
        <v>0</v>
      </c>
      <c r="P2103">
        <v>28</v>
      </c>
      <c r="Q2103">
        <f t="shared" si="131"/>
        <v>28</v>
      </c>
      <c r="R2103">
        <v>6</v>
      </c>
      <c r="S2103">
        <v>11</v>
      </c>
      <c r="T2103">
        <f>Table[[#This Row],[NumWebPurchases]]+Table[[#This Row],[NumStorePurchases]]</f>
        <v>17</v>
      </c>
    </row>
    <row r="2104" spans="1:20" ht="12.5">
      <c r="A2104" s="6">
        <v>2102</v>
      </c>
      <c r="B2104" s="6">
        <v>1241</v>
      </c>
      <c r="C2104" s="6">
        <v>1984</v>
      </c>
      <c r="D2104" s="6">
        <f t="shared" si="128"/>
        <v>41</v>
      </c>
      <c r="E2104" s="7" t="s">
        <v>17</v>
      </c>
      <c r="F2104" s="7" t="s">
        <v>13</v>
      </c>
      <c r="G2104" s="6">
        <v>14796</v>
      </c>
      <c r="H2104" s="6" t="str" cm="1">
        <f t="array" ref="H2104">_xlfn.IFS(
  G2104 &lt; 25000, "Low",
  AND(G2104 &gt;= 25000, G2104 &lt; 75000), "Medium",
  AND(G2104 &gt;= 75000, G2104 &lt; 150000), "High",
  G2104 &gt;= 150000, "Very High"
)</f>
        <v>Low</v>
      </c>
      <c r="I2104" s="6">
        <v>1</v>
      </c>
      <c r="J2104" s="6">
        <v>0</v>
      </c>
      <c r="K2104" s="6">
        <f t="shared" si="129"/>
        <v>1</v>
      </c>
      <c r="L2104" s="8">
        <v>41169</v>
      </c>
      <c r="M2104" t="str">
        <f t="shared" ca="1" si="130"/>
        <v>13 years, 5 months</v>
      </c>
      <c r="N2104" s="6">
        <v>1</v>
      </c>
      <c r="O2104">
        <v>3</v>
      </c>
      <c r="P2104">
        <v>4</v>
      </c>
      <c r="Q2104">
        <f t="shared" si="131"/>
        <v>7</v>
      </c>
      <c r="R2104">
        <v>1</v>
      </c>
      <c r="S2104">
        <v>3</v>
      </c>
      <c r="T2104">
        <f>Table[[#This Row],[NumWebPurchases]]+Table[[#This Row],[NumStorePurchases]]</f>
        <v>4</v>
      </c>
    </row>
    <row r="2105" spans="1:20" ht="12.5">
      <c r="A2105" s="6">
        <v>2103</v>
      </c>
      <c r="B2105" s="6">
        <v>2909</v>
      </c>
      <c r="C2105" s="6">
        <v>1974</v>
      </c>
      <c r="D2105" s="6">
        <f t="shared" si="128"/>
        <v>51</v>
      </c>
      <c r="E2105" s="7" t="s">
        <v>12</v>
      </c>
      <c r="F2105" s="7" t="s">
        <v>13</v>
      </c>
      <c r="G2105" s="6">
        <v>78128</v>
      </c>
      <c r="H2105" s="6" t="str" cm="1">
        <f t="array" ref="H2105">_xlfn.IFS(
  G2105 &lt; 25000, "Low",
  AND(G2105 &gt;= 25000, G2105 &lt; 75000), "Medium",
  AND(G2105 &gt;= 75000, G2105 &lt; 150000), "High",
  G2105 &gt;= 150000, "Very High"
)</f>
        <v>High</v>
      </c>
      <c r="I2105" s="6">
        <v>0</v>
      </c>
      <c r="J2105" s="6">
        <v>1</v>
      </c>
      <c r="K2105" s="6">
        <f t="shared" si="129"/>
        <v>1</v>
      </c>
      <c r="L2105" s="8">
        <v>41689</v>
      </c>
      <c r="M2105" t="str">
        <f t="shared" ca="1" si="130"/>
        <v>12 years, 0 months</v>
      </c>
      <c r="N2105" s="6">
        <v>89</v>
      </c>
      <c r="O2105">
        <v>24</v>
      </c>
      <c r="P2105">
        <v>24</v>
      </c>
      <c r="Q2105">
        <f t="shared" si="131"/>
        <v>48</v>
      </c>
      <c r="R2105">
        <v>8</v>
      </c>
      <c r="S2105">
        <v>6</v>
      </c>
      <c r="T2105">
        <f>Table[[#This Row],[NumWebPurchases]]+Table[[#This Row],[NumStorePurchases]]</f>
        <v>14</v>
      </c>
    </row>
    <row r="2106" spans="1:20" ht="12.5">
      <c r="A2106" s="6">
        <v>2104</v>
      </c>
      <c r="B2106" s="6">
        <v>5802</v>
      </c>
      <c r="C2106" s="6">
        <v>1972</v>
      </c>
      <c r="D2106" s="6">
        <f t="shared" si="128"/>
        <v>53</v>
      </c>
      <c r="E2106" s="7" t="s">
        <v>16</v>
      </c>
      <c r="F2106" s="7" t="s">
        <v>13</v>
      </c>
      <c r="G2106" s="6">
        <v>14188</v>
      </c>
      <c r="H2106" s="6" t="str" cm="1">
        <f t="array" ref="H2106">_xlfn.IFS(
  G2106 &lt; 25000, "Low",
  AND(G2106 &gt;= 25000, G2106 &lt; 75000), "Medium",
  AND(G2106 &gt;= 75000, G2106 &lt; 150000), "High",
  G2106 &gt;= 150000, "Very High"
)</f>
        <v>Low</v>
      </c>
      <c r="I2106" s="6">
        <v>0</v>
      </c>
      <c r="J2106" s="6">
        <v>0</v>
      </c>
      <c r="K2106" s="6">
        <f t="shared" si="129"/>
        <v>0</v>
      </c>
      <c r="L2106" s="8">
        <v>41333</v>
      </c>
      <c r="M2106" t="str">
        <f t="shared" ca="1" si="130"/>
        <v>13 years, 0 months</v>
      </c>
      <c r="N2106" s="6">
        <v>40</v>
      </c>
      <c r="O2106">
        <v>7</v>
      </c>
      <c r="P2106">
        <v>12</v>
      </c>
      <c r="Q2106">
        <f t="shared" si="131"/>
        <v>19</v>
      </c>
      <c r="R2106">
        <v>2</v>
      </c>
      <c r="S2106">
        <v>4</v>
      </c>
      <c r="T2106">
        <f>Table[[#This Row],[NumWebPurchases]]+Table[[#This Row],[NumStorePurchases]]</f>
        <v>6</v>
      </c>
    </row>
    <row r="2107" spans="1:20" ht="12.5">
      <c r="A2107" s="6">
        <v>2105</v>
      </c>
      <c r="B2107" s="6">
        <v>1407</v>
      </c>
      <c r="C2107" s="6">
        <v>1986</v>
      </c>
      <c r="D2107" s="6">
        <f t="shared" si="128"/>
        <v>39</v>
      </c>
      <c r="E2107" s="7" t="s">
        <v>16</v>
      </c>
      <c r="F2107" s="7" t="s">
        <v>13</v>
      </c>
      <c r="G2107" s="6">
        <v>20425</v>
      </c>
      <c r="H2107" s="6" t="str" cm="1">
        <f t="array" ref="H2107">_xlfn.IFS(
  G2107 &lt; 25000, "Low",
  AND(G2107 &gt;= 25000, G2107 &lt; 75000), "Medium",
  AND(G2107 &gt;= 75000, G2107 &lt; 150000), "High",
  G2107 &gt;= 150000, "Very High"
)</f>
        <v>Low</v>
      </c>
      <c r="I2107" s="6">
        <v>1</v>
      </c>
      <c r="J2107" s="6">
        <v>0</v>
      </c>
      <c r="K2107" s="6">
        <f t="shared" si="129"/>
        <v>1</v>
      </c>
      <c r="L2107" s="9">
        <v>41211</v>
      </c>
      <c r="M2107" t="str">
        <f t="shared" ca="1" si="130"/>
        <v>13 years, 4 months</v>
      </c>
      <c r="N2107" s="6">
        <v>5</v>
      </c>
      <c r="O2107">
        <v>12</v>
      </c>
      <c r="P2107">
        <v>16</v>
      </c>
      <c r="Q2107">
        <f t="shared" si="131"/>
        <v>28</v>
      </c>
      <c r="R2107">
        <v>2</v>
      </c>
      <c r="S2107">
        <v>3</v>
      </c>
      <c r="T2107">
        <f>Table[[#This Row],[NumWebPurchases]]+Table[[#This Row],[NumStorePurchases]]</f>
        <v>5</v>
      </c>
    </row>
    <row r="2108" spans="1:20" ht="12.5">
      <c r="A2108" s="6">
        <v>2106</v>
      </c>
      <c r="B2108" s="6">
        <v>6183</v>
      </c>
      <c r="C2108" s="6">
        <v>1962</v>
      </c>
      <c r="D2108" s="6">
        <f t="shared" si="128"/>
        <v>63</v>
      </c>
      <c r="E2108" s="7" t="s">
        <v>14</v>
      </c>
      <c r="F2108" s="7" t="s">
        <v>13</v>
      </c>
      <c r="G2108" s="6">
        <v>58646</v>
      </c>
      <c r="H2108" s="6" t="str" cm="1">
        <f t="array" ref="H2108">_xlfn.IFS(
  G2108 &lt; 25000, "Low",
  AND(G2108 &gt;= 25000, G2108 &lt; 75000), "Medium",
  AND(G2108 &gt;= 75000, G2108 &lt; 150000), "High",
  G2108 &gt;= 150000, "Very High"
)</f>
        <v>Medium</v>
      </c>
      <c r="I2108" s="6">
        <v>0</v>
      </c>
      <c r="J2108" s="6">
        <v>1</v>
      </c>
      <c r="K2108" s="6">
        <f t="shared" si="129"/>
        <v>1</v>
      </c>
      <c r="L2108" s="8">
        <v>41435</v>
      </c>
      <c r="M2108" t="str">
        <f t="shared" ca="1" si="130"/>
        <v>12 years, 8 months</v>
      </c>
      <c r="N2108" s="6">
        <v>3</v>
      </c>
      <c r="O2108">
        <v>1</v>
      </c>
      <c r="P2108">
        <v>5</v>
      </c>
      <c r="Q2108">
        <f t="shared" si="131"/>
        <v>6</v>
      </c>
      <c r="R2108">
        <v>2</v>
      </c>
      <c r="S2108">
        <v>4</v>
      </c>
      <c r="T2108">
        <f>Table[[#This Row],[NumWebPurchases]]+Table[[#This Row],[NumStorePurchases]]</f>
        <v>6</v>
      </c>
    </row>
    <row r="2109" spans="1:20" ht="12.5">
      <c r="A2109" s="6">
        <v>2107</v>
      </c>
      <c r="B2109" s="6">
        <v>340</v>
      </c>
      <c r="C2109" s="6">
        <v>1970</v>
      </c>
      <c r="D2109" s="6">
        <f t="shared" si="128"/>
        <v>55</v>
      </c>
      <c r="E2109" s="7" t="s">
        <v>9</v>
      </c>
      <c r="F2109" s="7" t="s">
        <v>15</v>
      </c>
      <c r="G2109" s="6">
        <v>72967</v>
      </c>
      <c r="H2109" s="6" t="str" cm="1">
        <f t="array" ref="H2109">_xlfn.IFS(
  G2109 &lt; 25000, "Low",
  AND(G2109 &gt;= 25000, G2109 &lt; 75000), "Medium",
  AND(G2109 &gt;= 75000, G2109 &lt; 150000), "High",
  G2109 &gt;= 150000, "Very High"
)</f>
        <v>Medium</v>
      </c>
      <c r="I2109" s="6">
        <v>0</v>
      </c>
      <c r="J2109" s="6">
        <v>1</v>
      </c>
      <c r="K2109" s="6">
        <f t="shared" si="129"/>
        <v>1</v>
      </c>
      <c r="L2109" s="9">
        <v>41258</v>
      </c>
      <c r="M2109" t="str">
        <f t="shared" ca="1" si="130"/>
        <v>13 years, 2 months</v>
      </c>
      <c r="N2109" s="6">
        <v>1</v>
      </c>
      <c r="O2109">
        <v>35</v>
      </c>
      <c r="P2109">
        <v>0</v>
      </c>
      <c r="Q2109">
        <f t="shared" si="131"/>
        <v>35</v>
      </c>
      <c r="R2109">
        <v>7</v>
      </c>
      <c r="S2109">
        <v>8</v>
      </c>
      <c r="T2109">
        <f>Table[[#This Row],[NumWebPurchases]]+Table[[#This Row],[NumStorePurchases]]</f>
        <v>15</v>
      </c>
    </row>
    <row r="2110" spans="1:20" ht="12.5">
      <c r="A2110" s="6">
        <v>2108</v>
      </c>
      <c r="B2110" s="6">
        <v>5991</v>
      </c>
      <c r="C2110" s="6">
        <v>1949</v>
      </c>
      <c r="D2110" s="6">
        <f t="shared" si="128"/>
        <v>76</v>
      </c>
      <c r="E2110" s="7" t="s">
        <v>14</v>
      </c>
      <c r="F2110" s="7" t="s">
        <v>13</v>
      </c>
      <c r="G2110" s="6">
        <v>48150</v>
      </c>
      <c r="H2110" s="6" t="str" cm="1">
        <f t="array" ref="H2110">_xlfn.IFS(
  G2110 &lt; 25000, "Low",
  AND(G2110 &gt;= 25000, G2110 &lt; 75000), "Medium",
  AND(G2110 &gt;= 75000, G2110 &lt; 150000), "High",
  G2110 &gt;= 150000, "Very High"
)</f>
        <v>Medium</v>
      </c>
      <c r="I2110" s="6">
        <v>0</v>
      </c>
      <c r="J2110" s="6">
        <v>1</v>
      </c>
      <c r="K2110" s="6">
        <f t="shared" si="129"/>
        <v>1</v>
      </c>
      <c r="L2110" s="8">
        <v>41433</v>
      </c>
      <c r="M2110" t="str">
        <f t="shared" ca="1" si="130"/>
        <v>12 years, 8 months</v>
      </c>
      <c r="N2110" s="6">
        <v>24</v>
      </c>
      <c r="O2110">
        <v>2</v>
      </c>
      <c r="P2110">
        <v>2</v>
      </c>
      <c r="Q2110">
        <f t="shared" si="131"/>
        <v>4</v>
      </c>
      <c r="R2110">
        <v>5</v>
      </c>
      <c r="S2110">
        <v>4</v>
      </c>
      <c r="T2110">
        <f>Table[[#This Row],[NumWebPurchases]]+Table[[#This Row],[NumStorePurchases]]</f>
        <v>9</v>
      </c>
    </row>
    <row r="2111" spans="1:20" ht="12.5">
      <c r="A2111" s="6">
        <v>2109</v>
      </c>
      <c r="B2111" s="6">
        <v>3104</v>
      </c>
      <c r="C2111" s="6">
        <v>1961</v>
      </c>
      <c r="D2111" s="6">
        <f t="shared" si="128"/>
        <v>64</v>
      </c>
      <c r="E2111" s="7" t="s">
        <v>9</v>
      </c>
      <c r="F2111" s="7" t="s">
        <v>10</v>
      </c>
      <c r="G2111" s="6">
        <v>82332</v>
      </c>
      <c r="H2111" s="6" t="str" cm="1">
        <f t="array" ref="H2111">_xlfn.IFS(
  G2111 &lt; 25000, "Low",
  AND(G2111 &gt;= 25000, G2111 &lt; 75000), "Medium",
  AND(G2111 &gt;= 75000, G2111 &lt; 150000), "High",
  G2111 &gt;= 150000, "Very High"
)</f>
        <v>High</v>
      </c>
      <c r="I2111" s="6">
        <v>0</v>
      </c>
      <c r="J2111" s="6">
        <v>0</v>
      </c>
      <c r="K2111" s="6">
        <f t="shared" si="129"/>
        <v>0</v>
      </c>
      <c r="L2111" s="8">
        <v>41169</v>
      </c>
      <c r="M2111" t="str">
        <f t="shared" ca="1" si="130"/>
        <v>13 years, 5 months</v>
      </c>
      <c r="N2111" s="6">
        <v>89</v>
      </c>
      <c r="O2111">
        <v>59</v>
      </c>
      <c r="P2111">
        <v>79</v>
      </c>
      <c r="Q2111">
        <f t="shared" si="131"/>
        <v>138</v>
      </c>
      <c r="R2111">
        <v>5</v>
      </c>
      <c r="S2111">
        <v>12</v>
      </c>
      <c r="T2111">
        <f>Table[[#This Row],[NumWebPurchases]]+Table[[#This Row],[NumStorePurchases]]</f>
        <v>17</v>
      </c>
    </row>
    <row r="2112" spans="1:20" ht="12.5">
      <c r="A2112" s="6">
        <v>2110</v>
      </c>
      <c r="B2112" s="6">
        <v>9729</v>
      </c>
      <c r="C2112" s="6">
        <v>1955</v>
      </c>
      <c r="D2112" s="6">
        <f t="shared" si="128"/>
        <v>70</v>
      </c>
      <c r="E2112" s="7" t="s">
        <v>9</v>
      </c>
      <c r="F2112" s="7" t="s">
        <v>18</v>
      </c>
      <c r="G2112" s="6">
        <v>58275</v>
      </c>
      <c r="H2112" s="6" t="str" cm="1">
        <f t="array" ref="H2112">_xlfn.IFS(
  G2112 &lt; 25000, "Low",
  AND(G2112 &gt;= 25000, G2112 &lt; 75000), "Medium",
  AND(G2112 &gt;= 75000, G2112 &lt; 150000), "High",
  G2112 &gt;= 150000, "Very High"
)</f>
        <v>Medium</v>
      </c>
      <c r="I2112" s="6">
        <v>1</v>
      </c>
      <c r="J2112" s="6">
        <v>1</v>
      </c>
      <c r="K2112" s="6">
        <f t="shared" si="129"/>
        <v>2</v>
      </c>
      <c r="L2112" s="8">
        <v>41427</v>
      </c>
      <c r="M2112" t="str">
        <f t="shared" ca="1" si="130"/>
        <v>12 years, 9 months</v>
      </c>
      <c r="N2112" s="6">
        <v>48</v>
      </c>
      <c r="O2112">
        <v>10</v>
      </c>
      <c r="P2112">
        <v>43</v>
      </c>
      <c r="Q2112">
        <f t="shared" si="131"/>
        <v>53</v>
      </c>
      <c r="R2112">
        <v>8</v>
      </c>
      <c r="S2112">
        <v>7</v>
      </c>
      <c r="T2112">
        <f>Table[[#This Row],[NumWebPurchases]]+Table[[#This Row],[NumStorePurchases]]</f>
        <v>15</v>
      </c>
    </row>
    <row r="2113" spans="1:20" ht="12.5">
      <c r="A2113" s="6">
        <v>2111</v>
      </c>
      <c r="B2113" s="6">
        <v>1008</v>
      </c>
      <c r="C2113" s="6">
        <v>1981</v>
      </c>
      <c r="D2113" s="6">
        <f t="shared" si="128"/>
        <v>44</v>
      </c>
      <c r="E2113" s="7" t="s">
        <v>12</v>
      </c>
      <c r="F2113" s="7" t="s">
        <v>11</v>
      </c>
      <c r="G2113" s="6">
        <v>44953</v>
      </c>
      <c r="H2113" s="6" t="str" cm="1">
        <f t="array" ref="H2113">_xlfn.IFS(
  G2113 &lt; 25000, "Low",
  AND(G2113 &gt;= 25000, G2113 &lt; 75000), "Medium",
  AND(G2113 &gt;= 75000, G2113 &lt; 150000), "High",
  G2113 &gt;= 150000, "Very High"
)</f>
        <v>Medium</v>
      </c>
      <c r="I2113" s="6">
        <v>0</v>
      </c>
      <c r="J2113" s="6">
        <v>0</v>
      </c>
      <c r="K2113" s="6">
        <f t="shared" si="129"/>
        <v>0</v>
      </c>
      <c r="L2113" s="9">
        <v>41264</v>
      </c>
      <c r="M2113" t="str">
        <f t="shared" ca="1" si="130"/>
        <v>13 years, 2 months</v>
      </c>
      <c r="N2113" s="6">
        <v>31</v>
      </c>
      <c r="O2113">
        <v>17</v>
      </c>
      <c r="P2113">
        <v>8</v>
      </c>
      <c r="Q2113">
        <f t="shared" si="131"/>
        <v>25</v>
      </c>
      <c r="R2113">
        <v>7</v>
      </c>
      <c r="S2113">
        <v>13</v>
      </c>
      <c r="T2113">
        <f>Table[[#This Row],[NumWebPurchases]]+Table[[#This Row],[NumStorePurchases]]</f>
        <v>20</v>
      </c>
    </row>
    <row r="2114" spans="1:20" ht="12.5">
      <c r="A2114" s="6">
        <v>2112</v>
      </c>
      <c r="B2114" s="6">
        <v>11091</v>
      </c>
      <c r="C2114" s="6">
        <v>1953</v>
      </c>
      <c r="D2114" s="6">
        <f t="shared" si="128"/>
        <v>72</v>
      </c>
      <c r="E2114" s="7" t="s">
        <v>9</v>
      </c>
      <c r="F2114" s="7" t="s">
        <v>11</v>
      </c>
      <c r="G2114" s="6">
        <v>34587</v>
      </c>
      <c r="H2114" s="6" t="str" cm="1">
        <f t="array" ref="H2114">_xlfn.IFS(
  G2114 &lt; 25000, "Low",
  AND(G2114 &gt;= 25000, G2114 &lt; 75000), "Medium",
  AND(G2114 &gt;= 75000, G2114 &lt; 150000), "High",
  G2114 &gt;= 150000, "Very High"
)</f>
        <v>Medium</v>
      </c>
      <c r="I2114" s="6">
        <v>1</v>
      </c>
      <c r="J2114" s="6">
        <v>1</v>
      </c>
      <c r="K2114" s="6">
        <f t="shared" si="129"/>
        <v>2</v>
      </c>
      <c r="L2114" s="8">
        <v>41775</v>
      </c>
      <c r="M2114" t="str">
        <f t="shared" ca="1" si="130"/>
        <v>11 years, 9 months</v>
      </c>
      <c r="N2114" s="6">
        <v>68</v>
      </c>
      <c r="O2114">
        <v>2</v>
      </c>
      <c r="P2114">
        <v>0</v>
      </c>
      <c r="Q2114">
        <f t="shared" si="131"/>
        <v>2</v>
      </c>
      <c r="R2114">
        <v>1</v>
      </c>
      <c r="S2114">
        <v>3</v>
      </c>
      <c r="T2114">
        <f>Table[[#This Row],[NumWebPurchases]]+Table[[#This Row],[NumStorePurchases]]</f>
        <v>4</v>
      </c>
    </row>
    <row r="2115" spans="1:20" ht="12.5">
      <c r="A2115" s="6">
        <v>2113</v>
      </c>
      <c r="B2115" s="6">
        <v>3969</v>
      </c>
      <c r="C2115" s="6">
        <v>1974</v>
      </c>
      <c r="D2115" s="6">
        <f t="shared" ref="D2115:D2178" si="132">2025-C2115</f>
        <v>51</v>
      </c>
      <c r="E2115" s="7" t="s">
        <v>14</v>
      </c>
      <c r="F2115" s="7" t="s">
        <v>11</v>
      </c>
      <c r="G2115" s="6">
        <v>43018</v>
      </c>
      <c r="H2115" s="6" t="str" cm="1">
        <f t="array" ref="H2115">_xlfn.IFS(
  G2115 &lt; 25000, "Low",
  AND(G2115 &gt;= 25000, G2115 &lt; 75000), "Medium",
  AND(G2115 &gt;= 75000, G2115 &lt; 150000), "High",
  G2115 &gt;= 150000, "Very High"
)</f>
        <v>Medium</v>
      </c>
      <c r="I2115" s="6">
        <v>0</v>
      </c>
      <c r="J2115" s="6">
        <v>1</v>
      </c>
      <c r="K2115" s="6">
        <f t="shared" ref="K2115:K2178" si="133">I2115+J2115</f>
        <v>1</v>
      </c>
      <c r="L2115" s="8">
        <v>41579</v>
      </c>
      <c r="M2115" t="str">
        <f t="shared" ref="M2115:M2178" ca="1" si="134">DATEDIF(L2115, TODAY(), "Y") &amp; " years, " &amp; DATEDIF(L2115, TODAY(), "YM") &amp; " months"</f>
        <v>12 years, 4 months</v>
      </c>
      <c r="N2115" s="6">
        <v>46</v>
      </c>
      <c r="O2115">
        <v>4</v>
      </c>
      <c r="P2115">
        <v>6</v>
      </c>
      <c r="Q2115">
        <f t="shared" ref="Q2115:Q2178" si="135">O2115+P2115</f>
        <v>10</v>
      </c>
      <c r="R2115">
        <v>2</v>
      </c>
      <c r="S2115">
        <v>2</v>
      </c>
      <c r="T2115">
        <f>Table[[#This Row],[NumWebPurchases]]+Table[[#This Row],[NumStorePurchases]]</f>
        <v>4</v>
      </c>
    </row>
    <row r="2116" spans="1:20" ht="12.5">
      <c r="A2116" s="6">
        <v>2114</v>
      </c>
      <c r="B2116" s="6">
        <v>1916</v>
      </c>
      <c r="C2116" s="6">
        <v>1954</v>
      </c>
      <c r="D2116" s="6">
        <f t="shared" si="132"/>
        <v>71</v>
      </c>
      <c r="E2116" s="7" t="s">
        <v>14</v>
      </c>
      <c r="F2116" s="7" t="s">
        <v>13</v>
      </c>
      <c r="G2116" s="6">
        <v>45736</v>
      </c>
      <c r="H2116" s="6" t="str" cm="1">
        <f t="array" ref="H2116">_xlfn.IFS(
  G2116 &lt; 25000, "Low",
  AND(G2116 &gt;= 25000, G2116 &lt; 75000), "Medium",
  AND(G2116 &gt;= 75000, G2116 &lt; 150000), "High",
  G2116 &gt;= 150000, "Very High"
)</f>
        <v>Medium</v>
      </c>
      <c r="I2116" s="6">
        <v>0</v>
      </c>
      <c r="J2116" s="6">
        <v>1</v>
      </c>
      <c r="K2116" s="6">
        <f t="shared" si="133"/>
        <v>1</v>
      </c>
      <c r="L2116" s="8">
        <v>41479</v>
      </c>
      <c r="M2116" t="str">
        <f t="shared" ca="1" si="134"/>
        <v>12 years, 7 months</v>
      </c>
      <c r="N2116" s="6">
        <v>92</v>
      </c>
      <c r="O2116">
        <v>3</v>
      </c>
      <c r="P2116">
        <v>3</v>
      </c>
      <c r="Q2116">
        <f t="shared" si="135"/>
        <v>6</v>
      </c>
      <c r="R2116">
        <v>7</v>
      </c>
      <c r="S2116">
        <v>6</v>
      </c>
      <c r="T2116">
        <f>Table[[#This Row],[NumWebPurchases]]+Table[[#This Row],[NumStorePurchases]]</f>
        <v>13</v>
      </c>
    </row>
    <row r="2117" spans="1:20" ht="12.5">
      <c r="A2117" s="6">
        <v>2115</v>
      </c>
      <c r="B2117" s="6">
        <v>9907</v>
      </c>
      <c r="C2117" s="6">
        <v>1969</v>
      </c>
      <c r="D2117" s="6">
        <f t="shared" si="132"/>
        <v>56</v>
      </c>
      <c r="E2117" s="7" t="s">
        <v>14</v>
      </c>
      <c r="F2117" s="7" t="s">
        <v>11</v>
      </c>
      <c r="G2117" s="6">
        <v>66476</v>
      </c>
      <c r="H2117" s="6" t="str" cm="1">
        <f t="array" ref="H2117">_xlfn.IFS(
  G2117 &lt; 25000, "Low",
  AND(G2117 &gt;= 25000, G2117 &lt; 75000), "Medium",
  AND(G2117 &gt;= 75000, G2117 &lt; 150000), "High",
  G2117 &gt;= 150000, "Very High"
)</f>
        <v>Medium</v>
      </c>
      <c r="I2117" s="6">
        <v>0</v>
      </c>
      <c r="J2117" s="6">
        <v>1</v>
      </c>
      <c r="K2117" s="6">
        <f t="shared" si="133"/>
        <v>1</v>
      </c>
      <c r="L2117" s="8">
        <v>41612</v>
      </c>
      <c r="M2117" t="str">
        <f t="shared" ca="1" si="134"/>
        <v>12 years, 3 months</v>
      </c>
      <c r="N2117" s="6">
        <v>80</v>
      </c>
      <c r="O2117">
        <v>28</v>
      </c>
      <c r="P2117">
        <v>9</v>
      </c>
      <c r="Q2117">
        <f t="shared" si="135"/>
        <v>37</v>
      </c>
      <c r="R2117">
        <v>6</v>
      </c>
      <c r="S2117">
        <v>10</v>
      </c>
      <c r="T2117">
        <f>Table[[#This Row],[NumWebPurchases]]+Table[[#This Row],[NumStorePurchases]]</f>
        <v>16</v>
      </c>
    </row>
    <row r="2118" spans="1:20" ht="12.5">
      <c r="A2118" s="6">
        <v>2116</v>
      </c>
      <c r="B2118" s="6">
        <v>87</v>
      </c>
      <c r="C2118" s="6">
        <v>1981</v>
      </c>
      <c r="D2118" s="6">
        <f t="shared" si="132"/>
        <v>44</v>
      </c>
      <c r="E2118" s="7" t="s">
        <v>17</v>
      </c>
      <c r="F2118" s="7" t="s">
        <v>13</v>
      </c>
      <c r="G2118" s="6">
        <v>27733</v>
      </c>
      <c r="H2118" s="6" t="str" cm="1">
        <f t="array" ref="H2118">_xlfn.IFS(
  G2118 &lt; 25000, "Low",
  AND(G2118 &gt;= 25000, G2118 &lt; 75000), "Medium",
  AND(G2118 &gt;= 75000, G2118 &lt; 150000), "High",
  G2118 &gt;= 150000, "Very High"
)</f>
        <v>Medium</v>
      </c>
      <c r="I2118" s="6">
        <v>1</v>
      </c>
      <c r="J2118" s="6">
        <v>0</v>
      </c>
      <c r="K2118" s="6">
        <f t="shared" si="133"/>
        <v>1</v>
      </c>
      <c r="L2118" s="8">
        <v>41512</v>
      </c>
      <c r="M2118" t="str">
        <f t="shared" ca="1" si="134"/>
        <v>12 years, 6 months</v>
      </c>
      <c r="N2118" s="6">
        <v>16</v>
      </c>
      <c r="O2118">
        <v>7</v>
      </c>
      <c r="P2118">
        <v>2</v>
      </c>
      <c r="Q2118">
        <f t="shared" si="135"/>
        <v>9</v>
      </c>
      <c r="R2118">
        <v>2</v>
      </c>
      <c r="S2118">
        <v>3</v>
      </c>
      <c r="T2118">
        <f>Table[[#This Row],[NumWebPurchases]]+Table[[#This Row],[NumStorePurchases]]</f>
        <v>5</v>
      </c>
    </row>
    <row r="2119" spans="1:20" ht="12.5">
      <c r="A2119" s="6">
        <v>2117</v>
      </c>
      <c r="B2119" s="6">
        <v>8659</v>
      </c>
      <c r="C2119" s="6">
        <v>1952</v>
      </c>
      <c r="D2119" s="6">
        <f t="shared" si="132"/>
        <v>73</v>
      </c>
      <c r="E2119" s="7" t="s">
        <v>12</v>
      </c>
      <c r="F2119" s="7" t="s">
        <v>11</v>
      </c>
      <c r="G2119" s="6">
        <v>69805</v>
      </c>
      <c r="H2119" s="6" t="str" cm="1">
        <f t="array" ref="H2119">_xlfn.IFS(
  G2119 &lt; 25000, "Low",
  AND(G2119 &gt;= 25000, G2119 &lt; 75000), "Medium",
  AND(G2119 &gt;= 75000, G2119 &lt; 150000), "High",
  G2119 &gt;= 150000, "Very High"
)</f>
        <v>Medium</v>
      </c>
      <c r="I2119" s="6">
        <v>0</v>
      </c>
      <c r="J2119" s="6">
        <v>1</v>
      </c>
      <c r="K2119" s="6">
        <f t="shared" si="133"/>
        <v>1</v>
      </c>
      <c r="L2119" s="8">
        <v>41660</v>
      </c>
      <c r="M2119" t="str">
        <f t="shared" ca="1" si="134"/>
        <v>12 years, 1 months</v>
      </c>
      <c r="N2119" s="6">
        <v>50</v>
      </c>
      <c r="O2119">
        <v>71</v>
      </c>
      <c r="P2119">
        <v>10</v>
      </c>
      <c r="Q2119">
        <f t="shared" si="135"/>
        <v>81</v>
      </c>
      <c r="R2119">
        <v>6</v>
      </c>
      <c r="S2119">
        <v>11</v>
      </c>
      <c r="T2119">
        <f>Table[[#This Row],[NumWebPurchases]]+Table[[#This Row],[NumStorePurchases]]</f>
        <v>17</v>
      </c>
    </row>
    <row r="2120" spans="1:20" ht="12.5">
      <c r="A2120" s="6">
        <v>2118</v>
      </c>
      <c r="B2120" s="6">
        <v>6262</v>
      </c>
      <c r="C2120" s="6">
        <v>1962</v>
      </c>
      <c r="D2120" s="6">
        <f t="shared" si="132"/>
        <v>63</v>
      </c>
      <c r="E2120" s="7" t="s">
        <v>14</v>
      </c>
      <c r="F2120" s="7" t="s">
        <v>10</v>
      </c>
      <c r="G2120" s="6">
        <v>72217</v>
      </c>
      <c r="H2120" s="6" t="str" cm="1">
        <f t="array" ref="H2120">_xlfn.IFS(
  G2120 &lt; 25000, "Low",
  AND(G2120 &gt;= 25000, G2120 &lt; 75000), "Medium",
  AND(G2120 &gt;= 75000, G2120 &lt; 150000), "High",
  G2120 &gt;= 150000, "Very High"
)</f>
        <v>Medium</v>
      </c>
      <c r="I2120" s="6">
        <v>0</v>
      </c>
      <c r="J2120" s="6">
        <v>0</v>
      </c>
      <c r="K2120" s="6">
        <f t="shared" si="133"/>
        <v>0</v>
      </c>
      <c r="L2120" s="8">
        <v>41374</v>
      </c>
      <c r="M2120" t="str">
        <f t="shared" ca="1" si="134"/>
        <v>12 years, 10 months</v>
      </c>
      <c r="N2120" s="6">
        <v>93</v>
      </c>
      <c r="O2120">
        <v>42</v>
      </c>
      <c r="P2120">
        <v>56</v>
      </c>
      <c r="Q2120">
        <f t="shared" si="135"/>
        <v>98</v>
      </c>
      <c r="R2120">
        <v>3</v>
      </c>
      <c r="S2120">
        <v>8</v>
      </c>
      <c r="T2120">
        <f>Table[[#This Row],[NumWebPurchases]]+Table[[#This Row],[NumStorePurchases]]</f>
        <v>11</v>
      </c>
    </row>
    <row r="2121" spans="1:20" ht="12.5">
      <c r="A2121" s="6">
        <v>2119</v>
      </c>
      <c r="B2121" s="6">
        <v>6147</v>
      </c>
      <c r="C2121" s="6">
        <v>1971</v>
      </c>
      <c r="D2121" s="6">
        <f t="shared" si="132"/>
        <v>54</v>
      </c>
      <c r="E2121" s="7" t="s">
        <v>9</v>
      </c>
      <c r="F2121" s="7" t="s">
        <v>15</v>
      </c>
      <c r="G2121" s="6">
        <v>25818</v>
      </c>
      <c r="H2121" s="6" t="str" cm="1">
        <f t="array" ref="H2121">_xlfn.IFS(
  G2121 &lt; 25000, "Low",
  AND(G2121 &gt;= 25000, G2121 &lt; 75000), "Medium",
  AND(G2121 &gt;= 75000, G2121 &lt; 150000), "High",
  G2121 &gt;= 150000, "Very High"
)</f>
        <v>Medium</v>
      </c>
      <c r="I2121" s="6">
        <v>1</v>
      </c>
      <c r="J2121" s="6">
        <v>0</v>
      </c>
      <c r="K2121" s="6">
        <f t="shared" si="133"/>
        <v>1</v>
      </c>
      <c r="L2121" s="9">
        <v>41200</v>
      </c>
      <c r="M2121" t="str">
        <f t="shared" ca="1" si="134"/>
        <v>13 years, 4 months</v>
      </c>
      <c r="N2121" s="6">
        <v>51</v>
      </c>
      <c r="O2121">
        <v>2</v>
      </c>
      <c r="P2121">
        <v>2</v>
      </c>
      <c r="Q2121">
        <f t="shared" si="135"/>
        <v>4</v>
      </c>
      <c r="R2121">
        <v>0</v>
      </c>
      <c r="S2121">
        <v>2</v>
      </c>
      <c r="T2121">
        <f>Table[[#This Row],[NumWebPurchases]]+Table[[#This Row],[NumStorePurchases]]</f>
        <v>2</v>
      </c>
    </row>
    <row r="2122" spans="1:20" ht="12.5">
      <c r="A2122" s="6">
        <v>2120</v>
      </c>
      <c r="B2122" s="6">
        <v>8832</v>
      </c>
      <c r="C2122" s="6">
        <v>1976</v>
      </c>
      <c r="D2122" s="6">
        <f t="shared" si="132"/>
        <v>49</v>
      </c>
      <c r="E2122" s="7" t="s">
        <v>14</v>
      </c>
      <c r="F2122" s="7" t="s">
        <v>11</v>
      </c>
      <c r="G2122" s="6">
        <v>37509</v>
      </c>
      <c r="H2122" s="6" t="str" cm="1">
        <f t="array" ref="H2122">_xlfn.IFS(
  G2122 &lt; 25000, "Low",
  AND(G2122 &gt;= 25000, G2122 &lt; 75000), "Medium",
  AND(G2122 &gt;= 75000, G2122 &lt; 150000), "High",
  G2122 &gt;= 150000, "Very High"
)</f>
        <v>Medium</v>
      </c>
      <c r="I2122" s="6">
        <v>1</v>
      </c>
      <c r="J2122" s="6">
        <v>0</v>
      </c>
      <c r="K2122" s="6">
        <f t="shared" si="133"/>
        <v>1</v>
      </c>
      <c r="L2122" s="8">
        <v>41164</v>
      </c>
      <c r="M2122" t="str">
        <f t="shared" ca="1" si="134"/>
        <v>13 years, 5 months</v>
      </c>
      <c r="N2122" s="6">
        <v>24</v>
      </c>
      <c r="O2122">
        <v>5</v>
      </c>
      <c r="P2122">
        <v>8</v>
      </c>
      <c r="Q2122">
        <f t="shared" si="135"/>
        <v>13</v>
      </c>
      <c r="R2122">
        <v>3</v>
      </c>
      <c r="S2122">
        <v>4</v>
      </c>
      <c r="T2122">
        <f>Table[[#This Row],[NumWebPurchases]]+Table[[#This Row],[NumStorePurchases]]</f>
        <v>7</v>
      </c>
    </row>
    <row r="2123" spans="1:20" ht="12.5">
      <c r="A2123" s="6">
        <v>2121</v>
      </c>
      <c r="B2123" s="6">
        <v>10067</v>
      </c>
      <c r="C2123" s="6">
        <v>1976</v>
      </c>
      <c r="D2123" s="6">
        <f t="shared" si="132"/>
        <v>49</v>
      </c>
      <c r="E2123" s="7" t="s">
        <v>17</v>
      </c>
      <c r="F2123" s="7" t="s">
        <v>11</v>
      </c>
      <c r="G2123" s="6">
        <v>25176</v>
      </c>
      <c r="H2123" s="6" t="str" cm="1">
        <f t="array" ref="H2123">_xlfn.IFS(
  G2123 &lt; 25000, "Low",
  AND(G2123 &gt;= 25000, G2123 &lt; 75000), "Medium",
  AND(G2123 &gt;= 75000, G2123 &lt; 150000), "High",
  G2123 &gt;= 150000, "Very High"
)</f>
        <v>Medium</v>
      </c>
      <c r="I2123" s="6">
        <v>1</v>
      </c>
      <c r="J2123" s="6">
        <v>1</v>
      </c>
      <c r="K2123" s="6">
        <f t="shared" si="133"/>
        <v>2</v>
      </c>
      <c r="L2123" s="8">
        <v>41496</v>
      </c>
      <c r="M2123" t="str">
        <f t="shared" ca="1" si="134"/>
        <v>12 years, 6 months</v>
      </c>
      <c r="N2123" s="6">
        <v>79</v>
      </c>
      <c r="O2123">
        <v>0</v>
      </c>
      <c r="P2123">
        <v>0</v>
      </c>
      <c r="Q2123">
        <f t="shared" si="135"/>
        <v>0</v>
      </c>
      <c r="R2123">
        <v>1</v>
      </c>
      <c r="S2123">
        <v>2</v>
      </c>
      <c r="T2123">
        <f>Table[[#This Row],[NumWebPurchases]]+Table[[#This Row],[NumStorePurchases]]</f>
        <v>3</v>
      </c>
    </row>
    <row r="2124" spans="1:20" ht="12.5">
      <c r="A2124" s="6">
        <v>2122</v>
      </c>
      <c r="B2124" s="6">
        <v>7532</v>
      </c>
      <c r="C2124" s="6">
        <v>1980</v>
      </c>
      <c r="D2124" s="6">
        <f t="shared" si="132"/>
        <v>45</v>
      </c>
      <c r="E2124" s="7" t="s">
        <v>9</v>
      </c>
      <c r="F2124" s="7" t="s">
        <v>13</v>
      </c>
      <c r="G2124" s="6">
        <v>43586</v>
      </c>
      <c r="H2124" s="6" t="str" cm="1">
        <f t="array" ref="H2124">_xlfn.IFS(
  G2124 &lt; 25000, "Low",
  AND(G2124 &gt;= 25000, G2124 &lt; 75000), "Medium",
  AND(G2124 &gt;= 75000, G2124 &lt; 150000), "High",
  G2124 &gt;= 150000, "Very High"
)</f>
        <v>Medium</v>
      </c>
      <c r="I2124" s="6">
        <v>0</v>
      </c>
      <c r="J2124" s="6">
        <v>1</v>
      </c>
      <c r="K2124" s="6">
        <f t="shared" si="133"/>
        <v>1</v>
      </c>
      <c r="L2124" s="8">
        <v>41151</v>
      </c>
      <c r="M2124" t="str">
        <f t="shared" ca="1" si="134"/>
        <v>13 years, 6 months</v>
      </c>
      <c r="N2124" s="6">
        <v>26</v>
      </c>
      <c r="O2124">
        <v>2</v>
      </c>
      <c r="P2124">
        <v>0</v>
      </c>
      <c r="Q2124">
        <f t="shared" si="135"/>
        <v>2</v>
      </c>
      <c r="R2124">
        <v>3</v>
      </c>
      <c r="S2124">
        <v>4</v>
      </c>
      <c r="T2124">
        <f>Table[[#This Row],[NumWebPurchases]]+Table[[#This Row],[NumStorePurchases]]</f>
        <v>7</v>
      </c>
    </row>
    <row r="2125" spans="1:20" ht="12.5">
      <c r="A2125" s="6">
        <v>2123</v>
      </c>
      <c r="B2125" s="6">
        <v>4915</v>
      </c>
      <c r="C2125" s="6">
        <v>1956</v>
      </c>
      <c r="D2125" s="6">
        <f t="shared" si="132"/>
        <v>69</v>
      </c>
      <c r="E2125" s="7" t="s">
        <v>17</v>
      </c>
      <c r="F2125" s="7" t="s">
        <v>13</v>
      </c>
      <c r="G2125" s="6">
        <v>53230</v>
      </c>
      <c r="H2125" s="6" t="str" cm="1">
        <f t="array" ref="H2125">_xlfn.IFS(
  G2125 &lt; 25000, "Low",
  AND(G2125 &gt;= 25000, G2125 &lt; 75000), "Medium",
  AND(G2125 &gt;= 75000, G2125 &lt; 150000), "High",
  G2125 &gt;= 150000, "Very High"
)</f>
        <v>Medium</v>
      </c>
      <c r="I2125" s="6">
        <v>0</v>
      </c>
      <c r="J2125" s="6">
        <v>1</v>
      </c>
      <c r="K2125" s="6">
        <f t="shared" si="133"/>
        <v>1</v>
      </c>
      <c r="L2125" s="8">
        <v>41124</v>
      </c>
      <c r="M2125" t="str">
        <f t="shared" ca="1" si="134"/>
        <v>13 years, 7 months</v>
      </c>
      <c r="N2125" s="6">
        <v>86</v>
      </c>
      <c r="O2125">
        <v>72</v>
      </c>
      <c r="P2125">
        <v>21</v>
      </c>
      <c r="Q2125">
        <f t="shared" si="135"/>
        <v>93</v>
      </c>
      <c r="R2125">
        <v>5</v>
      </c>
      <c r="S2125">
        <v>12</v>
      </c>
      <c r="T2125">
        <f>Table[[#This Row],[NumWebPurchases]]+Table[[#This Row],[NumStorePurchases]]</f>
        <v>17</v>
      </c>
    </row>
    <row r="2126" spans="1:20" ht="12.5">
      <c r="A2126" s="6">
        <v>2124</v>
      </c>
      <c r="B2126" s="6">
        <v>2115</v>
      </c>
      <c r="C2126" s="6">
        <v>1957</v>
      </c>
      <c r="D2126" s="6">
        <f t="shared" si="132"/>
        <v>68</v>
      </c>
      <c r="E2126" s="7" t="s">
        <v>9</v>
      </c>
      <c r="F2126" s="7" t="s">
        <v>11</v>
      </c>
      <c r="G2126" s="6">
        <v>50116</v>
      </c>
      <c r="H2126" s="6" t="str" cm="1">
        <f t="array" ref="H2126">_xlfn.IFS(
  G2126 &lt; 25000, "Low",
  AND(G2126 &gt;= 25000, G2126 &lt; 75000), "Medium",
  AND(G2126 &gt;= 75000, G2126 &lt; 150000), "High",
  G2126 &gt;= 150000, "Very High"
)</f>
        <v>Medium</v>
      </c>
      <c r="I2126" s="6">
        <v>1</v>
      </c>
      <c r="J2126" s="6">
        <v>1</v>
      </c>
      <c r="K2126" s="6">
        <f t="shared" si="133"/>
        <v>2</v>
      </c>
      <c r="L2126" s="8">
        <v>41810</v>
      </c>
      <c r="M2126" t="str">
        <f t="shared" ca="1" si="134"/>
        <v>11 years, 8 months</v>
      </c>
      <c r="N2126" s="6">
        <v>68</v>
      </c>
      <c r="O2126">
        <v>0</v>
      </c>
      <c r="P2126">
        <v>0</v>
      </c>
      <c r="Q2126">
        <f t="shared" si="135"/>
        <v>0</v>
      </c>
      <c r="R2126">
        <v>1</v>
      </c>
      <c r="S2126">
        <v>4</v>
      </c>
      <c r="T2126">
        <f>Table[[#This Row],[NumWebPurchases]]+Table[[#This Row],[NumStorePurchases]]</f>
        <v>5</v>
      </c>
    </row>
    <row r="2127" spans="1:20" ht="12.5">
      <c r="A2127" s="6">
        <v>2125</v>
      </c>
      <c r="B2127" s="6">
        <v>2088</v>
      </c>
      <c r="C2127" s="6">
        <v>1972</v>
      </c>
      <c r="D2127" s="6">
        <f t="shared" si="132"/>
        <v>53</v>
      </c>
      <c r="E2127" s="7" t="s">
        <v>9</v>
      </c>
      <c r="F2127" s="7" t="s">
        <v>11</v>
      </c>
      <c r="G2127" s="6">
        <v>84906</v>
      </c>
      <c r="H2127" s="6" t="str" cm="1">
        <f t="array" ref="H2127">_xlfn.IFS(
  G2127 &lt; 25000, "Low",
  AND(G2127 &gt;= 25000, G2127 &lt; 75000), "Medium",
  AND(G2127 &gt;= 75000, G2127 &lt; 150000), "High",
  G2127 &gt;= 150000, "Very High"
)</f>
        <v>High</v>
      </c>
      <c r="I2127" s="6">
        <v>0</v>
      </c>
      <c r="J2127" s="6">
        <v>0</v>
      </c>
      <c r="K2127" s="6">
        <f t="shared" si="133"/>
        <v>0</v>
      </c>
      <c r="L2127" s="8">
        <v>41551</v>
      </c>
      <c r="M2127" t="str">
        <f t="shared" ca="1" si="134"/>
        <v>12 years, 5 months</v>
      </c>
      <c r="N2127" s="6">
        <v>98</v>
      </c>
      <c r="O2127">
        <v>15</v>
      </c>
      <c r="P2127">
        <v>30</v>
      </c>
      <c r="Q2127">
        <f t="shared" si="135"/>
        <v>45</v>
      </c>
      <c r="R2127">
        <v>5</v>
      </c>
      <c r="S2127">
        <v>12</v>
      </c>
      <c r="T2127">
        <f>Table[[#This Row],[NumWebPurchases]]+Table[[#This Row],[NumStorePurchases]]</f>
        <v>17</v>
      </c>
    </row>
    <row r="2128" spans="1:20" ht="12.5">
      <c r="A2128" s="6">
        <v>2126</v>
      </c>
      <c r="B2128" s="6">
        <v>2493</v>
      </c>
      <c r="C2128" s="6">
        <v>1966</v>
      </c>
      <c r="D2128" s="6">
        <f t="shared" si="132"/>
        <v>59</v>
      </c>
      <c r="E2128" s="7" t="s">
        <v>9</v>
      </c>
      <c r="F2128" s="7" t="s">
        <v>13</v>
      </c>
      <c r="G2128" s="6">
        <v>61286</v>
      </c>
      <c r="H2128" s="6" t="str" cm="1">
        <f t="array" ref="H2128">_xlfn.IFS(
  G2128 &lt; 25000, "Low",
  AND(G2128 &gt;= 25000, G2128 &lt; 75000), "Medium",
  AND(G2128 &gt;= 75000, G2128 &lt; 150000), "High",
  G2128 &gt;= 150000, "Very High"
)</f>
        <v>Medium</v>
      </c>
      <c r="I2128" s="6">
        <v>0</v>
      </c>
      <c r="J2128" s="6">
        <v>1</v>
      </c>
      <c r="K2128" s="6">
        <f t="shared" si="133"/>
        <v>1</v>
      </c>
      <c r="L2128" s="8">
        <v>41488</v>
      </c>
      <c r="M2128" t="str">
        <f t="shared" ca="1" si="134"/>
        <v>12 years, 7 months</v>
      </c>
      <c r="N2128" s="6">
        <v>34</v>
      </c>
      <c r="O2128">
        <v>0</v>
      </c>
      <c r="P2128">
        <v>9</v>
      </c>
      <c r="Q2128">
        <f t="shared" si="135"/>
        <v>9</v>
      </c>
      <c r="R2128">
        <v>7</v>
      </c>
      <c r="S2128">
        <v>8</v>
      </c>
      <c r="T2128">
        <f>Table[[#This Row],[NumWebPurchases]]+Table[[#This Row],[NumStorePurchases]]</f>
        <v>15</v>
      </c>
    </row>
    <row r="2129" spans="1:20" ht="12.5">
      <c r="A2129" s="6">
        <v>2127</v>
      </c>
      <c r="B2129" s="6">
        <v>6292</v>
      </c>
      <c r="C2129" s="6">
        <v>1986</v>
      </c>
      <c r="D2129" s="6">
        <f t="shared" si="132"/>
        <v>39</v>
      </c>
      <c r="E2129" s="7" t="s">
        <v>12</v>
      </c>
      <c r="F2129" s="7" t="s">
        <v>13</v>
      </c>
      <c r="G2129" s="6">
        <v>82333</v>
      </c>
      <c r="H2129" s="6" t="str" cm="1">
        <f t="array" ref="H2129">_xlfn.IFS(
  G2129 &lt; 25000, "Low",
  AND(G2129 &gt;= 25000, G2129 &lt; 75000), "Medium",
  AND(G2129 &gt;= 75000, G2129 &lt; 150000), "High",
  G2129 &gt;= 150000, "Very High"
)</f>
        <v>High</v>
      </c>
      <c r="I2129" s="6">
        <v>0</v>
      </c>
      <c r="J2129" s="6">
        <v>0</v>
      </c>
      <c r="K2129" s="6">
        <f t="shared" si="133"/>
        <v>0</v>
      </c>
      <c r="L2129" s="8">
        <v>41363</v>
      </c>
      <c r="M2129" t="str">
        <f t="shared" ca="1" si="134"/>
        <v>12 years, 11 months</v>
      </c>
      <c r="N2129" s="6">
        <v>60</v>
      </c>
      <c r="O2129">
        <v>0</v>
      </c>
      <c r="P2129">
        <v>89</v>
      </c>
      <c r="Q2129">
        <f t="shared" si="135"/>
        <v>89</v>
      </c>
      <c r="R2129">
        <v>4</v>
      </c>
      <c r="S2129">
        <v>10</v>
      </c>
      <c r="T2129">
        <f>Table[[#This Row],[NumWebPurchases]]+Table[[#This Row],[NumStorePurchases]]</f>
        <v>14</v>
      </c>
    </row>
    <row r="2130" spans="1:20" ht="12.5">
      <c r="A2130" s="6">
        <v>2128</v>
      </c>
      <c r="B2130" s="6">
        <v>1631</v>
      </c>
      <c r="C2130" s="6">
        <v>1965</v>
      </c>
      <c r="D2130" s="6">
        <f t="shared" si="132"/>
        <v>60</v>
      </c>
      <c r="E2130" s="7" t="s">
        <v>12</v>
      </c>
      <c r="F2130" s="7" t="s">
        <v>11</v>
      </c>
      <c r="G2130" s="6">
        <v>65220</v>
      </c>
      <c r="H2130" s="6" t="str" cm="1">
        <f t="array" ref="H2130">_xlfn.IFS(
  G2130 &lt; 25000, "Low",
  AND(G2130 &gt;= 25000, G2130 &lt; 75000), "Medium",
  AND(G2130 &gt;= 75000, G2130 &lt; 150000), "High",
  G2130 &gt;= 150000, "Very High"
)</f>
        <v>Medium</v>
      </c>
      <c r="I2130" s="6">
        <v>0</v>
      </c>
      <c r="J2130" s="6">
        <v>0</v>
      </c>
      <c r="K2130" s="6">
        <f t="shared" si="133"/>
        <v>0</v>
      </c>
      <c r="L2130" s="8">
        <v>41155</v>
      </c>
      <c r="M2130" t="str">
        <f t="shared" ca="1" si="134"/>
        <v>13 years, 6 months</v>
      </c>
      <c r="N2130" s="6">
        <v>3</v>
      </c>
      <c r="O2130">
        <v>63</v>
      </c>
      <c r="P2130">
        <v>25</v>
      </c>
      <c r="Q2130">
        <f t="shared" si="135"/>
        <v>88</v>
      </c>
      <c r="R2130">
        <v>8</v>
      </c>
      <c r="S2130">
        <v>7</v>
      </c>
      <c r="T2130">
        <f>Table[[#This Row],[NumWebPurchases]]+Table[[#This Row],[NumStorePurchases]]</f>
        <v>15</v>
      </c>
    </row>
    <row r="2131" spans="1:20" ht="12.5">
      <c r="A2131" s="6">
        <v>2129</v>
      </c>
      <c r="B2131" s="6">
        <v>10104</v>
      </c>
      <c r="C2131" s="6">
        <v>1974</v>
      </c>
      <c r="D2131" s="6">
        <f t="shared" si="132"/>
        <v>51</v>
      </c>
      <c r="E2131" s="7" t="s">
        <v>9</v>
      </c>
      <c r="F2131" s="7" t="s">
        <v>11</v>
      </c>
      <c r="G2131" s="6">
        <v>33590</v>
      </c>
      <c r="H2131" s="6" t="str" cm="1">
        <f t="array" ref="H2131">_xlfn.IFS(
  G2131 &lt; 25000, "Low",
  AND(G2131 &gt;= 25000, G2131 &lt; 75000), "Medium",
  AND(G2131 &gt;= 75000, G2131 &lt; 150000), "High",
  G2131 &gt;= 150000, "Very High"
)</f>
        <v>Medium</v>
      </c>
      <c r="I2131" s="6">
        <v>2</v>
      </c>
      <c r="J2131" s="6">
        <v>1</v>
      </c>
      <c r="K2131" s="6">
        <f t="shared" si="133"/>
        <v>3</v>
      </c>
      <c r="L2131" s="8">
        <v>41581</v>
      </c>
      <c r="M2131" t="str">
        <f t="shared" ca="1" si="134"/>
        <v>12 years, 4 months</v>
      </c>
      <c r="N2131" s="6">
        <v>65</v>
      </c>
      <c r="O2131">
        <v>0</v>
      </c>
      <c r="P2131">
        <v>0</v>
      </c>
      <c r="Q2131">
        <f t="shared" si="135"/>
        <v>0</v>
      </c>
      <c r="R2131">
        <v>1</v>
      </c>
      <c r="S2131">
        <v>2</v>
      </c>
      <c r="T2131">
        <f>Table[[#This Row],[NumWebPurchases]]+Table[[#This Row],[NumStorePurchases]]</f>
        <v>3</v>
      </c>
    </row>
    <row r="2132" spans="1:20" ht="12.5">
      <c r="A2132" s="6">
        <v>2130</v>
      </c>
      <c r="B2132" s="6">
        <v>3006</v>
      </c>
      <c r="C2132" s="6">
        <v>1976</v>
      </c>
      <c r="D2132" s="6">
        <f t="shared" si="132"/>
        <v>49</v>
      </c>
      <c r="E2132" s="7" t="s">
        <v>9</v>
      </c>
      <c r="F2132" s="7" t="s">
        <v>15</v>
      </c>
      <c r="G2132" s="6">
        <v>30992</v>
      </c>
      <c r="H2132" s="6" t="str" cm="1">
        <f t="array" ref="H2132">_xlfn.IFS(
  G2132 &lt; 25000, "Low",
  AND(G2132 &gt;= 25000, G2132 &lt; 75000), "Medium",
  AND(G2132 &gt;= 75000, G2132 &lt; 150000), "High",
  G2132 &gt;= 150000, "Very High"
)</f>
        <v>Medium</v>
      </c>
      <c r="I2132" s="6">
        <v>1</v>
      </c>
      <c r="J2132" s="6">
        <v>0</v>
      </c>
      <c r="K2132" s="6">
        <f t="shared" si="133"/>
        <v>1</v>
      </c>
      <c r="L2132" s="8">
        <v>41386</v>
      </c>
      <c r="M2132" t="str">
        <f t="shared" ca="1" si="134"/>
        <v>12 years, 10 months</v>
      </c>
      <c r="N2132" s="6">
        <v>83</v>
      </c>
      <c r="O2132">
        <v>0</v>
      </c>
      <c r="P2132">
        <v>3</v>
      </c>
      <c r="Q2132">
        <f t="shared" si="135"/>
        <v>3</v>
      </c>
      <c r="R2132">
        <v>1</v>
      </c>
      <c r="S2132">
        <v>3</v>
      </c>
      <c r="T2132">
        <f>Table[[#This Row],[NumWebPurchases]]+Table[[#This Row],[NumStorePurchases]]</f>
        <v>4</v>
      </c>
    </row>
    <row r="2133" spans="1:20" ht="12.5">
      <c r="A2133" s="6">
        <v>2131</v>
      </c>
      <c r="B2133" s="6">
        <v>3919</v>
      </c>
      <c r="C2133" s="6">
        <v>1976</v>
      </c>
      <c r="D2133" s="6">
        <f t="shared" si="132"/>
        <v>49</v>
      </c>
      <c r="E2133" s="7" t="s">
        <v>14</v>
      </c>
      <c r="F2133" s="7" t="s">
        <v>10</v>
      </c>
      <c r="G2133" s="6">
        <v>72309</v>
      </c>
      <c r="H2133" s="6" t="str" cm="1">
        <f t="array" ref="H2133">_xlfn.IFS(
  G2133 &lt; 25000, "Low",
  AND(G2133 &gt;= 25000, G2133 &lt; 75000), "Medium",
  AND(G2133 &gt;= 75000, G2133 &lt; 150000), "High",
  G2133 &gt;= 150000, "Very High"
)</f>
        <v>Medium</v>
      </c>
      <c r="I2133" s="6">
        <v>0</v>
      </c>
      <c r="J2133" s="6">
        <v>0</v>
      </c>
      <c r="K2133" s="6">
        <f t="shared" si="133"/>
        <v>0</v>
      </c>
      <c r="L2133" s="8">
        <v>41344</v>
      </c>
      <c r="M2133" t="str">
        <f t="shared" ca="1" si="134"/>
        <v>12 years, 11 months</v>
      </c>
      <c r="N2133" s="6">
        <v>64</v>
      </c>
      <c r="O2133">
        <v>0</v>
      </c>
      <c r="P2133">
        <v>38</v>
      </c>
      <c r="Q2133">
        <f t="shared" si="135"/>
        <v>38</v>
      </c>
      <c r="R2133">
        <v>5</v>
      </c>
      <c r="S2133">
        <v>8</v>
      </c>
      <c r="T2133">
        <f>Table[[#This Row],[NumWebPurchases]]+Table[[#This Row],[NumStorePurchases]]</f>
        <v>13</v>
      </c>
    </row>
    <row r="2134" spans="1:20" ht="12.5">
      <c r="A2134" s="6">
        <v>2132</v>
      </c>
      <c r="B2134" s="6">
        <v>11181</v>
      </c>
      <c r="C2134" s="6">
        <v>1949</v>
      </c>
      <c r="D2134" s="6">
        <f t="shared" si="132"/>
        <v>76</v>
      </c>
      <c r="E2134" s="7" t="s">
        <v>12</v>
      </c>
      <c r="F2134" s="7" t="s">
        <v>13</v>
      </c>
      <c r="G2134" s="6">
        <v>156924</v>
      </c>
      <c r="H2134" s="6" t="str" cm="1">
        <f t="array" ref="H2134">_xlfn.IFS(
  G2134 &lt; 25000, "Low",
  AND(G2134 &gt;= 25000, G2134 &lt; 75000), "Medium",
  AND(G2134 &gt;= 75000, G2134 &lt; 150000), "High",
  G2134 &gt;= 150000, "Very High"
)</f>
        <v>Very High</v>
      </c>
      <c r="I2134" s="6">
        <v>0</v>
      </c>
      <c r="J2134" s="6">
        <v>0</v>
      </c>
      <c r="K2134" s="6">
        <f t="shared" si="133"/>
        <v>0</v>
      </c>
      <c r="L2134" s="8">
        <v>41515</v>
      </c>
      <c r="M2134" t="str">
        <f t="shared" ca="1" si="134"/>
        <v>12 years, 6 months</v>
      </c>
      <c r="N2134" s="6">
        <v>85</v>
      </c>
      <c r="O2134">
        <v>1</v>
      </c>
      <c r="P2134">
        <v>1</v>
      </c>
      <c r="Q2134">
        <f t="shared" si="135"/>
        <v>2</v>
      </c>
      <c r="R2134">
        <v>0</v>
      </c>
      <c r="S2134">
        <v>0</v>
      </c>
      <c r="T2134">
        <f>Table[[#This Row],[NumWebPurchases]]+Table[[#This Row],[NumStorePurchases]]</f>
        <v>0</v>
      </c>
    </row>
    <row r="2135" spans="1:20" ht="12.5">
      <c r="A2135" s="6">
        <v>2133</v>
      </c>
      <c r="B2135" s="6">
        <v>642</v>
      </c>
      <c r="C2135" s="6">
        <v>1980</v>
      </c>
      <c r="D2135" s="6">
        <f t="shared" si="132"/>
        <v>45</v>
      </c>
      <c r="E2135" s="7" t="s">
        <v>16</v>
      </c>
      <c r="F2135" s="7" t="s">
        <v>13</v>
      </c>
      <c r="G2135" s="6">
        <v>16005</v>
      </c>
      <c r="H2135" s="6" t="str" cm="1">
        <f t="array" ref="H2135">_xlfn.IFS(
  G2135 &lt; 25000, "Low",
  AND(G2135 &gt;= 25000, G2135 &lt; 75000), "Medium",
  AND(G2135 &gt;= 75000, G2135 &lt; 150000), "High",
  G2135 &gt;= 150000, "Very High"
)</f>
        <v>Low</v>
      </c>
      <c r="I2135" s="6">
        <v>1</v>
      </c>
      <c r="J2135" s="6">
        <v>0</v>
      </c>
      <c r="K2135" s="6">
        <f t="shared" si="133"/>
        <v>1</v>
      </c>
      <c r="L2135" s="8">
        <v>41135</v>
      </c>
      <c r="M2135" t="str">
        <f t="shared" ca="1" si="134"/>
        <v>13 years, 6 months</v>
      </c>
      <c r="N2135" s="6">
        <v>69</v>
      </c>
      <c r="O2135">
        <v>3</v>
      </c>
      <c r="P2135">
        <v>30</v>
      </c>
      <c r="Q2135">
        <f t="shared" si="135"/>
        <v>33</v>
      </c>
      <c r="R2135">
        <v>2</v>
      </c>
      <c r="S2135">
        <v>2</v>
      </c>
      <c r="T2135">
        <f>Table[[#This Row],[NumWebPurchases]]+Table[[#This Row],[NumStorePurchases]]</f>
        <v>4</v>
      </c>
    </row>
    <row r="2136" spans="1:20" ht="12.5">
      <c r="A2136" s="6">
        <v>2134</v>
      </c>
      <c r="B2136" s="6">
        <v>4369</v>
      </c>
      <c r="C2136" s="6">
        <v>1957</v>
      </c>
      <c r="D2136" s="6">
        <f t="shared" si="132"/>
        <v>68</v>
      </c>
      <c r="E2136" s="7" t="s">
        <v>14</v>
      </c>
      <c r="F2136" s="7" t="s">
        <v>20</v>
      </c>
      <c r="G2136" s="6">
        <v>65487</v>
      </c>
      <c r="H2136" s="6" t="str" cm="1">
        <f t="array" ref="H2136">_xlfn.IFS(
  G2136 &lt; 25000, "Low",
  AND(G2136 &gt;= 25000, G2136 &lt; 75000), "Medium",
  AND(G2136 &gt;= 75000, G2136 &lt; 150000), "High",
  G2136 &gt;= 150000, "Very High"
)</f>
        <v>Medium</v>
      </c>
      <c r="I2136" s="6">
        <v>0</v>
      </c>
      <c r="J2136" s="6">
        <v>0</v>
      </c>
      <c r="K2136" s="6">
        <f t="shared" si="133"/>
        <v>0</v>
      </c>
      <c r="L2136" s="8">
        <v>41649</v>
      </c>
      <c r="M2136" t="str">
        <f t="shared" ca="1" si="134"/>
        <v>12 years, 1 months</v>
      </c>
      <c r="N2136" s="6">
        <v>48</v>
      </c>
      <c r="O2136">
        <v>67</v>
      </c>
      <c r="P2136">
        <v>0</v>
      </c>
      <c r="Q2136">
        <f t="shared" si="135"/>
        <v>67</v>
      </c>
      <c r="R2136">
        <v>3</v>
      </c>
      <c r="S2136">
        <v>6</v>
      </c>
      <c r="T2136">
        <f>Table[[#This Row],[NumWebPurchases]]+Table[[#This Row],[NumStorePurchases]]</f>
        <v>9</v>
      </c>
    </row>
    <row r="2137" spans="1:20" ht="12.5">
      <c r="A2137" s="6">
        <v>2135</v>
      </c>
      <c r="B2137" s="6">
        <v>10127</v>
      </c>
      <c r="C2137" s="6">
        <v>1965</v>
      </c>
      <c r="D2137" s="6">
        <f t="shared" si="132"/>
        <v>60</v>
      </c>
      <c r="E2137" s="7" t="s">
        <v>9</v>
      </c>
      <c r="F2137" s="7" t="s">
        <v>13</v>
      </c>
      <c r="G2137" s="6">
        <v>58692</v>
      </c>
      <c r="H2137" s="6" t="str" cm="1">
        <f t="array" ref="H2137">_xlfn.IFS(
  G2137 &lt; 25000, "Low",
  AND(G2137 &gt;= 25000, G2137 &lt; 75000), "Medium",
  AND(G2137 &gt;= 75000, G2137 &lt; 150000), "High",
  G2137 &gt;= 150000, "Very High"
)</f>
        <v>Medium</v>
      </c>
      <c r="I2137" s="6">
        <v>0</v>
      </c>
      <c r="J2137" s="6">
        <v>1</v>
      </c>
      <c r="K2137" s="6">
        <f t="shared" si="133"/>
        <v>1</v>
      </c>
      <c r="L2137" s="8">
        <v>41735</v>
      </c>
      <c r="M2137" t="str">
        <f t="shared" ca="1" si="134"/>
        <v>11 years, 11 months</v>
      </c>
      <c r="N2137" s="6">
        <v>21</v>
      </c>
      <c r="O2137">
        <v>11</v>
      </c>
      <c r="P2137">
        <v>7</v>
      </c>
      <c r="Q2137">
        <f t="shared" si="135"/>
        <v>18</v>
      </c>
      <c r="R2137">
        <v>8</v>
      </c>
      <c r="S2137">
        <v>4</v>
      </c>
      <c r="T2137">
        <f>Table[[#This Row],[NumWebPurchases]]+Table[[#This Row],[NumStorePurchases]]</f>
        <v>12</v>
      </c>
    </row>
    <row r="2138" spans="1:20" ht="12.5">
      <c r="A2138" s="6">
        <v>2136</v>
      </c>
      <c r="B2138" s="6">
        <v>271</v>
      </c>
      <c r="C2138" s="6">
        <v>1969</v>
      </c>
      <c r="D2138" s="6">
        <f t="shared" si="132"/>
        <v>56</v>
      </c>
      <c r="E2138" s="7" t="s">
        <v>9</v>
      </c>
      <c r="F2138" s="7" t="s">
        <v>18</v>
      </c>
      <c r="G2138" s="6">
        <v>40590</v>
      </c>
      <c r="H2138" s="6" t="str" cm="1">
        <f t="array" ref="H2138">_xlfn.IFS(
  G2138 &lt; 25000, "Low",
  AND(G2138 &gt;= 25000, G2138 &lt; 75000), "Medium",
  AND(G2138 &gt;= 75000, G2138 &lt; 150000), "High",
  G2138 &gt;= 150000, "Very High"
)</f>
        <v>Medium</v>
      </c>
      <c r="I2138" s="6">
        <v>1</v>
      </c>
      <c r="J2138" s="6">
        <v>1</v>
      </c>
      <c r="K2138" s="6">
        <f t="shared" si="133"/>
        <v>2</v>
      </c>
      <c r="L2138" s="8">
        <v>41549</v>
      </c>
      <c r="M2138" t="str">
        <f t="shared" ca="1" si="134"/>
        <v>12 years, 5 months</v>
      </c>
      <c r="N2138" s="6">
        <v>30</v>
      </c>
      <c r="O2138">
        <v>0</v>
      </c>
      <c r="P2138">
        <v>11</v>
      </c>
      <c r="Q2138">
        <f t="shared" si="135"/>
        <v>11</v>
      </c>
      <c r="R2138">
        <v>3</v>
      </c>
      <c r="S2138">
        <v>3</v>
      </c>
      <c r="T2138">
        <f>Table[[#This Row],[NumWebPurchases]]+Table[[#This Row],[NumStorePurchases]]</f>
        <v>6</v>
      </c>
    </row>
    <row r="2139" spans="1:20" ht="12.5">
      <c r="A2139" s="6">
        <v>2137</v>
      </c>
      <c r="B2139" s="6">
        <v>4973</v>
      </c>
      <c r="C2139" s="6">
        <v>1970</v>
      </c>
      <c r="D2139" s="6">
        <f t="shared" si="132"/>
        <v>55</v>
      </c>
      <c r="E2139" s="7" t="s">
        <v>9</v>
      </c>
      <c r="F2139" s="7" t="s">
        <v>10</v>
      </c>
      <c r="G2139" s="6">
        <v>20587</v>
      </c>
      <c r="H2139" s="6" t="str" cm="1">
        <f t="array" ref="H2139">_xlfn.IFS(
  G2139 &lt; 25000, "Low",
  AND(G2139 &gt;= 25000, G2139 &lt; 75000), "Medium",
  AND(G2139 &gt;= 75000, G2139 &lt; 150000), "High",
  G2139 &gt;= 150000, "Very High"
)</f>
        <v>Low</v>
      </c>
      <c r="I2139" s="6">
        <v>1</v>
      </c>
      <c r="J2139" s="6">
        <v>0</v>
      </c>
      <c r="K2139" s="6">
        <f t="shared" si="133"/>
        <v>1</v>
      </c>
      <c r="L2139" s="8">
        <v>41770</v>
      </c>
      <c r="M2139" t="str">
        <f t="shared" ca="1" si="134"/>
        <v>11 years, 9 months</v>
      </c>
      <c r="N2139" s="6">
        <v>39</v>
      </c>
      <c r="O2139">
        <v>3</v>
      </c>
      <c r="P2139">
        <v>1</v>
      </c>
      <c r="Q2139">
        <f t="shared" si="135"/>
        <v>4</v>
      </c>
      <c r="R2139">
        <v>1</v>
      </c>
      <c r="S2139">
        <v>2</v>
      </c>
      <c r="T2139">
        <f>Table[[#This Row],[NumWebPurchases]]+Table[[#This Row],[NumStorePurchases]]</f>
        <v>3</v>
      </c>
    </row>
    <row r="2140" spans="1:20" ht="12.5">
      <c r="A2140" s="6">
        <v>2138</v>
      </c>
      <c r="B2140" s="6">
        <v>2948</v>
      </c>
      <c r="C2140" s="6">
        <v>1954</v>
      </c>
      <c r="D2140" s="6">
        <f t="shared" si="132"/>
        <v>71</v>
      </c>
      <c r="E2140" s="7" t="s">
        <v>14</v>
      </c>
      <c r="F2140" s="7" t="s">
        <v>15</v>
      </c>
      <c r="G2140" s="6">
        <v>62637</v>
      </c>
      <c r="H2140" s="6" t="str" cm="1">
        <f t="array" ref="H2140">_xlfn.IFS(
  G2140 &lt; 25000, "Low",
  AND(G2140 &gt;= 25000, G2140 &lt; 75000), "Medium",
  AND(G2140 &gt;= 75000, G2140 &lt; 150000), "High",
  G2140 &gt;= 150000, "Very High"
)</f>
        <v>Medium</v>
      </c>
      <c r="I2140" s="6">
        <v>0</v>
      </c>
      <c r="J2140" s="6">
        <v>1</v>
      </c>
      <c r="K2140" s="6">
        <f t="shared" si="133"/>
        <v>1</v>
      </c>
      <c r="L2140" s="8">
        <v>41699</v>
      </c>
      <c r="M2140" t="str">
        <f t="shared" ca="1" si="134"/>
        <v>12 years, 0 months</v>
      </c>
      <c r="N2140" s="6">
        <v>76</v>
      </c>
      <c r="O2140">
        <v>12</v>
      </c>
      <c r="P2140">
        <v>12</v>
      </c>
      <c r="Q2140">
        <f t="shared" si="135"/>
        <v>24</v>
      </c>
      <c r="R2140">
        <v>2</v>
      </c>
      <c r="S2140">
        <v>5</v>
      </c>
      <c r="T2140">
        <f>Table[[#This Row],[NumWebPurchases]]+Table[[#This Row],[NumStorePurchases]]</f>
        <v>7</v>
      </c>
    </row>
    <row r="2141" spans="1:20" ht="12.5">
      <c r="A2141" s="6">
        <v>2139</v>
      </c>
      <c r="B2141" s="6">
        <v>2715</v>
      </c>
      <c r="C2141" s="6">
        <v>1966</v>
      </c>
      <c r="D2141" s="6">
        <f t="shared" si="132"/>
        <v>59</v>
      </c>
      <c r="E2141" s="7" t="s">
        <v>14</v>
      </c>
      <c r="F2141" s="7" t="s">
        <v>15</v>
      </c>
      <c r="G2141" s="6">
        <v>29435</v>
      </c>
      <c r="H2141" s="6" t="str" cm="1">
        <f t="array" ref="H2141">_xlfn.IFS(
  G2141 &lt; 25000, "Low",
  AND(G2141 &gt;= 25000, G2141 &lt; 75000), "Medium",
  AND(G2141 &gt;= 75000, G2141 &lt; 150000), "High",
  G2141 &gt;= 150000, "Very High"
)</f>
        <v>Medium</v>
      </c>
      <c r="I2141" s="6">
        <v>1</v>
      </c>
      <c r="J2141" s="6">
        <v>1</v>
      </c>
      <c r="K2141" s="6">
        <f t="shared" si="133"/>
        <v>2</v>
      </c>
      <c r="L2141" s="8">
        <v>41127</v>
      </c>
      <c r="M2141" t="str">
        <f t="shared" ca="1" si="134"/>
        <v>13 years, 7 months</v>
      </c>
      <c r="N2141" s="6">
        <v>11</v>
      </c>
      <c r="O2141">
        <v>3</v>
      </c>
      <c r="P2141">
        <v>2</v>
      </c>
      <c r="Q2141">
        <f t="shared" si="135"/>
        <v>5</v>
      </c>
      <c r="R2141">
        <v>3</v>
      </c>
      <c r="S2141">
        <v>2</v>
      </c>
      <c r="T2141">
        <f>Table[[#This Row],[NumWebPurchases]]+Table[[#This Row],[NumStorePurchases]]</f>
        <v>5</v>
      </c>
    </row>
    <row r="2142" spans="1:20" ht="12.5">
      <c r="A2142" s="6">
        <v>2140</v>
      </c>
      <c r="B2142" s="6">
        <v>10432</v>
      </c>
      <c r="C2142" s="6">
        <v>1974</v>
      </c>
      <c r="D2142" s="6">
        <f t="shared" si="132"/>
        <v>51</v>
      </c>
      <c r="E2142" s="7" t="s">
        <v>9</v>
      </c>
      <c r="F2142" s="7" t="s">
        <v>15</v>
      </c>
      <c r="G2142" s="6">
        <v>19346</v>
      </c>
      <c r="H2142" s="6" t="str" cm="1">
        <f t="array" ref="H2142">_xlfn.IFS(
  G2142 &lt; 25000, "Low",
  AND(G2142 &gt;= 25000, G2142 &lt; 75000), "Medium",
  AND(G2142 &gt;= 75000, G2142 &lt; 150000), "High",
  G2142 &gt;= 150000, "Very High"
)</f>
        <v>Low</v>
      </c>
      <c r="I2142" s="6">
        <v>1</v>
      </c>
      <c r="J2142" s="6">
        <v>0</v>
      </c>
      <c r="K2142" s="6">
        <f t="shared" si="133"/>
        <v>1</v>
      </c>
      <c r="L2142" s="8">
        <v>41669</v>
      </c>
      <c r="M2142" t="str">
        <f t="shared" ca="1" si="134"/>
        <v>12 years, 1 months</v>
      </c>
      <c r="N2142" s="6">
        <v>26</v>
      </c>
      <c r="O2142">
        <v>0</v>
      </c>
      <c r="P2142">
        <v>6</v>
      </c>
      <c r="Q2142">
        <f t="shared" si="135"/>
        <v>6</v>
      </c>
      <c r="R2142">
        <v>1</v>
      </c>
      <c r="S2142">
        <v>3</v>
      </c>
      <c r="T2142">
        <f>Table[[#This Row],[NumWebPurchases]]+Table[[#This Row],[NumStorePurchases]]</f>
        <v>4</v>
      </c>
    </row>
    <row r="2143" spans="1:20" ht="12.5">
      <c r="A2143" s="6">
        <v>2141</v>
      </c>
      <c r="B2143" s="6">
        <v>9216</v>
      </c>
      <c r="C2143" s="6">
        <v>1971</v>
      </c>
      <c r="D2143" s="6">
        <f t="shared" si="132"/>
        <v>54</v>
      </c>
      <c r="E2143" s="7" t="s">
        <v>9</v>
      </c>
      <c r="F2143" s="7" t="s">
        <v>13</v>
      </c>
      <c r="G2143" s="6">
        <v>35788</v>
      </c>
      <c r="H2143" s="6" t="str" cm="1">
        <f t="array" ref="H2143">_xlfn.IFS(
  G2143 &lt; 25000, "Low",
  AND(G2143 &gt;= 25000, G2143 &lt; 75000), "Medium",
  AND(G2143 &gt;= 75000, G2143 &lt; 150000), "High",
  G2143 &gt;= 150000, "Very High"
)</f>
        <v>Medium</v>
      </c>
      <c r="I2143" s="6">
        <v>1</v>
      </c>
      <c r="J2143" s="6">
        <v>1</v>
      </c>
      <c r="K2143" s="6">
        <f t="shared" si="133"/>
        <v>2</v>
      </c>
      <c r="L2143" s="8">
        <v>41662</v>
      </c>
      <c r="M2143" t="str">
        <f t="shared" ca="1" si="134"/>
        <v>12 years, 1 months</v>
      </c>
      <c r="N2143" s="6">
        <v>34</v>
      </c>
      <c r="O2143">
        <v>2</v>
      </c>
      <c r="P2143">
        <v>1</v>
      </c>
      <c r="Q2143">
        <f t="shared" si="135"/>
        <v>3</v>
      </c>
      <c r="R2143">
        <v>2</v>
      </c>
      <c r="S2143">
        <v>3</v>
      </c>
      <c r="T2143">
        <f>Table[[#This Row],[NumWebPurchases]]+Table[[#This Row],[NumStorePurchases]]</f>
        <v>5</v>
      </c>
    </row>
    <row r="2144" spans="1:20" ht="12.5">
      <c r="A2144" s="6">
        <v>2142</v>
      </c>
      <c r="B2144" s="6">
        <v>7124</v>
      </c>
      <c r="C2144" s="6">
        <v>1968</v>
      </c>
      <c r="D2144" s="6">
        <f t="shared" si="132"/>
        <v>57</v>
      </c>
      <c r="E2144" s="7" t="s">
        <v>9</v>
      </c>
      <c r="F2144" s="7" t="s">
        <v>15</v>
      </c>
      <c r="G2144" s="6">
        <v>36997</v>
      </c>
      <c r="H2144" s="6" t="str" cm="1">
        <f t="array" ref="H2144">_xlfn.IFS(
  G2144 &lt; 25000, "Low",
  AND(G2144 &gt;= 25000, G2144 &lt; 75000), "Medium",
  AND(G2144 &gt;= 75000, G2144 &lt; 150000), "High",
  G2144 &gt;= 150000, "Very High"
)</f>
        <v>Medium</v>
      </c>
      <c r="I2144" s="6">
        <v>1</v>
      </c>
      <c r="J2144" s="6">
        <v>1</v>
      </c>
      <c r="K2144" s="6">
        <f t="shared" si="133"/>
        <v>2</v>
      </c>
      <c r="L2144" s="8">
        <v>41306</v>
      </c>
      <c r="M2144" t="str">
        <f t="shared" ca="1" si="134"/>
        <v>13 years, 1 months</v>
      </c>
      <c r="N2144" s="6">
        <v>72</v>
      </c>
      <c r="O2144">
        <v>4</v>
      </c>
      <c r="P2144">
        <v>0</v>
      </c>
      <c r="Q2144">
        <f t="shared" si="135"/>
        <v>4</v>
      </c>
      <c r="R2144">
        <v>2</v>
      </c>
      <c r="S2144">
        <v>4</v>
      </c>
      <c r="T2144">
        <f>Table[[#This Row],[NumWebPurchases]]+Table[[#This Row],[NumStorePurchases]]</f>
        <v>6</v>
      </c>
    </row>
    <row r="2145" spans="1:20" ht="12.5">
      <c r="A2145" s="6">
        <v>2143</v>
      </c>
      <c r="B2145" s="6">
        <v>9727</v>
      </c>
      <c r="C2145" s="6">
        <v>1957</v>
      </c>
      <c r="D2145" s="6">
        <f t="shared" si="132"/>
        <v>68</v>
      </c>
      <c r="E2145" s="7" t="s">
        <v>9</v>
      </c>
      <c r="F2145" s="7" t="s">
        <v>13</v>
      </c>
      <c r="G2145" s="6">
        <v>23539</v>
      </c>
      <c r="H2145" s="6" t="str" cm="1">
        <f t="array" ref="H2145">_xlfn.IFS(
  G2145 &lt; 25000, "Low",
  AND(G2145 &gt;= 25000, G2145 &lt; 75000), "Medium",
  AND(G2145 &gt;= 75000, G2145 &lt; 150000), "High",
  G2145 &gt;= 150000, "Very High"
)</f>
        <v>Low</v>
      </c>
      <c r="I2145" s="6">
        <v>0</v>
      </c>
      <c r="J2145" s="6">
        <v>0</v>
      </c>
      <c r="K2145" s="6">
        <f t="shared" si="133"/>
        <v>0</v>
      </c>
      <c r="L2145" s="8">
        <v>41698</v>
      </c>
      <c r="M2145" t="str">
        <f t="shared" ca="1" si="134"/>
        <v>12 years, 0 months</v>
      </c>
      <c r="N2145" s="6">
        <v>13</v>
      </c>
      <c r="O2145">
        <v>24</v>
      </c>
      <c r="P2145">
        <v>1</v>
      </c>
      <c r="Q2145">
        <f t="shared" si="135"/>
        <v>25</v>
      </c>
      <c r="R2145">
        <v>2</v>
      </c>
      <c r="S2145">
        <v>4</v>
      </c>
      <c r="T2145">
        <f>Table[[#This Row],[NumWebPurchases]]+Table[[#This Row],[NumStorePurchases]]</f>
        <v>6</v>
      </c>
    </row>
    <row r="2146" spans="1:20" ht="12.5">
      <c r="A2146" s="6">
        <v>2144</v>
      </c>
      <c r="B2146" s="6">
        <v>5136</v>
      </c>
      <c r="C2146" s="6">
        <v>1973</v>
      </c>
      <c r="D2146" s="6">
        <f t="shared" si="132"/>
        <v>52</v>
      </c>
      <c r="E2146" s="7" t="s">
        <v>9</v>
      </c>
      <c r="F2146" s="7" t="s">
        <v>10</v>
      </c>
      <c r="G2146" s="6">
        <v>65333</v>
      </c>
      <c r="H2146" s="6" t="str" cm="1">
        <f t="array" ref="H2146">_xlfn.IFS(
  G2146 &lt; 25000, "Low",
  AND(G2146 &gt;= 25000, G2146 &lt; 75000), "Medium",
  AND(G2146 &gt;= 75000, G2146 &lt; 150000), "High",
  G2146 &gt;= 150000, "Very High"
)</f>
        <v>Medium</v>
      </c>
      <c r="I2146" s="6">
        <v>0</v>
      </c>
      <c r="J2146" s="6">
        <v>1</v>
      </c>
      <c r="K2146" s="6">
        <f t="shared" si="133"/>
        <v>1</v>
      </c>
      <c r="L2146" s="8">
        <v>41656</v>
      </c>
      <c r="M2146" t="str">
        <f t="shared" ca="1" si="134"/>
        <v>12 years, 1 months</v>
      </c>
      <c r="N2146" s="6">
        <v>58</v>
      </c>
      <c r="O2146">
        <v>7</v>
      </c>
      <c r="P2146">
        <v>15</v>
      </c>
      <c r="Q2146">
        <f t="shared" si="135"/>
        <v>22</v>
      </c>
      <c r="R2146">
        <v>9</v>
      </c>
      <c r="S2146">
        <v>8</v>
      </c>
      <c r="T2146">
        <f>Table[[#This Row],[NumWebPurchases]]+Table[[#This Row],[NumStorePurchases]]</f>
        <v>17</v>
      </c>
    </row>
    <row r="2147" spans="1:20" ht="12.5">
      <c r="A2147" s="6">
        <v>2145</v>
      </c>
      <c r="B2147" s="6">
        <v>9790</v>
      </c>
      <c r="C2147" s="6">
        <v>1957</v>
      </c>
      <c r="D2147" s="6">
        <f t="shared" si="132"/>
        <v>68</v>
      </c>
      <c r="E2147" s="7" t="s">
        <v>9</v>
      </c>
      <c r="F2147" s="7" t="s">
        <v>10</v>
      </c>
      <c r="G2147" s="6">
        <v>78499</v>
      </c>
      <c r="H2147" s="6" t="str" cm="1">
        <f t="array" ref="H2147">_xlfn.IFS(
  G2147 &lt; 25000, "Low",
  AND(G2147 &gt;= 25000, G2147 &lt; 75000), "Medium",
  AND(G2147 &gt;= 75000, G2147 &lt; 150000), "High",
  G2147 &gt;= 150000, "Very High"
)</f>
        <v>High</v>
      </c>
      <c r="I2147" s="6">
        <v>0</v>
      </c>
      <c r="J2147" s="6">
        <v>0</v>
      </c>
      <c r="K2147" s="6">
        <f t="shared" si="133"/>
        <v>0</v>
      </c>
      <c r="L2147" s="9">
        <v>41601</v>
      </c>
      <c r="M2147" t="str">
        <f t="shared" ca="1" si="134"/>
        <v>12 years, 3 months</v>
      </c>
      <c r="N2147" s="6">
        <v>12</v>
      </c>
      <c r="O2147">
        <v>72</v>
      </c>
      <c r="P2147">
        <v>36</v>
      </c>
      <c r="Q2147">
        <f t="shared" si="135"/>
        <v>108</v>
      </c>
      <c r="R2147">
        <v>11</v>
      </c>
      <c r="S2147">
        <v>4</v>
      </c>
      <c r="T2147">
        <f>Table[[#This Row],[NumWebPurchases]]+Table[[#This Row],[NumStorePurchases]]</f>
        <v>15</v>
      </c>
    </row>
    <row r="2148" spans="1:20" ht="12.5">
      <c r="A2148" s="6">
        <v>2146</v>
      </c>
      <c r="B2148" s="6">
        <v>1818</v>
      </c>
      <c r="C2148" s="6">
        <v>1971</v>
      </c>
      <c r="D2148" s="6">
        <f t="shared" si="132"/>
        <v>54</v>
      </c>
      <c r="E2148" s="7" t="s">
        <v>12</v>
      </c>
      <c r="F2148" s="7" t="s">
        <v>11</v>
      </c>
      <c r="G2148" s="6">
        <v>29732</v>
      </c>
      <c r="H2148" s="6" t="str" cm="1">
        <f t="array" ref="H2148">_xlfn.IFS(
  G2148 &lt; 25000, "Low",
  AND(G2148 &gt;= 25000, G2148 &lt; 75000), "Medium",
  AND(G2148 &gt;= 75000, G2148 &lt; 150000), "High",
  G2148 &gt;= 150000, "Very High"
)</f>
        <v>Medium</v>
      </c>
      <c r="I2148" s="6">
        <v>1</v>
      </c>
      <c r="J2148" s="6">
        <v>0</v>
      </c>
      <c r="K2148" s="6">
        <f t="shared" si="133"/>
        <v>1</v>
      </c>
      <c r="L2148" s="8">
        <v>41723</v>
      </c>
      <c r="M2148" t="str">
        <f t="shared" ca="1" si="134"/>
        <v>11 years, 11 months</v>
      </c>
      <c r="N2148" s="6">
        <v>23</v>
      </c>
      <c r="O2148">
        <v>0</v>
      </c>
      <c r="P2148">
        <v>1</v>
      </c>
      <c r="Q2148">
        <f t="shared" si="135"/>
        <v>1</v>
      </c>
      <c r="R2148">
        <v>2</v>
      </c>
      <c r="S2148">
        <v>2</v>
      </c>
      <c r="T2148">
        <f>Table[[#This Row],[NumWebPurchases]]+Table[[#This Row],[NumStorePurchases]]</f>
        <v>4</v>
      </c>
    </row>
    <row r="2149" spans="1:20" ht="12.5">
      <c r="A2149" s="6">
        <v>2147</v>
      </c>
      <c r="B2149" s="6">
        <v>1100</v>
      </c>
      <c r="C2149" s="6">
        <v>1960</v>
      </c>
      <c r="D2149" s="6">
        <f t="shared" si="132"/>
        <v>65</v>
      </c>
      <c r="E2149" s="7" t="s">
        <v>14</v>
      </c>
      <c r="F2149" s="7" t="s">
        <v>11</v>
      </c>
      <c r="G2149" s="6">
        <v>41275</v>
      </c>
      <c r="H2149" s="6" t="str" cm="1">
        <f t="array" ref="H2149">_xlfn.IFS(
  G2149 &lt; 25000, "Low",
  AND(G2149 &gt;= 25000, G2149 &lt; 75000), "Medium",
  AND(G2149 &gt;= 75000, G2149 &lt; 150000), "High",
  G2149 &gt;= 150000, "Very High"
)</f>
        <v>Medium</v>
      </c>
      <c r="I2149" s="6">
        <v>1</v>
      </c>
      <c r="J2149" s="6">
        <v>2</v>
      </c>
      <c r="K2149" s="6">
        <f t="shared" si="133"/>
        <v>3</v>
      </c>
      <c r="L2149" s="8">
        <v>41722</v>
      </c>
      <c r="M2149" t="str">
        <f t="shared" ca="1" si="134"/>
        <v>11 years, 11 months</v>
      </c>
      <c r="N2149" s="6">
        <v>33</v>
      </c>
      <c r="O2149">
        <v>4</v>
      </c>
      <c r="P2149">
        <v>2</v>
      </c>
      <c r="Q2149">
        <f t="shared" si="135"/>
        <v>6</v>
      </c>
      <c r="R2149">
        <v>3</v>
      </c>
      <c r="S2149">
        <v>3</v>
      </c>
      <c r="T2149">
        <f>Table[[#This Row],[NumWebPurchases]]+Table[[#This Row],[NumStorePurchases]]</f>
        <v>6</v>
      </c>
    </row>
    <row r="2150" spans="1:20" ht="12.5">
      <c r="A2150" s="6">
        <v>2148</v>
      </c>
      <c r="B2150" s="6">
        <v>7873</v>
      </c>
      <c r="C2150" s="6">
        <v>1973</v>
      </c>
      <c r="D2150" s="6">
        <f t="shared" si="132"/>
        <v>52</v>
      </c>
      <c r="E2150" s="7" t="s">
        <v>12</v>
      </c>
      <c r="F2150" s="7" t="s">
        <v>11</v>
      </c>
      <c r="G2150" s="6">
        <v>63516</v>
      </c>
      <c r="H2150" s="6" t="str" cm="1">
        <f t="array" ref="H2150">_xlfn.IFS(
  G2150 &lt; 25000, "Low",
  AND(G2150 &gt;= 25000, G2150 &lt; 75000), "Medium",
  AND(G2150 &gt;= 75000, G2150 &lt; 150000), "High",
  G2150 &gt;= 150000, "Very High"
)</f>
        <v>Medium</v>
      </c>
      <c r="I2150" s="6">
        <v>1</v>
      </c>
      <c r="J2150" s="6">
        <v>1</v>
      </c>
      <c r="K2150" s="6">
        <f t="shared" si="133"/>
        <v>2</v>
      </c>
      <c r="L2150" s="8">
        <v>41461</v>
      </c>
      <c r="M2150" t="str">
        <f t="shared" ca="1" si="134"/>
        <v>12 years, 8 months</v>
      </c>
      <c r="N2150" s="6">
        <v>30</v>
      </c>
      <c r="O2150">
        <v>11</v>
      </c>
      <c r="P2150">
        <v>14</v>
      </c>
      <c r="Q2150">
        <f t="shared" si="135"/>
        <v>25</v>
      </c>
      <c r="R2150">
        <v>4</v>
      </c>
      <c r="S2150">
        <v>7</v>
      </c>
      <c r="T2150">
        <f>Table[[#This Row],[NumWebPurchases]]+Table[[#This Row],[NumStorePurchases]]</f>
        <v>11</v>
      </c>
    </row>
    <row r="2151" spans="1:20" ht="12.5">
      <c r="A2151" s="6">
        <v>2149</v>
      </c>
      <c r="B2151" s="6">
        <v>10609</v>
      </c>
      <c r="C2151" s="6">
        <v>1962</v>
      </c>
      <c r="D2151" s="6">
        <f t="shared" si="132"/>
        <v>63</v>
      </c>
      <c r="E2151" s="7" t="s">
        <v>12</v>
      </c>
      <c r="F2151" s="7" t="s">
        <v>13</v>
      </c>
      <c r="G2151" s="6">
        <v>42769</v>
      </c>
      <c r="H2151" s="6" t="str" cm="1">
        <f t="array" ref="H2151">_xlfn.IFS(
  G2151 &lt; 25000, "Low",
  AND(G2151 &gt;= 25000, G2151 &lt; 75000), "Medium",
  AND(G2151 &gt;= 75000, G2151 &lt; 150000), "High",
  G2151 &gt;= 150000, "Very High"
)</f>
        <v>Medium</v>
      </c>
      <c r="I2151" s="6">
        <v>0</v>
      </c>
      <c r="J2151" s="6">
        <v>1</v>
      </c>
      <c r="K2151" s="6">
        <f t="shared" si="133"/>
        <v>1</v>
      </c>
      <c r="L2151" s="9">
        <v>41559</v>
      </c>
      <c r="M2151" t="str">
        <f t="shared" ca="1" si="134"/>
        <v>12 years, 4 months</v>
      </c>
      <c r="N2151" s="6">
        <v>15</v>
      </c>
      <c r="O2151">
        <v>0</v>
      </c>
      <c r="P2151">
        <v>1</v>
      </c>
      <c r="Q2151">
        <f t="shared" si="135"/>
        <v>1</v>
      </c>
      <c r="R2151">
        <v>1</v>
      </c>
      <c r="S2151">
        <v>4</v>
      </c>
      <c r="T2151">
        <f>Table[[#This Row],[NumWebPurchases]]+Table[[#This Row],[NumStorePurchases]]</f>
        <v>5</v>
      </c>
    </row>
    <row r="2152" spans="1:20" ht="12.5">
      <c r="A2152" s="6">
        <v>2150</v>
      </c>
      <c r="B2152" s="6">
        <v>6950</v>
      </c>
      <c r="C2152" s="6">
        <v>1958</v>
      </c>
      <c r="D2152" s="6">
        <f t="shared" si="132"/>
        <v>67</v>
      </c>
      <c r="E2152" s="7" t="s">
        <v>14</v>
      </c>
      <c r="F2152" s="7" t="s">
        <v>13</v>
      </c>
      <c r="G2152" s="6">
        <v>49572</v>
      </c>
      <c r="H2152" s="6" t="str" cm="1">
        <f t="array" ref="H2152">_xlfn.IFS(
  G2152 &lt; 25000, "Low",
  AND(G2152 &gt;= 25000, G2152 &lt; 75000), "Medium",
  AND(G2152 &gt;= 75000, G2152 &lt; 150000), "High",
  G2152 &gt;= 150000, "Very High"
)</f>
        <v>Medium</v>
      </c>
      <c r="I2152" s="6">
        <v>1</v>
      </c>
      <c r="J2152" s="6">
        <v>1</v>
      </c>
      <c r="K2152" s="6">
        <f t="shared" si="133"/>
        <v>2</v>
      </c>
      <c r="L2152" s="9">
        <v>41623</v>
      </c>
      <c r="M2152" t="str">
        <f t="shared" ca="1" si="134"/>
        <v>12 years, 2 months</v>
      </c>
      <c r="N2152" s="6">
        <v>25</v>
      </c>
      <c r="O2152">
        <v>1</v>
      </c>
      <c r="P2152">
        <v>1</v>
      </c>
      <c r="Q2152">
        <f t="shared" si="135"/>
        <v>2</v>
      </c>
      <c r="R2152">
        <v>2</v>
      </c>
      <c r="S2152">
        <v>3</v>
      </c>
      <c r="T2152">
        <f>Table[[#This Row],[NumWebPurchases]]+Table[[#This Row],[NumStorePurchases]]</f>
        <v>5</v>
      </c>
    </row>
    <row r="2153" spans="1:20" ht="12.5">
      <c r="A2153" s="6">
        <v>2151</v>
      </c>
      <c r="B2153" s="6">
        <v>7233</v>
      </c>
      <c r="C2153" s="6">
        <v>1972</v>
      </c>
      <c r="D2153" s="6">
        <f t="shared" si="132"/>
        <v>53</v>
      </c>
      <c r="E2153" s="7" t="s">
        <v>9</v>
      </c>
      <c r="F2153" s="7" t="s">
        <v>13</v>
      </c>
      <c r="G2153" s="6">
        <v>69209</v>
      </c>
      <c r="H2153" s="6" t="str" cm="1">
        <f t="array" ref="H2153">_xlfn.IFS(
  G2153 &lt; 25000, "Low",
  AND(G2153 &gt;= 25000, G2153 &lt; 75000), "Medium",
  AND(G2153 &gt;= 75000, G2153 &lt; 150000), "High",
  G2153 &gt;= 150000, "Very High"
)</f>
        <v>Medium</v>
      </c>
      <c r="I2153" s="6">
        <v>0</v>
      </c>
      <c r="J2153" s="6">
        <v>0</v>
      </c>
      <c r="K2153" s="6">
        <f t="shared" si="133"/>
        <v>0</v>
      </c>
      <c r="L2153" s="8">
        <v>41169</v>
      </c>
      <c r="M2153" t="str">
        <f t="shared" ca="1" si="134"/>
        <v>13 years, 5 months</v>
      </c>
      <c r="N2153" s="6">
        <v>4</v>
      </c>
      <c r="O2153">
        <v>32</v>
      </c>
      <c r="P2153">
        <v>48</v>
      </c>
      <c r="Q2153">
        <f t="shared" si="135"/>
        <v>80</v>
      </c>
      <c r="R2153">
        <v>5</v>
      </c>
      <c r="S2153">
        <v>6</v>
      </c>
      <c r="T2153">
        <f>Table[[#This Row],[NumWebPurchases]]+Table[[#This Row],[NumStorePurchases]]</f>
        <v>11</v>
      </c>
    </row>
    <row r="2154" spans="1:20" ht="12.5">
      <c r="A2154" s="6">
        <v>2152</v>
      </c>
      <c r="B2154" s="6">
        <v>9481</v>
      </c>
      <c r="C2154" s="6">
        <v>1976</v>
      </c>
      <c r="D2154" s="6">
        <f t="shared" si="132"/>
        <v>49</v>
      </c>
      <c r="E2154" s="7" t="s">
        <v>9</v>
      </c>
      <c r="F2154" s="7" t="s">
        <v>13</v>
      </c>
      <c r="G2154" s="6">
        <v>17148</v>
      </c>
      <c r="H2154" s="6" t="str" cm="1">
        <f t="array" ref="H2154">_xlfn.IFS(
  G2154 &lt; 25000, "Low",
  AND(G2154 &gt;= 25000, G2154 &lt; 75000), "Medium",
  AND(G2154 &gt;= 75000, G2154 &lt; 150000), "High",
  G2154 &gt;= 150000, "Very High"
)</f>
        <v>Low</v>
      </c>
      <c r="I2154" s="6">
        <v>1</v>
      </c>
      <c r="J2154" s="6">
        <v>0</v>
      </c>
      <c r="K2154" s="6">
        <f t="shared" si="133"/>
        <v>1</v>
      </c>
      <c r="L2154" s="8">
        <v>41667</v>
      </c>
      <c r="M2154" t="str">
        <f t="shared" ca="1" si="134"/>
        <v>12 years, 1 months</v>
      </c>
      <c r="N2154" s="6">
        <v>80</v>
      </c>
      <c r="O2154">
        <v>9</v>
      </c>
      <c r="P2154">
        <v>10</v>
      </c>
      <c r="Q2154">
        <f t="shared" si="135"/>
        <v>19</v>
      </c>
      <c r="R2154">
        <v>3</v>
      </c>
      <c r="S2154">
        <v>3</v>
      </c>
      <c r="T2154">
        <f>Table[[#This Row],[NumWebPurchases]]+Table[[#This Row],[NumStorePurchases]]</f>
        <v>6</v>
      </c>
    </row>
    <row r="2155" spans="1:20" ht="12.5">
      <c r="A2155" s="6">
        <v>2153</v>
      </c>
      <c r="B2155" s="6">
        <v>7699</v>
      </c>
      <c r="C2155" s="6">
        <v>1969</v>
      </c>
      <c r="D2155" s="6">
        <f t="shared" si="132"/>
        <v>56</v>
      </c>
      <c r="E2155" s="7" t="s">
        <v>9</v>
      </c>
      <c r="F2155" s="7" t="s">
        <v>18</v>
      </c>
      <c r="G2155" s="6">
        <v>40590</v>
      </c>
      <c r="H2155" s="6" t="str" cm="1">
        <f t="array" ref="H2155">_xlfn.IFS(
  G2155 &lt; 25000, "Low",
  AND(G2155 &gt;= 25000, G2155 &lt; 75000), "Medium",
  AND(G2155 &gt;= 75000, G2155 &lt; 150000), "High",
  G2155 &gt;= 150000, "Very High"
)</f>
        <v>Medium</v>
      </c>
      <c r="I2155" s="6">
        <v>1</v>
      </c>
      <c r="J2155" s="6">
        <v>1</v>
      </c>
      <c r="K2155" s="6">
        <f t="shared" si="133"/>
        <v>2</v>
      </c>
      <c r="L2155" s="8">
        <v>41549</v>
      </c>
      <c r="M2155" t="str">
        <f t="shared" ca="1" si="134"/>
        <v>12 years, 5 months</v>
      </c>
      <c r="N2155" s="6">
        <v>30</v>
      </c>
      <c r="O2155">
        <v>0</v>
      </c>
      <c r="P2155">
        <v>11</v>
      </c>
      <c r="Q2155">
        <f t="shared" si="135"/>
        <v>11</v>
      </c>
      <c r="R2155">
        <v>3</v>
      </c>
      <c r="S2155">
        <v>3</v>
      </c>
      <c r="T2155">
        <f>Table[[#This Row],[NumWebPurchases]]+Table[[#This Row],[NumStorePurchases]]</f>
        <v>6</v>
      </c>
    </row>
    <row r="2156" spans="1:20" ht="12.5">
      <c r="A2156" s="6">
        <v>2154</v>
      </c>
      <c r="B2156" s="6">
        <v>2711</v>
      </c>
      <c r="C2156" s="6">
        <v>1976</v>
      </c>
      <c r="D2156" s="6">
        <f t="shared" si="132"/>
        <v>49</v>
      </c>
      <c r="E2156" s="7" t="s">
        <v>14</v>
      </c>
      <c r="F2156" s="7" t="s">
        <v>11</v>
      </c>
      <c r="G2156" s="6">
        <v>30560</v>
      </c>
      <c r="H2156" s="6" t="str" cm="1">
        <f t="array" ref="H2156">_xlfn.IFS(
  G2156 &lt; 25000, "Low",
  AND(G2156 &gt;= 25000, G2156 &lt; 75000), "Medium",
  AND(G2156 &gt;= 75000, G2156 &lt; 150000), "High",
  G2156 &gt;= 150000, "Very High"
)</f>
        <v>Medium</v>
      </c>
      <c r="I2156" s="6">
        <v>1</v>
      </c>
      <c r="J2156" s="6">
        <v>0</v>
      </c>
      <c r="K2156" s="6">
        <f t="shared" si="133"/>
        <v>1</v>
      </c>
      <c r="L2156" s="8">
        <v>41452</v>
      </c>
      <c r="M2156" t="str">
        <f t="shared" ca="1" si="134"/>
        <v>12 years, 8 months</v>
      </c>
      <c r="N2156" s="6">
        <v>6</v>
      </c>
      <c r="O2156">
        <v>1</v>
      </c>
      <c r="P2156">
        <v>5</v>
      </c>
      <c r="Q2156">
        <f t="shared" si="135"/>
        <v>6</v>
      </c>
      <c r="R2156">
        <v>1</v>
      </c>
      <c r="S2156">
        <v>3</v>
      </c>
      <c r="T2156">
        <f>Table[[#This Row],[NumWebPurchases]]+Table[[#This Row],[NumStorePurchases]]</f>
        <v>4</v>
      </c>
    </row>
    <row r="2157" spans="1:20" ht="12.5">
      <c r="A2157" s="6">
        <v>2155</v>
      </c>
      <c r="B2157" s="6">
        <v>8933</v>
      </c>
      <c r="C2157" s="6">
        <v>1983</v>
      </c>
      <c r="D2157" s="6">
        <f t="shared" si="132"/>
        <v>42</v>
      </c>
      <c r="E2157" s="7" t="s">
        <v>17</v>
      </c>
      <c r="F2157" s="7" t="s">
        <v>13</v>
      </c>
      <c r="G2157" s="6">
        <v>32146</v>
      </c>
      <c r="H2157" s="6" t="str" cm="1">
        <f t="array" ref="H2157">_xlfn.IFS(
  G2157 &lt; 25000, "Low",
  AND(G2157 &gt;= 25000, G2157 &lt; 75000), "Medium",
  AND(G2157 &gt;= 75000, G2157 &lt; 150000), "High",
  G2157 &gt;= 150000, "Very High"
)</f>
        <v>Medium</v>
      </c>
      <c r="I2157" s="6">
        <v>1</v>
      </c>
      <c r="J2157" s="6">
        <v>0</v>
      </c>
      <c r="K2157" s="6">
        <f t="shared" si="133"/>
        <v>1</v>
      </c>
      <c r="L2157" s="8">
        <v>41771</v>
      </c>
      <c r="M2157" t="str">
        <f t="shared" ca="1" si="134"/>
        <v>11 years, 9 months</v>
      </c>
      <c r="N2157" s="6">
        <v>16</v>
      </c>
      <c r="O2157">
        <v>3</v>
      </c>
      <c r="P2157">
        <v>7</v>
      </c>
      <c r="Q2157">
        <f t="shared" si="135"/>
        <v>10</v>
      </c>
      <c r="R2157">
        <v>2</v>
      </c>
      <c r="S2157">
        <v>4</v>
      </c>
      <c r="T2157">
        <f>Table[[#This Row],[NumWebPurchases]]+Table[[#This Row],[NumStorePurchases]]</f>
        <v>6</v>
      </c>
    </row>
    <row r="2158" spans="1:20" ht="12.5">
      <c r="A2158" s="6">
        <v>2156</v>
      </c>
      <c r="B2158" s="6">
        <v>8726</v>
      </c>
      <c r="C2158" s="6">
        <v>1964</v>
      </c>
      <c r="D2158" s="6">
        <f t="shared" si="132"/>
        <v>61</v>
      </c>
      <c r="E2158" s="7" t="s">
        <v>17</v>
      </c>
      <c r="F2158" s="7" t="s">
        <v>15</v>
      </c>
      <c r="G2158" s="6">
        <v>41713</v>
      </c>
      <c r="H2158" s="6" t="str" cm="1">
        <f t="array" ref="H2158">_xlfn.IFS(
  G2158 &lt; 25000, "Low",
  AND(G2158 &gt;= 25000, G2158 &lt; 75000), "Medium",
  AND(G2158 &gt;= 75000, G2158 &lt; 150000), "High",
  G2158 &gt;= 150000, "Very High"
)</f>
        <v>Medium</v>
      </c>
      <c r="I2158" s="6">
        <v>1</v>
      </c>
      <c r="J2158" s="6">
        <v>1</v>
      </c>
      <c r="K2158" s="6">
        <f t="shared" si="133"/>
        <v>2</v>
      </c>
      <c r="L2158" s="8">
        <v>41758</v>
      </c>
      <c r="M2158" t="str">
        <f t="shared" ca="1" si="134"/>
        <v>11 years, 10 months</v>
      </c>
      <c r="N2158" s="6">
        <v>57</v>
      </c>
      <c r="O2158">
        <v>8</v>
      </c>
      <c r="P2158">
        <v>10</v>
      </c>
      <c r="Q2158">
        <f t="shared" si="135"/>
        <v>18</v>
      </c>
      <c r="R2158">
        <v>3</v>
      </c>
      <c r="S2158">
        <v>4</v>
      </c>
      <c r="T2158">
        <f>Table[[#This Row],[NumWebPurchases]]+Table[[#This Row],[NumStorePurchases]]</f>
        <v>7</v>
      </c>
    </row>
    <row r="2159" spans="1:20" ht="12.5">
      <c r="A2159" s="6">
        <v>2157</v>
      </c>
      <c r="B2159" s="6">
        <v>1515</v>
      </c>
      <c r="C2159" s="6">
        <v>1975</v>
      </c>
      <c r="D2159" s="6">
        <f t="shared" si="132"/>
        <v>50</v>
      </c>
      <c r="E2159" s="7" t="s">
        <v>14</v>
      </c>
      <c r="F2159" s="7" t="s">
        <v>11</v>
      </c>
      <c r="G2159" s="6">
        <v>34176</v>
      </c>
      <c r="H2159" s="6" t="str" cm="1">
        <f t="array" ref="H2159">_xlfn.IFS(
  G2159 &lt; 25000, "Low",
  AND(G2159 &gt;= 25000, G2159 &lt; 75000), "Medium",
  AND(G2159 &gt;= 75000, G2159 &lt; 150000), "High",
  G2159 &gt;= 150000, "Very High"
)</f>
        <v>Medium</v>
      </c>
      <c r="I2159" s="6">
        <v>0</v>
      </c>
      <c r="J2159" s="6">
        <v>1</v>
      </c>
      <c r="K2159" s="6">
        <f t="shared" si="133"/>
        <v>1</v>
      </c>
      <c r="L2159" s="8">
        <v>41661</v>
      </c>
      <c r="M2159" t="str">
        <f t="shared" ca="1" si="134"/>
        <v>12 years, 1 months</v>
      </c>
      <c r="N2159" s="6">
        <v>9</v>
      </c>
      <c r="O2159">
        <v>2</v>
      </c>
      <c r="P2159">
        <v>2</v>
      </c>
      <c r="Q2159">
        <f t="shared" si="135"/>
        <v>4</v>
      </c>
      <c r="R2159">
        <v>1</v>
      </c>
      <c r="S2159">
        <v>3</v>
      </c>
      <c r="T2159">
        <f>Table[[#This Row],[NumWebPurchases]]+Table[[#This Row],[NumStorePurchases]]</f>
        <v>4</v>
      </c>
    </row>
    <row r="2160" spans="1:20" ht="12.5">
      <c r="A2160" s="6">
        <v>2158</v>
      </c>
      <c r="B2160" s="6">
        <v>5186</v>
      </c>
      <c r="C2160" s="6">
        <v>1955</v>
      </c>
      <c r="D2160" s="6">
        <f t="shared" si="132"/>
        <v>70</v>
      </c>
      <c r="E2160" s="7" t="s">
        <v>12</v>
      </c>
      <c r="F2160" s="7" t="s">
        <v>13</v>
      </c>
      <c r="G2160" s="6">
        <v>58482</v>
      </c>
      <c r="H2160" s="6" t="str" cm="1">
        <f t="array" ref="H2160">_xlfn.IFS(
  G2160 &lt; 25000, "Low",
  AND(G2160 &gt;= 25000, G2160 &lt; 75000), "Medium",
  AND(G2160 &gt;= 75000, G2160 &lt; 150000), "High",
  G2160 &gt;= 150000, "Very High"
)</f>
        <v>Medium</v>
      </c>
      <c r="I2160" s="6">
        <v>0</v>
      </c>
      <c r="J2160" s="6">
        <v>1</v>
      </c>
      <c r="K2160" s="6">
        <f t="shared" si="133"/>
        <v>1</v>
      </c>
      <c r="L2160" s="8">
        <v>41710</v>
      </c>
      <c r="M2160" t="str">
        <f t="shared" ca="1" si="134"/>
        <v>11 years, 11 months</v>
      </c>
      <c r="N2160" s="6">
        <v>59</v>
      </c>
      <c r="O2160">
        <v>7</v>
      </c>
      <c r="P2160">
        <v>7</v>
      </c>
      <c r="Q2160">
        <f t="shared" si="135"/>
        <v>14</v>
      </c>
      <c r="R2160">
        <v>7</v>
      </c>
      <c r="S2160">
        <v>9</v>
      </c>
      <c r="T2160">
        <f>Table[[#This Row],[NumWebPurchases]]+Table[[#This Row],[NumStorePurchases]]</f>
        <v>16</v>
      </c>
    </row>
    <row r="2161" spans="1:20" ht="12.5">
      <c r="A2161" s="6">
        <v>2159</v>
      </c>
      <c r="B2161" s="6">
        <v>10157</v>
      </c>
      <c r="C2161" s="6">
        <v>1965</v>
      </c>
      <c r="D2161" s="6">
        <f t="shared" si="132"/>
        <v>60</v>
      </c>
      <c r="E2161" s="7" t="s">
        <v>9</v>
      </c>
      <c r="F2161" s="7" t="s">
        <v>10</v>
      </c>
      <c r="G2161" s="6">
        <v>59686</v>
      </c>
      <c r="H2161" s="6" t="str" cm="1">
        <f t="array" ref="H2161">_xlfn.IFS(
  G2161 &lt; 25000, "Low",
  AND(G2161 &gt;= 25000, G2161 &lt; 75000), "Medium",
  AND(G2161 &gt;= 75000, G2161 &lt; 150000), "High",
  G2161 &gt;= 150000, "Very High"
)</f>
        <v>Medium</v>
      </c>
      <c r="I2161" s="6">
        <v>0</v>
      </c>
      <c r="J2161" s="6">
        <v>1</v>
      </c>
      <c r="K2161" s="6">
        <f t="shared" si="133"/>
        <v>1</v>
      </c>
      <c r="L2161" s="8">
        <v>41664</v>
      </c>
      <c r="M2161" t="str">
        <f t="shared" ca="1" si="134"/>
        <v>12 years, 1 months</v>
      </c>
      <c r="N2161" s="6">
        <v>78</v>
      </c>
      <c r="O2161">
        <v>15</v>
      </c>
      <c r="P2161">
        <v>42</v>
      </c>
      <c r="Q2161">
        <f t="shared" si="135"/>
        <v>57</v>
      </c>
      <c r="R2161">
        <v>4</v>
      </c>
      <c r="S2161">
        <v>6</v>
      </c>
      <c r="T2161">
        <f>Table[[#This Row],[NumWebPurchases]]+Table[[#This Row],[NumStorePurchases]]</f>
        <v>10</v>
      </c>
    </row>
    <row r="2162" spans="1:20" ht="12.5">
      <c r="A2162" s="6">
        <v>2160</v>
      </c>
      <c r="B2162" s="6">
        <v>5667</v>
      </c>
      <c r="C2162" s="6">
        <v>1964</v>
      </c>
      <c r="D2162" s="6">
        <f t="shared" si="132"/>
        <v>61</v>
      </c>
      <c r="E2162" s="7" t="s">
        <v>12</v>
      </c>
      <c r="F2162" s="7" t="s">
        <v>13</v>
      </c>
      <c r="G2162" s="6">
        <v>60896</v>
      </c>
      <c r="H2162" s="6" t="str" cm="1">
        <f t="array" ref="H2162">_xlfn.IFS(
  G2162 &lt; 25000, "Low",
  AND(G2162 &gt;= 25000, G2162 &lt; 75000), "Medium",
  AND(G2162 &gt;= 75000, G2162 &lt; 150000), "High",
  G2162 &gt;= 150000, "Very High"
)</f>
        <v>Medium</v>
      </c>
      <c r="I2162" s="6">
        <v>0</v>
      </c>
      <c r="J2162" s="6">
        <v>1</v>
      </c>
      <c r="K2162" s="6">
        <f t="shared" si="133"/>
        <v>1</v>
      </c>
      <c r="L2162" s="9">
        <v>41193</v>
      </c>
      <c r="M2162" t="str">
        <f t="shared" ca="1" si="134"/>
        <v>13 years, 4 months</v>
      </c>
      <c r="N2162" s="6">
        <v>90</v>
      </c>
      <c r="O2162">
        <v>30</v>
      </c>
      <c r="P2162">
        <v>46</v>
      </c>
      <c r="Q2162">
        <f t="shared" si="135"/>
        <v>76</v>
      </c>
      <c r="R2162">
        <v>9</v>
      </c>
      <c r="S2162">
        <v>4</v>
      </c>
      <c r="T2162">
        <f>Table[[#This Row],[NumWebPurchases]]+Table[[#This Row],[NumStorePurchases]]</f>
        <v>13</v>
      </c>
    </row>
    <row r="2163" spans="1:20" ht="12.5">
      <c r="A2163" s="6">
        <v>2161</v>
      </c>
      <c r="B2163" s="6">
        <v>902</v>
      </c>
      <c r="C2163" s="6">
        <v>1980</v>
      </c>
      <c r="D2163" s="6">
        <f t="shared" si="132"/>
        <v>45</v>
      </c>
      <c r="E2163" s="7" t="s">
        <v>9</v>
      </c>
      <c r="F2163" s="7" t="s">
        <v>11</v>
      </c>
      <c r="G2163" s="6">
        <v>62994</v>
      </c>
      <c r="H2163" s="6" t="str" cm="1">
        <f t="array" ref="H2163">_xlfn.IFS(
  G2163 &lt; 25000, "Low",
  AND(G2163 &gt;= 25000, G2163 &lt; 75000), "Medium",
  AND(G2163 &gt;= 75000, G2163 &lt; 150000), "High",
  G2163 &gt;= 150000, "Very High"
)</f>
        <v>Medium</v>
      </c>
      <c r="I2163" s="6">
        <v>1</v>
      </c>
      <c r="J2163" s="6">
        <v>0</v>
      </c>
      <c r="K2163" s="6">
        <f t="shared" si="133"/>
        <v>1</v>
      </c>
      <c r="L2163" s="8">
        <v>41702</v>
      </c>
      <c r="M2163" t="str">
        <f t="shared" ca="1" si="134"/>
        <v>12 years, 0 months</v>
      </c>
      <c r="N2163" s="6">
        <v>74</v>
      </c>
      <c r="O2163">
        <v>12</v>
      </c>
      <c r="P2163">
        <v>12</v>
      </c>
      <c r="Q2163">
        <f t="shared" si="135"/>
        <v>24</v>
      </c>
      <c r="R2163">
        <v>6</v>
      </c>
      <c r="S2163">
        <v>4</v>
      </c>
      <c r="T2163">
        <f>Table[[#This Row],[NumWebPurchases]]+Table[[#This Row],[NumStorePurchases]]</f>
        <v>10</v>
      </c>
    </row>
    <row r="2164" spans="1:20" ht="12.5">
      <c r="A2164" s="6">
        <v>2162</v>
      </c>
      <c r="B2164" s="6">
        <v>977</v>
      </c>
      <c r="C2164" s="6">
        <v>1957</v>
      </c>
      <c r="D2164" s="6">
        <f t="shared" si="132"/>
        <v>68</v>
      </c>
      <c r="E2164" s="7" t="s">
        <v>9</v>
      </c>
      <c r="F2164" s="7" t="s">
        <v>11</v>
      </c>
      <c r="G2164" s="6">
        <v>47320</v>
      </c>
      <c r="H2164" s="6" t="str" cm="1">
        <f t="array" ref="H2164">_xlfn.IFS(
  G2164 &lt; 25000, "Low",
  AND(G2164 &gt;= 25000, G2164 &lt; 75000), "Medium",
  AND(G2164 &gt;= 75000, G2164 &lt; 150000), "High",
  G2164 &gt;= 150000, "Very High"
)</f>
        <v>Medium</v>
      </c>
      <c r="I2164" s="6">
        <v>0</v>
      </c>
      <c r="J2164" s="6">
        <v>1</v>
      </c>
      <c r="K2164" s="6">
        <f t="shared" si="133"/>
        <v>1</v>
      </c>
      <c r="L2164" s="8">
        <v>41487</v>
      </c>
      <c r="M2164" t="str">
        <f t="shared" ca="1" si="134"/>
        <v>12 years, 7 months</v>
      </c>
      <c r="N2164" s="6">
        <v>10</v>
      </c>
      <c r="O2164">
        <v>19</v>
      </c>
      <c r="P2164">
        <v>15</v>
      </c>
      <c r="Q2164">
        <f t="shared" si="135"/>
        <v>34</v>
      </c>
      <c r="R2164">
        <v>5</v>
      </c>
      <c r="S2164">
        <v>8</v>
      </c>
      <c r="T2164">
        <f>Table[[#This Row],[NumWebPurchases]]+Table[[#This Row],[NumStorePurchases]]</f>
        <v>13</v>
      </c>
    </row>
    <row r="2165" spans="1:20" ht="12.5">
      <c r="A2165" s="6">
        <v>2163</v>
      </c>
      <c r="B2165" s="6">
        <v>7313</v>
      </c>
      <c r="C2165" s="6">
        <v>1949</v>
      </c>
      <c r="D2165" s="6">
        <f t="shared" si="132"/>
        <v>76</v>
      </c>
      <c r="E2165" s="7" t="s">
        <v>17</v>
      </c>
      <c r="F2165" s="7" t="s">
        <v>18</v>
      </c>
      <c r="G2165" s="6">
        <v>74859</v>
      </c>
      <c r="H2165" s="6" t="str" cm="1">
        <f t="array" ref="H2165">_xlfn.IFS(
  G2165 &lt; 25000, "Low",
  AND(G2165 &gt;= 25000, G2165 &lt; 75000), "Medium",
  AND(G2165 &gt;= 75000, G2165 &lt; 150000), "High",
  G2165 &gt;= 150000, "Very High"
)</f>
        <v>Medium</v>
      </c>
      <c r="I2165" s="6">
        <v>0</v>
      </c>
      <c r="J2165" s="6">
        <v>0</v>
      </c>
      <c r="K2165" s="6">
        <f t="shared" si="133"/>
        <v>0</v>
      </c>
      <c r="L2165" s="8">
        <v>41428</v>
      </c>
      <c r="M2165" t="str">
        <f t="shared" ca="1" si="134"/>
        <v>12 years, 9 months</v>
      </c>
      <c r="N2165" s="6">
        <v>63</v>
      </c>
      <c r="O2165">
        <v>73</v>
      </c>
      <c r="P2165">
        <v>102</v>
      </c>
      <c r="Q2165">
        <f t="shared" si="135"/>
        <v>175</v>
      </c>
      <c r="R2165">
        <v>6</v>
      </c>
      <c r="S2165">
        <v>11</v>
      </c>
      <c r="T2165">
        <f>Table[[#This Row],[NumWebPurchases]]+Table[[#This Row],[NumStorePurchases]]</f>
        <v>17</v>
      </c>
    </row>
    <row r="2166" spans="1:20" ht="12.5">
      <c r="A2166" s="6">
        <v>2164</v>
      </c>
      <c r="B2166" s="6">
        <v>7600</v>
      </c>
      <c r="C2166" s="6">
        <v>1992</v>
      </c>
      <c r="D2166" s="6">
        <f t="shared" si="132"/>
        <v>33</v>
      </c>
      <c r="E2166" s="7" t="s">
        <v>16</v>
      </c>
      <c r="F2166" s="7" t="s">
        <v>10</v>
      </c>
      <c r="G2166" s="6">
        <v>15253</v>
      </c>
      <c r="H2166" s="6" t="str" cm="1">
        <f t="array" ref="H2166">_xlfn.IFS(
  G2166 &lt; 25000, "Low",
  AND(G2166 &gt;= 25000, G2166 &lt; 75000), "Medium",
  AND(G2166 &gt;= 75000, G2166 &lt; 150000), "High",
  G2166 &gt;= 150000, "Very High"
)</f>
        <v>Low</v>
      </c>
      <c r="I2166" s="6">
        <v>1</v>
      </c>
      <c r="J2166" s="6">
        <v>0</v>
      </c>
      <c r="K2166" s="6">
        <f t="shared" si="133"/>
        <v>1</v>
      </c>
      <c r="L2166" s="9">
        <v>41575</v>
      </c>
      <c r="M2166" t="str">
        <f t="shared" ca="1" si="134"/>
        <v>12 years, 4 months</v>
      </c>
      <c r="N2166" s="6">
        <v>13</v>
      </c>
      <c r="O2166">
        <v>3</v>
      </c>
      <c r="P2166">
        <v>1</v>
      </c>
      <c r="Q2166">
        <f t="shared" si="135"/>
        <v>4</v>
      </c>
      <c r="R2166">
        <v>1</v>
      </c>
      <c r="S2166">
        <v>3</v>
      </c>
      <c r="T2166">
        <f>Table[[#This Row],[NumWebPurchases]]+Table[[#This Row],[NumStorePurchases]]</f>
        <v>4</v>
      </c>
    </row>
    <row r="2167" spans="1:20" ht="12.5">
      <c r="A2167" s="6">
        <v>2165</v>
      </c>
      <c r="B2167" s="6">
        <v>9706</v>
      </c>
      <c r="C2167" s="6">
        <v>1974</v>
      </c>
      <c r="D2167" s="6">
        <f t="shared" si="132"/>
        <v>51</v>
      </c>
      <c r="E2167" s="7" t="s">
        <v>12</v>
      </c>
      <c r="F2167" s="7" t="s">
        <v>10</v>
      </c>
      <c r="G2167" s="6">
        <v>31560</v>
      </c>
      <c r="H2167" s="6" t="str" cm="1">
        <f t="array" ref="H2167">_xlfn.IFS(
  G2167 &lt; 25000, "Low",
  AND(G2167 &gt;= 25000, G2167 &lt; 75000), "Medium",
  AND(G2167 &gt;= 75000, G2167 &lt; 150000), "High",
  G2167 &gt;= 150000, "Very High"
)</f>
        <v>Medium</v>
      </c>
      <c r="I2167" s="6">
        <v>1</v>
      </c>
      <c r="J2167" s="6">
        <v>0</v>
      </c>
      <c r="K2167" s="6">
        <f t="shared" si="133"/>
        <v>1</v>
      </c>
      <c r="L2167" s="8">
        <v>41449</v>
      </c>
      <c r="M2167" t="str">
        <f t="shared" ca="1" si="134"/>
        <v>12 years, 8 months</v>
      </c>
      <c r="N2167" s="6">
        <v>98</v>
      </c>
      <c r="O2167">
        <v>1</v>
      </c>
      <c r="P2167">
        <v>0</v>
      </c>
      <c r="Q2167">
        <f t="shared" si="135"/>
        <v>1</v>
      </c>
      <c r="R2167">
        <v>2</v>
      </c>
      <c r="S2167">
        <v>3</v>
      </c>
      <c r="T2167">
        <f>Table[[#This Row],[NumWebPurchases]]+Table[[#This Row],[NumStorePurchases]]</f>
        <v>5</v>
      </c>
    </row>
    <row r="2168" spans="1:20" ht="12.5">
      <c r="A2168" s="6">
        <v>2166</v>
      </c>
      <c r="B2168" s="6">
        <v>2429</v>
      </c>
      <c r="C2168" s="6">
        <v>1954</v>
      </c>
      <c r="D2168" s="6">
        <f t="shared" si="132"/>
        <v>71</v>
      </c>
      <c r="E2168" s="7" t="s">
        <v>9</v>
      </c>
      <c r="F2168" s="7" t="s">
        <v>15</v>
      </c>
      <c r="G2168" s="6">
        <v>72071</v>
      </c>
      <c r="H2168" s="6" t="str" cm="1">
        <f t="array" ref="H2168">_xlfn.IFS(
  G2168 &lt; 25000, "Low",
  AND(G2168 &gt;= 25000, G2168 &lt; 75000), "Medium",
  AND(G2168 &gt;= 75000, G2168 &lt; 150000), "High",
  G2168 &gt;= 150000, "Very High"
)</f>
        <v>Medium</v>
      </c>
      <c r="I2168" s="6">
        <v>0</v>
      </c>
      <c r="J2168" s="6">
        <v>1</v>
      </c>
      <c r="K2168" s="6">
        <f t="shared" si="133"/>
        <v>1</v>
      </c>
      <c r="L2168" s="8">
        <v>41319</v>
      </c>
      <c r="M2168" t="str">
        <f t="shared" ca="1" si="134"/>
        <v>13 years, 0 months</v>
      </c>
      <c r="N2168" s="6">
        <v>4</v>
      </c>
      <c r="O2168">
        <v>69</v>
      </c>
      <c r="P2168">
        <v>138</v>
      </c>
      <c r="Q2168">
        <f t="shared" si="135"/>
        <v>207</v>
      </c>
      <c r="R2168">
        <v>5</v>
      </c>
      <c r="S2168">
        <v>8</v>
      </c>
      <c r="T2168">
        <f>Table[[#This Row],[NumWebPurchases]]+Table[[#This Row],[NumStorePurchases]]</f>
        <v>13</v>
      </c>
    </row>
    <row r="2169" spans="1:20" ht="12.5">
      <c r="A2169" s="6">
        <v>2167</v>
      </c>
      <c r="B2169" s="6">
        <v>3520</v>
      </c>
      <c r="C2169" s="6">
        <v>1990</v>
      </c>
      <c r="D2169" s="6">
        <f t="shared" si="132"/>
        <v>35</v>
      </c>
      <c r="E2169" s="7" t="s">
        <v>14</v>
      </c>
      <c r="F2169" s="7" t="s">
        <v>10</v>
      </c>
      <c r="G2169" s="6">
        <v>91172</v>
      </c>
      <c r="H2169" s="6" t="str" cm="1">
        <f t="array" ref="H2169">_xlfn.IFS(
  G2169 &lt; 25000, "Low",
  AND(G2169 &gt;= 25000, G2169 &lt; 75000), "Medium",
  AND(G2169 &gt;= 75000, G2169 &lt; 150000), "High",
  G2169 &gt;= 150000, "Very High"
)</f>
        <v>High</v>
      </c>
      <c r="I2169" s="6">
        <v>0</v>
      </c>
      <c r="J2169" s="6">
        <v>0</v>
      </c>
      <c r="K2169" s="6">
        <f t="shared" si="133"/>
        <v>0</v>
      </c>
      <c r="L2169" s="8">
        <v>41360</v>
      </c>
      <c r="M2169" t="str">
        <f t="shared" ca="1" si="134"/>
        <v>12 years, 11 months</v>
      </c>
      <c r="N2169" s="6">
        <v>94</v>
      </c>
      <c r="O2169">
        <v>28</v>
      </c>
      <c r="P2169">
        <v>28</v>
      </c>
      <c r="Q2169">
        <f t="shared" si="135"/>
        <v>56</v>
      </c>
      <c r="R2169">
        <v>4</v>
      </c>
      <c r="S2169">
        <v>7</v>
      </c>
      <c r="T2169">
        <f>Table[[#This Row],[NumWebPurchases]]+Table[[#This Row],[NumStorePurchases]]</f>
        <v>11</v>
      </c>
    </row>
    <row r="2170" spans="1:20" ht="12.5">
      <c r="A2170" s="6">
        <v>2168</v>
      </c>
      <c r="B2170" s="6">
        <v>10394</v>
      </c>
      <c r="C2170" s="6">
        <v>1984</v>
      </c>
      <c r="D2170" s="6">
        <f t="shared" si="132"/>
        <v>41</v>
      </c>
      <c r="E2170" s="7" t="s">
        <v>9</v>
      </c>
      <c r="F2170" s="7" t="s">
        <v>13</v>
      </c>
      <c r="G2170" s="6">
        <v>90000</v>
      </c>
      <c r="H2170" s="6" t="str" cm="1">
        <f t="array" ref="H2170">_xlfn.IFS(
  G2170 &lt; 25000, "Low",
  AND(G2170 &gt;= 25000, G2170 &lt; 75000), "Medium",
  AND(G2170 &gt;= 75000, G2170 &lt; 150000), "High",
  G2170 &gt;= 150000, "Very High"
)</f>
        <v>High</v>
      </c>
      <c r="I2170" s="6">
        <v>0</v>
      </c>
      <c r="J2170" s="6">
        <v>0</v>
      </c>
      <c r="K2170" s="6">
        <f t="shared" si="133"/>
        <v>0</v>
      </c>
      <c r="L2170" s="9">
        <v>41631</v>
      </c>
      <c r="M2170" t="str">
        <f t="shared" ca="1" si="134"/>
        <v>12 years, 2 months</v>
      </c>
      <c r="N2170" s="6">
        <v>91</v>
      </c>
      <c r="O2170">
        <v>144</v>
      </c>
      <c r="P2170">
        <v>192</v>
      </c>
      <c r="Q2170">
        <f t="shared" si="135"/>
        <v>336</v>
      </c>
      <c r="R2170">
        <v>4</v>
      </c>
      <c r="S2170">
        <v>5</v>
      </c>
      <c r="T2170">
        <f>Table[[#This Row],[NumWebPurchases]]+Table[[#This Row],[NumStorePurchases]]</f>
        <v>9</v>
      </c>
    </row>
    <row r="2171" spans="1:20" ht="12.5">
      <c r="A2171" s="6">
        <v>2169</v>
      </c>
      <c r="B2171" s="6">
        <v>4548</v>
      </c>
      <c r="C2171" s="6">
        <v>1981</v>
      </c>
      <c r="D2171" s="6">
        <f t="shared" si="132"/>
        <v>44</v>
      </c>
      <c r="E2171" s="7" t="s">
        <v>9</v>
      </c>
      <c r="F2171" s="7" t="s">
        <v>10</v>
      </c>
      <c r="G2171" s="6">
        <v>41967</v>
      </c>
      <c r="H2171" s="6" t="str" cm="1">
        <f t="array" ref="H2171">_xlfn.IFS(
  G2171 &lt; 25000, "Low",
  AND(G2171 &gt;= 25000, G2171 &lt; 75000), "Medium",
  AND(G2171 &gt;= 75000, G2171 &lt; 150000), "High",
  G2171 &gt;= 150000, "Very High"
)</f>
        <v>Medium</v>
      </c>
      <c r="I2171" s="6">
        <v>1</v>
      </c>
      <c r="J2171" s="6">
        <v>1</v>
      </c>
      <c r="K2171" s="6">
        <f t="shared" si="133"/>
        <v>2</v>
      </c>
      <c r="L2171" s="9">
        <v>41601</v>
      </c>
      <c r="M2171" t="str">
        <f t="shared" ca="1" si="134"/>
        <v>12 years, 3 months</v>
      </c>
      <c r="N2171" s="6">
        <v>66</v>
      </c>
      <c r="O2171">
        <v>4</v>
      </c>
      <c r="P2171">
        <v>2</v>
      </c>
      <c r="Q2171">
        <f t="shared" si="135"/>
        <v>6</v>
      </c>
      <c r="R2171">
        <v>1</v>
      </c>
      <c r="S2171">
        <v>3</v>
      </c>
      <c r="T2171">
        <f>Table[[#This Row],[NumWebPurchases]]+Table[[#This Row],[NumStorePurchases]]</f>
        <v>4</v>
      </c>
    </row>
    <row r="2172" spans="1:20" ht="12.5">
      <c r="A2172" s="6">
        <v>2170</v>
      </c>
      <c r="B2172" s="6">
        <v>9362</v>
      </c>
      <c r="C2172" s="6">
        <v>1965</v>
      </c>
      <c r="D2172" s="6">
        <f t="shared" si="132"/>
        <v>60</v>
      </c>
      <c r="E2172" s="7" t="s">
        <v>9</v>
      </c>
      <c r="F2172" s="7" t="s">
        <v>10</v>
      </c>
      <c r="G2172" s="6">
        <v>69263</v>
      </c>
      <c r="H2172" s="6" t="str" cm="1">
        <f t="array" ref="H2172">_xlfn.IFS(
  G2172 &lt; 25000, "Low",
  AND(G2172 &gt;= 25000, G2172 &lt; 75000), "Medium",
  AND(G2172 &gt;= 75000, G2172 &lt; 150000), "High",
  G2172 &gt;= 150000, "Very High"
)</f>
        <v>Medium</v>
      </c>
      <c r="I2172" s="6">
        <v>0</v>
      </c>
      <c r="J2172" s="6">
        <v>1</v>
      </c>
      <c r="K2172" s="6">
        <f t="shared" si="133"/>
        <v>1</v>
      </c>
      <c r="L2172" s="8">
        <v>41703</v>
      </c>
      <c r="M2172" t="str">
        <f t="shared" ca="1" si="134"/>
        <v>12 years, 0 months</v>
      </c>
      <c r="N2172" s="6">
        <v>14</v>
      </c>
      <c r="O2172">
        <v>5</v>
      </c>
      <c r="P2172">
        <v>5</v>
      </c>
      <c r="Q2172">
        <f t="shared" si="135"/>
        <v>10</v>
      </c>
      <c r="R2172">
        <v>9</v>
      </c>
      <c r="S2172">
        <v>7</v>
      </c>
      <c r="T2172">
        <f>Table[[#This Row],[NumWebPurchases]]+Table[[#This Row],[NumStorePurchases]]</f>
        <v>16</v>
      </c>
    </row>
    <row r="2173" spans="1:20" ht="12.5">
      <c r="A2173" s="6">
        <v>2171</v>
      </c>
      <c r="B2173" s="6">
        <v>3968</v>
      </c>
      <c r="C2173" s="6">
        <v>1970</v>
      </c>
      <c r="D2173" s="6">
        <f t="shared" si="132"/>
        <v>55</v>
      </c>
      <c r="E2173" s="7" t="s">
        <v>17</v>
      </c>
      <c r="F2173" s="7" t="s">
        <v>15</v>
      </c>
      <c r="G2173" s="6">
        <v>65706</v>
      </c>
      <c r="H2173" s="6" t="str" cm="1">
        <f t="array" ref="H2173">_xlfn.IFS(
  G2173 &lt; 25000, "Low",
  AND(G2173 &gt;= 25000, G2173 &lt; 75000), "Medium",
  AND(G2173 &gt;= 75000, G2173 &lt; 150000), "High",
  G2173 &gt;= 150000, "Very High"
)</f>
        <v>Medium</v>
      </c>
      <c r="I2173" s="6">
        <v>0</v>
      </c>
      <c r="J2173" s="6">
        <v>0</v>
      </c>
      <c r="K2173" s="6">
        <f t="shared" si="133"/>
        <v>0</v>
      </c>
      <c r="L2173" s="8">
        <v>41453</v>
      </c>
      <c r="M2173" t="str">
        <f t="shared" ca="1" si="134"/>
        <v>12 years, 8 months</v>
      </c>
      <c r="N2173" s="6">
        <v>77</v>
      </c>
      <c r="O2173">
        <v>10</v>
      </c>
      <c r="P2173">
        <v>0</v>
      </c>
      <c r="Q2173">
        <f t="shared" si="135"/>
        <v>10</v>
      </c>
      <c r="R2173">
        <v>11</v>
      </c>
      <c r="S2173">
        <v>12</v>
      </c>
      <c r="T2173">
        <f>Table[[#This Row],[NumWebPurchases]]+Table[[#This Row],[NumStorePurchases]]</f>
        <v>23</v>
      </c>
    </row>
    <row r="2174" spans="1:20" ht="12.5">
      <c r="A2174" s="6">
        <v>2172</v>
      </c>
      <c r="B2174" s="6">
        <v>4084</v>
      </c>
      <c r="C2174" s="6">
        <v>1975</v>
      </c>
      <c r="D2174" s="6">
        <f t="shared" si="132"/>
        <v>50</v>
      </c>
      <c r="E2174" s="7" t="s">
        <v>9</v>
      </c>
      <c r="F2174" s="7" t="s">
        <v>11</v>
      </c>
      <c r="G2174" s="6">
        <v>60934</v>
      </c>
      <c r="H2174" s="6" t="str" cm="1">
        <f t="array" ref="H2174">_xlfn.IFS(
  G2174 &lt; 25000, "Low",
  AND(G2174 &gt;= 25000, G2174 &lt; 75000), "Medium",
  AND(G2174 &gt;= 75000, G2174 &lt; 150000), "High",
  G2174 &gt;= 150000, "Very High"
)</f>
        <v>Medium</v>
      </c>
      <c r="I2174" s="6">
        <v>0</v>
      </c>
      <c r="J2174" s="6">
        <v>1</v>
      </c>
      <c r="K2174" s="6">
        <f t="shared" si="133"/>
        <v>1</v>
      </c>
      <c r="L2174" s="8">
        <v>41656</v>
      </c>
      <c r="M2174" t="str">
        <f t="shared" ca="1" si="134"/>
        <v>12 years, 1 months</v>
      </c>
      <c r="N2174" s="6">
        <v>41</v>
      </c>
      <c r="O2174">
        <v>155</v>
      </c>
      <c r="P2174">
        <v>93</v>
      </c>
      <c r="Q2174">
        <f t="shared" si="135"/>
        <v>248</v>
      </c>
      <c r="R2174">
        <v>6</v>
      </c>
      <c r="S2174">
        <v>11</v>
      </c>
      <c r="T2174">
        <f>Table[[#This Row],[NumWebPurchases]]+Table[[#This Row],[NumStorePurchases]]</f>
        <v>17</v>
      </c>
    </row>
    <row r="2175" spans="1:20" ht="12.5">
      <c r="A2175" s="6">
        <v>2173</v>
      </c>
      <c r="B2175" s="6">
        <v>6721</v>
      </c>
      <c r="C2175" s="6">
        <v>1951</v>
      </c>
      <c r="D2175" s="6">
        <f t="shared" si="132"/>
        <v>74</v>
      </c>
      <c r="E2175" s="7" t="s">
        <v>9</v>
      </c>
      <c r="F2175" s="7" t="s">
        <v>13</v>
      </c>
      <c r="G2175" s="6">
        <v>71965</v>
      </c>
      <c r="H2175" s="6" t="str" cm="1">
        <f t="array" ref="H2175">_xlfn.IFS(
  G2175 &lt; 25000, "Low",
  AND(G2175 &gt;= 25000, G2175 &lt; 75000), "Medium",
  AND(G2175 &gt;= 75000, G2175 &lt; 150000), "High",
  G2175 &gt;= 150000, "Very High"
)</f>
        <v>Medium</v>
      </c>
      <c r="I2175" s="6">
        <v>0</v>
      </c>
      <c r="J2175" s="6">
        <v>1</v>
      </c>
      <c r="K2175" s="6">
        <f t="shared" si="133"/>
        <v>1</v>
      </c>
      <c r="L2175" s="8">
        <v>41484</v>
      </c>
      <c r="M2175" t="str">
        <f t="shared" ca="1" si="134"/>
        <v>12 years, 7 months</v>
      </c>
      <c r="N2175" s="6">
        <v>21</v>
      </c>
      <c r="O2175">
        <v>19</v>
      </c>
      <c r="P2175">
        <v>38</v>
      </c>
      <c r="Q2175">
        <f t="shared" si="135"/>
        <v>57</v>
      </c>
      <c r="R2175">
        <v>6</v>
      </c>
      <c r="S2175">
        <v>5</v>
      </c>
      <c r="T2175">
        <f>Table[[#This Row],[NumWebPurchases]]+Table[[#This Row],[NumStorePurchases]]</f>
        <v>11</v>
      </c>
    </row>
    <row r="2176" spans="1:20" ht="12.5">
      <c r="A2176" s="6">
        <v>2174</v>
      </c>
      <c r="B2176" s="6">
        <v>2829</v>
      </c>
      <c r="C2176" s="6">
        <v>1955</v>
      </c>
      <c r="D2176" s="6">
        <f t="shared" si="132"/>
        <v>70</v>
      </c>
      <c r="E2176" s="7" t="s">
        <v>9</v>
      </c>
      <c r="F2176" s="7" t="s">
        <v>13</v>
      </c>
      <c r="G2176" s="6">
        <v>65210</v>
      </c>
      <c r="H2176" s="6" t="str" cm="1">
        <f t="array" ref="H2176">_xlfn.IFS(
  G2176 &lt; 25000, "Low",
  AND(G2176 &gt;= 25000, G2176 &lt; 75000), "Medium",
  AND(G2176 &gt;= 75000, G2176 &lt; 150000), "High",
  G2176 &gt;= 150000, "Very High"
)</f>
        <v>Medium</v>
      </c>
      <c r="I2176" s="6">
        <v>0</v>
      </c>
      <c r="J2176" s="6">
        <v>1</v>
      </c>
      <c r="K2176" s="6">
        <f t="shared" si="133"/>
        <v>1</v>
      </c>
      <c r="L2176" s="8">
        <v>41708</v>
      </c>
      <c r="M2176" t="str">
        <f t="shared" ca="1" si="134"/>
        <v>11 years, 11 months</v>
      </c>
      <c r="N2176" s="6">
        <v>25</v>
      </c>
      <c r="O2176">
        <v>0</v>
      </c>
      <c r="P2176">
        <v>7</v>
      </c>
      <c r="Q2176">
        <f t="shared" si="135"/>
        <v>7</v>
      </c>
      <c r="R2176">
        <v>9</v>
      </c>
      <c r="S2176">
        <v>8</v>
      </c>
      <c r="T2176">
        <f>Table[[#This Row],[NumWebPurchases]]+Table[[#This Row],[NumStorePurchases]]</f>
        <v>17</v>
      </c>
    </row>
    <row r="2177" spans="1:20" ht="12.5">
      <c r="A2177" s="6">
        <v>2175</v>
      </c>
      <c r="B2177" s="6">
        <v>1772</v>
      </c>
      <c r="C2177" s="6">
        <v>1975</v>
      </c>
      <c r="D2177" s="6">
        <f t="shared" si="132"/>
        <v>50</v>
      </c>
      <c r="E2177" s="7" t="s">
        <v>12</v>
      </c>
      <c r="F2177" s="7" t="s">
        <v>13</v>
      </c>
      <c r="G2177" s="6">
        <v>79174</v>
      </c>
      <c r="H2177" s="6" t="str" cm="1">
        <f t="array" ref="H2177">_xlfn.IFS(
  G2177 &lt; 25000, "Low",
  AND(G2177 &gt;= 25000, G2177 &lt; 75000), "Medium",
  AND(G2177 &gt;= 75000, G2177 &lt; 150000), "High",
  G2177 &gt;= 150000, "Very High"
)</f>
        <v>High</v>
      </c>
      <c r="I2177" s="6">
        <v>0</v>
      </c>
      <c r="J2177" s="6">
        <v>0</v>
      </c>
      <c r="K2177" s="6">
        <f t="shared" si="133"/>
        <v>0</v>
      </c>
      <c r="L2177" s="8">
        <v>41285</v>
      </c>
      <c r="M2177" t="str">
        <f t="shared" ca="1" si="134"/>
        <v>13 years, 1 months</v>
      </c>
      <c r="N2177" s="6">
        <v>2</v>
      </c>
      <c r="O2177">
        <v>37</v>
      </c>
      <c r="P2177">
        <v>92</v>
      </c>
      <c r="Q2177">
        <f t="shared" si="135"/>
        <v>129</v>
      </c>
      <c r="R2177">
        <v>5</v>
      </c>
      <c r="S2177">
        <v>7</v>
      </c>
      <c r="T2177">
        <f>Table[[#This Row],[NumWebPurchases]]+Table[[#This Row],[NumStorePurchases]]</f>
        <v>12</v>
      </c>
    </row>
    <row r="2178" spans="1:20" ht="12.5">
      <c r="A2178" s="6">
        <v>2176</v>
      </c>
      <c r="B2178" s="6">
        <v>1544</v>
      </c>
      <c r="C2178" s="6">
        <v>1967</v>
      </c>
      <c r="D2178" s="6">
        <f t="shared" si="132"/>
        <v>58</v>
      </c>
      <c r="E2178" s="7" t="s">
        <v>14</v>
      </c>
      <c r="F2178" s="7" t="s">
        <v>15</v>
      </c>
      <c r="G2178" s="6">
        <v>81380</v>
      </c>
      <c r="H2178" s="6" t="str" cm="1">
        <f t="array" ref="H2178">_xlfn.IFS(
  G2178 &lt; 25000, "Low",
  AND(G2178 &gt;= 25000, G2178 &lt; 75000), "Medium",
  AND(G2178 &gt;= 75000, G2178 &lt; 150000), "High",
  G2178 &gt;= 150000, "Very High"
)</f>
        <v>High</v>
      </c>
      <c r="I2178" s="6">
        <v>0</v>
      </c>
      <c r="J2178" s="6">
        <v>0</v>
      </c>
      <c r="K2178" s="6">
        <f t="shared" si="133"/>
        <v>0</v>
      </c>
      <c r="L2178" s="9">
        <v>41265</v>
      </c>
      <c r="M2178" t="str">
        <f t="shared" ca="1" si="134"/>
        <v>13 years, 2 months</v>
      </c>
      <c r="N2178" s="6">
        <v>51</v>
      </c>
      <c r="O2178">
        <v>68</v>
      </c>
      <c r="P2178">
        <v>68</v>
      </c>
      <c r="Q2178">
        <f t="shared" si="135"/>
        <v>136</v>
      </c>
      <c r="R2178">
        <v>4</v>
      </c>
      <c r="S2178">
        <v>10</v>
      </c>
      <c r="T2178">
        <f>Table[[#This Row],[NumWebPurchases]]+Table[[#This Row],[NumStorePurchases]]</f>
        <v>14</v>
      </c>
    </row>
    <row r="2179" spans="1:20" ht="12.5">
      <c r="A2179" s="6">
        <v>2177</v>
      </c>
      <c r="B2179" s="6">
        <v>492</v>
      </c>
      <c r="C2179" s="6">
        <v>1973</v>
      </c>
      <c r="D2179" s="6">
        <f t="shared" ref="D2179:D2241" si="136">2025-C2179</f>
        <v>52</v>
      </c>
      <c r="E2179" s="7" t="s">
        <v>12</v>
      </c>
      <c r="F2179" s="7" t="s">
        <v>21</v>
      </c>
      <c r="G2179" s="6">
        <v>48432</v>
      </c>
      <c r="H2179" s="6" t="str" cm="1">
        <f t="array" ref="H2179">_xlfn.IFS(
  G2179 &lt; 25000, "Low",
  AND(G2179 &gt;= 25000, G2179 &lt; 75000), "Medium",
  AND(G2179 &gt;= 75000, G2179 &lt; 150000), "High",
  G2179 &gt;= 150000, "Very High"
)</f>
        <v>Medium</v>
      </c>
      <c r="I2179" s="6">
        <v>0</v>
      </c>
      <c r="J2179" s="6">
        <v>1</v>
      </c>
      <c r="K2179" s="6">
        <f t="shared" ref="K2179:K2241" si="137">I2179+J2179</f>
        <v>1</v>
      </c>
      <c r="L2179" s="9">
        <v>41200</v>
      </c>
      <c r="M2179" t="str">
        <f t="shared" ref="M2179:M2241" ca="1" si="138">DATEDIF(L2179, TODAY(), "Y") &amp; " years, " &amp; DATEDIF(L2179, TODAY(), "YM") &amp; " months"</f>
        <v>13 years, 4 months</v>
      </c>
      <c r="N2179" s="6">
        <v>3</v>
      </c>
      <c r="O2179">
        <v>3</v>
      </c>
      <c r="P2179">
        <v>3</v>
      </c>
      <c r="Q2179">
        <f t="shared" ref="Q2179:Q2241" si="139">O2179+P2179</f>
        <v>6</v>
      </c>
      <c r="R2179">
        <v>7</v>
      </c>
      <c r="S2179">
        <v>6</v>
      </c>
      <c r="T2179">
        <f>Table[[#This Row],[NumWebPurchases]]+Table[[#This Row],[NumStorePurchases]]</f>
        <v>13</v>
      </c>
    </row>
    <row r="2180" spans="1:20" ht="12.5">
      <c r="A2180" s="6">
        <v>2178</v>
      </c>
      <c r="B2180" s="6">
        <v>4377</v>
      </c>
      <c r="C2180" s="6">
        <v>1971</v>
      </c>
      <c r="D2180" s="6">
        <f t="shared" si="136"/>
        <v>54</v>
      </c>
      <c r="E2180" s="7" t="s">
        <v>9</v>
      </c>
      <c r="F2180" s="7" t="s">
        <v>13</v>
      </c>
      <c r="G2180" s="6">
        <v>52914</v>
      </c>
      <c r="H2180" s="6" t="str" cm="1">
        <f t="array" ref="H2180">_xlfn.IFS(
  G2180 &lt; 25000, "Low",
  AND(G2180 &gt;= 25000, G2180 &lt; 75000), "Medium",
  AND(G2180 &gt;= 75000, G2180 &lt; 150000), "High",
  G2180 &gt;= 150000, "Very High"
)</f>
        <v>Medium</v>
      </c>
      <c r="I2180" s="6">
        <v>0</v>
      </c>
      <c r="J2180" s="6">
        <v>1</v>
      </c>
      <c r="K2180" s="6">
        <f t="shared" si="137"/>
        <v>1</v>
      </c>
      <c r="L2180" s="8">
        <v>41281</v>
      </c>
      <c r="M2180" t="str">
        <f t="shared" ca="1" si="138"/>
        <v>13 years, 1 months</v>
      </c>
      <c r="N2180" s="6">
        <v>32</v>
      </c>
      <c r="O2180">
        <v>10</v>
      </c>
      <c r="P2180">
        <v>10</v>
      </c>
      <c r="Q2180">
        <f t="shared" si="139"/>
        <v>20</v>
      </c>
      <c r="R2180">
        <v>7</v>
      </c>
      <c r="S2180">
        <v>3</v>
      </c>
      <c r="T2180">
        <f>Table[[#This Row],[NumWebPurchases]]+Table[[#This Row],[NumStorePurchases]]</f>
        <v>10</v>
      </c>
    </row>
    <row r="2181" spans="1:20" ht="12.5">
      <c r="A2181" s="6">
        <v>2179</v>
      </c>
      <c r="B2181" s="6">
        <v>4541</v>
      </c>
      <c r="C2181" s="6">
        <v>1955</v>
      </c>
      <c r="D2181" s="6">
        <f t="shared" si="136"/>
        <v>70</v>
      </c>
      <c r="E2181" s="7" t="s">
        <v>9</v>
      </c>
      <c r="F2181" s="7" t="s">
        <v>11</v>
      </c>
      <c r="G2181" s="6">
        <v>38946</v>
      </c>
      <c r="H2181" s="6" t="str" cm="1">
        <f t="array" ref="H2181">_xlfn.IFS(
  G2181 &lt; 25000, "Low",
  AND(G2181 &gt;= 25000, G2181 &lt; 75000), "Medium",
  AND(G2181 &gt;= 75000, G2181 &lt; 150000), "High",
  G2181 &gt;= 150000, "Very High"
)</f>
        <v>Medium</v>
      </c>
      <c r="I2181" s="6">
        <v>0</v>
      </c>
      <c r="J2181" s="6">
        <v>1</v>
      </c>
      <c r="K2181" s="6">
        <f t="shared" si="137"/>
        <v>1</v>
      </c>
      <c r="L2181" s="9">
        <v>41571</v>
      </c>
      <c r="M2181" t="str">
        <f t="shared" ca="1" si="138"/>
        <v>12 years, 4 months</v>
      </c>
      <c r="N2181" s="6">
        <v>84</v>
      </c>
      <c r="O2181">
        <v>6</v>
      </c>
      <c r="P2181">
        <v>6</v>
      </c>
      <c r="Q2181">
        <f t="shared" si="139"/>
        <v>12</v>
      </c>
      <c r="R2181">
        <v>3</v>
      </c>
      <c r="S2181">
        <v>6</v>
      </c>
      <c r="T2181">
        <f>Table[[#This Row],[NumWebPurchases]]+Table[[#This Row],[NumStorePurchases]]</f>
        <v>9</v>
      </c>
    </row>
    <row r="2182" spans="1:20" ht="12.5">
      <c r="A2182" s="6">
        <v>2180</v>
      </c>
      <c r="B2182" s="6">
        <v>1321</v>
      </c>
      <c r="C2182" s="6">
        <v>1974</v>
      </c>
      <c r="D2182" s="6">
        <f t="shared" si="136"/>
        <v>51</v>
      </c>
      <c r="E2182" s="7" t="s">
        <v>9</v>
      </c>
      <c r="F2182" s="7" t="s">
        <v>13</v>
      </c>
      <c r="G2182" s="6">
        <v>26067</v>
      </c>
      <c r="H2182" s="6" t="str" cm="1">
        <f t="array" ref="H2182">_xlfn.IFS(
  G2182 &lt; 25000, "Low",
  AND(G2182 &gt;= 25000, G2182 &lt; 75000), "Medium",
  AND(G2182 &gt;= 75000, G2182 &lt; 150000), "High",
  G2182 &gt;= 150000, "Very High"
)</f>
        <v>Medium</v>
      </c>
      <c r="I2182" s="6">
        <v>1</v>
      </c>
      <c r="J2182" s="6">
        <v>0</v>
      </c>
      <c r="K2182" s="6">
        <f t="shared" si="137"/>
        <v>1</v>
      </c>
      <c r="L2182" s="8">
        <v>41582</v>
      </c>
      <c r="M2182" t="str">
        <f t="shared" ca="1" si="138"/>
        <v>12 years, 4 months</v>
      </c>
      <c r="N2182" s="6">
        <v>49</v>
      </c>
      <c r="O2182">
        <v>2</v>
      </c>
      <c r="P2182">
        <v>2</v>
      </c>
      <c r="Q2182">
        <f t="shared" si="139"/>
        <v>4</v>
      </c>
      <c r="R2182">
        <v>3</v>
      </c>
      <c r="S2182">
        <v>3</v>
      </c>
      <c r="T2182">
        <f>Table[[#This Row],[NumWebPurchases]]+Table[[#This Row],[NumStorePurchases]]</f>
        <v>6</v>
      </c>
    </row>
    <row r="2183" spans="1:20" ht="12.5">
      <c r="A2183" s="6">
        <v>2181</v>
      </c>
      <c r="B2183" s="6">
        <v>8858</v>
      </c>
      <c r="C2183" s="6">
        <v>1972</v>
      </c>
      <c r="D2183" s="6">
        <f t="shared" si="136"/>
        <v>53</v>
      </c>
      <c r="E2183" s="7" t="s">
        <v>12</v>
      </c>
      <c r="F2183" s="7" t="s">
        <v>13</v>
      </c>
      <c r="G2183" s="6">
        <v>44325</v>
      </c>
      <c r="H2183" s="6" t="str" cm="1">
        <f t="array" ref="H2183">_xlfn.IFS(
  G2183 &lt; 25000, "Low",
  AND(G2183 &gt;= 25000, G2183 &lt; 75000), "Medium",
  AND(G2183 &gt;= 75000, G2183 &lt; 150000), "High",
  G2183 &gt;= 150000, "Very High"
)</f>
        <v>Medium</v>
      </c>
      <c r="I2183" s="6">
        <v>0</v>
      </c>
      <c r="J2183" s="6">
        <v>1</v>
      </c>
      <c r="K2183" s="6">
        <f t="shared" si="137"/>
        <v>1</v>
      </c>
      <c r="L2183" s="8">
        <v>41340</v>
      </c>
      <c r="M2183" t="str">
        <f t="shared" ca="1" si="138"/>
        <v>12 years, 11 months</v>
      </c>
      <c r="N2183" s="6">
        <v>69</v>
      </c>
      <c r="O2183">
        <v>0</v>
      </c>
      <c r="P2183">
        <v>0</v>
      </c>
      <c r="Q2183">
        <f t="shared" si="139"/>
        <v>0</v>
      </c>
      <c r="R2183">
        <v>8</v>
      </c>
      <c r="S2183">
        <v>7</v>
      </c>
      <c r="T2183">
        <f>Table[[#This Row],[NumWebPurchases]]+Table[[#This Row],[NumStorePurchases]]</f>
        <v>15</v>
      </c>
    </row>
    <row r="2184" spans="1:20" ht="12.5">
      <c r="A2184" s="6">
        <v>2182</v>
      </c>
      <c r="B2184" s="6">
        <v>3266</v>
      </c>
      <c r="C2184" s="6">
        <v>1964</v>
      </c>
      <c r="D2184" s="6">
        <f t="shared" si="136"/>
        <v>61</v>
      </c>
      <c r="E2184" s="7" t="s">
        <v>9</v>
      </c>
      <c r="F2184" s="7" t="s">
        <v>13</v>
      </c>
      <c r="G2184" s="6">
        <v>42523</v>
      </c>
      <c r="H2184" s="6" t="str" cm="1">
        <f t="array" ref="H2184">_xlfn.IFS(
  G2184 &lt; 25000, "Low",
  AND(G2184 &gt;= 25000, G2184 &lt; 75000), "Medium",
  AND(G2184 &gt;= 75000, G2184 &lt; 150000), "High",
  G2184 &gt;= 150000, "Very High"
)</f>
        <v>Medium</v>
      </c>
      <c r="I2184" s="6">
        <v>0</v>
      </c>
      <c r="J2184" s="6">
        <v>0</v>
      </c>
      <c r="K2184" s="6">
        <f t="shared" si="137"/>
        <v>0</v>
      </c>
      <c r="L2184" s="8">
        <v>41752</v>
      </c>
      <c r="M2184" t="str">
        <f t="shared" ca="1" si="138"/>
        <v>11 years, 10 months</v>
      </c>
      <c r="N2184" s="6">
        <v>96</v>
      </c>
      <c r="O2184">
        <v>36</v>
      </c>
      <c r="P2184">
        <v>26</v>
      </c>
      <c r="Q2184">
        <f t="shared" si="139"/>
        <v>62</v>
      </c>
      <c r="R2184">
        <v>1</v>
      </c>
      <c r="S2184">
        <v>4</v>
      </c>
      <c r="T2184">
        <f>Table[[#This Row],[NumWebPurchases]]+Table[[#This Row],[NumStorePurchases]]</f>
        <v>5</v>
      </c>
    </row>
    <row r="2185" spans="1:20" ht="12.5">
      <c r="A2185" s="6">
        <v>2183</v>
      </c>
      <c r="B2185" s="6">
        <v>11187</v>
      </c>
      <c r="C2185" s="6">
        <v>1978</v>
      </c>
      <c r="D2185" s="6">
        <f t="shared" si="136"/>
        <v>47</v>
      </c>
      <c r="E2185" s="7" t="s">
        <v>16</v>
      </c>
      <c r="F2185" s="7" t="s">
        <v>10</v>
      </c>
      <c r="G2185" s="6">
        <v>26487</v>
      </c>
      <c r="H2185" s="6" t="str" cm="1">
        <f t="array" ref="H2185">_xlfn.IFS(
  G2185 &lt; 25000, "Low",
  AND(G2185 &gt;= 25000, G2185 &lt; 75000), "Medium",
  AND(G2185 &gt;= 75000, G2185 &lt; 150000), "High",
  G2185 &gt;= 150000, "Very High"
)</f>
        <v>Medium</v>
      </c>
      <c r="I2185" s="6">
        <v>1</v>
      </c>
      <c r="J2185" s="6">
        <v>0</v>
      </c>
      <c r="K2185" s="6">
        <f t="shared" si="137"/>
        <v>1</v>
      </c>
      <c r="L2185" s="8">
        <v>41414</v>
      </c>
      <c r="M2185" t="str">
        <f t="shared" ca="1" si="138"/>
        <v>12 years, 9 months</v>
      </c>
      <c r="N2185" s="6">
        <v>23</v>
      </c>
      <c r="O2185">
        <v>8</v>
      </c>
      <c r="P2185">
        <v>14</v>
      </c>
      <c r="Q2185">
        <f t="shared" si="139"/>
        <v>22</v>
      </c>
      <c r="R2185">
        <v>2</v>
      </c>
      <c r="S2185">
        <v>3</v>
      </c>
      <c r="T2185">
        <f>Table[[#This Row],[NumWebPurchases]]+Table[[#This Row],[NumStorePurchases]]</f>
        <v>5</v>
      </c>
    </row>
    <row r="2186" spans="1:20" ht="12.5">
      <c r="A2186" s="6">
        <v>2184</v>
      </c>
      <c r="B2186" s="6">
        <v>8207</v>
      </c>
      <c r="C2186" s="6">
        <v>1957</v>
      </c>
      <c r="D2186" s="6">
        <f t="shared" si="136"/>
        <v>68</v>
      </c>
      <c r="E2186" s="7" t="s">
        <v>17</v>
      </c>
      <c r="F2186" s="7" t="s">
        <v>13</v>
      </c>
      <c r="G2186" s="6">
        <v>53233</v>
      </c>
      <c r="H2186" s="6" t="str" cm="1">
        <f t="array" ref="H2186">_xlfn.IFS(
  G2186 &lt; 25000, "Low",
  AND(G2186 &gt;= 25000, G2186 &lt; 75000), "Medium",
  AND(G2186 &gt;= 75000, G2186 &lt; 150000), "High",
  G2186 &gt;= 150000, "Very High"
)</f>
        <v>Medium</v>
      </c>
      <c r="I2186" s="6">
        <v>0</v>
      </c>
      <c r="J2186" s="6">
        <v>1</v>
      </c>
      <c r="K2186" s="6">
        <f t="shared" si="137"/>
        <v>1</v>
      </c>
      <c r="L2186" s="8">
        <v>41716</v>
      </c>
      <c r="M2186" t="str">
        <f t="shared" ca="1" si="138"/>
        <v>11 years, 11 months</v>
      </c>
      <c r="N2186" s="6">
        <v>18</v>
      </c>
      <c r="O2186">
        <v>0</v>
      </c>
      <c r="P2186">
        <v>0</v>
      </c>
      <c r="Q2186">
        <f t="shared" si="139"/>
        <v>0</v>
      </c>
      <c r="R2186">
        <v>1</v>
      </c>
      <c r="S2186">
        <v>3</v>
      </c>
      <c r="T2186">
        <f>Table[[#This Row],[NumWebPurchases]]+Table[[#This Row],[NumStorePurchases]]</f>
        <v>4</v>
      </c>
    </row>
    <row r="2187" spans="1:20" ht="12.5">
      <c r="A2187" s="6">
        <v>2185</v>
      </c>
      <c r="B2187" s="6">
        <v>9723</v>
      </c>
      <c r="C2187" s="6">
        <v>1960</v>
      </c>
      <c r="D2187" s="6">
        <f t="shared" si="136"/>
        <v>65</v>
      </c>
      <c r="E2187" s="7" t="s">
        <v>9</v>
      </c>
      <c r="F2187" s="7" t="s">
        <v>13</v>
      </c>
      <c r="G2187" s="6">
        <v>67716</v>
      </c>
      <c r="H2187" s="6" t="str" cm="1">
        <f t="array" ref="H2187">_xlfn.IFS(
  G2187 &lt; 25000, "Low",
  AND(G2187 &gt;= 25000, G2187 &lt; 75000), "Medium",
  AND(G2187 &gt;= 75000, G2187 &lt; 150000), "High",
  G2187 &gt;= 150000, "Very High"
)</f>
        <v>Medium</v>
      </c>
      <c r="I2187" s="6">
        <v>0</v>
      </c>
      <c r="J2187" s="6">
        <v>1</v>
      </c>
      <c r="K2187" s="6">
        <f t="shared" si="137"/>
        <v>1</v>
      </c>
      <c r="L2187" s="8">
        <v>41284</v>
      </c>
      <c r="M2187" t="str">
        <f t="shared" ca="1" si="138"/>
        <v>13 years, 1 months</v>
      </c>
      <c r="N2187" s="6">
        <v>8</v>
      </c>
      <c r="O2187">
        <v>142</v>
      </c>
      <c r="P2187">
        <v>9</v>
      </c>
      <c r="Q2187">
        <f t="shared" si="139"/>
        <v>151</v>
      </c>
      <c r="R2187">
        <v>7</v>
      </c>
      <c r="S2187">
        <v>13</v>
      </c>
      <c r="T2187">
        <f>Table[[#This Row],[NumWebPurchases]]+Table[[#This Row],[NumStorePurchases]]</f>
        <v>20</v>
      </c>
    </row>
    <row r="2188" spans="1:20" ht="12.5">
      <c r="A2188" s="6">
        <v>2186</v>
      </c>
      <c r="B2188" s="6">
        <v>2666</v>
      </c>
      <c r="C2188" s="6">
        <v>1972</v>
      </c>
      <c r="D2188" s="6">
        <f t="shared" si="136"/>
        <v>53</v>
      </c>
      <c r="E2188" s="7" t="s">
        <v>14</v>
      </c>
      <c r="F2188" s="7" t="s">
        <v>13</v>
      </c>
      <c r="G2188" s="6">
        <v>76234</v>
      </c>
      <c r="H2188" s="6" t="str" cm="1">
        <f t="array" ref="H2188">_xlfn.IFS(
  G2188 &lt; 25000, "Low",
  AND(G2188 &gt;= 25000, G2188 &lt; 75000), "Medium",
  AND(G2188 &gt;= 75000, G2188 &lt; 150000), "High",
  G2188 &gt;= 150000, "Very High"
)</f>
        <v>High</v>
      </c>
      <c r="I2188" s="6">
        <v>0</v>
      </c>
      <c r="J2188" s="6">
        <v>1</v>
      </c>
      <c r="K2188" s="6">
        <f t="shared" si="137"/>
        <v>1</v>
      </c>
      <c r="L2188" s="8">
        <v>41676</v>
      </c>
      <c r="M2188" t="str">
        <f t="shared" ca="1" si="138"/>
        <v>12 years, 1 months</v>
      </c>
      <c r="N2188" s="6">
        <v>21</v>
      </c>
      <c r="O2188">
        <v>50</v>
      </c>
      <c r="P2188">
        <v>0</v>
      </c>
      <c r="Q2188">
        <f t="shared" si="139"/>
        <v>50</v>
      </c>
      <c r="R2188">
        <v>8</v>
      </c>
      <c r="S2188">
        <v>11</v>
      </c>
      <c r="T2188">
        <f>Table[[#This Row],[NumWebPurchases]]+Table[[#This Row],[NumStorePurchases]]</f>
        <v>19</v>
      </c>
    </row>
    <row r="2189" spans="1:20" ht="12.5">
      <c r="A2189" s="6">
        <v>2187</v>
      </c>
      <c r="B2189" s="6">
        <v>5721</v>
      </c>
      <c r="C2189" s="6">
        <v>1956</v>
      </c>
      <c r="D2189" s="6">
        <f t="shared" si="136"/>
        <v>69</v>
      </c>
      <c r="E2189" s="7" t="s">
        <v>12</v>
      </c>
      <c r="F2189" s="7" t="s">
        <v>13</v>
      </c>
      <c r="G2189" s="6">
        <v>84117</v>
      </c>
      <c r="H2189" s="6" t="str" cm="1">
        <f t="array" ref="H2189">_xlfn.IFS(
  G2189 &lt; 25000, "Low",
  AND(G2189 &gt;= 25000, G2189 &lt; 75000), "Medium",
  AND(G2189 &gt;= 75000, G2189 &lt; 150000), "High",
  G2189 &gt;= 150000, "Very High"
)</f>
        <v>High</v>
      </c>
      <c r="I2189" s="6">
        <v>0</v>
      </c>
      <c r="J2189" s="6">
        <v>0</v>
      </c>
      <c r="K2189" s="6">
        <f t="shared" si="137"/>
        <v>0</v>
      </c>
      <c r="L2189" s="8">
        <v>41770</v>
      </c>
      <c r="M2189" t="str">
        <f t="shared" ca="1" si="138"/>
        <v>11 years, 9 months</v>
      </c>
      <c r="N2189" s="6">
        <v>60</v>
      </c>
      <c r="O2189">
        <v>76</v>
      </c>
      <c r="P2189">
        <v>45</v>
      </c>
      <c r="Q2189">
        <f t="shared" si="139"/>
        <v>121</v>
      </c>
      <c r="R2189">
        <v>7</v>
      </c>
      <c r="S2189">
        <v>6</v>
      </c>
      <c r="T2189">
        <f>Table[[#This Row],[NumWebPurchases]]+Table[[#This Row],[NumStorePurchases]]</f>
        <v>13</v>
      </c>
    </row>
    <row r="2190" spans="1:20" ht="12.5">
      <c r="A2190" s="6">
        <v>2188</v>
      </c>
      <c r="B2190" s="6">
        <v>10652</v>
      </c>
      <c r="C2190" s="6">
        <v>1957</v>
      </c>
      <c r="D2190" s="6">
        <f t="shared" si="136"/>
        <v>68</v>
      </c>
      <c r="E2190" s="7" t="s">
        <v>14</v>
      </c>
      <c r="F2190" s="7" t="s">
        <v>11</v>
      </c>
      <c r="G2190" s="6">
        <v>65487</v>
      </c>
      <c r="H2190" s="6" t="str" cm="1">
        <f t="array" ref="H2190">_xlfn.IFS(
  G2190 &lt; 25000, "Low",
  AND(G2190 &gt;= 25000, G2190 &lt; 75000), "Medium",
  AND(G2190 &gt;= 75000, G2190 &lt; 150000), "High",
  G2190 &gt;= 150000, "Very High"
)</f>
        <v>Medium</v>
      </c>
      <c r="I2190" s="6">
        <v>0</v>
      </c>
      <c r="J2190" s="6">
        <v>0</v>
      </c>
      <c r="K2190" s="6">
        <f t="shared" si="137"/>
        <v>0</v>
      </c>
      <c r="L2190" s="8">
        <v>41649</v>
      </c>
      <c r="M2190" t="str">
        <f t="shared" ca="1" si="138"/>
        <v>12 years, 1 months</v>
      </c>
      <c r="N2190" s="6">
        <v>48</v>
      </c>
      <c r="O2190">
        <v>67</v>
      </c>
      <c r="P2190">
        <v>0</v>
      </c>
      <c r="Q2190">
        <f t="shared" si="139"/>
        <v>67</v>
      </c>
      <c r="R2190">
        <v>3</v>
      </c>
      <c r="S2190">
        <v>6</v>
      </c>
      <c r="T2190">
        <f>Table[[#This Row],[NumWebPurchases]]+Table[[#This Row],[NumStorePurchases]]</f>
        <v>9</v>
      </c>
    </row>
    <row r="2191" spans="1:20" ht="12.5">
      <c r="A2191" s="6">
        <v>2189</v>
      </c>
      <c r="B2191" s="6">
        <v>1646</v>
      </c>
      <c r="C2191" s="6">
        <v>1972</v>
      </c>
      <c r="D2191" s="6">
        <f t="shared" si="136"/>
        <v>53</v>
      </c>
      <c r="E2191" s="7" t="s">
        <v>16</v>
      </c>
      <c r="F2191" s="7" t="s">
        <v>13</v>
      </c>
      <c r="G2191" s="6">
        <v>25224</v>
      </c>
      <c r="H2191" s="6" t="str" cm="1">
        <f t="array" ref="H2191">_xlfn.IFS(
  G2191 &lt; 25000, "Low",
  AND(G2191 &gt;= 25000, G2191 &lt; 75000), "Medium",
  AND(G2191 &gt;= 75000, G2191 &lt; 150000), "High",
  G2191 &gt;= 150000, "Very High"
)</f>
        <v>Medium</v>
      </c>
      <c r="I2191" s="6">
        <v>1</v>
      </c>
      <c r="J2191" s="6">
        <v>0</v>
      </c>
      <c r="K2191" s="6">
        <f t="shared" si="137"/>
        <v>1</v>
      </c>
      <c r="L2191" s="8">
        <v>41714</v>
      </c>
      <c r="M2191" t="str">
        <f t="shared" ca="1" si="138"/>
        <v>11 years, 11 months</v>
      </c>
      <c r="N2191" s="6">
        <v>36</v>
      </c>
      <c r="O2191">
        <v>9</v>
      </c>
      <c r="P2191">
        <v>2</v>
      </c>
      <c r="Q2191">
        <f t="shared" si="139"/>
        <v>11</v>
      </c>
      <c r="R2191">
        <v>1</v>
      </c>
      <c r="S2191">
        <v>3</v>
      </c>
      <c r="T2191">
        <f>Table[[#This Row],[NumWebPurchases]]+Table[[#This Row],[NumStorePurchases]]</f>
        <v>4</v>
      </c>
    </row>
    <row r="2192" spans="1:20" ht="12.5">
      <c r="A2192" s="6">
        <v>2190</v>
      </c>
      <c r="B2192" s="6">
        <v>4418</v>
      </c>
      <c r="C2192" s="6">
        <v>1983</v>
      </c>
      <c r="D2192" s="6">
        <f t="shared" si="136"/>
        <v>42</v>
      </c>
      <c r="E2192" s="7" t="s">
        <v>14</v>
      </c>
      <c r="F2192" s="7" t="s">
        <v>10</v>
      </c>
      <c r="G2192" s="6">
        <v>89616</v>
      </c>
      <c r="H2192" s="6" t="str" cm="1">
        <f t="array" ref="H2192">_xlfn.IFS(
  G2192 &lt; 25000, "Low",
  AND(G2192 &gt;= 25000, G2192 &lt; 75000), "Medium",
  AND(G2192 &gt;= 75000, G2192 &lt; 150000), "High",
  G2192 &gt;= 150000, "Very High"
)</f>
        <v>High</v>
      </c>
      <c r="I2192" s="6">
        <v>0</v>
      </c>
      <c r="J2192" s="6">
        <v>0</v>
      </c>
      <c r="K2192" s="6">
        <f t="shared" si="137"/>
        <v>0</v>
      </c>
      <c r="L2192" s="8">
        <v>41330</v>
      </c>
      <c r="M2192" t="str">
        <f t="shared" ca="1" si="138"/>
        <v>13 years, 0 months</v>
      </c>
      <c r="N2192" s="6">
        <v>36</v>
      </c>
      <c r="O2192">
        <v>47</v>
      </c>
      <c r="P2192">
        <v>111</v>
      </c>
      <c r="Q2192">
        <f t="shared" si="139"/>
        <v>158</v>
      </c>
      <c r="R2192">
        <v>7</v>
      </c>
      <c r="S2192">
        <v>12</v>
      </c>
      <c r="T2192">
        <f>Table[[#This Row],[NumWebPurchases]]+Table[[#This Row],[NumStorePurchases]]</f>
        <v>19</v>
      </c>
    </row>
    <row r="2193" spans="1:20" ht="12.5">
      <c r="A2193" s="6">
        <v>2191</v>
      </c>
      <c r="B2193" s="6">
        <v>2656</v>
      </c>
      <c r="C2193" s="6">
        <v>1971</v>
      </c>
      <c r="D2193" s="6">
        <f t="shared" si="136"/>
        <v>54</v>
      </c>
      <c r="E2193" s="7" t="s">
        <v>9</v>
      </c>
      <c r="F2193" s="7" t="s">
        <v>15</v>
      </c>
      <c r="G2193" s="6">
        <v>40851</v>
      </c>
      <c r="H2193" s="6" t="str" cm="1">
        <f t="array" ref="H2193">_xlfn.IFS(
  G2193 &lt; 25000, "Low",
  AND(G2193 &gt;= 25000, G2193 &lt; 75000), "Medium",
  AND(G2193 &gt;= 75000, G2193 &lt; 150000), "High",
  G2193 &gt;= 150000, "Very High"
)</f>
        <v>Medium</v>
      </c>
      <c r="I2193" s="6">
        <v>1</v>
      </c>
      <c r="J2193" s="6">
        <v>1</v>
      </c>
      <c r="K2193" s="6">
        <f t="shared" si="137"/>
        <v>2</v>
      </c>
      <c r="L2193" s="8">
        <v>41326</v>
      </c>
      <c r="M2193" t="str">
        <f t="shared" ca="1" si="138"/>
        <v>13 years, 0 months</v>
      </c>
      <c r="N2193" s="6">
        <v>63</v>
      </c>
      <c r="O2193">
        <v>1</v>
      </c>
      <c r="P2193">
        <v>4</v>
      </c>
      <c r="Q2193">
        <f t="shared" si="139"/>
        <v>5</v>
      </c>
      <c r="R2193">
        <v>1</v>
      </c>
      <c r="S2193">
        <v>2</v>
      </c>
      <c r="T2193">
        <f>Table[[#This Row],[NumWebPurchases]]+Table[[#This Row],[NumStorePurchases]]</f>
        <v>3</v>
      </c>
    </row>
    <row r="2194" spans="1:20" ht="12.5">
      <c r="A2194" s="6">
        <v>2192</v>
      </c>
      <c r="B2194" s="6">
        <v>7990</v>
      </c>
      <c r="C2194" s="6">
        <v>1947</v>
      </c>
      <c r="D2194" s="6">
        <f t="shared" si="136"/>
        <v>78</v>
      </c>
      <c r="E2194" s="7" t="s">
        <v>9</v>
      </c>
      <c r="F2194" s="7" t="s">
        <v>13</v>
      </c>
      <c r="G2194" s="6">
        <v>27469</v>
      </c>
      <c r="H2194" s="6" t="str" cm="1">
        <f t="array" ref="H2194">_xlfn.IFS(
  G2194 &lt; 25000, "Low",
  AND(G2194 &gt;= 25000, G2194 &lt; 75000), "Medium",
  AND(G2194 &gt;= 75000, G2194 &lt; 150000), "High",
  G2194 &gt;= 150000, "Very High"
)</f>
        <v>Medium</v>
      </c>
      <c r="I2194" s="6">
        <v>0</v>
      </c>
      <c r="J2194" s="6">
        <v>0</v>
      </c>
      <c r="K2194" s="6">
        <f t="shared" si="137"/>
        <v>0</v>
      </c>
      <c r="L2194" s="8">
        <v>41123</v>
      </c>
      <c r="M2194" t="str">
        <f t="shared" ca="1" si="138"/>
        <v>13 years, 7 months</v>
      </c>
      <c r="N2194" s="6">
        <v>2</v>
      </c>
      <c r="O2194">
        <v>1</v>
      </c>
      <c r="P2194">
        <v>2</v>
      </c>
      <c r="Q2194">
        <f t="shared" si="139"/>
        <v>3</v>
      </c>
      <c r="R2194">
        <v>0</v>
      </c>
      <c r="S2194">
        <v>3</v>
      </c>
      <c r="T2194">
        <f>Table[[#This Row],[NumWebPurchases]]+Table[[#This Row],[NumStorePurchases]]</f>
        <v>3</v>
      </c>
    </row>
    <row r="2195" spans="1:20" ht="12.5">
      <c r="A2195" s="6">
        <v>2193</v>
      </c>
      <c r="B2195" s="6">
        <v>8722</v>
      </c>
      <c r="C2195" s="6">
        <v>1957</v>
      </c>
      <c r="D2195" s="6">
        <f t="shared" si="136"/>
        <v>68</v>
      </c>
      <c r="E2195" s="7" t="s">
        <v>17</v>
      </c>
      <c r="F2195" s="7" t="s">
        <v>13</v>
      </c>
      <c r="G2195" s="6">
        <v>82347</v>
      </c>
      <c r="H2195" s="6" t="str" cm="1">
        <f t="array" ref="H2195">_xlfn.IFS(
  G2195 &lt; 25000, "Low",
  AND(G2195 &gt;= 25000, G2195 &lt; 75000), "Medium",
  AND(G2195 &gt;= 75000, G2195 &lt; 150000), "High",
  G2195 &gt;= 150000, "Very High"
)</f>
        <v>High</v>
      </c>
      <c r="I2195" s="6">
        <v>0</v>
      </c>
      <c r="J2195" s="6">
        <v>0</v>
      </c>
      <c r="K2195" s="6">
        <f t="shared" si="137"/>
        <v>0</v>
      </c>
      <c r="L2195" s="8">
        <v>41219</v>
      </c>
      <c r="M2195" t="str">
        <f t="shared" ca="1" si="138"/>
        <v>13 years, 4 months</v>
      </c>
      <c r="N2195" s="6">
        <v>38</v>
      </c>
      <c r="O2195">
        <v>54</v>
      </c>
      <c r="P2195">
        <v>133</v>
      </c>
      <c r="Q2195">
        <f t="shared" si="139"/>
        <v>187</v>
      </c>
      <c r="R2195">
        <v>7</v>
      </c>
      <c r="S2195">
        <v>10</v>
      </c>
      <c r="T2195">
        <f>Table[[#This Row],[NumWebPurchases]]+Table[[#This Row],[NumStorePurchases]]</f>
        <v>17</v>
      </c>
    </row>
    <row r="2196" spans="1:20" ht="12.5">
      <c r="A2196" s="6">
        <v>2194</v>
      </c>
      <c r="B2196" s="6">
        <v>7118</v>
      </c>
      <c r="C2196" s="6">
        <v>1957</v>
      </c>
      <c r="D2196" s="6">
        <f t="shared" si="136"/>
        <v>68</v>
      </c>
      <c r="E2196" s="7" t="s">
        <v>9</v>
      </c>
      <c r="F2196" s="7" t="s">
        <v>13</v>
      </c>
      <c r="G2196" s="6">
        <v>73803</v>
      </c>
      <c r="H2196" s="6" t="str" cm="1">
        <f t="array" ref="H2196">_xlfn.IFS(
  G2196 &lt; 25000, "Low",
  AND(G2196 &gt;= 25000, G2196 &lt; 75000), "Medium",
  AND(G2196 &gt;= 75000, G2196 &lt; 150000), "High",
  G2196 &gt;= 150000, "Very High"
)</f>
        <v>Medium</v>
      </c>
      <c r="I2196" s="6">
        <v>0</v>
      </c>
      <c r="J2196" s="6">
        <v>1</v>
      </c>
      <c r="K2196" s="6">
        <f t="shared" si="137"/>
        <v>1</v>
      </c>
      <c r="L2196" s="8">
        <v>41122</v>
      </c>
      <c r="M2196" t="str">
        <f t="shared" ca="1" si="138"/>
        <v>13 years, 7 months</v>
      </c>
      <c r="N2196" s="6">
        <v>61</v>
      </c>
      <c r="O2196">
        <v>80</v>
      </c>
      <c r="P2196">
        <v>26</v>
      </c>
      <c r="Q2196">
        <f t="shared" si="139"/>
        <v>106</v>
      </c>
      <c r="R2196">
        <v>9</v>
      </c>
      <c r="S2196">
        <v>6</v>
      </c>
      <c r="T2196">
        <f>Table[[#This Row],[NumWebPurchases]]+Table[[#This Row],[NumStorePurchases]]</f>
        <v>15</v>
      </c>
    </row>
    <row r="2197" spans="1:20" ht="12.5">
      <c r="A2197" s="6">
        <v>2195</v>
      </c>
      <c r="B2197" s="6">
        <v>2980</v>
      </c>
      <c r="C2197" s="6">
        <v>1952</v>
      </c>
      <c r="D2197" s="6">
        <f t="shared" si="136"/>
        <v>73</v>
      </c>
      <c r="E2197" s="7" t="s">
        <v>14</v>
      </c>
      <c r="F2197" s="7" t="s">
        <v>10</v>
      </c>
      <c r="G2197" s="6">
        <v>8820</v>
      </c>
      <c r="H2197" s="6" t="str" cm="1">
        <f t="array" ref="H2197">_xlfn.IFS(
  G2197 &lt; 25000, "Low",
  AND(G2197 &gt;= 25000, G2197 &lt; 75000), "Medium",
  AND(G2197 &gt;= 75000, G2197 &lt; 150000), "High",
  G2197 &gt;= 150000, "Very High"
)</f>
        <v>Low</v>
      </c>
      <c r="I2197" s="6">
        <v>1</v>
      </c>
      <c r="J2197" s="6">
        <v>1</v>
      </c>
      <c r="K2197" s="6">
        <f t="shared" si="137"/>
        <v>2</v>
      </c>
      <c r="L2197" s="8">
        <v>41355</v>
      </c>
      <c r="M2197" t="str">
        <f t="shared" ca="1" si="138"/>
        <v>12 years, 11 months</v>
      </c>
      <c r="N2197" s="6">
        <v>52</v>
      </c>
      <c r="O2197">
        <v>0</v>
      </c>
      <c r="P2197">
        <v>2</v>
      </c>
      <c r="Q2197">
        <f t="shared" si="139"/>
        <v>2</v>
      </c>
      <c r="R2197">
        <v>3</v>
      </c>
      <c r="S2197">
        <v>3</v>
      </c>
      <c r="T2197">
        <f>Table[[#This Row],[NumWebPurchases]]+Table[[#This Row],[NumStorePurchases]]</f>
        <v>6</v>
      </c>
    </row>
    <row r="2198" spans="1:20" ht="12.5">
      <c r="A2198" s="6">
        <v>2196</v>
      </c>
      <c r="B2198" s="6">
        <v>1839</v>
      </c>
      <c r="C2198" s="6">
        <v>1974</v>
      </c>
      <c r="D2198" s="6">
        <f t="shared" si="136"/>
        <v>51</v>
      </c>
      <c r="E2198" s="7" t="s">
        <v>9</v>
      </c>
      <c r="F2198" s="7" t="s">
        <v>10</v>
      </c>
      <c r="G2198" s="6">
        <v>43322</v>
      </c>
      <c r="H2198" s="6" t="str" cm="1">
        <f t="array" ref="H2198">_xlfn.IFS(
  G2198 &lt; 25000, "Low",
  AND(G2198 &gt;= 25000, G2198 &lt; 75000), "Medium",
  AND(G2198 &gt;= 75000, G2198 &lt; 150000), "High",
  G2198 &gt;= 150000, "Very High"
)</f>
        <v>Medium</v>
      </c>
      <c r="I2198" s="6">
        <v>0</v>
      </c>
      <c r="J2198" s="6">
        <v>0</v>
      </c>
      <c r="K2198" s="6">
        <f t="shared" si="137"/>
        <v>0</v>
      </c>
      <c r="L2198" s="8">
        <v>41750</v>
      </c>
      <c r="M2198" t="str">
        <f t="shared" ca="1" si="138"/>
        <v>11 years, 10 months</v>
      </c>
      <c r="N2198" s="6">
        <v>25</v>
      </c>
      <c r="O2198">
        <v>7</v>
      </c>
      <c r="P2198">
        <v>2</v>
      </c>
      <c r="Q2198">
        <f t="shared" si="139"/>
        <v>9</v>
      </c>
      <c r="R2198">
        <v>3</v>
      </c>
      <c r="S2198">
        <v>4</v>
      </c>
      <c r="T2198">
        <f>Table[[#This Row],[NumWebPurchases]]+Table[[#This Row],[NumStorePurchases]]</f>
        <v>7</v>
      </c>
    </row>
    <row r="2199" spans="1:20" ht="12.5">
      <c r="A2199" s="6">
        <v>2197</v>
      </c>
      <c r="B2199" s="6">
        <v>10722</v>
      </c>
      <c r="C2199" s="6">
        <v>1973</v>
      </c>
      <c r="D2199" s="6">
        <f t="shared" si="136"/>
        <v>52</v>
      </c>
      <c r="E2199" s="7" t="s">
        <v>9</v>
      </c>
      <c r="F2199" s="7" t="s">
        <v>11</v>
      </c>
      <c r="G2199" s="6">
        <v>55593</v>
      </c>
      <c r="H2199" s="6" t="str" cm="1">
        <f t="array" ref="H2199">_xlfn.IFS(
  G2199 &lt; 25000, "Low",
  AND(G2199 &gt;= 25000, G2199 &lt; 75000), "Medium",
  AND(G2199 &gt;= 75000, G2199 &lt; 150000), "High",
  G2199 &gt;= 150000, "Very High"
)</f>
        <v>Medium</v>
      </c>
      <c r="I2199" s="6">
        <v>0</v>
      </c>
      <c r="J2199" s="6">
        <v>1</v>
      </c>
      <c r="K2199" s="6">
        <f t="shared" si="137"/>
        <v>1</v>
      </c>
      <c r="L2199" s="8">
        <v>41507</v>
      </c>
      <c r="M2199" t="str">
        <f t="shared" ca="1" si="138"/>
        <v>12 years, 6 months</v>
      </c>
      <c r="N2199" s="6">
        <v>63</v>
      </c>
      <c r="O2199">
        <v>8</v>
      </c>
      <c r="P2199">
        <v>4</v>
      </c>
      <c r="Q2199">
        <f t="shared" si="139"/>
        <v>12</v>
      </c>
      <c r="R2199">
        <v>6</v>
      </c>
      <c r="S2199">
        <v>3</v>
      </c>
      <c r="T2199">
        <f>Table[[#This Row],[NumWebPurchases]]+Table[[#This Row],[NumStorePurchases]]</f>
        <v>9</v>
      </c>
    </row>
    <row r="2200" spans="1:20" ht="12.5">
      <c r="A2200" s="6">
        <v>2198</v>
      </c>
      <c r="B2200" s="6">
        <v>2632</v>
      </c>
      <c r="C2200" s="6">
        <v>1954</v>
      </c>
      <c r="D2200" s="6">
        <f t="shared" si="136"/>
        <v>71</v>
      </c>
      <c r="E2200" s="7" t="s">
        <v>9</v>
      </c>
      <c r="F2200" s="7" t="s">
        <v>13</v>
      </c>
      <c r="G2200" s="6">
        <v>50501</v>
      </c>
      <c r="H2200" s="6" t="str" cm="1">
        <f t="array" ref="H2200">_xlfn.IFS(
  G2200 &lt; 25000, "Low",
  AND(G2200 &gt;= 25000, G2200 &lt; 75000), "Medium",
  AND(G2200 &gt;= 75000, G2200 &lt; 150000), "High",
  G2200 &gt;= 150000, "Very High"
)</f>
        <v>Medium</v>
      </c>
      <c r="I2200" s="6">
        <v>1</v>
      </c>
      <c r="J2200" s="6">
        <v>1</v>
      </c>
      <c r="K2200" s="6">
        <f t="shared" si="137"/>
        <v>2</v>
      </c>
      <c r="L2200" s="8">
        <v>41443</v>
      </c>
      <c r="M2200" t="str">
        <f t="shared" ca="1" si="138"/>
        <v>12 years, 8 months</v>
      </c>
      <c r="N2200" s="6">
        <v>10</v>
      </c>
      <c r="O2200">
        <v>0</v>
      </c>
      <c r="P2200">
        <v>0</v>
      </c>
      <c r="Q2200">
        <f t="shared" si="139"/>
        <v>0</v>
      </c>
      <c r="R2200">
        <v>5</v>
      </c>
      <c r="S2200">
        <v>4</v>
      </c>
      <c r="T2200">
        <f>Table[[#This Row],[NumWebPurchases]]+Table[[#This Row],[NumStorePurchases]]</f>
        <v>9</v>
      </c>
    </row>
    <row r="2201" spans="1:20" ht="12.5">
      <c r="A2201" s="6">
        <v>2199</v>
      </c>
      <c r="B2201" s="6">
        <v>9014</v>
      </c>
      <c r="C2201" s="6">
        <v>1975</v>
      </c>
      <c r="D2201" s="6">
        <f t="shared" si="136"/>
        <v>50</v>
      </c>
      <c r="E2201" s="7" t="s">
        <v>9</v>
      </c>
      <c r="F2201" s="7" t="s">
        <v>13</v>
      </c>
      <c r="G2201" s="6">
        <v>37085</v>
      </c>
      <c r="H2201" s="6" t="str" cm="1">
        <f t="array" ref="H2201">_xlfn.IFS(
  G2201 &lt; 25000, "Low",
  AND(G2201 &gt;= 25000, G2201 &lt; 75000), "Medium",
  AND(G2201 &gt;= 75000, G2201 &lt; 150000), "High",
  G2201 &gt;= 150000, "Very High"
)</f>
        <v>Medium</v>
      </c>
      <c r="I2201" s="6">
        <v>1</v>
      </c>
      <c r="J2201" s="6">
        <v>1</v>
      </c>
      <c r="K2201" s="6">
        <f t="shared" si="137"/>
        <v>2</v>
      </c>
      <c r="L2201" s="8">
        <v>41816</v>
      </c>
      <c r="M2201" t="str">
        <f t="shared" ca="1" si="138"/>
        <v>11 years, 8 months</v>
      </c>
      <c r="N2201" s="6">
        <v>65</v>
      </c>
      <c r="O2201">
        <v>1</v>
      </c>
      <c r="P2201">
        <v>0</v>
      </c>
      <c r="Q2201">
        <f t="shared" si="139"/>
        <v>1</v>
      </c>
      <c r="R2201">
        <v>3</v>
      </c>
      <c r="S2201">
        <v>3</v>
      </c>
      <c r="T2201">
        <f>Table[[#This Row],[NumWebPurchases]]+Table[[#This Row],[NumStorePurchases]]</f>
        <v>6</v>
      </c>
    </row>
    <row r="2202" spans="1:20" ht="12.5">
      <c r="A2202" s="6">
        <v>2200</v>
      </c>
      <c r="B2202" s="6">
        <v>7620</v>
      </c>
      <c r="C2202" s="6">
        <v>1990</v>
      </c>
      <c r="D2202" s="6">
        <f t="shared" si="136"/>
        <v>35</v>
      </c>
      <c r="E2202" s="7" t="s">
        <v>16</v>
      </c>
      <c r="F2202" s="7" t="s">
        <v>10</v>
      </c>
      <c r="G2202" s="6">
        <v>16185</v>
      </c>
      <c r="H2202" s="6" t="str" cm="1">
        <f t="array" ref="H2202">_xlfn.IFS(
  G2202 &lt; 25000, "Low",
  AND(G2202 &gt;= 25000, G2202 &lt; 75000), "Medium",
  AND(G2202 &gt;= 75000, G2202 &lt; 150000), "High",
  G2202 &gt;= 150000, "Very High"
)</f>
        <v>Low</v>
      </c>
      <c r="I2202" s="6">
        <v>1</v>
      </c>
      <c r="J2202" s="6">
        <v>0</v>
      </c>
      <c r="K2202" s="6">
        <f t="shared" si="137"/>
        <v>1</v>
      </c>
      <c r="L2202" s="8">
        <v>41491</v>
      </c>
      <c r="M2202" t="str">
        <f t="shared" ca="1" si="138"/>
        <v>12 years, 7 months</v>
      </c>
      <c r="N2202" s="6">
        <v>71</v>
      </c>
      <c r="O2202">
        <v>11</v>
      </c>
      <c r="P2202">
        <v>8</v>
      </c>
      <c r="Q2202">
        <f t="shared" si="139"/>
        <v>19</v>
      </c>
      <c r="R2202">
        <v>2</v>
      </c>
      <c r="S2202">
        <v>2</v>
      </c>
      <c r="T2202">
        <f>Table[[#This Row],[NumWebPurchases]]+Table[[#This Row],[NumStorePurchases]]</f>
        <v>4</v>
      </c>
    </row>
    <row r="2203" spans="1:20" ht="12.5">
      <c r="A2203" s="6">
        <v>2201</v>
      </c>
      <c r="B2203" s="6">
        <v>10968</v>
      </c>
      <c r="C2203" s="6">
        <v>1969</v>
      </c>
      <c r="D2203" s="6">
        <f t="shared" si="136"/>
        <v>56</v>
      </c>
      <c r="E2203" s="7" t="s">
        <v>9</v>
      </c>
      <c r="F2203" s="7" t="s">
        <v>10</v>
      </c>
      <c r="G2203" s="6">
        <v>57731</v>
      </c>
      <c r="H2203" s="6" t="str" cm="1">
        <f t="array" ref="H2203">_xlfn.IFS(
  G2203 &lt; 25000, "Low",
  AND(G2203 &gt;= 25000, G2203 &lt; 75000), "Medium",
  AND(G2203 &gt;= 75000, G2203 &lt; 150000), "High",
  G2203 &gt;= 150000, "Very High"
)</f>
        <v>Medium</v>
      </c>
      <c r="I2203" s="6">
        <v>0</v>
      </c>
      <c r="J2203" s="6">
        <v>1</v>
      </c>
      <c r="K2203" s="6">
        <f t="shared" si="137"/>
        <v>1</v>
      </c>
      <c r="L2203" s="9">
        <v>41236</v>
      </c>
      <c r="M2203" t="str">
        <f t="shared" ca="1" si="138"/>
        <v>13 years, 3 months</v>
      </c>
      <c r="N2203" s="6">
        <v>0</v>
      </c>
      <c r="O2203">
        <v>21</v>
      </c>
      <c r="P2203">
        <v>8</v>
      </c>
      <c r="Q2203">
        <f t="shared" si="139"/>
        <v>29</v>
      </c>
      <c r="R2203">
        <v>8</v>
      </c>
      <c r="S2203">
        <v>6</v>
      </c>
      <c r="T2203">
        <f>Table[[#This Row],[NumWebPurchases]]+Table[[#This Row],[NumStorePurchases]]</f>
        <v>14</v>
      </c>
    </row>
    <row r="2204" spans="1:20" ht="12.5">
      <c r="A2204" s="6">
        <v>2202</v>
      </c>
      <c r="B2204" s="6">
        <v>11133</v>
      </c>
      <c r="C2204" s="6">
        <v>1973</v>
      </c>
      <c r="D2204" s="6">
        <f t="shared" si="136"/>
        <v>52</v>
      </c>
      <c r="E2204" s="7" t="s">
        <v>12</v>
      </c>
      <c r="F2204" s="7" t="s">
        <v>21</v>
      </c>
      <c r="G2204" s="6">
        <v>48432</v>
      </c>
      <c r="H2204" s="6" t="str" cm="1">
        <f t="array" ref="H2204">_xlfn.IFS(
  G2204 &lt; 25000, "Low",
  AND(G2204 &gt;= 25000, G2204 &lt; 75000), "Medium",
  AND(G2204 &gt;= 75000, G2204 &lt; 150000), "High",
  G2204 &gt;= 150000, "Very High"
)</f>
        <v>Medium</v>
      </c>
      <c r="I2204" s="6">
        <v>0</v>
      </c>
      <c r="J2204" s="6">
        <v>1</v>
      </c>
      <c r="K2204" s="6">
        <f t="shared" si="137"/>
        <v>1</v>
      </c>
      <c r="L2204" s="9">
        <v>41200</v>
      </c>
      <c r="M2204" t="str">
        <f t="shared" ca="1" si="138"/>
        <v>13 years, 4 months</v>
      </c>
      <c r="N2204" s="6">
        <v>3</v>
      </c>
      <c r="O2204">
        <v>3</v>
      </c>
      <c r="P2204">
        <v>3</v>
      </c>
      <c r="Q2204">
        <f t="shared" si="139"/>
        <v>6</v>
      </c>
      <c r="R2204">
        <v>7</v>
      </c>
      <c r="S2204">
        <v>6</v>
      </c>
      <c r="T2204">
        <f>Table[[#This Row],[NumWebPurchases]]+Table[[#This Row],[NumStorePurchases]]</f>
        <v>13</v>
      </c>
    </row>
    <row r="2205" spans="1:20" ht="12.5">
      <c r="A2205" s="6">
        <v>2203</v>
      </c>
      <c r="B2205" s="6">
        <v>2736</v>
      </c>
      <c r="C2205" s="6">
        <v>1978</v>
      </c>
      <c r="D2205" s="6">
        <f t="shared" si="136"/>
        <v>47</v>
      </c>
      <c r="E2205" s="7" t="s">
        <v>9</v>
      </c>
      <c r="F2205" s="7" t="s">
        <v>13</v>
      </c>
      <c r="G2205" s="6">
        <v>73807</v>
      </c>
      <c r="H2205" s="6" t="str" cm="1">
        <f t="array" ref="H2205">_xlfn.IFS(
  G2205 &lt; 25000, "Low",
  AND(G2205 &gt;= 25000, G2205 &lt; 75000), "Medium",
  AND(G2205 &gt;= 75000, G2205 &lt; 150000), "High",
  G2205 &gt;= 150000, "Very High"
)</f>
        <v>Medium</v>
      </c>
      <c r="I2205" s="6">
        <v>0</v>
      </c>
      <c r="J2205" s="6">
        <v>1</v>
      </c>
      <c r="K2205" s="6">
        <f t="shared" si="137"/>
        <v>1</v>
      </c>
      <c r="L2205" s="8">
        <v>41276</v>
      </c>
      <c r="M2205" t="str">
        <f t="shared" ca="1" si="138"/>
        <v>13 years, 2 months</v>
      </c>
      <c r="N2205" s="6">
        <v>88</v>
      </c>
      <c r="O2205">
        <v>124</v>
      </c>
      <c r="P2205">
        <v>78</v>
      </c>
      <c r="Q2205">
        <f t="shared" si="139"/>
        <v>202</v>
      </c>
      <c r="R2205">
        <v>5</v>
      </c>
      <c r="S2205">
        <v>11</v>
      </c>
      <c r="T2205">
        <f>Table[[#This Row],[NumWebPurchases]]+Table[[#This Row],[NumStorePurchases]]</f>
        <v>16</v>
      </c>
    </row>
    <row r="2206" spans="1:20" ht="12.5">
      <c r="A2206" s="6">
        <v>2204</v>
      </c>
      <c r="B2206" s="6">
        <v>1876</v>
      </c>
      <c r="C2206" s="6">
        <v>1990</v>
      </c>
      <c r="D2206" s="6">
        <f t="shared" si="136"/>
        <v>35</v>
      </c>
      <c r="E2206" s="7" t="s">
        <v>9</v>
      </c>
      <c r="F2206" s="7" t="s">
        <v>13</v>
      </c>
      <c r="G2206" s="6">
        <v>18929</v>
      </c>
      <c r="H2206" s="6" t="str" cm="1">
        <f t="array" ref="H2206">_xlfn.IFS(
  G2206 &lt; 25000, "Low",
  AND(G2206 &gt;= 25000, G2206 &lt; 75000), "Medium",
  AND(G2206 &gt;= 75000, G2206 &lt; 150000), "High",
  G2206 &gt;= 150000, "Very High"
)</f>
        <v>Low</v>
      </c>
      <c r="I2206" s="6">
        <v>0</v>
      </c>
      <c r="J2206" s="6">
        <v>0</v>
      </c>
      <c r="K2206" s="6">
        <f t="shared" si="137"/>
        <v>0</v>
      </c>
      <c r="L2206" s="8">
        <v>41321</v>
      </c>
      <c r="M2206" t="str">
        <f t="shared" ca="1" si="138"/>
        <v>13 years, 0 months</v>
      </c>
      <c r="N2206" s="6">
        <v>15</v>
      </c>
      <c r="O2206">
        <v>0</v>
      </c>
      <c r="P2206">
        <v>4</v>
      </c>
      <c r="Q2206">
        <f t="shared" si="139"/>
        <v>4</v>
      </c>
      <c r="R2206">
        <v>1</v>
      </c>
      <c r="S2206">
        <v>4</v>
      </c>
      <c r="T2206">
        <f>Table[[#This Row],[NumWebPurchases]]+Table[[#This Row],[NumStorePurchases]]</f>
        <v>5</v>
      </c>
    </row>
    <row r="2207" spans="1:20" ht="12.5">
      <c r="A2207" s="6">
        <v>2205</v>
      </c>
      <c r="B2207" s="6">
        <v>5959</v>
      </c>
      <c r="C2207" s="6">
        <v>1968</v>
      </c>
      <c r="D2207" s="6">
        <f t="shared" si="136"/>
        <v>57</v>
      </c>
      <c r="E2207" s="7" t="s">
        <v>9</v>
      </c>
      <c r="F2207" s="7" t="s">
        <v>10</v>
      </c>
      <c r="G2207" s="6">
        <v>35893</v>
      </c>
      <c r="H2207" s="6" t="str" cm="1">
        <f t="array" ref="H2207">_xlfn.IFS(
  G2207 &lt; 25000, "Low",
  AND(G2207 &gt;= 25000, G2207 &lt; 75000), "Medium",
  AND(G2207 &gt;= 75000, G2207 &lt; 150000), "High",
  G2207 &gt;= 150000, "Very High"
)</f>
        <v>Medium</v>
      </c>
      <c r="I2207" s="6">
        <v>1</v>
      </c>
      <c r="J2207" s="6">
        <v>1</v>
      </c>
      <c r="K2207" s="6">
        <f t="shared" si="137"/>
        <v>2</v>
      </c>
      <c r="L2207" s="9">
        <v>41197</v>
      </c>
      <c r="M2207" t="str">
        <f t="shared" ca="1" si="138"/>
        <v>13 years, 4 months</v>
      </c>
      <c r="N2207" s="6">
        <v>80</v>
      </c>
      <c r="O2207">
        <v>0</v>
      </c>
      <c r="P2207">
        <v>0</v>
      </c>
      <c r="Q2207">
        <f t="shared" si="139"/>
        <v>0</v>
      </c>
      <c r="R2207">
        <v>3</v>
      </c>
      <c r="S2207">
        <v>5</v>
      </c>
      <c r="T2207">
        <f>Table[[#This Row],[NumWebPurchases]]+Table[[#This Row],[NumStorePurchases]]</f>
        <v>8</v>
      </c>
    </row>
    <row r="2208" spans="1:20" ht="12.5">
      <c r="A2208" s="6">
        <v>2206</v>
      </c>
      <c r="B2208" s="6">
        <v>1092</v>
      </c>
      <c r="C2208" s="6">
        <v>1980</v>
      </c>
      <c r="D2208" s="6">
        <f t="shared" si="136"/>
        <v>45</v>
      </c>
      <c r="E2208" s="7" t="s">
        <v>9</v>
      </c>
      <c r="F2208" s="7" t="s">
        <v>13</v>
      </c>
      <c r="G2208" s="6">
        <v>61014</v>
      </c>
      <c r="H2208" s="6" t="str" cm="1">
        <f t="array" ref="H2208">_xlfn.IFS(
  G2208 &lt; 25000, "Low",
  AND(G2208 &gt;= 25000, G2208 &lt; 75000), "Medium",
  AND(G2208 &gt;= 75000, G2208 &lt; 150000), "High",
  G2208 &gt;= 150000, "Very High"
)</f>
        <v>Medium</v>
      </c>
      <c r="I2208" s="6">
        <v>0</v>
      </c>
      <c r="J2208" s="6">
        <v>1</v>
      </c>
      <c r="K2208" s="6">
        <f t="shared" si="137"/>
        <v>1</v>
      </c>
      <c r="L2208" s="8">
        <v>41132</v>
      </c>
      <c r="M2208" t="str">
        <f t="shared" ca="1" si="138"/>
        <v>13 years, 6 months</v>
      </c>
      <c r="N2208" s="6">
        <v>17</v>
      </c>
      <c r="O2208">
        <v>129</v>
      </c>
      <c r="P2208">
        <v>43</v>
      </c>
      <c r="Q2208">
        <f t="shared" si="139"/>
        <v>172</v>
      </c>
      <c r="R2208">
        <v>9</v>
      </c>
      <c r="S2208">
        <v>4</v>
      </c>
      <c r="T2208">
        <f>Table[[#This Row],[NumWebPurchases]]+Table[[#This Row],[NumStorePurchases]]</f>
        <v>13</v>
      </c>
    </row>
    <row r="2209" spans="1:20" ht="12.5">
      <c r="A2209" s="6">
        <v>2207</v>
      </c>
      <c r="B2209" s="6">
        <v>4333</v>
      </c>
      <c r="C2209" s="6">
        <v>1954</v>
      </c>
      <c r="D2209" s="6">
        <f t="shared" si="136"/>
        <v>71</v>
      </c>
      <c r="E2209" s="7" t="s">
        <v>9</v>
      </c>
      <c r="F2209" s="7" t="s">
        <v>11</v>
      </c>
      <c r="G2209" s="6">
        <v>32144</v>
      </c>
      <c r="H2209" s="6" t="str" cm="1">
        <f t="array" ref="H2209">_xlfn.IFS(
  G2209 &lt; 25000, "Low",
  AND(G2209 &gt;= 25000, G2209 &lt; 75000), "Medium",
  AND(G2209 &gt;= 75000, G2209 &lt; 150000), "High",
  G2209 &gt;= 150000, "Very High"
)</f>
        <v>Medium</v>
      </c>
      <c r="I2209" s="6">
        <v>1</v>
      </c>
      <c r="J2209" s="6">
        <v>1</v>
      </c>
      <c r="K2209" s="6">
        <f t="shared" si="137"/>
        <v>2</v>
      </c>
      <c r="L2209" s="8">
        <v>41721</v>
      </c>
      <c r="M2209" t="str">
        <f t="shared" ca="1" si="138"/>
        <v>11 years, 11 months</v>
      </c>
      <c r="N2209" s="6">
        <v>76</v>
      </c>
      <c r="O2209">
        <v>0</v>
      </c>
      <c r="P2209">
        <v>0</v>
      </c>
      <c r="Q2209">
        <f t="shared" si="139"/>
        <v>0</v>
      </c>
      <c r="R2209">
        <v>2</v>
      </c>
      <c r="S2209">
        <v>3</v>
      </c>
      <c r="T2209">
        <f>Table[[#This Row],[NumWebPurchases]]+Table[[#This Row],[NumStorePurchases]]</f>
        <v>5</v>
      </c>
    </row>
    <row r="2210" spans="1:20" ht="12.5">
      <c r="A2210" s="6">
        <v>2208</v>
      </c>
      <c r="B2210" s="6">
        <v>3850</v>
      </c>
      <c r="C2210" s="6">
        <v>1963</v>
      </c>
      <c r="D2210" s="6">
        <f t="shared" si="136"/>
        <v>62</v>
      </c>
      <c r="E2210" s="7" t="s">
        <v>16</v>
      </c>
      <c r="F2210" s="7" t="s">
        <v>11</v>
      </c>
      <c r="G2210" s="6">
        <v>14918</v>
      </c>
      <c r="H2210" s="6" t="str" cm="1">
        <f t="array" ref="H2210">_xlfn.IFS(
  G2210 &lt; 25000, "Low",
  AND(G2210 &gt;= 25000, G2210 &lt; 75000), "Medium",
  AND(G2210 &gt;= 75000, G2210 &lt; 150000), "High",
  G2210 &gt;= 150000, "Very High"
)</f>
        <v>Low</v>
      </c>
      <c r="I2210" s="6">
        <v>0</v>
      </c>
      <c r="J2210" s="6">
        <v>1</v>
      </c>
      <c r="K2210" s="6">
        <f t="shared" si="137"/>
        <v>1</v>
      </c>
      <c r="L2210" s="8">
        <v>41250</v>
      </c>
      <c r="M2210" t="str">
        <f t="shared" ca="1" si="138"/>
        <v>13 years, 2 months</v>
      </c>
      <c r="N2210" s="6">
        <v>52</v>
      </c>
      <c r="O2210">
        <v>3</v>
      </c>
      <c r="P2210">
        <v>4</v>
      </c>
      <c r="Q2210">
        <f t="shared" si="139"/>
        <v>7</v>
      </c>
      <c r="R2210">
        <v>1</v>
      </c>
      <c r="S2210">
        <v>3</v>
      </c>
      <c r="T2210">
        <f>Table[[#This Row],[NumWebPurchases]]+Table[[#This Row],[NumStorePurchases]]</f>
        <v>4</v>
      </c>
    </row>
    <row r="2211" spans="1:20" ht="12.5">
      <c r="A2211" s="6">
        <v>2209</v>
      </c>
      <c r="B2211" s="6">
        <v>6168</v>
      </c>
      <c r="C2211" s="6">
        <v>1963</v>
      </c>
      <c r="D2211" s="6">
        <f t="shared" si="136"/>
        <v>62</v>
      </c>
      <c r="E2211" s="7" t="s">
        <v>9</v>
      </c>
      <c r="F2211" s="7" t="s">
        <v>15</v>
      </c>
      <c r="G2211" s="6">
        <v>45146</v>
      </c>
      <c r="H2211" s="6" t="str" cm="1">
        <f t="array" ref="H2211">_xlfn.IFS(
  G2211 &lt; 25000, "Low",
  AND(G2211 &gt;= 25000, G2211 &lt; 75000), "Medium",
  AND(G2211 &gt;= 75000, G2211 &lt; 150000), "High",
  G2211 &gt;= 150000, "Very High"
)</f>
        <v>Medium</v>
      </c>
      <c r="I2211" s="6">
        <v>1</v>
      </c>
      <c r="J2211" s="6">
        <v>1</v>
      </c>
      <c r="K2211" s="6">
        <f t="shared" si="137"/>
        <v>2</v>
      </c>
      <c r="L2211" s="8">
        <v>41470</v>
      </c>
      <c r="M2211" t="str">
        <f t="shared" ca="1" si="138"/>
        <v>12 years, 7 months</v>
      </c>
      <c r="N2211" s="6">
        <v>28</v>
      </c>
      <c r="O2211">
        <v>0</v>
      </c>
      <c r="P2211">
        <v>0</v>
      </c>
      <c r="Q2211">
        <f t="shared" si="139"/>
        <v>0</v>
      </c>
      <c r="R2211">
        <v>1</v>
      </c>
      <c r="S2211">
        <v>2</v>
      </c>
      <c r="T2211">
        <f>Table[[#This Row],[NumWebPurchases]]+Table[[#This Row],[NumStorePurchases]]</f>
        <v>3</v>
      </c>
    </row>
    <row r="2212" spans="1:20" ht="12.5">
      <c r="A2212" s="6">
        <v>2210</v>
      </c>
      <c r="B2212" s="6">
        <v>607</v>
      </c>
      <c r="C2212" s="6">
        <v>1955</v>
      </c>
      <c r="D2212" s="6">
        <f t="shared" si="136"/>
        <v>70</v>
      </c>
      <c r="E2212" s="7" t="s">
        <v>17</v>
      </c>
      <c r="F2212" s="7" t="s">
        <v>15</v>
      </c>
      <c r="G2212" s="6">
        <v>41769</v>
      </c>
      <c r="H2212" s="6" t="str" cm="1">
        <f t="array" ref="H2212">_xlfn.IFS(
  G2212 &lt; 25000, "Low",
  AND(G2212 &gt;= 25000, G2212 &lt; 75000), "Medium",
  AND(G2212 &gt;= 75000, G2212 &lt; 150000), "High",
  G2212 &gt;= 150000, "Very High"
)</f>
        <v>Medium</v>
      </c>
      <c r="I2212" s="6">
        <v>0</v>
      </c>
      <c r="J2212" s="6">
        <v>1</v>
      </c>
      <c r="K2212" s="6">
        <f t="shared" si="137"/>
        <v>1</v>
      </c>
      <c r="L2212" s="8">
        <v>41318</v>
      </c>
      <c r="M2212" t="str">
        <f t="shared" ca="1" si="138"/>
        <v>13 years, 0 months</v>
      </c>
      <c r="N2212" s="6">
        <v>31</v>
      </c>
      <c r="O2212">
        <v>29</v>
      </c>
      <c r="P2212">
        <v>0</v>
      </c>
      <c r="Q2212">
        <f t="shared" si="139"/>
        <v>29</v>
      </c>
      <c r="R2212">
        <v>8</v>
      </c>
      <c r="S2212">
        <v>7</v>
      </c>
      <c r="T2212">
        <f>Table[[#This Row],[NumWebPurchases]]+Table[[#This Row],[NumStorePurchases]]</f>
        <v>15</v>
      </c>
    </row>
    <row r="2213" spans="1:20" ht="12.5">
      <c r="A2213" s="6">
        <v>2211</v>
      </c>
      <c r="B2213" s="6">
        <v>10469</v>
      </c>
      <c r="C2213" s="6">
        <v>1981</v>
      </c>
      <c r="D2213" s="6">
        <f t="shared" si="136"/>
        <v>44</v>
      </c>
      <c r="E2213" s="7" t="s">
        <v>9</v>
      </c>
      <c r="F2213" s="7" t="s">
        <v>11</v>
      </c>
      <c r="G2213" s="6">
        <v>88325</v>
      </c>
      <c r="H2213" s="6" t="str" cm="1">
        <f t="array" ref="H2213">_xlfn.IFS(
  G2213 &lt; 25000, "Low",
  AND(G2213 &gt;= 25000, G2213 &lt; 75000), "Medium",
  AND(G2213 &gt;= 75000, G2213 &lt; 150000), "High",
  G2213 &gt;= 150000, "Very High"
)</f>
        <v>High</v>
      </c>
      <c r="I2213" s="6">
        <v>0</v>
      </c>
      <c r="J2213" s="6">
        <v>0</v>
      </c>
      <c r="K2213" s="6">
        <f t="shared" si="137"/>
        <v>0</v>
      </c>
      <c r="L2213" s="8">
        <v>41675</v>
      </c>
      <c r="M2213" t="str">
        <f t="shared" ca="1" si="138"/>
        <v>12 years, 1 months</v>
      </c>
      <c r="N2213" s="6">
        <v>42</v>
      </c>
      <c r="O2213">
        <v>71</v>
      </c>
      <c r="P2213">
        <v>27</v>
      </c>
      <c r="Q2213">
        <f t="shared" si="139"/>
        <v>98</v>
      </c>
      <c r="R2213">
        <v>6</v>
      </c>
      <c r="S2213">
        <v>9</v>
      </c>
      <c r="T2213">
        <f>Table[[#This Row],[NumWebPurchases]]+Table[[#This Row],[NumStorePurchases]]</f>
        <v>15</v>
      </c>
    </row>
    <row r="2214" spans="1:20" ht="12.5">
      <c r="A2214" s="6">
        <v>2212</v>
      </c>
      <c r="B2214" s="6">
        <v>6983</v>
      </c>
      <c r="C2214" s="6">
        <v>1950</v>
      </c>
      <c r="D2214" s="6">
        <f t="shared" si="136"/>
        <v>75</v>
      </c>
      <c r="E2214" s="7" t="s">
        <v>14</v>
      </c>
      <c r="F2214" s="7" t="s">
        <v>15</v>
      </c>
      <c r="G2214" s="6">
        <v>38054</v>
      </c>
      <c r="H2214" s="6" t="str" cm="1">
        <f t="array" ref="H2214">_xlfn.IFS(
  G2214 &lt; 25000, "Low",
  AND(G2214 &gt;= 25000, G2214 &lt; 75000), "Medium",
  AND(G2214 &gt;= 75000, G2214 &lt; 150000), "High",
  G2214 &gt;= 150000, "Very High"
)</f>
        <v>Medium</v>
      </c>
      <c r="I2214" s="6">
        <v>1</v>
      </c>
      <c r="J2214" s="6">
        <v>1</v>
      </c>
      <c r="K2214" s="6">
        <f t="shared" si="137"/>
        <v>2</v>
      </c>
      <c r="L2214" s="8">
        <v>41760</v>
      </c>
      <c r="M2214" t="str">
        <f t="shared" ca="1" si="138"/>
        <v>11 years, 10 months</v>
      </c>
      <c r="N2214" s="6">
        <v>24</v>
      </c>
      <c r="O2214">
        <v>2</v>
      </c>
      <c r="P2214">
        <v>1</v>
      </c>
      <c r="Q2214">
        <f t="shared" si="139"/>
        <v>3</v>
      </c>
      <c r="R2214">
        <v>2</v>
      </c>
      <c r="S2214">
        <v>3</v>
      </c>
      <c r="T2214">
        <f>Table[[#This Row],[NumWebPurchases]]+Table[[#This Row],[NumStorePurchases]]</f>
        <v>5</v>
      </c>
    </row>
    <row r="2215" spans="1:20" ht="12.5">
      <c r="A2215" s="6">
        <v>2213</v>
      </c>
      <c r="B2215" s="6">
        <v>3661</v>
      </c>
      <c r="C2215" s="6">
        <v>1995</v>
      </c>
      <c r="D2215" s="6">
        <f t="shared" si="136"/>
        <v>30</v>
      </c>
      <c r="E2215" s="7" t="s">
        <v>17</v>
      </c>
      <c r="F2215" s="7" t="s">
        <v>10</v>
      </c>
      <c r="G2215" s="6">
        <v>80617</v>
      </c>
      <c r="H2215" s="6" t="str" cm="1">
        <f t="array" ref="H2215">_xlfn.IFS(
  G2215 &lt; 25000, "Low",
  AND(G2215 &gt;= 25000, G2215 &lt; 75000), "Medium",
  AND(G2215 &gt;= 75000, G2215 &lt; 150000), "High",
  G2215 &gt;= 150000, "Very High"
)</f>
        <v>High</v>
      </c>
      <c r="I2215" s="6">
        <v>0</v>
      </c>
      <c r="J2215" s="6">
        <v>0</v>
      </c>
      <c r="K2215" s="6">
        <f t="shared" si="137"/>
        <v>0</v>
      </c>
      <c r="L2215" s="9">
        <v>41194</v>
      </c>
      <c r="M2215" t="str">
        <f t="shared" ca="1" si="138"/>
        <v>13 years, 4 months</v>
      </c>
      <c r="N2215" s="6">
        <v>42</v>
      </c>
      <c r="O2215">
        <v>51</v>
      </c>
      <c r="P2215">
        <v>55</v>
      </c>
      <c r="Q2215">
        <f t="shared" si="139"/>
        <v>106</v>
      </c>
      <c r="R2215">
        <v>4</v>
      </c>
      <c r="S2215">
        <v>8</v>
      </c>
      <c r="T2215">
        <f>Table[[#This Row],[NumWebPurchases]]+Table[[#This Row],[NumStorePurchases]]</f>
        <v>12</v>
      </c>
    </row>
    <row r="2216" spans="1:20" ht="12.5">
      <c r="A2216" s="6">
        <v>2214</v>
      </c>
      <c r="B2216" s="6">
        <v>9303</v>
      </c>
      <c r="C2216" s="6">
        <v>1976</v>
      </c>
      <c r="D2216" s="6">
        <f t="shared" si="136"/>
        <v>49</v>
      </c>
      <c r="E2216" s="7" t="s">
        <v>9</v>
      </c>
      <c r="F2216" s="7" t="s">
        <v>13</v>
      </c>
      <c r="G2216" s="6">
        <v>5305</v>
      </c>
      <c r="H2216" s="6" t="str" cm="1">
        <f t="array" ref="H2216">_xlfn.IFS(
  G2216 &lt; 25000, "Low",
  AND(G2216 &gt;= 25000, G2216 &lt; 75000), "Medium",
  AND(G2216 &gt;= 75000, G2216 &lt; 150000), "High",
  G2216 &gt;= 150000, "Very High"
)</f>
        <v>Low</v>
      </c>
      <c r="I2216" s="6">
        <v>0</v>
      </c>
      <c r="J2216" s="6">
        <v>1</v>
      </c>
      <c r="K2216" s="6">
        <f t="shared" si="137"/>
        <v>1</v>
      </c>
      <c r="L2216" s="8">
        <v>41485</v>
      </c>
      <c r="M2216" t="str">
        <f t="shared" ca="1" si="138"/>
        <v>12 years, 7 months</v>
      </c>
      <c r="N2216" s="6">
        <v>12</v>
      </c>
      <c r="O2216">
        <v>4</v>
      </c>
      <c r="P2216">
        <v>3</v>
      </c>
      <c r="Q2216">
        <f t="shared" si="139"/>
        <v>7</v>
      </c>
      <c r="R2216">
        <v>1</v>
      </c>
      <c r="S2216">
        <v>0</v>
      </c>
      <c r="T2216">
        <f>Table[[#This Row],[NumWebPurchases]]+Table[[#This Row],[NumStorePurchases]]</f>
        <v>1</v>
      </c>
    </row>
    <row r="2217" spans="1:20" ht="12.5">
      <c r="A2217" s="6">
        <v>2215</v>
      </c>
      <c r="B2217" s="6">
        <v>692</v>
      </c>
      <c r="C2217" s="6">
        <v>1954</v>
      </c>
      <c r="D2217" s="6">
        <f t="shared" si="136"/>
        <v>71</v>
      </c>
      <c r="E2217" s="7" t="s">
        <v>9</v>
      </c>
      <c r="F2217" s="7" t="s">
        <v>11</v>
      </c>
      <c r="G2217" s="6">
        <v>36807</v>
      </c>
      <c r="H2217" s="6" t="str" cm="1">
        <f t="array" ref="H2217">_xlfn.IFS(
  G2217 &lt; 25000, "Low",
  AND(G2217 &gt;= 25000, G2217 &lt; 75000), "Medium",
  AND(G2217 &gt;= 75000, G2217 &lt; 150000), "High",
  G2217 &gt;= 150000, "Very High"
)</f>
        <v>Medium</v>
      </c>
      <c r="I2217" s="6">
        <v>1</v>
      </c>
      <c r="J2217" s="6">
        <v>1</v>
      </c>
      <c r="K2217" s="6">
        <f t="shared" si="137"/>
        <v>2</v>
      </c>
      <c r="L2217" s="9">
        <v>41263</v>
      </c>
      <c r="M2217" t="str">
        <f t="shared" ca="1" si="138"/>
        <v>13 years, 2 months</v>
      </c>
      <c r="N2217" s="6">
        <v>88</v>
      </c>
      <c r="O2217">
        <v>2</v>
      </c>
      <c r="P2217">
        <v>0</v>
      </c>
      <c r="Q2217">
        <f t="shared" si="139"/>
        <v>2</v>
      </c>
      <c r="R2217">
        <v>1</v>
      </c>
      <c r="S2217">
        <v>2</v>
      </c>
      <c r="T2217">
        <f>Table[[#This Row],[NumWebPurchases]]+Table[[#This Row],[NumStorePurchases]]</f>
        <v>3</v>
      </c>
    </row>
    <row r="2218" spans="1:20" ht="12.5">
      <c r="A2218" s="6">
        <v>2216</v>
      </c>
      <c r="B2218" s="6">
        <v>736</v>
      </c>
      <c r="C2218" s="6">
        <v>1983</v>
      </c>
      <c r="D2218" s="6">
        <f t="shared" si="136"/>
        <v>42</v>
      </c>
      <c r="E2218" s="7" t="s">
        <v>9</v>
      </c>
      <c r="F2218" s="7" t="s">
        <v>11</v>
      </c>
      <c r="G2218" s="6">
        <v>28427</v>
      </c>
      <c r="H2218" s="6" t="str" cm="1">
        <f t="array" ref="H2218">_xlfn.IFS(
  G2218 &lt; 25000, "Low",
  AND(G2218 &gt;= 25000, G2218 &lt; 75000), "Medium",
  AND(G2218 &gt;= 75000, G2218 &lt; 150000), "High",
  G2218 &gt;= 150000, "Very High"
)</f>
        <v>Medium</v>
      </c>
      <c r="I2218" s="6">
        <v>1</v>
      </c>
      <c r="J2218" s="6">
        <v>0</v>
      </c>
      <c r="K2218" s="6">
        <f t="shared" si="137"/>
        <v>1</v>
      </c>
      <c r="L2218" s="8">
        <v>41354</v>
      </c>
      <c r="M2218" t="str">
        <f t="shared" ca="1" si="138"/>
        <v>12 years, 11 months</v>
      </c>
      <c r="N2218" s="6">
        <v>67</v>
      </c>
      <c r="O2218">
        <v>3</v>
      </c>
      <c r="P2218">
        <v>3</v>
      </c>
      <c r="Q2218">
        <f t="shared" si="139"/>
        <v>6</v>
      </c>
      <c r="R2218">
        <v>2</v>
      </c>
      <c r="S2218">
        <v>3</v>
      </c>
      <c r="T2218">
        <f>Table[[#This Row],[NumWebPurchases]]+Table[[#This Row],[NumStorePurchases]]</f>
        <v>5</v>
      </c>
    </row>
    <row r="2219" spans="1:20" ht="12.5">
      <c r="A2219" s="6">
        <v>2217</v>
      </c>
      <c r="B2219" s="6">
        <v>9589</v>
      </c>
      <c r="C2219" s="6">
        <v>1948</v>
      </c>
      <c r="D2219" s="6">
        <f t="shared" si="136"/>
        <v>77</v>
      </c>
      <c r="E2219" s="7" t="s">
        <v>12</v>
      </c>
      <c r="F2219" s="7" t="s">
        <v>18</v>
      </c>
      <c r="G2219" s="6">
        <v>82032</v>
      </c>
      <c r="H2219" s="6" t="str" cm="1">
        <f t="array" ref="H2219">_xlfn.IFS(
  G2219 &lt; 25000, "Low",
  AND(G2219 &gt;= 25000, G2219 &lt; 75000), "Medium",
  AND(G2219 &gt;= 75000, G2219 &lt; 150000), "High",
  G2219 &gt;= 150000, "Very High"
)</f>
        <v>High</v>
      </c>
      <c r="I2219" s="6">
        <v>0</v>
      </c>
      <c r="J2219" s="6">
        <v>0</v>
      </c>
      <c r="K2219" s="6">
        <f t="shared" si="137"/>
        <v>0</v>
      </c>
      <c r="L2219" s="8">
        <v>41734</v>
      </c>
      <c r="M2219" t="str">
        <f t="shared" ca="1" si="138"/>
        <v>11 years, 11 months</v>
      </c>
      <c r="N2219" s="6">
        <v>54</v>
      </c>
      <c r="O2219">
        <v>194</v>
      </c>
      <c r="P2219">
        <v>125</v>
      </c>
      <c r="Q2219">
        <f t="shared" si="139"/>
        <v>319</v>
      </c>
      <c r="R2219">
        <v>4</v>
      </c>
      <c r="S2219">
        <v>7</v>
      </c>
      <c r="T2219">
        <f>Table[[#This Row],[NumWebPurchases]]+Table[[#This Row],[NumStorePurchases]]</f>
        <v>11</v>
      </c>
    </row>
    <row r="2220" spans="1:20" ht="12.5">
      <c r="A2220" s="6">
        <v>2218</v>
      </c>
      <c r="B2220" s="6">
        <v>4838</v>
      </c>
      <c r="C2220" s="6">
        <v>1978</v>
      </c>
      <c r="D2220" s="6">
        <f t="shared" si="136"/>
        <v>47</v>
      </c>
      <c r="E2220" s="7" t="s">
        <v>9</v>
      </c>
      <c r="F2220" s="7" t="s">
        <v>11</v>
      </c>
      <c r="G2220" s="6">
        <v>22775</v>
      </c>
      <c r="H2220" s="6" t="str" cm="1">
        <f t="array" ref="H2220">_xlfn.IFS(
  G2220 &lt; 25000, "Low",
  AND(G2220 &gt;= 25000, G2220 &lt; 75000), "Medium",
  AND(G2220 &gt;= 75000, G2220 &lt; 150000), "High",
  G2220 &gt;= 150000, "Very High"
)</f>
        <v>Low</v>
      </c>
      <c r="I2220" s="6">
        <v>1</v>
      </c>
      <c r="J2220" s="6">
        <v>0</v>
      </c>
      <c r="K2220" s="6">
        <f t="shared" si="137"/>
        <v>1</v>
      </c>
      <c r="L2220" s="8">
        <v>41444</v>
      </c>
      <c r="M2220" t="str">
        <f t="shared" ca="1" si="138"/>
        <v>12 years, 8 months</v>
      </c>
      <c r="N2220" s="6">
        <v>40</v>
      </c>
      <c r="O2220">
        <v>1</v>
      </c>
      <c r="P2220">
        <v>0</v>
      </c>
      <c r="Q2220">
        <f t="shared" si="139"/>
        <v>1</v>
      </c>
      <c r="R2220">
        <v>1</v>
      </c>
      <c r="S2220">
        <v>2</v>
      </c>
      <c r="T2220">
        <f>Table[[#This Row],[NumWebPurchases]]+Table[[#This Row],[NumStorePurchases]]</f>
        <v>3</v>
      </c>
    </row>
    <row r="2221" spans="1:20" ht="12.5">
      <c r="A2221" s="6">
        <v>2219</v>
      </c>
      <c r="B2221" s="6">
        <v>9246</v>
      </c>
      <c r="C2221" s="6">
        <v>1985</v>
      </c>
      <c r="D2221" s="6">
        <f t="shared" si="136"/>
        <v>40</v>
      </c>
      <c r="E2221" s="7" t="s">
        <v>14</v>
      </c>
      <c r="F2221" s="7" t="s">
        <v>11</v>
      </c>
      <c r="G2221" s="6">
        <v>40101</v>
      </c>
      <c r="H2221" s="6" t="str" cm="1">
        <f t="array" ref="H2221">_xlfn.IFS(
  G2221 &lt; 25000, "Low",
  AND(G2221 &gt;= 25000, G2221 &lt; 75000), "Medium",
  AND(G2221 &gt;= 75000, G2221 &lt; 150000), "High",
  G2221 &gt;= 150000, "Very High"
)</f>
        <v>Medium</v>
      </c>
      <c r="I2221" s="6">
        <v>1</v>
      </c>
      <c r="J2221" s="6">
        <v>0</v>
      </c>
      <c r="K2221" s="6">
        <f t="shared" si="137"/>
        <v>1</v>
      </c>
      <c r="L2221" s="9">
        <v>41196</v>
      </c>
      <c r="M2221" t="str">
        <f t="shared" ca="1" si="138"/>
        <v>13 years, 4 months</v>
      </c>
      <c r="N2221" s="6">
        <v>73</v>
      </c>
      <c r="O2221">
        <v>3</v>
      </c>
      <c r="P2221">
        <v>24</v>
      </c>
      <c r="Q2221">
        <f t="shared" si="139"/>
        <v>27</v>
      </c>
      <c r="R2221">
        <v>6</v>
      </c>
      <c r="S2221">
        <v>6</v>
      </c>
      <c r="T2221">
        <f>Table[[#This Row],[NumWebPurchases]]+Table[[#This Row],[NumStorePurchases]]</f>
        <v>12</v>
      </c>
    </row>
    <row r="2222" spans="1:20" ht="12.5">
      <c r="A2222" s="6">
        <v>2220</v>
      </c>
      <c r="B2222" s="6">
        <v>6261</v>
      </c>
      <c r="C2222" s="6">
        <v>1979</v>
      </c>
      <c r="D2222" s="6">
        <f t="shared" si="136"/>
        <v>46</v>
      </c>
      <c r="E2222" s="7" t="s">
        <v>9</v>
      </c>
      <c r="F2222" s="7" t="s">
        <v>13</v>
      </c>
      <c r="G2222" s="6">
        <v>58025</v>
      </c>
      <c r="H2222" s="6" t="str" cm="1">
        <f t="array" ref="H2222">_xlfn.IFS(
  G2222 &lt; 25000, "Low",
  AND(G2222 &gt;= 25000, G2222 &lt; 75000), "Medium",
  AND(G2222 &gt;= 75000, G2222 &lt; 150000), "High",
  G2222 &gt;= 150000, "Very High"
)</f>
        <v>Medium</v>
      </c>
      <c r="I2222" s="6">
        <v>0</v>
      </c>
      <c r="J2222" s="6">
        <v>1</v>
      </c>
      <c r="K2222" s="6">
        <f t="shared" si="137"/>
        <v>1</v>
      </c>
      <c r="L2222" s="9">
        <v>41604</v>
      </c>
      <c r="M2222" t="str">
        <f t="shared" ca="1" si="138"/>
        <v>12 years, 3 months</v>
      </c>
      <c r="N2222" s="6">
        <v>81</v>
      </c>
      <c r="O2222">
        <v>31</v>
      </c>
      <c r="P2222">
        <v>48</v>
      </c>
      <c r="Q2222">
        <f t="shared" si="139"/>
        <v>79</v>
      </c>
      <c r="R2222">
        <v>3</v>
      </c>
      <c r="S2222">
        <v>10</v>
      </c>
      <c r="T2222">
        <f>Table[[#This Row],[NumWebPurchases]]+Table[[#This Row],[NumStorePurchases]]</f>
        <v>13</v>
      </c>
    </row>
    <row r="2223" spans="1:20" ht="12.5">
      <c r="A2223" s="6">
        <v>2221</v>
      </c>
      <c r="B2223" s="6">
        <v>7366</v>
      </c>
      <c r="C2223" s="6">
        <v>1982</v>
      </c>
      <c r="D2223" s="6">
        <f t="shared" si="136"/>
        <v>43</v>
      </c>
      <c r="E2223" s="7" t="s">
        <v>14</v>
      </c>
      <c r="F2223" s="7" t="s">
        <v>10</v>
      </c>
      <c r="G2223" s="6">
        <v>75777</v>
      </c>
      <c r="H2223" s="6" t="str" cm="1">
        <f t="array" ref="H2223">_xlfn.IFS(
  G2223 &lt; 25000, "Low",
  AND(G2223 &gt;= 25000, G2223 &lt; 75000), "Medium",
  AND(G2223 &gt;= 75000, G2223 &lt; 150000), "High",
  G2223 &gt;= 150000, "Very High"
)</f>
        <v>High</v>
      </c>
      <c r="I2223" s="6">
        <v>0</v>
      </c>
      <c r="J2223" s="6">
        <v>0</v>
      </c>
      <c r="K2223" s="6">
        <f t="shared" si="137"/>
        <v>0</v>
      </c>
      <c r="L2223" s="8">
        <v>41459</v>
      </c>
      <c r="M2223" t="str">
        <f t="shared" ca="1" si="138"/>
        <v>12 years, 8 months</v>
      </c>
      <c r="N2223" s="6">
        <v>12</v>
      </c>
      <c r="O2223">
        <v>26</v>
      </c>
      <c r="P2223">
        <v>13</v>
      </c>
      <c r="Q2223">
        <f t="shared" si="139"/>
        <v>39</v>
      </c>
      <c r="R2223">
        <v>3</v>
      </c>
      <c r="S2223">
        <v>11</v>
      </c>
      <c r="T2223">
        <f>Table[[#This Row],[NumWebPurchases]]+Table[[#This Row],[NumStorePurchases]]</f>
        <v>14</v>
      </c>
    </row>
    <row r="2224" spans="1:20" ht="12.5">
      <c r="A2224" s="6">
        <v>2222</v>
      </c>
      <c r="B2224" s="6">
        <v>10659</v>
      </c>
      <c r="C2224" s="6">
        <v>1979</v>
      </c>
      <c r="D2224" s="6">
        <f t="shared" si="136"/>
        <v>46</v>
      </c>
      <c r="E2224" s="7" t="s">
        <v>17</v>
      </c>
      <c r="F2224" s="7" t="s">
        <v>11</v>
      </c>
      <c r="G2224" s="6">
        <v>7500</v>
      </c>
      <c r="H2224" s="6" t="str" cm="1">
        <f t="array" ref="H2224">_xlfn.IFS(
  G2224 &lt; 25000, "Low",
  AND(G2224 &gt;= 25000, G2224 &lt; 75000), "Medium",
  AND(G2224 &gt;= 75000, G2224 &lt; 150000), "High",
  G2224 &gt;= 150000, "Very High"
)</f>
        <v>Low</v>
      </c>
      <c r="I2224" s="6">
        <v>1</v>
      </c>
      <c r="J2224" s="6">
        <v>0</v>
      </c>
      <c r="K2224" s="6">
        <f t="shared" si="137"/>
        <v>1</v>
      </c>
      <c r="L2224" s="8">
        <v>41401</v>
      </c>
      <c r="M2224" t="str">
        <f t="shared" ca="1" si="138"/>
        <v>12 years, 9 months</v>
      </c>
      <c r="N2224" s="6">
        <v>7</v>
      </c>
      <c r="O2224">
        <v>8</v>
      </c>
      <c r="P2224">
        <v>8</v>
      </c>
      <c r="Q2224">
        <f t="shared" si="139"/>
        <v>16</v>
      </c>
      <c r="R2224">
        <v>3</v>
      </c>
      <c r="S2224">
        <v>2</v>
      </c>
      <c r="T2224">
        <f>Table[[#This Row],[NumWebPurchases]]+Table[[#This Row],[NumStorePurchases]]</f>
        <v>5</v>
      </c>
    </row>
    <row r="2225" spans="1:20" ht="12.5">
      <c r="A2225" s="6">
        <v>2223</v>
      </c>
      <c r="B2225" s="6">
        <v>1448</v>
      </c>
      <c r="C2225" s="6">
        <v>1963</v>
      </c>
      <c r="D2225" s="6">
        <f t="shared" si="136"/>
        <v>62</v>
      </c>
      <c r="E2225" s="7" t="s">
        <v>14</v>
      </c>
      <c r="F2225" s="7" t="s">
        <v>13</v>
      </c>
      <c r="G2225" s="6">
        <v>33562</v>
      </c>
      <c r="H2225" s="6" t="str" cm="1">
        <f t="array" ref="H2225">_xlfn.IFS(
  G2225 &lt; 25000, "Low",
  AND(G2225 &gt;= 25000, G2225 &lt; 75000), "Medium",
  AND(G2225 &gt;= 75000, G2225 &lt; 150000), "High",
  G2225 &gt;= 150000, "Very High"
)</f>
        <v>Medium</v>
      </c>
      <c r="I2225" s="6">
        <v>1</v>
      </c>
      <c r="J2225" s="6">
        <v>2</v>
      </c>
      <c r="K2225" s="6">
        <f t="shared" si="137"/>
        <v>3</v>
      </c>
      <c r="L2225" s="8">
        <v>41815</v>
      </c>
      <c r="M2225" t="str">
        <f t="shared" ca="1" si="138"/>
        <v>11 years, 8 months</v>
      </c>
      <c r="N2225" s="6">
        <v>33</v>
      </c>
      <c r="O2225">
        <v>12</v>
      </c>
      <c r="P2225">
        <v>3</v>
      </c>
      <c r="Q2225">
        <f t="shared" si="139"/>
        <v>15</v>
      </c>
      <c r="R2225">
        <v>2</v>
      </c>
      <c r="S2225">
        <v>4</v>
      </c>
      <c r="T2225">
        <f>Table[[#This Row],[NumWebPurchases]]+Table[[#This Row],[NumStorePurchases]]</f>
        <v>6</v>
      </c>
    </row>
    <row r="2226" spans="1:20" ht="12.5">
      <c r="A2226" s="6">
        <v>2224</v>
      </c>
      <c r="B2226" s="6">
        <v>4286</v>
      </c>
      <c r="C2226" s="6">
        <v>1970</v>
      </c>
      <c r="D2226" s="6">
        <f t="shared" si="136"/>
        <v>55</v>
      </c>
      <c r="E2226" s="7" t="s">
        <v>12</v>
      </c>
      <c r="F2226" s="7" t="s">
        <v>10</v>
      </c>
      <c r="G2226" s="6">
        <v>57642</v>
      </c>
      <c r="H2226" s="6" t="str" cm="1">
        <f t="array" ref="H2226">_xlfn.IFS(
  G2226 &lt; 25000, "Low",
  AND(G2226 &gt;= 25000, G2226 &lt; 75000), "Medium",
  AND(G2226 &gt;= 75000, G2226 &lt; 150000), "High",
  G2226 &gt;= 150000, "Very High"
)</f>
        <v>Medium</v>
      </c>
      <c r="I2226" s="6">
        <v>0</v>
      </c>
      <c r="J2226" s="6">
        <v>1</v>
      </c>
      <c r="K2226" s="6">
        <f t="shared" si="137"/>
        <v>1</v>
      </c>
      <c r="L2226" s="8">
        <v>41648</v>
      </c>
      <c r="M2226" t="str">
        <f t="shared" ca="1" si="138"/>
        <v>12 years, 1 months</v>
      </c>
      <c r="N2226" s="6">
        <v>24</v>
      </c>
      <c r="O2226">
        <v>6</v>
      </c>
      <c r="P2226">
        <v>0</v>
      </c>
      <c r="Q2226">
        <f t="shared" si="139"/>
        <v>6</v>
      </c>
      <c r="R2226">
        <v>7</v>
      </c>
      <c r="S2226">
        <v>6</v>
      </c>
      <c r="T2226">
        <f>Table[[#This Row],[NumWebPurchases]]+Table[[#This Row],[NumStorePurchases]]</f>
        <v>13</v>
      </c>
    </row>
    <row r="2227" spans="1:20" ht="12.5">
      <c r="A2227" s="6">
        <v>2225</v>
      </c>
      <c r="B2227" s="6">
        <v>4749</v>
      </c>
      <c r="C2227" s="6">
        <v>1968</v>
      </c>
      <c r="D2227" s="6">
        <f t="shared" si="136"/>
        <v>57</v>
      </c>
      <c r="E2227" s="7" t="s">
        <v>9</v>
      </c>
      <c r="F2227" s="7" t="s">
        <v>11</v>
      </c>
      <c r="G2227" s="6">
        <v>58554</v>
      </c>
      <c r="H2227" s="6" t="str" cm="1">
        <f t="array" ref="H2227">_xlfn.IFS(
  G2227 &lt; 25000, "Low",
  AND(G2227 &gt;= 25000, G2227 &lt; 75000), "Medium",
  AND(G2227 &gt;= 75000, G2227 &lt; 150000), "High",
  G2227 &gt;= 150000, "Very High"
)</f>
        <v>Medium</v>
      </c>
      <c r="I2227" s="6">
        <v>1</v>
      </c>
      <c r="J2227" s="6">
        <v>1</v>
      </c>
      <c r="K2227" s="6">
        <f t="shared" si="137"/>
        <v>2</v>
      </c>
      <c r="L2227" s="8">
        <v>41178</v>
      </c>
      <c r="M2227" t="str">
        <f t="shared" ca="1" si="138"/>
        <v>13 years, 5 months</v>
      </c>
      <c r="N2227" s="6">
        <v>55</v>
      </c>
      <c r="O2227">
        <v>24</v>
      </c>
      <c r="P2227">
        <v>0</v>
      </c>
      <c r="Q2227">
        <f t="shared" si="139"/>
        <v>24</v>
      </c>
      <c r="R2227">
        <v>8</v>
      </c>
      <c r="S2227">
        <v>6</v>
      </c>
      <c r="T2227">
        <f>Table[[#This Row],[NumWebPurchases]]+Table[[#This Row],[NumStorePurchases]]</f>
        <v>14</v>
      </c>
    </row>
    <row r="2228" spans="1:20" ht="12.5">
      <c r="A2228" s="6">
        <v>2226</v>
      </c>
      <c r="B2228" s="6">
        <v>4478</v>
      </c>
      <c r="C2228" s="6">
        <v>1979</v>
      </c>
      <c r="D2228" s="6">
        <f t="shared" si="136"/>
        <v>46</v>
      </c>
      <c r="E2228" s="7" t="s">
        <v>9</v>
      </c>
      <c r="F2228" s="7" t="s">
        <v>13</v>
      </c>
      <c r="G2228" s="6">
        <v>63777</v>
      </c>
      <c r="H2228" s="6" t="str" cm="1">
        <f t="array" ref="H2228">_xlfn.IFS(
  G2228 &lt; 25000, "Low",
  AND(G2228 &gt;= 25000, G2228 &lt; 75000), "Medium",
  AND(G2228 &gt;= 75000, G2228 &lt; 150000), "High",
  G2228 &gt;= 150000, "Very High"
)</f>
        <v>Medium</v>
      </c>
      <c r="I2228" s="6">
        <v>1</v>
      </c>
      <c r="J2228" s="6">
        <v>1</v>
      </c>
      <c r="K2228" s="6">
        <f t="shared" si="137"/>
        <v>2</v>
      </c>
      <c r="L2228" s="8">
        <v>41357</v>
      </c>
      <c r="M2228" t="str">
        <f t="shared" ca="1" si="138"/>
        <v>12 years, 11 months</v>
      </c>
      <c r="N2228" s="6">
        <v>87</v>
      </c>
      <c r="O2228">
        <v>5</v>
      </c>
      <c r="P2228">
        <v>17</v>
      </c>
      <c r="Q2228">
        <f t="shared" si="139"/>
        <v>22</v>
      </c>
      <c r="R2228">
        <v>11</v>
      </c>
      <c r="S2228">
        <v>6</v>
      </c>
      <c r="T2228">
        <f>Table[[#This Row],[NumWebPurchases]]+Table[[#This Row],[NumStorePurchases]]</f>
        <v>17</v>
      </c>
    </row>
    <row r="2229" spans="1:20" ht="12.5">
      <c r="A2229" s="6">
        <v>2227</v>
      </c>
      <c r="B2229" s="6">
        <v>4201</v>
      </c>
      <c r="C2229" s="6">
        <v>1962</v>
      </c>
      <c r="D2229" s="6">
        <f t="shared" si="136"/>
        <v>63</v>
      </c>
      <c r="E2229" s="7" t="s">
        <v>9</v>
      </c>
      <c r="F2229" s="7" t="s">
        <v>10</v>
      </c>
      <c r="G2229" s="6">
        <v>57967</v>
      </c>
      <c r="H2229" s="6" t="str" cm="1">
        <f t="array" ref="H2229">_xlfn.IFS(
  G2229 &lt; 25000, "Low",
  AND(G2229 &gt;= 25000, G2229 &lt; 75000), "Medium",
  AND(G2229 &gt;= 75000, G2229 &lt; 150000), "High",
  G2229 &gt;= 150000, "Very High"
)</f>
        <v>Medium</v>
      </c>
      <c r="I2229" s="6">
        <v>0</v>
      </c>
      <c r="J2229" s="6">
        <v>1</v>
      </c>
      <c r="K2229" s="6">
        <f t="shared" si="137"/>
        <v>1</v>
      </c>
      <c r="L2229" s="8">
        <v>41336</v>
      </c>
      <c r="M2229" t="str">
        <f t="shared" ca="1" si="138"/>
        <v>13 years, 0 months</v>
      </c>
      <c r="N2229" s="6">
        <v>39</v>
      </c>
      <c r="O2229">
        <v>7</v>
      </c>
      <c r="P2229">
        <v>0</v>
      </c>
      <c r="Q2229">
        <f t="shared" si="139"/>
        <v>7</v>
      </c>
      <c r="R2229">
        <v>4</v>
      </c>
      <c r="S2229">
        <v>8</v>
      </c>
      <c r="T2229">
        <f>Table[[#This Row],[NumWebPurchases]]+Table[[#This Row],[NumStorePurchases]]</f>
        <v>12</v>
      </c>
    </row>
    <row r="2230" spans="1:20" ht="12.5">
      <c r="A2230" s="6">
        <v>2228</v>
      </c>
      <c r="B2230" s="6">
        <v>8720</v>
      </c>
      <c r="C2230" s="6">
        <v>1978</v>
      </c>
      <c r="D2230" s="6">
        <f t="shared" si="136"/>
        <v>47</v>
      </c>
      <c r="E2230" s="7" t="s">
        <v>17</v>
      </c>
      <c r="F2230" s="7" t="s">
        <v>11</v>
      </c>
      <c r="G2230" s="7">
        <v>51371</v>
      </c>
      <c r="H2230" s="6" t="str" cm="1">
        <f t="array" ref="H2230">_xlfn.IFS(
  G2230 &lt; 25000, "Low",
  AND(G2230 &gt;= 25000, G2230 &lt; 75000), "Medium",
  AND(G2230 &gt;= 75000, G2230 &lt; 150000), "High",
  G2230 &gt;= 150000, "Very High"
)</f>
        <v>Medium</v>
      </c>
      <c r="I2230" s="6">
        <v>0</v>
      </c>
      <c r="J2230" s="6">
        <v>0</v>
      </c>
      <c r="K2230" s="6">
        <f t="shared" si="137"/>
        <v>0</v>
      </c>
      <c r="L2230" s="8">
        <v>41133</v>
      </c>
      <c r="M2230" t="str">
        <f t="shared" ca="1" si="138"/>
        <v>13 years, 6 months</v>
      </c>
      <c r="N2230" s="6">
        <v>53</v>
      </c>
      <c r="O2230">
        <v>2</v>
      </c>
      <c r="P2230">
        <v>4</v>
      </c>
      <c r="Q2230">
        <f t="shared" si="139"/>
        <v>6</v>
      </c>
      <c r="R2230">
        <v>0</v>
      </c>
      <c r="S2230">
        <v>1</v>
      </c>
      <c r="T2230">
        <f>Table[[#This Row],[NumWebPurchases]]+Table[[#This Row],[NumStorePurchases]]</f>
        <v>1</v>
      </c>
    </row>
    <row r="2231" spans="1:20" ht="12.5">
      <c r="A2231" s="6">
        <v>2229</v>
      </c>
      <c r="B2231" s="6">
        <v>10084</v>
      </c>
      <c r="C2231" s="6">
        <v>1972</v>
      </c>
      <c r="D2231" s="6">
        <f t="shared" si="136"/>
        <v>53</v>
      </c>
      <c r="E2231" s="7" t="s">
        <v>9</v>
      </c>
      <c r="F2231" s="7" t="s">
        <v>13</v>
      </c>
      <c r="G2231" s="6">
        <v>24434</v>
      </c>
      <c r="H2231" s="6" t="str" cm="1">
        <f t="array" ref="H2231">_xlfn.IFS(
  G2231 &lt; 25000, "Low",
  AND(G2231 &gt;= 25000, G2231 &lt; 75000), "Medium",
  AND(G2231 &gt;= 75000, G2231 &lt; 150000), "High",
  G2231 &gt;= 150000, "Very High"
)</f>
        <v>Low</v>
      </c>
      <c r="I2231" s="6">
        <v>2</v>
      </c>
      <c r="J2231" s="6">
        <v>0</v>
      </c>
      <c r="K2231" s="6">
        <f t="shared" si="137"/>
        <v>2</v>
      </c>
      <c r="L2231" s="8">
        <v>41777</v>
      </c>
      <c r="M2231" t="str">
        <f t="shared" ca="1" si="138"/>
        <v>11 years, 9 months</v>
      </c>
      <c r="N2231" s="6">
        <v>9</v>
      </c>
      <c r="O2231">
        <v>2</v>
      </c>
      <c r="P2231">
        <v>0</v>
      </c>
      <c r="Q2231">
        <f t="shared" si="139"/>
        <v>2</v>
      </c>
      <c r="R2231">
        <v>2</v>
      </c>
      <c r="S2231">
        <v>2</v>
      </c>
      <c r="T2231">
        <f>Table[[#This Row],[NumWebPurchases]]+Table[[#This Row],[NumStorePurchases]]</f>
        <v>4</v>
      </c>
    </row>
    <row r="2232" spans="1:20" ht="12.5">
      <c r="A2232" s="6">
        <v>2230</v>
      </c>
      <c r="B2232" s="6">
        <v>7004</v>
      </c>
      <c r="C2232" s="6">
        <v>1984</v>
      </c>
      <c r="D2232" s="6">
        <f t="shared" si="136"/>
        <v>41</v>
      </c>
      <c r="E2232" s="7" t="s">
        <v>9</v>
      </c>
      <c r="F2232" s="7" t="s">
        <v>10</v>
      </c>
      <c r="G2232" s="6">
        <v>11012</v>
      </c>
      <c r="H2232" s="6" t="str" cm="1">
        <f t="array" ref="H2232">_xlfn.IFS(
  G2232 &lt; 25000, "Low",
  AND(G2232 &gt;= 25000, G2232 &lt; 75000), "Medium",
  AND(G2232 &gt;= 75000, G2232 &lt; 150000), "High",
  G2232 &gt;= 150000, "Very High"
)</f>
        <v>Low</v>
      </c>
      <c r="I2232" s="6">
        <v>1</v>
      </c>
      <c r="J2232" s="6">
        <v>0</v>
      </c>
      <c r="K2232" s="6">
        <f t="shared" si="137"/>
        <v>1</v>
      </c>
      <c r="L2232" s="8">
        <v>41349</v>
      </c>
      <c r="M2232" t="str">
        <f t="shared" ca="1" si="138"/>
        <v>12 years, 11 months</v>
      </c>
      <c r="N2232" s="6">
        <v>82</v>
      </c>
      <c r="O2232">
        <v>3</v>
      </c>
      <c r="P2232">
        <v>1</v>
      </c>
      <c r="Q2232">
        <f t="shared" si="139"/>
        <v>4</v>
      </c>
      <c r="R2232">
        <v>3</v>
      </c>
      <c r="S2232">
        <v>2</v>
      </c>
      <c r="T2232">
        <f>Table[[#This Row],[NumWebPurchases]]+Table[[#This Row],[NumStorePurchases]]</f>
        <v>5</v>
      </c>
    </row>
    <row r="2233" spans="1:20" ht="12.5">
      <c r="A2233" s="6">
        <v>2231</v>
      </c>
      <c r="B2233" s="6">
        <v>9817</v>
      </c>
      <c r="C2233" s="6">
        <v>1970</v>
      </c>
      <c r="D2233" s="6">
        <f t="shared" si="136"/>
        <v>55</v>
      </c>
      <c r="E2233" s="7" t="s">
        <v>14</v>
      </c>
      <c r="F2233" s="7" t="s">
        <v>10</v>
      </c>
      <c r="G2233" s="6">
        <v>44802</v>
      </c>
      <c r="H2233" s="6" t="str" cm="1">
        <f t="array" ref="H2233">_xlfn.IFS(
  G2233 &lt; 25000, "Low",
  AND(G2233 &gt;= 25000, G2233 &lt; 75000), "Medium",
  AND(G2233 &gt;= 75000, G2233 &lt; 150000), "High",
  G2233 &gt;= 150000, "Very High"
)</f>
        <v>Medium</v>
      </c>
      <c r="I2233" s="6">
        <v>0</v>
      </c>
      <c r="J2233" s="6">
        <v>0</v>
      </c>
      <c r="K2233" s="6">
        <f t="shared" si="137"/>
        <v>0</v>
      </c>
      <c r="L2233" s="8">
        <v>41142</v>
      </c>
      <c r="M2233" t="str">
        <f t="shared" ca="1" si="138"/>
        <v>13 years, 6 months</v>
      </c>
      <c r="N2233" s="6">
        <v>71</v>
      </c>
      <c r="O2233">
        <v>10</v>
      </c>
      <c r="P2233">
        <v>10</v>
      </c>
      <c r="Q2233">
        <f t="shared" si="139"/>
        <v>20</v>
      </c>
      <c r="R2233">
        <v>9</v>
      </c>
      <c r="S2233">
        <v>12</v>
      </c>
      <c r="T2233">
        <f>Table[[#This Row],[NumWebPurchases]]+Table[[#This Row],[NumStorePurchases]]</f>
        <v>21</v>
      </c>
    </row>
    <row r="2234" spans="1:20" ht="12.5">
      <c r="A2234" s="6">
        <v>2232</v>
      </c>
      <c r="B2234" s="6">
        <v>8080</v>
      </c>
      <c r="C2234" s="6">
        <v>1986</v>
      </c>
      <c r="D2234" s="6">
        <f t="shared" si="136"/>
        <v>39</v>
      </c>
      <c r="E2234" s="7" t="s">
        <v>9</v>
      </c>
      <c r="F2234" s="7" t="s">
        <v>10</v>
      </c>
      <c r="G2234" s="6">
        <v>26816</v>
      </c>
      <c r="H2234" s="6" t="str" cm="1">
        <f t="array" ref="H2234">_xlfn.IFS(
  G2234 &lt; 25000, "Low",
  AND(G2234 &gt;= 25000, G2234 &lt; 75000), "Medium",
  AND(G2234 &gt;= 75000, G2234 &lt; 150000), "High",
  G2234 &gt;= 150000, "Very High"
)</f>
        <v>Medium</v>
      </c>
      <c r="I2234" s="6">
        <v>0</v>
      </c>
      <c r="J2234" s="6">
        <v>0</v>
      </c>
      <c r="K2234" s="6">
        <f t="shared" si="137"/>
        <v>0</v>
      </c>
      <c r="L2234" s="8">
        <v>41138</v>
      </c>
      <c r="M2234" t="str">
        <f t="shared" ca="1" si="138"/>
        <v>13 years, 6 months</v>
      </c>
      <c r="N2234" s="6">
        <v>50</v>
      </c>
      <c r="O2234">
        <v>1</v>
      </c>
      <c r="P2234">
        <v>4</v>
      </c>
      <c r="Q2234">
        <f t="shared" si="139"/>
        <v>5</v>
      </c>
      <c r="R2234">
        <v>0</v>
      </c>
      <c r="S2234">
        <v>3</v>
      </c>
      <c r="T2234">
        <f>Table[[#This Row],[NumWebPurchases]]+Table[[#This Row],[NumStorePurchases]]</f>
        <v>3</v>
      </c>
    </row>
    <row r="2235" spans="1:20" ht="12.5">
      <c r="A2235" s="6">
        <v>2233</v>
      </c>
      <c r="B2235" s="6">
        <v>9432</v>
      </c>
      <c r="C2235" s="6">
        <v>1977</v>
      </c>
      <c r="D2235" s="6">
        <f t="shared" si="136"/>
        <v>48</v>
      </c>
      <c r="E2235" s="7" t="s">
        <v>9</v>
      </c>
      <c r="F2235" s="7" t="s">
        <v>11</v>
      </c>
      <c r="G2235" s="6">
        <v>666666</v>
      </c>
      <c r="H2235" s="6" t="str" cm="1">
        <f t="array" ref="H2235">_xlfn.IFS(
  G2235 &lt; 25000, "Low",
  AND(G2235 &gt;= 25000, G2235 &lt; 75000), "Medium",
  AND(G2235 &gt;= 75000, G2235 &lt; 150000), "High",
  G2235 &gt;= 150000, "Very High"
)</f>
        <v>Very High</v>
      </c>
      <c r="I2235" s="6">
        <v>1</v>
      </c>
      <c r="J2235" s="6">
        <v>0</v>
      </c>
      <c r="K2235" s="6">
        <f t="shared" si="137"/>
        <v>1</v>
      </c>
      <c r="L2235" s="8">
        <v>41427</v>
      </c>
      <c r="M2235" t="str">
        <f t="shared" ca="1" si="138"/>
        <v>12 years, 9 months</v>
      </c>
      <c r="N2235" s="6">
        <v>23</v>
      </c>
      <c r="O2235">
        <v>14</v>
      </c>
      <c r="P2235">
        <v>1</v>
      </c>
      <c r="Q2235">
        <f t="shared" si="139"/>
        <v>15</v>
      </c>
      <c r="R2235">
        <v>3</v>
      </c>
      <c r="S2235">
        <v>3</v>
      </c>
      <c r="T2235">
        <f>Table[[#This Row],[NumWebPurchases]]+Table[[#This Row],[NumStorePurchases]]</f>
        <v>6</v>
      </c>
    </row>
    <row r="2236" spans="1:20" ht="12.5">
      <c r="A2236" s="6">
        <v>2234</v>
      </c>
      <c r="B2236" s="6">
        <v>8372</v>
      </c>
      <c r="C2236" s="6">
        <v>1974</v>
      </c>
      <c r="D2236" s="6">
        <f t="shared" si="136"/>
        <v>51</v>
      </c>
      <c r="E2236" s="7" t="s">
        <v>9</v>
      </c>
      <c r="F2236" s="7" t="s">
        <v>13</v>
      </c>
      <c r="G2236" s="6">
        <v>34421</v>
      </c>
      <c r="H2236" s="6" t="str" cm="1">
        <f t="array" ref="H2236">_xlfn.IFS(
  G2236 &lt; 25000, "Low",
  AND(G2236 &gt;= 25000, G2236 &lt; 75000), "Medium",
  AND(G2236 &gt;= 75000, G2236 &lt; 150000), "High",
  G2236 &gt;= 150000, "Very High"
)</f>
        <v>Medium</v>
      </c>
      <c r="I2236" s="6">
        <v>1</v>
      </c>
      <c r="J2236" s="6">
        <v>0</v>
      </c>
      <c r="K2236" s="6">
        <f t="shared" si="137"/>
        <v>1</v>
      </c>
      <c r="L2236" s="8">
        <v>41456</v>
      </c>
      <c r="M2236" t="str">
        <f t="shared" ca="1" si="138"/>
        <v>12 years, 8 months</v>
      </c>
      <c r="N2236" s="6">
        <v>81</v>
      </c>
      <c r="O2236">
        <v>3</v>
      </c>
      <c r="P2236">
        <v>2</v>
      </c>
      <c r="Q2236">
        <f t="shared" si="139"/>
        <v>5</v>
      </c>
      <c r="R2236">
        <v>1</v>
      </c>
      <c r="S2236">
        <v>2</v>
      </c>
      <c r="T2236">
        <f>Table[[#This Row],[NumWebPurchases]]+Table[[#This Row],[NumStorePurchases]]</f>
        <v>3</v>
      </c>
    </row>
    <row r="2237" spans="1:20" ht="12.5">
      <c r="A2237" s="6">
        <v>2235</v>
      </c>
      <c r="B2237" s="6">
        <v>10870</v>
      </c>
      <c r="C2237" s="6">
        <v>1967</v>
      </c>
      <c r="D2237" s="6">
        <f t="shared" si="136"/>
        <v>58</v>
      </c>
      <c r="E2237" s="7" t="s">
        <v>9</v>
      </c>
      <c r="F2237" s="7" t="s">
        <v>13</v>
      </c>
      <c r="G2237" s="6">
        <v>61223</v>
      </c>
      <c r="H2237" s="6" t="str" cm="1">
        <f t="array" ref="H2237">_xlfn.IFS(
  G2237 &lt; 25000, "Low",
  AND(G2237 &gt;= 25000, G2237 &lt; 75000), "Medium",
  AND(G2237 &gt;= 75000, G2237 &lt; 150000), "High",
  G2237 &gt;= 150000, "Very High"
)</f>
        <v>Medium</v>
      </c>
      <c r="I2237" s="6">
        <v>0</v>
      </c>
      <c r="J2237" s="6">
        <v>1</v>
      </c>
      <c r="K2237" s="6">
        <f t="shared" si="137"/>
        <v>1</v>
      </c>
      <c r="L2237" s="8">
        <v>41438</v>
      </c>
      <c r="M2237" t="str">
        <f t="shared" ca="1" si="138"/>
        <v>12 years, 8 months</v>
      </c>
      <c r="N2237" s="6">
        <v>46</v>
      </c>
      <c r="O2237">
        <v>43</v>
      </c>
      <c r="P2237">
        <v>118</v>
      </c>
      <c r="Q2237">
        <f t="shared" si="139"/>
        <v>161</v>
      </c>
      <c r="R2237">
        <v>9</v>
      </c>
      <c r="S2237">
        <v>4</v>
      </c>
      <c r="T2237">
        <f>Table[[#This Row],[NumWebPurchases]]+Table[[#This Row],[NumStorePurchases]]</f>
        <v>13</v>
      </c>
    </row>
    <row r="2238" spans="1:20" ht="12.5">
      <c r="A2238" s="6">
        <v>2236</v>
      </c>
      <c r="B2238" s="6">
        <v>4001</v>
      </c>
      <c r="C2238" s="6">
        <v>1946</v>
      </c>
      <c r="D2238" s="6">
        <f t="shared" si="136"/>
        <v>79</v>
      </c>
      <c r="E2238" s="7" t="s">
        <v>12</v>
      </c>
      <c r="F2238" s="7" t="s">
        <v>11</v>
      </c>
      <c r="G2238" s="6">
        <v>64014</v>
      </c>
      <c r="H2238" s="6" t="str" cm="1">
        <f t="array" ref="H2238">_xlfn.IFS(
  G2238 &lt; 25000, "Low",
  AND(G2238 &gt;= 25000, G2238 &lt; 75000), "Medium",
  AND(G2238 &gt;= 75000, G2238 &lt; 150000), "High",
  G2238 &gt;= 150000, "Very High"
)</f>
        <v>Medium</v>
      </c>
      <c r="I2238" s="6">
        <v>2</v>
      </c>
      <c r="J2238" s="6">
        <v>1</v>
      </c>
      <c r="K2238" s="6">
        <f t="shared" si="137"/>
        <v>3</v>
      </c>
      <c r="L2238" s="8">
        <v>41800</v>
      </c>
      <c r="M2238" t="str">
        <f t="shared" ca="1" si="138"/>
        <v>11 years, 8 months</v>
      </c>
      <c r="N2238" s="6">
        <v>56</v>
      </c>
      <c r="O2238">
        <v>0</v>
      </c>
      <c r="P2238">
        <v>0</v>
      </c>
      <c r="Q2238">
        <f t="shared" si="139"/>
        <v>0</v>
      </c>
      <c r="R2238">
        <v>8</v>
      </c>
      <c r="S2238">
        <v>5</v>
      </c>
      <c r="T2238">
        <f>Table[[#This Row],[NumWebPurchases]]+Table[[#This Row],[NumStorePurchases]]</f>
        <v>13</v>
      </c>
    </row>
    <row r="2239" spans="1:20" ht="12.5">
      <c r="A2239" s="6">
        <v>2237</v>
      </c>
      <c r="B2239" s="6">
        <v>7270</v>
      </c>
      <c r="C2239" s="6">
        <v>1981</v>
      </c>
      <c r="D2239" s="6">
        <f t="shared" si="136"/>
        <v>44</v>
      </c>
      <c r="E2239" s="7" t="s">
        <v>9</v>
      </c>
      <c r="F2239" s="7" t="s">
        <v>15</v>
      </c>
      <c r="G2239" s="6">
        <v>56981</v>
      </c>
      <c r="H2239" s="6" t="str" cm="1">
        <f t="array" ref="H2239">_xlfn.IFS(
  G2239 &lt; 25000, "Low",
  AND(G2239 &gt;= 25000, G2239 &lt; 75000), "Medium",
  AND(G2239 &gt;= 75000, G2239 &lt; 150000), "High",
  G2239 &gt;= 150000, "Very High"
)</f>
        <v>Medium</v>
      </c>
      <c r="I2239" s="6">
        <v>0</v>
      </c>
      <c r="J2239" s="6">
        <v>0</v>
      </c>
      <c r="K2239" s="6">
        <f t="shared" si="137"/>
        <v>0</v>
      </c>
      <c r="L2239" s="8">
        <v>41664</v>
      </c>
      <c r="M2239" t="str">
        <f t="shared" ca="1" si="138"/>
        <v>12 years, 1 months</v>
      </c>
      <c r="N2239" s="6">
        <v>91</v>
      </c>
      <c r="O2239">
        <v>48</v>
      </c>
      <c r="P2239">
        <v>12</v>
      </c>
      <c r="Q2239">
        <f t="shared" si="139"/>
        <v>60</v>
      </c>
      <c r="R2239">
        <v>2</v>
      </c>
      <c r="S2239">
        <v>13</v>
      </c>
      <c r="T2239">
        <f>Table[[#This Row],[NumWebPurchases]]+Table[[#This Row],[NumStorePurchases]]</f>
        <v>15</v>
      </c>
    </row>
    <row r="2240" spans="1:20" ht="12.5">
      <c r="A2240" s="6">
        <v>2238</v>
      </c>
      <c r="B2240" s="6">
        <v>8235</v>
      </c>
      <c r="C2240" s="6">
        <v>1956</v>
      </c>
      <c r="D2240" s="6">
        <f t="shared" si="136"/>
        <v>69</v>
      </c>
      <c r="E2240" s="7" t="s">
        <v>14</v>
      </c>
      <c r="F2240" s="7" t="s">
        <v>11</v>
      </c>
      <c r="G2240" s="6">
        <v>69245</v>
      </c>
      <c r="H2240" s="6" t="str" cm="1">
        <f t="array" ref="H2240">_xlfn.IFS(
  G2240 &lt; 25000, "Low",
  AND(G2240 &gt;= 25000, G2240 &lt; 75000), "Medium",
  AND(G2240 &gt;= 75000, G2240 &lt; 150000), "High",
  G2240 &gt;= 150000, "Very High"
)</f>
        <v>Medium</v>
      </c>
      <c r="I2240" s="6">
        <v>0</v>
      </c>
      <c r="J2240" s="6">
        <v>1</v>
      </c>
      <c r="K2240" s="6">
        <f t="shared" si="137"/>
        <v>1</v>
      </c>
      <c r="L2240" s="8">
        <v>41663</v>
      </c>
      <c r="M2240" t="str">
        <f t="shared" ca="1" si="138"/>
        <v>12 years, 1 months</v>
      </c>
      <c r="N2240" s="6">
        <v>8</v>
      </c>
      <c r="O2240">
        <v>30</v>
      </c>
      <c r="P2240">
        <v>30</v>
      </c>
      <c r="Q2240">
        <f t="shared" si="139"/>
        <v>60</v>
      </c>
      <c r="R2240">
        <v>6</v>
      </c>
      <c r="S2240">
        <v>10</v>
      </c>
      <c r="T2240">
        <f>Table[[#This Row],[NumWebPurchases]]+Table[[#This Row],[NumStorePurchases]]</f>
        <v>16</v>
      </c>
    </row>
    <row r="2241" spans="1:20" ht="12.5">
      <c r="A2241" s="6">
        <v>2239</v>
      </c>
      <c r="B2241" s="6">
        <v>9405</v>
      </c>
      <c r="C2241" s="6">
        <v>1954</v>
      </c>
      <c r="D2241" s="6">
        <f t="shared" si="136"/>
        <v>71</v>
      </c>
      <c r="E2241" s="7" t="s">
        <v>12</v>
      </c>
      <c r="F2241" s="7" t="s">
        <v>13</v>
      </c>
      <c r="G2241" s="6">
        <v>52869</v>
      </c>
      <c r="H2241" s="6" t="str" cm="1">
        <f t="array" ref="H2241">_xlfn.IFS(
  G2241 &lt; 25000, "Low",
  AND(G2241 &gt;= 25000, G2241 &lt; 75000), "Medium",
  AND(G2241 &gt;= 75000, G2241 &lt; 150000), "High",
  G2241 &gt;= 150000, "Very High"
)</f>
        <v>Medium</v>
      </c>
      <c r="I2241" s="6">
        <v>1</v>
      </c>
      <c r="J2241" s="6">
        <v>1</v>
      </c>
      <c r="K2241" s="6">
        <f t="shared" si="137"/>
        <v>2</v>
      </c>
      <c r="L2241" s="9">
        <v>41197</v>
      </c>
      <c r="M2241" t="str">
        <f t="shared" ca="1" si="138"/>
        <v>13 years, 4 months</v>
      </c>
      <c r="N2241" s="6">
        <v>40</v>
      </c>
      <c r="O2241">
        <v>3</v>
      </c>
      <c r="P2241">
        <v>1</v>
      </c>
      <c r="Q2241">
        <f t="shared" si="139"/>
        <v>4</v>
      </c>
      <c r="R2241">
        <v>3</v>
      </c>
      <c r="S2241">
        <v>4</v>
      </c>
      <c r="T2241">
        <f>Table[[#This Row],[NumWebPurchases]]+Table[[#This Row],[NumStorePurchases]]</f>
        <v>7</v>
      </c>
    </row>
    <row r="2242" spans="1:20" ht="15.75" customHeight="1">
      <c r="D2242" s="6"/>
      <c r="H2242" s="6"/>
      <c r="I2242" s="11"/>
      <c r="J2242" s="11"/>
    </row>
    <row r="2243" spans="1:20" ht="15.75" customHeight="1">
      <c r="D2243" s="6"/>
      <c r="H2243" s="6"/>
    </row>
    <row r="2244" spans="1:20" ht="15.75" customHeight="1">
      <c r="D2244" s="6"/>
      <c r="H2244" s="6"/>
    </row>
    <row r="2245" spans="1:20" ht="15.75" customHeight="1">
      <c r="D2245" s="6"/>
      <c r="G2245" s="11"/>
      <c r="H2245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8CF6-CBCD-2747-A088-D07670FA2671}">
  <dimension ref="A1:P242"/>
  <sheetViews>
    <sheetView zoomScale="48" zoomScaleNormal="115" workbookViewId="0">
      <selection activeCell="D28" sqref="D28"/>
    </sheetView>
  </sheetViews>
  <sheetFormatPr defaultColWidth="10.90625" defaultRowHeight="12.5"/>
  <cols>
    <col min="1" max="1" width="11.7265625" bestFit="1" customWidth="1"/>
    <col min="2" max="2" width="20.36328125" bestFit="1" customWidth="1"/>
    <col min="3" max="3" width="13.36328125" bestFit="1" customWidth="1"/>
    <col min="4" max="4" width="14.6328125" bestFit="1" customWidth="1"/>
    <col min="5" max="5" width="15" bestFit="1" customWidth="1"/>
    <col min="6" max="6" width="17.90625" bestFit="1" customWidth="1"/>
    <col min="7" max="7" width="12.453125" bestFit="1" customWidth="1"/>
    <col min="8" max="8" width="14.90625" bestFit="1" customWidth="1"/>
    <col min="9" max="9" width="25.7265625" bestFit="1" customWidth="1"/>
    <col min="10" max="10" width="24.54296875" bestFit="1" customWidth="1"/>
    <col min="11" max="11" width="25.453125" bestFit="1" customWidth="1"/>
    <col min="12" max="12" width="34.453125" bestFit="1" customWidth="1"/>
    <col min="13" max="13" width="34.6328125" bestFit="1" customWidth="1"/>
    <col min="14" max="14" width="18.81640625" bestFit="1" customWidth="1"/>
    <col min="15" max="15" width="19.08984375" bestFit="1" customWidth="1"/>
    <col min="16" max="16" width="18.6328125" bestFit="1" customWidth="1"/>
    <col min="17" max="17" width="3.1796875" bestFit="1" customWidth="1"/>
    <col min="18" max="18" width="10.6328125" bestFit="1" customWidth="1"/>
    <col min="19" max="19" width="4.1796875" bestFit="1" customWidth="1"/>
    <col min="20" max="22" width="5.1796875" bestFit="1" customWidth="1"/>
    <col min="23" max="23" width="4.1796875" bestFit="1" customWidth="1"/>
    <col min="24" max="24" width="5.1796875" bestFit="1" customWidth="1"/>
    <col min="25" max="25" width="4.1796875" bestFit="1" customWidth="1"/>
    <col min="26" max="26" width="5.1796875" bestFit="1" customWidth="1"/>
    <col min="27" max="27" width="4.1796875" bestFit="1" customWidth="1"/>
    <col min="28" max="33" width="5.1796875" bestFit="1" customWidth="1"/>
    <col min="34" max="34" width="4.1796875" bestFit="1" customWidth="1"/>
    <col min="35" max="36" width="5.1796875" bestFit="1" customWidth="1"/>
    <col min="37" max="37" width="4.1796875" bestFit="1" customWidth="1"/>
    <col min="38" max="39" width="5.1796875" bestFit="1" customWidth="1"/>
    <col min="40" max="40" width="4.1796875" bestFit="1" customWidth="1"/>
    <col min="41" max="41" width="5.1796875" bestFit="1" customWidth="1"/>
    <col min="42" max="43" width="4.1796875" bestFit="1" customWidth="1"/>
    <col min="44" max="45" width="5.1796875" bestFit="1" customWidth="1"/>
    <col min="46" max="48" width="4.1796875" bestFit="1" customWidth="1"/>
    <col min="49" max="51" width="5.1796875" bestFit="1" customWidth="1"/>
    <col min="52" max="52" width="4.1796875" bestFit="1" customWidth="1"/>
    <col min="53" max="55" width="5.1796875" bestFit="1" customWidth="1"/>
    <col min="56" max="56" width="4.1796875" bestFit="1" customWidth="1"/>
    <col min="57" max="57" width="5.1796875" bestFit="1" customWidth="1"/>
    <col min="58" max="58" width="4.1796875" bestFit="1" customWidth="1"/>
    <col min="59" max="61" width="5.1796875" bestFit="1" customWidth="1"/>
    <col min="62" max="62" width="4.1796875" bestFit="1" customWidth="1"/>
    <col min="63" max="66" width="5.1796875" bestFit="1" customWidth="1"/>
    <col min="67" max="67" width="4.1796875" bestFit="1" customWidth="1"/>
    <col min="68" max="71" width="5.1796875" bestFit="1" customWidth="1"/>
    <col min="72" max="73" width="4.1796875" bestFit="1" customWidth="1"/>
    <col min="74" max="78" width="5.1796875" bestFit="1" customWidth="1"/>
    <col min="79" max="80" width="4.1796875" bestFit="1" customWidth="1"/>
    <col min="81" max="83" width="5.1796875" bestFit="1" customWidth="1"/>
    <col min="84" max="86" width="4.1796875" bestFit="1" customWidth="1"/>
    <col min="87" max="88" width="5.1796875" bestFit="1" customWidth="1"/>
    <col min="89" max="89" width="4.1796875" bestFit="1" customWidth="1"/>
    <col min="90" max="90" width="5.1796875" bestFit="1" customWidth="1"/>
    <col min="91" max="92" width="4.1796875" bestFit="1" customWidth="1"/>
    <col min="93" max="101" width="5.1796875" bestFit="1" customWidth="1"/>
    <col min="102" max="102" width="4.1796875" bestFit="1" customWidth="1"/>
    <col min="103" max="103" width="10.6328125" bestFit="1" customWidth="1"/>
  </cols>
  <sheetData>
    <row r="1" spans="1:16" ht="13">
      <c r="A1" t="s">
        <v>55</v>
      </c>
      <c r="B1" t="s">
        <v>54</v>
      </c>
      <c r="C1" t="s">
        <v>37</v>
      </c>
      <c r="D1" t="s">
        <v>58</v>
      </c>
      <c r="E1" s="12" t="s">
        <v>50</v>
      </c>
      <c r="F1" t="s">
        <v>51</v>
      </c>
      <c r="G1" s="12" t="s">
        <v>49</v>
      </c>
      <c r="H1" t="s">
        <v>53</v>
      </c>
      <c r="I1" t="s">
        <v>80</v>
      </c>
      <c r="J1" t="s">
        <v>82</v>
      </c>
      <c r="K1" t="s">
        <v>83</v>
      </c>
      <c r="L1" s="15" t="s">
        <v>84</v>
      </c>
      <c r="M1" s="15" t="s">
        <v>85</v>
      </c>
      <c r="N1" t="s">
        <v>56</v>
      </c>
    </row>
    <row r="2" spans="1:16">
      <c r="A2">
        <v>2240</v>
      </c>
      <c r="B2">
        <v>22120</v>
      </c>
      <c r="C2">
        <v>119538</v>
      </c>
      <c r="D2" s="24">
        <v>52237.86294642857</v>
      </c>
      <c r="E2" s="13" t="s">
        <v>13</v>
      </c>
      <c r="F2">
        <v>864</v>
      </c>
      <c r="G2" s="13" t="s">
        <v>47</v>
      </c>
      <c r="H2">
        <v>4209</v>
      </c>
      <c r="I2" s="14">
        <v>53.365178571428572</v>
      </c>
      <c r="J2" s="14">
        <v>9150</v>
      </c>
      <c r="K2" s="14">
        <v>12970</v>
      </c>
      <c r="L2">
        <f>(GETPIVOTDATA("NumWebPurchases",$J$1)/GETPIVOTDATA("Total_Purchases",$B$1))*100</f>
        <v>41.365280289330926</v>
      </c>
      <c r="M2">
        <f>(GETPIVOTDATA("NumStorePurchases",$K$1)/GETPIVOTDATA("Total_Purchases",$B$1))*100</f>
        <v>58.634719710669081</v>
      </c>
      <c r="N2" s="14">
        <v>49.109375</v>
      </c>
    </row>
    <row r="3" spans="1:16">
      <c r="E3" s="13" t="s">
        <v>31</v>
      </c>
      <c r="F3">
        <v>864</v>
      </c>
      <c r="G3" s="13" t="s">
        <v>31</v>
      </c>
      <c r="H3">
        <v>4209</v>
      </c>
    </row>
    <row r="4" spans="1:16">
      <c r="D4" s="14"/>
    </row>
    <row r="5" spans="1:16" ht="13">
      <c r="A5" s="15"/>
      <c r="B5" s="15"/>
      <c r="C5" s="15"/>
      <c r="D5" s="15"/>
      <c r="E5" s="15"/>
      <c r="F5" s="15"/>
      <c r="G5" s="15"/>
      <c r="I5" s="15"/>
      <c r="L5" s="15"/>
      <c r="M5" s="15"/>
      <c r="N5" s="15"/>
      <c r="O5" s="15"/>
      <c r="P5" s="15"/>
    </row>
    <row r="6" spans="1:16">
      <c r="B6" s="23"/>
      <c r="C6" s="23"/>
      <c r="D6" s="24"/>
      <c r="I6" s="22"/>
      <c r="L6" s="25"/>
      <c r="M6" s="25"/>
      <c r="N6" s="14"/>
      <c r="O6" s="14"/>
      <c r="P6" s="14"/>
    </row>
    <row r="7" spans="1:16">
      <c r="D7" s="14"/>
    </row>
    <row r="8" spans="1:16">
      <c r="D8" s="14"/>
    </row>
    <row r="9" spans="1:16">
      <c r="D9" s="14"/>
    </row>
    <row r="11" spans="1:16" ht="13">
      <c r="I11" s="15"/>
    </row>
    <row r="12" spans="1:16" ht="13">
      <c r="A12" s="16" t="s">
        <v>57</v>
      </c>
    </row>
    <row r="13" spans="1:16" ht="13">
      <c r="I13" s="15"/>
    </row>
    <row r="14" spans="1:16" ht="13">
      <c r="A14" s="12" t="s">
        <v>49</v>
      </c>
      <c r="B14" t="s">
        <v>53</v>
      </c>
      <c r="L14" s="15"/>
    </row>
    <row r="15" spans="1:16" ht="13">
      <c r="A15" s="13" t="s">
        <v>43</v>
      </c>
      <c r="B15">
        <v>1350</v>
      </c>
      <c r="I15" s="15"/>
    </row>
    <row r="16" spans="1:16" ht="13">
      <c r="A16" s="13" t="s">
        <v>44</v>
      </c>
      <c r="B16">
        <v>4016</v>
      </c>
      <c r="L16" s="15"/>
    </row>
    <row r="17" spans="1:10" ht="13">
      <c r="A17" s="13" t="s">
        <v>45</v>
      </c>
      <c r="B17">
        <v>6907</v>
      </c>
      <c r="I17" s="15"/>
    </row>
    <row r="18" spans="1:10">
      <c r="A18" s="13" t="s">
        <v>46</v>
      </c>
      <c r="B18">
        <v>5078</v>
      </c>
    </row>
    <row r="19" spans="1:10" ht="13">
      <c r="A19" s="13" t="s">
        <v>47</v>
      </c>
      <c r="B19">
        <v>4209</v>
      </c>
      <c r="I19" s="15"/>
    </row>
    <row r="20" spans="1:10">
      <c r="A20" s="13" t="s">
        <v>48</v>
      </c>
      <c r="B20">
        <v>545</v>
      </c>
    </row>
    <row r="21" spans="1:10">
      <c r="A21" s="13" t="s">
        <v>31</v>
      </c>
      <c r="B21">
        <v>22105</v>
      </c>
    </row>
    <row r="24" spans="1:10">
      <c r="A24" s="13"/>
    </row>
    <row r="25" spans="1:10" ht="16">
      <c r="A25" s="19" t="s">
        <v>62</v>
      </c>
      <c r="F25" s="15"/>
      <c r="G25" s="15"/>
      <c r="H25" s="15"/>
      <c r="J25" s="17"/>
    </row>
    <row r="26" spans="1:10" ht="16">
      <c r="J26" s="17"/>
    </row>
    <row r="27" spans="1:10" ht="16">
      <c r="A27" s="12" t="s">
        <v>49</v>
      </c>
      <c r="B27" t="s">
        <v>59</v>
      </c>
      <c r="J27" s="17"/>
    </row>
    <row r="28" spans="1:10" ht="16">
      <c r="A28" s="13" t="s">
        <v>43</v>
      </c>
      <c r="B28">
        <v>7158602</v>
      </c>
      <c r="J28" s="17"/>
    </row>
    <row r="29" spans="1:10" ht="16">
      <c r="A29" s="13" t="s">
        <v>44</v>
      </c>
      <c r="B29">
        <v>21927977</v>
      </c>
      <c r="J29" s="18"/>
    </row>
    <row r="30" spans="1:10" ht="16">
      <c r="A30" s="13" t="s">
        <v>45</v>
      </c>
      <c r="B30">
        <v>36267544</v>
      </c>
      <c r="J30" s="18"/>
    </row>
    <row r="31" spans="1:10" ht="16" customHeight="1">
      <c r="A31" s="13" t="s">
        <v>46</v>
      </c>
      <c r="B31">
        <v>26939072</v>
      </c>
    </row>
    <row r="32" spans="1:10">
      <c r="A32" s="13" t="s">
        <v>47</v>
      </c>
      <c r="B32">
        <v>21982329</v>
      </c>
    </row>
    <row r="33" spans="1:2">
      <c r="A33" s="13" t="s">
        <v>48</v>
      </c>
      <c r="B33">
        <v>2556935</v>
      </c>
    </row>
    <row r="34" spans="1:2">
      <c r="A34" s="13" t="s">
        <v>31</v>
      </c>
      <c r="B34">
        <v>116832459</v>
      </c>
    </row>
    <row r="37" spans="1:2">
      <c r="A37" s="12" t="s">
        <v>49</v>
      </c>
      <c r="B37" t="s">
        <v>58</v>
      </c>
    </row>
    <row r="38" spans="1:2">
      <c r="A38" s="13" t="s">
        <v>43</v>
      </c>
      <c r="B38" s="24">
        <v>48697.972789115644</v>
      </c>
    </row>
    <row r="39" spans="1:2">
      <c r="A39" s="13" t="s">
        <v>44</v>
      </c>
      <c r="B39" s="24">
        <v>47773.370370370372</v>
      </c>
    </row>
    <row r="40" spans="1:2">
      <c r="A40" s="13" t="s">
        <v>45</v>
      </c>
      <c r="B40" s="24">
        <v>50093.292817679561</v>
      </c>
    </row>
    <row r="41" spans="1:2">
      <c r="A41" s="13" t="s">
        <v>46</v>
      </c>
      <c r="B41" s="24">
        <v>55316.369609856265</v>
      </c>
    </row>
    <row r="42" spans="1:2">
      <c r="A42" s="13" t="s">
        <v>47</v>
      </c>
      <c r="B42" s="24">
        <v>57848.234210526316</v>
      </c>
    </row>
    <row r="43" spans="1:2">
      <c r="A43" s="13" t="s">
        <v>48</v>
      </c>
      <c r="B43" s="24">
        <v>63923.375</v>
      </c>
    </row>
    <row r="44" spans="1:2">
      <c r="A44" s="13" t="s">
        <v>31</v>
      </c>
      <c r="B44" s="24">
        <v>52227.295037997319</v>
      </c>
    </row>
    <row r="49" spans="1:2" ht="13">
      <c r="A49" s="16" t="s">
        <v>61</v>
      </c>
    </row>
    <row r="51" spans="1:2">
      <c r="A51" s="12" t="s">
        <v>49</v>
      </c>
      <c r="B51" t="s">
        <v>60</v>
      </c>
    </row>
    <row r="52" spans="1:2">
      <c r="A52" s="13" t="s">
        <v>43</v>
      </c>
      <c r="B52">
        <v>147</v>
      </c>
    </row>
    <row r="53" spans="1:2">
      <c r="A53" s="13" t="s">
        <v>44</v>
      </c>
      <c r="B53">
        <v>459</v>
      </c>
    </row>
    <row r="54" spans="1:2">
      <c r="A54" s="13" t="s">
        <v>45</v>
      </c>
      <c r="B54">
        <v>724</v>
      </c>
    </row>
    <row r="55" spans="1:2">
      <c r="A55" s="13" t="s">
        <v>46</v>
      </c>
      <c r="B55">
        <v>487</v>
      </c>
    </row>
    <row r="56" spans="1:2">
      <c r="A56" s="13" t="s">
        <v>47</v>
      </c>
      <c r="B56">
        <v>380</v>
      </c>
    </row>
    <row r="57" spans="1:2">
      <c r="A57" s="13" t="s">
        <v>48</v>
      </c>
      <c r="B57">
        <v>40</v>
      </c>
    </row>
    <row r="58" spans="1:2">
      <c r="A58" s="13" t="s">
        <v>31</v>
      </c>
      <c r="B58">
        <v>2237</v>
      </c>
    </row>
    <row r="61" spans="1:2" ht="13">
      <c r="A61" s="15" t="s">
        <v>63</v>
      </c>
    </row>
    <row r="62" spans="1:2">
      <c r="A62" s="13"/>
    </row>
    <row r="63" spans="1:2">
      <c r="A63" s="12" t="s">
        <v>50</v>
      </c>
      <c r="B63" t="s">
        <v>51</v>
      </c>
    </row>
    <row r="64" spans="1:2">
      <c r="A64" s="13" t="s">
        <v>13</v>
      </c>
      <c r="B64">
        <v>864</v>
      </c>
    </row>
    <row r="65" spans="1:8">
      <c r="A65" s="13" t="s">
        <v>11</v>
      </c>
      <c r="B65">
        <v>580</v>
      </c>
    </row>
    <row r="66" spans="1:8">
      <c r="A66" s="13" t="s">
        <v>10</v>
      </c>
      <c r="B66">
        <v>480</v>
      </c>
    </row>
    <row r="67" spans="1:8">
      <c r="A67" s="13" t="s">
        <v>15</v>
      </c>
      <c r="B67">
        <v>232</v>
      </c>
    </row>
    <row r="68" spans="1:8">
      <c r="A68" s="13" t="s">
        <v>18</v>
      </c>
      <c r="B68">
        <v>77</v>
      </c>
    </row>
    <row r="69" spans="1:8">
      <c r="A69" s="13" t="s">
        <v>19</v>
      </c>
      <c r="B69">
        <v>3</v>
      </c>
    </row>
    <row r="70" spans="1:8">
      <c r="A70" s="13" t="s">
        <v>21</v>
      </c>
      <c r="B70">
        <v>2</v>
      </c>
    </row>
    <row r="71" spans="1:8">
      <c r="A71" s="13" t="s">
        <v>20</v>
      </c>
      <c r="B71">
        <v>2</v>
      </c>
      <c r="F71" s="11"/>
      <c r="G71" s="11"/>
      <c r="H71" s="11"/>
    </row>
    <row r="72" spans="1:8">
      <c r="A72" s="13" t="s">
        <v>31</v>
      </c>
      <c r="B72">
        <v>2240</v>
      </c>
    </row>
    <row r="73" spans="1:8">
      <c r="A73" s="13"/>
    </row>
    <row r="74" spans="1:8" ht="13">
      <c r="A74" s="15" t="s">
        <v>77</v>
      </c>
    </row>
    <row r="76" spans="1:8">
      <c r="A76" s="12" t="s">
        <v>76</v>
      </c>
      <c r="B76" t="s">
        <v>64</v>
      </c>
    </row>
    <row r="77" spans="1:8">
      <c r="A77" s="13" t="s">
        <v>17</v>
      </c>
      <c r="B77" s="14">
        <v>63.206896551724135</v>
      </c>
    </row>
    <row r="78" spans="1:8">
      <c r="A78" s="13" t="s">
        <v>16</v>
      </c>
      <c r="B78" s="14">
        <v>23.222222222222221</v>
      </c>
    </row>
    <row r="79" spans="1:8">
      <c r="A79" s="13" t="s">
        <v>9</v>
      </c>
      <c r="B79" s="14">
        <v>62.141969831410826</v>
      </c>
    </row>
    <row r="80" spans="1:8">
      <c r="A80" s="13" t="s">
        <v>14</v>
      </c>
      <c r="B80" s="14">
        <v>42.829729729729728</v>
      </c>
    </row>
    <row r="81" spans="1:2">
      <c r="A81" s="13" t="s">
        <v>12</v>
      </c>
      <c r="B81" s="14">
        <v>40.271604938271608</v>
      </c>
    </row>
    <row r="82" spans="1:2">
      <c r="A82" s="13" t="s">
        <v>31</v>
      </c>
      <c r="B82" s="14">
        <v>53.365178571428572</v>
      </c>
    </row>
    <row r="83" spans="1:2">
      <c r="A83" s="13"/>
      <c r="B83" s="14"/>
    </row>
    <row r="84" spans="1:2">
      <c r="A84" s="13"/>
      <c r="B84" s="14"/>
    </row>
    <row r="85" spans="1:2" ht="13">
      <c r="A85" s="15" t="s">
        <v>78</v>
      </c>
    </row>
    <row r="87" spans="1:2">
      <c r="A87" s="12" t="s">
        <v>50</v>
      </c>
      <c r="B87" t="s">
        <v>64</v>
      </c>
    </row>
    <row r="88" spans="1:2">
      <c r="A88" s="13" t="s">
        <v>20</v>
      </c>
      <c r="B88" s="14">
        <v>115</v>
      </c>
    </row>
    <row r="89" spans="1:2">
      <c r="A89" s="13" t="s">
        <v>19</v>
      </c>
      <c r="B89" s="14">
        <v>11</v>
      </c>
    </row>
    <row r="90" spans="1:2">
      <c r="A90" s="13" t="s">
        <v>15</v>
      </c>
      <c r="B90" s="14">
        <v>54.245689655172413</v>
      </c>
    </row>
    <row r="91" spans="1:2">
      <c r="A91" s="13" t="s">
        <v>13</v>
      </c>
      <c r="B91" s="14">
        <v>52.436342592592595</v>
      </c>
    </row>
    <row r="92" spans="1:2">
      <c r="A92" s="13" t="s">
        <v>10</v>
      </c>
      <c r="B92" s="14">
        <v>54.09791666666667</v>
      </c>
    </row>
    <row r="93" spans="1:2">
      <c r="A93" s="13" t="s">
        <v>11</v>
      </c>
      <c r="B93" s="14">
        <v>51.472413793103449</v>
      </c>
    </row>
    <row r="94" spans="1:2">
      <c r="A94" s="13" t="s">
        <v>18</v>
      </c>
      <c r="B94" s="14">
        <v>72.103896103896105</v>
      </c>
    </row>
    <row r="95" spans="1:2">
      <c r="A95" s="13" t="s">
        <v>21</v>
      </c>
      <c r="B95" s="14">
        <v>6</v>
      </c>
    </row>
    <row r="96" spans="1:2">
      <c r="A96" s="13" t="s">
        <v>31</v>
      </c>
      <c r="B96" s="14">
        <v>53.365178571428572</v>
      </c>
    </row>
    <row r="97" spans="1:8">
      <c r="A97" s="13"/>
    </row>
    <row r="98" spans="1:8">
      <c r="A98" s="13"/>
    </row>
    <row r="99" spans="1:8">
      <c r="A99" s="13"/>
    </row>
    <row r="100" spans="1:8">
      <c r="A100" s="13"/>
    </row>
    <row r="102" spans="1:8" ht="17.5">
      <c r="A102" s="15" t="s">
        <v>68</v>
      </c>
      <c r="C102" s="20"/>
      <c r="F102" s="16"/>
      <c r="G102" s="16"/>
      <c r="H102" s="16"/>
    </row>
    <row r="104" spans="1:8">
      <c r="A104" s="12" t="s">
        <v>52</v>
      </c>
      <c r="B104" t="s">
        <v>64</v>
      </c>
    </row>
    <row r="105" spans="1:8">
      <c r="A105" s="13">
        <v>0</v>
      </c>
      <c r="B105" s="14">
        <v>105.41849529780565</v>
      </c>
    </row>
    <row r="106" spans="1:8">
      <c r="A106" s="13">
        <v>1</v>
      </c>
      <c r="B106" s="14">
        <v>39.648049645390074</v>
      </c>
    </row>
    <row r="107" spans="1:8">
      <c r="A107" s="13">
        <v>2</v>
      </c>
      <c r="B107" s="14">
        <v>16.24940617577197</v>
      </c>
    </row>
    <row r="108" spans="1:8">
      <c r="A108" s="13">
        <v>3</v>
      </c>
      <c r="B108" s="14">
        <v>13.528301886792454</v>
      </c>
    </row>
    <row r="109" spans="1:8">
      <c r="A109" s="13" t="s">
        <v>31</v>
      </c>
      <c r="B109" s="14">
        <v>53.365178571428572</v>
      </c>
    </row>
    <row r="110" spans="1:8">
      <c r="F110" s="13"/>
      <c r="G110" s="13"/>
      <c r="H110" s="13"/>
    </row>
    <row r="111" spans="1:8" ht="13">
      <c r="A111" s="15" t="s">
        <v>65</v>
      </c>
    </row>
    <row r="113" spans="1:2">
      <c r="A113" s="12" t="s">
        <v>36</v>
      </c>
      <c r="B113" t="s">
        <v>51</v>
      </c>
    </row>
    <row r="114" spans="1:2">
      <c r="A114" s="13" t="s">
        <v>34</v>
      </c>
      <c r="B114">
        <v>351</v>
      </c>
    </row>
    <row r="115" spans="1:2">
      <c r="A115" s="13" t="s">
        <v>32</v>
      </c>
      <c r="B115">
        <v>242</v>
      </c>
    </row>
    <row r="116" spans="1:2">
      <c r="A116" s="13" t="s">
        <v>33</v>
      </c>
      <c r="B116">
        <v>1639</v>
      </c>
    </row>
    <row r="117" spans="1:2">
      <c r="A117" s="13" t="s">
        <v>35</v>
      </c>
      <c r="B117">
        <v>8</v>
      </c>
    </row>
    <row r="118" spans="1:2">
      <c r="A118" s="13" t="s">
        <v>31</v>
      </c>
      <c r="B118">
        <v>2240</v>
      </c>
    </row>
    <row r="119" spans="1:2">
      <c r="A119" s="13"/>
    </row>
    <row r="120" spans="1:2" ht="13">
      <c r="A120" s="15" t="s">
        <v>66</v>
      </c>
    </row>
    <row r="122" spans="1:2">
      <c r="A122" s="12" t="s">
        <v>36</v>
      </c>
      <c r="B122" t="s">
        <v>37</v>
      </c>
    </row>
    <row r="123" spans="1:2">
      <c r="A123" s="13" t="s">
        <v>34</v>
      </c>
      <c r="B123">
        <v>46995</v>
      </c>
    </row>
    <row r="124" spans="1:2">
      <c r="A124" s="13" t="s">
        <v>32</v>
      </c>
      <c r="B124">
        <v>3006</v>
      </c>
    </row>
    <row r="125" spans="1:2">
      <c r="A125" s="13" t="s">
        <v>33</v>
      </c>
      <c r="B125">
        <v>69491</v>
      </c>
    </row>
    <row r="126" spans="1:2">
      <c r="A126" s="13" t="s">
        <v>35</v>
      </c>
      <c r="B126">
        <v>46</v>
      </c>
    </row>
    <row r="127" spans="1:2">
      <c r="A127" s="13" t="s">
        <v>31</v>
      </c>
      <c r="B127">
        <v>119538</v>
      </c>
    </row>
    <row r="129" spans="1:8" ht="13">
      <c r="A129" s="16" t="s">
        <v>67</v>
      </c>
    </row>
    <row r="131" spans="1:8">
      <c r="A131" s="12" t="s">
        <v>36</v>
      </c>
      <c r="B131" t="s">
        <v>64</v>
      </c>
      <c r="F131" s="11"/>
      <c r="G131" s="11"/>
      <c r="H131" s="11"/>
    </row>
    <row r="132" spans="1:8">
      <c r="A132" s="13" t="s">
        <v>34</v>
      </c>
      <c r="B132" s="14">
        <v>133.88888888888889</v>
      </c>
    </row>
    <row r="133" spans="1:8">
      <c r="A133" s="13" t="s">
        <v>32</v>
      </c>
      <c r="B133" s="14">
        <v>12.421487603305785</v>
      </c>
    </row>
    <row r="134" spans="1:8">
      <c r="A134" s="13" t="s">
        <v>33</v>
      </c>
      <c r="B134" s="14">
        <v>42.398413666870042</v>
      </c>
    </row>
    <row r="135" spans="1:8">
      <c r="A135" s="13" t="s">
        <v>35</v>
      </c>
      <c r="B135" s="14">
        <v>5.75</v>
      </c>
    </row>
    <row r="136" spans="1:8">
      <c r="A136" s="13" t="s">
        <v>31</v>
      </c>
      <c r="B136" s="14">
        <v>53.365178571428572</v>
      </c>
    </row>
    <row r="137" spans="1:8">
      <c r="A137" s="13"/>
      <c r="B137" s="14"/>
    </row>
    <row r="138" spans="1:8" ht="17.5">
      <c r="A138" s="15" t="s">
        <v>69</v>
      </c>
      <c r="E138" s="20"/>
    </row>
    <row r="140" spans="1:8">
      <c r="A140" s="12" t="s">
        <v>36</v>
      </c>
      <c r="B140" t="s">
        <v>39</v>
      </c>
      <c r="C140" t="s">
        <v>40</v>
      </c>
    </row>
    <row r="141" spans="1:8">
      <c r="A141" s="13" t="s">
        <v>34</v>
      </c>
      <c r="B141" s="14">
        <v>1867</v>
      </c>
      <c r="C141" s="14">
        <v>2957</v>
      </c>
      <c r="D141" s="14"/>
      <c r="E141" s="14"/>
    </row>
    <row r="142" spans="1:8">
      <c r="A142" s="13" t="s">
        <v>32</v>
      </c>
      <c r="B142" s="14">
        <v>493</v>
      </c>
      <c r="C142" s="14">
        <v>662</v>
      </c>
      <c r="D142" s="14"/>
      <c r="E142" s="14"/>
    </row>
    <row r="143" spans="1:8">
      <c r="A143" s="13" t="s">
        <v>33</v>
      </c>
      <c r="B143" s="14">
        <v>6786</v>
      </c>
      <c r="C143" s="14">
        <v>9345</v>
      </c>
      <c r="D143" s="14"/>
      <c r="E143" s="14"/>
    </row>
    <row r="144" spans="1:8">
      <c r="A144" s="13" t="s">
        <v>35</v>
      </c>
      <c r="B144" s="14">
        <v>4</v>
      </c>
      <c r="C144" s="14">
        <v>6</v>
      </c>
      <c r="D144" s="14"/>
      <c r="E144" s="14"/>
    </row>
    <row r="145" spans="1:5">
      <c r="A145" s="13" t="s">
        <v>31</v>
      </c>
      <c r="B145" s="14">
        <v>9150</v>
      </c>
      <c r="C145" s="14">
        <v>12970</v>
      </c>
      <c r="D145" s="14"/>
      <c r="E145" s="14"/>
    </row>
    <row r="148" spans="1:5" ht="13">
      <c r="A148" s="16" t="s">
        <v>70</v>
      </c>
    </row>
    <row r="150" spans="1:5">
      <c r="A150" s="12" t="s">
        <v>49</v>
      </c>
      <c r="B150" t="s">
        <v>37</v>
      </c>
    </row>
    <row r="151" spans="1:5">
      <c r="A151" s="13" t="s">
        <v>43</v>
      </c>
      <c r="B151">
        <v>10089</v>
      </c>
    </row>
    <row r="152" spans="1:5">
      <c r="A152" s="13" t="s">
        <v>44</v>
      </c>
      <c r="B152">
        <v>22998</v>
      </c>
    </row>
    <row r="153" spans="1:5">
      <c r="A153" s="13" t="s">
        <v>45</v>
      </c>
      <c r="B153">
        <v>35006</v>
      </c>
    </row>
    <row r="154" spans="1:5">
      <c r="A154" s="13" t="s">
        <v>46</v>
      </c>
      <c r="B154">
        <v>27422</v>
      </c>
    </row>
    <row r="155" spans="1:5">
      <c r="A155" s="13" t="s">
        <v>47</v>
      </c>
      <c r="B155">
        <v>20361</v>
      </c>
    </row>
    <row r="156" spans="1:5">
      <c r="A156" s="13" t="s">
        <v>48</v>
      </c>
      <c r="B156">
        <v>3444</v>
      </c>
    </row>
    <row r="157" spans="1:5">
      <c r="A157" s="13" t="s">
        <v>31</v>
      </c>
      <c r="B157">
        <v>119320</v>
      </c>
    </row>
    <row r="159" spans="1:5" ht="13">
      <c r="A159" s="15"/>
    </row>
    <row r="161" spans="1:5" ht="13">
      <c r="A161" s="21" t="s">
        <v>79</v>
      </c>
    </row>
    <row r="163" spans="1:5">
      <c r="A163" s="12" t="s">
        <v>76</v>
      </c>
      <c r="B163" t="s">
        <v>37</v>
      </c>
    </row>
    <row r="164" spans="1:5">
      <c r="A164" s="13" t="s">
        <v>17</v>
      </c>
      <c r="B164">
        <v>12831</v>
      </c>
    </row>
    <row r="165" spans="1:5">
      <c r="A165" s="13" t="s">
        <v>16</v>
      </c>
      <c r="B165">
        <v>1254</v>
      </c>
    </row>
    <row r="166" spans="1:5">
      <c r="A166" s="13" t="s">
        <v>9</v>
      </c>
      <c r="B166">
        <v>70034</v>
      </c>
    </row>
    <row r="167" spans="1:5">
      <c r="A167" s="13" t="s">
        <v>14</v>
      </c>
      <c r="B167">
        <v>15847</v>
      </c>
    </row>
    <row r="168" spans="1:5">
      <c r="A168" s="13" t="s">
        <v>12</v>
      </c>
      <c r="B168">
        <v>19572</v>
      </c>
    </row>
    <row r="169" spans="1:5">
      <c r="A169" s="13" t="s">
        <v>31</v>
      </c>
      <c r="B169" s="14">
        <v>119538</v>
      </c>
    </row>
    <row r="171" spans="1:5">
      <c r="A171" s="13"/>
    </row>
    <row r="172" spans="1:5">
      <c r="A172" s="13"/>
    </row>
    <row r="173" spans="1:5" ht="13">
      <c r="A173" s="15" t="s">
        <v>71</v>
      </c>
    </row>
    <row r="175" spans="1:5">
      <c r="A175" s="12" t="s">
        <v>50</v>
      </c>
      <c r="B175" t="s">
        <v>39</v>
      </c>
      <c r="C175" t="s">
        <v>40</v>
      </c>
    </row>
    <row r="176" spans="1:5">
      <c r="A176" s="13" t="s">
        <v>20</v>
      </c>
      <c r="B176" s="14">
        <v>7</v>
      </c>
      <c r="C176" s="14">
        <v>13</v>
      </c>
      <c r="D176" s="14"/>
      <c r="E176" s="14"/>
    </row>
    <row r="177" spans="1:5">
      <c r="A177" s="13" t="s">
        <v>19</v>
      </c>
      <c r="B177" s="14">
        <v>15</v>
      </c>
      <c r="C177" s="14">
        <v>12</v>
      </c>
      <c r="D177" s="14"/>
      <c r="E177" s="14"/>
    </row>
    <row r="178" spans="1:5">
      <c r="A178" s="13" t="s">
        <v>15</v>
      </c>
      <c r="B178" s="14">
        <v>1000</v>
      </c>
      <c r="C178" s="14">
        <v>1350</v>
      </c>
      <c r="D178" s="14"/>
      <c r="E178" s="14"/>
    </row>
    <row r="179" spans="1:5">
      <c r="A179" s="13" t="s">
        <v>13</v>
      </c>
      <c r="B179" s="14">
        <v>3532</v>
      </c>
      <c r="C179" s="14">
        <v>5055</v>
      </c>
      <c r="D179" s="14"/>
      <c r="E179" s="14"/>
    </row>
    <row r="180" spans="1:5">
      <c r="A180" s="13" t="s">
        <v>10</v>
      </c>
      <c r="B180" s="14">
        <v>1859</v>
      </c>
      <c r="C180" s="14">
        <v>2707</v>
      </c>
      <c r="D180" s="14"/>
      <c r="E180" s="14"/>
    </row>
    <row r="181" spans="1:5">
      <c r="A181" s="13" t="s">
        <v>11</v>
      </c>
      <c r="B181" s="14">
        <v>2367</v>
      </c>
      <c r="C181" s="14">
        <v>3327</v>
      </c>
      <c r="D181" s="14"/>
      <c r="E181" s="14"/>
    </row>
    <row r="182" spans="1:5">
      <c r="A182" s="13" t="s">
        <v>18</v>
      </c>
      <c r="B182" s="14">
        <v>356</v>
      </c>
      <c r="C182" s="14">
        <v>494</v>
      </c>
      <c r="D182" s="14"/>
      <c r="E182" s="14"/>
    </row>
    <row r="183" spans="1:5">
      <c r="A183" s="13" t="s">
        <v>21</v>
      </c>
      <c r="B183" s="14">
        <v>14</v>
      </c>
      <c r="C183" s="14">
        <v>12</v>
      </c>
      <c r="D183" s="14"/>
      <c r="E183" s="14"/>
    </row>
    <row r="184" spans="1:5">
      <c r="A184" s="13" t="s">
        <v>31</v>
      </c>
      <c r="B184" s="14">
        <v>9150</v>
      </c>
      <c r="C184" s="14">
        <v>12970</v>
      </c>
      <c r="D184" s="14"/>
      <c r="E184" s="14"/>
    </row>
    <row r="186" spans="1:5" ht="13">
      <c r="A186" s="15" t="s">
        <v>72</v>
      </c>
    </row>
    <row r="188" spans="1:5">
      <c r="A188" s="12" t="s">
        <v>2</v>
      </c>
      <c r="B188" t="s">
        <v>39</v>
      </c>
      <c r="C188" t="s">
        <v>40</v>
      </c>
    </row>
    <row r="189" spans="1:5">
      <c r="A189" s="13" t="s">
        <v>17</v>
      </c>
      <c r="B189" s="14">
        <v>757</v>
      </c>
      <c r="C189" s="14">
        <v>1118</v>
      </c>
      <c r="D189" s="14"/>
      <c r="E189" s="14"/>
    </row>
    <row r="190" spans="1:5">
      <c r="A190" s="13" t="s">
        <v>16</v>
      </c>
      <c r="B190" s="14">
        <v>102</v>
      </c>
      <c r="C190" s="14">
        <v>154</v>
      </c>
      <c r="D190" s="14"/>
      <c r="E190" s="14"/>
    </row>
    <row r="191" spans="1:5">
      <c r="A191" s="13" t="s">
        <v>9</v>
      </c>
      <c r="B191" s="14">
        <v>4649</v>
      </c>
      <c r="C191" s="14">
        <v>6570</v>
      </c>
      <c r="D191" s="14"/>
      <c r="E191" s="14"/>
    </row>
    <row r="192" spans="1:5">
      <c r="A192" s="13" t="s">
        <v>14</v>
      </c>
      <c r="B192" s="14">
        <v>1492</v>
      </c>
      <c r="C192" s="14">
        <v>2182</v>
      </c>
      <c r="D192" s="14"/>
      <c r="E192" s="14"/>
    </row>
    <row r="193" spans="1:5">
      <c r="A193" s="13" t="s">
        <v>12</v>
      </c>
      <c r="B193" s="14">
        <v>2150</v>
      </c>
      <c r="C193" s="14">
        <v>2946</v>
      </c>
      <c r="D193" s="14"/>
      <c r="E193" s="14"/>
    </row>
    <row r="194" spans="1:5">
      <c r="A194" s="13" t="s">
        <v>31</v>
      </c>
      <c r="B194" s="14">
        <v>9150</v>
      </c>
      <c r="C194" s="14">
        <v>12970</v>
      </c>
      <c r="D194" s="14"/>
      <c r="E194" s="14"/>
    </row>
    <row r="195" spans="1:5">
      <c r="A195" s="13"/>
      <c r="B195" s="14"/>
      <c r="C195" s="14"/>
      <c r="D195" s="14"/>
      <c r="E195" s="14"/>
    </row>
    <row r="196" spans="1:5">
      <c r="A196" s="13"/>
      <c r="B196" s="14"/>
      <c r="C196" s="14"/>
      <c r="D196" s="14"/>
      <c r="E196" s="14"/>
    </row>
    <row r="197" spans="1:5" ht="13">
      <c r="A197" s="16" t="s">
        <v>73</v>
      </c>
      <c r="B197" s="14"/>
      <c r="C197" s="14"/>
      <c r="D197" s="14"/>
      <c r="E197" s="14"/>
    </row>
    <row r="199" spans="1:5">
      <c r="A199" s="12" t="s">
        <v>52</v>
      </c>
      <c r="B199" t="s">
        <v>74</v>
      </c>
    </row>
    <row r="200" spans="1:5">
      <c r="A200" s="13">
        <v>0</v>
      </c>
      <c r="B200" s="14">
        <v>638</v>
      </c>
    </row>
    <row r="201" spans="1:5">
      <c r="A201" s="13">
        <v>1</v>
      </c>
      <c r="B201" s="14">
        <v>1128</v>
      </c>
    </row>
    <row r="202" spans="1:5">
      <c r="A202" s="13">
        <v>2</v>
      </c>
      <c r="B202" s="14">
        <v>421</v>
      </c>
    </row>
    <row r="203" spans="1:5">
      <c r="A203" s="13">
        <v>3</v>
      </c>
      <c r="B203" s="14">
        <v>53</v>
      </c>
    </row>
    <row r="204" spans="1:5">
      <c r="A204" s="13" t="s">
        <v>31</v>
      </c>
      <c r="B204" s="14">
        <v>2240</v>
      </c>
    </row>
    <row r="205" spans="1:5">
      <c r="A205" s="13"/>
      <c r="B205" s="14"/>
    </row>
    <row r="206" spans="1:5">
      <c r="A206" s="13"/>
      <c r="B206" s="14"/>
    </row>
    <row r="207" spans="1:5" ht="13">
      <c r="A207" s="16" t="s">
        <v>75</v>
      </c>
      <c r="B207" s="14"/>
    </row>
    <row r="209" spans="1:2">
      <c r="A209" s="12" t="s">
        <v>2</v>
      </c>
      <c r="B209" t="s">
        <v>74</v>
      </c>
    </row>
    <row r="210" spans="1:2">
      <c r="A210" s="13" t="s">
        <v>17</v>
      </c>
      <c r="B210" s="14">
        <v>203</v>
      </c>
    </row>
    <row r="211" spans="1:2">
      <c r="A211" s="13" t="s">
        <v>16</v>
      </c>
      <c r="B211" s="14">
        <v>54</v>
      </c>
    </row>
    <row r="212" spans="1:2">
      <c r="A212" s="13" t="s">
        <v>9</v>
      </c>
      <c r="B212" s="14">
        <v>1127</v>
      </c>
    </row>
    <row r="213" spans="1:2">
      <c r="A213" s="13" t="s">
        <v>14</v>
      </c>
      <c r="B213" s="14">
        <v>370</v>
      </c>
    </row>
    <row r="214" spans="1:2">
      <c r="A214" s="13" t="s">
        <v>12</v>
      </c>
      <c r="B214" s="14">
        <v>486</v>
      </c>
    </row>
    <row r="215" spans="1:2">
      <c r="A215" s="13" t="s">
        <v>31</v>
      </c>
      <c r="B215" s="14">
        <v>2240</v>
      </c>
    </row>
    <row r="235" spans="1:3">
      <c r="A235" s="12" t="s">
        <v>2</v>
      </c>
      <c r="B235" t="s">
        <v>81</v>
      </c>
      <c r="C235" t="s">
        <v>37</v>
      </c>
    </row>
    <row r="236" spans="1:3">
      <c r="A236" s="13" t="s">
        <v>43</v>
      </c>
      <c r="B236" s="14">
        <v>1350</v>
      </c>
      <c r="C236" s="14">
        <v>10089</v>
      </c>
    </row>
    <row r="237" spans="1:3">
      <c r="A237" s="13" t="s">
        <v>44</v>
      </c>
      <c r="B237" s="14">
        <v>4016</v>
      </c>
      <c r="C237" s="14">
        <v>22998</v>
      </c>
    </row>
    <row r="238" spans="1:3">
      <c r="A238" s="13" t="s">
        <v>45</v>
      </c>
      <c r="B238" s="14">
        <v>6907</v>
      </c>
      <c r="C238" s="14">
        <v>35006</v>
      </c>
    </row>
    <row r="239" spans="1:3">
      <c r="A239" s="13" t="s">
        <v>46</v>
      </c>
      <c r="B239" s="14">
        <v>5078</v>
      </c>
      <c r="C239" s="14">
        <v>27422</v>
      </c>
    </row>
    <row r="240" spans="1:3">
      <c r="A240" s="13" t="s">
        <v>47</v>
      </c>
      <c r="B240" s="14">
        <v>4209</v>
      </c>
      <c r="C240" s="14">
        <v>20361</v>
      </c>
    </row>
    <row r="241" spans="1:3">
      <c r="A241" s="13" t="s">
        <v>48</v>
      </c>
      <c r="B241" s="14">
        <v>545</v>
      </c>
      <c r="C241" s="14">
        <v>3444</v>
      </c>
    </row>
    <row r="242" spans="1:3">
      <c r="A242" s="13" t="s">
        <v>31</v>
      </c>
      <c r="B242" s="14">
        <v>22105</v>
      </c>
      <c r="C242" s="14">
        <v>119320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Marketing_df1</vt:lpstr>
      <vt:lpstr>Marketing_df2</vt:lpstr>
      <vt:lpstr>Merged_df1&amp;2</vt:lpstr>
      <vt:lpstr>Table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Chakraborty</dc:creator>
  <cp:lastModifiedBy>Anik Chakraborty</cp:lastModifiedBy>
  <dcterms:created xsi:type="dcterms:W3CDTF">2025-04-29T11:13:57Z</dcterms:created>
  <dcterms:modified xsi:type="dcterms:W3CDTF">2026-03-05T19:17:15Z</dcterms:modified>
</cp:coreProperties>
</file>